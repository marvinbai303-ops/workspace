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4090" windowHeight="5890" tabRatio="600" firstSheet="0" activeTab="8" autoFilterDateGrouping="1"/>
  </bookViews>
  <sheets>
    <sheet xmlns:r="http://schemas.openxmlformats.org/officeDocument/2006/relationships" name="持仓配置" sheetId="1" state="visible" r:id="rId1"/>
    <sheet xmlns:r="http://schemas.openxmlformats.org/officeDocument/2006/relationships" name="净值数据(iFinD公式)" sheetId="2" state="visible" r:id="rId2"/>
    <sheet xmlns:r="http://schemas.openxmlformats.org/officeDocument/2006/relationships" name="组合净值" sheetId="3" state="visible" r:id="rId3"/>
    <sheet xmlns:r="http://schemas.openxmlformats.org/officeDocument/2006/relationships" name="看板-10-90" sheetId="4" state="visible" r:id="rId4"/>
    <sheet xmlns:r="http://schemas.openxmlformats.org/officeDocument/2006/relationships" name="看板-20-80" sheetId="5" state="visible" r:id="rId5"/>
    <sheet xmlns:r="http://schemas.openxmlformats.org/officeDocument/2006/relationships" name="看板-30-70" sheetId="6" state="visible" r:id="rId6"/>
    <sheet xmlns:r="http://schemas.openxmlformats.org/officeDocument/2006/relationships" name="看板-增值" sheetId="7" state="visible" r:id="rId7"/>
    <sheet xmlns:r="http://schemas.openxmlformats.org/officeDocument/2006/relationships" name="说明" sheetId="8" state="visible" r:id="rId8"/>
    <sheet xmlns:r="http://schemas.openxmlformats.org/officeDocument/2006/relationships" name="vs招行" sheetId="9" state="visible" r:id="rId9"/>
    <sheet xmlns:r="http://schemas.openxmlformats.org/officeDocument/2006/relationships" name="vs固收+" sheetId="10" state="visible" r:id="rId10"/>
    <sheet xmlns:r="http://schemas.openxmlformats.org/officeDocument/2006/relationships" name="对标基金净值(iFinD公式)" sheetId="11" state="visible" r:id="rId11"/>
    <sheet xmlns:r="http://schemas.openxmlformats.org/officeDocument/2006/relationships" name="实盘持仓配置" sheetId="12" state="visible" r:id="rId12"/>
    <sheet xmlns:r="http://schemas.openxmlformats.org/officeDocument/2006/relationships" name="实盘净值数据(iFinD公式)" sheetId="13" state="visible" r:id="rId13"/>
    <sheet xmlns:r="http://schemas.openxmlformats.org/officeDocument/2006/relationships" name="实盘组合净值" sheetId="14" state="visible" r:id="rId14"/>
  </sheets>
  <externalReferences>
    <externalReference xmlns:r="http://schemas.openxmlformats.org/officeDocument/2006/relationships" r:id="rId15"/>
  </externalReferences>
  <definedNames>
    <definedName name="chtB">OFFSET(组合净值!$B$6,0,0,COUNT(组合净值!$B$6:$B$2000),1)</definedName>
    <definedName name="chtDate">OFFSET(组合净值!$A$6,0,0,COUNT(组合净值!$B$6:$B$2000),1)</definedName>
    <definedName name="chtE">OFFSET(组合净值!$E$6,0,0,COUNT(组合净值!$E$6:$E$2000),1)</definedName>
    <definedName name="chtH">OFFSET(组合净值!$H$6,0,0,COUNT(组合净值!$H$6:$H$2000),1)</definedName>
    <definedName name="chtK">OFFSET(组合净值!$K$6,0,0,COUNT(组合净值!$K$6:$K$2000),1)</definedName>
    <definedName name="_xlnm.Print_Area" localSheetId="3">'看板-10-90'!$A$1:$H$36</definedName>
    <definedName name="_xlnm.Print_Area" localSheetId="4">'看板-20-80'!$A$1:$H$36</definedName>
    <definedName name="_xlnm.Print_Area" localSheetId="5">'看板-30-70'!$A$1:$H$36</definedName>
    <definedName name="_xlnm.Print_Area" localSheetId="6">'看板-增值'!$A$1:$H$36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0.0000"/>
    <numFmt numFmtId="167" formatCode="0.00000000%"/>
    <numFmt numFmtId="168" formatCode="yyyy-mm-dd"/>
  </numFmts>
  <fonts count="42">
    <font>
      <name val="宋体"/>
      <family val="2"/>
      <color theme="1"/>
      <sz val="11"/>
      <scheme val="minor"/>
    </font>
    <font>
      <name val="Arial"/>
      <family val="2"/>
      <b val="1"/>
      <color rgb="FF1F3864"/>
      <sz val="18"/>
    </font>
    <font>
      <name val="Arial"/>
      <family val="2"/>
      <i val="1"/>
      <color rgb="FF595959"/>
      <sz val="9"/>
    </font>
    <font>
      <name val="Arial"/>
      <family val="2"/>
      <b val="1"/>
      <color rgb="FF1F3864"/>
      <sz val="12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5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0"/>
    </font>
    <font>
      <name val="Arial"/>
      <family val="2"/>
      <color rgb="FF0061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7"/>
    </font>
    <font>
      <name val="宋体"/>
      <charset val="134"/>
      <family val="3"/>
      <sz val="9"/>
      <scheme val="minor"/>
    </font>
    <font>
      <name val="Arial"/>
      <family val="2"/>
      <i val="1"/>
      <color rgb="FF595959"/>
      <sz val="9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rgb="FF000000"/>
      <sz val="16"/>
    </font>
    <font>
      <name val="微软雅黑"/>
      <charset val="134"/>
      <family val="2"/>
      <color rgb="FF000000"/>
      <sz val="16"/>
    </font>
    <font>
      <name val="微软雅黑"/>
      <charset val="134"/>
      <family val="2"/>
      <color theme="1"/>
      <sz val="16"/>
    </font>
    <font>
      <name val="微软雅黑"/>
      <charset val="134"/>
      <family val="2"/>
      <b val="1"/>
      <color rgb="FF1F3864"/>
      <sz val="20"/>
    </font>
    <font>
      <name val="微软雅黑"/>
      <charset val="134"/>
      <family val="2"/>
      <b val="1"/>
      <color rgb="FFC00000"/>
      <sz val="20"/>
    </font>
    <font>
      <name val="Arial"/>
      <family val="2"/>
      <b val="1"/>
      <color rgb="FF0000FF"/>
      <sz val="10"/>
    </font>
    <font>
      <name val="宋体"/>
      <family val="2"/>
      <color theme="1"/>
      <sz val="11"/>
      <scheme val="minor"/>
    </font>
    <font>
      <name val="微软雅黑"/>
      <charset val="134"/>
      <family val="2"/>
      <b val="1"/>
      <color theme="0"/>
      <sz val="11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b val="1"/>
      <color rgb="FF00B050"/>
      <sz val="12"/>
    </font>
    <font>
      <name val="微软雅黑"/>
      <charset val="134"/>
      <family val="2"/>
      <color rgb="FF00B050"/>
      <sz val="11"/>
    </font>
    <font>
      <name val="微软雅黑"/>
      <charset val="134"/>
      <family val="2"/>
      <sz val="11"/>
    </font>
    <font>
      <name val="微软雅黑"/>
      <charset val="134"/>
      <family val="2"/>
      <color theme="1"/>
      <sz val="12"/>
    </font>
    <font>
      <name val="微软雅黑"/>
      <color rgb="FF808080"/>
      <sz val="9"/>
    </font>
    <font>
      <name val="微软雅黑"/>
      <b val="1"/>
      <sz val="11"/>
    </font>
    <font>
      <name val="微软雅黑"/>
      <b val="1"/>
      <sz val="10"/>
    </font>
    <font>
      <name val="微软雅黑"/>
      <sz val="9"/>
    </font>
    <font>
      <name val="微软雅黑"/>
      <sz val="10"/>
    </font>
    <font>
      <name val="微软雅黑"/>
      <b val="1"/>
      <color rgb="FFFFFFFF"/>
      <sz val="11"/>
    </font>
    <font>
      <name val="微软雅黑"/>
      <b val="1"/>
      <color theme="1"/>
      <sz val="12"/>
    </font>
    <font>
      <name val="微软雅黑"/>
      <color theme="1"/>
      <sz val="11"/>
    </font>
    <font>
      <name val="微软雅黑"/>
      <b val="1"/>
      <color rgb="FFFF0000"/>
      <sz val="12"/>
    </font>
    <font>
      <name val="微软雅黑"/>
      <b val="1"/>
      <color rgb="FF00B050"/>
      <sz val="12"/>
    </font>
    <font>
      <name val="微软雅黑"/>
      <color rgb="FF00B050"/>
      <sz val="11"/>
    </font>
  </fonts>
  <fills count="1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4"/>
      </patternFill>
    </fill>
    <fill>
      <patternFill patternType="solid">
        <fgColor theme="4" tint="0.7999816888943144"/>
      </patternFill>
    </fill>
  </fills>
  <borders count="3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9" tint="0.3999755851924192"/>
      </left>
      <right/>
      <top style="thin">
        <color theme="9" tint="0.3999755851924192"/>
      </top>
      <bottom/>
      <diagonal/>
    </border>
    <border>
      <left/>
      <right/>
      <top style="thin">
        <color theme="9" tint="0.3999755851924192"/>
      </top>
      <bottom/>
      <diagonal/>
    </border>
    <border>
      <left/>
      <right style="thin">
        <color theme="9" tint="0.3999755851924192"/>
      </right>
      <top style="thin">
        <color theme="9" tint="0.3999755851924192"/>
      </top>
      <bottom/>
      <diagonal/>
    </border>
    <border>
      <left style="thin">
        <color theme="9" tint="0.3999755851924192"/>
      </left>
      <right/>
      <top/>
      <bottom/>
      <diagonal/>
    </border>
    <border>
      <left style="thin">
        <color theme="9" tint="0.3999755851924192"/>
      </left>
      <right/>
      <top/>
      <bottom style="thin">
        <color theme="9" tint="0.3999755851924192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top style="thin">
        <color theme="9" tint="0.3999755851924192"/>
      </top>
      <bottom/>
    </border>
    <border>
      <right style="thin">
        <color theme="9" tint="0.3999755851924192"/>
      </right>
      <top style="thin">
        <color theme="9" tint="0.3999755851924192"/>
      </top>
      <bottom/>
    </border>
    <border>
      <left/>
      <top style="thin">
        <color theme="9" tint="0.3999755851924192"/>
      </top>
      <bottom/>
    </border>
    <border>
      <top style="thin">
        <color theme="9" tint="0.3999755851924192"/>
      </top>
      <bottom style="thin">
        <color theme="9" tint="0.3999755851924192"/>
      </bottom>
    </border>
    <border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</border>
    <border>
      <left/>
      <top style="thin">
        <color theme="9" tint="0.3999755851924192"/>
      </top>
      <bottom style="thin">
        <color theme="9" tint="0.3999755851924192"/>
      </bottom>
    </border>
    <border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left style="thin"/>
      <right/>
      <top/>
      <bottom/>
      <diagonal/>
    </border>
    <border>
      <top style="thin"/>
    </border>
    <border>
      <right style="thin"/>
      <top style="thin"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 style="thin"/>
    </border>
    <border>
      <right/>
      <top style="thin"/>
      <bottom style="thin"/>
    </border>
    <border>
      <left style="thin"/>
      <right/>
      <top style="thin"/>
      <bottom/>
    </border>
  </borders>
  <cellStyleXfs count="2">
    <xf numFmtId="0" fontId="23" fillId="0" borderId="0"/>
    <xf numFmtId="9" fontId="23" fillId="0" borderId="0" applyAlignment="1">
      <alignment vertical="center"/>
    </xf>
  </cellStyleXfs>
  <cellXfs count="204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14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0" fontId="18" fillId="0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center" vertical="center" wrapText="1"/>
    </xf>
    <xf numFmtId="2" fontId="18" fillId="0" borderId="1" applyAlignment="1" pivotButton="0" quotePrefix="0" xfId="0">
      <alignment horizontal="center" vertical="center" wrapText="1"/>
    </xf>
    <xf numFmtId="0" fontId="19" fillId="0" borderId="0" pivotButton="0" quotePrefix="0" xfId="0"/>
    <xf numFmtId="10" fontId="21" fillId="0" borderId="1" applyAlignment="1" pivotButton="0" quotePrefix="0" xfId="0">
      <alignment horizontal="center" vertical="center" wrapText="1"/>
    </xf>
    <xf numFmtId="10" fontId="20" fillId="0" borderId="1" applyAlignment="1" pivotButton="0" quotePrefix="0" xfId="0">
      <alignment horizontal="center" vertical="center" wrapText="1"/>
    </xf>
    <xf numFmtId="2" fontId="20" fillId="0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15" fillId="0" borderId="0" applyAlignment="1" pivotButton="0" quotePrefix="0" xfId="0">
      <alignment vertical="center"/>
    </xf>
    <xf numFmtId="0" fontId="0" fillId="0" borderId="0" pivotButton="0" quotePrefix="0" xfId="0"/>
    <xf numFmtId="0" fontId="17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2" fillId="7" borderId="4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0" borderId="0" pivotButton="0" quotePrefix="0" xfId="0"/>
    <xf numFmtId="165" fontId="10" fillId="6" borderId="1" applyAlignment="1" pivotButton="0" quotePrefix="0" xfId="0">
      <alignment horizontal="center" vertical="center" wrapText="1"/>
    </xf>
    <xf numFmtId="166" fontId="20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164" fontId="6" fillId="2" borderId="1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4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4" borderId="4" applyAlignment="1" pivotButton="0" quotePrefix="0" xfId="0">
      <alignment horizontal="center" vertical="center" wrapText="1"/>
    </xf>
    <xf numFmtId="10" fontId="0" fillId="0" borderId="0" pivotButton="0" quotePrefix="0" xfId="1"/>
    <xf numFmtId="0" fontId="24" fillId="8" borderId="7" pivotButton="0" quotePrefix="0" xfId="0"/>
    <xf numFmtId="0" fontId="24" fillId="8" borderId="8" pivotButton="0" quotePrefix="0" xfId="0"/>
    <xf numFmtId="0" fontId="16" fillId="9" borderId="8" pivotButton="0" quotePrefix="0" xfId="0"/>
    <xf numFmtId="10" fontId="16" fillId="9" borderId="8" applyAlignment="1" pivotButton="0" quotePrefix="0" xfId="1">
      <alignment horizontal="center" vertical="center"/>
    </xf>
    <xf numFmtId="0" fontId="16" fillId="0" borderId="8" pivotButton="0" quotePrefix="0" xfId="0"/>
    <xf numFmtId="10" fontId="16" fillId="0" borderId="8" applyAlignment="1" pivotButton="0" quotePrefix="0" xfId="1">
      <alignment horizontal="center" vertical="center"/>
    </xf>
    <xf numFmtId="0" fontId="16" fillId="0" borderId="5" pivotButton="0" quotePrefix="0" xfId="0"/>
    <xf numFmtId="10" fontId="16" fillId="0" borderId="5" applyAlignment="1" pivotButton="0" quotePrefix="0" xfId="1">
      <alignment horizontal="center" vertical="center"/>
    </xf>
    <xf numFmtId="0" fontId="25" fillId="9" borderId="7" applyAlignment="1" pivotButton="0" quotePrefix="0" xfId="0">
      <alignment horizontal="center" vertical="center"/>
    </xf>
    <xf numFmtId="0" fontId="25" fillId="9" borderId="8" pivotButton="0" quotePrefix="0" xfId="0"/>
    <xf numFmtId="0" fontId="25" fillId="9" borderId="8" applyAlignment="1" pivotButton="0" quotePrefix="0" xfId="0">
      <alignment horizontal="center" vertical="center"/>
    </xf>
    <xf numFmtId="10" fontId="26" fillId="9" borderId="8" applyAlignment="1" pivotButton="0" quotePrefix="0" xfId="1">
      <alignment horizontal="center" vertical="center"/>
    </xf>
    <xf numFmtId="10" fontId="27" fillId="9" borderId="9" applyAlignment="1" pivotButton="0" quotePrefix="0" xfId="0">
      <alignment horizontal="center" vertical="center"/>
    </xf>
    <xf numFmtId="10" fontId="28" fillId="0" borderId="9" applyAlignment="1" pivotButton="0" quotePrefix="0" xfId="1">
      <alignment horizontal="center" vertical="center"/>
    </xf>
    <xf numFmtId="10" fontId="28" fillId="9" borderId="9" applyAlignment="1" pivotButton="0" quotePrefix="0" xfId="1">
      <alignment horizontal="center" vertical="center"/>
    </xf>
    <xf numFmtId="10" fontId="28" fillId="0" borderId="6" applyAlignment="1" pivotButton="0" quotePrefix="0" xfId="1">
      <alignment horizontal="center" vertical="center"/>
    </xf>
    <xf numFmtId="0" fontId="24" fillId="8" borderId="8" applyAlignment="1" pivotButton="0" quotePrefix="0" xfId="0">
      <alignment horizontal="center" vertical="center"/>
    </xf>
    <xf numFmtId="10" fontId="24" fillId="8" borderId="8" applyAlignment="1" pivotButton="0" quotePrefix="0" xfId="1">
      <alignment vertical="center"/>
    </xf>
    <xf numFmtId="10" fontId="24" fillId="8" borderId="9" applyAlignment="1" pivotButton="0" quotePrefix="0" xfId="0">
      <alignment vertical="center"/>
    </xf>
    <xf numFmtId="0" fontId="16" fillId="0" borderId="8" applyAlignment="1" pivotButton="0" quotePrefix="0" xfId="0">
      <alignment horizontal="left" vertical="center"/>
    </xf>
    <xf numFmtId="0" fontId="16" fillId="9" borderId="8" applyAlignment="1" pivotButton="0" quotePrefix="0" xfId="0">
      <alignment horizontal="left" vertical="center"/>
    </xf>
    <xf numFmtId="0" fontId="16" fillId="0" borderId="5" applyAlignment="1" pivotButton="0" quotePrefix="0" xfId="0">
      <alignment horizontal="left" vertical="center"/>
    </xf>
    <xf numFmtId="10" fontId="27" fillId="9" borderId="8" applyAlignment="1" pivotButton="0" quotePrefix="0" xfId="1">
      <alignment horizontal="center" vertical="center"/>
    </xf>
    <xf numFmtId="10" fontId="29" fillId="0" borderId="8" applyAlignment="1" pivotButton="0" quotePrefix="0" xfId="1">
      <alignment horizontal="center" vertical="center"/>
    </xf>
    <xf numFmtId="0" fontId="0" fillId="0" borderId="0" pivotButton="0" quotePrefix="0" xfId="0"/>
    <xf numFmtId="14" fontId="0" fillId="10" borderId="0" pivotButton="0" quotePrefix="0" xfId="0"/>
    <xf numFmtId="0" fontId="4" fillId="5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/>
    </xf>
    <xf numFmtId="10" fontId="6" fillId="0" borderId="4" applyAlignment="1" pivotButton="0" quotePrefix="0" xfId="0">
      <alignment horizontal="center" vertical="center" wrapText="1"/>
    </xf>
    <xf numFmtId="164" fontId="4" fillId="6" borderId="4" applyAlignment="1" pivotButton="0" quotePrefix="0" xfId="0">
      <alignment horizontal="center" vertical="center" wrapText="1"/>
    </xf>
    <xf numFmtId="165" fontId="6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165" fontId="10" fillId="6" borderId="4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10" fontId="0" fillId="0" borderId="0" pivotButton="0" quotePrefix="0" xfId="0"/>
    <xf numFmtId="167" fontId="0" fillId="0" borderId="0" pivotButton="0" quotePrefix="0" xfId="0"/>
    <xf numFmtId="9" fontId="25" fillId="9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0" fillId="0" borderId="0" pivotButton="0" quotePrefix="0" xfId="0"/>
    <xf numFmtId="0" fontId="11" fillId="4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17" fillId="0" borderId="4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4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/>
    </xf>
    <xf numFmtId="0" fontId="0" fillId="0" borderId="12" pivotButton="0" quotePrefix="0" xfId="0"/>
    <xf numFmtId="0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 wrapText="1"/>
    </xf>
    <xf numFmtId="164" fontId="22" fillId="7" borderId="4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0" borderId="0" pivotButton="0" quotePrefix="0" xfId="0"/>
    <xf numFmtId="165" fontId="10" fillId="6" borderId="1" applyAlignment="1" pivotButton="0" quotePrefix="0" xfId="0">
      <alignment horizontal="center" vertical="center" wrapText="1"/>
    </xf>
    <xf numFmtId="166" fontId="20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164" fontId="6" fillId="2" borderId="1" pivotButton="0" quotePrefix="0" xfId="0"/>
    <xf numFmtId="10" fontId="24" fillId="8" borderId="19" applyAlignment="1" pivotButton="0" quotePrefix="0" xfId="0">
      <alignment vertical="center"/>
    </xf>
    <xf numFmtId="0" fontId="24" fillId="8" borderId="17" applyAlignment="1" pivotButton="0" quotePrefix="0" xfId="0">
      <alignment vertical="center"/>
    </xf>
    <xf numFmtId="0" fontId="24" fillId="8" borderId="18" applyAlignment="1" pivotButton="0" quotePrefix="0" xfId="0">
      <alignment vertical="center"/>
    </xf>
    <xf numFmtId="10" fontId="27" fillId="9" borderId="19" applyAlignment="1" pivotButton="0" quotePrefix="0" xfId="0">
      <alignment horizontal="center" vertical="center"/>
    </xf>
    <xf numFmtId="10" fontId="25" fillId="9" borderId="17" applyAlignment="1" pivotButton="0" quotePrefix="0" xfId="0">
      <alignment horizontal="center" vertical="center"/>
    </xf>
    <xf numFmtId="2" fontId="25" fillId="9" borderId="17" applyAlignment="1" pivotButton="0" quotePrefix="0" xfId="0">
      <alignment horizontal="center" vertical="center"/>
    </xf>
    <xf numFmtId="2" fontId="25" fillId="9" borderId="18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 vertical="center" wrapText="1"/>
    </xf>
    <xf numFmtId="0" fontId="30" fillId="0" borderId="5" applyAlignment="1" pivotButton="0" quotePrefix="0" xfId="0">
      <alignment horizontal="center" vertical="center" wrapText="1"/>
    </xf>
    <xf numFmtId="10" fontId="28" fillId="0" borderId="19" applyAlignment="1" pivotButton="0" quotePrefix="0" xfId="1">
      <alignment horizontal="center" vertical="center"/>
    </xf>
    <xf numFmtId="10" fontId="16" fillId="0" borderId="17" applyAlignment="1" pivotButton="0" quotePrefix="0" xfId="0">
      <alignment horizontal="center" vertical="center"/>
    </xf>
    <xf numFmtId="2" fontId="16" fillId="0" borderId="17" applyAlignment="1" pivotButton="0" quotePrefix="0" xfId="0">
      <alignment horizontal="center" vertical="center"/>
    </xf>
    <xf numFmtId="2" fontId="16" fillId="0" borderId="18" applyAlignment="1" pivotButton="0" quotePrefix="0" xfId="0">
      <alignment horizontal="center" vertical="center"/>
    </xf>
    <xf numFmtId="0" fontId="0" fillId="0" borderId="10" pivotButton="0" quotePrefix="0" xfId="0"/>
    <xf numFmtId="10" fontId="28" fillId="9" borderId="19" applyAlignment="1" pivotButton="0" quotePrefix="0" xfId="1">
      <alignment horizontal="center" vertical="center"/>
    </xf>
    <xf numFmtId="10" fontId="16" fillId="9" borderId="17" applyAlignment="1" pivotButton="0" quotePrefix="0" xfId="0">
      <alignment horizontal="center" vertical="center"/>
    </xf>
    <xf numFmtId="2" fontId="16" fillId="9" borderId="17" applyAlignment="1" pivotButton="0" quotePrefix="0" xfId="0">
      <alignment horizontal="center" vertical="center"/>
    </xf>
    <xf numFmtId="2" fontId="16" fillId="9" borderId="1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10" fontId="28" fillId="0" borderId="22" applyAlignment="1" pivotButton="0" quotePrefix="0" xfId="1">
      <alignment horizontal="center" vertical="center"/>
    </xf>
    <xf numFmtId="10" fontId="16" fillId="0" borderId="20" applyAlignment="1" pivotButton="0" quotePrefix="0" xfId="0">
      <alignment horizontal="center" vertical="center"/>
    </xf>
    <xf numFmtId="2" fontId="16" fillId="0" borderId="20" applyAlignment="1" pivotButton="0" quotePrefix="0" xfId="0">
      <alignment horizontal="center" vertical="center"/>
    </xf>
    <xf numFmtId="2" fontId="16" fillId="0" borderId="21" applyAlignment="1" pivotButton="0" quotePrefix="0" xfId="0">
      <alignment horizontal="center" vertic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3" fillId="0" borderId="23" pivotButton="0" quotePrefix="0" xfId="0"/>
    <xf numFmtId="168" fontId="0" fillId="0" borderId="0" pivotButton="0" quotePrefix="0" xfId="0"/>
    <xf numFmtId="166" fontId="0" fillId="0" borderId="0" pivotButton="0" quotePrefix="0" xfId="0"/>
    <xf numFmtId="0" fontId="33" fillId="0" borderId="0" applyAlignment="1" pivotButton="0" quotePrefix="0" xfId="0">
      <alignment horizontal="right"/>
    </xf>
    <xf numFmtId="0" fontId="35" fillId="11" borderId="0" pivotButton="0" quotePrefix="0" xfId="0"/>
    <xf numFmtId="0" fontId="36" fillId="12" borderId="24" applyAlignment="1" pivotButton="0" quotePrefix="0" xfId="0">
      <alignment horizontal="center" vertical="center"/>
    </xf>
    <xf numFmtId="0" fontId="36" fillId="12" borderId="25" applyAlignment="1" pivotButton="0" quotePrefix="0" xfId="0">
      <alignment horizontal="center" vertical="center"/>
    </xf>
    <xf numFmtId="0" fontId="36" fillId="12" borderId="26" applyAlignment="1" pivotButton="0" quotePrefix="0" xfId="0">
      <alignment horizontal="center" vertical="center"/>
    </xf>
    <xf numFmtId="0" fontId="37" fillId="13" borderId="27" pivotButton="0" quotePrefix="0" xfId="0"/>
    <xf numFmtId="9" fontId="37" fillId="13" borderId="29" applyAlignment="1" pivotButton="0" quotePrefix="0" xfId="0">
      <alignment horizontal="center"/>
    </xf>
    <xf numFmtId="0" fontId="38" fillId="13" borderId="29" applyAlignment="1" pivotButton="0" quotePrefix="0" xfId="0">
      <alignment horizontal="center"/>
    </xf>
    <xf numFmtId="0" fontId="37" fillId="13" borderId="29" pivotButton="0" quotePrefix="0" xfId="0"/>
    <xf numFmtId="10" fontId="39" fillId="13" borderId="29" pivotButton="0" quotePrefix="0" xfId="0"/>
    <xf numFmtId="10" fontId="40" fillId="13" borderId="29" pivotButton="0" quotePrefix="0" xfId="0"/>
    <xf numFmtId="10" fontId="37" fillId="13" borderId="29" pivotButton="0" quotePrefix="0" xfId="0"/>
    <xf numFmtId="2" fontId="37" fillId="13" borderId="29" pivotButton="0" quotePrefix="0" xfId="0"/>
    <xf numFmtId="10" fontId="37" fillId="13" borderId="30" pivotButton="0" quotePrefix="0" xfId="0"/>
    <xf numFmtId="0" fontId="0" fillId="0" borderId="28" pivotButton="0" quotePrefix="0" xfId="0"/>
    <xf numFmtId="9" fontId="37" fillId="0" borderId="29" applyAlignment="1" pivotButton="0" quotePrefix="0" xfId="0">
      <alignment horizontal="center"/>
    </xf>
    <xf numFmtId="0" fontId="38" fillId="0" borderId="29" applyAlignment="1" pivotButton="0" quotePrefix="0" xfId="0">
      <alignment horizontal="center"/>
    </xf>
    <xf numFmtId="0" fontId="37" fillId="0" borderId="29" pivotButton="0" quotePrefix="0" xfId="0"/>
    <xf numFmtId="10" fontId="39" fillId="0" borderId="29" pivotButton="0" quotePrefix="0" xfId="0"/>
    <xf numFmtId="10" fontId="40" fillId="0" borderId="29" pivotButton="0" quotePrefix="0" xfId="0"/>
    <xf numFmtId="10" fontId="37" fillId="0" borderId="29" pivotButton="0" quotePrefix="0" xfId="0"/>
    <xf numFmtId="2" fontId="37" fillId="0" borderId="29" pivotButton="0" quotePrefix="0" xfId="0"/>
    <xf numFmtId="10" fontId="37" fillId="0" borderId="30" pivotButton="0" quotePrefix="0" xfId="0"/>
    <xf numFmtId="0" fontId="38" fillId="13" borderId="24" pivotButton="0" quotePrefix="0" xfId="0"/>
    <xf numFmtId="0" fontId="38" fillId="13" borderId="25" applyAlignment="1" pivotButton="0" quotePrefix="0" xfId="0">
      <alignment horizontal="center"/>
    </xf>
    <xf numFmtId="0" fontId="38" fillId="13" borderId="29" pivotButton="0" quotePrefix="0" xfId="0"/>
    <xf numFmtId="10" fontId="38" fillId="13" borderId="29" pivotButton="0" quotePrefix="0" xfId="0"/>
    <xf numFmtId="10" fontId="41" fillId="13" borderId="29" pivotButton="0" quotePrefix="0" xfId="0"/>
    <xf numFmtId="2" fontId="38" fillId="13" borderId="29" pivotButton="0" quotePrefix="0" xfId="0"/>
    <xf numFmtId="10" fontId="38" fillId="13" borderId="30" pivotButton="0" quotePrefix="0" xfId="0"/>
    <xf numFmtId="0" fontId="38" fillId="0" borderId="29" pivotButton="0" quotePrefix="0" xfId="0"/>
    <xf numFmtId="10" fontId="38" fillId="0" borderId="29" pivotButton="0" quotePrefix="0" xfId="0"/>
    <xf numFmtId="10" fontId="41" fillId="0" borderId="29" pivotButton="0" quotePrefix="0" xfId="0"/>
    <xf numFmtId="2" fontId="38" fillId="0" borderId="29" pivotButton="0" quotePrefix="0" xfId="0"/>
    <xf numFmtId="10" fontId="38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38" fillId="13" borderId="25" pivotButton="0" quotePrefix="0" xfId="0"/>
    <xf numFmtId="10" fontId="38" fillId="13" borderId="25" pivotButton="0" quotePrefix="0" xfId="0"/>
    <xf numFmtId="10" fontId="41" fillId="13" borderId="25" pivotButton="0" quotePrefix="0" xfId="0"/>
    <xf numFmtId="2" fontId="38" fillId="13" borderId="25" pivotButton="0" quotePrefix="0" xfId="0"/>
    <xf numFmtId="10" fontId="38" fillId="13" borderId="26" pivotButton="0" quotePrefix="0" xfId="0"/>
    <xf numFmtId="164" fontId="4" fillId="6" borderId="4" applyAlignment="1" pivotButton="0" quotePrefix="0" xfId="0">
      <alignment horizontal="center" vertical="center" wrapText="1"/>
    </xf>
    <xf numFmtId="165" fontId="6" fillId="6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165" fontId="10" fillId="6" borderId="4" applyAlignment="1" pivotButton="0" quotePrefix="0" xfId="0">
      <alignment horizontal="center" vertical="center" wrapText="1"/>
    </xf>
    <xf numFmtId="167" fontId="0" fillId="0" borderId="0" pivotButton="0" quotePrefix="0" xfId="0"/>
    <xf numFmtId="0" fontId="37" fillId="13" borderId="35" pivotButton="0" quotePrefix="0" xfId="0"/>
    <xf numFmtId="0" fontId="38" fillId="13" borderId="33" pivotButton="0" quotePrefix="0" xfId="0"/>
    <xf numFmtId="0" fontId="38" fillId="13" borderId="34" applyAlignment="1" pivotButton="0" quotePrefix="0" xfId="0">
      <alignment horizontal="center"/>
    </xf>
  </cellXfs>
  <cellStyles count="2">
    <cellStyle name="常规" xfId="0" builtinId="0"/>
    <cellStyle name="百分比" xfId="1" builtinId="5"/>
  </cellStyles>
  <dxfs count="32"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zh-CN"/>
              <a:t xml:space="preserve">10-90 </a:t>
            </a:r>
            <a:r>
              <a:rPr lang="zh-CN" altLang="en-US"/>
              <a:t>组合净值</a:t>
            </a:r>
          </a:p>
        </rich>
      </tx>
      <layout/>
      <overlay val="1"/>
    </title>
    <plotArea>
      <layout/>
      <lineChart>
        <grouping val="standard"/>
        <varyColors val="1"/>
        <ser>
          <idx val="0"/>
          <order val="0"/>
          <tx>
            <strRef>
              <f>组合净值!$B$5</f>
              <strCache>
                <ptCount val="1"/>
                <pt idx="0">
                  <v>净值</v>
                </pt>
              </strCache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组合净值!$A$6:$A$60</f>
              <strCache>
                <ptCount val="25"/>
                <pt idx="0">
                  <v>2026-05-29</v>
                </pt>
                <pt idx="1">
                  <v>2026-06-01</v>
                </pt>
                <pt idx="2">
                  <v>2026-06-02</v>
                </pt>
                <pt idx="3">
                  <v>2026-06-03</v>
                </pt>
                <pt idx="4">
                  <v>2026-06-04</v>
                </pt>
                <pt idx="5">
                  <v>2026-06-05</v>
                </pt>
                <pt idx="6">
                  <v>2026-06-08</v>
                </pt>
                <pt idx="7">
                  <v>2026-06-09</v>
                </pt>
                <pt idx="8">
                  <v>2026-06-10</v>
                </pt>
                <pt idx="9">
                  <v>2026-06-11</v>
                </pt>
                <pt idx="10">
                  <v>2026-06-12</v>
                </pt>
                <pt idx="11">
                  <v>2026-06-15</v>
                </pt>
                <pt idx="12">
                  <v>2026-06-16</v>
                </pt>
                <pt idx="13">
                  <v>2026-06-17</v>
                </pt>
                <pt idx="14">
                  <v>2026-06-18</v>
                </pt>
                <pt idx="15">
                  <v>2026-06-22</v>
                </pt>
                <pt idx="16">
                  <v>2026-06-23</v>
                </pt>
                <pt idx="17">
                  <v>2026-06-24</v>
                </pt>
                <pt idx="18">
                  <v>2026-06-25</v>
                </pt>
                <pt idx="19">
                  <v>2026-06-26</v>
                </pt>
                <pt idx="20">
                  <v>2026-06-29</v>
                </pt>
                <pt idx="21">
                  <v>2026-06-30</v>
                </pt>
                <pt idx="22">
                  <v>2026-07-01</v>
                </pt>
                <pt idx="23">
                  <v>2026-07-02</v>
                </pt>
                <pt idx="24">
                  <v>2026-07-03</v>
                </pt>
              </strCache>
            </strRef>
          </cat>
          <val>
            <numRef>
              <f>组合净值!$B$6:$B$60</f>
              <numCache>
                <formatCode>0.0000</formatCode>
                <ptCount val="55"/>
                <pt idx="0">
                  <v>1</v>
                </pt>
                <pt idx="1">
                  <v>0.9976557721098458</v>
                </pt>
                <pt idx="2">
                  <v>1.000486072547156</v>
                </pt>
                <pt idx="3">
                  <v>1.001912946970136</v>
                </pt>
                <pt idx="4">
                  <v>1.002762651007961</v>
                </pt>
                <pt idx="5">
                  <v>0.9997803876746775</v>
                </pt>
                <pt idx="6">
                  <v>0.9946340816047595</v>
                </pt>
                <pt idx="7">
                  <v>0.9981046698427399</v>
                </pt>
                <pt idx="8">
                  <v>0.9941620951008923</v>
                </pt>
                <pt idx="9">
                  <v>0.9928267903702865</v>
                </pt>
                <pt idx="10">
                  <v>0.9940559941198057</v>
                </pt>
                <pt idx="11">
                  <v>1.000816908969791</v>
                </pt>
                <pt idx="12">
                  <v>1.003554017853399</v>
                </pt>
                <pt idx="13">
                  <v>1.006226330238108</v>
                </pt>
                <pt idx="14">
                  <v>1.008118281518049</v>
                </pt>
                <pt idx="15">
                  <v>1.009350042155804</v>
                </pt>
                <pt idx="16">
                  <v>1.006093700146494</v>
                </pt>
                <pt idx="17">
                  <v>1.008384388052451</v>
                </pt>
                <pt idx="18">
                  <v>1.010244726270988</v>
                </pt>
                <pt idx="19">
                  <v>1.007560778510605</v>
                </pt>
                <pt idx="20">
                  <v>1.009258190599521</v>
                </pt>
                <pt idx="21">
                  <v>1.011899448548973</v>
                </pt>
                <pt idx="22">
                  <v>1.008911745648657</v>
                </pt>
                <pt idx="23">
                  <v>1.003015717974514</v>
                </pt>
                <pt idx="24">
                  <v>1.003882173219668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55615040"/>
        <axId val="1555613952"/>
      </lineChart>
      <dateAx>
        <axId val="1555615040"/>
        <scaling>
          <orientation val="minMax"/>
          <min val="46171"/>
        </scaling>
        <delete val="0"/>
        <axPos val="b"/>
        <numFmt formatCode="mm\-dd" sourceLinked="0"/>
        <majorTickMark val="out"/>
        <minorTickMark val="none"/>
        <tickLblPos val="nextTo"/>
        <crossAx val="1555613952"/>
        <crosses val="autoZero"/>
        <lblOffset val="100"/>
        <baseTimeUnit val="days"/>
      </dateAx>
      <valAx>
        <axId val="1555613952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155561504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zh-CN"/>
              <a:t xml:space="preserve">20-80 </a:t>
            </a:r>
            <a:r>
              <a:rPr lang="zh-CN" altLang="en-US"/>
              <a:t>组合净值</a:t>
            </a:r>
          </a:p>
        </rich>
      </tx>
      <layout/>
      <overlay val="1"/>
    </title>
    <plotArea>
      <layout/>
      <lineChart>
        <grouping val="standard"/>
        <varyColors val="1"/>
        <ser>
          <idx val="0"/>
          <order val="0"/>
          <tx>
            <strRef>
              <f>组合净值!$E$5</f>
              <strCache>
                <ptCount val="1"/>
                <pt idx="0">
                  <v>净值</v>
                </pt>
              </strCache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组合净值!$A$6:$A$60</f>
              <strCache>
                <ptCount val="25"/>
                <pt idx="0">
                  <v>2026-05-29</v>
                </pt>
                <pt idx="1">
                  <v>2026-06-01</v>
                </pt>
                <pt idx="2">
                  <v>2026-06-02</v>
                </pt>
                <pt idx="3">
                  <v>2026-06-03</v>
                </pt>
                <pt idx="4">
                  <v>2026-06-04</v>
                </pt>
                <pt idx="5">
                  <v>2026-06-05</v>
                </pt>
                <pt idx="6">
                  <v>2026-06-08</v>
                </pt>
                <pt idx="7">
                  <v>2026-06-09</v>
                </pt>
                <pt idx="8">
                  <v>2026-06-10</v>
                </pt>
                <pt idx="9">
                  <v>2026-06-11</v>
                </pt>
                <pt idx="10">
                  <v>2026-06-12</v>
                </pt>
                <pt idx="11">
                  <v>2026-06-15</v>
                </pt>
                <pt idx="12">
                  <v>2026-06-16</v>
                </pt>
                <pt idx="13">
                  <v>2026-06-17</v>
                </pt>
                <pt idx="14">
                  <v>2026-06-18</v>
                </pt>
                <pt idx="15">
                  <v>2026-06-22</v>
                </pt>
                <pt idx="16">
                  <v>2026-06-23</v>
                </pt>
                <pt idx="17">
                  <v>2026-06-24</v>
                </pt>
                <pt idx="18">
                  <v>2026-06-25</v>
                </pt>
                <pt idx="19">
                  <v>2026-06-26</v>
                </pt>
                <pt idx="20">
                  <v>2026-06-29</v>
                </pt>
                <pt idx="21">
                  <v>2026-06-30</v>
                </pt>
                <pt idx="22">
                  <v>2026-07-01</v>
                </pt>
                <pt idx="23">
                  <v>2026-07-02</v>
                </pt>
                <pt idx="24">
                  <v>2026-07-03</v>
                </pt>
              </strCache>
            </strRef>
          </cat>
          <val>
            <numRef>
              <f>组合净值!$E$6:$E$60</f>
              <numCache>
                <formatCode>0.0000</formatCode>
                <ptCount val="55"/>
                <pt idx="0">
                  <v>1</v>
                </pt>
                <pt idx="1">
                  <v>0.9947085228270713</v>
                </pt>
                <pt idx="2">
                  <v>1.000031896321678</v>
                </pt>
                <pt idx="3">
                  <v>1.003944965166608</v>
                </pt>
                <pt idx="4">
                  <v>1.004998794267315</v>
                </pt>
                <pt idx="5">
                  <v>0.9996242890837457</v>
                </pt>
                <pt idx="6">
                  <v>0.9914081224122111</v>
                </pt>
                <pt idx="7">
                  <v>0.9988441978670628</v>
                </pt>
                <pt idx="8">
                  <v>0.9932877013416346</v>
                </pt>
                <pt idx="9">
                  <v>0.9921983735100572</v>
                </pt>
                <pt idx="10">
                  <v>0.9935389937428041</v>
                </pt>
                <pt idx="11">
                  <v>1.005246689708581</v>
                </pt>
                <pt idx="12">
                  <v>1.009705596326193</v>
                </pt>
                <pt idx="13">
                  <v>1.014486111933935</v>
                </pt>
                <pt idx="14">
                  <v>1.018168551567722</v>
                </pt>
                <pt idx="15">
                  <v>1.02163808290812</v>
                </pt>
                <pt idx="16">
                  <v>1.016303754338997</v>
                </pt>
                <pt idx="17">
                  <v>1.021191979014618</v>
                </pt>
                <pt idx="18">
                  <v>1.025221547510602</v>
                </pt>
                <pt idx="19">
                  <v>1.019171138918485</v>
                </pt>
                <pt idx="20">
                  <v>1.021494299456386</v>
                </pt>
                <pt idx="21">
                  <v>1.027984021755385</v>
                </pt>
                <pt idx="22">
                  <v>1.023372951533594</v>
                </pt>
                <pt idx="23">
                  <v>1.010564878193649</v>
                </pt>
                <pt idx="24">
                  <v>1.011305233395874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55610688"/>
        <axId val="1555614496"/>
      </lineChart>
      <dateAx>
        <axId val="1555610688"/>
        <scaling>
          <orientation val="minMax"/>
          <min val="46171"/>
        </scaling>
        <delete val="0"/>
        <axPos val="b"/>
        <numFmt formatCode="mm\-dd" sourceLinked="0"/>
        <majorTickMark val="out"/>
        <minorTickMark val="none"/>
        <tickLblPos val="nextTo"/>
        <crossAx val="1555614496"/>
        <crosses val="autoZero"/>
        <lblOffset val="100"/>
        <baseTimeUnit val="days"/>
      </dateAx>
      <valAx>
        <axId val="1555614496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1555610688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zh-CN"/>
              <a:t xml:space="preserve">30-70 </a:t>
            </a:r>
            <a:r>
              <a:rPr lang="zh-CN" altLang="en-US"/>
              <a:t>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组合净值!$H$5</f>
              <strCache>
                <ptCount val="1"/>
                <pt idx="0">
                  <v>净值</v>
                </pt>
              </strCache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组合净值!$A$6:$A$60</f>
              <strCache>
                <ptCount val="25"/>
                <pt idx="0">
                  <v>2026-05-29</v>
                </pt>
                <pt idx="1">
                  <v>2026-06-01</v>
                </pt>
                <pt idx="2">
                  <v>2026-06-02</v>
                </pt>
                <pt idx="3">
                  <v>2026-06-03</v>
                </pt>
                <pt idx="4">
                  <v>2026-06-04</v>
                </pt>
                <pt idx="5">
                  <v>2026-06-05</v>
                </pt>
                <pt idx="6">
                  <v>2026-06-08</v>
                </pt>
                <pt idx="7">
                  <v>2026-06-09</v>
                </pt>
                <pt idx="8">
                  <v>2026-06-10</v>
                </pt>
                <pt idx="9">
                  <v>2026-06-11</v>
                </pt>
                <pt idx="10">
                  <v>2026-06-12</v>
                </pt>
                <pt idx="11">
                  <v>2026-06-15</v>
                </pt>
                <pt idx="12">
                  <v>2026-06-16</v>
                </pt>
                <pt idx="13">
                  <v>2026-06-17</v>
                </pt>
                <pt idx="14">
                  <v>2026-06-18</v>
                </pt>
                <pt idx="15">
                  <v>2026-06-22</v>
                </pt>
                <pt idx="16">
                  <v>2026-06-23</v>
                </pt>
                <pt idx="17">
                  <v>2026-06-24</v>
                </pt>
                <pt idx="18">
                  <v>2026-06-25</v>
                </pt>
                <pt idx="19">
                  <v>2026-06-26</v>
                </pt>
                <pt idx="20">
                  <v>2026-06-29</v>
                </pt>
                <pt idx="21">
                  <v>2026-06-30</v>
                </pt>
                <pt idx="22">
                  <v>2026-07-01</v>
                </pt>
                <pt idx="23">
                  <v>2026-07-02</v>
                </pt>
                <pt idx="24">
                  <v>2026-07-03</v>
                </pt>
              </strCache>
            </strRef>
          </cat>
          <val>
            <numRef>
              <f>组合净值!$H$6:$H$60</f>
              <numCache>
                <formatCode>0.0000</formatCode>
                <ptCount val="55"/>
                <pt idx="0">
                  <v>1</v>
                </pt>
                <pt idx="1">
                  <v>0.9915515762527327</v>
                </pt>
                <pt idx="2">
                  <v>0.9996618806715447</v>
                </pt>
                <pt idx="3">
                  <v>1.005397372909112</v>
                </pt>
                <pt idx="4">
                  <v>1.006708814258186</v>
                </pt>
                <pt idx="5">
                  <v>0.9989677785222683</v>
                </pt>
                <pt idx="6">
                  <v>0.9860557524556678</v>
                </pt>
                <pt idx="7">
                  <v>0.9976862210551197</v>
                </pt>
                <pt idx="8">
                  <v>0.9890777669818476</v>
                </pt>
                <pt idx="9">
                  <v>0.9872686576277386</v>
                </pt>
                <pt idx="10">
                  <v>0.9893013934665028</v>
                </pt>
                <pt idx="11">
                  <v>1.007448073589198</v>
                </pt>
                <pt idx="12">
                  <v>1.013776665671792</v>
                </pt>
                <pt idx="13">
                  <v>1.020581335620577</v>
                </pt>
                <pt idx="14">
                  <v>1.025891656669277</v>
                </pt>
                <pt idx="15">
                  <v>1.030491520136884</v>
                </pt>
                <pt idx="16">
                  <v>1.022352847741111</v>
                </pt>
                <pt idx="17">
                  <v>1.029596106371058</v>
                </pt>
                <pt idx="18">
                  <v>1.034782896585469</v>
                </pt>
                <pt idx="19">
                  <v>1.025788062039648</v>
                </pt>
                <pt idx="20">
                  <v>1.028885185803523</v>
                </pt>
                <pt idx="21">
                  <v>1.038847020322525</v>
                </pt>
                <pt idx="22">
                  <v>1.032193977077864</v>
                </pt>
                <pt idx="23">
                  <v>1.013397872254989</v>
                </pt>
                <pt idx="24">
                  <v>1.015234615977975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55611232"/>
        <axId val="1555609056"/>
      </lineChart>
      <dateAx>
        <axId val="1555611232"/>
        <scaling>
          <orientation val="minMax"/>
          <min val="46171"/>
        </scaling>
        <delete val="0"/>
        <axPos val="b"/>
        <numFmt formatCode="mm\-dd" sourceLinked="0"/>
        <majorTickMark val="out"/>
        <minorTickMark val="none"/>
        <tickLblPos val="nextTo"/>
        <crossAx val="1555609056"/>
        <crosses val="autoZero"/>
        <lblOffset val="100"/>
        <baseTimeUnit val="days"/>
      </dateAx>
      <valAx>
        <axId val="1555609056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1555611232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zh-CN" altLang="en-US"/>
              <a:t>产业趋势</a:t>
            </a:r>
            <a:r>
              <a:rPr lang="en-US" altLang="zh-CN" baseline="0"/>
              <a:t> </a:t>
            </a:r>
            <a:r>
              <a:rPr lang="zh-CN" altLang="en-US"/>
              <a:t>组合净值</a:t>
            </a:r>
          </a:p>
        </rich>
      </tx>
      <layout/>
      <overlay val="1"/>
    </title>
    <plotArea>
      <layout>
        <manualLayout>
          <layoutTarget val="inner"/>
          <xMode val="edge"/>
          <yMode val="edge"/>
          <wMode val="factor"/>
          <hMode val="factor"/>
          <x val="0.07176403508771929"/>
          <y val="0.04192875816993465"/>
          <w val="0.8985283625730994"/>
          <h val="0.7627915032679738"/>
        </manualLayout>
      </layout>
      <lineChart>
        <grouping val="standard"/>
        <varyColors val="1"/>
        <ser>
          <idx val="0"/>
          <order val="0"/>
          <tx>
            <strRef>
              <f>组合净值!$K$5</f>
              <strCache>
                <ptCount val="1"/>
                <pt idx="0">
                  <v>净值</v>
                </pt>
              </strCache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组合净值!$A$6:$A$60</f>
              <strCache>
                <ptCount val="25"/>
                <pt idx="0">
                  <v>2026-05-29</v>
                </pt>
                <pt idx="1">
                  <v>2026-06-01</v>
                </pt>
                <pt idx="2">
                  <v>2026-06-02</v>
                </pt>
                <pt idx="3">
                  <v>2026-06-03</v>
                </pt>
                <pt idx="4">
                  <v>2026-06-04</v>
                </pt>
                <pt idx="5">
                  <v>2026-06-05</v>
                </pt>
                <pt idx="6">
                  <v>2026-06-08</v>
                </pt>
                <pt idx="7">
                  <v>2026-06-09</v>
                </pt>
                <pt idx="8">
                  <v>2026-06-10</v>
                </pt>
                <pt idx="9">
                  <v>2026-06-11</v>
                </pt>
                <pt idx="10">
                  <v>2026-06-12</v>
                </pt>
                <pt idx="11">
                  <v>2026-06-15</v>
                </pt>
                <pt idx="12">
                  <v>2026-06-16</v>
                </pt>
                <pt idx="13">
                  <v>2026-06-17</v>
                </pt>
                <pt idx="14">
                  <v>2026-06-18</v>
                </pt>
                <pt idx="15">
                  <v>2026-06-22</v>
                </pt>
                <pt idx="16">
                  <v>2026-06-23</v>
                </pt>
                <pt idx="17">
                  <v>2026-06-24</v>
                </pt>
                <pt idx="18">
                  <v>2026-06-25</v>
                </pt>
                <pt idx="19">
                  <v>2026-06-26</v>
                </pt>
                <pt idx="20">
                  <v>2026-06-29</v>
                </pt>
                <pt idx="21">
                  <v>2026-06-30</v>
                </pt>
                <pt idx="22">
                  <v>2026-07-01</v>
                </pt>
                <pt idx="23">
                  <v>2026-07-02</v>
                </pt>
                <pt idx="24">
                  <v>2026-07-03</v>
                </pt>
              </strCache>
            </strRef>
          </cat>
          <val>
            <numRef>
              <f>组合净值!$K$6:$K$60</f>
              <numCache>
                <formatCode>0.0000</formatCode>
                <ptCount val="55"/>
                <pt idx="0">
                  <v>1</v>
                </pt>
                <pt idx="1">
                  <v>0.9494539534721699</v>
                </pt>
                <pt idx="2">
                  <v>0.9953768843603257</v>
                </pt>
                <pt idx="3">
                  <v>1.038473296118643</v>
                </pt>
                <pt idx="4">
                  <v>1.0479977699021</v>
                </pt>
                <pt idx="5">
                  <v>1.010999650670572</v>
                </pt>
                <pt idx="6">
                  <v>0.9797768081715887</v>
                </pt>
                <pt idx="7">
                  <v>1.034530480538204</v>
                </pt>
                <pt idx="8">
                  <v>1.01339417364939</v>
                </pt>
                <pt idx="9">
                  <v>1.021070451632299</v>
                </pt>
                <pt idx="10">
                  <v>1.014770227883325</v>
                </pt>
                <pt idx="11">
                  <v>1.080847444232549</v>
                </pt>
                <pt idx="12">
                  <v>1.106084049199864</v>
                </pt>
                <pt idx="13">
                  <v>1.141324948408482</v>
                </pt>
                <pt idx="14">
                  <v>1.171950413688834</v>
                </pt>
                <pt idx="15">
                  <v>1.199744123207153</v>
                </pt>
                <pt idx="16">
                  <v>1.175965323200994</v>
                </pt>
                <pt idx="17">
                  <v>1.218654118201208</v>
                </pt>
                <pt idx="18">
                  <v>1.258778663761842</v>
                </pt>
                <pt idx="19">
                  <v>1.223000547776218</v>
                </pt>
                <pt idx="20">
                  <v>1.235170189947759</v>
                </pt>
                <pt idx="21">
                  <v>1.289505985320283</v>
                </pt>
                <pt idx="22">
                  <v>1.249893141431007</v>
                </pt>
                <pt idx="23">
                  <v>1.140104371466507</v>
                </pt>
                <pt idx="24">
                  <v>1.131579186537655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55613408"/>
        <axId val="1555611776"/>
      </lineChart>
      <dateAx>
        <axId val="1555613408"/>
        <scaling>
          <orientation val="minMax"/>
          <min val="46171"/>
        </scaling>
        <delete val="0"/>
        <axPos val="b"/>
        <numFmt formatCode="mm\-dd" sourceLinked="0"/>
        <majorTickMark val="out"/>
        <minorTickMark val="none"/>
        <tickLblPos val="nextTo"/>
        <crossAx val="1555611776"/>
        <crosses val="autoZero"/>
        <lblOffset val="100"/>
        <baseTimeUnit val="days"/>
      </dateAx>
      <valAx>
        <axId val="1555611776"/>
        <scaling>
          <orientation val="minMax"/>
          <min val="0.9"/>
        </scaling>
        <delete val="0"/>
        <axPos val="l"/>
        <numFmt formatCode="0.0000" sourceLinked="0"/>
        <majorTickMark val="none"/>
        <minorTickMark val="none"/>
        <tickLblPos val="nextTo"/>
        <crossAx val="155561340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403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iFinD/ThsFunc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B11" sqref="B11"/>
    </sheetView>
  </sheetViews>
  <sheetFormatPr baseColWidth="8" defaultRowHeight="14"/>
  <cols>
    <col width="14" customWidth="1" style="89" min="1" max="1"/>
    <col width="13" customWidth="1" style="89" min="2" max="11"/>
    <col width="10" customWidth="1" style="89" min="15" max="15"/>
    <col width="12" customWidth="1" style="89" min="16" max="16"/>
  </cols>
  <sheetData>
    <row r="1" ht="19" customHeight="1" s="89">
      <c r="A1" s="88" t="inlineStr">
        <is>
          <t>持仓配置（初始权重）</t>
        </is>
      </c>
    </row>
    <row r="2" ht="26" customHeight="1" s="89">
      <c r="A2" s="29" t="inlineStr">
        <is>
          <t>基金简称</t>
        </is>
      </c>
      <c r="B2" s="3" t="inlineStr">
        <is>
          <t>宏利复兴混合A</t>
        </is>
      </c>
      <c r="C2" s="3" t="inlineStr">
        <is>
          <t>信澳业绩驱动A</t>
        </is>
      </c>
      <c r="D2" s="3" t="inlineStr">
        <is>
          <t>嘉实信息产业A</t>
        </is>
      </c>
      <c r="E2" s="3" t="inlineStr">
        <is>
          <t>银华集成电路混合A</t>
        </is>
      </c>
      <c r="F2" s="3" t="inlineStr">
        <is>
          <t>中欧中证500指增A</t>
        </is>
      </c>
      <c r="G2" s="3" t="inlineStr">
        <is>
          <t>天弘中证1000指增A</t>
        </is>
      </c>
      <c r="H2" s="3" t="inlineStr">
        <is>
          <t>华泰柏瑞中证2000指增A</t>
        </is>
      </c>
      <c r="I2" s="3" t="inlineStr">
        <is>
          <t>博道沪深300指增A</t>
        </is>
      </c>
      <c r="J2" s="3" t="inlineStr">
        <is>
          <t>易方达中债新综指LOFA</t>
        </is>
      </c>
      <c r="K2" s="3" t="inlineStr">
        <is>
          <t>华安黄金ETF联接A</t>
        </is>
      </c>
      <c r="L2" s="3" t="inlineStr">
        <is>
          <t>国泰半导体材料设备ETF联接A</t>
        </is>
      </c>
      <c r="M2" s="3" t="inlineStr">
        <is>
          <t>国泰通信设备ETF联接A</t>
        </is>
      </c>
      <c r="N2" s="3" t="inlineStr">
        <is>
          <t>嘉实快线货币A</t>
        </is>
      </c>
      <c r="O2" s="29" t="inlineStr">
        <is>
          <t>合计</t>
        </is>
      </c>
      <c r="P2" s="29" t="inlineStr">
        <is>
          <t>年化费率(年)</t>
        </is>
      </c>
    </row>
    <row r="3" ht="25" customHeight="1" s="89">
      <c r="A3" s="29" t="inlineStr">
        <is>
          <t>基金代码</t>
        </is>
      </c>
      <c r="B3" s="4" t="inlineStr">
        <is>
          <t>001170.OF</t>
        </is>
      </c>
      <c r="C3" s="4" t="inlineStr">
        <is>
          <t>016370.OF</t>
        </is>
      </c>
      <c r="D3" s="4" t="inlineStr">
        <is>
          <t>017488.OF</t>
        </is>
      </c>
      <c r="E3" s="4" t="inlineStr">
        <is>
          <t>013840.OF</t>
        </is>
      </c>
      <c r="F3" s="4" t="inlineStr">
        <is>
          <t>015453.OF</t>
        </is>
      </c>
      <c r="G3" s="4" t="inlineStr">
        <is>
          <t>014201.OF</t>
        </is>
      </c>
      <c r="H3" s="4" t="inlineStr">
        <is>
          <t>019923.OF</t>
        </is>
      </c>
      <c r="I3" s="4" t="inlineStr">
        <is>
          <t>007044.OF</t>
        </is>
      </c>
      <c r="J3" s="4" t="inlineStr">
        <is>
          <t>161119.OF</t>
        </is>
      </c>
      <c r="K3" s="4" t="inlineStr">
        <is>
          <t>000216.OF</t>
        </is>
      </c>
      <c r="L3" s="4" t="inlineStr">
        <is>
          <t>019632.OF</t>
        </is>
      </c>
      <c r="M3" s="4" t="inlineStr">
        <is>
          <t>007817.OF</t>
        </is>
      </c>
      <c r="N3" s="4" t="inlineStr">
        <is>
          <t>000917.OF</t>
        </is>
      </c>
      <c r="O3" s="4" t="n"/>
      <c r="P3" s="4" t="n"/>
    </row>
    <row r="4">
      <c r="A4" s="5" t="inlineStr">
        <is>
          <t>10-90 权重</t>
        </is>
      </c>
      <c r="B4" s="6" t="n">
        <v>0.01</v>
      </c>
      <c r="C4" s="6" t="n">
        <v>0.01</v>
      </c>
      <c r="D4" s="6" t="n">
        <v>0.01</v>
      </c>
      <c r="E4" s="6" t="n">
        <v>0.01</v>
      </c>
      <c r="F4" s="6" t="n">
        <v>0.0125</v>
      </c>
      <c r="G4" s="6" t="n">
        <v>0.0125</v>
      </c>
      <c r="H4" s="6" t="n">
        <v>0.0125</v>
      </c>
      <c r="I4" s="6" t="n">
        <v>0.0125</v>
      </c>
      <c r="J4" s="6" t="n">
        <v>0.83</v>
      </c>
      <c r="K4" s="6" t="n">
        <v>0.05</v>
      </c>
      <c r="L4" s="6" t="n">
        <v>0.005</v>
      </c>
      <c r="M4" s="6" t="n">
        <v>0.005</v>
      </c>
      <c r="N4" s="6" t="n">
        <v>0.02</v>
      </c>
      <c r="O4" s="112">
        <f>SUM(B4:N4)</f>
        <v/>
      </c>
      <c r="P4" s="113" t="n">
        <v>0.005</v>
      </c>
    </row>
    <row r="5">
      <c r="A5" s="5" t="inlineStr">
        <is>
          <t>20-80 权重</t>
        </is>
      </c>
      <c r="B5" s="6" t="n">
        <v>0.02</v>
      </c>
      <c r="C5" s="6" t="n">
        <v>0.02</v>
      </c>
      <c r="D5" s="6" t="n">
        <v>0.02</v>
      </c>
      <c r="E5" s="6" t="n">
        <v>0.02</v>
      </c>
      <c r="F5" s="6" t="n">
        <v>0.025</v>
      </c>
      <c r="G5" s="6" t="n">
        <v>0.025</v>
      </c>
      <c r="H5" s="6" t="n">
        <v>0.025</v>
      </c>
      <c r="I5" s="6" t="n">
        <v>0.025</v>
      </c>
      <c r="J5" s="6" t="n">
        <v>0.73</v>
      </c>
      <c r="K5" s="6" t="n">
        <v>0.05</v>
      </c>
      <c r="L5" s="6" t="n">
        <v>0.01</v>
      </c>
      <c r="M5" s="6" t="n">
        <v>0.01</v>
      </c>
      <c r="N5" s="6" t="n">
        <v>0.02</v>
      </c>
      <c r="O5" s="112">
        <f>SUM(B5:N5)</f>
        <v/>
      </c>
      <c r="P5" s="113" t="n">
        <v>0.01</v>
      </c>
    </row>
    <row r="6">
      <c r="A6" s="5" t="inlineStr">
        <is>
          <t>30-70 权重</t>
        </is>
      </c>
      <c r="B6" s="6" t="n">
        <v>0.03</v>
      </c>
      <c r="C6" s="6" t="n">
        <v>0.03</v>
      </c>
      <c r="D6" s="6" t="n">
        <v>0.03</v>
      </c>
      <c r="E6" s="6" t="n">
        <v>0.03</v>
      </c>
      <c r="F6" s="6" t="n">
        <v>0.0375</v>
      </c>
      <c r="G6" s="6" t="n">
        <v>0.0375</v>
      </c>
      <c r="H6" s="6" t="n">
        <v>0.0375</v>
      </c>
      <c r="I6" s="6" t="n">
        <v>0.0375</v>
      </c>
      <c r="J6" s="6" t="n">
        <v>0.58</v>
      </c>
      <c r="K6" s="6" t="n">
        <v>0.1</v>
      </c>
      <c r="L6" s="6" t="n">
        <v>0.015</v>
      </c>
      <c r="M6" s="6" t="n">
        <v>0.015</v>
      </c>
      <c r="N6" s="6" t="n">
        <v>0.02</v>
      </c>
      <c r="O6" s="112">
        <f>SUM(B6:N6)</f>
        <v/>
      </c>
      <c r="P6" s="113" t="n">
        <v>0.012</v>
      </c>
    </row>
    <row r="7">
      <c r="A7" s="5" t="inlineStr">
        <is>
          <t>增值 权重</t>
        </is>
      </c>
      <c r="B7" s="6" t="n">
        <v>0.19</v>
      </c>
      <c r="C7" s="6" t="n">
        <v>0.19</v>
      </c>
      <c r="D7" s="6" t="n">
        <v>0.19</v>
      </c>
      <c r="E7" s="6" t="n">
        <v>0.19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0.11</v>
      </c>
      <c r="M7" s="6" t="n">
        <v>0.11</v>
      </c>
      <c r="N7" s="6" t="n">
        <v>0.02</v>
      </c>
      <c r="O7" s="112">
        <f>SUM(B7:N7)</f>
        <v/>
      </c>
      <c r="P7" s="113" t="n">
        <v>0.012</v>
      </c>
    </row>
    <row r="8" ht="14.5" customHeight="1" s="89">
      <c r="A8" s="7" t="inlineStr">
        <is>
          <t>基准指数(参考，不计入组合)</t>
        </is>
      </c>
    </row>
    <row r="9">
      <c r="A9" s="2" t="inlineStr">
        <is>
          <t>科创创业50等权</t>
        </is>
      </c>
      <c r="B9" s="2" t="inlineStr">
        <is>
          <t>932381.CSI</t>
        </is>
      </c>
    </row>
    <row r="10">
      <c r="A10" s="2" t="inlineStr">
        <is>
          <t>中证800</t>
        </is>
      </c>
      <c r="B10" s="2" t="inlineStr">
        <is>
          <t>000906.SH</t>
        </is>
      </c>
    </row>
    <row r="11">
      <c r="A11" s="2" t="inlineStr">
        <is>
          <t>沪深300</t>
        </is>
      </c>
      <c r="B11" s="2" t="inlineStr">
        <is>
          <t>000300.SH</t>
        </is>
      </c>
    </row>
    <row r="12">
      <c r="A12" s="2" t="inlineStr">
        <is>
          <t>中证500</t>
        </is>
      </c>
      <c r="B12" s="2" t="inlineStr">
        <is>
          <t>000905.SH</t>
        </is>
      </c>
    </row>
    <row r="13">
      <c r="A13" s="2" t="inlineStr">
        <is>
          <t>中证1000</t>
        </is>
      </c>
      <c r="B13" s="2" t="inlineStr">
        <is>
          <t>000852.SH</t>
        </is>
      </c>
    </row>
    <row r="14">
      <c r="A14" s="2" t="inlineStr">
        <is>
          <t>中证2000</t>
        </is>
      </c>
      <c r="B14" s="2" t="inlineStr">
        <is>
          <t>932000.CSI</t>
        </is>
      </c>
    </row>
    <row r="16" ht="14.5" customHeight="1" s="89">
      <c r="A16" s="97" t="inlineStr">
        <is>
          <t>权重为蓝色输入；P列为各组合年化费率(蓝色输入，已折每日扣减)。下游净值与看板自动重算。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showGridLines="0" workbookViewId="0">
      <selection activeCell="C26" sqref="C26"/>
    </sheetView>
  </sheetViews>
  <sheetFormatPr baseColWidth="8" defaultRowHeight="14"/>
  <cols>
    <col width="13" customWidth="1" style="89" min="1" max="11"/>
  </cols>
  <sheetData>
    <row r="1" ht="19" customHeight="1" s="89">
      <c r="A1" s="88" t="inlineStr">
        <is>
          <t>净值数据 · iFinD 实时拉取（复权单位净值）</t>
        </is>
      </c>
    </row>
    <row r="2">
      <c r="A2" s="11">
        <f>TODAY()-1</f>
        <v/>
      </c>
    </row>
    <row r="3" ht="25" customHeight="1" s="89">
      <c r="A3" s="29" t="inlineStr">
        <is>
          <t>基金代码→</t>
        </is>
      </c>
      <c r="B3" s="8">
        <f>持仓配置!B3</f>
        <v/>
      </c>
      <c r="C3" s="8">
        <f>持仓配置!C3</f>
        <v/>
      </c>
      <c r="D3" s="8">
        <f>持仓配置!D3</f>
        <v/>
      </c>
      <c r="E3" s="8">
        <f>持仓配置!E3</f>
        <v/>
      </c>
      <c r="F3" s="8">
        <f>持仓配置!F3</f>
        <v/>
      </c>
      <c r="G3" s="8">
        <f>持仓配置!G3</f>
        <v/>
      </c>
      <c r="H3" s="8">
        <f>持仓配置!H3</f>
        <v/>
      </c>
      <c r="I3" s="8">
        <f>持仓配置!I3</f>
        <v/>
      </c>
      <c r="J3" s="8">
        <f>持仓配置!J3</f>
        <v/>
      </c>
      <c r="K3" s="8">
        <f>持仓配置!K3</f>
        <v/>
      </c>
      <c r="L3" s="8">
        <f>持仓配置!L3</f>
        <v/>
      </c>
      <c r="M3" s="8">
        <f>持仓配置!M3</f>
        <v/>
      </c>
      <c r="N3" s="8">
        <f>持仓配置!N3</f>
        <v/>
      </c>
    </row>
    <row r="4" ht="26" customHeight="1" s="89">
      <c r="A4" s="29">
        <f>[1]!HX_AutoDate(1,"2026-05-29",A2,-1,-1,0,0,0,0,0,"SSE",25,0)</f>
        <v/>
      </c>
      <c r="B4" s="3" t="inlineStr">
        <is>
          <t>宏利复兴混合A</t>
        </is>
      </c>
      <c r="C4" s="3" t="inlineStr">
        <is>
          <t>信澳业绩驱动A</t>
        </is>
      </c>
      <c r="D4" s="3" t="inlineStr">
        <is>
          <t>嘉实信息产业A</t>
        </is>
      </c>
      <c r="E4" s="3" t="inlineStr">
        <is>
          <t>银华集成电路混合A</t>
        </is>
      </c>
      <c r="F4" s="3" t="inlineStr">
        <is>
          <t>中欧中证500指增A</t>
        </is>
      </c>
      <c r="G4" s="3" t="inlineStr">
        <is>
          <t>天弘中证1000指增A</t>
        </is>
      </c>
      <c r="H4" s="3" t="inlineStr">
        <is>
          <t>华泰柏瑞中证2000指增A</t>
        </is>
      </c>
      <c r="I4" s="3" t="inlineStr">
        <is>
          <t>博道沪深300指增A</t>
        </is>
      </c>
      <c r="J4" s="3" t="inlineStr">
        <is>
          <t>易方达中债新综指LOFA</t>
        </is>
      </c>
      <c r="K4" s="3" t="inlineStr">
        <is>
          <t>华安黄金ETF联接A</t>
        </is>
      </c>
      <c r="L4" s="3" t="inlineStr">
        <is>
          <t>国泰半导体材料设备ETF联接A</t>
        </is>
      </c>
      <c r="M4" s="3" t="inlineStr">
        <is>
          <t>国泰通信设备ETF联接A</t>
        </is>
      </c>
      <c r="N4" s="3" t="inlineStr">
        <is>
          <t>嘉实快线货币A</t>
        </is>
      </c>
    </row>
    <row r="5">
      <c r="A5" s="114" t="n">
        <v>46171</v>
      </c>
      <c r="B5" s="115">
        <f>IF($A5="","",[1]!thsiFinD("ths_adjustment_nv_fund",B$3,$A5))</f>
        <v/>
      </c>
      <c r="C5" s="115">
        <f>IF($A5="","",[1]!thsiFinD("ths_adjustment_nv_fund",C$3,$A5))</f>
        <v/>
      </c>
      <c r="D5" s="115">
        <f>IF($A5="","",[1]!thsiFinD("ths_adjustment_nv_fund",D$3,$A5))</f>
        <v/>
      </c>
      <c r="E5" s="115">
        <f>IF($A5="","",[1]!thsiFinD("ths_adjustment_nv_fund",E$3,$A5))</f>
        <v/>
      </c>
      <c r="F5" s="115">
        <f>IF($A5="","",[1]!thsiFinD("ths_adjustment_nv_fund",F$3,$A5))</f>
        <v/>
      </c>
      <c r="G5" s="115">
        <f>IF($A5="","",[1]!thsiFinD("ths_adjustment_nv_fund",G$3,$A5))</f>
        <v/>
      </c>
      <c r="H5" s="115">
        <f>IF($A5="","",[1]!thsiFinD("ths_adjustment_nv_fund",H$3,$A5))</f>
        <v/>
      </c>
      <c r="I5" s="115">
        <f>IF($A5="","",[1]!thsiFinD("ths_adjustment_nv_fund",I$3,$A5))</f>
        <v/>
      </c>
      <c r="J5" s="115">
        <f>IF($A5="","",[1]!thsiFinD("ths_adjustment_nv_fund",J$3,$A5))</f>
        <v/>
      </c>
      <c r="K5" s="115">
        <f>IF($A5="","",[1]!thsiFinD("ths_adjustment_nv_fund",K$3,$A5))</f>
        <v/>
      </c>
      <c r="L5" s="115">
        <f>IF($A5="","",[1]!thsiFinD("ths_adjustment_nv_fund",L$3,$A5))</f>
        <v/>
      </c>
      <c r="M5" s="115">
        <f>IF($A5="","",[1]!thsiFinD("ths_adjustment_nv_fund",M$3,$A5))</f>
        <v/>
      </c>
      <c r="N5" s="115">
        <f>IF($A5="","",[1]!thsiFinD("ths_adjustment_nv_fund",N$3,$A5))</f>
        <v/>
      </c>
    </row>
    <row r="6">
      <c r="A6" s="114" t="n">
        <v>46174</v>
      </c>
      <c r="B6" s="115">
        <f>IF($A6="","",[1]!thsiFinD("ths_adjustment_nv_fund",B$3,$A6))</f>
        <v/>
      </c>
      <c r="C6" s="115">
        <f>IF($A6="","",[1]!thsiFinD("ths_adjustment_nv_fund",C$3,$A6))</f>
        <v/>
      </c>
      <c r="D6" s="115">
        <f>IF($A6="","",[1]!thsiFinD("ths_adjustment_nv_fund",D$3,$A6))</f>
        <v/>
      </c>
      <c r="E6" s="115">
        <f>IF($A6="","",[1]!thsiFinD("ths_adjustment_nv_fund",E$3,$A6))</f>
        <v/>
      </c>
      <c r="F6" s="115">
        <f>IF($A6="","",[1]!thsiFinD("ths_adjustment_nv_fund",F$3,$A6))</f>
        <v/>
      </c>
      <c r="G6" s="115">
        <f>IF($A6="","",[1]!thsiFinD("ths_adjustment_nv_fund",G$3,$A6))</f>
        <v/>
      </c>
      <c r="H6" s="115">
        <f>IF($A6="","",[1]!thsiFinD("ths_adjustment_nv_fund",H$3,$A6))</f>
        <v/>
      </c>
      <c r="I6" s="115">
        <f>IF($A6="","",[1]!thsiFinD("ths_adjustment_nv_fund",I$3,$A6))</f>
        <v/>
      </c>
      <c r="J6" s="115">
        <f>IF($A6="","",[1]!thsiFinD("ths_adjustment_nv_fund",J$3,$A6))</f>
        <v/>
      </c>
      <c r="K6" s="115">
        <f>IF($A6="","",[1]!thsiFinD("ths_adjustment_nv_fund",K$3,$A6))</f>
        <v/>
      </c>
      <c r="L6" s="115">
        <f>IF($A6="","",[1]!thsiFinD("ths_adjustment_nv_fund",L$3,$A6))</f>
        <v/>
      </c>
      <c r="M6" s="115">
        <f>IF($A6="","",[1]!thsiFinD("ths_adjustment_nv_fund",M$3,$A6))</f>
        <v/>
      </c>
      <c r="N6" s="115">
        <f>IF($A6="","",[1]!thsiFinD("ths_adjustment_nv_fund",N$3,$A6))</f>
        <v/>
      </c>
    </row>
    <row r="7">
      <c r="A7" s="114" t="n">
        <v>46175</v>
      </c>
      <c r="B7" s="115">
        <f>IF($A7="","",[1]!thsiFinD("ths_adjustment_nv_fund",B$3,$A7))</f>
        <v/>
      </c>
      <c r="C7" s="115">
        <f>IF($A7="","",[1]!thsiFinD("ths_adjustment_nv_fund",C$3,$A7))</f>
        <v/>
      </c>
      <c r="D7" s="115">
        <f>IF($A7="","",[1]!thsiFinD("ths_adjustment_nv_fund",D$3,$A7))</f>
        <v/>
      </c>
      <c r="E7" s="115">
        <f>IF($A7="","",[1]!thsiFinD("ths_adjustment_nv_fund",E$3,$A7))</f>
        <v/>
      </c>
      <c r="F7" s="115">
        <f>IF($A7="","",[1]!thsiFinD("ths_adjustment_nv_fund",F$3,$A7))</f>
        <v/>
      </c>
      <c r="G7" s="115">
        <f>IF($A7="","",[1]!thsiFinD("ths_adjustment_nv_fund",G$3,$A7))</f>
        <v/>
      </c>
      <c r="H7" s="115">
        <f>IF($A7="","",[1]!thsiFinD("ths_adjustment_nv_fund",H$3,$A7))</f>
        <v/>
      </c>
      <c r="I7" s="115">
        <f>IF($A7="","",[1]!thsiFinD("ths_adjustment_nv_fund",I$3,$A7))</f>
        <v/>
      </c>
      <c r="J7" s="115">
        <f>IF($A7="","",[1]!thsiFinD("ths_adjustment_nv_fund",J$3,$A7))</f>
        <v/>
      </c>
      <c r="K7" s="115">
        <f>IF($A7="","",[1]!thsiFinD("ths_adjustment_nv_fund",K$3,$A7))</f>
        <v/>
      </c>
      <c r="L7" s="115">
        <f>IF($A7="","",[1]!thsiFinD("ths_adjustment_nv_fund",L$3,$A7))</f>
        <v/>
      </c>
      <c r="M7" s="115">
        <f>IF($A7="","",[1]!thsiFinD("ths_adjustment_nv_fund",M$3,$A7))</f>
        <v/>
      </c>
      <c r="N7" s="115">
        <f>IF($A7="","",[1]!thsiFinD("ths_adjustment_nv_fund",N$3,$A7))</f>
        <v/>
      </c>
    </row>
    <row r="8">
      <c r="A8" s="114" t="n">
        <v>46176</v>
      </c>
      <c r="B8" s="115">
        <f>IF($A8="","",[1]!thsiFinD("ths_adjustment_nv_fund",B$3,$A8))</f>
        <v/>
      </c>
      <c r="C8" s="115">
        <f>IF($A8="","",[1]!thsiFinD("ths_adjustment_nv_fund",C$3,$A8))</f>
        <v/>
      </c>
      <c r="D8" s="115">
        <f>IF($A8="","",[1]!thsiFinD("ths_adjustment_nv_fund",D$3,$A8))</f>
        <v/>
      </c>
      <c r="E8" s="115">
        <f>IF($A8="","",[1]!thsiFinD("ths_adjustment_nv_fund",E$3,$A8))</f>
        <v/>
      </c>
      <c r="F8" s="115">
        <f>IF($A8="","",[1]!thsiFinD("ths_adjustment_nv_fund",F$3,$A8))</f>
        <v/>
      </c>
      <c r="G8" s="115">
        <f>IF($A8="","",[1]!thsiFinD("ths_adjustment_nv_fund",G$3,$A8))</f>
        <v/>
      </c>
      <c r="H8" s="115">
        <f>IF($A8="","",[1]!thsiFinD("ths_adjustment_nv_fund",H$3,$A8))</f>
        <v/>
      </c>
      <c r="I8" s="115">
        <f>IF($A8="","",[1]!thsiFinD("ths_adjustment_nv_fund",I$3,$A8))</f>
        <v/>
      </c>
      <c r="J8" s="115">
        <f>IF($A8="","",[1]!thsiFinD("ths_adjustment_nv_fund",J$3,$A8))</f>
        <v/>
      </c>
      <c r="K8" s="115">
        <f>IF($A8="","",[1]!thsiFinD("ths_adjustment_nv_fund",K$3,$A8))</f>
        <v/>
      </c>
      <c r="L8" s="115">
        <f>IF($A8="","",[1]!thsiFinD("ths_adjustment_nv_fund",L$3,$A8))</f>
        <v/>
      </c>
      <c r="M8" s="115">
        <f>IF($A8="","",[1]!thsiFinD("ths_adjustment_nv_fund",M$3,$A8))</f>
        <v/>
      </c>
      <c r="N8" s="115">
        <f>IF($A8="","",[1]!thsiFinD("ths_adjustment_nv_fund",N$3,$A8))</f>
        <v/>
      </c>
    </row>
    <row r="9">
      <c r="A9" s="114" t="n">
        <v>46177</v>
      </c>
      <c r="B9" s="115">
        <f>IF($A9="","",[1]!thsiFinD("ths_adjustment_nv_fund",B$3,$A9))</f>
        <v/>
      </c>
      <c r="C9" s="115">
        <f>IF($A9="","",[1]!thsiFinD("ths_adjustment_nv_fund",C$3,$A9))</f>
        <v/>
      </c>
      <c r="D9" s="115">
        <f>IF($A9="","",[1]!thsiFinD("ths_adjustment_nv_fund",D$3,$A9))</f>
        <v/>
      </c>
      <c r="E9" s="115">
        <f>IF($A9="","",[1]!thsiFinD("ths_adjustment_nv_fund",E$3,$A9))</f>
        <v/>
      </c>
      <c r="F9" s="115">
        <f>IF($A9="","",[1]!thsiFinD("ths_adjustment_nv_fund",F$3,$A9))</f>
        <v/>
      </c>
      <c r="G9" s="115">
        <f>IF($A9="","",[1]!thsiFinD("ths_adjustment_nv_fund",G$3,$A9))</f>
        <v/>
      </c>
      <c r="H9" s="115">
        <f>IF($A9="","",[1]!thsiFinD("ths_adjustment_nv_fund",H$3,$A9))</f>
        <v/>
      </c>
      <c r="I9" s="115">
        <f>IF($A9="","",[1]!thsiFinD("ths_adjustment_nv_fund",I$3,$A9))</f>
        <v/>
      </c>
      <c r="J9" s="115">
        <f>IF($A9="","",[1]!thsiFinD("ths_adjustment_nv_fund",J$3,$A9))</f>
        <v/>
      </c>
      <c r="K9" s="115">
        <f>IF($A9="","",[1]!thsiFinD("ths_adjustment_nv_fund",K$3,$A9))</f>
        <v/>
      </c>
      <c r="L9" s="115">
        <f>IF($A9="","",[1]!thsiFinD("ths_adjustment_nv_fund",L$3,$A9))</f>
        <v/>
      </c>
      <c r="M9" s="115">
        <f>IF($A9="","",[1]!thsiFinD("ths_adjustment_nv_fund",M$3,$A9))</f>
        <v/>
      </c>
      <c r="N9" s="115">
        <f>IF($A9="","",[1]!thsiFinD("ths_adjustment_nv_fund",N$3,$A9))</f>
        <v/>
      </c>
    </row>
    <row r="10">
      <c r="A10" s="114" t="n">
        <v>46178</v>
      </c>
      <c r="B10" s="115">
        <f>IF($A10="","",[1]!thsiFinD("ths_adjustment_nv_fund",B$3,$A10))</f>
        <v/>
      </c>
      <c r="C10" s="115">
        <f>IF($A10="","",[1]!thsiFinD("ths_adjustment_nv_fund",C$3,$A10))</f>
        <v/>
      </c>
      <c r="D10" s="115">
        <f>IF($A10="","",[1]!thsiFinD("ths_adjustment_nv_fund",D$3,$A10))</f>
        <v/>
      </c>
      <c r="E10" s="115">
        <f>IF($A10="","",[1]!thsiFinD("ths_adjustment_nv_fund",E$3,$A10))</f>
        <v/>
      </c>
      <c r="F10" s="115">
        <f>IF($A10="","",[1]!thsiFinD("ths_adjustment_nv_fund",F$3,$A10))</f>
        <v/>
      </c>
      <c r="G10" s="115">
        <f>IF($A10="","",[1]!thsiFinD("ths_adjustment_nv_fund",G$3,$A10))</f>
        <v/>
      </c>
      <c r="H10" s="115">
        <f>IF($A10="","",[1]!thsiFinD("ths_adjustment_nv_fund",H$3,$A10))</f>
        <v/>
      </c>
      <c r="I10" s="115">
        <f>IF($A10="","",[1]!thsiFinD("ths_adjustment_nv_fund",I$3,$A10))</f>
        <v/>
      </c>
      <c r="J10" s="115">
        <f>IF($A10="","",[1]!thsiFinD("ths_adjustment_nv_fund",J$3,$A10))</f>
        <v/>
      </c>
      <c r="K10" s="115">
        <f>IF($A10="","",[1]!thsiFinD("ths_adjustment_nv_fund",K$3,$A10))</f>
        <v/>
      </c>
      <c r="L10" s="115">
        <f>IF($A10="","",[1]!thsiFinD("ths_adjustment_nv_fund",L$3,$A10))</f>
        <v/>
      </c>
      <c r="M10" s="115">
        <f>IF($A10="","",[1]!thsiFinD("ths_adjustment_nv_fund",M$3,$A10))</f>
        <v/>
      </c>
      <c r="N10" s="115">
        <f>IF($A10="","",[1]!thsiFinD("ths_adjustment_nv_fund",N$3,$A10))</f>
        <v/>
      </c>
    </row>
    <row r="11">
      <c r="A11" s="116" t="n">
        <v>46181</v>
      </c>
      <c r="B11" s="115">
        <f>IF($A11="","",[1]!thsiFinD("ths_adjustment_nv_fund",B$3,$A11))</f>
        <v/>
      </c>
      <c r="C11" s="115">
        <f>IF($A11="","",[1]!thsiFinD("ths_adjustment_nv_fund",C$3,$A11))</f>
        <v/>
      </c>
      <c r="D11" s="115">
        <f>IF($A11="","",[1]!thsiFinD("ths_adjustment_nv_fund",D$3,$A11))</f>
        <v/>
      </c>
      <c r="E11" s="115">
        <f>IF($A11="","",[1]!thsiFinD("ths_adjustment_nv_fund",E$3,$A11))</f>
        <v/>
      </c>
      <c r="F11" s="115">
        <f>IF($A11="","",[1]!thsiFinD("ths_adjustment_nv_fund",F$3,$A11))</f>
        <v/>
      </c>
      <c r="G11" s="115">
        <f>IF($A11="","",[1]!thsiFinD("ths_adjustment_nv_fund",G$3,$A11))</f>
        <v/>
      </c>
      <c r="H11" s="115">
        <f>IF($A11="","",[1]!thsiFinD("ths_adjustment_nv_fund",H$3,$A11))</f>
        <v/>
      </c>
      <c r="I11" s="115">
        <f>IF($A11="","",[1]!thsiFinD("ths_adjustment_nv_fund",I$3,$A11))</f>
        <v/>
      </c>
      <c r="J11" s="115">
        <f>IF($A11="","",[1]!thsiFinD("ths_adjustment_nv_fund",J$3,$A11))</f>
        <v/>
      </c>
      <c r="K11" s="115">
        <f>IF($A11="","",[1]!thsiFinD("ths_adjustment_nv_fund",K$3,$A11))</f>
        <v/>
      </c>
      <c r="L11" s="115">
        <f>IF($A11="","",[1]!thsiFinD("ths_adjustment_nv_fund",L$3,$A11))</f>
        <v/>
      </c>
      <c r="M11" s="115">
        <f>IF($A11="","",[1]!thsiFinD("ths_adjustment_nv_fund",M$3,$A11))</f>
        <v/>
      </c>
      <c r="N11" s="115">
        <f>IF($A11="","",[1]!thsiFinD("ths_adjustment_nv_fund",N$3,$A11))</f>
        <v/>
      </c>
    </row>
    <row r="12">
      <c r="A12" s="116" t="n">
        <v>46182</v>
      </c>
      <c r="B12" s="115">
        <f>IF($A12="","",[1]!thsiFinD("ths_adjustment_nv_fund",B$3,$A12))</f>
        <v/>
      </c>
      <c r="C12" s="115">
        <f>IF($A12="","",[1]!thsiFinD("ths_adjustment_nv_fund",C$3,$A12))</f>
        <v/>
      </c>
      <c r="D12" s="115">
        <f>IF($A12="","",[1]!thsiFinD("ths_adjustment_nv_fund",D$3,$A12))</f>
        <v/>
      </c>
      <c r="E12" s="115">
        <f>IF($A12="","",[1]!thsiFinD("ths_adjustment_nv_fund",E$3,$A12))</f>
        <v/>
      </c>
      <c r="F12" s="115">
        <f>IF($A12="","",[1]!thsiFinD("ths_adjustment_nv_fund",F$3,$A12))</f>
        <v/>
      </c>
      <c r="G12" s="115">
        <f>IF($A12="","",[1]!thsiFinD("ths_adjustment_nv_fund",G$3,$A12))</f>
        <v/>
      </c>
      <c r="H12" s="115">
        <f>IF($A12="","",[1]!thsiFinD("ths_adjustment_nv_fund",H$3,$A12))</f>
        <v/>
      </c>
      <c r="I12" s="115">
        <f>IF($A12="","",[1]!thsiFinD("ths_adjustment_nv_fund",I$3,$A12))</f>
        <v/>
      </c>
      <c r="J12" s="115">
        <f>IF($A12="","",[1]!thsiFinD("ths_adjustment_nv_fund",J$3,$A12))</f>
        <v/>
      </c>
      <c r="K12" s="115">
        <f>IF($A12="","",[1]!thsiFinD("ths_adjustment_nv_fund",K$3,$A12))</f>
        <v/>
      </c>
      <c r="L12" s="115">
        <f>IF($A12="","",[1]!thsiFinD("ths_adjustment_nv_fund",L$3,$A12))</f>
        <v/>
      </c>
      <c r="M12" s="115">
        <f>IF($A12="","",[1]!thsiFinD("ths_adjustment_nv_fund",M$3,$A12))</f>
        <v/>
      </c>
      <c r="N12" s="115">
        <f>IF($A12="","",[1]!thsiFinD("ths_adjustment_nv_fund",N$3,$A12))</f>
        <v/>
      </c>
    </row>
    <row r="13">
      <c r="A13" s="116" t="n">
        <v>46183</v>
      </c>
      <c r="B13" s="115">
        <f>IF($A13="","",[1]!thsiFinD("ths_adjustment_nv_fund",B$3,$A13))</f>
        <v/>
      </c>
      <c r="C13" s="115">
        <f>IF($A13="","",[1]!thsiFinD("ths_adjustment_nv_fund",C$3,$A13))</f>
        <v/>
      </c>
      <c r="D13" s="115">
        <f>IF($A13="","",[1]!thsiFinD("ths_adjustment_nv_fund",D$3,$A13))</f>
        <v/>
      </c>
      <c r="E13" s="115">
        <f>IF($A13="","",[1]!thsiFinD("ths_adjustment_nv_fund",E$3,$A13))</f>
        <v/>
      </c>
      <c r="F13" s="115">
        <f>IF($A13="","",[1]!thsiFinD("ths_adjustment_nv_fund",F$3,$A13))</f>
        <v/>
      </c>
      <c r="G13" s="115">
        <f>IF($A13="","",[1]!thsiFinD("ths_adjustment_nv_fund",G$3,$A13))</f>
        <v/>
      </c>
      <c r="H13" s="115">
        <f>IF($A13="","",[1]!thsiFinD("ths_adjustment_nv_fund",H$3,$A13))</f>
        <v/>
      </c>
      <c r="I13" s="115">
        <f>IF($A13="","",[1]!thsiFinD("ths_adjustment_nv_fund",I$3,$A13))</f>
        <v/>
      </c>
      <c r="J13" s="115">
        <f>IF($A13="","",[1]!thsiFinD("ths_adjustment_nv_fund",J$3,$A13))</f>
        <v/>
      </c>
      <c r="K13" s="115">
        <f>IF($A13="","",[1]!thsiFinD("ths_adjustment_nv_fund",K$3,$A13))</f>
        <v/>
      </c>
      <c r="L13" s="115">
        <f>IF($A13="","",[1]!thsiFinD("ths_adjustment_nv_fund",L$3,$A13))</f>
        <v/>
      </c>
      <c r="M13" s="115">
        <f>IF($A13="","",[1]!thsiFinD("ths_adjustment_nv_fund",M$3,$A13))</f>
        <v/>
      </c>
      <c r="N13" s="115">
        <f>IF($A13="","",[1]!thsiFinD("ths_adjustment_nv_fund",N$3,$A13))</f>
        <v/>
      </c>
    </row>
    <row r="14">
      <c r="A14" s="116" t="n">
        <v>46184</v>
      </c>
      <c r="B14" s="115">
        <f>IF($A14="","",[1]!thsiFinD("ths_adjustment_nv_fund",B$3,$A14))</f>
        <v/>
      </c>
      <c r="C14" s="115">
        <f>IF($A14="","",[1]!thsiFinD("ths_adjustment_nv_fund",C$3,$A14))</f>
        <v/>
      </c>
      <c r="D14" s="115">
        <f>IF($A14="","",[1]!thsiFinD("ths_adjustment_nv_fund",D$3,$A14))</f>
        <v/>
      </c>
      <c r="E14" s="115">
        <f>IF($A14="","",[1]!thsiFinD("ths_adjustment_nv_fund",E$3,$A14))</f>
        <v/>
      </c>
      <c r="F14" s="115">
        <f>IF($A14="","",[1]!thsiFinD("ths_adjustment_nv_fund",F$3,$A14))</f>
        <v/>
      </c>
      <c r="G14" s="115">
        <f>IF($A14="","",[1]!thsiFinD("ths_adjustment_nv_fund",G$3,$A14))</f>
        <v/>
      </c>
      <c r="H14" s="115">
        <f>IF($A14="","",[1]!thsiFinD("ths_adjustment_nv_fund",H$3,$A14))</f>
        <v/>
      </c>
      <c r="I14" s="115">
        <f>IF($A14="","",[1]!thsiFinD("ths_adjustment_nv_fund",I$3,$A14))</f>
        <v/>
      </c>
      <c r="J14" s="115">
        <f>IF($A14="","",[1]!thsiFinD("ths_adjustment_nv_fund",J$3,$A14))</f>
        <v/>
      </c>
      <c r="K14" s="115">
        <f>IF($A14="","",[1]!thsiFinD("ths_adjustment_nv_fund",K$3,$A14))</f>
        <v/>
      </c>
      <c r="L14" s="115">
        <f>IF($A14="","",[1]!thsiFinD("ths_adjustment_nv_fund",L$3,$A14))</f>
        <v/>
      </c>
      <c r="M14" s="115">
        <f>IF($A14="","",[1]!thsiFinD("ths_adjustment_nv_fund",M$3,$A14))</f>
        <v/>
      </c>
      <c r="N14" s="115">
        <f>IF($A14="","",[1]!thsiFinD("ths_adjustment_nv_fund",N$3,$A14))</f>
        <v/>
      </c>
    </row>
    <row r="15">
      <c r="A15" s="116" t="n">
        <v>46185</v>
      </c>
      <c r="B15" s="115">
        <f>IF($A15="","",[1]!thsiFinD("ths_adjustment_nv_fund",B$3,$A15))</f>
        <v/>
      </c>
      <c r="C15" s="115">
        <f>IF($A15="","",[1]!thsiFinD("ths_adjustment_nv_fund",C$3,$A15))</f>
        <v/>
      </c>
      <c r="D15" s="115">
        <f>IF($A15="","",[1]!thsiFinD("ths_adjustment_nv_fund",D$3,$A15))</f>
        <v/>
      </c>
      <c r="E15" s="115">
        <f>IF($A15="","",[1]!thsiFinD("ths_adjustment_nv_fund",E$3,$A15))</f>
        <v/>
      </c>
      <c r="F15" s="115">
        <f>IF($A15="","",[1]!thsiFinD("ths_adjustment_nv_fund",F$3,$A15))</f>
        <v/>
      </c>
      <c r="G15" s="115">
        <f>IF($A15="","",[1]!thsiFinD("ths_adjustment_nv_fund",G$3,$A15))</f>
        <v/>
      </c>
      <c r="H15" s="115">
        <f>IF($A15="","",[1]!thsiFinD("ths_adjustment_nv_fund",H$3,$A15))</f>
        <v/>
      </c>
      <c r="I15" s="115">
        <f>IF($A15="","",[1]!thsiFinD("ths_adjustment_nv_fund",I$3,$A15))</f>
        <v/>
      </c>
      <c r="J15" s="115">
        <f>IF($A15="","",[1]!thsiFinD("ths_adjustment_nv_fund",J$3,$A15))</f>
        <v/>
      </c>
      <c r="K15" s="115">
        <f>IF($A15="","",[1]!thsiFinD("ths_adjustment_nv_fund",K$3,$A15))</f>
        <v/>
      </c>
      <c r="L15" s="115">
        <f>IF($A15="","",[1]!thsiFinD("ths_adjustment_nv_fund",L$3,$A15))</f>
        <v/>
      </c>
      <c r="M15" s="115">
        <f>IF($A15="","",[1]!thsiFinD("ths_adjustment_nv_fund",M$3,$A15))</f>
        <v/>
      </c>
      <c r="N15" s="115">
        <f>IF($A15="","",[1]!thsiFinD("ths_adjustment_nv_fund",N$3,$A15))</f>
        <v/>
      </c>
    </row>
    <row r="16">
      <c r="A16" s="116" t="n">
        <v>46188</v>
      </c>
      <c r="B16" s="115">
        <f>IF($A16="","",[1]!thsiFinD("ths_adjustment_nv_fund",B$3,$A16))</f>
        <v/>
      </c>
      <c r="C16" s="115">
        <f>IF($A16="","",[1]!thsiFinD("ths_adjustment_nv_fund",C$3,$A16))</f>
        <v/>
      </c>
      <c r="D16" s="115">
        <f>IF($A16="","",[1]!thsiFinD("ths_adjustment_nv_fund",D$3,$A16))</f>
        <v/>
      </c>
      <c r="E16" s="115">
        <f>IF($A16="","",[1]!thsiFinD("ths_adjustment_nv_fund",E$3,$A16))</f>
        <v/>
      </c>
      <c r="F16" s="115">
        <f>IF($A16="","",[1]!thsiFinD("ths_adjustment_nv_fund",F$3,$A16))</f>
        <v/>
      </c>
      <c r="G16" s="115">
        <f>IF($A16="","",[1]!thsiFinD("ths_adjustment_nv_fund",G$3,$A16))</f>
        <v/>
      </c>
      <c r="H16" s="115">
        <f>IF($A16="","",[1]!thsiFinD("ths_adjustment_nv_fund",H$3,$A16))</f>
        <v/>
      </c>
      <c r="I16" s="115">
        <f>IF($A16="","",[1]!thsiFinD("ths_adjustment_nv_fund",I$3,$A16))</f>
        <v/>
      </c>
      <c r="J16" s="115">
        <f>IF($A16="","",[1]!thsiFinD("ths_adjustment_nv_fund",J$3,$A16))</f>
        <v/>
      </c>
      <c r="K16" s="115">
        <f>IF($A16="","",[1]!thsiFinD("ths_adjustment_nv_fund",K$3,$A16))</f>
        <v/>
      </c>
      <c r="L16" s="115">
        <f>IF($A16="","",[1]!thsiFinD("ths_adjustment_nv_fund",L$3,$A16))</f>
        <v/>
      </c>
      <c r="M16" s="115">
        <f>IF($A16="","",[1]!thsiFinD("ths_adjustment_nv_fund",M$3,$A16))</f>
        <v/>
      </c>
      <c r="N16" s="115">
        <f>IF($A16="","",[1]!thsiFinD("ths_adjustment_nv_fund",N$3,$A16))</f>
        <v/>
      </c>
    </row>
    <row r="17">
      <c r="A17" s="116" t="n">
        <v>46189</v>
      </c>
      <c r="B17" s="115">
        <f>IF($A17="","",[1]!thsiFinD("ths_adjustment_nv_fund",B$3,$A17))</f>
        <v/>
      </c>
      <c r="C17" s="115">
        <f>IF($A17="","",[1]!thsiFinD("ths_adjustment_nv_fund",C$3,$A17))</f>
        <v/>
      </c>
      <c r="D17" s="115">
        <f>IF($A17="","",[1]!thsiFinD("ths_adjustment_nv_fund",D$3,$A17))</f>
        <v/>
      </c>
      <c r="E17" s="115">
        <f>IF($A17="","",[1]!thsiFinD("ths_adjustment_nv_fund",E$3,$A17))</f>
        <v/>
      </c>
      <c r="F17" s="115">
        <f>IF($A17="","",[1]!thsiFinD("ths_adjustment_nv_fund",F$3,$A17))</f>
        <v/>
      </c>
      <c r="G17" s="115">
        <f>IF($A17="","",[1]!thsiFinD("ths_adjustment_nv_fund",G$3,$A17))</f>
        <v/>
      </c>
      <c r="H17" s="115">
        <f>IF($A17="","",[1]!thsiFinD("ths_adjustment_nv_fund",H$3,$A17))</f>
        <v/>
      </c>
      <c r="I17" s="115">
        <f>IF($A17="","",[1]!thsiFinD("ths_adjustment_nv_fund",I$3,$A17))</f>
        <v/>
      </c>
      <c r="J17" s="115">
        <f>IF($A17="","",[1]!thsiFinD("ths_adjustment_nv_fund",J$3,$A17))</f>
        <v/>
      </c>
      <c r="K17" s="115">
        <f>IF($A17="","",[1]!thsiFinD("ths_adjustment_nv_fund",K$3,$A17))</f>
        <v/>
      </c>
      <c r="L17" s="115">
        <f>IF($A17="","",[1]!thsiFinD("ths_adjustment_nv_fund",L$3,$A17))</f>
        <v/>
      </c>
      <c r="M17" s="115">
        <f>IF($A17="","",[1]!thsiFinD("ths_adjustment_nv_fund",M$3,$A17))</f>
        <v/>
      </c>
      <c r="N17" s="115">
        <f>IF($A17="","",[1]!thsiFinD("ths_adjustment_nv_fund",N$3,$A17))</f>
        <v/>
      </c>
    </row>
    <row r="18">
      <c r="A18" s="116" t="n">
        <v>46190</v>
      </c>
      <c r="B18" s="115">
        <f>IF($A18="","",[1]!thsiFinD("ths_adjustment_nv_fund",B$3,$A18))</f>
        <v/>
      </c>
      <c r="C18" s="115">
        <f>IF($A18="","",[1]!thsiFinD("ths_adjustment_nv_fund",C$3,$A18))</f>
        <v/>
      </c>
      <c r="D18" s="115">
        <f>IF($A18="","",[1]!thsiFinD("ths_adjustment_nv_fund",D$3,$A18))</f>
        <v/>
      </c>
      <c r="E18" s="115">
        <f>IF($A18="","",[1]!thsiFinD("ths_adjustment_nv_fund",E$3,$A18))</f>
        <v/>
      </c>
      <c r="F18" s="115">
        <f>IF($A18="","",[1]!thsiFinD("ths_adjustment_nv_fund",F$3,$A18))</f>
        <v/>
      </c>
      <c r="G18" s="115">
        <f>IF($A18="","",[1]!thsiFinD("ths_adjustment_nv_fund",G$3,$A18))</f>
        <v/>
      </c>
      <c r="H18" s="115">
        <f>IF($A18="","",[1]!thsiFinD("ths_adjustment_nv_fund",H$3,$A18))</f>
        <v/>
      </c>
      <c r="I18" s="115">
        <f>IF($A18="","",[1]!thsiFinD("ths_adjustment_nv_fund",I$3,$A18))</f>
        <v/>
      </c>
      <c r="J18" s="115">
        <f>IF($A18="","",[1]!thsiFinD("ths_adjustment_nv_fund",J$3,$A18))</f>
        <v/>
      </c>
      <c r="K18" s="115">
        <f>IF($A18="","",[1]!thsiFinD("ths_adjustment_nv_fund",K$3,$A18))</f>
        <v/>
      </c>
      <c r="L18" s="115">
        <f>IF($A18="","",[1]!thsiFinD("ths_adjustment_nv_fund",L$3,$A18))</f>
        <v/>
      </c>
      <c r="M18" s="115">
        <f>IF($A18="","",[1]!thsiFinD("ths_adjustment_nv_fund",M$3,$A18))</f>
        <v/>
      </c>
      <c r="N18" s="115">
        <f>IF($A18="","",[1]!thsiFinD("ths_adjustment_nv_fund",N$3,$A18))</f>
        <v/>
      </c>
    </row>
    <row r="19">
      <c r="A19" s="116" t="n">
        <v>46191</v>
      </c>
      <c r="B19" s="115">
        <f>IF($A19="","",[1]!thsiFinD("ths_adjustment_nv_fund",B$3,$A19))</f>
        <v/>
      </c>
      <c r="C19" s="115">
        <f>IF($A19="","",[1]!thsiFinD("ths_adjustment_nv_fund",C$3,$A19))</f>
        <v/>
      </c>
      <c r="D19" s="115">
        <f>IF($A19="","",[1]!thsiFinD("ths_adjustment_nv_fund",D$3,$A19))</f>
        <v/>
      </c>
      <c r="E19" s="115">
        <f>IF($A19="","",[1]!thsiFinD("ths_adjustment_nv_fund",E$3,$A19))</f>
        <v/>
      </c>
      <c r="F19" s="115">
        <f>IF($A19="","",[1]!thsiFinD("ths_adjustment_nv_fund",F$3,$A19))</f>
        <v/>
      </c>
      <c r="G19" s="115">
        <f>IF($A19="","",[1]!thsiFinD("ths_adjustment_nv_fund",G$3,$A19))</f>
        <v/>
      </c>
      <c r="H19" s="115">
        <f>IF($A19="","",[1]!thsiFinD("ths_adjustment_nv_fund",H$3,$A19))</f>
        <v/>
      </c>
      <c r="I19" s="115">
        <f>IF($A19="","",[1]!thsiFinD("ths_adjustment_nv_fund",I$3,$A19))</f>
        <v/>
      </c>
      <c r="J19" s="115">
        <f>IF($A19="","",[1]!thsiFinD("ths_adjustment_nv_fund",J$3,$A19))</f>
        <v/>
      </c>
      <c r="K19" s="115">
        <f>IF($A19="","",[1]!thsiFinD("ths_adjustment_nv_fund",K$3,$A19))</f>
        <v/>
      </c>
      <c r="L19" s="115">
        <f>IF($A19="","",[1]!thsiFinD("ths_adjustment_nv_fund",L$3,$A19))</f>
        <v/>
      </c>
      <c r="M19" s="115">
        <f>IF($A19="","",[1]!thsiFinD("ths_adjustment_nv_fund",M$3,$A19))</f>
        <v/>
      </c>
      <c r="N19" s="115">
        <f>IF($A19="","",[1]!thsiFinD("ths_adjustment_nv_fund",N$3,$A19))</f>
        <v/>
      </c>
    </row>
    <row r="20">
      <c r="A20" s="116" t="n">
        <v>46195</v>
      </c>
      <c r="B20" s="115">
        <f>IF($A20="","",[1]!thsiFinD("ths_adjustment_nv_fund",B$3,$A20))</f>
        <v/>
      </c>
      <c r="C20" s="115">
        <f>IF($A20="","",[1]!thsiFinD("ths_adjustment_nv_fund",C$3,$A20))</f>
        <v/>
      </c>
      <c r="D20" s="115">
        <f>IF($A20="","",[1]!thsiFinD("ths_adjustment_nv_fund",D$3,$A20))</f>
        <v/>
      </c>
      <c r="E20" s="115">
        <f>IF($A20="","",[1]!thsiFinD("ths_adjustment_nv_fund",E$3,$A20))</f>
        <v/>
      </c>
      <c r="F20" s="115">
        <f>IF($A20="","",[1]!thsiFinD("ths_adjustment_nv_fund",F$3,$A20))</f>
        <v/>
      </c>
      <c r="G20" s="115">
        <f>IF($A20="","",[1]!thsiFinD("ths_adjustment_nv_fund",G$3,$A20))</f>
        <v/>
      </c>
      <c r="H20" s="115">
        <f>IF($A20="","",[1]!thsiFinD("ths_adjustment_nv_fund",H$3,$A20))</f>
        <v/>
      </c>
      <c r="I20" s="115">
        <f>IF($A20="","",[1]!thsiFinD("ths_adjustment_nv_fund",I$3,$A20))</f>
        <v/>
      </c>
      <c r="J20" s="115">
        <f>IF($A20="","",[1]!thsiFinD("ths_adjustment_nv_fund",J$3,$A20))</f>
        <v/>
      </c>
      <c r="K20" s="115">
        <f>IF($A20="","",[1]!thsiFinD("ths_adjustment_nv_fund",K$3,$A20))</f>
        <v/>
      </c>
      <c r="L20" s="115">
        <f>IF($A20="","",[1]!thsiFinD("ths_adjustment_nv_fund",L$3,$A20))</f>
        <v/>
      </c>
      <c r="M20" s="115">
        <f>IF($A20="","",[1]!thsiFinD("ths_adjustment_nv_fund",M$3,$A20))</f>
        <v/>
      </c>
      <c r="N20" s="115">
        <f>IF($A20="","",[1]!thsiFinD("ths_adjustment_nv_fund",N$3,$A20))</f>
        <v/>
      </c>
    </row>
    <row r="21">
      <c r="A21" s="116" t="n">
        <v>46196</v>
      </c>
      <c r="B21" s="115">
        <f>IF($A21="","",[1]!thsiFinD("ths_adjustment_nv_fund",B$3,$A21))</f>
        <v/>
      </c>
      <c r="C21" s="115">
        <f>IF($A21="","",[1]!thsiFinD("ths_adjustment_nv_fund",C$3,$A21))</f>
        <v/>
      </c>
      <c r="D21" s="115">
        <f>IF($A21="","",[1]!thsiFinD("ths_adjustment_nv_fund",D$3,$A21))</f>
        <v/>
      </c>
      <c r="E21" s="115">
        <f>IF($A21="","",[1]!thsiFinD("ths_adjustment_nv_fund",E$3,$A21))</f>
        <v/>
      </c>
      <c r="F21" s="115">
        <f>IF($A21="","",[1]!thsiFinD("ths_adjustment_nv_fund",F$3,$A21))</f>
        <v/>
      </c>
      <c r="G21" s="115">
        <f>IF($A21="","",[1]!thsiFinD("ths_adjustment_nv_fund",G$3,$A21))</f>
        <v/>
      </c>
      <c r="H21" s="115">
        <f>IF($A21="","",[1]!thsiFinD("ths_adjustment_nv_fund",H$3,$A21))</f>
        <v/>
      </c>
      <c r="I21" s="115">
        <f>IF($A21="","",[1]!thsiFinD("ths_adjustment_nv_fund",I$3,$A21))</f>
        <v/>
      </c>
      <c r="J21" s="115">
        <f>IF($A21="","",[1]!thsiFinD("ths_adjustment_nv_fund",J$3,$A21))</f>
        <v/>
      </c>
      <c r="K21" s="115">
        <f>IF($A21="","",[1]!thsiFinD("ths_adjustment_nv_fund",K$3,$A21))</f>
        <v/>
      </c>
      <c r="L21" s="115">
        <f>IF($A21="","",[1]!thsiFinD("ths_adjustment_nv_fund",L$3,$A21))</f>
        <v/>
      </c>
      <c r="M21" s="115">
        <f>IF($A21="","",[1]!thsiFinD("ths_adjustment_nv_fund",M$3,$A21))</f>
        <v/>
      </c>
      <c r="N21" s="115">
        <f>IF($A21="","",[1]!thsiFinD("ths_adjustment_nv_fund",N$3,$A21))</f>
        <v/>
      </c>
    </row>
    <row r="22">
      <c r="A22" s="116" t="n">
        <v>46197</v>
      </c>
      <c r="B22" s="115">
        <f>IF($A22="","",[1]!thsiFinD("ths_adjustment_nv_fund",B$3,$A22))</f>
        <v/>
      </c>
      <c r="C22" s="115">
        <f>IF($A22="","",[1]!thsiFinD("ths_adjustment_nv_fund",C$3,$A22))</f>
        <v/>
      </c>
      <c r="D22" s="115">
        <f>IF($A22="","",[1]!thsiFinD("ths_adjustment_nv_fund",D$3,$A22))</f>
        <v/>
      </c>
      <c r="E22" s="115">
        <f>IF($A22="","",[1]!thsiFinD("ths_adjustment_nv_fund",E$3,$A22))</f>
        <v/>
      </c>
      <c r="F22" s="115">
        <f>IF($A22="","",[1]!thsiFinD("ths_adjustment_nv_fund",F$3,$A22))</f>
        <v/>
      </c>
      <c r="G22" s="115">
        <f>IF($A22="","",[1]!thsiFinD("ths_adjustment_nv_fund",G$3,$A22))</f>
        <v/>
      </c>
      <c r="H22" s="115">
        <f>IF($A22="","",[1]!thsiFinD("ths_adjustment_nv_fund",H$3,$A22))</f>
        <v/>
      </c>
      <c r="I22" s="115">
        <f>IF($A22="","",[1]!thsiFinD("ths_adjustment_nv_fund",I$3,$A22))</f>
        <v/>
      </c>
      <c r="J22" s="115">
        <f>IF($A22="","",[1]!thsiFinD("ths_adjustment_nv_fund",J$3,$A22))</f>
        <v/>
      </c>
      <c r="K22" s="115">
        <f>IF($A22="","",[1]!thsiFinD("ths_adjustment_nv_fund",K$3,$A22))</f>
        <v/>
      </c>
      <c r="L22" s="115">
        <f>IF($A22="","",[1]!thsiFinD("ths_adjustment_nv_fund",L$3,$A22))</f>
        <v/>
      </c>
      <c r="M22" s="115">
        <f>IF($A22="","",[1]!thsiFinD("ths_adjustment_nv_fund",M$3,$A22))</f>
        <v/>
      </c>
      <c r="N22" s="115">
        <f>IF($A22="","",[1]!thsiFinD("ths_adjustment_nv_fund",N$3,$A22))</f>
        <v/>
      </c>
    </row>
    <row r="23">
      <c r="A23" s="116" t="n">
        <v>46198</v>
      </c>
      <c r="B23" s="115">
        <f>IF($A23="","",[1]!thsiFinD("ths_adjustment_nv_fund",B$3,$A23))</f>
        <v/>
      </c>
      <c r="C23" s="115">
        <f>IF($A23="","",[1]!thsiFinD("ths_adjustment_nv_fund",C$3,$A23))</f>
        <v/>
      </c>
      <c r="D23" s="115">
        <f>IF($A23="","",[1]!thsiFinD("ths_adjustment_nv_fund",D$3,$A23))</f>
        <v/>
      </c>
      <c r="E23" s="115">
        <f>IF($A23="","",[1]!thsiFinD("ths_adjustment_nv_fund",E$3,$A23))</f>
        <v/>
      </c>
      <c r="F23" s="115">
        <f>IF($A23="","",[1]!thsiFinD("ths_adjustment_nv_fund",F$3,$A23))</f>
        <v/>
      </c>
      <c r="G23" s="115">
        <f>IF($A23="","",[1]!thsiFinD("ths_adjustment_nv_fund",G$3,$A23))</f>
        <v/>
      </c>
      <c r="H23" s="115">
        <f>IF($A23="","",[1]!thsiFinD("ths_adjustment_nv_fund",H$3,$A23))</f>
        <v/>
      </c>
      <c r="I23" s="115">
        <f>IF($A23="","",[1]!thsiFinD("ths_adjustment_nv_fund",I$3,$A23))</f>
        <v/>
      </c>
      <c r="J23" s="115">
        <f>IF($A23="","",[1]!thsiFinD("ths_adjustment_nv_fund",J$3,$A23))</f>
        <v/>
      </c>
      <c r="K23" s="115">
        <f>IF($A23="","",[1]!thsiFinD("ths_adjustment_nv_fund",K$3,$A23))</f>
        <v/>
      </c>
      <c r="L23" s="115">
        <f>IF($A23="","",[1]!thsiFinD("ths_adjustment_nv_fund",L$3,$A23))</f>
        <v/>
      </c>
      <c r="M23" s="115">
        <f>IF($A23="","",[1]!thsiFinD("ths_adjustment_nv_fund",M$3,$A23))</f>
        <v/>
      </c>
      <c r="N23" s="115">
        <f>IF($A23="","",[1]!thsiFinD("ths_adjustment_nv_fund",N$3,$A23))</f>
        <v/>
      </c>
    </row>
    <row r="24">
      <c r="A24" s="116" t="n">
        <v>46199</v>
      </c>
      <c r="B24" s="115">
        <f>IF($A24="","",[1]!thsiFinD("ths_adjustment_nv_fund",B$3,$A24))</f>
        <v/>
      </c>
      <c r="C24" s="115">
        <f>IF($A24="","",[1]!thsiFinD("ths_adjustment_nv_fund",C$3,$A24))</f>
        <v/>
      </c>
      <c r="D24" s="115">
        <f>IF($A24="","",[1]!thsiFinD("ths_adjustment_nv_fund",D$3,$A24))</f>
        <v/>
      </c>
      <c r="E24" s="115">
        <f>IF($A24="","",[1]!thsiFinD("ths_adjustment_nv_fund",E$3,$A24))</f>
        <v/>
      </c>
      <c r="F24" s="115">
        <f>IF($A24="","",[1]!thsiFinD("ths_adjustment_nv_fund",F$3,$A24))</f>
        <v/>
      </c>
      <c r="G24" s="115">
        <f>IF($A24="","",[1]!thsiFinD("ths_adjustment_nv_fund",G$3,$A24))</f>
        <v/>
      </c>
      <c r="H24" s="115">
        <f>IF($A24="","",[1]!thsiFinD("ths_adjustment_nv_fund",H$3,$A24))</f>
        <v/>
      </c>
      <c r="I24" s="115">
        <f>IF($A24="","",[1]!thsiFinD("ths_adjustment_nv_fund",I$3,$A24))</f>
        <v/>
      </c>
      <c r="J24" s="115">
        <f>IF($A24="","",[1]!thsiFinD("ths_adjustment_nv_fund",J$3,$A24))</f>
        <v/>
      </c>
      <c r="K24" s="115">
        <f>IF($A24="","",[1]!thsiFinD("ths_adjustment_nv_fund",K$3,$A24))</f>
        <v/>
      </c>
      <c r="L24" s="115">
        <f>IF($A24="","",[1]!thsiFinD("ths_adjustment_nv_fund",L$3,$A24))</f>
        <v/>
      </c>
      <c r="M24" s="115">
        <f>IF($A24="","",[1]!thsiFinD("ths_adjustment_nv_fund",M$3,$A24))</f>
        <v/>
      </c>
      <c r="N24" s="115">
        <f>IF($A24="","",[1]!thsiFinD("ths_adjustment_nv_fund",N$3,$A24))</f>
        <v/>
      </c>
    </row>
    <row r="25">
      <c r="A25" s="116" t="n">
        <v>46202</v>
      </c>
      <c r="B25" s="115">
        <f>IF($A25="","",[1]!thsiFinD("ths_adjustment_nv_fund",B$3,$A25))</f>
        <v/>
      </c>
      <c r="C25" s="115">
        <f>IF($A25="","",[1]!thsiFinD("ths_adjustment_nv_fund",C$3,$A25))</f>
        <v/>
      </c>
      <c r="D25" s="115">
        <f>IF($A25="","",[1]!thsiFinD("ths_adjustment_nv_fund",D$3,$A25))</f>
        <v/>
      </c>
      <c r="E25" s="115">
        <f>IF($A25="","",[1]!thsiFinD("ths_adjustment_nv_fund",E$3,$A25))</f>
        <v/>
      </c>
      <c r="F25" s="115">
        <f>IF($A25="","",[1]!thsiFinD("ths_adjustment_nv_fund",F$3,$A25))</f>
        <v/>
      </c>
      <c r="G25" s="115">
        <f>IF($A25="","",[1]!thsiFinD("ths_adjustment_nv_fund",G$3,$A25))</f>
        <v/>
      </c>
      <c r="H25" s="115">
        <f>IF($A25="","",[1]!thsiFinD("ths_adjustment_nv_fund",H$3,$A25))</f>
        <v/>
      </c>
      <c r="I25" s="115">
        <f>IF($A25="","",[1]!thsiFinD("ths_adjustment_nv_fund",I$3,$A25))</f>
        <v/>
      </c>
      <c r="J25" s="115">
        <f>IF($A25="","",[1]!thsiFinD("ths_adjustment_nv_fund",J$3,$A25))</f>
        <v/>
      </c>
      <c r="K25" s="115">
        <f>IF($A25="","",[1]!thsiFinD("ths_adjustment_nv_fund",K$3,$A25))</f>
        <v/>
      </c>
      <c r="L25" s="115">
        <f>IF($A25="","",[1]!thsiFinD("ths_adjustment_nv_fund",L$3,$A25))</f>
        <v/>
      </c>
      <c r="M25" s="115">
        <f>IF($A25="","",[1]!thsiFinD("ths_adjustment_nv_fund",M$3,$A25))</f>
        <v/>
      </c>
      <c r="N25" s="115">
        <f>IF($A25="","",[1]!thsiFinD("ths_adjustment_nv_fund",N$3,$A25))</f>
        <v/>
      </c>
    </row>
    <row r="26">
      <c r="A26" s="116" t="n">
        <v>46203</v>
      </c>
      <c r="B26" s="115">
        <f>IF($A26="","",[1]!thsiFinD("ths_adjustment_nv_fund",B$3,$A26))</f>
        <v/>
      </c>
      <c r="C26" s="115">
        <f>IF($A26="","",[1]!thsiFinD("ths_adjustment_nv_fund",C$3,$A26))</f>
        <v/>
      </c>
      <c r="D26" s="115">
        <f>IF($A26="","",[1]!thsiFinD("ths_adjustment_nv_fund",D$3,$A26))</f>
        <v/>
      </c>
      <c r="E26" s="115">
        <f>IF($A26="","",[1]!thsiFinD("ths_adjustment_nv_fund",E$3,$A26))</f>
        <v/>
      </c>
      <c r="F26" s="115">
        <f>IF($A26="","",[1]!thsiFinD("ths_adjustment_nv_fund",F$3,$A26))</f>
        <v/>
      </c>
      <c r="G26" s="115">
        <f>IF($A26="","",[1]!thsiFinD("ths_adjustment_nv_fund",G$3,$A26))</f>
        <v/>
      </c>
      <c r="H26" s="115">
        <f>IF($A26="","",[1]!thsiFinD("ths_adjustment_nv_fund",H$3,$A26))</f>
        <v/>
      </c>
      <c r="I26" s="115">
        <f>IF($A26="","",[1]!thsiFinD("ths_adjustment_nv_fund",I$3,$A26))</f>
        <v/>
      </c>
      <c r="J26" s="115">
        <f>IF($A26="","",[1]!thsiFinD("ths_adjustment_nv_fund",J$3,$A26))</f>
        <v/>
      </c>
      <c r="K26" s="115">
        <f>IF($A26="","",[1]!thsiFinD("ths_adjustment_nv_fund",K$3,$A26))</f>
        <v/>
      </c>
      <c r="L26" s="115">
        <f>IF($A26="","",[1]!thsiFinD("ths_adjustment_nv_fund",L$3,$A26))</f>
        <v/>
      </c>
      <c r="M26" s="115">
        <f>IF($A26="","",[1]!thsiFinD("ths_adjustment_nv_fund",M$3,$A26))</f>
        <v/>
      </c>
      <c r="N26" s="115">
        <f>IF($A26="","",[1]!thsiFinD("ths_adjustment_nv_fund",N$3,$A26))</f>
        <v/>
      </c>
    </row>
    <row r="27">
      <c r="A27" s="116" t="n">
        <v>46204</v>
      </c>
      <c r="B27" s="115">
        <f>IF($A27="","",[1]!thsiFinD("ths_adjustment_nv_fund",B$3,$A27))</f>
        <v/>
      </c>
      <c r="C27" s="115">
        <f>IF($A27="","",[1]!thsiFinD("ths_adjustment_nv_fund",C$3,$A27))</f>
        <v/>
      </c>
      <c r="D27" s="115">
        <f>IF($A27="","",[1]!thsiFinD("ths_adjustment_nv_fund",D$3,$A27))</f>
        <v/>
      </c>
      <c r="E27" s="115">
        <f>IF($A27="","",[1]!thsiFinD("ths_adjustment_nv_fund",E$3,$A27))</f>
        <v/>
      </c>
      <c r="F27" s="115">
        <f>IF($A27="","",[1]!thsiFinD("ths_adjustment_nv_fund",F$3,$A27))</f>
        <v/>
      </c>
      <c r="G27" s="115">
        <f>IF($A27="","",[1]!thsiFinD("ths_adjustment_nv_fund",G$3,$A27))</f>
        <v/>
      </c>
      <c r="H27" s="115">
        <f>IF($A27="","",[1]!thsiFinD("ths_adjustment_nv_fund",H$3,$A27))</f>
        <v/>
      </c>
      <c r="I27" s="115">
        <f>IF($A27="","",[1]!thsiFinD("ths_adjustment_nv_fund",I$3,$A27))</f>
        <v/>
      </c>
      <c r="J27" s="115">
        <f>IF($A27="","",[1]!thsiFinD("ths_adjustment_nv_fund",J$3,$A27))</f>
        <v/>
      </c>
      <c r="K27" s="115">
        <f>IF($A27="","",[1]!thsiFinD("ths_adjustment_nv_fund",K$3,$A27))</f>
        <v/>
      </c>
      <c r="L27" s="115">
        <f>IF($A27="","",[1]!thsiFinD("ths_adjustment_nv_fund",L$3,$A27))</f>
        <v/>
      </c>
      <c r="M27" s="115">
        <f>IF($A27="","",[1]!thsiFinD("ths_adjustment_nv_fund",M$3,$A27))</f>
        <v/>
      </c>
      <c r="N27" s="115">
        <f>IF($A27="","",[1]!thsiFinD("ths_adjustment_nv_fund",N$3,$A27))</f>
        <v/>
      </c>
    </row>
    <row r="28">
      <c r="A28" s="116" t="n">
        <v>46205</v>
      </c>
      <c r="B28" s="115">
        <f>IF($A28="","",[1]!thsiFinD("ths_adjustment_nv_fund",B$3,$A28))</f>
        <v/>
      </c>
      <c r="C28" s="115">
        <f>IF($A28="","",[1]!thsiFinD("ths_adjustment_nv_fund",C$3,$A28))</f>
        <v/>
      </c>
      <c r="D28" s="115">
        <f>IF($A28="","",[1]!thsiFinD("ths_adjustment_nv_fund",D$3,$A28))</f>
        <v/>
      </c>
      <c r="E28" s="115">
        <f>IF($A28="","",[1]!thsiFinD("ths_adjustment_nv_fund",E$3,$A28))</f>
        <v/>
      </c>
      <c r="F28" s="115">
        <f>IF($A28="","",[1]!thsiFinD("ths_adjustment_nv_fund",F$3,$A28))</f>
        <v/>
      </c>
      <c r="G28" s="115">
        <f>IF($A28="","",[1]!thsiFinD("ths_adjustment_nv_fund",G$3,$A28))</f>
        <v/>
      </c>
      <c r="H28" s="115">
        <f>IF($A28="","",[1]!thsiFinD("ths_adjustment_nv_fund",H$3,$A28))</f>
        <v/>
      </c>
      <c r="I28" s="115">
        <f>IF($A28="","",[1]!thsiFinD("ths_adjustment_nv_fund",I$3,$A28))</f>
        <v/>
      </c>
      <c r="J28" s="115">
        <f>IF($A28="","",[1]!thsiFinD("ths_adjustment_nv_fund",J$3,$A28))</f>
        <v/>
      </c>
      <c r="K28" s="115">
        <f>IF($A28="","",[1]!thsiFinD("ths_adjustment_nv_fund",K$3,$A28))</f>
        <v/>
      </c>
      <c r="L28" s="115">
        <f>IF($A28="","",[1]!thsiFinD("ths_adjustment_nv_fund",L$3,$A28))</f>
        <v/>
      </c>
      <c r="M28" s="115">
        <f>IF($A28="","",[1]!thsiFinD("ths_adjustment_nv_fund",M$3,$A28))</f>
        <v/>
      </c>
      <c r="N28" s="115">
        <f>IF($A28="","",[1]!thsiFinD("ths_adjustment_nv_fund",N$3,$A28))</f>
        <v/>
      </c>
    </row>
    <row r="29">
      <c r="A29" s="116" t="n">
        <v>46206</v>
      </c>
      <c r="B29" s="115">
        <f>IF($A29="","",[1]!thsiFinD("ths_adjustment_nv_fund",B$3,$A29))</f>
        <v/>
      </c>
      <c r="C29" s="115">
        <f>IF($A29="","",[1]!thsiFinD("ths_adjustment_nv_fund",C$3,$A29))</f>
        <v/>
      </c>
      <c r="D29" s="115">
        <f>IF($A29="","",[1]!thsiFinD("ths_adjustment_nv_fund",D$3,$A29))</f>
        <v/>
      </c>
      <c r="E29" s="115">
        <f>IF($A29="","",[1]!thsiFinD("ths_adjustment_nv_fund",E$3,$A29))</f>
        <v/>
      </c>
      <c r="F29" s="115">
        <f>IF($A29="","",[1]!thsiFinD("ths_adjustment_nv_fund",F$3,$A29))</f>
        <v/>
      </c>
      <c r="G29" s="115">
        <f>IF($A29="","",[1]!thsiFinD("ths_adjustment_nv_fund",G$3,$A29))</f>
        <v/>
      </c>
      <c r="H29" s="115">
        <f>IF($A29="","",[1]!thsiFinD("ths_adjustment_nv_fund",H$3,$A29))</f>
        <v/>
      </c>
      <c r="I29" s="115">
        <f>IF($A29="","",[1]!thsiFinD("ths_adjustment_nv_fund",I$3,$A29))</f>
        <v/>
      </c>
      <c r="J29" s="115">
        <f>IF($A29="","",[1]!thsiFinD("ths_adjustment_nv_fund",J$3,$A29))</f>
        <v/>
      </c>
      <c r="K29" s="115">
        <f>IF($A29="","",[1]!thsiFinD("ths_adjustment_nv_fund",K$3,$A29))</f>
        <v/>
      </c>
      <c r="L29" s="115">
        <f>IF($A29="","",[1]!thsiFinD("ths_adjustment_nv_fund",L$3,$A29))</f>
        <v/>
      </c>
      <c r="M29" s="115">
        <f>IF($A29="","",[1]!thsiFinD("ths_adjustment_nv_fund",M$3,$A29))</f>
        <v/>
      </c>
      <c r="N29" s="115">
        <f>IF($A29="","",[1]!thsiFinD("ths_adjustment_nv_fund",N$3,$A29))</f>
        <v/>
      </c>
    </row>
    <row r="30">
      <c r="A30" s="116" t="n"/>
      <c r="B30" s="115">
        <f>IF($A30="","",[1]!thsiFinD("ths_adjustment_nv_fund",B$3,$A30))</f>
        <v/>
      </c>
      <c r="C30" s="115">
        <f>IF($A30="","",[1]!thsiFinD("ths_adjustment_nv_fund",C$3,$A30))</f>
        <v/>
      </c>
      <c r="D30" s="115">
        <f>IF($A30="","",[1]!thsiFinD("ths_adjustment_nv_fund",D$3,$A30))</f>
        <v/>
      </c>
      <c r="E30" s="115">
        <f>IF($A30="","",[1]!thsiFinD("ths_adjustment_nv_fund",E$3,$A30))</f>
        <v/>
      </c>
      <c r="F30" s="115">
        <f>IF($A30="","",[1]!thsiFinD("ths_adjustment_nv_fund",F$3,$A30))</f>
        <v/>
      </c>
      <c r="G30" s="115">
        <f>IF($A30="","",[1]!thsiFinD("ths_adjustment_nv_fund",G$3,$A30))</f>
        <v/>
      </c>
      <c r="H30" s="115">
        <f>IF($A30="","",[1]!thsiFinD("ths_adjustment_nv_fund",H$3,$A30))</f>
        <v/>
      </c>
      <c r="I30" s="115">
        <f>IF($A30="","",[1]!thsiFinD("ths_adjustment_nv_fund",I$3,$A30))</f>
        <v/>
      </c>
      <c r="J30" s="115">
        <f>IF($A30="","",[1]!thsiFinD("ths_adjustment_nv_fund",J$3,$A30))</f>
        <v/>
      </c>
      <c r="K30" s="115">
        <f>IF($A30="","",[1]!thsiFinD("ths_adjustment_nv_fund",K$3,$A30))</f>
        <v/>
      </c>
      <c r="L30" s="115">
        <f>IF($A30="","",[1]!thsiFinD("ths_adjustment_nv_fund",L$3,$A30))</f>
        <v/>
      </c>
      <c r="M30" s="115">
        <f>IF($A30="","",[1]!thsiFinD("ths_adjustment_nv_fund",M$3,$A30))</f>
        <v/>
      </c>
      <c r="N30" s="115">
        <f>IF($A30="","",[1]!thsiFinD("ths_adjustment_nv_fund",N$3,$A30))</f>
        <v/>
      </c>
    </row>
    <row r="31">
      <c r="A31" s="116" t="n"/>
      <c r="B31" s="115">
        <f>IF($A31="","",[1]!thsiFinD("ths_adjustment_nv_fund",B$3,$A31))</f>
        <v/>
      </c>
      <c r="C31" s="115">
        <f>IF($A31="","",[1]!thsiFinD("ths_adjustment_nv_fund",C$3,$A31))</f>
        <v/>
      </c>
      <c r="D31" s="115">
        <f>IF($A31="","",[1]!thsiFinD("ths_adjustment_nv_fund",D$3,$A31))</f>
        <v/>
      </c>
      <c r="E31" s="115">
        <f>IF($A31="","",[1]!thsiFinD("ths_adjustment_nv_fund",E$3,$A31))</f>
        <v/>
      </c>
      <c r="F31" s="115">
        <f>IF($A31="","",[1]!thsiFinD("ths_adjustment_nv_fund",F$3,$A31))</f>
        <v/>
      </c>
      <c r="G31" s="115">
        <f>IF($A31="","",[1]!thsiFinD("ths_adjustment_nv_fund",G$3,$A31))</f>
        <v/>
      </c>
      <c r="H31" s="115">
        <f>IF($A31="","",[1]!thsiFinD("ths_adjustment_nv_fund",H$3,$A31))</f>
        <v/>
      </c>
      <c r="I31" s="115">
        <f>IF($A31="","",[1]!thsiFinD("ths_adjustment_nv_fund",I$3,$A31))</f>
        <v/>
      </c>
      <c r="J31" s="115">
        <f>IF($A31="","",[1]!thsiFinD("ths_adjustment_nv_fund",J$3,$A31))</f>
        <v/>
      </c>
      <c r="K31" s="115">
        <f>IF($A31="","",[1]!thsiFinD("ths_adjustment_nv_fund",K$3,$A31))</f>
        <v/>
      </c>
      <c r="L31" s="115">
        <f>IF($A31="","",[1]!thsiFinD("ths_adjustment_nv_fund",L$3,$A31))</f>
        <v/>
      </c>
      <c r="M31" s="115">
        <f>IF($A31="","",[1]!thsiFinD("ths_adjustment_nv_fund",M$3,$A31))</f>
        <v/>
      </c>
      <c r="N31" s="115">
        <f>IF($A31="","",[1]!thsiFinD("ths_adjustment_nv_fund",N$3,$A31))</f>
        <v/>
      </c>
    </row>
    <row r="32">
      <c r="A32" s="116" t="n"/>
      <c r="B32" s="115">
        <f>IF($A32="","",[1]!thsiFinD("ths_adjustment_nv_fund",B$3,$A32))</f>
        <v/>
      </c>
      <c r="C32" s="115">
        <f>IF($A32="","",[1]!thsiFinD("ths_adjustment_nv_fund",C$3,$A32))</f>
        <v/>
      </c>
      <c r="D32" s="115">
        <f>IF($A32="","",[1]!thsiFinD("ths_adjustment_nv_fund",D$3,$A32))</f>
        <v/>
      </c>
      <c r="E32" s="115">
        <f>IF($A32="","",[1]!thsiFinD("ths_adjustment_nv_fund",E$3,$A32))</f>
        <v/>
      </c>
      <c r="F32" s="115">
        <f>IF($A32="","",[1]!thsiFinD("ths_adjustment_nv_fund",F$3,$A32))</f>
        <v/>
      </c>
      <c r="G32" s="115">
        <f>IF($A32="","",[1]!thsiFinD("ths_adjustment_nv_fund",G$3,$A32))</f>
        <v/>
      </c>
      <c r="H32" s="115">
        <f>IF($A32="","",[1]!thsiFinD("ths_adjustment_nv_fund",H$3,$A32))</f>
        <v/>
      </c>
      <c r="I32" s="115">
        <f>IF($A32="","",[1]!thsiFinD("ths_adjustment_nv_fund",I$3,$A32))</f>
        <v/>
      </c>
      <c r="J32" s="115">
        <f>IF($A32="","",[1]!thsiFinD("ths_adjustment_nv_fund",J$3,$A32))</f>
        <v/>
      </c>
      <c r="K32" s="115">
        <f>IF($A32="","",[1]!thsiFinD("ths_adjustment_nv_fund",K$3,$A32))</f>
        <v/>
      </c>
      <c r="L32" s="115">
        <f>IF($A32="","",[1]!thsiFinD("ths_adjustment_nv_fund",L$3,$A32))</f>
        <v/>
      </c>
      <c r="M32" s="115">
        <f>IF($A32="","",[1]!thsiFinD("ths_adjustment_nv_fund",M$3,$A32))</f>
        <v/>
      </c>
      <c r="N32" s="115">
        <f>IF($A32="","",[1]!thsiFinD("ths_adjustment_nv_fund",N$3,$A32))</f>
        <v/>
      </c>
    </row>
    <row r="33">
      <c r="A33" s="116" t="n"/>
      <c r="B33" s="115">
        <f>IF($A33="","",[1]!thsiFinD("ths_adjustment_nv_fund",B$3,$A33))</f>
        <v/>
      </c>
      <c r="C33" s="115">
        <f>IF($A33="","",[1]!thsiFinD("ths_adjustment_nv_fund",C$3,$A33))</f>
        <v/>
      </c>
      <c r="D33" s="115">
        <f>IF($A33="","",[1]!thsiFinD("ths_adjustment_nv_fund",D$3,$A33))</f>
        <v/>
      </c>
      <c r="E33" s="115">
        <f>IF($A33="","",[1]!thsiFinD("ths_adjustment_nv_fund",E$3,$A33))</f>
        <v/>
      </c>
      <c r="F33" s="115">
        <f>IF($A33="","",[1]!thsiFinD("ths_adjustment_nv_fund",F$3,$A33))</f>
        <v/>
      </c>
      <c r="G33" s="115">
        <f>IF($A33="","",[1]!thsiFinD("ths_adjustment_nv_fund",G$3,$A33))</f>
        <v/>
      </c>
      <c r="H33" s="115">
        <f>IF($A33="","",[1]!thsiFinD("ths_adjustment_nv_fund",H$3,$A33))</f>
        <v/>
      </c>
      <c r="I33" s="115">
        <f>IF($A33="","",[1]!thsiFinD("ths_adjustment_nv_fund",I$3,$A33))</f>
        <v/>
      </c>
      <c r="J33" s="115">
        <f>IF($A33="","",[1]!thsiFinD("ths_adjustment_nv_fund",J$3,$A33))</f>
        <v/>
      </c>
      <c r="K33" s="115">
        <f>IF($A33="","",[1]!thsiFinD("ths_adjustment_nv_fund",K$3,$A33))</f>
        <v/>
      </c>
      <c r="L33" s="115">
        <f>IF($A33="","",[1]!thsiFinD("ths_adjustment_nv_fund",L$3,$A33))</f>
        <v/>
      </c>
      <c r="M33" s="115">
        <f>IF($A33="","",[1]!thsiFinD("ths_adjustment_nv_fund",M$3,$A33))</f>
        <v/>
      </c>
      <c r="N33" s="115">
        <f>IF($A33="","",[1]!thsiFinD("ths_adjustment_nv_fund",N$3,$A33))</f>
        <v/>
      </c>
    </row>
    <row r="34">
      <c r="A34" s="116" t="n"/>
      <c r="B34" s="115">
        <f>IF($A34="","",[1]!thsiFinD("ths_adjustment_nv_fund",B$3,$A34))</f>
        <v/>
      </c>
      <c r="C34" s="115">
        <f>IF($A34="","",[1]!thsiFinD("ths_adjustment_nv_fund",C$3,$A34))</f>
        <v/>
      </c>
      <c r="D34" s="115">
        <f>IF($A34="","",[1]!thsiFinD("ths_adjustment_nv_fund",D$3,$A34))</f>
        <v/>
      </c>
      <c r="E34" s="115">
        <f>IF($A34="","",[1]!thsiFinD("ths_adjustment_nv_fund",E$3,$A34))</f>
        <v/>
      </c>
      <c r="F34" s="115">
        <f>IF($A34="","",[1]!thsiFinD("ths_adjustment_nv_fund",F$3,$A34))</f>
        <v/>
      </c>
      <c r="G34" s="115">
        <f>IF($A34="","",[1]!thsiFinD("ths_adjustment_nv_fund",G$3,$A34))</f>
        <v/>
      </c>
      <c r="H34" s="115">
        <f>IF($A34="","",[1]!thsiFinD("ths_adjustment_nv_fund",H$3,$A34))</f>
        <v/>
      </c>
      <c r="I34" s="115">
        <f>IF($A34="","",[1]!thsiFinD("ths_adjustment_nv_fund",I$3,$A34))</f>
        <v/>
      </c>
      <c r="J34" s="115">
        <f>IF($A34="","",[1]!thsiFinD("ths_adjustment_nv_fund",J$3,$A34))</f>
        <v/>
      </c>
      <c r="K34" s="115">
        <f>IF($A34="","",[1]!thsiFinD("ths_adjustment_nv_fund",K$3,$A34))</f>
        <v/>
      </c>
      <c r="L34" s="115">
        <f>IF($A34="","",[1]!thsiFinD("ths_adjustment_nv_fund",L$3,$A34))</f>
        <v/>
      </c>
      <c r="M34" s="115">
        <f>IF($A34="","",[1]!thsiFinD("ths_adjustment_nv_fund",M$3,$A34))</f>
        <v/>
      </c>
      <c r="N34" s="115">
        <f>IF($A34="","",[1]!thsiFinD("ths_adjustment_nv_fund",N$3,$A34))</f>
        <v/>
      </c>
    </row>
    <row r="35">
      <c r="A35" s="116" t="n"/>
      <c r="B35" s="115">
        <f>IF($A35="","",[1]!thsiFinD("ths_adjustment_nv_fund",B$3,$A35))</f>
        <v/>
      </c>
      <c r="C35" s="115">
        <f>IF($A35="","",[1]!thsiFinD("ths_adjustment_nv_fund",C$3,$A35))</f>
        <v/>
      </c>
      <c r="D35" s="115">
        <f>IF($A35="","",[1]!thsiFinD("ths_adjustment_nv_fund",D$3,$A35))</f>
        <v/>
      </c>
      <c r="E35" s="115">
        <f>IF($A35="","",[1]!thsiFinD("ths_adjustment_nv_fund",E$3,$A35))</f>
        <v/>
      </c>
      <c r="F35" s="115">
        <f>IF($A35="","",[1]!thsiFinD("ths_adjustment_nv_fund",F$3,$A35))</f>
        <v/>
      </c>
      <c r="G35" s="115">
        <f>IF($A35="","",[1]!thsiFinD("ths_adjustment_nv_fund",G$3,$A35))</f>
        <v/>
      </c>
      <c r="H35" s="115">
        <f>IF($A35="","",[1]!thsiFinD("ths_adjustment_nv_fund",H$3,$A35))</f>
        <v/>
      </c>
      <c r="I35" s="115">
        <f>IF($A35="","",[1]!thsiFinD("ths_adjustment_nv_fund",I$3,$A35))</f>
        <v/>
      </c>
      <c r="J35" s="115">
        <f>IF($A35="","",[1]!thsiFinD("ths_adjustment_nv_fund",J$3,$A35))</f>
        <v/>
      </c>
      <c r="K35" s="115">
        <f>IF($A35="","",[1]!thsiFinD("ths_adjustment_nv_fund",K$3,$A35))</f>
        <v/>
      </c>
      <c r="L35" s="115">
        <f>IF($A35="","",[1]!thsiFinD("ths_adjustment_nv_fund",L$3,$A35))</f>
        <v/>
      </c>
      <c r="M35" s="115">
        <f>IF($A35="","",[1]!thsiFinD("ths_adjustment_nv_fund",M$3,$A35))</f>
        <v/>
      </c>
      <c r="N35" s="115">
        <f>IF($A35="","",[1]!thsiFinD("ths_adjustment_nv_fund",N$3,$A35))</f>
        <v/>
      </c>
    </row>
    <row r="36">
      <c r="A36" s="116" t="n"/>
      <c r="B36" s="115">
        <f>IF($A36="","",[1]!thsiFinD("ths_adjustment_nv_fund",B$3,$A36))</f>
        <v/>
      </c>
      <c r="C36" s="115">
        <f>IF($A36="","",[1]!thsiFinD("ths_adjustment_nv_fund",C$3,$A36))</f>
        <v/>
      </c>
      <c r="D36" s="115">
        <f>IF($A36="","",[1]!thsiFinD("ths_adjustment_nv_fund",D$3,$A36))</f>
        <v/>
      </c>
      <c r="E36" s="115">
        <f>IF($A36="","",[1]!thsiFinD("ths_adjustment_nv_fund",E$3,$A36))</f>
        <v/>
      </c>
      <c r="F36" s="115">
        <f>IF($A36="","",[1]!thsiFinD("ths_adjustment_nv_fund",F$3,$A36))</f>
        <v/>
      </c>
      <c r="G36" s="115">
        <f>IF($A36="","",[1]!thsiFinD("ths_adjustment_nv_fund",G$3,$A36))</f>
        <v/>
      </c>
      <c r="H36" s="115">
        <f>IF($A36="","",[1]!thsiFinD("ths_adjustment_nv_fund",H$3,$A36))</f>
        <v/>
      </c>
      <c r="I36" s="115">
        <f>IF($A36="","",[1]!thsiFinD("ths_adjustment_nv_fund",I$3,$A36))</f>
        <v/>
      </c>
      <c r="J36" s="115">
        <f>IF($A36="","",[1]!thsiFinD("ths_adjustment_nv_fund",J$3,$A36))</f>
        <v/>
      </c>
      <c r="K36" s="115">
        <f>IF($A36="","",[1]!thsiFinD("ths_adjustment_nv_fund",K$3,$A36))</f>
        <v/>
      </c>
      <c r="L36" s="115">
        <f>IF($A36="","",[1]!thsiFinD("ths_adjustment_nv_fund",L$3,$A36))</f>
        <v/>
      </c>
      <c r="M36" s="115">
        <f>IF($A36="","",[1]!thsiFinD("ths_adjustment_nv_fund",M$3,$A36))</f>
        <v/>
      </c>
      <c r="N36" s="115">
        <f>IF($A36="","",[1]!thsiFinD("ths_adjustment_nv_fund",N$3,$A36))</f>
        <v/>
      </c>
    </row>
    <row r="37">
      <c r="A37" s="116" t="n"/>
      <c r="B37" s="115">
        <f>IF($A37="","",[1]!thsiFinD("ths_adjustment_nv_fund",B$3,$A37))</f>
        <v/>
      </c>
      <c r="C37" s="115">
        <f>IF($A37="","",[1]!thsiFinD("ths_adjustment_nv_fund",C$3,$A37))</f>
        <v/>
      </c>
      <c r="D37" s="115">
        <f>IF($A37="","",[1]!thsiFinD("ths_adjustment_nv_fund",D$3,$A37))</f>
        <v/>
      </c>
      <c r="E37" s="115">
        <f>IF($A37="","",[1]!thsiFinD("ths_adjustment_nv_fund",E$3,$A37))</f>
        <v/>
      </c>
      <c r="F37" s="115">
        <f>IF($A37="","",[1]!thsiFinD("ths_adjustment_nv_fund",F$3,$A37))</f>
        <v/>
      </c>
      <c r="G37" s="115">
        <f>IF($A37="","",[1]!thsiFinD("ths_adjustment_nv_fund",G$3,$A37))</f>
        <v/>
      </c>
      <c r="H37" s="115">
        <f>IF($A37="","",[1]!thsiFinD("ths_adjustment_nv_fund",H$3,$A37))</f>
        <v/>
      </c>
      <c r="I37" s="115">
        <f>IF($A37="","",[1]!thsiFinD("ths_adjustment_nv_fund",I$3,$A37))</f>
        <v/>
      </c>
      <c r="J37" s="115">
        <f>IF($A37="","",[1]!thsiFinD("ths_adjustment_nv_fund",J$3,$A37))</f>
        <v/>
      </c>
      <c r="K37" s="115">
        <f>IF($A37="","",[1]!thsiFinD("ths_adjustment_nv_fund",K$3,$A37))</f>
        <v/>
      </c>
      <c r="L37" s="115">
        <f>IF($A37="","",[1]!thsiFinD("ths_adjustment_nv_fund",L$3,$A37))</f>
        <v/>
      </c>
      <c r="M37" s="115">
        <f>IF($A37="","",[1]!thsiFinD("ths_adjustment_nv_fund",M$3,$A37))</f>
        <v/>
      </c>
      <c r="N37" s="115">
        <f>IF($A37="","",[1]!thsiFinD("ths_adjustment_nv_fund",N$3,$A37))</f>
        <v/>
      </c>
    </row>
    <row r="38">
      <c r="A38" s="116" t="n"/>
      <c r="B38" s="115">
        <f>IF($A38="","",[1]!thsiFinD("ths_adjustment_nv_fund",B$3,$A38))</f>
        <v/>
      </c>
      <c r="C38" s="115">
        <f>IF($A38="","",[1]!thsiFinD("ths_adjustment_nv_fund",C$3,$A38))</f>
        <v/>
      </c>
      <c r="D38" s="115">
        <f>IF($A38="","",[1]!thsiFinD("ths_adjustment_nv_fund",D$3,$A38))</f>
        <v/>
      </c>
      <c r="E38" s="115">
        <f>IF($A38="","",[1]!thsiFinD("ths_adjustment_nv_fund",E$3,$A38))</f>
        <v/>
      </c>
      <c r="F38" s="115">
        <f>IF($A38="","",[1]!thsiFinD("ths_adjustment_nv_fund",F$3,$A38))</f>
        <v/>
      </c>
      <c r="G38" s="115">
        <f>IF($A38="","",[1]!thsiFinD("ths_adjustment_nv_fund",G$3,$A38))</f>
        <v/>
      </c>
      <c r="H38" s="115">
        <f>IF($A38="","",[1]!thsiFinD("ths_adjustment_nv_fund",H$3,$A38))</f>
        <v/>
      </c>
      <c r="I38" s="115">
        <f>IF($A38="","",[1]!thsiFinD("ths_adjustment_nv_fund",I$3,$A38))</f>
        <v/>
      </c>
      <c r="J38" s="115">
        <f>IF($A38="","",[1]!thsiFinD("ths_adjustment_nv_fund",J$3,$A38))</f>
        <v/>
      </c>
      <c r="K38" s="115">
        <f>IF($A38="","",[1]!thsiFinD("ths_adjustment_nv_fund",K$3,$A38))</f>
        <v/>
      </c>
      <c r="L38" s="115">
        <f>IF($A38="","",[1]!thsiFinD("ths_adjustment_nv_fund",L$3,$A38))</f>
        <v/>
      </c>
      <c r="M38" s="115">
        <f>IF($A38="","",[1]!thsiFinD("ths_adjustment_nv_fund",M$3,$A38))</f>
        <v/>
      </c>
      <c r="N38" s="115">
        <f>IF($A38="","",[1]!thsiFinD("ths_adjustment_nv_fund",N$3,$A38))</f>
        <v/>
      </c>
    </row>
    <row r="39">
      <c r="A39" s="116" t="n"/>
      <c r="B39" s="115">
        <f>IF($A39="","",[1]!thsiFinD("ths_adjustment_nv_fund",B$3,$A39))</f>
        <v/>
      </c>
      <c r="C39" s="115">
        <f>IF($A39="","",[1]!thsiFinD("ths_adjustment_nv_fund",C$3,$A39))</f>
        <v/>
      </c>
      <c r="D39" s="115">
        <f>IF($A39="","",[1]!thsiFinD("ths_adjustment_nv_fund",D$3,$A39))</f>
        <v/>
      </c>
      <c r="E39" s="115">
        <f>IF($A39="","",[1]!thsiFinD("ths_adjustment_nv_fund",E$3,$A39))</f>
        <v/>
      </c>
      <c r="F39" s="115">
        <f>IF($A39="","",[1]!thsiFinD("ths_adjustment_nv_fund",F$3,$A39))</f>
        <v/>
      </c>
      <c r="G39" s="115">
        <f>IF($A39="","",[1]!thsiFinD("ths_adjustment_nv_fund",G$3,$A39))</f>
        <v/>
      </c>
      <c r="H39" s="115">
        <f>IF($A39="","",[1]!thsiFinD("ths_adjustment_nv_fund",H$3,$A39))</f>
        <v/>
      </c>
      <c r="I39" s="115">
        <f>IF($A39="","",[1]!thsiFinD("ths_adjustment_nv_fund",I$3,$A39))</f>
        <v/>
      </c>
      <c r="J39" s="115">
        <f>IF($A39="","",[1]!thsiFinD("ths_adjustment_nv_fund",J$3,$A39))</f>
        <v/>
      </c>
      <c r="K39" s="115">
        <f>IF($A39="","",[1]!thsiFinD("ths_adjustment_nv_fund",K$3,$A39))</f>
        <v/>
      </c>
      <c r="L39" s="115">
        <f>IF($A39="","",[1]!thsiFinD("ths_adjustment_nv_fund",L$3,$A39))</f>
        <v/>
      </c>
      <c r="M39" s="115">
        <f>IF($A39="","",[1]!thsiFinD("ths_adjustment_nv_fund",M$3,$A39))</f>
        <v/>
      </c>
      <c r="N39" s="115">
        <f>IF($A39="","",[1]!thsiFinD("ths_adjustment_nv_fund",N$3,$A39))</f>
        <v/>
      </c>
    </row>
    <row r="40">
      <c r="A40" s="116" t="n"/>
      <c r="B40" s="115">
        <f>IF($A40="","",[1]!thsiFinD("ths_adjustment_nv_fund",B$3,$A40))</f>
        <v/>
      </c>
      <c r="C40" s="115">
        <f>IF($A40="","",[1]!thsiFinD("ths_adjustment_nv_fund",C$3,$A40))</f>
        <v/>
      </c>
      <c r="D40" s="115">
        <f>IF($A40="","",[1]!thsiFinD("ths_adjustment_nv_fund",D$3,$A40))</f>
        <v/>
      </c>
      <c r="E40" s="115">
        <f>IF($A40="","",[1]!thsiFinD("ths_adjustment_nv_fund",E$3,$A40))</f>
        <v/>
      </c>
      <c r="F40" s="115">
        <f>IF($A40="","",[1]!thsiFinD("ths_adjustment_nv_fund",F$3,$A40))</f>
        <v/>
      </c>
      <c r="G40" s="115">
        <f>IF($A40="","",[1]!thsiFinD("ths_adjustment_nv_fund",G$3,$A40))</f>
        <v/>
      </c>
      <c r="H40" s="115">
        <f>IF($A40="","",[1]!thsiFinD("ths_adjustment_nv_fund",H$3,$A40))</f>
        <v/>
      </c>
      <c r="I40" s="115">
        <f>IF($A40="","",[1]!thsiFinD("ths_adjustment_nv_fund",I$3,$A40))</f>
        <v/>
      </c>
      <c r="J40" s="115">
        <f>IF($A40="","",[1]!thsiFinD("ths_adjustment_nv_fund",J$3,$A40))</f>
        <v/>
      </c>
      <c r="K40" s="115">
        <f>IF($A40="","",[1]!thsiFinD("ths_adjustment_nv_fund",K$3,$A40))</f>
        <v/>
      </c>
      <c r="L40" s="115">
        <f>IF($A40="","",[1]!thsiFinD("ths_adjustment_nv_fund",L$3,$A40))</f>
        <v/>
      </c>
      <c r="M40" s="115">
        <f>IF($A40="","",[1]!thsiFinD("ths_adjustment_nv_fund",M$3,$A40))</f>
        <v/>
      </c>
      <c r="N40" s="115">
        <f>IF($A40="","",[1]!thsiFinD("ths_adjustment_nv_fund",N$3,$A40))</f>
        <v/>
      </c>
    </row>
    <row r="41">
      <c r="A41" s="116" t="n"/>
      <c r="B41" s="115">
        <f>IF($A41="","",[1]!thsiFinD("ths_adjustment_nv_fund",B$3,$A41))</f>
        <v/>
      </c>
      <c r="C41" s="115">
        <f>IF($A41="","",[1]!thsiFinD("ths_adjustment_nv_fund",C$3,$A41))</f>
        <v/>
      </c>
      <c r="D41" s="115">
        <f>IF($A41="","",[1]!thsiFinD("ths_adjustment_nv_fund",D$3,$A41))</f>
        <v/>
      </c>
      <c r="E41" s="115">
        <f>IF($A41="","",[1]!thsiFinD("ths_adjustment_nv_fund",E$3,$A41))</f>
        <v/>
      </c>
      <c r="F41" s="115">
        <f>IF($A41="","",[1]!thsiFinD("ths_adjustment_nv_fund",F$3,$A41))</f>
        <v/>
      </c>
      <c r="G41" s="115">
        <f>IF($A41="","",[1]!thsiFinD("ths_adjustment_nv_fund",G$3,$A41))</f>
        <v/>
      </c>
      <c r="H41" s="115">
        <f>IF($A41="","",[1]!thsiFinD("ths_adjustment_nv_fund",H$3,$A41))</f>
        <v/>
      </c>
      <c r="I41" s="115">
        <f>IF($A41="","",[1]!thsiFinD("ths_adjustment_nv_fund",I$3,$A41))</f>
        <v/>
      </c>
      <c r="J41" s="115">
        <f>IF($A41="","",[1]!thsiFinD("ths_adjustment_nv_fund",J$3,$A41))</f>
        <v/>
      </c>
      <c r="K41" s="115">
        <f>IF($A41="","",[1]!thsiFinD("ths_adjustment_nv_fund",K$3,$A41))</f>
        <v/>
      </c>
      <c r="L41" s="115">
        <f>IF($A41="","",[1]!thsiFinD("ths_adjustment_nv_fund",L$3,$A41))</f>
        <v/>
      </c>
      <c r="M41" s="115">
        <f>IF($A41="","",[1]!thsiFinD("ths_adjustment_nv_fund",M$3,$A41))</f>
        <v/>
      </c>
      <c r="N41" s="115">
        <f>IF($A41="","",[1]!thsiFinD("ths_adjustment_nv_fund",N$3,$A41))</f>
        <v/>
      </c>
    </row>
    <row r="42">
      <c r="A42" s="116" t="n"/>
      <c r="B42" s="115">
        <f>IF($A42="","",[1]!thsiFinD("ths_adjustment_nv_fund",B$3,$A42))</f>
        <v/>
      </c>
      <c r="C42" s="115">
        <f>IF($A42="","",[1]!thsiFinD("ths_adjustment_nv_fund",C$3,$A42))</f>
        <v/>
      </c>
      <c r="D42" s="115">
        <f>IF($A42="","",[1]!thsiFinD("ths_adjustment_nv_fund",D$3,$A42))</f>
        <v/>
      </c>
      <c r="E42" s="115">
        <f>IF($A42="","",[1]!thsiFinD("ths_adjustment_nv_fund",E$3,$A42))</f>
        <v/>
      </c>
      <c r="F42" s="115">
        <f>IF($A42="","",[1]!thsiFinD("ths_adjustment_nv_fund",F$3,$A42))</f>
        <v/>
      </c>
      <c r="G42" s="115">
        <f>IF($A42="","",[1]!thsiFinD("ths_adjustment_nv_fund",G$3,$A42))</f>
        <v/>
      </c>
      <c r="H42" s="115">
        <f>IF($A42="","",[1]!thsiFinD("ths_adjustment_nv_fund",H$3,$A42))</f>
        <v/>
      </c>
      <c r="I42" s="115">
        <f>IF($A42="","",[1]!thsiFinD("ths_adjustment_nv_fund",I$3,$A42))</f>
        <v/>
      </c>
      <c r="J42" s="115">
        <f>IF($A42="","",[1]!thsiFinD("ths_adjustment_nv_fund",J$3,$A42))</f>
        <v/>
      </c>
      <c r="K42" s="115">
        <f>IF($A42="","",[1]!thsiFinD("ths_adjustment_nv_fund",K$3,$A42))</f>
        <v/>
      </c>
      <c r="L42" s="115">
        <f>IF($A42="","",[1]!thsiFinD("ths_adjustment_nv_fund",L$3,$A42))</f>
        <v/>
      </c>
      <c r="M42" s="115">
        <f>IF($A42="","",[1]!thsiFinD("ths_adjustment_nv_fund",M$3,$A42))</f>
        <v/>
      </c>
      <c r="N42" s="115">
        <f>IF($A42="","",[1]!thsiFinD("ths_adjustment_nv_fund",N$3,$A42))</f>
        <v/>
      </c>
    </row>
    <row r="43">
      <c r="A43" s="116" t="n"/>
      <c r="B43" s="115">
        <f>IF($A43="","",[1]!thsiFinD("ths_adjustment_nv_fund",B$3,$A43))</f>
        <v/>
      </c>
      <c r="C43" s="115">
        <f>IF($A43="","",[1]!thsiFinD("ths_adjustment_nv_fund",C$3,$A43))</f>
        <v/>
      </c>
      <c r="D43" s="115">
        <f>IF($A43="","",[1]!thsiFinD("ths_adjustment_nv_fund",D$3,$A43))</f>
        <v/>
      </c>
      <c r="E43" s="115">
        <f>IF($A43="","",[1]!thsiFinD("ths_adjustment_nv_fund",E$3,$A43))</f>
        <v/>
      </c>
      <c r="F43" s="115">
        <f>IF($A43="","",[1]!thsiFinD("ths_adjustment_nv_fund",F$3,$A43))</f>
        <v/>
      </c>
      <c r="G43" s="115">
        <f>IF($A43="","",[1]!thsiFinD("ths_adjustment_nv_fund",G$3,$A43))</f>
        <v/>
      </c>
      <c r="H43" s="115">
        <f>IF($A43="","",[1]!thsiFinD("ths_adjustment_nv_fund",H$3,$A43))</f>
        <v/>
      </c>
      <c r="I43" s="115">
        <f>IF($A43="","",[1]!thsiFinD("ths_adjustment_nv_fund",I$3,$A43))</f>
        <v/>
      </c>
      <c r="J43" s="115">
        <f>IF($A43="","",[1]!thsiFinD("ths_adjustment_nv_fund",J$3,$A43))</f>
        <v/>
      </c>
      <c r="K43" s="115">
        <f>IF($A43="","",[1]!thsiFinD("ths_adjustment_nv_fund",K$3,$A43))</f>
        <v/>
      </c>
      <c r="L43" s="115">
        <f>IF($A43="","",[1]!thsiFinD("ths_adjustment_nv_fund",L$3,$A43))</f>
        <v/>
      </c>
      <c r="M43" s="115">
        <f>IF($A43="","",[1]!thsiFinD("ths_adjustment_nv_fund",M$3,$A43))</f>
        <v/>
      </c>
      <c r="N43" s="115">
        <f>IF($A43="","",[1]!thsiFinD("ths_adjustment_nv_fund",N$3,$A43))</f>
        <v/>
      </c>
    </row>
    <row r="44">
      <c r="A44" s="116" t="n"/>
      <c r="B44" s="115">
        <f>IF($A44="","",[1]!thsiFinD("ths_adjustment_nv_fund",B$3,$A44))</f>
        <v/>
      </c>
      <c r="C44" s="115">
        <f>IF($A44="","",[1]!thsiFinD("ths_adjustment_nv_fund",C$3,$A44))</f>
        <v/>
      </c>
      <c r="D44" s="115">
        <f>IF($A44="","",[1]!thsiFinD("ths_adjustment_nv_fund",D$3,$A44))</f>
        <v/>
      </c>
      <c r="E44" s="115">
        <f>IF($A44="","",[1]!thsiFinD("ths_adjustment_nv_fund",E$3,$A44))</f>
        <v/>
      </c>
      <c r="F44" s="115">
        <f>IF($A44="","",[1]!thsiFinD("ths_adjustment_nv_fund",F$3,$A44))</f>
        <v/>
      </c>
      <c r="G44" s="115">
        <f>IF($A44="","",[1]!thsiFinD("ths_adjustment_nv_fund",G$3,$A44))</f>
        <v/>
      </c>
      <c r="H44" s="115">
        <f>IF($A44="","",[1]!thsiFinD("ths_adjustment_nv_fund",H$3,$A44))</f>
        <v/>
      </c>
      <c r="I44" s="115">
        <f>IF($A44="","",[1]!thsiFinD("ths_adjustment_nv_fund",I$3,$A44))</f>
        <v/>
      </c>
      <c r="J44" s="115">
        <f>IF($A44="","",[1]!thsiFinD("ths_adjustment_nv_fund",J$3,$A44))</f>
        <v/>
      </c>
      <c r="K44" s="115">
        <f>IF($A44="","",[1]!thsiFinD("ths_adjustment_nv_fund",K$3,$A44))</f>
        <v/>
      </c>
      <c r="L44" s="115">
        <f>IF($A44="","",[1]!thsiFinD("ths_adjustment_nv_fund",L$3,$A44))</f>
        <v/>
      </c>
      <c r="M44" s="115">
        <f>IF($A44="","",[1]!thsiFinD("ths_adjustment_nv_fund",M$3,$A44))</f>
        <v/>
      </c>
      <c r="N44" s="115">
        <f>IF($A44="","",[1]!thsiFinD("ths_adjustment_nv_fund",N$3,$A44))</f>
        <v/>
      </c>
    </row>
    <row r="45">
      <c r="A45" s="116" t="n"/>
      <c r="B45" s="115">
        <f>IF($A45="","",[1]!thsiFinD("ths_adjustment_nv_fund",B$3,$A45))</f>
        <v/>
      </c>
      <c r="C45" s="115">
        <f>IF($A45="","",[1]!thsiFinD("ths_adjustment_nv_fund",C$3,$A45))</f>
        <v/>
      </c>
      <c r="D45" s="115">
        <f>IF($A45="","",[1]!thsiFinD("ths_adjustment_nv_fund",D$3,$A45))</f>
        <v/>
      </c>
      <c r="E45" s="115">
        <f>IF($A45="","",[1]!thsiFinD("ths_adjustment_nv_fund",E$3,$A45))</f>
        <v/>
      </c>
      <c r="F45" s="115">
        <f>IF($A45="","",[1]!thsiFinD("ths_adjustment_nv_fund",F$3,$A45))</f>
        <v/>
      </c>
      <c r="G45" s="115">
        <f>IF($A45="","",[1]!thsiFinD("ths_adjustment_nv_fund",G$3,$A45))</f>
        <v/>
      </c>
      <c r="H45" s="115">
        <f>IF($A45="","",[1]!thsiFinD("ths_adjustment_nv_fund",H$3,$A45))</f>
        <v/>
      </c>
      <c r="I45" s="115">
        <f>IF($A45="","",[1]!thsiFinD("ths_adjustment_nv_fund",I$3,$A45))</f>
        <v/>
      </c>
      <c r="J45" s="115">
        <f>IF($A45="","",[1]!thsiFinD("ths_adjustment_nv_fund",J$3,$A45))</f>
        <v/>
      </c>
      <c r="K45" s="115">
        <f>IF($A45="","",[1]!thsiFinD("ths_adjustment_nv_fund",K$3,$A45))</f>
        <v/>
      </c>
      <c r="L45" s="115">
        <f>IF($A45="","",[1]!thsiFinD("ths_adjustment_nv_fund",L$3,$A45))</f>
        <v/>
      </c>
      <c r="M45" s="115">
        <f>IF($A45="","",[1]!thsiFinD("ths_adjustment_nv_fund",M$3,$A45))</f>
        <v/>
      </c>
      <c r="N45" s="115">
        <f>IF($A45="","",[1]!thsiFinD("ths_adjustment_nv_fund",N$3,$A45))</f>
        <v/>
      </c>
    </row>
    <row r="46">
      <c r="A46" s="116" t="n"/>
      <c r="B46" s="115">
        <f>IF($A46="","",[1]!thsiFinD("ths_adjustment_nv_fund",B$3,$A46))</f>
        <v/>
      </c>
      <c r="C46" s="115">
        <f>IF($A46="","",[1]!thsiFinD("ths_adjustment_nv_fund",C$3,$A46))</f>
        <v/>
      </c>
      <c r="D46" s="115">
        <f>IF($A46="","",[1]!thsiFinD("ths_adjustment_nv_fund",D$3,$A46))</f>
        <v/>
      </c>
      <c r="E46" s="115">
        <f>IF($A46="","",[1]!thsiFinD("ths_adjustment_nv_fund",E$3,$A46))</f>
        <v/>
      </c>
      <c r="F46" s="115">
        <f>IF($A46="","",[1]!thsiFinD("ths_adjustment_nv_fund",F$3,$A46))</f>
        <v/>
      </c>
      <c r="G46" s="115">
        <f>IF($A46="","",[1]!thsiFinD("ths_adjustment_nv_fund",G$3,$A46))</f>
        <v/>
      </c>
      <c r="H46" s="115">
        <f>IF($A46="","",[1]!thsiFinD("ths_adjustment_nv_fund",H$3,$A46))</f>
        <v/>
      </c>
      <c r="I46" s="115">
        <f>IF($A46="","",[1]!thsiFinD("ths_adjustment_nv_fund",I$3,$A46))</f>
        <v/>
      </c>
      <c r="J46" s="115">
        <f>IF($A46="","",[1]!thsiFinD("ths_adjustment_nv_fund",J$3,$A46))</f>
        <v/>
      </c>
      <c r="K46" s="115">
        <f>IF($A46="","",[1]!thsiFinD("ths_adjustment_nv_fund",K$3,$A46))</f>
        <v/>
      </c>
      <c r="L46" s="115">
        <f>IF($A46="","",[1]!thsiFinD("ths_adjustment_nv_fund",L$3,$A46))</f>
        <v/>
      </c>
      <c r="M46" s="115">
        <f>IF($A46="","",[1]!thsiFinD("ths_adjustment_nv_fund",M$3,$A46))</f>
        <v/>
      </c>
      <c r="N46" s="115">
        <f>IF($A46="","",[1]!thsiFinD("ths_adjustment_nv_fund",N$3,$A46))</f>
        <v/>
      </c>
    </row>
    <row r="47">
      <c r="A47" s="116" t="n"/>
      <c r="B47" s="115">
        <f>IF($A47="","",[1]!thsiFinD("ths_adjustment_nv_fund",B$3,$A47))</f>
        <v/>
      </c>
      <c r="C47" s="115">
        <f>IF($A47="","",[1]!thsiFinD("ths_adjustment_nv_fund",C$3,$A47))</f>
        <v/>
      </c>
      <c r="D47" s="115">
        <f>IF($A47="","",[1]!thsiFinD("ths_adjustment_nv_fund",D$3,$A47))</f>
        <v/>
      </c>
      <c r="E47" s="115">
        <f>IF($A47="","",[1]!thsiFinD("ths_adjustment_nv_fund",E$3,$A47))</f>
        <v/>
      </c>
      <c r="F47" s="115">
        <f>IF($A47="","",[1]!thsiFinD("ths_adjustment_nv_fund",F$3,$A47))</f>
        <v/>
      </c>
      <c r="G47" s="115">
        <f>IF($A47="","",[1]!thsiFinD("ths_adjustment_nv_fund",G$3,$A47))</f>
        <v/>
      </c>
      <c r="H47" s="115">
        <f>IF($A47="","",[1]!thsiFinD("ths_adjustment_nv_fund",H$3,$A47))</f>
        <v/>
      </c>
      <c r="I47" s="115">
        <f>IF($A47="","",[1]!thsiFinD("ths_adjustment_nv_fund",I$3,$A47))</f>
        <v/>
      </c>
      <c r="J47" s="115">
        <f>IF($A47="","",[1]!thsiFinD("ths_adjustment_nv_fund",J$3,$A47))</f>
        <v/>
      </c>
      <c r="K47" s="115">
        <f>IF($A47="","",[1]!thsiFinD("ths_adjustment_nv_fund",K$3,$A47))</f>
        <v/>
      </c>
      <c r="L47" s="115">
        <f>IF($A47="","",[1]!thsiFinD("ths_adjustment_nv_fund",L$3,$A47))</f>
        <v/>
      </c>
      <c r="M47" s="115">
        <f>IF($A47="","",[1]!thsiFinD("ths_adjustment_nv_fund",M$3,$A47))</f>
        <v/>
      </c>
      <c r="N47" s="115">
        <f>IF($A47="","",[1]!thsiFinD("ths_adjustment_nv_fund",N$3,$A47))</f>
        <v/>
      </c>
    </row>
    <row r="48">
      <c r="A48" s="116" t="n"/>
      <c r="B48" s="115">
        <f>IF($A48="","",[1]!thsiFinD("ths_adjustment_nv_fund",B$3,$A48))</f>
        <v/>
      </c>
      <c r="C48" s="115">
        <f>IF($A48="","",[1]!thsiFinD("ths_adjustment_nv_fund",C$3,$A48))</f>
        <v/>
      </c>
      <c r="D48" s="115">
        <f>IF($A48="","",[1]!thsiFinD("ths_adjustment_nv_fund",D$3,$A48))</f>
        <v/>
      </c>
      <c r="E48" s="115">
        <f>IF($A48="","",[1]!thsiFinD("ths_adjustment_nv_fund",E$3,$A48))</f>
        <v/>
      </c>
      <c r="F48" s="115">
        <f>IF($A48="","",[1]!thsiFinD("ths_adjustment_nv_fund",F$3,$A48))</f>
        <v/>
      </c>
      <c r="G48" s="115">
        <f>IF($A48="","",[1]!thsiFinD("ths_adjustment_nv_fund",G$3,$A48))</f>
        <v/>
      </c>
      <c r="H48" s="115">
        <f>IF($A48="","",[1]!thsiFinD("ths_adjustment_nv_fund",H$3,$A48))</f>
        <v/>
      </c>
      <c r="I48" s="115">
        <f>IF($A48="","",[1]!thsiFinD("ths_adjustment_nv_fund",I$3,$A48))</f>
        <v/>
      </c>
      <c r="J48" s="115">
        <f>IF($A48="","",[1]!thsiFinD("ths_adjustment_nv_fund",J$3,$A48))</f>
        <v/>
      </c>
      <c r="K48" s="115">
        <f>IF($A48="","",[1]!thsiFinD("ths_adjustment_nv_fund",K$3,$A48))</f>
        <v/>
      </c>
      <c r="L48" s="115">
        <f>IF($A48="","",[1]!thsiFinD("ths_adjustment_nv_fund",L$3,$A48))</f>
        <v/>
      </c>
      <c r="M48" s="115">
        <f>IF($A48="","",[1]!thsiFinD("ths_adjustment_nv_fund",M$3,$A48))</f>
        <v/>
      </c>
      <c r="N48" s="115">
        <f>IF($A48="","",[1]!thsiFinD("ths_adjustment_nv_fund",N$3,$A48))</f>
        <v/>
      </c>
    </row>
    <row r="49">
      <c r="A49" s="116" t="n"/>
      <c r="B49" s="115">
        <f>IF($A49="","",[1]!thsiFinD("ths_adjustment_nv_fund",B$3,$A49))</f>
        <v/>
      </c>
      <c r="C49" s="115">
        <f>IF($A49="","",[1]!thsiFinD("ths_adjustment_nv_fund",C$3,$A49))</f>
        <v/>
      </c>
      <c r="D49" s="115">
        <f>IF($A49="","",[1]!thsiFinD("ths_adjustment_nv_fund",D$3,$A49))</f>
        <v/>
      </c>
      <c r="E49" s="115">
        <f>IF($A49="","",[1]!thsiFinD("ths_adjustment_nv_fund",E$3,$A49))</f>
        <v/>
      </c>
      <c r="F49" s="115">
        <f>IF($A49="","",[1]!thsiFinD("ths_adjustment_nv_fund",F$3,$A49))</f>
        <v/>
      </c>
      <c r="G49" s="115">
        <f>IF($A49="","",[1]!thsiFinD("ths_adjustment_nv_fund",G$3,$A49))</f>
        <v/>
      </c>
      <c r="H49" s="115">
        <f>IF($A49="","",[1]!thsiFinD("ths_adjustment_nv_fund",H$3,$A49))</f>
        <v/>
      </c>
      <c r="I49" s="115">
        <f>IF($A49="","",[1]!thsiFinD("ths_adjustment_nv_fund",I$3,$A49))</f>
        <v/>
      </c>
      <c r="J49" s="115">
        <f>IF($A49="","",[1]!thsiFinD("ths_adjustment_nv_fund",J$3,$A49))</f>
        <v/>
      </c>
      <c r="K49" s="115">
        <f>IF($A49="","",[1]!thsiFinD("ths_adjustment_nv_fund",K$3,$A49))</f>
        <v/>
      </c>
      <c r="L49" s="115">
        <f>IF($A49="","",[1]!thsiFinD("ths_adjustment_nv_fund",L$3,$A49))</f>
        <v/>
      </c>
      <c r="M49" s="115">
        <f>IF($A49="","",[1]!thsiFinD("ths_adjustment_nv_fund",M$3,$A49))</f>
        <v/>
      </c>
      <c r="N49" s="115">
        <f>IF($A49="","",[1]!thsiFinD("ths_adjustment_nv_fund",N$3,$A49))</f>
        <v/>
      </c>
    </row>
    <row r="50">
      <c r="A50" s="116" t="n"/>
      <c r="B50" s="115">
        <f>IF($A50="","",[1]!thsiFinD("ths_adjustment_nv_fund",B$3,$A50))</f>
        <v/>
      </c>
      <c r="C50" s="115">
        <f>IF($A50="","",[1]!thsiFinD("ths_adjustment_nv_fund",C$3,$A50))</f>
        <v/>
      </c>
      <c r="D50" s="115">
        <f>IF($A50="","",[1]!thsiFinD("ths_adjustment_nv_fund",D$3,$A50))</f>
        <v/>
      </c>
      <c r="E50" s="115">
        <f>IF($A50="","",[1]!thsiFinD("ths_adjustment_nv_fund",E$3,$A50))</f>
        <v/>
      </c>
      <c r="F50" s="115">
        <f>IF($A50="","",[1]!thsiFinD("ths_adjustment_nv_fund",F$3,$A50))</f>
        <v/>
      </c>
      <c r="G50" s="115">
        <f>IF($A50="","",[1]!thsiFinD("ths_adjustment_nv_fund",G$3,$A50))</f>
        <v/>
      </c>
      <c r="H50" s="115">
        <f>IF($A50="","",[1]!thsiFinD("ths_adjustment_nv_fund",H$3,$A50))</f>
        <v/>
      </c>
      <c r="I50" s="115">
        <f>IF($A50="","",[1]!thsiFinD("ths_adjustment_nv_fund",I$3,$A50))</f>
        <v/>
      </c>
      <c r="J50" s="115">
        <f>IF($A50="","",[1]!thsiFinD("ths_adjustment_nv_fund",J$3,$A50))</f>
        <v/>
      </c>
      <c r="K50" s="115">
        <f>IF($A50="","",[1]!thsiFinD("ths_adjustment_nv_fund",K$3,$A50))</f>
        <v/>
      </c>
      <c r="L50" s="115">
        <f>IF($A50="","",[1]!thsiFinD("ths_adjustment_nv_fund",L$3,$A50))</f>
        <v/>
      </c>
      <c r="M50" s="115">
        <f>IF($A50="","",[1]!thsiFinD("ths_adjustment_nv_fund",M$3,$A50))</f>
        <v/>
      </c>
      <c r="N50" s="115">
        <f>IF($A50="","",[1]!thsiFinD("ths_adjustment_nv_fund",N$3,$A50))</f>
        <v/>
      </c>
    </row>
    <row r="51">
      <c r="A51" s="116" t="n"/>
      <c r="B51" s="115">
        <f>IF($A51="","",[1]!thsiFinD("ths_adjustment_nv_fund",B$3,$A51))</f>
        <v/>
      </c>
      <c r="C51" s="115">
        <f>IF($A51="","",[1]!thsiFinD("ths_adjustment_nv_fund",C$3,$A51))</f>
        <v/>
      </c>
      <c r="D51" s="115">
        <f>IF($A51="","",[1]!thsiFinD("ths_adjustment_nv_fund",D$3,$A51))</f>
        <v/>
      </c>
      <c r="E51" s="115">
        <f>IF($A51="","",[1]!thsiFinD("ths_adjustment_nv_fund",E$3,$A51))</f>
        <v/>
      </c>
      <c r="F51" s="115">
        <f>IF($A51="","",[1]!thsiFinD("ths_adjustment_nv_fund",F$3,$A51))</f>
        <v/>
      </c>
      <c r="G51" s="115">
        <f>IF($A51="","",[1]!thsiFinD("ths_adjustment_nv_fund",G$3,$A51))</f>
        <v/>
      </c>
      <c r="H51" s="115">
        <f>IF($A51="","",[1]!thsiFinD("ths_adjustment_nv_fund",H$3,$A51))</f>
        <v/>
      </c>
      <c r="I51" s="115">
        <f>IF($A51="","",[1]!thsiFinD("ths_adjustment_nv_fund",I$3,$A51))</f>
        <v/>
      </c>
      <c r="J51" s="115">
        <f>IF($A51="","",[1]!thsiFinD("ths_adjustment_nv_fund",J$3,$A51))</f>
        <v/>
      </c>
      <c r="K51" s="115">
        <f>IF($A51="","",[1]!thsiFinD("ths_adjustment_nv_fund",K$3,$A51))</f>
        <v/>
      </c>
      <c r="L51" s="115">
        <f>IF($A51="","",[1]!thsiFinD("ths_adjustment_nv_fund",L$3,$A51))</f>
        <v/>
      </c>
      <c r="M51" s="115">
        <f>IF($A51="","",[1]!thsiFinD("ths_adjustment_nv_fund",M$3,$A51))</f>
        <v/>
      </c>
      <c r="N51" s="115">
        <f>IF($A51="","",[1]!thsiFinD("ths_adjustment_nv_fund",N$3,$A51))</f>
        <v/>
      </c>
    </row>
    <row r="52">
      <c r="A52" s="116" t="n"/>
      <c r="B52" s="115">
        <f>IF($A52="","",[1]!thsiFinD("ths_adjustment_nv_fund",B$3,$A52))</f>
        <v/>
      </c>
      <c r="C52" s="115">
        <f>IF($A52="","",[1]!thsiFinD("ths_adjustment_nv_fund",C$3,$A52))</f>
        <v/>
      </c>
      <c r="D52" s="115">
        <f>IF($A52="","",[1]!thsiFinD("ths_adjustment_nv_fund",D$3,$A52))</f>
        <v/>
      </c>
      <c r="E52" s="115">
        <f>IF($A52="","",[1]!thsiFinD("ths_adjustment_nv_fund",E$3,$A52))</f>
        <v/>
      </c>
      <c r="F52" s="115">
        <f>IF($A52="","",[1]!thsiFinD("ths_adjustment_nv_fund",F$3,$A52))</f>
        <v/>
      </c>
      <c r="G52" s="115">
        <f>IF($A52="","",[1]!thsiFinD("ths_adjustment_nv_fund",G$3,$A52))</f>
        <v/>
      </c>
      <c r="H52" s="115">
        <f>IF($A52="","",[1]!thsiFinD("ths_adjustment_nv_fund",H$3,$A52))</f>
        <v/>
      </c>
      <c r="I52" s="115">
        <f>IF($A52="","",[1]!thsiFinD("ths_adjustment_nv_fund",I$3,$A52))</f>
        <v/>
      </c>
      <c r="J52" s="115">
        <f>IF($A52="","",[1]!thsiFinD("ths_adjustment_nv_fund",J$3,$A52))</f>
        <v/>
      </c>
      <c r="K52" s="115">
        <f>IF($A52="","",[1]!thsiFinD("ths_adjustment_nv_fund",K$3,$A52))</f>
        <v/>
      </c>
      <c r="L52" s="115">
        <f>IF($A52="","",[1]!thsiFinD("ths_adjustment_nv_fund",L$3,$A52))</f>
        <v/>
      </c>
      <c r="M52" s="115">
        <f>IF($A52="","",[1]!thsiFinD("ths_adjustment_nv_fund",M$3,$A52))</f>
        <v/>
      </c>
      <c r="N52" s="115">
        <f>IF($A52="","",[1]!thsiFinD("ths_adjustment_nv_fund",N$3,$A52))</f>
        <v/>
      </c>
    </row>
    <row r="53">
      <c r="A53" s="116" t="n"/>
      <c r="B53" s="115">
        <f>IF($A53="","",[1]!thsiFinD("ths_adjustment_nv_fund",B$3,$A53))</f>
        <v/>
      </c>
      <c r="C53" s="115">
        <f>IF($A53="","",[1]!thsiFinD("ths_adjustment_nv_fund",C$3,$A53))</f>
        <v/>
      </c>
      <c r="D53" s="115">
        <f>IF($A53="","",[1]!thsiFinD("ths_adjustment_nv_fund",D$3,$A53))</f>
        <v/>
      </c>
      <c r="E53" s="115">
        <f>IF($A53="","",[1]!thsiFinD("ths_adjustment_nv_fund",E$3,$A53))</f>
        <v/>
      </c>
      <c r="F53" s="115">
        <f>IF($A53="","",[1]!thsiFinD("ths_adjustment_nv_fund",F$3,$A53))</f>
        <v/>
      </c>
      <c r="G53" s="115">
        <f>IF($A53="","",[1]!thsiFinD("ths_adjustment_nv_fund",G$3,$A53))</f>
        <v/>
      </c>
      <c r="H53" s="115">
        <f>IF($A53="","",[1]!thsiFinD("ths_adjustment_nv_fund",H$3,$A53))</f>
        <v/>
      </c>
      <c r="I53" s="115">
        <f>IF($A53="","",[1]!thsiFinD("ths_adjustment_nv_fund",I$3,$A53))</f>
        <v/>
      </c>
      <c r="J53" s="115">
        <f>IF($A53="","",[1]!thsiFinD("ths_adjustment_nv_fund",J$3,$A53))</f>
        <v/>
      </c>
      <c r="K53" s="115">
        <f>IF($A53="","",[1]!thsiFinD("ths_adjustment_nv_fund",K$3,$A53))</f>
        <v/>
      </c>
      <c r="L53" s="115">
        <f>IF($A53="","",[1]!thsiFinD("ths_adjustment_nv_fund",L$3,$A53))</f>
        <v/>
      </c>
      <c r="M53" s="115">
        <f>IF($A53="","",[1]!thsiFinD("ths_adjustment_nv_fund",M$3,$A53))</f>
        <v/>
      </c>
      <c r="N53" s="115">
        <f>IF($A53="","",[1]!thsiFinD("ths_adjustment_nv_fund",N$3,$A53))</f>
        <v/>
      </c>
    </row>
    <row r="54">
      <c r="A54" s="116" t="n"/>
      <c r="B54" s="115">
        <f>IF($A54="","",[1]!thsiFinD("ths_adjustment_nv_fund",B$3,$A54))</f>
        <v/>
      </c>
      <c r="C54" s="115">
        <f>IF($A54="","",[1]!thsiFinD("ths_adjustment_nv_fund",C$3,$A54))</f>
        <v/>
      </c>
      <c r="D54" s="115">
        <f>IF($A54="","",[1]!thsiFinD("ths_adjustment_nv_fund",D$3,$A54))</f>
        <v/>
      </c>
      <c r="E54" s="115">
        <f>IF($A54="","",[1]!thsiFinD("ths_adjustment_nv_fund",E$3,$A54))</f>
        <v/>
      </c>
      <c r="F54" s="115">
        <f>IF($A54="","",[1]!thsiFinD("ths_adjustment_nv_fund",F$3,$A54))</f>
        <v/>
      </c>
      <c r="G54" s="115">
        <f>IF($A54="","",[1]!thsiFinD("ths_adjustment_nv_fund",G$3,$A54))</f>
        <v/>
      </c>
      <c r="H54" s="115">
        <f>IF($A54="","",[1]!thsiFinD("ths_adjustment_nv_fund",H$3,$A54))</f>
        <v/>
      </c>
      <c r="I54" s="115">
        <f>IF($A54="","",[1]!thsiFinD("ths_adjustment_nv_fund",I$3,$A54))</f>
        <v/>
      </c>
      <c r="J54" s="115">
        <f>IF($A54="","",[1]!thsiFinD("ths_adjustment_nv_fund",J$3,$A54))</f>
        <v/>
      </c>
      <c r="K54" s="115">
        <f>IF($A54="","",[1]!thsiFinD("ths_adjustment_nv_fund",K$3,$A54))</f>
        <v/>
      </c>
      <c r="L54" s="115">
        <f>IF($A54="","",[1]!thsiFinD("ths_adjustment_nv_fund",L$3,$A54))</f>
        <v/>
      </c>
      <c r="M54" s="115">
        <f>IF($A54="","",[1]!thsiFinD("ths_adjustment_nv_fund",M$3,$A54))</f>
        <v/>
      </c>
      <c r="N54" s="115">
        <f>IF($A54="","",[1]!thsiFinD("ths_adjustment_nv_fund",N$3,$A54))</f>
        <v/>
      </c>
    </row>
    <row r="55">
      <c r="A55" s="116" t="n"/>
      <c r="B55" s="115">
        <f>IF($A55="","",[1]!thsiFinD("ths_adjustment_nv_fund",B$3,$A55))</f>
        <v/>
      </c>
      <c r="C55" s="115">
        <f>IF($A55="","",[1]!thsiFinD("ths_adjustment_nv_fund",C$3,$A55))</f>
        <v/>
      </c>
      <c r="D55" s="115">
        <f>IF($A55="","",[1]!thsiFinD("ths_adjustment_nv_fund",D$3,$A55))</f>
        <v/>
      </c>
      <c r="E55" s="115">
        <f>IF($A55="","",[1]!thsiFinD("ths_adjustment_nv_fund",E$3,$A55))</f>
        <v/>
      </c>
      <c r="F55" s="115">
        <f>IF($A55="","",[1]!thsiFinD("ths_adjustment_nv_fund",F$3,$A55))</f>
        <v/>
      </c>
      <c r="G55" s="115">
        <f>IF($A55="","",[1]!thsiFinD("ths_adjustment_nv_fund",G$3,$A55))</f>
        <v/>
      </c>
      <c r="H55" s="115">
        <f>IF($A55="","",[1]!thsiFinD("ths_adjustment_nv_fund",H$3,$A55))</f>
        <v/>
      </c>
      <c r="I55" s="115">
        <f>IF($A55="","",[1]!thsiFinD("ths_adjustment_nv_fund",I$3,$A55))</f>
        <v/>
      </c>
      <c r="J55" s="115">
        <f>IF($A55="","",[1]!thsiFinD("ths_adjustment_nv_fund",J$3,$A55))</f>
        <v/>
      </c>
      <c r="K55" s="115">
        <f>IF($A55="","",[1]!thsiFinD("ths_adjustment_nv_fund",K$3,$A55))</f>
        <v/>
      </c>
      <c r="L55" s="115">
        <f>IF($A55="","",[1]!thsiFinD("ths_adjustment_nv_fund",L$3,$A55))</f>
        <v/>
      </c>
      <c r="M55" s="115">
        <f>IF($A55="","",[1]!thsiFinD("ths_adjustment_nv_fund",M$3,$A55))</f>
        <v/>
      </c>
      <c r="N55" s="115">
        <f>IF($A55="","",[1]!thsiFinD("ths_adjustment_nv_fund",N$3,$A55))</f>
        <v/>
      </c>
    </row>
    <row r="56">
      <c r="A56" s="116" t="n"/>
      <c r="B56" s="115">
        <f>IF($A56="","",[1]!thsiFinD("ths_adjustment_nv_fund",B$3,$A56))</f>
        <v/>
      </c>
      <c r="C56" s="115">
        <f>IF($A56="","",[1]!thsiFinD("ths_adjustment_nv_fund",C$3,$A56))</f>
        <v/>
      </c>
      <c r="D56" s="115">
        <f>IF($A56="","",[1]!thsiFinD("ths_adjustment_nv_fund",D$3,$A56))</f>
        <v/>
      </c>
      <c r="E56" s="115">
        <f>IF($A56="","",[1]!thsiFinD("ths_adjustment_nv_fund",E$3,$A56))</f>
        <v/>
      </c>
      <c r="F56" s="115">
        <f>IF($A56="","",[1]!thsiFinD("ths_adjustment_nv_fund",F$3,$A56))</f>
        <v/>
      </c>
      <c r="G56" s="115">
        <f>IF($A56="","",[1]!thsiFinD("ths_adjustment_nv_fund",G$3,$A56))</f>
        <v/>
      </c>
      <c r="H56" s="115">
        <f>IF($A56="","",[1]!thsiFinD("ths_adjustment_nv_fund",H$3,$A56))</f>
        <v/>
      </c>
      <c r="I56" s="115">
        <f>IF($A56="","",[1]!thsiFinD("ths_adjustment_nv_fund",I$3,$A56))</f>
        <v/>
      </c>
      <c r="J56" s="115">
        <f>IF($A56="","",[1]!thsiFinD("ths_adjustment_nv_fund",J$3,$A56))</f>
        <v/>
      </c>
      <c r="K56" s="115">
        <f>IF($A56="","",[1]!thsiFinD("ths_adjustment_nv_fund",K$3,$A56))</f>
        <v/>
      </c>
      <c r="L56" s="115">
        <f>IF($A56="","",[1]!thsiFinD("ths_adjustment_nv_fund",L$3,$A56))</f>
        <v/>
      </c>
      <c r="M56" s="115">
        <f>IF($A56="","",[1]!thsiFinD("ths_adjustment_nv_fund",M$3,$A56))</f>
        <v/>
      </c>
      <c r="N56" s="115">
        <f>IF($A56="","",[1]!thsiFinD("ths_adjustment_nv_fund",N$3,$A56))</f>
        <v/>
      </c>
    </row>
    <row r="57">
      <c r="A57" s="116" t="n"/>
      <c r="B57" s="115">
        <f>IF($A57="","",[1]!thsiFinD("ths_adjustment_nv_fund",B$3,$A57))</f>
        <v/>
      </c>
      <c r="C57" s="115">
        <f>IF($A57="","",[1]!thsiFinD("ths_adjustment_nv_fund",C$3,$A57))</f>
        <v/>
      </c>
      <c r="D57" s="115">
        <f>IF($A57="","",[1]!thsiFinD("ths_adjustment_nv_fund",D$3,$A57))</f>
        <v/>
      </c>
      <c r="E57" s="115">
        <f>IF($A57="","",[1]!thsiFinD("ths_adjustment_nv_fund",E$3,$A57))</f>
        <v/>
      </c>
      <c r="F57" s="115">
        <f>IF($A57="","",[1]!thsiFinD("ths_adjustment_nv_fund",F$3,$A57))</f>
        <v/>
      </c>
      <c r="G57" s="115">
        <f>IF($A57="","",[1]!thsiFinD("ths_adjustment_nv_fund",G$3,$A57))</f>
        <v/>
      </c>
      <c r="H57" s="115">
        <f>IF($A57="","",[1]!thsiFinD("ths_adjustment_nv_fund",H$3,$A57))</f>
        <v/>
      </c>
      <c r="I57" s="115">
        <f>IF($A57="","",[1]!thsiFinD("ths_adjustment_nv_fund",I$3,$A57))</f>
        <v/>
      </c>
      <c r="J57" s="115">
        <f>IF($A57="","",[1]!thsiFinD("ths_adjustment_nv_fund",J$3,$A57))</f>
        <v/>
      </c>
      <c r="K57" s="115">
        <f>IF($A57="","",[1]!thsiFinD("ths_adjustment_nv_fund",K$3,$A57))</f>
        <v/>
      </c>
      <c r="L57" s="115">
        <f>IF($A57="","",[1]!thsiFinD("ths_adjustment_nv_fund",L$3,$A57))</f>
        <v/>
      </c>
      <c r="M57" s="115">
        <f>IF($A57="","",[1]!thsiFinD("ths_adjustment_nv_fund",M$3,$A57))</f>
        <v/>
      </c>
      <c r="N57" s="115">
        <f>IF($A57="","",[1]!thsiFinD("ths_adjustment_nv_fund",N$3,$A57))</f>
        <v/>
      </c>
    </row>
    <row r="58">
      <c r="A58" s="116" t="n"/>
      <c r="B58" s="115">
        <f>IF($A58="","",[1]!thsiFinD("ths_adjustment_nv_fund",B$3,$A58))</f>
        <v/>
      </c>
      <c r="C58" s="115">
        <f>IF($A58="","",[1]!thsiFinD("ths_adjustment_nv_fund",C$3,$A58))</f>
        <v/>
      </c>
      <c r="D58" s="115">
        <f>IF($A58="","",[1]!thsiFinD("ths_adjustment_nv_fund",D$3,$A58))</f>
        <v/>
      </c>
      <c r="E58" s="115">
        <f>IF($A58="","",[1]!thsiFinD("ths_adjustment_nv_fund",E$3,$A58))</f>
        <v/>
      </c>
      <c r="F58" s="115">
        <f>IF($A58="","",[1]!thsiFinD("ths_adjustment_nv_fund",F$3,$A58))</f>
        <v/>
      </c>
      <c r="G58" s="115">
        <f>IF($A58="","",[1]!thsiFinD("ths_adjustment_nv_fund",G$3,$A58))</f>
        <v/>
      </c>
      <c r="H58" s="115">
        <f>IF($A58="","",[1]!thsiFinD("ths_adjustment_nv_fund",H$3,$A58))</f>
        <v/>
      </c>
      <c r="I58" s="115">
        <f>IF($A58="","",[1]!thsiFinD("ths_adjustment_nv_fund",I$3,$A58))</f>
        <v/>
      </c>
      <c r="J58" s="115">
        <f>IF($A58="","",[1]!thsiFinD("ths_adjustment_nv_fund",J$3,$A58))</f>
        <v/>
      </c>
      <c r="K58" s="115">
        <f>IF($A58="","",[1]!thsiFinD("ths_adjustment_nv_fund",K$3,$A58))</f>
        <v/>
      </c>
      <c r="L58" s="115">
        <f>IF($A58="","",[1]!thsiFinD("ths_adjustment_nv_fund",L$3,$A58))</f>
        <v/>
      </c>
      <c r="M58" s="115">
        <f>IF($A58="","",[1]!thsiFinD("ths_adjustment_nv_fund",M$3,$A58))</f>
        <v/>
      </c>
      <c r="N58" s="115">
        <f>IF($A58="","",[1]!thsiFinD("ths_adjustment_nv_fund",N$3,$A58))</f>
        <v/>
      </c>
    </row>
    <row r="59">
      <c r="A59" s="116" t="n"/>
      <c r="B59" s="115">
        <f>IF($A59="","",[1]!thsiFinD("ths_adjustment_nv_fund",B$3,$A59))</f>
        <v/>
      </c>
      <c r="C59" s="115">
        <f>IF($A59="","",[1]!thsiFinD("ths_adjustment_nv_fund",C$3,$A59))</f>
        <v/>
      </c>
      <c r="D59" s="115">
        <f>IF($A59="","",[1]!thsiFinD("ths_adjustment_nv_fund",D$3,$A59))</f>
        <v/>
      </c>
      <c r="E59" s="115">
        <f>IF($A59="","",[1]!thsiFinD("ths_adjustment_nv_fund",E$3,$A59))</f>
        <v/>
      </c>
      <c r="F59" s="115">
        <f>IF($A59="","",[1]!thsiFinD("ths_adjustment_nv_fund",F$3,$A59))</f>
        <v/>
      </c>
      <c r="G59" s="115">
        <f>IF($A59="","",[1]!thsiFinD("ths_adjustment_nv_fund",G$3,$A59))</f>
        <v/>
      </c>
      <c r="H59" s="115">
        <f>IF($A59="","",[1]!thsiFinD("ths_adjustment_nv_fund",H$3,$A59))</f>
        <v/>
      </c>
      <c r="I59" s="115">
        <f>IF($A59="","",[1]!thsiFinD("ths_adjustment_nv_fund",I$3,$A59))</f>
        <v/>
      </c>
      <c r="J59" s="115">
        <f>IF($A59="","",[1]!thsiFinD("ths_adjustment_nv_fund",J$3,$A59))</f>
        <v/>
      </c>
      <c r="K59" s="115">
        <f>IF($A59="","",[1]!thsiFinD("ths_adjustment_nv_fund",K$3,$A59))</f>
        <v/>
      </c>
      <c r="L59" s="115">
        <f>IF($A59="","",[1]!thsiFinD("ths_adjustment_nv_fund",L$3,$A59))</f>
        <v/>
      </c>
      <c r="M59" s="115">
        <f>IF($A59="","",[1]!thsiFinD("ths_adjustment_nv_fund",M$3,$A59))</f>
        <v/>
      </c>
      <c r="N59" s="115">
        <f>IF($A59="","",[1]!thsiFinD("ths_adjustment_nv_fund",N$3,$A59))</f>
        <v/>
      </c>
    </row>
    <row r="60">
      <c r="A60" s="117" t="n"/>
    </row>
    <row r="61" ht="14.5" customHeight="1" s="89">
      <c r="A61" s="118" t="n"/>
    </row>
    <row r="62">
      <c r="A62" s="117" t="n"/>
    </row>
    <row r="63">
      <c r="A63" s="117" t="n"/>
    </row>
    <row r="64">
      <c r="A64" s="117" t="n"/>
    </row>
    <row r="65">
      <c r="A65" s="117" t="n"/>
    </row>
    <row r="66">
      <c r="A66" s="117" t="n"/>
    </row>
    <row r="67">
      <c r="A67" s="117" t="n"/>
    </row>
    <row r="68">
      <c r="A68" s="117" t="n"/>
    </row>
    <row r="69">
      <c r="A69" s="117" t="n"/>
    </row>
    <row r="70">
      <c r="A70" s="117" t="n"/>
    </row>
    <row r="71">
      <c r="A71" s="117" t="n"/>
    </row>
    <row r="72">
      <c r="A72" s="117" t="n"/>
    </row>
    <row r="73">
      <c r="A73" s="117" t="n"/>
    </row>
    <row r="74">
      <c r="A74" s="117" t="n"/>
    </row>
    <row r="75">
      <c r="A75" s="117" t="n"/>
    </row>
    <row r="76">
      <c r="A76" s="117" t="n"/>
    </row>
    <row r="77">
      <c r="A77" s="117" t="n"/>
    </row>
    <row r="78">
      <c r="A78" s="117" t="n"/>
    </row>
    <row r="79">
      <c r="A79" s="117" t="n"/>
    </row>
    <row r="80">
      <c r="A80" s="117" t="n"/>
    </row>
    <row r="81">
      <c r="A81" s="117" t="n"/>
    </row>
    <row r="82">
      <c r="A82" s="117" t="n"/>
    </row>
    <row r="83">
      <c r="A83" s="117" t="n"/>
    </row>
    <row r="84">
      <c r="A84" s="117" t="n"/>
    </row>
    <row r="85">
      <c r="A85" s="117" t="n"/>
    </row>
    <row r="86">
      <c r="A86" s="117" t="n"/>
    </row>
    <row r="87">
      <c r="A87" s="117" t="n"/>
    </row>
    <row r="88">
      <c r="A88" s="117" t="n"/>
    </row>
    <row r="89">
      <c r="A89" s="117" t="n"/>
    </row>
    <row r="90">
      <c r="A90" s="117" t="n"/>
    </row>
    <row r="91">
      <c r="A91" s="117" t="n"/>
    </row>
    <row r="92">
      <c r="A92" s="117" t="n"/>
    </row>
    <row r="93">
      <c r="A93" s="117" t="n"/>
    </row>
    <row r="94">
      <c r="A94" s="117" t="n"/>
    </row>
    <row r="95">
      <c r="A95" s="117" t="n"/>
    </row>
    <row r="96">
      <c r="A96" s="117" t="n"/>
    </row>
    <row r="97">
      <c r="A97" s="117" t="n"/>
    </row>
    <row r="98">
      <c r="A98" s="117" t="n"/>
    </row>
    <row r="99">
      <c r="A99" s="117" t="n"/>
    </row>
    <row r="100">
      <c r="A100" s="117" t="n"/>
    </row>
    <row r="101">
      <c r="A101" s="117" t="n"/>
    </row>
    <row r="102">
      <c r="A102" s="117" t="n"/>
    </row>
    <row r="103">
      <c r="A103" s="117" t="n"/>
    </row>
    <row r="104">
      <c r="A104" s="117" t="n"/>
    </row>
    <row r="105">
      <c r="A105" s="117" t="n"/>
    </row>
    <row r="106">
      <c r="A106" s="117" t="n"/>
    </row>
    <row r="107">
      <c r="A107" s="117" t="n"/>
    </row>
    <row r="108">
      <c r="A108" s="117" t="n"/>
    </row>
    <row r="109">
      <c r="A109" s="117" t="n"/>
    </row>
    <row r="110">
      <c r="A110" s="117" t="n"/>
    </row>
    <row r="111">
      <c r="A111" s="117" t="n"/>
    </row>
    <row r="112">
      <c r="A112" s="117" t="n"/>
    </row>
    <row r="113">
      <c r="A113" s="117" t="n"/>
    </row>
    <row r="114">
      <c r="A114" s="117" t="n"/>
    </row>
    <row r="115">
      <c r="A115" s="117" t="n"/>
    </row>
    <row r="116">
      <c r="A116" s="117" t="n"/>
    </row>
    <row r="117">
      <c r="A117" s="117" t="n"/>
    </row>
    <row r="118">
      <c r="A118" s="117" t="n"/>
    </row>
    <row r="119">
      <c r="A119" s="117" t="n"/>
    </row>
    <row r="120">
      <c r="A120" s="117" t="n"/>
    </row>
    <row r="121">
      <c r="A121" s="117" t="n"/>
    </row>
    <row r="122">
      <c r="A122" s="117" t="n"/>
    </row>
    <row r="123">
      <c r="A123" s="117" t="n"/>
    </row>
    <row r="124">
      <c r="A124" s="117" t="n"/>
    </row>
    <row r="125">
      <c r="A125" s="117" t="n"/>
    </row>
    <row r="126">
      <c r="A126" s="117" t="n"/>
    </row>
    <row r="127">
      <c r="A127" s="117" t="n"/>
    </row>
    <row r="128">
      <c r="A128" s="117" t="n"/>
    </row>
    <row r="129">
      <c r="A129" s="117" t="n"/>
    </row>
    <row r="130">
      <c r="A130" s="117" t="n"/>
    </row>
    <row r="131">
      <c r="A131" s="117" t="n"/>
    </row>
    <row r="132">
      <c r="A132" s="117" t="n"/>
    </row>
    <row r="133">
      <c r="A133" s="117" t="n"/>
    </row>
    <row r="134">
      <c r="A134" s="117" t="n"/>
    </row>
    <row r="135">
      <c r="A135" s="117" t="n"/>
    </row>
    <row r="136">
      <c r="A136" s="117" t="n"/>
    </row>
    <row r="137">
      <c r="A137" s="117" t="n"/>
    </row>
    <row r="138">
      <c r="A138" s="117" t="n"/>
    </row>
    <row r="139">
      <c r="A139" s="117" t="n"/>
    </row>
    <row r="140">
      <c r="A140" s="117" t="n"/>
    </row>
    <row r="141">
      <c r="A141" s="117" t="n"/>
    </row>
    <row r="142">
      <c r="A142" s="117" t="n"/>
    </row>
    <row r="143">
      <c r="A143" s="117" t="n"/>
    </row>
    <row r="144">
      <c r="A144" s="117" t="n"/>
    </row>
    <row r="145">
      <c r="A145" s="117" t="n"/>
    </row>
    <row r="146">
      <c r="A146" s="117" t="n"/>
    </row>
    <row r="147">
      <c r="A147" s="117" t="n"/>
    </row>
    <row r="148">
      <c r="A148" s="117" t="n"/>
    </row>
    <row r="149">
      <c r="A149" s="117" t="n"/>
    </row>
    <row r="150">
      <c r="A150" s="117" t="n"/>
    </row>
    <row r="151">
      <c r="A151" s="117" t="n"/>
    </row>
  </sheetData>
  <mergeCells count="1">
    <mergeCell ref="A1:K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selection activeCell="F20" sqref="F20"/>
    </sheetView>
  </sheetViews>
  <sheetFormatPr baseColWidth="8" defaultRowHeight="14"/>
  <cols>
    <col width="13" customWidth="1" style="89" min="1" max="1"/>
    <col width="12" customWidth="1" style="89" min="2" max="13"/>
  </cols>
  <sheetData>
    <row r="1" ht="19" customHeight="1" s="89">
      <c r="A1" s="88" t="inlineStr">
        <is>
          <t>组合净值 · 买入持有逐日计算</t>
        </is>
      </c>
    </row>
    <row r="4">
      <c r="B4" s="90" t="inlineStr">
        <is>
          <t>组合 10-90</t>
        </is>
      </c>
      <c r="C4" s="91" t="n"/>
      <c r="D4" s="92" t="n"/>
      <c r="E4" s="90" t="inlineStr">
        <is>
          <t>组合 20-80</t>
        </is>
      </c>
      <c r="F4" s="91" t="n"/>
      <c r="G4" s="92" t="n"/>
      <c r="H4" s="90" t="inlineStr">
        <is>
          <t>组合 30-70</t>
        </is>
      </c>
      <c r="I4" s="91" t="n"/>
      <c r="J4" s="92" t="n"/>
      <c r="K4" s="90" t="inlineStr">
        <is>
          <t>组合 增值</t>
        </is>
      </c>
      <c r="L4" s="91" t="n"/>
      <c r="M4" s="92" t="n"/>
    </row>
    <row r="5">
      <c r="A5" s="29" t="inlineStr">
        <is>
          <t>日期</t>
        </is>
      </c>
      <c r="B5" s="29" t="inlineStr">
        <is>
          <t>净值</t>
        </is>
      </c>
      <c r="C5" s="29" t="inlineStr">
        <is>
          <t>日收益</t>
        </is>
      </c>
      <c r="D5" s="29" t="inlineStr">
        <is>
          <t>回撤</t>
        </is>
      </c>
      <c r="E5" s="29" t="inlineStr">
        <is>
          <t>净值</t>
        </is>
      </c>
      <c r="F5" s="29" t="inlineStr">
        <is>
          <t>日收益</t>
        </is>
      </c>
      <c r="G5" s="29" t="inlineStr">
        <is>
          <t>回撤</t>
        </is>
      </c>
      <c r="H5" s="29" t="inlineStr">
        <is>
          <t>净值</t>
        </is>
      </c>
      <c r="I5" s="29" t="inlineStr">
        <is>
          <t>日收益</t>
        </is>
      </c>
      <c r="J5" s="29" t="inlineStr">
        <is>
          <t>回撤</t>
        </is>
      </c>
      <c r="K5" s="29" t="inlineStr">
        <is>
          <t>净值</t>
        </is>
      </c>
      <c r="L5" s="29" t="inlineStr">
        <is>
          <t>日收益</t>
        </is>
      </c>
      <c r="M5" s="29" t="inlineStr">
        <is>
          <t>回撤</t>
        </is>
      </c>
    </row>
    <row r="6">
      <c r="A6" s="119">
        <f>IF('净值数据(iFinD公式)'!A5="","",'净值数据(iFinD公式)'!A5)</f>
        <v/>
      </c>
      <c r="B6" s="115">
        <f>IF(OR('净值数据(iFinD公式)'!$A5="",'净值数据(iFinD公式)'!$B5=""),"",SUMPRODUCT(持仓配置!$B$4:$N$4,'净值数据(iFinD公式)'!$B5:$N5/'净值数据(iFinD公式)'!$B$5:$N$5)*(1-持仓配置!$P$4)^((ROW()-6)/说明!$C$17))</f>
        <v/>
      </c>
      <c r="C6" s="9" t="n"/>
      <c r="D6" s="9">
        <f>IF(B6="","",B6/MAX(B$6:B6)-1)</f>
        <v/>
      </c>
      <c r="E6" s="115">
        <f>IF(OR('净值数据(iFinD公式)'!$A5="",'净值数据(iFinD公式)'!$B5=""),"",SUMPRODUCT(持仓配置!$B$5:$N$5,'净值数据(iFinD公式)'!$B5:$N5/'净值数据(iFinD公式)'!$B$5:$N$5)*(1-持仓配置!$P$5)^((ROW()-6)/说明!$C$17))</f>
        <v/>
      </c>
      <c r="F6" s="9" t="n"/>
      <c r="G6" s="9">
        <f>IF(E6="","",E6/MAX(E$6:E6)-1)</f>
        <v/>
      </c>
      <c r="H6" s="115">
        <f>IF(OR('净值数据(iFinD公式)'!$A5="",'净值数据(iFinD公式)'!$B5=""),"",SUMPRODUCT(持仓配置!$B$6:$N$6,'净值数据(iFinD公式)'!$B5:$N5/'净值数据(iFinD公式)'!$B$5:$N$5)*(1-持仓配置!$P$6)^((ROW()-6)/说明!$C$17))</f>
        <v/>
      </c>
      <c r="I6" s="9" t="n"/>
      <c r="J6" s="9">
        <f>IF(H6="","",H6/MAX(H$6:H6)-1)</f>
        <v/>
      </c>
      <c r="K6" s="115">
        <f>IF(OR('净值数据(iFinD公式)'!$A5="",'净值数据(iFinD公式)'!$B5=""),"",SUMPRODUCT(持仓配置!$B$7:$N$7,'净值数据(iFinD公式)'!$B5:$N5/'净值数据(iFinD公式)'!$B$5:$N$5)*(1-持仓配置!$P$7)^((ROW()-6)/说明!$C$17))</f>
        <v/>
      </c>
      <c r="L6" s="9" t="n"/>
      <c r="M6" s="9">
        <f>IF(K6="","",K6/MAX(K$6:K6)-1)</f>
        <v/>
      </c>
    </row>
    <row r="7">
      <c r="A7" s="119">
        <f>IF('净值数据(iFinD公式)'!A6="","",'净值数据(iFinD公式)'!A6)</f>
        <v/>
      </c>
      <c r="B7" s="115">
        <f>IF(OR('净值数据(iFinD公式)'!$A6="",'净值数据(iFinD公式)'!$B6=""),"",SUMPRODUCT(持仓配置!$B$4:$N$4,'净值数据(iFinD公式)'!$B6:$N6/'净值数据(iFinD公式)'!$B$5:$N$5)*(1-持仓配置!$P$4)^((ROW()-6)/说明!$C$17))</f>
        <v/>
      </c>
      <c r="C7" s="9">
        <f>IF(OR(B7="",B6=""),"",B7/B6-1)</f>
        <v/>
      </c>
      <c r="D7" s="9">
        <f>IF(B7="","",B7/MAX(B$6:B7)-1)</f>
        <v/>
      </c>
      <c r="E7" s="115">
        <f>IF(OR('净值数据(iFinD公式)'!$A6="",'净值数据(iFinD公式)'!$B6=""),"",SUMPRODUCT(持仓配置!$B$5:$N$5,'净值数据(iFinD公式)'!$B6:$N6/'净值数据(iFinD公式)'!$B$5:$N$5)*(1-持仓配置!$P$5)^((ROW()-6)/说明!$C$17))</f>
        <v/>
      </c>
      <c r="F7" s="9">
        <f>IF(OR(E7="",E6=""),"",E7/E6-1)</f>
        <v/>
      </c>
      <c r="G7" s="9">
        <f>IF(E7="","",E7/MAX(E$6:E7)-1)</f>
        <v/>
      </c>
      <c r="H7" s="115">
        <f>IF(OR('净值数据(iFinD公式)'!$A6="",'净值数据(iFinD公式)'!$B6=""),"",SUMPRODUCT(持仓配置!$B$6:$N$6,'净值数据(iFinD公式)'!$B6:$N6/'净值数据(iFinD公式)'!$B$5:$N$5)*(1-持仓配置!$P$6)^((ROW()-6)/说明!$C$17))</f>
        <v/>
      </c>
      <c r="I7" s="9">
        <f>IF(OR(H7="",H6=""),"",H7/H6-1)</f>
        <v/>
      </c>
      <c r="J7" s="9">
        <f>IF(H7="","",H7/MAX(H$6:H7)-1)</f>
        <v/>
      </c>
      <c r="K7" s="115">
        <f>IF(OR('净值数据(iFinD公式)'!$A6="",'净值数据(iFinD公式)'!$B6=""),"",SUMPRODUCT(持仓配置!$B$7:$N$7,'净值数据(iFinD公式)'!$B6:$N6/'净值数据(iFinD公式)'!$B$5:$N$5)*(1-持仓配置!$P$7)^((ROW()-6)/说明!$C$17))</f>
        <v/>
      </c>
      <c r="L7" s="9">
        <f>IF(OR(K7="",K6=""),"",K7/K6-1)</f>
        <v/>
      </c>
      <c r="M7" s="9">
        <f>IF(K7="","",K7/MAX(K$6:K7)-1)</f>
        <v/>
      </c>
    </row>
    <row r="8">
      <c r="A8" s="119">
        <f>IF('净值数据(iFinD公式)'!A7="","",'净值数据(iFinD公式)'!A7)</f>
        <v/>
      </c>
      <c r="B8" s="115">
        <f>IF(OR('净值数据(iFinD公式)'!$A7="",'净值数据(iFinD公式)'!$B7=""),"",SUMPRODUCT(持仓配置!$B$4:$N$4,'净值数据(iFinD公式)'!$B7:$N7/'净值数据(iFinD公式)'!$B$5:$N$5)*(1-持仓配置!$P$4)^((ROW()-6)/说明!$C$17))</f>
        <v/>
      </c>
      <c r="C8" s="9">
        <f>IF(OR(B8="",B7=""),"",B8/B7-1)</f>
        <v/>
      </c>
      <c r="D8" s="9">
        <f>IF(B8="","",B8/MAX(B$6:B8)-1)</f>
        <v/>
      </c>
      <c r="E8" s="115">
        <f>IF(OR('净值数据(iFinD公式)'!$A7="",'净值数据(iFinD公式)'!$B7=""),"",SUMPRODUCT(持仓配置!$B$5:$N$5,'净值数据(iFinD公式)'!$B7:$N7/'净值数据(iFinD公式)'!$B$5:$N$5)*(1-持仓配置!$P$5)^((ROW()-6)/说明!$C$17))</f>
        <v/>
      </c>
      <c r="F8" s="9">
        <f>IF(OR(E8="",E7=""),"",E8/E7-1)</f>
        <v/>
      </c>
      <c r="G8" s="9">
        <f>IF(E8="","",E8/MAX(E$6:E8)-1)</f>
        <v/>
      </c>
      <c r="H8" s="115">
        <f>IF(OR('净值数据(iFinD公式)'!$A7="",'净值数据(iFinD公式)'!$B7=""),"",SUMPRODUCT(持仓配置!$B$6:$N$6,'净值数据(iFinD公式)'!$B7:$N7/'净值数据(iFinD公式)'!$B$5:$N$5)*(1-持仓配置!$P$6)^((ROW()-6)/说明!$C$17))</f>
        <v/>
      </c>
      <c r="I8" s="9">
        <f>IF(OR(H8="",H7=""),"",H8/H7-1)</f>
        <v/>
      </c>
      <c r="J8" s="9">
        <f>IF(H8="","",H8/MAX(H$6:H8)-1)</f>
        <v/>
      </c>
      <c r="K8" s="115">
        <f>IF(OR('净值数据(iFinD公式)'!$A7="",'净值数据(iFinD公式)'!$B7=""),"",SUMPRODUCT(持仓配置!$B$7:$N$7,'净值数据(iFinD公式)'!$B7:$N7/'净值数据(iFinD公式)'!$B$5:$N$5)*(1-持仓配置!$P$7)^((ROW()-6)/说明!$C$17))</f>
        <v/>
      </c>
      <c r="L8" s="9">
        <f>IF(OR(K8="",K7=""),"",K8/K7-1)</f>
        <v/>
      </c>
      <c r="M8" s="9">
        <f>IF(K8="","",K8/MAX(K$6:K8)-1)</f>
        <v/>
      </c>
    </row>
    <row r="9">
      <c r="A9" s="119">
        <f>IF('净值数据(iFinD公式)'!A8="","",'净值数据(iFinD公式)'!A8)</f>
        <v/>
      </c>
      <c r="B9" s="115">
        <f>IF(OR('净值数据(iFinD公式)'!$A8="",'净值数据(iFinD公式)'!$B8=""),"",SUMPRODUCT(持仓配置!$B$4:$N$4,'净值数据(iFinD公式)'!$B8:$N8/'净值数据(iFinD公式)'!$B$5:$N$5)*(1-持仓配置!$P$4)^((ROW()-6)/说明!$C$17))</f>
        <v/>
      </c>
      <c r="C9" s="9">
        <f>IF(OR(B9="",B8=""),"",B9/B8-1)</f>
        <v/>
      </c>
      <c r="D9" s="9">
        <f>IF(B9="","",B9/MAX(B$6:B9)-1)</f>
        <v/>
      </c>
      <c r="E9" s="115">
        <f>IF(OR('净值数据(iFinD公式)'!$A8="",'净值数据(iFinD公式)'!$B8=""),"",SUMPRODUCT(持仓配置!$B$5:$N$5,'净值数据(iFinD公式)'!$B8:$N8/'净值数据(iFinD公式)'!$B$5:$N$5)*(1-持仓配置!$P$5)^((ROW()-6)/说明!$C$17))</f>
        <v/>
      </c>
      <c r="F9" s="9">
        <f>IF(OR(E9="",E8=""),"",E9/E8-1)</f>
        <v/>
      </c>
      <c r="G9" s="9">
        <f>IF(E9="","",E9/MAX(E$6:E9)-1)</f>
        <v/>
      </c>
      <c r="H9" s="115">
        <f>IF(OR('净值数据(iFinD公式)'!$A8="",'净值数据(iFinD公式)'!$B8=""),"",SUMPRODUCT(持仓配置!$B$6:$N$6,'净值数据(iFinD公式)'!$B8:$N8/'净值数据(iFinD公式)'!$B$5:$N$5)*(1-持仓配置!$P$6)^((ROW()-6)/说明!$C$17))</f>
        <v/>
      </c>
      <c r="I9" s="9">
        <f>IF(OR(H9="",H8=""),"",H9/H8-1)</f>
        <v/>
      </c>
      <c r="J9" s="9">
        <f>IF(H9="","",H9/MAX(H$6:H9)-1)</f>
        <v/>
      </c>
      <c r="K9" s="115">
        <f>IF(OR('净值数据(iFinD公式)'!$A8="",'净值数据(iFinD公式)'!$B8=""),"",SUMPRODUCT(持仓配置!$B$7:$N$7,'净值数据(iFinD公式)'!$B8:$N8/'净值数据(iFinD公式)'!$B$5:$N$5)*(1-持仓配置!$P$7)^((ROW()-6)/说明!$C$17))</f>
        <v/>
      </c>
      <c r="L9" s="9">
        <f>IF(OR(K9="",K8=""),"",K9/K8-1)</f>
        <v/>
      </c>
      <c r="M9" s="9">
        <f>IF(K9="","",K9/MAX(K$6:K9)-1)</f>
        <v/>
      </c>
    </row>
    <row r="10">
      <c r="A10" s="119">
        <f>IF('净值数据(iFinD公式)'!A9="","",'净值数据(iFinD公式)'!A9)</f>
        <v/>
      </c>
      <c r="B10" s="115">
        <f>IF(OR('净值数据(iFinD公式)'!$A9="",'净值数据(iFinD公式)'!$B9=""),"",SUMPRODUCT(持仓配置!$B$4:$N$4,'净值数据(iFinD公式)'!$B9:$N9/'净值数据(iFinD公式)'!$B$5:$N$5)*(1-持仓配置!$P$4)^((ROW()-6)/说明!$C$17))</f>
        <v/>
      </c>
      <c r="C10" s="9">
        <f>IF(OR(B10="",B9=""),"",B10/B9-1)</f>
        <v/>
      </c>
      <c r="D10" s="9">
        <f>IF(B10="","",B10/MAX(B$6:B10)-1)</f>
        <v/>
      </c>
      <c r="E10" s="115">
        <f>IF(OR('净值数据(iFinD公式)'!$A9="",'净值数据(iFinD公式)'!$B9=""),"",SUMPRODUCT(持仓配置!$B$5:$N$5,'净值数据(iFinD公式)'!$B9:$N9/'净值数据(iFinD公式)'!$B$5:$N$5)*(1-持仓配置!$P$5)^((ROW()-6)/说明!$C$17))</f>
        <v/>
      </c>
      <c r="F10" s="9">
        <f>IF(OR(E10="",E9=""),"",E10/E9-1)</f>
        <v/>
      </c>
      <c r="G10" s="9">
        <f>IF(E10="","",E10/MAX(E$6:E10)-1)</f>
        <v/>
      </c>
      <c r="H10" s="115">
        <f>IF(OR('净值数据(iFinD公式)'!$A9="",'净值数据(iFinD公式)'!$B9=""),"",SUMPRODUCT(持仓配置!$B$6:$N$6,'净值数据(iFinD公式)'!$B9:$N9/'净值数据(iFinD公式)'!$B$5:$N$5)*(1-持仓配置!$P$6)^((ROW()-6)/说明!$C$17))</f>
        <v/>
      </c>
      <c r="I10" s="9">
        <f>IF(OR(H10="",H9=""),"",H10/H9-1)</f>
        <v/>
      </c>
      <c r="J10" s="9">
        <f>IF(H10="","",H10/MAX(H$6:H10)-1)</f>
        <v/>
      </c>
      <c r="K10" s="115">
        <f>IF(OR('净值数据(iFinD公式)'!$A9="",'净值数据(iFinD公式)'!$B9=""),"",SUMPRODUCT(持仓配置!$B$7:$N$7,'净值数据(iFinD公式)'!$B9:$N9/'净值数据(iFinD公式)'!$B$5:$N$5)*(1-持仓配置!$P$7)^((ROW()-6)/说明!$C$17))</f>
        <v/>
      </c>
      <c r="L10" s="9">
        <f>IF(OR(K10="",K9=""),"",K10/K9-1)</f>
        <v/>
      </c>
      <c r="M10" s="9">
        <f>IF(K10="","",K10/MAX(K$6:K10)-1)</f>
        <v/>
      </c>
    </row>
    <row r="11">
      <c r="A11" s="119">
        <f>IF('净值数据(iFinD公式)'!A10="","",'净值数据(iFinD公式)'!A10)</f>
        <v/>
      </c>
      <c r="B11" s="115">
        <f>IF(OR('净值数据(iFinD公式)'!$A10="",'净值数据(iFinD公式)'!$B10=""),"",SUMPRODUCT(持仓配置!$B$4:$N$4,'净值数据(iFinD公式)'!$B10:$N10/'净值数据(iFinD公式)'!$B$5:$N$5)*(1-持仓配置!$P$4)^((ROW()-6)/说明!$C$17))</f>
        <v/>
      </c>
      <c r="C11" s="9">
        <f>IF(OR(B11="",B10=""),"",B11/B10-1)</f>
        <v/>
      </c>
      <c r="D11" s="9">
        <f>IF(B11="","",B11/MAX(B$6:B11)-1)</f>
        <v/>
      </c>
      <c r="E11" s="115">
        <f>IF(OR('净值数据(iFinD公式)'!$A10="",'净值数据(iFinD公式)'!$B10=""),"",SUMPRODUCT(持仓配置!$B$5:$N$5,'净值数据(iFinD公式)'!$B10:$N10/'净值数据(iFinD公式)'!$B$5:$N$5)*(1-持仓配置!$P$5)^((ROW()-6)/说明!$C$17))</f>
        <v/>
      </c>
      <c r="F11" s="9">
        <f>IF(OR(E11="",E10=""),"",E11/E10-1)</f>
        <v/>
      </c>
      <c r="G11" s="9">
        <f>IF(E11="","",E11/MAX(E$6:E11)-1)</f>
        <v/>
      </c>
      <c r="H11" s="115">
        <f>IF(OR('净值数据(iFinD公式)'!$A10="",'净值数据(iFinD公式)'!$B10=""),"",SUMPRODUCT(持仓配置!$B$6:$N$6,'净值数据(iFinD公式)'!$B10:$N10/'净值数据(iFinD公式)'!$B$5:$N$5)*(1-持仓配置!$P$6)^((ROW()-6)/说明!$C$17))</f>
        <v/>
      </c>
      <c r="I11" s="9">
        <f>IF(OR(H11="",H10=""),"",H11/H10-1)</f>
        <v/>
      </c>
      <c r="J11" s="9">
        <f>IF(H11="","",H11/MAX(H$6:H11)-1)</f>
        <v/>
      </c>
      <c r="K11" s="115">
        <f>IF(OR('净值数据(iFinD公式)'!$A10="",'净值数据(iFinD公式)'!$B10=""),"",SUMPRODUCT(持仓配置!$B$7:$N$7,'净值数据(iFinD公式)'!$B10:$N10/'净值数据(iFinD公式)'!$B$5:$N$5)*(1-持仓配置!$P$7)^((ROW()-6)/说明!$C$17))</f>
        <v/>
      </c>
      <c r="L11" s="9">
        <f>IF(OR(K11="",K10=""),"",K11/K10-1)</f>
        <v/>
      </c>
      <c r="M11" s="9">
        <f>IF(K11="","",K11/MAX(K$6:K11)-1)</f>
        <v/>
      </c>
    </row>
    <row r="12">
      <c r="A12" s="119">
        <f>IF('净值数据(iFinD公式)'!A11="","",'净值数据(iFinD公式)'!A11)</f>
        <v/>
      </c>
      <c r="B12" s="115">
        <f>IF(OR('净值数据(iFinD公式)'!$A11="",'净值数据(iFinD公式)'!$B11=""),"",SUMPRODUCT(持仓配置!$B$4:$N$4,'净值数据(iFinD公式)'!$B11:$N11/'净值数据(iFinD公式)'!$B$5:$N$5)*(1-持仓配置!$P$4)^((ROW()-6)/说明!$C$17))</f>
        <v/>
      </c>
      <c r="C12" s="9">
        <f>IF(OR(B12="",B11=""),"",B12/B11-1)</f>
        <v/>
      </c>
      <c r="D12" s="9">
        <f>IF(B12="","",B12/MAX(B$6:B12)-1)</f>
        <v/>
      </c>
      <c r="E12" s="115">
        <f>IF(OR('净值数据(iFinD公式)'!$A11="",'净值数据(iFinD公式)'!$B11=""),"",SUMPRODUCT(持仓配置!$B$5:$N$5,'净值数据(iFinD公式)'!$B11:$N11/'净值数据(iFinD公式)'!$B$5:$N$5)*(1-持仓配置!$P$5)^((ROW()-6)/说明!$C$17))</f>
        <v/>
      </c>
      <c r="F12" s="9">
        <f>IF(OR(E12="",E11=""),"",E12/E11-1)</f>
        <v/>
      </c>
      <c r="G12" s="9">
        <f>IF(E12="","",E12/MAX(E$6:E12)-1)</f>
        <v/>
      </c>
      <c r="H12" s="115">
        <f>IF(OR('净值数据(iFinD公式)'!$A11="",'净值数据(iFinD公式)'!$B11=""),"",SUMPRODUCT(持仓配置!$B$6:$N$6,'净值数据(iFinD公式)'!$B11:$N11/'净值数据(iFinD公式)'!$B$5:$N$5)*(1-持仓配置!$P$6)^((ROW()-6)/说明!$C$17))</f>
        <v/>
      </c>
      <c r="I12" s="9">
        <f>IF(OR(H12="",H11=""),"",H12/H11-1)</f>
        <v/>
      </c>
      <c r="J12" s="9">
        <f>IF(H12="","",H12/MAX(H$6:H12)-1)</f>
        <v/>
      </c>
      <c r="K12" s="115">
        <f>IF(OR('净值数据(iFinD公式)'!$A11="",'净值数据(iFinD公式)'!$B11=""),"",SUMPRODUCT(持仓配置!$B$7:$N$7,'净值数据(iFinD公式)'!$B11:$N11/'净值数据(iFinD公式)'!$B$5:$N$5)*(1-持仓配置!$P$7)^((ROW()-6)/说明!$C$17))</f>
        <v/>
      </c>
      <c r="L12" s="9">
        <f>IF(OR(K12="",K11=""),"",K12/K11-1)</f>
        <v/>
      </c>
      <c r="M12" s="9">
        <f>IF(K12="","",K12/MAX(K$6:K12)-1)</f>
        <v/>
      </c>
    </row>
    <row r="13">
      <c r="A13" s="119">
        <f>IF('净值数据(iFinD公式)'!A12="","",'净值数据(iFinD公式)'!A12)</f>
        <v/>
      </c>
      <c r="B13" s="115">
        <f>IF(OR('净值数据(iFinD公式)'!$A12="",'净值数据(iFinD公式)'!$B12=""),"",SUMPRODUCT(持仓配置!$B$4:$N$4,'净值数据(iFinD公式)'!$B12:$N12/'净值数据(iFinD公式)'!$B$5:$N$5)*(1-持仓配置!$P$4)^((ROW()-6)/说明!$C$17))</f>
        <v/>
      </c>
      <c r="C13" s="9">
        <f>IF(OR(B13="",B12=""),"",B13/B12-1)</f>
        <v/>
      </c>
      <c r="D13" s="9">
        <f>IF(B13="","",B13/MAX(B$6:B13)-1)</f>
        <v/>
      </c>
      <c r="E13" s="115">
        <f>IF(OR('净值数据(iFinD公式)'!$A12="",'净值数据(iFinD公式)'!$B12=""),"",SUMPRODUCT(持仓配置!$B$5:$N$5,'净值数据(iFinD公式)'!$B12:$N12/'净值数据(iFinD公式)'!$B$5:$N$5)*(1-持仓配置!$P$5)^((ROW()-6)/说明!$C$17))</f>
        <v/>
      </c>
      <c r="F13" s="9">
        <f>IF(OR(E13="",E12=""),"",E13/E12-1)</f>
        <v/>
      </c>
      <c r="G13" s="9">
        <f>IF(E13="","",E13/MAX(E$6:E13)-1)</f>
        <v/>
      </c>
      <c r="H13" s="115">
        <f>IF(OR('净值数据(iFinD公式)'!$A12="",'净值数据(iFinD公式)'!$B12=""),"",SUMPRODUCT(持仓配置!$B$6:$N$6,'净值数据(iFinD公式)'!$B12:$N12/'净值数据(iFinD公式)'!$B$5:$N$5)*(1-持仓配置!$P$6)^((ROW()-6)/说明!$C$17))</f>
        <v/>
      </c>
      <c r="I13" s="9">
        <f>IF(OR(H13="",H12=""),"",H13/H12-1)</f>
        <v/>
      </c>
      <c r="J13" s="9">
        <f>IF(H13="","",H13/MAX(H$6:H13)-1)</f>
        <v/>
      </c>
      <c r="K13" s="115">
        <f>IF(OR('净值数据(iFinD公式)'!$A12="",'净值数据(iFinD公式)'!$B12=""),"",SUMPRODUCT(持仓配置!$B$7:$N$7,'净值数据(iFinD公式)'!$B12:$N12/'净值数据(iFinD公式)'!$B$5:$N$5)*(1-持仓配置!$P$7)^((ROW()-6)/说明!$C$17))</f>
        <v/>
      </c>
      <c r="L13" s="9">
        <f>IF(OR(K13="",K12=""),"",K13/K12-1)</f>
        <v/>
      </c>
      <c r="M13" s="9">
        <f>IF(K13="","",K13/MAX(K$6:K13)-1)</f>
        <v/>
      </c>
    </row>
    <row r="14">
      <c r="A14" s="119">
        <f>IF('净值数据(iFinD公式)'!A13="","",'净值数据(iFinD公式)'!A13)</f>
        <v/>
      </c>
      <c r="B14" s="115">
        <f>IF(OR('净值数据(iFinD公式)'!$A13="",'净值数据(iFinD公式)'!$B13=""),"",SUMPRODUCT(持仓配置!$B$4:$N$4,'净值数据(iFinD公式)'!$B13:$N13/'净值数据(iFinD公式)'!$B$5:$N$5)*(1-持仓配置!$P$4)^((ROW()-6)/说明!$C$17))</f>
        <v/>
      </c>
      <c r="C14" s="9">
        <f>IF(OR(B14="",B13=""),"",B14/B13-1)</f>
        <v/>
      </c>
      <c r="D14" s="9">
        <f>IF(B14="","",B14/MAX(B$6:B14)-1)</f>
        <v/>
      </c>
      <c r="E14" s="115">
        <f>IF(OR('净值数据(iFinD公式)'!$A13="",'净值数据(iFinD公式)'!$B13=""),"",SUMPRODUCT(持仓配置!$B$5:$N$5,'净值数据(iFinD公式)'!$B13:$N13/'净值数据(iFinD公式)'!$B$5:$N$5)*(1-持仓配置!$P$5)^((ROW()-6)/说明!$C$17))</f>
        <v/>
      </c>
      <c r="F14" s="9">
        <f>IF(OR(E14="",E13=""),"",E14/E13-1)</f>
        <v/>
      </c>
      <c r="G14" s="9">
        <f>IF(E14="","",E14/MAX(E$6:E14)-1)</f>
        <v/>
      </c>
      <c r="H14" s="115">
        <f>IF(OR('净值数据(iFinD公式)'!$A13="",'净值数据(iFinD公式)'!$B13=""),"",SUMPRODUCT(持仓配置!$B$6:$N$6,'净值数据(iFinD公式)'!$B13:$N13/'净值数据(iFinD公式)'!$B$5:$N$5)*(1-持仓配置!$P$6)^((ROW()-6)/说明!$C$17))</f>
        <v/>
      </c>
      <c r="I14" s="9">
        <f>IF(OR(H14="",H13=""),"",H14/H13-1)</f>
        <v/>
      </c>
      <c r="J14" s="9">
        <f>IF(H14="","",H14/MAX(H$6:H14)-1)</f>
        <v/>
      </c>
      <c r="K14" s="115">
        <f>IF(OR('净值数据(iFinD公式)'!$A13="",'净值数据(iFinD公式)'!$B13=""),"",SUMPRODUCT(持仓配置!$B$7:$N$7,'净值数据(iFinD公式)'!$B13:$N13/'净值数据(iFinD公式)'!$B$5:$N$5)*(1-持仓配置!$P$7)^((ROW()-6)/说明!$C$17))</f>
        <v/>
      </c>
      <c r="L14" s="9">
        <f>IF(OR(K14="",K13=""),"",K14/K13-1)</f>
        <v/>
      </c>
      <c r="M14" s="9">
        <f>IF(K14="","",K14/MAX(K$6:K14)-1)</f>
        <v/>
      </c>
    </row>
    <row r="15">
      <c r="A15" s="119">
        <f>IF('净值数据(iFinD公式)'!A14="","",'净值数据(iFinD公式)'!A14)</f>
        <v/>
      </c>
      <c r="B15" s="115">
        <f>IF(OR('净值数据(iFinD公式)'!$A14="",'净值数据(iFinD公式)'!$B14=""),"",SUMPRODUCT(持仓配置!$B$4:$N$4,'净值数据(iFinD公式)'!$B14:$N14/'净值数据(iFinD公式)'!$B$5:$N$5)*(1-持仓配置!$P$4)^((ROW()-6)/说明!$C$17))</f>
        <v/>
      </c>
      <c r="C15" s="9">
        <f>IF(OR(B15="",B14=""),"",B15/B14-1)</f>
        <v/>
      </c>
      <c r="D15" s="9">
        <f>IF(B15="","",B15/MAX(B$6:B15)-1)</f>
        <v/>
      </c>
      <c r="E15" s="115">
        <f>IF(OR('净值数据(iFinD公式)'!$A14="",'净值数据(iFinD公式)'!$B14=""),"",SUMPRODUCT(持仓配置!$B$5:$N$5,'净值数据(iFinD公式)'!$B14:$N14/'净值数据(iFinD公式)'!$B$5:$N$5)*(1-持仓配置!$P$5)^((ROW()-6)/说明!$C$17))</f>
        <v/>
      </c>
      <c r="F15" s="9">
        <f>IF(OR(E15="",E14=""),"",E15/E14-1)</f>
        <v/>
      </c>
      <c r="G15" s="9">
        <f>IF(E15="","",E15/MAX(E$6:E15)-1)</f>
        <v/>
      </c>
      <c r="H15" s="115">
        <f>IF(OR('净值数据(iFinD公式)'!$A14="",'净值数据(iFinD公式)'!$B14=""),"",SUMPRODUCT(持仓配置!$B$6:$N$6,'净值数据(iFinD公式)'!$B14:$N14/'净值数据(iFinD公式)'!$B$5:$N$5)*(1-持仓配置!$P$6)^((ROW()-6)/说明!$C$17))</f>
        <v/>
      </c>
      <c r="I15" s="9">
        <f>IF(OR(H15="",H14=""),"",H15/H14-1)</f>
        <v/>
      </c>
      <c r="J15" s="9">
        <f>IF(H15="","",H15/MAX(H$6:H15)-1)</f>
        <v/>
      </c>
      <c r="K15" s="115">
        <f>IF(OR('净值数据(iFinD公式)'!$A14="",'净值数据(iFinD公式)'!$B14=""),"",SUMPRODUCT(持仓配置!$B$7:$N$7,'净值数据(iFinD公式)'!$B14:$N14/'净值数据(iFinD公式)'!$B$5:$N$5)*(1-持仓配置!$P$7)^((ROW()-6)/说明!$C$17))</f>
        <v/>
      </c>
      <c r="L15" s="9">
        <f>IF(OR(K15="",K14=""),"",K15/K14-1)</f>
        <v/>
      </c>
      <c r="M15" s="9">
        <f>IF(K15="","",K15/MAX(K$6:K15)-1)</f>
        <v/>
      </c>
    </row>
    <row r="16">
      <c r="A16" s="119">
        <f>IF('净值数据(iFinD公式)'!A15="","",'净值数据(iFinD公式)'!A15)</f>
        <v/>
      </c>
      <c r="B16" s="115">
        <f>IF(OR('净值数据(iFinD公式)'!$A15="",'净值数据(iFinD公式)'!$B15=""),"",SUMPRODUCT(持仓配置!$B$4:$N$4,'净值数据(iFinD公式)'!$B15:$N15/'净值数据(iFinD公式)'!$B$5:$N$5)*(1-持仓配置!$P$4)^((ROW()-6)/说明!$C$17))</f>
        <v/>
      </c>
      <c r="C16" s="9">
        <f>IF(OR(B16="",B15=""),"",B16/B15-1)</f>
        <v/>
      </c>
      <c r="D16" s="9">
        <f>IF(B16="","",B16/MAX(B$6:B16)-1)</f>
        <v/>
      </c>
      <c r="E16" s="115">
        <f>IF(OR('净值数据(iFinD公式)'!$A15="",'净值数据(iFinD公式)'!$B15=""),"",SUMPRODUCT(持仓配置!$B$5:$N$5,'净值数据(iFinD公式)'!$B15:$N15/'净值数据(iFinD公式)'!$B$5:$N$5)*(1-持仓配置!$P$5)^((ROW()-6)/说明!$C$17))</f>
        <v/>
      </c>
      <c r="F16" s="9">
        <f>IF(OR(E16="",E15=""),"",E16/E15-1)</f>
        <v/>
      </c>
      <c r="G16" s="9">
        <f>IF(E16="","",E16/MAX(E$6:E16)-1)</f>
        <v/>
      </c>
      <c r="H16" s="115">
        <f>IF(OR('净值数据(iFinD公式)'!$A15="",'净值数据(iFinD公式)'!$B15=""),"",SUMPRODUCT(持仓配置!$B$6:$N$6,'净值数据(iFinD公式)'!$B15:$N15/'净值数据(iFinD公式)'!$B$5:$N$5)*(1-持仓配置!$P$6)^((ROW()-6)/说明!$C$17))</f>
        <v/>
      </c>
      <c r="I16" s="9">
        <f>IF(OR(H16="",H15=""),"",H16/H15-1)</f>
        <v/>
      </c>
      <c r="J16" s="9">
        <f>IF(H16="","",H16/MAX(H$6:H16)-1)</f>
        <v/>
      </c>
      <c r="K16" s="115">
        <f>IF(OR('净值数据(iFinD公式)'!$A15="",'净值数据(iFinD公式)'!$B15=""),"",SUMPRODUCT(持仓配置!$B$7:$N$7,'净值数据(iFinD公式)'!$B15:$N15/'净值数据(iFinD公式)'!$B$5:$N$5)*(1-持仓配置!$P$7)^((ROW()-6)/说明!$C$17))</f>
        <v/>
      </c>
      <c r="L16" s="9">
        <f>IF(OR(K16="",K15=""),"",K16/K15-1)</f>
        <v/>
      </c>
      <c r="M16" s="9">
        <f>IF(K16="","",K16/MAX(K$6:K16)-1)</f>
        <v/>
      </c>
    </row>
    <row r="17">
      <c r="A17" s="119">
        <f>IF('净值数据(iFinD公式)'!A16="","",'净值数据(iFinD公式)'!A16)</f>
        <v/>
      </c>
      <c r="B17" s="115">
        <f>IF(OR('净值数据(iFinD公式)'!$A16="",'净值数据(iFinD公式)'!$B16=""),"",SUMPRODUCT(持仓配置!$B$4:$N$4,'净值数据(iFinD公式)'!$B16:$N16/'净值数据(iFinD公式)'!$B$5:$N$5)*(1-持仓配置!$P$4)^((ROW()-6)/说明!$C$17))</f>
        <v/>
      </c>
      <c r="C17" s="9">
        <f>IF(OR(B17="",B16=""),"",B17/B16-1)</f>
        <v/>
      </c>
      <c r="D17" s="9">
        <f>IF(B17="","",B17/MAX(B$6:B17)-1)</f>
        <v/>
      </c>
      <c r="E17" s="115">
        <f>IF(OR('净值数据(iFinD公式)'!$A16="",'净值数据(iFinD公式)'!$B16=""),"",SUMPRODUCT(持仓配置!$B$5:$N$5,'净值数据(iFinD公式)'!$B16:$N16/'净值数据(iFinD公式)'!$B$5:$N$5)*(1-持仓配置!$P$5)^((ROW()-6)/说明!$C$17))</f>
        <v/>
      </c>
      <c r="F17" s="9">
        <f>IF(OR(E17="",E16=""),"",E17/E16-1)</f>
        <v/>
      </c>
      <c r="G17" s="9">
        <f>IF(E17="","",E17/MAX(E$6:E17)-1)</f>
        <v/>
      </c>
      <c r="H17" s="115">
        <f>IF(OR('净值数据(iFinD公式)'!$A16="",'净值数据(iFinD公式)'!$B16=""),"",SUMPRODUCT(持仓配置!$B$6:$N$6,'净值数据(iFinD公式)'!$B16:$N16/'净值数据(iFinD公式)'!$B$5:$N$5)*(1-持仓配置!$P$6)^((ROW()-6)/说明!$C$17))</f>
        <v/>
      </c>
      <c r="I17" s="9">
        <f>IF(OR(H17="",H16=""),"",H17/H16-1)</f>
        <v/>
      </c>
      <c r="J17" s="9">
        <f>IF(H17="","",H17/MAX(H$6:H17)-1)</f>
        <v/>
      </c>
      <c r="K17" s="115">
        <f>IF(OR('净值数据(iFinD公式)'!$A16="",'净值数据(iFinD公式)'!$B16=""),"",SUMPRODUCT(持仓配置!$B$7:$N$7,'净值数据(iFinD公式)'!$B16:$N16/'净值数据(iFinD公式)'!$B$5:$N$5)*(1-持仓配置!$P$7)^((ROW()-6)/说明!$C$17))</f>
        <v/>
      </c>
      <c r="L17" s="9">
        <f>IF(OR(K17="",K16=""),"",K17/K16-1)</f>
        <v/>
      </c>
      <c r="M17" s="9">
        <f>IF(K17="","",K17/MAX(K$6:K17)-1)</f>
        <v/>
      </c>
    </row>
    <row r="18">
      <c r="A18" s="119">
        <f>IF('净值数据(iFinD公式)'!A17="","",'净值数据(iFinD公式)'!A17)</f>
        <v/>
      </c>
      <c r="B18" s="115">
        <f>IF(OR('净值数据(iFinD公式)'!$A17="",'净值数据(iFinD公式)'!$B17=""),"",SUMPRODUCT(持仓配置!$B$4:$N$4,'净值数据(iFinD公式)'!$B17:$N17/'净值数据(iFinD公式)'!$B$5:$N$5)*(1-持仓配置!$P$4)^((ROW()-6)/说明!$C$17))</f>
        <v/>
      </c>
      <c r="C18" s="9">
        <f>IF(OR(B18="",B17=""),"",B18/B17-1)</f>
        <v/>
      </c>
      <c r="D18" s="9">
        <f>IF(B18="","",B18/MAX(B$6:B18)-1)</f>
        <v/>
      </c>
      <c r="E18" s="115">
        <f>IF(OR('净值数据(iFinD公式)'!$A17="",'净值数据(iFinD公式)'!$B17=""),"",SUMPRODUCT(持仓配置!$B$5:$N$5,'净值数据(iFinD公式)'!$B17:$N17/'净值数据(iFinD公式)'!$B$5:$N$5)*(1-持仓配置!$P$5)^((ROW()-6)/说明!$C$17))</f>
        <v/>
      </c>
      <c r="F18" s="9">
        <f>IF(OR(E18="",E17=""),"",E18/E17-1)</f>
        <v/>
      </c>
      <c r="G18" s="9">
        <f>IF(E18="","",E18/MAX(E$6:E18)-1)</f>
        <v/>
      </c>
      <c r="H18" s="115">
        <f>IF(OR('净值数据(iFinD公式)'!$A17="",'净值数据(iFinD公式)'!$B17=""),"",SUMPRODUCT(持仓配置!$B$6:$N$6,'净值数据(iFinD公式)'!$B17:$N17/'净值数据(iFinD公式)'!$B$5:$N$5)*(1-持仓配置!$P$6)^((ROW()-6)/说明!$C$17))</f>
        <v/>
      </c>
      <c r="I18" s="9">
        <f>IF(OR(H18="",H17=""),"",H18/H17-1)</f>
        <v/>
      </c>
      <c r="J18" s="9">
        <f>IF(H18="","",H18/MAX(H$6:H18)-1)</f>
        <v/>
      </c>
      <c r="K18" s="115">
        <f>IF(OR('净值数据(iFinD公式)'!$A17="",'净值数据(iFinD公式)'!$B17=""),"",SUMPRODUCT(持仓配置!$B$7:$N$7,'净值数据(iFinD公式)'!$B17:$N17/'净值数据(iFinD公式)'!$B$5:$N$5)*(1-持仓配置!$P$7)^((ROW()-6)/说明!$C$17))</f>
        <v/>
      </c>
      <c r="L18" s="9">
        <f>IF(OR(K18="",K17=""),"",K18/K17-1)</f>
        <v/>
      </c>
      <c r="M18" s="9">
        <f>IF(K18="","",K18/MAX(K$6:K18)-1)</f>
        <v/>
      </c>
    </row>
    <row r="19">
      <c r="A19" s="119">
        <f>IF('净值数据(iFinD公式)'!A18="","",'净值数据(iFinD公式)'!A18)</f>
        <v/>
      </c>
      <c r="B19" s="115">
        <f>IF(OR('净值数据(iFinD公式)'!$A18="",'净值数据(iFinD公式)'!$B18=""),"",SUMPRODUCT(持仓配置!$B$4:$N$4,'净值数据(iFinD公式)'!$B18:$N18/'净值数据(iFinD公式)'!$B$5:$N$5)*(1-持仓配置!$P$4)^((ROW()-6)/说明!$C$17))</f>
        <v/>
      </c>
      <c r="C19" s="9">
        <f>IF(OR(B19="",B18=""),"",B19/B18-1)</f>
        <v/>
      </c>
      <c r="D19" s="9">
        <f>IF(B19="","",B19/MAX(B$6:B19)-1)</f>
        <v/>
      </c>
      <c r="E19" s="115">
        <f>IF(OR('净值数据(iFinD公式)'!$A18="",'净值数据(iFinD公式)'!$B18=""),"",SUMPRODUCT(持仓配置!$B$5:$N$5,'净值数据(iFinD公式)'!$B18:$N18/'净值数据(iFinD公式)'!$B$5:$N$5)*(1-持仓配置!$P$5)^((ROW()-6)/说明!$C$17))</f>
        <v/>
      </c>
      <c r="F19" s="9">
        <f>IF(OR(E19="",E18=""),"",E19/E18-1)</f>
        <v/>
      </c>
      <c r="G19" s="9">
        <f>IF(E19="","",E19/MAX(E$6:E19)-1)</f>
        <v/>
      </c>
      <c r="H19" s="115">
        <f>IF(OR('净值数据(iFinD公式)'!$A18="",'净值数据(iFinD公式)'!$B18=""),"",SUMPRODUCT(持仓配置!$B$6:$N$6,'净值数据(iFinD公式)'!$B18:$N18/'净值数据(iFinD公式)'!$B$5:$N$5)*(1-持仓配置!$P$6)^((ROW()-6)/说明!$C$17))</f>
        <v/>
      </c>
      <c r="I19" s="9">
        <f>IF(OR(H19="",H18=""),"",H19/H18-1)</f>
        <v/>
      </c>
      <c r="J19" s="9">
        <f>IF(H19="","",H19/MAX(H$6:H19)-1)</f>
        <v/>
      </c>
      <c r="K19" s="115">
        <f>IF(OR('净值数据(iFinD公式)'!$A18="",'净值数据(iFinD公式)'!$B18=""),"",SUMPRODUCT(持仓配置!$B$7:$N$7,'净值数据(iFinD公式)'!$B18:$N18/'净值数据(iFinD公式)'!$B$5:$N$5)*(1-持仓配置!$P$7)^((ROW()-6)/说明!$C$17))</f>
        <v/>
      </c>
      <c r="L19" s="9">
        <f>IF(OR(K19="",K18=""),"",K19/K18-1)</f>
        <v/>
      </c>
      <c r="M19" s="9">
        <f>IF(K19="","",K19/MAX(K$6:K19)-1)</f>
        <v/>
      </c>
    </row>
    <row r="20">
      <c r="A20" s="119">
        <f>IF('净值数据(iFinD公式)'!A19="","",'净值数据(iFinD公式)'!A19)</f>
        <v/>
      </c>
      <c r="B20" s="115">
        <f>IF(OR('净值数据(iFinD公式)'!$A19="",'净值数据(iFinD公式)'!$B19=""),"",SUMPRODUCT(持仓配置!$B$4:$N$4,'净值数据(iFinD公式)'!$B19:$N19/'净值数据(iFinD公式)'!$B$5:$N$5)*(1-持仓配置!$P$4)^((ROW()-6)/说明!$C$17))</f>
        <v/>
      </c>
      <c r="C20" s="9">
        <f>IF(OR(B20="",B19=""),"",B20/B19-1)</f>
        <v/>
      </c>
      <c r="D20" s="9">
        <f>IF(B20="","",B20/MAX(B$6:B20)-1)</f>
        <v/>
      </c>
      <c r="E20" s="115">
        <f>IF(OR('净值数据(iFinD公式)'!$A19="",'净值数据(iFinD公式)'!$B19=""),"",SUMPRODUCT(持仓配置!$B$5:$N$5,'净值数据(iFinD公式)'!$B19:$N19/'净值数据(iFinD公式)'!$B$5:$N$5)*(1-持仓配置!$P$5)^((ROW()-6)/说明!$C$17))</f>
        <v/>
      </c>
      <c r="F20" s="9">
        <f>IF(OR(E20="",E19=""),"",E20/E19-1)</f>
        <v/>
      </c>
      <c r="G20" s="9">
        <f>IF(E20="","",E20/MAX(E$6:E20)-1)</f>
        <v/>
      </c>
      <c r="H20" s="115">
        <f>IF(OR('净值数据(iFinD公式)'!$A19="",'净值数据(iFinD公式)'!$B19=""),"",SUMPRODUCT(持仓配置!$B$6:$N$6,'净值数据(iFinD公式)'!$B19:$N19/'净值数据(iFinD公式)'!$B$5:$N$5)*(1-持仓配置!$P$6)^((ROW()-6)/说明!$C$17))</f>
        <v/>
      </c>
      <c r="I20" s="9">
        <f>IF(OR(H20="",H19=""),"",H20/H19-1)</f>
        <v/>
      </c>
      <c r="J20" s="9">
        <f>IF(H20="","",H20/MAX(H$6:H20)-1)</f>
        <v/>
      </c>
      <c r="K20" s="115">
        <f>IF(OR('净值数据(iFinD公式)'!$A19="",'净值数据(iFinD公式)'!$B19=""),"",SUMPRODUCT(持仓配置!$B$7:$N$7,'净值数据(iFinD公式)'!$B19:$N19/'净值数据(iFinD公式)'!$B$5:$N$5)*(1-持仓配置!$P$7)^((ROW()-6)/说明!$C$17))</f>
        <v/>
      </c>
      <c r="L20" s="9">
        <f>IF(OR(K20="",K19=""),"",K20/K19-1)</f>
        <v/>
      </c>
      <c r="M20" s="9">
        <f>IF(K20="","",K20/MAX(K$6:K20)-1)</f>
        <v/>
      </c>
    </row>
    <row r="21">
      <c r="A21" s="119">
        <f>IF('净值数据(iFinD公式)'!A20="","",'净值数据(iFinD公式)'!A20)</f>
        <v/>
      </c>
      <c r="B21" s="115">
        <f>IF(OR('净值数据(iFinD公式)'!$A20="",'净值数据(iFinD公式)'!$B20=""),"",SUMPRODUCT(持仓配置!$B$4:$N$4,'净值数据(iFinD公式)'!$B20:$N20/'净值数据(iFinD公式)'!$B$5:$N$5)*(1-持仓配置!$P$4)^((ROW()-6)/说明!$C$17))</f>
        <v/>
      </c>
      <c r="C21" s="9">
        <f>IF(OR(B21="",B20=""),"",B21/B20-1)</f>
        <v/>
      </c>
      <c r="D21" s="9">
        <f>IF(B21="","",B21/MAX(B$6:B21)-1)</f>
        <v/>
      </c>
      <c r="E21" s="115">
        <f>IF(OR('净值数据(iFinD公式)'!$A20="",'净值数据(iFinD公式)'!$B20=""),"",SUMPRODUCT(持仓配置!$B$5:$N$5,'净值数据(iFinD公式)'!$B20:$N20/'净值数据(iFinD公式)'!$B$5:$N$5)*(1-持仓配置!$P$5)^((ROW()-6)/说明!$C$17))</f>
        <v/>
      </c>
      <c r="F21" s="9">
        <f>IF(OR(E21="",E20=""),"",E21/E20-1)</f>
        <v/>
      </c>
      <c r="G21" s="9">
        <f>IF(E21="","",E21/MAX(E$6:E21)-1)</f>
        <v/>
      </c>
      <c r="H21" s="115">
        <f>IF(OR('净值数据(iFinD公式)'!$A20="",'净值数据(iFinD公式)'!$B20=""),"",SUMPRODUCT(持仓配置!$B$6:$N$6,'净值数据(iFinD公式)'!$B20:$N20/'净值数据(iFinD公式)'!$B$5:$N$5)*(1-持仓配置!$P$6)^((ROW()-6)/说明!$C$17))</f>
        <v/>
      </c>
      <c r="I21" s="9">
        <f>IF(OR(H21="",H20=""),"",H21/H20-1)</f>
        <v/>
      </c>
      <c r="J21" s="9">
        <f>IF(H21="","",H21/MAX(H$6:H21)-1)</f>
        <v/>
      </c>
      <c r="K21" s="115">
        <f>IF(OR('净值数据(iFinD公式)'!$A20="",'净值数据(iFinD公式)'!$B20=""),"",SUMPRODUCT(持仓配置!$B$7:$N$7,'净值数据(iFinD公式)'!$B20:$N20/'净值数据(iFinD公式)'!$B$5:$N$5)*(1-持仓配置!$P$7)^((ROW()-6)/说明!$C$17))</f>
        <v/>
      </c>
      <c r="L21" s="9">
        <f>IF(OR(K21="",K20=""),"",K21/K20-1)</f>
        <v/>
      </c>
      <c r="M21" s="9">
        <f>IF(K21="","",K21/MAX(K$6:K21)-1)</f>
        <v/>
      </c>
    </row>
    <row r="22">
      <c r="A22" s="119">
        <f>IF('净值数据(iFinD公式)'!A21="","",'净值数据(iFinD公式)'!A21)</f>
        <v/>
      </c>
      <c r="B22" s="115">
        <f>IF(OR('净值数据(iFinD公式)'!$A21="",'净值数据(iFinD公式)'!$B21=""),"",SUMPRODUCT(持仓配置!$B$4:$N$4,'净值数据(iFinD公式)'!$B21:$N21/'净值数据(iFinD公式)'!$B$5:$N$5)*(1-持仓配置!$P$4)^((ROW()-6)/说明!$C$17))</f>
        <v/>
      </c>
      <c r="C22" s="9">
        <f>IF(OR(B22="",B21=""),"",B22/B21-1)</f>
        <v/>
      </c>
      <c r="D22" s="9">
        <f>IF(B22="","",B22/MAX(B$6:B22)-1)</f>
        <v/>
      </c>
      <c r="E22" s="115">
        <f>IF(OR('净值数据(iFinD公式)'!$A21="",'净值数据(iFinD公式)'!$B21=""),"",SUMPRODUCT(持仓配置!$B$5:$N$5,'净值数据(iFinD公式)'!$B21:$N21/'净值数据(iFinD公式)'!$B$5:$N$5)*(1-持仓配置!$P$5)^((ROW()-6)/说明!$C$17))</f>
        <v/>
      </c>
      <c r="F22" s="9">
        <f>IF(OR(E22="",E21=""),"",E22/E21-1)</f>
        <v/>
      </c>
      <c r="G22" s="9">
        <f>IF(E22="","",E22/MAX(E$6:E22)-1)</f>
        <v/>
      </c>
      <c r="H22" s="115">
        <f>IF(OR('净值数据(iFinD公式)'!$A21="",'净值数据(iFinD公式)'!$B21=""),"",SUMPRODUCT(持仓配置!$B$6:$N$6,'净值数据(iFinD公式)'!$B21:$N21/'净值数据(iFinD公式)'!$B$5:$N$5)*(1-持仓配置!$P$6)^((ROW()-6)/说明!$C$17))</f>
        <v/>
      </c>
      <c r="I22" s="9">
        <f>IF(OR(H22="",H21=""),"",H22/H21-1)</f>
        <v/>
      </c>
      <c r="J22" s="9">
        <f>IF(H22="","",H22/MAX(H$6:H22)-1)</f>
        <v/>
      </c>
      <c r="K22" s="115">
        <f>IF(OR('净值数据(iFinD公式)'!$A21="",'净值数据(iFinD公式)'!$B21=""),"",SUMPRODUCT(持仓配置!$B$7:$N$7,'净值数据(iFinD公式)'!$B21:$N21/'净值数据(iFinD公式)'!$B$5:$N$5)*(1-持仓配置!$P$7)^((ROW()-6)/说明!$C$17))</f>
        <v/>
      </c>
      <c r="L22" s="9">
        <f>IF(OR(K22="",K21=""),"",K22/K21-1)</f>
        <v/>
      </c>
      <c r="M22" s="9">
        <f>IF(K22="","",K22/MAX(K$6:K22)-1)</f>
        <v/>
      </c>
    </row>
    <row r="23">
      <c r="A23" s="119">
        <f>IF('净值数据(iFinD公式)'!A22="","",'净值数据(iFinD公式)'!A22)</f>
        <v/>
      </c>
      <c r="B23" s="115">
        <f>IF(OR('净值数据(iFinD公式)'!$A22="",'净值数据(iFinD公式)'!$B22=""),"",SUMPRODUCT(持仓配置!$B$4:$N$4,'净值数据(iFinD公式)'!$B22:$N22/'净值数据(iFinD公式)'!$B$5:$N$5)*(1-持仓配置!$P$4)^((ROW()-6)/说明!$C$17))</f>
        <v/>
      </c>
      <c r="C23" s="9">
        <f>IF(OR(B23="",B22=""),"",B23/B22-1)</f>
        <v/>
      </c>
      <c r="D23" s="9">
        <f>IF(B23="","",B23/MAX(B$6:B23)-1)</f>
        <v/>
      </c>
      <c r="E23" s="115">
        <f>IF(OR('净值数据(iFinD公式)'!$A22="",'净值数据(iFinD公式)'!$B22=""),"",SUMPRODUCT(持仓配置!$B$5:$N$5,'净值数据(iFinD公式)'!$B22:$N22/'净值数据(iFinD公式)'!$B$5:$N$5)*(1-持仓配置!$P$5)^((ROW()-6)/说明!$C$17))</f>
        <v/>
      </c>
      <c r="F23" s="9">
        <f>IF(OR(E23="",E22=""),"",E23/E22-1)</f>
        <v/>
      </c>
      <c r="G23" s="9">
        <f>IF(E23="","",E23/MAX(E$6:E23)-1)</f>
        <v/>
      </c>
      <c r="H23" s="115">
        <f>IF(OR('净值数据(iFinD公式)'!$A22="",'净值数据(iFinD公式)'!$B22=""),"",SUMPRODUCT(持仓配置!$B$6:$N$6,'净值数据(iFinD公式)'!$B22:$N22/'净值数据(iFinD公式)'!$B$5:$N$5)*(1-持仓配置!$P$6)^((ROW()-6)/说明!$C$17))</f>
        <v/>
      </c>
      <c r="I23" s="9">
        <f>IF(OR(H23="",H22=""),"",H23/H22-1)</f>
        <v/>
      </c>
      <c r="J23" s="9">
        <f>IF(H23="","",H23/MAX(H$6:H23)-1)</f>
        <v/>
      </c>
      <c r="K23" s="115">
        <f>IF(OR('净值数据(iFinD公式)'!$A22="",'净值数据(iFinD公式)'!$B22=""),"",SUMPRODUCT(持仓配置!$B$7:$N$7,'净值数据(iFinD公式)'!$B22:$N22/'净值数据(iFinD公式)'!$B$5:$N$5)*(1-持仓配置!$P$7)^((ROW()-6)/说明!$C$17))</f>
        <v/>
      </c>
      <c r="L23" s="9">
        <f>IF(OR(K23="",K22=""),"",K23/K22-1)</f>
        <v/>
      </c>
      <c r="M23" s="9">
        <f>IF(K23="","",K23/MAX(K$6:K23)-1)</f>
        <v/>
      </c>
    </row>
    <row r="24">
      <c r="A24" s="119">
        <f>IF('净值数据(iFinD公式)'!A23="","",'净值数据(iFinD公式)'!A23)</f>
        <v/>
      </c>
      <c r="B24" s="115">
        <f>IF(OR('净值数据(iFinD公式)'!$A23="",'净值数据(iFinD公式)'!$B23=""),"",SUMPRODUCT(持仓配置!$B$4:$N$4,'净值数据(iFinD公式)'!$B23:$N23/'净值数据(iFinD公式)'!$B$5:$N$5)*(1-持仓配置!$P$4)^((ROW()-6)/说明!$C$17))</f>
        <v/>
      </c>
      <c r="C24" s="9">
        <f>IF(OR(B24="",B23=""),"",B24/B23-1)</f>
        <v/>
      </c>
      <c r="D24" s="9">
        <f>IF(B24="","",B24/MAX(B$6:B24)-1)</f>
        <v/>
      </c>
      <c r="E24" s="115">
        <f>IF(OR('净值数据(iFinD公式)'!$A23="",'净值数据(iFinD公式)'!$B23=""),"",SUMPRODUCT(持仓配置!$B$5:$N$5,'净值数据(iFinD公式)'!$B23:$N23/'净值数据(iFinD公式)'!$B$5:$N$5)*(1-持仓配置!$P$5)^((ROW()-6)/说明!$C$17))</f>
        <v/>
      </c>
      <c r="F24" s="9">
        <f>IF(OR(E24="",E23=""),"",E24/E23-1)</f>
        <v/>
      </c>
      <c r="G24" s="9">
        <f>IF(E24="","",E24/MAX(E$6:E24)-1)</f>
        <v/>
      </c>
      <c r="H24" s="115">
        <f>IF(OR('净值数据(iFinD公式)'!$A23="",'净值数据(iFinD公式)'!$B23=""),"",SUMPRODUCT(持仓配置!$B$6:$N$6,'净值数据(iFinD公式)'!$B23:$N23/'净值数据(iFinD公式)'!$B$5:$N$5)*(1-持仓配置!$P$6)^((ROW()-6)/说明!$C$17))</f>
        <v/>
      </c>
      <c r="I24" s="9">
        <f>IF(OR(H24="",H23=""),"",H24/H23-1)</f>
        <v/>
      </c>
      <c r="J24" s="9">
        <f>IF(H24="","",H24/MAX(H$6:H24)-1)</f>
        <v/>
      </c>
      <c r="K24" s="115">
        <f>IF(OR('净值数据(iFinD公式)'!$A23="",'净值数据(iFinD公式)'!$B23=""),"",SUMPRODUCT(持仓配置!$B$7:$N$7,'净值数据(iFinD公式)'!$B23:$N23/'净值数据(iFinD公式)'!$B$5:$N$5)*(1-持仓配置!$P$7)^((ROW()-6)/说明!$C$17))</f>
        <v/>
      </c>
      <c r="L24" s="9">
        <f>IF(OR(K24="",K23=""),"",K24/K23-1)</f>
        <v/>
      </c>
      <c r="M24" s="9">
        <f>IF(K24="","",K24/MAX(K$6:K24)-1)</f>
        <v/>
      </c>
    </row>
    <row r="25">
      <c r="A25" s="119">
        <f>IF('净值数据(iFinD公式)'!A24="","",'净值数据(iFinD公式)'!A24)</f>
        <v/>
      </c>
      <c r="B25" s="115">
        <f>IF(OR('净值数据(iFinD公式)'!$A24="",'净值数据(iFinD公式)'!$B24=""),"",SUMPRODUCT(持仓配置!$B$4:$N$4,'净值数据(iFinD公式)'!$B24:$N24/'净值数据(iFinD公式)'!$B$5:$N$5)*(1-持仓配置!$P$4)^((ROW()-6)/说明!$C$17))</f>
        <v/>
      </c>
      <c r="C25" s="9">
        <f>IF(OR(B25="",B24=""),"",B25/B24-1)</f>
        <v/>
      </c>
      <c r="D25" s="9">
        <f>IF(B25="","",B25/MAX(B$6:B25)-1)</f>
        <v/>
      </c>
      <c r="E25" s="115">
        <f>IF(OR('净值数据(iFinD公式)'!$A24="",'净值数据(iFinD公式)'!$B24=""),"",SUMPRODUCT(持仓配置!$B$5:$N$5,'净值数据(iFinD公式)'!$B24:$N24/'净值数据(iFinD公式)'!$B$5:$N$5)*(1-持仓配置!$P$5)^((ROW()-6)/说明!$C$17))</f>
        <v/>
      </c>
      <c r="F25" s="9">
        <f>IF(OR(E25="",E24=""),"",E25/E24-1)</f>
        <v/>
      </c>
      <c r="G25" s="9">
        <f>IF(E25="","",E25/MAX(E$6:E25)-1)</f>
        <v/>
      </c>
      <c r="H25" s="115">
        <f>IF(OR('净值数据(iFinD公式)'!$A24="",'净值数据(iFinD公式)'!$B24=""),"",SUMPRODUCT(持仓配置!$B$6:$N$6,'净值数据(iFinD公式)'!$B24:$N24/'净值数据(iFinD公式)'!$B$5:$N$5)*(1-持仓配置!$P$6)^((ROW()-6)/说明!$C$17))</f>
        <v/>
      </c>
      <c r="I25" s="9">
        <f>IF(OR(H25="",H24=""),"",H25/H24-1)</f>
        <v/>
      </c>
      <c r="J25" s="9">
        <f>IF(H25="","",H25/MAX(H$6:H25)-1)</f>
        <v/>
      </c>
      <c r="K25" s="115">
        <f>IF(OR('净值数据(iFinD公式)'!$A24="",'净值数据(iFinD公式)'!$B24=""),"",SUMPRODUCT(持仓配置!$B$7:$N$7,'净值数据(iFinD公式)'!$B24:$N24/'净值数据(iFinD公式)'!$B$5:$N$5)*(1-持仓配置!$P$7)^((ROW()-6)/说明!$C$17))</f>
        <v/>
      </c>
      <c r="L25" s="9">
        <f>IF(OR(K25="",K24=""),"",K25/K24-1)</f>
        <v/>
      </c>
      <c r="M25" s="9">
        <f>IF(K25="","",K25/MAX(K$6:K25)-1)</f>
        <v/>
      </c>
    </row>
    <row r="26">
      <c r="A26" s="119">
        <f>IF('净值数据(iFinD公式)'!A25="","",'净值数据(iFinD公式)'!A25)</f>
        <v/>
      </c>
      <c r="B26" s="115">
        <f>IF(OR('净值数据(iFinD公式)'!$A25="",'净值数据(iFinD公式)'!$B25=""),"",SUMPRODUCT(持仓配置!$B$4:$N$4,'净值数据(iFinD公式)'!$B25:$N25/'净值数据(iFinD公式)'!$B$5:$N$5)*(1-持仓配置!$P$4)^((ROW()-6)/说明!$C$17))</f>
        <v/>
      </c>
      <c r="C26" s="9">
        <f>IF(OR(B26="",B25=""),"",B26/B25-1)</f>
        <v/>
      </c>
      <c r="D26" s="9">
        <f>IF(B26="","",B26/MAX(B$6:B26)-1)</f>
        <v/>
      </c>
      <c r="E26" s="115">
        <f>IF(OR('净值数据(iFinD公式)'!$A25="",'净值数据(iFinD公式)'!$B25=""),"",SUMPRODUCT(持仓配置!$B$5:$N$5,'净值数据(iFinD公式)'!$B25:$N25/'净值数据(iFinD公式)'!$B$5:$N$5)*(1-持仓配置!$P$5)^((ROW()-6)/说明!$C$17))</f>
        <v/>
      </c>
      <c r="F26" s="9">
        <f>IF(OR(E26="",E25=""),"",E26/E25-1)</f>
        <v/>
      </c>
      <c r="G26" s="9">
        <f>IF(E26="","",E26/MAX(E$6:E26)-1)</f>
        <v/>
      </c>
      <c r="H26" s="115">
        <f>IF(OR('净值数据(iFinD公式)'!$A25="",'净值数据(iFinD公式)'!$B25=""),"",SUMPRODUCT(持仓配置!$B$6:$N$6,'净值数据(iFinD公式)'!$B25:$N25/'净值数据(iFinD公式)'!$B$5:$N$5)*(1-持仓配置!$P$6)^((ROW()-6)/说明!$C$17))</f>
        <v/>
      </c>
      <c r="I26" s="9">
        <f>IF(OR(H26="",H25=""),"",H26/H25-1)</f>
        <v/>
      </c>
      <c r="J26" s="9">
        <f>IF(H26="","",H26/MAX(H$6:H26)-1)</f>
        <v/>
      </c>
      <c r="K26" s="115">
        <f>IF(OR('净值数据(iFinD公式)'!$A25="",'净值数据(iFinD公式)'!$B25=""),"",SUMPRODUCT(持仓配置!$B$7:$N$7,'净值数据(iFinD公式)'!$B25:$N25/'净值数据(iFinD公式)'!$B$5:$N$5)*(1-持仓配置!$P$7)^((ROW()-6)/说明!$C$17))</f>
        <v/>
      </c>
      <c r="L26" s="9">
        <f>IF(OR(K26="",K25=""),"",K26/K25-1)</f>
        <v/>
      </c>
      <c r="M26" s="9">
        <f>IF(K26="","",K26/MAX(K$6:K26)-1)</f>
        <v/>
      </c>
    </row>
    <row r="27">
      <c r="A27" s="119">
        <f>IF('净值数据(iFinD公式)'!A26="","",'净值数据(iFinD公式)'!A26)</f>
        <v/>
      </c>
      <c r="B27" s="115">
        <f>IF(OR('净值数据(iFinD公式)'!$A26="",'净值数据(iFinD公式)'!$B26=""),"",SUMPRODUCT(持仓配置!$B$4:$N$4,'净值数据(iFinD公式)'!$B26:$N26/'净值数据(iFinD公式)'!$B$5:$N$5)*(1-持仓配置!$P$4)^((ROW()-6)/说明!$C$17))</f>
        <v/>
      </c>
      <c r="C27" s="9">
        <f>IF(OR(B27="",B26=""),"",B27/B26-1)</f>
        <v/>
      </c>
      <c r="D27" s="9">
        <f>IF(B27="","",B27/MAX(B$6:B27)-1)</f>
        <v/>
      </c>
      <c r="E27" s="115">
        <f>IF(OR('净值数据(iFinD公式)'!$A26="",'净值数据(iFinD公式)'!$B26=""),"",SUMPRODUCT(持仓配置!$B$5:$N$5,'净值数据(iFinD公式)'!$B26:$N26/'净值数据(iFinD公式)'!$B$5:$N$5)*(1-持仓配置!$P$5)^((ROW()-6)/说明!$C$17))</f>
        <v/>
      </c>
      <c r="F27" s="9">
        <f>IF(OR(E27="",E26=""),"",E27/E26-1)</f>
        <v/>
      </c>
      <c r="G27" s="9">
        <f>IF(E27="","",E27/MAX(E$6:E27)-1)</f>
        <v/>
      </c>
      <c r="H27" s="115">
        <f>IF(OR('净值数据(iFinD公式)'!$A26="",'净值数据(iFinD公式)'!$B26=""),"",SUMPRODUCT(持仓配置!$B$6:$N$6,'净值数据(iFinD公式)'!$B26:$N26/'净值数据(iFinD公式)'!$B$5:$N$5)*(1-持仓配置!$P$6)^((ROW()-6)/说明!$C$17))</f>
        <v/>
      </c>
      <c r="I27" s="9">
        <f>IF(OR(H27="",H26=""),"",H27/H26-1)</f>
        <v/>
      </c>
      <c r="J27" s="9">
        <f>IF(H27="","",H27/MAX(H$6:H27)-1)</f>
        <v/>
      </c>
      <c r="K27" s="115">
        <f>IF(OR('净值数据(iFinD公式)'!$A26="",'净值数据(iFinD公式)'!$B26=""),"",SUMPRODUCT(持仓配置!$B$7:$N$7,'净值数据(iFinD公式)'!$B26:$N26/'净值数据(iFinD公式)'!$B$5:$N$5)*(1-持仓配置!$P$7)^((ROW()-6)/说明!$C$17))</f>
        <v/>
      </c>
      <c r="L27" s="9">
        <f>IF(OR(K27="",K26=""),"",K27/K26-1)</f>
        <v/>
      </c>
      <c r="M27" s="9">
        <f>IF(K27="","",K27/MAX(K$6:K27)-1)</f>
        <v/>
      </c>
      <c r="O27" s="46">
        <f>B25/B6-1</f>
        <v/>
      </c>
    </row>
    <row r="28">
      <c r="A28" s="119">
        <f>IF('净值数据(iFinD公式)'!A27="","",'净值数据(iFinD公式)'!A27)</f>
        <v/>
      </c>
      <c r="B28" s="115">
        <f>IF(OR('净值数据(iFinD公式)'!$A27="",'净值数据(iFinD公式)'!$B27=""),"",SUMPRODUCT(持仓配置!$B$4:$N$4,'净值数据(iFinD公式)'!$B27:$N27/'净值数据(iFinD公式)'!$B$5:$N$5)*(1-持仓配置!$P$4)^((ROW()-6)/说明!$C$17))</f>
        <v/>
      </c>
      <c r="C28" s="9">
        <f>IF(OR(B28="",B27=""),"",B28/B27-1)</f>
        <v/>
      </c>
      <c r="D28" s="9">
        <f>IF(B28="","",B28/MAX(B$6:B28)-1)</f>
        <v/>
      </c>
      <c r="E28" s="115">
        <f>IF(OR('净值数据(iFinD公式)'!$A27="",'净值数据(iFinD公式)'!$B27=""),"",SUMPRODUCT(持仓配置!$B$5:$N$5,'净值数据(iFinD公式)'!$B27:$N27/'净值数据(iFinD公式)'!$B$5:$N$5)*(1-持仓配置!$P$5)^((ROW()-6)/说明!$C$17))</f>
        <v/>
      </c>
      <c r="F28" s="9">
        <f>IF(OR(E28="",E27=""),"",E28/E27-1)</f>
        <v/>
      </c>
      <c r="G28" s="9">
        <f>IF(E28="","",E28/MAX(E$6:E28)-1)</f>
        <v/>
      </c>
      <c r="H28" s="115">
        <f>IF(OR('净值数据(iFinD公式)'!$A27="",'净值数据(iFinD公式)'!$B27=""),"",SUMPRODUCT(持仓配置!$B$6:$N$6,'净值数据(iFinD公式)'!$B27:$N27/'净值数据(iFinD公式)'!$B$5:$N$5)*(1-持仓配置!$P$6)^((ROW()-6)/说明!$C$17))</f>
        <v/>
      </c>
      <c r="I28" s="9">
        <f>IF(OR(H28="",H27=""),"",H28/H27-1)</f>
        <v/>
      </c>
      <c r="J28" s="9">
        <f>IF(H28="","",H28/MAX(H$6:H28)-1)</f>
        <v/>
      </c>
      <c r="K28" s="115">
        <f>IF(OR('净值数据(iFinD公式)'!$A27="",'净值数据(iFinD公式)'!$B27=""),"",SUMPRODUCT(持仓配置!$B$7:$N$7,'净值数据(iFinD公式)'!$B27:$N27/'净值数据(iFinD公式)'!$B$5:$N$5)*(1-持仓配置!$P$7)^((ROW()-6)/说明!$C$17))</f>
        <v/>
      </c>
      <c r="L28" s="9">
        <f>IF(OR(K28="",K27=""),"",K28/K27-1)</f>
        <v/>
      </c>
      <c r="M28" s="9">
        <f>IF(K28="","",K28/MAX(K$6:K28)-1)</f>
        <v/>
      </c>
    </row>
    <row r="29">
      <c r="A29" s="119">
        <f>IF('净值数据(iFinD公式)'!A28="","",'净值数据(iFinD公式)'!A28)</f>
        <v/>
      </c>
      <c r="B29" s="115">
        <f>IF(OR('净值数据(iFinD公式)'!$A28="",'净值数据(iFinD公式)'!$B28=""),"",SUMPRODUCT(持仓配置!$B$4:$N$4,'净值数据(iFinD公式)'!$B28:$N28/'净值数据(iFinD公式)'!$B$5:$N$5)*(1-持仓配置!$P$4)^((ROW()-6)/说明!$C$17))</f>
        <v/>
      </c>
      <c r="C29" s="9">
        <f>IF(OR(B29="",B28=""),"",B29/B28-1)</f>
        <v/>
      </c>
      <c r="D29" s="9">
        <f>IF(B29="","",B29/MAX(B$6:B29)-1)</f>
        <v/>
      </c>
      <c r="E29" s="115">
        <f>IF(OR('净值数据(iFinD公式)'!$A28="",'净值数据(iFinD公式)'!$B28=""),"",SUMPRODUCT(持仓配置!$B$5:$N$5,'净值数据(iFinD公式)'!$B28:$N28/'净值数据(iFinD公式)'!$B$5:$N$5)*(1-持仓配置!$P$5)^((ROW()-6)/说明!$C$17))</f>
        <v/>
      </c>
      <c r="F29" s="9">
        <f>IF(OR(E29="",E28=""),"",E29/E28-1)</f>
        <v/>
      </c>
      <c r="G29" s="9">
        <f>IF(E29="","",E29/MAX(E$6:E29)-1)</f>
        <v/>
      </c>
      <c r="H29" s="115">
        <f>IF(OR('净值数据(iFinD公式)'!$A28="",'净值数据(iFinD公式)'!$B28=""),"",SUMPRODUCT(持仓配置!$B$6:$N$6,'净值数据(iFinD公式)'!$B28:$N28/'净值数据(iFinD公式)'!$B$5:$N$5)*(1-持仓配置!$P$6)^((ROW()-6)/说明!$C$17))</f>
        <v/>
      </c>
      <c r="I29" s="9">
        <f>IF(OR(H29="",H28=""),"",H29/H28-1)</f>
        <v/>
      </c>
      <c r="J29" s="9">
        <f>IF(H29="","",H29/MAX(H$6:H29)-1)</f>
        <v/>
      </c>
      <c r="K29" s="115">
        <f>IF(OR('净值数据(iFinD公式)'!$A28="",'净值数据(iFinD公式)'!$B28=""),"",SUMPRODUCT(持仓配置!$B$7:$N$7,'净值数据(iFinD公式)'!$B28:$N28/'净值数据(iFinD公式)'!$B$5:$N$5)*(1-持仓配置!$P$7)^((ROW()-6)/说明!$C$17))</f>
        <v/>
      </c>
      <c r="L29" s="9">
        <f>IF(OR(K29="",K28=""),"",K29/K28-1)</f>
        <v/>
      </c>
      <c r="M29" s="9">
        <f>IF(K29="","",K29/MAX(K$6:K29)-1)</f>
        <v/>
      </c>
    </row>
    <row r="30">
      <c r="A30" s="119">
        <f>IF('净值数据(iFinD公式)'!A29="","",'净值数据(iFinD公式)'!A29)</f>
        <v/>
      </c>
      <c r="B30" s="115">
        <f>IF(OR('净值数据(iFinD公式)'!$A29="",'净值数据(iFinD公式)'!$B29=""),"",SUMPRODUCT(持仓配置!$B$4:$N$4,'净值数据(iFinD公式)'!$B29:$N29/'净值数据(iFinD公式)'!$B$5:$N$5)*(1-持仓配置!$P$4)^((ROW()-6)/说明!$C$17))</f>
        <v/>
      </c>
      <c r="C30" s="9">
        <f>IF(OR(B30="",B29=""),"",B30/B29-1)</f>
        <v/>
      </c>
      <c r="D30" s="9">
        <f>IF(B30="","",B30/MAX(B$6:B30)-1)</f>
        <v/>
      </c>
      <c r="E30" s="115">
        <f>IF(OR('净值数据(iFinD公式)'!$A29="",'净值数据(iFinD公式)'!$B29=""),"",SUMPRODUCT(持仓配置!$B$5:$N$5,'净值数据(iFinD公式)'!$B29:$N29/'净值数据(iFinD公式)'!$B$5:$N$5)*(1-持仓配置!$P$5)^((ROW()-6)/说明!$C$17))</f>
        <v/>
      </c>
      <c r="F30" s="9">
        <f>IF(OR(E30="",E29=""),"",E30/E29-1)</f>
        <v/>
      </c>
      <c r="G30" s="9">
        <f>IF(E30="","",E30/MAX(E$6:E30)-1)</f>
        <v/>
      </c>
      <c r="H30" s="115">
        <f>IF(OR('净值数据(iFinD公式)'!$A29="",'净值数据(iFinD公式)'!$B29=""),"",SUMPRODUCT(持仓配置!$B$6:$N$6,'净值数据(iFinD公式)'!$B29:$N29/'净值数据(iFinD公式)'!$B$5:$N$5)*(1-持仓配置!$P$6)^((ROW()-6)/说明!$C$17))</f>
        <v/>
      </c>
      <c r="I30" s="9">
        <f>IF(OR(H30="",H29=""),"",H30/H29-1)</f>
        <v/>
      </c>
      <c r="J30" s="9">
        <f>IF(H30="","",H30/MAX(H$6:H30)-1)</f>
        <v/>
      </c>
      <c r="K30" s="115">
        <f>IF(OR('净值数据(iFinD公式)'!$A29="",'净值数据(iFinD公式)'!$B29=""),"",SUMPRODUCT(持仓配置!$B$7:$N$7,'净值数据(iFinD公式)'!$B29:$N29/'净值数据(iFinD公式)'!$B$5:$N$5)*(1-持仓配置!$P$7)^((ROW()-6)/说明!$C$17))</f>
        <v/>
      </c>
      <c r="L30" s="9">
        <f>IF(OR(K30="",K29=""),"",K30/K29-1)</f>
        <v/>
      </c>
      <c r="M30" s="9">
        <f>IF(K30="","",K30/MAX(K$6:K30)-1)</f>
        <v/>
      </c>
    </row>
    <row r="31">
      <c r="A31" s="119">
        <f>IF('净值数据(iFinD公式)'!A30="","",'净值数据(iFinD公式)'!A30)</f>
        <v/>
      </c>
      <c r="B31" s="115">
        <f>IF(OR('净值数据(iFinD公式)'!$A30="",'净值数据(iFinD公式)'!$B30=""),"",SUMPRODUCT(持仓配置!$B$4:$N$4,'净值数据(iFinD公式)'!$B30:$N30/'净值数据(iFinD公式)'!$B$5:$N$5)*(1-持仓配置!$P$4)^((ROW()-6)/说明!$C$17))</f>
        <v/>
      </c>
      <c r="C31" s="9">
        <f>IF(OR(B31="",B30=""),"",B31/B30-1)</f>
        <v/>
      </c>
      <c r="D31" s="9">
        <f>IF(B31="","",B31/MAX(B$6:B31)-1)</f>
        <v/>
      </c>
      <c r="E31" s="115">
        <f>IF(OR('净值数据(iFinD公式)'!$A30="",'净值数据(iFinD公式)'!$B30=""),"",SUMPRODUCT(持仓配置!$B$5:$N$5,'净值数据(iFinD公式)'!$B30:$N30/'净值数据(iFinD公式)'!$B$5:$N$5)*(1-持仓配置!$P$5)^((ROW()-6)/说明!$C$17))</f>
        <v/>
      </c>
      <c r="F31" s="9">
        <f>IF(OR(E31="",E30=""),"",E31/E30-1)</f>
        <v/>
      </c>
      <c r="G31" s="9">
        <f>IF(E31="","",E31/MAX(E$6:E31)-1)</f>
        <v/>
      </c>
      <c r="H31" s="115">
        <f>IF(OR('净值数据(iFinD公式)'!$A30="",'净值数据(iFinD公式)'!$B30=""),"",SUMPRODUCT(持仓配置!$B$6:$N$6,'净值数据(iFinD公式)'!$B30:$N30/'净值数据(iFinD公式)'!$B$5:$N$5)*(1-持仓配置!$P$6)^((ROW()-6)/说明!$C$17))</f>
        <v/>
      </c>
      <c r="I31" s="9">
        <f>IF(OR(H31="",H30=""),"",H31/H30-1)</f>
        <v/>
      </c>
      <c r="J31" s="9">
        <f>IF(H31="","",H31/MAX(H$6:H31)-1)</f>
        <v/>
      </c>
      <c r="K31" s="115">
        <f>IF(OR('净值数据(iFinD公式)'!$A30="",'净值数据(iFinD公式)'!$B30=""),"",SUMPRODUCT(持仓配置!$B$7:$N$7,'净值数据(iFinD公式)'!$B30:$N30/'净值数据(iFinD公式)'!$B$5:$N$5)*(1-持仓配置!$P$7)^((ROW()-6)/说明!$C$17))</f>
        <v/>
      </c>
      <c r="L31" s="9">
        <f>IF(OR(K31="",K30=""),"",K31/K30-1)</f>
        <v/>
      </c>
      <c r="M31" s="9">
        <f>IF(K31="","",K31/MAX(K$6:K31)-1)</f>
        <v/>
      </c>
    </row>
    <row r="32">
      <c r="A32" s="119">
        <f>IF('净值数据(iFinD公式)'!A31="","",'净值数据(iFinD公式)'!A31)</f>
        <v/>
      </c>
      <c r="B32" s="115">
        <f>IF(OR('净值数据(iFinD公式)'!$A31="",'净值数据(iFinD公式)'!$B31=""),"",SUMPRODUCT(持仓配置!$B$4:$N$4,'净值数据(iFinD公式)'!$B31:$N31/'净值数据(iFinD公式)'!$B$5:$N$5)*(1-持仓配置!$P$4)^((ROW()-6)/说明!$C$17))</f>
        <v/>
      </c>
      <c r="C32" s="9">
        <f>IF(OR(B32="",B31=""),"",B32/B31-1)</f>
        <v/>
      </c>
      <c r="D32" s="9">
        <f>IF(B32="","",B32/MAX(B$6:B32)-1)</f>
        <v/>
      </c>
      <c r="E32" s="115">
        <f>IF(OR('净值数据(iFinD公式)'!$A31="",'净值数据(iFinD公式)'!$B31=""),"",SUMPRODUCT(持仓配置!$B$5:$N$5,'净值数据(iFinD公式)'!$B31:$N31/'净值数据(iFinD公式)'!$B$5:$N$5)*(1-持仓配置!$P$5)^((ROW()-6)/说明!$C$17))</f>
        <v/>
      </c>
      <c r="F32" s="9">
        <f>IF(OR(E32="",E31=""),"",E32/E31-1)</f>
        <v/>
      </c>
      <c r="G32" s="9">
        <f>IF(E32="","",E32/MAX(E$6:E32)-1)</f>
        <v/>
      </c>
      <c r="H32" s="115">
        <f>IF(OR('净值数据(iFinD公式)'!$A31="",'净值数据(iFinD公式)'!$B31=""),"",SUMPRODUCT(持仓配置!$B$6:$N$6,'净值数据(iFinD公式)'!$B31:$N31/'净值数据(iFinD公式)'!$B$5:$N$5)*(1-持仓配置!$P$6)^((ROW()-6)/说明!$C$17))</f>
        <v/>
      </c>
      <c r="I32" s="9">
        <f>IF(OR(H32="",H31=""),"",H32/H31-1)</f>
        <v/>
      </c>
      <c r="J32" s="9">
        <f>IF(H32="","",H32/MAX(H$6:H32)-1)</f>
        <v/>
      </c>
      <c r="K32" s="115">
        <f>IF(OR('净值数据(iFinD公式)'!$A31="",'净值数据(iFinD公式)'!$B31=""),"",SUMPRODUCT(持仓配置!$B$7:$N$7,'净值数据(iFinD公式)'!$B31:$N31/'净值数据(iFinD公式)'!$B$5:$N$5)*(1-持仓配置!$P$7)^((ROW()-6)/说明!$C$17))</f>
        <v/>
      </c>
      <c r="L32" s="9">
        <f>IF(OR(K32="",K31=""),"",K32/K31-1)</f>
        <v/>
      </c>
      <c r="M32" s="9">
        <f>IF(K32="","",K32/MAX(K$6:K32)-1)</f>
        <v/>
      </c>
    </row>
    <row r="33">
      <c r="A33" s="119">
        <f>IF('净值数据(iFinD公式)'!A32="","",'净值数据(iFinD公式)'!A32)</f>
        <v/>
      </c>
      <c r="B33" s="115">
        <f>IF(OR('净值数据(iFinD公式)'!$A32="",'净值数据(iFinD公式)'!$B32=""),"",SUMPRODUCT(持仓配置!$B$4:$N$4,'净值数据(iFinD公式)'!$B32:$N32/'净值数据(iFinD公式)'!$B$5:$N$5)*(1-持仓配置!$P$4)^((ROW()-6)/说明!$C$17))</f>
        <v/>
      </c>
      <c r="C33" s="9">
        <f>IF(OR(B33="",B32=""),"",B33/B32-1)</f>
        <v/>
      </c>
      <c r="D33" s="9">
        <f>IF(B33="","",B33/MAX(B$6:B33)-1)</f>
        <v/>
      </c>
      <c r="E33" s="115">
        <f>IF(OR('净值数据(iFinD公式)'!$A32="",'净值数据(iFinD公式)'!$B32=""),"",SUMPRODUCT(持仓配置!$B$5:$N$5,'净值数据(iFinD公式)'!$B32:$N32/'净值数据(iFinD公式)'!$B$5:$N$5)*(1-持仓配置!$P$5)^((ROW()-6)/说明!$C$17))</f>
        <v/>
      </c>
      <c r="F33" s="9">
        <f>IF(OR(E33="",E32=""),"",E33/E32-1)</f>
        <v/>
      </c>
      <c r="G33" s="9">
        <f>IF(E33="","",E33/MAX(E$6:E33)-1)</f>
        <v/>
      </c>
      <c r="H33" s="115">
        <f>IF(OR('净值数据(iFinD公式)'!$A32="",'净值数据(iFinD公式)'!$B32=""),"",SUMPRODUCT(持仓配置!$B$6:$N$6,'净值数据(iFinD公式)'!$B32:$N32/'净值数据(iFinD公式)'!$B$5:$N$5)*(1-持仓配置!$P$6)^((ROW()-6)/说明!$C$17))</f>
        <v/>
      </c>
      <c r="I33" s="9">
        <f>IF(OR(H33="",H32=""),"",H33/H32-1)</f>
        <v/>
      </c>
      <c r="J33" s="9">
        <f>IF(H33="","",H33/MAX(H$6:H33)-1)</f>
        <v/>
      </c>
      <c r="K33" s="115">
        <f>IF(OR('净值数据(iFinD公式)'!$A32="",'净值数据(iFinD公式)'!$B32=""),"",SUMPRODUCT(持仓配置!$B$7:$N$7,'净值数据(iFinD公式)'!$B32:$N32/'净值数据(iFinD公式)'!$B$5:$N$5)*(1-持仓配置!$P$7)^((ROW()-6)/说明!$C$17))</f>
        <v/>
      </c>
      <c r="L33" s="9">
        <f>IF(OR(K33="",K32=""),"",K33/K32-1)</f>
        <v/>
      </c>
      <c r="M33" s="9">
        <f>IF(K33="","",K33/MAX(K$6:K33)-1)</f>
        <v/>
      </c>
    </row>
    <row r="34">
      <c r="A34" s="119">
        <f>IF('净值数据(iFinD公式)'!A33="","",'净值数据(iFinD公式)'!A33)</f>
        <v/>
      </c>
      <c r="B34" s="115">
        <f>IF(OR('净值数据(iFinD公式)'!$A33="",'净值数据(iFinD公式)'!$B33=""),"",SUMPRODUCT(持仓配置!$B$4:$N$4,'净值数据(iFinD公式)'!$B33:$N33/'净值数据(iFinD公式)'!$B$5:$N$5)*(1-持仓配置!$P$4)^((ROW()-6)/说明!$C$17))</f>
        <v/>
      </c>
      <c r="C34" s="9">
        <f>IF(OR(B34="",B33=""),"",B34/B33-1)</f>
        <v/>
      </c>
      <c r="D34" s="9">
        <f>IF(B34="","",B34/MAX(B$6:B34)-1)</f>
        <v/>
      </c>
      <c r="E34" s="115">
        <f>IF(OR('净值数据(iFinD公式)'!$A33="",'净值数据(iFinD公式)'!$B33=""),"",SUMPRODUCT(持仓配置!$B$5:$N$5,'净值数据(iFinD公式)'!$B33:$N33/'净值数据(iFinD公式)'!$B$5:$N$5)*(1-持仓配置!$P$5)^((ROW()-6)/说明!$C$17))</f>
        <v/>
      </c>
      <c r="F34" s="9">
        <f>IF(OR(E34="",E33=""),"",E34/E33-1)</f>
        <v/>
      </c>
      <c r="G34" s="9">
        <f>IF(E34="","",E34/MAX(E$6:E34)-1)</f>
        <v/>
      </c>
      <c r="H34" s="115">
        <f>IF(OR('净值数据(iFinD公式)'!$A33="",'净值数据(iFinD公式)'!$B33=""),"",SUMPRODUCT(持仓配置!$B$6:$N$6,'净值数据(iFinD公式)'!$B33:$N33/'净值数据(iFinD公式)'!$B$5:$N$5)*(1-持仓配置!$P$6)^((ROW()-6)/说明!$C$17))</f>
        <v/>
      </c>
      <c r="I34" s="9">
        <f>IF(OR(H34="",H33=""),"",H34/H33-1)</f>
        <v/>
      </c>
      <c r="J34" s="9">
        <f>IF(H34="","",H34/MAX(H$6:H34)-1)</f>
        <v/>
      </c>
      <c r="K34" s="115">
        <f>IF(OR('净值数据(iFinD公式)'!$A33="",'净值数据(iFinD公式)'!$B33=""),"",SUMPRODUCT(持仓配置!$B$7:$N$7,'净值数据(iFinD公式)'!$B33:$N33/'净值数据(iFinD公式)'!$B$5:$N$5)*(1-持仓配置!$P$7)^((ROW()-6)/说明!$C$17))</f>
        <v/>
      </c>
      <c r="L34" s="9">
        <f>IF(OR(K34="",K33=""),"",K34/K33-1)</f>
        <v/>
      </c>
      <c r="M34" s="9">
        <f>IF(K34="","",K34/MAX(K$6:K34)-1)</f>
        <v/>
      </c>
    </row>
    <row r="35">
      <c r="A35" s="119">
        <f>IF('净值数据(iFinD公式)'!A34="","",'净值数据(iFinD公式)'!A34)</f>
        <v/>
      </c>
      <c r="B35" s="115">
        <f>IF(OR('净值数据(iFinD公式)'!$A34="",'净值数据(iFinD公式)'!$B34=""),"",SUMPRODUCT(持仓配置!$B$4:$N$4,'净值数据(iFinD公式)'!$B34:$N34/'净值数据(iFinD公式)'!$B$5:$N$5)*(1-持仓配置!$P$4)^((ROW()-6)/说明!$C$17))</f>
        <v/>
      </c>
      <c r="C35" s="9">
        <f>IF(OR(B35="",B34=""),"",B35/B34-1)</f>
        <v/>
      </c>
      <c r="D35" s="9">
        <f>IF(B35="","",B35/MAX(B$6:B35)-1)</f>
        <v/>
      </c>
      <c r="E35" s="115">
        <f>IF(OR('净值数据(iFinD公式)'!$A34="",'净值数据(iFinD公式)'!$B34=""),"",SUMPRODUCT(持仓配置!$B$5:$N$5,'净值数据(iFinD公式)'!$B34:$N34/'净值数据(iFinD公式)'!$B$5:$N$5)*(1-持仓配置!$P$5)^((ROW()-6)/说明!$C$17))</f>
        <v/>
      </c>
      <c r="F35" s="9">
        <f>IF(OR(E35="",E34=""),"",E35/E34-1)</f>
        <v/>
      </c>
      <c r="G35" s="9">
        <f>IF(E35="","",E35/MAX(E$6:E35)-1)</f>
        <v/>
      </c>
      <c r="H35" s="115">
        <f>IF(OR('净值数据(iFinD公式)'!$A34="",'净值数据(iFinD公式)'!$B34=""),"",SUMPRODUCT(持仓配置!$B$6:$N$6,'净值数据(iFinD公式)'!$B34:$N34/'净值数据(iFinD公式)'!$B$5:$N$5)*(1-持仓配置!$P$6)^((ROW()-6)/说明!$C$17))</f>
        <v/>
      </c>
      <c r="I35" s="9">
        <f>IF(OR(H35="",H34=""),"",H35/H34-1)</f>
        <v/>
      </c>
      <c r="J35" s="9">
        <f>IF(H35="","",H35/MAX(H$6:H35)-1)</f>
        <v/>
      </c>
      <c r="K35" s="115">
        <f>IF(OR('净值数据(iFinD公式)'!$A34="",'净值数据(iFinD公式)'!$B34=""),"",SUMPRODUCT(持仓配置!$B$7:$N$7,'净值数据(iFinD公式)'!$B34:$N34/'净值数据(iFinD公式)'!$B$5:$N$5)*(1-持仓配置!$P$7)^((ROW()-6)/说明!$C$17))</f>
        <v/>
      </c>
      <c r="L35" s="9">
        <f>IF(OR(K35="",K34=""),"",K35/K34-1)</f>
        <v/>
      </c>
      <c r="M35" s="9">
        <f>IF(K35="","",K35/MAX(K$6:K35)-1)</f>
        <v/>
      </c>
    </row>
    <row r="36">
      <c r="A36" s="119">
        <f>IF('净值数据(iFinD公式)'!A35="","",'净值数据(iFinD公式)'!A35)</f>
        <v/>
      </c>
      <c r="B36" s="115">
        <f>IF(OR('净值数据(iFinD公式)'!$A35="",'净值数据(iFinD公式)'!$B35=""),"",SUMPRODUCT(持仓配置!$B$4:$N$4,'净值数据(iFinD公式)'!$B35:$N35/'净值数据(iFinD公式)'!$B$5:$N$5)*(1-持仓配置!$P$4)^((ROW()-6)/说明!$C$17))</f>
        <v/>
      </c>
      <c r="C36" s="9">
        <f>IF(OR(B36="",B35=""),"",B36/B35-1)</f>
        <v/>
      </c>
      <c r="D36" s="9">
        <f>IF(B36="","",B36/MAX(B$6:B36)-1)</f>
        <v/>
      </c>
      <c r="E36" s="115">
        <f>IF(OR('净值数据(iFinD公式)'!$A35="",'净值数据(iFinD公式)'!$B35=""),"",SUMPRODUCT(持仓配置!$B$5:$N$5,'净值数据(iFinD公式)'!$B35:$N35/'净值数据(iFinD公式)'!$B$5:$N$5)*(1-持仓配置!$P$5)^((ROW()-6)/说明!$C$17))</f>
        <v/>
      </c>
      <c r="F36" s="9">
        <f>IF(OR(E36="",E35=""),"",E36/E35-1)</f>
        <v/>
      </c>
      <c r="G36" s="9">
        <f>IF(E36="","",E36/MAX(E$6:E36)-1)</f>
        <v/>
      </c>
      <c r="H36" s="115">
        <f>IF(OR('净值数据(iFinD公式)'!$A35="",'净值数据(iFinD公式)'!$B35=""),"",SUMPRODUCT(持仓配置!$B$6:$N$6,'净值数据(iFinD公式)'!$B35:$N35/'净值数据(iFinD公式)'!$B$5:$N$5)*(1-持仓配置!$P$6)^((ROW()-6)/说明!$C$17))</f>
        <v/>
      </c>
      <c r="I36" s="9">
        <f>IF(OR(H36="",H35=""),"",H36/H35-1)</f>
        <v/>
      </c>
      <c r="J36" s="9">
        <f>IF(H36="","",H36/MAX(H$6:H36)-1)</f>
        <v/>
      </c>
      <c r="K36" s="115">
        <f>IF(OR('净值数据(iFinD公式)'!$A35="",'净值数据(iFinD公式)'!$B35=""),"",SUMPRODUCT(持仓配置!$B$7:$N$7,'净值数据(iFinD公式)'!$B35:$N35/'净值数据(iFinD公式)'!$B$5:$N$5)*(1-持仓配置!$P$7)^((ROW()-6)/说明!$C$17))</f>
        <v/>
      </c>
      <c r="L36" s="9">
        <f>IF(OR(K36="",K35=""),"",K36/K35-1)</f>
        <v/>
      </c>
      <c r="M36" s="9">
        <f>IF(K36="","",K36/MAX(K$6:K36)-1)</f>
        <v/>
      </c>
    </row>
    <row r="37">
      <c r="A37" s="119">
        <f>IF('净值数据(iFinD公式)'!A36="","",'净值数据(iFinD公式)'!A36)</f>
        <v/>
      </c>
      <c r="B37" s="115">
        <f>IF(OR('净值数据(iFinD公式)'!$A36="",'净值数据(iFinD公式)'!$B36=""),"",SUMPRODUCT(持仓配置!$B$4:$N$4,'净值数据(iFinD公式)'!$B36:$N36/'净值数据(iFinD公式)'!$B$5:$N$5)*(1-持仓配置!$P$4)^((ROW()-6)/说明!$C$17))</f>
        <v/>
      </c>
      <c r="C37" s="9">
        <f>IF(OR(B37="",B36=""),"",B37/B36-1)</f>
        <v/>
      </c>
      <c r="D37" s="9">
        <f>IF(B37="","",B37/MAX(B$6:B37)-1)</f>
        <v/>
      </c>
      <c r="E37" s="115">
        <f>IF(OR('净值数据(iFinD公式)'!$A36="",'净值数据(iFinD公式)'!$B36=""),"",SUMPRODUCT(持仓配置!$B$5:$N$5,'净值数据(iFinD公式)'!$B36:$N36/'净值数据(iFinD公式)'!$B$5:$N$5)*(1-持仓配置!$P$5)^((ROW()-6)/说明!$C$17))</f>
        <v/>
      </c>
      <c r="F37" s="9">
        <f>IF(OR(E37="",E36=""),"",E37/E36-1)</f>
        <v/>
      </c>
      <c r="G37" s="9">
        <f>IF(E37="","",E37/MAX(E$6:E37)-1)</f>
        <v/>
      </c>
      <c r="H37" s="115">
        <f>IF(OR('净值数据(iFinD公式)'!$A36="",'净值数据(iFinD公式)'!$B36=""),"",SUMPRODUCT(持仓配置!$B$6:$N$6,'净值数据(iFinD公式)'!$B36:$N36/'净值数据(iFinD公式)'!$B$5:$N$5)*(1-持仓配置!$P$6)^((ROW()-6)/说明!$C$17))</f>
        <v/>
      </c>
      <c r="I37" s="9">
        <f>IF(OR(H37="",H36=""),"",H37/H36-1)</f>
        <v/>
      </c>
      <c r="J37" s="9">
        <f>IF(H37="","",H37/MAX(H$6:H37)-1)</f>
        <v/>
      </c>
      <c r="K37" s="115">
        <f>IF(OR('净值数据(iFinD公式)'!$A36="",'净值数据(iFinD公式)'!$B36=""),"",SUMPRODUCT(持仓配置!$B$7:$N$7,'净值数据(iFinD公式)'!$B36:$N36/'净值数据(iFinD公式)'!$B$5:$N$5)*(1-持仓配置!$P$7)^((ROW()-6)/说明!$C$17))</f>
        <v/>
      </c>
      <c r="L37" s="9">
        <f>IF(OR(K37="",K36=""),"",K37/K36-1)</f>
        <v/>
      </c>
      <c r="M37" s="9">
        <f>IF(K37="","",K37/MAX(K$6:K37)-1)</f>
        <v/>
      </c>
    </row>
    <row r="38">
      <c r="A38" s="119">
        <f>IF('净值数据(iFinD公式)'!A37="","",'净值数据(iFinD公式)'!A37)</f>
        <v/>
      </c>
      <c r="B38" s="115">
        <f>IF(OR('净值数据(iFinD公式)'!$A37="",'净值数据(iFinD公式)'!$B37=""),"",SUMPRODUCT(持仓配置!$B$4:$N$4,'净值数据(iFinD公式)'!$B37:$N37/'净值数据(iFinD公式)'!$B$5:$N$5)*(1-持仓配置!$P$4)^((ROW()-6)/说明!$C$17))</f>
        <v/>
      </c>
      <c r="C38" s="9">
        <f>IF(OR(B38="",B37=""),"",B38/B37-1)</f>
        <v/>
      </c>
      <c r="D38" s="9">
        <f>IF(B38="","",B38/MAX(B$6:B38)-1)</f>
        <v/>
      </c>
      <c r="E38" s="115">
        <f>IF(OR('净值数据(iFinD公式)'!$A37="",'净值数据(iFinD公式)'!$B37=""),"",SUMPRODUCT(持仓配置!$B$5:$N$5,'净值数据(iFinD公式)'!$B37:$N37/'净值数据(iFinD公式)'!$B$5:$N$5)*(1-持仓配置!$P$5)^((ROW()-6)/说明!$C$17))</f>
        <v/>
      </c>
      <c r="F38" s="9">
        <f>IF(OR(E38="",E37=""),"",E38/E37-1)</f>
        <v/>
      </c>
      <c r="G38" s="9">
        <f>IF(E38="","",E38/MAX(E$6:E38)-1)</f>
        <v/>
      </c>
      <c r="H38" s="115">
        <f>IF(OR('净值数据(iFinD公式)'!$A37="",'净值数据(iFinD公式)'!$B37=""),"",SUMPRODUCT(持仓配置!$B$6:$N$6,'净值数据(iFinD公式)'!$B37:$N37/'净值数据(iFinD公式)'!$B$5:$N$5)*(1-持仓配置!$P$6)^((ROW()-6)/说明!$C$17))</f>
        <v/>
      </c>
      <c r="I38" s="9">
        <f>IF(OR(H38="",H37=""),"",H38/H37-1)</f>
        <v/>
      </c>
      <c r="J38" s="9">
        <f>IF(H38="","",H38/MAX(H$6:H38)-1)</f>
        <v/>
      </c>
      <c r="K38" s="115">
        <f>IF(OR('净值数据(iFinD公式)'!$A37="",'净值数据(iFinD公式)'!$B37=""),"",SUMPRODUCT(持仓配置!$B$7:$N$7,'净值数据(iFinD公式)'!$B37:$N37/'净值数据(iFinD公式)'!$B$5:$N$5)*(1-持仓配置!$P$7)^((ROW()-6)/说明!$C$17))</f>
        <v/>
      </c>
      <c r="L38" s="9">
        <f>IF(OR(K38="",K37=""),"",K38/K37-1)</f>
        <v/>
      </c>
      <c r="M38" s="9">
        <f>IF(K38="","",K38/MAX(K$6:K38)-1)</f>
        <v/>
      </c>
    </row>
    <row r="39">
      <c r="A39" s="119">
        <f>IF('净值数据(iFinD公式)'!A38="","",'净值数据(iFinD公式)'!A38)</f>
        <v/>
      </c>
      <c r="B39" s="115">
        <f>IF(OR('净值数据(iFinD公式)'!$A38="",'净值数据(iFinD公式)'!$B38=""),"",SUMPRODUCT(持仓配置!$B$4:$N$4,'净值数据(iFinD公式)'!$B38:$N38/'净值数据(iFinD公式)'!$B$5:$N$5)*(1-持仓配置!$P$4)^((ROW()-6)/说明!$C$17))</f>
        <v/>
      </c>
      <c r="C39" s="9">
        <f>IF(OR(B39="",B38=""),"",B39/B38-1)</f>
        <v/>
      </c>
      <c r="D39" s="9">
        <f>IF(B39="","",B39/MAX(B$6:B39)-1)</f>
        <v/>
      </c>
      <c r="E39" s="115">
        <f>IF(OR('净值数据(iFinD公式)'!$A38="",'净值数据(iFinD公式)'!$B38=""),"",SUMPRODUCT(持仓配置!$B$5:$N$5,'净值数据(iFinD公式)'!$B38:$N38/'净值数据(iFinD公式)'!$B$5:$N$5)*(1-持仓配置!$P$5)^((ROW()-6)/说明!$C$17))</f>
        <v/>
      </c>
      <c r="F39" s="9">
        <f>IF(OR(E39="",E38=""),"",E39/E38-1)</f>
        <v/>
      </c>
      <c r="G39" s="9">
        <f>IF(E39="","",E39/MAX(E$6:E39)-1)</f>
        <v/>
      </c>
      <c r="H39" s="115">
        <f>IF(OR('净值数据(iFinD公式)'!$A38="",'净值数据(iFinD公式)'!$B38=""),"",SUMPRODUCT(持仓配置!$B$6:$N$6,'净值数据(iFinD公式)'!$B38:$N38/'净值数据(iFinD公式)'!$B$5:$N$5)*(1-持仓配置!$P$6)^((ROW()-6)/说明!$C$17))</f>
        <v/>
      </c>
      <c r="I39" s="9">
        <f>IF(OR(H39="",H38=""),"",H39/H38-1)</f>
        <v/>
      </c>
      <c r="J39" s="9">
        <f>IF(H39="","",H39/MAX(H$6:H39)-1)</f>
        <v/>
      </c>
      <c r="K39" s="115">
        <f>IF(OR('净值数据(iFinD公式)'!$A38="",'净值数据(iFinD公式)'!$B38=""),"",SUMPRODUCT(持仓配置!$B$7:$N$7,'净值数据(iFinD公式)'!$B38:$N38/'净值数据(iFinD公式)'!$B$5:$N$5)*(1-持仓配置!$P$7)^((ROW()-6)/说明!$C$17))</f>
        <v/>
      </c>
      <c r="L39" s="9">
        <f>IF(OR(K39="",K38=""),"",K39/K38-1)</f>
        <v/>
      </c>
      <c r="M39" s="9">
        <f>IF(K39="","",K39/MAX(K$6:K39)-1)</f>
        <v/>
      </c>
    </row>
    <row r="40">
      <c r="A40" s="119">
        <f>IF('净值数据(iFinD公式)'!A39="","",'净值数据(iFinD公式)'!A39)</f>
        <v/>
      </c>
      <c r="B40" s="115">
        <f>IF(OR('净值数据(iFinD公式)'!$A39="",'净值数据(iFinD公式)'!$B39=""),"",SUMPRODUCT(持仓配置!$B$4:$N$4,'净值数据(iFinD公式)'!$B39:$N39/'净值数据(iFinD公式)'!$B$5:$N$5)*(1-持仓配置!$P$4)^((ROW()-6)/说明!$C$17))</f>
        <v/>
      </c>
      <c r="C40" s="9">
        <f>IF(OR(B40="",B39=""),"",B40/B39-1)</f>
        <v/>
      </c>
      <c r="D40" s="9">
        <f>IF(B40="","",B40/MAX(B$6:B40)-1)</f>
        <v/>
      </c>
      <c r="E40" s="115">
        <f>IF(OR('净值数据(iFinD公式)'!$A39="",'净值数据(iFinD公式)'!$B39=""),"",SUMPRODUCT(持仓配置!$B$5:$N$5,'净值数据(iFinD公式)'!$B39:$N39/'净值数据(iFinD公式)'!$B$5:$N$5)*(1-持仓配置!$P$5)^((ROW()-6)/说明!$C$17))</f>
        <v/>
      </c>
      <c r="F40" s="9">
        <f>IF(OR(E40="",E39=""),"",E40/E39-1)</f>
        <v/>
      </c>
      <c r="G40" s="9">
        <f>IF(E40="","",E40/MAX(E$6:E40)-1)</f>
        <v/>
      </c>
      <c r="H40" s="115">
        <f>IF(OR('净值数据(iFinD公式)'!$A39="",'净值数据(iFinD公式)'!$B39=""),"",SUMPRODUCT(持仓配置!$B$6:$N$6,'净值数据(iFinD公式)'!$B39:$N39/'净值数据(iFinD公式)'!$B$5:$N$5)*(1-持仓配置!$P$6)^((ROW()-6)/说明!$C$17))</f>
        <v/>
      </c>
      <c r="I40" s="9">
        <f>IF(OR(H40="",H39=""),"",H40/H39-1)</f>
        <v/>
      </c>
      <c r="J40" s="9">
        <f>IF(H40="","",H40/MAX(H$6:H40)-1)</f>
        <v/>
      </c>
      <c r="K40" s="115">
        <f>IF(OR('净值数据(iFinD公式)'!$A39="",'净值数据(iFinD公式)'!$B39=""),"",SUMPRODUCT(持仓配置!$B$7:$N$7,'净值数据(iFinD公式)'!$B39:$N39/'净值数据(iFinD公式)'!$B$5:$N$5)*(1-持仓配置!$P$7)^((ROW()-6)/说明!$C$17))</f>
        <v/>
      </c>
      <c r="L40" s="9">
        <f>IF(OR(K40="",K39=""),"",K40/K39-1)</f>
        <v/>
      </c>
      <c r="M40" s="9">
        <f>IF(K40="","",K40/MAX(K$6:K40)-1)</f>
        <v/>
      </c>
    </row>
    <row r="41">
      <c r="A41" s="119">
        <f>IF('净值数据(iFinD公式)'!A40="","",'净值数据(iFinD公式)'!A40)</f>
        <v/>
      </c>
      <c r="B41" s="115">
        <f>IF(OR('净值数据(iFinD公式)'!$A40="",'净值数据(iFinD公式)'!$B40=""),"",SUMPRODUCT(持仓配置!$B$4:$N$4,'净值数据(iFinD公式)'!$B40:$N40/'净值数据(iFinD公式)'!$B$5:$N$5)*(1-持仓配置!$P$4)^((ROW()-6)/说明!$C$17))</f>
        <v/>
      </c>
      <c r="C41" s="9">
        <f>IF(OR(B41="",B40=""),"",B41/B40-1)</f>
        <v/>
      </c>
      <c r="D41" s="9">
        <f>IF(B41="","",B41/MAX(B$6:B41)-1)</f>
        <v/>
      </c>
      <c r="E41" s="115">
        <f>IF(OR('净值数据(iFinD公式)'!$A40="",'净值数据(iFinD公式)'!$B40=""),"",SUMPRODUCT(持仓配置!$B$5:$N$5,'净值数据(iFinD公式)'!$B40:$N40/'净值数据(iFinD公式)'!$B$5:$N$5)*(1-持仓配置!$P$5)^((ROW()-6)/说明!$C$17))</f>
        <v/>
      </c>
      <c r="F41" s="9">
        <f>IF(OR(E41="",E40=""),"",E41/E40-1)</f>
        <v/>
      </c>
      <c r="G41" s="9">
        <f>IF(E41="","",E41/MAX(E$6:E41)-1)</f>
        <v/>
      </c>
      <c r="H41" s="115">
        <f>IF(OR('净值数据(iFinD公式)'!$A40="",'净值数据(iFinD公式)'!$B40=""),"",SUMPRODUCT(持仓配置!$B$6:$N$6,'净值数据(iFinD公式)'!$B40:$N40/'净值数据(iFinD公式)'!$B$5:$N$5)*(1-持仓配置!$P$6)^((ROW()-6)/说明!$C$17))</f>
        <v/>
      </c>
      <c r="I41" s="9">
        <f>IF(OR(H41="",H40=""),"",H41/H40-1)</f>
        <v/>
      </c>
      <c r="J41" s="9">
        <f>IF(H41="","",H41/MAX(H$6:H41)-1)</f>
        <v/>
      </c>
      <c r="K41" s="115">
        <f>IF(OR('净值数据(iFinD公式)'!$A40="",'净值数据(iFinD公式)'!$B40=""),"",SUMPRODUCT(持仓配置!$B$7:$N$7,'净值数据(iFinD公式)'!$B40:$N40/'净值数据(iFinD公式)'!$B$5:$N$5)*(1-持仓配置!$P$7)^((ROW()-6)/说明!$C$17))</f>
        <v/>
      </c>
      <c r="L41" s="9">
        <f>IF(OR(K41="",K40=""),"",K41/K40-1)</f>
        <v/>
      </c>
      <c r="M41" s="9">
        <f>IF(K41="","",K41/MAX(K$6:K41)-1)</f>
        <v/>
      </c>
    </row>
    <row r="42">
      <c r="A42" s="119">
        <f>IF('净值数据(iFinD公式)'!A41="","",'净值数据(iFinD公式)'!A41)</f>
        <v/>
      </c>
      <c r="B42" s="115">
        <f>IF(OR('净值数据(iFinD公式)'!$A41="",'净值数据(iFinD公式)'!$B41=""),"",SUMPRODUCT(持仓配置!$B$4:$N$4,'净值数据(iFinD公式)'!$B41:$N41/'净值数据(iFinD公式)'!$B$5:$N$5)*(1-持仓配置!$P$4)^((ROW()-6)/说明!$C$17))</f>
        <v/>
      </c>
      <c r="C42" s="9">
        <f>IF(OR(B42="",B41=""),"",B42/B41-1)</f>
        <v/>
      </c>
      <c r="D42" s="9">
        <f>IF(B42="","",B42/MAX(B$6:B42)-1)</f>
        <v/>
      </c>
      <c r="E42" s="115">
        <f>IF(OR('净值数据(iFinD公式)'!$A41="",'净值数据(iFinD公式)'!$B41=""),"",SUMPRODUCT(持仓配置!$B$5:$N$5,'净值数据(iFinD公式)'!$B41:$N41/'净值数据(iFinD公式)'!$B$5:$N$5)*(1-持仓配置!$P$5)^((ROW()-6)/说明!$C$17))</f>
        <v/>
      </c>
      <c r="F42" s="9">
        <f>IF(OR(E42="",E41=""),"",E42/E41-1)</f>
        <v/>
      </c>
      <c r="G42" s="9">
        <f>IF(E42="","",E42/MAX(E$6:E42)-1)</f>
        <v/>
      </c>
      <c r="H42" s="115">
        <f>IF(OR('净值数据(iFinD公式)'!$A41="",'净值数据(iFinD公式)'!$B41=""),"",SUMPRODUCT(持仓配置!$B$6:$N$6,'净值数据(iFinD公式)'!$B41:$N41/'净值数据(iFinD公式)'!$B$5:$N$5)*(1-持仓配置!$P$6)^((ROW()-6)/说明!$C$17))</f>
        <v/>
      </c>
      <c r="I42" s="9">
        <f>IF(OR(H42="",H41=""),"",H42/H41-1)</f>
        <v/>
      </c>
      <c r="J42" s="9">
        <f>IF(H42="","",H42/MAX(H$6:H42)-1)</f>
        <v/>
      </c>
      <c r="K42" s="115">
        <f>IF(OR('净值数据(iFinD公式)'!$A41="",'净值数据(iFinD公式)'!$B41=""),"",SUMPRODUCT(持仓配置!$B$7:$N$7,'净值数据(iFinD公式)'!$B41:$N41/'净值数据(iFinD公式)'!$B$5:$N$5)*(1-持仓配置!$P$7)^((ROW()-6)/说明!$C$17))</f>
        <v/>
      </c>
      <c r="L42" s="9">
        <f>IF(OR(K42="",K41=""),"",K42/K41-1)</f>
        <v/>
      </c>
      <c r="M42" s="9">
        <f>IF(K42="","",K42/MAX(K$6:K42)-1)</f>
        <v/>
      </c>
    </row>
    <row r="43">
      <c r="A43" s="119">
        <f>IF('净值数据(iFinD公式)'!A42="","",'净值数据(iFinD公式)'!A42)</f>
        <v/>
      </c>
      <c r="B43" s="115">
        <f>IF(OR('净值数据(iFinD公式)'!$A42="",'净值数据(iFinD公式)'!$B42=""),"",SUMPRODUCT(持仓配置!$B$4:$N$4,'净值数据(iFinD公式)'!$B42:$N42/'净值数据(iFinD公式)'!$B$5:$N$5)*(1-持仓配置!$P$4)^((ROW()-6)/说明!$C$17))</f>
        <v/>
      </c>
      <c r="C43" s="9">
        <f>IF(OR(B43="",B42=""),"",B43/B42-1)</f>
        <v/>
      </c>
      <c r="D43" s="9">
        <f>IF(B43="","",B43/MAX(B$6:B43)-1)</f>
        <v/>
      </c>
      <c r="E43" s="115">
        <f>IF(OR('净值数据(iFinD公式)'!$A42="",'净值数据(iFinD公式)'!$B42=""),"",SUMPRODUCT(持仓配置!$B$5:$N$5,'净值数据(iFinD公式)'!$B42:$N42/'净值数据(iFinD公式)'!$B$5:$N$5)*(1-持仓配置!$P$5)^((ROW()-6)/说明!$C$17))</f>
        <v/>
      </c>
      <c r="F43" s="9">
        <f>IF(OR(E43="",E42=""),"",E43/E42-1)</f>
        <v/>
      </c>
      <c r="G43" s="9">
        <f>IF(E43="","",E43/MAX(E$6:E43)-1)</f>
        <v/>
      </c>
      <c r="H43" s="115">
        <f>IF(OR('净值数据(iFinD公式)'!$A42="",'净值数据(iFinD公式)'!$B42=""),"",SUMPRODUCT(持仓配置!$B$6:$N$6,'净值数据(iFinD公式)'!$B42:$N42/'净值数据(iFinD公式)'!$B$5:$N$5)*(1-持仓配置!$P$6)^((ROW()-6)/说明!$C$17))</f>
        <v/>
      </c>
      <c r="I43" s="9">
        <f>IF(OR(H43="",H42=""),"",H43/H42-1)</f>
        <v/>
      </c>
      <c r="J43" s="9">
        <f>IF(H43="","",H43/MAX(H$6:H43)-1)</f>
        <v/>
      </c>
      <c r="K43" s="115">
        <f>IF(OR('净值数据(iFinD公式)'!$A42="",'净值数据(iFinD公式)'!$B42=""),"",SUMPRODUCT(持仓配置!$B$7:$N$7,'净值数据(iFinD公式)'!$B42:$N42/'净值数据(iFinD公式)'!$B$5:$N$5)*(1-持仓配置!$P$7)^((ROW()-6)/说明!$C$17))</f>
        <v/>
      </c>
      <c r="L43" s="9">
        <f>IF(OR(K43="",K42=""),"",K43/K42-1)</f>
        <v/>
      </c>
      <c r="M43" s="9">
        <f>IF(K43="","",K43/MAX(K$6:K43)-1)</f>
        <v/>
      </c>
    </row>
    <row r="44">
      <c r="A44" s="119">
        <f>IF('净值数据(iFinD公式)'!A43="","",'净值数据(iFinD公式)'!A43)</f>
        <v/>
      </c>
      <c r="B44" s="115">
        <f>IF(OR('净值数据(iFinD公式)'!$A43="",'净值数据(iFinD公式)'!$B43=""),"",SUMPRODUCT(持仓配置!$B$4:$N$4,'净值数据(iFinD公式)'!$B43:$N43/'净值数据(iFinD公式)'!$B$5:$N$5)*(1-持仓配置!$P$4)^((ROW()-6)/说明!$C$17))</f>
        <v/>
      </c>
      <c r="C44" s="9">
        <f>IF(OR(B44="",B43=""),"",B44/B43-1)</f>
        <v/>
      </c>
      <c r="D44" s="9">
        <f>IF(B44="","",B44/MAX(B$6:B44)-1)</f>
        <v/>
      </c>
      <c r="E44" s="115">
        <f>IF(OR('净值数据(iFinD公式)'!$A43="",'净值数据(iFinD公式)'!$B43=""),"",SUMPRODUCT(持仓配置!$B$5:$N$5,'净值数据(iFinD公式)'!$B43:$N43/'净值数据(iFinD公式)'!$B$5:$N$5)*(1-持仓配置!$P$5)^((ROW()-6)/说明!$C$17))</f>
        <v/>
      </c>
      <c r="F44" s="9">
        <f>IF(OR(E44="",E43=""),"",E44/E43-1)</f>
        <v/>
      </c>
      <c r="G44" s="9">
        <f>IF(E44="","",E44/MAX(E$6:E44)-1)</f>
        <v/>
      </c>
      <c r="H44" s="115">
        <f>IF(OR('净值数据(iFinD公式)'!$A43="",'净值数据(iFinD公式)'!$B43=""),"",SUMPRODUCT(持仓配置!$B$6:$N$6,'净值数据(iFinD公式)'!$B43:$N43/'净值数据(iFinD公式)'!$B$5:$N$5)*(1-持仓配置!$P$6)^((ROW()-6)/说明!$C$17))</f>
        <v/>
      </c>
      <c r="I44" s="9">
        <f>IF(OR(H44="",H43=""),"",H44/H43-1)</f>
        <v/>
      </c>
      <c r="J44" s="9">
        <f>IF(H44="","",H44/MAX(H$6:H44)-1)</f>
        <v/>
      </c>
      <c r="K44" s="115">
        <f>IF(OR('净值数据(iFinD公式)'!$A43="",'净值数据(iFinD公式)'!$B43=""),"",SUMPRODUCT(持仓配置!$B$7:$N$7,'净值数据(iFinD公式)'!$B43:$N43/'净值数据(iFinD公式)'!$B$5:$N$5)*(1-持仓配置!$P$7)^((ROW()-6)/说明!$C$17))</f>
        <v/>
      </c>
      <c r="L44" s="9">
        <f>IF(OR(K44="",K43=""),"",K44/K43-1)</f>
        <v/>
      </c>
      <c r="M44" s="9">
        <f>IF(K44="","",K44/MAX(K$6:K44)-1)</f>
        <v/>
      </c>
    </row>
    <row r="45">
      <c r="A45" s="119">
        <f>IF('净值数据(iFinD公式)'!A44="","",'净值数据(iFinD公式)'!A44)</f>
        <v/>
      </c>
      <c r="B45" s="115">
        <f>IF(OR('净值数据(iFinD公式)'!$A44="",'净值数据(iFinD公式)'!$B44=""),"",SUMPRODUCT(持仓配置!$B$4:$N$4,'净值数据(iFinD公式)'!$B44:$N44/'净值数据(iFinD公式)'!$B$5:$N$5)*(1-持仓配置!$P$4)^((ROW()-6)/说明!$C$17))</f>
        <v/>
      </c>
      <c r="C45" s="9">
        <f>IF(OR(B45="",B44=""),"",B45/B44-1)</f>
        <v/>
      </c>
      <c r="D45" s="9">
        <f>IF(B45="","",B45/MAX(B$6:B45)-1)</f>
        <v/>
      </c>
      <c r="E45" s="115">
        <f>IF(OR('净值数据(iFinD公式)'!$A44="",'净值数据(iFinD公式)'!$B44=""),"",SUMPRODUCT(持仓配置!$B$5:$N$5,'净值数据(iFinD公式)'!$B44:$N44/'净值数据(iFinD公式)'!$B$5:$N$5)*(1-持仓配置!$P$5)^((ROW()-6)/说明!$C$17))</f>
        <v/>
      </c>
      <c r="F45" s="9">
        <f>IF(OR(E45="",E44=""),"",E45/E44-1)</f>
        <v/>
      </c>
      <c r="G45" s="9">
        <f>IF(E45="","",E45/MAX(E$6:E45)-1)</f>
        <v/>
      </c>
      <c r="H45" s="115">
        <f>IF(OR('净值数据(iFinD公式)'!$A44="",'净值数据(iFinD公式)'!$B44=""),"",SUMPRODUCT(持仓配置!$B$6:$N$6,'净值数据(iFinD公式)'!$B44:$N44/'净值数据(iFinD公式)'!$B$5:$N$5)*(1-持仓配置!$P$6)^((ROW()-6)/说明!$C$17))</f>
        <v/>
      </c>
      <c r="I45" s="9">
        <f>IF(OR(H45="",H44=""),"",H45/H44-1)</f>
        <v/>
      </c>
      <c r="J45" s="9">
        <f>IF(H45="","",H45/MAX(H$6:H45)-1)</f>
        <v/>
      </c>
      <c r="K45" s="115">
        <f>IF(OR('净值数据(iFinD公式)'!$A44="",'净值数据(iFinD公式)'!$B44=""),"",SUMPRODUCT(持仓配置!$B$7:$N$7,'净值数据(iFinD公式)'!$B44:$N44/'净值数据(iFinD公式)'!$B$5:$N$5)*(1-持仓配置!$P$7)^((ROW()-6)/说明!$C$17))</f>
        <v/>
      </c>
      <c r="L45" s="9">
        <f>IF(OR(K45="",K44=""),"",K45/K44-1)</f>
        <v/>
      </c>
      <c r="M45" s="9">
        <f>IF(K45="","",K45/MAX(K$6:K45)-1)</f>
        <v/>
      </c>
    </row>
    <row r="46">
      <c r="A46" s="119">
        <f>IF('净值数据(iFinD公式)'!A45="","",'净值数据(iFinD公式)'!A45)</f>
        <v/>
      </c>
      <c r="B46" s="115">
        <f>IF(OR('净值数据(iFinD公式)'!$A45="",'净值数据(iFinD公式)'!$B45=""),"",SUMPRODUCT(持仓配置!$B$4:$N$4,'净值数据(iFinD公式)'!$B45:$N45/'净值数据(iFinD公式)'!$B$5:$N$5)*(1-持仓配置!$P$4)^((ROW()-6)/说明!$C$17))</f>
        <v/>
      </c>
      <c r="C46" s="9">
        <f>IF(OR(B46="",B45=""),"",B46/B45-1)</f>
        <v/>
      </c>
      <c r="D46" s="9">
        <f>IF(B46="","",B46/MAX(B$6:B46)-1)</f>
        <v/>
      </c>
      <c r="E46" s="115">
        <f>IF(OR('净值数据(iFinD公式)'!$A45="",'净值数据(iFinD公式)'!$B45=""),"",SUMPRODUCT(持仓配置!$B$5:$N$5,'净值数据(iFinD公式)'!$B45:$N45/'净值数据(iFinD公式)'!$B$5:$N$5)*(1-持仓配置!$P$5)^((ROW()-6)/说明!$C$17))</f>
        <v/>
      </c>
      <c r="F46" s="9">
        <f>IF(OR(E46="",E45=""),"",E46/E45-1)</f>
        <v/>
      </c>
      <c r="G46" s="9">
        <f>IF(E46="","",E46/MAX(E$6:E46)-1)</f>
        <v/>
      </c>
      <c r="H46" s="115">
        <f>IF(OR('净值数据(iFinD公式)'!$A45="",'净值数据(iFinD公式)'!$B45=""),"",SUMPRODUCT(持仓配置!$B$6:$N$6,'净值数据(iFinD公式)'!$B45:$N45/'净值数据(iFinD公式)'!$B$5:$N$5)*(1-持仓配置!$P$6)^((ROW()-6)/说明!$C$17))</f>
        <v/>
      </c>
      <c r="I46" s="9">
        <f>IF(OR(H46="",H45=""),"",H46/H45-1)</f>
        <v/>
      </c>
      <c r="J46" s="9">
        <f>IF(H46="","",H46/MAX(H$6:H46)-1)</f>
        <v/>
      </c>
      <c r="K46" s="115">
        <f>IF(OR('净值数据(iFinD公式)'!$A45="",'净值数据(iFinD公式)'!$B45=""),"",SUMPRODUCT(持仓配置!$B$7:$N$7,'净值数据(iFinD公式)'!$B45:$N45/'净值数据(iFinD公式)'!$B$5:$N$5)*(1-持仓配置!$P$7)^((ROW()-6)/说明!$C$17))</f>
        <v/>
      </c>
      <c r="L46" s="9">
        <f>IF(OR(K46="",K45=""),"",K46/K45-1)</f>
        <v/>
      </c>
      <c r="M46" s="9">
        <f>IF(K46="","",K46/MAX(K$6:K46)-1)</f>
        <v/>
      </c>
    </row>
    <row r="47">
      <c r="A47" s="119">
        <f>IF('净值数据(iFinD公式)'!A46="","",'净值数据(iFinD公式)'!A46)</f>
        <v/>
      </c>
      <c r="B47" s="115">
        <f>IF(OR('净值数据(iFinD公式)'!$A46="",'净值数据(iFinD公式)'!$B46=""),"",SUMPRODUCT(持仓配置!$B$4:$N$4,'净值数据(iFinD公式)'!$B46:$N46/'净值数据(iFinD公式)'!$B$5:$N$5)*(1-持仓配置!$P$4)^((ROW()-6)/说明!$C$17))</f>
        <v/>
      </c>
      <c r="C47" s="9">
        <f>IF(OR(B47="",B46=""),"",B47/B46-1)</f>
        <v/>
      </c>
      <c r="D47" s="9">
        <f>IF(B47="","",B47/MAX(B$6:B47)-1)</f>
        <v/>
      </c>
      <c r="E47" s="115">
        <f>IF(OR('净值数据(iFinD公式)'!$A46="",'净值数据(iFinD公式)'!$B46=""),"",SUMPRODUCT(持仓配置!$B$5:$N$5,'净值数据(iFinD公式)'!$B46:$N46/'净值数据(iFinD公式)'!$B$5:$N$5)*(1-持仓配置!$P$5)^((ROW()-6)/说明!$C$17))</f>
        <v/>
      </c>
      <c r="F47" s="9">
        <f>IF(OR(E47="",E46=""),"",E47/E46-1)</f>
        <v/>
      </c>
      <c r="G47" s="9">
        <f>IF(E47="","",E47/MAX(E$6:E47)-1)</f>
        <v/>
      </c>
      <c r="H47" s="115">
        <f>IF(OR('净值数据(iFinD公式)'!$A46="",'净值数据(iFinD公式)'!$B46=""),"",SUMPRODUCT(持仓配置!$B$6:$N$6,'净值数据(iFinD公式)'!$B46:$N46/'净值数据(iFinD公式)'!$B$5:$N$5)*(1-持仓配置!$P$6)^((ROW()-6)/说明!$C$17))</f>
        <v/>
      </c>
      <c r="I47" s="9">
        <f>IF(OR(H47="",H46=""),"",H47/H46-1)</f>
        <v/>
      </c>
      <c r="J47" s="9">
        <f>IF(H47="","",H47/MAX(H$6:H47)-1)</f>
        <v/>
      </c>
      <c r="K47" s="115">
        <f>IF(OR('净值数据(iFinD公式)'!$A46="",'净值数据(iFinD公式)'!$B46=""),"",SUMPRODUCT(持仓配置!$B$7:$N$7,'净值数据(iFinD公式)'!$B46:$N46/'净值数据(iFinD公式)'!$B$5:$N$5)*(1-持仓配置!$P$7)^((ROW()-6)/说明!$C$17))</f>
        <v/>
      </c>
      <c r="L47" s="9">
        <f>IF(OR(K47="",K46=""),"",K47/K46-1)</f>
        <v/>
      </c>
      <c r="M47" s="9">
        <f>IF(K47="","",K47/MAX(K$6:K47)-1)</f>
        <v/>
      </c>
    </row>
    <row r="48">
      <c r="A48" s="119">
        <f>IF('净值数据(iFinD公式)'!A47="","",'净值数据(iFinD公式)'!A47)</f>
        <v/>
      </c>
      <c r="B48" s="115">
        <f>IF(OR('净值数据(iFinD公式)'!$A47="",'净值数据(iFinD公式)'!$B47=""),"",SUMPRODUCT(持仓配置!$B$4:$N$4,'净值数据(iFinD公式)'!$B47:$N47/'净值数据(iFinD公式)'!$B$5:$N$5)*(1-持仓配置!$P$4)^((ROW()-6)/说明!$C$17))</f>
        <v/>
      </c>
      <c r="C48" s="9">
        <f>IF(OR(B48="",B47=""),"",B48/B47-1)</f>
        <v/>
      </c>
      <c r="D48" s="9">
        <f>IF(B48="","",B48/MAX(B$6:B48)-1)</f>
        <v/>
      </c>
      <c r="E48" s="115">
        <f>IF(OR('净值数据(iFinD公式)'!$A47="",'净值数据(iFinD公式)'!$B47=""),"",SUMPRODUCT(持仓配置!$B$5:$N$5,'净值数据(iFinD公式)'!$B47:$N47/'净值数据(iFinD公式)'!$B$5:$N$5)*(1-持仓配置!$P$5)^((ROW()-6)/说明!$C$17))</f>
        <v/>
      </c>
      <c r="F48" s="9">
        <f>IF(OR(E48="",E47=""),"",E48/E47-1)</f>
        <v/>
      </c>
      <c r="G48" s="9">
        <f>IF(E48="","",E48/MAX(E$6:E48)-1)</f>
        <v/>
      </c>
      <c r="H48" s="115">
        <f>IF(OR('净值数据(iFinD公式)'!$A47="",'净值数据(iFinD公式)'!$B47=""),"",SUMPRODUCT(持仓配置!$B$6:$N$6,'净值数据(iFinD公式)'!$B47:$N47/'净值数据(iFinD公式)'!$B$5:$N$5)*(1-持仓配置!$P$6)^((ROW()-6)/说明!$C$17))</f>
        <v/>
      </c>
      <c r="I48" s="9">
        <f>IF(OR(H48="",H47=""),"",H48/H47-1)</f>
        <v/>
      </c>
      <c r="J48" s="9">
        <f>IF(H48="","",H48/MAX(H$6:H48)-1)</f>
        <v/>
      </c>
      <c r="K48" s="115">
        <f>IF(OR('净值数据(iFinD公式)'!$A47="",'净值数据(iFinD公式)'!$B47=""),"",SUMPRODUCT(持仓配置!$B$7:$N$7,'净值数据(iFinD公式)'!$B47:$N47/'净值数据(iFinD公式)'!$B$5:$N$5)*(1-持仓配置!$P$7)^((ROW()-6)/说明!$C$17))</f>
        <v/>
      </c>
      <c r="L48" s="9">
        <f>IF(OR(K48="",K47=""),"",K48/K47-1)</f>
        <v/>
      </c>
      <c r="M48" s="9">
        <f>IF(K48="","",K48/MAX(K$6:K48)-1)</f>
        <v/>
      </c>
    </row>
    <row r="49">
      <c r="A49" s="119">
        <f>IF('净值数据(iFinD公式)'!A48="","",'净值数据(iFinD公式)'!A48)</f>
        <v/>
      </c>
      <c r="B49" s="115">
        <f>IF(OR('净值数据(iFinD公式)'!$A48="",'净值数据(iFinD公式)'!$B48=""),"",SUMPRODUCT(持仓配置!$B$4:$N$4,'净值数据(iFinD公式)'!$B48:$N48/'净值数据(iFinD公式)'!$B$5:$N$5)*(1-持仓配置!$P$4)^((ROW()-6)/说明!$C$17))</f>
        <v/>
      </c>
      <c r="C49" s="9">
        <f>IF(OR(B49="",B48=""),"",B49/B48-1)</f>
        <v/>
      </c>
      <c r="D49" s="9">
        <f>IF(B49="","",B49/MAX(B$6:B49)-1)</f>
        <v/>
      </c>
      <c r="E49" s="115">
        <f>IF(OR('净值数据(iFinD公式)'!$A48="",'净值数据(iFinD公式)'!$B48=""),"",SUMPRODUCT(持仓配置!$B$5:$N$5,'净值数据(iFinD公式)'!$B48:$N48/'净值数据(iFinD公式)'!$B$5:$N$5)*(1-持仓配置!$P$5)^((ROW()-6)/说明!$C$17))</f>
        <v/>
      </c>
      <c r="F49" s="9">
        <f>IF(OR(E49="",E48=""),"",E49/E48-1)</f>
        <v/>
      </c>
      <c r="G49" s="9">
        <f>IF(E49="","",E49/MAX(E$6:E49)-1)</f>
        <v/>
      </c>
      <c r="H49" s="115">
        <f>IF(OR('净值数据(iFinD公式)'!$A48="",'净值数据(iFinD公式)'!$B48=""),"",SUMPRODUCT(持仓配置!$B$6:$N$6,'净值数据(iFinD公式)'!$B48:$N48/'净值数据(iFinD公式)'!$B$5:$N$5)*(1-持仓配置!$P$6)^((ROW()-6)/说明!$C$17))</f>
        <v/>
      </c>
      <c r="I49" s="9">
        <f>IF(OR(H49="",H48=""),"",H49/H48-1)</f>
        <v/>
      </c>
      <c r="J49" s="9">
        <f>IF(H49="","",H49/MAX(H$6:H49)-1)</f>
        <v/>
      </c>
      <c r="K49" s="115">
        <f>IF(OR('净值数据(iFinD公式)'!$A48="",'净值数据(iFinD公式)'!$B48=""),"",SUMPRODUCT(持仓配置!$B$7:$N$7,'净值数据(iFinD公式)'!$B48:$N48/'净值数据(iFinD公式)'!$B$5:$N$5)*(1-持仓配置!$P$7)^((ROW()-6)/说明!$C$17))</f>
        <v/>
      </c>
      <c r="L49" s="9">
        <f>IF(OR(K49="",K48=""),"",K49/K48-1)</f>
        <v/>
      </c>
      <c r="M49" s="9">
        <f>IF(K49="","",K49/MAX(K$6:K49)-1)</f>
        <v/>
      </c>
    </row>
    <row r="50">
      <c r="A50" s="119">
        <f>IF('净值数据(iFinD公式)'!A49="","",'净值数据(iFinD公式)'!A49)</f>
        <v/>
      </c>
      <c r="B50" s="115">
        <f>IF(OR('净值数据(iFinD公式)'!$A49="",'净值数据(iFinD公式)'!$B49=""),"",SUMPRODUCT(持仓配置!$B$4:$N$4,'净值数据(iFinD公式)'!$B49:$N49/'净值数据(iFinD公式)'!$B$5:$N$5)*(1-持仓配置!$P$4)^((ROW()-6)/说明!$C$17))</f>
        <v/>
      </c>
      <c r="C50" s="9">
        <f>IF(OR(B50="",B49=""),"",B50/B49-1)</f>
        <v/>
      </c>
      <c r="D50" s="9">
        <f>IF(B50="","",B50/MAX(B$6:B50)-1)</f>
        <v/>
      </c>
      <c r="E50" s="115">
        <f>IF(OR('净值数据(iFinD公式)'!$A49="",'净值数据(iFinD公式)'!$B49=""),"",SUMPRODUCT(持仓配置!$B$5:$N$5,'净值数据(iFinD公式)'!$B49:$N49/'净值数据(iFinD公式)'!$B$5:$N$5)*(1-持仓配置!$P$5)^((ROW()-6)/说明!$C$17))</f>
        <v/>
      </c>
      <c r="F50" s="9">
        <f>IF(OR(E50="",E49=""),"",E50/E49-1)</f>
        <v/>
      </c>
      <c r="G50" s="9">
        <f>IF(E50="","",E50/MAX(E$6:E50)-1)</f>
        <v/>
      </c>
      <c r="H50" s="115">
        <f>IF(OR('净值数据(iFinD公式)'!$A49="",'净值数据(iFinD公式)'!$B49=""),"",SUMPRODUCT(持仓配置!$B$6:$N$6,'净值数据(iFinD公式)'!$B49:$N49/'净值数据(iFinD公式)'!$B$5:$N$5)*(1-持仓配置!$P$6)^((ROW()-6)/说明!$C$17))</f>
        <v/>
      </c>
      <c r="I50" s="9">
        <f>IF(OR(H50="",H49=""),"",H50/H49-1)</f>
        <v/>
      </c>
      <c r="J50" s="9">
        <f>IF(H50="","",H50/MAX(H$6:H50)-1)</f>
        <v/>
      </c>
      <c r="K50" s="115">
        <f>IF(OR('净值数据(iFinD公式)'!$A49="",'净值数据(iFinD公式)'!$B49=""),"",SUMPRODUCT(持仓配置!$B$7:$N$7,'净值数据(iFinD公式)'!$B49:$N49/'净值数据(iFinD公式)'!$B$5:$N$5)*(1-持仓配置!$P$7)^((ROW()-6)/说明!$C$17))</f>
        <v/>
      </c>
      <c r="L50" s="9">
        <f>IF(OR(K50="",K49=""),"",K50/K49-1)</f>
        <v/>
      </c>
      <c r="M50" s="9">
        <f>IF(K50="","",K50/MAX(K$6:K50)-1)</f>
        <v/>
      </c>
    </row>
    <row r="51">
      <c r="A51" s="119">
        <f>IF('净值数据(iFinD公式)'!A50="","",'净值数据(iFinD公式)'!A50)</f>
        <v/>
      </c>
      <c r="B51" s="115">
        <f>IF(OR('净值数据(iFinD公式)'!$A50="",'净值数据(iFinD公式)'!$B50=""),"",SUMPRODUCT(持仓配置!$B$4:$N$4,'净值数据(iFinD公式)'!$B50:$N50/'净值数据(iFinD公式)'!$B$5:$N$5)*(1-持仓配置!$P$4)^((ROW()-6)/说明!$C$17))</f>
        <v/>
      </c>
      <c r="C51" s="9">
        <f>IF(OR(B51="",B50=""),"",B51/B50-1)</f>
        <v/>
      </c>
      <c r="D51" s="9">
        <f>IF(B51="","",B51/MAX(B$6:B51)-1)</f>
        <v/>
      </c>
      <c r="E51" s="115">
        <f>IF(OR('净值数据(iFinD公式)'!$A50="",'净值数据(iFinD公式)'!$B50=""),"",SUMPRODUCT(持仓配置!$B$5:$N$5,'净值数据(iFinD公式)'!$B50:$N50/'净值数据(iFinD公式)'!$B$5:$N$5)*(1-持仓配置!$P$5)^((ROW()-6)/说明!$C$17))</f>
        <v/>
      </c>
      <c r="F51" s="9">
        <f>IF(OR(E51="",E50=""),"",E51/E50-1)</f>
        <v/>
      </c>
      <c r="G51" s="9">
        <f>IF(E51="","",E51/MAX(E$6:E51)-1)</f>
        <v/>
      </c>
      <c r="H51" s="115">
        <f>IF(OR('净值数据(iFinD公式)'!$A50="",'净值数据(iFinD公式)'!$B50=""),"",SUMPRODUCT(持仓配置!$B$6:$N$6,'净值数据(iFinD公式)'!$B50:$N50/'净值数据(iFinD公式)'!$B$5:$N$5)*(1-持仓配置!$P$6)^((ROW()-6)/说明!$C$17))</f>
        <v/>
      </c>
      <c r="I51" s="9">
        <f>IF(OR(H51="",H50=""),"",H51/H50-1)</f>
        <v/>
      </c>
      <c r="J51" s="9">
        <f>IF(H51="","",H51/MAX(H$6:H51)-1)</f>
        <v/>
      </c>
      <c r="K51" s="115">
        <f>IF(OR('净值数据(iFinD公式)'!$A50="",'净值数据(iFinD公式)'!$B50=""),"",SUMPRODUCT(持仓配置!$B$7:$N$7,'净值数据(iFinD公式)'!$B50:$N50/'净值数据(iFinD公式)'!$B$5:$N$5)*(1-持仓配置!$P$7)^((ROW()-6)/说明!$C$17))</f>
        <v/>
      </c>
      <c r="L51" s="9">
        <f>IF(OR(K51="",K50=""),"",K51/K50-1)</f>
        <v/>
      </c>
      <c r="M51" s="9">
        <f>IF(K51="","",K51/MAX(K$6:K51)-1)</f>
        <v/>
      </c>
    </row>
    <row r="52">
      <c r="A52" s="119">
        <f>IF('净值数据(iFinD公式)'!A51="","",'净值数据(iFinD公式)'!A51)</f>
        <v/>
      </c>
      <c r="B52" s="115">
        <f>IF(OR('净值数据(iFinD公式)'!$A51="",'净值数据(iFinD公式)'!$B51=""),"",SUMPRODUCT(持仓配置!$B$4:$N$4,'净值数据(iFinD公式)'!$B51:$N51/'净值数据(iFinD公式)'!$B$5:$N$5)*(1-持仓配置!$P$4)^((ROW()-6)/说明!$C$17))</f>
        <v/>
      </c>
      <c r="C52" s="9">
        <f>IF(OR(B52="",B51=""),"",B52/B51-1)</f>
        <v/>
      </c>
      <c r="D52" s="9">
        <f>IF(B52="","",B52/MAX(B$6:B52)-1)</f>
        <v/>
      </c>
      <c r="E52" s="115">
        <f>IF(OR('净值数据(iFinD公式)'!$A51="",'净值数据(iFinD公式)'!$B51=""),"",SUMPRODUCT(持仓配置!$B$5:$N$5,'净值数据(iFinD公式)'!$B51:$N51/'净值数据(iFinD公式)'!$B$5:$N$5)*(1-持仓配置!$P$5)^((ROW()-6)/说明!$C$17))</f>
        <v/>
      </c>
      <c r="F52" s="9">
        <f>IF(OR(E52="",E51=""),"",E52/E51-1)</f>
        <v/>
      </c>
      <c r="G52" s="9">
        <f>IF(E52="","",E52/MAX(E$6:E52)-1)</f>
        <v/>
      </c>
      <c r="H52" s="115">
        <f>IF(OR('净值数据(iFinD公式)'!$A51="",'净值数据(iFinD公式)'!$B51=""),"",SUMPRODUCT(持仓配置!$B$6:$N$6,'净值数据(iFinD公式)'!$B51:$N51/'净值数据(iFinD公式)'!$B$5:$N$5)*(1-持仓配置!$P$6)^((ROW()-6)/说明!$C$17))</f>
        <v/>
      </c>
      <c r="I52" s="9">
        <f>IF(OR(H52="",H51=""),"",H52/H51-1)</f>
        <v/>
      </c>
      <c r="J52" s="9">
        <f>IF(H52="","",H52/MAX(H$6:H52)-1)</f>
        <v/>
      </c>
      <c r="K52" s="115">
        <f>IF(OR('净值数据(iFinD公式)'!$A51="",'净值数据(iFinD公式)'!$B51=""),"",SUMPRODUCT(持仓配置!$B$7:$N$7,'净值数据(iFinD公式)'!$B51:$N51/'净值数据(iFinD公式)'!$B$5:$N$5)*(1-持仓配置!$P$7)^((ROW()-6)/说明!$C$17))</f>
        <v/>
      </c>
      <c r="L52" s="9">
        <f>IF(OR(K52="",K51=""),"",K52/K51-1)</f>
        <v/>
      </c>
      <c r="M52" s="9">
        <f>IF(K52="","",K52/MAX(K$6:K52)-1)</f>
        <v/>
      </c>
    </row>
    <row r="53">
      <c r="A53" s="119">
        <f>IF('净值数据(iFinD公式)'!A52="","",'净值数据(iFinD公式)'!A52)</f>
        <v/>
      </c>
      <c r="B53" s="115">
        <f>IF(OR('净值数据(iFinD公式)'!$A52="",'净值数据(iFinD公式)'!$B52=""),"",SUMPRODUCT(持仓配置!$B$4:$N$4,'净值数据(iFinD公式)'!$B52:$N52/'净值数据(iFinD公式)'!$B$5:$N$5)*(1-持仓配置!$P$4)^((ROW()-6)/说明!$C$17))</f>
        <v/>
      </c>
      <c r="C53" s="9">
        <f>IF(OR(B53="",B52=""),"",B53/B52-1)</f>
        <v/>
      </c>
      <c r="D53" s="9">
        <f>IF(B53="","",B53/MAX(B$6:B53)-1)</f>
        <v/>
      </c>
      <c r="E53" s="115">
        <f>IF(OR('净值数据(iFinD公式)'!$A52="",'净值数据(iFinD公式)'!$B52=""),"",SUMPRODUCT(持仓配置!$B$5:$N$5,'净值数据(iFinD公式)'!$B52:$N52/'净值数据(iFinD公式)'!$B$5:$N$5)*(1-持仓配置!$P$5)^((ROW()-6)/说明!$C$17))</f>
        <v/>
      </c>
      <c r="F53" s="9">
        <f>IF(OR(E53="",E52=""),"",E53/E52-1)</f>
        <v/>
      </c>
      <c r="G53" s="9">
        <f>IF(E53="","",E53/MAX(E$6:E53)-1)</f>
        <v/>
      </c>
      <c r="H53" s="115">
        <f>IF(OR('净值数据(iFinD公式)'!$A52="",'净值数据(iFinD公式)'!$B52=""),"",SUMPRODUCT(持仓配置!$B$6:$N$6,'净值数据(iFinD公式)'!$B52:$N52/'净值数据(iFinD公式)'!$B$5:$N$5)*(1-持仓配置!$P$6)^((ROW()-6)/说明!$C$17))</f>
        <v/>
      </c>
      <c r="I53" s="9">
        <f>IF(OR(H53="",H52=""),"",H53/H52-1)</f>
        <v/>
      </c>
      <c r="J53" s="9">
        <f>IF(H53="","",H53/MAX(H$6:H53)-1)</f>
        <v/>
      </c>
      <c r="K53" s="115">
        <f>IF(OR('净值数据(iFinD公式)'!$A52="",'净值数据(iFinD公式)'!$B52=""),"",SUMPRODUCT(持仓配置!$B$7:$N$7,'净值数据(iFinD公式)'!$B52:$N52/'净值数据(iFinD公式)'!$B$5:$N$5)*(1-持仓配置!$P$7)^((ROW()-6)/说明!$C$17))</f>
        <v/>
      </c>
      <c r="L53" s="9">
        <f>IF(OR(K53="",K52=""),"",K53/K52-1)</f>
        <v/>
      </c>
      <c r="M53" s="9">
        <f>IF(K53="","",K53/MAX(K$6:K53)-1)</f>
        <v/>
      </c>
    </row>
    <row r="54">
      <c r="A54" s="119">
        <f>IF('净值数据(iFinD公式)'!A53="","",'净值数据(iFinD公式)'!A53)</f>
        <v/>
      </c>
      <c r="B54" s="115">
        <f>IF(OR('净值数据(iFinD公式)'!$A53="",'净值数据(iFinD公式)'!$B53=""),"",SUMPRODUCT(持仓配置!$B$4:$N$4,'净值数据(iFinD公式)'!$B53:$N53/'净值数据(iFinD公式)'!$B$5:$N$5)*(1-持仓配置!$P$4)^((ROW()-6)/说明!$C$17))</f>
        <v/>
      </c>
      <c r="C54" s="9">
        <f>IF(OR(B54="",B53=""),"",B54/B53-1)</f>
        <v/>
      </c>
      <c r="D54" s="9">
        <f>IF(B54="","",B54/MAX(B$6:B54)-1)</f>
        <v/>
      </c>
      <c r="E54" s="115">
        <f>IF(OR('净值数据(iFinD公式)'!$A53="",'净值数据(iFinD公式)'!$B53=""),"",SUMPRODUCT(持仓配置!$B$5:$N$5,'净值数据(iFinD公式)'!$B53:$N53/'净值数据(iFinD公式)'!$B$5:$N$5)*(1-持仓配置!$P$5)^((ROW()-6)/说明!$C$17))</f>
        <v/>
      </c>
      <c r="F54" s="9">
        <f>IF(OR(E54="",E53=""),"",E54/E53-1)</f>
        <v/>
      </c>
      <c r="G54" s="9">
        <f>IF(E54="","",E54/MAX(E$6:E54)-1)</f>
        <v/>
      </c>
      <c r="H54" s="115">
        <f>IF(OR('净值数据(iFinD公式)'!$A53="",'净值数据(iFinD公式)'!$B53=""),"",SUMPRODUCT(持仓配置!$B$6:$N$6,'净值数据(iFinD公式)'!$B53:$N53/'净值数据(iFinD公式)'!$B$5:$N$5)*(1-持仓配置!$P$6)^((ROW()-6)/说明!$C$17))</f>
        <v/>
      </c>
      <c r="I54" s="9">
        <f>IF(OR(H54="",H53=""),"",H54/H53-1)</f>
        <v/>
      </c>
      <c r="J54" s="9">
        <f>IF(H54="","",H54/MAX(H$6:H54)-1)</f>
        <v/>
      </c>
      <c r="K54" s="115">
        <f>IF(OR('净值数据(iFinD公式)'!$A53="",'净值数据(iFinD公式)'!$B53=""),"",SUMPRODUCT(持仓配置!$B$7:$N$7,'净值数据(iFinD公式)'!$B53:$N53/'净值数据(iFinD公式)'!$B$5:$N$5)*(1-持仓配置!$P$7)^((ROW()-6)/说明!$C$17))</f>
        <v/>
      </c>
      <c r="L54" s="9">
        <f>IF(OR(K54="",K53=""),"",K54/K53-1)</f>
        <v/>
      </c>
      <c r="M54" s="9">
        <f>IF(K54="","",K54/MAX(K$6:K54)-1)</f>
        <v/>
      </c>
    </row>
    <row r="55">
      <c r="A55" s="119">
        <f>IF('净值数据(iFinD公式)'!A54="","",'净值数据(iFinD公式)'!A54)</f>
        <v/>
      </c>
      <c r="B55" s="115">
        <f>IF(OR('净值数据(iFinD公式)'!$A54="",'净值数据(iFinD公式)'!$B54=""),"",SUMPRODUCT(持仓配置!$B$4:$N$4,'净值数据(iFinD公式)'!$B54:$N54/'净值数据(iFinD公式)'!$B$5:$N$5)*(1-持仓配置!$P$4)^((ROW()-6)/说明!$C$17))</f>
        <v/>
      </c>
      <c r="C55" s="9">
        <f>IF(OR(B55="",B54=""),"",B55/B54-1)</f>
        <v/>
      </c>
      <c r="D55" s="9">
        <f>IF(B55="","",B55/MAX(B$6:B55)-1)</f>
        <v/>
      </c>
      <c r="E55" s="115">
        <f>IF(OR('净值数据(iFinD公式)'!$A54="",'净值数据(iFinD公式)'!$B54=""),"",SUMPRODUCT(持仓配置!$B$5:$N$5,'净值数据(iFinD公式)'!$B54:$N54/'净值数据(iFinD公式)'!$B$5:$N$5)*(1-持仓配置!$P$5)^((ROW()-6)/说明!$C$17))</f>
        <v/>
      </c>
      <c r="F55" s="9">
        <f>IF(OR(E55="",E54=""),"",E55/E54-1)</f>
        <v/>
      </c>
      <c r="G55" s="9">
        <f>IF(E55="","",E55/MAX(E$6:E55)-1)</f>
        <v/>
      </c>
      <c r="H55" s="115">
        <f>IF(OR('净值数据(iFinD公式)'!$A54="",'净值数据(iFinD公式)'!$B54=""),"",SUMPRODUCT(持仓配置!$B$6:$N$6,'净值数据(iFinD公式)'!$B54:$N54/'净值数据(iFinD公式)'!$B$5:$N$5)*(1-持仓配置!$P$6)^((ROW()-6)/说明!$C$17))</f>
        <v/>
      </c>
      <c r="I55" s="9">
        <f>IF(OR(H55="",H54=""),"",H55/H54-1)</f>
        <v/>
      </c>
      <c r="J55" s="9">
        <f>IF(H55="","",H55/MAX(H$6:H55)-1)</f>
        <v/>
      </c>
      <c r="K55" s="115">
        <f>IF(OR('净值数据(iFinD公式)'!$A54="",'净值数据(iFinD公式)'!$B54=""),"",SUMPRODUCT(持仓配置!$B$7:$N$7,'净值数据(iFinD公式)'!$B54:$N54/'净值数据(iFinD公式)'!$B$5:$N$5)*(1-持仓配置!$P$7)^((ROW()-6)/说明!$C$17))</f>
        <v/>
      </c>
      <c r="L55" s="9">
        <f>IF(OR(K55="",K54=""),"",K55/K54-1)</f>
        <v/>
      </c>
      <c r="M55" s="9">
        <f>IF(K55="","",K55/MAX(K$6:K55)-1)</f>
        <v/>
      </c>
    </row>
    <row r="56">
      <c r="A56" s="119">
        <f>IF('净值数据(iFinD公式)'!A55="","",'净值数据(iFinD公式)'!A55)</f>
        <v/>
      </c>
      <c r="B56" s="115">
        <f>IF(OR('净值数据(iFinD公式)'!$A55="",'净值数据(iFinD公式)'!$B55=""),"",SUMPRODUCT(持仓配置!$B$4:$N$4,'净值数据(iFinD公式)'!$B55:$N55/'净值数据(iFinD公式)'!$B$5:$N$5)*(1-持仓配置!$P$4)^((ROW()-6)/说明!$C$17))</f>
        <v/>
      </c>
      <c r="C56" s="9">
        <f>IF(OR(B56="",B55=""),"",B56/B55-1)</f>
        <v/>
      </c>
      <c r="D56" s="9">
        <f>IF(B56="","",B56/MAX(B$6:B56)-1)</f>
        <v/>
      </c>
      <c r="E56" s="115">
        <f>IF(OR('净值数据(iFinD公式)'!$A55="",'净值数据(iFinD公式)'!$B55=""),"",SUMPRODUCT(持仓配置!$B$5:$N$5,'净值数据(iFinD公式)'!$B55:$N55/'净值数据(iFinD公式)'!$B$5:$N$5)*(1-持仓配置!$P$5)^((ROW()-6)/说明!$C$17))</f>
        <v/>
      </c>
      <c r="F56" s="9">
        <f>IF(OR(E56="",E55=""),"",E56/E55-1)</f>
        <v/>
      </c>
      <c r="G56" s="9">
        <f>IF(E56="","",E56/MAX(E$6:E56)-1)</f>
        <v/>
      </c>
      <c r="H56" s="115">
        <f>IF(OR('净值数据(iFinD公式)'!$A55="",'净值数据(iFinD公式)'!$B55=""),"",SUMPRODUCT(持仓配置!$B$6:$N$6,'净值数据(iFinD公式)'!$B55:$N55/'净值数据(iFinD公式)'!$B$5:$N$5)*(1-持仓配置!$P$6)^((ROW()-6)/说明!$C$17))</f>
        <v/>
      </c>
      <c r="I56" s="9">
        <f>IF(OR(H56="",H55=""),"",H56/H55-1)</f>
        <v/>
      </c>
      <c r="J56" s="9">
        <f>IF(H56="","",H56/MAX(H$6:H56)-1)</f>
        <v/>
      </c>
      <c r="K56" s="115">
        <f>IF(OR('净值数据(iFinD公式)'!$A55="",'净值数据(iFinD公式)'!$B55=""),"",SUMPRODUCT(持仓配置!$B$7:$N$7,'净值数据(iFinD公式)'!$B55:$N55/'净值数据(iFinD公式)'!$B$5:$N$5)*(1-持仓配置!$P$7)^((ROW()-6)/说明!$C$17))</f>
        <v/>
      </c>
      <c r="L56" s="9">
        <f>IF(OR(K56="",K55=""),"",K56/K55-1)</f>
        <v/>
      </c>
      <c r="M56" s="9">
        <f>IF(K56="","",K56/MAX(K$6:K56)-1)</f>
        <v/>
      </c>
    </row>
    <row r="57">
      <c r="A57" s="119">
        <f>IF('净值数据(iFinD公式)'!A56="","",'净值数据(iFinD公式)'!A56)</f>
        <v/>
      </c>
      <c r="B57" s="115">
        <f>IF(OR('净值数据(iFinD公式)'!$A56="",'净值数据(iFinD公式)'!$B56=""),"",SUMPRODUCT(持仓配置!$B$4:$N$4,'净值数据(iFinD公式)'!$B56:$N56/'净值数据(iFinD公式)'!$B$5:$N$5)*(1-持仓配置!$P$4)^((ROW()-6)/说明!$C$17))</f>
        <v/>
      </c>
      <c r="C57" s="9">
        <f>IF(OR(B57="",B56=""),"",B57/B56-1)</f>
        <v/>
      </c>
      <c r="D57" s="9">
        <f>IF(B57="","",B57/MAX(B$6:B57)-1)</f>
        <v/>
      </c>
      <c r="E57" s="115">
        <f>IF(OR('净值数据(iFinD公式)'!$A56="",'净值数据(iFinD公式)'!$B56=""),"",SUMPRODUCT(持仓配置!$B$5:$N$5,'净值数据(iFinD公式)'!$B56:$N56/'净值数据(iFinD公式)'!$B$5:$N$5)*(1-持仓配置!$P$5)^((ROW()-6)/说明!$C$17))</f>
        <v/>
      </c>
      <c r="F57" s="9">
        <f>IF(OR(E57="",E56=""),"",E57/E56-1)</f>
        <v/>
      </c>
      <c r="G57" s="9">
        <f>IF(E57="","",E57/MAX(E$6:E57)-1)</f>
        <v/>
      </c>
      <c r="H57" s="115">
        <f>IF(OR('净值数据(iFinD公式)'!$A56="",'净值数据(iFinD公式)'!$B56=""),"",SUMPRODUCT(持仓配置!$B$6:$N$6,'净值数据(iFinD公式)'!$B56:$N56/'净值数据(iFinD公式)'!$B$5:$N$5)*(1-持仓配置!$P$6)^((ROW()-6)/说明!$C$17))</f>
        <v/>
      </c>
      <c r="I57" s="9">
        <f>IF(OR(H57="",H56=""),"",H57/H56-1)</f>
        <v/>
      </c>
      <c r="J57" s="9">
        <f>IF(H57="","",H57/MAX(H$6:H57)-1)</f>
        <v/>
      </c>
      <c r="K57" s="115">
        <f>IF(OR('净值数据(iFinD公式)'!$A56="",'净值数据(iFinD公式)'!$B56=""),"",SUMPRODUCT(持仓配置!$B$7:$N$7,'净值数据(iFinD公式)'!$B56:$N56/'净值数据(iFinD公式)'!$B$5:$N$5)*(1-持仓配置!$P$7)^((ROW()-6)/说明!$C$17))</f>
        <v/>
      </c>
      <c r="L57" s="9">
        <f>IF(OR(K57="",K56=""),"",K57/K56-1)</f>
        <v/>
      </c>
      <c r="M57" s="9">
        <f>IF(K57="","",K57/MAX(K$6:K57)-1)</f>
        <v/>
      </c>
    </row>
    <row r="58">
      <c r="A58" s="119">
        <f>IF('净值数据(iFinD公式)'!A57="","",'净值数据(iFinD公式)'!A57)</f>
        <v/>
      </c>
      <c r="B58" s="115">
        <f>IF(OR('净值数据(iFinD公式)'!$A57="",'净值数据(iFinD公式)'!$B57=""),"",SUMPRODUCT(持仓配置!$B$4:$N$4,'净值数据(iFinD公式)'!$B57:$N57/'净值数据(iFinD公式)'!$B$5:$N$5)*(1-持仓配置!$P$4)^((ROW()-6)/说明!$C$17))</f>
        <v/>
      </c>
      <c r="C58" s="9">
        <f>IF(OR(B58="",B57=""),"",B58/B57-1)</f>
        <v/>
      </c>
      <c r="D58" s="9">
        <f>IF(B58="","",B58/MAX(B$6:B58)-1)</f>
        <v/>
      </c>
      <c r="E58" s="115">
        <f>IF(OR('净值数据(iFinD公式)'!$A57="",'净值数据(iFinD公式)'!$B57=""),"",SUMPRODUCT(持仓配置!$B$5:$N$5,'净值数据(iFinD公式)'!$B57:$N57/'净值数据(iFinD公式)'!$B$5:$N$5)*(1-持仓配置!$P$5)^((ROW()-6)/说明!$C$17))</f>
        <v/>
      </c>
      <c r="F58" s="9">
        <f>IF(OR(E58="",E57=""),"",E58/E57-1)</f>
        <v/>
      </c>
      <c r="G58" s="9">
        <f>IF(E58="","",E58/MAX(E$6:E58)-1)</f>
        <v/>
      </c>
      <c r="H58" s="115">
        <f>IF(OR('净值数据(iFinD公式)'!$A57="",'净值数据(iFinD公式)'!$B57=""),"",SUMPRODUCT(持仓配置!$B$6:$N$6,'净值数据(iFinD公式)'!$B57:$N57/'净值数据(iFinD公式)'!$B$5:$N$5)*(1-持仓配置!$P$6)^((ROW()-6)/说明!$C$17))</f>
        <v/>
      </c>
      <c r="I58" s="9">
        <f>IF(OR(H58="",H57=""),"",H58/H57-1)</f>
        <v/>
      </c>
      <c r="J58" s="9">
        <f>IF(H58="","",H58/MAX(H$6:H58)-1)</f>
        <v/>
      </c>
      <c r="K58" s="115">
        <f>IF(OR('净值数据(iFinD公式)'!$A57="",'净值数据(iFinD公式)'!$B57=""),"",SUMPRODUCT(持仓配置!$B$7:$N$7,'净值数据(iFinD公式)'!$B57:$N57/'净值数据(iFinD公式)'!$B$5:$N$5)*(1-持仓配置!$P$7)^((ROW()-6)/说明!$C$17))</f>
        <v/>
      </c>
      <c r="L58" s="9">
        <f>IF(OR(K58="",K57=""),"",K58/K57-1)</f>
        <v/>
      </c>
      <c r="M58" s="9">
        <f>IF(K58="","",K58/MAX(K$6:K58)-1)</f>
        <v/>
      </c>
    </row>
    <row r="59">
      <c r="A59" s="119">
        <f>IF('净值数据(iFinD公式)'!A58="","",'净值数据(iFinD公式)'!A58)</f>
        <v/>
      </c>
      <c r="B59" s="115">
        <f>IF(OR('净值数据(iFinD公式)'!$A58="",'净值数据(iFinD公式)'!$B58=""),"",SUMPRODUCT(持仓配置!$B$4:$N$4,'净值数据(iFinD公式)'!$B58:$N58/'净值数据(iFinD公式)'!$B$5:$N$5)*(1-持仓配置!$P$4)^((ROW()-6)/说明!$C$17))</f>
        <v/>
      </c>
      <c r="C59" s="9">
        <f>IF(OR(B59="",B58=""),"",B59/B58-1)</f>
        <v/>
      </c>
      <c r="D59" s="9">
        <f>IF(B59="","",B59/MAX(B$6:B59)-1)</f>
        <v/>
      </c>
      <c r="E59" s="115">
        <f>IF(OR('净值数据(iFinD公式)'!$A58="",'净值数据(iFinD公式)'!$B58=""),"",SUMPRODUCT(持仓配置!$B$5:$N$5,'净值数据(iFinD公式)'!$B58:$N58/'净值数据(iFinD公式)'!$B$5:$N$5)*(1-持仓配置!$P$5)^((ROW()-6)/说明!$C$17))</f>
        <v/>
      </c>
      <c r="F59" s="9">
        <f>IF(OR(E59="",E58=""),"",E59/E58-1)</f>
        <v/>
      </c>
      <c r="G59" s="9">
        <f>IF(E59="","",E59/MAX(E$6:E59)-1)</f>
        <v/>
      </c>
      <c r="H59" s="115">
        <f>IF(OR('净值数据(iFinD公式)'!$A58="",'净值数据(iFinD公式)'!$B58=""),"",SUMPRODUCT(持仓配置!$B$6:$N$6,'净值数据(iFinD公式)'!$B58:$N58/'净值数据(iFinD公式)'!$B$5:$N$5)*(1-持仓配置!$P$6)^((ROW()-6)/说明!$C$17))</f>
        <v/>
      </c>
      <c r="I59" s="9">
        <f>IF(OR(H59="",H58=""),"",H59/H58-1)</f>
        <v/>
      </c>
      <c r="J59" s="9">
        <f>IF(H59="","",H59/MAX(H$6:H59)-1)</f>
        <v/>
      </c>
      <c r="K59" s="115">
        <f>IF(OR('净值数据(iFinD公式)'!$A58="",'净值数据(iFinD公式)'!$B58=""),"",SUMPRODUCT(持仓配置!$B$7:$N$7,'净值数据(iFinD公式)'!$B58:$N58/'净值数据(iFinD公式)'!$B$5:$N$5)*(1-持仓配置!$P$7)^((ROW()-6)/说明!$C$17))</f>
        <v/>
      </c>
      <c r="L59" s="9">
        <f>IF(OR(K59="",K58=""),"",K59/K58-1)</f>
        <v/>
      </c>
      <c r="M59" s="9">
        <f>IF(K59="","",K59/MAX(K$6:K59)-1)</f>
        <v/>
      </c>
    </row>
    <row r="60">
      <c r="A60" s="119">
        <f>IF('净值数据(iFinD公式)'!A59="","",'净值数据(iFinD公式)'!A59)</f>
        <v/>
      </c>
      <c r="B60" s="115">
        <f>IF(OR('净值数据(iFinD公式)'!$A59="",'净值数据(iFinD公式)'!$B59=""),"",SUMPRODUCT(持仓配置!$B$4:$N$4,'净值数据(iFinD公式)'!$B59:$N59/'净值数据(iFinD公式)'!$B$5:$N$5)*(1-持仓配置!$P$4)^((ROW()-6)/说明!$C$17))</f>
        <v/>
      </c>
      <c r="C60" s="9">
        <f>IF(OR(B60="",B59=""),"",B60/B59-1)</f>
        <v/>
      </c>
      <c r="D60" s="9">
        <f>IF(B60="","",B60/MAX(B$6:B60)-1)</f>
        <v/>
      </c>
      <c r="E60" s="115">
        <f>IF(OR('净值数据(iFinD公式)'!$A59="",'净值数据(iFinD公式)'!$B59=""),"",SUMPRODUCT(持仓配置!$B$5:$N$5,'净值数据(iFinD公式)'!$B59:$N59/'净值数据(iFinD公式)'!$B$5:$N$5)*(1-持仓配置!$P$5)^((ROW()-6)/说明!$C$17))</f>
        <v/>
      </c>
      <c r="F60" s="9">
        <f>IF(OR(E60="",E59=""),"",E60/E59-1)</f>
        <v/>
      </c>
      <c r="G60" s="9">
        <f>IF(E60="","",E60/MAX(E$6:E60)-1)</f>
        <v/>
      </c>
      <c r="H60" s="115">
        <f>IF(OR('净值数据(iFinD公式)'!$A59="",'净值数据(iFinD公式)'!$B59=""),"",SUMPRODUCT(持仓配置!$B$6:$N$6,'净值数据(iFinD公式)'!$B59:$N59/'净值数据(iFinD公式)'!$B$5:$N$5)*(1-持仓配置!$P$6)^((ROW()-6)/说明!$C$17))</f>
        <v/>
      </c>
      <c r="I60" s="9">
        <f>IF(OR(H60="",H59=""),"",H60/H59-1)</f>
        <v/>
      </c>
      <c r="J60" s="9">
        <f>IF(H60="","",H60/MAX(H$6:H60)-1)</f>
        <v/>
      </c>
      <c r="K60" s="115">
        <f>IF(OR('净值数据(iFinD公式)'!$A59="",'净值数据(iFinD公式)'!$B59=""),"",SUMPRODUCT(持仓配置!$B$7:$N$7,'净值数据(iFinD公式)'!$B59:$N59/'净值数据(iFinD公式)'!$B$5:$N$5)*(1-持仓配置!$P$7)^((ROW()-6)/说明!$C$17))</f>
        <v/>
      </c>
      <c r="L60" s="9">
        <f>IF(OR(K60="",K59=""),"",K60/K59-1)</f>
        <v/>
      </c>
      <c r="M60" s="9">
        <f>IF(K60="","",K60/MAX(K$6:K60)-1)</f>
        <v/>
      </c>
    </row>
    <row r="62" ht="14.5" customHeight="1" s="89">
      <c r="A62" s="97" t="inlineStr">
        <is>
          <t>组合净值起始=1.0000；买入持有，权重随涨跌漂移；净值已按年化费率折每日扣费。新增日期下拉填充。</t>
        </is>
      </c>
    </row>
  </sheetData>
  <mergeCells count="5">
    <mergeCell ref="A1:M1"/>
    <mergeCell ref="K4:M4"/>
    <mergeCell ref="B4:D4"/>
    <mergeCell ref="H4:J4"/>
    <mergeCell ref="E4:G4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35"/>
  <sheetViews>
    <sheetView showGridLines="0" workbookViewId="0">
      <selection activeCell="C7" sqref="C7"/>
    </sheetView>
  </sheetViews>
  <sheetFormatPr baseColWidth="8" defaultRowHeight="14"/>
  <cols>
    <col width="2" customWidth="1" style="89" min="1" max="1"/>
    <col width="14" customWidth="1" style="89" min="2" max="2"/>
    <col width="15.08984375" bestFit="1" customWidth="1" style="89" min="3" max="3"/>
    <col width="17.54296875" bestFit="1" customWidth="1" style="89" min="4" max="4"/>
    <col width="14" customWidth="1" style="89" min="5" max="5"/>
    <col width="15.08984375" bestFit="1" customWidth="1" style="89" min="6" max="6"/>
    <col width="14" customWidth="1" style="89" min="7" max="7"/>
    <col width="2" customWidth="1" style="89" min="8" max="8"/>
  </cols>
  <sheetData>
    <row r="2">
      <c r="B2" s="96" t="inlineStr">
        <is>
          <t>样板间组合走势看板（10-90 账户）</t>
        </is>
      </c>
    </row>
    <row r="3" ht="14.5" customHeight="1" s="89">
      <c r="B3" s="97">
        <f>"买入持有 · 已扣年化费率 "&amp;TEXT(持仓配置!$M$4,"0.0%")&amp;"（折每日计入净值）"</f>
        <v/>
      </c>
      <c r="E3" s="94">
        <f>"净值日期："&amp;TEXT(LOOKUP(2,1/(组合净值!$B$6:$B$60&lt;&gt;""),组合净值!$A$6:$A$60),"yyyy-mm-dd")</f>
        <v/>
      </c>
    </row>
    <row r="5">
      <c r="B5" s="93" t="inlineStr">
        <is>
          <t>产品业绩表现（历史表现不代表未来收益承诺）</t>
        </is>
      </c>
    </row>
    <row r="6">
      <c r="B6" s="10" t="inlineStr">
        <is>
          <t>最新净值</t>
        </is>
      </c>
      <c r="C6" s="10" t="inlineStr">
        <is>
          <t>累计收益</t>
        </is>
      </c>
      <c r="D6" s="10" t="inlineStr">
        <is>
          <t>年化收益</t>
        </is>
      </c>
      <c r="E6" s="10" t="inlineStr">
        <is>
          <t>年化波动率</t>
        </is>
      </c>
      <c r="F6" s="10" t="inlineStr">
        <is>
          <t>最大回撤</t>
        </is>
      </c>
      <c r="G6" s="10" t="inlineStr">
        <is>
          <t>夏普比率</t>
        </is>
      </c>
    </row>
    <row r="7" ht="28" customHeight="1" s="89">
      <c r="B7" s="120">
        <f>LOOKUP(2,1/(组合净值!$B$6:$B$60&lt;&gt;""),组合净值!$B$6:$B$60)</f>
        <v/>
      </c>
      <c r="C7" s="21">
        <f>(LOOKUP(2,1/(组合净值!$B$6:$B$60&lt;&gt;""),组合净值!$B$6:$B$60))/组合净值!$B$6-1</f>
        <v/>
      </c>
      <c r="D7" s="21">
        <f>(LOOKUP(2,1/(组合净值!$B$6:$B$60&lt;&gt;""),组合净值!$B$6:$B$60)/组合净值!$B$6)^(说明!$C$17/MAX(COUNT(组合净值!$C$6:$C$60),1))-1</f>
        <v/>
      </c>
      <c r="E7" s="22">
        <f>STDEV(组合净值!$C$6:$C$60)*SQRT(说明!$C$17)</f>
        <v/>
      </c>
      <c r="F7" s="21">
        <f>MIN(组合净值!$D$6:$D$60)</f>
        <v/>
      </c>
      <c r="G7" s="23">
        <f>(((LOOKUP(2,1/(组合净值!$B$6:$B$60&lt;&gt;""),组合净值!$B$6:$B$60)/组合净值!$B$6)^(说明!$C$17/MAX(COUNT(组合净值!$C$6:$C$60),1))-1)-说明!$C$16)/IF((STDEV(组合净值!$C$6:$C$60)*SQRT(说明!$C$17))=0,"",(STDEV(组合净值!$C$6:$C$60)*SQRT(说明!$C$17)))</f>
        <v/>
      </c>
    </row>
    <row r="9">
      <c r="B9" s="93" t="inlineStr">
        <is>
          <t>收益表现</t>
        </is>
      </c>
      <c r="E9" s="93" t="inlineStr">
        <is>
          <t>风险特征</t>
        </is>
      </c>
    </row>
    <row r="10">
      <c r="B10" s="29" t="inlineStr">
        <is>
          <t>区间</t>
        </is>
      </c>
      <c r="C10" s="29" t="inlineStr">
        <is>
          <t>累计收益</t>
        </is>
      </c>
      <c r="D10" s="29" t="inlineStr">
        <is>
          <t>年化收益</t>
        </is>
      </c>
      <c r="E10" s="98" t="inlineStr">
        <is>
          <t>指标</t>
        </is>
      </c>
      <c r="F10" s="92" t="n"/>
      <c r="G10" s="29" t="inlineStr">
        <is>
          <t>数值</t>
        </is>
      </c>
    </row>
    <row r="11" ht="22.5" customHeight="1" s="89">
      <c r="B11" s="27" t="inlineStr">
        <is>
          <t>起始以来</t>
        </is>
      </c>
      <c r="C11" s="17">
        <f>IFERROR((LOOKUP(2,1/(组合净值!$B$6:$B$60&lt;&gt;""),组合净值!$B$6:$B$60))/(组合净值!$B$6)-1,"")</f>
        <v/>
      </c>
      <c r="D11" s="17">
        <f>IFERROR((LOOKUP(2,1/(组合净值!$B$6:$B$60&lt;&gt;""),组合净值!$B$6:$B$60)/(组合净值!$B$6))^(说明!$C$17/COUNT(组合净值!$C$6:$C$60))-1,"")</f>
        <v/>
      </c>
      <c r="E11" s="95" t="inlineStr">
        <is>
          <t>最大回撤</t>
        </is>
      </c>
      <c r="F11" s="92" t="n"/>
      <c r="G11" s="17">
        <f>MIN(组合净值!$D$6:$D$60)</f>
        <v/>
      </c>
    </row>
    <row r="12" ht="22.5" customHeight="1" s="89">
      <c r="B12" s="27" t="inlineStr">
        <is>
          <t>2026YTD</t>
        </is>
      </c>
      <c r="C12" s="17">
        <f>IFERROR((LOOKUP(2,1/(组合净值!$B$6:$B$60&lt;&gt;""),组合净值!$B$6:$B$60))/(IFERROR(LOOKUP(DATE(2026,1,1),组合净值!$A$6:$A$60,组合净值!$B$6:$B$60),组合净值!$B$6))-1,"")</f>
        <v/>
      </c>
      <c r="D12" s="17">
        <f>IFERROR((LOOKUP(2,1/(组合净值!$B$6:$B$60&lt;&gt;""),组合净值!$B$6:$B$60)/(IFERROR(LOOKUP(DATE(2026,1,1),组合净值!$A$6:$A$60,组合净值!$B$6:$B$60),组合净值!$B$6)))^(说明!$C$17/MAX(COUNTIF(组合净值!$A$6:$A$60,"&gt;="&amp;(DATE(2026,1,1))),1))-1,"")</f>
        <v/>
      </c>
      <c r="E12" s="95" t="inlineStr">
        <is>
          <t>回撤修复天数(未创新高)</t>
        </is>
      </c>
      <c r="F12" s="92" t="n"/>
      <c r="G12" s="18">
        <f>IFERROR((LOOKUP(2,1/(组合净值!$B$6:$B$60&lt;&gt;""),ROW(组合净值!$B$6:$B$60)))-(LOOKUP(2,1/(组合净值!$D$6:$D$60=0),ROW(组合净值!$D$6:$D$60))),"")</f>
        <v/>
      </c>
    </row>
    <row r="13" ht="22.5" customHeight="1" s="89">
      <c r="B13" s="27" t="inlineStr">
        <is>
          <t>近3个月</t>
        </is>
      </c>
      <c r="C13" s="17">
        <f>IFERROR((LOOKUP(2,1/(组合净值!$B$6:$B$60&lt;&gt;""),组合净值!$B$6:$B$60))/(IFERROR(LOOKUP(EDATE(LOOKUP(2,1/(组合净值!$B$6:$B$60&lt;&gt;""),组合净值!$A$6:$A$60),-3),组合净值!$A$6:$A$60,组合净值!$B$6:$B$60),组合净值!$B$6))-1,"")</f>
        <v/>
      </c>
      <c r="D13" s="17">
        <f>IFERROR((LOOKUP(2,1/(组合净值!$B$6:$B$60&lt;&gt;""),组合净值!$B$6:$B$60)/(IFERROR(LOOKUP(EDATE(LOOKUP(2,1/(组合净值!$B$6:$B$60&lt;&gt;""),组合净值!$A$6:$A$60),-3),组合净值!$A$6:$A$60,组合净值!$B$6:$B$60),组合净值!$B$6)))^(说明!$C$17/MAX(COUNTIF(组合净值!$A$6:$A$60,"&gt;="&amp;(EDATE(LOOKUP(2,1/(组合净值!$B$6:$B$60&lt;&gt;""),组合净值!$A$6:$A$60),-3))),1))-1,"")</f>
        <v/>
      </c>
      <c r="E13" s="95" t="inlineStr">
        <is>
          <t>正收益占比</t>
        </is>
      </c>
      <c r="F13" s="92" t="n"/>
      <c r="G13" s="121">
        <f>COUNTIF(组合净值!$C$6:$C$60,"&gt;0")/MAX(COUNT(组合净值!$C$6:$C$60),1)</f>
        <v/>
      </c>
    </row>
    <row r="14" ht="22.5" customHeight="1" s="89">
      <c r="B14" s="27" t="inlineStr">
        <is>
          <t>近6个月</t>
        </is>
      </c>
      <c r="C14" s="17">
        <f>IFERROR((LOOKUP(2,1/(组合净值!$B$6:$B$60&lt;&gt;""),组合净值!$B$6:$B$60))/(IFERROR(LOOKUP(EDATE(LOOKUP(2,1/(组合净值!$B$6:$B$60&lt;&gt;""),组合净值!$A$6:$A$60),-6),组合净值!$A$6:$A$60,组合净值!$B$6:$B$60),组合净值!$B$6))-1,"")</f>
        <v/>
      </c>
      <c r="D14" s="17">
        <f>IFERROR((LOOKUP(2,1/(组合净值!$B$6:$B$60&lt;&gt;""),组合净值!$B$6:$B$60)/(IFERROR(LOOKUP(EDATE(LOOKUP(2,1/(组合净值!$B$6:$B$60&lt;&gt;""),组合净值!$A$6:$A$60),-6),组合净值!$A$6:$A$60,组合净值!$B$6:$B$60),组合净值!$B$6)))^(说明!$C$17/MAX(COUNTIF(组合净值!$A$6:$A$60,"&gt;="&amp;(EDATE(LOOKUP(2,1/(组合净值!$B$6:$B$60&lt;&gt;""),组合净值!$A$6:$A$60),-6))),1))-1,"")</f>
        <v/>
      </c>
      <c r="E14" s="95" t="inlineStr">
        <is>
          <t>年化波动率</t>
        </is>
      </c>
      <c r="F14" s="92" t="n"/>
      <c r="G14" s="17">
        <f>STDEV(组合净值!$C$6:$C$60)*SQRT(说明!$C$17)</f>
        <v/>
      </c>
    </row>
    <row r="15" ht="22.5" customHeight="1" s="89">
      <c r="B15" s="27" t="inlineStr">
        <is>
          <t>近1年</t>
        </is>
      </c>
      <c r="C15" s="17">
        <f>IFERROR((LOOKUP(2,1/(组合净值!$B$6:$B$60&lt;&gt;""),组合净值!$B$6:$B$60))/(IFERROR(LOOKUP(EDATE(LOOKUP(2,1/(组合净值!$B$6:$B$60&lt;&gt;""),组合净值!$A$6:$A$60),-12),组合净值!$A$6:$A$60,组合净值!$B$6:$B$60),组合净值!$B$6))-1,"")</f>
        <v/>
      </c>
      <c r="D15" s="17">
        <f>IFERROR((LOOKUP(2,1/(组合净值!$B$6:$B$60&lt;&gt;""),组合净值!$B$6:$B$60)/(IFERROR(LOOKUP(EDATE(LOOKUP(2,1/(组合净值!$B$6:$B$60&lt;&gt;""),组合净值!$A$6:$A$60),-12),组合净值!$A$6:$A$60,组合净值!$B$6:$B$60),组合净值!$B$6)))^(说明!$C$17/MAX(COUNTIF(组合净值!$A$6:$A$60,"&gt;="&amp;(EDATE(LOOKUP(2,1/(组合净值!$B$6:$B$60&lt;&gt;""),组合净值!$A$6:$A$60),-12))),1))-1,"")</f>
        <v/>
      </c>
      <c r="E15" s="95" t="inlineStr">
        <is>
          <t>夏普比率</t>
        </is>
      </c>
      <c r="F15" s="92" t="n"/>
      <c r="G15" s="19">
        <f>(((LOOKUP(2,1/(组合净值!$B$6:$B$60&lt;&gt;""),组合净值!$B$6:$B$60)/组合净值!$B$6)^(说明!$C$17/MAX(COUNT(组合净值!$C$6:$C$60),1))-1)-说明!$C$16)/IF((STDEV(组合净值!$C$6:$C$60)*SQRT(说明!$C$17))=0,"",(STDEV(组合净值!$C$6:$C$60)*SQRT(说明!$C$17)))</f>
        <v/>
      </c>
    </row>
    <row r="16" ht="22.5" customHeight="1" s="89">
      <c r="B16" s="20" t="n"/>
      <c r="C16" s="20" t="n"/>
      <c r="D16" s="20" t="n"/>
      <c r="E16" s="95" t="inlineStr">
        <is>
          <t>卡玛比率</t>
        </is>
      </c>
      <c r="F16" s="92" t="n"/>
      <c r="G16" s="19">
        <f>IFERROR(((LOOKUP(2,1/(组合净值!$B$6:$B$60&lt;&gt;""),组合净值!$B$6:$B$60)/组合净值!$B$6)^(说明!$C$17/MAX(COUNT(组合净值!$C$6:$C$60),1))-1)/ABS(MIN(组合净值!$D$6:$D$60)),"")</f>
        <v/>
      </c>
    </row>
    <row r="18">
      <c r="B18" s="93" t="inlineStr">
        <is>
          <t>产品运作情况 · 组合净值曲线</t>
        </is>
      </c>
    </row>
    <row r="35" ht="14.5" customHeight="1" s="89">
      <c r="B35" s="97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  <mergeCell ref="B18:G18"/>
    <mergeCell ref="E3:G3"/>
  </mergeCells>
  <conditionalFormatting sqref="C7:D7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F7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C11:D11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G11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G35"/>
  <sheetViews>
    <sheetView showGridLines="0" workbookViewId="0">
      <selection activeCell="P21" sqref="P21"/>
    </sheetView>
  </sheetViews>
  <sheetFormatPr baseColWidth="8" defaultRowHeight="14"/>
  <cols>
    <col width="2" customWidth="1" style="89" min="1" max="1"/>
    <col width="14" customWidth="1" style="89" min="2" max="2"/>
    <col width="15.08984375" bestFit="1" customWidth="1" style="89" min="3" max="4"/>
    <col width="14" customWidth="1" style="89" min="5" max="5"/>
    <col width="15.08984375" bestFit="1" customWidth="1" style="89" min="6" max="6"/>
    <col width="14" customWidth="1" style="89" min="7" max="7"/>
    <col width="2" customWidth="1" style="89" min="8" max="8"/>
  </cols>
  <sheetData>
    <row r="2" ht="19" customHeight="1" s="89">
      <c r="B2" s="96" t="inlineStr">
        <is>
          <t>样板间组合走势看板（20-80 账户）</t>
        </is>
      </c>
    </row>
    <row r="3" ht="14.5" customHeight="1" s="89">
      <c r="B3" s="97">
        <f>"买入持有 · 已扣年化费率 "&amp;TEXT(持仓配置!$M$5,"0.0%")&amp;"（折每日计入净值）"</f>
        <v/>
      </c>
      <c r="E3" s="94">
        <f>"净值日期："&amp;TEXT(LOOKUP(2,1/(组合净值!$E$6:$E$60&lt;&gt;""),组合净值!$A$6:$A$60),"yyyy-mm-dd")</f>
        <v/>
      </c>
    </row>
    <row r="5">
      <c r="B5" s="93" t="inlineStr">
        <is>
          <t>产品业绩表现（历史表现不代表未来收益承诺）</t>
        </is>
      </c>
    </row>
    <row r="6">
      <c r="B6" s="10" t="inlineStr">
        <is>
          <t>最新净值</t>
        </is>
      </c>
      <c r="C6" s="10" t="inlineStr">
        <is>
          <t>累计收益</t>
        </is>
      </c>
      <c r="D6" s="10" t="inlineStr">
        <is>
          <t>年化收益</t>
        </is>
      </c>
      <c r="E6" s="10" t="inlineStr">
        <is>
          <t>年化波动率</t>
        </is>
      </c>
      <c r="F6" s="10" t="inlineStr">
        <is>
          <t>最大回撤</t>
        </is>
      </c>
      <c r="G6" s="10" t="inlineStr">
        <is>
          <t>夏普比率</t>
        </is>
      </c>
    </row>
    <row r="7" ht="28" customHeight="1" s="89">
      <c r="B7" s="120">
        <f>LOOKUP(2,1/(组合净值!$E$6:$E$60&lt;&gt;""),组合净值!$E$6:$E$60)</f>
        <v/>
      </c>
      <c r="C7" s="21">
        <f>(LOOKUP(2,1/(组合净值!$E$6:$E$60&lt;&gt;""),组合净值!$E$6:$E$60))/组合净值!$E$6-1</f>
        <v/>
      </c>
      <c r="D7" s="21">
        <f>(LOOKUP(2,1/(组合净值!$E$6:$E$60&lt;&gt;""),组合净值!$E$6:$E$60)/组合净值!$E$6)^(说明!$C$17/MAX(COUNT(组合净值!$F$6:$F$60),1))-1</f>
        <v/>
      </c>
      <c r="E7" s="22">
        <f>STDEV(组合净值!$F$6:$F$60)*SQRT(说明!$C$17)</f>
        <v/>
      </c>
      <c r="F7" s="21">
        <f>MIN(组合净值!$G$6:$G$60)</f>
        <v/>
      </c>
      <c r="G7" s="23">
        <f>(((LOOKUP(2,1/(组合净值!$E$6:$E$60&lt;&gt;""),组合净值!$E$6:$E$60)/组合净值!$E$6)^(说明!$C$17/MAX(COUNT(组合净值!$F$6:$F$60),1))-1)-说明!$C$16)/IF((STDEV(组合净值!$F$6:$F$60)*SQRT(说明!$C$17))=0,"",(STDEV(组合净值!$F$6:$F$60)*SQRT(说明!$C$17)))</f>
        <v/>
      </c>
    </row>
    <row r="9">
      <c r="B9" s="93" t="inlineStr">
        <is>
          <t>收益表现</t>
        </is>
      </c>
      <c r="E9" s="93" t="inlineStr">
        <is>
          <t>风险特征</t>
        </is>
      </c>
    </row>
    <row r="10">
      <c r="B10" s="29" t="inlineStr">
        <is>
          <t>区间</t>
        </is>
      </c>
      <c r="C10" s="29" t="inlineStr">
        <is>
          <t>累计收益</t>
        </is>
      </c>
      <c r="D10" s="29" t="inlineStr">
        <is>
          <t>年化收益</t>
        </is>
      </c>
      <c r="E10" s="98" t="inlineStr">
        <is>
          <t>指标</t>
        </is>
      </c>
      <c r="F10" s="92" t="n"/>
      <c r="G10" s="29" t="inlineStr">
        <is>
          <t>数值</t>
        </is>
      </c>
    </row>
    <row r="11" ht="22.5" customHeight="1" s="89">
      <c r="B11" s="27" t="inlineStr">
        <is>
          <t>起始以来</t>
        </is>
      </c>
      <c r="C11" s="17">
        <f>IFERROR((LOOKUP(2,1/(组合净值!$E$6:$E$60&lt;&gt;""),组合净值!$E$6:$E$60))/(组合净值!$E$6)-1,"")</f>
        <v/>
      </c>
      <c r="D11" s="17">
        <f>IFERROR((LOOKUP(2,1/(组合净值!$E$6:$E$60&lt;&gt;""),组合净值!$E$6:$E$60)/(组合净值!$E$6))^(说明!$C$17/COUNT(组合净值!$F$6:$F$60))-1,"")</f>
        <v/>
      </c>
      <c r="E11" s="95" t="inlineStr">
        <is>
          <t>最大回撤</t>
        </is>
      </c>
      <c r="F11" s="92" t="n"/>
      <c r="G11" s="17">
        <f>MIN(组合净值!$G$6:$G$60)</f>
        <v/>
      </c>
    </row>
    <row r="12" ht="22.5" customHeight="1" s="89">
      <c r="B12" s="27" t="inlineStr">
        <is>
          <t>2026YTD</t>
        </is>
      </c>
      <c r="C12" s="17">
        <f>IFERROR((LOOKUP(2,1/(组合净值!$E$6:$E$60&lt;&gt;""),组合净值!$E$6:$E$60))/(IFERROR(LOOKUP(DATE(2026,1,1),组合净值!$A$6:$A$60,组合净值!$E$6:$E$60),组合净值!$E$6))-1,"")</f>
        <v/>
      </c>
      <c r="D12" s="17">
        <f>IFERROR((LOOKUP(2,1/(组合净值!$E$6:$E$60&lt;&gt;""),组合净值!$E$6:$E$60)/(IFERROR(LOOKUP(DATE(2026,1,1),组合净值!$A$6:$A$60,组合净值!$E$6:$E$60),组合净值!$E$6)))^(说明!$C$17/MAX(COUNTIF(组合净值!$A$6:$A$60,"&gt;="&amp;(DATE(2026,1,1))),1))-1,"")</f>
        <v/>
      </c>
      <c r="E12" s="95" t="inlineStr">
        <is>
          <t>回撤修复天数(未创新高)</t>
        </is>
      </c>
      <c r="F12" s="92" t="n"/>
      <c r="G12" s="18">
        <f>IFERROR((LOOKUP(2,1/(组合净值!$E$6:$E$60&lt;&gt;""),ROW(组合净值!$E$6:$E$60)))-(LOOKUP(2,1/(组合净值!$G$6:$G$60=0),ROW(组合净值!$G$6:$G$60))),"")</f>
        <v/>
      </c>
    </row>
    <row r="13" ht="22.5" customHeight="1" s="89">
      <c r="B13" s="27" t="inlineStr">
        <is>
          <t>近3个月</t>
        </is>
      </c>
      <c r="C13" s="17">
        <f>IFERROR((LOOKUP(2,1/(组合净值!$E$6:$E$60&lt;&gt;""),组合净值!$E$6:$E$60))/(IFERROR(LOOKUP(EDATE(LOOKUP(2,1/(组合净值!$E$6:$E$60&lt;&gt;""),组合净值!$A$6:$A$60),-3),组合净值!$A$6:$A$60,组合净值!$E$6:$E$60),组合净值!$E$6))-1,"")</f>
        <v/>
      </c>
      <c r="D13" s="17">
        <f>IFERROR((LOOKUP(2,1/(组合净值!$E$6:$E$60&lt;&gt;""),组合净值!$E$6:$E$60)/(IFERROR(LOOKUP(EDATE(LOOKUP(2,1/(组合净值!$E$6:$E$60&lt;&gt;""),组合净值!$A$6:$A$60),-3),组合净值!$A$6:$A$60,组合净值!$E$6:$E$60),组合净值!$E$6)))^(说明!$C$17/MAX(COUNTIF(组合净值!$A$6:$A$60,"&gt;="&amp;(EDATE(LOOKUP(2,1/(组合净值!$E$6:$E$60&lt;&gt;""),组合净值!$A$6:$A$60),-3))),1))-1,"")</f>
        <v/>
      </c>
      <c r="E13" s="95" t="inlineStr">
        <is>
          <t>正收益占比</t>
        </is>
      </c>
      <c r="F13" s="92" t="n"/>
      <c r="G13" s="121">
        <f>COUNTIF(组合净值!$F$6:$F$60,"&gt;0")/MAX(COUNT(组合净值!$F$6:$F$60),1)</f>
        <v/>
      </c>
    </row>
    <row r="14" ht="22.5" customHeight="1" s="89">
      <c r="B14" s="27" t="inlineStr">
        <is>
          <t>近6个月</t>
        </is>
      </c>
      <c r="C14" s="17">
        <f>IFERROR((LOOKUP(2,1/(组合净值!$E$6:$E$60&lt;&gt;""),组合净值!$E$6:$E$60))/(IFERROR(LOOKUP(EDATE(LOOKUP(2,1/(组合净值!$E$6:$E$60&lt;&gt;""),组合净值!$A$6:$A$60),-6),组合净值!$A$6:$A$60,组合净值!$E$6:$E$60),组合净值!$E$6))-1,"")</f>
        <v/>
      </c>
      <c r="D14" s="17">
        <f>IFERROR((LOOKUP(2,1/(组合净值!$E$6:$E$60&lt;&gt;""),组合净值!$E$6:$E$60)/(IFERROR(LOOKUP(EDATE(LOOKUP(2,1/(组合净值!$E$6:$E$60&lt;&gt;""),组合净值!$A$6:$A$60),-6),组合净值!$A$6:$A$60,组合净值!$E$6:$E$60),组合净值!$E$6)))^(说明!$C$17/MAX(COUNTIF(组合净值!$A$6:$A$60,"&gt;="&amp;(EDATE(LOOKUP(2,1/(组合净值!$E$6:$E$60&lt;&gt;""),组合净值!$A$6:$A$60),-6))),1))-1,"")</f>
        <v/>
      </c>
      <c r="E14" s="95" t="inlineStr">
        <is>
          <t>年化波动率</t>
        </is>
      </c>
      <c r="F14" s="92" t="n"/>
      <c r="G14" s="17">
        <f>STDEV(组合净值!$F$6:$F$60)*SQRT(说明!$C$17)</f>
        <v/>
      </c>
    </row>
    <row r="15" ht="22.5" customHeight="1" s="89">
      <c r="B15" s="27" t="inlineStr">
        <is>
          <t>近1年</t>
        </is>
      </c>
      <c r="C15" s="17">
        <f>IFERROR((LOOKUP(2,1/(组合净值!$E$6:$E$60&lt;&gt;""),组合净值!$E$6:$E$60))/(IFERROR(LOOKUP(EDATE(LOOKUP(2,1/(组合净值!$E$6:$E$60&lt;&gt;""),组合净值!$A$6:$A$60),-12),组合净值!$A$6:$A$60,组合净值!$E$6:$E$60),组合净值!$E$6))-1,"")</f>
        <v/>
      </c>
      <c r="D15" s="17">
        <f>IFERROR((LOOKUP(2,1/(组合净值!$E$6:$E$60&lt;&gt;""),组合净值!$E$6:$E$60)/(IFERROR(LOOKUP(EDATE(LOOKUP(2,1/(组合净值!$E$6:$E$60&lt;&gt;""),组合净值!$A$6:$A$60),-12),组合净值!$A$6:$A$60,组合净值!$E$6:$E$60),组合净值!$E$6)))^(说明!$C$17/MAX(COUNTIF(组合净值!$A$6:$A$60,"&gt;="&amp;(EDATE(LOOKUP(2,1/(组合净值!$E$6:$E$60&lt;&gt;""),组合净值!$A$6:$A$60),-12))),1))-1,"")</f>
        <v/>
      </c>
      <c r="E15" s="95" t="inlineStr">
        <is>
          <t>夏普比率</t>
        </is>
      </c>
      <c r="F15" s="92" t="n"/>
      <c r="G15" s="19">
        <f>(((LOOKUP(2,1/(组合净值!$E$6:$E$60&lt;&gt;""),组合净值!$E$6:$E$60)/组合净值!$E$6)^(说明!$C$17/MAX(COUNT(组合净值!$F$6:$F$60),1))-1)-说明!$C$16)/IF((STDEV(组合净值!$F$6:$F$60)*SQRT(说明!$C$17))=0,"",(STDEV(组合净值!$F$6:$F$60)*SQRT(说明!$C$17)))</f>
        <v/>
      </c>
    </row>
    <row r="16" ht="22.5" customHeight="1" s="89">
      <c r="B16" s="20" t="n"/>
      <c r="C16" s="20" t="n"/>
      <c r="D16" s="20" t="n"/>
      <c r="E16" s="95" t="inlineStr">
        <is>
          <t>卡玛比率</t>
        </is>
      </c>
      <c r="F16" s="92" t="n"/>
      <c r="G16" s="19">
        <f>IFERROR(((LOOKUP(2,1/(组合净值!$E$6:$E$60&lt;&gt;""),组合净值!$E$6:$E$60)/组合净值!$E$6)^(说明!$C$17/MAX(COUNT(组合净值!$F$6:$F$60),1))-1)/ABS(MIN(组合净值!$G$6:$G$60)),"")</f>
        <v/>
      </c>
    </row>
    <row r="18">
      <c r="B18" s="93" t="inlineStr">
        <is>
          <t>产品运作情况 · 组合净值曲线</t>
        </is>
      </c>
    </row>
    <row r="35" ht="14.5" customHeight="1" s="89">
      <c r="B35" s="97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  <mergeCell ref="B18:G18"/>
    <mergeCell ref="E3:G3"/>
  </mergeCells>
  <conditionalFormatting sqref="C7:D7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F7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C11:D11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G11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G35"/>
  <sheetViews>
    <sheetView showGridLines="0" topLeftCell="A7" workbookViewId="0">
      <selection activeCell="G11" sqref="G11:G16"/>
    </sheetView>
  </sheetViews>
  <sheetFormatPr baseColWidth="8" defaultRowHeight="14"/>
  <cols>
    <col width="2" customWidth="1" style="89" min="1" max="1"/>
    <col width="14" customWidth="1" style="89" min="2" max="2"/>
    <col width="15.08984375" bestFit="1" customWidth="1" style="89" min="3" max="3"/>
    <col width="17.54296875" bestFit="1" customWidth="1" style="89" min="4" max="4"/>
    <col width="15.81640625" bestFit="1" customWidth="1" style="89" min="5" max="5"/>
    <col width="15.08984375" bestFit="1" customWidth="1" style="89" min="6" max="6"/>
    <col width="14" customWidth="1" style="89" min="7" max="7"/>
    <col width="2" customWidth="1" style="89" min="8" max="8"/>
  </cols>
  <sheetData>
    <row r="2">
      <c r="B2" s="96" t="inlineStr">
        <is>
          <t>样板间组合走势看板（30-70 账户）</t>
        </is>
      </c>
    </row>
    <row r="3" ht="14.5" customHeight="1" s="89">
      <c r="B3" s="97">
        <f>"买入持有 · 已扣年化费率 "&amp;TEXT(持仓配置!$M$6,"0.0%")&amp;"（折每日计入净值）"</f>
        <v/>
      </c>
      <c r="E3" s="94">
        <f>"净值日期："&amp;TEXT(LOOKUP(2,1/(组合净值!$H$6:$H$60&lt;&gt;""),组合净值!$A$6:$A$60),"yyyy-mm-dd")</f>
        <v/>
      </c>
    </row>
    <row r="5">
      <c r="B5" s="93" t="inlineStr">
        <is>
          <t>产品业绩表现（历史表现不代表未来收益承诺）</t>
        </is>
      </c>
    </row>
    <row r="6">
      <c r="B6" s="10" t="inlineStr">
        <is>
          <t>最新净值</t>
        </is>
      </c>
      <c r="C6" s="10" t="inlineStr">
        <is>
          <t>累计收益</t>
        </is>
      </c>
      <c r="D6" s="10" t="inlineStr">
        <is>
          <t>年化收益</t>
        </is>
      </c>
      <c r="E6" s="10" t="inlineStr">
        <is>
          <t>年化波动率</t>
        </is>
      </c>
      <c r="F6" s="10" t="inlineStr">
        <is>
          <t>最大回撤</t>
        </is>
      </c>
      <c r="G6" s="10" t="inlineStr">
        <is>
          <t>夏普比率</t>
        </is>
      </c>
    </row>
    <row r="7" ht="28" customHeight="1" s="89">
      <c r="B7" s="120">
        <f>LOOKUP(2,1/(组合净值!$H$6:$H$60&lt;&gt;""),组合净值!$H$6:$H$60)</f>
        <v/>
      </c>
      <c r="C7" s="21">
        <f>(LOOKUP(2,1/(组合净值!$H$6:$H$60&lt;&gt;""),组合净值!$H$6:$H$60))/组合净值!$H$6-1</f>
        <v/>
      </c>
      <c r="D7" s="21">
        <f>(LOOKUP(2,1/(组合净值!$H$6:$H$60&lt;&gt;""),组合净值!$H$6:$H$60)/组合净值!$H$6)^(说明!$C$17/MAX(COUNT(组合净值!$I$6:$I$60),1))-1</f>
        <v/>
      </c>
      <c r="E7" s="22">
        <f>STDEV(组合净值!$I$6:$I$60)*SQRT(说明!$C$17)</f>
        <v/>
      </c>
      <c r="F7" s="21">
        <f>MIN(组合净值!$J$6:$J$60)</f>
        <v/>
      </c>
      <c r="G7" s="23">
        <f>(((LOOKUP(2,1/(组合净值!$H$6:$H$60&lt;&gt;""),组合净值!$H$6:$H$60)/组合净值!$H$6)^(说明!$C$17/MAX(COUNT(组合净值!$I$6:$I$60),1))-1)-说明!$C$16)/IF((STDEV(组合净值!$I$6:$I$60)*SQRT(说明!$C$17))=0,"",(STDEV(组合净值!$I$6:$I$60)*SQRT(说明!$C$17)))</f>
        <v/>
      </c>
    </row>
    <row r="9">
      <c r="B9" s="93" t="inlineStr">
        <is>
          <t>收益表现</t>
        </is>
      </c>
      <c r="E9" s="93" t="inlineStr">
        <is>
          <t>风险特征</t>
        </is>
      </c>
    </row>
    <row r="10" ht="22.5" customHeight="1" s="89">
      <c r="B10" s="29" t="inlineStr">
        <is>
          <t>区间</t>
        </is>
      </c>
      <c r="C10" s="29" t="inlineStr">
        <is>
          <t>累计收益</t>
        </is>
      </c>
      <c r="D10" s="29" t="inlineStr">
        <is>
          <t>年化收益</t>
        </is>
      </c>
      <c r="E10" s="98" t="inlineStr">
        <is>
          <t>指标</t>
        </is>
      </c>
      <c r="F10" s="92" t="n"/>
      <c r="G10" s="29" t="inlineStr">
        <is>
          <t>数值</t>
        </is>
      </c>
    </row>
    <row r="11" ht="22.5" customHeight="1" s="89">
      <c r="B11" s="27" t="inlineStr">
        <is>
          <t>起始以来</t>
        </is>
      </c>
      <c r="C11" s="17">
        <f>IFERROR((LOOKUP(2,1/(组合净值!$H$6:$H$60&lt;&gt;""),组合净值!$H$6:$H$60))/(组合净值!$H$6)-1,"")</f>
        <v/>
      </c>
      <c r="D11" s="17">
        <f>IFERROR((LOOKUP(2,1/(组合净值!$H$6:$H$60&lt;&gt;""),组合净值!$H$6:$H$60)/(组合净值!$H$6))^(说明!$C$17/COUNT(组合净值!$I$6:$I$60))-1,"")</f>
        <v/>
      </c>
      <c r="E11" s="95" t="inlineStr">
        <is>
          <t>最大回撤</t>
        </is>
      </c>
      <c r="F11" s="92" t="n"/>
      <c r="G11" s="17">
        <f>MIN(组合净值!$J$6:$J$60)</f>
        <v/>
      </c>
    </row>
    <row r="12" ht="22.5" customHeight="1" s="89">
      <c r="B12" s="27" t="inlineStr">
        <is>
          <t>2026YTD</t>
        </is>
      </c>
      <c r="C12" s="17">
        <f>IFERROR((LOOKUP(2,1/(组合净值!$H$6:$H$60&lt;&gt;""),组合净值!$H$6:$H$60))/(IFERROR(LOOKUP(DATE(2026,1,1),组合净值!$A$6:$A$60,组合净值!$H$6:$H$60),组合净值!$H$6))-1,"")</f>
        <v/>
      </c>
      <c r="D12" s="17">
        <f>IFERROR((LOOKUP(2,1/(组合净值!$H$6:$H$60&lt;&gt;""),组合净值!$H$6:$H$60)/(IFERROR(LOOKUP(DATE(2026,1,1),组合净值!$A$6:$A$60,组合净值!$H$6:$H$60),组合净值!$H$6)))^(说明!$C$17/MAX(COUNTIF(组合净值!$A$6:$A$60,"&gt;="&amp;(DATE(2026,1,1))),1))-1,"")</f>
        <v/>
      </c>
      <c r="E12" s="95" t="inlineStr">
        <is>
          <t>回撤修复天数(未创新高)</t>
        </is>
      </c>
      <c r="F12" s="92" t="n"/>
      <c r="G12" s="18">
        <f>IFERROR((LOOKUP(2,1/(组合净值!$H$6:$H$60&lt;&gt;""),ROW(组合净值!$H$6:$H$60)))-(LOOKUP(2,1/(组合净值!$J$6:$J$60=0),ROW(组合净值!$J$6:$J$60))),"")</f>
        <v/>
      </c>
    </row>
    <row r="13" ht="22.5" customHeight="1" s="89">
      <c r="B13" s="27" t="inlineStr">
        <is>
          <t>近3个月</t>
        </is>
      </c>
      <c r="C13" s="17">
        <f>IFERROR((LOOKUP(2,1/(组合净值!$H$6:$H$60&lt;&gt;""),组合净值!$H$6:$H$60))/(IFERROR(LOOKUP(EDATE(LOOKUP(2,1/(组合净值!$H$6:$H$60&lt;&gt;""),组合净值!$A$6:$A$60),-3),组合净值!$A$6:$A$60,组合净值!$H$6:$H$60),组合净值!$H$6))-1,"")</f>
        <v/>
      </c>
      <c r="D13" s="17">
        <f>IFERROR((LOOKUP(2,1/(组合净值!$H$6:$H$60&lt;&gt;""),组合净值!$H$6:$H$60)/(IFERROR(LOOKUP(EDATE(LOOKUP(2,1/(组合净值!$H$6:$H$60&lt;&gt;""),组合净值!$A$6:$A$60),-3),组合净值!$A$6:$A$60,组合净值!$H$6:$H$60),组合净值!$H$6)))^(说明!$C$17/MAX(COUNTIF(组合净值!$A$6:$A$60,"&gt;="&amp;(EDATE(LOOKUP(2,1/(组合净值!$H$6:$H$60&lt;&gt;""),组合净值!$A$6:$A$60),-3))),1))-1,"")</f>
        <v/>
      </c>
      <c r="E13" s="95" t="inlineStr">
        <is>
          <t>正收益占比</t>
        </is>
      </c>
      <c r="F13" s="92" t="n"/>
      <c r="G13" s="121">
        <f>COUNTIF(组合净值!$I$6:$I$60,"&gt;0")/MAX(COUNT(组合净值!$I$6:$I$60),1)</f>
        <v/>
      </c>
    </row>
    <row r="14" ht="22.5" customHeight="1" s="89">
      <c r="B14" s="27" t="inlineStr">
        <is>
          <t>近6个月</t>
        </is>
      </c>
      <c r="C14" s="17">
        <f>IFERROR((LOOKUP(2,1/(组合净值!$H$6:$H$60&lt;&gt;""),组合净值!$H$6:$H$60))/(IFERROR(LOOKUP(EDATE(LOOKUP(2,1/(组合净值!$H$6:$H$60&lt;&gt;""),组合净值!$A$6:$A$60),-6),组合净值!$A$6:$A$60,组合净值!$H$6:$H$60),组合净值!$H$6))-1,"")</f>
        <v/>
      </c>
      <c r="D14" s="17">
        <f>IFERROR((LOOKUP(2,1/(组合净值!$H$6:$H$60&lt;&gt;""),组合净值!$H$6:$H$60)/(IFERROR(LOOKUP(EDATE(LOOKUP(2,1/(组合净值!$H$6:$H$60&lt;&gt;""),组合净值!$A$6:$A$60),-6),组合净值!$A$6:$A$60,组合净值!$H$6:$H$60),组合净值!$H$6)))^(说明!$C$17/MAX(COUNTIF(组合净值!$A$6:$A$60,"&gt;="&amp;(EDATE(LOOKUP(2,1/(组合净值!$H$6:$H$60&lt;&gt;""),组合净值!$A$6:$A$60),-6))),1))-1,"")</f>
        <v/>
      </c>
      <c r="E14" s="95" t="inlineStr">
        <is>
          <t>年化波动率</t>
        </is>
      </c>
      <c r="F14" s="92" t="n"/>
      <c r="G14" s="17">
        <f>STDEV(组合净值!$I$6:$I$60)*SQRT(说明!$C$17)</f>
        <v/>
      </c>
    </row>
    <row r="15" ht="22.5" customHeight="1" s="89">
      <c r="B15" s="27" t="inlineStr">
        <is>
          <t>近1年</t>
        </is>
      </c>
      <c r="C15" s="17">
        <f>IFERROR((LOOKUP(2,1/(组合净值!$H$6:$H$60&lt;&gt;""),组合净值!$H$6:$H$60))/(IFERROR(LOOKUP(EDATE(LOOKUP(2,1/(组合净值!$H$6:$H$60&lt;&gt;""),组合净值!$A$6:$A$60),-12),组合净值!$A$6:$A$60,组合净值!$H$6:$H$60),组合净值!$H$6))-1,"")</f>
        <v/>
      </c>
      <c r="D15" s="17">
        <f>IFERROR((LOOKUP(2,1/(组合净值!$H$6:$H$60&lt;&gt;""),组合净值!$H$6:$H$60)/(IFERROR(LOOKUP(EDATE(LOOKUP(2,1/(组合净值!$H$6:$H$60&lt;&gt;""),组合净值!$A$6:$A$60),-12),组合净值!$A$6:$A$60,组合净值!$H$6:$H$60),组合净值!$H$6)))^(说明!$C$17/MAX(COUNTIF(组合净值!$A$6:$A$60,"&gt;="&amp;(EDATE(LOOKUP(2,1/(组合净值!$H$6:$H$60&lt;&gt;""),组合净值!$A$6:$A$60),-12))),1))-1,"")</f>
        <v/>
      </c>
      <c r="E15" s="95" t="inlineStr">
        <is>
          <t>夏普比率</t>
        </is>
      </c>
      <c r="F15" s="92" t="n"/>
      <c r="G15" s="19">
        <f>(((LOOKUP(2,1/(组合净值!$H$6:$H$60&lt;&gt;""),组合净值!$H$6:$H$60)/组合净值!$H$6)^(说明!$C$17/MAX(COUNT(组合净值!$I$6:$I$60),1))-1)-说明!$C$16)/IF((STDEV(组合净值!$I$6:$I$60)*SQRT(说明!$C$17))=0,"",(STDEV(组合净值!$I$6:$I$60)*SQRT(说明!$C$17)))</f>
        <v/>
      </c>
    </row>
    <row r="16" ht="22.5" customHeight="1" s="89">
      <c r="B16" s="20" t="n"/>
      <c r="C16" s="20" t="n"/>
      <c r="D16" s="20" t="n"/>
      <c r="E16" s="95" t="inlineStr">
        <is>
          <t>卡玛比率</t>
        </is>
      </c>
      <c r="F16" s="92" t="n"/>
      <c r="G16" s="19">
        <f>IFERROR(((LOOKUP(2,1/(组合净值!$H$6:$H$60&lt;&gt;""),组合净值!$H$6:$H$60)/组合净值!$H$6)^(说明!$C$17/MAX(COUNT(组合净值!$I$6:$I$60),1))-1)/ABS(MIN(组合净值!$J$6:$J$60)),"")</f>
        <v/>
      </c>
    </row>
    <row r="18">
      <c r="B18" s="93" t="inlineStr">
        <is>
          <t>产品运作情况 · 组合净值曲线</t>
        </is>
      </c>
    </row>
    <row r="35" ht="14.5" customHeight="1" s="89">
      <c r="B35" s="97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  <mergeCell ref="B18:G18"/>
    <mergeCell ref="E3:G3"/>
  </mergeCells>
  <conditionalFormatting sqref="C7:D7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F7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C11:D11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G11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G35"/>
  <sheetViews>
    <sheetView showGridLines="0" workbookViewId="0">
      <selection activeCell="L15" sqref="L15"/>
    </sheetView>
  </sheetViews>
  <sheetFormatPr baseColWidth="8" defaultRowHeight="14"/>
  <cols>
    <col width="2" customWidth="1" style="89" min="1" max="1"/>
    <col width="14" customWidth="1" style="89" min="2" max="2"/>
    <col width="15.08984375" bestFit="1" customWidth="1" style="89" min="3" max="3"/>
    <col width="20.7265625" bestFit="1" customWidth="1" style="89" min="4" max="4"/>
    <col width="15.81640625" bestFit="1" customWidth="1" style="89" min="5" max="5"/>
    <col width="17.54296875" bestFit="1" customWidth="1" style="89" min="6" max="6"/>
    <col width="14" customWidth="1" style="89" min="7" max="7"/>
    <col width="2" customWidth="1" style="89" min="8" max="8"/>
  </cols>
  <sheetData>
    <row r="2" ht="20.5" customHeight="1" s="89">
      <c r="B2" s="96" t="inlineStr">
        <is>
          <t>样板间组合走势看板（增值组合）</t>
        </is>
      </c>
    </row>
    <row r="3" ht="14.5" customHeight="1" s="89">
      <c r="B3" s="97">
        <f>"买入持有 · 已扣年化费率 "&amp;TEXT(持仓配置!$M$7,"0.0%")&amp;"（折每日计入净值）"</f>
        <v/>
      </c>
      <c r="E3" s="94">
        <f>"净值日期："&amp;TEXT(LOOKUP(2,1/(组合净值!$K$6:$K$60&lt;&gt;""),组合净值!$A$6:$A$60),"yyyy-mm-dd")</f>
        <v/>
      </c>
    </row>
    <row r="5">
      <c r="B5" s="93" t="inlineStr">
        <is>
          <t>产品业绩表现（历史表现不代表未来收益承诺）</t>
        </is>
      </c>
    </row>
    <row r="6">
      <c r="B6" s="10" t="inlineStr">
        <is>
          <t>最新净值</t>
        </is>
      </c>
      <c r="C6" s="10" t="inlineStr">
        <is>
          <t>累计收益</t>
        </is>
      </c>
      <c r="D6" s="10" t="inlineStr">
        <is>
          <t>年化收益</t>
        </is>
      </c>
      <c r="E6" s="10" t="inlineStr">
        <is>
          <t>年化波动率</t>
        </is>
      </c>
      <c r="F6" s="10" t="inlineStr">
        <is>
          <t>最大回撤</t>
        </is>
      </c>
      <c r="G6" s="10" t="inlineStr">
        <is>
          <t>夏普比率</t>
        </is>
      </c>
    </row>
    <row r="7" ht="28" customHeight="1" s="89">
      <c r="B7" s="120">
        <f>LOOKUP(2,1/(组合净值!$K$6:$K$60&lt;&gt;""),组合净值!$K$6:$K$60)</f>
        <v/>
      </c>
      <c r="C7" s="21">
        <f>(LOOKUP(2,1/(组合净值!$K$6:$K$60&lt;&gt;""),组合净值!$K$6:$K$60))/组合净值!$K$6-1</f>
        <v/>
      </c>
      <c r="D7" s="21">
        <f>(LOOKUP(2,1/(组合净值!$K$6:$K$60&lt;&gt;""),组合净值!$K$6:$K$60)/组合净值!$K$6)^(说明!$C$17/MAX(COUNT(组合净值!$L$6:$L$60),1))-1</f>
        <v/>
      </c>
      <c r="E7" s="22">
        <f>STDEV(组合净值!$L$6:$L$60)*SQRT(说明!$C$17)</f>
        <v/>
      </c>
      <c r="F7" s="21">
        <f>MIN(组合净值!$M$6:$M$60)</f>
        <v/>
      </c>
      <c r="G7" s="23">
        <f>(((LOOKUP(2,1/(组合净值!$K$6:$K$60&lt;&gt;""),组合净值!$K$6:$K$60)/组合净值!$K$6)^(说明!$C$17/MAX(COUNT(组合净值!$L$6:$L$60),1))-1)-说明!$C$16)/IF((STDEV(组合净值!$L$6:$L$60)*SQRT(说明!$C$17))=0,"",(STDEV(组合净值!$L$6:$L$60)*SQRT(说明!$C$17)))</f>
        <v/>
      </c>
    </row>
    <row r="9">
      <c r="B9" s="93" t="inlineStr">
        <is>
          <t>收益表现</t>
        </is>
      </c>
      <c r="E9" s="93" t="inlineStr">
        <is>
          <t>风险特征</t>
        </is>
      </c>
    </row>
    <row r="10">
      <c r="B10" s="29" t="inlineStr">
        <is>
          <t>区间</t>
        </is>
      </c>
      <c r="C10" s="29" t="inlineStr">
        <is>
          <t>累计收益</t>
        </is>
      </c>
      <c r="D10" s="29" t="inlineStr">
        <is>
          <t>年化收益</t>
        </is>
      </c>
      <c r="E10" s="98" t="inlineStr">
        <is>
          <t>指标</t>
        </is>
      </c>
      <c r="F10" s="92" t="n"/>
      <c r="G10" s="29" t="inlineStr">
        <is>
          <t>数值</t>
        </is>
      </c>
    </row>
    <row r="11" ht="22.5" customHeight="1" s="89">
      <c r="B11" s="27" t="inlineStr">
        <is>
          <t>起始以来</t>
        </is>
      </c>
      <c r="C11" s="17">
        <f>IFERROR((LOOKUP(2,1/(组合净值!$K$6:$K$60&lt;&gt;""),组合净值!$K$6:$K$60))/(组合净值!$K$6)-1,"")</f>
        <v/>
      </c>
      <c r="D11" s="17">
        <f>IFERROR((LOOKUP(2,1/(组合净值!$K$6:$K$60&lt;&gt;""),组合净值!$K$6:$K$60)/(组合净值!$K$6))^(说明!$C$17/COUNT(组合净值!$L$6:$L$60))-1,"")</f>
        <v/>
      </c>
      <c r="E11" s="95" t="inlineStr">
        <is>
          <t>最大回撤</t>
        </is>
      </c>
      <c r="F11" s="92" t="n"/>
      <c r="G11" s="17">
        <f>MIN(组合净值!$M$6:$M$60)</f>
        <v/>
      </c>
    </row>
    <row r="12" ht="22.5" customHeight="1" s="89">
      <c r="B12" s="27" t="inlineStr">
        <is>
          <t>2026YTD</t>
        </is>
      </c>
      <c r="C12" s="17">
        <f>IFERROR((LOOKUP(2,1/(组合净值!$K$6:$K$60&lt;&gt;""),组合净值!$K$6:$K$60))/(IFERROR(LOOKUP(DATE(2026,1,1),组合净值!$A$6:$A$60,组合净值!$K$6:$K$60),组合净值!$K$6))-1,"")</f>
        <v/>
      </c>
      <c r="D12" s="17">
        <f>IFERROR((LOOKUP(2,1/(组合净值!$K$6:$K$60&lt;&gt;""),组合净值!$K$6:$K$60)/(IFERROR(LOOKUP(DATE(2026,1,1),组合净值!$A$6:$A$60,组合净值!$K$6:$K$60),组合净值!$K$6)))^(说明!$C$17/MAX(COUNTIF(组合净值!$A$6:$A$60,"&gt;="&amp;(DATE(2026,1,1))),1))-1,"")</f>
        <v/>
      </c>
      <c r="E12" s="95" t="inlineStr">
        <is>
          <t>回撤修复天数(未创新高)</t>
        </is>
      </c>
      <c r="F12" s="92" t="n"/>
      <c r="G12" s="18">
        <f>IFERROR((LOOKUP(2,1/(组合净值!$K$6:$K$60&lt;&gt;""),ROW(组合净值!$K$6:$K$60)))-(LOOKUP(2,1/(组合净值!$M$6:$M$60=0),ROW(组合净值!$M$6:$M$60))),"")</f>
        <v/>
      </c>
    </row>
    <row r="13" ht="22.5" customHeight="1" s="89">
      <c r="B13" s="27" t="inlineStr">
        <is>
          <t>近3个月</t>
        </is>
      </c>
      <c r="C13" s="17">
        <f>IFERROR((LOOKUP(2,1/(组合净值!$K$6:$K$60&lt;&gt;""),组合净值!$K$6:$K$60))/(IFERROR(LOOKUP(EDATE(LOOKUP(2,1/(组合净值!$K$6:$K$60&lt;&gt;""),组合净值!$A$6:$A$60),-3),组合净值!$A$6:$A$60,组合净值!$K$6:$K$60),组合净值!$K$6))-1,"")</f>
        <v/>
      </c>
      <c r="D13" s="17">
        <f>IFERROR((LOOKUP(2,1/(组合净值!$K$6:$K$60&lt;&gt;""),组合净值!$K$6:$K$60)/(IFERROR(LOOKUP(EDATE(LOOKUP(2,1/(组合净值!$K$6:$K$60&lt;&gt;""),组合净值!$A$6:$A$60),-3),组合净值!$A$6:$A$60,组合净值!$K$6:$K$60),组合净值!$K$6)))^(说明!$C$17/MAX(COUNTIF(组合净值!$A$6:$A$60,"&gt;="&amp;(EDATE(LOOKUP(2,1/(组合净值!$K$6:$K$60&lt;&gt;""),组合净值!$A$6:$A$60),-3))),1))-1,"")</f>
        <v/>
      </c>
      <c r="E13" s="95" t="inlineStr">
        <is>
          <t>正收益占比</t>
        </is>
      </c>
      <c r="F13" s="92" t="n"/>
      <c r="G13" s="121">
        <f>COUNTIF(组合净值!$L$6:$L$60,"&gt;0")/MAX(COUNT(组合净值!$L$6:$L$60),1)</f>
        <v/>
      </c>
    </row>
    <row r="14" ht="22.5" customHeight="1" s="89">
      <c r="B14" s="27" t="inlineStr">
        <is>
          <t>近6个月</t>
        </is>
      </c>
      <c r="C14" s="17">
        <f>IFERROR((LOOKUP(2,1/(组合净值!$K$6:$K$60&lt;&gt;""),组合净值!$K$6:$K$60))/(IFERROR(LOOKUP(EDATE(LOOKUP(2,1/(组合净值!$K$6:$K$60&lt;&gt;""),组合净值!$A$6:$A$60),-6),组合净值!$A$6:$A$60,组合净值!$K$6:$K$60),组合净值!$K$6))-1,"")</f>
        <v/>
      </c>
      <c r="D14" s="17">
        <f>IFERROR((LOOKUP(2,1/(组合净值!$K$6:$K$60&lt;&gt;""),组合净值!$K$6:$K$60)/(IFERROR(LOOKUP(EDATE(LOOKUP(2,1/(组合净值!$K$6:$K$60&lt;&gt;""),组合净值!$A$6:$A$60),-6),组合净值!$A$6:$A$60,组合净值!$K$6:$K$60),组合净值!$K$6)))^(说明!$C$17/MAX(COUNTIF(组合净值!$A$6:$A$60,"&gt;="&amp;(EDATE(LOOKUP(2,1/(组合净值!$K$6:$K$60&lt;&gt;""),组合净值!$A$6:$A$60),-6))),1))-1,"")</f>
        <v/>
      </c>
      <c r="E14" s="95" t="inlineStr">
        <is>
          <t>年化波动率</t>
        </is>
      </c>
      <c r="F14" s="92" t="n"/>
      <c r="G14" s="17">
        <f>STDEV(组合净值!$L$6:$L$60)*SQRT(说明!$C$17)</f>
        <v/>
      </c>
    </row>
    <row r="15" ht="22.5" customHeight="1" s="89">
      <c r="B15" s="27" t="inlineStr">
        <is>
          <t>近1年</t>
        </is>
      </c>
      <c r="C15" s="17">
        <f>IFERROR((LOOKUP(2,1/(组合净值!$K$6:$K$60&lt;&gt;""),组合净值!$K$6:$K$60))/(IFERROR(LOOKUP(EDATE(LOOKUP(2,1/(组合净值!$K$6:$K$60&lt;&gt;""),组合净值!$A$6:$A$60),-12),组合净值!$A$6:$A$60,组合净值!$K$6:$K$60),组合净值!$K$6))-1,"")</f>
        <v/>
      </c>
      <c r="D15" s="17">
        <f>IFERROR((LOOKUP(2,1/(组合净值!$K$6:$K$60&lt;&gt;""),组合净值!$K$6:$K$60)/(IFERROR(LOOKUP(EDATE(LOOKUP(2,1/(组合净值!$K$6:$K$60&lt;&gt;""),组合净值!$A$6:$A$60),-12),组合净值!$A$6:$A$60,组合净值!$K$6:$K$60),组合净值!$K$6)))^(说明!$C$17/MAX(COUNTIF(组合净值!$A$6:$A$60,"&gt;="&amp;(EDATE(LOOKUP(2,1/(组合净值!$K$6:$K$60&lt;&gt;""),组合净值!$A$6:$A$60),-12))),1))-1,"")</f>
        <v/>
      </c>
      <c r="E15" s="95" t="inlineStr">
        <is>
          <t>夏普比率</t>
        </is>
      </c>
      <c r="F15" s="92" t="n"/>
      <c r="G15" s="19">
        <f>(((LOOKUP(2,1/(组合净值!$K$6:$K$60&lt;&gt;""),组合净值!$K$6:$K$60)/组合净值!$K$6)^(说明!$C$17/MAX(COUNT(组合净值!$L$6:$L$60),1))-1)-说明!$C$16)/IF((STDEV(组合净值!$L$6:$L$60)*SQRT(说明!$C$17))=0,"",(STDEV(组合净值!$L$6:$L$60)*SQRT(说明!$C$17)))</f>
        <v/>
      </c>
    </row>
    <row r="16" ht="22.5" customHeight="1" s="89">
      <c r="B16" s="20" t="n"/>
      <c r="C16" s="20" t="n"/>
      <c r="D16" s="20" t="n"/>
      <c r="E16" s="95" t="inlineStr">
        <is>
          <t>卡玛比率</t>
        </is>
      </c>
      <c r="F16" s="92" t="n"/>
      <c r="G16" s="19">
        <f>IFERROR(((LOOKUP(2,1/(组合净值!$K$6:$K$60&lt;&gt;""),组合净值!$K$6:$K$60)/组合净值!$K$6)^(说明!$C$17/MAX(COUNT(组合净值!$L$6:$L$60),1))-1)/ABS(MIN(组合净值!$M$6:$M$60)),"")</f>
        <v/>
      </c>
    </row>
    <row r="18">
      <c r="B18" s="93" t="inlineStr">
        <is>
          <t>产品运作情况 · 组合净值曲线</t>
        </is>
      </c>
    </row>
    <row r="35" ht="14.5" customHeight="1" s="89">
      <c r="B35" s="97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  <mergeCell ref="B18:G18"/>
    <mergeCell ref="E3:G3"/>
  </mergeCells>
  <conditionalFormatting sqref="C7:D7">
    <cfRule type="cellIs" priority="7" operator="lessThan" dxfId="1">
      <formula>0</formula>
    </cfRule>
    <cfRule type="cellIs" priority="8" operator="greaterThan" dxfId="0">
      <formula>0</formula>
    </cfRule>
  </conditionalFormatting>
  <conditionalFormatting sqref="F7"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C11:D11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G11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C20" sqref="C20"/>
    </sheetView>
  </sheetViews>
  <sheetFormatPr baseColWidth="8" defaultRowHeight="14"/>
  <cols>
    <col width="2" customWidth="1" style="89" min="1" max="1"/>
    <col width="26" customWidth="1" style="89" min="2" max="2"/>
    <col width="15" customWidth="1" style="89" min="3" max="8"/>
  </cols>
  <sheetData>
    <row r="2" ht="23" customHeight="1" s="89">
      <c r="B2" s="1" t="inlineStr">
        <is>
          <t>样板间投顾组合 · 净值监控模板</t>
        </is>
      </c>
    </row>
    <row r="3" ht="14.5" customHeight="1" s="89">
      <c r="B3" s="97" t="inlineStr">
        <is>
          <t>运作起始日 2026/6/1 ｜ 净值口径：复权单位净值(iFinD) ｜ 模拟：买入持有(权重漂移)</t>
        </is>
      </c>
    </row>
    <row r="5" ht="15.5" customHeight="1" s="89">
      <c r="B5" s="13" t="inlineStr">
        <is>
          <t>一、模板结构</t>
        </is>
      </c>
    </row>
    <row r="6" ht="16.5" customHeight="1" s="89">
      <c r="B6" s="14" t="inlineStr">
        <is>
          <t>持仓配置</t>
        </is>
      </c>
      <c r="C6" s="99" t="inlineStr">
        <is>
          <t>四组合(10-90/20-80/30-70/增值)成份基金、代码与初始权重，可直接编辑。</t>
        </is>
      </c>
    </row>
    <row r="7" ht="25.5" customHeight="1" s="89">
      <c r="B7" s="14" t="inlineStr">
        <is>
          <t>净值数据(iFinD公式)</t>
        </is>
      </c>
      <c r="C7" s="99" t="inlineStr">
        <is>
          <t>同花顺公式拉取复权单位净值</t>
        </is>
      </c>
    </row>
    <row r="8" ht="16.5" customHeight="1" s="89">
      <c r="B8" s="14" t="inlineStr">
        <is>
          <t>组合净值</t>
        </is>
      </c>
      <c r="C8" s="99" t="inlineStr">
        <is>
          <t>按买入持有逐日计算四组合净值、日收益与回撤；净值已按年化费率折每日扣费(扣费后口径)。</t>
        </is>
      </c>
    </row>
    <row r="9" ht="28" customHeight="1" s="89">
      <c r="B9" s="14" t="inlineStr">
        <is>
          <t>看板-10/20/30/增值</t>
        </is>
      </c>
      <c r="C9" s="99" t="inlineStr">
        <is>
          <t>业绩表现KPI＋收益表现＋风险特征＋净值曲线。增值组合为8只权益基金、无债无黄金。</t>
        </is>
      </c>
    </row>
    <row r="10" ht="16.5" customHeight="1" s="89">
      <c r="B10" s="15" t="n"/>
      <c r="C10" s="16" t="n"/>
      <c r="D10" s="16" t="n"/>
      <c r="E10" s="16" t="n"/>
      <c r="F10" s="16" t="n"/>
      <c r="G10" s="16" t="n"/>
      <c r="H10" s="16" t="n"/>
    </row>
    <row r="11" ht="16.5" customHeight="1" s="89">
      <c r="B11" s="13" t="inlineStr">
        <is>
          <t>二、使用说明</t>
        </is>
      </c>
      <c r="C11" s="16" t="n"/>
      <c r="D11" s="16" t="n"/>
      <c r="E11" s="16" t="n"/>
      <c r="F11" s="16" t="n"/>
      <c r="G11" s="16" t="n"/>
      <c r="H11" s="16" t="n"/>
    </row>
    <row r="12" ht="16.5" customHeight="1" s="89">
      <c r="B12" s="14" t="inlineStr">
        <is>
          <t>每日更新</t>
        </is>
      </c>
      <c r="C12" s="99" t="inlineStr">
        <is>
          <t>在『净值数据』『组合净值』底部按日期顺序新增一行(公式可下拉)，看板自动刷新。</t>
        </is>
      </c>
    </row>
    <row r="13" ht="16.5" customHeight="1" s="89">
      <c r="B13" s="14" t="inlineStr">
        <is>
          <t>iFinD指标</t>
        </is>
      </c>
      <c r="C13" s="99" t="inlineStr">
        <is>
          <t>复权净值指标代码集中在『净值数据』B2，与本地版本不符时只改此处。</t>
        </is>
      </c>
    </row>
    <row r="14" ht="16.5" customHeight="1" s="89">
      <c r="B14" s="14" t="inlineStr">
        <is>
          <t>买入持有口径</t>
        </is>
      </c>
      <c r="C14" s="99" t="inlineStr">
        <is>
          <t>起始日按初始权重买入后持有，权重随涨跌漂移；组合起始净值=1.0000。</t>
        </is>
      </c>
    </row>
    <row r="15" ht="14.5" customHeight="1" s="89">
      <c r="B15" s="14" t="inlineStr">
        <is>
          <t>扣费方式</t>
        </is>
      </c>
      <c r="C15" s="25" t="inlineStr">
        <is>
          <t>各组合年化费率见『持仓配置』M列(10-90=0.8%/20-80=1.0%/30-70=1.2%/增值=1.0%)；按 净值×(1-费率)^(已运作交易日数/年化交易日数) 折每日计入，看板均为扣费后口径。</t>
        </is>
      </c>
    </row>
    <row r="16">
      <c r="B16" s="14" t="inlineStr">
        <is>
          <t>参数：无风险利率(年化)</t>
        </is>
      </c>
      <c r="C16" s="122" t="n">
        <v>0</v>
      </c>
    </row>
    <row r="17">
      <c r="B17" s="14" t="inlineStr">
        <is>
          <t>参数：年化交易日数</t>
        </is>
      </c>
      <c r="C17" s="24" t="n">
        <v>242</v>
      </c>
    </row>
    <row r="18" ht="14.5" customHeight="1" s="89">
      <c r="B18" s="14" t="inlineStr">
        <is>
          <t>净值曲线</t>
        </is>
      </c>
      <c r="C18" s="25" t="inlineStr">
        <is>
          <t>四看板曲线已改用动态命名区域(chtDate/chtB/chtE/chtH/chtK，OFFSET+COUNT)，新增交易日后自动延伸到最新，无需手动改图表数据区。</t>
        </is>
      </c>
    </row>
    <row r="19" ht="14.5" customHeight="1" s="89">
      <c r="B19" s="12" t="inlineStr">
        <is>
          <t>数据来源：同花顺 iFinD(复权单位净值)</t>
        </is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B1:P21"/>
  <sheetViews>
    <sheetView tabSelected="1" workbookViewId="0">
      <selection activeCell="G12" sqref="G12"/>
    </sheetView>
  </sheetViews>
  <sheetFormatPr baseColWidth="8" defaultRowHeight="14"/>
  <cols>
    <col width="21.08984375" bestFit="1" customWidth="1" style="89" min="2" max="2"/>
    <col width="10.54296875" customWidth="1" style="89" min="3" max="3"/>
    <col width="12.26953125" customWidth="1" style="89" min="4" max="4"/>
    <col width="37.26953125" customWidth="1" style="89" min="5" max="5"/>
    <col width="21.08984375" bestFit="1" customWidth="1" style="89" min="6" max="6"/>
    <col width="14.08984375" bestFit="1" customWidth="1" style="89" min="7" max="7"/>
    <col width="10.26953125" bestFit="1" customWidth="1" style="89" min="8" max="8"/>
    <col width="11" customWidth="1" style="89" min="9" max="9"/>
    <col width="11" customWidth="1" style="89" min="10" max="10"/>
    <col width="11" customWidth="1" style="89" min="11" max="11"/>
    <col width="11.36328125" customWidth="1" style="89" min="12" max="12"/>
    <col width="33.08984375" customWidth="1" style="89" min="13" max="13"/>
    <col width="12" customWidth="1" style="89" min="14" max="14"/>
    <col width="11.7265625" customWidth="1" style="89" min="15" max="15"/>
  </cols>
  <sheetData>
    <row r="1">
      <c r="F1" s="72" t="n">
        <v>46171</v>
      </c>
      <c r="G1" s="72" t="n">
        <v>46191</v>
      </c>
      <c r="N1" t="inlineStr">
        <is>
          <t>10-90</t>
        </is>
      </c>
      <c r="P1" t="inlineStr">
        <is>
          <t>30-70</t>
        </is>
      </c>
    </row>
    <row r="2">
      <c r="F2" s="72" t="n">
        <v>46174</v>
      </c>
      <c r="G2" s="72" t="n">
        <v>46195</v>
      </c>
      <c r="H2" s="11" t="n">
        <v>46174</v>
      </c>
      <c r="N2">
        <f>VLOOKUP(F1,组合净值!A:M,2,0)</f>
        <v/>
      </c>
      <c r="O2">
        <f>VLOOKUP(G1,实盘组合净值!A:S,14,0)</f>
        <v/>
      </c>
      <c r="P2">
        <f>VLOOKUP(F1,组合净值!A:M,8,0)</f>
        <v/>
      </c>
    </row>
    <row r="3">
      <c r="F3" s="72" t="n">
        <v>46203</v>
      </c>
      <c r="G3" s="72">
        <f>F3</f>
        <v/>
      </c>
      <c r="H3" s="11" t="n">
        <v>46199</v>
      </c>
      <c r="N3">
        <f>VLOOKUP(F3,组合净值!A:M,2,0)</f>
        <v/>
      </c>
      <c r="O3">
        <f>VLOOKUP(G3,实盘组合净值!A:S,14,0)</f>
        <v/>
      </c>
      <c r="P3">
        <f>VLOOKUP(F3,组合净值!A:M,8,0)</f>
        <v/>
      </c>
    </row>
    <row r="4" ht="21" customHeight="1" s="89">
      <c r="B4" s="47" t="n"/>
      <c r="C4" s="63" t="inlineStr">
        <is>
          <t>权益中枢</t>
        </is>
      </c>
      <c r="D4" s="48" t="inlineStr">
        <is>
          <t>列2</t>
        </is>
      </c>
      <c r="E4" s="63" t="inlineStr">
        <is>
          <t>组合/基金</t>
        </is>
      </c>
      <c r="F4" s="64" t="inlineStr">
        <is>
          <t>6月以来（截止630）</t>
        </is>
      </c>
      <c r="G4" s="64" t="inlineStr">
        <is>
          <t>6.18上线以来</t>
        </is>
      </c>
      <c r="H4" s="123" t="inlineStr">
        <is>
          <t>最大回撤</t>
        </is>
      </c>
      <c r="I4" s="124" t="inlineStr">
        <is>
          <t>年化波动率</t>
        </is>
      </c>
      <c r="J4" s="124" t="inlineStr">
        <is>
          <t>夏普比率</t>
        </is>
      </c>
      <c r="K4" s="125" t="inlineStr">
        <is>
          <t>卡玛比率</t>
        </is>
      </c>
    </row>
    <row r="5" ht="21" customHeight="1" s="89">
      <c r="B5" s="55" t="inlineStr">
        <is>
          <t>嘉实财富样板间</t>
        </is>
      </c>
      <c r="C5" s="85" t="n">
        <v>0.1</v>
      </c>
      <c r="D5" s="56" t="n"/>
      <c r="E5" s="57" t="inlineStr">
        <is>
          <t>10-90账户</t>
        </is>
      </c>
      <c r="F5" s="58">
        <f>N3/N2-1</f>
        <v/>
      </c>
      <c r="G5" s="58">
        <f>O3/O2-1</f>
        <v/>
      </c>
      <c r="H5" s="126">
        <f>'看板-10-90'!F7</f>
        <v/>
      </c>
      <c r="I5" s="127">
        <f>'看板-10-90'!E7</f>
        <v/>
      </c>
      <c r="J5" s="128">
        <f>'看板-10-90'!G7</f>
        <v/>
      </c>
      <c r="K5" s="129">
        <f>IFERROR('看板-10-90'!D7/ABS('看板-10-90'!F7),"")</f>
        <v/>
      </c>
    </row>
    <row r="6" ht="21" customHeight="1" s="89">
      <c r="B6" s="130" t="inlineStr">
        <is>
          <t>招行长盈计划-安稳盈</t>
        </is>
      </c>
      <c r="C6" s="131" t="inlineStr">
        <is>
          <t>≤15%</t>
        </is>
      </c>
      <c r="D6" s="51" t="inlineStr">
        <is>
          <t>016768.OF</t>
        </is>
      </c>
      <c r="E6" s="66">
        <f>[1]!thsiFinD("ths_fund_official_short_name_fund",D6)</f>
        <v/>
      </c>
      <c r="F6" s="70">
        <f>[1]!thsiFinD("ths_adjustment_nvg_ratio_fund",$D6,F$2,F$3,101)/100</f>
        <v/>
      </c>
      <c r="G6" s="70">
        <f>[1]!thsiFinD("ths_adjustment_nvg_ratio_fund",$D6,G$2,G$3,101)/100</f>
        <v/>
      </c>
      <c r="H6" s="132">
        <f>-[1]!thsiFinD("ths_max_retrace_rate_all_fund",$D6,$H$2,$H$3)/100</f>
        <v/>
      </c>
      <c r="I6" s="133">
        <f>IFERROR(HLOOKUP($D6,'对标基金净值(iFinD公式)'!$2:$5,3,0),"")</f>
        <v/>
      </c>
      <c r="J6" s="134">
        <f>IFERROR((HLOOKUP($D6,'对标基金净值(iFinD公式)'!$2:$5,4,0)-说明!$C$16)/HLOOKUP($D6,'对标基金净值(iFinD公式)'!$2:$5,3,0),"")</f>
        <v/>
      </c>
      <c r="K6" s="135">
        <f>IFERROR(HLOOKUP($D6,'对标基金净值(iFinD公式)'!$2:$5,4,0)/ABS(H6),"")</f>
        <v/>
      </c>
    </row>
    <row r="7" ht="21" customHeight="1" s="89">
      <c r="B7" s="136" t="n"/>
      <c r="D7" s="49" t="inlineStr">
        <is>
          <t>025218.OF</t>
        </is>
      </c>
      <c r="E7" s="67">
        <f>[1]!thsiFinD("ths_fund_official_short_name_fund",D7)</f>
        <v/>
      </c>
      <c r="F7" s="50">
        <f>[1]!thsiFinD("ths_adjustment_nvg_ratio_fund",$D7,F$2,F$3,101)/100</f>
        <v/>
      </c>
      <c r="G7" s="50">
        <f>[1]!thsiFinD("ths_adjustment_nvg_ratio_fund",$D7,G$2,G$3,101)/100</f>
        <v/>
      </c>
      <c r="H7" s="137">
        <f>-[1]!thsiFinD("ths_max_retrace_rate_all_fund",$D7,$H$2,$H$3)/100</f>
        <v/>
      </c>
      <c r="I7" s="138">
        <f>IFERROR(HLOOKUP($D7,'对标基金净值(iFinD公式)'!$2:$5,3,0),"")</f>
        <v/>
      </c>
      <c r="J7" s="139">
        <f>IFERROR((HLOOKUP($D7,'对标基金净值(iFinD公式)'!$2:$5,4,0)-说明!$C$16)/HLOOKUP($D7,'对标基金净值(iFinD公式)'!$2:$5,3,0),"")</f>
        <v/>
      </c>
      <c r="K7" s="140">
        <f>IFERROR(HLOOKUP($D7,'对标基金净值(iFinD公式)'!$2:$5,4,0)/ABS(H7),"")</f>
        <v/>
      </c>
    </row>
    <row r="8" ht="21" customHeight="1" s="89">
      <c r="B8" s="136" t="n"/>
      <c r="D8" s="51" t="inlineStr">
        <is>
          <t>022978.OF</t>
        </is>
      </c>
      <c r="E8" s="66">
        <f>[1]!thsiFinD("ths_fund_official_short_name_fund",D8)</f>
        <v/>
      </c>
      <c r="F8" s="52">
        <f>[1]!thsiFinD("ths_adjustment_nvg_ratio_fund",$D8,F$2,F$3,101)/100</f>
        <v/>
      </c>
      <c r="G8" s="52">
        <f>[1]!thsiFinD("ths_adjustment_nvg_ratio_fund",$D8,G$2,G$3,101)/100</f>
        <v/>
      </c>
      <c r="H8" s="132">
        <f>-[1]!thsiFinD("ths_max_retrace_rate_all_fund",$D8,$H$2,$H$3)/100</f>
        <v/>
      </c>
      <c r="I8" s="133">
        <f>IFERROR(HLOOKUP($D8,'对标基金净值(iFinD公式)'!$2:$5,3,0),"")</f>
        <v/>
      </c>
      <c r="J8" s="134">
        <f>IFERROR((HLOOKUP($D8,'对标基金净值(iFinD公式)'!$2:$5,4,0)-说明!$C$16)/HLOOKUP($D8,'对标基金净值(iFinD公式)'!$2:$5,3,0),"")</f>
        <v/>
      </c>
      <c r="K8" s="135">
        <f>IFERROR(HLOOKUP($D8,'对标基金净值(iFinD公式)'!$2:$5,4,0)/ABS(H8),"")</f>
        <v/>
      </c>
    </row>
    <row r="9" ht="21" customHeight="1" s="89">
      <c r="B9" s="136" t="n"/>
      <c r="D9" s="49" t="inlineStr">
        <is>
          <t>017587.OF</t>
        </is>
      </c>
      <c r="E9" s="67">
        <f>[1]!thsiFinD("ths_fund_official_short_name_fund",D9)</f>
        <v/>
      </c>
      <c r="F9" s="50">
        <f>[1]!thsiFinD("ths_adjustment_nvg_ratio_fund",$D9,F$2,F$3,101)/100</f>
        <v/>
      </c>
      <c r="G9" s="50">
        <f>[1]!thsiFinD("ths_adjustment_nvg_ratio_fund",$D9,G$2,G$3,101)/100</f>
        <v/>
      </c>
      <c r="H9" s="137">
        <f>-[1]!thsiFinD("ths_max_retrace_rate_all_fund",$D9,$H$2,$H$3)/100</f>
        <v/>
      </c>
      <c r="I9" s="138">
        <f>IFERROR(HLOOKUP($D9,'对标基金净值(iFinD公式)'!$2:$5,3,0),"")</f>
        <v/>
      </c>
      <c r="J9" s="139">
        <f>IFERROR((HLOOKUP($D9,'对标基金净值(iFinD公式)'!$2:$5,4,0)-说明!$C$16)/HLOOKUP($D9,'对标基金净值(iFinD公式)'!$2:$5,3,0),"")</f>
        <v/>
      </c>
      <c r="K9" s="140">
        <f>IFERROR(HLOOKUP($D9,'对标基金净值(iFinD公式)'!$2:$5,4,0)/ABS(H9),"")</f>
        <v/>
      </c>
    </row>
    <row r="10" ht="21" customHeight="1" s="89">
      <c r="B10" s="141" t="n"/>
      <c r="C10" s="142" t="n"/>
      <c r="D10" s="53" t="inlineStr">
        <is>
          <t>026682.OF</t>
        </is>
      </c>
      <c r="E10" s="68">
        <f>[1]!thsiFinD("ths_fund_official_short_name_fund",D10)</f>
        <v/>
      </c>
      <c r="F10" s="54">
        <f>[1]!thsiFinD("ths_adjustment_nvg_ratio_fund",$D10,F$2,F$3,101)/100</f>
        <v/>
      </c>
      <c r="G10" s="54">
        <f>[1]!thsiFinD("ths_adjustment_nvg_ratio_fund",$D10,G$2,G$3,101)/100</f>
        <v/>
      </c>
      <c r="H10" s="143">
        <f>-[1]!thsiFinD("ths_max_retrace_rate_all_fund",$D10,$H$2,$H$3)/100</f>
        <v/>
      </c>
      <c r="I10" s="144">
        <f>IFERROR(HLOOKUP($D10,'对标基金净值(iFinD公式)'!$2:$5,3,0),"")</f>
        <v/>
      </c>
      <c r="J10" s="145">
        <f>IFERROR((HLOOKUP($D10,'对标基金净值(iFinD公式)'!$2:$5,4,0)-说明!$C$16)/HLOOKUP($D10,'对标基金净值(iFinD公式)'!$2:$5,3,0),"")</f>
        <v/>
      </c>
      <c r="K10" s="146">
        <f>IFERROR(HLOOKUP($D10,'对标基金净值(iFinD公式)'!$2:$5,4,0)/ABS(H10),"")</f>
        <v/>
      </c>
    </row>
    <row r="11" ht="20" customHeight="1" s="89">
      <c r="B11" s="101" t="inlineStr">
        <is>
          <t>招行长盈计划-安定盈</t>
        </is>
      </c>
      <c r="C11" s="106" t="inlineStr">
        <is>
          <t>≤25%</t>
        </is>
      </c>
      <c r="D11" s="49" t="inlineStr">
        <is>
          <t>025822.OF</t>
        </is>
      </c>
      <c r="E11" s="67">
        <f>[1]!thsiFinD("ths_fund_official_short_name_fund",D11)</f>
        <v/>
      </c>
      <c r="F11" s="50">
        <f>[1]!thsiFinD("ths_adjustment_nvg_ratio_fund",$D11,F$2,F$3,101)/100</f>
        <v/>
      </c>
      <c r="G11" s="50">
        <f>[1]!thsiFinD("ths_adjustment_nvg_ratio_fund",$D11,G$2,G$3,101)/100</f>
        <v/>
      </c>
      <c r="H11" s="137">
        <f>-[1]!thsiFinD("ths_max_retrace_rate_all_fund",$D11,$H$2,$H$3)/100</f>
        <v/>
      </c>
      <c r="I11" s="138">
        <f>IFERROR(HLOOKUP($D11,'对标基金净值(iFinD公式)'!$2:$5,3,0),"")</f>
        <v/>
      </c>
      <c r="J11" s="139">
        <f>IFERROR((HLOOKUP($D11,'对标基金净值(iFinD公式)'!$2:$5,4,0)-说明!$C$16)/HLOOKUP($D11,'对标基金净值(iFinD公式)'!$2:$5,3,0),"")</f>
        <v/>
      </c>
      <c r="K11" s="140">
        <f>IFERROR(HLOOKUP($D11,'对标基金净值(iFinD公式)'!$2:$5,4,0)/ABS(H11),"")</f>
        <v/>
      </c>
    </row>
    <row r="12" ht="20" customHeight="1" s="89">
      <c r="B12" s="136" t="n"/>
      <c r="D12" s="51" t="inlineStr">
        <is>
          <t>018312.OF</t>
        </is>
      </c>
      <c r="E12" s="66">
        <f>[1]!thsiFinD("ths_fund_official_short_name_fund",D12)</f>
        <v/>
      </c>
      <c r="F12" s="52">
        <f>[1]!thsiFinD("ths_adjustment_nvg_ratio_fund",$D12,F$2,F$3,101)/100</f>
        <v/>
      </c>
      <c r="G12" s="52">
        <f>[1]!thsiFinD("ths_adjustment_nvg_ratio_fund",$D12,G$2,G$3,101)/100</f>
        <v/>
      </c>
      <c r="H12" s="132">
        <f>-[1]!thsiFinD("ths_max_retrace_rate_all_fund",$D12,$H$2,$H$3)/100</f>
        <v/>
      </c>
      <c r="I12" s="133">
        <f>IFERROR(HLOOKUP($D12,'对标基金净值(iFinD公式)'!$2:$5,3,0),"")</f>
        <v/>
      </c>
      <c r="J12" s="134">
        <f>IFERROR((HLOOKUP($D12,'对标基金净值(iFinD公式)'!$2:$5,4,0)-说明!$C$16)/HLOOKUP($D12,'对标基金净值(iFinD公式)'!$2:$5,3,0),"")</f>
        <v/>
      </c>
      <c r="K12" s="135">
        <f>IFERROR(HLOOKUP($D12,'对标基金净值(iFinD公式)'!$2:$5,4,0)/ABS(H12),"")</f>
        <v/>
      </c>
    </row>
    <row r="14" hidden="1" s="89"/>
    <row r="16" ht="16.5" customHeight="1" s="89">
      <c r="B16" s="47" t="n"/>
      <c r="C16" s="48" t="n"/>
      <c r="D16" s="48" t="inlineStr">
        <is>
          <t>列2</t>
        </is>
      </c>
      <c r="E16" s="63" t="inlineStr">
        <is>
          <t>组合/基金</t>
        </is>
      </c>
      <c r="F16" s="64" t="inlineStr">
        <is>
          <t>6月以来（截止626）</t>
        </is>
      </c>
      <c r="G16" s="64" t="n"/>
      <c r="H16" s="123" t="inlineStr">
        <is>
          <t>最大回撤</t>
        </is>
      </c>
      <c r="I16" s="124" t="inlineStr">
        <is>
          <t>年化波动率</t>
        </is>
      </c>
      <c r="J16" s="124" t="inlineStr">
        <is>
          <t>夏普比率</t>
        </is>
      </c>
      <c r="K16" s="125" t="inlineStr">
        <is>
          <t>卡玛比率</t>
        </is>
      </c>
    </row>
    <row r="17" ht="16.5" customHeight="1" s="89">
      <c r="B17" s="55" t="inlineStr">
        <is>
          <t>嘉实财富样板间</t>
        </is>
      </c>
      <c r="C17" s="57" t="n"/>
      <c r="D17" s="56" t="n"/>
      <c r="E17" s="57" t="inlineStr">
        <is>
          <t>30-70账户</t>
        </is>
      </c>
      <c r="F17" s="69">
        <f>P3/P2-1</f>
        <v/>
      </c>
      <c r="G17" s="69" t="n"/>
      <c r="H17" s="126">
        <f>'看板-30-70'!F7</f>
        <v/>
      </c>
      <c r="I17" s="127">
        <f>'看板-30-70'!E7</f>
        <v/>
      </c>
      <c r="J17" s="128">
        <f>'看板-30-70'!G7</f>
        <v/>
      </c>
      <c r="K17" s="129">
        <f>IFERROR('看板-30-70'!D7/ABS('看板-30-70'!F7),"")</f>
        <v/>
      </c>
    </row>
    <row r="18" ht="16.5" customHeight="1" s="89">
      <c r="B18" s="100" t="inlineStr">
        <is>
          <t>招行长盈计划-安鑫盈</t>
        </is>
      </c>
      <c r="C18" s="106" t="n"/>
      <c r="D18" s="51" t="inlineStr">
        <is>
          <t>024757.OF</t>
        </is>
      </c>
      <c r="E18" s="66">
        <f>[1]!thsiFinD("ths_fund_official_short_name_fund",D18)</f>
        <v/>
      </c>
      <c r="F18" s="70">
        <f>[1]!thsiFinD("ths_adjustment_nvg_ratio_fund",$D18,$F$2,$F$3,101)/100</f>
        <v/>
      </c>
      <c r="G18" s="70" t="n"/>
      <c r="H18" s="132">
        <f>-[1]!thsiFinD("ths_max_retrace_rate_all_fund",$D18,$H$2,$H$3)/100</f>
        <v/>
      </c>
      <c r="I18" s="133">
        <f>IFERROR(HLOOKUP($D18,'对标基金净值(iFinD公式)'!$2:$5,3,0),"")</f>
        <v/>
      </c>
      <c r="J18" s="134">
        <f>IFERROR((HLOOKUP($D18,'对标基金净值(iFinD公式)'!$2:$5,4,0)-说明!$C$16)/HLOOKUP($D18,'对标基金净值(iFinD公式)'!$2:$5,3,0),"")</f>
        <v/>
      </c>
      <c r="K18" s="135">
        <f>IFERROR(HLOOKUP($D18,'对标基金净值(iFinD公式)'!$2:$5,4,0)/ABS(H18),"")</f>
        <v/>
      </c>
    </row>
    <row r="19" ht="16.5" customHeight="1" s="89">
      <c r="B19" s="136" t="n"/>
      <c r="C19" s="107" t="n"/>
      <c r="D19" s="49" t="inlineStr">
        <is>
          <t>022202.OF</t>
        </is>
      </c>
      <c r="E19" s="67">
        <f>[1]!thsiFinD("ths_fund_official_short_name_fund",D19)</f>
        <v/>
      </c>
      <c r="F19" s="50">
        <f>[1]!thsiFinD("ths_adjustment_nvg_ratio_fund",$D19,$F$2,$F$3,101)/100</f>
        <v/>
      </c>
      <c r="G19" s="50" t="n"/>
      <c r="H19" s="137">
        <f>-[1]!thsiFinD("ths_max_retrace_rate_all_fund",$D19,$H$2,$H$3)/100</f>
        <v/>
      </c>
      <c r="I19" s="138">
        <f>IFERROR(HLOOKUP($D19,'对标基金净值(iFinD公式)'!$2:$5,3,0),"")</f>
        <v/>
      </c>
      <c r="J19" s="139">
        <f>IFERROR((HLOOKUP($D19,'对标基金净值(iFinD公式)'!$2:$5,4,0)-说明!$C$16)/HLOOKUP($D19,'对标基金净值(iFinD公式)'!$2:$5,3,0),"")</f>
        <v/>
      </c>
      <c r="K19" s="140">
        <f>IFERROR(HLOOKUP($D19,'对标基金净值(iFinD公式)'!$2:$5,4,0)/ABS(H19),"")</f>
        <v/>
      </c>
    </row>
    <row r="21">
      <c r="B21" s="147" t="inlineStr">
        <is>
          <t>注：年化波动率/夏普/卡玛——基金按D列代码自动匹配「对标基金净值(iFinD公式)」页（复权净值日收益，年化242个交易日、无风险利率见「说明」C16），账户取自对应看板；卡玛=区间年化收益÷|最大回撤(H列)|。替换基金改D列代码+对标页第2行代码；新增基金见对标页底部说明。</t>
        </is>
      </c>
    </row>
  </sheetData>
  <mergeCells count="5">
    <mergeCell ref="B18:B19"/>
    <mergeCell ref="B11:B12"/>
    <mergeCell ref="B6:B10"/>
    <mergeCell ref="C11:C12"/>
    <mergeCell ref="C6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B1:M20"/>
  <sheetViews>
    <sheetView workbookViewId="0">
      <selection activeCell="A1" sqref="A1"/>
    </sheetView>
  </sheetViews>
  <sheetFormatPr baseColWidth="8" defaultRowHeight="15"/>
  <cols>
    <col width="21.1" customWidth="1" style="89" min="2" max="2"/>
    <col width="10.5" customWidth="1" style="89" min="3" max="3"/>
    <col width="12.3" customWidth="1" style="89" min="4" max="4"/>
    <col width="37.3" customWidth="1" style="89" min="5" max="5"/>
    <col width="21.1" customWidth="1" style="89" min="6" max="6"/>
    <col width="14.1" customWidth="1" style="89" min="7" max="7"/>
    <col width="10.3" customWidth="1" style="89" min="8" max="8"/>
    <col width="11" customWidth="1" style="89" min="9" max="9"/>
    <col width="11" customWidth="1" style="89" min="10" max="10"/>
    <col width="11" customWidth="1" style="89" min="11" max="11"/>
    <col width="11" customWidth="1" style="89" min="12" max="12"/>
    <col width="15" customWidth="1" style="89" min="13" max="13"/>
  </cols>
  <sheetData>
    <row r="1">
      <c r="F1" s="11">
        <f>'vs招行'!F1</f>
        <v/>
      </c>
      <c r="G1" s="11">
        <f>'vs招行'!G1</f>
        <v/>
      </c>
    </row>
    <row r="2">
      <c r="B2" s="147" t="inlineStr">
        <is>
          <t>区间参数联动「vs招行」页黄色单元格</t>
        </is>
      </c>
      <c r="F2" s="11">
        <f>'vs招行'!F2</f>
        <v/>
      </c>
      <c r="G2" s="11">
        <f>'vs招行'!G2</f>
        <v/>
      </c>
      <c r="H2" s="11">
        <f>'vs招行'!H2</f>
        <v/>
      </c>
      <c r="K2" s="154" t="inlineStr">
        <is>
          <t>最新季报报告期→</t>
        </is>
      </c>
      <c r="L2" s="155" t="inlineStr">
        <is>
          <t>2026-03-31</t>
        </is>
      </c>
    </row>
    <row r="3">
      <c r="F3" s="11">
        <f>'vs招行'!F3</f>
        <v/>
      </c>
      <c r="G3" s="11">
        <f>'vs招行'!G3</f>
        <v/>
      </c>
      <c r="H3" s="11">
        <f>'vs招行'!H3</f>
        <v/>
      </c>
    </row>
    <row r="4" ht="21" customHeight="1" s="89">
      <c r="B4" s="156" t="n"/>
      <c r="C4" s="157" t="inlineStr">
        <is>
          <t>权益中枢</t>
        </is>
      </c>
      <c r="D4" s="157" t="inlineStr">
        <is>
          <t>基金代码</t>
        </is>
      </c>
      <c r="E4" s="157" t="inlineStr">
        <is>
          <t>组合/基金</t>
        </is>
      </c>
      <c r="F4" s="157">
        <f>"6月以来（截止"&amp;TEXT($F$3,"m.d")&amp;"）"</f>
        <v/>
      </c>
      <c r="G4" s="157" t="inlineStr">
        <is>
          <t>6.18上线以来</t>
        </is>
      </c>
      <c r="H4" s="157" t="inlineStr">
        <is>
          <t>最大回撤</t>
        </is>
      </c>
      <c r="I4" s="157" t="inlineStr">
        <is>
          <t>年化波动率</t>
        </is>
      </c>
      <c r="J4" s="157" t="inlineStr">
        <is>
          <t>夏普比率</t>
        </is>
      </c>
      <c r="K4" s="157" t="inlineStr">
        <is>
          <t>卡玛比率</t>
        </is>
      </c>
      <c r="L4" s="157" t="inlineStr">
        <is>
          <t>股票仓位</t>
        </is>
      </c>
      <c r="M4" s="158" t="inlineStr">
        <is>
          <t>转债仓位(穿透)</t>
        </is>
      </c>
    </row>
    <row r="5" ht="21" customHeight="1" s="89">
      <c r="B5" s="201" t="inlineStr">
        <is>
          <t>嘉实财富样板间</t>
        </is>
      </c>
      <c r="C5" s="160" t="n">
        <v>0.1</v>
      </c>
      <c r="D5" s="161" t="n"/>
      <c r="E5" s="162" t="inlineStr">
        <is>
          <t>10-90账户</t>
        </is>
      </c>
      <c r="F5" s="163">
        <f>'vs招行'!F5</f>
        <v/>
      </c>
      <c r="G5" s="163">
        <f>'vs招行'!G5</f>
        <v/>
      </c>
      <c r="H5" s="164">
        <f>'vs招行'!H5</f>
        <v/>
      </c>
      <c r="I5" s="165">
        <f>'vs招行'!I5</f>
        <v/>
      </c>
      <c r="J5" s="166">
        <f>'vs招行'!J5</f>
        <v/>
      </c>
      <c r="K5" s="166">
        <f>'vs招行'!K5</f>
        <v/>
      </c>
      <c r="L5" s="165" t="n"/>
      <c r="M5" s="167" t="n"/>
    </row>
    <row r="6" ht="21" customHeight="1" s="89">
      <c r="B6" s="168" t="n"/>
      <c r="C6" s="169" t="n">
        <v>0.3</v>
      </c>
      <c r="D6" s="170" t="n"/>
      <c r="E6" s="171" t="inlineStr">
        <is>
          <t>30-70账户</t>
        </is>
      </c>
      <c r="F6" s="172">
        <f>'vs招行'!F17</f>
        <v/>
      </c>
      <c r="G6" s="172" t="n"/>
      <c r="H6" s="173">
        <f>'vs招行'!H17</f>
        <v/>
      </c>
      <c r="I6" s="174">
        <f>'vs招行'!I17</f>
        <v/>
      </c>
      <c r="J6" s="175">
        <f>'vs招行'!J17</f>
        <v/>
      </c>
      <c r="K6" s="175">
        <f>'vs招行'!K17</f>
        <v/>
      </c>
      <c r="L6" s="174" t="n"/>
      <c r="M6" s="176" t="n"/>
    </row>
    <row r="7" ht="21" customHeight="1" s="89">
      <c r="B7" s="202" t="inlineStr">
        <is>
          <t>固收+产品池</t>
        </is>
      </c>
      <c r="C7" s="203" t="n"/>
      <c r="D7" s="161" t="inlineStr">
        <is>
          <t>001316.OF</t>
        </is>
      </c>
      <c r="E7" s="179">
        <f>[1]!thsiFinD("ths_fund_official_short_name_fund",D7)</f>
        <v/>
      </c>
      <c r="F7" s="180">
        <f>[1]!thsiFinD("ths_adjustment_nvg_ratio_fund",$D7,F$2,F$3,101)/100</f>
        <v/>
      </c>
      <c r="G7" s="180">
        <f>[1]!thsiFinD("ths_adjustment_nvg_ratio_fund",$D7,G$2,G$3,101)/100</f>
        <v/>
      </c>
      <c r="H7" s="181">
        <f>-[1]!thsiFinD("ths_max_retrace_rate_all_fund",$D7,$H$2,$H$3)/100</f>
        <v/>
      </c>
      <c r="I7" s="180">
        <f>IFERROR(HLOOKUP($D7,'对标基金净值(iFinD公式)'!$2:$5,3,0),"")</f>
        <v/>
      </c>
      <c r="J7" s="182">
        <f>IFERROR((HLOOKUP($D7,'对标基金净值(iFinD公式)'!$2:$5,4,0)-说明!$C$16)/HLOOKUP($D7,'对标基金净值(iFinD公式)'!$2:$5,3,0),"")</f>
        <v/>
      </c>
      <c r="K7" s="182">
        <f>IFERROR(HLOOKUP($D7,'对标基金净值(iFinD公式)'!$2:$5,4,0)/ABS(H7),"")</f>
        <v/>
      </c>
      <c r="L7" s="180">
        <f>[1]!thsiFinD("ths_stock_mv_to_fanv_fund",$D7,$L$2)/100</f>
        <v/>
      </c>
      <c r="M7" s="183">
        <f>[1]!thsiFinD("ths_cbb_to_bond_invest_mv_fund",$D7,$L$2)/100*[1]!thsiFinD("ths_bond_mv_to_fanv_fund",$D7,$L$2)/100</f>
        <v/>
      </c>
    </row>
    <row r="8" ht="21" customHeight="1" s="89">
      <c r="B8" s="168" t="n"/>
      <c r="D8" s="170" t="inlineStr">
        <is>
          <t>004010.OF</t>
        </is>
      </c>
      <c r="E8" s="184">
        <f>[1]!thsiFinD("ths_fund_official_short_name_fund",D8)</f>
        <v/>
      </c>
      <c r="F8" s="185">
        <f>[1]!thsiFinD("ths_adjustment_nvg_ratio_fund",$D8,F$2,F$3,101)/100</f>
        <v/>
      </c>
      <c r="G8" s="185">
        <f>[1]!thsiFinD("ths_adjustment_nvg_ratio_fund",$D8,G$2,G$3,101)/100</f>
        <v/>
      </c>
      <c r="H8" s="186">
        <f>-[1]!thsiFinD("ths_max_retrace_rate_all_fund",$D8,$H$2,$H$3)/100</f>
        <v/>
      </c>
      <c r="I8" s="185">
        <f>IFERROR(HLOOKUP($D8,'对标基金净值(iFinD公式)'!$2:$5,3,0),"")</f>
        <v/>
      </c>
      <c r="J8" s="187">
        <f>IFERROR((HLOOKUP($D8,'对标基金净值(iFinD公式)'!$2:$5,4,0)-说明!$C$16)/HLOOKUP($D8,'对标基金净值(iFinD公式)'!$2:$5,3,0),"")</f>
        <v/>
      </c>
      <c r="K8" s="187">
        <f>IFERROR(HLOOKUP($D8,'对标基金净值(iFinD公式)'!$2:$5,4,0)/ABS(H8),"")</f>
        <v/>
      </c>
      <c r="L8" s="185">
        <f>[1]!thsiFinD("ths_stock_mv_to_fanv_fund",$D8,$L$2)/100</f>
        <v/>
      </c>
      <c r="M8" s="188">
        <f>[1]!thsiFinD("ths_cbb_to_bond_invest_mv_fund",$D8,$L$2)/100*[1]!thsiFinD("ths_bond_mv_to_fanv_fund",$D8,$L$2)/100</f>
        <v/>
      </c>
    </row>
    <row r="9" ht="21" customHeight="1" s="89">
      <c r="B9" s="168" t="n"/>
      <c r="D9" s="161" t="inlineStr">
        <is>
          <t>016809.OF</t>
        </is>
      </c>
      <c r="E9" s="179">
        <f>[1]!thsiFinD("ths_fund_official_short_name_fund",D9)</f>
        <v/>
      </c>
      <c r="F9" s="180">
        <f>[1]!thsiFinD("ths_adjustment_nvg_ratio_fund",$D9,F$2,F$3,101)/100</f>
        <v/>
      </c>
      <c r="G9" s="180">
        <f>[1]!thsiFinD("ths_adjustment_nvg_ratio_fund",$D9,G$2,G$3,101)/100</f>
        <v/>
      </c>
      <c r="H9" s="181">
        <f>-[1]!thsiFinD("ths_max_retrace_rate_all_fund",$D9,$H$2,$H$3)/100</f>
        <v/>
      </c>
      <c r="I9" s="180">
        <f>IFERROR(HLOOKUP($D9,'对标基金净值(iFinD公式)'!$2:$5,3,0),"")</f>
        <v/>
      </c>
      <c r="J9" s="182">
        <f>IFERROR((HLOOKUP($D9,'对标基金净值(iFinD公式)'!$2:$5,4,0)-说明!$C$16)/HLOOKUP($D9,'对标基金净值(iFinD公式)'!$2:$5,3,0),"")</f>
        <v/>
      </c>
      <c r="K9" s="182">
        <f>IFERROR(HLOOKUP($D9,'对标基金净值(iFinD公式)'!$2:$5,4,0)/ABS(H9),"")</f>
        <v/>
      </c>
      <c r="L9" s="180">
        <f>[1]!thsiFinD("ths_stock_mv_to_fanv_fund",$D9,$L$2)/100</f>
        <v/>
      </c>
      <c r="M9" s="183">
        <f>[1]!thsiFinD("ths_cbb_to_bond_invest_mv_fund",$D9,$L$2)/100*[1]!thsiFinD("ths_bond_mv_to_fanv_fund",$D9,$L$2)/100</f>
        <v/>
      </c>
    </row>
    <row r="10" ht="21" customHeight="1" s="89">
      <c r="B10" s="168" t="n"/>
      <c r="D10" s="170" t="inlineStr">
        <is>
          <t>002009.OF</t>
        </is>
      </c>
      <c r="E10" s="184">
        <f>[1]!thsiFinD("ths_fund_official_short_name_fund",D10)</f>
        <v/>
      </c>
      <c r="F10" s="185">
        <f>[1]!thsiFinD("ths_adjustment_nvg_ratio_fund",$D10,F$2,F$3,101)/100</f>
        <v/>
      </c>
      <c r="G10" s="185">
        <f>[1]!thsiFinD("ths_adjustment_nvg_ratio_fund",$D10,G$2,G$3,101)/100</f>
        <v/>
      </c>
      <c r="H10" s="186">
        <f>-[1]!thsiFinD("ths_max_retrace_rate_all_fund",$D10,$H$2,$H$3)/100</f>
        <v/>
      </c>
      <c r="I10" s="185">
        <f>IFERROR(HLOOKUP($D10,'对标基金净值(iFinD公式)'!$2:$5,3,0),"")</f>
        <v/>
      </c>
      <c r="J10" s="187">
        <f>IFERROR((HLOOKUP($D10,'对标基金净值(iFinD公式)'!$2:$5,4,0)-说明!$C$16)/HLOOKUP($D10,'对标基金净值(iFinD公式)'!$2:$5,3,0),"")</f>
        <v/>
      </c>
      <c r="K10" s="187">
        <f>IFERROR(HLOOKUP($D10,'对标基金净值(iFinD公式)'!$2:$5,4,0)/ABS(H10),"")</f>
        <v/>
      </c>
      <c r="L10" s="185">
        <f>[1]!thsiFinD("ths_stock_mv_to_fanv_fund",$D10,$L$2)/100</f>
        <v/>
      </c>
      <c r="M10" s="188">
        <f>[1]!thsiFinD("ths_cbb_to_bond_invest_mv_fund",$D10,$L$2)/100*[1]!thsiFinD("ths_bond_mv_to_fanv_fund",$D10,$L$2)/100</f>
        <v/>
      </c>
    </row>
    <row r="11" ht="21" customHeight="1" s="89">
      <c r="B11" s="168" t="n"/>
      <c r="D11" s="161" t="inlineStr">
        <is>
          <t>009089.OF</t>
        </is>
      </c>
      <c r="E11" s="179">
        <f>[1]!thsiFinD("ths_fund_official_short_name_fund",D11)</f>
        <v/>
      </c>
      <c r="F11" s="180">
        <f>[1]!thsiFinD("ths_adjustment_nvg_ratio_fund",$D11,F$2,F$3,101)/100</f>
        <v/>
      </c>
      <c r="G11" s="180">
        <f>[1]!thsiFinD("ths_adjustment_nvg_ratio_fund",$D11,G$2,G$3,101)/100</f>
        <v/>
      </c>
      <c r="H11" s="181">
        <f>-[1]!thsiFinD("ths_max_retrace_rate_all_fund",$D11,$H$2,$H$3)/100</f>
        <v/>
      </c>
      <c r="I11" s="180">
        <f>IFERROR(HLOOKUP($D11,'对标基金净值(iFinD公式)'!$2:$5,3,0),"")</f>
        <v/>
      </c>
      <c r="J11" s="182">
        <f>IFERROR((HLOOKUP($D11,'对标基金净值(iFinD公式)'!$2:$5,4,0)-说明!$C$16)/HLOOKUP($D11,'对标基金净值(iFinD公式)'!$2:$5,3,0),"")</f>
        <v/>
      </c>
      <c r="K11" s="182">
        <f>IFERROR(HLOOKUP($D11,'对标基金净值(iFinD公式)'!$2:$5,4,0)/ABS(H11),"")</f>
        <v/>
      </c>
      <c r="L11" s="180">
        <f>[1]!thsiFinD("ths_stock_mv_to_fanv_fund",$D11,$L$2)/100</f>
        <v/>
      </c>
      <c r="M11" s="183">
        <f>[1]!thsiFinD("ths_cbb_to_bond_invest_mv_fund",$D11,$L$2)/100*[1]!thsiFinD("ths_bond_mv_to_fanv_fund",$D11,$L$2)/100</f>
        <v/>
      </c>
    </row>
    <row r="12" ht="21" customHeight="1" s="89">
      <c r="B12" s="168" t="n"/>
      <c r="D12" s="170" t="inlineStr">
        <is>
          <t>675121.OF</t>
        </is>
      </c>
      <c r="E12" s="184">
        <f>[1]!thsiFinD("ths_fund_official_short_name_fund",D12)</f>
        <v/>
      </c>
      <c r="F12" s="185">
        <f>[1]!thsiFinD("ths_adjustment_nvg_ratio_fund",$D12,F$2,F$3,101)/100</f>
        <v/>
      </c>
      <c r="G12" s="185">
        <f>[1]!thsiFinD("ths_adjustment_nvg_ratio_fund",$D12,G$2,G$3,101)/100</f>
        <v/>
      </c>
      <c r="H12" s="186">
        <f>-[1]!thsiFinD("ths_max_retrace_rate_all_fund",$D12,$H$2,$H$3)/100</f>
        <v/>
      </c>
      <c r="I12" s="185">
        <f>IFERROR(HLOOKUP($D12,'对标基金净值(iFinD公式)'!$2:$5,3,0),"")</f>
        <v/>
      </c>
      <c r="J12" s="187">
        <f>IFERROR((HLOOKUP($D12,'对标基金净值(iFinD公式)'!$2:$5,4,0)-说明!$C$16)/HLOOKUP($D12,'对标基金净值(iFinD公式)'!$2:$5,3,0),"")</f>
        <v/>
      </c>
      <c r="K12" s="187">
        <f>IFERROR(HLOOKUP($D12,'对标基金净值(iFinD公式)'!$2:$5,4,0)/ABS(H12),"")</f>
        <v/>
      </c>
      <c r="L12" s="185">
        <f>[1]!thsiFinD("ths_stock_mv_to_fanv_fund",$D12,$L$2)/100</f>
        <v/>
      </c>
      <c r="M12" s="188">
        <f>[1]!thsiFinD("ths_cbb_to_bond_invest_mv_fund",$D12,$L$2)/100*[1]!thsiFinD("ths_bond_mv_to_fanv_fund",$D12,$L$2)/100</f>
        <v/>
      </c>
    </row>
    <row r="13" ht="21" customHeight="1" s="89">
      <c r="B13" s="168" t="n"/>
      <c r="D13" s="161" t="inlineStr">
        <is>
          <t>005717.OF</t>
        </is>
      </c>
      <c r="E13" s="179">
        <f>[1]!thsiFinD("ths_fund_official_short_name_fund",D13)</f>
        <v/>
      </c>
      <c r="F13" s="180">
        <f>[1]!thsiFinD("ths_adjustment_nvg_ratio_fund",$D13,F$2,F$3,101)/100</f>
        <v/>
      </c>
      <c r="G13" s="180">
        <f>[1]!thsiFinD("ths_adjustment_nvg_ratio_fund",$D13,G$2,G$3,101)/100</f>
        <v/>
      </c>
      <c r="H13" s="181">
        <f>-[1]!thsiFinD("ths_max_retrace_rate_all_fund",$D13,$H$2,$H$3)/100</f>
        <v/>
      </c>
      <c r="I13" s="180">
        <f>IFERROR(HLOOKUP($D13,'对标基金净值(iFinD公式)'!$2:$5,3,0),"")</f>
        <v/>
      </c>
      <c r="J13" s="182">
        <f>IFERROR((HLOOKUP($D13,'对标基金净值(iFinD公式)'!$2:$5,4,0)-说明!$C$16)/HLOOKUP($D13,'对标基金净值(iFinD公式)'!$2:$5,3,0),"")</f>
        <v/>
      </c>
      <c r="K13" s="182">
        <f>IFERROR(HLOOKUP($D13,'对标基金净值(iFinD公式)'!$2:$5,4,0)/ABS(H13),"")</f>
        <v/>
      </c>
      <c r="L13" s="180">
        <f>[1]!thsiFinD("ths_stock_mv_to_fanv_fund",$D13,$L$2)/100</f>
        <v/>
      </c>
      <c r="M13" s="183">
        <f>[1]!thsiFinD("ths_cbb_to_bond_invest_mv_fund",$D13,$L$2)/100*[1]!thsiFinD("ths_bond_mv_to_fanv_fund",$D13,$L$2)/100</f>
        <v/>
      </c>
    </row>
    <row r="14" ht="21" customHeight="1" s="89">
      <c r="B14" s="168" t="n"/>
      <c r="D14" s="170" t="inlineStr">
        <is>
          <t>018595.OF</t>
        </is>
      </c>
      <c r="E14" s="184">
        <f>[1]!thsiFinD("ths_fund_official_short_name_fund",D14)</f>
        <v/>
      </c>
      <c r="F14" s="185">
        <f>[1]!thsiFinD("ths_adjustment_nvg_ratio_fund",$D14,F$2,F$3,101)/100</f>
        <v/>
      </c>
      <c r="G14" s="185">
        <f>[1]!thsiFinD("ths_adjustment_nvg_ratio_fund",$D14,G$2,G$3,101)/100</f>
        <v/>
      </c>
      <c r="H14" s="186">
        <f>-[1]!thsiFinD("ths_max_retrace_rate_all_fund",$D14,$H$2,$H$3)/100</f>
        <v/>
      </c>
      <c r="I14" s="185">
        <f>IFERROR(HLOOKUP($D14,'对标基金净值(iFinD公式)'!$2:$5,3,0),"")</f>
        <v/>
      </c>
      <c r="J14" s="187">
        <f>IFERROR((HLOOKUP($D14,'对标基金净值(iFinD公式)'!$2:$5,4,0)-说明!$C$16)/HLOOKUP($D14,'对标基金净值(iFinD公式)'!$2:$5,3,0),"")</f>
        <v/>
      </c>
      <c r="K14" s="187">
        <f>IFERROR(HLOOKUP($D14,'对标基金净值(iFinD公式)'!$2:$5,4,0)/ABS(H14),"")</f>
        <v/>
      </c>
      <c r="L14" s="185">
        <f>[1]!thsiFinD("ths_stock_mv_to_fanv_fund",$D14,$L$2)/100</f>
        <v/>
      </c>
      <c r="M14" s="188">
        <f>[1]!thsiFinD("ths_cbb_to_bond_invest_mv_fund",$D14,$L$2)/100*[1]!thsiFinD("ths_bond_mv_to_fanv_fund",$D14,$L$2)/100</f>
        <v/>
      </c>
    </row>
    <row r="15" ht="21" customHeight="1" s="89">
      <c r="B15" s="168" t="n"/>
      <c r="D15" s="161" t="inlineStr">
        <is>
          <t>003504.OF</t>
        </is>
      </c>
      <c r="E15" s="179">
        <f>[1]!thsiFinD("ths_fund_official_short_name_fund",D15)</f>
        <v/>
      </c>
      <c r="F15" s="180">
        <f>[1]!thsiFinD("ths_adjustment_nvg_ratio_fund",$D15,F$2,F$3,101)/100</f>
        <v/>
      </c>
      <c r="G15" s="180">
        <f>[1]!thsiFinD("ths_adjustment_nvg_ratio_fund",$D15,G$2,G$3,101)/100</f>
        <v/>
      </c>
      <c r="H15" s="181">
        <f>-[1]!thsiFinD("ths_max_retrace_rate_all_fund",$D15,$H$2,$H$3)/100</f>
        <v/>
      </c>
      <c r="I15" s="180">
        <f>IFERROR(HLOOKUP($D15,'对标基金净值(iFinD公式)'!$2:$5,3,0),"")</f>
        <v/>
      </c>
      <c r="J15" s="182">
        <f>IFERROR((HLOOKUP($D15,'对标基金净值(iFinD公式)'!$2:$5,4,0)-说明!$C$16)/HLOOKUP($D15,'对标基金净值(iFinD公式)'!$2:$5,3,0),"")</f>
        <v/>
      </c>
      <c r="K15" s="182">
        <f>IFERROR(HLOOKUP($D15,'对标基金净值(iFinD公式)'!$2:$5,4,0)/ABS(H15),"")</f>
        <v/>
      </c>
      <c r="L15" s="180">
        <f>[1]!thsiFinD("ths_stock_mv_to_fanv_fund",$D15,$L$2)/100</f>
        <v/>
      </c>
      <c r="M15" s="183">
        <f>[1]!thsiFinD("ths_cbb_to_bond_invest_mv_fund",$D15,$L$2)/100*[1]!thsiFinD("ths_bond_mv_to_fanv_fund",$D15,$L$2)/100</f>
        <v/>
      </c>
    </row>
    <row r="16" ht="21" customHeight="1" s="89">
      <c r="B16" s="168" t="n"/>
      <c r="D16" s="170" t="inlineStr">
        <is>
          <t>016718.OF</t>
        </is>
      </c>
      <c r="E16" s="184">
        <f>[1]!thsiFinD("ths_fund_official_short_name_fund",D16)</f>
        <v/>
      </c>
      <c r="F16" s="185">
        <f>[1]!thsiFinD("ths_adjustment_nvg_ratio_fund",$D16,F$2,F$3,101)/100</f>
        <v/>
      </c>
      <c r="G16" s="185">
        <f>[1]!thsiFinD("ths_adjustment_nvg_ratio_fund",$D16,G$2,G$3,101)/100</f>
        <v/>
      </c>
      <c r="H16" s="186">
        <f>-[1]!thsiFinD("ths_max_retrace_rate_all_fund",$D16,$H$2,$H$3)/100</f>
        <v/>
      </c>
      <c r="I16" s="185">
        <f>IFERROR(HLOOKUP($D16,'对标基金净值(iFinD公式)'!$2:$5,3,0),"")</f>
        <v/>
      </c>
      <c r="J16" s="187">
        <f>IFERROR((HLOOKUP($D16,'对标基金净值(iFinD公式)'!$2:$5,4,0)-说明!$C$16)/HLOOKUP($D16,'对标基金净值(iFinD公式)'!$2:$5,3,0),"")</f>
        <v/>
      </c>
      <c r="K16" s="187">
        <f>IFERROR(HLOOKUP($D16,'对标基金净值(iFinD公式)'!$2:$5,4,0)/ABS(H16),"")</f>
        <v/>
      </c>
      <c r="L16" s="185">
        <f>[1]!thsiFinD("ths_stock_mv_to_fanv_fund",$D16,$L$2)/100</f>
        <v/>
      </c>
      <c r="M16" s="188">
        <f>[1]!thsiFinD("ths_cbb_to_bond_invest_mv_fund",$D16,$L$2)/100*[1]!thsiFinD("ths_bond_mv_to_fanv_fund",$D16,$L$2)/100</f>
        <v/>
      </c>
    </row>
    <row r="17" ht="21" customHeight="1" s="89">
      <c r="B17" s="189" t="n"/>
      <c r="C17" s="190" t="n"/>
      <c r="D17" s="178" t="inlineStr">
        <is>
          <t>020857.OF</t>
        </is>
      </c>
      <c r="E17" s="191">
        <f>[1]!thsiFinD("ths_fund_official_short_name_fund",D17)</f>
        <v/>
      </c>
      <c r="F17" s="192">
        <f>[1]!thsiFinD("ths_adjustment_nvg_ratio_fund",$D17,F$2,F$3,101)/100</f>
        <v/>
      </c>
      <c r="G17" s="192">
        <f>[1]!thsiFinD("ths_adjustment_nvg_ratio_fund",$D17,G$2,G$3,101)/100</f>
        <v/>
      </c>
      <c r="H17" s="193">
        <f>-[1]!thsiFinD("ths_max_retrace_rate_all_fund",$D17,$H$2,$H$3)/100</f>
        <v/>
      </c>
      <c r="I17" s="192">
        <f>IFERROR(HLOOKUP($D17,'对标基金净值(iFinD公式)'!$2:$5,3,0),"")</f>
        <v/>
      </c>
      <c r="J17" s="194">
        <f>IFERROR((HLOOKUP($D17,'对标基金净值(iFinD公式)'!$2:$5,4,0)-说明!$C$16)/HLOOKUP($D17,'对标基金净值(iFinD公式)'!$2:$5,3,0),"")</f>
        <v/>
      </c>
      <c r="K17" s="194">
        <f>IFERROR(HLOOKUP($D17,'对标基金净值(iFinD公式)'!$2:$5,4,0)/ABS(H17),"")</f>
        <v/>
      </c>
      <c r="L17" s="192">
        <f>[1]!thsiFinD("ths_stock_mv_to_fanv_fund",$D17,$L$2)/100</f>
        <v/>
      </c>
      <c r="M17" s="195">
        <f>[1]!thsiFinD("ths_cbb_to_bond_invest_mv_fund",$D17,$L$2)/100*[1]!thsiFinD("ths_bond_mv_to_fanv_fund",$D17,$L$2)/100</f>
        <v/>
      </c>
    </row>
    <row r="19">
      <c r="B19" s="147" t="inlineStr">
        <is>
          <t>注1：股票仓位＝股票市值占基金资产净值比（iFinD：ths_stock_mv_to_fanv_fund，取最新季报）；转债仓位＝可转债市值占债券市值比（ths_cbb_to_bond_invest_mv_fund）×债券市值占基金资产净值比（ths_bond_mv_to_fanv_fund），即穿透后可转债占基金净值的比例；报告期统一取L2黄色单元格（当前2026-03-31，二季报披露后请改为2026-06-30）。</t>
        </is>
      </c>
    </row>
    <row r="20">
      <c r="B20" s="147" t="inlineStr">
        <is>
          <t>注2：年化波动率/夏普/卡玛按D列代码自动匹配「对标基金净值(iFinD公式)」页，口径与账户看板一致（年化242个交易日、无风险利率见「说明」C16）；卡玛＝区间年化收益÷|最大回撤(H列)|；区间起止日期联动「vs招行」页。替换/新增基金的操作见对标页底部说明。</t>
        </is>
      </c>
    </row>
  </sheetData>
  <mergeCells count="3">
    <mergeCell ref="C7:C17"/>
    <mergeCell ref="B7:B17"/>
    <mergeCell ref="B5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63"/>
  <sheetViews>
    <sheetView zoomScale="9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89" min="1" max="1"/>
    <col width="10" customWidth="1" style="89" min="2" max="2"/>
    <col width="9" customWidth="1" style="89" min="3" max="3"/>
    <col width="10" customWidth="1" style="89" min="4" max="4"/>
    <col width="9" customWidth="1" style="89" min="5" max="5"/>
    <col width="10" customWidth="1" style="89" min="6" max="6"/>
    <col width="9" customWidth="1" style="89" min="7" max="7"/>
    <col width="10" customWidth="1" style="89" min="8" max="8"/>
    <col width="9" customWidth="1" style="89" min="9" max="9"/>
    <col width="10" customWidth="1" style="89" min="10" max="10"/>
    <col width="9" customWidth="1" style="89" min="11" max="11"/>
    <col width="10" customWidth="1" style="89" min="12" max="12"/>
    <col width="9" customWidth="1" style="89" min="13" max="13"/>
    <col width="10" customWidth="1" style="89" min="14" max="14"/>
    <col width="9" customWidth="1" style="89" min="15" max="15"/>
    <col width="10" customWidth="1" style="89" min="16" max="16"/>
    <col width="9" customWidth="1" style="89" min="17" max="17"/>
    <col width="10" customWidth="1" style="89" min="18" max="18"/>
    <col width="9" customWidth="1" style="89" min="19" max="19"/>
    <col width="10" customWidth="1" style="89" min="20" max="20"/>
    <col width="9" customWidth="1" style="89" min="21" max="21"/>
    <col width="10" customWidth="1" style="89" min="22" max="22"/>
    <col width="9" customWidth="1" style="89" min="23" max="23"/>
    <col width="10" customWidth="1" style="89" min="24" max="24"/>
    <col width="9" customWidth="1" style="89" min="25" max="25"/>
    <col width="10" customWidth="1" style="89" min="26" max="26"/>
    <col width="9" customWidth="1" style="89" min="27" max="27"/>
    <col width="10" customWidth="1" style="89" min="28" max="28"/>
    <col width="9" customWidth="1" style="89" min="29" max="29"/>
    <col width="10" customWidth="1" style="89" min="30" max="30"/>
    <col width="9" customWidth="1" style="89" min="31" max="31"/>
    <col width="10" customWidth="1" style="89" min="32" max="32"/>
    <col width="9" customWidth="1" style="89" min="33" max="33"/>
    <col width="10" customWidth="1" style="89" min="34" max="34"/>
    <col width="9" customWidth="1" style="89" min="35" max="35"/>
    <col width="10" customWidth="1" style="89" min="36" max="36"/>
    <col width="9" customWidth="1" style="89" min="37" max="37"/>
    <col width="10" customWidth="1" style="89" min="38" max="38"/>
    <col width="9" customWidth="1" style="89" min="39" max="39"/>
    <col width="10" customWidth="1" style="89" min="40" max="40"/>
    <col width="9" customWidth="1" style="89" min="41" max="41"/>
  </cols>
  <sheetData>
    <row r="1">
      <c r="A1" s="148" t="inlineStr">
        <is>
          <t>对标基金净值 · iFinD复权单位净值（每基金两列一组：净值+日收益；供 vs招行 / vs固收+ 按代码HLOOKUP匹配）</t>
        </is>
      </c>
    </row>
    <row r="2">
      <c r="A2" s="149" t="inlineStr">
        <is>
          <t>基金代码→</t>
        </is>
      </c>
      <c r="B2" s="149" t="inlineStr">
        <is>
          <t>016768.OF</t>
        </is>
      </c>
      <c r="D2" s="149" t="inlineStr">
        <is>
          <t>025218.OF</t>
        </is>
      </c>
      <c r="F2" s="149" t="inlineStr">
        <is>
          <t>022978.OF</t>
        </is>
      </c>
      <c r="H2" s="149" t="inlineStr">
        <is>
          <t>017587.OF</t>
        </is>
      </c>
      <c r="J2" s="149" t="inlineStr">
        <is>
          <t>026682.OF</t>
        </is>
      </c>
      <c r="L2" s="149" t="inlineStr">
        <is>
          <t>025822.OF</t>
        </is>
      </c>
      <c r="N2" s="149" t="inlineStr">
        <is>
          <t>018312.OF</t>
        </is>
      </c>
      <c r="P2" s="149" t="inlineStr">
        <is>
          <t>024757.OF</t>
        </is>
      </c>
      <c r="R2" s="149" t="inlineStr">
        <is>
          <t>022202.OF</t>
        </is>
      </c>
      <c r="T2" s="149" t="inlineStr">
        <is>
          <t>001316.OF</t>
        </is>
      </c>
      <c r="V2" s="149" t="inlineStr">
        <is>
          <t>004010.OF</t>
        </is>
      </c>
      <c r="X2" s="149" t="inlineStr">
        <is>
          <t>016809.OF</t>
        </is>
      </c>
      <c r="Z2" s="149" t="inlineStr">
        <is>
          <t>002009.OF</t>
        </is>
      </c>
      <c r="AB2" s="149" t="inlineStr">
        <is>
          <t>009089.OF</t>
        </is>
      </c>
      <c r="AD2" s="149" t="inlineStr">
        <is>
          <t>675121.OF</t>
        </is>
      </c>
      <c r="AF2" s="149" t="inlineStr">
        <is>
          <t>005717.OF</t>
        </is>
      </c>
      <c r="AH2" s="149" t="inlineStr">
        <is>
          <t>018595.OF</t>
        </is>
      </c>
      <c r="AJ2" s="149" t="inlineStr">
        <is>
          <t>003504.OF</t>
        </is>
      </c>
      <c r="AL2" s="149" t="inlineStr">
        <is>
          <t>016718.OF</t>
        </is>
      </c>
      <c r="AN2" s="149" t="inlineStr">
        <is>
          <t>020857.OF</t>
        </is>
      </c>
    </row>
    <row r="3">
      <c r="A3" s="149" t="inlineStr">
        <is>
          <t>基金简称</t>
        </is>
      </c>
      <c r="B3" s="150">
        <f>[1]!thsiFinD("ths_fund_official_short_name_fund",B2)</f>
        <v/>
      </c>
      <c r="D3" s="150">
        <f>[1]!thsiFinD("ths_fund_official_short_name_fund",D2)</f>
        <v/>
      </c>
      <c r="F3" s="150">
        <f>[1]!thsiFinD("ths_fund_official_short_name_fund",F2)</f>
        <v/>
      </c>
      <c r="H3" s="150">
        <f>[1]!thsiFinD("ths_fund_official_short_name_fund",H2)</f>
        <v/>
      </c>
      <c r="J3" s="150">
        <f>[1]!thsiFinD("ths_fund_official_short_name_fund",J2)</f>
        <v/>
      </c>
      <c r="L3" s="150">
        <f>[1]!thsiFinD("ths_fund_official_short_name_fund",L2)</f>
        <v/>
      </c>
      <c r="N3" s="150">
        <f>[1]!thsiFinD("ths_fund_official_short_name_fund",N2)</f>
        <v/>
      </c>
      <c r="P3" s="150">
        <f>[1]!thsiFinD("ths_fund_official_short_name_fund",P2)</f>
        <v/>
      </c>
      <c r="R3" s="150">
        <f>[1]!thsiFinD("ths_fund_official_short_name_fund",R2)</f>
        <v/>
      </c>
      <c r="T3" s="150">
        <f>[1]!thsiFinD("ths_fund_official_short_name_fund",T2)</f>
        <v/>
      </c>
      <c r="V3" s="150">
        <f>[1]!thsiFinD("ths_fund_official_short_name_fund",V2)</f>
        <v/>
      </c>
      <c r="X3" s="150">
        <f>[1]!thsiFinD("ths_fund_official_short_name_fund",X2)</f>
        <v/>
      </c>
      <c r="Z3" s="150">
        <f>[1]!thsiFinD("ths_fund_official_short_name_fund",Z2)</f>
        <v/>
      </c>
      <c r="AB3" s="150">
        <f>[1]!thsiFinD("ths_fund_official_short_name_fund",AB2)</f>
        <v/>
      </c>
      <c r="AD3" s="150">
        <f>[1]!thsiFinD("ths_fund_official_short_name_fund",AD2)</f>
        <v/>
      </c>
      <c r="AF3" s="150">
        <f>[1]!thsiFinD("ths_fund_official_short_name_fund",AF2)</f>
        <v/>
      </c>
      <c r="AH3" s="150">
        <f>[1]!thsiFinD("ths_fund_official_short_name_fund",AH2)</f>
        <v/>
      </c>
      <c r="AJ3" s="150">
        <f>[1]!thsiFinD("ths_fund_official_short_name_fund",AJ2)</f>
        <v/>
      </c>
      <c r="AL3" s="150">
        <f>[1]!thsiFinD("ths_fund_official_short_name_fund",AL2)</f>
        <v/>
      </c>
      <c r="AN3" s="150">
        <f>[1]!thsiFinD("ths_fund_official_short_name_fund",AN2)</f>
        <v/>
      </c>
    </row>
    <row r="4">
      <c r="A4" s="149" t="inlineStr">
        <is>
          <t>年化波动率</t>
        </is>
      </c>
      <c r="B4" s="83">
        <f>IF(COUNT(C8:C61)&lt;2,"",STDEV(C8:C61)*SQRT(说明!$C$17))</f>
        <v/>
      </c>
      <c r="D4" s="83">
        <f>IF(COUNT(E8:E61)&lt;2,"",STDEV(E8:E61)*SQRT(说明!$C$17))</f>
        <v/>
      </c>
      <c r="F4" s="83">
        <f>IF(COUNT(G8:G61)&lt;2,"",STDEV(G8:G61)*SQRT(说明!$C$17))</f>
        <v/>
      </c>
      <c r="H4" s="83">
        <f>IF(COUNT(I8:I61)&lt;2,"",STDEV(I8:I61)*SQRT(说明!$C$17))</f>
        <v/>
      </c>
      <c r="J4" s="83">
        <f>IF(COUNT(K8:K61)&lt;2,"",STDEV(K8:K61)*SQRT(说明!$C$17))</f>
        <v/>
      </c>
      <c r="L4" s="83">
        <f>IF(COUNT(M8:M61)&lt;2,"",STDEV(M8:M61)*SQRT(说明!$C$17))</f>
        <v/>
      </c>
      <c r="N4" s="83">
        <f>IF(COUNT(O8:O61)&lt;2,"",STDEV(O8:O61)*SQRT(说明!$C$17))</f>
        <v/>
      </c>
      <c r="P4" s="83">
        <f>IF(COUNT(Q8:Q61)&lt;2,"",STDEV(Q8:Q61)*SQRT(说明!$C$17))</f>
        <v/>
      </c>
      <c r="R4" s="83">
        <f>IF(COUNT(S8:S61)&lt;2,"",STDEV(S8:S61)*SQRT(说明!$C$17))</f>
        <v/>
      </c>
      <c r="T4" s="83">
        <f>IF(COUNT(U8:U61)&lt;2,"",STDEV(U8:U61)*SQRT(说明!$C$17))</f>
        <v/>
      </c>
      <c r="V4" s="83">
        <f>IF(COUNT(W8:W61)&lt;2,"",STDEV(W8:W61)*SQRT(说明!$C$17))</f>
        <v/>
      </c>
      <c r="X4" s="83">
        <f>IF(COUNT(Y8:Y61)&lt;2,"",STDEV(Y8:Y61)*SQRT(说明!$C$17))</f>
        <v/>
      </c>
      <c r="Z4" s="83">
        <f>IF(COUNT(AA8:AA61)&lt;2,"",STDEV(AA8:AA61)*SQRT(说明!$C$17))</f>
        <v/>
      </c>
      <c r="AB4" s="83">
        <f>IF(COUNT(AC8:AC61)&lt;2,"",STDEV(AC8:AC61)*SQRT(说明!$C$17))</f>
        <v/>
      </c>
      <c r="AD4" s="83">
        <f>IF(COUNT(AE8:AE61)&lt;2,"",STDEV(AE8:AE61)*SQRT(说明!$C$17))</f>
        <v/>
      </c>
      <c r="AF4" s="83">
        <f>IF(COUNT(AG8:AG61)&lt;2,"",STDEV(AG8:AG61)*SQRT(说明!$C$17))</f>
        <v/>
      </c>
      <c r="AH4" s="83">
        <f>IF(COUNT(AI8:AI61)&lt;2,"",STDEV(AI8:AI61)*SQRT(说明!$C$17))</f>
        <v/>
      </c>
      <c r="AJ4" s="83">
        <f>IF(COUNT(AK8:AK61)&lt;2,"",STDEV(AK8:AK61)*SQRT(说明!$C$17))</f>
        <v/>
      </c>
      <c r="AL4" s="83">
        <f>IF(COUNT(AM8:AM61)&lt;2,"",STDEV(AM8:AM61)*SQRT(说明!$C$17))</f>
        <v/>
      </c>
      <c r="AN4" s="83">
        <f>IF(COUNT(AO8:AO61)&lt;2,"",STDEV(AO8:AO61)*SQRT(说明!$C$17))</f>
        <v/>
      </c>
    </row>
    <row r="5">
      <c r="A5" s="149" t="inlineStr">
        <is>
          <t>区间年化收益</t>
        </is>
      </c>
      <c r="B5" s="83">
        <f>IFERROR((LOOKUP(2,1/(B7:B61&lt;&gt;""),B7:B61)/B7)^(说明!$C$17/MAX(COUNT(C8:C61),1))-1,"")</f>
        <v/>
      </c>
      <c r="D5" s="83">
        <f>IFERROR((LOOKUP(2,1/(D7:D61&lt;&gt;""),D7:D61)/D7)^(说明!$C$17/MAX(COUNT(E8:E61),1))-1,"")</f>
        <v/>
      </c>
      <c r="F5" s="83">
        <f>IFERROR((LOOKUP(2,1/(F7:F61&lt;&gt;""),F7:F61)/F7)^(说明!$C$17/MAX(COUNT(G8:G61),1))-1,"")</f>
        <v/>
      </c>
      <c r="H5" s="83">
        <f>IFERROR((LOOKUP(2,1/(H7:H61&lt;&gt;""),H7:H61)/H7)^(说明!$C$17/MAX(COUNT(I8:I61),1))-1,"")</f>
        <v/>
      </c>
      <c r="J5" s="83">
        <f>IFERROR((LOOKUP(2,1/(J7:J61&lt;&gt;""),J7:J61)/J7)^(说明!$C$17/MAX(COUNT(K8:K61),1))-1,"")</f>
        <v/>
      </c>
      <c r="L5" s="83">
        <f>IFERROR((LOOKUP(2,1/(L7:L61&lt;&gt;""),L7:L61)/L7)^(说明!$C$17/MAX(COUNT(M8:M61),1))-1,"")</f>
        <v/>
      </c>
      <c r="N5" s="83">
        <f>IFERROR((LOOKUP(2,1/(N7:N61&lt;&gt;""),N7:N61)/N7)^(说明!$C$17/MAX(COUNT(O8:O61),1))-1,"")</f>
        <v/>
      </c>
      <c r="P5" s="83">
        <f>IFERROR((LOOKUP(2,1/(P7:P61&lt;&gt;""),P7:P61)/P7)^(说明!$C$17/MAX(COUNT(Q8:Q61),1))-1,"")</f>
        <v/>
      </c>
      <c r="R5" s="83">
        <f>IFERROR((LOOKUP(2,1/(R7:R61&lt;&gt;""),R7:R61)/R7)^(说明!$C$17/MAX(COUNT(S8:S61),1))-1,"")</f>
        <v/>
      </c>
      <c r="T5" s="83">
        <f>IFERROR((LOOKUP(2,1/(T7:T61&lt;&gt;""),T7:T61)/T7)^(说明!$C$17/MAX(COUNT(U8:U61),1))-1,"")</f>
        <v/>
      </c>
      <c r="V5" s="83">
        <f>IFERROR((LOOKUP(2,1/(V7:V61&lt;&gt;""),V7:V61)/V7)^(说明!$C$17/MAX(COUNT(W8:W61),1))-1,"")</f>
        <v/>
      </c>
      <c r="X5" s="83">
        <f>IFERROR((LOOKUP(2,1/(X7:X61&lt;&gt;""),X7:X61)/X7)^(说明!$C$17/MAX(COUNT(Y8:Y61),1))-1,"")</f>
        <v/>
      </c>
      <c r="Z5" s="83">
        <f>IFERROR((LOOKUP(2,1/(Z7:Z61&lt;&gt;""),Z7:Z61)/Z7)^(说明!$C$17/MAX(COUNT(AA8:AA61),1))-1,"")</f>
        <v/>
      </c>
      <c r="AB5" s="83">
        <f>IFERROR((LOOKUP(2,1/(AB7:AB61&lt;&gt;""),AB7:AB61)/AB7)^(说明!$C$17/MAX(COUNT(AC8:AC61),1))-1,"")</f>
        <v/>
      </c>
      <c r="AD5" s="83">
        <f>IFERROR((LOOKUP(2,1/(AD7:AD61&lt;&gt;""),AD7:AD61)/AD7)^(说明!$C$17/MAX(COUNT(AE8:AE61),1))-1,"")</f>
        <v/>
      </c>
      <c r="AF5" s="83">
        <f>IFERROR((LOOKUP(2,1/(AF7:AF61&lt;&gt;""),AF7:AF61)/AF7)^(说明!$C$17/MAX(COUNT(AG8:AG61),1))-1,"")</f>
        <v/>
      </c>
      <c r="AH5" s="83">
        <f>IFERROR((LOOKUP(2,1/(AH7:AH61&lt;&gt;""),AH7:AH61)/AH7)^(说明!$C$17/MAX(COUNT(AI8:AI61),1))-1,"")</f>
        <v/>
      </c>
      <c r="AJ5" s="83">
        <f>IFERROR((LOOKUP(2,1/(AJ7:AJ61&lt;&gt;""),AJ7:AJ61)/AJ7)^(说明!$C$17/MAX(COUNT(AK8:AK61),1))-1,"")</f>
        <v/>
      </c>
      <c r="AL5" s="83">
        <f>IFERROR((LOOKUP(2,1/(AL7:AL61&lt;&gt;""),AL7:AL61)/AL7)^(说明!$C$17/MAX(COUNT(AM8:AM61),1))-1,"")</f>
        <v/>
      </c>
      <c r="AN5" s="83">
        <f>IFERROR((LOOKUP(2,1/(AN7:AN61&lt;&gt;""),AN7:AN61)/AN7)^(说明!$C$17/MAX(COUNT(AO8:AO61),1))-1,"")</f>
        <v/>
      </c>
    </row>
    <row r="6">
      <c r="A6" s="151" t="inlineStr">
        <is>
          <t>日期</t>
        </is>
      </c>
      <c r="B6" s="151" t="inlineStr">
        <is>
          <t>复权净值</t>
        </is>
      </c>
      <c r="C6" s="151" t="inlineStr">
        <is>
          <t>日收益</t>
        </is>
      </c>
      <c r="D6" s="151" t="inlineStr">
        <is>
          <t>复权净值</t>
        </is>
      </c>
      <c r="E6" s="151" t="inlineStr">
        <is>
          <t>日收益</t>
        </is>
      </c>
      <c r="F6" s="151" t="inlineStr">
        <is>
          <t>复权净值</t>
        </is>
      </c>
      <c r="G6" s="151" t="inlineStr">
        <is>
          <t>日收益</t>
        </is>
      </c>
      <c r="H6" s="151" t="inlineStr">
        <is>
          <t>复权净值</t>
        </is>
      </c>
      <c r="I6" s="151" t="inlineStr">
        <is>
          <t>日收益</t>
        </is>
      </c>
      <c r="J6" s="151" t="inlineStr">
        <is>
          <t>复权净值</t>
        </is>
      </c>
      <c r="K6" s="151" t="inlineStr">
        <is>
          <t>日收益</t>
        </is>
      </c>
      <c r="L6" s="151" t="inlineStr">
        <is>
          <t>复权净值</t>
        </is>
      </c>
      <c r="M6" s="151" t="inlineStr">
        <is>
          <t>日收益</t>
        </is>
      </c>
      <c r="N6" s="151" t="inlineStr">
        <is>
          <t>复权净值</t>
        </is>
      </c>
      <c r="O6" s="151" t="inlineStr">
        <is>
          <t>日收益</t>
        </is>
      </c>
      <c r="P6" s="151" t="inlineStr">
        <is>
          <t>复权净值</t>
        </is>
      </c>
      <c r="Q6" s="151" t="inlineStr">
        <is>
          <t>日收益</t>
        </is>
      </c>
      <c r="R6" s="151" t="inlineStr">
        <is>
          <t>复权净值</t>
        </is>
      </c>
      <c r="S6" s="151" t="inlineStr">
        <is>
          <t>日收益</t>
        </is>
      </c>
      <c r="T6" s="151" t="inlineStr">
        <is>
          <t>复权净值</t>
        </is>
      </c>
      <c r="U6" s="151" t="inlineStr">
        <is>
          <t>日收益</t>
        </is>
      </c>
      <c r="V6" s="151" t="inlineStr">
        <is>
          <t>复权净值</t>
        </is>
      </c>
      <c r="W6" s="151" t="inlineStr">
        <is>
          <t>日收益</t>
        </is>
      </c>
      <c r="X6" s="151" t="inlineStr">
        <is>
          <t>复权净值</t>
        </is>
      </c>
      <c r="Y6" s="151" t="inlineStr">
        <is>
          <t>日收益</t>
        </is>
      </c>
      <c r="Z6" s="151" t="inlineStr">
        <is>
          <t>复权净值</t>
        </is>
      </c>
      <c r="AA6" s="151" t="inlineStr">
        <is>
          <t>日收益</t>
        </is>
      </c>
      <c r="AB6" s="151" t="inlineStr">
        <is>
          <t>复权净值</t>
        </is>
      </c>
      <c r="AC6" s="151" t="inlineStr">
        <is>
          <t>日收益</t>
        </is>
      </c>
      <c r="AD6" s="151" t="inlineStr">
        <is>
          <t>复权净值</t>
        </is>
      </c>
      <c r="AE6" s="151" t="inlineStr">
        <is>
          <t>日收益</t>
        </is>
      </c>
      <c r="AF6" s="151" t="inlineStr">
        <is>
          <t>复权净值</t>
        </is>
      </c>
      <c r="AG6" s="151" t="inlineStr">
        <is>
          <t>日收益</t>
        </is>
      </c>
      <c r="AH6" s="151" t="inlineStr">
        <is>
          <t>复权净值</t>
        </is>
      </c>
      <c r="AI6" s="151" t="inlineStr">
        <is>
          <t>日收益</t>
        </is>
      </c>
      <c r="AJ6" s="151" t="inlineStr">
        <is>
          <t>复权净值</t>
        </is>
      </c>
      <c r="AK6" s="151" t="inlineStr">
        <is>
          <t>日收益</t>
        </is>
      </c>
      <c r="AL6" s="151" t="inlineStr">
        <is>
          <t>复权净值</t>
        </is>
      </c>
      <c r="AM6" s="151" t="inlineStr">
        <is>
          <t>日收益</t>
        </is>
      </c>
      <c r="AN6" s="151" t="inlineStr">
        <is>
          <t>复权净值</t>
        </is>
      </c>
      <c r="AO6" s="151" t="inlineStr">
        <is>
          <t>日收益</t>
        </is>
      </c>
    </row>
    <row r="7">
      <c r="A7" s="152">
        <f>IF(组合净值!A6="","",组合净值!A6)</f>
        <v/>
      </c>
      <c r="B7" s="153">
        <f>IF($A7="","",[1]!thsiFinD("ths_adjustment_nv_fund",B$2,$A7))</f>
        <v/>
      </c>
      <c r="D7" s="153">
        <f>IF($A7="","",[1]!thsiFinD("ths_adjustment_nv_fund",D$2,$A7))</f>
        <v/>
      </c>
      <c r="F7" s="153">
        <f>IF($A7="","",[1]!thsiFinD("ths_adjustment_nv_fund",F$2,$A7))</f>
        <v/>
      </c>
      <c r="H7" s="153">
        <f>IF($A7="","",[1]!thsiFinD("ths_adjustment_nv_fund",H$2,$A7))</f>
        <v/>
      </c>
      <c r="J7" s="153">
        <f>IF($A7="","",[1]!thsiFinD("ths_adjustment_nv_fund",J$2,$A7))</f>
        <v/>
      </c>
      <c r="L7" s="153">
        <f>IF($A7="","",[1]!thsiFinD("ths_adjustment_nv_fund",L$2,$A7))</f>
        <v/>
      </c>
      <c r="N7" s="153">
        <f>IF($A7="","",[1]!thsiFinD("ths_adjustment_nv_fund",N$2,$A7))</f>
        <v/>
      </c>
      <c r="P7" s="153">
        <f>IF($A7="","",[1]!thsiFinD("ths_adjustment_nv_fund",P$2,$A7))</f>
        <v/>
      </c>
      <c r="R7" s="153">
        <f>IF($A7="","",[1]!thsiFinD("ths_adjustment_nv_fund",R$2,$A7))</f>
        <v/>
      </c>
      <c r="T7" s="153">
        <f>IF($A7="","",[1]!thsiFinD("ths_adjustment_nv_fund",T$2,$A7))</f>
        <v/>
      </c>
      <c r="V7" s="153">
        <f>IF($A7="","",[1]!thsiFinD("ths_adjustment_nv_fund",V$2,$A7))</f>
        <v/>
      </c>
      <c r="X7" s="153">
        <f>IF($A7="","",[1]!thsiFinD("ths_adjustment_nv_fund",X$2,$A7))</f>
        <v/>
      </c>
      <c r="Z7" s="153">
        <f>IF($A7="","",[1]!thsiFinD("ths_adjustment_nv_fund",Z$2,$A7))</f>
        <v/>
      </c>
      <c r="AB7" s="153">
        <f>IF($A7="","",[1]!thsiFinD("ths_adjustment_nv_fund",AB$2,$A7))</f>
        <v/>
      </c>
      <c r="AD7" s="153">
        <f>IF($A7="","",[1]!thsiFinD("ths_adjustment_nv_fund",AD$2,$A7))</f>
        <v/>
      </c>
      <c r="AF7" s="153">
        <f>IF($A7="","",[1]!thsiFinD("ths_adjustment_nv_fund",AF$2,$A7))</f>
        <v/>
      </c>
      <c r="AH7" s="153">
        <f>IF($A7="","",[1]!thsiFinD("ths_adjustment_nv_fund",AH$2,$A7))</f>
        <v/>
      </c>
      <c r="AJ7" s="153">
        <f>IF($A7="","",[1]!thsiFinD("ths_adjustment_nv_fund",AJ$2,$A7))</f>
        <v/>
      </c>
      <c r="AL7" s="153">
        <f>IF($A7="","",[1]!thsiFinD("ths_adjustment_nv_fund",AL$2,$A7))</f>
        <v/>
      </c>
      <c r="AN7" s="153">
        <f>IF($A7="","",[1]!thsiFinD("ths_adjustment_nv_fund",AN$2,$A7))</f>
        <v/>
      </c>
    </row>
    <row r="8">
      <c r="A8" s="152">
        <f>IF(组合净值!A7="","",组合净值!A7)</f>
        <v/>
      </c>
      <c r="B8" s="153">
        <f>IF($A8="","",[1]!thsiFinD("ths_adjustment_nv_fund",B$2,$A8))</f>
        <v/>
      </c>
      <c r="C8" s="83">
        <f>IF(OR($A8="",B8="",B7=""),"",B8/B7-1)</f>
        <v/>
      </c>
      <c r="D8" s="153">
        <f>IF($A8="","",[1]!thsiFinD("ths_adjustment_nv_fund",D$2,$A8))</f>
        <v/>
      </c>
      <c r="E8" s="83">
        <f>IF(OR($A8="",D8="",D7=""),"",D8/D7-1)</f>
        <v/>
      </c>
      <c r="F8" s="153">
        <f>IF($A8="","",[1]!thsiFinD("ths_adjustment_nv_fund",F$2,$A8))</f>
        <v/>
      </c>
      <c r="G8" s="83">
        <f>IF(OR($A8="",F8="",F7=""),"",F8/F7-1)</f>
        <v/>
      </c>
      <c r="H8" s="153">
        <f>IF($A8="","",[1]!thsiFinD("ths_adjustment_nv_fund",H$2,$A8))</f>
        <v/>
      </c>
      <c r="I8" s="83">
        <f>IF(OR($A8="",H8="",H7=""),"",H8/H7-1)</f>
        <v/>
      </c>
      <c r="J8" s="153">
        <f>IF($A8="","",[1]!thsiFinD("ths_adjustment_nv_fund",J$2,$A8))</f>
        <v/>
      </c>
      <c r="K8" s="83">
        <f>IF(OR($A8="",J8="",J7=""),"",J8/J7-1)</f>
        <v/>
      </c>
      <c r="L8" s="153">
        <f>IF($A8="","",[1]!thsiFinD("ths_adjustment_nv_fund",L$2,$A8))</f>
        <v/>
      </c>
      <c r="M8" s="83">
        <f>IF(OR($A8="",L8="",L7=""),"",L8/L7-1)</f>
        <v/>
      </c>
      <c r="N8" s="153">
        <f>IF($A8="","",[1]!thsiFinD("ths_adjustment_nv_fund",N$2,$A8))</f>
        <v/>
      </c>
      <c r="O8" s="83">
        <f>IF(OR($A8="",N8="",N7=""),"",N8/N7-1)</f>
        <v/>
      </c>
      <c r="P8" s="153">
        <f>IF($A8="","",[1]!thsiFinD("ths_adjustment_nv_fund",P$2,$A8))</f>
        <v/>
      </c>
      <c r="Q8" s="83">
        <f>IF(OR($A8="",P8="",P7=""),"",P8/P7-1)</f>
        <v/>
      </c>
      <c r="R8" s="153">
        <f>IF($A8="","",[1]!thsiFinD("ths_adjustment_nv_fund",R$2,$A8))</f>
        <v/>
      </c>
      <c r="S8" s="83">
        <f>IF(OR($A8="",R8="",R7=""),"",R8/R7-1)</f>
        <v/>
      </c>
      <c r="T8" s="153">
        <f>IF($A8="","",[1]!thsiFinD("ths_adjustment_nv_fund",T$2,$A8))</f>
        <v/>
      </c>
      <c r="U8" s="83">
        <f>IF(OR($A8="",T8="",T7=""),"",T8/T7-1)</f>
        <v/>
      </c>
      <c r="V8" s="153">
        <f>IF($A8="","",[1]!thsiFinD("ths_adjustment_nv_fund",V$2,$A8))</f>
        <v/>
      </c>
      <c r="W8" s="83">
        <f>IF(OR($A8="",V8="",V7=""),"",V8/V7-1)</f>
        <v/>
      </c>
      <c r="X8" s="153">
        <f>IF($A8="","",[1]!thsiFinD("ths_adjustment_nv_fund",X$2,$A8))</f>
        <v/>
      </c>
      <c r="Y8" s="83">
        <f>IF(OR($A8="",X8="",X7=""),"",X8/X7-1)</f>
        <v/>
      </c>
      <c r="Z8" s="153">
        <f>IF($A8="","",[1]!thsiFinD("ths_adjustment_nv_fund",Z$2,$A8))</f>
        <v/>
      </c>
      <c r="AA8" s="83">
        <f>IF(OR($A8="",Z8="",Z7=""),"",Z8/Z7-1)</f>
        <v/>
      </c>
      <c r="AB8" s="153">
        <f>IF($A8="","",[1]!thsiFinD("ths_adjustment_nv_fund",AB$2,$A8))</f>
        <v/>
      </c>
      <c r="AC8" s="83">
        <f>IF(OR($A8="",AB8="",AB7=""),"",AB8/AB7-1)</f>
        <v/>
      </c>
      <c r="AD8" s="153">
        <f>IF($A8="","",[1]!thsiFinD("ths_adjustment_nv_fund",AD$2,$A8))</f>
        <v/>
      </c>
      <c r="AE8" s="83">
        <f>IF(OR($A8="",AD8="",AD7=""),"",AD8/AD7-1)</f>
        <v/>
      </c>
      <c r="AF8" s="153">
        <f>IF($A8="","",[1]!thsiFinD("ths_adjustment_nv_fund",AF$2,$A8))</f>
        <v/>
      </c>
      <c r="AG8" s="83">
        <f>IF(OR($A8="",AF8="",AF7=""),"",AF8/AF7-1)</f>
        <v/>
      </c>
      <c r="AH8" s="153">
        <f>IF($A8="","",[1]!thsiFinD("ths_adjustment_nv_fund",AH$2,$A8))</f>
        <v/>
      </c>
      <c r="AI8" s="83">
        <f>IF(OR($A8="",AH8="",AH7=""),"",AH8/AH7-1)</f>
        <v/>
      </c>
      <c r="AJ8" s="153">
        <f>IF($A8="","",[1]!thsiFinD("ths_adjustment_nv_fund",AJ$2,$A8))</f>
        <v/>
      </c>
      <c r="AK8" s="83">
        <f>IF(OR($A8="",AJ8="",AJ7=""),"",AJ8/AJ7-1)</f>
        <v/>
      </c>
      <c r="AL8" s="153">
        <f>IF($A8="","",[1]!thsiFinD("ths_adjustment_nv_fund",AL$2,$A8))</f>
        <v/>
      </c>
      <c r="AM8" s="83">
        <f>IF(OR($A8="",AL8="",AL7=""),"",AL8/AL7-1)</f>
        <v/>
      </c>
      <c r="AN8" s="153">
        <f>IF($A8="","",[1]!thsiFinD("ths_adjustment_nv_fund",AN$2,$A8))</f>
        <v/>
      </c>
      <c r="AO8" s="83">
        <f>IF(OR($A8="",AN8="",AN7=""),"",AN8/AN7-1)</f>
        <v/>
      </c>
    </row>
    <row r="9">
      <c r="A9" s="152">
        <f>IF(组合净值!A8="","",组合净值!A8)</f>
        <v/>
      </c>
      <c r="B9" s="153">
        <f>IF($A9="","",[1]!thsiFinD("ths_adjustment_nv_fund",B$2,$A9))</f>
        <v/>
      </c>
      <c r="C9" s="83">
        <f>IF(OR($A9="",B9="",B8=""),"",B9/B8-1)</f>
        <v/>
      </c>
      <c r="D9" s="153">
        <f>IF($A9="","",[1]!thsiFinD("ths_adjustment_nv_fund",D$2,$A9))</f>
        <v/>
      </c>
      <c r="E9" s="83">
        <f>IF(OR($A9="",D9="",D8=""),"",D9/D8-1)</f>
        <v/>
      </c>
      <c r="F9" s="153">
        <f>IF($A9="","",[1]!thsiFinD("ths_adjustment_nv_fund",F$2,$A9))</f>
        <v/>
      </c>
      <c r="G9" s="83">
        <f>IF(OR($A9="",F9="",F8=""),"",F9/F8-1)</f>
        <v/>
      </c>
      <c r="H9" s="153">
        <f>IF($A9="","",[1]!thsiFinD("ths_adjustment_nv_fund",H$2,$A9))</f>
        <v/>
      </c>
      <c r="I9" s="83">
        <f>IF(OR($A9="",H9="",H8=""),"",H9/H8-1)</f>
        <v/>
      </c>
      <c r="J9" s="153">
        <f>IF($A9="","",[1]!thsiFinD("ths_adjustment_nv_fund",J$2,$A9))</f>
        <v/>
      </c>
      <c r="K9" s="83">
        <f>IF(OR($A9="",J9="",J8=""),"",J9/J8-1)</f>
        <v/>
      </c>
      <c r="L9" s="153">
        <f>IF($A9="","",[1]!thsiFinD("ths_adjustment_nv_fund",L$2,$A9))</f>
        <v/>
      </c>
      <c r="M9" s="83">
        <f>IF(OR($A9="",L9="",L8=""),"",L9/L8-1)</f>
        <v/>
      </c>
      <c r="N9" s="153">
        <f>IF($A9="","",[1]!thsiFinD("ths_adjustment_nv_fund",N$2,$A9))</f>
        <v/>
      </c>
      <c r="O9" s="83">
        <f>IF(OR($A9="",N9="",N8=""),"",N9/N8-1)</f>
        <v/>
      </c>
      <c r="P9" s="153">
        <f>IF($A9="","",[1]!thsiFinD("ths_adjustment_nv_fund",P$2,$A9))</f>
        <v/>
      </c>
      <c r="Q9" s="83">
        <f>IF(OR($A9="",P9="",P8=""),"",P9/P8-1)</f>
        <v/>
      </c>
      <c r="R9" s="153">
        <f>IF($A9="","",[1]!thsiFinD("ths_adjustment_nv_fund",R$2,$A9))</f>
        <v/>
      </c>
      <c r="S9" s="83">
        <f>IF(OR($A9="",R9="",R8=""),"",R9/R8-1)</f>
        <v/>
      </c>
      <c r="T9" s="153">
        <f>IF($A9="","",[1]!thsiFinD("ths_adjustment_nv_fund",T$2,$A9))</f>
        <v/>
      </c>
      <c r="U9" s="83">
        <f>IF(OR($A9="",T9="",T8=""),"",T9/T8-1)</f>
        <v/>
      </c>
      <c r="V9" s="153">
        <f>IF($A9="","",[1]!thsiFinD("ths_adjustment_nv_fund",V$2,$A9))</f>
        <v/>
      </c>
      <c r="W9" s="83">
        <f>IF(OR($A9="",V9="",V8=""),"",V9/V8-1)</f>
        <v/>
      </c>
      <c r="X9" s="153">
        <f>IF($A9="","",[1]!thsiFinD("ths_adjustment_nv_fund",X$2,$A9))</f>
        <v/>
      </c>
      <c r="Y9" s="83">
        <f>IF(OR($A9="",X9="",X8=""),"",X9/X8-1)</f>
        <v/>
      </c>
      <c r="Z9" s="153">
        <f>IF($A9="","",[1]!thsiFinD("ths_adjustment_nv_fund",Z$2,$A9))</f>
        <v/>
      </c>
      <c r="AA9" s="83">
        <f>IF(OR($A9="",Z9="",Z8=""),"",Z9/Z8-1)</f>
        <v/>
      </c>
      <c r="AB9" s="153">
        <f>IF($A9="","",[1]!thsiFinD("ths_adjustment_nv_fund",AB$2,$A9))</f>
        <v/>
      </c>
      <c r="AC9" s="83">
        <f>IF(OR($A9="",AB9="",AB8=""),"",AB9/AB8-1)</f>
        <v/>
      </c>
      <c r="AD9" s="153">
        <f>IF($A9="","",[1]!thsiFinD("ths_adjustment_nv_fund",AD$2,$A9))</f>
        <v/>
      </c>
      <c r="AE9" s="83">
        <f>IF(OR($A9="",AD9="",AD8=""),"",AD9/AD8-1)</f>
        <v/>
      </c>
      <c r="AF9" s="153">
        <f>IF($A9="","",[1]!thsiFinD("ths_adjustment_nv_fund",AF$2,$A9))</f>
        <v/>
      </c>
      <c r="AG9" s="83">
        <f>IF(OR($A9="",AF9="",AF8=""),"",AF9/AF8-1)</f>
        <v/>
      </c>
      <c r="AH9" s="153">
        <f>IF($A9="","",[1]!thsiFinD("ths_adjustment_nv_fund",AH$2,$A9))</f>
        <v/>
      </c>
      <c r="AI9" s="83">
        <f>IF(OR($A9="",AH9="",AH8=""),"",AH9/AH8-1)</f>
        <v/>
      </c>
      <c r="AJ9" s="153">
        <f>IF($A9="","",[1]!thsiFinD("ths_adjustment_nv_fund",AJ$2,$A9))</f>
        <v/>
      </c>
      <c r="AK9" s="83">
        <f>IF(OR($A9="",AJ9="",AJ8=""),"",AJ9/AJ8-1)</f>
        <v/>
      </c>
      <c r="AL9" s="153">
        <f>IF($A9="","",[1]!thsiFinD("ths_adjustment_nv_fund",AL$2,$A9))</f>
        <v/>
      </c>
      <c r="AM9" s="83">
        <f>IF(OR($A9="",AL9="",AL8=""),"",AL9/AL8-1)</f>
        <v/>
      </c>
      <c r="AN9" s="153">
        <f>IF($A9="","",[1]!thsiFinD("ths_adjustment_nv_fund",AN$2,$A9))</f>
        <v/>
      </c>
      <c r="AO9" s="83">
        <f>IF(OR($A9="",AN9="",AN8=""),"",AN9/AN8-1)</f>
        <v/>
      </c>
    </row>
    <row r="10">
      <c r="A10" s="152">
        <f>IF(组合净值!A9="","",组合净值!A9)</f>
        <v/>
      </c>
      <c r="B10" s="153">
        <f>IF($A10="","",[1]!thsiFinD("ths_adjustment_nv_fund",B$2,$A10))</f>
        <v/>
      </c>
      <c r="C10" s="83">
        <f>IF(OR($A10="",B10="",B9=""),"",B10/B9-1)</f>
        <v/>
      </c>
      <c r="D10" s="153">
        <f>IF($A10="","",[1]!thsiFinD("ths_adjustment_nv_fund",D$2,$A10))</f>
        <v/>
      </c>
      <c r="E10" s="83">
        <f>IF(OR($A10="",D10="",D9=""),"",D10/D9-1)</f>
        <v/>
      </c>
      <c r="F10" s="153">
        <f>IF($A10="","",[1]!thsiFinD("ths_adjustment_nv_fund",F$2,$A10))</f>
        <v/>
      </c>
      <c r="G10" s="83">
        <f>IF(OR($A10="",F10="",F9=""),"",F10/F9-1)</f>
        <v/>
      </c>
      <c r="H10" s="153">
        <f>IF($A10="","",[1]!thsiFinD("ths_adjustment_nv_fund",H$2,$A10))</f>
        <v/>
      </c>
      <c r="I10" s="83">
        <f>IF(OR($A10="",H10="",H9=""),"",H10/H9-1)</f>
        <v/>
      </c>
      <c r="J10" s="153">
        <f>IF($A10="","",[1]!thsiFinD("ths_adjustment_nv_fund",J$2,$A10))</f>
        <v/>
      </c>
      <c r="K10" s="83">
        <f>IF(OR($A10="",J10="",J9=""),"",J10/J9-1)</f>
        <v/>
      </c>
      <c r="L10" s="153">
        <f>IF($A10="","",[1]!thsiFinD("ths_adjustment_nv_fund",L$2,$A10))</f>
        <v/>
      </c>
      <c r="M10" s="83">
        <f>IF(OR($A10="",L10="",L9=""),"",L10/L9-1)</f>
        <v/>
      </c>
      <c r="N10" s="153">
        <f>IF($A10="","",[1]!thsiFinD("ths_adjustment_nv_fund",N$2,$A10))</f>
        <v/>
      </c>
      <c r="O10" s="83">
        <f>IF(OR($A10="",N10="",N9=""),"",N10/N9-1)</f>
        <v/>
      </c>
      <c r="P10" s="153">
        <f>IF($A10="","",[1]!thsiFinD("ths_adjustment_nv_fund",P$2,$A10))</f>
        <v/>
      </c>
      <c r="Q10" s="83">
        <f>IF(OR($A10="",P10="",P9=""),"",P10/P9-1)</f>
        <v/>
      </c>
      <c r="R10" s="153">
        <f>IF($A10="","",[1]!thsiFinD("ths_adjustment_nv_fund",R$2,$A10))</f>
        <v/>
      </c>
      <c r="S10" s="83">
        <f>IF(OR($A10="",R10="",R9=""),"",R10/R9-1)</f>
        <v/>
      </c>
      <c r="T10" s="153">
        <f>IF($A10="","",[1]!thsiFinD("ths_adjustment_nv_fund",T$2,$A10))</f>
        <v/>
      </c>
      <c r="U10" s="83">
        <f>IF(OR($A10="",T10="",T9=""),"",T10/T9-1)</f>
        <v/>
      </c>
      <c r="V10" s="153">
        <f>IF($A10="","",[1]!thsiFinD("ths_adjustment_nv_fund",V$2,$A10))</f>
        <v/>
      </c>
      <c r="W10" s="83">
        <f>IF(OR($A10="",V10="",V9=""),"",V10/V9-1)</f>
        <v/>
      </c>
      <c r="X10" s="153">
        <f>IF($A10="","",[1]!thsiFinD("ths_adjustment_nv_fund",X$2,$A10))</f>
        <v/>
      </c>
      <c r="Y10" s="83">
        <f>IF(OR($A10="",X10="",X9=""),"",X10/X9-1)</f>
        <v/>
      </c>
      <c r="Z10" s="153">
        <f>IF($A10="","",[1]!thsiFinD("ths_adjustment_nv_fund",Z$2,$A10))</f>
        <v/>
      </c>
      <c r="AA10" s="83">
        <f>IF(OR($A10="",Z10="",Z9=""),"",Z10/Z9-1)</f>
        <v/>
      </c>
      <c r="AB10" s="153">
        <f>IF($A10="","",[1]!thsiFinD("ths_adjustment_nv_fund",AB$2,$A10))</f>
        <v/>
      </c>
      <c r="AC10" s="83">
        <f>IF(OR($A10="",AB10="",AB9=""),"",AB10/AB9-1)</f>
        <v/>
      </c>
      <c r="AD10" s="153">
        <f>IF($A10="","",[1]!thsiFinD("ths_adjustment_nv_fund",AD$2,$A10))</f>
        <v/>
      </c>
      <c r="AE10" s="83">
        <f>IF(OR($A10="",AD10="",AD9=""),"",AD10/AD9-1)</f>
        <v/>
      </c>
      <c r="AF10" s="153">
        <f>IF($A10="","",[1]!thsiFinD("ths_adjustment_nv_fund",AF$2,$A10))</f>
        <v/>
      </c>
      <c r="AG10" s="83">
        <f>IF(OR($A10="",AF10="",AF9=""),"",AF10/AF9-1)</f>
        <v/>
      </c>
      <c r="AH10" s="153">
        <f>IF($A10="","",[1]!thsiFinD("ths_adjustment_nv_fund",AH$2,$A10))</f>
        <v/>
      </c>
      <c r="AI10" s="83">
        <f>IF(OR($A10="",AH10="",AH9=""),"",AH10/AH9-1)</f>
        <v/>
      </c>
      <c r="AJ10" s="153">
        <f>IF($A10="","",[1]!thsiFinD("ths_adjustment_nv_fund",AJ$2,$A10))</f>
        <v/>
      </c>
      <c r="AK10" s="83">
        <f>IF(OR($A10="",AJ10="",AJ9=""),"",AJ10/AJ9-1)</f>
        <v/>
      </c>
      <c r="AL10" s="153">
        <f>IF($A10="","",[1]!thsiFinD("ths_adjustment_nv_fund",AL$2,$A10))</f>
        <v/>
      </c>
      <c r="AM10" s="83">
        <f>IF(OR($A10="",AL10="",AL9=""),"",AL10/AL9-1)</f>
        <v/>
      </c>
      <c r="AN10" s="153">
        <f>IF($A10="","",[1]!thsiFinD("ths_adjustment_nv_fund",AN$2,$A10))</f>
        <v/>
      </c>
      <c r="AO10" s="83">
        <f>IF(OR($A10="",AN10="",AN9=""),"",AN10/AN9-1)</f>
        <v/>
      </c>
    </row>
    <row r="11">
      <c r="A11" s="152">
        <f>IF(组合净值!A10="","",组合净值!A10)</f>
        <v/>
      </c>
      <c r="B11" s="153">
        <f>IF($A11="","",[1]!thsiFinD("ths_adjustment_nv_fund",B$2,$A11))</f>
        <v/>
      </c>
      <c r="C11" s="83">
        <f>IF(OR($A11="",B11="",B10=""),"",B11/B10-1)</f>
        <v/>
      </c>
      <c r="D11" s="153">
        <f>IF($A11="","",[1]!thsiFinD("ths_adjustment_nv_fund",D$2,$A11))</f>
        <v/>
      </c>
      <c r="E11" s="83">
        <f>IF(OR($A11="",D11="",D10=""),"",D11/D10-1)</f>
        <v/>
      </c>
      <c r="F11" s="153">
        <f>IF($A11="","",[1]!thsiFinD("ths_adjustment_nv_fund",F$2,$A11))</f>
        <v/>
      </c>
      <c r="G11" s="83">
        <f>IF(OR($A11="",F11="",F10=""),"",F11/F10-1)</f>
        <v/>
      </c>
      <c r="H11" s="153">
        <f>IF($A11="","",[1]!thsiFinD("ths_adjustment_nv_fund",H$2,$A11))</f>
        <v/>
      </c>
      <c r="I11" s="83">
        <f>IF(OR($A11="",H11="",H10=""),"",H11/H10-1)</f>
        <v/>
      </c>
      <c r="J11" s="153">
        <f>IF($A11="","",[1]!thsiFinD("ths_adjustment_nv_fund",J$2,$A11))</f>
        <v/>
      </c>
      <c r="K11" s="83">
        <f>IF(OR($A11="",J11="",J10=""),"",J11/J10-1)</f>
        <v/>
      </c>
      <c r="L11" s="153">
        <f>IF($A11="","",[1]!thsiFinD("ths_adjustment_nv_fund",L$2,$A11))</f>
        <v/>
      </c>
      <c r="M11" s="83">
        <f>IF(OR($A11="",L11="",L10=""),"",L11/L10-1)</f>
        <v/>
      </c>
      <c r="N11" s="153">
        <f>IF($A11="","",[1]!thsiFinD("ths_adjustment_nv_fund",N$2,$A11))</f>
        <v/>
      </c>
      <c r="O11" s="83">
        <f>IF(OR($A11="",N11="",N10=""),"",N11/N10-1)</f>
        <v/>
      </c>
      <c r="P11" s="153">
        <f>IF($A11="","",[1]!thsiFinD("ths_adjustment_nv_fund",P$2,$A11))</f>
        <v/>
      </c>
      <c r="Q11" s="83">
        <f>IF(OR($A11="",P11="",P10=""),"",P11/P10-1)</f>
        <v/>
      </c>
      <c r="R11" s="153">
        <f>IF($A11="","",[1]!thsiFinD("ths_adjustment_nv_fund",R$2,$A11))</f>
        <v/>
      </c>
      <c r="S11" s="83">
        <f>IF(OR($A11="",R11="",R10=""),"",R11/R10-1)</f>
        <v/>
      </c>
      <c r="T11" s="153">
        <f>IF($A11="","",[1]!thsiFinD("ths_adjustment_nv_fund",T$2,$A11))</f>
        <v/>
      </c>
      <c r="U11" s="83">
        <f>IF(OR($A11="",T11="",T10=""),"",T11/T10-1)</f>
        <v/>
      </c>
      <c r="V11" s="153">
        <f>IF($A11="","",[1]!thsiFinD("ths_adjustment_nv_fund",V$2,$A11))</f>
        <v/>
      </c>
      <c r="W11" s="83">
        <f>IF(OR($A11="",V11="",V10=""),"",V11/V10-1)</f>
        <v/>
      </c>
      <c r="X11" s="153">
        <f>IF($A11="","",[1]!thsiFinD("ths_adjustment_nv_fund",X$2,$A11))</f>
        <v/>
      </c>
      <c r="Y11" s="83">
        <f>IF(OR($A11="",X11="",X10=""),"",X11/X10-1)</f>
        <v/>
      </c>
      <c r="Z11" s="153">
        <f>IF($A11="","",[1]!thsiFinD("ths_adjustment_nv_fund",Z$2,$A11))</f>
        <v/>
      </c>
      <c r="AA11" s="83">
        <f>IF(OR($A11="",Z11="",Z10=""),"",Z11/Z10-1)</f>
        <v/>
      </c>
      <c r="AB11" s="153">
        <f>IF($A11="","",[1]!thsiFinD("ths_adjustment_nv_fund",AB$2,$A11))</f>
        <v/>
      </c>
      <c r="AC11" s="83">
        <f>IF(OR($A11="",AB11="",AB10=""),"",AB11/AB10-1)</f>
        <v/>
      </c>
      <c r="AD11" s="153">
        <f>IF($A11="","",[1]!thsiFinD("ths_adjustment_nv_fund",AD$2,$A11))</f>
        <v/>
      </c>
      <c r="AE11" s="83">
        <f>IF(OR($A11="",AD11="",AD10=""),"",AD11/AD10-1)</f>
        <v/>
      </c>
      <c r="AF11" s="153">
        <f>IF($A11="","",[1]!thsiFinD("ths_adjustment_nv_fund",AF$2,$A11))</f>
        <v/>
      </c>
      <c r="AG11" s="83">
        <f>IF(OR($A11="",AF11="",AF10=""),"",AF11/AF10-1)</f>
        <v/>
      </c>
      <c r="AH11" s="153">
        <f>IF($A11="","",[1]!thsiFinD("ths_adjustment_nv_fund",AH$2,$A11))</f>
        <v/>
      </c>
      <c r="AI11" s="83">
        <f>IF(OR($A11="",AH11="",AH10=""),"",AH11/AH10-1)</f>
        <v/>
      </c>
      <c r="AJ11" s="153">
        <f>IF($A11="","",[1]!thsiFinD("ths_adjustment_nv_fund",AJ$2,$A11))</f>
        <v/>
      </c>
      <c r="AK11" s="83">
        <f>IF(OR($A11="",AJ11="",AJ10=""),"",AJ11/AJ10-1)</f>
        <v/>
      </c>
      <c r="AL11" s="153">
        <f>IF($A11="","",[1]!thsiFinD("ths_adjustment_nv_fund",AL$2,$A11))</f>
        <v/>
      </c>
      <c r="AM11" s="83">
        <f>IF(OR($A11="",AL11="",AL10=""),"",AL11/AL10-1)</f>
        <v/>
      </c>
      <c r="AN11" s="153">
        <f>IF($A11="","",[1]!thsiFinD("ths_adjustment_nv_fund",AN$2,$A11))</f>
        <v/>
      </c>
      <c r="AO11" s="83">
        <f>IF(OR($A11="",AN11="",AN10=""),"",AN11/AN10-1)</f>
        <v/>
      </c>
    </row>
    <row r="12">
      <c r="A12" s="152">
        <f>IF(组合净值!A11="","",组合净值!A11)</f>
        <v/>
      </c>
      <c r="B12" s="153">
        <f>IF($A12="","",[1]!thsiFinD("ths_adjustment_nv_fund",B$2,$A12))</f>
        <v/>
      </c>
      <c r="C12" s="83">
        <f>IF(OR($A12="",B12="",B11=""),"",B12/B11-1)</f>
        <v/>
      </c>
      <c r="D12" s="153">
        <f>IF($A12="","",[1]!thsiFinD("ths_adjustment_nv_fund",D$2,$A12))</f>
        <v/>
      </c>
      <c r="E12" s="83">
        <f>IF(OR($A12="",D12="",D11=""),"",D12/D11-1)</f>
        <v/>
      </c>
      <c r="F12" s="153">
        <f>IF($A12="","",[1]!thsiFinD("ths_adjustment_nv_fund",F$2,$A12))</f>
        <v/>
      </c>
      <c r="G12" s="83">
        <f>IF(OR($A12="",F12="",F11=""),"",F12/F11-1)</f>
        <v/>
      </c>
      <c r="H12" s="153">
        <f>IF($A12="","",[1]!thsiFinD("ths_adjustment_nv_fund",H$2,$A12))</f>
        <v/>
      </c>
      <c r="I12" s="83">
        <f>IF(OR($A12="",H12="",H11=""),"",H12/H11-1)</f>
        <v/>
      </c>
      <c r="J12" s="153">
        <f>IF($A12="","",[1]!thsiFinD("ths_adjustment_nv_fund",J$2,$A12))</f>
        <v/>
      </c>
      <c r="K12" s="83">
        <f>IF(OR($A12="",J12="",J11=""),"",J12/J11-1)</f>
        <v/>
      </c>
      <c r="L12" s="153">
        <f>IF($A12="","",[1]!thsiFinD("ths_adjustment_nv_fund",L$2,$A12))</f>
        <v/>
      </c>
      <c r="M12" s="83">
        <f>IF(OR($A12="",L12="",L11=""),"",L12/L11-1)</f>
        <v/>
      </c>
      <c r="N12" s="153">
        <f>IF($A12="","",[1]!thsiFinD("ths_adjustment_nv_fund",N$2,$A12))</f>
        <v/>
      </c>
      <c r="O12" s="83">
        <f>IF(OR($A12="",N12="",N11=""),"",N12/N11-1)</f>
        <v/>
      </c>
      <c r="P12" s="153">
        <f>IF($A12="","",[1]!thsiFinD("ths_adjustment_nv_fund",P$2,$A12))</f>
        <v/>
      </c>
      <c r="Q12" s="83">
        <f>IF(OR($A12="",P12="",P11=""),"",P12/P11-1)</f>
        <v/>
      </c>
      <c r="R12" s="153">
        <f>IF($A12="","",[1]!thsiFinD("ths_adjustment_nv_fund",R$2,$A12))</f>
        <v/>
      </c>
      <c r="S12" s="83">
        <f>IF(OR($A12="",R12="",R11=""),"",R12/R11-1)</f>
        <v/>
      </c>
      <c r="T12" s="153">
        <f>IF($A12="","",[1]!thsiFinD("ths_adjustment_nv_fund",T$2,$A12))</f>
        <v/>
      </c>
      <c r="U12" s="83">
        <f>IF(OR($A12="",T12="",T11=""),"",T12/T11-1)</f>
        <v/>
      </c>
      <c r="V12" s="153">
        <f>IF($A12="","",[1]!thsiFinD("ths_adjustment_nv_fund",V$2,$A12))</f>
        <v/>
      </c>
      <c r="W12" s="83">
        <f>IF(OR($A12="",V12="",V11=""),"",V12/V11-1)</f>
        <v/>
      </c>
      <c r="X12" s="153">
        <f>IF($A12="","",[1]!thsiFinD("ths_adjustment_nv_fund",X$2,$A12))</f>
        <v/>
      </c>
      <c r="Y12" s="83">
        <f>IF(OR($A12="",X12="",X11=""),"",X12/X11-1)</f>
        <v/>
      </c>
      <c r="Z12" s="153">
        <f>IF($A12="","",[1]!thsiFinD("ths_adjustment_nv_fund",Z$2,$A12))</f>
        <v/>
      </c>
      <c r="AA12" s="83">
        <f>IF(OR($A12="",Z12="",Z11=""),"",Z12/Z11-1)</f>
        <v/>
      </c>
      <c r="AB12" s="153">
        <f>IF($A12="","",[1]!thsiFinD("ths_adjustment_nv_fund",AB$2,$A12))</f>
        <v/>
      </c>
      <c r="AC12" s="83">
        <f>IF(OR($A12="",AB12="",AB11=""),"",AB12/AB11-1)</f>
        <v/>
      </c>
      <c r="AD12" s="153">
        <f>IF($A12="","",[1]!thsiFinD("ths_adjustment_nv_fund",AD$2,$A12))</f>
        <v/>
      </c>
      <c r="AE12" s="83">
        <f>IF(OR($A12="",AD12="",AD11=""),"",AD12/AD11-1)</f>
        <v/>
      </c>
      <c r="AF12" s="153">
        <f>IF($A12="","",[1]!thsiFinD("ths_adjustment_nv_fund",AF$2,$A12))</f>
        <v/>
      </c>
      <c r="AG12" s="83">
        <f>IF(OR($A12="",AF12="",AF11=""),"",AF12/AF11-1)</f>
        <v/>
      </c>
      <c r="AH12" s="153">
        <f>IF($A12="","",[1]!thsiFinD("ths_adjustment_nv_fund",AH$2,$A12))</f>
        <v/>
      </c>
      <c r="AI12" s="83">
        <f>IF(OR($A12="",AH12="",AH11=""),"",AH12/AH11-1)</f>
        <v/>
      </c>
      <c r="AJ12" s="153">
        <f>IF($A12="","",[1]!thsiFinD("ths_adjustment_nv_fund",AJ$2,$A12))</f>
        <v/>
      </c>
      <c r="AK12" s="83">
        <f>IF(OR($A12="",AJ12="",AJ11=""),"",AJ12/AJ11-1)</f>
        <v/>
      </c>
      <c r="AL12" s="153">
        <f>IF($A12="","",[1]!thsiFinD("ths_adjustment_nv_fund",AL$2,$A12))</f>
        <v/>
      </c>
      <c r="AM12" s="83">
        <f>IF(OR($A12="",AL12="",AL11=""),"",AL12/AL11-1)</f>
        <v/>
      </c>
      <c r="AN12" s="153">
        <f>IF($A12="","",[1]!thsiFinD("ths_adjustment_nv_fund",AN$2,$A12))</f>
        <v/>
      </c>
      <c r="AO12" s="83">
        <f>IF(OR($A12="",AN12="",AN11=""),"",AN12/AN11-1)</f>
        <v/>
      </c>
    </row>
    <row r="13">
      <c r="A13" s="152">
        <f>IF(组合净值!A12="","",组合净值!A12)</f>
        <v/>
      </c>
      <c r="B13" s="153">
        <f>IF($A13="","",[1]!thsiFinD("ths_adjustment_nv_fund",B$2,$A13))</f>
        <v/>
      </c>
      <c r="C13" s="83">
        <f>IF(OR($A13="",B13="",B12=""),"",B13/B12-1)</f>
        <v/>
      </c>
      <c r="D13" s="153">
        <f>IF($A13="","",[1]!thsiFinD("ths_adjustment_nv_fund",D$2,$A13))</f>
        <v/>
      </c>
      <c r="E13" s="83">
        <f>IF(OR($A13="",D13="",D12=""),"",D13/D12-1)</f>
        <v/>
      </c>
      <c r="F13" s="153">
        <f>IF($A13="","",[1]!thsiFinD("ths_adjustment_nv_fund",F$2,$A13))</f>
        <v/>
      </c>
      <c r="G13" s="83">
        <f>IF(OR($A13="",F13="",F12=""),"",F13/F12-1)</f>
        <v/>
      </c>
      <c r="H13" s="153">
        <f>IF($A13="","",[1]!thsiFinD("ths_adjustment_nv_fund",H$2,$A13))</f>
        <v/>
      </c>
      <c r="I13" s="83">
        <f>IF(OR($A13="",H13="",H12=""),"",H13/H12-1)</f>
        <v/>
      </c>
      <c r="J13" s="153">
        <f>IF($A13="","",[1]!thsiFinD("ths_adjustment_nv_fund",J$2,$A13))</f>
        <v/>
      </c>
      <c r="K13" s="83">
        <f>IF(OR($A13="",J13="",J12=""),"",J13/J12-1)</f>
        <v/>
      </c>
      <c r="L13" s="153">
        <f>IF($A13="","",[1]!thsiFinD("ths_adjustment_nv_fund",L$2,$A13))</f>
        <v/>
      </c>
      <c r="M13" s="83">
        <f>IF(OR($A13="",L13="",L12=""),"",L13/L12-1)</f>
        <v/>
      </c>
      <c r="N13" s="153">
        <f>IF($A13="","",[1]!thsiFinD("ths_adjustment_nv_fund",N$2,$A13))</f>
        <v/>
      </c>
      <c r="O13" s="83">
        <f>IF(OR($A13="",N13="",N12=""),"",N13/N12-1)</f>
        <v/>
      </c>
      <c r="P13" s="153">
        <f>IF($A13="","",[1]!thsiFinD("ths_adjustment_nv_fund",P$2,$A13))</f>
        <v/>
      </c>
      <c r="Q13" s="83">
        <f>IF(OR($A13="",P13="",P12=""),"",P13/P12-1)</f>
        <v/>
      </c>
      <c r="R13" s="153">
        <f>IF($A13="","",[1]!thsiFinD("ths_adjustment_nv_fund",R$2,$A13))</f>
        <v/>
      </c>
      <c r="S13" s="83">
        <f>IF(OR($A13="",R13="",R12=""),"",R13/R12-1)</f>
        <v/>
      </c>
      <c r="T13" s="153">
        <f>IF($A13="","",[1]!thsiFinD("ths_adjustment_nv_fund",T$2,$A13))</f>
        <v/>
      </c>
      <c r="U13" s="83">
        <f>IF(OR($A13="",T13="",T12=""),"",T13/T12-1)</f>
        <v/>
      </c>
      <c r="V13" s="153">
        <f>IF($A13="","",[1]!thsiFinD("ths_adjustment_nv_fund",V$2,$A13))</f>
        <v/>
      </c>
      <c r="W13" s="83">
        <f>IF(OR($A13="",V13="",V12=""),"",V13/V12-1)</f>
        <v/>
      </c>
      <c r="X13" s="153">
        <f>IF($A13="","",[1]!thsiFinD("ths_adjustment_nv_fund",X$2,$A13))</f>
        <v/>
      </c>
      <c r="Y13" s="83">
        <f>IF(OR($A13="",X13="",X12=""),"",X13/X12-1)</f>
        <v/>
      </c>
      <c r="Z13" s="153">
        <f>IF($A13="","",[1]!thsiFinD("ths_adjustment_nv_fund",Z$2,$A13))</f>
        <v/>
      </c>
      <c r="AA13" s="83">
        <f>IF(OR($A13="",Z13="",Z12=""),"",Z13/Z12-1)</f>
        <v/>
      </c>
      <c r="AB13" s="153">
        <f>IF($A13="","",[1]!thsiFinD("ths_adjustment_nv_fund",AB$2,$A13))</f>
        <v/>
      </c>
      <c r="AC13" s="83">
        <f>IF(OR($A13="",AB13="",AB12=""),"",AB13/AB12-1)</f>
        <v/>
      </c>
      <c r="AD13" s="153">
        <f>IF($A13="","",[1]!thsiFinD("ths_adjustment_nv_fund",AD$2,$A13))</f>
        <v/>
      </c>
      <c r="AE13" s="83">
        <f>IF(OR($A13="",AD13="",AD12=""),"",AD13/AD12-1)</f>
        <v/>
      </c>
      <c r="AF13" s="153">
        <f>IF($A13="","",[1]!thsiFinD("ths_adjustment_nv_fund",AF$2,$A13))</f>
        <v/>
      </c>
      <c r="AG13" s="83">
        <f>IF(OR($A13="",AF13="",AF12=""),"",AF13/AF12-1)</f>
        <v/>
      </c>
      <c r="AH13" s="153">
        <f>IF($A13="","",[1]!thsiFinD("ths_adjustment_nv_fund",AH$2,$A13))</f>
        <v/>
      </c>
      <c r="AI13" s="83">
        <f>IF(OR($A13="",AH13="",AH12=""),"",AH13/AH12-1)</f>
        <v/>
      </c>
      <c r="AJ13" s="153">
        <f>IF($A13="","",[1]!thsiFinD("ths_adjustment_nv_fund",AJ$2,$A13))</f>
        <v/>
      </c>
      <c r="AK13" s="83">
        <f>IF(OR($A13="",AJ13="",AJ12=""),"",AJ13/AJ12-1)</f>
        <v/>
      </c>
      <c r="AL13" s="153">
        <f>IF($A13="","",[1]!thsiFinD("ths_adjustment_nv_fund",AL$2,$A13))</f>
        <v/>
      </c>
      <c r="AM13" s="83">
        <f>IF(OR($A13="",AL13="",AL12=""),"",AL13/AL12-1)</f>
        <v/>
      </c>
      <c r="AN13" s="153">
        <f>IF($A13="","",[1]!thsiFinD("ths_adjustment_nv_fund",AN$2,$A13))</f>
        <v/>
      </c>
      <c r="AO13" s="83">
        <f>IF(OR($A13="",AN13="",AN12=""),"",AN13/AN12-1)</f>
        <v/>
      </c>
    </row>
    <row r="14">
      <c r="A14" s="152">
        <f>IF(组合净值!A13="","",组合净值!A13)</f>
        <v/>
      </c>
      <c r="B14" s="153">
        <f>IF($A14="","",[1]!thsiFinD("ths_adjustment_nv_fund",B$2,$A14))</f>
        <v/>
      </c>
      <c r="C14" s="83">
        <f>IF(OR($A14="",B14="",B13=""),"",B14/B13-1)</f>
        <v/>
      </c>
      <c r="D14" s="153">
        <f>IF($A14="","",[1]!thsiFinD("ths_adjustment_nv_fund",D$2,$A14))</f>
        <v/>
      </c>
      <c r="E14" s="83">
        <f>IF(OR($A14="",D14="",D13=""),"",D14/D13-1)</f>
        <v/>
      </c>
      <c r="F14" s="153">
        <f>IF($A14="","",[1]!thsiFinD("ths_adjustment_nv_fund",F$2,$A14))</f>
        <v/>
      </c>
      <c r="G14" s="83">
        <f>IF(OR($A14="",F14="",F13=""),"",F14/F13-1)</f>
        <v/>
      </c>
      <c r="H14" s="153">
        <f>IF($A14="","",[1]!thsiFinD("ths_adjustment_nv_fund",H$2,$A14))</f>
        <v/>
      </c>
      <c r="I14" s="83">
        <f>IF(OR($A14="",H14="",H13=""),"",H14/H13-1)</f>
        <v/>
      </c>
      <c r="J14" s="153">
        <f>IF($A14="","",[1]!thsiFinD("ths_adjustment_nv_fund",J$2,$A14))</f>
        <v/>
      </c>
      <c r="K14" s="83">
        <f>IF(OR($A14="",J14="",J13=""),"",J14/J13-1)</f>
        <v/>
      </c>
      <c r="L14" s="153">
        <f>IF($A14="","",[1]!thsiFinD("ths_adjustment_nv_fund",L$2,$A14))</f>
        <v/>
      </c>
      <c r="M14" s="83">
        <f>IF(OR($A14="",L14="",L13=""),"",L14/L13-1)</f>
        <v/>
      </c>
      <c r="N14" s="153">
        <f>IF($A14="","",[1]!thsiFinD("ths_adjustment_nv_fund",N$2,$A14))</f>
        <v/>
      </c>
      <c r="O14" s="83">
        <f>IF(OR($A14="",N14="",N13=""),"",N14/N13-1)</f>
        <v/>
      </c>
      <c r="P14" s="153">
        <f>IF($A14="","",[1]!thsiFinD("ths_adjustment_nv_fund",P$2,$A14))</f>
        <v/>
      </c>
      <c r="Q14" s="83">
        <f>IF(OR($A14="",P14="",P13=""),"",P14/P13-1)</f>
        <v/>
      </c>
      <c r="R14" s="153">
        <f>IF($A14="","",[1]!thsiFinD("ths_adjustment_nv_fund",R$2,$A14))</f>
        <v/>
      </c>
      <c r="S14" s="83">
        <f>IF(OR($A14="",R14="",R13=""),"",R14/R13-1)</f>
        <v/>
      </c>
      <c r="T14" s="153">
        <f>IF($A14="","",[1]!thsiFinD("ths_adjustment_nv_fund",T$2,$A14))</f>
        <v/>
      </c>
      <c r="U14" s="83">
        <f>IF(OR($A14="",T14="",T13=""),"",T14/T13-1)</f>
        <v/>
      </c>
      <c r="V14" s="153">
        <f>IF($A14="","",[1]!thsiFinD("ths_adjustment_nv_fund",V$2,$A14))</f>
        <v/>
      </c>
      <c r="W14" s="83">
        <f>IF(OR($A14="",V14="",V13=""),"",V14/V13-1)</f>
        <v/>
      </c>
      <c r="X14" s="153">
        <f>IF($A14="","",[1]!thsiFinD("ths_adjustment_nv_fund",X$2,$A14))</f>
        <v/>
      </c>
      <c r="Y14" s="83">
        <f>IF(OR($A14="",X14="",X13=""),"",X14/X13-1)</f>
        <v/>
      </c>
      <c r="Z14" s="153">
        <f>IF($A14="","",[1]!thsiFinD("ths_adjustment_nv_fund",Z$2,$A14))</f>
        <v/>
      </c>
      <c r="AA14" s="83">
        <f>IF(OR($A14="",Z14="",Z13=""),"",Z14/Z13-1)</f>
        <v/>
      </c>
      <c r="AB14" s="153">
        <f>IF($A14="","",[1]!thsiFinD("ths_adjustment_nv_fund",AB$2,$A14))</f>
        <v/>
      </c>
      <c r="AC14" s="83">
        <f>IF(OR($A14="",AB14="",AB13=""),"",AB14/AB13-1)</f>
        <v/>
      </c>
      <c r="AD14" s="153">
        <f>IF($A14="","",[1]!thsiFinD("ths_adjustment_nv_fund",AD$2,$A14))</f>
        <v/>
      </c>
      <c r="AE14" s="83">
        <f>IF(OR($A14="",AD14="",AD13=""),"",AD14/AD13-1)</f>
        <v/>
      </c>
      <c r="AF14" s="153">
        <f>IF($A14="","",[1]!thsiFinD("ths_adjustment_nv_fund",AF$2,$A14))</f>
        <v/>
      </c>
      <c r="AG14" s="83">
        <f>IF(OR($A14="",AF14="",AF13=""),"",AF14/AF13-1)</f>
        <v/>
      </c>
      <c r="AH14" s="153">
        <f>IF($A14="","",[1]!thsiFinD("ths_adjustment_nv_fund",AH$2,$A14))</f>
        <v/>
      </c>
      <c r="AI14" s="83">
        <f>IF(OR($A14="",AH14="",AH13=""),"",AH14/AH13-1)</f>
        <v/>
      </c>
      <c r="AJ14" s="153">
        <f>IF($A14="","",[1]!thsiFinD("ths_adjustment_nv_fund",AJ$2,$A14))</f>
        <v/>
      </c>
      <c r="AK14" s="83">
        <f>IF(OR($A14="",AJ14="",AJ13=""),"",AJ14/AJ13-1)</f>
        <v/>
      </c>
      <c r="AL14" s="153">
        <f>IF($A14="","",[1]!thsiFinD("ths_adjustment_nv_fund",AL$2,$A14))</f>
        <v/>
      </c>
      <c r="AM14" s="83">
        <f>IF(OR($A14="",AL14="",AL13=""),"",AL14/AL13-1)</f>
        <v/>
      </c>
      <c r="AN14" s="153">
        <f>IF($A14="","",[1]!thsiFinD("ths_adjustment_nv_fund",AN$2,$A14))</f>
        <v/>
      </c>
      <c r="AO14" s="83">
        <f>IF(OR($A14="",AN14="",AN13=""),"",AN14/AN13-1)</f>
        <v/>
      </c>
    </row>
    <row r="15">
      <c r="A15" s="152">
        <f>IF(组合净值!A14="","",组合净值!A14)</f>
        <v/>
      </c>
      <c r="B15" s="153">
        <f>IF($A15="","",[1]!thsiFinD("ths_adjustment_nv_fund",B$2,$A15))</f>
        <v/>
      </c>
      <c r="C15" s="83">
        <f>IF(OR($A15="",B15="",B14=""),"",B15/B14-1)</f>
        <v/>
      </c>
      <c r="D15" s="153">
        <f>IF($A15="","",[1]!thsiFinD("ths_adjustment_nv_fund",D$2,$A15))</f>
        <v/>
      </c>
      <c r="E15" s="83">
        <f>IF(OR($A15="",D15="",D14=""),"",D15/D14-1)</f>
        <v/>
      </c>
      <c r="F15" s="153">
        <f>IF($A15="","",[1]!thsiFinD("ths_adjustment_nv_fund",F$2,$A15))</f>
        <v/>
      </c>
      <c r="G15" s="83">
        <f>IF(OR($A15="",F15="",F14=""),"",F15/F14-1)</f>
        <v/>
      </c>
      <c r="H15" s="153">
        <f>IF($A15="","",[1]!thsiFinD("ths_adjustment_nv_fund",H$2,$A15))</f>
        <v/>
      </c>
      <c r="I15" s="83">
        <f>IF(OR($A15="",H15="",H14=""),"",H15/H14-1)</f>
        <v/>
      </c>
      <c r="J15" s="153">
        <f>IF($A15="","",[1]!thsiFinD("ths_adjustment_nv_fund",J$2,$A15))</f>
        <v/>
      </c>
      <c r="K15" s="83">
        <f>IF(OR($A15="",J15="",J14=""),"",J15/J14-1)</f>
        <v/>
      </c>
      <c r="L15" s="153">
        <f>IF($A15="","",[1]!thsiFinD("ths_adjustment_nv_fund",L$2,$A15))</f>
        <v/>
      </c>
      <c r="M15" s="83">
        <f>IF(OR($A15="",L15="",L14=""),"",L15/L14-1)</f>
        <v/>
      </c>
      <c r="N15" s="153">
        <f>IF($A15="","",[1]!thsiFinD("ths_adjustment_nv_fund",N$2,$A15))</f>
        <v/>
      </c>
      <c r="O15" s="83">
        <f>IF(OR($A15="",N15="",N14=""),"",N15/N14-1)</f>
        <v/>
      </c>
      <c r="P15" s="153">
        <f>IF($A15="","",[1]!thsiFinD("ths_adjustment_nv_fund",P$2,$A15))</f>
        <v/>
      </c>
      <c r="Q15" s="83">
        <f>IF(OR($A15="",P15="",P14=""),"",P15/P14-1)</f>
        <v/>
      </c>
      <c r="R15" s="153">
        <f>IF($A15="","",[1]!thsiFinD("ths_adjustment_nv_fund",R$2,$A15))</f>
        <v/>
      </c>
      <c r="S15" s="83">
        <f>IF(OR($A15="",R15="",R14=""),"",R15/R14-1)</f>
        <v/>
      </c>
      <c r="T15" s="153">
        <f>IF($A15="","",[1]!thsiFinD("ths_adjustment_nv_fund",T$2,$A15))</f>
        <v/>
      </c>
      <c r="U15" s="83">
        <f>IF(OR($A15="",T15="",T14=""),"",T15/T14-1)</f>
        <v/>
      </c>
      <c r="V15" s="153">
        <f>IF($A15="","",[1]!thsiFinD("ths_adjustment_nv_fund",V$2,$A15))</f>
        <v/>
      </c>
      <c r="W15" s="83">
        <f>IF(OR($A15="",V15="",V14=""),"",V15/V14-1)</f>
        <v/>
      </c>
      <c r="X15" s="153">
        <f>IF($A15="","",[1]!thsiFinD("ths_adjustment_nv_fund",X$2,$A15))</f>
        <v/>
      </c>
      <c r="Y15" s="83">
        <f>IF(OR($A15="",X15="",X14=""),"",X15/X14-1)</f>
        <v/>
      </c>
      <c r="Z15" s="153">
        <f>IF($A15="","",[1]!thsiFinD("ths_adjustment_nv_fund",Z$2,$A15))</f>
        <v/>
      </c>
      <c r="AA15" s="83">
        <f>IF(OR($A15="",Z15="",Z14=""),"",Z15/Z14-1)</f>
        <v/>
      </c>
      <c r="AB15" s="153">
        <f>IF($A15="","",[1]!thsiFinD("ths_adjustment_nv_fund",AB$2,$A15))</f>
        <v/>
      </c>
      <c r="AC15" s="83">
        <f>IF(OR($A15="",AB15="",AB14=""),"",AB15/AB14-1)</f>
        <v/>
      </c>
      <c r="AD15" s="153">
        <f>IF($A15="","",[1]!thsiFinD("ths_adjustment_nv_fund",AD$2,$A15))</f>
        <v/>
      </c>
      <c r="AE15" s="83">
        <f>IF(OR($A15="",AD15="",AD14=""),"",AD15/AD14-1)</f>
        <v/>
      </c>
      <c r="AF15" s="153">
        <f>IF($A15="","",[1]!thsiFinD("ths_adjustment_nv_fund",AF$2,$A15))</f>
        <v/>
      </c>
      <c r="AG15" s="83">
        <f>IF(OR($A15="",AF15="",AF14=""),"",AF15/AF14-1)</f>
        <v/>
      </c>
      <c r="AH15" s="153">
        <f>IF($A15="","",[1]!thsiFinD("ths_adjustment_nv_fund",AH$2,$A15))</f>
        <v/>
      </c>
      <c r="AI15" s="83">
        <f>IF(OR($A15="",AH15="",AH14=""),"",AH15/AH14-1)</f>
        <v/>
      </c>
      <c r="AJ15" s="153">
        <f>IF($A15="","",[1]!thsiFinD("ths_adjustment_nv_fund",AJ$2,$A15))</f>
        <v/>
      </c>
      <c r="AK15" s="83">
        <f>IF(OR($A15="",AJ15="",AJ14=""),"",AJ15/AJ14-1)</f>
        <v/>
      </c>
      <c r="AL15" s="153">
        <f>IF($A15="","",[1]!thsiFinD("ths_adjustment_nv_fund",AL$2,$A15))</f>
        <v/>
      </c>
      <c r="AM15" s="83">
        <f>IF(OR($A15="",AL15="",AL14=""),"",AL15/AL14-1)</f>
        <v/>
      </c>
      <c r="AN15" s="153">
        <f>IF($A15="","",[1]!thsiFinD("ths_adjustment_nv_fund",AN$2,$A15))</f>
        <v/>
      </c>
      <c r="AO15" s="83">
        <f>IF(OR($A15="",AN15="",AN14=""),"",AN15/AN14-1)</f>
        <v/>
      </c>
    </row>
    <row r="16">
      <c r="A16" s="152">
        <f>IF(组合净值!A15="","",组合净值!A15)</f>
        <v/>
      </c>
      <c r="B16" s="153">
        <f>IF($A16="","",[1]!thsiFinD("ths_adjustment_nv_fund",B$2,$A16))</f>
        <v/>
      </c>
      <c r="C16" s="83">
        <f>IF(OR($A16="",B16="",B15=""),"",B16/B15-1)</f>
        <v/>
      </c>
      <c r="D16" s="153">
        <f>IF($A16="","",[1]!thsiFinD("ths_adjustment_nv_fund",D$2,$A16))</f>
        <v/>
      </c>
      <c r="E16" s="83">
        <f>IF(OR($A16="",D16="",D15=""),"",D16/D15-1)</f>
        <v/>
      </c>
      <c r="F16" s="153">
        <f>IF($A16="","",[1]!thsiFinD("ths_adjustment_nv_fund",F$2,$A16))</f>
        <v/>
      </c>
      <c r="G16" s="83">
        <f>IF(OR($A16="",F16="",F15=""),"",F16/F15-1)</f>
        <v/>
      </c>
      <c r="H16" s="153">
        <f>IF($A16="","",[1]!thsiFinD("ths_adjustment_nv_fund",H$2,$A16))</f>
        <v/>
      </c>
      <c r="I16" s="83">
        <f>IF(OR($A16="",H16="",H15=""),"",H16/H15-1)</f>
        <v/>
      </c>
      <c r="J16" s="153">
        <f>IF($A16="","",[1]!thsiFinD("ths_adjustment_nv_fund",J$2,$A16))</f>
        <v/>
      </c>
      <c r="K16" s="83">
        <f>IF(OR($A16="",J16="",J15=""),"",J16/J15-1)</f>
        <v/>
      </c>
      <c r="L16" s="153">
        <f>IF($A16="","",[1]!thsiFinD("ths_adjustment_nv_fund",L$2,$A16))</f>
        <v/>
      </c>
      <c r="M16" s="83">
        <f>IF(OR($A16="",L16="",L15=""),"",L16/L15-1)</f>
        <v/>
      </c>
      <c r="N16" s="153">
        <f>IF($A16="","",[1]!thsiFinD("ths_adjustment_nv_fund",N$2,$A16))</f>
        <v/>
      </c>
      <c r="O16" s="83">
        <f>IF(OR($A16="",N16="",N15=""),"",N16/N15-1)</f>
        <v/>
      </c>
      <c r="P16" s="153">
        <f>IF($A16="","",[1]!thsiFinD("ths_adjustment_nv_fund",P$2,$A16))</f>
        <v/>
      </c>
      <c r="Q16" s="83">
        <f>IF(OR($A16="",P16="",P15=""),"",P16/P15-1)</f>
        <v/>
      </c>
      <c r="R16" s="153">
        <f>IF($A16="","",[1]!thsiFinD("ths_adjustment_nv_fund",R$2,$A16))</f>
        <v/>
      </c>
      <c r="S16" s="83">
        <f>IF(OR($A16="",R16="",R15=""),"",R16/R15-1)</f>
        <v/>
      </c>
      <c r="T16" s="153">
        <f>IF($A16="","",[1]!thsiFinD("ths_adjustment_nv_fund",T$2,$A16))</f>
        <v/>
      </c>
      <c r="U16" s="83">
        <f>IF(OR($A16="",T16="",T15=""),"",T16/T15-1)</f>
        <v/>
      </c>
      <c r="V16" s="153">
        <f>IF($A16="","",[1]!thsiFinD("ths_adjustment_nv_fund",V$2,$A16))</f>
        <v/>
      </c>
      <c r="W16" s="83">
        <f>IF(OR($A16="",V16="",V15=""),"",V16/V15-1)</f>
        <v/>
      </c>
      <c r="X16" s="153">
        <f>IF($A16="","",[1]!thsiFinD("ths_adjustment_nv_fund",X$2,$A16))</f>
        <v/>
      </c>
      <c r="Y16" s="83">
        <f>IF(OR($A16="",X16="",X15=""),"",X16/X15-1)</f>
        <v/>
      </c>
      <c r="Z16" s="153">
        <f>IF($A16="","",[1]!thsiFinD("ths_adjustment_nv_fund",Z$2,$A16))</f>
        <v/>
      </c>
      <c r="AA16" s="83">
        <f>IF(OR($A16="",Z16="",Z15=""),"",Z16/Z15-1)</f>
        <v/>
      </c>
      <c r="AB16" s="153">
        <f>IF($A16="","",[1]!thsiFinD("ths_adjustment_nv_fund",AB$2,$A16))</f>
        <v/>
      </c>
      <c r="AC16" s="83">
        <f>IF(OR($A16="",AB16="",AB15=""),"",AB16/AB15-1)</f>
        <v/>
      </c>
      <c r="AD16" s="153">
        <f>IF($A16="","",[1]!thsiFinD("ths_adjustment_nv_fund",AD$2,$A16))</f>
        <v/>
      </c>
      <c r="AE16" s="83">
        <f>IF(OR($A16="",AD16="",AD15=""),"",AD16/AD15-1)</f>
        <v/>
      </c>
      <c r="AF16" s="153">
        <f>IF($A16="","",[1]!thsiFinD("ths_adjustment_nv_fund",AF$2,$A16))</f>
        <v/>
      </c>
      <c r="AG16" s="83">
        <f>IF(OR($A16="",AF16="",AF15=""),"",AF16/AF15-1)</f>
        <v/>
      </c>
      <c r="AH16" s="153">
        <f>IF($A16="","",[1]!thsiFinD("ths_adjustment_nv_fund",AH$2,$A16))</f>
        <v/>
      </c>
      <c r="AI16" s="83">
        <f>IF(OR($A16="",AH16="",AH15=""),"",AH16/AH15-1)</f>
        <v/>
      </c>
      <c r="AJ16" s="153">
        <f>IF($A16="","",[1]!thsiFinD("ths_adjustment_nv_fund",AJ$2,$A16))</f>
        <v/>
      </c>
      <c r="AK16" s="83">
        <f>IF(OR($A16="",AJ16="",AJ15=""),"",AJ16/AJ15-1)</f>
        <v/>
      </c>
      <c r="AL16" s="153">
        <f>IF($A16="","",[1]!thsiFinD("ths_adjustment_nv_fund",AL$2,$A16))</f>
        <v/>
      </c>
      <c r="AM16" s="83">
        <f>IF(OR($A16="",AL16="",AL15=""),"",AL16/AL15-1)</f>
        <v/>
      </c>
      <c r="AN16" s="153">
        <f>IF($A16="","",[1]!thsiFinD("ths_adjustment_nv_fund",AN$2,$A16))</f>
        <v/>
      </c>
      <c r="AO16" s="83">
        <f>IF(OR($A16="",AN16="",AN15=""),"",AN16/AN15-1)</f>
        <v/>
      </c>
    </row>
    <row r="17">
      <c r="A17" s="152">
        <f>IF(组合净值!A16="","",组合净值!A16)</f>
        <v/>
      </c>
      <c r="B17" s="153">
        <f>IF($A17="","",[1]!thsiFinD("ths_adjustment_nv_fund",B$2,$A17))</f>
        <v/>
      </c>
      <c r="C17" s="83">
        <f>IF(OR($A17="",B17="",B16=""),"",B17/B16-1)</f>
        <v/>
      </c>
      <c r="D17" s="153">
        <f>IF($A17="","",[1]!thsiFinD("ths_adjustment_nv_fund",D$2,$A17))</f>
        <v/>
      </c>
      <c r="E17" s="83">
        <f>IF(OR($A17="",D17="",D16=""),"",D17/D16-1)</f>
        <v/>
      </c>
      <c r="F17" s="153">
        <f>IF($A17="","",[1]!thsiFinD("ths_adjustment_nv_fund",F$2,$A17))</f>
        <v/>
      </c>
      <c r="G17" s="83">
        <f>IF(OR($A17="",F17="",F16=""),"",F17/F16-1)</f>
        <v/>
      </c>
      <c r="H17" s="153">
        <f>IF($A17="","",[1]!thsiFinD("ths_adjustment_nv_fund",H$2,$A17))</f>
        <v/>
      </c>
      <c r="I17" s="83">
        <f>IF(OR($A17="",H17="",H16=""),"",H17/H16-1)</f>
        <v/>
      </c>
      <c r="J17" s="153">
        <f>IF($A17="","",[1]!thsiFinD("ths_adjustment_nv_fund",J$2,$A17))</f>
        <v/>
      </c>
      <c r="K17" s="83">
        <f>IF(OR($A17="",J17="",J16=""),"",J17/J16-1)</f>
        <v/>
      </c>
      <c r="L17" s="153">
        <f>IF($A17="","",[1]!thsiFinD("ths_adjustment_nv_fund",L$2,$A17))</f>
        <v/>
      </c>
      <c r="M17" s="83">
        <f>IF(OR($A17="",L17="",L16=""),"",L17/L16-1)</f>
        <v/>
      </c>
      <c r="N17" s="153">
        <f>IF($A17="","",[1]!thsiFinD("ths_adjustment_nv_fund",N$2,$A17))</f>
        <v/>
      </c>
      <c r="O17" s="83">
        <f>IF(OR($A17="",N17="",N16=""),"",N17/N16-1)</f>
        <v/>
      </c>
      <c r="P17" s="153">
        <f>IF($A17="","",[1]!thsiFinD("ths_adjustment_nv_fund",P$2,$A17))</f>
        <v/>
      </c>
      <c r="Q17" s="83">
        <f>IF(OR($A17="",P17="",P16=""),"",P17/P16-1)</f>
        <v/>
      </c>
      <c r="R17" s="153">
        <f>IF($A17="","",[1]!thsiFinD("ths_adjustment_nv_fund",R$2,$A17))</f>
        <v/>
      </c>
      <c r="S17" s="83">
        <f>IF(OR($A17="",R17="",R16=""),"",R17/R16-1)</f>
        <v/>
      </c>
      <c r="T17" s="153">
        <f>IF($A17="","",[1]!thsiFinD("ths_adjustment_nv_fund",T$2,$A17))</f>
        <v/>
      </c>
      <c r="U17" s="83">
        <f>IF(OR($A17="",T17="",T16=""),"",T17/T16-1)</f>
        <v/>
      </c>
      <c r="V17" s="153">
        <f>IF($A17="","",[1]!thsiFinD("ths_adjustment_nv_fund",V$2,$A17))</f>
        <v/>
      </c>
      <c r="W17" s="83">
        <f>IF(OR($A17="",V17="",V16=""),"",V17/V16-1)</f>
        <v/>
      </c>
      <c r="X17" s="153">
        <f>IF($A17="","",[1]!thsiFinD("ths_adjustment_nv_fund",X$2,$A17))</f>
        <v/>
      </c>
      <c r="Y17" s="83">
        <f>IF(OR($A17="",X17="",X16=""),"",X17/X16-1)</f>
        <v/>
      </c>
      <c r="Z17" s="153">
        <f>IF($A17="","",[1]!thsiFinD("ths_adjustment_nv_fund",Z$2,$A17))</f>
        <v/>
      </c>
      <c r="AA17" s="83">
        <f>IF(OR($A17="",Z17="",Z16=""),"",Z17/Z16-1)</f>
        <v/>
      </c>
      <c r="AB17" s="153">
        <f>IF($A17="","",[1]!thsiFinD("ths_adjustment_nv_fund",AB$2,$A17))</f>
        <v/>
      </c>
      <c r="AC17" s="83">
        <f>IF(OR($A17="",AB17="",AB16=""),"",AB17/AB16-1)</f>
        <v/>
      </c>
      <c r="AD17" s="153">
        <f>IF($A17="","",[1]!thsiFinD("ths_adjustment_nv_fund",AD$2,$A17))</f>
        <v/>
      </c>
      <c r="AE17" s="83">
        <f>IF(OR($A17="",AD17="",AD16=""),"",AD17/AD16-1)</f>
        <v/>
      </c>
      <c r="AF17" s="153">
        <f>IF($A17="","",[1]!thsiFinD("ths_adjustment_nv_fund",AF$2,$A17))</f>
        <v/>
      </c>
      <c r="AG17" s="83">
        <f>IF(OR($A17="",AF17="",AF16=""),"",AF17/AF16-1)</f>
        <v/>
      </c>
      <c r="AH17" s="153">
        <f>IF($A17="","",[1]!thsiFinD("ths_adjustment_nv_fund",AH$2,$A17))</f>
        <v/>
      </c>
      <c r="AI17" s="83">
        <f>IF(OR($A17="",AH17="",AH16=""),"",AH17/AH16-1)</f>
        <v/>
      </c>
      <c r="AJ17" s="153">
        <f>IF($A17="","",[1]!thsiFinD("ths_adjustment_nv_fund",AJ$2,$A17))</f>
        <v/>
      </c>
      <c r="AK17" s="83">
        <f>IF(OR($A17="",AJ17="",AJ16=""),"",AJ17/AJ16-1)</f>
        <v/>
      </c>
      <c r="AL17" s="153">
        <f>IF($A17="","",[1]!thsiFinD("ths_adjustment_nv_fund",AL$2,$A17))</f>
        <v/>
      </c>
      <c r="AM17" s="83">
        <f>IF(OR($A17="",AL17="",AL16=""),"",AL17/AL16-1)</f>
        <v/>
      </c>
      <c r="AN17" s="153">
        <f>IF($A17="","",[1]!thsiFinD("ths_adjustment_nv_fund",AN$2,$A17))</f>
        <v/>
      </c>
      <c r="AO17" s="83">
        <f>IF(OR($A17="",AN17="",AN16=""),"",AN17/AN16-1)</f>
        <v/>
      </c>
    </row>
    <row r="18">
      <c r="A18" s="152">
        <f>IF(组合净值!A17="","",组合净值!A17)</f>
        <v/>
      </c>
      <c r="B18" s="153">
        <f>IF($A18="","",[1]!thsiFinD("ths_adjustment_nv_fund",B$2,$A18))</f>
        <v/>
      </c>
      <c r="C18" s="83">
        <f>IF(OR($A18="",B18="",B17=""),"",B18/B17-1)</f>
        <v/>
      </c>
      <c r="D18" s="153">
        <f>IF($A18="","",[1]!thsiFinD("ths_adjustment_nv_fund",D$2,$A18))</f>
        <v/>
      </c>
      <c r="E18" s="83">
        <f>IF(OR($A18="",D18="",D17=""),"",D18/D17-1)</f>
        <v/>
      </c>
      <c r="F18" s="153">
        <f>IF($A18="","",[1]!thsiFinD("ths_adjustment_nv_fund",F$2,$A18))</f>
        <v/>
      </c>
      <c r="G18" s="83">
        <f>IF(OR($A18="",F18="",F17=""),"",F18/F17-1)</f>
        <v/>
      </c>
      <c r="H18" s="153">
        <f>IF($A18="","",[1]!thsiFinD("ths_adjustment_nv_fund",H$2,$A18))</f>
        <v/>
      </c>
      <c r="I18" s="83">
        <f>IF(OR($A18="",H18="",H17=""),"",H18/H17-1)</f>
        <v/>
      </c>
      <c r="J18" s="153">
        <f>IF($A18="","",[1]!thsiFinD("ths_adjustment_nv_fund",J$2,$A18))</f>
        <v/>
      </c>
      <c r="K18" s="83">
        <f>IF(OR($A18="",J18="",J17=""),"",J18/J17-1)</f>
        <v/>
      </c>
      <c r="L18" s="153">
        <f>IF($A18="","",[1]!thsiFinD("ths_adjustment_nv_fund",L$2,$A18))</f>
        <v/>
      </c>
      <c r="M18" s="83">
        <f>IF(OR($A18="",L18="",L17=""),"",L18/L17-1)</f>
        <v/>
      </c>
      <c r="N18" s="153">
        <f>IF($A18="","",[1]!thsiFinD("ths_adjustment_nv_fund",N$2,$A18))</f>
        <v/>
      </c>
      <c r="O18" s="83">
        <f>IF(OR($A18="",N18="",N17=""),"",N18/N17-1)</f>
        <v/>
      </c>
      <c r="P18" s="153">
        <f>IF($A18="","",[1]!thsiFinD("ths_adjustment_nv_fund",P$2,$A18))</f>
        <v/>
      </c>
      <c r="Q18" s="83">
        <f>IF(OR($A18="",P18="",P17=""),"",P18/P17-1)</f>
        <v/>
      </c>
      <c r="R18" s="153">
        <f>IF($A18="","",[1]!thsiFinD("ths_adjustment_nv_fund",R$2,$A18))</f>
        <v/>
      </c>
      <c r="S18" s="83">
        <f>IF(OR($A18="",R18="",R17=""),"",R18/R17-1)</f>
        <v/>
      </c>
      <c r="T18" s="153">
        <f>IF($A18="","",[1]!thsiFinD("ths_adjustment_nv_fund",T$2,$A18))</f>
        <v/>
      </c>
      <c r="U18" s="83">
        <f>IF(OR($A18="",T18="",T17=""),"",T18/T17-1)</f>
        <v/>
      </c>
      <c r="V18" s="153">
        <f>IF($A18="","",[1]!thsiFinD("ths_adjustment_nv_fund",V$2,$A18))</f>
        <v/>
      </c>
      <c r="W18" s="83">
        <f>IF(OR($A18="",V18="",V17=""),"",V18/V17-1)</f>
        <v/>
      </c>
      <c r="X18" s="153">
        <f>IF($A18="","",[1]!thsiFinD("ths_adjustment_nv_fund",X$2,$A18))</f>
        <v/>
      </c>
      <c r="Y18" s="83">
        <f>IF(OR($A18="",X18="",X17=""),"",X18/X17-1)</f>
        <v/>
      </c>
      <c r="Z18" s="153">
        <f>IF($A18="","",[1]!thsiFinD("ths_adjustment_nv_fund",Z$2,$A18))</f>
        <v/>
      </c>
      <c r="AA18" s="83">
        <f>IF(OR($A18="",Z18="",Z17=""),"",Z18/Z17-1)</f>
        <v/>
      </c>
      <c r="AB18" s="153">
        <f>IF($A18="","",[1]!thsiFinD("ths_adjustment_nv_fund",AB$2,$A18))</f>
        <v/>
      </c>
      <c r="AC18" s="83">
        <f>IF(OR($A18="",AB18="",AB17=""),"",AB18/AB17-1)</f>
        <v/>
      </c>
      <c r="AD18" s="153">
        <f>IF($A18="","",[1]!thsiFinD("ths_adjustment_nv_fund",AD$2,$A18))</f>
        <v/>
      </c>
      <c r="AE18" s="83">
        <f>IF(OR($A18="",AD18="",AD17=""),"",AD18/AD17-1)</f>
        <v/>
      </c>
      <c r="AF18" s="153">
        <f>IF($A18="","",[1]!thsiFinD("ths_adjustment_nv_fund",AF$2,$A18))</f>
        <v/>
      </c>
      <c r="AG18" s="83">
        <f>IF(OR($A18="",AF18="",AF17=""),"",AF18/AF17-1)</f>
        <v/>
      </c>
      <c r="AH18" s="153">
        <f>IF($A18="","",[1]!thsiFinD("ths_adjustment_nv_fund",AH$2,$A18))</f>
        <v/>
      </c>
      <c r="AI18" s="83">
        <f>IF(OR($A18="",AH18="",AH17=""),"",AH18/AH17-1)</f>
        <v/>
      </c>
      <c r="AJ18" s="153">
        <f>IF($A18="","",[1]!thsiFinD("ths_adjustment_nv_fund",AJ$2,$A18))</f>
        <v/>
      </c>
      <c r="AK18" s="83">
        <f>IF(OR($A18="",AJ18="",AJ17=""),"",AJ18/AJ17-1)</f>
        <v/>
      </c>
      <c r="AL18" s="153">
        <f>IF($A18="","",[1]!thsiFinD("ths_adjustment_nv_fund",AL$2,$A18))</f>
        <v/>
      </c>
      <c r="AM18" s="83">
        <f>IF(OR($A18="",AL18="",AL17=""),"",AL18/AL17-1)</f>
        <v/>
      </c>
      <c r="AN18" s="153">
        <f>IF($A18="","",[1]!thsiFinD("ths_adjustment_nv_fund",AN$2,$A18))</f>
        <v/>
      </c>
      <c r="AO18" s="83">
        <f>IF(OR($A18="",AN18="",AN17=""),"",AN18/AN17-1)</f>
        <v/>
      </c>
    </row>
    <row r="19">
      <c r="A19" s="152">
        <f>IF(组合净值!A18="","",组合净值!A18)</f>
        <v/>
      </c>
      <c r="B19" s="153">
        <f>IF($A19="","",[1]!thsiFinD("ths_adjustment_nv_fund",B$2,$A19))</f>
        <v/>
      </c>
      <c r="C19" s="83">
        <f>IF(OR($A19="",B19="",B18=""),"",B19/B18-1)</f>
        <v/>
      </c>
      <c r="D19" s="153">
        <f>IF($A19="","",[1]!thsiFinD("ths_adjustment_nv_fund",D$2,$A19))</f>
        <v/>
      </c>
      <c r="E19" s="83">
        <f>IF(OR($A19="",D19="",D18=""),"",D19/D18-1)</f>
        <v/>
      </c>
      <c r="F19" s="153">
        <f>IF($A19="","",[1]!thsiFinD("ths_adjustment_nv_fund",F$2,$A19))</f>
        <v/>
      </c>
      <c r="G19" s="83">
        <f>IF(OR($A19="",F19="",F18=""),"",F19/F18-1)</f>
        <v/>
      </c>
      <c r="H19" s="153">
        <f>IF($A19="","",[1]!thsiFinD("ths_adjustment_nv_fund",H$2,$A19))</f>
        <v/>
      </c>
      <c r="I19" s="83">
        <f>IF(OR($A19="",H19="",H18=""),"",H19/H18-1)</f>
        <v/>
      </c>
      <c r="J19" s="153">
        <f>IF($A19="","",[1]!thsiFinD("ths_adjustment_nv_fund",J$2,$A19))</f>
        <v/>
      </c>
      <c r="K19" s="83">
        <f>IF(OR($A19="",J19="",J18=""),"",J19/J18-1)</f>
        <v/>
      </c>
      <c r="L19" s="153">
        <f>IF($A19="","",[1]!thsiFinD("ths_adjustment_nv_fund",L$2,$A19))</f>
        <v/>
      </c>
      <c r="M19" s="83">
        <f>IF(OR($A19="",L19="",L18=""),"",L19/L18-1)</f>
        <v/>
      </c>
      <c r="N19" s="153">
        <f>IF($A19="","",[1]!thsiFinD("ths_adjustment_nv_fund",N$2,$A19))</f>
        <v/>
      </c>
      <c r="O19" s="83">
        <f>IF(OR($A19="",N19="",N18=""),"",N19/N18-1)</f>
        <v/>
      </c>
      <c r="P19" s="153">
        <f>IF($A19="","",[1]!thsiFinD("ths_adjustment_nv_fund",P$2,$A19))</f>
        <v/>
      </c>
      <c r="Q19" s="83">
        <f>IF(OR($A19="",P19="",P18=""),"",P19/P18-1)</f>
        <v/>
      </c>
      <c r="R19" s="153">
        <f>IF($A19="","",[1]!thsiFinD("ths_adjustment_nv_fund",R$2,$A19))</f>
        <v/>
      </c>
      <c r="S19" s="83">
        <f>IF(OR($A19="",R19="",R18=""),"",R19/R18-1)</f>
        <v/>
      </c>
      <c r="T19" s="153">
        <f>IF($A19="","",[1]!thsiFinD("ths_adjustment_nv_fund",T$2,$A19))</f>
        <v/>
      </c>
      <c r="U19" s="83">
        <f>IF(OR($A19="",T19="",T18=""),"",T19/T18-1)</f>
        <v/>
      </c>
      <c r="V19" s="153">
        <f>IF($A19="","",[1]!thsiFinD("ths_adjustment_nv_fund",V$2,$A19))</f>
        <v/>
      </c>
      <c r="W19" s="83">
        <f>IF(OR($A19="",V19="",V18=""),"",V19/V18-1)</f>
        <v/>
      </c>
      <c r="X19" s="153">
        <f>IF($A19="","",[1]!thsiFinD("ths_adjustment_nv_fund",X$2,$A19))</f>
        <v/>
      </c>
      <c r="Y19" s="83">
        <f>IF(OR($A19="",X19="",X18=""),"",X19/X18-1)</f>
        <v/>
      </c>
      <c r="Z19" s="153">
        <f>IF($A19="","",[1]!thsiFinD("ths_adjustment_nv_fund",Z$2,$A19))</f>
        <v/>
      </c>
      <c r="AA19" s="83">
        <f>IF(OR($A19="",Z19="",Z18=""),"",Z19/Z18-1)</f>
        <v/>
      </c>
      <c r="AB19" s="153">
        <f>IF($A19="","",[1]!thsiFinD("ths_adjustment_nv_fund",AB$2,$A19))</f>
        <v/>
      </c>
      <c r="AC19" s="83">
        <f>IF(OR($A19="",AB19="",AB18=""),"",AB19/AB18-1)</f>
        <v/>
      </c>
      <c r="AD19" s="153">
        <f>IF($A19="","",[1]!thsiFinD("ths_adjustment_nv_fund",AD$2,$A19))</f>
        <v/>
      </c>
      <c r="AE19" s="83">
        <f>IF(OR($A19="",AD19="",AD18=""),"",AD19/AD18-1)</f>
        <v/>
      </c>
      <c r="AF19" s="153">
        <f>IF($A19="","",[1]!thsiFinD("ths_adjustment_nv_fund",AF$2,$A19))</f>
        <v/>
      </c>
      <c r="AG19" s="83">
        <f>IF(OR($A19="",AF19="",AF18=""),"",AF19/AF18-1)</f>
        <v/>
      </c>
      <c r="AH19" s="153">
        <f>IF($A19="","",[1]!thsiFinD("ths_adjustment_nv_fund",AH$2,$A19))</f>
        <v/>
      </c>
      <c r="AI19" s="83">
        <f>IF(OR($A19="",AH19="",AH18=""),"",AH19/AH18-1)</f>
        <v/>
      </c>
      <c r="AJ19" s="153">
        <f>IF($A19="","",[1]!thsiFinD("ths_adjustment_nv_fund",AJ$2,$A19))</f>
        <v/>
      </c>
      <c r="AK19" s="83">
        <f>IF(OR($A19="",AJ19="",AJ18=""),"",AJ19/AJ18-1)</f>
        <v/>
      </c>
      <c r="AL19" s="153">
        <f>IF($A19="","",[1]!thsiFinD("ths_adjustment_nv_fund",AL$2,$A19))</f>
        <v/>
      </c>
      <c r="AM19" s="83">
        <f>IF(OR($A19="",AL19="",AL18=""),"",AL19/AL18-1)</f>
        <v/>
      </c>
      <c r="AN19" s="153">
        <f>IF($A19="","",[1]!thsiFinD("ths_adjustment_nv_fund",AN$2,$A19))</f>
        <v/>
      </c>
      <c r="AO19" s="83">
        <f>IF(OR($A19="",AN19="",AN18=""),"",AN19/AN18-1)</f>
        <v/>
      </c>
    </row>
    <row r="20">
      <c r="A20" s="152">
        <f>IF(组合净值!A19="","",组合净值!A19)</f>
        <v/>
      </c>
      <c r="B20" s="153">
        <f>IF($A20="","",[1]!thsiFinD("ths_adjustment_nv_fund",B$2,$A20))</f>
        <v/>
      </c>
      <c r="C20" s="83">
        <f>IF(OR($A20="",B20="",B19=""),"",B20/B19-1)</f>
        <v/>
      </c>
      <c r="D20" s="153">
        <f>IF($A20="","",[1]!thsiFinD("ths_adjustment_nv_fund",D$2,$A20))</f>
        <v/>
      </c>
      <c r="E20" s="83">
        <f>IF(OR($A20="",D20="",D19=""),"",D20/D19-1)</f>
        <v/>
      </c>
      <c r="F20" s="153">
        <f>IF($A20="","",[1]!thsiFinD("ths_adjustment_nv_fund",F$2,$A20))</f>
        <v/>
      </c>
      <c r="G20" s="83">
        <f>IF(OR($A20="",F20="",F19=""),"",F20/F19-1)</f>
        <v/>
      </c>
      <c r="H20" s="153">
        <f>IF($A20="","",[1]!thsiFinD("ths_adjustment_nv_fund",H$2,$A20))</f>
        <v/>
      </c>
      <c r="I20" s="83">
        <f>IF(OR($A20="",H20="",H19=""),"",H20/H19-1)</f>
        <v/>
      </c>
      <c r="J20" s="153">
        <f>IF($A20="","",[1]!thsiFinD("ths_adjustment_nv_fund",J$2,$A20))</f>
        <v/>
      </c>
      <c r="K20" s="83">
        <f>IF(OR($A20="",J20="",J19=""),"",J20/J19-1)</f>
        <v/>
      </c>
      <c r="L20" s="153">
        <f>IF($A20="","",[1]!thsiFinD("ths_adjustment_nv_fund",L$2,$A20))</f>
        <v/>
      </c>
      <c r="M20" s="83">
        <f>IF(OR($A20="",L20="",L19=""),"",L20/L19-1)</f>
        <v/>
      </c>
      <c r="N20" s="153">
        <f>IF($A20="","",[1]!thsiFinD("ths_adjustment_nv_fund",N$2,$A20))</f>
        <v/>
      </c>
      <c r="O20" s="83">
        <f>IF(OR($A20="",N20="",N19=""),"",N20/N19-1)</f>
        <v/>
      </c>
      <c r="P20" s="153">
        <f>IF($A20="","",[1]!thsiFinD("ths_adjustment_nv_fund",P$2,$A20))</f>
        <v/>
      </c>
      <c r="Q20" s="83">
        <f>IF(OR($A20="",P20="",P19=""),"",P20/P19-1)</f>
        <v/>
      </c>
      <c r="R20" s="153">
        <f>IF($A20="","",[1]!thsiFinD("ths_adjustment_nv_fund",R$2,$A20))</f>
        <v/>
      </c>
      <c r="S20" s="83">
        <f>IF(OR($A20="",R20="",R19=""),"",R20/R19-1)</f>
        <v/>
      </c>
      <c r="T20" s="153">
        <f>IF($A20="","",[1]!thsiFinD("ths_adjustment_nv_fund",T$2,$A20))</f>
        <v/>
      </c>
      <c r="U20" s="83">
        <f>IF(OR($A20="",T20="",T19=""),"",T20/T19-1)</f>
        <v/>
      </c>
      <c r="V20" s="153">
        <f>IF($A20="","",[1]!thsiFinD("ths_adjustment_nv_fund",V$2,$A20))</f>
        <v/>
      </c>
      <c r="W20" s="83">
        <f>IF(OR($A20="",V20="",V19=""),"",V20/V19-1)</f>
        <v/>
      </c>
      <c r="X20" s="153">
        <f>IF($A20="","",[1]!thsiFinD("ths_adjustment_nv_fund",X$2,$A20))</f>
        <v/>
      </c>
      <c r="Y20" s="83">
        <f>IF(OR($A20="",X20="",X19=""),"",X20/X19-1)</f>
        <v/>
      </c>
      <c r="Z20" s="153">
        <f>IF($A20="","",[1]!thsiFinD("ths_adjustment_nv_fund",Z$2,$A20))</f>
        <v/>
      </c>
      <c r="AA20" s="83">
        <f>IF(OR($A20="",Z20="",Z19=""),"",Z20/Z19-1)</f>
        <v/>
      </c>
      <c r="AB20" s="153">
        <f>IF($A20="","",[1]!thsiFinD("ths_adjustment_nv_fund",AB$2,$A20))</f>
        <v/>
      </c>
      <c r="AC20" s="83">
        <f>IF(OR($A20="",AB20="",AB19=""),"",AB20/AB19-1)</f>
        <v/>
      </c>
      <c r="AD20" s="153">
        <f>IF($A20="","",[1]!thsiFinD("ths_adjustment_nv_fund",AD$2,$A20))</f>
        <v/>
      </c>
      <c r="AE20" s="83">
        <f>IF(OR($A20="",AD20="",AD19=""),"",AD20/AD19-1)</f>
        <v/>
      </c>
      <c r="AF20" s="153">
        <f>IF($A20="","",[1]!thsiFinD("ths_adjustment_nv_fund",AF$2,$A20))</f>
        <v/>
      </c>
      <c r="AG20" s="83">
        <f>IF(OR($A20="",AF20="",AF19=""),"",AF20/AF19-1)</f>
        <v/>
      </c>
      <c r="AH20" s="153">
        <f>IF($A20="","",[1]!thsiFinD("ths_adjustment_nv_fund",AH$2,$A20))</f>
        <v/>
      </c>
      <c r="AI20" s="83">
        <f>IF(OR($A20="",AH20="",AH19=""),"",AH20/AH19-1)</f>
        <v/>
      </c>
      <c r="AJ20" s="153">
        <f>IF($A20="","",[1]!thsiFinD("ths_adjustment_nv_fund",AJ$2,$A20))</f>
        <v/>
      </c>
      <c r="AK20" s="83">
        <f>IF(OR($A20="",AJ20="",AJ19=""),"",AJ20/AJ19-1)</f>
        <v/>
      </c>
      <c r="AL20" s="153">
        <f>IF($A20="","",[1]!thsiFinD("ths_adjustment_nv_fund",AL$2,$A20))</f>
        <v/>
      </c>
      <c r="AM20" s="83">
        <f>IF(OR($A20="",AL20="",AL19=""),"",AL20/AL19-1)</f>
        <v/>
      </c>
      <c r="AN20" s="153">
        <f>IF($A20="","",[1]!thsiFinD("ths_adjustment_nv_fund",AN$2,$A20))</f>
        <v/>
      </c>
      <c r="AO20" s="83">
        <f>IF(OR($A20="",AN20="",AN19=""),"",AN20/AN19-1)</f>
        <v/>
      </c>
    </row>
    <row r="21">
      <c r="A21" s="152">
        <f>IF(组合净值!A20="","",组合净值!A20)</f>
        <v/>
      </c>
      <c r="B21" s="153">
        <f>IF($A21="","",[1]!thsiFinD("ths_adjustment_nv_fund",B$2,$A21))</f>
        <v/>
      </c>
      <c r="C21" s="83">
        <f>IF(OR($A21="",B21="",B20=""),"",B21/B20-1)</f>
        <v/>
      </c>
      <c r="D21" s="153">
        <f>IF($A21="","",[1]!thsiFinD("ths_adjustment_nv_fund",D$2,$A21))</f>
        <v/>
      </c>
      <c r="E21" s="83">
        <f>IF(OR($A21="",D21="",D20=""),"",D21/D20-1)</f>
        <v/>
      </c>
      <c r="F21" s="153">
        <f>IF($A21="","",[1]!thsiFinD("ths_adjustment_nv_fund",F$2,$A21))</f>
        <v/>
      </c>
      <c r="G21" s="83">
        <f>IF(OR($A21="",F21="",F20=""),"",F21/F20-1)</f>
        <v/>
      </c>
      <c r="H21" s="153">
        <f>IF($A21="","",[1]!thsiFinD("ths_adjustment_nv_fund",H$2,$A21))</f>
        <v/>
      </c>
      <c r="I21" s="83">
        <f>IF(OR($A21="",H21="",H20=""),"",H21/H20-1)</f>
        <v/>
      </c>
      <c r="J21" s="153">
        <f>IF($A21="","",[1]!thsiFinD("ths_adjustment_nv_fund",J$2,$A21))</f>
        <v/>
      </c>
      <c r="K21" s="83">
        <f>IF(OR($A21="",J21="",J20=""),"",J21/J20-1)</f>
        <v/>
      </c>
      <c r="L21" s="153">
        <f>IF($A21="","",[1]!thsiFinD("ths_adjustment_nv_fund",L$2,$A21))</f>
        <v/>
      </c>
      <c r="M21" s="83">
        <f>IF(OR($A21="",L21="",L20=""),"",L21/L20-1)</f>
        <v/>
      </c>
      <c r="N21" s="153">
        <f>IF($A21="","",[1]!thsiFinD("ths_adjustment_nv_fund",N$2,$A21))</f>
        <v/>
      </c>
      <c r="O21" s="83">
        <f>IF(OR($A21="",N21="",N20=""),"",N21/N20-1)</f>
        <v/>
      </c>
      <c r="P21" s="153">
        <f>IF($A21="","",[1]!thsiFinD("ths_adjustment_nv_fund",P$2,$A21))</f>
        <v/>
      </c>
      <c r="Q21" s="83">
        <f>IF(OR($A21="",P21="",P20=""),"",P21/P20-1)</f>
        <v/>
      </c>
      <c r="R21" s="153">
        <f>IF($A21="","",[1]!thsiFinD("ths_adjustment_nv_fund",R$2,$A21))</f>
        <v/>
      </c>
      <c r="S21" s="83">
        <f>IF(OR($A21="",R21="",R20=""),"",R21/R20-1)</f>
        <v/>
      </c>
      <c r="T21" s="153">
        <f>IF($A21="","",[1]!thsiFinD("ths_adjustment_nv_fund",T$2,$A21))</f>
        <v/>
      </c>
      <c r="U21" s="83">
        <f>IF(OR($A21="",T21="",T20=""),"",T21/T20-1)</f>
        <v/>
      </c>
      <c r="V21" s="153">
        <f>IF($A21="","",[1]!thsiFinD("ths_adjustment_nv_fund",V$2,$A21))</f>
        <v/>
      </c>
      <c r="W21" s="83">
        <f>IF(OR($A21="",V21="",V20=""),"",V21/V20-1)</f>
        <v/>
      </c>
      <c r="X21" s="153">
        <f>IF($A21="","",[1]!thsiFinD("ths_adjustment_nv_fund",X$2,$A21))</f>
        <v/>
      </c>
      <c r="Y21" s="83">
        <f>IF(OR($A21="",X21="",X20=""),"",X21/X20-1)</f>
        <v/>
      </c>
      <c r="Z21" s="153">
        <f>IF($A21="","",[1]!thsiFinD("ths_adjustment_nv_fund",Z$2,$A21))</f>
        <v/>
      </c>
      <c r="AA21" s="83">
        <f>IF(OR($A21="",Z21="",Z20=""),"",Z21/Z20-1)</f>
        <v/>
      </c>
      <c r="AB21" s="153">
        <f>IF($A21="","",[1]!thsiFinD("ths_adjustment_nv_fund",AB$2,$A21))</f>
        <v/>
      </c>
      <c r="AC21" s="83">
        <f>IF(OR($A21="",AB21="",AB20=""),"",AB21/AB20-1)</f>
        <v/>
      </c>
      <c r="AD21" s="153">
        <f>IF($A21="","",[1]!thsiFinD("ths_adjustment_nv_fund",AD$2,$A21))</f>
        <v/>
      </c>
      <c r="AE21" s="83">
        <f>IF(OR($A21="",AD21="",AD20=""),"",AD21/AD20-1)</f>
        <v/>
      </c>
      <c r="AF21" s="153">
        <f>IF($A21="","",[1]!thsiFinD("ths_adjustment_nv_fund",AF$2,$A21))</f>
        <v/>
      </c>
      <c r="AG21" s="83">
        <f>IF(OR($A21="",AF21="",AF20=""),"",AF21/AF20-1)</f>
        <v/>
      </c>
      <c r="AH21" s="153">
        <f>IF($A21="","",[1]!thsiFinD("ths_adjustment_nv_fund",AH$2,$A21))</f>
        <v/>
      </c>
      <c r="AI21" s="83">
        <f>IF(OR($A21="",AH21="",AH20=""),"",AH21/AH20-1)</f>
        <v/>
      </c>
      <c r="AJ21" s="153">
        <f>IF($A21="","",[1]!thsiFinD("ths_adjustment_nv_fund",AJ$2,$A21))</f>
        <v/>
      </c>
      <c r="AK21" s="83">
        <f>IF(OR($A21="",AJ21="",AJ20=""),"",AJ21/AJ20-1)</f>
        <v/>
      </c>
      <c r="AL21" s="153">
        <f>IF($A21="","",[1]!thsiFinD("ths_adjustment_nv_fund",AL$2,$A21))</f>
        <v/>
      </c>
      <c r="AM21" s="83">
        <f>IF(OR($A21="",AL21="",AL20=""),"",AL21/AL20-1)</f>
        <v/>
      </c>
      <c r="AN21" s="153">
        <f>IF($A21="","",[1]!thsiFinD("ths_adjustment_nv_fund",AN$2,$A21))</f>
        <v/>
      </c>
      <c r="AO21" s="83">
        <f>IF(OR($A21="",AN21="",AN20=""),"",AN21/AN20-1)</f>
        <v/>
      </c>
    </row>
    <row r="22">
      <c r="A22" s="152">
        <f>IF(组合净值!A21="","",组合净值!A21)</f>
        <v/>
      </c>
      <c r="B22" s="153">
        <f>IF($A22="","",[1]!thsiFinD("ths_adjustment_nv_fund",B$2,$A22))</f>
        <v/>
      </c>
      <c r="C22" s="83">
        <f>IF(OR($A22="",B22="",B21=""),"",B22/B21-1)</f>
        <v/>
      </c>
      <c r="D22" s="153">
        <f>IF($A22="","",[1]!thsiFinD("ths_adjustment_nv_fund",D$2,$A22))</f>
        <v/>
      </c>
      <c r="E22" s="83">
        <f>IF(OR($A22="",D22="",D21=""),"",D22/D21-1)</f>
        <v/>
      </c>
      <c r="F22" s="153">
        <f>IF($A22="","",[1]!thsiFinD("ths_adjustment_nv_fund",F$2,$A22))</f>
        <v/>
      </c>
      <c r="G22" s="83">
        <f>IF(OR($A22="",F22="",F21=""),"",F22/F21-1)</f>
        <v/>
      </c>
      <c r="H22" s="153">
        <f>IF($A22="","",[1]!thsiFinD("ths_adjustment_nv_fund",H$2,$A22))</f>
        <v/>
      </c>
      <c r="I22" s="83">
        <f>IF(OR($A22="",H22="",H21=""),"",H22/H21-1)</f>
        <v/>
      </c>
      <c r="J22" s="153">
        <f>IF($A22="","",[1]!thsiFinD("ths_adjustment_nv_fund",J$2,$A22))</f>
        <v/>
      </c>
      <c r="K22" s="83">
        <f>IF(OR($A22="",J22="",J21=""),"",J22/J21-1)</f>
        <v/>
      </c>
      <c r="L22" s="153">
        <f>IF($A22="","",[1]!thsiFinD("ths_adjustment_nv_fund",L$2,$A22))</f>
        <v/>
      </c>
      <c r="M22" s="83">
        <f>IF(OR($A22="",L22="",L21=""),"",L22/L21-1)</f>
        <v/>
      </c>
      <c r="N22" s="153">
        <f>IF($A22="","",[1]!thsiFinD("ths_adjustment_nv_fund",N$2,$A22))</f>
        <v/>
      </c>
      <c r="O22" s="83">
        <f>IF(OR($A22="",N22="",N21=""),"",N22/N21-1)</f>
        <v/>
      </c>
      <c r="P22" s="153">
        <f>IF($A22="","",[1]!thsiFinD("ths_adjustment_nv_fund",P$2,$A22))</f>
        <v/>
      </c>
      <c r="Q22" s="83">
        <f>IF(OR($A22="",P22="",P21=""),"",P22/P21-1)</f>
        <v/>
      </c>
      <c r="R22" s="153">
        <f>IF($A22="","",[1]!thsiFinD("ths_adjustment_nv_fund",R$2,$A22))</f>
        <v/>
      </c>
      <c r="S22" s="83">
        <f>IF(OR($A22="",R22="",R21=""),"",R22/R21-1)</f>
        <v/>
      </c>
      <c r="T22" s="153">
        <f>IF($A22="","",[1]!thsiFinD("ths_adjustment_nv_fund",T$2,$A22))</f>
        <v/>
      </c>
      <c r="U22" s="83">
        <f>IF(OR($A22="",T22="",T21=""),"",T22/T21-1)</f>
        <v/>
      </c>
      <c r="V22" s="153">
        <f>IF($A22="","",[1]!thsiFinD("ths_adjustment_nv_fund",V$2,$A22))</f>
        <v/>
      </c>
      <c r="W22" s="83">
        <f>IF(OR($A22="",V22="",V21=""),"",V22/V21-1)</f>
        <v/>
      </c>
      <c r="X22" s="153">
        <f>IF($A22="","",[1]!thsiFinD("ths_adjustment_nv_fund",X$2,$A22))</f>
        <v/>
      </c>
      <c r="Y22" s="83">
        <f>IF(OR($A22="",X22="",X21=""),"",X22/X21-1)</f>
        <v/>
      </c>
      <c r="Z22" s="153">
        <f>IF($A22="","",[1]!thsiFinD("ths_adjustment_nv_fund",Z$2,$A22))</f>
        <v/>
      </c>
      <c r="AA22" s="83">
        <f>IF(OR($A22="",Z22="",Z21=""),"",Z22/Z21-1)</f>
        <v/>
      </c>
      <c r="AB22" s="153">
        <f>IF($A22="","",[1]!thsiFinD("ths_adjustment_nv_fund",AB$2,$A22))</f>
        <v/>
      </c>
      <c r="AC22" s="83">
        <f>IF(OR($A22="",AB22="",AB21=""),"",AB22/AB21-1)</f>
        <v/>
      </c>
      <c r="AD22" s="153">
        <f>IF($A22="","",[1]!thsiFinD("ths_adjustment_nv_fund",AD$2,$A22))</f>
        <v/>
      </c>
      <c r="AE22" s="83">
        <f>IF(OR($A22="",AD22="",AD21=""),"",AD22/AD21-1)</f>
        <v/>
      </c>
      <c r="AF22" s="153">
        <f>IF($A22="","",[1]!thsiFinD("ths_adjustment_nv_fund",AF$2,$A22))</f>
        <v/>
      </c>
      <c r="AG22" s="83">
        <f>IF(OR($A22="",AF22="",AF21=""),"",AF22/AF21-1)</f>
        <v/>
      </c>
      <c r="AH22" s="153">
        <f>IF($A22="","",[1]!thsiFinD("ths_adjustment_nv_fund",AH$2,$A22))</f>
        <v/>
      </c>
      <c r="AI22" s="83">
        <f>IF(OR($A22="",AH22="",AH21=""),"",AH22/AH21-1)</f>
        <v/>
      </c>
      <c r="AJ22" s="153">
        <f>IF($A22="","",[1]!thsiFinD("ths_adjustment_nv_fund",AJ$2,$A22))</f>
        <v/>
      </c>
      <c r="AK22" s="83">
        <f>IF(OR($A22="",AJ22="",AJ21=""),"",AJ22/AJ21-1)</f>
        <v/>
      </c>
      <c r="AL22" s="153">
        <f>IF($A22="","",[1]!thsiFinD("ths_adjustment_nv_fund",AL$2,$A22))</f>
        <v/>
      </c>
      <c r="AM22" s="83">
        <f>IF(OR($A22="",AL22="",AL21=""),"",AL22/AL21-1)</f>
        <v/>
      </c>
      <c r="AN22" s="153">
        <f>IF($A22="","",[1]!thsiFinD("ths_adjustment_nv_fund",AN$2,$A22))</f>
        <v/>
      </c>
      <c r="AO22" s="83">
        <f>IF(OR($A22="",AN22="",AN21=""),"",AN22/AN21-1)</f>
        <v/>
      </c>
    </row>
    <row r="23">
      <c r="A23" s="152">
        <f>IF(组合净值!A22="","",组合净值!A22)</f>
        <v/>
      </c>
      <c r="B23" s="153">
        <f>IF($A23="","",[1]!thsiFinD("ths_adjustment_nv_fund",B$2,$A23))</f>
        <v/>
      </c>
      <c r="C23" s="83">
        <f>IF(OR($A23="",B23="",B22=""),"",B23/B22-1)</f>
        <v/>
      </c>
      <c r="D23" s="153">
        <f>IF($A23="","",[1]!thsiFinD("ths_adjustment_nv_fund",D$2,$A23))</f>
        <v/>
      </c>
      <c r="E23" s="83">
        <f>IF(OR($A23="",D23="",D22=""),"",D23/D22-1)</f>
        <v/>
      </c>
      <c r="F23" s="153">
        <f>IF($A23="","",[1]!thsiFinD("ths_adjustment_nv_fund",F$2,$A23))</f>
        <v/>
      </c>
      <c r="G23" s="83">
        <f>IF(OR($A23="",F23="",F22=""),"",F23/F22-1)</f>
        <v/>
      </c>
      <c r="H23" s="153">
        <f>IF($A23="","",[1]!thsiFinD("ths_adjustment_nv_fund",H$2,$A23))</f>
        <v/>
      </c>
      <c r="I23" s="83">
        <f>IF(OR($A23="",H23="",H22=""),"",H23/H22-1)</f>
        <v/>
      </c>
      <c r="J23" s="153">
        <f>IF($A23="","",[1]!thsiFinD("ths_adjustment_nv_fund",J$2,$A23))</f>
        <v/>
      </c>
      <c r="K23" s="83">
        <f>IF(OR($A23="",J23="",J22=""),"",J23/J22-1)</f>
        <v/>
      </c>
      <c r="L23" s="153">
        <f>IF($A23="","",[1]!thsiFinD("ths_adjustment_nv_fund",L$2,$A23))</f>
        <v/>
      </c>
      <c r="M23" s="83">
        <f>IF(OR($A23="",L23="",L22=""),"",L23/L22-1)</f>
        <v/>
      </c>
      <c r="N23" s="153">
        <f>IF($A23="","",[1]!thsiFinD("ths_adjustment_nv_fund",N$2,$A23))</f>
        <v/>
      </c>
      <c r="O23" s="83">
        <f>IF(OR($A23="",N23="",N22=""),"",N23/N22-1)</f>
        <v/>
      </c>
      <c r="P23" s="153">
        <f>IF($A23="","",[1]!thsiFinD("ths_adjustment_nv_fund",P$2,$A23))</f>
        <v/>
      </c>
      <c r="Q23" s="83">
        <f>IF(OR($A23="",P23="",P22=""),"",P23/P22-1)</f>
        <v/>
      </c>
      <c r="R23" s="153">
        <f>IF($A23="","",[1]!thsiFinD("ths_adjustment_nv_fund",R$2,$A23))</f>
        <v/>
      </c>
      <c r="S23" s="83">
        <f>IF(OR($A23="",R23="",R22=""),"",R23/R22-1)</f>
        <v/>
      </c>
      <c r="T23" s="153">
        <f>IF($A23="","",[1]!thsiFinD("ths_adjustment_nv_fund",T$2,$A23))</f>
        <v/>
      </c>
      <c r="U23" s="83">
        <f>IF(OR($A23="",T23="",T22=""),"",T23/T22-1)</f>
        <v/>
      </c>
      <c r="V23" s="153">
        <f>IF($A23="","",[1]!thsiFinD("ths_adjustment_nv_fund",V$2,$A23))</f>
        <v/>
      </c>
      <c r="W23" s="83">
        <f>IF(OR($A23="",V23="",V22=""),"",V23/V22-1)</f>
        <v/>
      </c>
      <c r="X23" s="153">
        <f>IF($A23="","",[1]!thsiFinD("ths_adjustment_nv_fund",X$2,$A23))</f>
        <v/>
      </c>
      <c r="Y23" s="83">
        <f>IF(OR($A23="",X23="",X22=""),"",X23/X22-1)</f>
        <v/>
      </c>
      <c r="Z23" s="153">
        <f>IF($A23="","",[1]!thsiFinD("ths_adjustment_nv_fund",Z$2,$A23))</f>
        <v/>
      </c>
      <c r="AA23" s="83">
        <f>IF(OR($A23="",Z23="",Z22=""),"",Z23/Z22-1)</f>
        <v/>
      </c>
      <c r="AB23" s="153">
        <f>IF($A23="","",[1]!thsiFinD("ths_adjustment_nv_fund",AB$2,$A23))</f>
        <v/>
      </c>
      <c r="AC23" s="83">
        <f>IF(OR($A23="",AB23="",AB22=""),"",AB23/AB22-1)</f>
        <v/>
      </c>
      <c r="AD23" s="153">
        <f>IF($A23="","",[1]!thsiFinD("ths_adjustment_nv_fund",AD$2,$A23))</f>
        <v/>
      </c>
      <c r="AE23" s="83">
        <f>IF(OR($A23="",AD23="",AD22=""),"",AD23/AD22-1)</f>
        <v/>
      </c>
      <c r="AF23" s="153">
        <f>IF($A23="","",[1]!thsiFinD("ths_adjustment_nv_fund",AF$2,$A23))</f>
        <v/>
      </c>
      <c r="AG23" s="83">
        <f>IF(OR($A23="",AF23="",AF22=""),"",AF23/AF22-1)</f>
        <v/>
      </c>
      <c r="AH23" s="153">
        <f>IF($A23="","",[1]!thsiFinD("ths_adjustment_nv_fund",AH$2,$A23))</f>
        <v/>
      </c>
      <c r="AI23" s="83">
        <f>IF(OR($A23="",AH23="",AH22=""),"",AH23/AH22-1)</f>
        <v/>
      </c>
      <c r="AJ23" s="153">
        <f>IF($A23="","",[1]!thsiFinD("ths_adjustment_nv_fund",AJ$2,$A23))</f>
        <v/>
      </c>
      <c r="AK23" s="83">
        <f>IF(OR($A23="",AJ23="",AJ22=""),"",AJ23/AJ22-1)</f>
        <v/>
      </c>
      <c r="AL23" s="153">
        <f>IF($A23="","",[1]!thsiFinD("ths_adjustment_nv_fund",AL$2,$A23))</f>
        <v/>
      </c>
      <c r="AM23" s="83">
        <f>IF(OR($A23="",AL23="",AL22=""),"",AL23/AL22-1)</f>
        <v/>
      </c>
      <c r="AN23" s="153">
        <f>IF($A23="","",[1]!thsiFinD("ths_adjustment_nv_fund",AN$2,$A23))</f>
        <v/>
      </c>
      <c r="AO23" s="83">
        <f>IF(OR($A23="",AN23="",AN22=""),"",AN23/AN22-1)</f>
        <v/>
      </c>
    </row>
    <row r="24">
      <c r="A24" s="152">
        <f>IF(组合净值!A23="","",组合净值!A23)</f>
        <v/>
      </c>
      <c r="B24" s="153">
        <f>IF($A24="","",[1]!thsiFinD("ths_adjustment_nv_fund",B$2,$A24))</f>
        <v/>
      </c>
      <c r="C24" s="83">
        <f>IF(OR($A24="",B24="",B23=""),"",B24/B23-1)</f>
        <v/>
      </c>
      <c r="D24" s="153">
        <f>IF($A24="","",[1]!thsiFinD("ths_adjustment_nv_fund",D$2,$A24))</f>
        <v/>
      </c>
      <c r="E24" s="83">
        <f>IF(OR($A24="",D24="",D23=""),"",D24/D23-1)</f>
        <v/>
      </c>
      <c r="F24" s="153">
        <f>IF($A24="","",[1]!thsiFinD("ths_adjustment_nv_fund",F$2,$A24))</f>
        <v/>
      </c>
      <c r="G24" s="83">
        <f>IF(OR($A24="",F24="",F23=""),"",F24/F23-1)</f>
        <v/>
      </c>
      <c r="H24" s="153">
        <f>IF($A24="","",[1]!thsiFinD("ths_adjustment_nv_fund",H$2,$A24))</f>
        <v/>
      </c>
      <c r="I24" s="83">
        <f>IF(OR($A24="",H24="",H23=""),"",H24/H23-1)</f>
        <v/>
      </c>
      <c r="J24" s="153">
        <f>IF($A24="","",[1]!thsiFinD("ths_adjustment_nv_fund",J$2,$A24))</f>
        <v/>
      </c>
      <c r="K24" s="83">
        <f>IF(OR($A24="",J24="",J23=""),"",J24/J23-1)</f>
        <v/>
      </c>
      <c r="L24" s="153">
        <f>IF($A24="","",[1]!thsiFinD("ths_adjustment_nv_fund",L$2,$A24))</f>
        <v/>
      </c>
      <c r="M24" s="83">
        <f>IF(OR($A24="",L24="",L23=""),"",L24/L23-1)</f>
        <v/>
      </c>
      <c r="N24" s="153">
        <f>IF($A24="","",[1]!thsiFinD("ths_adjustment_nv_fund",N$2,$A24))</f>
        <v/>
      </c>
      <c r="O24" s="83">
        <f>IF(OR($A24="",N24="",N23=""),"",N24/N23-1)</f>
        <v/>
      </c>
      <c r="P24" s="153">
        <f>IF($A24="","",[1]!thsiFinD("ths_adjustment_nv_fund",P$2,$A24))</f>
        <v/>
      </c>
      <c r="Q24" s="83">
        <f>IF(OR($A24="",P24="",P23=""),"",P24/P23-1)</f>
        <v/>
      </c>
      <c r="R24" s="153">
        <f>IF($A24="","",[1]!thsiFinD("ths_adjustment_nv_fund",R$2,$A24))</f>
        <v/>
      </c>
      <c r="S24" s="83">
        <f>IF(OR($A24="",R24="",R23=""),"",R24/R23-1)</f>
        <v/>
      </c>
      <c r="T24" s="153">
        <f>IF($A24="","",[1]!thsiFinD("ths_adjustment_nv_fund",T$2,$A24))</f>
        <v/>
      </c>
      <c r="U24" s="83">
        <f>IF(OR($A24="",T24="",T23=""),"",T24/T23-1)</f>
        <v/>
      </c>
      <c r="V24" s="153">
        <f>IF($A24="","",[1]!thsiFinD("ths_adjustment_nv_fund",V$2,$A24))</f>
        <v/>
      </c>
      <c r="W24" s="83">
        <f>IF(OR($A24="",V24="",V23=""),"",V24/V23-1)</f>
        <v/>
      </c>
      <c r="X24" s="153">
        <f>IF($A24="","",[1]!thsiFinD("ths_adjustment_nv_fund",X$2,$A24))</f>
        <v/>
      </c>
      <c r="Y24" s="83">
        <f>IF(OR($A24="",X24="",X23=""),"",X24/X23-1)</f>
        <v/>
      </c>
      <c r="Z24" s="153">
        <f>IF($A24="","",[1]!thsiFinD("ths_adjustment_nv_fund",Z$2,$A24))</f>
        <v/>
      </c>
      <c r="AA24" s="83">
        <f>IF(OR($A24="",Z24="",Z23=""),"",Z24/Z23-1)</f>
        <v/>
      </c>
      <c r="AB24" s="153">
        <f>IF($A24="","",[1]!thsiFinD("ths_adjustment_nv_fund",AB$2,$A24))</f>
        <v/>
      </c>
      <c r="AC24" s="83">
        <f>IF(OR($A24="",AB24="",AB23=""),"",AB24/AB23-1)</f>
        <v/>
      </c>
      <c r="AD24" s="153">
        <f>IF($A24="","",[1]!thsiFinD("ths_adjustment_nv_fund",AD$2,$A24))</f>
        <v/>
      </c>
      <c r="AE24" s="83">
        <f>IF(OR($A24="",AD24="",AD23=""),"",AD24/AD23-1)</f>
        <v/>
      </c>
      <c r="AF24" s="153">
        <f>IF($A24="","",[1]!thsiFinD("ths_adjustment_nv_fund",AF$2,$A24))</f>
        <v/>
      </c>
      <c r="AG24" s="83">
        <f>IF(OR($A24="",AF24="",AF23=""),"",AF24/AF23-1)</f>
        <v/>
      </c>
      <c r="AH24" s="153">
        <f>IF($A24="","",[1]!thsiFinD("ths_adjustment_nv_fund",AH$2,$A24))</f>
        <v/>
      </c>
      <c r="AI24" s="83">
        <f>IF(OR($A24="",AH24="",AH23=""),"",AH24/AH23-1)</f>
        <v/>
      </c>
      <c r="AJ24" s="153">
        <f>IF($A24="","",[1]!thsiFinD("ths_adjustment_nv_fund",AJ$2,$A24))</f>
        <v/>
      </c>
      <c r="AK24" s="83">
        <f>IF(OR($A24="",AJ24="",AJ23=""),"",AJ24/AJ23-1)</f>
        <v/>
      </c>
      <c r="AL24" s="153">
        <f>IF($A24="","",[1]!thsiFinD("ths_adjustment_nv_fund",AL$2,$A24))</f>
        <v/>
      </c>
      <c r="AM24" s="83">
        <f>IF(OR($A24="",AL24="",AL23=""),"",AL24/AL23-1)</f>
        <v/>
      </c>
      <c r="AN24" s="153">
        <f>IF($A24="","",[1]!thsiFinD("ths_adjustment_nv_fund",AN$2,$A24))</f>
        <v/>
      </c>
      <c r="AO24" s="83">
        <f>IF(OR($A24="",AN24="",AN23=""),"",AN24/AN23-1)</f>
        <v/>
      </c>
    </row>
    <row r="25">
      <c r="A25" s="152">
        <f>IF(组合净值!A24="","",组合净值!A24)</f>
        <v/>
      </c>
      <c r="B25" s="153">
        <f>IF($A25="","",[1]!thsiFinD("ths_adjustment_nv_fund",B$2,$A25))</f>
        <v/>
      </c>
      <c r="C25" s="83">
        <f>IF(OR($A25="",B25="",B24=""),"",B25/B24-1)</f>
        <v/>
      </c>
      <c r="D25" s="153">
        <f>IF($A25="","",[1]!thsiFinD("ths_adjustment_nv_fund",D$2,$A25))</f>
        <v/>
      </c>
      <c r="E25" s="83">
        <f>IF(OR($A25="",D25="",D24=""),"",D25/D24-1)</f>
        <v/>
      </c>
      <c r="F25" s="153">
        <f>IF($A25="","",[1]!thsiFinD("ths_adjustment_nv_fund",F$2,$A25))</f>
        <v/>
      </c>
      <c r="G25" s="83">
        <f>IF(OR($A25="",F25="",F24=""),"",F25/F24-1)</f>
        <v/>
      </c>
      <c r="H25" s="153">
        <f>IF($A25="","",[1]!thsiFinD("ths_adjustment_nv_fund",H$2,$A25))</f>
        <v/>
      </c>
      <c r="I25" s="83">
        <f>IF(OR($A25="",H25="",H24=""),"",H25/H24-1)</f>
        <v/>
      </c>
      <c r="J25" s="153">
        <f>IF($A25="","",[1]!thsiFinD("ths_adjustment_nv_fund",J$2,$A25))</f>
        <v/>
      </c>
      <c r="K25" s="83">
        <f>IF(OR($A25="",J25="",J24=""),"",J25/J24-1)</f>
        <v/>
      </c>
      <c r="L25" s="153">
        <f>IF($A25="","",[1]!thsiFinD("ths_adjustment_nv_fund",L$2,$A25))</f>
        <v/>
      </c>
      <c r="M25" s="83">
        <f>IF(OR($A25="",L25="",L24=""),"",L25/L24-1)</f>
        <v/>
      </c>
      <c r="N25" s="153">
        <f>IF($A25="","",[1]!thsiFinD("ths_adjustment_nv_fund",N$2,$A25))</f>
        <v/>
      </c>
      <c r="O25" s="83">
        <f>IF(OR($A25="",N25="",N24=""),"",N25/N24-1)</f>
        <v/>
      </c>
      <c r="P25" s="153">
        <f>IF($A25="","",[1]!thsiFinD("ths_adjustment_nv_fund",P$2,$A25))</f>
        <v/>
      </c>
      <c r="Q25" s="83">
        <f>IF(OR($A25="",P25="",P24=""),"",P25/P24-1)</f>
        <v/>
      </c>
      <c r="R25" s="153">
        <f>IF($A25="","",[1]!thsiFinD("ths_adjustment_nv_fund",R$2,$A25))</f>
        <v/>
      </c>
      <c r="S25" s="83">
        <f>IF(OR($A25="",R25="",R24=""),"",R25/R24-1)</f>
        <v/>
      </c>
      <c r="T25" s="153">
        <f>IF($A25="","",[1]!thsiFinD("ths_adjustment_nv_fund",T$2,$A25))</f>
        <v/>
      </c>
      <c r="U25" s="83">
        <f>IF(OR($A25="",T25="",T24=""),"",T25/T24-1)</f>
        <v/>
      </c>
      <c r="V25" s="153">
        <f>IF($A25="","",[1]!thsiFinD("ths_adjustment_nv_fund",V$2,$A25))</f>
        <v/>
      </c>
      <c r="W25" s="83">
        <f>IF(OR($A25="",V25="",V24=""),"",V25/V24-1)</f>
        <v/>
      </c>
      <c r="X25" s="153">
        <f>IF($A25="","",[1]!thsiFinD("ths_adjustment_nv_fund",X$2,$A25))</f>
        <v/>
      </c>
      <c r="Y25" s="83">
        <f>IF(OR($A25="",X25="",X24=""),"",X25/X24-1)</f>
        <v/>
      </c>
      <c r="Z25" s="153">
        <f>IF($A25="","",[1]!thsiFinD("ths_adjustment_nv_fund",Z$2,$A25))</f>
        <v/>
      </c>
      <c r="AA25" s="83">
        <f>IF(OR($A25="",Z25="",Z24=""),"",Z25/Z24-1)</f>
        <v/>
      </c>
      <c r="AB25" s="153">
        <f>IF($A25="","",[1]!thsiFinD("ths_adjustment_nv_fund",AB$2,$A25))</f>
        <v/>
      </c>
      <c r="AC25" s="83">
        <f>IF(OR($A25="",AB25="",AB24=""),"",AB25/AB24-1)</f>
        <v/>
      </c>
      <c r="AD25" s="153">
        <f>IF($A25="","",[1]!thsiFinD("ths_adjustment_nv_fund",AD$2,$A25))</f>
        <v/>
      </c>
      <c r="AE25" s="83">
        <f>IF(OR($A25="",AD25="",AD24=""),"",AD25/AD24-1)</f>
        <v/>
      </c>
      <c r="AF25" s="153">
        <f>IF($A25="","",[1]!thsiFinD("ths_adjustment_nv_fund",AF$2,$A25))</f>
        <v/>
      </c>
      <c r="AG25" s="83">
        <f>IF(OR($A25="",AF25="",AF24=""),"",AF25/AF24-1)</f>
        <v/>
      </c>
      <c r="AH25" s="153">
        <f>IF($A25="","",[1]!thsiFinD("ths_adjustment_nv_fund",AH$2,$A25))</f>
        <v/>
      </c>
      <c r="AI25" s="83">
        <f>IF(OR($A25="",AH25="",AH24=""),"",AH25/AH24-1)</f>
        <v/>
      </c>
      <c r="AJ25" s="153">
        <f>IF($A25="","",[1]!thsiFinD("ths_adjustment_nv_fund",AJ$2,$A25))</f>
        <v/>
      </c>
      <c r="AK25" s="83">
        <f>IF(OR($A25="",AJ25="",AJ24=""),"",AJ25/AJ24-1)</f>
        <v/>
      </c>
      <c r="AL25" s="153">
        <f>IF($A25="","",[1]!thsiFinD("ths_adjustment_nv_fund",AL$2,$A25))</f>
        <v/>
      </c>
      <c r="AM25" s="83">
        <f>IF(OR($A25="",AL25="",AL24=""),"",AL25/AL24-1)</f>
        <v/>
      </c>
      <c r="AN25" s="153">
        <f>IF($A25="","",[1]!thsiFinD("ths_adjustment_nv_fund",AN$2,$A25))</f>
        <v/>
      </c>
      <c r="AO25" s="83">
        <f>IF(OR($A25="",AN25="",AN24=""),"",AN25/AN24-1)</f>
        <v/>
      </c>
    </row>
    <row r="26">
      <c r="A26" s="152">
        <f>IF(组合净值!A25="","",组合净值!A25)</f>
        <v/>
      </c>
      <c r="B26" s="153">
        <f>IF($A26="","",[1]!thsiFinD("ths_adjustment_nv_fund",B$2,$A26))</f>
        <v/>
      </c>
      <c r="C26" s="83">
        <f>IF(OR($A26="",B26="",B25=""),"",B26/B25-1)</f>
        <v/>
      </c>
      <c r="D26" s="153">
        <f>IF($A26="","",[1]!thsiFinD("ths_adjustment_nv_fund",D$2,$A26))</f>
        <v/>
      </c>
      <c r="E26" s="83">
        <f>IF(OR($A26="",D26="",D25=""),"",D26/D25-1)</f>
        <v/>
      </c>
      <c r="F26" s="153">
        <f>IF($A26="","",[1]!thsiFinD("ths_adjustment_nv_fund",F$2,$A26))</f>
        <v/>
      </c>
      <c r="G26" s="83">
        <f>IF(OR($A26="",F26="",F25=""),"",F26/F25-1)</f>
        <v/>
      </c>
      <c r="H26" s="153">
        <f>IF($A26="","",[1]!thsiFinD("ths_adjustment_nv_fund",H$2,$A26))</f>
        <v/>
      </c>
      <c r="I26" s="83">
        <f>IF(OR($A26="",H26="",H25=""),"",H26/H25-1)</f>
        <v/>
      </c>
      <c r="J26" s="153">
        <f>IF($A26="","",[1]!thsiFinD("ths_adjustment_nv_fund",J$2,$A26))</f>
        <v/>
      </c>
      <c r="K26" s="83">
        <f>IF(OR($A26="",J26="",J25=""),"",J26/J25-1)</f>
        <v/>
      </c>
      <c r="L26" s="153">
        <f>IF($A26="","",[1]!thsiFinD("ths_adjustment_nv_fund",L$2,$A26))</f>
        <v/>
      </c>
      <c r="M26" s="83">
        <f>IF(OR($A26="",L26="",L25=""),"",L26/L25-1)</f>
        <v/>
      </c>
      <c r="N26" s="153">
        <f>IF($A26="","",[1]!thsiFinD("ths_adjustment_nv_fund",N$2,$A26))</f>
        <v/>
      </c>
      <c r="O26" s="83">
        <f>IF(OR($A26="",N26="",N25=""),"",N26/N25-1)</f>
        <v/>
      </c>
      <c r="P26" s="153">
        <f>IF($A26="","",[1]!thsiFinD("ths_adjustment_nv_fund",P$2,$A26))</f>
        <v/>
      </c>
      <c r="Q26" s="83">
        <f>IF(OR($A26="",P26="",P25=""),"",P26/P25-1)</f>
        <v/>
      </c>
      <c r="R26" s="153">
        <f>IF($A26="","",[1]!thsiFinD("ths_adjustment_nv_fund",R$2,$A26))</f>
        <v/>
      </c>
      <c r="S26" s="83">
        <f>IF(OR($A26="",R26="",R25=""),"",R26/R25-1)</f>
        <v/>
      </c>
      <c r="T26" s="153">
        <f>IF($A26="","",[1]!thsiFinD("ths_adjustment_nv_fund",T$2,$A26))</f>
        <v/>
      </c>
      <c r="U26" s="83">
        <f>IF(OR($A26="",T26="",T25=""),"",T26/T25-1)</f>
        <v/>
      </c>
      <c r="V26" s="153">
        <f>IF($A26="","",[1]!thsiFinD("ths_adjustment_nv_fund",V$2,$A26))</f>
        <v/>
      </c>
      <c r="W26" s="83">
        <f>IF(OR($A26="",V26="",V25=""),"",V26/V25-1)</f>
        <v/>
      </c>
      <c r="X26" s="153">
        <f>IF($A26="","",[1]!thsiFinD("ths_adjustment_nv_fund",X$2,$A26))</f>
        <v/>
      </c>
      <c r="Y26" s="83">
        <f>IF(OR($A26="",X26="",X25=""),"",X26/X25-1)</f>
        <v/>
      </c>
      <c r="Z26" s="153">
        <f>IF($A26="","",[1]!thsiFinD("ths_adjustment_nv_fund",Z$2,$A26))</f>
        <v/>
      </c>
      <c r="AA26" s="83">
        <f>IF(OR($A26="",Z26="",Z25=""),"",Z26/Z25-1)</f>
        <v/>
      </c>
      <c r="AB26" s="153">
        <f>IF($A26="","",[1]!thsiFinD("ths_adjustment_nv_fund",AB$2,$A26))</f>
        <v/>
      </c>
      <c r="AC26" s="83">
        <f>IF(OR($A26="",AB26="",AB25=""),"",AB26/AB25-1)</f>
        <v/>
      </c>
      <c r="AD26" s="153">
        <f>IF($A26="","",[1]!thsiFinD("ths_adjustment_nv_fund",AD$2,$A26))</f>
        <v/>
      </c>
      <c r="AE26" s="83">
        <f>IF(OR($A26="",AD26="",AD25=""),"",AD26/AD25-1)</f>
        <v/>
      </c>
      <c r="AF26" s="153">
        <f>IF($A26="","",[1]!thsiFinD("ths_adjustment_nv_fund",AF$2,$A26))</f>
        <v/>
      </c>
      <c r="AG26" s="83">
        <f>IF(OR($A26="",AF26="",AF25=""),"",AF26/AF25-1)</f>
        <v/>
      </c>
      <c r="AH26" s="153">
        <f>IF($A26="","",[1]!thsiFinD("ths_adjustment_nv_fund",AH$2,$A26))</f>
        <v/>
      </c>
      <c r="AI26" s="83">
        <f>IF(OR($A26="",AH26="",AH25=""),"",AH26/AH25-1)</f>
        <v/>
      </c>
      <c r="AJ26" s="153">
        <f>IF($A26="","",[1]!thsiFinD("ths_adjustment_nv_fund",AJ$2,$A26))</f>
        <v/>
      </c>
      <c r="AK26" s="83">
        <f>IF(OR($A26="",AJ26="",AJ25=""),"",AJ26/AJ25-1)</f>
        <v/>
      </c>
      <c r="AL26" s="153">
        <f>IF($A26="","",[1]!thsiFinD("ths_adjustment_nv_fund",AL$2,$A26))</f>
        <v/>
      </c>
      <c r="AM26" s="83">
        <f>IF(OR($A26="",AL26="",AL25=""),"",AL26/AL25-1)</f>
        <v/>
      </c>
      <c r="AN26" s="153">
        <f>IF($A26="","",[1]!thsiFinD("ths_adjustment_nv_fund",AN$2,$A26))</f>
        <v/>
      </c>
      <c r="AO26" s="83">
        <f>IF(OR($A26="",AN26="",AN25=""),"",AN26/AN25-1)</f>
        <v/>
      </c>
    </row>
    <row r="27">
      <c r="A27" s="152">
        <f>IF(组合净值!A26="","",组合净值!A26)</f>
        <v/>
      </c>
      <c r="B27" s="153">
        <f>IF($A27="","",[1]!thsiFinD("ths_adjustment_nv_fund",B$2,$A27))</f>
        <v/>
      </c>
      <c r="C27" s="83">
        <f>IF(OR($A27="",B27="",B26=""),"",B27/B26-1)</f>
        <v/>
      </c>
      <c r="D27" s="153">
        <f>IF($A27="","",[1]!thsiFinD("ths_adjustment_nv_fund",D$2,$A27))</f>
        <v/>
      </c>
      <c r="E27" s="83">
        <f>IF(OR($A27="",D27="",D26=""),"",D27/D26-1)</f>
        <v/>
      </c>
      <c r="F27" s="153">
        <f>IF($A27="","",[1]!thsiFinD("ths_adjustment_nv_fund",F$2,$A27))</f>
        <v/>
      </c>
      <c r="G27" s="83">
        <f>IF(OR($A27="",F27="",F26=""),"",F27/F26-1)</f>
        <v/>
      </c>
      <c r="H27" s="153">
        <f>IF($A27="","",[1]!thsiFinD("ths_adjustment_nv_fund",H$2,$A27))</f>
        <v/>
      </c>
      <c r="I27" s="83">
        <f>IF(OR($A27="",H27="",H26=""),"",H27/H26-1)</f>
        <v/>
      </c>
      <c r="J27" s="153">
        <f>IF($A27="","",[1]!thsiFinD("ths_adjustment_nv_fund",J$2,$A27))</f>
        <v/>
      </c>
      <c r="K27" s="83">
        <f>IF(OR($A27="",J27="",J26=""),"",J27/J26-1)</f>
        <v/>
      </c>
      <c r="L27" s="153">
        <f>IF($A27="","",[1]!thsiFinD("ths_adjustment_nv_fund",L$2,$A27))</f>
        <v/>
      </c>
      <c r="M27" s="83">
        <f>IF(OR($A27="",L27="",L26=""),"",L27/L26-1)</f>
        <v/>
      </c>
      <c r="N27" s="153">
        <f>IF($A27="","",[1]!thsiFinD("ths_adjustment_nv_fund",N$2,$A27))</f>
        <v/>
      </c>
      <c r="O27" s="83">
        <f>IF(OR($A27="",N27="",N26=""),"",N27/N26-1)</f>
        <v/>
      </c>
      <c r="P27" s="153">
        <f>IF($A27="","",[1]!thsiFinD("ths_adjustment_nv_fund",P$2,$A27))</f>
        <v/>
      </c>
      <c r="Q27" s="83">
        <f>IF(OR($A27="",P27="",P26=""),"",P27/P26-1)</f>
        <v/>
      </c>
      <c r="R27" s="153">
        <f>IF($A27="","",[1]!thsiFinD("ths_adjustment_nv_fund",R$2,$A27))</f>
        <v/>
      </c>
      <c r="S27" s="83">
        <f>IF(OR($A27="",R27="",R26=""),"",R27/R26-1)</f>
        <v/>
      </c>
      <c r="T27" s="153">
        <f>IF($A27="","",[1]!thsiFinD("ths_adjustment_nv_fund",T$2,$A27))</f>
        <v/>
      </c>
      <c r="U27" s="83">
        <f>IF(OR($A27="",T27="",T26=""),"",T27/T26-1)</f>
        <v/>
      </c>
      <c r="V27" s="153">
        <f>IF($A27="","",[1]!thsiFinD("ths_adjustment_nv_fund",V$2,$A27))</f>
        <v/>
      </c>
      <c r="W27" s="83">
        <f>IF(OR($A27="",V27="",V26=""),"",V27/V26-1)</f>
        <v/>
      </c>
      <c r="X27" s="153">
        <f>IF($A27="","",[1]!thsiFinD("ths_adjustment_nv_fund",X$2,$A27))</f>
        <v/>
      </c>
      <c r="Y27" s="83">
        <f>IF(OR($A27="",X27="",X26=""),"",X27/X26-1)</f>
        <v/>
      </c>
      <c r="Z27" s="153">
        <f>IF($A27="","",[1]!thsiFinD("ths_adjustment_nv_fund",Z$2,$A27))</f>
        <v/>
      </c>
      <c r="AA27" s="83">
        <f>IF(OR($A27="",Z27="",Z26=""),"",Z27/Z26-1)</f>
        <v/>
      </c>
      <c r="AB27" s="153">
        <f>IF($A27="","",[1]!thsiFinD("ths_adjustment_nv_fund",AB$2,$A27))</f>
        <v/>
      </c>
      <c r="AC27" s="83">
        <f>IF(OR($A27="",AB27="",AB26=""),"",AB27/AB26-1)</f>
        <v/>
      </c>
      <c r="AD27" s="153">
        <f>IF($A27="","",[1]!thsiFinD("ths_adjustment_nv_fund",AD$2,$A27))</f>
        <v/>
      </c>
      <c r="AE27" s="83">
        <f>IF(OR($A27="",AD27="",AD26=""),"",AD27/AD26-1)</f>
        <v/>
      </c>
      <c r="AF27" s="153">
        <f>IF($A27="","",[1]!thsiFinD("ths_adjustment_nv_fund",AF$2,$A27))</f>
        <v/>
      </c>
      <c r="AG27" s="83">
        <f>IF(OR($A27="",AF27="",AF26=""),"",AF27/AF26-1)</f>
        <v/>
      </c>
      <c r="AH27" s="153">
        <f>IF($A27="","",[1]!thsiFinD("ths_adjustment_nv_fund",AH$2,$A27))</f>
        <v/>
      </c>
      <c r="AI27" s="83">
        <f>IF(OR($A27="",AH27="",AH26=""),"",AH27/AH26-1)</f>
        <v/>
      </c>
      <c r="AJ27" s="153">
        <f>IF($A27="","",[1]!thsiFinD("ths_adjustment_nv_fund",AJ$2,$A27))</f>
        <v/>
      </c>
      <c r="AK27" s="83">
        <f>IF(OR($A27="",AJ27="",AJ26=""),"",AJ27/AJ26-1)</f>
        <v/>
      </c>
      <c r="AL27" s="153">
        <f>IF($A27="","",[1]!thsiFinD("ths_adjustment_nv_fund",AL$2,$A27))</f>
        <v/>
      </c>
      <c r="AM27" s="83">
        <f>IF(OR($A27="",AL27="",AL26=""),"",AL27/AL26-1)</f>
        <v/>
      </c>
      <c r="AN27" s="153">
        <f>IF($A27="","",[1]!thsiFinD("ths_adjustment_nv_fund",AN$2,$A27))</f>
        <v/>
      </c>
      <c r="AO27" s="83">
        <f>IF(OR($A27="",AN27="",AN26=""),"",AN27/AN26-1)</f>
        <v/>
      </c>
    </row>
    <row r="28">
      <c r="A28" s="152">
        <f>IF(组合净值!A27="","",组合净值!A27)</f>
        <v/>
      </c>
      <c r="B28" s="153">
        <f>IF($A28="","",[1]!thsiFinD("ths_adjustment_nv_fund",B$2,$A28))</f>
        <v/>
      </c>
      <c r="C28" s="83">
        <f>IF(OR($A28="",B28="",B27=""),"",B28/B27-1)</f>
        <v/>
      </c>
      <c r="D28" s="153">
        <f>IF($A28="","",[1]!thsiFinD("ths_adjustment_nv_fund",D$2,$A28))</f>
        <v/>
      </c>
      <c r="E28" s="83">
        <f>IF(OR($A28="",D28="",D27=""),"",D28/D27-1)</f>
        <v/>
      </c>
      <c r="F28" s="153">
        <f>IF($A28="","",[1]!thsiFinD("ths_adjustment_nv_fund",F$2,$A28))</f>
        <v/>
      </c>
      <c r="G28" s="83">
        <f>IF(OR($A28="",F28="",F27=""),"",F28/F27-1)</f>
        <v/>
      </c>
      <c r="H28" s="153">
        <f>IF($A28="","",[1]!thsiFinD("ths_adjustment_nv_fund",H$2,$A28))</f>
        <v/>
      </c>
      <c r="I28" s="83">
        <f>IF(OR($A28="",H28="",H27=""),"",H28/H27-1)</f>
        <v/>
      </c>
      <c r="J28" s="153">
        <f>IF($A28="","",[1]!thsiFinD("ths_adjustment_nv_fund",J$2,$A28))</f>
        <v/>
      </c>
      <c r="K28" s="83">
        <f>IF(OR($A28="",J28="",J27=""),"",J28/J27-1)</f>
        <v/>
      </c>
      <c r="L28" s="153">
        <f>IF($A28="","",[1]!thsiFinD("ths_adjustment_nv_fund",L$2,$A28))</f>
        <v/>
      </c>
      <c r="M28" s="83">
        <f>IF(OR($A28="",L28="",L27=""),"",L28/L27-1)</f>
        <v/>
      </c>
      <c r="N28" s="153">
        <f>IF($A28="","",[1]!thsiFinD("ths_adjustment_nv_fund",N$2,$A28))</f>
        <v/>
      </c>
      <c r="O28" s="83">
        <f>IF(OR($A28="",N28="",N27=""),"",N28/N27-1)</f>
        <v/>
      </c>
      <c r="P28" s="153">
        <f>IF($A28="","",[1]!thsiFinD("ths_adjustment_nv_fund",P$2,$A28))</f>
        <v/>
      </c>
      <c r="Q28" s="83">
        <f>IF(OR($A28="",P28="",P27=""),"",P28/P27-1)</f>
        <v/>
      </c>
      <c r="R28" s="153">
        <f>IF($A28="","",[1]!thsiFinD("ths_adjustment_nv_fund",R$2,$A28))</f>
        <v/>
      </c>
      <c r="S28" s="83">
        <f>IF(OR($A28="",R28="",R27=""),"",R28/R27-1)</f>
        <v/>
      </c>
      <c r="T28" s="153">
        <f>IF($A28="","",[1]!thsiFinD("ths_adjustment_nv_fund",T$2,$A28))</f>
        <v/>
      </c>
      <c r="U28" s="83">
        <f>IF(OR($A28="",T28="",T27=""),"",T28/T27-1)</f>
        <v/>
      </c>
      <c r="V28" s="153">
        <f>IF($A28="","",[1]!thsiFinD("ths_adjustment_nv_fund",V$2,$A28))</f>
        <v/>
      </c>
      <c r="W28" s="83">
        <f>IF(OR($A28="",V28="",V27=""),"",V28/V27-1)</f>
        <v/>
      </c>
      <c r="X28" s="153">
        <f>IF($A28="","",[1]!thsiFinD("ths_adjustment_nv_fund",X$2,$A28))</f>
        <v/>
      </c>
      <c r="Y28" s="83">
        <f>IF(OR($A28="",X28="",X27=""),"",X28/X27-1)</f>
        <v/>
      </c>
      <c r="Z28" s="153">
        <f>IF($A28="","",[1]!thsiFinD("ths_adjustment_nv_fund",Z$2,$A28))</f>
        <v/>
      </c>
      <c r="AA28" s="83">
        <f>IF(OR($A28="",Z28="",Z27=""),"",Z28/Z27-1)</f>
        <v/>
      </c>
      <c r="AB28" s="153">
        <f>IF($A28="","",[1]!thsiFinD("ths_adjustment_nv_fund",AB$2,$A28))</f>
        <v/>
      </c>
      <c r="AC28" s="83">
        <f>IF(OR($A28="",AB28="",AB27=""),"",AB28/AB27-1)</f>
        <v/>
      </c>
      <c r="AD28" s="153">
        <f>IF($A28="","",[1]!thsiFinD("ths_adjustment_nv_fund",AD$2,$A28))</f>
        <v/>
      </c>
      <c r="AE28" s="83">
        <f>IF(OR($A28="",AD28="",AD27=""),"",AD28/AD27-1)</f>
        <v/>
      </c>
      <c r="AF28" s="153">
        <f>IF($A28="","",[1]!thsiFinD("ths_adjustment_nv_fund",AF$2,$A28))</f>
        <v/>
      </c>
      <c r="AG28" s="83">
        <f>IF(OR($A28="",AF28="",AF27=""),"",AF28/AF27-1)</f>
        <v/>
      </c>
      <c r="AH28" s="153">
        <f>IF($A28="","",[1]!thsiFinD("ths_adjustment_nv_fund",AH$2,$A28))</f>
        <v/>
      </c>
      <c r="AI28" s="83">
        <f>IF(OR($A28="",AH28="",AH27=""),"",AH28/AH27-1)</f>
        <v/>
      </c>
      <c r="AJ28" s="153">
        <f>IF($A28="","",[1]!thsiFinD("ths_adjustment_nv_fund",AJ$2,$A28))</f>
        <v/>
      </c>
      <c r="AK28" s="83">
        <f>IF(OR($A28="",AJ28="",AJ27=""),"",AJ28/AJ27-1)</f>
        <v/>
      </c>
      <c r="AL28" s="153">
        <f>IF($A28="","",[1]!thsiFinD("ths_adjustment_nv_fund",AL$2,$A28))</f>
        <v/>
      </c>
      <c r="AM28" s="83">
        <f>IF(OR($A28="",AL28="",AL27=""),"",AL28/AL27-1)</f>
        <v/>
      </c>
      <c r="AN28" s="153">
        <f>IF($A28="","",[1]!thsiFinD("ths_adjustment_nv_fund",AN$2,$A28))</f>
        <v/>
      </c>
      <c r="AO28" s="83">
        <f>IF(OR($A28="",AN28="",AN27=""),"",AN28/AN27-1)</f>
        <v/>
      </c>
    </row>
    <row r="29">
      <c r="A29" s="152">
        <f>IF(组合净值!A28="","",组合净值!A28)</f>
        <v/>
      </c>
      <c r="B29" s="153">
        <f>IF($A29="","",[1]!thsiFinD("ths_adjustment_nv_fund",B$2,$A29))</f>
        <v/>
      </c>
      <c r="C29" s="83">
        <f>IF(OR($A29="",B29="",B28=""),"",B29/B28-1)</f>
        <v/>
      </c>
      <c r="D29" s="153">
        <f>IF($A29="","",[1]!thsiFinD("ths_adjustment_nv_fund",D$2,$A29))</f>
        <v/>
      </c>
      <c r="E29" s="83">
        <f>IF(OR($A29="",D29="",D28=""),"",D29/D28-1)</f>
        <v/>
      </c>
      <c r="F29" s="153">
        <f>IF($A29="","",[1]!thsiFinD("ths_adjustment_nv_fund",F$2,$A29))</f>
        <v/>
      </c>
      <c r="G29" s="83">
        <f>IF(OR($A29="",F29="",F28=""),"",F29/F28-1)</f>
        <v/>
      </c>
      <c r="H29" s="153">
        <f>IF($A29="","",[1]!thsiFinD("ths_adjustment_nv_fund",H$2,$A29))</f>
        <v/>
      </c>
      <c r="I29" s="83">
        <f>IF(OR($A29="",H29="",H28=""),"",H29/H28-1)</f>
        <v/>
      </c>
      <c r="J29" s="153">
        <f>IF($A29="","",[1]!thsiFinD("ths_adjustment_nv_fund",J$2,$A29))</f>
        <v/>
      </c>
      <c r="K29" s="83">
        <f>IF(OR($A29="",J29="",J28=""),"",J29/J28-1)</f>
        <v/>
      </c>
      <c r="L29" s="153">
        <f>IF($A29="","",[1]!thsiFinD("ths_adjustment_nv_fund",L$2,$A29))</f>
        <v/>
      </c>
      <c r="M29" s="83">
        <f>IF(OR($A29="",L29="",L28=""),"",L29/L28-1)</f>
        <v/>
      </c>
      <c r="N29" s="153">
        <f>IF($A29="","",[1]!thsiFinD("ths_adjustment_nv_fund",N$2,$A29))</f>
        <v/>
      </c>
      <c r="O29" s="83">
        <f>IF(OR($A29="",N29="",N28=""),"",N29/N28-1)</f>
        <v/>
      </c>
      <c r="P29" s="153">
        <f>IF($A29="","",[1]!thsiFinD("ths_adjustment_nv_fund",P$2,$A29))</f>
        <v/>
      </c>
      <c r="Q29" s="83">
        <f>IF(OR($A29="",P29="",P28=""),"",P29/P28-1)</f>
        <v/>
      </c>
      <c r="R29" s="153">
        <f>IF($A29="","",[1]!thsiFinD("ths_adjustment_nv_fund",R$2,$A29))</f>
        <v/>
      </c>
      <c r="S29" s="83">
        <f>IF(OR($A29="",R29="",R28=""),"",R29/R28-1)</f>
        <v/>
      </c>
      <c r="T29" s="153">
        <f>IF($A29="","",[1]!thsiFinD("ths_adjustment_nv_fund",T$2,$A29))</f>
        <v/>
      </c>
      <c r="U29" s="83">
        <f>IF(OR($A29="",T29="",T28=""),"",T29/T28-1)</f>
        <v/>
      </c>
      <c r="V29" s="153">
        <f>IF($A29="","",[1]!thsiFinD("ths_adjustment_nv_fund",V$2,$A29))</f>
        <v/>
      </c>
      <c r="W29" s="83">
        <f>IF(OR($A29="",V29="",V28=""),"",V29/V28-1)</f>
        <v/>
      </c>
      <c r="X29" s="153">
        <f>IF($A29="","",[1]!thsiFinD("ths_adjustment_nv_fund",X$2,$A29))</f>
        <v/>
      </c>
      <c r="Y29" s="83">
        <f>IF(OR($A29="",X29="",X28=""),"",X29/X28-1)</f>
        <v/>
      </c>
      <c r="Z29" s="153">
        <f>IF($A29="","",[1]!thsiFinD("ths_adjustment_nv_fund",Z$2,$A29))</f>
        <v/>
      </c>
      <c r="AA29" s="83">
        <f>IF(OR($A29="",Z29="",Z28=""),"",Z29/Z28-1)</f>
        <v/>
      </c>
      <c r="AB29" s="153">
        <f>IF($A29="","",[1]!thsiFinD("ths_adjustment_nv_fund",AB$2,$A29))</f>
        <v/>
      </c>
      <c r="AC29" s="83">
        <f>IF(OR($A29="",AB29="",AB28=""),"",AB29/AB28-1)</f>
        <v/>
      </c>
      <c r="AD29" s="153">
        <f>IF($A29="","",[1]!thsiFinD("ths_adjustment_nv_fund",AD$2,$A29))</f>
        <v/>
      </c>
      <c r="AE29" s="83">
        <f>IF(OR($A29="",AD29="",AD28=""),"",AD29/AD28-1)</f>
        <v/>
      </c>
      <c r="AF29" s="153">
        <f>IF($A29="","",[1]!thsiFinD("ths_adjustment_nv_fund",AF$2,$A29))</f>
        <v/>
      </c>
      <c r="AG29" s="83">
        <f>IF(OR($A29="",AF29="",AF28=""),"",AF29/AF28-1)</f>
        <v/>
      </c>
      <c r="AH29" s="153">
        <f>IF($A29="","",[1]!thsiFinD("ths_adjustment_nv_fund",AH$2,$A29))</f>
        <v/>
      </c>
      <c r="AI29" s="83">
        <f>IF(OR($A29="",AH29="",AH28=""),"",AH29/AH28-1)</f>
        <v/>
      </c>
      <c r="AJ29" s="153">
        <f>IF($A29="","",[1]!thsiFinD("ths_adjustment_nv_fund",AJ$2,$A29))</f>
        <v/>
      </c>
      <c r="AK29" s="83">
        <f>IF(OR($A29="",AJ29="",AJ28=""),"",AJ29/AJ28-1)</f>
        <v/>
      </c>
      <c r="AL29" s="153">
        <f>IF($A29="","",[1]!thsiFinD("ths_adjustment_nv_fund",AL$2,$A29))</f>
        <v/>
      </c>
      <c r="AM29" s="83">
        <f>IF(OR($A29="",AL29="",AL28=""),"",AL29/AL28-1)</f>
        <v/>
      </c>
      <c r="AN29" s="153">
        <f>IF($A29="","",[1]!thsiFinD("ths_adjustment_nv_fund",AN$2,$A29))</f>
        <v/>
      </c>
      <c r="AO29" s="83">
        <f>IF(OR($A29="",AN29="",AN28=""),"",AN29/AN28-1)</f>
        <v/>
      </c>
    </row>
    <row r="30">
      <c r="A30" s="152">
        <f>IF(组合净值!A29="","",组合净值!A29)</f>
        <v/>
      </c>
      <c r="B30" s="153">
        <f>IF($A30="","",[1]!thsiFinD("ths_adjustment_nv_fund",B$2,$A30))</f>
        <v/>
      </c>
      <c r="C30" s="83">
        <f>IF(OR($A30="",B30="",B29=""),"",B30/B29-1)</f>
        <v/>
      </c>
      <c r="D30" s="153">
        <f>IF($A30="","",[1]!thsiFinD("ths_adjustment_nv_fund",D$2,$A30))</f>
        <v/>
      </c>
      <c r="E30" s="83">
        <f>IF(OR($A30="",D30="",D29=""),"",D30/D29-1)</f>
        <v/>
      </c>
      <c r="F30" s="153">
        <f>IF($A30="","",[1]!thsiFinD("ths_adjustment_nv_fund",F$2,$A30))</f>
        <v/>
      </c>
      <c r="G30" s="83">
        <f>IF(OR($A30="",F30="",F29=""),"",F30/F29-1)</f>
        <v/>
      </c>
      <c r="H30" s="153">
        <f>IF($A30="","",[1]!thsiFinD("ths_adjustment_nv_fund",H$2,$A30))</f>
        <v/>
      </c>
      <c r="I30" s="83">
        <f>IF(OR($A30="",H30="",H29=""),"",H30/H29-1)</f>
        <v/>
      </c>
      <c r="J30" s="153">
        <f>IF($A30="","",[1]!thsiFinD("ths_adjustment_nv_fund",J$2,$A30))</f>
        <v/>
      </c>
      <c r="K30" s="83">
        <f>IF(OR($A30="",J30="",J29=""),"",J30/J29-1)</f>
        <v/>
      </c>
      <c r="L30" s="153">
        <f>IF($A30="","",[1]!thsiFinD("ths_adjustment_nv_fund",L$2,$A30))</f>
        <v/>
      </c>
      <c r="M30" s="83">
        <f>IF(OR($A30="",L30="",L29=""),"",L30/L29-1)</f>
        <v/>
      </c>
      <c r="N30" s="153">
        <f>IF($A30="","",[1]!thsiFinD("ths_adjustment_nv_fund",N$2,$A30))</f>
        <v/>
      </c>
      <c r="O30" s="83">
        <f>IF(OR($A30="",N30="",N29=""),"",N30/N29-1)</f>
        <v/>
      </c>
      <c r="P30" s="153">
        <f>IF($A30="","",[1]!thsiFinD("ths_adjustment_nv_fund",P$2,$A30))</f>
        <v/>
      </c>
      <c r="Q30" s="83">
        <f>IF(OR($A30="",P30="",P29=""),"",P30/P29-1)</f>
        <v/>
      </c>
      <c r="R30" s="153">
        <f>IF($A30="","",[1]!thsiFinD("ths_adjustment_nv_fund",R$2,$A30))</f>
        <v/>
      </c>
      <c r="S30" s="83">
        <f>IF(OR($A30="",R30="",R29=""),"",R30/R29-1)</f>
        <v/>
      </c>
      <c r="T30" s="153">
        <f>IF($A30="","",[1]!thsiFinD("ths_adjustment_nv_fund",T$2,$A30))</f>
        <v/>
      </c>
      <c r="U30" s="83">
        <f>IF(OR($A30="",T30="",T29=""),"",T30/T29-1)</f>
        <v/>
      </c>
      <c r="V30" s="153">
        <f>IF($A30="","",[1]!thsiFinD("ths_adjustment_nv_fund",V$2,$A30))</f>
        <v/>
      </c>
      <c r="W30" s="83">
        <f>IF(OR($A30="",V30="",V29=""),"",V30/V29-1)</f>
        <v/>
      </c>
      <c r="X30" s="153">
        <f>IF($A30="","",[1]!thsiFinD("ths_adjustment_nv_fund",X$2,$A30))</f>
        <v/>
      </c>
      <c r="Y30" s="83">
        <f>IF(OR($A30="",X30="",X29=""),"",X30/X29-1)</f>
        <v/>
      </c>
      <c r="Z30" s="153">
        <f>IF($A30="","",[1]!thsiFinD("ths_adjustment_nv_fund",Z$2,$A30))</f>
        <v/>
      </c>
      <c r="AA30" s="83">
        <f>IF(OR($A30="",Z30="",Z29=""),"",Z30/Z29-1)</f>
        <v/>
      </c>
      <c r="AB30" s="153">
        <f>IF($A30="","",[1]!thsiFinD("ths_adjustment_nv_fund",AB$2,$A30))</f>
        <v/>
      </c>
      <c r="AC30" s="83">
        <f>IF(OR($A30="",AB30="",AB29=""),"",AB30/AB29-1)</f>
        <v/>
      </c>
      <c r="AD30" s="153">
        <f>IF($A30="","",[1]!thsiFinD("ths_adjustment_nv_fund",AD$2,$A30))</f>
        <v/>
      </c>
      <c r="AE30" s="83">
        <f>IF(OR($A30="",AD30="",AD29=""),"",AD30/AD29-1)</f>
        <v/>
      </c>
      <c r="AF30" s="153">
        <f>IF($A30="","",[1]!thsiFinD("ths_adjustment_nv_fund",AF$2,$A30))</f>
        <v/>
      </c>
      <c r="AG30" s="83">
        <f>IF(OR($A30="",AF30="",AF29=""),"",AF30/AF29-1)</f>
        <v/>
      </c>
      <c r="AH30" s="153">
        <f>IF($A30="","",[1]!thsiFinD("ths_adjustment_nv_fund",AH$2,$A30))</f>
        <v/>
      </c>
      <c r="AI30" s="83">
        <f>IF(OR($A30="",AH30="",AH29=""),"",AH30/AH29-1)</f>
        <v/>
      </c>
      <c r="AJ30" s="153">
        <f>IF($A30="","",[1]!thsiFinD("ths_adjustment_nv_fund",AJ$2,$A30))</f>
        <v/>
      </c>
      <c r="AK30" s="83">
        <f>IF(OR($A30="",AJ30="",AJ29=""),"",AJ30/AJ29-1)</f>
        <v/>
      </c>
      <c r="AL30" s="153">
        <f>IF($A30="","",[1]!thsiFinD("ths_adjustment_nv_fund",AL$2,$A30))</f>
        <v/>
      </c>
      <c r="AM30" s="83">
        <f>IF(OR($A30="",AL30="",AL29=""),"",AL30/AL29-1)</f>
        <v/>
      </c>
      <c r="AN30" s="153">
        <f>IF($A30="","",[1]!thsiFinD("ths_adjustment_nv_fund",AN$2,$A30))</f>
        <v/>
      </c>
      <c r="AO30" s="83">
        <f>IF(OR($A30="",AN30="",AN29=""),"",AN30/AN29-1)</f>
        <v/>
      </c>
    </row>
    <row r="31">
      <c r="A31" s="152">
        <f>IF(组合净值!A30="","",组合净值!A30)</f>
        <v/>
      </c>
      <c r="B31" s="153">
        <f>IF($A31="","",[1]!thsiFinD("ths_adjustment_nv_fund",B$2,$A31))</f>
        <v/>
      </c>
      <c r="C31" s="83">
        <f>IF(OR($A31="",B31="",B30=""),"",B31/B30-1)</f>
        <v/>
      </c>
      <c r="D31" s="153">
        <f>IF($A31="","",[1]!thsiFinD("ths_adjustment_nv_fund",D$2,$A31))</f>
        <v/>
      </c>
      <c r="E31" s="83">
        <f>IF(OR($A31="",D31="",D30=""),"",D31/D30-1)</f>
        <v/>
      </c>
      <c r="F31" s="153">
        <f>IF($A31="","",[1]!thsiFinD("ths_adjustment_nv_fund",F$2,$A31))</f>
        <v/>
      </c>
      <c r="G31" s="83">
        <f>IF(OR($A31="",F31="",F30=""),"",F31/F30-1)</f>
        <v/>
      </c>
      <c r="H31" s="153">
        <f>IF($A31="","",[1]!thsiFinD("ths_adjustment_nv_fund",H$2,$A31))</f>
        <v/>
      </c>
      <c r="I31" s="83">
        <f>IF(OR($A31="",H31="",H30=""),"",H31/H30-1)</f>
        <v/>
      </c>
      <c r="J31" s="153">
        <f>IF($A31="","",[1]!thsiFinD("ths_adjustment_nv_fund",J$2,$A31))</f>
        <v/>
      </c>
      <c r="K31" s="83">
        <f>IF(OR($A31="",J31="",J30=""),"",J31/J30-1)</f>
        <v/>
      </c>
      <c r="L31" s="153">
        <f>IF($A31="","",[1]!thsiFinD("ths_adjustment_nv_fund",L$2,$A31))</f>
        <v/>
      </c>
      <c r="M31" s="83">
        <f>IF(OR($A31="",L31="",L30=""),"",L31/L30-1)</f>
        <v/>
      </c>
      <c r="N31" s="153">
        <f>IF($A31="","",[1]!thsiFinD("ths_adjustment_nv_fund",N$2,$A31))</f>
        <v/>
      </c>
      <c r="O31" s="83">
        <f>IF(OR($A31="",N31="",N30=""),"",N31/N30-1)</f>
        <v/>
      </c>
      <c r="P31" s="153">
        <f>IF($A31="","",[1]!thsiFinD("ths_adjustment_nv_fund",P$2,$A31))</f>
        <v/>
      </c>
      <c r="Q31" s="83">
        <f>IF(OR($A31="",P31="",P30=""),"",P31/P30-1)</f>
        <v/>
      </c>
      <c r="R31" s="153">
        <f>IF($A31="","",[1]!thsiFinD("ths_adjustment_nv_fund",R$2,$A31))</f>
        <v/>
      </c>
      <c r="S31" s="83">
        <f>IF(OR($A31="",R31="",R30=""),"",R31/R30-1)</f>
        <v/>
      </c>
      <c r="T31" s="153">
        <f>IF($A31="","",[1]!thsiFinD("ths_adjustment_nv_fund",T$2,$A31))</f>
        <v/>
      </c>
      <c r="U31" s="83">
        <f>IF(OR($A31="",T31="",T30=""),"",T31/T30-1)</f>
        <v/>
      </c>
      <c r="V31" s="153">
        <f>IF($A31="","",[1]!thsiFinD("ths_adjustment_nv_fund",V$2,$A31))</f>
        <v/>
      </c>
      <c r="W31" s="83">
        <f>IF(OR($A31="",V31="",V30=""),"",V31/V30-1)</f>
        <v/>
      </c>
      <c r="X31" s="153">
        <f>IF($A31="","",[1]!thsiFinD("ths_adjustment_nv_fund",X$2,$A31))</f>
        <v/>
      </c>
      <c r="Y31" s="83">
        <f>IF(OR($A31="",X31="",X30=""),"",X31/X30-1)</f>
        <v/>
      </c>
      <c r="Z31" s="153">
        <f>IF($A31="","",[1]!thsiFinD("ths_adjustment_nv_fund",Z$2,$A31))</f>
        <v/>
      </c>
      <c r="AA31" s="83">
        <f>IF(OR($A31="",Z31="",Z30=""),"",Z31/Z30-1)</f>
        <v/>
      </c>
      <c r="AB31" s="153">
        <f>IF($A31="","",[1]!thsiFinD("ths_adjustment_nv_fund",AB$2,$A31))</f>
        <v/>
      </c>
      <c r="AC31" s="83">
        <f>IF(OR($A31="",AB31="",AB30=""),"",AB31/AB30-1)</f>
        <v/>
      </c>
      <c r="AD31" s="153">
        <f>IF($A31="","",[1]!thsiFinD("ths_adjustment_nv_fund",AD$2,$A31))</f>
        <v/>
      </c>
      <c r="AE31" s="83">
        <f>IF(OR($A31="",AD31="",AD30=""),"",AD31/AD30-1)</f>
        <v/>
      </c>
      <c r="AF31" s="153">
        <f>IF($A31="","",[1]!thsiFinD("ths_adjustment_nv_fund",AF$2,$A31))</f>
        <v/>
      </c>
      <c r="AG31" s="83">
        <f>IF(OR($A31="",AF31="",AF30=""),"",AF31/AF30-1)</f>
        <v/>
      </c>
      <c r="AH31" s="153">
        <f>IF($A31="","",[1]!thsiFinD("ths_adjustment_nv_fund",AH$2,$A31))</f>
        <v/>
      </c>
      <c r="AI31" s="83">
        <f>IF(OR($A31="",AH31="",AH30=""),"",AH31/AH30-1)</f>
        <v/>
      </c>
      <c r="AJ31" s="153">
        <f>IF($A31="","",[1]!thsiFinD("ths_adjustment_nv_fund",AJ$2,$A31))</f>
        <v/>
      </c>
      <c r="AK31" s="83">
        <f>IF(OR($A31="",AJ31="",AJ30=""),"",AJ31/AJ30-1)</f>
        <v/>
      </c>
      <c r="AL31" s="153">
        <f>IF($A31="","",[1]!thsiFinD("ths_adjustment_nv_fund",AL$2,$A31))</f>
        <v/>
      </c>
      <c r="AM31" s="83">
        <f>IF(OR($A31="",AL31="",AL30=""),"",AL31/AL30-1)</f>
        <v/>
      </c>
      <c r="AN31" s="153">
        <f>IF($A31="","",[1]!thsiFinD("ths_adjustment_nv_fund",AN$2,$A31))</f>
        <v/>
      </c>
      <c r="AO31" s="83">
        <f>IF(OR($A31="",AN31="",AN30=""),"",AN31/AN30-1)</f>
        <v/>
      </c>
    </row>
    <row r="32">
      <c r="A32" s="152">
        <f>IF(组合净值!A31="","",组合净值!A31)</f>
        <v/>
      </c>
      <c r="B32" s="153">
        <f>IF($A32="","",[1]!thsiFinD("ths_adjustment_nv_fund",B$2,$A32))</f>
        <v/>
      </c>
      <c r="C32" s="83">
        <f>IF(OR($A32="",B32="",B31=""),"",B32/B31-1)</f>
        <v/>
      </c>
      <c r="D32" s="153">
        <f>IF($A32="","",[1]!thsiFinD("ths_adjustment_nv_fund",D$2,$A32))</f>
        <v/>
      </c>
      <c r="E32" s="83">
        <f>IF(OR($A32="",D32="",D31=""),"",D32/D31-1)</f>
        <v/>
      </c>
      <c r="F32" s="153">
        <f>IF($A32="","",[1]!thsiFinD("ths_adjustment_nv_fund",F$2,$A32))</f>
        <v/>
      </c>
      <c r="G32" s="83">
        <f>IF(OR($A32="",F32="",F31=""),"",F32/F31-1)</f>
        <v/>
      </c>
      <c r="H32" s="153">
        <f>IF($A32="","",[1]!thsiFinD("ths_adjustment_nv_fund",H$2,$A32))</f>
        <v/>
      </c>
      <c r="I32" s="83">
        <f>IF(OR($A32="",H32="",H31=""),"",H32/H31-1)</f>
        <v/>
      </c>
      <c r="J32" s="153">
        <f>IF($A32="","",[1]!thsiFinD("ths_adjustment_nv_fund",J$2,$A32))</f>
        <v/>
      </c>
      <c r="K32" s="83">
        <f>IF(OR($A32="",J32="",J31=""),"",J32/J31-1)</f>
        <v/>
      </c>
      <c r="L32" s="153">
        <f>IF($A32="","",[1]!thsiFinD("ths_adjustment_nv_fund",L$2,$A32))</f>
        <v/>
      </c>
      <c r="M32" s="83">
        <f>IF(OR($A32="",L32="",L31=""),"",L32/L31-1)</f>
        <v/>
      </c>
      <c r="N32" s="153">
        <f>IF($A32="","",[1]!thsiFinD("ths_adjustment_nv_fund",N$2,$A32))</f>
        <v/>
      </c>
      <c r="O32" s="83">
        <f>IF(OR($A32="",N32="",N31=""),"",N32/N31-1)</f>
        <v/>
      </c>
      <c r="P32" s="153">
        <f>IF($A32="","",[1]!thsiFinD("ths_adjustment_nv_fund",P$2,$A32))</f>
        <v/>
      </c>
      <c r="Q32" s="83">
        <f>IF(OR($A32="",P32="",P31=""),"",P32/P31-1)</f>
        <v/>
      </c>
      <c r="R32" s="153">
        <f>IF($A32="","",[1]!thsiFinD("ths_adjustment_nv_fund",R$2,$A32))</f>
        <v/>
      </c>
      <c r="S32" s="83">
        <f>IF(OR($A32="",R32="",R31=""),"",R32/R31-1)</f>
        <v/>
      </c>
      <c r="T32" s="153">
        <f>IF($A32="","",[1]!thsiFinD("ths_adjustment_nv_fund",T$2,$A32))</f>
        <v/>
      </c>
      <c r="U32" s="83">
        <f>IF(OR($A32="",T32="",T31=""),"",T32/T31-1)</f>
        <v/>
      </c>
      <c r="V32" s="153">
        <f>IF($A32="","",[1]!thsiFinD("ths_adjustment_nv_fund",V$2,$A32))</f>
        <v/>
      </c>
      <c r="W32" s="83">
        <f>IF(OR($A32="",V32="",V31=""),"",V32/V31-1)</f>
        <v/>
      </c>
      <c r="X32" s="153">
        <f>IF($A32="","",[1]!thsiFinD("ths_adjustment_nv_fund",X$2,$A32))</f>
        <v/>
      </c>
      <c r="Y32" s="83">
        <f>IF(OR($A32="",X32="",X31=""),"",X32/X31-1)</f>
        <v/>
      </c>
      <c r="Z32" s="153">
        <f>IF($A32="","",[1]!thsiFinD("ths_adjustment_nv_fund",Z$2,$A32))</f>
        <v/>
      </c>
      <c r="AA32" s="83">
        <f>IF(OR($A32="",Z32="",Z31=""),"",Z32/Z31-1)</f>
        <v/>
      </c>
      <c r="AB32" s="153">
        <f>IF($A32="","",[1]!thsiFinD("ths_adjustment_nv_fund",AB$2,$A32))</f>
        <v/>
      </c>
      <c r="AC32" s="83">
        <f>IF(OR($A32="",AB32="",AB31=""),"",AB32/AB31-1)</f>
        <v/>
      </c>
      <c r="AD32" s="153">
        <f>IF($A32="","",[1]!thsiFinD("ths_adjustment_nv_fund",AD$2,$A32))</f>
        <v/>
      </c>
      <c r="AE32" s="83">
        <f>IF(OR($A32="",AD32="",AD31=""),"",AD32/AD31-1)</f>
        <v/>
      </c>
      <c r="AF32" s="153">
        <f>IF($A32="","",[1]!thsiFinD("ths_adjustment_nv_fund",AF$2,$A32))</f>
        <v/>
      </c>
      <c r="AG32" s="83">
        <f>IF(OR($A32="",AF32="",AF31=""),"",AF32/AF31-1)</f>
        <v/>
      </c>
      <c r="AH32" s="153">
        <f>IF($A32="","",[1]!thsiFinD("ths_adjustment_nv_fund",AH$2,$A32))</f>
        <v/>
      </c>
      <c r="AI32" s="83">
        <f>IF(OR($A32="",AH32="",AH31=""),"",AH32/AH31-1)</f>
        <v/>
      </c>
      <c r="AJ32" s="153">
        <f>IF($A32="","",[1]!thsiFinD("ths_adjustment_nv_fund",AJ$2,$A32))</f>
        <v/>
      </c>
      <c r="AK32" s="83">
        <f>IF(OR($A32="",AJ32="",AJ31=""),"",AJ32/AJ31-1)</f>
        <v/>
      </c>
      <c r="AL32" s="153">
        <f>IF($A32="","",[1]!thsiFinD("ths_adjustment_nv_fund",AL$2,$A32))</f>
        <v/>
      </c>
      <c r="AM32" s="83">
        <f>IF(OR($A32="",AL32="",AL31=""),"",AL32/AL31-1)</f>
        <v/>
      </c>
      <c r="AN32" s="153">
        <f>IF($A32="","",[1]!thsiFinD("ths_adjustment_nv_fund",AN$2,$A32))</f>
        <v/>
      </c>
      <c r="AO32" s="83">
        <f>IF(OR($A32="",AN32="",AN31=""),"",AN32/AN31-1)</f>
        <v/>
      </c>
    </row>
    <row r="33">
      <c r="A33" s="152">
        <f>IF(组合净值!A32="","",组合净值!A32)</f>
        <v/>
      </c>
      <c r="B33" s="153">
        <f>IF($A33="","",[1]!thsiFinD("ths_adjustment_nv_fund",B$2,$A33))</f>
        <v/>
      </c>
      <c r="C33" s="83">
        <f>IF(OR($A33="",B33="",B32=""),"",B33/B32-1)</f>
        <v/>
      </c>
      <c r="D33" s="153">
        <f>IF($A33="","",[1]!thsiFinD("ths_adjustment_nv_fund",D$2,$A33))</f>
        <v/>
      </c>
      <c r="E33" s="83">
        <f>IF(OR($A33="",D33="",D32=""),"",D33/D32-1)</f>
        <v/>
      </c>
      <c r="F33" s="153">
        <f>IF($A33="","",[1]!thsiFinD("ths_adjustment_nv_fund",F$2,$A33))</f>
        <v/>
      </c>
      <c r="G33" s="83">
        <f>IF(OR($A33="",F33="",F32=""),"",F33/F32-1)</f>
        <v/>
      </c>
      <c r="H33" s="153">
        <f>IF($A33="","",[1]!thsiFinD("ths_adjustment_nv_fund",H$2,$A33))</f>
        <v/>
      </c>
      <c r="I33" s="83">
        <f>IF(OR($A33="",H33="",H32=""),"",H33/H32-1)</f>
        <v/>
      </c>
      <c r="J33" s="153">
        <f>IF($A33="","",[1]!thsiFinD("ths_adjustment_nv_fund",J$2,$A33))</f>
        <v/>
      </c>
      <c r="K33" s="83">
        <f>IF(OR($A33="",J33="",J32=""),"",J33/J32-1)</f>
        <v/>
      </c>
      <c r="L33" s="153">
        <f>IF($A33="","",[1]!thsiFinD("ths_adjustment_nv_fund",L$2,$A33))</f>
        <v/>
      </c>
      <c r="M33" s="83">
        <f>IF(OR($A33="",L33="",L32=""),"",L33/L32-1)</f>
        <v/>
      </c>
      <c r="N33" s="153">
        <f>IF($A33="","",[1]!thsiFinD("ths_adjustment_nv_fund",N$2,$A33))</f>
        <v/>
      </c>
      <c r="O33" s="83">
        <f>IF(OR($A33="",N33="",N32=""),"",N33/N32-1)</f>
        <v/>
      </c>
      <c r="P33" s="153">
        <f>IF($A33="","",[1]!thsiFinD("ths_adjustment_nv_fund",P$2,$A33))</f>
        <v/>
      </c>
      <c r="Q33" s="83">
        <f>IF(OR($A33="",P33="",P32=""),"",P33/P32-1)</f>
        <v/>
      </c>
      <c r="R33" s="153">
        <f>IF($A33="","",[1]!thsiFinD("ths_adjustment_nv_fund",R$2,$A33))</f>
        <v/>
      </c>
      <c r="S33" s="83">
        <f>IF(OR($A33="",R33="",R32=""),"",R33/R32-1)</f>
        <v/>
      </c>
      <c r="T33" s="153">
        <f>IF($A33="","",[1]!thsiFinD("ths_adjustment_nv_fund",T$2,$A33))</f>
        <v/>
      </c>
      <c r="U33" s="83">
        <f>IF(OR($A33="",T33="",T32=""),"",T33/T32-1)</f>
        <v/>
      </c>
      <c r="V33" s="153">
        <f>IF($A33="","",[1]!thsiFinD("ths_adjustment_nv_fund",V$2,$A33))</f>
        <v/>
      </c>
      <c r="W33" s="83">
        <f>IF(OR($A33="",V33="",V32=""),"",V33/V32-1)</f>
        <v/>
      </c>
      <c r="X33" s="153">
        <f>IF($A33="","",[1]!thsiFinD("ths_adjustment_nv_fund",X$2,$A33))</f>
        <v/>
      </c>
      <c r="Y33" s="83">
        <f>IF(OR($A33="",X33="",X32=""),"",X33/X32-1)</f>
        <v/>
      </c>
      <c r="Z33" s="153">
        <f>IF($A33="","",[1]!thsiFinD("ths_adjustment_nv_fund",Z$2,$A33))</f>
        <v/>
      </c>
      <c r="AA33" s="83">
        <f>IF(OR($A33="",Z33="",Z32=""),"",Z33/Z32-1)</f>
        <v/>
      </c>
      <c r="AB33" s="153">
        <f>IF($A33="","",[1]!thsiFinD("ths_adjustment_nv_fund",AB$2,$A33))</f>
        <v/>
      </c>
      <c r="AC33" s="83">
        <f>IF(OR($A33="",AB33="",AB32=""),"",AB33/AB32-1)</f>
        <v/>
      </c>
      <c r="AD33" s="153">
        <f>IF($A33="","",[1]!thsiFinD("ths_adjustment_nv_fund",AD$2,$A33))</f>
        <v/>
      </c>
      <c r="AE33" s="83">
        <f>IF(OR($A33="",AD33="",AD32=""),"",AD33/AD32-1)</f>
        <v/>
      </c>
      <c r="AF33" s="153">
        <f>IF($A33="","",[1]!thsiFinD("ths_adjustment_nv_fund",AF$2,$A33))</f>
        <v/>
      </c>
      <c r="AG33" s="83">
        <f>IF(OR($A33="",AF33="",AF32=""),"",AF33/AF32-1)</f>
        <v/>
      </c>
      <c r="AH33" s="153">
        <f>IF($A33="","",[1]!thsiFinD("ths_adjustment_nv_fund",AH$2,$A33))</f>
        <v/>
      </c>
      <c r="AI33" s="83">
        <f>IF(OR($A33="",AH33="",AH32=""),"",AH33/AH32-1)</f>
        <v/>
      </c>
      <c r="AJ33" s="153">
        <f>IF($A33="","",[1]!thsiFinD("ths_adjustment_nv_fund",AJ$2,$A33))</f>
        <v/>
      </c>
      <c r="AK33" s="83">
        <f>IF(OR($A33="",AJ33="",AJ32=""),"",AJ33/AJ32-1)</f>
        <v/>
      </c>
      <c r="AL33" s="153">
        <f>IF($A33="","",[1]!thsiFinD("ths_adjustment_nv_fund",AL$2,$A33))</f>
        <v/>
      </c>
      <c r="AM33" s="83">
        <f>IF(OR($A33="",AL33="",AL32=""),"",AL33/AL32-1)</f>
        <v/>
      </c>
      <c r="AN33" s="153">
        <f>IF($A33="","",[1]!thsiFinD("ths_adjustment_nv_fund",AN$2,$A33))</f>
        <v/>
      </c>
      <c r="AO33" s="83">
        <f>IF(OR($A33="",AN33="",AN32=""),"",AN33/AN32-1)</f>
        <v/>
      </c>
    </row>
    <row r="34">
      <c r="A34" s="152">
        <f>IF(组合净值!A33="","",组合净值!A33)</f>
        <v/>
      </c>
      <c r="B34" s="153">
        <f>IF($A34="","",[1]!thsiFinD("ths_adjustment_nv_fund",B$2,$A34))</f>
        <v/>
      </c>
      <c r="C34" s="83">
        <f>IF(OR($A34="",B34="",B33=""),"",B34/B33-1)</f>
        <v/>
      </c>
      <c r="D34" s="153">
        <f>IF($A34="","",[1]!thsiFinD("ths_adjustment_nv_fund",D$2,$A34))</f>
        <v/>
      </c>
      <c r="E34" s="83">
        <f>IF(OR($A34="",D34="",D33=""),"",D34/D33-1)</f>
        <v/>
      </c>
      <c r="F34" s="153">
        <f>IF($A34="","",[1]!thsiFinD("ths_adjustment_nv_fund",F$2,$A34))</f>
        <v/>
      </c>
      <c r="G34" s="83">
        <f>IF(OR($A34="",F34="",F33=""),"",F34/F33-1)</f>
        <v/>
      </c>
      <c r="H34" s="153">
        <f>IF($A34="","",[1]!thsiFinD("ths_adjustment_nv_fund",H$2,$A34))</f>
        <v/>
      </c>
      <c r="I34" s="83">
        <f>IF(OR($A34="",H34="",H33=""),"",H34/H33-1)</f>
        <v/>
      </c>
      <c r="J34" s="153">
        <f>IF($A34="","",[1]!thsiFinD("ths_adjustment_nv_fund",J$2,$A34))</f>
        <v/>
      </c>
      <c r="K34" s="83">
        <f>IF(OR($A34="",J34="",J33=""),"",J34/J33-1)</f>
        <v/>
      </c>
      <c r="L34" s="153">
        <f>IF($A34="","",[1]!thsiFinD("ths_adjustment_nv_fund",L$2,$A34))</f>
        <v/>
      </c>
      <c r="M34" s="83">
        <f>IF(OR($A34="",L34="",L33=""),"",L34/L33-1)</f>
        <v/>
      </c>
      <c r="N34" s="153">
        <f>IF($A34="","",[1]!thsiFinD("ths_adjustment_nv_fund",N$2,$A34))</f>
        <v/>
      </c>
      <c r="O34" s="83">
        <f>IF(OR($A34="",N34="",N33=""),"",N34/N33-1)</f>
        <v/>
      </c>
      <c r="P34" s="153">
        <f>IF($A34="","",[1]!thsiFinD("ths_adjustment_nv_fund",P$2,$A34))</f>
        <v/>
      </c>
      <c r="Q34" s="83">
        <f>IF(OR($A34="",P34="",P33=""),"",P34/P33-1)</f>
        <v/>
      </c>
      <c r="R34" s="153">
        <f>IF($A34="","",[1]!thsiFinD("ths_adjustment_nv_fund",R$2,$A34))</f>
        <v/>
      </c>
      <c r="S34" s="83">
        <f>IF(OR($A34="",R34="",R33=""),"",R34/R33-1)</f>
        <v/>
      </c>
      <c r="T34" s="153">
        <f>IF($A34="","",[1]!thsiFinD("ths_adjustment_nv_fund",T$2,$A34))</f>
        <v/>
      </c>
      <c r="U34" s="83">
        <f>IF(OR($A34="",T34="",T33=""),"",T34/T33-1)</f>
        <v/>
      </c>
      <c r="V34" s="153">
        <f>IF($A34="","",[1]!thsiFinD("ths_adjustment_nv_fund",V$2,$A34))</f>
        <v/>
      </c>
      <c r="W34" s="83">
        <f>IF(OR($A34="",V34="",V33=""),"",V34/V33-1)</f>
        <v/>
      </c>
      <c r="X34" s="153">
        <f>IF($A34="","",[1]!thsiFinD("ths_adjustment_nv_fund",X$2,$A34))</f>
        <v/>
      </c>
      <c r="Y34" s="83">
        <f>IF(OR($A34="",X34="",X33=""),"",X34/X33-1)</f>
        <v/>
      </c>
      <c r="Z34" s="153">
        <f>IF($A34="","",[1]!thsiFinD("ths_adjustment_nv_fund",Z$2,$A34))</f>
        <v/>
      </c>
      <c r="AA34" s="83">
        <f>IF(OR($A34="",Z34="",Z33=""),"",Z34/Z33-1)</f>
        <v/>
      </c>
      <c r="AB34" s="153">
        <f>IF($A34="","",[1]!thsiFinD("ths_adjustment_nv_fund",AB$2,$A34))</f>
        <v/>
      </c>
      <c r="AC34" s="83">
        <f>IF(OR($A34="",AB34="",AB33=""),"",AB34/AB33-1)</f>
        <v/>
      </c>
      <c r="AD34" s="153">
        <f>IF($A34="","",[1]!thsiFinD("ths_adjustment_nv_fund",AD$2,$A34))</f>
        <v/>
      </c>
      <c r="AE34" s="83">
        <f>IF(OR($A34="",AD34="",AD33=""),"",AD34/AD33-1)</f>
        <v/>
      </c>
      <c r="AF34" s="153">
        <f>IF($A34="","",[1]!thsiFinD("ths_adjustment_nv_fund",AF$2,$A34))</f>
        <v/>
      </c>
      <c r="AG34" s="83">
        <f>IF(OR($A34="",AF34="",AF33=""),"",AF34/AF33-1)</f>
        <v/>
      </c>
      <c r="AH34" s="153">
        <f>IF($A34="","",[1]!thsiFinD("ths_adjustment_nv_fund",AH$2,$A34))</f>
        <v/>
      </c>
      <c r="AI34" s="83">
        <f>IF(OR($A34="",AH34="",AH33=""),"",AH34/AH33-1)</f>
        <v/>
      </c>
      <c r="AJ34" s="153">
        <f>IF($A34="","",[1]!thsiFinD("ths_adjustment_nv_fund",AJ$2,$A34))</f>
        <v/>
      </c>
      <c r="AK34" s="83">
        <f>IF(OR($A34="",AJ34="",AJ33=""),"",AJ34/AJ33-1)</f>
        <v/>
      </c>
      <c r="AL34" s="153">
        <f>IF($A34="","",[1]!thsiFinD("ths_adjustment_nv_fund",AL$2,$A34))</f>
        <v/>
      </c>
      <c r="AM34" s="83">
        <f>IF(OR($A34="",AL34="",AL33=""),"",AL34/AL33-1)</f>
        <v/>
      </c>
      <c r="AN34" s="153">
        <f>IF($A34="","",[1]!thsiFinD("ths_adjustment_nv_fund",AN$2,$A34))</f>
        <v/>
      </c>
      <c r="AO34" s="83">
        <f>IF(OR($A34="",AN34="",AN33=""),"",AN34/AN33-1)</f>
        <v/>
      </c>
    </row>
    <row r="35">
      <c r="A35" s="152">
        <f>IF(组合净值!A34="","",组合净值!A34)</f>
        <v/>
      </c>
      <c r="B35" s="153">
        <f>IF($A35="","",[1]!thsiFinD("ths_adjustment_nv_fund",B$2,$A35))</f>
        <v/>
      </c>
      <c r="C35" s="83">
        <f>IF(OR($A35="",B35="",B34=""),"",B35/B34-1)</f>
        <v/>
      </c>
      <c r="D35" s="153">
        <f>IF($A35="","",[1]!thsiFinD("ths_adjustment_nv_fund",D$2,$A35))</f>
        <v/>
      </c>
      <c r="E35" s="83">
        <f>IF(OR($A35="",D35="",D34=""),"",D35/D34-1)</f>
        <v/>
      </c>
      <c r="F35" s="153">
        <f>IF($A35="","",[1]!thsiFinD("ths_adjustment_nv_fund",F$2,$A35))</f>
        <v/>
      </c>
      <c r="G35" s="83">
        <f>IF(OR($A35="",F35="",F34=""),"",F35/F34-1)</f>
        <v/>
      </c>
      <c r="H35" s="153">
        <f>IF($A35="","",[1]!thsiFinD("ths_adjustment_nv_fund",H$2,$A35))</f>
        <v/>
      </c>
      <c r="I35" s="83">
        <f>IF(OR($A35="",H35="",H34=""),"",H35/H34-1)</f>
        <v/>
      </c>
      <c r="J35" s="153">
        <f>IF($A35="","",[1]!thsiFinD("ths_adjustment_nv_fund",J$2,$A35))</f>
        <v/>
      </c>
      <c r="K35" s="83">
        <f>IF(OR($A35="",J35="",J34=""),"",J35/J34-1)</f>
        <v/>
      </c>
      <c r="L35" s="153">
        <f>IF($A35="","",[1]!thsiFinD("ths_adjustment_nv_fund",L$2,$A35))</f>
        <v/>
      </c>
      <c r="M35" s="83">
        <f>IF(OR($A35="",L35="",L34=""),"",L35/L34-1)</f>
        <v/>
      </c>
      <c r="N35" s="153">
        <f>IF($A35="","",[1]!thsiFinD("ths_adjustment_nv_fund",N$2,$A35))</f>
        <v/>
      </c>
      <c r="O35" s="83">
        <f>IF(OR($A35="",N35="",N34=""),"",N35/N34-1)</f>
        <v/>
      </c>
      <c r="P35" s="153">
        <f>IF($A35="","",[1]!thsiFinD("ths_adjustment_nv_fund",P$2,$A35))</f>
        <v/>
      </c>
      <c r="Q35" s="83">
        <f>IF(OR($A35="",P35="",P34=""),"",P35/P34-1)</f>
        <v/>
      </c>
      <c r="R35" s="153">
        <f>IF($A35="","",[1]!thsiFinD("ths_adjustment_nv_fund",R$2,$A35))</f>
        <v/>
      </c>
      <c r="S35" s="83">
        <f>IF(OR($A35="",R35="",R34=""),"",R35/R34-1)</f>
        <v/>
      </c>
      <c r="T35" s="153">
        <f>IF($A35="","",[1]!thsiFinD("ths_adjustment_nv_fund",T$2,$A35))</f>
        <v/>
      </c>
      <c r="U35" s="83">
        <f>IF(OR($A35="",T35="",T34=""),"",T35/T34-1)</f>
        <v/>
      </c>
      <c r="V35" s="153">
        <f>IF($A35="","",[1]!thsiFinD("ths_adjustment_nv_fund",V$2,$A35))</f>
        <v/>
      </c>
      <c r="W35" s="83">
        <f>IF(OR($A35="",V35="",V34=""),"",V35/V34-1)</f>
        <v/>
      </c>
      <c r="X35" s="153">
        <f>IF($A35="","",[1]!thsiFinD("ths_adjustment_nv_fund",X$2,$A35))</f>
        <v/>
      </c>
      <c r="Y35" s="83">
        <f>IF(OR($A35="",X35="",X34=""),"",X35/X34-1)</f>
        <v/>
      </c>
      <c r="Z35" s="153">
        <f>IF($A35="","",[1]!thsiFinD("ths_adjustment_nv_fund",Z$2,$A35))</f>
        <v/>
      </c>
      <c r="AA35" s="83">
        <f>IF(OR($A35="",Z35="",Z34=""),"",Z35/Z34-1)</f>
        <v/>
      </c>
      <c r="AB35" s="153">
        <f>IF($A35="","",[1]!thsiFinD("ths_adjustment_nv_fund",AB$2,$A35))</f>
        <v/>
      </c>
      <c r="AC35" s="83">
        <f>IF(OR($A35="",AB35="",AB34=""),"",AB35/AB34-1)</f>
        <v/>
      </c>
      <c r="AD35" s="153">
        <f>IF($A35="","",[1]!thsiFinD("ths_adjustment_nv_fund",AD$2,$A35))</f>
        <v/>
      </c>
      <c r="AE35" s="83">
        <f>IF(OR($A35="",AD35="",AD34=""),"",AD35/AD34-1)</f>
        <v/>
      </c>
      <c r="AF35" s="153">
        <f>IF($A35="","",[1]!thsiFinD("ths_adjustment_nv_fund",AF$2,$A35))</f>
        <v/>
      </c>
      <c r="AG35" s="83">
        <f>IF(OR($A35="",AF35="",AF34=""),"",AF35/AF34-1)</f>
        <v/>
      </c>
      <c r="AH35" s="153">
        <f>IF($A35="","",[1]!thsiFinD("ths_adjustment_nv_fund",AH$2,$A35))</f>
        <v/>
      </c>
      <c r="AI35" s="83">
        <f>IF(OR($A35="",AH35="",AH34=""),"",AH35/AH34-1)</f>
        <v/>
      </c>
      <c r="AJ35" s="153">
        <f>IF($A35="","",[1]!thsiFinD("ths_adjustment_nv_fund",AJ$2,$A35))</f>
        <v/>
      </c>
      <c r="AK35" s="83">
        <f>IF(OR($A35="",AJ35="",AJ34=""),"",AJ35/AJ34-1)</f>
        <v/>
      </c>
      <c r="AL35" s="153">
        <f>IF($A35="","",[1]!thsiFinD("ths_adjustment_nv_fund",AL$2,$A35))</f>
        <v/>
      </c>
      <c r="AM35" s="83">
        <f>IF(OR($A35="",AL35="",AL34=""),"",AL35/AL34-1)</f>
        <v/>
      </c>
      <c r="AN35" s="153">
        <f>IF($A35="","",[1]!thsiFinD("ths_adjustment_nv_fund",AN$2,$A35))</f>
        <v/>
      </c>
      <c r="AO35" s="83">
        <f>IF(OR($A35="",AN35="",AN34=""),"",AN35/AN34-1)</f>
        <v/>
      </c>
    </row>
    <row r="36">
      <c r="A36" s="152">
        <f>IF(组合净值!A35="","",组合净值!A35)</f>
        <v/>
      </c>
      <c r="B36" s="153">
        <f>IF($A36="","",[1]!thsiFinD("ths_adjustment_nv_fund",B$2,$A36))</f>
        <v/>
      </c>
      <c r="C36" s="83">
        <f>IF(OR($A36="",B36="",B35=""),"",B36/B35-1)</f>
        <v/>
      </c>
      <c r="D36" s="153">
        <f>IF($A36="","",[1]!thsiFinD("ths_adjustment_nv_fund",D$2,$A36))</f>
        <v/>
      </c>
      <c r="E36" s="83">
        <f>IF(OR($A36="",D36="",D35=""),"",D36/D35-1)</f>
        <v/>
      </c>
      <c r="F36" s="153">
        <f>IF($A36="","",[1]!thsiFinD("ths_adjustment_nv_fund",F$2,$A36))</f>
        <v/>
      </c>
      <c r="G36" s="83">
        <f>IF(OR($A36="",F36="",F35=""),"",F36/F35-1)</f>
        <v/>
      </c>
      <c r="H36" s="153">
        <f>IF($A36="","",[1]!thsiFinD("ths_adjustment_nv_fund",H$2,$A36))</f>
        <v/>
      </c>
      <c r="I36" s="83">
        <f>IF(OR($A36="",H36="",H35=""),"",H36/H35-1)</f>
        <v/>
      </c>
      <c r="J36" s="153">
        <f>IF($A36="","",[1]!thsiFinD("ths_adjustment_nv_fund",J$2,$A36))</f>
        <v/>
      </c>
      <c r="K36" s="83">
        <f>IF(OR($A36="",J36="",J35=""),"",J36/J35-1)</f>
        <v/>
      </c>
      <c r="L36" s="153">
        <f>IF($A36="","",[1]!thsiFinD("ths_adjustment_nv_fund",L$2,$A36))</f>
        <v/>
      </c>
      <c r="M36" s="83">
        <f>IF(OR($A36="",L36="",L35=""),"",L36/L35-1)</f>
        <v/>
      </c>
      <c r="N36" s="153">
        <f>IF($A36="","",[1]!thsiFinD("ths_adjustment_nv_fund",N$2,$A36))</f>
        <v/>
      </c>
      <c r="O36" s="83">
        <f>IF(OR($A36="",N36="",N35=""),"",N36/N35-1)</f>
        <v/>
      </c>
      <c r="P36" s="153">
        <f>IF($A36="","",[1]!thsiFinD("ths_adjustment_nv_fund",P$2,$A36))</f>
        <v/>
      </c>
      <c r="Q36" s="83">
        <f>IF(OR($A36="",P36="",P35=""),"",P36/P35-1)</f>
        <v/>
      </c>
      <c r="R36" s="153">
        <f>IF($A36="","",[1]!thsiFinD("ths_adjustment_nv_fund",R$2,$A36))</f>
        <v/>
      </c>
      <c r="S36" s="83">
        <f>IF(OR($A36="",R36="",R35=""),"",R36/R35-1)</f>
        <v/>
      </c>
      <c r="T36" s="153">
        <f>IF($A36="","",[1]!thsiFinD("ths_adjustment_nv_fund",T$2,$A36))</f>
        <v/>
      </c>
      <c r="U36" s="83">
        <f>IF(OR($A36="",T36="",T35=""),"",T36/T35-1)</f>
        <v/>
      </c>
      <c r="V36" s="153">
        <f>IF($A36="","",[1]!thsiFinD("ths_adjustment_nv_fund",V$2,$A36))</f>
        <v/>
      </c>
      <c r="W36" s="83">
        <f>IF(OR($A36="",V36="",V35=""),"",V36/V35-1)</f>
        <v/>
      </c>
      <c r="X36" s="153">
        <f>IF($A36="","",[1]!thsiFinD("ths_adjustment_nv_fund",X$2,$A36))</f>
        <v/>
      </c>
      <c r="Y36" s="83">
        <f>IF(OR($A36="",X36="",X35=""),"",X36/X35-1)</f>
        <v/>
      </c>
      <c r="Z36" s="153">
        <f>IF($A36="","",[1]!thsiFinD("ths_adjustment_nv_fund",Z$2,$A36))</f>
        <v/>
      </c>
      <c r="AA36" s="83">
        <f>IF(OR($A36="",Z36="",Z35=""),"",Z36/Z35-1)</f>
        <v/>
      </c>
      <c r="AB36" s="153">
        <f>IF($A36="","",[1]!thsiFinD("ths_adjustment_nv_fund",AB$2,$A36))</f>
        <v/>
      </c>
      <c r="AC36" s="83">
        <f>IF(OR($A36="",AB36="",AB35=""),"",AB36/AB35-1)</f>
        <v/>
      </c>
      <c r="AD36" s="153">
        <f>IF($A36="","",[1]!thsiFinD("ths_adjustment_nv_fund",AD$2,$A36))</f>
        <v/>
      </c>
      <c r="AE36" s="83">
        <f>IF(OR($A36="",AD36="",AD35=""),"",AD36/AD35-1)</f>
        <v/>
      </c>
      <c r="AF36" s="153">
        <f>IF($A36="","",[1]!thsiFinD("ths_adjustment_nv_fund",AF$2,$A36))</f>
        <v/>
      </c>
      <c r="AG36" s="83">
        <f>IF(OR($A36="",AF36="",AF35=""),"",AF36/AF35-1)</f>
        <v/>
      </c>
      <c r="AH36" s="153">
        <f>IF($A36="","",[1]!thsiFinD("ths_adjustment_nv_fund",AH$2,$A36))</f>
        <v/>
      </c>
      <c r="AI36" s="83">
        <f>IF(OR($A36="",AH36="",AH35=""),"",AH36/AH35-1)</f>
        <v/>
      </c>
      <c r="AJ36" s="153">
        <f>IF($A36="","",[1]!thsiFinD("ths_adjustment_nv_fund",AJ$2,$A36))</f>
        <v/>
      </c>
      <c r="AK36" s="83">
        <f>IF(OR($A36="",AJ36="",AJ35=""),"",AJ36/AJ35-1)</f>
        <v/>
      </c>
      <c r="AL36" s="153">
        <f>IF($A36="","",[1]!thsiFinD("ths_adjustment_nv_fund",AL$2,$A36))</f>
        <v/>
      </c>
      <c r="AM36" s="83">
        <f>IF(OR($A36="",AL36="",AL35=""),"",AL36/AL35-1)</f>
        <v/>
      </c>
      <c r="AN36" s="153">
        <f>IF($A36="","",[1]!thsiFinD("ths_adjustment_nv_fund",AN$2,$A36))</f>
        <v/>
      </c>
      <c r="AO36" s="83">
        <f>IF(OR($A36="",AN36="",AN35=""),"",AN36/AN35-1)</f>
        <v/>
      </c>
    </row>
    <row r="37">
      <c r="A37" s="152">
        <f>IF(组合净值!A36="","",组合净值!A36)</f>
        <v/>
      </c>
      <c r="B37" s="153">
        <f>IF($A37="","",[1]!thsiFinD("ths_adjustment_nv_fund",B$2,$A37))</f>
        <v/>
      </c>
      <c r="C37" s="83">
        <f>IF(OR($A37="",B37="",B36=""),"",B37/B36-1)</f>
        <v/>
      </c>
      <c r="D37" s="153">
        <f>IF($A37="","",[1]!thsiFinD("ths_adjustment_nv_fund",D$2,$A37))</f>
        <v/>
      </c>
      <c r="E37" s="83">
        <f>IF(OR($A37="",D37="",D36=""),"",D37/D36-1)</f>
        <v/>
      </c>
      <c r="F37" s="153">
        <f>IF($A37="","",[1]!thsiFinD("ths_adjustment_nv_fund",F$2,$A37))</f>
        <v/>
      </c>
      <c r="G37" s="83">
        <f>IF(OR($A37="",F37="",F36=""),"",F37/F36-1)</f>
        <v/>
      </c>
      <c r="H37" s="153">
        <f>IF($A37="","",[1]!thsiFinD("ths_adjustment_nv_fund",H$2,$A37))</f>
        <v/>
      </c>
      <c r="I37" s="83">
        <f>IF(OR($A37="",H37="",H36=""),"",H37/H36-1)</f>
        <v/>
      </c>
      <c r="J37" s="153">
        <f>IF($A37="","",[1]!thsiFinD("ths_adjustment_nv_fund",J$2,$A37))</f>
        <v/>
      </c>
      <c r="K37" s="83">
        <f>IF(OR($A37="",J37="",J36=""),"",J37/J36-1)</f>
        <v/>
      </c>
      <c r="L37" s="153">
        <f>IF($A37="","",[1]!thsiFinD("ths_adjustment_nv_fund",L$2,$A37))</f>
        <v/>
      </c>
      <c r="M37" s="83">
        <f>IF(OR($A37="",L37="",L36=""),"",L37/L36-1)</f>
        <v/>
      </c>
      <c r="N37" s="153">
        <f>IF($A37="","",[1]!thsiFinD("ths_adjustment_nv_fund",N$2,$A37))</f>
        <v/>
      </c>
      <c r="O37" s="83">
        <f>IF(OR($A37="",N37="",N36=""),"",N37/N36-1)</f>
        <v/>
      </c>
      <c r="P37" s="153">
        <f>IF($A37="","",[1]!thsiFinD("ths_adjustment_nv_fund",P$2,$A37))</f>
        <v/>
      </c>
      <c r="Q37" s="83">
        <f>IF(OR($A37="",P37="",P36=""),"",P37/P36-1)</f>
        <v/>
      </c>
      <c r="R37" s="153">
        <f>IF($A37="","",[1]!thsiFinD("ths_adjustment_nv_fund",R$2,$A37))</f>
        <v/>
      </c>
      <c r="S37" s="83">
        <f>IF(OR($A37="",R37="",R36=""),"",R37/R36-1)</f>
        <v/>
      </c>
      <c r="T37" s="153">
        <f>IF($A37="","",[1]!thsiFinD("ths_adjustment_nv_fund",T$2,$A37))</f>
        <v/>
      </c>
      <c r="U37" s="83">
        <f>IF(OR($A37="",T37="",T36=""),"",T37/T36-1)</f>
        <v/>
      </c>
      <c r="V37" s="153">
        <f>IF($A37="","",[1]!thsiFinD("ths_adjustment_nv_fund",V$2,$A37))</f>
        <v/>
      </c>
      <c r="W37" s="83">
        <f>IF(OR($A37="",V37="",V36=""),"",V37/V36-1)</f>
        <v/>
      </c>
      <c r="X37" s="153">
        <f>IF($A37="","",[1]!thsiFinD("ths_adjustment_nv_fund",X$2,$A37))</f>
        <v/>
      </c>
      <c r="Y37" s="83">
        <f>IF(OR($A37="",X37="",X36=""),"",X37/X36-1)</f>
        <v/>
      </c>
      <c r="Z37" s="153">
        <f>IF($A37="","",[1]!thsiFinD("ths_adjustment_nv_fund",Z$2,$A37))</f>
        <v/>
      </c>
      <c r="AA37" s="83">
        <f>IF(OR($A37="",Z37="",Z36=""),"",Z37/Z36-1)</f>
        <v/>
      </c>
      <c r="AB37" s="153">
        <f>IF($A37="","",[1]!thsiFinD("ths_adjustment_nv_fund",AB$2,$A37))</f>
        <v/>
      </c>
      <c r="AC37" s="83">
        <f>IF(OR($A37="",AB37="",AB36=""),"",AB37/AB36-1)</f>
        <v/>
      </c>
      <c r="AD37" s="153">
        <f>IF($A37="","",[1]!thsiFinD("ths_adjustment_nv_fund",AD$2,$A37))</f>
        <v/>
      </c>
      <c r="AE37" s="83">
        <f>IF(OR($A37="",AD37="",AD36=""),"",AD37/AD36-1)</f>
        <v/>
      </c>
      <c r="AF37" s="153">
        <f>IF($A37="","",[1]!thsiFinD("ths_adjustment_nv_fund",AF$2,$A37))</f>
        <v/>
      </c>
      <c r="AG37" s="83">
        <f>IF(OR($A37="",AF37="",AF36=""),"",AF37/AF36-1)</f>
        <v/>
      </c>
      <c r="AH37" s="153">
        <f>IF($A37="","",[1]!thsiFinD("ths_adjustment_nv_fund",AH$2,$A37))</f>
        <v/>
      </c>
      <c r="AI37" s="83">
        <f>IF(OR($A37="",AH37="",AH36=""),"",AH37/AH36-1)</f>
        <v/>
      </c>
      <c r="AJ37" s="153">
        <f>IF($A37="","",[1]!thsiFinD("ths_adjustment_nv_fund",AJ$2,$A37))</f>
        <v/>
      </c>
      <c r="AK37" s="83">
        <f>IF(OR($A37="",AJ37="",AJ36=""),"",AJ37/AJ36-1)</f>
        <v/>
      </c>
      <c r="AL37" s="153">
        <f>IF($A37="","",[1]!thsiFinD("ths_adjustment_nv_fund",AL$2,$A37))</f>
        <v/>
      </c>
      <c r="AM37" s="83">
        <f>IF(OR($A37="",AL37="",AL36=""),"",AL37/AL36-1)</f>
        <v/>
      </c>
      <c r="AN37" s="153">
        <f>IF($A37="","",[1]!thsiFinD("ths_adjustment_nv_fund",AN$2,$A37))</f>
        <v/>
      </c>
      <c r="AO37" s="83">
        <f>IF(OR($A37="",AN37="",AN36=""),"",AN37/AN36-1)</f>
        <v/>
      </c>
    </row>
    <row r="38">
      <c r="A38" s="152">
        <f>IF(组合净值!A37="","",组合净值!A37)</f>
        <v/>
      </c>
      <c r="B38" s="153">
        <f>IF($A38="","",[1]!thsiFinD("ths_adjustment_nv_fund",B$2,$A38))</f>
        <v/>
      </c>
      <c r="C38" s="83">
        <f>IF(OR($A38="",B38="",B37=""),"",B38/B37-1)</f>
        <v/>
      </c>
      <c r="D38" s="153">
        <f>IF($A38="","",[1]!thsiFinD("ths_adjustment_nv_fund",D$2,$A38))</f>
        <v/>
      </c>
      <c r="E38" s="83">
        <f>IF(OR($A38="",D38="",D37=""),"",D38/D37-1)</f>
        <v/>
      </c>
      <c r="F38" s="153">
        <f>IF($A38="","",[1]!thsiFinD("ths_adjustment_nv_fund",F$2,$A38))</f>
        <v/>
      </c>
      <c r="G38" s="83">
        <f>IF(OR($A38="",F38="",F37=""),"",F38/F37-1)</f>
        <v/>
      </c>
      <c r="H38" s="153">
        <f>IF($A38="","",[1]!thsiFinD("ths_adjustment_nv_fund",H$2,$A38))</f>
        <v/>
      </c>
      <c r="I38" s="83">
        <f>IF(OR($A38="",H38="",H37=""),"",H38/H37-1)</f>
        <v/>
      </c>
      <c r="J38" s="153">
        <f>IF($A38="","",[1]!thsiFinD("ths_adjustment_nv_fund",J$2,$A38))</f>
        <v/>
      </c>
      <c r="K38" s="83">
        <f>IF(OR($A38="",J38="",J37=""),"",J38/J37-1)</f>
        <v/>
      </c>
      <c r="L38" s="153">
        <f>IF($A38="","",[1]!thsiFinD("ths_adjustment_nv_fund",L$2,$A38))</f>
        <v/>
      </c>
      <c r="M38" s="83">
        <f>IF(OR($A38="",L38="",L37=""),"",L38/L37-1)</f>
        <v/>
      </c>
      <c r="N38" s="153">
        <f>IF($A38="","",[1]!thsiFinD("ths_adjustment_nv_fund",N$2,$A38))</f>
        <v/>
      </c>
      <c r="O38" s="83">
        <f>IF(OR($A38="",N38="",N37=""),"",N38/N37-1)</f>
        <v/>
      </c>
      <c r="P38" s="153">
        <f>IF($A38="","",[1]!thsiFinD("ths_adjustment_nv_fund",P$2,$A38))</f>
        <v/>
      </c>
      <c r="Q38" s="83">
        <f>IF(OR($A38="",P38="",P37=""),"",P38/P37-1)</f>
        <v/>
      </c>
      <c r="R38" s="153">
        <f>IF($A38="","",[1]!thsiFinD("ths_adjustment_nv_fund",R$2,$A38))</f>
        <v/>
      </c>
      <c r="S38" s="83">
        <f>IF(OR($A38="",R38="",R37=""),"",R38/R37-1)</f>
        <v/>
      </c>
      <c r="T38" s="153">
        <f>IF($A38="","",[1]!thsiFinD("ths_adjustment_nv_fund",T$2,$A38))</f>
        <v/>
      </c>
      <c r="U38" s="83">
        <f>IF(OR($A38="",T38="",T37=""),"",T38/T37-1)</f>
        <v/>
      </c>
      <c r="V38" s="153">
        <f>IF($A38="","",[1]!thsiFinD("ths_adjustment_nv_fund",V$2,$A38))</f>
        <v/>
      </c>
      <c r="W38" s="83">
        <f>IF(OR($A38="",V38="",V37=""),"",V38/V37-1)</f>
        <v/>
      </c>
      <c r="X38" s="153">
        <f>IF($A38="","",[1]!thsiFinD("ths_adjustment_nv_fund",X$2,$A38))</f>
        <v/>
      </c>
      <c r="Y38" s="83">
        <f>IF(OR($A38="",X38="",X37=""),"",X38/X37-1)</f>
        <v/>
      </c>
      <c r="Z38" s="153">
        <f>IF($A38="","",[1]!thsiFinD("ths_adjustment_nv_fund",Z$2,$A38))</f>
        <v/>
      </c>
      <c r="AA38" s="83">
        <f>IF(OR($A38="",Z38="",Z37=""),"",Z38/Z37-1)</f>
        <v/>
      </c>
      <c r="AB38" s="153">
        <f>IF($A38="","",[1]!thsiFinD("ths_adjustment_nv_fund",AB$2,$A38))</f>
        <v/>
      </c>
      <c r="AC38" s="83">
        <f>IF(OR($A38="",AB38="",AB37=""),"",AB38/AB37-1)</f>
        <v/>
      </c>
      <c r="AD38" s="153">
        <f>IF($A38="","",[1]!thsiFinD("ths_adjustment_nv_fund",AD$2,$A38))</f>
        <v/>
      </c>
      <c r="AE38" s="83">
        <f>IF(OR($A38="",AD38="",AD37=""),"",AD38/AD37-1)</f>
        <v/>
      </c>
      <c r="AF38" s="153">
        <f>IF($A38="","",[1]!thsiFinD("ths_adjustment_nv_fund",AF$2,$A38))</f>
        <v/>
      </c>
      <c r="AG38" s="83">
        <f>IF(OR($A38="",AF38="",AF37=""),"",AF38/AF37-1)</f>
        <v/>
      </c>
      <c r="AH38" s="153">
        <f>IF($A38="","",[1]!thsiFinD("ths_adjustment_nv_fund",AH$2,$A38))</f>
        <v/>
      </c>
      <c r="AI38" s="83">
        <f>IF(OR($A38="",AH38="",AH37=""),"",AH38/AH37-1)</f>
        <v/>
      </c>
      <c r="AJ38" s="153">
        <f>IF($A38="","",[1]!thsiFinD("ths_adjustment_nv_fund",AJ$2,$A38))</f>
        <v/>
      </c>
      <c r="AK38" s="83">
        <f>IF(OR($A38="",AJ38="",AJ37=""),"",AJ38/AJ37-1)</f>
        <v/>
      </c>
      <c r="AL38" s="153">
        <f>IF($A38="","",[1]!thsiFinD("ths_adjustment_nv_fund",AL$2,$A38))</f>
        <v/>
      </c>
      <c r="AM38" s="83">
        <f>IF(OR($A38="",AL38="",AL37=""),"",AL38/AL37-1)</f>
        <v/>
      </c>
      <c r="AN38" s="153">
        <f>IF($A38="","",[1]!thsiFinD("ths_adjustment_nv_fund",AN$2,$A38))</f>
        <v/>
      </c>
      <c r="AO38" s="83">
        <f>IF(OR($A38="",AN38="",AN37=""),"",AN38/AN37-1)</f>
        <v/>
      </c>
    </row>
    <row r="39">
      <c r="A39" s="152">
        <f>IF(组合净值!A38="","",组合净值!A38)</f>
        <v/>
      </c>
      <c r="B39" s="153">
        <f>IF($A39="","",[1]!thsiFinD("ths_adjustment_nv_fund",B$2,$A39))</f>
        <v/>
      </c>
      <c r="C39" s="83">
        <f>IF(OR($A39="",B39="",B38=""),"",B39/B38-1)</f>
        <v/>
      </c>
      <c r="D39" s="153">
        <f>IF($A39="","",[1]!thsiFinD("ths_adjustment_nv_fund",D$2,$A39))</f>
        <v/>
      </c>
      <c r="E39" s="83">
        <f>IF(OR($A39="",D39="",D38=""),"",D39/D38-1)</f>
        <v/>
      </c>
      <c r="F39" s="153">
        <f>IF($A39="","",[1]!thsiFinD("ths_adjustment_nv_fund",F$2,$A39))</f>
        <v/>
      </c>
      <c r="G39" s="83">
        <f>IF(OR($A39="",F39="",F38=""),"",F39/F38-1)</f>
        <v/>
      </c>
      <c r="H39" s="153">
        <f>IF($A39="","",[1]!thsiFinD("ths_adjustment_nv_fund",H$2,$A39))</f>
        <v/>
      </c>
      <c r="I39" s="83">
        <f>IF(OR($A39="",H39="",H38=""),"",H39/H38-1)</f>
        <v/>
      </c>
      <c r="J39" s="153">
        <f>IF($A39="","",[1]!thsiFinD("ths_adjustment_nv_fund",J$2,$A39))</f>
        <v/>
      </c>
      <c r="K39" s="83">
        <f>IF(OR($A39="",J39="",J38=""),"",J39/J38-1)</f>
        <v/>
      </c>
      <c r="L39" s="153">
        <f>IF($A39="","",[1]!thsiFinD("ths_adjustment_nv_fund",L$2,$A39))</f>
        <v/>
      </c>
      <c r="M39" s="83">
        <f>IF(OR($A39="",L39="",L38=""),"",L39/L38-1)</f>
        <v/>
      </c>
      <c r="N39" s="153">
        <f>IF($A39="","",[1]!thsiFinD("ths_adjustment_nv_fund",N$2,$A39))</f>
        <v/>
      </c>
      <c r="O39" s="83">
        <f>IF(OR($A39="",N39="",N38=""),"",N39/N38-1)</f>
        <v/>
      </c>
      <c r="P39" s="153">
        <f>IF($A39="","",[1]!thsiFinD("ths_adjustment_nv_fund",P$2,$A39))</f>
        <v/>
      </c>
      <c r="Q39" s="83">
        <f>IF(OR($A39="",P39="",P38=""),"",P39/P38-1)</f>
        <v/>
      </c>
      <c r="R39" s="153">
        <f>IF($A39="","",[1]!thsiFinD("ths_adjustment_nv_fund",R$2,$A39))</f>
        <v/>
      </c>
      <c r="S39" s="83">
        <f>IF(OR($A39="",R39="",R38=""),"",R39/R38-1)</f>
        <v/>
      </c>
      <c r="T39" s="153">
        <f>IF($A39="","",[1]!thsiFinD("ths_adjustment_nv_fund",T$2,$A39))</f>
        <v/>
      </c>
      <c r="U39" s="83">
        <f>IF(OR($A39="",T39="",T38=""),"",T39/T38-1)</f>
        <v/>
      </c>
      <c r="V39" s="153">
        <f>IF($A39="","",[1]!thsiFinD("ths_adjustment_nv_fund",V$2,$A39))</f>
        <v/>
      </c>
      <c r="W39" s="83">
        <f>IF(OR($A39="",V39="",V38=""),"",V39/V38-1)</f>
        <v/>
      </c>
      <c r="X39" s="153">
        <f>IF($A39="","",[1]!thsiFinD("ths_adjustment_nv_fund",X$2,$A39))</f>
        <v/>
      </c>
      <c r="Y39" s="83">
        <f>IF(OR($A39="",X39="",X38=""),"",X39/X38-1)</f>
        <v/>
      </c>
      <c r="Z39" s="153">
        <f>IF($A39="","",[1]!thsiFinD("ths_adjustment_nv_fund",Z$2,$A39))</f>
        <v/>
      </c>
      <c r="AA39" s="83">
        <f>IF(OR($A39="",Z39="",Z38=""),"",Z39/Z38-1)</f>
        <v/>
      </c>
      <c r="AB39" s="153">
        <f>IF($A39="","",[1]!thsiFinD("ths_adjustment_nv_fund",AB$2,$A39))</f>
        <v/>
      </c>
      <c r="AC39" s="83">
        <f>IF(OR($A39="",AB39="",AB38=""),"",AB39/AB38-1)</f>
        <v/>
      </c>
      <c r="AD39" s="153">
        <f>IF($A39="","",[1]!thsiFinD("ths_adjustment_nv_fund",AD$2,$A39))</f>
        <v/>
      </c>
      <c r="AE39" s="83">
        <f>IF(OR($A39="",AD39="",AD38=""),"",AD39/AD38-1)</f>
        <v/>
      </c>
      <c r="AF39" s="153">
        <f>IF($A39="","",[1]!thsiFinD("ths_adjustment_nv_fund",AF$2,$A39))</f>
        <v/>
      </c>
      <c r="AG39" s="83">
        <f>IF(OR($A39="",AF39="",AF38=""),"",AF39/AF38-1)</f>
        <v/>
      </c>
      <c r="AH39" s="153">
        <f>IF($A39="","",[1]!thsiFinD("ths_adjustment_nv_fund",AH$2,$A39))</f>
        <v/>
      </c>
      <c r="AI39" s="83">
        <f>IF(OR($A39="",AH39="",AH38=""),"",AH39/AH38-1)</f>
        <v/>
      </c>
      <c r="AJ39" s="153">
        <f>IF($A39="","",[1]!thsiFinD("ths_adjustment_nv_fund",AJ$2,$A39))</f>
        <v/>
      </c>
      <c r="AK39" s="83">
        <f>IF(OR($A39="",AJ39="",AJ38=""),"",AJ39/AJ38-1)</f>
        <v/>
      </c>
      <c r="AL39" s="153">
        <f>IF($A39="","",[1]!thsiFinD("ths_adjustment_nv_fund",AL$2,$A39))</f>
        <v/>
      </c>
      <c r="AM39" s="83">
        <f>IF(OR($A39="",AL39="",AL38=""),"",AL39/AL38-1)</f>
        <v/>
      </c>
      <c r="AN39" s="153">
        <f>IF($A39="","",[1]!thsiFinD("ths_adjustment_nv_fund",AN$2,$A39))</f>
        <v/>
      </c>
      <c r="AO39" s="83">
        <f>IF(OR($A39="",AN39="",AN38=""),"",AN39/AN38-1)</f>
        <v/>
      </c>
    </row>
    <row r="40">
      <c r="A40" s="152">
        <f>IF(组合净值!A39="","",组合净值!A39)</f>
        <v/>
      </c>
      <c r="B40" s="153">
        <f>IF($A40="","",[1]!thsiFinD("ths_adjustment_nv_fund",B$2,$A40))</f>
        <v/>
      </c>
      <c r="C40" s="83">
        <f>IF(OR($A40="",B40="",B39=""),"",B40/B39-1)</f>
        <v/>
      </c>
      <c r="D40" s="153">
        <f>IF($A40="","",[1]!thsiFinD("ths_adjustment_nv_fund",D$2,$A40))</f>
        <v/>
      </c>
      <c r="E40" s="83">
        <f>IF(OR($A40="",D40="",D39=""),"",D40/D39-1)</f>
        <v/>
      </c>
      <c r="F40" s="153">
        <f>IF($A40="","",[1]!thsiFinD("ths_adjustment_nv_fund",F$2,$A40))</f>
        <v/>
      </c>
      <c r="G40" s="83">
        <f>IF(OR($A40="",F40="",F39=""),"",F40/F39-1)</f>
        <v/>
      </c>
      <c r="H40" s="153">
        <f>IF($A40="","",[1]!thsiFinD("ths_adjustment_nv_fund",H$2,$A40))</f>
        <v/>
      </c>
      <c r="I40" s="83">
        <f>IF(OR($A40="",H40="",H39=""),"",H40/H39-1)</f>
        <v/>
      </c>
      <c r="J40" s="153">
        <f>IF($A40="","",[1]!thsiFinD("ths_adjustment_nv_fund",J$2,$A40))</f>
        <v/>
      </c>
      <c r="K40" s="83">
        <f>IF(OR($A40="",J40="",J39=""),"",J40/J39-1)</f>
        <v/>
      </c>
      <c r="L40" s="153">
        <f>IF($A40="","",[1]!thsiFinD("ths_adjustment_nv_fund",L$2,$A40))</f>
        <v/>
      </c>
      <c r="M40" s="83">
        <f>IF(OR($A40="",L40="",L39=""),"",L40/L39-1)</f>
        <v/>
      </c>
      <c r="N40" s="153">
        <f>IF($A40="","",[1]!thsiFinD("ths_adjustment_nv_fund",N$2,$A40))</f>
        <v/>
      </c>
      <c r="O40" s="83">
        <f>IF(OR($A40="",N40="",N39=""),"",N40/N39-1)</f>
        <v/>
      </c>
      <c r="P40" s="153">
        <f>IF($A40="","",[1]!thsiFinD("ths_adjustment_nv_fund",P$2,$A40))</f>
        <v/>
      </c>
      <c r="Q40" s="83">
        <f>IF(OR($A40="",P40="",P39=""),"",P40/P39-1)</f>
        <v/>
      </c>
      <c r="R40" s="153">
        <f>IF($A40="","",[1]!thsiFinD("ths_adjustment_nv_fund",R$2,$A40))</f>
        <v/>
      </c>
      <c r="S40" s="83">
        <f>IF(OR($A40="",R40="",R39=""),"",R40/R39-1)</f>
        <v/>
      </c>
      <c r="T40" s="153">
        <f>IF($A40="","",[1]!thsiFinD("ths_adjustment_nv_fund",T$2,$A40))</f>
        <v/>
      </c>
      <c r="U40" s="83">
        <f>IF(OR($A40="",T40="",T39=""),"",T40/T39-1)</f>
        <v/>
      </c>
      <c r="V40" s="153">
        <f>IF($A40="","",[1]!thsiFinD("ths_adjustment_nv_fund",V$2,$A40))</f>
        <v/>
      </c>
      <c r="W40" s="83">
        <f>IF(OR($A40="",V40="",V39=""),"",V40/V39-1)</f>
        <v/>
      </c>
      <c r="X40" s="153">
        <f>IF($A40="","",[1]!thsiFinD("ths_adjustment_nv_fund",X$2,$A40))</f>
        <v/>
      </c>
      <c r="Y40" s="83">
        <f>IF(OR($A40="",X40="",X39=""),"",X40/X39-1)</f>
        <v/>
      </c>
      <c r="Z40" s="153">
        <f>IF($A40="","",[1]!thsiFinD("ths_adjustment_nv_fund",Z$2,$A40))</f>
        <v/>
      </c>
      <c r="AA40" s="83">
        <f>IF(OR($A40="",Z40="",Z39=""),"",Z40/Z39-1)</f>
        <v/>
      </c>
      <c r="AB40" s="153">
        <f>IF($A40="","",[1]!thsiFinD("ths_adjustment_nv_fund",AB$2,$A40))</f>
        <v/>
      </c>
      <c r="AC40" s="83">
        <f>IF(OR($A40="",AB40="",AB39=""),"",AB40/AB39-1)</f>
        <v/>
      </c>
      <c r="AD40" s="153">
        <f>IF($A40="","",[1]!thsiFinD("ths_adjustment_nv_fund",AD$2,$A40))</f>
        <v/>
      </c>
      <c r="AE40" s="83">
        <f>IF(OR($A40="",AD40="",AD39=""),"",AD40/AD39-1)</f>
        <v/>
      </c>
      <c r="AF40" s="153">
        <f>IF($A40="","",[1]!thsiFinD("ths_adjustment_nv_fund",AF$2,$A40))</f>
        <v/>
      </c>
      <c r="AG40" s="83">
        <f>IF(OR($A40="",AF40="",AF39=""),"",AF40/AF39-1)</f>
        <v/>
      </c>
      <c r="AH40" s="153">
        <f>IF($A40="","",[1]!thsiFinD("ths_adjustment_nv_fund",AH$2,$A40))</f>
        <v/>
      </c>
      <c r="AI40" s="83">
        <f>IF(OR($A40="",AH40="",AH39=""),"",AH40/AH39-1)</f>
        <v/>
      </c>
      <c r="AJ40" s="153">
        <f>IF($A40="","",[1]!thsiFinD("ths_adjustment_nv_fund",AJ$2,$A40))</f>
        <v/>
      </c>
      <c r="AK40" s="83">
        <f>IF(OR($A40="",AJ40="",AJ39=""),"",AJ40/AJ39-1)</f>
        <v/>
      </c>
      <c r="AL40" s="153">
        <f>IF($A40="","",[1]!thsiFinD("ths_adjustment_nv_fund",AL$2,$A40))</f>
        <v/>
      </c>
      <c r="AM40" s="83">
        <f>IF(OR($A40="",AL40="",AL39=""),"",AL40/AL39-1)</f>
        <v/>
      </c>
      <c r="AN40" s="153">
        <f>IF($A40="","",[1]!thsiFinD("ths_adjustment_nv_fund",AN$2,$A40))</f>
        <v/>
      </c>
      <c r="AO40" s="83">
        <f>IF(OR($A40="",AN40="",AN39=""),"",AN40/AN39-1)</f>
        <v/>
      </c>
    </row>
    <row r="41">
      <c r="A41" s="152">
        <f>IF(组合净值!A40="","",组合净值!A40)</f>
        <v/>
      </c>
      <c r="B41" s="153">
        <f>IF($A41="","",[1]!thsiFinD("ths_adjustment_nv_fund",B$2,$A41))</f>
        <v/>
      </c>
      <c r="C41" s="83">
        <f>IF(OR($A41="",B41="",B40=""),"",B41/B40-1)</f>
        <v/>
      </c>
      <c r="D41" s="153">
        <f>IF($A41="","",[1]!thsiFinD("ths_adjustment_nv_fund",D$2,$A41))</f>
        <v/>
      </c>
      <c r="E41" s="83">
        <f>IF(OR($A41="",D41="",D40=""),"",D41/D40-1)</f>
        <v/>
      </c>
      <c r="F41" s="153">
        <f>IF($A41="","",[1]!thsiFinD("ths_adjustment_nv_fund",F$2,$A41))</f>
        <v/>
      </c>
      <c r="G41" s="83">
        <f>IF(OR($A41="",F41="",F40=""),"",F41/F40-1)</f>
        <v/>
      </c>
      <c r="H41" s="153">
        <f>IF($A41="","",[1]!thsiFinD("ths_adjustment_nv_fund",H$2,$A41))</f>
        <v/>
      </c>
      <c r="I41" s="83">
        <f>IF(OR($A41="",H41="",H40=""),"",H41/H40-1)</f>
        <v/>
      </c>
      <c r="J41" s="153">
        <f>IF($A41="","",[1]!thsiFinD("ths_adjustment_nv_fund",J$2,$A41))</f>
        <v/>
      </c>
      <c r="K41" s="83">
        <f>IF(OR($A41="",J41="",J40=""),"",J41/J40-1)</f>
        <v/>
      </c>
      <c r="L41" s="153">
        <f>IF($A41="","",[1]!thsiFinD("ths_adjustment_nv_fund",L$2,$A41))</f>
        <v/>
      </c>
      <c r="M41" s="83">
        <f>IF(OR($A41="",L41="",L40=""),"",L41/L40-1)</f>
        <v/>
      </c>
      <c r="N41" s="153">
        <f>IF($A41="","",[1]!thsiFinD("ths_adjustment_nv_fund",N$2,$A41))</f>
        <v/>
      </c>
      <c r="O41" s="83">
        <f>IF(OR($A41="",N41="",N40=""),"",N41/N40-1)</f>
        <v/>
      </c>
      <c r="P41" s="153">
        <f>IF($A41="","",[1]!thsiFinD("ths_adjustment_nv_fund",P$2,$A41))</f>
        <v/>
      </c>
      <c r="Q41" s="83">
        <f>IF(OR($A41="",P41="",P40=""),"",P41/P40-1)</f>
        <v/>
      </c>
      <c r="R41" s="153">
        <f>IF($A41="","",[1]!thsiFinD("ths_adjustment_nv_fund",R$2,$A41))</f>
        <v/>
      </c>
      <c r="S41" s="83">
        <f>IF(OR($A41="",R41="",R40=""),"",R41/R40-1)</f>
        <v/>
      </c>
      <c r="T41" s="153">
        <f>IF($A41="","",[1]!thsiFinD("ths_adjustment_nv_fund",T$2,$A41))</f>
        <v/>
      </c>
      <c r="U41" s="83">
        <f>IF(OR($A41="",T41="",T40=""),"",T41/T40-1)</f>
        <v/>
      </c>
      <c r="V41" s="153">
        <f>IF($A41="","",[1]!thsiFinD("ths_adjustment_nv_fund",V$2,$A41))</f>
        <v/>
      </c>
      <c r="W41" s="83">
        <f>IF(OR($A41="",V41="",V40=""),"",V41/V40-1)</f>
        <v/>
      </c>
      <c r="X41" s="153">
        <f>IF($A41="","",[1]!thsiFinD("ths_adjustment_nv_fund",X$2,$A41))</f>
        <v/>
      </c>
      <c r="Y41" s="83">
        <f>IF(OR($A41="",X41="",X40=""),"",X41/X40-1)</f>
        <v/>
      </c>
      <c r="Z41" s="153">
        <f>IF($A41="","",[1]!thsiFinD("ths_adjustment_nv_fund",Z$2,$A41))</f>
        <v/>
      </c>
      <c r="AA41" s="83">
        <f>IF(OR($A41="",Z41="",Z40=""),"",Z41/Z40-1)</f>
        <v/>
      </c>
      <c r="AB41" s="153">
        <f>IF($A41="","",[1]!thsiFinD("ths_adjustment_nv_fund",AB$2,$A41))</f>
        <v/>
      </c>
      <c r="AC41" s="83">
        <f>IF(OR($A41="",AB41="",AB40=""),"",AB41/AB40-1)</f>
        <v/>
      </c>
      <c r="AD41" s="153">
        <f>IF($A41="","",[1]!thsiFinD("ths_adjustment_nv_fund",AD$2,$A41))</f>
        <v/>
      </c>
      <c r="AE41" s="83">
        <f>IF(OR($A41="",AD41="",AD40=""),"",AD41/AD40-1)</f>
        <v/>
      </c>
      <c r="AF41" s="153">
        <f>IF($A41="","",[1]!thsiFinD("ths_adjustment_nv_fund",AF$2,$A41))</f>
        <v/>
      </c>
      <c r="AG41" s="83">
        <f>IF(OR($A41="",AF41="",AF40=""),"",AF41/AF40-1)</f>
        <v/>
      </c>
      <c r="AH41" s="153">
        <f>IF($A41="","",[1]!thsiFinD("ths_adjustment_nv_fund",AH$2,$A41))</f>
        <v/>
      </c>
      <c r="AI41" s="83">
        <f>IF(OR($A41="",AH41="",AH40=""),"",AH41/AH40-1)</f>
        <v/>
      </c>
      <c r="AJ41" s="153">
        <f>IF($A41="","",[1]!thsiFinD("ths_adjustment_nv_fund",AJ$2,$A41))</f>
        <v/>
      </c>
      <c r="AK41" s="83">
        <f>IF(OR($A41="",AJ41="",AJ40=""),"",AJ41/AJ40-1)</f>
        <v/>
      </c>
      <c r="AL41" s="153">
        <f>IF($A41="","",[1]!thsiFinD("ths_adjustment_nv_fund",AL$2,$A41))</f>
        <v/>
      </c>
      <c r="AM41" s="83">
        <f>IF(OR($A41="",AL41="",AL40=""),"",AL41/AL40-1)</f>
        <v/>
      </c>
      <c r="AN41" s="153">
        <f>IF($A41="","",[1]!thsiFinD("ths_adjustment_nv_fund",AN$2,$A41))</f>
        <v/>
      </c>
      <c r="AO41" s="83">
        <f>IF(OR($A41="",AN41="",AN40=""),"",AN41/AN40-1)</f>
        <v/>
      </c>
    </row>
    <row r="42">
      <c r="A42" s="152">
        <f>IF(组合净值!A41="","",组合净值!A41)</f>
        <v/>
      </c>
      <c r="B42" s="153">
        <f>IF($A42="","",[1]!thsiFinD("ths_adjustment_nv_fund",B$2,$A42))</f>
        <v/>
      </c>
      <c r="C42" s="83">
        <f>IF(OR($A42="",B42="",B41=""),"",B42/B41-1)</f>
        <v/>
      </c>
      <c r="D42" s="153">
        <f>IF($A42="","",[1]!thsiFinD("ths_adjustment_nv_fund",D$2,$A42))</f>
        <v/>
      </c>
      <c r="E42" s="83">
        <f>IF(OR($A42="",D42="",D41=""),"",D42/D41-1)</f>
        <v/>
      </c>
      <c r="F42" s="153">
        <f>IF($A42="","",[1]!thsiFinD("ths_adjustment_nv_fund",F$2,$A42))</f>
        <v/>
      </c>
      <c r="G42" s="83">
        <f>IF(OR($A42="",F42="",F41=""),"",F42/F41-1)</f>
        <v/>
      </c>
      <c r="H42" s="153">
        <f>IF($A42="","",[1]!thsiFinD("ths_adjustment_nv_fund",H$2,$A42))</f>
        <v/>
      </c>
      <c r="I42" s="83">
        <f>IF(OR($A42="",H42="",H41=""),"",H42/H41-1)</f>
        <v/>
      </c>
      <c r="J42" s="153">
        <f>IF($A42="","",[1]!thsiFinD("ths_adjustment_nv_fund",J$2,$A42))</f>
        <v/>
      </c>
      <c r="K42" s="83">
        <f>IF(OR($A42="",J42="",J41=""),"",J42/J41-1)</f>
        <v/>
      </c>
      <c r="L42" s="153">
        <f>IF($A42="","",[1]!thsiFinD("ths_adjustment_nv_fund",L$2,$A42))</f>
        <v/>
      </c>
      <c r="M42" s="83">
        <f>IF(OR($A42="",L42="",L41=""),"",L42/L41-1)</f>
        <v/>
      </c>
      <c r="N42" s="153">
        <f>IF($A42="","",[1]!thsiFinD("ths_adjustment_nv_fund",N$2,$A42))</f>
        <v/>
      </c>
      <c r="O42" s="83">
        <f>IF(OR($A42="",N42="",N41=""),"",N42/N41-1)</f>
        <v/>
      </c>
      <c r="P42" s="153">
        <f>IF($A42="","",[1]!thsiFinD("ths_adjustment_nv_fund",P$2,$A42))</f>
        <v/>
      </c>
      <c r="Q42" s="83">
        <f>IF(OR($A42="",P42="",P41=""),"",P42/P41-1)</f>
        <v/>
      </c>
      <c r="R42" s="153">
        <f>IF($A42="","",[1]!thsiFinD("ths_adjustment_nv_fund",R$2,$A42))</f>
        <v/>
      </c>
      <c r="S42" s="83">
        <f>IF(OR($A42="",R42="",R41=""),"",R42/R41-1)</f>
        <v/>
      </c>
      <c r="T42" s="153">
        <f>IF($A42="","",[1]!thsiFinD("ths_adjustment_nv_fund",T$2,$A42))</f>
        <v/>
      </c>
      <c r="U42" s="83">
        <f>IF(OR($A42="",T42="",T41=""),"",T42/T41-1)</f>
        <v/>
      </c>
      <c r="V42" s="153">
        <f>IF($A42="","",[1]!thsiFinD("ths_adjustment_nv_fund",V$2,$A42))</f>
        <v/>
      </c>
      <c r="W42" s="83">
        <f>IF(OR($A42="",V42="",V41=""),"",V42/V41-1)</f>
        <v/>
      </c>
      <c r="X42" s="153">
        <f>IF($A42="","",[1]!thsiFinD("ths_adjustment_nv_fund",X$2,$A42))</f>
        <v/>
      </c>
      <c r="Y42" s="83">
        <f>IF(OR($A42="",X42="",X41=""),"",X42/X41-1)</f>
        <v/>
      </c>
      <c r="Z42" s="153">
        <f>IF($A42="","",[1]!thsiFinD("ths_adjustment_nv_fund",Z$2,$A42))</f>
        <v/>
      </c>
      <c r="AA42" s="83">
        <f>IF(OR($A42="",Z42="",Z41=""),"",Z42/Z41-1)</f>
        <v/>
      </c>
      <c r="AB42" s="153">
        <f>IF($A42="","",[1]!thsiFinD("ths_adjustment_nv_fund",AB$2,$A42))</f>
        <v/>
      </c>
      <c r="AC42" s="83">
        <f>IF(OR($A42="",AB42="",AB41=""),"",AB42/AB41-1)</f>
        <v/>
      </c>
      <c r="AD42" s="153">
        <f>IF($A42="","",[1]!thsiFinD("ths_adjustment_nv_fund",AD$2,$A42))</f>
        <v/>
      </c>
      <c r="AE42" s="83">
        <f>IF(OR($A42="",AD42="",AD41=""),"",AD42/AD41-1)</f>
        <v/>
      </c>
      <c r="AF42" s="153">
        <f>IF($A42="","",[1]!thsiFinD("ths_adjustment_nv_fund",AF$2,$A42))</f>
        <v/>
      </c>
      <c r="AG42" s="83">
        <f>IF(OR($A42="",AF42="",AF41=""),"",AF42/AF41-1)</f>
        <v/>
      </c>
      <c r="AH42" s="153">
        <f>IF($A42="","",[1]!thsiFinD("ths_adjustment_nv_fund",AH$2,$A42))</f>
        <v/>
      </c>
      <c r="AI42" s="83">
        <f>IF(OR($A42="",AH42="",AH41=""),"",AH42/AH41-1)</f>
        <v/>
      </c>
      <c r="AJ42" s="153">
        <f>IF($A42="","",[1]!thsiFinD("ths_adjustment_nv_fund",AJ$2,$A42))</f>
        <v/>
      </c>
      <c r="AK42" s="83">
        <f>IF(OR($A42="",AJ42="",AJ41=""),"",AJ42/AJ41-1)</f>
        <v/>
      </c>
      <c r="AL42" s="153">
        <f>IF($A42="","",[1]!thsiFinD("ths_adjustment_nv_fund",AL$2,$A42))</f>
        <v/>
      </c>
      <c r="AM42" s="83">
        <f>IF(OR($A42="",AL42="",AL41=""),"",AL42/AL41-1)</f>
        <v/>
      </c>
      <c r="AN42" s="153">
        <f>IF($A42="","",[1]!thsiFinD("ths_adjustment_nv_fund",AN$2,$A42))</f>
        <v/>
      </c>
      <c r="AO42" s="83">
        <f>IF(OR($A42="",AN42="",AN41=""),"",AN42/AN41-1)</f>
        <v/>
      </c>
    </row>
    <row r="43">
      <c r="A43" s="152">
        <f>IF(组合净值!A42="","",组合净值!A42)</f>
        <v/>
      </c>
      <c r="B43" s="153">
        <f>IF($A43="","",[1]!thsiFinD("ths_adjustment_nv_fund",B$2,$A43))</f>
        <v/>
      </c>
      <c r="C43" s="83">
        <f>IF(OR($A43="",B43="",B42=""),"",B43/B42-1)</f>
        <v/>
      </c>
      <c r="D43" s="153">
        <f>IF($A43="","",[1]!thsiFinD("ths_adjustment_nv_fund",D$2,$A43))</f>
        <v/>
      </c>
      <c r="E43" s="83">
        <f>IF(OR($A43="",D43="",D42=""),"",D43/D42-1)</f>
        <v/>
      </c>
      <c r="F43" s="153">
        <f>IF($A43="","",[1]!thsiFinD("ths_adjustment_nv_fund",F$2,$A43))</f>
        <v/>
      </c>
      <c r="G43" s="83">
        <f>IF(OR($A43="",F43="",F42=""),"",F43/F42-1)</f>
        <v/>
      </c>
      <c r="H43" s="153">
        <f>IF($A43="","",[1]!thsiFinD("ths_adjustment_nv_fund",H$2,$A43))</f>
        <v/>
      </c>
      <c r="I43" s="83">
        <f>IF(OR($A43="",H43="",H42=""),"",H43/H42-1)</f>
        <v/>
      </c>
      <c r="J43" s="153">
        <f>IF($A43="","",[1]!thsiFinD("ths_adjustment_nv_fund",J$2,$A43))</f>
        <v/>
      </c>
      <c r="K43" s="83">
        <f>IF(OR($A43="",J43="",J42=""),"",J43/J42-1)</f>
        <v/>
      </c>
      <c r="L43" s="153">
        <f>IF($A43="","",[1]!thsiFinD("ths_adjustment_nv_fund",L$2,$A43))</f>
        <v/>
      </c>
      <c r="M43" s="83">
        <f>IF(OR($A43="",L43="",L42=""),"",L43/L42-1)</f>
        <v/>
      </c>
      <c r="N43" s="153">
        <f>IF($A43="","",[1]!thsiFinD("ths_adjustment_nv_fund",N$2,$A43))</f>
        <v/>
      </c>
      <c r="O43" s="83">
        <f>IF(OR($A43="",N43="",N42=""),"",N43/N42-1)</f>
        <v/>
      </c>
      <c r="P43" s="153">
        <f>IF($A43="","",[1]!thsiFinD("ths_adjustment_nv_fund",P$2,$A43))</f>
        <v/>
      </c>
      <c r="Q43" s="83">
        <f>IF(OR($A43="",P43="",P42=""),"",P43/P42-1)</f>
        <v/>
      </c>
      <c r="R43" s="153">
        <f>IF($A43="","",[1]!thsiFinD("ths_adjustment_nv_fund",R$2,$A43))</f>
        <v/>
      </c>
      <c r="S43" s="83">
        <f>IF(OR($A43="",R43="",R42=""),"",R43/R42-1)</f>
        <v/>
      </c>
      <c r="T43" s="153">
        <f>IF($A43="","",[1]!thsiFinD("ths_adjustment_nv_fund",T$2,$A43))</f>
        <v/>
      </c>
      <c r="U43" s="83">
        <f>IF(OR($A43="",T43="",T42=""),"",T43/T42-1)</f>
        <v/>
      </c>
      <c r="V43" s="153">
        <f>IF($A43="","",[1]!thsiFinD("ths_adjustment_nv_fund",V$2,$A43))</f>
        <v/>
      </c>
      <c r="W43" s="83">
        <f>IF(OR($A43="",V43="",V42=""),"",V43/V42-1)</f>
        <v/>
      </c>
      <c r="X43" s="153">
        <f>IF($A43="","",[1]!thsiFinD("ths_adjustment_nv_fund",X$2,$A43))</f>
        <v/>
      </c>
      <c r="Y43" s="83">
        <f>IF(OR($A43="",X43="",X42=""),"",X43/X42-1)</f>
        <v/>
      </c>
      <c r="Z43" s="153">
        <f>IF($A43="","",[1]!thsiFinD("ths_adjustment_nv_fund",Z$2,$A43))</f>
        <v/>
      </c>
      <c r="AA43" s="83">
        <f>IF(OR($A43="",Z43="",Z42=""),"",Z43/Z42-1)</f>
        <v/>
      </c>
      <c r="AB43" s="153">
        <f>IF($A43="","",[1]!thsiFinD("ths_adjustment_nv_fund",AB$2,$A43))</f>
        <v/>
      </c>
      <c r="AC43" s="83">
        <f>IF(OR($A43="",AB43="",AB42=""),"",AB43/AB42-1)</f>
        <v/>
      </c>
      <c r="AD43" s="153">
        <f>IF($A43="","",[1]!thsiFinD("ths_adjustment_nv_fund",AD$2,$A43))</f>
        <v/>
      </c>
      <c r="AE43" s="83">
        <f>IF(OR($A43="",AD43="",AD42=""),"",AD43/AD42-1)</f>
        <v/>
      </c>
      <c r="AF43" s="153">
        <f>IF($A43="","",[1]!thsiFinD("ths_adjustment_nv_fund",AF$2,$A43))</f>
        <v/>
      </c>
      <c r="AG43" s="83">
        <f>IF(OR($A43="",AF43="",AF42=""),"",AF43/AF42-1)</f>
        <v/>
      </c>
      <c r="AH43" s="153">
        <f>IF($A43="","",[1]!thsiFinD("ths_adjustment_nv_fund",AH$2,$A43))</f>
        <v/>
      </c>
      <c r="AI43" s="83">
        <f>IF(OR($A43="",AH43="",AH42=""),"",AH43/AH42-1)</f>
        <v/>
      </c>
      <c r="AJ43" s="153">
        <f>IF($A43="","",[1]!thsiFinD("ths_adjustment_nv_fund",AJ$2,$A43))</f>
        <v/>
      </c>
      <c r="AK43" s="83">
        <f>IF(OR($A43="",AJ43="",AJ42=""),"",AJ43/AJ42-1)</f>
        <v/>
      </c>
      <c r="AL43" s="153">
        <f>IF($A43="","",[1]!thsiFinD("ths_adjustment_nv_fund",AL$2,$A43))</f>
        <v/>
      </c>
      <c r="AM43" s="83">
        <f>IF(OR($A43="",AL43="",AL42=""),"",AL43/AL42-1)</f>
        <v/>
      </c>
      <c r="AN43" s="153">
        <f>IF($A43="","",[1]!thsiFinD("ths_adjustment_nv_fund",AN$2,$A43))</f>
        <v/>
      </c>
      <c r="AO43" s="83">
        <f>IF(OR($A43="",AN43="",AN42=""),"",AN43/AN42-1)</f>
        <v/>
      </c>
    </row>
    <row r="44">
      <c r="A44" s="152">
        <f>IF(组合净值!A43="","",组合净值!A43)</f>
        <v/>
      </c>
      <c r="B44" s="153">
        <f>IF($A44="","",[1]!thsiFinD("ths_adjustment_nv_fund",B$2,$A44))</f>
        <v/>
      </c>
      <c r="C44" s="83">
        <f>IF(OR($A44="",B44="",B43=""),"",B44/B43-1)</f>
        <v/>
      </c>
      <c r="D44" s="153">
        <f>IF($A44="","",[1]!thsiFinD("ths_adjustment_nv_fund",D$2,$A44))</f>
        <v/>
      </c>
      <c r="E44" s="83">
        <f>IF(OR($A44="",D44="",D43=""),"",D44/D43-1)</f>
        <v/>
      </c>
      <c r="F44" s="153">
        <f>IF($A44="","",[1]!thsiFinD("ths_adjustment_nv_fund",F$2,$A44))</f>
        <v/>
      </c>
      <c r="G44" s="83">
        <f>IF(OR($A44="",F44="",F43=""),"",F44/F43-1)</f>
        <v/>
      </c>
      <c r="H44" s="153">
        <f>IF($A44="","",[1]!thsiFinD("ths_adjustment_nv_fund",H$2,$A44))</f>
        <v/>
      </c>
      <c r="I44" s="83">
        <f>IF(OR($A44="",H44="",H43=""),"",H44/H43-1)</f>
        <v/>
      </c>
      <c r="J44" s="153">
        <f>IF($A44="","",[1]!thsiFinD("ths_adjustment_nv_fund",J$2,$A44))</f>
        <v/>
      </c>
      <c r="K44" s="83">
        <f>IF(OR($A44="",J44="",J43=""),"",J44/J43-1)</f>
        <v/>
      </c>
      <c r="L44" s="153">
        <f>IF($A44="","",[1]!thsiFinD("ths_adjustment_nv_fund",L$2,$A44))</f>
        <v/>
      </c>
      <c r="M44" s="83">
        <f>IF(OR($A44="",L44="",L43=""),"",L44/L43-1)</f>
        <v/>
      </c>
      <c r="N44" s="153">
        <f>IF($A44="","",[1]!thsiFinD("ths_adjustment_nv_fund",N$2,$A44))</f>
        <v/>
      </c>
      <c r="O44" s="83">
        <f>IF(OR($A44="",N44="",N43=""),"",N44/N43-1)</f>
        <v/>
      </c>
      <c r="P44" s="153">
        <f>IF($A44="","",[1]!thsiFinD("ths_adjustment_nv_fund",P$2,$A44))</f>
        <v/>
      </c>
      <c r="Q44" s="83">
        <f>IF(OR($A44="",P44="",P43=""),"",P44/P43-1)</f>
        <v/>
      </c>
      <c r="R44" s="153">
        <f>IF($A44="","",[1]!thsiFinD("ths_adjustment_nv_fund",R$2,$A44))</f>
        <v/>
      </c>
      <c r="S44" s="83">
        <f>IF(OR($A44="",R44="",R43=""),"",R44/R43-1)</f>
        <v/>
      </c>
      <c r="T44" s="153">
        <f>IF($A44="","",[1]!thsiFinD("ths_adjustment_nv_fund",T$2,$A44))</f>
        <v/>
      </c>
      <c r="U44" s="83">
        <f>IF(OR($A44="",T44="",T43=""),"",T44/T43-1)</f>
        <v/>
      </c>
      <c r="V44" s="153">
        <f>IF($A44="","",[1]!thsiFinD("ths_adjustment_nv_fund",V$2,$A44))</f>
        <v/>
      </c>
      <c r="W44" s="83">
        <f>IF(OR($A44="",V44="",V43=""),"",V44/V43-1)</f>
        <v/>
      </c>
      <c r="X44" s="153">
        <f>IF($A44="","",[1]!thsiFinD("ths_adjustment_nv_fund",X$2,$A44))</f>
        <v/>
      </c>
      <c r="Y44" s="83">
        <f>IF(OR($A44="",X44="",X43=""),"",X44/X43-1)</f>
        <v/>
      </c>
      <c r="Z44" s="153">
        <f>IF($A44="","",[1]!thsiFinD("ths_adjustment_nv_fund",Z$2,$A44))</f>
        <v/>
      </c>
      <c r="AA44" s="83">
        <f>IF(OR($A44="",Z44="",Z43=""),"",Z44/Z43-1)</f>
        <v/>
      </c>
      <c r="AB44" s="153">
        <f>IF($A44="","",[1]!thsiFinD("ths_adjustment_nv_fund",AB$2,$A44))</f>
        <v/>
      </c>
      <c r="AC44" s="83">
        <f>IF(OR($A44="",AB44="",AB43=""),"",AB44/AB43-1)</f>
        <v/>
      </c>
      <c r="AD44" s="153">
        <f>IF($A44="","",[1]!thsiFinD("ths_adjustment_nv_fund",AD$2,$A44))</f>
        <v/>
      </c>
      <c r="AE44" s="83">
        <f>IF(OR($A44="",AD44="",AD43=""),"",AD44/AD43-1)</f>
        <v/>
      </c>
      <c r="AF44" s="153">
        <f>IF($A44="","",[1]!thsiFinD("ths_adjustment_nv_fund",AF$2,$A44))</f>
        <v/>
      </c>
      <c r="AG44" s="83">
        <f>IF(OR($A44="",AF44="",AF43=""),"",AF44/AF43-1)</f>
        <v/>
      </c>
      <c r="AH44" s="153">
        <f>IF($A44="","",[1]!thsiFinD("ths_adjustment_nv_fund",AH$2,$A44))</f>
        <v/>
      </c>
      <c r="AI44" s="83">
        <f>IF(OR($A44="",AH44="",AH43=""),"",AH44/AH43-1)</f>
        <v/>
      </c>
      <c r="AJ44" s="153">
        <f>IF($A44="","",[1]!thsiFinD("ths_adjustment_nv_fund",AJ$2,$A44))</f>
        <v/>
      </c>
      <c r="AK44" s="83">
        <f>IF(OR($A44="",AJ44="",AJ43=""),"",AJ44/AJ43-1)</f>
        <v/>
      </c>
      <c r="AL44" s="153">
        <f>IF($A44="","",[1]!thsiFinD("ths_adjustment_nv_fund",AL$2,$A44))</f>
        <v/>
      </c>
      <c r="AM44" s="83">
        <f>IF(OR($A44="",AL44="",AL43=""),"",AL44/AL43-1)</f>
        <v/>
      </c>
      <c r="AN44" s="153">
        <f>IF($A44="","",[1]!thsiFinD("ths_adjustment_nv_fund",AN$2,$A44))</f>
        <v/>
      </c>
      <c r="AO44" s="83">
        <f>IF(OR($A44="",AN44="",AN43=""),"",AN44/AN43-1)</f>
        <v/>
      </c>
    </row>
    <row r="45">
      <c r="A45" s="152">
        <f>IF(组合净值!A44="","",组合净值!A44)</f>
        <v/>
      </c>
      <c r="B45" s="153">
        <f>IF($A45="","",[1]!thsiFinD("ths_adjustment_nv_fund",B$2,$A45))</f>
        <v/>
      </c>
      <c r="C45" s="83">
        <f>IF(OR($A45="",B45="",B44=""),"",B45/B44-1)</f>
        <v/>
      </c>
      <c r="D45" s="153">
        <f>IF($A45="","",[1]!thsiFinD("ths_adjustment_nv_fund",D$2,$A45))</f>
        <v/>
      </c>
      <c r="E45" s="83">
        <f>IF(OR($A45="",D45="",D44=""),"",D45/D44-1)</f>
        <v/>
      </c>
      <c r="F45" s="153">
        <f>IF($A45="","",[1]!thsiFinD("ths_adjustment_nv_fund",F$2,$A45))</f>
        <v/>
      </c>
      <c r="G45" s="83">
        <f>IF(OR($A45="",F45="",F44=""),"",F45/F44-1)</f>
        <v/>
      </c>
      <c r="H45" s="153">
        <f>IF($A45="","",[1]!thsiFinD("ths_adjustment_nv_fund",H$2,$A45))</f>
        <v/>
      </c>
      <c r="I45" s="83">
        <f>IF(OR($A45="",H45="",H44=""),"",H45/H44-1)</f>
        <v/>
      </c>
      <c r="J45" s="153">
        <f>IF($A45="","",[1]!thsiFinD("ths_adjustment_nv_fund",J$2,$A45))</f>
        <v/>
      </c>
      <c r="K45" s="83">
        <f>IF(OR($A45="",J45="",J44=""),"",J45/J44-1)</f>
        <v/>
      </c>
      <c r="L45" s="153">
        <f>IF($A45="","",[1]!thsiFinD("ths_adjustment_nv_fund",L$2,$A45))</f>
        <v/>
      </c>
      <c r="M45" s="83">
        <f>IF(OR($A45="",L45="",L44=""),"",L45/L44-1)</f>
        <v/>
      </c>
      <c r="N45" s="153">
        <f>IF($A45="","",[1]!thsiFinD("ths_adjustment_nv_fund",N$2,$A45))</f>
        <v/>
      </c>
      <c r="O45" s="83">
        <f>IF(OR($A45="",N45="",N44=""),"",N45/N44-1)</f>
        <v/>
      </c>
      <c r="P45" s="153">
        <f>IF($A45="","",[1]!thsiFinD("ths_adjustment_nv_fund",P$2,$A45))</f>
        <v/>
      </c>
      <c r="Q45" s="83">
        <f>IF(OR($A45="",P45="",P44=""),"",P45/P44-1)</f>
        <v/>
      </c>
      <c r="R45" s="153">
        <f>IF($A45="","",[1]!thsiFinD("ths_adjustment_nv_fund",R$2,$A45))</f>
        <v/>
      </c>
      <c r="S45" s="83">
        <f>IF(OR($A45="",R45="",R44=""),"",R45/R44-1)</f>
        <v/>
      </c>
      <c r="T45" s="153">
        <f>IF($A45="","",[1]!thsiFinD("ths_adjustment_nv_fund",T$2,$A45))</f>
        <v/>
      </c>
      <c r="U45" s="83">
        <f>IF(OR($A45="",T45="",T44=""),"",T45/T44-1)</f>
        <v/>
      </c>
      <c r="V45" s="153">
        <f>IF($A45="","",[1]!thsiFinD("ths_adjustment_nv_fund",V$2,$A45))</f>
        <v/>
      </c>
      <c r="W45" s="83">
        <f>IF(OR($A45="",V45="",V44=""),"",V45/V44-1)</f>
        <v/>
      </c>
      <c r="X45" s="153">
        <f>IF($A45="","",[1]!thsiFinD("ths_adjustment_nv_fund",X$2,$A45))</f>
        <v/>
      </c>
      <c r="Y45" s="83">
        <f>IF(OR($A45="",X45="",X44=""),"",X45/X44-1)</f>
        <v/>
      </c>
      <c r="Z45" s="153">
        <f>IF($A45="","",[1]!thsiFinD("ths_adjustment_nv_fund",Z$2,$A45))</f>
        <v/>
      </c>
      <c r="AA45" s="83">
        <f>IF(OR($A45="",Z45="",Z44=""),"",Z45/Z44-1)</f>
        <v/>
      </c>
      <c r="AB45" s="153">
        <f>IF($A45="","",[1]!thsiFinD("ths_adjustment_nv_fund",AB$2,$A45))</f>
        <v/>
      </c>
      <c r="AC45" s="83">
        <f>IF(OR($A45="",AB45="",AB44=""),"",AB45/AB44-1)</f>
        <v/>
      </c>
      <c r="AD45" s="153">
        <f>IF($A45="","",[1]!thsiFinD("ths_adjustment_nv_fund",AD$2,$A45))</f>
        <v/>
      </c>
      <c r="AE45" s="83">
        <f>IF(OR($A45="",AD45="",AD44=""),"",AD45/AD44-1)</f>
        <v/>
      </c>
      <c r="AF45" s="153">
        <f>IF($A45="","",[1]!thsiFinD("ths_adjustment_nv_fund",AF$2,$A45))</f>
        <v/>
      </c>
      <c r="AG45" s="83">
        <f>IF(OR($A45="",AF45="",AF44=""),"",AF45/AF44-1)</f>
        <v/>
      </c>
      <c r="AH45" s="153">
        <f>IF($A45="","",[1]!thsiFinD("ths_adjustment_nv_fund",AH$2,$A45))</f>
        <v/>
      </c>
      <c r="AI45" s="83">
        <f>IF(OR($A45="",AH45="",AH44=""),"",AH45/AH44-1)</f>
        <v/>
      </c>
      <c r="AJ45" s="153">
        <f>IF($A45="","",[1]!thsiFinD("ths_adjustment_nv_fund",AJ$2,$A45))</f>
        <v/>
      </c>
      <c r="AK45" s="83">
        <f>IF(OR($A45="",AJ45="",AJ44=""),"",AJ45/AJ44-1)</f>
        <v/>
      </c>
      <c r="AL45" s="153">
        <f>IF($A45="","",[1]!thsiFinD("ths_adjustment_nv_fund",AL$2,$A45))</f>
        <v/>
      </c>
      <c r="AM45" s="83">
        <f>IF(OR($A45="",AL45="",AL44=""),"",AL45/AL44-1)</f>
        <v/>
      </c>
      <c r="AN45" s="153">
        <f>IF($A45="","",[1]!thsiFinD("ths_adjustment_nv_fund",AN$2,$A45))</f>
        <v/>
      </c>
      <c r="AO45" s="83">
        <f>IF(OR($A45="",AN45="",AN44=""),"",AN45/AN44-1)</f>
        <v/>
      </c>
    </row>
    <row r="46">
      <c r="A46" s="152">
        <f>IF(组合净值!A45="","",组合净值!A45)</f>
        <v/>
      </c>
      <c r="B46" s="153">
        <f>IF($A46="","",[1]!thsiFinD("ths_adjustment_nv_fund",B$2,$A46))</f>
        <v/>
      </c>
      <c r="C46" s="83">
        <f>IF(OR($A46="",B46="",B45=""),"",B46/B45-1)</f>
        <v/>
      </c>
      <c r="D46" s="153">
        <f>IF($A46="","",[1]!thsiFinD("ths_adjustment_nv_fund",D$2,$A46))</f>
        <v/>
      </c>
      <c r="E46" s="83">
        <f>IF(OR($A46="",D46="",D45=""),"",D46/D45-1)</f>
        <v/>
      </c>
      <c r="F46" s="153">
        <f>IF($A46="","",[1]!thsiFinD("ths_adjustment_nv_fund",F$2,$A46))</f>
        <v/>
      </c>
      <c r="G46" s="83">
        <f>IF(OR($A46="",F46="",F45=""),"",F46/F45-1)</f>
        <v/>
      </c>
      <c r="H46" s="153">
        <f>IF($A46="","",[1]!thsiFinD("ths_adjustment_nv_fund",H$2,$A46))</f>
        <v/>
      </c>
      <c r="I46" s="83">
        <f>IF(OR($A46="",H46="",H45=""),"",H46/H45-1)</f>
        <v/>
      </c>
      <c r="J46" s="153">
        <f>IF($A46="","",[1]!thsiFinD("ths_adjustment_nv_fund",J$2,$A46))</f>
        <v/>
      </c>
      <c r="K46" s="83">
        <f>IF(OR($A46="",J46="",J45=""),"",J46/J45-1)</f>
        <v/>
      </c>
      <c r="L46" s="153">
        <f>IF($A46="","",[1]!thsiFinD("ths_adjustment_nv_fund",L$2,$A46))</f>
        <v/>
      </c>
      <c r="M46" s="83">
        <f>IF(OR($A46="",L46="",L45=""),"",L46/L45-1)</f>
        <v/>
      </c>
      <c r="N46" s="153">
        <f>IF($A46="","",[1]!thsiFinD("ths_adjustment_nv_fund",N$2,$A46))</f>
        <v/>
      </c>
      <c r="O46" s="83">
        <f>IF(OR($A46="",N46="",N45=""),"",N46/N45-1)</f>
        <v/>
      </c>
      <c r="P46" s="153">
        <f>IF($A46="","",[1]!thsiFinD("ths_adjustment_nv_fund",P$2,$A46))</f>
        <v/>
      </c>
      <c r="Q46" s="83">
        <f>IF(OR($A46="",P46="",P45=""),"",P46/P45-1)</f>
        <v/>
      </c>
      <c r="R46" s="153">
        <f>IF($A46="","",[1]!thsiFinD("ths_adjustment_nv_fund",R$2,$A46))</f>
        <v/>
      </c>
      <c r="S46" s="83">
        <f>IF(OR($A46="",R46="",R45=""),"",R46/R45-1)</f>
        <v/>
      </c>
      <c r="T46" s="153">
        <f>IF($A46="","",[1]!thsiFinD("ths_adjustment_nv_fund",T$2,$A46))</f>
        <v/>
      </c>
      <c r="U46" s="83">
        <f>IF(OR($A46="",T46="",T45=""),"",T46/T45-1)</f>
        <v/>
      </c>
      <c r="V46" s="153">
        <f>IF($A46="","",[1]!thsiFinD("ths_adjustment_nv_fund",V$2,$A46))</f>
        <v/>
      </c>
      <c r="W46" s="83">
        <f>IF(OR($A46="",V46="",V45=""),"",V46/V45-1)</f>
        <v/>
      </c>
      <c r="X46" s="153">
        <f>IF($A46="","",[1]!thsiFinD("ths_adjustment_nv_fund",X$2,$A46))</f>
        <v/>
      </c>
      <c r="Y46" s="83">
        <f>IF(OR($A46="",X46="",X45=""),"",X46/X45-1)</f>
        <v/>
      </c>
      <c r="Z46" s="153">
        <f>IF($A46="","",[1]!thsiFinD("ths_adjustment_nv_fund",Z$2,$A46))</f>
        <v/>
      </c>
      <c r="AA46" s="83">
        <f>IF(OR($A46="",Z46="",Z45=""),"",Z46/Z45-1)</f>
        <v/>
      </c>
      <c r="AB46" s="153">
        <f>IF($A46="","",[1]!thsiFinD("ths_adjustment_nv_fund",AB$2,$A46))</f>
        <v/>
      </c>
      <c r="AC46" s="83">
        <f>IF(OR($A46="",AB46="",AB45=""),"",AB46/AB45-1)</f>
        <v/>
      </c>
      <c r="AD46" s="153">
        <f>IF($A46="","",[1]!thsiFinD("ths_adjustment_nv_fund",AD$2,$A46))</f>
        <v/>
      </c>
      <c r="AE46" s="83">
        <f>IF(OR($A46="",AD46="",AD45=""),"",AD46/AD45-1)</f>
        <v/>
      </c>
      <c r="AF46" s="153">
        <f>IF($A46="","",[1]!thsiFinD("ths_adjustment_nv_fund",AF$2,$A46))</f>
        <v/>
      </c>
      <c r="AG46" s="83">
        <f>IF(OR($A46="",AF46="",AF45=""),"",AF46/AF45-1)</f>
        <v/>
      </c>
      <c r="AH46" s="153">
        <f>IF($A46="","",[1]!thsiFinD("ths_adjustment_nv_fund",AH$2,$A46))</f>
        <v/>
      </c>
      <c r="AI46" s="83">
        <f>IF(OR($A46="",AH46="",AH45=""),"",AH46/AH45-1)</f>
        <v/>
      </c>
      <c r="AJ46" s="153">
        <f>IF($A46="","",[1]!thsiFinD("ths_adjustment_nv_fund",AJ$2,$A46))</f>
        <v/>
      </c>
      <c r="AK46" s="83">
        <f>IF(OR($A46="",AJ46="",AJ45=""),"",AJ46/AJ45-1)</f>
        <v/>
      </c>
      <c r="AL46" s="153">
        <f>IF($A46="","",[1]!thsiFinD("ths_adjustment_nv_fund",AL$2,$A46))</f>
        <v/>
      </c>
      <c r="AM46" s="83">
        <f>IF(OR($A46="",AL46="",AL45=""),"",AL46/AL45-1)</f>
        <v/>
      </c>
      <c r="AN46" s="153">
        <f>IF($A46="","",[1]!thsiFinD("ths_adjustment_nv_fund",AN$2,$A46))</f>
        <v/>
      </c>
      <c r="AO46" s="83">
        <f>IF(OR($A46="",AN46="",AN45=""),"",AN46/AN45-1)</f>
        <v/>
      </c>
    </row>
    <row r="47">
      <c r="A47" s="152">
        <f>IF(组合净值!A46="","",组合净值!A46)</f>
        <v/>
      </c>
      <c r="B47" s="153">
        <f>IF($A47="","",[1]!thsiFinD("ths_adjustment_nv_fund",B$2,$A47))</f>
        <v/>
      </c>
      <c r="C47" s="83">
        <f>IF(OR($A47="",B47="",B46=""),"",B47/B46-1)</f>
        <v/>
      </c>
      <c r="D47" s="153">
        <f>IF($A47="","",[1]!thsiFinD("ths_adjustment_nv_fund",D$2,$A47))</f>
        <v/>
      </c>
      <c r="E47" s="83">
        <f>IF(OR($A47="",D47="",D46=""),"",D47/D46-1)</f>
        <v/>
      </c>
      <c r="F47" s="153">
        <f>IF($A47="","",[1]!thsiFinD("ths_adjustment_nv_fund",F$2,$A47))</f>
        <v/>
      </c>
      <c r="G47" s="83">
        <f>IF(OR($A47="",F47="",F46=""),"",F47/F46-1)</f>
        <v/>
      </c>
      <c r="H47" s="153">
        <f>IF($A47="","",[1]!thsiFinD("ths_adjustment_nv_fund",H$2,$A47))</f>
        <v/>
      </c>
      <c r="I47" s="83">
        <f>IF(OR($A47="",H47="",H46=""),"",H47/H46-1)</f>
        <v/>
      </c>
      <c r="J47" s="153">
        <f>IF($A47="","",[1]!thsiFinD("ths_adjustment_nv_fund",J$2,$A47))</f>
        <v/>
      </c>
      <c r="K47" s="83">
        <f>IF(OR($A47="",J47="",J46=""),"",J47/J46-1)</f>
        <v/>
      </c>
      <c r="L47" s="153">
        <f>IF($A47="","",[1]!thsiFinD("ths_adjustment_nv_fund",L$2,$A47))</f>
        <v/>
      </c>
      <c r="M47" s="83">
        <f>IF(OR($A47="",L47="",L46=""),"",L47/L46-1)</f>
        <v/>
      </c>
      <c r="N47" s="153">
        <f>IF($A47="","",[1]!thsiFinD("ths_adjustment_nv_fund",N$2,$A47))</f>
        <v/>
      </c>
      <c r="O47" s="83">
        <f>IF(OR($A47="",N47="",N46=""),"",N47/N46-1)</f>
        <v/>
      </c>
      <c r="P47" s="153">
        <f>IF($A47="","",[1]!thsiFinD("ths_adjustment_nv_fund",P$2,$A47))</f>
        <v/>
      </c>
      <c r="Q47" s="83">
        <f>IF(OR($A47="",P47="",P46=""),"",P47/P46-1)</f>
        <v/>
      </c>
      <c r="R47" s="153">
        <f>IF($A47="","",[1]!thsiFinD("ths_adjustment_nv_fund",R$2,$A47))</f>
        <v/>
      </c>
      <c r="S47" s="83">
        <f>IF(OR($A47="",R47="",R46=""),"",R47/R46-1)</f>
        <v/>
      </c>
      <c r="T47" s="153">
        <f>IF($A47="","",[1]!thsiFinD("ths_adjustment_nv_fund",T$2,$A47))</f>
        <v/>
      </c>
      <c r="U47" s="83">
        <f>IF(OR($A47="",T47="",T46=""),"",T47/T46-1)</f>
        <v/>
      </c>
      <c r="V47" s="153">
        <f>IF($A47="","",[1]!thsiFinD("ths_adjustment_nv_fund",V$2,$A47))</f>
        <v/>
      </c>
      <c r="W47" s="83">
        <f>IF(OR($A47="",V47="",V46=""),"",V47/V46-1)</f>
        <v/>
      </c>
      <c r="X47" s="153">
        <f>IF($A47="","",[1]!thsiFinD("ths_adjustment_nv_fund",X$2,$A47))</f>
        <v/>
      </c>
      <c r="Y47" s="83">
        <f>IF(OR($A47="",X47="",X46=""),"",X47/X46-1)</f>
        <v/>
      </c>
      <c r="Z47" s="153">
        <f>IF($A47="","",[1]!thsiFinD("ths_adjustment_nv_fund",Z$2,$A47))</f>
        <v/>
      </c>
      <c r="AA47" s="83">
        <f>IF(OR($A47="",Z47="",Z46=""),"",Z47/Z46-1)</f>
        <v/>
      </c>
      <c r="AB47" s="153">
        <f>IF($A47="","",[1]!thsiFinD("ths_adjustment_nv_fund",AB$2,$A47))</f>
        <v/>
      </c>
      <c r="AC47" s="83">
        <f>IF(OR($A47="",AB47="",AB46=""),"",AB47/AB46-1)</f>
        <v/>
      </c>
      <c r="AD47" s="153">
        <f>IF($A47="","",[1]!thsiFinD("ths_adjustment_nv_fund",AD$2,$A47))</f>
        <v/>
      </c>
      <c r="AE47" s="83">
        <f>IF(OR($A47="",AD47="",AD46=""),"",AD47/AD46-1)</f>
        <v/>
      </c>
      <c r="AF47" s="153">
        <f>IF($A47="","",[1]!thsiFinD("ths_adjustment_nv_fund",AF$2,$A47))</f>
        <v/>
      </c>
      <c r="AG47" s="83">
        <f>IF(OR($A47="",AF47="",AF46=""),"",AF47/AF46-1)</f>
        <v/>
      </c>
      <c r="AH47" s="153">
        <f>IF($A47="","",[1]!thsiFinD("ths_adjustment_nv_fund",AH$2,$A47))</f>
        <v/>
      </c>
      <c r="AI47" s="83">
        <f>IF(OR($A47="",AH47="",AH46=""),"",AH47/AH46-1)</f>
        <v/>
      </c>
      <c r="AJ47" s="153">
        <f>IF($A47="","",[1]!thsiFinD("ths_adjustment_nv_fund",AJ$2,$A47))</f>
        <v/>
      </c>
      <c r="AK47" s="83">
        <f>IF(OR($A47="",AJ47="",AJ46=""),"",AJ47/AJ46-1)</f>
        <v/>
      </c>
      <c r="AL47" s="153">
        <f>IF($A47="","",[1]!thsiFinD("ths_adjustment_nv_fund",AL$2,$A47))</f>
        <v/>
      </c>
      <c r="AM47" s="83">
        <f>IF(OR($A47="",AL47="",AL46=""),"",AL47/AL46-1)</f>
        <v/>
      </c>
      <c r="AN47" s="153">
        <f>IF($A47="","",[1]!thsiFinD("ths_adjustment_nv_fund",AN$2,$A47))</f>
        <v/>
      </c>
      <c r="AO47" s="83">
        <f>IF(OR($A47="",AN47="",AN46=""),"",AN47/AN46-1)</f>
        <v/>
      </c>
    </row>
    <row r="48">
      <c r="A48" s="152">
        <f>IF(组合净值!A47="","",组合净值!A47)</f>
        <v/>
      </c>
      <c r="B48" s="153">
        <f>IF($A48="","",[1]!thsiFinD("ths_adjustment_nv_fund",B$2,$A48))</f>
        <v/>
      </c>
      <c r="C48" s="83">
        <f>IF(OR($A48="",B48="",B47=""),"",B48/B47-1)</f>
        <v/>
      </c>
      <c r="D48" s="153">
        <f>IF($A48="","",[1]!thsiFinD("ths_adjustment_nv_fund",D$2,$A48))</f>
        <v/>
      </c>
      <c r="E48" s="83">
        <f>IF(OR($A48="",D48="",D47=""),"",D48/D47-1)</f>
        <v/>
      </c>
      <c r="F48" s="153">
        <f>IF($A48="","",[1]!thsiFinD("ths_adjustment_nv_fund",F$2,$A48))</f>
        <v/>
      </c>
      <c r="G48" s="83">
        <f>IF(OR($A48="",F48="",F47=""),"",F48/F47-1)</f>
        <v/>
      </c>
      <c r="H48" s="153">
        <f>IF($A48="","",[1]!thsiFinD("ths_adjustment_nv_fund",H$2,$A48))</f>
        <v/>
      </c>
      <c r="I48" s="83">
        <f>IF(OR($A48="",H48="",H47=""),"",H48/H47-1)</f>
        <v/>
      </c>
      <c r="J48" s="153">
        <f>IF($A48="","",[1]!thsiFinD("ths_adjustment_nv_fund",J$2,$A48))</f>
        <v/>
      </c>
      <c r="K48" s="83">
        <f>IF(OR($A48="",J48="",J47=""),"",J48/J47-1)</f>
        <v/>
      </c>
      <c r="L48" s="153">
        <f>IF($A48="","",[1]!thsiFinD("ths_adjustment_nv_fund",L$2,$A48))</f>
        <v/>
      </c>
      <c r="M48" s="83">
        <f>IF(OR($A48="",L48="",L47=""),"",L48/L47-1)</f>
        <v/>
      </c>
      <c r="N48" s="153">
        <f>IF($A48="","",[1]!thsiFinD("ths_adjustment_nv_fund",N$2,$A48))</f>
        <v/>
      </c>
      <c r="O48" s="83">
        <f>IF(OR($A48="",N48="",N47=""),"",N48/N47-1)</f>
        <v/>
      </c>
      <c r="P48" s="153">
        <f>IF($A48="","",[1]!thsiFinD("ths_adjustment_nv_fund",P$2,$A48))</f>
        <v/>
      </c>
      <c r="Q48" s="83">
        <f>IF(OR($A48="",P48="",P47=""),"",P48/P47-1)</f>
        <v/>
      </c>
      <c r="R48" s="153">
        <f>IF($A48="","",[1]!thsiFinD("ths_adjustment_nv_fund",R$2,$A48))</f>
        <v/>
      </c>
      <c r="S48" s="83">
        <f>IF(OR($A48="",R48="",R47=""),"",R48/R47-1)</f>
        <v/>
      </c>
      <c r="T48" s="153">
        <f>IF($A48="","",[1]!thsiFinD("ths_adjustment_nv_fund",T$2,$A48))</f>
        <v/>
      </c>
      <c r="U48" s="83">
        <f>IF(OR($A48="",T48="",T47=""),"",T48/T47-1)</f>
        <v/>
      </c>
      <c r="V48" s="153">
        <f>IF($A48="","",[1]!thsiFinD("ths_adjustment_nv_fund",V$2,$A48))</f>
        <v/>
      </c>
      <c r="W48" s="83">
        <f>IF(OR($A48="",V48="",V47=""),"",V48/V47-1)</f>
        <v/>
      </c>
      <c r="X48" s="153">
        <f>IF($A48="","",[1]!thsiFinD("ths_adjustment_nv_fund",X$2,$A48))</f>
        <v/>
      </c>
      <c r="Y48" s="83">
        <f>IF(OR($A48="",X48="",X47=""),"",X48/X47-1)</f>
        <v/>
      </c>
      <c r="Z48" s="153">
        <f>IF($A48="","",[1]!thsiFinD("ths_adjustment_nv_fund",Z$2,$A48))</f>
        <v/>
      </c>
      <c r="AA48" s="83">
        <f>IF(OR($A48="",Z48="",Z47=""),"",Z48/Z47-1)</f>
        <v/>
      </c>
      <c r="AB48" s="153">
        <f>IF($A48="","",[1]!thsiFinD("ths_adjustment_nv_fund",AB$2,$A48))</f>
        <v/>
      </c>
      <c r="AC48" s="83">
        <f>IF(OR($A48="",AB48="",AB47=""),"",AB48/AB47-1)</f>
        <v/>
      </c>
      <c r="AD48" s="153">
        <f>IF($A48="","",[1]!thsiFinD("ths_adjustment_nv_fund",AD$2,$A48))</f>
        <v/>
      </c>
      <c r="AE48" s="83">
        <f>IF(OR($A48="",AD48="",AD47=""),"",AD48/AD47-1)</f>
        <v/>
      </c>
      <c r="AF48" s="153">
        <f>IF($A48="","",[1]!thsiFinD("ths_adjustment_nv_fund",AF$2,$A48))</f>
        <v/>
      </c>
      <c r="AG48" s="83">
        <f>IF(OR($A48="",AF48="",AF47=""),"",AF48/AF47-1)</f>
        <v/>
      </c>
      <c r="AH48" s="153">
        <f>IF($A48="","",[1]!thsiFinD("ths_adjustment_nv_fund",AH$2,$A48))</f>
        <v/>
      </c>
      <c r="AI48" s="83">
        <f>IF(OR($A48="",AH48="",AH47=""),"",AH48/AH47-1)</f>
        <v/>
      </c>
      <c r="AJ48" s="153">
        <f>IF($A48="","",[1]!thsiFinD("ths_adjustment_nv_fund",AJ$2,$A48))</f>
        <v/>
      </c>
      <c r="AK48" s="83">
        <f>IF(OR($A48="",AJ48="",AJ47=""),"",AJ48/AJ47-1)</f>
        <v/>
      </c>
      <c r="AL48" s="153">
        <f>IF($A48="","",[1]!thsiFinD("ths_adjustment_nv_fund",AL$2,$A48))</f>
        <v/>
      </c>
      <c r="AM48" s="83">
        <f>IF(OR($A48="",AL48="",AL47=""),"",AL48/AL47-1)</f>
        <v/>
      </c>
      <c r="AN48" s="153">
        <f>IF($A48="","",[1]!thsiFinD("ths_adjustment_nv_fund",AN$2,$A48))</f>
        <v/>
      </c>
      <c r="AO48" s="83">
        <f>IF(OR($A48="",AN48="",AN47=""),"",AN48/AN47-1)</f>
        <v/>
      </c>
    </row>
    <row r="49">
      <c r="A49" s="152">
        <f>IF(组合净值!A48="","",组合净值!A48)</f>
        <v/>
      </c>
      <c r="B49" s="153">
        <f>IF($A49="","",[1]!thsiFinD("ths_adjustment_nv_fund",B$2,$A49))</f>
        <v/>
      </c>
      <c r="C49" s="83">
        <f>IF(OR($A49="",B49="",B48=""),"",B49/B48-1)</f>
        <v/>
      </c>
      <c r="D49" s="153">
        <f>IF($A49="","",[1]!thsiFinD("ths_adjustment_nv_fund",D$2,$A49))</f>
        <v/>
      </c>
      <c r="E49" s="83">
        <f>IF(OR($A49="",D49="",D48=""),"",D49/D48-1)</f>
        <v/>
      </c>
      <c r="F49" s="153">
        <f>IF($A49="","",[1]!thsiFinD("ths_adjustment_nv_fund",F$2,$A49))</f>
        <v/>
      </c>
      <c r="G49" s="83">
        <f>IF(OR($A49="",F49="",F48=""),"",F49/F48-1)</f>
        <v/>
      </c>
      <c r="H49" s="153">
        <f>IF($A49="","",[1]!thsiFinD("ths_adjustment_nv_fund",H$2,$A49))</f>
        <v/>
      </c>
      <c r="I49" s="83">
        <f>IF(OR($A49="",H49="",H48=""),"",H49/H48-1)</f>
        <v/>
      </c>
      <c r="J49" s="153">
        <f>IF($A49="","",[1]!thsiFinD("ths_adjustment_nv_fund",J$2,$A49))</f>
        <v/>
      </c>
      <c r="K49" s="83">
        <f>IF(OR($A49="",J49="",J48=""),"",J49/J48-1)</f>
        <v/>
      </c>
      <c r="L49" s="153">
        <f>IF($A49="","",[1]!thsiFinD("ths_adjustment_nv_fund",L$2,$A49))</f>
        <v/>
      </c>
      <c r="M49" s="83">
        <f>IF(OR($A49="",L49="",L48=""),"",L49/L48-1)</f>
        <v/>
      </c>
      <c r="N49" s="153">
        <f>IF($A49="","",[1]!thsiFinD("ths_adjustment_nv_fund",N$2,$A49))</f>
        <v/>
      </c>
      <c r="O49" s="83">
        <f>IF(OR($A49="",N49="",N48=""),"",N49/N48-1)</f>
        <v/>
      </c>
      <c r="P49" s="153">
        <f>IF($A49="","",[1]!thsiFinD("ths_adjustment_nv_fund",P$2,$A49))</f>
        <v/>
      </c>
      <c r="Q49" s="83">
        <f>IF(OR($A49="",P49="",P48=""),"",P49/P48-1)</f>
        <v/>
      </c>
      <c r="R49" s="153">
        <f>IF($A49="","",[1]!thsiFinD("ths_adjustment_nv_fund",R$2,$A49))</f>
        <v/>
      </c>
      <c r="S49" s="83">
        <f>IF(OR($A49="",R49="",R48=""),"",R49/R48-1)</f>
        <v/>
      </c>
      <c r="T49" s="153">
        <f>IF($A49="","",[1]!thsiFinD("ths_adjustment_nv_fund",T$2,$A49))</f>
        <v/>
      </c>
      <c r="U49" s="83">
        <f>IF(OR($A49="",T49="",T48=""),"",T49/T48-1)</f>
        <v/>
      </c>
      <c r="V49" s="153">
        <f>IF($A49="","",[1]!thsiFinD("ths_adjustment_nv_fund",V$2,$A49))</f>
        <v/>
      </c>
      <c r="W49" s="83">
        <f>IF(OR($A49="",V49="",V48=""),"",V49/V48-1)</f>
        <v/>
      </c>
      <c r="X49" s="153">
        <f>IF($A49="","",[1]!thsiFinD("ths_adjustment_nv_fund",X$2,$A49))</f>
        <v/>
      </c>
      <c r="Y49" s="83">
        <f>IF(OR($A49="",X49="",X48=""),"",X49/X48-1)</f>
        <v/>
      </c>
      <c r="Z49" s="153">
        <f>IF($A49="","",[1]!thsiFinD("ths_adjustment_nv_fund",Z$2,$A49))</f>
        <v/>
      </c>
      <c r="AA49" s="83">
        <f>IF(OR($A49="",Z49="",Z48=""),"",Z49/Z48-1)</f>
        <v/>
      </c>
      <c r="AB49" s="153">
        <f>IF($A49="","",[1]!thsiFinD("ths_adjustment_nv_fund",AB$2,$A49))</f>
        <v/>
      </c>
      <c r="AC49" s="83">
        <f>IF(OR($A49="",AB49="",AB48=""),"",AB49/AB48-1)</f>
        <v/>
      </c>
      <c r="AD49" s="153">
        <f>IF($A49="","",[1]!thsiFinD("ths_adjustment_nv_fund",AD$2,$A49))</f>
        <v/>
      </c>
      <c r="AE49" s="83">
        <f>IF(OR($A49="",AD49="",AD48=""),"",AD49/AD48-1)</f>
        <v/>
      </c>
      <c r="AF49" s="153">
        <f>IF($A49="","",[1]!thsiFinD("ths_adjustment_nv_fund",AF$2,$A49))</f>
        <v/>
      </c>
      <c r="AG49" s="83">
        <f>IF(OR($A49="",AF49="",AF48=""),"",AF49/AF48-1)</f>
        <v/>
      </c>
      <c r="AH49" s="153">
        <f>IF($A49="","",[1]!thsiFinD("ths_adjustment_nv_fund",AH$2,$A49))</f>
        <v/>
      </c>
      <c r="AI49" s="83">
        <f>IF(OR($A49="",AH49="",AH48=""),"",AH49/AH48-1)</f>
        <v/>
      </c>
      <c r="AJ49" s="153">
        <f>IF($A49="","",[1]!thsiFinD("ths_adjustment_nv_fund",AJ$2,$A49))</f>
        <v/>
      </c>
      <c r="AK49" s="83">
        <f>IF(OR($A49="",AJ49="",AJ48=""),"",AJ49/AJ48-1)</f>
        <v/>
      </c>
      <c r="AL49" s="153">
        <f>IF($A49="","",[1]!thsiFinD("ths_adjustment_nv_fund",AL$2,$A49))</f>
        <v/>
      </c>
      <c r="AM49" s="83">
        <f>IF(OR($A49="",AL49="",AL48=""),"",AL49/AL48-1)</f>
        <v/>
      </c>
      <c r="AN49" s="153">
        <f>IF($A49="","",[1]!thsiFinD("ths_adjustment_nv_fund",AN$2,$A49))</f>
        <v/>
      </c>
      <c r="AO49" s="83">
        <f>IF(OR($A49="",AN49="",AN48=""),"",AN49/AN48-1)</f>
        <v/>
      </c>
    </row>
    <row r="50">
      <c r="A50" s="152">
        <f>IF(组合净值!A49="","",组合净值!A49)</f>
        <v/>
      </c>
      <c r="B50" s="153">
        <f>IF($A50="","",[1]!thsiFinD("ths_adjustment_nv_fund",B$2,$A50))</f>
        <v/>
      </c>
      <c r="C50" s="83">
        <f>IF(OR($A50="",B50="",B49=""),"",B50/B49-1)</f>
        <v/>
      </c>
      <c r="D50" s="153">
        <f>IF($A50="","",[1]!thsiFinD("ths_adjustment_nv_fund",D$2,$A50))</f>
        <v/>
      </c>
      <c r="E50" s="83">
        <f>IF(OR($A50="",D50="",D49=""),"",D50/D49-1)</f>
        <v/>
      </c>
      <c r="F50" s="153">
        <f>IF($A50="","",[1]!thsiFinD("ths_adjustment_nv_fund",F$2,$A50))</f>
        <v/>
      </c>
      <c r="G50" s="83">
        <f>IF(OR($A50="",F50="",F49=""),"",F50/F49-1)</f>
        <v/>
      </c>
      <c r="H50" s="153">
        <f>IF($A50="","",[1]!thsiFinD("ths_adjustment_nv_fund",H$2,$A50))</f>
        <v/>
      </c>
      <c r="I50" s="83">
        <f>IF(OR($A50="",H50="",H49=""),"",H50/H49-1)</f>
        <v/>
      </c>
      <c r="J50" s="153">
        <f>IF($A50="","",[1]!thsiFinD("ths_adjustment_nv_fund",J$2,$A50))</f>
        <v/>
      </c>
      <c r="K50" s="83">
        <f>IF(OR($A50="",J50="",J49=""),"",J50/J49-1)</f>
        <v/>
      </c>
      <c r="L50" s="153">
        <f>IF($A50="","",[1]!thsiFinD("ths_adjustment_nv_fund",L$2,$A50))</f>
        <v/>
      </c>
      <c r="M50" s="83">
        <f>IF(OR($A50="",L50="",L49=""),"",L50/L49-1)</f>
        <v/>
      </c>
      <c r="N50" s="153">
        <f>IF($A50="","",[1]!thsiFinD("ths_adjustment_nv_fund",N$2,$A50))</f>
        <v/>
      </c>
      <c r="O50" s="83">
        <f>IF(OR($A50="",N50="",N49=""),"",N50/N49-1)</f>
        <v/>
      </c>
      <c r="P50" s="153">
        <f>IF($A50="","",[1]!thsiFinD("ths_adjustment_nv_fund",P$2,$A50))</f>
        <v/>
      </c>
      <c r="Q50" s="83">
        <f>IF(OR($A50="",P50="",P49=""),"",P50/P49-1)</f>
        <v/>
      </c>
      <c r="R50" s="153">
        <f>IF($A50="","",[1]!thsiFinD("ths_adjustment_nv_fund",R$2,$A50))</f>
        <v/>
      </c>
      <c r="S50" s="83">
        <f>IF(OR($A50="",R50="",R49=""),"",R50/R49-1)</f>
        <v/>
      </c>
      <c r="T50" s="153">
        <f>IF($A50="","",[1]!thsiFinD("ths_adjustment_nv_fund",T$2,$A50))</f>
        <v/>
      </c>
      <c r="U50" s="83">
        <f>IF(OR($A50="",T50="",T49=""),"",T50/T49-1)</f>
        <v/>
      </c>
      <c r="V50" s="153">
        <f>IF($A50="","",[1]!thsiFinD("ths_adjustment_nv_fund",V$2,$A50))</f>
        <v/>
      </c>
      <c r="W50" s="83">
        <f>IF(OR($A50="",V50="",V49=""),"",V50/V49-1)</f>
        <v/>
      </c>
      <c r="X50" s="153">
        <f>IF($A50="","",[1]!thsiFinD("ths_adjustment_nv_fund",X$2,$A50))</f>
        <v/>
      </c>
      <c r="Y50" s="83">
        <f>IF(OR($A50="",X50="",X49=""),"",X50/X49-1)</f>
        <v/>
      </c>
      <c r="Z50" s="153">
        <f>IF($A50="","",[1]!thsiFinD("ths_adjustment_nv_fund",Z$2,$A50))</f>
        <v/>
      </c>
      <c r="AA50" s="83">
        <f>IF(OR($A50="",Z50="",Z49=""),"",Z50/Z49-1)</f>
        <v/>
      </c>
      <c r="AB50" s="153">
        <f>IF($A50="","",[1]!thsiFinD("ths_adjustment_nv_fund",AB$2,$A50))</f>
        <v/>
      </c>
      <c r="AC50" s="83">
        <f>IF(OR($A50="",AB50="",AB49=""),"",AB50/AB49-1)</f>
        <v/>
      </c>
      <c r="AD50" s="153">
        <f>IF($A50="","",[1]!thsiFinD("ths_adjustment_nv_fund",AD$2,$A50))</f>
        <v/>
      </c>
      <c r="AE50" s="83">
        <f>IF(OR($A50="",AD50="",AD49=""),"",AD50/AD49-1)</f>
        <v/>
      </c>
      <c r="AF50" s="153">
        <f>IF($A50="","",[1]!thsiFinD("ths_adjustment_nv_fund",AF$2,$A50))</f>
        <v/>
      </c>
      <c r="AG50" s="83">
        <f>IF(OR($A50="",AF50="",AF49=""),"",AF50/AF49-1)</f>
        <v/>
      </c>
      <c r="AH50" s="153">
        <f>IF($A50="","",[1]!thsiFinD("ths_adjustment_nv_fund",AH$2,$A50))</f>
        <v/>
      </c>
      <c r="AI50" s="83">
        <f>IF(OR($A50="",AH50="",AH49=""),"",AH50/AH49-1)</f>
        <v/>
      </c>
      <c r="AJ50" s="153">
        <f>IF($A50="","",[1]!thsiFinD("ths_adjustment_nv_fund",AJ$2,$A50))</f>
        <v/>
      </c>
      <c r="AK50" s="83">
        <f>IF(OR($A50="",AJ50="",AJ49=""),"",AJ50/AJ49-1)</f>
        <v/>
      </c>
      <c r="AL50" s="153">
        <f>IF($A50="","",[1]!thsiFinD("ths_adjustment_nv_fund",AL$2,$A50))</f>
        <v/>
      </c>
      <c r="AM50" s="83">
        <f>IF(OR($A50="",AL50="",AL49=""),"",AL50/AL49-1)</f>
        <v/>
      </c>
      <c r="AN50" s="153">
        <f>IF($A50="","",[1]!thsiFinD("ths_adjustment_nv_fund",AN$2,$A50))</f>
        <v/>
      </c>
      <c r="AO50" s="83">
        <f>IF(OR($A50="",AN50="",AN49=""),"",AN50/AN49-1)</f>
        <v/>
      </c>
    </row>
    <row r="51">
      <c r="A51" s="152">
        <f>IF(组合净值!A50="","",组合净值!A50)</f>
        <v/>
      </c>
      <c r="B51" s="153">
        <f>IF($A51="","",[1]!thsiFinD("ths_adjustment_nv_fund",B$2,$A51))</f>
        <v/>
      </c>
      <c r="C51" s="83">
        <f>IF(OR($A51="",B51="",B50=""),"",B51/B50-1)</f>
        <v/>
      </c>
      <c r="D51" s="153">
        <f>IF($A51="","",[1]!thsiFinD("ths_adjustment_nv_fund",D$2,$A51))</f>
        <v/>
      </c>
      <c r="E51" s="83">
        <f>IF(OR($A51="",D51="",D50=""),"",D51/D50-1)</f>
        <v/>
      </c>
      <c r="F51" s="153">
        <f>IF($A51="","",[1]!thsiFinD("ths_adjustment_nv_fund",F$2,$A51))</f>
        <v/>
      </c>
      <c r="G51" s="83">
        <f>IF(OR($A51="",F51="",F50=""),"",F51/F50-1)</f>
        <v/>
      </c>
      <c r="H51" s="153">
        <f>IF($A51="","",[1]!thsiFinD("ths_adjustment_nv_fund",H$2,$A51))</f>
        <v/>
      </c>
      <c r="I51" s="83">
        <f>IF(OR($A51="",H51="",H50=""),"",H51/H50-1)</f>
        <v/>
      </c>
      <c r="J51" s="153">
        <f>IF($A51="","",[1]!thsiFinD("ths_adjustment_nv_fund",J$2,$A51))</f>
        <v/>
      </c>
      <c r="K51" s="83">
        <f>IF(OR($A51="",J51="",J50=""),"",J51/J50-1)</f>
        <v/>
      </c>
      <c r="L51" s="153">
        <f>IF($A51="","",[1]!thsiFinD("ths_adjustment_nv_fund",L$2,$A51))</f>
        <v/>
      </c>
      <c r="M51" s="83">
        <f>IF(OR($A51="",L51="",L50=""),"",L51/L50-1)</f>
        <v/>
      </c>
      <c r="N51" s="153">
        <f>IF($A51="","",[1]!thsiFinD("ths_adjustment_nv_fund",N$2,$A51))</f>
        <v/>
      </c>
      <c r="O51" s="83">
        <f>IF(OR($A51="",N51="",N50=""),"",N51/N50-1)</f>
        <v/>
      </c>
      <c r="P51" s="153">
        <f>IF($A51="","",[1]!thsiFinD("ths_adjustment_nv_fund",P$2,$A51))</f>
        <v/>
      </c>
      <c r="Q51" s="83">
        <f>IF(OR($A51="",P51="",P50=""),"",P51/P50-1)</f>
        <v/>
      </c>
      <c r="R51" s="153">
        <f>IF($A51="","",[1]!thsiFinD("ths_adjustment_nv_fund",R$2,$A51))</f>
        <v/>
      </c>
      <c r="S51" s="83">
        <f>IF(OR($A51="",R51="",R50=""),"",R51/R50-1)</f>
        <v/>
      </c>
      <c r="T51" s="153">
        <f>IF($A51="","",[1]!thsiFinD("ths_adjustment_nv_fund",T$2,$A51))</f>
        <v/>
      </c>
      <c r="U51" s="83">
        <f>IF(OR($A51="",T51="",T50=""),"",T51/T50-1)</f>
        <v/>
      </c>
      <c r="V51" s="153">
        <f>IF($A51="","",[1]!thsiFinD("ths_adjustment_nv_fund",V$2,$A51))</f>
        <v/>
      </c>
      <c r="W51" s="83">
        <f>IF(OR($A51="",V51="",V50=""),"",V51/V50-1)</f>
        <v/>
      </c>
      <c r="X51" s="153">
        <f>IF($A51="","",[1]!thsiFinD("ths_adjustment_nv_fund",X$2,$A51))</f>
        <v/>
      </c>
      <c r="Y51" s="83">
        <f>IF(OR($A51="",X51="",X50=""),"",X51/X50-1)</f>
        <v/>
      </c>
      <c r="Z51" s="153">
        <f>IF($A51="","",[1]!thsiFinD("ths_adjustment_nv_fund",Z$2,$A51))</f>
        <v/>
      </c>
      <c r="AA51" s="83">
        <f>IF(OR($A51="",Z51="",Z50=""),"",Z51/Z50-1)</f>
        <v/>
      </c>
      <c r="AB51" s="153">
        <f>IF($A51="","",[1]!thsiFinD("ths_adjustment_nv_fund",AB$2,$A51))</f>
        <v/>
      </c>
      <c r="AC51" s="83">
        <f>IF(OR($A51="",AB51="",AB50=""),"",AB51/AB50-1)</f>
        <v/>
      </c>
      <c r="AD51" s="153">
        <f>IF($A51="","",[1]!thsiFinD("ths_adjustment_nv_fund",AD$2,$A51))</f>
        <v/>
      </c>
      <c r="AE51" s="83">
        <f>IF(OR($A51="",AD51="",AD50=""),"",AD51/AD50-1)</f>
        <v/>
      </c>
      <c r="AF51" s="153">
        <f>IF($A51="","",[1]!thsiFinD("ths_adjustment_nv_fund",AF$2,$A51))</f>
        <v/>
      </c>
      <c r="AG51" s="83">
        <f>IF(OR($A51="",AF51="",AF50=""),"",AF51/AF50-1)</f>
        <v/>
      </c>
      <c r="AH51" s="153">
        <f>IF($A51="","",[1]!thsiFinD("ths_adjustment_nv_fund",AH$2,$A51))</f>
        <v/>
      </c>
      <c r="AI51" s="83">
        <f>IF(OR($A51="",AH51="",AH50=""),"",AH51/AH50-1)</f>
        <v/>
      </c>
      <c r="AJ51" s="153">
        <f>IF($A51="","",[1]!thsiFinD("ths_adjustment_nv_fund",AJ$2,$A51))</f>
        <v/>
      </c>
      <c r="AK51" s="83">
        <f>IF(OR($A51="",AJ51="",AJ50=""),"",AJ51/AJ50-1)</f>
        <v/>
      </c>
      <c r="AL51" s="153">
        <f>IF($A51="","",[1]!thsiFinD("ths_adjustment_nv_fund",AL$2,$A51))</f>
        <v/>
      </c>
      <c r="AM51" s="83">
        <f>IF(OR($A51="",AL51="",AL50=""),"",AL51/AL50-1)</f>
        <v/>
      </c>
      <c r="AN51" s="153">
        <f>IF($A51="","",[1]!thsiFinD("ths_adjustment_nv_fund",AN$2,$A51))</f>
        <v/>
      </c>
      <c r="AO51" s="83">
        <f>IF(OR($A51="",AN51="",AN50=""),"",AN51/AN50-1)</f>
        <v/>
      </c>
    </row>
    <row r="52">
      <c r="A52" s="152">
        <f>IF(组合净值!A51="","",组合净值!A51)</f>
        <v/>
      </c>
      <c r="B52" s="153">
        <f>IF($A52="","",[1]!thsiFinD("ths_adjustment_nv_fund",B$2,$A52))</f>
        <v/>
      </c>
      <c r="C52" s="83">
        <f>IF(OR($A52="",B52="",B51=""),"",B52/B51-1)</f>
        <v/>
      </c>
      <c r="D52" s="153">
        <f>IF($A52="","",[1]!thsiFinD("ths_adjustment_nv_fund",D$2,$A52))</f>
        <v/>
      </c>
      <c r="E52" s="83">
        <f>IF(OR($A52="",D52="",D51=""),"",D52/D51-1)</f>
        <v/>
      </c>
      <c r="F52" s="153">
        <f>IF($A52="","",[1]!thsiFinD("ths_adjustment_nv_fund",F$2,$A52))</f>
        <v/>
      </c>
      <c r="G52" s="83">
        <f>IF(OR($A52="",F52="",F51=""),"",F52/F51-1)</f>
        <v/>
      </c>
      <c r="H52" s="153">
        <f>IF($A52="","",[1]!thsiFinD("ths_adjustment_nv_fund",H$2,$A52))</f>
        <v/>
      </c>
      <c r="I52" s="83">
        <f>IF(OR($A52="",H52="",H51=""),"",H52/H51-1)</f>
        <v/>
      </c>
      <c r="J52" s="153">
        <f>IF($A52="","",[1]!thsiFinD("ths_adjustment_nv_fund",J$2,$A52))</f>
        <v/>
      </c>
      <c r="K52" s="83">
        <f>IF(OR($A52="",J52="",J51=""),"",J52/J51-1)</f>
        <v/>
      </c>
      <c r="L52" s="153">
        <f>IF($A52="","",[1]!thsiFinD("ths_adjustment_nv_fund",L$2,$A52))</f>
        <v/>
      </c>
      <c r="M52" s="83">
        <f>IF(OR($A52="",L52="",L51=""),"",L52/L51-1)</f>
        <v/>
      </c>
      <c r="N52" s="153">
        <f>IF($A52="","",[1]!thsiFinD("ths_adjustment_nv_fund",N$2,$A52))</f>
        <v/>
      </c>
      <c r="O52" s="83">
        <f>IF(OR($A52="",N52="",N51=""),"",N52/N51-1)</f>
        <v/>
      </c>
      <c r="P52" s="153">
        <f>IF($A52="","",[1]!thsiFinD("ths_adjustment_nv_fund",P$2,$A52))</f>
        <v/>
      </c>
      <c r="Q52" s="83">
        <f>IF(OR($A52="",P52="",P51=""),"",P52/P51-1)</f>
        <v/>
      </c>
      <c r="R52" s="153">
        <f>IF($A52="","",[1]!thsiFinD("ths_adjustment_nv_fund",R$2,$A52))</f>
        <v/>
      </c>
      <c r="S52" s="83">
        <f>IF(OR($A52="",R52="",R51=""),"",R52/R51-1)</f>
        <v/>
      </c>
      <c r="T52" s="153">
        <f>IF($A52="","",[1]!thsiFinD("ths_adjustment_nv_fund",T$2,$A52))</f>
        <v/>
      </c>
      <c r="U52" s="83">
        <f>IF(OR($A52="",T52="",T51=""),"",T52/T51-1)</f>
        <v/>
      </c>
      <c r="V52" s="153">
        <f>IF($A52="","",[1]!thsiFinD("ths_adjustment_nv_fund",V$2,$A52))</f>
        <v/>
      </c>
      <c r="W52" s="83">
        <f>IF(OR($A52="",V52="",V51=""),"",V52/V51-1)</f>
        <v/>
      </c>
      <c r="X52" s="153">
        <f>IF($A52="","",[1]!thsiFinD("ths_adjustment_nv_fund",X$2,$A52))</f>
        <v/>
      </c>
      <c r="Y52" s="83">
        <f>IF(OR($A52="",X52="",X51=""),"",X52/X51-1)</f>
        <v/>
      </c>
      <c r="Z52" s="153">
        <f>IF($A52="","",[1]!thsiFinD("ths_adjustment_nv_fund",Z$2,$A52))</f>
        <v/>
      </c>
      <c r="AA52" s="83">
        <f>IF(OR($A52="",Z52="",Z51=""),"",Z52/Z51-1)</f>
        <v/>
      </c>
      <c r="AB52" s="153">
        <f>IF($A52="","",[1]!thsiFinD("ths_adjustment_nv_fund",AB$2,$A52))</f>
        <v/>
      </c>
      <c r="AC52" s="83">
        <f>IF(OR($A52="",AB52="",AB51=""),"",AB52/AB51-1)</f>
        <v/>
      </c>
      <c r="AD52" s="153">
        <f>IF($A52="","",[1]!thsiFinD("ths_adjustment_nv_fund",AD$2,$A52))</f>
        <v/>
      </c>
      <c r="AE52" s="83">
        <f>IF(OR($A52="",AD52="",AD51=""),"",AD52/AD51-1)</f>
        <v/>
      </c>
      <c r="AF52" s="153">
        <f>IF($A52="","",[1]!thsiFinD("ths_adjustment_nv_fund",AF$2,$A52))</f>
        <v/>
      </c>
      <c r="AG52" s="83">
        <f>IF(OR($A52="",AF52="",AF51=""),"",AF52/AF51-1)</f>
        <v/>
      </c>
      <c r="AH52" s="153">
        <f>IF($A52="","",[1]!thsiFinD("ths_adjustment_nv_fund",AH$2,$A52))</f>
        <v/>
      </c>
      <c r="AI52" s="83">
        <f>IF(OR($A52="",AH52="",AH51=""),"",AH52/AH51-1)</f>
        <v/>
      </c>
      <c r="AJ52" s="153">
        <f>IF($A52="","",[1]!thsiFinD("ths_adjustment_nv_fund",AJ$2,$A52))</f>
        <v/>
      </c>
      <c r="AK52" s="83">
        <f>IF(OR($A52="",AJ52="",AJ51=""),"",AJ52/AJ51-1)</f>
        <v/>
      </c>
      <c r="AL52" s="153">
        <f>IF($A52="","",[1]!thsiFinD("ths_adjustment_nv_fund",AL$2,$A52))</f>
        <v/>
      </c>
      <c r="AM52" s="83">
        <f>IF(OR($A52="",AL52="",AL51=""),"",AL52/AL51-1)</f>
        <v/>
      </c>
      <c r="AN52" s="153">
        <f>IF($A52="","",[1]!thsiFinD("ths_adjustment_nv_fund",AN$2,$A52))</f>
        <v/>
      </c>
      <c r="AO52" s="83">
        <f>IF(OR($A52="",AN52="",AN51=""),"",AN52/AN51-1)</f>
        <v/>
      </c>
    </row>
    <row r="53">
      <c r="A53" s="152">
        <f>IF(组合净值!A52="","",组合净值!A52)</f>
        <v/>
      </c>
      <c r="B53" s="153">
        <f>IF($A53="","",[1]!thsiFinD("ths_adjustment_nv_fund",B$2,$A53))</f>
        <v/>
      </c>
      <c r="C53" s="83">
        <f>IF(OR($A53="",B53="",B52=""),"",B53/B52-1)</f>
        <v/>
      </c>
      <c r="D53" s="153">
        <f>IF($A53="","",[1]!thsiFinD("ths_adjustment_nv_fund",D$2,$A53))</f>
        <v/>
      </c>
      <c r="E53" s="83">
        <f>IF(OR($A53="",D53="",D52=""),"",D53/D52-1)</f>
        <v/>
      </c>
      <c r="F53" s="153">
        <f>IF($A53="","",[1]!thsiFinD("ths_adjustment_nv_fund",F$2,$A53))</f>
        <v/>
      </c>
      <c r="G53" s="83">
        <f>IF(OR($A53="",F53="",F52=""),"",F53/F52-1)</f>
        <v/>
      </c>
      <c r="H53" s="153">
        <f>IF($A53="","",[1]!thsiFinD("ths_adjustment_nv_fund",H$2,$A53))</f>
        <v/>
      </c>
      <c r="I53" s="83">
        <f>IF(OR($A53="",H53="",H52=""),"",H53/H52-1)</f>
        <v/>
      </c>
      <c r="J53" s="153">
        <f>IF($A53="","",[1]!thsiFinD("ths_adjustment_nv_fund",J$2,$A53))</f>
        <v/>
      </c>
      <c r="K53" s="83">
        <f>IF(OR($A53="",J53="",J52=""),"",J53/J52-1)</f>
        <v/>
      </c>
      <c r="L53" s="153">
        <f>IF($A53="","",[1]!thsiFinD("ths_adjustment_nv_fund",L$2,$A53))</f>
        <v/>
      </c>
      <c r="M53" s="83">
        <f>IF(OR($A53="",L53="",L52=""),"",L53/L52-1)</f>
        <v/>
      </c>
      <c r="N53" s="153">
        <f>IF($A53="","",[1]!thsiFinD("ths_adjustment_nv_fund",N$2,$A53))</f>
        <v/>
      </c>
      <c r="O53" s="83">
        <f>IF(OR($A53="",N53="",N52=""),"",N53/N52-1)</f>
        <v/>
      </c>
      <c r="P53" s="153">
        <f>IF($A53="","",[1]!thsiFinD("ths_adjustment_nv_fund",P$2,$A53))</f>
        <v/>
      </c>
      <c r="Q53" s="83">
        <f>IF(OR($A53="",P53="",P52=""),"",P53/P52-1)</f>
        <v/>
      </c>
      <c r="R53" s="153">
        <f>IF($A53="","",[1]!thsiFinD("ths_adjustment_nv_fund",R$2,$A53))</f>
        <v/>
      </c>
      <c r="S53" s="83">
        <f>IF(OR($A53="",R53="",R52=""),"",R53/R52-1)</f>
        <v/>
      </c>
      <c r="T53" s="153">
        <f>IF($A53="","",[1]!thsiFinD("ths_adjustment_nv_fund",T$2,$A53))</f>
        <v/>
      </c>
      <c r="U53" s="83">
        <f>IF(OR($A53="",T53="",T52=""),"",T53/T52-1)</f>
        <v/>
      </c>
      <c r="V53" s="153">
        <f>IF($A53="","",[1]!thsiFinD("ths_adjustment_nv_fund",V$2,$A53))</f>
        <v/>
      </c>
      <c r="W53" s="83">
        <f>IF(OR($A53="",V53="",V52=""),"",V53/V52-1)</f>
        <v/>
      </c>
      <c r="X53" s="153">
        <f>IF($A53="","",[1]!thsiFinD("ths_adjustment_nv_fund",X$2,$A53))</f>
        <v/>
      </c>
      <c r="Y53" s="83">
        <f>IF(OR($A53="",X53="",X52=""),"",X53/X52-1)</f>
        <v/>
      </c>
      <c r="Z53" s="153">
        <f>IF($A53="","",[1]!thsiFinD("ths_adjustment_nv_fund",Z$2,$A53))</f>
        <v/>
      </c>
      <c r="AA53" s="83">
        <f>IF(OR($A53="",Z53="",Z52=""),"",Z53/Z52-1)</f>
        <v/>
      </c>
      <c r="AB53" s="153">
        <f>IF($A53="","",[1]!thsiFinD("ths_adjustment_nv_fund",AB$2,$A53))</f>
        <v/>
      </c>
      <c r="AC53" s="83">
        <f>IF(OR($A53="",AB53="",AB52=""),"",AB53/AB52-1)</f>
        <v/>
      </c>
      <c r="AD53" s="153">
        <f>IF($A53="","",[1]!thsiFinD("ths_adjustment_nv_fund",AD$2,$A53))</f>
        <v/>
      </c>
      <c r="AE53" s="83">
        <f>IF(OR($A53="",AD53="",AD52=""),"",AD53/AD52-1)</f>
        <v/>
      </c>
      <c r="AF53" s="153">
        <f>IF($A53="","",[1]!thsiFinD("ths_adjustment_nv_fund",AF$2,$A53))</f>
        <v/>
      </c>
      <c r="AG53" s="83">
        <f>IF(OR($A53="",AF53="",AF52=""),"",AF53/AF52-1)</f>
        <v/>
      </c>
      <c r="AH53" s="153">
        <f>IF($A53="","",[1]!thsiFinD("ths_adjustment_nv_fund",AH$2,$A53))</f>
        <v/>
      </c>
      <c r="AI53" s="83">
        <f>IF(OR($A53="",AH53="",AH52=""),"",AH53/AH52-1)</f>
        <v/>
      </c>
      <c r="AJ53" s="153">
        <f>IF($A53="","",[1]!thsiFinD("ths_adjustment_nv_fund",AJ$2,$A53))</f>
        <v/>
      </c>
      <c r="AK53" s="83">
        <f>IF(OR($A53="",AJ53="",AJ52=""),"",AJ53/AJ52-1)</f>
        <v/>
      </c>
      <c r="AL53" s="153">
        <f>IF($A53="","",[1]!thsiFinD("ths_adjustment_nv_fund",AL$2,$A53))</f>
        <v/>
      </c>
      <c r="AM53" s="83">
        <f>IF(OR($A53="",AL53="",AL52=""),"",AL53/AL52-1)</f>
        <v/>
      </c>
      <c r="AN53" s="153">
        <f>IF($A53="","",[1]!thsiFinD("ths_adjustment_nv_fund",AN$2,$A53))</f>
        <v/>
      </c>
      <c r="AO53" s="83">
        <f>IF(OR($A53="",AN53="",AN52=""),"",AN53/AN52-1)</f>
        <v/>
      </c>
    </row>
    <row r="54">
      <c r="A54" s="152">
        <f>IF(组合净值!A53="","",组合净值!A53)</f>
        <v/>
      </c>
      <c r="B54" s="153">
        <f>IF($A54="","",[1]!thsiFinD("ths_adjustment_nv_fund",B$2,$A54))</f>
        <v/>
      </c>
      <c r="C54" s="83">
        <f>IF(OR($A54="",B54="",B53=""),"",B54/B53-1)</f>
        <v/>
      </c>
      <c r="D54" s="153">
        <f>IF($A54="","",[1]!thsiFinD("ths_adjustment_nv_fund",D$2,$A54))</f>
        <v/>
      </c>
      <c r="E54" s="83">
        <f>IF(OR($A54="",D54="",D53=""),"",D54/D53-1)</f>
        <v/>
      </c>
      <c r="F54" s="153">
        <f>IF($A54="","",[1]!thsiFinD("ths_adjustment_nv_fund",F$2,$A54))</f>
        <v/>
      </c>
      <c r="G54" s="83">
        <f>IF(OR($A54="",F54="",F53=""),"",F54/F53-1)</f>
        <v/>
      </c>
      <c r="H54" s="153">
        <f>IF($A54="","",[1]!thsiFinD("ths_adjustment_nv_fund",H$2,$A54))</f>
        <v/>
      </c>
      <c r="I54" s="83">
        <f>IF(OR($A54="",H54="",H53=""),"",H54/H53-1)</f>
        <v/>
      </c>
      <c r="J54" s="153">
        <f>IF($A54="","",[1]!thsiFinD("ths_adjustment_nv_fund",J$2,$A54))</f>
        <v/>
      </c>
      <c r="K54" s="83">
        <f>IF(OR($A54="",J54="",J53=""),"",J54/J53-1)</f>
        <v/>
      </c>
      <c r="L54" s="153">
        <f>IF($A54="","",[1]!thsiFinD("ths_adjustment_nv_fund",L$2,$A54))</f>
        <v/>
      </c>
      <c r="M54" s="83">
        <f>IF(OR($A54="",L54="",L53=""),"",L54/L53-1)</f>
        <v/>
      </c>
      <c r="N54" s="153">
        <f>IF($A54="","",[1]!thsiFinD("ths_adjustment_nv_fund",N$2,$A54))</f>
        <v/>
      </c>
      <c r="O54" s="83">
        <f>IF(OR($A54="",N54="",N53=""),"",N54/N53-1)</f>
        <v/>
      </c>
      <c r="P54" s="153">
        <f>IF($A54="","",[1]!thsiFinD("ths_adjustment_nv_fund",P$2,$A54))</f>
        <v/>
      </c>
      <c r="Q54" s="83">
        <f>IF(OR($A54="",P54="",P53=""),"",P54/P53-1)</f>
        <v/>
      </c>
      <c r="R54" s="153">
        <f>IF($A54="","",[1]!thsiFinD("ths_adjustment_nv_fund",R$2,$A54))</f>
        <v/>
      </c>
      <c r="S54" s="83">
        <f>IF(OR($A54="",R54="",R53=""),"",R54/R53-1)</f>
        <v/>
      </c>
      <c r="T54" s="153">
        <f>IF($A54="","",[1]!thsiFinD("ths_adjustment_nv_fund",T$2,$A54))</f>
        <v/>
      </c>
      <c r="U54" s="83">
        <f>IF(OR($A54="",T54="",T53=""),"",T54/T53-1)</f>
        <v/>
      </c>
      <c r="V54" s="153">
        <f>IF($A54="","",[1]!thsiFinD("ths_adjustment_nv_fund",V$2,$A54))</f>
        <v/>
      </c>
      <c r="W54" s="83">
        <f>IF(OR($A54="",V54="",V53=""),"",V54/V53-1)</f>
        <v/>
      </c>
      <c r="X54" s="153">
        <f>IF($A54="","",[1]!thsiFinD("ths_adjustment_nv_fund",X$2,$A54))</f>
        <v/>
      </c>
      <c r="Y54" s="83">
        <f>IF(OR($A54="",X54="",X53=""),"",X54/X53-1)</f>
        <v/>
      </c>
      <c r="Z54" s="153">
        <f>IF($A54="","",[1]!thsiFinD("ths_adjustment_nv_fund",Z$2,$A54))</f>
        <v/>
      </c>
      <c r="AA54" s="83">
        <f>IF(OR($A54="",Z54="",Z53=""),"",Z54/Z53-1)</f>
        <v/>
      </c>
      <c r="AB54" s="153">
        <f>IF($A54="","",[1]!thsiFinD("ths_adjustment_nv_fund",AB$2,$A54))</f>
        <v/>
      </c>
      <c r="AC54" s="83">
        <f>IF(OR($A54="",AB54="",AB53=""),"",AB54/AB53-1)</f>
        <v/>
      </c>
      <c r="AD54" s="153">
        <f>IF($A54="","",[1]!thsiFinD("ths_adjustment_nv_fund",AD$2,$A54))</f>
        <v/>
      </c>
      <c r="AE54" s="83">
        <f>IF(OR($A54="",AD54="",AD53=""),"",AD54/AD53-1)</f>
        <v/>
      </c>
      <c r="AF54" s="153">
        <f>IF($A54="","",[1]!thsiFinD("ths_adjustment_nv_fund",AF$2,$A54))</f>
        <v/>
      </c>
      <c r="AG54" s="83">
        <f>IF(OR($A54="",AF54="",AF53=""),"",AF54/AF53-1)</f>
        <v/>
      </c>
      <c r="AH54" s="153">
        <f>IF($A54="","",[1]!thsiFinD("ths_adjustment_nv_fund",AH$2,$A54))</f>
        <v/>
      </c>
      <c r="AI54" s="83">
        <f>IF(OR($A54="",AH54="",AH53=""),"",AH54/AH53-1)</f>
        <v/>
      </c>
      <c r="AJ54" s="153">
        <f>IF($A54="","",[1]!thsiFinD("ths_adjustment_nv_fund",AJ$2,$A54))</f>
        <v/>
      </c>
      <c r="AK54" s="83">
        <f>IF(OR($A54="",AJ54="",AJ53=""),"",AJ54/AJ53-1)</f>
        <v/>
      </c>
      <c r="AL54" s="153">
        <f>IF($A54="","",[1]!thsiFinD("ths_adjustment_nv_fund",AL$2,$A54))</f>
        <v/>
      </c>
      <c r="AM54" s="83">
        <f>IF(OR($A54="",AL54="",AL53=""),"",AL54/AL53-1)</f>
        <v/>
      </c>
      <c r="AN54" s="153">
        <f>IF($A54="","",[1]!thsiFinD("ths_adjustment_nv_fund",AN$2,$A54))</f>
        <v/>
      </c>
      <c r="AO54" s="83">
        <f>IF(OR($A54="",AN54="",AN53=""),"",AN54/AN53-1)</f>
        <v/>
      </c>
    </row>
    <row r="55">
      <c r="A55" s="152">
        <f>IF(组合净值!A54="","",组合净值!A54)</f>
        <v/>
      </c>
      <c r="B55" s="153">
        <f>IF($A55="","",[1]!thsiFinD("ths_adjustment_nv_fund",B$2,$A55))</f>
        <v/>
      </c>
      <c r="C55" s="83">
        <f>IF(OR($A55="",B55="",B54=""),"",B55/B54-1)</f>
        <v/>
      </c>
      <c r="D55" s="153">
        <f>IF($A55="","",[1]!thsiFinD("ths_adjustment_nv_fund",D$2,$A55))</f>
        <v/>
      </c>
      <c r="E55" s="83">
        <f>IF(OR($A55="",D55="",D54=""),"",D55/D54-1)</f>
        <v/>
      </c>
      <c r="F55" s="153">
        <f>IF($A55="","",[1]!thsiFinD("ths_adjustment_nv_fund",F$2,$A55))</f>
        <v/>
      </c>
      <c r="G55" s="83">
        <f>IF(OR($A55="",F55="",F54=""),"",F55/F54-1)</f>
        <v/>
      </c>
      <c r="H55" s="153">
        <f>IF($A55="","",[1]!thsiFinD("ths_adjustment_nv_fund",H$2,$A55))</f>
        <v/>
      </c>
      <c r="I55" s="83">
        <f>IF(OR($A55="",H55="",H54=""),"",H55/H54-1)</f>
        <v/>
      </c>
      <c r="J55" s="153">
        <f>IF($A55="","",[1]!thsiFinD("ths_adjustment_nv_fund",J$2,$A55))</f>
        <v/>
      </c>
      <c r="K55" s="83">
        <f>IF(OR($A55="",J55="",J54=""),"",J55/J54-1)</f>
        <v/>
      </c>
      <c r="L55" s="153">
        <f>IF($A55="","",[1]!thsiFinD("ths_adjustment_nv_fund",L$2,$A55))</f>
        <v/>
      </c>
      <c r="M55" s="83">
        <f>IF(OR($A55="",L55="",L54=""),"",L55/L54-1)</f>
        <v/>
      </c>
      <c r="N55" s="153">
        <f>IF($A55="","",[1]!thsiFinD("ths_adjustment_nv_fund",N$2,$A55))</f>
        <v/>
      </c>
      <c r="O55" s="83">
        <f>IF(OR($A55="",N55="",N54=""),"",N55/N54-1)</f>
        <v/>
      </c>
      <c r="P55" s="153">
        <f>IF($A55="","",[1]!thsiFinD("ths_adjustment_nv_fund",P$2,$A55))</f>
        <v/>
      </c>
      <c r="Q55" s="83">
        <f>IF(OR($A55="",P55="",P54=""),"",P55/P54-1)</f>
        <v/>
      </c>
      <c r="R55" s="153">
        <f>IF($A55="","",[1]!thsiFinD("ths_adjustment_nv_fund",R$2,$A55))</f>
        <v/>
      </c>
      <c r="S55" s="83">
        <f>IF(OR($A55="",R55="",R54=""),"",R55/R54-1)</f>
        <v/>
      </c>
      <c r="T55" s="153">
        <f>IF($A55="","",[1]!thsiFinD("ths_adjustment_nv_fund",T$2,$A55))</f>
        <v/>
      </c>
      <c r="U55" s="83">
        <f>IF(OR($A55="",T55="",T54=""),"",T55/T54-1)</f>
        <v/>
      </c>
      <c r="V55" s="153">
        <f>IF($A55="","",[1]!thsiFinD("ths_adjustment_nv_fund",V$2,$A55))</f>
        <v/>
      </c>
      <c r="W55" s="83">
        <f>IF(OR($A55="",V55="",V54=""),"",V55/V54-1)</f>
        <v/>
      </c>
      <c r="X55" s="153">
        <f>IF($A55="","",[1]!thsiFinD("ths_adjustment_nv_fund",X$2,$A55))</f>
        <v/>
      </c>
      <c r="Y55" s="83">
        <f>IF(OR($A55="",X55="",X54=""),"",X55/X54-1)</f>
        <v/>
      </c>
      <c r="Z55" s="153">
        <f>IF($A55="","",[1]!thsiFinD("ths_adjustment_nv_fund",Z$2,$A55))</f>
        <v/>
      </c>
      <c r="AA55" s="83">
        <f>IF(OR($A55="",Z55="",Z54=""),"",Z55/Z54-1)</f>
        <v/>
      </c>
      <c r="AB55" s="153">
        <f>IF($A55="","",[1]!thsiFinD("ths_adjustment_nv_fund",AB$2,$A55))</f>
        <v/>
      </c>
      <c r="AC55" s="83">
        <f>IF(OR($A55="",AB55="",AB54=""),"",AB55/AB54-1)</f>
        <v/>
      </c>
      <c r="AD55" s="153">
        <f>IF($A55="","",[1]!thsiFinD("ths_adjustment_nv_fund",AD$2,$A55))</f>
        <v/>
      </c>
      <c r="AE55" s="83">
        <f>IF(OR($A55="",AD55="",AD54=""),"",AD55/AD54-1)</f>
        <v/>
      </c>
      <c r="AF55" s="153">
        <f>IF($A55="","",[1]!thsiFinD("ths_adjustment_nv_fund",AF$2,$A55))</f>
        <v/>
      </c>
      <c r="AG55" s="83">
        <f>IF(OR($A55="",AF55="",AF54=""),"",AF55/AF54-1)</f>
        <v/>
      </c>
      <c r="AH55" s="153">
        <f>IF($A55="","",[1]!thsiFinD("ths_adjustment_nv_fund",AH$2,$A55))</f>
        <v/>
      </c>
      <c r="AI55" s="83">
        <f>IF(OR($A55="",AH55="",AH54=""),"",AH55/AH54-1)</f>
        <v/>
      </c>
      <c r="AJ55" s="153">
        <f>IF($A55="","",[1]!thsiFinD("ths_adjustment_nv_fund",AJ$2,$A55))</f>
        <v/>
      </c>
      <c r="AK55" s="83">
        <f>IF(OR($A55="",AJ55="",AJ54=""),"",AJ55/AJ54-1)</f>
        <v/>
      </c>
      <c r="AL55" s="153">
        <f>IF($A55="","",[1]!thsiFinD("ths_adjustment_nv_fund",AL$2,$A55))</f>
        <v/>
      </c>
      <c r="AM55" s="83">
        <f>IF(OR($A55="",AL55="",AL54=""),"",AL55/AL54-1)</f>
        <v/>
      </c>
      <c r="AN55" s="153">
        <f>IF($A55="","",[1]!thsiFinD("ths_adjustment_nv_fund",AN$2,$A55))</f>
        <v/>
      </c>
      <c r="AO55" s="83">
        <f>IF(OR($A55="",AN55="",AN54=""),"",AN55/AN54-1)</f>
        <v/>
      </c>
    </row>
    <row r="56">
      <c r="A56" s="152">
        <f>IF(组合净值!A55="","",组合净值!A55)</f>
        <v/>
      </c>
      <c r="B56" s="153">
        <f>IF($A56="","",[1]!thsiFinD("ths_adjustment_nv_fund",B$2,$A56))</f>
        <v/>
      </c>
      <c r="C56" s="83">
        <f>IF(OR($A56="",B56="",B55=""),"",B56/B55-1)</f>
        <v/>
      </c>
      <c r="D56" s="153">
        <f>IF($A56="","",[1]!thsiFinD("ths_adjustment_nv_fund",D$2,$A56))</f>
        <v/>
      </c>
      <c r="E56" s="83">
        <f>IF(OR($A56="",D56="",D55=""),"",D56/D55-1)</f>
        <v/>
      </c>
      <c r="F56" s="153">
        <f>IF($A56="","",[1]!thsiFinD("ths_adjustment_nv_fund",F$2,$A56))</f>
        <v/>
      </c>
      <c r="G56" s="83">
        <f>IF(OR($A56="",F56="",F55=""),"",F56/F55-1)</f>
        <v/>
      </c>
      <c r="H56" s="153">
        <f>IF($A56="","",[1]!thsiFinD("ths_adjustment_nv_fund",H$2,$A56))</f>
        <v/>
      </c>
      <c r="I56" s="83">
        <f>IF(OR($A56="",H56="",H55=""),"",H56/H55-1)</f>
        <v/>
      </c>
      <c r="J56" s="153">
        <f>IF($A56="","",[1]!thsiFinD("ths_adjustment_nv_fund",J$2,$A56))</f>
        <v/>
      </c>
      <c r="K56" s="83">
        <f>IF(OR($A56="",J56="",J55=""),"",J56/J55-1)</f>
        <v/>
      </c>
      <c r="L56" s="153">
        <f>IF($A56="","",[1]!thsiFinD("ths_adjustment_nv_fund",L$2,$A56))</f>
        <v/>
      </c>
      <c r="M56" s="83">
        <f>IF(OR($A56="",L56="",L55=""),"",L56/L55-1)</f>
        <v/>
      </c>
      <c r="N56" s="153">
        <f>IF($A56="","",[1]!thsiFinD("ths_adjustment_nv_fund",N$2,$A56))</f>
        <v/>
      </c>
      <c r="O56" s="83">
        <f>IF(OR($A56="",N56="",N55=""),"",N56/N55-1)</f>
        <v/>
      </c>
      <c r="P56" s="153">
        <f>IF($A56="","",[1]!thsiFinD("ths_adjustment_nv_fund",P$2,$A56))</f>
        <v/>
      </c>
      <c r="Q56" s="83">
        <f>IF(OR($A56="",P56="",P55=""),"",P56/P55-1)</f>
        <v/>
      </c>
      <c r="R56" s="153">
        <f>IF($A56="","",[1]!thsiFinD("ths_adjustment_nv_fund",R$2,$A56))</f>
        <v/>
      </c>
      <c r="S56" s="83">
        <f>IF(OR($A56="",R56="",R55=""),"",R56/R55-1)</f>
        <v/>
      </c>
      <c r="T56" s="153">
        <f>IF($A56="","",[1]!thsiFinD("ths_adjustment_nv_fund",T$2,$A56))</f>
        <v/>
      </c>
      <c r="U56" s="83">
        <f>IF(OR($A56="",T56="",T55=""),"",T56/T55-1)</f>
        <v/>
      </c>
      <c r="V56" s="153">
        <f>IF($A56="","",[1]!thsiFinD("ths_adjustment_nv_fund",V$2,$A56))</f>
        <v/>
      </c>
      <c r="W56" s="83">
        <f>IF(OR($A56="",V56="",V55=""),"",V56/V55-1)</f>
        <v/>
      </c>
      <c r="X56" s="153">
        <f>IF($A56="","",[1]!thsiFinD("ths_adjustment_nv_fund",X$2,$A56))</f>
        <v/>
      </c>
      <c r="Y56" s="83">
        <f>IF(OR($A56="",X56="",X55=""),"",X56/X55-1)</f>
        <v/>
      </c>
      <c r="Z56" s="153">
        <f>IF($A56="","",[1]!thsiFinD("ths_adjustment_nv_fund",Z$2,$A56))</f>
        <v/>
      </c>
      <c r="AA56" s="83">
        <f>IF(OR($A56="",Z56="",Z55=""),"",Z56/Z55-1)</f>
        <v/>
      </c>
      <c r="AB56" s="153">
        <f>IF($A56="","",[1]!thsiFinD("ths_adjustment_nv_fund",AB$2,$A56))</f>
        <v/>
      </c>
      <c r="AC56" s="83">
        <f>IF(OR($A56="",AB56="",AB55=""),"",AB56/AB55-1)</f>
        <v/>
      </c>
      <c r="AD56" s="153">
        <f>IF($A56="","",[1]!thsiFinD("ths_adjustment_nv_fund",AD$2,$A56))</f>
        <v/>
      </c>
      <c r="AE56" s="83">
        <f>IF(OR($A56="",AD56="",AD55=""),"",AD56/AD55-1)</f>
        <v/>
      </c>
      <c r="AF56" s="153">
        <f>IF($A56="","",[1]!thsiFinD("ths_adjustment_nv_fund",AF$2,$A56))</f>
        <v/>
      </c>
      <c r="AG56" s="83">
        <f>IF(OR($A56="",AF56="",AF55=""),"",AF56/AF55-1)</f>
        <v/>
      </c>
      <c r="AH56" s="153">
        <f>IF($A56="","",[1]!thsiFinD("ths_adjustment_nv_fund",AH$2,$A56))</f>
        <v/>
      </c>
      <c r="AI56" s="83">
        <f>IF(OR($A56="",AH56="",AH55=""),"",AH56/AH55-1)</f>
        <v/>
      </c>
      <c r="AJ56" s="153">
        <f>IF($A56="","",[1]!thsiFinD("ths_adjustment_nv_fund",AJ$2,$A56))</f>
        <v/>
      </c>
      <c r="AK56" s="83">
        <f>IF(OR($A56="",AJ56="",AJ55=""),"",AJ56/AJ55-1)</f>
        <v/>
      </c>
      <c r="AL56" s="153">
        <f>IF($A56="","",[1]!thsiFinD("ths_adjustment_nv_fund",AL$2,$A56))</f>
        <v/>
      </c>
      <c r="AM56" s="83">
        <f>IF(OR($A56="",AL56="",AL55=""),"",AL56/AL55-1)</f>
        <v/>
      </c>
      <c r="AN56" s="153">
        <f>IF($A56="","",[1]!thsiFinD("ths_adjustment_nv_fund",AN$2,$A56))</f>
        <v/>
      </c>
      <c r="AO56" s="83">
        <f>IF(OR($A56="",AN56="",AN55=""),"",AN56/AN55-1)</f>
        <v/>
      </c>
    </row>
    <row r="57">
      <c r="A57" s="152">
        <f>IF(组合净值!A56="","",组合净值!A56)</f>
        <v/>
      </c>
      <c r="B57" s="153">
        <f>IF($A57="","",[1]!thsiFinD("ths_adjustment_nv_fund",B$2,$A57))</f>
        <v/>
      </c>
      <c r="C57" s="83">
        <f>IF(OR($A57="",B57="",B56=""),"",B57/B56-1)</f>
        <v/>
      </c>
      <c r="D57" s="153">
        <f>IF($A57="","",[1]!thsiFinD("ths_adjustment_nv_fund",D$2,$A57))</f>
        <v/>
      </c>
      <c r="E57" s="83">
        <f>IF(OR($A57="",D57="",D56=""),"",D57/D56-1)</f>
        <v/>
      </c>
      <c r="F57" s="153">
        <f>IF($A57="","",[1]!thsiFinD("ths_adjustment_nv_fund",F$2,$A57))</f>
        <v/>
      </c>
      <c r="G57" s="83">
        <f>IF(OR($A57="",F57="",F56=""),"",F57/F56-1)</f>
        <v/>
      </c>
      <c r="H57" s="153">
        <f>IF($A57="","",[1]!thsiFinD("ths_adjustment_nv_fund",H$2,$A57))</f>
        <v/>
      </c>
      <c r="I57" s="83">
        <f>IF(OR($A57="",H57="",H56=""),"",H57/H56-1)</f>
        <v/>
      </c>
      <c r="J57" s="153">
        <f>IF($A57="","",[1]!thsiFinD("ths_adjustment_nv_fund",J$2,$A57))</f>
        <v/>
      </c>
      <c r="K57" s="83">
        <f>IF(OR($A57="",J57="",J56=""),"",J57/J56-1)</f>
        <v/>
      </c>
      <c r="L57" s="153">
        <f>IF($A57="","",[1]!thsiFinD("ths_adjustment_nv_fund",L$2,$A57))</f>
        <v/>
      </c>
      <c r="M57" s="83">
        <f>IF(OR($A57="",L57="",L56=""),"",L57/L56-1)</f>
        <v/>
      </c>
      <c r="N57" s="153">
        <f>IF($A57="","",[1]!thsiFinD("ths_adjustment_nv_fund",N$2,$A57))</f>
        <v/>
      </c>
      <c r="O57" s="83">
        <f>IF(OR($A57="",N57="",N56=""),"",N57/N56-1)</f>
        <v/>
      </c>
      <c r="P57" s="153">
        <f>IF($A57="","",[1]!thsiFinD("ths_adjustment_nv_fund",P$2,$A57))</f>
        <v/>
      </c>
      <c r="Q57" s="83">
        <f>IF(OR($A57="",P57="",P56=""),"",P57/P56-1)</f>
        <v/>
      </c>
      <c r="R57" s="153">
        <f>IF($A57="","",[1]!thsiFinD("ths_adjustment_nv_fund",R$2,$A57))</f>
        <v/>
      </c>
      <c r="S57" s="83">
        <f>IF(OR($A57="",R57="",R56=""),"",R57/R56-1)</f>
        <v/>
      </c>
      <c r="T57" s="153">
        <f>IF($A57="","",[1]!thsiFinD("ths_adjustment_nv_fund",T$2,$A57))</f>
        <v/>
      </c>
      <c r="U57" s="83">
        <f>IF(OR($A57="",T57="",T56=""),"",T57/T56-1)</f>
        <v/>
      </c>
      <c r="V57" s="153">
        <f>IF($A57="","",[1]!thsiFinD("ths_adjustment_nv_fund",V$2,$A57))</f>
        <v/>
      </c>
      <c r="W57" s="83">
        <f>IF(OR($A57="",V57="",V56=""),"",V57/V56-1)</f>
        <v/>
      </c>
      <c r="X57" s="153">
        <f>IF($A57="","",[1]!thsiFinD("ths_adjustment_nv_fund",X$2,$A57))</f>
        <v/>
      </c>
      <c r="Y57" s="83">
        <f>IF(OR($A57="",X57="",X56=""),"",X57/X56-1)</f>
        <v/>
      </c>
      <c r="Z57" s="153">
        <f>IF($A57="","",[1]!thsiFinD("ths_adjustment_nv_fund",Z$2,$A57))</f>
        <v/>
      </c>
      <c r="AA57" s="83">
        <f>IF(OR($A57="",Z57="",Z56=""),"",Z57/Z56-1)</f>
        <v/>
      </c>
      <c r="AB57" s="153">
        <f>IF($A57="","",[1]!thsiFinD("ths_adjustment_nv_fund",AB$2,$A57))</f>
        <v/>
      </c>
      <c r="AC57" s="83">
        <f>IF(OR($A57="",AB57="",AB56=""),"",AB57/AB56-1)</f>
        <v/>
      </c>
      <c r="AD57" s="153">
        <f>IF($A57="","",[1]!thsiFinD("ths_adjustment_nv_fund",AD$2,$A57))</f>
        <v/>
      </c>
      <c r="AE57" s="83">
        <f>IF(OR($A57="",AD57="",AD56=""),"",AD57/AD56-1)</f>
        <v/>
      </c>
      <c r="AF57" s="153">
        <f>IF($A57="","",[1]!thsiFinD("ths_adjustment_nv_fund",AF$2,$A57))</f>
        <v/>
      </c>
      <c r="AG57" s="83">
        <f>IF(OR($A57="",AF57="",AF56=""),"",AF57/AF56-1)</f>
        <v/>
      </c>
      <c r="AH57" s="153">
        <f>IF($A57="","",[1]!thsiFinD("ths_adjustment_nv_fund",AH$2,$A57))</f>
        <v/>
      </c>
      <c r="AI57" s="83">
        <f>IF(OR($A57="",AH57="",AH56=""),"",AH57/AH56-1)</f>
        <v/>
      </c>
      <c r="AJ57" s="153">
        <f>IF($A57="","",[1]!thsiFinD("ths_adjustment_nv_fund",AJ$2,$A57))</f>
        <v/>
      </c>
      <c r="AK57" s="83">
        <f>IF(OR($A57="",AJ57="",AJ56=""),"",AJ57/AJ56-1)</f>
        <v/>
      </c>
      <c r="AL57" s="153">
        <f>IF($A57="","",[1]!thsiFinD("ths_adjustment_nv_fund",AL$2,$A57))</f>
        <v/>
      </c>
      <c r="AM57" s="83">
        <f>IF(OR($A57="",AL57="",AL56=""),"",AL57/AL56-1)</f>
        <v/>
      </c>
      <c r="AN57" s="153">
        <f>IF($A57="","",[1]!thsiFinD("ths_adjustment_nv_fund",AN$2,$A57))</f>
        <v/>
      </c>
      <c r="AO57" s="83">
        <f>IF(OR($A57="",AN57="",AN56=""),"",AN57/AN56-1)</f>
        <v/>
      </c>
    </row>
    <row r="58">
      <c r="A58" s="152">
        <f>IF(组合净值!A57="","",组合净值!A57)</f>
        <v/>
      </c>
      <c r="B58" s="153">
        <f>IF($A58="","",[1]!thsiFinD("ths_adjustment_nv_fund",B$2,$A58))</f>
        <v/>
      </c>
      <c r="C58" s="83">
        <f>IF(OR($A58="",B58="",B57=""),"",B58/B57-1)</f>
        <v/>
      </c>
      <c r="D58" s="153">
        <f>IF($A58="","",[1]!thsiFinD("ths_adjustment_nv_fund",D$2,$A58))</f>
        <v/>
      </c>
      <c r="E58" s="83">
        <f>IF(OR($A58="",D58="",D57=""),"",D58/D57-1)</f>
        <v/>
      </c>
      <c r="F58" s="153">
        <f>IF($A58="","",[1]!thsiFinD("ths_adjustment_nv_fund",F$2,$A58))</f>
        <v/>
      </c>
      <c r="G58" s="83">
        <f>IF(OR($A58="",F58="",F57=""),"",F58/F57-1)</f>
        <v/>
      </c>
      <c r="H58" s="153">
        <f>IF($A58="","",[1]!thsiFinD("ths_adjustment_nv_fund",H$2,$A58))</f>
        <v/>
      </c>
      <c r="I58" s="83">
        <f>IF(OR($A58="",H58="",H57=""),"",H58/H57-1)</f>
        <v/>
      </c>
      <c r="J58" s="153">
        <f>IF($A58="","",[1]!thsiFinD("ths_adjustment_nv_fund",J$2,$A58))</f>
        <v/>
      </c>
      <c r="K58" s="83">
        <f>IF(OR($A58="",J58="",J57=""),"",J58/J57-1)</f>
        <v/>
      </c>
      <c r="L58" s="153">
        <f>IF($A58="","",[1]!thsiFinD("ths_adjustment_nv_fund",L$2,$A58))</f>
        <v/>
      </c>
      <c r="M58" s="83">
        <f>IF(OR($A58="",L58="",L57=""),"",L58/L57-1)</f>
        <v/>
      </c>
      <c r="N58" s="153">
        <f>IF($A58="","",[1]!thsiFinD("ths_adjustment_nv_fund",N$2,$A58))</f>
        <v/>
      </c>
      <c r="O58" s="83">
        <f>IF(OR($A58="",N58="",N57=""),"",N58/N57-1)</f>
        <v/>
      </c>
      <c r="P58" s="153">
        <f>IF($A58="","",[1]!thsiFinD("ths_adjustment_nv_fund",P$2,$A58))</f>
        <v/>
      </c>
      <c r="Q58" s="83">
        <f>IF(OR($A58="",P58="",P57=""),"",P58/P57-1)</f>
        <v/>
      </c>
      <c r="R58" s="153">
        <f>IF($A58="","",[1]!thsiFinD("ths_adjustment_nv_fund",R$2,$A58))</f>
        <v/>
      </c>
      <c r="S58" s="83">
        <f>IF(OR($A58="",R58="",R57=""),"",R58/R57-1)</f>
        <v/>
      </c>
      <c r="T58" s="153">
        <f>IF($A58="","",[1]!thsiFinD("ths_adjustment_nv_fund",T$2,$A58))</f>
        <v/>
      </c>
      <c r="U58" s="83">
        <f>IF(OR($A58="",T58="",T57=""),"",T58/T57-1)</f>
        <v/>
      </c>
      <c r="V58" s="153">
        <f>IF($A58="","",[1]!thsiFinD("ths_adjustment_nv_fund",V$2,$A58))</f>
        <v/>
      </c>
      <c r="W58" s="83">
        <f>IF(OR($A58="",V58="",V57=""),"",V58/V57-1)</f>
        <v/>
      </c>
      <c r="X58" s="153">
        <f>IF($A58="","",[1]!thsiFinD("ths_adjustment_nv_fund",X$2,$A58))</f>
        <v/>
      </c>
      <c r="Y58" s="83">
        <f>IF(OR($A58="",X58="",X57=""),"",X58/X57-1)</f>
        <v/>
      </c>
      <c r="Z58" s="153">
        <f>IF($A58="","",[1]!thsiFinD("ths_adjustment_nv_fund",Z$2,$A58))</f>
        <v/>
      </c>
      <c r="AA58" s="83">
        <f>IF(OR($A58="",Z58="",Z57=""),"",Z58/Z57-1)</f>
        <v/>
      </c>
      <c r="AB58" s="153">
        <f>IF($A58="","",[1]!thsiFinD("ths_adjustment_nv_fund",AB$2,$A58))</f>
        <v/>
      </c>
      <c r="AC58" s="83">
        <f>IF(OR($A58="",AB58="",AB57=""),"",AB58/AB57-1)</f>
        <v/>
      </c>
      <c r="AD58" s="153">
        <f>IF($A58="","",[1]!thsiFinD("ths_adjustment_nv_fund",AD$2,$A58))</f>
        <v/>
      </c>
      <c r="AE58" s="83">
        <f>IF(OR($A58="",AD58="",AD57=""),"",AD58/AD57-1)</f>
        <v/>
      </c>
      <c r="AF58" s="153">
        <f>IF($A58="","",[1]!thsiFinD("ths_adjustment_nv_fund",AF$2,$A58))</f>
        <v/>
      </c>
      <c r="AG58" s="83">
        <f>IF(OR($A58="",AF58="",AF57=""),"",AF58/AF57-1)</f>
        <v/>
      </c>
      <c r="AH58" s="153">
        <f>IF($A58="","",[1]!thsiFinD("ths_adjustment_nv_fund",AH$2,$A58))</f>
        <v/>
      </c>
      <c r="AI58" s="83">
        <f>IF(OR($A58="",AH58="",AH57=""),"",AH58/AH57-1)</f>
        <v/>
      </c>
      <c r="AJ58" s="153">
        <f>IF($A58="","",[1]!thsiFinD("ths_adjustment_nv_fund",AJ$2,$A58))</f>
        <v/>
      </c>
      <c r="AK58" s="83">
        <f>IF(OR($A58="",AJ58="",AJ57=""),"",AJ58/AJ57-1)</f>
        <v/>
      </c>
      <c r="AL58" s="153">
        <f>IF($A58="","",[1]!thsiFinD("ths_adjustment_nv_fund",AL$2,$A58))</f>
        <v/>
      </c>
      <c r="AM58" s="83">
        <f>IF(OR($A58="",AL58="",AL57=""),"",AL58/AL57-1)</f>
        <v/>
      </c>
      <c r="AN58" s="153">
        <f>IF($A58="","",[1]!thsiFinD("ths_adjustment_nv_fund",AN$2,$A58))</f>
        <v/>
      </c>
      <c r="AO58" s="83">
        <f>IF(OR($A58="",AN58="",AN57=""),"",AN58/AN57-1)</f>
        <v/>
      </c>
    </row>
    <row r="59">
      <c r="A59" s="152">
        <f>IF(组合净值!A58="","",组合净值!A58)</f>
        <v/>
      </c>
      <c r="B59" s="153">
        <f>IF($A59="","",[1]!thsiFinD("ths_adjustment_nv_fund",B$2,$A59))</f>
        <v/>
      </c>
      <c r="C59" s="83">
        <f>IF(OR($A59="",B59="",B58=""),"",B59/B58-1)</f>
        <v/>
      </c>
      <c r="D59" s="153">
        <f>IF($A59="","",[1]!thsiFinD("ths_adjustment_nv_fund",D$2,$A59))</f>
        <v/>
      </c>
      <c r="E59" s="83">
        <f>IF(OR($A59="",D59="",D58=""),"",D59/D58-1)</f>
        <v/>
      </c>
      <c r="F59" s="153">
        <f>IF($A59="","",[1]!thsiFinD("ths_adjustment_nv_fund",F$2,$A59))</f>
        <v/>
      </c>
      <c r="G59" s="83">
        <f>IF(OR($A59="",F59="",F58=""),"",F59/F58-1)</f>
        <v/>
      </c>
      <c r="H59" s="153">
        <f>IF($A59="","",[1]!thsiFinD("ths_adjustment_nv_fund",H$2,$A59))</f>
        <v/>
      </c>
      <c r="I59" s="83">
        <f>IF(OR($A59="",H59="",H58=""),"",H59/H58-1)</f>
        <v/>
      </c>
      <c r="J59" s="153">
        <f>IF($A59="","",[1]!thsiFinD("ths_adjustment_nv_fund",J$2,$A59))</f>
        <v/>
      </c>
      <c r="K59" s="83">
        <f>IF(OR($A59="",J59="",J58=""),"",J59/J58-1)</f>
        <v/>
      </c>
      <c r="L59" s="153">
        <f>IF($A59="","",[1]!thsiFinD("ths_adjustment_nv_fund",L$2,$A59))</f>
        <v/>
      </c>
      <c r="M59" s="83">
        <f>IF(OR($A59="",L59="",L58=""),"",L59/L58-1)</f>
        <v/>
      </c>
      <c r="N59" s="153">
        <f>IF($A59="","",[1]!thsiFinD("ths_adjustment_nv_fund",N$2,$A59))</f>
        <v/>
      </c>
      <c r="O59" s="83">
        <f>IF(OR($A59="",N59="",N58=""),"",N59/N58-1)</f>
        <v/>
      </c>
      <c r="P59" s="153">
        <f>IF($A59="","",[1]!thsiFinD("ths_adjustment_nv_fund",P$2,$A59))</f>
        <v/>
      </c>
      <c r="Q59" s="83">
        <f>IF(OR($A59="",P59="",P58=""),"",P59/P58-1)</f>
        <v/>
      </c>
      <c r="R59" s="153">
        <f>IF($A59="","",[1]!thsiFinD("ths_adjustment_nv_fund",R$2,$A59))</f>
        <v/>
      </c>
      <c r="S59" s="83">
        <f>IF(OR($A59="",R59="",R58=""),"",R59/R58-1)</f>
        <v/>
      </c>
      <c r="T59" s="153">
        <f>IF($A59="","",[1]!thsiFinD("ths_adjustment_nv_fund",T$2,$A59))</f>
        <v/>
      </c>
      <c r="U59" s="83">
        <f>IF(OR($A59="",T59="",T58=""),"",T59/T58-1)</f>
        <v/>
      </c>
      <c r="V59" s="153">
        <f>IF($A59="","",[1]!thsiFinD("ths_adjustment_nv_fund",V$2,$A59))</f>
        <v/>
      </c>
      <c r="W59" s="83">
        <f>IF(OR($A59="",V59="",V58=""),"",V59/V58-1)</f>
        <v/>
      </c>
      <c r="X59" s="153">
        <f>IF($A59="","",[1]!thsiFinD("ths_adjustment_nv_fund",X$2,$A59))</f>
        <v/>
      </c>
      <c r="Y59" s="83">
        <f>IF(OR($A59="",X59="",X58=""),"",X59/X58-1)</f>
        <v/>
      </c>
      <c r="Z59" s="153">
        <f>IF($A59="","",[1]!thsiFinD("ths_adjustment_nv_fund",Z$2,$A59))</f>
        <v/>
      </c>
      <c r="AA59" s="83">
        <f>IF(OR($A59="",Z59="",Z58=""),"",Z59/Z58-1)</f>
        <v/>
      </c>
      <c r="AB59" s="153">
        <f>IF($A59="","",[1]!thsiFinD("ths_adjustment_nv_fund",AB$2,$A59))</f>
        <v/>
      </c>
      <c r="AC59" s="83">
        <f>IF(OR($A59="",AB59="",AB58=""),"",AB59/AB58-1)</f>
        <v/>
      </c>
      <c r="AD59" s="153">
        <f>IF($A59="","",[1]!thsiFinD("ths_adjustment_nv_fund",AD$2,$A59))</f>
        <v/>
      </c>
      <c r="AE59" s="83">
        <f>IF(OR($A59="",AD59="",AD58=""),"",AD59/AD58-1)</f>
        <v/>
      </c>
      <c r="AF59" s="153">
        <f>IF($A59="","",[1]!thsiFinD("ths_adjustment_nv_fund",AF$2,$A59))</f>
        <v/>
      </c>
      <c r="AG59" s="83">
        <f>IF(OR($A59="",AF59="",AF58=""),"",AF59/AF58-1)</f>
        <v/>
      </c>
      <c r="AH59" s="153">
        <f>IF($A59="","",[1]!thsiFinD("ths_adjustment_nv_fund",AH$2,$A59))</f>
        <v/>
      </c>
      <c r="AI59" s="83">
        <f>IF(OR($A59="",AH59="",AH58=""),"",AH59/AH58-1)</f>
        <v/>
      </c>
      <c r="AJ59" s="153">
        <f>IF($A59="","",[1]!thsiFinD("ths_adjustment_nv_fund",AJ$2,$A59))</f>
        <v/>
      </c>
      <c r="AK59" s="83">
        <f>IF(OR($A59="",AJ59="",AJ58=""),"",AJ59/AJ58-1)</f>
        <v/>
      </c>
      <c r="AL59" s="153">
        <f>IF($A59="","",[1]!thsiFinD("ths_adjustment_nv_fund",AL$2,$A59))</f>
        <v/>
      </c>
      <c r="AM59" s="83">
        <f>IF(OR($A59="",AL59="",AL58=""),"",AL59/AL58-1)</f>
        <v/>
      </c>
      <c r="AN59" s="153">
        <f>IF($A59="","",[1]!thsiFinD("ths_adjustment_nv_fund",AN$2,$A59))</f>
        <v/>
      </c>
      <c r="AO59" s="83">
        <f>IF(OR($A59="",AN59="",AN58=""),"",AN59/AN58-1)</f>
        <v/>
      </c>
    </row>
    <row r="60">
      <c r="A60" s="152">
        <f>IF(组合净值!A59="","",组合净值!A59)</f>
        <v/>
      </c>
      <c r="B60" s="153">
        <f>IF($A60="","",[1]!thsiFinD("ths_adjustment_nv_fund",B$2,$A60))</f>
        <v/>
      </c>
      <c r="C60" s="83">
        <f>IF(OR($A60="",B60="",B59=""),"",B60/B59-1)</f>
        <v/>
      </c>
      <c r="D60" s="153">
        <f>IF($A60="","",[1]!thsiFinD("ths_adjustment_nv_fund",D$2,$A60))</f>
        <v/>
      </c>
      <c r="E60" s="83">
        <f>IF(OR($A60="",D60="",D59=""),"",D60/D59-1)</f>
        <v/>
      </c>
      <c r="F60" s="153">
        <f>IF($A60="","",[1]!thsiFinD("ths_adjustment_nv_fund",F$2,$A60))</f>
        <v/>
      </c>
      <c r="G60" s="83">
        <f>IF(OR($A60="",F60="",F59=""),"",F60/F59-1)</f>
        <v/>
      </c>
      <c r="H60" s="153">
        <f>IF($A60="","",[1]!thsiFinD("ths_adjustment_nv_fund",H$2,$A60))</f>
        <v/>
      </c>
      <c r="I60" s="83">
        <f>IF(OR($A60="",H60="",H59=""),"",H60/H59-1)</f>
        <v/>
      </c>
      <c r="J60" s="153">
        <f>IF($A60="","",[1]!thsiFinD("ths_adjustment_nv_fund",J$2,$A60))</f>
        <v/>
      </c>
      <c r="K60" s="83">
        <f>IF(OR($A60="",J60="",J59=""),"",J60/J59-1)</f>
        <v/>
      </c>
      <c r="L60" s="153">
        <f>IF($A60="","",[1]!thsiFinD("ths_adjustment_nv_fund",L$2,$A60))</f>
        <v/>
      </c>
      <c r="M60" s="83">
        <f>IF(OR($A60="",L60="",L59=""),"",L60/L59-1)</f>
        <v/>
      </c>
      <c r="N60" s="153">
        <f>IF($A60="","",[1]!thsiFinD("ths_adjustment_nv_fund",N$2,$A60))</f>
        <v/>
      </c>
      <c r="O60" s="83">
        <f>IF(OR($A60="",N60="",N59=""),"",N60/N59-1)</f>
        <v/>
      </c>
      <c r="P60" s="153">
        <f>IF($A60="","",[1]!thsiFinD("ths_adjustment_nv_fund",P$2,$A60))</f>
        <v/>
      </c>
      <c r="Q60" s="83">
        <f>IF(OR($A60="",P60="",P59=""),"",P60/P59-1)</f>
        <v/>
      </c>
      <c r="R60" s="153">
        <f>IF($A60="","",[1]!thsiFinD("ths_adjustment_nv_fund",R$2,$A60))</f>
        <v/>
      </c>
      <c r="S60" s="83">
        <f>IF(OR($A60="",R60="",R59=""),"",R60/R59-1)</f>
        <v/>
      </c>
      <c r="T60" s="153">
        <f>IF($A60="","",[1]!thsiFinD("ths_adjustment_nv_fund",T$2,$A60))</f>
        <v/>
      </c>
      <c r="U60" s="83">
        <f>IF(OR($A60="",T60="",T59=""),"",T60/T59-1)</f>
        <v/>
      </c>
      <c r="V60" s="153">
        <f>IF($A60="","",[1]!thsiFinD("ths_adjustment_nv_fund",V$2,$A60))</f>
        <v/>
      </c>
      <c r="W60" s="83">
        <f>IF(OR($A60="",V60="",V59=""),"",V60/V59-1)</f>
        <v/>
      </c>
      <c r="X60" s="153">
        <f>IF($A60="","",[1]!thsiFinD("ths_adjustment_nv_fund",X$2,$A60))</f>
        <v/>
      </c>
      <c r="Y60" s="83">
        <f>IF(OR($A60="",X60="",X59=""),"",X60/X59-1)</f>
        <v/>
      </c>
      <c r="Z60" s="153">
        <f>IF($A60="","",[1]!thsiFinD("ths_adjustment_nv_fund",Z$2,$A60))</f>
        <v/>
      </c>
      <c r="AA60" s="83">
        <f>IF(OR($A60="",Z60="",Z59=""),"",Z60/Z59-1)</f>
        <v/>
      </c>
      <c r="AB60" s="153">
        <f>IF($A60="","",[1]!thsiFinD("ths_adjustment_nv_fund",AB$2,$A60))</f>
        <v/>
      </c>
      <c r="AC60" s="83">
        <f>IF(OR($A60="",AB60="",AB59=""),"",AB60/AB59-1)</f>
        <v/>
      </c>
      <c r="AD60" s="153">
        <f>IF($A60="","",[1]!thsiFinD("ths_adjustment_nv_fund",AD$2,$A60))</f>
        <v/>
      </c>
      <c r="AE60" s="83">
        <f>IF(OR($A60="",AD60="",AD59=""),"",AD60/AD59-1)</f>
        <v/>
      </c>
      <c r="AF60" s="153">
        <f>IF($A60="","",[1]!thsiFinD("ths_adjustment_nv_fund",AF$2,$A60))</f>
        <v/>
      </c>
      <c r="AG60" s="83">
        <f>IF(OR($A60="",AF60="",AF59=""),"",AF60/AF59-1)</f>
        <v/>
      </c>
      <c r="AH60" s="153">
        <f>IF($A60="","",[1]!thsiFinD("ths_adjustment_nv_fund",AH$2,$A60))</f>
        <v/>
      </c>
      <c r="AI60" s="83">
        <f>IF(OR($A60="",AH60="",AH59=""),"",AH60/AH59-1)</f>
        <v/>
      </c>
      <c r="AJ60" s="153">
        <f>IF($A60="","",[1]!thsiFinD("ths_adjustment_nv_fund",AJ$2,$A60))</f>
        <v/>
      </c>
      <c r="AK60" s="83">
        <f>IF(OR($A60="",AJ60="",AJ59=""),"",AJ60/AJ59-1)</f>
        <v/>
      </c>
      <c r="AL60" s="153">
        <f>IF($A60="","",[1]!thsiFinD("ths_adjustment_nv_fund",AL$2,$A60))</f>
        <v/>
      </c>
      <c r="AM60" s="83">
        <f>IF(OR($A60="",AL60="",AL59=""),"",AL60/AL59-1)</f>
        <v/>
      </c>
      <c r="AN60" s="153">
        <f>IF($A60="","",[1]!thsiFinD("ths_adjustment_nv_fund",AN$2,$A60))</f>
        <v/>
      </c>
      <c r="AO60" s="83">
        <f>IF(OR($A60="",AN60="",AN59=""),"",AN60/AN59-1)</f>
        <v/>
      </c>
    </row>
    <row r="61">
      <c r="A61" s="152">
        <f>IF(组合净值!A60="","",组合净值!A60)</f>
        <v/>
      </c>
      <c r="B61" s="153">
        <f>IF($A61="","",[1]!thsiFinD("ths_adjustment_nv_fund",B$2,$A61))</f>
        <v/>
      </c>
      <c r="C61" s="83">
        <f>IF(OR($A61="",B61="",B60=""),"",B61/B60-1)</f>
        <v/>
      </c>
      <c r="D61" s="153">
        <f>IF($A61="","",[1]!thsiFinD("ths_adjustment_nv_fund",D$2,$A61))</f>
        <v/>
      </c>
      <c r="E61" s="83">
        <f>IF(OR($A61="",D61="",D60=""),"",D61/D60-1)</f>
        <v/>
      </c>
      <c r="F61" s="153">
        <f>IF($A61="","",[1]!thsiFinD("ths_adjustment_nv_fund",F$2,$A61))</f>
        <v/>
      </c>
      <c r="G61" s="83">
        <f>IF(OR($A61="",F61="",F60=""),"",F61/F60-1)</f>
        <v/>
      </c>
      <c r="H61" s="153">
        <f>IF($A61="","",[1]!thsiFinD("ths_adjustment_nv_fund",H$2,$A61))</f>
        <v/>
      </c>
      <c r="I61" s="83">
        <f>IF(OR($A61="",H61="",H60=""),"",H61/H60-1)</f>
        <v/>
      </c>
      <c r="J61" s="153">
        <f>IF($A61="","",[1]!thsiFinD("ths_adjustment_nv_fund",J$2,$A61))</f>
        <v/>
      </c>
      <c r="K61" s="83">
        <f>IF(OR($A61="",J61="",J60=""),"",J61/J60-1)</f>
        <v/>
      </c>
      <c r="L61" s="153">
        <f>IF($A61="","",[1]!thsiFinD("ths_adjustment_nv_fund",L$2,$A61))</f>
        <v/>
      </c>
      <c r="M61" s="83">
        <f>IF(OR($A61="",L61="",L60=""),"",L61/L60-1)</f>
        <v/>
      </c>
      <c r="N61" s="153">
        <f>IF($A61="","",[1]!thsiFinD("ths_adjustment_nv_fund",N$2,$A61))</f>
        <v/>
      </c>
      <c r="O61" s="83">
        <f>IF(OR($A61="",N61="",N60=""),"",N61/N60-1)</f>
        <v/>
      </c>
      <c r="P61" s="153">
        <f>IF($A61="","",[1]!thsiFinD("ths_adjustment_nv_fund",P$2,$A61))</f>
        <v/>
      </c>
      <c r="Q61" s="83">
        <f>IF(OR($A61="",P61="",P60=""),"",P61/P60-1)</f>
        <v/>
      </c>
      <c r="R61" s="153">
        <f>IF($A61="","",[1]!thsiFinD("ths_adjustment_nv_fund",R$2,$A61))</f>
        <v/>
      </c>
      <c r="S61" s="83">
        <f>IF(OR($A61="",R61="",R60=""),"",R61/R60-1)</f>
        <v/>
      </c>
      <c r="T61" s="153">
        <f>IF($A61="","",[1]!thsiFinD("ths_adjustment_nv_fund",T$2,$A61))</f>
        <v/>
      </c>
      <c r="U61" s="83">
        <f>IF(OR($A61="",T61="",T60=""),"",T61/T60-1)</f>
        <v/>
      </c>
      <c r="V61" s="153">
        <f>IF($A61="","",[1]!thsiFinD("ths_adjustment_nv_fund",V$2,$A61))</f>
        <v/>
      </c>
      <c r="W61" s="83">
        <f>IF(OR($A61="",V61="",V60=""),"",V61/V60-1)</f>
        <v/>
      </c>
      <c r="X61" s="153">
        <f>IF($A61="","",[1]!thsiFinD("ths_adjustment_nv_fund",X$2,$A61))</f>
        <v/>
      </c>
      <c r="Y61" s="83">
        <f>IF(OR($A61="",X61="",X60=""),"",X61/X60-1)</f>
        <v/>
      </c>
      <c r="Z61" s="153">
        <f>IF($A61="","",[1]!thsiFinD("ths_adjustment_nv_fund",Z$2,$A61))</f>
        <v/>
      </c>
      <c r="AA61" s="83">
        <f>IF(OR($A61="",Z61="",Z60=""),"",Z61/Z60-1)</f>
        <v/>
      </c>
      <c r="AB61" s="153">
        <f>IF($A61="","",[1]!thsiFinD("ths_adjustment_nv_fund",AB$2,$A61))</f>
        <v/>
      </c>
      <c r="AC61" s="83">
        <f>IF(OR($A61="",AB61="",AB60=""),"",AB61/AB60-1)</f>
        <v/>
      </c>
      <c r="AD61" s="153">
        <f>IF($A61="","",[1]!thsiFinD("ths_adjustment_nv_fund",AD$2,$A61))</f>
        <v/>
      </c>
      <c r="AE61" s="83">
        <f>IF(OR($A61="",AD61="",AD60=""),"",AD61/AD60-1)</f>
        <v/>
      </c>
      <c r="AF61" s="153">
        <f>IF($A61="","",[1]!thsiFinD("ths_adjustment_nv_fund",AF$2,$A61))</f>
        <v/>
      </c>
      <c r="AG61" s="83">
        <f>IF(OR($A61="",AF61="",AF60=""),"",AF61/AF60-1)</f>
        <v/>
      </c>
      <c r="AH61" s="153">
        <f>IF($A61="","",[1]!thsiFinD("ths_adjustment_nv_fund",AH$2,$A61))</f>
        <v/>
      </c>
      <c r="AI61" s="83">
        <f>IF(OR($A61="",AH61="",AH60=""),"",AH61/AH60-1)</f>
        <v/>
      </c>
      <c r="AJ61" s="153">
        <f>IF($A61="","",[1]!thsiFinD("ths_adjustment_nv_fund",AJ$2,$A61))</f>
        <v/>
      </c>
      <c r="AK61" s="83">
        <f>IF(OR($A61="",AJ61="",AJ60=""),"",AJ61/AJ60-1)</f>
        <v/>
      </c>
      <c r="AL61" s="153">
        <f>IF($A61="","",[1]!thsiFinD("ths_adjustment_nv_fund",AL$2,$A61))</f>
        <v/>
      </c>
      <c r="AM61" s="83">
        <f>IF(OR($A61="",AL61="",AL60=""),"",AL61/AL60-1)</f>
        <v/>
      </c>
      <c r="AN61" s="153">
        <f>IF($A61="","",[1]!thsiFinD("ths_adjustment_nv_fund",AN$2,$A61))</f>
        <v/>
      </c>
      <c r="AO61" s="83">
        <f>IF(OR($A61="",AN61="",AN60=""),"",AN61/AN60-1)</f>
        <v/>
      </c>
    </row>
    <row r="63">
      <c r="A63" s="147" t="inlineStr">
        <is>
          <t>新增基金：整列复制最后一只基金的两列→粘贴到右侧空白两列→改第2行代码即可；替换基金：只改第2行代码。vs页按D列代码自动HLOOKUP匹配，无需改公式。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showGridLines="0" workbookViewId="0">
      <selection activeCell="C8" sqref="C8"/>
    </sheetView>
  </sheetViews>
  <sheetFormatPr baseColWidth="8" defaultRowHeight="14"/>
  <cols>
    <col width="16" customWidth="1" style="89" min="1" max="1"/>
    <col width="11" customWidth="1" style="89" min="2" max="24"/>
    <col width="9" customWidth="1" style="89" min="25" max="26"/>
    <col width="12" customWidth="1" style="89" min="27" max="27"/>
    <col width="8.7265625" customWidth="1" style="89" min="28" max="16384"/>
  </cols>
  <sheetData>
    <row r="1" ht="19" customHeight="1" s="89">
      <c r="A1" s="108" t="inlineStr">
        <is>
          <t>持仓配置（实盘·初始权重）</t>
        </is>
      </c>
      <c r="B1" s="109" t="n"/>
      <c r="C1" s="109" t="n"/>
    </row>
    <row r="2" ht="39" customHeight="1" s="89">
      <c r="A2" s="98" t="inlineStr">
        <is>
          <t>基金简称</t>
        </is>
      </c>
      <c r="B2" s="73" t="inlineStr">
        <is>
          <t>华安黄金ETF联接A</t>
        </is>
      </c>
      <c r="C2" s="73" t="inlineStr">
        <is>
          <t>嘉实快线货币A</t>
        </is>
      </c>
      <c r="D2" s="73" t="inlineStr">
        <is>
          <t>宏利复兴混合A</t>
        </is>
      </c>
      <c r="E2" s="73" t="inlineStr">
        <is>
          <t>博道沪深300增强A</t>
        </is>
      </c>
      <c r="F2" s="73" t="inlineStr">
        <is>
          <t>博道沪深300指增C</t>
        </is>
      </c>
      <c r="G2" s="73" t="inlineStr">
        <is>
          <t>国泰通信设备ETF联接A</t>
        </is>
      </c>
      <c r="H2" s="73" t="inlineStr">
        <is>
          <t>国泰通信设备C</t>
        </is>
      </c>
      <c r="I2" s="73" t="inlineStr">
        <is>
          <t>嘉实前沿科技创新</t>
        </is>
      </c>
      <c r="J2" s="73" t="inlineStr">
        <is>
          <t>银华集成电路混合A</t>
        </is>
      </c>
      <c r="K2" s="73" t="inlineStr">
        <is>
          <t>银华集成电路混合C</t>
        </is>
      </c>
      <c r="L2" s="73" t="inlineStr">
        <is>
          <t>天弘中证1000指增A</t>
        </is>
      </c>
      <c r="M2" s="73" t="inlineStr">
        <is>
          <t>天弘中证1000指增C</t>
        </is>
      </c>
      <c r="N2" s="73" t="inlineStr">
        <is>
          <t>中欧中证500指增A</t>
        </is>
      </c>
      <c r="O2" s="73" t="inlineStr">
        <is>
          <t>中欧中证500指增C</t>
        </is>
      </c>
      <c r="P2" s="73" t="inlineStr">
        <is>
          <t>信澳业绩驱动A</t>
        </is>
      </c>
      <c r="Q2" s="73" t="inlineStr">
        <is>
          <t>嘉实信息产业A</t>
        </is>
      </c>
      <c r="R2" s="73" t="inlineStr">
        <is>
          <t>嘉实信息产业C</t>
        </is>
      </c>
      <c r="S2" s="73" t="inlineStr">
        <is>
          <t>宏利复兴伟业C</t>
        </is>
      </c>
      <c r="T2" s="73" t="inlineStr">
        <is>
          <t>国泰半导体材料设备ETF联接A</t>
        </is>
      </c>
      <c r="U2" s="73" t="inlineStr">
        <is>
          <t>国泰半导体材料设备C</t>
        </is>
      </c>
      <c r="V2" s="73" t="inlineStr">
        <is>
          <t>华泰柏瑞中证2000指增A</t>
        </is>
      </c>
      <c r="W2" s="73" t="inlineStr">
        <is>
          <t>华泰柏瑞中证2000指增C</t>
        </is>
      </c>
      <c r="X2" s="73" t="inlineStr">
        <is>
          <t>易方达中债新综指LOFA</t>
        </is>
      </c>
      <c r="Y2" s="98" t="inlineStr">
        <is>
          <t>合计</t>
        </is>
      </c>
      <c r="Z2" s="98" t="inlineStr">
        <is>
          <t>年化费率</t>
        </is>
      </c>
      <c r="AA2" s="98" t="inlineStr">
        <is>
          <t>净值起始日</t>
        </is>
      </c>
    </row>
    <row r="3">
      <c r="A3" s="98" t="inlineStr">
        <is>
          <t>基金代码</t>
        </is>
      </c>
      <c r="B3" s="74" t="inlineStr">
        <is>
          <t>000216.OF</t>
        </is>
      </c>
      <c r="C3" s="74" t="inlineStr">
        <is>
          <t>000917.OF</t>
        </is>
      </c>
      <c r="D3" s="74" t="inlineStr">
        <is>
          <t>001170.OF</t>
        </is>
      </c>
      <c r="E3" s="74" t="inlineStr">
        <is>
          <t>007044.OF</t>
        </is>
      </c>
      <c r="F3" s="74" t="inlineStr">
        <is>
          <t>007045.OF</t>
        </is>
      </c>
      <c r="G3" s="74" t="inlineStr">
        <is>
          <t>007817.OF</t>
        </is>
      </c>
      <c r="H3" s="74" t="inlineStr">
        <is>
          <t>007818.OF</t>
        </is>
      </c>
      <c r="I3" s="74" t="inlineStr">
        <is>
          <t>009993.OF</t>
        </is>
      </c>
      <c r="J3" s="74" t="inlineStr">
        <is>
          <t>013840.OF</t>
        </is>
      </c>
      <c r="K3" s="74" t="inlineStr">
        <is>
          <t>013841.OF</t>
        </is>
      </c>
      <c r="L3" s="74" t="inlineStr">
        <is>
          <t>014201.OF</t>
        </is>
      </c>
      <c r="M3" s="74" t="inlineStr">
        <is>
          <t>014202.OF</t>
        </is>
      </c>
      <c r="N3" s="74" t="inlineStr">
        <is>
          <t>015453.OF</t>
        </is>
      </c>
      <c r="O3" s="74" t="inlineStr">
        <is>
          <t>015454.OF</t>
        </is>
      </c>
      <c r="P3" s="74" t="inlineStr">
        <is>
          <t>016370.OF</t>
        </is>
      </c>
      <c r="Q3" s="74" t="inlineStr">
        <is>
          <t>017488.OF</t>
        </is>
      </c>
      <c r="R3" s="74" t="inlineStr">
        <is>
          <t>017489.OF</t>
        </is>
      </c>
      <c r="S3" s="74" t="inlineStr">
        <is>
          <t>017612.OF</t>
        </is>
      </c>
      <c r="T3" s="74" t="inlineStr">
        <is>
          <t>019632.OF</t>
        </is>
      </c>
      <c r="U3" s="74" t="inlineStr">
        <is>
          <t>019633.OF</t>
        </is>
      </c>
      <c r="V3" s="74" t="inlineStr">
        <is>
          <t>019923.OF</t>
        </is>
      </c>
      <c r="W3" s="74" t="inlineStr">
        <is>
          <t>019924.OF</t>
        </is>
      </c>
      <c r="X3" s="74" t="inlineStr">
        <is>
          <t>161119.OF</t>
        </is>
      </c>
      <c r="Y3" s="74" t="n"/>
      <c r="Z3" s="74" t="n"/>
      <c r="AA3" s="74" t="n"/>
    </row>
    <row r="4">
      <c r="A4" s="75" t="inlineStr">
        <is>
          <t>产业趋势 权重</t>
        </is>
      </c>
      <c r="B4" s="76" t="n">
        <v>0</v>
      </c>
      <c r="C4" s="76" t="n">
        <v>0.02</v>
      </c>
      <c r="D4" s="76" t="n">
        <v>0.19</v>
      </c>
      <c r="E4" s="76" t="n">
        <v>0</v>
      </c>
      <c r="F4" s="76" t="n">
        <v>0</v>
      </c>
      <c r="G4" s="76" t="n">
        <v>0.11</v>
      </c>
      <c r="H4" s="76" t="n">
        <v>0</v>
      </c>
      <c r="I4" s="76" t="n">
        <v>0</v>
      </c>
      <c r="J4" s="76" t="n">
        <v>0.19</v>
      </c>
      <c r="K4" s="76" t="n">
        <v>0</v>
      </c>
      <c r="L4" s="76" t="n">
        <v>0</v>
      </c>
      <c r="M4" s="76" t="n">
        <v>0</v>
      </c>
      <c r="N4" s="76" t="n">
        <v>0</v>
      </c>
      <c r="O4" s="76" t="n">
        <v>0</v>
      </c>
      <c r="P4" s="76" t="n">
        <v>0.19</v>
      </c>
      <c r="Q4" s="76" t="n">
        <v>0.19</v>
      </c>
      <c r="R4" s="76" t="n">
        <v>0</v>
      </c>
      <c r="S4" s="76" t="n">
        <v>0</v>
      </c>
      <c r="T4" s="76" t="n">
        <v>0.11</v>
      </c>
      <c r="U4" s="76" t="n">
        <v>0</v>
      </c>
      <c r="V4" s="76" t="n">
        <v>0</v>
      </c>
      <c r="W4" s="76" t="n">
        <v>0</v>
      </c>
      <c r="X4" s="76" t="n">
        <v>0</v>
      </c>
      <c r="Y4" s="196">
        <f>SUM(B4:X4)</f>
        <v/>
      </c>
      <c r="Z4" s="113" t="n">
        <v>0.015</v>
      </c>
      <c r="AA4" s="197" t="n">
        <v>46195</v>
      </c>
    </row>
    <row r="5">
      <c r="A5" s="75" t="inlineStr">
        <is>
          <t>产业趋势基石 权重</t>
        </is>
      </c>
      <c r="B5" s="76" t="n">
        <v>0</v>
      </c>
      <c r="C5" s="76" t="n">
        <v>0.02</v>
      </c>
      <c r="D5" s="76" t="n">
        <v>0.19</v>
      </c>
      <c r="E5" s="76" t="n">
        <v>0</v>
      </c>
      <c r="F5" s="76" t="n">
        <v>0</v>
      </c>
      <c r="G5" s="76" t="n">
        <v>0.11</v>
      </c>
      <c r="H5" s="76" t="n">
        <v>0</v>
      </c>
      <c r="I5" s="76" t="n">
        <v>0</v>
      </c>
      <c r="J5" s="76" t="n">
        <v>0.19</v>
      </c>
      <c r="K5" s="76" t="n">
        <v>0</v>
      </c>
      <c r="L5" s="76" t="n">
        <v>0</v>
      </c>
      <c r="M5" s="76" t="n">
        <v>0</v>
      </c>
      <c r="N5" s="76" t="n">
        <v>0</v>
      </c>
      <c r="O5" s="76" t="n">
        <v>0</v>
      </c>
      <c r="P5" s="76" t="n">
        <v>0.19</v>
      </c>
      <c r="Q5" s="76" t="n">
        <v>0.19</v>
      </c>
      <c r="R5" s="76" t="n">
        <v>0</v>
      </c>
      <c r="S5" s="76" t="n">
        <v>0</v>
      </c>
      <c r="T5" s="76" t="n">
        <v>0.11</v>
      </c>
      <c r="U5" s="76" t="n">
        <v>0</v>
      </c>
      <c r="V5" s="76" t="n">
        <v>0</v>
      </c>
      <c r="W5" s="76" t="n">
        <v>0</v>
      </c>
      <c r="X5" s="76" t="n">
        <v>0</v>
      </c>
      <c r="Y5" s="196">
        <f>SUM(B5:X5)</f>
        <v/>
      </c>
      <c r="Z5" s="113" t="n">
        <v>0.012</v>
      </c>
      <c r="AA5" s="197" t="n">
        <v>46191</v>
      </c>
    </row>
    <row r="6">
      <c r="A6" s="75" t="inlineStr">
        <is>
          <t>产业趋势2号 权重</t>
        </is>
      </c>
      <c r="B6" s="76" t="n">
        <v>0</v>
      </c>
      <c r="C6" s="76" t="n">
        <v>0.02</v>
      </c>
      <c r="D6" s="76" t="n">
        <v>0</v>
      </c>
      <c r="E6" s="76" t="n">
        <v>0</v>
      </c>
      <c r="F6" s="76" t="n">
        <v>0</v>
      </c>
      <c r="G6" s="76" t="n">
        <v>0</v>
      </c>
      <c r="H6" s="76" t="n">
        <v>0.11</v>
      </c>
      <c r="I6" s="76" t="n">
        <v>0.19</v>
      </c>
      <c r="J6" s="76" t="n">
        <v>0</v>
      </c>
      <c r="K6" s="76" t="n">
        <v>0.19</v>
      </c>
      <c r="L6" s="76" t="n">
        <v>0</v>
      </c>
      <c r="M6" s="76" t="n">
        <v>0</v>
      </c>
      <c r="N6" s="76" t="n">
        <v>0</v>
      </c>
      <c r="O6" s="76" t="n">
        <v>0</v>
      </c>
      <c r="P6" s="76" t="n">
        <v>0</v>
      </c>
      <c r="Q6" s="76" t="n">
        <v>0</v>
      </c>
      <c r="R6" s="76" t="n">
        <v>0.19</v>
      </c>
      <c r="S6" s="76" t="n">
        <v>0.19</v>
      </c>
      <c r="T6" s="76" t="n">
        <v>0</v>
      </c>
      <c r="U6" s="76" t="n">
        <v>0.11</v>
      </c>
      <c r="V6" s="76" t="n">
        <v>0</v>
      </c>
      <c r="W6" s="76" t="n">
        <v>0</v>
      </c>
      <c r="X6" s="76" t="n">
        <v>0</v>
      </c>
      <c r="Y6" s="196">
        <f>SUM(B6:X6)</f>
        <v/>
      </c>
      <c r="Z6" s="113" t="n">
        <v>0.015</v>
      </c>
      <c r="AA6" s="197" t="n">
        <v>46196</v>
      </c>
    </row>
    <row r="7">
      <c r="A7" s="75" t="inlineStr">
        <is>
          <t>10-90 权重</t>
        </is>
      </c>
      <c r="B7" s="76" t="n">
        <v>0.05</v>
      </c>
      <c r="C7" s="76" t="n">
        <v>0.02</v>
      </c>
      <c r="D7" s="76" t="n">
        <v>0</v>
      </c>
      <c r="E7" s="76" t="n">
        <v>0</v>
      </c>
      <c r="F7" s="76" t="n">
        <v>0.0125</v>
      </c>
      <c r="G7" s="76" t="n">
        <v>0</v>
      </c>
      <c r="H7" s="76" t="n">
        <v>0.005</v>
      </c>
      <c r="I7" s="76" t="n">
        <v>0.01</v>
      </c>
      <c r="J7" s="76" t="n">
        <v>0</v>
      </c>
      <c r="K7" s="76" t="n">
        <v>0.01</v>
      </c>
      <c r="L7" s="76" t="n">
        <v>0</v>
      </c>
      <c r="M7" s="76" t="n">
        <v>0.0125</v>
      </c>
      <c r="N7" s="76" t="n">
        <v>0</v>
      </c>
      <c r="O7" s="76" t="n">
        <v>0.0125</v>
      </c>
      <c r="P7" s="76" t="n">
        <v>0</v>
      </c>
      <c r="Q7" s="76" t="n">
        <v>0</v>
      </c>
      <c r="R7" s="76" t="n">
        <v>0.01</v>
      </c>
      <c r="S7" s="76" t="n">
        <v>0.01</v>
      </c>
      <c r="T7" s="76" t="n">
        <v>0</v>
      </c>
      <c r="U7" s="76" t="n">
        <v>0.005</v>
      </c>
      <c r="V7" s="76" t="n">
        <v>0</v>
      </c>
      <c r="W7" s="76" t="n">
        <v>0.0125</v>
      </c>
      <c r="X7" s="76" t="n">
        <v>0.83</v>
      </c>
      <c r="Y7" s="196">
        <f>SUM(B7:X7)</f>
        <v/>
      </c>
      <c r="Z7" s="113" t="n">
        <v>0.008</v>
      </c>
      <c r="AA7" s="197" t="n">
        <v>46197</v>
      </c>
    </row>
    <row r="8">
      <c r="A8" s="75" t="inlineStr">
        <is>
          <t>10-90基石 权重</t>
        </is>
      </c>
      <c r="B8" s="76" t="n">
        <v>0.05</v>
      </c>
      <c r="C8" s="76" t="n">
        <v>0.02</v>
      </c>
      <c r="D8" s="76" t="n">
        <v>0.01</v>
      </c>
      <c r="E8" s="76" t="n">
        <v>0.0125</v>
      </c>
      <c r="F8" s="76" t="n">
        <v>0</v>
      </c>
      <c r="G8" s="76" t="n">
        <v>0.005</v>
      </c>
      <c r="H8" s="76" t="n">
        <v>0</v>
      </c>
      <c r="I8" s="76" t="n">
        <v>0</v>
      </c>
      <c r="J8" s="76" t="n">
        <v>0.01</v>
      </c>
      <c r="K8" s="76" t="n">
        <v>0</v>
      </c>
      <c r="L8" s="76" t="n">
        <v>0.0125</v>
      </c>
      <c r="M8" s="76" t="n">
        <v>0</v>
      </c>
      <c r="N8" s="76" t="n">
        <v>0.0125</v>
      </c>
      <c r="O8" s="76" t="n">
        <v>0</v>
      </c>
      <c r="P8" s="76" t="n">
        <v>0.01</v>
      </c>
      <c r="Q8" s="76" t="n">
        <v>0.01</v>
      </c>
      <c r="R8" s="76" t="n">
        <v>0</v>
      </c>
      <c r="S8" s="76" t="n">
        <v>0</v>
      </c>
      <c r="T8" s="76" t="n">
        <v>0.005</v>
      </c>
      <c r="U8" s="76" t="n">
        <v>0</v>
      </c>
      <c r="V8" s="76" t="n">
        <v>0.0125</v>
      </c>
      <c r="W8" s="76" t="n">
        <v>0</v>
      </c>
      <c r="X8" s="76" t="n">
        <v>0.83</v>
      </c>
      <c r="Y8" s="196">
        <f>SUM(B8:X8)</f>
        <v/>
      </c>
      <c r="Z8" s="113" t="n">
        <v>0.005</v>
      </c>
      <c r="AA8" s="197" t="n">
        <v>46191</v>
      </c>
    </row>
    <row r="9">
      <c r="A9" s="75" t="inlineStr">
        <is>
          <t>30-70 权重</t>
        </is>
      </c>
      <c r="B9" s="76" t="n">
        <v>0.1</v>
      </c>
      <c r="C9" s="76" t="n">
        <v>0.02</v>
      </c>
      <c r="D9" s="76" t="n">
        <v>0</v>
      </c>
      <c r="E9" s="76" t="n">
        <v>0</v>
      </c>
      <c r="F9" s="76" t="n">
        <v>0.03750000000000001</v>
      </c>
      <c r="G9" s="76" t="n">
        <v>0</v>
      </c>
      <c r="H9" s="76" t="n">
        <v>0.015</v>
      </c>
      <c r="I9" s="76" t="n">
        <v>0.03</v>
      </c>
      <c r="J9" s="76" t="n">
        <v>0</v>
      </c>
      <c r="K9" s="76" t="n">
        <v>0.03</v>
      </c>
      <c r="L9" s="76" t="n">
        <v>0</v>
      </c>
      <c r="M9" s="76" t="n">
        <v>0.03750000000000001</v>
      </c>
      <c r="N9" s="76" t="n">
        <v>0</v>
      </c>
      <c r="O9" s="76" t="n">
        <v>0.03750000000000001</v>
      </c>
      <c r="P9" s="76" t="n">
        <v>0</v>
      </c>
      <c r="Q9" s="76" t="n">
        <v>0</v>
      </c>
      <c r="R9" s="76" t="n">
        <v>0.03</v>
      </c>
      <c r="S9" s="76" t="n">
        <v>0.03</v>
      </c>
      <c r="T9" s="76" t="n">
        <v>0</v>
      </c>
      <c r="U9" s="76" t="n">
        <v>0.015</v>
      </c>
      <c r="V9" s="76" t="n">
        <v>0</v>
      </c>
      <c r="W9" s="76" t="n">
        <v>0.03750000000000001</v>
      </c>
      <c r="X9" s="76" t="n">
        <v>0.58</v>
      </c>
      <c r="Y9" s="196">
        <f>SUM(B9:X9)</f>
        <v/>
      </c>
      <c r="Z9" s="113" t="n">
        <v>0.012</v>
      </c>
      <c r="AA9" s="197" t="n">
        <v>46197</v>
      </c>
    </row>
    <row r="11" ht="14.5" customHeight="1" s="89">
      <c r="A11" s="97" t="inlineStr">
        <is>
          <t>权重蓝色输入；Z列为各组合年化费率、AA列为各组合净值起始日(当日净值=1)。新增交易日下拉填充，下游净值与看板自动重算。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selection activeCell="O28" sqref="O28"/>
    </sheetView>
  </sheetViews>
  <sheetFormatPr baseColWidth="8" defaultRowHeight="14"/>
  <cols>
    <col width="12" customWidth="1" style="89" min="1" max="1"/>
    <col width="8.7265625" customWidth="1" style="89" min="2" max="16384"/>
  </cols>
  <sheetData>
    <row r="1" ht="19.5" customHeight="1" s="89">
      <c r="A1" s="110" t="inlineStr">
        <is>
          <t>净值数据 * 实盘</t>
        </is>
      </c>
    </row>
    <row r="2">
      <c r="A2" s="11">
        <f>TODAY()</f>
        <v/>
      </c>
    </row>
    <row r="3" ht="25" customHeight="1" s="89">
      <c r="A3" s="98" t="inlineStr">
        <is>
          <t>基金代码→</t>
        </is>
      </c>
      <c r="B3" s="79">
        <f>实盘持仓配置!B3</f>
        <v/>
      </c>
      <c r="C3" s="79">
        <f>实盘持仓配置!C3</f>
        <v/>
      </c>
      <c r="D3" s="79">
        <f>实盘持仓配置!D3</f>
        <v/>
      </c>
      <c r="E3" s="79">
        <f>实盘持仓配置!E3</f>
        <v/>
      </c>
      <c r="F3" s="79">
        <f>实盘持仓配置!F3</f>
        <v/>
      </c>
      <c r="G3" s="79">
        <f>实盘持仓配置!G3</f>
        <v/>
      </c>
      <c r="H3" s="79">
        <f>实盘持仓配置!H3</f>
        <v/>
      </c>
      <c r="I3" s="79">
        <f>实盘持仓配置!I3</f>
        <v/>
      </c>
      <c r="J3" s="79">
        <f>实盘持仓配置!J3</f>
        <v/>
      </c>
      <c r="K3" s="79">
        <f>实盘持仓配置!K3</f>
        <v/>
      </c>
      <c r="L3" s="79">
        <f>实盘持仓配置!L3</f>
        <v/>
      </c>
      <c r="M3" s="79">
        <f>实盘持仓配置!M3</f>
        <v/>
      </c>
      <c r="N3" s="79">
        <f>实盘持仓配置!N3</f>
        <v/>
      </c>
      <c r="O3" s="79">
        <f>实盘持仓配置!O3</f>
        <v/>
      </c>
      <c r="P3" s="79">
        <f>实盘持仓配置!P3</f>
        <v/>
      </c>
      <c r="Q3" s="79">
        <f>实盘持仓配置!Q3</f>
        <v/>
      </c>
      <c r="R3" s="79">
        <f>实盘持仓配置!R3</f>
        <v/>
      </c>
      <c r="S3" s="79">
        <f>实盘持仓配置!S3</f>
        <v/>
      </c>
      <c r="T3" s="79">
        <f>实盘持仓配置!T3</f>
        <v/>
      </c>
      <c r="U3" s="79">
        <f>实盘持仓配置!U3</f>
        <v/>
      </c>
      <c r="V3" s="79">
        <f>实盘持仓配置!V3</f>
        <v/>
      </c>
      <c r="W3" s="79">
        <f>实盘持仓配置!W3</f>
        <v/>
      </c>
      <c r="X3" s="79">
        <f>实盘持仓配置!X3</f>
        <v/>
      </c>
    </row>
    <row r="4" ht="52" customHeight="1" s="89">
      <c r="A4" s="98">
        <f>[1]!HX_AutoDate(1,"2026-06-18",A2,-1,-1,0,0,0,0,0,"SSE",12,0)</f>
        <v/>
      </c>
      <c r="B4" s="73" t="inlineStr">
        <is>
          <t>华安黄金ETF联接A</t>
        </is>
      </c>
      <c r="C4" s="73" t="inlineStr">
        <is>
          <t>嘉实快线货币A</t>
        </is>
      </c>
      <c r="D4" s="73" t="inlineStr">
        <is>
          <t>宏利复兴混合A</t>
        </is>
      </c>
      <c r="E4" s="73" t="inlineStr">
        <is>
          <t>博道沪深300增强A</t>
        </is>
      </c>
      <c r="F4" s="73" t="inlineStr">
        <is>
          <t>博道沪深300指增C</t>
        </is>
      </c>
      <c r="G4" s="73" t="inlineStr">
        <is>
          <t>国泰通信设备ETF联接A</t>
        </is>
      </c>
      <c r="H4" s="73" t="inlineStr">
        <is>
          <t>国泰通信设备C</t>
        </is>
      </c>
      <c r="I4" s="73" t="inlineStr">
        <is>
          <t>嘉实前沿科技创新</t>
        </is>
      </c>
      <c r="J4" s="73" t="inlineStr">
        <is>
          <t>银华集成电路混合A</t>
        </is>
      </c>
      <c r="K4" s="73" t="inlineStr">
        <is>
          <t>银华集成电路混合C</t>
        </is>
      </c>
      <c r="L4" s="73" t="inlineStr">
        <is>
          <t>天弘中证1000指增A</t>
        </is>
      </c>
      <c r="M4" s="73" t="inlineStr">
        <is>
          <t>天弘中证1000指增C</t>
        </is>
      </c>
      <c r="N4" s="73" t="inlineStr">
        <is>
          <t>中欧中证500指增A</t>
        </is>
      </c>
      <c r="O4" s="73" t="inlineStr">
        <is>
          <t>中欧中证500指增C</t>
        </is>
      </c>
      <c r="P4" s="73" t="inlineStr">
        <is>
          <t>信澳业绩驱动A</t>
        </is>
      </c>
      <c r="Q4" s="73" t="inlineStr">
        <is>
          <t>嘉实信息产业A</t>
        </is>
      </c>
      <c r="R4" s="73" t="inlineStr">
        <is>
          <t>嘉实信息产业C</t>
        </is>
      </c>
      <c r="S4" s="73" t="inlineStr">
        <is>
          <t>宏利复兴伟业C</t>
        </is>
      </c>
      <c r="T4" s="73" t="inlineStr">
        <is>
          <t>国泰半导体材料设备ETF联接A</t>
        </is>
      </c>
      <c r="U4" s="73" t="inlineStr">
        <is>
          <t>国泰半导体材料设备C</t>
        </is>
      </c>
      <c r="V4" s="73" t="inlineStr">
        <is>
          <t>华泰柏瑞中证2000指增A</t>
        </is>
      </c>
      <c r="W4" s="73" t="inlineStr">
        <is>
          <t>华泰柏瑞中证2000指增C</t>
        </is>
      </c>
      <c r="X4" s="73" t="inlineStr">
        <is>
          <t>易方达中债新综指LOFA</t>
        </is>
      </c>
    </row>
    <row r="5">
      <c r="A5" s="197" t="n">
        <v>46191</v>
      </c>
      <c r="B5" s="198">
        <f>IF($A5="","",[1]!thsiFinD("ths_adjustment_nv_fund",B$3,$A5))</f>
        <v/>
      </c>
      <c r="C5" s="198">
        <f>IF($A5="","",[1]!thsiFinD("ths_adjustment_nv_fund",C$3,$A5))</f>
        <v/>
      </c>
      <c r="D5" s="198">
        <f>IF($A5="","",[1]!thsiFinD("ths_adjustment_nv_fund",D$3,$A5))</f>
        <v/>
      </c>
      <c r="E5" s="198">
        <f>IF($A5="","",[1]!thsiFinD("ths_adjustment_nv_fund",E$3,$A5))</f>
        <v/>
      </c>
      <c r="F5" s="198">
        <f>IF($A5="","",[1]!thsiFinD("ths_adjustment_nv_fund",F$3,$A5))</f>
        <v/>
      </c>
      <c r="G5" s="198">
        <f>IF($A5="","",[1]!thsiFinD("ths_adjustment_nv_fund",G$3,$A5))</f>
        <v/>
      </c>
      <c r="H5" s="198">
        <f>IF($A5="","",[1]!thsiFinD("ths_adjustment_nv_fund",H$3,$A5))</f>
        <v/>
      </c>
      <c r="I5" s="198">
        <f>IF($A5="","",[1]!thsiFinD("ths_adjustment_nv_fund",I$3,$A5))</f>
        <v/>
      </c>
      <c r="J5" s="198">
        <f>IF($A5="","",[1]!thsiFinD("ths_adjustment_nv_fund",J$3,$A5))</f>
        <v/>
      </c>
      <c r="K5" s="198">
        <f>IF($A5="","",[1]!thsiFinD("ths_adjustment_nv_fund",K$3,$A5))</f>
        <v/>
      </c>
      <c r="L5" s="198">
        <f>IF($A5="","",[1]!thsiFinD("ths_adjustment_nv_fund",L$3,$A5))</f>
        <v/>
      </c>
      <c r="M5" s="198">
        <f>IF($A5="","",[1]!thsiFinD("ths_adjustment_nv_fund",M$3,$A5))</f>
        <v/>
      </c>
      <c r="N5" s="198">
        <f>IF($A5="","",[1]!thsiFinD("ths_adjustment_nv_fund",N$3,$A5))</f>
        <v/>
      </c>
      <c r="O5" s="198">
        <f>IF($A5="","",[1]!thsiFinD("ths_adjustment_nv_fund",O$3,$A5))</f>
        <v/>
      </c>
      <c r="P5" s="198">
        <f>IF($A5="","",[1]!thsiFinD("ths_adjustment_nv_fund",P$3,$A5))</f>
        <v/>
      </c>
      <c r="Q5" s="198">
        <f>IF($A5="","",[1]!thsiFinD("ths_adjustment_nv_fund",Q$3,$A5))</f>
        <v/>
      </c>
      <c r="R5" s="198">
        <f>IF($A5="","",[1]!thsiFinD("ths_adjustment_nv_fund",R$3,$A5))</f>
        <v/>
      </c>
      <c r="S5" s="198">
        <f>IF($A5="","",[1]!thsiFinD("ths_adjustment_nv_fund",S$3,$A5))</f>
        <v/>
      </c>
      <c r="T5" s="198">
        <f>IF($A5="","",[1]!thsiFinD("ths_adjustment_nv_fund",T$3,$A5))</f>
        <v/>
      </c>
      <c r="U5" s="198">
        <f>IF($A5="","",[1]!thsiFinD("ths_adjustment_nv_fund",U$3,$A5))</f>
        <v/>
      </c>
      <c r="V5" s="198">
        <f>IF($A5="","",[1]!thsiFinD("ths_adjustment_nv_fund",V$3,$A5))</f>
        <v/>
      </c>
      <c r="W5" s="198">
        <f>IF($A5="","",[1]!thsiFinD("ths_adjustment_nv_fund",W$3,$A5))</f>
        <v/>
      </c>
      <c r="X5" s="198">
        <f>IF($A5="","",[1]!thsiFinD("ths_adjustment_nv_fund",X$3,$A5))</f>
        <v/>
      </c>
    </row>
    <row r="6">
      <c r="A6" s="197" t="n">
        <v>46195</v>
      </c>
      <c r="B6" s="198">
        <f>IF($A6="","",[1]!thsiFinD("ths_adjustment_nv_fund",B$3,$A6))</f>
        <v/>
      </c>
      <c r="C6" s="198">
        <f>IF($A6="","",[1]!thsiFinD("ths_adjustment_nv_fund",C$3,$A6))</f>
        <v/>
      </c>
      <c r="D6" s="198">
        <f>IF($A6="","",[1]!thsiFinD("ths_adjustment_nv_fund",D$3,$A6))</f>
        <v/>
      </c>
      <c r="E6" s="198">
        <f>IF($A6="","",[1]!thsiFinD("ths_adjustment_nv_fund",E$3,$A6))</f>
        <v/>
      </c>
      <c r="F6" s="198">
        <f>IF($A6="","",[1]!thsiFinD("ths_adjustment_nv_fund",F$3,$A6))</f>
        <v/>
      </c>
      <c r="G6" s="198">
        <f>IF($A6="","",[1]!thsiFinD("ths_adjustment_nv_fund",G$3,$A6))</f>
        <v/>
      </c>
      <c r="H6" s="198">
        <f>IF($A6="","",[1]!thsiFinD("ths_adjustment_nv_fund",H$3,$A6))</f>
        <v/>
      </c>
      <c r="I6" s="198">
        <f>IF($A6="","",[1]!thsiFinD("ths_adjustment_nv_fund",I$3,$A6))</f>
        <v/>
      </c>
      <c r="J6" s="198">
        <f>IF($A6="","",[1]!thsiFinD("ths_adjustment_nv_fund",J$3,$A6))</f>
        <v/>
      </c>
      <c r="K6" s="198">
        <f>IF($A6="","",[1]!thsiFinD("ths_adjustment_nv_fund",K$3,$A6))</f>
        <v/>
      </c>
      <c r="L6" s="198">
        <f>IF($A6="","",[1]!thsiFinD("ths_adjustment_nv_fund",L$3,$A6))</f>
        <v/>
      </c>
      <c r="M6" s="198">
        <f>IF($A6="","",[1]!thsiFinD("ths_adjustment_nv_fund",M$3,$A6))</f>
        <v/>
      </c>
      <c r="N6" s="198">
        <f>IF($A6="","",[1]!thsiFinD("ths_adjustment_nv_fund",N$3,$A6))</f>
        <v/>
      </c>
      <c r="O6" s="198">
        <f>IF($A6="","",[1]!thsiFinD("ths_adjustment_nv_fund",O$3,$A6))</f>
        <v/>
      </c>
      <c r="P6" s="198">
        <f>IF($A6="","",[1]!thsiFinD("ths_adjustment_nv_fund",P$3,$A6))</f>
        <v/>
      </c>
      <c r="Q6" s="198">
        <f>IF($A6="","",[1]!thsiFinD("ths_adjustment_nv_fund",Q$3,$A6))</f>
        <v/>
      </c>
      <c r="R6" s="198">
        <f>IF($A6="","",[1]!thsiFinD("ths_adjustment_nv_fund",R$3,$A6))</f>
        <v/>
      </c>
      <c r="S6" s="198">
        <f>IF($A6="","",[1]!thsiFinD("ths_adjustment_nv_fund",S$3,$A6))</f>
        <v/>
      </c>
      <c r="T6" s="198">
        <f>IF($A6="","",[1]!thsiFinD("ths_adjustment_nv_fund",T$3,$A6))</f>
        <v/>
      </c>
      <c r="U6" s="198">
        <f>IF($A6="","",[1]!thsiFinD("ths_adjustment_nv_fund",U$3,$A6))</f>
        <v/>
      </c>
      <c r="V6" s="198">
        <f>IF($A6="","",[1]!thsiFinD("ths_adjustment_nv_fund",V$3,$A6))</f>
        <v/>
      </c>
      <c r="W6" s="198">
        <f>IF($A6="","",[1]!thsiFinD("ths_adjustment_nv_fund",W$3,$A6))</f>
        <v/>
      </c>
      <c r="X6" s="198">
        <f>IF($A6="","",[1]!thsiFinD("ths_adjustment_nv_fund",X$3,$A6))</f>
        <v/>
      </c>
    </row>
    <row r="7">
      <c r="A7" s="197" t="n">
        <v>46196</v>
      </c>
      <c r="B7" s="198">
        <f>IF($A7="","",[1]!thsiFinD("ths_adjustment_nv_fund",B$3,$A7))</f>
        <v/>
      </c>
      <c r="C7" s="198">
        <f>IF($A7="","",[1]!thsiFinD("ths_adjustment_nv_fund",C$3,$A7))</f>
        <v/>
      </c>
      <c r="D7" s="198">
        <f>IF($A7="","",[1]!thsiFinD("ths_adjustment_nv_fund",D$3,$A7))</f>
        <v/>
      </c>
      <c r="E7" s="198">
        <f>IF($A7="","",[1]!thsiFinD("ths_adjustment_nv_fund",E$3,$A7))</f>
        <v/>
      </c>
      <c r="F7" s="198">
        <f>IF($A7="","",[1]!thsiFinD("ths_adjustment_nv_fund",F$3,$A7))</f>
        <v/>
      </c>
      <c r="G7" s="198">
        <f>IF($A7="","",[1]!thsiFinD("ths_adjustment_nv_fund",G$3,$A7))</f>
        <v/>
      </c>
      <c r="H7" s="198">
        <f>IF($A7="","",[1]!thsiFinD("ths_adjustment_nv_fund",H$3,$A7))</f>
        <v/>
      </c>
      <c r="I7" s="198">
        <f>IF($A7="","",[1]!thsiFinD("ths_adjustment_nv_fund",I$3,$A7))</f>
        <v/>
      </c>
      <c r="J7" s="198">
        <f>IF($A7="","",[1]!thsiFinD("ths_adjustment_nv_fund",J$3,$A7))</f>
        <v/>
      </c>
      <c r="K7" s="198">
        <f>IF($A7="","",[1]!thsiFinD("ths_adjustment_nv_fund",K$3,$A7))</f>
        <v/>
      </c>
      <c r="L7" s="198">
        <f>IF($A7="","",[1]!thsiFinD("ths_adjustment_nv_fund",L$3,$A7))</f>
        <v/>
      </c>
      <c r="M7" s="198">
        <f>IF($A7="","",[1]!thsiFinD("ths_adjustment_nv_fund",M$3,$A7))</f>
        <v/>
      </c>
      <c r="N7" s="198">
        <f>IF($A7="","",[1]!thsiFinD("ths_adjustment_nv_fund",N$3,$A7))</f>
        <v/>
      </c>
      <c r="O7" s="198">
        <f>IF($A7="","",[1]!thsiFinD("ths_adjustment_nv_fund",O$3,$A7))</f>
        <v/>
      </c>
      <c r="P7" s="198">
        <f>IF($A7="","",[1]!thsiFinD("ths_adjustment_nv_fund",P$3,$A7))</f>
        <v/>
      </c>
      <c r="Q7" s="198">
        <f>IF($A7="","",[1]!thsiFinD("ths_adjustment_nv_fund",Q$3,$A7))</f>
        <v/>
      </c>
      <c r="R7" s="198">
        <f>IF($A7="","",[1]!thsiFinD("ths_adjustment_nv_fund",R$3,$A7))</f>
        <v/>
      </c>
      <c r="S7" s="198">
        <f>IF($A7="","",[1]!thsiFinD("ths_adjustment_nv_fund",S$3,$A7))</f>
        <v/>
      </c>
      <c r="T7" s="198">
        <f>IF($A7="","",[1]!thsiFinD("ths_adjustment_nv_fund",T$3,$A7))</f>
        <v/>
      </c>
      <c r="U7" s="198">
        <f>IF($A7="","",[1]!thsiFinD("ths_adjustment_nv_fund",U$3,$A7))</f>
        <v/>
      </c>
      <c r="V7" s="198">
        <f>IF($A7="","",[1]!thsiFinD("ths_adjustment_nv_fund",V$3,$A7))</f>
        <v/>
      </c>
      <c r="W7" s="198">
        <f>IF($A7="","",[1]!thsiFinD("ths_adjustment_nv_fund",W$3,$A7))</f>
        <v/>
      </c>
      <c r="X7" s="198">
        <f>IF($A7="","",[1]!thsiFinD("ths_adjustment_nv_fund",X$3,$A7))</f>
        <v/>
      </c>
    </row>
    <row r="8">
      <c r="A8" s="197" t="n">
        <v>46197</v>
      </c>
      <c r="B8" s="198">
        <f>IF($A8="","",[1]!thsiFinD("ths_adjustment_nv_fund",B$3,$A8))</f>
        <v/>
      </c>
      <c r="C8" s="198">
        <f>IF($A8="","",[1]!thsiFinD("ths_adjustment_nv_fund",C$3,$A8))</f>
        <v/>
      </c>
      <c r="D8" s="198">
        <f>IF($A8="","",[1]!thsiFinD("ths_adjustment_nv_fund",D$3,$A8))</f>
        <v/>
      </c>
      <c r="E8" s="198">
        <f>IF($A8="","",[1]!thsiFinD("ths_adjustment_nv_fund",E$3,$A8))</f>
        <v/>
      </c>
      <c r="F8" s="198">
        <f>IF($A8="","",[1]!thsiFinD("ths_adjustment_nv_fund",F$3,$A8))</f>
        <v/>
      </c>
      <c r="G8" s="198">
        <f>IF($A8="","",[1]!thsiFinD("ths_adjustment_nv_fund",G$3,$A8))</f>
        <v/>
      </c>
      <c r="H8" s="198">
        <f>IF($A8="","",[1]!thsiFinD("ths_adjustment_nv_fund",H$3,$A8))</f>
        <v/>
      </c>
      <c r="I8" s="198">
        <f>IF($A8="","",[1]!thsiFinD("ths_adjustment_nv_fund",I$3,$A8))</f>
        <v/>
      </c>
      <c r="J8" s="198">
        <f>IF($A8="","",[1]!thsiFinD("ths_adjustment_nv_fund",J$3,$A8))</f>
        <v/>
      </c>
      <c r="K8" s="198">
        <f>IF($A8="","",[1]!thsiFinD("ths_adjustment_nv_fund",K$3,$A8))</f>
        <v/>
      </c>
      <c r="L8" s="198">
        <f>IF($A8="","",[1]!thsiFinD("ths_adjustment_nv_fund",L$3,$A8))</f>
        <v/>
      </c>
      <c r="M8" s="198">
        <f>IF($A8="","",[1]!thsiFinD("ths_adjustment_nv_fund",M$3,$A8))</f>
        <v/>
      </c>
      <c r="N8" s="198">
        <f>IF($A8="","",[1]!thsiFinD("ths_adjustment_nv_fund",N$3,$A8))</f>
        <v/>
      </c>
      <c r="O8" s="198">
        <f>IF($A8="","",[1]!thsiFinD("ths_adjustment_nv_fund",O$3,$A8))</f>
        <v/>
      </c>
      <c r="P8" s="198">
        <f>IF($A8="","",[1]!thsiFinD("ths_adjustment_nv_fund",P$3,$A8))</f>
        <v/>
      </c>
      <c r="Q8" s="198">
        <f>IF($A8="","",[1]!thsiFinD("ths_adjustment_nv_fund",Q$3,$A8))</f>
        <v/>
      </c>
      <c r="R8" s="198">
        <f>IF($A8="","",[1]!thsiFinD("ths_adjustment_nv_fund",R$3,$A8))</f>
        <v/>
      </c>
      <c r="S8" s="198">
        <f>IF($A8="","",[1]!thsiFinD("ths_adjustment_nv_fund",S$3,$A8))</f>
        <v/>
      </c>
      <c r="T8" s="198">
        <f>IF($A8="","",[1]!thsiFinD("ths_adjustment_nv_fund",T$3,$A8))</f>
        <v/>
      </c>
      <c r="U8" s="198">
        <f>IF($A8="","",[1]!thsiFinD("ths_adjustment_nv_fund",U$3,$A8))</f>
        <v/>
      </c>
      <c r="V8" s="198">
        <f>IF($A8="","",[1]!thsiFinD("ths_adjustment_nv_fund",V$3,$A8))</f>
        <v/>
      </c>
      <c r="W8" s="198">
        <f>IF($A8="","",[1]!thsiFinD("ths_adjustment_nv_fund",W$3,$A8))</f>
        <v/>
      </c>
      <c r="X8" s="198">
        <f>IF($A8="","",[1]!thsiFinD("ths_adjustment_nv_fund",X$3,$A8))</f>
        <v/>
      </c>
    </row>
    <row r="9">
      <c r="A9" s="197" t="n">
        <v>46198</v>
      </c>
      <c r="B9" s="198">
        <f>IF($A9="","",[1]!thsiFinD("ths_adjustment_nv_fund",B$3,$A9))</f>
        <v/>
      </c>
      <c r="C9" s="198">
        <f>IF($A9="","",[1]!thsiFinD("ths_adjustment_nv_fund",C$3,$A9))</f>
        <v/>
      </c>
      <c r="D9" s="198">
        <f>IF($A9="","",[1]!thsiFinD("ths_adjustment_nv_fund",D$3,$A9))</f>
        <v/>
      </c>
      <c r="E9" s="198">
        <f>IF($A9="","",[1]!thsiFinD("ths_adjustment_nv_fund",E$3,$A9))</f>
        <v/>
      </c>
      <c r="F9" s="198">
        <f>IF($A9="","",[1]!thsiFinD("ths_adjustment_nv_fund",F$3,$A9))</f>
        <v/>
      </c>
      <c r="G9" s="198">
        <f>IF($A9="","",[1]!thsiFinD("ths_adjustment_nv_fund",G$3,$A9))</f>
        <v/>
      </c>
      <c r="H9" s="198">
        <f>IF($A9="","",[1]!thsiFinD("ths_adjustment_nv_fund",H$3,$A9))</f>
        <v/>
      </c>
      <c r="I9" s="198">
        <f>IF($A9="","",[1]!thsiFinD("ths_adjustment_nv_fund",I$3,$A9))</f>
        <v/>
      </c>
      <c r="J9" s="198">
        <f>IF($A9="","",[1]!thsiFinD("ths_adjustment_nv_fund",J$3,$A9))</f>
        <v/>
      </c>
      <c r="K9" s="198">
        <f>IF($A9="","",[1]!thsiFinD("ths_adjustment_nv_fund",K$3,$A9))</f>
        <v/>
      </c>
      <c r="L9" s="198">
        <f>IF($A9="","",[1]!thsiFinD("ths_adjustment_nv_fund",L$3,$A9))</f>
        <v/>
      </c>
      <c r="M9" s="198">
        <f>IF($A9="","",[1]!thsiFinD("ths_adjustment_nv_fund",M$3,$A9))</f>
        <v/>
      </c>
      <c r="N9" s="198">
        <f>IF($A9="","",[1]!thsiFinD("ths_adjustment_nv_fund",N$3,$A9))</f>
        <v/>
      </c>
      <c r="O9" s="198">
        <f>IF($A9="","",[1]!thsiFinD("ths_adjustment_nv_fund",O$3,$A9))</f>
        <v/>
      </c>
      <c r="P9" s="198">
        <f>IF($A9="","",[1]!thsiFinD("ths_adjustment_nv_fund",P$3,$A9))</f>
        <v/>
      </c>
      <c r="Q9" s="198">
        <f>IF($A9="","",[1]!thsiFinD("ths_adjustment_nv_fund",Q$3,$A9))</f>
        <v/>
      </c>
      <c r="R9" s="198">
        <f>IF($A9="","",[1]!thsiFinD("ths_adjustment_nv_fund",R$3,$A9))</f>
        <v/>
      </c>
      <c r="S9" s="198">
        <f>IF($A9="","",[1]!thsiFinD("ths_adjustment_nv_fund",S$3,$A9))</f>
        <v/>
      </c>
      <c r="T9" s="198">
        <f>IF($A9="","",[1]!thsiFinD("ths_adjustment_nv_fund",T$3,$A9))</f>
        <v/>
      </c>
      <c r="U9" s="198">
        <f>IF($A9="","",[1]!thsiFinD("ths_adjustment_nv_fund",U$3,$A9))</f>
        <v/>
      </c>
      <c r="V9" s="198">
        <f>IF($A9="","",[1]!thsiFinD("ths_adjustment_nv_fund",V$3,$A9))</f>
        <v/>
      </c>
      <c r="W9" s="198">
        <f>IF($A9="","",[1]!thsiFinD("ths_adjustment_nv_fund",W$3,$A9))</f>
        <v/>
      </c>
      <c r="X9" s="198">
        <f>IF($A9="","",[1]!thsiFinD("ths_adjustment_nv_fund",X$3,$A9))</f>
        <v/>
      </c>
    </row>
    <row r="10">
      <c r="A10" s="197" t="n">
        <v>46199</v>
      </c>
      <c r="B10" s="198">
        <f>IF($A10="","",[1]!thsiFinD("ths_adjustment_nv_fund",B$3,$A10))</f>
        <v/>
      </c>
      <c r="C10" s="198">
        <f>IF($A10="","",[1]!thsiFinD("ths_adjustment_nv_fund",C$3,$A10))</f>
        <v/>
      </c>
      <c r="D10" s="198">
        <f>IF($A10="","",[1]!thsiFinD("ths_adjustment_nv_fund",D$3,$A10))</f>
        <v/>
      </c>
      <c r="E10" s="198">
        <f>IF($A10="","",[1]!thsiFinD("ths_adjustment_nv_fund",E$3,$A10))</f>
        <v/>
      </c>
      <c r="F10" s="198">
        <f>IF($A10="","",[1]!thsiFinD("ths_adjustment_nv_fund",F$3,$A10))</f>
        <v/>
      </c>
      <c r="G10" s="198">
        <f>IF($A10="","",[1]!thsiFinD("ths_adjustment_nv_fund",G$3,$A10))</f>
        <v/>
      </c>
      <c r="H10" s="198">
        <f>IF($A10="","",[1]!thsiFinD("ths_adjustment_nv_fund",H$3,$A10))</f>
        <v/>
      </c>
      <c r="I10" s="198">
        <f>IF($A10="","",[1]!thsiFinD("ths_adjustment_nv_fund",I$3,$A10))</f>
        <v/>
      </c>
      <c r="J10" s="198">
        <f>IF($A10="","",[1]!thsiFinD("ths_adjustment_nv_fund",J$3,$A10))</f>
        <v/>
      </c>
      <c r="K10" s="198">
        <f>IF($A10="","",[1]!thsiFinD("ths_adjustment_nv_fund",K$3,$A10))</f>
        <v/>
      </c>
      <c r="L10" s="198">
        <f>IF($A10="","",[1]!thsiFinD("ths_adjustment_nv_fund",L$3,$A10))</f>
        <v/>
      </c>
      <c r="M10" s="198">
        <f>IF($A10="","",[1]!thsiFinD("ths_adjustment_nv_fund",M$3,$A10))</f>
        <v/>
      </c>
      <c r="N10" s="198">
        <f>IF($A10="","",[1]!thsiFinD("ths_adjustment_nv_fund",N$3,$A10))</f>
        <v/>
      </c>
      <c r="O10" s="198">
        <f>IF($A10="","",[1]!thsiFinD("ths_adjustment_nv_fund",O$3,$A10))</f>
        <v/>
      </c>
      <c r="P10" s="198">
        <f>IF($A10="","",[1]!thsiFinD("ths_adjustment_nv_fund",P$3,$A10))</f>
        <v/>
      </c>
      <c r="Q10" s="198">
        <f>IF($A10="","",[1]!thsiFinD("ths_adjustment_nv_fund",Q$3,$A10))</f>
        <v/>
      </c>
      <c r="R10" s="198">
        <f>IF($A10="","",[1]!thsiFinD("ths_adjustment_nv_fund",R$3,$A10))</f>
        <v/>
      </c>
      <c r="S10" s="198">
        <f>IF($A10="","",[1]!thsiFinD("ths_adjustment_nv_fund",S$3,$A10))</f>
        <v/>
      </c>
      <c r="T10" s="198">
        <f>IF($A10="","",[1]!thsiFinD("ths_adjustment_nv_fund",T$3,$A10))</f>
        <v/>
      </c>
      <c r="U10" s="198">
        <f>IF($A10="","",[1]!thsiFinD("ths_adjustment_nv_fund",U$3,$A10))</f>
        <v/>
      </c>
      <c r="V10" s="198">
        <f>IF($A10="","",[1]!thsiFinD("ths_adjustment_nv_fund",V$3,$A10))</f>
        <v/>
      </c>
      <c r="W10" s="198">
        <f>IF($A10="","",[1]!thsiFinD("ths_adjustment_nv_fund",W$3,$A10))</f>
        <v/>
      </c>
      <c r="X10" s="198">
        <f>IF($A10="","",[1]!thsiFinD("ths_adjustment_nv_fund",X$3,$A10))</f>
        <v/>
      </c>
    </row>
    <row r="11">
      <c r="A11" s="197" t="n">
        <v>46202</v>
      </c>
      <c r="B11" s="198">
        <f>IF($A11="","",[1]!thsiFinD("ths_adjustment_nv_fund",B$3,$A11))</f>
        <v/>
      </c>
      <c r="C11" s="198">
        <f>IF($A11="","",[1]!thsiFinD("ths_adjustment_nv_fund",C$3,$A11))</f>
        <v/>
      </c>
      <c r="D11" s="198">
        <f>IF($A11="","",[1]!thsiFinD("ths_adjustment_nv_fund",D$3,$A11))</f>
        <v/>
      </c>
      <c r="E11" s="198">
        <f>IF($A11="","",[1]!thsiFinD("ths_adjustment_nv_fund",E$3,$A11))</f>
        <v/>
      </c>
      <c r="F11" s="198">
        <f>IF($A11="","",[1]!thsiFinD("ths_adjustment_nv_fund",F$3,$A11))</f>
        <v/>
      </c>
      <c r="G11" s="198">
        <f>IF($A11="","",[1]!thsiFinD("ths_adjustment_nv_fund",G$3,$A11))</f>
        <v/>
      </c>
      <c r="H11" s="198">
        <f>IF($A11="","",[1]!thsiFinD("ths_adjustment_nv_fund",H$3,$A11))</f>
        <v/>
      </c>
      <c r="I11" s="198">
        <f>IF($A11="","",[1]!thsiFinD("ths_adjustment_nv_fund",I$3,$A11))</f>
        <v/>
      </c>
      <c r="J11" s="198">
        <f>IF($A11="","",[1]!thsiFinD("ths_adjustment_nv_fund",J$3,$A11))</f>
        <v/>
      </c>
      <c r="K11" s="198">
        <f>IF($A11="","",[1]!thsiFinD("ths_adjustment_nv_fund",K$3,$A11))</f>
        <v/>
      </c>
      <c r="L11" s="198">
        <f>IF($A11="","",[1]!thsiFinD("ths_adjustment_nv_fund",L$3,$A11))</f>
        <v/>
      </c>
      <c r="M11" s="198">
        <f>IF($A11="","",[1]!thsiFinD("ths_adjustment_nv_fund",M$3,$A11))</f>
        <v/>
      </c>
      <c r="N11" s="198">
        <f>IF($A11="","",[1]!thsiFinD("ths_adjustment_nv_fund",N$3,$A11))</f>
        <v/>
      </c>
      <c r="O11" s="198">
        <f>IF($A11="","",[1]!thsiFinD("ths_adjustment_nv_fund",O$3,$A11))</f>
        <v/>
      </c>
      <c r="P11" s="198">
        <f>IF($A11="","",[1]!thsiFinD("ths_adjustment_nv_fund",P$3,$A11))</f>
        <v/>
      </c>
      <c r="Q11" s="198">
        <f>IF($A11="","",[1]!thsiFinD("ths_adjustment_nv_fund",Q$3,$A11))</f>
        <v/>
      </c>
      <c r="R11" s="198">
        <f>IF($A11="","",[1]!thsiFinD("ths_adjustment_nv_fund",R$3,$A11))</f>
        <v/>
      </c>
      <c r="S11" s="198">
        <f>IF($A11="","",[1]!thsiFinD("ths_adjustment_nv_fund",S$3,$A11))</f>
        <v/>
      </c>
      <c r="T11" s="198">
        <f>IF($A11="","",[1]!thsiFinD("ths_adjustment_nv_fund",T$3,$A11))</f>
        <v/>
      </c>
      <c r="U11" s="198">
        <f>IF($A11="","",[1]!thsiFinD("ths_adjustment_nv_fund",U$3,$A11))</f>
        <v/>
      </c>
      <c r="V11" s="198">
        <f>IF($A11="","",[1]!thsiFinD("ths_adjustment_nv_fund",V$3,$A11))</f>
        <v/>
      </c>
      <c r="W11" s="198">
        <f>IF($A11="","",[1]!thsiFinD("ths_adjustment_nv_fund",W$3,$A11))</f>
        <v/>
      </c>
      <c r="X11" s="198">
        <f>IF($A11="","",[1]!thsiFinD("ths_adjustment_nv_fund",X$3,$A11))</f>
        <v/>
      </c>
    </row>
    <row r="12">
      <c r="A12" s="197" t="n">
        <v>46203</v>
      </c>
      <c r="B12" s="198">
        <f>IF($A12="","",[1]!thsiFinD("ths_adjustment_nv_fund",B$3,$A12))</f>
        <v/>
      </c>
      <c r="C12" s="198">
        <f>IF($A12="","",[1]!thsiFinD("ths_adjustment_nv_fund",C$3,$A12))</f>
        <v/>
      </c>
      <c r="D12" s="198">
        <f>IF($A12="","",[1]!thsiFinD("ths_adjustment_nv_fund",D$3,$A12))</f>
        <v/>
      </c>
      <c r="E12" s="198">
        <f>IF($A12="","",[1]!thsiFinD("ths_adjustment_nv_fund",E$3,$A12))</f>
        <v/>
      </c>
      <c r="F12" s="198">
        <f>IF($A12="","",[1]!thsiFinD("ths_adjustment_nv_fund",F$3,$A12))</f>
        <v/>
      </c>
      <c r="G12" s="198">
        <f>IF($A12="","",[1]!thsiFinD("ths_adjustment_nv_fund",G$3,$A12))</f>
        <v/>
      </c>
      <c r="H12" s="198">
        <f>IF($A12="","",[1]!thsiFinD("ths_adjustment_nv_fund",H$3,$A12))</f>
        <v/>
      </c>
      <c r="I12" s="198">
        <f>IF($A12="","",[1]!thsiFinD("ths_adjustment_nv_fund",I$3,$A12))</f>
        <v/>
      </c>
      <c r="J12" s="198">
        <f>IF($A12="","",[1]!thsiFinD("ths_adjustment_nv_fund",J$3,$A12))</f>
        <v/>
      </c>
      <c r="K12" s="198">
        <f>IF($A12="","",[1]!thsiFinD("ths_adjustment_nv_fund",K$3,$A12))</f>
        <v/>
      </c>
      <c r="L12" s="198">
        <f>IF($A12="","",[1]!thsiFinD("ths_adjustment_nv_fund",L$3,$A12))</f>
        <v/>
      </c>
      <c r="M12" s="198">
        <f>IF($A12="","",[1]!thsiFinD("ths_adjustment_nv_fund",M$3,$A12))</f>
        <v/>
      </c>
      <c r="N12" s="198">
        <f>IF($A12="","",[1]!thsiFinD("ths_adjustment_nv_fund",N$3,$A12))</f>
        <v/>
      </c>
      <c r="O12" s="198">
        <f>IF($A12="","",[1]!thsiFinD("ths_adjustment_nv_fund",O$3,$A12))</f>
        <v/>
      </c>
      <c r="P12" s="198">
        <f>IF($A12="","",[1]!thsiFinD("ths_adjustment_nv_fund",P$3,$A12))</f>
        <v/>
      </c>
      <c r="Q12" s="198">
        <f>IF($A12="","",[1]!thsiFinD("ths_adjustment_nv_fund",Q$3,$A12))</f>
        <v/>
      </c>
      <c r="R12" s="198">
        <f>IF($A12="","",[1]!thsiFinD("ths_adjustment_nv_fund",R$3,$A12))</f>
        <v/>
      </c>
      <c r="S12" s="198">
        <f>IF($A12="","",[1]!thsiFinD("ths_adjustment_nv_fund",S$3,$A12))</f>
        <v/>
      </c>
      <c r="T12" s="198">
        <f>IF($A12="","",[1]!thsiFinD("ths_adjustment_nv_fund",T$3,$A12))</f>
        <v/>
      </c>
      <c r="U12" s="198">
        <f>IF($A12="","",[1]!thsiFinD("ths_adjustment_nv_fund",U$3,$A12))</f>
        <v/>
      </c>
      <c r="V12" s="198">
        <f>IF($A12="","",[1]!thsiFinD("ths_adjustment_nv_fund",V$3,$A12))</f>
        <v/>
      </c>
      <c r="W12" s="198">
        <f>IF($A12="","",[1]!thsiFinD("ths_adjustment_nv_fund",W$3,$A12))</f>
        <v/>
      </c>
      <c r="X12" s="198">
        <f>IF($A12="","",[1]!thsiFinD("ths_adjustment_nv_fund",X$3,$A12))</f>
        <v/>
      </c>
    </row>
    <row r="13">
      <c r="A13" s="197" t="n">
        <v>46204</v>
      </c>
      <c r="B13" s="198">
        <f>IF($A13="","",[1]!thsiFinD("ths_adjustment_nv_fund",B$3,$A13))</f>
        <v/>
      </c>
      <c r="C13" s="198">
        <f>IF($A13="","",[1]!thsiFinD("ths_adjustment_nv_fund",C$3,$A13))</f>
        <v/>
      </c>
      <c r="D13" s="198">
        <f>IF($A13="","",[1]!thsiFinD("ths_adjustment_nv_fund",D$3,$A13))</f>
        <v/>
      </c>
      <c r="E13" s="198">
        <f>IF($A13="","",[1]!thsiFinD("ths_adjustment_nv_fund",E$3,$A13))</f>
        <v/>
      </c>
      <c r="F13" s="198">
        <f>IF($A13="","",[1]!thsiFinD("ths_adjustment_nv_fund",F$3,$A13))</f>
        <v/>
      </c>
      <c r="G13" s="198">
        <f>IF($A13="","",[1]!thsiFinD("ths_adjustment_nv_fund",G$3,$A13))</f>
        <v/>
      </c>
      <c r="H13" s="198">
        <f>IF($A13="","",[1]!thsiFinD("ths_adjustment_nv_fund",H$3,$A13))</f>
        <v/>
      </c>
      <c r="I13" s="198">
        <f>IF($A13="","",[1]!thsiFinD("ths_adjustment_nv_fund",I$3,$A13))</f>
        <v/>
      </c>
      <c r="J13" s="198">
        <f>IF($A13="","",[1]!thsiFinD("ths_adjustment_nv_fund",J$3,$A13))</f>
        <v/>
      </c>
      <c r="K13" s="198">
        <f>IF($A13="","",[1]!thsiFinD("ths_adjustment_nv_fund",K$3,$A13))</f>
        <v/>
      </c>
      <c r="L13" s="198">
        <f>IF($A13="","",[1]!thsiFinD("ths_adjustment_nv_fund",L$3,$A13))</f>
        <v/>
      </c>
      <c r="M13" s="198">
        <f>IF($A13="","",[1]!thsiFinD("ths_adjustment_nv_fund",M$3,$A13))</f>
        <v/>
      </c>
      <c r="N13" s="198">
        <f>IF($A13="","",[1]!thsiFinD("ths_adjustment_nv_fund",N$3,$A13))</f>
        <v/>
      </c>
      <c r="O13" s="198">
        <f>IF($A13="","",[1]!thsiFinD("ths_adjustment_nv_fund",O$3,$A13))</f>
        <v/>
      </c>
      <c r="P13" s="198">
        <f>IF($A13="","",[1]!thsiFinD("ths_adjustment_nv_fund",P$3,$A13))</f>
        <v/>
      </c>
      <c r="Q13" s="198">
        <f>IF($A13="","",[1]!thsiFinD("ths_adjustment_nv_fund",Q$3,$A13))</f>
        <v/>
      </c>
      <c r="R13" s="198">
        <f>IF($A13="","",[1]!thsiFinD("ths_adjustment_nv_fund",R$3,$A13))</f>
        <v/>
      </c>
      <c r="S13" s="198">
        <f>IF($A13="","",[1]!thsiFinD("ths_adjustment_nv_fund",S$3,$A13))</f>
        <v/>
      </c>
      <c r="T13" s="198">
        <f>IF($A13="","",[1]!thsiFinD("ths_adjustment_nv_fund",T$3,$A13))</f>
        <v/>
      </c>
      <c r="U13" s="198">
        <f>IF($A13="","",[1]!thsiFinD("ths_adjustment_nv_fund",U$3,$A13))</f>
        <v/>
      </c>
      <c r="V13" s="198">
        <f>IF($A13="","",[1]!thsiFinD("ths_adjustment_nv_fund",V$3,$A13))</f>
        <v/>
      </c>
      <c r="W13" s="198">
        <f>IF($A13="","",[1]!thsiFinD("ths_adjustment_nv_fund",W$3,$A13))</f>
        <v/>
      </c>
      <c r="X13" s="198">
        <f>IF($A13="","",[1]!thsiFinD("ths_adjustment_nv_fund",X$3,$A13))</f>
        <v/>
      </c>
    </row>
    <row r="14">
      <c r="A14" s="197" t="n">
        <v>46205</v>
      </c>
      <c r="B14" s="198">
        <f>IF($A14="","",[1]!thsiFinD("ths_adjustment_nv_fund",B$3,$A14))</f>
        <v/>
      </c>
      <c r="C14" s="198">
        <f>IF($A14="","",[1]!thsiFinD("ths_adjustment_nv_fund",C$3,$A14))</f>
        <v/>
      </c>
      <c r="D14" s="198">
        <f>IF($A14="","",[1]!thsiFinD("ths_adjustment_nv_fund",D$3,$A14))</f>
        <v/>
      </c>
      <c r="E14" s="198">
        <f>IF($A14="","",[1]!thsiFinD("ths_adjustment_nv_fund",E$3,$A14))</f>
        <v/>
      </c>
      <c r="F14" s="198">
        <f>IF($A14="","",[1]!thsiFinD("ths_adjustment_nv_fund",F$3,$A14))</f>
        <v/>
      </c>
      <c r="G14" s="198">
        <f>IF($A14="","",[1]!thsiFinD("ths_adjustment_nv_fund",G$3,$A14))</f>
        <v/>
      </c>
      <c r="H14" s="198">
        <f>IF($A14="","",[1]!thsiFinD("ths_adjustment_nv_fund",H$3,$A14))</f>
        <v/>
      </c>
      <c r="I14" s="198">
        <f>IF($A14="","",[1]!thsiFinD("ths_adjustment_nv_fund",I$3,$A14))</f>
        <v/>
      </c>
      <c r="J14" s="198">
        <f>IF($A14="","",[1]!thsiFinD("ths_adjustment_nv_fund",J$3,$A14))</f>
        <v/>
      </c>
      <c r="K14" s="198">
        <f>IF($A14="","",[1]!thsiFinD("ths_adjustment_nv_fund",K$3,$A14))</f>
        <v/>
      </c>
      <c r="L14" s="198">
        <f>IF($A14="","",[1]!thsiFinD("ths_adjustment_nv_fund",L$3,$A14))</f>
        <v/>
      </c>
      <c r="M14" s="198">
        <f>IF($A14="","",[1]!thsiFinD("ths_adjustment_nv_fund",M$3,$A14))</f>
        <v/>
      </c>
      <c r="N14" s="198">
        <f>IF($A14="","",[1]!thsiFinD("ths_adjustment_nv_fund",N$3,$A14))</f>
        <v/>
      </c>
      <c r="O14" s="198">
        <f>IF($A14="","",[1]!thsiFinD("ths_adjustment_nv_fund",O$3,$A14))</f>
        <v/>
      </c>
      <c r="P14" s="198">
        <f>IF($A14="","",[1]!thsiFinD("ths_adjustment_nv_fund",P$3,$A14))</f>
        <v/>
      </c>
      <c r="Q14" s="198">
        <f>IF($A14="","",[1]!thsiFinD("ths_adjustment_nv_fund",Q$3,$A14))</f>
        <v/>
      </c>
      <c r="R14" s="198">
        <f>IF($A14="","",[1]!thsiFinD("ths_adjustment_nv_fund",R$3,$A14))</f>
        <v/>
      </c>
      <c r="S14" s="198">
        <f>IF($A14="","",[1]!thsiFinD("ths_adjustment_nv_fund",S$3,$A14))</f>
        <v/>
      </c>
      <c r="T14" s="198">
        <f>IF($A14="","",[1]!thsiFinD("ths_adjustment_nv_fund",T$3,$A14))</f>
        <v/>
      </c>
      <c r="U14" s="198">
        <f>IF($A14="","",[1]!thsiFinD("ths_adjustment_nv_fund",U$3,$A14))</f>
        <v/>
      </c>
      <c r="V14" s="198">
        <f>IF($A14="","",[1]!thsiFinD("ths_adjustment_nv_fund",V$3,$A14))</f>
        <v/>
      </c>
      <c r="W14" s="198">
        <f>IF($A14="","",[1]!thsiFinD("ths_adjustment_nv_fund",W$3,$A14))</f>
        <v/>
      </c>
      <c r="X14" s="198">
        <f>IF($A14="","",[1]!thsiFinD("ths_adjustment_nv_fund",X$3,$A14))</f>
        <v/>
      </c>
    </row>
    <row r="15">
      <c r="A15" s="197" t="n">
        <v>46206</v>
      </c>
      <c r="B15" s="198">
        <f>IF($A15="","",[1]!thsiFinD("ths_adjustment_nv_fund",B$3,$A15))</f>
        <v/>
      </c>
      <c r="C15" s="198">
        <f>IF($A15="","",[1]!thsiFinD("ths_adjustment_nv_fund",C$3,$A15))</f>
        <v/>
      </c>
      <c r="D15" s="198">
        <f>IF($A15="","",[1]!thsiFinD("ths_adjustment_nv_fund",D$3,$A15))</f>
        <v/>
      </c>
      <c r="E15" s="198">
        <f>IF($A15="","",[1]!thsiFinD("ths_adjustment_nv_fund",E$3,$A15))</f>
        <v/>
      </c>
      <c r="F15" s="198">
        <f>IF($A15="","",[1]!thsiFinD("ths_adjustment_nv_fund",F$3,$A15))</f>
        <v/>
      </c>
      <c r="G15" s="198">
        <f>IF($A15="","",[1]!thsiFinD("ths_adjustment_nv_fund",G$3,$A15))</f>
        <v/>
      </c>
      <c r="H15" s="198">
        <f>IF($A15="","",[1]!thsiFinD("ths_adjustment_nv_fund",H$3,$A15))</f>
        <v/>
      </c>
      <c r="I15" s="198">
        <f>IF($A15="","",[1]!thsiFinD("ths_adjustment_nv_fund",I$3,$A15))</f>
        <v/>
      </c>
      <c r="J15" s="198">
        <f>IF($A15="","",[1]!thsiFinD("ths_adjustment_nv_fund",J$3,$A15))</f>
        <v/>
      </c>
      <c r="K15" s="198">
        <f>IF($A15="","",[1]!thsiFinD("ths_adjustment_nv_fund",K$3,$A15))</f>
        <v/>
      </c>
      <c r="L15" s="198">
        <f>IF($A15="","",[1]!thsiFinD("ths_adjustment_nv_fund",L$3,$A15))</f>
        <v/>
      </c>
      <c r="M15" s="198">
        <f>IF($A15="","",[1]!thsiFinD("ths_adjustment_nv_fund",M$3,$A15))</f>
        <v/>
      </c>
      <c r="N15" s="198">
        <f>IF($A15="","",[1]!thsiFinD("ths_adjustment_nv_fund",N$3,$A15))</f>
        <v/>
      </c>
      <c r="O15" s="198">
        <f>IF($A15="","",[1]!thsiFinD("ths_adjustment_nv_fund",O$3,$A15))</f>
        <v/>
      </c>
      <c r="P15" s="198">
        <f>IF($A15="","",[1]!thsiFinD("ths_adjustment_nv_fund",P$3,$A15))</f>
        <v/>
      </c>
      <c r="Q15" s="198">
        <f>IF($A15="","",[1]!thsiFinD("ths_adjustment_nv_fund",Q$3,$A15))</f>
        <v/>
      </c>
      <c r="R15" s="198">
        <f>IF($A15="","",[1]!thsiFinD("ths_adjustment_nv_fund",R$3,$A15))</f>
        <v/>
      </c>
      <c r="S15" s="198">
        <f>IF($A15="","",[1]!thsiFinD("ths_adjustment_nv_fund",S$3,$A15))</f>
        <v/>
      </c>
      <c r="T15" s="198">
        <f>IF($A15="","",[1]!thsiFinD("ths_adjustment_nv_fund",T$3,$A15))</f>
        <v/>
      </c>
      <c r="U15" s="198">
        <f>IF($A15="","",[1]!thsiFinD("ths_adjustment_nv_fund",U$3,$A15))</f>
        <v/>
      </c>
      <c r="V15" s="198">
        <f>IF($A15="","",[1]!thsiFinD("ths_adjustment_nv_fund",V$3,$A15))</f>
        <v/>
      </c>
      <c r="W15" s="198">
        <f>IF($A15="","",[1]!thsiFinD("ths_adjustment_nv_fund",W$3,$A15))</f>
        <v/>
      </c>
      <c r="X15" s="198">
        <f>IF($A15="","",[1]!thsiFinD("ths_adjustment_nv_fund",X$3,$A15))</f>
        <v/>
      </c>
    </row>
    <row r="16">
      <c r="A16" s="197" t="n">
        <v>46209</v>
      </c>
      <c r="B16" s="198">
        <f>IF($A16="","",[1]!thsiFinD("ths_adjustment_nv_fund",B$3,$A16))</f>
        <v/>
      </c>
      <c r="C16" s="198">
        <f>IF($A16="","",[1]!thsiFinD("ths_adjustment_nv_fund",C$3,$A16))</f>
        <v/>
      </c>
      <c r="D16" s="198">
        <f>IF($A16="","",[1]!thsiFinD("ths_adjustment_nv_fund",D$3,$A16))</f>
        <v/>
      </c>
      <c r="E16" s="198">
        <f>IF($A16="","",[1]!thsiFinD("ths_adjustment_nv_fund",E$3,$A16))</f>
        <v/>
      </c>
      <c r="F16" s="198">
        <f>IF($A16="","",[1]!thsiFinD("ths_adjustment_nv_fund",F$3,$A16))</f>
        <v/>
      </c>
      <c r="G16" s="198">
        <f>IF($A16="","",[1]!thsiFinD("ths_adjustment_nv_fund",G$3,$A16))</f>
        <v/>
      </c>
      <c r="H16" s="198">
        <f>IF($A16="","",[1]!thsiFinD("ths_adjustment_nv_fund",H$3,$A16))</f>
        <v/>
      </c>
      <c r="I16" s="198">
        <f>IF($A16="","",[1]!thsiFinD("ths_adjustment_nv_fund",I$3,$A16))</f>
        <v/>
      </c>
      <c r="J16" s="198">
        <f>IF($A16="","",[1]!thsiFinD("ths_adjustment_nv_fund",J$3,$A16))</f>
        <v/>
      </c>
      <c r="K16" s="198">
        <f>IF($A16="","",[1]!thsiFinD("ths_adjustment_nv_fund",K$3,$A16))</f>
        <v/>
      </c>
      <c r="L16" s="198">
        <f>IF($A16="","",[1]!thsiFinD("ths_adjustment_nv_fund",L$3,$A16))</f>
        <v/>
      </c>
      <c r="M16" s="198">
        <f>IF($A16="","",[1]!thsiFinD("ths_adjustment_nv_fund",M$3,$A16))</f>
        <v/>
      </c>
      <c r="N16" s="198">
        <f>IF($A16="","",[1]!thsiFinD("ths_adjustment_nv_fund",N$3,$A16))</f>
        <v/>
      </c>
      <c r="O16" s="198">
        <f>IF($A16="","",[1]!thsiFinD("ths_adjustment_nv_fund",O$3,$A16))</f>
        <v/>
      </c>
      <c r="P16" s="198">
        <f>IF($A16="","",[1]!thsiFinD("ths_adjustment_nv_fund",P$3,$A16))</f>
        <v/>
      </c>
      <c r="Q16" s="198">
        <f>IF($A16="","",[1]!thsiFinD("ths_adjustment_nv_fund",Q$3,$A16))</f>
        <v/>
      </c>
      <c r="R16" s="198">
        <f>IF($A16="","",[1]!thsiFinD("ths_adjustment_nv_fund",R$3,$A16))</f>
        <v/>
      </c>
      <c r="S16" s="198">
        <f>IF($A16="","",[1]!thsiFinD("ths_adjustment_nv_fund",S$3,$A16))</f>
        <v/>
      </c>
      <c r="T16" s="198">
        <f>IF($A16="","",[1]!thsiFinD("ths_adjustment_nv_fund",T$3,$A16))</f>
        <v/>
      </c>
      <c r="U16" s="198">
        <f>IF($A16="","",[1]!thsiFinD("ths_adjustment_nv_fund",U$3,$A16))</f>
        <v/>
      </c>
      <c r="V16" s="198">
        <f>IF($A16="","",[1]!thsiFinD("ths_adjustment_nv_fund",V$3,$A16))</f>
        <v/>
      </c>
      <c r="W16" s="198">
        <f>IF($A16="","",[1]!thsiFinD("ths_adjustment_nv_fund",W$3,$A16))</f>
        <v/>
      </c>
      <c r="X16" s="198">
        <f>IF($A16="","",[1]!thsiFinD("ths_adjustment_nv_fund",X$3,$A16))</f>
        <v/>
      </c>
    </row>
    <row r="17">
      <c r="A17" s="197" t="n"/>
      <c r="B17" s="198">
        <f>IF($A17="","",[1]!thsiFinD("ths_adjustment_nv_fund",B$3,$A17))</f>
        <v/>
      </c>
      <c r="C17" s="198">
        <f>IF($A17="","",[1]!thsiFinD("ths_adjustment_nv_fund",C$3,$A17))</f>
        <v/>
      </c>
      <c r="D17" s="198">
        <f>IF($A17="","",[1]!thsiFinD("ths_adjustment_nv_fund",D$3,$A17))</f>
        <v/>
      </c>
      <c r="E17" s="198">
        <f>IF($A17="","",[1]!thsiFinD("ths_adjustment_nv_fund",E$3,$A17))</f>
        <v/>
      </c>
      <c r="F17" s="198">
        <f>IF($A17="","",[1]!thsiFinD("ths_adjustment_nv_fund",F$3,$A17))</f>
        <v/>
      </c>
      <c r="G17" s="198">
        <f>IF($A17="","",[1]!thsiFinD("ths_adjustment_nv_fund",G$3,$A17))</f>
        <v/>
      </c>
      <c r="H17" s="198">
        <f>IF($A17="","",[1]!thsiFinD("ths_adjustment_nv_fund",H$3,$A17))</f>
        <v/>
      </c>
      <c r="I17" s="198">
        <f>IF($A17="","",[1]!thsiFinD("ths_adjustment_nv_fund",I$3,$A17))</f>
        <v/>
      </c>
      <c r="J17" s="198">
        <f>IF($A17="","",[1]!thsiFinD("ths_adjustment_nv_fund",J$3,$A17))</f>
        <v/>
      </c>
      <c r="K17" s="198">
        <f>IF($A17="","",[1]!thsiFinD("ths_adjustment_nv_fund",K$3,$A17))</f>
        <v/>
      </c>
      <c r="L17" s="198">
        <f>IF($A17="","",[1]!thsiFinD("ths_adjustment_nv_fund",L$3,$A17))</f>
        <v/>
      </c>
      <c r="M17" s="198">
        <f>IF($A17="","",[1]!thsiFinD("ths_adjustment_nv_fund",M$3,$A17))</f>
        <v/>
      </c>
      <c r="N17" s="198">
        <f>IF($A17="","",[1]!thsiFinD("ths_adjustment_nv_fund",N$3,$A17))</f>
        <v/>
      </c>
      <c r="O17" s="198">
        <f>IF($A17="","",[1]!thsiFinD("ths_adjustment_nv_fund",O$3,$A17))</f>
        <v/>
      </c>
      <c r="P17" s="198">
        <f>IF($A17="","",[1]!thsiFinD("ths_adjustment_nv_fund",P$3,$A17))</f>
        <v/>
      </c>
      <c r="Q17" s="198">
        <f>IF($A17="","",[1]!thsiFinD("ths_adjustment_nv_fund",Q$3,$A17))</f>
        <v/>
      </c>
      <c r="R17" s="198">
        <f>IF($A17="","",[1]!thsiFinD("ths_adjustment_nv_fund",R$3,$A17))</f>
        <v/>
      </c>
      <c r="S17" s="198">
        <f>IF($A17="","",[1]!thsiFinD("ths_adjustment_nv_fund",S$3,$A17))</f>
        <v/>
      </c>
      <c r="T17" s="198">
        <f>IF($A17="","",[1]!thsiFinD("ths_adjustment_nv_fund",T$3,$A17))</f>
        <v/>
      </c>
      <c r="U17" s="198">
        <f>IF($A17="","",[1]!thsiFinD("ths_adjustment_nv_fund",U$3,$A17))</f>
        <v/>
      </c>
      <c r="V17" s="198">
        <f>IF($A17="","",[1]!thsiFinD("ths_adjustment_nv_fund",V$3,$A17))</f>
        <v/>
      </c>
      <c r="W17" s="198">
        <f>IF($A17="","",[1]!thsiFinD("ths_adjustment_nv_fund",W$3,$A17))</f>
        <v/>
      </c>
      <c r="X17" s="198">
        <f>IF($A17="","",[1]!thsiFinD("ths_adjustment_nv_fund",X$3,$A17))</f>
        <v/>
      </c>
    </row>
    <row r="18">
      <c r="A18" s="197" t="n"/>
      <c r="B18" s="198">
        <f>IF($A18="","",[1]!thsiFinD("ths_adjustment_nv_fund",B$3,$A18))</f>
        <v/>
      </c>
      <c r="C18" s="198">
        <f>IF($A18="","",[1]!thsiFinD("ths_adjustment_nv_fund",C$3,$A18))</f>
        <v/>
      </c>
      <c r="D18" s="198">
        <f>IF($A18="","",[1]!thsiFinD("ths_adjustment_nv_fund",D$3,$A18))</f>
        <v/>
      </c>
      <c r="E18" s="198">
        <f>IF($A18="","",[1]!thsiFinD("ths_adjustment_nv_fund",E$3,$A18))</f>
        <v/>
      </c>
      <c r="F18" s="198">
        <f>IF($A18="","",[1]!thsiFinD("ths_adjustment_nv_fund",F$3,$A18))</f>
        <v/>
      </c>
      <c r="G18" s="198">
        <f>IF($A18="","",[1]!thsiFinD("ths_adjustment_nv_fund",G$3,$A18))</f>
        <v/>
      </c>
      <c r="H18" s="198">
        <f>IF($A18="","",[1]!thsiFinD("ths_adjustment_nv_fund",H$3,$A18))</f>
        <v/>
      </c>
      <c r="I18" s="198">
        <f>IF($A18="","",[1]!thsiFinD("ths_adjustment_nv_fund",I$3,$A18))</f>
        <v/>
      </c>
      <c r="J18" s="198">
        <f>IF($A18="","",[1]!thsiFinD("ths_adjustment_nv_fund",J$3,$A18))</f>
        <v/>
      </c>
      <c r="K18" s="198">
        <f>IF($A18="","",[1]!thsiFinD("ths_adjustment_nv_fund",K$3,$A18))</f>
        <v/>
      </c>
      <c r="L18" s="198">
        <f>IF($A18="","",[1]!thsiFinD("ths_adjustment_nv_fund",L$3,$A18))</f>
        <v/>
      </c>
      <c r="M18" s="198">
        <f>IF($A18="","",[1]!thsiFinD("ths_adjustment_nv_fund",M$3,$A18))</f>
        <v/>
      </c>
      <c r="N18" s="198">
        <f>IF($A18="","",[1]!thsiFinD("ths_adjustment_nv_fund",N$3,$A18))</f>
        <v/>
      </c>
      <c r="O18" s="198">
        <f>IF($A18="","",[1]!thsiFinD("ths_adjustment_nv_fund",O$3,$A18))</f>
        <v/>
      </c>
      <c r="P18" s="198">
        <f>IF($A18="","",[1]!thsiFinD("ths_adjustment_nv_fund",P$3,$A18))</f>
        <v/>
      </c>
      <c r="Q18" s="198">
        <f>IF($A18="","",[1]!thsiFinD("ths_adjustment_nv_fund",Q$3,$A18))</f>
        <v/>
      </c>
      <c r="R18" s="198">
        <f>IF($A18="","",[1]!thsiFinD("ths_adjustment_nv_fund",R$3,$A18))</f>
        <v/>
      </c>
      <c r="S18" s="198">
        <f>IF($A18="","",[1]!thsiFinD("ths_adjustment_nv_fund",S$3,$A18))</f>
        <v/>
      </c>
      <c r="T18" s="198">
        <f>IF($A18="","",[1]!thsiFinD("ths_adjustment_nv_fund",T$3,$A18))</f>
        <v/>
      </c>
      <c r="U18" s="198">
        <f>IF($A18="","",[1]!thsiFinD("ths_adjustment_nv_fund",U$3,$A18))</f>
        <v/>
      </c>
      <c r="V18" s="198">
        <f>IF($A18="","",[1]!thsiFinD("ths_adjustment_nv_fund",V$3,$A18))</f>
        <v/>
      </c>
      <c r="W18" s="198">
        <f>IF($A18="","",[1]!thsiFinD("ths_adjustment_nv_fund",W$3,$A18))</f>
        <v/>
      </c>
      <c r="X18" s="198">
        <f>IF($A18="","",[1]!thsiFinD("ths_adjustment_nv_fund",X$3,$A18))</f>
        <v/>
      </c>
    </row>
    <row r="19">
      <c r="A19" s="197" t="n"/>
      <c r="B19" s="198">
        <f>IF($A19="","",[1]!thsiFinD("ths_adjustment_nv_fund",B$3,$A19))</f>
        <v/>
      </c>
      <c r="C19" s="198">
        <f>IF($A19="","",[1]!thsiFinD("ths_adjustment_nv_fund",C$3,$A19))</f>
        <v/>
      </c>
      <c r="D19" s="198">
        <f>IF($A19="","",[1]!thsiFinD("ths_adjustment_nv_fund",D$3,$A19))</f>
        <v/>
      </c>
      <c r="E19" s="198">
        <f>IF($A19="","",[1]!thsiFinD("ths_adjustment_nv_fund",E$3,$A19))</f>
        <v/>
      </c>
      <c r="F19" s="198">
        <f>IF($A19="","",[1]!thsiFinD("ths_adjustment_nv_fund",F$3,$A19))</f>
        <v/>
      </c>
      <c r="G19" s="198">
        <f>IF($A19="","",[1]!thsiFinD("ths_adjustment_nv_fund",G$3,$A19))</f>
        <v/>
      </c>
      <c r="H19" s="198">
        <f>IF($A19="","",[1]!thsiFinD("ths_adjustment_nv_fund",H$3,$A19))</f>
        <v/>
      </c>
      <c r="I19" s="198">
        <f>IF($A19="","",[1]!thsiFinD("ths_adjustment_nv_fund",I$3,$A19))</f>
        <v/>
      </c>
      <c r="J19" s="198">
        <f>IF($A19="","",[1]!thsiFinD("ths_adjustment_nv_fund",J$3,$A19))</f>
        <v/>
      </c>
      <c r="K19" s="198">
        <f>IF($A19="","",[1]!thsiFinD("ths_adjustment_nv_fund",K$3,$A19))</f>
        <v/>
      </c>
      <c r="L19" s="198">
        <f>IF($A19="","",[1]!thsiFinD("ths_adjustment_nv_fund",L$3,$A19))</f>
        <v/>
      </c>
      <c r="M19" s="198">
        <f>IF($A19="","",[1]!thsiFinD("ths_adjustment_nv_fund",M$3,$A19))</f>
        <v/>
      </c>
      <c r="N19" s="198">
        <f>IF($A19="","",[1]!thsiFinD("ths_adjustment_nv_fund",N$3,$A19))</f>
        <v/>
      </c>
      <c r="O19" s="198">
        <f>IF($A19="","",[1]!thsiFinD("ths_adjustment_nv_fund",O$3,$A19))</f>
        <v/>
      </c>
      <c r="P19" s="198">
        <f>IF($A19="","",[1]!thsiFinD("ths_adjustment_nv_fund",P$3,$A19))</f>
        <v/>
      </c>
      <c r="Q19" s="198">
        <f>IF($A19="","",[1]!thsiFinD("ths_adjustment_nv_fund",Q$3,$A19))</f>
        <v/>
      </c>
      <c r="R19" s="198">
        <f>IF($A19="","",[1]!thsiFinD("ths_adjustment_nv_fund",R$3,$A19))</f>
        <v/>
      </c>
      <c r="S19" s="198">
        <f>IF($A19="","",[1]!thsiFinD("ths_adjustment_nv_fund",S$3,$A19))</f>
        <v/>
      </c>
      <c r="T19" s="198">
        <f>IF($A19="","",[1]!thsiFinD("ths_adjustment_nv_fund",T$3,$A19))</f>
        <v/>
      </c>
      <c r="U19" s="198">
        <f>IF($A19="","",[1]!thsiFinD("ths_adjustment_nv_fund",U$3,$A19))</f>
        <v/>
      </c>
      <c r="V19" s="198">
        <f>IF($A19="","",[1]!thsiFinD("ths_adjustment_nv_fund",V$3,$A19))</f>
        <v/>
      </c>
      <c r="W19" s="198">
        <f>IF($A19="","",[1]!thsiFinD("ths_adjustment_nv_fund",W$3,$A19))</f>
        <v/>
      </c>
      <c r="X19" s="198">
        <f>IF($A19="","",[1]!thsiFinD("ths_adjustment_nv_fund",X$3,$A19))</f>
        <v/>
      </c>
    </row>
    <row r="20">
      <c r="A20" s="197" t="n"/>
      <c r="B20" s="198">
        <f>IF($A20="","",[1]!thsiFinD("ths_adjustment_nv_fund",B$3,$A20))</f>
        <v/>
      </c>
      <c r="C20" s="198">
        <f>IF($A20="","",[1]!thsiFinD("ths_adjustment_nv_fund",C$3,$A20))</f>
        <v/>
      </c>
      <c r="D20" s="198">
        <f>IF($A20="","",[1]!thsiFinD("ths_adjustment_nv_fund",D$3,$A20))</f>
        <v/>
      </c>
      <c r="E20" s="198">
        <f>IF($A20="","",[1]!thsiFinD("ths_adjustment_nv_fund",E$3,$A20))</f>
        <v/>
      </c>
      <c r="F20" s="198">
        <f>IF($A20="","",[1]!thsiFinD("ths_adjustment_nv_fund",F$3,$A20))</f>
        <v/>
      </c>
      <c r="G20" s="198">
        <f>IF($A20="","",[1]!thsiFinD("ths_adjustment_nv_fund",G$3,$A20))</f>
        <v/>
      </c>
      <c r="H20" s="198">
        <f>IF($A20="","",[1]!thsiFinD("ths_adjustment_nv_fund",H$3,$A20))</f>
        <v/>
      </c>
      <c r="I20" s="198">
        <f>IF($A20="","",[1]!thsiFinD("ths_adjustment_nv_fund",I$3,$A20))</f>
        <v/>
      </c>
      <c r="J20" s="198">
        <f>IF($A20="","",[1]!thsiFinD("ths_adjustment_nv_fund",J$3,$A20))</f>
        <v/>
      </c>
      <c r="K20" s="198">
        <f>IF($A20="","",[1]!thsiFinD("ths_adjustment_nv_fund",K$3,$A20))</f>
        <v/>
      </c>
      <c r="L20" s="198">
        <f>IF($A20="","",[1]!thsiFinD("ths_adjustment_nv_fund",L$3,$A20))</f>
        <v/>
      </c>
      <c r="M20" s="198">
        <f>IF($A20="","",[1]!thsiFinD("ths_adjustment_nv_fund",M$3,$A20))</f>
        <v/>
      </c>
      <c r="N20" s="198">
        <f>IF($A20="","",[1]!thsiFinD("ths_adjustment_nv_fund",N$3,$A20))</f>
        <v/>
      </c>
      <c r="O20" s="198">
        <f>IF($A20="","",[1]!thsiFinD("ths_adjustment_nv_fund",O$3,$A20))</f>
        <v/>
      </c>
      <c r="P20" s="198">
        <f>IF($A20="","",[1]!thsiFinD("ths_adjustment_nv_fund",P$3,$A20))</f>
        <v/>
      </c>
      <c r="Q20" s="198">
        <f>IF($A20="","",[1]!thsiFinD("ths_adjustment_nv_fund",Q$3,$A20))</f>
        <v/>
      </c>
      <c r="R20" s="198">
        <f>IF($A20="","",[1]!thsiFinD("ths_adjustment_nv_fund",R$3,$A20))</f>
        <v/>
      </c>
      <c r="S20" s="198">
        <f>IF($A20="","",[1]!thsiFinD("ths_adjustment_nv_fund",S$3,$A20))</f>
        <v/>
      </c>
      <c r="T20" s="198">
        <f>IF($A20="","",[1]!thsiFinD("ths_adjustment_nv_fund",T$3,$A20))</f>
        <v/>
      </c>
      <c r="U20" s="198">
        <f>IF($A20="","",[1]!thsiFinD("ths_adjustment_nv_fund",U$3,$A20))</f>
        <v/>
      </c>
      <c r="V20" s="198">
        <f>IF($A20="","",[1]!thsiFinD("ths_adjustment_nv_fund",V$3,$A20))</f>
        <v/>
      </c>
      <c r="W20" s="198">
        <f>IF($A20="","",[1]!thsiFinD("ths_adjustment_nv_fund",W$3,$A20))</f>
        <v/>
      </c>
      <c r="X20" s="198">
        <f>IF($A20="","",[1]!thsiFinD("ths_adjustment_nv_fund",X$3,$A20))</f>
        <v/>
      </c>
    </row>
    <row r="21">
      <c r="A21" s="197" t="n"/>
      <c r="B21" s="198">
        <f>IF($A21="","",[1]!thsiFinD("ths_adjustment_nv_fund",B$3,$A21))</f>
        <v/>
      </c>
      <c r="C21" s="198">
        <f>IF($A21="","",[1]!thsiFinD("ths_adjustment_nv_fund",C$3,$A21))</f>
        <v/>
      </c>
      <c r="D21" s="198">
        <f>IF($A21="","",[1]!thsiFinD("ths_adjustment_nv_fund",D$3,$A21))</f>
        <v/>
      </c>
      <c r="E21" s="198">
        <f>IF($A21="","",[1]!thsiFinD("ths_adjustment_nv_fund",E$3,$A21))</f>
        <v/>
      </c>
      <c r="F21" s="198">
        <f>IF($A21="","",[1]!thsiFinD("ths_adjustment_nv_fund",F$3,$A21))</f>
        <v/>
      </c>
      <c r="G21" s="198">
        <f>IF($A21="","",[1]!thsiFinD("ths_adjustment_nv_fund",G$3,$A21))</f>
        <v/>
      </c>
      <c r="H21" s="198">
        <f>IF($A21="","",[1]!thsiFinD("ths_adjustment_nv_fund",H$3,$A21))</f>
        <v/>
      </c>
      <c r="I21" s="198">
        <f>IF($A21="","",[1]!thsiFinD("ths_adjustment_nv_fund",I$3,$A21))</f>
        <v/>
      </c>
      <c r="J21" s="198">
        <f>IF($A21="","",[1]!thsiFinD("ths_adjustment_nv_fund",J$3,$A21))</f>
        <v/>
      </c>
      <c r="K21" s="198">
        <f>IF($A21="","",[1]!thsiFinD("ths_adjustment_nv_fund",K$3,$A21))</f>
        <v/>
      </c>
      <c r="L21" s="198">
        <f>IF($A21="","",[1]!thsiFinD("ths_adjustment_nv_fund",L$3,$A21))</f>
        <v/>
      </c>
      <c r="M21" s="198">
        <f>IF($A21="","",[1]!thsiFinD("ths_adjustment_nv_fund",M$3,$A21))</f>
        <v/>
      </c>
      <c r="N21" s="198">
        <f>IF($A21="","",[1]!thsiFinD("ths_adjustment_nv_fund",N$3,$A21))</f>
        <v/>
      </c>
      <c r="O21" s="198">
        <f>IF($A21="","",[1]!thsiFinD("ths_adjustment_nv_fund",O$3,$A21))</f>
        <v/>
      </c>
      <c r="P21" s="198">
        <f>IF($A21="","",[1]!thsiFinD("ths_adjustment_nv_fund",P$3,$A21))</f>
        <v/>
      </c>
      <c r="Q21" s="198">
        <f>IF($A21="","",[1]!thsiFinD("ths_adjustment_nv_fund",Q$3,$A21))</f>
        <v/>
      </c>
      <c r="R21" s="198">
        <f>IF($A21="","",[1]!thsiFinD("ths_adjustment_nv_fund",R$3,$A21))</f>
        <v/>
      </c>
      <c r="S21" s="198">
        <f>IF($A21="","",[1]!thsiFinD("ths_adjustment_nv_fund",S$3,$A21))</f>
        <v/>
      </c>
      <c r="T21" s="198">
        <f>IF($A21="","",[1]!thsiFinD("ths_adjustment_nv_fund",T$3,$A21))</f>
        <v/>
      </c>
      <c r="U21" s="198">
        <f>IF($A21="","",[1]!thsiFinD("ths_adjustment_nv_fund",U$3,$A21))</f>
        <v/>
      </c>
      <c r="V21" s="198">
        <f>IF($A21="","",[1]!thsiFinD("ths_adjustment_nv_fund",V$3,$A21))</f>
        <v/>
      </c>
      <c r="W21" s="198">
        <f>IF($A21="","",[1]!thsiFinD("ths_adjustment_nv_fund",W$3,$A21))</f>
        <v/>
      </c>
      <c r="X21" s="198">
        <f>IF($A21="","",[1]!thsiFinD("ths_adjustment_nv_fund",X$3,$A21))</f>
        <v/>
      </c>
    </row>
    <row r="22">
      <c r="A22" s="197" t="n"/>
      <c r="B22" s="198">
        <f>IF($A22="","",[1]!thsiFinD("ths_adjustment_nv_fund",B$3,$A22))</f>
        <v/>
      </c>
      <c r="C22" s="198">
        <f>IF($A22="","",[1]!thsiFinD("ths_adjustment_nv_fund",C$3,$A22))</f>
        <v/>
      </c>
      <c r="D22" s="198">
        <f>IF($A22="","",[1]!thsiFinD("ths_adjustment_nv_fund",D$3,$A22))</f>
        <v/>
      </c>
      <c r="E22" s="198">
        <f>IF($A22="","",[1]!thsiFinD("ths_adjustment_nv_fund",E$3,$A22))</f>
        <v/>
      </c>
      <c r="F22" s="198">
        <f>IF($A22="","",[1]!thsiFinD("ths_adjustment_nv_fund",F$3,$A22))</f>
        <v/>
      </c>
      <c r="G22" s="198">
        <f>IF($A22="","",[1]!thsiFinD("ths_adjustment_nv_fund",G$3,$A22))</f>
        <v/>
      </c>
      <c r="H22" s="198">
        <f>IF($A22="","",[1]!thsiFinD("ths_adjustment_nv_fund",H$3,$A22))</f>
        <v/>
      </c>
      <c r="I22" s="198">
        <f>IF($A22="","",[1]!thsiFinD("ths_adjustment_nv_fund",I$3,$A22))</f>
        <v/>
      </c>
      <c r="J22" s="198">
        <f>IF($A22="","",[1]!thsiFinD("ths_adjustment_nv_fund",J$3,$A22))</f>
        <v/>
      </c>
      <c r="K22" s="198">
        <f>IF($A22="","",[1]!thsiFinD("ths_adjustment_nv_fund",K$3,$A22))</f>
        <v/>
      </c>
      <c r="L22" s="198">
        <f>IF($A22="","",[1]!thsiFinD("ths_adjustment_nv_fund",L$3,$A22))</f>
        <v/>
      </c>
      <c r="M22" s="198">
        <f>IF($A22="","",[1]!thsiFinD("ths_adjustment_nv_fund",M$3,$A22))</f>
        <v/>
      </c>
      <c r="N22" s="198">
        <f>IF($A22="","",[1]!thsiFinD("ths_adjustment_nv_fund",N$3,$A22))</f>
        <v/>
      </c>
      <c r="O22" s="198">
        <f>IF($A22="","",[1]!thsiFinD("ths_adjustment_nv_fund",O$3,$A22))</f>
        <v/>
      </c>
      <c r="P22" s="198">
        <f>IF($A22="","",[1]!thsiFinD("ths_adjustment_nv_fund",P$3,$A22))</f>
        <v/>
      </c>
      <c r="Q22" s="198">
        <f>IF($A22="","",[1]!thsiFinD("ths_adjustment_nv_fund",Q$3,$A22))</f>
        <v/>
      </c>
      <c r="R22" s="198">
        <f>IF($A22="","",[1]!thsiFinD("ths_adjustment_nv_fund",R$3,$A22))</f>
        <v/>
      </c>
      <c r="S22" s="198">
        <f>IF($A22="","",[1]!thsiFinD("ths_adjustment_nv_fund",S$3,$A22))</f>
        <v/>
      </c>
      <c r="T22" s="198">
        <f>IF($A22="","",[1]!thsiFinD("ths_adjustment_nv_fund",T$3,$A22))</f>
        <v/>
      </c>
      <c r="U22" s="198">
        <f>IF($A22="","",[1]!thsiFinD("ths_adjustment_nv_fund",U$3,$A22))</f>
        <v/>
      </c>
      <c r="V22" s="198">
        <f>IF($A22="","",[1]!thsiFinD("ths_adjustment_nv_fund",V$3,$A22))</f>
        <v/>
      </c>
      <c r="W22" s="198">
        <f>IF($A22="","",[1]!thsiFinD("ths_adjustment_nv_fund",W$3,$A22))</f>
        <v/>
      </c>
      <c r="X22" s="198">
        <f>IF($A22="","",[1]!thsiFinD("ths_adjustment_nv_fund",X$3,$A22))</f>
        <v/>
      </c>
    </row>
    <row r="23">
      <c r="A23" s="197" t="n"/>
      <c r="B23" s="198">
        <f>IF($A23="","",[1]!thsiFinD("ths_adjustment_nv_fund",B$3,$A23))</f>
        <v/>
      </c>
      <c r="C23" s="198">
        <f>IF($A23="","",[1]!thsiFinD("ths_adjustment_nv_fund",C$3,$A23))</f>
        <v/>
      </c>
      <c r="D23" s="198">
        <f>IF($A23="","",[1]!thsiFinD("ths_adjustment_nv_fund",D$3,$A23))</f>
        <v/>
      </c>
      <c r="E23" s="198">
        <f>IF($A23="","",[1]!thsiFinD("ths_adjustment_nv_fund",E$3,$A23))</f>
        <v/>
      </c>
      <c r="F23" s="198">
        <f>IF($A23="","",[1]!thsiFinD("ths_adjustment_nv_fund",F$3,$A23))</f>
        <v/>
      </c>
      <c r="G23" s="198">
        <f>IF($A23="","",[1]!thsiFinD("ths_adjustment_nv_fund",G$3,$A23))</f>
        <v/>
      </c>
      <c r="H23" s="198">
        <f>IF($A23="","",[1]!thsiFinD("ths_adjustment_nv_fund",H$3,$A23))</f>
        <v/>
      </c>
      <c r="I23" s="198">
        <f>IF($A23="","",[1]!thsiFinD("ths_adjustment_nv_fund",I$3,$A23))</f>
        <v/>
      </c>
      <c r="J23" s="198">
        <f>IF($A23="","",[1]!thsiFinD("ths_adjustment_nv_fund",J$3,$A23))</f>
        <v/>
      </c>
      <c r="K23" s="198">
        <f>IF($A23="","",[1]!thsiFinD("ths_adjustment_nv_fund",K$3,$A23))</f>
        <v/>
      </c>
      <c r="L23" s="198">
        <f>IF($A23="","",[1]!thsiFinD("ths_adjustment_nv_fund",L$3,$A23))</f>
        <v/>
      </c>
      <c r="M23" s="198">
        <f>IF($A23="","",[1]!thsiFinD("ths_adjustment_nv_fund",M$3,$A23))</f>
        <v/>
      </c>
      <c r="N23" s="198">
        <f>IF($A23="","",[1]!thsiFinD("ths_adjustment_nv_fund",N$3,$A23))</f>
        <v/>
      </c>
      <c r="O23" s="198">
        <f>IF($A23="","",[1]!thsiFinD("ths_adjustment_nv_fund",O$3,$A23))</f>
        <v/>
      </c>
      <c r="P23" s="198">
        <f>IF($A23="","",[1]!thsiFinD("ths_adjustment_nv_fund",P$3,$A23))</f>
        <v/>
      </c>
      <c r="Q23" s="198">
        <f>IF($A23="","",[1]!thsiFinD("ths_adjustment_nv_fund",Q$3,$A23))</f>
        <v/>
      </c>
      <c r="R23" s="198">
        <f>IF($A23="","",[1]!thsiFinD("ths_adjustment_nv_fund",R$3,$A23))</f>
        <v/>
      </c>
      <c r="S23" s="198">
        <f>IF($A23="","",[1]!thsiFinD("ths_adjustment_nv_fund",S$3,$A23))</f>
        <v/>
      </c>
      <c r="T23" s="198">
        <f>IF($A23="","",[1]!thsiFinD("ths_adjustment_nv_fund",T$3,$A23))</f>
        <v/>
      </c>
      <c r="U23" s="198">
        <f>IF($A23="","",[1]!thsiFinD("ths_adjustment_nv_fund",U$3,$A23))</f>
        <v/>
      </c>
      <c r="V23" s="198">
        <f>IF($A23="","",[1]!thsiFinD("ths_adjustment_nv_fund",V$3,$A23))</f>
        <v/>
      </c>
      <c r="W23" s="198">
        <f>IF($A23="","",[1]!thsiFinD("ths_adjustment_nv_fund",W$3,$A23))</f>
        <v/>
      </c>
      <c r="X23" s="198">
        <f>IF($A23="","",[1]!thsiFinD("ths_adjustment_nv_fund",X$3,$A23))</f>
        <v/>
      </c>
    </row>
    <row r="24">
      <c r="A24" s="197" t="n"/>
      <c r="B24" s="198">
        <f>IF($A24="","",[1]!thsiFinD("ths_adjustment_nv_fund",B$3,$A24))</f>
        <v/>
      </c>
      <c r="C24" s="198">
        <f>IF($A24="","",[1]!thsiFinD("ths_adjustment_nv_fund",C$3,$A24))</f>
        <v/>
      </c>
      <c r="D24" s="198">
        <f>IF($A24="","",[1]!thsiFinD("ths_adjustment_nv_fund",D$3,$A24))</f>
        <v/>
      </c>
      <c r="E24" s="198">
        <f>IF($A24="","",[1]!thsiFinD("ths_adjustment_nv_fund",E$3,$A24))</f>
        <v/>
      </c>
      <c r="F24" s="198">
        <f>IF($A24="","",[1]!thsiFinD("ths_adjustment_nv_fund",F$3,$A24))</f>
        <v/>
      </c>
      <c r="G24" s="198">
        <f>IF($A24="","",[1]!thsiFinD("ths_adjustment_nv_fund",G$3,$A24))</f>
        <v/>
      </c>
      <c r="H24" s="198">
        <f>IF($A24="","",[1]!thsiFinD("ths_adjustment_nv_fund",H$3,$A24))</f>
        <v/>
      </c>
      <c r="I24" s="198">
        <f>IF($A24="","",[1]!thsiFinD("ths_adjustment_nv_fund",I$3,$A24))</f>
        <v/>
      </c>
      <c r="J24" s="198">
        <f>IF($A24="","",[1]!thsiFinD("ths_adjustment_nv_fund",J$3,$A24))</f>
        <v/>
      </c>
      <c r="K24" s="198">
        <f>IF($A24="","",[1]!thsiFinD("ths_adjustment_nv_fund",K$3,$A24))</f>
        <v/>
      </c>
      <c r="L24" s="198">
        <f>IF($A24="","",[1]!thsiFinD("ths_adjustment_nv_fund",L$3,$A24))</f>
        <v/>
      </c>
      <c r="M24" s="198">
        <f>IF($A24="","",[1]!thsiFinD("ths_adjustment_nv_fund",M$3,$A24))</f>
        <v/>
      </c>
      <c r="N24" s="198">
        <f>IF($A24="","",[1]!thsiFinD("ths_adjustment_nv_fund",N$3,$A24))</f>
        <v/>
      </c>
      <c r="O24" s="198">
        <f>IF($A24="","",[1]!thsiFinD("ths_adjustment_nv_fund",O$3,$A24))</f>
        <v/>
      </c>
      <c r="P24" s="198">
        <f>IF($A24="","",[1]!thsiFinD("ths_adjustment_nv_fund",P$3,$A24))</f>
        <v/>
      </c>
      <c r="Q24" s="198">
        <f>IF($A24="","",[1]!thsiFinD("ths_adjustment_nv_fund",Q$3,$A24))</f>
        <v/>
      </c>
      <c r="R24" s="198">
        <f>IF($A24="","",[1]!thsiFinD("ths_adjustment_nv_fund",R$3,$A24))</f>
        <v/>
      </c>
      <c r="S24" s="198">
        <f>IF($A24="","",[1]!thsiFinD("ths_adjustment_nv_fund",S$3,$A24))</f>
        <v/>
      </c>
      <c r="T24" s="198">
        <f>IF($A24="","",[1]!thsiFinD("ths_adjustment_nv_fund",T$3,$A24))</f>
        <v/>
      </c>
      <c r="U24" s="198">
        <f>IF($A24="","",[1]!thsiFinD("ths_adjustment_nv_fund",U$3,$A24))</f>
        <v/>
      </c>
      <c r="V24" s="198">
        <f>IF($A24="","",[1]!thsiFinD("ths_adjustment_nv_fund",V$3,$A24))</f>
        <v/>
      </c>
      <c r="W24" s="198">
        <f>IF($A24="","",[1]!thsiFinD("ths_adjustment_nv_fund",W$3,$A24))</f>
        <v/>
      </c>
      <c r="X24" s="198">
        <f>IF($A24="","",[1]!thsiFinD("ths_adjustment_nv_fund",X$3,$A24))</f>
        <v/>
      </c>
    </row>
    <row r="25">
      <c r="A25" s="197" t="n"/>
      <c r="B25" s="198">
        <f>IF($A25="","",[1]!thsiFinD("ths_adjustment_nv_fund",B$3,$A25))</f>
        <v/>
      </c>
      <c r="C25" s="198">
        <f>IF($A25="","",[1]!thsiFinD("ths_adjustment_nv_fund",C$3,$A25))</f>
        <v/>
      </c>
      <c r="D25" s="198">
        <f>IF($A25="","",[1]!thsiFinD("ths_adjustment_nv_fund",D$3,$A25))</f>
        <v/>
      </c>
      <c r="E25" s="198">
        <f>IF($A25="","",[1]!thsiFinD("ths_adjustment_nv_fund",E$3,$A25))</f>
        <v/>
      </c>
      <c r="F25" s="198">
        <f>IF($A25="","",[1]!thsiFinD("ths_adjustment_nv_fund",F$3,$A25))</f>
        <v/>
      </c>
      <c r="G25" s="198">
        <f>IF($A25="","",[1]!thsiFinD("ths_adjustment_nv_fund",G$3,$A25))</f>
        <v/>
      </c>
      <c r="H25" s="198">
        <f>IF($A25="","",[1]!thsiFinD("ths_adjustment_nv_fund",H$3,$A25))</f>
        <v/>
      </c>
      <c r="I25" s="198">
        <f>IF($A25="","",[1]!thsiFinD("ths_adjustment_nv_fund",I$3,$A25))</f>
        <v/>
      </c>
      <c r="J25" s="198">
        <f>IF($A25="","",[1]!thsiFinD("ths_adjustment_nv_fund",J$3,$A25))</f>
        <v/>
      </c>
      <c r="K25" s="198">
        <f>IF($A25="","",[1]!thsiFinD("ths_adjustment_nv_fund",K$3,$A25))</f>
        <v/>
      </c>
      <c r="L25" s="198">
        <f>IF($A25="","",[1]!thsiFinD("ths_adjustment_nv_fund",L$3,$A25))</f>
        <v/>
      </c>
      <c r="M25" s="198">
        <f>IF($A25="","",[1]!thsiFinD("ths_adjustment_nv_fund",M$3,$A25))</f>
        <v/>
      </c>
      <c r="N25" s="198">
        <f>IF($A25="","",[1]!thsiFinD("ths_adjustment_nv_fund",N$3,$A25))</f>
        <v/>
      </c>
      <c r="O25" s="198">
        <f>IF($A25="","",[1]!thsiFinD("ths_adjustment_nv_fund",O$3,$A25))</f>
        <v/>
      </c>
      <c r="P25" s="198">
        <f>IF($A25="","",[1]!thsiFinD("ths_adjustment_nv_fund",P$3,$A25))</f>
        <v/>
      </c>
      <c r="Q25" s="198">
        <f>IF($A25="","",[1]!thsiFinD("ths_adjustment_nv_fund",Q$3,$A25))</f>
        <v/>
      </c>
      <c r="R25" s="198">
        <f>IF($A25="","",[1]!thsiFinD("ths_adjustment_nv_fund",R$3,$A25))</f>
        <v/>
      </c>
      <c r="S25" s="198">
        <f>IF($A25="","",[1]!thsiFinD("ths_adjustment_nv_fund",S$3,$A25))</f>
        <v/>
      </c>
      <c r="T25" s="198">
        <f>IF($A25="","",[1]!thsiFinD("ths_adjustment_nv_fund",T$3,$A25))</f>
        <v/>
      </c>
      <c r="U25" s="198">
        <f>IF($A25="","",[1]!thsiFinD("ths_adjustment_nv_fund",U$3,$A25))</f>
        <v/>
      </c>
      <c r="V25" s="198">
        <f>IF($A25="","",[1]!thsiFinD("ths_adjustment_nv_fund",V$3,$A25))</f>
        <v/>
      </c>
      <c r="W25" s="198">
        <f>IF($A25="","",[1]!thsiFinD("ths_adjustment_nv_fund",W$3,$A25))</f>
        <v/>
      </c>
      <c r="X25" s="198">
        <f>IF($A25="","",[1]!thsiFinD("ths_adjustment_nv_fund",X$3,$A25))</f>
        <v/>
      </c>
    </row>
    <row r="26">
      <c r="A26" s="197" t="n"/>
      <c r="B26" s="198">
        <f>IF($A26="","",[1]!thsiFinD("ths_adjustment_nv_fund",B$3,$A26))</f>
        <v/>
      </c>
      <c r="C26" s="198">
        <f>IF($A26="","",[1]!thsiFinD("ths_adjustment_nv_fund",C$3,$A26))</f>
        <v/>
      </c>
      <c r="D26" s="198">
        <f>IF($A26="","",[1]!thsiFinD("ths_adjustment_nv_fund",D$3,$A26))</f>
        <v/>
      </c>
      <c r="E26" s="198">
        <f>IF($A26="","",[1]!thsiFinD("ths_adjustment_nv_fund",E$3,$A26))</f>
        <v/>
      </c>
      <c r="F26" s="198">
        <f>IF($A26="","",[1]!thsiFinD("ths_adjustment_nv_fund",F$3,$A26))</f>
        <v/>
      </c>
      <c r="G26" s="198">
        <f>IF($A26="","",[1]!thsiFinD("ths_adjustment_nv_fund",G$3,$A26))</f>
        <v/>
      </c>
      <c r="H26" s="198">
        <f>IF($A26="","",[1]!thsiFinD("ths_adjustment_nv_fund",H$3,$A26))</f>
        <v/>
      </c>
      <c r="I26" s="198">
        <f>IF($A26="","",[1]!thsiFinD("ths_adjustment_nv_fund",I$3,$A26))</f>
        <v/>
      </c>
      <c r="J26" s="198">
        <f>IF($A26="","",[1]!thsiFinD("ths_adjustment_nv_fund",J$3,$A26))</f>
        <v/>
      </c>
      <c r="K26" s="198">
        <f>IF($A26="","",[1]!thsiFinD("ths_adjustment_nv_fund",K$3,$A26))</f>
        <v/>
      </c>
      <c r="L26" s="198">
        <f>IF($A26="","",[1]!thsiFinD("ths_adjustment_nv_fund",L$3,$A26))</f>
        <v/>
      </c>
      <c r="M26" s="198">
        <f>IF($A26="","",[1]!thsiFinD("ths_adjustment_nv_fund",M$3,$A26))</f>
        <v/>
      </c>
      <c r="N26" s="198">
        <f>IF($A26="","",[1]!thsiFinD("ths_adjustment_nv_fund",N$3,$A26))</f>
        <v/>
      </c>
      <c r="O26" s="198">
        <f>IF($A26="","",[1]!thsiFinD("ths_adjustment_nv_fund",O$3,$A26))</f>
        <v/>
      </c>
      <c r="P26" s="198">
        <f>IF($A26="","",[1]!thsiFinD("ths_adjustment_nv_fund",P$3,$A26))</f>
        <v/>
      </c>
      <c r="Q26" s="198">
        <f>IF($A26="","",[1]!thsiFinD("ths_adjustment_nv_fund",Q$3,$A26))</f>
        <v/>
      </c>
      <c r="R26" s="198">
        <f>IF($A26="","",[1]!thsiFinD("ths_adjustment_nv_fund",R$3,$A26))</f>
        <v/>
      </c>
      <c r="S26" s="198">
        <f>IF($A26="","",[1]!thsiFinD("ths_adjustment_nv_fund",S$3,$A26))</f>
        <v/>
      </c>
      <c r="T26" s="198">
        <f>IF($A26="","",[1]!thsiFinD("ths_adjustment_nv_fund",T$3,$A26))</f>
        <v/>
      </c>
      <c r="U26" s="198">
        <f>IF($A26="","",[1]!thsiFinD("ths_adjustment_nv_fund",U$3,$A26))</f>
        <v/>
      </c>
      <c r="V26" s="198">
        <f>IF($A26="","",[1]!thsiFinD("ths_adjustment_nv_fund",V$3,$A26))</f>
        <v/>
      </c>
      <c r="W26" s="198">
        <f>IF($A26="","",[1]!thsiFinD("ths_adjustment_nv_fund",W$3,$A26))</f>
        <v/>
      </c>
      <c r="X26" s="198">
        <f>IF($A26="","",[1]!thsiFinD("ths_adjustment_nv_fund",X$3,$A26))</f>
        <v/>
      </c>
    </row>
    <row r="27">
      <c r="A27" s="197" t="n"/>
      <c r="B27" s="198">
        <f>IF($A27="","",[1]!thsiFinD("ths_adjustment_nv_fund",B$3,$A27))</f>
        <v/>
      </c>
      <c r="C27" s="198">
        <f>IF($A27="","",[1]!thsiFinD("ths_adjustment_nv_fund",C$3,$A27))</f>
        <v/>
      </c>
      <c r="D27" s="198">
        <f>IF($A27="","",[1]!thsiFinD("ths_adjustment_nv_fund",D$3,$A27))</f>
        <v/>
      </c>
      <c r="E27" s="198">
        <f>IF($A27="","",[1]!thsiFinD("ths_adjustment_nv_fund",E$3,$A27))</f>
        <v/>
      </c>
      <c r="F27" s="198">
        <f>IF($A27="","",[1]!thsiFinD("ths_adjustment_nv_fund",F$3,$A27))</f>
        <v/>
      </c>
      <c r="G27" s="198">
        <f>IF($A27="","",[1]!thsiFinD("ths_adjustment_nv_fund",G$3,$A27))</f>
        <v/>
      </c>
      <c r="H27" s="198">
        <f>IF($A27="","",[1]!thsiFinD("ths_adjustment_nv_fund",H$3,$A27))</f>
        <v/>
      </c>
      <c r="I27" s="198">
        <f>IF($A27="","",[1]!thsiFinD("ths_adjustment_nv_fund",I$3,$A27))</f>
        <v/>
      </c>
      <c r="J27" s="198">
        <f>IF($A27="","",[1]!thsiFinD("ths_adjustment_nv_fund",J$3,$A27))</f>
        <v/>
      </c>
      <c r="K27" s="198">
        <f>IF($A27="","",[1]!thsiFinD("ths_adjustment_nv_fund",K$3,$A27))</f>
        <v/>
      </c>
      <c r="L27" s="198">
        <f>IF($A27="","",[1]!thsiFinD("ths_adjustment_nv_fund",L$3,$A27))</f>
        <v/>
      </c>
      <c r="M27" s="198">
        <f>IF($A27="","",[1]!thsiFinD("ths_adjustment_nv_fund",M$3,$A27))</f>
        <v/>
      </c>
      <c r="N27" s="198">
        <f>IF($A27="","",[1]!thsiFinD("ths_adjustment_nv_fund",N$3,$A27))</f>
        <v/>
      </c>
      <c r="O27" s="198">
        <f>IF($A27="","",[1]!thsiFinD("ths_adjustment_nv_fund",O$3,$A27))</f>
        <v/>
      </c>
      <c r="P27" s="198">
        <f>IF($A27="","",[1]!thsiFinD("ths_adjustment_nv_fund",P$3,$A27))</f>
        <v/>
      </c>
      <c r="Q27" s="198">
        <f>IF($A27="","",[1]!thsiFinD("ths_adjustment_nv_fund",Q$3,$A27))</f>
        <v/>
      </c>
      <c r="R27" s="198">
        <f>IF($A27="","",[1]!thsiFinD("ths_adjustment_nv_fund",R$3,$A27))</f>
        <v/>
      </c>
      <c r="S27" s="198">
        <f>IF($A27="","",[1]!thsiFinD("ths_adjustment_nv_fund",S$3,$A27))</f>
        <v/>
      </c>
      <c r="T27" s="198">
        <f>IF($A27="","",[1]!thsiFinD("ths_adjustment_nv_fund",T$3,$A27))</f>
        <v/>
      </c>
      <c r="U27" s="198">
        <f>IF($A27="","",[1]!thsiFinD("ths_adjustment_nv_fund",U$3,$A27))</f>
        <v/>
      </c>
      <c r="V27" s="198">
        <f>IF($A27="","",[1]!thsiFinD("ths_adjustment_nv_fund",V$3,$A27))</f>
        <v/>
      </c>
      <c r="W27" s="198">
        <f>IF($A27="","",[1]!thsiFinD("ths_adjustment_nv_fund",W$3,$A27))</f>
        <v/>
      </c>
      <c r="X27" s="198">
        <f>IF($A27="","",[1]!thsiFinD("ths_adjustment_nv_fund",X$3,$A27))</f>
        <v/>
      </c>
    </row>
    <row r="28">
      <c r="A28" s="197" t="n"/>
      <c r="B28" s="198">
        <f>IF($A28="","",[1]!thsiFinD("ths_adjustment_nv_fund",B$3,$A28))</f>
        <v/>
      </c>
      <c r="C28" s="198">
        <f>IF($A28="","",[1]!thsiFinD("ths_adjustment_nv_fund",C$3,$A28))</f>
        <v/>
      </c>
      <c r="D28" s="198">
        <f>IF($A28="","",[1]!thsiFinD("ths_adjustment_nv_fund",D$3,$A28))</f>
        <v/>
      </c>
      <c r="E28" s="198">
        <f>IF($A28="","",[1]!thsiFinD("ths_adjustment_nv_fund",E$3,$A28))</f>
        <v/>
      </c>
      <c r="F28" s="198">
        <f>IF($A28="","",[1]!thsiFinD("ths_adjustment_nv_fund",F$3,$A28))</f>
        <v/>
      </c>
      <c r="G28" s="198">
        <f>IF($A28="","",[1]!thsiFinD("ths_adjustment_nv_fund",G$3,$A28))</f>
        <v/>
      </c>
      <c r="H28" s="198">
        <f>IF($A28="","",[1]!thsiFinD("ths_adjustment_nv_fund",H$3,$A28))</f>
        <v/>
      </c>
      <c r="I28" s="198">
        <f>IF($A28="","",[1]!thsiFinD("ths_adjustment_nv_fund",I$3,$A28))</f>
        <v/>
      </c>
      <c r="J28" s="198">
        <f>IF($A28="","",[1]!thsiFinD("ths_adjustment_nv_fund",J$3,$A28))</f>
        <v/>
      </c>
      <c r="K28" s="198">
        <f>IF($A28="","",[1]!thsiFinD("ths_adjustment_nv_fund",K$3,$A28))</f>
        <v/>
      </c>
      <c r="L28" s="198">
        <f>IF($A28="","",[1]!thsiFinD("ths_adjustment_nv_fund",L$3,$A28))</f>
        <v/>
      </c>
      <c r="M28" s="198">
        <f>IF($A28="","",[1]!thsiFinD("ths_adjustment_nv_fund",M$3,$A28))</f>
        <v/>
      </c>
      <c r="N28" s="198">
        <f>IF($A28="","",[1]!thsiFinD("ths_adjustment_nv_fund",N$3,$A28))</f>
        <v/>
      </c>
      <c r="O28" s="198">
        <f>IF($A28="","",[1]!thsiFinD("ths_adjustment_nv_fund",O$3,$A28))</f>
        <v/>
      </c>
      <c r="P28" s="198">
        <f>IF($A28="","",[1]!thsiFinD("ths_adjustment_nv_fund",P$3,$A28))</f>
        <v/>
      </c>
      <c r="Q28" s="198">
        <f>IF($A28="","",[1]!thsiFinD("ths_adjustment_nv_fund",Q$3,$A28))</f>
        <v/>
      </c>
      <c r="R28" s="198">
        <f>IF($A28="","",[1]!thsiFinD("ths_adjustment_nv_fund",R$3,$A28))</f>
        <v/>
      </c>
      <c r="S28" s="198">
        <f>IF($A28="","",[1]!thsiFinD("ths_adjustment_nv_fund",S$3,$A28))</f>
        <v/>
      </c>
      <c r="T28" s="198">
        <f>IF($A28="","",[1]!thsiFinD("ths_adjustment_nv_fund",T$3,$A28))</f>
        <v/>
      </c>
      <c r="U28" s="198">
        <f>IF($A28="","",[1]!thsiFinD("ths_adjustment_nv_fund",U$3,$A28))</f>
        <v/>
      </c>
      <c r="V28" s="198">
        <f>IF($A28="","",[1]!thsiFinD("ths_adjustment_nv_fund",V$3,$A28))</f>
        <v/>
      </c>
      <c r="W28" s="198">
        <f>IF($A28="","",[1]!thsiFinD("ths_adjustment_nv_fund",W$3,$A28))</f>
        <v/>
      </c>
      <c r="X28" s="198">
        <f>IF($A28="","",[1]!thsiFinD("ths_adjustment_nv_fund",X$3,$A28))</f>
        <v/>
      </c>
    </row>
    <row r="29">
      <c r="A29" s="197" t="n"/>
      <c r="B29" s="198">
        <f>IF($A29="","",[1]!thsiFinD("ths_adjustment_nv_fund",B$3,$A29))</f>
        <v/>
      </c>
      <c r="C29" s="198">
        <f>IF($A29="","",[1]!thsiFinD("ths_adjustment_nv_fund",C$3,$A29))</f>
        <v/>
      </c>
      <c r="D29" s="198">
        <f>IF($A29="","",[1]!thsiFinD("ths_adjustment_nv_fund",D$3,$A29))</f>
        <v/>
      </c>
      <c r="E29" s="198">
        <f>IF($A29="","",[1]!thsiFinD("ths_adjustment_nv_fund",E$3,$A29))</f>
        <v/>
      </c>
      <c r="F29" s="198">
        <f>IF($A29="","",[1]!thsiFinD("ths_adjustment_nv_fund",F$3,$A29))</f>
        <v/>
      </c>
      <c r="G29" s="198">
        <f>IF($A29="","",[1]!thsiFinD("ths_adjustment_nv_fund",G$3,$A29))</f>
        <v/>
      </c>
      <c r="H29" s="198">
        <f>IF($A29="","",[1]!thsiFinD("ths_adjustment_nv_fund",H$3,$A29))</f>
        <v/>
      </c>
      <c r="I29" s="198">
        <f>IF($A29="","",[1]!thsiFinD("ths_adjustment_nv_fund",I$3,$A29))</f>
        <v/>
      </c>
      <c r="J29" s="198">
        <f>IF($A29="","",[1]!thsiFinD("ths_adjustment_nv_fund",J$3,$A29))</f>
        <v/>
      </c>
      <c r="K29" s="198">
        <f>IF($A29="","",[1]!thsiFinD("ths_adjustment_nv_fund",K$3,$A29))</f>
        <v/>
      </c>
      <c r="L29" s="198">
        <f>IF($A29="","",[1]!thsiFinD("ths_adjustment_nv_fund",L$3,$A29))</f>
        <v/>
      </c>
      <c r="M29" s="198">
        <f>IF($A29="","",[1]!thsiFinD("ths_adjustment_nv_fund",M$3,$A29))</f>
        <v/>
      </c>
      <c r="N29" s="198">
        <f>IF($A29="","",[1]!thsiFinD("ths_adjustment_nv_fund",N$3,$A29))</f>
        <v/>
      </c>
      <c r="O29" s="198">
        <f>IF($A29="","",[1]!thsiFinD("ths_adjustment_nv_fund",O$3,$A29))</f>
        <v/>
      </c>
      <c r="P29" s="198">
        <f>IF($A29="","",[1]!thsiFinD("ths_adjustment_nv_fund",P$3,$A29))</f>
        <v/>
      </c>
      <c r="Q29" s="198">
        <f>IF($A29="","",[1]!thsiFinD("ths_adjustment_nv_fund",Q$3,$A29))</f>
        <v/>
      </c>
      <c r="R29" s="198">
        <f>IF($A29="","",[1]!thsiFinD("ths_adjustment_nv_fund",R$3,$A29))</f>
        <v/>
      </c>
      <c r="S29" s="198">
        <f>IF($A29="","",[1]!thsiFinD("ths_adjustment_nv_fund",S$3,$A29))</f>
        <v/>
      </c>
      <c r="T29" s="198">
        <f>IF($A29="","",[1]!thsiFinD("ths_adjustment_nv_fund",T$3,$A29))</f>
        <v/>
      </c>
      <c r="U29" s="198">
        <f>IF($A29="","",[1]!thsiFinD("ths_adjustment_nv_fund",U$3,$A29))</f>
        <v/>
      </c>
      <c r="V29" s="198">
        <f>IF($A29="","",[1]!thsiFinD("ths_adjustment_nv_fund",V$3,$A29))</f>
        <v/>
      </c>
      <c r="W29" s="198">
        <f>IF($A29="","",[1]!thsiFinD("ths_adjustment_nv_fund",W$3,$A29))</f>
        <v/>
      </c>
      <c r="X29" s="198">
        <f>IF($A29="","",[1]!thsiFinD("ths_adjustment_nv_fund",X$3,$A29))</f>
        <v/>
      </c>
    </row>
    <row r="30">
      <c r="A30" s="197" t="n"/>
      <c r="B30" s="198">
        <f>IF($A30="","",[1]!thsiFinD("ths_adjustment_nv_fund",B$3,$A30))</f>
        <v/>
      </c>
      <c r="C30" s="198">
        <f>IF($A30="","",[1]!thsiFinD("ths_adjustment_nv_fund",C$3,$A30))</f>
        <v/>
      </c>
      <c r="D30" s="198">
        <f>IF($A30="","",[1]!thsiFinD("ths_adjustment_nv_fund",D$3,$A30))</f>
        <v/>
      </c>
      <c r="E30" s="198">
        <f>IF($A30="","",[1]!thsiFinD("ths_adjustment_nv_fund",E$3,$A30))</f>
        <v/>
      </c>
      <c r="F30" s="198">
        <f>IF($A30="","",[1]!thsiFinD("ths_adjustment_nv_fund",F$3,$A30))</f>
        <v/>
      </c>
      <c r="G30" s="198">
        <f>IF($A30="","",[1]!thsiFinD("ths_adjustment_nv_fund",G$3,$A30))</f>
        <v/>
      </c>
      <c r="H30" s="198">
        <f>IF($A30="","",[1]!thsiFinD("ths_adjustment_nv_fund",H$3,$A30))</f>
        <v/>
      </c>
      <c r="I30" s="198">
        <f>IF($A30="","",[1]!thsiFinD("ths_adjustment_nv_fund",I$3,$A30))</f>
        <v/>
      </c>
      <c r="J30" s="198">
        <f>IF($A30="","",[1]!thsiFinD("ths_adjustment_nv_fund",J$3,$A30))</f>
        <v/>
      </c>
      <c r="K30" s="198">
        <f>IF($A30="","",[1]!thsiFinD("ths_adjustment_nv_fund",K$3,$A30))</f>
        <v/>
      </c>
      <c r="L30" s="198">
        <f>IF($A30="","",[1]!thsiFinD("ths_adjustment_nv_fund",L$3,$A30))</f>
        <v/>
      </c>
      <c r="M30" s="198">
        <f>IF($A30="","",[1]!thsiFinD("ths_adjustment_nv_fund",M$3,$A30))</f>
        <v/>
      </c>
      <c r="N30" s="198">
        <f>IF($A30="","",[1]!thsiFinD("ths_adjustment_nv_fund",N$3,$A30))</f>
        <v/>
      </c>
      <c r="O30" s="198">
        <f>IF($A30="","",[1]!thsiFinD("ths_adjustment_nv_fund",O$3,$A30))</f>
        <v/>
      </c>
      <c r="P30" s="198">
        <f>IF($A30="","",[1]!thsiFinD("ths_adjustment_nv_fund",P$3,$A30))</f>
        <v/>
      </c>
      <c r="Q30" s="198">
        <f>IF($A30="","",[1]!thsiFinD("ths_adjustment_nv_fund",Q$3,$A30))</f>
        <v/>
      </c>
      <c r="R30" s="198">
        <f>IF($A30="","",[1]!thsiFinD("ths_adjustment_nv_fund",R$3,$A30))</f>
        <v/>
      </c>
      <c r="S30" s="198">
        <f>IF($A30="","",[1]!thsiFinD("ths_adjustment_nv_fund",S$3,$A30))</f>
        <v/>
      </c>
      <c r="T30" s="198">
        <f>IF($A30="","",[1]!thsiFinD("ths_adjustment_nv_fund",T$3,$A30))</f>
        <v/>
      </c>
      <c r="U30" s="198">
        <f>IF($A30="","",[1]!thsiFinD("ths_adjustment_nv_fund",U$3,$A30))</f>
        <v/>
      </c>
      <c r="V30" s="198">
        <f>IF($A30="","",[1]!thsiFinD("ths_adjustment_nv_fund",V$3,$A30))</f>
        <v/>
      </c>
      <c r="W30" s="198">
        <f>IF($A30="","",[1]!thsiFinD("ths_adjustment_nv_fund",W$3,$A30))</f>
        <v/>
      </c>
      <c r="X30" s="198">
        <f>IF($A30="","",[1]!thsiFinD("ths_adjustment_nv_fund",X$3,$A30))</f>
        <v/>
      </c>
    </row>
    <row r="31">
      <c r="A31" s="197" t="n"/>
      <c r="B31" s="198">
        <f>IF($A31="","",[1]!thsiFinD("ths_adjustment_nv_fund",B$3,$A31))</f>
        <v/>
      </c>
      <c r="C31" s="198">
        <f>IF($A31="","",[1]!thsiFinD("ths_adjustment_nv_fund",C$3,$A31))</f>
        <v/>
      </c>
      <c r="D31" s="198">
        <f>IF($A31="","",[1]!thsiFinD("ths_adjustment_nv_fund",D$3,$A31))</f>
        <v/>
      </c>
      <c r="E31" s="198">
        <f>IF($A31="","",[1]!thsiFinD("ths_adjustment_nv_fund",E$3,$A31))</f>
        <v/>
      </c>
      <c r="F31" s="198">
        <f>IF($A31="","",[1]!thsiFinD("ths_adjustment_nv_fund",F$3,$A31))</f>
        <v/>
      </c>
      <c r="G31" s="198">
        <f>IF($A31="","",[1]!thsiFinD("ths_adjustment_nv_fund",G$3,$A31))</f>
        <v/>
      </c>
      <c r="H31" s="198">
        <f>IF($A31="","",[1]!thsiFinD("ths_adjustment_nv_fund",H$3,$A31))</f>
        <v/>
      </c>
      <c r="I31" s="198">
        <f>IF($A31="","",[1]!thsiFinD("ths_adjustment_nv_fund",I$3,$A31))</f>
        <v/>
      </c>
      <c r="J31" s="198">
        <f>IF($A31="","",[1]!thsiFinD("ths_adjustment_nv_fund",J$3,$A31))</f>
        <v/>
      </c>
      <c r="K31" s="198">
        <f>IF($A31="","",[1]!thsiFinD("ths_adjustment_nv_fund",K$3,$A31))</f>
        <v/>
      </c>
      <c r="L31" s="198">
        <f>IF($A31="","",[1]!thsiFinD("ths_adjustment_nv_fund",L$3,$A31))</f>
        <v/>
      </c>
      <c r="M31" s="198">
        <f>IF($A31="","",[1]!thsiFinD("ths_adjustment_nv_fund",M$3,$A31))</f>
        <v/>
      </c>
      <c r="N31" s="198">
        <f>IF($A31="","",[1]!thsiFinD("ths_adjustment_nv_fund",N$3,$A31))</f>
        <v/>
      </c>
      <c r="O31" s="198">
        <f>IF($A31="","",[1]!thsiFinD("ths_adjustment_nv_fund",O$3,$A31))</f>
        <v/>
      </c>
      <c r="P31" s="198">
        <f>IF($A31="","",[1]!thsiFinD("ths_adjustment_nv_fund",P$3,$A31))</f>
        <v/>
      </c>
      <c r="Q31" s="198">
        <f>IF($A31="","",[1]!thsiFinD("ths_adjustment_nv_fund",Q$3,$A31))</f>
        <v/>
      </c>
      <c r="R31" s="198">
        <f>IF($A31="","",[1]!thsiFinD("ths_adjustment_nv_fund",R$3,$A31))</f>
        <v/>
      </c>
      <c r="S31" s="198">
        <f>IF($A31="","",[1]!thsiFinD("ths_adjustment_nv_fund",S$3,$A31))</f>
        <v/>
      </c>
      <c r="T31" s="198">
        <f>IF($A31="","",[1]!thsiFinD("ths_adjustment_nv_fund",T$3,$A31))</f>
        <v/>
      </c>
      <c r="U31" s="198">
        <f>IF($A31="","",[1]!thsiFinD("ths_adjustment_nv_fund",U$3,$A31))</f>
        <v/>
      </c>
      <c r="V31" s="198">
        <f>IF($A31="","",[1]!thsiFinD("ths_adjustment_nv_fund",V$3,$A31))</f>
        <v/>
      </c>
      <c r="W31" s="198">
        <f>IF($A31="","",[1]!thsiFinD("ths_adjustment_nv_fund",W$3,$A31))</f>
        <v/>
      </c>
      <c r="X31" s="198">
        <f>IF($A31="","",[1]!thsiFinD("ths_adjustment_nv_fund",X$3,$A31))</f>
        <v/>
      </c>
    </row>
    <row r="32">
      <c r="A32" s="197" t="n"/>
      <c r="B32" s="198">
        <f>IF($A32="","",[1]!thsiFinD("ths_adjustment_nv_fund",B$3,$A32))</f>
        <v/>
      </c>
      <c r="C32" s="198">
        <f>IF($A32="","",[1]!thsiFinD("ths_adjustment_nv_fund",C$3,$A32))</f>
        <v/>
      </c>
      <c r="D32" s="198">
        <f>IF($A32="","",[1]!thsiFinD("ths_adjustment_nv_fund",D$3,$A32))</f>
        <v/>
      </c>
      <c r="E32" s="198">
        <f>IF($A32="","",[1]!thsiFinD("ths_adjustment_nv_fund",E$3,$A32))</f>
        <v/>
      </c>
      <c r="F32" s="198">
        <f>IF($A32="","",[1]!thsiFinD("ths_adjustment_nv_fund",F$3,$A32))</f>
        <v/>
      </c>
      <c r="G32" s="198">
        <f>IF($A32="","",[1]!thsiFinD("ths_adjustment_nv_fund",G$3,$A32))</f>
        <v/>
      </c>
      <c r="H32" s="198">
        <f>IF($A32="","",[1]!thsiFinD("ths_adjustment_nv_fund",H$3,$A32))</f>
        <v/>
      </c>
      <c r="I32" s="198">
        <f>IF($A32="","",[1]!thsiFinD("ths_adjustment_nv_fund",I$3,$A32))</f>
        <v/>
      </c>
      <c r="J32" s="198">
        <f>IF($A32="","",[1]!thsiFinD("ths_adjustment_nv_fund",J$3,$A32))</f>
        <v/>
      </c>
      <c r="K32" s="198">
        <f>IF($A32="","",[1]!thsiFinD("ths_adjustment_nv_fund",K$3,$A32))</f>
        <v/>
      </c>
      <c r="L32" s="198">
        <f>IF($A32="","",[1]!thsiFinD("ths_adjustment_nv_fund",L$3,$A32))</f>
        <v/>
      </c>
      <c r="M32" s="198">
        <f>IF($A32="","",[1]!thsiFinD("ths_adjustment_nv_fund",M$3,$A32))</f>
        <v/>
      </c>
      <c r="N32" s="198">
        <f>IF($A32="","",[1]!thsiFinD("ths_adjustment_nv_fund",N$3,$A32))</f>
        <v/>
      </c>
      <c r="O32" s="198">
        <f>IF($A32="","",[1]!thsiFinD("ths_adjustment_nv_fund",O$3,$A32))</f>
        <v/>
      </c>
      <c r="P32" s="198">
        <f>IF($A32="","",[1]!thsiFinD("ths_adjustment_nv_fund",P$3,$A32))</f>
        <v/>
      </c>
      <c r="Q32" s="198">
        <f>IF($A32="","",[1]!thsiFinD("ths_adjustment_nv_fund",Q$3,$A32))</f>
        <v/>
      </c>
      <c r="R32" s="198">
        <f>IF($A32="","",[1]!thsiFinD("ths_adjustment_nv_fund",R$3,$A32))</f>
        <v/>
      </c>
      <c r="S32" s="198">
        <f>IF($A32="","",[1]!thsiFinD("ths_adjustment_nv_fund",S$3,$A32))</f>
        <v/>
      </c>
      <c r="T32" s="198">
        <f>IF($A32="","",[1]!thsiFinD("ths_adjustment_nv_fund",T$3,$A32))</f>
        <v/>
      </c>
      <c r="U32" s="198">
        <f>IF($A32="","",[1]!thsiFinD("ths_adjustment_nv_fund",U$3,$A32))</f>
        <v/>
      </c>
      <c r="V32" s="198">
        <f>IF($A32="","",[1]!thsiFinD("ths_adjustment_nv_fund",V$3,$A32))</f>
        <v/>
      </c>
      <c r="W32" s="198">
        <f>IF($A32="","",[1]!thsiFinD("ths_adjustment_nv_fund",W$3,$A32))</f>
        <v/>
      </c>
      <c r="X32" s="198">
        <f>IF($A32="","",[1]!thsiFinD("ths_adjustment_nv_fund",X$3,$A32))</f>
        <v/>
      </c>
    </row>
    <row r="33">
      <c r="A33" s="197" t="n"/>
      <c r="B33" s="198">
        <f>IF($A33="","",[1]!thsiFinD("ths_adjustment_nv_fund",B$3,$A33))</f>
        <v/>
      </c>
      <c r="C33" s="198">
        <f>IF($A33="","",[1]!thsiFinD("ths_adjustment_nv_fund",C$3,$A33))</f>
        <v/>
      </c>
      <c r="D33" s="198">
        <f>IF($A33="","",[1]!thsiFinD("ths_adjustment_nv_fund",D$3,$A33))</f>
        <v/>
      </c>
      <c r="E33" s="198">
        <f>IF($A33="","",[1]!thsiFinD("ths_adjustment_nv_fund",E$3,$A33))</f>
        <v/>
      </c>
      <c r="F33" s="198">
        <f>IF($A33="","",[1]!thsiFinD("ths_adjustment_nv_fund",F$3,$A33))</f>
        <v/>
      </c>
      <c r="G33" s="198">
        <f>IF($A33="","",[1]!thsiFinD("ths_adjustment_nv_fund",G$3,$A33))</f>
        <v/>
      </c>
      <c r="H33" s="198">
        <f>IF($A33="","",[1]!thsiFinD("ths_adjustment_nv_fund",H$3,$A33))</f>
        <v/>
      </c>
      <c r="I33" s="198">
        <f>IF($A33="","",[1]!thsiFinD("ths_adjustment_nv_fund",I$3,$A33))</f>
        <v/>
      </c>
      <c r="J33" s="198">
        <f>IF($A33="","",[1]!thsiFinD("ths_adjustment_nv_fund",J$3,$A33))</f>
        <v/>
      </c>
      <c r="K33" s="198">
        <f>IF($A33="","",[1]!thsiFinD("ths_adjustment_nv_fund",K$3,$A33))</f>
        <v/>
      </c>
      <c r="L33" s="198">
        <f>IF($A33="","",[1]!thsiFinD("ths_adjustment_nv_fund",L$3,$A33))</f>
        <v/>
      </c>
      <c r="M33" s="198">
        <f>IF($A33="","",[1]!thsiFinD("ths_adjustment_nv_fund",M$3,$A33))</f>
        <v/>
      </c>
      <c r="N33" s="198">
        <f>IF($A33="","",[1]!thsiFinD("ths_adjustment_nv_fund",N$3,$A33))</f>
        <v/>
      </c>
      <c r="O33" s="198">
        <f>IF($A33="","",[1]!thsiFinD("ths_adjustment_nv_fund",O$3,$A33))</f>
        <v/>
      </c>
      <c r="P33" s="198">
        <f>IF($A33="","",[1]!thsiFinD("ths_adjustment_nv_fund",P$3,$A33))</f>
        <v/>
      </c>
      <c r="Q33" s="198">
        <f>IF($A33="","",[1]!thsiFinD("ths_adjustment_nv_fund",Q$3,$A33))</f>
        <v/>
      </c>
      <c r="R33" s="198">
        <f>IF($A33="","",[1]!thsiFinD("ths_adjustment_nv_fund",R$3,$A33))</f>
        <v/>
      </c>
      <c r="S33" s="198">
        <f>IF($A33="","",[1]!thsiFinD("ths_adjustment_nv_fund",S$3,$A33))</f>
        <v/>
      </c>
      <c r="T33" s="198">
        <f>IF($A33="","",[1]!thsiFinD("ths_adjustment_nv_fund",T$3,$A33))</f>
        <v/>
      </c>
      <c r="U33" s="198">
        <f>IF($A33="","",[1]!thsiFinD("ths_adjustment_nv_fund",U$3,$A33))</f>
        <v/>
      </c>
      <c r="V33" s="198">
        <f>IF($A33="","",[1]!thsiFinD("ths_adjustment_nv_fund",V$3,$A33))</f>
        <v/>
      </c>
      <c r="W33" s="198">
        <f>IF($A33="","",[1]!thsiFinD("ths_adjustment_nv_fund",W$3,$A33))</f>
        <v/>
      </c>
      <c r="X33" s="198">
        <f>IF($A33="","",[1]!thsiFinD("ths_adjustment_nv_fund",X$3,$A33))</f>
        <v/>
      </c>
    </row>
    <row r="34">
      <c r="A34" s="197" t="n"/>
      <c r="B34" s="198">
        <f>IF($A34="","",[1]!thsiFinD("ths_adjustment_nv_fund",B$3,$A34))</f>
        <v/>
      </c>
      <c r="C34" s="198">
        <f>IF($A34="","",[1]!thsiFinD("ths_adjustment_nv_fund",C$3,$A34))</f>
        <v/>
      </c>
      <c r="D34" s="198">
        <f>IF($A34="","",[1]!thsiFinD("ths_adjustment_nv_fund",D$3,$A34))</f>
        <v/>
      </c>
      <c r="E34" s="198">
        <f>IF($A34="","",[1]!thsiFinD("ths_adjustment_nv_fund",E$3,$A34))</f>
        <v/>
      </c>
      <c r="F34" s="198">
        <f>IF($A34="","",[1]!thsiFinD("ths_adjustment_nv_fund",F$3,$A34))</f>
        <v/>
      </c>
      <c r="G34" s="198">
        <f>IF($A34="","",[1]!thsiFinD("ths_adjustment_nv_fund",G$3,$A34))</f>
        <v/>
      </c>
      <c r="H34" s="198">
        <f>IF($A34="","",[1]!thsiFinD("ths_adjustment_nv_fund",H$3,$A34))</f>
        <v/>
      </c>
      <c r="I34" s="198">
        <f>IF($A34="","",[1]!thsiFinD("ths_adjustment_nv_fund",I$3,$A34))</f>
        <v/>
      </c>
      <c r="J34" s="198">
        <f>IF($A34="","",[1]!thsiFinD("ths_adjustment_nv_fund",J$3,$A34))</f>
        <v/>
      </c>
      <c r="K34" s="198">
        <f>IF($A34="","",[1]!thsiFinD("ths_adjustment_nv_fund",K$3,$A34))</f>
        <v/>
      </c>
      <c r="L34" s="198">
        <f>IF($A34="","",[1]!thsiFinD("ths_adjustment_nv_fund",L$3,$A34))</f>
        <v/>
      </c>
      <c r="M34" s="198">
        <f>IF($A34="","",[1]!thsiFinD("ths_adjustment_nv_fund",M$3,$A34))</f>
        <v/>
      </c>
      <c r="N34" s="198">
        <f>IF($A34="","",[1]!thsiFinD("ths_adjustment_nv_fund",N$3,$A34))</f>
        <v/>
      </c>
      <c r="O34" s="198">
        <f>IF($A34="","",[1]!thsiFinD("ths_adjustment_nv_fund",O$3,$A34))</f>
        <v/>
      </c>
      <c r="P34" s="198">
        <f>IF($A34="","",[1]!thsiFinD("ths_adjustment_nv_fund",P$3,$A34))</f>
        <v/>
      </c>
      <c r="Q34" s="198">
        <f>IF($A34="","",[1]!thsiFinD("ths_adjustment_nv_fund",Q$3,$A34))</f>
        <v/>
      </c>
      <c r="R34" s="198">
        <f>IF($A34="","",[1]!thsiFinD("ths_adjustment_nv_fund",R$3,$A34))</f>
        <v/>
      </c>
      <c r="S34" s="198">
        <f>IF($A34="","",[1]!thsiFinD("ths_adjustment_nv_fund",S$3,$A34))</f>
        <v/>
      </c>
      <c r="T34" s="198">
        <f>IF($A34="","",[1]!thsiFinD("ths_adjustment_nv_fund",T$3,$A34))</f>
        <v/>
      </c>
      <c r="U34" s="198">
        <f>IF($A34="","",[1]!thsiFinD("ths_adjustment_nv_fund",U$3,$A34))</f>
        <v/>
      </c>
      <c r="V34" s="198">
        <f>IF($A34="","",[1]!thsiFinD("ths_adjustment_nv_fund",V$3,$A34))</f>
        <v/>
      </c>
      <c r="W34" s="198">
        <f>IF($A34="","",[1]!thsiFinD("ths_adjustment_nv_fund",W$3,$A34))</f>
        <v/>
      </c>
      <c r="X34" s="198">
        <f>IF($A34="","",[1]!thsiFinD("ths_adjustment_nv_fund",X$3,$A34))</f>
        <v/>
      </c>
    </row>
    <row r="35">
      <c r="A35" s="197" t="n"/>
      <c r="B35" s="198">
        <f>IF($A35="","",[1]!thsiFinD("ths_adjustment_nv_fund",B$3,$A35))</f>
        <v/>
      </c>
      <c r="C35" s="198">
        <f>IF($A35="","",[1]!thsiFinD("ths_adjustment_nv_fund",C$3,$A35))</f>
        <v/>
      </c>
      <c r="D35" s="198">
        <f>IF($A35="","",[1]!thsiFinD("ths_adjustment_nv_fund",D$3,$A35))</f>
        <v/>
      </c>
      <c r="E35" s="198">
        <f>IF($A35="","",[1]!thsiFinD("ths_adjustment_nv_fund",E$3,$A35))</f>
        <v/>
      </c>
      <c r="F35" s="198">
        <f>IF($A35="","",[1]!thsiFinD("ths_adjustment_nv_fund",F$3,$A35))</f>
        <v/>
      </c>
      <c r="G35" s="198">
        <f>IF($A35="","",[1]!thsiFinD("ths_adjustment_nv_fund",G$3,$A35))</f>
        <v/>
      </c>
      <c r="H35" s="198">
        <f>IF($A35="","",[1]!thsiFinD("ths_adjustment_nv_fund",H$3,$A35))</f>
        <v/>
      </c>
      <c r="I35" s="198">
        <f>IF($A35="","",[1]!thsiFinD("ths_adjustment_nv_fund",I$3,$A35))</f>
        <v/>
      </c>
      <c r="J35" s="198">
        <f>IF($A35="","",[1]!thsiFinD("ths_adjustment_nv_fund",J$3,$A35))</f>
        <v/>
      </c>
      <c r="K35" s="198">
        <f>IF($A35="","",[1]!thsiFinD("ths_adjustment_nv_fund",K$3,$A35))</f>
        <v/>
      </c>
      <c r="L35" s="198">
        <f>IF($A35="","",[1]!thsiFinD("ths_adjustment_nv_fund",L$3,$A35))</f>
        <v/>
      </c>
      <c r="M35" s="198">
        <f>IF($A35="","",[1]!thsiFinD("ths_adjustment_nv_fund",M$3,$A35))</f>
        <v/>
      </c>
      <c r="N35" s="198">
        <f>IF($A35="","",[1]!thsiFinD("ths_adjustment_nv_fund",N$3,$A35))</f>
        <v/>
      </c>
      <c r="O35" s="198">
        <f>IF($A35="","",[1]!thsiFinD("ths_adjustment_nv_fund",O$3,$A35))</f>
        <v/>
      </c>
      <c r="P35" s="198">
        <f>IF($A35="","",[1]!thsiFinD("ths_adjustment_nv_fund",P$3,$A35))</f>
        <v/>
      </c>
      <c r="Q35" s="198">
        <f>IF($A35="","",[1]!thsiFinD("ths_adjustment_nv_fund",Q$3,$A35))</f>
        <v/>
      </c>
      <c r="R35" s="198">
        <f>IF($A35="","",[1]!thsiFinD("ths_adjustment_nv_fund",R$3,$A35))</f>
        <v/>
      </c>
      <c r="S35" s="198">
        <f>IF($A35="","",[1]!thsiFinD("ths_adjustment_nv_fund",S$3,$A35))</f>
        <v/>
      </c>
      <c r="T35" s="198">
        <f>IF($A35="","",[1]!thsiFinD("ths_adjustment_nv_fund",T$3,$A35))</f>
        <v/>
      </c>
      <c r="U35" s="198">
        <f>IF($A35="","",[1]!thsiFinD("ths_adjustment_nv_fund",U$3,$A35))</f>
        <v/>
      </c>
      <c r="V35" s="198">
        <f>IF($A35="","",[1]!thsiFinD("ths_adjustment_nv_fund",V$3,$A35))</f>
        <v/>
      </c>
      <c r="W35" s="198">
        <f>IF($A35="","",[1]!thsiFinD("ths_adjustment_nv_fund",W$3,$A35))</f>
        <v/>
      </c>
      <c r="X35" s="198">
        <f>IF($A35="","",[1]!thsiFinD("ths_adjustment_nv_fund",X$3,$A35))</f>
        <v/>
      </c>
    </row>
    <row r="36">
      <c r="A36" s="197" t="n"/>
      <c r="B36" s="198">
        <f>IF($A36="","",[1]!thsiFinD("ths_adjustment_nv_fund",B$3,$A36))</f>
        <v/>
      </c>
      <c r="C36" s="198">
        <f>IF($A36="","",[1]!thsiFinD("ths_adjustment_nv_fund",C$3,$A36))</f>
        <v/>
      </c>
      <c r="D36" s="198">
        <f>IF($A36="","",[1]!thsiFinD("ths_adjustment_nv_fund",D$3,$A36))</f>
        <v/>
      </c>
      <c r="E36" s="198">
        <f>IF($A36="","",[1]!thsiFinD("ths_adjustment_nv_fund",E$3,$A36))</f>
        <v/>
      </c>
      <c r="F36" s="198">
        <f>IF($A36="","",[1]!thsiFinD("ths_adjustment_nv_fund",F$3,$A36))</f>
        <v/>
      </c>
      <c r="G36" s="198">
        <f>IF($A36="","",[1]!thsiFinD("ths_adjustment_nv_fund",G$3,$A36))</f>
        <v/>
      </c>
      <c r="H36" s="198">
        <f>IF($A36="","",[1]!thsiFinD("ths_adjustment_nv_fund",H$3,$A36))</f>
        <v/>
      </c>
      <c r="I36" s="198">
        <f>IF($A36="","",[1]!thsiFinD("ths_adjustment_nv_fund",I$3,$A36))</f>
        <v/>
      </c>
      <c r="J36" s="198">
        <f>IF($A36="","",[1]!thsiFinD("ths_adjustment_nv_fund",J$3,$A36))</f>
        <v/>
      </c>
      <c r="K36" s="198">
        <f>IF($A36="","",[1]!thsiFinD("ths_adjustment_nv_fund",K$3,$A36))</f>
        <v/>
      </c>
      <c r="L36" s="198">
        <f>IF($A36="","",[1]!thsiFinD("ths_adjustment_nv_fund",L$3,$A36))</f>
        <v/>
      </c>
      <c r="M36" s="198">
        <f>IF($A36="","",[1]!thsiFinD("ths_adjustment_nv_fund",M$3,$A36))</f>
        <v/>
      </c>
      <c r="N36" s="198">
        <f>IF($A36="","",[1]!thsiFinD("ths_adjustment_nv_fund",N$3,$A36))</f>
        <v/>
      </c>
      <c r="O36" s="198">
        <f>IF($A36="","",[1]!thsiFinD("ths_adjustment_nv_fund",O$3,$A36))</f>
        <v/>
      </c>
      <c r="P36" s="198">
        <f>IF($A36="","",[1]!thsiFinD("ths_adjustment_nv_fund",P$3,$A36))</f>
        <v/>
      </c>
      <c r="Q36" s="198">
        <f>IF($A36="","",[1]!thsiFinD("ths_adjustment_nv_fund",Q$3,$A36))</f>
        <v/>
      </c>
      <c r="R36" s="198">
        <f>IF($A36="","",[1]!thsiFinD("ths_adjustment_nv_fund",R$3,$A36))</f>
        <v/>
      </c>
      <c r="S36" s="198">
        <f>IF($A36="","",[1]!thsiFinD("ths_adjustment_nv_fund",S$3,$A36))</f>
        <v/>
      </c>
      <c r="T36" s="198">
        <f>IF($A36="","",[1]!thsiFinD("ths_adjustment_nv_fund",T$3,$A36))</f>
        <v/>
      </c>
      <c r="U36" s="198">
        <f>IF($A36="","",[1]!thsiFinD("ths_adjustment_nv_fund",U$3,$A36))</f>
        <v/>
      </c>
      <c r="V36" s="198">
        <f>IF($A36="","",[1]!thsiFinD("ths_adjustment_nv_fund",V$3,$A36))</f>
        <v/>
      </c>
      <c r="W36" s="198">
        <f>IF($A36="","",[1]!thsiFinD("ths_adjustment_nv_fund",W$3,$A36))</f>
        <v/>
      </c>
      <c r="X36" s="198">
        <f>IF($A36="","",[1]!thsiFinD("ths_adjustment_nv_fund",X$3,$A36))</f>
        <v/>
      </c>
    </row>
    <row r="37">
      <c r="A37" s="197" t="n"/>
      <c r="B37" s="198">
        <f>IF($A37="","",[1]!thsiFinD("ths_adjustment_nv_fund",B$3,$A37))</f>
        <v/>
      </c>
      <c r="C37" s="198">
        <f>IF($A37="","",[1]!thsiFinD("ths_adjustment_nv_fund",C$3,$A37))</f>
        <v/>
      </c>
      <c r="D37" s="198">
        <f>IF($A37="","",[1]!thsiFinD("ths_adjustment_nv_fund",D$3,$A37))</f>
        <v/>
      </c>
      <c r="E37" s="198">
        <f>IF($A37="","",[1]!thsiFinD("ths_adjustment_nv_fund",E$3,$A37))</f>
        <v/>
      </c>
      <c r="F37" s="198">
        <f>IF($A37="","",[1]!thsiFinD("ths_adjustment_nv_fund",F$3,$A37))</f>
        <v/>
      </c>
      <c r="G37" s="198">
        <f>IF($A37="","",[1]!thsiFinD("ths_adjustment_nv_fund",G$3,$A37))</f>
        <v/>
      </c>
      <c r="H37" s="198">
        <f>IF($A37="","",[1]!thsiFinD("ths_adjustment_nv_fund",H$3,$A37))</f>
        <v/>
      </c>
      <c r="I37" s="198">
        <f>IF($A37="","",[1]!thsiFinD("ths_adjustment_nv_fund",I$3,$A37))</f>
        <v/>
      </c>
      <c r="J37" s="198">
        <f>IF($A37="","",[1]!thsiFinD("ths_adjustment_nv_fund",J$3,$A37))</f>
        <v/>
      </c>
      <c r="K37" s="198">
        <f>IF($A37="","",[1]!thsiFinD("ths_adjustment_nv_fund",K$3,$A37))</f>
        <v/>
      </c>
      <c r="L37" s="198">
        <f>IF($A37="","",[1]!thsiFinD("ths_adjustment_nv_fund",L$3,$A37))</f>
        <v/>
      </c>
      <c r="M37" s="198">
        <f>IF($A37="","",[1]!thsiFinD("ths_adjustment_nv_fund",M$3,$A37))</f>
        <v/>
      </c>
      <c r="N37" s="198">
        <f>IF($A37="","",[1]!thsiFinD("ths_adjustment_nv_fund",N$3,$A37))</f>
        <v/>
      </c>
      <c r="O37" s="198">
        <f>IF($A37="","",[1]!thsiFinD("ths_adjustment_nv_fund",O$3,$A37))</f>
        <v/>
      </c>
      <c r="P37" s="198">
        <f>IF($A37="","",[1]!thsiFinD("ths_adjustment_nv_fund",P$3,$A37))</f>
        <v/>
      </c>
      <c r="Q37" s="198">
        <f>IF($A37="","",[1]!thsiFinD("ths_adjustment_nv_fund",Q$3,$A37))</f>
        <v/>
      </c>
      <c r="R37" s="198">
        <f>IF($A37="","",[1]!thsiFinD("ths_adjustment_nv_fund",R$3,$A37))</f>
        <v/>
      </c>
      <c r="S37" s="198">
        <f>IF($A37="","",[1]!thsiFinD("ths_adjustment_nv_fund",S$3,$A37))</f>
        <v/>
      </c>
      <c r="T37" s="198">
        <f>IF($A37="","",[1]!thsiFinD("ths_adjustment_nv_fund",T$3,$A37))</f>
        <v/>
      </c>
      <c r="U37" s="198">
        <f>IF($A37="","",[1]!thsiFinD("ths_adjustment_nv_fund",U$3,$A37))</f>
        <v/>
      </c>
      <c r="V37" s="198">
        <f>IF($A37="","",[1]!thsiFinD("ths_adjustment_nv_fund",V$3,$A37))</f>
        <v/>
      </c>
      <c r="W37" s="198">
        <f>IF($A37="","",[1]!thsiFinD("ths_adjustment_nv_fund",W$3,$A37))</f>
        <v/>
      </c>
      <c r="X37" s="198">
        <f>IF($A37="","",[1]!thsiFinD("ths_adjustment_nv_fund",X$3,$A37))</f>
        <v/>
      </c>
    </row>
    <row r="38">
      <c r="A38" s="197" t="n"/>
      <c r="B38" s="198">
        <f>IF($A38="","",[1]!thsiFinD("ths_adjustment_nv_fund",B$3,$A38))</f>
        <v/>
      </c>
      <c r="C38" s="198">
        <f>IF($A38="","",[1]!thsiFinD("ths_adjustment_nv_fund",C$3,$A38))</f>
        <v/>
      </c>
      <c r="D38" s="198">
        <f>IF($A38="","",[1]!thsiFinD("ths_adjustment_nv_fund",D$3,$A38))</f>
        <v/>
      </c>
      <c r="E38" s="198">
        <f>IF($A38="","",[1]!thsiFinD("ths_adjustment_nv_fund",E$3,$A38))</f>
        <v/>
      </c>
      <c r="F38" s="198">
        <f>IF($A38="","",[1]!thsiFinD("ths_adjustment_nv_fund",F$3,$A38))</f>
        <v/>
      </c>
      <c r="G38" s="198">
        <f>IF($A38="","",[1]!thsiFinD("ths_adjustment_nv_fund",G$3,$A38))</f>
        <v/>
      </c>
      <c r="H38" s="198">
        <f>IF($A38="","",[1]!thsiFinD("ths_adjustment_nv_fund",H$3,$A38))</f>
        <v/>
      </c>
      <c r="I38" s="198">
        <f>IF($A38="","",[1]!thsiFinD("ths_adjustment_nv_fund",I$3,$A38))</f>
        <v/>
      </c>
      <c r="J38" s="198">
        <f>IF($A38="","",[1]!thsiFinD("ths_adjustment_nv_fund",J$3,$A38))</f>
        <v/>
      </c>
      <c r="K38" s="198">
        <f>IF($A38="","",[1]!thsiFinD("ths_adjustment_nv_fund",K$3,$A38))</f>
        <v/>
      </c>
      <c r="L38" s="198">
        <f>IF($A38="","",[1]!thsiFinD("ths_adjustment_nv_fund",L$3,$A38))</f>
        <v/>
      </c>
      <c r="M38" s="198">
        <f>IF($A38="","",[1]!thsiFinD("ths_adjustment_nv_fund",M$3,$A38))</f>
        <v/>
      </c>
      <c r="N38" s="198">
        <f>IF($A38="","",[1]!thsiFinD("ths_adjustment_nv_fund",N$3,$A38))</f>
        <v/>
      </c>
      <c r="O38" s="198">
        <f>IF($A38="","",[1]!thsiFinD("ths_adjustment_nv_fund",O$3,$A38))</f>
        <v/>
      </c>
      <c r="P38" s="198">
        <f>IF($A38="","",[1]!thsiFinD("ths_adjustment_nv_fund",P$3,$A38))</f>
        <v/>
      </c>
      <c r="Q38" s="198">
        <f>IF($A38="","",[1]!thsiFinD("ths_adjustment_nv_fund",Q$3,$A38))</f>
        <v/>
      </c>
      <c r="R38" s="198">
        <f>IF($A38="","",[1]!thsiFinD("ths_adjustment_nv_fund",R$3,$A38))</f>
        <v/>
      </c>
      <c r="S38" s="198">
        <f>IF($A38="","",[1]!thsiFinD("ths_adjustment_nv_fund",S$3,$A38))</f>
        <v/>
      </c>
      <c r="T38" s="198">
        <f>IF($A38="","",[1]!thsiFinD("ths_adjustment_nv_fund",T$3,$A38))</f>
        <v/>
      </c>
      <c r="U38" s="198">
        <f>IF($A38="","",[1]!thsiFinD("ths_adjustment_nv_fund",U$3,$A38))</f>
        <v/>
      </c>
      <c r="V38" s="198">
        <f>IF($A38="","",[1]!thsiFinD("ths_adjustment_nv_fund",V$3,$A38))</f>
        <v/>
      </c>
      <c r="W38" s="198">
        <f>IF($A38="","",[1]!thsiFinD("ths_adjustment_nv_fund",W$3,$A38))</f>
        <v/>
      </c>
      <c r="X38" s="198">
        <f>IF($A38="","",[1]!thsiFinD("ths_adjustment_nv_fund",X$3,$A38))</f>
        <v/>
      </c>
    </row>
    <row r="39">
      <c r="A39" s="197" t="n"/>
      <c r="B39" s="198">
        <f>IF($A39="","",[1]!thsiFinD("ths_adjustment_nv_fund",B$3,$A39))</f>
        <v/>
      </c>
      <c r="C39" s="198">
        <f>IF($A39="","",[1]!thsiFinD("ths_adjustment_nv_fund",C$3,$A39))</f>
        <v/>
      </c>
      <c r="D39" s="198">
        <f>IF($A39="","",[1]!thsiFinD("ths_adjustment_nv_fund",D$3,$A39))</f>
        <v/>
      </c>
      <c r="E39" s="198">
        <f>IF($A39="","",[1]!thsiFinD("ths_adjustment_nv_fund",E$3,$A39))</f>
        <v/>
      </c>
      <c r="F39" s="198">
        <f>IF($A39="","",[1]!thsiFinD("ths_adjustment_nv_fund",F$3,$A39))</f>
        <v/>
      </c>
      <c r="G39" s="198">
        <f>IF($A39="","",[1]!thsiFinD("ths_adjustment_nv_fund",G$3,$A39))</f>
        <v/>
      </c>
      <c r="H39" s="198">
        <f>IF($A39="","",[1]!thsiFinD("ths_adjustment_nv_fund",H$3,$A39))</f>
        <v/>
      </c>
      <c r="I39" s="198">
        <f>IF($A39="","",[1]!thsiFinD("ths_adjustment_nv_fund",I$3,$A39))</f>
        <v/>
      </c>
      <c r="J39" s="198">
        <f>IF($A39="","",[1]!thsiFinD("ths_adjustment_nv_fund",J$3,$A39))</f>
        <v/>
      </c>
      <c r="K39" s="198">
        <f>IF($A39="","",[1]!thsiFinD("ths_adjustment_nv_fund",K$3,$A39))</f>
        <v/>
      </c>
      <c r="L39" s="198">
        <f>IF($A39="","",[1]!thsiFinD("ths_adjustment_nv_fund",L$3,$A39))</f>
        <v/>
      </c>
      <c r="M39" s="198">
        <f>IF($A39="","",[1]!thsiFinD("ths_adjustment_nv_fund",M$3,$A39))</f>
        <v/>
      </c>
      <c r="N39" s="198">
        <f>IF($A39="","",[1]!thsiFinD("ths_adjustment_nv_fund",N$3,$A39))</f>
        <v/>
      </c>
      <c r="O39" s="198">
        <f>IF($A39="","",[1]!thsiFinD("ths_adjustment_nv_fund",O$3,$A39))</f>
        <v/>
      </c>
      <c r="P39" s="198">
        <f>IF($A39="","",[1]!thsiFinD("ths_adjustment_nv_fund",P$3,$A39))</f>
        <v/>
      </c>
      <c r="Q39" s="198">
        <f>IF($A39="","",[1]!thsiFinD("ths_adjustment_nv_fund",Q$3,$A39))</f>
        <v/>
      </c>
      <c r="R39" s="198">
        <f>IF($A39="","",[1]!thsiFinD("ths_adjustment_nv_fund",R$3,$A39))</f>
        <v/>
      </c>
      <c r="S39" s="198">
        <f>IF($A39="","",[1]!thsiFinD("ths_adjustment_nv_fund",S$3,$A39))</f>
        <v/>
      </c>
      <c r="T39" s="198">
        <f>IF($A39="","",[1]!thsiFinD("ths_adjustment_nv_fund",T$3,$A39))</f>
        <v/>
      </c>
      <c r="U39" s="198">
        <f>IF($A39="","",[1]!thsiFinD("ths_adjustment_nv_fund",U$3,$A39))</f>
        <v/>
      </c>
      <c r="V39" s="198">
        <f>IF($A39="","",[1]!thsiFinD("ths_adjustment_nv_fund",V$3,$A39))</f>
        <v/>
      </c>
      <c r="W39" s="198">
        <f>IF($A39="","",[1]!thsiFinD("ths_adjustment_nv_fund",W$3,$A39))</f>
        <v/>
      </c>
      <c r="X39" s="198">
        <f>IF($A39="","",[1]!thsiFinD("ths_adjustment_nv_fund",X$3,$A39))</f>
        <v/>
      </c>
    </row>
    <row r="40">
      <c r="A40" s="197" t="n"/>
      <c r="B40" s="198">
        <f>IF($A40="","",[1]!thsiFinD("ths_adjustment_nv_fund",B$3,$A40))</f>
        <v/>
      </c>
      <c r="C40" s="198">
        <f>IF($A40="","",[1]!thsiFinD("ths_adjustment_nv_fund",C$3,$A40))</f>
        <v/>
      </c>
      <c r="D40" s="198">
        <f>IF($A40="","",[1]!thsiFinD("ths_adjustment_nv_fund",D$3,$A40))</f>
        <v/>
      </c>
      <c r="E40" s="198">
        <f>IF($A40="","",[1]!thsiFinD("ths_adjustment_nv_fund",E$3,$A40))</f>
        <v/>
      </c>
      <c r="F40" s="198">
        <f>IF($A40="","",[1]!thsiFinD("ths_adjustment_nv_fund",F$3,$A40))</f>
        <v/>
      </c>
      <c r="G40" s="198">
        <f>IF($A40="","",[1]!thsiFinD("ths_adjustment_nv_fund",G$3,$A40))</f>
        <v/>
      </c>
      <c r="H40" s="198">
        <f>IF($A40="","",[1]!thsiFinD("ths_adjustment_nv_fund",H$3,$A40))</f>
        <v/>
      </c>
      <c r="I40" s="198">
        <f>IF($A40="","",[1]!thsiFinD("ths_adjustment_nv_fund",I$3,$A40))</f>
        <v/>
      </c>
      <c r="J40" s="198">
        <f>IF($A40="","",[1]!thsiFinD("ths_adjustment_nv_fund",J$3,$A40))</f>
        <v/>
      </c>
      <c r="K40" s="198">
        <f>IF($A40="","",[1]!thsiFinD("ths_adjustment_nv_fund",K$3,$A40))</f>
        <v/>
      </c>
      <c r="L40" s="198">
        <f>IF($A40="","",[1]!thsiFinD("ths_adjustment_nv_fund",L$3,$A40))</f>
        <v/>
      </c>
      <c r="M40" s="198">
        <f>IF($A40="","",[1]!thsiFinD("ths_adjustment_nv_fund",M$3,$A40))</f>
        <v/>
      </c>
      <c r="N40" s="198">
        <f>IF($A40="","",[1]!thsiFinD("ths_adjustment_nv_fund",N$3,$A40))</f>
        <v/>
      </c>
      <c r="O40" s="198">
        <f>IF($A40="","",[1]!thsiFinD("ths_adjustment_nv_fund",O$3,$A40))</f>
        <v/>
      </c>
      <c r="P40" s="198">
        <f>IF($A40="","",[1]!thsiFinD("ths_adjustment_nv_fund",P$3,$A40))</f>
        <v/>
      </c>
      <c r="Q40" s="198">
        <f>IF($A40="","",[1]!thsiFinD("ths_adjustment_nv_fund",Q$3,$A40))</f>
        <v/>
      </c>
      <c r="R40" s="198">
        <f>IF($A40="","",[1]!thsiFinD("ths_adjustment_nv_fund",R$3,$A40))</f>
        <v/>
      </c>
      <c r="S40" s="198">
        <f>IF($A40="","",[1]!thsiFinD("ths_adjustment_nv_fund",S$3,$A40))</f>
        <v/>
      </c>
      <c r="T40" s="198">
        <f>IF($A40="","",[1]!thsiFinD("ths_adjustment_nv_fund",T$3,$A40))</f>
        <v/>
      </c>
      <c r="U40" s="198">
        <f>IF($A40="","",[1]!thsiFinD("ths_adjustment_nv_fund",U$3,$A40))</f>
        <v/>
      </c>
      <c r="V40" s="198">
        <f>IF($A40="","",[1]!thsiFinD("ths_adjustment_nv_fund",V$3,$A40))</f>
        <v/>
      </c>
      <c r="W40" s="198">
        <f>IF($A40="","",[1]!thsiFinD("ths_adjustment_nv_fund",W$3,$A40))</f>
        <v/>
      </c>
      <c r="X40" s="198">
        <f>IF($A40="","",[1]!thsiFinD("ths_adjustment_nv_fund",X$3,$A40))</f>
        <v/>
      </c>
    </row>
    <row r="41">
      <c r="A41" s="197" t="n"/>
      <c r="B41" s="198">
        <f>IF($A41="","",[1]!thsiFinD("ths_adjustment_nv_fund",B$3,$A41))</f>
        <v/>
      </c>
      <c r="C41" s="198">
        <f>IF($A41="","",[1]!thsiFinD("ths_adjustment_nv_fund",C$3,$A41))</f>
        <v/>
      </c>
      <c r="D41" s="198">
        <f>IF($A41="","",[1]!thsiFinD("ths_adjustment_nv_fund",D$3,$A41))</f>
        <v/>
      </c>
      <c r="E41" s="198">
        <f>IF($A41="","",[1]!thsiFinD("ths_adjustment_nv_fund",E$3,$A41))</f>
        <v/>
      </c>
      <c r="F41" s="198">
        <f>IF($A41="","",[1]!thsiFinD("ths_adjustment_nv_fund",F$3,$A41))</f>
        <v/>
      </c>
      <c r="G41" s="198">
        <f>IF($A41="","",[1]!thsiFinD("ths_adjustment_nv_fund",G$3,$A41))</f>
        <v/>
      </c>
      <c r="H41" s="198">
        <f>IF($A41="","",[1]!thsiFinD("ths_adjustment_nv_fund",H$3,$A41))</f>
        <v/>
      </c>
      <c r="I41" s="198">
        <f>IF($A41="","",[1]!thsiFinD("ths_adjustment_nv_fund",I$3,$A41))</f>
        <v/>
      </c>
      <c r="J41" s="198">
        <f>IF($A41="","",[1]!thsiFinD("ths_adjustment_nv_fund",J$3,$A41))</f>
        <v/>
      </c>
      <c r="K41" s="198">
        <f>IF($A41="","",[1]!thsiFinD("ths_adjustment_nv_fund",K$3,$A41))</f>
        <v/>
      </c>
      <c r="L41" s="198">
        <f>IF($A41="","",[1]!thsiFinD("ths_adjustment_nv_fund",L$3,$A41))</f>
        <v/>
      </c>
      <c r="M41" s="198">
        <f>IF($A41="","",[1]!thsiFinD("ths_adjustment_nv_fund",M$3,$A41))</f>
        <v/>
      </c>
      <c r="N41" s="198">
        <f>IF($A41="","",[1]!thsiFinD("ths_adjustment_nv_fund",N$3,$A41))</f>
        <v/>
      </c>
      <c r="O41" s="198">
        <f>IF($A41="","",[1]!thsiFinD("ths_adjustment_nv_fund",O$3,$A41))</f>
        <v/>
      </c>
      <c r="P41" s="198">
        <f>IF($A41="","",[1]!thsiFinD("ths_adjustment_nv_fund",P$3,$A41))</f>
        <v/>
      </c>
      <c r="Q41" s="198">
        <f>IF($A41="","",[1]!thsiFinD("ths_adjustment_nv_fund",Q$3,$A41))</f>
        <v/>
      </c>
      <c r="R41" s="198">
        <f>IF($A41="","",[1]!thsiFinD("ths_adjustment_nv_fund",R$3,$A41))</f>
        <v/>
      </c>
      <c r="S41" s="198">
        <f>IF($A41="","",[1]!thsiFinD("ths_adjustment_nv_fund",S$3,$A41))</f>
        <v/>
      </c>
      <c r="T41" s="198">
        <f>IF($A41="","",[1]!thsiFinD("ths_adjustment_nv_fund",T$3,$A41))</f>
        <v/>
      </c>
      <c r="U41" s="198">
        <f>IF($A41="","",[1]!thsiFinD("ths_adjustment_nv_fund",U$3,$A41))</f>
        <v/>
      </c>
      <c r="V41" s="198">
        <f>IF($A41="","",[1]!thsiFinD("ths_adjustment_nv_fund",V$3,$A41))</f>
        <v/>
      </c>
      <c r="W41" s="198">
        <f>IF($A41="","",[1]!thsiFinD("ths_adjustment_nv_fund",W$3,$A41))</f>
        <v/>
      </c>
      <c r="X41" s="198">
        <f>IF($A41="","",[1]!thsiFinD("ths_adjustment_nv_fund",X$3,$A41))</f>
        <v/>
      </c>
    </row>
    <row r="42">
      <c r="A42" s="197" t="n"/>
      <c r="B42" s="198">
        <f>IF($A42="","",[1]!thsiFinD("ths_adjustment_nv_fund",B$3,$A42))</f>
        <v/>
      </c>
      <c r="C42" s="198">
        <f>IF($A42="","",[1]!thsiFinD("ths_adjustment_nv_fund",C$3,$A42))</f>
        <v/>
      </c>
      <c r="D42" s="198">
        <f>IF($A42="","",[1]!thsiFinD("ths_adjustment_nv_fund",D$3,$A42))</f>
        <v/>
      </c>
      <c r="E42" s="198">
        <f>IF($A42="","",[1]!thsiFinD("ths_adjustment_nv_fund",E$3,$A42))</f>
        <v/>
      </c>
      <c r="F42" s="198">
        <f>IF($A42="","",[1]!thsiFinD("ths_adjustment_nv_fund",F$3,$A42))</f>
        <v/>
      </c>
      <c r="G42" s="198">
        <f>IF($A42="","",[1]!thsiFinD("ths_adjustment_nv_fund",G$3,$A42))</f>
        <v/>
      </c>
      <c r="H42" s="198">
        <f>IF($A42="","",[1]!thsiFinD("ths_adjustment_nv_fund",H$3,$A42))</f>
        <v/>
      </c>
      <c r="I42" s="198">
        <f>IF($A42="","",[1]!thsiFinD("ths_adjustment_nv_fund",I$3,$A42))</f>
        <v/>
      </c>
      <c r="J42" s="198">
        <f>IF($A42="","",[1]!thsiFinD("ths_adjustment_nv_fund",J$3,$A42))</f>
        <v/>
      </c>
      <c r="K42" s="198">
        <f>IF($A42="","",[1]!thsiFinD("ths_adjustment_nv_fund",K$3,$A42))</f>
        <v/>
      </c>
      <c r="L42" s="198">
        <f>IF($A42="","",[1]!thsiFinD("ths_adjustment_nv_fund",L$3,$A42))</f>
        <v/>
      </c>
      <c r="M42" s="198">
        <f>IF($A42="","",[1]!thsiFinD("ths_adjustment_nv_fund",M$3,$A42))</f>
        <v/>
      </c>
      <c r="N42" s="198">
        <f>IF($A42="","",[1]!thsiFinD("ths_adjustment_nv_fund",N$3,$A42))</f>
        <v/>
      </c>
      <c r="O42" s="198">
        <f>IF($A42="","",[1]!thsiFinD("ths_adjustment_nv_fund",O$3,$A42))</f>
        <v/>
      </c>
      <c r="P42" s="198">
        <f>IF($A42="","",[1]!thsiFinD("ths_adjustment_nv_fund",P$3,$A42))</f>
        <v/>
      </c>
      <c r="Q42" s="198">
        <f>IF($A42="","",[1]!thsiFinD("ths_adjustment_nv_fund",Q$3,$A42))</f>
        <v/>
      </c>
      <c r="R42" s="198">
        <f>IF($A42="","",[1]!thsiFinD("ths_adjustment_nv_fund",R$3,$A42))</f>
        <v/>
      </c>
      <c r="S42" s="198">
        <f>IF($A42="","",[1]!thsiFinD("ths_adjustment_nv_fund",S$3,$A42))</f>
        <v/>
      </c>
      <c r="T42" s="198">
        <f>IF($A42="","",[1]!thsiFinD("ths_adjustment_nv_fund",T$3,$A42))</f>
        <v/>
      </c>
      <c r="U42" s="198">
        <f>IF($A42="","",[1]!thsiFinD("ths_adjustment_nv_fund",U$3,$A42))</f>
        <v/>
      </c>
      <c r="V42" s="198">
        <f>IF($A42="","",[1]!thsiFinD("ths_adjustment_nv_fund",V$3,$A42))</f>
        <v/>
      </c>
      <c r="W42" s="198">
        <f>IF($A42="","",[1]!thsiFinD("ths_adjustment_nv_fund",W$3,$A42))</f>
        <v/>
      </c>
      <c r="X42" s="198">
        <f>IF($A42="","",[1]!thsiFinD("ths_adjustment_nv_fund",X$3,$A42))</f>
        <v/>
      </c>
    </row>
    <row r="43">
      <c r="A43" s="197" t="n"/>
      <c r="B43" s="198">
        <f>IF($A43="","",[1]!thsiFinD("ths_adjustment_nv_fund",B$3,$A43))</f>
        <v/>
      </c>
      <c r="C43" s="198">
        <f>IF($A43="","",[1]!thsiFinD("ths_adjustment_nv_fund",C$3,$A43))</f>
        <v/>
      </c>
      <c r="D43" s="198">
        <f>IF($A43="","",[1]!thsiFinD("ths_adjustment_nv_fund",D$3,$A43))</f>
        <v/>
      </c>
      <c r="E43" s="198">
        <f>IF($A43="","",[1]!thsiFinD("ths_adjustment_nv_fund",E$3,$A43))</f>
        <v/>
      </c>
      <c r="F43" s="198">
        <f>IF($A43="","",[1]!thsiFinD("ths_adjustment_nv_fund",F$3,$A43))</f>
        <v/>
      </c>
      <c r="G43" s="198">
        <f>IF($A43="","",[1]!thsiFinD("ths_adjustment_nv_fund",G$3,$A43))</f>
        <v/>
      </c>
      <c r="H43" s="198">
        <f>IF($A43="","",[1]!thsiFinD("ths_adjustment_nv_fund",H$3,$A43))</f>
        <v/>
      </c>
      <c r="I43" s="198">
        <f>IF($A43="","",[1]!thsiFinD("ths_adjustment_nv_fund",I$3,$A43))</f>
        <v/>
      </c>
      <c r="J43" s="198">
        <f>IF($A43="","",[1]!thsiFinD("ths_adjustment_nv_fund",J$3,$A43))</f>
        <v/>
      </c>
      <c r="K43" s="198">
        <f>IF($A43="","",[1]!thsiFinD("ths_adjustment_nv_fund",K$3,$A43))</f>
        <v/>
      </c>
      <c r="L43" s="198">
        <f>IF($A43="","",[1]!thsiFinD("ths_adjustment_nv_fund",L$3,$A43))</f>
        <v/>
      </c>
      <c r="M43" s="198">
        <f>IF($A43="","",[1]!thsiFinD("ths_adjustment_nv_fund",M$3,$A43))</f>
        <v/>
      </c>
      <c r="N43" s="198">
        <f>IF($A43="","",[1]!thsiFinD("ths_adjustment_nv_fund",N$3,$A43))</f>
        <v/>
      </c>
      <c r="O43" s="198">
        <f>IF($A43="","",[1]!thsiFinD("ths_adjustment_nv_fund",O$3,$A43))</f>
        <v/>
      </c>
      <c r="P43" s="198">
        <f>IF($A43="","",[1]!thsiFinD("ths_adjustment_nv_fund",P$3,$A43))</f>
        <v/>
      </c>
      <c r="Q43" s="198">
        <f>IF($A43="","",[1]!thsiFinD("ths_adjustment_nv_fund",Q$3,$A43))</f>
        <v/>
      </c>
      <c r="R43" s="198">
        <f>IF($A43="","",[1]!thsiFinD("ths_adjustment_nv_fund",R$3,$A43))</f>
        <v/>
      </c>
      <c r="S43" s="198">
        <f>IF($A43="","",[1]!thsiFinD("ths_adjustment_nv_fund",S$3,$A43))</f>
        <v/>
      </c>
      <c r="T43" s="198">
        <f>IF($A43="","",[1]!thsiFinD("ths_adjustment_nv_fund",T$3,$A43))</f>
        <v/>
      </c>
      <c r="U43" s="198">
        <f>IF($A43="","",[1]!thsiFinD("ths_adjustment_nv_fund",U$3,$A43))</f>
        <v/>
      </c>
      <c r="V43" s="198">
        <f>IF($A43="","",[1]!thsiFinD("ths_adjustment_nv_fund",V$3,$A43))</f>
        <v/>
      </c>
      <c r="W43" s="198">
        <f>IF($A43="","",[1]!thsiFinD("ths_adjustment_nv_fund",W$3,$A43))</f>
        <v/>
      </c>
      <c r="X43" s="198">
        <f>IF($A43="","",[1]!thsiFinD("ths_adjustment_nv_fund",X$3,$A43))</f>
        <v/>
      </c>
    </row>
    <row r="44">
      <c r="A44" s="197" t="n"/>
      <c r="B44" s="198">
        <f>IF($A44="","",[1]!thsiFinD("ths_adjustment_nv_fund",B$3,$A44))</f>
        <v/>
      </c>
      <c r="C44" s="198">
        <f>IF($A44="","",[1]!thsiFinD("ths_adjustment_nv_fund",C$3,$A44))</f>
        <v/>
      </c>
      <c r="D44" s="198">
        <f>IF($A44="","",[1]!thsiFinD("ths_adjustment_nv_fund",D$3,$A44))</f>
        <v/>
      </c>
      <c r="E44" s="198">
        <f>IF($A44="","",[1]!thsiFinD("ths_adjustment_nv_fund",E$3,$A44))</f>
        <v/>
      </c>
      <c r="F44" s="198">
        <f>IF($A44="","",[1]!thsiFinD("ths_adjustment_nv_fund",F$3,$A44))</f>
        <v/>
      </c>
      <c r="G44" s="198">
        <f>IF($A44="","",[1]!thsiFinD("ths_adjustment_nv_fund",G$3,$A44))</f>
        <v/>
      </c>
      <c r="H44" s="198">
        <f>IF($A44="","",[1]!thsiFinD("ths_adjustment_nv_fund",H$3,$A44))</f>
        <v/>
      </c>
      <c r="I44" s="198">
        <f>IF($A44="","",[1]!thsiFinD("ths_adjustment_nv_fund",I$3,$A44))</f>
        <v/>
      </c>
      <c r="J44" s="198">
        <f>IF($A44="","",[1]!thsiFinD("ths_adjustment_nv_fund",J$3,$A44))</f>
        <v/>
      </c>
      <c r="K44" s="198">
        <f>IF($A44="","",[1]!thsiFinD("ths_adjustment_nv_fund",K$3,$A44))</f>
        <v/>
      </c>
      <c r="L44" s="198">
        <f>IF($A44="","",[1]!thsiFinD("ths_adjustment_nv_fund",L$3,$A44))</f>
        <v/>
      </c>
      <c r="M44" s="198">
        <f>IF($A44="","",[1]!thsiFinD("ths_adjustment_nv_fund",M$3,$A44))</f>
        <v/>
      </c>
      <c r="N44" s="198">
        <f>IF($A44="","",[1]!thsiFinD("ths_adjustment_nv_fund",N$3,$A44))</f>
        <v/>
      </c>
      <c r="O44" s="198">
        <f>IF($A44="","",[1]!thsiFinD("ths_adjustment_nv_fund",O$3,$A44))</f>
        <v/>
      </c>
      <c r="P44" s="198">
        <f>IF($A44="","",[1]!thsiFinD("ths_adjustment_nv_fund",P$3,$A44))</f>
        <v/>
      </c>
      <c r="Q44" s="198">
        <f>IF($A44="","",[1]!thsiFinD("ths_adjustment_nv_fund",Q$3,$A44))</f>
        <v/>
      </c>
      <c r="R44" s="198">
        <f>IF($A44="","",[1]!thsiFinD("ths_adjustment_nv_fund",R$3,$A44))</f>
        <v/>
      </c>
      <c r="S44" s="198">
        <f>IF($A44="","",[1]!thsiFinD("ths_adjustment_nv_fund",S$3,$A44))</f>
        <v/>
      </c>
      <c r="T44" s="198">
        <f>IF($A44="","",[1]!thsiFinD("ths_adjustment_nv_fund",T$3,$A44))</f>
        <v/>
      </c>
      <c r="U44" s="198">
        <f>IF($A44="","",[1]!thsiFinD("ths_adjustment_nv_fund",U$3,$A44))</f>
        <v/>
      </c>
      <c r="V44" s="198">
        <f>IF($A44="","",[1]!thsiFinD("ths_adjustment_nv_fund",V$3,$A44))</f>
        <v/>
      </c>
      <c r="W44" s="198">
        <f>IF($A44="","",[1]!thsiFinD("ths_adjustment_nv_fund",W$3,$A44))</f>
        <v/>
      </c>
      <c r="X44" s="198">
        <f>IF($A44="","",[1]!thsiFinD("ths_adjustment_nv_fund",X$3,$A44))</f>
        <v/>
      </c>
    </row>
    <row r="45">
      <c r="A45" s="197" t="n"/>
      <c r="B45" s="198">
        <f>IF($A45="","",[1]!thsiFinD("ths_adjustment_nv_fund",B$3,$A45))</f>
        <v/>
      </c>
      <c r="C45" s="198">
        <f>IF($A45="","",[1]!thsiFinD("ths_adjustment_nv_fund",C$3,$A45))</f>
        <v/>
      </c>
      <c r="D45" s="198">
        <f>IF($A45="","",[1]!thsiFinD("ths_adjustment_nv_fund",D$3,$A45))</f>
        <v/>
      </c>
      <c r="E45" s="198">
        <f>IF($A45="","",[1]!thsiFinD("ths_adjustment_nv_fund",E$3,$A45))</f>
        <v/>
      </c>
      <c r="F45" s="198">
        <f>IF($A45="","",[1]!thsiFinD("ths_adjustment_nv_fund",F$3,$A45))</f>
        <v/>
      </c>
      <c r="G45" s="198">
        <f>IF($A45="","",[1]!thsiFinD("ths_adjustment_nv_fund",G$3,$A45))</f>
        <v/>
      </c>
      <c r="H45" s="198">
        <f>IF($A45="","",[1]!thsiFinD("ths_adjustment_nv_fund",H$3,$A45))</f>
        <v/>
      </c>
      <c r="I45" s="198">
        <f>IF($A45="","",[1]!thsiFinD("ths_adjustment_nv_fund",I$3,$A45))</f>
        <v/>
      </c>
      <c r="J45" s="198">
        <f>IF($A45="","",[1]!thsiFinD("ths_adjustment_nv_fund",J$3,$A45))</f>
        <v/>
      </c>
      <c r="K45" s="198">
        <f>IF($A45="","",[1]!thsiFinD("ths_adjustment_nv_fund",K$3,$A45))</f>
        <v/>
      </c>
      <c r="L45" s="198">
        <f>IF($A45="","",[1]!thsiFinD("ths_adjustment_nv_fund",L$3,$A45))</f>
        <v/>
      </c>
      <c r="M45" s="198">
        <f>IF($A45="","",[1]!thsiFinD("ths_adjustment_nv_fund",M$3,$A45))</f>
        <v/>
      </c>
      <c r="N45" s="198">
        <f>IF($A45="","",[1]!thsiFinD("ths_adjustment_nv_fund",N$3,$A45))</f>
        <v/>
      </c>
      <c r="O45" s="198">
        <f>IF($A45="","",[1]!thsiFinD("ths_adjustment_nv_fund",O$3,$A45))</f>
        <v/>
      </c>
      <c r="P45" s="198">
        <f>IF($A45="","",[1]!thsiFinD("ths_adjustment_nv_fund",P$3,$A45))</f>
        <v/>
      </c>
      <c r="Q45" s="198">
        <f>IF($A45="","",[1]!thsiFinD("ths_adjustment_nv_fund",Q$3,$A45))</f>
        <v/>
      </c>
      <c r="R45" s="198">
        <f>IF($A45="","",[1]!thsiFinD("ths_adjustment_nv_fund",R$3,$A45))</f>
        <v/>
      </c>
      <c r="S45" s="198">
        <f>IF($A45="","",[1]!thsiFinD("ths_adjustment_nv_fund",S$3,$A45))</f>
        <v/>
      </c>
      <c r="T45" s="198">
        <f>IF($A45="","",[1]!thsiFinD("ths_adjustment_nv_fund",T$3,$A45))</f>
        <v/>
      </c>
      <c r="U45" s="198">
        <f>IF($A45="","",[1]!thsiFinD("ths_adjustment_nv_fund",U$3,$A45))</f>
        <v/>
      </c>
      <c r="V45" s="198">
        <f>IF($A45="","",[1]!thsiFinD("ths_adjustment_nv_fund",V$3,$A45))</f>
        <v/>
      </c>
      <c r="W45" s="198">
        <f>IF($A45="","",[1]!thsiFinD("ths_adjustment_nv_fund",W$3,$A45))</f>
        <v/>
      </c>
      <c r="X45" s="198">
        <f>IF($A45="","",[1]!thsiFinD("ths_adjustment_nv_fund",X$3,$A45))</f>
        <v/>
      </c>
    </row>
    <row r="46">
      <c r="A46" s="197" t="n"/>
      <c r="B46" s="198">
        <f>IF($A46="","",[1]!thsiFinD("ths_adjustment_nv_fund",B$3,$A46))</f>
        <v/>
      </c>
      <c r="C46" s="198">
        <f>IF($A46="","",[1]!thsiFinD("ths_adjustment_nv_fund",C$3,$A46))</f>
        <v/>
      </c>
      <c r="D46" s="198">
        <f>IF($A46="","",[1]!thsiFinD("ths_adjustment_nv_fund",D$3,$A46))</f>
        <v/>
      </c>
      <c r="E46" s="198">
        <f>IF($A46="","",[1]!thsiFinD("ths_adjustment_nv_fund",E$3,$A46))</f>
        <v/>
      </c>
      <c r="F46" s="198">
        <f>IF($A46="","",[1]!thsiFinD("ths_adjustment_nv_fund",F$3,$A46))</f>
        <v/>
      </c>
      <c r="G46" s="198">
        <f>IF($A46="","",[1]!thsiFinD("ths_adjustment_nv_fund",G$3,$A46))</f>
        <v/>
      </c>
      <c r="H46" s="198">
        <f>IF($A46="","",[1]!thsiFinD("ths_adjustment_nv_fund",H$3,$A46))</f>
        <v/>
      </c>
      <c r="I46" s="198">
        <f>IF($A46="","",[1]!thsiFinD("ths_adjustment_nv_fund",I$3,$A46))</f>
        <v/>
      </c>
      <c r="J46" s="198">
        <f>IF($A46="","",[1]!thsiFinD("ths_adjustment_nv_fund",J$3,$A46))</f>
        <v/>
      </c>
      <c r="K46" s="198">
        <f>IF($A46="","",[1]!thsiFinD("ths_adjustment_nv_fund",K$3,$A46))</f>
        <v/>
      </c>
      <c r="L46" s="198">
        <f>IF($A46="","",[1]!thsiFinD("ths_adjustment_nv_fund",L$3,$A46))</f>
        <v/>
      </c>
      <c r="M46" s="198">
        <f>IF($A46="","",[1]!thsiFinD("ths_adjustment_nv_fund",M$3,$A46))</f>
        <v/>
      </c>
      <c r="N46" s="198">
        <f>IF($A46="","",[1]!thsiFinD("ths_adjustment_nv_fund",N$3,$A46))</f>
        <v/>
      </c>
      <c r="O46" s="198">
        <f>IF($A46="","",[1]!thsiFinD("ths_adjustment_nv_fund",O$3,$A46))</f>
        <v/>
      </c>
      <c r="P46" s="198">
        <f>IF($A46="","",[1]!thsiFinD("ths_adjustment_nv_fund",P$3,$A46))</f>
        <v/>
      </c>
      <c r="Q46" s="198">
        <f>IF($A46="","",[1]!thsiFinD("ths_adjustment_nv_fund",Q$3,$A46))</f>
        <v/>
      </c>
      <c r="R46" s="198">
        <f>IF($A46="","",[1]!thsiFinD("ths_adjustment_nv_fund",R$3,$A46))</f>
        <v/>
      </c>
      <c r="S46" s="198">
        <f>IF($A46="","",[1]!thsiFinD("ths_adjustment_nv_fund",S$3,$A46))</f>
        <v/>
      </c>
      <c r="T46" s="198">
        <f>IF($A46="","",[1]!thsiFinD("ths_adjustment_nv_fund",T$3,$A46))</f>
        <v/>
      </c>
      <c r="U46" s="198">
        <f>IF($A46="","",[1]!thsiFinD("ths_adjustment_nv_fund",U$3,$A46))</f>
        <v/>
      </c>
      <c r="V46" s="198">
        <f>IF($A46="","",[1]!thsiFinD("ths_adjustment_nv_fund",V$3,$A46))</f>
        <v/>
      </c>
      <c r="W46" s="198">
        <f>IF($A46="","",[1]!thsiFinD("ths_adjustment_nv_fund",W$3,$A46))</f>
        <v/>
      </c>
      <c r="X46" s="198">
        <f>IF($A46="","",[1]!thsiFinD("ths_adjustment_nv_fund",X$3,$A46))</f>
        <v/>
      </c>
    </row>
    <row r="47">
      <c r="A47" s="197" t="n"/>
      <c r="B47" s="198">
        <f>IF($A47="","",[1]!thsiFinD("ths_adjustment_nv_fund",B$3,$A47))</f>
        <v/>
      </c>
      <c r="C47" s="198">
        <f>IF($A47="","",[1]!thsiFinD("ths_adjustment_nv_fund",C$3,$A47))</f>
        <v/>
      </c>
      <c r="D47" s="198">
        <f>IF($A47="","",[1]!thsiFinD("ths_adjustment_nv_fund",D$3,$A47))</f>
        <v/>
      </c>
      <c r="E47" s="198">
        <f>IF($A47="","",[1]!thsiFinD("ths_adjustment_nv_fund",E$3,$A47))</f>
        <v/>
      </c>
      <c r="F47" s="198">
        <f>IF($A47="","",[1]!thsiFinD("ths_adjustment_nv_fund",F$3,$A47))</f>
        <v/>
      </c>
      <c r="G47" s="198">
        <f>IF($A47="","",[1]!thsiFinD("ths_adjustment_nv_fund",G$3,$A47))</f>
        <v/>
      </c>
      <c r="H47" s="198">
        <f>IF($A47="","",[1]!thsiFinD("ths_adjustment_nv_fund",H$3,$A47))</f>
        <v/>
      </c>
      <c r="I47" s="198">
        <f>IF($A47="","",[1]!thsiFinD("ths_adjustment_nv_fund",I$3,$A47))</f>
        <v/>
      </c>
      <c r="J47" s="198">
        <f>IF($A47="","",[1]!thsiFinD("ths_adjustment_nv_fund",J$3,$A47))</f>
        <v/>
      </c>
      <c r="K47" s="198">
        <f>IF($A47="","",[1]!thsiFinD("ths_adjustment_nv_fund",K$3,$A47))</f>
        <v/>
      </c>
      <c r="L47" s="198">
        <f>IF($A47="","",[1]!thsiFinD("ths_adjustment_nv_fund",L$3,$A47))</f>
        <v/>
      </c>
      <c r="M47" s="198">
        <f>IF($A47="","",[1]!thsiFinD("ths_adjustment_nv_fund",M$3,$A47))</f>
        <v/>
      </c>
      <c r="N47" s="198">
        <f>IF($A47="","",[1]!thsiFinD("ths_adjustment_nv_fund",N$3,$A47))</f>
        <v/>
      </c>
      <c r="O47" s="198">
        <f>IF($A47="","",[1]!thsiFinD("ths_adjustment_nv_fund",O$3,$A47))</f>
        <v/>
      </c>
      <c r="P47" s="198">
        <f>IF($A47="","",[1]!thsiFinD("ths_adjustment_nv_fund",P$3,$A47))</f>
        <v/>
      </c>
      <c r="Q47" s="198">
        <f>IF($A47="","",[1]!thsiFinD("ths_adjustment_nv_fund",Q$3,$A47))</f>
        <v/>
      </c>
      <c r="R47" s="198">
        <f>IF($A47="","",[1]!thsiFinD("ths_adjustment_nv_fund",R$3,$A47))</f>
        <v/>
      </c>
      <c r="S47" s="198">
        <f>IF($A47="","",[1]!thsiFinD("ths_adjustment_nv_fund",S$3,$A47))</f>
        <v/>
      </c>
      <c r="T47" s="198">
        <f>IF($A47="","",[1]!thsiFinD("ths_adjustment_nv_fund",T$3,$A47))</f>
        <v/>
      </c>
      <c r="U47" s="198">
        <f>IF($A47="","",[1]!thsiFinD("ths_adjustment_nv_fund",U$3,$A47))</f>
        <v/>
      </c>
      <c r="V47" s="198">
        <f>IF($A47="","",[1]!thsiFinD("ths_adjustment_nv_fund",V$3,$A47))</f>
        <v/>
      </c>
      <c r="W47" s="198">
        <f>IF($A47="","",[1]!thsiFinD("ths_adjustment_nv_fund",W$3,$A47))</f>
        <v/>
      </c>
      <c r="X47" s="198">
        <f>IF($A47="","",[1]!thsiFinD("ths_adjustment_nv_fund",X$3,$A47))</f>
        <v/>
      </c>
    </row>
    <row r="48">
      <c r="A48" s="197" t="n"/>
      <c r="B48" s="198">
        <f>IF($A48="","",[1]!thsiFinD("ths_adjustment_nv_fund",B$3,$A48))</f>
        <v/>
      </c>
      <c r="C48" s="198">
        <f>IF($A48="","",[1]!thsiFinD("ths_adjustment_nv_fund",C$3,$A48))</f>
        <v/>
      </c>
      <c r="D48" s="198">
        <f>IF($A48="","",[1]!thsiFinD("ths_adjustment_nv_fund",D$3,$A48))</f>
        <v/>
      </c>
      <c r="E48" s="198">
        <f>IF($A48="","",[1]!thsiFinD("ths_adjustment_nv_fund",E$3,$A48))</f>
        <v/>
      </c>
      <c r="F48" s="198">
        <f>IF($A48="","",[1]!thsiFinD("ths_adjustment_nv_fund",F$3,$A48))</f>
        <v/>
      </c>
      <c r="G48" s="198">
        <f>IF($A48="","",[1]!thsiFinD("ths_adjustment_nv_fund",G$3,$A48))</f>
        <v/>
      </c>
      <c r="H48" s="198">
        <f>IF($A48="","",[1]!thsiFinD("ths_adjustment_nv_fund",H$3,$A48))</f>
        <v/>
      </c>
      <c r="I48" s="198">
        <f>IF($A48="","",[1]!thsiFinD("ths_adjustment_nv_fund",I$3,$A48))</f>
        <v/>
      </c>
      <c r="J48" s="198">
        <f>IF($A48="","",[1]!thsiFinD("ths_adjustment_nv_fund",J$3,$A48))</f>
        <v/>
      </c>
      <c r="K48" s="198">
        <f>IF($A48="","",[1]!thsiFinD("ths_adjustment_nv_fund",K$3,$A48))</f>
        <v/>
      </c>
      <c r="L48" s="198">
        <f>IF($A48="","",[1]!thsiFinD("ths_adjustment_nv_fund",L$3,$A48))</f>
        <v/>
      </c>
      <c r="M48" s="198">
        <f>IF($A48="","",[1]!thsiFinD("ths_adjustment_nv_fund",M$3,$A48))</f>
        <v/>
      </c>
      <c r="N48" s="198">
        <f>IF($A48="","",[1]!thsiFinD("ths_adjustment_nv_fund",N$3,$A48))</f>
        <v/>
      </c>
      <c r="O48" s="198">
        <f>IF($A48="","",[1]!thsiFinD("ths_adjustment_nv_fund",O$3,$A48))</f>
        <v/>
      </c>
      <c r="P48" s="198">
        <f>IF($A48="","",[1]!thsiFinD("ths_adjustment_nv_fund",P$3,$A48))</f>
        <v/>
      </c>
      <c r="Q48" s="198">
        <f>IF($A48="","",[1]!thsiFinD("ths_adjustment_nv_fund",Q$3,$A48))</f>
        <v/>
      </c>
      <c r="R48" s="198">
        <f>IF($A48="","",[1]!thsiFinD("ths_adjustment_nv_fund",R$3,$A48))</f>
        <v/>
      </c>
      <c r="S48" s="198">
        <f>IF($A48="","",[1]!thsiFinD("ths_adjustment_nv_fund",S$3,$A48))</f>
        <v/>
      </c>
      <c r="T48" s="198">
        <f>IF($A48="","",[1]!thsiFinD("ths_adjustment_nv_fund",T$3,$A48))</f>
        <v/>
      </c>
      <c r="U48" s="198">
        <f>IF($A48="","",[1]!thsiFinD("ths_adjustment_nv_fund",U$3,$A48))</f>
        <v/>
      </c>
      <c r="V48" s="198">
        <f>IF($A48="","",[1]!thsiFinD("ths_adjustment_nv_fund",V$3,$A48))</f>
        <v/>
      </c>
      <c r="W48" s="198">
        <f>IF($A48="","",[1]!thsiFinD("ths_adjustment_nv_fund",W$3,$A48))</f>
        <v/>
      </c>
      <c r="X48" s="198">
        <f>IF($A48="","",[1]!thsiFinD("ths_adjustment_nv_fund",X$3,$A48))</f>
        <v/>
      </c>
    </row>
    <row r="49">
      <c r="A49" s="197" t="n"/>
      <c r="B49" s="198">
        <f>IF($A49="","",[1]!thsiFinD("ths_adjustment_nv_fund",B$3,$A49))</f>
        <v/>
      </c>
      <c r="C49" s="198">
        <f>IF($A49="","",[1]!thsiFinD("ths_adjustment_nv_fund",C$3,$A49))</f>
        <v/>
      </c>
      <c r="D49" s="198">
        <f>IF($A49="","",[1]!thsiFinD("ths_adjustment_nv_fund",D$3,$A49))</f>
        <v/>
      </c>
      <c r="E49" s="198">
        <f>IF($A49="","",[1]!thsiFinD("ths_adjustment_nv_fund",E$3,$A49))</f>
        <v/>
      </c>
      <c r="F49" s="198">
        <f>IF($A49="","",[1]!thsiFinD("ths_adjustment_nv_fund",F$3,$A49))</f>
        <v/>
      </c>
      <c r="G49" s="198">
        <f>IF($A49="","",[1]!thsiFinD("ths_adjustment_nv_fund",G$3,$A49))</f>
        <v/>
      </c>
      <c r="H49" s="198">
        <f>IF($A49="","",[1]!thsiFinD("ths_adjustment_nv_fund",H$3,$A49))</f>
        <v/>
      </c>
      <c r="I49" s="198">
        <f>IF($A49="","",[1]!thsiFinD("ths_adjustment_nv_fund",I$3,$A49))</f>
        <v/>
      </c>
      <c r="J49" s="198">
        <f>IF($A49="","",[1]!thsiFinD("ths_adjustment_nv_fund",J$3,$A49))</f>
        <v/>
      </c>
      <c r="K49" s="198">
        <f>IF($A49="","",[1]!thsiFinD("ths_adjustment_nv_fund",K$3,$A49))</f>
        <v/>
      </c>
      <c r="L49" s="198">
        <f>IF($A49="","",[1]!thsiFinD("ths_adjustment_nv_fund",L$3,$A49))</f>
        <v/>
      </c>
      <c r="M49" s="198">
        <f>IF($A49="","",[1]!thsiFinD("ths_adjustment_nv_fund",M$3,$A49))</f>
        <v/>
      </c>
      <c r="N49" s="198">
        <f>IF($A49="","",[1]!thsiFinD("ths_adjustment_nv_fund",N$3,$A49))</f>
        <v/>
      </c>
      <c r="O49" s="198">
        <f>IF($A49="","",[1]!thsiFinD("ths_adjustment_nv_fund",O$3,$A49))</f>
        <v/>
      </c>
      <c r="P49" s="198">
        <f>IF($A49="","",[1]!thsiFinD("ths_adjustment_nv_fund",P$3,$A49))</f>
        <v/>
      </c>
      <c r="Q49" s="198">
        <f>IF($A49="","",[1]!thsiFinD("ths_adjustment_nv_fund",Q$3,$A49))</f>
        <v/>
      </c>
      <c r="R49" s="198">
        <f>IF($A49="","",[1]!thsiFinD("ths_adjustment_nv_fund",R$3,$A49))</f>
        <v/>
      </c>
      <c r="S49" s="198">
        <f>IF($A49="","",[1]!thsiFinD("ths_adjustment_nv_fund",S$3,$A49))</f>
        <v/>
      </c>
      <c r="T49" s="198">
        <f>IF($A49="","",[1]!thsiFinD("ths_adjustment_nv_fund",T$3,$A49))</f>
        <v/>
      </c>
      <c r="U49" s="198">
        <f>IF($A49="","",[1]!thsiFinD("ths_adjustment_nv_fund",U$3,$A49))</f>
        <v/>
      </c>
      <c r="V49" s="198">
        <f>IF($A49="","",[1]!thsiFinD("ths_adjustment_nv_fund",V$3,$A49))</f>
        <v/>
      </c>
      <c r="W49" s="198">
        <f>IF($A49="","",[1]!thsiFinD("ths_adjustment_nv_fund",W$3,$A49))</f>
        <v/>
      </c>
      <c r="X49" s="198">
        <f>IF($A49="","",[1]!thsiFinD("ths_adjustment_nv_fund",X$3,$A49))</f>
        <v/>
      </c>
    </row>
    <row r="50">
      <c r="A50" s="197" t="n"/>
      <c r="B50" s="198">
        <f>IF($A50="","",[1]!thsiFinD("ths_adjustment_nv_fund",B$3,$A50))</f>
        <v/>
      </c>
      <c r="C50" s="198">
        <f>IF($A50="","",[1]!thsiFinD("ths_adjustment_nv_fund",C$3,$A50))</f>
        <v/>
      </c>
      <c r="D50" s="198">
        <f>IF($A50="","",[1]!thsiFinD("ths_adjustment_nv_fund",D$3,$A50))</f>
        <v/>
      </c>
      <c r="E50" s="198">
        <f>IF($A50="","",[1]!thsiFinD("ths_adjustment_nv_fund",E$3,$A50))</f>
        <v/>
      </c>
      <c r="F50" s="198">
        <f>IF($A50="","",[1]!thsiFinD("ths_adjustment_nv_fund",F$3,$A50))</f>
        <v/>
      </c>
      <c r="G50" s="198">
        <f>IF($A50="","",[1]!thsiFinD("ths_adjustment_nv_fund",G$3,$A50))</f>
        <v/>
      </c>
      <c r="H50" s="198">
        <f>IF($A50="","",[1]!thsiFinD("ths_adjustment_nv_fund",H$3,$A50))</f>
        <v/>
      </c>
      <c r="I50" s="198">
        <f>IF($A50="","",[1]!thsiFinD("ths_adjustment_nv_fund",I$3,$A50))</f>
        <v/>
      </c>
      <c r="J50" s="198">
        <f>IF($A50="","",[1]!thsiFinD("ths_adjustment_nv_fund",J$3,$A50))</f>
        <v/>
      </c>
      <c r="K50" s="198">
        <f>IF($A50="","",[1]!thsiFinD("ths_adjustment_nv_fund",K$3,$A50))</f>
        <v/>
      </c>
      <c r="L50" s="198">
        <f>IF($A50="","",[1]!thsiFinD("ths_adjustment_nv_fund",L$3,$A50))</f>
        <v/>
      </c>
      <c r="M50" s="198">
        <f>IF($A50="","",[1]!thsiFinD("ths_adjustment_nv_fund",M$3,$A50))</f>
        <v/>
      </c>
      <c r="N50" s="198">
        <f>IF($A50="","",[1]!thsiFinD("ths_adjustment_nv_fund",N$3,$A50))</f>
        <v/>
      </c>
      <c r="O50" s="198">
        <f>IF($A50="","",[1]!thsiFinD("ths_adjustment_nv_fund",O$3,$A50))</f>
        <v/>
      </c>
      <c r="P50" s="198">
        <f>IF($A50="","",[1]!thsiFinD("ths_adjustment_nv_fund",P$3,$A50))</f>
        <v/>
      </c>
      <c r="Q50" s="198">
        <f>IF($A50="","",[1]!thsiFinD("ths_adjustment_nv_fund",Q$3,$A50))</f>
        <v/>
      </c>
      <c r="R50" s="198">
        <f>IF($A50="","",[1]!thsiFinD("ths_adjustment_nv_fund",R$3,$A50))</f>
        <v/>
      </c>
      <c r="S50" s="198">
        <f>IF($A50="","",[1]!thsiFinD("ths_adjustment_nv_fund",S$3,$A50))</f>
        <v/>
      </c>
      <c r="T50" s="198">
        <f>IF($A50="","",[1]!thsiFinD("ths_adjustment_nv_fund",T$3,$A50))</f>
        <v/>
      </c>
      <c r="U50" s="198">
        <f>IF($A50="","",[1]!thsiFinD("ths_adjustment_nv_fund",U$3,$A50))</f>
        <v/>
      </c>
      <c r="V50" s="198">
        <f>IF($A50="","",[1]!thsiFinD("ths_adjustment_nv_fund",V$3,$A50))</f>
        <v/>
      </c>
      <c r="W50" s="198">
        <f>IF($A50="","",[1]!thsiFinD("ths_adjustment_nv_fund",W$3,$A50))</f>
        <v/>
      </c>
      <c r="X50" s="198">
        <f>IF($A50="","",[1]!thsiFinD("ths_adjustment_nv_fund",X$3,$A50))</f>
        <v/>
      </c>
    </row>
    <row r="51">
      <c r="A51" s="197" t="n"/>
      <c r="B51" s="198">
        <f>IF($A51="","",[1]!thsiFinD("ths_adjustment_nv_fund",B$3,$A51))</f>
        <v/>
      </c>
      <c r="C51" s="198">
        <f>IF($A51="","",[1]!thsiFinD("ths_adjustment_nv_fund",C$3,$A51))</f>
        <v/>
      </c>
      <c r="D51" s="198">
        <f>IF($A51="","",[1]!thsiFinD("ths_adjustment_nv_fund",D$3,$A51))</f>
        <v/>
      </c>
      <c r="E51" s="198">
        <f>IF($A51="","",[1]!thsiFinD("ths_adjustment_nv_fund",E$3,$A51))</f>
        <v/>
      </c>
      <c r="F51" s="198">
        <f>IF($A51="","",[1]!thsiFinD("ths_adjustment_nv_fund",F$3,$A51))</f>
        <v/>
      </c>
      <c r="G51" s="198">
        <f>IF($A51="","",[1]!thsiFinD("ths_adjustment_nv_fund",G$3,$A51))</f>
        <v/>
      </c>
      <c r="H51" s="198">
        <f>IF($A51="","",[1]!thsiFinD("ths_adjustment_nv_fund",H$3,$A51))</f>
        <v/>
      </c>
      <c r="I51" s="198">
        <f>IF($A51="","",[1]!thsiFinD("ths_adjustment_nv_fund",I$3,$A51))</f>
        <v/>
      </c>
      <c r="J51" s="198">
        <f>IF($A51="","",[1]!thsiFinD("ths_adjustment_nv_fund",J$3,$A51))</f>
        <v/>
      </c>
      <c r="K51" s="198">
        <f>IF($A51="","",[1]!thsiFinD("ths_adjustment_nv_fund",K$3,$A51))</f>
        <v/>
      </c>
      <c r="L51" s="198">
        <f>IF($A51="","",[1]!thsiFinD("ths_adjustment_nv_fund",L$3,$A51))</f>
        <v/>
      </c>
      <c r="M51" s="198">
        <f>IF($A51="","",[1]!thsiFinD("ths_adjustment_nv_fund",M$3,$A51))</f>
        <v/>
      </c>
      <c r="N51" s="198">
        <f>IF($A51="","",[1]!thsiFinD("ths_adjustment_nv_fund",N$3,$A51))</f>
        <v/>
      </c>
      <c r="O51" s="198">
        <f>IF($A51="","",[1]!thsiFinD("ths_adjustment_nv_fund",O$3,$A51))</f>
        <v/>
      </c>
      <c r="P51" s="198">
        <f>IF($A51="","",[1]!thsiFinD("ths_adjustment_nv_fund",P$3,$A51))</f>
        <v/>
      </c>
      <c r="Q51" s="198">
        <f>IF($A51="","",[1]!thsiFinD("ths_adjustment_nv_fund",Q$3,$A51))</f>
        <v/>
      </c>
      <c r="R51" s="198">
        <f>IF($A51="","",[1]!thsiFinD("ths_adjustment_nv_fund",R$3,$A51))</f>
        <v/>
      </c>
      <c r="S51" s="198">
        <f>IF($A51="","",[1]!thsiFinD("ths_adjustment_nv_fund",S$3,$A51))</f>
        <v/>
      </c>
      <c r="T51" s="198">
        <f>IF($A51="","",[1]!thsiFinD("ths_adjustment_nv_fund",T$3,$A51))</f>
        <v/>
      </c>
      <c r="U51" s="198">
        <f>IF($A51="","",[1]!thsiFinD("ths_adjustment_nv_fund",U$3,$A51))</f>
        <v/>
      </c>
      <c r="V51" s="198">
        <f>IF($A51="","",[1]!thsiFinD("ths_adjustment_nv_fund",V$3,$A51))</f>
        <v/>
      </c>
      <c r="W51" s="198">
        <f>IF($A51="","",[1]!thsiFinD("ths_adjustment_nv_fund",W$3,$A51))</f>
        <v/>
      </c>
      <c r="X51" s="198">
        <f>IF($A51="","",[1]!thsiFinD("ths_adjustment_nv_fund",X$3,$A51))</f>
        <v/>
      </c>
    </row>
    <row r="52">
      <c r="A52" s="197" t="n"/>
      <c r="B52" s="198">
        <f>IF($A52="","",[1]!thsiFinD("ths_adjustment_nv_fund",B$3,$A52))</f>
        <v/>
      </c>
      <c r="C52" s="198">
        <f>IF($A52="","",[1]!thsiFinD("ths_adjustment_nv_fund",C$3,$A52))</f>
        <v/>
      </c>
      <c r="D52" s="198">
        <f>IF($A52="","",[1]!thsiFinD("ths_adjustment_nv_fund",D$3,$A52))</f>
        <v/>
      </c>
      <c r="E52" s="198">
        <f>IF($A52="","",[1]!thsiFinD("ths_adjustment_nv_fund",E$3,$A52))</f>
        <v/>
      </c>
      <c r="F52" s="198">
        <f>IF($A52="","",[1]!thsiFinD("ths_adjustment_nv_fund",F$3,$A52))</f>
        <v/>
      </c>
      <c r="G52" s="198">
        <f>IF($A52="","",[1]!thsiFinD("ths_adjustment_nv_fund",G$3,$A52))</f>
        <v/>
      </c>
      <c r="H52" s="198">
        <f>IF($A52="","",[1]!thsiFinD("ths_adjustment_nv_fund",H$3,$A52))</f>
        <v/>
      </c>
      <c r="I52" s="198">
        <f>IF($A52="","",[1]!thsiFinD("ths_adjustment_nv_fund",I$3,$A52))</f>
        <v/>
      </c>
      <c r="J52" s="198">
        <f>IF($A52="","",[1]!thsiFinD("ths_adjustment_nv_fund",J$3,$A52))</f>
        <v/>
      </c>
      <c r="K52" s="198">
        <f>IF($A52="","",[1]!thsiFinD("ths_adjustment_nv_fund",K$3,$A52))</f>
        <v/>
      </c>
      <c r="L52" s="198">
        <f>IF($A52="","",[1]!thsiFinD("ths_adjustment_nv_fund",L$3,$A52))</f>
        <v/>
      </c>
      <c r="M52" s="198">
        <f>IF($A52="","",[1]!thsiFinD("ths_adjustment_nv_fund",M$3,$A52))</f>
        <v/>
      </c>
      <c r="N52" s="198">
        <f>IF($A52="","",[1]!thsiFinD("ths_adjustment_nv_fund",N$3,$A52))</f>
        <v/>
      </c>
      <c r="O52" s="198">
        <f>IF($A52="","",[1]!thsiFinD("ths_adjustment_nv_fund",O$3,$A52))</f>
        <v/>
      </c>
      <c r="P52" s="198">
        <f>IF($A52="","",[1]!thsiFinD("ths_adjustment_nv_fund",P$3,$A52))</f>
        <v/>
      </c>
      <c r="Q52" s="198">
        <f>IF($A52="","",[1]!thsiFinD("ths_adjustment_nv_fund",Q$3,$A52))</f>
        <v/>
      </c>
      <c r="R52" s="198">
        <f>IF($A52="","",[1]!thsiFinD("ths_adjustment_nv_fund",R$3,$A52))</f>
        <v/>
      </c>
      <c r="S52" s="198">
        <f>IF($A52="","",[1]!thsiFinD("ths_adjustment_nv_fund",S$3,$A52))</f>
        <v/>
      </c>
      <c r="T52" s="198">
        <f>IF($A52="","",[1]!thsiFinD("ths_adjustment_nv_fund",T$3,$A52))</f>
        <v/>
      </c>
      <c r="U52" s="198">
        <f>IF($A52="","",[1]!thsiFinD("ths_adjustment_nv_fund",U$3,$A52))</f>
        <v/>
      </c>
      <c r="V52" s="198">
        <f>IF($A52="","",[1]!thsiFinD("ths_adjustment_nv_fund",V$3,$A52))</f>
        <v/>
      </c>
      <c r="W52" s="198">
        <f>IF($A52="","",[1]!thsiFinD("ths_adjustment_nv_fund",W$3,$A52))</f>
        <v/>
      </c>
      <c r="X52" s="198">
        <f>IF($A52="","",[1]!thsiFinD("ths_adjustment_nv_fund",X$3,$A52))</f>
        <v/>
      </c>
    </row>
    <row r="53">
      <c r="A53" s="197" t="n"/>
      <c r="B53" s="198">
        <f>IF($A53="","",[1]!thsiFinD("ths_adjustment_nv_fund",B$3,$A53))</f>
        <v/>
      </c>
      <c r="C53" s="198">
        <f>IF($A53="","",[1]!thsiFinD("ths_adjustment_nv_fund",C$3,$A53))</f>
        <v/>
      </c>
      <c r="D53" s="198">
        <f>IF($A53="","",[1]!thsiFinD("ths_adjustment_nv_fund",D$3,$A53))</f>
        <v/>
      </c>
      <c r="E53" s="198">
        <f>IF($A53="","",[1]!thsiFinD("ths_adjustment_nv_fund",E$3,$A53))</f>
        <v/>
      </c>
      <c r="F53" s="198">
        <f>IF($A53="","",[1]!thsiFinD("ths_adjustment_nv_fund",F$3,$A53))</f>
        <v/>
      </c>
      <c r="G53" s="198">
        <f>IF($A53="","",[1]!thsiFinD("ths_adjustment_nv_fund",G$3,$A53))</f>
        <v/>
      </c>
      <c r="H53" s="198">
        <f>IF($A53="","",[1]!thsiFinD("ths_adjustment_nv_fund",H$3,$A53))</f>
        <v/>
      </c>
      <c r="I53" s="198">
        <f>IF($A53="","",[1]!thsiFinD("ths_adjustment_nv_fund",I$3,$A53))</f>
        <v/>
      </c>
      <c r="J53" s="198">
        <f>IF($A53="","",[1]!thsiFinD("ths_adjustment_nv_fund",J$3,$A53))</f>
        <v/>
      </c>
      <c r="K53" s="198">
        <f>IF($A53="","",[1]!thsiFinD("ths_adjustment_nv_fund",K$3,$A53))</f>
        <v/>
      </c>
      <c r="L53" s="198">
        <f>IF($A53="","",[1]!thsiFinD("ths_adjustment_nv_fund",L$3,$A53))</f>
        <v/>
      </c>
      <c r="M53" s="198">
        <f>IF($A53="","",[1]!thsiFinD("ths_adjustment_nv_fund",M$3,$A53))</f>
        <v/>
      </c>
      <c r="N53" s="198">
        <f>IF($A53="","",[1]!thsiFinD("ths_adjustment_nv_fund",N$3,$A53))</f>
        <v/>
      </c>
      <c r="O53" s="198">
        <f>IF($A53="","",[1]!thsiFinD("ths_adjustment_nv_fund",O$3,$A53))</f>
        <v/>
      </c>
      <c r="P53" s="198">
        <f>IF($A53="","",[1]!thsiFinD("ths_adjustment_nv_fund",P$3,$A53))</f>
        <v/>
      </c>
      <c r="Q53" s="198">
        <f>IF($A53="","",[1]!thsiFinD("ths_adjustment_nv_fund",Q$3,$A53))</f>
        <v/>
      </c>
      <c r="R53" s="198">
        <f>IF($A53="","",[1]!thsiFinD("ths_adjustment_nv_fund",R$3,$A53))</f>
        <v/>
      </c>
      <c r="S53" s="198">
        <f>IF($A53="","",[1]!thsiFinD("ths_adjustment_nv_fund",S$3,$A53))</f>
        <v/>
      </c>
      <c r="T53" s="198">
        <f>IF($A53="","",[1]!thsiFinD("ths_adjustment_nv_fund",T$3,$A53))</f>
        <v/>
      </c>
      <c r="U53" s="198">
        <f>IF($A53="","",[1]!thsiFinD("ths_adjustment_nv_fund",U$3,$A53))</f>
        <v/>
      </c>
      <c r="V53" s="198">
        <f>IF($A53="","",[1]!thsiFinD("ths_adjustment_nv_fund",V$3,$A53))</f>
        <v/>
      </c>
      <c r="W53" s="198">
        <f>IF($A53="","",[1]!thsiFinD("ths_adjustment_nv_fund",W$3,$A53))</f>
        <v/>
      </c>
      <c r="X53" s="198">
        <f>IF($A53="","",[1]!thsiFinD("ths_adjustment_nv_fund",X$3,$A53))</f>
        <v/>
      </c>
    </row>
    <row r="54">
      <c r="A54" s="197" t="n"/>
      <c r="B54" s="198">
        <f>IF($A54="","",[1]!thsiFinD("ths_adjustment_nv_fund",B$3,$A54))</f>
        <v/>
      </c>
      <c r="C54" s="198">
        <f>IF($A54="","",[1]!thsiFinD("ths_adjustment_nv_fund",C$3,$A54))</f>
        <v/>
      </c>
      <c r="D54" s="198">
        <f>IF($A54="","",[1]!thsiFinD("ths_adjustment_nv_fund",D$3,$A54))</f>
        <v/>
      </c>
      <c r="E54" s="198">
        <f>IF($A54="","",[1]!thsiFinD("ths_adjustment_nv_fund",E$3,$A54))</f>
        <v/>
      </c>
      <c r="F54" s="198">
        <f>IF($A54="","",[1]!thsiFinD("ths_adjustment_nv_fund",F$3,$A54))</f>
        <v/>
      </c>
      <c r="G54" s="198">
        <f>IF($A54="","",[1]!thsiFinD("ths_adjustment_nv_fund",G$3,$A54))</f>
        <v/>
      </c>
      <c r="H54" s="198">
        <f>IF($A54="","",[1]!thsiFinD("ths_adjustment_nv_fund",H$3,$A54))</f>
        <v/>
      </c>
      <c r="I54" s="198">
        <f>IF($A54="","",[1]!thsiFinD("ths_adjustment_nv_fund",I$3,$A54))</f>
        <v/>
      </c>
      <c r="J54" s="198">
        <f>IF($A54="","",[1]!thsiFinD("ths_adjustment_nv_fund",J$3,$A54))</f>
        <v/>
      </c>
      <c r="K54" s="198">
        <f>IF($A54="","",[1]!thsiFinD("ths_adjustment_nv_fund",K$3,$A54))</f>
        <v/>
      </c>
      <c r="L54" s="198">
        <f>IF($A54="","",[1]!thsiFinD("ths_adjustment_nv_fund",L$3,$A54))</f>
        <v/>
      </c>
      <c r="M54" s="198">
        <f>IF($A54="","",[1]!thsiFinD("ths_adjustment_nv_fund",M$3,$A54))</f>
        <v/>
      </c>
      <c r="N54" s="198">
        <f>IF($A54="","",[1]!thsiFinD("ths_adjustment_nv_fund",N$3,$A54))</f>
        <v/>
      </c>
      <c r="O54" s="198">
        <f>IF($A54="","",[1]!thsiFinD("ths_adjustment_nv_fund",O$3,$A54))</f>
        <v/>
      </c>
      <c r="P54" s="198">
        <f>IF($A54="","",[1]!thsiFinD("ths_adjustment_nv_fund",P$3,$A54))</f>
        <v/>
      </c>
      <c r="Q54" s="198">
        <f>IF($A54="","",[1]!thsiFinD("ths_adjustment_nv_fund",Q$3,$A54))</f>
        <v/>
      </c>
      <c r="R54" s="198">
        <f>IF($A54="","",[1]!thsiFinD("ths_adjustment_nv_fund",R$3,$A54))</f>
        <v/>
      </c>
      <c r="S54" s="198">
        <f>IF($A54="","",[1]!thsiFinD("ths_adjustment_nv_fund",S$3,$A54))</f>
        <v/>
      </c>
      <c r="T54" s="198">
        <f>IF($A54="","",[1]!thsiFinD("ths_adjustment_nv_fund",T$3,$A54))</f>
        <v/>
      </c>
      <c r="U54" s="198">
        <f>IF($A54="","",[1]!thsiFinD("ths_adjustment_nv_fund",U$3,$A54))</f>
        <v/>
      </c>
      <c r="V54" s="198">
        <f>IF($A54="","",[1]!thsiFinD("ths_adjustment_nv_fund",V$3,$A54))</f>
        <v/>
      </c>
      <c r="W54" s="198">
        <f>IF($A54="","",[1]!thsiFinD("ths_adjustment_nv_fund",W$3,$A54))</f>
        <v/>
      </c>
      <c r="X54" s="198">
        <f>IF($A54="","",[1]!thsiFinD("ths_adjustment_nv_fund",X$3,$A54))</f>
        <v/>
      </c>
    </row>
    <row r="55">
      <c r="A55" s="197" t="n"/>
      <c r="B55" s="198">
        <f>IF($A55="","",[1]!thsiFinD("ths_adjustment_nv_fund",B$3,$A55))</f>
        <v/>
      </c>
      <c r="C55" s="198">
        <f>IF($A55="","",[1]!thsiFinD("ths_adjustment_nv_fund",C$3,$A55))</f>
        <v/>
      </c>
      <c r="D55" s="198">
        <f>IF($A55="","",[1]!thsiFinD("ths_adjustment_nv_fund",D$3,$A55))</f>
        <v/>
      </c>
      <c r="E55" s="198">
        <f>IF($A55="","",[1]!thsiFinD("ths_adjustment_nv_fund",E$3,$A55))</f>
        <v/>
      </c>
      <c r="F55" s="198">
        <f>IF($A55="","",[1]!thsiFinD("ths_adjustment_nv_fund",F$3,$A55))</f>
        <v/>
      </c>
      <c r="G55" s="198">
        <f>IF($A55="","",[1]!thsiFinD("ths_adjustment_nv_fund",G$3,$A55))</f>
        <v/>
      </c>
      <c r="H55" s="198">
        <f>IF($A55="","",[1]!thsiFinD("ths_adjustment_nv_fund",H$3,$A55))</f>
        <v/>
      </c>
      <c r="I55" s="198">
        <f>IF($A55="","",[1]!thsiFinD("ths_adjustment_nv_fund",I$3,$A55))</f>
        <v/>
      </c>
      <c r="J55" s="198">
        <f>IF($A55="","",[1]!thsiFinD("ths_adjustment_nv_fund",J$3,$A55))</f>
        <v/>
      </c>
      <c r="K55" s="198">
        <f>IF($A55="","",[1]!thsiFinD("ths_adjustment_nv_fund",K$3,$A55))</f>
        <v/>
      </c>
      <c r="L55" s="198">
        <f>IF($A55="","",[1]!thsiFinD("ths_adjustment_nv_fund",L$3,$A55))</f>
        <v/>
      </c>
      <c r="M55" s="198">
        <f>IF($A55="","",[1]!thsiFinD("ths_adjustment_nv_fund",M$3,$A55))</f>
        <v/>
      </c>
      <c r="N55" s="198">
        <f>IF($A55="","",[1]!thsiFinD("ths_adjustment_nv_fund",N$3,$A55))</f>
        <v/>
      </c>
      <c r="O55" s="198">
        <f>IF($A55="","",[1]!thsiFinD("ths_adjustment_nv_fund",O$3,$A55))</f>
        <v/>
      </c>
      <c r="P55" s="198">
        <f>IF($A55="","",[1]!thsiFinD("ths_adjustment_nv_fund",P$3,$A55))</f>
        <v/>
      </c>
      <c r="Q55" s="198">
        <f>IF($A55="","",[1]!thsiFinD("ths_adjustment_nv_fund",Q$3,$A55))</f>
        <v/>
      </c>
      <c r="R55" s="198">
        <f>IF($A55="","",[1]!thsiFinD("ths_adjustment_nv_fund",R$3,$A55))</f>
        <v/>
      </c>
      <c r="S55" s="198">
        <f>IF($A55="","",[1]!thsiFinD("ths_adjustment_nv_fund",S$3,$A55))</f>
        <v/>
      </c>
      <c r="T55" s="198">
        <f>IF($A55="","",[1]!thsiFinD("ths_adjustment_nv_fund",T$3,$A55))</f>
        <v/>
      </c>
      <c r="U55" s="198">
        <f>IF($A55="","",[1]!thsiFinD("ths_adjustment_nv_fund",U$3,$A55))</f>
        <v/>
      </c>
      <c r="V55" s="198">
        <f>IF($A55="","",[1]!thsiFinD("ths_adjustment_nv_fund",V$3,$A55))</f>
        <v/>
      </c>
      <c r="W55" s="198">
        <f>IF($A55="","",[1]!thsiFinD("ths_adjustment_nv_fund",W$3,$A55))</f>
        <v/>
      </c>
      <c r="X55" s="198">
        <f>IF($A55="","",[1]!thsiFinD("ths_adjustment_nv_fund",X$3,$A55))</f>
        <v/>
      </c>
    </row>
    <row r="56">
      <c r="A56" s="197" t="n"/>
      <c r="B56" s="198">
        <f>IF($A56="","",[1]!thsiFinD("ths_adjustment_nv_fund",B$3,$A56))</f>
        <v/>
      </c>
      <c r="C56" s="198">
        <f>IF($A56="","",[1]!thsiFinD("ths_adjustment_nv_fund",C$3,$A56))</f>
        <v/>
      </c>
      <c r="D56" s="198">
        <f>IF($A56="","",[1]!thsiFinD("ths_adjustment_nv_fund",D$3,$A56))</f>
        <v/>
      </c>
      <c r="E56" s="198">
        <f>IF($A56="","",[1]!thsiFinD("ths_adjustment_nv_fund",E$3,$A56))</f>
        <v/>
      </c>
      <c r="F56" s="198">
        <f>IF($A56="","",[1]!thsiFinD("ths_adjustment_nv_fund",F$3,$A56))</f>
        <v/>
      </c>
      <c r="G56" s="198">
        <f>IF($A56="","",[1]!thsiFinD("ths_adjustment_nv_fund",G$3,$A56))</f>
        <v/>
      </c>
      <c r="H56" s="198">
        <f>IF($A56="","",[1]!thsiFinD("ths_adjustment_nv_fund",H$3,$A56))</f>
        <v/>
      </c>
      <c r="I56" s="198">
        <f>IF($A56="","",[1]!thsiFinD("ths_adjustment_nv_fund",I$3,$A56))</f>
        <v/>
      </c>
      <c r="J56" s="198">
        <f>IF($A56="","",[1]!thsiFinD("ths_adjustment_nv_fund",J$3,$A56))</f>
        <v/>
      </c>
      <c r="K56" s="198">
        <f>IF($A56="","",[1]!thsiFinD("ths_adjustment_nv_fund",K$3,$A56))</f>
        <v/>
      </c>
      <c r="L56" s="198">
        <f>IF($A56="","",[1]!thsiFinD("ths_adjustment_nv_fund",L$3,$A56))</f>
        <v/>
      </c>
      <c r="M56" s="198">
        <f>IF($A56="","",[1]!thsiFinD("ths_adjustment_nv_fund",M$3,$A56))</f>
        <v/>
      </c>
      <c r="N56" s="198">
        <f>IF($A56="","",[1]!thsiFinD("ths_adjustment_nv_fund",N$3,$A56))</f>
        <v/>
      </c>
      <c r="O56" s="198">
        <f>IF($A56="","",[1]!thsiFinD("ths_adjustment_nv_fund",O$3,$A56))</f>
        <v/>
      </c>
      <c r="P56" s="198">
        <f>IF($A56="","",[1]!thsiFinD("ths_adjustment_nv_fund",P$3,$A56))</f>
        <v/>
      </c>
      <c r="Q56" s="198">
        <f>IF($A56="","",[1]!thsiFinD("ths_adjustment_nv_fund",Q$3,$A56))</f>
        <v/>
      </c>
      <c r="R56" s="198">
        <f>IF($A56="","",[1]!thsiFinD("ths_adjustment_nv_fund",R$3,$A56))</f>
        <v/>
      </c>
      <c r="S56" s="198">
        <f>IF($A56="","",[1]!thsiFinD("ths_adjustment_nv_fund",S$3,$A56))</f>
        <v/>
      </c>
      <c r="T56" s="198">
        <f>IF($A56="","",[1]!thsiFinD("ths_adjustment_nv_fund",T$3,$A56))</f>
        <v/>
      </c>
      <c r="U56" s="198">
        <f>IF($A56="","",[1]!thsiFinD("ths_adjustment_nv_fund",U$3,$A56))</f>
        <v/>
      </c>
      <c r="V56" s="198">
        <f>IF($A56="","",[1]!thsiFinD("ths_adjustment_nv_fund",V$3,$A56))</f>
        <v/>
      </c>
      <c r="W56" s="198">
        <f>IF($A56="","",[1]!thsiFinD("ths_adjustment_nv_fund",W$3,$A56))</f>
        <v/>
      </c>
      <c r="X56" s="198">
        <f>IF($A56="","",[1]!thsiFinD("ths_adjustment_nv_fund",X$3,$A56))</f>
        <v/>
      </c>
    </row>
    <row r="57">
      <c r="A57" s="197" t="n"/>
      <c r="B57" s="198">
        <f>IF($A57="","",[1]!thsiFinD("ths_adjustment_nv_fund",B$3,$A57))</f>
        <v/>
      </c>
      <c r="C57" s="198">
        <f>IF($A57="","",[1]!thsiFinD("ths_adjustment_nv_fund",C$3,$A57))</f>
        <v/>
      </c>
      <c r="D57" s="198">
        <f>IF($A57="","",[1]!thsiFinD("ths_adjustment_nv_fund",D$3,$A57))</f>
        <v/>
      </c>
      <c r="E57" s="198">
        <f>IF($A57="","",[1]!thsiFinD("ths_adjustment_nv_fund",E$3,$A57))</f>
        <v/>
      </c>
      <c r="F57" s="198">
        <f>IF($A57="","",[1]!thsiFinD("ths_adjustment_nv_fund",F$3,$A57))</f>
        <v/>
      </c>
      <c r="G57" s="198">
        <f>IF($A57="","",[1]!thsiFinD("ths_adjustment_nv_fund",G$3,$A57))</f>
        <v/>
      </c>
      <c r="H57" s="198">
        <f>IF($A57="","",[1]!thsiFinD("ths_adjustment_nv_fund",H$3,$A57))</f>
        <v/>
      </c>
      <c r="I57" s="198">
        <f>IF($A57="","",[1]!thsiFinD("ths_adjustment_nv_fund",I$3,$A57))</f>
        <v/>
      </c>
      <c r="J57" s="198">
        <f>IF($A57="","",[1]!thsiFinD("ths_adjustment_nv_fund",J$3,$A57))</f>
        <v/>
      </c>
      <c r="K57" s="198">
        <f>IF($A57="","",[1]!thsiFinD("ths_adjustment_nv_fund",K$3,$A57))</f>
        <v/>
      </c>
      <c r="L57" s="198">
        <f>IF($A57="","",[1]!thsiFinD("ths_adjustment_nv_fund",L$3,$A57))</f>
        <v/>
      </c>
      <c r="M57" s="198">
        <f>IF($A57="","",[1]!thsiFinD("ths_adjustment_nv_fund",M$3,$A57))</f>
        <v/>
      </c>
      <c r="N57" s="198">
        <f>IF($A57="","",[1]!thsiFinD("ths_adjustment_nv_fund",N$3,$A57))</f>
        <v/>
      </c>
      <c r="O57" s="198">
        <f>IF($A57="","",[1]!thsiFinD("ths_adjustment_nv_fund",O$3,$A57))</f>
        <v/>
      </c>
      <c r="P57" s="198">
        <f>IF($A57="","",[1]!thsiFinD("ths_adjustment_nv_fund",P$3,$A57))</f>
        <v/>
      </c>
      <c r="Q57" s="198">
        <f>IF($A57="","",[1]!thsiFinD("ths_adjustment_nv_fund",Q$3,$A57))</f>
        <v/>
      </c>
      <c r="R57" s="198">
        <f>IF($A57="","",[1]!thsiFinD("ths_adjustment_nv_fund",R$3,$A57))</f>
        <v/>
      </c>
      <c r="S57" s="198">
        <f>IF($A57="","",[1]!thsiFinD("ths_adjustment_nv_fund",S$3,$A57))</f>
        <v/>
      </c>
      <c r="T57" s="198">
        <f>IF($A57="","",[1]!thsiFinD("ths_adjustment_nv_fund",T$3,$A57))</f>
        <v/>
      </c>
      <c r="U57" s="198">
        <f>IF($A57="","",[1]!thsiFinD("ths_adjustment_nv_fund",U$3,$A57))</f>
        <v/>
      </c>
      <c r="V57" s="198">
        <f>IF($A57="","",[1]!thsiFinD("ths_adjustment_nv_fund",V$3,$A57))</f>
        <v/>
      </c>
      <c r="W57" s="198">
        <f>IF($A57="","",[1]!thsiFinD("ths_adjustment_nv_fund",W$3,$A57))</f>
        <v/>
      </c>
      <c r="X57" s="198">
        <f>IF($A57="","",[1]!thsiFinD("ths_adjustment_nv_fund",X$3,$A57))</f>
        <v/>
      </c>
    </row>
    <row r="58">
      <c r="A58" s="197" t="n"/>
      <c r="B58" s="198">
        <f>IF($A58="","",[1]!thsiFinD("ths_adjustment_nv_fund",B$3,$A58))</f>
        <v/>
      </c>
      <c r="C58" s="198">
        <f>IF($A58="","",[1]!thsiFinD("ths_adjustment_nv_fund",C$3,$A58))</f>
        <v/>
      </c>
      <c r="D58" s="198">
        <f>IF($A58="","",[1]!thsiFinD("ths_adjustment_nv_fund",D$3,$A58))</f>
        <v/>
      </c>
      <c r="E58" s="198">
        <f>IF($A58="","",[1]!thsiFinD("ths_adjustment_nv_fund",E$3,$A58))</f>
        <v/>
      </c>
      <c r="F58" s="198">
        <f>IF($A58="","",[1]!thsiFinD("ths_adjustment_nv_fund",F$3,$A58))</f>
        <v/>
      </c>
      <c r="G58" s="198">
        <f>IF($A58="","",[1]!thsiFinD("ths_adjustment_nv_fund",G$3,$A58))</f>
        <v/>
      </c>
      <c r="H58" s="198">
        <f>IF($A58="","",[1]!thsiFinD("ths_adjustment_nv_fund",H$3,$A58))</f>
        <v/>
      </c>
      <c r="I58" s="198">
        <f>IF($A58="","",[1]!thsiFinD("ths_adjustment_nv_fund",I$3,$A58))</f>
        <v/>
      </c>
      <c r="J58" s="198">
        <f>IF($A58="","",[1]!thsiFinD("ths_adjustment_nv_fund",J$3,$A58))</f>
        <v/>
      </c>
      <c r="K58" s="198">
        <f>IF($A58="","",[1]!thsiFinD("ths_adjustment_nv_fund",K$3,$A58))</f>
        <v/>
      </c>
      <c r="L58" s="198">
        <f>IF($A58="","",[1]!thsiFinD("ths_adjustment_nv_fund",L$3,$A58))</f>
        <v/>
      </c>
      <c r="M58" s="198">
        <f>IF($A58="","",[1]!thsiFinD("ths_adjustment_nv_fund",M$3,$A58))</f>
        <v/>
      </c>
      <c r="N58" s="198">
        <f>IF($A58="","",[1]!thsiFinD("ths_adjustment_nv_fund",N$3,$A58))</f>
        <v/>
      </c>
      <c r="O58" s="198">
        <f>IF($A58="","",[1]!thsiFinD("ths_adjustment_nv_fund",O$3,$A58))</f>
        <v/>
      </c>
      <c r="P58" s="198">
        <f>IF($A58="","",[1]!thsiFinD("ths_adjustment_nv_fund",P$3,$A58))</f>
        <v/>
      </c>
      <c r="Q58" s="198">
        <f>IF($A58="","",[1]!thsiFinD("ths_adjustment_nv_fund",Q$3,$A58))</f>
        <v/>
      </c>
      <c r="R58" s="198">
        <f>IF($A58="","",[1]!thsiFinD("ths_adjustment_nv_fund",R$3,$A58))</f>
        <v/>
      </c>
      <c r="S58" s="198">
        <f>IF($A58="","",[1]!thsiFinD("ths_adjustment_nv_fund",S$3,$A58))</f>
        <v/>
      </c>
      <c r="T58" s="198">
        <f>IF($A58="","",[1]!thsiFinD("ths_adjustment_nv_fund",T$3,$A58))</f>
        <v/>
      </c>
      <c r="U58" s="198">
        <f>IF($A58="","",[1]!thsiFinD("ths_adjustment_nv_fund",U$3,$A58))</f>
        <v/>
      </c>
      <c r="V58" s="198">
        <f>IF($A58="","",[1]!thsiFinD("ths_adjustment_nv_fund",V$3,$A58))</f>
        <v/>
      </c>
      <c r="W58" s="198">
        <f>IF($A58="","",[1]!thsiFinD("ths_adjustment_nv_fund",W$3,$A58))</f>
        <v/>
      </c>
      <c r="X58" s="198">
        <f>IF($A58="","",[1]!thsiFinD("ths_adjustment_nv_fund",X$3,$A58))</f>
        <v/>
      </c>
    </row>
    <row r="59">
      <c r="A59" s="197" t="n"/>
      <c r="B59" s="198">
        <f>IF($A59="","",[1]!thsiFinD("ths_adjustment_nv_fund",B$3,$A59))</f>
        <v/>
      </c>
      <c r="C59" s="198">
        <f>IF($A59="","",[1]!thsiFinD("ths_adjustment_nv_fund",C$3,$A59))</f>
        <v/>
      </c>
      <c r="D59" s="198">
        <f>IF($A59="","",[1]!thsiFinD("ths_adjustment_nv_fund",D$3,$A59))</f>
        <v/>
      </c>
      <c r="E59" s="198">
        <f>IF($A59="","",[1]!thsiFinD("ths_adjustment_nv_fund",E$3,$A59))</f>
        <v/>
      </c>
      <c r="F59" s="198">
        <f>IF($A59="","",[1]!thsiFinD("ths_adjustment_nv_fund",F$3,$A59))</f>
        <v/>
      </c>
      <c r="G59" s="198">
        <f>IF($A59="","",[1]!thsiFinD("ths_adjustment_nv_fund",G$3,$A59))</f>
        <v/>
      </c>
      <c r="H59" s="198">
        <f>IF($A59="","",[1]!thsiFinD("ths_adjustment_nv_fund",H$3,$A59))</f>
        <v/>
      </c>
      <c r="I59" s="198">
        <f>IF($A59="","",[1]!thsiFinD("ths_adjustment_nv_fund",I$3,$A59))</f>
        <v/>
      </c>
      <c r="J59" s="198">
        <f>IF($A59="","",[1]!thsiFinD("ths_adjustment_nv_fund",J$3,$A59))</f>
        <v/>
      </c>
      <c r="K59" s="198">
        <f>IF($A59="","",[1]!thsiFinD("ths_adjustment_nv_fund",K$3,$A59))</f>
        <v/>
      </c>
      <c r="L59" s="198">
        <f>IF($A59="","",[1]!thsiFinD("ths_adjustment_nv_fund",L$3,$A59))</f>
        <v/>
      </c>
      <c r="M59" s="198">
        <f>IF($A59="","",[1]!thsiFinD("ths_adjustment_nv_fund",M$3,$A59))</f>
        <v/>
      </c>
      <c r="N59" s="198">
        <f>IF($A59="","",[1]!thsiFinD("ths_adjustment_nv_fund",N$3,$A59))</f>
        <v/>
      </c>
      <c r="O59" s="198">
        <f>IF($A59="","",[1]!thsiFinD("ths_adjustment_nv_fund",O$3,$A59))</f>
        <v/>
      </c>
      <c r="P59" s="198">
        <f>IF($A59="","",[1]!thsiFinD("ths_adjustment_nv_fund",P$3,$A59))</f>
        <v/>
      </c>
      <c r="Q59" s="198">
        <f>IF($A59="","",[1]!thsiFinD("ths_adjustment_nv_fund",Q$3,$A59))</f>
        <v/>
      </c>
      <c r="R59" s="198">
        <f>IF($A59="","",[1]!thsiFinD("ths_adjustment_nv_fund",R$3,$A59))</f>
        <v/>
      </c>
      <c r="S59" s="198">
        <f>IF($A59="","",[1]!thsiFinD("ths_adjustment_nv_fund",S$3,$A59))</f>
        <v/>
      </c>
      <c r="T59" s="198">
        <f>IF($A59="","",[1]!thsiFinD("ths_adjustment_nv_fund",T$3,$A59))</f>
        <v/>
      </c>
      <c r="U59" s="198">
        <f>IF($A59="","",[1]!thsiFinD("ths_adjustment_nv_fund",U$3,$A59))</f>
        <v/>
      </c>
      <c r="V59" s="198">
        <f>IF($A59="","",[1]!thsiFinD("ths_adjustment_nv_fund",V$3,$A59))</f>
        <v/>
      </c>
      <c r="W59" s="198">
        <f>IF($A59="","",[1]!thsiFinD("ths_adjustment_nv_fund",W$3,$A59))</f>
        <v/>
      </c>
      <c r="X59" s="198">
        <f>IF($A59="","",[1]!thsiFinD("ths_adjustment_nv_fund",X$3,$A59))</f>
        <v/>
      </c>
    </row>
    <row r="60">
      <c r="A60" s="197" t="n"/>
      <c r="B60" s="198">
        <f>IF($A60="","",[1]!thsiFinD("ths_adjustment_nv_fund",B$3,$A60))</f>
        <v/>
      </c>
      <c r="C60" s="198">
        <f>IF($A60="","",[1]!thsiFinD("ths_adjustment_nv_fund",C$3,$A60))</f>
        <v/>
      </c>
      <c r="D60" s="198">
        <f>IF($A60="","",[1]!thsiFinD("ths_adjustment_nv_fund",D$3,$A60))</f>
        <v/>
      </c>
      <c r="E60" s="198">
        <f>IF($A60="","",[1]!thsiFinD("ths_adjustment_nv_fund",E$3,$A60))</f>
        <v/>
      </c>
      <c r="F60" s="198">
        <f>IF($A60="","",[1]!thsiFinD("ths_adjustment_nv_fund",F$3,$A60))</f>
        <v/>
      </c>
      <c r="G60" s="198">
        <f>IF($A60="","",[1]!thsiFinD("ths_adjustment_nv_fund",G$3,$A60))</f>
        <v/>
      </c>
      <c r="H60" s="198">
        <f>IF($A60="","",[1]!thsiFinD("ths_adjustment_nv_fund",H$3,$A60))</f>
        <v/>
      </c>
      <c r="I60" s="198">
        <f>IF($A60="","",[1]!thsiFinD("ths_adjustment_nv_fund",I$3,$A60))</f>
        <v/>
      </c>
      <c r="J60" s="198">
        <f>IF($A60="","",[1]!thsiFinD("ths_adjustment_nv_fund",J$3,$A60))</f>
        <v/>
      </c>
      <c r="K60" s="198">
        <f>IF($A60="","",[1]!thsiFinD("ths_adjustment_nv_fund",K$3,$A60))</f>
        <v/>
      </c>
      <c r="L60" s="198">
        <f>IF($A60="","",[1]!thsiFinD("ths_adjustment_nv_fund",L$3,$A60))</f>
        <v/>
      </c>
      <c r="M60" s="198">
        <f>IF($A60="","",[1]!thsiFinD("ths_adjustment_nv_fund",M$3,$A60))</f>
        <v/>
      </c>
      <c r="N60" s="198">
        <f>IF($A60="","",[1]!thsiFinD("ths_adjustment_nv_fund",N$3,$A60))</f>
        <v/>
      </c>
      <c r="O60" s="198">
        <f>IF($A60="","",[1]!thsiFinD("ths_adjustment_nv_fund",O$3,$A60))</f>
        <v/>
      </c>
      <c r="P60" s="198">
        <f>IF($A60="","",[1]!thsiFinD("ths_adjustment_nv_fund",P$3,$A60))</f>
        <v/>
      </c>
      <c r="Q60" s="198">
        <f>IF($A60="","",[1]!thsiFinD("ths_adjustment_nv_fund",Q$3,$A60))</f>
        <v/>
      </c>
      <c r="R60" s="198">
        <f>IF($A60="","",[1]!thsiFinD("ths_adjustment_nv_fund",R$3,$A60))</f>
        <v/>
      </c>
      <c r="S60" s="198">
        <f>IF($A60="","",[1]!thsiFinD("ths_adjustment_nv_fund",S$3,$A60))</f>
        <v/>
      </c>
      <c r="T60" s="198">
        <f>IF($A60="","",[1]!thsiFinD("ths_adjustment_nv_fund",T$3,$A60))</f>
        <v/>
      </c>
      <c r="U60" s="198">
        <f>IF($A60="","",[1]!thsiFinD("ths_adjustment_nv_fund",U$3,$A60))</f>
        <v/>
      </c>
      <c r="V60" s="198">
        <f>IF($A60="","",[1]!thsiFinD("ths_adjustment_nv_fund",V$3,$A60))</f>
        <v/>
      </c>
      <c r="W60" s="198">
        <f>IF($A60="","",[1]!thsiFinD("ths_adjustment_nv_fund",W$3,$A60))</f>
        <v/>
      </c>
      <c r="X60" s="198">
        <f>IF($A60="","",[1]!thsiFinD("ths_adjustment_nv_fund",X$3,$A60))</f>
        <v/>
      </c>
    </row>
  </sheetData>
  <mergeCells count="1">
    <mergeCell ref="A1:D1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1"/>
  <sheetViews>
    <sheetView showGridLines="0" workbookViewId="0">
      <selection activeCell="F11" sqref="F11"/>
    </sheetView>
  </sheetViews>
  <sheetFormatPr baseColWidth="8" defaultRowHeight="14"/>
  <cols>
    <col width="12" customWidth="1" style="89" min="1" max="1"/>
    <col width="8.7265625" customWidth="1" style="89" min="2" max="21"/>
    <col width="13.54296875" bestFit="1" customWidth="1" style="89" min="22" max="22"/>
    <col width="8.7265625" customWidth="1" style="89" min="23" max="16384"/>
  </cols>
  <sheetData>
    <row r="1" ht="19" customHeight="1" s="89">
      <c r="A1" s="111" t="inlineStr">
        <is>
          <t>组合净值（实盘）· 各组合自起始日买入持有逐日计算</t>
        </is>
      </c>
    </row>
    <row r="2" ht="14" customHeight="1" s="89"/>
    <row r="3" ht="42" customHeight="1" s="89">
      <c r="B3" s="90" t="inlineStr">
        <is>
          <t>组合 产业趋势</t>
        </is>
      </c>
      <c r="E3" s="90" t="inlineStr">
        <is>
          <t>组合 产业趋势基石</t>
        </is>
      </c>
      <c r="H3" s="90" t="inlineStr">
        <is>
          <t>组合 产业趋势2号</t>
        </is>
      </c>
      <c r="K3" s="90" t="inlineStr">
        <is>
          <t>组合 10-90</t>
        </is>
      </c>
      <c r="N3" s="90" t="inlineStr">
        <is>
          <t>组合 10-90基石</t>
        </is>
      </c>
      <c r="Q3" s="90" t="inlineStr">
        <is>
          <t>组合 30-70</t>
        </is>
      </c>
    </row>
    <row r="4">
      <c r="A4" s="98" t="inlineStr">
        <is>
          <t>日期</t>
        </is>
      </c>
      <c r="B4" s="98" t="inlineStr">
        <is>
          <t>净值</t>
        </is>
      </c>
      <c r="C4" s="98" t="inlineStr">
        <is>
          <t>日收益</t>
        </is>
      </c>
      <c r="D4" s="98" t="inlineStr">
        <is>
          <t>回撤</t>
        </is>
      </c>
      <c r="E4" s="98" t="inlineStr">
        <is>
          <t>净值</t>
        </is>
      </c>
      <c r="F4" s="98" t="inlineStr">
        <is>
          <t>日收益</t>
        </is>
      </c>
      <c r="G4" s="98" t="inlineStr">
        <is>
          <t>回撤</t>
        </is>
      </c>
      <c r="H4" s="98" t="inlineStr">
        <is>
          <t>净值</t>
        </is>
      </c>
      <c r="I4" s="98" t="inlineStr">
        <is>
          <t>日收益</t>
        </is>
      </c>
      <c r="J4" s="98" t="inlineStr">
        <is>
          <t>回撤</t>
        </is>
      </c>
      <c r="K4" s="98" t="inlineStr">
        <is>
          <t>净值</t>
        </is>
      </c>
      <c r="L4" s="98" t="inlineStr">
        <is>
          <t>日收益</t>
        </is>
      </c>
      <c r="M4" s="98" t="inlineStr">
        <is>
          <t>回撤</t>
        </is>
      </c>
      <c r="N4" s="98" t="inlineStr">
        <is>
          <t>净值</t>
        </is>
      </c>
      <c r="O4" s="98" t="inlineStr">
        <is>
          <t>日收益</t>
        </is>
      </c>
      <c r="P4" s="98" t="inlineStr">
        <is>
          <t>回撤</t>
        </is>
      </c>
      <c r="Q4" s="98" t="inlineStr">
        <is>
          <t>净值</t>
        </is>
      </c>
      <c r="R4" s="98" t="inlineStr">
        <is>
          <t>日收益</t>
        </is>
      </c>
      <c r="S4" s="98" t="inlineStr">
        <is>
          <t>回撤</t>
        </is>
      </c>
    </row>
    <row r="5">
      <c r="A5" s="199">
        <f>IF('实盘净值数据(iFinD公式)'!A5="","",'实盘净值数据(iFinD公式)'!A5)</f>
        <v/>
      </c>
      <c r="B5" s="198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82" t="n"/>
      <c r="D5" s="82">
        <f>IF(B5="","",B5/MAX(B$5:B5)-1)</f>
        <v/>
      </c>
      <c r="E5" s="198" t="n">
        <v>1</v>
      </c>
      <c r="F5" s="82" t="n"/>
      <c r="G5" s="82">
        <f>IF(E5="","",E5/MAX(E$5:E5)-1)</f>
        <v/>
      </c>
      <c r="H5" s="198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82" t="n"/>
      <c r="J5" s="82">
        <f>IF(H5="","",H5/MAX(H$5:H5)-1)</f>
        <v/>
      </c>
      <c r="K5" s="198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82" t="n"/>
      <c r="M5" s="82">
        <f>IF(K5="","",K5/MAX(K$5:K5)-1)</f>
        <v/>
      </c>
      <c r="N5" s="198" t="n">
        <v>1</v>
      </c>
      <c r="O5" s="82" t="n"/>
      <c r="P5" s="82">
        <f>IF(N5="","",N5/MAX(N$5:N5)-1)</f>
        <v/>
      </c>
      <c r="Q5" s="198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82" t="n"/>
      <c r="S5" s="82">
        <f>IF(Q5="","",Q5/MAX(Q$5:Q5)-1)</f>
        <v/>
      </c>
      <c r="U5" s="83" t="n"/>
    </row>
    <row r="6">
      <c r="A6" s="199">
        <f>IF('实盘净值数据(iFinD公式)'!A6="","",'实盘净值数据(iFinD公式)'!A6)</f>
        <v/>
      </c>
      <c r="B6" s="198" t="n">
        <v>1</v>
      </c>
      <c r="C6" s="82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82">
        <f>IF(B6="","",B6/MAX(B$5:B6)-1)</f>
        <v/>
      </c>
      <c r="E6" s="198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/>
      </c>
      <c r="F6" s="82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/>
      </c>
      <c r="G6" s="82">
        <f>IF(E6="","",E6/MAX(E$5:E6)-1)</f>
        <v/>
      </c>
      <c r="H6" s="198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82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82">
        <f>IF(H6="","",H6/MAX(H$5:H6)-1)</f>
        <v/>
      </c>
      <c r="K6" s="198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82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82">
        <f>IF(K6="","",K6/MAX(K$5:K6)-1)</f>
        <v/>
      </c>
      <c r="N6" s="198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/>
      </c>
      <c r="O6" s="82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/>
      </c>
      <c r="P6" s="82">
        <f>IF(N6="","",N6/MAX(N$5:N6)-1)</f>
        <v/>
      </c>
      <c r="Q6" s="198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82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82">
        <f>IF(Q6="","",Q6/MAX(Q$5:Q6)-1)</f>
        <v/>
      </c>
      <c r="U6" s="83" t="n"/>
      <c r="V6" s="200" t="n"/>
    </row>
    <row r="7">
      <c r="A7" s="199">
        <f>IF('实盘净值数据(iFinD公式)'!A7="","",'实盘净值数据(iFinD公式)'!A7)</f>
        <v/>
      </c>
      <c r="B7" s="198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/>
      </c>
      <c r="C7" s="82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/>
      </c>
      <c r="D7" s="82">
        <f>IF(B7="","",B7/MAX(B$5:B7)-1)</f>
        <v/>
      </c>
      <c r="E7" s="198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/>
      </c>
      <c r="F7" s="82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/>
      </c>
      <c r="G7" s="82">
        <f>IF(E7="","",E7/MAX(E$5:E7)-1)</f>
        <v/>
      </c>
      <c r="H7" s="198" t="n">
        <v>1</v>
      </c>
      <c r="I7" s="82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82">
        <f>IF(H7="","",H7/MAX(H$5:H7)-1)</f>
        <v/>
      </c>
      <c r="K7" s="198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82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82">
        <f>IF(K7="","",K7/MAX(K$5:K7)-1)</f>
        <v/>
      </c>
      <c r="N7" s="198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/>
      </c>
      <c r="O7" s="82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/>
      </c>
      <c r="P7" s="82">
        <f>IF(N7="","",N7/MAX(N$5:N7)-1)</f>
        <v/>
      </c>
      <c r="Q7" s="198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82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82">
        <f>IF(Q7="","",Q7/MAX(Q$5:Q7)-1)</f>
        <v/>
      </c>
      <c r="U7" s="83" t="n"/>
      <c r="V7" s="200" t="n"/>
    </row>
    <row r="8">
      <c r="A8" s="199">
        <f>IF('实盘净值数据(iFinD公式)'!A8="","",'实盘净值数据(iFinD公式)'!A8)</f>
        <v/>
      </c>
      <c r="B8" s="198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/>
      </c>
      <c r="C8" s="82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/>
      </c>
      <c r="D8" s="82">
        <f>IF(B8="","",B8/MAX(B$5:B8)-1)</f>
        <v/>
      </c>
      <c r="E8" s="198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/>
      </c>
      <c r="F8" s="82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/>
      </c>
      <c r="G8" s="82">
        <f>IF(E8="","",E8/MAX(E$5:E8)-1)</f>
        <v/>
      </c>
      <c r="H8" s="198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/>
      </c>
      <c r="I8" s="82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/>
      </c>
      <c r="J8" s="82">
        <f>IF(H8="","",H8/MAX(H$5:H8)-1)</f>
        <v/>
      </c>
      <c r="K8" s="198" t="n">
        <v>1</v>
      </c>
      <c r="L8" s="82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82">
        <f>IF(K8="","",K8/MAX(K$5:K8)-1)</f>
        <v/>
      </c>
      <c r="N8" s="198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/>
      </c>
      <c r="O8" s="82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/>
      </c>
      <c r="P8" s="82">
        <f>IF(N8="","",N8/MAX(N$5:N8)-1)</f>
        <v/>
      </c>
      <c r="Q8" s="198" t="n">
        <v>1</v>
      </c>
      <c r="R8" s="82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82">
        <f>IF(Q8="","",Q8/MAX(Q$5:Q8)-1)</f>
        <v/>
      </c>
      <c r="U8" s="83" t="n"/>
      <c r="V8" s="200" t="n"/>
    </row>
    <row r="9">
      <c r="A9" s="199">
        <f>IF('实盘净值数据(iFinD公式)'!A9="","",'实盘净值数据(iFinD公式)'!A9)</f>
        <v/>
      </c>
      <c r="B9" s="198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/>
      </c>
      <c r="C9" s="82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/>
      </c>
      <c r="D9" s="82">
        <f>IF(B9="","",B9/MAX(B$5:B9)-1)</f>
        <v/>
      </c>
      <c r="E9" s="198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/>
      </c>
      <c r="F9" s="82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/>
      </c>
      <c r="G9" s="82">
        <f>IF(E9="","",E9/MAX(E$5:E9)-1)</f>
        <v/>
      </c>
      <c r="H9" s="198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/>
      </c>
      <c r="I9" s="82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/>
      </c>
      <c r="J9" s="82">
        <f>IF(H9="","",H9/MAX(H$5:H9)-1)</f>
        <v/>
      </c>
      <c r="K9" s="198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/>
      </c>
      <c r="L9" s="82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/>
      </c>
      <c r="M9" s="82">
        <f>IF(K9="","",K9/MAX(K$5:K9)-1)</f>
        <v/>
      </c>
      <c r="N9" s="198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/>
      </c>
      <c r="O9" s="82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/>
      </c>
      <c r="P9" s="82">
        <f>IF(N9="","",N9/MAX(N$5:N9)-1)</f>
        <v/>
      </c>
      <c r="Q9" s="198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/>
      </c>
      <c r="R9" s="82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/>
      </c>
      <c r="S9" s="82">
        <f>IF(Q9="","",Q9/MAX(Q$5:Q9)-1)</f>
        <v/>
      </c>
      <c r="U9" s="83" t="n"/>
      <c r="V9" s="200" t="n"/>
    </row>
    <row r="10">
      <c r="A10" s="199">
        <f>IF('实盘净值数据(iFinD公式)'!A10="","",'实盘净值数据(iFinD公式)'!A10)</f>
        <v/>
      </c>
      <c r="B10" s="198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/>
      </c>
      <c r="C10" s="82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/>
      </c>
      <c r="D10" s="82">
        <f>IF(B10="","",B10/MAX(B$5:B10)-1)</f>
        <v/>
      </c>
      <c r="E10" s="198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/>
      </c>
      <c r="F10" s="82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/>
      </c>
      <c r="G10" s="82">
        <f>IF(E10="","",E10/MAX(E$5:E10)-1)</f>
        <v/>
      </c>
      <c r="H10" s="198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/>
      </c>
      <c r="I10" s="82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/>
      </c>
      <c r="J10" s="82">
        <f>IF(H10="","",H10/MAX(H$5:H10)-1)</f>
        <v/>
      </c>
      <c r="K10" s="198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/>
      </c>
      <c r="L10" s="82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/>
      </c>
      <c r="M10" s="82">
        <f>IF(K10="","",K10/MAX(K$5:K10)-1)</f>
        <v/>
      </c>
      <c r="N10" s="198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/>
      </c>
      <c r="O10" s="82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/>
      </c>
      <c r="P10" s="82">
        <f>IF(N10="","",N10/MAX(N$5:N10)-1)</f>
        <v/>
      </c>
      <c r="Q10" s="198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/>
      </c>
      <c r="R10" s="82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/>
      </c>
      <c r="S10" s="82">
        <f>IF(Q10="","",Q10/MAX(Q$5:Q10)-1)</f>
        <v/>
      </c>
      <c r="U10" s="83" t="n"/>
      <c r="V10" s="200" t="n"/>
    </row>
    <row r="11">
      <c r="A11" s="199">
        <f>IF('实盘净值数据(iFinD公式)'!A11="","",'实盘净值数据(iFinD公式)'!A11)</f>
        <v/>
      </c>
      <c r="B11" s="198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/>
      </c>
      <c r="C11" s="82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/>
      </c>
      <c r="D11" s="82">
        <f>IF(B11="","",B11/MAX(B$5:B11)-1)</f>
        <v/>
      </c>
      <c r="E11" s="198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/>
      </c>
      <c r="F11" s="82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/>
      </c>
      <c r="G11" s="82">
        <f>IF(E11="","",E11/MAX(E$5:E11)-1)</f>
        <v/>
      </c>
      <c r="H11" s="198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/>
      </c>
      <c r="I11" s="82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/>
      </c>
      <c r="J11" s="82">
        <f>IF(H11="","",H11/MAX(H$5:H11)-1)</f>
        <v/>
      </c>
      <c r="K11" s="198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/>
      </c>
      <c r="L11" s="82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/>
      </c>
      <c r="M11" s="82">
        <f>IF(K11="","",K11/MAX(K$5:K11)-1)</f>
        <v/>
      </c>
      <c r="N11" s="198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/>
      </c>
      <c r="O11" s="82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/>
      </c>
      <c r="P11" s="82">
        <f>IF(N11="","",N11/MAX(N$5:N11)-1)</f>
        <v/>
      </c>
      <c r="Q11" s="198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/>
      </c>
      <c r="R11" s="82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/>
      </c>
      <c r="S11" s="82">
        <f>IF(Q11="","",Q11/MAX(Q$5:Q11)-1)</f>
        <v/>
      </c>
      <c r="U11" s="83" t="n"/>
      <c r="V11" s="200" t="n"/>
    </row>
    <row r="12">
      <c r="A12" s="199">
        <f>IF('实盘净值数据(iFinD公式)'!A12="","",'实盘净值数据(iFinD公式)'!A12)</f>
        <v/>
      </c>
      <c r="B12" s="198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/>
      </c>
      <c r="C12" s="82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/>
      </c>
      <c r="D12" s="82">
        <f>IF(B12="","",B12/MAX(B$5:B12)-1)</f>
        <v/>
      </c>
      <c r="E12" s="198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/>
      </c>
      <c r="F12" s="82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/>
      </c>
      <c r="G12" s="82">
        <f>IF(E12="","",E12/MAX(E$5:E12)-1)</f>
        <v/>
      </c>
      <c r="H12" s="198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/>
      </c>
      <c r="I12" s="82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/>
      </c>
      <c r="J12" s="82">
        <f>IF(H12="","",H12/MAX(H$5:H12)-1)</f>
        <v/>
      </c>
      <c r="K12" s="198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/>
      </c>
      <c r="L12" s="82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/>
      </c>
      <c r="M12" s="82">
        <f>IF(K12="","",K12/MAX(K$5:K12)-1)</f>
        <v/>
      </c>
      <c r="N12" s="198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/>
      </c>
      <c r="O12" s="82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/>
      </c>
      <c r="P12" s="82">
        <f>IF(N12="","",N12/MAX(N$5:N12)-1)</f>
        <v/>
      </c>
      <c r="Q12" s="198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/>
      </c>
      <c r="R12" s="82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/>
      </c>
      <c r="S12" s="82">
        <f>IF(Q12="","",Q12/MAX(Q$5:Q12)-1)</f>
        <v/>
      </c>
    </row>
    <row r="13">
      <c r="A13" s="199">
        <f>IF('实盘净值数据(iFinD公式)'!A13="","",'实盘净值数据(iFinD公式)'!A13)</f>
        <v/>
      </c>
      <c r="B13" s="198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/>
      </c>
      <c r="C13" s="82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/>
      </c>
      <c r="D13" s="82">
        <f>IF(B13="","",B13/MAX(B$5:B13)-1)</f>
        <v/>
      </c>
      <c r="E13" s="198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/>
      </c>
      <c r="F13" s="82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/>
      </c>
      <c r="G13" s="82">
        <f>IF(E13="","",E13/MAX(E$5:E13)-1)</f>
        <v/>
      </c>
      <c r="H13" s="198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/>
      </c>
      <c r="I13" s="82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/>
      </c>
      <c r="J13" s="82">
        <f>IF(H13="","",H13/MAX(H$5:H13)-1)</f>
        <v/>
      </c>
      <c r="K13" s="198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/>
      </c>
      <c r="L13" s="82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/>
      </c>
      <c r="M13" s="82">
        <f>IF(K13="","",K13/MAX(K$5:K13)-1)</f>
        <v/>
      </c>
      <c r="N13" s="198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/>
      </c>
      <c r="O13" s="82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/>
      </c>
      <c r="P13" s="82">
        <f>IF(N13="","",N13/MAX(N$5:N13)-1)</f>
        <v/>
      </c>
      <c r="Q13" s="198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/>
      </c>
      <c r="R13" s="82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/>
      </c>
      <c r="S13" s="82">
        <f>IF(Q13="","",Q13/MAX(Q$5:Q13)-1)</f>
        <v/>
      </c>
    </row>
    <row r="14">
      <c r="A14" s="199">
        <f>IF('实盘净值数据(iFinD公式)'!A14="","",'实盘净值数据(iFinD公式)'!A14)</f>
        <v/>
      </c>
      <c r="B14" s="198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/>
      </c>
      <c r="C14" s="82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/>
      </c>
      <c r="D14" s="82">
        <f>IF(B14="","",B14/MAX(B$5:B14)-1)</f>
        <v/>
      </c>
      <c r="E14" s="198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/>
      </c>
      <c r="F14" s="82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/>
      </c>
      <c r="G14" s="82">
        <f>IF(E14="","",E14/MAX(E$5:E14)-1)</f>
        <v/>
      </c>
      <c r="H14" s="198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/>
      </c>
      <c r="I14" s="82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/>
      </c>
      <c r="J14" s="82">
        <f>IF(H14="","",H14/MAX(H$5:H14)-1)</f>
        <v/>
      </c>
      <c r="K14" s="198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  <v/>
      </c>
      <c r="L14" s="82">
        <f>IF(OR(K13="",'实盘净值数据(iFinD公式)'!$A14="",'实盘净值数据(iFinD公式)'!$B14=""),"",(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)*(1-实盘持仓配置!$Z$7)^(('实盘净值数据(iFinD公式)'!$A14-'实盘净值数据(iFinD公式)'!$A13)/365)-1)</f>
        <v/>
      </c>
      <c r="M14" s="82">
        <f>IF(K14="","",K14/MAX(K$5:K14)-1)</f>
        <v/>
      </c>
      <c r="N14" s="198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  <v/>
      </c>
      <c r="O14" s="82">
        <f>IF(OR(N13="",'实盘净值数据(iFinD公式)'!$A14="",'实盘净值数据(iFinD公式)'!$B14=""),"",(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)*(1-实盘持仓配置!$Z$8)^(('实盘净值数据(iFinD公式)'!$A14-'实盘净值数据(iFinD公式)'!$A13)/365)-1)</f>
        <v/>
      </c>
      <c r="P14" s="82">
        <f>IF(N14="","",N14/MAX(N$5:N14)-1)</f>
        <v/>
      </c>
      <c r="Q14" s="198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  <v/>
      </c>
      <c r="R14" s="82">
        <f>IF(OR(Q13="",'实盘净值数据(iFinD公式)'!$A14="",'实盘净值数据(iFinD公式)'!$B14=""),"",(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)*(1-实盘持仓配置!$Z$9)^(('实盘净值数据(iFinD公式)'!$A14-'实盘净值数据(iFinD公式)'!$A13)/365)-1)</f>
        <v/>
      </c>
      <c r="S14" s="82">
        <f>IF(Q14="","",Q14/MAX(Q$5:Q14)-1)</f>
        <v/>
      </c>
    </row>
    <row r="15">
      <c r="A15" s="199">
        <f>IF('实盘净值数据(iFinD公式)'!A15="","",'实盘净值数据(iFinD公式)'!A15)</f>
        <v/>
      </c>
      <c r="B15" s="198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/>
      </c>
      <c r="C15" s="82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/>
      </c>
      <c r="D15" s="82">
        <f>IF(B15="","",B15/MAX(B$5:B15)-1)</f>
        <v/>
      </c>
      <c r="E15" s="198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/>
      </c>
      <c r="F15" s="82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/>
      </c>
      <c r="G15" s="82">
        <f>IF(E15="","",E15/MAX(E$5:E15)-1)</f>
        <v/>
      </c>
      <c r="H15" s="198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/>
      </c>
      <c r="I15" s="82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/>
      </c>
      <c r="J15" s="82">
        <f>IF(H15="","",H15/MAX(H$5:H15)-1)</f>
        <v/>
      </c>
      <c r="K15" s="198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  <v/>
      </c>
      <c r="L15" s="82">
        <f>IF(OR(K14="",'实盘净值数据(iFinD公式)'!$A15="",'实盘净值数据(iFinD公式)'!$B15=""),"",(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)*(1-实盘持仓配置!$Z$7)^(('实盘净值数据(iFinD公式)'!$A15-'实盘净值数据(iFinD公式)'!$A14)/365)-1)</f>
        <v/>
      </c>
      <c r="M15" s="82">
        <f>IF(K15="","",K15/MAX(K$5:K15)-1)</f>
        <v/>
      </c>
      <c r="N15" s="198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  <v/>
      </c>
      <c r="O15" s="82">
        <f>IF(OR(N14="",'实盘净值数据(iFinD公式)'!$A15="",'实盘净值数据(iFinD公式)'!$B15=""),"",(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)*(1-实盘持仓配置!$Z$8)^(('实盘净值数据(iFinD公式)'!$A15-'实盘净值数据(iFinD公式)'!$A14)/365)-1)</f>
        <v/>
      </c>
      <c r="P15" s="82">
        <f>IF(N15="","",N15/MAX(N$5:N15)-1)</f>
        <v/>
      </c>
      <c r="Q15" s="198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  <v/>
      </c>
      <c r="R15" s="82">
        <f>IF(OR(Q14="",'实盘净值数据(iFinD公式)'!$A15="",'实盘净值数据(iFinD公式)'!$B15=""),"",(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)*(1-实盘持仓配置!$Z$9)^(('实盘净值数据(iFinD公式)'!$A15-'实盘净值数据(iFinD公式)'!$A14)/365)-1)</f>
        <v/>
      </c>
      <c r="S15" s="82">
        <f>IF(Q15="","",Q15/MAX(Q$5:Q15)-1)</f>
        <v/>
      </c>
    </row>
    <row r="16">
      <c r="A16" s="199">
        <f>IF('实盘净值数据(iFinD公式)'!A16="","",'实盘净值数据(iFinD公式)'!A16)</f>
        <v/>
      </c>
      <c r="B16" s="198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/>
      </c>
      <c r="C16" s="82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/>
      </c>
      <c r="D16" s="82">
        <f>IF(B16="","",B16/MAX(B$5:B16)-1)</f>
        <v/>
      </c>
      <c r="E16" s="198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/>
      </c>
      <c r="F16" s="82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/>
      </c>
      <c r="G16" s="82">
        <f>IF(E16="","",E16/MAX(E$5:E16)-1)</f>
        <v/>
      </c>
      <c r="H16" s="198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/>
      </c>
      <c r="I16" s="82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/>
      </c>
      <c r="J16" s="82">
        <f>IF(H16="","",H16/MAX(H$5:H16)-1)</f>
        <v/>
      </c>
      <c r="K16" s="198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  <v/>
      </c>
      <c r="L16" s="82">
        <f>IF(OR(K15="",'实盘净值数据(iFinD公式)'!$A16="",'实盘净值数据(iFinD公式)'!$B16=""),"",(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)*(1-实盘持仓配置!$Z$7)^(('实盘净值数据(iFinD公式)'!$A16-'实盘净值数据(iFinD公式)'!$A15)/365)-1)</f>
        <v/>
      </c>
      <c r="M16" s="82">
        <f>IF(K16="","",K16/MAX(K$5:K16)-1)</f>
        <v/>
      </c>
      <c r="N16" s="198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  <v/>
      </c>
      <c r="O16" s="82">
        <f>IF(OR(N15="",'实盘净值数据(iFinD公式)'!$A16="",'实盘净值数据(iFinD公式)'!$B16=""),"",(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)*(1-实盘持仓配置!$Z$8)^(('实盘净值数据(iFinD公式)'!$A16-'实盘净值数据(iFinD公式)'!$A15)/365)-1)</f>
        <v/>
      </c>
      <c r="P16" s="82">
        <f>IF(N16="","",N16/MAX(N$5:N16)-1)</f>
        <v/>
      </c>
      <c r="Q16" s="198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  <v/>
      </c>
      <c r="R16" s="82">
        <f>IF(OR(Q15="",'实盘净值数据(iFinD公式)'!$A16="",'实盘净值数据(iFinD公式)'!$B16=""),"",(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)*(1-实盘持仓配置!$Z$9)^(('实盘净值数据(iFinD公式)'!$A16-'实盘净值数据(iFinD公式)'!$A15)/365)-1)</f>
        <v/>
      </c>
      <c r="S16" s="82">
        <f>IF(Q16="","",Q16/MAX(Q$5:Q16)-1)</f>
        <v/>
      </c>
    </row>
    <row r="17">
      <c r="A17" s="199">
        <f>IF('实盘净值数据(iFinD公式)'!A17="","",'实盘净值数据(iFinD公式)'!A17)</f>
        <v/>
      </c>
      <c r="B17" s="198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/>
      </c>
      <c r="C17" s="82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/>
      </c>
      <c r="D17" s="82">
        <f>IF(B17="","",B17/MAX(B$5:B17)-1)</f>
        <v/>
      </c>
      <c r="E17" s="198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/>
      </c>
      <c r="F17" s="82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/>
      </c>
      <c r="G17" s="82">
        <f>IF(E17="","",E17/MAX(E$5:E17)-1)</f>
        <v/>
      </c>
      <c r="H17" s="198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/>
      </c>
      <c r="I17" s="82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/>
      </c>
      <c r="J17" s="82">
        <f>IF(H17="","",H17/MAX(H$5:H17)-1)</f>
        <v/>
      </c>
      <c r="K17" s="198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  <v/>
      </c>
      <c r="L17" s="82">
        <f>IF(OR(K16="",'实盘净值数据(iFinD公式)'!$A17="",'实盘净值数据(iFinD公式)'!$B17=""),"",(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)*(1-实盘持仓配置!$Z$7)^(('实盘净值数据(iFinD公式)'!$A17-'实盘净值数据(iFinD公式)'!$A16)/365)-1)</f>
        <v/>
      </c>
      <c r="M17" s="82">
        <f>IF(K17="","",K17/MAX(K$5:K17)-1)</f>
        <v/>
      </c>
      <c r="N17" s="198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  <v/>
      </c>
      <c r="O17" s="82">
        <f>IF(OR(N16="",'实盘净值数据(iFinD公式)'!$A17="",'实盘净值数据(iFinD公式)'!$B17=""),"",(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)*(1-实盘持仓配置!$Z$8)^(('实盘净值数据(iFinD公式)'!$A17-'实盘净值数据(iFinD公式)'!$A16)/365)-1)</f>
        <v/>
      </c>
      <c r="P17" s="82">
        <f>IF(N17="","",N17/MAX(N$5:N17)-1)</f>
        <v/>
      </c>
      <c r="Q17" s="198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  <v/>
      </c>
      <c r="R17" s="82">
        <f>IF(OR(Q16="",'实盘净值数据(iFinD公式)'!$A17="",'实盘净值数据(iFinD公式)'!$B17=""),"",(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)*(1-实盘持仓配置!$Z$9)^(('实盘净值数据(iFinD公式)'!$A17-'实盘净值数据(iFinD公式)'!$A16)/365)-1)</f>
        <v/>
      </c>
      <c r="S17" s="82">
        <f>IF(Q17="","",Q17/MAX(Q$5:Q17)-1)</f>
        <v/>
      </c>
    </row>
    <row r="18">
      <c r="A18" s="199">
        <f>IF('实盘净值数据(iFinD公式)'!A18="","",'实盘净值数据(iFinD公式)'!A18)</f>
        <v/>
      </c>
      <c r="B18" s="198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/>
      </c>
      <c r="C18" s="82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/>
      </c>
      <c r="D18" s="82">
        <f>IF(B18="","",B18/MAX(B$5:B18)-1)</f>
        <v/>
      </c>
      <c r="E18" s="198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/>
      </c>
      <c r="F18" s="82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/>
      </c>
      <c r="G18" s="82">
        <f>IF(E18="","",E18/MAX(E$5:E18)-1)</f>
        <v/>
      </c>
      <c r="H18" s="198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/>
      </c>
      <c r="I18" s="82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/>
      </c>
      <c r="J18" s="82">
        <f>IF(H18="","",H18/MAX(H$5:H18)-1)</f>
        <v/>
      </c>
      <c r="K18" s="198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  <v/>
      </c>
      <c r="L18" s="82">
        <f>IF(OR(K17="",'实盘净值数据(iFinD公式)'!$A18="",'实盘净值数据(iFinD公式)'!$B18=""),"",(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)*(1-实盘持仓配置!$Z$7)^(('实盘净值数据(iFinD公式)'!$A18-'实盘净值数据(iFinD公式)'!$A17)/365)-1)</f>
        <v/>
      </c>
      <c r="M18" s="82">
        <f>IF(K18="","",K18/MAX(K$5:K18)-1)</f>
        <v/>
      </c>
      <c r="N18" s="198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  <v/>
      </c>
      <c r="O18" s="82">
        <f>IF(OR(N17="",'实盘净值数据(iFinD公式)'!$A18="",'实盘净值数据(iFinD公式)'!$B18=""),"",(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)*(1-实盘持仓配置!$Z$8)^(('实盘净值数据(iFinD公式)'!$A18-'实盘净值数据(iFinD公式)'!$A17)/365)-1)</f>
        <v/>
      </c>
      <c r="P18" s="82">
        <f>IF(N18="","",N18/MAX(N$5:N18)-1)</f>
        <v/>
      </c>
      <c r="Q18" s="198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  <v/>
      </c>
      <c r="R18" s="82">
        <f>IF(OR(Q17="",'实盘净值数据(iFinD公式)'!$A18="",'实盘净值数据(iFinD公式)'!$B18=""),"",(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)*(1-实盘持仓配置!$Z$9)^(('实盘净值数据(iFinD公式)'!$A18-'实盘净值数据(iFinD公式)'!$A17)/365)-1)</f>
        <v/>
      </c>
      <c r="S18" s="82">
        <f>IF(Q18="","",Q18/MAX(Q$5:Q18)-1)</f>
        <v/>
      </c>
    </row>
    <row r="19">
      <c r="A19" s="199">
        <f>IF('实盘净值数据(iFinD公式)'!A19="","",'实盘净值数据(iFinD公式)'!A19)</f>
        <v/>
      </c>
      <c r="B19" s="198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/>
      </c>
      <c r="C19" s="82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/>
      </c>
      <c r="D19" s="82">
        <f>IF(B19="","",B19/MAX(B$5:B19)-1)</f>
        <v/>
      </c>
      <c r="E19" s="198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/>
      </c>
      <c r="F19" s="82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/>
      </c>
      <c r="G19" s="82">
        <f>IF(E19="","",E19/MAX(E$5:E19)-1)</f>
        <v/>
      </c>
      <c r="H19" s="198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/>
      </c>
      <c r="I19" s="82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/>
      </c>
      <c r="J19" s="82">
        <f>IF(H19="","",H19/MAX(H$5:H19)-1)</f>
        <v/>
      </c>
      <c r="K19" s="198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  <v/>
      </c>
      <c r="L19" s="82">
        <f>IF(OR(K18="",'实盘净值数据(iFinD公式)'!$A19="",'实盘净值数据(iFinD公式)'!$B19=""),"",(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)*(1-实盘持仓配置!$Z$7)^(('实盘净值数据(iFinD公式)'!$A19-'实盘净值数据(iFinD公式)'!$A18)/365)-1)</f>
        <v/>
      </c>
      <c r="M19" s="82">
        <f>IF(K19="","",K19/MAX(K$5:K19)-1)</f>
        <v/>
      </c>
      <c r="N19" s="198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  <v/>
      </c>
      <c r="O19" s="82">
        <f>IF(OR(N18="",'实盘净值数据(iFinD公式)'!$A19="",'实盘净值数据(iFinD公式)'!$B19=""),"",(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)*(1-实盘持仓配置!$Z$8)^(('实盘净值数据(iFinD公式)'!$A19-'实盘净值数据(iFinD公式)'!$A18)/365)-1)</f>
        <v/>
      </c>
      <c r="P19" s="82">
        <f>IF(N19="","",N19/MAX(N$5:N19)-1)</f>
        <v/>
      </c>
      <c r="Q19" s="198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  <v/>
      </c>
      <c r="R19" s="82">
        <f>IF(OR(Q18="",'实盘净值数据(iFinD公式)'!$A19="",'实盘净值数据(iFinD公式)'!$B19=""),"",(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)*(1-实盘持仓配置!$Z$9)^(('实盘净值数据(iFinD公式)'!$A19-'实盘净值数据(iFinD公式)'!$A18)/365)-1)</f>
        <v/>
      </c>
      <c r="S19" s="82">
        <f>IF(Q19="","",Q19/MAX(Q$5:Q19)-1)</f>
        <v/>
      </c>
    </row>
    <row r="20">
      <c r="A20" s="199">
        <f>IF('实盘净值数据(iFinD公式)'!A20="","",'实盘净值数据(iFinD公式)'!A20)</f>
        <v/>
      </c>
      <c r="B20" s="198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/>
      </c>
      <c r="C20" s="82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/>
      </c>
      <c r="D20" s="82">
        <f>IF(B20="","",B20/MAX(B$5:B20)-1)</f>
        <v/>
      </c>
      <c r="E20" s="198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/>
      </c>
      <c r="F20" s="82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/>
      </c>
      <c r="G20" s="82">
        <f>IF(E20="","",E20/MAX(E$5:E20)-1)</f>
        <v/>
      </c>
      <c r="H20" s="198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/>
      </c>
      <c r="I20" s="82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/>
      </c>
      <c r="J20" s="82">
        <f>IF(H20="","",H20/MAX(H$5:H20)-1)</f>
        <v/>
      </c>
      <c r="K20" s="198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  <v/>
      </c>
      <c r="L20" s="82">
        <f>IF(OR(K19="",'实盘净值数据(iFinD公式)'!$A20="",'实盘净值数据(iFinD公式)'!$B20=""),"",(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)*(1-实盘持仓配置!$Z$7)^(('实盘净值数据(iFinD公式)'!$A20-'实盘净值数据(iFinD公式)'!$A19)/365)-1)</f>
        <v/>
      </c>
      <c r="M20" s="82">
        <f>IF(K20="","",K20/MAX(K$5:K20)-1)</f>
        <v/>
      </c>
      <c r="N20" s="198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  <v/>
      </c>
      <c r="O20" s="82">
        <f>IF(OR(N19="",'实盘净值数据(iFinD公式)'!$A20="",'实盘净值数据(iFinD公式)'!$B20=""),"",(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)*(1-实盘持仓配置!$Z$8)^(('实盘净值数据(iFinD公式)'!$A20-'实盘净值数据(iFinD公式)'!$A19)/365)-1)</f>
        <v/>
      </c>
      <c r="P20" s="82">
        <f>IF(N20="","",N20/MAX(N$5:N20)-1)</f>
        <v/>
      </c>
      <c r="Q20" s="198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  <v/>
      </c>
      <c r="R20" s="82">
        <f>IF(OR(Q19="",'实盘净值数据(iFinD公式)'!$A20="",'实盘净值数据(iFinD公式)'!$B20=""),"",(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)*(1-实盘持仓配置!$Z$9)^(('实盘净值数据(iFinD公式)'!$A20-'实盘净值数据(iFinD公式)'!$A19)/365)-1)</f>
        <v/>
      </c>
      <c r="S20" s="82">
        <f>IF(Q20="","",Q20/MAX(Q$5:Q20)-1)</f>
        <v/>
      </c>
    </row>
    <row r="21">
      <c r="A21" s="199">
        <f>IF('实盘净值数据(iFinD公式)'!A21="","",'实盘净值数据(iFinD公式)'!A21)</f>
        <v/>
      </c>
      <c r="B21" s="198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/>
      </c>
      <c r="C21" s="82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/>
      </c>
      <c r="D21" s="82">
        <f>IF(B21="","",B21/MAX(B$5:B21)-1)</f>
        <v/>
      </c>
      <c r="E21" s="198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/>
      </c>
      <c r="F21" s="82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/>
      </c>
      <c r="G21" s="82">
        <f>IF(E21="","",E21/MAX(E$5:E21)-1)</f>
        <v/>
      </c>
      <c r="H21" s="198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/>
      </c>
      <c r="I21" s="82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/>
      </c>
      <c r="J21" s="82">
        <f>IF(H21="","",H21/MAX(H$5:H21)-1)</f>
        <v/>
      </c>
      <c r="K21" s="198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  <v/>
      </c>
      <c r="L21" s="82">
        <f>IF(OR(K20="",'实盘净值数据(iFinD公式)'!$A21="",'实盘净值数据(iFinD公式)'!$B21=""),"",(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)*(1-实盘持仓配置!$Z$7)^(('实盘净值数据(iFinD公式)'!$A21-'实盘净值数据(iFinD公式)'!$A20)/365)-1)</f>
        <v/>
      </c>
      <c r="M21" s="82">
        <f>IF(K21="","",K21/MAX(K$5:K21)-1)</f>
        <v/>
      </c>
      <c r="N21" s="198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  <v/>
      </c>
      <c r="O21" s="82">
        <f>IF(OR(N20="",'实盘净值数据(iFinD公式)'!$A21="",'实盘净值数据(iFinD公式)'!$B21=""),"",(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)*(1-实盘持仓配置!$Z$8)^(('实盘净值数据(iFinD公式)'!$A21-'实盘净值数据(iFinD公式)'!$A20)/365)-1)</f>
        <v/>
      </c>
      <c r="P21" s="82">
        <f>IF(N21="","",N21/MAX(N$5:N21)-1)</f>
        <v/>
      </c>
      <c r="Q21" s="198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  <v/>
      </c>
      <c r="R21" s="82">
        <f>IF(OR(Q20="",'实盘净值数据(iFinD公式)'!$A21="",'实盘净值数据(iFinD公式)'!$B21=""),"",(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)*(1-实盘持仓配置!$Z$9)^(('实盘净值数据(iFinD公式)'!$A21-'实盘净值数据(iFinD公式)'!$A20)/365)-1)</f>
        <v/>
      </c>
      <c r="S21" s="82">
        <f>IF(Q21="","",Q21/MAX(Q$5:Q21)-1)</f>
        <v/>
      </c>
    </row>
    <row r="22">
      <c r="A22" s="199">
        <f>IF('实盘净值数据(iFinD公式)'!A22="","",'实盘净值数据(iFinD公式)'!A22)</f>
        <v/>
      </c>
      <c r="B22" s="198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/>
      </c>
      <c r="C22" s="82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/>
      </c>
      <c r="D22" s="82">
        <f>IF(B22="","",B22/MAX(B$5:B22)-1)</f>
        <v/>
      </c>
      <c r="E22" s="198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/>
      </c>
      <c r="F22" s="82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/>
      </c>
      <c r="G22" s="82">
        <f>IF(E22="","",E22/MAX(E$5:E22)-1)</f>
        <v/>
      </c>
      <c r="H22" s="198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/>
      </c>
      <c r="I22" s="82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/>
      </c>
      <c r="J22" s="82">
        <f>IF(H22="","",H22/MAX(H$5:H22)-1)</f>
        <v/>
      </c>
      <c r="K22" s="198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  <v/>
      </c>
      <c r="L22" s="82">
        <f>IF(OR(K21="",'实盘净值数据(iFinD公式)'!$A22="",'实盘净值数据(iFinD公式)'!$B22=""),"",(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)*(1-实盘持仓配置!$Z$7)^(('实盘净值数据(iFinD公式)'!$A22-'实盘净值数据(iFinD公式)'!$A21)/365)-1)</f>
        <v/>
      </c>
      <c r="M22" s="82">
        <f>IF(K22="","",K22/MAX(K$5:K22)-1)</f>
        <v/>
      </c>
      <c r="N22" s="198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  <v/>
      </c>
      <c r="O22" s="82">
        <f>IF(OR(N21="",'实盘净值数据(iFinD公式)'!$A22="",'实盘净值数据(iFinD公式)'!$B22=""),"",(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)*(1-实盘持仓配置!$Z$8)^(('实盘净值数据(iFinD公式)'!$A22-'实盘净值数据(iFinD公式)'!$A21)/365)-1)</f>
        <v/>
      </c>
      <c r="P22" s="82">
        <f>IF(N22="","",N22/MAX(N$5:N22)-1)</f>
        <v/>
      </c>
      <c r="Q22" s="198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  <v/>
      </c>
      <c r="R22" s="82">
        <f>IF(OR(Q21="",'实盘净值数据(iFinD公式)'!$A22="",'实盘净值数据(iFinD公式)'!$B22=""),"",(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)*(1-实盘持仓配置!$Z$9)^(('实盘净值数据(iFinD公式)'!$A22-'实盘净值数据(iFinD公式)'!$A21)/365)-1)</f>
        <v/>
      </c>
      <c r="S22" s="82">
        <f>IF(Q22="","",Q22/MAX(Q$5:Q22)-1)</f>
        <v/>
      </c>
    </row>
    <row r="23">
      <c r="A23" s="199">
        <f>IF('实盘净值数据(iFinD公式)'!A23="","",'实盘净值数据(iFinD公式)'!A23)</f>
        <v/>
      </c>
      <c r="B23" s="198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/>
      </c>
      <c r="C23" s="82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/>
      </c>
      <c r="D23" s="82">
        <f>IF(B23="","",B23/MAX(B$5:B23)-1)</f>
        <v/>
      </c>
      <c r="E23" s="198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/>
      </c>
      <c r="F23" s="82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/>
      </c>
      <c r="G23" s="82">
        <f>IF(E23="","",E23/MAX(E$5:E23)-1)</f>
        <v/>
      </c>
      <c r="H23" s="198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/>
      </c>
      <c r="I23" s="82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/>
      </c>
      <c r="J23" s="82">
        <f>IF(H23="","",H23/MAX(H$5:H23)-1)</f>
        <v/>
      </c>
      <c r="K23" s="198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  <v/>
      </c>
      <c r="L23" s="82">
        <f>IF(OR(K22="",'实盘净值数据(iFinD公式)'!$A23="",'实盘净值数据(iFinD公式)'!$B23=""),"",(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)*(1-实盘持仓配置!$Z$7)^(('实盘净值数据(iFinD公式)'!$A23-'实盘净值数据(iFinD公式)'!$A22)/365)-1)</f>
        <v/>
      </c>
      <c r="M23" s="82">
        <f>IF(K23="","",K23/MAX(K$5:K23)-1)</f>
        <v/>
      </c>
      <c r="N23" s="198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  <v/>
      </c>
      <c r="O23" s="82">
        <f>IF(OR(N22="",'实盘净值数据(iFinD公式)'!$A23="",'实盘净值数据(iFinD公式)'!$B23=""),"",(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)*(1-实盘持仓配置!$Z$8)^(('实盘净值数据(iFinD公式)'!$A23-'实盘净值数据(iFinD公式)'!$A22)/365)-1)</f>
        <v/>
      </c>
      <c r="P23" s="82">
        <f>IF(N23="","",N23/MAX(N$5:N23)-1)</f>
        <v/>
      </c>
      <c r="Q23" s="198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  <v/>
      </c>
      <c r="R23" s="82">
        <f>IF(OR(Q22="",'实盘净值数据(iFinD公式)'!$A23="",'实盘净值数据(iFinD公式)'!$B23=""),"",(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)*(1-实盘持仓配置!$Z$9)^(('实盘净值数据(iFinD公式)'!$A23-'实盘净值数据(iFinD公式)'!$A22)/365)-1)</f>
        <v/>
      </c>
      <c r="S23" s="82">
        <f>IF(Q23="","",Q23/MAX(Q$5:Q23)-1)</f>
        <v/>
      </c>
    </row>
    <row r="24">
      <c r="A24" s="199">
        <f>IF('实盘净值数据(iFinD公式)'!A24="","",'实盘净值数据(iFinD公式)'!A24)</f>
        <v/>
      </c>
      <c r="B24" s="198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/>
      </c>
      <c r="C24" s="82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/>
      </c>
      <c r="D24" s="82">
        <f>IF(B24="","",B24/MAX(B$5:B24)-1)</f>
        <v/>
      </c>
      <c r="E24" s="198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/>
      </c>
      <c r="F24" s="82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/>
      </c>
      <c r="G24" s="82">
        <f>IF(E24="","",E24/MAX(E$5:E24)-1)</f>
        <v/>
      </c>
      <c r="H24" s="198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/>
      </c>
      <c r="I24" s="82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/>
      </c>
      <c r="J24" s="82">
        <f>IF(H24="","",H24/MAX(H$5:H24)-1)</f>
        <v/>
      </c>
      <c r="K24" s="198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  <v/>
      </c>
      <c r="L24" s="82">
        <f>IF(OR(K23="",'实盘净值数据(iFinD公式)'!$A24="",'实盘净值数据(iFinD公式)'!$B24=""),"",(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)*(1-实盘持仓配置!$Z$7)^(('实盘净值数据(iFinD公式)'!$A24-'实盘净值数据(iFinD公式)'!$A23)/365)-1)</f>
        <v/>
      </c>
      <c r="M24" s="82">
        <f>IF(K24="","",K24/MAX(K$5:K24)-1)</f>
        <v/>
      </c>
      <c r="N24" s="198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  <v/>
      </c>
      <c r="O24" s="82">
        <f>IF(OR(N23="",'实盘净值数据(iFinD公式)'!$A24="",'实盘净值数据(iFinD公式)'!$B24=""),"",(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)*(1-实盘持仓配置!$Z$8)^(('实盘净值数据(iFinD公式)'!$A24-'实盘净值数据(iFinD公式)'!$A23)/365)-1)</f>
        <v/>
      </c>
      <c r="P24" s="82">
        <f>IF(N24="","",N24/MAX(N$5:N24)-1)</f>
        <v/>
      </c>
      <c r="Q24" s="198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  <v/>
      </c>
      <c r="R24" s="82">
        <f>IF(OR(Q23="",'实盘净值数据(iFinD公式)'!$A24="",'实盘净值数据(iFinD公式)'!$B24=""),"",(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)*(1-实盘持仓配置!$Z$9)^(('实盘净值数据(iFinD公式)'!$A24-'实盘净值数据(iFinD公式)'!$A23)/365)-1)</f>
        <v/>
      </c>
      <c r="S24" s="82">
        <f>IF(Q24="","",Q24/MAX(Q$5:Q24)-1)</f>
        <v/>
      </c>
    </row>
    <row r="25">
      <c r="A25" s="199">
        <f>IF('实盘净值数据(iFinD公式)'!A25="","",'实盘净值数据(iFinD公式)'!A25)</f>
        <v/>
      </c>
      <c r="B25" s="198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/>
      </c>
      <c r="C25" s="82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/>
      </c>
      <c r="D25" s="82">
        <f>IF(B25="","",B25/MAX(B$5:B25)-1)</f>
        <v/>
      </c>
      <c r="E25" s="198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/>
      </c>
      <c r="F25" s="82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/>
      </c>
      <c r="G25" s="82">
        <f>IF(E25="","",E25/MAX(E$5:E25)-1)</f>
        <v/>
      </c>
      <c r="H25" s="198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/>
      </c>
      <c r="I25" s="82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/>
      </c>
      <c r="J25" s="82">
        <f>IF(H25="","",H25/MAX(H$5:H25)-1)</f>
        <v/>
      </c>
      <c r="K25" s="198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  <v/>
      </c>
      <c r="L25" s="82">
        <f>IF(OR(K24="",'实盘净值数据(iFinD公式)'!$A25="",'实盘净值数据(iFinD公式)'!$B25=""),"",(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)*(1-实盘持仓配置!$Z$7)^(('实盘净值数据(iFinD公式)'!$A25-'实盘净值数据(iFinD公式)'!$A24)/365)-1)</f>
        <v/>
      </c>
      <c r="M25" s="82">
        <f>IF(K25="","",K25/MAX(K$5:K25)-1)</f>
        <v/>
      </c>
      <c r="N25" s="198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  <v/>
      </c>
      <c r="O25" s="82">
        <f>IF(OR(N24="",'实盘净值数据(iFinD公式)'!$A25="",'实盘净值数据(iFinD公式)'!$B25=""),"",(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)*(1-实盘持仓配置!$Z$8)^(('实盘净值数据(iFinD公式)'!$A25-'实盘净值数据(iFinD公式)'!$A24)/365)-1)</f>
        <v/>
      </c>
      <c r="P25" s="82">
        <f>IF(N25="","",N25/MAX(N$5:N25)-1)</f>
        <v/>
      </c>
      <c r="Q25" s="198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  <v/>
      </c>
      <c r="R25" s="82">
        <f>IF(OR(Q24="",'实盘净值数据(iFinD公式)'!$A25="",'实盘净值数据(iFinD公式)'!$B25=""),"",(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)*(1-实盘持仓配置!$Z$9)^(('实盘净值数据(iFinD公式)'!$A25-'实盘净值数据(iFinD公式)'!$A24)/365)-1)</f>
        <v/>
      </c>
      <c r="S25" s="82">
        <f>IF(Q25="","",Q25/MAX(Q$5:Q25)-1)</f>
        <v/>
      </c>
    </row>
    <row r="26">
      <c r="A26" s="199">
        <f>IF('实盘净值数据(iFinD公式)'!A26="","",'实盘净值数据(iFinD公式)'!A26)</f>
        <v/>
      </c>
      <c r="B26" s="198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/>
      </c>
      <c r="C26" s="82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/>
      </c>
      <c r="D26" s="82">
        <f>IF(B26="","",B26/MAX(B$5:B26)-1)</f>
        <v/>
      </c>
      <c r="E26" s="198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/>
      </c>
      <c r="F26" s="82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/>
      </c>
      <c r="G26" s="82">
        <f>IF(E26="","",E26/MAX(E$5:E26)-1)</f>
        <v/>
      </c>
      <c r="H26" s="198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/>
      </c>
      <c r="I26" s="82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/>
      </c>
      <c r="J26" s="82">
        <f>IF(H26="","",H26/MAX(H$5:H26)-1)</f>
        <v/>
      </c>
      <c r="K26" s="198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  <v/>
      </c>
      <c r="L26" s="82">
        <f>IF(OR(K25="",'实盘净值数据(iFinD公式)'!$A26="",'实盘净值数据(iFinD公式)'!$B26=""),"",(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)*(1-实盘持仓配置!$Z$7)^(('实盘净值数据(iFinD公式)'!$A26-'实盘净值数据(iFinD公式)'!$A25)/365)-1)</f>
        <v/>
      </c>
      <c r="M26" s="82">
        <f>IF(K26="","",K26/MAX(K$5:K26)-1)</f>
        <v/>
      </c>
      <c r="N26" s="198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  <v/>
      </c>
      <c r="O26" s="82">
        <f>IF(OR(N25="",'实盘净值数据(iFinD公式)'!$A26="",'实盘净值数据(iFinD公式)'!$B26=""),"",(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)*(1-实盘持仓配置!$Z$8)^(('实盘净值数据(iFinD公式)'!$A26-'实盘净值数据(iFinD公式)'!$A25)/365)-1)</f>
        <v/>
      </c>
      <c r="P26" s="82">
        <f>IF(N26="","",N26/MAX(N$5:N26)-1)</f>
        <v/>
      </c>
      <c r="Q26" s="198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  <v/>
      </c>
      <c r="R26" s="82">
        <f>IF(OR(Q25="",'实盘净值数据(iFinD公式)'!$A26="",'实盘净值数据(iFinD公式)'!$B26=""),"",(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)*(1-实盘持仓配置!$Z$9)^(('实盘净值数据(iFinD公式)'!$A26-'实盘净值数据(iFinD公式)'!$A25)/365)-1)</f>
        <v/>
      </c>
      <c r="S26" s="82">
        <f>IF(Q26="","",Q26/MAX(Q$5:Q26)-1)</f>
        <v/>
      </c>
    </row>
    <row r="27">
      <c r="A27" s="199">
        <f>IF('实盘净值数据(iFinD公式)'!A27="","",'实盘净值数据(iFinD公式)'!A27)</f>
        <v/>
      </c>
      <c r="B27" s="198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/>
      </c>
      <c r="C27" s="82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/>
      </c>
      <c r="D27" s="82">
        <f>IF(B27="","",B27/MAX(B$5:B27)-1)</f>
        <v/>
      </c>
      <c r="E27" s="198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/>
      </c>
      <c r="F27" s="82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/>
      </c>
      <c r="G27" s="82">
        <f>IF(E27="","",E27/MAX(E$5:E27)-1)</f>
        <v/>
      </c>
      <c r="H27" s="198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/>
      </c>
      <c r="I27" s="82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/>
      </c>
      <c r="J27" s="82">
        <f>IF(H27="","",H27/MAX(H$5:H27)-1)</f>
        <v/>
      </c>
      <c r="K27" s="198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  <v/>
      </c>
      <c r="L27" s="82">
        <f>IF(OR(K26="",'实盘净值数据(iFinD公式)'!$A27="",'实盘净值数据(iFinD公式)'!$B27=""),"",(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)*(1-实盘持仓配置!$Z$7)^(('实盘净值数据(iFinD公式)'!$A27-'实盘净值数据(iFinD公式)'!$A26)/365)-1)</f>
        <v/>
      </c>
      <c r="M27" s="82">
        <f>IF(K27="","",K27/MAX(K$5:K27)-1)</f>
        <v/>
      </c>
      <c r="N27" s="198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  <v/>
      </c>
      <c r="O27" s="82">
        <f>IF(OR(N26="",'实盘净值数据(iFinD公式)'!$A27="",'实盘净值数据(iFinD公式)'!$B27=""),"",(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)*(1-实盘持仓配置!$Z$8)^(('实盘净值数据(iFinD公式)'!$A27-'实盘净值数据(iFinD公式)'!$A26)/365)-1)</f>
        <v/>
      </c>
      <c r="P27" s="82">
        <f>IF(N27="","",N27/MAX(N$5:N27)-1)</f>
        <v/>
      </c>
      <c r="Q27" s="198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  <v/>
      </c>
      <c r="R27" s="82">
        <f>IF(OR(Q26="",'实盘净值数据(iFinD公式)'!$A27="",'实盘净值数据(iFinD公式)'!$B27=""),"",(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)*(1-实盘持仓配置!$Z$9)^(('实盘净值数据(iFinD公式)'!$A27-'实盘净值数据(iFinD公式)'!$A26)/365)-1)</f>
        <v/>
      </c>
      <c r="S27" s="82">
        <f>IF(Q27="","",Q27/MAX(Q$5:Q27)-1)</f>
        <v/>
      </c>
    </row>
    <row r="28">
      <c r="A28" s="199">
        <f>IF('实盘净值数据(iFinD公式)'!A28="","",'实盘净值数据(iFinD公式)'!A28)</f>
        <v/>
      </c>
      <c r="B28" s="198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/>
      </c>
      <c r="C28" s="82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/>
      </c>
      <c r="D28" s="82">
        <f>IF(B28="","",B28/MAX(B$5:B28)-1)</f>
        <v/>
      </c>
      <c r="E28" s="198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/>
      </c>
      <c r="F28" s="82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/>
      </c>
      <c r="G28" s="82">
        <f>IF(E28="","",E28/MAX(E$5:E28)-1)</f>
        <v/>
      </c>
      <c r="H28" s="198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/>
      </c>
      <c r="I28" s="82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/>
      </c>
      <c r="J28" s="82">
        <f>IF(H28="","",H28/MAX(H$5:H28)-1)</f>
        <v/>
      </c>
      <c r="K28" s="198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  <v/>
      </c>
      <c r="L28" s="82">
        <f>IF(OR(K27="",'实盘净值数据(iFinD公式)'!$A28="",'实盘净值数据(iFinD公式)'!$B28=""),"",(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)*(1-实盘持仓配置!$Z$7)^(('实盘净值数据(iFinD公式)'!$A28-'实盘净值数据(iFinD公式)'!$A27)/365)-1)</f>
        <v/>
      </c>
      <c r="M28" s="82">
        <f>IF(K28="","",K28/MAX(K$5:K28)-1)</f>
        <v/>
      </c>
      <c r="N28" s="198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  <v/>
      </c>
      <c r="O28" s="82">
        <f>IF(OR(N27="",'实盘净值数据(iFinD公式)'!$A28="",'实盘净值数据(iFinD公式)'!$B28=""),"",(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)*(1-实盘持仓配置!$Z$8)^(('实盘净值数据(iFinD公式)'!$A28-'实盘净值数据(iFinD公式)'!$A27)/365)-1)</f>
        <v/>
      </c>
      <c r="P28" s="82">
        <f>IF(N28="","",N28/MAX(N$5:N28)-1)</f>
        <v/>
      </c>
      <c r="Q28" s="198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  <v/>
      </c>
      <c r="R28" s="82">
        <f>IF(OR(Q27="",'实盘净值数据(iFinD公式)'!$A28="",'实盘净值数据(iFinD公式)'!$B28=""),"",(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)*(1-实盘持仓配置!$Z$9)^(('实盘净值数据(iFinD公式)'!$A28-'实盘净值数据(iFinD公式)'!$A27)/365)-1)</f>
        <v/>
      </c>
      <c r="S28" s="82">
        <f>IF(Q28="","",Q28/MAX(Q$5:Q28)-1)</f>
        <v/>
      </c>
    </row>
    <row r="29">
      <c r="A29" s="199">
        <f>IF('实盘净值数据(iFinD公式)'!A29="","",'实盘净值数据(iFinD公式)'!A29)</f>
        <v/>
      </c>
      <c r="B29" s="198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/>
      </c>
      <c r="C29" s="82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/>
      </c>
      <c r="D29" s="82">
        <f>IF(B29="","",B29/MAX(B$5:B29)-1)</f>
        <v/>
      </c>
      <c r="E29" s="198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/>
      </c>
      <c r="F29" s="82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/>
      </c>
      <c r="G29" s="82">
        <f>IF(E29="","",E29/MAX(E$5:E29)-1)</f>
        <v/>
      </c>
      <c r="H29" s="198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/>
      </c>
      <c r="I29" s="82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/>
      </c>
      <c r="J29" s="82">
        <f>IF(H29="","",H29/MAX(H$5:H29)-1)</f>
        <v/>
      </c>
      <c r="K29" s="198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  <v/>
      </c>
      <c r="L29" s="82">
        <f>IF(OR(K28="",'实盘净值数据(iFinD公式)'!$A29="",'实盘净值数据(iFinD公式)'!$B29=""),"",(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)*(1-实盘持仓配置!$Z$7)^(('实盘净值数据(iFinD公式)'!$A29-'实盘净值数据(iFinD公式)'!$A28)/365)-1)</f>
        <v/>
      </c>
      <c r="M29" s="82">
        <f>IF(K29="","",K29/MAX(K$5:K29)-1)</f>
        <v/>
      </c>
      <c r="N29" s="198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  <v/>
      </c>
      <c r="O29" s="82">
        <f>IF(OR(N28="",'实盘净值数据(iFinD公式)'!$A29="",'实盘净值数据(iFinD公式)'!$B29=""),"",(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)*(1-实盘持仓配置!$Z$8)^(('实盘净值数据(iFinD公式)'!$A29-'实盘净值数据(iFinD公式)'!$A28)/365)-1)</f>
        <v/>
      </c>
      <c r="P29" s="82">
        <f>IF(N29="","",N29/MAX(N$5:N29)-1)</f>
        <v/>
      </c>
      <c r="Q29" s="198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  <v/>
      </c>
      <c r="R29" s="82">
        <f>IF(OR(Q28="",'实盘净值数据(iFinD公式)'!$A29="",'实盘净值数据(iFinD公式)'!$B29=""),"",(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)*(1-实盘持仓配置!$Z$9)^(('实盘净值数据(iFinD公式)'!$A29-'实盘净值数据(iFinD公式)'!$A28)/365)-1)</f>
        <v/>
      </c>
      <c r="S29" s="82">
        <f>IF(Q29="","",Q29/MAX(Q$5:Q29)-1)</f>
        <v/>
      </c>
    </row>
    <row r="30">
      <c r="A30" s="199">
        <f>IF('实盘净值数据(iFinD公式)'!A30="","",'实盘净值数据(iFinD公式)'!A30)</f>
        <v/>
      </c>
      <c r="B30" s="198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/>
      </c>
      <c r="C30" s="82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/>
      </c>
      <c r="D30" s="82">
        <f>IF(B30="","",B30/MAX(B$5:B30)-1)</f>
        <v/>
      </c>
      <c r="E30" s="198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/>
      </c>
      <c r="F30" s="82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/>
      </c>
      <c r="G30" s="82">
        <f>IF(E30="","",E30/MAX(E$5:E30)-1)</f>
        <v/>
      </c>
      <c r="H30" s="198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/>
      </c>
      <c r="I30" s="82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/>
      </c>
      <c r="J30" s="82">
        <f>IF(H30="","",H30/MAX(H$5:H30)-1)</f>
        <v/>
      </c>
      <c r="K30" s="198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  <v/>
      </c>
      <c r="L30" s="82">
        <f>IF(OR(K29="",'实盘净值数据(iFinD公式)'!$A30="",'实盘净值数据(iFinD公式)'!$B30=""),"",(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)*(1-实盘持仓配置!$Z$7)^(('实盘净值数据(iFinD公式)'!$A30-'实盘净值数据(iFinD公式)'!$A29)/365)-1)</f>
        <v/>
      </c>
      <c r="M30" s="82">
        <f>IF(K30="","",K30/MAX(K$5:K30)-1)</f>
        <v/>
      </c>
      <c r="N30" s="198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  <v/>
      </c>
      <c r="O30" s="82">
        <f>IF(OR(N29="",'实盘净值数据(iFinD公式)'!$A30="",'实盘净值数据(iFinD公式)'!$B30=""),"",(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)*(1-实盘持仓配置!$Z$8)^(('实盘净值数据(iFinD公式)'!$A30-'实盘净值数据(iFinD公式)'!$A29)/365)-1)</f>
        <v/>
      </c>
      <c r="P30" s="82">
        <f>IF(N30="","",N30/MAX(N$5:N30)-1)</f>
        <v/>
      </c>
      <c r="Q30" s="198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  <v/>
      </c>
      <c r="R30" s="82">
        <f>IF(OR(Q29="",'实盘净值数据(iFinD公式)'!$A30="",'实盘净值数据(iFinD公式)'!$B30=""),"",(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)*(1-实盘持仓配置!$Z$9)^(('实盘净值数据(iFinD公式)'!$A30-'实盘净值数据(iFinD公式)'!$A29)/365)-1)</f>
        <v/>
      </c>
      <c r="S30" s="82">
        <f>IF(Q30="","",Q30/MAX(Q$5:Q30)-1)</f>
        <v/>
      </c>
    </row>
    <row r="31">
      <c r="A31" s="199">
        <f>IF('实盘净值数据(iFinD公式)'!A31="","",'实盘净值数据(iFinD公式)'!A31)</f>
        <v/>
      </c>
      <c r="B31" s="198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/>
      </c>
      <c r="C31" s="82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/>
      </c>
      <c r="D31" s="82">
        <f>IF(B31="","",B31/MAX(B$5:B31)-1)</f>
        <v/>
      </c>
      <c r="E31" s="198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/>
      </c>
      <c r="F31" s="82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/>
      </c>
      <c r="G31" s="82">
        <f>IF(E31="","",E31/MAX(E$5:E31)-1)</f>
        <v/>
      </c>
      <c r="H31" s="198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/>
      </c>
      <c r="I31" s="82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/>
      </c>
      <c r="J31" s="82">
        <f>IF(H31="","",H31/MAX(H$5:H31)-1)</f>
        <v/>
      </c>
      <c r="K31" s="198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  <v/>
      </c>
      <c r="L31" s="82">
        <f>IF(OR(K30="",'实盘净值数据(iFinD公式)'!$A31="",'实盘净值数据(iFinD公式)'!$B31=""),"",(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)*(1-实盘持仓配置!$Z$7)^(('实盘净值数据(iFinD公式)'!$A31-'实盘净值数据(iFinD公式)'!$A30)/365)-1)</f>
        <v/>
      </c>
      <c r="M31" s="82">
        <f>IF(K31="","",K31/MAX(K$5:K31)-1)</f>
        <v/>
      </c>
      <c r="N31" s="198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  <v/>
      </c>
      <c r="O31" s="82">
        <f>IF(OR(N30="",'实盘净值数据(iFinD公式)'!$A31="",'实盘净值数据(iFinD公式)'!$B31=""),"",(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)*(1-实盘持仓配置!$Z$8)^(('实盘净值数据(iFinD公式)'!$A31-'实盘净值数据(iFinD公式)'!$A30)/365)-1)</f>
        <v/>
      </c>
      <c r="P31" s="82">
        <f>IF(N31="","",N31/MAX(N$5:N31)-1)</f>
        <v/>
      </c>
      <c r="Q31" s="198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  <v/>
      </c>
      <c r="R31" s="82">
        <f>IF(OR(Q30="",'实盘净值数据(iFinD公式)'!$A31="",'实盘净值数据(iFinD公式)'!$B31=""),"",(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)*(1-实盘持仓配置!$Z$9)^(('实盘净值数据(iFinD公式)'!$A31-'实盘净值数据(iFinD公式)'!$A30)/365)-1)</f>
        <v/>
      </c>
      <c r="S31" s="82">
        <f>IF(Q31="","",Q31/MAX(Q$5:Q31)-1)</f>
        <v/>
      </c>
    </row>
    <row r="32">
      <c r="A32" s="199">
        <f>IF('实盘净值数据(iFinD公式)'!A32="","",'实盘净值数据(iFinD公式)'!A32)</f>
        <v/>
      </c>
      <c r="B32" s="198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/>
      </c>
      <c r="C32" s="82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/>
      </c>
      <c r="D32" s="82">
        <f>IF(B32="","",B32/MAX(B$5:B32)-1)</f>
        <v/>
      </c>
      <c r="E32" s="198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/>
      </c>
      <c r="F32" s="82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/>
      </c>
      <c r="G32" s="82">
        <f>IF(E32="","",E32/MAX(E$5:E32)-1)</f>
        <v/>
      </c>
      <c r="H32" s="198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/>
      </c>
      <c r="I32" s="82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/>
      </c>
      <c r="J32" s="82">
        <f>IF(H32="","",H32/MAX(H$5:H32)-1)</f>
        <v/>
      </c>
      <c r="K32" s="198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  <v/>
      </c>
      <c r="L32" s="82">
        <f>IF(OR(K31="",'实盘净值数据(iFinD公式)'!$A32="",'实盘净值数据(iFinD公式)'!$B32=""),"",(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)*(1-实盘持仓配置!$Z$7)^(('实盘净值数据(iFinD公式)'!$A32-'实盘净值数据(iFinD公式)'!$A31)/365)-1)</f>
        <v/>
      </c>
      <c r="M32" s="82">
        <f>IF(K32="","",K32/MAX(K$5:K32)-1)</f>
        <v/>
      </c>
      <c r="N32" s="198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  <v/>
      </c>
      <c r="O32" s="82">
        <f>IF(OR(N31="",'实盘净值数据(iFinD公式)'!$A32="",'实盘净值数据(iFinD公式)'!$B32=""),"",(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)*(1-实盘持仓配置!$Z$8)^(('实盘净值数据(iFinD公式)'!$A32-'实盘净值数据(iFinD公式)'!$A31)/365)-1)</f>
        <v/>
      </c>
      <c r="P32" s="82">
        <f>IF(N32="","",N32/MAX(N$5:N32)-1)</f>
        <v/>
      </c>
      <c r="Q32" s="198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  <v/>
      </c>
      <c r="R32" s="82">
        <f>IF(OR(Q31="",'实盘净值数据(iFinD公式)'!$A32="",'实盘净值数据(iFinD公式)'!$B32=""),"",(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)*(1-实盘持仓配置!$Z$9)^(('实盘净值数据(iFinD公式)'!$A32-'实盘净值数据(iFinD公式)'!$A31)/365)-1)</f>
        <v/>
      </c>
      <c r="S32" s="82">
        <f>IF(Q32="","",Q32/MAX(Q$5:Q32)-1)</f>
        <v/>
      </c>
    </row>
    <row r="33">
      <c r="A33" s="199">
        <f>IF('实盘净值数据(iFinD公式)'!A33="","",'实盘净值数据(iFinD公式)'!A33)</f>
        <v/>
      </c>
      <c r="B33" s="198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/>
      </c>
      <c r="C33" s="82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/>
      </c>
      <c r="D33" s="82">
        <f>IF(B33="","",B33/MAX(B$5:B33)-1)</f>
        <v/>
      </c>
      <c r="E33" s="198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/>
      </c>
      <c r="F33" s="82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/>
      </c>
      <c r="G33" s="82">
        <f>IF(E33="","",E33/MAX(E$5:E33)-1)</f>
        <v/>
      </c>
      <c r="H33" s="198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/>
      </c>
      <c r="I33" s="82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/>
      </c>
      <c r="J33" s="82">
        <f>IF(H33="","",H33/MAX(H$5:H33)-1)</f>
        <v/>
      </c>
      <c r="K33" s="198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  <v/>
      </c>
      <c r="L33" s="82">
        <f>IF(OR(K32="",'实盘净值数据(iFinD公式)'!$A33="",'实盘净值数据(iFinD公式)'!$B33=""),"",(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)*(1-实盘持仓配置!$Z$7)^(('实盘净值数据(iFinD公式)'!$A33-'实盘净值数据(iFinD公式)'!$A32)/365)-1)</f>
        <v/>
      </c>
      <c r="M33" s="82">
        <f>IF(K33="","",K33/MAX(K$5:K33)-1)</f>
        <v/>
      </c>
      <c r="N33" s="198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  <v/>
      </c>
      <c r="O33" s="82">
        <f>IF(OR(N32="",'实盘净值数据(iFinD公式)'!$A33="",'实盘净值数据(iFinD公式)'!$B33=""),"",(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)*(1-实盘持仓配置!$Z$8)^(('实盘净值数据(iFinD公式)'!$A33-'实盘净值数据(iFinD公式)'!$A32)/365)-1)</f>
        <v/>
      </c>
      <c r="P33" s="82">
        <f>IF(N33="","",N33/MAX(N$5:N33)-1)</f>
        <v/>
      </c>
      <c r="Q33" s="198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  <v/>
      </c>
      <c r="R33" s="82">
        <f>IF(OR(Q32="",'实盘净值数据(iFinD公式)'!$A33="",'实盘净值数据(iFinD公式)'!$B33=""),"",(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)*(1-实盘持仓配置!$Z$9)^(('实盘净值数据(iFinD公式)'!$A33-'实盘净值数据(iFinD公式)'!$A32)/365)-1)</f>
        <v/>
      </c>
      <c r="S33" s="82">
        <f>IF(Q33="","",Q33/MAX(Q$5:Q33)-1)</f>
        <v/>
      </c>
    </row>
    <row r="34">
      <c r="A34" s="199">
        <f>IF('实盘净值数据(iFinD公式)'!A34="","",'实盘净值数据(iFinD公式)'!A34)</f>
        <v/>
      </c>
      <c r="B34" s="198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/>
      </c>
      <c r="C34" s="82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/>
      </c>
      <c r="D34" s="82">
        <f>IF(B34="","",B34/MAX(B$5:B34)-1)</f>
        <v/>
      </c>
      <c r="E34" s="198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/>
      </c>
      <c r="F34" s="82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/>
      </c>
      <c r="G34" s="82">
        <f>IF(E34="","",E34/MAX(E$5:E34)-1)</f>
        <v/>
      </c>
      <c r="H34" s="198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/>
      </c>
      <c r="I34" s="82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/>
      </c>
      <c r="J34" s="82">
        <f>IF(H34="","",H34/MAX(H$5:H34)-1)</f>
        <v/>
      </c>
      <c r="K34" s="198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  <v/>
      </c>
      <c r="L34" s="82">
        <f>IF(OR(K33="",'实盘净值数据(iFinD公式)'!$A34="",'实盘净值数据(iFinD公式)'!$B34=""),"",(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)*(1-实盘持仓配置!$Z$7)^(('实盘净值数据(iFinD公式)'!$A34-'实盘净值数据(iFinD公式)'!$A33)/365)-1)</f>
        <v/>
      </c>
      <c r="M34" s="82">
        <f>IF(K34="","",K34/MAX(K$5:K34)-1)</f>
        <v/>
      </c>
      <c r="N34" s="198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  <v/>
      </c>
      <c r="O34" s="82">
        <f>IF(OR(N33="",'实盘净值数据(iFinD公式)'!$A34="",'实盘净值数据(iFinD公式)'!$B34=""),"",(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)*(1-实盘持仓配置!$Z$8)^(('实盘净值数据(iFinD公式)'!$A34-'实盘净值数据(iFinD公式)'!$A33)/365)-1)</f>
        <v/>
      </c>
      <c r="P34" s="82">
        <f>IF(N34="","",N34/MAX(N$5:N34)-1)</f>
        <v/>
      </c>
      <c r="Q34" s="198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  <v/>
      </c>
      <c r="R34" s="82">
        <f>IF(OR(Q33="",'实盘净值数据(iFinD公式)'!$A34="",'实盘净值数据(iFinD公式)'!$B34=""),"",(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)*(1-实盘持仓配置!$Z$9)^(('实盘净值数据(iFinD公式)'!$A34-'实盘净值数据(iFinD公式)'!$A33)/365)-1)</f>
        <v/>
      </c>
      <c r="S34" s="82">
        <f>IF(Q34="","",Q34/MAX(Q$5:Q34)-1)</f>
        <v/>
      </c>
    </row>
    <row r="35">
      <c r="A35" s="199">
        <f>IF('实盘净值数据(iFinD公式)'!A35="","",'实盘净值数据(iFinD公式)'!A35)</f>
        <v/>
      </c>
      <c r="B35" s="198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/>
      </c>
      <c r="C35" s="82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/>
      </c>
      <c r="D35" s="82">
        <f>IF(B35="","",B35/MAX(B$5:B35)-1)</f>
        <v/>
      </c>
      <c r="E35" s="198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/>
      </c>
      <c r="F35" s="82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/>
      </c>
      <c r="G35" s="82">
        <f>IF(E35="","",E35/MAX(E$5:E35)-1)</f>
        <v/>
      </c>
      <c r="H35" s="198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/>
      </c>
      <c r="I35" s="82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/>
      </c>
      <c r="J35" s="82">
        <f>IF(H35="","",H35/MAX(H$5:H35)-1)</f>
        <v/>
      </c>
      <c r="K35" s="198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  <v/>
      </c>
      <c r="L35" s="82">
        <f>IF(OR(K34="",'实盘净值数据(iFinD公式)'!$A35="",'实盘净值数据(iFinD公式)'!$B35=""),"",(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)*(1-实盘持仓配置!$Z$7)^(('实盘净值数据(iFinD公式)'!$A35-'实盘净值数据(iFinD公式)'!$A34)/365)-1)</f>
        <v/>
      </c>
      <c r="M35" s="82">
        <f>IF(K35="","",K35/MAX(K$5:K35)-1)</f>
        <v/>
      </c>
      <c r="N35" s="198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  <v/>
      </c>
      <c r="O35" s="82">
        <f>IF(OR(N34="",'实盘净值数据(iFinD公式)'!$A35="",'实盘净值数据(iFinD公式)'!$B35=""),"",(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)*(1-实盘持仓配置!$Z$8)^(('实盘净值数据(iFinD公式)'!$A35-'实盘净值数据(iFinD公式)'!$A34)/365)-1)</f>
        <v/>
      </c>
      <c r="P35" s="82">
        <f>IF(N35="","",N35/MAX(N$5:N35)-1)</f>
        <v/>
      </c>
      <c r="Q35" s="198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  <v/>
      </c>
      <c r="R35" s="82">
        <f>IF(OR(Q34="",'实盘净值数据(iFinD公式)'!$A35="",'实盘净值数据(iFinD公式)'!$B35=""),"",(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)*(1-实盘持仓配置!$Z$9)^(('实盘净值数据(iFinD公式)'!$A35-'实盘净值数据(iFinD公式)'!$A34)/365)-1)</f>
        <v/>
      </c>
      <c r="S35" s="82">
        <f>IF(Q35="","",Q35/MAX(Q$5:Q35)-1)</f>
        <v/>
      </c>
    </row>
    <row r="36">
      <c r="A36" s="199">
        <f>IF('实盘净值数据(iFinD公式)'!A36="","",'实盘净值数据(iFinD公式)'!A36)</f>
        <v/>
      </c>
      <c r="B36" s="198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/>
      </c>
      <c r="C36" s="82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/>
      </c>
      <c r="D36" s="82">
        <f>IF(B36="","",B36/MAX(B$5:B36)-1)</f>
        <v/>
      </c>
      <c r="E36" s="198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/>
      </c>
      <c r="F36" s="82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/>
      </c>
      <c r="G36" s="82">
        <f>IF(E36="","",E36/MAX(E$5:E36)-1)</f>
        <v/>
      </c>
      <c r="H36" s="198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/>
      </c>
      <c r="I36" s="82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/>
      </c>
      <c r="J36" s="82">
        <f>IF(H36="","",H36/MAX(H$5:H36)-1)</f>
        <v/>
      </c>
      <c r="K36" s="198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  <v/>
      </c>
      <c r="L36" s="82">
        <f>IF(OR(K35="",'实盘净值数据(iFinD公式)'!$A36="",'实盘净值数据(iFinD公式)'!$B36=""),"",(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)*(1-实盘持仓配置!$Z$7)^(('实盘净值数据(iFinD公式)'!$A36-'实盘净值数据(iFinD公式)'!$A35)/365)-1)</f>
        <v/>
      </c>
      <c r="M36" s="82">
        <f>IF(K36="","",K36/MAX(K$5:K36)-1)</f>
        <v/>
      </c>
      <c r="N36" s="198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  <v/>
      </c>
      <c r="O36" s="82">
        <f>IF(OR(N35="",'实盘净值数据(iFinD公式)'!$A36="",'实盘净值数据(iFinD公式)'!$B36=""),"",(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)*(1-实盘持仓配置!$Z$8)^(('实盘净值数据(iFinD公式)'!$A36-'实盘净值数据(iFinD公式)'!$A35)/365)-1)</f>
        <v/>
      </c>
      <c r="P36" s="82">
        <f>IF(N36="","",N36/MAX(N$5:N36)-1)</f>
        <v/>
      </c>
      <c r="Q36" s="198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  <v/>
      </c>
      <c r="R36" s="82">
        <f>IF(OR(Q35="",'实盘净值数据(iFinD公式)'!$A36="",'实盘净值数据(iFinD公式)'!$B36=""),"",(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)*(1-实盘持仓配置!$Z$9)^(('实盘净值数据(iFinD公式)'!$A36-'实盘净值数据(iFinD公式)'!$A35)/365)-1)</f>
        <v/>
      </c>
      <c r="S36" s="82">
        <f>IF(Q36="","",Q36/MAX(Q$5:Q36)-1)</f>
        <v/>
      </c>
    </row>
    <row r="37">
      <c r="A37" s="199">
        <f>IF('实盘净值数据(iFinD公式)'!A37="","",'实盘净值数据(iFinD公式)'!A37)</f>
        <v/>
      </c>
      <c r="B37" s="198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/>
      </c>
      <c r="C37" s="82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/>
      </c>
      <c r="D37" s="82">
        <f>IF(B37="","",B37/MAX(B$5:B37)-1)</f>
        <v/>
      </c>
      <c r="E37" s="198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/>
      </c>
      <c r="F37" s="82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/>
      </c>
      <c r="G37" s="82">
        <f>IF(E37="","",E37/MAX(E$5:E37)-1)</f>
        <v/>
      </c>
      <c r="H37" s="198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/>
      </c>
      <c r="I37" s="82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/>
      </c>
      <c r="J37" s="82">
        <f>IF(H37="","",H37/MAX(H$5:H37)-1)</f>
        <v/>
      </c>
      <c r="K37" s="198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  <v/>
      </c>
      <c r="L37" s="82">
        <f>IF(OR(K36="",'实盘净值数据(iFinD公式)'!$A37="",'实盘净值数据(iFinD公式)'!$B37=""),"",(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)*(1-实盘持仓配置!$Z$7)^(('实盘净值数据(iFinD公式)'!$A37-'实盘净值数据(iFinD公式)'!$A36)/365)-1)</f>
        <v/>
      </c>
      <c r="M37" s="82">
        <f>IF(K37="","",K37/MAX(K$5:K37)-1)</f>
        <v/>
      </c>
      <c r="N37" s="198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  <v/>
      </c>
      <c r="O37" s="82">
        <f>IF(OR(N36="",'实盘净值数据(iFinD公式)'!$A37="",'实盘净值数据(iFinD公式)'!$B37=""),"",(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)*(1-实盘持仓配置!$Z$8)^(('实盘净值数据(iFinD公式)'!$A37-'实盘净值数据(iFinD公式)'!$A36)/365)-1)</f>
        <v/>
      </c>
      <c r="P37" s="82">
        <f>IF(N37="","",N37/MAX(N$5:N37)-1)</f>
        <v/>
      </c>
      <c r="Q37" s="198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  <v/>
      </c>
      <c r="R37" s="82">
        <f>IF(OR(Q36="",'实盘净值数据(iFinD公式)'!$A37="",'实盘净值数据(iFinD公式)'!$B37=""),"",(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)*(1-实盘持仓配置!$Z$9)^(('实盘净值数据(iFinD公式)'!$A37-'实盘净值数据(iFinD公式)'!$A36)/365)-1)</f>
        <v/>
      </c>
      <c r="S37" s="82">
        <f>IF(Q37="","",Q37/MAX(Q$5:Q37)-1)</f>
        <v/>
      </c>
    </row>
    <row r="38">
      <c r="A38" s="199">
        <f>IF('实盘净值数据(iFinD公式)'!A38="","",'实盘净值数据(iFinD公式)'!A38)</f>
        <v/>
      </c>
      <c r="B38" s="198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/>
      </c>
      <c r="C38" s="82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/>
      </c>
      <c r="D38" s="82">
        <f>IF(B38="","",B38/MAX(B$5:B38)-1)</f>
        <v/>
      </c>
      <c r="E38" s="198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/>
      </c>
      <c r="F38" s="82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/>
      </c>
      <c r="G38" s="82">
        <f>IF(E38="","",E38/MAX(E$5:E38)-1)</f>
        <v/>
      </c>
      <c r="H38" s="198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/>
      </c>
      <c r="I38" s="82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/>
      </c>
      <c r="J38" s="82">
        <f>IF(H38="","",H38/MAX(H$5:H38)-1)</f>
        <v/>
      </c>
      <c r="K38" s="198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  <v/>
      </c>
      <c r="L38" s="82">
        <f>IF(OR(K37="",'实盘净值数据(iFinD公式)'!$A38="",'实盘净值数据(iFinD公式)'!$B38=""),"",(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)*(1-实盘持仓配置!$Z$7)^(('实盘净值数据(iFinD公式)'!$A38-'实盘净值数据(iFinD公式)'!$A37)/365)-1)</f>
        <v/>
      </c>
      <c r="M38" s="82">
        <f>IF(K38="","",K38/MAX(K$5:K38)-1)</f>
        <v/>
      </c>
      <c r="N38" s="198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  <v/>
      </c>
      <c r="O38" s="82">
        <f>IF(OR(N37="",'实盘净值数据(iFinD公式)'!$A38="",'实盘净值数据(iFinD公式)'!$B38=""),"",(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)*(1-实盘持仓配置!$Z$8)^(('实盘净值数据(iFinD公式)'!$A38-'实盘净值数据(iFinD公式)'!$A37)/365)-1)</f>
        <v/>
      </c>
      <c r="P38" s="82">
        <f>IF(N38="","",N38/MAX(N$5:N38)-1)</f>
        <v/>
      </c>
      <c r="Q38" s="198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  <v/>
      </c>
      <c r="R38" s="82">
        <f>IF(OR(Q37="",'实盘净值数据(iFinD公式)'!$A38="",'实盘净值数据(iFinD公式)'!$B38=""),"",(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)*(1-实盘持仓配置!$Z$9)^(('实盘净值数据(iFinD公式)'!$A38-'实盘净值数据(iFinD公式)'!$A37)/365)-1)</f>
        <v/>
      </c>
      <c r="S38" s="82">
        <f>IF(Q38="","",Q38/MAX(Q$5:Q38)-1)</f>
        <v/>
      </c>
    </row>
    <row r="39">
      <c r="A39" s="199">
        <f>IF('实盘净值数据(iFinD公式)'!A39="","",'实盘净值数据(iFinD公式)'!A39)</f>
        <v/>
      </c>
      <c r="B39" s="198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/>
      </c>
      <c r="C39" s="82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/>
      </c>
      <c r="D39" s="82">
        <f>IF(B39="","",B39/MAX(B$5:B39)-1)</f>
        <v/>
      </c>
      <c r="E39" s="198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/>
      </c>
      <c r="F39" s="82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/>
      </c>
      <c r="G39" s="82">
        <f>IF(E39="","",E39/MAX(E$5:E39)-1)</f>
        <v/>
      </c>
      <c r="H39" s="198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/>
      </c>
      <c r="I39" s="82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/>
      </c>
      <c r="J39" s="82">
        <f>IF(H39="","",H39/MAX(H$5:H39)-1)</f>
        <v/>
      </c>
      <c r="K39" s="198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  <v/>
      </c>
      <c r="L39" s="82">
        <f>IF(OR(K38="",'实盘净值数据(iFinD公式)'!$A39="",'实盘净值数据(iFinD公式)'!$B39=""),"",(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)*(1-实盘持仓配置!$Z$7)^(('实盘净值数据(iFinD公式)'!$A39-'实盘净值数据(iFinD公式)'!$A38)/365)-1)</f>
        <v/>
      </c>
      <c r="M39" s="82">
        <f>IF(K39="","",K39/MAX(K$5:K39)-1)</f>
        <v/>
      </c>
      <c r="N39" s="198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  <v/>
      </c>
      <c r="O39" s="82">
        <f>IF(OR(N38="",'实盘净值数据(iFinD公式)'!$A39="",'实盘净值数据(iFinD公式)'!$B39=""),"",(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)*(1-实盘持仓配置!$Z$8)^(('实盘净值数据(iFinD公式)'!$A39-'实盘净值数据(iFinD公式)'!$A38)/365)-1)</f>
        <v/>
      </c>
      <c r="P39" s="82">
        <f>IF(N39="","",N39/MAX(N$5:N39)-1)</f>
        <v/>
      </c>
      <c r="Q39" s="198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  <v/>
      </c>
      <c r="R39" s="82">
        <f>IF(OR(Q38="",'实盘净值数据(iFinD公式)'!$A39="",'实盘净值数据(iFinD公式)'!$B39=""),"",(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)*(1-实盘持仓配置!$Z$9)^(('实盘净值数据(iFinD公式)'!$A39-'实盘净值数据(iFinD公式)'!$A38)/365)-1)</f>
        <v/>
      </c>
      <c r="S39" s="82">
        <f>IF(Q39="","",Q39/MAX(Q$5:Q39)-1)</f>
        <v/>
      </c>
    </row>
    <row r="40">
      <c r="A40" s="199">
        <f>IF('实盘净值数据(iFinD公式)'!A40="","",'实盘净值数据(iFinD公式)'!A40)</f>
        <v/>
      </c>
      <c r="B40" s="198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/>
      </c>
      <c r="C40" s="82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/>
      </c>
      <c r="D40" s="82">
        <f>IF(B40="","",B40/MAX(B$5:B40)-1)</f>
        <v/>
      </c>
      <c r="E40" s="198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/>
      </c>
      <c r="F40" s="82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/>
      </c>
      <c r="G40" s="82">
        <f>IF(E40="","",E40/MAX(E$5:E40)-1)</f>
        <v/>
      </c>
      <c r="H40" s="198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/>
      </c>
      <c r="I40" s="82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/>
      </c>
      <c r="J40" s="82">
        <f>IF(H40="","",H40/MAX(H$5:H40)-1)</f>
        <v/>
      </c>
      <c r="K40" s="198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  <v/>
      </c>
      <c r="L40" s="82">
        <f>IF(OR(K39="",'实盘净值数据(iFinD公式)'!$A40="",'实盘净值数据(iFinD公式)'!$B40=""),"",(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)*(1-实盘持仓配置!$Z$7)^(('实盘净值数据(iFinD公式)'!$A40-'实盘净值数据(iFinD公式)'!$A39)/365)-1)</f>
        <v/>
      </c>
      <c r="M40" s="82">
        <f>IF(K40="","",K40/MAX(K$5:K40)-1)</f>
        <v/>
      </c>
      <c r="N40" s="198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  <v/>
      </c>
      <c r="O40" s="82">
        <f>IF(OR(N39="",'实盘净值数据(iFinD公式)'!$A40="",'实盘净值数据(iFinD公式)'!$B40=""),"",(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)*(1-实盘持仓配置!$Z$8)^(('实盘净值数据(iFinD公式)'!$A40-'实盘净值数据(iFinD公式)'!$A39)/365)-1)</f>
        <v/>
      </c>
      <c r="P40" s="82">
        <f>IF(N40="","",N40/MAX(N$5:N40)-1)</f>
        <v/>
      </c>
      <c r="Q40" s="198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  <v/>
      </c>
      <c r="R40" s="82">
        <f>IF(OR(Q39="",'实盘净值数据(iFinD公式)'!$A40="",'实盘净值数据(iFinD公式)'!$B40=""),"",(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)*(1-实盘持仓配置!$Z$9)^(('实盘净值数据(iFinD公式)'!$A40-'实盘净值数据(iFinD公式)'!$A39)/365)-1)</f>
        <v/>
      </c>
      <c r="S40" s="82">
        <f>IF(Q40="","",Q40/MAX(Q$5:Q40)-1)</f>
        <v/>
      </c>
    </row>
    <row r="41">
      <c r="A41" s="199">
        <f>IF('实盘净值数据(iFinD公式)'!A41="","",'实盘净值数据(iFinD公式)'!A41)</f>
        <v/>
      </c>
      <c r="B41" s="198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/>
      </c>
      <c r="C41" s="82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/>
      </c>
      <c r="D41" s="82">
        <f>IF(B41="","",B41/MAX(B$5:B41)-1)</f>
        <v/>
      </c>
      <c r="E41" s="198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/>
      </c>
      <c r="F41" s="82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/>
      </c>
      <c r="G41" s="82">
        <f>IF(E41="","",E41/MAX(E$5:E41)-1)</f>
        <v/>
      </c>
      <c r="H41" s="198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/>
      </c>
      <c r="I41" s="82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/>
      </c>
      <c r="J41" s="82">
        <f>IF(H41="","",H41/MAX(H$5:H41)-1)</f>
        <v/>
      </c>
      <c r="K41" s="198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  <v/>
      </c>
      <c r="L41" s="82">
        <f>IF(OR(K40="",'实盘净值数据(iFinD公式)'!$A41="",'实盘净值数据(iFinD公式)'!$B41=""),"",(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)*(1-实盘持仓配置!$Z$7)^(('实盘净值数据(iFinD公式)'!$A41-'实盘净值数据(iFinD公式)'!$A40)/365)-1)</f>
        <v/>
      </c>
      <c r="M41" s="82">
        <f>IF(K41="","",K41/MAX(K$5:K41)-1)</f>
        <v/>
      </c>
      <c r="N41" s="198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  <v/>
      </c>
      <c r="O41" s="82">
        <f>IF(OR(N40="",'实盘净值数据(iFinD公式)'!$A41="",'实盘净值数据(iFinD公式)'!$B41=""),"",(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)*(1-实盘持仓配置!$Z$8)^(('实盘净值数据(iFinD公式)'!$A41-'实盘净值数据(iFinD公式)'!$A40)/365)-1)</f>
        <v/>
      </c>
      <c r="P41" s="82">
        <f>IF(N41="","",N41/MAX(N$5:N41)-1)</f>
        <v/>
      </c>
      <c r="Q41" s="198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  <v/>
      </c>
      <c r="R41" s="82">
        <f>IF(OR(Q40="",'实盘净值数据(iFinD公式)'!$A41="",'实盘净值数据(iFinD公式)'!$B41=""),"",(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)*(1-实盘持仓配置!$Z$9)^(('实盘净值数据(iFinD公式)'!$A41-'实盘净值数据(iFinD公式)'!$A40)/365)-1)</f>
        <v/>
      </c>
      <c r="S41" s="82">
        <f>IF(Q41="","",Q41/MAX(Q$5:Q41)-1)</f>
        <v/>
      </c>
    </row>
    <row r="42">
      <c r="A42" s="199">
        <f>IF('实盘净值数据(iFinD公式)'!A42="","",'实盘净值数据(iFinD公式)'!A42)</f>
        <v/>
      </c>
      <c r="B42" s="198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/>
      </c>
      <c r="C42" s="82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/>
      </c>
      <c r="D42" s="82">
        <f>IF(B42="","",B42/MAX(B$5:B42)-1)</f>
        <v/>
      </c>
      <c r="E42" s="198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/>
      </c>
      <c r="F42" s="82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/>
      </c>
      <c r="G42" s="82">
        <f>IF(E42="","",E42/MAX(E$5:E42)-1)</f>
        <v/>
      </c>
      <c r="H42" s="198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/>
      </c>
      <c r="I42" s="82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/>
      </c>
      <c r="J42" s="82">
        <f>IF(H42="","",H42/MAX(H$5:H42)-1)</f>
        <v/>
      </c>
      <c r="K42" s="198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  <v/>
      </c>
      <c r="L42" s="82">
        <f>IF(OR(K41="",'实盘净值数据(iFinD公式)'!$A42="",'实盘净值数据(iFinD公式)'!$B42=""),"",(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)*(1-实盘持仓配置!$Z$7)^(('实盘净值数据(iFinD公式)'!$A42-'实盘净值数据(iFinD公式)'!$A41)/365)-1)</f>
        <v/>
      </c>
      <c r="M42" s="82">
        <f>IF(K42="","",K42/MAX(K$5:K42)-1)</f>
        <v/>
      </c>
      <c r="N42" s="198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  <v/>
      </c>
      <c r="O42" s="82">
        <f>IF(OR(N41="",'实盘净值数据(iFinD公式)'!$A42="",'实盘净值数据(iFinD公式)'!$B42=""),"",(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)*(1-实盘持仓配置!$Z$8)^(('实盘净值数据(iFinD公式)'!$A42-'实盘净值数据(iFinD公式)'!$A41)/365)-1)</f>
        <v/>
      </c>
      <c r="P42" s="82">
        <f>IF(N42="","",N42/MAX(N$5:N42)-1)</f>
        <v/>
      </c>
      <c r="Q42" s="198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  <v/>
      </c>
      <c r="R42" s="82">
        <f>IF(OR(Q41="",'实盘净值数据(iFinD公式)'!$A42="",'实盘净值数据(iFinD公式)'!$B42=""),"",(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)*(1-实盘持仓配置!$Z$9)^(('实盘净值数据(iFinD公式)'!$A42-'实盘净值数据(iFinD公式)'!$A41)/365)-1)</f>
        <v/>
      </c>
      <c r="S42" s="82">
        <f>IF(Q42="","",Q42/MAX(Q$5:Q42)-1)</f>
        <v/>
      </c>
    </row>
    <row r="43">
      <c r="A43" s="199">
        <f>IF('实盘净值数据(iFinD公式)'!A43="","",'实盘净值数据(iFinD公式)'!A43)</f>
        <v/>
      </c>
      <c r="B43" s="198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82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82">
        <f>IF(B43="","",B43/MAX(B$5:B43)-1)</f>
        <v/>
      </c>
      <c r="E43" s="198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82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82">
        <f>IF(E43="","",E43/MAX(E$5:E43)-1)</f>
        <v/>
      </c>
      <c r="H43" s="198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82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82">
        <f>IF(H43="","",H43/MAX(H$5:H43)-1)</f>
        <v/>
      </c>
      <c r="K43" s="198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  <v/>
      </c>
      <c r="L43" s="82">
        <f>IF(OR(K42="",'实盘净值数据(iFinD公式)'!$A43="",'实盘净值数据(iFinD公式)'!$B43=""),"",(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)*(1-实盘持仓配置!$Z$7)^(('实盘净值数据(iFinD公式)'!$A43-'实盘净值数据(iFinD公式)'!$A42)/365)-1)</f>
        <v/>
      </c>
      <c r="M43" s="82">
        <f>IF(K43="","",K43/MAX(K$5:K43)-1)</f>
        <v/>
      </c>
      <c r="N43" s="198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  <v/>
      </c>
      <c r="O43" s="82">
        <f>IF(OR(N42="",'实盘净值数据(iFinD公式)'!$A43="",'实盘净值数据(iFinD公式)'!$B43=""),"",(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)*(1-实盘持仓配置!$Z$8)^(('实盘净值数据(iFinD公式)'!$A43-'实盘净值数据(iFinD公式)'!$A42)/365)-1)</f>
        <v/>
      </c>
      <c r="P43" s="82">
        <f>IF(N43="","",N43/MAX(N$5:N43)-1)</f>
        <v/>
      </c>
      <c r="Q43" s="198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  <v/>
      </c>
      <c r="R43" s="82">
        <f>IF(OR(Q42="",'实盘净值数据(iFinD公式)'!$A43="",'实盘净值数据(iFinD公式)'!$B43=""),"",(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)*(1-实盘持仓配置!$Z$9)^(('实盘净值数据(iFinD公式)'!$A43-'实盘净值数据(iFinD公式)'!$A42)/365)-1)</f>
        <v/>
      </c>
      <c r="S43" s="82">
        <f>IF(Q43="","",Q43/MAX(Q$5:Q43)-1)</f>
        <v/>
      </c>
    </row>
    <row r="44">
      <c r="A44" s="199">
        <f>IF('实盘净值数据(iFinD公式)'!A44="","",'实盘净值数据(iFinD公式)'!A44)</f>
        <v/>
      </c>
      <c r="B44" s="198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82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82">
        <f>IF(B44="","",B44/MAX(B$5:B44)-1)</f>
        <v/>
      </c>
      <c r="E44" s="198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82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82">
        <f>IF(E44="","",E44/MAX(E$5:E44)-1)</f>
        <v/>
      </c>
      <c r="H44" s="198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82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82">
        <f>IF(H44="","",H44/MAX(H$5:H44)-1)</f>
        <v/>
      </c>
      <c r="K44" s="198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  <v/>
      </c>
      <c r="L44" s="82">
        <f>IF(OR(K43="",'实盘净值数据(iFinD公式)'!$A44="",'实盘净值数据(iFinD公式)'!$B44=""),"",(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)*(1-实盘持仓配置!$Z$7)^(('实盘净值数据(iFinD公式)'!$A44-'实盘净值数据(iFinD公式)'!$A43)/365)-1)</f>
        <v/>
      </c>
      <c r="M44" s="82">
        <f>IF(K44="","",K44/MAX(K$5:K44)-1)</f>
        <v/>
      </c>
      <c r="N44" s="198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  <v/>
      </c>
      <c r="O44" s="82">
        <f>IF(OR(N43="",'实盘净值数据(iFinD公式)'!$A44="",'实盘净值数据(iFinD公式)'!$B44=""),"",(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)*(1-实盘持仓配置!$Z$8)^(('实盘净值数据(iFinD公式)'!$A44-'实盘净值数据(iFinD公式)'!$A43)/365)-1)</f>
        <v/>
      </c>
      <c r="P44" s="82">
        <f>IF(N44="","",N44/MAX(N$5:N44)-1)</f>
        <v/>
      </c>
      <c r="Q44" s="198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  <v/>
      </c>
      <c r="R44" s="82">
        <f>IF(OR(Q43="",'实盘净值数据(iFinD公式)'!$A44="",'实盘净值数据(iFinD公式)'!$B44=""),"",(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)*(1-实盘持仓配置!$Z$9)^(('实盘净值数据(iFinD公式)'!$A44-'实盘净值数据(iFinD公式)'!$A43)/365)-1)</f>
        <v/>
      </c>
      <c r="S44" s="82">
        <f>IF(Q44="","",Q44/MAX(Q$5:Q44)-1)</f>
        <v/>
      </c>
    </row>
    <row r="45">
      <c r="A45" s="199">
        <f>IF('实盘净值数据(iFinD公式)'!A45="","",'实盘净值数据(iFinD公式)'!A45)</f>
        <v/>
      </c>
      <c r="B45" s="198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82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82">
        <f>IF(B45="","",B45/MAX(B$5:B45)-1)</f>
        <v/>
      </c>
      <c r="E45" s="198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82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82">
        <f>IF(E45="","",E45/MAX(E$5:E45)-1)</f>
        <v/>
      </c>
      <c r="H45" s="198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82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82">
        <f>IF(H45="","",H45/MAX(H$5:H45)-1)</f>
        <v/>
      </c>
      <c r="K45" s="198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  <v/>
      </c>
      <c r="L45" s="82">
        <f>IF(OR(K44="",'实盘净值数据(iFinD公式)'!$A45="",'实盘净值数据(iFinD公式)'!$B45=""),"",(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)*(1-实盘持仓配置!$Z$7)^(('实盘净值数据(iFinD公式)'!$A45-'实盘净值数据(iFinD公式)'!$A44)/365)-1)</f>
        <v/>
      </c>
      <c r="M45" s="82">
        <f>IF(K45="","",K45/MAX(K$5:K45)-1)</f>
        <v/>
      </c>
      <c r="N45" s="198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  <v/>
      </c>
      <c r="O45" s="82">
        <f>IF(OR(N44="",'实盘净值数据(iFinD公式)'!$A45="",'实盘净值数据(iFinD公式)'!$B45=""),"",(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)*(1-实盘持仓配置!$Z$8)^(('实盘净值数据(iFinD公式)'!$A45-'实盘净值数据(iFinD公式)'!$A44)/365)-1)</f>
        <v/>
      </c>
      <c r="P45" s="82">
        <f>IF(N45="","",N45/MAX(N$5:N45)-1)</f>
        <v/>
      </c>
      <c r="Q45" s="198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  <v/>
      </c>
      <c r="R45" s="82">
        <f>IF(OR(Q44="",'实盘净值数据(iFinD公式)'!$A45="",'实盘净值数据(iFinD公式)'!$B45=""),"",(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)*(1-实盘持仓配置!$Z$9)^(('实盘净值数据(iFinD公式)'!$A45-'实盘净值数据(iFinD公式)'!$A44)/365)-1)</f>
        <v/>
      </c>
      <c r="S45" s="82">
        <f>IF(Q45="","",Q45/MAX(Q$5:Q45)-1)</f>
        <v/>
      </c>
    </row>
    <row r="46">
      <c r="A46" s="199">
        <f>IF('实盘净值数据(iFinD公式)'!A46="","",'实盘净值数据(iFinD公式)'!A46)</f>
        <v/>
      </c>
      <c r="B46" s="198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82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82">
        <f>IF(B46="","",B46/MAX(B$5:B46)-1)</f>
        <v/>
      </c>
      <c r="E46" s="198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82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82">
        <f>IF(E46="","",E46/MAX(E$5:E46)-1)</f>
        <v/>
      </c>
      <c r="H46" s="198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82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82">
        <f>IF(H46="","",H46/MAX(H$5:H46)-1)</f>
        <v/>
      </c>
      <c r="K46" s="198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  <v/>
      </c>
      <c r="L46" s="82">
        <f>IF(OR(K45="",'实盘净值数据(iFinD公式)'!$A46="",'实盘净值数据(iFinD公式)'!$B46=""),"",(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)*(1-实盘持仓配置!$Z$7)^(('实盘净值数据(iFinD公式)'!$A46-'实盘净值数据(iFinD公式)'!$A45)/365)-1)</f>
        <v/>
      </c>
      <c r="M46" s="82">
        <f>IF(K46="","",K46/MAX(K$5:K46)-1)</f>
        <v/>
      </c>
      <c r="N46" s="198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  <v/>
      </c>
      <c r="O46" s="82">
        <f>IF(OR(N45="",'实盘净值数据(iFinD公式)'!$A46="",'实盘净值数据(iFinD公式)'!$B46=""),"",(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)*(1-实盘持仓配置!$Z$8)^(('实盘净值数据(iFinD公式)'!$A46-'实盘净值数据(iFinD公式)'!$A45)/365)-1)</f>
        <v/>
      </c>
      <c r="P46" s="82">
        <f>IF(N46="","",N46/MAX(N$5:N46)-1)</f>
        <v/>
      </c>
      <c r="Q46" s="198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  <v/>
      </c>
      <c r="R46" s="82">
        <f>IF(OR(Q45="",'实盘净值数据(iFinD公式)'!$A46="",'实盘净值数据(iFinD公式)'!$B46=""),"",(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)*(1-实盘持仓配置!$Z$9)^(('实盘净值数据(iFinD公式)'!$A46-'实盘净值数据(iFinD公式)'!$A45)/365)-1)</f>
        <v/>
      </c>
      <c r="S46" s="82">
        <f>IF(Q46="","",Q46/MAX(Q$5:Q46)-1)</f>
        <v/>
      </c>
    </row>
    <row r="47">
      <c r="A47" s="199">
        <f>IF('实盘净值数据(iFinD公式)'!A47="","",'实盘净值数据(iFinD公式)'!A47)</f>
        <v/>
      </c>
      <c r="B47" s="198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82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82">
        <f>IF(B47="","",B47/MAX(B$5:B47)-1)</f>
        <v/>
      </c>
      <c r="E47" s="198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82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82">
        <f>IF(E47="","",E47/MAX(E$5:E47)-1)</f>
        <v/>
      </c>
      <c r="H47" s="198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82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82">
        <f>IF(H47="","",H47/MAX(H$5:H47)-1)</f>
        <v/>
      </c>
      <c r="K47" s="198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  <v/>
      </c>
      <c r="L47" s="82">
        <f>IF(OR(K46="",'实盘净值数据(iFinD公式)'!$A47="",'实盘净值数据(iFinD公式)'!$B47=""),"",(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)*(1-实盘持仓配置!$Z$7)^(('实盘净值数据(iFinD公式)'!$A47-'实盘净值数据(iFinD公式)'!$A46)/365)-1)</f>
        <v/>
      </c>
      <c r="M47" s="82">
        <f>IF(K47="","",K47/MAX(K$5:K47)-1)</f>
        <v/>
      </c>
      <c r="N47" s="198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  <v/>
      </c>
      <c r="O47" s="82">
        <f>IF(OR(N46="",'实盘净值数据(iFinD公式)'!$A47="",'实盘净值数据(iFinD公式)'!$B47=""),"",(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)*(1-实盘持仓配置!$Z$8)^(('实盘净值数据(iFinD公式)'!$A47-'实盘净值数据(iFinD公式)'!$A46)/365)-1)</f>
        <v/>
      </c>
      <c r="P47" s="82">
        <f>IF(N47="","",N47/MAX(N$5:N47)-1)</f>
        <v/>
      </c>
      <c r="Q47" s="198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  <v/>
      </c>
      <c r="R47" s="82">
        <f>IF(OR(Q46="",'实盘净值数据(iFinD公式)'!$A47="",'实盘净值数据(iFinD公式)'!$B47=""),"",(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)*(1-实盘持仓配置!$Z$9)^(('实盘净值数据(iFinD公式)'!$A47-'实盘净值数据(iFinD公式)'!$A46)/365)-1)</f>
        <v/>
      </c>
      <c r="S47" s="82">
        <f>IF(Q47="","",Q47/MAX(Q$5:Q47)-1)</f>
        <v/>
      </c>
    </row>
    <row r="48">
      <c r="A48" s="199">
        <f>IF('实盘净值数据(iFinD公式)'!A48="","",'实盘净值数据(iFinD公式)'!A48)</f>
        <v/>
      </c>
      <c r="B48" s="198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82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82">
        <f>IF(B48="","",B48/MAX(B$5:B48)-1)</f>
        <v/>
      </c>
      <c r="E48" s="198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82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82">
        <f>IF(E48="","",E48/MAX(E$5:E48)-1)</f>
        <v/>
      </c>
      <c r="H48" s="198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82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82">
        <f>IF(H48="","",H48/MAX(H$5:H48)-1)</f>
        <v/>
      </c>
      <c r="K48" s="198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  <v/>
      </c>
      <c r="L48" s="82">
        <f>IF(OR(K47="",'实盘净值数据(iFinD公式)'!$A48="",'实盘净值数据(iFinD公式)'!$B48=""),"",(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)*(1-实盘持仓配置!$Z$7)^(('实盘净值数据(iFinD公式)'!$A48-'实盘净值数据(iFinD公式)'!$A47)/365)-1)</f>
        <v/>
      </c>
      <c r="M48" s="82">
        <f>IF(K48="","",K48/MAX(K$5:K48)-1)</f>
        <v/>
      </c>
      <c r="N48" s="198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  <v/>
      </c>
      <c r="O48" s="82">
        <f>IF(OR(N47="",'实盘净值数据(iFinD公式)'!$A48="",'实盘净值数据(iFinD公式)'!$B48=""),"",(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)*(1-实盘持仓配置!$Z$8)^(('实盘净值数据(iFinD公式)'!$A48-'实盘净值数据(iFinD公式)'!$A47)/365)-1)</f>
        <v/>
      </c>
      <c r="P48" s="82">
        <f>IF(N48="","",N48/MAX(N$5:N48)-1)</f>
        <v/>
      </c>
      <c r="Q48" s="198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  <v/>
      </c>
      <c r="R48" s="82">
        <f>IF(OR(Q47="",'实盘净值数据(iFinD公式)'!$A48="",'实盘净值数据(iFinD公式)'!$B48=""),"",(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)*(1-实盘持仓配置!$Z$9)^(('实盘净值数据(iFinD公式)'!$A48-'实盘净值数据(iFinD公式)'!$A47)/365)-1)</f>
        <v/>
      </c>
      <c r="S48" s="82">
        <f>IF(Q48="","",Q48/MAX(Q$5:Q48)-1)</f>
        <v/>
      </c>
    </row>
    <row r="49">
      <c r="A49" s="199">
        <f>IF('实盘净值数据(iFinD公式)'!A49="","",'实盘净值数据(iFinD公式)'!A49)</f>
        <v/>
      </c>
      <c r="B49" s="198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82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82">
        <f>IF(B49="","",B49/MAX(B$5:B49)-1)</f>
        <v/>
      </c>
      <c r="E49" s="198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82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82">
        <f>IF(E49="","",E49/MAX(E$5:E49)-1)</f>
        <v/>
      </c>
      <c r="H49" s="198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82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82">
        <f>IF(H49="","",H49/MAX(H$5:H49)-1)</f>
        <v/>
      </c>
      <c r="K49" s="198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  <v/>
      </c>
      <c r="L49" s="82">
        <f>IF(OR(K48="",'实盘净值数据(iFinD公式)'!$A49="",'实盘净值数据(iFinD公式)'!$B49=""),"",(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)*(1-实盘持仓配置!$Z$7)^(('实盘净值数据(iFinD公式)'!$A49-'实盘净值数据(iFinD公式)'!$A48)/365)-1)</f>
        <v/>
      </c>
      <c r="M49" s="82">
        <f>IF(K49="","",K49/MAX(K$5:K49)-1)</f>
        <v/>
      </c>
      <c r="N49" s="198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  <v/>
      </c>
      <c r="O49" s="82">
        <f>IF(OR(N48="",'实盘净值数据(iFinD公式)'!$A49="",'实盘净值数据(iFinD公式)'!$B49=""),"",(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)*(1-实盘持仓配置!$Z$8)^(('实盘净值数据(iFinD公式)'!$A49-'实盘净值数据(iFinD公式)'!$A48)/365)-1)</f>
        <v/>
      </c>
      <c r="P49" s="82">
        <f>IF(N49="","",N49/MAX(N$5:N49)-1)</f>
        <v/>
      </c>
      <c r="Q49" s="198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  <v/>
      </c>
      <c r="R49" s="82">
        <f>IF(OR(Q48="",'实盘净值数据(iFinD公式)'!$A49="",'实盘净值数据(iFinD公式)'!$B49=""),"",(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)*(1-实盘持仓配置!$Z$9)^(('实盘净值数据(iFinD公式)'!$A49-'实盘净值数据(iFinD公式)'!$A48)/365)-1)</f>
        <v/>
      </c>
      <c r="S49" s="82">
        <f>IF(Q49="","",Q49/MAX(Q$5:Q49)-1)</f>
        <v/>
      </c>
    </row>
    <row r="50">
      <c r="A50" s="199">
        <f>IF('实盘净值数据(iFinD公式)'!A50="","",'实盘净值数据(iFinD公式)'!A50)</f>
        <v/>
      </c>
      <c r="B50" s="198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82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82">
        <f>IF(B50="","",B50/MAX(B$5:B50)-1)</f>
        <v/>
      </c>
      <c r="E50" s="198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82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82">
        <f>IF(E50="","",E50/MAX(E$5:E50)-1)</f>
        <v/>
      </c>
      <c r="H50" s="198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82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82">
        <f>IF(H50="","",H50/MAX(H$5:H50)-1)</f>
        <v/>
      </c>
      <c r="K50" s="198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  <v/>
      </c>
      <c r="L50" s="82">
        <f>IF(OR(K49="",'实盘净值数据(iFinD公式)'!$A50="",'实盘净值数据(iFinD公式)'!$B50=""),"",(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)*(1-实盘持仓配置!$Z$7)^(('实盘净值数据(iFinD公式)'!$A50-'实盘净值数据(iFinD公式)'!$A49)/365)-1)</f>
        <v/>
      </c>
      <c r="M50" s="82">
        <f>IF(K50="","",K50/MAX(K$5:K50)-1)</f>
        <v/>
      </c>
      <c r="N50" s="198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  <v/>
      </c>
      <c r="O50" s="82">
        <f>IF(OR(N49="",'实盘净值数据(iFinD公式)'!$A50="",'实盘净值数据(iFinD公式)'!$B50=""),"",(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)*(1-实盘持仓配置!$Z$8)^(('实盘净值数据(iFinD公式)'!$A50-'实盘净值数据(iFinD公式)'!$A49)/365)-1)</f>
        <v/>
      </c>
      <c r="P50" s="82">
        <f>IF(N50="","",N50/MAX(N$5:N50)-1)</f>
        <v/>
      </c>
      <c r="Q50" s="198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  <v/>
      </c>
      <c r="R50" s="82">
        <f>IF(OR(Q49="",'实盘净值数据(iFinD公式)'!$A50="",'实盘净值数据(iFinD公式)'!$B50=""),"",(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)*(1-实盘持仓配置!$Z$9)^(('实盘净值数据(iFinD公式)'!$A50-'实盘净值数据(iFinD公式)'!$A49)/365)-1)</f>
        <v/>
      </c>
      <c r="S50" s="82">
        <f>IF(Q50="","",Q50/MAX(Q$5:Q50)-1)</f>
        <v/>
      </c>
    </row>
    <row r="51">
      <c r="A51" s="199">
        <f>IF('实盘净值数据(iFinD公式)'!A51="","",'实盘净值数据(iFinD公式)'!A51)</f>
        <v/>
      </c>
      <c r="B51" s="198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82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82">
        <f>IF(B51="","",B51/MAX(B$5:B51)-1)</f>
        <v/>
      </c>
      <c r="E51" s="198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82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82">
        <f>IF(E51="","",E51/MAX(E$5:E51)-1)</f>
        <v/>
      </c>
      <c r="H51" s="198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82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82">
        <f>IF(H51="","",H51/MAX(H$5:H51)-1)</f>
        <v/>
      </c>
      <c r="K51" s="198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  <v/>
      </c>
      <c r="L51" s="82">
        <f>IF(OR(K50="",'实盘净值数据(iFinD公式)'!$A51="",'实盘净值数据(iFinD公式)'!$B51=""),"",(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)*(1-实盘持仓配置!$Z$7)^(('实盘净值数据(iFinD公式)'!$A51-'实盘净值数据(iFinD公式)'!$A50)/365)-1)</f>
        <v/>
      </c>
      <c r="M51" s="82">
        <f>IF(K51="","",K51/MAX(K$5:K51)-1)</f>
        <v/>
      </c>
      <c r="N51" s="198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  <v/>
      </c>
      <c r="O51" s="82">
        <f>IF(OR(N50="",'实盘净值数据(iFinD公式)'!$A51="",'实盘净值数据(iFinD公式)'!$B51=""),"",(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)*(1-实盘持仓配置!$Z$8)^(('实盘净值数据(iFinD公式)'!$A51-'实盘净值数据(iFinD公式)'!$A50)/365)-1)</f>
        <v/>
      </c>
      <c r="P51" s="82">
        <f>IF(N51="","",N51/MAX(N$5:N51)-1)</f>
        <v/>
      </c>
      <c r="Q51" s="198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  <v/>
      </c>
      <c r="R51" s="82">
        <f>IF(OR(Q50="",'实盘净值数据(iFinD公式)'!$A51="",'实盘净值数据(iFinD公式)'!$B51=""),"",(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)*(1-实盘持仓配置!$Z$9)^(('实盘净值数据(iFinD公式)'!$A51-'实盘净值数据(iFinD公式)'!$A50)/365)-1)</f>
        <v/>
      </c>
      <c r="S51" s="82">
        <f>IF(Q51="","",Q51/MAX(Q$5:Q51)-1)</f>
        <v/>
      </c>
    </row>
    <row r="52">
      <c r="A52" s="199">
        <f>IF('实盘净值数据(iFinD公式)'!A52="","",'实盘净值数据(iFinD公式)'!A52)</f>
        <v/>
      </c>
      <c r="B52" s="198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82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82">
        <f>IF(B52="","",B52/MAX(B$5:B52)-1)</f>
        <v/>
      </c>
      <c r="E52" s="198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82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82">
        <f>IF(E52="","",E52/MAX(E$5:E52)-1)</f>
        <v/>
      </c>
      <c r="H52" s="198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82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82">
        <f>IF(H52="","",H52/MAX(H$5:H52)-1)</f>
        <v/>
      </c>
      <c r="K52" s="198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  <v/>
      </c>
      <c r="L52" s="82">
        <f>IF(OR(K51="",'实盘净值数据(iFinD公式)'!$A52="",'实盘净值数据(iFinD公式)'!$B52=""),"",(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)*(1-实盘持仓配置!$Z$7)^(('实盘净值数据(iFinD公式)'!$A52-'实盘净值数据(iFinD公式)'!$A51)/365)-1)</f>
        <v/>
      </c>
      <c r="M52" s="82">
        <f>IF(K52="","",K52/MAX(K$5:K52)-1)</f>
        <v/>
      </c>
      <c r="N52" s="198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  <v/>
      </c>
      <c r="O52" s="82">
        <f>IF(OR(N51="",'实盘净值数据(iFinD公式)'!$A52="",'实盘净值数据(iFinD公式)'!$B52=""),"",(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)*(1-实盘持仓配置!$Z$8)^(('实盘净值数据(iFinD公式)'!$A52-'实盘净值数据(iFinD公式)'!$A51)/365)-1)</f>
        <v/>
      </c>
      <c r="P52" s="82">
        <f>IF(N52="","",N52/MAX(N$5:N52)-1)</f>
        <v/>
      </c>
      <c r="Q52" s="198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  <v/>
      </c>
      <c r="R52" s="82">
        <f>IF(OR(Q51="",'实盘净值数据(iFinD公式)'!$A52="",'实盘净值数据(iFinD公式)'!$B52=""),"",(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)*(1-实盘持仓配置!$Z$9)^(('实盘净值数据(iFinD公式)'!$A52-'实盘净值数据(iFinD公式)'!$A51)/365)-1)</f>
        <v/>
      </c>
      <c r="S52" s="82">
        <f>IF(Q52="","",Q52/MAX(Q$5:Q52)-1)</f>
        <v/>
      </c>
    </row>
    <row r="53">
      <c r="A53" s="199">
        <f>IF('实盘净值数据(iFinD公式)'!A53="","",'实盘净值数据(iFinD公式)'!A53)</f>
        <v/>
      </c>
      <c r="B53" s="198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82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82">
        <f>IF(B53="","",B53/MAX(B$5:B53)-1)</f>
        <v/>
      </c>
      <c r="E53" s="198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82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82">
        <f>IF(E53="","",E53/MAX(E$5:E53)-1)</f>
        <v/>
      </c>
      <c r="H53" s="198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82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82">
        <f>IF(H53="","",H53/MAX(H$5:H53)-1)</f>
        <v/>
      </c>
      <c r="K53" s="198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  <v/>
      </c>
      <c r="L53" s="82">
        <f>IF(OR(K52="",'实盘净值数据(iFinD公式)'!$A53="",'实盘净值数据(iFinD公式)'!$B53=""),"",(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)*(1-实盘持仓配置!$Z$7)^(('实盘净值数据(iFinD公式)'!$A53-'实盘净值数据(iFinD公式)'!$A52)/365)-1)</f>
        <v/>
      </c>
      <c r="M53" s="82">
        <f>IF(K53="","",K53/MAX(K$5:K53)-1)</f>
        <v/>
      </c>
      <c r="N53" s="198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  <v/>
      </c>
      <c r="O53" s="82">
        <f>IF(OR(N52="",'实盘净值数据(iFinD公式)'!$A53="",'实盘净值数据(iFinD公式)'!$B53=""),"",(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)*(1-实盘持仓配置!$Z$8)^(('实盘净值数据(iFinD公式)'!$A53-'实盘净值数据(iFinD公式)'!$A52)/365)-1)</f>
        <v/>
      </c>
      <c r="P53" s="82">
        <f>IF(N53="","",N53/MAX(N$5:N53)-1)</f>
        <v/>
      </c>
      <c r="Q53" s="198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  <v/>
      </c>
      <c r="R53" s="82">
        <f>IF(OR(Q52="",'实盘净值数据(iFinD公式)'!$A53="",'实盘净值数据(iFinD公式)'!$B53=""),"",(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)*(1-实盘持仓配置!$Z$9)^(('实盘净值数据(iFinD公式)'!$A53-'实盘净值数据(iFinD公式)'!$A52)/365)-1)</f>
        <v/>
      </c>
      <c r="S53" s="82">
        <f>IF(Q53="","",Q53/MAX(Q$5:Q53)-1)</f>
        <v/>
      </c>
    </row>
    <row r="54">
      <c r="A54" s="199">
        <f>IF('实盘净值数据(iFinD公式)'!A54="","",'实盘净值数据(iFinD公式)'!A54)</f>
        <v/>
      </c>
      <c r="B54" s="198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82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82">
        <f>IF(B54="","",B54/MAX(B$5:B54)-1)</f>
        <v/>
      </c>
      <c r="E54" s="198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82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82">
        <f>IF(E54="","",E54/MAX(E$5:E54)-1)</f>
        <v/>
      </c>
      <c r="H54" s="198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82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82">
        <f>IF(H54="","",H54/MAX(H$5:H54)-1)</f>
        <v/>
      </c>
      <c r="K54" s="198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  <v/>
      </c>
      <c r="L54" s="82">
        <f>IF(OR(K53="",'实盘净值数据(iFinD公式)'!$A54="",'实盘净值数据(iFinD公式)'!$B54=""),"",(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)*(1-实盘持仓配置!$Z$7)^(('实盘净值数据(iFinD公式)'!$A54-'实盘净值数据(iFinD公式)'!$A53)/365)-1)</f>
        <v/>
      </c>
      <c r="M54" s="82">
        <f>IF(K54="","",K54/MAX(K$5:K54)-1)</f>
        <v/>
      </c>
      <c r="N54" s="198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  <v/>
      </c>
      <c r="O54" s="82">
        <f>IF(OR(N53="",'实盘净值数据(iFinD公式)'!$A54="",'实盘净值数据(iFinD公式)'!$B54=""),"",(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)*(1-实盘持仓配置!$Z$8)^(('实盘净值数据(iFinD公式)'!$A54-'实盘净值数据(iFinD公式)'!$A53)/365)-1)</f>
        <v/>
      </c>
      <c r="P54" s="82">
        <f>IF(N54="","",N54/MAX(N$5:N54)-1)</f>
        <v/>
      </c>
      <c r="Q54" s="198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  <v/>
      </c>
      <c r="R54" s="82">
        <f>IF(OR(Q53="",'实盘净值数据(iFinD公式)'!$A54="",'实盘净值数据(iFinD公式)'!$B54=""),"",(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)*(1-实盘持仓配置!$Z$9)^(('实盘净值数据(iFinD公式)'!$A54-'实盘净值数据(iFinD公式)'!$A53)/365)-1)</f>
        <v/>
      </c>
      <c r="S54" s="82">
        <f>IF(Q54="","",Q54/MAX(Q$5:Q54)-1)</f>
        <v/>
      </c>
    </row>
    <row r="55">
      <c r="A55" s="199">
        <f>IF('实盘净值数据(iFinD公式)'!A55="","",'实盘净值数据(iFinD公式)'!A55)</f>
        <v/>
      </c>
      <c r="B55" s="198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82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82">
        <f>IF(B55="","",B55/MAX(B$5:B55)-1)</f>
        <v/>
      </c>
      <c r="E55" s="198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82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82">
        <f>IF(E55="","",E55/MAX(E$5:E55)-1)</f>
        <v/>
      </c>
      <c r="H55" s="198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82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82">
        <f>IF(H55="","",H55/MAX(H$5:H55)-1)</f>
        <v/>
      </c>
      <c r="K55" s="198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  <v/>
      </c>
      <c r="L55" s="82">
        <f>IF(OR(K54="",'实盘净值数据(iFinD公式)'!$A55="",'实盘净值数据(iFinD公式)'!$B55=""),"",(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)*(1-实盘持仓配置!$Z$7)^(('实盘净值数据(iFinD公式)'!$A55-'实盘净值数据(iFinD公式)'!$A54)/365)-1)</f>
        <v/>
      </c>
      <c r="M55" s="82">
        <f>IF(K55="","",K55/MAX(K$5:K55)-1)</f>
        <v/>
      </c>
      <c r="N55" s="198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  <v/>
      </c>
      <c r="O55" s="82">
        <f>IF(OR(N54="",'实盘净值数据(iFinD公式)'!$A55="",'实盘净值数据(iFinD公式)'!$B55=""),"",(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)*(1-实盘持仓配置!$Z$8)^(('实盘净值数据(iFinD公式)'!$A55-'实盘净值数据(iFinD公式)'!$A54)/365)-1)</f>
        <v/>
      </c>
      <c r="P55" s="82">
        <f>IF(N55="","",N55/MAX(N$5:N55)-1)</f>
        <v/>
      </c>
      <c r="Q55" s="198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  <v/>
      </c>
      <c r="R55" s="82">
        <f>IF(OR(Q54="",'实盘净值数据(iFinD公式)'!$A55="",'实盘净值数据(iFinD公式)'!$B55=""),"",(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)*(1-实盘持仓配置!$Z$9)^(('实盘净值数据(iFinD公式)'!$A55-'实盘净值数据(iFinD公式)'!$A54)/365)-1)</f>
        <v/>
      </c>
      <c r="S55" s="82">
        <f>IF(Q55="","",Q55/MAX(Q$5:Q55)-1)</f>
        <v/>
      </c>
    </row>
    <row r="56">
      <c r="A56" s="199">
        <f>IF('实盘净值数据(iFinD公式)'!A56="","",'实盘净值数据(iFinD公式)'!A56)</f>
        <v/>
      </c>
      <c r="B56" s="198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82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82">
        <f>IF(B56="","",B56/MAX(B$5:B56)-1)</f>
        <v/>
      </c>
      <c r="E56" s="198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82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82">
        <f>IF(E56="","",E56/MAX(E$5:E56)-1)</f>
        <v/>
      </c>
      <c r="H56" s="198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82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82">
        <f>IF(H56="","",H56/MAX(H$5:H56)-1)</f>
        <v/>
      </c>
      <c r="K56" s="198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  <v/>
      </c>
      <c r="L56" s="82">
        <f>IF(OR(K55="",'实盘净值数据(iFinD公式)'!$A56="",'实盘净值数据(iFinD公式)'!$B56=""),"",(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)*(1-实盘持仓配置!$Z$7)^(('实盘净值数据(iFinD公式)'!$A56-'实盘净值数据(iFinD公式)'!$A55)/365)-1)</f>
        <v/>
      </c>
      <c r="M56" s="82">
        <f>IF(K56="","",K56/MAX(K$5:K56)-1)</f>
        <v/>
      </c>
      <c r="N56" s="198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  <v/>
      </c>
      <c r="O56" s="82">
        <f>IF(OR(N55="",'实盘净值数据(iFinD公式)'!$A56="",'实盘净值数据(iFinD公式)'!$B56=""),"",(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)*(1-实盘持仓配置!$Z$8)^(('实盘净值数据(iFinD公式)'!$A56-'实盘净值数据(iFinD公式)'!$A55)/365)-1)</f>
        <v/>
      </c>
      <c r="P56" s="82">
        <f>IF(N56="","",N56/MAX(N$5:N56)-1)</f>
        <v/>
      </c>
      <c r="Q56" s="198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  <v/>
      </c>
      <c r="R56" s="82">
        <f>IF(OR(Q55="",'实盘净值数据(iFinD公式)'!$A56="",'实盘净值数据(iFinD公式)'!$B56=""),"",(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)*(1-实盘持仓配置!$Z$9)^(('实盘净值数据(iFinD公式)'!$A56-'实盘净值数据(iFinD公式)'!$A55)/365)-1)</f>
        <v/>
      </c>
      <c r="S56" s="82">
        <f>IF(Q56="","",Q56/MAX(Q$5:Q56)-1)</f>
        <v/>
      </c>
    </row>
    <row r="57">
      <c r="A57" s="199">
        <f>IF('实盘净值数据(iFinD公式)'!A57="","",'实盘净值数据(iFinD公式)'!A57)</f>
        <v/>
      </c>
      <c r="B57" s="198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82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82">
        <f>IF(B57="","",B57/MAX(B$5:B57)-1)</f>
        <v/>
      </c>
      <c r="E57" s="198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82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82">
        <f>IF(E57="","",E57/MAX(E$5:E57)-1)</f>
        <v/>
      </c>
      <c r="H57" s="198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82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82">
        <f>IF(H57="","",H57/MAX(H$5:H57)-1)</f>
        <v/>
      </c>
      <c r="K57" s="198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  <v/>
      </c>
      <c r="L57" s="82">
        <f>IF(OR(K56="",'实盘净值数据(iFinD公式)'!$A57="",'实盘净值数据(iFinD公式)'!$B57=""),"",(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)*(1-实盘持仓配置!$Z$7)^(('实盘净值数据(iFinD公式)'!$A57-'实盘净值数据(iFinD公式)'!$A56)/365)-1)</f>
        <v/>
      </c>
      <c r="M57" s="82">
        <f>IF(K57="","",K57/MAX(K$5:K57)-1)</f>
        <v/>
      </c>
      <c r="N57" s="198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  <v/>
      </c>
      <c r="O57" s="82">
        <f>IF(OR(N56="",'实盘净值数据(iFinD公式)'!$A57="",'实盘净值数据(iFinD公式)'!$B57=""),"",(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)*(1-实盘持仓配置!$Z$8)^(('实盘净值数据(iFinD公式)'!$A57-'实盘净值数据(iFinD公式)'!$A56)/365)-1)</f>
        <v/>
      </c>
      <c r="P57" s="82">
        <f>IF(N57="","",N57/MAX(N$5:N57)-1)</f>
        <v/>
      </c>
      <c r="Q57" s="198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  <v/>
      </c>
      <c r="R57" s="82">
        <f>IF(OR(Q56="",'实盘净值数据(iFinD公式)'!$A57="",'实盘净值数据(iFinD公式)'!$B57=""),"",(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)*(1-实盘持仓配置!$Z$9)^(('实盘净值数据(iFinD公式)'!$A57-'实盘净值数据(iFinD公式)'!$A56)/365)-1)</f>
        <v/>
      </c>
      <c r="S57" s="82">
        <f>IF(Q57="","",Q57/MAX(Q$5:Q57)-1)</f>
        <v/>
      </c>
    </row>
    <row r="58">
      <c r="A58" s="199">
        <f>IF('实盘净值数据(iFinD公式)'!A58="","",'实盘净值数据(iFinD公式)'!A58)</f>
        <v/>
      </c>
      <c r="B58" s="198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82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82">
        <f>IF(B58="","",B58/MAX(B$5:B58)-1)</f>
        <v/>
      </c>
      <c r="E58" s="198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82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82">
        <f>IF(E58="","",E58/MAX(E$5:E58)-1)</f>
        <v/>
      </c>
      <c r="H58" s="198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82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82">
        <f>IF(H58="","",H58/MAX(H$5:H58)-1)</f>
        <v/>
      </c>
      <c r="K58" s="198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  <v/>
      </c>
      <c r="L58" s="82">
        <f>IF(OR(K57="",'实盘净值数据(iFinD公式)'!$A58="",'实盘净值数据(iFinD公式)'!$B58=""),"",(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)*(1-实盘持仓配置!$Z$7)^(('实盘净值数据(iFinD公式)'!$A58-'实盘净值数据(iFinD公式)'!$A57)/365)-1)</f>
        <v/>
      </c>
      <c r="M58" s="82">
        <f>IF(K58="","",K58/MAX(K$5:K58)-1)</f>
        <v/>
      </c>
      <c r="N58" s="198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  <v/>
      </c>
      <c r="O58" s="82">
        <f>IF(OR(N57="",'实盘净值数据(iFinD公式)'!$A58="",'实盘净值数据(iFinD公式)'!$B58=""),"",(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)*(1-实盘持仓配置!$Z$8)^(('实盘净值数据(iFinD公式)'!$A58-'实盘净值数据(iFinD公式)'!$A57)/365)-1)</f>
        <v/>
      </c>
      <c r="P58" s="82">
        <f>IF(N58="","",N58/MAX(N$5:N58)-1)</f>
        <v/>
      </c>
      <c r="Q58" s="198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  <v/>
      </c>
      <c r="R58" s="82">
        <f>IF(OR(Q57="",'实盘净值数据(iFinD公式)'!$A58="",'实盘净值数据(iFinD公式)'!$B58=""),"",(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)*(1-实盘持仓配置!$Z$9)^(('实盘净值数据(iFinD公式)'!$A58-'实盘净值数据(iFinD公式)'!$A57)/365)-1)</f>
        <v/>
      </c>
      <c r="S58" s="82">
        <f>IF(Q58="","",Q58/MAX(Q$5:Q58)-1)</f>
        <v/>
      </c>
    </row>
    <row r="59">
      <c r="A59" s="199">
        <f>IF('实盘净值数据(iFinD公式)'!A59="","",'实盘净值数据(iFinD公式)'!A59)</f>
        <v/>
      </c>
      <c r="B59" s="198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82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82">
        <f>IF(B59="","",B59/MAX(B$5:B59)-1)</f>
        <v/>
      </c>
      <c r="E59" s="198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82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82">
        <f>IF(E59="","",E59/MAX(E$5:E59)-1)</f>
        <v/>
      </c>
      <c r="H59" s="198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82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82">
        <f>IF(H59="","",H59/MAX(H$5:H59)-1)</f>
        <v/>
      </c>
      <c r="K59" s="198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  <v/>
      </c>
      <c r="L59" s="82">
        <f>IF(OR(K58="",'实盘净值数据(iFinD公式)'!$A59="",'实盘净值数据(iFinD公式)'!$B59=""),"",(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)*(1-实盘持仓配置!$Z$7)^(('实盘净值数据(iFinD公式)'!$A59-'实盘净值数据(iFinD公式)'!$A58)/365)-1)</f>
        <v/>
      </c>
      <c r="M59" s="82">
        <f>IF(K59="","",K59/MAX(K$5:K59)-1)</f>
        <v/>
      </c>
      <c r="N59" s="198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  <v/>
      </c>
      <c r="O59" s="82">
        <f>IF(OR(N58="",'实盘净值数据(iFinD公式)'!$A59="",'实盘净值数据(iFinD公式)'!$B59=""),"",(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)*(1-实盘持仓配置!$Z$8)^(('实盘净值数据(iFinD公式)'!$A59-'实盘净值数据(iFinD公式)'!$A58)/365)-1)</f>
        <v/>
      </c>
      <c r="P59" s="82">
        <f>IF(N59="","",N59/MAX(N$5:N59)-1)</f>
        <v/>
      </c>
      <c r="Q59" s="198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  <v/>
      </c>
      <c r="R59" s="82">
        <f>IF(OR(Q58="",'实盘净值数据(iFinD公式)'!$A59="",'实盘净值数据(iFinD公式)'!$B59=""),"",(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)*(1-实盘持仓配置!$Z$9)^(('实盘净值数据(iFinD公式)'!$A59-'实盘净值数据(iFinD公式)'!$A58)/365)-1)</f>
        <v/>
      </c>
      <c r="S59" s="82">
        <f>IF(Q59="","",Q59/MAX(Q$5:Q59)-1)</f>
        <v/>
      </c>
    </row>
    <row r="61" ht="14.5" customHeight="1" s="89">
      <c r="A61" s="97" t="inlineStr">
        <is>
          <t>各组合自其净值起始日起=1.0000；买入持有，权重随涨跌漂移；净值已按各自年化费率折每日扣费。新增日期下拉填充。</t>
        </is>
      </c>
    </row>
  </sheetData>
  <mergeCells count="1">
    <mergeCell ref="A1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白昕</dc:creator>
  <dcterms:created xmlns:dcterms="http://purl.org/dc/terms/" xmlns:xsi="http://www.w3.org/2001/XMLSchema-instance" xsi:type="dcterms:W3CDTF">2026-06-08T07:39:45Z</dcterms:created>
  <dcterms:modified xmlns:dcterms="http://purl.org/dc/terms/" xmlns:xsi="http://www.w3.org/2001/XMLSchema-instance" xsi:type="dcterms:W3CDTF">2026-07-08T05:45:52Z</dcterms:modified>
  <cp:lastModifiedBy>白昕</cp:lastModifiedBy>
</cp:coreProperties>
</file>