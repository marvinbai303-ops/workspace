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4090" windowHeight="5890" tabRatio="745" firstSheet="2" activeTab="11"/>
  </bookViews>
  <sheets>
    <sheet name="实盘持仓配置" sheetId="1" r:id="rId1"/>
    <sheet name="实盘净值数据(iFinD公式)" sheetId="2" r:id="rId2"/>
    <sheet name="实盘组合净值" sheetId="3" r:id="rId3"/>
    <sheet name="分期持仓明细" sheetId="4" r:id="rId4"/>
    <sheet name="看板-产业趋势" sheetId="5" r:id="rId5"/>
    <sheet name="看板-产业趋势基石" sheetId="6" r:id="rId6"/>
    <sheet name="看板-产业趋势2号" sheetId="7" r:id="rId7"/>
    <sheet name="看板-10-90" sheetId="8" r:id="rId8"/>
    <sheet name="看板-10-90基石" sheetId="9" r:id="rId9"/>
    <sheet name="看板-30-70" sheetId="10" r:id="rId10"/>
    <sheet name="说明" sheetId="11" r:id="rId11"/>
    <sheet name="持仓权重预警" sheetId="12" r:id="rId12"/>
  </sheets>
  <externalReferences>
    <externalReference r:id="rId13"/>
  </externalReferences>
  <calcPr calcId="152511"/>
</workbook>
</file>

<file path=xl/calcChain.xml><?xml version="1.0" encoding="utf-8"?>
<calcChain xmlns="http://schemas.openxmlformats.org/spreadsheetml/2006/main">
  <c r="C34" i="12" l="1"/>
  <c r="C33" i="12"/>
  <c r="C32" i="12"/>
  <c r="C31" i="12"/>
  <c r="C30" i="12"/>
  <c r="C29" i="12"/>
  <c r="C28" i="12"/>
  <c r="C23" i="12"/>
  <c r="C22" i="12"/>
  <c r="C21" i="12"/>
  <c r="C20" i="12"/>
  <c r="C19" i="12"/>
  <c r="C18" i="12"/>
  <c r="C17" i="12"/>
  <c r="C12" i="12"/>
  <c r="C11" i="12"/>
  <c r="C10" i="12"/>
  <c r="C9" i="12"/>
  <c r="C8" i="12"/>
  <c r="C7" i="12"/>
  <c r="C6" i="12"/>
  <c r="B3" i="10"/>
  <c r="B3" i="9"/>
  <c r="B3" i="8"/>
  <c r="B3" i="7"/>
  <c r="B3" i="6"/>
  <c r="B3" i="5"/>
  <c r="Z19" i="4"/>
  <c r="Z18" i="4"/>
  <c r="Z17" i="4"/>
  <c r="Z16" i="4"/>
  <c r="Z15" i="4"/>
  <c r="Z14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Q55" i="3" s="1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N53" i="3" s="1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E49" i="3" s="1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H43" i="3" s="1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Q38" i="3" s="1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K34" i="3" s="1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N29" i="3" s="1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E28" i="3" s="1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N26" i="3" s="1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Y9" i="1"/>
  <c r="Y8" i="1"/>
  <c r="Y7" i="1"/>
  <c r="Y6" i="1"/>
  <c r="Y5" i="1"/>
  <c r="Y4" i="1"/>
  <c r="A4" i="2"/>
  <c r="T25" i="2"/>
  <c r="L25" i="2"/>
  <c r="D25" i="2"/>
  <c r="K25" i="2"/>
  <c r="C25" i="2"/>
  <c r="J25" i="2"/>
  <c r="Q25" i="2"/>
  <c r="I25" i="2"/>
  <c r="P25" i="2"/>
  <c r="H25" i="2"/>
  <c r="O25" i="2"/>
  <c r="G25" i="2"/>
  <c r="N25" i="2"/>
  <c r="F25" i="2"/>
  <c r="E25" i="2"/>
  <c r="S25" i="2"/>
  <c r="R25" i="2"/>
  <c r="B25" i="2"/>
  <c r="M25" i="2"/>
  <c r="Y25" i="2"/>
  <c r="X25" i="2"/>
  <c r="W25" i="2"/>
  <c r="V25" i="2"/>
  <c r="U25" i="2"/>
  <c r="T24" i="2"/>
  <c r="L24" i="2"/>
  <c r="D24" i="2"/>
  <c r="R24" i="2"/>
  <c r="S24" i="2"/>
  <c r="K24" i="2"/>
  <c r="C24" i="2"/>
  <c r="Y24" i="2"/>
  <c r="Q24" i="2"/>
  <c r="I24" i="2"/>
  <c r="X24" i="2"/>
  <c r="P24" i="2"/>
  <c r="H24" i="2"/>
  <c r="B24" i="2"/>
  <c r="W24" i="2"/>
  <c r="O24" i="2"/>
  <c r="G24" i="2"/>
  <c r="V24" i="2"/>
  <c r="N24" i="2"/>
  <c r="F24" i="2"/>
  <c r="U24" i="2"/>
  <c r="M24" i="2"/>
  <c r="E24" i="2"/>
  <c r="J24" i="2"/>
  <c r="T23" i="2"/>
  <c r="I23" i="2"/>
  <c r="G23" i="2"/>
  <c r="E5" i="2"/>
  <c r="K9" i="2"/>
  <c r="B6" i="2"/>
  <c r="I6" i="2"/>
  <c r="S18" i="2"/>
  <c r="T21" i="2"/>
  <c r="J17" i="2"/>
  <c r="N5" i="2"/>
  <c r="O20" i="2"/>
  <c r="P5" i="2"/>
  <c r="X19" i="2"/>
  <c r="U19" i="2"/>
  <c r="S21" i="2"/>
  <c r="K19" i="2"/>
  <c r="V8" i="2"/>
  <c r="X14" i="2"/>
  <c r="V22" i="2"/>
  <c r="M15" i="2"/>
  <c r="M7" i="2"/>
  <c r="W12" i="2"/>
  <c r="R14" i="2"/>
  <c r="V17" i="2"/>
  <c r="X18" i="2"/>
  <c r="K13" i="2"/>
  <c r="L16" i="2"/>
  <c r="C7" i="2"/>
  <c r="K15" i="2"/>
  <c r="F19" i="2"/>
  <c r="K21" i="2"/>
  <c r="W11" i="2"/>
  <c r="S22" i="2"/>
  <c r="G11" i="2"/>
  <c r="Q19" i="2"/>
  <c r="L11" i="2"/>
  <c r="V5" i="2"/>
  <c r="M5" i="2"/>
  <c r="P19" i="2"/>
  <c r="S7" i="2"/>
  <c r="Q11" i="2"/>
  <c r="E15" i="2"/>
  <c r="S9" i="2"/>
  <c r="Q15" i="2"/>
  <c r="Q14" i="2"/>
  <c r="M14" i="2"/>
  <c r="W8" i="2"/>
  <c r="V10" i="2"/>
  <c r="F16" i="2"/>
  <c r="D6" i="2"/>
  <c r="U15" i="2"/>
  <c r="D7" i="2"/>
  <c r="P18" i="2"/>
  <c r="B8" i="2"/>
  <c r="H7" i="2"/>
  <c r="U7" i="2"/>
  <c r="V23" i="2"/>
  <c r="T18" i="2"/>
  <c r="L18" i="2"/>
  <c r="G8" i="2"/>
  <c r="Q20" i="2"/>
  <c r="R7" i="2"/>
  <c r="K7" i="2"/>
  <c r="H9" i="2"/>
  <c r="W7" i="2"/>
  <c r="Q13" i="2"/>
  <c r="I10" i="2"/>
  <c r="R6" i="2"/>
  <c r="H17" i="2"/>
  <c r="M16" i="2"/>
  <c r="R12" i="2"/>
  <c r="U22" i="2"/>
  <c r="Y11" i="2"/>
  <c r="D10" i="2"/>
  <c r="M18" i="2"/>
  <c r="D20" i="2"/>
  <c r="O5" i="2"/>
  <c r="U20" i="2"/>
  <c r="E13" i="2"/>
  <c r="U10" i="2"/>
  <c r="P12" i="2"/>
  <c r="F14" i="2"/>
  <c r="L23" i="2"/>
  <c r="N23" i="2"/>
  <c r="F23" i="2"/>
  <c r="I17" i="2"/>
  <c r="Y14" i="2"/>
  <c r="E22" i="2"/>
  <c r="G9" i="2"/>
  <c r="R17" i="2"/>
  <c r="C21" i="2"/>
  <c r="G20" i="2"/>
  <c r="X9" i="2"/>
  <c r="T5" i="2"/>
  <c r="J20" i="2"/>
  <c r="W14" i="2"/>
  <c r="L7" i="2"/>
  <c r="O22" i="2"/>
  <c r="J18" i="2"/>
  <c r="T16" i="2"/>
  <c r="F11" i="2"/>
  <c r="N19" i="2"/>
  <c r="M20" i="2"/>
  <c r="Y7" i="2"/>
  <c r="H19" i="2"/>
  <c r="Q9" i="2"/>
  <c r="U16" i="2"/>
  <c r="B10" i="2"/>
  <c r="Y18" i="2"/>
  <c r="S15" i="2"/>
  <c r="F10" i="2"/>
  <c r="Y9" i="2"/>
  <c r="G14" i="2"/>
  <c r="Y20" i="2"/>
  <c r="D15" i="2"/>
  <c r="R21" i="2"/>
  <c r="F15" i="2"/>
  <c r="H16" i="2"/>
  <c r="S10" i="2"/>
  <c r="T13" i="2"/>
  <c r="J6" i="2"/>
  <c r="Q6" i="2"/>
  <c r="F8" i="2"/>
  <c r="V16" i="2"/>
  <c r="J13" i="2"/>
  <c r="I15" i="2"/>
  <c r="V12" i="2"/>
  <c r="F17" i="2"/>
  <c r="D12" i="2"/>
  <c r="F22" i="2"/>
  <c r="C18" i="2"/>
  <c r="E20" i="2"/>
  <c r="S12" i="2"/>
  <c r="R11" i="2"/>
  <c r="R9" i="2"/>
  <c r="Y22" i="2"/>
  <c r="H12" i="2"/>
  <c r="B22" i="2"/>
  <c r="R22" i="2"/>
  <c r="D23" i="2"/>
  <c r="T22" i="2"/>
  <c r="P16" i="2"/>
  <c r="W10" i="2"/>
  <c r="L15" i="2"/>
  <c r="M10" i="2"/>
  <c r="N6" i="2"/>
  <c r="K12" i="2"/>
  <c r="N13" i="2"/>
  <c r="R8" i="2"/>
  <c r="H22" i="2"/>
  <c r="F9" i="2"/>
  <c r="U17" i="2"/>
  <c r="C22" i="2"/>
  <c r="F12" i="2"/>
  <c r="E17" i="2"/>
  <c r="Y10" i="2"/>
  <c r="G16" i="2"/>
  <c r="K5" i="2"/>
  <c r="Y19" i="2"/>
  <c r="H21" i="2"/>
  <c r="Y8" i="2"/>
  <c r="O23" i="2"/>
  <c r="V13" i="2"/>
  <c r="E6" i="2"/>
  <c r="I18" i="2"/>
  <c r="N8" i="2"/>
  <c r="U12" i="2"/>
  <c r="D18" i="2"/>
  <c r="Y5" i="2"/>
  <c r="X10" i="2"/>
  <c r="J22" i="2"/>
  <c r="U23" i="2"/>
  <c r="S23" i="2"/>
  <c r="X23" i="2"/>
  <c r="F13" i="2"/>
  <c r="V19" i="2"/>
  <c r="P11" i="2"/>
  <c r="K22" i="2"/>
  <c r="O9" i="2"/>
  <c r="X20" i="2"/>
  <c r="B20" i="2"/>
  <c r="P17" i="2"/>
  <c r="J15" i="2"/>
  <c r="J16" i="2"/>
  <c r="N16" i="2"/>
  <c r="J9" i="2"/>
  <c r="S6" i="2"/>
  <c r="N20" i="2"/>
  <c r="P21" i="2"/>
  <c r="C16" i="2"/>
  <c r="D19" i="2"/>
  <c r="O19" i="2"/>
  <c r="Q10" i="2"/>
  <c r="V7" i="2"/>
  <c r="U13" i="2"/>
  <c r="H6" i="2"/>
  <c r="K6" i="2"/>
  <c r="W15" i="2"/>
  <c r="P15" i="2"/>
  <c r="I21" i="2"/>
  <c r="G12" i="2"/>
  <c r="P10" i="2"/>
  <c r="I7" i="2"/>
  <c r="W17" i="2"/>
  <c r="P8" i="2"/>
  <c r="Y6" i="2"/>
  <c r="E12" i="2"/>
  <c r="E11" i="2"/>
  <c r="I16" i="2"/>
  <c r="C13" i="2"/>
  <c r="S20" i="2"/>
  <c r="V9" i="2"/>
  <c r="D5" i="2"/>
  <c r="O21" i="2"/>
  <c r="Q8" i="2"/>
  <c r="X11" i="2"/>
  <c r="T20" i="2"/>
  <c r="I19" i="2"/>
  <c r="K11" i="2"/>
  <c r="E21" i="2"/>
  <c r="O15" i="2"/>
  <c r="M11" i="2"/>
  <c r="J5" i="2"/>
  <c r="E18" i="2"/>
  <c r="D22" i="2"/>
  <c r="I11" i="2"/>
  <c r="W13" i="2"/>
  <c r="K16" i="2"/>
  <c r="F5" i="2"/>
  <c r="E23" i="2"/>
  <c r="C23" i="2"/>
  <c r="H23" i="2"/>
  <c r="K20" i="2"/>
  <c r="E8" i="2"/>
  <c r="S19" i="2"/>
  <c r="V14" i="2"/>
  <c r="X15" i="2"/>
  <c r="U6" i="2"/>
  <c r="O6" i="2"/>
  <c r="U5" i="2"/>
  <c r="S14" i="2"/>
  <c r="N10" i="2"/>
  <c r="N14" i="2"/>
  <c r="X8" i="2"/>
  <c r="K14" i="2"/>
  <c r="J10" i="2"/>
  <c r="H18" i="2"/>
  <c r="P6" i="2"/>
  <c r="T12" i="2"/>
  <c r="O8" i="2"/>
  <c r="N9" i="2"/>
  <c r="V18" i="2"/>
  <c r="L9" i="2"/>
  <c r="H14" i="2"/>
  <c r="Y13" i="2"/>
  <c r="J11" i="2"/>
  <c r="C11" i="2"/>
  <c r="H15" i="2"/>
  <c r="I14" i="2"/>
  <c r="V15" i="2"/>
  <c r="R15" i="2"/>
  <c r="B19" i="2"/>
  <c r="P13" i="2"/>
  <c r="D11" i="2"/>
  <c r="G5" i="2"/>
  <c r="B13" i="2"/>
  <c r="T6" i="2"/>
  <c r="R10" i="2"/>
  <c r="Q7" i="2"/>
  <c r="T17" i="2"/>
  <c r="U8" i="2"/>
  <c r="W20" i="2"/>
  <c r="F18" i="2"/>
  <c r="D8" i="2"/>
  <c r="O14" i="2"/>
  <c r="E9" i="2"/>
  <c r="G10" i="2"/>
  <c r="L20" i="2"/>
  <c r="J21" i="2"/>
  <c r="X13" i="2"/>
  <c r="U9" i="2"/>
  <c r="M9" i="2"/>
  <c r="T9" i="2"/>
  <c r="F6" i="2"/>
  <c r="T14" i="2"/>
  <c r="O7" i="2"/>
  <c r="H10" i="2"/>
  <c r="R13" i="2"/>
  <c r="W21" i="2"/>
  <c r="Y12" i="2"/>
  <c r="V20" i="2"/>
  <c r="W9" i="2"/>
  <c r="I22" i="2"/>
  <c r="D17" i="2"/>
  <c r="L5" i="2"/>
  <c r="J12" i="2"/>
  <c r="M17" i="2"/>
  <c r="M23" i="2"/>
  <c r="K23" i="2"/>
  <c r="P23" i="2"/>
  <c r="D21" i="2"/>
  <c r="K8" i="2"/>
  <c r="W16" i="2"/>
  <c r="X5" i="2"/>
  <c r="D9" i="2"/>
  <c r="W22" i="2"/>
  <c r="I5" i="2"/>
  <c r="C17" i="2"/>
  <c r="J14" i="2"/>
  <c r="B12" i="2"/>
  <c r="W18" i="2"/>
  <c r="I9" i="2"/>
  <c r="I12" i="2"/>
  <c r="M19" i="2"/>
  <c r="W5" i="2"/>
  <c r="Q21" i="2"/>
  <c r="K18" i="2"/>
  <c r="I13" i="2"/>
  <c r="O13" i="2"/>
  <c r="T15" i="2"/>
  <c r="Y21" i="2"/>
  <c r="G6" i="2"/>
  <c r="O11" i="2"/>
  <c r="C19" i="2"/>
  <c r="W19" i="2"/>
  <c r="X17" i="2"/>
  <c r="H20" i="2"/>
  <c r="X16" i="2"/>
  <c r="O17" i="2"/>
  <c r="U18" i="2"/>
  <c r="B11" i="2"/>
  <c r="Q22" i="2"/>
  <c r="N22" i="2"/>
  <c r="X12" i="2"/>
  <c r="Q18" i="2"/>
  <c r="G18" i="2"/>
  <c r="U21" i="2"/>
  <c r="C9" i="2"/>
  <c r="C5" i="2"/>
  <c r="Q5" i="2"/>
  <c r="G22" i="2"/>
  <c r="C20" i="2"/>
  <c r="R19" i="2"/>
  <c r="Y16" i="2"/>
  <c r="T8" i="2"/>
  <c r="M12" i="2"/>
  <c r="X22" i="2"/>
  <c r="N18" i="2"/>
  <c r="U11" i="2"/>
  <c r="E14" i="2"/>
  <c r="S8" i="2"/>
  <c r="M21" i="2"/>
  <c r="Q17" i="2"/>
  <c r="G21" i="2"/>
  <c r="P20" i="2"/>
  <c r="C15" i="2"/>
  <c r="B14" i="2"/>
  <c r="H5" i="2"/>
  <c r="J7" i="2"/>
  <c r="F7" i="2"/>
  <c r="D13" i="2"/>
  <c r="O16" i="2"/>
  <c r="G7" i="2"/>
  <c r="T7" i="2"/>
  <c r="N7" i="2"/>
  <c r="U14" i="2"/>
  <c r="N12" i="2"/>
  <c r="C8" i="2"/>
  <c r="K17" i="2"/>
  <c r="M13" i="2"/>
  <c r="B18" i="2"/>
  <c r="H11" i="2"/>
  <c r="R23" i="2"/>
  <c r="E10" i="2"/>
  <c r="W6" i="2"/>
  <c r="C12" i="2"/>
  <c r="L6" i="2"/>
  <c r="H13" i="2"/>
  <c r="L17" i="2"/>
  <c r="C6" i="2"/>
  <c r="R18" i="2"/>
  <c r="G17" i="2"/>
  <c r="O12" i="2"/>
  <c r="B9" i="2"/>
  <c r="I20" i="2"/>
  <c r="P7" i="2"/>
  <c r="N11" i="2"/>
  <c r="S11" i="2"/>
  <c r="S13" i="2"/>
  <c r="C10" i="2"/>
  <c r="M8" i="2"/>
  <c r="T11" i="2"/>
  <c r="T19" i="2"/>
  <c r="Y15" i="2"/>
  <c r="L8" i="2"/>
  <c r="Q23" i="2"/>
  <c r="B21" i="2"/>
  <c r="R16" i="2"/>
  <c r="H8" i="2"/>
  <c r="D14" i="2"/>
  <c r="P14" i="2"/>
  <c r="G19" i="2"/>
  <c r="L10" i="2"/>
  <c r="E7" i="2"/>
  <c r="Q12" i="2"/>
  <c r="J19" i="2"/>
  <c r="R20" i="2"/>
  <c r="M6" i="2"/>
  <c r="V6" i="2"/>
  <c r="B17" i="2"/>
  <c r="K10" i="2"/>
  <c r="B5" i="2"/>
  <c r="E19" i="2"/>
  <c r="X7" i="2"/>
  <c r="B15" i="2"/>
  <c r="R5" i="2"/>
  <c r="Y17" i="2"/>
  <c r="N21" i="2"/>
  <c r="O10" i="2"/>
  <c r="E16" i="2"/>
  <c r="B23" i="2"/>
  <c r="L19" i="2"/>
  <c r="N17" i="2"/>
  <c r="L13" i="2"/>
  <c r="B16" i="2"/>
  <c r="G15" i="2"/>
  <c r="S5" i="2"/>
  <c r="V21" i="2"/>
  <c r="O18" i="2"/>
  <c r="F20" i="2"/>
  <c r="J23" i="2"/>
  <c r="Y23" i="2"/>
  <c r="W23" i="2"/>
  <c r="P22" i="2"/>
  <c r="M22" i="2"/>
  <c r="L14" i="2"/>
  <c r="L21" i="2"/>
  <c r="L22" i="2"/>
  <c r="S17" i="2"/>
  <c r="D16" i="2"/>
  <c r="S16" i="2"/>
  <c r="T10" i="2"/>
  <c r="N15" i="2"/>
  <c r="X6" i="2"/>
  <c r="V11" i="2"/>
  <c r="F21" i="2"/>
  <c r="J8" i="2"/>
  <c r="Q16" i="2"/>
  <c r="P9" i="2"/>
  <c r="B7" i="2"/>
  <c r="I8" i="2"/>
  <c r="C14" i="2"/>
  <c r="X21" i="2"/>
  <c r="G13" i="2"/>
  <c r="L12" i="2"/>
  <c r="C13" i="12" l="1"/>
  <c r="Z6" i="4"/>
  <c r="Z5" i="4"/>
  <c r="H26" i="3"/>
  <c r="K6" i="3"/>
  <c r="Q6" i="3"/>
  <c r="H6" i="3"/>
  <c r="O6" i="3"/>
  <c r="N6" i="3"/>
  <c r="F6" i="3"/>
  <c r="E6" i="3"/>
  <c r="K7" i="3"/>
  <c r="B7" i="3"/>
  <c r="Q7" i="3"/>
  <c r="N7" i="3"/>
  <c r="C7" i="3"/>
  <c r="E7" i="3"/>
  <c r="H8" i="3"/>
  <c r="E8" i="3"/>
  <c r="N8" i="3"/>
  <c r="B8" i="3"/>
  <c r="I8" i="3"/>
  <c r="G1" i="12"/>
  <c r="H5" i="3"/>
  <c r="Q5" i="3"/>
  <c r="B5" i="3"/>
  <c r="K5" i="3"/>
  <c r="E9" i="3"/>
  <c r="R9" i="3"/>
  <c r="H9" i="3"/>
  <c r="Q9" i="3"/>
  <c r="N9" i="3"/>
  <c r="L9" i="3"/>
  <c r="B9" i="3"/>
  <c r="K9" i="3"/>
  <c r="B10" i="3"/>
  <c r="K10" i="3"/>
  <c r="H10" i="3"/>
  <c r="Q10" i="3"/>
  <c r="E10" i="3"/>
  <c r="N10" i="3"/>
  <c r="Q11" i="3"/>
  <c r="B11" i="3"/>
  <c r="K11" i="3"/>
  <c r="H11" i="3"/>
  <c r="E11" i="3"/>
  <c r="N11" i="3"/>
  <c r="E17" i="3"/>
  <c r="H17" i="3"/>
  <c r="B17" i="3"/>
  <c r="B18" i="3"/>
  <c r="H18" i="3"/>
  <c r="E18" i="3"/>
  <c r="E19" i="3"/>
  <c r="H19" i="3"/>
  <c r="B19" i="3"/>
  <c r="AB17" i="4"/>
  <c r="B22" i="3" s="1"/>
  <c r="AB19" i="4"/>
  <c r="H21" i="3" s="1"/>
  <c r="E20" i="3"/>
  <c r="B20" i="3"/>
  <c r="AB18" i="4"/>
  <c r="E21" i="3" s="1"/>
  <c r="H20" i="3"/>
  <c r="H14" i="3"/>
  <c r="E14" i="3"/>
  <c r="B14" i="3"/>
  <c r="N12" i="3"/>
  <c r="E12" i="3"/>
  <c r="B12" i="3"/>
  <c r="K12" i="3"/>
  <c r="H12" i="3"/>
  <c r="Q12" i="3"/>
  <c r="AB13" i="4"/>
  <c r="O13" i="4" s="1"/>
  <c r="K13" i="3"/>
  <c r="AB11" i="4"/>
  <c r="W11" i="4" s="1"/>
  <c r="AB9" i="4"/>
  <c r="I9" i="4" s="1"/>
  <c r="Q13" i="3"/>
  <c r="E13" i="3"/>
  <c r="N13" i="3"/>
  <c r="B13" i="3"/>
  <c r="H13" i="3"/>
  <c r="E15" i="3"/>
  <c r="H15" i="3"/>
  <c r="B15" i="3"/>
  <c r="B16" i="3"/>
  <c r="H16" i="3"/>
  <c r="E16" i="3"/>
  <c r="M34" i="3"/>
  <c r="P26" i="3"/>
  <c r="J43" i="3"/>
  <c r="G28" i="3"/>
  <c r="P29" i="3"/>
  <c r="S38" i="3"/>
  <c r="G49" i="3"/>
  <c r="P53" i="3"/>
  <c r="S55" i="3"/>
  <c r="H55" i="3"/>
  <c r="E24" i="3"/>
  <c r="E25" i="3"/>
  <c r="E26" i="3"/>
  <c r="Q26" i="3"/>
  <c r="B26" i="3"/>
  <c r="K26" i="3"/>
  <c r="B27" i="3"/>
  <c r="Q27" i="3"/>
  <c r="N27" i="3"/>
  <c r="K27" i="3"/>
  <c r="H27" i="3"/>
  <c r="I27" i="3" s="1"/>
  <c r="N28" i="3"/>
  <c r="K28" i="3"/>
  <c r="Q28" i="3"/>
  <c r="B28" i="3"/>
  <c r="K29" i="3"/>
  <c r="H29" i="3"/>
  <c r="Q29" i="3"/>
  <c r="E29" i="3"/>
  <c r="F29" i="3" s="1"/>
  <c r="B29" i="3"/>
  <c r="Q30" i="3"/>
  <c r="H30" i="3"/>
  <c r="E30" i="3"/>
  <c r="N30" i="3"/>
  <c r="O30" i="3" s="1"/>
  <c r="B30" i="3"/>
  <c r="N31" i="3"/>
  <c r="E31" i="3"/>
  <c r="K31" i="3"/>
  <c r="B31" i="3"/>
  <c r="H31" i="3"/>
  <c r="Q31" i="3"/>
  <c r="K32" i="3"/>
  <c r="B32" i="3"/>
  <c r="H32" i="3"/>
  <c r="E32" i="3"/>
  <c r="Q32" i="3"/>
  <c r="N32" i="3"/>
  <c r="H33" i="3"/>
  <c r="E33" i="3"/>
  <c r="B33" i="3"/>
  <c r="N33" i="3"/>
  <c r="K33" i="3"/>
  <c r="E34" i="3"/>
  <c r="B34" i="3"/>
  <c r="Q34" i="3"/>
  <c r="N34" i="3"/>
  <c r="H34" i="3"/>
  <c r="N35" i="3"/>
  <c r="B35" i="3"/>
  <c r="K35" i="3"/>
  <c r="H35" i="3"/>
  <c r="K36" i="3"/>
  <c r="Q36" i="3"/>
  <c r="H36" i="3"/>
  <c r="N36" i="3"/>
  <c r="E36" i="3"/>
  <c r="B36" i="3"/>
  <c r="K37" i="3"/>
  <c r="H37" i="3"/>
  <c r="Q37" i="3"/>
  <c r="E37" i="3"/>
  <c r="B37" i="3"/>
  <c r="H38" i="3"/>
  <c r="E38" i="3"/>
  <c r="B38" i="3"/>
  <c r="K38" i="3"/>
  <c r="N38" i="3"/>
  <c r="E39" i="3"/>
  <c r="B39" i="3"/>
  <c r="N39" i="3"/>
  <c r="K39" i="3"/>
  <c r="H39" i="3"/>
  <c r="B40" i="3"/>
  <c r="Q40" i="3"/>
  <c r="E40" i="3"/>
  <c r="N40" i="3"/>
  <c r="K40" i="3"/>
  <c r="H41" i="3"/>
  <c r="E41" i="3"/>
  <c r="N41" i="3"/>
  <c r="Q41" i="3"/>
  <c r="K41" i="3"/>
  <c r="B41" i="3"/>
  <c r="Q42" i="3"/>
  <c r="H42" i="3"/>
  <c r="E42" i="3"/>
  <c r="N42" i="3"/>
  <c r="Q43" i="3"/>
  <c r="N43" i="3"/>
  <c r="K43" i="3"/>
  <c r="E43" i="3"/>
  <c r="N44" i="3"/>
  <c r="K44" i="3"/>
  <c r="B44" i="3"/>
  <c r="H44" i="3"/>
  <c r="I44" i="3" s="1"/>
  <c r="E44" i="3"/>
  <c r="K45" i="3"/>
  <c r="H45" i="3"/>
  <c r="E45" i="3"/>
  <c r="N45" i="3"/>
  <c r="Q45" i="3"/>
  <c r="B45" i="3"/>
  <c r="H46" i="3"/>
  <c r="E46" i="3"/>
  <c r="Q46" i="3"/>
  <c r="N46" i="3"/>
  <c r="B46" i="3"/>
  <c r="K46" i="3"/>
  <c r="E47" i="3"/>
  <c r="B47" i="3"/>
  <c r="H47" i="3"/>
  <c r="Q47" i="3"/>
  <c r="N47" i="3"/>
  <c r="K47" i="3"/>
  <c r="B48" i="3"/>
  <c r="K48" i="3"/>
  <c r="H48" i="3"/>
  <c r="Q48" i="3"/>
  <c r="N48" i="3"/>
  <c r="E48" i="3"/>
  <c r="N49" i="3"/>
  <c r="B49" i="3"/>
  <c r="Q49" i="3"/>
  <c r="K49" i="3"/>
  <c r="H49" i="3"/>
  <c r="Q50" i="3"/>
  <c r="E50" i="3"/>
  <c r="N50" i="3"/>
  <c r="K50" i="3"/>
  <c r="H50" i="3"/>
  <c r="Q51" i="3"/>
  <c r="N51" i="3"/>
  <c r="E51" i="3"/>
  <c r="B51" i="3"/>
  <c r="K51" i="3"/>
  <c r="H51" i="3"/>
  <c r="N52" i="3"/>
  <c r="K52" i="3"/>
  <c r="H52" i="3"/>
  <c r="Q52" i="3"/>
  <c r="B52" i="3"/>
  <c r="K53" i="3"/>
  <c r="H53" i="3"/>
  <c r="Q53" i="3"/>
  <c r="E53" i="3"/>
  <c r="B53" i="3"/>
  <c r="H54" i="3"/>
  <c r="E54" i="3"/>
  <c r="B54" i="3"/>
  <c r="K54" i="3"/>
  <c r="Q54" i="3"/>
  <c r="N54" i="3"/>
  <c r="E55" i="3"/>
  <c r="B55" i="3"/>
  <c r="N55" i="3"/>
  <c r="K55" i="3"/>
  <c r="B56" i="3"/>
  <c r="Q56" i="3"/>
  <c r="E56" i="3"/>
  <c r="N56" i="3"/>
  <c r="N57" i="3"/>
  <c r="K57" i="3"/>
  <c r="H57" i="3"/>
  <c r="E57" i="3"/>
  <c r="B57" i="3"/>
  <c r="Q57" i="3"/>
  <c r="K58" i="3"/>
  <c r="Q58" i="3"/>
  <c r="E58" i="3"/>
  <c r="N58" i="3"/>
  <c r="H58" i="3"/>
  <c r="B58" i="3"/>
  <c r="Q59" i="3"/>
  <c r="S59" i="3" s="1"/>
  <c r="H59" i="3"/>
  <c r="J59" i="3" s="1"/>
  <c r="N59" i="3"/>
  <c r="P59" i="3" s="1"/>
  <c r="K59" i="3"/>
  <c r="M59" i="3" s="1"/>
  <c r="E59" i="3"/>
  <c r="G59" i="3" s="1"/>
  <c r="B59" i="3"/>
  <c r="D59" i="3" s="1"/>
  <c r="H28" i="3"/>
  <c r="E35" i="3"/>
  <c r="M13" i="4"/>
  <c r="H24" i="3"/>
  <c r="B25" i="3"/>
  <c r="E27" i="3"/>
  <c r="Q33" i="3"/>
  <c r="N37" i="3"/>
  <c r="Q39" i="3"/>
  <c r="R39" i="3" s="1"/>
  <c r="B42" i="3"/>
  <c r="Q44" i="3"/>
  <c r="H56" i="3"/>
  <c r="P11" i="4"/>
  <c r="F13" i="4"/>
  <c r="Q35" i="3"/>
  <c r="K42" i="3"/>
  <c r="E52" i="3"/>
  <c r="K56" i="3"/>
  <c r="K30" i="3"/>
  <c r="B50" i="3"/>
  <c r="J26" i="3"/>
  <c r="H40" i="3"/>
  <c r="B43" i="3"/>
  <c r="F9" i="4"/>
  <c r="W13" i="4"/>
  <c r="Z10" i="4"/>
  <c r="Z12" i="4"/>
  <c r="Z8" i="4"/>
  <c r="Z7" i="4"/>
  <c r="X13" i="4"/>
  <c r="B11" i="4"/>
  <c r="C24" i="12"/>
  <c r="C35" i="12"/>
  <c r="F11" i="4" l="1"/>
  <c r="R11" i="4"/>
  <c r="J11" i="4"/>
  <c r="X11" i="4"/>
  <c r="B24" i="3"/>
  <c r="H25" i="3"/>
  <c r="I26" i="3" s="1"/>
  <c r="K13" i="4"/>
  <c r="L13" i="4"/>
  <c r="N11" i="4"/>
  <c r="H23" i="3"/>
  <c r="I24" i="3" s="1"/>
  <c r="K11" i="4"/>
  <c r="J13" i="4"/>
  <c r="C11" i="4"/>
  <c r="B13" i="4"/>
  <c r="B23" i="3"/>
  <c r="C24" i="3" s="1"/>
  <c r="D9" i="4"/>
  <c r="E23" i="3"/>
  <c r="U11" i="4"/>
  <c r="T11" i="4"/>
  <c r="V11" i="4"/>
  <c r="P13" i="4"/>
  <c r="Q11" i="4"/>
  <c r="E13" i="4"/>
  <c r="S13" i="4"/>
  <c r="U13" i="4"/>
  <c r="M11" i="4"/>
  <c r="D11" i="4"/>
  <c r="G9" i="4"/>
  <c r="Q13" i="4"/>
  <c r="B9" i="4"/>
  <c r="V13" i="4"/>
  <c r="E9" i="4"/>
  <c r="C13" i="4"/>
  <c r="T13" i="4"/>
  <c r="N13" i="4"/>
  <c r="T9" i="4"/>
  <c r="K9" i="4"/>
  <c r="V9" i="4"/>
  <c r="D13" i="4"/>
  <c r="E22" i="3"/>
  <c r="L9" i="4"/>
  <c r="C9" i="4"/>
  <c r="Q9" i="4"/>
  <c r="N9" i="4"/>
  <c r="R13" i="4"/>
  <c r="H13" i="4"/>
  <c r="O9" i="4"/>
  <c r="M9" i="4"/>
  <c r="R9" i="4"/>
  <c r="W9" i="4"/>
  <c r="U9" i="4"/>
  <c r="B21" i="3"/>
  <c r="I11" i="4"/>
  <c r="E11" i="4"/>
  <c r="L11" i="4"/>
  <c r="H22" i="3"/>
  <c r="I22" i="3" s="1"/>
  <c r="Y13" i="4"/>
  <c r="J21" i="3"/>
  <c r="G21" i="3"/>
  <c r="P58" i="3"/>
  <c r="O59" i="3"/>
  <c r="L58" i="3"/>
  <c r="M57" i="3"/>
  <c r="D55" i="3"/>
  <c r="C56" i="3"/>
  <c r="C54" i="3"/>
  <c r="D53" i="3"/>
  <c r="M52" i="3"/>
  <c r="L53" i="3"/>
  <c r="I51" i="3"/>
  <c r="J50" i="3"/>
  <c r="D49" i="3"/>
  <c r="C50" i="3"/>
  <c r="M47" i="3"/>
  <c r="L48" i="3"/>
  <c r="P46" i="3"/>
  <c r="O47" i="3"/>
  <c r="J45" i="3"/>
  <c r="I46" i="3"/>
  <c r="L44" i="3"/>
  <c r="M43" i="3"/>
  <c r="L42" i="3"/>
  <c r="M41" i="3"/>
  <c r="R41" i="3"/>
  <c r="S40" i="3"/>
  <c r="M38" i="3"/>
  <c r="L39" i="3"/>
  <c r="L38" i="3"/>
  <c r="M37" i="3"/>
  <c r="L36" i="3"/>
  <c r="M35" i="3"/>
  <c r="L34" i="3"/>
  <c r="M33" i="3"/>
  <c r="J32" i="3"/>
  <c r="I33" i="3"/>
  <c r="O32" i="3"/>
  <c r="P31" i="3"/>
  <c r="S29" i="3"/>
  <c r="R30" i="3"/>
  <c r="M27" i="3"/>
  <c r="L28" i="3"/>
  <c r="F26" i="3"/>
  <c r="G25" i="3"/>
  <c r="C17" i="3"/>
  <c r="D16" i="3"/>
  <c r="D13" i="3"/>
  <c r="C14" i="3"/>
  <c r="S12" i="3"/>
  <c r="R13" i="3"/>
  <c r="G20" i="3"/>
  <c r="F21" i="3"/>
  <c r="F20" i="3"/>
  <c r="G19" i="3"/>
  <c r="O12" i="3"/>
  <c r="P11" i="3"/>
  <c r="S10" i="3"/>
  <c r="R11" i="3"/>
  <c r="P9" i="3"/>
  <c r="O10" i="3"/>
  <c r="J5" i="3"/>
  <c r="J7" i="3"/>
  <c r="I6" i="3"/>
  <c r="D50" i="3"/>
  <c r="C51" i="3"/>
  <c r="O58" i="3"/>
  <c r="P57" i="3"/>
  <c r="R47" i="3"/>
  <c r="S46" i="3"/>
  <c r="C37" i="3"/>
  <c r="D36" i="3"/>
  <c r="C15" i="3"/>
  <c r="D14" i="3"/>
  <c r="F12" i="3"/>
  <c r="G11" i="3"/>
  <c r="P6" i="3"/>
  <c r="O7" i="3"/>
  <c r="M30" i="3"/>
  <c r="L31" i="3"/>
  <c r="S44" i="3"/>
  <c r="R45" i="3"/>
  <c r="S58" i="3"/>
  <c r="R59" i="3"/>
  <c r="O57" i="3"/>
  <c r="P56" i="3"/>
  <c r="P54" i="3"/>
  <c r="O55" i="3"/>
  <c r="S53" i="3"/>
  <c r="R54" i="3"/>
  <c r="I52" i="3"/>
  <c r="J51" i="3"/>
  <c r="O51" i="3"/>
  <c r="P50" i="3"/>
  <c r="G48" i="3"/>
  <c r="F49" i="3"/>
  <c r="R48" i="3"/>
  <c r="S47" i="3"/>
  <c r="G46" i="3"/>
  <c r="F47" i="3"/>
  <c r="F45" i="3"/>
  <c r="G44" i="3"/>
  <c r="R44" i="3"/>
  <c r="S43" i="3"/>
  <c r="P41" i="3"/>
  <c r="O42" i="3"/>
  <c r="J39" i="3"/>
  <c r="I40" i="3"/>
  <c r="G38" i="3"/>
  <c r="F39" i="3"/>
  <c r="F37" i="3"/>
  <c r="G36" i="3"/>
  <c r="O36" i="3"/>
  <c r="P35" i="3"/>
  <c r="D33" i="3"/>
  <c r="C34" i="3"/>
  <c r="L33" i="3"/>
  <c r="M32" i="3"/>
  <c r="P30" i="3"/>
  <c r="O31" i="3"/>
  <c r="L30" i="3"/>
  <c r="M29" i="3"/>
  <c r="R28" i="3"/>
  <c r="S27" i="3"/>
  <c r="C25" i="3"/>
  <c r="I56" i="3"/>
  <c r="J55" i="3"/>
  <c r="C16" i="3"/>
  <c r="D15" i="3"/>
  <c r="F14" i="3"/>
  <c r="G13" i="3"/>
  <c r="M12" i="3"/>
  <c r="L13" i="3"/>
  <c r="G14" i="3"/>
  <c r="F15" i="3"/>
  <c r="J11" i="3"/>
  <c r="I12" i="3"/>
  <c r="M10" i="3"/>
  <c r="L11" i="3"/>
  <c r="J9" i="3"/>
  <c r="I10" i="3"/>
  <c r="R8" i="3"/>
  <c r="S7" i="3"/>
  <c r="D25" i="3"/>
  <c r="C26" i="3"/>
  <c r="F59" i="3"/>
  <c r="G58" i="3"/>
  <c r="O53" i="3"/>
  <c r="P52" i="3"/>
  <c r="P43" i="3"/>
  <c r="O44" i="3"/>
  <c r="C36" i="3"/>
  <c r="D35" i="3"/>
  <c r="O28" i="3"/>
  <c r="P27" i="3"/>
  <c r="D42" i="3"/>
  <c r="C43" i="3"/>
  <c r="M58" i="3"/>
  <c r="L59" i="3"/>
  <c r="F57" i="3"/>
  <c r="G56" i="3"/>
  <c r="R55" i="3"/>
  <c r="S54" i="3"/>
  <c r="J53" i="3"/>
  <c r="I54" i="3"/>
  <c r="M51" i="3"/>
  <c r="L52" i="3"/>
  <c r="F51" i="3"/>
  <c r="G50" i="3"/>
  <c r="O49" i="3"/>
  <c r="P48" i="3"/>
  <c r="J47" i="3"/>
  <c r="I48" i="3"/>
  <c r="I47" i="3"/>
  <c r="J46" i="3"/>
  <c r="I45" i="3"/>
  <c r="J44" i="3"/>
  <c r="P42" i="3"/>
  <c r="O43" i="3"/>
  <c r="G41" i="3"/>
  <c r="F42" i="3"/>
  <c r="M39" i="3"/>
  <c r="L40" i="3"/>
  <c r="I39" i="3"/>
  <c r="J38" i="3"/>
  <c r="O37" i="3"/>
  <c r="P36" i="3"/>
  <c r="I35" i="3"/>
  <c r="J34" i="3"/>
  <c r="G33" i="3"/>
  <c r="F34" i="3"/>
  <c r="R32" i="3"/>
  <c r="S31" i="3"/>
  <c r="F31" i="3"/>
  <c r="G30" i="3"/>
  <c r="C29" i="3"/>
  <c r="D28" i="3"/>
  <c r="C28" i="3"/>
  <c r="D27" i="3"/>
  <c r="J15" i="3"/>
  <c r="I16" i="3"/>
  <c r="S13" i="3"/>
  <c r="C13" i="3"/>
  <c r="D12" i="3"/>
  <c r="I21" i="3"/>
  <c r="J20" i="3"/>
  <c r="J17" i="3"/>
  <c r="I18" i="3"/>
  <c r="I13" i="4"/>
  <c r="L12" i="3"/>
  <c r="M11" i="3"/>
  <c r="D10" i="3"/>
  <c r="C11" i="3"/>
  <c r="D8" i="3"/>
  <c r="C9" i="3"/>
  <c r="C8" i="3"/>
  <c r="D7" i="3"/>
  <c r="I7" i="3"/>
  <c r="J6" i="3"/>
  <c r="J56" i="3"/>
  <c r="I57" i="3"/>
  <c r="F54" i="3"/>
  <c r="G53" i="3"/>
  <c r="L46" i="3"/>
  <c r="M45" i="3"/>
  <c r="C33" i="3"/>
  <c r="D32" i="3"/>
  <c r="P13" i="3"/>
  <c r="I11" i="3"/>
  <c r="J10" i="3"/>
  <c r="R40" i="3"/>
  <c r="S39" i="3"/>
  <c r="R58" i="3"/>
  <c r="S57" i="3"/>
  <c r="S56" i="3"/>
  <c r="R57" i="3"/>
  <c r="M54" i="3"/>
  <c r="L55" i="3"/>
  <c r="L54" i="3"/>
  <c r="M53" i="3"/>
  <c r="C52" i="3"/>
  <c r="D51" i="3"/>
  <c r="S50" i="3"/>
  <c r="R51" i="3"/>
  <c r="S48" i="3"/>
  <c r="R49" i="3"/>
  <c r="D47" i="3"/>
  <c r="C48" i="3"/>
  <c r="D45" i="3"/>
  <c r="C46" i="3"/>
  <c r="C45" i="3"/>
  <c r="D44" i="3"/>
  <c r="F43" i="3"/>
  <c r="G42" i="3"/>
  <c r="I42" i="3"/>
  <c r="J41" i="3"/>
  <c r="O40" i="3"/>
  <c r="P39" i="3"/>
  <c r="C38" i="3"/>
  <c r="D37" i="3"/>
  <c r="I37" i="3"/>
  <c r="J36" i="3"/>
  <c r="O35" i="3"/>
  <c r="P34" i="3"/>
  <c r="I34" i="3"/>
  <c r="J33" i="3"/>
  <c r="J31" i="3"/>
  <c r="I32" i="3"/>
  <c r="I31" i="3"/>
  <c r="J30" i="3"/>
  <c r="S28" i="3"/>
  <c r="R29" i="3"/>
  <c r="M26" i="3"/>
  <c r="L27" i="3"/>
  <c r="G24" i="3"/>
  <c r="F25" i="3"/>
  <c r="R56" i="3"/>
  <c r="F13" i="3"/>
  <c r="G12" i="3"/>
  <c r="C20" i="3"/>
  <c r="D19" i="3"/>
  <c r="F19" i="3"/>
  <c r="G18" i="3"/>
  <c r="X9" i="4"/>
  <c r="C12" i="3"/>
  <c r="D11" i="3"/>
  <c r="G9" i="3"/>
  <c r="F10" i="3"/>
  <c r="O9" i="3"/>
  <c r="P8" i="3"/>
  <c r="M7" i="3"/>
  <c r="L8" i="3"/>
  <c r="S6" i="3"/>
  <c r="R7" i="3"/>
  <c r="R36" i="3"/>
  <c r="S35" i="3"/>
  <c r="F56" i="3"/>
  <c r="G55" i="3"/>
  <c r="O48" i="3"/>
  <c r="P47" i="3"/>
  <c r="C41" i="3"/>
  <c r="D40" i="3"/>
  <c r="C31" i="3"/>
  <c r="D30" i="3"/>
  <c r="C18" i="3"/>
  <c r="D17" i="3"/>
  <c r="R10" i="3"/>
  <c r="S9" i="3"/>
  <c r="C58" i="3"/>
  <c r="D57" i="3"/>
  <c r="C55" i="3"/>
  <c r="D54" i="3"/>
  <c r="C53" i="3"/>
  <c r="D52" i="3"/>
  <c r="F52" i="3"/>
  <c r="G51" i="3"/>
  <c r="I50" i="3"/>
  <c r="J49" i="3"/>
  <c r="J48" i="3"/>
  <c r="I49" i="3"/>
  <c r="F48" i="3"/>
  <c r="G47" i="3"/>
  <c r="S45" i="3"/>
  <c r="R46" i="3"/>
  <c r="M44" i="3"/>
  <c r="L45" i="3"/>
  <c r="I43" i="3"/>
  <c r="J42" i="3"/>
  <c r="L41" i="3"/>
  <c r="M40" i="3"/>
  <c r="D39" i="3"/>
  <c r="C40" i="3"/>
  <c r="F38" i="3"/>
  <c r="G37" i="3"/>
  <c r="S36" i="3"/>
  <c r="R37" i="3"/>
  <c r="R35" i="3"/>
  <c r="S34" i="3"/>
  <c r="O33" i="3"/>
  <c r="P32" i="3"/>
  <c r="C32" i="3"/>
  <c r="D31" i="3"/>
  <c r="R31" i="3"/>
  <c r="S30" i="3"/>
  <c r="L29" i="3"/>
  <c r="M28" i="3"/>
  <c r="D26" i="3"/>
  <c r="C27" i="3"/>
  <c r="O54" i="3"/>
  <c r="L35" i="3"/>
  <c r="F17" i="3"/>
  <c r="G16" i="3"/>
  <c r="P12" i="3"/>
  <c r="O13" i="3"/>
  <c r="I15" i="3"/>
  <c r="J14" i="3"/>
  <c r="G17" i="3"/>
  <c r="F18" i="3"/>
  <c r="P9" i="4"/>
  <c r="S11" i="3"/>
  <c r="R12" i="3"/>
  <c r="L10" i="3"/>
  <c r="M9" i="3"/>
  <c r="L6" i="3"/>
  <c r="M8" i="3"/>
  <c r="M5" i="3"/>
  <c r="F9" i="3"/>
  <c r="G8" i="3"/>
  <c r="O11" i="4"/>
  <c r="L7" i="3"/>
  <c r="M6" i="3"/>
  <c r="O50" i="3"/>
  <c r="P49" i="3"/>
  <c r="C39" i="3"/>
  <c r="D38" i="3"/>
  <c r="I30" i="3"/>
  <c r="J29" i="3"/>
  <c r="I13" i="3"/>
  <c r="J12" i="3"/>
  <c r="G4" i="12"/>
  <c r="D34" i="12" s="1"/>
  <c r="G3" i="12"/>
  <c r="D21" i="12" s="1"/>
  <c r="G2" i="12"/>
  <c r="D9" i="12" s="1"/>
  <c r="B2" i="12"/>
  <c r="J40" i="3"/>
  <c r="I41" i="3"/>
  <c r="L57" i="3"/>
  <c r="M56" i="3"/>
  <c r="R34" i="3"/>
  <c r="S33" i="3"/>
  <c r="F36" i="3"/>
  <c r="G35" i="3"/>
  <c r="D58" i="3"/>
  <c r="C59" i="3"/>
  <c r="G57" i="3"/>
  <c r="F58" i="3"/>
  <c r="M55" i="3"/>
  <c r="L56" i="3"/>
  <c r="G54" i="3"/>
  <c r="F55" i="3"/>
  <c r="S52" i="3"/>
  <c r="R53" i="3"/>
  <c r="P51" i="3"/>
  <c r="O52" i="3"/>
  <c r="L50" i="3"/>
  <c r="M49" i="3"/>
  <c r="L49" i="3"/>
  <c r="M48" i="3"/>
  <c r="M46" i="3"/>
  <c r="L47" i="3"/>
  <c r="P45" i="3"/>
  <c r="O46" i="3"/>
  <c r="O45" i="3"/>
  <c r="P44" i="3"/>
  <c r="S42" i="3"/>
  <c r="R43" i="3"/>
  <c r="O41" i="3"/>
  <c r="P40" i="3"/>
  <c r="F40" i="3"/>
  <c r="G39" i="3"/>
  <c r="S37" i="3"/>
  <c r="R38" i="3"/>
  <c r="L37" i="3"/>
  <c r="M36" i="3"/>
  <c r="D34" i="3"/>
  <c r="C35" i="3"/>
  <c r="S32" i="3"/>
  <c r="R33" i="3"/>
  <c r="M31" i="3"/>
  <c r="L32" i="3"/>
  <c r="D29" i="3"/>
  <c r="C30" i="3"/>
  <c r="P28" i="3"/>
  <c r="O29" i="3"/>
  <c r="R27" i="3"/>
  <c r="S26" i="3"/>
  <c r="F24" i="3"/>
  <c r="O27" i="3"/>
  <c r="F16" i="3"/>
  <c r="G15" i="3"/>
  <c r="M13" i="3"/>
  <c r="S9" i="4"/>
  <c r="J9" i="4"/>
  <c r="J19" i="3"/>
  <c r="I20" i="3"/>
  <c r="I19" i="3"/>
  <c r="J18" i="3"/>
  <c r="Y9" i="4"/>
  <c r="H9" i="4"/>
  <c r="O11" i="3"/>
  <c r="P10" i="3"/>
  <c r="D9" i="3"/>
  <c r="C10" i="3"/>
  <c r="D6" i="3"/>
  <c r="C6" i="3"/>
  <c r="D5" i="3"/>
  <c r="I9" i="3"/>
  <c r="J8" i="3"/>
  <c r="G11" i="4"/>
  <c r="L43" i="3"/>
  <c r="M42" i="3"/>
  <c r="J24" i="3"/>
  <c r="L51" i="3"/>
  <c r="M50" i="3"/>
  <c r="S41" i="3"/>
  <c r="R42" i="3"/>
  <c r="P33" i="3"/>
  <c r="O34" i="3"/>
  <c r="O8" i="3"/>
  <c r="P7" i="3"/>
  <c r="C44" i="3"/>
  <c r="D43" i="3"/>
  <c r="P37" i="3"/>
  <c r="O38" i="3"/>
  <c r="D56" i="3"/>
  <c r="C57" i="3"/>
  <c r="G52" i="3"/>
  <c r="F53" i="3"/>
  <c r="F28" i="3"/>
  <c r="G27" i="3"/>
  <c r="I29" i="3"/>
  <c r="J28" i="3"/>
  <c r="I59" i="3"/>
  <c r="J58" i="3"/>
  <c r="I58" i="3"/>
  <c r="J57" i="3"/>
  <c r="O56" i="3"/>
  <c r="P55" i="3"/>
  <c r="I55" i="3"/>
  <c r="J54" i="3"/>
  <c r="I53" i="3"/>
  <c r="J52" i="3"/>
  <c r="R52" i="3"/>
  <c r="S51" i="3"/>
  <c r="S49" i="3"/>
  <c r="R50" i="3"/>
  <c r="C49" i="3"/>
  <c r="D48" i="3"/>
  <c r="D46" i="3"/>
  <c r="C47" i="3"/>
  <c r="F46" i="3"/>
  <c r="G45" i="3"/>
  <c r="F44" i="3"/>
  <c r="G43" i="3"/>
  <c r="D41" i="3"/>
  <c r="C42" i="3"/>
  <c r="G40" i="3"/>
  <c r="F41" i="3"/>
  <c r="P38" i="3"/>
  <c r="O39" i="3"/>
  <c r="J37" i="3"/>
  <c r="I38" i="3"/>
  <c r="I36" i="3"/>
  <c r="J35" i="3"/>
  <c r="F35" i="3"/>
  <c r="G34" i="3"/>
  <c r="G32" i="3"/>
  <c r="F33" i="3"/>
  <c r="F32" i="3"/>
  <c r="G31" i="3"/>
  <c r="G29" i="3"/>
  <c r="F30" i="3"/>
  <c r="J27" i="3"/>
  <c r="I28" i="3"/>
  <c r="F27" i="3"/>
  <c r="G26" i="3"/>
  <c r="F50" i="3"/>
  <c r="J16" i="3"/>
  <c r="I17" i="3"/>
  <c r="I14" i="3"/>
  <c r="J13" i="3"/>
  <c r="S11" i="4"/>
  <c r="D20" i="3"/>
  <c r="D18" i="3"/>
  <c r="C19" i="3"/>
  <c r="Y11" i="4"/>
  <c r="H11" i="4"/>
  <c r="G10" i="3"/>
  <c r="F11" i="3"/>
  <c r="S8" i="3"/>
  <c r="R6" i="3"/>
  <c r="S5" i="3"/>
  <c r="F8" i="3"/>
  <c r="G7" i="3"/>
  <c r="F7" i="3"/>
  <c r="G6" i="3"/>
  <c r="G13" i="4"/>
  <c r="C23" i="3" l="1"/>
  <c r="D15" i="5"/>
  <c r="D23" i="3"/>
  <c r="J25" i="3"/>
  <c r="D24" i="3"/>
  <c r="I25" i="3"/>
  <c r="F23" i="3"/>
  <c r="Q15" i="3"/>
  <c r="G23" i="3"/>
  <c r="J23" i="3"/>
  <c r="D22" i="3"/>
  <c r="D14" i="6"/>
  <c r="C22" i="3"/>
  <c r="E3" i="6"/>
  <c r="D15" i="6"/>
  <c r="C11" i="6"/>
  <c r="B7" i="6"/>
  <c r="C21" i="3"/>
  <c r="C15" i="6"/>
  <c r="C11" i="5"/>
  <c r="C7" i="7"/>
  <c r="C14" i="6"/>
  <c r="D21" i="3"/>
  <c r="B7" i="5"/>
  <c r="C13" i="7"/>
  <c r="C12" i="7"/>
  <c r="F22" i="3"/>
  <c r="C13" i="5"/>
  <c r="D14" i="5"/>
  <c r="D13" i="7"/>
  <c r="D12" i="7"/>
  <c r="D13" i="5"/>
  <c r="C7" i="5"/>
  <c r="E3" i="7"/>
  <c r="C15" i="7"/>
  <c r="C12" i="5"/>
  <c r="C14" i="7"/>
  <c r="C13" i="6"/>
  <c r="D31" i="12"/>
  <c r="E3" i="5"/>
  <c r="D12" i="5"/>
  <c r="I23" i="3"/>
  <c r="G13" i="7" s="1"/>
  <c r="D15" i="7"/>
  <c r="C7" i="6"/>
  <c r="C12" i="6"/>
  <c r="C14" i="5"/>
  <c r="C15" i="5"/>
  <c r="G22" i="3"/>
  <c r="G12" i="6" s="1"/>
  <c r="J22" i="3"/>
  <c r="G12" i="7" s="1"/>
  <c r="D13" i="6"/>
  <c r="D12" i="6"/>
  <c r="B7" i="7"/>
  <c r="C11" i="7"/>
  <c r="D14" i="7"/>
  <c r="D19" i="12"/>
  <c r="D28" i="12"/>
  <c r="D17" i="12"/>
  <c r="D18" i="12"/>
  <c r="N17" i="3"/>
  <c r="K15" i="3"/>
  <c r="D11" i="5"/>
  <c r="Z11" i="4"/>
  <c r="AB16" i="4"/>
  <c r="Q25" i="3" s="1"/>
  <c r="G13" i="6"/>
  <c r="AB15" i="4"/>
  <c r="N16" i="3"/>
  <c r="D11" i="12"/>
  <c r="D12" i="12"/>
  <c r="D20" i="12"/>
  <c r="Z13" i="4"/>
  <c r="N14" i="3"/>
  <c r="G7" i="5"/>
  <c r="Q17" i="3"/>
  <c r="G14" i="6"/>
  <c r="K14" i="3"/>
  <c r="D7" i="7"/>
  <c r="D11" i="6"/>
  <c r="D10" i="12"/>
  <c r="D22" i="12"/>
  <c r="D23" i="12"/>
  <c r="Z9" i="4"/>
  <c r="K16" i="3"/>
  <c r="D7" i="6"/>
  <c r="D29" i="12"/>
  <c r="D30" i="12"/>
  <c r="K17" i="3"/>
  <c r="AB14" i="4"/>
  <c r="K25" i="3" s="1"/>
  <c r="Q14" i="3"/>
  <c r="S15" i="3" s="1"/>
  <c r="D32" i="12"/>
  <c r="D33" i="12"/>
  <c r="Q16" i="3"/>
  <c r="R16" i="3" s="1"/>
  <c r="D6" i="12"/>
  <c r="N15" i="3"/>
  <c r="G15" i="6"/>
  <c r="G13" i="5"/>
  <c r="E7" i="5"/>
  <c r="E7" i="6"/>
  <c r="G7" i="6"/>
  <c r="D7" i="12"/>
  <c r="D8" i="12"/>
  <c r="D7" i="5"/>
  <c r="D11" i="7" l="1"/>
  <c r="E7" i="7"/>
  <c r="F7" i="7"/>
  <c r="G14" i="7"/>
  <c r="D24" i="12"/>
  <c r="G15" i="5"/>
  <c r="L26" i="3"/>
  <c r="N24" i="3"/>
  <c r="N25" i="3"/>
  <c r="R26" i="3"/>
  <c r="G14" i="5"/>
  <c r="G16" i="5"/>
  <c r="Q21" i="3"/>
  <c r="Q24" i="3"/>
  <c r="K23" i="3"/>
  <c r="K24" i="3"/>
  <c r="F7" i="5"/>
  <c r="G11" i="5"/>
  <c r="G12" i="5"/>
  <c r="F7" i="6"/>
  <c r="G11" i="6"/>
  <c r="G16" i="6"/>
  <c r="G11" i="7"/>
  <c r="G16" i="7"/>
  <c r="N21" i="3"/>
  <c r="N23" i="3"/>
  <c r="Q18" i="3"/>
  <c r="S18" i="3" s="1"/>
  <c r="Q23" i="3"/>
  <c r="G7" i="7"/>
  <c r="G15" i="7"/>
  <c r="Q22" i="3"/>
  <c r="Q19" i="3"/>
  <c r="N20" i="3"/>
  <c r="N18" i="3"/>
  <c r="O18" i="3" s="1"/>
  <c r="N19" i="3"/>
  <c r="D13" i="12"/>
  <c r="D35" i="12"/>
  <c r="N22" i="3"/>
  <c r="O23" i="3" s="1"/>
  <c r="Q20" i="3"/>
  <c r="P14" i="3"/>
  <c r="O15" i="3"/>
  <c r="O14" i="3"/>
  <c r="O17" i="3"/>
  <c r="P16" i="3"/>
  <c r="P17" i="3"/>
  <c r="S14" i="3"/>
  <c r="R15" i="3"/>
  <c r="R14" i="3"/>
  <c r="L15" i="3"/>
  <c r="M14" i="3"/>
  <c r="L14" i="3"/>
  <c r="S16" i="3"/>
  <c r="R17" i="3"/>
  <c r="K19" i="3"/>
  <c r="M25" i="3" s="1"/>
  <c r="K22" i="3"/>
  <c r="K20" i="3"/>
  <c r="K18" i="3"/>
  <c r="K21" i="3"/>
  <c r="L17" i="3"/>
  <c r="M16" i="3"/>
  <c r="L16" i="3"/>
  <c r="O16" i="3"/>
  <c r="P15" i="3"/>
  <c r="M17" i="3"/>
  <c r="S17" i="3"/>
  <c r="M15" i="3"/>
  <c r="S25" i="3" l="1"/>
  <c r="L24" i="3"/>
  <c r="R21" i="3"/>
  <c r="R22" i="3"/>
  <c r="O25" i="3"/>
  <c r="O26" i="3"/>
  <c r="P25" i="3"/>
  <c r="P24" i="3"/>
  <c r="L25" i="3"/>
  <c r="M24" i="3"/>
  <c r="R25" i="3"/>
  <c r="S24" i="3"/>
  <c r="P18" i="3"/>
  <c r="P19" i="3"/>
  <c r="R18" i="3"/>
  <c r="M23" i="3"/>
  <c r="S21" i="3"/>
  <c r="P21" i="3"/>
  <c r="O22" i="3"/>
  <c r="P22" i="3"/>
  <c r="S22" i="3"/>
  <c r="R23" i="3"/>
  <c r="S23" i="3"/>
  <c r="R24" i="3"/>
  <c r="O20" i="3"/>
  <c r="C11" i="10"/>
  <c r="O24" i="3"/>
  <c r="P23" i="3"/>
  <c r="C12" i="9"/>
  <c r="E3" i="9"/>
  <c r="R20" i="3"/>
  <c r="D12" i="10"/>
  <c r="P20" i="3"/>
  <c r="C15" i="9"/>
  <c r="D14" i="9"/>
  <c r="D14" i="10"/>
  <c r="D13" i="9"/>
  <c r="C7" i="9"/>
  <c r="B7" i="10"/>
  <c r="C13" i="10"/>
  <c r="C11" i="9"/>
  <c r="C13" i="9"/>
  <c r="C7" i="10"/>
  <c r="D13" i="10"/>
  <c r="D15" i="9"/>
  <c r="C12" i="10"/>
  <c r="C14" i="10"/>
  <c r="O21" i="3"/>
  <c r="D12" i="9"/>
  <c r="E3" i="10"/>
  <c r="C15" i="10"/>
  <c r="B7" i="9"/>
  <c r="O19" i="3"/>
  <c r="G7" i="9" s="1"/>
  <c r="D15" i="10"/>
  <c r="R19" i="3"/>
  <c r="C14" i="9"/>
  <c r="S19" i="3"/>
  <c r="S20" i="3"/>
  <c r="G11" i="10" s="1"/>
  <c r="M20" i="3"/>
  <c r="L21" i="3"/>
  <c r="M22" i="3"/>
  <c r="L23" i="3"/>
  <c r="L20" i="3"/>
  <c r="M19" i="3"/>
  <c r="L22" i="3"/>
  <c r="M21" i="3"/>
  <c r="M18" i="3"/>
  <c r="L19" i="3"/>
  <c r="B7" i="8"/>
  <c r="C11" i="8"/>
  <c r="C15" i="8"/>
  <c r="D15" i="8"/>
  <c r="E3" i="8"/>
  <c r="D12" i="8"/>
  <c r="D13" i="8"/>
  <c r="C14" i="8"/>
  <c r="C13" i="8"/>
  <c r="C12" i="8"/>
  <c r="C7" i="8"/>
  <c r="D14" i="8"/>
  <c r="L18" i="3"/>
  <c r="F7" i="9" l="1"/>
  <c r="G7" i="10"/>
  <c r="G13" i="10"/>
  <c r="G15" i="10"/>
  <c r="D11" i="10"/>
  <c r="G11" i="9"/>
  <c r="G16" i="10"/>
  <c r="G13" i="9"/>
  <c r="G12" i="8"/>
  <c r="E7" i="9"/>
  <c r="G12" i="9"/>
  <c r="G14" i="10"/>
  <c r="E7" i="10"/>
  <c r="D7" i="9"/>
  <c r="D7" i="10"/>
  <c r="D11" i="9"/>
  <c r="E7" i="8"/>
  <c r="F7" i="10"/>
  <c r="G14" i="9"/>
  <c r="G12" i="10"/>
  <c r="G15" i="9"/>
  <c r="G16" i="9"/>
  <c r="G7" i="8"/>
  <c r="F7" i="8"/>
  <c r="D11" i="8"/>
  <c r="G15" i="8"/>
  <c r="D7" i="8"/>
  <c r="G13" i="8"/>
  <c r="G16" i="8"/>
  <c r="G11" i="8"/>
  <c r="G14" i="8"/>
</calcChain>
</file>

<file path=xl/sharedStrings.xml><?xml version="1.0" encoding="utf-8"?>
<sst xmlns="http://schemas.openxmlformats.org/spreadsheetml/2006/main" count="440" uniqueCount="183">
  <si>
    <t>持仓配置（实盘·初始权重）</t>
  </si>
  <si>
    <t>基金简称</t>
  </si>
  <si>
    <t>华安黄金ETF联接A</t>
  </si>
  <si>
    <t>嘉实快线货币A</t>
  </si>
  <si>
    <t>宏利复兴混合A</t>
  </si>
  <si>
    <t>博道沪深300增强A</t>
  </si>
  <si>
    <t>博道沪深300指增C</t>
  </si>
  <si>
    <t>国泰通信设备ETF联接A</t>
  </si>
  <si>
    <t>国泰通信设备C</t>
  </si>
  <si>
    <t>嘉实前沿科技创新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</si>
  <si>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</si>
  <si>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</si>
  <si>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</si>
  <si>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</si>
  <si>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</si>
  <si>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</si>
  <si>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</si>
  <si>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</si>
  <si>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</si>
  <si>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</si>
  <si>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</si>
  <si>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</si>
  <si>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</si>
  <si>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</si>
  <si>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</si>
  <si>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</si>
  <si>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</si>
  <si>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</si>
  <si>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</si>
  <si>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</si>
  <si>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</si>
  <si>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</si>
  <si>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</si>
  <si>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</si>
  <si>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</si>
  <si>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</si>
  <si>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</si>
  <si>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</si>
  <si>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</si>
  <si>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</si>
  <si>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</si>
  <si>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</si>
  <si>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</si>
  <si>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</si>
  <si>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</si>
  <si>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</si>
  <si>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</si>
  <si>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</si>
  <si>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</si>
  <si>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</si>
  <si>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</si>
  <si>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</si>
  <si>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</si>
  <si>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</si>
  <si>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t>产业趋势2号 权重</t>
  </si>
  <si>
    <t>10-90 权重</t>
  </si>
  <si>
    <t>10-90基石 权重</t>
  </si>
  <si>
    <t>30-70 权重</t>
  </si>
  <si>
    <t>权重蓝色输入；Z列为各组合年化费率、AA列为各组合净值起始日(当日净值=1)。新增交易日下拉填充，下游净值与看板自动重算。</t>
  </si>
  <si>
    <t>净值数据 * 实盘</t>
  </si>
  <si>
    <t>基金代码→</t>
  </si>
  <si>
    <t>162214.OF</t>
  </si>
  <si>
    <t>宏利领先中小盘混合</t>
  </si>
  <si>
    <t>组合净值（实盘）· 各组合自起始日买入持有逐日计算</t>
  </si>
  <si>
    <t>组合 产业趋势</t>
  </si>
  <si>
    <t>组合 产业趋势基石</t>
  </si>
  <si>
    <t>组合 产业趋势2号</t>
  </si>
  <si>
    <t>组合 10-90</t>
  </si>
  <si>
    <t>组合 10-90基石</t>
  </si>
  <si>
    <t>组合 30-70</t>
  </si>
  <si>
    <t>日期</t>
  </si>
  <si>
    <t>净值</t>
  </si>
  <si>
    <t>日收益</t>
  </si>
  <si>
    <t>回撤</t>
  </si>
  <si>
    <t>各组合自其净值起始日起=1.0000；买入持有，权重随涨跌漂移；净值已按各自年化费率折每日扣费。新增日期下拉填充。</t>
  </si>
  <si>
    <t>分期持仓明细（每次调仓后的组合权重；P0=初始建仓，P1=7/1调仓后…）</t>
  </si>
  <si>
    <t>生效日</t>
  </si>
  <si>
    <t>累计因子(自动)</t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</si>
  <si>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</si>
  <si>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</si>
  <si>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</si>
  <si>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</si>
  <si>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</si>
  <si>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</si>
  <si>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</si>
  <si>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</si>
  <si>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</si>
  <si>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</si>
  <si>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</si>
  <si>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</si>
  <si>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</si>
  <si>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</si>
  <si>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</si>
  <si>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</si>
  <si>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</si>
  <si>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</si>
  <si>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</si>
  <si>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</si>
  <si>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</si>
  <si>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</si>
  <si>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</si>
  <si>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</si>
  <si>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t>产业趋势 · P0初始</t>
  </si>
  <si>
    <t>产业趋势基石 · P0初始</t>
  </si>
  <si>
    <t>产业趋势2号 · P0初始</t>
  </si>
  <si>
    <t>10-90 · P0初始</t>
  </si>
  <si>
    <t>10-90 · P1(7/1调仓后)</t>
  </si>
  <si>
    <t>10-90基石 · P0初始</t>
  </si>
  <si>
    <t>10-90基石 · P1(7/1调仓后)</t>
  </si>
  <si>
    <t>30-70 · P0初始</t>
  </si>
  <si>
    <t>30-70 · P1(7/1调仓后)</t>
  </si>
  <si>
    <t>10-90 · P2(7/7调仓后)</t>
  </si>
  <si>
    <t>10-90基石 · P2(7/7调仓后)</t>
  </si>
  <si>
    <t>30-70 · P2(7/7调仓后)</t>
  </si>
  <si>
    <t>产业趋势 · P1(7/10调仓后)</t>
  </si>
  <si>
    <t>产业趋势基石 · P1(7/10调仓后)</t>
  </si>
  <si>
    <t>产业趋势2号 · P1(7/10调仓后)</t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</si>
  <si>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</si>
  <si>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</si>
  <si>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</si>
  <si>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</si>
  <si>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</si>
  <si>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</si>
  <si>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</si>
  <si>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</si>
  <si>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</si>
  <si>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</si>
  <si>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</si>
  <si>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</si>
  <si>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</si>
  <si>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</si>
  <si>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</si>
  <si>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t>回撤修复天数(未创新高)</t>
  </si>
  <si>
    <t>近3个月</t>
  </si>
  <si>
    <t>正收益占比</t>
  </si>
  <si>
    <t>近6个月</t>
  </si>
  <si>
    <t>近1年</t>
  </si>
  <si>
    <t>卡玛比率</t>
  </si>
  <si>
    <t>产品运作情况 · 组合净值曲线</t>
  </si>
  <si>
    <t>统计区间自2026/6/1起；运作初期样本少，年化类指标仅供参考。新增交易日后请同步扩展本图数据区。</t>
  </si>
  <si>
    <t>样板间组合走势看板（产业趋势基石组合）</t>
  </si>
  <si>
    <t>样板间组合走势看板（产业趋势2号组合）</t>
  </si>
  <si>
    <t>样板间组合走势看板（10-90组合）</t>
  </si>
  <si>
    <t>样板间组合走势看板（10-90基石组合）</t>
  </si>
  <si>
    <t>样板间组合走势看板（30-70组合）</t>
  </si>
  <si>
    <t>样板间投顾组合 · 净值监控模板</t>
  </si>
  <si>
    <t>运作起始日（实盘）：产业趋势基石/10-90基石 2026/6/18 · 产业趋势 6/22 · 产业趋势2号 6/23 · 10-90/30-70 6/24 ｜ 净值口径：复权单位净值(iFinD) ｜ 买入持有(权重漂移)，各组合自其起始日净值=1</t>
  </si>
  <si>
    <t>一、模板结构</t>
  </si>
  <si>
    <t>持仓配置</t>
  </si>
  <si>
    <t>实盘6组合(产业趋势/产业趋势基石/产业趋势2号/10-90/10-90基石/30-70)成份基金、代码、初始权重、年化费率、净值起始日，可直接编辑。</t>
  </si>
  <si>
    <t>净值数据(iFinD公式)</t>
  </si>
  <si>
    <t>同花顺公式拉取复权单位净值</t>
  </si>
  <si>
    <t>组合净值</t>
  </si>
  <si>
    <t>按买入持有逐日计算四组合净值、日收益与回撤；净值已按年化费率折每日扣费(扣费后口径)。</t>
  </si>
  <si>
    <t>看板-10/20/30/增值</t>
  </si>
  <si>
    <t>6个组合各一页：业绩KPI＋收益表现＋风险特征＋净值曲线。</t>
  </si>
  <si>
    <t>二、使用说明</t>
  </si>
  <si>
    <t>每日更新</t>
  </si>
  <si>
    <t>在『净值数据』『组合净值』底部按日期顺序新增一行(公式可下拉)，看板自动刷新。</t>
  </si>
  <si>
    <t>iFinD指标</t>
  </si>
  <si>
    <t>复权净值指标代码集中在『净值数据』B2，与本地版本不符时只改此处。</t>
  </si>
  <si>
    <t>买入持有口径</t>
  </si>
  <si>
    <t>起始日按初始权重买入后持有，权重随涨跌漂移；组合起始净值=1.0000。</t>
  </si>
  <si>
    <t>扣费方式</t>
  </si>
  <si>
    <t>各组合年化费率见『实盘持仓配置』Z列；按 净值×(1-费率)^(已运作交易日数/年化交易日数) 折每日计入，看板均为扣费后口径。</t>
  </si>
  <si>
    <t>参数：无风险利率(年化)</t>
  </si>
  <si>
    <t>参数：年化交易日数</t>
  </si>
  <si>
    <t>净值曲线</t>
  </si>
  <si>
    <t>净值曲线改用日期轴+直接区域引用，横轴自起始日起、自动延伸到最新交易日，无需手改图表数据区。</t>
  </si>
  <si>
    <t>数据来源：同花顺 iFinD(复权单位净值)</t>
  </si>
  <si>
    <t>三个产业趋势组合 · 动态持仓权重监控（单只权重超过20%自动标红预警）</t>
  </si>
  <si>
    <t>末行序号(自动)</t>
  </si>
  <si>
    <t>截止净值日期：</t>
  </si>
  <si>
    <t>产业趋势毛净值</t>
  </si>
  <si>
    <t>基石毛净值</t>
  </si>
  <si>
    <t>2号毛净值</t>
  </si>
  <si>
    <t>初始权重</t>
  </si>
  <si>
    <t>动态权重(截止前一交易日)</t>
  </si>
  <si>
    <t>国泰半导体ETF联接A</t>
  </si>
  <si>
    <t>国泰通信ETF联接A</t>
  </si>
  <si>
    <t>产业趋势基石组合（起始日 2026-06-18）</t>
  </si>
  <si>
    <t>产业趋势2号组合（起始日 2026-06-23）</t>
  </si>
  <si>
    <t>国泰半导体C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</si>
</sst>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%"/>
    <numFmt numFmtId="177" formatCode="yyyy\-mm\-dd"/>
    <numFmt numFmtId="178" formatCode="0.0000"/>
    <numFmt numFmtId="179" formatCode="0.00000000%"/>
    <numFmt numFmtId="180" formatCode="yyyy\-mm\-dd\ h:mm:ss"/>
  </numFmts>
  <fonts count="23" x14ac:knownFonts="1">
    <font>
      <sz val="11"/>
      <color theme="1"/>
      <name val="宋体"/>
      <family val="2"/>
      <scheme val="minor"/>
    </font>
    <font>
      <b/>
      <sz val="18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6100"/>
      <name val="Arial"/>
      <family val="2"/>
    </font>
    <font>
      <b/>
      <sz val="11"/>
      <color rgb="FFFFFFFF"/>
      <name val="Arial"/>
      <family val="2"/>
    </font>
    <font>
      <b/>
      <sz val="17"/>
      <color rgb="FFFFFFFF"/>
      <name val="Arial"/>
      <family val="2"/>
    </font>
    <font>
      <sz val="9"/>
      <name val="宋体"/>
      <family val="3"/>
      <charset val="134"/>
      <scheme val="minor"/>
    </font>
    <font>
      <i/>
      <sz val="9"/>
      <color rgb="FF595959"/>
      <name val="Arial"/>
      <family val="2"/>
    </font>
    <font>
      <sz val="1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0"/>
      <color rgb="FF0000FF"/>
      <name val="Arial"/>
      <family val="2"/>
    </font>
    <font>
      <b/>
      <sz val="11"/>
      <color theme="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0" fontId="17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10" fontId="20" fillId="0" borderId="1" xfId="0" applyNumberFormat="1" applyFont="1" applyBorder="1" applyAlignment="1">
      <alignment horizontal="center" vertical="center" wrapText="1"/>
    </xf>
    <xf numFmtId="10" fontId="19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/>
    <xf numFmtId="0" fontId="14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22" fillId="0" borderId="0" xfId="0" applyFont="1"/>
    <xf numFmtId="0" fontId="22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2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0" fontId="0" fillId="0" borderId="0" xfId="0"/>
    <xf numFmtId="0" fontId="2" fillId="0" borderId="0" xfId="0" applyFont="1"/>
    <xf numFmtId="176" fontId="4" fillId="6" borderId="1" xfId="0" applyNumberFormat="1" applyFont="1" applyFill="1" applyBorder="1" applyAlignment="1">
      <alignment horizontal="center" vertical="center" wrapText="1"/>
    </xf>
    <xf numFmtId="176" fontId="21" fillId="7" borderId="3" xfId="0" applyNumberFormat="1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7" fontId="9" fillId="6" borderId="1" xfId="0" applyNumberFormat="1" applyFont="1" applyFill="1" applyBorder="1" applyAlignment="1">
      <alignment horizontal="center" vertical="center" wrapText="1"/>
    </xf>
    <xf numFmtId="179" fontId="0" fillId="0" borderId="0" xfId="0" applyNumberFormat="1"/>
    <xf numFmtId="180" fontId="0" fillId="0" borderId="0" xfId="0" applyNumberFormat="1"/>
    <xf numFmtId="178" fontId="19" fillId="0" borderId="1" xfId="0" applyNumberFormat="1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176" fontId="6" fillId="2" borderId="1" xfId="0" applyNumberFormat="1" applyFont="1" applyFill="1" applyBorder="1"/>
    <xf numFmtId="177" fontId="22" fillId="0" borderId="0" xfId="0" applyNumberFormat="1" applyFont="1"/>
    <xf numFmtId="0" fontId="0" fillId="0" borderId="0" xfId="0"/>
    <xf numFmtId="0" fontId="7" fillId="3" borderId="4" xfId="0" applyFont="1" applyFill="1" applyBorder="1" applyAlignment="1">
      <alignment horizontal="center"/>
    </xf>
    <xf numFmtId="0" fontId="0" fillId="0" borderId="4" xfId="0" applyBorder="1"/>
    <xf numFmtId="0" fontId="7" fillId="3" borderId="0" xfId="0" applyFont="1" applyFill="1" applyAlignment="1">
      <alignment horizontal="center"/>
    </xf>
    <xf numFmtId="0" fontId="0" fillId="0" borderId="0" xfId="0"/>
    <xf numFmtId="0" fontId="7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4" fillId="0" borderId="0" xfId="0" applyFont="1" applyAlignment="1">
      <alignment horizontal="right"/>
    </xf>
    <xf numFmtId="0" fontId="16" fillId="0" borderId="3" xfId="0" applyFont="1" applyBorder="1" applyAlignment="1">
      <alignment horizontal="left" vertical="center"/>
    </xf>
    <xf numFmtId="0" fontId="0" fillId="0" borderId="2" xfId="0" applyBorder="1"/>
    <xf numFmtId="0" fontId="11" fillId="3" borderId="0" xfId="0" applyFont="1" applyFill="1" applyAlignment="1">
      <alignment horizontal="center" vertical="center" wrapText="1"/>
    </xf>
    <xf numFmtId="0" fontId="2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实盘组合净值!$A$6:$A$59</c:f>
              <c:strCache>
                <c:ptCount val="20"/>
                <c:pt idx="0">
                  <c:v>2026-06-22</c:v>
                </c:pt>
                <c:pt idx="1">
                  <c:v>2026-06-23</c:v>
                </c:pt>
                <c:pt idx="2">
                  <c:v>2026-06-24</c:v>
                </c:pt>
                <c:pt idx="3">
                  <c:v>2026-06-25</c:v>
                </c:pt>
                <c:pt idx="4">
                  <c:v>2026-06-26</c:v>
                </c:pt>
                <c:pt idx="5">
                  <c:v>2026-06-29</c:v>
                </c:pt>
                <c:pt idx="6">
                  <c:v>2026-06-30</c:v>
                </c:pt>
                <c:pt idx="7">
                  <c:v>2026-07-01</c:v>
                </c:pt>
                <c:pt idx="8">
                  <c:v>2026-07-02</c:v>
                </c:pt>
                <c:pt idx="9">
                  <c:v>2026-07-03</c:v>
                </c:pt>
                <c:pt idx="10">
                  <c:v>2026-07-06</c:v>
                </c:pt>
                <c:pt idx="11">
                  <c:v>2026-07-07</c:v>
                </c:pt>
                <c:pt idx="12">
                  <c:v>2026-07-08</c:v>
                </c:pt>
                <c:pt idx="13">
                  <c:v>2026-07-09</c:v>
                </c:pt>
                <c:pt idx="14">
                  <c:v>2026-07-10</c:v>
                </c:pt>
                <c:pt idx="15">
                  <c:v>2026-07-13</c:v>
                </c:pt>
                <c:pt idx="16">
                  <c:v>2026-07-14</c:v>
                </c:pt>
                <c:pt idx="17">
                  <c:v>2026-07-15</c:v>
                </c:pt>
                <c:pt idx="18">
                  <c:v>2026-07-16</c:v>
                </c:pt>
                <c:pt idx="19">
                  <c:v>2026-07-17</c:v>
                </c:pt>
              </c:strCache>
            </c:strRef>
          </c:cat>
          <c:val>
            <c:numRef>
              <c:f>实盘组合净值!$B$6:$B$59</c:f>
              <c:numCache>
                <c:formatCode>0.0000</c:formatCode>
                <c:ptCount val="54"/>
                <c:pt idx="0">
                  <c:v>1</c:v>
                </c:pt>
                <c:pt idx="1">
                  <c:v>0.98042318811773688</c:v>
                </c:pt>
                <c:pt idx="2">
                  <c:v>1.0160197208922743</c:v>
                </c:pt>
                <c:pt idx="3">
                  <c:v>1.0494431551246099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0.9502400516447862</c:v>
                </c:pt>
                <c:pt idx="9">
                  <c:v>0.94321899538470466</c:v>
                </c:pt>
                <c:pt idx="10">
                  <c:v>0.92459185139429301</c:v>
                </c:pt>
                <c:pt idx="11">
                  <c:v>0.93094051945631884</c:v>
                </c:pt>
                <c:pt idx="12">
                  <c:v>0.93624162720445936</c:v>
                </c:pt>
                <c:pt idx="13">
                  <c:v>1.000119640739735</c:v>
                </c:pt>
                <c:pt idx="14">
                  <c:v>0.95179417704073732</c:v>
                </c:pt>
                <c:pt idx="15">
                  <c:v>0.91697362913212865</c:v>
                </c:pt>
                <c:pt idx="16">
                  <c:v>0.94637062365446589</c:v>
                </c:pt>
                <c:pt idx="17">
                  <c:v>0.91699688948477875</c:v>
                </c:pt>
                <c:pt idx="18">
                  <c:v>0.91695891997264201</c:v>
                </c:pt>
                <c:pt idx="19">
                  <c:v>0.87555938246245213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15659280"/>
        <c:axId val="-1315658192"/>
      </c:lineChart>
      <c:dateAx>
        <c:axId val="-1315659280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crossAx val="-1315658192"/>
        <c:crosses val="autoZero"/>
        <c:auto val="1"/>
        <c:lblOffset val="100"/>
        <c:baseTimeUnit val="days"/>
        <c:majorTimeUnit val="days"/>
      </c:dateAx>
      <c:valAx>
        <c:axId val="-1315658192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31565928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产业趋势基石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21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  <c:pt idx="10">
                  <c:v>2026-07-03</c:v>
                </c:pt>
                <c:pt idx="11">
                  <c:v>2026-07-06</c:v>
                </c:pt>
                <c:pt idx="12">
                  <c:v>2026-07-07</c:v>
                </c:pt>
                <c:pt idx="13">
                  <c:v>2026-07-08</c:v>
                </c:pt>
                <c:pt idx="14">
                  <c:v>2026-07-09</c:v>
                </c:pt>
                <c:pt idx="15">
                  <c:v>2026-07-10</c:v>
                </c:pt>
                <c:pt idx="16">
                  <c:v>2026-07-13</c:v>
                </c:pt>
                <c:pt idx="17">
                  <c:v>2026-07-14</c:v>
                </c:pt>
                <c:pt idx="18">
                  <c:v>2026-07-15</c:v>
                </c:pt>
                <c:pt idx="19">
                  <c:v>2026-07-16</c:v>
                </c:pt>
                <c:pt idx="20">
                  <c:v>2026-07-17</c:v>
                </c:pt>
              </c:strCache>
            </c:strRef>
          </c:cat>
          <c:val>
            <c:numRef>
              <c:f>实盘组合净值!$E$5:$E$59</c:f>
              <c:numCache>
                <c:formatCode>0.0000</c:formatCode>
                <c:ptCount val="55"/>
                <c:pt idx="0">
                  <c:v>1</c:v>
                </c:pt>
                <c:pt idx="1">
                  <c:v>1.0234374728432394</c:v>
                </c:pt>
                <c:pt idx="2">
                  <c:v>1.0033378905556949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1.0657543280201871</c:v>
                </c:pt>
                <c:pt idx="9">
                  <c:v>0.97222777037242381</c:v>
                </c:pt>
                <c:pt idx="10">
                  <c:v>0.9650764877591137</c:v>
                </c:pt>
                <c:pt idx="11">
                  <c:v>0.94597775731161959</c:v>
                </c:pt>
                <c:pt idx="12">
                  <c:v>0.95247542928901296</c:v>
                </c:pt>
                <c:pt idx="13">
                  <c:v>0.9578161514912864</c:v>
                </c:pt>
                <c:pt idx="14">
                  <c:v>1.0231939223043951</c:v>
                </c:pt>
                <c:pt idx="15">
                  <c:v>0.9737422822209042</c:v>
                </c:pt>
                <c:pt idx="16">
                  <c:v>0.93808139669337909</c:v>
                </c:pt>
                <c:pt idx="17">
                  <c:v>0.96830009922126792</c:v>
                </c:pt>
                <c:pt idx="18">
                  <c:v>0.93822864166205755</c:v>
                </c:pt>
                <c:pt idx="19">
                  <c:v>0.93819760973281374</c:v>
                </c:pt>
                <c:pt idx="20">
                  <c:v>0.89584501922588966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15656016"/>
        <c:axId val="-1315657648"/>
      </c:lineChart>
      <c:dateAx>
        <c:axId val="-1315656016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1315657648"/>
        <c:crosses val="autoZero"/>
        <c:auto val="1"/>
        <c:lblOffset val="100"/>
        <c:baseTimeUnit val="days"/>
        <c:majorTimeUnit val="days"/>
      </c:dateAx>
      <c:valAx>
        <c:axId val="-1315657648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31565601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实盘组合净值!$A$7:$A$59</c:f>
              <c:strCache>
                <c:ptCount val="19"/>
                <c:pt idx="0">
                  <c:v>2026-06-23</c:v>
                </c:pt>
                <c:pt idx="1">
                  <c:v>2026-06-24</c:v>
                </c:pt>
                <c:pt idx="2">
                  <c:v>2026-06-25</c:v>
                </c:pt>
                <c:pt idx="3">
                  <c:v>2026-06-26</c:v>
                </c:pt>
                <c:pt idx="4">
                  <c:v>2026-06-29</c:v>
                </c:pt>
                <c:pt idx="5">
                  <c:v>2026-06-30</c:v>
                </c:pt>
                <c:pt idx="6">
                  <c:v>2026-07-01</c:v>
                </c:pt>
                <c:pt idx="7">
                  <c:v>2026-07-02</c:v>
                </c:pt>
                <c:pt idx="8">
                  <c:v>2026-07-03</c:v>
                </c:pt>
                <c:pt idx="9">
                  <c:v>2026-07-06</c:v>
                </c:pt>
                <c:pt idx="10">
                  <c:v>2026-07-07</c:v>
                </c:pt>
                <c:pt idx="11">
                  <c:v>2026-07-08</c:v>
                </c:pt>
                <c:pt idx="12">
                  <c:v>2026-07-09</c:v>
                </c:pt>
                <c:pt idx="13">
                  <c:v>2026-07-10</c:v>
                </c:pt>
                <c:pt idx="14">
                  <c:v>2026-07-13</c:v>
                </c:pt>
                <c:pt idx="15">
                  <c:v>2026-07-14</c:v>
                </c:pt>
                <c:pt idx="16">
                  <c:v>2026-07-15</c:v>
                </c:pt>
                <c:pt idx="17">
                  <c:v>2026-07-16</c:v>
                </c:pt>
                <c:pt idx="18">
                  <c:v>2026-07-17</c:v>
                </c:pt>
              </c:strCache>
            </c:strRef>
          </c:cat>
          <c:val>
            <c:numRef>
              <c:f>实盘组合净值!$H$7:$H$59</c:f>
              <c:numCache>
                <c:formatCode>0.0000</c:formatCode>
                <c:ptCount val="53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0.9917522529182049</c:v>
                </c:pt>
                <c:pt idx="8">
                  <c:v>0.98876258967330444</c:v>
                </c:pt>
                <c:pt idx="9">
                  <c:v>0.97195202442112383</c:v>
                </c:pt>
                <c:pt idx="10">
                  <c:v>0.97477427077798739</c:v>
                </c:pt>
                <c:pt idx="11">
                  <c:v>0.98001297325673131</c:v>
                </c:pt>
                <c:pt idx="12">
                  <c:v>1.0473336640835054</c:v>
                </c:pt>
                <c:pt idx="13">
                  <c:v>0.99344026231902305</c:v>
                </c:pt>
                <c:pt idx="14">
                  <c:v>0.95546551536216062</c:v>
                </c:pt>
                <c:pt idx="15">
                  <c:v>0.98122069665460165</c:v>
                </c:pt>
                <c:pt idx="16">
                  <c:v>0.94548087050169838</c:v>
                </c:pt>
                <c:pt idx="17">
                  <c:v>0.94544172157131579</c:v>
                </c:pt>
                <c:pt idx="18">
                  <c:v>0.90356876443032785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15657104"/>
        <c:axId val="-1059371952"/>
      </c:lineChart>
      <c:dateAx>
        <c:axId val="-1315657104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crossAx val="-1059371952"/>
        <c:crosses val="autoZero"/>
        <c:auto val="1"/>
        <c:lblOffset val="100"/>
        <c:baseTimeUnit val="days"/>
        <c:majorTimeUnit val="days"/>
      </c:dateAx>
      <c:valAx>
        <c:axId val="-1059371952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31565710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18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2026-07-06</c:v>
                </c:pt>
                <c:pt idx="9">
                  <c:v>2026-07-07</c:v>
                </c:pt>
                <c:pt idx="10">
                  <c:v>2026-07-08</c:v>
                </c:pt>
                <c:pt idx="11">
                  <c:v>2026-07-09</c:v>
                </c:pt>
                <c:pt idx="12">
                  <c:v>2026-07-10</c:v>
                </c:pt>
                <c:pt idx="13">
                  <c:v>2026-07-13</c:v>
                </c:pt>
                <c:pt idx="14">
                  <c:v>2026-07-14</c:v>
                </c:pt>
                <c:pt idx="15">
                  <c:v>2026-07-15</c:v>
                </c:pt>
                <c:pt idx="16">
                  <c:v>2026-07-16</c:v>
                </c:pt>
                <c:pt idx="17">
                  <c:v>2026-07-17</c:v>
                </c:pt>
              </c:strCache>
            </c:strRef>
          </c:cat>
          <c:val>
            <c:numRef>
              <c:f>实盘组合净值!$K$8:$K$59</c:f>
              <c:numCache>
                <c:formatCode>0.0000</c:formatCode>
                <c:ptCount val="52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1.0013813603515529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0.9953694470930653</c:v>
                </c:pt>
                <c:pt idx="7">
                  <c:v>0.99652454720825456</c:v>
                </c:pt>
                <c:pt idx="8">
                  <c:v>0.99573236628105344</c:v>
                </c:pt>
                <c:pt idx="9">
                  <c:v>0.99489593645290364</c:v>
                </c:pt>
                <c:pt idx="10">
                  <c:v>0.99500515243624166</c:v>
                </c:pt>
                <c:pt idx="11">
                  <c:v>1.000025197161404</c:v>
                </c:pt>
                <c:pt idx="12">
                  <c:v>0.99617952117135355</c:v>
                </c:pt>
                <c:pt idx="13">
                  <c:v>0.99091999764701333</c:v>
                </c:pt>
                <c:pt idx="14">
                  <c:v>0.99334753088251959</c:v>
                </c:pt>
                <c:pt idx="15">
                  <c:v>0.9907172819897293</c:v>
                </c:pt>
                <c:pt idx="16">
                  <c:v>0.9906954805547824</c:v>
                </c:pt>
                <c:pt idx="17">
                  <c:v>0.98674015692893524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59373040"/>
        <c:axId val="-1059372496"/>
      </c:lineChart>
      <c:dateAx>
        <c:axId val="-1059373040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059372496"/>
        <c:crosses val="autoZero"/>
        <c:auto val="1"/>
        <c:lblOffset val="100"/>
        <c:baseTimeUnit val="days"/>
        <c:majorTimeUnit val="days"/>
      </c:dateAx>
      <c:valAx>
        <c:axId val="-1059372496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05937304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21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  <c:pt idx="8">
                  <c:v>2026-07-01</c:v>
                </c:pt>
                <c:pt idx="9">
                  <c:v>2026-07-02</c:v>
                </c:pt>
                <c:pt idx="10">
                  <c:v>2026-07-03</c:v>
                </c:pt>
                <c:pt idx="11">
                  <c:v>2026-07-06</c:v>
                </c:pt>
                <c:pt idx="12">
                  <c:v>2026-07-07</c:v>
                </c:pt>
                <c:pt idx="13">
                  <c:v>2026-07-08</c:v>
                </c:pt>
                <c:pt idx="14">
                  <c:v>2026-07-09</c:v>
                </c:pt>
                <c:pt idx="15">
                  <c:v>2026-07-10</c:v>
                </c:pt>
                <c:pt idx="16">
                  <c:v>2026-07-13</c:v>
                </c:pt>
                <c:pt idx="17">
                  <c:v>2026-07-14</c:v>
                </c:pt>
                <c:pt idx="18">
                  <c:v>2026-07-15</c:v>
                </c:pt>
                <c:pt idx="19">
                  <c:v>2026-07-16</c:v>
                </c:pt>
                <c:pt idx="20">
                  <c:v>2026-07-17</c:v>
                </c:pt>
              </c:strCache>
            </c:strRef>
          </c:cat>
          <c:val>
            <c:numRef>
              <c:f>实盘组合净值!$N$5:$N$59</c:f>
              <c:numCache>
                <c:formatCode>0.0000</c:formatCode>
                <c:ptCount val="55"/>
                <c:pt idx="0">
                  <c:v>1</c:v>
                </c:pt>
                <c:pt idx="1">
                  <c:v>1.0008955316407739</c:v>
                </c:pt>
                <c:pt idx="2">
                  <c:v>0.99782263840516405</c:v>
                </c:pt>
                <c:pt idx="3">
                  <c:v>0.99977056884376803</c:v>
                </c:pt>
                <c:pt idx="4">
                  <c:v>1.0012779820956512</c:v>
                </c:pt>
                <c:pt idx="5">
                  <c:v>0.99892980064356218</c:v>
                </c:pt>
                <c:pt idx="6">
                  <c:v>1.0005210497548791</c:v>
                </c:pt>
                <c:pt idx="7">
                  <c:v>1.0027101391424882</c:v>
                </c:pt>
                <c:pt idx="8">
                  <c:v>0.99998436731801976</c:v>
                </c:pt>
                <c:pt idx="9">
                  <c:v>0.99415279612394647</c:v>
                </c:pt>
                <c:pt idx="10">
                  <c:v>0.9950266275137456</c:v>
                </c:pt>
                <c:pt idx="11">
                  <c:v>0.99412575303434447</c:v>
                </c:pt>
                <c:pt idx="12">
                  <c:v>0.99350804574205498</c:v>
                </c:pt>
                <c:pt idx="13">
                  <c:v>0.99365826895890297</c:v>
                </c:pt>
                <c:pt idx="14">
                  <c:v>0.99875367924501901</c:v>
                </c:pt>
                <c:pt idx="15">
                  <c:v>0.99502796314950503</c:v>
                </c:pt>
                <c:pt idx="16">
                  <c:v>0.98984401811572476</c:v>
                </c:pt>
                <c:pt idx="17">
                  <c:v>0.99259572537929142</c:v>
                </c:pt>
                <c:pt idx="18">
                  <c:v>0.99020099872472955</c:v>
                </c:pt>
                <c:pt idx="19">
                  <c:v>0.9901874003964044</c:v>
                </c:pt>
                <c:pt idx="20">
                  <c:v>0.98610407756917207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59371408"/>
        <c:axId val="-1059368144"/>
      </c:lineChart>
      <c:dateAx>
        <c:axId val="-1059371408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1059368144"/>
        <c:crosses val="autoZero"/>
        <c:auto val="1"/>
        <c:lblOffset val="100"/>
        <c:baseTimeUnit val="days"/>
        <c:majorTimeUnit val="days"/>
      </c:dateAx>
      <c:valAx>
        <c:axId val="-1059368144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059371408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18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  <c:pt idx="5">
                  <c:v>2026-07-01</c:v>
                </c:pt>
                <c:pt idx="6">
                  <c:v>2026-07-02</c:v>
                </c:pt>
                <c:pt idx="7">
                  <c:v>2026-07-03</c:v>
                </c:pt>
                <c:pt idx="8">
                  <c:v>2026-07-06</c:v>
                </c:pt>
                <c:pt idx="9">
                  <c:v>2026-07-07</c:v>
                </c:pt>
                <c:pt idx="10">
                  <c:v>2026-07-08</c:v>
                </c:pt>
                <c:pt idx="11">
                  <c:v>2026-07-09</c:v>
                </c:pt>
                <c:pt idx="12">
                  <c:v>2026-07-10</c:v>
                </c:pt>
                <c:pt idx="13">
                  <c:v>2026-07-13</c:v>
                </c:pt>
                <c:pt idx="14">
                  <c:v>2026-07-14</c:v>
                </c:pt>
                <c:pt idx="15">
                  <c:v>2026-07-15</c:v>
                </c:pt>
                <c:pt idx="16">
                  <c:v>2026-07-16</c:v>
                </c:pt>
                <c:pt idx="17">
                  <c:v>2026-07-17</c:v>
                </c:pt>
              </c:strCache>
            </c:strRef>
          </c:cat>
          <c:val>
            <c:numRef>
              <c:f>实盘组合净值!$Q$8:$Q$59</c:f>
              <c:numCache>
                <c:formatCode>0.0000</c:formatCode>
                <c:ptCount val="52"/>
                <c:pt idx="0">
                  <c:v>1</c:v>
                </c:pt>
                <c:pt idx="1">
                  <c:v>1.0039732082294281</c:v>
                </c:pt>
                <c:pt idx="2">
                  <c:v>0.99720804304745392</c:v>
                </c:pt>
                <c:pt idx="3">
                  <c:v>1.0009806053834998</c:v>
                </c:pt>
                <c:pt idx="4">
                  <c:v>1.0087618711402631</c:v>
                </c:pt>
                <c:pt idx="5">
                  <c:v>1.0039155476418375</c:v>
                </c:pt>
                <c:pt idx="6">
                  <c:v>0.98752211337914919</c:v>
                </c:pt>
                <c:pt idx="7">
                  <c:v>0.99030293727219698</c:v>
                </c:pt>
                <c:pt idx="8">
                  <c:v>0.98670140137911011</c:v>
                </c:pt>
                <c:pt idx="9">
                  <c:v>0.98405318400777231</c:v>
                </c:pt>
                <c:pt idx="10">
                  <c:v>0.98291598797716384</c:v>
                </c:pt>
                <c:pt idx="11">
                  <c:v>0.99677409001455475</c:v>
                </c:pt>
                <c:pt idx="12">
                  <c:v>0.98602015725229142</c:v>
                </c:pt>
                <c:pt idx="13">
                  <c:v>0.97202141801703856</c:v>
                </c:pt>
                <c:pt idx="14">
                  <c:v>0.97923592239467805</c:v>
                </c:pt>
                <c:pt idx="15">
                  <c:v>0.97194176165457147</c:v>
                </c:pt>
                <c:pt idx="16">
                  <c:v>0.97190961466327586</c:v>
                </c:pt>
                <c:pt idx="17">
                  <c:v>0.96149451581437761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59369776"/>
        <c:axId val="-1059373584"/>
      </c:lineChart>
      <c:dateAx>
        <c:axId val="-1059369776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059373584"/>
        <c:crosses val="autoZero"/>
        <c:auto val="1"/>
        <c:lblOffset val="100"/>
        <c:baseTimeUnit val="days"/>
        <c:majorTimeUnit val="days"/>
      </c:dateAx>
      <c:valAx>
        <c:axId val="-1059373584"/>
        <c:scaling>
          <c:orientation val="minMax"/>
        </c:scaling>
        <c:delete val="0"/>
        <c:axPos val="l"/>
        <c:majorGridlines/>
        <c:numFmt formatCode="0.0000" sourceLinked="0"/>
        <c:majorTickMark val="none"/>
        <c:minorTickMark val="none"/>
        <c:tickLblPos val="nextTo"/>
        <c:crossAx val="-105936977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48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workbookViewId="0">
      <selection activeCell="G25" sqref="G25"/>
    </sheetView>
  </sheetViews>
  <sheetFormatPr defaultRowHeight="14" x14ac:dyDescent="0.25"/>
  <cols>
    <col min="1" max="1" width="16" style="33" customWidth="1"/>
    <col min="2" max="24" width="11" style="33" customWidth="1"/>
    <col min="25" max="26" width="9" style="33" customWidth="1"/>
    <col min="27" max="27" width="12" style="33" customWidth="1"/>
  </cols>
  <sheetData>
    <row r="1" spans="1:27" ht="19" customHeight="1" x14ac:dyDescent="0.4">
      <c r="A1" s="47" t="s">
        <v>0</v>
      </c>
      <c r="B1" s="48"/>
      <c r="C1" s="48"/>
    </row>
    <row r="2" spans="1:27" ht="39" customHeight="1" x14ac:dyDescent="0.25">
      <c r="A2" s="25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5" t="s">
        <v>25</v>
      </c>
      <c r="Z2" s="25" t="s">
        <v>26</v>
      </c>
      <c r="AA2" s="25" t="s">
        <v>27</v>
      </c>
    </row>
    <row r="3" spans="1:27" x14ac:dyDescent="0.25">
      <c r="A3" s="25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</row>
    <row r="4" spans="1:27" x14ac:dyDescent="0.25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35">
        <f t="shared" ref="Y4:Y9" si="0">SUM(B4:X4)</f>
        <v>0.99999999999999989</v>
      </c>
      <c r="Z4" s="36">
        <v>1.4999999999999999E-2</v>
      </c>
      <c r="AA4" s="37">
        <v>46195</v>
      </c>
    </row>
    <row r="5" spans="1:27" x14ac:dyDescent="0.25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35">
        <f t="shared" si="0"/>
        <v>0.99999999999999989</v>
      </c>
      <c r="Z5" s="36">
        <v>1.2E-2</v>
      </c>
      <c r="AA5" s="37">
        <v>46191</v>
      </c>
    </row>
    <row r="6" spans="1:27" x14ac:dyDescent="0.25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35">
        <f t="shared" si="0"/>
        <v>0.99999999999999989</v>
      </c>
      <c r="Z6" s="36">
        <v>1.4999999999999999E-2</v>
      </c>
      <c r="AA6" s="37">
        <v>46196</v>
      </c>
    </row>
    <row r="7" spans="1:27" x14ac:dyDescent="0.25">
      <c r="A7" s="4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35">
        <f t="shared" si="0"/>
        <v>1</v>
      </c>
      <c r="Z7" s="36">
        <v>8.0000000000000002E-3</v>
      </c>
      <c r="AA7" s="37">
        <v>46197</v>
      </c>
    </row>
    <row r="8" spans="1:27" x14ac:dyDescent="0.25">
      <c r="A8" s="4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35">
        <f t="shared" si="0"/>
        <v>1</v>
      </c>
      <c r="Z8" s="36">
        <v>5.0000000000000001E-3</v>
      </c>
      <c r="AA8" s="37">
        <v>46191</v>
      </c>
    </row>
    <row r="9" spans="1:27" x14ac:dyDescent="0.25">
      <c r="A9" s="4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3.7500000000000012E-2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3.7500000000000012E-2</v>
      </c>
      <c r="N9" s="5">
        <v>0</v>
      </c>
      <c r="O9" s="5">
        <v>3.7500000000000012E-2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3.7500000000000012E-2</v>
      </c>
      <c r="X9" s="5">
        <v>0.57999999999999996</v>
      </c>
      <c r="Y9" s="35">
        <f t="shared" si="0"/>
        <v>1.0000000000000002</v>
      </c>
      <c r="Z9" s="36">
        <v>1.2E-2</v>
      </c>
      <c r="AA9" s="37">
        <v>46197</v>
      </c>
    </row>
    <row r="11" spans="1:27" ht="14.5" customHeight="1" x14ac:dyDescent="0.3">
      <c r="A11" s="34" t="s">
        <v>58</v>
      </c>
    </row>
  </sheetData>
  <mergeCells count="1">
    <mergeCell ref="A1:C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showGridLines="0" workbookViewId="0">
      <selection activeCell="A2" sqref="A2"/>
    </sheetView>
  </sheetViews>
  <sheetFormatPr defaultRowHeight="14" x14ac:dyDescent="0.25"/>
  <cols>
    <col min="1" max="1" width="12" style="33" customWidth="1"/>
  </cols>
  <sheetData>
    <row r="1" spans="1:25" ht="19.5" customHeight="1" x14ac:dyDescent="0.4">
      <c r="A1" s="49" t="s">
        <v>59</v>
      </c>
      <c r="B1" s="50"/>
      <c r="C1" s="50"/>
      <c r="D1" s="50"/>
    </row>
    <row r="2" spans="1:25" x14ac:dyDescent="0.25">
      <c r="A2" s="9">
        <f ca="1">TODAY()</f>
        <v>46220</v>
      </c>
    </row>
    <row r="3" spans="1:25" ht="25" customHeight="1" x14ac:dyDescent="0.25">
      <c r="A3" s="25" t="s">
        <v>60</v>
      </c>
      <c r="B3" s="6" t="str">
        <f>实盘持仓配置!B3</f>
        <v>000216.OF</v>
      </c>
      <c r="C3" s="6" t="str">
        <f>实盘持仓配置!C3</f>
        <v>000917.OF</v>
      </c>
      <c r="D3" s="6" t="str">
        <f>实盘持仓配置!D3</f>
        <v>001170.OF</v>
      </c>
      <c r="E3" s="6" t="str">
        <f>实盘持仓配置!E3</f>
        <v>007044.OF</v>
      </c>
      <c r="F3" s="6" t="str">
        <f>实盘持仓配置!F3</f>
        <v>007045.OF</v>
      </c>
      <c r="G3" s="6" t="str">
        <f>实盘持仓配置!G3</f>
        <v>007817.OF</v>
      </c>
      <c r="H3" s="6" t="str">
        <f>实盘持仓配置!H3</f>
        <v>007818.OF</v>
      </c>
      <c r="I3" s="6" t="str">
        <f>实盘持仓配置!I3</f>
        <v>009993.OF</v>
      </c>
      <c r="J3" s="6" t="str">
        <f>实盘持仓配置!J3</f>
        <v>013840.OF</v>
      </c>
      <c r="K3" s="6" t="str">
        <f>实盘持仓配置!K3</f>
        <v>013841.OF</v>
      </c>
      <c r="L3" s="6" t="str">
        <f>实盘持仓配置!L3</f>
        <v>014201.OF</v>
      </c>
      <c r="M3" s="6" t="str">
        <f>实盘持仓配置!M3</f>
        <v>014202.OF</v>
      </c>
      <c r="N3" s="6" t="str">
        <f>实盘持仓配置!N3</f>
        <v>015453.OF</v>
      </c>
      <c r="O3" s="6" t="str">
        <f>实盘持仓配置!O3</f>
        <v>015454.OF</v>
      </c>
      <c r="P3" s="6" t="str">
        <f>实盘持仓配置!P3</f>
        <v>016370.OF</v>
      </c>
      <c r="Q3" s="6" t="str">
        <f>实盘持仓配置!Q3</f>
        <v>017488.OF</v>
      </c>
      <c r="R3" s="6" t="str">
        <f>实盘持仓配置!R3</f>
        <v>017489.OF</v>
      </c>
      <c r="S3" s="6" t="str">
        <f>实盘持仓配置!S3</f>
        <v>017612.OF</v>
      </c>
      <c r="T3" s="6" t="str">
        <f>实盘持仓配置!T3</f>
        <v>019632.OF</v>
      </c>
      <c r="U3" s="6" t="str">
        <f>实盘持仓配置!U3</f>
        <v>019633.OF</v>
      </c>
      <c r="V3" s="6" t="str">
        <f>实盘持仓配置!V3</f>
        <v>019923.OF</v>
      </c>
      <c r="W3" s="6" t="str">
        <f>实盘持仓配置!W3</f>
        <v>019924.OF</v>
      </c>
      <c r="X3" s="6" t="str">
        <f>实盘持仓配置!X3</f>
        <v>161119.OF</v>
      </c>
      <c r="Y3" s="6" t="s">
        <v>61</v>
      </c>
    </row>
    <row r="4" spans="1:25" ht="52" customHeight="1" x14ac:dyDescent="0.25">
      <c r="A4" s="25" t="str">
        <f ca="1">[1]!HX_AutoDate(1,"2026-06-18",A2,-1,-1,0,0,0,0,0,"SSE",21,0)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62</v>
      </c>
    </row>
    <row r="5" spans="1:25" x14ac:dyDescent="0.25">
      <c r="A5" s="37">
        <v>46191</v>
      </c>
      <c r="B5" s="38">
        <f>IF($A5="","",[1]!thsiFinD("ths_adjustment_nv_fund",B$3,$A5))</f>
        <v>3.2441</v>
      </c>
      <c r="C5" s="38">
        <f>IF($A5="","",[1]!thsiFinD("ths_adjustment_nv_fund",C$3,$A5))</f>
        <v>1.3172784822000001</v>
      </c>
      <c r="D5" s="38">
        <f>IF($A5="","",[1]!thsiFinD("ths_adjustment_nv_fund",D$3,$A5))</f>
        <v>6.0620000000000003</v>
      </c>
      <c r="E5" s="38">
        <f>IF($A5="","",[1]!thsiFinD("ths_adjustment_nv_fund",E$3,$A5))</f>
        <v>1.9903999999999999</v>
      </c>
      <c r="F5" s="38">
        <f>IF($A5="","",[1]!thsiFinD("ths_adjustment_nv_fund",F$3,$A5))</f>
        <v>1.9343999999999999</v>
      </c>
      <c r="G5" s="38">
        <f>IF($A5="","",[1]!thsiFinD("ths_adjustment_nv_fund",G$3,$A5))</f>
        <v>5.0274999999999999</v>
      </c>
      <c r="H5" s="38">
        <f>IF($A5="","",[1]!thsiFinD("ths_adjustment_nv_fund",H$3,$A5))</f>
        <v>4.9215</v>
      </c>
      <c r="I5" s="38">
        <f>IF($A5="","",[1]!thsiFinD("ths_adjustment_nv_fund",I$3,$A5))</f>
        <v>2.9226000000000001</v>
      </c>
      <c r="J5" s="38">
        <f>IF($A5="","",[1]!thsiFinD("ths_adjustment_nv_fund",J$3,$A5))</f>
        <v>3.0303</v>
      </c>
      <c r="K5" s="38">
        <f>IF($A5="","",[1]!thsiFinD("ths_adjustment_nv_fund",K$3,$A5))</f>
        <v>3.0028999999999999</v>
      </c>
      <c r="L5" s="38">
        <f>IF($A5="","",[1]!thsiFinD("ths_adjustment_nv_fund",L$3,$A5))</f>
        <v>1.7014</v>
      </c>
      <c r="M5" s="38">
        <f>IF($A5="","",[1]!thsiFinD("ths_adjustment_nv_fund",M$3,$A5))</f>
        <v>1.679</v>
      </c>
      <c r="N5" s="38">
        <f>IF($A5="","",[1]!thsiFinD("ths_adjustment_nv_fund",N$3,$A5))</f>
        <v>1.6274999999999999</v>
      </c>
      <c r="O5" s="38">
        <f>IF($A5="","",[1]!thsiFinD("ths_adjustment_nv_fund",O$3,$A5))</f>
        <v>1.5879000000000001</v>
      </c>
      <c r="P5" s="38">
        <f>IF($A5="","",[1]!thsiFinD("ths_adjustment_nv_fund",P$3,$A5))</f>
        <v>3.6402000000000001</v>
      </c>
      <c r="Q5" s="38">
        <f>IF($A5="","",[1]!thsiFinD("ths_adjustment_nv_fund",Q$3,$A5))</f>
        <v>4.3864000000000001</v>
      </c>
      <c r="R5" s="38">
        <f>IF($A5="","",[1]!thsiFinD("ths_adjustment_nv_fund",R$3,$A5))</f>
        <v>4.2961999999999998</v>
      </c>
      <c r="S5" s="38">
        <f>IF($A5="","",[1]!thsiFinD("ths_adjustment_nv_fund",S$3,$A5))</f>
        <v>6.0010000000000003</v>
      </c>
      <c r="T5" s="38">
        <f>IF($A5="","",[1]!thsiFinD("ths_adjustment_nv_fund",T$3,$A5))</f>
        <v>2.9918</v>
      </c>
      <c r="U5" s="38">
        <f>IF($A5="","",[1]!thsiFinD("ths_adjustment_nv_fund",U$3,$A5))</f>
        <v>2.9763999999999999</v>
      </c>
      <c r="V5" s="38">
        <f>IF($A5="","",[1]!thsiFinD("ths_adjustment_nv_fund",V$3,$A5))</f>
        <v>2.1385999999999998</v>
      </c>
      <c r="W5" s="38">
        <f>IF($A5="","",[1]!thsiFinD("ths_adjustment_nv_fund",W$3,$A5))</f>
        <v>2.1181000000000001</v>
      </c>
      <c r="X5" s="38">
        <f>IF($A5="","",[1]!thsiFinD("ths_adjustment_nv_fund",X$3,$A5))</f>
        <v>1.7868999999999999</v>
      </c>
      <c r="Y5" s="38">
        <f>IF($A5="","",[1]!thsiFinD("ths_adjustment_nv_fund",Y$3,$A5))</f>
        <v>2.39</v>
      </c>
    </row>
    <row r="6" spans="1:25" x14ac:dyDescent="0.25">
      <c r="A6" s="37">
        <v>46195</v>
      </c>
      <c r="B6" s="38">
        <f>IF($A6="","",[1]!thsiFinD("ths_adjustment_nv_fund",B$3,$A6))</f>
        <v>3.1680000000000001</v>
      </c>
      <c r="C6" s="38">
        <f>IF($A6="","",[1]!thsiFinD("ths_adjustment_nv_fund",C$3,$A6))</f>
        <v>1.3174603815000001</v>
      </c>
      <c r="D6" s="38">
        <f>IF($A6="","",[1]!thsiFinD("ths_adjustment_nv_fund",D$3,$A6))</f>
        <v>6.2590000000000003</v>
      </c>
      <c r="E6" s="38">
        <f>IF($A6="","",[1]!thsiFinD("ths_adjustment_nv_fund",E$3,$A6))</f>
        <v>2.0345</v>
      </c>
      <c r="F6" s="38">
        <f>IF($A6="","",[1]!thsiFinD("ths_adjustment_nv_fund",F$3,$A6))</f>
        <v>1.9772000000000001</v>
      </c>
      <c r="G6" s="38">
        <f>IF($A6="","",[1]!thsiFinD("ths_adjustment_nv_fund",G$3,$A6))</f>
        <v>5.1120999999999999</v>
      </c>
      <c r="H6" s="38">
        <f>IF($A6="","",[1]!thsiFinD("ths_adjustment_nv_fund",H$3,$A6))</f>
        <v>5.0042</v>
      </c>
      <c r="I6" s="38">
        <f>IF($A6="","",[1]!thsiFinD("ths_adjustment_nv_fund",I$3,$A6))</f>
        <v>2.9904999999999999</v>
      </c>
      <c r="J6" s="38">
        <f>IF($A6="","",[1]!thsiFinD("ths_adjustment_nv_fund",J$3,$A6))</f>
        <v>3.0779000000000001</v>
      </c>
      <c r="K6" s="38">
        <f>IF($A6="","",[1]!thsiFinD("ths_adjustment_nv_fund",K$3,$A6))</f>
        <v>3.05</v>
      </c>
      <c r="L6" s="38">
        <f>IF($A6="","",[1]!thsiFinD("ths_adjustment_nv_fund",L$3,$A6))</f>
        <v>1.7336</v>
      </c>
      <c r="M6" s="38">
        <f>IF($A6="","",[1]!thsiFinD("ths_adjustment_nv_fund",M$3,$A6))</f>
        <v>1.7107000000000001</v>
      </c>
      <c r="N6" s="38">
        <f>IF($A6="","",[1]!thsiFinD("ths_adjustment_nv_fund",N$3,$A6))</f>
        <v>1.6669</v>
      </c>
      <c r="O6" s="38">
        <f>IF($A6="","",[1]!thsiFinD("ths_adjustment_nv_fund",O$3,$A6))</f>
        <v>1.6263000000000001</v>
      </c>
      <c r="P6" s="38">
        <f>IF($A6="","",[1]!thsiFinD("ths_adjustment_nv_fund",P$3,$A6))</f>
        <v>3.7212000000000001</v>
      </c>
      <c r="Q6" s="38">
        <f>IF($A6="","",[1]!thsiFinD("ths_adjustment_nv_fund",Q$3,$A6))</f>
        <v>4.5077999999999996</v>
      </c>
      <c r="R6" s="38">
        <f>IF($A6="","",[1]!thsiFinD("ths_adjustment_nv_fund",R$3,$A6))</f>
        <v>4.4147999999999996</v>
      </c>
      <c r="S6" s="38">
        <f>IF($A6="","",[1]!thsiFinD("ths_adjustment_nv_fund",S$3,$A6))</f>
        <v>6.1959999999999997</v>
      </c>
      <c r="T6" s="38">
        <f>IF($A6="","",[1]!thsiFinD("ths_adjustment_nv_fund",T$3,$A6))</f>
        <v>3.0754000000000001</v>
      </c>
      <c r="U6" s="38">
        <f>IF($A6="","",[1]!thsiFinD("ths_adjustment_nv_fund",U$3,$A6))</f>
        <v>3.0594999999999999</v>
      </c>
      <c r="V6" s="38">
        <f>IF($A6="","",[1]!thsiFinD("ths_adjustment_nv_fund",V$3,$A6))</f>
        <v>2.1396999999999999</v>
      </c>
      <c r="W6" s="38">
        <f>IF($A6="","",[1]!thsiFinD("ths_adjustment_nv_fund",W$3,$A6))</f>
        <v>2.1191</v>
      </c>
      <c r="X6" s="38">
        <f>IF($A6="","",[1]!thsiFinD("ths_adjustment_nv_fund",X$3,$A6))</f>
        <v>1.7870999999999999</v>
      </c>
      <c r="Y6" s="38">
        <f>IF($A6="","",[1]!thsiFinD("ths_adjustment_nv_fund",Y$3,$A6))</f>
        <v>2.4279999999999999</v>
      </c>
    </row>
    <row r="7" spans="1:25" x14ac:dyDescent="0.25">
      <c r="A7" s="37">
        <v>46196</v>
      </c>
      <c r="B7" s="38">
        <f>IF($A7="","",[1]!thsiFinD("ths_adjustment_nv_fund",B$3,$A7))</f>
        <v>3.1160000000000001</v>
      </c>
      <c r="C7" s="38">
        <f>IF($A7="","",[1]!thsiFinD("ths_adjustment_nv_fund",C$3,$A7))</f>
        <v>1.3175125002000001</v>
      </c>
      <c r="D7" s="38">
        <f>IF($A7="","",[1]!thsiFinD("ths_adjustment_nv_fund",D$3,$A7))</f>
        <v>5.9960000000000004</v>
      </c>
      <c r="E7" s="38">
        <f>IF($A7="","",[1]!thsiFinD("ths_adjustment_nv_fund",E$3,$A7))</f>
        <v>1.9837</v>
      </c>
      <c r="F7" s="38">
        <f>IF($A7="","",[1]!thsiFinD("ths_adjustment_nv_fund",F$3,$A7))</f>
        <v>1.9278</v>
      </c>
      <c r="G7" s="38">
        <f>IF($A7="","",[1]!thsiFinD("ths_adjustment_nv_fund",G$3,$A7))</f>
        <v>4.9664999999999999</v>
      </c>
      <c r="H7" s="38">
        <f>IF($A7="","",[1]!thsiFinD("ths_adjustment_nv_fund",H$3,$A7))</f>
        <v>4.8616000000000001</v>
      </c>
      <c r="I7" s="38">
        <f>IF($A7="","",[1]!thsiFinD("ths_adjustment_nv_fund",I$3,$A7))</f>
        <v>2.9276</v>
      </c>
      <c r="J7" s="38">
        <f>IF($A7="","",[1]!thsiFinD("ths_adjustment_nv_fund",J$3,$A7))</f>
        <v>3.1004999999999998</v>
      </c>
      <c r="K7" s="38">
        <f>IF($A7="","",[1]!thsiFinD("ths_adjustment_nv_fund",K$3,$A7))</f>
        <v>3.0724</v>
      </c>
      <c r="L7" s="38">
        <f>IF($A7="","",[1]!thsiFinD("ths_adjustment_nv_fund",L$3,$A7))</f>
        <v>1.6997</v>
      </c>
      <c r="M7" s="38">
        <f>IF($A7="","",[1]!thsiFinD("ths_adjustment_nv_fund",M$3,$A7))</f>
        <v>1.6772</v>
      </c>
      <c r="N7" s="38">
        <f>IF($A7="","",[1]!thsiFinD("ths_adjustment_nv_fund",N$3,$A7))</f>
        <v>1.6389</v>
      </c>
      <c r="O7" s="38">
        <f>IF($A7="","",[1]!thsiFinD("ths_adjustment_nv_fund",O$3,$A7))</f>
        <v>1.5989</v>
      </c>
      <c r="P7" s="38">
        <f>IF($A7="","",[1]!thsiFinD("ths_adjustment_nv_fund",P$3,$A7))</f>
        <v>3.6162000000000001</v>
      </c>
      <c r="Q7" s="38">
        <f>IF($A7="","",[1]!thsiFinD("ths_adjustment_nv_fund",Q$3,$A7))</f>
        <v>4.4028</v>
      </c>
      <c r="R7" s="38">
        <f>IF($A7="","",[1]!thsiFinD("ths_adjustment_nv_fund",R$3,$A7))</f>
        <v>4.3118999999999996</v>
      </c>
      <c r="S7" s="38">
        <f>IF($A7="","",[1]!thsiFinD("ths_adjustment_nv_fund",S$3,$A7))</f>
        <v>5.9349999999999996</v>
      </c>
      <c r="T7" s="38">
        <f>IF($A7="","",[1]!thsiFinD("ths_adjustment_nv_fund",T$3,$A7))</f>
        <v>3.0746000000000002</v>
      </c>
      <c r="U7" s="38">
        <f>IF($A7="","",[1]!thsiFinD("ths_adjustment_nv_fund",U$3,$A7))</f>
        <v>3.0587</v>
      </c>
      <c r="V7" s="38">
        <f>IF($A7="","",[1]!thsiFinD("ths_adjustment_nv_fund",V$3,$A7))</f>
        <v>2.1276000000000002</v>
      </c>
      <c r="W7" s="38">
        <f>IF($A7="","",[1]!thsiFinD("ths_adjustment_nv_fund",W$3,$A7))</f>
        <v>2.1071</v>
      </c>
      <c r="X7" s="38">
        <f>IF($A7="","",[1]!thsiFinD("ths_adjustment_nv_fund",X$3,$A7))</f>
        <v>1.7863</v>
      </c>
      <c r="Y7" s="38">
        <f>IF($A7="","",[1]!thsiFinD("ths_adjustment_nv_fund",Y$3,$A7))</f>
        <v>2.4580000000000002</v>
      </c>
    </row>
    <row r="8" spans="1:25" x14ac:dyDescent="0.25">
      <c r="A8" s="37">
        <v>46197</v>
      </c>
      <c r="B8" s="38">
        <f>IF($A8="","",[1]!thsiFinD("ths_adjustment_nv_fund",B$3,$A8))</f>
        <v>3.0983999999999998</v>
      </c>
      <c r="C8" s="38">
        <f>IF($A8="","",[1]!thsiFinD("ths_adjustment_nv_fund",C$3,$A8))</f>
        <v>1.3175573088000001</v>
      </c>
      <c r="D8" s="38">
        <f>IF($A8="","",[1]!thsiFinD("ths_adjustment_nv_fund",D$3,$A8))</f>
        <v>6.1130000000000004</v>
      </c>
      <c r="E8" s="38">
        <f>IF($A8="","",[1]!thsiFinD("ths_adjustment_nv_fund",E$3,$A8))</f>
        <v>1.9931000000000001</v>
      </c>
      <c r="F8" s="38">
        <f>IF($A8="","",[1]!thsiFinD("ths_adjustment_nv_fund",F$3,$A8))</f>
        <v>1.9369000000000001</v>
      </c>
      <c r="G8" s="38">
        <f>IF($A8="","",[1]!thsiFinD("ths_adjustment_nv_fund",G$3,$A8))</f>
        <v>5.0423</v>
      </c>
      <c r="H8" s="38">
        <f>IF($A8="","",[1]!thsiFinD("ths_adjustment_nv_fund",H$3,$A8))</f>
        <v>4.9356999999999998</v>
      </c>
      <c r="I8" s="38">
        <f>IF($A8="","",[1]!thsiFinD("ths_adjustment_nv_fund",I$3,$A8))</f>
        <v>3.0529000000000002</v>
      </c>
      <c r="J8" s="38">
        <f>IF($A8="","",[1]!thsiFinD("ths_adjustment_nv_fund",J$3,$A8))</f>
        <v>3.3530000000000002</v>
      </c>
      <c r="K8" s="38">
        <f>IF($A8="","",[1]!thsiFinD("ths_adjustment_nv_fund",K$3,$A8))</f>
        <v>3.3226</v>
      </c>
      <c r="L8" s="38">
        <f>IF($A8="","",[1]!thsiFinD("ths_adjustment_nv_fund",L$3,$A8))</f>
        <v>1.7213000000000001</v>
      </c>
      <c r="M8" s="38">
        <f>IF($A8="","",[1]!thsiFinD("ths_adjustment_nv_fund",M$3,$A8))</f>
        <v>1.6984999999999999</v>
      </c>
      <c r="N8" s="38">
        <f>IF($A8="","",[1]!thsiFinD("ths_adjustment_nv_fund",N$3,$A8))</f>
        <v>1.6618999999999999</v>
      </c>
      <c r="O8" s="38">
        <f>IF($A8="","",[1]!thsiFinD("ths_adjustment_nv_fund",O$3,$A8))</f>
        <v>1.6214</v>
      </c>
      <c r="P8" s="38">
        <f>IF($A8="","",[1]!thsiFinD("ths_adjustment_nv_fund",P$3,$A8))</f>
        <v>3.7086999999999999</v>
      </c>
      <c r="Q8" s="38">
        <f>IF($A8="","",[1]!thsiFinD("ths_adjustment_nv_fund",Q$3,$A8))</f>
        <v>4.5109000000000004</v>
      </c>
      <c r="R8" s="38">
        <f>IF($A8="","",[1]!thsiFinD("ths_adjustment_nv_fund",R$3,$A8))</f>
        <v>4.4177</v>
      </c>
      <c r="S8" s="38">
        <f>IF($A8="","",[1]!thsiFinD("ths_adjustment_nv_fund",S$3,$A8))</f>
        <v>6.0510000000000002</v>
      </c>
      <c r="T8" s="38">
        <f>IF($A8="","",[1]!thsiFinD("ths_adjustment_nv_fund",T$3,$A8))</f>
        <v>3.2309000000000001</v>
      </c>
      <c r="U8" s="38">
        <f>IF($A8="","",[1]!thsiFinD("ths_adjustment_nv_fund",U$3,$A8))</f>
        <v>3.2141000000000002</v>
      </c>
      <c r="V8" s="38">
        <f>IF($A8="","",[1]!thsiFinD("ths_adjustment_nv_fund",V$3,$A8))</f>
        <v>2.1312000000000002</v>
      </c>
      <c r="W8" s="38">
        <f>IF($A8="","",[1]!thsiFinD("ths_adjustment_nv_fund",W$3,$A8))</f>
        <v>2.1107</v>
      </c>
      <c r="X8" s="38">
        <f>IF($A8="","",[1]!thsiFinD("ths_adjustment_nv_fund",X$3,$A8))</f>
        <v>1.7862</v>
      </c>
      <c r="Y8" s="38">
        <f>IF($A8="","",[1]!thsiFinD("ths_adjustment_nv_fund",Y$3,$A8))</f>
        <v>2.633</v>
      </c>
    </row>
    <row r="9" spans="1:25" x14ac:dyDescent="0.25">
      <c r="A9" s="37">
        <v>46198</v>
      </c>
      <c r="B9" s="38">
        <f>IF($A9="","",[1]!thsiFinD("ths_adjustment_nv_fund",B$3,$A9))</f>
        <v>3.0308999999999999</v>
      </c>
      <c r="C9" s="38">
        <f>IF($A9="","",[1]!thsiFinD("ths_adjustment_nv_fund",C$3,$A9))</f>
        <v>1.3176050703</v>
      </c>
      <c r="D9" s="38">
        <f>IF($A9="","",[1]!thsiFinD("ths_adjustment_nv_fund",D$3,$A9))</f>
        <v>6.3120000000000003</v>
      </c>
      <c r="E9" s="38">
        <f>IF($A9="","",[1]!thsiFinD("ths_adjustment_nv_fund",E$3,$A9))</f>
        <v>2.0205000000000002</v>
      </c>
      <c r="F9" s="38">
        <f>IF($A9="","",[1]!thsiFinD("ths_adjustment_nv_fund",F$3,$A9))</f>
        <v>1.9635</v>
      </c>
      <c r="G9" s="38">
        <f>IF($A9="","",[1]!thsiFinD("ths_adjustment_nv_fund",G$3,$A9))</f>
        <v>5.1944999999999997</v>
      </c>
      <c r="H9" s="38">
        <f>IF($A9="","",[1]!thsiFinD("ths_adjustment_nv_fund",H$3,$A9))</f>
        <v>5.0848000000000004</v>
      </c>
      <c r="I9" s="38">
        <f>IF($A9="","",[1]!thsiFinD("ths_adjustment_nv_fund",I$3,$A9))</f>
        <v>3.1735000000000002</v>
      </c>
      <c r="J9" s="38">
        <f>IF($A9="","",[1]!thsiFinD("ths_adjustment_nv_fund",J$3,$A9))</f>
        <v>3.4601999999999999</v>
      </c>
      <c r="K9" s="38">
        <f>IF($A9="","",[1]!thsiFinD("ths_adjustment_nv_fund",K$3,$A9))</f>
        <v>3.4287000000000001</v>
      </c>
      <c r="L9" s="38">
        <f>IF($A9="","",[1]!thsiFinD("ths_adjustment_nv_fund",L$3,$A9))</f>
        <v>1.7283999999999999</v>
      </c>
      <c r="M9" s="38">
        <f>IF($A9="","",[1]!thsiFinD("ths_adjustment_nv_fund",M$3,$A9))</f>
        <v>1.7056</v>
      </c>
      <c r="N9" s="38">
        <f>IF($A9="","",[1]!thsiFinD("ths_adjustment_nv_fund",N$3,$A9))</f>
        <v>1.6739999999999999</v>
      </c>
      <c r="O9" s="38">
        <f>IF($A9="","",[1]!thsiFinD("ths_adjustment_nv_fund",O$3,$A9))</f>
        <v>1.6331</v>
      </c>
      <c r="P9" s="38">
        <f>IF($A9="","",[1]!thsiFinD("ths_adjustment_nv_fund",P$3,$A9))</f>
        <v>3.8424</v>
      </c>
      <c r="Q9" s="38">
        <f>IF($A9="","",[1]!thsiFinD("ths_adjustment_nv_fund",Q$3,$A9))</f>
        <v>4.6886000000000001</v>
      </c>
      <c r="R9" s="38">
        <f>IF($A9="","",[1]!thsiFinD("ths_adjustment_nv_fund",R$3,$A9))</f>
        <v>4.5915999999999997</v>
      </c>
      <c r="S9" s="38">
        <f>IF($A9="","",[1]!thsiFinD("ths_adjustment_nv_fund",S$3,$A9))</f>
        <v>6.2480000000000002</v>
      </c>
      <c r="T9" s="38">
        <f>IF($A9="","",[1]!thsiFinD("ths_adjustment_nv_fund",T$3,$A9))</f>
        <v>3.3209</v>
      </c>
      <c r="U9" s="38">
        <f>IF($A9="","",[1]!thsiFinD("ths_adjustment_nv_fund",U$3,$A9))</f>
        <v>3.3035999999999999</v>
      </c>
      <c r="V9" s="38">
        <f>IF($A9="","",[1]!thsiFinD("ths_adjustment_nv_fund",V$3,$A9))</f>
        <v>2.1113</v>
      </c>
      <c r="W9" s="38">
        <f>IF($A9="","",[1]!thsiFinD("ths_adjustment_nv_fund",W$3,$A9))</f>
        <v>2.0909</v>
      </c>
      <c r="X9" s="38">
        <f>IF($A9="","",[1]!thsiFinD("ths_adjustment_nv_fund",X$3,$A9))</f>
        <v>1.7875000000000001</v>
      </c>
      <c r="Y9" s="38">
        <f>IF($A9="","",[1]!thsiFinD("ths_adjustment_nv_fund",Y$3,$A9))</f>
        <v>2.6920000000000002</v>
      </c>
    </row>
    <row r="10" spans="1:25" x14ac:dyDescent="0.25">
      <c r="A10" s="37">
        <v>46199</v>
      </c>
      <c r="B10" s="38">
        <f>IF($A10="","",[1]!thsiFinD("ths_adjustment_nv_fund",B$3,$A10))</f>
        <v>3.0598000000000001</v>
      </c>
      <c r="C10" s="38">
        <f>IF($A10="","",[1]!thsiFinD("ths_adjustment_nv_fund",C$3,$A10))</f>
        <v>1.3176496975</v>
      </c>
      <c r="D10" s="38">
        <f>IF($A10="","",[1]!thsiFinD("ths_adjustment_nv_fund",D$3,$A10))</f>
        <v>5.99</v>
      </c>
      <c r="E10" s="38">
        <f>IF($A10="","",[1]!thsiFinD("ths_adjustment_nv_fund",E$3,$A10))</f>
        <v>1.9618</v>
      </c>
      <c r="F10" s="38">
        <f>IF($A10="","",[1]!thsiFinD("ths_adjustment_nv_fund",F$3,$A10))</f>
        <v>1.9065000000000001</v>
      </c>
      <c r="G10" s="38">
        <f>IF($A10="","",[1]!thsiFinD("ths_adjustment_nv_fund",G$3,$A10))</f>
        <v>4.8685</v>
      </c>
      <c r="H10" s="38">
        <f>IF($A10="","",[1]!thsiFinD("ths_adjustment_nv_fund",H$3,$A10))</f>
        <v>4.7655000000000003</v>
      </c>
      <c r="I10" s="38">
        <f>IF($A10="","",[1]!thsiFinD("ths_adjustment_nv_fund",I$3,$A10))</f>
        <v>3.0956000000000001</v>
      </c>
      <c r="J10" s="38">
        <f>IF($A10="","",[1]!thsiFinD("ths_adjustment_nv_fund",J$3,$A10))</f>
        <v>3.5710000000000002</v>
      </c>
      <c r="K10" s="38">
        <f>IF($A10="","",[1]!thsiFinD("ths_adjustment_nv_fund",K$3,$A10))</f>
        <v>3.5386000000000002</v>
      </c>
      <c r="L10" s="38">
        <f>IF($A10="","",[1]!thsiFinD("ths_adjustment_nv_fund",L$3,$A10))</f>
        <v>1.6812</v>
      </c>
      <c r="M10" s="38">
        <f>IF($A10="","",[1]!thsiFinD("ths_adjustment_nv_fund",M$3,$A10))</f>
        <v>1.6589</v>
      </c>
      <c r="N10" s="38">
        <f>IF($A10="","",[1]!thsiFinD("ths_adjustment_nv_fund",N$3,$A10))</f>
        <v>1.6269</v>
      </c>
      <c r="O10" s="38">
        <f>IF($A10="","",[1]!thsiFinD("ths_adjustment_nv_fund",O$3,$A10))</f>
        <v>1.5871</v>
      </c>
      <c r="P10" s="38">
        <f>IF($A10="","",[1]!thsiFinD("ths_adjustment_nv_fund",P$3,$A10))</f>
        <v>3.5971000000000002</v>
      </c>
      <c r="Q10" s="38">
        <f>IF($A10="","",[1]!thsiFinD("ths_adjustment_nv_fund",Q$3,$A10))</f>
        <v>4.4157999999999999</v>
      </c>
      <c r="R10" s="38">
        <f>IF($A10="","",[1]!thsiFinD("ths_adjustment_nv_fund",R$3,$A10))</f>
        <v>4.3243999999999998</v>
      </c>
      <c r="S10" s="38">
        <f>IF($A10="","",[1]!thsiFinD("ths_adjustment_nv_fund",S$3,$A10))</f>
        <v>5.93</v>
      </c>
      <c r="T10" s="38">
        <f>IF($A10="","",[1]!thsiFinD("ths_adjustment_nv_fund",T$3,$A10))</f>
        <v>3.4331</v>
      </c>
      <c r="U10" s="38">
        <f>IF($A10="","",[1]!thsiFinD("ths_adjustment_nv_fund",U$3,$A10))</f>
        <v>3.4152999999999998</v>
      </c>
      <c r="V10" s="38">
        <f>IF($A10="","",[1]!thsiFinD("ths_adjustment_nv_fund",V$3,$A10))</f>
        <v>2.0535000000000001</v>
      </c>
      <c r="W10" s="38">
        <f>IF($A10="","",[1]!thsiFinD("ths_adjustment_nv_fund",W$3,$A10))</f>
        <v>2.0337000000000001</v>
      </c>
      <c r="X10" s="38">
        <f>IF($A10="","",[1]!thsiFinD("ths_adjustment_nv_fund",X$3,$A10))</f>
        <v>1.788</v>
      </c>
      <c r="Y10" s="38">
        <f>IF($A10="","",[1]!thsiFinD("ths_adjustment_nv_fund",Y$3,$A10))</f>
        <v>2.7669999999999999</v>
      </c>
    </row>
    <row r="11" spans="1:25" x14ac:dyDescent="0.25">
      <c r="A11" s="37">
        <v>46202</v>
      </c>
      <c r="B11" s="38">
        <f>IF($A11="","",[1]!thsiFinD("ths_adjustment_nv_fund",B$3,$A11))</f>
        <v>3.0722999999999998</v>
      </c>
      <c r="C11" s="38">
        <f>IF($A11="","",[1]!thsiFinD("ths_adjustment_nv_fund",C$3,$A11))</f>
        <v>1.3177907965</v>
      </c>
      <c r="D11" s="38">
        <f>IF($A11="","",[1]!thsiFinD("ths_adjustment_nv_fund",D$3,$A11))</f>
        <v>5.7949999999999999</v>
      </c>
      <c r="E11" s="38">
        <f>IF($A11="","",[1]!thsiFinD("ths_adjustment_nv_fund",E$3,$A11))</f>
        <v>1.9811000000000001</v>
      </c>
      <c r="F11" s="38">
        <f>IF($A11="","",[1]!thsiFinD("ths_adjustment_nv_fund",F$3,$A11))</f>
        <v>1.9252</v>
      </c>
      <c r="G11" s="38">
        <f>IF($A11="","",[1]!thsiFinD("ths_adjustment_nv_fund",G$3,$A11))</f>
        <v>4.7591999999999999</v>
      </c>
      <c r="H11" s="38">
        <f>IF($A11="","",[1]!thsiFinD("ths_adjustment_nv_fund",H$3,$A11))</f>
        <v>4.6585000000000001</v>
      </c>
      <c r="I11" s="38">
        <f>IF($A11="","",[1]!thsiFinD("ths_adjustment_nv_fund",I$3,$A11))</f>
        <v>3.1442000000000001</v>
      </c>
      <c r="J11" s="38">
        <f>IF($A11="","",[1]!thsiFinD("ths_adjustment_nv_fund",J$3,$A11))</f>
        <v>3.8559000000000001</v>
      </c>
      <c r="K11" s="38">
        <f>IF($A11="","",[1]!thsiFinD("ths_adjustment_nv_fund",K$3,$A11))</f>
        <v>3.8208000000000002</v>
      </c>
      <c r="L11" s="38">
        <f>IF($A11="","",[1]!thsiFinD("ths_adjustment_nv_fund",L$3,$A11))</f>
        <v>1.6827000000000001</v>
      </c>
      <c r="M11" s="38">
        <f>IF($A11="","",[1]!thsiFinD("ths_adjustment_nv_fund",M$3,$A11))</f>
        <v>1.6604000000000001</v>
      </c>
      <c r="N11" s="38">
        <f>IF($A11="","",[1]!thsiFinD("ths_adjustment_nv_fund",N$3,$A11))</f>
        <v>1.6415</v>
      </c>
      <c r="O11" s="38">
        <f>IF($A11="","",[1]!thsiFinD("ths_adjustment_nv_fund",O$3,$A11))</f>
        <v>1.6012999999999999</v>
      </c>
      <c r="P11" s="38">
        <f>IF($A11="","",[1]!thsiFinD("ths_adjustment_nv_fund",P$3,$A11))</f>
        <v>3.4931000000000001</v>
      </c>
      <c r="Q11" s="38">
        <f>IF($A11="","",[1]!thsiFinD("ths_adjustment_nv_fund",Q$3,$A11))</f>
        <v>4.3342999999999998</v>
      </c>
      <c r="R11" s="38">
        <f>IF($A11="","",[1]!thsiFinD("ths_adjustment_nv_fund",R$3,$A11))</f>
        <v>4.2443999999999997</v>
      </c>
      <c r="S11" s="38">
        <f>IF($A11="","",[1]!thsiFinD("ths_adjustment_nv_fund",S$3,$A11))</f>
        <v>5.7359999999999998</v>
      </c>
      <c r="T11" s="38">
        <f>IF($A11="","",[1]!thsiFinD("ths_adjustment_nv_fund",T$3,$A11))</f>
        <v>3.7000999999999999</v>
      </c>
      <c r="U11" s="38">
        <f>IF($A11="","",[1]!thsiFinD("ths_adjustment_nv_fund",U$3,$A11))</f>
        <v>3.6808000000000001</v>
      </c>
      <c r="V11" s="38">
        <f>IF($A11="","",[1]!thsiFinD("ths_adjustment_nv_fund",V$3,$A11))</f>
        <v>2.0396999999999998</v>
      </c>
      <c r="W11" s="38">
        <f>IF($A11="","",[1]!thsiFinD("ths_adjustment_nv_fund",W$3,$A11))</f>
        <v>2.02</v>
      </c>
      <c r="X11" s="38">
        <f>IF($A11="","",[1]!thsiFinD("ths_adjustment_nv_fund",X$3,$A11))</f>
        <v>1.7897000000000001</v>
      </c>
      <c r="Y11" s="38">
        <f>IF($A11="","",[1]!thsiFinD("ths_adjustment_nv_fund",Y$3,$A11))</f>
        <v>2.968</v>
      </c>
    </row>
    <row r="12" spans="1:25" x14ac:dyDescent="0.25">
      <c r="A12" s="37">
        <v>46203</v>
      </c>
      <c r="B12" s="38">
        <f>IF($A12="","",[1]!thsiFinD("ths_adjustment_nv_fund",B$3,$A12))</f>
        <v>3.0428999999999999</v>
      </c>
      <c r="C12" s="38">
        <f>IF($A12="","",[1]!thsiFinD("ths_adjustment_nv_fund",C$3,$A12))</f>
        <v>1.3178317665999999</v>
      </c>
      <c r="D12" s="38">
        <f>IF($A12="","",[1]!thsiFinD("ths_adjustment_nv_fund",D$3,$A12))</f>
        <v>6.024</v>
      </c>
      <c r="E12" s="38">
        <f>IF($A12="","",[1]!thsiFinD("ths_adjustment_nv_fund",E$3,$A12))</f>
        <v>2.0032000000000001</v>
      </c>
      <c r="F12" s="38">
        <f>IF($A12="","",[1]!thsiFinD("ths_adjustment_nv_fund",F$3,$A12))</f>
        <v>1.9466000000000001</v>
      </c>
      <c r="G12" s="38">
        <f>IF($A12="","",[1]!thsiFinD("ths_adjustment_nv_fund",G$3,$A12))</f>
        <v>4.9737</v>
      </c>
      <c r="H12" s="38">
        <f>IF($A12="","",[1]!thsiFinD("ths_adjustment_nv_fund",H$3,$A12))</f>
        <v>4.8684000000000003</v>
      </c>
      <c r="I12" s="38">
        <f>IF($A12="","",[1]!thsiFinD("ths_adjustment_nv_fund",I$3,$A12))</f>
        <v>3.2498999999999998</v>
      </c>
      <c r="J12" s="38">
        <f>IF($A12="","",[1]!thsiFinD("ths_adjustment_nv_fund",J$3,$A12))</f>
        <v>4.0259</v>
      </c>
      <c r="K12" s="38">
        <f>IF($A12="","",[1]!thsiFinD("ths_adjustment_nv_fund",K$3,$A12))</f>
        <v>3.9891999999999999</v>
      </c>
      <c r="L12" s="38">
        <f>IF($A12="","",[1]!thsiFinD("ths_adjustment_nv_fund",L$3,$A12))</f>
        <v>1.7173</v>
      </c>
      <c r="M12" s="38">
        <f>IF($A12="","",[1]!thsiFinD("ths_adjustment_nv_fund",M$3,$A12))</f>
        <v>1.6944999999999999</v>
      </c>
      <c r="N12" s="38">
        <f>IF($A12="","",[1]!thsiFinD("ths_adjustment_nv_fund",N$3,$A12))</f>
        <v>1.6697</v>
      </c>
      <c r="O12" s="38">
        <f>IF($A12="","",[1]!thsiFinD("ths_adjustment_nv_fund",O$3,$A12))</f>
        <v>1.6287</v>
      </c>
      <c r="P12" s="38">
        <f>IF($A12="","",[1]!thsiFinD("ths_adjustment_nv_fund",P$3,$A12))</f>
        <v>3.6819999999999999</v>
      </c>
      <c r="Q12" s="38">
        <f>IF($A12="","",[1]!thsiFinD("ths_adjustment_nv_fund",Q$3,$A12))</f>
        <v>4.5731000000000002</v>
      </c>
      <c r="R12" s="38">
        <f>IF($A12="","",[1]!thsiFinD("ths_adjustment_nv_fund",R$3,$A12))</f>
        <v>4.4781000000000004</v>
      </c>
      <c r="S12" s="38">
        <f>IF($A12="","",[1]!thsiFinD("ths_adjustment_nv_fund",S$3,$A12))</f>
        <v>5.9619999999999997</v>
      </c>
      <c r="T12" s="38">
        <f>IF($A12="","",[1]!thsiFinD("ths_adjustment_nv_fund",T$3,$A12))</f>
        <v>3.8033999999999999</v>
      </c>
      <c r="U12" s="38">
        <f>IF($A12="","",[1]!thsiFinD("ths_adjustment_nv_fund",U$3,$A12))</f>
        <v>3.7835999999999999</v>
      </c>
      <c r="V12" s="38">
        <f>IF($A12="","",[1]!thsiFinD("ths_adjustment_nv_fund",V$3,$A12))</f>
        <v>2.1004</v>
      </c>
      <c r="W12" s="38">
        <f>IF($A12="","",[1]!thsiFinD("ths_adjustment_nv_fund",W$3,$A12))</f>
        <v>2.08</v>
      </c>
      <c r="X12" s="38">
        <f>IF($A12="","",[1]!thsiFinD("ths_adjustment_nv_fund",X$3,$A12))</f>
        <v>1.7882</v>
      </c>
      <c r="Y12" s="38">
        <f>IF($A12="","",[1]!thsiFinD("ths_adjustment_nv_fund",Y$3,$A12))</f>
        <v>3.0870000000000002</v>
      </c>
    </row>
    <row r="13" spans="1:25" x14ac:dyDescent="0.25">
      <c r="A13" s="37">
        <v>46204</v>
      </c>
      <c r="B13" s="38">
        <f>IF($A13="","",[1]!thsiFinD("ths_adjustment_nv_fund",B$3,$A13))</f>
        <v>3.0102000000000002</v>
      </c>
      <c r="C13" s="38">
        <f>IF($A13="","",[1]!thsiFinD("ths_adjustment_nv_fund",C$3,$A13))</f>
        <v>1.3178766124000001</v>
      </c>
      <c r="D13" s="38">
        <f>IF($A13="","",[1]!thsiFinD("ths_adjustment_nv_fund",D$3,$A13))</f>
        <v>5.7770000000000001</v>
      </c>
      <c r="E13" s="38">
        <f>IF($A13="","",[1]!thsiFinD("ths_adjustment_nv_fund",E$3,$A13))</f>
        <v>1.9953000000000001</v>
      </c>
      <c r="F13" s="38">
        <f>IF($A13="","",[1]!thsiFinD("ths_adjustment_nv_fund",F$3,$A13))</f>
        <v>1.9389000000000001</v>
      </c>
      <c r="G13" s="38">
        <f>IF($A13="","",[1]!thsiFinD("ths_adjustment_nv_fund",G$3,$A13))</f>
        <v>4.7699999999999996</v>
      </c>
      <c r="H13" s="38">
        <f>IF($A13="","",[1]!thsiFinD("ths_adjustment_nv_fund",H$3,$A13))</f>
        <v>4.6688999999999998</v>
      </c>
      <c r="I13" s="38">
        <f>IF($A13="","",[1]!thsiFinD("ths_adjustment_nv_fund",I$3,$A13))</f>
        <v>3.1869000000000001</v>
      </c>
      <c r="J13" s="38">
        <f>IF($A13="","",[1]!thsiFinD("ths_adjustment_nv_fund",J$3,$A13))</f>
        <v>3.9714999999999998</v>
      </c>
      <c r="K13" s="38">
        <f>IF($A13="","",[1]!thsiFinD("ths_adjustment_nv_fund",K$3,$A13))</f>
        <v>3.9352999999999998</v>
      </c>
      <c r="L13" s="38">
        <f>IF($A13="","",[1]!thsiFinD("ths_adjustment_nv_fund",L$3,$A13))</f>
        <v>1.7427999999999999</v>
      </c>
      <c r="M13" s="38">
        <f>IF($A13="","",[1]!thsiFinD("ths_adjustment_nv_fund",M$3,$A13))</f>
        <v>1.7196</v>
      </c>
      <c r="N13" s="38">
        <f>IF($A13="","",[1]!thsiFinD("ths_adjustment_nv_fund",N$3,$A13))</f>
        <v>1.6754</v>
      </c>
      <c r="O13" s="38">
        <f>IF($A13="","",[1]!thsiFinD("ths_adjustment_nv_fund",O$3,$A13))</f>
        <v>1.6342000000000001</v>
      </c>
      <c r="P13" s="38">
        <f>IF($A13="","",[1]!thsiFinD("ths_adjustment_nv_fund",P$3,$A13))</f>
        <v>3.4897</v>
      </c>
      <c r="Q13" s="38">
        <f>IF($A13="","",[1]!thsiFinD("ths_adjustment_nv_fund",Q$3,$A13))</f>
        <v>4.3589000000000002</v>
      </c>
      <c r="R13" s="38">
        <f>IF($A13="","",[1]!thsiFinD("ths_adjustment_nv_fund",R$3,$A13))</f>
        <v>4.2683</v>
      </c>
      <c r="S13" s="38">
        <f>IF($A13="","",[1]!thsiFinD("ths_adjustment_nv_fund",S$3,$A13))</f>
        <v>5.718</v>
      </c>
      <c r="T13" s="38">
        <f>IF($A13="","",[1]!thsiFinD("ths_adjustment_nv_fund",T$3,$A13))</f>
        <v>3.8296000000000001</v>
      </c>
      <c r="U13" s="38">
        <f>IF($A13="","",[1]!thsiFinD("ths_adjustment_nv_fund",U$3,$A13))</f>
        <v>3.8096999999999999</v>
      </c>
      <c r="V13" s="38">
        <f>IF($A13="","",[1]!thsiFinD("ths_adjustment_nv_fund",V$3,$A13))</f>
        <v>2.1280000000000001</v>
      </c>
      <c r="W13" s="38">
        <f>IF($A13="","",[1]!thsiFinD("ths_adjustment_nv_fund",W$3,$A13))</f>
        <v>2.1073</v>
      </c>
      <c r="X13" s="38">
        <f>IF($A13="","",[1]!thsiFinD("ths_adjustment_nv_fund",X$3,$A13))</f>
        <v>1.7865</v>
      </c>
      <c r="Y13" s="38">
        <f>IF($A13="","",[1]!thsiFinD("ths_adjustment_nv_fund",Y$3,$A13))</f>
        <v>3.0369999999999999</v>
      </c>
    </row>
    <row r="14" spans="1:25" x14ac:dyDescent="0.25">
      <c r="A14" s="37">
        <v>46205</v>
      </c>
      <c r="B14" s="38">
        <f>IF($A14="","",[1]!thsiFinD("ths_adjustment_nv_fund",B$3,$A14))</f>
        <v>3.0728</v>
      </c>
      <c r="C14" s="38">
        <f>IF($A14="","",[1]!thsiFinD("ths_adjustment_nv_fund",C$3,$A14))</f>
        <v>1.3179214992999999</v>
      </c>
      <c r="D14" s="38">
        <f>IF($A14="","",[1]!thsiFinD("ths_adjustment_nv_fund",D$3,$A14))</f>
        <v>5.3630000000000004</v>
      </c>
      <c r="E14" s="38">
        <f>IF($A14="","",[1]!thsiFinD("ths_adjustment_nv_fund",E$3,$A14))</f>
        <v>1.9340999999999999</v>
      </c>
      <c r="F14" s="38">
        <f>IF($A14="","",[1]!thsiFinD("ths_adjustment_nv_fund",F$3,$A14))</f>
        <v>1.8794999999999999</v>
      </c>
      <c r="G14" s="38">
        <f>IF($A14="","",[1]!thsiFinD("ths_adjustment_nv_fund",G$3,$A14))</f>
        <v>4.4048999999999996</v>
      </c>
      <c r="H14" s="38">
        <f>IF($A14="","",[1]!thsiFinD("ths_adjustment_nv_fund",H$3,$A14))</f>
        <v>4.3114999999999997</v>
      </c>
      <c r="I14" s="38">
        <f>IF($A14="","",[1]!thsiFinD("ths_adjustment_nv_fund",I$3,$A14))</f>
        <v>2.9270999999999998</v>
      </c>
      <c r="J14" s="38">
        <f>IF($A14="","",[1]!thsiFinD("ths_adjustment_nv_fund",J$3,$A14))</f>
        <v>3.5630000000000002</v>
      </c>
      <c r="K14" s="38">
        <f>IF($A14="","",[1]!thsiFinD("ths_adjustment_nv_fund",K$3,$A14))</f>
        <v>3.5305</v>
      </c>
      <c r="L14" s="38">
        <f>IF($A14="","",[1]!thsiFinD("ths_adjustment_nv_fund",L$3,$A14))</f>
        <v>1.7058</v>
      </c>
      <c r="M14" s="38">
        <f>IF($A14="","",[1]!thsiFinD("ths_adjustment_nv_fund",M$3,$A14))</f>
        <v>1.6831</v>
      </c>
      <c r="N14" s="38">
        <f>IF($A14="","",[1]!thsiFinD("ths_adjustment_nv_fund",N$3,$A14))</f>
        <v>1.6240000000000001</v>
      </c>
      <c r="O14" s="38">
        <f>IF($A14="","",[1]!thsiFinD("ths_adjustment_nv_fund",O$3,$A14))</f>
        <v>1.5841000000000001</v>
      </c>
      <c r="P14" s="38">
        <f>IF($A14="","",[1]!thsiFinD("ths_adjustment_nv_fund",P$3,$A14))</f>
        <v>3.149</v>
      </c>
      <c r="Q14" s="38">
        <f>IF($A14="","",[1]!thsiFinD("ths_adjustment_nv_fund",Q$3,$A14))</f>
        <v>3.9685999999999999</v>
      </c>
      <c r="R14" s="38">
        <f>IF($A14="","",[1]!thsiFinD("ths_adjustment_nv_fund",R$3,$A14))</f>
        <v>3.8860999999999999</v>
      </c>
      <c r="S14" s="38">
        <f>IF($A14="","",[1]!thsiFinD("ths_adjustment_nv_fund",S$3,$A14))</f>
        <v>5.3090000000000002</v>
      </c>
      <c r="T14" s="38">
        <f>IF($A14="","",[1]!thsiFinD("ths_adjustment_nv_fund",T$3,$A14))</f>
        <v>3.4958999999999998</v>
      </c>
      <c r="U14" s="38">
        <f>IF($A14="","",[1]!thsiFinD("ths_adjustment_nv_fund",U$3,$A14))</f>
        <v>3.4777</v>
      </c>
      <c r="V14" s="38">
        <f>IF($A14="","",[1]!thsiFinD("ths_adjustment_nv_fund",V$3,$A14))</f>
        <v>2.0951</v>
      </c>
      <c r="W14" s="38">
        <f>IF($A14="","",[1]!thsiFinD("ths_adjustment_nv_fund",W$3,$A14))</f>
        <v>2.0747</v>
      </c>
      <c r="X14" s="38">
        <f>IF($A14="","",[1]!thsiFinD("ths_adjustment_nv_fund",X$3,$A14))</f>
        <v>1.7867</v>
      </c>
      <c r="Y14" s="38">
        <f>IF($A14="","",[1]!thsiFinD("ths_adjustment_nv_fund",Y$3,$A14))</f>
        <v>2.7770000000000001</v>
      </c>
    </row>
    <row r="15" spans="1:25" x14ac:dyDescent="0.25">
      <c r="A15" s="37">
        <v>46206</v>
      </c>
      <c r="B15" s="38">
        <f>IF($A15="","",[1]!thsiFinD("ths_adjustment_nv_fund",B$3,$A15))</f>
        <v>3.1547000000000001</v>
      </c>
      <c r="C15" s="38">
        <f>IF($A15="","",[1]!thsiFinD("ths_adjustment_nv_fund",C$3,$A15))</f>
        <v>1.3179684832</v>
      </c>
      <c r="D15" s="38">
        <f>IF($A15="","",[1]!thsiFinD("ths_adjustment_nv_fund",D$3,$A15))</f>
        <v>5.4050000000000002</v>
      </c>
      <c r="E15" s="38">
        <f>IF($A15="","",[1]!thsiFinD("ths_adjustment_nv_fund",E$3,$A15))</f>
        <v>1.9475</v>
      </c>
      <c r="F15" s="38">
        <f>IF($A15="","",[1]!thsiFinD("ths_adjustment_nv_fund",F$3,$A15))</f>
        <v>1.8924000000000001</v>
      </c>
      <c r="G15" s="38">
        <f>IF($A15="","",[1]!thsiFinD("ths_adjustment_nv_fund",G$3,$A15))</f>
        <v>4.4032999999999998</v>
      </c>
      <c r="H15" s="38">
        <f>IF($A15="","",[1]!thsiFinD("ths_adjustment_nv_fund",H$3,$A15))</f>
        <v>4.3098999999999998</v>
      </c>
      <c r="I15" s="38">
        <f>IF($A15="","",[1]!thsiFinD("ths_adjustment_nv_fund",I$3,$A15))</f>
        <v>2.9794</v>
      </c>
      <c r="J15" s="38">
        <f>IF($A15="","",[1]!thsiFinD("ths_adjustment_nv_fund",J$3,$A15))</f>
        <v>3.4994999999999998</v>
      </c>
      <c r="K15" s="38">
        <f>IF($A15="","",[1]!thsiFinD("ths_adjustment_nv_fund",K$3,$A15))</f>
        <v>3.4676</v>
      </c>
      <c r="L15" s="38">
        <f>IF($A15="","",[1]!thsiFinD("ths_adjustment_nv_fund",L$3,$A15))</f>
        <v>1.7109000000000001</v>
      </c>
      <c r="M15" s="38">
        <f>IF($A15="","",[1]!thsiFinD("ths_adjustment_nv_fund",M$3,$A15))</f>
        <v>1.6881999999999999</v>
      </c>
      <c r="N15" s="38">
        <f>IF($A15="","",[1]!thsiFinD("ths_adjustment_nv_fund",N$3,$A15))</f>
        <v>1.6383000000000001</v>
      </c>
      <c r="O15" s="38">
        <f>IF($A15="","",[1]!thsiFinD("ths_adjustment_nv_fund",O$3,$A15))</f>
        <v>1.5980000000000001</v>
      </c>
      <c r="P15" s="38">
        <f>IF($A15="","",[1]!thsiFinD("ths_adjustment_nv_fund",P$3,$A15))</f>
        <v>3.1377000000000002</v>
      </c>
      <c r="Q15" s="38">
        <f>IF($A15="","",[1]!thsiFinD("ths_adjustment_nv_fund",Q$3,$A15))</f>
        <v>3.9687999999999999</v>
      </c>
      <c r="R15" s="38">
        <f>IF($A15="","",[1]!thsiFinD("ths_adjustment_nv_fund",R$3,$A15))</f>
        <v>3.8862999999999999</v>
      </c>
      <c r="S15" s="38">
        <f>IF($A15="","",[1]!thsiFinD("ths_adjustment_nv_fund",S$3,$A15))</f>
        <v>5.35</v>
      </c>
      <c r="T15" s="38">
        <f>IF($A15="","",[1]!thsiFinD("ths_adjustment_nv_fund",T$3,$A15))</f>
        <v>3.3914</v>
      </c>
      <c r="U15" s="38">
        <f>IF($A15="","",[1]!thsiFinD("ths_adjustment_nv_fund",U$3,$A15))</f>
        <v>3.3736999999999999</v>
      </c>
      <c r="V15" s="38">
        <f>IF($A15="","",[1]!thsiFinD("ths_adjustment_nv_fund",V$3,$A15))</f>
        <v>2.1027999999999998</v>
      </c>
      <c r="W15" s="38">
        <f>IF($A15="","",[1]!thsiFinD("ths_adjustment_nv_fund",W$3,$A15))</f>
        <v>2.0823</v>
      </c>
      <c r="X15" s="38">
        <f>IF($A15="","",[1]!thsiFinD("ths_adjustment_nv_fund",X$3,$A15))</f>
        <v>1.7863</v>
      </c>
      <c r="Y15" s="38">
        <f>IF($A15="","",[1]!thsiFinD("ths_adjustment_nv_fund",Y$3,$A15))</f>
        <v>2.7410000000000001</v>
      </c>
    </row>
    <row r="16" spans="1:25" x14ac:dyDescent="0.25">
      <c r="A16" s="37">
        <v>46209</v>
      </c>
      <c r="B16" s="38">
        <f>IF($A16="","",[1]!thsiFinD("ths_adjustment_nv_fund",B$3,$A16))</f>
        <v>3.145</v>
      </c>
      <c r="C16" s="38">
        <f>IF($A16="","",[1]!thsiFinD("ths_adjustment_nv_fund",C$3,$A16))</f>
        <v>1.3181064792999999</v>
      </c>
      <c r="D16" s="38">
        <f>IF($A16="","",[1]!thsiFinD("ths_adjustment_nv_fund",D$3,$A16))</f>
        <v>5.234</v>
      </c>
      <c r="E16" s="38">
        <f>IF($A16="","",[1]!thsiFinD("ths_adjustment_nv_fund",E$3,$A16))</f>
        <v>1.9455</v>
      </c>
      <c r="F16" s="38">
        <f>IF($A16="","",[1]!thsiFinD("ths_adjustment_nv_fund",F$3,$A16))</f>
        <v>1.8904000000000001</v>
      </c>
      <c r="G16" s="38">
        <f>IF($A16="","",[1]!thsiFinD("ths_adjustment_nv_fund",G$3,$A16))</f>
        <v>4.2538999999999998</v>
      </c>
      <c r="H16" s="38">
        <f>IF($A16="","",[1]!thsiFinD("ths_adjustment_nv_fund",H$3,$A16))</f>
        <v>4.1635999999999997</v>
      </c>
      <c r="I16" s="38">
        <f>IF($A16="","",[1]!thsiFinD("ths_adjustment_nv_fund",I$3,$A16))</f>
        <v>2.9167999999999998</v>
      </c>
      <c r="J16" s="38">
        <f>IF($A16="","",[1]!thsiFinD("ths_adjustment_nv_fund",J$3,$A16))</f>
        <v>3.5333999999999999</v>
      </c>
      <c r="K16" s="38">
        <f>IF($A16="","",[1]!thsiFinD("ths_adjustment_nv_fund",K$3,$A16))</f>
        <v>3.5011999999999999</v>
      </c>
      <c r="L16" s="38">
        <f>IF($A16="","",[1]!thsiFinD("ths_adjustment_nv_fund",L$3,$A16))</f>
        <v>1.6875</v>
      </c>
      <c r="M16" s="38">
        <f>IF($A16="","",[1]!thsiFinD("ths_adjustment_nv_fund",M$3,$A16))</f>
        <v>1.665</v>
      </c>
      <c r="N16" s="38">
        <f>IF($A16="","",[1]!thsiFinD("ths_adjustment_nv_fund",N$3,$A16))</f>
        <v>1.6289</v>
      </c>
      <c r="O16" s="38">
        <f>IF($A16="","",[1]!thsiFinD("ths_adjustment_nv_fund",O$3,$A16))</f>
        <v>1.5888</v>
      </c>
      <c r="P16" s="38">
        <f>IF($A16="","",[1]!thsiFinD("ths_adjustment_nv_fund",P$3,$A16))</f>
        <v>3.0129000000000001</v>
      </c>
      <c r="Q16" s="38">
        <f>IF($A16="","",[1]!thsiFinD("ths_adjustment_nv_fund",Q$3,$A16))</f>
        <v>3.8572000000000002</v>
      </c>
      <c r="R16" s="38">
        <f>IF($A16="","",[1]!thsiFinD("ths_adjustment_nv_fund",R$3,$A16))</f>
        <v>3.7768000000000002</v>
      </c>
      <c r="S16" s="38">
        <f>IF($A16="","",[1]!thsiFinD("ths_adjustment_nv_fund",S$3,$A16))</f>
        <v>5.18</v>
      </c>
      <c r="T16" s="38">
        <f>IF($A16="","",[1]!thsiFinD("ths_adjustment_nv_fund",T$3,$A16))</f>
        <v>3.3597000000000001</v>
      </c>
      <c r="U16" s="38">
        <f>IF($A16="","",[1]!thsiFinD("ths_adjustment_nv_fund",U$3,$A16))</f>
        <v>3.3420999999999998</v>
      </c>
      <c r="V16" s="38">
        <f>IF($A16="","",[1]!thsiFinD("ths_adjustment_nv_fund",V$3,$A16))</f>
        <v>2.0773000000000001</v>
      </c>
      <c r="W16" s="38">
        <f>IF($A16="","",[1]!thsiFinD("ths_adjustment_nv_fund",W$3,$A16))</f>
        <v>2.0569999999999999</v>
      </c>
      <c r="X16" s="38">
        <f>IF($A16="","",[1]!thsiFinD("ths_adjustment_nv_fund",X$3,$A16))</f>
        <v>1.7876000000000001</v>
      </c>
      <c r="Y16" s="38">
        <f>IF($A16="","",[1]!thsiFinD("ths_adjustment_nv_fund",Y$3,$A16))</f>
        <v>2.7589999999999999</v>
      </c>
    </row>
    <row r="17" spans="1:25" x14ac:dyDescent="0.25">
      <c r="A17" s="37">
        <v>46210</v>
      </c>
      <c r="B17" s="38">
        <f>IF($A17="","",[1]!thsiFinD("ths_adjustment_nv_fund",B$3,$A17))</f>
        <v>3.1265000000000001</v>
      </c>
      <c r="C17" s="38">
        <f>IF($A17="","",[1]!thsiFinD("ths_adjustment_nv_fund",C$3,$A17))</f>
        <v>1.3181508468000001</v>
      </c>
      <c r="D17" s="38">
        <f>IF($A17="","",[1]!thsiFinD("ths_adjustment_nv_fund",D$3,$A17))</f>
        <v>5.26</v>
      </c>
      <c r="E17" s="38">
        <f>IF($A17="","",[1]!thsiFinD("ths_adjustment_nv_fund",E$3,$A17))</f>
        <v>1.9216</v>
      </c>
      <c r="F17" s="38">
        <f>IF($A17="","",[1]!thsiFinD("ths_adjustment_nv_fund",F$3,$A17))</f>
        <v>1.8671</v>
      </c>
      <c r="G17" s="38">
        <f>IF($A17="","",[1]!thsiFinD("ths_adjustment_nv_fund",G$3,$A17))</f>
        <v>4.2548000000000004</v>
      </c>
      <c r="H17" s="38">
        <f>IF($A17="","",[1]!thsiFinD("ths_adjustment_nv_fund",H$3,$A17))</f>
        <v>4.1645000000000003</v>
      </c>
      <c r="I17" s="38">
        <f>IF($A17="","",[1]!thsiFinD("ths_adjustment_nv_fund",I$3,$A17))</f>
        <v>2.8730000000000002</v>
      </c>
      <c r="J17" s="38">
        <f>IF($A17="","",[1]!thsiFinD("ths_adjustment_nv_fund",J$3,$A17))</f>
        <v>3.5808</v>
      </c>
      <c r="K17" s="38">
        <f>IF($A17="","",[1]!thsiFinD("ths_adjustment_nv_fund",K$3,$A17))</f>
        <v>3.548</v>
      </c>
      <c r="L17" s="38">
        <f>IF($A17="","",[1]!thsiFinD("ths_adjustment_nv_fund",L$3,$A17))</f>
        <v>1.6537999999999999</v>
      </c>
      <c r="M17" s="38">
        <f>IF($A17="","",[1]!thsiFinD("ths_adjustment_nv_fund",M$3,$A17))</f>
        <v>1.6316999999999999</v>
      </c>
      <c r="N17" s="38">
        <f>IF($A17="","",[1]!thsiFinD("ths_adjustment_nv_fund",N$3,$A17))</f>
        <v>1.6016999999999999</v>
      </c>
      <c r="O17" s="38">
        <f>IF($A17="","",[1]!thsiFinD("ths_adjustment_nv_fund",O$3,$A17))</f>
        <v>1.5623</v>
      </c>
      <c r="P17" s="38">
        <f>IF($A17="","",[1]!thsiFinD("ths_adjustment_nv_fund",P$3,$A17))</f>
        <v>3.0265</v>
      </c>
      <c r="Q17" s="38">
        <f>IF($A17="","",[1]!thsiFinD("ths_adjustment_nv_fund",Q$3,$A17))</f>
        <v>3.8613</v>
      </c>
      <c r="R17" s="38">
        <f>IF($A17="","",[1]!thsiFinD("ths_adjustment_nv_fund",R$3,$A17))</f>
        <v>3.7806999999999999</v>
      </c>
      <c r="S17" s="38">
        <f>IF($A17="","",[1]!thsiFinD("ths_adjustment_nv_fund",S$3,$A17))</f>
        <v>5.2060000000000004</v>
      </c>
      <c r="T17" s="38">
        <f>IF($A17="","",[1]!thsiFinD("ths_adjustment_nv_fund",T$3,$A17))</f>
        <v>3.4097</v>
      </c>
      <c r="U17" s="38">
        <f>IF($A17="","",[1]!thsiFinD("ths_adjustment_nv_fund",U$3,$A17))</f>
        <v>3.3917999999999999</v>
      </c>
      <c r="V17" s="38">
        <f>IF($A17="","",[1]!thsiFinD("ths_adjustment_nv_fund",V$3,$A17))</f>
        <v>2.0247000000000002</v>
      </c>
      <c r="W17" s="38">
        <f>IF($A17="","",[1]!thsiFinD("ths_adjustment_nv_fund",W$3,$A17))</f>
        <v>2.0049000000000001</v>
      </c>
      <c r="X17" s="38">
        <f>IF($A17="","",[1]!thsiFinD("ths_adjustment_nv_fund",X$3,$A17))</f>
        <v>1.7878000000000001</v>
      </c>
      <c r="Y17" s="38">
        <f>IF($A17="","",[1]!thsiFinD("ths_adjustment_nv_fund",Y$3,$A17))</f>
        <v>2.8109999999999999</v>
      </c>
    </row>
    <row r="18" spans="1:25" x14ac:dyDescent="0.25">
      <c r="A18" s="37">
        <v>46211</v>
      </c>
      <c r="B18" s="38">
        <f>IF($A18="","",[1]!thsiFinD("ths_adjustment_nv_fund",B$3,$A18))</f>
        <v>3.1217999999999999</v>
      </c>
      <c r="C18" s="38">
        <f>IF($A18="","",[1]!thsiFinD("ths_adjustment_nv_fund",C$3,$A18))</f>
        <v>1.3181960462</v>
      </c>
      <c r="D18" s="38">
        <f>IF($A18="","",[1]!thsiFinD("ths_adjustment_nv_fund",D$3,$A18))</f>
        <v>5.1440000000000001</v>
      </c>
      <c r="E18" s="38">
        <f>IF($A18="","",[1]!thsiFinD("ths_adjustment_nv_fund",E$3,$A18))</f>
        <v>1.9080999999999999</v>
      </c>
      <c r="F18" s="38">
        <f>IF($A18="","",[1]!thsiFinD("ths_adjustment_nv_fund",F$3,$A18))</f>
        <v>1.8541000000000001</v>
      </c>
      <c r="G18" s="38">
        <f>IF($A18="","",[1]!thsiFinD("ths_adjustment_nv_fund",G$3,$A18))</f>
        <v>4.2332999999999998</v>
      </c>
      <c r="H18" s="38">
        <f>IF($A18="","",[1]!thsiFinD("ths_adjustment_nv_fund",H$3,$A18))</f>
        <v>4.1433999999999997</v>
      </c>
      <c r="I18" s="38">
        <f>IF($A18="","",[1]!thsiFinD("ths_adjustment_nv_fund",I$3,$A18))</f>
        <v>2.8494000000000002</v>
      </c>
      <c r="J18" s="38">
        <f>IF($A18="","",[1]!thsiFinD("ths_adjustment_nv_fund",J$3,$A18))</f>
        <v>3.7338</v>
      </c>
      <c r="K18" s="38">
        <f>IF($A18="","",[1]!thsiFinD("ths_adjustment_nv_fund",K$3,$A18))</f>
        <v>3.6997</v>
      </c>
      <c r="L18" s="38">
        <f>IF($A18="","",[1]!thsiFinD("ths_adjustment_nv_fund",L$3,$A18))</f>
        <v>1.6147</v>
      </c>
      <c r="M18" s="38">
        <f>IF($A18="","",[1]!thsiFinD("ths_adjustment_nv_fund",M$3,$A18))</f>
        <v>1.5931</v>
      </c>
      <c r="N18" s="38">
        <f>IF($A18="","",[1]!thsiFinD("ths_adjustment_nv_fund",N$3,$A18))</f>
        <v>1.5797000000000001</v>
      </c>
      <c r="O18" s="38">
        <f>IF($A18="","",[1]!thsiFinD("ths_adjustment_nv_fund",O$3,$A18))</f>
        <v>1.5407999999999999</v>
      </c>
      <c r="P18" s="38">
        <f>IF($A18="","",[1]!thsiFinD("ths_adjustment_nv_fund",P$3,$A18))</f>
        <v>2.9929999999999999</v>
      </c>
      <c r="Q18" s="38">
        <f>IF($A18="","",[1]!thsiFinD("ths_adjustment_nv_fund",Q$3,$A18))</f>
        <v>3.8597000000000001</v>
      </c>
      <c r="R18" s="38">
        <f>IF($A18="","",[1]!thsiFinD("ths_adjustment_nv_fund",R$3,$A18))</f>
        <v>3.7791000000000001</v>
      </c>
      <c r="S18" s="38">
        <f>IF($A18="","",[1]!thsiFinD("ths_adjustment_nv_fund",S$3,$A18))</f>
        <v>5.0910000000000002</v>
      </c>
      <c r="T18" s="38">
        <f>IF($A18="","",[1]!thsiFinD("ths_adjustment_nv_fund",T$3,$A18))</f>
        <v>3.4561000000000002</v>
      </c>
      <c r="U18" s="38">
        <f>IF($A18="","",[1]!thsiFinD("ths_adjustment_nv_fund",U$3,$A18))</f>
        <v>3.4380000000000002</v>
      </c>
      <c r="V18" s="38">
        <f>IF($A18="","",[1]!thsiFinD("ths_adjustment_nv_fund",V$3,$A18))</f>
        <v>1.9785999999999999</v>
      </c>
      <c r="W18" s="38">
        <f>IF($A18="","",[1]!thsiFinD("ths_adjustment_nv_fund",W$3,$A18))</f>
        <v>1.9592000000000001</v>
      </c>
      <c r="X18" s="38">
        <f>IF($A18="","",[1]!thsiFinD("ths_adjustment_nv_fund",X$3,$A18))</f>
        <v>1.7887999999999999</v>
      </c>
      <c r="Y18" s="38">
        <f>IF($A18="","",[1]!thsiFinD("ths_adjustment_nv_fund",Y$3,$A18))</f>
        <v>2.92</v>
      </c>
    </row>
    <row r="19" spans="1:25" x14ac:dyDescent="0.25">
      <c r="A19" s="37">
        <v>46212</v>
      </c>
      <c r="B19" s="38">
        <f>IF($A19="","",[1]!thsiFinD("ths_adjustment_nv_fund",B$3,$A19))</f>
        <v>3.1112000000000002</v>
      </c>
      <c r="C19" s="38">
        <f>IF($A19="","",[1]!thsiFinD("ths_adjustment_nv_fund",C$3,$A19))</f>
        <v>1.3182393620999999</v>
      </c>
      <c r="D19" s="38">
        <f>IF($A19="","",[1]!thsiFinD("ths_adjustment_nv_fund",D$3,$A19))</f>
        <v>5.4260000000000002</v>
      </c>
      <c r="E19" s="38">
        <f>IF($A19="","",[1]!thsiFinD("ths_adjustment_nv_fund",E$3,$A19))</f>
        <v>1.9578</v>
      </c>
      <c r="F19" s="38">
        <f>IF($A19="","",[1]!thsiFinD("ths_adjustment_nv_fund",F$3,$A19))</f>
        <v>1.9023000000000001</v>
      </c>
      <c r="G19" s="38">
        <f>IF($A19="","",[1]!thsiFinD("ths_adjustment_nv_fund",G$3,$A19))</f>
        <v>4.4805999999999999</v>
      </c>
      <c r="H19" s="38">
        <f>IF($A19="","",[1]!thsiFinD("ths_adjustment_nv_fund",H$3,$A19))</f>
        <v>4.3853999999999997</v>
      </c>
      <c r="I19" s="38">
        <f>IF($A19="","",[1]!thsiFinD("ths_adjustment_nv_fund",I$3,$A19))</f>
        <v>3.0668000000000002</v>
      </c>
      <c r="J19" s="38">
        <f>IF($A19="","",[1]!thsiFinD("ths_adjustment_nv_fund",J$3,$A19))</f>
        <v>4.0079000000000002</v>
      </c>
      <c r="K19" s="38">
        <f>IF($A19="","",[1]!thsiFinD("ths_adjustment_nv_fund",K$3,$A19))</f>
        <v>3.9712000000000001</v>
      </c>
      <c r="L19" s="38">
        <f>IF($A19="","",[1]!thsiFinD("ths_adjustment_nv_fund",L$3,$A19))</f>
        <v>1.6453</v>
      </c>
      <c r="M19" s="38">
        <f>IF($A19="","",[1]!thsiFinD("ths_adjustment_nv_fund",M$3,$A19))</f>
        <v>1.6233</v>
      </c>
      <c r="N19" s="38">
        <f>IF($A19="","",[1]!thsiFinD("ths_adjustment_nv_fund",N$3,$A19))</f>
        <v>1.6208</v>
      </c>
      <c r="O19" s="38">
        <f>IF($A19="","",[1]!thsiFinD("ths_adjustment_nv_fund",O$3,$A19))</f>
        <v>1.5808</v>
      </c>
      <c r="P19" s="38">
        <f>IF($A19="","",[1]!thsiFinD("ths_adjustment_nv_fund",P$3,$A19))</f>
        <v>3.2141999999999999</v>
      </c>
      <c r="Q19" s="38">
        <f>IF($A19="","",[1]!thsiFinD("ths_adjustment_nv_fund",Q$3,$A19))</f>
        <v>4.0995999999999997</v>
      </c>
      <c r="R19" s="38">
        <f>IF($A19="","",[1]!thsiFinD("ths_adjustment_nv_fund",R$3,$A19))</f>
        <v>4.0138999999999996</v>
      </c>
      <c r="S19" s="38">
        <f>IF($A19="","",[1]!thsiFinD("ths_adjustment_nv_fund",S$3,$A19))</f>
        <v>5.37</v>
      </c>
      <c r="T19" s="38">
        <f>IF($A19="","",[1]!thsiFinD("ths_adjustment_nv_fund",T$3,$A19))</f>
        <v>3.7847</v>
      </c>
      <c r="U19" s="38">
        <f>IF($A19="","",[1]!thsiFinD("ths_adjustment_nv_fund",U$3,$A19))</f>
        <v>3.7648000000000001</v>
      </c>
      <c r="V19" s="38">
        <f>IF($A19="","",[1]!thsiFinD("ths_adjustment_nv_fund",V$3,$A19))</f>
        <v>2.0093000000000001</v>
      </c>
      <c r="W19" s="38">
        <f>IF($A19="","",[1]!thsiFinD("ths_adjustment_nv_fund",W$3,$A19))</f>
        <v>1.9896</v>
      </c>
      <c r="X19" s="38">
        <f>IF($A19="","",[1]!thsiFinD("ths_adjustment_nv_fund",X$3,$A19))</f>
        <v>1.7889999999999999</v>
      </c>
      <c r="Y19" s="38">
        <f>IF($A19="","",[1]!thsiFinD("ths_adjustment_nv_fund",Y$3,$A19))</f>
        <v>3.1560000000000001</v>
      </c>
    </row>
    <row r="20" spans="1:25" x14ac:dyDescent="0.25">
      <c r="A20" s="37">
        <v>46213</v>
      </c>
      <c r="B20" s="38">
        <f>IF($A20="","",[1]!thsiFinD("ths_adjustment_nv_fund",B$3,$A20))</f>
        <v>3.1082000000000001</v>
      </c>
      <c r="C20" s="38">
        <f>IF($A20="","",[1]!thsiFinD("ths_adjustment_nv_fund",C$3,$A20))</f>
        <v>1.3182847491</v>
      </c>
      <c r="D20" s="38">
        <f>IF($A20="","",[1]!thsiFinD("ths_adjustment_nv_fund",D$3,$A20))</f>
        <v>5.1680000000000001</v>
      </c>
      <c r="E20" s="38">
        <f>IF($A20="","",[1]!thsiFinD("ths_adjustment_nv_fund",E$3,$A20))</f>
        <v>1.917</v>
      </c>
      <c r="F20" s="38">
        <f>IF($A20="","",[1]!thsiFinD("ths_adjustment_nv_fund",F$3,$A20))</f>
        <v>1.8627</v>
      </c>
      <c r="G20" s="38">
        <f>IF($A20="","",[1]!thsiFinD("ths_adjustment_nv_fund",G$3,$A20))</f>
        <v>4.3510999999999997</v>
      </c>
      <c r="H20" s="38">
        <f>IF($A20="","",[1]!thsiFinD("ths_adjustment_nv_fund",H$3,$A20))</f>
        <v>4.2586000000000004</v>
      </c>
      <c r="I20" s="38">
        <f>IF($A20="","",[1]!thsiFinD("ths_adjustment_nv_fund",I$3,$A20))</f>
        <v>2.8755000000000002</v>
      </c>
      <c r="J20" s="38">
        <f>IF($A20="","",[1]!thsiFinD("ths_adjustment_nv_fund",J$3,$A20))</f>
        <v>3.7732000000000001</v>
      </c>
      <c r="K20" s="38">
        <f>IF($A20="","",[1]!thsiFinD("ths_adjustment_nv_fund",K$3,$A20))</f>
        <v>3.7385999999999999</v>
      </c>
      <c r="L20" s="38">
        <f>IF($A20="","",[1]!thsiFinD("ths_adjustment_nv_fund",L$3,$A20))</f>
        <v>1.6301000000000001</v>
      </c>
      <c r="M20" s="38">
        <f>IF($A20="","",[1]!thsiFinD("ths_adjustment_nv_fund",M$3,$A20))</f>
        <v>1.6083000000000001</v>
      </c>
      <c r="N20" s="38">
        <f>IF($A20="","",[1]!thsiFinD("ths_adjustment_nv_fund",N$3,$A20))</f>
        <v>1.5962000000000001</v>
      </c>
      <c r="O20" s="38">
        <f>IF($A20="","",[1]!thsiFinD("ths_adjustment_nv_fund",O$3,$A20))</f>
        <v>1.5568</v>
      </c>
      <c r="P20" s="38">
        <f>IF($A20="","",[1]!thsiFinD("ths_adjustment_nv_fund",P$3,$A20))</f>
        <v>3.0699000000000001</v>
      </c>
      <c r="Q20" s="38">
        <f>IF($A20="","",[1]!thsiFinD("ths_adjustment_nv_fund",Q$3,$A20))</f>
        <v>3.9205999999999999</v>
      </c>
      <c r="R20" s="38">
        <f>IF($A20="","",[1]!thsiFinD("ths_adjustment_nv_fund",R$3,$A20))</f>
        <v>3.8386</v>
      </c>
      <c r="S20" s="38">
        <f>IF($A20="","",[1]!thsiFinD("ths_adjustment_nv_fund",S$3,$A20))</f>
        <v>5.1139999999999999</v>
      </c>
      <c r="T20" s="38">
        <f>IF($A20="","",[1]!thsiFinD("ths_adjustment_nv_fund",T$3,$A20))</f>
        <v>3.5526</v>
      </c>
      <c r="U20" s="38">
        <f>IF($A20="","",[1]!thsiFinD("ths_adjustment_nv_fund",U$3,$A20))</f>
        <v>3.5339999999999998</v>
      </c>
      <c r="V20" s="38">
        <f>IF($A20="","",[1]!thsiFinD("ths_adjustment_nv_fund",V$3,$A20))</f>
        <v>2.0015000000000001</v>
      </c>
      <c r="W20" s="38">
        <f>IF($A20="","",[1]!thsiFinD("ths_adjustment_nv_fund",W$3,$A20))</f>
        <v>1.9818</v>
      </c>
      <c r="X20" s="38">
        <f>IF($A20="","",[1]!thsiFinD("ths_adjustment_nv_fund",X$3,$A20))</f>
        <v>1.7891999999999999</v>
      </c>
      <c r="Y20" s="38">
        <f>IF($A20="","",[1]!thsiFinD("ths_adjustment_nv_fund",Y$3,$A20))</f>
        <v>2.976</v>
      </c>
    </row>
    <row r="21" spans="1:25" x14ac:dyDescent="0.25">
      <c r="A21" s="37">
        <v>46216</v>
      </c>
      <c r="B21" s="38">
        <f>IF($A21="","",[1]!thsiFinD("ths_adjustment_nv_fund",B$3,$A21))</f>
        <v>3.0707</v>
      </c>
      <c r="C21" s="38">
        <f>IF($A21="","",[1]!thsiFinD("ths_adjustment_nv_fund",C$3,$A21))</f>
        <v>1.3184211698999999</v>
      </c>
      <c r="D21" s="38">
        <f>IF($A21="","",[1]!thsiFinD("ths_adjustment_nv_fund",D$3,$A21))</f>
        <v>4.9359999999999999</v>
      </c>
      <c r="E21" s="38">
        <f>IF($A21="","",[1]!thsiFinD("ths_adjustment_nv_fund",E$3,$A21))</f>
        <v>1.869</v>
      </c>
      <c r="F21" s="38">
        <f>IF($A21="","",[1]!thsiFinD("ths_adjustment_nv_fund",F$3,$A21))</f>
        <v>1.8159000000000001</v>
      </c>
      <c r="G21" s="38">
        <f>IF($A21="","",[1]!thsiFinD("ths_adjustment_nv_fund",G$3,$A21))</f>
        <v>4.1528</v>
      </c>
      <c r="H21" s="38">
        <f>IF($A21="","",[1]!thsiFinD("ths_adjustment_nv_fund",H$3,$A21))</f>
        <v>4.0644</v>
      </c>
      <c r="I21" s="38">
        <f>IF($A21="","",[1]!thsiFinD("ths_adjustment_nv_fund",I$3,$A21))</f>
        <v>2.7240000000000002</v>
      </c>
      <c r="J21" s="38">
        <f>IF($A21="","",[1]!thsiFinD("ths_adjustment_nv_fund",J$3,$A21))</f>
        <v>3.6587000000000001</v>
      </c>
      <c r="K21" s="38">
        <f>IF($A21="","",[1]!thsiFinD("ths_adjustment_nv_fund",K$3,$A21))</f>
        <v>3.6252</v>
      </c>
      <c r="L21" s="38">
        <f>IF($A21="","",[1]!thsiFinD("ths_adjustment_nv_fund",L$3,$A21))</f>
        <v>1.5486</v>
      </c>
      <c r="M21" s="38">
        <f>IF($A21="","",[1]!thsiFinD("ths_adjustment_nv_fund",M$3,$A21))</f>
        <v>1.5279</v>
      </c>
      <c r="N21" s="38">
        <f>IF($A21="","",[1]!thsiFinD("ths_adjustment_nv_fund",N$3,$A21))</f>
        <v>1.5275000000000001</v>
      </c>
      <c r="O21" s="38">
        <f>IF($A21="","",[1]!thsiFinD("ths_adjustment_nv_fund",O$3,$A21))</f>
        <v>1.4897</v>
      </c>
      <c r="P21" s="38">
        <f>IF($A21="","",[1]!thsiFinD("ths_adjustment_nv_fund",P$3,$A21))</f>
        <v>2.9287000000000001</v>
      </c>
      <c r="Q21" s="38">
        <f>IF($A21="","",[1]!thsiFinD("ths_adjustment_nv_fund",Q$3,$A21))</f>
        <v>3.7904</v>
      </c>
      <c r="R21" s="38">
        <f>IF($A21="","",[1]!thsiFinD("ths_adjustment_nv_fund",R$3,$A21))</f>
        <v>3.7109999999999999</v>
      </c>
      <c r="S21" s="38">
        <f>IF($A21="","",[1]!thsiFinD("ths_adjustment_nv_fund",S$3,$A21))</f>
        <v>4.8849999999999998</v>
      </c>
      <c r="T21" s="38">
        <f>IF($A21="","",[1]!thsiFinD("ths_adjustment_nv_fund",T$3,$A21))</f>
        <v>3.3969</v>
      </c>
      <c r="U21" s="38">
        <f>IF($A21="","",[1]!thsiFinD("ths_adjustment_nv_fund",U$3,$A21))</f>
        <v>3.379</v>
      </c>
      <c r="V21" s="38">
        <f>IF($A21="","",[1]!thsiFinD("ths_adjustment_nv_fund",V$3,$A21))</f>
        <v>1.8946000000000001</v>
      </c>
      <c r="W21" s="38">
        <f>IF($A21="","",[1]!thsiFinD("ths_adjustment_nv_fund",W$3,$A21))</f>
        <v>1.8758999999999999</v>
      </c>
      <c r="X21" s="38">
        <f>IF($A21="","",[1]!thsiFinD("ths_adjustment_nv_fund",X$3,$A21))</f>
        <v>1.7887</v>
      </c>
      <c r="Y21" s="38">
        <f>IF($A21="","",[1]!thsiFinD("ths_adjustment_nv_fund",Y$3,$A21))</f>
        <v>2.875</v>
      </c>
    </row>
    <row r="22" spans="1:25" x14ac:dyDescent="0.25">
      <c r="A22" s="37">
        <v>46217</v>
      </c>
      <c r="B22" s="38">
        <f>IF($A22="","",[1]!thsiFinD("ths_adjustment_nv_fund",B$3,$A22))</f>
        <v>3.0468000000000002</v>
      </c>
      <c r="C22" s="38">
        <f>IF($A22="","",[1]!thsiFinD("ths_adjustment_nv_fund",C$3,$A22))</f>
        <v>1.3184655611</v>
      </c>
      <c r="D22" s="38">
        <f>IF($A22="","",[1]!thsiFinD("ths_adjustment_nv_fund",D$3,$A22))</f>
        <v>5.3049999999999997</v>
      </c>
      <c r="E22" s="38">
        <f>IF($A22="","",[1]!thsiFinD("ths_adjustment_nv_fund",E$3,$A22))</f>
        <v>1.9198</v>
      </c>
      <c r="F22" s="38">
        <f>IF($A22="","",[1]!thsiFinD("ths_adjustment_nv_fund",F$3,$A22))</f>
        <v>1.8653</v>
      </c>
      <c r="G22" s="38">
        <f>IF($A22="","",[1]!thsiFinD("ths_adjustment_nv_fund",G$3,$A22))</f>
        <v>4.3559000000000001</v>
      </c>
      <c r="H22" s="38">
        <f>IF($A22="","",[1]!thsiFinD("ths_adjustment_nv_fund",H$3,$A22))</f>
        <v>4.2632000000000003</v>
      </c>
      <c r="I22" s="38">
        <f>IF($A22="","",[1]!thsiFinD("ths_adjustment_nv_fund",I$3,$A22))</f>
        <v>2.8344</v>
      </c>
      <c r="J22" s="38">
        <f>IF($A22="","",[1]!thsiFinD("ths_adjustment_nv_fund",J$3,$A22))</f>
        <v>3.6471</v>
      </c>
      <c r="K22" s="38">
        <f>IF($A22="","",[1]!thsiFinD("ths_adjustment_nv_fund",K$3,$A22))</f>
        <v>3.6135999999999999</v>
      </c>
      <c r="L22" s="38">
        <f>IF($A22="","",[1]!thsiFinD("ths_adjustment_nv_fund",L$3,$A22))</f>
        <v>1.5827</v>
      </c>
      <c r="M22" s="38">
        <f>IF($A22="","",[1]!thsiFinD("ths_adjustment_nv_fund",M$3,$A22))</f>
        <v>1.5615000000000001</v>
      </c>
      <c r="N22" s="38">
        <f>IF($A22="","",[1]!thsiFinD("ths_adjustment_nv_fund",N$3,$A22))</f>
        <v>1.5615000000000001</v>
      </c>
      <c r="O22" s="38">
        <f>IF($A22="","",[1]!thsiFinD("ths_adjustment_nv_fund",O$3,$A22))</f>
        <v>1.5228999999999999</v>
      </c>
      <c r="P22" s="38">
        <f>IF($A22="","",[1]!thsiFinD("ths_adjustment_nv_fund",P$3,$A22))</f>
        <v>3.1547999999999998</v>
      </c>
      <c r="Q22" s="38">
        <f>IF($A22="","",[1]!thsiFinD("ths_adjustment_nv_fund",Q$3,$A22))</f>
        <v>3.9815</v>
      </c>
      <c r="R22" s="38">
        <f>IF($A22="","",[1]!thsiFinD("ths_adjustment_nv_fund",R$3,$A22))</f>
        <v>3.8978999999999999</v>
      </c>
      <c r="S22" s="38">
        <f>IF($A22="","",[1]!thsiFinD("ths_adjustment_nv_fund",S$3,$A22))</f>
        <v>5.25</v>
      </c>
      <c r="T22" s="38">
        <f>IF($A22="","",[1]!thsiFinD("ths_adjustment_nv_fund",T$3,$A22))</f>
        <v>3.3774000000000002</v>
      </c>
      <c r="U22" s="38">
        <f>IF($A22="","",[1]!thsiFinD("ths_adjustment_nv_fund",U$3,$A22))</f>
        <v>3.3595999999999999</v>
      </c>
      <c r="V22" s="38">
        <f>IF($A22="","",[1]!thsiFinD("ths_adjustment_nv_fund",V$3,$A22))</f>
        <v>1.9322999999999999</v>
      </c>
      <c r="W22" s="38">
        <f>IF($A22="","",[1]!thsiFinD("ths_adjustment_nv_fund",W$3,$A22))</f>
        <v>1.9133</v>
      </c>
      <c r="X22" s="38">
        <f>IF($A22="","",[1]!thsiFinD("ths_adjustment_nv_fund",X$3,$A22))</f>
        <v>1.7890999999999999</v>
      </c>
      <c r="Y22" s="38">
        <f>IF($A22="","",[1]!thsiFinD("ths_adjustment_nv_fund",Y$3,$A22))</f>
        <v>2.883</v>
      </c>
    </row>
    <row r="23" spans="1:25" x14ac:dyDescent="0.25">
      <c r="A23" s="37">
        <v>46218</v>
      </c>
      <c r="B23" s="38">
        <f>IF($A23="","",[1]!thsiFinD("ths_adjustment_nv_fund",B$3,$A23))</f>
        <v>3.0423</v>
      </c>
      <c r="C23" s="38">
        <f>IF($A23="","",[1]!thsiFinD("ths_adjustment_nv_fund",C$3,$A23))</f>
        <v>1.3185105867</v>
      </c>
      <c r="D23" s="38">
        <f>IF($A23="","",[1]!thsiFinD("ths_adjustment_nv_fund",D$3,$A23))</f>
        <v>5.1820000000000004</v>
      </c>
      <c r="E23" s="38">
        <f>IF($A23="","",[1]!thsiFinD("ths_adjustment_nv_fund",E$3,$A23))</f>
        <v>1.9069</v>
      </c>
      <c r="F23" s="38">
        <f>IF($A23="","",[1]!thsiFinD("ths_adjustment_nv_fund",F$3,$A23))</f>
        <v>1.8527</v>
      </c>
      <c r="G23" s="38">
        <f>IF($A23="","",[1]!thsiFinD("ths_adjustment_nv_fund",G$3,$A23))</f>
        <v>4.2525000000000004</v>
      </c>
      <c r="H23" s="38">
        <f>IF($A23="","",[1]!thsiFinD("ths_adjustment_nv_fund",H$3,$A23))</f>
        <v>4.1619999999999999</v>
      </c>
      <c r="I23" s="38">
        <f>IF($A23="","",[1]!thsiFinD("ths_adjustment_nv_fund",I$3,$A23))</f>
        <v>2.7046000000000001</v>
      </c>
      <c r="J23" s="38">
        <f>IF($A23="","",[1]!thsiFinD("ths_adjustment_nv_fund",J$3,$A23))</f>
        <v>3.5152000000000001</v>
      </c>
      <c r="K23" s="38">
        <f>IF($A23="","",[1]!thsiFinD("ths_adjustment_nv_fund",K$3,$A23))</f>
        <v>3.4828999999999999</v>
      </c>
      <c r="L23" s="38">
        <f>IF($A23="","",[1]!thsiFinD("ths_adjustment_nv_fund",L$3,$A23))</f>
        <v>1.5634999999999999</v>
      </c>
      <c r="M23" s="38">
        <f>IF($A23="","",[1]!thsiFinD("ths_adjustment_nv_fund",M$3,$A23))</f>
        <v>1.5425</v>
      </c>
      <c r="N23" s="38">
        <f>IF($A23="","",[1]!thsiFinD("ths_adjustment_nv_fund",N$3,$A23))</f>
        <v>1.5436000000000001</v>
      </c>
      <c r="O23" s="38">
        <f>IF($A23="","",[1]!thsiFinD("ths_adjustment_nv_fund",O$3,$A23))</f>
        <v>1.5054000000000001</v>
      </c>
      <c r="P23" s="38">
        <f>IF($A23="","",[1]!thsiFinD("ths_adjustment_nv_fund",P$3,$A23))</f>
        <v>3.1074000000000002</v>
      </c>
      <c r="Q23" s="38">
        <f>IF($A23="","",[1]!thsiFinD("ths_adjustment_nv_fund",Q$3,$A23))</f>
        <v>3.8858000000000001</v>
      </c>
      <c r="R23" s="38">
        <f>IF($A23="","",[1]!thsiFinD("ths_adjustment_nv_fund",R$3,$A23))</f>
        <v>3.8041999999999998</v>
      </c>
      <c r="S23" s="38">
        <f>IF($A23="","",[1]!thsiFinD("ths_adjustment_nv_fund",S$3,$A23))</f>
        <v>5.1289999999999996</v>
      </c>
      <c r="T23" s="38">
        <f>IF($A23="","",[1]!thsiFinD("ths_adjustment_nv_fund",T$3,$A23))</f>
        <v>3.1741999999999999</v>
      </c>
      <c r="U23" s="38">
        <f>IF($A23="","",[1]!thsiFinD("ths_adjustment_nv_fund",U$3,$A23))</f>
        <v>3.1574</v>
      </c>
      <c r="V23" s="38">
        <f>IF($A23="","",[1]!thsiFinD("ths_adjustment_nv_fund",V$3,$A23))</f>
        <v>1.9125000000000001</v>
      </c>
      <c r="W23" s="38">
        <f>IF($A23="","",[1]!thsiFinD("ths_adjustment_nv_fund",W$3,$A23))</f>
        <v>1.8935999999999999</v>
      </c>
      <c r="X23" s="38">
        <f>IF($A23="","",[1]!thsiFinD("ths_adjustment_nv_fund",X$3,$A23))</f>
        <v>1.7894000000000001</v>
      </c>
      <c r="Y23" s="38">
        <f>IF($A23="","",[1]!thsiFinD("ths_adjustment_nv_fund",Y$3,$A23))</f>
        <v>2.722</v>
      </c>
    </row>
    <row r="24" spans="1:25" x14ac:dyDescent="0.25">
      <c r="A24" s="37">
        <v>46219</v>
      </c>
      <c r="B24" s="38">
        <f>IF($A24="","",[1]!thsiFinD("ths_adjustment_nv_fund",B$3,$A24))</f>
        <v>3.0423</v>
      </c>
      <c r="C24" s="38">
        <f>IF($A24="","",[1]!thsiFinD("ths_adjustment_nv_fund",C$3,$A24))</f>
        <v>1.3185105867</v>
      </c>
      <c r="D24" s="38">
        <f>IF($A24="","",[1]!thsiFinD("ths_adjustment_nv_fund",D$3,$A24))</f>
        <v>5.1820000000000004</v>
      </c>
      <c r="E24" s="38">
        <f>IF($A24="","",[1]!thsiFinD("ths_adjustment_nv_fund",E$3,$A24))</f>
        <v>1.9069</v>
      </c>
      <c r="F24" s="38">
        <f>IF($A24="","",[1]!thsiFinD("ths_adjustment_nv_fund",F$3,$A24))</f>
        <v>1.8527</v>
      </c>
      <c r="G24" s="38">
        <f>IF($A24="","",[1]!thsiFinD("ths_adjustment_nv_fund",G$3,$A24))</f>
        <v>4.2525000000000004</v>
      </c>
      <c r="H24" s="38">
        <f>IF($A24="","",[1]!thsiFinD("ths_adjustment_nv_fund",H$3,$A24))</f>
        <v>4.1619999999999999</v>
      </c>
      <c r="I24" s="38">
        <f>IF($A24="","",[1]!thsiFinD("ths_adjustment_nv_fund",I$3,$A24))</f>
        <v>2.7046000000000001</v>
      </c>
      <c r="J24" s="38">
        <f>IF($A24="","",[1]!thsiFinD("ths_adjustment_nv_fund",J$3,$A24))</f>
        <v>3.5152000000000001</v>
      </c>
      <c r="K24" s="38">
        <f>IF($A24="","",[1]!thsiFinD("ths_adjustment_nv_fund",K$3,$A24))</f>
        <v>3.4828999999999999</v>
      </c>
      <c r="L24" s="38">
        <f>IF($A24="","",[1]!thsiFinD("ths_adjustment_nv_fund",L$3,$A24))</f>
        <v>1.5634999999999999</v>
      </c>
      <c r="M24" s="38">
        <f>IF($A24="","",[1]!thsiFinD("ths_adjustment_nv_fund",M$3,$A24))</f>
        <v>1.5425</v>
      </c>
      <c r="N24" s="38">
        <f>IF($A24="","",[1]!thsiFinD("ths_adjustment_nv_fund",N$3,$A24))</f>
        <v>1.5436000000000001</v>
      </c>
      <c r="O24" s="38">
        <f>IF($A24="","",[1]!thsiFinD("ths_adjustment_nv_fund",O$3,$A24))</f>
        <v>1.5054000000000001</v>
      </c>
      <c r="P24" s="38">
        <f>IF($A24="","",[1]!thsiFinD("ths_adjustment_nv_fund",P$3,$A24))</f>
        <v>3.1074000000000002</v>
      </c>
      <c r="Q24" s="38">
        <f>IF($A24="","",[1]!thsiFinD("ths_adjustment_nv_fund",Q$3,$A24))</f>
        <v>3.8858000000000001</v>
      </c>
      <c r="R24" s="38">
        <f>IF($A24="","",[1]!thsiFinD("ths_adjustment_nv_fund",R$3,$A24))</f>
        <v>3.8041999999999998</v>
      </c>
      <c r="S24" s="38">
        <f>IF($A24="","",[1]!thsiFinD("ths_adjustment_nv_fund",S$3,$A24))</f>
        <v>5.1289999999999996</v>
      </c>
      <c r="T24" s="38">
        <f>IF($A24="","",[1]!thsiFinD("ths_adjustment_nv_fund",T$3,$A24))</f>
        <v>3.1741999999999999</v>
      </c>
      <c r="U24" s="38">
        <f>IF($A24="","",[1]!thsiFinD("ths_adjustment_nv_fund",U$3,$A24))</f>
        <v>3.1574</v>
      </c>
      <c r="V24" s="38">
        <f>IF($A24="","",[1]!thsiFinD("ths_adjustment_nv_fund",V$3,$A24))</f>
        <v>1.9125000000000001</v>
      </c>
      <c r="W24" s="38">
        <f>IF($A24="","",[1]!thsiFinD("ths_adjustment_nv_fund",W$3,$A24))</f>
        <v>1.8935999999999999</v>
      </c>
      <c r="X24" s="38">
        <f>IF($A24="","",[1]!thsiFinD("ths_adjustment_nv_fund",X$3,$A24))</f>
        <v>1.7894000000000001</v>
      </c>
      <c r="Y24" s="38">
        <f>IF($A24="","",[1]!thsiFinD("ths_adjustment_nv_fund",Y$3,$A24))</f>
        <v>2.722</v>
      </c>
    </row>
    <row r="25" spans="1:25" x14ac:dyDescent="0.25">
      <c r="A25" s="37">
        <v>46220</v>
      </c>
      <c r="B25" s="38">
        <f>IF($A25="","",[1]!thsiFinD("ths_adjustment_nv_fund",B$3,$A25))</f>
        <v>3.0390999999999999</v>
      </c>
      <c r="C25" s="38">
        <f>IF($A25="","",[1]!thsiFinD("ths_adjustment_nv_fund",C$3,$A25))</f>
        <v>1.3185543744999999</v>
      </c>
      <c r="D25" s="38">
        <f>IF($A25="","",[1]!thsiFinD("ths_adjustment_nv_fund",D$3,$A25))</f>
        <v>5.0339999999999998</v>
      </c>
      <c r="E25" s="38">
        <f>IF($A25="","",[1]!thsiFinD("ths_adjustment_nv_fund",E$3,$A25))</f>
        <v>1.8633999999999999</v>
      </c>
      <c r="F25" s="38">
        <f>IF($A25="","",[1]!thsiFinD("ths_adjustment_nv_fund",F$3,$A25))</f>
        <v>1.8105</v>
      </c>
      <c r="G25" s="38">
        <f>IF($A25="","",[1]!thsiFinD("ths_adjustment_nv_fund",G$3,$A25))</f>
        <v>4.1052999999999997</v>
      </c>
      <c r="H25" s="38">
        <f>IF($A25="","",[1]!thsiFinD("ths_adjustment_nv_fund",H$3,$A25))</f>
        <v>4.0179</v>
      </c>
      <c r="I25" s="38">
        <f>IF($A25="","",[1]!thsiFinD("ths_adjustment_nv_fund",I$3,$A25))</f>
        <v>2.5937999999999999</v>
      </c>
      <c r="J25" s="38">
        <f>IF($A25="","",[1]!thsiFinD("ths_adjustment_nv_fund",J$3,$A25))</f>
        <v>3.3100999999999998</v>
      </c>
      <c r="K25" s="38">
        <f>IF($A25="","",[1]!thsiFinD("ths_adjustment_nv_fund",K$3,$A25))</f>
        <v>3.2797000000000001</v>
      </c>
      <c r="L25" s="38">
        <f>IF($A25="","",[1]!thsiFinD("ths_adjustment_nv_fund",L$3,$A25))</f>
        <v>1.5208999999999999</v>
      </c>
      <c r="M25" s="38">
        <f>IF($A25="","",[1]!thsiFinD("ths_adjustment_nv_fund",M$3,$A25))</f>
        <v>1.5004999999999999</v>
      </c>
      <c r="N25" s="38">
        <f>IF($A25="","",[1]!thsiFinD("ths_adjustment_nv_fund",N$3,$A25))</f>
        <v>1.5054000000000001</v>
      </c>
      <c r="O25" s="38">
        <f>IF($A25="","",[1]!thsiFinD("ths_adjustment_nv_fund",O$3,$A25))</f>
        <v>1.4681</v>
      </c>
      <c r="P25" s="38">
        <f>IF($A25="","",[1]!thsiFinD("ths_adjustment_nv_fund",P$3,$A25))</f>
        <v>2.9674999999999998</v>
      </c>
      <c r="Q25" s="38">
        <f>IF($A25="","",[1]!thsiFinD("ths_adjustment_nv_fund",Q$3,$A25))</f>
        <v>3.7713000000000001</v>
      </c>
      <c r="R25" s="38">
        <f>IF($A25="","",[1]!thsiFinD("ths_adjustment_nv_fund",R$3,$A25))</f>
        <v>3.6920999999999999</v>
      </c>
      <c r="S25" s="38">
        <f>IF($A25="","",[1]!thsiFinD("ths_adjustment_nv_fund",S$3,$A25))</f>
        <v>4.9820000000000002</v>
      </c>
      <c r="T25" s="38">
        <f>IF($A25="","",[1]!thsiFinD("ths_adjustment_nv_fund",T$3,$A25))</f>
        <v>2.9533999999999998</v>
      </c>
      <c r="U25" s="38">
        <f>IF($A25="","",[1]!thsiFinD("ths_adjustment_nv_fund",U$3,$A25))</f>
        <v>2.9378000000000002</v>
      </c>
      <c r="V25" s="38">
        <f>IF($A25="","",[1]!thsiFinD("ths_adjustment_nv_fund",V$3,$A25))</f>
        <v>1.8716999999999999</v>
      </c>
      <c r="W25" s="38">
        <f>IF($A25="","",[1]!thsiFinD("ths_adjustment_nv_fund",W$3,$A25))</f>
        <v>1.8532</v>
      </c>
      <c r="X25" s="38">
        <f>IF($A25="","",[1]!thsiFinD("ths_adjustment_nv_fund",X$3,$A25))</f>
        <v>1.7889999999999999</v>
      </c>
      <c r="Y25" s="38">
        <f>IF($A25="","",[1]!thsiFinD("ths_adjustment_nv_fund",Y$3,$A25))</f>
        <v>2.5350000000000001</v>
      </c>
    </row>
    <row r="26" spans="1:25" x14ac:dyDescent="0.25">
      <c r="A26" s="37"/>
      <c r="B26" s="38" t="str">
        <f>IF($A26="","",[1]!thsiFinD("ths_adjustment_nv_fund",B$3,$A26))</f>
        <v/>
      </c>
      <c r="C26" s="38" t="str">
        <f>IF($A26="","",[1]!thsiFinD("ths_adjustment_nv_fund",C$3,$A26))</f>
        <v/>
      </c>
      <c r="D26" s="38" t="str">
        <f>IF($A26="","",[1]!thsiFinD("ths_adjustment_nv_fund",D$3,$A26))</f>
        <v/>
      </c>
      <c r="E26" s="38" t="str">
        <f>IF($A26="","",[1]!thsiFinD("ths_adjustment_nv_fund",E$3,$A26))</f>
        <v/>
      </c>
      <c r="F26" s="38" t="str">
        <f>IF($A26="","",[1]!thsiFinD("ths_adjustment_nv_fund",F$3,$A26))</f>
        <v/>
      </c>
      <c r="G26" s="38" t="str">
        <f>IF($A26="","",[1]!thsiFinD("ths_adjustment_nv_fund",G$3,$A26))</f>
        <v/>
      </c>
      <c r="H26" s="38" t="str">
        <f>IF($A26="","",[1]!thsiFinD("ths_adjustment_nv_fund",H$3,$A26))</f>
        <v/>
      </c>
      <c r="I26" s="38" t="str">
        <f>IF($A26="","",[1]!thsiFinD("ths_adjustment_nv_fund",I$3,$A26))</f>
        <v/>
      </c>
      <c r="J26" s="38" t="str">
        <f>IF($A26="","",[1]!thsiFinD("ths_adjustment_nv_fund",J$3,$A26))</f>
        <v/>
      </c>
      <c r="K26" s="38" t="str">
        <f>IF($A26="","",[1]!thsiFinD("ths_adjustment_nv_fund",K$3,$A26))</f>
        <v/>
      </c>
      <c r="L26" s="38" t="str">
        <f>IF($A26="","",[1]!thsiFinD("ths_adjustment_nv_fund",L$3,$A26))</f>
        <v/>
      </c>
      <c r="M26" s="38" t="str">
        <f>IF($A26="","",[1]!thsiFinD("ths_adjustment_nv_fund",M$3,$A26))</f>
        <v/>
      </c>
      <c r="N26" s="38" t="str">
        <f>IF($A26="","",[1]!thsiFinD("ths_adjustment_nv_fund",N$3,$A26))</f>
        <v/>
      </c>
      <c r="O26" s="38" t="str">
        <f>IF($A26="","",[1]!thsiFinD("ths_adjustment_nv_fund",O$3,$A26))</f>
        <v/>
      </c>
      <c r="P26" s="38" t="str">
        <f>IF($A26="","",[1]!thsiFinD("ths_adjustment_nv_fund",P$3,$A26))</f>
        <v/>
      </c>
      <c r="Q26" s="38" t="str">
        <f>IF($A26="","",[1]!thsiFinD("ths_adjustment_nv_fund",Q$3,$A26))</f>
        <v/>
      </c>
      <c r="R26" s="38" t="str">
        <f>IF($A26="","",[1]!thsiFinD("ths_adjustment_nv_fund",R$3,$A26))</f>
        <v/>
      </c>
      <c r="S26" s="38" t="str">
        <f>IF($A26="","",[1]!thsiFinD("ths_adjustment_nv_fund",S$3,$A26))</f>
        <v/>
      </c>
      <c r="T26" s="38" t="str">
        <f>IF($A26="","",[1]!thsiFinD("ths_adjustment_nv_fund",T$3,$A26))</f>
        <v/>
      </c>
      <c r="U26" s="38" t="str">
        <f>IF($A26="","",[1]!thsiFinD("ths_adjustment_nv_fund",U$3,$A26))</f>
        <v/>
      </c>
      <c r="V26" s="38" t="str">
        <f>IF($A26="","",[1]!thsiFinD("ths_adjustment_nv_fund",V$3,$A26))</f>
        <v/>
      </c>
      <c r="W26" s="38" t="str">
        <f>IF($A26="","",[1]!thsiFinD("ths_adjustment_nv_fund",W$3,$A26))</f>
        <v/>
      </c>
      <c r="X26" s="38" t="str">
        <f>IF($A26="","",[1]!thsiFinD("ths_adjustment_nv_fund",X$3,$A26))</f>
        <v/>
      </c>
      <c r="Y26" s="38" t="str">
        <f>IF($A26="","",[1]!thsiFinD("ths_adjustment_nv_fund",Y$3,$A26))</f>
        <v/>
      </c>
    </row>
    <row r="27" spans="1:25" x14ac:dyDescent="0.25">
      <c r="A27" s="37"/>
      <c r="B27" s="38" t="str">
        <f>IF($A27="","",[1]!thsiFinD("ths_adjustment_nv_fund",B$3,$A27))</f>
        <v/>
      </c>
      <c r="C27" s="38" t="str">
        <f>IF($A27="","",[1]!thsiFinD("ths_adjustment_nv_fund",C$3,$A27))</f>
        <v/>
      </c>
      <c r="D27" s="38" t="str">
        <f>IF($A27="","",[1]!thsiFinD("ths_adjustment_nv_fund",D$3,$A27))</f>
        <v/>
      </c>
      <c r="E27" s="38" t="str">
        <f>IF($A27="","",[1]!thsiFinD("ths_adjustment_nv_fund",E$3,$A27))</f>
        <v/>
      </c>
      <c r="F27" s="38" t="str">
        <f>IF($A27="","",[1]!thsiFinD("ths_adjustment_nv_fund",F$3,$A27))</f>
        <v/>
      </c>
      <c r="G27" s="38" t="str">
        <f>IF($A27="","",[1]!thsiFinD("ths_adjustment_nv_fund",G$3,$A27))</f>
        <v/>
      </c>
      <c r="H27" s="38" t="str">
        <f>IF($A27="","",[1]!thsiFinD("ths_adjustment_nv_fund",H$3,$A27))</f>
        <v/>
      </c>
      <c r="I27" s="38" t="str">
        <f>IF($A27="","",[1]!thsiFinD("ths_adjustment_nv_fund",I$3,$A27))</f>
        <v/>
      </c>
      <c r="J27" s="38" t="str">
        <f>IF($A27="","",[1]!thsiFinD("ths_adjustment_nv_fund",J$3,$A27))</f>
        <v/>
      </c>
      <c r="K27" s="38" t="str">
        <f>IF($A27="","",[1]!thsiFinD("ths_adjustment_nv_fund",K$3,$A27))</f>
        <v/>
      </c>
      <c r="L27" s="38" t="str">
        <f>IF($A27="","",[1]!thsiFinD("ths_adjustment_nv_fund",L$3,$A27))</f>
        <v/>
      </c>
      <c r="M27" s="38" t="str">
        <f>IF($A27="","",[1]!thsiFinD("ths_adjustment_nv_fund",M$3,$A27))</f>
        <v/>
      </c>
      <c r="N27" s="38" t="str">
        <f>IF($A27="","",[1]!thsiFinD("ths_adjustment_nv_fund",N$3,$A27))</f>
        <v/>
      </c>
      <c r="O27" s="38" t="str">
        <f>IF($A27="","",[1]!thsiFinD("ths_adjustment_nv_fund",O$3,$A27))</f>
        <v/>
      </c>
      <c r="P27" s="38" t="str">
        <f>IF($A27="","",[1]!thsiFinD("ths_adjustment_nv_fund",P$3,$A27))</f>
        <v/>
      </c>
      <c r="Q27" s="38" t="str">
        <f>IF($A27="","",[1]!thsiFinD("ths_adjustment_nv_fund",Q$3,$A27))</f>
        <v/>
      </c>
      <c r="R27" s="38" t="str">
        <f>IF($A27="","",[1]!thsiFinD("ths_adjustment_nv_fund",R$3,$A27))</f>
        <v/>
      </c>
      <c r="S27" s="38" t="str">
        <f>IF($A27="","",[1]!thsiFinD("ths_adjustment_nv_fund",S$3,$A27))</f>
        <v/>
      </c>
      <c r="T27" s="38" t="str">
        <f>IF($A27="","",[1]!thsiFinD("ths_adjustment_nv_fund",T$3,$A27))</f>
        <v/>
      </c>
      <c r="U27" s="38" t="str">
        <f>IF($A27="","",[1]!thsiFinD("ths_adjustment_nv_fund",U$3,$A27))</f>
        <v/>
      </c>
      <c r="V27" s="38" t="str">
        <f>IF($A27="","",[1]!thsiFinD("ths_adjustment_nv_fund",V$3,$A27))</f>
        <v/>
      </c>
      <c r="W27" s="38" t="str">
        <f>IF($A27="","",[1]!thsiFinD("ths_adjustment_nv_fund",W$3,$A27))</f>
        <v/>
      </c>
      <c r="X27" s="38" t="str">
        <f>IF($A27="","",[1]!thsiFinD("ths_adjustment_nv_fund",X$3,$A27))</f>
        <v/>
      </c>
      <c r="Y27" s="38" t="str">
        <f>IF($A27="","",[1]!thsiFinD("ths_adjustment_nv_fund",Y$3,$A27))</f>
        <v/>
      </c>
    </row>
    <row r="28" spans="1:25" x14ac:dyDescent="0.25">
      <c r="A28" s="37"/>
      <c r="B28" s="38" t="str">
        <f>IF($A28="","",[1]!thsiFinD("ths_adjustment_nv_fund",B$3,$A28))</f>
        <v/>
      </c>
      <c r="C28" s="38" t="str">
        <f>IF($A28="","",[1]!thsiFinD("ths_adjustment_nv_fund",C$3,$A28))</f>
        <v/>
      </c>
      <c r="D28" s="38" t="str">
        <f>IF($A28="","",[1]!thsiFinD("ths_adjustment_nv_fund",D$3,$A28))</f>
        <v/>
      </c>
      <c r="E28" s="38" t="str">
        <f>IF($A28="","",[1]!thsiFinD("ths_adjustment_nv_fund",E$3,$A28))</f>
        <v/>
      </c>
      <c r="F28" s="38" t="str">
        <f>IF($A28="","",[1]!thsiFinD("ths_adjustment_nv_fund",F$3,$A28))</f>
        <v/>
      </c>
      <c r="G28" s="38" t="str">
        <f>IF($A28="","",[1]!thsiFinD("ths_adjustment_nv_fund",G$3,$A28))</f>
        <v/>
      </c>
      <c r="H28" s="38" t="str">
        <f>IF($A28="","",[1]!thsiFinD("ths_adjustment_nv_fund",H$3,$A28))</f>
        <v/>
      </c>
      <c r="I28" s="38" t="str">
        <f>IF($A28="","",[1]!thsiFinD("ths_adjustment_nv_fund",I$3,$A28))</f>
        <v/>
      </c>
      <c r="J28" s="38" t="str">
        <f>IF($A28="","",[1]!thsiFinD("ths_adjustment_nv_fund",J$3,$A28))</f>
        <v/>
      </c>
      <c r="K28" s="38" t="str">
        <f>IF($A28="","",[1]!thsiFinD("ths_adjustment_nv_fund",K$3,$A28))</f>
        <v/>
      </c>
      <c r="L28" s="38" t="str">
        <f>IF($A28="","",[1]!thsiFinD("ths_adjustment_nv_fund",L$3,$A28))</f>
        <v/>
      </c>
      <c r="M28" s="38" t="str">
        <f>IF($A28="","",[1]!thsiFinD("ths_adjustment_nv_fund",M$3,$A28))</f>
        <v/>
      </c>
      <c r="N28" s="38" t="str">
        <f>IF($A28="","",[1]!thsiFinD("ths_adjustment_nv_fund",N$3,$A28))</f>
        <v/>
      </c>
      <c r="O28" s="38" t="str">
        <f>IF($A28="","",[1]!thsiFinD("ths_adjustment_nv_fund",O$3,$A28))</f>
        <v/>
      </c>
      <c r="P28" s="38" t="str">
        <f>IF($A28="","",[1]!thsiFinD("ths_adjustment_nv_fund",P$3,$A28))</f>
        <v/>
      </c>
      <c r="Q28" s="38" t="str">
        <f>IF($A28="","",[1]!thsiFinD("ths_adjustment_nv_fund",Q$3,$A28))</f>
        <v/>
      </c>
      <c r="R28" s="38" t="str">
        <f>IF($A28="","",[1]!thsiFinD("ths_adjustment_nv_fund",R$3,$A28))</f>
        <v/>
      </c>
      <c r="S28" s="38" t="str">
        <f>IF($A28="","",[1]!thsiFinD("ths_adjustment_nv_fund",S$3,$A28))</f>
        <v/>
      </c>
      <c r="T28" s="38" t="str">
        <f>IF($A28="","",[1]!thsiFinD("ths_adjustment_nv_fund",T$3,$A28))</f>
        <v/>
      </c>
      <c r="U28" s="38" t="str">
        <f>IF($A28="","",[1]!thsiFinD("ths_adjustment_nv_fund",U$3,$A28))</f>
        <v/>
      </c>
      <c r="V28" s="38" t="str">
        <f>IF($A28="","",[1]!thsiFinD("ths_adjustment_nv_fund",V$3,$A28))</f>
        <v/>
      </c>
      <c r="W28" s="38" t="str">
        <f>IF($A28="","",[1]!thsiFinD("ths_adjustment_nv_fund",W$3,$A28))</f>
        <v/>
      </c>
      <c r="X28" s="38" t="str">
        <f>IF($A28="","",[1]!thsiFinD("ths_adjustment_nv_fund",X$3,$A28))</f>
        <v/>
      </c>
      <c r="Y28" s="38" t="str">
        <f>IF($A28="","",[1]!thsiFinD("ths_adjustment_nv_fund",Y$3,$A28))</f>
        <v/>
      </c>
    </row>
    <row r="29" spans="1:25" x14ac:dyDescent="0.25">
      <c r="A29" s="37"/>
      <c r="B29" s="38" t="str">
        <f>IF($A29="","",[1]!thsiFinD("ths_adjustment_nv_fund",B$3,$A29))</f>
        <v/>
      </c>
      <c r="C29" s="38" t="str">
        <f>IF($A29="","",[1]!thsiFinD("ths_adjustment_nv_fund",C$3,$A29))</f>
        <v/>
      </c>
      <c r="D29" s="38" t="str">
        <f>IF($A29="","",[1]!thsiFinD("ths_adjustment_nv_fund",D$3,$A29))</f>
        <v/>
      </c>
      <c r="E29" s="38" t="str">
        <f>IF($A29="","",[1]!thsiFinD("ths_adjustment_nv_fund",E$3,$A29))</f>
        <v/>
      </c>
      <c r="F29" s="38" t="str">
        <f>IF($A29="","",[1]!thsiFinD("ths_adjustment_nv_fund",F$3,$A29))</f>
        <v/>
      </c>
      <c r="G29" s="38" t="str">
        <f>IF($A29="","",[1]!thsiFinD("ths_adjustment_nv_fund",G$3,$A29))</f>
        <v/>
      </c>
      <c r="H29" s="38" t="str">
        <f>IF($A29="","",[1]!thsiFinD("ths_adjustment_nv_fund",H$3,$A29))</f>
        <v/>
      </c>
      <c r="I29" s="38" t="str">
        <f>IF($A29="","",[1]!thsiFinD("ths_adjustment_nv_fund",I$3,$A29))</f>
        <v/>
      </c>
      <c r="J29" s="38" t="str">
        <f>IF($A29="","",[1]!thsiFinD("ths_adjustment_nv_fund",J$3,$A29))</f>
        <v/>
      </c>
      <c r="K29" s="38" t="str">
        <f>IF($A29="","",[1]!thsiFinD("ths_adjustment_nv_fund",K$3,$A29))</f>
        <v/>
      </c>
      <c r="L29" s="38" t="str">
        <f>IF($A29="","",[1]!thsiFinD("ths_adjustment_nv_fund",L$3,$A29))</f>
        <v/>
      </c>
      <c r="M29" s="38" t="str">
        <f>IF($A29="","",[1]!thsiFinD("ths_adjustment_nv_fund",M$3,$A29))</f>
        <v/>
      </c>
      <c r="N29" s="38" t="str">
        <f>IF($A29="","",[1]!thsiFinD("ths_adjustment_nv_fund",N$3,$A29))</f>
        <v/>
      </c>
      <c r="O29" s="38" t="str">
        <f>IF($A29="","",[1]!thsiFinD("ths_adjustment_nv_fund",O$3,$A29))</f>
        <v/>
      </c>
      <c r="P29" s="38" t="str">
        <f>IF($A29="","",[1]!thsiFinD("ths_adjustment_nv_fund",P$3,$A29))</f>
        <v/>
      </c>
      <c r="Q29" s="38" t="str">
        <f>IF($A29="","",[1]!thsiFinD("ths_adjustment_nv_fund",Q$3,$A29))</f>
        <v/>
      </c>
      <c r="R29" s="38" t="str">
        <f>IF($A29="","",[1]!thsiFinD("ths_adjustment_nv_fund",R$3,$A29))</f>
        <v/>
      </c>
      <c r="S29" s="38" t="str">
        <f>IF($A29="","",[1]!thsiFinD("ths_adjustment_nv_fund",S$3,$A29))</f>
        <v/>
      </c>
      <c r="T29" s="38" t="str">
        <f>IF($A29="","",[1]!thsiFinD("ths_adjustment_nv_fund",T$3,$A29))</f>
        <v/>
      </c>
      <c r="U29" s="38" t="str">
        <f>IF($A29="","",[1]!thsiFinD("ths_adjustment_nv_fund",U$3,$A29))</f>
        <v/>
      </c>
      <c r="V29" s="38" t="str">
        <f>IF($A29="","",[1]!thsiFinD("ths_adjustment_nv_fund",V$3,$A29))</f>
        <v/>
      </c>
      <c r="W29" s="38" t="str">
        <f>IF($A29="","",[1]!thsiFinD("ths_adjustment_nv_fund",W$3,$A29))</f>
        <v/>
      </c>
      <c r="X29" s="38" t="str">
        <f>IF($A29="","",[1]!thsiFinD("ths_adjustment_nv_fund",X$3,$A29))</f>
        <v/>
      </c>
      <c r="Y29" s="38" t="str">
        <f>IF($A29="","",[1]!thsiFinD("ths_adjustment_nv_fund",Y$3,$A29))</f>
        <v/>
      </c>
    </row>
    <row r="30" spans="1:25" x14ac:dyDescent="0.25">
      <c r="A30" s="37"/>
      <c r="B30" s="38" t="str">
        <f>IF($A30="","",[1]!thsiFinD("ths_adjustment_nv_fund",B$3,$A30))</f>
        <v/>
      </c>
      <c r="C30" s="38" t="str">
        <f>IF($A30="","",[1]!thsiFinD("ths_adjustment_nv_fund",C$3,$A30))</f>
        <v/>
      </c>
      <c r="D30" s="38" t="str">
        <f>IF($A30="","",[1]!thsiFinD("ths_adjustment_nv_fund",D$3,$A30))</f>
        <v/>
      </c>
      <c r="E30" s="38" t="str">
        <f>IF($A30="","",[1]!thsiFinD("ths_adjustment_nv_fund",E$3,$A30))</f>
        <v/>
      </c>
      <c r="F30" s="38" t="str">
        <f>IF($A30="","",[1]!thsiFinD("ths_adjustment_nv_fund",F$3,$A30))</f>
        <v/>
      </c>
      <c r="G30" s="38" t="str">
        <f>IF($A30="","",[1]!thsiFinD("ths_adjustment_nv_fund",G$3,$A30))</f>
        <v/>
      </c>
      <c r="H30" s="38" t="str">
        <f>IF($A30="","",[1]!thsiFinD("ths_adjustment_nv_fund",H$3,$A30))</f>
        <v/>
      </c>
      <c r="I30" s="38" t="str">
        <f>IF($A30="","",[1]!thsiFinD("ths_adjustment_nv_fund",I$3,$A30))</f>
        <v/>
      </c>
      <c r="J30" s="38" t="str">
        <f>IF($A30="","",[1]!thsiFinD("ths_adjustment_nv_fund",J$3,$A30))</f>
        <v/>
      </c>
      <c r="K30" s="38" t="str">
        <f>IF($A30="","",[1]!thsiFinD("ths_adjustment_nv_fund",K$3,$A30))</f>
        <v/>
      </c>
      <c r="L30" s="38" t="str">
        <f>IF($A30="","",[1]!thsiFinD("ths_adjustment_nv_fund",L$3,$A30))</f>
        <v/>
      </c>
      <c r="M30" s="38" t="str">
        <f>IF($A30="","",[1]!thsiFinD("ths_adjustment_nv_fund",M$3,$A30))</f>
        <v/>
      </c>
      <c r="N30" s="38" t="str">
        <f>IF($A30="","",[1]!thsiFinD("ths_adjustment_nv_fund",N$3,$A30))</f>
        <v/>
      </c>
      <c r="O30" s="38" t="str">
        <f>IF($A30="","",[1]!thsiFinD("ths_adjustment_nv_fund",O$3,$A30))</f>
        <v/>
      </c>
      <c r="P30" s="38" t="str">
        <f>IF($A30="","",[1]!thsiFinD("ths_adjustment_nv_fund",P$3,$A30))</f>
        <v/>
      </c>
      <c r="Q30" s="38" t="str">
        <f>IF($A30="","",[1]!thsiFinD("ths_adjustment_nv_fund",Q$3,$A30))</f>
        <v/>
      </c>
      <c r="R30" s="38" t="str">
        <f>IF($A30="","",[1]!thsiFinD("ths_adjustment_nv_fund",R$3,$A30))</f>
        <v/>
      </c>
      <c r="S30" s="38" t="str">
        <f>IF($A30="","",[1]!thsiFinD("ths_adjustment_nv_fund",S$3,$A30))</f>
        <v/>
      </c>
      <c r="T30" s="38" t="str">
        <f>IF($A30="","",[1]!thsiFinD("ths_adjustment_nv_fund",T$3,$A30))</f>
        <v/>
      </c>
      <c r="U30" s="38" t="str">
        <f>IF($A30="","",[1]!thsiFinD("ths_adjustment_nv_fund",U$3,$A30))</f>
        <v/>
      </c>
      <c r="V30" s="38" t="str">
        <f>IF($A30="","",[1]!thsiFinD("ths_adjustment_nv_fund",V$3,$A30))</f>
        <v/>
      </c>
      <c r="W30" s="38" t="str">
        <f>IF($A30="","",[1]!thsiFinD("ths_adjustment_nv_fund",W$3,$A30))</f>
        <v/>
      </c>
      <c r="X30" s="38" t="str">
        <f>IF($A30="","",[1]!thsiFinD("ths_adjustment_nv_fund",X$3,$A30))</f>
        <v/>
      </c>
      <c r="Y30" s="38" t="str">
        <f>IF($A30="","",[1]!thsiFinD("ths_adjustment_nv_fund",Y$3,$A30))</f>
        <v/>
      </c>
    </row>
    <row r="31" spans="1:25" x14ac:dyDescent="0.25">
      <c r="A31" s="37"/>
      <c r="B31" s="38" t="str">
        <f>IF($A31="","",[1]!thsiFinD("ths_adjustment_nv_fund",B$3,$A31))</f>
        <v/>
      </c>
      <c r="C31" s="38" t="str">
        <f>IF($A31="","",[1]!thsiFinD("ths_adjustment_nv_fund",C$3,$A31))</f>
        <v/>
      </c>
      <c r="D31" s="38" t="str">
        <f>IF($A31="","",[1]!thsiFinD("ths_adjustment_nv_fund",D$3,$A31))</f>
        <v/>
      </c>
      <c r="E31" s="38" t="str">
        <f>IF($A31="","",[1]!thsiFinD("ths_adjustment_nv_fund",E$3,$A31))</f>
        <v/>
      </c>
      <c r="F31" s="38" t="str">
        <f>IF($A31="","",[1]!thsiFinD("ths_adjustment_nv_fund",F$3,$A31))</f>
        <v/>
      </c>
      <c r="G31" s="38" t="str">
        <f>IF($A31="","",[1]!thsiFinD("ths_adjustment_nv_fund",G$3,$A31))</f>
        <v/>
      </c>
      <c r="H31" s="38" t="str">
        <f>IF($A31="","",[1]!thsiFinD("ths_adjustment_nv_fund",H$3,$A31))</f>
        <v/>
      </c>
      <c r="I31" s="38" t="str">
        <f>IF($A31="","",[1]!thsiFinD("ths_adjustment_nv_fund",I$3,$A31))</f>
        <v/>
      </c>
      <c r="J31" s="38" t="str">
        <f>IF($A31="","",[1]!thsiFinD("ths_adjustment_nv_fund",J$3,$A31))</f>
        <v/>
      </c>
      <c r="K31" s="38" t="str">
        <f>IF($A31="","",[1]!thsiFinD("ths_adjustment_nv_fund",K$3,$A31))</f>
        <v/>
      </c>
      <c r="L31" s="38" t="str">
        <f>IF($A31="","",[1]!thsiFinD("ths_adjustment_nv_fund",L$3,$A31))</f>
        <v/>
      </c>
      <c r="M31" s="38" t="str">
        <f>IF($A31="","",[1]!thsiFinD("ths_adjustment_nv_fund",M$3,$A31))</f>
        <v/>
      </c>
      <c r="N31" s="38" t="str">
        <f>IF($A31="","",[1]!thsiFinD("ths_adjustment_nv_fund",N$3,$A31))</f>
        <v/>
      </c>
      <c r="O31" s="38" t="str">
        <f>IF($A31="","",[1]!thsiFinD("ths_adjustment_nv_fund",O$3,$A31))</f>
        <v/>
      </c>
      <c r="P31" s="38" t="str">
        <f>IF($A31="","",[1]!thsiFinD("ths_adjustment_nv_fund",P$3,$A31))</f>
        <v/>
      </c>
      <c r="Q31" s="38" t="str">
        <f>IF($A31="","",[1]!thsiFinD("ths_adjustment_nv_fund",Q$3,$A31))</f>
        <v/>
      </c>
      <c r="R31" s="38" t="str">
        <f>IF($A31="","",[1]!thsiFinD("ths_adjustment_nv_fund",R$3,$A31))</f>
        <v/>
      </c>
      <c r="S31" s="38" t="str">
        <f>IF($A31="","",[1]!thsiFinD("ths_adjustment_nv_fund",S$3,$A31))</f>
        <v/>
      </c>
      <c r="T31" s="38" t="str">
        <f>IF($A31="","",[1]!thsiFinD("ths_adjustment_nv_fund",T$3,$A31))</f>
        <v/>
      </c>
      <c r="U31" s="38" t="str">
        <f>IF($A31="","",[1]!thsiFinD("ths_adjustment_nv_fund",U$3,$A31))</f>
        <v/>
      </c>
      <c r="V31" s="38" t="str">
        <f>IF($A31="","",[1]!thsiFinD("ths_adjustment_nv_fund",V$3,$A31))</f>
        <v/>
      </c>
      <c r="W31" s="38" t="str">
        <f>IF($A31="","",[1]!thsiFinD("ths_adjustment_nv_fund",W$3,$A31))</f>
        <v/>
      </c>
      <c r="X31" s="38" t="str">
        <f>IF($A31="","",[1]!thsiFinD("ths_adjustment_nv_fund",X$3,$A31))</f>
        <v/>
      </c>
      <c r="Y31" s="38" t="str">
        <f>IF($A31="","",[1]!thsiFinD("ths_adjustment_nv_fund",Y$3,$A31))</f>
        <v/>
      </c>
    </row>
    <row r="32" spans="1:25" x14ac:dyDescent="0.25">
      <c r="A32" s="37"/>
      <c r="B32" s="38" t="str">
        <f>IF($A32="","",[1]!thsiFinD("ths_adjustment_nv_fund",B$3,$A32))</f>
        <v/>
      </c>
      <c r="C32" s="38" t="str">
        <f>IF($A32="","",[1]!thsiFinD("ths_adjustment_nv_fund",C$3,$A32))</f>
        <v/>
      </c>
      <c r="D32" s="38" t="str">
        <f>IF($A32="","",[1]!thsiFinD("ths_adjustment_nv_fund",D$3,$A32))</f>
        <v/>
      </c>
      <c r="E32" s="38" t="str">
        <f>IF($A32="","",[1]!thsiFinD("ths_adjustment_nv_fund",E$3,$A32))</f>
        <v/>
      </c>
      <c r="F32" s="38" t="str">
        <f>IF($A32="","",[1]!thsiFinD("ths_adjustment_nv_fund",F$3,$A32))</f>
        <v/>
      </c>
      <c r="G32" s="38" t="str">
        <f>IF($A32="","",[1]!thsiFinD("ths_adjustment_nv_fund",G$3,$A32))</f>
        <v/>
      </c>
      <c r="H32" s="38" t="str">
        <f>IF($A32="","",[1]!thsiFinD("ths_adjustment_nv_fund",H$3,$A32))</f>
        <v/>
      </c>
      <c r="I32" s="38" t="str">
        <f>IF($A32="","",[1]!thsiFinD("ths_adjustment_nv_fund",I$3,$A32))</f>
        <v/>
      </c>
      <c r="J32" s="38" t="str">
        <f>IF($A32="","",[1]!thsiFinD("ths_adjustment_nv_fund",J$3,$A32))</f>
        <v/>
      </c>
      <c r="K32" s="38" t="str">
        <f>IF($A32="","",[1]!thsiFinD("ths_adjustment_nv_fund",K$3,$A32))</f>
        <v/>
      </c>
      <c r="L32" s="38" t="str">
        <f>IF($A32="","",[1]!thsiFinD("ths_adjustment_nv_fund",L$3,$A32))</f>
        <v/>
      </c>
      <c r="M32" s="38" t="str">
        <f>IF($A32="","",[1]!thsiFinD("ths_adjustment_nv_fund",M$3,$A32))</f>
        <v/>
      </c>
      <c r="N32" s="38" t="str">
        <f>IF($A32="","",[1]!thsiFinD("ths_adjustment_nv_fund",N$3,$A32))</f>
        <v/>
      </c>
      <c r="O32" s="38" t="str">
        <f>IF($A32="","",[1]!thsiFinD("ths_adjustment_nv_fund",O$3,$A32))</f>
        <v/>
      </c>
      <c r="P32" s="38" t="str">
        <f>IF($A32="","",[1]!thsiFinD("ths_adjustment_nv_fund",P$3,$A32))</f>
        <v/>
      </c>
      <c r="Q32" s="38" t="str">
        <f>IF($A32="","",[1]!thsiFinD("ths_adjustment_nv_fund",Q$3,$A32))</f>
        <v/>
      </c>
      <c r="R32" s="38" t="str">
        <f>IF($A32="","",[1]!thsiFinD("ths_adjustment_nv_fund",R$3,$A32))</f>
        <v/>
      </c>
      <c r="S32" s="38" t="str">
        <f>IF($A32="","",[1]!thsiFinD("ths_adjustment_nv_fund",S$3,$A32))</f>
        <v/>
      </c>
      <c r="T32" s="38" t="str">
        <f>IF($A32="","",[1]!thsiFinD("ths_adjustment_nv_fund",T$3,$A32))</f>
        <v/>
      </c>
      <c r="U32" s="38" t="str">
        <f>IF($A32="","",[1]!thsiFinD("ths_adjustment_nv_fund",U$3,$A32))</f>
        <v/>
      </c>
      <c r="V32" s="38" t="str">
        <f>IF($A32="","",[1]!thsiFinD("ths_adjustment_nv_fund",V$3,$A32))</f>
        <v/>
      </c>
      <c r="W32" s="38" t="str">
        <f>IF($A32="","",[1]!thsiFinD("ths_adjustment_nv_fund",W$3,$A32))</f>
        <v/>
      </c>
      <c r="X32" s="38" t="str">
        <f>IF($A32="","",[1]!thsiFinD("ths_adjustment_nv_fund",X$3,$A32))</f>
        <v/>
      </c>
      <c r="Y32" s="38" t="str">
        <f>IF($A32="","",[1]!thsiFinD("ths_adjustment_nv_fund",Y$3,$A32))</f>
        <v/>
      </c>
    </row>
    <row r="33" spans="1:25" x14ac:dyDescent="0.25">
      <c r="A33" s="37"/>
      <c r="B33" s="38" t="str">
        <f>IF($A33="","",[1]!thsiFinD("ths_adjustment_nv_fund",B$3,$A33))</f>
        <v/>
      </c>
      <c r="C33" s="38" t="str">
        <f>IF($A33="","",[1]!thsiFinD("ths_adjustment_nv_fund",C$3,$A33))</f>
        <v/>
      </c>
      <c r="D33" s="38" t="str">
        <f>IF($A33="","",[1]!thsiFinD("ths_adjustment_nv_fund",D$3,$A33))</f>
        <v/>
      </c>
      <c r="E33" s="38" t="str">
        <f>IF($A33="","",[1]!thsiFinD("ths_adjustment_nv_fund",E$3,$A33))</f>
        <v/>
      </c>
      <c r="F33" s="38" t="str">
        <f>IF($A33="","",[1]!thsiFinD("ths_adjustment_nv_fund",F$3,$A33))</f>
        <v/>
      </c>
      <c r="G33" s="38" t="str">
        <f>IF($A33="","",[1]!thsiFinD("ths_adjustment_nv_fund",G$3,$A33))</f>
        <v/>
      </c>
      <c r="H33" s="38" t="str">
        <f>IF($A33="","",[1]!thsiFinD("ths_adjustment_nv_fund",H$3,$A33))</f>
        <v/>
      </c>
      <c r="I33" s="38" t="str">
        <f>IF($A33="","",[1]!thsiFinD("ths_adjustment_nv_fund",I$3,$A33))</f>
        <v/>
      </c>
      <c r="J33" s="38" t="str">
        <f>IF($A33="","",[1]!thsiFinD("ths_adjustment_nv_fund",J$3,$A33))</f>
        <v/>
      </c>
      <c r="K33" s="38" t="str">
        <f>IF($A33="","",[1]!thsiFinD("ths_adjustment_nv_fund",K$3,$A33))</f>
        <v/>
      </c>
      <c r="L33" s="38" t="str">
        <f>IF($A33="","",[1]!thsiFinD("ths_adjustment_nv_fund",L$3,$A33))</f>
        <v/>
      </c>
      <c r="M33" s="38" t="str">
        <f>IF($A33="","",[1]!thsiFinD("ths_adjustment_nv_fund",M$3,$A33))</f>
        <v/>
      </c>
      <c r="N33" s="38" t="str">
        <f>IF($A33="","",[1]!thsiFinD("ths_adjustment_nv_fund",N$3,$A33))</f>
        <v/>
      </c>
      <c r="O33" s="38" t="str">
        <f>IF($A33="","",[1]!thsiFinD("ths_adjustment_nv_fund",O$3,$A33))</f>
        <v/>
      </c>
      <c r="P33" s="38" t="str">
        <f>IF($A33="","",[1]!thsiFinD("ths_adjustment_nv_fund",P$3,$A33))</f>
        <v/>
      </c>
      <c r="Q33" s="38" t="str">
        <f>IF($A33="","",[1]!thsiFinD("ths_adjustment_nv_fund",Q$3,$A33))</f>
        <v/>
      </c>
      <c r="R33" s="38" t="str">
        <f>IF($A33="","",[1]!thsiFinD("ths_adjustment_nv_fund",R$3,$A33))</f>
        <v/>
      </c>
      <c r="S33" s="38" t="str">
        <f>IF($A33="","",[1]!thsiFinD("ths_adjustment_nv_fund",S$3,$A33))</f>
        <v/>
      </c>
      <c r="T33" s="38" t="str">
        <f>IF($A33="","",[1]!thsiFinD("ths_adjustment_nv_fund",T$3,$A33))</f>
        <v/>
      </c>
      <c r="U33" s="38" t="str">
        <f>IF($A33="","",[1]!thsiFinD("ths_adjustment_nv_fund",U$3,$A33))</f>
        <v/>
      </c>
      <c r="V33" s="38" t="str">
        <f>IF($A33="","",[1]!thsiFinD("ths_adjustment_nv_fund",V$3,$A33))</f>
        <v/>
      </c>
      <c r="W33" s="38" t="str">
        <f>IF($A33="","",[1]!thsiFinD("ths_adjustment_nv_fund",W$3,$A33))</f>
        <v/>
      </c>
      <c r="X33" s="38" t="str">
        <f>IF($A33="","",[1]!thsiFinD("ths_adjustment_nv_fund",X$3,$A33))</f>
        <v/>
      </c>
      <c r="Y33" s="38" t="str">
        <f>IF($A33="","",[1]!thsiFinD("ths_adjustment_nv_fund",Y$3,$A33))</f>
        <v/>
      </c>
    </row>
    <row r="34" spans="1:25" x14ac:dyDescent="0.25">
      <c r="A34" s="37"/>
      <c r="B34" s="38" t="str">
        <f>IF($A34="","",[1]!thsiFinD("ths_adjustment_nv_fund",B$3,$A34))</f>
        <v/>
      </c>
      <c r="C34" s="38" t="str">
        <f>IF($A34="","",[1]!thsiFinD("ths_adjustment_nv_fund",C$3,$A34))</f>
        <v/>
      </c>
      <c r="D34" s="38" t="str">
        <f>IF($A34="","",[1]!thsiFinD("ths_adjustment_nv_fund",D$3,$A34))</f>
        <v/>
      </c>
      <c r="E34" s="38" t="str">
        <f>IF($A34="","",[1]!thsiFinD("ths_adjustment_nv_fund",E$3,$A34))</f>
        <v/>
      </c>
      <c r="F34" s="38" t="str">
        <f>IF($A34="","",[1]!thsiFinD("ths_adjustment_nv_fund",F$3,$A34))</f>
        <v/>
      </c>
      <c r="G34" s="38" t="str">
        <f>IF($A34="","",[1]!thsiFinD("ths_adjustment_nv_fund",G$3,$A34))</f>
        <v/>
      </c>
      <c r="H34" s="38" t="str">
        <f>IF($A34="","",[1]!thsiFinD("ths_adjustment_nv_fund",H$3,$A34))</f>
        <v/>
      </c>
      <c r="I34" s="38" t="str">
        <f>IF($A34="","",[1]!thsiFinD("ths_adjustment_nv_fund",I$3,$A34))</f>
        <v/>
      </c>
      <c r="J34" s="38" t="str">
        <f>IF($A34="","",[1]!thsiFinD("ths_adjustment_nv_fund",J$3,$A34))</f>
        <v/>
      </c>
      <c r="K34" s="38" t="str">
        <f>IF($A34="","",[1]!thsiFinD("ths_adjustment_nv_fund",K$3,$A34))</f>
        <v/>
      </c>
      <c r="L34" s="38" t="str">
        <f>IF($A34="","",[1]!thsiFinD("ths_adjustment_nv_fund",L$3,$A34))</f>
        <v/>
      </c>
      <c r="M34" s="38" t="str">
        <f>IF($A34="","",[1]!thsiFinD("ths_adjustment_nv_fund",M$3,$A34))</f>
        <v/>
      </c>
      <c r="N34" s="38" t="str">
        <f>IF($A34="","",[1]!thsiFinD("ths_adjustment_nv_fund",N$3,$A34))</f>
        <v/>
      </c>
      <c r="O34" s="38" t="str">
        <f>IF($A34="","",[1]!thsiFinD("ths_adjustment_nv_fund",O$3,$A34))</f>
        <v/>
      </c>
      <c r="P34" s="38" t="str">
        <f>IF($A34="","",[1]!thsiFinD("ths_adjustment_nv_fund",P$3,$A34))</f>
        <v/>
      </c>
      <c r="Q34" s="38" t="str">
        <f>IF($A34="","",[1]!thsiFinD("ths_adjustment_nv_fund",Q$3,$A34))</f>
        <v/>
      </c>
      <c r="R34" s="38" t="str">
        <f>IF($A34="","",[1]!thsiFinD("ths_adjustment_nv_fund",R$3,$A34))</f>
        <v/>
      </c>
      <c r="S34" s="38" t="str">
        <f>IF($A34="","",[1]!thsiFinD("ths_adjustment_nv_fund",S$3,$A34))</f>
        <v/>
      </c>
      <c r="T34" s="38" t="str">
        <f>IF($A34="","",[1]!thsiFinD("ths_adjustment_nv_fund",T$3,$A34))</f>
        <v/>
      </c>
      <c r="U34" s="38" t="str">
        <f>IF($A34="","",[1]!thsiFinD("ths_adjustment_nv_fund",U$3,$A34))</f>
        <v/>
      </c>
      <c r="V34" s="38" t="str">
        <f>IF($A34="","",[1]!thsiFinD("ths_adjustment_nv_fund",V$3,$A34))</f>
        <v/>
      </c>
      <c r="W34" s="38" t="str">
        <f>IF($A34="","",[1]!thsiFinD("ths_adjustment_nv_fund",W$3,$A34))</f>
        <v/>
      </c>
      <c r="X34" s="38" t="str">
        <f>IF($A34="","",[1]!thsiFinD("ths_adjustment_nv_fund",X$3,$A34))</f>
        <v/>
      </c>
      <c r="Y34" s="38" t="str">
        <f>IF($A34="","",[1]!thsiFinD("ths_adjustment_nv_fund",Y$3,$A34))</f>
        <v/>
      </c>
    </row>
    <row r="35" spans="1:25" x14ac:dyDescent="0.25">
      <c r="A35" s="37"/>
      <c r="B35" s="38" t="str">
        <f>IF($A35="","",[1]!thsiFinD("ths_adjustment_nv_fund",B$3,$A35))</f>
        <v/>
      </c>
      <c r="C35" s="38" t="str">
        <f>IF($A35="","",[1]!thsiFinD("ths_adjustment_nv_fund",C$3,$A35))</f>
        <v/>
      </c>
      <c r="D35" s="38" t="str">
        <f>IF($A35="","",[1]!thsiFinD("ths_adjustment_nv_fund",D$3,$A35))</f>
        <v/>
      </c>
      <c r="E35" s="38" t="str">
        <f>IF($A35="","",[1]!thsiFinD("ths_adjustment_nv_fund",E$3,$A35))</f>
        <v/>
      </c>
      <c r="F35" s="38" t="str">
        <f>IF($A35="","",[1]!thsiFinD("ths_adjustment_nv_fund",F$3,$A35))</f>
        <v/>
      </c>
      <c r="G35" s="38" t="str">
        <f>IF($A35="","",[1]!thsiFinD("ths_adjustment_nv_fund",G$3,$A35))</f>
        <v/>
      </c>
      <c r="H35" s="38" t="str">
        <f>IF($A35="","",[1]!thsiFinD("ths_adjustment_nv_fund",H$3,$A35))</f>
        <v/>
      </c>
      <c r="I35" s="38" t="str">
        <f>IF($A35="","",[1]!thsiFinD("ths_adjustment_nv_fund",I$3,$A35))</f>
        <v/>
      </c>
      <c r="J35" s="38" t="str">
        <f>IF($A35="","",[1]!thsiFinD("ths_adjustment_nv_fund",J$3,$A35))</f>
        <v/>
      </c>
      <c r="K35" s="38" t="str">
        <f>IF($A35="","",[1]!thsiFinD("ths_adjustment_nv_fund",K$3,$A35))</f>
        <v/>
      </c>
      <c r="L35" s="38" t="str">
        <f>IF($A35="","",[1]!thsiFinD("ths_adjustment_nv_fund",L$3,$A35))</f>
        <v/>
      </c>
      <c r="M35" s="38" t="str">
        <f>IF($A35="","",[1]!thsiFinD("ths_adjustment_nv_fund",M$3,$A35))</f>
        <v/>
      </c>
      <c r="N35" s="38" t="str">
        <f>IF($A35="","",[1]!thsiFinD("ths_adjustment_nv_fund",N$3,$A35))</f>
        <v/>
      </c>
      <c r="O35" s="38" t="str">
        <f>IF($A35="","",[1]!thsiFinD("ths_adjustment_nv_fund",O$3,$A35))</f>
        <v/>
      </c>
      <c r="P35" s="38" t="str">
        <f>IF($A35="","",[1]!thsiFinD("ths_adjustment_nv_fund",P$3,$A35))</f>
        <v/>
      </c>
      <c r="Q35" s="38" t="str">
        <f>IF($A35="","",[1]!thsiFinD("ths_adjustment_nv_fund",Q$3,$A35))</f>
        <v/>
      </c>
      <c r="R35" s="38" t="str">
        <f>IF($A35="","",[1]!thsiFinD("ths_adjustment_nv_fund",R$3,$A35))</f>
        <v/>
      </c>
      <c r="S35" s="38" t="str">
        <f>IF($A35="","",[1]!thsiFinD("ths_adjustment_nv_fund",S$3,$A35))</f>
        <v/>
      </c>
      <c r="T35" s="38" t="str">
        <f>IF($A35="","",[1]!thsiFinD("ths_adjustment_nv_fund",T$3,$A35))</f>
        <v/>
      </c>
      <c r="U35" s="38" t="str">
        <f>IF($A35="","",[1]!thsiFinD("ths_adjustment_nv_fund",U$3,$A35))</f>
        <v/>
      </c>
      <c r="V35" s="38" t="str">
        <f>IF($A35="","",[1]!thsiFinD("ths_adjustment_nv_fund",V$3,$A35))</f>
        <v/>
      </c>
      <c r="W35" s="38" t="str">
        <f>IF($A35="","",[1]!thsiFinD("ths_adjustment_nv_fund",W$3,$A35))</f>
        <v/>
      </c>
      <c r="X35" s="38" t="str">
        <f>IF($A35="","",[1]!thsiFinD("ths_adjustment_nv_fund",X$3,$A35))</f>
        <v/>
      </c>
      <c r="Y35" s="38" t="str">
        <f>IF($A35="","",[1]!thsiFinD("ths_adjustment_nv_fund",Y$3,$A35))</f>
        <v/>
      </c>
    </row>
    <row r="36" spans="1:25" x14ac:dyDescent="0.25">
      <c r="A36" s="37"/>
      <c r="B36" s="38" t="str">
        <f>IF($A36="","",[1]!thsiFinD("ths_adjustment_nv_fund",B$3,$A36))</f>
        <v/>
      </c>
      <c r="C36" s="38" t="str">
        <f>IF($A36="","",[1]!thsiFinD("ths_adjustment_nv_fund",C$3,$A36))</f>
        <v/>
      </c>
      <c r="D36" s="38" t="str">
        <f>IF($A36="","",[1]!thsiFinD("ths_adjustment_nv_fund",D$3,$A36))</f>
        <v/>
      </c>
      <c r="E36" s="38" t="str">
        <f>IF($A36="","",[1]!thsiFinD("ths_adjustment_nv_fund",E$3,$A36))</f>
        <v/>
      </c>
      <c r="F36" s="38" t="str">
        <f>IF($A36="","",[1]!thsiFinD("ths_adjustment_nv_fund",F$3,$A36))</f>
        <v/>
      </c>
      <c r="G36" s="38" t="str">
        <f>IF($A36="","",[1]!thsiFinD("ths_adjustment_nv_fund",G$3,$A36))</f>
        <v/>
      </c>
      <c r="H36" s="38" t="str">
        <f>IF($A36="","",[1]!thsiFinD("ths_adjustment_nv_fund",H$3,$A36))</f>
        <v/>
      </c>
      <c r="I36" s="38" t="str">
        <f>IF($A36="","",[1]!thsiFinD("ths_adjustment_nv_fund",I$3,$A36))</f>
        <v/>
      </c>
      <c r="J36" s="38" t="str">
        <f>IF($A36="","",[1]!thsiFinD("ths_adjustment_nv_fund",J$3,$A36))</f>
        <v/>
      </c>
      <c r="K36" s="38" t="str">
        <f>IF($A36="","",[1]!thsiFinD("ths_adjustment_nv_fund",K$3,$A36))</f>
        <v/>
      </c>
      <c r="L36" s="38" t="str">
        <f>IF($A36="","",[1]!thsiFinD("ths_adjustment_nv_fund",L$3,$A36))</f>
        <v/>
      </c>
      <c r="M36" s="38" t="str">
        <f>IF($A36="","",[1]!thsiFinD("ths_adjustment_nv_fund",M$3,$A36))</f>
        <v/>
      </c>
      <c r="N36" s="38" t="str">
        <f>IF($A36="","",[1]!thsiFinD("ths_adjustment_nv_fund",N$3,$A36))</f>
        <v/>
      </c>
      <c r="O36" s="38" t="str">
        <f>IF($A36="","",[1]!thsiFinD("ths_adjustment_nv_fund",O$3,$A36))</f>
        <v/>
      </c>
      <c r="P36" s="38" t="str">
        <f>IF($A36="","",[1]!thsiFinD("ths_adjustment_nv_fund",P$3,$A36))</f>
        <v/>
      </c>
      <c r="Q36" s="38" t="str">
        <f>IF($A36="","",[1]!thsiFinD("ths_adjustment_nv_fund",Q$3,$A36))</f>
        <v/>
      </c>
      <c r="R36" s="38" t="str">
        <f>IF($A36="","",[1]!thsiFinD("ths_adjustment_nv_fund",R$3,$A36))</f>
        <v/>
      </c>
      <c r="S36" s="38" t="str">
        <f>IF($A36="","",[1]!thsiFinD("ths_adjustment_nv_fund",S$3,$A36))</f>
        <v/>
      </c>
      <c r="T36" s="38" t="str">
        <f>IF($A36="","",[1]!thsiFinD("ths_adjustment_nv_fund",T$3,$A36))</f>
        <v/>
      </c>
      <c r="U36" s="38" t="str">
        <f>IF($A36="","",[1]!thsiFinD("ths_adjustment_nv_fund",U$3,$A36))</f>
        <v/>
      </c>
      <c r="V36" s="38" t="str">
        <f>IF($A36="","",[1]!thsiFinD("ths_adjustment_nv_fund",V$3,$A36))</f>
        <v/>
      </c>
      <c r="W36" s="38" t="str">
        <f>IF($A36="","",[1]!thsiFinD("ths_adjustment_nv_fund",W$3,$A36))</f>
        <v/>
      </c>
      <c r="X36" s="38" t="str">
        <f>IF($A36="","",[1]!thsiFinD("ths_adjustment_nv_fund",X$3,$A36))</f>
        <v/>
      </c>
      <c r="Y36" s="38" t="str">
        <f>IF($A36="","",[1]!thsiFinD("ths_adjustment_nv_fund",Y$3,$A36))</f>
        <v/>
      </c>
    </row>
    <row r="37" spans="1:25" x14ac:dyDescent="0.25">
      <c r="A37" s="37"/>
      <c r="B37" s="38" t="str">
        <f>IF($A37="","",[1]!thsiFinD("ths_adjustment_nv_fund",B$3,$A37))</f>
        <v/>
      </c>
      <c r="C37" s="38" t="str">
        <f>IF($A37="","",[1]!thsiFinD("ths_adjustment_nv_fund",C$3,$A37))</f>
        <v/>
      </c>
      <c r="D37" s="38" t="str">
        <f>IF($A37="","",[1]!thsiFinD("ths_adjustment_nv_fund",D$3,$A37))</f>
        <v/>
      </c>
      <c r="E37" s="38" t="str">
        <f>IF($A37="","",[1]!thsiFinD("ths_adjustment_nv_fund",E$3,$A37))</f>
        <v/>
      </c>
      <c r="F37" s="38" t="str">
        <f>IF($A37="","",[1]!thsiFinD("ths_adjustment_nv_fund",F$3,$A37))</f>
        <v/>
      </c>
      <c r="G37" s="38" t="str">
        <f>IF($A37="","",[1]!thsiFinD("ths_adjustment_nv_fund",G$3,$A37))</f>
        <v/>
      </c>
      <c r="H37" s="38" t="str">
        <f>IF($A37="","",[1]!thsiFinD("ths_adjustment_nv_fund",H$3,$A37))</f>
        <v/>
      </c>
      <c r="I37" s="38" t="str">
        <f>IF($A37="","",[1]!thsiFinD("ths_adjustment_nv_fund",I$3,$A37))</f>
        <v/>
      </c>
      <c r="J37" s="38" t="str">
        <f>IF($A37="","",[1]!thsiFinD("ths_adjustment_nv_fund",J$3,$A37))</f>
        <v/>
      </c>
      <c r="K37" s="38" t="str">
        <f>IF($A37="","",[1]!thsiFinD("ths_adjustment_nv_fund",K$3,$A37))</f>
        <v/>
      </c>
      <c r="L37" s="38" t="str">
        <f>IF($A37="","",[1]!thsiFinD("ths_adjustment_nv_fund",L$3,$A37))</f>
        <v/>
      </c>
      <c r="M37" s="38" t="str">
        <f>IF($A37="","",[1]!thsiFinD("ths_adjustment_nv_fund",M$3,$A37))</f>
        <v/>
      </c>
      <c r="N37" s="38" t="str">
        <f>IF($A37="","",[1]!thsiFinD("ths_adjustment_nv_fund",N$3,$A37))</f>
        <v/>
      </c>
      <c r="O37" s="38" t="str">
        <f>IF($A37="","",[1]!thsiFinD("ths_adjustment_nv_fund",O$3,$A37))</f>
        <v/>
      </c>
      <c r="P37" s="38" t="str">
        <f>IF($A37="","",[1]!thsiFinD("ths_adjustment_nv_fund",P$3,$A37))</f>
        <v/>
      </c>
      <c r="Q37" s="38" t="str">
        <f>IF($A37="","",[1]!thsiFinD("ths_adjustment_nv_fund",Q$3,$A37))</f>
        <v/>
      </c>
      <c r="R37" s="38" t="str">
        <f>IF($A37="","",[1]!thsiFinD("ths_adjustment_nv_fund",R$3,$A37))</f>
        <v/>
      </c>
      <c r="S37" s="38" t="str">
        <f>IF($A37="","",[1]!thsiFinD("ths_adjustment_nv_fund",S$3,$A37))</f>
        <v/>
      </c>
      <c r="T37" s="38" t="str">
        <f>IF($A37="","",[1]!thsiFinD("ths_adjustment_nv_fund",T$3,$A37))</f>
        <v/>
      </c>
      <c r="U37" s="38" t="str">
        <f>IF($A37="","",[1]!thsiFinD("ths_adjustment_nv_fund",U$3,$A37))</f>
        <v/>
      </c>
      <c r="V37" s="38" t="str">
        <f>IF($A37="","",[1]!thsiFinD("ths_adjustment_nv_fund",V$3,$A37))</f>
        <v/>
      </c>
      <c r="W37" s="38" t="str">
        <f>IF($A37="","",[1]!thsiFinD("ths_adjustment_nv_fund",W$3,$A37))</f>
        <v/>
      </c>
      <c r="X37" s="38" t="str">
        <f>IF($A37="","",[1]!thsiFinD("ths_adjustment_nv_fund",X$3,$A37))</f>
        <v/>
      </c>
      <c r="Y37" s="38" t="str">
        <f>IF($A37="","",[1]!thsiFinD("ths_adjustment_nv_fund",Y$3,$A37))</f>
        <v/>
      </c>
    </row>
    <row r="38" spans="1:25" x14ac:dyDescent="0.25">
      <c r="A38" s="37"/>
      <c r="B38" s="38" t="str">
        <f>IF($A38="","",[1]!thsiFinD("ths_adjustment_nv_fund",B$3,$A38))</f>
        <v/>
      </c>
      <c r="C38" s="38" t="str">
        <f>IF($A38="","",[1]!thsiFinD("ths_adjustment_nv_fund",C$3,$A38))</f>
        <v/>
      </c>
      <c r="D38" s="38" t="str">
        <f>IF($A38="","",[1]!thsiFinD("ths_adjustment_nv_fund",D$3,$A38))</f>
        <v/>
      </c>
      <c r="E38" s="38" t="str">
        <f>IF($A38="","",[1]!thsiFinD("ths_adjustment_nv_fund",E$3,$A38))</f>
        <v/>
      </c>
      <c r="F38" s="38" t="str">
        <f>IF($A38="","",[1]!thsiFinD("ths_adjustment_nv_fund",F$3,$A38))</f>
        <v/>
      </c>
      <c r="G38" s="38" t="str">
        <f>IF($A38="","",[1]!thsiFinD("ths_adjustment_nv_fund",G$3,$A38))</f>
        <v/>
      </c>
      <c r="H38" s="38" t="str">
        <f>IF($A38="","",[1]!thsiFinD("ths_adjustment_nv_fund",H$3,$A38))</f>
        <v/>
      </c>
      <c r="I38" s="38" t="str">
        <f>IF($A38="","",[1]!thsiFinD("ths_adjustment_nv_fund",I$3,$A38))</f>
        <v/>
      </c>
      <c r="J38" s="38" t="str">
        <f>IF($A38="","",[1]!thsiFinD("ths_adjustment_nv_fund",J$3,$A38))</f>
        <v/>
      </c>
      <c r="K38" s="38" t="str">
        <f>IF($A38="","",[1]!thsiFinD("ths_adjustment_nv_fund",K$3,$A38))</f>
        <v/>
      </c>
      <c r="L38" s="38" t="str">
        <f>IF($A38="","",[1]!thsiFinD("ths_adjustment_nv_fund",L$3,$A38))</f>
        <v/>
      </c>
      <c r="M38" s="38" t="str">
        <f>IF($A38="","",[1]!thsiFinD("ths_adjustment_nv_fund",M$3,$A38))</f>
        <v/>
      </c>
      <c r="N38" s="38" t="str">
        <f>IF($A38="","",[1]!thsiFinD("ths_adjustment_nv_fund",N$3,$A38))</f>
        <v/>
      </c>
      <c r="O38" s="38" t="str">
        <f>IF($A38="","",[1]!thsiFinD("ths_adjustment_nv_fund",O$3,$A38))</f>
        <v/>
      </c>
      <c r="P38" s="38" t="str">
        <f>IF($A38="","",[1]!thsiFinD("ths_adjustment_nv_fund",P$3,$A38))</f>
        <v/>
      </c>
      <c r="Q38" s="38" t="str">
        <f>IF($A38="","",[1]!thsiFinD("ths_adjustment_nv_fund",Q$3,$A38))</f>
        <v/>
      </c>
      <c r="R38" s="38" t="str">
        <f>IF($A38="","",[1]!thsiFinD("ths_adjustment_nv_fund",R$3,$A38))</f>
        <v/>
      </c>
      <c r="S38" s="38" t="str">
        <f>IF($A38="","",[1]!thsiFinD("ths_adjustment_nv_fund",S$3,$A38))</f>
        <v/>
      </c>
      <c r="T38" s="38" t="str">
        <f>IF($A38="","",[1]!thsiFinD("ths_adjustment_nv_fund",T$3,$A38))</f>
        <v/>
      </c>
      <c r="U38" s="38" t="str">
        <f>IF($A38="","",[1]!thsiFinD("ths_adjustment_nv_fund",U$3,$A38))</f>
        <v/>
      </c>
      <c r="V38" s="38" t="str">
        <f>IF($A38="","",[1]!thsiFinD("ths_adjustment_nv_fund",V$3,$A38))</f>
        <v/>
      </c>
      <c r="W38" s="38" t="str">
        <f>IF($A38="","",[1]!thsiFinD("ths_adjustment_nv_fund",W$3,$A38))</f>
        <v/>
      </c>
      <c r="X38" s="38" t="str">
        <f>IF($A38="","",[1]!thsiFinD("ths_adjustment_nv_fund",X$3,$A38))</f>
        <v/>
      </c>
      <c r="Y38" s="38" t="str">
        <f>IF($A38="","",[1]!thsiFinD("ths_adjustment_nv_fund",Y$3,$A38))</f>
        <v/>
      </c>
    </row>
    <row r="39" spans="1:25" x14ac:dyDescent="0.25">
      <c r="A39" s="37"/>
      <c r="B39" s="38" t="str">
        <f>IF($A39="","",[1]!thsiFinD("ths_adjustment_nv_fund",B$3,$A39))</f>
        <v/>
      </c>
      <c r="C39" s="38" t="str">
        <f>IF($A39="","",[1]!thsiFinD("ths_adjustment_nv_fund",C$3,$A39))</f>
        <v/>
      </c>
      <c r="D39" s="38" t="str">
        <f>IF($A39="","",[1]!thsiFinD("ths_adjustment_nv_fund",D$3,$A39))</f>
        <v/>
      </c>
      <c r="E39" s="38" t="str">
        <f>IF($A39="","",[1]!thsiFinD("ths_adjustment_nv_fund",E$3,$A39))</f>
        <v/>
      </c>
      <c r="F39" s="38" t="str">
        <f>IF($A39="","",[1]!thsiFinD("ths_adjustment_nv_fund",F$3,$A39))</f>
        <v/>
      </c>
      <c r="G39" s="38" t="str">
        <f>IF($A39="","",[1]!thsiFinD("ths_adjustment_nv_fund",G$3,$A39))</f>
        <v/>
      </c>
      <c r="H39" s="38" t="str">
        <f>IF($A39="","",[1]!thsiFinD("ths_adjustment_nv_fund",H$3,$A39))</f>
        <v/>
      </c>
      <c r="I39" s="38" t="str">
        <f>IF($A39="","",[1]!thsiFinD("ths_adjustment_nv_fund",I$3,$A39))</f>
        <v/>
      </c>
      <c r="J39" s="38" t="str">
        <f>IF($A39="","",[1]!thsiFinD("ths_adjustment_nv_fund",J$3,$A39))</f>
        <v/>
      </c>
      <c r="K39" s="38" t="str">
        <f>IF($A39="","",[1]!thsiFinD("ths_adjustment_nv_fund",K$3,$A39))</f>
        <v/>
      </c>
      <c r="L39" s="38" t="str">
        <f>IF($A39="","",[1]!thsiFinD("ths_adjustment_nv_fund",L$3,$A39))</f>
        <v/>
      </c>
      <c r="M39" s="38" t="str">
        <f>IF($A39="","",[1]!thsiFinD("ths_adjustment_nv_fund",M$3,$A39))</f>
        <v/>
      </c>
      <c r="N39" s="38" t="str">
        <f>IF($A39="","",[1]!thsiFinD("ths_adjustment_nv_fund",N$3,$A39))</f>
        <v/>
      </c>
      <c r="O39" s="38" t="str">
        <f>IF($A39="","",[1]!thsiFinD("ths_adjustment_nv_fund",O$3,$A39))</f>
        <v/>
      </c>
      <c r="P39" s="38" t="str">
        <f>IF($A39="","",[1]!thsiFinD("ths_adjustment_nv_fund",P$3,$A39))</f>
        <v/>
      </c>
      <c r="Q39" s="38" t="str">
        <f>IF($A39="","",[1]!thsiFinD("ths_adjustment_nv_fund",Q$3,$A39))</f>
        <v/>
      </c>
      <c r="R39" s="38" t="str">
        <f>IF($A39="","",[1]!thsiFinD("ths_adjustment_nv_fund",R$3,$A39))</f>
        <v/>
      </c>
      <c r="S39" s="38" t="str">
        <f>IF($A39="","",[1]!thsiFinD("ths_adjustment_nv_fund",S$3,$A39))</f>
        <v/>
      </c>
      <c r="T39" s="38" t="str">
        <f>IF($A39="","",[1]!thsiFinD("ths_adjustment_nv_fund",T$3,$A39))</f>
        <v/>
      </c>
      <c r="U39" s="38" t="str">
        <f>IF($A39="","",[1]!thsiFinD("ths_adjustment_nv_fund",U$3,$A39))</f>
        <v/>
      </c>
      <c r="V39" s="38" t="str">
        <f>IF($A39="","",[1]!thsiFinD("ths_adjustment_nv_fund",V$3,$A39))</f>
        <v/>
      </c>
      <c r="W39" s="38" t="str">
        <f>IF($A39="","",[1]!thsiFinD("ths_adjustment_nv_fund",W$3,$A39))</f>
        <v/>
      </c>
      <c r="X39" s="38" t="str">
        <f>IF($A39="","",[1]!thsiFinD("ths_adjustment_nv_fund",X$3,$A39))</f>
        <v/>
      </c>
      <c r="Y39" s="38" t="str">
        <f>IF($A39="","",[1]!thsiFinD("ths_adjustment_nv_fund",Y$3,$A39))</f>
        <v/>
      </c>
    </row>
    <row r="40" spans="1:25" x14ac:dyDescent="0.25">
      <c r="A40" s="37"/>
      <c r="B40" s="38" t="str">
        <f>IF($A40="","",[1]!thsiFinD("ths_adjustment_nv_fund",B$3,$A40))</f>
        <v/>
      </c>
      <c r="C40" s="38" t="str">
        <f>IF($A40="","",[1]!thsiFinD("ths_adjustment_nv_fund",C$3,$A40))</f>
        <v/>
      </c>
      <c r="D40" s="38" t="str">
        <f>IF($A40="","",[1]!thsiFinD("ths_adjustment_nv_fund",D$3,$A40))</f>
        <v/>
      </c>
      <c r="E40" s="38" t="str">
        <f>IF($A40="","",[1]!thsiFinD("ths_adjustment_nv_fund",E$3,$A40))</f>
        <v/>
      </c>
      <c r="F40" s="38" t="str">
        <f>IF($A40="","",[1]!thsiFinD("ths_adjustment_nv_fund",F$3,$A40))</f>
        <v/>
      </c>
      <c r="G40" s="38" t="str">
        <f>IF($A40="","",[1]!thsiFinD("ths_adjustment_nv_fund",G$3,$A40))</f>
        <v/>
      </c>
      <c r="H40" s="38" t="str">
        <f>IF($A40="","",[1]!thsiFinD("ths_adjustment_nv_fund",H$3,$A40))</f>
        <v/>
      </c>
      <c r="I40" s="38" t="str">
        <f>IF($A40="","",[1]!thsiFinD("ths_adjustment_nv_fund",I$3,$A40))</f>
        <v/>
      </c>
      <c r="J40" s="38" t="str">
        <f>IF($A40="","",[1]!thsiFinD("ths_adjustment_nv_fund",J$3,$A40))</f>
        <v/>
      </c>
      <c r="K40" s="38" t="str">
        <f>IF($A40="","",[1]!thsiFinD("ths_adjustment_nv_fund",K$3,$A40))</f>
        <v/>
      </c>
      <c r="L40" s="38" t="str">
        <f>IF($A40="","",[1]!thsiFinD("ths_adjustment_nv_fund",L$3,$A40))</f>
        <v/>
      </c>
      <c r="M40" s="38" t="str">
        <f>IF($A40="","",[1]!thsiFinD("ths_adjustment_nv_fund",M$3,$A40))</f>
        <v/>
      </c>
      <c r="N40" s="38" t="str">
        <f>IF($A40="","",[1]!thsiFinD("ths_adjustment_nv_fund",N$3,$A40))</f>
        <v/>
      </c>
      <c r="O40" s="38" t="str">
        <f>IF($A40="","",[1]!thsiFinD("ths_adjustment_nv_fund",O$3,$A40))</f>
        <v/>
      </c>
      <c r="P40" s="38" t="str">
        <f>IF($A40="","",[1]!thsiFinD("ths_adjustment_nv_fund",P$3,$A40))</f>
        <v/>
      </c>
      <c r="Q40" s="38" t="str">
        <f>IF($A40="","",[1]!thsiFinD("ths_adjustment_nv_fund",Q$3,$A40))</f>
        <v/>
      </c>
      <c r="R40" s="38" t="str">
        <f>IF($A40="","",[1]!thsiFinD("ths_adjustment_nv_fund",R$3,$A40))</f>
        <v/>
      </c>
      <c r="S40" s="38" t="str">
        <f>IF($A40="","",[1]!thsiFinD("ths_adjustment_nv_fund",S$3,$A40))</f>
        <v/>
      </c>
      <c r="T40" s="38" t="str">
        <f>IF($A40="","",[1]!thsiFinD("ths_adjustment_nv_fund",T$3,$A40))</f>
        <v/>
      </c>
      <c r="U40" s="38" t="str">
        <f>IF($A40="","",[1]!thsiFinD("ths_adjustment_nv_fund",U$3,$A40))</f>
        <v/>
      </c>
      <c r="V40" s="38" t="str">
        <f>IF($A40="","",[1]!thsiFinD("ths_adjustment_nv_fund",V$3,$A40))</f>
        <v/>
      </c>
      <c r="W40" s="38" t="str">
        <f>IF($A40="","",[1]!thsiFinD("ths_adjustment_nv_fund",W$3,$A40))</f>
        <v/>
      </c>
      <c r="X40" s="38" t="str">
        <f>IF($A40="","",[1]!thsiFinD("ths_adjustment_nv_fund",X$3,$A40))</f>
        <v/>
      </c>
      <c r="Y40" s="38" t="str">
        <f>IF($A40="","",[1]!thsiFinD("ths_adjustment_nv_fund",Y$3,$A40))</f>
        <v/>
      </c>
    </row>
    <row r="41" spans="1:25" x14ac:dyDescent="0.25">
      <c r="A41" s="37"/>
      <c r="B41" s="38" t="str">
        <f>IF($A41="","",[1]!thsiFinD("ths_adjustment_nv_fund",B$3,$A41))</f>
        <v/>
      </c>
      <c r="C41" s="38" t="str">
        <f>IF($A41="","",[1]!thsiFinD("ths_adjustment_nv_fund",C$3,$A41))</f>
        <v/>
      </c>
      <c r="D41" s="38" t="str">
        <f>IF($A41="","",[1]!thsiFinD("ths_adjustment_nv_fund",D$3,$A41))</f>
        <v/>
      </c>
      <c r="E41" s="38" t="str">
        <f>IF($A41="","",[1]!thsiFinD("ths_adjustment_nv_fund",E$3,$A41))</f>
        <v/>
      </c>
      <c r="F41" s="38" t="str">
        <f>IF($A41="","",[1]!thsiFinD("ths_adjustment_nv_fund",F$3,$A41))</f>
        <v/>
      </c>
      <c r="G41" s="38" t="str">
        <f>IF($A41="","",[1]!thsiFinD("ths_adjustment_nv_fund",G$3,$A41))</f>
        <v/>
      </c>
      <c r="H41" s="38" t="str">
        <f>IF($A41="","",[1]!thsiFinD("ths_adjustment_nv_fund",H$3,$A41))</f>
        <v/>
      </c>
      <c r="I41" s="38" t="str">
        <f>IF($A41="","",[1]!thsiFinD("ths_adjustment_nv_fund",I$3,$A41))</f>
        <v/>
      </c>
      <c r="J41" s="38" t="str">
        <f>IF($A41="","",[1]!thsiFinD("ths_adjustment_nv_fund",J$3,$A41))</f>
        <v/>
      </c>
      <c r="K41" s="38" t="str">
        <f>IF($A41="","",[1]!thsiFinD("ths_adjustment_nv_fund",K$3,$A41))</f>
        <v/>
      </c>
      <c r="L41" s="38" t="str">
        <f>IF($A41="","",[1]!thsiFinD("ths_adjustment_nv_fund",L$3,$A41))</f>
        <v/>
      </c>
      <c r="M41" s="38" t="str">
        <f>IF($A41="","",[1]!thsiFinD("ths_adjustment_nv_fund",M$3,$A41))</f>
        <v/>
      </c>
      <c r="N41" s="38" t="str">
        <f>IF($A41="","",[1]!thsiFinD("ths_adjustment_nv_fund",N$3,$A41))</f>
        <v/>
      </c>
      <c r="O41" s="38" t="str">
        <f>IF($A41="","",[1]!thsiFinD("ths_adjustment_nv_fund",O$3,$A41))</f>
        <v/>
      </c>
      <c r="P41" s="38" t="str">
        <f>IF($A41="","",[1]!thsiFinD("ths_adjustment_nv_fund",P$3,$A41))</f>
        <v/>
      </c>
      <c r="Q41" s="38" t="str">
        <f>IF($A41="","",[1]!thsiFinD("ths_adjustment_nv_fund",Q$3,$A41))</f>
        <v/>
      </c>
      <c r="R41" s="38" t="str">
        <f>IF($A41="","",[1]!thsiFinD("ths_adjustment_nv_fund",R$3,$A41))</f>
        <v/>
      </c>
      <c r="S41" s="38" t="str">
        <f>IF($A41="","",[1]!thsiFinD("ths_adjustment_nv_fund",S$3,$A41))</f>
        <v/>
      </c>
      <c r="T41" s="38" t="str">
        <f>IF($A41="","",[1]!thsiFinD("ths_adjustment_nv_fund",T$3,$A41))</f>
        <v/>
      </c>
      <c r="U41" s="38" t="str">
        <f>IF($A41="","",[1]!thsiFinD("ths_adjustment_nv_fund",U$3,$A41))</f>
        <v/>
      </c>
      <c r="V41" s="38" t="str">
        <f>IF($A41="","",[1]!thsiFinD("ths_adjustment_nv_fund",V$3,$A41))</f>
        <v/>
      </c>
      <c r="W41" s="38" t="str">
        <f>IF($A41="","",[1]!thsiFinD("ths_adjustment_nv_fund",W$3,$A41))</f>
        <v/>
      </c>
      <c r="X41" s="38" t="str">
        <f>IF($A41="","",[1]!thsiFinD("ths_adjustment_nv_fund",X$3,$A41))</f>
        <v/>
      </c>
      <c r="Y41" s="38" t="str">
        <f>IF($A41="","",[1]!thsiFinD("ths_adjustment_nv_fund",Y$3,$A41))</f>
        <v/>
      </c>
    </row>
    <row r="42" spans="1:25" x14ac:dyDescent="0.25">
      <c r="A42" s="37"/>
      <c r="B42" s="38" t="str">
        <f>IF($A42="","",[1]!thsiFinD("ths_adjustment_nv_fund",B$3,$A42))</f>
        <v/>
      </c>
      <c r="C42" s="38" t="str">
        <f>IF($A42="","",[1]!thsiFinD("ths_adjustment_nv_fund",C$3,$A42))</f>
        <v/>
      </c>
      <c r="D42" s="38" t="str">
        <f>IF($A42="","",[1]!thsiFinD("ths_adjustment_nv_fund",D$3,$A42))</f>
        <v/>
      </c>
      <c r="E42" s="38" t="str">
        <f>IF($A42="","",[1]!thsiFinD("ths_adjustment_nv_fund",E$3,$A42))</f>
        <v/>
      </c>
      <c r="F42" s="38" t="str">
        <f>IF($A42="","",[1]!thsiFinD("ths_adjustment_nv_fund",F$3,$A42))</f>
        <v/>
      </c>
      <c r="G42" s="38" t="str">
        <f>IF($A42="","",[1]!thsiFinD("ths_adjustment_nv_fund",G$3,$A42))</f>
        <v/>
      </c>
      <c r="H42" s="38" t="str">
        <f>IF($A42="","",[1]!thsiFinD("ths_adjustment_nv_fund",H$3,$A42))</f>
        <v/>
      </c>
      <c r="I42" s="38" t="str">
        <f>IF($A42="","",[1]!thsiFinD("ths_adjustment_nv_fund",I$3,$A42))</f>
        <v/>
      </c>
      <c r="J42" s="38" t="str">
        <f>IF($A42="","",[1]!thsiFinD("ths_adjustment_nv_fund",J$3,$A42))</f>
        <v/>
      </c>
      <c r="K42" s="38" t="str">
        <f>IF($A42="","",[1]!thsiFinD("ths_adjustment_nv_fund",K$3,$A42))</f>
        <v/>
      </c>
      <c r="L42" s="38" t="str">
        <f>IF($A42="","",[1]!thsiFinD("ths_adjustment_nv_fund",L$3,$A42))</f>
        <v/>
      </c>
      <c r="M42" s="38" t="str">
        <f>IF($A42="","",[1]!thsiFinD("ths_adjustment_nv_fund",M$3,$A42))</f>
        <v/>
      </c>
      <c r="N42" s="38" t="str">
        <f>IF($A42="","",[1]!thsiFinD("ths_adjustment_nv_fund",N$3,$A42))</f>
        <v/>
      </c>
      <c r="O42" s="38" t="str">
        <f>IF($A42="","",[1]!thsiFinD("ths_adjustment_nv_fund",O$3,$A42))</f>
        <v/>
      </c>
      <c r="P42" s="38" t="str">
        <f>IF($A42="","",[1]!thsiFinD("ths_adjustment_nv_fund",P$3,$A42))</f>
        <v/>
      </c>
      <c r="Q42" s="38" t="str">
        <f>IF($A42="","",[1]!thsiFinD("ths_adjustment_nv_fund",Q$3,$A42))</f>
        <v/>
      </c>
      <c r="R42" s="38" t="str">
        <f>IF($A42="","",[1]!thsiFinD("ths_adjustment_nv_fund",R$3,$A42))</f>
        <v/>
      </c>
      <c r="S42" s="38" t="str">
        <f>IF($A42="","",[1]!thsiFinD("ths_adjustment_nv_fund",S$3,$A42))</f>
        <v/>
      </c>
      <c r="T42" s="38" t="str">
        <f>IF($A42="","",[1]!thsiFinD("ths_adjustment_nv_fund",T$3,$A42))</f>
        <v/>
      </c>
      <c r="U42" s="38" t="str">
        <f>IF($A42="","",[1]!thsiFinD("ths_adjustment_nv_fund",U$3,$A42))</f>
        <v/>
      </c>
      <c r="V42" s="38" t="str">
        <f>IF($A42="","",[1]!thsiFinD("ths_adjustment_nv_fund",V$3,$A42))</f>
        <v/>
      </c>
      <c r="W42" s="38" t="str">
        <f>IF($A42="","",[1]!thsiFinD("ths_adjustment_nv_fund",W$3,$A42))</f>
        <v/>
      </c>
      <c r="X42" s="38" t="str">
        <f>IF($A42="","",[1]!thsiFinD("ths_adjustment_nv_fund",X$3,$A42))</f>
        <v/>
      </c>
      <c r="Y42" s="38" t="str">
        <f>IF($A42="","",[1]!thsiFinD("ths_adjustment_nv_fund",Y$3,$A42))</f>
        <v/>
      </c>
    </row>
    <row r="43" spans="1:25" x14ac:dyDescent="0.25">
      <c r="A43" s="37"/>
      <c r="B43" s="38" t="str">
        <f>IF($A43="","",[1]!thsiFinD("ths_adjustment_nv_fund",B$3,$A43))</f>
        <v/>
      </c>
      <c r="C43" s="38" t="str">
        <f>IF($A43="","",[1]!thsiFinD("ths_adjustment_nv_fund",C$3,$A43))</f>
        <v/>
      </c>
      <c r="D43" s="38" t="str">
        <f>IF($A43="","",[1]!thsiFinD("ths_adjustment_nv_fund",D$3,$A43))</f>
        <v/>
      </c>
      <c r="E43" s="38" t="str">
        <f>IF($A43="","",[1]!thsiFinD("ths_adjustment_nv_fund",E$3,$A43))</f>
        <v/>
      </c>
      <c r="F43" s="38" t="str">
        <f>IF($A43="","",[1]!thsiFinD("ths_adjustment_nv_fund",F$3,$A43))</f>
        <v/>
      </c>
      <c r="G43" s="38" t="str">
        <f>IF($A43="","",[1]!thsiFinD("ths_adjustment_nv_fund",G$3,$A43))</f>
        <v/>
      </c>
      <c r="H43" s="38" t="str">
        <f>IF($A43="","",[1]!thsiFinD("ths_adjustment_nv_fund",H$3,$A43))</f>
        <v/>
      </c>
      <c r="I43" s="38" t="str">
        <f>IF($A43="","",[1]!thsiFinD("ths_adjustment_nv_fund",I$3,$A43))</f>
        <v/>
      </c>
      <c r="J43" s="38" t="str">
        <f>IF($A43="","",[1]!thsiFinD("ths_adjustment_nv_fund",J$3,$A43))</f>
        <v/>
      </c>
      <c r="K43" s="38" t="str">
        <f>IF($A43="","",[1]!thsiFinD("ths_adjustment_nv_fund",K$3,$A43))</f>
        <v/>
      </c>
      <c r="L43" s="38" t="str">
        <f>IF($A43="","",[1]!thsiFinD("ths_adjustment_nv_fund",L$3,$A43))</f>
        <v/>
      </c>
      <c r="M43" s="38" t="str">
        <f>IF($A43="","",[1]!thsiFinD("ths_adjustment_nv_fund",M$3,$A43))</f>
        <v/>
      </c>
      <c r="N43" s="38" t="str">
        <f>IF($A43="","",[1]!thsiFinD("ths_adjustment_nv_fund",N$3,$A43))</f>
        <v/>
      </c>
      <c r="O43" s="38" t="str">
        <f>IF($A43="","",[1]!thsiFinD("ths_adjustment_nv_fund",O$3,$A43))</f>
        <v/>
      </c>
      <c r="P43" s="38" t="str">
        <f>IF($A43="","",[1]!thsiFinD("ths_adjustment_nv_fund",P$3,$A43))</f>
        <v/>
      </c>
      <c r="Q43" s="38" t="str">
        <f>IF($A43="","",[1]!thsiFinD("ths_adjustment_nv_fund",Q$3,$A43))</f>
        <v/>
      </c>
      <c r="R43" s="38" t="str">
        <f>IF($A43="","",[1]!thsiFinD("ths_adjustment_nv_fund",R$3,$A43))</f>
        <v/>
      </c>
      <c r="S43" s="38" t="str">
        <f>IF($A43="","",[1]!thsiFinD("ths_adjustment_nv_fund",S$3,$A43))</f>
        <v/>
      </c>
      <c r="T43" s="38" t="str">
        <f>IF($A43="","",[1]!thsiFinD("ths_adjustment_nv_fund",T$3,$A43))</f>
        <v/>
      </c>
      <c r="U43" s="38" t="str">
        <f>IF($A43="","",[1]!thsiFinD("ths_adjustment_nv_fund",U$3,$A43))</f>
        <v/>
      </c>
      <c r="V43" s="38" t="str">
        <f>IF($A43="","",[1]!thsiFinD("ths_adjustment_nv_fund",V$3,$A43))</f>
        <v/>
      </c>
      <c r="W43" s="38" t="str">
        <f>IF($A43="","",[1]!thsiFinD("ths_adjustment_nv_fund",W$3,$A43))</f>
        <v/>
      </c>
      <c r="X43" s="38" t="str">
        <f>IF($A43="","",[1]!thsiFinD("ths_adjustment_nv_fund",X$3,$A43))</f>
        <v/>
      </c>
      <c r="Y43" s="38" t="str">
        <f>IF($A43="","",[1]!thsiFinD("ths_adjustment_nv_fund",Y$3,$A43))</f>
        <v/>
      </c>
    </row>
    <row r="44" spans="1:25" x14ac:dyDescent="0.25">
      <c r="A44" s="37"/>
      <c r="B44" s="38" t="str">
        <f>IF($A44="","",[1]!thsiFinD("ths_adjustment_nv_fund",B$3,$A44))</f>
        <v/>
      </c>
      <c r="C44" s="38" t="str">
        <f>IF($A44="","",[1]!thsiFinD("ths_adjustment_nv_fund",C$3,$A44))</f>
        <v/>
      </c>
      <c r="D44" s="38" t="str">
        <f>IF($A44="","",[1]!thsiFinD("ths_adjustment_nv_fund",D$3,$A44))</f>
        <v/>
      </c>
      <c r="E44" s="38" t="str">
        <f>IF($A44="","",[1]!thsiFinD("ths_adjustment_nv_fund",E$3,$A44))</f>
        <v/>
      </c>
      <c r="F44" s="38" t="str">
        <f>IF($A44="","",[1]!thsiFinD("ths_adjustment_nv_fund",F$3,$A44))</f>
        <v/>
      </c>
      <c r="G44" s="38" t="str">
        <f>IF($A44="","",[1]!thsiFinD("ths_adjustment_nv_fund",G$3,$A44))</f>
        <v/>
      </c>
      <c r="H44" s="38" t="str">
        <f>IF($A44="","",[1]!thsiFinD("ths_adjustment_nv_fund",H$3,$A44))</f>
        <v/>
      </c>
      <c r="I44" s="38" t="str">
        <f>IF($A44="","",[1]!thsiFinD("ths_adjustment_nv_fund",I$3,$A44))</f>
        <v/>
      </c>
      <c r="J44" s="38" t="str">
        <f>IF($A44="","",[1]!thsiFinD("ths_adjustment_nv_fund",J$3,$A44))</f>
        <v/>
      </c>
      <c r="K44" s="38" t="str">
        <f>IF($A44="","",[1]!thsiFinD("ths_adjustment_nv_fund",K$3,$A44))</f>
        <v/>
      </c>
      <c r="L44" s="38" t="str">
        <f>IF($A44="","",[1]!thsiFinD("ths_adjustment_nv_fund",L$3,$A44))</f>
        <v/>
      </c>
      <c r="M44" s="38" t="str">
        <f>IF($A44="","",[1]!thsiFinD("ths_adjustment_nv_fund",M$3,$A44))</f>
        <v/>
      </c>
      <c r="N44" s="38" t="str">
        <f>IF($A44="","",[1]!thsiFinD("ths_adjustment_nv_fund",N$3,$A44))</f>
        <v/>
      </c>
      <c r="O44" s="38" t="str">
        <f>IF($A44="","",[1]!thsiFinD("ths_adjustment_nv_fund",O$3,$A44))</f>
        <v/>
      </c>
      <c r="P44" s="38" t="str">
        <f>IF($A44="","",[1]!thsiFinD("ths_adjustment_nv_fund",P$3,$A44))</f>
        <v/>
      </c>
      <c r="Q44" s="38" t="str">
        <f>IF($A44="","",[1]!thsiFinD("ths_adjustment_nv_fund",Q$3,$A44))</f>
        <v/>
      </c>
      <c r="R44" s="38" t="str">
        <f>IF($A44="","",[1]!thsiFinD("ths_adjustment_nv_fund",R$3,$A44))</f>
        <v/>
      </c>
      <c r="S44" s="38" t="str">
        <f>IF($A44="","",[1]!thsiFinD("ths_adjustment_nv_fund",S$3,$A44))</f>
        <v/>
      </c>
      <c r="T44" s="38" t="str">
        <f>IF($A44="","",[1]!thsiFinD("ths_adjustment_nv_fund",T$3,$A44))</f>
        <v/>
      </c>
      <c r="U44" s="38" t="str">
        <f>IF($A44="","",[1]!thsiFinD("ths_adjustment_nv_fund",U$3,$A44))</f>
        <v/>
      </c>
      <c r="V44" s="38" t="str">
        <f>IF($A44="","",[1]!thsiFinD("ths_adjustment_nv_fund",V$3,$A44))</f>
        <v/>
      </c>
      <c r="W44" s="38" t="str">
        <f>IF($A44="","",[1]!thsiFinD("ths_adjustment_nv_fund",W$3,$A44))</f>
        <v/>
      </c>
      <c r="X44" s="38" t="str">
        <f>IF($A44="","",[1]!thsiFinD("ths_adjustment_nv_fund",X$3,$A44))</f>
        <v/>
      </c>
      <c r="Y44" s="38" t="str">
        <f>IF($A44="","",[1]!thsiFinD("ths_adjustment_nv_fund",Y$3,$A44))</f>
        <v/>
      </c>
    </row>
    <row r="45" spans="1:25" x14ac:dyDescent="0.25">
      <c r="A45" s="37"/>
      <c r="B45" s="38" t="str">
        <f>IF($A45="","",[1]!thsiFinD("ths_adjustment_nv_fund",B$3,$A45))</f>
        <v/>
      </c>
      <c r="C45" s="38" t="str">
        <f>IF($A45="","",[1]!thsiFinD("ths_adjustment_nv_fund",C$3,$A45))</f>
        <v/>
      </c>
      <c r="D45" s="38" t="str">
        <f>IF($A45="","",[1]!thsiFinD("ths_adjustment_nv_fund",D$3,$A45))</f>
        <v/>
      </c>
      <c r="E45" s="38" t="str">
        <f>IF($A45="","",[1]!thsiFinD("ths_adjustment_nv_fund",E$3,$A45))</f>
        <v/>
      </c>
      <c r="F45" s="38" t="str">
        <f>IF($A45="","",[1]!thsiFinD("ths_adjustment_nv_fund",F$3,$A45))</f>
        <v/>
      </c>
      <c r="G45" s="38" t="str">
        <f>IF($A45="","",[1]!thsiFinD("ths_adjustment_nv_fund",G$3,$A45))</f>
        <v/>
      </c>
      <c r="H45" s="38" t="str">
        <f>IF($A45="","",[1]!thsiFinD("ths_adjustment_nv_fund",H$3,$A45))</f>
        <v/>
      </c>
      <c r="I45" s="38" t="str">
        <f>IF($A45="","",[1]!thsiFinD("ths_adjustment_nv_fund",I$3,$A45))</f>
        <v/>
      </c>
      <c r="J45" s="38" t="str">
        <f>IF($A45="","",[1]!thsiFinD("ths_adjustment_nv_fund",J$3,$A45))</f>
        <v/>
      </c>
      <c r="K45" s="38" t="str">
        <f>IF($A45="","",[1]!thsiFinD("ths_adjustment_nv_fund",K$3,$A45))</f>
        <v/>
      </c>
      <c r="L45" s="38" t="str">
        <f>IF($A45="","",[1]!thsiFinD("ths_adjustment_nv_fund",L$3,$A45))</f>
        <v/>
      </c>
      <c r="M45" s="38" t="str">
        <f>IF($A45="","",[1]!thsiFinD("ths_adjustment_nv_fund",M$3,$A45))</f>
        <v/>
      </c>
      <c r="N45" s="38" t="str">
        <f>IF($A45="","",[1]!thsiFinD("ths_adjustment_nv_fund",N$3,$A45))</f>
        <v/>
      </c>
      <c r="O45" s="38" t="str">
        <f>IF($A45="","",[1]!thsiFinD("ths_adjustment_nv_fund",O$3,$A45))</f>
        <v/>
      </c>
      <c r="P45" s="38" t="str">
        <f>IF($A45="","",[1]!thsiFinD("ths_adjustment_nv_fund",P$3,$A45))</f>
        <v/>
      </c>
      <c r="Q45" s="38" t="str">
        <f>IF($A45="","",[1]!thsiFinD("ths_adjustment_nv_fund",Q$3,$A45))</f>
        <v/>
      </c>
      <c r="R45" s="38" t="str">
        <f>IF($A45="","",[1]!thsiFinD("ths_adjustment_nv_fund",R$3,$A45))</f>
        <v/>
      </c>
      <c r="S45" s="38" t="str">
        <f>IF($A45="","",[1]!thsiFinD("ths_adjustment_nv_fund",S$3,$A45))</f>
        <v/>
      </c>
      <c r="T45" s="38" t="str">
        <f>IF($A45="","",[1]!thsiFinD("ths_adjustment_nv_fund",T$3,$A45))</f>
        <v/>
      </c>
      <c r="U45" s="38" t="str">
        <f>IF($A45="","",[1]!thsiFinD("ths_adjustment_nv_fund",U$3,$A45))</f>
        <v/>
      </c>
      <c r="V45" s="38" t="str">
        <f>IF($A45="","",[1]!thsiFinD("ths_adjustment_nv_fund",V$3,$A45))</f>
        <v/>
      </c>
      <c r="W45" s="38" t="str">
        <f>IF($A45="","",[1]!thsiFinD("ths_adjustment_nv_fund",W$3,$A45))</f>
        <v/>
      </c>
      <c r="X45" s="38" t="str">
        <f>IF($A45="","",[1]!thsiFinD("ths_adjustment_nv_fund",X$3,$A45))</f>
        <v/>
      </c>
      <c r="Y45" s="38" t="str">
        <f>IF($A45="","",[1]!thsiFinD("ths_adjustment_nv_fund",Y$3,$A45))</f>
        <v/>
      </c>
    </row>
    <row r="46" spans="1:25" x14ac:dyDescent="0.25">
      <c r="A46" s="37"/>
      <c r="B46" s="38" t="str">
        <f>IF($A46="","",[1]!thsiFinD("ths_adjustment_nv_fund",B$3,$A46))</f>
        <v/>
      </c>
      <c r="C46" s="38" t="str">
        <f>IF($A46="","",[1]!thsiFinD("ths_adjustment_nv_fund",C$3,$A46))</f>
        <v/>
      </c>
      <c r="D46" s="38" t="str">
        <f>IF($A46="","",[1]!thsiFinD("ths_adjustment_nv_fund",D$3,$A46))</f>
        <v/>
      </c>
      <c r="E46" s="38" t="str">
        <f>IF($A46="","",[1]!thsiFinD("ths_adjustment_nv_fund",E$3,$A46))</f>
        <v/>
      </c>
      <c r="F46" s="38" t="str">
        <f>IF($A46="","",[1]!thsiFinD("ths_adjustment_nv_fund",F$3,$A46))</f>
        <v/>
      </c>
      <c r="G46" s="38" t="str">
        <f>IF($A46="","",[1]!thsiFinD("ths_adjustment_nv_fund",G$3,$A46))</f>
        <v/>
      </c>
      <c r="H46" s="38" t="str">
        <f>IF($A46="","",[1]!thsiFinD("ths_adjustment_nv_fund",H$3,$A46))</f>
        <v/>
      </c>
      <c r="I46" s="38" t="str">
        <f>IF($A46="","",[1]!thsiFinD("ths_adjustment_nv_fund",I$3,$A46))</f>
        <v/>
      </c>
      <c r="J46" s="38" t="str">
        <f>IF($A46="","",[1]!thsiFinD("ths_adjustment_nv_fund",J$3,$A46))</f>
        <v/>
      </c>
      <c r="K46" s="38" t="str">
        <f>IF($A46="","",[1]!thsiFinD("ths_adjustment_nv_fund",K$3,$A46))</f>
        <v/>
      </c>
      <c r="L46" s="38" t="str">
        <f>IF($A46="","",[1]!thsiFinD("ths_adjustment_nv_fund",L$3,$A46))</f>
        <v/>
      </c>
      <c r="M46" s="38" t="str">
        <f>IF($A46="","",[1]!thsiFinD("ths_adjustment_nv_fund",M$3,$A46))</f>
        <v/>
      </c>
      <c r="N46" s="38" t="str">
        <f>IF($A46="","",[1]!thsiFinD("ths_adjustment_nv_fund",N$3,$A46))</f>
        <v/>
      </c>
      <c r="O46" s="38" t="str">
        <f>IF($A46="","",[1]!thsiFinD("ths_adjustment_nv_fund",O$3,$A46))</f>
        <v/>
      </c>
      <c r="P46" s="38" t="str">
        <f>IF($A46="","",[1]!thsiFinD("ths_adjustment_nv_fund",P$3,$A46))</f>
        <v/>
      </c>
      <c r="Q46" s="38" t="str">
        <f>IF($A46="","",[1]!thsiFinD("ths_adjustment_nv_fund",Q$3,$A46))</f>
        <v/>
      </c>
      <c r="R46" s="38" t="str">
        <f>IF($A46="","",[1]!thsiFinD("ths_adjustment_nv_fund",R$3,$A46))</f>
        <v/>
      </c>
      <c r="S46" s="38" t="str">
        <f>IF($A46="","",[1]!thsiFinD("ths_adjustment_nv_fund",S$3,$A46))</f>
        <v/>
      </c>
      <c r="T46" s="38" t="str">
        <f>IF($A46="","",[1]!thsiFinD("ths_adjustment_nv_fund",T$3,$A46))</f>
        <v/>
      </c>
      <c r="U46" s="38" t="str">
        <f>IF($A46="","",[1]!thsiFinD("ths_adjustment_nv_fund",U$3,$A46))</f>
        <v/>
      </c>
      <c r="V46" s="38" t="str">
        <f>IF($A46="","",[1]!thsiFinD("ths_adjustment_nv_fund",V$3,$A46))</f>
        <v/>
      </c>
      <c r="W46" s="38" t="str">
        <f>IF($A46="","",[1]!thsiFinD("ths_adjustment_nv_fund",W$3,$A46))</f>
        <v/>
      </c>
      <c r="X46" s="38" t="str">
        <f>IF($A46="","",[1]!thsiFinD("ths_adjustment_nv_fund",X$3,$A46))</f>
        <v/>
      </c>
      <c r="Y46" s="38" t="str">
        <f>IF($A46="","",[1]!thsiFinD("ths_adjustment_nv_fund",Y$3,$A46))</f>
        <v/>
      </c>
    </row>
    <row r="47" spans="1:25" x14ac:dyDescent="0.25">
      <c r="A47" s="37"/>
      <c r="B47" s="38" t="str">
        <f>IF($A47="","",[1]!thsiFinD("ths_adjustment_nv_fund",B$3,$A47))</f>
        <v/>
      </c>
      <c r="C47" s="38" t="str">
        <f>IF($A47="","",[1]!thsiFinD("ths_adjustment_nv_fund",C$3,$A47))</f>
        <v/>
      </c>
      <c r="D47" s="38" t="str">
        <f>IF($A47="","",[1]!thsiFinD("ths_adjustment_nv_fund",D$3,$A47))</f>
        <v/>
      </c>
      <c r="E47" s="38" t="str">
        <f>IF($A47="","",[1]!thsiFinD("ths_adjustment_nv_fund",E$3,$A47))</f>
        <v/>
      </c>
      <c r="F47" s="38" t="str">
        <f>IF($A47="","",[1]!thsiFinD("ths_adjustment_nv_fund",F$3,$A47))</f>
        <v/>
      </c>
      <c r="G47" s="38" t="str">
        <f>IF($A47="","",[1]!thsiFinD("ths_adjustment_nv_fund",G$3,$A47))</f>
        <v/>
      </c>
      <c r="H47" s="38" t="str">
        <f>IF($A47="","",[1]!thsiFinD("ths_adjustment_nv_fund",H$3,$A47))</f>
        <v/>
      </c>
      <c r="I47" s="38" t="str">
        <f>IF($A47="","",[1]!thsiFinD("ths_adjustment_nv_fund",I$3,$A47))</f>
        <v/>
      </c>
      <c r="J47" s="38" t="str">
        <f>IF($A47="","",[1]!thsiFinD("ths_adjustment_nv_fund",J$3,$A47))</f>
        <v/>
      </c>
      <c r="K47" s="38" t="str">
        <f>IF($A47="","",[1]!thsiFinD("ths_adjustment_nv_fund",K$3,$A47))</f>
        <v/>
      </c>
      <c r="L47" s="38" t="str">
        <f>IF($A47="","",[1]!thsiFinD("ths_adjustment_nv_fund",L$3,$A47))</f>
        <v/>
      </c>
      <c r="M47" s="38" t="str">
        <f>IF($A47="","",[1]!thsiFinD("ths_adjustment_nv_fund",M$3,$A47))</f>
        <v/>
      </c>
      <c r="N47" s="38" t="str">
        <f>IF($A47="","",[1]!thsiFinD("ths_adjustment_nv_fund",N$3,$A47))</f>
        <v/>
      </c>
      <c r="O47" s="38" t="str">
        <f>IF($A47="","",[1]!thsiFinD("ths_adjustment_nv_fund",O$3,$A47))</f>
        <v/>
      </c>
      <c r="P47" s="38" t="str">
        <f>IF($A47="","",[1]!thsiFinD("ths_adjustment_nv_fund",P$3,$A47))</f>
        <v/>
      </c>
      <c r="Q47" s="38" t="str">
        <f>IF($A47="","",[1]!thsiFinD("ths_adjustment_nv_fund",Q$3,$A47))</f>
        <v/>
      </c>
      <c r="R47" s="38" t="str">
        <f>IF($A47="","",[1]!thsiFinD("ths_adjustment_nv_fund",R$3,$A47))</f>
        <v/>
      </c>
      <c r="S47" s="38" t="str">
        <f>IF($A47="","",[1]!thsiFinD("ths_adjustment_nv_fund",S$3,$A47))</f>
        <v/>
      </c>
      <c r="T47" s="38" t="str">
        <f>IF($A47="","",[1]!thsiFinD("ths_adjustment_nv_fund",T$3,$A47))</f>
        <v/>
      </c>
      <c r="U47" s="38" t="str">
        <f>IF($A47="","",[1]!thsiFinD("ths_adjustment_nv_fund",U$3,$A47))</f>
        <v/>
      </c>
      <c r="V47" s="38" t="str">
        <f>IF($A47="","",[1]!thsiFinD("ths_adjustment_nv_fund",V$3,$A47))</f>
        <v/>
      </c>
      <c r="W47" s="38" t="str">
        <f>IF($A47="","",[1]!thsiFinD("ths_adjustment_nv_fund",W$3,$A47))</f>
        <v/>
      </c>
      <c r="X47" s="38" t="str">
        <f>IF($A47="","",[1]!thsiFinD("ths_adjustment_nv_fund",X$3,$A47))</f>
        <v/>
      </c>
      <c r="Y47" s="38" t="str">
        <f>IF($A47="","",[1]!thsiFinD("ths_adjustment_nv_fund",Y$3,$A47))</f>
        <v/>
      </c>
    </row>
    <row r="48" spans="1:25" x14ac:dyDescent="0.25">
      <c r="A48" s="37"/>
      <c r="B48" s="38" t="str">
        <f>IF($A48="","",[1]!thsiFinD("ths_adjustment_nv_fund",B$3,$A48))</f>
        <v/>
      </c>
      <c r="C48" s="38" t="str">
        <f>IF($A48="","",[1]!thsiFinD("ths_adjustment_nv_fund",C$3,$A48))</f>
        <v/>
      </c>
      <c r="D48" s="38" t="str">
        <f>IF($A48="","",[1]!thsiFinD("ths_adjustment_nv_fund",D$3,$A48))</f>
        <v/>
      </c>
      <c r="E48" s="38" t="str">
        <f>IF($A48="","",[1]!thsiFinD("ths_adjustment_nv_fund",E$3,$A48))</f>
        <v/>
      </c>
      <c r="F48" s="38" t="str">
        <f>IF($A48="","",[1]!thsiFinD("ths_adjustment_nv_fund",F$3,$A48))</f>
        <v/>
      </c>
      <c r="G48" s="38" t="str">
        <f>IF($A48="","",[1]!thsiFinD("ths_adjustment_nv_fund",G$3,$A48))</f>
        <v/>
      </c>
      <c r="H48" s="38" t="str">
        <f>IF($A48="","",[1]!thsiFinD("ths_adjustment_nv_fund",H$3,$A48))</f>
        <v/>
      </c>
      <c r="I48" s="38" t="str">
        <f>IF($A48="","",[1]!thsiFinD("ths_adjustment_nv_fund",I$3,$A48))</f>
        <v/>
      </c>
      <c r="J48" s="38" t="str">
        <f>IF($A48="","",[1]!thsiFinD("ths_adjustment_nv_fund",J$3,$A48))</f>
        <v/>
      </c>
      <c r="K48" s="38" t="str">
        <f>IF($A48="","",[1]!thsiFinD("ths_adjustment_nv_fund",K$3,$A48))</f>
        <v/>
      </c>
      <c r="L48" s="38" t="str">
        <f>IF($A48="","",[1]!thsiFinD("ths_adjustment_nv_fund",L$3,$A48))</f>
        <v/>
      </c>
      <c r="M48" s="38" t="str">
        <f>IF($A48="","",[1]!thsiFinD("ths_adjustment_nv_fund",M$3,$A48))</f>
        <v/>
      </c>
      <c r="N48" s="38" t="str">
        <f>IF($A48="","",[1]!thsiFinD("ths_adjustment_nv_fund",N$3,$A48))</f>
        <v/>
      </c>
      <c r="O48" s="38" t="str">
        <f>IF($A48="","",[1]!thsiFinD("ths_adjustment_nv_fund",O$3,$A48))</f>
        <v/>
      </c>
      <c r="P48" s="38" t="str">
        <f>IF($A48="","",[1]!thsiFinD("ths_adjustment_nv_fund",P$3,$A48))</f>
        <v/>
      </c>
      <c r="Q48" s="38" t="str">
        <f>IF($A48="","",[1]!thsiFinD("ths_adjustment_nv_fund",Q$3,$A48))</f>
        <v/>
      </c>
      <c r="R48" s="38" t="str">
        <f>IF($A48="","",[1]!thsiFinD("ths_adjustment_nv_fund",R$3,$A48))</f>
        <v/>
      </c>
      <c r="S48" s="38" t="str">
        <f>IF($A48="","",[1]!thsiFinD("ths_adjustment_nv_fund",S$3,$A48))</f>
        <v/>
      </c>
      <c r="T48" s="38" t="str">
        <f>IF($A48="","",[1]!thsiFinD("ths_adjustment_nv_fund",T$3,$A48))</f>
        <v/>
      </c>
      <c r="U48" s="38" t="str">
        <f>IF($A48="","",[1]!thsiFinD("ths_adjustment_nv_fund",U$3,$A48))</f>
        <v/>
      </c>
      <c r="V48" s="38" t="str">
        <f>IF($A48="","",[1]!thsiFinD("ths_adjustment_nv_fund",V$3,$A48))</f>
        <v/>
      </c>
      <c r="W48" s="38" t="str">
        <f>IF($A48="","",[1]!thsiFinD("ths_adjustment_nv_fund",W$3,$A48))</f>
        <v/>
      </c>
      <c r="X48" s="38" t="str">
        <f>IF($A48="","",[1]!thsiFinD("ths_adjustment_nv_fund",X$3,$A48))</f>
        <v/>
      </c>
      <c r="Y48" s="38" t="str">
        <f>IF($A48="","",[1]!thsiFinD("ths_adjustment_nv_fund",Y$3,$A48))</f>
        <v/>
      </c>
    </row>
    <row r="49" spans="1:25" x14ac:dyDescent="0.25">
      <c r="A49" s="37"/>
      <c r="B49" s="38" t="str">
        <f>IF($A49="","",[1]!thsiFinD("ths_adjustment_nv_fund",B$3,$A49))</f>
        <v/>
      </c>
      <c r="C49" s="38" t="str">
        <f>IF($A49="","",[1]!thsiFinD("ths_adjustment_nv_fund",C$3,$A49))</f>
        <v/>
      </c>
      <c r="D49" s="38" t="str">
        <f>IF($A49="","",[1]!thsiFinD("ths_adjustment_nv_fund",D$3,$A49))</f>
        <v/>
      </c>
      <c r="E49" s="38" t="str">
        <f>IF($A49="","",[1]!thsiFinD("ths_adjustment_nv_fund",E$3,$A49))</f>
        <v/>
      </c>
      <c r="F49" s="38" t="str">
        <f>IF($A49="","",[1]!thsiFinD("ths_adjustment_nv_fund",F$3,$A49))</f>
        <v/>
      </c>
      <c r="G49" s="38" t="str">
        <f>IF($A49="","",[1]!thsiFinD("ths_adjustment_nv_fund",G$3,$A49))</f>
        <v/>
      </c>
      <c r="H49" s="38" t="str">
        <f>IF($A49="","",[1]!thsiFinD("ths_adjustment_nv_fund",H$3,$A49))</f>
        <v/>
      </c>
      <c r="I49" s="38" t="str">
        <f>IF($A49="","",[1]!thsiFinD("ths_adjustment_nv_fund",I$3,$A49))</f>
        <v/>
      </c>
      <c r="J49" s="38" t="str">
        <f>IF($A49="","",[1]!thsiFinD("ths_adjustment_nv_fund",J$3,$A49))</f>
        <v/>
      </c>
      <c r="K49" s="38" t="str">
        <f>IF($A49="","",[1]!thsiFinD("ths_adjustment_nv_fund",K$3,$A49))</f>
        <v/>
      </c>
      <c r="L49" s="38" t="str">
        <f>IF($A49="","",[1]!thsiFinD("ths_adjustment_nv_fund",L$3,$A49))</f>
        <v/>
      </c>
      <c r="M49" s="38" t="str">
        <f>IF($A49="","",[1]!thsiFinD("ths_adjustment_nv_fund",M$3,$A49))</f>
        <v/>
      </c>
      <c r="N49" s="38" t="str">
        <f>IF($A49="","",[1]!thsiFinD("ths_adjustment_nv_fund",N$3,$A49))</f>
        <v/>
      </c>
      <c r="O49" s="38" t="str">
        <f>IF($A49="","",[1]!thsiFinD("ths_adjustment_nv_fund",O$3,$A49))</f>
        <v/>
      </c>
      <c r="P49" s="38" t="str">
        <f>IF($A49="","",[1]!thsiFinD("ths_adjustment_nv_fund",P$3,$A49))</f>
        <v/>
      </c>
      <c r="Q49" s="38" t="str">
        <f>IF($A49="","",[1]!thsiFinD("ths_adjustment_nv_fund",Q$3,$A49))</f>
        <v/>
      </c>
      <c r="R49" s="38" t="str">
        <f>IF($A49="","",[1]!thsiFinD("ths_adjustment_nv_fund",R$3,$A49))</f>
        <v/>
      </c>
      <c r="S49" s="38" t="str">
        <f>IF($A49="","",[1]!thsiFinD("ths_adjustment_nv_fund",S$3,$A49))</f>
        <v/>
      </c>
      <c r="T49" s="38" t="str">
        <f>IF($A49="","",[1]!thsiFinD("ths_adjustment_nv_fund",T$3,$A49))</f>
        <v/>
      </c>
      <c r="U49" s="38" t="str">
        <f>IF($A49="","",[1]!thsiFinD("ths_adjustment_nv_fund",U$3,$A49))</f>
        <v/>
      </c>
      <c r="V49" s="38" t="str">
        <f>IF($A49="","",[1]!thsiFinD("ths_adjustment_nv_fund",V$3,$A49))</f>
        <v/>
      </c>
      <c r="W49" s="38" t="str">
        <f>IF($A49="","",[1]!thsiFinD("ths_adjustment_nv_fund",W$3,$A49))</f>
        <v/>
      </c>
      <c r="X49" s="38" t="str">
        <f>IF($A49="","",[1]!thsiFinD("ths_adjustment_nv_fund",X$3,$A49))</f>
        <v/>
      </c>
      <c r="Y49" s="38" t="str">
        <f>IF($A49="","",[1]!thsiFinD("ths_adjustment_nv_fund",Y$3,$A49))</f>
        <v/>
      </c>
    </row>
    <row r="50" spans="1:25" x14ac:dyDescent="0.25">
      <c r="A50" s="37"/>
      <c r="B50" s="38" t="str">
        <f>IF($A50="","",[1]!thsiFinD("ths_adjustment_nv_fund",B$3,$A50))</f>
        <v/>
      </c>
      <c r="C50" s="38" t="str">
        <f>IF($A50="","",[1]!thsiFinD("ths_adjustment_nv_fund",C$3,$A50))</f>
        <v/>
      </c>
      <c r="D50" s="38" t="str">
        <f>IF($A50="","",[1]!thsiFinD("ths_adjustment_nv_fund",D$3,$A50))</f>
        <v/>
      </c>
      <c r="E50" s="38" t="str">
        <f>IF($A50="","",[1]!thsiFinD("ths_adjustment_nv_fund",E$3,$A50))</f>
        <v/>
      </c>
      <c r="F50" s="38" t="str">
        <f>IF($A50="","",[1]!thsiFinD("ths_adjustment_nv_fund",F$3,$A50))</f>
        <v/>
      </c>
      <c r="G50" s="38" t="str">
        <f>IF($A50="","",[1]!thsiFinD("ths_adjustment_nv_fund",G$3,$A50))</f>
        <v/>
      </c>
      <c r="H50" s="38" t="str">
        <f>IF($A50="","",[1]!thsiFinD("ths_adjustment_nv_fund",H$3,$A50))</f>
        <v/>
      </c>
      <c r="I50" s="38" t="str">
        <f>IF($A50="","",[1]!thsiFinD("ths_adjustment_nv_fund",I$3,$A50))</f>
        <v/>
      </c>
      <c r="J50" s="38" t="str">
        <f>IF($A50="","",[1]!thsiFinD("ths_adjustment_nv_fund",J$3,$A50))</f>
        <v/>
      </c>
      <c r="K50" s="38" t="str">
        <f>IF($A50="","",[1]!thsiFinD("ths_adjustment_nv_fund",K$3,$A50))</f>
        <v/>
      </c>
      <c r="L50" s="38" t="str">
        <f>IF($A50="","",[1]!thsiFinD("ths_adjustment_nv_fund",L$3,$A50))</f>
        <v/>
      </c>
      <c r="M50" s="38" t="str">
        <f>IF($A50="","",[1]!thsiFinD("ths_adjustment_nv_fund",M$3,$A50))</f>
        <v/>
      </c>
      <c r="N50" s="38" t="str">
        <f>IF($A50="","",[1]!thsiFinD("ths_adjustment_nv_fund",N$3,$A50))</f>
        <v/>
      </c>
      <c r="O50" s="38" t="str">
        <f>IF($A50="","",[1]!thsiFinD("ths_adjustment_nv_fund",O$3,$A50))</f>
        <v/>
      </c>
      <c r="P50" s="38" t="str">
        <f>IF($A50="","",[1]!thsiFinD("ths_adjustment_nv_fund",P$3,$A50))</f>
        <v/>
      </c>
      <c r="Q50" s="38" t="str">
        <f>IF($A50="","",[1]!thsiFinD("ths_adjustment_nv_fund",Q$3,$A50))</f>
        <v/>
      </c>
      <c r="R50" s="38" t="str">
        <f>IF($A50="","",[1]!thsiFinD("ths_adjustment_nv_fund",R$3,$A50))</f>
        <v/>
      </c>
      <c r="S50" s="38" t="str">
        <f>IF($A50="","",[1]!thsiFinD("ths_adjustment_nv_fund",S$3,$A50))</f>
        <v/>
      </c>
      <c r="T50" s="38" t="str">
        <f>IF($A50="","",[1]!thsiFinD("ths_adjustment_nv_fund",T$3,$A50))</f>
        <v/>
      </c>
      <c r="U50" s="38" t="str">
        <f>IF($A50="","",[1]!thsiFinD("ths_adjustment_nv_fund",U$3,$A50))</f>
        <v/>
      </c>
      <c r="V50" s="38" t="str">
        <f>IF($A50="","",[1]!thsiFinD("ths_adjustment_nv_fund",V$3,$A50))</f>
        <v/>
      </c>
      <c r="W50" s="38" t="str">
        <f>IF($A50="","",[1]!thsiFinD("ths_adjustment_nv_fund",W$3,$A50))</f>
        <v/>
      </c>
      <c r="X50" s="38" t="str">
        <f>IF($A50="","",[1]!thsiFinD("ths_adjustment_nv_fund",X$3,$A50))</f>
        <v/>
      </c>
      <c r="Y50" s="38" t="str">
        <f>IF($A50="","",[1]!thsiFinD("ths_adjustment_nv_fund",Y$3,$A50))</f>
        <v/>
      </c>
    </row>
    <row r="51" spans="1:25" x14ac:dyDescent="0.25">
      <c r="A51" s="37"/>
      <c r="B51" s="38" t="str">
        <f>IF($A51="","",[1]!thsiFinD("ths_adjustment_nv_fund",B$3,$A51))</f>
        <v/>
      </c>
      <c r="C51" s="38" t="str">
        <f>IF($A51="","",[1]!thsiFinD("ths_adjustment_nv_fund",C$3,$A51))</f>
        <v/>
      </c>
      <c r="D51" s="38" t="str">
        <f>IF($A51="","",[1]!thsiFinD("ths_adjustment_nv_fund",D$3,$A51))</f>
        <v/>
      </c>
      <c r="E51" s="38" t="str">
        <f>IF($A51="","",[1]!thsiFinD("ths_adjustment_nv_fund",E$3,$A51))</f>
        <v/>
      </c>
      <c r="F51" s="38" t="str">
        <f>IF($A51="","",[1]!thsiFinD("ths_adjustment_nv_fund",F$3,$A51))</f>
        <v/>
      </c>
      <c r="G51" s="38" t="str">
        <f>IF($A51="","",[1]!thsiFinD("ths_adjustment_nv_fund",G$3,$A51))</f>
        <v/>
      </c>
      <c r="H51" s="38" t="str">
        <f>IF($A51="","",[1]!thsiFinD("ths_adjustment_nv_fund",H$3,$A51))</f>
        <v/>
      </c>
      <c r="I51" s="38" t="str">
        <f>IF($A51="","",[1]!thsiFinD("ths_adjustment_nv_fund",I$3,$A51))</f>
        <v/>
      </c>
      <c r="J51" s="38" t="str">
        <f>IF($A51="","",[1]!thsiFinD("ths_adjustment_nv_fund",J$3,$A51))</f>
        <v/>
      </c>
      <c r="K51" s="38" t="str">
        <f>IF($A51="","",[1]!thsiFinD("ths_adjustment_nv_fund",K$3,$A51))</f>
        <v/>
      </c>
      <c r="L51" s="38" t="str">
        <f>IF($A51="","",[1]!thsiFinD("ths_adjustment_nv_fund",L$3,$A51))</f>
        <v/>
      </c>
      <c r="M51" s="38" t="str">
        <f>IF($A51="","",[1]!thsiFinD("ths_adjustment_nv_fund",M$3,$A51))</f>
        <v/>
      </c>
      <c r="N51" s="38" t="str">
        <f>IF($A51="","",[1]!thsiFinD("ths_adjustment_nv_fund",N$3,$A51))</f>
        <v/>
      </c>
      <c r="O51" s="38" t="str">
        <f>IF($A51="","",[1]!thsiFinD("ths_adjustment_nv_fund",O$3,$A51))</f>
        <v/>
      </c>
      <c r="P51" s="38" t="str">
        <f>IF($A51="","",[1]!thsiFinD("ths_adjustment_nv_fund",P$3,$A51))</f>
        <v/>
      </c>
      <c r="Q51" s="38" t="str">
        <f>IF($A51="","",[1]!thsiFinD("ths_adjustment_nv_fund",Q$3,$A51))</f>
        <v/>
      </c>
      <c r="R51" s="38" t="str">
        <f>IF($A51="","",[1]!thsiFinD("ths_adjustment_nv_fund",R$3,$A51))</f>
        <v/>
      </c>
      <c r="S51" s="38" t="str">
        <f>IF($A51="","",[1]!thsiFinD("ths_adjustment_nv_fund",S$3,$A51))</f>
        <v/>
      </c>
      <c r="T51" s="38" t="str">
        <f>IF($A51="","",[1]!thsiFinD("ths_adjustment_nv_fund",T$3,$A51))</f>
        <v/>
      </c>
      <c r="U51" s="38" t="str">
        <f>IF($A51="","",[1]!thsiFinD("ths_adjustment_nv_fund",U$3,$A51))</f>
        <v/>
      </c>
      <c r="V51" s="38" t="str">
        <f>IF($A51="","",[1]!thsiFinD("ths_adjustment_nv_fund",V$3,$A51))</f>
        <v/>
      </c>
      <c r="W51" s="38" t="str">
        <f>IF($A51="","",[1]!thsiFinD("ths_adjustment_nv_fund",W$3,$A51))</f>
        <v/>
      </c>
      <c r="X51" s="38" t="str">
        <f>IF($A51="","",[1]!thsiFinD("ths_adjustment_nv_fund",X$3,$A51))</f>
        <v/>
      </c>
      <c r="Y51" s="38" t="str">
        <f>IF($A51="","",[1]!thsiFinD("ths_adjustment_nv_fund",Y$3,$A51))</f>
        <v/>
      </c>
    </row>
    <row r="52" spans="1:25" x14ac:dyDescent="0.25">
      <c r="A52" s="37"/>
      <c r="B52" s="38" t="str">
        <f>IF($A52="","",[1]!thsiFinD("ths_adjustment_nv_fund",B$3,$A52))</f>
        <v/>
      </c>
      <c r="C52" s="38" t="str">
        <f>IF($A52="","",[1]!thsiFinD("ths_adjustment_nv_fund",C$3,$A52))</f>
        <v/>
      </c>
      <c r="D52" s="38" t="str">
        <f>IF($A52="","",[1]!thsiFinD("ths_adjustment_nv_fund",D$3,$A52))</f>
        <v/>
      </c>
      <c r="E52" s="38" t="str">
        <f>IF($A52="","",[1]!thsiFinD("ths_adjustment_nv_fund",E$3,$A52))</f>
        <v/>
      </c>
      <c r="F52" s="38" t="str">
        <f>IF($A52="","",[1]!thsiFinD("ths_adjustment_nv_fund",F$3,$A52))</f>
        <v/>
      </c>
      <c r="G52" s="38" t="str">
        <f>IF($A52="","",[1]!thsiFinD("ths_adjustment_nv_fund",G$3,$A52))</f>
        <v/>
      </c>
      <c r="H52" s="38" t="str">
        <f>IF($A52="","",[1]!thsiFinD("ths_adjustment_nv_fund",H$3,$A52))</f>
        <v/>
      </c>
      <c r="I52" s="38" t="str">
        <f>IF($A52="","",[1]!thsiFinD("ths_adjustment_nv_fund",I$3,$A52))</f>
        <v/>
      </c>
      <c r="J52" s="38" t="str">
        <f>IF($A52="","",[1]!thsiFinD("ths_adjustment_nv_fund",J$3,$A52))</f>
        <v/>
      </c>
      <c r="K52" s="38" t="str">
        <f>IF($A52="","",[1]!thsiFinD("ths_adjustment_nv_fund",K$3,$A52))</f>
        <v/>
      </c>
      <c r="L52" s="38" t="str">
        <f>IF($A52="","",[1]!thsiFinD("ths_adjustment_nv_fund",L$3,$A52))</f>
        <v/>
      </c>
      <c r="M52" s="38" t="str">
        <f>IF($A52="","",[1]!thsiFinD("ths_adjustment_nv_fund",M$3,$A52))</f>
        <v/>
      </c>
      <c r="N52" s="38" t="str">
        <f>IF($A52="","",[1]!thsiFinD("ths_adjustment_nv_fund",N$3,$A52))</f>
        <v/>
      </c>
      <c r="O52" s="38" t="str">
        <f>IF($A52="","",[1]!thsiFinD("ths_adjustment_nv_fund",O$3,$A52))</f>
        <v/>
      </c>
      <c r="P52" s="38" t="str">
        <f>IF($A52="","",[1]!thsiFinD("ths_adjustment_nv_fund",P$3,$A52))</f>
        <v/>
      </c>
      <c r="Q52" s="38" t="str">
        <f>IF($A52="","",[1]!thsiFinD("ths_adjustment_nv_fund",Q$3,$A52))</f>
        <v/>
      </c>
      <c r="R52" s="38" t="str">
        <f>IF($A52="","",[1]!thsiFinD("ths_adjustment_nv_fund",R$3,$A52))</f>
        <v/>
      </c>
      <c r="S52" s="38" t="str">
        <f>IF($A52="","",[1]!thsiFinD("ths_adjustment_nv_fund",S$3,$A52))</f>
        <v/>
      </c>
      <c r="T52" s="38" t="str">
        <f>IF($A52="","",[1]!thsiFinD("ths_adjustment_nv_fund",T$3,$A52))</f>
        <v/>
      </c>
      <c r="U52" s="38" t="str">
        <f>IF($A52="","",[1]!thsiFinD("ths_adjustment_nv_fund",U$3,$A52))</f>
        <v/>
      </c>
      <c r="V52" s="38" t="str">
        <f>IF($A52="","",[1]!thsiFinD("ths_adjustment_nv_fund",V$3,$A52))</f>
        <v/>
      </c>
      <c r="W52" s="38" t="str">
        <f>IF($A52="","",[1]!thsiFinD("ths_adjustment_nv_fund",W$3,$A52))</f>
        <v/>
      </c>
      <c r="X52" s="38" t="str">
        <f>IF($A52="","",[1]!thsiFinD("ths_adjustment_nv_fund",X$3,$A52))</f>
        <v/>
      </c>
      <c r="Y52" s="38" t="str">
        <f>IF($A52="","",[1]!thsiFinD("ths_adjustment_nv_fund",Y$3,$A52))</f>
        <v/>
      </c>
    </row>
    <row r="53" spans="1:25" x14ac:dyDescent="0.25">
      <c r="A53" s="37"/>
      <c r="B53" s="38" t="str">
        <f>IF($A53="","",[1]!thsiFinD("ths_adjustment_nv_fund",B$3,$A53))</f>
        <v/>
      </c>
      <c r="C53" s="38" t="str">
        <f>IF($A53="","",[1]!thsiFinD("ths_adjustment_nv_fund",C$3,$A53))</f>
        <v/>
      </c>
      <c r="D53" s="38" t="str">
        <f>IF($A53="","",[1]!thsiFinD("ths_adjustment_nv_fund",D$3,$A53))</f>
        <v/>
      </c>
      <c r="E53" s="38" t="str">
        <f>IF($A53="","",[1]!thsiFinD("ths_adjustment_nv_fund",E$3,$A53))</f>
        <v/>
      </c>
      <c r="F53" s="38" t="str">
        <f>IF($A53="","",[1]!thsiFinD("ths_adjustment_nv_fund",F$3,$A53))</f>
        <v/>
      </c>
      <c r="G53" s="38" t="str">
        <f>IF($A53="","",[1]!thsiFinD("ths_adjustment_nv_fund",G$3,$A53))</f>
        <v/>
      </c>
      <c r="H53" s="38" t="str">
        <f>IF($A53="","",[1]!thsiFinD("ths_adjustment_nv_fund",H$3,$A53))</f>
        <v/>
      </c>
      <c r="I53" s="38" t="str">
        <f>IF($A53="","",[1]!thsiFinD("ths_adjustment_nv_fund",I$3,$A53))</f>
        <v/>
      </c>
      <c r="J53" s="38" t="str">
        <f>IF($A53="","",[1]!thsiFinD("ths_adjustment_nv_fund",J$3,$A53))</f>
        <v/>
      </c>
      <c r="K53" s="38" t="str">
        <f>IF($A53="","",[1]!thsiFinD("ths_adjustment_nv_fund",K$3,$A53))</f>
        <v/>
      </c>
      <c r="L53" s="38" t="str">
        <f>IF($A53="","",[1]!thsiFinD("ths_adjustment_nv_fund",L$3,$A53))</f>
        <v/>
      </c>
      <c r="M53" s="38" t="str">
        <f>IF($A53="","",[1]!thsiFinD("ths_adjustment_nv_fund",M$3,$A53))</f>
        <v/>
      </c>
      <c r="N53" s="38" t="str">
        <f>IF($A53="","",[1]!thsiFinD("ths_adjustment_nv_fund",N$3,$A53))</f>
        <v/>
      </c>
      <c r="O53" s="38" t="str">
        <f>IF($A53="","",[1]!thsiFinD("ths_adjustment_nv_fund",O$3,$A53))</f>
        <v/>
      </c>
      <c r="P53" s="38" t="str">
        <f>IF($A53="","",[1]!thsiFinD("ths_adjustment_nv_fund",P$3,$A53))</f>
        <v/>
      </c>
      <c r="Q53" s="38" t="str">
        <f>IF($A53="","",[1]!thsiFinD("ths_adjustment_nv_fund",Q$3,$A53))</f>
        <v/>
      </c>
      <c r="R53" s="38" t="str">
        <f>IF($A53="","",[1]!thsiFinD("ths_adjustment_nv_fund",R$3,$A53))</f>
        <v/>
      </c>
      <c r="S53" s="38" t="str">
        <f>IF($A53="","",[1]!thsiFinD("ths_adjustment_nv_fund",S$3,$A53))</f>
        <v/>
      </c>
      <c r="T53" s="38" t="str">
        <f>IF($A53="","",[1]!thsiFinD("ths_adjustment_nv_fund",T$3,$A53))</f>
        <v/>
      </c>
      <c r="U53" s="38" t="str">
        <f>IF($A53="","",[1]!thsiFinD("ths_adjustment_nv_fund",U$3,$A53))</f>
        <v/>
      </c>
      <c r="V53" s="38" t="str">
        <f>IF($A53="","",[1]!thsiFinD("ths_adjustment_nv_fund",V$3,$A53))</f>
        <v/>
      </c>
      <c r="W53" s="38" t="str">
        <f>IF($A53="","",[1]!thsiFinD("ths_adjustment_nv_fund",W$3,$A53))</f>
        <v/>
      </c>
      <c r="X53" s="38" t="str">
        <f>IF($A53="","",[1]!thsiFinD("ths_adjustment_nv_fund",X$3,$A53))</f>
        <v/>
      </c>
      <c r="Y53" s="38" t="str">
        <f>IF($A53="","",[1]!thsiFinD("ths_adjustment_nv_fund",Y$3,$A53))</f>
        <v/>
      </c>
    </row>
    <row r="54" spans="1:25" x14ac:dyDescent="0.25">
      <c r="A54" s="37"/>
      <c r="B54" s="38" t="str">
        <f>IF($A54="","",[1]!thsiFinD("ths_adjustment_nv_fund",B$3,$A54))</f>
        <v/>
      </c>
      <c r="C54" s="38" t="str">
        <f>IF($A54="","",[1]!thsiFinD("ths_adjustment_nv_fund",C$3,$A54))</f>
        <v/>
      </c>
      <c r="D54" s="38" t="str">
        <f>IF($A54="","",[1]!thsiFinD("ths_adjustment_nv_fund",D$3,$A54))</f>
        <v/>
      </c>
      <c r="E54" s="38" t="str">
        <f>IF($A54="","",[1]!thsiFinD("ths_adjustment_nv_fund",E$3,$A54))</f>
        <v/>
      </c>
      <c r="F54" s="38" t="str">
        <f>IF($A54="","",[1]!thsiFinD("ths_adjustment_nv_fund",F$3,$A54))</f>
        <v/>
      </c>
      <c r="G54" s="38" t="str">
        <f>IF($A54="","",[1]!thsiFinD("ths_adjustment_nv_fund",G$3,$A54))</f>
        <v/>
      </c>
      <c r="H54" s="38" t="str">
        <f>IF($A54="","",[1]!thsiFinD("ths_adjustment_nv_fund",H$3,$A54))</f>
        <v/>
      </c>
      <c r="I54" s="38" t="str">
        <f>IF($A54="","",[1]!thsiFinD("ths_adjustment_nv_fund",I$3,$A54))</f>
        <v/>
      </c>
      <c r="J54" s="38" t="str">
        <f>IF($A54="","",[1]!thsiFinD("ths_adjustment_nv_fund",J$3,$A54))</f>
        <v/>
      </c>
      <c r="K54" s="38" t="str">
        <f>IF($A54="","",[1]!thsiFinD("ths_adjustment_nv_fund",K$3,$A54))</f>
        <v/>
      </c>
      <c r="L54" s="38" t="str">
        <f>IF($A54="","",[1]!thsiFinD("ths_adjustment_nv_fund",L$3,$A54))</f>
        <v/>
      </c>
      <c r="M54" s="38" t="str">
        <f>IF($A54="","",[1]!thsiFinD("ths_adjustment_nv_fund",M$3,$A54))</f>
        <v/>
      </c>
      <c r="N54" s="38" t="str">
        <f>IF($A54="","",[1]!thsiFinD("ths_adjustment_nv_fund",N$3,$A54))</f>
        <v/>
      </c>
      <c r="O54" s="38" t="str">
        <f>IF($A54="","",[1]!thsiFinD("ths_adjustment_nv_fund",O$3,$A54))</f>
        <v/>
      </c>
      <c r="P54" s="38" t="str">
        <f>IF($A54="","",[1]!thsiFinD("ths_adjustment_nv_fund",P$3,$A54))</f>
        <v/>
      </c>
      <c r="Q54" s="38" t="str">
        <f>IF($A54="","",[1]!thsiFinD("ths_adjustment_nv_fund",Q$3,$A54))</f>
        <v/>
      </c>
      <c r="R54" s="38" t="str">
        <f>IF($A54="","",[1]!thsiFinD("ths_adjustment_nv_fund",R$3,$A54))</f>
        <v/>
      </c>
      <c r="S54" s="38" t="str">
        <f>IF($A54="","",[1]!thsiFinD("ths_adjustment_nv_fund",S$3,$A54))</f>
        <v/>
      </c>
      <c r="T54" s="38" t="str">
        <f>IF($A54="","",[1]!thsiFinD("ths_adjustment_nv_fund",T$3,$A54))</f>
        <v/>
      </c>
      <c r="U54" s="38" t="str">
        <f>IF($A54="","",[1]!thsiFinD("ths_adjustment_nv_fund",U$3,$A54))</f>
        <v/>
      </c>
      <c r="V54" s="38" t="str">
        <f>IF($A54="","",[1]!thsiFinD("ths_adjustment_nv_fund",V$3,$A54))</f>
        <v/>
      </c>
      <c r="W54" s="38" t="str">
        <f>IF($A54="","",[1]!thsiFinD("ths_adjustment_nv_fund",W$3,$A54))</f>
        <v/>
      </c>
      <c r="X54" s="38" t="str">
        <f>IF($A54="","",[1]!thsiFinD("ths_adjustment_nv_fund",X$3,$A54))</f>
        <v/>
      </c>
      <c r="Y54" s="38" t="str">
        <f>IF($A54="","",[1]!thsiFinD("ths_adjustment_nv_fund",Y$3,$A54))</f>
        <v/>
      </c>
    </row>
    <row r="55" spans="1:25" x14ac:dyDescent="0.25">
      <c r="A55" s="37"/>
      <c r="B55" s="38" t="str">
        <f>IF($A55="","",[1]!thsiFinD("ths_adjustment_nv_fund",B$3,$A55))</f>
        <v/>
      </c>
      <c r="C55" s="38" t="str">
        <f>IF($A55="","",[1]!thsiFinD("ths_adjustment_nv_fund",C$3,$A55))</f>
        <v/>
      </c>
      <c r="D55" s="38" t="str">
        <f>IF($A55="","",[1]!thsiFinD("ths_adjustment_nv_fund",D$3,$A55))</f>
        <v/>
      </c>
      <c r="E55" s="38" t="str">
        <f>IF($A55="","",[1]!thsiFinD("ths_adjustment_nv_fund",E$3,$A55))</f>
        <v/>
      </c>
      <c r="F55" s="38" t="str">
        <f>IF($A55="","",[1]!thsiFinD("ths_adjustment_nv_fund",F$3,$A55))</f>
        <v/>
      </c>
      <c r="G55" s="38" t="str">
        <f>IF($A55="","",[1]!thsiFinD("ths_adjustment_nv_fund",G$3,$A55))</f>
        <v/>
      </c>
      <c r="H55" s="38" t="str">
        <f>IF($A55="","",[1]!thsiFinD("ths_adjustment_nv_fund",H$3,$A55))</f>
        <v/>
      </c>
      <c r="I55" s="38" t="str">
        <f>IF($A55="","",[1]!thsiFinD("ths_adjustment_nv_fund",I$3,$A55))</f>
        <v/>
      </c>
      <c r="J55" s="38" t="str">
        <f>IF($A55="","",[1]!thsiFinD("ths_adjustment_nv_fund",J$3,$A55))</f>
        <v/>
      </c>
      <c r="K55" s="38" t="str">
        <f>IF($A55="","",[1]!thsiFinD("ths_adjustment_nv_fund",K$3,$A55))</f>
        <v/>
      </c>
      <c r="L55" s="38" t="str">
        <f>IF($A55="","",[1]!thsiFinD("ths_adjustment_nv_fund",L$3,$A55))</f>
        <v/>
      </c>
      <c r="M55" s="38" t="str">
        <f>IF($A55="","",[1]!thsiFinD("ths_adjustment_nv_fund",M$3,$A55))</f>
        <v/>
      </c>
      <c r="N55" s="38" t="str">
        <f>IF($A55="","",[1]!thsiFinD("ths_adjustment_nv_fund",N$3,$A55))</f>
        <v/>
      </c>
      <c r="O55" s="38" t="str">
        <f>IF($A55="","",[1]!thsiFinD("ths_adjustment_nv_fund",O$3,$A55))</f>
        <v/>
      </c>
      <c r="P55" s="38" t="str">
        <f>IF($A55="","",[1]!thsiFinD("ths_adjustment_nv_fund",P$3,$A55))</f>
        <v/>
      </c>
      <c r="Q55" s="38" t="str">
        <f>IF($A55="","",[1]!thsiFinD("ths_adjustment_nv_fund",Q$3,$A55))</f>
        <v/>
      </c>
      <c r="R55" s="38" t="str">
        <f>IF($A55="","",[1]!thsiFinD("ths_adjustment_nv_fund",R$3,$A55))</f>
        <v/>
      </c>
      <c r="S55" s="38" t="str">
        <f>IF($A55="","",[1]!thsiFinD("ths_adjustment_nv_fund",S$3,$A55))</f>
        <v/>
      </c>
      <c r="T55" s="38" t="str">
        <f>IF($A55="","",[1]!thsiFinD("ths_adjustment_nv_fund",T$3,$A55))</f>
        <v/>
      </c>
      <c r="U55" s="38" t="str">
        <f>IF($A55="","",[1]!thsiFinD("ths_adjustment_nv_fund",U$3,$A55))</f>
        <v/>
      </c>
      <c r="V55" s="38" t="str">
        <f>IF($A55="","",[1]!thsiFinD("ths_adjustment_nv_fund",V$3,$A55))</f>
        <v/>
      </c>
      <c r="W55" s="38" t="str">
        <f>IF($A55="","",[1]!thsiFinD("ths_adjustment_nv_fund",W$3,$A55))</f>
        <v/>
      </c>
      <c r="X55" s="38" t="str">
        <f>IF($A55="","",[1]!thsiFinD("ths_adjustment_nv_fund",X$3,$A55))</f>
        <v/>
      </c>
      <c r="Y55" s="38" t="str">
        <f>IF($A55="","",[1]!thsiFinD("ths_adjustment_nv_fund",Y$3,$A55))</f>
        <v/>
      </c>
    </row>
    <row r="56" spans="1:25" x14ac:dyDescent="0.25">
      <c r="A56" s="37"/>
      <c r="B56" s="38" t="str">
        <f>IF($A56="","",[1]!thsiFinD("ths_adjustment_nv_fund",B$3,$A56))</f>
        <v/>
      </c>
      <c r="C56" s="38" t="str">
        <f>IF($A56="","",[1]!thsiFinD("ths_adjustment_nv_fund",C$3,$A56))</f>
        <v/>
      </c>
      <c r="D56" s="38" t="str">
        <f>IF($A56="","",[1]!thsiFinD("ths_adjustment_nv_fund",D$3,$A56))</f>
        <v/>
      </c>
      <c r="E56" s="38" t="str">
        <f>IF($A56="","",[1]!thsiFinD("ths_adjustment_nv_fund",E$3,$A56))</f>
        <v/>
      </c>
      <c r="F56" s="38" t="str">
        <f>IF($A56="","",[1]!thsiFinD("ths_adjustment_nv_fund",F$3,$A56))</f>
        <v/>
      </c>
      <c r="G56" s="38" t="str">
        <f>IF($A56="","",[1]!thsiFinD("ths_adjustment_nv_fund",G$3,$A56))</f>
        <v/>
      </c>
      <c r="H56" s="38" t="str">
        <f>IF($A56="","",[1]!thsiFinD("ths_adjustment_nv_fund",H$3,$A56))</f>
        <v/>
      </c>
      <c r="I56" s="38" t="str">
        <f>IF($A56="","",[1]!thsiFinD("ths_adjustment_nv_fund",I$3,$A56))</f>
        <v/>
      </c>
      <c r="J56" s="38" t="str">
        <f>IF($A56="","",[1]!thsiFinD("ths_adjustment_nv_fund",J$3,$A56))</f>
        <v/>
      </c>
      <c r="K56" s="38" t="str">
        <f>IF($A56="","",[1]!thsiFinD("ths_adjustment_nv_fund",K$3,$A56))</f>
        <v/>
      </c>
      <c r="L56" s="38" t="str">
        <f>IF($A56="","",[1]!thsiFinD("ths_adjustment_nv_fund",L$3,$A56))</f>
        <v/>
      </c>
      <c r="M56" s="38" t="str">
        <f>IF($A56="","",[1]!thsiFinD("ths_adjustment_nv_fund",M$3,$A56))</f>
        <v/>
      </c>
      <c r="N56" s="38" t="str">
        <f>IF($A56="","",[1]!thsiFinD("ths_adjustment_nv_fund",N$3,$A56))</f>
        <v/>
      </c>
      <c r="O56" s="38" t="str">
        <f>IF($A56="","",[1]!thsiFinD("ths_adjustment_nv_fund",O$3,$A56))</f>
        <v/>
      </c>
      <c r="P56" s="38" t="str">
        <f>IF($A56="","",[1]!thsiFinD("ths_adjustment_nv_fund",P$3,$A56))</f>
        <v/>
      </c>
      <c r="Q56" s="38" t="str">
        <f>IF($A56="","",[1]!thsiFinD("ths_adjustment_nv_fund",Q$3,$A56))</f>
        <v/>
      </c>
      <c r="R56" s="38" t="str">
        <f>IF($A56="","",[1]!thsiFinD("ths_adjustment_nv_fund",R$3,$A56))</f>
        <v/>
      </c>
      <c r="S56" s="38" t="str">
        <f>IF($A56="","",[1]!thsiFinD("ths_adjustment_nv_fund",S$3,$A56))</f>
        <v/>
      </c>
      <c r="T56" s="38" t="str">
        <f>IF($A56="","",[1]!thsiFinD("ths_adjustment_nv_fund",T$3,$A56))</f>
        <v/>
      </c>
      <c r="U56" s="38" t="str">
        <f>IF($A56="","",[1]!thsiFinD("ths_adjustment_nv_fund",U$3,$A56))</f>
        <v/>
      </c>
      <c r="V56" s="38" t="str">
        <f>IF($A56="","",[1]!thsiFinD("ths_adjustment_nv_fund",V$3,$A56))</f>
        <v/>
      </c>
      <c r="W56" s="38" t="str">
        <f>IF($A56="","",[1]!thsiFinD("ths_adjustment_nv_fund",W$3,$A56))</f>
        <v/>
      </c>
      <c r="X56" s="38" t="str">
        <f>IF($A56="","",[1]!thsiFinD("ths_adjustment_nv_fund",X$3,$A56))</f>
        <v/>
      </c>
      <c r="Y56" s="38" t="str">
        <f>IF($A56="","",[1]!thsiFinD("ths_adjustment_nv_fund",Y$3,$A56))</f>
        <v/>
      </c>
    </row>
    <row r="57" spans="1:25" x14ac:dyDescent="0.25">
      <c r="A57" s="37"/>
      <c r="B57" s="38" t="str">
        <f>IF($A57="","",[1]!thsiFinD("ths_adjustment_nv_fund",B$3,$A57))</f>
        <v/>
      </c>
      <c r="C57" s="38" t="str">
        <f>IF($A57="","",[1]!thsiFinD("ths_adjustment_nv_fund",C$3,$A57))</f>
        <v/>
      </c>
      <c r="D57" s="38" t="str">
        <f>IF($A57="","",[1]!thsiFinD("ths_adjustment_nv_fund",D$3,$A57))</f>
        <v/>
      </c>
      <c r="E57" s="38" t="str">
        <f>IF($A57="","",[1]!thsiFinD("ths_adjustment_nv_fund",E$3,$A57))</f>
        <v/>
      </c>
      <c r="F57" s="38" t="str">
        <f>IF($A57="","",[1]!thsiFinD("ths_adjustment_nv_fund",F$3,$A57))</f>
        <v/>
      </c>
      <c r="G57" s="38" t="str">
        <f>IF($A57="","",[1]!thsiFinD("ths_adjustment_nv_fund",G$3,$A57))</f>
        <v/>
      </c>
      <c r="H57" s="38" t="str">
        <f>IF($A57="","",[1]!thsiFinD("ths_adjustment_nv_fund",H$3,$A57))</f>
        <v/>
      </c>
      <c r="I57" s="38" t="str">
        <f>IF($A57="","",[1]!thsiFinD("ths_adjustment_nv_fund",I$3,$A57))</f>
        <v/>
      </c>
      <c r="J57" s="38" t="str">
        <f>IF($A57="","",[1]!thsiFinD("ths_adjustment_nv_fund",J$3,$A57))</f>
        <v/>
      </c>
      <c r="K57" s="38" t="str">
        <f>IF($A57="","",[1]!thsiFinD("ths_adjustment_nv_fund",K$3,$A57))</f>
        <v/>
      </c>
      <c r="L57" s="38" t="str">
        <f>IF($A57="","",[1]!thsiFinD("ths_adjustment_nv_fund",L$3,$A57))</f>
        <v/>
      </c>
      <c r="M57" s="38" t="str">
        <f>IF($A57="","",[1]!thsiFinD("ths_adjustment_nv_fund",M$3,$A57))</f>
        <v/>
      </c>
      <c r="N57" s="38" t="str">
        <f>IF($A57="","",[1]!thsiFinD("ths_adjustment_nv_fund",N$3,$A57))</f>
        <v/>
      </c>
      <c r="O57" s="38" t="str">
        <f>IF($A57="","",[1]!thsiFinD("ths_adjustment_nv_fund",O$3,$A57))</f>
        <v/>
      </c>
      <c r="P57" s="38" t="str">
        <f>IF($A57="","",[1]!thsiFinD("ths_adjustment_nv_fund",P$3,$A57))</f>
        <v/>
      </c>
      <c r="Q57" s="38" t="str">
        <f>IF($A57="","",[1]!thsiFinD("ths_adjustment_nv_fund",Q$3,$A57))</f>
        <v/>
      </c>
      <c r="R57" s="38" t="str">
        <f>IF($A57="","",[1]!thsiFinD("ths_adjustment_nv_fund",R$3,$A57))</f>
        <v/>
      </c>
      <c r="S57" s="38" t="str">
        <f>IF($A57="","",[1]!thsiFinD("ths_adjustment_nv_fund",S$3,$A57))</f>
        <v/>
      </c>
      <c r="T57" s="38" t="str">
        <f>IF($A57="","",[1]!thsiFinD("ths_adjustment_nv_fund",T$3,$A57))</f>
        <v/>
      </c>
      <c r="U57" s="38" t="str">
        <f>IF($A57="","",[1]!thsiFinD("ths_adjustment_nv_fund",U$3,$A57))</f>
        <v/>
      </c>
      <c r="V57" s="38" t="str">
        <f>IF($A57="","",[1]!thsiFinD("ths_adjustment_nv_fund",V$3,$A57))</f>
        <v/>
      </c>
      <c r="W57" s="38" t="str">
        <f>IF($A57="","",[1]!thsiFinD("ths_adjustment_nv_fund",W$3,$A57))</f>
        <v/>
      </c>
      <c r="X57" s="38" t="str">
        <f>IF($A57="","",[1]!thsiFinD("ths_adjustment_nv_fund",X$3,$A57))</f>
        <v/>
      </c>
      <c r="Y57" s="38" t="str">
        <f>IF($A57="","",[1]!thsiFinD("ths_adjustment_nv_fund",Y$3,$A57))</f>
        <v/>
      </c>
    </row>
    <row r="58" spans="1:25" x14ac:dyDescent="0.25">
      <c r="A58" s="37"/>
      <c r="B58" s="38" t="str">
        <f>IF($A58="","",[1]!thsiFinD("ths_adjustment_nv_fund",B$3,$A58))</f>
        <v/>
      </c>
      <c r="C58" s="38" t="str">
        <f>IF($A58="","",[1]!thsiFinD("ths_adjustment_nv_fund",C$3,$A58))</f>
        <v/>
      </c>
      <c r="D58" s="38" t="str">
        <f>IF($A58="","",[1]!thsiFinD("ths_adjustment_nv_fund",D$3,$A58))</f>
        <v/>
      </c>
      <c r="E58" s="38" t="str">
        <f>IF($A58="","",[1]!thsiFinD("ths_adjustment_nv_fund",E$3,$A58))</f>
        <v/>
      </c>
      <c r="F58" s="38" t="str">
        <f>IF($A58="","",[1]!thsiFinD("ths_adjustment_nv_fund",F$3,$A58))</f>
        <v/>
      </c>
      <c r="G58" s="38" t="str">
        <f>IF($A58="","",[1]!thsiFinD("ths_adjustment_nv_fund",G$3,$A58))</f>
        <v/>
      </c>
      <c r="H58" s="38" t="str">
        <f>IF($A58="","",[1]!thsiFinD("ths_adjustment_nv_fund",H$3,$A58))</f>
        <v/>
      </c>
      <c r="I58" s="38" t="str">
        <f>IF($A58="","",[1]!thsiFinD("ths_adjustment_nv_fund",I$3,$A58))</f>
        <v/>
      </c>
      <c r="J58" s="38" t="str">
        <f>IF($A58="","",[1]!thsiFinD("ths_adjustment_nv_fund",J$3,$A58))</f>
        <v/>
      </c>
      <c r="K58" s="38" t="str">
        <f>IF($A58="","",[1]!thsiFinD("ths_adjustment_nv_fund",K$3,$A58))</f>
        <v/>
      </c>
      <c r="L58" s="38" t="str">
        <f>IF($A58="","",[1]!thsiFinD("ths_adjustment_nv_fund",L$3,$A58))</f>
        <v/>
      </c>
      <c r="M58" s="38" t="str">
        <f>IF($A58="","",[1]!thsiFinD("ths_adjustment_nv_fund",M$3,$A58))</f>
        <v/>
      </c>
      <c r="N58" s="38" t="str">
        <f>IF($A58="","",[1]!thsiFinD("ths_adjustment_nv_fund",N$3,$A58))</f>
        <v/>
      </c>
      <c r="O58" s="38" t="str">
        <f>IF($A58="","",[1]!thsiFinD("ths_adjustment_nv_fund",O$3,$A58))</f>
        <v/>
      </c>
      <c r="P58" s="38" t="str">
        <f>IF($A58="","",[1]!thsiFinD("ths_adjustment_nv_fund",P$3,$A58))</f>
        <v/>
      </c>
      <c r="Q58" s="38" t="str">
        <f>IF($A58="","",[1]!thsiFinD("ths_adjustment_nv_fund",Q$3,$A58))</f>
        <v/>
      </c>
      <c r="R58" s="38" t="str">
        <f>IF($A58="","",[1]!thsiFinD("ths_adjustment_nv_fund",R$3,$A58))</f>
        <v/>
      </c>
      <c r="S58" s="38" t="str">
        <f>IF($A58="","",[1]!thsiFinD("ths_adjustment_nv_fund",S$3,$A58))</f>
        <v/>
      </c>
      <c r="T58" s="38" t="str">
        <f>IF($A58="","",[1]!thsiFinD("ths_adjustment_nv_fund",T$3,$A58))</f>
        <v/>
      </c>
      <c r="U58" s="38" t="str">
        <f>IF($A58="","",[1]!thsiFinD("ths_adjustment_nv_fund",U$3,$A58))</f>
        <v/>
      </c>
      <c r="V58" s="38" t="str">
        <f>IF($A58="","",[1]!thsiFinD("ths_adjustment_nv_fund",V$3,$A58))</f>
        <v/>
      </c>
      <c r="W58" s="38" t="str">
        <f>IF($A58="","",[1]!thsiFinD("ths_adjustment_nv_fund",W$3,$A58))</f>
        <v/>
      </c>
      <c r="X58" s="38" t="str">
        <f>IF($A58="","",[1]!thsiFinD("ths_adjustment_nv_fund",X$3,$A58))</f>
        <v/>
      </c>
      <c r="Y58" s="38" t="str">
        <f>IF($A58="","",[1]!thsiFinD("ths_adjustment_nv_fund",Y$3,$A58))</f>
        <v/>
      </c>
    </row>
    <row r="59" spans="1:25" x14ac:dyDescent="0.25">
      <c r="A59" s="37"/>
      <c r="B59" s="38" t="str">
        <f>IF($A59="","",[1]!thsiFinD("ths_adjustment_nv_fund",B$3,$A59))</f>
        <v/>
      </c>
      <c r="C59" s="38" t="str">
        <f>IF($A59="","",[1]!thsiFinD("ths_adjustment_nv_fund",C$3,$A59))</f>
        <v/>
      </c>
      <c r="D59" s="38" t="str">
        <f>IF($A59="","",[1]!thsiFinD("ths_adjustment_nv_fund",D$3,$A59))</f>
        <v/>
      </c>
      <c r="E59" s="38" t="str">
        <f>IF($A59="","",[1]!thsiFinD("ths_adjustment_nv_fund",E$3,$A59))</f>
        <v/>
      </c>
      <c r="F59" s="38" t="str">
        <f>IF($A59="","",[1]!thsiFinD("ths_adjustment_nv_fund",F$3,$A59))</f>
        <v/>
      </c>
      <c r="G59" s="38" t="str">
        <f>IF($A59="","",[1]!thsiFinD("ths_adjustment_nv_fund",G$3,$A59))</f>
        <v/>
      </c>
      <c r="H59" s="38" t="str">
        <f>IF($A59="","",[1]!thsiFinD("ths_adjustment_nv_fund",H$3,$A59))</f>
        <v/>
      </c>
      <c r="I59" s="38" t="str">
        <f>IF($A59="","",[1]!thsiFinD("ths_adjustment_nv_fund",I$3,$A59))</f>
        <v/>
      </c>
      <c r="J59" s="38" t="str">
        <f>IF($A59="","",[1]!thsiFinD("ths_adjustment_nv_fund",J$3,$A59))</f>
        <v/>
      </c>
      <c r="K59" s="38" t="str">
        <f>IF($A59="","",[1]!thsiFinD("ths_adjustment_nv_fund",K$3,$A59))</f>
        <v/>
      </c>
      <c r="L59" s="38" t="str">
        <f>IF($A59="","",[1]!thsiFinD("ths_adjustment_nv_fund",L$3,$A59))</f>
        <v/>
      </c>
      <c r="M59" s="38" t="str">
        <f>IF($A59="","",[1]!thsiFinD("ths_adjustment_nv_fund",M$3,$A59))</f>
        <v/>
      </c>
      <c r="N59" s="38" t="str">
        <f>IF($A59="","",[1]!thsiFinD("ths_adjustment_nv_fund",N$3,$A59))</f>
        <v/>
      </c>
      <c r="O59" s="38" t="str">
        <f>IF($A59="","",[1]!thsiFinD("ths_adjustment_nv_fund",O$3,$A59))</f>
        <v/>
      </c>
      <c r="P59" s="38" t="str">
        <f>IF($A59="","",[1]!thsiFinD("ths_adjustment_nv_fund",P$3,$A59))</f>
        <v/>
      </c>
      <c r="Q59" s="38" t="str">
        <f>IF($A59="","",[1]!thsiFinD("ths_adjustment_nv_fund",Q$3,$A59))</f>
        <v/>
      </c>
      <c r="R59" s="38" t="str">
        <f>IF($A59="","",[1]!thsiFinD("ths_adjustment_nv_fund",R$3,$A59))</f>
        <v/>
      </c>
      <c r="S59" s="38" t="str">
        <f>IF($A59="","",[1]!thsiFinD("ths_adjustment_nv_fund",S$3,$A59))</f>
        <v/>
      </c>
      <c r="T59" s="38" t="str">
        <f>IF($A59="","",[1]!thsiFinD("ths_adjustment_nv_fund",T$3,$A59))</f>
        <v/>
      </c>
      <c r="U59" s="38" t="str">
        <f>IF($A59="","",[1]!thsiFinD("ths_adjustment_nv_fund",U$3,$A59))</f>
        <v/>
      </c>
      <c r="V59" s="38" t="str">
        <f>IF($A59="","",[1]!thsiFinD("ths_adjustment_nv_fund",V$3,$A59))</f>
        <v/>
      </c>
      <c r="W59" s="38" t="str">
        <f>IF($A59="","",[1]!thsiFinD("ths_adjustment_nv_fund",W$3,$A59))</f>
        <v/>
      </c>
      <c r="X59" s="38" t="str">
        <f>IF($A59="","",[1]!thsiFinD("ths_adjustment_nv_fund",X$3,$A59))</f>
        <v/>
      </c>
      <c r="Y59" s="38" t="str">
        <f>IF($A59="","",[1]!thsiFinD("ths_adjustment_nv_fund",Y$3,$A59))</f>
        <v/>
      </c>
    </row>
    <row r="60" spans="1:25" x14ac:dyDescent="0.25">
      <c r="A60" s="37"/>
      <c r="B60" s="38" t="str">
        <f>IF($A60="","",[1]!thsiFinD("ths_adjustment_nv_fund",B$3,$A60))</f>
        <v/>
      </c>
      <c r="C60" s="38" t="str">
        <f>IF($A60="","",[1]!thsiFinD("ths_adjustment_nv_fund",C$3,$A60))</f>
        <v/>
      </c>
      <c r="D60" s="38" t="str">
        <f>IF($A60="","",[1]!thsiFinD("ths_adjustment_nv_fund",D$3,$A60))</f>
        <v/>
      </c>
      <c r="E60" s="38" t="str">
        <f>IF($A60="","",[1]!thsiFinD("ths_adjustment_nv_fund",E$3,$A60))</f>
        <v/>
      </c>
      <c r="F60" s="38" t="str">
        <f>IF($A60="","",[1]!thsiFinD("ths_adjustment_nv_fund",F$3,$A60))</f>
        <v/>
      </c>
      <c r="G60" s="38" t="str">
        <f>IF($A60="","",[1]!thsiFinD("ths_adjustment_nv_fund",G$3,$A60))</f>
        <v/>
      </c>
      <c r="H60" s="38" t="str">
        <f>IF($A60="","",[1]!thsiFinD("ths_adjustment_nv_fund",H$3,$A60))</f>
        <v/>
      </c>
      <c r="I60" s="38" t="str">
        <f>IF($A60="","",[1]!thsiFinD("ths_adjustment_nv_fund",I$3,$A60))</f>
        <v/>
      </c>
      <c r="J60" s="38" t="str">
        <f>IF($A60="","",[1]!thsiFinD("ths_adjustment_nv_fund",J$3,$A60))</f>
        <v/>
      </c>
      <c r="K60" s="38" t="str">
        <f>IF($A60="","",[1]!thsiFinD("ths_adjustment_nv_fund",K$3,$A60))</f>
        <v/>
      </c>
      <c r="L60" s="38" t="str">
        <f>IF($A60="","",[1]!thsiFinD("ths_adjustment_nv_fund",L$3,$A60))</f>
        <v/>
      </c>
      <c r="M60" s="38" t="str">
        <f>IF($A60="","",[1]!thsiFinD("ths_adjustment_nv_fund",M$3,$A60))</f>
        <v/>
      </c>
      <c r="N60" s="38" t="str">
        <f>IF($A60="","",[1]!thsiFinD("ths_adjustment_nv_fund",N$3,$A60))</f>
        <v/>
      </c>
      <c r="O60" s="38" t="str">
        <f>IF($A60="","",[1]!thsiFinD("ths_adjustment_nv_fund",O$3,$A60))</f>
        <v/>
      </c>
      <c r="P60" s="38" t="str">
        <f>IF($A60="","",[1]!thsiFinD("ths_adjustment_nv_fund",P$3,$A60))</f>
        <v/>
      </c>
      <c r="Q60" s="38" t="str">
        <f>IF($A60="","",[1]!thsiFinD("ths_adjustment_nv_fund",Q$3,$A60))</f>
        <v/>
      </c>
      <c r="R60" s="38" t="str">
        <f>IF($A60="","",[1]!thsiFinD("ths_adjustment_nv_fund",R$3,$A60))</f>
        <v/>
      </c>
      <c r="S60" s="38" t="str">
        <f>IF($A60="","",[1]!thsiFinD("ths_adjustment_nv_fund",S$3,$A60))</f>
        <v/>
      </c>
      <c r="T60" s="38" t="str">
        <f>IF($A60="","",[1]!thsiFinD("ths_adjustment_nv_fund",T$3,$A60))</f>
        <v/>
      </c>
      <c r="U60" s="38" t="str">
        <f>IF($A60="","",[1]!thsiFinD("ths_adjustment_nv_fund",U$3,$A60))</f>
        <v/>
      </c>
      <c r="V60" s="38" t="str">
        <f>IF($A60="","",[1]!thsiFinD("ths_adjustment_nv_fund",V$3,$A60))</f>
        <v/>
      </c>
      <c r="W60" s="38" t="str">
        <f>IF($A60="","",[1]!thsiFinD("ths_adjustment_nv_fund",W$3,$A60))</f>
        <v/>
      </c>
      <c r="X60" s="38" t="str">
        <f>IF($A60="","",[1]!thsiFinD("ths_adjustment_nv_fund",X$3,$A60))</f>
        <v/>
      </c>
    </row>
  </sheetData>
  <mergeCells count="1">
    <mergeCell ref="A1:D1"/>
  </mergeCells>
  <phoneticPr fontId="1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showGridLines="0" workbookViewId="0">
      <selection activeCell="D34" sqref="D34"/>
    </sheetView>
  </sheetViews>
  <sheetFormatPr defaultRowHeight="14" x14ac:dyDescent="0.25"/>
  <cols>
    <col min="1" max="1" width="12" style="33" customWidth="1"/>
    <col min="22" max="22" width="13.54296875" style="33" bestFit="1" customWidth="1"/>
  </cols>
  <sheetData>
    <row r="1" spans="1:22" ht="19" customHeight="1" x14ac:dyDescent="0.25">
      <c r="A1" s="51" t="s">
        <v>63</v>
      </c>
      <c r="B1" s="50"/>
      <c r="C1" s="50"/>
      <c r="D1" s="50"/>
      <c r="E1" s="50"/>
      <c r="F1" s="50"/>
      <c r="G1" s="50"/>
      <c r="H1" s="50"/>
      <c r="I1" s="50"/>
      <c r="J1" s="50"/>
    </row>
    <row r="2" spans="1:22" ht="14" customHeigh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22" ht="42" customHeight="1" x14ac:dyDescent="0.25">
      <c r="B3" s="26" t="s">
        <v>64</v>
      </c>
      <c r="E3" s="26" t="s">
        <v>65</v>
      </c>
      <c r="H3" s="26" t="s">
        <v>66</v>
      </c>
      <c r="K3" s="26" t="s">
        <v>67</v>
      </c>
      <c r="N3" s="26" t="s">
        <v>68</v>
      </c>
      <c r="Q3" s="26" t="s">
        <v>69</v>
      </c>
    </row>
    <row r="4" spans="1:22" x14ac:dyDescent="0.25">
      <c r="A4" s="25" t="s">
        <v>70</v>
      </c>
      <c r="B4" s="25" t="s">
        <v>71</v>
      </c>
      <c r="C4" s="25" t="s">
        <v>72</v>
      </c>
      <c r="D4" s="25" t="s">
        <v>73</v>
      </c>
      <c r="E4" s="25" t="s">
        <v>71</v>
      </c>
      <c r="F4" s="25" t="s">
        <v>72</v>
      </c>
      <c r="G4" s="25" t="s">
        <v>73</v>
      </c>
      <c r="H4" s="25" t="s">
        <v>71</v>
      </c>
      <c r="I4" s="25" t="s">
        <v>72</v>
      </c>
      <c r="J4" s="25" t="s">
        <v>73</v>
      </c>
      <c r="K4" s="25" t="s">
        <v>71</v>
      </c>
      <c r="L4" s="25" t="s">
        <v>72</v>
      </c>
      <c r="M4" s="25" t="s">
        <v>73</v>
      </c>
      <c r="N4" s="25" t="s">
        <v>71</v>
      </c>
      <c r="O4" s="25" t="s">
        <v>72</v>
      </c>
      <c r="P4" s="25" t="s">
        <v>73</v>
      </c>
      <c r="Q4" s="25" t="s">
        <v>71</v>
      </c>
      <c r="R4" s="25" t="s">
        <v>72</v>
      </c>
      <c r="S4" s="25" t="s">
        <v>73</v>
      </c>
    </row>
    <row r="5" spans="1:22" x14ac:dyDescent="0.25">
      <c r="A5" s="39">
        <f>IF('实盘净值数据(iFinD公式)'!A5="","",'实盘净值数据(iFinD公式)'!A5)</f>
        <v>46191</v>
      </c>
      <c r="B5" s="38" t="str">
        <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  <v/>
      </c>
      <c r="C5" s="7"/>
      <c r="D5" s="7" t="str">
        <f>IF(B5="","",B5/MAX(B$5:B5)-1)</f>
        <v/>
      </c>
      <c r="E5" s="38">
        <v>1</v>
      </c>
      <c r="F5" s="7"/>
      <c r="G5" s="7">
        <f>IF(E5="","",E5/MAX(E$5:E5)-1)</f>
        <v>0</v>
      </c>
      <c r="H5" s="38" t="str">
        <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  <v/>
      </c>
      <c r="I5" s="7"/>
      <c r="J5" s="7" t="str">
        <f>IF(H5="","",H5/MAX(H$5:H5)-1)</f>
        <v/>
      </c>
      <c r="K5" s="38" t="str">
        <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  <v/>
      </c>
      <c r="L5" s="7"/>
      <c r="M5" s="7" t="str">
        <f>IF(K5="","",K5/MAX(K$5:K5)-1)</f>
        <v/>
      </c>
      <c r="N5" s="38">
        <v>1</v>
      </c>
      <c r="O5" s="7"/>
      <c r="P5" s="7">
        <f>IF(N5="","",N5/MAX(N$5:N5)-1)</f>
        <v>0</v>
      </c>
      <c r="Q5" s="38" t="str">
        <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  <v/>
      </c>
      <c r="R5" s="7"/>
      <c r="S5" s="7" t="str">
        <f>IF(Q5="","",Q5/MAX(Q$5:Q5)-1)</f>
        <v/>
      </c>
      <c r="U5" s="32"/>
    </row>
    <row r="6" spans="1:22" x14ac:dyDescent="0.25">
      <c r="A6" s="39">
        <f>IF('实盘净值数据(iFinD公式)'!A6="","",'实盘净值数据(iFinD公式)'!A6)</f>
        <v>46195</v>
      </c>
      <c r="B6" s="38">
        <v>1</v>
      </c>
      <c r="C6" s="7" t="str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  <v/>
      </c>
      <c r="D6" s="7">
        <f>IF(B6="","",B6/MAX(B$5:B6)-1)</f>
        <v>0</v>
      </c>
      <c r="E6" s="38">
        <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  <v>1.0234374728432394</v>
      </c>
      <c r="F6" s="7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  <v>2.3437472843239604E-2</v>
      </c>
      <c r="G6" s="7">
        <f>IF(E6="","",E6/MAX(E$5:E6)-1)</f>
        <v>0</v>
      </c>
      <c r="H6" s="38" t="str">
        <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  <v/>
      </c>
      <c r="I6" s="7" t="str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  <v/>
      </c>
      <c r="J6" s="7" t="str">
        <f>IF(H6="","",H6/MAX(H$5:H6)-1)</f>
        <v/>
      </c>
      <c r="K6" s="38" t="str">
        <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  <v/>
      </c>
      <c r="L6" s="7" t="str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  <v/>
      </c>
      <c r="M6" s="7" t="str">
        <f>IF(K6="","",K6/MAX(K$5:K6)-1)</f>
        <v/>
      </c>
      <c r="N6" s="38">
        <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  <v>1.0008955316407739</v>
      </c>
      <c r="O6" s="7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  <v>8.9553164077393888E-4</v>
      </c>
      <c r="P6" s="7">
        <f>IF(N6="","",N6/MAX(N$5:N6)-1)</f>
        <v>0</v>
      </c>
      <c r="Q6" s="38" t="str">
        <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  <v/>
      </c>
      <c r="R6" s="7" t="str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  <v/>
      </c>
      <c r="S6" s="7" t="str">
        <f>IF(Q6="","",Q6/MAX(Q$5:Q6)-1)</f>
        <v/>
      </c>
      <c r="U6" s="32"/>
      <c r="V6" s="40"/>
    </row>
    <row r="7" spans="1:22" x14ac:dyDescent="0.25">
      <c r="A7" s="39">
        <f>IF('实盘净值数据(iFinD公式)'!A7="","",'实盘净值数据(iFinD公式)'!A7)</f>
        <v>46196</v>
      </c>
      <c r="B7" s="38">
        <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  <v>0.98042318811773688</v>
      </c>
      <c r="C7" s="7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  <v>-1.9576811882263012E-2</v>
      </c>
      <c r="D7" s="7">
        <f>IF(B7="","",B7/MAX(B$5:B7)-1)</f>
        <v>-1.9576811882263123E-2</v>
      </c>
      <c r="E7" s="38">
        <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  <v>1.0033378905556949</v>
      </c>
      <c r="F7" s="7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  <v>-1.9639287031092856E-2</v>
      </c>
      <c r="G7" s="7">
        <f>IF(E7="","",E7/MAX(E$5:E7)-1)</f>
        <v>-1.9639287031092634E-2</v>
      </c>
      <c r="H7" s="38">
        <v>1</v>
      </c>
      <c r="I7" s="7" t="str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  <v/>
      </c>
      <c r="J7" s="7">
        <f>IF(H7="","",H7/MAX(H$5:H7)-1)</f>
        <v>0</v>
      </c>
      <c r="K7" s="38" t="str">
        <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  <v/>
      </c>
      <c r="L7" s="7" t="str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  <v/>
      </c>
      <c r="M7" s="7" t="str">
        <f>IF(K7="","",K7/MAX(K$5:K7)-1)</f>
        <v/>
      </c>
      <c r="N7" s="38">
        <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  <v>0.99782263840516405</v>
      </c>
      <c r="O7" s="7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  <v>-3.0701438246729662E-3</v>
      </c>
      <c r="P7" s="7">
        <f>IF(N7="","",N7/MAX(N$5:N7)-1)</f>
        <v>-3.0701438246731882E-3</v>
      </c>
      <c r="Q7" s="38" t="str">
        <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  <v/>
      </c>
      <c r="R7" s="7" t="str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  <v/>
      </c>
      <c r="S7" s="7" t="str">
        <f>IF(Q7="","",Q7/MAX(Q$5:Q7)-1)</f>
        <v/>
      </c>
      <c r="U7" s="32"/>
      <c r="V7" s="40"/>
    </row>
    <row r="8" spans="1:22" x14ac:dyDescent="0.25">
      <c r="A8" s="39">
        <f>IF('实盘净值数据(iFinD公式)'!A8="","",'实盘净值数据(iFinD公式)'!A8)</f>
        <v>46197</v>
      </c>
      <c r="B8" s="38">
        <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  <v>1.0160197208922743</v>
      </c>
      <c r="C8" s="7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  <v>3.6307314235271448E-2</v>
      </c>
      <c r="D8" s="7">
        <f>IF(B8="","",B8/MAX(B$5:B8)-1)</f>
        <v>0</v>
      </c>
      <c r="E8" s="38">
        <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  <v>1.0397126768191969</v>
      </c>
      <c r="F8" s="7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  <v>3.6253775129887478E-2</v>
      </c>
      <c r="G8" s="7">
        <f>IF(E8="","",E8/MAX(E$5:E8)-1)</f>
        <v>0</v>
      </c>
      <c r="H8" s="38">
        <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  <v>1.039202963297934</v>
      </c>
      <c r="I8" s="7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  <v>3.9202963297934268E-2</v>
      </c>
      <c r="J8" s="7">
        <f>IF(H8="","",H8/MAX(H$5:H8)-1)</f>
        <v>0</v>
      </c>
      <c r="K8" s="38">
        <v>1</v>
      </c>
      <c r="L8" s="7" t="str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  <v/>
      </c>
      <c r="M8" s="7">
        <f>IF(K8="","",K8/MAX(K$5:K8)-1)</f>
        <v>0</v>
      </c>
      <c r="N8" s="38">
        <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  <v>0.99977056884376803</v>
      </c>
      <c r="O8" s="7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  <v>1.9521810426323949E-3</v>
      </c>
      <c r="P8" s="7">
        <f>IF(N8="","",N8/MAX(N$5:N8)-1)</f>
        <v>-1.123956258613501E-3</v>
      </c>
      <c r="Q8" s="38">
        <v>1</v>
      </c>
      <c r="R8" s="7" t="str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  <v/>
      </c>
      <c r="S8" s="7">
        <f>IF(Q8="","",Q8/MAX(Q$5:Q8)-1)</f>
        <v>0</v>
      </c>
      <c r="U8" s="32"/>
      <c r="V8" s="40"/>
    </row>
    <row r="9" spans="1:22" x14ac:dyDescent="0.25">
      <c r="A9" s="39">
        <f>IF('实盘净值数据(iFinD公式)'!A9="","",'实盘净值数据(iFinD公式)'!A9)</f>
        <v>46198</v>
      </c>
      <c r="B9" s="38">
        <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  <v>1.0494431551246099</v>
      </c>
      <c r="C9" s="7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  <v>3.2896442406632698E-2</v>
      </c>
      <c r="D9" s="7">
        <f>IF(B9="","",B9/MAX(B$5:B9)-1)</f>
        <v>0</v>
      </c>
      <c r="E9" s="38">
        <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  <v>1.0739445334901312</v>
      </c>
      <c r="F9" s="7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  <v>3.2924342882554747E-2</v>
      </c>
      <c r="G9" s="7">
        <f>IF(E9="","",E9/MAX(E$5:E9)-1)</f>
        <v>0</v>
      </c>
      <c r="H9" s="38">
        <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  <v>1.0741076445723305</v>
      </c>
      <c r="I9" s="7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  <v>3.3587934702982158E-2</v>
      </c>
      <c r="J9" s="7">
        <f>IF(H9="","",H9/MAX(H$5:H9)-1)</f>
        <v>0</v>
      </c>
      <c r="K9" s="38">
        <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  <v>1.0014141946107082</v>
      </c>
      <c r="L9" s="7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  <v>1.4141946107082415E-3</v>
      </c>
      <c r="M9" s="7">
        <f>IF(K9="","",K9/MAX(K$5:K9)-1)</f>
        <v>0</v>
      </c>
      <c r="N9" s="38">
        <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  <v>1.0012779820956512</v>
      </c>
      <c r="O9" s="7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  <v>1.5077591788150713E-3</v>
      </c>
      <c r="P9" s="7">
        <f>IF(N9="","",N9/MAX(N$5:N9)-1)</f>
        <v>0</v>
      </c>
      <c r="Q9" s="38">
        <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  <v>1.0039732082294281</v>
      </c>
      <c r="R9" s="7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  <v>3.973208229427927E-3</v>
      </c>
      <c r="S9" s="7">
        <f>IF(Q9="","",Q9/MAX(Q$5:Q9)-1)</f>
        <v>0</v>
      </c>
      <c r="U9" s="32"/>
      <c r="V9" s="40"/>
    </row>
    <row r="10" spans="1:22" x14ac:dyDescent="0.25">
      <c r="A10" s="39">
        <f>IF('实盘净值数据(iFinD公式)'!A10="","",'实盘净值数据(iFinD公式)'!A10)</f>
        <v>46199</v>
      </c>
      <c r="B10" s="38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  <v>1.0194457362958647</v>
      </c>
      <c r="C10" s="7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  <v>-2.8584129290150306E-2</v>
      </c>
      <c r="D10" s="7">
        <f>IF(B10="","",B10/MAX(B$5:B10)-1)</f>
        <v>-2.8584129290150528E-2</v>
      </c>
      <c r="E10" s="38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  <v>1.0431451846332738</v>
      </c>
      <c r="F10" s="7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  <v>-2.8678714678834649E-2</v>
      </c>
      <c r="G10" s="7">
        <f>IF(E10="","",E10/MAX(E$5:E10)-1)</f>
        <v>-2.8678714678834427E-2</v>
      </c>
      <c r="H10" s="38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  <v>1.050645670240649</v>
      </c>
      <c r="I10" s="7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  <v>-2.1843224420047047E-2</v>
      </c>
      <c r="J10" s="7">
        <f>IF(H10="","",H10/MAX(H$5:H10)-1)</f>
        <v>-2.1843224420047047E-2</v>
      </c>
      <c r="K10" s="38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  <v>0.999482233533317</v>
      </c>
      <c r="L10" s="7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  <v>-1.9292327668097853E-3</v>
      </c>
      <c r="M10" s="7">
        <f>IF(K10="","",K10/MAX(K$5:K10)-1)</f>
        <v>-1.9292327668095632E-3</v>
      </c>
      <c r="N10" s="38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  <v>0.99892980064356218</v>
      </c>
      <c r="O10" s="7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  <v>-2.3451843484805224E-3</v>
      </c>
      <c r="P10" s="7">
        <f>IF(N10="","",N10/MAX(N$5:N10)-1)</f>
        <v>-2.3451843484806334E-3</v>
      </c>
      <c r="Q10" s="38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  <v>0.99720804304745392</v>
      </c>
      <c r="R10" s="7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  <v>-6.7383921468432417E-3</v>
      </c>
      <c r="S10" s="7">
        <f>IF(Q10="","",Q10/MAX(Q$5:Q10)-1)</f>
        <v>-6.7383921468432417E-3</v>
      </c>
      <c r="U10" s="32"/>
      <c r="V10" s="40"/>
    </row>
    <row r="11" spans="1:22" x14ac:dyDescent="0.25">
      <c r="A11" s="39">
        <f>IF('实盘净值数据(iFinD公式)'!A11="","",'实盘净值数据(iFinD公式)'!A11)</f>
        <v>46202</v>
      </c>
      <c r="B11" s="38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  <v>1.0294386648056562</v>
      </c>
      <c r="C11" s="7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  <v>9.8023152719246553E-3</v>
      </c>
      <c r="D11" s="7">
        <f>IF(B11="","",B11/MAX(B$5:B11)-1)</f>
        <v>-1.906200466530128E-2</v>
      </c>
      <c r="E11" s="38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  <v>1.0532583926143868</v>
      </c>
      <c r="F11" s="7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  <v>9.6949189145405512E-3</v>
      </c>
      <c r="G11" s="7">
        <f>IF(E11="","",E11/MAX(E$5:E11)-1)</f>
        <v>-1.9261833577678411E-2</v>
      </c>
      <c r="H11" s="38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  <v>1.0685098764526948</v>
      </c>
      <c r="I11" s="7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  <v>1.7003074126745288E-2</v>
      </c>
      <c r="J11" s="7">
        <f>IF(H11="","",H11/MAX(H$5:H11)-1)</f>
        <v>-5.2115522572828699E-3</v>
      </c>
      <c r="K11" s="38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  <v>1.0013813603515529</v>
      </c>
      <c r="L11" s="7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  <v>1.9001106318041749E-3</v>
      </c>
      <c r="M11" s="7">
        <f>IF(K11="","",K11/MAX(K$5:K11)-1)</f>
        <v>-3.2787890697050237E-5</v>
      </c>
      <c r="N11" s="38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  <v>1.0005210497548791</v>
      </c>
      <c r="O11" s="7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  <v>1.5929538895442796E-3</v>
      </c>
      <c r="P11" s="7">
        <f>IF(N11="","",N11/MAX(N$5:N11)-1)</f>
        <v>-7.5596622946594305E-4</v>
      </c>
      <c r="Q11" s="38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  <v>1.0009806053834998</v>
      </c>
      <c r="R11" s="7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  <v>3.7831246572348487E-3</v>
      </c>
      <c r="S11" s="7">
        <f>IF(Q11="","",Q11/MAX(Q$5:Q11)-1)</f>
        <v>-2.9807596670892167E-3</v>
      </c>
      <c r="U11" s="32"/>
      <c r="V11" s="40"/>
    </row>
    <row r="12" spans="1:22" x14ac:dyDescent="0.25">
      <c r="A12" s="39">
        <f>IF('实盘净值数据(iFinD公式)'!A12="","",'实盘净值数据(iFinD公式)'!A12)</f>
        <v>46203</v>
      </c>
      <c r="B12" s="38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  <v>1.0748479117145109</v>
      </c>
      <c r="C12" s="7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  <v>4.4110687174769625E-2</v>
      </c>
      <c r="D12" s="7">
        <f>IF(B12="","",B12/MAX(B$5:B12)-1)</f>
        <v>0</v>
      </c>
      <c r="E12" s="38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  <v>1.0997368712958928</v>
      </c>
      <c r="F12" s="7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  <v>4.412827755033355E-2</v>
      </c>
      <c r="G12" s="7">
        <f>IF(E12="","",E12/MAX(E$5:E12)-1)</f>
        <v>0</v>
      </c>
      <c r="H12" s="38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  <v>1.1117066956825354</v>
      </c>
      <c r="I12" s="7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  <v>4.042715952542042E-2</v>
      </c>
      <c r="J12" s="7">
        <f>IF(H12="","",H12/MAX(H$5:H12)-1)</f>
        <v>0</v>
      </c>
      <c r="K12" s="38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  <v>1.0032719936317975</v>
      </c>
      <c r="L12" s="7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  <v>1.888025237039237E-3</v>
      </c>
      <c r="M12" s="7">
        <f>IF(K12="","",K12/MAX(K$5:K12)-1)</f>
        <v>0</v>
      </c>
      <c r="N12" s="38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  <v>1.0027101391424882</v>
      </c>
      <c r="O12" s="7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  <v>2.1879493571328457E-3</v>
      </c>
      <c r="P12" s="7">
        <f>IF(N12="","",N12/MAX(N$5:N12)-1)</f>
        <v>0</v>
      </c>
      <c r="Q12" s="38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  <v>1.0087618711402631</v>
      </c>
      <c r="R12" s="7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  <v>7.7736428807049229E-3</v>
      </c>
      <c r="S12" s="7">
        <f>IF(Q12="","",Q12/MAX(Q$5:Q12)-1)</f>
        <v>0</v>
      </c>
    </row>
    <row r="13" spans="1:22" x14ac:dyDescent="0.25">
      <c r="A13" s="39">
        <f>IF('实盘净值数据(iFinD公式)'!A13="","",'实盘净值数据(iFinD公式)'!A13)</f>
        <v>46204</v>
      </c>
      <c r="B13" s="38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  <v>1.0416673271387726</v>
      </c>
      <c r="C13" s="7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  <v>-3.0870027483991924E-2</v>
      </c>
      <c r="D13" s="7">
        <f>IF(B13="","",B13/MAX(B$5:B13)-1)</f>
        <v>-3.0870027483991924E-2</v>
      </c>
      <c r="E13" s="38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  <v>1.0657543280201871</v>
      </c>
      <c r="F13" s="7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  <v>-3.0900612830832896E-2</v>
      </c>
      <c r="G13" s="7">
        <f>IF(E13="","",E13/MAX(E$5:E13)-1)</f>
        <v>-3.0900612830832785E-2</v>
      </c>
      <c r="H13" s="38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  <v>1.0836174881519127</v>
      </c>
      <c r="I13" s="7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  <v>-2.5266743143412818E-2</v>
      </c>
      <c r="J13" s="7">
        <f>IF(H13="","",H13/MAX(H$5:H13)-1)</f>
        <v>-2.5266743143412707E-2</v>
      </c>
      <c r="K13" s="38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  <v>1.0008642071384042</v>
      </c>
      <c r="L13" s="7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  <v>-2.3999339248743645E-3</v>
      </c>
      <c r="M13" s="7">
        <f>IF(K13="","",K13/MAX(K$5:K13)-1)</f>
        <v>-2.3999339248744755E-3</v>
      </c>
      <c r="N13" s="38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  <v>0.99998436731801976</v>
      </c>
      <c r="O13" s="7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  <v>-2.7184045698385173E-3</v>
      </c>
      <c r="P13" s="7">
        <f>IF(N13="","",N13/MAX(N$5:N13)-1)</f>
        <v>-2.7184045698386283E-3</v>
      </c>
      <c r="Q13" s="38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  <v>1.0039155476418375</v>
      </c>
      <c r="R13" s="7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  <v>-4.8042294589779599E-3</v>
      </c>
      <c r="S13" s="7">
        <f>IF(Q13="","",Q13/MAX(Q$5:Q13)-1)</f>
        <v>-4.8042294589777379E-3</v>
      </c>
    </row>
    <row r="14" spans="1:22" x14ac:dyDescent="0.25">
      <c r="A14" s="39">
        <f>IF('实盘净值数据(iFinD公式)'!A14="","",'实盘净值数据(iFinD公式)'!A14)</f>
        <v>46205</v>
      </c>
      <c r="B14" s="38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  <v>0.9502400516447862</v>
      </c>
      <c r="C14" s="7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  <v>-8.7770128823294269E-2</v>
      </c>
      <c r="D14" s="7">
        <f>IF(B14="","",B14/MAX(B$5:B14)-1)</f>
        <v>-0.1159306900182373</v>
      </c>
      <c r="E14" s="38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  <v>0.97222777037242381</v>
      </c>
      <c r="F14" s="7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  <v>-8.7756207212880244E-2</v>
      </c>
      <c r="G14" s="7">
        <f>IF(E14="","",E14/MAX(E$5:E14)-1)</f>
        <v>-0.1159450994611253</v>
      </c>
      <c r="H14" s="38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  <v>0.9917522529182049</v>
      </c>
      <c r="I14" s="7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  <v>-8.477644209155577E-2</v>
      </c>
      <c r="J14" s="7">
        <f>IF(H14="","",H14/MAX(H$5:H14)-1)</f>
        <v>-0.10790116064802879</v>
      </c>
      <c r="K14" s="38">
        <f>IF(OR('实盘净值数据(iFinD公式)'!$A14="",'实盘净值数据(iFinD公式)'!$B14=""),"",分期持仓明细!$AB$9*SUMPRODUCT(分期持仓明细!$B$9:$Y$9,'实盘净值数据(iFinD公式)'!$B14:$Y14/'实盘净值数据(iFinD公式)'!$B$13:$Y$13)*(1-实盘持仓配置!$Z$7)^(('实盘净值数据(iFinD公式)'!$A14-'实盘净值数据(iFinD公式)'!$A$8)/365))</f>
        <v>0.9953694470930653</v>
      </c>
      <c r="L14" s="7">
        <f t="shared" ref="L14:L59" si="0">IF(OR(K13="",K14=""),"",K14/K13-1)</f>
        <v>-5.4900155347238355E-3</v>
      </c>
      <c r="M14" s="7">
        <f>IF(K14="","",K14/MAX(K$5:K14)-1)</f>
        <v>-7.8767737850683472E-3</v>
      </c>
      <c r="N14" s="38">
        <f>IF(OR('实盘净值数据(iFinD公式)'!$A14="",'实盘净值数据(iFinD公式)'!$B14=""),"",分期持仓明细!$AB$11*SUMPRODUCT(分期持仓明细!$B$11:$Y$11,'实盘净值数据(iFinD公式)'!$B14:$Y14/'实盘净值数据(iFinD公式)'!$B$13:$Y$13)*(1-实盘持仓配置!$Z$8)^(('实盘净值数据(iFinD公式)'!$A14-'实盘净值数据(iFinD公式)'!$A$5)/365))</f>
        <v>0.99415279612394647</v>
      </c>
      <c r="O14" s="7">
        <f t="shared" ref="O14:O59" si="1">IF(OR(N13="",N14=""),"",N14/N13-1)</f>
        <v>-5.8316623585963345E-3</v>
      </c>
      <c r="P14" s="7">
        <f>IF(N14="","",N14/MAX(N$5:N14)-1)</f>
        <v>-8.5342141108295522E-3</v>
      </c>
      <c r="Q14" s="38">
        <f>IF(OR('实盘净值数据(iFinD公式)'!$A14="",'实盘净值数据(iFinD公式)'!$B14=""),"",分期持仓明细!$AB$13*SUMPRODUCT(分期持仓明细!$B$13:$Y$13,'实盘净值数据(iFinD公式)'!$B14:$Y14/'实盘净值数据(iFinD公式)'!$B$13:$Y$13)*(1-实盘持仓配置!$Z$9)^(('实盘净值数据(iFinD公式)'!$A14-'实盘净值数据(iFinD公式)'!$A$8)/365))</f>
        <v>0.98752211337914919</v>
      </c>
      <c r="R14" s="7">
        <f t="shared" ref="R14:R59" si="2">IF(OR(Q13="",Q14=""),"",Q14/Q13-1)</f>
        <v>-1.6329495345695166E-2</v>
      </c>
      <c r="S14" s="7">
        <f>IF(Q14="","",Q14/MAX(Q$5:Q14)-1)</f>
        <v>-2.1055274162082749E-2</v>
      </c>
    </row>
    <row r="15" spans="1:22" x14ac:dyDescent="0.25">
      <c r="A15" s="39">
        <f>IF('实盘净值数据(iFinD公式)'!A15="","",'实盘净值数据(iFinD公式)'!A15)</f>
        <v>46206</v>
      </c>
      <c r="B15" s="38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  <v>0.94321899538470466</v>
      </c>
      <c r="C15" s="7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  <v>-7.3887185116313647E-3</v>
      </c>
      <c r="D15" s="7">
        <f>IF(B15="","",B15/MAX(B$5:B15)-1)</f>
        <v>-0.12246282929446495</v>
      </c>
      <c r="E15" s="38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  <v>0.9650764877591137</v>
      </c>
      <c r="F15" s="7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  <v>-7.3555629979286108E-3</v>
      </c>
      <c r="G15" s="7">
        <f>IF(E15="","",E15/MAX(E$5:E15)-1)</f>
        <v>-0.12244782097566653</v>
      </c>
      <c r="H15" s="38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  <v>0.98876258967330444</v>
      </c>
      <c r="I15" s="7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  <v>-3.0145262953558127E-3</v>
      </c>
      <c r="J15" s="7">
        <f>IF(H15="","",H15/MAX(H$5:H15)-1)</f>
        <v>-0.1105904160573119</v>
      </c>
      <c r="K15" s="38">
        <f>IF(OR('实盘净值数据(iFinD公式)'!$A15="",'实盘净值数据(iFinD公式)'!$B15=""),"",分期持仓明细!$AB$9*SUMPRODUCT(分期持仓明细!$B$9:$Y$9,'实盘净值数据(iFinD公式)'!$B15:$Y15/'实盘净值数据(iFinD公式)'!$B$13:$Y$13)*(1-实盘持仓配置!$Z$7)^(('实盘净值数据(iFinD公式)'!$A15-'实盘净值数据(iFinD公式)'!$A$8)/365))</f>
        <v>0.99652454720825456</v>
      </c>
      <c r="L15" s="7">
        <f t="shared" si="0"/>
        <v>1.1604737502870499E-3</v>
      </c>
      <c r="M15" s="7">
        <f>IF(K15="","",K15/MAX(K$5:K15)-1)</f>
        <v>-6.725440823995843E-3</v>
      </c>
      <c r="N15" s="38">
        <f>IF(OR('实盘净值数据(iFinD公式)'!$A15="",'实盘净值数据(iFinD公式)'!$B15=""),"",分期持仓明细!$AB$11*SUMPRODUCT(分期持仓明细!$B$11:$Y$11,'实盘净值数据(iFinD公式)'!$B15:$Y15/'实盘净值数据(iFinD公式)'!$B$13:$Y$13)*(1-实盘持仓配置!$Z$8)^(('实盘净值数据(iFinD公式)'!$A15-'实盘净值数据(iFinD公式)'!$A$5)/365))</f>
        <v>0.9950266275137456</v>
      </c>
      <c r="O15" s="7">
        <f t="shared" si="1"/>
        <v>8.7897091192234988E-4</v>
      </c>
      <c r="P15" s="7">
        <f>IF(N15="","",N15/MAX(N$5:N15)-1)</f>
        <v>-7.6627445248668158E-3</v>
      </c>
      <c r="Q15" s="38">
        <f>IF(OR('实盘净值数据(iFinD公式)'!$A15="",'实盘净值数据(iFinD公式)'!$B15=""),"",分期持仓明细!$AB$13*SUMPRODUCT(分期持仓明细!$B$13:$Y$13,'实盘净值数据(iFinD公式)'!$B15:$Y15/'实盘净值数据(iFinD公式)'!$B$13:$Y$13)*(1-实盘持仓配置!$Z$9)^(('实盘净值数据(iFinD公式)'!$A15-'实盘净值数据(iFinD公式)'!$A$8)/365))</f>
        <v>0.99030293727219698</v>
      </c>
      <c r="R15" s="7">
        <f t="shared" si="2"/>
        <v>2.8159611368421267E-3</v>
      </c>
      <c r="S15" s="7">
        <f>IF(Q15="","",Q15/MAX(Q$5:Q15)-1)</f>
        <v>-1.8298603859006723E-2</v>
      </c>
    </row>
    <row r="16" spans="1:22" x14ac:dyDescent="0.25">
      <c r="A16" s="39">
        <f>IF('实盘净值数据(iFinD公式)'!A16="","",'实盘净值数据(iFinD公式)'!A16)</f>
        <v>46209</v>
      </c>
      <c r="B16" s="38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  <v>0.92459185139429301</v>
      </c>
      <c r="C16" s="7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  <v>-1.9748482676405832E-2</v>
      </c>
      <c r="D16" s="7">
        <f>IF(B16="","",B16/MAX(B$5:B16)-1)</f>
        <v>-0.13979285690804522</v>
      </c>
      <c r="E16" s="38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  <v>0.94597775731161959</v>
      </c>
      <c r="F16" s="7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  <v>-1.9789861932955177E-2</v>
      </c>
      <c r="G16" s="7">
        <f>IF(E16="","",E16/MAX(E$5:E16)-1)</f>
        <v>-0.13981445743752197</v>
      </c>
      <c r="H16" s="38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  <v>0.97195202442112383</v>
      </c>
      <c r="I16" s="7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  <v>-1.7001619425887737E-2</v>
      </c>
      <c r="J16" s="7">
        <f>IF(H16="","",H16/MAX(H$5:H16)-1)</f>
        <v>-0.12571181931724251</v>
      </c>
      <c r="K16" s="38">
        <f>IF(OR('实盘净值数据(iFinD公式)'!$A16="",'实盘净值数据(iFinD公式)'!$B16=""),"",分期持仓明细!$AB$9*SUMPRODUCT(分期持仓明细!$B$9:$Y$9,'实盘净值数据(iFinD公式)'!$B16:$Y16/'实盘净值数据(iFinD公式)'!$B$13:$Y$13)*(1-实盘持仓配置!$Z$7)^(('实盘净值数据(iFinD公式)'!$A16-'实盘净值数据(iFinD公式)'!$A$8)/365))</f>
        <v>0.99573236628105344</v>
      </c>
      <c r="L16" s="7">
        <f t="shared" si="0"/>
        <v>-7.9494371656008145E-4</v>
      </c>
      <c r="M16" s="7">
        <f>IF(K16="","",K16/MAX(K$5:K16)-1)</f>
        <v>-7.5150381936318622E-3</v>
      </c>
      <c r="N16" s="38">
        <f>IF(OR('实盘净值数据(iFinD公式)'!$A16="",'实盘净值数据(iFinD公式)'!$B16=""),"",分期持仓明细!$AB$11*SUMPRODUCT(分期持仓明细!$B$11:$Y$11,'实盘净值数据(iFinD公式)'!$B16:$Y16/'实盘净值数据(iFinD公式)'!$B$13:$Y$13)*(1-实盘持仓配置!$Z$8)^(('实盘净值数据(iFinD公式)'!$A16-'实盘净值数据(iFinD公式)'!$A$5)/365))</f>
        <v>0.99412575303434447</v>
      </c>
      <c r="O16" s="7">
        <f t="shared" si="1"/>
        <v>-9.053772577444219E-4</v>
      </c>
      <c r="P16" s="7">
        <f>IF(N16="","",N16/MAX(N$5:N16)-1)</f>
        <v>-8.5611841079865636E-3</v>
      </c>
      <c r="Q16" s="38">
        <f>IF(OR('实盘净值数据(iFinD公式)'!$A16="",'实盘净值数据(iFinD公式)'!$B16=""),"",分期持仓明细!$AB$13*SUMPRODUCT(分期持仓明细!$B$13:$Y$13,'实盘净值数据(iFinD公式)'!$B16:$Y16/'实盘净值数据(iFinD公式)'!$B$13:$Y$13)*(1-实盘持仓配置!$Z$9)^(('实盘净值数据(iFinD公式)'!$A16-'实盘净值数据(iFinD公式)'!$A$8)/365))</f>
        <v>0.98670140137911011</v>
      </c>
      <c r="R16" s="7">
        <f t="shared" si="2"/>
        <v>-3.636802192071964E-3</v>
      </c>
      <c r="S16" s="7">
        <f>IF(Q16="","",Q16/MAX(Q$5:Q16)-1)</f>
        <v>-2.1868857648452478E-2</v>
      </c>
    </row>
    <row r="17" spans="1:19" x14ac:dyDescent="0.25">
      <c r="A17" s="39">
        <f>IF('实盘净值数据(iFinD公式)'!A17="","",'实盘净值数据(iFinD公式)'!A17)</f>
        <v>46210</v>
      </c>
      <c r="B17" s="38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  <v>0.93094051945631884</v>
      </c>
      <c r="C17" s="7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  <v>6.8664546983105978E-3</v>
      </c>
      <c r="D17" s="7">
        <f>IF(B17="","",B17/MAX(B$5:B17)-1)</f>
        <v>-0.13388628352884135</v>
      </c>
      <c r="E17" s="38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  <v>0.95247542928901296</v>
      </c>
      <c r="F17" s="7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  <v>6.8687365291326685E-3</v>
      </c>
      <c r="G17" s="7">
        <f>IF(E17="","",E17/MAX(E$5:E17)-1)</f>
        <v>-0.13390606957949125</v>
      </c>
      <c r="H17" s="38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  <v>0.97477427077798739</v>
      </c>
      <c r="I17" s="7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  <v>2.903688953726391E-3</v>
      </c>
      <c r="J17" s="7">
        <f>IF(H17="","",H17/MAX(H$5:H17)-1)</f>
        <v>-0.12317315838462051</v>
      </c>
      <c r="K17" s="38">
        <f>IF(OR('实盘净值数据(iFinD公式)'!$A17="",'实盘净值数据(iFinD公式)'!$B17=""),"",分期持仓明细!$AB$9*SUMPRODUCT(分期持仓明细!$B$9:$Y$9,'实盘净值数据(iFinD公式)'!$B17:$Y17/'实盘净值数据(iFinD公式)'!$B$13:$Y$13)*(1-实盘持仓配置!$Z$7)^(('实盘净值数据(iFinD公式)'!$A17-'实盘净值数据(iFinD公式)'!$A$8)/365))</f>
        <v>0.99489593645290364</v>
      </c>
      <c r="L17" s="7">
        <f t="shared" si="0"/>
        <v>-8.4001470322170313E-4</v>
      </c>
      <c r="M17" s="7">
        <f>IF(K17="","",K17/MAX(K$5:K17)-1)</f>
        <v>-8.3487401542755579E-3</v>
      </c>
      <c r="N17" s="38">
        <f>IF(OR('实盘净值数据(iFinD公式)'!$A17="",'实盘净值数据(iFinD公式)'!$B17=""),"",分期持仓明细!$AB$11*SUMPRODUCT(分期持仓明细!$B$11:$Y$11,'实盘净值数据(iFinD公式)'!$B17:$Y17/'实盘净值数据(iFinD公式)'!$B$13:$Y$13)*(1-实盘持仓配置!$Z$8)^(('实盘净值数据(iFinD公式)'!$A17-'实盘净值数据(iFinD公式)'!$A$5)/365))</f>
        <v>0.99350804574205498</v>
      </c>
      <c r="O17" s="7">
        <f t="shared" si="1"/>
        <v>-6.2135729851486854E-4</v>
      </c>
      <c r="P17" s="7">
        <f>IF(N17="","",N17/MAX(N$5:N17)-1)</f>
        <v>-9.1772218522720994E-3</v>
      </c>
      <c r="Q17" s="38">
        <f>IF(OR('实盘净值数据(iFinD公式)'!$A17="",'实盘净值数据(iFinD公式)'!$B17=""),"",分期持仓明细!$AB$13*SUMPRODUCT(分期持仓明细!$B$13:$Y$13,'实盘净值数据(iFinD公式)'!$B17:$Y17/'实盘净值数据(iFinD公式)'!$B$13:$Y$13)*(1-实盘持仓配置!$Z$9)^(('实盘净值数据(iFinD公式)'!$A17-'实盘净值数据(iFinD公式)'!$A$8)/365))</f>
        <v>0.98405318400777231</v>
      </c>
      <c r="R17" s="7">
        <f t="shared" si="2"/>
        <v>-2.6839096079486202E-3</v>
      </c>
      <c r="S17" s="7">
        <f>IF(Q17="","",Q17/MAX(Q$5:Q17)-1)</f>
        <v>-2.4494073219243573E-2</v>
      </c>
    </row>
    <row r="18" spans="1:19" x14ac:dyDescent="0.25">
      <c r="A18" s="39">
        <f>IF('实盘净值数据(iFinD公式)'!A18="","",'实盘净值数据(iFinD公式)'!A18)</f>
        <v>46211</v>
      </c>
      <c r="B18" s="38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  <v>0.93624162720445936</v>
      </c>
      <c r="C18" s="7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  <v>5.6943570908660757E-3</v>
      </c>
      <c r="D18" s="7">
        <f>IF(B18="","",B18/MAX(B$5:B18)-1)</f>
        <v>-0.12895432274595753</v>
      </c>
      <c r="E18" s="38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  <v>0.9578161514912864</v>
      </c>
      <c r="F18" s="7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  <v>5.6072020737165662E-3</v>
      </c>
      <c r="G18" s="7">
        <f>IF(E18="","",E18/MAX(E$5:E18)-1)</f>
        <v>-0.12904970589680409</v>
      </c>
      <c r="H18" s="38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  <v>0.98001297325673131</v>
      </c>
      <c r="I18" s="7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  <v>5.3742724195651181E-3</v>
      </c>
      <c r="J18" s="7">
        <f>IF(H18="","",H18/MAX(H$5:H18)-1)</f>
        <v>-0.11846085207299251</v>
      </c>
      <c r="K18" s="38">
        <f>IF(OR('实盘净值数据(iFinD公式)'!$A18="",'实盘净值数据(iFinD公式)'!$B18=""),"",分期持仓明细!$AB$14*SUMPRODUCT(分期持仓明细!$B$14:$Y$14,'实盘净值数据(iFinD公式)'!$B18:$Y18/'实盘净值数据(iFinD公式)'!$B$17:$Y$17)*(1-实盘持仓配置!$Z$7)^(('实盘净值数据(iFinD公式)'!$A18-'实盘净值数据(iFinD公式)'!$A$8)/365))</f>
        <v>0.99500515243624166</v>
      </c>
      <c r="L18" s="7">
        <f t="shared" si="0"/>
        <v>1.0977628849051513E-4</v>
      </c>
      <c r="M18" s="7">
        <f>IF(K18="","",K18/MAX(K$5:K18)-1)</f>
        <v>-8.2398803594928571E-3</v>
      </c>
      <c r="N18" s="38">
        <f>IF(OR('实盘净值数据(iFinD公式)'!$A18="",'实盘净值数据(iFinD公式)'!$B18=""),"",分期持仓明细!$AB$15*SUMPRODUCT(分期持仓明细!$B$15:$Y$15,'实盘净值数据(iFinD公式)'!$B18:$Y18/'实盘净值数据(iFinD公式)'!$B$17:$Y$17)*(1-实盘持仓配置!$Z$8)^(('实盘净值数据(iFinD公式)'!$A18-'实盘净值数据(iFinD公式)'!$A$5)/365))</f>
        <v>0.99365826895890297</v>
      </c>
      <c r="O18" s="7">
        <f t="shared" si="1"/>
        <v>1.5120483169894783E-4</v>
      </c>
      <c r="P18" s="7">
        <f>IF(N18="","",N18/MAX(N$5:N18)-1)</f>
        <v>-9.0274046608587177E-3</v>
      </c>
      <c r="Q18" s="38">
        <f>IF(OR('实盘净值数据(iFinD公式)'!$A18="",'实盘净值数据(iFinD公式)'!$B18=""),"",分期持仓明细!$AB$16*SUMPRODUCT(分期持仓明细!$B$16:$Y$16,'实盘净值数据(iFinD公式)'!$B18:$Y18/'实盘净值数据(iFinD公式)'!$B$17:$Y$17)*(1-实盘持仓配置!$Z$9)^(('实盘净值数据(iFinD公式)'!$A18-'实盘净值数据(iFinD公式)'!$A$8)/365))</f>
        <v>0.98291598797716384</v>
      </c>
      <c r="R18" s="7">
        <f t="shared" si="2"/>
        <v>-1.1556245628686623E-3</v>
      </c>
      <c r="S18" s="7">
        <f>IF(Q18="","",Q18/MAX(Q$5:Q18)-1)</f>
        <v>-2.5621391829455331E-2</v>
      </c>
    </row>
    <row r="19" spans="1:19" x14ac:dyDescent="0.25">
      <c r="A19" s="39">
        <f>IF('实盘净值数据(iFinD公式)'!A19="","",'实盘净值数据(iFinD公式)'!A19)</f>
        <v>46212</v>
      </c>
      <c r="B19" s="38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  <v>1.000119640739735</v>
      </c>
      <c r="C19" s="7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  <v>6.8228127952406625E-2</v>
      </c>
      <c r="D19" s="7">
        <f>IF(B19="","",B19/MAX(B$5:B19)-1)</f>
        <v>-6.952450682587763E-2</v>
      </c>
      <c r="E19" s="38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  <v>1.0231939223043951</v>
      </c>
      <c r="F19" s="7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  <v>6.8257118770985281E-2</v>
      </c>
      <c r="G19" s="7">
        <f>IF(E19="","",E19/MAX(E$5:E19)-1)</f>
        <v>-6.9601148228577658E-2</v>
      </c>
      <c r="H19" s="38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  <v>1.0473336640835054</v>
      </c>
      <c r="I19" s="7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  <v>6.8693673108282782E-2</v>
      </c>
      <c r="J19" s="7">
        <f>IF(H19="","",H19/MAX(H$5:H19)-1)</f>
        <v>-5.7904690013140581E-2</v>
      </c>
      <c r="K19" s="38">
        <f>IF(OR('实盘净值数据(iFinD公式)'!$A19="",'实盘净值数据(iFinD公式)'!$B19=""),"",分期持仓明细!$AB$14*SUMPRODUCT(分期持仓明细!$B$14:$Y$14,'实盘净值数据(iFinD公式)'!$B19:$Y19/'实盘净值数据(iFinD公式)'!$B$17:$Y$17)*(1-实盘持仓配置!$Z$7)^(('实盘净值数据(iFinD公式)'!$A19-'实盘净值数据(iFinD公式)'!$A$8)/365))</f>
        <v>1.000025197161404</v>
      </c>
      <c r="L19" s="7">
        <f t="shared" si="0"/>
        <v>5.045244954632544E-3</v>
      </c>
      <c r="M19" s="7">
        <f>IF(K19="","",K19/MAX(K$5:K19)-1)</f>
        <v>-3.2362076196708056E-3</v>
      </c>
      <c r="N19" s="38">
        <f>IF(OR('实盘净值数据(iFinD公式)'!$A19="",'实盘净值数据(iFinD公式)'!$B19=""),"",分期持仓明细!$AB$15*SUMPRODUCT(分期持仓明细!$B$15:$Y$15,'实盘净值数据(iFinD公式)'!$B19:$Y19/'实盘净值数据(iFinD公式)'!$B$17:$Y$17)*(1-实盘持仓配置!$Z$8)^(('实盘净值数据(iFinD公式)'!$A19-'实盘净值数据(iFinD公式)'!$A$5)/365))</f>
        <v>0.99875367924501901</v>
      </c>
      <c r="O19" s="7">
        <f t="shared" si="1"/>
        <v>5.1279302404987348E-3</v>
      </c>
      <c r="P19" s="7">
        <f>IF(N19="","",N19/MAX(N$5:N19)-1)</f>
        <v>-3.9457663217136174E-3</v>
      </c>
      <c r="Q19" s="38">
        <f>IF(OR('实盘净值数据(iFinD公式)'!$A19="",'实盘净值数据(iFinD公式)'!$B19=""),"",分期持仓明细!$AB$16*SUMPRODUCT(分期持仓明细!$B$16:$Y$16,'实盘净值数据(iFinD公式)'!$B19:$Y19/'实盘净值数据(iFinD公式)'!$B$17:$Y$17)*(1-实盘持仓配置!$Z$9)^(('实盘净值数据(iFinD公式)'!$A19-'实盘净值数据(iFinD公式)'!$A$8)/365))</f>
        <v>0.99677409001455475</v>
      </c>
      <c r="R19" s="7">
        <f t="shared" si="2"/>
        <v>1.4098968993180083E-2</v>
      </c>
      <c r="S19" s="7">
        <f>IF(Q19="","",Q19/MAX(Q$5:Q19)-1)</f>
        <v>-1.1883658045240941E-2</v>
      </c>
    </row>
    <row r="20" spans="1:19" x14ac:dyDescent="0.25">
      <c r="A20" s="39">
        <f>IF('实盘净值数据(iFinD公式)'!A20="","",'实盘净值数据(iFinD公式)'!A20)</f>
        <v>46213</v>
      </c>
      <c r="B20" s="38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  <v>0.95179417704073732</v>
      </c>
      <c r="C20" s="7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  <v>-4.8319682696416288E-2</v>
      </c>
      <c r="D20" s="7">
        <f>IF(B20="","",B20/MAX(B$5:B20)-1)</f>
        <v>-0.11448478741284263</v>
      </c>
      <c r="E20" s="38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  <v>0.9737422822209042</v>
      </c>
      <c r="F20" s="7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  <v>-4.833066245362172E-2</v>
      </c>
      <c r="G20" s="7">
        <f>IF(E20="","",E20/MAX(E$5:E20)-1)</f>
        <v>-0.1145679410807795</v>
      </c>
      <c r="H20" s="38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  <v>0.99344026231902305</v>
      </c>
      <c r="I20" s="7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  <v>-5.1457719361711729E-2</v>
      </c>
      <c r="J20" s="7">
        <f>IF(H20="","",H20/MAX(H$5:H20)-1)</f>
        <v>-0.10638276608642927</v>
      </c>
      <c r="K20" s="38">
        <f>IF(OR('实盘净值数据(iFinD公式)'!$A20="",'实盘净值数据(iFinD公式)'!$B20=""),"",分期持仓明细!$AB$14*SUMPRODUCT(分期持仓明细!$B$14:$Y$14,'实盘净值数据(iFinD公式)'!$B20:$Y20/'实盘净值数据(iFinD公式)'!$B$17:$Y$17)*(1-实盘持仓配置!$Z$7)^(('实盘净值数据(iFinD公式)'!$A20-'实盘净值数据(iFinD公式)'!$A$8)/365))</f>
        <v>0.99617952117135355</v>
      </c>
      <c r="L20" s="7">
        <f t="shared" si="0"/>
        <v>-3.8455790923733746E-3</v>
      </c>
      <c r="M20" s="7">
        <f>IF(K20="","",K20/MAX(K$5:K20)-1)</f>
        <v>-7.0693416196834225E-3</v>
      </c>
      <c r="N20" s="38">
        <f>IF(OR('实盘净值数据(iFinD公式)'!$A20="",'实盘净值数据(iFinD公式)'!$B20=""),"",分期持仓明细!$AB$15*SUMPRODUCT(分期持仓明细!$B$15:$Y$15,'实盘净值数据(iFinD公式)'!$B20:$Y20/'实盘净值数据(iFinD公式)'!$B$17:$Y$17)*(1-实盘持仓配置!$Z$8)^(('实盘净值数据(iFinD公式)'!$A20-'实盘净值数据(iFinD公式)'!$A$5)/365))</f>
        <v>0.99502796314950503</v>
      </c>
      <c r="O20" s="7">
        <f t="shared" si="1"/>
        <v>-3.7303653272450221E-3</v>
      </c>
      <c r="P20" s="7">
        <f>IF(N20="","",N20/MAX(N$5:N20)-1)</f>
        <v>-7.6614124990825871E-3</v>
      </c>
      <c r="Q20" s="38">
        <f>IF(OR('实盘净值数据(iFinD公式)'!$A20="",'实盘净值数据(iFinD公式)'!$B20=""),"",分期持仓明细!$AB$16*SUMPRODUCT(分期持仓明细!$B$16:$Y$16,'实盘净值数据(iFinD公式)'!$B20:$Y20/'实盘净值数据(iFinD公式)'!$B$17:$Y$17)*(1-实盘持仓配置!$Z$9)^(('实盘净值数据(iFinD公式)'!$A20-'实盘净值数据(iFinD公式)'!$A$8)/365))</f>
        <v>0.98602015725229142</v>
      </c>
      <c r="R20" s="7">
        <f t="shared" si="2"/>
        <v>-1.0788736254276343E-2</v>
      </c>
      <c r="S20" s="7">
        <f>IF(Q20="","",Q20/MAX(Q$5:Q20)-1)</f>
        <v>-2.2544184647131149E-2</v>
      </c>
    </row>
    <row r="21" spans="1:19" x14ac:dyDescent="0.25">
      <c r="A21" s="39">
        <f>IF('实盘净值数据(iFinD公式)'!A21="","",'实盘净值数据(iFinD公式)'!A21)</f>
        <v>46216</v>
      </c>
      <c r="B21" s="38">
        <f>IF(OR('实盘净值数据(iFinD公式)'!$A21="",'实盘净值数据(iFinD公式)'!$B21=""),"",分期持仓明细!$AB$17*SUMPRODUCT(分期持仓明细!$B$17:$Y$17,'实盘净值数据(iFinD公式)'!$B21:$Y21/'实盘净值数据(iFinD公式)'!$B$20:$Y$20)*(1-实盘持仓配置!$Z$4)^(('实盘净值数据(iFinD公式)'!$A21-'实盘净值数据(iFinD公式)'!$A$6)/365))</f>
        <v>0.91697362913212865</v>
      </c>
      <c r="C21" s="7">
        <f t="shared" ref="C21:C59" si="3">IF(OR(B20="",B21=""),"",B21/B20-1)</f>
        <v>-3.6584115293571862E-2</v>
      </c>
      <c r="D21" s="7">
        <f>IF(B21="","",B21/MAX(B$5:B21)-1)</f>
        <v>-0.14688057804434296</v>
      </c>
      <c r="E21" s="38">
        <f>IF(OR('实盘净值数据(iFinD公式)'!$A21="",'实盘净值数据(iFinD公式)'!$B21=""),"",分期持仓明细!$AB$18*SUMPRODUCT(分期持仓明细!$B$18:$Y$18,'实盘净值数据(iFinD公式)'!$B21:$Y21/'实盘净值数据(iFinD公式)'!$B$20:$Y$20)*(1-实盘持仓配置!$Z$5)^(('实盘净值数据(iFinD公式)'!$A21-'实盘净值数据(iFinD公式)'!$A$5)/365))</f>
        <v>0.93808139669337909</v>
      </c>
      <c r="F21" s="7">
        <f t="shared" ref="F21:F59" si="4">IF(OR(E20="",E21=""),"",E21/E20-1)</f>
        <v>-3.6622509034105022E-2</v>
      </c>
      <c r="G21" s="7">
        <f>IF(E21="","",E21/MAX(E$5:E21)-1)</f>
        <v>-0.14699468465763488</v>
      </c>
      <c r="H21" s="38">
        <f>IF(OR('实盘净值数据(iFinD公式)'!$A21="",'实盘净值数据(iFinD公式)'!$B21=""),"",分期持仓明细!$AB$19*SUMPRODUCT(分期持仓明细!$B$19:$Y$19,'实盘净值数据(iFinD公式)'!$B21:$Y21/'实盘净值数据(iFinD公式)'!$B$20:$Y$20)*(1-实盘持仓配置!$Z$6)^(('实盘净值数据(iFinD公式)'!$A21-'实盘净值数据(iFinD公式)'!$A$7)/365))</f>
        <v>0.95546551536216062</v>
      </c>
      <c r="I21" s="7">
        <f t="shared" ref="I21:I59" si="5">IF(OR(H20="",H21=""),"",H21/H20-1)</f>
        <v>-3.8225496184558283E-2</v>
      </c>
      <c r="J21" s="7">
        <f>IF(H21="","",H21/MAX(H$5:H21)-1)</f>
        <v>-0.14054172825184807</v>
      </c>
      <c r="K21" s="38">
        <f>IF(OR('实盘净值数据(iFinD公式)'!$A21="",'实盘净值数据(iFinD公式)'!$B21=""),"",分期持仓明细!$AB$14*SUMPRODUCT(分期持仓明细!$B$14:$Y$14,'实盘净值数据(iFinD公式)'!$B21:$Y21/'实盘净值数据(iFinD公式)'!$B$17:$Y$17)*(1-实盘持仓配置!$Z$7)^(('实盘净值数据(iFinD公式)'!$A21-'实盘净值数据(iFinD公式)'!$A$8)/365))</f>
        <v>0.99091999764701333</v>
      </c>
      <c r="L21" s="7">
        <f t="shared" si="0"/>
        <v>-5.279694485343156E-3</v>
      </c>
      <c r="M21" s="7">
        <f>IF(K21="","",K21/MAX(K$5:K21)-1)</f>
        <v>-1.2311712141062081E-2</v>
      </c>
      <c r="N21" s="38">
        <f>IF(OR('实盘净值数据(iFinD公式)'!$A21="",'实盘净值数据(iFinD公式)'!$B21=""),"",分期持仓明细!$AB$15*SUMPRODUCT(分期持仓明细!$B$15:$Y$15,'实盘净值数据(iFinD公式)'!$B21:$Y21/'实盘净值数据(iFinD公式)'!$B$17:$Y$17)*(1-实盘持仓配置!$Z$8)^(('实盘净值数据(iFinD公式)'!$A21-'实盘净值数据(iFinD公式)'!$A$5)/365))</f>
        <v>0.98984401811572476</v>
      </c>
      <c r="O21" s="7">
        <f t="shared" si="1"/>
        <v>-5.2098485929700233E-3</v>
      </c>
      <c r="P21" s="7">
        <f>IF(N21="","",N21/MAX(N$5:N21)-1)</f>
        <v>-1.2831346292924151E-2</v>
      </c>
      <c r="Q21" s="38">
        <f>IF(OR('实盘净值数据(iFinD公式)'!$A21="",'实盘净值数据(iFinD公式)'!$B21=""),"",分期持仓明细!$AB$16*SUMPRODUCT(分期持仓明细!$B$16:$Y$16,'实盘净值数据(iFinD公式)'!$B21:$Y21/'实盘净值数据(iFinD公式)'!$B$17:$Y$17)*(1-实盘持仓配置!$Z$9)^(('实盘净值数据(iFinD公式)'!$A21-'实盘净值数据(iFinD公式)'!$A$8)/365))</f>
        <v>0.97202141801703856</v>
      </c>
      <c r="R21" s="7">
        <f t="shared" si="2"/>
        <v>-1.4197214055200136E-2</v>
      </c>
      <c r="S21" s="7">
        <f>IF(Q21="","",Q21/MAX(Q$5:Q21)-1)</f>
        <v>-3.6421334087196056E-2</v>
      </c>
    </row>
    <row r="22" spans="1:19" x14ac:dyDescent="0.25">
      <c r="A22" s="39">
        <f>IF('实盘净值数据(iFinD公式)'!A22="","",'实盘净值数据(iFinD公式)'!A22)</f>
        <v>46217</v>
      </c>
      <c r="B22" s="38">
        <f>IF(OR('实盘净值数据(iFinD公式)'!$A22="",'实盘净值数据(iFinD公式)'!$B22=""),"",分期持仓明细!$AB$17*SUMPRODUCT(分期持仓明细!$B$17:$Y$17,'实盘净值数据(iFinD公式)'!$B22:$Y22/'实盘净值数据(iFinD公式)'!$B$20:$Y$20)*(1-实盘持仓配置!$Z$4)^(('实盘净值数据(iFinD公式)'!$A22-'实盘净值数据(iFinD公式)'!$A$6)/365))</f>
        <v>0.94637062365446589</v>
      </c>
      <c r="C22" s="7">
        <f t="shared" si="3"/>
        <v>3.205871312805364E-2</v>
      </c>
      <c r="D22" s="7">
        <f>IF(B22="","",B22/MAX(B$5:B22)-1)</f>
        <v>-0.11953066723189554</v>
      </c>
      <c r="E22" s="38">
        <f>IF(OR('实盘净值数据(iFinD公式)'!$A22="",'实盘净值数据(iFinD公式)'!$B22=""),"",分期持仓明细!$AB$18*SUMPRODUCT(分期持仓明细!$B$18:$Y$18,'实盘净值数据(iFinD公式)'!$B22:$Y22/'实盘净值数据(iFinD公式)'!$B$20:$Y$20)*(1-实盘持仓配置!$Z$5)^(('实盘净值数据(iFinD公式)'!$A22-'实盘净值数据(iFinD公式)'!$A$5)/365))</f>
        <v>0.96830009922126792</v>
      </c>
      <c r="F22" s="7">
        <f t="shared" si="4"/>
        <v>3.2213305406552095E-2</v>
      </c>
      <c r="G22" s="7">
        <f>IF(E22="","",E22/MAX(E$5:E22)-1)</f>
        <v>-0.11951656392109888</v>
      </c>
      <c r="H22" s="38">
        <f>IF(OR('实盘净值数据(iFinD公式)'!$A22="",'实盘净值数据(iFinD公式)'!$B22=""),"",分期持仓明细!$AB$19*SUMPRODUCT(分期持仓明细!$B$19:$Y$19,'实盘净值数据(iFinD公式)'!$B22:$Y22/'实盘净值数据(iFinD公式)'!$B$20:$Y$20)*(1-实盘持仓配置!$Z$6)^(('实盘净值数据(iFinD公式)'!$A22-'实盘净值数据(iFinD公式)'!$A$7)/365))</f>
        <v>0.98122069665460165</v>
      </c>
      <c r="I22" s="7">
        <f t="shared" si="5"/>
        <v>2.6955636680072947E-2</v>
      </c>
      <c r="J22" s="7">
        <f>IF(H22="","",H22/MAX(H$5:H22)-1)</f>
        <v>-0.11737448333692146</v>
      </c>
      <c r="K22" s="38">
        <f>IF(OR('实盘净值数据(iFinD公式)'!$A22="",'实盘净值数据(iFinD公式)'!$B22=""),"",分期持仓明细!$AB$14*SUMPRODUCT(分期持仓明细!$B$14:$Y$14,'实盘净值数据(iFinD公式)'!$B22:$Y22/'实盘净值数据(iFinD公式)'!$B$17:$Y$17)*(1-实盘持仓配置!$Z$7)^(('实盘净值数据(iFinD公式)'!$A22-'实盘净值数据(iFinD公式)'!$A$8)/365))</f>
        <v>0.99334753088251959</v>
      </c>
      <c r="L22" s="7">
        <f t="shared" si="0"/>
        <v>2.4497772184137734E-3</v>
      </c>
      <c r="M22" s="7">
        <f>IF(K22="","",K22/MAX(K$5:K22)-1)</f>
        <v>-9.8920958745711829E-3</v>
      </c>
      <c r="N22" s="38">
        <f>IF(OR('实盘净值数据(iFinD公式)'!$A22="",'实盘净值数据(iFinD公式)'!$B22=""),"",分期持仓明细!$AB$15*SUMPRODUCT(分期持仓明细!$B$15:$Y$15,'实盘净值数据(iFinD公式)'!$B22:$Y22/'实盘净值数据(iFinD公式)'!$B$17:$Y$17)*(1-实盘持仓配置!$Z$8)^(('实盘净值数据(iFinD公式)'!$A22-'实盘净值数据(iFinD公式)'!$A$5)/365))</f>
        <v>0.99259572537929142</v>
      </c>
      <c r="O22" s="7">
        <f t="shared" si="1"/>
        <v>2.7799402867583201E-3</v>
      </c>
      <c r="P22" s="7">
        <f>IF(N22="","",N22/MAX(N$5:N22)-1)</f>
        <v>-1.0087076382658822E-2</v>
      </c>
      <c r="Q22" s="38">
        <f>IF(OR('实盘净值数据(iFinD公式)'!$A22="",'实盘净值数据(iFinD公式)'!$B22=""),"",分期持仓明细!$AB$16*SUMPRODUCT(分期持仓明细!$B$16:$Y$16,'实盘净值数据(iFinD公式)'!$B22:$Y22/'实盘净值数据(iFinD公式)'!$B$17:$Y$17)*(1-实盘持仓配置!$Z$9)^(('实盘净值数据(iFinD公式)'!$A22-'实盘净值数据(iFinD公式)'!$A$8)/365))</f>
        <v>0.97923592239467805</v>
      </c>
      <c r="R22" s="7">
        <f t="shared" si="2"/>
        <v>7.4221660592184158E-3</v>
      </c>
      <c r="S22" s="7">
        <f>IF(Q22="","",Q22/MAX(Q$5:Q22)-1)</f>
        <v>-2.9269493217670917E-2</v>
      </c>
    </row>
    <row r="23" spans="1:19" x14ac:dyDescent="0.25">
      <c r="A23" s="39">
        <f>IF('实盘净值数据(iFinD公式)'!A23="","",'实盘净值数据(iFinD公式)'!A23)</f>
        <v>46218</v>
      </c>
      <c r="B23" s="38">
        <f>IF(OR('实盘净值数据(iFinD公式)'!$A23="",'实盘净值数据(iFinD公式)'!$B23=""),"",分期持仓明细!$AB$17*SUMPRODUCT(分期持仓明细!$B$17:$Y$17,'实盘净值数据(iFinD公式)'!$B23:$Y23/'实盘净值数据(iFinD公式)'!$B$20:$Y$20)*(1-实盘持仓配置!$Z$4)^(('实盘净值数据(iFinD公式)'!$A23-'实盘净值数据(iFinD公式)'!$A$6)/365))</f>
        <v>0.91699688948477875</v>
      </c>
      <c r="C23" s="7">
        <f t="shared" si="3"/>
        <v>-3.103829877586306E-2</v>
      </c>
      <c r="D23" s="7">
        <f>IF(B23="","",B23/MAX(B$5:B23)-1)</f>
        <v>-0.14685893744533673</v>
      </c>
      <c r="E23" s="38">
        <f>IF(OR('实盘净值数据(iFinD公式)'!$A23="",'实盘净值数据(iFinD公式)'!$B23=""),"",分期持仓明细!$AB$18*SUMPRODUCT(分期持仓明细!$B$18:$Y$18,'实盘净值数据(iFinD公式)'!$B23:$Y23/'实盘净值数据(iFinD公式)'!$B$20:$Y$20)*(1-实盘持仓配置!$Z$5)^(('实盘净值数据(iFinD公式)'!$A23-'实盘净值数据(iFinD公式)'!$A$5)/365))</f>
        <v>0.93822864166205755</v>
      </c>
      <c r="F23" s="7">
        <f t="shared" si="4"/>
        <v>-3.1055927375608694E-2</v>
      </c>
      <c r="G23" s="7">
        <f>IF(E23="","",E23/MAX(E$5:E23)-1)</f>
        <v>-0.14686079356739168</v>
      </c>
      <c r="H23" s="38">
        <f>IF(OR('实盘净值数据(iFinD公式)'!$A23="",'实盘净值数据(iFinD公式)'!$B23=""),"",分期持仓明细!$AB$19*SUMPRODUCT(分期持仓明细!$B$19:$Y$19,'实盘净值数据(iFinD公式)'!$B23:$Y23/'实盘净值数据(iFinD公式)'!$B$20:$Y$20)*(1-实盘持仓配置!$Z$6)^(('实盘净值数据(iFinD公式)'!$A23-'实盘净值数据(iFinD公式)'!$A$7)/365))</f>
        <v>0.94548087050169838</v>
      </c>
      <c r="I23" s="7">
        <f t="shared" si="5"/>
        <v>-3.6423840502708082E-2</v>
      </c>
      <c r="J23" s="7">
        <f>IF(H23="","",H23/MAX(H$5:H23)-1)</f>
        <v>-0.14952309437947775</v>
      </c>
      <c r="K23" s="38">
        <f>IF(OR('实盘净值数据(iFinD公式)'!$A23="",'实盘净值数据(iFinD公式)'!$B23=""),"",分期持仓明细!$AB$14*SUMPRODUCT(分期持仓明细!$B$14:$Y$14,'实盘净值数据(iFinD公式)'!$B23:$Y23/'实盘净值数据(iFinD公式)'!$B$17:$Y$17)*(1-实盘持仓配置!$Z$7)^(('实盘净值数据(iFinD公式)'!$A23-'实盘净值数据(iFinD公式)'!$A$8)/365))</f>
        <v>0.9907172819897293</v>
      </c>
      <c r="L23" s="7">
        <f t="shared" si="0"/>
        <v>-2.6478637244444769E-3</v>
      </c>
      <c r="M23" s="7">
        <f>IF(K23="","",K23/MAX(K$5:K23)-1)</f>
        <v>-1.2513766677190619E-2</v>
      </c>
      <c r="N23" s="38">
        <f>IF(OR('实盘净值数据(iFinD公式)'!$A23="",'实盘净值数据(iFinD公式)'!$B23=""),"",分期持仓明细!$AB$15*SUMPRODUCT(分期持仓明细!$B$15:$Y$15,'实盘净值数据(iFinD公式)'!$B23:$Y23/'实盘净值数据(iFinD公式)'!$B$17:$Y$17)*(1-实盘持仓配置!$Z$8)^(('实盘净值数据(iFinD公式)'!$A23-'实盘净值数据(iFinD公式)'!$A$5)/365))</f>
        <v>0.99020099872472955</v>
      </c>
      <c r="O23" s="7">
        <f t="shared" si="1"/>
        <v>-2.4125901344645984E-3</v>
      </c>
      <c r="P23" s="7">
        <f>IF(N23="","",N23/MAX(N$5:N23)-1)</f>
        <v>-1.2475330536157125E-2</v>
      </c>
      <c r="Q23" s="38">
        <f>IF(OR('实盘净值数据(iFinD公式)'!$A23="",'实盘净值数据(iFinD公式)'!$B23=""),"",分期持仓明细!$AB$16*SUMPRODUCT(分期持仓明细!$B$16:$Y$16,'实盘净值数据(iFinD公式)'!$B23:$Y23/'实盘净值数据(iFinD公式)'!$B$17:$Y$17)*(1-实盘持仓配置!$Z$9)^(('实盘净值数据(iFinD公式)'!$A23-'实盘净值数据(iFinD公式)'!$A$8)/365))</f>
        <v>0.97194176165457147</v>
      </c>
      <c r="R23" s="7">
        <f t="shared" si="2"/>
        <v>-7.4488287993653701E-3</v>
      </c>
      <c r="S23" s="7">
        <f>IF(Q23="","",Q23/MAX(Q$5:Q23)-1)</f>
        <v>-3.6500298573013734E-2</v>
      </c>
    </row>
    <row r="24" spans="1:19" x14ac:dyDescent="0.25">
      <c r="A24" s="39">
        <f>IF('实盘净值数据(iFinD公式)'!A24="","",'实盘净值数据(iFinD公式)'!A24)</f>
        <v>46219</v>
      </c>
      <c r="B24" s="38">
        <f>IF(OR('实盘净值数据(iFinD公式)'!$A24="",'实盘净值数据(iFinD公式)'!$B24=""),"",分期持仓明细!$AB$17*SUMPRODUCT(分期持仓明细!$B$17:$Y$17,'实盘净值数据(iFinD公式)'!$B24:$Y24/'实盘净值数据(iFinD公式)'!$B$20:$Y$20)*(1-实盘持仓配置!$Z$4)^(('实盘净值数据(iFinD公式)'!$A24-'实盘净值数据(iFinD公式)'!$A$6)/365))</f>
        <v>0.91695891997264201</v>
      </c>
      <c r="C24" s="7">
        <f t="shared" si="3"/>
        <v>-4.1406369609475746E-5</v>
      </c>
      <c r="D24" s="7">
        <f>IF(B24="","",B24/MAX(B$5:B24)-1)</f>
        <v>-0.14689426291950181</v>
      </c>
      <c r="E24" s="38">
        <f>IF(OR('实盘净值数据(iFinD公式)'!$A24="",'实盘净值数据(iFinD公式)'!$B24=""),"",分期持仓明细!$AB$18*SUMPRODUCT(分期持仓明细!$B$18:$Y$18,'实盘净值数据(iFinD公式)'!$B24:$Y24/'实盘净值数据(iFinD公式)'!$B$20:$Y$20)*(1-实盘持仓配置!$Z$5)^(('实盘净值数据(iFinD公式)'!$A24-'实盘净值数据(iFinD公式)'!$A$5)/365))</f>
        <v>0.93819760973281374</v>
      </c>
      <c r="F24" s="7">
        <f t="shared" si="4"/>
        <v>-3.3075018034844916E-5</v>
      </c>
      <c r="G24" s="7">
        <f>IF(E24="","",E24/MAX(E$5:E24)-1)</f>
        <v>-0.14688901116203068</v>
      </c>
      <c r="H24" s="38">
        <f>IF(OR('实盘净值数据(iFinD公式)'!$A24="",'实盘净值数据(iFinD公式)'!$B24=""),"",分期持仓明细!$AB$19*SUMPRODUCT(分期持仓明细!$B$19:$Y$19,'实盘净值数据(iFinD公式)'!$B24:$Y24/'实盘净值数据(iFinD公式)'!$B$20:$Y$20)*(1-实盘持仓配置!$Z$6)^(('实盘净值数据(iFinD公式)'!$A24-'实盘净值数据(iFinD公式)'!$A$7)/365))</f>
        <v>0.94544172157131579</v>
      </c>
      <c r="I24" s="7">
        <f t="shared" si="5"/>
        <v>-4.1406369609364724E-5</v>
      </c>
      <c r="J24" s="7">
        <f>IF(H24="","",H24/MAX(H$5:H24)-1)</f>
        <v>-0.14955830954057614</v>
      </c>
      <c r="K24" s="38">
        <f>IF(OR('实盘净值数据(iFinD公式)'!$A24="",'实盘净值数据(iFinD公式)'!$B24=""),"",分期持仓明细!$AB$14*SUMPRODUCT(分期持仓明细!$B$14:$Y$14,'实盘净值数据(iFinD公式)'!$B24:$Y24/'实盘净值数据(iFinD公式)'!$B$17:$Y$17)*(1-实盘持仓配置!$Z$7)^(('实盘净值数据(iFinD公式)'!$A24-'实盘净值数据(iFinD公式)'!$A$8)/365))</f>
        <v>0.9906954805547824</v>
      </c>
      <c r="L24" s="7">
        <f t="shared" si="0"/>
        <v>-2.2005707726369117E-5</v>
      </c>
      <c r="M24" s="7">
        <f>IF(K24="","",K24/MAX(K$5:K24)-1)</f>
        <v>-1.2535497010624952E-2</v>
      </c>
      <c r="N24" s="38">
        <f>IF(OR('实盘净值数据(iFinD公式)'!$A24="",'实盘净值数据(iFinD公式)'!$B24=""),"",分期持仓明细!$AB$15*SUMPRODUCT(分期持仓明细!$B$15:$Y$15,'实盘净值数据(iFinD公式)'!$B24:$Y24/'实盘净值数据(iFinD公式)'!$B$17:$Y$17)*(1-实盘持仓配置!$Z$8)^(('实盘净值数据(iFinD公式)'!$A24-'实盘净值数据(iFinD公式)'!$A$5)/365))</f>
        <v>0.9901874003964044</v>
      </c>
      <c r="O24" s="7">
        <f t="shared" si="1"/>
        <v>-1.3732897000351407E-5</v>
      </c>
      <c r="P24" s="7">
        <f>IF(N24="","",N24/MAX(N$5:N24)-1)</f>
        <v>-1.2488892110728234E-2</v>
      </c>
      <c r="Q24" s="38">
        <f>IF(OR('实盘净值数据(iFinD公式)'!$A24="",'实盘净值数据(iFinD公式)'!$B24=""),"",分期持仓明细!$AB$16*SUMPRODUCT(分期持仓明细!$B$16:$Y$16,'实盘净值数据(iFinD公式)'!$B24:$Y24/'实盘净值数据(iFinD公式)'!$B$17:$Y$17)*(1-实盘持仓配置!$Z$9)^(('实盘净值数据(iFinD公式)'!$A24-'实盘净值数据(iFinD公式)'!$A$8)/365))</f>
        <v>0.97190961466327586</v>
      </c>
      <c r="R24" s="7">
        <f t="shared" si="2"/>
        <v>-3.3075018034955939E-5</v>
      </c>
      <c r="S24" s="7">
        <f>IF(Q24="","",Q24/MAX(Q$5:Q24)-1)</f>
        <v>-3.6532166343015038E-2</v>
      </c>
    </row>
    <row r="25" spans="1:19" x14ac:dyDescent="0.25">
      <c r="A25" s="39">
        <f>IF('实盘净值数据(iFinD公式)'!A25="","",'实盘净值数据(iFinD公式)'!A25)</f>
        <v>46220</v>
      </c>
      <c r="B25" s="38">
        <f>IF(OR('实盘净值数据(iFinD公式)'!$A25="",'实盘净值数据(iFinD公式)'!$B25=""),"",分期持仓明细!$AB$17*SUMPRODUCT(分期持仓明细!$B$17:$Y$17,'实盘净值数据(iFinD公式)'!$B25:$Y25/'实盘净值数据(iFinD公式)'!$B$20:$Y$20)*(1-实盘持仓配置!$Z$4)^(('实盘净值数据(iFinD公式)'!$A25-'实盘净值数据(iFinD公式)'!$A$6)/365))</f>
        <v>0.87555938246245213</v>
      </c>
      <c r="C25" s="7">
        <f t="shared" si="3"/>
        <v>-4.5148737428090113E-2</v>
      </c>
      <c r="D25" s="7">
        <f>IF(B25="","",B25/MAX(B$5:B25)-1)</f>
        <v>-0.18541090984134656</v>
      </c>
      <c r="E25" s="38">
        <f>IF(OR('实盘净值数据(iFinD公式)'!$A25="",'实盘净值数据(iFinD公式)'!$B25=""),"",分期持仓明细!$AB$18*SUMPRODUCT(分期持仓明细!$B$18:$Y$18,'实盘净值数据(iFinD公式)'!$B25:$Y25/'实盘净值数据(iFinD公式)'!$B$20:$Y$20)*(1-实盘持仓配置!$Z$5)^(('实盘净值数据(iFinD公式)'!$A25-'实盘净值数据(iFinD公式)'!$A$5)/365))</f>
        <v>0.89584501922588966</v>
      </c>
      <c r="F25" s="7">
        <f t="shared" si="4"/>
        <v>-4.5142505232970587E-2</v>
      </c>
      <c r="G25" s="7">
        <f>IF(E25="","",E25/MAX(E$5:E25)-1)</f>
        <v>-0.18540057843995339</v>
      </c>
      <c r="H25" s="38">
        <f>IF(OR('实盘净值数据(iFinD公式)'!$A25="",'实盘净值数据(iFinD公式)'!$B25=""),"",分期持仓明细!$AB$19*SUMPRODUCT(分期持仓明细!$B$19:$Y$19,'实盘净值数据(iFinD公式)'!$B25:$Y25/'实盘净值数据(iFinD公式)'!$B$20:$Y$20)*(1-实盘持仓配置!$Z$6)^(('实盘净值数据(iFinD公式)'!$A25-'实盘净值数据(iFinD公式)'!$A$7)/365))</f>
        <v>0.90356876443032785</v>
      </c>
      <c r="I25" s="7">
        <f t="shared" si="5"/>
        <v>-4.4289305396207235E-2</v>
      </c>
      <c r="J25" s="7">
        <f>IF(H25="","",H25/MAX(H$5:H25)-1)</f>
        <v>-0.18722378129100026</v>
      </c>
      <c r="K25" s="38">
        <f>IF(OR('实盘净值数据(iFinD公式)'!$A25="",'实盘净值数据(iFinD公式)'!$B25=""),"",分期持仓明细!$AB$14*SUMPRODUCT(分期持仓明细!$B$14:$Y$14,'实盘净值数据(iFinD公式)'!$B25:$Y25/'实盘净值数据(iFinD公式)'!$B$17:$Y$17)*(1-实盘持仓配置!$Z$7)^(('实盘净值数据(iFinD公式)'!$A25-'实盘净值数据(iFinD公式)'!$A$8)/365))</f>
        <v>0.98674015692893524</v>
      </c>
      <c r="L25" s="7">
        <f t="shared" si="0"/>
        <v>-3.9924716560049145E-3</v>
      </c>
      <c r="M25" s="7">
        <f>IF(K25="","",K25/MAX(K$5:K25)-1)</f>
        <v>-1.6477921050121025E-2</v>
      </c>
      <c r="N25" s="38">
        <f>IF(OR('实盘净值数据(iFinD公式)'!$A25="",'实盘净值数据(iFinD公式)'!$B25=""),"",分期持仓明细!$AB$15*SUMPRODUCT(分期持仓明细!$B$15:$Y$15,'实盘净值数据(iFinD公式)'!$B25:$Y25/'实盘净值数据(iFinD公式)'!$B$17:$Y$17)*(1-实盘持仓配置!$Z$8)^(('实盘净值数据(iFinD公式)'!$A25-'实盘净值数据(iFinD公式)'!$A$5)/365))</f>
        <v>0.98610407756917207</v>
      </c>
      <c r="O25" s="7">
        <f t="shared" si="1"/>
        <v>-4.1237879068120042E-3</v>
      </c>
      <c r="P25" s="7">
        <f>IF(N25="","",N25/MAX(N$5:N25)-1)</f>
        <v>-1.6561178475284488E-2</v>
      </c>
      <c r="Q25" s="38">
        <f>IF(OR('实盘净值数据(iFinD公式)'!$A25="",'实盘净值数据(iFinD公式)'!$B25=""),"",分期持仓明细!$AB$16*SUMPRODUCT(分期持仓明细!$B$16:$Y$16,'实盘净值数据(iFinD公式)'!$B25:$Y25/'实盘净值数据(iFinD公式)'!$B$17:$Y$17)*(1-实盘持仓配置!$Z$9)^(('实盘净值数据(iFinD公式)'!$A25-'实盘净值数据(iFinD公式)'!$A$8)/365))</f>
        <v>0.96149451581437761</v>
      </c>
      <c r="R25" s="7">
        <f t="shared" si="2"/>
        <v>-1.0716118754012571E-2</v>
      </c>
      <c r="S25" s="7">
        <f>IF(Q25="","",Q25/MAX(Q$5:Q25)-1)</f>
        <v>-4.6856802064154546E-2</v>
      </c>
    </row>
    <row r="26" spans="1:19" x14ac:dyDescent="0.25">
      <c r="A26" s="39" t="str">
        <f>IF('实盘净值数据(iFinD公式)'!A26="","",'实盘净值数据(iFinD公式)'!A26)</f>
        <v/>
      </c>
      <c r="B26" s="38" t="str">
        <f>IF(OR('实盘净值数据(iFinD公式)'!$A26="",'实盘净值数据(iFinD公式)'!$B26=""),"",分期持仓明细!$AB$17*SUMPRODUCT(分期持仓明细!$B$17:$Y$17,'实盘净值数据(iFinD公式)'!$B26:$Y26/'实盘净值数据(iFinD公式)'!$B$20:$Y$20)*(1-实盘持仓配置!$Z$4)^(('实盘净值数据(iFinD公式)'!$A26-'实盘净值数据(iFinD公式)'!$A$6)/365))</f>
        <v/>
      </c>
      <c r="C26" s="7" t="str">
        <f t="shared" si="3"/>
        <v/>
      </c>
      <c r="D26" s="7" t="str">
        <f>IF(B26="","",B26/MAX(B$5:B26)-1)</f>
        <v/>
      </c>
      <c r="E26" s="38" t="str">
        <f>IF(OR('实盘净值数据(iFinD公式)'!$A26="",'实盘净值数据(iFinD公式)'!$B26=""),"",分期持仓明细!$AB$18*SUMPRODUCT(分期持仓明细!$B$18:$Y$18,'实盘净值数据(iFinD公式)'!$B26:$Y26/'实盘净值数据(iFinD公式)'!$B$20:$Y$20)*(1-实盘持仓配置!$Z$5)^(('实盘净值数据(iFinD公式)'!$A26-'实盘净值数据(iFinD公式)'!$A$5)/365))</f>
        <v/>
      </c>
      <c r="F26" s="7" t="str">
        <f t="shared" si="4"/>
        <v/>
      </c>
      <c r="G26" s="7" t="str">
        <f>IF(E26="","",E26/MAX(E$5:E26)-1)</f>
        <v/>
      </c>
      <c r="H26" s="38" t="str">
        <f>IF(OR('实盘净值数据(iFinD公式)'!$A26="",'实盘净值数据(iFinD公式)'!$B26=""),"",分期持仓明细!$AB$19*SUMPRODUCT(分期持仓明细!$B$19:$Y$19,'实盘净值数据(iFinD公式)'!$B26:$Y26/'实盘净值数据(iFinD公式)'!$B$20:$Y$20)*(1-实盘持仓配置!$Z$6)^(('实盘净值数据(iFinD公式)'!$A26-'实盘净值数据(iFinD公式)'!$A$7)/365))</f>
        <v/>
      </c>
      <c r="I26" s="7" t="str">
        <f t="shared" si="5"/>
        <v/>
      </c>
      <c r="J26" s="7" t="str">
        <f>IF(H26="","",H26/MAX(H$5:H26)-1)</f>
        <v/>
      </c>
      <c r="K26" s="38" t="str">
        <f>IF(OR('实盘净值数据(iFinD公式)'!$A26="",'实盘净值数据(iFinD公式)'!$B26=""),"",分期持仓明细!$AB$14*SUMPRODUCT(分期持仓明细!$B$14:$Y$14,'实盘净值数据(iFinD公式)'!$B26:$Y26/'实盘净值数据(iFinD公式)'!$B$17:$Y$17)*(1-实盘持仓配置!$Z$7)^(('实盘净值数据(iFinD公式)'!$A26-'实盘净值数据(iFinD公式)'!$A$8)/365))</f>
        <v/>
      </c>
      <c r="L26" s="7" t="str">
        <f t="shared" si="0"/>
        <v/>
      </c>
      <c r="M26" s="7" t="str">
        <f>IF(K26="","",K26/MAX(K$5:K26)-1)</f>
        <v/>
      </c>
      <c r="N26" s="38" t="str">
        <f>IF(OR('实盘净值数据(iFinD公式)'!$A26="",'实盘净值数据(iFinD公式)'!$B26=""),"",分期持仓明细!$AB$15*SUMPRODUCT(分期持仓明细!$B$15:$Y$15,'实盘净值数据(iFinD公式)'!$B26:$Y26/'实盘净值数据(iFinD公式)'!$B$17:$Y$17)*(1-实盘持仓配置!$Z$8)^(('实盘净值数据(iFinD公式)'!$A26-'实盘净值数据(iFinD公式)'!$A$5)/365))</f>
        <v/>
      </c>
      <c r="O26" s="7" t="str">
        <f t="shared" si="1"/>
        <v/>
      </c>
      <c r="P26" s="7" t="str">
        <f>IF(N26="","",N26/MAX(N$5:N26)-1)</f>
        <v/>
      </c>
      <c r="Q26" s="38" t="str">
        <f>IF(OR('实盘净值数据(iFinD公式)'!$A26="",'实盘净值数据(iFinD公式)'!$B26=""),"",分期持仓明细!$AB$16*SUMPRODUCT(分期持仓明细!$B$16:$Y$16,'实盘净值数据(iFinD公式)'!$B26:$Y26/'实盘净值数据(iFinD公式)'!$B$17:$Y$17)*(1-实盘持仓配置!$Z$9)^(('实盘净值数据(iFinD公式)'!$A26-'实盘净值数据(iFinD公式)'!$A$8)/365))</f>
        <v/>
      </c>
      <c r="R26" s="7" t="str">
        <f t="shared" si="2"/>
        <v/>
      </c>
      <c r="S26" s="7" t="str">
        <f>IF(Q26="","",Q26/MAX(Q$5:Q26)-1)</f>
        <v/>
      </c>
    </row>
    <row r="27" spans="1:19" x14ac:dyDescent="0.25">
      <c r="A27" s="39" t="str">
        <f>IF('实盘净值数据(iFinD公式)'!A27="","",'实盘净值数据(iFinD公式)'!A27)</f>
        <v/>
      </c>
      <c r="B27" s="38" t="str">
        <f>IF(OR('实盘净值数据(iFinD公式)'!$A27="",'实盘净值数据(iFinD公式)'!$B27=""),"",分期持仓明细!$AB$17*SUMPRODUCT(分期持仓明细!$B$17:$Y$17,'实盘净值数据(iFinD公式)'!$B27:$Y27/'实盘净值数据(iFinD公式)'!$B$20:$Y$20)*(1-实盘持仓配置!$Z$4)^(('实盘净值数据(iFinD公式)'!$A27-'实盘净值数据(iFinD公式)'!$A$6)/365))</f>
        <v/>
      </c>
      <c r="C27" s="7" t="str">
        <f t="shared" si="3"/>
        <v/>
      </c>
      <c r="D27" s="7" t="str">
        <f>IF(B27="","",B27/MAX(B$5:B27)-1)</f>
        <v/>
      </c>
      <c r="E27" s="38" t="str">
        <f>IF(OR('实盘净值数据(iFinD公式)'!$A27="",'实盘净值数据(iFinD公式)'!$B27=""),"",分期持仓明细!$AB$18*SUMPRODUCT(分期持仓明细!$B$18:$Y$18,'实盘净值数据(iFinD公式)'!$B27:$Y27/'实盘净值数据(iFinD公式)'!$B$20:$Y$20)*(1-实盘持仓配置!$Z$5)^(('实盘净值数据(iFinD公式)'!$A27-'实盘净值数据(iFinD公式)'!$A$5)/365))</f>
        <v/>
      </c>
      <c r="F27" s="7" t="str">
        <f t="shared" si="4"/>
        <v/>
      </c>
      <c r="G27" s="7" t="str">
        <f>IF(E27="","",E27/MAX(E$5:E27)-1)</f>
        <v/>
      </c>
      <c r="H27" s="38" t="str">
        <f>IF(OR('实盘净值数据(iFinD公式)'!$A27="",'实盘净值数据(iFinD公式)'!$B27=""),"",分期持仓明细!$AB$19*SUMPRODUCT(分期持仓明细!$B$19:$Y$19,'实盘净值数据(iFinD公式)'!$B27:$Y27/'实盘净值数据(iFinD公式)'!$B$20:$Y$20)*(1-实盘持仓配置!$Z$6)^(('实盘净值数据(iFinD公式)'!$A27-'实盘净值数据(iFinD公式)'!$A$7)/365))</f>
        <v/>
      </c>
      <c r="I27" s="7" t="str">
        <f t="shared" si="5"/>
        <v/>
      </c>
      <c r="J27" s="7" t="str">
        <f>IF(H27="","",H27/MAX(H$5:H27)-1)</f>
        <v/>
      </c>
      <c r="K27" s="38" t="str">
        <f>IF(OR('实盘净值数据(iFinD公式)'!$A27="",'实盘净值数据(iFinD公式)'!$B27=""),"",分期持仓明细!$AB$14*SUMPRODUCT(分期持仓明细!$B$14:$Y$14,'实盘净值数据(iFinD公式)'!$B27:$Y27/'实盘净值数据(iFinD公式)'!$B$17:$Y$17)*(1-实盘持仓配置!$Z$7)^(('实盘净值数据(iFinD公式)'!$A27-'实盘净值数据(iFinD公式)'!$A$8)/365))</f>
        <v/>
      </c>
      <c r="L27" s="7" t="str">
        <f t="shared" si="0"/>
        <v/>
      </c>
      <c r="M27" s="7" t="str">
        <f>IF(K27="","",K27/MAX(K$5:K27)-1)</f>
        <v/>
      </c>
      <c r="N27" s="38" t="str">
        <f>IF(OR('实盘净值数据(iFinD公式)'!$A27="",'实盘净值数据(iFinD公式)'!$B27=""),"",分期持仓明细!$AB$15*SUMPRODUCT(分期持仓明细!$B$15:$Y$15,'实盘净值数据(iFinD公式)'!$B27:$Y27/'实盘净值数据(iFinD公式)'!$B$17:$Y$17)*(1-实盘持仓配置!$Z$8)^(('实盘净值数据(iFinD公式)'!$A27-'实盘净值数据(iFinD公式)'!$A$5)/365))</f>
        <v/>
      </c>
      <c r="O27" s="7" t="str">
        <f t="shared" si="1"/>
        <v/>
      </c>
      <c r="P27" s="7" t="str">
        <f>IF(N27="","",N27/MAX(N$5:N27)-1)</f>
        <v/>
      </c>
      <c r="Q27" s="38" t="str">
        <f>IF(OR('实盘净值数据(iFinD公式)'!$A27="",'实盘净值数据(iFinD公式)'!$B27=""),"",分期持仓明细!$AB$16*SUMPRODUCT(分期持仓明细!$B$16:$Y$16,'实盘净值数据(iFinD公式)'!$B27:$Y27/'实盘净值数据(iFinD公式)'!$B$17:$Y$17)*(1-实盘持仓配置!$Z$9)^(('实盘净值数据(iFinD公式)'!$A27-'实盘净值数据(iFinD公式)'!$A$8)/365))</f>
        <v/>
      </c>
      <c r="R27" s="7" t="str">
        <f t="shared" si="2"/>
        <v/>
      </c>
      <c r="S27" s="7" t="str">
        <f>IF(Q27="","",Q27/MAX(Q$5:Q27)-1)</f>
        <v/>
      </c>
    </row>
    <row r="28" spans="1:19" x14ac:dyDescent="0.25">
      <c r="A28" s="39" t="str">
        <f>IF('实盘净值数据(iFinD公式)'!A28="","",'实盘净值数据(iFinD公式)'!A28)</f>
        <v/>
      </c>
      <c r="B28" s="38" t="str">
        <f>IF(OR('实盘净值数据(iFinD公式)'!$A28="",'实盘净值数据(iFinD公式)'!$B28=""),"",分期持仓明细!$AB$17*SUMPRODUCT(分期持仓明细!$B$17:$Y$17,'实盘净值数据(iFinD公式)'!$B28:$Y28/'实盘净值数据(iFinD公式)'!$B$20:$Y$20)*(1-实盘持仓配置!$Z$4)^(('实盘净值数据(iFinD公式)'!$A28-'实盘净值数据(iFinD公式)'!$A$6)/365))</f>
        <v/>
      </c>
      <c r="C28" s="7" t="str">
        <f t="shared" si="3"/>
        <v/>
      </c>
      <c r="D28" s="7" t="str">
        <f>IF(B28="","",B28/MAX(B$5:B28)-1)</f>
        <v/>
      </c>
      <c r="E28" s="38" t="str">
        <f>IF(OR('实盘净值数据(iFinD公式)'!$A28="",'实盘净值数据(iFinD公式)'!$B28=""),"",分期持仓明细!$AB$18*SUMPRODUCT(分期持仓明细!$B$18:$Y$18,'实盘净值数据(iFinD公式)'!$B28:$Y28/'实盘净值数据(iFinD公式)'!$B$20:$Y$20)*(1-实盘持仓配置!$Z$5)^(('实盘净值数据(iFinD公式)'!$A28-'实盘净值数据(iFinD公式)'!$A$5)/365))</f>
        <v/>
      </c>
      <c r="F28" s="7" t="str">
        <f t="shared" si="4"/>
        <v/>
      </c>
      <c r="G28" s="7" t="str">
        <f>IF(E28="","",E28/MAX(E$5:E28)-1)</f>
        <v/>
      </c>
      <c r="H28" s="38" t="str">
        <f>IF(OR('实盘净值数据(iFinD公式)'!$A28="",'实盘净值数据(iFinD公式)'!$B28=""),"",分期持仓明细!$AB$19*SUMPRODUCT(分期持仓明细!$B$19:$Y$19,'实盘净值数据(iFinD公式)'!$B28:$Y28/'实盘净值数据(iFinD公式)'!$B$20:$Y$20)*(1-实盘持仓配置!$Z$6)^(('实盘净值数据(iFinD公式)'!$A28-'实盘净值数据(iFinD公式)'!$A$7)/365))</f>
        <v/>
      </c>
      <c r="I28" s="7" t="str">
        <f t="shared" si="5"/>
        <v/>
      </c>
      <c r="J28" s="7" t="str">
        <f>IF(H28="","",H28/MAX(H$5:H28)-1)</f>
        <v/>
      </c>
      <c r="K28" s="38" t="str">
        <f>IF(OR('实盘净值数据(iFinD公式)'!$A28="",'实盘净值数据(iFinD公式)'!$B28=""),"",分期持仓明细!$AB$14*SUMPRODUCT(分期持仓明细!$B$14:$Y$14,'实盘净值数据(iFinD公式)'!$B28:$Y28/'实盘净值数据(iFinD公式)'!$B$17:$Y$17)*(1-实盘持仓配置!$Z$7)^(('实盘净值数据(iFinD公式)'!$A28-'实盘净值数据(iFinD公式)'!$A$8)/365))</f>
        <v/>
      </c>
      <c r="L28" s="7" t="str">
        <f t="shared" si="0"/>
        <v/>
      </c>
      <c r="M28" s="7" t="str">
        <f>IF(K28="","",K28/MAX(K$5:K28)-1)</f>
        <v/>
      </c>
      <c r="N28" s="38" t="str">
        <f>IF(OR('实盘净值数据(iFinD公式)'!$A28="",'实盘净值数据(iFinD公式)'!$B28=""),"",分期持仓明细!$AB$15*SUMPRODUCT(分期持仓明细!$B$15:$Y$15,'实盘净值数据(iFinD公式)'!$B28:$Y28/'实盘净值数据(iFinD公式)'!$B$17:$Y$17)*(1-实盘持仓配置!$Z$8)^(('实盘净值数据(iFinD公式)'!$A28-'实盘净值数据(iFinD公式)'!$A$5)/365))</f>
        <v/>
      </c>
      <c r="O28" s="7" t="str">
        <f t="shared" si="1"/>
        <v/>
      </c>
      <c r="P28" s="7" t="str">
        <f>IF(N28="","",N28/MAX(N$5:N28)-1)</f>
        <v/>
      </c>
      <c r="Q28" s="38" t="str">
        <f>IF(OR('实盘净值数据(iFinD公式)'!$A28="",'实盘净值数据(iFinD公式)'!$B28=""),"",分期持仓明细!$AB$16*SUMPRODUCT(分期持仓明细!$B$16:$Y$16,'实盘净值数据(iFinD公式)'!$B28:$Y28/'实盘净值数据(iFinD公式)'!$B$17:$Y$17)*(1-实盘持仓配置!$Z$9)^(('实盘净值数据(iFinD公式)'!$A28-'实盘净值数据(iFinD公式)'!$A$8)/365))</f>
        <v/>
      </c>
      <c r="R28" s="7" t="str">
        <f t="shared" si="2"/>
        <v/>
      </c>
      <c r="S28" s="7" t="str">
        <f>IF(Q28="","",Q28/MAX(Q$5:Q28)-1)</f>
        <v/>
      </c>
    </row>
    <row r="29" spans="1:19" x14ac:dyDescent="0.25">
      <c r="A29" s="39" t="str">
        <f>IF('实盘净值数据(iFinD公式)'!A29="","",'实盘净值数据(iFinD公式)'!A29)</f>
        <v/>
      </c>
      <c r="B29" s="38" t="str">
        <f>IF(OR('实盘净值数据(iFinD公式)'!$A29="",'实盘净值数据(iFinD公式)'!$B29=""),"",分期持仓明细!$AB$17*SUMPRODUCT(分期持仓明细!$B$17:$Y$17,'实盘净值数据(iFinD公式)'!$B29:$Y29/'实盘净值数据(iFinD公式)'!$B$20:$Y$20)*(1-实盘持仓配置!$Z$4)^(('实盘净值数据(iFinD公式)'!$A29-'实盘净值数据(iFinD公式)'!$A$6)/365))</f>
        <v/>
      </c>
      <c r="C29" s="7" t="str">
        <f t="shared" si="3"/>
        <v/>
      </c>
      <c r="D29" s="7" t="str">
        <f>IF(B29="","",B29/MAX(B$5:B29)-1)</f>
        <v/>
      </c>
      <c r="E29" s="38" t="str">
        <f>IF(OR('实盘净值数据(iFinD公式)'!$A29="",'实盘净值数据(iFinD公式)'!$B29=""),"",分期持仓明细!$AB$18*SUMPRODUCT(分期持仓明细!$B$18:$Y$18,'实盘净值数据(iFinD公式)'!$B29:$Y29/'实盘净值数据(iFinD公式)'!$B$20:$Y$20)*(1-实盘持仓配置!$Z$5)^(('实盘净值数据(iFinD公式)'!$A29-'实盘净值数据(iFinD公式)'!$A$5)/365))</f>
        <v/>
      </c>
      <c r="F29" s="7" t="str">
        <f t="shared" si="4"/>
        <v/>
      </c>
      <c r="G29" s="7" t="str">
        <f>IF(E29="","",E29/MAX(E$5:E29)-1)</f>
        <v/>
      </c>
      <c r="H29" s="38" t="str">
        <f>IF(OR('实盘净值数据(iFinD公式)'!$A29="",'实盘净值数据(iFinD公式)'!$B29=""),"",分期持仓明细!$AB$19*SUMPRODUCT(分期持仓明细!$B$19:$Y$19,'实盘净值数据(iFinD公式)'!$B29:$Y29/'实盘净值数据(iFinD公式)'!$B$20:$Y$20)*(1-实盘持仓配置!$Z$6)^(('实盘净值数据(iFinD公式)'!$A29-'实盘净值数据(iFinD公式)'!$A$7)/365))</f>
        <v/>
      </c>
      <c r="I29" s="7" t="str">
        <f t="shared" si="5"/>
        <v/>
      </c>
      <c r="J29" s="7" t="str">
        <f>IF(H29="","",H29/MAX(H$5:H29)-1)</f>
        <v/>
      </c>
      <c r="K29" s="38" t="str">
        <f>IF(OR('实盘净值数据(iFinD公式)'!$A29="",'实盘净值数据(iFinD公式)'!$B29=""),"",分期持仓明细!$AB$14*SUMPRODUCT(分期持仓明细!$B$14:$Y$14,'实盘净值数据(iFinD公式)'!$B29:$Y29/'实盘净值数据(iFinD公式)'!$B$17:$Y$17)*(1-实盘持仓配置!$Z$7)^(('实盘净值数据(iFinD公式)'!$A29-'实盘净值数据(iFinD公式)'!$A$8)/365))</f>
        <v/>
      </c>
      <c r="L29" s="7" t="str">
        <f t="shared" si="0"/>
        <v/>
      </c>
      <c r="M29" s="7" t="str">
        <f>IF(K29="","",K29/MAX(K$5:K29)-1)</f>
        <v/>
      </c>
      <c r="N29" s="38" t="str">
        <f>IF(OR('实盘净值数据(iFinD公式)'!$A29="",'实盘净值数据(iFinD公式)'!$B29=""),"",分期持仓明细!$AB$15*SUMPRODUCT(分期持仓明细!$B$15:$Y$15,'实盘净值数据(iFinD公式)'!$B29:$Y29/'实盘净值数据(iFinD公式)'!$B$17:$Y$17)*(1-实盘持仓配置!$Z$8)^(('实盘净值数据(iFinD公式)'!$A29-'实盘净值数据(iFinD公式)'!$A$5)/365))</f>
        <v/>
      </c>
      <c r="O29" s="7" t="str">
        <f t="shared" si="1"/>
        <v/>
      </c>
      <c r="P29" s="7" t="str">
        <f>IF(N29="","",N29/MAX(N$5:N29)-1)</f>
        <v/>
      </c>
      <c r="Q29" s="38" t="str">
        <f>IF(OR('实盘净值数据(iFinD公式)'!$A29="",'实盘净值数据(iFinD公式)'!$B29=""),"",分期持仓明细!$AB$16*SUMPRODUCT(分期持仓明细!$B$16:$Y$16,'实盘净值数据(iFinD公式)'!$B29:$Y29/'实盘净值数据(iFinD公式)'!$B$17:$Y$17)*(1-实盘持仓配置!$Z$9)^(('实盘净值数据(iFinD公式)'!$A29-'实盘净值数据(iFinD公式)'!$A$8)/365))</f>
        <v/>
      </c>
      <c r="R29" s="7" t="str">
        <f t="shared" si="2"/>
        <v/>
      </c>
      <c r="S29" s="7" t="str">
        <f>IF(Q29="","",Q29/MAX(Q$5:Q29)-1)</f>
        <v/>
      </c>
    </row>
    <row r="30" spans="1:19" x14ac:dyDescent="0.25">
      <c r="A30" s="39" t="str">
        <f>IF('实盘净值数据(iFinD公式)'!A30="","",'实盘净值数据(iFinD公式)'!A30)</f>
        <v/>
      </c>
      <c r="B30" s="38" t="str">
        <f>IF(OR('实盘净值数据(iFinD公式)'!$A30="",'实盘净值数据(iFinD公式)'!$B30=""),"",分期持仓明细!$AB$17*SUMPRODUCT(分期持仓明细!$B$17:$Y$17,'实盘净值数据(iFinD公式)'!$B30:$Y30/'实盘净值数据(iFinD公式)'!$B$20:$Y$20)*(1-实盘持仓配置!$Z$4)^(('实盘净值数据(iFinD公式)'!$A30-'实盘净值数据(iFinD公式)'!$A$6)/365))</f>
        <v/>
      </c>
      <c r="C30" s="7" t="str">
        <f t="shared" si="3"/>
        <v/>
      </c>
      <c r="D30" s="7" t="str">
        <f>IF(B30="","",B30/MAX(B$5:B30)-1)</f>
        <v/>
      </c>
      <c r="E30" s="38" t="str">
        <f>IF(OR('实盘净值数据(iFinD公式)'!$A30="",'实盘净值数据(iFinD公式)'!$B30=""),"",分期持仓明细!$AB$18*SUMPRODUCT(分期持仓明细!$B$18:$Y$18,'实盘净值数据(iFinD公式)'!$B30:$Y30/'实盘净值数据(iFinD公式)'!$B$20:$Y$20)*(1-实盘持仓配置!$Z$5)^(('实盘净值数据(iFinD公式)'!$A30-'实盘净值数据(iFinD公式)'!$A$5)/365))</f>
        <v/>
      </c>
      <c r="F30" s="7" t="str">
        <f t="shared" si="4"/>
        <v/>
      </c>
      <c r="G30" s="7" t="str">
        <f>IF(E30="","",E30/MAX(E$5:E30)-1)</f>
        <v/>
      </c>
      <c r="H30" s="38" t="str">
        <f>IF(OR('实盘净值数据(iFinD公式)'!$A30="",'实盘净值数据(iFinD公式)'!$B30=""),"",分期持仓明细!$AB$19*SUMPRODUCT(分期持仓明细!$B$19:$Y$19,'实盘净值数据(iFinD公式)'!$B30:$Y30/'实盘净值数据(iFinD公式)'!$B$20:$Y$20)*(1-实盘持仓配置!$Z$6)^(('实盘净值数据(iFinD公式)'!$A30-'实盘净值数据(iFinD公式)'!$A$7)/365))</f>
        <v/>
      </c>
      <c r="I30" s="7" t="str">
        <f t="shared" si="5"/>
        <v/>
      </c>
      <c r="J30" s="7" t="str">
        <f>IF(H30="","",H30/MAX(H$5:H30)-1)</f>
        <v/>
      </c>
      <c r="K30" s="38" t="str">
        <f>IF(OR('实盘净值数据(iFinD公式)'!$A30="",'实盘净值数据(iFinD公式)'!$B30=""),"",分期持仓明细!$AB$14*SUMPRODUCT(分期持仓明细!$B$14:$Y$14,'实盘净值数据(iFinD公式)'!$B30:$Y30/'实盘净值数据(iFinD公式)'!$B$17:$Y$17)*(1-实盘持仓配置!$Z$7)^(('实盘净值数据(iFinD公式)'!$A30-'实盘净值数据(iFinD公式)'!$A$8)/365))</f>
        <v/>
      </c>
      <c r="L30" s="7" t="str">
        <f t="shared" si="0"/>
        <v/>
      </c>
      <c r="M30" s="7" t="str">
        <f>IF(K30="","",K30/MAX(K$5:K30)-1)</f>
        <v/>
      </c>
      <c r="N30" s="38" t="str">
        <f>IF(OR('实盘净值数据(iFinD公式)'!$A30="",'实盘净值数据(iFinD公式)'!$B30=""),"",分期持仓明细!$AB$15*SUMPRODUCT(分期持仓明细!$B$15:$Y$15,'实盘净值数据(iFinD公式)'!$B30:$Y30/'实盘净值数据(iFinD公式)'!$B$17:$Y$17)*(1-实盘持仓配置!$Z$8)^(('实盘净值数据(iFinD公式)'!$A30-'实盘净值数据(iFinD公式)'!$A$5)/365))</f>
        <v/>
      </c>
      <c r="O30" s="7" t="str">
        <f t="shared" si="1"/>
        <v/>
      </c>
      <c r="P30" s="7" t="str">
        <f>IF(N30="","",N30/MAX(N$5:N30)-1)</f>
        <v/>
      </c>
      <c r="Q30" s="38" t="str">
        <f>IF(OR('实盘净值数据(iFinD公式)'!$A30="",'实盘净值数据(iFinD公式)'!$B30=""),"",分期持仓明细!$AB$16*SUMPRODUCT(分期持仓明细!$B$16:$Y$16,'实盘净值数据(iFinD公式)'!$B30:$Y30/'实盘净值数据(iFinD公式)'!$B$17:$Y$17)*(1-实盘持仓配置!$Z$9)^(('实盘净值数据(iFinD公式)'!$A30-'实盘净值数据(iFinD公式)'!$A$8)/365))</f>
        <v/>
      </c>
      <c r="R30" s="7" t="str">
        <f t="shared" si="2"/>
        <v/>
      </c>
      <c r="S30" s="7" t="str">
        <f>IF(Q30="","",Q30/MAX(Q$5:Q30)-1)</f>
        <v/>
      </c>
    </row>
    <row r="31" spans="1:19" x14ac:dyDescent="0.25">
      <c r="A31" s="39" t="str">
        <f>IF('实盘净值数据(iFinD公式)'!A31="","",'实盘净值数据(iFinD公式)'!A31)</f>
        <v/>
      </c>
      <c r="B31" s="38" t="str">
        <f>IF(OR('实盘净值数据(iFinD公式)'!$A31="",'实盘净值数据(iFinD公式)'!$B31=""),"",分期持仓明细!$AB$17*SUMPRODUCT(分期持仓明细!$B$17:$Y$17,'实盘净值数据(iFinD公式)'!$B31:$Y31/'实盘净值数据(iFinD公式)'!$B$20:$Y$20)*(1-实盘持仓配置!$Z$4)^(('实盘净值数据(iFinD公式)'!$A31-'实盘净值数据(iFinD公式)'!$A$6)/365))</f>
        <v/>
      </c>
      <c r="C31" s="7" t="str">
        <f t="shared" si="3"/>
        <v/>
      </c>
      <c r="D31" s="7" t="str">
        <f>IF(B31="","",B31/MAX(B$5:B31)-1)</f>
        <v/>
      </c>
      <c r="E31" s="38" t="str">
        <f>IF(OR('实盘净值数据(iFinD公式)'!$A31="",'实盘净值数据(iFinD公式)'!$B31=""),"",分期持仓明细!$AB$18*SUMPRODUCT(分期持仓明细!$B$18:$Y$18,'实盘净值数据(iFinD公式)'!$B31:$Y31/'实盘净值数据(iFinD公式)'!$B$20:$Y$20)*(1-实盘持仓配置!$Z$5)^(('实盘净值数据(iFinD公式)'!$A31-'实盘净值数据(iFinD公式)'!$A$5)/365))</f>
        <v/>
      </c>
      <c r="F31" s="7" t="str">
        <f t="shared" si="4"/>
        <v/>
      </c>
      <c r="G31" s="7" t="str">
        <f>IF(E31="","",E31/MAX(E$5:E31)-1)</f>
        <v/>
      </c>
      <c r="H31" s="38" t="str">
        <f>IF(OR('实盘净值数据(iFinD公式)'!$A31="",'实盘净值数据(iFinD公式)'!$B31=""),"",分期持仓明细!$AB$19*SUMPRODUCT(分期持仓明细!$B$19:$Y$19,'实盘净值数据(iFinD公式)'!$B31:$Y31/'实盘净值数据(iFinD公式)'!$B$20:$Y$20)*(1-实盘持仓配置!$Z$6)^(('实盘净值数据(iFinD公式)'!$A31-'实盘净值数据(iFinD公式)'!$A$7)/365))</f>
        <v/>
      </c>
      <c r="I31" s="7" t="str">
        <f t="shared" si="5"/>
        <v/>
      </c>
      <c r="J31" s="7" t="str">
        <f>IF(H31="","",H31/MAX(H$5:H31)-1)</f>
        <v/>
      </c>
      <c r="K31" s="38" t="str">
        <f>IF(OR('实盘净值数据(iFinD公式)'!$A31="",'实盘净值数据(iFinD公式)'!$B31=""),"",分期持仓明细!$AB$14*SUMPRODUCT(分期持仓明细!$B$14:$Y$14,'实盘净值数据(iFinD公式)'!$B31:$Y31/'实盘净值数据(iFinD公式)'!$B$17:$Y$17)*(1-实盘持仓配置!$Z$7)^(('实盘净值数据(iFinD公式)'!$A31-'实盘净值数据(iFinD公式)'!$A$8)/365))</f>
        <v/>
      </c>
      <c r="L31" s="7" t="str">
        <f t="shared" si="0"/>
        <v/>
      </c>
      <c r="M31" s="7" t="str">
        <f>IF(K31="","",K31/MAX(K$5:K31)-1)</f>
        <v/>
      </c>
      <c r="N31" s="38" t="str">
        <f>IF(OR('实盘净值数据(iFinD公式)'!$A31="",'实盘净值数据(iFinD公式)'!$B31=""),"",分期持仓明细!$AB$15*SUMPRODUCT(分期持仓明细!$B$15:$Y$15,'实盘净值数据(iFinD公式)'!$B31:$Y31/'实盘净值数据(iFinD公式)'!$B$17:$Y$17)*(1-实盘持仓配置!$Z$8)^(('实盘净值数据(iFinD公式)'!$A31-'实盘净值数据(iFinD公式)'!$A$5)/365))</f>
        <v/>
      </c>
      <c r="O31" s="7" t="str">
        <f t="shared" si="1"/>
        <v/>
      </c>
      <c r="P31" s="7" t="str">
        <f>IF(N31="","",N31/MAX(N$5:N31)-1)</f>
        <v/>
      </c>
      <c r="Q31" s="38" t="str">
        <f>IF(OR('实盘净值数据(iFinD公式)'!$A31="",'实盘净值数据(iFinD公式)'!$B31=""),"",分期持仓明细!$AB$16*SUMPRODUCT(分期持仓明细!$B$16:$Y$16,'实盘净值数据(iFinD公式)'!$B31:$Y31/'实盘净值数据(iFinD公式)'!$B$17:$Y$17)*(1-实盘持仓配置!$Z$9)^(('实盘净值数据(iFinD公式)'!$A31-'实盘净值数据(iFinD公式)'!$A$8)/365))</f>
        <v/>
      </c>
      <c r="R31" s="7" t="str">
        <f t="shared" si="2"/>
        <v/>
      </c>
      <c r="S31" s="7" t="str">
        <f>IF(Q31="","",Q31/MAX(Q$5:Q31)-1)</f>
        <v/>
      </c>
    </row>
    <row r="32" spans="1:19" x14ac:dyDescent="0.25">
      <c r="A32" s="39" t="str">
        <f>IF('实盘净值数据(iFinD公式)'!A32="","",'实盘净值数据(iFinD公式)'!A32)</f>
        <v/>
      </c>
      <c r="B32" s="38" t="str">
        <f>IF(OR('实盘净值数据(iFinD公式)'!$A32="",'实盘净值数据(iFinD公式)'!$B32=""),"",分期持仓明细!$AB$17*SUMPRODUCT(分期持仓明细!$B$17:$Y$17,'实盘净值数据(iFinD公式)'!$B32:$Y32/'实盘净值数据(iFinD公式)'!$B$20:$Y$20)*(1-实盘持仓配置!$Z$4)^(('实盘净值数据(iFinD公式)'!$A32-'实盘净值数据(iFinD公式)'!$A$6)/365))</f>
        <v/>
      </c>
      <c r="C32" s="7" t="str">
        <f t="shared" si="3"/>
        <v/>
      </c>
      <c r="D32" s="7" t="str">
        <f>IF(B32="","",B32/MAX(B$5:B32)-1)</f>
        <v/>
      </c>
      <c r="E32" s="38" t="str">
        <f>IF(OR('实盘净值数据(iFinD公式)'!$A32="",'实盘净值数据(iFinD公式)'!$B32=""),"",分期持仓明细!$AB$18*SUMPRODUCT(分期持仓明细!$B$18:$Y$18,'实盘净值数据(iFinD公式)'!$B32:$Y32/'实盘净值数据(iFinD公式)'!$B$20:$Y$20)*(1-实盘持仓配置!$Z$5)^(('实盘净值数据(iFinD公式)'!$A32-'实盘净值数据(iFinD公式)'!$A$5)/365))</f>
        <v/>
      </c>
      <c r="F32" s="7" t="str">
        <f t="shared" si="4"/>
        <v/>
      </c>
      <c r="G32" s="7" t="str">
        <f>IF(E32="","",E32/MAX(E$5:E32)-1)</f>
        <v/>
      </c>
      <c r="H32" s="38" t="str">
        <f>IF(OR('实盘净值数据(iFinD公式)'!$A32="",'实盘净值数据(iFinD公式)'!$B32=""),"",分期持仓明细!$AB$19*SUMPRODUCT(分期持仓明细!$B$19:$Y$19,'实盘净值数据(iFinD公式)'!$B32:$Y32/'实盘净值数据(iFinD公式)'!$B$20:$Y$20)*(1-实盘持仓配置!$Z$6)^(('实盘净值数据(iFinD公式)'!$A32-'实盘净值数据(iFinD公式)'!$A$7)/365))</f>
        <v/>
      </c>
      <c r="I32" s="7" t="str">
        <f t="shared" si="5"/>
        <v/>
      </c>
      <c r="J32" s="7" t="str">
        <f>IF(H32="","",H32/MAX(H$5:H32)-1)</f>
        <v/>
      </c>
      <c r="K32" s="38" t="str">
        <f>IF(OR('实盘净值数据(iFinD公式)'!$A32="",'实盘净值数据(iFinD公式)'!$B32=""),"",分期持仓明细!$AB$14*SUMPRODUCT(分期持仓明细!$B$14:$Y$14,'实盘净值数据(iFinD公式)'!$B32:$Y32/'实盘净值数据(iFinD公式)'!$B$17:$Y$17)*(1-实盘持仓配置!$Z$7)^(('实盘净值数据(iFinD公式)'!$A32-'实盘净值数据(iFinD公式)'!$A$8)/365))</f>
        <v/>
      </c>
      <c r="L32" s="7" t="str">
        <f t="shared" si="0"/>
        <v/>
      </c>
      <c r="M32" s="7" t="str">
        <f>IF(K32="","",K32/MAX(K$5:K32)-1)</f>
        <v/>
      </c>
      <c r="N32" s="38" t="str">
        <f>IF(OR('实盘净值数据(iFinD公式)'!$A32="",'实盘净值数据(iFinD公式)'!$B32=""),"",分期持仓明细!$AB$15*SUMPRODUCT(分期持仓明细!$B$15:$Y$15,'实盘净值数据(iFinD公式)'!$B32:$Y32/'实盘净值数据(iFinD公式)'!$B$17:$Y$17)*(1-实盘持仓配置!$Z$8)^(('实盘净值数据(iFinD公式)'!$A32-'实盘净值数据(iFinD公式)'!$A$5)/365))</f>
        <v/>
      </c>
      <c r="O32" s="7" t="str">
        <f t="shared" si="1"/>
        <v/>
      </c>
      <c r="P32" s="7" t="str">
        <f>IF(N32="","",N32/MAX(N$5:N32)-1)</f>
        <v/>
      </c>
      <c r="Q32" s="38" t="str">
        <f>IF(OR('实盘净值数据(iFinD公式)'!$A32="",'实盘净值数据(iFinD公式)'!$B32=""),"",分期持仓明细!$AB$16*SUMPRODUCT(分期持仓明细!$B$16:$Y$16,'实盘净值数据(iFinD公式)'!$B32:$Y32/'实盘净值数据(iFinD公式)'!$B$17:$Y$17)*(1-实盘持仓配置!$Z$9)^(('实盘净值数据(iFinD公式)'!$A32-'实盘净值数据(iFinD公式)'!$A$8)/365))</f>
        <v/>
      </c>
      <c r="R32" s="7" t="str">
        <f t="shared" si="2"/>
        <v/>
      </c>
      <c r="S32" s="7" t="str">
        <f>IF(Q32="","",Q32/MAX(Q$5:Q32)-1)</f>
        <v/>
      </c>
    </row>
    <row r="33" spans="1:19" x14ac:dyDescent="0.25">
      <c r="A33" s="39" t="str">
        <f>IF('实盘净值数据(iFinD公式)'!A33="","",'实盘净值数据(iFinD公式)'!A33)</f>
        <v/>
      </c>
      <c r="B33" s="38" t="str">
        <f>IF(OR('实盘净值数据(iFinD公式)'!$A33="",'实盘净值数据(iFinD公式)'!$B33=""),"",分期持仓明细!$AB$17*SUMPRODUCT(分期持仓明细!$B$17:$Y$17,'实盘净值数据(iFinD公式)'!$B33:$Y33/'实盘净值数据(iFinD公式)'!$B$20:$Y$20)*(1-实盘持仓配置!$Z$4)^(('实盘净值数据(iFinD公式)'!$A33-'实盘净值数据(iFinD公式)'!$A$6)/365))</f>
        <v/>
      </c>
      <c r="C33" s="7" t="str">
        <f t="shared" si="3"/>
        <v/>
      </c>
      <c r="D33" s="7" t="str">
        <f>IF(B33="","",B33/MAX(B$5:B33)-1)</f>
        <v/>
      </c>
      <c r="E33" s="38" t="str">
        <f>IF(OR('实盘净值数据(iFinD公式)'!$A33="",'实盘净值数据(iFinD公式)'!$B33=""),"",分期持仓明细!$AB$18*SUMPRODUCT(分期持仓明细!$B$18:$Y$18,'实盘净值数据(iFinD公式)'!$B33:$Y33/'实盘净值数据(iFinD公式)'!$B$20:$Y$20)*(1-实盘持仓配置!$Z$5)^(('实盘净值数据(iFinD公式)'!$A33-'实盘净值数据(iFinD公式)'!$A$5)/365))</f>
        <v/>
      </c>
      <c r="F33" s="7" t="str">
        <f t="shared" si="4"/>
        <v/>
      </c>
      <c r="G33" s="7" t="str">
        <f>IF(E33="","",E33/MAX(E$5:E33)-1)</f>
        <v/>
      </c>
      <c r="H33" s="38" t="str">
        <f>IF(OR('实盘净值数据(iFinD公式)'!$A33="",'实盘净值数据(iFinD公式)'!$B33=""),"",分期持仓明细!$AB$19*SUMPRODUCT(分期持仓明细!$B$19:$Y$19,'实盘净值数据(iFinD公式)'!$B33:$Y33/'实盘净值数据(iFinD公式)'!$B$20:$Y$20)*(1-实盘持仓配置!$Z$6)^(('实盘净值数据(iFinD公式)'!$A33-'实盘净值数据(iFinD公式)'!$A$7)/365))</f>
        <v/>
      </c>
      <c r="I33" s="7" t="str">
        <f t="shared" si="5"/>
        <v/>
      </c>
      <c r="J33" s="7" t="str">
        <f>IF(H33="","",H33/MAX(H$5:H33)-1)</f>
        <v/>
      </c>
      <c r="K33" s="38" t="str">
        <f>IF(OR('实盘净值数据(iFinD公式)'!$A33="",'实盘净值数据(iFinD公式)'!$B33=""),"",分期持仓明细!$AB$14*SUMPRODUCT(分期持仓明细!$B$14:$Y$14,'实盘净值数据(iFinD公式)'!$B33:$Y33/'实盘净值数据(iFinD公式)'!$B$17:$Y$17)*(1-实盘持仓配置!$Z$7)^(('实盘净值数据(iFinD公式)'!$A33-'实盘净值数据(iFinD公式)'!$A$8)/365))</f>
        <v/>
      </c>
      <c r="L33" s="7" t="str">
        <f t="shared" si="0"/>
        <v/>
      </c>
      <c r="M33" s="7" t="str">
        <f>IF(K33="","",K33/MAX(K$5:K33)-1)</f>
        <v/>
      </c>
      <c r="N33" s="38" t="str">
        <f>IF(OR('实盘净值数据(iFinD公式)'!$A33="",'实盘净值数据(iFinD公式)'!$B33=""),"",分期持仓明细!$AB$15*SUMPRODUCT(分期持仓明细!$B$15:$Y$15,'实盘净值数据(iFinD公式)'!$B33:$Y33/'实盘净值数据(iFinD公式)'!$B$17:$Y$17)*(1-实盘持仓配置!$Z$8)^(('实盘净值数据(iFinD公式)'!$A33-'实盘净值数据(iFinD公式)'!$A$5)/365))</f>
        <v/>
      </c>
      <c r="O33" s="7" t="str">
        <f t="shared" si="1"/>
        <v/>
      </c>
      <c r="P33" s="7" t="str">
        <f>IF(N33="","",N33/MAX(N$5:N33)-1)</f>
        <v/>
      </c>
      <c r="Q33" s="38" t="str">
        <f>IF(OR('实盘净值数据(iFinD公式)'!$A33="",'实盘净值数据(iFinD公式)'!$B33=""),"",分期持仓明细!$AB$16*SUMPRODUCT(分期持仓明细!$B$16:$Y$16,'实盘净值数据(iFinD公式)'!$B33:$Y33/'实盘净值数据(iFinD公式)'!$B$17:$Y$17)*(1-实盘持仓配置!$Z$9)^(('实盘净值数据(iFinD公式)'!$A33-'实盘净值数据(iFinD公式)'!$A$8)/365))</f>
        <v/>
      </c>
      <c r="R33" s="7" t="str">
        <f t="shared" si="2"/>
        <v/>
      </c>
      <c r="S33" s="7" t="str">
        <f>IF(Q33="","",Q33/MAX(Q$5:Q33)-1)</f>
        <v/>
      </c>
    </row>
    <row r="34" spans="1:19" x14ac:dyDescent="0.25">
      <c r="A34" s="39" t="str">
        <f>IF('实盘净值数据(iFinD公式)'!A34="","",'实盘净值数据(iFinD公式)'!A34)</f>
        <v/>
      </c>
      <c r="B34" s="38" t="str">
        <f>IF(OR('实盘净值数据(iFinD公式)'!$A34="",'实盘净值数据(iFinD公式)'!$B34=""),"",分期持仓明细!$AB$17*SUMPRODUCT(分期持仓明细!$B$17:$Y$17,'实盘净值数据(iFinD公式)'!$B34:$Y34/'实盘净值数据(iFinD公式)'!$B$20:$Y$20)*(1-实盘持仓配置!$Z$4)^(('实盘净值数据(iFinD公式)'!$A34-'实盘净值数据(iFinD公式)'!$A$6)/365))</f>
        <v/>
      </c>
      <c r="C34" s="7" t="str">
        <f t="shared" si="3"/>
        <v/>
      </c>
      <c r="D34" s="7" t="str">
        <f>IF(B34="","",B34/MAX(B$5:B34)-1)</f>
        <v/>
      </c>
      <c r="E34" s="38" t="str">
        <f>IF(OR('实盘净值数据(iFinD公式)'!$A34="",'实盘净值数据(iFinD公式)'!$B34=""),"",分期持仓明细!$AB$18*SUMPRODUCT(分期持仓明细!$B$18:$Y$18,'实盘净值数据(iFinD公式)'!$B34:$Y34/'实盘净值数据(iFinD公式)'!$B$20:$Y$20)*(1-实盘持仓配置!$Z$5)^(('实盘净值数据(iFinD公式)'!$A34-'实盘净值数据(iFinD公式)'!$A$5)/365))</f>
        <v/>
      </c>
      <c r="F34" s="7" t="str">
        <f t="shared" si="4"/>
        <v/>
      </c>
      <c r="G34" s="7" t="str">
        <f>IF(E34="","",E34/MAX(E$5:E34)-1)</f>
        <v/>
      </c>
      <c r="H34" s="38" t="str">
        <f>IF(OR('实盘净值数据(iFinD公式)'!$A34="",'实盘净值数据(iFinD公式)'!$B34=""),"",分期持仓明细!$AB$19*SUMPRODUCT(分期持仓明细!$B$19:$Y$19,'实盘净值数据(iFinD公式)'!$B34:$Y34/'实盘净值数据(iFinD公式)'!$B$20:$Y$20)*(1-实盘持仓配置!$Z$6)^(('实盘净值数据(iFinD公式)'!$A34-'实盘净值数据(iFinD公式)'!$A$7)/365))</f>
        <v/>
      </c>
      <c r="I34" s="7" t="str">
        <f t="shared" si="5"/>
        <v/>
      </c>
      <c r="J34" s="7" t="str">
        <f>IF(H34="","",H34/MAX(H$5:H34)-1)</f>
        <v/>
      </c>
      <c r="K34" s="38" t="str">
        <f>IF(OR('实盘净值数据(iFinD公式)'!$A34="",'实盘净值数据(iFinD公式)'!$B34=""),"",分期持仓明细!$AB$14*SUMPRODUCT(分期持仓明细!$B$14:$Y$14,'实盘净值数据(iFinD公式)'!$B34:$Y34/'实盘净值数据(iFinD公式)'!$B$17:$Y$17)*(1-实盘持仓配置!$Z$7)^(('实盘净值数据(iFinD公式)'!$A34-'实盘净值数据(iFinD公式)'!$A$8)/365))</f>
        <v/>
      </c>
      <c r="L34" s="7" t="str">
        <f t="shared" si="0"/>
        <v/>
      </c>
      <c r="M34" s="7" t="str">
        <f>IF(K34="","",K34/MAX(K$5:K34)-1)</f>
        <v/>
      </c>
      <c r="N34" s="38" t="str">
        <f>IF(OR('实盘净值数据(iFinD公式)'!$A34="",'实盘净值数据(iFinD公式)'!$B34=""),"",分期持仓明细!$AB$15*SUMPRODUCT(分期持仓明细!$B$15:$Y$15,'实盘净值数据(iFinD公式)'!$B34:$Y34/'实盘净值数据(iFinD公式)'!$B$17:$Y$17)*(1-实盘持仓配置!$Z$8)^(('实盘净值数据(iFinD公式)'!$A34-'实盘净值数据(iFinD公式)'!$A$5)/365))</f>
        <v/>
      </c>
      <c r="O34" s="7" t="str">
        <f t="shared" si="1"/>
        <v/>
      </c>
      <c r="P34" s="7" t="str">
        <f>IF(N34="","",N34/MAX(N$5:N34)-1)</f>
        <v/>
      </c>
      <c r="Q34" s="38" t="str">
        <f>IF(OR('实盘净值数据(iFinD公式)'!$A34="",'实盘净值数据(iFinD公式)'!$B34=""),"",分期持仓明细!$AB$16*SUMPRODUCT(分期持仓明细!$B$16:$Y$16,'实盘净值数据(iFinD公式)'!$B34:$Y34/'实盘净值数据(iFinD公式)'!$B$17:$Y$17)*(1-实盘持仓配置!$Z$9)^(('实盘净值数据(iFinD公式)'!$A34-'实盘净值数据(iFinD公式)'!$A$8)/365))</f>
        <v/>
      </c>
      <c r="R34" s="7" t="str">
        <f t="shared" si="2"/>
        <v/>
      </c>
      <c r="S34" s="7" t="str">
        <f>IF(Q34="","",Q34/MAX(Q$5:Q34)-1)</f>
        <v/>
      </c>
    </row>
    <row r="35" spans="1:19" x14ac:dyDescent="0.25">
      <c r="A35" s="39" t="str">
        <f>IF('实盘净值数据(iFinD公式)'!A35="","",'实盘净值数据(iFinD公式)'!A35)</f>
        <v/>
      </c>
      <c r="B35" s="38" t="str">
        <f>IF(OR('实盘净值数据(iFinD公式)'!$A35="",'实盘净值数据(iFinD公式)'!$B35=""),"",分期持仓明细!$AB$17*SUMPRODUCT(分期持仓明细!$B$17:$Y$17,'实盘净值数据(iFinD公式)'!$B35:$Y35/'实盘净值数据(iFinD公式)'!$B$20:$Y$20)*(1-实盘持仓配置!$Z$4)^(('实盘净值数据(iFinD公式)'!$A35-'实盘净值数据(iFinD公式)'!$A$6)/365))</f>
        <v/>
      </c>
      <c r="C35" s="7" t="str">
        <f t="shared" si="3"/>
        <v/>
      </c>
      <c r="D35" s="7" t="str">
        <f>IF(B35="","",B35/MAX(B$5:B35)-1)</f>
        <v/>
      </c>
      <c r="E35" s="38" t="str">
        <f>IF(OR('实盘净值数据(iFinD公式)'!$A35="",'实盘净值数据(iFinD公式)'!$B35=""),"",分期持仓明细!$AB$18*SUMPRODUCT(分期持仓明细!$B$18:$Y$18,'实盘净值数据(iFinD公式)'!$B35:$Y35/'实盘净值数据(iFinD公式)'!$B$20:$Y$20)*(1-实盘持仓配置!$Z$5)^(('实盘净值数据(iFinD公式)'!$A35-'实盘净值数据(iFinD公式)'!$A$5)/365))</f>
        <v/>
      </c>
      <c r="F35" s="7" t="str">
        <f t="shared" si="4"/>
        <v/>
      </c>
      <c r="G35" s="7" t="str">
        <f>IF(E35="","",E35/MAX(E$5:E35)-1)</f>
        <v/>
      </c>
      <c r="H35" s="38" t="str">
        <f>IF(OR('实盘净值数据(iFinD公式)'!$A35="",'实盘净值数据(iFinD公式)'!$B35=""),"",分期持仓明细!$AB$19*SUMPRODUCT(分期持仓明细!$B$19:$Y$19,'实盘净值数据(iFinD公式)'!$B35:$Y35/'实盘净值数据(iFinD公式)'!$B$20:$Y$20)*(1-实盘持仓配置!$Z$6)^(('实盘净值数据(iFinD公式)'!$A35-'实盘净值数据(iFinD公式)'!$A$7)/365))</f>
        <v/>
      </c>
      <c r="I35" s="7" t="str">
        <f t="shared" si="5"/>
        <v/>
      </c>
      <c r="J35" s="7" t="str">
        <f>IF(H35="","",H35/MAX(H$5:H35)-1)</f>
        <v/>
      </c>
      <c r="K35" s="38" t="str">
        <f>IF(OR('实盘净值数据(iFinD公式)'!$A35="",'实盘净值数据(iFinD公式)'!$B35=""),"",分期持仓明细!$AB$14*SUMPRODUCT(分期持仓明细!$B$14:$Y$14,'实盘净值数据(iFinD公式)'!$B35:$Y35/'实盘净值数据(iFinD公式)'!$B$17:$Y$17)*(1-实盘持仓配置!$Z$7)^(('实盘净值数据(iFinD公式)'!$A35-'实盘净值数据(iFinD公式)'!$A$8)/365))</f>
        <v/>
      </c>
      <c r="L35" s="7" t="str">
        <f t="shared" si="0"/>
        <v/>
      </c>
      <c r="M35" s="7" t="str">
        <f>IF(K35="","",K35/MAX(K$5:K35)-1)</f>
        <v/>
      </c>
      <c r="N35" s="38" t="str">
        <f>IF(OR('实盘净值数据(iFinD公式)'!$A35="",'实盘净值数据(iFinD公式)'!$B35=""),"",分期持仓明细!$AB$15*SUMPRODUCT(分期持仓明细!$B$15:$Y$15,'实盘净值数据(iFinD公式)'!$B35:$Y35/'实盘净值数据(iFinD公式)'!$B$17:$Y$17)*(1-实盘持仓配置!$Z$8)^(('实盘净值数据(iFinD公式)'!$A35-'实盘净值数据(iFinD公式)'!$A$5)/365))</f>
        <v/>
      </c>
      <c r="O35" s="7" t="str">
        <f t="shared" si="1"/>
        <v/>
      </c>
      <c r="P35" s="7" t="str">
        <f>IF(N35="","",N35/MAX(N$5:N35)-1)</f>
        <v/>
      </c>
      <c r="Q35" s="38" t="str">
        <f>IF(OR('实盘净值数据(iFinD公式)'!$A35="",'实盘净值数据(iFinD公式)'!$B35=""),"",分期持仓明细!$AB$16*SUMPRODUCT(分期持仓明细!$B$16:$Y$16,'实盘净值数据(iFinD公式)'!$B35:$Y35/'实盘净值数据(iFinD公式)'!$B$17:$Y$17)*(1-实盘持仓配置!$Z$9)^(('实盘净值数据(iFinD公式)'!$A35-'实盘净值数据(iFinD公式)'!$A$8)/365))</f>
        <v/>
      </c>
      <c r="R35" s="7" t="str">
        <f t="shared" si="2"/>
        <v/>
      </c>
      <c r="S35" s="7" t="str">
        <f>IF(Q35="","",Q35/MAX(Q$5:Q35)-1)</f>
        <v/>
      </c>
    </row>
    <row r="36" spans="1:19" x14ac:dyDescent="0.25">
      <c r="A36" s="39" t="str">
        <f>IF('实盘净值数据(iFinD公式)'!A36="","",'实盘净值数据(iFinD公式)'!A36)</f>
        <v/>
      </c>
      <c r="B36" s="38" t="str">
        <f>IF(OR('实盘净值数据(iFinD公式)'!$A36="",'实盘净值数据(iFinD公式)'!$B36=""),"",分期持仓明细!$AB$17*SUMPRODUCT(分期持仓明细!$B$17:$Y$17,'实盘净值数据(iFinD公式)'!$B36:$Y36/'实盘净值数据(iFinD公式)'!$B$20:$Y$20)*(1-实盘持仓配置!$Z$4)^(('实盘净值数据(iFinD公式)'!$A36-'实盘净值数据(iFinD公式)'!$A$6)/365))</f>
        <v/>
      </c>
      <c r="C36" s="7" t="str">
        <f t="shared" si="3"/>
        <v/>
      </c>
      <c r="D36" s="7" t="str">
        <f>IF(B36="","",B36/MAX(B$5:B36)-1)</f>
        <v/>
      </c>
      <c r="E36" s="38" t="str">
        <f>IF(OR('实盘净值数据(iFinD公式)'!$A36="",'实盘净值数据(iFinD公式)'!$B36=""),"",分期持仓明细!$AB$18*SUMPRODUCT(分期持仓明细!$B$18:$Y$18,'实盘净值数据(iFinD公式)'!$B36:$Y36/'实盘净值数据(iFinD公式)'!$B$20:$Y$20)*(1-实盘持仓配置!$Z$5)^(('实盘净值数据(iFinD公式)'!$A36-'实盘净值数据(iFinD公式)'!$A$5)/365))</f>
        <v/>
      </c>
      <c r="F36" s="7" t="str">
        <f t="shared" si="4"/>
        <v/>
      </c>
      <c r="G36" s="7" t="str">
        <f>IF(E36="","",E36/MAX(E$5:E36)-1)</f>
        <v/>
      </c>
      <c r="H36" s="38" t="str">
        <f>IF(OR('实盘净值数据(iFinD公式)'!$A36="",'实盘净值数据(iFinD公式)'!$B36=""),"",分期持仓明细!$AB$19*SUMPRODUCT(分期持仓明细!$B$19:$Y$19,'实盘净值数据(iFinD公式)'!$B36:$Y36/'实盘净值数据(iFinD公式)'!$B$20:$Y$20)*(1-实盘持仓配置!$Z$6)^(('实盘净值数据(iFinD公式)'!$A36-'实盘净值数据(iFinD公式)'!$A$7)/365))</f>
        <v/>
      </c>
      <c r="I36" s="7" t="str">
        <f t="shared" si="5"/>
        <v/>
      </c>
      <c r="J36" s="7" t="str">
        <f>IF(H36="","",H36/MAX(H$5:H36)-1)</f>
        <v/>
      </c>
      <c r="K36" s="38" t="str">
        <f>IF(OR('实盘净值数据(iFinD公式)'!$A36="",'实盘净值数据(iFinD公式)'!$B36=""),"",分期持仓明细!$AB$14*SUMPRODUCT(分期持仓明细!$B$14:$Y$14,'实盘净值数据(iFinD公式)'!$B36:$Y36/'实盘净值数据(iFinD公式)'!$B$17:$Y$17)*(1-实盘持仓配置!$Z$7)^(('实盘净值数据(iFinD公式)'!$A36-'实盘净值数据(iFinD公式)'!$A$8)/365))</f>
        <v/>
      </c>
      <c r="L36" s="7" t="str">
        <f t="shared" si="0"/>
        <v/>
      </c>
      <c r="M36" s="7" t="str">
        <f>IF(K36="","",K36/MAX(K$5:K36)-1)</f>
        <v/>
      </c>
      <c r="N36" s="38" t="str">
        <f>IF(OR('实盘净值数据(iFinD公式)'!$A36="",'实盘净值数据(iFinD公式)'!$B36=""),"",分期持仓明细!$AB$15*SUMPRODUCT(分期持仓明细!$B$15:$Y$15,'实盘净值数据(iFinD公式)'!$B36:$Y36/'实盘净值数据(iFinD公式)'!$B$17:$Y$17)*(1-实盘持仓配置!$Z$8)^(('实盘净值数据(iFinD公式)'!$A36-'实盘净值数据(iFinD公式)'!$A$5)/365))</f>
        <v/>
      </c>
      <c r="O36" s="7" t="str">
        <f t="shared" si="1"/>
        <v/>
      </c>
      <c r="P36" s="7" t="str">
        <f>IF(N36="","",N36/MAX(N$5:N36)-1)</f>
        <v/>
      </c>
      <c r="Q36" s="38" t="str">
        <f>IF(OR('实盘净值数据(iFinD公式)'!$A36="",'实盘净值数据(iFinD公式)'!$B36=""),"",分期持仓明细!$AB$16*SUMPRODUCT(分期持仓明细!$B$16:$Y$16,'实盘净值数据(iFinD公式)'!$B36:$Y36/'实盘净值数据(iFinD公式)'!$B$17:$Y$17)*(1-实盘持仓配置!$Z$9)^(('实盘净值数据(iFinD公式)'!$A36-'实盘净值数据(iFinD公式)'!$A$8)/365))</f>
        <v/>
      </c>
      <c r="R36" s="7" t="str">
        <f t="shared" si="2"/>
        <v/>
      </c>
      <c r="S36" s="7" t="str">
        <f>IF(Q36="","",Q36/MAX(Q$5:Q36)-1)</f>
        <v/>
      </c>
    </row>
    <row r="37" spans="1:19" x14ac:dyDescent="0.25">
      <c r="A37" s="39" t="str">
        <f>IF('实盘净值数据(iFinD公式)'!A37="","",'实盘净值数据(iFinD公式)'!A37)</f>
        <v/>
      </c>
      <c r="B37" s="38" t="str">
        <f>IF(OR('实盘净值数据(iFinD公式)'!$A37="",'实盘净值数据(iFinD公式)'!$B37=""),"",分期持仓明细!$AB$17*SUMPRODUCT(分期持仓明细!$B$17:$Y$17,'实盘净值数据(iFinD公式)'!$B37:$Y37/'实盘净值数据(iFinD公式)'!$B$20:$Y$20)*(1-实盘持仓配置!$Z$4)^(('实盘净值数据(iFinD公式)'!$A37-'实盘净值数据(iFinD公式)'!$A$6)/365))</f>
        <v/>
      </c>
      <c r="C37" s="7" t="str">
        <f t="shared" si="3"/>
        <v/>
      </c>
      <c r="D37" s="7" t="str">
        <f>IF(B37="","",B37/MAX(B$5:B37)-1)</f>
        <v/>
      </c>
      <c r="E37" s="38" t="str">
        <f>IF(OR('实盘净值数据(iFinD公式)'!$A37="",'实盘净值数据(iFinD公式)'!$B37=""),"",分期持仓明细!$AB$18*SUMPRODUCT(分期持仓明细!$B$18:$Y$18,'实盘净值数据(iFinD公式)'!$B37:$Y37/'实盘净值数据(iFinD公式)'!$B$20:$Y$20)*(1-实盘持仓配置!$Z$5)^(('实盘净值数据(iFinD公式)'!$A37-'实盘净值数据(iFinD公式)'!$A$5)/365))</f>
        <v/>
      </c>
      <c r="F37" s="7" t="str">
        <f t="shared" si="4"/>
        <v/>
      </c>
      <c r="G37" s="7" t="str">
        <f>IF(E37="","",E37/MAX(E$5:E37)-1)</f>
        <v/>
      </c>
      <c r="H37" s="38" t="str">
        <f>IF(OR('实盘净值数据(iFinD公式)'!$A37="",'实盘净值数据(iFinD公式)'!$B37=""),"",分期持仓明细!$AB$19*SUMPRODUCT(分期持仓明细!$B$19:$Y$19,'实盘净值数据(iFinD公式)'!$B37:$Y37/'实盘净值数据(iFinD公式)'!$B$20:$Y$20)*(1-实盘持仓配置!$Z$6)^(('实盘净值数据(iFinD公式)'!$A37-'实盘净值数据(iFinD公式)'!$A$7)/365))</f>
        <v/>
      </c>
      <c r="I37" s="7" t="str">
        <f t="shared" si="5"/>
        <v/>
      </c>
      <c r="J37" s="7" t="str">
        <f>IF(H37="","",H37/MAX(H$5:H37)-1)</f>
        <v/>
      </c>
      <c r="K37" s="38" t="str">
        <f>IF(OR('实盘净值数据(iFinD公式)'!$A37="",'实盘净值数据(iFinD公式)'!$B37=""),"",分期持仓明细!$AB$14*SUMPRODUCT(分期持仓明细!$B$14:$Y$14,'实盘净值数据(iFinD公式)'!$B37:$Y37/'实盘净值数据(iFinD公式)'!$B$17:$Y$17)*(1-实盘持仓配置!$Z$7)^(('实盘净值数据(iFinD公式)'!$A37-'实盘净值数据(iFinD公式)'!$A$8)/365))</f>
        <v/>
      </c>
      <c r="L37" s="7" t="str">
        <f t="shared" si="0"/>
        <v/>
      </c>
      <c r="M37" s="7" t="str">
        <f>IF(K37="","",K37/MAX(K$5:K37)-1)</f>
        <v/>
      </c>
      <c r="N37" s="38" t="str">
        <f>IF(OR('实盘净值数据(iFinD公式)'!$A37="",'实盘净值数据(iFinD公式)'!$B37=""),"",分期持仓明细!$AB$15*SUMPRODUCT(分期持仓明细!$B$15:$Y$15,'实盘净值数据(iFinD公式)'!$B37:$Y37/'实盘净值数据(iFinD公式)'!$B$17:$Y$17)*(1-实盘持仓配置!$Z$8)^(('实盘净值数据(iFinD公式)'!$A37-'实盘净值数据(iFinD公式)'!$A$5)/365))</f>
        <v/>
      </c>
      <c r="O37" s="7" t="str">
        <f t="shared" si="1"/>
        <v/>
      </c>
      <c r="P37" s="7" t="str">
        <f>IF(N37="","",N37/MAX(N$5:N37)-1)</f>
        <v/>
      </c>
      <c r="Q37" s="38" t="str">
        <f>IF(OR('实盘净值数据(iFinD公式)'!$A37="",'实盘净值数据(iFinD公式)'!$B37=""),"",分期持仓明细!$AB$16*SUMPRODUCT(分期持仓明细!$B$16:$Y$16,'实盘净值数据(iFinD公式)'!$B37:$Y37/'实盘净值数据(iFinD公式)'!$B$17:$Y$17)*(1-实盘持仓配置!$Z$9)^(('实盘净值数据(iFinD公式)'!$A37-'实盘净值数据(iFinD公式)'!$A$8)/365))</f>
        <v/>
      </c>
      <c r="R37" s="7" t="str">
        <f t="shared" si="2"/>
        <v/>
      </c>
      <c r="S37" s="7" t="str">
        <f>IF(Q37="","",Q37/MAX(Q$5:Q37)-1)</f>
        <v/>
      </c>
    </row>
    <row r="38" spans="1:19" x14ac:dyDescent="0.25">
      <c r="A38" s="39" t="str">
        <f>IF('实盘净值数据(iFinD公式)'!A38="","",'实盘净值数据(iFinD公式)'!A38)</f>
        <v/>
      </c>
      <c r="B38" s="38" t="str">
        <f>IF(OR('实盘净值数据(iFinD公式)'!$A38="",'实盘净值数据(iFinD公式)'!$B38=""),"",分期持仓明细!$AB$17*SUMPRODUCT(分期持仓明细!$B$17:$Y$17,'实盘净值数据(iFinD公式)'!$B38:$Y38/'实盘净值数据(iFinD公式)'!$B$20:$Y$20)*(1-实盘持仓配置!$Z$4)^(('实盘净值数据(iFinD公式)'!$A38-'实盘净值数据(iFinD公式)'!$A$6)/365))</f>
        <v/>
      </c>
      <c r="C38" s="7" t="str">
        <f t="shared" si="3"/>
        <v/>
      </c>
      <c r="D38" s="7" t="str">
        <f>IF(B38="","",B38/MAX(B$5:B38)-1)</f>
        <v/>
      </c>
      <c r="E38" s="38" t="str">
        <f>IF(OR('实盘净值数据(iFinD公式)'!$A38="",'实盘净值数据(iFinD公式)'!$B38=""),"",分期持仓明细!$AB$18*SUMPRODUCT(分期持仓明细!$B$18:$Y$18,'实盘净值数据(iFinD公式)'!$B38:$Y38/'实盘净值数据(iFinD公式)'!$B$20:$Y$20)*(1-实盘持仓配置!$Z$5)^(('实盘净值数据(iFinD公式)'!$A38-'实盘净值数据(iFinD公式)'!$A$5)/365))</f>
        <v/>
      </c>
      <c r="F38" s="7" t="str">
        <f t="shared" si="4"/>
        <v/>
      </c>
      <c r="G38" s="7" t="str">
        <f>IF(E38="","",E38/MAX(E$5:E38)-1)</f>
        <v/>
      </c>
      <c r="H38" s="38" t="str">
        <f>IF(OR('实盘净值数据(iFinD公式)'!$A38="",'实盘净值数据(iFinD公式)'!$B38=""),"",分期持仓明细!$AB$19*SUMPRODUCT(分期持仓明细!$B$19:$Y$19,'实盘净值数据(iFinD公式)'!$B38:$Y38/'实盘净值数据(iFinD公式)'!$B$20:$Y$20)*(1-实盘持仓配置!$Z$6)^(('实盘净值数据(iFinD公式)'!$A38-'实盘净值数据(iFinD公式)'!$A$7)/365))</f>
        <v/>
      </c>
      <c r="I38" s="7" t="str">
        <f t="shared" si="5"/>
        <v/>
      </c>
      <c r="J38" s="7" t="str">
        <f>IF(H38="","",H38/MAX(H$5:H38)-1)</f>
        <v/>
      </c>
      <c r="K38" s="38" t="str">
        <f>IF(OR('实盘净值数据(iFinD公式)'!$A38="",'实盘净值数据(iFinD公式)'!$B38=""),"",分期持仓明细!$AB$14*SUMPRODUCT(分期持仓明细!$B$14:$Y$14,'实盘净值数据(iFinD公式)'!$B38:$Y38/'实盘净值数据(iFinD公式)'!$B$17:$Y$17)*(1-实盘持仓配置!$Z$7)^(('实盘净值数据(iFinD公式)'!$A38-'实盘净值数据(iFinD公式)'!$A$8)/365))</f>
        <v/>
      </c>
      <c r="L38" s="7" t="str">
        <f t="shared" si="0"/>
        <v/>
      </c>
      <c r="M38" s="7" t="str">
        <f>IF(K38="","",K38/MAX(K$5:K38)-1)</f>
        <v/>
      </c>
      <c r="N38" s="38" t="str">
        <f>IF(OR('实盘净值数据(iFinD公式)'!$A38="",'实盘净值数据(iFinD公式)'!$B38=""),"",分期持仓明细!$AB$15*SUMPRODUCT(分期持仓明细!$B$15:$Y$15,'实盘净值数据(iFinD公式)'!$B38:$Y38/'实盘净值数据(iFinD公式)'!$B$17:$Y$17)*(1-实盘持仓配置!$Z$8)^(('实盘净值数据(iFinD公式)'!$A38-'实盘净值数据(iFinD公式)'!$A$5)/365))</f>
        <v/>
      </c>
      <c r="O38" s="7" t="str">
        <f t="shared" si="1"/>
        <v/>
      </c>
      <c r="P38" s="7" t="str">
        <f>IF(N38="","",N38/MAX(N$5:N38)-1)</f>
        <v/>
      </c>
      <c r="Q38" s="38" t="str">
        <f>IF(OR('实盘净值数据(iFinD公式)'!$A38="",'实盘净值数据(iFinD公式)'!$B38=""),"",分期持仓明细!$AB$16*SUMPRODUCT(分期持仓明细!$B$16:$Y$16,'实盘净值数据(iFinD公式)'!$B38:$Y38/'实盘净值数据(iFinD公式)'!$B$17:$Y$17)*(1-实盘持仓配置!$Z$9)^(('实盘净值数据(iFinD公式)'!$A38-'实盘净值数据(iFinD公式)'!$A$8)/365))</f>
        <v/>
      </c>
      <c r="R38" s="7" t="str">
        <f t="shared" si="2"/>
        <v/>
      </c>
      <c r="S38" s="7" t="str">
        <f>IF(Q38="","",Q38/MAX(Q$5:Q38)-1)</f>
        <v/>
      </c>
    </row>
    <row r="39" spans="1:19" x14ac:dyDescent="0.25">
      <c r="A39" s="39" t="str">
        <f>IF('实盘净值数据(iFinD公式)'!A39="","",'实盘净值数据(iFinD公式)'!A39)</f>
        <v/>
      </c>
      <c r="B39" s="38" t="str">
        <f>IF(OR('实盘净值数据(iFinD公式)'!$A39="",'实盘净值数据(iFinD公式)'!$B39=""),"",分期持仓明细!$AB$17*SUMPRODUCT(分期持仓明细!$B$17:$Y$17,'实盘净值数据(iFinD公式)'!$B39:$Y39/'实盘净值数据(iFinD公式)'!$B$20:$Y$20)*(1-实盘持仓配置!$Z$4)^(('实盘净值数据(iFinD公式)'!$A39-'实盘净值数据(iFinD公式)'!$A$6)/365))</f>
        <v/>
      </c>
      <c r="C39" s="7" t="str">
        <f t="shared" si="3"/>
        <v/>
      </c>
      <c r="D39" s="7" t="str">
        <f>IF(B39="","",B39/MAX(B$5:B39)-1)</f>
        <v/>
      </c>
      <c r="E39" s="38" t="str">
        <f>IF(OR('实盘净值数据(iFinD公式)'!$A39="",'实盘净值数据(iFinD公式)'!$B39=""),"",分期持仓明细!$AB$18*SUMPRODUCT(分期持仓明细!$B$18:$Y$18,'实盘净值数据(iFinD公式)'!$B39:$Y39/'实盘净值数据(iFinD公式)'!$B$20:$Y$20)*(1-实盘持仓配置!$Z$5)^(('实盘净值数据(iFinD公式)'!$A39-'实盘净值数据(iFinD公式)'!$A$5)/365))</f>
        <v/>
      </c>
      <c r="F39" s="7" t="str">
        <f t="shared" si="4"/>
        <v/>
      </c>
      <c r="G39" s="7" t="str">
        <f>IF(E39="","",E39/MAX(E$5:E39)-1)</f>
        <v/>
      </c>
      <c r="H39" s="38" t="str">
        <f>IF(OR('实盘净值数据(iFinD公式)'!$A39="",'实盘净值数据(iFinD公式)'!$B39=""),"",分期持仓明细!$AB$19*SUMPRODUCT(分期持仓明细!$B$19:$Y$19,'实盘净值数据(iFinD公式)'!$B39:$Y39/'实盘净值数据(iFinD公式)'!$B$20:$Y$20)*(1-实盘持仓配置!$Z$6)^(('实盘净值数据(iFinD公式)'!$A39-'实盘净值数据(iFinD公式)'!$A$7)/365))</f>
        <v/>
      </c>
      <c r="I39" s="7" t="str">
        <f t="shared" si="5"/>
        <v/>
      </c>
      <c r="J39" s="7" t="str">
        <f>IF(H39="","",H39/MAX(H$5:H39)-1)</f>
        <v/>
      </c>
      <c r="K39" s="38" t="str">
        <f>IF(OR('实盘净值数据(iFinD公式)'!$A39="",'实盘净值数据(iFinD公式)'!$B39=""),"",分期持仓明细!$AB$14*SUMPRODUCT(分期持仓明细!$B$14:$Y$14,'实盘净值数据(iFinD公式)'!$B39:$Y39/'实盘净值数据(iFinD公式)'!$B$17:$Y$17)*(1-实盘持仓配置!$Z$7)^(('实盘净值数据(iFinD公式)'!$A39-'实盘净值数据(iFinD公式)'!$A$8)/365))</f>
        <v/>
      </c>
      <c r="L39" s="7" t="str">
        <f t="shared" si="0"/>
        <v/>
      </c>
      <c r="M39" s="7" t="str">
        <f>IF(K39="","",K39/MAX(K$5:K39)-1)</f>
        <v/>
      </c>
      <c r="N39" s="38" t="str">
        <f>IF(OR('实盘净值数据(iFinD公式)'!$A39="",'实盘净值数据(iFinD公式)'!$B39=""),"",分期持仓明细!$AB$15*SUMPRODUCT(分期持仓明细!$B$15:$Y$15,'实盘净值数据(iFinD公式)'!$B39:$Y39/'实盘净值数据(iFinD公式)'!$B$17:$Y$17)*(1-实盘持仓配置!$Z$8)^(('实盘净值数据(iFinD公式)'!$A39-'实盘净值数据(iFinD公式)'!$A$5)/365))</f>
        <v/>
      </c>
      <c r="O39" s="7" t="str">
        <f t="shared" si="1"/>
        <v/>
      </c>
      <c r="P39" s="7" t="str">
        <f>IF(N39="","",N39/MAX(N$5:N39)-1)</f>
        <v/>
      </c>
      <c r="Q39" s="38" t="str">
        <f>IF(OR('实盘净值数据(iFinD公式)'!$A39="",'实盘净值数据(iFinD公式)'!$B39=""),"",分期持仓明细!$AB$16*SUMPRODUCT(分期持仓明细!$B$16:$Y$16,'实盘净值数据(iFinD公式)'!$B39:$Y39/'实盘净值数据(iFinD公式)'!$B$17:$Y$17)*(1-实盘持仓配置!$Z$9)^(('实盘净值数据(iFinD公式)'!$A39-'实盘净值数据(iFinD公式)'!$A$8)/365))</f>
        <v/>
      </c>
      <c r="R39" s="7" t="str">
        <f t="shared" si="2"/>
        <v/>
      </c>
      <c r="S39" s="7" t="str">
        <f>IF(Q39="","",Q39/MAX(Q$5:Q39)-1)</f>
        <v/>
      </c>
    </row>
    <row r="40" spans="1:19" x14ac:dyDescent="0.25">
      <c r="A40" s="39" t="str">
        <f>IF('实盘净值数据(iFinD公式)'!A40="","",'实盘净值数据(iFinD公式)'!A40)</f>
        <v/>
      </c>
      <c r="B40" s="38" t="str">
        <f>IF(OR('实盘净值数据(iFinD公式)'!$A40="",'实盘净值数据(iFinD公式)'!$B40=""),"",分期持仓明细!$AB$17*SUMPRODUCT(分期持仓明细!$B$17:$Y$17,'实盘净值数据(iFinD公式)'!$B40:$Y40/'实盘净值数据(iFinD公式)'!$B$20:$Y$20)*(1-实盘持仓配置!$Z$4)^(('实盘净值数据(iFinD公式)'!$A40-'实盘净值数据(iFinD公式)'!$A$6)/365))</f>
        <v/>
      </c>
      <c r="C40" s="7" t="str">
        <f t="shared" si="3"/>
        <v/>
      </c>
      <c r="D40" s="7" t="str">
        <f>IF(B40="","",B40/MAX(B$5:B40)-1)</f>
        <v/>
      </c>
      <c r="E40" s="38" t="str">
        <f>IF(OR('实盘净值数据(iFinD公式)'!$A40="",'实盘净值数据(iFinD公式)'!$B40=""),"",分期持仓明细!$AB$18*SUMPRODUCT(分期持仓明细!$B$18:$Y$18,'实盘净值数据(iFinD公式)'!$B40:$Y40/'实盘净值数据(iFinD公式)'!$B$20:$Y$20)*(1-实盘持仓配置!$Z$5)^(('实盘净值数据(iFinD公式)'!$A40-'实盘净值数据(iFinD公式)'!$A$5)/365))</f>
        <v/>
      </c>
      <c r="F40" s="7" t="str">
        <f t="shared" si="4"/>
        <v/>
      </c>
      <c r="G40" s="7" t="str">
        <f>IF(E40="","",E40/MAX(E$5:E40)-1)</f>
        <v/>
      </c>
      <c r="H40" s="38" t="str">
        <f>IF(OR('实盘净值数据(iFinD公式)'!$A40="",'实盘净值数据(iFinD公式)'!$B40=""),"",分期持仓明细!$AB$19*SUMPRODUCT(分期持仓明细!$B$19:$Y$19,'实盘净值数据(iFinD公式)'!$B40:$Y40/'实盘净值数据(iFinD公式)'!$B$20:$Y$20)*(1-实盘持仓配置!$Z$6)^(('实盘净值数据(iFinD公式)'!$A40-'实盘净值数据(iFinD公式)'!$A$7)/365))</f>
        <v/>
      </c>
      <c r="I40" s="7" t="str">
        <f t="shared" si="5"/>
        <v/>
      </c>
      <c r="J40" s="7" t="str">
        <f>IF(H40="","",H40/MAX(H$5:H40)-1)</f>
        <v/>
      </c>
      <c r="K40" s="38" t="str">
        <f>IF(OR('实盘净值数据(iFinD公式)'!$A40="",'实盘净值数据(iFinD公式)'!$B40=""),"",分期持仓明细!$AB$14*SUMPRODUCT(分期持仓明细!$B$14:$Y$14,'实盘净值数据(iFinD公式)'!$B40:$Y40/'实盘净值数据(iFinD公式)'!$B$17:$Y$17)*(1-实盘持仓配置!$Z$7)^(('实盘净值数据(iFinD公式)'!$A40-'实盘净值数据(iFinD公式)'!$A$8)/365))</f>
        <v/>
      </c>
      <c r="L40" s="7" t="str">
        <f t="shared" si="0"/>
        <v/>
      </c>
      <c r="M40" s="7" t="str">
        <f>IF(K40="","",K40/MAX(K$5:K40)-1)</f>
        <v/>
      </c>
      <c r="N40" s="38" t="str">
        <f>IF(OR('实盘净值数据(iFinD公式)'!$A40="",'实盘净值数据(iFinD公式)'!$B40=""),"",分期持仓明细!$AB$15*SUMPRODUCT(分期持仓明细!$B$15:$Y$15,'实盘净值数据(iFinD公式)'!$B40:$Y40/'实盘净值数据(iFinD公式)'!$B$17:$Y$17)*(1-实盘持仓配置!$Z$8)^(('实盘净值数据(iFinD公式)'!$A40-'实盘净值数据(iFinD公式)'!$A$5)/365))</f>
        <v/>
      </c>
      <c r="O40" s="7" t="str">
        <f t="shared" si="1"/>
        <v/>
      </c>
      <c r="P40" s="7" t="str">
        <f>IF(N40="","",N40/MAX(N$5:N40)-1)</f>
        <v/>
      </c>
      <c r="Q40" s="38" t="str">
        <f>IF(OR('实盘净值数据(iFinD公式)'!$A40="",'实盘净值数据(iFinD公式)'!$B40=""),"",分期持仓明细!$AB$16*SUMPRODUCT(分期持仓明细!$B$16:$Y$16,'实盘净值数据(iFinD公式)'!$B40:$Y40/'实盘净值数据(iFinD公式)'!$B$17:$Y$17)*(1-实盘持仓配置!$Z$9)^(('实盘净值数据(iFinD公式)'!$A40-'实盘净值数据(iFinD公式)'!$A$8)/365))</f>
        <v/>
      </c>
      <c r="R40" s="7" t="str">
        <f t="shared" si="2"/>
        <v/>
      </c>
      <c r="S40" s="7" t="str">
        <f>IF(Q40="","",Q40/MAX(Q$5:Q40)-1)</f>
        <v/>
      </c>
    </row>
    <row r="41" spans="1:19" x14ac:dyDescent="0.25">
      <c r="A41" s="39" t="str">
        <f>IF('实盘净值数据(iFinD公式)'!A41="","",'实盘净值数据(iFinD公式)'!A41)</f>
        <v/>
      </c>
      <c r="B41" s="38" t="str">
        <f>IF(OR('实盘净值数据(iFinD公式)'!$A41="",'实盘净值数据(iFinD公式)'!$B41=""),"",分期持仓明细!$AB$17*SUMPRODUCT(分期持仓明细!$B$17:$Y$17,'实盘净值数据(iFinD公式)'!$B41:$Y41/'实盘净值数据(iFinD公式)'!$B$20:$Y$20)*(1-实盘持仓配置!$Z$4)^(('实盘净值数据(iFinD公式)'!$A41-'实盘净值数据(iFinD公式)'!$A$6)/365))</f>
        <v/>
      </c>
      <c r="C41" s="7" t="str">
        <f t="shared" si="3"/>
        <v/>
      </c>
      <c r="D41" s="7" t="str">
        <f>IF(B41="","",B41/MAX(B$5:B41)-1)</f>
        <v/>
      </c>
      <c r="E41" s="38" t="str">
        <f>IF(OR('实盘净值数据(iFinD公式)'!$A41="",'实盘净值数据(iFinD公式)'!$B41=""),"",分期持仓明细!$AB$18*SUMPRODUCT(分期持仓明细!$B$18:$Y$18,'实盘净值数据(iFinD公式)'!$B41:$Y41/'实盘净值数据(iFinD公式)'!$B$20:$Y$20)*(1-实盘持仓配置!$Z$5)^(('实盘净值数据(iFinD公式)'!$A41-'实盘净值数据(iFinD公式)'!$A$5)/365))</f>
        <v/>
      </c>
      <c r="F41" s="7" t="str">
        <f t="shared" si="4"/>
        <v/>
      </c>
      <c r="G41" s="7" t="str">
        <f>IF(E41="","",E41/MAX(E$5:E41)-1)</f>
        <v/>
      </c>
      <c r="H41" s="38" t="str">
        <f>IF(OR('实盘净值数据(iFinD公式)'!$A41="",'实盘净值数据(iFinD公式)'!$B41=""),"",分期持仓明细!$AB$19*SUMPRODUCT(分期持仓明细!$B$19:$Y$19,'实盘净值数据(iFinD公式)'!$B41:$Y41/'实盘净值数据(iFinD公式)'!$B$20:$Y$20)*(1-实盘持仓配置!$Z$6)^(('实盘净值数据(iFinD公式)'!$A41-'实盘净值数据(iFinD公式)'!$A$7)/365))</f>
        <v/>
      </c>
      <c r="I41" s="7" t="str">
        <f t="shared" si="5"/>
        <v/>
      </c>
      <c r="J41" s="7" t="str">
        <f>IF(H41="","",H41/MAX(H$5:H41)-1)</f>
        <v/>
      </c>
      <c r="K41" s="38" t="str">
        <f>IF(OR('实盘净值数据(iFinD公式)'!$A41="",'实盘净值数据(iFinD公式)'!$B41=""),"",分期持仓明细!$AB$14*SUMPRODUCT(分期持仓明细!$B$14:$Y$14,'实盘净值数据(iFinD公式)'!$B41:$Y41/'实盘净值数据(iFinD公式)'!$B$17:$Y$17)*(1-实盘持仓配置!$Z$7)^(('实盘净值数据(iFinD公式)'!$A41-'实盘净值数据(iFinD公式)'!$A$8)/365))</f>
        <v/>
      </c>
      <c r="L41" s="7" t="str">
        <f t="shared" si="0"/>
        <v/>
      </c>
      <c r="M41" s="7" t="str">
        <f>IF(K41="","",K41/MAX(K$5:K41)-1)</f>
        <v/>
      </c>
      <c r="N41" s="38" t="str">
        <f>IF(OR('实盘净值数据(iFinD公式)'!$A41="",'实盘净值数据(iFinD公式)'!$B41=""),"",分期持仓明细!$AB$15*SUMPRODUCT(分期持仓明细!$B$15:$Y$15,'实盘净值数据(iFinD公式)'!$B41:$Y41/'实盘净值数据(iFinD公式)'!$B$17:$Y$17)*(1-实盘持仓配置!$Z$8)^(('实盘净值数据(iFinD公式)'!$A41-'实盘净值数据(iFinD公式)'!$A$5)/365))</f>
        <v/>
      </c>
      <c r="O41" s="7" t="str">
        <f t="shared" si="1"/>
        <v/>
      </c>
      <c r="P41" s="7" t="str">
        <f>IF(N41="","",N41/MAX(N$5:N41)-1)</f>
        <v/>
      </c>
      <c r="Q41" s="38" t="str">
        <f>IF(OR('实盘净值数据(iFinD公式)'!$A41="",'实盘净值数据(iFinD公式)'!$B41=""),"",分期持仓明细!$AB$16*SUMPRODUCT(分期持仓明细!$B$16:$Y$16,'实盘净值数据(iFinD公式)'!$B41:$Y41/'实盘净值数据(iFinD公式)'!$B$17:$Y$17)*(1-实盘持仓配置!$Z$9)^(('实盘净值数据(iFinD公式)'!$A41-'实盘净值数据(iFinD公式)'!$A$8)/365))</f>
        <v/>
      </c>
      <c r="R41" s="7" t="str">
        <f t="shared" si="2"/>
        <v/>
      </c>
      <c r="S41" s="7" t="str">
        <f>IF(Q41="","",Q41/MAX(Q$5:Q41)-1)</f>
        <v/>
      </c>
    </row>
    <row r="42" spans="1:19" x14ac:dyDescent="0.25">
      <c r="A42" s="39" t="str">
        <f>IF('实盘净值数据(iFinD公式)'!A42="","",'实盘净值数据(iFinD公式)'!A42)</f>
        <v/>
      </c>
      <c r="B42" s="38" t="str">
        <f>IF(OR('实盘净值数据(iFinD公式)'!$A42="",'实盘净值数据(iFinD公式)'!$B42=""),"",分期持仓明细!$AB$17*SUMPRODUCT(分期持仓明细!$B$17:$Y$17,'实盘净值数据(iFinD公式)'!$B42:$Y42/'实盘净值数据(iFinD公式)'!$B$20:$Y$20)*(1-实盘持仓配置!$Z$4)^(('实盘净值数据(iFinD公式)'!$A42-'实盘净值数据(iFinD公式)'!$A$6)/365))</f>
        <v/>
      </c>
      <c r="C42" s="7" t="str">
        <f t="shared" si="3"/>
        <v/>
      </c>
      <c r="D42" s="7" t="str">
        <f>IF(B42="","",B42/MAX(B$5:B42)-1)</f>
        <v/>
      </c>
      <c r="E42" s="38" t="str">
        <f>IF(OR('实盘净值数据(iFinD公式)'!$A42="",'实盘净值数据(iFinD公式)'!$B42=""),"",分期持仓明细!$AB$18*SUMPRODUCT(分期持仓明细!$B$18:$Y$18,'实盘净值数据(iFinD公式)'!$B42:$Y42/'实盘净值数据(iFinD公式)'!$B$20:$Y$20)*(1-实盘持仓配置!$Z$5)^(('实盘净值数据(iFinD公式)'!$A42-'实盘净值数据(iFinD公式)'!$A$5)/365))</f>
        <v/>
      </c>
      <c r="F42" s="7" t="str">
        <f t="shared" si="4"/>
        <v/>
      </c>
      <c r="G42" s="7" t="str">
        <f>IF(E42="","",E42/MAX(E$5:E42)-1)</f>
        <v/>
      </c>
      <c r="H42" s="38" t="str">
        <f>IF(OR('实盘净值数据(iFinD公式)'!$A42="",'实盘净值数据(iFinD公式)'!$B42=""),"",分期持仓明细!$AB$19*SUMPRODUCT(分期持仓明细!$B$19:$Y$19,'实盘净值数据(iFinD公式)'!$B42:$Y42/'实盘净值数据(iFinD公式)'!$B$20:$Y$20)*(1-实盘持仓配置!$Z$6)^(('实盘净值数据(iFinD公式)'!$A42-'实盘净值数据(iFinD公式)'!$A$7)/365))</f>
        <v/>
      </c>
      <c r="I42" s="7" t="str">
        <f t="shared" si="5"/>
        <v/>
      </c>
      <c r="J42" s="7" t="str">
        <f>IF(H42="","",H42/MAX(H$5:H42)-1)</f>
        <v/>
      </c>
      <c r="K42" s="38" t="str">
        <f>IF(OR('实盘净值数据(iFinD公式)'!$A42="",'实盘净值数据(iFinD公式)'!$B42=""),"",分期持仓明细!$AB$14*SUMPRODUCT(分期持仓明细!$B$14:$Y$14,'实盘净值数据(iFinD公式)'!$B42:$Y42/'实盘净值数据(iFinD公式)'!$B$17:$Y$17)*(1-实盘持仓配置!$Z$7)^(('实盘净值数据(iFinD公式)'!$A42-'实盘净值数据(iFinD公式)'!$A$8)/365))</f>
        <v/>
      </c>
      <c r="L42" s="7" t="str">
        <f t="shared" si="0"/>
        <v/>
      </c>
      <c r="M42" s="7" t="str">
        <f>IF(K42="","",K42/MAX(K$5:K42)-1)</f>
        <v/>
      </c>
      <c r="N42" s="38" t="str">
        <f>IF(OR('实盘净值数据(iFinD公式)'!$A42="",'实盘净值数据(iFinD公式)'!$B42=""),"",分期持仓明细!$AB$15*SUMPRODUCT(分期持仓明细!$B$15:$Y$15,'实盘净值数据(iFinD公式)'!$B42:$Y42/'实盘净值数据(iFinD公式)'!$B$17:$Y$17)*(1-实盘持仓配置!$Z$8)^(('实盘净值数据(iFinD公式)'!$A42-'实盘净值数据(iFinD公式)'!$A$5)/365))</f>
        <v/>
      </c>
      <c r="O42" s="7" t="str">
        <f t="shared" si="1"/>
        <v/>
      </c>
      <c r="P42" s="7" t="str">
        <f>IF(N42="","",N42/MAX(N$5:N42)-1)</f>
        <v/>
      </c>
      <c r="Q42" s="38" t="str">
        <f>IF(OR('实盘净值数据(iFinD公式)'!$A42="",'实盘净值数据(iFinD公式)'!$B42=""),"",分期持仓明细!$AB$16*SUMPRODUCT(分期持仓明细!$B$16:$Y$16,'实盘净值数据(iFinD公式)'!$B42:$Y42/'实盘净值数据(iFinD公式)'!$B$17:$Y$17)*(1-实盘持仓配置!$Z$9)^(('实盘净值数据(iFinD公式)'!$A42-'实盘净值数据(iFinD公式)'!$A$8)/365))</f>
        <v/>
      </c>
      <c r="R42" s="7" t="str">
        <f t="shared" si="2"/>
        <v/>
      </c>
      <c r="S42" s="7" t="str">
        <f>IF(Q42="","",Q42/MAX(Q$5:Q42)-1)</f>
        <v/>
      </c>
    </row>
    <row r="43" spans="1:19" x14ac:dyDescent="0.25">
      <c r="A43" s="39" t="str">
        <f>IF('实盘净值数据(iFinD公式)'!A43="","",'实盘净值数据(iFinD公式)'!A43)</f>
        <v/>
      </c>
      <c r="B43" s="38" t="str">
        <f>IF(OR('实盘净值数据(iFinD公式)'!$A43="",'实盘净值数据(iFinD公式)'!$B43=""),"",分期持仓明细!$AB$17*SUMPRODUCT(分期持仓明细!$B$17:$Y$17,'实盘净值数据(iFinD公式)'!$B43:$Y43/'实盘净值数据(iFinD公式)'!$B$20:$Y$20)*(1-实盘持仓配置!$Z$4)^(('实盘净值数据(iFinD公式)'!$A43-'实盘净值数据(iFinD公式)'!$A$6)/365))</f>
        <v/>
      </c>
      <c r="C43" s="7" t="str">
        <f t="shared" si="3"/>
        <v/>
      </c>
      <c r="D43" s="7" t="str">
        <f>IF(B43="","",B43/MAX(B$5:B43)-1)</f>
        <v/>
      </c>
      <c r="E43" s="38" t="str">
        <f>IF(OR('实盘净值数据(iFinD公式)'!$A43="",'实盘净值数据(iFinD公式)'!$B43=""),"",分期持仓明细!$AB$18*SUMPRODUCT(分期持仓明细!$B$18:$Y$18,'实盘净值数据(iFinD公式)'!$B43:$Y43/'实盘净值数据(iFinD公式)'!$B$20:$Y$20)*(1-实盘持仓配置!$Z$5)^(('实盘净值数据(iFinD公式)'!$A43-'实盘净值数据(iFinD公式)'!$A$5)/365))</f>
        <v/>
      </c>
      <c r="F43" s="7" t="str">
        <f t="shared" si="4"/>
        <v/>
      </c>
      <c r="G43" s="7" t="str">
        <f>IF(E43="","",E43/MAX(E$5:E43)-1)</f>
        <v/>
      </c>
      <c r="H43" s="38" t="str">
        <f>IF(OR('实盘净值数据(iFinD公式)'!$A43="",'实盘净值数据(iFinD公式)'!$B43=""),"",分期持仓明细!$AB$19*SUMPRODUCT(分期持仓明细!$B$19:$Y$19,'实盘净值数据(iFinD公式)'!$B43:$Y43/'实盘净值数据(iFinD公式)'!$B$20:$Y$20)*(1-实盘持仓配置!$Z$6)^(('实盘净值数据(iFinD公式)'!$A43-'实盘净值数据(iFinD公式)'!$A$7)/365))</f>
        <v/>
      </c>
      <c r="I43" s="7" t="str">
        <f t="shared" si="5"/>
        <v/>
      </c>
      <c r="J43" s="7" t="str">
        <f>IF(H43="","",H43/MAX(H$5:H43)-1)</f>
        <v/>
      </c>
      <c r="K43" s="38" t="str">
        <f>IF(OR('实盘净值数据(iFinD公式)'!$A43="",'实盘净值数据(iFinD公式)'!$B43=""),"",分期持仓明细!$AB$14*SUMPRODUCT(分期持仓明细!$B$14:$Y$14,'实盘净值数据(iFinD公式)'!$B43:$Y43/'实盘净值数据(iFinD公式)'!$B$17:$Y$17)*(1-实盘持仓配置!$Z$7)^(('实盘净值数据(iFinD公式)'!$A43-'实盘净值数据(iFinD公式)'!$A$8)/365))</f>
        <v/>
      </c>
      <c r="L43" s="7" t="str">
        <f t="shared" si="0"/>
        <v/>
      </c>
      <c r="M43" s="7" t="str">
        <f>IF(K43="","",K43/MAX(K$5:K43)-1)</f>
        <v/>
      </c>
      <c r="N43" s="38" t="str">
        <f>IF(OR('实盘净值数据(iFinD公式)'!$A43="",'实盘净值数据(iFinD公式)'!$B43=""),"",分期持仓明细!$AB$15*SUMPRODUCT(分期持仓明细!$B$15:$Y$15,'实盘净值数据(iFinD公式)'!$B43:$Y43/'实盘净值数据(iFinD公式)'!$B$17:$Y$17)*(1-实盘持仓配置!$Z$8)^(('实盘净值数据(iFinD公式)'!$A43-'实盘净值数据(iFinD公式)'!$A$5)/365))</f>
        <v/>
      </c>
      <c r="O43" s="7" t="str">
        <f t="shared" si="1"/>
        <v/>
      </c>
      <c r="P43" s="7" t="str">
        <f>IF(N43="","",N43/MAX(N$5:N43)-1)</f>
        <v/>
      </c>
      <c r="Q43" s="38" t="str">
        <f>IF(OR('实盘净值数据(iFinD公式)'!$A43="",'实盘净值数据(iFinD公式)'!$B43=""),"",分期持仓明细!$AB$16*SUMPRODUCT(分期持仓明细!$B$16:$Y$16,'实盘净值数据(iFinD公式)'!$B43:$Y43/'实盘净值数据(iFinD公式)'!$B$17:$Y$17)*(1-实盘持仓配置!$Z$9)^(('实盘净值数据(iFinD公式)'!$A43-'实盘净值数据(iFinD公式)'!$A$8)/365))</f>
        <v/>
      </c>
      <c r="R43" s="7" t="str">
        <f t="shared" si="2"/>
        <v/>
      </c>
      <c r="S43" s="7" t="str">
        <f>IF(Q43="","",Q43/MAX(Q$5:Q43)-1)</f>
        <v/>
      </c>
    </row>
    <row r="44" spans="1:19" x14ac:dyDescent="0.25">
      <c r="A44" s="39" t="str">
        <f>IF('实盘净值数据(iFinD公式)'!A44="","",'实盘净值数据(iFinD公式)'!A44)</f>
        <v/>
      </c>
      <c r="B44" s="38" t="str">
        <f>IF(OR('实盘净值数据(iFinD公式)'!$A44="",'实盘净值数据(iFinD公式)'!$B44=""),"",分期持仓明细!$AB$17*SUMPRODUCT(分期持仓明细!$B$17:$Y$17,'实盘净值数据(iFinD公式)'!$B44:$Y44/'实盘净值数据(iFinD公式)'!$B$20:$Y$20)*(1-实盘持仓配置!$Z$4)^(('实盘净值数据(iFinD公式)'!$A44-'实盘净值数据(iFinD公式)'!$A$6)/365))</f>
        <v/>
      </c>
      <c r="C44" s="7" t="str">
        <f t="shared" si="3"/>
        <v/>
      </c>
      <c r="D44" s="7" t="str">
        <f>IF(B44="","",B44/MAX(B$5:B44)-1)</f>
        <v/>
      </c>
      <c r="E44" s="38" t="str">
        <f>IF(OR('实盘净值数据(iFinD公式)'!$A44="",'实盘净值数据(iFinD公式)'!$B44=""),"",分期持仓明细!$AB$18*SUMPRODUCT(分期持仓明细!$B$18:$Y$18,'实盘净值数据(iFinD公式)'!$B44:$Y44/'实盘净值数据(iFinD公式)'!$B$20:$Y$20)*(1-实盘持仓配置!$Z$5)^(('实盘净值数据(iFinD公式)'!$A44-'实盘净值数据(iFinD公式)'!$A$5)/365))</f>
        <v/>
      </c>
      <c r="F44" s="7" t="str">
        <f t="shared" si="4"/>
        <v/>
      </c>
      <c r="G44" s="7" t="str">
        <f>IF(E44="","",E44/MAX(E$5:E44)-1)</f>
        <v/>
      </c>
      <c r="H44" s="38" t="str">
        <f>IF(OR('实盘净值数据(iFinD公式)'!$A44="",'实盘净值数据(iFinD公式)'!$B44=""),"",分期持仓明细!$AB$19*SUMPRODUCT(分期持仓明细!$B$19:$Y$19,'实盘净值数据(iFinD公式)'!$B44:$Y44/'实盘净值数据(iFinD公式)'!$B$20:$Y$20)*(1-实盘持仓配置!$Z$6)^(('实盘净值数据(iFinD公式)'!$A44-'实盘净值数据(iFinD公式)'!$A$7)/365))</f>
        <v/>
      </c>
      <c r="I44" s="7" t="str">
        <f t="shared" si="5"/>
        <v/>
      </c>
      <c r="J44" s="7" t="str">
        <f>IF(H44="","",H44/MAX(H$5:H44)-1)</f>
        <v/>
      </c>
      <c r="K44" s="38" t="str">
        <f>IF(OR('实盘净值数据(iFinD公式)'!$A44="",'实盘净值数据(iFinD公式)'!$B44=""),"",分期持仓明细!$AB$14*SUMPRODUCT(分期持仓明细!$B$14:$Y$14,'实盘净值数据(iFinD公式)'!$B44:$Y44/'实盘净值数据(iFinD公式)'!$B$17:$Y$17)*(1-实盘持仓配置!$Z$7)^(('实盘净值数据(iFinD公式)'!$A44-'实盘净值数据(iFinD公式)'!$A$8)/365))</f>
        <v/>
      </c>
      <c r="L44" s="7" t="str">
        <f t="shared" si="0"/>
        <v/>
      </c>
      <c r="M44" s="7" t="str">
        <f>IF(K44="","",K44/MAX(K$5:K44)-1)</f>
        <v/>
      </c>
      <c r="N44" s="38" t="str">
        <f>IF(OR('实盘净值数据(iFinD公式)'!$A44="",'实盘净值数据(iFinD公式)'!$B44=""),"",分期持仓明细!$AB$15*SUMPRODUCT(分期持仓明细!$B$15:$Y$15,'实盘净值数据(iFinD公式)'!$B44:$Y44/'实盘净值数据(iFinD公式)'!$B$17:$Y$17)*(1-实盘持仓配置!$Z$8)^(('实盘净值数据(iFinD公式)'!$A44-'实盘净值数据(iFinD公式)'!$A$5)/365))</f>
        <v/>
      </c>
      <c r="O44" s="7" t="str">
        <f t="shared" si="1"/>
        <v/>
      </c>
      <c r="P44" s="7" t="str">
        <f>IF(N44="","",N44/MAX(N$5:N44)-1)</f>
        <v/>
      </c>
      <c r="Q44" s="38" t="str">
        <f>IF(OR('实盘净值数据(iFinD公式)'!$A44="",'实盘净值数据(iFinD公式)'!$B44=""),"",分期持仓明细!$AB$16*SUMPRODUCT(分期持仓明细!$B$16:$Y$16,'实盘净值数据(iFinD公式)'!$B44:$Y44/'实盘净值数据(iFinD公式)'!$B$17:$Y$17)*(1-实盘持仓配置!$Z$9)^(('实盘净值数据(iFinD公式)'!$A44-'实盘净值数据(iFinD公式)'!$A$8)/365))</f>
        <v/>
      </c>
      <c r="R44" s="7" t="str">
        <f t="shared" si="2"/>
        <v/>
      </c>
      <c r="S44" s="7" t="str">
        <f>IF(Q44="","",Q44/MAX(Q$5:Q44)-1)</f>
        <v/>
      </c>
    </row>
    <row r="45" spans="1:19" x14ac:dyDescent="0.25">
      <c r="A45" s="39" t="str">
        <f>IF('实盘净值数据(iFinD公式)'!A45="","",'实盘净值数据(iFinD公式)'!A45)</f>
        <v/>
      </c>
      <c r="B45" s="38" t="str">
        <f>IF(OR('实盘净值数据(iFinD公式)'!$A45="",'实盘净值数据(iFinD公式)'!$B45=""),"",分期持仓明细!$AB$17*SUMPRODUCT(分期持仓明细!$B$17:$Y$17,'实盘净值数据(iFinD公式)'!$B45:$Y45/'实盘净值数据(iFinD公式)'!$B$20:$Y$20)*(1-实盘持仓配置!$Z$4)^(('实盘净值数据(iFinD公式)'!$A45-'实盘净值数据(iFinD公式)'!$A$6)/365))</f>
        <v/>
      </c>
      <c r="C45" s="7" t="str">
        <f t="shared" si="3"/>
        <v/>
      </c>
      <c r="D45" s="7" t="str">
        <f>IF(B45="","",B45/MAX(B$5:B45)-1)</f>
        <v/>
      </c>
      <c r="E45" s="38" t="str">
        <f>IF(OR('实盘净值数据(iFinD公式)'!$A45="",'实盘净值数据(iFinD公式)'!$B45=""),"",分期持仓明细!$AB$18*SUMPRODUCT(分期持仓明细!$B$18:$Y$18,'实盘净值数据(iFinD公式)'!$B45:$Y45/'实盘净值数据(iFinD公式)'!$B$20:$Y$20)*(1-实盘持仓配置!$Z$5)^(('实盘净值数据(iFinD公式)'!$A45-'实盘净值数据(iFinD公式)'!$A$5)/365))</f>
        <v/>
      </c>
      <c r="F45" s="7" t="str">
        <f t="shared" si="4"/>
        <v/>
      </c>
      <c r="G45" s="7" t="str">
        <f>IF(E45="","",E45/MAX(E$5:E45)-1)</f>
        <v/>
      </c>
      <c r="H45" s="38" t="str">
        <f>IF(OR('实盘净值数据(iFinD公式)'!$A45="",'实盘净值数据(iFinD公式)'!$B45=""),"",分期持仓明细!$AB$19*SUMPRODUCT(分期持仓明细!$B$19:$Y$19,'实盘净值数据(iFinD公式)'!$B45:$Y45/'实盘净值数据(iFinD公式)'!$B$20:$Y$20)*(1-实盘持仓配置!$Z$6)^(('实盘净值数据(iFinD公式)'!$A45-'实盘净值数据(iFinD公式)'!$A$7)/365))</f>
        <v/>
      </c>
      <c r="I45" s="7" t="str">
        <f t="shared" si="5"/>
        <v/>
      </c>
      <c r="J45" s="7" t="str">
        <f>IF(H45="","",H45/MAX(H$5:H45)-1)</f>
        <v/>
      </c>
      <c r="K45" s="38" t="str">
        <f>IF(OR('实盘净值数据(iFinD公式)'!$A45="",'实盘净值数据(iFinD公式)'!$B45=""),"",分期持仓明细!$AB$14*SUMPRODUCT(分期持仓明细!$B$14:$Y$14,'实盘净值数据(iFinD公式)'!$B45:$Y45/'实盘净值数据(iFinD公式)'!$B$17:$Y$17)*(1-实盘持仓配置!$Z$7)^(('实盘净值数据(iFinD公式)'!$A45-'实盘净值数据(iFinD公式)'!$A$8)/365))</f>
        <v/>
      </c>
      <c r="L45" s="7" t="str">
        <f t="shared" si="0"/>
        <v/>
      </c>
      <c r="M45" s="7" t="str">
        <f>IF(K45="","",K45/MAX(K$5:K45)-1)</f>
        <v/>
      </c>
      <c r="N45" s="38" t="str">
        <f>IF(OR('实盘净值数据(iFinD公式)'!$A45="",'实盘净值数据(iFinD公式)'!$B45=""),"",分期持仓明细!$AB$15*SUMPRODUCT(分期持仓明细!$B$15:$Y$15,'实盘净值数据(iFinD公式)'!$B45:$Y45/'实盘净值数据(iFinD公式)'!$B$17:$Y$17)*(1-实盘持仓配置!$Z$8)^(('实盘净值数据(iFinD公式)'!$A45-'实盘净值数据(iFinD公式)'!$A$5)/365))</f>
        <v/>
      </c>
      <c r="O45" s="7" t="str">
        <f t="shared" si="1"/>
        <v/>
      </c>
      <c r="P45" s="7" t="str">
        <f>IF(N45="","",N45/MAX(N$5:N45)-1)</f>
        <v/>
      </c>
      <c r="Q45" s="38" t="str">
        <f>IF(OR('实盘净值数据(iFinD公式)'!$A45="",'实盘净值数据(iFinD公式)'!$B45=""),"",分期持仓明细!$AB$16*SUMPRODUCT(分期持仓明细!$B$16:$Y$16,'实盘净值数据(iFinD公式)'!$B45:$Y45/'实盘净值数据(iFinD公式)'!$B$17:$Y$17)*(1-实盘持仓配置!$Z$9)^(('实盘净值数据(iFinD公式)'!$A45-'实盘净值数据(iFinD公式)'!$A$8)/365))</f>
        <v/>
      </c>
      <c r="R45" s="7" t="str">
        <f t="shared" si="2"/>
        <v/>
      </c>
      <c r="S45" s="7" t="str">
        <f>IF(Q45="","",Q45/MAX(Q$5:Q45)-1)</f>
        <v/>
      </c>
    </row>
    <row r="46" spans="1:19" x14ac:dyDescent="0.25">
      <c r="A46" s="39" t="str">
        <f>IF('实盘净值数据(iFinD公式)'!A46="","",'实盘净值数据(iFinD公式)'!A46)</f>
        <v/>
      </c>
      <c r="B46" s="38" t="str">
        <f>IF(OR('实盘净值数据(iFinD公式)'!$A46="",'实盘净值数据(iFinD公式)'!$B46=""),"",分期持仓明细!$AB$17*SUMPRODUCT(分期持仓明细!$B$17:$Y$17,'实盘净值数据(iFinD公式)'!$B46:$Y46/'实盘净值数据(iFinD公式)'!$B$20:$Y$20)*(1-实盘持仓配置!$Z$4)^(('实盘净值数据(iFinD公式)'!$A46-'实盘净值数据(iFinD公式)'!$A$6)/365))</f>
        <v/>
      </c>
      <c r="C46" s="7" t="str">
        <f t="shared" si="3"/>
        <v/>
      </c>
      <c r="D46" s="7" t="str">
        <f>IF(B46="","",B46/MAX(B$5:B46)-1)</f>
        <v/>
      </c>
      <c r="E46" s="38" t="str">
        <f>IF(OR('实盘净值数据(iFinD公式)'!$A46="",'实盘净值数据(iFinD公式)'!$B46=""),"",分期持仓明细!$AB$18*SUMPRODUCT(分期持仓明细!$B$18:$Y$18,'实盘净值数据(iFinD公式)'!$B46:$Y46/'实盘净值数据(iFinD公式)'!$B$20:$Y$20)*(1-实盘持仓配置!$Z$5)^(('实盘净值数据(iFinD公式)'!$A46-'实盘净值数据(iFinD公式)'!$A$5)/365))</f>
        <v/>
      </c>
      <c r="F46" s="7" t="str">
        <f t="shared" si="4"/>
        <v/>
      </c>
      <c r="G46" s="7" t="str">
        <f>IF(E46="","",E46/MAX(E$5:E46)-1)</f>
        <v/>
      </c>
      <c r="H46" s="38" t="str">
        <f>IF(OR('实盘净值数据(iFinD公式)'!$A46="",'实盘净值数据(iFinD公式)'!$B46=""),"",分期持仓明细!$AB$19*SUMPRODUCT(分期持仓明细!$B$19:$Y$19,'实盘净值数据(iFinD公式)'!$B46:$Y46/'实盘净值数据(iFinD公式)'!$B$20:$Y$20)*(1-实盘持仓配置!$Z$6)^(('实盘净值数据(iFinD公式)'!$A46-'实盘净值数据(iFinD公式)'!$A$7)/365))</f>
        <v/>
      </c>
      <c r="I46" s="7" t="str">
        <f t="shared" si="5"/>
        <v/>
      </c>
      <c r="J46" s="7" t="str">
        <f>IF(H46="","",H46/MAX(H$5:H46)-1)</f>
        <v/>
      </c>
      <c r="K46" s="38" t="str">
        <f>IF(OR('实盘净值数据(iFinD公式)'!$A46="",'实盘净值数据(iFinD公式)'!$B46=""),"",分期持仓明细!$AB$14*SUMPRODUCT(分期持仓明细!$B$14:$Y$14,'实盘净值数据(iFinD公式)'!$B46:$Y46/'实盘净值数据(iFinD公式)'!$B$17:$Y$17)*(1-实盘持仓配置!$Z$7)^(('实盘净值数据(iFinD公式)'!$A46-'实盘净值数据(iFinD公式)'!$A$8)/365))</f>
        <v/>
      </c>
      <c r="L46" s="7" t="str">
        <f t="shared" si="0"/>
        <v/>
      </c>
      <c r="M46" s="7" t="str">
        <f>IF(K46="","",K46/MAX(K$5:K46)-1)</f>
        <v/>
      </c>
      <c r="N46" s="38" t="str">
        <f>IF(OR('实盘净值数据(iFinD公式)'!$A46="",'实盘净值数据(iFinD公式)'!$B46=""),"",分期持仓明细!$AB$15*SUMPRODUCT(分期持仓明细!$B$15:$Y$15,'实盘净值数据(iFinD公式)'!$B46:$Y46/'实盘净值数据(iFinD公式)'!$B$17:$Y$17)*(1-实盘持仓配置!$Z$8)^(('实盘净值数据(iFinD公式)'!$A46-'实盘净值数据(iFinD公式)'!$A$5)/365))</f>
        <v/>
      </c>
      <c r="O46" s="7" t="str">
        <f t="shared" si="1"/>
        <v/>
      </c>
      <c r="P46" s="7" t="str">
        <f>IF(N46="","",N46/MAX(N$5:N46)-1)</f>
        <v/>
      </c>
      <c r="Q46" s="38" t="str">
        <f>IF(OR('实盘净值数据(iFinD公式)'!$A46="",'实盘净值数据(iFinD公式)'!$B46=""),"",分期持仓明细!$AB$16*SUMPRODUCT(分期持仓明细!$B$16:$Y$16,'实盘净值数据(iFinD公式)'!$B46:$Y46/'实盘净值数据(iFinD公式)'!$B$17:$Y$17)*(1-实盘持仓配置!$Z$9)^(('实盘净值数据(iFinD公式)'!$A46-'实盘净值数据(iFinD公式)'!$A$8)/365))</f>
        <v/>
      </c>
      <c r="R46" s="7" t="str">
        <f t="shared" si="2"/>
        <v/>
      </c>
      <c r="S46" s="7" t="str">
        <f>IF(Q46="","",Q46/MAX(Q$5:Q46)-1)</f>
        <v/>
      </c>
    </row>
    <row r="47" spans="1:19" x14ac:dyDescent="0.25">
      <c r="A47" s="39" t="str">
        <f>IF('实盘净值数据(iFinD公式)'!A47="","",'实盘净值数据(iFinD公式)'!A47)</f>
        <v/>
      </c>
      <c r="B47" s="38" t="str">
        <f>IF(OR('实盘净值数据(iFinD公式)'!$A47="",'实盘净值数据(iFinD公式)'!$B47=""),"",分期持仓明细!$AB$17*SUMPRODUCT(分期持仓明细!$B$17:$Y$17,'实盘净值数据(iFinD公式)'!$B47:$Y47/'实盘净值数据(iFinD公式)'!$B$20:$Y$20)*(1-实盘持仓配置!$Z$4)^(('实盘净值数据(iFinD公式)'!$A47-'实盘净值数据(iFinD公式)'!$A$6)/365))</f>
        <v/>
      </c>
      <c r="C47" s="7" t="str">
        <f t="shared" si="3"/>
        <v/>
      </c>
      <c r="D47" s="7" t="str">
        <f>IF(B47="","",B47/MAX(B$5:B47)-1)</f>
        <v/>
      </c>
      <c r="E47" s="38" t="str">
        <f>IF(OR('实盘净值数据(iFinD公式)'!$A47="",'实盘净值数据(iFinD公式)'!$B47=""),"",分期持仓明细!$AB$18*SUMPRODUCT(分期持仓明细!$B$18:$Y$18,'实盘净值数据(iFinD公式)'!$B47:$Y47/'实盘净值数据(iFinD公式)'!$B$20:$Y$20)*(1-实盘持仓配置!$Z$5)^(('实盘净值数据(iFinD公式)'!$A47-'实盘净值数据(iFinD公式)'!$A$5)/365))</f>
        <v/>
      </c>
      <c r="F47" s="7" t="str">
        <f t="shared" si="4"/>
        <v/>
      </c>
      <c r="G47" s="7" t="str">
        <f>IF(E47="","",E47/MAX(E$5:E47)-1)</f>
        <v/>
      </c>
      <c r="H47" s="38" t="str">
        <f>IF(OR('实盘净值数据(iFinD公式)'!$A47="",'实盘净值数据(iFinD公式)'!$B47=""),"",分期持仓明细!$AB$19*SUMPRODUCT(分期持仓明细!$B$19:$Y$19,'实盘净值数据(iFinD公式)'!$B47:$Y47/'实盘净值数据(iFinD公式)'!$B$20:$Y$20)*(1-实盘持仓配置!$Z$6)^(('实盘净值数据(iFinD公式)'!$A47-'实盘净值数据(iFinD公式)'!$A$7)/365))</f>
        <v/>
      </c>
      <c r="I47" s="7" t="str">
        <f t="shared" si="5"/>
        <v/>
      </c>
      <c r="J47" s="7" t="str">
        <f>IF(H47="","",H47/MAX(H$5:H47)-1)</f>
        <v/>
      </c>
      <c r="K47" s="38" t="str">
        <f>IF(OR('实盘净值数据(iFinD公式)'!$A47="",'实盘净值数据(iFinD公式)'!$B47=""),"",分期持仓明细!$AB$14*SUMPRODUCT(分期持仓明细!$B$14:$Y$14,'实盘净值数据(iFinD公式)'!$B47:$Y47/'实盘净值数据(iFinD公式)'!$B$17:$Y$17)*(1-实盘持仓配置!$Z$7)^(('实盘净值数据(iFinD公式)'!$A47-'实盘净值数据(iFinD公式)'!$A$8)/365))</f>
        <v/>
      </c>
      <c r="L47" s="7" t="str">
        <f t="shared" si="0"/>
        <v/>
      </c>
      <c r="M47" s="7" t="str">
        <f>IF(K47="","",K47/MAX(K$5:K47)-1)</f>
        <v/>
      </c>
      <c r="N47" s="38" t="str">
        <f>IF(OR('实盘净值数据(iFinD公式)'!$A47="",'实盘净值数据(iFinD公式)'!$B47=""),"",分期持仓明细!$AB$15*SUMPRODUCT(分期持仓明细!$B$15:$Y$15,'实盘净值数据(iFinD公式)'!$B47:$Y47/'实盘净值数据(iFinD公式)'!$B$17:$Y$17)*(1-实盘持仓配置!$Z$8)^(('实盘净值数据(iFinD公式)'!$A47-'实盘净值数据(iFinD公式)'!$A$5)/365))</f>
        <v/>
      </c>
      <c r="O47" s="7" t="str">
        <f t="shared" si="1"/>
        <v/>
      </c>
      <c r="P47" s="7" t="str">
        <f>IF(N47="","",N47/MAX(N$5:N47)-1)</f>
        <v/>
      </c>
      <c r="Q47" s="38" t="str">
        <f>IF(OR('实盘净值数据(iFinD公式)'!$A47="",'实盘净值数据(iFinD公式)'!$B47=""),"",分期持仓明细!$AB$16*SUMPRODUCT(分期持仓明细!$B$16:$Y$16,'实盘净值数据(iFinD公式)'!$B47:$Y47/'实盘净值数据(iFinD公式)'!$B$17:$Y$17)*(1-实盘持仓配置!$Z$9)^(('实盘净值数据(iFinD公式)'!$A47-'实盘净值数据(iFinD公式)'!$A$8)/365))</f>
        <v/>
      </c>
      <c r="R47" s="7" t="str">
        <f t="shared" si="2"/>
        <v/>
      </c>
      <c r="S47" s="7" t="str">
        <f>IF(Q47="","",Q47/MAX(Q$5:Q47)-1)</f>
        <v/>
      </c>
    </row>
    <row r="48" spans="1:19" x14ac:dyDescent="0.25">
      <c r="A48" s="39" t="str">
        <f>IF('实盘净值数据(iFinD公式)'!A48="","",'实盘净值数据(iFinD公式)'!A48)</f>
        <v/>
      </c>
      <c r="B48" s="38" t="str">
        <f>IF(OR('实盘净值数据(iFinD公式)'!$A48="",'实盘净值数据(iFinD公式)'!$B48=""),"",分期持仓明细!$AB$17*SUMPRODUCT(分期持仓明细!$B$17:$Y$17,'实盘净值数据(iFinD公式)'!$B48:$Y48/'实盘净值数据(iFinD公式)'!$B$20:$Y$20)*(1-实盘持仓配置!$Z$4)^(('实盘净值数据(iFinD公式)'!$A48-'实盘净值数据(iFinD公式)'!$A$6)/365))</f>
        <v/>
      </c>
      <c r="C48" s="7" t="str">
        <f t="shared" si="3"/>
        <v/>
      </c>
      <c r="D48" s="7" t="str">
        <f>IF(B48="","",B48/MAX(B$5:B48)-1)</f>
        <v/>
      </c>
      <c r="E48" s="38" t="str">
        <f>IF(OR('实盘净值数据(iFinD公式)'!$A48="",'实盘净值数据(iFinD公式)'!$B48=""),"",分期持仓明细!$AB$18*SUMPRODUCT(分期持仓明细!$B$18:$Y$18,'实盘净值数据(iFinD公式)'!$B48:$Y48/'实盘净值数据(iFinD公式)'!$B$20:$Y$20)*(1-实盘持仓配置!$Z$5)^(('实盘净值数据(iFinD公式)'!$A48-'实盘净值数据(iFinD公式)'!$A$5)/365))</f>
        <v/>
      </c>
      <c r="F48" s="7" t="str">
        <f t="shared" si="4"/>
        <v/>
      </c>
      <c r="G48" s="7" t="str">
        <f>IF(E48="","",E48/MAX(E$5:E48)-1)</f>
        <v/>
      </c>
      <c r="H48" s="38" t="str">
        <f>IF(OR('实盘净值数据(iFinD公式)'!$A48="",'实盘净值数据(iFinD公式)'!$B48=""),"",分期持仓明细!$AB$19*SUMPRODUCT(分期持仓明细!$B$19:$Y$19,'实盘净值数据(iFinD公式)'!$B48:$Y48/'实盘净值数据(iFinD公式)'!$B$20:$Y$20)*(1-实盘持仓配置!$Z$6)^(('实盘净值数据(iFinD公式)'!$A48-'实盘净值数据(iFinD公式)'!$A$7)/365))</f>
        <v/>
      </c>
      <c r="I48" s="7" t="str">
        <f t="shared" si="5"/>
        <v/>
      </c>
      <c r="J48" s="7" t="str">
        <f>IF(H48="","",H48/MAX(H$5:H48)-1)</f>
        <v/>
      </c>
      <c r="K48" s="38" t="str">
        <f>IF(OR('实盘净值数据(iFinD公式)'!$A48="",'实盘净值数据(iFinD公式)'!$B48=""),"",分期持仓明细!$AB$14*SUMPRODUCT(分期持仓明细!$B$14:$Y$14,'实盘净值数据(iFinD公式)'!$B48:$Y48/'实盘净值数据(iFinD公式)'!$B$17:$Y$17)*(1-实盘持仓配置!$Z$7)^(('实盘净值数据(iFinD公式)'!$A48-'实盘净值数据(iFinD公式)'!$A$8)/365))</f>
        <v/>
      </c>
      <c r="L48" s="7" t="str">
        <f t="shared" si="0"/>
        <v/>
      </c>
      <c r="M48" s="7" t="str">
        <f>IF(K48="","",K48/MAX(K$5:K48)-1)</f>
        <v/>
      </c>
      <c r="N48" s="38" t="str">
        <f>IF(OR('实盘净值数据(iFinD公式)'!$A48="",'实盘净值数据(iFinD公式)'!$B48=""),"",分期持仓明细!$AB$15*SUMPRODUCT(分期持仓明细!$B$15:$Y$15,'实盘净值数据(iFinD公式)'!$B48:$Y48/'实盘净值数据(iFinD公式)'!$B$17:$Y$17)*(1-实盘持仓配置!$Z$8)^(('实盘净值数据(iFinD公式)'!$A48-'实盘净值数据(iFinD公式)'!$A$5)/365))</f>
        <v/>
      </c>
      <c r="O48" s="7" t="str">
        <f t="shared" si="1"/>
        <v/>
      </c>
      <c r="P48" s="7" t="str">
        <f>IF(N48="","",N48/MAX(N$5:N48)-1)</f>
        <v/>
      </c>
      <c r="Q48" s="38" t="str">
        <f>IF(OR('实盘净值数据(iFinD公式)'!$A48="",'实盘净值数据(iFinD公式)'!$B48=""),"",分期持仓明细!$AB$16*SUMPRODUCT(分期持仓明细!$B$16:$Y$16,'实盘净值数据(iFinD公式)'!$B48:$Y48/'实盘净值数据(iFinD公式)'!$B$17:$Y$17)*(1-实盘持仓配置!$Z$9)^(('实盘净值数据(iFinD公式)'!$A48-'实盘净值数据(iFinD公式)'!$A$8)/365))</f>
        <v/>
      </c>
      <c r="R48" s="7" t="str">
        <f t="shared" si="2"/>
        <v/>
      </c>
      <c r="S48" s="7" t="str">
        <f>IF(Q48="","",Q48/MAX(Q$5:Q48)-1)</f>
        <v/>
      </c>
    </row>
    <row r="49" spans="1:19" x14ac:dyDescent="0.25">
      <c r="A49" s="39" t="str">
        <f>IF('实盘净值数据(iFinD公式)'!A49="","",'实盘净值数据(iFinD公式)'!A49)</f>
        <v/>
      </c>
      <c r="B49" s="38" t="str">
        <f>IF(OR('实盘净值数据(iFinD公式)'!$A49="",'实盘净值数据(iFinD公式)'!$B49=""),"",分期持仓明细!$AB$17*SUMPRODUCT(分期持仓明细!$B$17:$Y$17,'实盘净值数据(iFinD公式)'!$B49:$Y49/'实盘净值数据(iFinD公式)'!$B$20:$Y$20)*(1-实盘持仓配置!$Z$4)^(('实盘净值数据(iFinD公式)'!$A49-'实盘净值数据(iFinD公式)'!$A$6)/365))</f>
        <v/>
      </c>
      <c r="C49" s="7" t="str">
        <f t="shared" si="3"/>
        <v/>
      </c>
      <c r="D49" s="7" t="str">
        <f>IF(B49="","",B49/MAX(B$5:B49)-1)</f>
        <v/>
      </c>
      <c r="E49" s="38" t="str">
        <f>IF(OR('实盘净值数据(iFinD公式)'!$A49="",'实盘净值数据(iFinD公式)'!$B49=""),"",分期持仓明细!$AB$18*SUMPRODUCT(分期持仓明细!$B$18:$Y$18,'实盘净值数据(iFinD公式)'!$B49:$Y49/'实盘净值数据(iFinD公式)'!$B$20:$Y$20)*(1-实盘持仓配置!$Z$5)^(('实盘净值数据(iFinD公式)'!$A49-'实盘净值数据(iFinD公式)'!$A$5)/365))</f>
        <v/>
      </c>
      <c r="F49" s="7" t="str">
        <f t="shared" si="4"/>
        <v/>
      </c>
      <c r="G49" s="7" t="str">
        <f>IF(E49="","",E49/MAX(E$5:E49)-1)</f>
        <v/>
      </c>
      <c r="H49" s="38" t="str">
        <f>IF(OR('实盘净值数据(iFinD公式)'!$A49="",'实盘净值数据(iFinD公式)'!$B49=""),"",分期持仓明细!$AB$19*SUMPRODUCT(分期持仓明细!$B$19:$Y$19,'实盘净值数据(iFinD公式)'!$B49:$Y49/'实盘净值数据(iFinD公式)'!$B$20:$Y$20)*(1-实盘持仓配置!$Z$6)^(('实盘净值数据(iFinD公式)'!$A49-'实盘净值数据(iFinD公式)'!$A$7)/365))</f>
        <v/>
      </c>
      <c r="I49" s="7" t="str">
        <f t="shared" si="5"/>
        <v/>
      </c>
      <c r="J49" s="7" t="str">
        <f>IF(H49="","",H49/MAX(H$5:H49)-1)</f>
        <v/>
      </c>
      <c r="K49" s="38" t="str">
        <f>IF(OR('实盘净值数据(iFinD公式)'!$A49="",'实盘净值数据(iFinD公式)'!$B49=""),"",分期持仓明细!$AB$14*SUMPRODUCT(分期持仓明细!$B$14:$Y$14,'实盘净值数据(iFinD公式)'!$B49:$Y49/'实盘净值数据(iFinD公式)'!$B$17:$Y$17)*(1-实盘持仓配置!$Z$7)^(('实盘净值数据(iFinD公式)'!$A49-'实盘净值数据(iFinD公式)'!$A$8)/365))</f>
        <v/>
      </c>
      <c r="L49" s="7" t="str">
        <f t="shared" si="0"/>
        <v/>
      </c>
      <c r="M49" s="7" t="str">
        <f>IF(K49="","",K49/MAX(K$5:K49)-1)</f>
        <v/>
      </c>
      <c r="N49" s="38" t="str">
        <f>IF(OR('实盘净值数据(iFinD公式)'!$A49="",'实盘净值数据(iFinD公式)'!$B49=""),"",分期持仓明细!$AB$15*SUMPRODUCT(分期持仓明细!$B$15:$Y$15,'实盘净值数据(iFinD公式)'!$B49:$Y49/'实盘净值数据(iFinD公式)'!$B$17:$Y$17)*(1-实盘持仓配置!$Z$8)^(('实盘净值数据(iFinD公式)'!$A49-'实盘净值数据(iFinD公式)'!$A$5)/365))</f>
        <v/>
      </c>
      <c r="O49" s="7" t="str">
        <f t="shared" si="1"/>
        <v/>
      </c>
      <c r="P49" s="7" t="str">
        <f>IF(N49="","",N49/MAX(N$5:N49)-1)</f>
        <v/>
      </c>
      <c r="Q49" s="38" t="str">
        <f>IF(OR('实盘净值数据(iFinD公式)'!$A49="",'实盘净值数据(iFinD公式)'!$B49=""),"",分期持仓明细!$AB$16*SUMPRODUCT(分期持仓明细!$B$16:$Y$16,'实盘净值数据(iFinD公式)'!$B49:$Y49/'实盘净值数据(iFinD公式)'!$B$17:$Y$17)*(1-实盘持仓配置!$Z$9)^(('实盘净值数据(iFinD公式)'!$A49-'实盘净值数据(iFinD公式)'!$A$8)/365))</f>
        <v/>
      </c>
      <c r="R49" s="7" t="str">
        <f t="shared" si="2"/>
        <v/>
      </c>
      <c r="S49" s="7" t="str">
        <f>IF(Q49="","",Q49/MAX(Q$5:Q49)-1)</f>
        <v/>
      </c>
    </row>
    <row r="50" spans="1:19" x14ac:dyDescent="0.25">
      <c r="A50" s="39" t="str">
        <f>IF('实盘净值数据(iFinD公式)'!A50="","",'实盘净值数据(iFinD公式)'!A50)</f>
        <v/>
      </c>
      <c r="B50" s="38" t="str">
        <f>IF(OR('实盘净值数据(iFinD公式)'!$A50="",'实盘净值数据(iFinD公式)'!$B50=""),"",分期持仓明细!$AB$17*SUMPRODUCT(分期持仓明细!$B$17:$Y$17,'实盘净值数据(iFinD公式)'!$B50:$Y50/'实盘净值数据(iFinD公式)'!$B$20:$Y$20)*(1-实盘持仓配置!$Z$4)^(('实盘净值数据(iFinD公式)'!$A50-'实盘净值数据(iFinD公式)'!$A$6)/365))</f>
        <v/>
      </c>
      <c r="C50" s="7" t="str">
        <f t="shared" si="3"/>
        <v/>
      </c>
      <c r="D50" s="7" t="str">
        <f>IF(B50="","",B50/MAX(B$5:B50)-1)</f>
        <v/>
      </c>
      <c r="E50" s="38" t="str">
        <f>IF(OR('实盘净值数据(iFinD公式)'!$A50="",'实盘净值数据(iFinD公式)'!$B50=""),"",分期持仓明细!$AB$18*SUMPRODUCT(分期持仓明细!$B$18:$Y$18,'实盘净值数据(iFinD公式)'!$B50:$Y50/'实盘净值数据(iFinD公式)'!$B$20:$Y$20)*(1-实盘持仓配置!$Z$5)^(('实盘净值数据(iFinD公式)'!$A50-'实盘净值数据(iFinD公式)'!$A$5)/365))</f>
        <v/>
      </c>
      <c r="F50" s="7" t="str">
        <f t="shared" si="4"/>
        <v/>
      </c>
      <c r="G50" s="7" t="str">
        <f>IF(E50="","",E50/MAX(E$5:E50)-1)</f>
        <v/>
      </c>
      <c r="H50" s="38" t="str">
        <f>IF(OR('实盘净值数据(iFinD公式)'!$A50="",'实盘净值数据(iFinD公式)'!$B50=""),"",分期持仓明细!$AB$19*SUMPRODUCT(分期持仓明细!$B$19:$Y$19,'实盘净值数据(iFinD公式)'!$B50:$Y50/'实盘净值数据(iFinD公式)'!$B$20:$Y$20)*(1-实盘持仓配置!$Z$6)^(('实盘净值数据(iFinD公式)'!$A50-'实盘净值数据(iFinD公式)'!$A$7)/365))</f>
        <v/>
      </c>
      <c r="I50" s="7" t="str">
        <f t="shared" si="5"/>
        <v/>
      </c>
      <c r="J50" s="7" t="str">
        <f>IF(H50="","",H50/MAX(H$5:H50)-1)</f>
        <v/>
      </c>
      <c r="K50" s="38" t="str">
        <f>IF(OR('实盘净值数据(iFinD公式)'!$A50="",'实盘净值数据(iFinD公式)'!$B50=""),"",分期持仓明细!$AB$14*SUMPRODUCT(分期持仓明细!$B$14:$Y$14,'实盘净值数据(iFinD公式)'!$B50:$Y50/'实盘净值数据(iFinD公式)'!$B$17:$Y$17)*(1-实盘持仓配置!$Z$7)^(('实盘净值数据(iFinD公式)'!$A50-'实盘净值数据(iFinD公式)'!$A$8)/365))</f>
        <v/>
      </c>
      <c r="L50" s="7" t="str">
        <f t="shared" si="0"/>
        <v/>
      </c>
      <c r="M50" s="7" t="str">
        <f>IF(K50="","",K50/MAX(K$5:K50)-1)</f>
        <v/>
      </c>
      <c r="N50" s="38" t="str">
        <f>IF(OR('实盘净值数据(iFinD公式)'!$A50="",'实盘净值数据(iFinD公式)'!$B50=""),"",分期持仓明细!$AB$15*SUMPRODUCT(分期持仓明细!$B$15:$Y$15,'实盘净值数据(iFinD公式)'!$B50:$Y50/'实盘净值数据(iFinD公式)'!$B$17:$Y$17)*(1-实盘持仓配置!$Z$8)^(('实盘净值数据(iFinD公式)'!$A50-'实盘净值数据(iFinD公式)'!$A$5)/365))</f>
        <v/>
      </c>
      <c r="O50" s="7" t="str">
        <f t="shared" si="1"/>
        <v/>
      </c>
      <c r="P50" s="7" t="str">
        <f>IF(N50="","",N50/MAX(N$5:N50)-1)</f>
        <v/>
      </c>
      <c r="Q50" s="38" t="str">
        <f>IF(OR('实盘净值数据(iFinD公式)'!$A50="",'实盘净值数据(iFinD公式)'!$B50=""),"",分期持仓明细!$AB$16*SUMPRODUCT(分期持仓明细!$B$16:$Y$16,'实盘净值数据(iFinD公式)'!$B50:$Y50/'实盘净值数据(iFinD公式)'!$B$17:$Y$17)*(1-实盘持仓配置!$Z$9)^(('实盘净值数据(iFinD公式)'!$A50-'实盘净值数据(iFinD公式)'!$A$8)/365))</f>
        <v/>
      </c>
      <c r="R50" s="7" t="str">
        <f t="shared" si="2"/>
        <v/>
      </c>
      <c r="S50" s="7" t="str">
        <f>IF(Q50="","",Q50/MAX(Q$5:Q50)-1)</f>
        <v/>
      </c>
    </row>
    <row r="51" spans="1:19" x14ac:dyDescent="0.25">
      <c r="A51" s="39" t="str">
        <f>IF('实盘净值数据(iFinD公式)'!A51="","",'实盘净值数据(iFinD公式)'!A51)</f>
        <v/>
      </c>
      <c r="B51" s="38" t="str">
        <f>IF(OR('实盘净值数据(iFinD公式)'!$A51="",'实盘净值数据(iFinD公式)'!$B51=""),"",分期持仓明细!$AB$17*SUMPRODUCT(分期持仓明细!$B$17:$Y$17,'实盘净值数据(iFinD公式)'!$B51:$Y51/'实盘净值数据(iFinD公式)'!$B$20:$Y$20)*(1-实盘持仓配置!$Z$4)^(('实盘净值数据(iFinD公式)'!$A51-'实盘净值数据(iFinD公式)'!$A$6)/365))</f>
        <v/>
      </c>
      <c r="C51" s="7" t="str">
        <f t="shared" si="3"/>
        <v/>
      </c>
      <c r="D51" s="7" t="str">
        <f>IF(B51="","",B51/MAX(B$5:B51)-1)</f>
        <v/>
      </c>
      <c r="E51" s="38" t="str">
        <f>IF(OR('实盘净值数据(iFinD公式)'!$A51="",'实盘净值数据(iFinD公式)'!$B51=""),"",分期持仓明细!$AB$18*SUMPRODUCT(分期持仓明细!$B$18:$Y$18,'实盘净值数据(iFinD公式)'!$B51:$Y51/'实盘净值数据(iFinD公式)'!$B$20:$Y$20)*(1-实盘持仓配置!$Z$5)^(('实盘净值数据(iFinD公式)'!$A51-'实盘净值数据(iFinD公式)'!$A$5)/365))</f>
        <v/>
      </c>
      <c r="F51" s="7" t="str">
        <f t="shared" si="4"/>
        <v/>
      </c>
      <c r="G51" s="7" t="str">
        <f>IF(E51="","",E51/MAX(E$5:E51)-1)</f>
        <v/>
      </c>
      <c r="H51" s="38" t="str">
        <f>IF(OR('实盘净值数据(iFinD公式)'!$A51="",'实盘净值数据(iFinD公式)'!$B51=""),"",分期持仓明细!$AB$19*SUMPRODUCT(分期持仓明细!$B$19:$Y$19,'实盘净值数据(iFinD公式)'!$B51:$Y51/'实盘净值数据(iFinD公式)'!$B$20:$Y$20)*(1-实盘持仓配置!$Z$6)^(('实盘净值数据(iFinD公式)'!$A51-'实盘净值数据(iFinD公式)'!$A$7)/365))</f>
        <v/>
      </c>
      <c r="I51" s="7" t="str">
        <f t="shared" si="5"/>
        <v/>
      </c>
      <c r="J51" s="7" t="str">
        <f>IF(H51="","",H51/MAX(H$5:H51)-1)</f>
        <v/>
      </c>
      <c r="K51" s="38" t="str">
        <f>IF(OR('实盘净值数据(iFinD公式)'!$A51="",'实盘净值数据(iFinD公式)'!$B51=""),"",分期持仓明细!$AB$14*SUMPRODUCT(分期持仓明细!$B$14:$Y$14,'实盘净值数据(iFinD公式)'!$B51:$Y51/'实盘净值数据(iFinD公式)'!$B$17:$Y$17)*(1-实盘持仓配置!$Z$7)^(('实盘净值数据(iFinD公式)'!$A51-'实盘净值数据(iFinD公式)'!$A$8)/365))</f>
        <v/>
      </c>
      <c r="L51" s="7" t="str">
        <f t="shared" si="0"/>
        <v/>
      </c>
      <c r="M51" s="7" t="str">
        <f>IF(K51="","",K51/MAX(K$5:K51)-1)</f>
        <v/>
      </c>
      <c r="N51" s="38" t="str">
        <f>IF(OR('实盘净值数据(iFinD公式)'!$A51="",'实盘净值数据(iFinD公式)'!$B51=""),"",分期持仓明细!$AB$15*SUMPRODUCT(分期持仓明细!$B$15:$Y$15,'实盘净值数据(iFinD公式)'!$B51:$Y51/'实盘净值数据(iFinD公式)'!$B$17:$Y$17)*(1-实盘持仓配置!$Z$8)^(('实盘净值数据(iFinD公式)'!$A51-'实盘净值数据(iFinD公式)'!$A$5)/365))</f>
        <v/>
      </c>
      <c r="O51" s="7" t="str">
        <f t="shared" si="1"/>
        <v/>
      </c>
      <c r="P51" s="7" t="str">
        <f>IF(N51="","",N51/MAX(N$5:N51)-1)</f>
        <v/>
      </c>
      <c r="Q51" s="38" t="str">
        <f>IF(OR('实盘净值数据(iFinD公式)'!$A51="",'实盘净值数据(iFinD公式)'!$B51=""),"",分期持仓明细!$AB$16*SUMPRODUCT(分期持仓明细!$B$16:$Y$16,'实盘净值数据(iFinD公式)'!$B51:$Y51/'实盘净值数据(iFinD公式)'!$B$17:$Y$17)*(1-实盘持仓配置!$Z$9)^(('实盘净值数据(iFinD公式)'!$A51-'实盘净值数据(iFinD公式)'!$A$8)/365))</f>
        <v/>
      </c>
      <c r="R51" s="7" t="str">
        <f t="shared" si="2"/>
        <v/>
      </c>
      <c r="S51" s="7" t="str">
        <f>IF(Q51="","",Q51/MAX(Q$5:Q51)-1)</f>
        <v/>
      </c>
    </row>
    <row r="52" spans="1:19" x14ac:dyDescent="0.25">
      <c r="A52" s="39" t="str">
        <f>IF('实盘净值数据(iFinD公式)'!A52="","",'实盘净值数据(iFinD公式)'!A52)</f>
        <v/>
      </c>
      <c r="B52" s="38" t="str">
        <f>IF(OR('实盘净值数据(iFinD公式)'!$A52="",'实盘净值数据(iFinD公式)'!$B52=""),"",分期持仓明细!$AB$17*SUMPRODUCT(分期持仓明细!$B$17:$Y$17,'实盘净值数据(iFinD公式)'!$B52:$Y52/'实盘净值数据(iFinD公式)'!$B$20:$Y$20)*(1-实盘持仓配置!$Z$4)^(('实盘净值数据(iFinD公式)'!$A52-'实盘净值数据(iFinD公式)'!$A$6)/365))</f>
        <v/>
      </c>
      <c r="C52" s="7" t="str">
        <f t="shared" si="3"/>
        <v/>
      </c>
      <c r="D52" s="7" t="str">
        <f>IF(B52="","",B52/MAX(B$5:B52)-1)</f>
        <v/>
      </c>
      <c r="E52" s="38" t="str">
        <f>IF(OR('实盘净值数据(iFinD公式)'!$A52="",'实盘净值数据(iFinD公式)'!$B52=""),"",分期持仓明细!$AB$18*SUMPRODUCT(分期持仓明细!$B$18:$Y$18,'实盘净值数据(iFinD公式)'!$B52:$Y52/'实盘净值数据(iFinD公式)'!$B$20:$Y$20)*(1-实盘持仓配置!$Z$5)^(('实盘净值数据(iFinD公式)'!$A52-'实盘净值数据(iFinD公式)'!$A$5)/365))</f>
        <v/>
      </c>
      <c r="F52" s="7" t="str">
        <f t="shared" si="4"/>
        <v/>
      </c>
      <c r="G52" s="7" t="str">
        <f>IF(E52="","",E52/MAX(E$5:E52)-1)</f>
        <v/>
      </c>
      <c r="H52" s="38" t="str">
        <f>IF(OR('实盘净值数据(iFinD公式)'!$A52="",'实盘净值数据(iFinD公式)'!$B52=""),"",分期持仓明细!$AB$19*SUMPRODUCT(分期持仓明细!$B$19:$Y$19,'实盘净值数据(iFinD公式)'!$B52:$Y52/'实盘净值数据(iFinD公式)'!$B$20:$Y$20)*(1-实盘持仓配置!$Z$6)^(('实盘净值数据(iFinD公式)'!$A52-'实盘净值数据(iFinD公式)'!$A$7)/365))</f>
        <v/>
      </c>
      <c r="I52" s="7" t="str">
        <f t="shared" si="5"/>
        <v/>
      </c>
      <c r="J52" s="7" t="str">
        <f>IF(H52="","",H52/MAX(H$5:H52)-1)</f>
        <v/>
      </c>
      <c r="K52" s="38" t="str">
        <f>IF(OR('实盘净值数据(iFinD公式)'!$A52="",'实盘净值数据(iFinD公式)'!$B52=""),"",分期持仓明细!$AB$14*SUMPRODUCT(分期持仓明细!$B$14:$Y$14,'实盘净值数据(iFinD公式)'!$B52:$Y52/'实盘净值数据(iFinD公式)'!$B$17:$Y$17)*(1-实盘持仓配置!$Z$7)^(('实盘净值数据(iFinD公式)'!$A52-'实盘净值数据(iFinD公式)'!$A$8)/365))</f>
        <v/>
      </c>
      <c r="L52" s="7" t="str">
        <f t="shared" si="0"/>
        <v/>
      </c>
      <c r="M52" s="7" t="str">
        <f>IF(K52="","",K52/MAX(K$5:K52)-1)</f>
        <v/>
      </c>
      <c r="N52" s="38" t="str">
        <f>IF(OR('实盘净值数据(iFinD公式)'!$A52="",'实盘净值数据(iFinD公式)'!$B52=""),"",分期持仓明细!$AB$15*SUMPRODUCT(分期持仓明细!$B$15:$Y$15,'实盘净值数据(iFinD公式)'!$B52:$Y52/'实盘净值数据(iFinD公式)'!$B$17:$Y$17)*(1-实盘持仓配置!$Z$8)^(('实盘净值数据(iFinD公式)'!$A52-'实盘净值数据(iFinD公式)'!$A$5)/365))</f>
        <v/>
      </c>
      <c r="O52" s="7" t="str">
        <f t="shared" si="1"/>
        <v/>
      </c>
      <c r="P52" s="7" t="str">
        <f>IF(N52="","",N52/MAX(N$5:N52)-1)</f>
        <v/>
      </c>
      <c r="Q52" s="38" t="str">
        <f>IF(OR('实盘净值数据(iFinD公式)'!$A52="",'实盘净值数据(iFinD公式)'!$B52=""),"",分期持仓明细!$AB$16*SUMPRODUCT(分期持仓明细!$B$16:$Y$16,'实盘净值数据(iFinD公式)'!$B52:$Y52/'实盘净值数据(iFinD公式)'!$B$17:$Y$17)*(1-实盘持仓配置!$Z$9)^(('实盘净值数据(iFinD公式)'!$A52-'实盘净值数据(iFinD公式)'!$A$8)/365))</f>
        <v/>
      </c>
      <c r="R52" s="7" t="str">
        <f t="shared" si="2"/>
        <v/>
      </c>
      <c r="S52" s="7" t="str">
        <f>IF(Q52="","",Q52/MAX(Q$5:Q52)-1)</f>
        <v/>
      </c>
    </row>
    <row r="53" spans="1:19" x14ac:dyDescent="0.25">
      <c r="A53" s="39" t="str">
        <f>IF('实盘净值数据(iFinD公式)'!A53="","",'实盘净值数据(iFinD公式)'!A53)</f>
        <v/>
      </c>
      <c r="B53" s="38" t="str">
        <f>IF(OR('实盘净值数据(iFinD公式)'!$A53="",'实盘净值数据(iFinD公式)'!$B53=""),"",分期持仓明细!$AB$17*SUMPRODUCT(分期持仓明细!$B$17:$Y$17,'实盘净值数据(iFinD公式)'!$B53:$Y53/'实盘净值数据(iFinD公式)'!$B$20:$Y$20)*(1-实盘持仓配置!$Z$4)^(('实盘净值数据(iFinD公式)'!$A53-'实盘净值数据(iFinD公式)'!$A$6)/365))</f>
        <v/>
      </c>
      <c r="C53" s="7" t="str">
        <f t="shared" si="3"/>
        <v/>
      </c>
      <c r="D53" s="7" t="str">
        <f>IF(B53="","",B53/MAX(B$5:B53)-1)</f>
        <v/>
      </c>
      <c r="E53" s="38" t="str">
        <f>IF(OR('实盘净值数据(iFinD公式)'!$A53="",'实盘净值数据(iFinD公式)'!$B53=""),"",分期持仓明细!$AB$18*SUMPRODUCT(分期持仓明细!$B$18:$Y$18,'实盘净值数据(iFinD公式)'!$B53:$Y53/'实盘净值数据(iFinD公式)'!$B$20:$Y$20)*(1-实盘持仓配置!$Z$5)^(('实盘净值数据(iFinD公式)'!$A53-'实盘净值数据(iFinD公式)'!$A$5)/365))</f>
        <v/>
      </c>
      <c r="F53" s="7" t="str">
        <f t="shared" si="4"/>
        <v/>
      </c>
      <c r="G53" s="7" t="str">
        <f>IF(E53="","",E53/MAX(E$5:E53)-1)</f>
        <v/>
      </c>
      <c r="H53" s="38" t="str">
        <f>IF(OR('实盘净值数据(iFinD公式)'!$A53="",'实盘净值数据(iFinD公式)'!$B53=""),"",分期持仓明细!$AB$19*SUMPRODUCT(分期持仓明细!$B$19:$Y$19,'实盘净值数据(iFinD公式)'!$B53:$Y53/'实盘净值数据(iFinD公式)'!$B$20:$Y$20)*(1-实盘持仓配置!$Z$6)^(('实盘净值数据(iFinD公式)'!$A53-'实盘净值数据(iFinD公式)'!$A$7)/365))</f>
        <v/>
      </c>
      <c r="I53" s="7" t="str">
        <f t="shared" si="5"/>
        <v/>
      </c>
      <c r="J53" s="7" t="str">
        <f>IF(H53="","",H53/MAX(H$5:H53)-1)</f>
        <v/>
      </c>
      <c r="K53" s="38" t="str">
        <f>IF(OR('实盘净值数据(iFinD公式)'!$A53="",'实盘净值数据(iFinD公式)'!$B53=""),"",分期持仓明细!$AB$14*SUMPRODUCT(分期持仓明细!$B$14:$Y$14,'实盘净值数据(iFinD公式)'!$B53:$Y53/'实盘净值数据(iFinD公式)'!$B$17:$Y$17)*(1-实盘持仓配置!$Z$7)^(('实盘净值数据(iFinD公式)'!$A53-'实盘净值数据(iFinD公式)'!$A$8)/365))</f>
        <v/>
      </c>
      <c r="L53" s="7" t="str">
        <f t="shared" si="0"/>
        <v/>
      </c>
      <c r="M53" s="7" t="str">
        <f>IF(K53="","",K53/MAX(K$5:K53)-1)</f>
        <v/>
      </c>
      <c r="N53" s="38" t="str">
        <f>IF(OR('实盘净值数据(iFinD公式)'!$A53="",'实盘净值数据(iFinD公式)'!$B53=""),"",分期持仓明细!$AB$15*SUMPRODUCT(分期持仓明细!$B$15:$Y$15,'实盘净值数据(iFinD公式)'!$B53:$Y53/'实盘净值数据(iFinD公式)'!$B$17:$Y$17)*(1-实盘持仓配置!$Z$8)^(('实盘净值数据(iFinD公式)'!$A53-'实盘净值数据(iFinD公式)'!$A$5)/365))</f>
        <v/>
      </c>
      <c r="O53" s="7" t="str">
        <f t="shared" si="1"/>
        <v/>
      </c>
      <c r="P53" s="7" t="str">
        <f>IF(N53="","",N53/MAX(N$5:N53)-1)</f>
        <v/>
      </c>
      <c r="Q53" s="38" t="str">
        <f>IF(OR('实盘净值数据(iFinD公式)'!$A53="",'实盘净值数据(iFinD公式)'!$B53=""),"",分期持仓明细!$AB$16*SUMPRODUCT(分期持仓明细!$B$16:$Y$16,'实盘净值数据(iFinD公式)'!$B53:$Y53/'实盘净值数据(iFinD公式)'!$B$17:$Y$17)*(1-实盘持仓配置!$Z$9)^(('实盘净值数据(iFinD公式)'!$A53-'实盘净值数据(iFinD公式)'!$A$8)/365))</f>
        <v/>
      </c>
      <c r="R53" s="7" t="str">
        <f t="shared" si="2"/>
        <v/>
      </c>
      <c r="S53" s="7" t="str">
        <f>IF(Q53="","",Q53/MAX(Q$5:Q53)-1)</f>
        <v/>
      </c>
    </row>
    <row r="54" spans="1:19" x14ac:dyDescent="0.25">
      <c r="A54" s="39" t="str">
        <f>IF('实盘净值数据(iFinD公式)'!A54="","",'实盘净值数据(iFinD公式)'!A54)</f>
        <v/>
      </c>
      <c r="B54" s="38" t="str">
        <f>IF(OR('实盘净值数据(iFinD公式)'!$A54="",'实盘净值数据(iFinD公式)'!$B54=""),"",分期持仓明细!$AB$17*SUMPRODUCT(分期持仓明细!$B$17:$Y$17,'实盘净值数据(iFinD公式)'!$B54:$Y54/'实盘净值数据(iFinD公式)'!$B$20:$Y$20)*(1-实盘持仓配置!$Z$4)^(('实盘净值数据(iFinD公式)'!$A54-'实盘净值数据(iFinD公式)'!$A$6)/365))</f>
        <v/>
      </c>
      <c r="C54" s="7" t="str">
        <f t="shared" si="3"/>
        <v/>
      </c>
      <c r="D54" s="7" t="str">
        <f>IF(B54="","",B54/MAX(B$5:B54)-1)</f>
        <v/>
      </c>
      <c r="E54" s="38" t="str">
        <f>IF(OR('实盘净值数据(iFinD公式)'!$A54="",'实盘净值数据(iFinD公式)'!$B54=""),"",分期持仓明细!$AB$18*SUMPRODUCT(分期持仓明细!$B$18:$Y$18,'实盘净值数据(iFinD公式)'!$B54:$Y54/'实盘净值数据(iFinD公式)'!$B$20:$Y$20)*(1-实盘持仓配置!$Z$5)^(('实盘净值数据(iFinD公式)'!$A54-'实盘净值数据(iFinD公式)'!$A$5)/365))</f>
        <v/>
      </c>
      <c r="F54" s="7" t="str">
        <f t="shared" si="4"/>
        <v/>
      </c>
      <c r="G54" s="7" t="str">
        <f>IF(E54="","",E54/MAX(E$5:E54)-1)</f>
        <v/>
      </c>
      <c r="H54" s="38" t="str">
        <f>IF(OR('实盘净值数据(iFinD公式)'!$A54="",'实盘净值数据(iFinD公式)'!$B54=""),"",分期持仓明细!$AB$19*SUMPRODUCT(分期持仓明细!$B$19:$Y$19,'实盘净值数据(iFinD公式)'!$B54:$Y54/'实盘净值数据(iFinD公式)'!$B$20:$Y$20)*(1-实盘持仓配置!$Z$6)^(('实盘净值数据(iFinD公式)'!$A54-'实盘净值数据(iFinD公式)'!$A$7)/365))</f>
        <v/>
      </c>
      <c r="I54" s="7" t="str">
        <f t="shared" si="5"/>
        <v/>
      </c>
      <c r="J54" s="7" t="str">
        <f>IF(H54="","",H54/MAX(H$5:H54)-1)</f>
        <v/>
      </c>
      <c r="K54" s="38" t="str">
        <f>IF(OR('实盘净值数据(iFinD公式)'!$A54="",'实盘净值数据(iFinD公式)'!$B54=""),"",分期持仓明细!$AB$14*SUMPRODUCT(分期持仓明细!$B$14:$Y$14,'实盘净值数据(iFinD公式)'!$B54:$Y54/'实盘净值数据(iFinD公式)'!$B$17:$Y$17)*(1-实盘持仓配置!$Z$7)^(('实盘净值数据(iFinD公式)'!$A54-'实盘净值数据(iFinD公式)'!$A$8)/365))</f>
        <v/>
      </c>
      <c r="L54" s="7" t="str">
        <f t="shared" si="0"/>
        <v/>
      </c>
      <c r="M54" s="7" t="str">
        <f>IF(K54="","",K54/MAX(K$5:K54)-1)</f>
        <v/>
      </c>
      <c r="N54" s="38" t="str">
        <f>IF(OR('实盘净值数据(iFinD公式)'!$A54="",'实盘净值数据(iFinD公式)'!$B54=""),"",分期持仓明细!$AB$15*SUMPRODUCT(分期持仓明细!$B$15:$Y$15,'实盘净值数据(iFinD公式)'!$B54:$Y54/'实盘净值数据(iFinD公式)'!$B$17:$Y$17)*(1-实盘持仓配置!$Z$8)^(('实盘净值数据(iFinD公式)'!$A54-'实盘净值数据(iFinD公式)'!$A$5)/365))</f>
        <v/>
      </c>
      <c r="O54" s="7" t="str">
        <f t="shared" si="1"/>
        <v/>
      </c>
      <c r="P54" s="7" t="str">
        <f>IF(N54="","",N54/MAX(N$5:N54)-1)</f>
        <v/>
      </c>
      <c r="Q54" s="38" t="str">
        <f>IF(OR('实盘净值数据(iFinD公式)'!$A54="",'实盘净值数据(iFinD公式)'!$B54=""),"",分期持仓明细!$AB$16*SUMPRODUCT(分期持仓明细!$B$16:$Y$16,'实盘净值数据(iFinD公式)'!$B54:$Y54/'实盘净值数据(iFinD公式)'!$B$17:$Y$17)*(1-实盘持仓配置!$Z$9)^(('实盘净值数据(iFinD公式)'!$A54-'实盘净值数据(iFinD公式)'!$A$8)/365))</f>
        <v/>
      </c>
      <c r="R54" s="7" t="str">
        <f t="shared" si="2"/>
        <v/>
      </c>
      <c r="S54" s="7" t="str">
        <f>IF(Q54="","",Q54/MAX(Q$5:Q54)-1)</f>
        <v/>
      </c>
    </row>
    <row r="55" spans="1:19" x14ac:dyDescent="0.25">
      <c r="A55" s="39" t="str">
        <f>IF('实盘净值数据(iFinD公式)'!A55="","",'实盘净值数据(iFinD公式)'!A55)</f>
        <v/>
      </c>
      <c r="B55" s="38" t="str">
        <f>IF(OR('实盘净值数据(iFinD公式)'!$A55="",'实盘净值数据(iFinD公式)'!$B55=""),"",分期持仓明细!$AB$17*SUMPRODUCT(分期持仓明细!$B$17:$Y$17,'实盘净值数据(iFinD公式)'!$B55:$Y55/'实盘净值数据(iFinD公式)'!$B$20:$Y$20)*(1-实盘持仓配置!$Z$4)^(('实盘净值数据(iFinD公式)'!$A55-'实盘净值数据(iFinD公式)'!$A$6)/365))</f>
        <v/>
      </c>
      <c r="C55" s="7" t="str">
        <f t="shared" si="3"/>
        <v/>
      </c>
      <c r="D55" s="7" t="str">
        <f>IF(B55="","",B55/MAX(B$5:B55)-1)</f>
        <v/>
      </c>
      <c r="E55" s="38" t="str">
        <f>IF(OR('实盘净值数据(iFinD公式)'!$A55="",'实盘净值数据(iFinD公式)'!$B55=""),"",分期持仓明细!$AB$18*SUMPRODUCT(分期持仓明细!$B$18:$Y$18,'实盘净值数据(iFinD公式)'!$B55:$Y55/'实盘净值数据(iFinD公式)'!$B$20:$Y$20)*(1-实盘持仓配置!$Z$5)^(('实盘净值数据(iFinD公式)'!$A55-'实盘净值数据(iFinD公式)'!$A$5)/365))</f>
        <v/>
      </c>
      <c r="F55" s="7" t="str">
        <f t="shared" si="4"/>
        <v/>
      </c>
      <c r="G55" s="7" t="str">
        <f>IF(E55="","",E55/MAX(E$5:E55)-1)</f>
        <v/>
      </c>
      <c r="H55" s="38" t="str">
        <f>IF(OR('实盘净值数据(iFinD公式)'!$A55="",'实盘净值数据(iFinD公式)'!$B55=""),"",分期持仓明细!$AB$19*SUMPRODUCT(分期持仓明细!$B$19:$Y$19,'实盘净值数据(iFinD公式)'!$B55:$Y55/'实盘净值数据(iFinD公式)'!$B$20:$Y$20)*(1-实盘持仓配置!$Z$6)^(('实盘净值数据(iFinD公式)'!$A55-'实盘净值数据(iFinD公式)'!$A$7)/365))</f>
        <v/>
      </c>
      <c r="I55" s="7" t="str">
        <f t="shared" si="5"/>
        <v/>
      </c>
      <c r="J55" s="7" t="str">
        <f>IF(H55="","",H55/MAX(H$5:H55)-1)</f>
        <v/>
      </c>
      <c r="K55" s="38" t="str">
        <f>IF(OR('实盘净值数据(iFinD公式)'!$A55="",'实盘净值数据(iFinD公式)'!$B55=""),"",分期持仓明细!$AB$14*SUMPRODUCT(分期持仓明细!$B$14:$Y$14,'实盘净值数据(iFinD公式)'!$B55:$Y55/'实盘净值数据(iFinD公式)'!$B$17:$Y$17)*(1-实盘持仓配置!$Z$7)^(('实盘净值数据(iFinD公式)'!$A55-'实盘净值数据(iFinD公式)'!$A$8)/365))</f>
        <v/>
      </c>
      <c r="L55" s="7" t="str">
        <f t="shared" si="0"/>
        <v/>
      </c>
      <c r="M55" s="7" t="str">
        <f>IF(K55="","",K55/MAX(K$5:K55)-1)</f>
        <v/>
      </c>
      <c r="N55" s="38" t="str">
        <f>IF(OR('实盘净值数据(iFinD公式)'!$A55="",'实盘净值数据(iFinD公式)'!$B55=""),"",分期持仓明细!$AB$15*SUMPRODUCT(分期持仓明细!$B$15:$Y$15,'实盘净值数据(iFinD公式)'!$B55:$Y55/'实盘净值数据(iFinD公式)'!$B$17:$Y$17)*(1-实盘持仓配置!$Z$8)^(('实盘净值数据(iFinD公式)'!$A55-'实盘净值数据(iFinD公式)'!$A$5)/365))</f>
        <v/>
      </c>
      <c r="O55" s="7" t="str">
        <f t="shared" si="1"/>
        <v/>
      </c>
      <c r="P55" s="7" t="str">
        <f>IF(N55="","",N55/MAX(N$5:N55)-1)</f>
        <v/>
      </c>
      <c r="Q55" s="38" t="str">
        <f>IF(OR('实盘净值数据(iFinD公式)'!$A55="",'实盘净值数据(iFinD公式)'!$B55=""),"",分期持仓明细!$AB$16*SUMPRODUCT(分期持仓明细!$B$16:$Y$16,'实盘净值数据(iFinD公式)'!$B55:$Y55/'实盘净值数据(iFinD公式)'!$B$17:$Y$17)*(1-实盘持仓配置!$Z$9)^(('实盘净值数据(iFinD公式)'!$A55-'实盘净值数据(iFinD公式)'!$A$8)/365))</f>
        <v/>
      </c>
      <c r="R55" s="7" t="str">
        <f t="shared" si="2"/>
        <v/>
      </c>
      <c r="S55" s="7" t="str">
        <f>IF(Q55="","",Q55/MAX(Q$5:Q55)-1)</f>
        <v/>
      </c>
    </row>
    <row r="56" spans="1:19" x14ac:dyDescent="0.25">
      <c r="A56" s="39" t="str">
        <f>IF('实盘净值数据(iFinD公式)'!A56="","",'实盘净值数据(iFinD公式)'!A56)</f>
        <v/>
      </c>
      <c r="B56" s="38" t="str">
        <f>IF(OR('实盘净值数据(iFinD公式)'!$A56="",'实盘净值数据(iFinD公式)'!$B56=""),"",分期持仓明细!$AB$17*SUMPRODUCT(分期持仓明细!$B$17:$Y$17,'实盘净值数据(iFinD公式)'!$B56:$Y56/'实盘净值数据(iFinD公式)'!$B$20:$Y$20)*(1-实盘持仓配置!$Z$4)^(('实盘净值数据(iFinD公式)'!$A56-'实盘净值数据(iFinD公式)'!$A$6)/365))</f>
        <v/>
      </c>
      <c r="C56" s="7" t="str">
        <f t="shared" si="3"/>
        <v/>
      </c>
      <c r="D56" s="7" t="str">
        <f>IF(B56="","",B56/MAX(B$5:B56)-1)</f>
        <v/>
      </c>
      <c r="E56" s="38" t="str">
        <f>IF(OR('实盘净值数据(iFinD公式)'!$A56="",'实盘净值数据(iFinD公式)'!$B56=""),"",分期持仓明细!$AB$18*SUMPRODUCT(分期持仓明细!$B$18:$Y$18,'实盘净值数据(iFinD公式)'!$B56:$Y56/'实盘净值数据(iFinD公式)'!$B$20:$Y$20)*(1-实盘持仓配置!$Z$5)^(('实盘净值数据(iFinD公式)'!$A56-'实盘净值数据(iFinD公式)'!$A$5)/365))</f>
        <v/>
      </c>
      <c r="F56" s="7" t="str">
        <f t="shared" si="4"/>
        <v/>
      </c>
      <c r="G56" s="7" t="str">
        <f>IF(E56="","",E56/MAX(E$5:E56)-1)</f>
        <v/>
      </c>
      <c r="H56" s="38" t="str">
        <f>IF(OR('实盘净值数据(iFinD公式)'!$A56="",'实盘净值数据(iFinD公式)'!$B56=""),"",分期持仓明细!$AB$19*SUMPRODUCT(分期持仓明细!$B$19:$Y$19,'实盘净值数据(iFinD公式)'!$B56:$Y56/'实盘净值数据(iFinD公式)'!$B$20:$Y$20)*(1-实盘持仓配置!$Z$6)^(('实盘净值数据(iFinD公式)'!$A56-'实盘净值数据(iFinD公式)'!$A$7)/365))</f>
        <v/>
      </c>
      <c r="I56" s="7" t="str">
        <f t="shared" si="5"/>
        <v/>
      </c>
      <c r="J56" s="7" t="str">
        <f>IF(H56="","",H56/MAX(H$5:H56)-1)</f>
        <v/>
      </c>
      <c r="K56" s="38" t="str">
        <f>IF(OR('实盘净值数据(iFinD公式)'!$A56="",'实盘净值数据(iFinD公式)'!$B56=""),"",分期持仓明细!$AB$14*SUMPRODUCT(分期持仓明细!$B$14:$Y$14,'实盘净值数据(iFinD公式)'!$B56:$Y56/'实盘净值数据(iFinD公式)'!$B$17:$Y$17)*(1-实盘持仓配置!$Z$7)^(('实盘净值数据(iFinD公式)'!$A56-'实盘净值数据(iFinD公式)'!$A$8)/365))</f>
        <v/>
      </c>
      <c r="L56" s="7" t="str">
        <f t="shared" si="0"/>
        <v/>
      </c>
      <c r="M56" s="7" t="str">
        <f>IF(K56="","",K56/MAX(K$5:K56)-1)</f>
        <v/>
      </c>
      <c r="N56" s="38" t="str">
        <f>IF(OR('实盘净值数据(iFinD公式)'!$A56="",'实盘净值数据(iFinD公式)'!$B56=""),"",分期持仓明细!$AB$15*SUMPRODUCT(分期持仓明细!$B$15:$Y$15,'实盘净值数据(iFinD公式)'!$B56:$Y56/'实盘净值数据(iFinD公式)'!$B$17:$Y$17)*(1-实盘持仓配置!$Z$8)^(('实盘净值数据(iFinD公式)'!$A56-'实盘净值数据(iFinD公式)'!$A$5)/365))</f>
        <v/>
      </c>
      <c r="O56" s="7" t="str">
        <f t="shared" si="1"/>
        <v/>
      </c>
      <c r="P56" s="7" t="str">
        <f>IF(N56="","",N56/MAX(N$5:N56)-1)</f>
        <v/>
      </c>
      <c r="Q56" s="38" t="str">
        <f>IF(OR('实盘净值数据(iFinD公式)'!$A56="",'实盘净值数据(iFinD公式)'!$B56=""),"",分期持仓明细!$AB$16*SUMPRODUCT(分期持仓明细!$B$16:$Y$16,'实盘净值数据(iFinD公式)'!$B56:$Y56/'实盘净值数据(iFinD公式)'!$B$17:$Y$17)*(1-实盘持仓配置!$Z$9)^(('实盘净值数据(iFinD公式)'!$A56-'实盘净值数据(iFinD公式)'!$A$8)/365))</f>
        <v/>
      </c>
      <c r="R56" s="7" t="str">
        <f t="shared" si="2"/>
        <v/>
      </c>
      <c r="S56" s="7" t="str">
        <f>IF(Q56="","",Q56/MAX(Q$5:Q56)-1)</f>
        <v/>
      </c>
    </row>
    <row r="57" spans="1:19" x14ac:dyDescent="0.25">
      <c r="A57" s="39" t="str">
        <f>IF('实盘净值数据(iFinD公式)'!A57="","",'实盘净值数据(iFinD公式)'!A57)</f>
        <v/>
      </c>
      <c r="B57" s="38" t="str">
        <f>IF(OR('实盘净值数据(iFinD公式)'!$A57="",'实盘净值数据(iFinD公式)'!$B57=""),"",分期持仓明细!$AB$17*SUMPRODUCT(分期持仓明细!$B$17:$Y$17,'实盘净值数据(iFinD公式)'!$B57:$Y57/'实盘净值数据(iFinD公式)'!$B$20:$Y$20)*(1-实盘持仓配置!$Z$4)^(('实盘净值数据(iFinD公式)'!$A57-'实盘净值数据(iFinD公式)'!$A$6)/365))</f>
        <v/>
      </c>
      <c r="C57" s="7" t="str">
        <f t="shared" si="3"/>
        <v/>
      </c>
      <c r="D57" s="7" t="str">
        <f>IF(B57="","",B57/MAX(B$5:B57)-1)</f>
        <v/>
      </c>
      <c r="E57" s="38" t="str">
        <f>IF(OR('实盘净值数据(iFinD公式)'!$A57="",'实盘净值数据(iFinD公式)'!$B57=""),"",分期持仓明细!$AB$18*SUMPRODUCT(分期持仓明细!$B$18:$Y$18,'实盘净值数据(iFinD公式)'!$B57:$Y57/'实盘净值数据(iFinD公式)'!$B$20:$Y$20)*(1-实盘持仓配置!$Z$5)^(('实盘净值数据(iFinD公式)'!$A57-'实盘净值数据(iFinD公式)'!$A$5)/365))</f>
        <v/>
      </c>
      <c r="F57" s="7" t="str">
        <f t="shared" si="4"/>
        <v/>
      </c>
      <c r="G57" s="7" t="str">
        <f>IF(E57="","",E57/MAX(E$5:E57)-1)</f>
        <v/>
      </c>
      <c r="H57" s="38" t="str">
        <f>IF(OR('实盘净值数据(iFinD公式)'!$A57="",'实盘净值数据(iFinD公式)'!$B57=""),"",分期持仓明细!$AB$19*SUMPRODUCT(分期持仓明细!$B$19:$Y$19,'实盘净值数据(iFinD公式)'!$B57:$Y57/'实盘净值数据(iFinD公式)'!$B$20:$Y$20)*(1-实盘持仓配置!$Z$6)^(('实盘净值数据(iFinD公式)'!$A57-'实盘净值数据(iFinD公式)'!$A$7)/365))</f>
        <v/>
      </c>
      <c r="I57" s="7" t="str">
        <f t="shared" si="5"/>
        <v/>
      </c>
      <c r="J57" s="7" t="str">
        <f>IF(H57="","",H57/MAX(H$5:H57)-1)</f>
        <v/>
      </c>
      <c r="K57" s="38" t="str">
        <f>IF(OR('实盘净值数据(iFinD公式)'!$A57="",'实盘净值数据(iFinD公式)'!$B57=""),"",分期持仓明细!$AB$14*SUMPRODUCT(分期持仓明细!$B$14:$Y$14,'实盘净值数据(iFinD公式)'!$B57:$Y57/'实盘净值数据(iFinD公式)'!$B$17:$Y$17)*(1-实盘持仓配置!$Z$7)^(('实盘净值数据(iFinD公式)'!$A57-'实盘净值数据(iFinD公式)'!$A$8)/365))</f>
        <v/>
      </c>
      <c r="L57" s="7" t="str">
        <f t="shared" si="0"/>
        <v/>
      </c>
      <c r="M57" s="7" t="str">
        <f>IF(K57="","",K57/MAX(K$5:K57)-1)</f>
        <v/>
      </c>
      <c r="N57" s="38" t="str">
        <f>IF(OR('实盘净值数据(iFinD公式)'!$A57="",'实盘净值数据(iFinD公式)'!$B57=""),"",分期持仓明细!$AB$15*SUMPRODUCT(分期持仓明细!$B$15:$Y$15,'实盘净值数据(iFinD公式)'!$B57:$Y57/'实盘净值数据(iFinD公式)'!$B$17:$Y$17)*(1-实盘持仓配置!$Z$8)^(('实盘净值数据(iFinD公式)'!$A57-'实盘净值数据(iFinD公式)'!$A$5)/365))</f>
        <v/>
      </c>
      <c r="O57" s="7" t="str">
        <f t="shared" si="1"/>
        <v/>
      </c>
      <c r="P57" s="7" t="str">
        <f>IF(N57="","",N57/MAX(N$5:N57)-1)</f>
        <v/>
      </c>
      <c r="Q57" s="38" t="str">
        <f>IF(OR('实盘净值数据(iFinD公式)'!$A57="",'实盘净值数据(iFinD公式)'!$B57=""),"",分期持仓明细!$AB$16*SUMPRODUCT(分期持仓明细!$B$16:$Y$16,'实盘净值数据(iFinD公式)'!$B57:$Y57/'实盘净值数据(iFinD公式)'!$B$17:$Y$17)*(1-实盘持仓配置!$Z$9)^(('实盘净值数据(iFinD公式)'!$A57-'实盘净值数据(iFinD公式)'!$A$8)/365))</f>
        <v/>
      </c>
      <c r="R57" s="7" t="str">
        <f t="shared" si="2"/>
        <v/>
      </c>
      <c r="S57" s="7" t="str">
        <f>IF(Q57="","",Q57/MAX(Q$5:Q57)-1)</f>
        <v/>
      </c>
    </row>
    <row r="58" spans="1:19" x14ac:dyDescent="0.25">
      <c r="A58" s="39" t="str">
        <f>IF('实盘净值数据(iFinD公式)'!A58="","",'实盘净值数据(iFinD公式)'!A58)</f>
        <v/>
      </c>
      <c r="B58" s="38" t="str">
        <f>IF(OR('实盘净值数据(iFinD公式)'!$A58="",'实盘净值数据(iFinD公式)'!$B58=""),"",分期持仓明细!$AB$17*SUMPRODUCT(分期持仓明细!$B$17:$Y$17,'实盘净值数据(iFinD公式)'!$B58:$Y58/'实盘净值数据(iFinD公式)'!$B$20:$Y$20)*(1-实盘持仓配置!$Z$4)^(('实盘净值数据(iFinD公式)'!$A58-'实盘净值数据(iFinD公式)'!$A$6)/365))</f>
        <v/>
      </c>
      <c r="C58" s="7" t="str">
        <f t="shared" si="3"/>
        <v/>
      </c>
      <c r="D58" s="7" t="str">
        <f>IF(B58="","",B58/MAX(B$5:B58)-1)</f>
        <v/>
      </c>
      <c r="E58" s="38" t="str">
        <f>IF(OR('实盘净值数据(iFinD公式)'!$A58="",'实盘净值数据(iFinD公式)'!$B58=""),"",分期持仓明细!$AB$18*SUMPRODUCT(分期持仓明细!$B$18:$Y$18,'实盘净值数据(iFinD公式)'!$B58:$Y58/'实盘净值数据(iFinD公式)'!$B$20:$Y$20)*(1-实盘持仓配置!$Z$5)^(('实盘净值数据(iFinD公式)'!$A58-'实盘净值数据(iFinD公式)'!$A$5)/365))</f>
        <v/>
      </c>
      <c r="F58" s="7" t="str">
        <f t="shared" si="4"/>
        <v/>
      </c>
      <c r="G58" s="7" t="str">
        <f>IF(E58="","",E58/MAX(E$5:E58)-1)</f>
        <v/>
      </c>
      <c r="H58" s="38" t="str">
        <f>IF(OR('实盘净值数据(iFinD公式)'!$A58="",'实盘净值数据(iFinD公式)'!$B58=""),"",分期持仓明细!$AB$19*SUMPRODUCT(分期持仓明细!$B$19:$Y$19,'实盘净值数据(iFinD公式)'!$B58:$Y58/'实盘净值数据(iFinD公式)'!$B$20:$Y$20)*(1-实盘持仓配置!$Z$6)^(('实盘净值数据(iFinD公式)'!$A58-'实盘净值数据(iFinD公式)'!$A$7)/365))</f>
        <v/>
      </c>
      <c r="I58" s="7" t="str">
        <f t="shared" si="5"/>
        <v/>
      </c>
      <c r="J58" s="7" t="str">
        <f>IF(H58="","",H58/MAX(H$5:H58)-1)</f>
        <v/>
      </c>
      <c r="K58" s="38" t="str">
        <f>IF(OR('实盘净值数据(iFinD公式)'!$A58="",'实盘净值数据(iFinD公式)'!$B58=""),"",分期持仓明细!$AB$14*SUMPRODUCT(分期持仓明细!$B$14:$Y$14,'实盘净值数据(iFinD公式)'!$B58:$Y58/'实盘净值数据(iFinD公式)'!$B$17:$Y$17)*(1-实盘持仓配置!$Z$7)^(('实盘净值数据(iFinD公式)'!$A58-'实盘净值数据(iFinD公式)'!$A$8)/365))</f>
        <v/>
      </c>
      <c r="L58" s="7" t="str">
        <f t="shared" si="0"/>
        <v/>
      </c>
      <c r="M58" s="7" t="str">
        <f>IF(K58="","",K58/MAX(K$5:K58)-1)</f>
        <v/>
      </c>
      <c r="N58" s="38" t="str">
        <f>IF(OR('实盘净值数据(iFinD公式)'!$A58="",'实盘净值数据(iFinD公式)'!$B58=""),"",分期持仓明细!$AB$15*SUMPRODUCT(分期持仓明细!$B$15:$Y$15,'实盘净值数据(iFinD公式)'!$B58:$Y58/'实盘净值数据(iFinD公式)'!$B$17:$Y$17)*(1-实盘持仓配置!$Z$8)^(('实盘净值数据(iFinD公式)'!$A58-'实盘净值数据(iFinD公式)'!$A$5)/365))</f>
        <v/>
      </c>
      <c r="O58" s="7" t="str">
        <f t="shared" si="1"/>
        <v/>
      </c>
      <c r="P58" s="7" t="str">
        <f>IF(N58="","",N58/MAX(N$5:N58)-1)</f>
        <v/>
      </c>
      <c r="Q58" s="38" t="str">
        <f>IF(OR('实盘净值数据(iFinD公式)'!$A58="",'实盘净值数据(iFinD公式)'!$B58=""),"",分期持仓明细!$AB$16*SUMPRODUCT(分期持仓明细!$B$16:$Y$16,'实盘净值数据(iFinD公式)'!$B58:$Y58/'实盘净值数据(iFinD公式)'!$B$17:$Y$17)*(1-实盘持仓配置!$Z$9)^(('实盘净值数据(iFinD公式)'!$A58-'实盘净值数据(iFinD公式)'!$A$8)/365))</f>
        <v/>
      </c>
      <c r="R58" s="7" t="str">
        <f t="shared" si="2"/>
        <v/>
      </c>
      <c r="S58" s="7" t="str">
        <f>IF(Q58="","",Q58/MAX(Q$5:Q58)-1)</f>
        <v/>
      </c>
    </row>
    <row r="59" spans="1:19" x14ac:dyDescent="0.25">
      <c r="A59" s="39" t="str">
        <f>IF('实盘净值数据(iFinD公式)'!A59="","",'实盘净值数据(iFinD公式)'!A59)</f>
        <v/>
      </c>
      <c r="B59" s="38" t="str">
        <f>IF(OR('实盘净值数据(iFinD公式)'!$A59="",'实盘净值数据(iFinD公式)'!$B59=""),"",分期持仓明细!$AB$17*SUMPRODUCT(分期持仓明细!$B$17:$Y$17,'实盘净值数据(iFinD公式)'!$B59:$Y59/'实盘净值数据(iFinD公式)'!$B$20:$Y$20)*(1-实盘持仓配置!$Z$4)^(('实盘净值数据(iFinD公式)'!$A59-'实盘净值数据(iFinD公式)'!$A$6)/365))</f>
        <v/>
      </c>
      <c r="C59" s="7" t="str">
        <f t="shared" si="3"/>
        <v/>
      </c>
      <c r="D59" s="7" t="str">
        <f>IF(B59="","",B59/MAX(B$5:B59)-1)</f>
        <v/>
      </c>
      <c r="E59" s="38" t="str">
        <f>IF(OR('实盘净值数据(iFinD公式)'!$A59="",'实盘净值数据(iFinD公式)'!$B59=""),"",分期持仓明细!$AB$18*SUMPRODUCT(分期持仓明细!$B$18:$Y$18,'实盘净值数据(iFinD公式)'!$B59:$Y59/'实盘净值数据(iFinD公式)'!$B$20:$Y$20)*(1-实盘持仓配置!$Z$5)^(('实盘净值数据(iFinD公式)'!$A59-'实盘净值数据(iFinD公式)'!$A$5)/365))</f>
        <v/>
      </c>
      <c r="F59" s="7" t="str">
        <f t="shared" si="4"/>
        <v/>
      </c>
      <c r="G59" s="7" t="str">
        <f>IF(E59="","",E59/MAX(E$5:E59)-1)</f>
        <v/>
      </c>
      <c r="H59" s="38" t="str">
        <f>IF(OR('实盘净值数据(iFinD公式)'!$A59="",'实盘净值数据(iFinD公式)'!$B59=""),"",分期持仓明细!$AB$19*SUMPRODUCT(分期持仓明细!$B$19:$Y$19,'实盘净值数据(iFinD公式)'!$B59:$Y59/'实盘净值数据(iFinD公式)'!$B$20:$Y$20)*(1-实盘持仓配置!$Z$6)^(('实盘净值数据(iFinD公式)'!$A59-'实盘净值数据(iFinD公式)'!$A$7)/365))</f>
        <v/>
      </c>
      <c r="I59" s="7" t="str">
        <f t="shared" si="5"/>
        <v/>
      </c>
      <c r="J59" s="7" t="str">
        <f>IF(H59="","",H59/MAX(H$5:H59)-1)</f>
        <v/>
      </c>
      <c r="K59" s="38" t="str">
        <f>IF(OR('实盘净值数据(iFinD公式)'!$A59="",'实盘净值数据(iFinD公式)'!$B59=""),"",分期持仓明细!$AB$14*SUMPRODUCT(分期持仓明细!$B$14:$Y$14,'实盘净值数据(iFinD公式)'!$B59:$Y59/'实盘净值数据(iFinD公式)'!$B$17:$Y$17)*(1-实盘持仓配置!$Z$7)^(('实盘净值数据(iFinD公式)'!$A59-'实盘净值数据(iFinD公式)'!$A$8)/365))</f>
        <v/>
      </c>
      <c r="L59" s="7" t="str">
        <f t="shared" si="0"/>
        <v/>
      </c>
      <c r="M59" s="7" t="str">
        <f>IF(K59="","",K59/MAX(K$5:K59)-1)</f>
        <v/>
      </c>
      <c r="N59" s="38" t="str">
        <f>IF(OR('实盘净值数据(iFinD公式)'!$A59="",'实盘净值数据(iFinD公式)'!$B59=""),"",分期持仓明细!$AB$15*SUMPRODUCT(分期持仓明细!$B$15:$Y$15,'实盘净值数据(iFinD公式)'!$B59:$Y59/'实盘净值数据(iFinD公式)'!$B$17:$Y$17)*(1-实盘持仓配置!$Z$8)^(('实盘净值数据(iFinD公式)'!$A59-'实盘净值数据(iFinD公式)'!$A$5)/365))</f>
        <v/>
      </c>
      <c r="O59" s="7" t="str">
        <f t="shared" si="1"/>
        <v/>
      </c>
      <c r="P59" s="7" t="str">
        <f>IF(N59="","",N59/MAX(N$5:N59)-1)</f>
        <v/>
      </c>
      <c r="Q59" s="38" t="str">
        <f>IF(OR('实盘净值数据(iFinD公式)'!$A59="",'实盘净值数据(iFinD公式)'!$B59=""),"",分期持仓明细!$AB$16*SUMPRODUCT(分期持仓明细!$B$16:$Y$16,'实盘净值数据(iFinD公式)'!$B59:$Y59/'实盘净值数据(iFinD公式)'!$B$17:$Y$17)*(1-实盘持仓配置!$Z$9)^(('实盘净值数据(iFinD公式)'!$A59-'实盘净值数据(iFinD公式)'!$A$8)/365))</f>
        <v/>
      </c>
      <c r="R59" s="7" t="str">
        <f t="shared" si="2"/>
        <v/>
      </c>
      <c r="S59" s="7" t="str">
        <f>IF(Q59="","",Q59/MAX(Q$5:Q59)-1)</f>
        <v/>
      </c>
    </row>
    <row r="61" spans="1:19" ht="14.5" customHeight="1" x14ac:dyDescent="0.3">
      <c r="A61" s="34" t="s">
        <v>74</v>
      </c>
    </row>
  </sheetData>
  <mergeCells count="1">
    <mergeCell ref="A1:J2"/>
  </mergeCells>
  <phoneticPr fontId="1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"/>
  <sheetViews>
    <sheetView showGridLines="0" workbookViewId="0">
      <selection activeCell="A19" sqref="A19"/>
    </sheetView>
  </sheetViews>
  <sheetFormatPr defaultRowHeight="14" x14ac:dyDescent="0.25"/>
  <cols>
    <col min="1" max="1" width="34.26953125" style="33" customWidth="1"/>
    <col min="2" max="6" width="8.453125" style="33" customWidth="1"/>
    <col min="7" max="7" width="22.1796875" style="33" customWidth="1"/>
    <col min="8" max="8" width="14.81640625" style="33" customWidth="1"/>
    <col min="9" max="25" width="8.453125" style="33" customWidth="1"/>
    <col min="27" max="27" width="20" style="33" bestFit="1" customWidth="1"/>
    <col min="28" max="28" width="13" style="33" customWidth="1"/>
  </cols>
  <sheetData>
    <row r="1" spans="1:28" x14ac:dyDescent="0.25">
      <c r="A1" t="s">
        <v>75</v>
      </c>
    </row>
    <row r="2" spans="1:2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62</v>
      </c>
      <c r="Z2" t="s">
        <v>25</v>
      </c>
      <c r="AA2" t="s">
        <v>76</v>
      </c>
      <c r="AB2" t="s">
        <v>77</v>
      </c>
    </row>
    <row r="3" spans="1:28" x14ac:dyDescent="0.25">
      <c r="A3" t="s">
        <v>28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87</v>
      </c>
      <c r="L3" t="s">
        <v>88</v>
      </c>
      <c r="M3" t="s">
        <v>89</v>
      </c>
      <c r="N3" t="s">
        <v>90</v>
      </c>
      <c r="O3" t="s">
        <v>91</v>
      </c>
      <c r="P3" t="s">
        <v>92</v>
      </c>
      <c r="Q3" t="s">
        <v>93</v>
      </c>
      <c r="R3" t="s">
        <v>94</v>
      </c>
      <c r="S3" t="s">
        <v>95</v>
      </c>
      <c r="T3" t="s">
        <v>96</v>
      </c>
      <c r="U3" t="s">
        <v>97</v>
      </c>
      <c r="V3" t="s">
        <v>98</v>
      </c>
      <c r="W3" t="s">
        <v>99</v>
      </c>
      <c r="X3" t="s">
        <v>100</v>
      </c>
      <c r="Y3" t="s">
        <v>101</v>
      </c>
    </row>
    <row r="5" spans="1:28" x14ac:dyDescent="0.25">
      <c r="A5" t="s">
        <v>102</v>
      </c>
      <c r="B5">
        <f>实盘持仓配置!B4</f>
        <v>0</v>
      </c>
      <c r="C5">
        <f>实盘持仓配置!C4</f>
        <v>0.02</v>
      </c>
      <c r="D5">
        <f>实盘持仓配置!D4</f>
        <v>0.19</v>
      </c>
      <c r="E5">
        <f>实盘持仓配置!E4</f>
        <v>0</v>
      </c>
      <c r="F5">
        <f>实盘持仓配置!F4</f>
        <v>0</v>
      </c>
      <c r="G5">
        <f>实盘持仓配置!G4</f>
        <v>0.11</v>
      </c>
      <c r="H5">
        <f>实盘持仓配置!H4</f>
        <v>0</v>
      </c>
      <c r="I5">
        <f>实盘持仓配置!I4</f>
        <v>0</v>
      </c>
      <c r="J5">
        <f>实盘持仓配置!J4</f>
        <v>0.19</v>
      </c>
      <c r="K5">
        <f>实盘持仓配置!K4</f>
        <v>0</v>
      </c>
      <c r="L5">
        <f>实盘持仓配置!L4</f>
        <v>0</v>
      </c>
      <c r="M5">
        <f>实盘持仓配置!M4</f>
        <v>0</v>
      </c>
      <c r="N5">
        <f>实盘持仓配置!N4</f>
        <v>0</v>
      </c>
      <c r="O5">
        <f>实盘持仓配置!O4</f>
        <v>0</v>
      </c>
      <c r="P5">
        <f>实盘持仓配置!P4</f>
        <v>0.19</v>
      </c>
      <c r="Q5">
        <f>实盘持仓配置!Q4</f>
        <v>0.19</v>
      </c>
      <c r="R5">
        <f>实盘持仓配置!R4</f>
        <v>0</v>
      </c>
      <c r="S5">
        <f>实盘持仓配置!S4</f>
        <v>0</v>
      </c>
      <c r="T5">
        <f>实盘持仓配置!T4</f>
        <v>0.11</v>
      </c>
      <c r="U5">
        <f>实盘持仓配置!U4</f>
        <v>0</v>
      </c>
      <c r="V5">
        <f>实盘持仓配置!V4</f>
        <v>0</v>
      </c>
      <c r="W5">
        <f>实盘持仓配置!W4</f>
        <v>0</v>
      </c>
      <c r="X5">
        <f>实盘持仓配置!X4</f>
        <v>0</v>
      </c>
      <c r="Y5">
        <v>0</v>
      </c>
      <c r="Z5">
        <f t="shared" ref="Z5:Z19" si="0">SUM(B5:Y5)</f>
        <v>0.99999999999999989</v>
      </c>
      <c r="AA5" s="41">
        <v>46195</v>
      </c>
    </row>
    <row r="6" spans="1:28" x14ac:dyDescent="0.25">
      <c r="A6" t="s">
        <v>103</v>
      </c>
      <c r="B6">
        <f>实盘持仓配置!B5</f>
        <v>0</v>
      </c>
      <c r="C6">
        <f>实盘持仓配置!C5</f>
        <v>0.02</v>
      </c>
      <c r="D6">
        <f>实盘持仓配置!D5</f>
        <v>0.19</v>
      </c>
      <c r="E6">
        <f>实盘持仓配置!E5</f>
        <v>0</v>
      </c>
      <c r="F6">
        <f>实盘持仓配置!F5</f>
        <v>0</v>
      </c>
      <c r="G6">
        <f>实盘持仓配置!G5</f>
        <v>0.11</v>
      </c>
      <c r="H6">
        <f>实盘持仓配置!H5</f>
        <v>0</v>
      </c>
      <c r="I6">
        <f>实盘持仓配置!I5</f>
        <v>0</v>
      </c>
      <c r="J6">
        <f>实盘持仓配置!J5</f>
        <v>0.19</v>
      </c>
      <c r="K6">
        <f>实盘持仓配置!K5</f>
        <v>0</v>
      </c>
      <c r="L6">
        <f>实盘持仓配置!L5</f>
        <v>0</v>
      </c>
      <c r="M6">
        <f>实盘持仓配置!M5</f>
        <v>0</v>
      </c>
      <c r="N6">
        <f>实盘持仓配置!N5</f>
        <v>0</v>
      </c>
      <c r="O6">
        <f>实盘持仓配置!O5</f>
        <v>0</v>
      </c>
      <c r="P6">
        <f>实盘持仓配置!P5</f>
        <v>0.19</v>
      </c>
      <c r="Q6">
        <f>实盘持仓配置!Q5</f>
        <v>0.19</v>
      </c>
      <c r="R6">
        <f>实盘持仓配置!R5</f>
        <v>0</v>
      </c>
      <c r="S6">
        <f>实盘持仓配置!S5</f>
        <v>0</v>
      </c>
      <c r="T6">
        <f>实盘持仓配置!T5</f>
        <v>0.11</v>
      </c>
      <c r="U6">
        <f>实盘持仓配置!U5</f>
        <v>0</v>
      </c>
      <c r="V6">
        <f>实盘持仓配置!V5</f>
        <v>0</v>
      </c>
      <c r="W6">
        <f>实盘持仓配置!W5</f>
        <v>0</v>
      </c>
      <c r="X6">
        <f>实盘持仓配置!X5</f>
        <v>0</v>
      </c>
      <c r="Y6">
        <v>0</v>
      </c>
      <c r="Z6">
        <f t="shared" si="0"/>
        <v>0.99999999999999989</v>
      </c>
      <c r="AA6" s="41">
        <v>46191</v>
      </c>
    </row>
    <row r="7" spans="1:28" x14ac:dyDescent="0.25">
      <c r="A7" t="s">
        <v>104</v>
      </c>
      <c r="B7">
        <f>实盘持仓配置!B6</f>
        <v>0</v>
      </c>
      <c r="C7">
        <f>实盘持仓配置!C6</f>
        <v>0.02</v>
      </c>
      <c r="D7">
        <f>实盘持仓配置!D6</f>
        <v>0</v>
      </c>
      <c r="E7">
        <f>实盘持仓配置!E6</f>
        <v>0</v>
      </c>
      <c r="F7">
        <f>实盘持仓配置!F6</f>
        <v>0</v>
      </c>
      <c r="G7">
        <f>实盘持仓配置!G6</f>
        <v>0</v>
      </c>
      <c r="H7">
        <f>实盘持仓配置!H6</f>
        <v>0.11</v>
      </c>
      <c r="I7">
        <f>实盘持仓配置!I6</f>
        <v>0.19</v>
      </c>
      <c r="J7">
        <f>实盘持仓配置!J6</f>
        <v>0</v>
      </c>
      <c r="K7">
        <f>实盘持仓配置!K6</f>
        <v>0.19</v>
      </c>
      <c r="L7">
        <f>实盘持仓配置!L6</f>
        <v>0</v>
      </c>
      <c r="M7">
        <f>实盘持仓配置!M6</f>
        <v>0</v>
      </c>
      <c r="N7">
        <f>实盘持仓配置!N6</f>
        <v>0</v>
      </c>
      <c r="O7">
        <f>实盘持仓配置!O6</f>
        <v>0</v>
      </c>
      <c r="P7">
        <f>实盘持仓配置!P6</f>
        <v>0</v>
      </c>
      <c r="Q7">
        <f>实盘持仓配置!Q6</f>
        <v>0</v>
      </c>
      <c r="R7">
        <f>实盘持仓配置!R6</f>
        <v>0.19</v>
      </c>
      <c r="S7">
        <f>实盘持仓配置!S6</f>
        <v>0.19</v>
      </c>
      <c r="T7">
        <f>实盘持仓配置!T6</f>
        <v>0</v>
      </c>
      <c r="U7">
        <f>实盘持仓配置!U6</f>
        <v>0.11</v>
      </c>
      <c r="V7">
        <f>实盘持仓配置!V6</f>
        <v>0</v>
      </c>
      <c r="W7">
        <f>实盘持仓配置!W6</f>
        <v>0</v>
      </c>
      <c r="X7">
        <f>实盘持仓配置!X6</f>
        <v>0</v>
      </c>
      <c r="Y7">
        <v>0</v>
      </c>
      <c r="Z7">
        <f t="shared" si="0"/>
        <v>0.99999999999999989</v>
      </c>
      <c r="AA7" s="41">
        <v>46196</v>
      </c>
    </row>
    <row r="8" spans="1:28" x14ac:dyDescent="0.25">
      <c r="A8" t="s">
        <v>105</v>
      </c>
      <c r="B8">
        <f>实盘持仓配置!B7</f>
        <v>0.05</v>
      </c>
      <c r="C8">
        <f>实盘持仓配置!C7</f>
        <v>0.02</v>
      </c>
      <c r="D8">
        <f>实盘持仓配置!D7</f>
        <v>0</v>
      </c>
      <c r="E8">
        <f>实盘持仓配置!E7</f>
        <v>0</v>
      </c>
      <c r="F8">
        <f>实盘持仓配置!F7</f>
        <v>1.2500000000000001E-2</v>
      </c>
      <c r="G8">
        <f>实盘持仓配置!G7</f>
        <v>0</v>
      </c>
      <c r="H8">
        <f>实盘持仓配置!H7</f>
        <v>5.0000000000000001E-3</v>
      </c>
      <c r="I8">
        <f>实盘持仓配置!I7</f>
        <v>0.01</v>
      </c>
      <c r="J8">
        <f>实盘持仓配置!J7</f>
        <v>0</v>
      </c>
      <c r="K8">
        <f>实盘持仓配置!K7</f>
        <v>0.01</v>
      </c>
      <c r="L8">
        <f>实盘持仓配置!L7</f>
        <v>0</v>
      </c>
      <c r="M8">
        <f>实盘持仓配置!M7</f>
        <v>1.2500000000000001E-2</v>
      </c>
      <c r="N8">
        <f>实盘持仓配置!N7</f>
        <v>0</v>
      </c>
      <c r="O8">
        <f>实盘持仓配置!O7</f>
        <v>1.2500000000000001E-2</v>
      </c>
      <c r="P8">
        <f>实盘持仓配置!P7</f>
        <v>0</v>
      </c>
      <c r="Q8">
        <f>实盘持仓配置!Q7</f>
        <v>0</v>
      </c>
      <c r="R8">
        <f>实盘持仓配置!R7</f>
        <v>0.01</v>
      </c>
      <c r="S8">
        <f>实盘持仓配置!S7</f>
        <v>0.01</v>
      </c>
      <c r="T8">
        <f>实盘持仓配置!T7</f>
        <v>0</v>
      </c>
      <c r="U8">
        <f>实盘持仓配置!U7</f>
        <v>5.0000000000000001E-3</v>
      </c>
      <c r="V8">
        <f>实盘持仓配置!V7</f>
        <v>0</v>
      </c>
      <c r="W8">
        <f>实盘持仓配置!W7</f>
        <v>1.2500000000000001E-2</v>
      </c>
      <c r="X8">
        <f>实盘持仓配置!X7</f>
        <v>0.83</v>
      </c>
      <c r="Y8">
        <v>0</v>
      </c>
      <c r="Z8">
        <f t="shared" si="0"/>
        <v>1</v>
      </c>
      <c r="AA8" s="41">
        <v>46197</v>
      </c>
    </row>
    <row r="9" spans="1:28" x14ac:dyDescent="0.25">
      <c r="A9" t="s">
        <v>106</v>
      </c>
      <c r="B9">
        <f>B$8*'实盘净值数据(iFinD公式)'!B$13/'实盘净值数据(iFinD公式)'!B$8/$AB$9</f>
        <v>4.8527264875483138E-2</v>
      </c>
      <c r="C9">
        <f>C$8*'实盘净值数据(iFinD公式)'!C$13/'实盘净值数据(iFinD公式)'!C$8/$AB$9-0.01</f>
        <v>9.9844948172916944E-3</v>
      </c>
      <c r="D9">
        <f>D$8*'实盘净值数据(iFinD公式)'!D$13/'实盘净值数据(iFinD公式)'!D$8/$AB$9</f>
        <v>0</v>
      </c>
      <c r="E9">
        <f>E$8*'实盘净值数据(iFinD公式)'!E$13/'实盘净值数据(iFinD公式)'!E$8/$AB$9</f>
        <v>0</v>
      </c>
      <c r="F9">
        <f>F$8*'实盘净值数据(iFinD公式)'!F$13/'实盘净值数据(iFinD公式)'!F$8/$AB$9</f>
        <v>1.2500177120171801E-2</v>
      </c>
      <c r="G9">
        <f>G$8*'实盘净值数据(iFinD公式)'!G$13/'实盘净值数据(iFinD公式)'!G$8/$AB$9</f>
        <v>0</v>
      </c>
      <c r="H9">
        <f>H$8*'实盘净值数据(iFinD公式)'!H$13/'实盘净值数据(iFinD公式)'!H$8/$AB$9</f>
        <v>4.7249124324419672E-3</v>
      </c>
      <c r="I9">
        <f>I$8*'实盘净值数据(iFinD公式)'!I$13/'实盘净值数据(iFinD公式)'!I$8/$AB$9</f>
        <v>1.0428306799094495E-2</v>
      </c>
      <c r="J9">
        <f>J$8*'实盘净值数据(iFinD公式)'!J$13/'实盘净值数据(iFinD公式)'!J$8/$AB$9</f>
        <v>0</v>
      </c>
      <c r="K9">
        <f>K$8*'实盘净值数据(iFinD公式)'!K$13/'实盘净值数据(iFinD公式)'!K$8/$AB$9</f>
        <v>1.183198817847789E-2</v>
      </c>
      <c r="L9">
        <f>L$8*'实盘净值数据(iFinD公式)'!L$13/'实盘净值数据(iFinD公式)'!L$8/$AB$9</f>
        <v>0</v>
      </c>
      <c r="M9">
        <f>M$8*'实盘净值数据(iFinD公式)'!M$13/'实盘净值数据(iFinD公式)'!M$8/$AB$9</f>
        <v>1.2642409123284759E-2</v>
      </c>
      <c r="N9">
        <f>N$8*'实盘净值数据(iFinD公式)'!N$13/'实盘净值数据(iFinD公式)'!N$8/$AB$9</f>
        <v>0</v>
      </c>
      <c r="O9">
        <f>O$8*'实盘净值数据(iFinD公式)'!O$13/'实盘净值数据(iFinD公式)'!O$8/$AB$9</f>
        <v>1.25858627884919E-2</v>
      </c>
      <c r="P9">
        <f>P$8*'实盘净值数据(iFinD公式)'!P$13/'实盘净值数据(iFinD公式)'!P$8/$AB$9</f>
        <v>0</v>
      </c>
      <c r="Q9">
        <f>Q$8*'实盘净值数据(iFinD公式)'!Q$13/'实盘净值数据(iFinD公式)'!Q$8/$AB$9</f>
        <v>0</v>
      </c>
      <c r="R9">
        <f>R$8*'实盘净值数据(iFinD公式)'!R$13/'实盘净值数据(iFinD公式)'!R$8/$AB$9</f>
        <v>9.6519854495816983E-3</v>
      </c>
      <c r="S9">
        <f>S$8*'实盘净值数据(iFinD公式)'!S$13/'实盘净值数据(iFinD公式)'!S$8/$AB$9</f>
        <v>9.4400640366569671E-3</v>
      </c>
      <c r="T9">
        <f>T$8*'实盘净值数据(iFinD公式)'!T$13/'实盘净值数据(iFinD公式)'!T$8/$AB$9</f>
        <v>0</v>
      </c>
      <c r="U9">
        <f>U$8*'实盘净值数据(iFinD公式)'!U$13/'实盘净值数据(iFinD公式)'!U$8/$AB$9</f>
        <v>5.9205130087896553E-3</v>
      </c>
      <c r="V9">
        <f>V$8*'实盘净值数据(iFinD公式)'!V$13/'实盘净值数据(iFinD公式)'!V$8/$AB$9</f>
        <v>0</v>
      </c>
      <c r="W9">
        <f>W$8*'实盘净值数据(iFinD公式)'!W$13/'实盘净值数据(iFinD公式)'!W$8/$AB$9</f>
        <v>1.2467168013487956E-2</v>
      </c>
      <c r="X9">
        <f>X$8*'实盘净值数据(iFinD公式)'!X$13/'实盘净值数据(iFinD公式)'!X$8/$AB$9</f>
        <v>0.82929485335674602</v>
      </c>
      <c r="Y9">
        <f>Y$8*'实盘净值数据(iFinD公式)'!Y$13/'实盘净值数据(iFinD公式)'!Y$8/$AB$9+0.01</f>
        <v>0.01</v>
      </c>
      <c r="Z9">
        <f t="shared" si="0"/>
        <v>1</v>
      </c>
      <c r="AA9" s="41">
        <v>46204</v>
      </c>
      <c r="AB9">
        <f>SUMPRODUCT($B$8:$Y$8,'实盘净值数据(iFinD公式)'!$B$13:$Y$13/'实盘净值数据(iFinD公式)'!$B$8:$Y$8)</f>
        <v>1.0010183937865633</v>
      </c>
    </row>
    <row r="10" spans="1:28" x14ac:dyDescent="0.25">
      <c r="A10" t="s">
        <v>107</v>
      </c>
      <c r="B10">
        <f>实盘持仓配置!B8</f>
        <v>0.05</v>
      </c>
      <c r="C10">
        <f>实盘持仓配置!C8</f>
        <v>0.02</v>
      </c>
      <c r="D10">
        <f>实盘持仓配置!D8</f>
        <v>0.01</v>
      </c>
      <c r="E10">
        <f>实盘持仓配置!E8</f>
        <v>1.2500000000000001E-2</v>
      </c>
      <c r="F10">
        <f>实盘持仓配置!F8</f>
        <v>0</v>
      </c>
      <c r="G10">
        <f>实盘持仓配置!G8</f>
        <v>5.0000000000000001E-3</v>
      </c>
      <c r="H10">
        <f>实盘持仓配置!H8</f>
        <v>0</v>
      </c>
      <c r="I10">
        <f>实盘持仓配置!I8</f>
        <v>0</v>
      </c>
      <c r="J10">
        <f>实盘持仓配置!J8</f>
        <v>0.01</v>
      </c>
      <c r="K10">
        <f>实盘持仓配置!K8</f>
        <v>0</v>
      </c>
      <c r="L10">
        <f>实盘持仓配置!L8</f>
        <v>1.2500000000000001E-2</v>
      </c>
      <c r="M10">
        <f>实盘持仓配置!M8</f>
        <v>0</v>
      </c>
      <c r="N10">
        <f>实盘持仓配置!N8</f>
        <v>1.2500000000000001E-2</v>
      </c>
      <c r="O10">
        <f>实盘持仓配置!O8</f>
        <v>0</v>
      </c>
      <c r="P10">
        <f>实盘持仓配置!P8</f>
        <v>0.01</v>
      </c>
      <c r="Q10">
        <f>实盘持仓配置!Q8</f>
        <v>0.01</v>
      </c>
      <c r="R10">
        <f>实盘持仓配置!R8</f>
        <v>0</v>
      </c>
      <c r="S10">
        <f>实盘持仓配置!S8</f>
        <v>0</v>
      </c>
      <c r="T10">
        <f>实盘持仓配置!T8</f>
        <v>5.0000000000000001E-3</v>
      </c>
      <c r="U10">
        <f>实盘持仓配置!U8</f>
        <v>0</v>
      </c>
      <c r="V10">
        <f>实盘持仓配置!V8</f>
        <v>1.2500000000000001E-2</v>
      </c>
      <c r="W10">
        <f>实盘持仓配置!W8</f>
        <v>0</v>
      </c>
      <c r="X10">
        <f>实盘持仓配置!X8</f>
        <v>0.83</v>
      </c>
      <c r="Y10">
        <v>0</v>
      </c>
      <c r="Z10">
        <f t="shared" si="0"/>
        <v>1</v>
      </c>
      <c r="AA10" s="41">
        <v>46191</v>
      </c>
    </row>
    <row r="11" spans="1:28" x14ac:dyDescent="0.25">
      <c r="A11" t="s">
        <v>108</v>
      </c>
      <c r="B11">
        <f>B$10*'实盘净值数据(iFinD公式)'!B$13/'实盘净值数据(iFinD公式)'!B$5/$AB$11</f>
        <v>4.6387437041825713E-2</v>
      </c>
      <c r="C11">
        <f>C$10*'实盘净值数据(iFinD公式)'!C$13/'实盘净值数据(iFinD公式)'!C$5/$AB$11-0.01</f>
        <v>1.0005822166711356E-2</v>
      </c>
      <c r="D11">
        <f>D$10*'实盘净值数据(iFinD公式)'!D$13/'实盘净值数据(iFinD公式)'!D$5/$AB$11</f>
        <v>9.5283058825022231E-3</v>
      </c>
      <c r="E11">
        <f>E$10*'实盘净值数据(iFinD公式)'!E$13/'实盘净值数据(iFinD公式)'!E$5/$AB$11</f>
        <v>1.2528731661459628E-2</v>
      </c>
      <c r="F11">
        <f>F$10*'实盘净值数据(iFinD公式)'!F$13/'实盘净值数据(iFinD公式)'!F$5/$AB$11</f>
        <v>0</v>
      </c>
      <c r="G11">
        <f>G$10*'实盘净值数据(iFinD公式)'!G$13/'实盘净值数据(iFinD公式)'!G$5/$AB$11</f>
        <v>4.7431358020570934E-3</v>
      </c>
      <c r="H11">
        <f>H$10*'实盘净值数据(iFinD公式)'!H$13/'实盘净值数据(iFinD公式)'!H$5/$AB$11</f>
        <v>0</v>
      </c>
      <c r="I11">
        <f>I$10*'实盘净值数据(iFinD公式)'!I$13/'实盘净值数据(iFinD公式)'!I$5/$AB$11</f>
        <v>0</v>
      </c>
      <c r="J11">
        <f>J$10*'实盘净值数据(iFinD公式)'!J$13/'实盘净值数据(iFinD公式)'!J$5/$AB$11</f>
        <v>1.3103828369788012E-2</v>
      </c>
      <c r="K11">
        <f>K$10*'实盘净值数据(iFinD公式)'!K$13/'实盘净值数据(iFinD公式)'!K$5/$AB$11</f>
        <v>0</v>
      </c>
      <c r="L11">
        <f>L$10*'实盘净值数据(iFinD公式)'!L$13/'实盘净值数据(iFinD公式)'!L$5/$AB$11</f>
        <v>1.2802075701103068E-2</v>
      </c>
      <c r="M11">
        <f>M$10*'实盘净值数据(iFinD公式)'!M$13/'实盘净值数据(iFinD公式)'!M$5/$AB$11</f>
        <v>0</v>
      </c>
      <c r="N11">
        <f>N$10*'实盘净值数据(iFinD公式)'!N$13/'实盘净值数据(iFinD公式)'!N$5/$AB$11</f>
        <v>1.2865799586254448E-2</v>
      </c>
      <c r="O11">
        <f>O$10*'实盘净值数据(iFinD公式)'!O$13/'实盘净值数据(iFinD公式)'!O$5/$AB$11</f>
        <v>0</v>
      </c>
      <c r="P11">
        <f>P$10*'实盘净值数据(iFinD公式)'!P$13/'实盘净值数据(iFinD公式)'!P$5/$AB$11</f>
        <v>9.5849996918782945E-3</v>
      </c>
      <c r="Q11">
        <f>Q$10*'实盘净值数据(iFinD公式)'!Q$13/'实盘净值数据(iFinD公式)'!Q$5/$AB$11</f>
        <v>9.9356876028041264E-3</v>
      </c>
      <c r="R11">
        <f>R$10*'实盘净值数据(iFinD公式)'!R$13/'实盘净值数据(iFinD公式)'!R$5/$AB$11</f>
        <v>0</v>
      </c>
      <c r="S11">
        <f>S$10*'实盘净值数据(iFinD公式)'!S$13/'实盘净值数据(iFinD公式)'!S$5/$AB$11</f>
        <v>0</v>
      </c>
      <c r="T11">
        <f>T$10*'实盘净值数据(iFinD公式)'!T$13/'实盘净值数据(iFinD公式)'!T$5/$AB$11</f>
        <v>6.3991179623778833E-3</v>
      </c>
      <c r="U11">
        <f>U$10*'实盘净值数据(iFinD公式)'!U$13/'实盘净值数据(iFinD公式)'!U$5/$AB$11</f>
        <v>0</v>
      </c>
      <c r="V11">
        <f>V$10*'实盘净值数据(iFinD公式)'!V$13/'实盘净值数据(iFinD公式)'!V$5/$AB$11</f>
        <v>1.2436017636350162E-2</v>
      </c>
      <c r="W11">
        <f>W$10*'实盘净值数据(iFinD公式)'!W$13/'实盘净值数据(iFinD公式)'!W$5/$AB$11</f>
        <v>0</v>
      </c>
      <c r="X11">
        <f>X$10*'实盘净值数据(iFinD公式)'!X$13/'实盘净值数据(iFinD公式)'!X$5/$AB$11</f>
        <v>0.82967904089488786</v>
      </c>
      <c r="Y11">
        <f>Y$10*'实盘净值数据(iFinD公式)'!Y$13/'实盘净值数据(iFinD公式)'!Y$5/$AB$11+0.01</f>
        <v>0.01</v>
      </c>
      <c r="Z11">
        <f t="shared" si="0"/>
        <v>0.99999999999999989</v>
      </c>
      <c r="AA11" s="41">
        <v>46204</v>
      </c>
      <c r="AB11">
        <f>SUMPRODUCT($B$10:$Y$10,'实盘净值数据(iFinD公式)'!$B$13:$Y$13/'实盘净值数据(iFinD公式)'!$B$5:$Y$5)</f>
        <v>1.0001629093509814</v>
      </c>
    </row>
    <row r="12" spans="1:28" x14ac:dyDescent="0.25">
      <c r="A12" t="s">
        <v>109</v>
      </c>
      <c r="B12">
        <f>实盘持仓配置!B9</f>
        <v>0.1</v>
      </c>
      <c r="C12">
        <f>实盘持仓配置!C9</f>
        <v>0.02</v>
      </c>
      <c r="D12">
        <f>实盘持仓配置!D9</f>
        <v>0</v>
      </c>
      <c r="E12">
        <f>实盘持仓配置!E9</f>
        <v>0</v>
      </c>
      <c r="F12">
        <f>实盘持仓配置!F9</f>
        <v>3.7500000000000012E-2</v>
      </c>
      <c r="G12">
        <f>实盘持仓配置!G9</f>
        <v>0</v>
      </c>
      <c r="H12">
        <f>实盘持仓配置!H9</f>
        <v>1.4999999999999999E-2</v>
      </c>
      <c r="I12">
        <f>实盘持仓配置!I9</f>
        <v>0.03</v>
      </c>
      <c r="J12">
        <f>实盘持仓配置!J9</f>
        <v>0</v>
      </c>
      <c r="K12">
        <f>实盘持仓配置!K9</f>
        <v>0.03</v>
      </c>
      <c r="L12">
        <f>实盘持仓配置!L9</f>
        <v>0</v>
      </c>
      <c r="M12">
        <f>实盘持仓配置!M9</f>
        <v>3.7500000000000012E-2</v>
      </c>
      <c r="N12">
        <f>实盘持仓配置!N9</f>
        <v>0</v>
      </c>
      <c r="O12">
        <f>实盘持仓配置!O9</f>
        <v>3.7500000000000012E-2</v>
      </c>
      <c r="P12">
        <f>实盘持仓配置!P9</f>
        <v>0</v>
      </c>
      <c r="Q12">
        <f>实盘持仓配置!Q9</f>
        <v>0</v>
      </c>
      <c r="R12">
        <f>实盘持仓配置!R9</f>
        <v>0.03</v>
      </c>
      <c r="S12">
        <f>实盘持仓配置!S9</f>
        <v>0.03</v>
      </c>
      <c r="T12">
        <f>实盘持仓配置!T9</f>
        <v>0</v>
      </c>
      <c r="U12">
        <f>实盘持仓配置!U9</f>
        <v>1.4999999999999999E-2</v>
      </c>
      <c r="V12">
        <f>实盘持仓配置!V9</f>
        <v>0</v>
      </c>
      <c r="W12">
        <f>实盘持仓配置!W9</f>
        <v>3.7500000000000012E-2</v>
      </c>
      <c r="X12">
        <f>实盘持仓配置!X9</f>
        <v>0.57999999999999996</v>
      </c>
      <c r="Y12">
        <v>0</v>
      </c>
      <c r="Z12">
        <f t="shared" si="0"/>
        <v>1.0000000000000002</v>
      </c>
      <c r="AA12" s="41">
        <v>46197</v>
      </c>
    </row>
    <row r="13" spans="1:28" x14ac:dyDescent="0.25">
      <c r="A13" t="s">
        <v>110</v>
      </c>
      <c r="B13">
        <f>B$12*'实盘净值数据(iFinD公式)'!B$13/'实盘净值数据(iFinD公式)'!B$8/$AB$13</f>
        <v>9.6752041040539444E-2</v>
      </c>
      <c r="C13">
        <f>C$12*'实盘净值数据(iFinD公式)'!C$13/'实盘净值数据(iFinD公式)'!C$8/$AB$13-0.015</f>
        <v>4.9222093775360722E-3</v>
      </c>
      <c r="D13">
        <f>D$12*'实盘净值数据(iFinD公式)'!D$13/'实盘净值数据(iFinD公式)'!D$8/$AB$13</f>
        <v>0</v>
      </c>
      <c r="E13">
        <f>E$12*'实盘净值数据(iFinD公式)'!E$13/'实盘净值数据(iFinD公式)'!E$8/$AB$13</f>
        <v>0</v>
      </c>
      <c r="F13">
        <f>F$12*'实盘净值数据(iFinD公式)'!F$13/'实盘净值数据(iFinD公式)'!F$8/$AB$13</f>
        <v>3.7383653895850244E-2</v>
      </c>
      <c r="G13">
        <f>G$12*'实盘净值数据(iFinD公式)'!G$13/'实盘净值数据(iFinD公式)'!G$8/$AB$13</f>
        <v>0</v>
      </c>
      <c r="H13">
        <f>H$12*'实盘净值数据(iFinD公式)'!H$13/'实盘净值数据(iFinD公式)'!H$8/$AB$13</f>
        <v>1.4130559060444952E-2</v>
      </c>
      <c r="I13">
        <f>I$12*'实盘净值数据(iFinD公式)'!I$13/'实盘净值数据(iFinD公式)'!I$8/$AB$13</f>
        <v>3.1187415054142239E-2</v>
      </c>
      <c r="J13">
        <f>J$12*'实盘净值数据(iFinD公式)'!J$13/'实盘净值数据(iFinD公式)'!J$8/$AB$13</f>
        <v>0</v>
      </c>
      <c r="K13">
        <f>K$12*'实盘净值数据(iFinD公式)'!K$13/'实盘净值数据(iFinD公式)'!K$8/$AB$13</f>
        <v>3.5385334680596084E-2</v>
      </c>
      <c r="L13">
        <f>L$12*'实盘净值数据(iFinD公式)'!L$13/'实盘净值数据(iFinD公式)'!L$8/$AB$13</f>
        <v>0</v>
      </c>
      <c r="M13">
        <f>M$12*'实盘净值数据(iFinD公式)'!M$13/'实盘净值数据(iFinD公式)'!M$8/$AB$13</f>
        <v>3.7809020026759538E-2</v>
      </c>
      <c r="N13">
        <f>N$12*'实盘净值数据(iFinD公式)'!N$13/'实盘净值数据(iFinD公式)'!N$8/$AB$13</f>
        <v>0</v>
      </c>
      <c r="O13">
        <f>O$12*'实盘净值数据(iFinD公式)'!O$13/'实盘净值数据(iFinD公式)'!O$8/$AB$13</f>
        <v>3.7639909734269048E-2</v>
      </c>
      <c r="P13">
        <f>P$12*'实盘净值数据(iFinD公式)'!P$13/'实盘净值数据(iFinD公式)'!P$8/$AB$13</f>
        <v>0</v>
      </c>
      <c r="Q13">
        <f>Q$12*'实盘净值数据(iFinD公式)'!Q$13/'实盘净值数据(iFinD公式)'!Q$8/$AB$13</f>
        <v>0</v>
      </c>
      <c r="R13">
        <f>R$12*'实盘净值数据(iFinD公式)'!R$13/'实盘净值数据(iFinD公式)'!R$8/$AB$13</f>
        <v>2.8865709660439231E-2</v>
      </c>
      <c r="S13">
        <f>S$12*'实盘净值数据(iFinD公式)'!S$13/'实盘净值数据(iFinD公式)'!S$8/$AB$13</f>
        <v>2.8231926900584316E-2</v>
      </c>
      <c r="T13">
        <f>T$12*'实盘净值数据(iFinD公式)'!T$13/'实盘净值数据(iFinD公式)'!T$8/$AB$13</f>
        <v>0</v>
      </c>
      <c r="U13">
        <f>U$12*'实盘净值数据(iFinD公式)'!U$13/'实盘净值数据(iFinD公式)'!U$8/$AB$13</f>
        <v>1.7706181846760059E-2</v>
      </c>
      <c r="V13">
        <f>V$12*'实盘净值数据(iFinD公式)'!V$13/'实盘净值数据(iFinD公式)'!V$8/$AB$13</f>
        <v>0</v>
      </c>
      <c r="W13">
        <f>W$12*'实盘净值数据(iFinD公式)'!W$13/'实盘净值数据(iFinD公式)'!W$8/$AB$13</f>
        <v>3.728493521308144E-2</v>
      </c>
      <c r="X13">
        <f>X$12*'实盘净值数据(iFinD公式)'!X$13/'实盘净值数据(iFinD公式)'!X$8/$AB$13</f>
        <v>0.57770110350899717</v>
      </c>
      <c r="Y13">
        <f>Y$12*'实盘净值数据(iFinD公式)'!Y$13/'实盘净值数据(iFinD公式)'!Y$8/$AB$13+0.015</f>
        <v>1.4999999999999999E-2</v>
      </c>
      <c r="Z13">
        <f t="shared" si="0"/>
        <v>0.99999999999999989</v>
      </c>
      <c r="AA13" s="41">
        <v>46204</v>
      </c>
      <c r="AB13">
        <f>SUMPRODUCT($B$12:$Y$12,'实盘净值数据(iFinD公式)'!$B$13:$Y$13/'实盘净值数据(iFinD公式)'!$B$8:$Y$8)</f>
        <v>1.0041480100695228</v>
      </c>
    </row>
    <row r="14" spans="1:28" x14ac:dyDescent="0.25">
      <c r="A14" t="s">
        <v>111</v>
      </c>
      <c r="B14">
        <v>5.139293166474062E-2</v>
      </c>
      <c r="C14">
        <v>5.0001502866869281E-2</v>
      </c>
      <c r="D14">
        <v>0</v>
      </c>
      <c r="E14">
        <v>0</v>
      </c>
      <c r="F14">
        <v>1.2270016716695449E-2</v>
      </c>
      <c r="G14">
        <v>0</v>
      </c>
      <c r="H14">
        <v>4.4058931492136771E-3</v>
      </c>
      <c r="I14">
        <v>9.7604351673444417E-3</v>
      </c>
      <c r="J14">
        <v>0</v>
      </c>
      <c r="K14">
        <v>1.070091759852594E-2</v>
      </c>
      <c r="L14">
        <v>0</v>
      </c>
      <c r="M14">
        <v>1.2094650535350041E-2</v>
      </c>
      <c r="N14">
        <v>0</v>
      </c>
      <c r="O14">
        <v>1.2228859161548609E-2</v>
      </c>
      <c r="P14">
        <v>0</v>
      </c>
      <c r="Q14">
        <v>0</v>
      </c>
      <c r="R14">
        <v>8.9849704896460322E-3</v>
      </c>
      <c r="S14">
        <v>8.9406347696316044E-3</v>
      </c>
      <c r="T14">
        <v>0</v>
      </c>
      <c r="U14">
        <v>5.1732171227200146E-3</v>
      </c>
      <c r="V14">
        <v>0</v>
      </c>
      <c r="W14">
        <v>1.2045088401733659E-2</v>
      </c>
      <c r="X14">
        <v>0.79287068364096658</v>
      </c>
      <c r="Y14">
        <v>9.1301987150140471E-3</v>
      </c>
      <c r="Z14">
        <f t="shared" si="0"/>
        <v>1</v>
      </c>
      <c r="AA14" s="41">
        <v>46210</v>
      </c>
      <c r="AB14">
        <f>$AB$9*SUMPRODUCT($B$9:$Y$9,'实盘净值数据(iFinD公式)'!$B$17:$Y$17/'实盘净值数据(iFinD公式)'!$B$13:$Y$13)</f>
        <v>0.99518059435920936</v>
      </c>
    </row>
    <row r="15" spans="1:28" x14ac:dyDescent="0.25">
      <c r="A15" t="s">
        <v>112</v>
      </c>
      <c r="B15">
        <v>4.9150896792573832E-2</v>
      </c>
      <c r="C15">
        <v>5.0001160130108788E-2</v>
      </c>
      <c r="D15">
        <v>9.0305950887984605E-3</v>
      </c>
      <c r="E15">
        <v>1.2304437502045891E-2</v>
      </c>
      <c r="F15">
        <v>0</v>
      </c>
      <c r="G15">
        <v>4.4250789578555334E-3</v>
      </c>
      <c r="H15">
        <v>0</v>
      </c>
      <c r="I15">
        <v>0</v>
      </c>
      <c r="J15">
        <v>1.1856418000136169E-2</v>
      </c>
      <c r="K15">
        <v>0</v>
      </c>
      <c r="L15">
        <v>1.2254684287608401E-2</v>
      </c>
      <c r="M15">
        <v>0</v>
      </c>
      <c r="N15">
        <v>1.250578493131387E-2</v>
      </c>
      <c r="O15">
        <v>0</v>
      </c>
      <c r="P15">
        <v>8.7603815716342116E-3</v>
      </c>
      <c r="Q15">
        <v>9.2543443784100839E-3</v>
      </c>
      <c r="R15">
        <v>0</v>
      </c>
      <c r="S15">
        <v>0</v>
      </c>
      <c r="T15">
        <v>5.5938035302751906E-3</v>
      </c>
      <c r="U15">
        <v>0</v>
      </c>
      <c r="V15">
        <v>1.202163552427974E-2</v>
      </c>
      <c r="W15">
        <v>0</v>
      </c>
      <c r="X15">
        <v>0.79370064963292486</v>
      </c>
      <c r="Y15">
        <v>9.1401296720349749E-3</v>
      </c>
      <c r="Z15">
        <f t="shared" si="0"/>
        <v>0.99999999999999989</v>
      </c>
      <c r="AA15" s="41">
        <v>46210</v>
      </c>
      <c r="AB15">
        <f>$AB$11*SUMPRODUCT($B$11:$Y$11,'实盘净值数据(iFinD公式)'!$B$17:$Y$17/'实盘净值数据(iFinD公式)'!$B$13:$Y$13)</f>
        <v>0.99376731247498307</v>
      </c>
    </row>
    <row r="16" spans="1:28" x14ac:dyDescent="0.25">
      <c r="A16" t="s">
        <v>113</v>
      </c>
      <c r="B16">
        <v>0.103481083555403</v>
      </c>
      <c r="C16">
        <v>0.10000326780346599</v>
      </c>
      <c r="D16">
        <v>0</v>
      </c>
      <c r="E16">
        <v>0</v>
      </c>
      <c r="F16">
        <v>3.705753582237075E-2</v>
      </c>
      <c r="G16">
        <v>0</v>
      </c>
      <c r="H16">
        <v>1.330649493506704E-2</v>
      </c>
      <c r="I16">
        <v>2.9478188571632431E-2</v>
      </c>
      <c r="J16">
        <v>0</v>
      </c>
      <c r="K16">
        <v>3.2319155927704013E-2</v>
      </c>
      <c r="L16">
        <v>0</v>
      </c>
      <c r="M16">
        <v>3.6532004631774077E-2</v>
      </c>
      <c r="N16">
        <v>0</v>
      </c>
      <c r="O16">
        <v>3.6934217474570777E-2</v>
      </c>
      <c r="P16">
        <v>0</v>
      </c>
      <c r="Q16">
        <v>0</v>
      </c>
      <c r="R16">
        <v>2.7137905606625792E-2</v>
      </c>
      <c r="S16">
        <v>2.7005784241282051E-2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0.49087376717201131</v>
      </c>
      <c r="Y16">
        <v>1.386608814313659E-2</v>
      </c>
      <c r="Z16">
        <f t="shared" si="0"/>
        <v>1</v>
      </c>
      <c r="AA16" s="41">
        <v>46210</v>
      </c>
      <c r="AB16">
        <f>$AB$13*SUMPRODUCT($B$13:$Y$13,'实盘净值数据(iFinD公式)'!$B$17:$Y$17/'实盘净值数据(iFinD公式)'!$B$13:$Y$13)</f>
        <v>0.9844764004850477</v>
      </c>
    </row>
    <row r="17" spans="1:28" x14ac:dyDescent="0.25">
      <c r="A17" t="s">
        <v>114</v>
      </c>
      <c r="B17">
        <v>0</v>
      </c>
      <c r="C17">
        <v>4.632803207645908E-2</v>
      </c>
      <c r="D17">
        <v>0.16457820614969279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0.24720581393205809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0.16397772588060949</v>
      </c>
      <c r="Q17">
        <v>0.17265148062139979</v>
      </c>
      <c r="R17">
        <v>0</v>
      </c>
      <c r="S17">
        <v>0</v>
      </c>
      <c r="T17">
        <v>0.13525836599697411</v>
      </c>
      <c r="U17">
        <v>0</v>
      </c>
      <c r="V17">
        <v>0</v>
      </c>
      <c r="W17">
        <v>0</v>
      </c>
      <c r="X17">
        <v>0</v>
      </c>
      <c r="Y17">
        <v>7.0000375342806592E-2</v>
      </c>
      <c r="Z17">
        <f t="shared" si="0"/>
        <v>0.99999999999999989</v>
      </c>
      <c r="AA17" s="41">
        <v>46213</v>
      </c>
      <c r="AB17">
        <f>SUMPRODUCT($B$5:$Y$5,'实盘净值数据(iFinD公式)'!$B$20:$Y$20/'实盘净值数据(iFinD公式)'!$B$6:$Y$6)</f>
        <v>0.95250384230903973</v>
      </c>
    </row>
    <row r="18" spans="1:28" x14ac:dyDescent="0.25">
      <c r="A18" t="s">
        <v>115</v>
      </c>
      <c r="B18">
        <v>0</v>
      </c>
      <c r="C18">
        <v>4.5293229219309408E-2</v>
      </c>
      <c r="D18">
        <v>0.1660947963410051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0.2454290894622958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0.16384893651891691</v>
      </c>
      <c r="Q18">
        <v>0.1734305677404033</v>
      </c>
      <c r="R18">
        <v>0</v>
      </c>
      <c r="S18">
        <v>0</v>
      </c>
      <c r="T18">
        <v>0.13590355322742911</v>
      </c>
      <c r="U18">
        <v>0</v>
      </c>
      <c r="V18">
        <v>0</v>
      </c>
      <c r="W18">
        <v>0</v>
      </c>
      <c r="X18">
        <v>0</v>
      </c>
      <c r="Y18">
        <v>6.9999827490640279E-2</v>
      </c>
      <c r="Z18">
        <f t="shared" si="0"/>
        <v>0.99999999999999989</v>
      </c>
      <c r="AA18" s="41">
        <v>46213</v>
      </c>
      <c r="AB18">
        <f>SUMPRODUCT($B$6:$Y$6,'实盘净值数据(iFinD公式)'!$B$20:$Y$20/'实盘净值数据(iFinD公式)'!$B$5:$Y$5)</f>
        <v>0.97445109575393596</v>
      </c>
    </row>
    <row r="19" spans="1:28" x14ac:dyDescent="0.25">
      <c r="A19" t="s">
        <v>116</v>
      </c>
      <c r="B19">
        <v>0</v>
      </c>
      <c r="C19">
        <v>4.3773381645872793E-2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0.18991247487421489</v>
      </c>
      <c r="J19">
        <v>0</v>
      </c>
      <c r="K19">
        <v>0.23432791874005579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0.1687642700753656</v>
      </c>
      <c r="S19">
        <v>0.16403375942840731</v>
      </c>
      <c r="T19">
        <v>0</v>
      </c>
      <c r="U19">
        <v>0.1291885887815882</v>
      </c>
      <c r="V19">
        <v>0</v>
      </c>
      <c r="W19">
        <v>0</v>
      </c>
      <c r="X19">
        <v>0</v>
      </c>
      <c r="Y19">
        <v>6.9999606454495308E-2</v>
      </c>
      <c r="Z19">
        <f t="shared" si="0"/>
        <v>0.99999999999999989</v>
      </c>
      <c r="AA19" s="41">
        <v>46213</v>
      </c>
      <c r="AB19">
        <f>SUMPRODUCT($B$7:$Y$7,'实盘净值数据(iFinD公式)'!$B$20:$Y$20/'实盘净值数据(iFinD公式)'!$B$7:$Y$7)</f>
        <v>0.99413981381289751</v>
      </c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J20" sqref="J20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20.453125" style="33" customWidth="1"/>
    <col min="5" max="5" width="15.81640625" style="33" customWidth="1"/>
    <col min="6" max="6" width="17.54296875" style="33" bestFit="1" customWidth="1"/>
    <col min="7" max="7" width="14" style="33" customWidth="1"/>
    <col min="8" max="8" width="2" style="33" customWidth="1"/>
  </cols>
  <sheetData>
    <row r="2" spans="2:7" ht="20.5" customHeight="1" x14ac:dyDescent="0.25">
      <c r="B2" s="56" t="s">
        <v>117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"&amp;TEXT(实盘持仓配置!$Z$4,"0.0%")&amp;"（折每日计入净值）"</f>
        <v>买入持有 · 已扣年化费率 1.5%（折每日计入净值）</v>
      </c>
      <c r="C3" s="50"/>
      <c r="D3" s="50"/>
      <c r="E3" s="53" t="str">
        <f>"净值日期："&amp;TEXT(LOOKUP(2,1/(实盘组合净值!$B$5:$B$59&lt;&gt;""),实盘组合净值!$A$5:$A$59),"yyyy-mm-dd")</f>
        <v>净值日期：2026-07-17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LOOKUP(2,1/(实盘组合净值!$B$5:$B$59&lt;&gt;""),实盘组合净值!$B$5:$B$59)</f>
        <v>0.87555938246245213</v>
      </c>
      <c r="C7" s="19">
        <f>(LOOKUP(2,1/(实盘组合净值!$B$5:$B$59&lt;&gt;""),实盘组合净值!$B$5:$B$59))/1-1</f>
        <v>-0.12444061753754787</v>
      </c>
      <c r="D7" s="19">
        <f>(LOOKUP(2,1/(实盘组合净值!$B$5:$B$59&lt;&gt;""),实盘组合净值!$B$5:$B$59)/1)^(说明!$C$17/MAX(COUNT(实盘组合净值!$C$5:$C$59),1))-1</f>
        <v>-0.81596480744423217</v>
      </c>
      <c r="E7" s="20">
        <f>STDEV(实盘组合净值!$C$5:$C$59)*SQRT(说明!$C$17)</f>
        <v>0.59615118849879778</v>
      </c>
      <c r="F7" s="19">
        <f>MIN(实盘组合净值!$D$5:$D$59)</f>
        <v>-0.18541090984134656</v>
      </c>
      <c r="G7" s="21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-1.368721262636345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IFERROR((LOOKUP(2,1/(实盘组合净值!$B$5:$B$59&lt;&gt;""),实盘组合净值!$B$5:$B$59))/(1)-1,"")</f>
        <v>-0.12444061753754787</v>
      </c>
      <c r="D11" s="15">
        <f>IFERROR((LOOKUP(2,1/(实盘组合净值!$B$5:$B$59&lt;&gt;""),实盘组合净值!$B$5:$B$59)/(1))^(说明!$C$17/COUNT(实盘组合净值!$C$5:$C$59))-1,"")</f>
        <v>-0.81596480744423217</v>
      </c>
      <c r="E11" s="54" t="s">
        <v>123</v>
      </c>
      <c r="F11" s="55"/>
      <c r="G11" s="15">
        <f>MIN(实盘组合净值!$D$5:$D$59)</f>
        <v>-0.18541090984134656</v>
      </c>
    </row>
    <row r="12" spans="2:7" ht="22.5" customHeight="1" x14ac:dyDescent="0.25">
      <c r="B12" s="24" t="s">
        <v>131</v>
      </c>
      <c r="C12" s="15">
        <f>IFERROR((LOOKUP(2,1/(实盘组合净值!$B$5:$B$59&lt;&gt;""),实盘组合净值!$B$5:$B$59))/(IFERROR(LOOKUP(DATE(2026,1,1),实盘组合净值!$A$5:$A$59,实盘组合净值!$B$5:$B$59),1))-1,"")</f>
        <v>-0.12444061753754787</v>
      </c>
      <c r="D12" s="15">
        <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>-0.78377280228906976</v>
      </c>
      <c r="E12" s="54" t="s">
        <v>132</v>
      </c>
      <c r="F12" s="55"/>
      <c r="G12" s="16">
        <f>IFERROR((LOOKUP(2,1/(实盘组合净值!$B$5:$B$59&lt;&gt;""),ROW(实盘组合净值!$B$5:$B$59)))-(LOOKUP(2,1/(实盘组合净值!$D$5:$D$59=0),ROW(实盘组合净值!$D$5:$D$59))),"")</f>
        <v>13</v>
      </c>
    </row>
    <row r="13" spans="2:7" ht="22.5" customHeight="1" x14ac:dyDescent="0.25">
      <c r="B13" s="24" t="s">
        <v>133</v>
      </c>
      <c r="C13" s="15">
        <f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>-0.12444061753754787</v>
      </c>
      <c r="D13" s="15">
        <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>-0.78377280228906976</v>
      </c>
      <c r="E13" s="54" t="s">
        <v>134</v>
      </c>
      <c r="F13" s="55"/>
      <c r="G13" s="43">
        <f>COUNTIF(实盘组合净值!$C$5:$C$59,"&gt;0")/MAX(COUNT(实盘组合净值!$C$5:$C$59),1)</f>
        <v>0.42105263157894735</v>
      </c>
    </row>
    <row r="14" spans="2:7" ht="22.5" customHeight="1" x14ac:dyDescent="0.25">
      <c r="B14" s="24" t="s">
        <v>135</v>
      </c>
      <c r="C14" s="15">
        <f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>-0.12444061753754787</v>
      </c>
      <c r="D14" s="15">
        <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>-0.78377280228906976</v>
      </c>
      <c r="E14" s="54" t="s">
        <v>122</v>
      </c>
      <c r="F14" s="55"/>
      <c r="G14" s="15">
        <f>STDEV(实盘组合净值!$C$5:$C$59)*SQRT(说明!$C$17)</f>
        <v>0.59615118849879778</v>
      </c>
    </row>
    <row r="15" spans="2:7" ht="22.5" customHeight="1" x14ac:dyDescent="0.25">
      <c r="B15" s="24" t="s">
        <v>136</v>
      </c>
      <c r="C15" s="15">
        <f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>-0.12444061753754787</v>
      </c>
      <c r="D15" s="15">
        <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>-0.78377280228906976</v>
      </c>
      <c r="E15" s="54" t="s">
        <v>124</v>
      </c>
      <c r="F15" s="55"/>
      <c r="G15" s="17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-1.368721262636345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IFERROR(((LOOKUP(2,1/(实盘组合净值!$B$5:$B$59&lt;&gt;""),实盘组合净值!$B$5:$B$59)/1)^(说明!$C$17/MAX(COUNT(实盘组合净值!$C$5:$C$59),1))-1)/ABS(MIN(实盘组合净值!$D$5:$D$59)),"")</f>
        <v>-4.4008457115195725</v>
      </c>
    </row>
    <row r="18" spans="2:7" x14ac:dyDescent="0.25">
      <c r="B18" s="52" t="s">
        <v>138</v>
      </c>
      <c r="C18" s="50"/>
      <c r="D18" s="50"/>
      <c r="E18" s="50"/>
      <c r="F18" s="50"/>
      <c r="G18" s="50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G21" sqref="G21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19.54296875" style="33" customWidth="1"/>
    <col min="5" max="5" width="15.81640625" style="33" customWidth="1"/>
    <col min="6" max="6" width="17.54296875" style="33" bestFit="1" customWidth="1"/>
    <col min="7" max="7" width="16.6328125" style="33" customWidth="1"/>
    <col min="8" max="8" width="2" style="33" customWidth="1"/>
  </cols>
  <sheetData>
    <row r="2" spans="2:7" ht="20.5" customHeight="1" x14ac:dyDescent="0.25">
      <c r="B2" s="56" t="s">
        <v>140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"&amp;TEXT(实盘持仓配置!$Z$5,"0.0%")&amp;"（折每日计入净值）"</f>
        <v>买入持有 · 已扣年化费率 1.2%（折每日计入净值）</v>
      </c>
      <c r="C3" s="50"/>
      <c r="D3" s="50"/>
      <c r="E3" s="53" t="str">
        <f>"净值日期："&amp;TEXT(LOOKUP(2,1/(实盘组合净值!$E$5:$E$59&lt;&gt;""),实盘组合净值!$A$5:$A$59),"yyyy-mm-dd")</f>
        <v>净值日期：2026-07-17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LOOKUP(2,1/(实盘组合净值!$E$5:$E$59&lt;&gt;""),实盘组合净值!$E$5:$E$59)</f>
        <v>0.89584501922588966</v>
      </c>
      <c r="C7" s="19">
        <f>(LOOKUP(2,1/(实盘组合净值!$E$5:$E$59&lt;&gt;""),实盘组合净值!$E$5:$E$59))/1-1</f>
        <v>-0.10415498077411034</v>
      </c>
      <c r="D7" s="19">
        <f>(LOOKUP(2,1/(实盘组合净值!$E$5:$E$59&lt;&gt;""),实盘组合净值!$E$5:$E$59)/1)^(说明!$C$17/MAX(COUNT(实盘组合净值!$F$5:$F$59),1))-1</f>
        <v>-0.73574823951097734</v>
      </c>
      <c r="E7" s="20">
        <f>STDEV(实盘组合净值!$F$5:$F$59)*SQRT(说明!$C$17)</f>
        <v>0.58960489313275088</v>
      </c>
      <c r="F7" s="19">
        <f>MIN(实盘组合净值!$G$5:$G$59)</f>
        <v>-0.18540057843995339</v>
      </c>
      <c r="G7" s="21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-1.2478665765504797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IFERROR((LOOKUP(2,1/(实盘组合净值!$E$5:$E$59&lt;&gt;""),实盘组合净值!$E$5:$E$59))/(1)-1,"")</f>
        <v>-0.10415498077411034</v>
      </c>
      <c r="D11" s="15">
        <f>IFERROR((LOOKUP(2,1/(实盘组合净值!$E$5:$E$59&lt;&gt;""),实盘组合净值!$E$5:$E$59)/(1))^(说明!$C$17/COUNT(实盘组合净值!$F$5:$F$59))-1,"")</f>
        <v>-0.73574823951097734</v>
      </c>
      <c r="E11" s="54" t="s">
        <v>123</v>
      </c>
      <c r="F11" s="55"/>
      <c r="G11" s="15">
        <f>MIN(实盘组合净值!$G$5:$G$59)</f>
        <v>-0.18540057843995339</v>
      </c>
    </row>
    <row r="12" spans="2:7" ht="22.5" customHeight="1" x14ac:dyDescent="0.25">
      <c r="B12" s="24" t="s">
        <v>131</v>
      </c>
      <c r="C12" s="15">
        <f>IFERROR((LOOKUP(2,1/(实盘组合净值!$E$5:$E$59&lt;&gt;""),实盘组合净值!$E$5:$E$59))/(IFERROR(LOOKUP(DATE(2026,1,1),实盘组合净值!$A$5:$A$59,实盘组合净值!$E$5:$E$59),1))-1,"")</f>
        <v>-0.10415498077411034</v>
      </c>
      <c r="D12" s="15">
        <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>-0.71845951982170742</v>
      </c>
      <c r="E12" s="54" t="s">
        <v>132</v>
      </c>
      <c r="F12" s="55"/>
      <c r="G12" s="16">
        <f>IFERROR((LOOKUP(2,1/(实盘组合净值!$E$5:$E$59&lt;&gt;""),ROW(实盘组合净值!$E$5:$E$59)))-(LOOKUP(2,1/(实盘组合净值!$G$5:$G$59=0),ROW(实盘组合净值!$G$5:$G$59))),"")</f>
        <v>13</v>
      </c>
    </row>
    <row r="13" spans="2:7" ht="22.5" customHeight="1" x14ac:dyDescent="0.25">
      <c r="B13" s="24" t="s">
        <v>133</v>
      </c>
      <c r="C13" s="15">
        <f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>-0.10415498077411034</v>
      </c>
      <c r="D13" s="15">
        <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>-0.71845951982170742</v>
      </c>
      <c r="E13" s="54" t="s">
        <v>134</v>
      </c>
      <c r="F13" s="55"/>
      <c r="G13" s="43">
        <f>COUNTIF(实盘组合净值!$F$5:$F$59,"&gt;0")/MAX(COUNT(实盘组合净值!$F$5:$F$59),1)</f>
        <v>0.45</v>
      </c>
    </row>
    <row r="14" spans="2:7" ht="22.5" customHeight="1" x14ac:dyDescent="0.25">
      <c r="B14" s="24" t="s">
        <v>135</v>
      </c>
      <c r="C14" s="15">
        <f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>-0.10415498077411034</v>
      </c>
      <c r="D14" s="15">
        <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>-0.71845951982170742</v>
      </c>
      <c r="E14" s="54" t="s">
        <v>122</v>
      </c>
      <c r="F14" s="55"/>
      <c r="G14" s="15">
        <f>STDEV(实盘组合净值!$F$5:$F$59)*SQRT(说明!$C$17)</f>
        <v>0.58960489313275088</v>
      </c>
    </row>
    <row r="15" spans="2:7" ht="22.5" customHeight="1" x14ac:dyDescent="0.25">
      <c r="B15" s="24" t="s">
        <v>136</v>
      </c>
      <c r="C15" s="15">
        <f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>-0.10415498077411034</v>
      </c>
      <c r="D15" s="15">
        <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>-0.71845951982170742</v>
      </c>
      <c r="E15" s="54" t="s">
        <v>124</v>
      </c>
      <c r="F15" s="55"/>
      <c r="G15" s="17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-1.2478665765504797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IFERROR(((LOOKUP(2,1/(实盘组合净值!$E$5:$E$59&lt;&gt;""),实盘组合净值!$E$5:$E$59)/1)^(说明!$C$17/MAX(COUNT(实盘组合净值!$F$5:$F$59),1))-1)/ABS(MIN(实盘组合净值!$G$5:$G$59)),"")</f>
        <v>-3.968424725003044</v>
      </c>
    </row>
    <row r="18" spans="2:7" x14ac:dyDescent="0.25">
      <c r="B18" s="52" t="s">
        <v>138</v>
      </c>
      <c r="C18" s="50"/>
      <c r="D18" s="50"/>
      <c r="E18" s="50"/>
      <c r="F18" s="50"/>
      <c r="G18" s="50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J27" sqref="J27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24.90625" style="33" customWidth="1"/>
    <col min="5" max="5" width="15.81640625" style="33" customWidth="1"/>
    <col min="6" max="6" width="17.54296875" style="33" bestFit="1" customWidth="1"/>
    <col min="7" max="7" width="17.453125" style="33" customWidth="1"/>
    <col min="8" max="8" width="2" style="33" customWidth="1"/>
  </cols>
  <sheetData>
    <row r="2" spans="2:7" ht="20.5" customHeight="1" x14ac:dyDescent="0.25">
      <c r="B2" s="56" t="s">
        <v>141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"&amp;TEXT(实盘持仓配置!$Z$6,"0.0%")&amp;"（折每日计入净值）"</f>
        <v>买入持有 · 已扣年化费率 1.5%（折每日计入净值）</v>
      </c>
      <c r="C3" s="50"/>
      <c r="D3" s="50"/>
      <c r="E3" s="53" t="str">
        <f>"净值日期："&amp;TEXT(LOOKUP(2,1/(实盘组合净值!$H$5:$H$59&lt;&gt;""),实盘组合净值!$A$5:$A$59),"yyyy-mm-dd")</f>
        <v>净值日期：2026-07-17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LOOKUP(2,1/(实盘组合净值!$H$5:$H$59&lt;&gt;""),实盘组合净值!$H$5:$H$59)</f>
        <v>0.90356876443032785</v>
      </c>
      <c r="C7" s="19">
        <f>(LOOKUP(2,1/(实盘组合净值!$H$5:$H$59&lt;&gt;""),实盘组合净值!$H$5:$H$59))/1-1</f>
        <v>-9.6431235569672147E-2</v>
      </c>
      <c r="D7" s="19">
        <f>(LOOKUP(2,1/(实盘组合净值!$H$5:$H$59&lt;&gt;""),实盘组合净值!$H$5:$H$59)/1)^(说明!$C$17/MAX(COUNT(实盘组合净值!$I$5:$I$59),1))-1</f>
        <v>-0.74418681466752068</v>
      </c>
      <c r="E7" s="20">
        <f>STDEV(实盘组合净值!$I$5:$I$59)*SQRT(说明!$C$17)</f>
        <v>0.60411311609297336</v>
      </c>
      <c r="F7" s="19">
        <f>MIN(实盘组合净值!$J$5:$J$59)</f>
        <v>-0.18722378129100026</v>
      </c>
      <c r="G7" s="21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-1.2318666733813968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IFERROR((LOOKUP(2,1/(实盘组合净值!$H$5:$H$59&lt;&gt;""),实盘组合净值!$H$5:$H$59))/(1)-1,"")</f>
        <v>-9.6431235569672147E-2</v>
      </c>
      <c r="D11" s="15">
        <f>IFERROR((LOOKUP(2,1/(实盘组合净值!$H$5:$H$59&lt;&gt;""),实盘组合净值!$H$5:$H$59)/(1))^(说明!$C$17/COUNT(实盘组合净值!$I$5:$I$59))-1,"")</f>
        <v>-0.74418681466752068</v>
      </c>
      <c r="E11" s="54" t="s">
        <v>123</v>
      </c>
      <c r="F11" s="55"/>
      <c r="G11" s="15">
        <f>MIN(实盘组合净值!$J$5:$J$59)</f>
        <v>-0.18722378129100026</v>
      </c>
    </row>
    <row r="12" spans="2:7" ht="22.5" customHeight="1" x14ac:dyDescent="0.25">
      <c r="B12" s="24" t="s">
        <v>131</v>
      </c>
      <c r="C12" s="15">
        <f>IFERROR((LOOKUP(2,1/(实盘组合净值!$H$5:$H$59&lt;&gt;""),实盘组合净值!$H$5:$H$59))/(IFERROR(LOOKUP(DATE(2026,1,1),实盘组合净值!$A$5:$A$59,实盘组合净值!$H$5:$H$59),1))-1,"")</f>
        <v>-9.6431235569672147E-2</v>
      </c>
      <c r="D12" s="15">
        <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>-0.68918257032347952</v>
      </c>
      <c r="E12" s="54" t="s">
        <v>132</v>
      </c>
      <c r="F12" s="55"/>
      <c r="G12" s="16">
        <f>IFERROR((LOOKUP(2,1/(实盘组合净值!$H$5:$H$59&lt;&gt;""),ROW(实盘组合净值!$H$5:$H$59)))-(LOOKUP(2,1/(实盘组合净值!$J$5:$J$59=0),ROW(实盘组合净值!$J$5:$J$59))),"")</f>
        <v>13</v>
      </c>
    </row>
    <row r="13" spans="2:7" ht="22.5" customHeight="1" x14ac:dyDescent="0.25">
      <c r="B13" s="24" t="s">
        <v>133</v>
      </c>
      <c r="C13" s="15">
        <f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>-9.6431235569672147E-2</v>
      </c>
      <c r="D13" s="15">
        <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>-0.68918257032347952</v>
      </c>
      <c r="E13" s="54" t="s">
        <v>134</v>
      </c>
      <c r="F13" s="55"/>
      <c r="G13" s="43">
        <f>COUNTIF(实盘组合净值!$I$5:$I$59,"&gt;0")/MAX(COUNT(实盘组合净值!$I$5:$I$59),1)</f>
        <v>0.44444444444444442</v>
      </c>
    </row>
    <row r="14" spans="2:7" ht="22.5" customHeight="1" x14ac:dyDescent="0.25">
      <c r="B14" s="24" t="s">
        <v>135</v>
      </c>
      <c r="C14" s="15">
        <f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>-9.6431235569672147E-2</v>
      </c>
      <c r="D14" s="15">
        <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>-0.68918257032347952</v>
      </c>
      <c r="E14" s="54" t="s">
        <v>122</v>
      </c>
      <c r="F14" s="55"/>
      <c r="G14" s="15">
        <f>STDEV(实盘组合净值!$I$5:$I$59)*SQRT(说明!$C$17)</f>
        <v>0.60411311609297336</v>
      </c>
    </row>
    <row r="15" spans="2:7" ht="22.5" customHeight="1" x14ac:dyDescent="0.25">
      <c r="B15" s="24" t="s">
        <v>136</v>
      </c>
      <c r="C15" s="15">
        <f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>-9.6431235569672147E-2</v>
      </c>
      <c r="D15" s="15">
        <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>-0.68918257032347952</v>
      </c>
      <c r="E15" s="54" t="s">
        <v>124</v>
      </c>
      <c r="F15" s="55"/>
      <c r="G15" s="17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-1.2318666733813968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IFERROR(((LOOKUP(2,1/(实盘组合净值!$H$5:$H$59&lt;&gt;""),实盘组合净值!$H$5:$H$59)/1)^(说明!$C$17/MAX(COUNT(实盘组合净值!$I$5:$I$59),1))-1)/ABS(MIN(实盘组合净值!$J$5:$J$59)),"")</f>
        <v>-3.9748519634417474</v>
      </c>
    </row>
    <row r="18" spans="2:7" x14ac:dyDescent="0.25">
      <c r="B18" s="52" t="s">
        <v>138</v>
      </c>
      <c r="C18" s="50"/>
      <c r="D18" s="50"/>
      <c r="E18" s="50"/>
      <c r="F18" s="50"/>
      <c r="G18" s="50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J25" sqref="J25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17.26953125" style="33" customWidth="1"/>
    <col min="5" max="5" width="19.36328125" style="33" customWidth="1"/>
    <col min="6" max="6" width="15.08984375" style="33" customWidth="1"/>
    <col min="7" max="7" width="17.81640625" style="33" customWidth="1"/>
    <col min="8" max="8" width="2" style="33" customWidth="1"/>
  </cols>
  <sheetData>
    <row r="2" spans="2:7" ht="20.5" customHeight="1" x14ac:dyDescent="0.25">
      <c r="B2" s="56" t="s">
        <v>142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"&amp;TEXT(实盘持仓配置!$Z$7,"0.0%")&amp;"（折每日计入净值）"</f>
        <v>买入持有 · 已扣年化费率 0.8%（折每日计入净值）</v>
      </c>
      <c r="C3" s="50"/>
      <c r="D3" s="50"/>
      <c r="E3" s="53" t="str">
        <f>"净值日期："&amp;TEXT(LOOKUP(2,1/(实盘组合净值!$K$5:$K$59&lt;&gt;""),实盘组合净值!$A$5:$A$59),"yyyy-mm-dd")</f>
        <v>净值日期：2026-07-17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LOOKUP(2,1/(实盘组合净值!$K$5:$K$59&lt;&gt;""),实盘组合净值!$K$5:$K$59)</f>
        <v>0.98674015692893524</v>
      </c>
      <c r="C7" s="19">
        <f>(LOOKUP(2,1/(实盘组合净值!$K$5:$K$59&lt;&gt;""),实盘组合净值!$K$5:$K$59))/1-1</f>
        <v>-1.3259843071064759E-2</v>
      </c>
      <c r="D7" s="19">
        <f>(LOOKUP(2,1/(实盘组合净值!$K$5:$K$59&lt;&gt;""),实盘组合净值!$K$5:$K$59)/1)^(说明!$C$17/MAX(COUNT(实盘组合净值!$L$5:$L$59),1))-1</f>
        <v>-0.173057726858455</v>
      </c>
      <c r="E7" s="20">
        <f>STDEV(实盘组合净值!$L$5:$L$59)*SQRT(说明!$C$17)</f>
        <v>4.571942166608458E-2</v>
      </c>
      <c r="F7" s="19">
        <f>MIN(实盘组合净值!$M$5:$M$59)</f>
        <v>-1.6477921050121025E-2</v>
      </c>
      <c r="G7" s="21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-3.7852125103942877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IFERROR((LOOKUP(2,1/(实盘组合净值!$K$5:$K$59&lt;&gt;""),实盘组合净值!$K$5:$K$59))/(1)-1,"")</f>
        <v>-1.3259843071064759E-2</v>
      </c>
      <c r="D11" s="15">
        <f>IFERROR((LOOKUP(2,1/(实盘组合净值!$K$5:$K$59&lt;&gt;""),实盘组合净值!$K$5:$K$59)/(1))^(说明!$C$17/COUNT(实盘组合净值!$L$5:$L$59))-1,"")</f>
        <v>-0.173057726858455</v>
      </c>
      <c r="E11" s="54" t="s">
        <v>123</v>
      </c>
      <c r="F11" s="55"/>
      <c r="G11" s="15">
        <f>MIN(实盘组合净值!$M$5:$M$59)</f>
        <v>-1.6477921050121025E-2</v>
      </c>
    </row>
    <row r="12" spans="2:7" ht="22.5" customHeight="1" x14ac:dyDescent="0.25">
      <c r="B12" s="24" t="s">
        <v>131</v>
      </c>
      <c r="C12" s="15">
        <f>IFERROR((LOOKUP(2,1/(实盘组合净值!$K$5:$K$59&lt;&gt;""),实盘组合净值!$K$5:$K$59))/(IFERROR(LOOKUP(DATE(2026,1,1),实盘组合净值!$A$5:$A$59,实盘组合净值!$K$5:$K$59),1))-1,"")</f>
        <v>-1.3259843071064759E-2</v>
      </c>
      <c r="D12" s="15">
        <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>-0.14257882579451109</v>
      </c>
      <c r="E12" s="54" t="s">
        <v>132</v>
      </c>
      <c r="F12" s="55"/>
      <c r="G12" s="16">
        <f>IFERROR((LOOKUP(2,1/(实盘组合净值!$K$5:$K$59&lt;&gt;""),ROW(实盘组合净值!$K$5:$K$59)))-(LOOKUP(2,1/(实盘组合净值!$M$5:$M$59=0),ROW(实盘组合净值!$M$5:$M$59))),"")</f>
        <v>13</v>
      </c>
    </row>
    <row r="13" spans="2:7" ht="22.5" customHeight="1" x14ac:dyDescent="0.25">
      <c r="B13" s="24" t="s">
        <v>133</v>
      </c>
      <c r="C13" s="15">
        <f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>-1.3259843071064759E-2</v>
      </c>
      <c r="D13" s="15">
        <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>-0.14257882579451109</v>
      </c>
      <c r="E13" s="54" t="s">
        <v>134</v>
      </c>
      <c r="F13" s="55"/>
      <c r="G13" s="43">
        <f>COUNTIF(实盘组合净值!$L$5:$L$59,"&gt;0")/MAX(COUNT(实盘组合净值!$L$5:$L$59),1)</f>
        <v>0.41176470588235292</v>
      </c>
    </row>
    <row r="14" spans="2:7" ht="22.5" customHeight="1" x14ac:dyDescent="0.25">
      <c r="B14" s="24" t="s">
        <v>135</v>
      </c>
      <c r="C14" s="15">
        <f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>-1.3259843071064759E-2</v>
      </c>
      <c r="D14" s="15">
        <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>-0.14257882579451109</v>
      </c>
      <c r="E14" s="54" t="s">
        <v>122</v>
      </c>
      <c r="F14" s="55"/>
      <c r="G14" s="15">
        <f>STDEV(实盘组合净值!$L$5:$L$59)*SQRT(说明!$C$17)</f>
        <v>4.571942166608458E-2</v>
      </c>
    </row>
    <row r="15" spans="2:7" ht="22.5" customHeight="1" x14ac:dyDescent="0.25">
      <c r="B15" s="24" t="s">
        <v>136</v>
      </c>
      <c r="C15" s="15">
        <f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>-1.3259843071064759E-2</v>
      </c>
      <c r="D15" s="15">
        <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>-0.14257882579451109</v>
      </c>
      <c r="E15" s="54" t="s">
        <v>124</v>
      </c>
      <c r="F15" s="55"/>
      <c r="G15" s="17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-3.7852125103942877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IFERROR(((LOOKUP(2,1/(实盘组合净值!$K$5:$K$59&lt;&gt;""),实盘组合净值!$K$5:$K$59)/1)^(说明!$C$17/MAX(COUNT(实盘组合净值!$L$5:$L$59),1))-1)/ABS(MIN(实盘组合净值!$M$5:$M$59)),"")</f>
        <v>-10.502400535362678</v>
      </c>
    </row>
    <row r="18" spans="2:7" x14ac:dyDescent="0.25">
      <c r="B18" s="52" t="s">
        <v>138</v>
      </c>
      <c r="C18" s="50"/>
      <c r="D18" s="50"/>
      <c r="E18" s="50"/>
      <c r="F18" s="50"/>
      <c r="G18" s="50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M21" sqref="M21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18.36328125" style="33" customWidth="1"/>
    <col min="5" max="5" width="15.81640625" style="33" customWidth="1"/>
    <col min="6" max="6" width="15.08984375" style="33" customWidth="1"/>
    <col min="7" max="7" width="17.453125" style="33" customWidth="1"/>
    <col min="8" max="8" width="2" style="33" customWidth="1"/>
  </cols>
  <sheetData>
    <row r="2" spans="2:7" ht="20.5" customHeight="1" x14ac:dyDescent="0.25">
      <c r="B2" s="56" t="s">
        <v>143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"&amp;TEXT(实盘持仓配置!$Z$8,"0.0%")&amp;"（折每日计入净值）"</f>
        <v>买入持有 · 已扣年化费率 0.5%（折每日计入净值）</v>
      </c>
      <c r="C3" s="50"/>
      <c r="D3" s="50"/>
      <c r="E3" s="53" t="str">
        <f>"净值日期："&amp;TEXT(LOOKUP(2,1/(实盘组合净值!$N$5:$N$59&lt;&gt;""),实盘组合净值!$A$5:$A$59),"yyyy-mm-dd")</f>
        <v>净值日期：2026-07-17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LOOKUP(2,1/(实盘组合净值!$N$5:$N$59&lt;&gt;""),实盘组合净值!$N$5:$N$59)</f>
        <v>0.98610407756917207</v>
      </c>
      <c r="C7" s="19">
        <f>(LOOKUP(2,1/(实盘组合净值!$N$5:$N$59&lt;&gt;""),实盘组合净值!$N$5:$N$59))/1-1</f>
        <v>-1.3895922430827934E-2</v>
      </c>
      <c r="D7" s="19">
        <f>(LOOKUP(2,1/(实盘组合净值!$N$5:$N$59&lt;&gt;""),实盘组合净值!$N$5:$N$59)/1)^(说明!$C$17/MAX(COUNT(实盘组合净值!$O$5:$O$59),1))-1</f>
        <v>-0.15576115501606969</v>
      </c>
      <c r="E7" s="20">
        <f>STDEV(实盘组合净值!$O$5:$O$59)*SQRT(说明!$C$17)</f>
        <v>4.5251894287592263E-2</v>
      </c>
      <c r="F7" s="19">
        <f>MIN(实盘组合净值!$P$5:$P$59)</f>
        <v>-1.6561178475284488E-2</v>
      </c>
      <c r="G7" s="21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-3.4420913746980588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IFERROR((LOOKUP(2,1/(实盘组合净值!$N$5:$N$59&lt;&gt;""),实盘组合净值!$N$5:$N$59))/(1)-1,"")</f>
        <v>-1.3895922430827934E-2</v>
      </c>
      <c r="D11" s="15">
        <f>IFERROR((LOOKUP(2,1/(实盘组合净值!$N$5:$N$59&lt;&gt;""),实盘组合净值!$N$5:$N$59)/(1))^(说明!$C$17/COUNT(实盘组合净值!$O$5:$O$59))-1,"")</f>
        <v>-0.15576115501606969</v>
      </c>
      <c r="E11" s="54" t="s">
        <v>123</v>
      </c>
      <c r="F11" s="55"/>
      <c r="G11" s="15">
        <f>MIN(实盘组合净值!$P$5:$P$59)</f>
        <v>-1.6561178475284488E-2</v>
      </c>
    </row>
    <row r="12" spans="2:7" ht="22.5" customHeight="1" x14ac:dyDescent="0.25">
      <c r="B12" s="24" t="s">
        <v>131</v>
      </c>
      <c r="C12" s="15">
        <f>IFERROR((LOOKUP(2,1/(实盘组合净值!$N$5:$N$59&lt;&gt;""),实盘组合净值!$N$5:$N$59))/(IFERROR(LOOKUP(DATE(2026,1,1),实盘组合净值!$A$5:$A$59,实盘组合净值!$N$5:$N$59),1))-1,"")</f>
        <v>-1.3895922430827934E-2</v>
      </c>
      <c r="D12" s="15">
        <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>-0.14892666884886807</v>
      </c>
      <c r="E12" s="54" t="s">
        <v>132</v>
      </c>
      <c r="F12" s="55"/>
      <c r="G12" s="16">
        <f>IFERROR((LOOKUP(2,1/(实盘组合净值!$N$5:$N$59&lt;&gt;""),ROW(实盘组合净值!$N$5:$N$59)))-(LOOKUP(2,1/(实盘组合净值!$P$5:$P$59=0),ROW(实盘组合净值!$P$5:$P$59))),"")</f>
        <v>13</v>
      </c>
    </row>
    <row r="13" spans="2:7" ht="22.5" customHeight="1" x14ac:dyDescent="0.25">
      <c r="B13" s="24" t="s">
        <v>133</v>
      </c>
      <c r="C13" s="15">
        <f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>-1.3895922430827934E-2</v>
      </c>
      <c r="D13" s="15">
        <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>-0.14892666884886807</v>
      </c>
      <c r="E13" s="54" t="s">
        <v>134</v>
      </c>
      <c r="F13" s="55"/>
      <c r="G13" s="43">
        <f>COUNTIF(实盘组合净值!$O$5:$O$59,"&gt;0")/MAX(COUNT(实盘组合净值!$O$5:$O$59),1)</f>
        <v>0.45</v>
      </c>
    </row>
    <row r="14" spans="2:7" ht="22.5" customHeight="1" x14ac:dyDescent="0.25">
      <c r="B14" s="24" t="s">
        <v>135</v>
      </c>
      <c r="C14" s="15">
        <f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>-1.3895922430827934E-2</v>
      </c>
      <c r="D14" s="15">
        <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>-0.14892666884886807</v>
      </c>
      <c r="E14" s="54" t="s">
        <v>122</v>
      </c>
      <c r="F14" s="55"/>
      <c r="G14" s="15">
        <f>STDEV(实盘组合净值!$O$5:$O$59)*SQRT(说明!$C$17)</f>
        <v>4.5251894287592263E-2</v>
      </c>
    </row>
    <row r="15" spans="2:7" ht="22.5" customHeight="1" x14ac:dyDescent="0.25">
      <c r="B15" s="24" t="s">
        <v>136</v>
      </c>
      <c r="C15" s="15">
        <f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>-1.3895922430827934E-2</v>
      </c>
      <c r="D15" s="15">
        <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>-0.14892666884886807</v>
      </c>
      <c r="E15" s="54" t="s">
        <v>124</v>
      </c>
      <c r="F15" s="55"/>
      <c r="G15" s="17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-3.4420913746980588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IFERROR(((LOOKUP(2,1/(实盘组合净值!$N$5:$N$59&lt;&gt;""),实盘组合净值!$N$5:$N$59)/1)^(说明!$C$17/MAX(COUNT(实盘组合净值!$O$5:$O$59),1))-1)/ABS(MIN(实盘组合净值!$P$5:$P$59)),"")</f>
        <v>-9.405197537634411</v>
      </c>
    </row>
    <row r="18" spans="2:7" x14ac:dyDescent="0.25">
      <c r="B18" s="52" t="s">
        <v>138</v>
      </c>
      <c r="C18" s="50"/>
      <c r="D18" s="50"/>
      <c r="E18" s="50"/>
      <c r="F18" s="50"/>
      <c r="G18" s="50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5"/>
  <sheetViews>
    <sheetView showGridLines="0" workbookViewId="0">
      <selection activeCell="L21" sqref="L21"/>
    </sheetView>
  </sheetViews>
  <sheetFormatPr defaultRowHeight="14" x14ac:dyDescent="0.25"/>
  <cols>
    <col min="1" max="1" width="2" style="33" customWidth="1"/>
    <col min="2" max="2" width="14" style="33" customWidth="1"/>
    <col min="3" max="3" width="15.08984375" style="33" customWidth="1"/>
    <col min="4" max="4" width="17.54296875" style="33" customWidth="1"/>
    <col min="5" max="5" width="19" style="33" customWidth="1"/>
    <col min="6" max="6" width="15.08984375" style="33" customWidth="1"/>
    <col min="7" max="7" width="18.453125" style="33" customWidth="1"/>
    <col min="8" max="8" width="2" style="33" customWidth="1"/>
  </cols>
  <sheetData>
    <row r="2" spans="2:7" ht="20.5" customHeight="1" x14ac:dyDescent="0.25">
      <c r="B2" s="56" t="s">
        <v>144</v>
      </c>
      <c r="C2" s="50"/>
      <c r="D2" s="50"/>
      <c r="E2" s="50"/>
      <c r="F2" s="50"/>
      <c r="G2" s="50"/>
    </row>
    <row r="3" spans="2:7" ht="14.5" customHeight="1" x14ac:dyDescent="0.3">
      <c r="B3" s="57" t="str">
        <f>"买入持有 · 已扣年化费率 "&amp;TEXT(实盘持仓配置!$Z$9,"0.0%")&amp;"（折每日计入净值）"</f>
        <v>买入持有 · 已扣年化费率 1.2%（折每日计入净值）</v>
      </c>
      <c r="C3" s="50"/>
      <c r="D3" s="50"/>
      <c r="E3" s="53" t="str">
        <f>"净值日期："&amp;TEXT(LOOKUP(2,1/(实盘组合净值!$Q$5:$Q$59&lt;&gt;""),实盘组合净值!$A$5:$A$59),"yyyy-mm-dd")</f>
        <v>净值日期：2026-07-17</v>
      </c>
      <c r="F3" s="50"/>
      <c r="G3" s="50"/>
    </row>
    <row r="5" spans="2:7" x14ac:dyDescent="0.25">
      <c r="B5" s="52" t="s">
        <v>118</v>
      </c>
      <c r="C5" s="50"/>
      <c r="D5" s="50"/>
      <c r="E5" s="50"/>
      <c r="F5" s="50"/>
      <c r="G5" s="50"/>
    </row>
    <row r="6" spans="2:7" x14ac:dyDescent="0.25">
      <c r="B6" s="8" t="s">
        <v>119</v>
      </c>
      <c r="C6" s="8" t="s">
        <v>120</v>
      </c>
      <c r="D6" s="8" t="s">
        <v>121</v>
      </c>
      <c r="E6" s="8" t="s">
        <v>122</v>
      </c>
      <c r="F6" s="8" t="s">
        <v>123</v>
      </c>
      <c r="G6" s="8" t="s">
        <v>124</v>
      </c>
    </row>
    <row r="7" spans="2:7" ht="28" customHeight="1" x14ac:dyDescent="0.25">
      <c r="B7" s="42">
        <f>LOOKUP(2,1/(实盘组合净值!$Q$5:$Q$59&lt;&gt;""),实盘组合净值!$Q$5:$Q$59)</f>
        <v>0.96149451581437761</v>
      </c>
      <c r="C7" s="19">
        <f>(LOOKUP(2,1/(实盘组合净值!$Q$5:$Q$59&lt;&gt;""),实盘组合净值!$Q$5:$Q$59))/1-1</f>
        <v>-3.8505484185622385E-2</v>
      </c>
      <c r="D7" s="19">
        <f>(LOOKUP(2,1/(实盘组合净值!$Q$5:$Q$59&lt;&gt;""),实盘组合净值!$Q$5:$Q$59)/1)^(说明!$C$17/MAX(COUNT(实盘组合净值!$R$5:$R$59),1))-1</f>
        <v>-0.42820171913392913</v>
      </c>
      <c r="E7" s="20">
        <f>STDEV(实盘组合净值!$R$5:$R$59)*SQRT(说明!$C$17)</f>
        <v>0.12954622226131365</v>
      </c>
      <c r="F7" s="19">
        <f>MIN(实盘组合净值!$S$5:$S$59)</f>
        <v>-4.6856802064154546E-2</v>
      </c>
      <c r="G7" s="21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-3.3053971907431134</v>
      </c>
    </row>
    <row r="9" spans="2:7" x14ac:dyDescent="0.25">
      <c r="B9" s="52" t="s">
        <v>125</v>
      </c>
      <c r="C9" s="50"/>
      <c r="D9" s="50"/>
      <c r="E9" s="52" t="s">
        <v>126</v>
      </c>
      <c r="F9" s="50"/>
      <c r="G9" s="50"/>
    </row>
    <row r="10" spans="2:7" x14ac:dyDescent="0.25">
      <c r="B10" s="25" t="s">
        <v>127</v>
      </c>
      <c r="C10" s="25" t="s">
        <v>120</v>
      </c>
      <c r="D10" s="25" t="s">
        <v>121</v>
      </c>
      <c r="E10" s="58" t="s">
        <v>128</v>
      </c>
      <c r="F10" s="55"/>
      <c r="G10" s="25" t="s">
        <v>129</v>
      </c>
    </row>
    <row r="11" spans="2:7" ht="22.5" customHeight="1" x14ac:dyDescent="0.25">
      <c r="B11" s="24" t="s">
        <v>130</v>
      </c>
      <c r="C11" s="15">
        <f>IFERROR((LOOKUP(2,1/(实盘组合净值!$Q$5:$Q$59&lt;&gt;""),实盘组合净值!$Q$5:$Q$59))/(1)-1,"")</f>
        <v>-3.8505484185622385E-2</v>
      </c>
      <c r="D11" s="15">
        <f>IFERROR((LOOKUP(2,1/(实盘组合净值!$Q$5:$Q$59&lt;&gt;""),实盘组合净值!$Q$5:$Q$59)/(1))^(说明!$C$17/COUNT(实盘组合净值!$R$5:$R$59))-1,"")</f>
        <v>-0.42820171913392913</v>
      </c>
      <c r="E11" s="54" t="s">
        <v>123</v>
      </c>
      <c r="F11" s="55"/>
      <c r="G11" s="15">
        <f>MIN(实盘组合净值!$S$5:$S$59)</f>
        <v>-4.6856802064154546E-2</v>
      </c>
    </row>
    <row r="12" spans="2:7" ht="22.5" customHeight="1" x14ac:dyDescent="0.25">
      <c r="B12" s="24" t="s">
        <v>131</v>
      </c>
      <c r="C12" s="15">
        <f>IFERROR((LOOKUP(2,1/(实盘组合净值!$Q$5:$Q$59&lt;&gt;""),实盘组合净值!$Q$5:$Q$59))/(IFERROR(LOOKUP(DATE(2026,1,1),实盘组合净值!$A$5:$A$59,实盘组合净值!$Q$5:$Q$59),1))-1,"")</f>
        <v>-3.8505484185622385E-2</v>
      </c>
      <c r="D12" s="15">
        <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>-0.36396311296565109</v>
      </c>
      <c r="E12" s="54" t="s">
        <v>132</v>
      </c>
      <c r="F12" s="55"/>
      <c r="G12" s="16">
        <f>IFERROR((LOOKUP(2,1/(实盘组合净值!$Q$5:$Q$59&lt;&gt;""),ROW(实盘组合净值!$Q$5:$Q$59)))-(LOOKUP(2,1/(实盘组合净值!$S$5:$S$59=0),ROW(实盘组合净值!$S$5:$S$59))),"")</f>
        <v>13</v>
      </c>
    </row>
    <row r="13" spans="2:7" ht="22.5" customHeight="1" x14ac:dyDescent="0.25">
      <c r="B13" s="24" t="s">
        <v>133</v>
      </c>
      <c r="C13" s="15">
        <f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>-3.8505484185622385E-2</v>
      </c>
      <c r="D13" s="15">
        <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>-0.36396311296565109</v>
      </c>
      <c r="E13" s="54" t="s">
        <v>134</v>
      </c>
      <c r="F13" s="55"/>
      <c r="G13" s="43">
        <f>COUNTIF(实盘组合净值!$R$5:$R$59,"&gt;0")/MAX(COUNT(实盘组合净值!$R$5:$R$59),1)</f>
        <v>0.35294117647058826</v>
      </c>
    </row>
    <row r="14" spans="2:7" ht="22.5" customHeight="1" x14ac:dyDescent="0.25">
      <c r="B14" s="24" t="s">
        <v>135</v>
      </c>
      <c r="C14" s="15">
        <f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>-3.8505484185622385E-2</v>
      </c>
      <c r="D14" s="15">
        <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>-0.36396311296565109</v>
      </c>
      <c r="E14" s="54" t="s">
        <v>122</v>
      </c>
      <c r="F14" s="55"/>
      <c r="G14" s="15">
        <f>STDEV(实盘组合净值!$R$5:$R$59)*SQRT(说明!$C$17)</f>
        <v>0.12954622226131365</v>
      </c>
    </row>
    <row r="15" spans="2:7" ht="22.5" customHeight="1" x14ac:dyDescent="0.25">
      <c r="B15" s="24" t="s">
        <v>136</v>
      </c>
      <c r="C15" s="15">
        <f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>-3.8505484185622385E-2</v>
      </c>
      <c r="D15" s="15">
        <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>-0.36396311296565109</v>
      </c>
      <c r="E15" s="54" t="s">
        <v>124</v>
      </c>
      <c r="F15" s="55"/>
      <c r="G15" s="17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-3.3053971907431134</v>
      </c>
    </row>
    <row r="16" spans="2:7" ht="22.5" customHeight="1" x14ac:dyDescent="0.5">
      <c r="B16" s="18"/>
      <c r="C16" s="18"/>
      <c r="D16" s="18"/>
      <c r="E16" s="54" t="s">
        <v>137</v>
      </c>
      <c r="F16" s="55"/>
      <c r="G16" s="17">
        <f>IFERROR(((LOOKUP(2,1/(实盘组合净值!$Q$5:$Q$59&lt;&gt;""),实盘组合净值!$Q$5:$Q$59)/1)^(说明!$C$17/MAX(COUNT(实盘组合净值!$R$5:$R$59),1))-1)/ABS(MIN(实盘组合净值!$S$5:$S$59)),"")</f>
        <v>-9.1385177876128143</v>
      </c>
    </row>
    <row r="18" spans="2:15" x14ac:dyDescent="0.25">
      <c r="B18" s="52" t="s">
        <v>138</v>
      </c>
      <c r="C18" s="50"/>
      <c r="D18" s="50"/>
      <c r="E18" s="50"/>
      <c r="F18" s="50"/>
      <c r="G18" s="50"/>
    </row>
    <row r="23" spans="2:15" x14ac:dyDescent="0.25">
      <c r="M23" s="46"/>
      <c r="N23" s="46"/>
      <c r="O23" s="46"/>
    </row>
    <row r="35" spans="2:2" ht="14.5" customHeight="1" x14ac:dyDescent="0.3">
      <c r="B35" s="34" t="s">
        <v>139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2" type="noConversion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showGridLines="0" workbookViewId="0">
      <selection activeCell="B30" sqref="B30"/>
    </sheetView>
  </sheetViews>
  <sheetFormatPr defaultRowHeight="14" x14ac:dyDescent="0.25"/>
  <cols>
    <col min="1" max="1" width="2" style="33" customWidth="1"/>
    <col min="2" max="2" width="26" style="33" customWidth="1"/>
    <col min="3" max="8" width="15" style="33" customWidth="1"/>
  </cols>
  <sheetData>
    <row r="2" spans="2:8" ht="23" customHeight="1" x14ac:dyDescent="0.5">
      <c r="B2" s="1" t="s">
        <v>145</v>
      </c>
    </row>
    <row r="3" spans="2:8" ht="14.5" customHeight="1" x14ac:dyDescent="0.3">
      <c r="B3" s="34" t="s">
        <v>146</v>
      </c>
    </row>
    <row r="5" spans="2:8" ht="15.5" customHeight="1" x14ac:dyDescent="0.25">
      <c r="B5" s="11" t="s">
        <v>147</v>
      </c>
    </row>
    <row r="6" spans="2:8" ht="16.5" customHeight="1" x14ac:dyDescent="0.25">
      <c r="B6" s="12" t="s">
        <v>148</v>
      </c>
      <c r="C6" s="59" t="s">
        <v>149</v>
      </c>
      <c r="D6" s="50"/>
      <c r="E6" s="50"/>
      <c r="F6" s="50"/>
      <c r="G6" s="50"/>
      <c r="H6" s="50"/>
    </row>
    <row r="7" spans="2:8" ht="25.5" customHeight="1" x14ac:dyDescent="0.25">
      <c r="B7" s="12" t="s">
        <v>150</v>
      </c>
      <c r="C7" s="59" t="s">
        <v>151</v>
      </c>
      <c r="D7" s="50"/>
      <c r="E7" s="50"/>
      <c r="F7" s="50"/>
      <c r="G7" s="50"/>
      <c r="H7" s="50"/>
    </row>
    <row r="8" spans="2:8" ht="16.5" customHeight="1" x14ac:dyDescent="0.25">
      <c r="B8" s="12" t="s">
        <v>152</v>
      </c>
      <c r="C8" s="59" t="s">
        <v>153</v>
      </c>
      <c r="D8" s="50"/>
      <c r="E8" s="50"/>
      <c r="F8" s="50"/>
      <c r="G8" s="50"/>
      <c r="H8" s="50"/>
    </row>
    <row r="9" spans="2:8" ht="28" customHeight="1" x14ac:dyDescent="0.25">
      <c r="B9" s="12" t="s">
        <v>154</v>
      </c>
      <c r="C9" s="59" t="s">
        <v>155</v>
      </c>
      <c r="D9" s="50"/>
      <c r="E9" s="50"/>
      <c r="F9" s="50"/>
      <c r="G9" s="50"/>
      <c r="H9" s="50"/>
    </row>
    <row r="10" spans="2:8" ht="16.5" customHeight="1" x14ac:dyDescent="0.25">
      <c r="B10" s="13"/>
      <c r="C10" s="14"/>
      <c r="D10" s="14"/>
      <c r="E10" s="14"/>
      <c r="F10" s="14"/>
      <c r="G10" s="14"/>
      <c r="H10" s="14"/>
    </row>
    <row r="11" spans="2:8" ht="16.5" customHeight="1" x14ac:dyDescent="0.25">
      <c r="B11" s="11" t="s">
        <v>156</v>
      </c>
      <c r="C11" s="14"/>
      <c r="D11" s="14"/>
      <c r="E11" s="14"/>
      <c r="F11" s="14"/>
      <c r="G11" s="14"/>
      <c r="H11" s="14"/>
    </row>
    <row r="12" spans="2:8" ht="16.5" customHeight="1" x14ac:dyDescent="0.25">
      <c r="B12" s="12" t="s">
        <v>157</v>
      </c>
      <c r="C12" s="59" t="s">
        <v>158</v>
      </c>
      <c r="D12" s="50"/>
      <c r="E12" s="50"/>
      <c r="F12" s="50"/>
      <c r="G12" s="50"/>
      <c r="H12" s="50"/>
    </row>
    <row r="13" spans="2:8" ht="16.5" customHeight="1" x14ac:dyDescent="0.25">
      <c r="B13" s="12" t="s">
        <v>159</v>
      </c>
      <c r="C13" s="59" t="s">
        <v>160</v>
      </c>
      <c r="D13" s="50"/>
      <c r="E13" s="50"/>
      <c r="F13" s="50"/>
      <c r="G13" s="50"/>
      <c r="H13" s="50"/>
    </row>
    <row r="14" spans="2:8" ht="16.5" customHeight="1" x14ac:dyDescent="0.25">
      <c r="B14" s="12" t="s">
        <v>161</v>
      </c>
      <c r="C14" s="59" t="s">
        <v>162</v>
      </c>
      <c r="D14" s="50"/>
      <c r="E14" s="50"/>
      <c r="F14" s="50"/>
      <c r="G14" s="50"/>
      <c r="H14" s="50"/>
    </row>
    <row r="15" spans="2:8" ht="14.5" customHeight="1" x14ac:dyDescent="0.25">
      <c r="B15" s="12" t="s">
        <v>163</v>
      </c>
      <c r="C15" s="23" t="s">
        <v>164</v>
      </c>
    </row>
    <row r="16" spans="2:8" x14ac:dyDescent="0.25">
      <c r="B16" s="12" t="s">
        <v>165</v>
      </c>
      <c r="C16" s="44">
        <v>0</v>
      </c>
    </row>
    <row r="17" spans="2:3" x14ac:dyDescent="0.25">
      <c r="B17" s="12" t="s">
        <v>166</v>
      </c>
      <c r="C17" s="22">
        <v>242</v>
      </c>
    </row>
    <row r="18" spans="2:3" ht="14.5" customHeight="1" x14ac:dyDescent="0.25">
      <c r="B18" s="12" t="s">
        <v>167</v>
      </c>
      <c r="C18" s="23" t="s">
        <v>168</v>
      </c>
    </row>
    <row r="19" spans="2:3" ht="14.5" customHeight="1" x14ac:dyDescent="0.3">
      <c r="B19" s="10" t="s">
        <v>169</v>
      </c>
    </row>
  </sheetData>
  <mergeCells count="7">
    <mergeCell ref="C6:H6"/>
    <mergeCell ref="C14:H14"/>
    <mergeCell ref="C13:H13"/>
    <mergeCell ref="C9:H9"/>
    <mergeCell ref="C8:H8"/>
    <mergeCell ref="C12:H12"/>
    <mergeCell ref="C7:H7"/>
  </mergeCells>
  <phoneticPr fontId="1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tabSelected="1" workbookViewId="0">
      <selection activeCell="D21" sqref="D21"/>
    </sheetView>
  </sheetViews>
  <sheetFormatPr defaultRowHeight="14" x14ac:dyDescent="0.25"/>
  <cols>
    <col min="1" max="1" width="22" style="33" customWidth="1"/>
    <col min="2" max="2" width="13" style="33" customWidth="1"/>
    <col min="3" max="4" width="17" style="33" customWidth="1"/>
    <col min="6" max="6" width="16" style="33" customWidth="1"/>
    <col min="7" max="7" width="12" style="33" customWidth="1"/>
  </cols>
  <sheetData>
    <row r="1" spans="1:7" x14ac:dyDescent="0.25">
      <c r="A1" s="27" t="s">
        <v>170</v>
      </c>
      <c r="F1" s="31" t="s">
        <v>171</v>
      </c>
      <c r="G1">
        <f>COUNT('实盘净值数据(iFinD公式)'!$B$5:$B$60)</f>
        <v>21</v>
      </c>
    </row>
    <row r="2" spans="1:7" x14ac:dyDescent="0.25">
      <c r="A2" s="27" t="s">
        <v>172</v>
      </c>
      <c r="B2" s="45">
        <f>INDEX('实盘净值数据(iFinD公式)'!$A$5:$A$60,$G$1)</f>
        <v>46220</v>
      </c>
      <c r="F2" s="31" t="s">
        <v>173</v>
      </c>
      <c r="G2">
        <f>SUMPRODUCT(实盘持仓配置!$B$4:$X$4,INDEX('实盘净值数据(iFinD公式)'!$B$5:$X$60,$G$1,0)/'实盘净值数据(iFinD公式)'!$B$6:$X$6)</f>
        <v>0.88161052436170073</v>
      </c>
    </row>
    <row r="3" spans="1:7" x14ac:dyDescent="0.25">
      <c r="F3" s="31" t="s">
        <v>174</v>
      </c>
      <c r="G3">
        <f>SUMPRODUCT(实盘持仓配置!$B$5:$X$5,INDEX('实盘净值数据(iFinD公式)'!$B$5:$X$60,$G$1,0)/'实盘净值数据(iFinD公式)'!$B$5:$X$5)</f>
        <v>0.90199815532627625</v>
      </c>
    </row>
    <row r="4" spans="1:7" x14ac:dyDescent="0.25">
      <c r="F4" s="31" t="s">
        <v>175</v>
      </c>
      <c r="G4">
        <f>SUMPRODUCT(实盘持仓配置!$B$6:$X$6,INDEX('实盘净值数据(iFinD公式)'!$B$5:$X$60,$G$1,0)/'实盘净值数据(iFinD公式)'!$B$7:$X$7)</f>
        <v>0.90991444954171818</v>
      </c>
    </row>
    <row r="5" spans="1:7" x14ac:dyDescent="0.25">
      <c r="A5" s="28" t="s">
        <v>1</v>
      </c>
      <c r="B5" s="28" t="s">
        <v>28</v>
      </c>
      <c r="C5" s="28" t="s">
        <v>176</v>
      </c>
      <c r="D5" s="28" t="s">
        <v>177</v>
      </c>
    </row>
    <row r="6" spans="1:7" x14ac:dyDescent="0.25">
      <c r="A6" t="s">
        <v>178</v>
      </c>
      <c r="B6" s="31" t="s">
        <v>47</v>
      </c>
      <c r="C6" s="29">
        <f>实盘持仓配置!T$4</f>
        <v>0.11</v>
      </c>
      <c r="D6" s="29">
        <f>实盘持仓配置!T$4*INDEX('实盘净值数据(iFinD公式)'!T$5:T$60,$G$1)/'实盘净值数据(iFinD公式)'!T$6/$G$2</f>
        <v>0.11982200424022445</v>
      </c>
    </row>
    <row r="7" spans="1:7" x14ac:dyDescent="0.25">
      <c r="A7" t="s">
        <v>179</v>
      </c>
      <c r="B7" s="31" t="s">
        <v>34</v>
      </c>
      <c r="C7" s="29">
        <f>实盘持仓配置!G$4</f>
        <v>0.11</v>
      </c>
      <c r="D7" s="29">
        <f>实盘持仓配置!G$4*INDEX('实盘净值数据(iFinD公式)'!G$5:G$60,$G$1)/'实盘净值数据(iFinD公式)'!G$6/$G$2</f>
        <v>0.10019855944919998</v>
      </c>
    </row>
    <row r="8" spans="1:7" x14ac:dyDescent="0.25">
      <c r="A8" t="s">
        <v>4</v>
      </c>
      <c r="B8" s="31" t="s">
        <v>31</v>
      </c>
      <c r="C8" s="29">
        <f>实盘持仓配置!D$4</f>
        <v>0.19</v>
      </c>
      <c r="D8" s="29">
        <f>实盘持仓配置!D$4*INDEX('实盘净值数据(iFinD公式)'!D$5:D$60,$G$1)/'实盘净值数据(iFinD公式)'!D$6/$G$2</f>
        <v>0.17333453295695789</v>
      </c>
    </row>
    <row r="9" spans="1:7" x14ac:dyDescent="0.25">
      <c r="A9" t="s">
        <v>17</v>
      </c>
      <c r="B9" s="31" t="s">
        <v>44</v>
      </c>
      <c r="C9" s="29">
        <f>实盘持仓配置!Q$4</f>
        <v>0.19</v>
      </c>
      <c r="D9" s="29">
        <f>实盘持仓配置!Q$4*INDEX('实盘净值数据(iFinD公式)'!Q$5:Q$60,$G$1)/'实盘净值数据(iFinD公式)'!Q$6/$G$2</f>
        <v>0.18030313450575491</v>
      </c>
    </row>
    <row r="10" spans="1:7" x14ac:dyDescent="0.25">
      <c r="A10" t="s">
        <v>16</v>
      </c>
      <c r="B10" s="31" t="s">
        <v>43</v>
      </c>
      <c r="C10" s="29">
        <f>实盘持仓配置!P$4</f>
        <v>0.19</v>
      </c>
      <c r="D10" s="29">
        <f>实盘持仓配置!P$4*INDEX('实盘净值数据(iFinD公式)'!P$5:P$60,$G$1)/'实盘净值数据(iFinD公式)'!P$6/$G$2</f>
        <v>0.1718638555028337</v>
      </c>
    </row>
    <row r="11" spans="1:7" x14ac:dyDescent="0.25">
      <c r="A11" t="s">
        <v>10</v>
      </c>
      <c r="B11" s="31" t="s">
        <v>37</v>
      </c>
      <c r="C11" s="29">
        <f>实盘持仓配置!J$4</f>
        <v>0.19</v>
      </c>
      <c r="D11" s="29">
        <f>实盘持仓配置!J$4*INDEX('实盘净值数据(iFinD公式)'!J$5:J$60,$G$1)/'实盘净值数据(iFinD公式)'!J$6/$G$2</f>
        <v>0.23177332095343606</v>
      </c>
    </row>
    <row r="12" spans="1:7" x14ac:dyDescent="0.25">
      <c r="A12" t="s">
        <v>3</v>
      </c>
      <c r="B12" s="31" t="s">
        <v>30</v>
      </c>
      <c r="C12" s="29">
        <f>实盘持仓配置!C$4</f>
        <v>0.02</v>
      </c>
      <c r="D12" s="29">
        <f>实盘持仓配置!C$4*INDEX('实盘净值数据(iFinD公式)'!C$5:C$60,$G$1)/'实盘净值数据(iFinD公式)'!C$6/$G$2</f>
        <v>2.2704592391593063E-2</v>
      </c>
    </row>
    <row r="13" spans="1:7" x14ac:dyDescent="0.25">
      <c r="A13" s="27" t="s">
        <v>25</v>
      </c>
      <c r="C13" s="30">
        <f>SUM(C6:C12)</f>
        <v>1</v>
      </c>
      <c r="D13" s="30">
        <f>SUM(D6:D12)</f>
        <v>1</v>
      </c>
    </row>
    <row r="15" spans="1:7" x14ac:dyDescent="0.25">
      <c r="A15" s="27" t="s">
        <v>180</v>
      </c>
    </row>
    <row r="16" spans="1:7" x14ac:dyDescent="0.25">
      <c r="A16" s="28" t="s">
        <v>1</v>
      </c>
      <c r="B16" s="28" t="s">
        <v>28</v>
      </c>
      <c r="C16" s="28" t="s">
        <v>176</v>
      </c>
      <c r="D16" s="28" t="s">
        <v>177</v>
      </c>
    </row>
    <row r="17" spans="1:4" x14ac:dyDescent="0.25">
      <c r="A17" t="s">
        <v>178</v>
      </c>
      <c r="B17" s="31" t="s">
        <v>47</v>
      </c>
      <c r="C17" s="29">
        <f>实盘持仓配置!T$5</f>
        <v>0.11</v>
      </c>
      <c r="D17" s="29">
        <f>实盘持仓配置!T$5*INDEX('实盘净值数据(iFinD公式)'!T$5:T$60,$G$1)/'实盘净值数据(iFinD公式)'!T$5/$G$3</f>
        <v>0.12038621174256331</v>
      </c>
    </row>
    <row r="18" spans="1:4" x14ac:dyDescent="0.25">
      <c r="A18" t="s">
        <v>179</v>
      </c>
      <c r="B18" s="31" t="s">
        <v>34</v>
      </c>
      <c r="C18" s="29">
        <f>实盘持仓配置!G$5</f>
        <v>0.11</v>
      </c>
      <c r="D18" s="29">
        <f>实盘持仓配置!G$5*INDEX('实盘净值数据(iFinD公式)'!G$5:G$60,$G$1)/'实盘净值数据(iFinD公式)'!G$5/$G$3</f>
        <v>9.9581773313524982E-2</v>
      </c>
    </row>
    <row r="19" spans="1:4" x14ac:dyDescent="0.25">
      <c r="A19" t="s">
        <v>4</v>
      </c>
      <c r="B19" s="31" t="s">
        <v>31</v>
      </c>
      <c r="C19" s="29">
        <f>实盘持仓配置!D$5</f>
        <v>0.19</v>
      </c>
      <c r="D19" s="29">
        <f>实盘持仓配置!D$5*INDEX('实盘净值数据(iFinD公式)'!D$5:D$60,$G$1)/'实盘净值数据(iFinD公式)'!D$5/$G$3</f>
        <v>0.17492232080282735</v>
      </c>
    </row>
    <row r="20" spans="1:4" x14ac:dyDescent="0.25">
      <c r="A20" t="s">
        <v>17</v>
      </c>
      <c r="B20" s="31" t="s">
        <v>44</v>
      </c>
      <c r="C20" s="29">
        <f>实盘持仓配置!Q$5</f>
        <v>0.19</v>
      </c>
      <c r="D20" s="29">
        <f>实盘持仓配置!Q$5*INDEX('实盘净值数据(iFinD公式)'!Q$5:Q$60,$G$1)/'实盘净值数据(iFinD公式)'!Q$5/$G$3</f>
        <v>0.18110514979380984</v>
      </c>
    </row>
    <row r="21" spans="1:4" x14ac:dyDescent="0.25">
      <c r="A21" t="s">
        <v>16</v>
      </c>
      <c r="B21" s="31" t="s">
        <v>43</v>
      </c>
      <c r="C21" s="29">
        <f>实盘持仓配置!P$5</f>
        <v>0.19</v>
      </c>
      <c r="D21" s="29">
        <f>实盘持仓配置!P$5*INDEX('实盘净值数据(iFinD公式)'!P$5:P$60,$G$1)/'实盘净值数据(iFinD公式)'!P$5/$G$3</f>
        <v>0.17171705590748632</v>
      </c>
    </row>
    <row r="22" spans="1:4" x14ac:dyDescent="0.25">
      <c r="A22" t="s">
        <v>10</v>
      </c>
      <c r="B22" s="31" t="s">
        <v>37</v>
      </c>
      <c r="C22" s="29">
        <f>实盘持仓配置!J$5</f>
        <v>0.19</v>
      </c>
      <c r="D22" s="29">
        <f>实盘持仓配置!J$5*INDEX('实盘净值数据(iFinD公式)'!J$5:J$60,$G$1)/'实盘净值数据(iFinD公式)'!J$5/$G$3</f>
        <v>0.2300930177272964</v>
      </c>
    </row>
    <row r="23" spans="1:4" x14ac:dyDescent="0.25">
      <c r="A23" t="s">
        <v>3</v>
      </c>
      <c r="B23" s="31" t="s">
        <v>30</v>
      </c>
      <c r="C23" s="29">
        <f>实盘持仓配置!C$5</f>
        <v>0.02</v>
      </c>
      <c r="D23" s="29">
        <f>实盘持仓配置!C$5*INDEX('实盘净值数据(iFinD公式)'!C$5:C$60,$G$1)/'实盘净值数据(iFinD公式)'!C$5/$G$3</f>
        <v>2.2194470712491813E-2</v>
      </c>
    </row>
    <row r="24" spans="1:4" x14ac:dyDescent="0.25">
      <c r="A24" s="27" t="s">
        <v>25</v>
      </c>
      <c r="C24" s="30">
        <f>SUM(C17:C23)</f>
        <v>1</v>
      </c>
      <c r="D24" s="30">
        <f>SUM(D17:D23)</f>
        <v>1</v>
      </c>
    </row>
    <row r="26" spans="1:4" x14ac:dyDescent="0.25">
      <c r="A26" s="27" t="s">
        <v>181</v>
      </c>
    </row>
    <row r="27" spans="1:4" x14ac:dyDescent="0.25">
      <c r="A27" s="28" t="s">
        <v>1</v>
      </c>
      <c r="B27" s="28" t="s">
        <v>28</v>
      </c>
      <c r="C27" s="28" t="s">
        <v>176</v>
      </c>
      <c r="D27" s="28" t="s">
        <v>177</v>
      </c>
    </row>
    <row r="28" spans="1:4" x14ac:dyDescent="0.25">
      <c r="A28" t="s">
        <v>182</v>
      </c>
      <c r="B28" s="31" t="s">
        <v>48</v>
      </c>
      <c r="C28" s="29">
        <f>实盘持仓配置!U$6</f>
        <v>0.11</v>
      </c>
      <c r="D28" s="29">
        <f>实盘持仓配置!U$6*INDEX('实盘净值数据(iFinD公式)'!U$5:U$60,$G$1)/'实盘净值数据(iFinD公式)'!U$7/$G$4</f>
        <v>0.11611209654260289</v>
      </c>
    </row>
    <row r="29" spans="1:4" x14ac:dyDescent="0.25">
      <c r="A29" t="s">
        <v>8</v>
      </c>
      <c r="B29" s="31" t="s">
        <v>35</v>
      </c>
      <c r="C29" s="29">
        <f>实盘持仓配置!H$6</f>
        <v>0.11</v>
      </c>
      <c r="D29" s="29">
        <f>实盘持仓配置!H$6*INDEX('实盘净值数据(iFinD公式)'!H$5:H$60,$G$1)/'实盘净值数据(iFinD公式)'!H$7/$G$4</f>
        <v>9.9910705034461797E-2</v>
      </c>
    </row>
    <row r="30" spans="1:4" x14ac:dyDescent="0.25">
      <c r="A30" t="s">
        <v>19</v>
      </c>
      <c r="B30" s="31" t="s">
        <v>46</v>
      </c>
      <c r="C30" s="29">
        <f>实盘持仓配置!S$6</f>
        <v>0.19</v>
      </c>
      <c r="D30" s="29">
        <f>实盘持仓配置!S$6*INDEX('实盘净值数据(iFinD公式)'!S$5:S$60,$G$1)/'实盘净值数据(iFinD公式)'!S$7/$G$4</f>
        <v>0.17528148305646235</v>
      </c>
    </row>
    <row r="31" spans="1:4" x14ac:dyDescent="0.25">
      <c r="A31" t="s">
        <v>18</v>
      </c>
      <c r="B31" s="31" t="s">
        <v>45</v>
      </c>
      <c r="C31" s="29">
        <f>实盘持仓配置!R$6</f>
        <v>0.19</v>
      </c>
      <c r="D31" s="29">
        <f>实盘持仓配置!R$6*INDEX('实盘净值数据(iFinD公式)'!R$5:R$60,$G$1)/'实盘净值数据(iFinD公式)'!R$7/$G$4</f>
        <v>0.17879600644385968</v>
      </c>
    </row>
    <row r="32" spans="1:4" x14ac:dyDescent="0.25">
      <c r="A32" t="s">
        <v>9</v>
      </c>
      <c r="B32" s="31" t="s">
        <v>36</v>
      </c>
      <c r="C32" s="29">
        <f>实盘持仓配置!I$6</f>
        <v>0.19</v>
      </c>
      <c r="D32" s="29">
        <f>实盘持仓配置!I$6*INDEX('实盘净值数据(iFinD公式)'!I$5:I$60,$G$1)/'实盘净值数据(iFinD公式)'!I$7/$G$4</f>
        <v>0.18500258070138997</v>
      </c>
    </row>
    <row r="33" spans="1:4" x14ac:dyDescent="0.25">
      <c r="A33" t="s">
        <v>11</v>
      </c>
      <c r="B33" s="31" t="s">
        <v>38</v>
      </c>
      <c r="C33" s="29">
        <f>实盘持仓配置!K$6</f>
        <v>0.19</v>
      </c>
      <c r="D33" s="29">
        <f>实盘持仓配置!K$6*INDEX('实盘净值数据(iFinD公式)'!K$5:K$60,$G$1)/'实盘净值数据(iFinD公式)'!K$7/$G$4</f>
        <v>0.22289965825173713</v>
      </c>
    </row>
    <row r="34" spans="1:4" x14ac:dyDescent="0.25">
      <c r="A34" t="s">
        <v>3</v>
      </c>
      <c r="B34" s="31" t="s">
        <v>30</v>
      </c>
      <c r="C34" s="29">
        <f>实盘持仓配置!C$6</f>
        <v>0.02</v>
      </c>
      <c r="D34" s="29">
        <f>实盘持仓配置!C$6*INDEX('实盘净值数据(iFinD公式)'!C$5:C$60,$G$1)/'实盘净值数据(iFinD公式)'!C$7/$G$4</f>
        <v>2.1997469969486212E-2</v>
      </c>
    </row>
    <row r="35" spans="1:4" x14ac:dyDescent="0.25">
      <c r="A35" s="27" t="s">
        <v>25</v>
      </c>
      <c r="C35" s="30">
        <f>SUM(C28:C34)</f>
        <v>1</v>
      </c>
      <c r="D35" s="30">
        <f>SUM(D28:D34)</f>
        <v>1</v>
      </c>
    </row>
  </sheetData>
  <phoneticPr fontId="12" type="noConversion"/>
  <conditionalFormatting sqref="D6:D12 D17:D23 D28:D34">
    <cfRule type="cellIs" dxfId="0" priority="1" operator="greater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实盘持仓配置</vt:lpstr>
      <vt:lpstr>实盘净值数据(iFinD公式)</vt:lpstr>
      <vt:lpstr>实盘组合净值</vt:lpstr>
      <vt:lpstr>分期持仓明细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说明</vt:lpstr>
      <vt:lpstr>持仓权重预警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2026-06-08T07:39:45Z</dcterms:created>
  <dcterms:modified xsi:type="dcterms:W3CDTF">2026-07-17T00:47:05Z</dcterms:modified>
</cp:coreProperties>
</file>