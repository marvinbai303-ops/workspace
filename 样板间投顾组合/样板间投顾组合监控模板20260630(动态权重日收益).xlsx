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tabRatio="687" activeTab="2"/>
  </bookViews>
  <sheets>
    <sheet name="实盘持仓配置" sheetId="1" r:id="rId1"/>
    <sheet name="实盘净值数据(iFinD公式)" sheetId="2" r:id="rId2"/>
    <sheet name="实盘组合净值" sheetId="3" r:id="rId3"/>
    <sheet name="看板-产业趋势" sheetId="4" r:id="rId4"/>
    <sheet name="看板-产业趋势基石" sheetId="5" r:id="rId5"/>
    <sheet name="看板-产业趋势2号" sheetId="6" r:id="rId6"/>
    <sheet name="看板-10-90" sheetId="7" r:id="rId7"/>
    <sheet name="看板-10-90基石" sheetId="8" r:id="rId8"/>
    <sheet name="看板-30-70" sheetId="9" r:id="rId9"/>
    <sheet name="说明" sheetId="10" r:id="rId10"/>
  </sheets>
  <externalReferences>
    <externalReference r:id="rId11"/>
  </externalReferences>
  <calcPr calcId="152511" fullCalcOnLoad="1"/>
</workbook>
</file>

<file path=xl/calcChain.xml><?xml version="1.0" encoding="utf-8"?>
<calcChain xmlns="http://schemas.openxmlformats.org/spreadsheetml/2006/main">
  <c r="B3" i="9" l="1"/>
  <c r="B3" i="8"/>
  <c r="B3" i="7"/>
  <c r="B3" i="6"/>
  <c r="B3" i="5"/>
  <c r="B3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Q55" i="3" s="1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Q52" i="3" s="1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B49" i="3" s="1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E45" i="3" s="1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E44" i="3" s="1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H38" i="3" s="1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B37" i="3" s="1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E31" i="3" s="1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30" i="3" s="1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9" i="3" s="1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8" i="3" s="1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B27" i="3" s="1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5" i="3" s="1"/>
  <c r="P25" i="3" s="1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4" i="3" s="1"/>
  <c r="P24" i="3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3" i="3" s="1"/>
  <c r="S23" i="3" s="1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K22" i="3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1" i="3" s="1"/>
  <c r="P21" i="3" s="1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Q20" i="3" s="1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K19" i="3" s="1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B17" i="3" s="1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E16" i="3" s="1"/>
  <c r="G16" i="3" s="1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H15" i="3" s="1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K14" i="3" s="1"/>
  <c r="M14" i="3" s="1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3" i="3" s="1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A4" i="2"/>
  <c r="G12" i="2"/>
  <c r="E12" i="2"/>
  <c r="B12" i="2"/>
  <c r="C6" i="2"/>
  <c r="D7" i="2"/>
  <c r="N8" i="2"/>
  <c r="O9" i="2"/>
  <c r="S6" i="2"/>
  <c r="D6" i="2"/>
  <c r="F9" i="2"/>
  <c r="V7" i="2"/>
  <c r="S9" i="2"/>
  <c r="D5" i="2"/>
  <c r="E10" i="2"/>
  <c r="V11" i="2"/>
  <c r="U10" i="2"/>
  <c r="S5" i="2"/>
  <c r="E11" i="2"/>
  <c r="S11" i="2"/>
  <c r="H7" i="2"/>
  <c r="X10" i="2"/>
  <c r="E6" i="2"/>
  <c r="C7" i="2"/>
  <c r="I12" i="2"/>
  <c r="U7" i="2"/>
  <c r="X7" i="2"/>
  <c r="P6" i="2"/>
  <c r="J7" i="2"/>
  <c r="R8" i="2"/>
  <c r="Q6" i="2"/>
  <c r="L9" i="2"/>
  <c r="E5" i="2"/>
  <c r="I11" i="2"/>
  <c r="G5" i="2"/>
  <c r="B7" i="2"/>
  <c r="M7" i="2"/>
  <c r="W11" i="2"/>
  <c r="X5" i="2"/>
  <c r="G8" i="2"/>
  <c r="W6" i="2"/>
  <c r="L10" i="2"/>
  <c r="H8" i="2"/>
  <c r="X9" i="2"/>
  <c r="N9" i="2"/>
  <c r="R7" i="2"/>
  <c r="K11" i="2"/>
  <c r="P9" i="2"/>
  <c r="H5" i="2"/>
  <c r="Q5" i="2"/>
  <c r="O11" i="2"/>
  <c r="U5" i="2"/>
  <c r="B5" i="2"/>
  <c r="L11" i="2"/>
  <c r="X8" i="2"/>
  <c r="U12" i="2"/>
  <c r="Q7" i="2"/>
  <c r="U8" i="2"/>
  <c r="J6" i="2"/>
  <c r="I10" i="2"/>
  <c r="V12" i="2"/>
  <c r="T12" i="2"/>
  <c r="F6" i="2"/>
  <c r="T10" i="2"/>
  <c r="J8" i="2"/>
  <c r="C5" i="2"/>
  <c r="L5" i="2"/>
  <c r="W7" i="2"/>
  <c r="V8" i="2"/>
  <c r="V6" i="2"/>
  <c r="T6" i="2"/>
  <c r="K9" i="2"/>
  <c r="G7" i="2"/>
  <c r="R5" i="2"/>
  <c r="C10" i="2"/>
  <c r="Q8" i="2"/>
  <c r="N10" i="2"/>
  <c r="F8" i="2"/>
  <c r="R6" i="2"/>
  <c r="V5" i="2"/>
  <c r="D9" i="2"/>
  <c r="Q11" i="2"/>
  <c r="H12" i="2"/>
  <c r="W9" i="2"/>
  <c r="N11" i="2"/>
  <c r="W10" i="2"/>
  <c r="O8" i="2"/>
  <c r="N12" i="2"/>
  <c r="L12" i="2"/>
  <c r="P12" i="2"/>
  <c r="C9" i="2"/>
  <c r="J11" i="2"/>
  <c r="L7" i="2"/>
  <c r="M9" i="2"/>
  <c r="K8" i="2"/>
  <c r="O6" i="2"/>
  <c r="H10" i="2"/>
  <c r="B11" i="2"/>
  <c r="Q12" i="2"/>
  <c r="T8" i="2"/>
  <c r="B6" i="2"/>
  <c r="K6" i="2"/>
  <c r="K7" i="2"/>
  <c r="P5" i="2"/>
  <c r="B8" i="2"/>
  <c r="T5" i="2"/>
  <c r="J9" i="2"/>
  <c r="W12" i="2"/>
  <c r="M5" i="2"/>
  <c r="Q9" i="2"/>
  <c r="B10" i="2"/>
  <c r="O7" i="2"/>
  <c r="F12" i="2"/>
  <c r="D12" i="2"/>
  <c r="R12" i="2"/>
  <c r="G10" i="2"/>
  <c r="L8" i="2"/>
  <c r="U9" i="2"/>
  <c r="F10" i="2"/>
  <c r="R11" i="2"/>
  <c r="G9" i="2"/>
  <c r="D10" i="2"/>
  <c r="Q10" i="2"/>
  <c r="H9" i="2"/>
  <c r="F11" i="2"/>
  <c r="P11" i="2"/>
  <c r="M11" i="2"/>
  <c r="I5" i="2"/>
  <c r="K12" i="2"/>
  <c r="I6" i="2"/>
  <c r="N5" i="2"/>
  <c r="R9" i="2"/>
  <c r="C12" i="2"/>
  <c r="V9" i="2"/>
  <c r="E7" i="2"/>
  <c r="M6" i="2"/>
  <c r="B9" i="2"/>
  <c r="J12" i="2"/>
  <c r="D8" i="2"/>
  <c r="O10" i="2"/>
  <c r="K5" i="2"/>
  <c r="J10" i="2"/>
  <c r="X12" i="2"/>
  <c r="O5" i="2"/>
  <c r="K10" i="2"/>
  <c r="I9" i="2"/>
  <c r="P10" i="2"/>
  <c r="X11" i="2"/>
  <c r="O12" i="2"/>
  <c r="M12" i="2"/>
  <c r="S12" i="2"/>
  <c r="M10" i="2"/>
  <c r="R10" i="2"/>
  <c r="T9" i="2"/>
  <c r="H11" i="2"/>
  <c r="G11" i="2"/>
  <c r="N7" i="2"/>
  <c r="E9" i="2"/>
  <c r="N6" i="2"/>
  <c r="U11" i="2"/>
  <c r="S10" i="2"/>
  <c r="F5" i="2"/>
  <c r="M8" i="2"/>
  <c r="S8" i="2"/>
  <c r="C11" i="2"/>
  <c r="U6" i="2"/>
  <c r="I7" i="2"/>
  <c r="S7" i="2"/>
  <c r="D11" i="2"/>
  <c r="E8" i="2"/>
  <c r="I8" i="2"/>
  <c r="H6" i="2"/>
  <c r="V10" i="2"/>
  <c r="F7" i="2"/>
  <c r="L6" i="2"/>
  <c r="W5" i="2"/>
  <c r="C8" i="2"/>
  <c r="T11" i="2"/>
  <c r="W8" i="2"/>
  <c r="G6" i="2"/>
  <c r="T7" i="2"/>
  <c r="X6" i="2"/>
  <c r="P8" i="2"/>
  <c r="J5" i="2"/>
  <c r="P7" i="2"/>
  <c r="Q12" i="3" l="1"/>
  <c r="K10" i="3"/>
  <c r="K11" i="3"/>
  <c r="H11" i="3"/>
  <c r="H52" i="3"/>
  <c r="J52" i="3" s="1"/>
  <c r="Q38" i="3"/>
  <c r="S38" i="3" s="1"/>
  <c r="K52" i="3"/>
  <c r="M52" i="3" s="1"/>
  <c r="K12" i="3"/>
  <c r="L12" i="3" s="1"/>
  <c r="H21" i="3"/>
  <c r="J21" i="3" s="1"/>
  <c r="N11" i="3"/>
  <c r="B15" i="3"/>
  <c r="D15" i="3" s="1"/>
  <c r="H31" i="3"/>
  <c r="J31" i="3" s="1"/>
  <c r="H13" i="3"/>
  <c r="J13" i="3" s="1"/>
  <c r="N19" i="3"/>
  <c r="P19" i="3" s="1"/>
  <c r="K29" i="3"/>
  <c r="M29" i="3" s="1"/>
  <c r="E14" i="3"/>
  <c r="G14" i="3" s="1"/>
  <c r="K20" i="3"/>
  <c r="M20" i="3" s="1"/>
  <c r="B25" i="3"/>
  <c r="D25" i="3" s="1"/>
  <c r="Q37" i="3"/>
  <c r="S37" i="3" s="1"/>
  <c r="B9" i="3"/>
  <c r="Q9" i="3"/>
  <c r="H9" i="3"/>
  <c r="N9" i="3"/>
  <c r="E9" i="3"/>
  <c r="K9" i="3"/>
  <c r="B8" i="3"/>
  <c r="H8" i="3"/>
  <c r="N8" i="3"/>
  <c r="E8" i="3"/>
  <c r="N7" i="3"/>
  <c r="E7" i="3"/>
  <c r="K7" i="3"/>
  <c r="B7" i="3"/>
  <c r="Q7" i="3"/>
  <c r="H6" i="3"/>
  <c r="N6" i="3"/>
  <c r="E6" i="3"/>
  <c r="K6" i="3"/>
  <c r="Q6" i="3"/>
  <c r="Q5" i="3"/>
  <c r="B5" i="3"/>
  <c r="K5" i="3"/>
  <c r="H5" i="3"/>
  <c r="N10" i="3"/>
  <c r="E10" i="3"/>
  <c r="B10" i="3"/>
  <c r="H10" i="3"/>
  <c r="D27" i="3"/>
  <c r="S55" i="3"/>
  <c r="M22" i="3"/>
  <c r="P30" i="3"/>
  <c r="O30" i="3"/>
  <c r="D17" i="3"/>
  <c r="P29" i="3"/>
  <c r="D37" i="3"/>
  <c r="F45" i="3"/>
  <c r="G45" i="3"/>
  <c r="S28" i="3"/>
  <c r="G44" i="3"/>
  <c r="S52" i="3"/>
  <c r="Q10" i="3"/>
  <c r="J15" i="3"/>
  <c r="O25" i="3"/>
  <c r="M19" i="3"/>
  <c r="S20" i="3"/>
  <c r="N18" i="3"/>
  <c r="E18" i="3"/>
  <c r="K18" i="3"/>
  <c r="L19" i="3" s="1"/>
  <c r="B18" i="3"/>
  <c r="H18" i="3"/>
  <c r="B26" i="3"/>
  <c r="H26" i="3"/>
  <c r="N26" i="3"/>
  <c r="E26" i="3"/>
  <c r="Q26" i="3"/>
  <c r="K26" i="3"/>
  <c r="N34" i="3"/>
  <c r="E34" i="3"/>
  <c r="Q34" i="3"/>
  <c r="H34" i="3"/>
  <c r="K34" i="3"/>
  <c r="B34" i="3"/>
  <c r="N42" i="3"/>
  <c r="E42" i="3"/>
  <c r="H42" i="3"/>
  <c r="B42" i="3"/>
  <c r="Q42" i="3"/>
  <c r="K42" i="3"/>
  <c r="K50" i="3"/>
  <c r="B50" i="3"/>
  <c r="Q50" i="3"/>
  <c r="H50" i="3"/>
  <c r="E50" i="3"/>
  <c r="N50" i="3"/>
  <c r="Q58" i="3"/>
  <c r="N58" i="3"/>
  <c r="K58" i="3"/>
  <c r="H58" i="3"/>
  <c r="E58" i="3"/>
  <c r="B58" i="3"/>
  <c r="P13" i="3"/>
  <c r="Q18" i="3"/>
  <c r="D49" i="3"/>
  <c r="H27" i="3"/>
  <c r="E27" i="3"/>
  <c r="K27" i="3"/>
  <c r="Q35" i="3"/>
  <c r="N35" i="3"/>
  <c r="E35" i="3"/>
  <c r="K35" i="3"/>
  <c r="B35" i="3"/>
  <c r="H35" i="3"/>
  <c r="Q43" i="3"/>
  <c r="N43" i="3"/>
  <c r="E43" i="3"/>
  <c r="F44" i="3" s="1"/>
  <c r="K43" i="3"/>
  <c r="B43" i="3"/>
  <c r="H43" i="3"/>
  <c r="Q51" i="3"/>
  <c r="N51" i="3"/>
  <c r="E51" i="3"/>
  <c r="K51" i="3"/>
  <c r="B51" i="3"/>
  <c r="Q59" i="3"/>
  <c r="N59" i="3"/>
  <c r="B59" i="3"/>
  <c r="K59" i="3"/>
  <c r="H59" i="3"/>
  <c r="E59" i="3"/>
  <c r="E11" i="3"/>
  <c r="B12" i="3"/>
  <c r="Q15" i="3"/>
  <c r="N16" i="3"/>
  <c r="K17" i="3"/>
  <c r="E19" i="3"/>
  <c r="B20" i="3"/>
  <c r="E22" i="3"/>
  <c r="N22" i="3"/>
  <c r="B24" i="3"/>
  <c r="K24" i="3"/>
  <c r="Q27" i="3"/>
  <c r="N28" i="3"/>
  <c r="H29" i="3"/>
  <c r="E30" i="3"/>
  <c r="F31" i="3" s="1"/>
  <c r="B31" i="3"/>
  <c r="N38" i="3"/>
  <c r="Q45" i="3"/>
  <c r="B52" i="3"/>
  <c r="E25" i="3"/>
  <c r="K25" i="3"/>
  <c r="Q25" i="3"/>
  <c r="Q33" i="3"/>
  <c r="H33" i="3"/>
  <c r="N33" i="3"/>
  <c r="E33" i="3"/>
  <c r="K33" i="3"/>
  <c r="B33" i="3"/>
  <c r="Q41" i="3"/>
  <c r="H41" i="3"/>
  <c r="N41" i="3"/>
  <c r="E41" i="3"/>
  <c r="K41" i="3"/>
  <c r="B41" i="3"/>
  <c r="Q49" i="3"/>
  <c r="H49" i="3"/>
  <c r="B57" i="3"/>
  <c r="H57" i="3"/>
  <c r="Q57" i="3"/>
  <c r="N57" i="3"/>
  <c r="Q13" i="3"/>
  <c r="N14" i="3"/>
  <c r="K15" i="3"/>
  <c r="H16" i="3"/>
  <c r="E17" i="3"/>
  <c r="Q21" i="3"/>
  <c r="E23" i="3"/>
  <c r="N23" i="3"/>
  <c r="O24" i="3" s="1"/>
  <c r="E49" i="3"/>
  <c r="B32" i="3"/>
  <c r="N32" i="3"/>
  <c r="E32" i="3"/>
  <c r="B40" i="3"/>
  <c r="K40" i="3"/>
  <c r="Q40" i="3"/>
  <c r="H40" i="3"/>
  <c r="N40" i="3"/>
  <c r="E40" i="3"/>
  <c r="B48" i="3"/>
  <c r="K48" i="3"/>
  <c r="Q48" i="3"/>
  <c r="H48" i="3"/>
  <c r="N48" i="3"/>
  <c r="E48" i="3"/>
  <c r="B56" i="3"/>
  <c r="K56" i="3"/>
  <c r="H56" i="3"/>
  <c r="Q56" i="3"/>
  <c r="E56" i="3"/>
  <c r="N56" i="3"/>
  <c r="E12" i="3"/>
  <c r="B13" i="3"/>
  <c r="Q16" i="3"/>
  <c r="N17" i="3"/>
  <c r="H19" i="3"/>
  <c r="E20" i="3"/>
  <c r="B21" i="3"/>
  <c r="H22" i="3"/>
  <c r="Q22" i="3"/>
  <c r="R23" i="3" s="1"/>
  <c r="E24" i="3"/>
  <c r="H32" i="3"/>
  <c r="K49" i="3"/>
  <c r="G31" i="3"/>
  <c r="E39" i="3"/>
  <c r="K39" i="3"/>
  <c r="B39" i="3"/>
  <c r="Q39" i="3"/>
  <c r="H39" i="3"/>
  <c r="E47" i="3"/>
  <c r="N47" i="3"/>
  <c r="K47" i="3"/>
  <c r="B47" i="3"/>
  <c r="Q47" i="3"/>
  <c r="H47" i="3"/>
  <c r="E55" i="3"/>
  <c r="B55" i="3"/>
  <c r="H55" i="3"/>
  <c r="N55" i="3"/>
  <c r="Q11" i="3"/>
  <c r="R12" i="3" s="1"/>
  <c r="N12" i="3"/>
  <c r="O13" i="3" s="1"/>
  <c r="K13" i="3"/>
  <c r="L14" i="3" s="1"/>
  <c r="H14" i="3"/>
  <c r="I15" i="3" s="1"/>
  <c r="E15" i="3"/>
  <c r="B16" i="3"/>
  <c r="C17" i="3" s="1"/>
  <c r="Q19" i="3"/>
  <c r="N20" i="3"/>
  <c r="O21" i="3" s="1"/>
  <c r="K21" i="3"/>
  <c r="L22" i="3" s="1"/>
  <c r="K31" i="3"/>
  <c r="K32" i="3"/>
  <c r="B38" i="3"/>
  <c r="N49" i="3"/>
  <c r="H51" i="3"/>
  <c r="H30" i="3"/>
  <c r="Q30" i="3"/>
  <c r="K30" i="3"/>
  <c r="B30" i="3"/>
  <c r="J38" i="3"/>
  <c r="H46" i="3"/>
  <c r="N46" i="3"/>
  <c r="E46" i="3"/>
  <c r="K46" i="3"/>
  <c r="B46" i="3"/>
  <c r="H54" i="3"/>
  <c r="Q54" i="3"/>
  <c r="R55" i="3" s="1"/>
  <c r="N54" i="3"/>
  <c r="E54" i="3"/>
  <c r="K54" i="3"/>
  <c r="B54" i="3"/>
  <c r="B11" i="3"/>
  <c r="C11" i="3" s="1"/>
  <c r="Q14" i="3"/>
  <c r="N15" i="3"/>
  <c r="K16" i="3"/>
  <c r="H17" i="3"/>
  <c r="B19" i="3"/>
  <c r="H23" i="3"/>
  <c r="H24" i="3"/>
  <c r="Q24" i="3"/>
  <c r="H25" i="3"/>
  <c r="N31" i="3"/>
  <c r="E38" i="3"/>
  <c r="Q46" i="3"/>
  <c r="B29" i="3"/>
  <c r="Q29" i="3"/>
  <c r="E29" i="3"/>
  <c r="K37" i="3"/>
  <c r="N37" i="3"/>
  <c r="E37" i="3"/>
  <c r="K45" i="3"/>
  <c r="B45" i="3"/>
  <c r="K53" i="3"/>
  <c r="Q53" i="3"/>
  <c r="H53" i="3"/>
  <c r="N53" i="3"/>
  <c r="E53" i="3"/>
  <c r="B53" i="3"/>
  <c r="H12" i="3"/>
  <c r="I13" i="3" s="1"/>
  <c r="E13" i="3"/>
  <c r="B14" i="3"/>
  <c r="C15" i="3" s="1"/>
  <c r="Q17" i="3"/>
  <c r="H20" i="3"/>
  <c r="E21" i="3"/>
  <c r="B22" i="3"/>
  <c r="Q31" i="3"/>
  <c r="N39" i="3"/>
  <c r="H45" i="3"/>
  <c r="E57" i="3"/>
  <c r="E28" i="3"/>
  <c r="B28" i="3"/>
  <c r="H28" i="3"/>
  <c r="N36" i="3"/>
  <c r="K36" i="3"/>
  <c r="B36" i="3"/>
  <c r="Q36" i="3"/>
  <c r="H36" i="3"/>
  <c r="E36" i="3"/>
  <c r="N44" i="3"/>
  <c r="K44" i="3"/>
  <c r="B44" i="3"/>
  <c r="Q44" i="3"/>
  <c r="H44" i="3"/>
  <c r="N52" i="3"/>
  <c r="E52" i="3"/>
  <c r="B23" i="3"/>
  <c r="K23" i="3"/>
  <c r="N27" i="3"/>
  <c r="K28" i="3"/>
  <c r="L29" i="3" s="1"/>
  <c r="Q32" i="3"/>
  <c r="H37" i="3"/>
  <c r="I38" i="3" s="1"/>
  <c r="K38" i="3"/>
  <c r="N45" i="3"/>
  <c r="K55" i="3"/>
  <c r="K57" i="3"/>
  <c r="L52" i="3" l="1"/>
  <c r="O19" i="3"/>
  <c r="S12" i="3"/>
  <c r="M12" i="3"/>
  <c r="L11" i="3"/>
  <c r="M11" i="3"/>
  <c r="P11" i="3"/>
  <c r="L20" i="3"/>
  <c r="R38" i="3"/>
  <c r="O11" i="3"/>
  <c r="F52" i="3"/>
  <c r="G52" i="3"/>
  <c r="S14" i="3"/>
  <c r="R14" i="3"/>
  <c r="M47" i="3"/>
  <c r="L47" i="3"/>
  <c r="G49" i="3"/>
  <c r="F49" i="3"/>
  <c r="P16" i="3"/>
  <c r="O16" i="3"/>
  <c r="O58" i="3"/>
  <c r="P58" i="3"/>
  <c r="J26" i="3"/>
  <c r="I26" i="3"/>
  <c r="I7" i="3"/>
  <c r="I6" i="3"/>
  <c r="J6" i="3"/>
  <c r="L38" i="3"/>
  <c r="M38" i="3"/>
  <c r="P52" i="3"/>
  <c r="O52" i="3"/>
  <c r="S36" i="3"/>
  <c r="R36" i="3"/>
  <c r="J45" i="3"/>
  <c r="I45" i="3"/>
  <c r="F13" i="3"/>
  <c r="G13" i="3"/>
  <c r="I53" i="3"/>
  <c r="J53" i="3"/>
  <c r="G29" i="3"/>
  <c r="F29" i="3"/>
  <c r="J24" i="3"/>
  <c r="I24" i="3"/>
  <c r="D11" i="3"/>
  <c r="L46" i="3"/>
  <c r="M46" i="3"/>
  <c r="S30" i="3"/>
  <c r="R30" i="3"/>
  <c r="P20" i="3"/>
  <c r="O20" i="3"/>
  <c r="P55" i="3"/>
  <c r="O55" i="3"/>
  <c r="O47" i="3"/>
  <c r="P47" i="3"/>
  <c r="D21" i="3"/>
  <c r="C21" i="3"/>
  <c r="O56" i="3"/>
  <c r="P56" i="3"/>
  <c r="J48" i="3"/>
  <c r="I48" i="3"/>
  <c r="L40" i="3"/>
  <c r="M40" i="3"/>
  <c r="R37" i="3"/>
  <c r="M15" i="3"/>
  <c r="L15" i="3"/>
  <c r="S49" i="3"/>
  <c r="R49" i="3"/>
  <c r="M33" i="3"/>
  <c r="L33" i="3"/>
  <c r="D52" i="3"/>
  <c r="C52" i="3"/>
  <c r="M24" i="3"/>
  <c r="L24" i="3"/>
  <c r="S15" i="3"/>
  <c r="R15" i="3"/>
  <c r="S59" i="3"/>
  <c r="R59" i="3"/>
  <c r="M43" i="3"/>
  <c r="L43" i="3"/>
  <c r="O35" i="3"/>
  <c r="P35" i="3"/>
  <c r="S58" i="3"/>
  <c r="R58" i="3"/>
  <c r="R42" i="3"/>
  <c r="S42" i="3"/>
  <c r="S34" i="3"/>
  <c r="R34" i="3"/>
  <c r="D26" i="3"/>
  <c r="C26" i="3"/>
  <c r="M5" i="3"/>
  <c r="M8" i="3"/>
  <c r="R8" i="3"/>
  <c r="S7" i="3"/>
  <c r="R7" i="3"/>
  <c r="C8" i="3"/>
  <c r="D8" i="3"/>
  <c r="G57" i="3"/>
  <c r="F57" i="3"/>
  <c r="C46" i="3"/>
  <c r="D46" i="3"/>
  <c r="J22" i="3"/>
  <c r="I22" i="3"/>
  <c r="G25" i="3"/>
  <c r="F25" i="3"/>
  <c r="J8" i="3"/>
  <c r="I8" i="3"/>
  <c r="J37" i="3"/>
  <c r="I37" i="3"/>
  <c r="J44" i="3"/>
  <c r="I44" i="3"/>
  <c r="D36" i="3"/>
  <c r="C36" i="3"/>
  <c r="O39" i="3"/>
  <c r="P39" i="3"/>
  <c r="I12" i="3"/>
  <c r="J12" i="3"/>
  <c r="S53" i="3"/>
  <c r="R53" i="3"/>
  <c r="R29" i="3"/>
  <c r="S29" i="3"/>
  <c r="D54" i="3"/>
  <c r="C54" i="3"/>
  <c r="F46" i="3"/>
  <c r="G46" i="3"/>
  <c r="J30" i="3"/>
  <c r="I30" i="3"/>
  <c r="S19" i="3"/>
  <c r="R19" i="3"/>
  <c r="J55" i="3"/>
  <c r="I55" i="3"/>
  <c r="F47" i="3"/>
  <c r="G47" i="3"/>
  <c r="L49" i="3"/>
  <c r="M49" i="3"/>
  <c r="G20" i="3"/>
  <c r="F20" i="3"/>
  <c r="G56" i="3"/>
  <c r="F56" i="3"/>
  <c r="R48" i="3"/>
  <c r="S48" i="3"/>
  <c r="C40" i="3"/>
  <c r="D40" i="3"/>
  <c r="P14" i="3"/>
  <c r="O14" i="3"/>
  <c r="D41" i="3"/>
  <c r="C41" i="3"/>
  <c r="G33" i="3"/>
  <c r="F33" i="3"/>
  <c r="S45" i="3"/>
  <c r="R45" i="3"/>
  <c r="D24" i="3"/>
  <c r="C24" i="3"/>
  <c r="D12" i="3"/>
  <c r="C12" i="3"/>
  <c r="D51" i="3"/>
  <c r="C51" i="3"/>
  <c r="G43" i="3"/>
  <c r="F43" i="3"/>
  <c r="R35" i="3"/>
  <c r="S35" i="3"/>
  <c r="S18" i="3"/>
  <c r="R18" i="3"/>
  <c r="P50" i="3"/>
  <c r="O50" i="3"/>
  <c r="D42" i="3"/>
  <c r="C42" i="3"/>
  <c r="G34" i="3"/>
  <c r="F34" i="3"/>
  <c r="J18" i="3"/>
  <c r="I18" i="3"/>
  <c r="S10" i="3"/>
  <c r="R10" i="3"/>
  <c r="F14" i="3"/>
  <c r="D6" i="3"/>
  <c r="C6" i="3"/>
  <c r="D5" i="3"/>
  <c r="D7" i="3"/>
  <c r="C7" i="3"/>
  <c r="M9" i="3"/>
  <c r="L9" i="3"/>
  <c r="O53" i="3"/>
  <c r="P53" i="3"/>
  <c r="M21" i="3"/>
  <c r="L21" i="3"/>
  <c r="J16" i="3"/>
  <c r="I16" i="3"/>
  <c r="S27" i="3"/>
  <c r="R27" i="3"/>
  <c r="D43" i="3"/>
  <c r="C43" i="3"/>
  <c r="L42" i="3"/>
  <c r="M42" i="3"/>
  <c r="J7" i="3"/>
  <c r="J5" i="3"/>
  <c r="D13" i="9"/>
  <c r="C13" i="9"/>
  <c r="D15" i="9"/>
  <c r="R32" i="3"/>
  <c r="C15" i="9"/>
  <c r="D12" i="9"/>
  <c r="D14" i="9"/>
  <c r="B7" i="9"/>
  <c r="C14" i="9"/>
  <c r="E3" i="9"/>
  <c r="C12" i="9"/>
  <c r="C11" i="9"/>
  <c r="C7" i="9"/>
  <c r="S32" i="3"/>
  <c r="S44" i="3"/>
  <c r="R44" i="3"/>
  <c r="M36" i="3"/>
  <c r="L36" i="3"/>
  <c r="S31" i="3"/>
  <c r="R31" i="3"/>
  <c r="M53" i="3"/>
  <c r="L53" i="3"/>
  <c r="D29" i="3"/>
  <c r="C29" i="3"/>
  <c r="I23" i="3"/>
  <c r="J23" i="3"/>
  <c r="M54" i="3"/>
  <c r="L54" i="3"/>
  <c r="P46" i="3"/>
  <c r="O46" i="3"/>
  <c r="I51" i="3"/>
  <c r="J51" i="3"/>
  <c r="D16" i="3"/>
  <c r="C16" i="3"/>
  <c r="D55" i="3"/>
  <c r="C55" i="3"/>
  <c r="I39" i="3"/>
  <c r="J39" i="3"/>
  <c r="D13" i="6"/>
  <c r="D15" i="6"/>
  <c r="J32" i="3"/>
  <c r="D14" i="6"/>
  <c r="B7" i="6"/>
  <c r="C14" i="6"/>
  <c r="E3" i="6"/>
  <c r="C13" i="6"/>
  <c r="D12" i="6"/>
  <c r="C12" i="6"/>
  <c r="C11" i="6"/>
  <c r="C15" i="6"/>
  <c r="I32" i="3"/>
  <c r="C7" i="6"/>
  <c r="J19" i="3"/>
  <c r="I19" i="3"/>
  <c r="R56" i="3"/>
  <c r="S56" i="3"/>
  <c r="M48" i="3"/>
  <c r="L48" i="3"/>
  <c r="D13" i="5"/>
  <c r="D15" i="5"/>
  <c r="D14" i="5"/>
  <c r="B7" i="5"/>
  <c r="C14" i="5"/>
  <c r="E3" i="5"/>
  <c r="C15" i="5"/>
  <c r="C7" i="5"/>
  <c r="F32" i="3"/>
  <c r="C13" i="5"/>
  <c r="D12" i="5"/>
  <c r="C11" i="5"/>
  <c r="C12" i="5"/>
  <c r="G32" i="3"/>
  <c r="S13" i="3"/>
  <c r="R13" i="3"/>
  <c r="M41" i="3"/>
  <c r="L41" i="3"/>
  <c r="O33" i="3"/>
  <c r="P33" i="3"/>
  <c r="P38" i="3"/>
  <c r="O38" i="3"/>
  <c r="P22" i="3"/>
  <c r="O22" i="3"/>
  <c r="G11" i="3"/>
  <c r="F11" i="3"/>
  <c r="M51" i="3"/>
  <c r="L51" i="3"/>
  <c r="P43" i="3"/>
  <c r="O43" i="3"/>
  <c r="M27" i="3"/>
  <c r="L27" i="3"/>
  <c r="G50" i="3"/>
  <c r="F50" i="3"/>
  <c r="I42" i="3"/>
  <c r="J42" i="3"/>
  <c r="P34" i="3"/>
  <c r="O34" i="3"/>
  <c r="D18" i="3"/>
  <c r="C18" i="3"/>
  <c r="R28" i="3"/>
  <c r="C27" i="3"/>
  <c r="J10" i="3"/>
  <c r="I10" i="3"/>
  <c r="S8" i="3"/>
  <c r="S5" i="3"/>
  <c r="L8" i="3"/>
  <c r="M7" i="3"/>
  <c r="L7" i="3"/>
  <c r="G9" i="3"/>
  <c r="F9" i="3"/>
  <c r="C14" i="3"/>
  <c r="D14" i="3"/>
  <c r="M30" i="3"/>
  <c r="L30" i="3"/>
  <c r="J11" i="3"/>
  <c r="I11" i="3"/>
  <c r="J49" i="3"/>
  <c r="I49" i="3"/>
  <c r="O59" i="3"/>
  <c r="P59" i="3"/>
  <c r="J34" i="3"/>
  <c r="I34" i="3"/>
  <c r="M28" i="3"/>
  <c r="L28" i="3"/>
  <c r="D44" i="3"/>
  <c r="C44" i="3"/>
  <c r="O36" i="3"/>
  <c r="P36" i="3"/>
  <c r="D22" i="3"/>
  <c r="C22" i="3"/>
  <c r="C45" i="3"/>
  <c r="D45" i="3"/>
  <c r="S46" i="3"/>
  <c r="R46" i="3"/>
  <c r="D19" i="3"/>
  <c r="C19" i="3"/>
  <c r="G54" i="3"/>
  <c r="F54" i="3"/>
  <c r="J46" i="3"/>
  <c r="I46" i="3"/>
  <c r="O49" i="3"/>
  <c r="P49" i="3"/>
  <c r="G15" i="3"/>
  <c r="F15" i="3"/>
  <c r="F55" i="3"/>
  <c r="G55" i="3"/>
  <c r="R39" i="3"/>
  <c r="S39" i="3"/>
  <c r="I31" i="3"/>
  <c r="P17" i="3"/>
  <c r="O17" i="3"/>
  <c r="J56" i="3"/>
  <c r="I56" i="3"/>
  <c r="D48" i="3"/>
  <c r="C48" i="3"/>
  <c r="D13" i="8"/>
  <c r="D15" i="8"/>
  <c r="C15" i="8"/>
  <c r="D12" i="8"/>
  <c r="D14" i="8"/>
  <c r="B7" i="8"/>
  <c r="C14" i="8"/>
  <c r="E3" i="8"/>
  <c r="C13" i="8"/>
  <c r="O32" i="3"/>
  <c r="C12" i="8"/>
  <c r="C11" i="8"/>
  <c r="C7" i="8"/>
  <c r="P32" i="3"/>
  <c r="P23" i="3"/>
  <c r="O23" i="3"/>
  <c r="O57" i="3"/>
  <c r="P57" i="3"/>
  <c r="G41" i="3"/>
  <c r="F41" i="3"/>
  <c r="I33" i="3"/>
  <c r="J33" i="3"/>
  <c r="C31" i="3"/>
  <c r="D31" i="3"/>
  <c r="G22" i="3"/>
  <c r="F22" i="3"/>
  <c r="F59" i="3"/>
  <c r="G59" i="3"/>
  <c r="G51" i="3"/>
  <c r="F51" i="3"/>
  <c r="R43" i="3"/>
  <c r="S43" i="3"/>
  <c r="G27" i="3"/>
  <c r="F27" i="3"/>
  <c r="D58" i="3"/>
  <c r="C58" i="3"/>
  <c r="I50" i="3"/>
  <c r="J50" i="3"/>
  <c r="G42" i="3"/>
  <c r="F42" i="3"/>
  <c r="M26" i="3"/>
  <c r="L26" i="3"/>
  <c r="M18" i="3"/>
  <c r="L18" i="3"/>
  <c r="R20" i="3"/>
  <c r="F16" i="3"/>
  <c r="D10" i="3"/>
  <c r="C10" i="3"/>
  <c r="S6" i="3"/>
  <c r="R6" i="3"/>
  <c r="F7" i="3"/>
  <c r="G7" i="3"/>
  <c r="P9" i="3"/>
  <c r="O9" i="3"/>
  <c r="P54" i="3"/>
  <c r="O54" i="3"/>
  <c r="J14" i="3"/>
  <c r="I14" i="3"/>
  <c r="C39" i="3"/>
  <c r="D39" i="3"/>
  <c r="S16" i="3"/>
  <c r="R16" i="3"/>
  <c r="L56" i="3"/>
  <c r="M56" i="3"/>
  <c r="G40" i="3"/>
  <c r="F40" i="3"/>
  <c r="D15" i="4"/>
  <c r="D14" i="4"/>
  <c r="B7" i="4"/>
  <c r="C14" i="4"/>
  <c r="D13" i="4"/>
  <c r="C13" i="4"/>
  <c r="C7" i="4"/>
  <c r="D12" i="4"/>
  <c r="E3" i="4"/>
  <c r="C12" i="4"/>
  <c r="C32" i="3"/>
  <c r="C15" i="4"/>
  <c r="C11" i="4"/>
  <c r="D32" i="3"/>
  <c r="G23" i="3"/>
  <c r="F23" i="3"/>
  <c r="S57" i="3"/>
  <c r="R57" i="3"/>
  <c r="O41" i="3"/>
  <c r="P41" i="3"/>
  <c r="R33" i="3"/>
  <c r="S33" i="3"/>
  <c r="G30" i="3"/>
  <c r="F30" i="3"/>
  <c r="D20" i="3"/>
  <c r="C20" i="3"/>
  <c r="I59" i="3"/>
  <c r="J59" i="3"/>
  <c r="P51" i="3"/>
  <c r="O51" i="3"/>
  <c r="I35" i="3"/>
  <c r="J35" i="3"/>
  <c r="J27" i="3"/>
  <c r="I27" i="3"/>
  <c r="G58" i="3"/>
  <c r="F58" i="3"/>
  <c r="R50" i="3"/>
  <c r="S50" i="3"/>
  <c r="P42" i="3"/>
  <c r="O42" i="3"/>
  <c r="R26" i="3"/>
  <c r="S26" i="3"/>
  <c r="G18" i="3"/>
  <c r="F18" i="3"/>
  <c r="C37" i="3"/>
  <c r="I52" i="3"/>
  <c r="M10" i="3"/>
  <c r="L10" i="3"/>
  <c r="M6" i="3"/>
  <c r="L6" i="3"/>
  <c r="O7" i="3"/>
  <c r="P7" i="3"/>
  <c r="J9" i="3"/>
  <c r="I9" i="3"/>
  <c r="O45" i="3"/>
  <c r="P45" i="3"/>
  <c r="M37" i="3"/>
  <c r="L37" i="3"/>
  <c r="P48" i="3"/>
  <c r="O48" i="3"/>
  <c r="M44" i="3"/>
  <c r="L44" i="3"/>
  <c r="F21" i="3"/>
  <c r="G21" i="3"/>
  <c r="J17" i="3"/>
  <c r="I17" i="3"/>
  <c r="J47" i="3"/>
  <c r="I47" i="3"/>
  <c r="L23" i="3"/>
  <c r="M23" i="3"/>
  <c r="P44" i="3"/>
  <c r="O44" i="3"/>
  <c r="D28" i="3"/>
  <c r="C28" i="3"/>
  <c r="I20" i="3"/>
  <c r="J20" i="3"/>
  <c r="C53" i="3"/>
  <c r="D53" i="3"/>
  <c r="G37" i="3"/>
  <c r="F37" i="3"/>
  <c r="P31" i="3"/>
  <c r="O31" i="3"/>
  <c r="M16" i="3"/>
  <c r="L16" i="3"/>
  <c r="R54" i="3"/>
  <c r="S54" i="3"/>
  <c r="D13" i="7"/>
  <c r="D15" i="7"/>
  <c r="D14" i="7"/>
  <c r="B7" i="7"/>
  <c r="C14" i="7"/>
  <c r="E3" i="7"/>
  <c r="C15" i="7"/>
  <c r="C7" i="7"/>
  <c r="C13" i="7"/>
  <c r="D12" i="7"/>
  <c r="L32" i="3"/>
  <c r="C11" i="7"/>
  <c r="M32" i="3"/>
  <c r="C12" i="7"/>
  <c r="M13" i="3"/>
  <c r="L13" i="3"/>
  <c r="S47" i="3"/>
  <c r="R47" i="3"/>
  <c r="M39" i="3"/>
  <c r="L39" i="3"/>
  <c r="F24" i="3"/>
  <c r="G24" i="3"/>
  <c r="D13" i="3"/>
  <c r="C13" i="3"/>
  <c r="D56" i="3"/>
  <c r="C56" i="3"/>
  <c r="P40" i="3"/>
  <c r="O40" i="3"/>
  <c r="S21" i="3"/>
  <c r="R21" i="3"/>
  <c r="J57" i="3"/>
  <c r="I57" i="3"/>
  <c r="J41" i="3"/>
  <c r="I41" i="3"/>
  <c r="S25" i="3"/>
  <c r="R25" i="3"/>
  <c r="J29" i="3"/>
  <c r="I29" i="3"/>
  <c r="G19" i="3"/>
  <c r="F19" i="3"/>
  <c r="L59" i="3"/>
  <c r="M59" i="3"/>
  <c r="S51" i="3"/>
  <c r="R51" i="3"/>
  <c r="C35" i="3"/>
  <c r="D35" i="3"/>
  <c r="I58" i="3"/>
  <c r="J58" i="3"/>
  <c r="D50" i="3"/>
  <c r="C50" i="3"/>
  <c r="D34" i="3"/>
  <c r="C34" i="3"/>
  <c r="F26" i="3"/>
  <c r="G26" i="3"/>
  <c r="O18" i="3"/>
  <c r="P18" i="3"/>
  <c r="I21" i="3"/>
  <c r="G10" i="3"/>
  <c r="F10" i="3"/>
  <c r="G6" i="3"/>
  <c r="F6" i="3"/>
  <c r="G8" i="3"/>
  <c r="F8" i="3"/>
  <c r="R9" i="3"/>
  <c r="S9" i="3"/>
  <c r="J36" i="3"/>
  <c r="I36" i="3"/>
  <c r="S24" i="3"/>
  <c r="R24" i="3"/>
  <c r="S11" i="3"/>
  <c r="R11" i="3"/>
  <c r="R40" i="3"/>
  <c r="S40" i="3"/>
  <c r="D33" i="3"/>
  <c r="C33" i="3"/>
  <c r="F35" i="3"/>
  <c r="G35" i="3"/>
  <c r="P27" i="3"/>
  <c r="O27" i="3"/>
  <c r="J28" i="3"/>
  <c r="I28" i="3"/>
  <c r="M45" i="3"/>
  <c r="L45" i="3"/>
  <c r="F38" i="3"/>
  <c r="G38" i="3"/>
  <c r="C38" i="3"/>
  <c r="D38" i="3"/>
  <c r="L57" i="3"/>
  <c r="M57" i="3"/>
  <c r="M55" i="3"/>
  <c r="L55" i="3"/>
  <c r="C23" i="3"/>
  <c r="D23" i="3"/>
  <c r="F36" i="3"/>
  <c r="G36" i="3"/>
  <c r="G28" i="3"/>
  <c r="F28" i="3"/>
  <c r="R17" i="3"/>
  <c r="S17" i="3"/>
  <c r="F53" i="3"/>
  <c r="G53" i="3"/>
  <c r="P37" i="3"/>
  <c r="O37" i="3"/>
  <c r="I25" i="3"/>
  <c r="J25" i="3"/>
  <c r="P15" i="3"/>
  <c r="O15" i="3"/>
  <c r="I54" i="3"/>
  <c r="J54" i="3"/>
  <c r="D30" i="3"/>
  <c r="C30" i="3"/>
  <c r="M31" i="3"/>
  <c r="L31" i="3"/>
  <c r="P12" i="3"/>
  <c r="O12" i="3"/>
  <c r="D47" i="3"/>
  <c r="C47" i="3"/>
  <c r="F39" i="3"/>
  <c r="G39" i="3"/>
  <c r="S22" i="3"/>
  <c r="R22" i="3"/>
  <c r="G12" i="3"/>
  <c r="F12" i="3"/>
  <c r="G48" i="3"/>
  <c r="F48" i="3"/>
  <c r="J40" i="3"/>
  <c r="I40" i="3"/>
  <c r="G17" i="3"/>
  <c r="F17" i="3"/>
  <c r="D57" i="3"/>
  <c r="C57" i="3"/>
  <c r="S41" i="3"/>
  <c r="R41" i="3"/>
  <c r="M25" i="3"/>
  <c r="L25" i="3"/>
  <c r="P28" i="3"/>
  <c r="O28" i="3"/>
  <c r="M17" i="3"/>
  <c r="L17" i="3"/>
  <c r="D59" i="3"/>
  <c r="C59" i="3"/>
  <c r="I43" i="3"/>
  <c r="J43" i="3"/>
  <c r="L35" i="3"/>
  <c r="M35" i="3"/>
  <c r="C49" i="3"/>
  <c r="L58" i="3"/>
  <c r="M58" i="3"/>
  <c r="L50" i="3"/>
  <c r="M50" i="3"/>
  <c r="L34" i="3"/>
  <c r="M34" i="3"/>
  <c r="P26" i="3"/>
  <c r="O26" i="3"/>
  <c r="R52" i="3"/>
  <c r="C25" i="3"/>
  <c r="O29" i="3"/>
  <c r="O10" i="3"/>
  <c r="P10" i="3"/>
  <c r="P6" i="3"/>
  <c r="O6" i="3"/>
  <c r="P8" i="3"/>
  <c r="O8" i="3"/>
  <c r="C9" i="3"/>
  <c r="D9" i="3"/>
  <c r="G7" i="4" l="1"/>
  <c r="D11" i="7"/>
  <c r="G12" i="5"/>
  <c r="G16" i="9"/>
  <c r="D7" i="7"/>
  <c r="G15" i="6"/>
  <c r="G7" i="8"/>
  <c r="G12" i="8"/>
  <c r="E7" i="5"/>
  <c r="G14" i="5"/>
  <c r="G13" i="5"/>
  <c r="G15" i="7"/>
  <c r="D11" i="4"/>
  <c r="D7" i="4"/>
  <c r="G15" i="5"/>
  <c r="G7" i="6"/>
  <c r="D11" i="9"/>
  <c r="G12" i="4"/>
  <c r="G11" i="4"/>
  <c r="F7" i="4"/>
  <c r="G11" i="5"/>
  <c r="F7" i="5"/>
  <c r="G16" i="5"/>
  <c r="E7" i="4"/>
  <c r="G13" i="4"/>
  <c r="G14" i="4"/>
  <c r="G11" i="8"/>
  <c r="F7" i="8"/>
  <c r="G16" i="7"/>
  <c r="G15" i="4"/>
  <c r="D11" i="8"/>
  <c r="D11" i="5"/>
  <c r="D7" i="6"/>
  <c r="D11" i="6"/>
  <c r="G16" i="6"/>
  <c r="G15" i="9"/>
  <c r="G16" i="4"/>
  <c r="G7" i="9"/>
  <c r="E7" i="8"/>
  <c r="G14" i="8"/>
  <c r="G13" i="8"/>
  <c r="G15" i="8"/>
  <c r="G16" i="8"/>
  <c r="D7" i="9"/>
  <c r="E7" i="7"/>
  <c r="G14" i="7"/>
  <c r="G13" i="7"/>
  <c r="E7" i="9"/>
  <c r="G14" i="9"/>
  <c r="G13" i="9"/>
  <c r="D7" i="8"/>
  <c r="D7" i="5"/>
  <c r="G12" i="6"/>
  <c r="G11" i="6"/>
  <c r="F7" i="6"/>
  <c r="G12" i="7"/>
  <c r="G11" i="7"/>
  <c r="F7" i="7"/>
  <c r="G7" i="7"/>
  <c r="G12" i="9"/>
  <c r="G11" i="9"/>
  <c r="F7" i="9"/>
  <c r="G7" i="5"/>
  <c r="E7" i="6"/>
  <c r="G13" i="6"/>
  <c r="G14" i="6"/>
</calcChain>
</file>

<file path=xl/sharedStrings.xml><?xml version="1.0" encoding="utf-8"?>
<sst xmlns="http://schemas.openxmlformats.org/spreadsheetml/2006/main" count="304" uniqueCount="126">
  <si>
    <t>持仓配置（实盘·初始权重）</t>
  </si>
  <si>
    <t>基金简称</t>
  </si>
  <si>
    <t>华安黄金ETF联接A</t>
  </si>
  <si>
    <t>嘉实快线货币A</t>
  </si>
  <si>
    <t>宏利复兴混合A</t>
  </si>
  <si>
    <t>博道沪深300增强A</t>
  </si>
  <si>
    <t>博道沪深300指增C</t>
  </si>
  <si>
    <t>国泰通信设备ETF联接A</t>
  </si>
  <si>
    <t>国泰通信设备C</t>
  </si>
  <si>
    <t>嘉实前沿科技创新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</si>
  <si>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</si>
  <si>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</si>
  <si>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</si>
  <si>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</si>
  <si>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</si>
  <si>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</si>
  <si>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</si>
  <si>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</si>
  <si>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</si>
  <si>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</si>
  <si>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</si>
  <si>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</si>
  <si>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</si>
  <si>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</si>
  <si>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</si>
  <si>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</si>
  <si>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</si>
  <si>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</si>
  <si>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</si>
  <si>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</si>
  <si>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</si>
  <si>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</si>
  <si>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</si>
  <si>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</si>
  <si>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</si>
  <si>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</si>
  <si>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</si>
  <si>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</si>
  <si>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</si>
  <si>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</si>
  <si>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</si>
  <si>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</si>
  <si>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</si>
  <si>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</si>
  <si>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</si>
  <si>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</si>
  <si>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</si>
  <si>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</si>
  <si>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</si>
  <si>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</si>
  <si>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</si>
  <si>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</si>
  <si>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</si>
  <si>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</si>
  <si>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t>产业趋势2号 权重</t>
  </si>
  <si>
    <t>10-90 权重</t>
  </si>
  <si>
    <t>10-90基石 权重</t>
  </si>
  <si>
    <t>30-70 权重</t>
  </si>
  <si>
    <t>权重蓝色输入；Z列为各组合年化费率、AA列为各组合净值起始日(当日净值=1)。新增交易日下拉填充，下游净值与看板自动重算。</t>
  </si>
  <si>
    <t>净值数据 * 实盘</t>
  </si>
  <si>
    <t>基金代码→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</si>
  <si>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</si>
  <si>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</si>
  <si>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</si>
  <si>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</si>
  <si>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</t>
  </si>
  <si>
    <t>组合 10-90基石</t>
  </si>
  <si>
    <t>组合 30-70</t>
  </si>
  <si>
    <t>日期</t>
  </si>
  <si>
    <t>净值</t>
  </si>
  <si>
    <t>日收益</t>
  </si>
  <si>
    <t>回撤</t>
  </si>
  <si>
    <t>各组合自其净值起始日起=1.0000；买入持有，权重随涨跌漂移；净值已按各自年化费率折每日扣费。新增日期下拉填充。</t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</si>
  <si>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</si>
  <si>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</si>
  <si>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</si>
  <si>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</si>
  <si>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</si>
  <si>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</si>
  <si>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</si>
  <si>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</si>
  <si>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</si>
  <si>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</si>
  <si>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</si>
  <si>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</si>
  <si>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</si>
  <si>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</si>
  <si>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</si>
  <si>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</si>
  <si>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</si>
  <si>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</si>
  <si>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</si>
  <si>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</si>
  <si>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</si>
  <si>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</si>
  <si>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</si>
  <si>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样板间组合走势看板（产业趋势基石组合）</t>
  </si>
  <si>
    <t>样板间组合走势看板（产业趋势2号组合）</t>
  </si>
  <si>
    <t>样板间组合走势看板（10-90组合）</t>
  </si>
  <si>
    <t>样板间组合走势看板（10-90基石组合）</t>
  </si>
  <si>
    <t>样板间组合走势看板（30-70组合）</t>
  </si>
  <si>
    <t>样板间投顾组合 · 净值监控模板</t>
  </si>
  <si>
    <t>运作起始日（实盘）：产业趋势基石/10-90基石 2026/6/18 · 产业趋势 6/22 · 产业趋势2号 6/23 · 10-90/30-70 6/24 ｜ 净值口径：复权单位净值(iFinD) ｜ 买入持有(权重漂移)，各组合自其起始日净值=1</t>
  </si>
  <si>
    <t>一、模板结构</t>
  </si>
  <si>
    <t>持仓配置</t>
  </si>
  <si>
    <t>实盘6组合(产业趋势/产业趋势基石/产业趋势2号/10-90/10-90基石/30-70)成份基金、代码、初始权重、年化费率、净值起始日，可直接编辑。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</si>
  <si>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</si>
  <si>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</si>
  <si>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</si>
  <si>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</si>
  <si>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</si>
  <si>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6个组合各一页：业绩KPI＋收益表现＋风险特征＋净值曲线。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</si>
  <si>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</si>
  <si>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</si>
  <si>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</si>
  <si>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</si>
  <si>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</si>
  <si>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</si>
  <si>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</si>
  <si>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</si>
  <si>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各组合年化费率见『实盘持仓配置』Z列；按 净值×(1-费率)^(已运作交易日数/年化交易日数) 折每日计入，看板均为扣费后口径。</t>
  </si>
  <si>
    <t>参数：无风险利率(年化)</t>
  </si>
  <si>
    <t>参数：年化交易日数</t>
  </si>
  <si>
    <t>净值曲线</t>
  </si>
  <si>
    <t>净值曲线改用日期轴+直接区域引用，横轴自起始日起、自动延伸到最新交易日，无需手改图表数据区。</t>
  </si>
  <si>
    <t>数据来源：同花顺 iFinD(复权单位净值)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</si>
</sst>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%"/>
    <numFmt numFmtId="177" formatCode="yyyy\-mm\-dd"/>
    <numFmt numFmtId="178" formatCode="0.0000"/>
  </numFmts>
  <fonts count="22" x14ac:knownFonts="1">
    <font>
      <sz val="11"/>
      <color theme="1"/>
      <name val="宋体"/>
      <family val="2"/>
      <scheme val="minor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b/>
      <sz val="11"/>
      <color rgb="FFFFFFFF"/>
      <name val="Arial"/>
      <family val="2"/>
    </font>
    <font>
      <b/>
      <sz val="17"/>
      <color rgb="FFFFFFFF"/>
      <name val="Arial"/>
      <family val="2"/>
    </font>
    <font>
      <sz val="9"/>
      <name val="宋体"/>
      <family val="3"/>
      <charset val="134"/>
      <scheme val="minor"/>
    </font>
    <font>
      <i/>
      <sz val="9"/>
      <color rgb="FF595959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0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0" fontId="20" fillId="0" borderId="1" xfId="0" applyNumberFormat="1" applyFont="1" applyBorder="1" applyAlignment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/>
    <xf numFmtId="0" fontId="14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176" fontId="4" fillId="6" borderId="1" xfId="0" applyNumberFormat="1" applyFont="1" applyFill="1" applyBorder="1" applyAlignment="1">
      <alignment horizontal="center" vertical="center" wrapText="1"/>
    </xf>
    <xf numFmtId="176" fontId="21" fillId="7" borderId="3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178" fontId="19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/>
    <xf numFmtId="0" fontId="7" fillId="3" borderId="4" xfId="0" applyFont="1" applyFill="1" applyBorder="1" applyAlignment="1">
      <alignment horizontal="center"/>
    </xf>
    <xf numFmtId="0" fontId="0" fillId="0" borderId="4" xfId="0" applyBorder="1"/>
    <xf numFmtId="0" fontId="7" fillId="3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11" fillId="3" borderId="0" xfId="0" applyFont="1" applyFill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0" fillId="0" borderId="2" xfId="0" applyBorder="1"/>
    <xf numFmtId="0" fontId="2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实盘组合净值!$A$6:$A$59</c:f>
              <c:strCache>
                <c:ptCount val="7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</c:strCache>
            </c:strRef>
          </c:cat>
          <c:val>
            <c:numRef>
              <c:f>实盘组合净值!$B$6:$B$59</c:f>
              <c:numCache>
                <c:formatCode>0.0000</c:formatCode>
                <c:ptCount val="54"/>
                <c:pt idx="0">
                  <c:v>1</c:v>
                </c:pt>
                <c:pt idx="1">
                  <c:v>0.98046378556363067</c:v>
                </c:pt>
                <c:pt idx="2">
                  <c:v>1.0160404086918662</c:v>
                </c:pt>
                <c:pt idx="3">
                  <c:v>1.0494424368681481</c:v>
                </c:pt>
                <c:pt idx="4">
                  <c:v>1.0194235837371624</c:v>
                </c:pt>
                <c:pt idx="5">
                  <c:v>1.0294798827005589</c:v>
                </c:pt>
                <c:pt idx="6">
                  <c:v>1.0294155905508455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72668480"/>
        <c:axId val="-1672666304"/>
      </c:lineChart>
      <c:dateAx>
        <c:axId val="-1672668480"/>
        <c:scaling>
          <c:orientation val="minMax"/>
          <c:min val="46195"/>
        </c:scaling>
        <c:delete val="0"/>
        <c:axPos val="b"/>
        <c:numFmt formatCode="mm\-dd" sourceLinked="0"/>
        <c:majorTickMark val="out"/>
        <c:minorTickMark val="none"/>
        <c:tickLblPos val="nextTo"/>
        <c:crossAx val="-1672666304"/>
        <c:crosses val="autoZero"/>
        <c:auto val="1"/>
        <c:lblOffset val="100"/>
        <c:baseTimeUnit val="days"/>
      </c:dateAx>
      <c:valAx>
        <c:axId val="-167266630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6726684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8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</c:strCache>
            </c:strRef>
          </c:cat>
          <c:val>
            <c:numRef>
              <c:f>实盘组合净值!$E$5:$E$59</c:f>
              <c:numCache>
                <c:formatCode>0.0000</c:formatCode>
                <c:ptCount val="55"/>
                <c:pt idx="0">
                  <c:v>1</c:v>
                </c:pt>
                <c:pt idx="1">
                  <c:v>1.0235728848914316</c:v>
                </c:pt>
                <c:pt idx="2">
                  <c:v>1.0034537738698632</c:v>
                </c:pt>
                <c:pt idx="3">
                  <c:v>1.0398152807197236</c:v>
                </c:pt>
                <c:pt idx="4">
                  <c:v>1.0740324597009789</c:v>
                </c:pt>
                <c:pt idx="5">
                  <c:v>1.0432130514912921</c:v>
                </c:pt>
                <c:pt idx="6">
                  <c:v>1.0533788898638812</c:v>
                </c:pt>
                <c:pt idx="7">
                  <c:v>1.0533263415786789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72665760"/>
        <c:axId val="-1672666848"/>
      </c:lineChart>
      <c:dateAx>
        <c:axId val="-1672665760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1672666848"/>
        <c:crosses val="autoZero"/>
        <c:auto val="1"/>
        <c:lblOffset val="100"/>
        <c:baseTimeUnit val="days"/>
      </c:dateAx>
      <c:valAx>
        <c:axId val="-16726668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67266576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实盘组合净值!$A$7:$A$59</c:f>
              <c:strCache>
                <c:ptCount val="6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</c:strCache>
            </c:strRef>
          </c:cat>
          <c:val>
            <c:numRef>
              <c:f>实盘组合净值!$H$7:$H$59</c:f>
              <c:numCache>
                <c:formatCode>0.0000</c:formatCode>
                <c:ptCount val="53"/>
                <c:pt idx="0">
                  <c:v>1</c:v>
                </c:pt>
                <c:pt idx="1">
                  <c:v>1.0392459947017059</c:v>
                </c:pt>
                <c:pt idx="2">
                  <c:v>1.0741295151357004</c:v>
                </c:pt>
                <c:pt idx="3">
                  <c:v>1.0506449511611655</c:v>
                </c:pt>
                <c:pt idx="4">
                  <c:v>1.0685751475330594</c:v>
                </c:pt>
                <c:pt idx="5">
                  <c:v>1.068508413841105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5536"/>
        <c:axId val="-1192163360"/>
      </c:lineChart>
      <c:dateAx>
        <c:axId val="-1192165536"/>
        <c:scaling>
          <c:orientation val="minMax"/>
          <c:min val="46196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3360"/>
        <c:crosses val="autoZero"/>
        <c:auto val="1"/>
        <c:lblOffset val="100"/>
        <c:baseTimeUnit val="days"/>
      </c:dateAx>
      <c:valAx>
        <c:axId val="-119216336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553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5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</c:strCache>
            </c:strRef>
          </c:cat>
          <c:val>
            <c:numRef>
              <c:f>实盘组合净值!$K$8:$K$59</c:f>
              <c:numCache>
                <c:formatCode>0.0000</c:formatCode>
                <c:ptCount val="52"/>
                <c:pt idx="0">
                  <c:v>1</c:v>
                </c:pt>
                <c:pt idx="1">
                  <c:v>1.0014362319237347</c:v>
                </c:pt>
                <c:pt idx="2">
                  <c:v>0.99949304909660197</c:v>
                </c:pt>
                <c:pt idx="3">
                  <c:v>1.001425069764311</c:v>
                </c:pt>
                <c:pt idx="4">
                  <c:v>1.0013918322245723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6080"/>
        <c:axId val="-1192164992"/>
      </c:lineChart>
      <c:dateAx>
        <c:axId val="-1192166080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4992"/>
        <c:crosses val="autoZero"/>
        <c:auto val="1"/>
        <c:lblOffset val="100"/>
        <c:baseTimeUnit val="days"/>
      </c:dateAx>
      <c:valAx>
        <c:axId val="-119216499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60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8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</c:strCache>
            </c:strRef>
          </c:cat>
          <c:val>
            <c:numRef>
              <c:f>实盘组合净值!$N$5:$N$59</c:f>
              <c:numCache>
                <c:formatCode>0.0000</c:formatCode>
                <c:ptCount val="55"/>
                <c:pt idx="0">
                  <c:v>1</c:v>
                </c:pt>
                <c:pt idx="1">
                  <c:v>1.0009505143094155</c:v>
                </c:pt>
                <c:pt idx="2">
                  <c:v>0.99787048711733395</c:v>
                </c:pt>
                <c:pt idx="3">
                  <c:v>0.99981153226498964</c:v>
                </c:pt>
                <c:pt idx="4">
                  <c:v>1.0013120181061355</c:v>
                </c:pt>
                <c:pt idx="5">
                  <c:v>0.9989567840991862</c:v>
                </c:pt>
                <c:pt idx="6">
                  <c:v>1.0005685736228922</c:v>
                </c:pt>
                <c:pt idx="7">
                  <c:v>1.0005478490779289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2272"/>
        <c:axId val="-1192164448"/>
      </c:lineChart>
      <c:dateAx>
        <c:axId val="-1192162272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4448"/>
        <c:crosses val="autoZero"/>
        <c:auto val="1"/>
        <c:lblOffset val="100"/>
        <c:baseTimeUnit val="days"/>
      </c:dateAx>
      <c:valAx>
        <c:axId val="-11921644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227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5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</c:strCache>
            </c:strRef>
          </c:cat>
          <c:val>
            <c:numRef>
              <c:f>实盘组合净值!$Q$8:$Q$59</c:f>
              <c:numCache>
                <c:formatCode>0.0000</c:formatCode>
                <c:ptCount val="52"/>
                <c:pt idx="0">
                  <c:v>1</c:v>
                </c:pt>
                <c:pt idx="1">
                  <c:v>1.0040064157597366</c:v>
                </c:pt>
                <c:pt idx="2">
                  <c:v>0.9972242622004962</c:v>
                </c:pt>
                <c:pt idx="3">
                  <c:v>1.001046276296178</c:v>
                </c:pt>
                <c:pt idx="4">
                  <c:v>1.0009963386472145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1184"/>
        <c:axId val="-1192163904"/>
      </c:lineChart>
      <c:dateAx>
        <c:axId val="-1192161184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3904"/>
        <c:crosses val="autoZero"/>
        <c:auto val="1"/>
        <c:lblOffset val="100"/>
        <c:baseTimeUnit val="days"/>
      </c:dateAx>
      <c:valAx>
        <c:axId val="-119216390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118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activeCell="H13" sqref="H13"/>
    </sheetView>
  </sheetViews>
  <sheetFormatPr defaultRowHeight="14" x14ac:dyDescent="0.25"/>
  <cols>
    <col min="1" max="1" width="16" style="27" customWidth="1"/>
    <col min="2" max="24" width="11" style="27" customWidth="1"/>
    <col min="25" max="26" width="9" style="27" customWidth="1"/>
    <col min="27" max="27" width="12" style="27" customWidth="1"/>
  </cols>
  <sheetData>
    <row r="1" spans="1:27" ht="19" customHeight="1" x14ac:dyDescent="0.4">
      <c r="A1" s="37" t="s">
        <v>0</v>
      </c>
      <c r="B1" s="38"/>
      <c r="C1" s="38"/>
    </row>
    <row r="2" spans="1:27" ht="39" customHeight="1" x14ac:dyDescent="0.25">
      <c r="A2" s="25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5" t="s">
        <v>25</v>
      </c>
      <c r="Z2" s="25" t="s">
        <v>26</v>
      </c>
      <c r="AA2" s="25" t="s">
        <v>27</v>
      </c>
    </row>
    <row r="3" spans="1:27" x14ac:dyDescent="0.25">
      <c r="A3" s="2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x14ac:dyDescent="0.25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29">
        <f t="shared" ref="Y4:Y9" si="0">SUM(B4:X4)</f>
        <v>0.99999999999999989</v>
      </c>
      <c r="Z4" s="30">
        <v>1.4999999999999999E-2</v>
      </c>
      <c r="AA4" s="31">
        <v>46195</v>
      </c>
    </row>
    <row r="5" spans="1:27" x14ac:dyDescent="0.25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29">
        <f t="shared" si="0"/>
        <v>0.99999999999999989</v>
      </c>
      <c r="Z5" s="30">
        <v>1.2E-2</v>
      </c>
      <c r="AA5" s="31">
        <v>46191</v>
      </c>
    </row>
    <row r="6" spans="1:27" x14ac:dyDescent="0.25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29">
        <f t="shared" si="0"/>
        <v>0.99999999999999989</v>
      </c>
      <c r="Z6" s="30">
        <v>1.4999999999999999E-2</v>
      </c>
      <c r="AA6" s="31">
        <v>46196</v>
      </c>
    </row>
    <row r="7" spans="1:27" x14ac:dyDescent="0.25">
      <c r="A7" s="4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29">
        <f t="shared" si="0"/>
        <v>1</v>
      </c>
      <c r="Z7" s="30">
        <v>8.0000000000000002E-3</v>
      </c>
      <c r="AA7" s="31">
        <v>46197</v>
      </c>
    </row>
    <row r="8" spans="1:27" x14ac:dyDescent="0.25">
      <c r="A8" s="4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29">
        <f t="shared" si="0"/>
        <v>1</v>
      </c>
      <c r="Z8" s="30">
        <v>5.0000000000000001E-3</v>
      </c>
      <c r="AA8" s="31">
        <v>46191</v>
      </c>
    </row>
    <row r="9" spans="1:27" x14ac:dyDescent="0.25">
      <c r="A9" s="4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3.7500000000000012E-2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3.7500000000000012E-2</v>
      </c>
      <c r="N9" s="5">
        <v>0</v>
      </c>
      <c r="O9" s="5">
        <v>3.7500000000000012E-2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3.7500000000000012E-2</v>
      </c>
      <c r="X9" s="5">
        <v>0.57999999999999996</v>
      </c>
      <c r="Y9" s="29">
        <f t="shared" si="0"/>
        <v>1.0000000000000002</v>
      </c>
      <c r="Z9" s="30">
        <v>1.2E-2</v>
      </c>
      <c r="AA9" s="31">
        <v>46197</v>
      </c>
    </row>
    <row r="11" spans="1:27" ht="14.5" customHeight="1" x14ac:dyDescent="0.3">
      <c r="A11" s="28" t="s">
        <v>58</v>
      </c>
    </row>
  </sheetData>
  <mergeCells count="1">
    <mergeCell ref="A1:C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showGridLines="0" workbookViewId="0">
      <selection activeCell="F24" sqref="F24"/>
    </sheetView>
  </sheetViews>
  <sheetFormatPr defaultRowHeight="14" x14ac:dyDescent="0.25"/>
  <cols>
    <col min="1" max="1" width="12" style="27" customWidth="1"/>
  </cols>
  <sheetData>
    <row r="1" spans="1:24" ht="19.5" customHeight="1" x14ac:dyDescent="0.4">
      <c r="A1" s="39" t="s">
        <v>59</v>
      </c>
      <c r="B1" s="40"/>
      <c r="C1" s="40"/>
      <c r="D1" s="40"/>
    </row>
    <row r="2" spans="1:24" x14ac:dyDescent="0.25">
      <c r="A2" s="9">
        <f ca="1">TODAY()</f>
        <v>46203</v>
      </c>
    </row>
    <row r="3" spans="1:24" ht="25" x14ac:dyDescent="0.25">
      <c r="A3" s="25" t="s">
        <v>60</v>
      </c>
      <c r="B3" s="6" t="str">
        <f>实盘持仓配置!B3</f>
        <v>000216.OF</v>
      </c>
      <c r="C3" s="6" t="str">
        <f>实盘持仓配置!C3</f>
        <v>000917.OF</v>
      </c>
      <c r="D3" s="6" t="str">
        <f>实盘持仓配置!D3</f>
        <v>001170.OF</v>
      </c>
      <c r="E3" s="6" t="str">
        <f>实盘持仓配置!E3</f>
        <v>007044.OF</v>
      </c>
      <c r="F3" s="6" t="str">
        <f>实盘持仓配置!F3</f>
        <v>007045.OF</v>
      </c>
      <c r="G3" s="6" t="str">
        <f>实盘持仓配置!G3</f>
        <v>007817.OF</v>
      </c>
      <c r="H3" s="6" t="str">
        <f>实盘持仓配置!H3</f>
        <v>007818.OF</v>
      </c>
      <c r="I3" s="6" t="str">
        <f>实盘持仓配置!I3</f>
        <v>009993.OF</v>
      </c>
      <c r="J3" s="6" t="str">
        <f>实盘持仓配置!J3</f>
        <v>013840.OF</v>
      </c>
      <c r="K3" s="6" t="str">
        <f>实盘持仓配置!K3</f>
        <v>013841.OF</v>
      </c>
      <c r="L3" s="6" t="str">
        <f>实盘持仓配置!L3</f>
        <v>014201.OF</v>
      </c>
      <c r="M3" s="6" t="str">
        <f>实盘持仓配置!M3</f>
        <v>014202.OF</v>
      </c>
      <c r="N3" s="6" t="str">
        <f>实盘持仓配置!N3</f>
        <v>015453.OF</v>
      </c>
      <c r="O3" s="6" t="str">
        <f>实盘持仓配置!O3</f>
        <v>015454.OF</v>
      </c>
      <c r="P3" s="6" t="str">
        <f>实盘持仓配置!P3</f>
        <v>016370.OF</v>
      </c>
      <c r="Q3" s="6" t="str">
        <f>实盘持仓配置!Q3</f>
        <v>017488.OF</v>
      </c>
      <c r="R3" s="6" t="str">
        <f>实盘持仓配置!R3</f>
        <v>017489.OF</v>
      </c>
      <c r="S3" s="6" t="str">
        <f>实盘持仓配置!S3</f>
        <v>017612.OF</v>
      </c>
      <c r="T3" s="6" t="str">
        <f>实盘持仓配置!T3</f>
        <v>019632.OF</v>
      </c>
      <c r="U3" s="6" t="str">
        <f>实盘持仓配置!U3</f>
        <v>019633.OF</v>
      </c>
      <c r="V3" s="6" t="str">
        <f>实盘持仓配置!V3</f>
        <v>019923.OF</v>
      </c>
      <c r="W3" s="6" t="str">
        <f>实盘持仓配置!W3</f>
        <v>019924.OF</v>
      </c>
      <c r="X3" s="6" t="str">
        <f>实盘持仓配置!X3</f>
        <v>161119.OF</v>
      </c>
    </row>
    <row r="4" spans="1:24" ht="52" customHeight="1" x14ac:dyDescent="0.25">
      <c r="A4" s="25" t="str">
        <f ca="1">[1]!HX_AutoDate(1,"2026-06-18",A2,-1,-1,0,0,0,0,0,"SSE",8,0)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</row>
    <row r="5" spans="1:24" x14ac:dyDescent="0.25">
      <c r="A5" s="31">
        <v>46191</v>
      </c>
      <c r="B5" s="32">
        <f>IF($A5="","",[1]!thsiFinD("ths_adjustment_nv_fund",B$3,$A5))</f>
        <v>3.2441</v>
      </c>
      <c r="C5" s="32">
        <f>IF($A5="","",[1]!thsiFinD("ths_adjustment_nv_fund",C$3,$A5))</f>
        <v>1.3172784822000001</v>
      </c>
      <c r="D5" s="32">
        <f>IF($A5="","",[1]!thsiFinD("ths_adjustment_nv_fund",D$3,$A5))</f>
        <v>6.0620000000000003</v>
      </c>
      <c r="E5" s="32">
        <f>IF($A5="","",[1]!thsiFinD("ths_adjustment_nv_fund",E$3,$A5))</f>
        <v>1.9903999999999999</v>
      </c>
      <c r="F5" s="32">
        <f>IF($A5="","",[1]!thsiFinD("ths_adjustment_nv_fund",F$3,$A5))</f>
        <v>1.9343999999999999</v>
      </c>
      <c r="G5" s="32">
        <f>IF($A5="","",[1]!thsiFinD("ths_adjustment_nv_fund",G$3,$A5))</f>
        <v>5.0274999999999999</v>
      </c>
      <c r="H5" s="32">
        <f>IF($A5="","",[1]!thsiFinD("ths_adjustment_nv_fund",H$3,$A5))</f>
        <v>4.9215</v>
      </c>
      <c r="I5" s="32">
        <f>IF($A5="","",[1]!thsiFinD("ths_adjustment_nv_fund",I$3,$A5))</f>
        <v>2.9226000000000001</v>
      </c>
      <c r="J5" s="32">
        <f>IF($A5="","",[1]!thsiFinD("ths_adjustment_nv_fund",J$3,$A5))</f>
        <v>3.0303</v>
      </c>
      <c r="K5" s="32">
        <f>IF($A5="","",[1]!thsiFinD("ths_adjustment_nv_fund",K$3,$A5))</f>
        <v>3.0028999999999999</v>
      </c>
      <c r="L5" s="32">
        <f>IF($A5="","",[1]!thsiFinD("ths_adjustment_nv_fund",L$3,$A5))</f>
        <v>1.7014</v>
      </c>
      <c r="M5" s="32">
        <f>IF($A5="","",[1]!thsiFinD("ths_adjustment_nv_fund",M$3,$A5))</f>
        <v>1.679</v>
      </c>
      <c r="N5" s="32">
        <f>IF($A5="","",[1]!thsiFinD("ths_adjustment_nv_fund",N$3,$A5))</f>
        <v>1.6274999999999999</v>
      </c>
      <c r="O5" s="32">
        <f>IF($A5="","",[1]!thsiFinD("ths_adjustment_nv_fund",O$3,$A5))</f>
        <v>1.5879000000000001</v>
      </c>
      <c r="P5" s="32">
        <f>IF($A5="","",[1]!thsiFinD("ths_adjustment_nv_fund",P$3,$A5))</f>
        <v>3.6402000000000001</v>
      </c>
      <c r="Q5" s="32">
        <f>IF($A5="","",[1]!thsiFinD("ths_adjustment_nv_fund",Q$3,$A5))</f>
        <v>4.3864000000000001</v>
      </c>
      <c r="R5" s="32">
        <f>IF($A5="","",[1]!thsiFinD("ths_adjustment_nv_fund",R$3,$A5))</f>
        <v>4.2961999999999998</v>
      </c>
      <c r="S5" s="32">
        <f>IF($A5="","",[1]!thsiFinD("ths_adjustment_nv_fund",S$3,$A5))</f>
        <v>6.0010000000000003</v>
      </c>
      <c r="T5" s="32">
        <f>IF($A5="","",[1]!thsiFinD("ths_adjustment_nv_fund",T$3,$A5))</f>
        <v>2.9918</v>
      </c>
      <c r="U5" s="32">
        <f>IF($A5="","",[1]!thsiFinD("ths_adjustment_nv_fund",U$3,$A5))</f>
        <v>2.9763999999999999</v>
      </c>
      <c r="V5" s="32">
        <f>IF($A5="","",[1]!thsiFinD("ths_adjustment_nv_fund",V$3,$A5))</f>
        <v>2.1385999999999998</v>
      </c>
      <c r="W5" s="32">
        <f>IF($A5="","",[1]!thsiFinD("ths_adjustment_nv_fund",W$3,$A5))</f>
        <v>2.1181000000000001</v>
      </c>
      <c r="X5" s="32">
        <f>IF($A5="","",[1]!thsiFinD("ths_adjustment_nv_fund",X$3,$A5))</f>
        <v>1.7868999999999999</v>
      </c>
    </row>
    <row r="6" spans="1:24" x14ac:dyDescent="0.25">
      <c r="A6" s="31">
        <v>46195</v>
      </c>
      <c r="B6" s="32">
        <f>IF($A6="","",[1]!thsiFinD("ths_adjustment_nv_fund",B$3,$A6))</f>
        <v>3.1680000000000001</v>
      </c>
      <c r="C6" s="32">
        <f>IF($A6="","",[1]!thsiFinD("ths_adjustment_nv_fund",C$3,$A6))</f>
        <v>1.3174603815000001</v>
      </c>
      <c r="D6" s="32">
        <f>IF($A6="","",[1]!thsiFinD("ths_adjustment_nv_fund",D$3,$A6))</f>
        <v>6.2590000000000003</v>
      </c>
      <c r="E6" s="32">
        <f>IF($A6="","",[1]!thsiFinD("ths_adjustment_nv_fund",E$3,$A6))</f>
        <v>2.0345</v>
      </c>
      <c r="F6" s="32">
        <f>IF($A6="","",[1]!thsiFinD("ths_adjustment_nv_fund",F$3,$A6))</f>
        <v>1.9772000000000001</v>
      </c>
      <c r="G6" s="32">
        <f>IF($A6="","",[1]!thsiFinD("ths_adjustment_nv_fund",G$3,$A6))</f>
        <v>5.1120999999999999</v>
      </c>
      <c r="H6" s="32">
        <f>IF($A6="","",[1]!thsiFinD("ths_adjustment_nv_fund",H$3,$A6))</f>
        <v>5.0042</v>
      </c>
      <c r="I6" s="32">
        <f>IF($A6="","",[1]!thsiFinD("ths_adjustment_nv_fund",I$3,$A6))</f>
        <v>2.9904999999999999</v>
      </c>
      <c r="J6" s="32">
        <f>IF($A6="","",[1]!thsiFinD("ths_adjustment_nv_fund",J$3,$A6))</f>
        <v>3.0779000000000001</v>
      </c>
      <c r="K6" s="32">
        <f>IF($A6="","",[1]!thsiFinD("ths_adjustment_nv_fund",K$3,$A6))</f>
        <v>3.05</v>
      </c>
      <c r="L6" s="32">
        <f>IF($A6="","",[1]!thsiFinD("ths_adjustment_nv_fund",L$3,$A6))</f>
        <v>1.7336</v>
      </c>
      <c r="M6" s="32">
        <f>IF($A6="","",[1]!thsiFinD("ths_adjustment_nv_fund",M$3,$A6))</f>
        <v>1.7107000000000001</v>
      </c>
      <c r="N6" s="32">
        <f>IF($A6="","",[1]!thsiFinD("ths_adjustment_nv_fund",N$3,$A6))</f>
        <v>1.6669</v>
      </c>
      <c r="O6" s="32">
        <f>IF($A6="","",[1]!thsiFinD("ths_adjustment_nv_fund",O$3,$A6))</f>
        <v>1.6263000000000001</v>
      </c>
      <c r="P6" s="32">
        <f>IF($A6="","",[1]!thsiFinD("ths_adjustment_nv_fund",P$3,$A6))</f>
        <v>3.7212000000000001</v>
      </c>
      <c r="Q6" s="32">
        <f>IF($A6="","",[1]!thsiFinD("ths_adjustment_nv_fund",Q$3,$A6))</f>
        <v>4.5077999999999996</v>
      </c>
      <c r="R6" s="32">
        <f>IF($A6="","",[1]!thsiFinD("ths_adjustment_nv_fund",R$3,$A6))</f>
        <v>4.4147999999999996</v>
      </c>
      <c r="S6" s="32">
        <f>IF($A6="","",[1]!thsiFinD("ths_adjustment_nv_fund",S$3,$A6))</f>
        <v>6.1959999999999997</v>
      </c>
      <c r="T6" s="32">
        <f>IF($A6="","",[1]!thsiFinD("ths_adjustment_nv_fund",T$3,$A6))</f>
        <v>3.0754000000000001</v>
      </c>
      <c r="U6" s="32">
        <f>IF($A6="","",[1]!thsiFinD("ths_adjustment_nv_fund",U$3,$A6))</f>
        <v>3.0594999999999999</v>
      </c>
      <c r="V6" s="32">
        <f>IF($A6="","",[1]!thsiFinD("ths_adjustment_nv_fund",V$3,$A6))</f>
        <v>2.1396999999999999</v>
      </c>
      <c r="W6" s="32">
        <f>IF($A6="","",[1]!thsiFinD("ths_adjustment_nv_fund",W$3,$A6))</f>
        <v>2.1191</v>
      </c>
      <c r="X6" s="32">
        <f>IF($A6="","",[1]!thsiFinD("ths_adjustment_nv_fund",X$3,$A6))</f>
        <v>1.7870999999999999</v>
      </c>
    </row>
    <row r="7" spans="1:24" x14ac:dyDescent="0.25">
      <c r="A7" s="31">
        <v>46196</v>
      </c>
      <c r="B7" s="32">
        <f>IF($A7="","",[1]!thsiFinD("ths_adjustment_nv_fund",B$3,$A7))</f>
        <v>3.1160000000000001</v>
      </c>
      <c r="C7" s="32">
        <f>IF($A7="","",[1]!thsiFinD("ths_adjustment_nv_fund",C$3,$A7))</f>
        <v>1.3175125002000001</v>
      </c>
      <c r="D7" s="32">
        <f>IF($A7="","",[1]!thsiFinD("ths_adjustment_nv_fund",D$3,$A7))</f>
        <v>5.9960000000000004</v>
      </c>
      <c r="E7" s="32">
        <f>IF($A7="","",[1]!thsiFinD("ths_adjustment_nv_fund",E$3,$A7))</f>
        <v>1.9837</v>
      </c>
      <c r="F7" s="32">
        <f>IF($A7="","",[1]!thsiFinD("ths_adjustment_nv_fund",F$3,$A7))</f>
        <v>1.9278</v>
      </c>
      <c r="G7" s="32">
        <f>IF($A7="","",[1]!thsiFinD("ths_adjustment_nv_fund",G$3,$A7))</f>
        <v>4.9664999999999999</v>
      </c>
      <c r="H7" s="32">
        <f>IF($A7="","",[1]!thsiFinD("ths_adjustment_nv_fund",H$3,$A7))</f>
        <v>4.8616000000000001</v>
      </c>
      <c r="I7" s="32">
        <f>IF($A7="","",[1]!thsiFinD("ths_adjustment_nv_fund",I$3,$A7))</f>
        <v>2.9276</v>
      </c>
      <c r="J7" s="32">
        <f>IF($A7="","",[1]!thsiFinD("ths_adjustment_nv_fund",J$3,$A7))</f>
        <v>3.1004999999999998</v>
      </c>
      <c r="K7" s="32">
        <f>IF($A7="","",[1]!thsiFinD("ths_adjustment_nv_fund",K$3,$A7))</f>
        <v>3.0724</v>
      </c>
      <c r="L7" s="32">
        <f>IF($A7="","",[1]!thsiFinD("ths_adjustment_nv_fund",L$3,$A7))</f>
        <v>1.6997</v>
      </c>
      <c r="M7" s="32">
        <f>IF($A7="","",[1]!thsiFinD("ths_adjustment_nv_fund",M$3,$A7))</f>
        <v>1.6772</v>
      </c>
      <c r="N7" s="32">
        <f>IF($A7="","",[1]!thsiFinD("ths_adjustment_nv_fund",N$3,$A7))</f>
        <v>1.6389</v>
      </c>
      <c r="O7" s="32">
        <f>IF($A7="","",[1]!thsiFinD("ths_adjustment_nv_fund",O$3,$A7))</f>
        <v>1.5989</v>
      </c>
      <c r="P7" s="32">
        <f>IF($A7="","",[1]!thsiFinD("ths_adjustment_nv_fund",P$3,$A7))</f>
        <v>3.6162000000000001</v>
      </c>
      <c r="Q7" s="32">
        <f>IF($A7="","",[1]!thsiFinD("ths_adjustment_nv_fund",Q$3,$A7))</f>
        <v>4.4028</v>
      </c>
      <c r="R7" s="32">
        <f>IF($A7="","",[1]!thsiFinD("ths_adjustment_nv_fund",R$3,$A7))</f>
        <v>4.3118999999999996</v>
      </c>
      <c r="S7" s="32">
        <f>IF($A7="","",[1]!thsiFinD("ths_adjustment_nv_fund",S$3,$A7))</f>
        <v>5.9349999999999996</v>
      </c>
      <c r="T7" s="32">
        <f>IF($A7="","",[1]!thsiFinD("ths_adjustment_nv_fund",T$3,$A7))</f>
        <v>3.0746000000000002</v>
      </c>
      <c r="U7" s="32">
        <f>IF($A7="","",[1]!thsiFinD("ths_adjustment_nv_fund",U$3,$A7))</f>
        <v>3.0587</v>
      </c>
      <c r="V7" s="32">
        <f>IF($A7="","",[1]!thsiFinD("ths_adjustment_nv_fund",V$3,$A7))</f>
        <v>2.1276000000000002</v>
      </c>
      <c r="W7" s="32">
        <f>IF($A7="","",[1]!thsiFinD("ths_adjustment_nv_fund",W$3,$A7))</f>
        <v>2.1071</v>
      </c>
      <c r="X7" s="32">
        <f>IF($A7="","",[1]!thsiFinD("ths_adjustment_nv_fund",X$3,$A7))</f>
        <v>1.7863</v>
      </c>
    </row>
    <row r="8" spans="1:24" x14ac:dyDescent="0.25">
      <c r="A8" s="31">
        <v>46197</v>
      </c>
      <c r="B8" s="32">
        <f>IF($A8="","",[1]!thsiFinD("ths_adjustment_nv_fund",B$3,$A8))</f>
        <v>3.0983999999999998</v>
      </c>
      <c r="C8" s="32">
        <f>IF($A8="","",[1]!thsiFinD("ths_adjustment_nv_fund",C$3,$A8))</f>
        <v>1.3175573088000001</v>
      </c>
      <c r="D8" s="32">
        <f>IF($A8="","",[1]!thsiFinD("ths_adjustment_nv_fund",D$3,$A8))</f>
        <v>6.1130000000000004</v>
      </c>
      <c r="E8" s="32">
        <f>IF($A8="","",[1]!thsiFinD("ths_adjustment_nv_fund",E$3,$A8))</f>
        <v>1.9931000000000001</v>
      </c>
      <c r="F8" s="32">
        <f>IF($A8="","",[1]!thsiFinD("ths_adjustment_nv_fund",F$3,$A8))</f>
        <v>1.9369000000000001</v>
      </c>
      <c r="G8" s="32">
        <f>IF($A8="","",[1]!thsiFinD("ths_adjustment_nv_fund",G$3,$A8))</f>
        <v>5.0423</v>
      </c>
      <c r="H8" s="32">
        <f>IF($A8="","",[1]!thsiFinD("ths_adjustment_nv_fund",H$3,$A8))</f>
        <v>4.9356999999999998</v>
      </c>
      <c r="I8" s="32">
        <f>IF($A8="","",[1]!thsiFinD("ths_adjustment_nv_fund",I$3,$A8))</f>
        <v>3.0529000000000002</v>
      </c>
      <c r="J8" s="32">
        <f>IF($A8="","",[1]!thsiFinD("ths_adjustment_nv_fund",J$3,$A8))</f>
        <v>3.3530000000000002</v>
      </c>
      <c r="K8" s="32">
        <f>IF($A8="","",[1]!thsiFinD("ths_adjustment_nv_fund",K$3,$A8))</f>
        <v>3.3226</v>
      </c>
      <c r="L8" s="32">
        <f>IF($A8="","",[1]!thsiFinD("ths_adjustment_nv_fund",L$3,$A8))</f>
        <v>1.7213000000000001</v>
      </c>
      <c r="M8" s="32">
        <f>IF($A8="","",[1]!thsiFinD("ths_adjustment_nv_fund",M$3,$A8))</f>
        <v>1.6984999999999999</v>
      </c>
      <c r="N8" s="32">
        <f>IF($A8="","",[1]!thsiFinD("ths_adjustment_nv_fund",N$3,$A8))</f>
        <v>1.6618999999999999</v>
      </c>
      <c r="O8" s="32">
        <f>IF($A8="","",[1]!thsiFinD("ths_adjustment_nv_fund",O$3,$A8))</f>
        <v>1.6214</v>
      </c>
      <c r="P8" s="32">
        <f>IF($A8="","",[1]!thsiFinD("ths_adjustment_nv_fund",P$3,$A8))</f>
        <v>3.7086999999999999</v>
      </c>
      <c r="Q8" s="32">
        <f>IF($A8="","",[1]!thsiFinD("ths_adjustment_nv_fund",Q$3,$A8))</f>
        <v>4.5109000000000004</v>
      </c>
      <c r="R8" s="32">
        <f>IF($A8="","",[1]!thsiFinD("ths_adjustment_nv_fund",R$3,$A8))</f>
        <v>4.4177</v>
      </c>
      <c r="S8" s="32">
        <f>IF($A8="","",[1]!thsiFinD("ths_adjustment_nv_fund",S$3,$A8))</f>
        <v>6.0510000000000002</v>
      </c>
      <c r="T8" s="32">
        <f>IF($A8="","",[1]!thsiFinD("ths_adjustment_nv_fund",T$3,$A8))</f>
        <v>3.2309000000000001</v>
      </c>
      <c r="U8" s="32">
        <f>IF($A8="","",[1]!thsiFinD("ths_adjustment_nv_fund",U$3,$A8))</f>
        <v>3.2141000000000002</v>
      </c>
      <c r="V8" s="32">
        <f>IF($A8="","",[1]!thsiFinD("ths_adjustment_nv_fund",V$3,$A8))</f>
        <v>2.1312000000000002</v>
      </c>
      <c r="W8" s="32">
        <f>IF($A8="","",[1]!thsiFinD("ths_adjustment_nv_fund",W$3,$A8))</f>
        <v>2.1107</v>
      </c>
      <c r="X8" s="32">
        <f>IF($A8="","",[1]!thsiFinD("ths_adjustment_nv_fund",X$3,$A8))</f>
        <v>1.7862</v>
      </c>
    </row>
    <row r="9" spans="1:24" x14ac:dyDescent="0.25">
      <c r="A9" s="31">
        <v>46198</v>
      </c>
      <c r="B9" s="32">
        <f>IF($A9="","",[1]!thsiFinD("ths_adjustment_nv_fund",B$3,$A9))</f>
        <v>3.0308999999999999</v>
      </c>
      <c r="C9" s="32">
        <f>IF($A9="","",[1]!thsiFinD("ths_adjustment_nv_fund",C$3,$A9))</f>
        <v>1.3176050703</v>
      </c>
      <c r="D9" s="32">
        <f>IF($A9="","",[1]!thsiFinD("ths_adjustment_nv_fund",D$3,$A9))</f>
        <v>6.3120000000000003</v>
      </c>
      <c r="E9" s="32">
        <f>IF($A9="","",[1]!thsiFinD("ths_adjustment_nv_fund",E$3,$A9))</f>
        <v>2.0205000000000002</v>
      </c>
      <c r="F9" s="32">
        <f>IF($A9="","",[1]!thsiFinD("ths_adjustment_nv_fund",F$3,$A9))</f>
        <v>1.9635</v>
      </c>
      <c r="G9" s="32">
        <f>IF($A9="","",[1]!thsiFinD("ths_adjustment_nv_fund",G$3,$A9))</f>
        <v>5.1944999999999997</v>
      </c>
      <c r="H9" s="32">
        <f>IF($A9="","",[1]!thsiFinD("ths_adjustment_nv_fund",H$3,$A9))</f>
        <v>5.0848000000000004</v>
      </c>
      <c r="I9" s="32">
        <f>IF($A9="","",[1]!thsiFinD("ths_adjustment_nv_fund",I$3,$A9))</f>
        <v>3.1735000000000002</v>
      </c>
      <c r="J9" s="32">
        <f>IF($A9="","",[1]!thsiFinD("ths_adjustment_nv_fund",J$3,$A9))</f>
        <v>3.4601999999999999</v>
      </c>
      <c r="K9" s="32">
        <f>IF($A9="","",[1]!thsiFinD("ths_adjustment_nv_fund",K$3,$A9))</f>
        <v>3.4287000000000001</v>
      </c>
      <c r="L9" s="32">
        <f>IF($A9="","",[1]!thsiFinD("ths_adjustment_nv_fund",L$3,$A9))</f>
        <v>1.7283999999999999</v>
      </c>
      <c r="M9" s="32">
        <f>IF($A9="","",[1]!thsiFinD("ths_adjustment_nv_fund",M$3,$A9))</f>
        <v>1.7056</v>
      </c>
      <c r="N9" s="32">
        <f>IF($A9="","",[1]!thsiFinD("ths_adjustment_nv_fund",N$3,$A9))</f>
        <v>1.6739999999999999</v>
      </c>
      <c r="O9" s="32">
        <f>IF($A9="","",[1]!thsiFinD("ths_adjustment_nv_fund",O$3,$A9))</f>
        <v>1.6331</v>
      </c>
      <c r="P9" s="32">
        <f>IF($A9="","",[1]!thsiFinD("ths_adjustment_nv_fund",P$3,$A9))</f>
        <v>3.8424</v>
      </c>
      <c r="Q9" s="32">
        <f>IF($A9="","",[1]!thsiFinD("ths_adjustment_nv_fund",Q$3,$A9))</f>
        <v>4.6886000000000001</v>
      </c>
      <c r="R9" s="32">
        <f>IF($A9="","",[1]!thsiFinD("ths_adjustment_nv_fund",R$3,$A9))</f>
        <v>4.5915999999999997</v>
      </c>
      <c r="S9" s="32">
        <f>IF($A9="","",[1]!thsiFinD("ths_adjustment_nv_fund",S$3,$A9))</f>
        <v>6.2480000000000002</v>
      </c>
      <c r="T9" s="32">
        <f>IF($A9="","",[1]!thsiFinD("ths_adjustment_nv_fund",T$3,$A9))</f>
        <v>3.3209</v>
      </c>
      <c r="U9" s="32">
        <f>IF($A9="","",[1]!thsiFinD("ths_adjustment_nv_fund",U$3,$A9))</f>
        <v>3.3035999999999999</v>
      </c>
      <c r="V9" s="32">
        <f>IF($A9="","",[1]!thsiFinD("ths_adjustment_nv_fund",V$3,$A9))</f>
        <v>2.1113</v>
      </c>
      <c r="W9" s="32">
        <f>IF($A9="","",[1]!thsiFinD("ths_adjustment_nv_fund",W$3,$A9))</f>
        <v>2.0909</v>
      </c>
      <c r="X9" s="32">
        <f>IF($A9="","",[1]!thsiFinD("ths_adjustment_nv_fund",X$3,$A9))</f>
        <v>1.7875000000000001</v>
      </c>
    </row>
    <row r="10" spans="1:24" x14ac:dyDescent="0.25">
      <c r="A10" s="31">
        <v>46199</v>
      </c>
      <c r="B10" s="32">
        <f>IF($A10="","",[1]!thsiFinD("ths_adjustment_nv_fund",B$3,$A10))</f>
        <v>3.0598000000000001</v>
      </c>
      <c r="C10" s="32">
        <f>IF($A10="","",[1]!thsiFinD("ths_adjustment_nv_fund",C$3,$A10))</f>
        <v>1.3176496975</v>
      </c>
      <c r="D10" s="32">
        <f>IF($A10="","",[1]!thsiFinD("ths_adjustment_nv_fund",D$3,$A10))</f>
        <v>5.99</v>
      </c>
      <c r="E10" s="32">
        <f>IF($A10="","",[1]!thsiFinD("ths_adjustment_nv_fund",E$3,$A10))</f>
        <v>1.9618</v>
      </c>
      <c r="F10" s="32">
        <f>IF($A10="","",[1]!thsiFinD("ths_adjustment_nv_fund",F$3,$A10))</f>
        <v>1.9065000000000001</v>
      </c>
      <c r="G10" s="32">
        <f>IF($A10="","",[1]!thsiFinD("ths_adjustment_nv_fund",G$3,$A10))</f>
        <v>4.8685</v>
      </c>
      <c r="H10" s="32">
        <f>IF($A10="","",[1]!thsiFinD("ths_adjustment_nv_fund",H$3,$A10))</f>
        <v>4.7655000000000003</v>
      </c>
      <c r="I10" s="32">
        <f>IF($A10="","",[1]!thsiFinD("ths_adjustment_nv_fund",I$3,$A10))</f>
        <v>3.0956000000000001</v>
      </c>
      <c r="J10" s="32">
        <f>IF($A10="","",[1]!thsiFinD("ths_adjustment_nv_fund",J$3,$A10))</f>
        <v>3.5710000000000002</v>
      </c>
      <c r="K10" s="32">
        <f>IF($A10="","",[1]!thsiFinD("ths_adjustment_nv_fund",K$3,$A10))</f>
        <v>3.5386000000000002</v>
      </c>
      <c r="L10" s="32">
        <f>IF($A10="","",[1]!thsiFinD("ths_adjustment_nv_fund",L$3,$A10))</f>
        <v>1.6812</v>
      </c>
      <c r="M10" s="32">
        <f>IF($A10="","",[1]!thsiFinD("ths_adjustment_nv_fund",M$3,$A10))</f>
        <v>1.6589</v>
      </c>
      <c r="N10" s="32">
        <f>IF($A10="","",[1]!thsiFinD("ths_adjustment_nv_fund",N$3,$A10))</f>
        <v>1.6269</v>
      </c>
      <c r="O10" s="32">
        <f>IF($A10="","",[1]!thsiFinD("ths_adjustment_nv_fund",O$3,$A10))</f>
        <v>1.5871</v>
      </c>
      <c r="P10" s="32">
        <f>IF($A10="","",[1]!thsiFinD("ths_adjustment_nv_fund",P$3,$A10))</f>
        <v>3.5971000000000002</v>
      </c>
      <c r="Q10" s="32">
        <f>IF($A10="","",[1]!thsiFinD("ths_adjustment_nv_fund",Q$3,$A10))</f>
        <v>4.4157999999999999</v>
      </c>
      <c r="R10" s="32">
        <f>IF($A10="","",[1]!thsiFinD("ths_adjustment_nv_fund",R$3,$A10))</f>
        <v>4.3243999999999998</v>
      </c>
      <c r="S10" s="32">
        <f>IF($A10="","",[1]!thsiFinD("ths_adjustment_nv_fund",S$3,$A10))</f>
        <v>5.93</v>
      </c>
      <c r="T10" s="32">
        <f>IF($A10="","",[1]!thsiFinD("ths_adjustment_nv_fund",T$3,$A10))</f>
        <v>3.4331</v>
      </c>
      <c r="U10" s="32">
        <f>IF($A10="","",[1]!thsiFinD("ths_adjustment_nv_fund",U$3,$A10))</f>
        <v>3.4152999999999998</v>
      </c>
      <c r="V10" s="32">
        <f>IF($A10="","",[1]!thsiFinD("ths_adjustment_nv_fund",V$3,$A10))</f>
        <v>2.0535000000000001</v>
      </c>
      <c r="W10" s="32">
        <f>IF($A10="","",[1]!thsiFinD("ths_adjustment_nv_fund",W$3,$A10))</f>
        <v>2.0337000000000001</v>
      </c>
      <c r="X10" s="32">
        <f>IF($A10="","",[1]!thsiFinD("ths_adjustment_nv_fund",X$3,$A10))</f>
        <v>1.788</v>
      </c>
    </row>
    <row r="11" spans="1:24" x14ac:dyDescent="0.25">
      <c r="A11" s="31">
        <v>46202</v>
      </c>
      <c r="B11" s="32">
        <f>IF($A11="","",[1]!thsiFinD("ths_adjustment_nv_fund",B$3,$A11))</f>
        <v>3.0722999999999998</v>
      </c>
      <c r="C11" s="32">
        <f>IF($A11="","",[1]!thsiFinD("ths_adjustment_nv_fund",C$3,$A11))</f>
        <v>1.3177907965</v>
      </c>
      <c r="D11" s="32">
        <f>IF($A11="","",[1]!thsiFinD("ths_adjustment_nv_fund",D$3,$A11))</f>
        <v>5.7949999999999999</v>
      </c>
      <c r="E11" s="32">
        <f>IF($A11="","",[1]!thsiFinD("ths_adjustment_nv_fund",E$3,$A11))</f>
        <v>1.9811000000000001</v>
      </c>
      <c r="F11" s="32">
        <f>IF($A11="","",[1]!thsiFinD("ths_adjustment_nv_fund",F$3,$A11))</f>
        <v>1.9252</v>
      </c>
      <c r="G11" s="32">
        <f>IF($A11="","",[1]!thsiFinD("ths_adjustment_nv_fund",G$3,$A11))</f>
        <v>4.7591999999999999</v>
      </c>
      <c r="H11" s="32">
        <f>IF($A11="","",[1]!thsiFinD("ths_adjustment_nv_fund",H$3,$A11))</f>
        <v>4.6585000000000001</v>
      </c>
      <c r="I11" s="32">
        <f>IF($A11="","",[1]!thsiFinD("ths_adjustment_nv_fund",I$3,$A11))</f>
        <v>3.1442000000000001</v>
      </c>
      <c r="J11" s="32">
        <f>IF($A11="","",[1]!thsiFinD("ths_adjustment_nv_fund",J$3,$A11))</f>
        <v>3.8559000000000001</v>
      </c>
      <c r="K11" s="32">
        <f>IF($A11="","",[1]!thsiFinD("ths_adjustment_nv_fund",K$3,$A11))</f>
        <v>3.8208000000000002</v>
      </c>
      <c r="L11" s="32">
        <f>IF($A11="","",[1]!thsiFinD("ths_adjustment_nv_fund",L$3,$A11))</f>
        <v>1.6827000000000001</v>
      </c>
      <c r="M11" s="32">
        <f>IF($A11="","",[1]!thsiFinD("ths_adjustment_nv_fund",M$3,$A11))</f>
        <v>1.6604000000000001</v>
      </c>
      <c r="N11" s="32">
        <f>IF($A11="","",[1]!thsiFinD("ths_adjustment_nv_fund",N$3,$A11))</f>
        <v>1.6415</v>
      </c>
      <c r="O11" s="32">
        <f>IF($A11="","",[1]!thsiFinD("ths_adjustment_nv_fund",O$3,$A11))</f>
        <v>1.6012999999999999</v>
      </c>
      <c r="P11" s="32">
        <f>IF($A11="","",[1]!thsiFinD("ths_adjustment_nv_fund",P$3,$A11))</f>
        <v>3.4931000000000001</v>
      </c>
      <c r="Q11" s="32">
        <f>IF($A11="","",[1]!thsiFinD("ths_adjustment_nv_fund",Q$3,$A11))</f>
        <v>4.3342999999999998</v>
      </c>
      <c r="R11" s="32">
        <f>IF($A11="","",[1]!thsiFinD("ths_adjustment_nv_fund",R$3,$A11))</f>
        <v>4.2443999999999997</v>
      </c>
      <c r="S11" s="32">
        <f>IF($A11="","",[1]!thsiFinD("ths_adjustment_nv_fund",S$3,$A11))</f>
        <v>5.7359999999999998</v>
      </c>
      <c r="T11" s="32">
        <f>IF($A11="","",[1]!thsiFinD("ths_adjustment_nv_fund",T$3,$A11))</f>
        <v>3.7000999999999999</v>
      </c>
      <c r="U11" s="32">
        <f>IF($A11="","",[1]!thsiFinD("ths_adjustment_nv_fund",U$3,$A11))</f>
        <v>3.6808000000000001</v>
      </c>
      <c r="V11" s="32">
        <f>IF($A11="","",[1]!thsiFinD("ths_adjustment_nv_fund",V$3,$A11))</f>
        <v>2.0396999999999998</v>
      </c>
      <c r="W11" s="32">
        <f>IF($A11="","",[1]!thsiFinD("ths_adjustment_nv_fund",W$3,$A11))</f>
        <v>2.02</v>
      </c>
      <c r="X11" s="32">
        <f>IF($A11="","",[1]!thsiFinD("ths_adjustment_nv_fund",X$3,$A11))</f>
        <v>1.7897000000000001</v>
      </c>
    </row>
    <row r="12" spans="1:24" x14ac:dyDescent="0.25">
      <c r="A12" s="31">
        <v>46203</v>
      </c>
      <c r="B12" s="32">
        <f>IF($A12="","",[1]!thsiFinD("ths_adjustment_nv_fund",B$3,$A12))</f>
        <v>3.0722999999999998</v>
      </c>
      <c r="C12" s="32">
        <f>IF($A12="","",[1]!thsiFinD("ths_adjustment_nv_fund",C$3,$A12))</f>
        <v>1.3177907965</v>
      </c>
      <c r="D12" s="32">
        <f>IF($A12="","",[1]!thsiFinD("ths_adjustment_nv_fund",D$3,$A12))</f>
        <v>5.7949999999999999</v>
      </c>
      <c r="E12" s="32">
        <f>IF($A12="","",[1]!thsiFinD("ths_adjustment_nv_fund",E$3,$A12))</f>
        <v>1.9811000000000001</v>
      </c>
      <c r="F12" s="32">
        <f>IF($A12="","",[1]!thsiFinD("ths_adjustment_nv_fund",F$3,$A12))</f>
        <v>1.9252</v>
      </c>
      <c r="G12" s="32">
        <f>IF($A12="","",[1]!thsiFinD("ths_adjustment_nv_fund",G$3,$A12))</f>
        <v>4.7591999999999999</v>
      </c>
      <c r="H12" s="32">
        <f>IF($A12="","",[1]!thsiFinD("ths_adjustment_nv_fund",H$3,$A12))</f>
        <v>4.6585000000000001</v>
      </c>
      <c r="I12" s="32">
        <f>IF($A12="","",[1]!thsiFinD("ths_adjustment_nv_fund",I$3,$A12))</f>
        <v>3.1442000000000001</v>
      </c>
      <c r="J12" s="32">
        <f>IF($A12="","",[1]!thsiFinD("ths_adjustment_nv_fund",J$3,$A12))</f>
        <v>3.8559000000000001</v>
      </c>
      <c r="K12" s="32">
        <f>IF($A12="","",[1]!thsiFinD("ths_adjustment_nv_fund",K$3,$A12))</f>
        <v>3.8208000000000002</v>
      </c>
      <c r="L12" s="32">
        <f>IF($A12="","",[1]!thsiFinD("ths_adjustment_nv_fund",L$3,$A12))</f>
        <v>1.6827000000000001</v>
      </c>
      <c r="M12" s="32">
        <f>IF($A12="","",[1]!thsiFinD("ths_adjustment_nv_fund",M$3,$A12))</f>
        <v>1.6604000000000001</v>
      </c>
      <c r="N12" s="32">
        <f>IF($A12="","",[1]!thsiFinD("ths_adjustment_nv_fund",N$3,$A12))</f>
        <v>1.6415</v>
      </c>
      <c r="O12" s="32">
        <f>IF($A12="","",[1]!thsiFinD("ths_adjustment_nv_fund",O$3,$A12))</f>
        <v>1.6012999999999999</v>
      </c>
      <c r="P12" s="32">
        <f>IF($A12="","",[1]!thsiFinD("ths_adjustment_nv_fund",P$3,$A12))</f>
        <v>3.4931000000000001</v>
      </c>
      <c r="Q12" s="32">
        <f>IF($A12="","",[1]!thsiFinD("ths_adjustment_nv_fund",Q$3,$A12))</f>
        <v>4.3342999999999998</v>
      </c>
      <c r="R12" s="32">
        <f>IF($A12="","",[1]!thsiFinD("ths_adjustment_nv_fund",R$3,$A12))</f>
        <v>4.2443999999999997</v>
      </c>
      <c r="S12" s="32">
        <f>IF($A12="","",[1]!thsiFinD("ths_adjustment_nv_fund",S$3,$A12))</f>
        <v>5.7359999999999998</v>
      </c>
      <c r="T12" s="32">
        <f>IF($A12="","",[1]!thsiFinD("ths_adjustment_nv_fund",T$3,$A12))</f>
        <v>3.7000999999999999</v>
      </c>
      <c r="U12" s="32">
        <f>IF($A12="","",[1]!thsiFinD("ths_adjustment_nv_fund",U$3,$A12))</f>
        <v>3.6808000000000001</v>
      </c>
      <c r="V12" s="32">
        <f>IF($A12="","",[1]!thsiFinD("ths_adjustment_nv_fund",V$3,$A12))</f>
        <v>2.0396999999999998</v>
      </c>
      <c r="W12" s="32">
        <f>IF($A12="","",[1]!thsiFinD("ths_adjustment_nv_fund",W$3,$A12))</f>
        <v>2.02</v>
      </c>
      <c r="X12" s="32">
        <f>IF($A12="","",[1]!thsiFinD("ths_adjustment_nv_fund",X$3,$A12))</f>
        <v>1.7897000000000001</v>
      </c>
    </row>
    <row r="13" spans="1:24" x14ac:dyDescent="0.25">
      <c r="A13" s="31"/>
      <c r="B13" s="32" t="str">
        <f>IF($A13="","",[1]!thsiFinD("ths_adjustment_nv_fund",B$3,$A13))</f>
        <v/>
      </c>
      <c r="C13" s="32" t="str">
        <f>IF($A13="","",[1]!thsiFinD("ths_adjustment_nv_fund",C$3,$A13))</f>
        <v/>
      </c>
      <c r="D13" s="32" t="str">
        <f>IF($A13="","",[1]!thsiFinD("ths_adjustment_nv_fund",D$3,$A13))</f>
        <v/>
      </c>
      <c r="E13" s="32" t="str">
        <f>IF($A13="","",[1]!thsiFinD("ths_adjustment_nv_fund",E$3,$A13))</f>
        <v/>
      </c>
      <c r="F13" s="32" t="str">
        <f>IF($A13="","",[1]!thsiFinD("ths_adjustment_nv_fund",F$3,$A13))</f>
        <v/>
      </c>
      <c r="G13" s="32" t="str">
        <f>IF($A13="","",[1]!thsiFinD("ths_adjustment_nv_fund",G$3,$A13))</f>
        <v/>
      </c>
      <c r="H13" s="32" t="str">
        <f>IF($A13="","",[1]!thsiFinD("ths_adjustment_nv_fund",H$3,$A13))</f>
        <v/>
      </c>
      <c r="I13" s="32" t="str">
        <f>IF($A13="","",[1]!thsiFinD("ths_adjustment_nv_fund",I$3,$A13))</f>
        <v/>
      </c>
      <c r="J13" s="32" t="str">
        <f>IF($A13="","",[1]!thsiFinD("ths_adjustment_nv_fund",J$3,$A13))</f>
        <v/>
      </c>
      <c r="K13" s="32" t="str">
        <f>IF($A13="","",[1]!thsiFinD("ths_adjustment_nv_fund",K$3,$A13))</f>
        <v/>
      </c>
      <c r="L13" s="32" t="str">
        <f>IF($A13="","",[1]!thsiFinD("ths_adjustment_nv_fund",L$3,$A13))</f>
        <v/>
      </c>
      <c r="M13" s="32" t="str">
        <f>IF($A13="","",[1]!thsiFinD("ths_adjustment_nv_fund",M$3,$A13))</f>
        <v/>
      </c>
      <c r="N13" s="32" t="str">
        <f>IF($A13="","",[1]!thsiFinD("ths_adjustment_nv_fund",N$3,$A13))</f>
        <v/>
      </c>
      <c r="O13" s="32" t="str">
        <f>IF($A13="","",[1]!thsiFinD("ths_adjustment_nv_fund",O$3,$A13))</f>
        <v/>
      </c>
      <c r="P13" s="32" t="str">
        <f>IF($A13="","",[1]!thsiFinD("ths_adjustment_nv_fund",P$3,$A13))</f>
        <v/>
      </c>
      <c r="Q13" s="32" t="str">
        <f>IF($A13="","",[1]!thsiFinD("ths_adjustment_nv_fund",Q$3,$A13))</f>
        <v/>
      </c>
      <c r="R13" s="32" t="str">
        <f>IF($A13="","",[1]!thsiFinD("ths_adjustment_nv_fund",R$3,$A13))</f>
        <v/>
      </c>
      <c r="S13" s="32" t="str">
        <f>IF($A13="","",[1]!thsiFinD("ths_adjustment_nv_fund",S$3,$A13))</f>
        <v/>
      </c>
      <c r="T13" s="32" t="str">
        <f>IF($A13="","",[1]!thsiFinD("ths_adjustment_nv_fund",T$3,$A13))</f>
        <v/>
      </c>
      <c r="U13" s="32" t="str">
        <f>IF($A13="","",[1]!thsiFinD("ths_adjustment_nv_fund",U$3,$A13))</f>
        <v/>
      </c>
      <c r="V13" s="32" t="str">
        <f>IF($A13="","",[1]!thsiFinD("ths_adjustment_nv_fund",V$3,$A13))</f>
        <v/>
      </c>
      <c r="W13" s="32" t="str">
        <f>IF($A13="","",[1]!thsiFinD("ths_adjustment_nv_fund",W$3,$A13))</f>
        <v/>
      </c>
      <c r="X13" s="32" t="str">
        <f>IF($A13="","",[1]!thsiFinD("ths_adjustment_nv_fund",X$3,$A13))</f>
        <v/>
      </c>
    </row>
    <row r="14" spans="1:24" x14ac:dyDescent="0.25">
      <c r="A14" s="31"/>
      <c r="B14" s="32" t="str">
        <f>IF($A14="","",[1]!thsiFinD("ths_adjustment_nv_fund",B$3,$A14))</f>
        <v/>
      </c>
      <c r="C14" s="32" t="str">
        <f>IF($A14="","",[1]!thsiFinD("ths_adjustment_nv_fund",C$3,$A14))</f>
        <v/>
      </c>
      <c r="D14" s="32" t="str">
        <f>IF($A14="","",[1]!thsiFinD("ths_adjustment_nv_fund",D$3,$A14))</f>
        <v/>
      </c>
      <c r="E14" s="32" t="str">
        <f>IF($A14="","",[1]!thsiFinD("ths_adjustment_nv_fund",E$3,$A14))</f>
        <v/>
      </c>
      <c r="F14" s="32" t="str">
        <f>IF($A14="","",[1]!thsiFinD("ths_adjustment_nv_fund",F$3,$A14))</f>
        <v/>
      </c>
      <c r="G14" s="32" t="str">
        <f>IF($A14="","",[1]!thsiFinD("ths_adjustment_nv_fund",G$3,$A14))</f>
        <v/>
      </c>
      <c r="H14" s="32" t="str">
        <f>IF($A14="","",[1]!thsiFinD("ths_adjustment_nv_fund",H$3,$A14))</f>
        <v/>
      </c>
      <c r="I14" s="32" t="str">
        <f>IF($A14="","",[1]!thsiFinD("ths_adjustment_nv_fund",I$3,$A14))</f>
        <v/>
      </c>
      <c r="J14" s="32" t="str">
        <f>IF($A14="","",[1]!thsiFinD("ths_adjustment_nv_fund",J$3,$A14))</f>
        <v/>
      </c>
      <c r="K14" s="32" t="str">
        <f>IF($A14="","",[1]!thsiFinD("ths_adjustment_nv_fund",K$3,$A14))</f>
        <v/>
      </c>
      <c r="L14" s="32" t="str">
        <f>IF($A14="","",[1]!thsiFinD("ths_adjustment_nv_fund",L$3,$A14))</f>
        <v/>
      </c>
      <c r="M14" s="32" t="str">
        <f>IF($A14="","",[1]!thsiFinD("ths_adjustment_nv_fund",M$3,$A14))</f>
        <v/>
      </c>
      <c r="N14" s="32" t="str">
        <f>IF($A14="","",[1]!thsiFinD("ths_adjustment_nv_fund",N$3,$A14))</f>
        <v/>
      </c>
      <c r="O14" s="32" t="str">
        <f>IF($A14="","",[1]!thsiFinD("ths_adjustment_nv_fund",O$3,$A14))</f>
        <v/>
      </c>
      <c r="P14" s="32" t="str">
        <f>IF($A14="","",[1]!thsiFinD("ths_adjustment_nv_fund",P$3,$A14))</f>
        <v/>
      </c>
      <c r="Q14" s="32" t="str">
        <f>IF($A14="","",[1]!thsiFinD("ths_adjustment_nv_fund",Q$3,$A14))</f>
        <v/>
      </c>
      <c r="R14" s="32" t="str">
        <f>IF($A14="","",[1]!thsiFinD("ths_adjustment_nv_fund",R$3,$A14))</f>
        <v/>
      </c>
      <c r="S14" s="32" t="str">
        <f>IF($A14="","",[1]!thsiFinD("ths_adjustment_nv_fund",S$3,$A14))</f>
        <v/>
      </c>
      <c r="T14" s="32" t="str">
        <f>IF($A14="","",[1]!thsiFinD("ths_adjustment_nv_fund",T$3,$A14))</f>
        <v/>
      </c>
      <c r="U14" s="32" t="str">
        <f>IF($A14="","",[1]!thsiFinD("ths_adjustment_nv_fund",U$3,$A14))</f>
        <v/>
      </c>
      <c r="V14" s="32" t="str">
        <f>IF($A14="","",[1]!thsiFinD("ths_adjustment_nv_fund",V$3,$A14))</f>
        <v/>
      </c>
      <c r="W14" s="32" t="str">
        <f>IF($A14="","",[1]!thsiFinD("ths_adjustment_nv_fund",W$3,$A14))</f>
        <v/>
      </c>
      <c r="X14" s="32" t="str">
        <f>IF($A14="","",[1]!thsiFinD("ths_adjustment_nv_fund",X$3,$A14))</f>
        <v/>
      </c>
    </row>
    <row r="15" spans="1:24" x14ac:dyDescent="0.25">
      <c r="A15" s="31"/>
      <c r="B15" s="32" t="str">
        <f>IF($A15="","",[1]!thsiFinD("ths_adjustment_nv_fund",B$3,$A15))</f>
        <v/>
      </c>
      <c r="C15" s="32" t="str">
        <f>IF($A15="","",[1]!thsiFinD("ths_adjustment_nv_fund",C$3,$A15))</f>
        <v/>
      </c>
      <c r="D15" s="32" t="str">
        <f>IF($A15="","",[1]!thsiFinD("ths_adjustment_nv_fund",D$3,$A15))</f>
        <v/>
      </c>
      <c r="E15" s="32" t="str">
        <f>IF($A15="","",[1]!thsiFinD("ths_adjustment_nv_fund",E$3,$A15))</f>
        <v/>
      </c>
      <c r="F15" s="32" t="str">
        <f>IF($A15="","",[1]!thsiFinD("ths_adjustment_nv_fund",F$3,$A15))</f>
        <v/>
      </c>
      <c r="G15" s="32" t="str">
        <f>IF($A15="","",[1]!thsiFinD("ths_adjustment_nv_fund",G$3,$A15))</f>
        <v/>
      </c>
      <c r="H15" s="32" t="str">
        <f>IF($A15="","",[1]!thsiFinD("ths_adjustment_nv_fund",H$3,$A15))</f>
        <v/>
      </c>
      <c r="I15" s="32" t="str">
        <f>IF($A15="","",[1]!thsiFinD("ths_adjustment_nv_fund",I$3,$A15))</f>
        <v/>
      </c>
      <c r="J15" s="32" t="str">
        <f>IF($A15="","",[1]!thsiFinD("ths_adjustment_nv_fund",J$3,$A15))</f>
        <v/>
      </c>
      <c r="K15" s="32" t="str">
        <f>IF($A15="","",[1]!thsiFinD("ths_adjustment_nv_fund",K$3,$A15))</f>
        <v/>
      </c>
      <c r="L15" s="32" t="str">
        <f>IF($A15="","",[1]!thsiFinD("ths_adjustment_nv_fund",L$3,$A15))</f>
        <v/>
      </c>
      <c r="M15" s="32" t="str">
        <f>IF($A15="","",[1]!thsiFinD("ths_adjustment_nv_fund",M$3,$A15))</f>
        <v/>
      </c>
      <c r="N15" s="32" t="str">
        <f>IF($A15="","",[1]!thsiFinD("ths_adjustment_nv_fund",N$3,$A15))</f>
        <v/>
      </c>
      <c r="O15" s="32" t="str">
        <f>IF($A15="","",[1]!thsiFinD("ths_adjustment_nv_fund",O$3,$A15))</f>
        <v/>
      </c>
      <c r="P15" s="32" t="str">
        <f>IF($A15="","",[1]!thsiFinD("ths_adjustment_nv_fund",P$3,$A15))</f>
        <v/>
      </c>
      <c r="Q15" s="32" t="str">
        <f>IF($A15="","",[1]!thsiFinD("ths_adjustment_nv_fund",Q$3,$A15))</f>
        <v/>
      </c>
      <c r="R15" s="32" t="str">
        <f>IF($A15="","",[1]!thsiFinD("ths_adjustment_nv_fund",R$3,$A15))</f>
        <v/>
      </c>
      <c r="S15" s="32" t="str">
        <f>IF($A15="","",[1]!thsiFinD("ths_adjustment_nv_fund",S$3,$A15))</f>
        <v/>
      </c>
      <c r="T15" s="32" t="str">
        <f>IF($A15="","",[1]!thsiFinD("ths_adjustment_nv_fund",T$3,$A15))</f>
        <v/>
      </c>
      <c r="U15" s="32" t="str">
        <f>IF($A15="","",[1]!thsiFinD("ths_adjustment_nv_fund",U$3,$A15))</f>
        <v/>
      </c>
      <c r="V15" s="32" t="str">
        <f>IF($A15="","",[1]!thsiFinD("ths_adjustment_nv_fund",V$3,$A15))</f>
        <v/>
      </c>
      <c r="W15" s="32" t="str">
        <f>IF($A15="","",[1]!thsiFinD("ths_adjustment_nv_fund",W$3,$A15))</f>
        <v/>
      </c>
      <c r="X15" s="32" t="str">
        <f>IF($A15="","",[1]!thsiFinD("ths_adjustment_nv_fund",X$3,$A15))</f>
        <v/>
      </c>
    </row>
    <row r="16" spans="1:24" x14ac:dyDescent="0.25">
      <c r="A16" s="31"/>
      <c r="B16" s="32" t="str">
        <f>IF($A16="","",[1]!thsiFinD("ths_adjustment_nv_fund",B$3,$A16))</f>
        <v/>
      </c>
      <c r="C16" s="32" t="str">
        <f>IF($A16="","",[1]!thsiFinD("ths_adjustment_nv_fund",C$3,$A16))</f>
        <v/>
      </c>
      <c r="D16" s="32" t="str">
        <f>IF($A16="","",[1]!thsiFinD("ths_adjustment_nv_fund",D$3,$A16))</f>
        <v/>
      </c>
      <c r="E16" s="32" t="str">
        <f>IF($A16="","",[1]!thsiFinD("ths_adjustment_nv_fund",E$3,$A16))</f>
        <v/>
      </c>
      <c r="F16" s="32" t="str">
        <f>IF($A16="","",[1]!thsiFinD("ths_adjustment_nv_fund",F$3,$A16))</f>
        <v/>
      </c>
      <c r="G16" s="32" t="str">
        <f>IF($A16="","",[1]!thsiFinD("ths_adjustment_nv_fund",G$3,$A16))</f>
        <v/>
      </c>
      <c r="H16" s="32" t="str">
        <f>IF($A16="","",[1]!thsiFinD("ths_adjustment_nv_fund",H$3,$A16))</f>
        <v/>
      </c>
      <c r="I16" s="32" t="str">
        <f>IF($A16="","",[1]!thsiFinD("ths_adjustment_nv_fund",I$3,$A16))</f>
        <v/>
      </c>
      <c r="J16" s="32" t="str">
        <f>IF($A16="","",[1]!thsiFinD("ths_adjustment_nv_fund",J$3,$A16))</f>
        <v/>
      </c>
      <c r="K16" s="32" t="str">
        <f>IF($A16="","",[1]!thsiFinD("ths_adjustment_nv_fund",K$3,$A16))</f>
        <v/>
      </c>
      <c r="L16" s="32" t="str">
        <f>IF($A16="","",[1]!thsiFinD("ths_adjustment_nv_fund",L$3,$A16))</f>
        <v/>
      </c>
      <c r="M16" s="32" t="str">
        <f>IF($A16="","",[1]!thsiFinD("ths_adjustment_nv_fund",M$3,$A16))</f>
        <v/>
      </c>
      <c r="N16" s="32" t="str">
        <f>IF($A16="","",[1]!thsiFinD("ths_adjustment_nv_fund",N$3,$A16))</f>
        <v/>
      </c>
      <c r="O16" s="32" t="str">
        <f>IF($A16="","",[1]!thsiFinD("ths_adjustment_nv_fund",O$3,$A16))</f>
        <v/>
      </c>
      <c r="P16" s="32" t="str">
        <f>IF($A16="","",[1]!thsiFinD("ths_adjustment_nv_fund",P$3,$A16))</f>
        <v/>
      </c>
      <c r="Q16" s="32" t="str">
        <f>IF($A16="","",[1]!thsiFinD("ths_adjustment_nv_fund",Q$3,$A16))</f>
        <v/>
      </c>
      <c r="R16" s="32" t="str">
        <f>IF($A16="","",[1]!thsiFinD("ths_adjustment_nv_fund",R$3,$A16))</f>
        <v/>
      </c>
      <c r="S16" s="32" t="str">
        <f>IF($A16="","",[1]!thsiFinD("ths_adjustment_nv_fund",S$3,$A16))</f>
        <v/>
      </c>
      <c r="T16" s="32" t="str">
        <f>IF($A16="","",[1]!thsiFinD("ths_adjustment_nv_fund",T$3,$A16))</f>
        <v/>
      </c>
      <c r="U16" s="32" t="str">
        <f>IF($A16="","",[1]!thsiFinD("ths_adjustment_nv_fund",U$3,$A16))</f>
        <v/>
      </c>
      <c r="V16" s="32" t="str">
        <f>IF($A16="","",[1]!thsiFinD("ths_adjustment_nv_fund",V$3,$A16))</f>
        <v/>
      </c>
      <c r="W16" s="32" t="str">
        <f>IF($A16="","",[1]!thsiFinD("ths_adjustment_nv_fund",W$3,$A16))</f>
        <v/>
      </c>
      <c r="X16" s="32" t="str">
        <f>IF($A16="","",[1]!thsiFinD("ths_adjustment_nv_fund",X$3,$A16))</f>
        <v/>
      </c>
    </row>
    <row r="17" spans="1:24" x14ac:dyDescent="0.25">
      <c r="A17" s="31"/>
      <c r="B17" s="32" t="str">
        <f>IF($A17="","",[1]!thsiFinD("ths_adjustment_nv_fund",B$3,$A17))</f>
        <v/>
      </c>
      <c r="C17" s="32" t="str">
        <f>IF($A17="","",[1]!thsiFinD("ths_adjustment_nv_fund",C$3,$A17))</f>
        <v/>
      </c>
      <c r="D17" s="32" t="str">
        <f>IF($A17="","",[1]!thsiFinD("ths_adjustment_nv_fund",D$3,$A17))</f>
        <v/>
      </c>
      <c r="E17" s="32" t="str">
        <f>IF($A17="","",[1]!thsiFinD("ths_adjustment_nv_fund",E$3,$A17))</f>
        <v/>
      </c>
      <c r="F17" s="32" t="str">
        <f>IF($A17="","",[1]!thsiFinD("ths_adjustment_nv_fund",F$3,$A17))</f>
        <v/>
      </c>
      <c r="G17" s="32" t="str">
        <f>IF($A17="","",[1]!thsiFinD("ths_adjustment_nv_fund",G$3,$A17))</f>
        <v/>
      </c>
      <c r="H17" s="32" t="str">
        <f>IF($A17="","",[1]!thsiFinD("ths_adjustment_nv_fund",H$3,$A17))</f>
        <v/>
      </c>
      <c r="I17" s="32" t="str">
        <f>IF($A17="","",[1]!thsiFinD("ths_adjustment_nv_fund",I$3,$A17))</f>
        <v/>
      </c>
      <c r="J17" s="32" t="str">
        <f>IF($A17="","",[1]!thsiFinD("ths_adjustment_nv_fund",J$3,$A17))</f>
        <v/>
      </c>
      <c r="K17" s="32" t="str">
        <f>IF($A17="","",[1]!thsiFinD("ths_adjustment_nv_fund",K$3,$A17))</f>
        <v/>
      </c>
      <c r="L17" s="32" t="str">
        <f>IF($A17="","",[1]!thsiFinD("ths_adjustment_nv_fund",L$3,$A17))</f>
        <v/>
      </c>
      <c r="M17" s="32" t="str">
        <f>IF($A17="","",[1]!thsiFinD("ths_adjustment_nv_fund",M$3,$A17))</f>
        <v/>
      </c>
      <c r="N17" s="32" t="str">
        <f>IF($A17="","",[1]!thsiFinD("ths_adjustment_nv_fund",N$3,$A17))</f>
        <v/>
      </c>
      <c r="O17" s="32" t="str">
        <f>IF($A17="","",[1]!thsiFinD("ths_adjustment_nv_fund",O$3,$A17))</f>
        <v/>
      </c>
      <c r="P17" s="32" t="str">
        <f>IF($A17="","",[1]!thsiFinD("ths_adjustment_nv_fund",P$3,$A17))</f>
        <v/>
      </c>
      <c r="Q17" s="32" t="str">
        <f>IF($A17="","",[1]!thsiFinD("ths_adjustment_nv_fund",Q$3,$A17))</f>
        <v/>
      </c>
      <c r="R17" s="32" t="str">
        <f>IF($A17="","",[1]!thsiFinD("ths_adjustment_nv_fund",R$3,$A17))</f>
        <v/>
      </c>
      <c r="S17" s="32" t="str">
        <f>IF($A17="","",[1]!thsiFinD("ths_adjustment_nv_fund",S$3,$A17))</f>
        <v/>
      </c>
      <c r="T17" s="32" t="str">
        <f>IF($A17="","",[1]!thsiFinD("ths_adjustment_nv_fund",T$3,$A17))</f>
        <v/>
      </c>
      <c r="U17" s="32" t="str">
        <f>IF($A17="","",[1]!thsiFinD("ths_adjustment_nv_fund",U$3,$A17))</f>
        <v/>
      </c>
      <c r="V17" s="32" t="str">
        <f>IF($A17="","",[1]!thsiFinD("ths_adjustment_nv_fund",V$3,$A17))</f>
        <v/>
      </c>
      <c r="W17" s="32" t="str">
        <f>IF($A17="","",[1]!thsiFinD("ths_adjustment_nv_fund",W$3,$A17))</f>
        <v/>
      </c>
      <c r="X17" s="32" t="str">
        <f>IF($A17="","",[1]!thsiFinD("ths_adjustment_nv_fund",X$3,$A17))</f>
        <v/>
      </c>
    </row>
    <row r="18" spans="1:24" x14ac:dyDescent="0.25">
      <c r="A18" s="31"/>
      <c r="B18" s="32" t="str">
        <f>IF($A18="","",[1]!thsiFinD("ths_adjustment_nv_fund",B$3,$A18))</f>
        <v/>
      </c>
      <c r="C18" s="32" t="str">
        <f>IF($A18="","",[1]!thsiFinD("ths_adjustment_nv_fund",C$3,$A18))</f>
        <v/>
      </c>
      <c r="D18" s="32" t="str">
        <f>IF($A18="","",[1]!thsiFinD("ths_adjustment_nv_fund",D$3,$A18))</f>
        <v/>
      </c>
      <c r="E18" s="32" t="str">
        <f>IF($A18="","",[1]!thsiFinD("ths_adjustment_nv_fund",E$3,$A18))</f>
        <v/>
      </c>
      <c r="F18" s="32" t="str">
        <f>IF($A18="","",[1]!thsiFinD("ths_adjustment_nv_fund",F$3,$A18))</f>
        <v/>
      </c>
      <c r="G18" s="32" t="str">
        <f>IF($A18="","",[1]!thsiFinD("ths_adjustment_nv_fund",G$3,$A18))</f>
        <v/>
      </c>
      <c r="H18" s="32" t="str">
        <f>IF($A18="","",[1]!thsiFinD("ths_adjustment_nv_fund",H$3,$A18))</f>
        <v/>
      </c>
      <c r="I18" s="32" t="str">
        <f>IF($A18="","",[1]!thsiFinD("ths_adjustment_nv_fund",I$3,$A18))</f>
        <v/>
      </c>
      <c r="J18" s="32" t="str">
        <f>IF($A18="","",[1]!thsiFinD("ths_adjustment_nv_fund",J$3,$A18))</f>
        <v/>
      </c>
      <c r="K18" s="32" t="str">
        <f>IF($A18="","",[1]!thsiFinD("ths_adjustment_nv_fund",K$3,$A18))</f>
        <v/>
      </c>
      <c r="L18" s="32" t="str">
        <f>IF($A18="","",[1]!thsiFinD("ths_adjustment_nv_fund",L$3,$A18))</f>
        <v/>
      </c>
      <c r="M18" s="32" t="str">
        <f>IF($A18="","",[1]!thsiFinD("ths_adjustment_nv_fund",M$3,$A18))</f>
        <v/>
      </c>
      <c r="N18" s="32" t="str">
        <f>IF($A18="","",[1]!thsiFinD("ths_adjustment_nv_fund",N$3,$A18))</f>
        <v/>
      </c>
      <c r="O18" s="32" t="str">
        <f>IF($A18="","",[1]!thsiFinD("ths_adjustment_nv_fund",O$3,$A18))</f>
        <v/>
      </c>
      <c r="P18" s="32" t="str">
        <f>IF($A18="","",[1]!thsiFinD("ths_adjustment_nv_fund",P$3,$A18))</f>
        <v/>
      </c>
      <c r="Q18" s="32" t="str">
        <f>IF($A18="","",[1]!thsiFinD("ths_adjustment_nv_fund",Q$3,$A18))</f>
        <v/>
      </c>
      <c r="R18" s="32" t="str">
        <f>IF($A18="","",[1]!thsiFinD("ths_adjustment_nv_fund",R$3,$A18))</f>
        <v/>
      </c>
      <c r="S18" s="32" t="str">
        <f>IF($A18="","",[1]!thsiFinD("ths_adjustment_nv_fund",S$3,$A18))</f>
        <v/>
      </c>
      <c r="T18" s="32" t="str">
        <f>IF($A18="","",[1]!thsiFinD("ths_adjustment_nv_fund",T$3,$A18))</f>
        <v/>
      </c>
      <c r="U18" s="32" t="str">
        <f>IF($A18="","",[1]!thsiFinD("ths_adjustment_nv_fund",U$3,$A18))</f>
        <v/>
      </c>
      <c r="V18" s="32" t="str">
        <f>IF($A18="","",[1]!thsiFinD("ths_adjustment_nv_fund",V$3,$A18))</f>
        <v/>
      </c>
      <c r="W18" s="32" t="str">
        <f>IF($A18="","",[1]!thsiFinD("ths_adjustment_nv_fund",W$3,$A18))</f>
        <v/>
      </c>
      <c r="X18" s="32" t="str">
        <f>IF($A18="","",[1]!thsiFinD("ths_adjustment_nv_fund",X$3,$A18))</f>
        <v/>
      </c>
    </row>
    <row r="19" spans="1:24" x14ac:dyDescent="0.25">
      <c r="A19" s="31"/>
      <c r="B19" s="32" t="str">
        <f>IF($A19="","",[1]!thsiFinD("ths_adjustment_nv_fund",B$3,$A19))</f>
        <v/>
      </c>
      <c r="C19" s="32" t="str">
        <f>IF($A19="","",[1]!thsiFinD("ths_adjustment_nv_fund",C$3,$A19))</f>
        <v/>
      </c>
      <c r="D19" s="32" t="str">
        <f>IF($A19="","",[1]!thsiFinD("ths_adjustment_nv_fund",D$3,$A19))</f>
        <v/>
      </c>
      <c r="E19" s="32" t="str">
        <f>IF($A19="","",[1]!thsiFinD("ths_adjustment_nv_fund",E$3,$A19))</f>
        <v/>
      </c>
      <c r="F19" s="32" t="str">
        <f>IF($A19="","",[1]!thsiFinD("ths_adjustment_nv_fund",F$3,$A19))</f>
        <v/>
      </c>
      <c r="G19" s="32" t="str">
        <f>IF($A19="","",[1]!thsiFinD("ths_adjustment_nv_fund",G$3,$A19))</f>
        <v/>
      </c>
      <c r="H19" s="32" t="str">
        <f>IF($A19="","",[1]!thsiFinD("ths_adjustment_nv_fund",H$3,$A19))</f>
        <v/>
      </c>
      <c r="I19" s="32" t="str">
        <f>IF($A19="","",[1]!thsiFinD("ths_adjustment_nv_fund",I$3,$A19))</f>
        <v/>
      </c>
      <c r="J19" s="32" t="str">
        <f>IF($A19="","",[1]!thsiFinD("ths_adjustment_nv_fund",J$3,$A19))</f>
        <v/>
      </c>
      <c r="K19" s="32" t="str">
        <f>IF($A19="","",[1]!thsiFinD("ths_adjustment_nv_fund",K$3,$A19))</f>
        <v/>
      </c>
      <c r="L19" s="32" t="str">
        <f>IF($A19="","",[1]!thsiFinD("ths_adjustment_nv_fund",L$3,$A19))</f>
        <v/>
      </c>
      <c r="M19" s="32" t="str">
        <f>IF($A19="","",[1]!thsiFinD("ths_adjustment_nv_fund",M$3,$A19))</f>
        <v/>
      </c>
      <c r="N19" s="32" t="str">
        <f>IF($A19="","",[1]!thsiFinD("ths_adjustment_nv_fund",N$3,$A19))</f>
        <v/>
      </c>
      <c r="O19" s="32" t="str">
        <f>IF($A19="","",[1]!thsiFinD("ths_adjustment_nv_fund",O$3,$A19))</f>
        <v/>
      </c>
      <c r="P19" s="32" t="str">
        <f>IF($A19="","",[1]!thsiFinD("ths_adjustment_nv_fund",P$3,$A19))</f>
        <v/>
      </c>
      <c r="Q19" s="32" t="str">
        <f>IF($A19="","",[1]!thsiFinD("ths_adjustment_nv_fund",Q$3,$A19))</f>
        <v/>
      </c>
      <c r="R19" s="32" t="str">
        <f>IF($A19="","",[1]!thsiFinD("ths_adjustment_nv_fund",R$3,$A19))</f>
        <v/>
      </c>
      <c r="S19" s="32" t="str">
        <f>IF($A19="","",[1]!thsiFinD("ths_adjustment_nv_fund",S$3,$A19))</f>
        <v/>
      </c>
      <c r="T19" s="32" t="str">
        <f>IF($A19="","",[1]!thsiFinD("ths_adjustment_nv_fund",T$3,$A19))</f>
        <v/>
      </c>
      <c r="U19" s="32" t="str">
        <f>IF($A19="","",[1]!thsiFinD("ths_adjustment_nv_fund",U$3,$A19))</f>
        <v/>
      </c>
      <c r="V19" s="32" t="str">
        <f>IF($A19="","",[1]!thsiFinD("ths_adjustment_nv_fund",V$3,$A19))</f>
        <v/>
      </c>
      <c r="W19" s="32" t="str">
        <f>IF($A19="","",[1]!thsiFinD("ths_adjustment_nv_fund",W$3,$A19))</f>
        <v/>
      </c>
      <c r="X19" s="32" t="str">
        <f>IF($A19="","",[1]!thsiFinD("ths_adjustment_nv_fund",X$3,$A19))</f>
        <v/>
      </c>
    </row>
    <row r="20" spans="1:24" x14ac:dyDescent="0.25">
      <c r="A20" s="31"/>
      <c r="B20" s="32" t="str">
        <f>IF($A20="","",[1]!thsiFinD("ths_adjustment_nv_fund",B$3,$A20))</f>
        <v/>
      </c>
      <c r="C20" s="32" t="str">
        <f>IF($A20="","",[1]!thsiFinD("ths_adjustment_nv_fund",C$3,$A20))</f>
        <v/>
      </c>
      <c r="D20" s="32" t="str">
        <f>IF($A20="","",[1]!thsiFinD("ths_adjustment_nv_fund",D$3,$A20))</f>
        <v/>
      </c>
      <c r="E20" s="32" t="str">
        <f>IF($A20="","",[1]!thsiFinD("ths_adjustment_nv_fund",E$3,$A20))</f>
        <v/>
      </c>
      <c r="F20" s="32" t="str">
        <f>IF($A20="","",[1]!thsiFinD("ths_adjustment_nv_fund",F$3,$A20))</f>
        <v/>
      </c>
      <c r="G20" s="32" t="str">
        <f>IF($A20="","",[1]!thsiFinD("ths_adjustment_nv_fund",G$3,$A20))</f>
        <v/>
      </c>
      <c r="H20" s="32" t="str">
        <f>IF($A20="","",[1]!thsiFinD("ths_adjustment_nv_fund",H$3,$A20))</f>
        <v/>
      </c>
      <c r="I20" s="32" t="str">
        <f>IF($A20="","",[1]!thsiFinD("ths_adjustment_nv_fund",I$3,$A20))</f>
        <v/>
      </c>
      <c r="J20" s="32" t="str">
        <f>IF($A20="","",[1]!thsiFinD("ths_adjustment_nv_fund",J$3,$A20))</f>
        <v/>
      </c>
      <c r="K20" s="32" t="str">
        <f>IF($A20="","",[1]!thsiFinD("ths_adjustment_nv_fund",K$3,$A20))</f>
        <v/>
      </c>
      <c r="L20" s="32" t="str">
        <f>IF($A20="","",[1]!thsiFinD("ths_adjustment_nv_fund",L$3,$A20))</f>
        <v/>
      </c>
      <c r="M20" s="32" t="str">
        <f>IF($A20="","",[1]!thsiFinD("ths_adjustment_nv_fund",M$3,$A20))</f>
        <v/>
      </c>
      <c r="N20" s="32" t="str">
        <f>IF($A20="","",[1]!thsiFinD("ths_adjustment_nv_fund",N$3,$A20))</f>
        <v/>
      </c>
      <c r="O20" s="32" t="str">
        <f>IF($A20="","",[1]!thsiFinD("ths_adjustment_nv_fund",O$3,$A20))</f>
        <v/>
      </c>
      <c r="P20" s="32" t="str">
        <f>IF($A20="","",[1]!thsiFinD("ths_adjustment_nv_fund",P$3,$A20))</f>
        <v/>
      </c>
      <c r="Q20" s="32" t="str">
        <f>IF($A20="","",[1]!thsiFinD("ths_adjustment_nv_fund",Q$3,$A20))</f>
        <v/>
      </c>
      <c r="R20" s="32" t="str">
        <f>IF($A20="","",[1]!thsiFinD("ths_adjustment_nv_fund",R$3,$A20))</f>
        <v/>
      </c>
      <c r="S20" s="32" t="str">
        <f>IF($A20="","",[1]!thsiFinD("ths_adjustment_nv_fund",S$3,$A20))</f>
        <v/>
      </c>
      <c r="T20" s="32" t="str">
        <f>IF($A20="","",[1]!thsiFinD("ths_adjustment_nv_fund",T$3,$A20))</f>
        <v/>
      </c>
      <c r="U20" s="32" t="str">
        <f>IF($A20="","",[1]!thsiFinD("ths_adjustment_nv_fund",U$3,$A20))</f>
        <v/>
      </c>
      <c r="V20" s="32" t="str">
        <f>IF($A20="","",[1]!thsiFinD("ths_adjustment_nv_fund",V$3,$A20))</f>
        <v/>
      </c>
      <c r="W20" s="32" t="str">
        <f>IF($A20="","",[1]!thsiFinD("ths_adjustment_nv_fund",W$3,$A20))</f>
        <v/>
      </c>
      <c r="X20" s="32" t="str">
        <f>IF($A20="","",[1]!thsiFinD("ths_adjustment_nv_fund",X$3,$A20))</f>
        <v/>
      </c>
    </row>
    <row r="21" spans="1:24" x14ac:dyDescent="0.25">
      <c r="A21" s="31"/>
      <c r="B21" s="32" t="str">
        <f>IF($A21="","",[1]!thsiFinD("ths_adjustment_nv_fund",B$3,$A21))</f>
        <v/>
      </c>
      <c r="C21" s="32" t="str">
        <f>IF($A21="","",[1]!thsiFinD("ths_adjustment_nv_fund",C$3,$A21))</f>
        <v/>
      </c>
      <c r="D21" s="32" t="str">
        <f>IF($A21="","",[1]!thsiFinD("ths_adjustment_nv_fund",D$3,$A21))</f>
        <v/>
      </c>
      <c r="E21" s="32" t="str">
        <f>IF($A21="","",[1]!thsiFinD("ths_adjustment_nv_fund",E$3,$A21))</f>
        <v/>
      </c>
      <c r="F21" s="32" t="str">
        <f>IF($A21="","",[1]!thsiFinD("ths_adjustment_nv_fund",F$3,$A21))</f>
        <v/>
      </c>
      <c r="G21" s="32" t="str">
        <f>IF($A21="","",[1]!thsiFinD("ths_adjustment_nv_fund",G$3,$A21))</f>
        <v/>
      </c>
      <c r="H21" s="32" t="str">
        <f>IF($A21="","",[1]!thsiFinD("ths_adjustment_nv_fund",H$3,$A21))</f>
        <v/>
      </c>
      <c r="I21" s="32" t="str">
        <f>IF($A21="","",[1]!thsiFinD("ths_adjustment_nv_fund",I$3,$A21))</f>
        <v/>
      </c>
      <c r="J21" s="32" t="str">
        <f>IF($A21="","",[1]!thsiFinD("ths_adjustment_nv_fund",J$3,$A21))</f>
        <v/>
      </c>
      <c r="K21" s="32" t="str">
        <f>IF($A21="","",[1]!thsiFinD("ths_adjustment_nv_fund",K$3,$A21))</f>
        <v/>
      </c>
      <c r="L21" s="32" t="str">
        <f>IF($A21="","",[1]!thsiFinD("ths_adjustment_nv_fund",L$3,$A21))</f>
        <v/>
      </c>
      <c r="M21" s="32" t="str">
        <f>IF($A21="","",[1]!thsiFinD("ths_adjustment_nv_fund",M$3,$A21))</f>
        <v/>
      </c>
      <c r="N21" s="32" t="str">
        <f>IF($A21="","",[1]!thsiFinD("ths_adjustment_nv_fund",N$3,$A21))</f>
        <v/>
      </c>
      <c r="O21" s="32" t="str">
        <f>IF($A21="","",[1]!thsiFinD("ths_adjustment_nv_fund",O$3,$A21))</f>
        <v/>
      </c>
      <c r="P21" s="32" t="str">
        <f>IF($A21="","",[1]!thsiFinD("ths_adjustment_nv_fund",P$3,$A21))</f>
        <v/>
      </c>
      <c r="Q21" s="32" t="str">
        <f>IF($A21="","",[1]!thsiFinD("ths_adjustment_nv_fund",Q$3,$A21))</f>
        <v/>
      </c>
      <c r="R21" s="32" t="str">
        <f>IF($A21="","",[1]!thsiFinD("ths_adjustment_nv_fund",R$3,$A21))</f>
        <v/>
      </c>
      <c r="S21" s="32" t="str">
        <f>IF($A21="","",[1]!thsiFinD("ths_adjustment_nv_fund",S$3,$A21))</f>
        <v/>
      </c>
      <c r="T21" s="32" t="str">
        <f>IF($A21="","",[1]!thsiFinD("ths_adjustment_nv_fund",T$3,$A21))</f>
        <v/>
      </c>
      <c r="U21" s="32" t="str">
        <f>IF($A21="","",[1]!thsiFinD("ths_adjustment_nv_fund",U$3,$A21))</f>
        <v/>
      </c>
      <c r="V21" s="32" t="str">
        <f>IF($A21="","",[1]!thsiFinD("ths_adjustment_nv_fund",V$3,$A21))</f>
        <v/>
      </c>
      <c r="W21" s="32" t="str">
        <f>IF($A21="","",[1]!thsiFinD("ths_adjustment_nv_fund",W$3,$A21))</f>
        <v/>
      </c>
      <c r="X21" s="32" t="str">
        <f>IF($A21="","",[1]!thsiFinD("ths_adjustment_nv_fund",X$3,$A21))</f>
        <v/>
      </c>
    </row>
    <row r="22" spans="1:24" x14ac:dyDescent="0.25">
      <c r="A22" s="31"/>
      <c r="B22" s="32" t="str">
        <f>IF($A22="","",[1]!thsiFinD("ths_adjustment_nv_fund",B$3,$A22))</f>
        <v/>
      </c>
      <c r="C22" s="32" t="str">
        <f>IF($A22="","",[1]!thsiFinD("ths_adjustment_nv_fund",C$3,$A22))</f>
        <v/>
      </c>
      <c r="D22" s="32" t="str">
        <f>IF($A22="","",[1]!thsiFinD("ths_adjustment_nv_fund",D$3,$A22))</f>
        <v/>
      </c>
      <c r="E22" s="32" t="str">
        <f>IF($A22="","",[1]!thsiFinD("ths_adjustment_nv_fund",E$3,$A22))</f>
        <v/>
      </c>
      <c r="F22" s="32" t="str">
        <f>IF($A22="","",[1]!thsiFinD("ths_adjustment_nv_fund",F$3,$A22))</f>
        <v/>
      </c>
      <c r="G22" s="32" t="str">
        <f>IF($A22="","",[1]!thsiFinD("ths_adjustment_nv_fund",G$3,$A22))</f>
        <v/>
      </c>
      <c r="H22" s="32" t="str">
        <f>IF($A22="","",[1]!thsiFinD("ths_adjustment_nv_fund",H$3,$A22))</f>
        <v/>
      </c>
      <c r="I22" s="32" t="str">
        <f>IF($A22="","",[1]!thsiFinD("ths_adjustment_nv_fund",I$3,$A22))</f>
        <v/>
      </c>
      <c r="J22" s="32" t="str">
        <f>IF($A22="","",[1]!thsiFinD("ths_adjustment_nv_fund",J$3,$A22))</f>
        <v/>
      </c>
      <c r="K22" s="32" t="str">
        <f>IF($A22="","",[1]!thsiFinD("ths_adjustment_nv_fund",K$3,$A22))</f>
        <v/>
      </c>
      <c r="L22" s="32" t="str">
        <f>IF($A22="","",[1]!thsiFinD("ths_adjustment_nv_fund",L$3,$A22))</f>
        <v/>
      </c>
      <c r="M22" s="32" t="str">
        <f>IF($A22="","",[1]!thsiFinD("ths_adjustment_nv_fund",M$3,$A22))</f>
        <v/>
      </c>
      <c r="N22" s="32" t="str">
        <f>IF($A22="","",[1]!thsiFinD("ths_adjustment_nv_fund",N$3,$A22))</f>
        <v/>
      </c>
      <c r="O22" s="32" t="str">
        <f>IF($A22="","",[1]!thsiFinD("ths_adjustment_nv_fund",O$3,$A22))</f>
        <v/>
      </c>
      <c r="P22" s="32" t="str">
        <f>IF($A22="","",[1]!thsiFinD("ths_adjustment_nv_fund",P$3,$A22))</f>
        <v/>
      </c>
      <c r="Q22" s="32" t="str">
        <f>IF($A22="","",[1]!thsiFinD("ths_adjustment_nv_fund",Q$3,$A22))</f>
        <v/>
      </c>
      <c r="R22" s="32" t="str">
        <f>IF($A22="","",[1]!thsiFinD("ths_adjustment_nv_fund",R$3,$A22))</f>
        <v/>
      </c>
      <c r="S22" s="32" t="str">
        <f>IF($A22="","",[1]!thsiFinD("ths_adjustment_nv_fund",S$3,$A22))</f>
        <v/>
      </c>
      <c r="T22" s="32" t="str">
        <f>IF($A22="","",[1]!thsiFinD("ths_adjustment_nv_fund",T$3,$A22))</f>
        <v/>
      </c>
      <c r="U22" s="32" t="str">
        <f>IF($A22="","",[1]!thsiFinD("ths_adjustment_nv_fund",U$3,$A22))</f>
        <v/>
      </c>
      <c r="V22" s="32" t="str">
        <f>IF($A22="","",[1]!thsiFinD("ths_adjustment_nv_fund",V$3,$A22))</f>
        <v/>
      </c>
      <c r="W22" s="32" t="str">
        <f>IF($A22="","",[1]!thsiFinD("ths_adjustment_nv_fund",W$3,$A22))</f>
        <v/>
      </c>
      <c r="X22" s="32" t="str">
        <f>IF($A22="","",[1]!thsiFinD("ths_adjustment_nv_fund",X$3,$A22))</f>
        <v/>
      </c>
    </row>
    <row r="23" spans="1:24" x14ac:dyDescent="0.25">
      <c r="A23" s="31"/>
      <c r="B23" s="32" t="str">
        <f>IF($A23="","",[1]!thsiFinD("ths_adjustment_nv_fund",B$3,$A23))</f>
        <v/>
      </c>
      <c r="C23" s="32" t="str">
        <f>IF($A23="","",[1]!thsiFinD("ths_adjustment_nv_fund",C$3,$A23))</f>
        <v/>
      </c>
      <c r="D23" s="32" t="str">
        <f>IF($A23="","",[1]!thsiFinD("ths_adjustment_nv_fund",D$3,$A23))</f>
        <v/>
      </c>
      <c r="E23" s="32" t="str">
        <f>IF($A23="","",[1]!thsiFinD("ths_adjustment_nv_fund",E$3,$A23))</f>
        <v/>
      </c>
      <c r="F23" s="32" t="str">
        <f>IF($A23="","",[1]!thsiFinD("ths_adjustment_nv_fund",F$3,$A23))</f>
        <v/>
      </c>
      <c r="G23" s="32" t="str">
        <f>IF($A23="","",[1]!thsiFinD("ths_adjustment_nv_fund",G$3,$A23))</f>
        <v/>
      </c>
      <c r="H23" s="32" t="str">
        <f>IF($A23="","",[1]!thsiFinD("ths_adjustment_nv_fund",H$3,$A23))</f>
        <v/>
      </c>
      <c r="I23" s="32" t="str">
        <f>IF($A23="","",[1]!thsiFinD("ths_adjustment_nv_fund",I$3,$A23))</f>
        <v/>
      </c>
      <c r="J23" s="32" t="str">
        <f>IF($A23="","",[1]!thsiFinD("ths_adjustment_nv_fund",J$3,$A23))</f>
        <v/>
      </c>
      <c r="K23" s="32" t="str">
        <f>IF($A23="","",[1]!thsiFinD("ths_adjustment_nv_fund",K$3,$A23))</f>
        <v/>
      </c>
      <c r="L23" s="32" t="str">
        <f>IF($A23="","",[1]!thsiFinD("ths_adjustment_nv_fund",L$3,$A23))</f>
        <v/>
      </c>
      <c r="M23" s="32" t="str">
        <f>IF($A23="","",[1]!thsiFinD("ths_adjustment_nv_fund",M$3,$A23))</f>
        <v/>
      </c>
      <c r="N23" s="32" t="str">
        <f>IF($A23="","",[1]!thsiFinD("ths_adjustment_nv_fund",N$3,$A23))</f>
        <v/>
      </c>
      <c r="O23" s="32" t="str">
        <f>IF($A23="","",[1]!thsiFinD("ths_adjustment_nv_fund",O$3,$A23))</f>
        <v/>
      </c>
      <c r="P23" s="32" t="str">
        <f>IF($A23="","",[1]!thsiFinD("ths_adjustment_nv_fund",P$3,$A23))</f>
        <v/>
      </c>
      <c r="Q23" s="32" t="str">
        <f>IF($A23="","",[1]!thsiFinD("ths_adjustment_nv_fund",Q$3,$A23))</f>
        <v/>
      </c>
      <c r="R23" s="32" t="str">
        <f>IF($A23="","",[1]!thsiFinD("ths_adjustment_nv_fund",R$3,$A23))</f>
        <v/>
      </c>
      <c r="S23" s="32" t="str">
        <f>IF($A23="","",[1]!thsiFinD("ths_adjustment_nv_fund",S$3,$A23))</f>
        <v/>
      </c>
      <c r="T23" s="32" t="str">
        <f>IF($A23="","",[1]!thsiFinD("ths_adjustment_nv_fund",T$3,$A23))</f>
        <v/>
      </c>
      <c r="U23" s="32" t="str">
        <f>IF($A23="","",[1]!thsiFinD("ths_adjustment_nv_fund",U$3,$A23))</f>
        <v/>
      </c>
      <c r="V23" s="32" t="str">
        <f>IF($A23="","",[1]!thsiFinD("ths_adjustment_nv_fund",V$3,$A23))</f>
        <v/>
      </c>
      <c r="W23" s="32" t="str">
        <f>IF($A23="","",[1]!thsiFinD("ths_adjustment_nv_fund",W$3,$A23))</f>
        <v/>
      </c>
      <c r="X23" s="32" t="str">
        <f>IF($A23="","",[1]!thsiFinD("ths_adjustment_nv_fund",X$3,$A23))</f>
        <v/>
      </c>
    </row>
    <row r="24" spans="1:24" x14ac:dyDescent="0.25">
      <c r="A24" s="31"/>
      <c r="B24" s="32" t="str">
        <f>IF($A24="","",[1]!thsiFinD("ths_adjustment_nv_fund",B$3,$A24))</f>
        <v/>
      </c>
      <c r="C24" s="32" t="str">
        <f>IF($A24="","",[1]!thsiFinD("ths_adjustment_nv_fund",C$3,$A24))</f>
        <v/>
      </c>
      <c r="D24" s="32" t="str">
        <f>IF($A24="","",[1]!thsiFinD("ths_adjustment_nv_fund",D$3,$A24))</f>
        <v/>
      </c>
      <c r="E24" s="32" t="str">
        <f>IF($A24="","",[1]!thsiFinD("ths_adjustment_nv_fund",E$3,$A24))</f>
        <v/>
      </c>
      <c r="F24" s="32" t="str">
        <f>IF($A24="","",[1]!thsiFinD("ths_adjustment_nv_fund",F$3,$A24))</f>
        <v/>
      </c>
      <c r="G24" s="32" t="str">
        <f>IF($A24="","",[1]!thsiFinD("ths_adjustment_nv_fund",G$3,$A24))</f>
        <v/>
      </c>
      <c r="H24" s="32" t="str">
        <f>IF($A24="","",[1]!thsiFinD("ths_adjustment_nv_fund",H$3,$A24))</f>
        <v/>
      </c>
      <c r="I24" s="32" t="str">
        <f>IF($A24="","",[1]!thsiFinD("ths_adjustment_nv_fund",I$3,$A24))</f>
        <v/>
      </c>
      <c r="J24" s="32" t="str">
        <f>IF($A24="","",[1]!thsiFinD("ths_adjustment_nv_fund",J$3,$A24))</f>
        <v/>
      </c>
      <c r="K24" s="32" t="str">
        <f>IF($A24="","",[1]!thsiFinD("ths_adjustment_nv_fund",K$3,$A24))</f>
        <v/>
      </c>
      <c r="L24" s="32" t="str">
        <f>IF($A24="","",[1]!thsiFinD("ths_adjustment_nv_fund",L$3,$A24))</f>
        <v/>
      </c>
      <c r="M24" s="32" t="str">
        <f>IF($A24="","",[1]!thsiFinD("ths_adjustment_nv_fund",M$3,$A24))</f>
        <v/>
      </c>
      <c r="N24" s="32" t="str">
        <f>IF($A24="","",[1]!thsiFinD("ths_adjustment_nv_fund",N$3,$A24))</f>
        <v/>
      </c>
      <c r="O24" s="32" t="str">
        <f>IF($A24="","",[1]!thsiFinD("ths_adjustment_nv_fund",O$3,$A24))</f>
        <v/>
      </c>
      <c r="P24" s="32" t="str">
        <f>IF($A24="","",[1]!thsiFinD("ths_adjustment_nv_fund",P$3,$A24))</f>
        <v/>
      </c>
      <c r="Q24" s="32" t="str">
        <f>IF($A24="","",[1]!thsiFinD("ths_adjustment_nv_fund",Q$3,$A24))</f>
        <v/>
      </c>
      <c r="R24" s="32" t="str">
        <f>IF($A24="","",[1]!thsiFinD("ths_adjustment_nv_fund",R$3,$A24))</f>
        <v/>
      </c>
      <c r="S24" s="32" t="str">
        <f>IF($A24="","",[1]!thsiFinD("ths_adjustment_nv_fund",S$3,$A24))</f>
        <v/>
      </c>
      <c r="T24" s="32" t="str">
        <f>IF($A24="","",[1]!thsiFinD("ths_adjustment_nv_fund",T$3,$A24))</f>
        <v/>
      </c>
      <c r="U24" s="32" t="str">
        <f>IF($A24="","",[1]!thsiFinD("ths_adjustment_nv_fund",U$3,$A24))</f>
        <v/>
      </c>
      <c r="V24" s="32" t="str">
        <f>IF($A24="","",[1]!thsiFinD("ths_adjustment_nv_fund",V$3,$A24))</f>
        <v/>
      </c>
      <c r="W24" s="32" t="str">
        <f>IF($A24="","",[1]!thsiFinD("ths_adjustment_nv_fund",W$3,$A24))</f>
        <v/>
      </c>
      <c r="X24" s="32" t="str">
        <f>IF($A24="","",[1]!thsiFinD("ths_adjustment_nv_fund",X$3,$A24))</f>
        <v/>
      </c>
    </row>
    <row r="25" spans="1:24" x14ac:dyDescent="0.25">
      <c r="A25" s="31"/>
      <c r="B25" s="32" t="str">
        <f>IF($A25="","",[1]!thsiFinD("ths_adjustment_nv_fund",B$3,$A25))</f>
        <v/>
      </c>
      <c r="C25" s="32" t="str">
        <f>IF($A25="","",[1]!thsiFinD("ths_adjustment_nv_fund",C$3,$A25))</f>
        <v/>
      </c>
      <c r="D25" s="32" t="str">
        <f>IF($A25="","",[1]!thsiFinD("ths_adjustment_nv_fund",D$3,$A25))</f>
        <v/>
      </c>
      <c r="E25" s="32" t="str">
        <f>IF($A25="","",[1]!thsiFinD("ths_adjustment_nv_fund",E$3,$A25))</f>
        <v/>
      </c>
      <c r="F25" s="32" t="str">
        <f>IF($A25="","",[1]!thsiFinD("ths_adjustment_nv_fund",F$3,$A25))</f>
        <v/>
      </c>
      <c r="G25" s="32" t="str">
        <f>IF($A25="","",[1]!thsiFinD("ths_adjustment_nv_fund",G$3,$A25))</f>
        <v/>
      </c>
      <c r="H25" s="32" t="str">
        <f>IF($A25="","",[1]!thsiFinD("ths_adjustment_nv_fund",H$3,$A25))</f>
        <v/>
      </c>
      <c r="I25" s="32" t="str">
        <f>IF($A25="","",[1]!thsiFinD("ths_adjustment_nv_fund",I$3,$A25))</f>
        <v/>
      </c>
      <c r="J25" s="32" t="str">
        <f>IF($A25="","",[1]!thsiFinD("ths_adjustment_nv_fund",J$3,$A25))</f>
        <v/>
      </c>
      <c r="K25" s="32" t="str">
        <f>IF($A25="","",[1]!thsiFinD("ths_adjustment_nv_fund",K$3,$A25))</f>
        <v/>
      </c>
      <c r="L25" s="32" t="str">
        <f>IF($A25="","",[1]!thsiFinD("ths_adjustment_nv_fund",L$3,$A25))</f>
        <v/>
      </c>
      <c r="M25" s="32" t="str">
        <f>IF($A25="","",[1]!thsiFinD("ths_adjustment_nv_fund",M$3,$A25))</f>
        <v/>
      </c>
      <c r="N25" s="32" t="str">
        <f>IF($A25="","",[1]!thsiFinD("ths_adjustment_nv_fund",N$3,$A25))</f>
        <v/>
      </c>
      <c r="O25" s="32" t="str">
        <f>IF($A25="","",[1]!thsiFinD("ths_adjustment_nv_fund",O$3,$A25))</f>
        <v/>
      </c>
      <c r="P25" s="32" t="str">
        <f>IF($A25="","",[1]!thsiFinD("ths_adjustment_nv_fund",P$3,$A25))</f>
        <v/>
      </c>
      <c r="Q25" s="32" t="str">
        <f>IF($A25="","",[1]!thsiFinD("ths_adjustment_nv_fund",Q$3,$A25))</f>
        <v/>
      </c>
      <c r="R25" s="32" t="str">
        <f>IF($A25="","",[1]!thsiFinD("ths_adjustment_nv_fund",R$3,$A25))</f>
        <v/>
      </c>
      <c r="S25" s="32" t="str">
        <f>IF($A25="","",[1]!thsiFinD("ths_adjustment_nv_fund",S$3,$A25))</f>
        <v/>
      </c>
      <c r="T25" s="32" t="str">
        <f>IF($A25="","",[1]!thsiFinD("ths_adjustment_nv_fund",T$3,$A25))</f>
        <v/>
      </c>
      <c r="U25" s="32" t="str">
        <f>IF($A25="","",[1]!thsiFinD("ths_adjustment_nv_fund",U$3,$A25))</f>
        <v/>
      </c>
      <c r="V25" s="32" t="str">
        <f>IF($A25="","",[1]!thsiFinD("ths_adjustment_nv_fund",V$3,$A25))</f>
        <v/>
      </c>
      <c r="W25" s="32" t="str">
        <f>IF($A25="","",[1]!thsiFinD("ths_adjustment_nv_fund",W$3,$A25))</f>
        <v/>
      </c>
      <c r="X25" s="32" t="str">
        <f>IF($A25="","",[1]!thsiFinD("ths_adjustment_nv_fund",X$3,$A25))</f>
        <v/>
      </c>
    </row>
    <row r="26" spans="1:24" x14ac:dyDescent="0.25">
      <c r="A26" s="31"/>
      <c r="B26" s="32" t="str">
        <f>IF($A26="","",[1]!thsiFinD("ths_adjustment_nv_fund",B$3,$A26))</f>
        <v/>
      </c>
      <c r="C26" s="32" t="str">
        <f>IF($A26="","",[1]!thsiFinD("ths_adjustment_nv_fund",C$3,$A26))</f>
        <v/>
      </c>
      <c r="D26" s="32" t="str">
        <f>IF($A26="","",[1]!thsiFinD("ths_adjustment_nv_fund",D$3,$A26))</f>
        <v/>
      </c>
      <c r="E26" s="32" t="str">
        <f>IF($A26="","",[1]!thsiFinD("ths_adjustment_nv_fund",E$3,$A26))</f>
        <v/>
      </c>
      <c r="F26" s="32" t="str">
        <f>IF($A26="","",[1]!thsiFinD("ths_adjustment_nv_fund",F$3,$A26))</f>
        <v/>
      </c>
      <c r="G26" s="32" t="str">
        <f>IF($A26="","",[1]!thsiFinD("ths_adjustment_nv_fund",G$3,$A26))</f>
        <v/>
      </c>
      <c r="H26" s="32" t="str">
        <f>IF($A26="","",[1]!thsiFinD("ths_adjustment_nv_fund",H$3,$A26))</f>
        <v/>
      </c>
      <c r="I26" s="32" t="str">
        <f>IF($A26="","",[1]!thsiFinD("ths_adjustment_nv_fund",I$3,$A26))</f>
        <v/>
      </c>
      <c r="J26" s="32" t="str">
        <f>IF($A26="","",[1]!thsiFinD("ths_adjustment_nv_fund",J$3,$A26))</f>
        <v/>
      </c>
      <c r="K26" s="32" t="str">
        <f>IF($A26="","",[1]!thsiFinD("ths_adjustment_nv_fund",K$3,$A26))</f>
        <v/>
      </c>
      <c r="L26" s="32" t="str">
        <f>IF($A26="","",[1]!thsiFinD("ths_adjustment_nv_fund",L$3,$A26))</f>
        <v/>
      </c>
      <c r="M26" s="32" t="str">
        <f>IF($A26="","",[1]!thsiFinD("ths_adjustment_nv_fund",M$3,$A26))</f>
        <v/>
      </c>
      <c r="N26" s="32" t="str">
        <f>IF($A26="","",[1]!thsiFinD("ths_adjustment_nv_fund",N$3,$A26))</f>
        <v/>
      </c>
      <c r="O26" s="32" t="str">
        <f>IF($A26="","",[1]!thsiFinD("ths_adjustment_nv_fund",O$3,$A26))</f>
        <v/>
      </c>
      <c r="P26" s="32" t="str">
        <f>IF($A26="","",[1]!thsiFinD("ths_adjustment_nv_fund",P$3,$A26))</f>
        <v/>
      </c>
      <c r="Q26" s="32" t="str">
        <f>IF($A26="","",[1]!thsiFinD("ths_adjustment_nv_fund",Q$3,$A26))</f>
        <v/>
      </c>
      <c r="R26" s="32" t="str">
        <f>IF($A26="","",[1]!thsiFinD("ths_adjustment_nv_fund",R$3,$A26))</f>
        <v/>
      </c>
      <c r="S26" s="32" t="str">
        <f>IF($A26="","",[1]!thsiFinD("ths_adjustment_nv_fund",S$3,$A26))</f>
        <v/>
      </c>
      <c r="T26" s="32" t="str">
        <f>IF($A26="","",[1]!thsiFinD("ths_adjustment_nv_fund",T$3,$A26))</f>
        <v/>
      </c>
      <c r="U26" s="32" t="str">
        <f>IF($A26="","",[1]!thsiFinD("ths_adjustment_nv_fund",U$3,$A26))</f>
        <v/>
      </c>
      <c r="V26" s="32" t="str">
        <f>IF($A26="","",[1]!thsiFinD("ths_adjustment_nv_fund",V$3,$A26))</f>
        <v/>
      </c>
      <c r="W26" s="32" t="str">
        <f>IF($A26="","",[1]!thsiFinD("ths_adjustment_nv_fund",W$3,$A26))</f>
        <v/>
      </c>
      <c r="X26" s="32" t="str">
        <f>IF($A26="","",[1]!thsiFinD("ths_adjustment_nv_fund",X$3,$A26))</f>
        <v/>
      </c>
    </row>
    <row r="27" spans="1:24" x14ac:dyDescent="0.25">
      <c r="A27" s="31"/>
      <c r="B27" s="32" t="str">
        <f>IF($A27="","",[1]!thsiFinD("ths_adjustment_nv_fund",B$3,$A27))</f>
        <v/>
      </c>
      <c r="C27" s="32" t="str">
        <f>IF($A27="","",[1]!thsiFinD("ths_adjustment_nv_fund",C$3,$A27))</f>
        <v/>
      </c>
      <c r="D27" s="32" t="str">
        <f>IF($A27="","",[1]!thsiFinD("ths_adjustment_nv_fund",D$3,$A27))</f>
        <v/>
      </c>
      <c r="E27" s="32" t="str">
        <f>IF($A27="","",[1]!thsiFinD("ths_adjustment_nv_fund",E$3,$A27))</f>
        <v/>
      </c>
      <c r="F27" s="32" t="str">
        <f>IF($A27="","",[1]!thsiFinD("ths_adjustment_nv_fund",F$3,$A27))</f>
        <v/>
      </c>
      <c r="G27" s="32" t="str">
        <f>IF($A27="","",[1]!thsiFinD("ths_adjustment_nv_fund",G$3,$A27))</f>
        <v/>
      </c>
      <c r="H27" s="32" t="str">
        <f>IF($A27="","",[1]!thsiFinD("ths_adjustment_nv_fund",H$3,$A27))</f>
        <v/>
      </c>
      <c r="I27" s="32" t="str">
        <f>IF($A27="","",[1]!thsiFinD("ths_adjustment_nv_fund",I$3,$A27))</f>
        <v/>
      </c>
      <c r="J27" s="32" t="str">
        <f>IF($A27="","",[1]!thsiFinD("ths_adjustment_nv_fund",J$3,$A27))</f>
        <v/>
      </c>
      <c r="K27" s="32" t="str">
        <f>IF($A27="","",[1]!thsiFinD("ths_adjustment_nv_fund",K$3,$A27))</f>
        <v/>
      </c>
      <c r="L27" s="32" t="str">
        <f>IF($A27="","",[1]!thsiFinD("ths_adjustment_nv_fund",L$3,$A27))</f>
        <v/>
      </c>
      <c r="M27" s="32" t="str">
        <f>IF($A27="","",[1]!thsiFinD("ths_adjustment_nv_fund",M$3,$A27))</f>
        <v/>
      </c>
      <c r="N27" s="32" t="str">
        <f>IF($A27="","",[1]!thsiFinD("ths_adjustment_nv_fund",N$3,$A27))</f>
        <v/>
      </c>
      <c r="O27" s="32" t="str">
        <f>IF($A27="","",[1]!thsiFinD("ths_adjustment_nv_fund",O$3,$A27))</f>
        <v/>
      </c>
      <c r="P27" s="32" t="str">
        <f>IF($A27="","",[1]!thsiFinD("ths_adjustment_nv_fund",P$3,$A27))</f>
        <v/>
      </c>
      <c r="Q27" s="32" t="str">
        <f>IF($A27="","",[1]!thsiFinD("ths_adjustment_nv_fund",Q$3,$A27))</f>
        <v/>
      </c>
      <c r="R27" s="32" t="str">
        <f>IF($A27="","",[1]!thsiFinD("ths_adjustment_nv_fund",R$3,$A27))</f>
        <v/>
      </c>
      <c r="S27" s="32" t="str">
        <f>IF($A27="","",[1]!thsiFinD("ths_adjustment_nv_fund",S$3,$A27))</f>
        <v/>
      </c>
      <c r="T27" s="32" t="str">
        <f>IF($A27="","",[1]!thsiFinD("ths_adjustment_nv_fund",T$3,$A27))</f>
        <v/>
      </c>
      <c r="U27" s="32" t="str">
        <f>IF($A27="","",[1]!thsiFinD("ths_adjustment_nv_fund",U$3,$A27))</f>
        <v/>
      </c>
      <c r="V27" s="32" t="str">
        <f>IF($A27="","",[1]!thsiFinD("ths_adjustment_nv_fund",V$3,$A27))</f>
        <v/>
      </c>
      <c r="W27" s="32" t="str">
        <f>IF($A27="","",[1]!thsiFinD("ths_adjustment_nv_fund",W$3,$A27))</f>
        <v/>
      </c>
      <c r="X27" s="32" t="str">
        <f>IF($A27="","",[1]!thsiFinD("ths_adjustment_nv_fund",X$3,$A27))</f>
        <v/>
      </c>
    </row>
    <row r="28" spans="1:24" x14ac:dyDescent="0.25">
      <c r="A28" s="31"/>
      <c r="B28" s="32" t="str">
        <f>IF($A28="","",[1]!thsiFinD("ths_adjustment_nv_fund",B$3,$A28))</f>
        <v/>
      </c>
      <c r="C28" s="32" t="str">
        <f>IF($A28="","",[1]!thsiFinD("ths_adjustment_nv_fund",C$3,$A28))</f>
        <v/>
      </c>
      <c r="D28" s="32" t="str">
        <f>IF($A28="","",[1]!thsiFinD("ths_adjustment_nv_fund",D$3,$A28))</f>
        <v/>
      </c>
      <c r="E28" s="32" t="str">
        <f>IF($A28="","",[1]!thsiFinD("ths_adjustment_nv_fund",E$3,$A28))</f>
        <v/>
      </c>
      <c r="F28" s="32" t="str">
        <f>IF($A28="","",[1]!thsiFinD("ths_adjustment_nv_fund",F$3,$A28))</f>
        <v/>
      </c>
      <c r="G28" s="32" t="str">
        <f>IF($A28="","",[1]!thsiFinD("ths_adjustment_nv_fund",G$3,$A28))</f>
        <v/>
      </c>
      <c r="H28" s="32" t="str">
        <f>IF($A28="","",[1]!thsiFinD("ths_adjustment_nv_fund",H$3,$A28))</f>
        <v/>
      </c>
      <c r="I28" s="32" t="str">
        <f>IF($A28="","",[1]!thsiFinD("ths_adjustment_nv_fund",I$3,$A28))</f>
        <v/>
      </c>
      <c r="J28" s="32" t="str">
        <f>IF($A28="","",[1]!thsiFinD("ths_adjustment_nv_fund",J$3,$A28))</f>
        <v/>
      </c>
      <c r="K28" s="32" t="str">
        <f>IF($A28="","",[1]!thsiFinD("ths_adjustment_nv_fund",K$3,$A28))</f>
        <v/>
      </c>
      <c r="L28" s="32" t="str">
        <f>IF($A28="","",[1]!thsiFinD("ths_adjustment_nv_fund",L$3,$A28))</f>
        <v/>
      </c>
      <c r="M28" s="32" t="str">
        <f>IF($A28="","",[1]!thsiFinD("ths_adjustment_nv_fund",M$3,$A28))</f>
        <v/>
      </c>
      <c r="N28" s="32" t="str">
        <f>IF($A28="","",[1]!thsiFinD("ths_adjustment_nv_fund",N$3,$A28))</f>
        <v/>
      </c>
      <c r="O28" s="32" t="str">
        <f>IF($A28="","",[1]!thsiFinD("ths_adjustment_nv_fund",O$3,$A28))</f>
        <v/>
      </c>
      <c r="P28" s="32" t="str">
        <f>IF($A28="","",[1]!thsiFinD("ths_adjustment_nv_fund",P$3,$A28))</f>
        <v/>
      </c>
      <c r="Q28" s="32" t="str">
        <f>IF($A28="","",[1]!thsiFinD("ths_adjustment_nv_fund",Q$3,$A28))</f>
        <v/>
      </c>
      <c r="R28" s="32" t="str">
        <f>IF($A28="","",[1]!thsiFinD("ths_adjustment_nv_fund",R$3,$A28))</f>
        <v/>
      </c>
      <c r="S28" s="32" t="str">
        <f>IF($A28="","",[1]!thsiFinD("ths_adjustment_nv_fund",S$3,$A28))</f>
        <v/>
      </c>
      <c r="T28" s="32" t="str">
        <f>IF($A28="","",[1]!thsiFinD("ths_adjustment_nv_fund",T$3,$A28))</f>
        <v/>
      </c>
      <c r="U28" s="32" t="str">
        <f>IF($A28="","",[1]!thsiFinD("ths_adjustment_nv_fund",U$3,$A28))</f>
        <v/>
      </c>
      <c r="V28" s="32" t="str">
        <f>IF($A28="","",[1]!thsiFinD("ths_adjustment_nv_fund",V$3,$A28))</f>
        <v/>
      </c>
      <c r="W28" s="32" t="str">
        <f>IF($A28="","",[1]!thsiFinD("ths_adjustment_nv_fund",W$3,$A28))</f>
        <v/>
      </c>
      <c r="X28" s="32" t="str">
        <f>IF($A28="","",[1]!thsiFinD("ths_adjustment_nv_fund",X$3,$A28))</f>
        <v/>
      </c>
    </row>
    <row r="29" spans="1:24" x14ac:dyDescent="0.25">
      <c r="A29" s="31"/>
      <c r="B29" s="32" t="str">
        <f>IF($A29="","",[1]!thsiFinD("ths_adjustment_nv_fund",B$3,$A29))</f>
        <v/>
      </c>
      <c r="C29" s="32" t="str">
        <f>IF($A29="","",[1]!thsiFinD("ths_adjustment_nv_fund",C$3,$A29))</f>
        <v/>
      </c>
      <c r="D29" s="32" t="str">
        <f>IF($A29="","",[1]!thsiFinD("ths_adjustment_nv_fund",D$3,$A29))</f>
        <v/>
      </c>
      <c r="E29" s="32" t="str">
        <f>IF($A29="","",[1]!thsiFinD("ths_adjustment_nv_fund",E$3,$A29))</f>
        <v/>
      </c>
      <c r="F29" s="32" t="str">
        <f>IF($A29="","",[1]!thsiFinD("ths_adjustment_nv_fund",F$3,$A29))</f>
        <v/>
      </c>
      <c r="G29" s="32" t="str">
        <f>IF($A29="","",[1]!thsiFinD("ths_adjustment_nv_fund",G$3,$A29))</f>
        <v/>
      </c>
      <c r="H29" s="32" t="str">
        <f>IF($A29="","",[1]!thsiFinD("ths_adjustment_nv_fund",H$3,$A29))</f>
        <v/>
      </c>
      <c r="I29" s="32" t="str">
        <f>IF($A29="","",[1]!thsiFinD("ths_adjustment_nv_fund",I$3,$A29))</f>
        <v/>
      </c>
      <c r="J29" s="32" t="str">
        <f>IF($A29="","",[1]!thsiFinD("ths_adjustment_nv_fund",J$3,$A29))</f>
        <v/>
      </c>
      <c r="K29" s="32" t="str">
        <f>IF($A29="","",[1]!thsiFinD("ths_adjustment_nv_fund",K$3,$A29))</f>
        <v/>
      </c>
      <c r="L29" s="32" t="str">
        <f>IF($A29="","",[1]!thsiFinD("ths_adjustment_nv_fund",L$3,$A29))</f>
        <v/>
      </c>
      <c r="M29" s="32" t="str">
        <f>IF($A29="","",[1]!thsiFinD("ths_adjustment_nv_fund",M$3,$A29))</f>
        <v/>
      </c>
      <c r="N29" s="32" t="str">
        <f>IF($A29="","",[1]!thsiFinD("ths_adjustment_nv_fund",N$3,$A29))</f>
        <v/>
      </c>
      <c r="O29" s="32" t="str">
        <f>IF($A29="","",[1]!thsiFinD("ths_adjustment_nv_fund",O$3,$A29))</f>
        <v/>
      </c>
      <c r="P29" s="32" t="str">
        <f>IF($A29="","",[1]!thsiFinD("ths_adjustment_nv_fund",P$3,$A29))</f>
        <v/>
      </c>
      <c r="Q29" s="32" t="str">
        <f>IF($A29="","",[1]!thsiFinD("ths_adjustment_nv_fund",Q$3,$A29))</f>
        <v/>
      </c>
      <c r="R29" s="32" t="str">
        <f>IF($A29="","",[1]!thsiFinD("ths_adjustment_nv_fund",R$3,$A29))</f>
        <v/>
      </c>
      <c r="S29" s="32" t="str">
        <f>IF($A29="","",[1]!thsiFinD("ths_adjustment_nv_fund",S$3,$A29))</f>
        <v/>
      </c>
      <c r="T29" s="32" t="str">
        <f>IF($A29="","",[1]!thsiFinD("ths_adjustment_nv_fund",T$3,$A29))</f>
        <v/>
      </c>
      <c r="U29" s="32" t="str">
        <f>IF($A29="","",[1]!thsiFinD("ths_adjustment_nv_fund",U$3,$A29))</f>
        <v/>
      </c>
      <c r="V29" s="32" t="str">
        <f>IF($A29="","",[1]!thsiFinD("ths_adjustment_nv_fund",V$3,$A29))</f>
        <v/>
      </c>
      <c r="W29" s="32" t="str">
        <f>IF($A29="","",[1]!thsiFinD("ths_adjustment_nv_fund",W$3,$A29))</f>
        <v/>
      </c>
      <c r="X29" s="32" t="str">
        <f>IF($A29="","",[1]!thsiFinD("ths_adjustment_nv_fund",X$3,$A29))</f>
        <v/>
      </c>
    </row>
    <row r="30" spans="1:24" x14ac:dyDescent="0.25">
      <c r="A30" s="31"/>
      <c r="B30" s="32" t="str">
        <f>IF($A30="","",[1]!thsiFinD("ths_adjustment_nv_fund",B$3,$A30))</f>
        <v/>
      </c>
      <c r="C30" s="32" t="str">
        <f>IF($A30="","",[1]!thsiFinD("ths_adjustment_nv_fund",C$3,$A30))</f>
        <v/>
      </c>
      <c r="D30" s="32" t="str">
        <f>IF($A30="","",[1]!thsiFinD("ths_adjustment_nv_fund",D$3,$A30))</f>
        <v/>
      </c>
      <c r="E30" s="32" t="str">
        <f>IF($A30="","",[1]!thsiFinD("ths_adjustment_nv_fund",E$3,$A30))</f>
        <v/>
      </c>
      <c r="F30" s="32" t="str">
        <f>IF($A30="","",[1]!thsiFinD("ths_adjustment_nv_fund",F$3,$A30))</f>
        <v/>
      </c>
      <c r="G30" s="32" t="str">
        <f>IF($A30="","",[1]!thsiFinD("ths_adjustment_nv_fund",G$3,$A30))</f>
        <v/>
      </c>
      <c r="H30" s="32" t="str">
        <f>IF($A30="","",[1]!thsiFinD("ths_adjustment_nv_fund",H$3,$A30))</f>
        <v/>
      </c>
      <c r="I30" s="32" t="str">
        <f>IF($A30="","",[1]!thsiFinD("ths_adjustment_nv_fund",I$3,$A30))</f>
        <v/>
      </c>
      <c r="J30" s="32" t="str">
        <f>IF($A30="","",[1]!thsiFinD("ths_adjustment_nv_fund",J$3,$A30))</f>
        <v/>
      </c>
      <c r="K30" s="32" t="str">
        <f>IF($A30="","",[1]!thsiFinD("ths_adjustment_nv_fund",K$3,$A30))</f>
        <v/>
      </c>
      <c r="L30" s="32" t="str">
        <f>IF($A30="","",[1]!thsiFinD("ths_adjustment_nv_fund",L$3,$A30))</f>
        <v/>
      </c>
      <c r="M30" s="32" t="str">
        <f>IF($A30="","",[1]!thsiFinD("ths_adjustment_nv_fund",M$3,$A30))</f>
        <v/>
      </c>
      <c r="N30" s="32" t="str">
        <f>IF($A30="","",[1]!thsiFinD("ths_adjustment_nv_fund",N$3,$A30))</f>
        <v/>
      </c>
      <c r="O30" s="32" t="str">
        <f>IF($A30="","",[1]!thsiFinD("ths_adjustment_nv_fund",O$3,$A30))</f>
        <v/>
      </c>
      <c r="P30" s="32" t="str">
        <f>IF($A30="","",[1]!thsiFinD("ths_adjustment_nv_fund",P$3,$A30))</f>
        <v/>
      </c>
      <c r="Q30" s="32" t="str">
        <f>IF($A30="","",[1]!thsiFinD("ths_adjustment_nv_fund",Q$3,$A30))</f>
        <v/>
      </c>
      <c r="R30" s="32" t="str">
        <f>IF($A30="","",[1]!thsiFinD("ths_adjustment_nv_fund",R$3,$A30))</f>
        <v/>
      </c>
      <c r="S30" s="32" t="str">
        <f>IF($A30="","",[1]!thsiFinD("ths_adjustment_nv_fund",S$3,$A30))</f>
        <v/>
      </c>
      <c r="T30" s="32" t="str">
        <f>IF($A30="","",[1]!thsiFinD("ths_adjustment_nv_fund",T$3,$A30))</f>
        <v/>
      </c>
      <c r="U30" s="32" t="str">
        <f>IF($A30="","",[1]!thsiFinD("ths_adjustment_nv_fund",U$3,$A30))</f>
        <v/>
      </c>
      <c r="V30" s="32" t="str">
        <f>IF($A30="","",[1]!thsiFinD("ths_adjustment_nv_fund",V$3,$A30))</f>
        <v/>
      </c>
      <c r="W30" s="32" t="str">
        <f>IF($A30="","",[1]!thsiFinD("ths_adjustment_nv_fund",W$3,$A30))</f>
        <v/>
      </c>
      <c r="X30" s="32" t="str">
        <f>IF($A30="","",[1]!thsiFinD("ths_adjustment_nv_fund",X$3,$A30))</f>
        <v/>
      </c>
    </row>
    <row r="31" spans="1:24" x14ac:dyDescent="0.25">
      <c r="A31" s="31"/>
      <c r="B31" s="32" t="str">
        <f>IF($A31="","",[1]!thsiFinD("ths_adjustment_nv_fund",B$3,$A31))</f>
        <v/>
      </c>
      <c r="C31" s="32" t="str">
        <f>IF($A31="","",[1]!thsiFinD("ths_adjustment_nv_fund",C$3,$A31))</f>
        <v/>
      </c>
      <c r="D31" s="32" t="str">
        <f>IF($A31="","",[1]!thsiFinD("ths_adjustment_nv_fund",D$3,$A31))</f>
        <v/>
      </c>
      <c r="E31" s="32" t="str">
        <f>IF($A31="","",[1]!thsiFinD("ths_adjustment_nv_fund",E$3,$A31))</f>
        <v/>
      </c>
      <c r="F31" s="32" t="str">
        <f>IF($A31="","",[1]!thsiFinD("ths_adjustment_nv_fund",F$3,$A31))</f>
        <v/>
      </c>
      <c r="G31" s="32" t="str">
        <f>IF($A31="","",[1]!thsiFinD("ths_adjustment_nv_fund",G$3,$A31))</f>
        <v/>
      </c>
      <c r="H31" s="32" t="str">
        <f>IF($A31="","",[1]!thsiFinD("ths_adjustment_nv_fund",H$3,$A31))</f>
        <v/>
      </c>
      <c r="I31" s="32" t="str">
        <f>IF($A31="","",[1]!thsiFinD("ths_adjustment_nv_fund",I$3,$A31))</f>
        <v/>
      </c>
      <c r="J31" s="32" t="str">
        <f>IF($A31="","",[1]!thsiFinD("ths_adjustment_nv_fund",J$3,$A31))</f>
        <v/>
      </c>
      <c r="K31" s="32" t="str">
        <f>IF($A31="","",[1]!thsiFinD("ths_adjustment_nv_fund",K$3,$A31))</f>
        <v/>
      </c>
      <c r="L31" s="32" t="str">
        <f>IF($A31="","",[1]!thsiFinD("ths_adjustment_nv_fund",L$3,$A31))</f>
        <v/>
      </c>
      <c r="M31" s="32" t="str">
        <f>IF($A31="","",[1]!thsiFinD("ths_adjustment_nv_fund",M$3,$A31))</f>
        <v/>
      </c>
      <c r="N31" s="32" t="str">
        <f>IF($A31="","",[1]!thsiFinD("ths_adjustment_nv_fund",N$3,$A31))</f>
        <v/>
      </c>
      <c r="O31" s="32" t="str">
        <f>IF($A31="","",[1]!thsiFinD("ths_adjustment_nv_fund",O$3,$A31))</f>
        <v/>
      </c>
      <c r="P31" s="32" t="str">
        <f>IF($A31="","",[1]!thsiFinD("ths_adjustment_nv_fund",P$3,$A31))</f>
        <v/>
      </c>
      <c r="Q31" s="32" t="str">
        <f>IF($A31="","",[1]!thsiFinD("ths_adjustment_nv_fund",Q$3,$A31))</f>
        <v/>
      </c>
      <c r="R31" s="32" t="str">
        <f>IF($A31="","",[1]!thsiFinD("ths_adjustment_nv_fund",R$3,$A31))</f>
        <v/>
      </c>
      <c r="S31" s="32" t="str">
        <f>IF($A31="","",[1]!thsiFinD("ths_adjustment_nv_fund",S$3,$A31))</f>
        <v/>
      </c>
      <c r="T31" s="32" t="str">
        <f>IF($A31="","",[1]!thsiFinD("ths_adjustment_nv_fund",T$3,$A31))</f>
        <v/>
      </c>
      <c r="U31" s="32" t="str">
        <f>IF($A31="","",[1]!thsiFinD("ths_adjustment_nv_fund",U$3,$A31))</f>
        <v/>
      </c>
      <c r="V31" s="32" t="str">
        <f>IF($A31="","",[1]!thsiFinD("ths_adjustment_nv_fund",V$3,$A31))</f>
        <v/>
      </c>
      <c r="W31" s="32" t="str">
        <f>IF($A31="","",[1]!thsiFinD("ths_adjustment_nv_fund",W$3,$A31))</f>
        <v/>
      </c>
      <c r="X31" s="32" t="str">
        <f>IF($A31="","",[1]!thsiFinD("ths_adjustment_nv_fund",X$3,$A31))</f>
        <v/>
      </c>
    </row>
    <row r="32" spans="1:24" x14ac:dyDescent="0.25">
      <c r="A32" s="31"/>
      <c r="B32" s="32" t="str">
        <f>IF($A32="","",[1]!thsiFinD("ths_adjustment_nv_fund",B$3,$A32))</f>
        <v/>
      </c>
      <c r="C32" s="32" t="str">
        <f>IF($A32="","",[1]!thsiFinD("ths_adjustment_nv_fund",C$3,$A32))</f>
        <v/>
      </c>
      <c r="D32" s="32" t="str">
        <f>IF($A32="","",[1]!thsiFinD("ths_adjustment_nv_fund",D$3,$A32))</f>
        <v/>
      </c>
      <c r="E32" s="32" t="str">
        <f>IF($A32="","",[1]!thsiFinD("ths_adjustment_nv_fund",E$3,$A32))</f>
        <v/>
      </c>
      <c r="F32" s="32" t="str">
        <f>IF($A32="","",[1]!thsiFinD("ths_adjustment_nv_fund",F$3,$A32))</f>
        <v/>
      </c>
      <c r="G32" s="32" t="str">
        <f>IF($A32="","",[1]!thsiFinD("ths_adjustment_nv_fund",G$3,$A32))</f>
        <v/>
      </c>
      <c r="H32" s="32" t="str">
        <f>IF($A32="","",[1]!thsiFinD("ths_adjustment_nv_fund",H$3,$A32))</f>
        <v/>
      </c>
      <c r="I32" s="32" t="str">
        <f>IF($A32="","",[1]!thsiFinD("ths_adjustment_nv_fund",I$3,$A32))</f>
        <v/>
      </c>
      <c r="J32" s="32" t="str">
        <f>IF($A32="","",[1]!thsiFinD("ths_adjustment_nv_fund",J$3,$A32))</f>
        <v/>
      </c>
      <c r="K32" s="32" t="str">
        <f>IF($A32="","",[1]!thsiFinD("ths_adjustment_nv_fund",K$3,$A32))</f>
        <v/>
      </c>
      <c r="L32" s="32" t="str">
        <f>IF($A32="","",[1]!thsiFinD("ths_adjustment_nv_fund",L$3,$A32))</f>
        <v/>
      </c>
      <c r="M32" s="32" t="str">
        <f>IF($A32="","",[1]!thsiFinD("ths_adjustment_nv_fund",M$3,$A32))</f>
        <v/>
      </c>
      <c r="N32" s="32" t="str">
        <f>IF($A32="","",[1]!thsiFinD("ths_adjustment_nv_fund",N$3,$A32))</f>
        <v/>
      </c>
      <c r="O32" s="32" t="str">
        <f>IF($A32="","",[1]!thsiFinD("ths_adjustment_nv_fund",O$3,$A32))</f>
        <v/>
      </c>
      <c r="P32" s="32" t="str">
        <f>IF($A32="","",[1]!thsiFinD("ths_adjustment_nv_fund",P$3,$A32))</f>
        <v/>
      </c>
      <c r="Q32" s="32" t="str">
        <f>IF($A32="","",[1]!thsiFinD("ths_adjustment_nv_fund",Q$3,$A32))</f>
        <v/>
      </c>
      <c r="R32" s="32" t="str">
        <f>IF($A32="","",[1]!thsiFinD("ths_adjustment_nv_fund",R$3,$A32))</f>
        <v/>
      </c>
      <c r="S32" s="32" t="str">
        <f>IF($A32="","",[1]!thsiFinD("ths_adjustment_nv_fund",S$3,$A32))</f>
        <v/>
      </c>
      <c r="T32" s="32" t="str">
        <f>IF($A32="","",[1]!thsiFinD("ths_adjustment_nv_fund",T$3,$A32))</f>
        <v/>
      </c>
      <c r="U32" s="32" t="str">
        <f>IF($A32="","",[1]!thsiFinD("ths_adjustment_nv_fund",U$3,$A32))</f>
        <v/>
      </c>
      <c r="V32" s="32" t="str">
        <f>IF($A32="","",[1]!thsiFinD("ths_adjustment_nv_fund",V$3,$A32))</f>
        <v/>
      </c>
      <c r="W32" s="32" t="str">
        <f>IF($A32="","",[1]!thsiFinD("ths_adjustment_nv_fund",W$3,$A32))</f>
        <v/>
      </c>
      <c r="X32" s="32" t="str">
        <f>IF($A32="","",[1]!thsiFinD("ths_adjustment_nv_fund",X$3,$A32))</f>
        <v/>
      </c>
    </row>
    <row r="33" spans="1:24" x14ac:dyDescent="0.25">
      <c r="A33" s="31"/>
      <c r="B33" s="32" t="str">
        <f>IF($A33="","",[1]!thsiFinD("ths_adjustment_nv_fund",B$3,$A33))</f>
        <v/>
      </c>
      <c r="C33" s="32" t="str">
        <f>IF($A33="","",[1]!thsiFinD("ths_adjustment_nv_fund",C$3,$A33))</f>
        <v/>
      </c>
      <c r="D33" s="32" t="str">
        <f>IF($A33="","",[1]!thsiFinD("ths_adjustment_nv_fund",D$3,$A33))</f>
        <v/>
      </c>
      <c r="E33" s="32" t="str">
        <f>IF($A33="","",[1]!thsiFinD("ths_adjustment_nv_fund",E$3,$A33))</f>
        <v/>
      </c>
      <c r="F33" s="32" t="str">
        <f>IF($A33="","",[1]!thsiFinD("ths_adjustment_nv_fund",F$3,$A33))</f>
        <v/>
      </c>
      <c r="G33" s="32" t="str">
        <f>IF($A33="","",[1]!thsiFinD("ths_adjustment_nv_fund",G$3,$A33))</f>
        <v/>
      </c>
      <c r="H33" s="32" t="str">
        <f>IF($A33="","",[1]!thsiFinD("ths_adjustment_nv_fund",H$3,$A33))</f>
        <v/>
      </c>
      <c r="I33" s="32" t="str">
        <f>IF($A33="","",[1]!thsiFinD("ths_adjustment_nv_fund",I$3,$A33))</f>
        <v/>
      </c>
      <c r="J33" s="32" t="str">
        <f>IF($A33="","",[1]!thsiFinD("ths_adjustment_nv_fund",J$3,$A33))</f>
        <v/>
      </c>
      <c r="K33" s="32" t="str">
        <f>IF($A33="","",[1]!thsiFinD("ths_adjustment_nv_fund",K$3,$A33))</f>
        <v/>
      </c>
      <c r="L33" s="32" t="str">
        <f>IF($A33="","",[1]!thsiFinD("ths_adjustment_nv_fund",L$3,$A33))</f>
        <v/>
      </c>
      <c r="M33" s="32" t="str">
        <f>IF($A33="","",[1]!thsiFinD("ths_adjustment_nv_fund",M$3,$A33))</f>
        <v/>
      </c>
      <c r="N33" s="32" t="str">
        <f>IF($A33="","",[1]!thsiFinD("ths_adjustment_nv_fund",N$3,$A33))</f>
        <v/>
      </c>
      <c r="O33" s="32" t="str">
        <f>IF($A33="","",[1]!thsiFinD("ths_adjustment_nv_fund",O$3,$A33))</f>
        <v/>
      </c>
      <c r="P33" s="32" t="str">
        <f>IF($A33="","",[1]!thsiFinD("ths_adjustment_nv_fund",P$3,$A33))</f>
        <v/>
      </c>
      <c r="Q33" s="32" t="str">
        <f>IF($A33="","",[1]!thsiFinD("ths_adjustment_nv_fund",Q$3,$A33))</f>
        <v/>
      </c>
      <c r="R33" s="32" t="str">
        <f>IF($A33="","",[1]!thsiFinD("ths_adjustment_nv_fund",R$3,$A33))</f>
        <v/>
      </c>
      <c r="S33" s="32" t="str">
        <f>IF($A33="","",[1]!thsiFinD("ths_adjustment_nv_fund",S$3,$A33))</f>
        <v/>
      </c>
      <c r="T33" s="32" t="str">
        <f>IF($A33="","",[1]!thsiFinD("ths_adjustment_nv_fund",T$3,$A33))</f>
        <v/>
      </c>
      <c r="U33" s="32" t="str">
        <f>IF($A33="","",[1]!thsiFinD("ths_adjustment_nv_fund",U$3,$A33))</f>
        <v/>
      </c>
      <c r="V33" s="32" t="str">
        <f>IF($A33="","",[1]!thsiFinD("ths_adjustment_nv_fund",V$3,$A33))</f>
        <v/>
      </c>
      <c r="W33" s="32" t="str">
        <f>IF($A33="","",[1]!thsiFinD("ths_adjustment_nv_fund",W$3,$A33))</f>
        <v/>
      </c>
      <c r="X33" s="32" t="str">
        <f>IF($A33="","",[1]!thsiFinD("ths_adjustment_nv_fund",X$3,$A33))</f>
        <v/>
      </c>
    </row>
    <row r="34" spans="1:24" x14ac:dyDescent="0.25">
      <c r="A34" s="31"/>
      <c r="B34" s="32" t="str">
        <f>IF($A34="","",[1]!thsiFinD("ths_adjustment_nv_fund",B$3,$A34))</f>
        <v/>
      </c>
      <c r="C34" s="32" t="str">
        <f>IF($A34="","",[1]!thsiFinD("ths_adjustment_nv_fund",C$3,$A34))</f>
        <v/>
      </c>
      <c r="D34" s="32" t="str">
        <f>IF($A34="","",[1]!thsiFinD("ths_adjustment_nv_fund",D$3,$A34))</f>
        <v/>
      </c>
      <c r="E34" s="32" t="str">
        <f>IF($A34="","",[1]!thsiFinD("ths_adjustment_nv_fund",E$3,$A34))</f>
        <v/>
      </c>
      <c r="F34" s="32" t="str">
        <f>IF($A34="","",[1]!thsiFinD("ths_adjustment_nv_fund",F$3,$A34))</f>
        <v/>
      </c>
      <c r="G34" s="32" t="str">
        <f>IF($A34="","",[1]!thsiFinD("ths_adjustment_nv_fund",G$3,$A34))</f>
        <v/>
      </c>
      <c r="H34" s="32" t="str">
        <f>IF($A34="","",[1]!thsiFinD("ths_adjustment_nv_fund",H$3,$A34))</f>
        <v/>
      </c>
      <c r="I34" s="32" t="str">
        <f>IF($A34="","",[1]!thsiFinD("ths_adjustment_nv_fund",I$3,$A34))</f>
        <v/>
      </c>
      <c r="J34" s="32" t="str">
        <f>IF($A34="","",[1]!thsiFinD("ths_adjustment_nv_fund",J$3,$A34))</f>
        <v/>
      </c>
      <c r="K34" s="32" t="str">
        <f>IF($A34="","",[1]!thsiFinD("ths_adjustment_nv_fund",K$3,$A34))</f>
        <v/>
      </c>
      <c r="L34" s="32" t="str">
        <f>IF($A34="","",[1]!thsiFinD("ths_adjustment_nv_fund",L$3,$A34))</f>
        <v/>
      </c>
      <c r="M34" s="32" t="str">
        <f>IF($A34="","",[1]!thsiFinD("ths_adjustment_nv_fund",M$3,$A34))</f>
        <v/>
      </c>
      <c r="N34" s="32" t="str">
        <f>IF($A34="","",[1]!thsiFinD("ths_adjustment_nv_fund",N$3,$A34))</f>
        <v/>
      </c>
      <c r="O34" s="32" t="str">
        <f>IF($A34="","",[1]!thsiFinD("ths_adjustment_nv_fund",O$3,$A34))</f>
        <v/>
      </c>
      <c r="P34" s="32" t="str">
        <f>IF($A34="","",[1]!thsiFinD("ths_adjustment_nv_fund",P$3,$A34))</f>
        <v/>
      </c>
      <c r="Q34" s="32" t="str">
        <f>IF($A34="","",[1]!thsiFinD("ths_adjustment_nv_fund",Q$3,$A34))</f>
        <v/>
      </c>
      <c r="R34" s="32" t="str">
        <f>IF($A34="","",[1]!thsiFinD("ths_adjustment_nv_fund",R$3,$A34))</f>
        <v/>
      </c>
      <c r="S34" s="32" t="str">
        <f>IF($A34="","",[1]!thsiFinD("ths_adjustment_nv_fund",S$3,$A34))</f>
        <v/>
      </c>
      <c r="T34" s="32" t="str">
        <f>IF($A34="","",[1]!thsiFinD("ths_adjustment_nv_fund",T$3,$A34))</f>
        <v/>
      </c>
      <c r="U34" s="32" t="str">
        <f>IF($A34="","",[1]!thsiFinD("ths_adjustment_nv_fund",U$3,$A34))</f>
        <v/>
      </c>
      <c r="V34" s="32" t="str">
        <f>IF($A34="","",[1]!thsiFinD("ths_adjustment_nv_fund",V$3,$A34))</f>
        <v/>
      </c>
      <c r="W34" s="32" t="str">
        <f>IF($A34="","",[1]!thsiFinD("ths_adjustment_nv_fund",W$3,$A34))</f>
        <v/>
      </c>
      <c r="X34" s="32" t="str">
        <f>IF($A34="","",[1]!thsiFinD("ths_adjustment_nv_fund",X$3,$A34))</f>
        <v/>
      </c>
    </row>
    <row r="35" spans="1:24" x14ac:dyDescent="0.25">
      <c r="A35" s="31"/>
      <c r="B35" s="32" t="str">
        <f>IF($A35="","",[1]!thsiFinD("ths_adjustment_nv_fund",B$3,$A35))</f>
        <v/>
      </c>
      <c r="C35" s="32" t="str">
        <f>IF($A35="","",[1]!thsiFinD("ths_adjustment_nv_fund",C$3,$A35))</f>
        <v/>
      </c>
      <c r="D35" s="32" t="str">
        <f>IF($A35="","",[1]!thsiFinD("ths_adjustment_nv_fund",D$3,$A35))</f>
        <v/>
      </c>
      <c r="E35" s="32" t="str">
        <f>IF($A35="","",[1]!thsiFinD("ths_adjustment_nv_fund",E$3,$A35))</f>
        <v/>
      </c>
      <c r="F35" s="32" t="str">
        <f>IF($A35="","",[1]!thsiFinD("ths_adjustment_nv_fund",F$3,$A35))</f>
        <v/>
      </c>
      <c r="G35" s="32" t="str">
        <f>IF($A35="","",[1]!thsiFinD("ths_adjustment_nv_fund",G$3,$A35))</f>
        <v/>
      </c>
      <c r="H35" s="32" t="str">
        <f>IF($A35="","",[1]!thsiFinD("ths_adjustment_nv_fund",H$3,$A35))</f>
        <v/>
      </c>
      <c r="I35" s="32" t="str">
        <f>IF($A35="","",[1]!thsiFinD("ths_adjustment_nv_fund",I$3,$A35))</f>
        <v/>
      </c>
      <c r="J35" s="32" t="str">
        <f>IF($A35="","",[1]!thsiFinD("ths_adjustment_nv_fund",J$3,$A35))</f>
        <v/>
      </c>
      <c r="K35" s="32" t="str">
        <f>IF($A35="","",[1]!thsiFinD("ths_adjustment_nv_fund",K$3,$A35))</f>
        <v/>
      </c>
      <c r="L35" s="32" t="str">
        <f>IF($A35="","",[1]!thsiFinD("ths_adjustment_nv_fund",L$3,$A35))</f>
        <v/>
      </c>
      <c r="M35" s="32" t="str">
        <f>IF($A35="","",[1]!thsiFinD("ths_adjustment_nv_fund",M$3,$A35))</f>
        <v/>
      </c>
      <c r="N35" s="32" t="str">
        <f>IF($A35="","",[1]!thsiFinD("ths_adjustment_nv_fund",N$3,$A35))</f>
        <v/>
      </c>
      <c r="O35" s="32" t="str">
        <f>IF($A35="","",[1]!thsiFinD("ths_adjustment_nv_fund",O$3,$A35))</f>
        <v/>
      </c>
      <c r="P35" s="32" t="str">
        <f>IF($A35="","",[1]!thsiFinD("ths_adjustment_nv_fund",P$3,$A35))</f>
        <v/>
      </c>
      <c r="Q35" s="32" t="str">
        <f>IF($A35="","",[1]!thsiFinD("ths_adjustment_nv_fund",Q$3,$A35))</f>
        <v/>
      </c>
      <c r="R35" s="32" t="str">
        <f>IF($A35="","",[1]!thsiFinD("ths_adjustment_nv_fund",R$3,$A35))</f>
        <v/>
      </c>
      <c r="S35" s="32" t="str">
        <f>IF($A35="","",[1]!thsiFinD("ths_adjustment_nv_fund",S$3,$A35))</f>
        <v/>
      </c>
      <c r="T35" s="32" t="str">
        <f>IF($A35="","",[1]!thsiFinD("ths_adjustment_nv_fund",T$3,$A35))</f>
        <v/>
      </c>
      <c r="U35" s="32" t="str">
        <f>IF($A35="","",[1]!thsiFinD("ths_adjustment_nv_fund",U$3,$A35))</f>
        <v/>
      </c>
      <c r="V35" s="32" t="str">
        <f>IF($A35="","",[1]!thsiFinD("ths_adjustment_nv_fund",V$3,$A35))</f>
        <v/>
      </c>
      <c r="W35" s="32" t="str">
        <f>IF($A35="","",[1]!thsiFinD("ths_adjustment_nv_fund",W$3,$A35))</f>
        <v/>
      </c>
      <c r="X35" s="32" t="str">
        <f>IF($A35="","",[1]!thsiFinD("ths_adjustment_nv_fund",X$3,$A35))</f>
        <v/>
      </c>
    </row>
    <row r="36" spans="1:24" x14ac:dyDescent="0.25">
      <c r="A36" s="31"/>
      <c r="B36" s="32" t="str">
        <f>IF($A36="","",[1]!thsiFinD("ths_adjustment_nv_fund",B$3,$A36))</f>
        <v/>
      </c>
      <c r="C36" s="32" t="str">
        <f>IF($A36="","",[1]!thsiFinD("ths_adjustment_nv_fund",C$3,$A36))</f>
        <v/>
      </c>
      <c r="D36" s="32" t="str">
        <f>IF($A36="","",[1]!thsiFinD("ths_adjustment_nv_fund",D$3,$A36))</f>
        <v/>
      </c>
      <c r="E36" s="32" t="str">
        <f>IF($A36="","",[1]!thsiFinD("ths_adjustment_nv_fund",E$3,$A36))</f>
        <v/>
      </c>
      <c r="F36" s="32" t="str">
        <f>IF($A36="","",[1]!thsiFinD("ths_adjustment_nv_fund",F$3,$A36))</f>
        <v/>
      </c>
      <c r="G36" s="32" t="str">
        <f>IF($A36="","",[1]!thsiFinD("ths_adjustment_nv_fund",G$3,$A36))</f>
        <v/>
      </c>
      <c r="H36" s="32" t="str">
        <f>IF($A36="","",[1]!thsiFinD("ths_adjustment_nv_fund",H$3,$A36))</f>
        <v/>
      </c>
      <c r="I36" s="32" t="str">
        <f>IF($A36="","",[1]!thsiFinD("ths_adjustment_nv_fund",I$3,$A36))</f>
        <v/>
      </c>
      <c r="J36" s="32" t="str">
        <f>IF($A36="","",[1]!thsiFinD("ths_adjustment_nv_fund",J$3,$A36))</f>
        <v/>
      </c>
      <c r="K36" s="32" t="str">
        <f>IF($A36="","",[1]!thsiFinD("ths_adjustment_nv_fund",K$3,$A36))</f>
        <v/>
      </c>
      <c r="L36" s="32" t="str">
        <f>IF($A36="","",[1]!thsiFinD("ths_adjustment_nv_fund",L$3,$A36))</f>
        <v/>
      </c>
      <c r="M36" s="32" t="str">
        <f>IF($A36="","",[1]!thsiFinD("ths_adjustment_nv_fund",M$3,$A36))</f>
        <v/>
      </c>
      <c r="N36" s="32" t="str">
        <f>IF($A36="","",[1]!thsiFinD("ths_adjustment_nv_fund",N$3,$A36))</f>
        <v/>
      </c>
      <c r="O36" s="32" t="str">
        <f>IF($A36="","",[1]!thsiFinD("ths_adjustment_nv_fund",O$3,$A36))</f>
        <v/>
      </c>
      <c r="P36" s="32" t="str">
        <f>IF($A36="","",[1]!thsiFinD("ths_adjustment_nv_fund",P$3,$A36))</f>
        <v/>
      </c>
      <c r="Q36" s="32" t="str">
        <f>IF($A36="","",[1]!thsiFinD("ths_adjustment_nv_fund",Q$3,$A36))</f>
        <v/>
      </c>
      <c r="R36" s="32" t="str">
        <f>IF($A36="","",[1]!thsiFinD("ths_adjustment_nv_fund",R$3,$A36))</f>
        <v/>
      </c>
      <c r="S36" s="32" t="str">
        <f>IF($A36="","",[1]!thsiFinD("ths_adjustment_nv_fund",S$3,$A36))</f>
        <v/>
      </c>
      <c r="T36" s="32" t="str">
        <f>IF($A36="","",[1]!thsiFinD("ths_adjustment_nv_fund",T$3,$A36))</f>
        <v/>
      </c>
      <c r="U36" s="32" t="str">
        <f>IF($A36="","",[1]!thsiFinD("ths_adjustment_nv_fund",U$3,$A36))</f>
        <v/>
      </c>
      <c r="V36" s="32" t="str">
        <f>IF($A36="","",[1]!thsiFinD("ths_adjustment_nv_fund",V$3,$A36))</f>
        <v/>
      </c>
      <c r="W36" s="32" t="str">
        <f>IF($A36="","",[1]!thsiFinD("ths_adjustment_nv_fund",W$3,$A36))</f>
        <v/>
      </c>
      <c r="X36" s="32" t="str">
        <f>IF($A36="","",[1]!thsiFinD("ths_adjustment_nv_fund",X$3,$A36))</f>
        <v/>
      </c>
    </row>
    <row r="37" spans="1:24" x14ac:dyDescent="0.25">
      <c r="A37" s="31"/>
      <c r="B37" s="32" t="str">
        <f>IF($A37="","",[1]!thsiFinD("ths_adjustment_nv_fund",B$3,$A37))</f>
        <v/>
      </c>
      <c r="C37" s="32" t="str">
        <f>IF($A37="","",[1]!thsiFinD("ths_adjustment_nv_fund",C$3,$A37))</f>
        <v/>
      </c>
      <c r="D37" s="32" t="str">
        <f>IF($A37="","",[1]!thsiFinD("ths_adjustment_nv_fund",D$3,$A37))</f>
        <v/>
      </c>
      <c r="E37" s="32" t="str">
        <f>IF($A37="","",[1]!thsiFinD("ths_adjustment_nv_fund",E$3,$A37))</f>
        <v/>
      </c>
      <c r="F37" s="32" t="str">
        <f>IF($A37="","",[1]!thsiFinD("ths_adjustment_nv_fund",F$3,$A37))</f>
        <v/>
      </c>
      <c r="G37" s="32" t="str">
        <f>IF($A37="","",[1]!thsiFinD("ths_adjustment_nv_fund",G$3,$A37))</f>
        <v/>
      </c>
      <c r="H37" s="32" t="str">
        <f>IF($A37="","",[1]!thsiFinD("ths_adjustment_nv_fund",H$3,$A37))</f>
        <v/>
      </c>
      <c r="I37" s="32" t="str">
        <f>IF($A37="","",[1]!thsiFinD("ths_adjustment_nv_fund",I$3,$A37))</f>
        <v/>
      </c>
      <c r="J37" s="32" t="str">
        <f>IF($A37="","",[1]!thsiFinD("ths_adjustment_nv_fund",J$3,$A37))</f>
        <v/>
      </c>
      <c r="K37" s="32" t="str">
        <f>IF($A37="","",[1]!thsiFinD("ths_adjustment_nv_fund",K$3,$A37))</f>
        <v/>
      </c>
      <c r="L37" s="32" t="str">
        <f>IF($A37="","",[1]!thsiFinD("ths_adjustment_nv_fund",L$3,$A37))</f>
        <v/>
      </c>
      <c r="M37" s="32" t="str">
        <f>IF($A37="","",[1]!thsiFinD("ths_adjustment_nv_fund",M$3,$A37))</f>
        <v/>
      </c>
      <c r="N37" s="32" t="str">
        <f>IF($A37="","",[1]!thsiFinD("ths_adjustment_nv_fund",N$3,$A37))</f>
        <v/>
      </c>
      <c r="O37" s="32" t="str">
        <f>IF($A37="","",[1]!thsiFinD("ths_adjustment_nv_fund",O$3,$A37))</f>
        <v/>
      </c>
      <c r="P37" s="32" t="str">
        <f>IF($A37="","",[1]!thsiFinD("ths_adjustment_nv_fund",P$3,$A37))</f>
        <v/>
      </c>
      <c r="Q37" s="32" t="str">
        <f>IF($A37="","",[1]!thsiFinD("ths_adjustment_nv_fund",Q$3,$A37))</f>
        <v/>
      </c>
      <c r="R37" s="32" t="str">
        <f>IF($A37="","",[1]!thsiFinD("ths_adjustment_nv_fund",R$3,$A37))</f>
        <v/>
      </c>
      <c r="S37" s="32" t="str">
        <f>IF($A37="","",[1]!thsiFinD("ths_adjustment_nv_fund",S$3,$A37))</f>
        <v/>
      </c>
      <c r="T37" s="32" t="str">
        <f>IF($A37="","",[1]!thsiFinD("ths_adjustment_nv_fund",T$3,$A37))</f>
        <v/>
      </c>
      <c r="U37" s="32" t="str">
        <f>IF($A37="","",[1]!thsiFinD("ths_adjustment_nv_fund",U$3,$A37))</f>
        <v/>
      </c>
      <c r="V37" s="32" t="str">
        <f>IF($A37="","",[1]!thsiFinD("ths_adjustment_nv_fund",V$3,$A37))</f>
        <v/>
      </c>
      <c r="W37" s="32" t="str">
        <f>IF($A37="","",[1]!thsiFinD("ths_adjustment_nv_fund",W$3,$A37))</f>
        <v/>
      </c>
      <c r="X37" s="32" t="str">
        <f>IF($A37="","",[1]!thsiFinD("ths_adjustment_nv_fund",X$3,$A37))</f>
        <v/>
      </c>
    </row>
    <row r="38" spans="1:24" x14ac:dyDescent="0.25">
      <c r="A38" s="31"/>
      <c r="B38" s="32" t="str">
        <f>IF($A38="","",[1]!thsiFinD("ths_adjustment_nv_fund",B$3,$A38))</f>
        <v/>
      </c>
      <c r="C38" s="32" t="str">
        <f>IF($A38="","",[1]!thsiFinD("ths_adjustment_nv_fund",C$3,$A38))</f>
        <v/>
      </c>
      <c r="D38" s="32" t="str">
        <f>IF($A38="","",[1]!thsiFinD("ths_adjustment_nv_fund",D$3,$A38))</f>
        <v/>
      </c>
      <c r="E38" s="32" t="str">
        <f>IF($A38="","",[1]!thsiFinD("ths_adjustment_nv_fund",E$3,$A38))</f>
        <v/>
      </c>
      <c r="F38" s="32" t="str">
        <f>IF($A38="","",[1]!thsiFinD("ths_adjustment_nv_fund",F$3,$A38))</f>
        <v/>
      </c>
      <c r="G38" s="32" t="str">
        <f>IF($A38="","",[1]!thsiFinD("ths_adjustment_nv_fund",G$3,$A38))</f>
        <v/>
      </c>
      <c r="H38" s="32" t="str">
        <f>IF($A38="","",[1]!thsiFinD("ths_adjustment_nv_fund",H$3,$A38))</f>
        <v/>
      </c>
      <c r="I38" s="32" t="str">
        <f>IF($A38="","",[1]!thsiFinD("ths_adjustment_nv_fund",I$3,$A38))</f>
        <v/>
      </c>
      <c r="J38" s="32" t="str">
        <f>IF($A38="","",[1]!thsiFinD("ths_adjustment_nv_fund",J$3,$A38))</f>
        <v/>
      </c>
      <c r="K38" s="32" t="str">
        <f>IF($A38="","",[1]!thsiFinD("ths_adjustment_nv_fund",K$3,$A38))</f>
        <v/>
      </c>
      <c r="L38" s="32" t="str">
        <f>IF($A38="","",[1]!thsiFinD("ths_adjustment_nv_fund",L$3,$A38))</f>
        <v/>
      </c>
      <c r="M38" s="32" t="str">
        <f>IF($A38="","",[1]!thsiFinD("ths_adjustment_nv_fund",M$3,$A38))</f>
        <v/>
      </c>
      <c r="N38" s="32" t="str">
        <f>IF($A38="","",[1]!thsiFinD("ths_adjustment_nv_fund",N$3,$A38))</f>
        <v/>
      </c>
      <c r="O38" s="32" t="str">
        <f>IF($A38="","",[1]!thsiFinD("ths_adjustment_nv_fund",O$3,$A38))</f>
        <v/>
      </c>
      <c r="P38" s="32" t="str">
        <f>IF($A38="","",[1]!thsiFinD("ths_adjustment_nv_fund",P$3,$A38))</f>
        <v/>
      </c>
      <c r="Q38" s="32" t="str">
        <f>IF($A38="","",[1]!thsiFinD("ths_adjustment_nv_fund",Q$3,$A38))</f>
        <v/>
      </c>
      <c r="R38" s="32" t="str">
        <f>IF($A38="","",[1]!thsiFinD("ths_adjustment_nv_fund",R$3,$A38))</f>
        <v/>
      </c>
      <c r="S38" s="32" t="str">
        <f>IF($A38="","",[1]!thsiFinD("ths_adjustment_nv_fund",S$3,$A38))</f>
        <v/>
      </c>
      <c r="T38" s="32" t="str">
        <f>IF($A38="","",[1]!thsiFinD("ths_adjustment_nv_fund",T$3,$A38))</f>
        <v/>
      </c>
      <c r="U38" s="32" t="str">
        <f>IF($A38="","",[1]!thsiFinD("ths_adjustment_nv_fund",U$3,$A38))</f>
        <v/>
      </c>
      <c r="V38" s="32" t="str">
        <f>IF($A38="","",[1]!thsiFinD("ths_adjustment_nv_fund",V$3,$A38))</f>
        <v/>
      </c>
      <c r="W38" s="32" t="str">
        <f>IF($A38="","",[1]!thsiFinD("ths_adjustment_nv_fund",W$3,$A38))</f>
        <v/>
      </c>
      <c r="X38" s="32" t="str">
        <f>IF($A38="","",[1]!thsiFinD("ths_adjustment_nv_fund",X$3,$A38))</f>
        <v/>
      </c>
    </row>
    <row r="39" spans="1:24" x14ac:dyDescent="0.25">
      <c r="A39" s="31"/>
      <c r="B39" s="32" t="str">
        <f>IF($A39="","",[1]!thsiFinD("ths_adjustment_nv_fund",B$3,$A39))</f>
        <v/>
      </c>
      <c r="C39" s="32" t="str">
        <f>IF($A39="","",[1]!thsiFinD("ths_adjustment_nv_fund",C$3,$A39))</f>
        <v/>
      </c>
      <c r="D39" s="32" t="str">
        <f>IF($A39="","",[1]!thsiFinD("ths_adjustment_nv_fund",D$3,$A39))</f>
        <v/>
      </c>
      <c r="E39" s="32" t="str">
        <f>IF($A39="","",[1]!thsiFinD("ths_adjustment_nv_fund",E$3,$A39))</f>
        <v/>
      </c>
      <c r="F39" s="32" t="str">
        <f>IF($A39="","",[1]!thsiFinD("ths_adjustment_nv_fund",F$3,$A39))</f>
        <v/>
      </c>
      <c r="G39" s="32" t="str">
        <f>IF($A39="","",[1]!thsiFinD("ths_adjustment_nv_fund",G$3,$A39))</f>
        <v/>
      </c>
      <c r="H39" s="32" t="str">
        <f>IF($A39="","",[1]!thsiFinD("ths_adjustment_nv_fund",H$3,$A39))</f>
        <v/>
      </c>
      <c r="I39" s="32" t="str">
        <f>IF($A39="","",[1]!thsiFinD("ths_adjustment_nv_fund",I$3,$A39))</f>
        <v/>
      </c>
      <c r="J39" s="32" t="str">
        <f>IF($A39="","",[1]!thsiFinD("ths_adjustment_nv_fund",J$3,$A39))</f>
        <v/>
      </c>
      <c r="K39" s="32" t="str">
        <f>IF($A39="","",[1]!thsiFinD("ths_adjustment_nv_fund",K$3,$A39))</f>
        <v/>
      </c>
      <c r="L39" s="32" t="str">
        <f>IF($A39="","",[1]!thsiFinD("ths_adjustment_nv_fund",L$3,$A39))</f>
        <v/>
      </c>
      <c r="M39" s="32" t="str">
        <f>IF($A39="","",[1]!thsiFinD("ths_adjustment_nv_fund",M$3,$A39))</f>
        <v/>
      </c>
      <c r="N39" s="32" t="str">
        <f>IF($A39="","",[1]!thsiFinD("ths_adjustment_nv_fund",N$3,$A39))</f>
        <v/>
      </c>
      <c r="O39" s="32" t="str">
        <f>IF($A39="","",[1]!thsiFinD("ths_adjustment_nv_fund",O$3,$A39))</f>
        <v/>
      </c>
      <c r="P39" s="32" t="str">
        <f>IF($A39="","",[1]!thsiFinD("ths_adjustment_nv_fund",P$3,$A39))</f>
        <v/>
      </c>
      <c r="Q39" s="32" t="str">
        <f>IF($A39="","",[1]!thsiFinD("ths_adjustment_nv_fund",Q$3,$A39))</f>
        <v/>
      </c>
      <c r="R39" s="32" t="str">
        <f>IF($A39="","",[1]!thsiFinD("ths_adjustment_nv_fund",R$3,$A39))</f>
        <v/>
      </c>
      <c r="S39" s="32" t="str">
        <f>IF($A39="","",[1]!thsiFinD("ths_adjustment_nv_fund",S$3,$A39))</f>
        <v/>
      </c>
      <c r="T39" s="32" t="str">
        <f>IF($A39="","",[1]!thsiFinD("ths_adjustment_nv_fund",T$3,$A39))</f>
        <v/>
      </c>
      <c r="U39" s="32" t="str">
        <f>IF($A39="","",[1]!thsiFinD("ths_adjustment_nv_fund",U$3,$A39))</f>
        <v/>
      </c>
      <c r="V39" s="32" t="str">
        <f>IF($A39="","",[1]!thsiFinD("ths_adjustment_nv_fund",V$3,$A39))</f>
        <v/>
      </c>
      <c r="W39" s="32" t="str">
        <f>IF($A39="","",[1]!thsiFinD("ths_adjustment_nv_fund",W$3,$A39))</f>
        <v/>
      </c>
      <c r="X39" s="32" t="str">
        <f>IF($A39="","",[1]!thsiFinD("ths_adjustment_nv_fund",X$3,$A39))</f>
        <v/>
      </c>
    </row>
    <row r="40" spans="1:24" x14ac:dyDescent="0.25">
      <c r="A40" s="31"/>
      <c r="B40" s="32" t="str">
        <f>IF($A40="","",[1]!thsiFinD("ths_adjustment_nv_fund",B$3,$A40))</f>
        <v/>
      </c>
      <c r="C40" s="32" t="str">
        <f>IF($A40="","",[1]!thsiFinD("ths_adjustment_nv_fund",C$3,$A40))</f>
        <v/>
      </c>
      <c r="D40" s="32" t="str">
        <f>IF($A40="","",[1]!thsiFinD("ths_adjustment_nv_fund",D$3,$A40))</f>
        <v/>
      </c>
      <c r="E40" s="32" t="str">
        <f>IF($A40="","",[1]!thsiFinD("ths_adjustment_nv_fund",E$3,$A40))</f>
        <v/>
      </c>
      <c r="F40" s="32" t="str">
        <f>IF($A40="","",[1]!thsiFinD("ths_adjustment_nv_fund",F$3,$A40))</f>
        <v/>
      </c>
      <c r="G40" s="32" t="str">
        <f>IF($A40="","",[1]!thsiFinD("ths_adjustment_nv_fund",G$3,$A40))</f>
        <v/>
      </c>
      <c r="H40" s="32" t="str">
        <f>IF($A40="","",[1]!thsiFinD("ths_adjustment_nv_fund",H$3,$A40))</f>
        <v/>
      </c>
      <c r="I40" s="32" t="str">
        <f>IF($A40="","",[1]!thsiFinD("ths_adjustment_nv_fund",I$3,$A40))</f>
        <v/>
      </c>
      <c r="J40" s="32" t="str">
        <f>IF($A40="","",[1]!thsiFinD("ths_adjustment_nv_fund",J$3,$A40))</f>
        <v/>
      </c>
      <c r="K40" s="32" t="str">
        <f>IF($A40="","",[1]!thsiFinD("ths_adjustment_nv_fund",K$3,$A40))</f>
        <v/>
      </c>
      <c r="L40" s="32" t="str">
        <f>IF($A40="","",[1]!thsiFinD("ths_adjustment_nv_fund",L$3,$A40))</f>
        <v/>
      </c>
      <c r="M40" s="32" t="str">
        <f>IF($A40="","",[1]!thsiFinD("ths_adjustment_nv_fund",M$3,$A40))</f>
        <v/>
      </c>
      <c r="N40" s="32" t="str">
        <f>IF($A40="","",[1]!thsiFinD("ths_adjustment_nv_fund",N$3,$A40))</f>
        <v/>
      </c>
      <c r="O40" s="32" t="str">
        <f>IF($A40="","",[1]!thsiFinD("ths_adjustment_nv_fund",O$3,$A40))</f>
        <v/>
      </c>
      <c r="P40" s="32" t="str">
        <f>IF($A40="","",[1]!thsiFinD("ths_adjustment_nv_fund",P$3,$A40))</f>
        <v/>
      </c>
      <c r="Q40" s="32" t="str">
        <f>IF($A40="","",[1]!thsiFinD("ths_adjustment_nv_fund",Q$3,$A40))</f>
        <v/>
      </c>
      <c r="R40" s="32" t="str">
        <f>IF($A40="","",[1]!thsiFinD("ths_adjustment_nv_fund",R$3,$A40))</f>
        <v/>
      </c>
      <c r="S40" s="32" t="str">
        <f>IF($A40="","",[1]!thsiFinD("ths_adjustment_nv_fund",S$3,$A40))</f>
        <v/>
      </c>
      <c r="T40" s="32" t="str">
        <f>IF($A40="","",[1]!thsiFinD("ths_adjustment_nv_fund",T$3,$A40))</f>
        <v/>
      </c>
      <c r="U40" s="32" t="str">
        <f>IF($A40="","",[1]!thsiFinD("ths_adjustment_nv_fund",U$3,$A40))</f>
        <v/>
      </c>
      <c r="V40" s="32" t="str">
        <f>IF($A40="","",[1]!thsiFinD("ths_adjustment_nv_fund",V$3,$A40))</f>
        <v/>
      </c>
      <c r="W40" s="32" t="str">
        <f>IF($A40="","",[1]!thsiFinD("ths_adjustment_nv_fund",W$3,$A40))</f>
        <v/>
      </c>
      <c r="X40" s="32" t="str">
        <f>IF($A40="","",[1]!thsiFinD("ths_adjustment_nv_fund",X$3,$A40))</f>
        <v/>
      </c>
    </row>
    <row r="41" spans="1:24" x14ac:dyDescent="0.25">
      <c r="A41" s="31"/>
      <c r="B41" s="32" t="str">
        <f>IF($A41="","",[1]!thsiFinD("ths_adjustment_nv_fund",B$3,$A41))</f>
        <v/>
      </c>
      <c r="C41" s="32" t="str">
        <f>IF($A41="","",[1]!thsiFinD("ths_adjustment_nv_fund",C$3,$A41))</f>
        <v/>
      </c>
      <c r="D41" s="32" t="str">
        <f>IF($A41="","",[1]!thsiFinD("ths_adjustment_nv_fund",D$3,$A41))</f>
        <v/>
      </c>
      <c r="E41" s="32" t="str">
        <f>IF($A41="","",[1]!thsiFinD("ths_adjustment_nv_fund",E$3,$A41))</f>
        <v/>
      </c>
      <c r="F41" s="32" t="str">
        <f>IF($A41="","",[1]!thsiFinD("ths_adjustment_nv_fund",F$3,$A41))</f>
        <v/>
      </c>
      <c r="G41" s="32" t="str">
        <f>IF($A41="","",[1]!thsiFinD("ths_adjustment_nv_fund",G$3,$A41))</f>
        <v/>
      </c>
      <c r="H41" s="32" t="str">
        <f>IF($A41="","",[1]!thsiFinD("ths_adjustment_nv_fund",H$3,$A41))</f>
        <v/>
      </c>
      <c r="I41" s="32" t="str">
        <f>IF($A41="","",[1]!thsiFinD("ths_adjustment_nv_fund",I$3,$A41))</f>
        <v/>
      </c>
      <c r="J41" s="32" t="str">
        <f>IF($A41="","",[1]!thsiFinD("ths_adjustment_nv_fund",J$3,$A41))</f>
        <v/>
      </c>
      <c r="K41" s="32" t="str">
        <f>IF($A41="","",[1]!thsiFinD("ths_adjustment_nv_fund",K$3,$A41))</f>
        <v/>
      </c>
      <c r="L41" s="32" t="str">
        <f>IF($A41="","",[1]!thsiFinD("ths_adjustment_nv_fund",L$3,$A41))</f>
        <v/>
      </c>
      <c r="M41" s="32" t="str">
        <f>IF($A41="","",[1]!thsiFinD("ths_adjustment_nv_fund",M$3,$A41))</f>
        <v/>
      </c>
      <c r="N41" s="32" t="str">
        <f>IF($A41="","",[1]!thsiFinD("ths_adjustment_nv_fund",N$3,$A41))</f>
        <v/>
      </c>
      <c r="O41" s="32" t="str">
        <f>IF($A41="","",[1]!thsiFinD("ths_adjustment_nv_fund",O$3,$A41))</f>
        <v/>
      </c>
      <c r="P41" s="32" t="str">
        <f>IF($A41="","",[1]!thsiFinD("ths_adjustment_nv_fund",P$3,$A41))</f>
        <v/>
      </c>
      <c r="Q41" s="32" t="str">
        <f>IF($A41="","",[1]!thsiFinD("ths_adjustment_nv_fund",Q$3,$A41))</f>
        <v/>
      </c>
      <c r="R41" s="32" t="str">
        <f>IF($A41="","",[1]!thsiFinD("ths_adjustment_nv_fund",R$3,$A41))</f>
        <v/>
      </c>
      <c r="S41" s="32" t="str">
        <f>IF($A41="","",[1]!thsiFinD("ths_adjustment_nv_fund",S$3,$A41))</f>
        <v/>
      </c>
      <c r="T41" s="32" t="str">
        <f>IF($A41="","",[1]!thsiFinD("ths_adjustment_nv_fund",T$3,$A41))</f>
        <v/>
      </c>
      <c r="U41" s="32" t="str">
        <f>IF($A41="","",[1]!thsiFinD("ths_adjustment_nv_fund",U$3,$A41))</f>
        <v/>
      </c>
      <c r="V41" s="32" t="str">
        <f>IF($A41="","",[1]!thsiFinD("ths_adjustment_nv_fund",V$3,$A41))</f>
        <v/>
      </c>
      <c r="W41" s="32" t="str">
        <f>IF($A41="","",[1]!thsiFinD("ths_adjustment_nv_fund",W$3,$A41))</f>
        <v/>
      </c>
      <c r="X41" s="32" t="str">
        <f>IF($A41="","",[1]!thsiFinD("ths_adjustment_nv_fund",X$3,$A41))</f>
        <v/>
      </c>
    </row>
    <row r="42" spans="1:24" x14ac:dyDescent="0.25">
      <c r="A42" s="31"/>
      <c r="B42" s="32" t="str">
        <f>IF($A42="","",[1]!thsiFinD("ths_adjustment_nv_fund",B$3,$A42))</f>
        <v/>
      </c>
      <c r="C42" s="32" t="str">
        <f>IF($A42="","",[1]!thsiFinD("ths_adjustment_nv_fund",C$3,$A42))</f>
        <v/>
      </c>
      <c r="D42" s="32" t="str">
        <f>IF($A42="","",[1]!thsiFinD("ths_adjustment_nv_fund",D$3,$A42))</f>
        <v/>
      </c>
      <c r="E42" s="32" t="str">
        <f>IF($A42="","",[1]!thsiFinD("ths_adjustment_nv_fund",E$3,$A42))</f>
        <v/>
      </c>
      <c r="F42" s="32" t="str">
        <f>IF($A42="","",[1]!thsiFinD("ths_adjustment_nv_fund",F$3,$A42))</f>
        <v/>
      </c>
      <c r="G42" s="32" t="str">
        <f>IF($A42="","",[1]!thsiFinD("ths_adjustment_nv_fund",G$3,$A42))</f>
        <v/>
      </c>
      <c r="H42" s="32" t="str">
        <f>IF($A42="","",[1]!thsiFinD("ths_adjustment_nv_fund",H$3,$A42))</f>
        <v/>
      </c>
      <c r="I42" s="32" t="str">
        <f>IF($A42="","",[1]!thsiFinD("ths_adjustment_nv_fund",I$3,$A42))</f>
        <v/>
      </c>
      <c r="J42" s="32" t="str">
        <f>IF($A42="","",[1]!thsiFinD("ths_adjustment_nv_fund",J$3,$A42))</f>
        <v/>
      </c>
      <c r="K42" s="32" t="str">
        <f>IF($A42="","",[1]!thsiFinD("ths_adjustment_nv_fund",K$3,$A42))</f>
        <v/>
      </c>
      <c r="L42" s="32" t="str">
        <f>IF($A42="","",[1]!thsiFinD("ths_adjustment_nv_fund",L$3,$A42))</f>
        <v/>
      </c>
      <c r="M42" s="32" t="str">
        <f>IF($A42="","",[1]!thsiFinD("ths_adjustment_nv_fund",M$3,$A42))</f>
        <v/>
      </c>
      <c r="N42" s="32" t="str">
        <f>IF($A42="","",[1]!thsiFinD("ths_adjustment_nv_fund",N$3,$A42))</f>
        <v/>
      </c>
      <c r="O42" s="32" t="str">
        <f>IF($A42="","",[1]!thsiFinD("ths_adjustment_nv_fund",O$3,$A42))</f>
        <v/>
      </c>
      <c r="P42" s="32" t="str">
        <f>IF($A42="","",[1]!thsiFinD("ths_adjustment_nv_fund",P$3,$A42))</f>
        <v/>
      </c>
      <c r="Q42" s="32" t="str">
        <f>IF($A42="","",[1]!thsiFinD("ths_adjustment_nv_fund",Q$3,$A42))</f>
        <v/>
      </c>
      <c r="R42" s="32" t="str">
        <f>IF($A42="","",[1]!thsiFinD("ths_adjustment_nv_fund",R$3,$A42))</f>
        <v/>
      </c>
      <c r="S42" s="32" t="str">
        <f>IF($A42="","",[1]!thsiFinD("ths_adjustment_nv_fund",S$3,$A42))</f>
        <v/>
      </c>
      <c r="T42" s="32" t="str">
        <f>IF($A42="","",[1]!thsiFinD("ths_adjustment_nv_fund",T$3,$A42))</f>
        <v/>
      </c>
      <c r="U42" s="32" t="str">
        <f>IF($A42="","",[1]!thsiFinD("ths_adjustment_nv_fund",U$3,$A42))</f>
        <v/>
      </c>
      <c r="V42" s="32" t="str">
        <f>IF($A42="","",[1]!thsiFinD("ths_adjustment_nv_fund",V$3,$A42))</f>
        <v/>
      </c>
      <c r="W42" s="32" t="str">
        <f>IF($A42="","",[1]!thsiFinD("ths_adjustment_nv_fund",W$3,$A42))</f>
        <v/>
      </c>
      <c r="X42" s="32" t="str">
        <f>IF($A42="","",[1]!thsiFinD("ths_adjustment_nv_fund",X$3,$A42))</f>
        <v/>
      </c>
    </row>
    <row r="43" spans="1:24" x14ac:dyDescent="0.25">
      <c r="A43" s="31"/>
      <c r="B43" s="32" t="str">
        <f>IF($A43="","",[1]!thsiFinD("ths_adjustment_nv_fund",B$3,$A43))</f>
        <v/>
      </c>
      <c r="C43" s="32" t="str">
        <f>IF($A43="","",[1]!thsiFinD("ths_adjustment_nv_fund",C$3,$A43))</f>
        <v/>
      </c>
      <c r="D43" s="32" t="str">
        <f>IF($A43="","",[1]!thsiFinD("ths_adjustment_nv_fund",D$3,$A43))</f>
        <v/>
      </c>
      <c r="E43" s="32" t="str">
        <f>IF($A43="","",[1]!thsiFinD("ths_adjustment_nv_fund",E$3,$A43))</f>
        <v/>
      </c>
      <c r="F43" s="32" t="str">
        <f>IF($A43="","",[1]!thsiFinD("ths_adjustment_nv_fund",F$3,$A43))</f>
        <v/>
      </c>
      <c r="G43" s="32" t="str">
        <f>IF($A43="","",[1]!thsiFinD("ths_adjustment_nv_fund",G$3,$A43))</f>
        <v/>
      </c>
      <c r="H43" s="32" t="str">
        <f>IF($A43="","",[1]!thsiFinD("ths_adjustment_nv_fund",H$3,$A43))</f>
        <v/>
      </c>
      <c r="I43" s="32" t="str">
        <f>IF($A43="","",[1]!thsiFinD("ths_adjustment_nv_fund",I$3,$A43))</f>
        <v/>
      </c>
      <c r="J43" s="32" t="str">
        <f>IF($A43="","",[1]!thsiFinD("ths_adjustment_nv_fund",J$3,$A43))</f>
        <v/>
      </c>
      <c r="K43" s="32" t="str">
        <f>IF($A43="","",[1]!thsiFinD("ths_adjustment_nv_fund",K$3,$A43))</f>
        <v/>
      </c>
      <c r="L43" s="32" t="str">
        <f>IF($A43="","",[1]!thsiFinD("ths_adjustment_nv_fund",L$3,$A43))</f>
        <v/>
      </c>
      <c r="M43" s="32" t="str">
        <f>IF($A43="","",[1]!thsiFinD("ths_adjustment_nv_fund",M$3,$A43))</f>
        <v/>
      </c>
      <c r="N43" s="32" t="str">
        <f>IF($A43="","",[1]!thsiFinD("ths_adjustment_nv_fund",N$3,$A43))</f>
        <v/>
      </c>
      <c r="O43" s="32" t="str">
        <f>IF($A43="","",[1]!thsiFinD("ths_adjustment_nv_fund",O$3,$A43))</f>
        <v/>
      </c>
      <c r="P43" s="32" t="str">
        <f>IF($A43="","",[1]!thsiFinD("ths_adjustment_nv_fund",P$3,$A43))</f>
        <v/>
      </c>
      <c r="Q43" s="32" t="str">
        <f>IF($A43="","",[1]!thsiFinD("ths_adjustment_nv_fund",Q$3,$A43))</f>
        <v/>
      </c>
      <c r="R43" s="32" t="str">
        <f>IF($A43="","",[1]!thsiFinD("ths_adjustment_nv_fund",R$3,$A43))</f>
        <v/>
      </c>
      <c r="S43" s="32" t="str">
        <f>IF($A43="","",[1]!thsiFinD("ths_adjustment_nv_fund",S$3,$A43))</f>
        <v/>
      </c>
      <c r="T43" s="32" t="str">
        <f>IF($A43="","",[1]!thsiFinD("ths_adjustment_nv_fund",T$3,$A43))</f>
        <v/>
      </c>
      <c r="U43" s="32" t="str">
        <f>IF($A43="","",[1]!thsiFinD("ths_adjustment_nv_fund",U$3,$A43))</f>
        <v/>
      </c>
      <c r="V43" s="32" t="str">
        <f>IF($A43="","",[1]!thsiFinD("ths_adjustment_nv_fund",V$3,$A43))</f>
        <v/>
      </c>
      <c r="W43" s="32" t="str">
        <f>IF($A43="","",[1]!thsiFinD("ths_adjustment_nv_fund",W$3,$A43))</f>
        <v/>
      </c>
      <c r="X43" s="32" t="str">
        <f>IF($A43="","",[1]!thsiFinD("ths_adjustment_nv_fund",X$3,$A43))</f>
        <v/>
      </c>
    </row>
    <row r="44" spans="1:24" x14ac:dyDescent="0.25">
      <c r="A44" s="31"/>
      <c r="B44" s="32" t="str">
        <f>IF($A44="","",[1]!thsiFinD("ths_adjustment_nv_fund",B$3,$A44))</f>
        <v/>
      </c>
      <c r="C44" s="32" t="str">
        <f>IF($A44="","",[1]!thsiFinD("ths_adjustment_nv_fund",C$3,$A44))</f>
        <v/>
      </c>
      <c r="D44" s="32" t="str">
        <f>IF($A44="","",[1]!thsiFinD("ths_adjustment_nv_fund",D$3,$A44))</f>
        <v/>
      </c>
      <c r="E44" s="32" t="str">
        <f>IF($A44="","",[1]!thsiFinD("ths_adjustment_nv_fund",E$3,$A44))</f>
        <v/>
      </c>
      <c r="F44" s="32" t="str">
        <f>IF($A44="","",[1]!thsiFinD("ths_adjustment_nv_fund",F$3,$A44))</f>
        <v/>
      </c>
      <c r="G44" s="32" t="str">
        <f>IF($A44="","",[1]!thsiFinD("ths_adjustment_nv_fund",G$3,$A44))</f>
        <v/>
      </c>
      <c r="H44" s="32" t="str">
        <f>IF($A44="","",[1]!thsiFinD("ths_adjustment_nv_fund",H$3,$A44))</f>
        <v/>
      </c>
      <c r="I44" s="32" t="str">
        <f>IF($A44="","",[1]!thsiFinD("ths_adjustment_nv_fund",I$3,$A44))</f>
        <v/>
      </c>
      <c r="J44" s="32" t="str">
        <f>IF($A44="","",[1]!thsiFinD("ths_adjustment_nv_fund",J$3,$A44))</f>
        <v/>
      </c>
      <c r="K44" s="32" t="str">
        <f>IF($A44="","",[1]!thsiFinD("ths_adjustment_nv_fund",K$3,$A44))</f>
        <v/>
      </c>
      <c r="L44" s="32" t="str">
        <f>IF($A44="","",[1]!thsiFinD("ths_adjustment_nv_fund",L$3,$A44))</f>
        <v/>
      </c>
      <c r="M44" s="32" t="str">
        <f>IF($A44="","",[1]!thsiFinD("ths_adjustment_nv_fund",M$3,$A44))</f>
        <v/>
      </c>
      <c r="N44" s="32" t="str">
        <f>IF($A44="","",[1]!thsiFinD("ths_adjustment_nv_fund",N$3,$A44))</f>
        <v/>
      </c>
      <c r="O44" s="32" t="str">
        <f>IF($A44="","",[1]!thsiFinD("ths_adjustment_nv_fund",O$3,$A44))</f>
        <v/>
      </c>
      <c r="P44" s="32" t="str">
        <f>IF($A44="","",[1]!thsiFinD("ths_adjustment_nv_fund",P$3,$A44))</f>
        <v/>
      </c>
      <c r="Q44" s="32" t="str">
        <f>IF($A44="","",[1]!thsiFinD("ths_adjustment_nv_fund",Q$3,$A44))</f>
        <v/>
      </c>
      <c r="R44" s="32" t="str">
        <f>IF($A44="","",[1]!thsiFinD("ths_adjustment_nv_fund",R$3,$A44))</f>
        <v/>
      </c>
      <c r="S44" s="32" t="str">
        <f>IF($A44="","",[1]!thsiFinD("ths_adjustment_nv_fund",S$3,$A44))</f>
        <v/>
      </c>
      <c r="T44" s="32" t="str">
        <f>IF($A44="","",[1]!thsiFinD("ths_adjustment_nv_fund",T$3,$A44))</f>
        <v/>
      </c>
      <c r="U44" s="32" t="str">
        <f>IF($A44="","",[1]!thsiFinD("ths_adjustment_nv_fund",U$3,$A44))</f>
        <v/>
      </c>
      <c r="V44" s="32" t="str">
        <f>IF($A44="","",[1]!thsiFinD("ths_adjustment_nv_fund",V$3,$A44))</f>
        <v/>
      </c>
      <c r="W44" s="32" t="str">
        <f>IF($A44="","",[1]!thsiFinD("ths_adjustment_nv_fund",W$3,$A44))</f>
        <v/>
      </c>
      <c r="X44" s="32" t="str">
        <f>IF($A44="","",[1]!thsiFinD("ths_adjustment_nv_fund",X$3,$A44))</f>
        <v/>
      </c>
    </row>
    <row r="45" spans="1:24" x14ac:dyDescent="0.25">
      <c r="A45" s="31"/>
      <c r="B45" s="32" t="str">
        <f>IF($A45="","",[1]!thsiFinD("ths_adjustment_nv_fund",B$3,$A45))</f>
        <v/>
      </c>
      <c r="C45" s="32" t="str">
        <f>IF($A45="","",[1]!thsiFinD("ths_adjustment_nv_fund",C$3,$A45))</f>
        <v/>
      </c>
      <c r="D45" s="32" t="str">
        <f>IF($A45="","",[1]!thsiFinD("ths_adjustment_nv_fund",D$3,$A45))</f>
        <v/>
      </c>
      <c r="E45" s="32" t="str">
        <f>IF($A45="","",[1]!thsiFinD("ths_adjustment_nv_fund",E$3,$A45))</f>
        <v/>
      </c>
      <c r="F45" s="32" t="str">
        <f>IF($A45="","",[1]!thsiFinD("ths_adjustment_nv_fund",F$3,$A45))</f>
        <v/>
      </c>
      <c r="G45" s="32" t="str">
        <f>IF($A45="","",[1]!thsiFinD("ths_adjustment_nv_fund",G$3,$A45))</f>
        <v/>
      </c>
      <c r="H45" s="32" t="str">
        <f>IF($A45="","",[1]!thsiFinD("ths_adjustment_nv_fund",H$3,$A45))</f>
        <v/>
      </c>
      <c r="I45" s="32" t="str">
        <f>IF($A45="","",[1]!thsiFinD("ths_adjustment_nv_fund",I$3,$A45))</f>
        <v/>
      </c>
      <c r="J45" s="32" t="str">
        <f>IF($A45="","",[1]!thsiFinD("ths_adjustment_nv_fund",J$3,$A45))</f>
        <v/>
      </c>
      <c r="K45" s="32" t="str">
        <f>IF($A45="","",[1]!thsiFinD("ths_adjustment_nv_fund",K$3,$A45))</f>
        <v/>
      </c>
      <c r="L45" s="32" t="str">
        <f>IF($A45="","",[1]!thsiFinD("ths_adjustment_nv_fund",L$3,$A45))</f>
        <v/>
      </c>
      <c r="M45" s="32" t="str">
        <f>IF($A45="","",[1]!thsiFinD("ths_adjustment_nv_fund",M$3,$A45))</f>
        <v/>
      </c>
      <c r="N45" s="32" t="str">
        <f>IF($A45="","",[1]!thsiFinD("ths_adjustment_nv_fund",N$3,$A45))</f>
        <v/>
      </c>
      <c r="O45" s="32" t="str">
        <f>IF($A45="","",[1]!thsiFinD("ths_adjustment_nv_fund",O$3,$A45))</f>
        <v/>
      </c>
      <c r="P45" s="32" t="str">
        <f>IF($A45="","",[1]!thsiFinD("ths_adjustment_nv_fund",P$3,$A45))</f>
        <v/>
      </c>
      <c r="Q45" s="32" t="str">
        <f>IF($A45="","",[1]!thsiFinD("ths_adjustment_nv_fund",Q$3,$A45))</f>
        <v/>
      </c>
      <c r="R45" s="32" t="str">
        <f>IF($A45="","",[1]!thsiFinD("ths_adjustment_nv_fund",R$3,$A45))</f>
        <v/>
      </c>
      <c r="S45" s="32" t="str">
        <f>IF($A45="","",[1]!thsiFinD("ths_adjustment_nv_fund",S$3,$A45))</f>
        <v/>
      </c>
      <c r="T45" s="32" t="str">
        <f>IF($A45="","",[1]!thsiFinD("ths_adjustment_nv_fund",T$3,$A45))</f>
        <v/>
      </c>
      <c r="U45" s="32" t="str">
        <f>IF($A45="","",[1]!thsiFinD("ths_adjustment_nv_fund",U$3,$A45))</f>
        <v/>
      </c>
      <c r="V45" s="32" t="str">
        <f>IF($A45="","",[1]!thsiFinD("ths_adjustment_nv_fund",V$3,$A45))</f>
        <v/>
      </c>
      <c r="W45" s="32" t="str">
        <f>IF($A45="","",[1]!thsiFinD("ths_adjustment_nv_fund",W$3,$A45))</f>
        <v/>
      </c>
      <c r="X45" s="32" t="str">
        <f>IF($A45="","",[1]!thsiFinD("ths_adjustment_nv_fund",X$3,$A45))</f>
        <v/>
      </c>
    </row>
    <row r="46" spans="1:24" x14ac:dyDescent="0.25">
      <c r="A46" s="31"/>
      <c r="B46" s="32" t="str">
        <f>IF($A46="","",[1]!thsiFinD("ths_adjustment_nv_fund",B$3,$A46))</f>
        <v/>
      </c>
      <c r="C46" s="32" t="str">
        <f>IF($A46="","",[1]!thsiFinD("ths_adjustment_nv_fund",C$3,$A46))</f>
        <v/>
      </c>
      <c r="D46" s="32" t="str">
        <f>IF($A46="","",[1]!thsiFinD("ths_adjustment_nv_fund",D$3,$A46))</f>
        <v/>
      </c>
      <c r="E46" s="32" t="str">
        <f>IF($A46="","",[1]!thsiFinD("ths_adjustment_nv_fund",E$3,$A46))</f>
        <v/>
      </c>
      <c r="F46" s="32" t="str">
        <f>IF($A46="","",[1]!thsiFinD("ths_adjustment_nv_fund",F$3,$A46))</f>
        <v/>
      </c>
      <c r="G46" s="32" t="str">
        <f>IF($A46="","",[1]!thsiFinD("ths_adjustment_nv_fund",G$3,$A46))</f>
        <v/>
      </c>
      <c r="H46" s="32" t="str">
        <f>IF($A46="","",[1]!thsiFinD("ths_adjustment_nv_fund",H$3,$A46))</f>
        <v/>
      </c>
      <c r="I46" s="32" t="str">
        <f>IF($A46="","",[1]!thsiFinD("ths_adjustment_nv_fund",I$3,$A46))</f>
        <v/>
      </c>
      <c r="J46" s="32" t="str">
        <f>IF($A46="","",[1]!thsiFinD("ths_adjustment_nv_fund",J$3,$A46))</f>
        <v/>
      </c>
      <c r="K46" s="32" t="str">
        <f>IF($A46="","",[1]!thsiFinD("ths_adjustment_nv_fund",K$3,$A46))</f>
        <v/>
      </c>
      <c r="L46" s="32" t="str">
        <f>IF($A46="","",[1]!thsiFinD("ths_adjustment_nv_fund",L$3,$A46))</f>
        <v/>
      </c>
      <c r="M46" s="32" t="str">
        <f>IF($A46="","",[1]!thsiFinD("ths_adjustment_nv_fund",M$3,$A46))</f>
        <v/>
      </c>
      <c r="N46" s="32" t="str">
        <f>IF($A46="","",[1]!thsiFinD("ths_adjustment_nv_fund",N$3,$A46))</f>
        <v/>
      </c>
      <c r="O46" s="32" t="str">
        <f>IF($A46="","",[1]!thsiFinD("ths_adjustment_nv_fund",O$3,$A46))</f>
        <v/>
      </c>
      <c r="P46" s="32" t="str">
        <f>IF($A46="","",[1]!thsiFinD("ths_adjustment_nv_fund",P$3,$A46))</f>
        <v/>
      </c>
      <c r="Q46" s="32" t="str">
        <f>IF($A46="","",[1]!thsiFinD("ths_adjustment_nv_fund",Q$3,$A46))</f>
        <v/>
      </c>
      <c r="R46" s="32" t="str">
        <f>IF($A46="","",[1]!thsiFinD("ths_adjustment_nv_fund",R$3,$A46))</f>
        <v/>
      </c>
      <c r="S46" s="32" t="str">
        <f>IF($A46="","",[1]!thsiFinD("ths_adjustment_nv_fund",S$3,$A46))</f>
        <v/>
      </c>
      <c r="T46" s="32" t="str">
        <f>IF($A46="","",[1]!thsiFinD("ths_adjustment_nv_fund",T$3,$A46))</f>
        <v/>
      </c>
      <c r="U46" s="32" t="str">
        <f>IF($A46="","",[1]!thsiFinD("ths_adjustment_nv_fund",U$3,$A46))</f>
        <v/>
      </c>
      <c r="V46" s="32" t="str">
        <f>IF($A46="","",[1]!thsiFinD("ths_adjustment_nv_fund",V$3,$A46))</f>
        <v/>
      </c>
      <c r="W46" s="32" t="str">
        <f>IF($A46="","",[1]!thsiFinD("ths_adjustment_nv_fund",W$3,$A46))</f>
        <v/>
      </c>
      <c r="X46" s="32" t="str">
        <f>IF($A46="","",[1]!thsiFinD("ths_adjustment_nv_fund",X$3,$A46))</f>
        <v/>
      </c>
    </row>
    <row r="47" spans="1:24" x14ac:dyDescent="0.25">
      <c r="A47" s="31"/>
      <c r="B47" s="32" t="str">
        <f>IF($A47="","",[1]!thsiFinD("ths_adjustment_nv_fund",B$3,$A47))</f>
        <v/>
      </c>
      <c r="C47" s="32" t="str">
        <f>IF($A47="","",[1]!thsiFinD("ths_adjustment_nv_fund",C$3,$A47))</f>
        <v/>
      </c>
      <c r="D47" s="32" t="str">
        <f>IF($A47="","",[1]!thsiFinD("ths_adjustment_nv_fund",D$3,$A47))</f>
        <v/>
      </c>
      <c r="E47" s="32" t="str">
        <f>IF($A47="","",[1]!thsiFinD("ths_adjustment_nv_fund",E$3,$A47))</f>
        <v/>
      </c>
      <c r="F47" s="32" t="str">
        <f>IF($A47="","",[1]!thsiFinD("ths_adjustment_nv_fund",F$3,$A47))</f>
        <v/>
      </c>
      <c r="G47" s="32" t="str">
        <f>IF($A47="","",[1]!thsiFinD("ths_adjustment_nv_fund",G$3,$A47))</f>
        <v/>
      </c>
      <c r="H47" s="32" t="str">
        <f>IF($A47="","",[1]!thsiFinD("ths_adjustment_nv_fund",H$3,$A47))</f>
        <v/>
      </c>
      <c r="I47" s="32" t="str">
        <f>IF($A47="","",[1]!thsiFinD("ths_adjustment_nv_fund",I$3,$A47))</f>
        <v/>
      </c>
      <c r="J47" s="32" t="str">
        <f>IF($A47="","",[1]!thsiFinD("ths_adjustment_nv_fund",J$3,$A47))</f>
        <v/>
      </c>
      <c r="K47" s="32" t="str">
        <f>IF($A47="","",[1]!thsiFinD("ths_adjustment_nv_fund",K$3,$A47))</f>
        <v/>
      </c>
      <c r="L47" s="32" t="str">
        <f>IF($A47="","",[1]!thsiFinD("ths_adjustment_nv_fund",L$3,$A47))</f>
        <v/>
      </c>
      <c r="M47" s="32" t="str">
        <f>IF($A47="","",[1]!thsiFinD("ths_adjustment_nv_fund",M$3,$A47))</f>
        <v/>
      </c>
      <c r="N47" s="32" t="str">
        <f>IF($A47="","",[1]!thsiFinD("ths_adjustment_nv_fund",N$3,$A47))</f>
        <v/>
      </c>
      <c r="O47" s="32" t="str">
        <f>IF($A47="","",[1]!thsiFinD("ths_adjustment_nv_fund",O$3,$A47))</f>
        <v/>
      </c>
      <c r="P47" s="32" t="str">
        <f>IF($A47="","",[1]!thsiFinD("ths_adjustment_nv_fund",P$3,$A47))</f>
        <v/>
      </c>
      <c r="Q47" s="32" t="str">
        <f>IF($A47="","",[1]!thsiFinD("ths_adjustment_nv_fund",Q$3,$A47))</f>
        <v/>
      </c>
      <c r="R47" s="32" t="str">
        <f>IF($A47="","",[1]!thsiFinD("ths_adjustment_nv_fund",R$3,$A47))</f>
        <v/>
      </c>
      <c r="S47" s="32" t="str">
        <f>IF($A47="","",[1]!thsiFinD("ths_adjustment_nv_fund",S$3,$A47))</f>
        <v/>
      </c>
      <c r="T47" s="32" t="str">
        <f>IF($A47="","",[1]!thsiFinD("ths_adjustment_nv_fund",T$3,$A47))</f>
        <v/>
      </c>
      <c r="U47" s="32" t="str">
        <f>IF($A47="","",[1]!thsiFinD("ths_adjustment_nv_fund",U$3,$A47))</f>
        <v/>
      </c>
      <c r="V47" s="32" t="str">
        <f>IF($A47="","",[1]!thsiFinD("ths_adjustment_nv_fund",V$3,$A47))</f>
        <v/>
      </c>
      <c r="W47" s="32" t="str">
        <f>IF($A47="","",[1]!thsiFinD("ths_adjustment_nv_fund",W$3,$A47))</f>
        <v/>
      </c>
      <c r="X47" s="32" t="str">
        <f>IF($A47="","",[1]!thsiFinD("ths_adjustment_nv_fund",X$3,$A47))</f>
        <v/>
      </c>
    </row>
    <row r="48" spans="1:24" x14ac:dyDescent="0.25">
      <c r="A48" s="31"/>
      <c r="B48" s="32" t="str">
        <f>IF($A48="","",[1]!thsiFinD("ths_adjustment_nv_fund",B$3,$A48))</f>
        <v/>
      </c>
      <c r="C48" s="32" t="str">
        <f>IF($A48="","",[1]!thsiFinD("ths_adjustment_nv_fund",C$3,$A48))</f>
        <v/>
      </c>
      <c r="D48" s="32" t="str">
        <f>IF($A48="","",[1]!thsiFinD("ths_adjustment_nv_fund",D$3,$A48))</f>
        <v/>
      </c>
      <c r="E48" s="32" t="str">
        <f>IF($A48="","",[1]!thsiFinD("ths_adjustment_nv_fund",E$3,$A48))</f>
        <v/>
      </c>
      <c r="F48" s="32" t="str">
        <f>IF($A48="","",[1]!thsiFinD("ths_adjustment_nv_fund",F$3,$A48))</f>
        <v/>
      </c>
      <c r="G48" s="32" t="str">
        <f>IF($A48="","",[1]!thsiFinD("ths_adjustment_nv_fund",G$3,$A48))</f>
        <v/>
      </c>
      <c r="H48" s="32" t="str">
        <f>IF($A48="","",[1]!thsiFinD("ths_adjustment_nv_fund",H$3,$A48))</f>
        <v/>
      </c>
      <c r="I48" s="32" t="str">
        <f>IF($A48="","",[1]!thsiFinD("ths_adjustment_nv_fund",I$3,$A48))</f>
        <v/>
      </c>
      <c r="J48" s="32" t="str">
        <f>IF($A48="","",[1]!thsiFinD("ths_adjustment_nv_fund",J$3,$A48))</f>
        <v/>
      </c>
      <c r="K48" s="32" t="str">
        <f>IF($A48="","",[1]!thsiFinD("ths_adjustment_nv_fund",K$3,$A48))</f>
        <v/>
      </c>
      <c r="L48" s="32" t="str">
        <f>IF($A48="","",[1]!thsiFinD("ths_adjustment_nv_fund",L$3,$A48))</f>
        <v/>
      </c>
      <c r="M48" s="32" t="str">
        <f>IF($A48="","",[1]!thsiFinD("ths_adjustment_nv_fund",M$3,$A48))</f>
        <v/>
      </c>
      <c r="N48" s="32" t="str">
        <f>IF($A48="","",[1]!thsiFinD("ths_adjustment_nv_fund",N$3,$A48))</f>
        <v/>
      </c>
      <c r="O48" s="32" t="str">
        <f>IF($A48="","",[1]!thsiFinD("ths_adjustment_nv_fund",O$3,$A48))</f>
        <v/>
      </c>
      <c r="P48" s="32" t="str">
        <f>IF($A48="","",[1]!thsiFinD("ths_adjustment_nv_fund",P$3,$A48))</f>
        <v/>
      </c>
      <c r="Q48" s="32" t="str">
        <f>IF($A48="","",[1]!thsiFinD("ths_adjustment_nv_fund",Q$3,$A48))</f>
        <v/>
      </c>
      <c r="R48" s="32" t="str">
        <f>IF($A48="","",[1]!thsiFinD("ths_adjustment_nv_fund",R$3,$A48))</f>
        <v/>
      </c>
      <c r="S48" s="32" t="str">
        <f>IF($A48="","",[1]!thsiFinD("ths_adjustment_nv_fund",S$3,$A48))</f>
        <v/>
      </c>
      <c r="T48" s="32" t="str">
        <f>IF($A48="","",[1]!thsiFinD("ths_adjustment_nv_fund",T$3,$A48))</f>
        <v/>
      </c>
      <c r="U48" s="32" t="str">
        <f>IF($A48="","",[1]!thsiFinD("ths_adjustment_nv_fund",U$3,$A48))</f>
        <v/>
      </c>
      <c r="V48" s="32" t="str">
        <f>IF($A48="","",[1]!thsiFinD("ths_adjustment_nv_fund",V$3,$A48))</f>
        <v/>
      </c>
      <c r="W48" s="32" t="str">
        <f>IF($A48="","",[1]!thsiFinD("ths_adjustment_nv_fund",W$3,$A48))</f>
        <v/>
      </c>
      <c r="X48" s="32" t="str">
        <f>IF($A48="","",[1]!thsiFinD("ths_adjustment_nv_fund",X$3,$A48))</f>
        <v/>
      </c>
    </row>
    <row r="49" spans="1:24" x14ac:dyDescent="0.25">
      <c r="A49" s="31"/>
      <c r="B49" s="32" t="str">
        <f>IF($A49="","",[1]!thsiFinD("ths_adjustment_nv_fund",B$3,$A49))</f>
        <v/>
      </c>
      <c r="C49" s="32" t="str">
        <f>IF($A49="","",[1]!thsiFinD("ths_adjustment_nv_fund",C$3,$A49))</f>
        <v/>
      </c>
      <c r="D49" s="32" t="str">
        <f>IF($A49="","",[1]!thsiFinD("ths_adjustment_nv_fund",D$3,$A49))</f>
        <v/>
      </c>
      <c r="E49" s="32" t="str">
        <f>IF($A49="","",[1]!thsiFinD("ths_adjustment_nv_fund",E$3,$A49))</f>
        <v/>
      </c>
      <c r="F49" s="32" t="str">
        <f>IF($A49="","",[1]!thsiFinD("ths_adjustment_nv_fund",F$3,$A49))</f>
        <v/>
      </c>
      <c r="G49" s="32" t="str">
        <f>IF($A49="","",[1]!thsiFinD("ths_adjustment_nv_fund",G$3,$A49))</f>
        <v/>
      </c>
      <c r="H49" s="32" t="str">
        <f>IF($A49="","",[1]!thsiFinD("ths_adjustment_nv_fund",H$3,$A49))</f>
        <v/>
      </c>
      <c r="I49" s="32" t="str">
        <f>IF($A49="","",[1]!thsiFinD("ths_adjustment_nv_fund",I$3,$A49))</f>
        <v/>
      </c>
      <c r="J49" s="32" t="str">
        <f>IF($A49="","",[1]!thsiFinD("ths_adjustment_nv_fund",J$3,$A49))</f>
        <v/>
      </c>
      <c r="K49" s="32" t="str">
        <f>IF($A49="","",[1]!thsiFinD("ths_adjustment_nv_fund",K$3,$A49))</f>
        <v/>
      </c>
      <c r="L49" s="32" t="str">
        <f>IF($A49="","",[1]!thsiFinD("ths_adjustment_nv_fund",L$3,$A49))</f>
        <v/>
      </c>
      <c r="M49" s="32" t="str">
        <f>IF($A49="","",[1]!thsiFinD("ths_adjustment_nv_fund",M$3,$A49))</f>
        <v/>
      </c>
      <c r="N49" s="32" t="str">
        <f>IF($A49="","",[1]!thsiFinD("ths_adjustment_nv_fund",N$3,$A49))</f>
        <v/>
      </c>
      <c r="O49" s="32" t="str">
        <f>IF($A49="","",[1]!thsiFinD("ths_adjustment_nv_fund",O$3,$A49))</f>
        <v/>
      </c>
      <c r="P49" s="32" t="str">
        <f>IF($A49="","",[1]!thsiFinD("ths_adjustment_nv_fund",P$3,$A49))</f>
        <v/>
      </c>
      <c r="Q49" s="32" t="str">
        <f>IF($A49="","",[1]!thsiFinD("ths_adjustment_nv_fund",Q$3,$A49))</f>
        <v/>
      </c>
      <c r="R49" s="32" t="str">
        <f>IF($A49="","",[1]!thsiFinD("ths_adjustment_nv_fund",R$3,$A49))</f>
        <v/>
      </c>
      <c r="S49" s="32" t="str">
        <f>IF($A49="","",[1]!thsiFinD("ths_adjustment_nv_fund",S$3,$A49))</f>
        <v/>
      </c>
      <c r="T49" s="32" t="str">
        <f>IF($A49="","",[1]!thsiFinD("ths_adjustment_nv_fund",T$3,$A49))</f>
        <v/>
      </c>
      <c r="U49" s="32" t="str">
        <f>IF($A49="","",[1]!thsiFinD("ths_adjustment_nv_fund",U$3,$A49))</f>
        <v/>
      </c>
      <c r="V49" s="32" t="str">
        <f>IF($A49="","",[1]!thsiFinD("ths_adjustment_nv_fund",V$3,$A49))</f>
        <v/>
      </c>
      <c r="W49" s="32" t="str">
        <f>IF($A49="","",[1]!thsiFinD("ths_adjustment_nv_fund",W$3,$A49))</f>
        <v/>
      </c>
      <c r="X49" s="32" t="str">
        <f>IF($A49="","",[1]!thsiFinD("ths_adjustment_nv_fund",X$3,$A49))</f>
        <v/>
      </c>
    </row>
    <row r="50" spans="1:24" x14ac:dyDescent="0.25">
      <c r="A50" s="31"/>
      <c r="B50" s="32" t="str">
        <f>IF($A50="","",[1]!thsiFinD("ths_adjustment_nv_fund",B$3,$A50))</f>
        <v/>
      </c>
      <c r="C50" s="32" t="str">
        <f>IF($A50="","",[1]!thsiFinD("ths_adjustment_nv_fund",C$3,$A50))</f>
        <v/>
      </c>
      <c r="D50" s="32" t="str">
        <f>IF($A50="","",[1]!thsiFinD("ths_adjustment_nv_fund",D$3,$A50))</f>
        <v/>
      </c>
      <c r="E50" s="32" t="str">
        <f>IF($A50="","",[1]!thsiFinD("ths_adjustment_nv_fund",E$3,$A50))</f>
        <v/>
      </c>
      <c r="F50" s="32" t="str">
        <f>IF($A50="","",[1]!thsiFinD("ths_adjustment_nv_fund",F$3,$A50))</f>
        <v/>
      </c>
      <c r="G50" s="32" t="str">
        <f>IF($A50="","",[1]!thsiFinD("ths_adjustment_nv_fund",G$3,$A50))</f>
        <v/>
      </c>
      <c r="H50" s="32" t="str">
        <f>IF($A50="","",[1]!thsiFinD("ths_adjustment_nv_fund",H$3,$A50))</f>
        <v/>
      </c>
      <c r="I50" s="32" t="str">
        <f>IF($A50="","",[1]!thsiFinD("ths_adjustment_nv_fund",I$3,$A50))</f>
        <v/>
      </c>
      <c r="J50" s="32" t="str">
        <f>IF($A50="","",[1]!thsiFinD("ths_adjustment_nv_fund",J$3,$A50))</f>
        <v/>
      </c>
      <c r="K50" s="32" t="str">
        <f>IF($A50="","",[1]!thsiFinD("ths_adjustment_nv_fund",K$3,$A50))</f>
        <v/>
      </c>
      <c r="L50" s="32" t="str">
        <f>IF($A50="","",[1]!thsiFinD("ths_adjustment_nv_fund",L$3,$A50))</f>
        <v/>
      </c>
      <c r="M50" s="32" t="str">
        <f>IF($A50="","",[1]!thsiFinD("ths_adjustment_nv_fund",M$3,$A50))</f>
        <v/>
      </c>
      <c r="N50" s="32" t="str">
        <f>IF($A50="","",[1]!thsiFinD("ths_adjustment_nv_fund",N$3,$A50))</f>
        <v/>
      </c>
      <c r="O50" s="32" t="str">
        <f>IF($A50="","",[1]!thsiFinD("ths_adjustment_nv_fund",O$3,$A50))</f>
        <v/>
      </c>
      <c r="P50" s="32" t="str">
        <f>IF($A50="","",[1]!thsiFinD("ths_adjustment_nv_fund",P$3,$A50))</f>
        <v/>
      </c>
      <c r="Q50" s="32" t="str">
        <f>IF($A50="","",[1]!thsiFinD("ths_adjustment_nv_fund",Q$3,$A50))</f>
        <v/>
      </c>
      <c r="R50" s="32" t="str">
        <f>IF($A50="","",[1]!thsiFinD("ths_adjustment_nv_fund",R$3,$A50))</f>
        <v/>
      </c>
      <c r="S50" s="32" t="str">
        <f>IF($A50="","",[1]!thsiFinD("ths_adjustment_nv_fund",S$3,$A50))</f>
        <v/>
      </c>
      <c r="T50" s="32" t="str">
        <f>IF($A50="","",[1]!thsiFinD("ths_adjustment_nv_fund",T$3,$A50))</f>
        <v/>
      </c>
      <c r="U50" s="32" t="str">
        <f>IF($A50="","",[1]!thsiFinD("ths_adjustment_nv_fund",U$3,$A50))</f>
        <v/>
      </c>
      <c r="V50" s="32" t="str">
        <f>IF($A50="","",[1]!thsiFinD("ths_adjustment_nv_fund",V$3,$A50))</f>
        <v/>
      </c>
      <c r="W50" s="32" t="str">
        <f>IF($A50="","",[1]!thsiFinD("ths_adjustment_nv_fund",W$3,$A50))</f>
        <v/>
      </c>
      <c r="X50" s="32" t="str">
        <f>IF($A50="","",[1]!thsiFinD("ths_adjustment_nv_fund",X$3,$A50))</f>
        <v/>
      </c>
    </row>
    <row r="51" spans="1:24" x14ac:dyDescent="0.25">
      <c r="A51" s="31"/>
      <c r="B51" s="32" t="str">
        <f>IF($A51="","",[1]!thsiFinD("ths_adjustment_nv_fund",B$3,$A51))</f>
        <v/>
      </c>
      <c r="C51" s="32" t="str">
        <f>IF($A51="","",[1]!thsiFinD("ths_adjustment_nv_fund",C$3,$A51))</f>
        <v/>
      </c>
      <c r="D51" s="32" t="str">
        <f>IF($A51="","",[1]!thsiFinD("ths_adjustment_nv_fund",D$3,$A51))</f>
        <v/>
      </c>
      <c r="E51" s="32" t="str">
        <f>IF($A51="","",[1]!thsiFinD("ths_adjustment_nv_fund",E$3,$A51))</f>
        <v/>
      </c>
      <c r="F51" s="32" t="str">
        <f>IF($A51="","",[1]!thsiFinD("ths_adjustment_nv_fund",F$3,$A51))</f>
        <v/>
      </c>
      <c r="G51" s="32" t="str">
        <f>IF($A51="","",[1]!thsiFinD("ths_adjustment_nv_fund",G$3,$A51))</f>
        <v/>
      </c>
      <c r="H51" s="32" t="str">
        <f>IF($A51="","",[1]!thsiFinD("ths_adjustment_nv_fund",H$3,$A51))</f>
        <v/>
      </c>
      <c r="I51" s="32" t="str">
        <f>IF($A51="","",[1]!thsiFinD("ths_adjustment_nv_fund",I$3,$A51))</f>
        <v/>
      </c>
      <c r="J51" s="32" t="str">
        <f>IF($A51="","",[1]!thsiFinD("ths_adjustment_nv_fund",J$3,$A51))</f>
        <v/>
      </c>
      <c r="K51" s="32" t="str">
        <f>IF($A51="","",[1]!thsiFinD("ths_adjustment_nv_fund",K$3,$A51))</f>
        <v/>
      </c>
      <c r="L51" s="32" t="str">
        <f>IF($A51="","",[1]!thsiFinD("ths_adjustment_nv_fund",L$3,$A51))</f>
        <v/>
      </c>
      <c r="M51" s="32" t="str">
        <f>IF($A51="","",[1]!thsiFinD("ths_adjustment_nv_fund",M$3,$A51))</f>
        <v/>
      </c>
      <c r="N51" s="32" t="str">
        <f>IF($A51="","",[1]!thsiFinD("ths_adjustment_nv_fund",N$3,$A51))</f>
        <v/>
      </c>
      <c r="O51" s="32" t="str">
        <f>IF($A51="","",[1]!thsiFinD("ths_adjustment_nv_fund",O$3,$A51))</f>
        <v/>
      </c>
      <c r="P51" s="32" t="str">
        <f>IF($A51="","",[1]!thsiFinD("ths_adjustment_nv_fund",P$3,$A51))</f>
        <v/>
      </c>
      <c r="Q51" s="32" t="str">
        <f>IF($A51="","",[1]!thsiFinD("ths_adjustment_nv_fund",Q$3,$A51))</f>
        <v/>
      </c>
      <c r="R51" s="32" t="str">
        <f>IF($A51="","",[1]!thsiFinD("ths_adjustment_nv_fund",R$3,$A51))</f>
        <v/>
      </c>
      <c r="S51" s="32" t="str">
        <f>IF($A51="","",[1]!thsiFinD("ths_adjustment_nv_fund",S$3,$A51))</f>
        <v/>
      </c>
      <c r="T51" s="32" t="str">
        <f>IF($A51="","",[1]!thsiFinD("ths_adjustment_nv_fund",T$3,$A51))</f>
        <v/>
      </c>
      <c r="U51" s="32" t="str">
        <f>IF($A51="","",[1]!thsiFinD("ths_adjustment_nv_fund",U$3,$A51))</f>
        <v/>
      </c>
      <c r="V51" s="32" t="str">
        <f>IF($A51="","",[1]!thsiFinD("ths_adjustment_nv_fund",V$3,$A51))</f>
        <v/>
      </c>
      <c r="W51" s="32" t="str">
        <f>IF($A51="","",[1]!thsiFinD("ths_adjustment_nv_fund",W$3,$A51))</f>
        <v/>
      </c>
      <c r="X51" s="32" t="str">
        <f>IF($A51="","",[1]!thsiFinD("ths_adjustment_nv_fund",X$3,$A51))</f>
        <v/>
      </c>
    </row>
    <row r="52" spans="1:24" x14ac:dyDescent="0.25">
      <c r="A52" s="31"/>
      <c r="B52" s="32" t="str">
        <f>IF($A52="","",[1]!thsiFinD("ths_adjustment_nv_fund",B$3,$A52))</f>
        <v/>
      </c>
      <c r="C52" s="32" t="str">
        <f>IF($A52="","",[1]!thsiFinD("ths_adjustment_nv_fund",C$3,$A52))</f>
        <v/>
      </c>
      <c r="D52" s="32" t="str">
        <f>IF($A52="","",[1]!thsiFinD("ths_adjustment_nv_fund",D$3,$A52))</f>
        <v/>
      </c>
      <c r="E52" s="32" t="str">
        <f>IF($A52="","",[1]!thsiFinD("ths_adjustment_nv_fund",E$3,$A52))</f>
        <v/>
      </c>
      <c r="F52" s="32" t="str">
        <f>IF($A52="","",[1]!thsiFinD("ths_adjustment_nv_fund",F$3,$A52))</f>
        <v/>
      </c>
      <c r="G52" s="32" t="str">
        <f>IF($A52="","",[1]!thsiFinD("ths_adjustment_nv_fund",G$3,$A52))</f>
        <v/>
      </c>
      <c r="H52" s="32" t="str">
        <f>IF($A52="","",[1]!thsiFinD("ths_adjustment_nv_fund",H$3,$A52))</f>
        <v/>
      </c>
      <c r="I52" s="32" t="str">
        <f>IF($A52="","",[1]!thsiFinD("ths_adjustment_nv_fund",I$3,$A52))</f>
        <v/>
      </c>
      <c r="J52" s="32" t="str">
        <f>IF($A52="","",[1]!thsiFinD("ths_adjustment_nv_fund",J$3,$A52))</f>
        <v/>
      </c>
      <c r="K52" s="32" t="str">
        <f>IF($A52="","",[1]!thsiFinD("ths_adjustment_nv_fund",K$3,$A52))</f>
        <v/>
      </c>
      <c r="L52" s="32" t="str">
        <f>IF($A52="","",[1]!thsiFinD("ths_adjustment_nv_fund",L$3,$A52))</f>
        <v/>
      </c>
      <c r="M52" s="32" t="str">
        <f>IF($A52="","",[1]!thsiFinD("ths_adjustment_nv_fund",M$3,$A52))</f>
        <v/>
      </c>
      <c r="N52" s="32" t="str">
        <f>IF($A52="","",[1]!thsiFinD("ths_adjustment_nv_fund",N$3,$A52))</f>
        <v/>
      </c>
      <c r="O52" s="32" t="str">
        <f>IF($A52="","",[1]!thsiFinD("ths_adjustment_nv_fund",O$3,$A52))</f>
        <v/>
      </c>
      <c r="P52" s="32" t="str">
        <f>IF($A52="","",[1]!thsiFinD("ths_adjustment_nv_fund",P$3,$A52))</f>
        <v/>
      </c>
      <c r="Q52" s="32" t="str">
        <f>IF($A52="","",[1]!thsiFinD("ths_adjustment_nv_fund",Q$3,$A52))</f>
        <v/>
      </c>
      <c r="R52" s="32" t="str">
        <f>IF($A52="","",[1]!thsiFinD("ths_adjustment_nv_fund",R$3,$A52))</f>
        <v/>
      </c>
      <c r="S52" s="32" t="str">
        <f>IF($A52="","",[1]!thsiFinD("ths_adjustment_nv_fund",S$3,$A52))</f>
        <v/>
      </c>
      <c r="T52" s="32" t="str">
        <f>IF($A52="","",[1]!thsiFinD("ths_adjustment_nv_fund",T$3,$A52))</f>
        <v/>
      </c>
      <c r="U52" s="32" t="str">
        <f>IF($A52="","",[1]!thsiFinD("ths_adjustment_nv_fund",U$3,$A52))</f>
        <v/>
      </c>
      <c r="V52" s="32" t="str">
        <f>IF($A52="","",[1]!thsiFinD("ths_adjustment_nv_fund",V$3,$A52))</f>
        <v/>
      </c>
      <c r="W52" s="32" t="str">
        <f>IF($A52="","",[1]!thsiFinD("ths_adjustment_nv_fund",W$3,$A52))</f>
        <v/>
      </c>
      <c r="X52" s="32" t="str">
        <f>IF($A52="","",[1]!thsiFinD("ths_adjustment_nv_fund",X$3,$A52))</f>
        <v/>
      </c>
    </row>
    <row r="53" spans="1:24" x14ac:dyDescent="0.25">
      <c r="A53" s="31"/>
      <c r="B53" s="32" t="str">
        <f>IF($A53="","",[1]!thsiFinD("ths_adjustment_nv_fund",B$3,$A53))</f>
        <v/>
      </c>
      <c r="C53" s="32" t="str">
        <f>IF($A53="","",[1]!thsiFinD("ths_adjustment_nv_fund",C$3,$A53))</f>
        <v/>
      </c>
      <c r="D53" s="32" t="str">
        <f>IF($A53="","",[1]!thsiFinD("ths_adjustment_nv_fund",D$3,$A53))</f>
        <v/>
      </c>
      <c r="E53" s="32" t="str">
        <f>IF($A53="","",[1]!thsiFinD("ths_adjustment_nv_fund",E$3,$A53))</f>
        <v/>
      </c>
      <c r="F53" s="32" t="str">
        <f>IF($A53="","",[1]!thsiFinD("ths_adjustment_nv_fund",F$3,$A53))</f>
        <v/>
      </c>
      <c r="G53" s="32" t="str">
        <f>IF($A53="","",[1]!thsiFinD("ths_adjustment_nv_fund",G$3,$A53))</f>
        <v/>
      </c>
      <c r="H53" s="32" t="str">
        <f>IF($A53="","",[1]!thsiFinD("ths_adjustment_nv_fund",H$3,$A53))</f>
        <v/>
      </c>
      <c r="I53" s="32" t="str">
        <f>IF($A53="","",[1]!thsiFinD("ths_adjustment_nv_fund",I$3,$A53))</f>
        <v/>
      </c>
      <c r="J53" s="32" t="str">
        <f>IF($A53="","",[1]!thsiFinD("ths_adjustment_nv_fund",J$3,$A53))</f>
        <v/>
      </c>
      <c r="K53" s="32" t="str">
        <f>IF($A53="","",[1]!thsiFinD("ths_adjustment_nv_fund",K$3,$A53))</f>
        <v/>
      </c>
      <c r="L53" s="32" t="str">
        <f>IF($A53="","",[1]!thsiFinD("ths_adjustment_nv_fund",L$3,$A53))</f>
        <v/>
      </c>
      <c r="M53" s="32" t="str">
        <f>IF($A53="","",[1]!thsiFinD("ths_adjustment_nv_fund",M$3,$A53))</f>
        <v/>
      </c>
      <c r="N53" s="32" t="str">
        <f>IF($A53="","",[1]!thsiFinD("ths_adjustment_nv_fund",N$3,$A53))</f>
        <v/>
      </c>
      <c r="O53" s="32" t="str">
        <f>IF($A53="","",[1]!thsiFinD("ths_adjustment_nv_fund",O$3,$A53))</f>
        <v/>
      </c>
      <c r="P53" s="32" t="str">
        <f>IF($A53="","",[1]!thsiFinD("ths_adjustment_nv_fund",P$3,$A53))</f>
        <v/>
      </c>
      <c r="Q53" s="32" t="str">
        <f>IF($A53="","",[1]!thsiFinD("ths_adjustment_nv_fund",Q$3,$A53))</f>
        <v/>
      </c>
      <c r="R53" s="32" t="str">
        <f>IF($A53="","",[1]!thsiFinD("ths_adjustment_nv_fund",R$3,$A53))</f>
        <v/>
      </c>
      <c r="S53" s="32" t="str">
        <f>IF($A53="","",[1]!thsiFinD("ths_adjustment_nv_fund",S$3,$A53))</f>
        <v/>
      </c>
      <c r="T53" s="32" t="str">
        <f>IF($A53="","",[1]!thsiFinD("ths_adjustment_nv_fund",T$3,$A53))</f>
        <v/>
      </c>
      <c r="U53" s="32" t="str">
        <f>IF($A53="","",[1]!thsiFinD("ths_adjustment_nv_fund",U$3,$A53))</f>
        <v/>
      </c>
      <c r="V53" s="32" t="str">
        <f>IF($A53="","",[1]!thsiFinD("ths_adjustment_nv_fund",V$3,$A53))</f>
        <v/>
      </c>
      <c r="W53" s="32" t="str">
        <f>IF($A53="","",[1]!thsiFinD("ths_adjustment_nv_fund",W$3,$A53))</f>
        <v/>
      </c>
      <c r="X53" s="32" t="str">
        <f>IF($A53="","",[1]!thsiFinD("ths_adjustment_nv_fund",X$3,$A53))</f>
        <v/>
      </c>
    </row>
    <row r="54" spans="1:24" x14ac:dyDescent="0.25">
      <c r="A54" s="31"/>
      <c r="B54" s="32" t="str">
        <f>IF($A54="","",[1]!thsiFinD("ths_adjustment_nv_fund",B$3,$A54))</f>
        <v/>
      </c>
      <c r="C54" s="32" t="str">
        <f>IF($A54="","",[1]!thsiFinD("ths_adjustment_nv_fund",C$3,$A54))</f>
        <v/>
      </c>
      <c r="D54" s="32" t="str">
        <f>IF($A54="","",[1]!thsiFinD("ths_adjustment_nv_fund",D$3,$A54))</f>
        <v/>
      </c>
      <c r="E54" s="32" t="str">
        <f>IF($A54="","",[1]!thsiFinD("ths_adjustment_nv_fund",E$3,$A54))</f>
        <v/>
      </c>
      <c r="F54" s="32" t="str">
        <f>IF($A54="","",[1]!thsiFinD("ths_adjustment_nv_fund",F$3,$A54))</f>
        <v/>
      </c>
      <c r="G54" s="32" t="str">
        <f>IF($A54="","",[1]!thsiFinD("ths_adjustment_nv_fund",G$3,$A54))</f>
        <v/>
      </c>
      <c r="H54" s="32" t="str">
        <f>IF($A54="","",[1]!thsiFinD("ths_adjustment_nv_fund",H$3,$A54))</f>
        <v/>
      </c>
      <c r="I54" s="32" t="str">
        <f>IF($A54="","",[1]!thsiFinD("ths_adjustment_nv_fund",I$3,$A54))</f>
        <v/>
      </c>
      <c r="J54" s="32" t="str">
        <f>IF($A54="","",[1]!thsiFinD("ths_adjustment_nv_fund",J$3,$A54))</f>
        <v/>
      </c>
      <c r="K54" s="32" t="str">
        <f>IF($A54="","",[1]!thsiFinD("ths_adjustment_nv_fund",K$3,$A54))</f>
        <v/>
      </c>
      <c r="L54" s="32" t="str">
        <f>IF($A54="","",[1]!thsiFinD("ths_adjustment_nv_fund",L$3,$A54))</f>
        <v/>
      </c>
      <c r="M54" s="32" t="str">
        <f>IF($A54="","",[1]!thsiFinD("ths_adjustment_nv_fund",M$3,$A54))</f>
        <v/>
      </c>
      <c r="N54" s="32" t="str">
        <f>IF($A54="","",[1]!thsiFinD("ths_adjustment_nv_fund",N$3,$A54))</f>
        <v/>
      </c>
      <c r="O54" s="32" t="str">
        <f>IF($A54="","",[1]!thsiFinD("ths_adjustment_nv_fund",O$3,$A54))</f>
        <v/>
      </c>
      <c r="P54" s="32" t="str">
        <f>IF($A54="","",[1]!thsiFinD("ths_adjustment_nv_fund",P$3,$A54))</f>
        <v/>
      </c>
      <c r="Q54" s="32" t="str">
        <f>IF($A54="","",[1]!thsiFinD("ths_adjustment_nv_fund",Q$3,$A54))</f>
        <v/>
      </c>
      <c r="R54" s="32" t="str">
        <f>IF($A54="","",[1]!thsiFinD("ths_adjustment_nv_fund",R$3,$A54))</f>
        <v/>
      </c>
      <c r="S54" s="32" t="str">
        <f>IF($A54="","",[1]!thsiFinD("ths_adjustment_nv_fund",S$3,$A54))</f>
        <v/>
      </c>
      <c r="T54" s="32" t="str">
        <f>IF($A54="","",[1]!thsiFinD("ths_adjustment_nv_fund",T$3,$A54))</f>
        <v/>
      </c>
      <c r="U54" s="32" t="str">
        <f>IF($A54="","",[1]!thsiFinD("ths_adjustment_nv_fund",U$3,$A54))</f>
        <v/>
      </c>
      <c r="V54" s="32" t="str">
        <f>IF($A54="","",[1]!thsiFinD("ths_adjustment_nv_fund",V$3,$A54))</f>
        <v/>
      </c>
      <c r="W54" s="32" t="str">
        <f>IF($A54="","",[1]!thsiFinD("ths_adjustment_nv_fund",W$3,$A54))</f>
        <v/>
      </c>
      <c r="X54" s="32" t="str">
        <f>IF($A54="","",[1]!thsiFinD("ths_adjustment_nv_fund",X$3,$A54))</f>
        <v/>
      </c>
    </row>
    <row r="55" spans="1:24" x14ac:dyDescent="0.25">
      <c r="A55" s="31"/>
      <c r="B55" s="32" t="str">
        <f>IF($A55="","",[1]!thsiFinD("ths_adjustment_nv_fund",B$3,$A55))</f>
        <v/>
      </c>
      <c r="C55" s="32" t="str">
        <f>IF($A55="","",[1]!thsiFinD("ths_adjustment_nv_fund",C$3,$A55))</f>
        <v/>
      </c>
      <c r="D55" s="32" t="str">
        <f>IF($A55="","",[1]!thsiFinD("ths_adjustment_nv_fund",D$3,$A55))</f>
        <v/>
      </c>
      <c r="E55" s="32" t="str">
        <f>IF($A55="","",[1]!thsiFinD("ths_adjustment_nv_fund",E$3,$A55))</f>
        <v/>
      </c>
      <c r="F55" s="32" t="str">
        <f>IF($A55="","",[1]!thsiFinD("ths_adjustment_nv_fund",F$3,$A55))</f>
        <v/>
      </c>
      <c r="G55" s="32" t="str">
        <f>IF($A55="","",[1]!thsiFinD("ths_adjustment_nv_fund",G$3,$A55))</f>
        <v/>
      </c>
      <c r="H55" s="32" t="str">
        <f>IF($A55="","",[1]!thsiFinD("ths_adjustment_nv_fund",H$3,$A55))</f>
        <v/>
      </c>
      <c r="I55" s="32" t="str">
        <f>IF($A55="","",[1]!thsiFinD("ths_adjustment_nv_fund",I$3,$A55))</f>
        <v/>
      </c>
      <c r="J55" s="32" t="str">
        <f>IF($A55="","",[1]!thsiFinD("ths_adjustment_nv_fund",J$3,$A55))</f>
        <v/>
      </c>
      <c r="K55" s="32" t="str">
        <f>IF($A55="","",[1]!thsiFinD("ths_adjustment_nv_fund",K$3,$A55))</f>
        <v/>
      </c>
      <c r="L55" s="32" t="str">
        <f>IF($A55="","",[1]!thsiFinD("ths_adjustment_nv_fund",L$3,$A55))</f>
        <v/>
      </c>
      <c r="M55" s="32" t="str">
        <f>IF($A55="","",[1]!thsiFinD("ths_adjustment_nv_fund",M$3,$A55))</f>
        <v/>
      </c>
      <c r="N55" s="32" t="str">
        <f>IF($A55="","",[1]!thsiFinD("ths_adjustment_nv_fund",N$3,$A55))</f>
        <v/>
      </c>
      <c r="O55" s="32" t="str">
        <f>IF($A55="","",[1]!thsiFinD("ths_adjustment_nv_fund",O$3,$A55))</f>
        <v/>
      </c>
      <c r="P55" s="32" t="str">
        <f>IF($A55="","",[1]!thsiFinD("ths_adjustment_nv_fund",P$3,$A55))</f>
        <v/>
      </c>
      <c r="Q55" s="32" t="str">
        <f>IF($A55="","",[1]!thsiFinD("ths_adjustment_nv_fund",Q$3,$A55))</f>
        <v/>
      </c>
      <c r="R55" s="32" t="str">
        <f>IF($A55="","",[1]!thsiFinD("ths_adjustment_nv_fund",R$3,$A55))</f>
        <v/>
      </c>
      <c r="S55" s="32" t="str">
        <f>IF($A55="","",[1]!thsiFinD("ths_adjustment_nv_fund",S$3,$A55))</f>
        <v/>
      </c>
      <c r="T55" s="32" t="str">
        <f>IF($A55="","",[1]!thsiFinD("ths_adjustment_nv_fund",T$3,$A55))</f>
        <v/>
      </c>
      <c r="U55" s="32" t="str">
        <f>IF($A55="","",[1]!thsiFinD("ths_adjustment_nv_fund",U$3,$A55))</f>
        <v/>
      </c>
      <c r="V55" s="32" t="str">
        <f>IF($A55="","",[1]!thsiFinD("ths_adjustment_nv_fund",V$3,$A55))</f>
        <v/>
      </c>
      <c r="W55" s="32" t="str">
        <f>IF($A55="","",[1]!thsiFinD("ths_adjustment_nv_fund",W$3,$A55))</f>
        <v/>
      </c>
      <c r="X55" s="32" t="str">
        <f>IF($A55="","",[1]!thsiFinD("ths_adjustment_nv_fund",X$3,$A55))</f>
        <v/>
      </c>
    </row>
    <row r="56" spans="1:24" x14ac:dyDescent="0.25">
      <c r="A56" s="31"/>
      <c r="B56" s="32" t="str">
        <f>IF($A56="","",[1]!thsiFinD("ths_adjustment_nv_fund",B$3,$A56))</f>
        <v/>
      </c>
      <c r="C56" s="32" t="str">
        <f>IF($A56="","",[1]!thsiFinD("ths_adjustment_nv_fund",C$3,$A56))</f>
        <v/>
      </c>
      <c r="D56" s="32" t="str">
        <f>IF($A56="","",[1]!thsiFinD("ths_adjustment_nv_fund",D$3,$A56))</f>
        <v/>
      </c>
      <c r="E56" s="32" t="str">
        <f>IF($A56="","",[1]!thsiFinD("ths_adjustment_nv_fund",E$3,$A56))</f>
        <v/>
      </c>
      <c r="F56" s="32" t="str">
        <f>IF($A56="","",[1]!thsiFinD("ths_adjustment_nv_fund",F$3,$A56))</f>
        <v/>
      </c>
      <c r="G56" s="32" t="str">
        <f>IF($A56="","",[1]!thsiFinD("ths_adjustment_nv_fund",G$3,$A56))</f>
        <v/>
      </c>
      <c r="H56" s="32" t="str">
        <f>IF($A56="","",[1]!thsiFinD("ths_adjustment_nv_fund",H$3,$A56))</f>
        <v/>
      </c>
      <c r="I56" s="32" t="str">
        <f>IF($A56="","",[1]!thsiFinD("ths_adjustment_nv_fund",I$3,$A56))</f>
        <v/>
      </c>
      <c r="J56" s="32" t="str">
        <f>IF($A56="","",[1]!thsiFinD("ths_adjustment_nv_fund",J$3,$A56))</f>
        <v/>
      </c>
      <c r="K56" s="32" t="str">
        <f>IF($A56="","",[1]!thsiFinD("ths_adjustment_nv_fund",K$3,$A56))</f>
        <v/>
      </c>
      <c r="L56" s="32" t="str">
        <f>IF($A56="","",[1]!thsiFinD("ths_adjustment_nv_fund",L$3,$A56))</f>
        <v/>
      </c>
      <c r="M56" s="32" t="str">
        <f>IF($A56="","",[1]!thsiFinD("ths_adjustment_nv_fund",M$3,$A56))</f>
        <v/>
      </c>
      <c r="N56" s="32" t="str">
        <f>IF($A56="","",[1]!thsiFinD("ths_adjustment_nv_fund",N$3,$A56))</f>
        <v/>
      </c>
      <c r="O56" s="32" t="str">
        <f>IF($A56="","",[1]!thsiFinD("ths_adjustment_nv_fund",O$3,$A56))</f>
        <v/>
      </c>
      <c r="P56" s="32" t="str">
        <f>IF($A56="","",[1]!thsiFinD("ths_adjustment_nv_fund",P$3,$A56))</f>
        <v/>
      </c>
      <c r="Q56" s="32" t="str">
        <f>IF($A56="","",[1]!thsiFinD("ths_adjustment_nv_fund",Q$3,$A56))</f>
        <v/>
      </c>
      <c r="R56" s="32" t="str">
        <f>IF($A56="","",[1]!thsiFinD("ths_adjustment_nv_fund",R$3,$A56))</f>
        <v/>
      </c>
      <c r="S56" s="32" t="str">
        <f>IF($A56="","",[1]!thsiFinD("ths_adjustment_nv_fund",S$3,$A56))</f>
        <v/>
      </c>
      <c r="T56" s="32" t="str">
        <f>IF($A56="","",[1]!thsiFinD("ths_adjustment_nv_fund",T$3,$A56))</f>
        <v/>
      </c>
      <c r="U56" s="32" t="str">
        <f>IF($A56="","",[1]!thsiFinD("ths_adjustment_nv_fund",U$3,$A56))</f>
        <v/>
      </c>
      <c r="V56" s="32" t="str">
        <f>IF($A56="","",[1]!thsiFinD("ths_adjustment_nv_fund",V$3,$A56))</f>
        <v/>
      </c>
      <c r="W56" s="32" t="str">
        <f>IF($A56="","",[1]!thsiFinD("ths_adjustment_nv_fund",W$3,$A56))</f>
        <v/>
      </c>
      <c r="X56" s="32" t="str">
        <f>IF($A56="","",[1]!thsiFinD("ths_adjustment_nv_fund",X$3,$A56))</f>
        <v/>
      </c>
    </row>
    <row r="57" spans="1:24" x14ac:dyDescent="0.25">
      <c r="A57" s="31"/>
      <c r="B57" s="32" t="str">
        <f>IF($A57="","",[1]!thsiFinD("ths_adjustment_nv_fund",B$3,$A57))</f>
        <v/>
      </c>
      <c r="C57" s="32" t="str">
        <f>IF($A57="","",[1]!thsiFinD("ths_adjustment_nv_fund",C$3,$A57))</f>
        <v/>
      </c>
      <c r="D57" s="32" t="str">
        <f>IF($A57="","",[1]!thsiFinD("ths_adjustment_nv_fund",D$3,$A57))</f>
        <v/>
      </c>
      <c r="E57" s="32" t="str">
        <f>IF($A57="","",[1]!thsiFinD("ths_adjustment_nv_fund",E$3,$A57))</f>
        <v/>
      </c>
      <c r="F57" s="32" t="str">
        <f>IF($A57="","",[1]!thsiFinD("ths_adjustment_nv_fund",F$3,$A57))</f>
        <v/>
      </c>
      <c r="G57" s="32" t="str">
        <f>IF($A57="","",[1]!thsiFinD("ths_adjustment_nv_fund",G$3,$A57))</f>
        <v/>
      </c>
      <c r="H57" s="32" t="str">
        <f>IF($A57="","",[1]!thsiFinD("ths_adjustment_nv_fund",H$3,$A57))</f>
        <v/>
      </c>
      <c r="I57" s="32" t="str">
        <f>IF($A57="","",[1]!thsiFinD("ths_adjustment_nv_fund",I$3,$A57))</f>
        <v/>
      </c>
      <c r="J57" s="32" t="str">
        <f>IF($A57="","",[1]!thsiFinD("ths_adjustment_nv_fund",J$3,$A57))</f>
        <v/>
      </c>
      <c r="K57" s="32" t="str">
        <f>IF($A57="","",[1]!thsiFinD("ths_adjustment_nv_fund",K$3,$A57))</f>
        <v/>
      </c>
      <c r="L57" s="32" t="str">
        <f>IF($A57="","",[1]!thsiFinD("ths_adjustment_nv_fund",L$3,$A57))</f>
        <v/>
      </c>
      <c r="M57" s="32" t="str">
        <f>IF($A57="","",[1]!thsiFinD("ths_adjustment_nv_fund",M$3,$A57))</f>
        <v/>
      </c>
      <c r="N57" s="32" t="str">
        <f>IF($A57="","",[1]!thsiFinD("ths_adjustment_nv_fund",N$3,$A57))</f>
        <v/>
      </c>
      <c r="O57" s="32" t="str">
        <f>IF($A57="","",[1]!thsiFinD("ths_adjustment_nv_fund",O$3,$A57))</f>
        <v/>
      </c>
      <c r="P57" s="32" t="str">
        <f>IF($A57="","",[1]!thsiFinD("ths_adjustment_nv_fund",P$3,$A57))</f>
        <v/>
      </c>
      <c r="Q57" s="32" t="str">
        <f>IF($A57="","",[1]!thsiFinD("ths_adjustment_nv_fund",Q$3,$A57))</f>
        <v/>
      </c>
      <c r="R57" s="32" t="str">
        <f>IF($A57="","",[1]!thsiFinD("ths_adjustment_nv_fund",R$3,$A57))</f>
        <v/>
      </c>
      <c r="S57" s="32" t="str">
        <f>IF($A57="","",[1]!thsiFinD("ths_adjustment_nv_fund",S$3,$A57))</f>
        <v/>
      </c>
      <c r="T57" s="32" t="str">
        <f>IF($A57="","",[1]!thsiFinD("ths_adjustment_nv_fund",T$3,$A57))</f>
        <v/>
      </c>
      <c r="U57" s="32" t="str">
        <f>IF($A57="","",[1]!thsiFinD("ths_adjustment_nv_fund",U$3,$A57))</f>
        <v/>
      </c>
      <c r="V57" s="32" t="str">
        <f>IF($A57="","",[1]!thsiFinD("ths_adjustment_nv_fund",V$3,$A57))</f>
        <v/>
      </c>
      <c r="W57" s="32" t="str">
        <f>IF($A57="","",[1]!thsiFinD("ths_adjustment_nv_fund",W$3,$A57))</f>
        <v/>
      </c>
      <c r="X57" s="32" t="str">
        <f>IF($A57="","",[1]!thsiFinD("ths_adjustment_nv_fund",X$3,$A57))</f>
        <v/>
      </c>
    </row>
    <row r="58" spans="1:24" x14ac:dyDescent="0.25">
      <c r="A58" s="31"/>
      <c r="B58" s="32" t="str">
        <f>IF($A58="","",[1]!thsiFinD("ths_adjustment_nv_fund",B$3,$A58))</f>
        <v/>
      </c>
      <c r="C58" s="32" t="str">
        <f>IF($A58="","",[1]!thsiFinD("ths_adjustment_nv_fund",C$3,$A58))</f>
        <v/>
      </c>
      <c r="D58" s="32" t="str">
        <f>IF($A58="","",[1]!thsiFinD("ths_adjustment_nv_fund",D$3,$A58))</f>
        <v/>
      </c>
      <c r="E58" s="32" t="str">
        <f>IF($A58="","",[1]!thsiFinD("ths_adjustment_nv_fund",E$3,$A58))</f>
        <v/>
      </c>
      <c r="F58" s="32" t="str">
        <f>IF($A58="","",[1]!thsiFinD("ths_adjustment_nv_fund",F$3,$A58))</f>
        <v/>
      </c>
      <c r="G58" s="32" t="str">
        <f>IF($A58="","",[1]!thsiFinD("ths_adjustment_nv_fund",G$3,$A58))</f>
        <v/>
      </c>
      <c r="H58" s="32" t="str">
        <f>IF($A58="","",[1]!thsiFinD("ths_adjustment_nv_fund",H$3,$A58))</f>
        <v/>
      </c>
      <c r="I58" s="32" t="str">
        <f>IF($A58="","",[1]!thsiFinD("ths_adjustment_nv_fund",I$3,$A58))</f>
        <v/>
      </c>
      <c r="J58" s="32" t="str">
        <f>IF($A58="","",[1]!thsiFinD("ths_adjustment_nv_fund",J$3,$A58))</f>
        <v/>
      </c>
      <c r="K58" s="32" t="str">
        <f>IF($A58="","",[1]!thsiFinD("ths_adjustment_nv_fund",K$3,$A58))</f>
        <v/>
      </c>
      <c r="L58" s="32" t="str">
        <f>IF($A58="","",[1]!thsiFinD("ths_adjustment_nv_fund",L$3,$A58))</f>
        <v/>
      </c>
      <c r="M58" s="32" t="str">
        <f>IF($A58="","",[1]!thsiFinD("ths_adjustment_nv_fund",M$3,$A58))</f>
        <v/>
      </c>
      <c r="N58" s="32" t="str">
        <f>IF($A58="","",[1]!thsiFinD("ths_adjustment_nv_fund",N$3,$A58))</f>
        <v/>
      </c>
      <c r="O58" s="32" t="str">
        <f>IF($A58="","",[1]!thsiFinD("ths_adjustment_nv_fund",O$3,$A58))</f>
        <v/>
      </c>
      <c r="P58" s="32" t="str">
        <f>IF($A58="","",[1]!thsiFinD("ths_adjustment_nv_fund",P$3,$A58))</f>
        <v/>
      </c>
      <c r="Q58" s="32" t="str">
        <f>IF($A58="","",[1]!thsiFinD("ths_adjustment_nv_fund",Q$3,$A58))</f>
        <v/>
      </c>
      <c r="R58" s="32" t="str">
        <f>IF($A58="","",[1]!thsiFinD("ths_adjustment_nv_fund",R$3,$A58))</f>
        <v/>
      </c>
      <c r="S58" s="32" t="str">
        <f>IF($A58="","",[1]!thsiFinD("ths_adjustment_nv_fund",S$3,$A58))</f>
        <v/>
      </c>
      <c r="T58" s="32" t="str">
        <f>IF($A58="","",[1]!thsiFinD("ths_adjustment_nv_fund",T$3,$A58))</f>
        <v/>
      </c>
      <c r="U58" s="32" t="str">
        <f>IF($A58="","",[1]!thsiFinD("ths_adjustment_nv_fund",U$3,$A58))</f>
        <v/>
      </c>
      <c r="V58" s="32" t="str">
        <f>IF($A58="","",[1]!thsiFinD("ths_adjustment_nv_fund",V$3,$A58))</f>
        <v/>
      </c>
      <c r="W58" s="32" t="str">
        <f>IF($A58="","",[1]!thsiFinD("ths_adjustment_nv_fund",W$3,$A58))</f>
        <v/>
      </c>
      <c r="X58" s="32" t="str">
        <f>IF($A58="","",[1]!thsiFinD("ths_adjustment_nv_fund",X$3,$A58))</f>
        <v/>
      </c>
    </row>
    <row r="59" spans="1:24" x14ac:dyDescent="0.25">
      <c r="A59" s="31"/>
      <c r="B59" s="32" t="str">
        <f>IF($A59="","",[1]!thsiFinD("ths_adjustment_nv_fund",B$3,$A59))</f>
        <v/>
      </c>
      <c r="C59" s="32" t="str">
        <f>IF($A59="","",[1]!thsiFinD("ths_adjustment_nv_fund",C$3,$A59))</f>
        <v/>
      </c>
      <c r="D59" s="32" t="str">
        <f>IF($A59="","",[1]!thsiFinD("ths_adjustment_nv_fund",D$3,$A59))</f>
        <v/>
      </c>
      <c r="E59" s="32" t="str">
        <f>IF($A59="","",[1]!thsiFinD("ths_adjustment_nv_fund",E$3,$A59))</f>
        <v/>
      </c>
      <c r="F59" s="32" t="str">
        <f>IF($A59="","",[1]!thsiFinD("ths_adjustment_nv_fund",F$3,$A59))</f>
        <v/>
      </c>
      <c r="G59" s="32" t="str">
        <f>IF($A59="","",[1]!thsiFinD("ths_adjustment_nv_fund",G$3,$A59))</f>
        <v/>
      </c>
      <c r="H59" s="32" t="str">
        <f>IF($A59="","",[1]!thsiFinD("ths_adjustment_nv_fund",H$3,$A59))</f>
        <v/>
      </c>
      <c r="I59" s="32" t="str">
        <f>IF($A59="","",[1]!thsiFinD("ths_adjustment_nv_fund",I$3,$A59))</f>
        <v/>
      </c>
      <c r="J59" s="32" t="str">
        <f>IF($A59="","",[1]!thsiFinD("ths_adjustment_nv_fund",J$3,$A59))</f>
        <v/>
      </c>
      <c r="K59" s="32" t="str">
        <f>IF($A59="","",[1]!thsiFinD("ths_adjustment_nv_fund",K$3,$A59))</f>
        <v/>
      </c>
      <c r="L59" s="32" t="str">
        <f>IF($A59="","",[1]!thsiFinD("ths_adjustment_nv_fund",L$3,$A59))</f>
        <v/>
      </c>
      <c r="M59" s="32" t="str">
        <f>IF($A59="","",[1]!thsiFinD("ths_adjustment_nv_fund",M$3,$A59))</f>
        <v/>
      </c>
      <c r="N59" s="32" t="str">
        <f>IF($A59="","",[1]!thsiFinD("ths_adjustment_nv_fund",N$3,$A59))</f>
        <v/>
      </c>
      <c r="O59" s="32" t="str">
        <f>IF($A59="","",[1]!thsiFinD("ths_adjustment_nv_fund",O$3,$A59))</f>
        <v/>
      </c>
      <c r="P59" s="32" t="str">
        <f>IF($A59="","",[1]!thsiFinD("ths_adjustment_nv_fund",P$3,$A59))</f>
        <v/>
      </c>
      <c r="Q59" s="32" t="str">
        <f>IF($A59="","",[1]!thsiFinD("ths_adjustment_nv_fund",Q$3,$A59))</f>
        <v/>
      </c>
      <c r="R59" s="32" t="str">
        <f>IF($A59="","",[1]!thsiFinD("ths_adjustment_nv_fund",R$3,$A59))</f>
        <v/>
      </c>
      <c r="S59" s="32" t="str">
        <f>IF($A59="","",[1]!thsiFinD("ths_adjustment_nv_fund",S$3,$A59))</f>
        <v/>
      </c>
      <c r="T59" s="32" t="str">
        <f>IF($A59="","",[1]!thsiFinD("ths_adjustment_nv_fund",T$3,$A59))</f>
        <v/>
      </c>
      <c r="U59" s="32" t="str">
        <f>IF($A59="","",[1]!thsiFinD("ths_adjustment_nv_fund",U$3,$A59))</f>
        <v/>
      </c>
      <c r="V59" s="32" t="str">
        <f>IF($A59="","",[1]!thsiFinD("ths_adjustment_nv_fund",V$3,$A59))</f>
        <v/>
      </c>
      <c r="W59" s="32" t="str">
        <f>IF($A59="","",[1]!thsiFinD("ths_adjustment_nv_fund",W$3,$A59))</f>
        <v/>
      </c>
      <c r="X59" s="32" t="str">
        <f>IF($A59="","",[1]!thsiFinD("ths_adjustment_nv_fund",X$3,$A59))</f>
        <v/>
      </c>
    </row>
    <row r="60" spans="1:24" x14ac:dyDescent="0.25">
      <c r="A60" s="31"/>
      <c r="B60" s="32" t="str">
        <f>IF($A60="","",[1]!thsiFinD("ths_adjustment_nv_fund",B$3,$A60))</f>
        <v/>
      </c>
      <c r="C60" s="32" t="str">
        <f>IF($A60="","",[1]!thsiFinD("ths_adjustment_nv_fund",C$3,$A60))</f>
        <v/>
      </c>
      <c r="D60" s="32" t="str">
        <f>IF($A60="","",[1]!thsiFinD("ths_adjustment_nv_fund",D$3,$A60))</f>
        <v/>
      </c>
      <c r="E60" s="32" t="str">
        <f>IF($A60="","",[1]!thsiFinD("ths_adjustment_nv_fund",E$3,$A60))</f>
        <v/>
      </c>
      <c r="F60" s="32" t="str">
        <f>IF($A60="","",[1]!thsiFinD("ths_adjustment_nv_fund",F$3,$A60))</f>
        <v/>
      </c>
      <c r="G60" s="32" t="str">
        <f>IF($A60="","",[1]!thsiFinD("ths_adjustment_nv_fund",G$3,$A60))</f>
        <v/>
      </c>
      <c r="H60" s="32" t="str">
        <f>IF($A60="","",[1]!thsiFinD("ths_adjustment_nv_fund",H$3,$A60))</f>
        <v/>
      </c>
      <c r="I60" s="32" t="str">
        <f>IF($A60="","",[1]!thsiFinD("ths_adjustment_nv_fund",I$3,$A60))</f>
        <v/>
      </c>
      <c r="J60" s="32" t="str">
        <f>IF($A60="","",[1]!thsiFinD("ths_adjustment_nv_fund",J$3,$A60))</f>
        <v/>
      </c>
      <c r="K60" s="32" t="str">
        <f>IF($A60="","",[1]!thsiFinD("ths_adjustment_nv_fund",K$3,$A60))</f>
        <v/>
      </c>
      <c r="L60" s="32" t="str">
        <f>IF($A60="","",[1]!thsiFinD("ths_adjustment_nv_fund",L$3,$A60))</f>
        <v/>
      </c>
      <c r="M60" s="32" t="str">
        <f>IF($A60="","",[1]!thsiFinD("ths_adjustment_nv_fund",M$3,$A60))</f>
        <v/>
      </c>
      <c r="N60" s="32" t="str">
        <f>IF($A60="","",[1]!thsiFinD("ths_adjustment_nv_fund",N$3,$A60))</f>
        <v/>
      </c>
      <c r="O60" s="32" t="str">
        <f>IF($A60="","",[1]!thsiFinD("ths_adjustment_nv_fund",O$3,$A60))</f>
        <v/>
      </c>
      <c r="P60" s="32" t="str">
        <f>IF($A60="","",[1]!thsiFinD("ths_adjustment_nv_fund",P$3,$A60))</f>
        <v/>
      </c>
      <c r="Q60" s="32" t="str">
        <f>IF($A60="","",[1]!thsiFinD("ths_adjustment_nv_fund",Q$3,$A60))</f>
        <v/>
      </c>
      <c r="R60" s="32" t="str">
        <f>IF($A60="","",[1]!thsiFinD("ths_adjustment_nv_fund",R$3,$A60))</f>
        <v/>
      </c>
      <c r="S60" s="32" t="str">
        <f>IF($A60="","",[1]!thsiFinD("ths_adjustment_nv_fund",S$3,$A60))</f>
        <v/>
      </c>
      <c r="T60" s="32" t="str">
        <f>IF($A60="","",[1]!thsiFinD("ths_adjustment_nv_fund",T$3,$A60))</f>
        <v/>
      </c>
      <c r="U60" s="32" t="str">
        <f>IF($A60="","",[1]!thsiFinD("ths_adjustment_nv_fund",U$3,$A60))</f>
        <v/>
      </c>
      <c r="V60" s="32" t="str">
        <f>IF($A60="","",[1]!thsiFinD("ths_adjustment_nv_fund",V$3,$A60))</f>
        <v/>
      </c>
      <c r="W60" s="32" t="str">
        <f>IF($A60="","",[1]!thsiFinD("ths_adjustment_nv_fund",W$3,$A60))</f>
        <v/>
      </c>
      <c r="X60" s="32" t="str">
        <f>IF($A60="","",[1]!thsiFinD("ths_adjustment_nv_fund",X$3,$A60))</f>
        <v/>
      </c>
    </row>
  </sheetData>
  <mergeCells count="1">
    <mergeCell ref="A1:D1"/>
  </mergeCells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showGridLines="0" tabSelected="1" workbookViewId="0">
      <selection activeCell="D25" sqref="D25"/>
    </sheetView>
  </sheetViews>
  <sheetFormatPr defaultRowHeight="14" x14ac:dyDescent="0.25"/>
  <cols>
    <col min="1" max="1" width="12" style="27" customWidth="1"/>
  </cols>
  <sheetData>
    <row r="1" spans="1:19" ht="19" customHeight="1" x14ac:dyDescent="0.25">
      <c r="A1" s="41" t="s">
        <v>61</v>
      </c>
      <c r="B1" s="40"/>
      <c r="C1" s="40"/>
      <c r="D1" s="40"/>
      <c r="E1" s="40"/>
      <c r="F1" s="40"/>
      <c r="G1" s="40"/>
      <c r="H1" s="40"/>
      <c r="I1" s="40"/>
      <c r="J1" s="40"/>
    </row>
    <row r="2" spans="1:19" ht="14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</row>
    <row r="3" spans="1:19" ht="42" customHeight="1" x14ac:dyDescent="0.25">
      <c r="B3" s="26" t="s">
        <v>62</v>
      </c>
      <c r="E3" s="26" t="s">
        <v>63</v>
      </c>
      <c r="H3" s="26" t="s">
        <v>64</v>
      </c>
      <c r="K3" s="26" t="s">
        <v>65</v>
      </c>
      <c r="N3" s="26" t="s">
        <v>66</v>
      </c>
      <c r="Q3" s="26" t="s">
        <v>67</v>
      </c>
    </row>
    <row r="4" spans="1:19" x14ac:dyDescent="0.25">
      <c r="A4" s="25" t="s">
        <v>68</v>
      </c>
      <c r="B4" s="25" t="s">
        <v>69</v>
      </c>
      <c r="C4" s="25" t="s">
        <v>70</v>
      </c>
      <c r="D4" s="25" t="s">
        <v>71</v>
      </c>
      <c r="E4" s="25" t="s">
        <v>69</v>
      </c>
      <c r="F4" s="25" t="s">
        <v>70</v>
      </c>
      <c r="G4" s="25" t="s">
        <v>71</v>
      </c>
      <c r="H4" s="25" t="s">
        <v>69</v>
      </c>
      <c r="I4" s="25" t="s">
        <v>70</v>
      </c>
      <c r="J4" s="25" t="s">
        <v>71</v>
      </c>
      <c r="K4" s="25" t="s">
        <v>69</v>
      </c>
      <c r="L4" s="25" t="s">
        <v>70</v>
      </c>
      <c r="M4" s="25" t="s">
        <v>71</v>
      </c>
      <c r="N4" s="25" t="s">
        <v>69</v>
      </c>
      <c r="O4" s="25" t="s">
        <v>70</v>
      </c>
      <c r="P4" s="25" t="s">
        <v>71</v>
      </c>
      <c r="Q4" s="25" t="s">
        <v>69</v>
      </c>
      <c r="R4" s="25" t="s">
        <v>70</v>
      </c>
      <c r="S4" s="25" t="s">
        <v>71</v>
      </c>
    </row>
    <row r="5" spans="1:19" x14ac:dyDescent="0.25">
      <c r="A5" s="33">
        <f>IF('实盘净值数据(iFinD公式)'!A5="","",'实盘净值数据(iFinD公式)'!A5)</f>
        <v>46191</v>
      </c>
      <c r="B5" s="32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(ROW()-1)-6)/说明!$C$17))</f>
        <v/>
      </c>
      <c r="C5" s="7"/>
      <c r="D5" s="7" t="str">
        <f>IF(B5="","",B5/MAX(B$5:B5)-1)</f>
        <v/>
      </c>
      <c r="E5" s="32">
        <v>1</v>
      </c>
      <c r="F5" s="7"/>
      <c r="G5" s="7">
        <f>IF(E5="","",E5/MAX(E$5:E5)-1)</f>
        <v>0</v>
      </c>
      <c r="H5" s="32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(ROW()-1)-7)/说明!$C$17))</f>
        <v/>
      </c>
      <c r="I5" s="7"/>
      <c r="J5" s="7" t="str">
        <f>IF(H5="","",H5/MAX(H$5:H5)-1)</f>
        <v/>
      </c>
      <c r="K5" s="32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(ROW()-1)-8)/说明!$C$17))</f>
        <v/>
      </c>
      <c r="L5" s="7"/>
      <c r="M5" s="7" t="str">
        <f>IF(K5="","",K5/MAX(K$5:K5)-1)</f>
        <v/>
      </c>
      <c r="N5" s="32">
        <v>1</v>
      </c>
      <c r="O5" s="7"/>
      <c r="P5" s="7">
        <f>IF(N5="","",N5/MAX(N$5:N5)-1)</f>
        <v>0</v>
      </c>
      <c r="Q5" s="32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(ROW()-1)-8)/说明!$C$17))</f>
        <v/>
      </c>
      <c r="R5" s="7"/>
      <c r="S5" s="7" t="str">
        <f>IF(Q5="","",Q5/MAX(Q$5:Q5)-1)</f>
        <v/>
      </c>
    </row>
    <row r="6" spans="1:19" x14ac:dyDescent="0.25">
      <c r="A6" s="33">
        <f>IF('实盘净值数据(iFinD公式)'!A6="","",'实盘净值数据(iFinD公式)'!A6)</f>
        <v>46195</v>
      </c>
      <c r="B6" s="32">
        <v>1</v>
      </c>
      <c r="C6" s="7">
        <f>IF(OR(B5="",'实盘净值数据(iFinD公式)'!$A6="",'实盘净值数据(iFinD公式)'!$B6=""),"",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-1)</f>
      </c>
      <c r="D6" s="7">
        <f>IF(B6="","",B6/MAX(B$5:B6)-1)</f>
        <v>0</v>
      </c>
      <c r="E6" s="32">
        <f>IF(OR((ROW()-1)&lt;5,'实盘净值数据(iFinD公式)'!$A6="",'实盘净值数据(iFinD公式)'!$B6=""),"",SUMPRODUCT(实盘持仓配置!$B$5:$X$5,'实盘净值数据(iFinD公式)'!$B6:$X6/'实盘净值数据(iFinD公式)'!$B$5:$X$5)*(1-实盘持仓配置!$Z$5)^(((ROW()-1)-5)/说明!$C$17))</f>
        <v>1.0235728848914316</v>
      </c>
      <c r="F6" s="7">
        <f>IF(OR(E5="",'实盘净值数据(iFinD公式)'!$A6="",'实盘净值数据(iFinD公式)'!$B6=""),"",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-1)</f>
      </c>
      <c r="G6" s="7">
        <f>IF(E6="","",E6/MAX(E$5:E6)-1)</f>
        <v>0</v>
      </c>
      <c r="H6" s="32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(ROW()-1)-7)/说明!$C$17))</f>
        <v/>
      </c>
      <c r="I6" s="7">
        <f>IF(OR(H5="",'实盘净值数据(iFinD公式)'!$A6="",'实盘净值数据(iFinD公式)'!$B6=""),"",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-1)</f>
      </c>
      <c r="J6" s="7" t="str">
        <f>IF(H6="","",H6/MAX(H$5:H6)-1)</f>
        <v/>
      </c>
      <c r="K6" s="32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(ROW()-1)-8)/说明!$C$17))</f>
        <v/>
      </c>
      <c r="L6" s="7">
        <f>IF(OR(K5="",'实盘净值数据(iFinD公式)'!$A6="",'实盘净值数据(iFinD公式)'!$B6=""),"",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-1)</f>
      </c>
      <c r="M6" s="7" t="str">
        <f>IF(K6="","",K6/MAX(K$5:K6)-1)</f>
        <v/>
      </c>
      <c r="N6" s="32">
        <f>IF(OR((ROW()-1)&lt;5,'实盘净值数据(iFinD公式)'!$A6="",'实盘净值数据(iFinD公式)'!$B6=""),"",SUMPRODUCT(实盘持仓配置!$B$8:$X$8,'实盘净值数据(iFinD公式)'!$B6:$X6/'实盘净值数据(iFinD公式)'!$B$5:$X$5)*(1-实盘持仓配置!$Z$8)^(((ROW()-1)-5)/说明!$C$17))</f>
        <v>1.0009505143094155</v>
      </c>
      <c r="O6" s="7">
        <f>IF(OR(N5="",'实盘净值数据(iFinD公式)'!$A6="",'实盘净值数据(iFinD公式)'!$B6=""),"",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-1)</f>
      </c>
      <c r="P6" s="7">
        <f>IF(N6="","",N6/MAX(N$5:N6)-1)</f>
        <v>0</v>
      </c>
      <c r="Q6" s="32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(ROW()-1)-8)/说明!$C$17))</f>
        <v/>
      </c>
      <c r="R6" s="7">
        <f>IF(OR(Q5="",'实盘净值数据(iFinD公式)'!$A6="",'实盘净值数据(iFinD公式)'!$B6=""),"",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-1)</f>
      </c>
      <c r="S6" s="7" t="str">
        <f>IF(Q6="","",Q6/MAX(Q$5:Q6)-1)</f>
        <v/>
      </c>
    </row>
    <row r="7" spans="1:19" x14ac:dyDescent="0.25">
      <c r="A7" s="33">
        <f>IF('实盘净值数据(iFinD公式)'!A7="","",'实盘净值数据(iFinD公式)'!A7)</f>
        <v>46196</v>
      </c>
      <c r="B7" s="32">
        <f>IF(OR((ROW()-1)&lt;6,'实盘净值数据(iFinD公式)'!$A7="",'实盘净值数据(iFinD公式)'!$B7=""),"",SUMPRODUCT(实盘持仓配置!$B$4:$X$4,'实盘净值数据(iFinD公式)'!$B7:$X7/'实盘净值数据(iFinD公式)'!$B$6:$X$6)*(1-实盘持仓配置!$Z$4)^(((ROW()-1)-6)/说明!$C$17))</f>
        <v>0.98046378556363067</v>
      </c>
      <c r="C7" s="7">
        <f>IF(OR(B6="",'实盘净值数据(iFinD公式)'!$A7="",'实盘净值数据(iFinD公式)'!$B7=""),"",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-1)</f>
      </c>
      <c r="D7" s="7">
        <f>IF(B7="","",B7/MAX(B$5:B7)-1)</f>
        <v>-1.9536214436369326E-2</v>
      </c>
      <c r="E7" s="32">
        <f>IF(OR((ROW()-1)&lt;5,'实盘净值数据(iFinD公式)'!$A7="",'实盘净值数据(iFinD公式)'!$B7=""),"",SUMPRODUCT(实盘持仓配置!$B$5:$X$5,'实盘净值数据(iFinD公式)'!$B7:$X7/'实盘净值数据(iFinD公式)'!$B$5:$X$5)*(1-实盘持仓配置!$Z$5)^(((ROW()-1)-5)/说明!$C$17))</f>
        <v>1.0034537738698632</v>
      </c>
      <c r="F7" s="7">
        <f>IF(OR(E6="",'实盘净值数据(iFinD公式)'!$A7="",'实盘净值数据(iFinD公式)'!$B7=""),"",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-1)</f>
      </c>
      <c r="G7" s="7">
        <f>IF(E7="","",E7/MAX(E$5:E7)-1)</f>
        <v>-1.965576786815959E-2</v>
      </c>
      <c r="H7" s="32">
        <v>1</v>
      </c>
      <c r="I7" s="7">
        <f>IF(OR(H6="",'实盘净值数据(iFinD公式)'!$A7="",'实盘净值数据(iFinD公式)'!$B7=""),"",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-1)</f>
      </c>
      <c r="J7" s="7">
        <f>IF(H7="","",H7/MAX(H$5:H7)-1)</f>
        <v>0</v>
      </c>
      <c r="K7" s="32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(ROW()-1)-8)/说明!$C$17))</f>
        <v/>
      </c>
      <c r="L7" s="7">
        <f>IF(OR(K6="",'实盘净值数据(iFinD公式)'!$A7="",'实盘净值数据(iFinD公式)'!$B7=""),"",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-1)</f>
      </c>
      <c r="M7" s="7" t="str">
        <f>IF(K7="","",K7/MAX(K$5:K7)-1)</f>
        <v/>
      </c>
      <c r="N7" s="32">
        <f>IF(OR((ROW()-1)&lt;5,'实盘净值数据(iFinD公式)'!$A7="",'实盘净值数据(iFinD公式)'!$B7=""),"",SUMPRODUCT(实盘持仓配置!$B$8:$X$8,'实盘净值数据(iFinD公式)'!$B7:$X7/'实盘净值数据(iFinD公式)'!$B$5:$X$5)*(1-实盘持仓配置!$Z$8)^(((ROW()-1)-5)/说明!$C$17))</f>
        <v>0.99787048711733395</v>
      </c>
      <c r="O7" s="7">
        <f>IF(OR(N6="",'实盘净值数据(iFinD公式)'!$A7="",'实盘净值数据(iFinD公式)'!$B7=""),"",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-1)</f>
      </c>
      <c r="P7" s="7">
        <f>IF(N7="","",N7/MAX(N$5:N7)-1)</f>
        <v>-3.0771023622546689E-3</v>
      </c>
      <c r="Q7" s="32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(ROW()-1)-8)/说明!$C$17))</f>
        <v/>
      </c>
      <c r="R7" s="7">
        <f>IF(OR(Q6="",'实盘净值数据(iFinD公式)'!$A7="",'实盘净值数据(iFinD公式)'!$B7=""),"",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-1)</f>
      </c>
      <c r="S7" s="7" t="str">
        <f>IF(Q7="","",Q7/MAX(Q$5:Q7)-1)</f>
        <v/>
      </c>
    </row>
    <row r="8" spans="1:19" x14ac:dyDescent="0.25">
      <c r="A8" s="33">
        <f>IF('实盘净值数据(iFinD公式)'!A8="","",'实盘净值数据(iFinD公式)'!A8)</f>
        <v>46197</v>
      </c>
      <c r="B8" s="32">
        <f>IF(OR((ROW()-1)&lt;6,'实盘净值数据(iFinD公式)'!$A8="",'实盘净值数据(iFinD公式)'!$B8=""),"",SUMPRODUCT(实盘持仓配置!$B$4:$X$4,'实盘净值数据(iFinD公式)'!$B8:$X8/'实盘净值数据(iFinD公式)'!$B$6:$X$6)*(1-实盘持仓配置!$Z$4)^(((ROW()-1)-6)/说明!$C$17))</f>
        <v>1.0160404086918662</v>
      </c>
      <c r="C8" s="7">
        <f>IF(OR(B7="",'实盘净值数据(iFinD公式)'!$A8="",'实盘净值数据(iFinD公式)'!$B8=""),"",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-1)</f>
      </c>
      <c r="D8" s="7">
        <f>IF(B8="","",B8/MAX(B$5:B8)-1)</f>
        <v>0</v>
      </c>
      <c r="E8" s="32">
        <f>IF(OR((ROW()-1)&lt;5,'实盘净值数据(iFinD公式)'!$A8="",'实盘净值数据(iFinD公式)'!$B8=""),"",SUMPRODUCT(实盘持仓配置!$B$5:$X$5,'实盘净值数据(iFinD公式)'!$B8:$X8/'实盘净值数据(iFinD公式)'!$B$5:$X$5)*(1-实盘持仓配置!$Z$5)^(((ROW()-1)-5)/说明!$C$17))</f>
        <v>1.0398152807197236</v>
      </c>
      <c r="F8" s="7">
        <f>IF(OR(E7="",'实盘净值数据(iFinD公式)'!$A8="",'实盘净值数据(iFinD公式)'!$B8=""),"",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-1)</f>
      </c>
      <c r="G8" s="7">
        <f>IF(E8="","",E8/MAX(E$5:E8)-1)</f>
        <v>0</v>
      </c>
      <c r="H8" s="32">
        <f>IF(OR((ROW()-1)&lt;7,'实盘净值数据(iFinD公式)'!$A8="",'实盘净值数据(iFinD公式)'!$B8=""),"",SUMPRODUCT(实盘持仓配置!$B$6:$X$6,'实盘净值数据(iFinD公式)'!$B8:$X8/'实盘净值数据(iFinD公式)'!$B$7:$X$7)*(1-实盘持仓配置!$Z$6)^(((ROW()-1)-7)/说明!$C$17))</f>
        <v>1.0392459947017059</v>
      </c>
      <c r="I8" s="7">
        <f>IF(OR(H7="",'实盘净值数据(iFinD公式)'!$A8="",'实盘净值数据(iFinD公式)'!$B8=""),"",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-1)</f>
      </c>
      <c r="J8" s="7">
        <f>IF(H8="","",H8/MAX(H$5:H8)-1)</f>
        <v>0</v>
      </c>
      <c r="K8" s="32">
        <v>1</v>
      </c>
      <c r="L8" s="7">
        <f>IF(OR(K7="",'实盘净值数据(iFinD公式)'!$A8="",'实盘净值数据(iFinD公式)'!$B8=""),"",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-1)</f>
      </c>
      <c r="M8" s="7">
        <f>IF(K8="","",K8/MAX(K$5:K8)-1)</f>
        <v>0</v>
      </c>
      <c r="N8" s="32">
        <f>IF(OR((ROW()-1)&lt;5,'实盘净值数据(iFinD公式)'!$A8="",'实盘净值数据(iFinD公式)'!$B8=""),"",SUMPRODUCT(实盘持仓配置!$B$8:$X$8,'实盘净值数据(iFinD公式)'!$B8:$X8/'实盘净值数据(iFinD公式)'!$B$5:$X$5)*(1-实盘持仓配置!$Z$8)^(((ROW()-1)-5)/说明!$C$17))</f>
        <v>0.99981153226498964</v>
      </c>
      <c r="O8" s="7">
        <f>IF(OR(N7="",'实盘净值数据(iFinD公式)'!$A8="",'实盘净值数据(iFinD公式)'!$B8=""),"",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-1)</f>
      </c>
      <c r="P8" s="7">
        <f>IF(N8="","",N8/MAX(N$5:N8)-1)</f>
        <v>-1.1379004537618309E-3</v>
      </c>
      <c r="Q8" s="32">
        <v>1</v>
      </c>
      <c r="R8" s="7">
        <f>IF(OR(Q7="",'实盘净值数据(iFinD公式)'!$A8="",'实盘净值数据(iFinD公式)'!$B8=""),"",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-1)</f>
      </c>
      <c r="S8" s="7">
        <f>IF(Q8="","",Q8/MAX(Q$5:Q8)-1)</f>
        <v>0</v>
      </c>
    </row>
    <row r="9" spans="1:19" x14ac:dyDescent="0.25">
      <c r="A9" s="33">
        <f>IF('实盘净值数据(iFinD公式)'!A9="","",'实盘净值数据(iFinD公式)'!A9)</f>
        <v>46198</v>
      </c>
      <c r="B9" s="32">
        <f>IF(OR((ROW()-1)&lt;6,'实盘净值数据(iFinD公式)'!$A9="",'实盘净值数据(iFinD公式)'!$B9=""),"",SUMPRODUCT(实盘持仓配置!$B$4:$X$4,'实盘净值数据(iFinD公式)'!$B9:$X9/'实盘净值数据(iFinD公式)'!$B$6:$X$6)*(1-实盘持仓配置!$Z$4)^(((ROW()-1)-6)/说明!$C$17))</f>
        <v>1.0494424368681481</v>
      </c>
      <c r="C9" s="7">
        <f>IF(OR(B8="",'实盘净值数据(iFinD公式)'!$A9="",'实盘净值数据(iFinD公式)'!$B9=""),"",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-1)</f>
      </c>
      <c r="D9" s="7">
        <f>IF(B9="","",B9/MAX(B$5:B9)-1)</f>
        <v>0</v>
      </c>
      <c r="E9" s="32">
        <f>IF(OR((ROW()-1)&lt;5,'实盘净值数据(iFinD公式)'!$A9="",'实盘净值数据(iFinD公式)'!$B9=""),"",SUMPRODUCT(实盘持仓配置!$B$5:$X$5,'实盘净值数据(iFinD公式)'!$B9:$X9/'实盘净值数据(iFinD公式)'!$B$5:$X$5)*(1-实盘持仓配置!$Z$5)^(((ROW()-1)-5)/说明!$C$17))</f>
        <v>1.0740324597009789</v>
      </c>
      <c r="F9" s="7">
        <f>IF(OR(E8="",'实盘净值数据(iFinD公式)'!$A9="",'实盘净值数据(iFinD公式)'!$B9=""),"",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-1)</f>
      </c>
      <c r="G9" s="7">
        <f>IF(E9="","",E9/MAX(E$5:E9)-1)</f>
        <v>0</v>
      </c>
      <c r="H9" s="32">
        <f>IF(OR((ROW()-1)&lt;7,'实盘净值数据(iFinD公式)'!$A9="",'实盘净值数据(iFinD公式)'!$B9=""),"",SUMPRODUCT(实盘持仓配置!$B$6:$X$6,'实盘净值数据(iFinD公式)'!$B9:$X9/'实盘净值数据(iFinD公式)'!$B$7:$X$7)*(1-实盘持仓配置!$Z$6)^(((ROW()-1)-7)/说明!$C$17))</f>
        <v>1.0741295151357004</v>
      </c>
      <c r="I9" s="7">
        <f>IF(OR(H8="",'实盘净值数据(iFinD公式)'!$A9="",'实盘净值数据(iFinD公式)'!$B9=""),"",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-1)</f>
      </c>
      <c r="J9" s="7">
        <f>IF(H9="","",H9/MAX(H$5:H9)-1)</f>
        <v>0</v>
      </c>
      <c r="K9" s="32">
        <f>IF(OR((ROW()-1)&lt;8,'实盘净值数据(iFinD公式)'!$A9="",'实盘净值数据(iFinD公式)'!$B9=""),"",SUMPRODUCT(实盘持仓配置!$B$7:$X$7,'实盘净值数据(iFinD公式)'!$B9:$X9/'实盘净值数据(iFinD公式)'!$B$8:$X$8)*(1-实盘持仓配置!$Z$7)^(((ROW()-1)-8)/说明!$C$17))</f>
        <v>1.0014362319237347</v>
      </c>
      <c r="L9" s="7">
        <f>IF(OR(K8="",'实盘净值数据(iFinD公式)'!$A9="",'实盘净值数据(iFinD公式)'!$B9=""),"",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-1)</f>
      </c>
      <c r="M9" s="7">
        <f>IF(K9="","",K9/MAX(K$5:K9)-1)</f>
        <v>0</v>
      </c>
      <c r="N9" s="32">
        <f>IF(OR((ROW()-1)&lt;5,'实盘净值数据(iFinD公式)'!$A9="",'实盘净值数据(iFinD公式)'!$B9=""),"",SUMPRODUCT(实盘持仓配置!$B$8:$X$8,'实盘净值数据(iFinD公式)'!$B9:$X9/'实盘净值数据(iFinD公式)'!$B$5:$X$5)*(1-实盘持仓配置!$Z$8)^(((ROW()-1)-5)/说明!$C$17))</f>
        <v>1.0013120181061355</v>
      </c>
      <c r="O9" s="7">
        <f>IF(OR(N8="",'实盘净值数据(iFinD公式)'!$A9="",'实盘净值数据(iFinD公式)'!$B9=""),"",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-1)</f>
      </c>
      <c r="P9" s="7">
        <f>IF(N9="","",N9/MAX(N$5:N9)-1)</f>
        <v>0</v>
      </c>
      <c r="Q9" s="32">
        <f>IF(OR((ROW()-1)&lt;8,'实盘净值数据(iFinD公式)'!$A9="",'实盘净值数据(iFinD公式)'!$B9=""),"",SUMPRODUCT(实盘持仓配置!$B$9:$X$9,'实盘净值数据(iFinD公式)'!$B9:$X9/'实盘净值数据(iFinD公式)'!$B$8:$X$8)*(1-实盘持仓配置!$Z$9)^(((ROW()-1)-8)/说明!$C$17))</f>
        <v>1.0040064157597366</v>
      </c>
      <c r="R9" s="7">
        <f>IF(OR(Q8="",'实盘净值数据(iFinD公式)'!$A9="",'实盘净值数据(iFinD公式)'!$B9=""),"",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-1)</f>
      </c>
      <c r="S9" s="7">
        <f>IF(Q9="","",Q9/MAX(Q$5:Q9)-1)</f>
        <v>0</v>
      </c>
    </row>
    <row r="10" spans="1:19" x14ac:dyDescent="0.25">
      <c r="A10" s="33">
        <f>IF('实盘净值数据(iFinD公式)'!A10="","",'实盘净值数据(iFinD公式)'!A10)</f>
        <v>46199</v>
      </c>
      <c r="B10" s="32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(ROW()-1)-6)/说明!$C$17))</f>
        <v>1.0194235837371624</v>
      </c>
      <c r="C10" s="7">
        <f>IF(OR(B9="",'实盘净值数据(iFinD公式)'!$A10="",'实盘净值数据(iFinD公式)'!$B10=""),"",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-1)</f>
      </c>
      <c r="D10" s="7">
        <f>IF(B10="","",B10/MAX(B$5:B10)-1)</f>
        <v>-2.8604573320449078E-2</v>
      </c>
      <c r="E10" s="32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(ROW()-1)-5)/说明!$C$17))</f>
        <v>1.0432130514912921</v>
      </c>
      <c r="F10" s="7">
        <f>IF(OR(E9="",'实盘净值数据(iFinD公式)'!$A10="",'实盘净值数据(iFinD公式)'!$B10=""),"",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-1)</f>
      </c>
      <c r="G10" s="7">
        <f>IF(E10="","",E10/MAX(E$5:E10)-1)</f>
        <v>-2.8695043554146649E-2</v>
      </c>
      <c r="H10" s="32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(ROW()-1)-7)/说明!$C$17))</f>
        <v>1.0506449511611655</v>
      </c>
      <c r="I10" s="7">
        <f>IF(OR(H9="",'实盘净值数据(iFinD公式)'!$A10="",'实盘净值数据(iFinD公式)'!$B10=""),"",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-1)</f>
      </c>
      <c r="J10" s="7">
        <f>IF(H10="","",H10/MAX(H$5:H10)-1)</f>
        <v>-2.1863810316736343E-2</v>
      </c>
      <c r="K10" s="32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(ROW()-1)-8)/说明!$C$17))</f>
        <v>0.99949304909660197</v>
      </c>
      <c r="L10" s="7">
        <f>IF(OR(K9="",'实盘净值数据(iFinD公式)'!$A10="",'实盘净值数据(iFinD公式)'!$B10=""),"",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-1)</f>
      </c>
      <c r="M10" s="7">
        <f>IF(K10="","",K10/MAX(K$5:K10)-1)</f>
        <v>-1.9403959684980432E-3</v>
      </c>
      <c r="N10" s="32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(ROW()-1)-5)/说明!$C$17))</f>
        <v>0.9989567840991862</v>
      </c>
      <c r="O10" s="7">
        <f>IF(OR(N9="",'实盘净值数据(iFinD公式)'!$A10="",'实盘净值数据(iFinD公式)'!$B10=""),"",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-1)</f>
      </c>
      <c r="P10" s="7">
        <f>IF(N10="","",N10/MAX(N$5:N10)-1)</f>
        <v>-2.3521479462554895E-3</v>
      </c>
      <c r="Q10" s="32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(ROW()-1)-8)/说明!$C$17))</f>
        <v>0.9972242622004962</v>
      </c>
      <c r="R10" s="7">
        <f>IF(OR(Q9="",'实盘净值数据(iFinD公式)'!$A10="",'实盘净值数据(iFinD公式)'!$B10=""),"",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-1)</f>
      </c>
      <c r="S10" s="7">
        <f>IF(Q10="","",Q10/MAX(Q$5:Q10)-1)</f>
        <v>-6.7550898607637855E-3</v>
      </c>
    </row>
    <row r="11" spans="1:19" x14ac:dyDescent="0.25">
      <c r="A11" s="33">
        <f>IF('实盘净值数据(iFinD公式)'!A11="","",'实盘净值数据(iFinD公式)'!A11)</f>
        <v>46202</v>
      </c>
      <c r="B11" s="32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(ROW()-1)-6)/说明!$C$17))</f>
        <v>1.0294798827005589</v>
      </c>
      <c r="C11" s="7">
        <f>IF(OR(B10="",'实盘净值数据(iFinD公式)'!$A11="",'实盘净值数据(iFinD公式)'!$B11=""),"",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-1)</f>
      </c>
      <c r="D11" s="7">
        <f>IF(B11="","",B11/MAX(B$5:B11)-1)</f>
        <v>-1.9022057300411288E-2</v>
      </c>
      <c r="E11" s="32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(ROW()-1)-5)/说明!$C$17))</f>
        <v>1.0533788898638812</v>
      </c>
      <c r="F11" s="7">
        <f>IF(OR(E10="",'实盘净值数据(iFinD公式)'!$A11="",'实盘净值数据(iFinD公式)'!$B11=""),"",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-1)</f>
      </c>
      <c r="G11" s="7">
        <f>IF(E11="","",E11/MAX(E$5:E11)-1)</f>
        <v>-1.9229930762844849E-2</v>
      </c>
      <c r="H11" s="32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(ROW()-1)-7)/说明!$C$17))</f>
        <v>1.0685751475330594</v>
      </c>
      <c r="I11" s="7">
        <f>IF(OR(H10="",'实盘净值数据(iFinD公式)'!$A11="",'实盘净值数据(iFinD公式)'!$B11=""),"",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-1)</f>
      </c>
      <c r="J11" s="7">
        <f>IF(H11="","",H11/MAX(H$5:H11)-1)</f>
        <v>-5.1710408515674988E-3</v>
      </c>
      <c r="K11" s="32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(ROW()-1)-8)/说明!$C$17))</f>
        <v>1.001425069764311</v>
      </c>
      <c r="L11" s="7">
        <f>IF(OR(K10="",'实盘净值数据(iFinD公式)'!$A11="",'实盘净值数据(iFinD公式)'!$B11=""),"",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-1)</f>
      </c>
      <c r="M11" s="7">
        <f>IF(K11="","",K11/MAX(K$5:K11)-1)</f>
        <v>-1.1146150965757329E-5</v>
      </c>
      <c r="N11" s="32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(ROW()-1)-5)/说明!$C$17))</f>
        <v>1.0005685736228922</v>
      </c>
      <c r="O11" s="7">
        <f>IF(OR(N10="",'实盘净值数据(iFinD公式)'!$A11="",'实盘净值数据(iFinD公式)'!$B11=""),"",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-1)</f>
      </c>
      <c r="P11" s="7">
        <f>IF(N11="","",N11/MAX(N$5:N11)-1)</f>
        <v>-7.4247034870245088E-4</v>
      </c>
      <c r="Q11" s="32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(ROW()-1)-8)/说明!$C$17))</f>
        <v>1.001046276296178</v>
      </c>
      <c r="R11" s="7">
        <f>IF(OR(Q10="",'实盘净值数据(iFinD公式)'!$A11="",'实盘净值数据(iFinD公式)'!$B11=""),"",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-1)</f>
      </c>
      <c r="S11" s="7">
        <f>IF(Q11="","",Q11/MAX(Q$5:Q11)-1)</f>
        <v>-2.948327238843973E-3</v>
      </c>
    </row>
    <row r="12" spans="1:19" x14ac:dyDescent="0.25">
      <c r="A12" s="33">
        <f>IF('实盘净值数据(iFinD公式)'!A12="","",'实盘净值数据(iFinD公式)'!A12)</f>
        <v>46203</v>
      </c>
      <c r="B12" s="32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(ROW()-1)-6)/说明!$C$17))</f>
        <v>1.0294155905508455</v>
      </c>
      <c r="C12" s="7">
        <f>IF(OR(B11="",'实盘净值数据(iFinD公式)'!$A12="",'实盘净值数据(iFinD公式)'!$B12=""),"",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-1)</f>
      </c>
      <c r="D12" s="7">
        <f>IF(B12="","",B12/MAX(B$5:B12)-1)</f>
        <v>-1.9083320450684949E-2</v>
      </c>
      <c r="E12" s="32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(ROW()-1)-5)/说明!$C$17))</f>
        <v>1.0533263415786789</v>
      </c>
      <c r="F12" s="7">
        <f>IF(OR(E11="",'实盘净值数据(iFinD公式)'!$A12="",'实盘净值数据(iFinD公式)'!$B12=""),"",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-1)</f>
      </c>
      <c r="G12" s="7">
        <f>IF(E12="","",E12/MAX(E$5:E12)-1)</f>
        <v>-1.9278856923993559E-2</v>
      </c>
      <c r="H12" s="32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(ROW()-1)-7)/说明!$C$17))</f>
        <v>1.068508413841105</v>
      </c>
      <c r="I12" s="7">
        <f>IF(OR(H11="",'实盘净值数据(iFinD公式)'!$A12="",'实盘净值数据(iFinD公式)'!$B12=""),"",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-1)</f>
      </c>
      <c r="J12" s="7">
        <f>IF(H12="","",H12/MAX(H$5:H12)-1)</f>
        <v>-5.2331690130359432E-3</v>
      </c>
      <c r="K12" s="32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(ROW()-1)-8)/说明!$C$17))</f>
        <v>1.0013918322245723</v>
      </c>
      <c r="L12" s="7">
        <f>IF(OR(K11="",'实盘净值数据(iFinD公式)'!$A12="",'实盘净值数据(iFinD公式)'!$B12=""),"",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-1)</f>
      </c>
      <c r="M12" s="7">
        <f>IF(K12="","",K12/MAX(K$5:K12)-1)</f>
        <v>-4.4336022351654236E-5</v>
      </c>
      <c r="N12" s="32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(ROW()-1)-5)/说明!$C$17))</f>
        <v>1.0005478490779289</v>
      </c>
      <c r="O12" s="7">
        <f>IF(OR(N11="",'实盘净值数据(iFinD公式)'!$A12="",'实盘净值数据(iFinD公式)'!$B12=""),"",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-1)</f>
      </c>
      <c r="P12" s="7">
        <f>IF(N12="","",N12/MAX(N$5:N12)-1)</f>
        <v>-7.6316773831586193E-4</v>
      </c>
      <c r="Q12" s="32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(ROW()-1)-8)/说明!$C$17))</f>
        <v>1.0009963386472145</v>
      </c>
      <c r="R12" s="7">
        <f>IF(OR(Q11="",'实盘净值数据(iFinD公式)'!$A12="",'实盘净值数据(iFinD公式)'!$B12=""),"",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-1)</f>
      </c>
      <c r="S12" s="7">
        <f>IF(Q12="","",Q12/MAX(Q$5:Q12)-1)</f>
        <v>-2.9980656151926688E-3</v>
      </c>
    </row>
    <row r="13" spans="1:19" x14ac:dyDescent="0.25">
      <c r="A13" s="33" t="str">
        <f>IF('实盘净值数据(iFinD公式)'!A13="","",'实盘净值数据(iFinD公式)'!A13)</f>
        <v/>
      </c>
      <c r="B13" s="32" t="str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(ROW()-1)-6)/说明!$C$17))</f>
        <v/>
      </c>
      <c r="C13" s="7">
        <f>IF(OR(B12="",'实盘净值数据(iFinD公式)'!$A13="",'实盘净值数据(iFinD公式)'!$B13=""),"",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-1)</f>
      </c>
      <c r="D13" s="7" t="str">
        <f>IF(B13="","",B13/MAX(B$5:B13)-1)</f>
        <v/>
      </c>
      <c r="E13" s="32" t="str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(ROW()-1)-5)/说明!$C$17))</f>
        <v/>
      </c>
      <c r="F13" s="7">
        <f>IF(OR(E12="",'实盘净值数据(iFinD公式)'!$A13="",'实盘净值数据(iFinD公式)'!$B13=""),"",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-1)</f>
      </c>
      <c r="G13" s="7" t="str">
        <f>IF(E13="","",E13/MAX(E$5:E13)-1)</f>
        <v/>
      </c>
      <c r="H13" s="32" t="str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(ROW()-1)-7)/说明!$C$17))</f>
        <v/>
      </c>
      <c r="I13" s="7">
        <f>IF(OR(H12="",'实盘净值数据(iFinD公式)'!$A13="",'实盘净值数据(iFinD公式)'!$B13=""),"",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-1)</f>
      </c>
      <c r="J13" s="7" t="str">
        <f>IF(H13="","",H13/MAX(H$5:H13)-1)</f>
        <v/>
      </c>
      <c r="K13" s="32" t="str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(ROW()-1)-8)/说明!$C$17))</f>
        <v/>
      </c>
      <c r="L13" s="7">
        <f>IF(OR(K12="",'实盘净值数据(iFinD公式)'!$A13="",'实盘净值数据(iFinD公式)'!$B13=""),"",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-1)</f>
      </c>
      <c r="M13" s="7" t="str">
        <f>IF(K13="","",K13/MAX(K$5:K13)-1)</f>
        <v/>
      </c>
      <c r="N13" s="32" t="str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(ROW()-1)-5)/说明!$C$17))</f>
        <v/>
      </c>
      <c r="O13" s="7">
        <f>IF(OR(N12="",'实盘净值数据(iFinD公式)'!$A13="",'实盘净值数据(iFinD公式)'!$B13=""),"",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-1)</f>
      </c>
      <c r="P13" s="7" t="str">
        <f>IF(N13="","",N13/MAX(N$5:N13)-1)</f>
        <v/>
      </c>
      <c r="Q13" s="32" t="str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(ROW()-1)-8)/说明!$C$17))</f>
        <v/>
      </c>
      <c r="R13" s="7">
        <f>IF(OR(Q12="",'实盘净值数据(iFinD公式)'!$A13="",'实盘净值数据(iFinD公式)'!$B13=""),"",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-1)</f>
      </c>
      <c r="S13" s="7" t="str">
        <f>IF(Q13="","",Q13/MAX(Q$5:Q13)-1)</f>
        <v/>
      </c>
    </row>
    <row r="14" spans="1:19" x14ac:dyDescent="0.25">
      <c r="A14" s="33" t="str">
        <f>IF('实盘净值数据(iFinD公式)'!A14="","",'实盘净值数据(iFinD公式)'!A14)</f>
        <v/>
      </c>
      <c r="B14" s="32" t="str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(ROW()-1)-6)/说明!$C$17))</f>
        <v/>
      </c>
      <c r="C14" s="7">
        <f>IF(OR(B13="",'实盘净值数据(iFinD公式)'!$A14="",'实盘净值数据(iFinD公式)'!$B14=""),"",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-1)</f>
      </c>
      <c r="D14" s="7" t="str">
        <f>IF(B14="","",B14/MAX(B$5:B14)-1)</f>
        <v/>
      </c>
      <c r="E14" s="32" t="str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(ROW()-1)-5)/说明!$C$17))</f>
        <v/>
      </c>
      <c r="F14" s="7">
        <f>IF(OR(E13="",'实盘净值数据(iFinD公式)'!$A14="",'实盘净值数据(iFinD公式)'!$B14=""),"",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-1)</f>
      </c>
      <c r="G14" s="7" t="str">
        <f>IF(E14="","",E14/MAX(E$5:E14)-1)</f>
        <v/>
      </c>
      <c r="H14" s="32" t="str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(ROW()-1)-7)/说明!$C$17))</f>
        <v/>
      </c>
      <c r="I14" s="7">
        <f>IF(OR(H13="",'实盘净值数据(iFinD公式)'!$A14="",'实盘净值数据(iFinD公式)'!$B14=""),"",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-1)</f>
      </c>
      <c r="J14" s="7" t="str">
        <f>IF(H14="","",H14/MAX(H$5:H14)-1)</f>
        <v/>
      </c>
      <c r="K14" s="32" t="str">
        <f>IF(OR((ROW()-1)&lt;8,'实盘净值数据(iFinD公式)'!$A14="",'实盘净值数据(iFinD公式)'!$B14=""),"",SUMPRODUCT(实盘持仓配置!$B$7:$X$7,'实盘净值数据(iFinD公式)'!$B14:$X14/'实盘净值数据(iFinD公式)'!$B$8:$X$8)*(1-实盘持仓配置!$Z$7)^(((ROW()-1)-8)/说明!$C$17))</f>
        <v/>
      </c>
      <c r="L14" s="7">
        <f>IF(OR(K13="",'实盘净值数据(iFinD公式)'!$A14="",'实盘净值数据(iFinD公式)'!$B14=""),"",SUMPRODUCT(实盘持仓配置!$B$7:$X$7,'实盘净值数据(iFinD公式)'!$B13:$X13/'实盘净值数据(iFinD公式)'!$B$8:$X$8,'实盘净值数据(iFinD公式)'!$B14:$X14/'实盘净值数据(iFinD公式)'!$B13:$X13)/SUMPRODUCT(实盘持仓配置!$B$7:$X$7,'实盘净值数据(iFinD公式)'!$B13:$X13/'实盘净值数据(iFinD公式)'!$B$8:$X$8)-1)</f>
      </c>
      <c r="M14" s="7" t="str">
        <f>IF(K14="","",K14/MAX(K$5:K14)-1)</f>
        <v/>
      </c>
      <c r="N14" s="32" t="str">
        <f>IF(OR((ROW()-1)&lt;5,'实盘净值数据(iFinD公式)'!$A14="",'实盘净值数据(iFinD公式)'!$B14=""),"",SUMPRODUCT(实盘持仓配置!$B$8:$X$8,'实盘净值数据(iFinD公式)'!$B14:$X14/'实盘净值数据(iFinD公式)'!$B$5:$X$5)*(1-实盘持仓配置!$Z$8)^(((ROW()-1)-5)/说明!$C$17))</f>
        <v/>
      </c>
      <c r="O14" s="7">
        <f>IF(OR(N13="",'实盘净值数据(iFinD公式)'!$A14="",'实盘净值数据(iFinD公式)'!$B14=""),"",SUMPRODUCT(实盘持仓配置!$B$8:$X$8,'实盘净值数据(iFinD公式)'!$B13:$X13/'实盘净值数据(iFinD公式)'!$B$5:$X$5,'实盘净值数据(iFinD公式)'!$B14:$X14/'实盘净值数据(iFinD公式)'!$B13:$X13)/SUMPRODUCT(实盘持仓配置!$B$8:$X$8,'实盘净值数据(iFinD公式)'!$B13:$X13/'实盘净值数据(iFinD公式)'!$B$5:$X$5)-1)</f>
      </c>
      <c r="P14" s="7" t="str">
        <f>IF(N14="","",N14/MAX(N$5:N14)-1)</f>
        <v/>
      </c>
      <c r="Q14" s="32" t="str">
        <f>IF(OR((ROW()-1)&lt;8,'实盘净值数据(iFinD公式)'!$A14="",'实盘净值数据(iFinD公式)'!$B14=""),"",SUMPRODUCT(实盘持仓配置!$B$9:$X$9,'实盘净值数据(iFinD公式)'!$B14:$X14/'实盘净值数据(iFinD公式)'!$B$8:$X$8)*(1-实盘持仓配置!$Z$9)^(((ROW()-1)-8)/说明!$C$17))</f>
        <v/>
      </c>
      <c r="R14" s="7">
        <f>IF(OR(Q13="",'实盘净值数据(iFinD公式)'!$A14="",'实盘净值数据(iFinD公式)'!$B14=""),"",SUMPRODUCT(实盘持仓配置!$B$9:$X$9,'实盘净值数据(iFinD公式)'!$B13:$X13/'实盘净值数据(iFinD公式)'!$B$8:$X$8,'实盘净值数据(iFinD公式)'!$B14:$X14/'实盘净值数据(iFinD公式)'!$B13:$X13)/SUMPRODUCT(实盘持仓配置!$B$9:$X$9,'实盘净值数据(iFinD公式)'!$B13:$X13/'实盘净值数据(iFinD公式)'!$B$8:$X$8)-1)</f>
      </c>
      <c r="S14" s="7" t="str">
        <f>IF(Q14="","",Q14/MAX(Q$5:Q14)-1)</f>
        <v/>
      </c>
    </row>
    <row r="15" spans="1:19" x14ac:dyDescent="0.25">
      <c r="A15" s="33" t="str">
        <f>IF('实盘净值数据(iFinD公式)'!A15="","",'实盘净值数据(iFinD公式)'!A15)</f>
        <v/>
      </c>
      <c r="B15" s="32" t="str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(ROW()-1)-6)/说明!$C$17))</f>
        <v/>
      </c>
      <c r="C15" s="7">
        <f>IF(OR(B14="",'实盘净值数据(iFinD公式)'!$A15="",'实盘净值数据(iFinD公式)'!$B15=""),"",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-1)</f>
      </c>
      <c r="D15" s="7" t="str">
        <f>IF(B15="","",B15/MAX(B$5:B15)-1)</f>
        <v/>
      </c>
      <c r="E15" s="32" t="str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(ROW()-1)-5)/说明!$C$17))</f>
        <v/>
      </c>
      <c r="F15" s="7">
        <f>IF(OR(E14="",'实盘净值数据(iFinD公式)'!$A15="",'实盘净值数据(iFinD公式)'!$B15=""),"",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-1)</f>
      </c>
      <c r="G15" s="7" t="str">
        <f>IF(E15="","",E15/MAX(E$5:E15)-1)</f>
        <v/>
      </c>
      <c r="H15" s="32" t="str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(ROW()-1)-7)/说明!$C$17))</f>
        <v/>
      </c>
      <c r="I15" s="7">
        <f>IF(OR(H14="",'实盘净值数据(iFinD公式)'!$A15="",'实盘净值数据(iFinD公式)'!$B15=""),"",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-1)</f>
      </c>
      <c r="J15" s="7" t="str">
        <f>IF(H15="","",H15/MAX(H$5:H15)-1)</f>
        <v/>
      </c>
      <c r="K15" s="32" t="str">
        <f>IF(OR((ROW()-1)&lt;8,'实盘净值数据(iFinD公式)'!$A15="",'实盘净值数据(iFinD公式)'!$B15=""),"",SUMPRODUCT(实盘持仓配置!$B$7:$X$7,'实盘净值数据(iFinD公式)'!$B15:$X15/'实盘净值数据(iFinD公式)'!$B$8:$X$8)*(1-实盘持仓配置!$Z$7)^(((ROW()-1)-8)/说明!$C$17))</f>
        <v/>
      </c>
      <c r="L15" s="7">
        <f>IF(OR(K14="",'实盘净值数据(iFinD公式)'!$A15="",'实盘净值数据(iFinD公式)'!$B15=""),"",SUMPRODUCT(实盘持仓配置!$B$7:$X$7,'实盘净值数据(iFinD公式)'!$B14:$X14/'实盘净值数据(iFinD公式)'!$B$8:$X$8,'实盘净值数据(iFinD公式)'!$B15:$X15/'实盘净值数据(iFinD公式)'!$B14:$X14)/SUMPRODUCT(实盘持仓配置!$B$7:$X$7,'实盘净值数据(iFinD公式)'!$B14:$X14/'实盘净值数据(iFinD公式)'!$B$8:$X$8)-1)</f>
      </c>
      <c r="M15" s="7" t="str">
        <f>IF(K15="","",K15/MAX(K$5:K15)-1)</f>
        <v/>
      </c>
      <c r="N15" s="32" t="str">
        <f>IF(OR((ROW()-1)&lt;5,'实盘净值数据(iFinD公式)'!$A15="",'实盘净值数据(iFinD公式)'!$B15=""),"",SUMPRODUCT(实盘持仓配置!$B$8:$X$8,'实盘净值数据(iFinD公式)'!$B15:$X15/'实盘净值数据(iFinD公式)'!$B$5:$X$5)*(1-实盘持仓配置!$Z$8)^(((ROW()-1)-5)/说明!$C$17))</f>
        <v/>
      </c>
      <c r="O15" s="7">
        <f>IF(OR(N14="",'实盘净值数据(iFinD公式)'!$A15="",'实盘净值数据(iFinD公式)'!$B15=""),"",SUMPRODUCT(实盘持仓配置!$B$8:$X$8,'实盘净值数据(iFinD公式)'!$B14:$X14/'实盘净值数据(iFinD公式)'!$B$5:$X$5,'实盘净值数据(iFinD公式)'!$B15:$X15/'实盘净值数据(iFinD公式)'!$B14:$X14)/SUMPRODUCT(实盘持仓配置!$B$8:$X$8,'实盘净值数据(iFinD公式)'!$B14:$X14/'实盘净值数据(iFinD公式)'!$B$5:$X$5)-1)</f>
      </c>
      <c r="P15" s="7" t="str">
        <f>IF(N15="","",N15/MAX(N$5:N15)-1)</f>
        <v/>
      </c>
      <c r="Q15" s="32" t="str">
        <f>IF(OR((ROW()-1)&lt;8,'实盘净值数据(iFinD公式)'!$A15="",'实盘净值数据(iFinD公式)'!$B15=""),"",SUMPRODUCT(实盘持仓配置!$B$9:$X$9,'实盘净值数据(iFinD公式)'!$B15:$X15/'实盘净值数据(iFinD公式)'!$B$8:$X$8)*(1-实盘持仓配置!$Z$9)^(((ROW()-1)-8)/说明!$C$17))</f>
        <v/>
      </c>
      <c r="R15" s="7">
        <f>IF(OR(Q14="",'实盘净值数据(iFinD公式)'!$A15="",'实盘净值数据(iFinD公式)'!$B15=""),"",SUMPRODUCT(实盘持仓配置!$B$9:$X$9,'实盘净值数据(iFinD公式)'!$B14:$X14/'实盘净值数据(iFinD公式)'!$B$8:$X$8,'实盘净值数据(iFinD公式)'!$B15:$X15/'实盘净值数据(iFinD公式)'!$B14:$X14)/SUMPRODUCT(实盘持仓配置!$B$9:$X$9,'实盘净值数据(iFinD公式)'!$B14:$X14/'实盘净值数据(iFinD公式)'!$B$8:$X$8)-1)</f>
      </c>
      <c r="S15" s="7" t="str">
        <f>IF(Q15="","",Q15/MAX(Q$5:Q15)-1)</f>
        <v/>
      </c>
    </row>
    <row r="16" spans="1:19" x14ac:dyDescent="0.25">
      <c r="A16" s="33" t="str">
        <f>IF('实盘净值数据(iFinD公式)'!A16="","",'实盘净值数据(iFinD公式)'!A16)</f>
        <v/>
      </c>
      <c r="B16" s="32" t="str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(ROW()-1)-6)/说明!$C$17))</f>
        <v/>
      </c>
      <c r="C16" s="7">
        <f>IF(OR(B15="",'实盘净值数据(iFinD公式)'!$A16="",'实盘净值数据(iFinD公式)'!$B16=""),"",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-1)</f>
      </c>
      <c r="D16" s="7" t="str">
        <f>IF(B16="","",B16/MAX(B$5:B16)-1)</f>
        <v/>
      </c>
      <c r="E16" s="32" t="str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(ROW()-1)-5)/说明!$C$17))</f>
        <v/>
      </c>
      <c r="F16" s="7">
        <f>IF(OR(E15="",'实盘净值数据(iFinD公式)'!$A16="",'实盘净值数据(iFinD公式)'!$B16=""),"",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-1)</f>
      </c>
      <c r="G16" s="7" t="str">
        <f>IF(E16="","",E16/MAX(E$5:E16)-1)</f>
        <v/>
      </c>
      <c r="H16" s="32" t="str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(ROW()-1)-7)/说明!$C$17))</f>
        <v/>
      </c>
      <c r="I16" s="7">
        <f>IF(OR(H15="",'实盘净值数据(iFinD公式)'!$A16="",'实盘净值数据(iFinD公式)'!$B16=""),"",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-1)</f>
      </c>
      <c r="J16" s="7" t="str">
        <f>IF(H16="","",H16/MAX(H$5:H16)-1)</f>
        <v/>
      </c>
      <c r="K16" s="32" t="str">
        <f>IF(OR((ROW()-1)&lt;8,'实盘净值数据(iFinD公式)'!$A16="",'实盘净值数据(iFinD公式)'!$B16=""),"",SUMPRODUCT(实盘持仓配置!$B$7:$X$7,'实盘净值数据(iFinD公式)'!$B16:$X16/'实盘净值数据(iFinD公式)'!$B$8:$X$8)*(1-实盘持仓配置!$Z$7)^(((ROW()-1)-8)/说明!$C$17))</f>
        <v/>
      </c>
      <c r="L16" s="7">
        <f>IF(OR(K15="",'实盘净值数据(iFinD公式)'!$A16="",'实盘净值数据(iFinD公式)'!$B16=""),"",SUMPRODUCT(实盘持仓配置!$B$7:$X$7,'实盘净值数据(iFinD公式)'!$B15:$X15/'实盘净值数据(iFinD公式)'!$B$8:$X$8,'实盘净值数据(iFinD公式)'!$B16:$X16/'实盘净值数据(iFinD公式)'!$B15:$X15)/SUMPRODUCT(实盘持仓配置!$B$7:$X$7,'实盘净值数据(iFinD公式)'!$B15:$X15/'实盘净值数据(iFinD公式)'!$B$8:$X$8)-1)</f>
      </c>
      <c r="M16" s="7" t="str">
        <f>IF(K16="","",K16/MAX(K$5:K16)-1)</f>
        <v/>
      </c>
      <c r="N16" s="32" t="str">
        <f>IF(OR((ROW()-1)&lt;5,'实盘净值数据(iFinD公式)'!$A16="",'实盘净值数据(iFinD公式)'!$B16=""),"",SUMPRODUCT(实盘持仓配置!$B$8:$X$8,'实盘净值数据(iFinD公式)'!$B16:$X16/'实盘净值数据(iFinD公式)'!$B$5:$X$5)*(1-实盘持仓配置!$Z$8)^(((ROW()-1)-5)/说明!$C$17))</f>
        <v/>
      </c>
      <c r="O16" s="7">
        <f>IF(OR(N15="",'实盘净值数据(iFinD公式)'!$A16="",'实盘净值数据(iFinD公式)'!$B16=""),"",SUMPRODUCT(实盘持仓配置!$B$8:$X$8,'实盘净值数据(iFinD公式)'!$B15:$X15/'实盘净值数据(iFinD公式)'!$B$5:$X$5,'实盘净值数据(iFinD公式)'!$B16:$X16/'实盘净值数据(iFinD公式)'!$B15:$X15)/SUMPRODUCT(实盘持仓配置!$B$8:$X$8,'实盘净值数据(iFinD公式)'!$B15:$X15/'实盘净值数据(iFinD公式)'!$B$5:$X$5)-1)</f>
      </c>
      <c r="P16" s="7" t="str">
        <f>IF(N16="","",N16/MAX(N$5:N16)-1)</f>
        <v/>
      </c>
      <c r="Q16" s="32" t="str">
        <f>IF(OR((ROW()-1)&lt;8,'实盘净值数据(iFinD公式)'!$A16="",'实盘净值数据(iFinD公式)'!$B16=""),"",SUMPRODUCT(实盘持仓配置!$B$9:$X$9,'实盘净值数据(iFinD公式)'!$B16:$X16/'实盘净值数据(iFinD公式)'!$B$8:$X$8)*(1-实盘持仓配置!$Z$9)^(((ROW()-1)-8)/说明!$C$17))</f>
        <v/>
      </c>
      <c r="R16" s="7">
        <f>IF(OR(Q15="",'实盘净值数据(iFinD公式)'!$A16="",'实盘净值数据(iFinD公式)'!$B16=""),"",SUMPRODUCT(实盘持仓配置!$B$9:$X$9,'实盘净值数据(iFinD公式)'!$B15:$X15/'实盘净值数据(iFinD公式)'!$B$8:$X$8,'实盘净值数据(iFinD公式)'!$B16:$X16/'实盘净值数据(iFinD公式)'!$B15:$X15)/SUMPRODUCT(实盘持仓配置!$B$9:$X$9,'实盘净值数据(iFinD公式)'!$B15:$X15/'实盘净值数据(iFinD公式)'!$B$8:$X$8)-1)</f>
      </c>
      <c r="S16" s="7" t="str">
        <f>IF(Q16="","",Q16/MAX(Q$5:Q16)-1)</f>
        <v/>
      </c>
    </row>
    <row r="17" spans="1:19" x14ac:dyDescent="0.25">
      <c r="A17" s="33" t="str">
        <f>IF('实盘净值数据(iFinD公式)'!A17="","",'实盘净值数据(iFinD公式)'!A17)</f>
        <v/>
      </c>
      <c r="B17" s="32" t="str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(ROW()-1)-6)/说明!$C$17))</f>
        <v/>
      </c>
      <c r="C17" s="7">
        <f>IF(OR(B16="",'实盘净值数据(iFinD公式)'!$A17="",'实盘净值数据(iFinD公式)'!$B17=""),"",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-1)</f>
      </c>
      <c r="D17" s="7" t="str">
        <f>IF(B17="","",B17/MAX(B$5:B17)-1)</f>
        <v/>
      </c>
      <c r="E17" s="32" t="str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(ROW()-1)-5)/说明!$C$17))</f>
        <v/>
      </c>
      <c r="F17" s="7">
        <f>IF(OR(E16="",'实盘净值数据(iFinD公式)'!$A17="",'实盘净值数据(iFinD公式)'!$B17=""),"",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-1)</f>
      </c>
      <c r="G17" s="7" t="str">
        <f>IF(E17="","",E17/MAX(E$5:E17)-1)</f>
        <v/>
      </c>
      <c r="H17" s="32" t="str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(ROW()-1)-7)/说明!$C$17))</f>
        <v/>
      </c>
      <c r="I17" s="7">
        <f>IF(OR(H16="",'实盘净值数据(iFinD公式)'!$A17="",'实盘净值数据(iFinD公式)'!$B17=""),"",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-1)</f>
      </c>
      <c r="J17" s="7" t="str">
        <f>IF(H17="","",H17/MAX(H$5:H17)-1)</f>
        <v/>
      </c>
      <c r="K17" s="32" t="str">
        <f>IF(OR((ROW()-1)&lt;8,'实盘净值数据(iFinD公式)'!$A17="",'实盘净值数据(iFinD公式)'!$B17=""),"",SUMPRODUCT(实盘持仓配置!$B$7:$X$7,'实盘净值数据(iFinD公式)'!$B17:$X17/'实盘净值数据(iFinD公式)'!$B$8:$X$8)*(1-实盘持仓配置!$Z$7)^(((ROW()-1)-8)/说明!$C$17))</f>
        <v/>
      </c>
      <c r="L17" s="7">
        <f>IF(OR(K16="",'实盘净值数据(iFinD公式)'!$A17="",'实盘净值数据(iFinD公式)'!$B17=""),"",SUMPRODUCT(实盘持仓配置!$B$7:$X$7,'实盘净值数据(iFinD公式)'!$B16:$X16/'实盘净值数据(iFinD公式)'!$B$8:$X$8,'实盘净值数据(iFinD公式)'!$B17:$X17/'实盘净值数据(iFinD公式)'!$B16:$X16)/SUMPRODUCT(实盘持仓配置!$B$7:$X$7,'实盘净值数据(iFinD公式)'!$B16:$X16/'实盘净值数据(iFinD公式)'!$B$8:$X$8)-1)</f>
      </c>
      <c r="M17" s="7" t="str">
        <f>IF(K17="","",K17/MAX(K$5:K17)-1)</f>
        <v/>
      </c>
      <c r="N17" s="32" t="str">
        <f>IF(OR((ROW()-1)&lt;5,'实盘净值数据(iFinD公式)'!$A17="",'实盘净值数据(iFinD公式)'!$B17=""),"",SUMPRODUCT(实盘持仓配置!$B$8:$X$8,'实盘净值数据(iFinD公式)'!$B17:$X17/'实盘净值数据(iFinD公式)'!$B$5:$X$5)*(1-实盘持仓配置!$Z$8)^(((ROW()-1)-5)/说明!$C$17))</f>
        <v/>
      </c>
      <c r="O17" s="7">
        <f>IF(OR(N16="",'实盘净值数据(iFinD公式)'!$A17="",'实盘净值数据(iFinD公式)'!$B17=""),"",SUMPRODUCT(实盘持仓配置!$B$8:$X$8,'实盘净值数据(iFinD公式)'!$B16:$X16/'实盘净值数据(iFinD公式)'!$B$5:$X$5,'实盘净值数据(iFinD公式)'!$B17:$X17/'实盘净值数据(iFinD公式)'!$B16:$X16)/SUMPRODUCT(实盘持仓配置!$B$8:$X$8,'实盘净值数据(iFinD公式)'!$B16:$X16/'实盘净值数据(iFinD公式)'!$B$5:$X$5)-1)</f>
      </c>
      <c r="P17" s="7" t="str">
        <f>IF(N17="","",N17/MAX(N$5:N17)-1)</f>
        <v/>
      </c>
      <c r="Q17" s="32" t="str">
        <f>IF(OR((ROW()-1)&lt;8,'实盘净值数据(iFinD公式)'!$A17="",'实盘净值数据(iFinD公式)'!$B17=""),"",SUMPRODUCT(实盘持仓配置!$B$9:$X$9,'实盘净值数据(iFinD公式)'!$B17:$X17/'实盘净值数据(iFinD公式)'!$B$8:$X$8)*(1-实盘持仓配置!$Z$9)^(((ROW()-1)-8)/说明!$C$17))</f>
        <v/>
      </c>
      <c r="R17" s="7">
        <f>IF(OR(Q16="",'实盘净值数据(iFinD公式)'!$A17="",'实盘净值数据(iFinD公式)'!$B17=""),"",SUMPRODUCT(实盘持仓配置!$B$9:$X$9,'实盘净值数据(iFinD公式)'!$B16:$X16/'实盘净值数据(iFinD公式)'!$B$8:$X$8,'实盘净值数据(iFinD公式)'!$B17:$X17/'实盘净值数据(iFinD公式)'!$B16:$X16)/SUMPRODUCT(实盘持仓配置!$B$9:$X$9,'实盘净值数据(iFinD公式)'!$B16:$X16/'实盘净值数据(iFinD公式)'!$B$8:$X$8)-1)</f>
      </c>
      <c r="S17" s="7" t="str">
        <f>IF(Q17="","",Q17/MAX(Q$5:Q17)-1)</f>
        <v/>
      </c>
    </row>
    <row r="18" spans="1:19" x14ac:dyDescent="0.25">
      <c r="A18" s="33" t="str">
        <f>IF('实盘净值数据(iFinD公式)'!A18="","",'实盘净值数据(iFinD公式)'!A18)</f>
        <v/>
      </c>
      <c r="B18" s="32" t="str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(ROW()-1)-6)/说明!$C$17))</f>
        <v/>
      </c>
      <c r="C18" s="7">
        <f>IF(OR(B17="",'实盘净值数据(iFinD公式)'!$A18="",'实盘净值数据(iFinD公式)'!$B18=""),"",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-1)</f>
      </c>
      <c r="D18" s="7" t="str">
        <f>IF(B18="","",B18/MAX(B$5:B18)-1)</f>
        <v/>
      </c>
      <c r="E18" s="32" t="str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(ROW()-1)-5)/说明!$C$17))</f>
        <v/>
      </c>
      <c r="F18" s="7">
        <f>IF(OR(E17="",'实盘净值数据(iFinD公式)'!$A18="",'实盘净值数据(iFinD公式)'!$B18=""),"",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-1)</f>
      </c>
      <c r="G18" s="7" t="str">
        <f>IF(E18="","",E18/MAX(E$5:E18)-1)</f>
        <v/>
      </c>
      <c r="H18" s="32" t="str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(ROW()-1)-7)/说明!$C$17))</f>
        <v/>
      </c>
      <c r="I18" s="7">
        <f>IF(OR(H17="",'实盘净值数据(iFinD公式)'!$A18="",'实盘净值数据(iFinD公式)'!$B18=""),"",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-1)</f>
      </c>
      <c r="J18" s="7" t="str">
        <f>IF(H18="","",H18/MAX(H$5:H18)-1)</f>
        <v/>
      </c>
      <c r="K18" s="32" t="str">
        <f>IF(OR((ROW()-1)&lt;8,'实盘净值数据(iFinD公式)'!$A18="",'实盘净值数据(iFinD公式)'!$B18=""),"",SUMPRODUCT(实盘持仓配置!$B$7:$X$7,'实盘净值数据(iFinD公式)'!$B18:$X18/'实盘净值数据(iFinD公式)'!$B$8:$X$8)*(1-实盘持仓配置!$Z$7)^(((ROW()-1)-8)/说明!$C$17))</f>
        <v/>
      </c>
      <c r="L18" s="7">
        <f>IF(OR(K17="",'实盘净值数据(iFinD公式)'!$A18="",'实盘净值数据(iFinD公式)'!$B18=""),"",SUMPRODUCT(实盘持仓配置!$B$7:$X$7,'实盘净值数据(iFinD公式)'!$B17:$X17/'实盘净值数据(iFinD公式)'!$B$8:$X$8,'实盘净值数据(iFinD公式)'!$B18:$X18/'实盘净值数据(iFinD公式)'!$B17:$X17)/SUMPRODUCT(实盘持仓配置!$B$7:$X$7,'实盘净值数据(iFinD公式)'!$B17:$X17/'实盘净值数据(iFinD公式)'!$B$8:$X$8)-1)</f>
      </c>
      <c r="M18" s="7" t="str">
        <f>IF(K18="","",K18/MAX(K$5:K18)-1)</f>
        <v/>
      </c>
      <c r="N18" s="32" t="str">
        <f>IF(OR((ROW()-1)&lt;5,'实盘净值数据(iFinD公式)'!$A18="",'实盘净值数据(iFinD公式)'!$B18=""),"",SUMPRODUCT(实盘持仓配置!$B$8:$X$8,'实盘净值数据(iFinD公式)'!$B18:$X18/'实盘净值数据(iFinD公式)'!$B$5:$X$5)*(1-实盘持仓配置!$Z$8)^(((ROW()-1)-5)/说明!$C$17))</f>
        <v/>
      </c>
      <c r="O18" s="7">
        <f>IF(OR(N17="",'实盘净值数据(iFinD公式)'!$A18="",'实盘净值数据(iFinD公式)'!$B18=""),"",SUMPRODUCT(实盘持仓配置!$B$8:$X$8,'实盘净值数据(iFinD公式)'!$B17:$X17/'实盘净值数据(iFinD公式)'!$B$5:$X$5,'实盘净值数据(iFinD公式)'!$B18:$X18/'实盘净值数据(iFinD公式)'!$B17:$X17)/SUMPRODUCT(实盘持仓配置!$B$8:$X$8,'实盘净值数据(iFinD公式)'!$B17:$X17/'实盘净值数据(iFinD公式)'!$B$5:$X$5)-1)</f>
      </c>
      <c r="P18" s="7" t="str">
        <f>IF(N18="","",N18/MAX(N$5:N18)-1)</f>
        <v/>
      </c>
      <c r="Q18" s="32" t="str">
        <f>IF(OR((ROW()-1)&lt;8,'实盘净值数据(iFinD公式)'!$A18="",'实盘净值数据(iFinD公式)'!$B18=""),"",SUMPRODUCT(实盘持仓配置!$B$9:$X$9,'实盘净值数据(iFinD公式)'!$B18:$X18/'实盘净值数据(iFinD公式)'!$B$8:$X$8)*(1-实盘持仓配置!$Z$9)^(((ROW()-1)-8)/说明!$C$17))</f>
        <v/>
      </c>
      <c r="R18" s="7">
        <f>IF(OR(Q17="",'实盘净值数据(iFinD公式)'!$A18="",'实盘净值数据(iFinD公式)'!$B18=""),"",SUMPRODUCT(实盘持仓配置!$B$9:$X$9,'实盘净值数据(iFinD公式)'!$B17:$X17/'实盘净值数据(iFinD公式)'!$B$8:$X$8,'实盘净值数据(iFinD公式)'!$B18:$X18/'实盘净值数据(iFinD公式)'!$B17:$X17)/SUMPRODUCT(实盘持仓配置!$B$9:$X$9,'实盘净值数据(iFinD公式)'!$B17:$X17/'实盘净值数据(iFinD公式)'!$B$8:$X$8)-1)</f>
      </c>
      <c r="S18" s="7" t="str">
        <f>IF(Q18="","",Q18/MAX(Q$5:Q18)-1)</f>
        <v/>
      </c>
    </row>
    <row r="19" spans="1:19" x14ac:dyDescent="0.25">
      <c r="A19" s="33" t="str">
        <f>IF('实盘净值数据(iFinD公式)'!A19="","",'实盘净值数据(iFinD公式)'!A19)</f>
        <v/>
      </c>
      <c r="B19" s="32" t="str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(ROW()-1)-6)/说明!$C$17))</f>
        <v/>
      </c>
      <c r="C19" s="7">
        <f>IF(OR(B18="",'实盘净值数据(iFinD公式)'!$A19="",'实盘净值数据(iFinD公式)'!$B19=""),"",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-1)</f>
      </c>
      <c r="D19" s="7" t="str">
        <f>IF(B19="","",B19/MAX(B$5:B19)-1)</f>
        <v/>
      </c>
      <c r="E19" s="32" t="str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(ROW()-1)-5)/说明!$C$17))</f>
        <v/>
      </c>
      <c r="F19" s="7">
        <f>IF(OR(E18="",'实盘净值数据(iFinD公式)'!$A19="",'实盘净值数据(iFinD公式)'!$B19=""),"",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-1)</f>
      </c>
      <c r="G19" s="7" t="str">
        <f>IF(E19="","",E19/MAX(E$5:E19)-1)</f>
        <v/>
      </c>
      <c r="H19" s="32" t="str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(ROW()-1)-7)/说明!$C$17))</f>
        <v/>
      </c>
      <c r="I19" s="7">
        <f>IF(OR(H18="",'实盘净值数据(iFinD公式)'!$A19="",'实盘净值数据(iFinD公式)'!$B19=""),"",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-1)</f>
      </c>
      <c r="J19" s="7" t="str">
        <f>IF(H19="","",H19/MAX(H$5:H19)-1)</f>
        <v/>
      </c>
      <c r="K19" s="32" t="str">
        <f>IF(OR((ROW()-1)&lt;8,'实盘净值数据(iFinD公式)'!$A19="",'实盘净值数据(iFinD公式)'!$B19=""),"",SUMPRODUCT(实盘持仓配置!$B$7:$X$7,'实盘净值数据(iFinD公式)'!$B19:$X19/'实盘净值数据(iFinD公式)'!$B$8:$X$8)*(1-实盘持仓配置!$Z$7)^(((ROW()-1)-8)/说明!$C$17))</f>
        <v/>
      </c>
      <c r="L19" s="7">
        <f>IF(OR(K18="",'实盘净值数据(iFinD公式)'!$A19="",'实盘净值数据(iFinD公式)'!$B19=""),"",SUMPRODUCT(实盘持仓配置!$B$7:$X$7,'实盘净值数据(iFinD公式)'!$B18:$X18/'实盘净值数据(iFinD公式)'!$B$8:$X$8,'实盘净值数据(iFinD公式)'!$B19:$X19/'实盘净值数据(iFinD公式)'!$B18:$X18)/SUMPRODUCT(实盘持仓配置!$B$7:$X$7,'实盘净值数据(iFinD公式)'!$B18:$X18/'实盘净值数据(iFinD公式)'!$B$8:$X$8)-1)</f>
      </c>
      <c r="M19" s="7" t="str">
        <f>IF(K19="","",K19/MAX(K$5:K19)-1)</f>
        <v/>
      </c>
      <c r="N19" s="32" t="str">
        <f>IF(OR((ROW()-1)&lt;5,'实盘净值数据(iFinD公式)'!$A19="",'实盘净值数据(iFinD公式)'!$B19=""),"",SUMPRODUCT(实盘持仓配置!$B$8:$X$8,'实盘净值数据(iFinD公式)'!$B19:$X19/'实盘净值数据(iFinD公式)'!$B$5:$X$5)*(1-实盘持仓配置!$Z$8)^(((ROW()-1)-5)/说明!$C$17))</f>
        <v/>
      </c>
      <c r="O19" s="7">
        <f>IF(OR(N18="",'实盘净值数据(iFinD公式)'!$A19="",'实盘净值数据(iFinD公式)'!$B19=""),"",SUMPRODUCT(实盘持仓配置!$B$8:$X$8,'实盘净值数据(iFinD公式)'!$B18:$X18/'实盘净值数据(iFinD公式)'!$B$5:$X$5,'实盘净值数据(iFinD公式)'!$B19:$X19/'实盘净值数据(iFinD公式)'!$B18:$X18)/SUMPRODUCT(实盘持仓配置!$B$8:$X$8,'实盘净值数据(iFinD公式)'!$B18:$X18/'实盘净值数据(iFinD公式)'!$B$5:$X$5)-1)</f>
      </c>
      <c r="P19" s="7" t="str">
        <f>IF(N19="","",N19/MAX(N$5:N19)-1)</f>
        <v/>
      </c>
      <c r="Q19" s="32" t="str">
        <f>IF(OR((ROW()-1)&lt;8,'实盘净值数据(iFinD公式)'!$A19="",'实盘净值数据(iFinD公式)'!$B19=""),"",SUMPRODUCT(实盘持仓配置!$B$9:$X$9,'实盘净值数据(iFinD公式)'!$B19:$X19/'实盘净值数据(iFinD公式)'!$B$8:$X$8)*(1-实盘持仓配置!$Z$9)^(((ROW()-1)-8)/说明!$C$17))</f>
        <v/>
      </c>
      <c r="R19" s="7">
        <f>IF(OR(Q18="",'实盘净值数据(iFinD公式)'!$A19="",'实盘净值数据(iFinD公式)'!$B19=""),"",SUMPRODUCT(实盘持仓配置!$B$9:$X$9,'实盘净值数据(iFinD公式)'!$B18:$X18/'实盘净值数据(iFinD公式)'!$B$8:$X$8,'实盘净值数据(iFinD公式)'!$B19:$X19/'实盘净值数据(iFinD公式)'!$B18:$X18)/SUMPRODUCT(实盘持仓配置!$B$9:$X$9,'实盘净值数据(iFinD公式)'!$B18:$X18/'实盘净值数据(iFinD公式)'!$B$8:$X$8)-1)</f>
      </c>
      <c r="S19" s="7" t="str">
        <f>IF(Q19="","",Q19/MAX(Q$5:Q19)-1)</f>
        <v/>
      </c>
    </row>
    <row r="20" spans="1:19" x14ac:dyDescent="0.25">
      <c r="A20" s="33" t="str">
        <f>IF('实盘净值数据(iFinD公式)'!A20="","",'实盘净值数据(iFinD公式)'!A20)</f>
        <v/>
      </c>
      <c r="B20" s="32" t="str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(ROW()-1)-6)/说明!$C$17))</f>
        <v/>
      </c>
      <c r="C20" s="7">
        <f>IF(OR(B19="",'实盘净值数据(iFinD公式)'!$A20="",'实盘净值数据(iFinD公式)'!$B20=""),"",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-1)</f>
      </c>
      <c r="D20" s="7" t="str">
        <f>IF(B20="","",B20/MAX(B$5:B20)-1)</f>
        <v/>
      </c>
      <c r="E20" s="32" t="str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(ROW()-1)-5)/说明!$C$17))</f>
        <v/>
      </c>
      <c r="F20" s="7">
        <f>IF(OR(E19="",'实盘净值数据(iFinD公式)'!$A20="",'实盘净值数据(iFinD公式)'!$B20=""),"",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-1)</f>
      </c>
      <c r="G20" s="7" t="str">
        <f>IF(E20="","",E20/MAX(E$5:E20)-1)</f>
        <v/>
      </c>
      <c r="H20" s="32" t="str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(ROW()-1)-7)/说明!$C$17))</f>
        <v/>
      </c>
      <c r="I20" s="7">
        <f>IF(OR(H19="",'实盘净值数据(iFinD公式)'!$A20="",'实盘净值数据(iFinD公式)'!$B20=""),"",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-1)</f>
      </c>
      <c r="J20" s="7" t="str">
        <f>IF(H20="","",H20/MAX(H$5:H20)-1)</f>
        <v/>
      </c>
      <c r="K20" s="32" t="str">
        <f>IF(OR((ROW()-1)&lt;8,'实盘净值数据(iFinD公式)'!$A20="",'实盘净值数据(iFinD公式)'!$B20=""),"",SUMPRODUCT(实盘持仓配置!$B$7:$X$7,'实盘净值数据(iFinD公式)'!$B20:$X20/'实盘净值数据(iFinD公式)'!$B$8:$X$8)*(1-实盘持仓配置!$Z$7)^(((ROW()-1)-8)/说明!$C$17))</f>
        <v/>
      </c>
      <c r="L20" s="7">
        <f>IF(OR(K19="",'实盘净值数据(iFinD公式)'!$A20="",'实盘净值数据(iFinD公式)'!$B20=""),"",SUMPRODUCT(实盘持仓配置!$B$7:$X$7,'实盘净值数据(iFinD公式)'!$B19:$X19/'实盘净值数据(iFinD公式)'!$B$8:$X$8,'实盘净值数据(iFinD公式)'!$B20:$X20/'实盘净值数据(iFinD公式)'!$B19:$X19)/SUMPRODUCT(实盘持仓配置!$B$7:$X$7,'实盘净值数据(iFinD公式)'!$B19:$X19/'实盘净值数据(iFinD公式)'!$B$8:$X$8)-1)</f>
      </c>
      <c r="M20" s="7" t="str">
        <f>IF(K20="","",K20/MAX(K$5:K20)-1)</f>
        <v/>
      </c>
      <c r="N20" s="32" t="str">
        <f>IF(OR((ROW()-1)&lt;5,'实盘净值数据(iFinD公式)'!$A20="",'实盘净值数据(iFinD公式)'!$B20=""),"",SUMPRODUCT(实盘持仓配置!$B$8:$X$8,'实盘净值数据(iFinD公式)'!$B20:$X20/'实盘净值数据(iFinD公式)'!$B$5:$X$5)*(1-实盘持仓配置!$Z$8)^(((ROW()-1)-5)/说明!$C$17))</f>
        <v/>
      </c>
      <c r="O20" s="7">
        <f>IF(OR(N19="",'实盘净值数据(iFinD公式)'!$A20="",'实盘净值数据(iFinD公式)'!$B20=""),"",SUMPRODUCT(实盘持仓配置!$B$8:$X$8,'实盘净值数据(iFinD公式)'!$B19:$X19/'实盘净值数据(iFinD公式)'!$B$5:$X$5,'实盘净值数据(iFinD公式)'!$B20:$X20/'实盘净值数据(iFinD公式)'!$B19:$X19)/SUMPRODUCT(实盘持仓配置!$B$8:$X$8,'实盘净值数据(iFinD公式)'!$B19:$X19/'实盘净值数据(iFinD公式)'!$B$5:$X$5)-1)</f>
      </c>
      <c r="P20" s="7" t="str">
        <f>IF(N20="","",N20/MAX(N$5:N20)-1)</f>
        <v/>
      </c>
      <c r="Q20" s="32" t="str">
        <f>IF(OR((ROW()-1)&lt;8,'实盘净值数据(iFinD公式)'!$A20="",'实盘净值数据(iFinD公式)'!$B20=""),"",SUMPRODUCT(实盘持仓配置!$B$9:$X$9,'实盘净值数据(iFinD公式)'!$B20:$X20/'实盘净值数据(iFinD公式)'!$B$8:$X$8)*(1-实盘持仓配置!$Z$9)^(((ROW()-1)-8)/说明!$C$17))</f>
        <v/>
      </c>
      <c r="R20" s="7">
        <f>IF(OR(Q19="",'实盘净值数据(iFinD公式)'!$A20="",'实盘净值数据(iFinD公式)'!$B20=""),"",SUMPRODUCT(实盘持仓配置!$B$9:$X$9,'实盘净值数据(iFinD公式)'!$B19:$X19/'实盘净值数据(iFinD公式)'!$B$8:$X$8,'实盘净值数据(iFinD公式)'!$B20:$X20/'实盘净值数据(iFinD公式)'!$B19:$X19)/SUMPRODUCT(实盘持仓配置!$B$9:$X$9,'实盘净值数据(iFinD公式)'!$B19:$X19/'实盘净值数据(iFinD公式)'!$B$8:$X$8)-1)</f>
      </c>
      <c r="S20" s="7" t="str">
        <f>IF(Q20="","",Q20/MAX(Q$5:Q20)-1)</f>
        <v/>
      </c>
    </row>
    <row r="21" spans="1:19" x14ac:dyDescent="0.25">
      <c r="A21" s="33" t="str">
        <f>IF('实盘净值数据(iFinD公式)'!A21="","",'实盘净值数据(iFinD公式)'!A21)</f>
        <v/>
      </c>
      <c r="B21" s="32" t="str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(ROW()-1)-6)/说明!$C$17))</f>
        <v/>
      </c>
      <c r="C21" s="7">
        <f>IF(OR(B20="",'实盘净值数据(iFinD公式)'!$A21="",'实盘净值数据(iFinD公式)'!$B21=""),"",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-1)</f>
      </c>
      <c r="D21" s="7" t="str">
        <f>IF(B21="","",B21/MAX(B$5:B21)-1)</f>
        <v/>
      </c>
      <c r="E21" s="32" t="str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(ROW()-1)-5)/说明!$C$17))</f>
        <v/>
      </c>
      <c r="F21" s="7">
        <f>IF(OR(E20="",'实盘净值数据(iFinD公式)'!$A21="",'实盘净值数据(iFinD公式)'!$B21=""),"",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-1)</f>
      </c>
      <c r="G21" s="7" t="str">
        <f>IF(E21="","",E21/MAX(E$5:E21)-1)</f>
        <v/>
      </c>
      <c r="H21" s="32" t="str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(ROW()-1)-7)/说明!$C$17))</f>
        <v/>
      </c>
      <c r="I21" s="7">
        <f>IF(OR(H20="",'实盘净值数据(iFinD公式)'!$A21="",'实盘净值数据(iFinD公式)'!$B21=""),"",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-1)</f>
      </c>
      <c r="J21" s="7" t="str">
        <f>IF(H21="","",H21/MAX(H$5:H21)-1)</f>
        <v/>
      </c>
      <c r="K21" s="32" t="str">
        <f>IF(OR((ROW()-1)&lt;8,'实盘净值数据(iFinD公式)'!$A21="",'实盘净值数据(iFinD公式)'!$B21=""),"",SUMPRODUCT(实盘持仓配置!$B$7:$X$7,'实盘净值数据(iFinD公式)'!$B21:$X21/'实盘净值数据(iFinD公式)'!$B$8:$X$8)*(1-实盘持仓配置!$Z$7)^(((ROW()-1)-8)/说明!$C$17))</f>
        <v/>
      </c>
      <c r="L21" s="7">
        <f>IF(OR(K20="",'实盘净值数据(iFinD公式)'!$A21="",'实盘净值数据(iFinD公式)'!$B21=""),"",SUMPRODUCT(实盘持仓配置!$B$7:$X$7,'实盘净值数据(iFinD公式)'!$B20:$X20/'实盘净值数据(iFinD公式)'!$B$8:$X$8,'实盘净值数据(iFinD公式)'!$B21:$X21/'实盘净值数据(iFinD公式)'!$B20:$X20)/SUMPRODUCT(实盘持仓配置!$B$7:$X$7,'实盘净值数据(iFinD公式)'!$B20:$X20/'实盘净值数据(iFinD公式)'!$B$8:$X$8)-1)</f>
      </c>
      <c r="M21" s="7" t="str">
        <f>IF(K21="","",K21/MAX(K$5:K21)-1)</f>
        <v/>
      </c>
      <c r="N21" s="32" t="str">
        <f>IF(OR((ROW()-1)&lt;5,'实盘净值数据(iFinD公式)'!$A21="",'实盘净值数据(iFinD公式)'!$B21=""),"",SUMPRODUCT(实盘持仓配置!$B$8:$X$8,'实盘净值数据(iFinD公式)'!$B21:$X21/'实盘净值数据(iFinD公式)'!$B$5:$X$5)*(1-实盘持仓配置!$Z$8)^(((ROW()-1)-5)/说明!$C$17))</f>
        <v/>
      </c>
      <c r="O21" s="7">
        <f>IF(OR(N20="",'实盘净值数据(iFinD公式)'!$A21="",'实盘净值数据(iFinD公式)'!$B21=""),"",SUMPRODUCT(实盘持仓配置!$B$8:$X$8,'实盘净值数据(iFinD公式)'!$B20:$X20/'实盘净值数据(iFinD公式)'!$B$5:$X$5,'实盘净值数据(iFinD公式)'!$B21:$X21/'实盘净值数据(iFinD公式)'!$B20:$X20)/SUMPRODUCT(实盘持仓配置!$B$8:$X$8,'实盘净值数据(iFinD公式)'!$B20:$X20/'实盘净值数据(iFinD公式)'!$B$5:$X$5)-1)</f>
      </c>
      <c r="P21" s="7" t="str">
        <f>IF(N21="","",N21/MAX(N$5:N21)-1)</f>
        <v/>
      </c>
      <c r="Q21" s="32" t="str">
        <f>IF(OR((ROW()-1)&lt;8,'实盘净值数据(iFinD公式)'!$A21="",'实盘净值数据(iFinD公式)'!$B21=""),"",SUMPRODUCT(实盘持仓配置!$B$9:$X$9,'实盘净值数据(iFinD公式)'!$B21:$X21/'实盘净值数据(iFinD公式)'!$B$8:$X$8)*(1-实盘持仓配置!$Z$9)^(((ROW()-1)-8)/说明!$C$17))</f>
        <v/>
      </c>
      <c r="R21" s="7">
        <f>IF(OR(Q20="",'实盘净值数据(iFinD公式)'!$A21="",'实盘净值数据(iFinD公式)'!$B21=""),"",SUMPRODUCT(实盘持仓配置!$B$9:$X$9,'实盘净值数据(iFinD公式)'!$B20:$X20/'实盘净值数据(iFinD公式)'!$B$8:$X$8,'实盘净值数据(iFinD公式)'!$B21:$X21/'实盘净值数据(iFinD公式)'!$B20:$X20)/SUMPRODUCT(实盘持仓配置!$B$9:$X$9,'实盘净值数据(iFinD公式)'!$B20:$X20/'实盘净值数据(iFinD公式)'!$B$8:$X$8)-1)</f>
      </c>
      <c r="S21" s="7" t="str">
        <f>IF(Q21="","",Q21/MAX(Q$5:Q21)-1)</f>
        <v/>
      </c>
    </row>
    <row r="22" spans="1:19" x14ac:dyDescent="0.25">
      <c r="A22" s="33" t="str">
        <f>IF('实盘净值数据(iFinD公式)'!A22="","",'实盘净值数据(iFinD公式)'!A22)</f>
        <v/>
      </c>
      <c r="B22" s="32" t="str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(ROW()-1)-6)/说明!$C$17))</f>
        <v/>
      </c>
      <c r="C22" s="7">
        <f>IF(OR(B21="",'实盘净值数据(iFinD公式)'!$A22="",'实盘净值数据(iFinD公式)'!$B22=""),"",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-1)</f>
      </c>
      <c r="D22" s="7" t="str">
        <f>IF(B22="","",B22/MAX(B$5:B22)-1)</f>
        <v/>
      </c>
      <c r="E22" s="32" t="str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(ROW()-1)-5)/说明!$C$17))</f>
        <v/>
      </c>
      <c r="F22" s="7">
        <f>IF(OR(E21="",'实盘净值数据(iFinD公式)'!$A22="",'实盘净值数据(iFinD公式)'!$B22=""),"",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-1)</f>
      </c>
      <c r="G22" s="7" t="str">
        <f>IF(E22="","",E22/MAX(E$5:E22)-1)</f>
        <v/>
      </c>
      <c r="H22" s="32" t="str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(ROW()-1)-7)/说明!$C$17))</f>
        <v/>
      </c>
      <c r="I22" s="7">
        <f>IF(OR(H21="",'实盘净值数据(iFinD公式)'!$A22="",'实盘净值数据(iFinD公式)'!$B22=""),"",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-1)</f>
      </c>
      <c r="J22" s="7" t="str">
        <f>IF(H22="","",H22/MAX(H$5:H22)-1)</f>
        <v/>
      </c>
      <c r="K22" s="32" t="str">
        <f>IF(OR((ROW()-1)&lt;8,'实盘净值数据(iFinD公式)'!$A22="",'实盘净值数据(iFinD公式)'!$B22=""),"",SUMPRODUCT(实盘持仓配置!$B$7:$X$7,'实盘净值数据(iFinD公式)'!$B22:$X22/'实盘净值数据(iFinD公式)'!$B$8:$X$8)*(1-实盘持仓配置!$Z$7)^(((ROW()-1)-8)/说明!$C$17))</f>
        <v/>
      </c>
      <c r="L22" s="7">
        <f>IF(OR(K21="",'实盘净值数据(iFinD公式)'!$A22="",'实盘净值数据(iFinD公式)'!$B22=""),"",SUMPRODUCT(实盘持仓配置!$B$7:$X$7,'实盘净值数据(iFinD公式)'!$B21:$X21/'实盘净值数据(iFinD公式)'!$B$8:$X$8,'实盘净值数据(iFinD公式)'!$B22:$X22/'实盘净值数据(iFinD公式)'!$B21:$X21)/SUMPRODUCT(实盘持仓配置!$B$7:$X$7,'实盘净值数据(iFinD公式)'!$B21:$X21/'实盘净值数据(iFinD公式)'!$B$8:$X$8)-1)</f>
      </c>
      <c r="M22" s="7" t="str">
        <f>IF(K22="","",K22/MAX(K$5:K22)-1)</f>
        <v/>
      </c>
      <c r="N22" s="32" t="str">
        <f>IF(OR((ROW()-1)&lt;5,'实盘净值数据(iFinD公式)'!$A22="",'实盘净值数据(iFinD公式)'!$B22=""),"",SUMPRODUCT(实盘持仓配置!$B$8:$X$8,'实盘净值数据(iFinD公式)'!$B22:$X22/'实盘净值数据(iFinD公式)'!$B$5:$X$5)*(1-实盘持仓配置!$Z$8)^(((ROW()-1)-5)/说明!$C$17))</f>
        <v/>
      </c>
      <c r="O22" s="7">
        <f>IF(OR(N21="",'实盘净值数据(iFinD公式)'!$A22="",'实盘净值数据(iFinD公式)'!$B22=""),"",SUMPRODUCT(实盘持仓配置!$B$8:$X$8,'实盘净值数据(iFinD公式)'!$B21:$X21/'实盘净值数据(iFinD公式)'!$B$5:$X$5,'实盘净值数据(iFinD公式)'!$B22:$X22/'实盘净值数据(iFinD公式)'!$B21:$X21)/SUMPRODUCT(实盘持仓配置!$B$8:$X$8,'实盘净值数据(iFinD公式)'!$B21:$X21/'实盘净值数据(iFinD公式)'!$B$5:$X$5)-1)</f>
      </c>
      <c r="P22" s="7" t="str">
        <f>IF(N22="","",N22/MAX(N$5:N22)-1)</f>
        <v/>
      </c>
      <c r="Q22" s="32" t="str">
        <f>IF(OR((ROW()-1)&lt;8,'实盘净值数据(iFinD公式)'!$A22="",'实盘净值数据(iFinD公式)'!$B22=""),"",SUMPRODUCT(实盘持仓配置!$B$9:$X$9,'实盘净值数据(iFinD公式)'!$B22:$X22/'实盘净值数据(iFinD公式)'!$B$8:$X$8)*(1-实盘持仓配置!$Z$9)^(((ROW()-1)-8)/说明!$C$17))</f>
        <v/>
      </c>
      <c r="R22" s="7">
        <f>IF(OR(Q21="",'实盘净值数据(iFinD公式)'!$A22="",'实盘净值数据(iFinD公式)'!$B22=""),"",SUMPRODUCT(实盘持仓配置!$B$9:$X$9,'实盘净值数据(iFinD公式)'!$B21:$X21/'实盘净值数据(iFinD公式)'!$B$8:$X$8,'实盘净值数据(iFinD公式)'!$B22:$X22/'实盘净值数据(iFinD公式)'!$B21:$X21)/SUMPRODUCT(实盘持仓配置!$B$9:$X$9,'实盘净值数据(iFinD公式)'!$B21:$X21/'实盘净值数据(iFinD公式)'!$B$8:$X$8)-1)</f>
      </c>
      <c r="S22" s="7" t="str">
        <f>IF(Q22="","",Q22/MAX(Q$5:Q22)-1)</f>
        <v/>
      </c>
    </row>
    <row r="23" spans="1:19" x14ac:dyDescent="0.25">
      <c r="A23" s="33" t="str">
        <f>IF('实盘净值数据(iFinD公式)'!A23="","",'实盘净值数据(iFinD公式)'!A23)</f>
        <v/>
      </c>
      <c r="B23" s="32" t="str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(ROW()-1)-6)/说明!$C$17))</f>
        <v/>
      </c>
      <c r="C23" s="7">
        <f>IF(OR(B22="",'实盘净值数据(iFinD公式)'!$A23="",'实盘净值数据(iFinD公式)'!$B23=""),"",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-1)</f>
      </c>
      <c r="D23" s="7" t="str">
        <f>IF(B23="","",B23/MAX(B$5:B23)-1)</f>
        <v/>
      </c>
      <c r="E23" s="32" t="str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(ROW()-1)-5)/说明!$C$17))</f>
        <v/>
      </c>
      <c r="F23" s="7">
        <f>IF(OR(E22="",'实盘净值数据(iFinD公式)'!$A23="",'实盘净值数据(iFinD公式)'!$B23=""),"",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-1)</f>
      </c>
      <c r="G23" s="7" t="str">
        <f>IF(E23="","",E23/MAX(E$5:E23)-1)</f>
        <v/>
      </c>
      <c r="H23" s="32" t="str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(ROW()-1)-7)/说明!$C$17))</f>
        <v/>
      </c>
      <c r="I23" s="7">
        <f>IF(OR(H22="",'实盘净值数据(iFinD公式)'!$A23="",'实盘净值数据(iFinD公式)'!$B23=""),"",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-1)</f>
      </c>
      <c r="J23" s="7" t="str">
        <f>IF(H23="","",H23/MAX(H$5:H23)-1)</f>
        <v/>
      </c>
      <c r="K23" s="32" t="str">
        <f>IF(OR((ROW()-1)&lt;8,'实盘净值数据(iFinD公式)'!$A23="",'实盘净值数据(iFinD公式)'!$B23=""),"",SUMPRODUCT(实盘持仓配置!$B$7:$X$7,'实盘净值数据(iFinD公式)'!$B23:$X23/'实盘净值数据(iFinD公式)'!$B$8:$X$8)*(1-实盘持仓配置!$Z$7)^(((ROW()-1)-8)/说明!$C$17))</f>
        <v/>
      </c>
      <c r="L23" s="7">
        <f>IF(OR(K22="",'实盘净值数据(iFinD公式)'!$A23="",'实盘净值数据(iFinD公式)'!$B23=""),"",SUMPRODUCT(实盘持仓配置!$B$7:$X$7,'实盘净值数据(iFinD公式)'!$B22:$X22/'实盘净值数据(iFinD公式)'!$B$8:$X$8,'实盘净值数据(iFinD公式)'!$B23:$X23/'实盘净值数据(iFinD公式)'!$B22:$X22)/SUMPRODUCT(实盘持仓配置!$B$7:$X$7,'实盘净值数据(iFinD公式)'!$B22:$X22/'实盘净值数据(iFinD公式)'!$B$8:$X$8)-1)</f>
      </c>
      <c r="M23" s="7" t="str">
        <f>IF(K23="","",K23/MAX(K$5:K23)-1)</f>
        <v/>
      </c>
      <c r="N23" s="32" t="str">
        <f>IF(OR((ROW()-1)&lt;5,'实盘净值数据(iFinD公式)'!$A23="",'实盘净值数据(iFinD公式)'!$B23=""),"",SUMPRODUCT(实盘持仓配置!$B$8:$X$8,'实盘净值数据(iFinD公式)'!$B23:$X23/'实盘净值数据(iFinD公式)'!$B$5:$X$5)*(1-实盘持仓配置!$Z$8)^(((ROW()-1)-5)/说明!$C$17))</f>
        <v/>
      </c>
      <c r="O23" s="7">
        <f>IF(OR(N22="",'实盘净值数据(iFinD公式)'!$A23="",'实盘净值数据(iFinD公式)'!$B23=""),"",SUMPRODUCT(实盘持仓配置!$B$8:$X$8,'实盘净值数据(iFinD公式)'!$B22:$X22/'实盘净值数据(iFinD公式)'!$B$5:$X$5,'实盘净值数据(iFinD公式)'!$B23:$X23/'实盘净值数据(iFinD公式)'!$B22:$X22)/SUMPRODUCT(实盘持仓配置!$B$8:$X$8,'实盘净值数据(iFinD公式)'!$B22:$X22/'实盘净值数据(iFinD公式)'!$B$5:$X$5)-1)</f>
      </c>
      <c r="P23" s="7" t="str">
        <f>IF(N23="","",N23/MAX(N$5:N23)-1)</f>
        <v/>
      </c>
      <c r="Q23" s="32" t="str">
        <f>IF(OR((ROW()-1)&lt;8,'实盘净值数据(iFinD公式)'!$A23="",'实盘净值数据(iFinD公式)'!$B23=""),"",SUMPRODUCT(实盘持仓配置!$B$9:$X$9,'实盘净值数据(iFinD公式)'!$B23:$X23/'实盘净值数据(iFinD公式)'!$B$8:$X$8)*(1-实盘持仓配置!$Z$9)^(((ROW()-1)-8)/说明!$C$17))</f>
        <v/>
      </c>
      <c r="R23" s="7">
        <f>IF(OR(Q22="",'实盘净值数据(iFinD公式)'!$A23="",'实盘净值数据(iFinD公式)'!$B23=""),"",SUMPRODUCT(实盘持仓配置!$B$9:$X$9,'实盘净值数据(iFinD公式)'!$B22:$X22/'实盘净值数据(iFinD公式)'!$B$8:$X$8,'实盘净值数据(iFinD公式)'!$B23:$X23/'实盘净值数据(iFinD公式)'!$B22:$X22)/SUMPRODUCT(实盘持仓配置!$B$9:$X$9,'实盘净值数据(iFinD公式)'!$B22:$X22/'实盘净值数据(iFinD公式)'!$B$8:$X$8)-1)</f>
      </c>
      <c r="S23" s="7" t="str">
        <f>IF(Q23="","",Q23/MAX(Q$5:Q23)-1)</f>
        <v/>
      </c>
    </row>
    <row r="24" spans="1:19" x14ac:dyDescent="0.25">
      <c r="A24" s="33" t="str">
        <f>IF('实盘净值数据(iFinD公式)'!A24="","",'实盘净值数据(iFinD公式)'!A24)</f>
        <v/>
      </c>
      <c r="B24" s="32" t="str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(ROW()-1)-6)/说明!$C$17))</f>
        <v/>
      </c>
      <c r="C24" s="7">
        <f>IF(OR(B23="",'实盘净值数据(iFinD公式)'!$A24="",'实盘净值数据(iFinD公式)'!$B24=""),"",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-1)</f>
      </c>
      <c r="D24" s="7" t="str">
        <f>IF(B24="","",B24/MAX(B$5:B24)-1)</f>
        <v/>
      </c>
      <c r="E24" s="32" t="str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(ROW()-1)-5)/说明!$C$17))</f>
        <v/>
      </c>
      <c r="F24" s="7">
        <f>IF(OR(E23="",'实盘净值数据(iFinD公式)'!$A24="",'实盘净值数据(iFinD公式)'!$B24=""),"",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-1)</f>
      </c>
      <c r="G24" s="7" t="str">
        <f>IF(E24="","",E24/MAX(E$5:E24)-1)</f>
        <v/>
      </c>
      <c r="H24" s="32" t="str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(ROW()-1)-7)/说明!$C$17))</f>
        <v/>
      </c>
      <c r="I24" s="7">
        <f>IF(OR(H23="",'实盘净值数据(iFinD公式)'!$A24="",'实盘净值数据(iFinD公式)'!$B24=""),"",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-1)</f>
      </c>
      <c r="J24" s="7" t="str">
        <f>IF(H24="","",H24/MAX(H$5:H24)-1)</f>
        <v/>
      </c>
      <c r="K24" s="32" t="str">
        <f>IF(OR((ROW()-1)&lt;8,'实盘净值数据(iFinD公式)'!$A24="",'实盘净值数据(iFinD公式)'!$B24=""),"",SUMPRODUCT(实盘持仓配置!$B$7:$X$7,'实盘净值数据(iFinD公式)'!$B24:$X24/'实盘净值数据(iFinD公式)'!$B$8:$X$8)*(1-实盘持仓配置!$Z$7)^(((ROW()-1)-8)/说明!$C$17))</f>
        <v/>
      </c>
      <c r="L24" s="7">
        <f>IF(OR(K23="",'实盘净值数据(iFinD公式)'!$A24="",'实盘净值数据(iFinD公式)'!$B24=""),"",SUMPRODUCT(实盘持仓配置!$B$7:$X$7,'实盘净值数据(iFinD公式)'!$B23:$X23/'实盘净值数据(iFinD公式)'!$B$8:$X$8,'实盘净值数据(iFinD公式)'!$B24:$X24/'实盘净值数据(iFinD公式)'!$B23:$X23)/SUMPRODUCT(实盘持仓配置!$B$7:$X$7,'实盘净值数据(iFinD公式)'!$B23:$X23/'实盘净值数据(iFinD公式)'!$B$8:$X$8)-1)</f>
      </c>
      <c r="M24" s="7" t="str">
        <f>IF(K24="","",K24/MAX(K$5:K24)-1)</f>
        <v/>
      </c>
      <c r="N24" s="32" t="str">
        <f>IF(OR((ROW()-1)&lt;5,'实盘净值数据(iFinD公式)'!$A24="",'实盘净值数据(iFinD公式)'!$B24=""),"",SUMPRODUCT(实盘持仓配置!$B$8:$X$8,'实盘净值数据(iFinD公式)'!$B24:$X24/'实盘净值数据(iFinD公式)'!$B$5:$X$5)*(1-实盘持仓配置!$Z$8)^(((ROW()-1)-5)/说明!$C$17))</f>
        <v/>
      </c>
      <c r="O24" s="7">
        <f>IF(OR(N23="",'实盘净值数据(iFinD公式)'!$A24="",'实盘净值数据(iFinD公式)'!$B24=""),"",SUMPRODUCT(实盘持仓配置!$B$8:$X$8,'实盘净值数据(iFinD公式)'!$B23:$X23/'实盘净值数据(iFinD公式)'!$B$5:$X$5,'实盘净值数据(iFinD公式)'!$B24:$X24/'实盘净值数据(iFinD公式)'!$B23:$X23)/SUMPRODUCT(实盘持仓配置!$B$8:$X$8,'实盘净值数据(iFinD公式)'!$B23:$X23/'实盘净值数据(iFinD公式)'!$B$5:$X$5)-1)</f>
      </c>
      <c r="P24" s="7" t="str">
        <f>IF(N24="","",N24/MAX(N$5:N24)-1)</f>
        <v/>
      </c>
      <c r="Q24" s="32" t="str">
        <f>IF(OR((ROW()-1)&lt;8,'实盘净值数据(iFinD公式)'!$A24="",'实盘净值数据(iFinD公式)'!$B24=""),"",SUMPRODUCT(实盘持仓配置!$B$9:$X$9,'实盘净值数据(iFinD公式)'!$B24:$X24/'实盘净值数据(iFinD公式)'!$B$8:$X$8)*(1-实盘持仓配置!$Z$9)^(((ROW()-1)-8)/说明!$C$17))</f>
        <v/>
      </c>
      <c r="R24" s="7">
        <f>IF(OR(Q23="",'实盘净值数据(iFinD公式)'!$A24="",'实盘净值数据(iFinD公式)'!$B24=""),"",SUMPRODUCT(实盘持仓配置!$B$9:$X$9,'实盘净值数据(iFinD公式)'!$B23:$X23/'实盘净值数据(iFinD公式)'!$B$8:$X$8,'实盘净值数据(iFinD公式)'!$B24:$X24/'实盘净值数据(iFinD公式)'!$B23:$X23)/SUMPRODUCT(实盘持仓配置!$B$9:$X$9,'实盘净值数据(iFinD公式)'!$B23:$X23/'实盘净值数据(iFinD公式)'!$B$8:$X$8)-1)</f>
      </c>
      <c r="S24" s="7" t="str">
        <f>IF(Q24="","",Q24/MAX(Q$5:Q24)-1)</f>
        <v/>
      </c>
    </row>
    <row r="25" spans="1:19" x14ac:dyDescent="0.25">
      <c r="A25" s="33" t="str">
        <f>IF('实盘净值数据(iFinD公式)'!A25="","",'实盘净值数据(iFinD公式)'!A25)</f>
        <v/>
      </c>
      <c r="B25" s="32" t="str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(ROW()-1)-6)/说明!$C$17))</f>
        <v/>
      </c>
      <c r="C25" s="7">
        <f>IF(OR(B24="",'实盘净值数据(iFinD公式)'!$A25="",'实盘净值数据(iFinD公式)'!$B25=""),"",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-1)</f>
      </c>
      <c r="D25" s="7" t="str">
        <f>IF(B25="","",B25/MAX(B$5:B25)-1)</f>
        <v/>
      </c>
      <c r="E25" s="32" t="str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(ROW()-1)-5)/说明!$C$17))</f>
        <v/>
      </c>
      <c r="F25" s="7">
        <f>IF(OR(E24="",'实盘净值数据(iFinD公式)'!$A25="",'实盘净值数据(iFinD公式)'!$B25=""),"",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-1)</f>
      </c>
      <c r="G25" s="7" t="str">
        <f>IF(E25="","",E25/MAX(E$5:E25)-1)</f>
        <v/>
      </c>
      <c r="H25" s="32" t="str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(ROW()-1)-7)/说明!$C$17))</f>
        <v/>
      </c>
      <c r="I25" s="7">
        <f>IF(OR(H24="",'实盘净值数据(iFinD公式)'!$A25="",'实盘净值数据(iFinD公式)'!$B25=""),"",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-1)</f>
      </c>
      <c r="J25" s="7" t="str">
        <f>IF(H25="","",H25/MAX(H$5:H25)-1)</f>
        <v/>
      </c>
      <c r="K25" s="32" t="str">
        <f>IF(OR((ROW()-1)&lt;8,'实盘净值数据(iFinD公式)'!$A25="",'实盘净值数据(iFinD公式)'!$B25=""),"",SUMPRODUCT(实盘持仓配置!$B$7:$X$7,'实盘净值数据(iFinD公式)'!$B25:$X25/'实盘净值数据(iFinD公式)'!$B$8:$X$8)*(1-实盘持仓配置!$Z$7)^(((ROW()-1)-8)/说明!$C$17))</f>
        <v/>
      </c>
      <c r="L25" s="7">
        <f>IF(OR(K24="",'实盘净值数据(iFinD公式)'!$A25="",'实盘净值数据(iFinD公式)'!$B25=""),"",SUMPRODUCT(实盘持仓配置!$B$7:$X$7,'实盘净值数据(iFinD公式)'!$B24:$X24/'实盘净值数据(iFinD公式)'!$B$8:$X$8,'实盘净值数据(iFinD公式)'!$B25:$X25/'实盘净值数据(iFinD公式)'!$B24:$X24)/SUMPRODUCT(实盘持仓配置!$B$7:$X$7,'实盘净值数据(iFinD公式)'!$B24:$X24/'实盘净值数据(iFinD公式)'!$B$8:$X$8)-1)</f>
      </c>
      <c r="M25" s="7" t="str">
        <f>IF(K25="","",K25/MAX(K$5:K25)-1)</f>
        <v/>
      </c>
      <c r="N25" s="32" t="str">
        <f>IF(OR((ROW()-1)&lt;5,'实盘净值数据(iFinD公式)'!$A25="",'实盘净值数据(iFinD公式)'!$B25=""),"",SUMPRODUCT(实盘持仓配置!$B$8:$X$8,'实盘净值数据(iFinD公式)'!$B25:$X25/'实盘净值数据(iFinD公式)'!$B$5:$X$5)*(1-实盘持仓配置!$Z$8)^(((ROW()-1)-5)/说明!$C$17))</f>
        <v/>
      </c>
      <c r="O25" s="7">
        <f>IF(OR(N24="",'实盘净值数据(iFinD公式)'!$A25="",'实盘净值数据(iFinD公式)'!$B25=""),"",SUMPRODUCT(实盘持仓配置!$B$8:$X$8,'实盘净值数据(iFinD公式)'!$B24:$X24/'实盘净值数据(iFinD公式)'!$B$5:$X$5,'实盘净值数据(iFinD公式)'!$B25:$X25/'实盘净值数据(iFinD公式)'!$B24:$X24)/SUMPRODUCT(实盘持仓配置!$B$8:$X$8,'实盘净值数据(iFinD公式)'!$B24:$X24/'实盘净值数据(iFinD公式)'!$B$5:$X$5)-1)</f>
      </c>
      <c r="P25" s="7" t="str">
        <f>IF(N25="","",N25/MAX(N$5:N25)-1)</f>
        <v/>
      </c>
      <c r="Q25" s="32" t="str">
        <f>IF(OR((ROW()-1)&lt;8,'实盘净值数据(iFinD公式)'!$A25="",'实盘净值数据(iFinD公式)'!$B25=""),"",SUMPRODUCT(实盘持仓配置!$B$9:$X$9,'实盘净值数据(iFinD公式)'!$B25:$X25/'实盘净值数据(iFinD公式)'!$B$8:$X$8)*(1-实盘持仓配置!$Z$9)^(((ROW()-1)-8)/说明!$C$17))</f>
        <v/>
      </c>
      <c r="R25" s="7">
        <f>IF(OR(Q24="",'实盘净值数据(iFinD公式)'!$A25="",'实盘净值数据(iFinD公式)'!$B25=""),"",SUMPRODUCT(实盘持仓配置!$B$9:$X$9,'实盘净值数据(iFinD公式)'!$B24:$X24/'实盘净值数据(iFinD公式)'!$B$8:$X$8,'实盘净值数据(iFinD公式)'!$B25:$X25/'实盘净值数据(iFinD公式)'!$B24:$X24)/SUMPRODUCT(实盘持仓配置!$B$9:$X$9,'实盘净值数据(iFinD公式)'!$B24:$X24/'实盘净值数据(iFinD公式)'!$B$8:$X$8)-1)</f>
      </c>
      <c r="S25" s="7" t="str">
        <f>IF(Q25="","",Q25/MAX(Q$5:Q25)-1)</f>
        <v/>
      </c>
    </row>
    <row r="26" spans="1:19" x14ac:dyDescent="0.25">
      <c r="A26" s="33" t="str">
        <f>IF('实盘净值数据(iFinD公式)'!A26="","",'实盘净值数据(iFinD公式)'!A26)</f>
        <v/>
      </c>
      <c r="B26" s="32" t="str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(ROW()-1)-6)/说明!$C$17))</f>
        <v/>
      </c>
      <c r="C26" s="7">
        <f>IF(OR(B25="",'实盘净值数据(iFinD公式)'!$A26="",'实盘净值数据(iFinD公式)'!$B26=""),"",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-1)</f>
      </c>
      <c r="D26" s="7" t="str">
        <f>IF(B26="","",B26/MAX(B$5:B26)-1)</f>
        <v/>
      </c>
      <c r="E26" s="32" t="str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(ROW()-1)-5)/说明!$C$17))</f>
        <v/>
      </c>
      <c r="F26" s="7">
        <f>IF(OR(E25="",'实盘净值数据(iFinD公式)'!$A26="",'实盘净值数据(iFinD公式)'!$B26=""),"",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-1)</f>
      </c>
      <c r="G26" s="7" t="str">
        <f>IF(E26="","",E26/MAX(E$5:E26)-1)</f>
        <v/>
      </c>
      <c r="H26" s="32" t="str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(ROW()-1)-7)/说明!$C$17))</f>
        <v/>
      </c>
      <c r="I26" s="7">
        <f>IF(OR(H25="",'实盘净值数据(iFinD公式)'!$A26="",'实盘净值数据(iFinD公式)'!$B26=""),"",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-1)</f>
      </c>
      <c r="J26" s="7" t="str">
        <f>IF(H26="","",H26/MAX(H$5:H26)-1)</f>
        <v/>
      </c>
      <c r="K26" s="32" t="str">
        <f>IF(OR((ROW()-1)&lt;8,'实盘净值数据(iFinD公式)'!$A26="",'实盘净值数据(iFinD公式)'!$B26=""),"",SUMPRODUCT(实盘持仓配置!$B$7:$X$7,'实盘净值数据(iFinD公式)'!$B26:$X26/'实盘净值数据(iFinD公式)'!$B$8:$X$8)*(1-实盘持仓配置!$Z$7)^(((ROW()-1)-8)/说明!$C$17))</f>
        <v/>
      </c>
      <c r="L26" s="7">
        <f>IF(OR(K25="",'实盘净值数据(iFinD公式)'!$A26="",'实盘净值数据(iFinD公式)'!$B26=""),"",SUMPRODUCT(实盘持仓配置!$B$7:$X$7,'实盘净值数据(iFinD公式)'!$B25:$X25/'实盘净值数据(iFinD公式)'!$B$8:$X$8,'实盘净值数据(iFinD公式)'!$B26:$X26/'实盘净值数据(iFinD公式)'!$B25:$X25)/SUMPRODUCT(实盘持仓配置!$B$7:$X$7,'实盘净值数据(iFinD公式)'!$B25:$X25/'实盘净值数据(iFinD公式)'!$B$8:$X$8)-1)</f>
      </c>
      <c r="M26" s="7" t="str">
        <f>IF(K26="","",K26/MAX(K$5:K26)-1)</f>
        <v/>
      </c>
      <c r="N26" s="32" t="str">
        <f>IF(OR((ROW()-1)&lt;5,'实盘净值数据(iFinD公式)'!$A26="",'实盘净值数据(iFinD公式)'!$B26=""),"",SUMPRODUCT(实盘持仓配置!$B$8:$X$8,'实盘净值数据(iFinD公式)'!$B26:$X26/'实盘净值数据(iFinD公式)'!$B$5:$X$5)*(1-实盘持仓配置!$Z$8)^(((ROW()-1)-5)/说明!$C$17))</f>
        <v/>
      </c>
      <c r="O26" s="7">
        <f>IF(OR(N25="",'实盘净值数据(iFinD公式)'!$A26="",'实盘净值数据(iFinD公式)'!$B26=""),"",SUMPRODUCT(实盘持仓配置!$B$8:$X$8,'实盘净值数据(iFinD公式)'!$B25:$X25/'实盘净值数据(iFinD公式)'!$B$5:$X$5,'实盘净值数据(iFinD公式)'!$B26:$X26/'实盘净值数据(iFinD公式)'!$B25:$X25)/SUMPRODUCT(实盘持仓配置!$B$8:$X$8,'实盘净值数据(iFinD公式)'!$B25:$X25/'实盘净值数据(iFinD公式)'!$B$5:$X$5)-1)</f>
      </c>
      <c r="P26" s="7" t="str">
        <f>IF(N26="","",N26/MAX(N$5:N26)-1)</f>
        <v/>
      </c>
      <c r="Q26" s="32" t="str">
        <f>IF(OR((ROW()-1)&lt;8,'实盘净值数据(iFinD公式)'!$A26="",'实盘净值数据(iFinD公式)'!$B26=""),"",SUMPRODUCT(实盘持仓配置!$B$9:$X$9,'实盘净值数据(iFinD公式)'!$B26:$X26/'实盘净值数据(iFinD公式)'!$B$8:$X$8)*(1-实盘持仓配置!$Z$9)^(((ROW()-1)-8)/说明!$C$17))</f>
        <v/>
      </c>
      <c r="R26" s="7">
        <f>IF(OR(Q25="",'实盘净值数据(iFinD公式)'!$A26="",'实盘净值数据(iFinD公式)'!$B26=""),"",SUMPRODUCT(实盘持仓配置!$B$9:$X$9,'实盘净值数据(iFinD公式)'!$B25:$X25/'实盘净值数据(iFinD公式)'!$B$8:$X$8,'实盘净值数据(iFinD公式)'!$B26:$X26/'实盘净值数据(iFinD公式)'!$B25:$X25)/SUMPRODUCT(实盘持仓配置!$B$9:$X$9,'实盘净值数据(iFinD公式)'!$B25:$X25/'实盘净值数据(iFinD公式)'!$B$8:$X$8)-1)</f>
      </c>
      <c r="S26" s="7" t="str">
        <f>IF(Q26="","",Q26/MAX(Q$5:Q26)-1)</f>
        <v/>
      </c>
    </row>
    <row r="27" spans="1:19" x14ac:dyDescent="0.25">
      <c r="A27" s="33" t="str">
        <f>IF('实盘净值数据(iFinD公式)'!A27="","",'实盘净值数据(iFinD公式)'!A27)</f>
        <v/>
      </c>
      <c r="B27" s="32" t="str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(ROW()-1)-6)/说明!$C$17))</f>
        <v/>
      </c>
      <c r="C27" s="7">
        <f>IF(OR(B26="",'实盘净值数据(iFinD公式)'!$A27="",'实盘净值数据(iFinD公式)'!$B27=""),"",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-1)</f>
      </c>
      <c r="D27" s="7" t="str">
        <f>IF(B27="","",B27/MAX(B$5:B27)-1)</f>
        <v/>
      </c>
      <c r="E27" s="32" t="str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(ROW()-1)-5)/说明!$C$17))</f>
        <v/>
      </c>
      <c r="F27" s="7">
        <f>IF(OR(E26="",'实盘净值数据(iFinD公式)'!$A27="",'实盘净值数据(iFinD公式)'!$B27=""),"",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-1)</f>
      </c>
      <c r="G27" s="7" t="str">
        <f>IF(E27="","",E27/MAX(E$5:E27)-1)</f>
        <v/>
      </c>
      <c r="H27" s="32" t="str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(ROW()-1)-7)/说明!$C$17))</f>
        <v/>
      </c>
      <c r="I27" s="7">
        <f>IF(OR(H26="",'实盘净值数据(iFinD公式)'!$A27="",'实盘净值数据(iFinD公式)'!$B27=""),"",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-1)</f>
      </c>
      <c r="J27" s="7" t="str">
        <f>IF(H27="","",H27/MAX(H$5:H27)-1)</f>
        <v/>
      </c>
      <c r="K27" s="32" t="str">
        <f>IF(OR((ROW()-1)&lt;8,'实盘净值数据(iFinD公式)'!$A27="",'实盘净值数据(iFinD公式)'!$B27=""),"",SUMPRODUCT(实盘持仓配置!$B$7:$X$7,'实盘净值数据(iFinD公式)'!$B27:$X27/'实盘净值数据(iFinD公式)'!$B$8:$X$8)*(1-实盘持仓配置!$Z$7)^(((ROW()-1)-8)/说明!$C$17))</f>
        <v/>
      </c>
      <c r="L27" s="7">
        <f>IF(OR(K26="",'实盘净值数据(iFinD公式)'!$A27="",'实盘净值数据(iFinD公式)'!$B27=""),"",SUMPRODUCT(实盘持仓配置!$B$7:$X$7,'实盘净值数据(iFinD公式)'!$B26:$X26/'实盘净值数据(iFinD公式)'!$B$8:$X$8,'实盘净值数据(iFinD公式)'!$B27:$X27/'实盘净值数据(iFinD公式)'!$B26:$X26)/SUMPRODUCT(实盘持仓配置!$B$7:$X$7,'实盘净值数据(iFinD公式)'!$B26:$X26/'实盘净值数据(iFinD公式)'!$B$8:$X$8)-1)</f>
      </c>
      <c r="M27" s="7" t="str">
        <f>IF(K27="","",K27/MAX(K$5:K27)-1)</f>
        <v/>
      </c>
      <c r="N27" s="32" t="str">
        <f>IF(OR((ROW()-1)&lt;5,'实盘净值数据(iFinD公式)'!$A27="",'实盘净值数据(iFinD公式)'!$B27=""),"",SUMPRODUCT(实盘持仓配置!$B$8:$X$8,'实盘净值数据(iFinD公式)'!$B27:$X27/'实盘净值数据(iFinD公式)'!$B$5:$X$5)*(1-实盘持仓配置!$Z$8)^(((ROW()-1)-5)/说明!$C$17))</f>
        <v/>
      </c>
      <c r="O27" s="7">
        <f>IF(OR(N26="",'实盘净值数据(iFinD公式)'!$A27="",'实盘净值数据(iFinD公式)'!$B27=""),"",SUMPRODUCT(实盘持仓配置!$B$8:$X$8,'实盘净值数据(iFinD公式)'!$B26:$X26/'实盘净值数据(iFinD公式)'!$B$5:$X$5,'实盘净值数据(iFinD公式)'!$B27:$X27/'实盘净值数据(iFinD公式)'!$B26:$X26)/SUMPRODUCT(实盘持仓配置!$B$8:$X$8,'实盘净值数据(iFinD公式)'!$B26:$X26/'实盘净值数据(iFinD公式)'!$B$5:$X$5)-1)</f>
      </c>
      <c r="P27" s="7" t="str">
        <f>IF(N27="","",N27/MAX(N$5:N27)-1)</f>
        <v/>
      </c>
      <c r="Q27" s="32" t="str">
        <f>IF(OR((ROW()-1)&lt;8,'实盘净值数据(iFinD公式)'!$A27="",'实盘净值数据(iFinD公式)'!$B27=""),"",SUMPRODUCT(实盘持仓配置!$B$9:$X$9,'实盘净值数据(iFinD公式)'!$B27:$X27/'实盘净值数据(iFinD公式)'!$B$8:$X$8)*(1-实盘持仓配置!$Z$9)^(((ROW()-1)-8)/说明!$C$17))</f>
        <v/>
      </c>
      <c r="R27" s="7">
        <f>IF(OR(Q26="",'实盘净值数据(iFinD公式)'!$A27="",'实盘净值数据(iFinD公式)'!$B27=""),"",SUMPRODUCT(实盘持仓配置!$B$9:$X$9,'实盘净值数据(iFinD公式)'!$B26:$X26/'实盘净值数据(iFinD公式)'!$B$8:$X$8,'实盘净值数据(iFinD公式)'!$B27:$X27/'实盘净值数据(iFinD公式)'!$B26:$X26)/SUMPRODUCT(实盘持仓配置!$B$9:$X$9,'实盘净值数据(iFinD公式)'!$B26:$X26/'实盘净值数据(iFinD公式)'!$B$8:$X$8)-1)</f>
      </c>
      <c r="S27" s="7" t="str">
        <f>IF(Q27="","",Q27/MAX(Q$5:Q27)-1)</f>
        <v/>
      </c>
    </row>
    <row r="28" spans="1:19" x14ac:dyDescent="0.25">
      <c r="A28" s="33" t="str">
        <f>IF('实盘净值数据(iFinD公式)'!A28="","",'实盘净值数据(iFinD公式)'!A28)</f>
        <v/>
      </c>
      <c r="B28" s="32" t="str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(ROW()-1)-6)/说明!$C$17))</f>
        <v/>
      </c>
      <c r="C28" s="7">
        <f>IF(OR(B27="",'实盘净值数据(iFinD公式)'!$A28="",'实盘净值数据(iFinD公式)'!$B28=""),"",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-1)</f>
      </c>
      <c r="D28" s="7" t="str">
        <f>IF(B28="","",B28/MAX(B$5:B28)-1)</f>
        <v/>
      </c>
      <c r="E28" s="32" t="str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(ROW()-1)-5)/说明!$C$17))</f>
        <v/>
      </c>
      <c r="F28" s="7">
        <f>IF(OR(E27="",'实盘净值数据(iFinD公式)'!$A28="",'实盘净值数据(iFinD公式)'!$B28=""),"",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-1)</f>
      </c>
      <c r="G28" s="7" t="str">
        <f>IF(E28="","",E28/MAX(E$5:E28)-1)</f>
        <v/>
      </c>
      <c r="H28" s="32" t="str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(ROW()-1)-7)/说明!$C$17))</f>
        <v/>
      </c>
      <c r="I28" s="7">
        <f>IF(OR(H27="",'实盘净值数据(iFinD公式)'!$A28="",'实盘净值数据(iFinD公式)'!$B28=""),"",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-1)</f>
      </c>
      <c r="J28" s="7" t="str">
        <f>IF(H28="","",H28/MAX(H$5:H28)-1)</f>
        <v/>
      </c>
      <c r="K28" s="32" t="str">
        <f>IF(OR((ROW()-1)&lt;8,'实盘净值数据(iFinD公式)'!$A28="",'实盘净值数据(iFinD公式)'!$B28=""),"",SUMPRODUCT(实盘持仓配置!$B$7:$X$7,'实盘净值数据(iFinD公式)'!$B28:$X28/'实盘净值数据(iFinD公式)'!$B$8:$X$8)*(1-实盘持仓配置!$Z$7)^(((ROW()-1)-8)/说明!$C$17))</f>
        <v/>
      </c>
      <c r="L28" s="7">
        <f>IF(OR(K27="",'实盘净值数据(iFinD公式)'!$A28="",'实盘净值数据(iFinD公式)'!$B28=""),"",SUMPRODUCT(实盘持仓配置!$B$7:$X$7,'实盘净值数据(iFinD公式)'!$B27:$X27/'实盘净值数据(iFinD公式)'!$B$8:$X$8,'实盘净值数据(iFinD公式)'!$B28:$X28/'实盘净值数据(iFinD公式)'!$B27:$X27)/SUMPRODUCT(实盘持仓配置!$B$7:$X$7,'实盘净值数据(iFinD公式)'!$B27:$X27/'实盘净值数据(iFinD公式)'!$B$8:$X$8)-1)</f>
      </c>
      <c r="M28" s="7" t="str">
        <f>IF(K28="","",K28/MAX(K$5:K28)-1)</f>
        <v/>
      </c>
      <c r="N28" s="32" t="str">
        <f>IF(OR((ROW()-1)&lt;5,'实盘净值数据(iFinD公式)'!$A28="",'实盘净值数据(iFinD公式)'!$B28=""),"",SUMPRODUCT(实盘持仓配置!$B$8:$X$8,'实盘净值数据(iFinD公式)'!$B28:$X28/'实盘净值数据(iFinD公式)'!$B$5:$X$5)*(1-实盘持仓配置!$Z$8)^(((ROW()-1)-5)/说明!$C$17))</f>
        <v/>
      </c>
      <c r="O28" s="7">
        <f>IF(OR(N27="",'实盘净值数据(iFinD公式)'!$A28="",'实盘净值数据(iFinD公式)'!$B28=""),"",SUMPRODUCT(实盘持仓配置!$B$8:$X$8,'实盘净值数据(iFinD公式)'!$B27:$X27/'实盘净值数据(iFinD公式)'!$B$5:$X$5,'实盘净值数据(iFinD公式)'!$B28:$X28/'实盘净值数据(iFinD公式)'!$B27:$X27)/SUMPRODUCT(实盘持仓配置!$B$8:$X$8,'实盘净值数据(iFinD公式)'!$B27:$X27/'实盘净值数据(iFinD公式)'!$B$5:$X$5)-1)</f>
      </c>
      <c r="P28" s="7" t="str">
        <f>IF(N28="","",N28/MAX(N$5:N28)-1)</f>
        <v/>
      </c>
      <c r="Q28" s="32" t="str">
        <f>IF(OR((ROW()-1)&lt;8,'实盘净值数据(iFinD公式)'!$A28="",'实盘净值数据(iFinD公式)'!$B28=""),"",SUMPRODUCT(实盘持仓配置!$B$9:$X$9,'实盘净值数据(iFinD公式)'!$B28:$X28/'实盘净值数据(iFinD公式)'!$B$8:$X$8)*(1-实盘持仓配置!$Z$9)^(((ROW()-1)-8)/说明!$C$17))</f>
        <v/>
      </c>
      <c r="R28" s="7">
        <f>IF(OR(Q27="",'实盘净值数据(iFinD公式)'!$A28="",'实盘净值数据(iFinD公式)'!$B28=""),"",SUMPRODUCT(实盘持仓配置!$B$9:$X$9,'实盘净值数据(iFinD公式)'!$B27:$X27/'实盘净值数据(iFinD公式)'!$B$8:$X$8,'实盘净值数据(iFinD公式)'!$B28:$X28/'实盘净值数据(iFinD公式)'!$B27:$X27)/SUMPRODUCT(实盘持仓配置!$B$9:$X$9,'实盘净值数据(iFinD公式)'!$B27:$X27/'实盘净值数据(iFinD公式)'!$B$8:$X$8)-1)</f>
      </c>
      <c r="S28" s="7" t="str">
        <f>IF(Q28="","",Q28/MAX(Q$5:Q28)-1)</f>
        <v/>
      </c>
    </row>
    <row r="29" spans="1:19" x14ac:dyDescent="0.25">
      <c r="A29" s="33" t="str">
        <f>IF('实盘净值数据(iFinD公式)'!A29="","",'实盘净值数据(iFinD公式)'!A29)</f>
        <v/>
      </c>
      <c r="B29" s="32" t="str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(ROW()-1)-6)/说明!$C$17))</f>
        <v/>
      </c>
      <c r="C29" s="7">
        <f>IF(OR(B28="",'实盘净值数据(iFinD公式)'!$A29="",'实盘净值数据(iFinD公式)'!$B29=""),"",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-1)</f>
      </c>
      <c r="D29" s="7" t="str">
        <f>IF(B29="","",B29/MAX(B$5:B29)-1)</f>
        <v/>
      </c>
      <c r="E29" s="32" t="str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(ROW()-1)-5)/说明!$C$17))</f>
        <v/>
      </c>
      <c r="F29" s="7">
        <f>IF(OR(E28="",'实盘净值数据(iFinD公式)'!$A29="",'实盘净值数据(iFinD公式)'!$B29=""),"",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-1)</f>
      </c>
      <c r="G29" s="7" t="str">
        <f>IF(E29="","",E29/MAX(E$5:E29)-1)</f>
        <v/>
      </c>
      <c r="H29" s="32" t="str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(ROW()-1)-7)/说明!$C$17))</f>
        <v/>
      </c>
      <c r="I29" s="7">
        <f>IF(OR(H28="",'实盘净值数据(iFinD公式)'!$A29="",'实盘净值数据(iFinD公式)'!$B29=""),"",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-1)</f>
      </c>
      <c r="J29" s="7" t="str">
        <f>IF(H29="","",H29/MAX(H$5:H29)-1)</f>
        <v/>
      </c>
      <c r="K29" s="32" t="str">
        <f>IF(OR((ROW()-1)&lt;8,'实盘净值数据(iFinD公式)'!$A29="",'实盘净值数据(iFinD公式)'!$B29=""),"",SUMPRODUCT(实盘持仓配置!$B$7:$X$7,'实盘净值数据(iFinD公式)'!$B29:$X29/'实盘净值数据(iFinD公式)'!$B$8:$X$8)*(1-实盘持仓配置!$Z$7)^(((ROW()-1)-8)/说明!$C$17))</f>
        <v/>
      </c>
      <c r="L29" s="7">
        <f>IF(OR(K28="",'实盘净值数据(iFinD公式)'!$A29="",'实盘净值数据(iFinD公式)'!$B29=""),"",SUMPRODUCT(实盘持仓配置!$B$7:$X$7,'实盘净值数据(iFinD公式)'!$B28:$X28/'实盘净值数据(iFinD公式)'!$B$8:$X$8,'实盘净值数据(iFinD公式)'!$B29:$X29/'实盘净值数据(iFinD公式)'!$B28:$X28)/SUMPRODUCT(实盘持仓配置!$B$7:$X$7,'实盘净值数据(iFinD公式)'!$B28:$X28/'实盘净值数据(iFinD公式)'!$B$8:$X$8)-1)</f>
      </c>
      <c r="M29" s="7" t="str">
        <f>IF(K29="","",K29/MAX(K$5:K29)-1)</f>
        <v/>
      </c>
      <c r="N29" s="32" t="str">
        <f>IF(OR((ROW()-1)&lt;5,'实盘净值数据(iFinD公式)'!$A29="",'实盘净值数据(iFinD公式)'!$B29=""),"",SUMPRODUCT(实盘持仓配置!$B$8:$X$8,'实盘净值数据(iFinD公式)'!$B29:$X29/'实盘净值数据(iFinD公式)'!$B$5:$X$5)*(1-实盘持仓配置!$Z$8)^(((ROW()-1)-5)/说明!$C$17))</f>
        <v/>
      </c>
      <c r="O29" s="7">
        <f>IF(OR(N28="",'实盘净值数据(iFinD公式)'!$A29="",'实盘净值数据(iFinD公式)'!$B29=""),"",SUMPRODUCT(实盘持仓配置!$B$8:$X$8,'实盘净值数据(iFinD公式)'!$B28:$X28/'实盘净值数据(iFinD公式)'!$B$5:$X$5,'实盘净值数据(iFinD公式)'!$B29:$X29/'实盘净值数据(iFinD公式)'!$B28:$X28)/SUMPRODUCT(实盘持仓配置!$B$8:$X$8,'实盘净值数据(iFinD公式)'!$B28:$X28/'实盘净值数据(iFinD公式)'!$B$5:$X$5)-1)</f>
      </c>
      <c r="P29" s="7" t="str">
        <f>IF(N29="","",N29/MAX(N$5:N29)-1)</f>
        <v/>
      </c>
      <c r="Q29" s="32" t="str">
        <f>IF(OR((ROW()-1)&lt;8,'实盘净值数据(iFinD公式)'!$A29="",'实盘净值数据(iFinD公式)'!$B29=""),"",SUMPRODUCT(实盘持仓配置!$B$9:$X$9,'实盘净值数据(iFinD公式)'!$B29:$X29/'实盘净值数据(iFinD公式)'!$B$8:$X$8)*(1-实盘持仓配置!$Z$9)^(((ROW()-1)-8)/说明!$C$17))</f>
        <v/>
      </c>
      <c r="R29" s="7">
        <f>IF(OR(Q28="",'实盘净值数据(iFinD公式)'!$A29="",'实盘净值数据(iFinD公式)'!$B29=""),"",SUMPRODUCT(实盘持仓配置!$B$9:$X$9,'实盘净值数据(iFinD公式)'!$B28:$X28/'实盘净值数据(iFinD公式)'!$B$8:$X$8,'实盘净值数据(iFinD公式)'!$B29:$X29/'实盘净值数据(iFinD公式)'!$B28:$X28)/SUMPRODUCT(实盘持仓配置!$B$9:$X$9,'实盘净值数据(iFinD公式)'!$B28:$X28/'实盘净值数据(iFinD公式)'!$B$8:$X$8)-1)</f>
      </c>
      <c r="S29" s="7" t="str">
        <f>IF(Q29="","",Q29/MAX(Q$5:Q29)-1)</f>
        <v/>
      </c>
    </row>
    <row r="30" spans="1:19" x14ac:dyDescent="0.25">
      <c r="A30" s="33" t="str">
        <f>IF('实盘净值数据(iFinD公式)'!A30="","",'实盘净值数据(iFinD公式)'!A30)</f>
        <v/>
      </c>
      <c r="B30" s="32" t="str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(ROW()-1)-6)/说明!$C$17))</f>
        <v/>
      </c>
      <c r="C30" s="7">
        <f>IF(OR(B29="",'实盘净值数据(iFinD公式)'!$A30="",'实盘净值数据(iFinD公式)'!$B30=""),"",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-1)</f>
      </c>
      <c r="D30" s="7" t="str">
        <f>IF(B30="","",B30/MAX(B$5:B30)-1)</f>
        <v/>
      </c>
      <c r="E30" s="32" t="str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(ROW()-1)-5)/说明!$C$17))</f>
        <v/>
      </c>
      <c r="F30" s="7">
        <f>IF(OR(E29="",'实盘净值数据(iFinD公式)'!$A30="",'实盘净值数据(iFinD公式)'!$B30=""),"",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-1)</f>
      </c>
      <c r="G30" s="7" t="str">
        <f>IF(E30="","",E30/MAX(E$5:E30)-1)</f>
        <v/>
      </c>
      <c r="H30" s="32" t="str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(ROW()-1)-7)/说明!$C$17))</f>
        <v/>
      </c>
      <c r="I30" s="7">
        <f>IF(OR(H29="",'实盘净值数据(iFinD公式)'!$A30="",'实盘净值数据(iFinD公式)'!$B30=""),"",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-1)</f>
      </c>
      <c r="J30" s="7" t="str">
        <f>IF(H30="","",H30/MAX(H$5:H30)-1)</f>
        <v/>
      </c>
      <c r="K30" s="32" t="str">
        <f>IF(OR((ROW()-1)&lt;8,'实盘净值数据(iFinD公式)'!$A30="",'实盘净值数据(iFinD公式)'!$B30=""),"",SUMPRODUCT(实盘持仓配置!$B$7:$X$7,'实盘净值数据(iFinD公式)'!$B30:$X30/'实盘净值数据(iFinD公式)'!$B$8:$X$8)*(1-实盘持仓配置!$Z$7)^(((ROW()-1)-8)/说明!$C$17))</f>
        <v/>
      </c>
      <c r="L30" s="7">
        <f>IF(OR(K29="",'实盘净值数据(iFinD公式)'!$A30="",'实盘净值数据(iFinD公式)'!$B30=""),"",SUMPRODUCT(实盘持仓配置!$B$7:$X$7,'实盘净值数据(iFinD公式)'!$B29:$X29/'实盘净值数据(iFinD公式)'!$B$8:$X$8,'实盘净值数据(iFinD公式)'!$B30:$X30/'实盘净值数据(iFinD公式)'!$B29:$X29)/SUMPRODUCT(实盘持仓配置!$B$7:$X$7,'实盘净值数据(iFinD公式)'!$B29:$X29/'实盘净值数据(iFinD公式)'!$B$8:$X$8)-1)</f>
      </c>
      <c r="M30" s="7" t="str">
        <f>IF(K30="","",K30/MAX(K$5:K30)-1)</f>
        <v/>
      </c>
      <c r="N30" s="32" t="str">
        <f>IF(OR((ROW()-1)&lt;5,'实盘净值数据(iFinD公式)'!$A30="",'实盘净值数据(iFinD公式)'!$B30=""),"",SUMPRODUCT(实盘持仓配置!$B$8:$X$8,'实盘净值数据(iFinD公式)'!$B30:$X30/'实盘净值数据(iFinD公式)'!$B$5:$X$5)*(1-实盘持仓配置!$Z$8)^(((ROW()-1)-5)/说明!$C$17))</f>
        <v/>
      </c>
      <c r="O30" s="7">
        <f>IF(OR(N29="",'实盘净值数据(iFinD公式)'!$A30="",'实盘净值数据(iFinD公式)'!$B30=""),"",SUMPRODUCT(实盘持仓配置!$B$8:$X$8,'实盘净值数据(iFinD公式)'!$B29:$X29/'实盘净值数据(iFinD公式)'!$B$5:$X$5,'实盘净值数据(iFinD公式)'!$B30:$X30/'实盘净值数据(iFinD公式)'!$B29:$X29)/SUMPRODUCT(实盘持仓配置!$B$8:$X$8,'实盘净值数据(iFinD公式)'!$B29:$X29/'实盘净值数据(iFinD公式)'!$B$5:$X$5)-1)</f>
      </c>
      <c r="P30" s="7" t="str">
        <f>IF(N30="","",N30/MAX(N$5:N30)-1)</f>
        <v/>
      </c>
      <c r="Q30" s="32" t="str">
        <f>IF(OR((ROW()-1)&lt;8,'实盘净值数据(iFinD公式)'!$A30="",'实盘净值数据(iFinD公式)'!$B30=""),"",SUMPRODUCT(实盘持仓配置!$B$9:$X$9,'实盘净值数据(iFinD公式)'!$B30:$X30/'实盘净值数据(iFinD公式)'!$B$8:$X$8)*(1-实盘持仓配置!$Z$9)^(((ROW()-1)-8)/说明!$C$17))</f>
        <v/>
      </c>
      <c r="R30" s="7">
        <f>IF(OR(Q29="",'实盘净值数据(iFinD公式)'!$A30="",'实盘净值数据(iFinD公式)'!$B30=""),"",SUMPRODUCT(实盘持仓配置!$B$9:$X$9,'实盘净值数据(iFinD公式)'!$B29:$X29/'实盘净值数据(iFinD公式)'!$B$8:$X$8,'实盘净值数据(iFinD公式)'!$B30:$X30/'实盘净值数据(iFinD公式)'!$B29:$X29)/SUMPRODUCT(实盘持仓配置!$B$9:$X$9,'实盘净值数据(iFinD公式)'!$B29:$X29/'实盘净值数据(iFinD公式)'!$B$8:$X$8)-1)</f>
      </c>
      <c r="S30" s="7" t="str">
        <f>IF(Q30="","",Q30/MAX(Q$5:Q30)-1)</f>
        <v/>
      </c>
    </row>
    <row r="31" spans="1:19" x14ac:dyDescent="0.25">
      <c r="A31" s="33" t="str">
        <f>IF('实盘净值数据(iFinD公式)'!A31="","",'实盘净值数据(iFinD公式)'!A31)</f>
        <v/>
      </c>
      <c r="B31" s="32" t="str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(ROW()-1)-6)/说明!$C$17))</f>
        <v/>
      </c>
      <c r="C31" s="7">
        <f>IF(OR(B30="",'实盘净值数据(iFinD公式)'!$A31="",'实盘净值数据(iFinD公式)'!$B31=""),"",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-1)</f>
      </c>
      <c r="D31" s="7" t="str">
        <f>IF(B31="","",B31/MAX(B$5:B31)-1)</f>
        <v/>
      </c>
      <c r="E31" s="32" t="str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(ROW()-1)-5)/说明!$C$17))</f>
        <v/>
      </c>
      <c r="F31" s="7">
        <f>IF(OR(E30="",'实盘净值数据(iFinD公式)'!$A31="",'实盘净值数据(iFinD公式)'!$B31=""),"",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-1)</f>
      </c>
      <c r="G31" s="7" t="str">
        <f>IF(E31="","",E31/MAX(E$5:E31)-1)</f>
        <v/>
      </c>
      <c r="H31" s="32" t="str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(ROW()-1)-7)/说明!$C$17))</f>
        <v/>
      </c>
      <c r="I31" s="7">
        <f>IF(OR(H30="",'实盘净值数据(iFinD公式)'!$A31="",'实盘净值数据(iFinD公式)'!$B31=""),"",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-1)</f>
      </c>
      <c r="J31" s="7" t="str">
        <f>IF(H31="","",H31/MAX(H$5:H31)-1)</f>
        <v/>
      </c>
      <c r="K31" s="32" t="str">
        <f>IF(OR((ROW()-1)&lt;8,'实盘净值数据(iFinD公式)'!$A31="",'实盘净值数据(iFinD公式)'!$B31=""),"",SUMPRODUCT(实盘持仓配置!$B$7:$X$7,'实盘净值数据(iFinD公式)'!$B31:$X31/'实盘净值数据(iFinD公式)'!$B$8:$X$8)*(1-实盘持仓配置!$Z$7)^(((ROW()-1)-8)/说明!$C$17))</f>
        <v/>
      </c>
      <c r="L31" s="7">
        <f>IF(OR(K30="",'实盘净值数据(iFinD公式)'!$A31="",'实盘净值数据(iFinD公式)'!$B31=""),"",SUMPRODUCT(实盘持仓配置!$B$7:$X$7,'实盘净值数据(iFinD公式)'!$B30:$X30/'实盘净值数据(iFinD公式)'!$B$8:$X$8,'实盘净值数据(iFinD公式)'!$B31:$X31/'实盘净值数据(iFinD公式)'!$B30:$X30)/SUMPRODUCT(实盘持仓配置!$B$7:$X$7,'实盘净值数据(iFinD公式)'!$B30:$X30/'实盘净值数据(iFinD公式)'!$B$8:$X$8)-1)</f>
      </c>
      <c r="M31" s="7" t="str">
        <f>IF(K31="","",K31/MAX(K$5:K31)-1)</f>
        <v/>
      </c>
      <c r="N31" s="32" t="str">
        <f>IF(OR((ROW()-1)&lt;5,'实盘净值数据(iFinD公式)'!$A31="",'实盘净值数据(iFinD公式)'!$B31=""),"",SUMPRODUCT(实盘持仓配置!$B$8:$X$8,'实盘净值数据(iFinD公式)'!$B31:$X31/'实盘净值数据(iFinD公式)'!$B$5:$X$5)*(1-实盘持仓配置!$Z$8)^(((ROW()-1)-5)/说明!$C$17))</f>
        <v/>
      </c>
      <c r="O31" s="7">
        <f>IF(OR(N30="",'实盘净值数据(iFinD公式)'!$A31="",'实盘净值数据(iFinD公式)'!$B31=""),"",SUMPRODUCT(实盘持仓配置!$B$8:$X$8,'实盘净值数据(iFinD公式)'!$B30:$X30/'实盘净值数据(iFinD公式)'!$B$5:$X$5,'实盘净值数据(iFinD公式)'!$B31:$X31/'实盘净值数据(iFinD公式)'!$B30:$X30)/SUMPRODUCT(实盘持仓配置!$B$8:$X$8,'实盘净值数据(iFinD公式)'!$B30:$X30/'实盘净值数据(iFinD公式)'!$B$5:$X$5)-1)</f>
      </c>
      <c r="P31" s="7" t="str">
        <f>IF(N31="","",N31/MAX(N$5:N31)-1)</f>
        <v/>
      </c>
      <c r="Q31" s="32" t="str">
        <f>IF(OR((ROW()-1)&lt;8,'实盘净值数据(iFinD公式)'!$A31="",'实盘净值数据(iFinD公式)'!$B31=""),"",SUMPRODUCT(实盘持仓配置!$B$9:$X$9,'实盘净值数据(iFinD公式)'!$B31:$X31/'实盘净值数据(iFinD公式)'!$B$8:$X$8)*(1-实盘持仓配置!$Z$9)^(((ROW()-1)-8)/说明!$C$17))</f>
        <v/>
      </c>
      <c r="R31" s="7">
        <f>IF(OR(Q30="",'实盘净值数据(iFinD公式)'!$A31="",'实盘净值数据(iFinD公式)'!$B31=""),"",SUMPRODUCT(实盘持仓配置!$B$9:$X$9,'实盘净值数据(iFinD公式)'!$B30:$X30/'实盘净值数据(iFinD公式)'!$B$8:$X$8,'实盘净值数据(iFinD公式)'!$B31:$X31/'实盘净值数据(iFinD公式)'!$B30:$X30)/SUMPRODUCT(实盘持仓配置!$B$9:$X$9,'实盘净值数据(iFinD公式)'!$B30:$X30/'实盘净值数据(iFinD公式)'!$B$8:$X$8)-1)</f>
      </c>
      <c r="S31" s="7" t="str">
        <f>IF(Q31="","",Q31/MAX(Q$5:Q31)-1)</f>
        <v/>
      </c>
    </row>
    <row r="32" spans="1:19" x14ac:dyDescent="0.25">
      <c r="A32" s="33" t="str">
        <f>IF('实盘净值数据(iFinD公式)'!A32="","",'实盘净值数据(iFinD公式)'!A32)</f>
        <v/>
      </c>
      <c r="B32" s="32" t="str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(ROW()-1)-6)/说明!$C$17))</f>
        <v/>
      </c>
      <c r="C32" s="7">
        <f>IF(OR(B31="",'实盘净值数据(iFinD公式)'!$A32="",'实盘净值数据(iFinD公式)'!$B32=""),"",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-1)</f>
      </c>
      <c r="D32" s="7" t="str">
        <f>IF(B32="","",B32/MAX(B$5:B32)-1)</f>
        <v/>
      </c>
      <c r="E32" s="32" t="str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(ROW()-1)-5)/说明!$C$17))</f>
        <v/>
      </c>
      <c r="F32" s="7">
        <f>IF(OR(E31="",'实盘净值数据(iFinD公式)'!$A32="",'实盘净值数据(iFinD公式)'!$B32=""),"",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-1)</f>
      </c>
      <c r="G32" s="7" t="str">
        <f>IF(E32="","",E32/MAX(E$5:E32)-1)</f>
        <v/>
      </c>
      <c r="H32" s="32" t="str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(ROW()-1)-7)/说明!$C$17))</f>
        <v/>
      </c>
      <c r="I32" s="7">
        <f>IF(OR(H31="",'实盘净值数据(iFinD公式)'!$A32="",'实盘净值数据(iFinD公式)'!$B32=""),"",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-1)</f>
      </c>
      <c r="J32" s="7" t="str">
        <f>IF(H32="","",H32/MAX(H$5:H32)-1)</f>
        <v/>
      </c>
      <c r="K32" s="32" t="str">
        <f>IF(OR((ROW()-1)&lt;8,'实盘净值数据(iFinD公式)'!$A32="",'实盘净值数据(iFinD公式)'!$B32=""),"",SUMPRODUCT(实盘持仓配置!$B$7:$X$7,'实盘净值数据(iFinD公式)'!$B32:$X32/'实盘净值数据(iFinD公式)'!$B$8:$X$8)*(1-实盘持仓配置!$Z$7)^(((ROW()-1)-8)/说明!$C$17))</f>
        <v/>
      </c>
      <c r="L32" s="7">
        <f>IF(OR(K31="",'实盘净值数据(iFinD公式)'!$A32="",'实盘净值数据(iFinD公式)'!$B32=""),"",SUMPRODUCT(实盘持仓配置!$B$7:$X$7,'实盘净值数据(iFinD公式)'!$B31:$X31/'实盘净值数据(iFinD公式)'!$B$8:$X$8,'实盘净值数据(iFinD公式)'!$B32:$X32/'实盘净值数据(iFinD公式)'!$B31:$X31)/SUMPRODUCT(实盘持仓配置!$B$7:$X$7,'实盘净值数据(iFinD公式)'!$B31:$X31/'实盘净值数据(iFinD公式)'!$B$8:$X$8)-1)</f>
      </c>
      <c r="M32" s="7" t="str">
        <f>IF(K32="","",K32/MAX(K$5:K32)-1)</f>
        <v/>
      </c>
      <c r="N32" s="32" t="str">
        <f>IF(OR((ROW()-1)&lt;5,'实盘净值数据(iFinD公式)'!$A32="",'实盘净值数据(iFinD公式)'!$B32=""),"",SUMPRODUCT(实盘持仓配置!$B$8:$X$8,'实盘净值数据(iFinD公式)'!$B32:$X32/'实盘净值数据(iFinD公式)'!$B$5:$X$5)*(1-实盘持仓配置!$Z$8)^(((ROW()-1)-5)/说明!$C$17))</f>
        <v/>
      </c>
      <c r="O32" s="7">
        <f>IF(OR(N31="",'实盘净值数据(iFinD公式)'!$A32="",'实盘净值数据(iFinD公式)'!$B32=""),"",SUMPRODUCT(实盘持仓配置!$B$8:$X$8,'实盘净值数据(iFinD公式)'!$B31:$X31/'实盘净值数据(iFinD公式)'!$B$5:$X$5,'实盘净值数据(iFinD公式)'!$B32:$X32/'实盘净值数据(iFinD公式)'!$B31:$X31)/SUMPRODUCT(实盘持仓配置!$B$8:$X$8,'实盘净值数据(iFinD公式)'!$B31:$X31/'实盘净值数据(iFinD公式)'!$B$5:$X$5)-1)</f>
      </c>
      <c r="P32" s="7" t="str">
        <f>IF(N32="","",N32/MAX(N$5:N32)-1)</f>
        <v/>
      </c>
      <c r="Q32" s="32" t="str">
        <f>IF(OR((ROW()-1)&lt;8,'实盘净值数据(iFinD公式)'!$A32="",'实盘净值数据(iFinD公式)'!$B32=""),"",SUMPRODUCT(实盘持仓配置!$B$9:$X$9,'实盘净值数据(iFinD公式)'!$B32:$X32/'实盘净值数据(iFinD公式)'!$B$8:$X$8)*(1-实盘持仓配置!$Z$9)^(((ROW()-1)-8)/说明!$C$17))</f>
        <v/>
      </c>
      <c r="R32" s="7">
        <f>IF(OR(Q31="",'实盘净值数据(iFinD公式)'!$A32="",'实盘净值数据(iFinD公式)'!$B32=""),"",SUMPRODUCT(实盘持仓配置!$B$9:$X$9,'实盘净值数据(iFinD公式)'!$B31:$X31/'实盘净值数据(iFinD公式)'!$B$8:$X$8,'实盘净值数据(iFinD公式)'!$B32:$X32/'实盘净值数据(iFinD公式)'!$B31:$X31)/SUMPRODUCT(实盘持仓配置!$B$9:$X$9,'实盘净值数据(iFinD公式)'!$B31:$X31/'实盘净值数据(iFinD公式)'!$B$8:$X$8)-1)</f>
      </c>
      <c r="S32" s="7" t="str">
        <f>IF(Q32="","",Q32/MAX(Q$5:Q32)-1)</f>
        <v/>
      </c>
    </row>
    <row r="33" spans="1:19" x14ac:dyDescent="0.25">
      <c r="A33" s="33" t="str">
        <f>IF('实盘净值数据(iFinD公式)'!A33="","",'实盘净值数据(iFinD公式)'!A33)</f>
        <v/>
      </c>
      <c r="B33" s="32" t="str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(ROW()-1)-6)/说明!$C$17))</f>
        <v/>
      </c>
      <c r="C33" s="7">
        <f>IF(OR(B32="",'实盘净值数据(iFinD公式)'!$A33="",'实盘净值数据(iFinD公式)'!$B33=""),"",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-1)</f>
      </c>
      <c r="D33" s="7" t="str">
        <f>IF(B33="","",B33/MAX(B$5:B33)-1)</f>
        <v/>
      </c>
      <c r="E33" s="32" t="str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(ROW()-1)-5)/说明!$C$17))</f>
        <v/>
      </c>
      <c r="F33" s="7">
        <f>IF(OR(E32="",'实盘净值数据(iFinD公式)'!$A33="",'实盘净值数据(iFinD公式)'!$B33=""),"",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-1)</f>
      </c>
      <c r="G33" s="7" t="str">
        <f>IF(E33="","",E33/MAX(E$5:E33)-1)</f>
        <v/>
      </c>
      <c r="H33" s="32" t="str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(ROW()-1)-7)/说明!$C$17))</f>
        <v/>
      </c>
      <c r="I33" s="7">
        <f>IF(OR(H32="",'实盘净值数据(iFinD公式)'!$A33="",'实盘净值数据(iFinD公式)'!$B33=""),"",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-1)</f>
      </c>
      <c r="J33" s="7" t="str">
        <f>IF(H33="","",H33/MAX(H$5:H33)-1)</f>
        <v/>
      </c>
      <c r="K33" s="32" t="str">
        <f>IF(OR((ROW()-1)&lt;8,'实盘净值数据(iFinD公式)'!$A33="",'实盘净值数据(iFinD公式)'!$B33=""),"",SUMPRODUCT(实盘持仓配置!$B$7:$X$7,'实盘净值数据(iFinD公式)'!$B33:$X33/'实盘净值数据(iFinD公式)'!$B$8:$X$8)*(1-实盘持仓配置!$Z$7)^(((ROW()-1)-8)/说明!$C$17))</f>
        <v/>
      </c>
      <c r="L33" s="7">
        <f>IF(OR(K32="",'实盘净值数据(iFinD公式)'!$A33="",'实盘净值数据(iFinD公式)'!$B33=""),"",SUMPRODUCT(实盘持仓配置!$B$7:$X$7,'实盘净值数据(iFinD公式)'!$B32:$X32/'实盘净值数据(iFinD公式)'!$B$8:$X$8,'实盘净值数据(iFinD公式)'!$B33:$X33/'实盘净值数据(iFinD公式)'!$B32:$X32)/SUMPRODUCT(实盘持仓配置!$B$7:$X$7,'实盘净值数据(iFinD公式)'!$B32:$X32/'实盘净值数据(iFinD公式)'!$B$8:$X$8)-1)</f>
      </c>
      <c r="M33" s="7" t="str">
        <f>IF(K33="","",K33/MAX(K$5:K33)-1)</f>
        <v/>
      </c>
      <c r="N33" s="32" t="str">
        <f>IF(OR((ROW()-1)&lt;5,'实盘净值数据(iFinD公式)'!$A33="",'实盘净值数据(iFinD公式)'!$B33=""),"",SUMPRODUCT(实盘持仓配置!$B$8:$X$8,'实盘净值数据(iFinD公式)'!$B33:$X33/'实盘净值数据(iFinD公式)'!$B$5:$X$5)*(1-实盘持仓配置!$Z$8)^(((ROW()-1)-5)/说明!$C$17))</f>
        <v/>
      </c>
      <c r="O33" s="7">
        <f>IF(OR(N32="",'实盘净值数据(iFinD公式)'!$A33="",'实盘净值数据(iFinD公式)'!$B33=""),"",SUMPRODUCT(实盘持仓配置!$B$8:$X$8,'实盘净值数据(iFinD公式)'!$B32:$X32/'实盘净值数据(iFinD公式)'!$B$5:$X$5,'实盘净值数据(iFinD公式)'!$B33:$X33/'实盘净值数据(iFinD公式)'!$B32:$X32)/SUMPRODUCT(实盘持仓配置!$B$8:$X$8,'实盘净值数据(iFinD公式)'!$B32:$X32/'实盘净值数据(iFinD公式)'!$B$5:$X$5)-1)</f>
      </c>
      <c r="P33" s="7" t="str">
        <f>IF(N33="","",N33/MAX(N$5:N33)-1)</f>
        <v/>
      </c>
      <c r="Q33" s="32" t="str">
        <f>IF(OR((ROW()-1)&lt;8,'实盘净值数据(iFinD公式)'!$A33="",'实盘净值数据(iFinD公式)'!$B33=""),"",SUMPRODUCT(实盘持仓配置!$B$9:$X$9,'实盘净值数据(iFinD公式)'!$B33:$X33/'实盘净值数据(iFinD公式)'!$B$8:$X$8)*(1-实盘持仓配置!$Z$9)^(((ROW()-1)-8)/说明!$C$17))</f>
        <v/>
      </c>
      <c r="R33" s="7">
        <f>IF(OR(Q32="",'实盘净值数据(iFinD公式)'!$A33="",'实盘净值数据(iFinD公式)'!$B33=""),"",SUMPRODUCT(实盘持仓配置!$B$9:$X$9,'实盘净值数据(iFinD公式)'!$B32:$X32/'实盘净值数据(iFinD公式)'!$B$8:$X$8,'实盘净值数据(iFinD公式)'!$B33:$X33/'实盘净值数据(iFinD公式)'!$B32:$X32)/SUMPRODUCT(实盘持仓配置!$B$9:$X$9,'实盘净值数据(iFinD公式)'!$B32:$X32/'实盘净值数据(iFinD公式)'!$B$8:$X$8)-1)</f>
      </c>
      <c r="S33" s="7" t="str">
        <f>IF(Q33="","",Q33/MAX(Q$5:Q33)-1)</f>
        <v/>
      </c>
    </row>
    <row r="34" spans="1:19" x14ac:dyDescent="0.25">
      <c r="A34" s="33" t="str">
        <f>IF('实盘净值数据(iFinD公式)'!A34="","",'实盘净值数据(iFinD公式)'!A34)</f>
        <v/>
      </c>
      <c r="B34" s="32" t="str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(ROW()-1)-6)/说明!$C$17))</f>
        <v/>
      </c>
      <c r="C34" s="7">
        <f>IF(OR(B33="",'实盘净值数据(iFinD公式)'!$A34="",'实盘净值数据(iFinD公式)'!$B34=""),"",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-1)</f>
      </c>
      <c r="D34" s="7" t="str">
        <f>IF(B34="","",B34/MAX(B$5:B34)-1)</f>
        <v/>
      </c>
      <c r="E34" s="32" t="str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(ROW()-1)-5)/说明!$C$17))</f>
        <v/>
      </c>
      <c r="F34" s="7">
        <f>IF(OR(E33="",'实盘净值数据(iFinD公式)'!$A34="",'实盘净值数据(iFinD公式)'!$B34=""),"",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-1)</f>
      </c>
      <c r="G34" s="7" t="str">
        <f>IF(E34="","",E34/MAX(E$5:E34)-1)</f>
        <v/>
      </c>
      <c r="H34" s="32" t="str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(ROW()-1)-7)/说明!$C$17))</f>
        <v/>
      </c>
      <c r="I34" s="7">
        <f>IF(OR(H33="",'实盘净值数据(iFinD公式)'!$A34="",'实盘净值数据(iFinD公式)'!$B34=""),"",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-1)</f>
      </c>
      <c r="J34" s="7" t="str">
        <f>IF(H34="","",H34/MAX(H$5:H34)-1)</f>
        <v/>
      </c>
      <c r="K34" s="32" t="str">
        <f>IF(OR((ROW()-1)&lt;8,'实盘净值数据(iFinD公式)'!$A34="",'实盘净值数据(iFinD公式)'!$B34=""),"",SUMPRODUCT(实盘持仓配置!$B$7:$X$7,'实盘净值数据(iFinD公式)'!$B34:$X34/'实盘净值数据(iFinD公式)'!$B$8:$X$8)*(1-实盘持仓配置!$Z$7)^(((ROW()-1)-8)/说明!$C$17))</f>
        <v/>
      </c>
      <c r="L34" s="7">
        <f>IF(OR(K33="",'实盘净值数据(iFinD公式)'!$A34="",'实盘净值数据(iFinD公式)'!$B34=""),"",SUMPRODUCT(实盘持仓配置!$B$7:$X$7,'实盘净值数据(iFinD公式)'!$B33:$X33/'实盘净值数据(iFinD公式)'!$B$8:$X$8,'实盘净值数据(iFinD公式)'!$B34:$X34/'实盘净值数据(iFinD公式)'!$B33:$X33)/SUMPRODUCT(实盘持仓配置!$B$7:$X$7,'实盘净值数据(iFinD公式)'!$B33:$X33/'实盘净值数据(iFinD公式)'!$B$8:$X$8)-1)</f>
      </c>
      <c r="M34" s="7" t="str">
        <f>IF(K34="","",K34/MAX(K$5:K34)-1)</f>
        <v/>
      </c>
      <c r="N34" s="32" t="str">
        <f>IF(OR((ROW()-1)&lt;5,'实盘净值数据(iFinD公式)'!$A34="",'实盘净值数据(iFinD公式)'!$B34=""),"",SUMPRODUCT(实盘持仓配置!$B$8:$X$8,'实盘净值数据(iFinD公式)'!$B34:$X34/'实盘净值数据(iFinD公式)'!$B$5:$X$5)*(1-实盘持仓配置!$Z$8)^(((ROW()-1)-5)/说明!$C$17))</f>
        <v/>
      </c>
      <c r="O34" s="7">
        <f>IF(OR(N33="",'实盘净值数据(iFinD公式)'!$A34="",'实盘净值数据(iFinD公式)'!$B34=""),"",SUMPRODUCT(实盘持仓配置!$B$8:$X$8,'实盘净值数据(iFinD公式)'!$B33:$X33/'实盘净值数据(iFinD公式)'!$B$5:$X$5,'实盘净值数据(iFinD公式)'!$B34:$X34/'实盘净值数据(iFinD公式)'!$B33:$X33)/SUMPRODUCT(实盘持仓配置!$B$8:$X$8,'实盘净值数据(iFinD公式)'!$B33:$X33/'实盘净值数据(iFinD公式)'!$B$5:$X$5)-1)</f>
      </c>
      <c r="P34" s="7" t="str">
        <f>IF(N34="","",N34/MAX(N$5:N34)-1)</f>
        <v/>
      </c>
      <c r="Q34" s="32" t="str">
        <f>IF(OR((ROW()-1)&lt;8,'实盘净值数据(iFinD公式)'!$A34="",'实盘净值数据(iFinD公式)'!$B34=""),"",SUMPRODUCT(实盘持仓配置!$B$9:$X$9,'实盘净值数据(iFinD公式)'!$B34:$X34/'实盘净值数据(iFinD公式)'!$B$8:$X$8)*(1-实盘持仓配置!$Z$9)^(((ROW()-1)-8)/说明!$C$17))</f>
        <v/>
      </c>
      <c r="R34" s="7">
        <f>IF(OR(Q33="",'实盘净值数据(iFinD公式)'!$A34="",'实盘净值数据(iFinD公式)'!$B34=""),"",SUMPRODUCT(实盘持仓配置!$B$9:$X$9,'实盘净值数据(iFinD公式)'!$B33:$X33/'实盘净值数据(iFinD公式)'!$B$8:$X$8,'实盘净值数据(iFinD公式)'!$B34:$X34/'实盘净值数据(iFinD公式)'!$B33:$X33)/SUMPRODUCT(实盘持仓配置!$B$9:$X$9,'实盘净值数据(iFinD公式)'!$B33:$X33/'实盘净值数据(iFinD公式)'!$B$8:$X$8)-1)</f>
      </c>
      <c r="S34" s="7" t="str">
        <f>IF(Q34="","",Q34/MAX(Q$5:Q34)-1)</f>
        <v/>
      </c>
    </row>
    <row r="35" spans="1:19" x14ac:dyDescent="0.25">
      <c r="A35" s="33" t="str">
        <f>IF('实盘净值数据(iFinD公式)'!A35="","",'实盘净值数据(iFinD公式)'!A35)</f>
        <v/>
      </c>
      <c r="B35" s="32" t="str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(ROW()-1)-6)/说明!$C$17))</f>
        <v/>
      </c>
      <c r="C35" s="7">
        <f>IF(OR(B34="",'实盘净值数据(iFinD公式)'!$A35="",'实盘净值数据(iFinD公式)'!$B35=""),"",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-1)</f>
      </c>
      <c r="D35" s="7" t="str">
        <f>IF(B35="","",B35/MAX(B$5:B35)-1)</f>
        <v/>
      </c>
      <c r="E35" s="32" t="str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(ROW()-1)-5)/说明!$C$17))</f>
        <v/>
      </c>
      <c r="F35" s="7">
        <f>IF(OR(E34="",'实盘净值数据(iFinD公式)'!$A35="",'实盘净值数据(iFinD公式)'!$B35=""),"",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-1)</f>
      </c>
      <c r="G35" s="7" t="str">
        <f>IF(E35="","",E35/MAX(E$5:E35)-1)</f>
        <v/>
      </c>
      <c r="H35" s="32" t="str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(ROW()-1)-7)/说明!$C$17))</f>
        <v/>
      </c>
      <c r="I35" s="7">
        <f>IF(OR(H34="",'实盘净值数据(iFinD公式)'!$A35="",'实盘净值数据(iFinD公式)'!$B35=""),"",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-1)</f>
      </c>
      <c r="J35" s="7" t="str">
        <f>IF(H35="","",H35/MAX(H$5:H35)-1)</f>
        <v/>
      </c>
      <c r="K35" s="32" t="str">
        <f>IF(OR((ROW()-1)&lt;8,'实盘净值数据(iFinD公式)'!$A35="",'实盘净值数据(iFinD公式)'!$B35=""),"",SUMPRODUCT(实盘持仓配置!$B$7:$X$7,'实盘净值数据(iFinD公式)'!$B35:$X35/'实盘净值数据(iFinD公式)'!$B$8:$X$8)*(1-实盘持仓配置!$Z$7)^(((ROW()-1)-8)/说明!$C$17))</f>
        <v/>
      </c>
      <c r="L35" s="7">
        <f>IF(OR(K34="",'实盘净值数据(iFinD公式)'!$A35="",'实盘净值数据(iFinD公式)'!$B35=""),"",SUMPRODUCT(实盘持仓配置!$B$7:$X$7,'实盘净值数据(iFinD公式)'!$B34:$X34/'实盘净值数据(iFinD公式)'!$B$8:$X$8,'实盘净值数据(iFinD公式)'!$B35:$X35/'实盘净值数据(iFinD公式)'!$B34:$X34)/SUMPRODUCT(实盘持仓配置!$B$7:$X$7,'实盘净值数据(iFinD公式)'!$B34:$X34/'实盘净值数据(iFinD公式)'!$B$8:$X$8)-1)</f>
      </c>
      <c r="M35" s="7" t="str">
        <f>IF(K35="","",K35/MAX(K$5:K35)-1)</f>
        <v/>
      </c>
      <c r="N35" s="32" t="str">
        <f>IF(OR((ROW()-1)&lt;5,'实盘净值数据(iFinD公式)'!$A35="",'实盘净值数据(iFinD公式)'!$B35=""),"",SUMPRODUCT(实盘持仓配置!$B$8:$X$8,'实盘净值数据(iFinD公式)'!$B35:$X35/'实盘净值数据(iFinD公式)'!$B$5:$X$5)*(1-实盘持仓配置!$Z$8)^(((ROW()-1)-5)/说明!$C$17))</f>
        <v/>
      </c>
      <c r="O35" s="7">
        <f>IF(OR(N34="",'实盘净值数据(iFinD公式)'!$A35="",'实盘净值数据(iFinD公式)'!$B35=""),"",SUMPRODUCT(实盘持仓配置!$B$8:$X$8,'实盘净值数据(iFinD公式)'!$B34:$X34/'实盘净值数据(iFinD公式)'!$B$5:$X$5,'实盘净值数据(iFinD公式)'!$B35:$X35/'实盘净值数据(iFinD公式)'!$B34:$X34)/SUMPRODUCT(实盘持仓配置!$B$8:$X$8,'实盘净值数据(iFinD公式)'!$B34:$X34/'实盘净值数据(iFinD公式)'!$B$5:$X$5)-1)</f>
      </c>
      <c r="P35" s="7" t="str">
        <f>IF(N35="","",N35/MAX(N$5:N35)-1)</f>
        <v/>
      </c>
      <c r="Q35" s="32" t="str">
        <f>IF(OR((ROW()-1)&lt;8,'实盘净值数据(iFinD公式)'!$A35="",'实盘净值数据(iFinD公式)'!$B35=""),"",SUMPRODUCT(实盘持仓配置!$B$9:$X$9,'实盘净值数据(iFinD公式)'!$B35:$X35/'实盘净值数据(iFinD公式)'!$B$8:$X$8)*(1-实盘持仓配置!$Z$9)^(((ROW()-1)-8)/说明!$C$17))</f>
        <v/>
      </c>
      <c r="R35" s="7">
        <f>IF(OR(Q34="",'实盘净值数据(iFinD公式)'!$A35="",'实盘净值数据(iFinD公式)'!$B35=""),"",SUMPRODUCT(实盘持仓配置!$B$9:$X$9,'实盘净值数据(iFinD公式)'!$B34:$X34/'实盘净值数据(iFinD公式)'!$B$8:$X$8,'实盘净值数据(iFinD公式)'!$B35:$X35/'实盘净值数据(iFinD公式)'!$B34:$X34)/SUMPRODUCT(实盘持仓配置!$B$9:$X$9,'实盘净值数据(iFinD公式)'!$B34:$X34/'实盘净值数据(iFinD公式)'!$B$8:$X$8)-1)</f>
      </c>
      <c r="S35" s="7" t="str">
        <f>IF(Q35="","",Q35/MAX(Q$5:Q35)-1)</f>
        <v/>
      </c>
    </row>
    <row r="36" spans="1:19" x14ac:dyDescent="0.25">
      <c r="A36" s="33" t="str">
        <f>IF('实盘净值数据(iFinD公式)'!A36="","",'实盘净值数据(iFinD公式)'!A36)</f>
        <v/>
      </c>
      <c r="B36" s="32" t="str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(ROW()-1)-6)/说明!$C$17))</f>
        <v/>
      </c>
      <c r="C36" s="7">
        <f>IF(OR(B35="",'实盘净值数据(iFinD公式)'!$A36="",'实盘净值数据(iFinD公式)'!$B36=""),"",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-1)</f>
      </c>
      <c r="D36" s="7" t="str">
        <f>IF(B36="","",B36/MAX(B$5:B36)-1)</f>
        <v/>
      </c>
      <c r="E36" s="32" t="str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(ROW()-1)-5)/说明!$C$17))</f>
        <v/>
      </c>
      <c r="F36" s="7">
        <f>IF(OR(E35="",'实盘净值数据(iFinD公式)'!$A36="",'实盘净值数据(iFinD公式)'!$B36=""),"",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-1)</f>
      </c>
      <c r="G36" s="7" t="str">
        <f>IF(E36="","",E36/MAX(E$5:E36)-1)</f>
        <v/>
      </c>
      <c r="H36" s="32" t="str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(ROW()-1)-7)/说明!$C$17))</f>
        <v/>
      </c>
      <c r="I36" s="7">
        <f>IF(OR(H35="",'实盘净值数据(iFinD公式)'!$A36="",'实盘净值数据(iFinD公式)'!$B36=""),"",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-1)</f>
      </c>
      <c r="J36" s="7" t="str">
        <f>IF(H36="","",H36/MAX(H$5:H36)-1)</f>
        <v/>
      </c>
      <c r="K36" s="32" t="str">
        <f>IF(OR((ROW()-1)&lt;8,'实盘净值数据(iFinD公式)'!$A36="",'实盘净值数据(iFinD公式)'!$B36=""),"",SUMPRODUCT(实盘持仓配置!$B$7:$X$7,'实盘净值数据(iFinD公式)'!$B36:$X36/'实盘净值数据(iFinD公式)'!$B$8:$X$8)*(1-实盘持仓配置!$Z$7)^(((ROW()-1)-8)/说明!$C$17))</f>
        <v/>
      </c>
      <c r="L36" s="7">
        <f>IF(OR(K35="",'实盘净值数据(iFinD公式)'!$A36="",'实盘净值数据(iFinD公式)'!$B36=""),"",SUMPRODUCT(实盘持仓配置!$B$7:$X$7,'实盘净值数据(iFinD公式)'!$B35:$X35/'实盘净值数据(iFinD公式)'!$B$8:$X$8,'实盘净值数据(iFinD公式)'!$B36:$X36/'实盘净值数据(iFinD公式)'!$B35:$X35)/SUMPRODUCT(实盘持仓配置!$B$7:$X$7,'实盘净值数据(iFinD公式)'!$B35:$X35/'实盘净值数据(iFinD公式)'!$B$8:$X$8)-1)</f>
      </c>
      <c r="M36" s="7" t="str">
        <f>IF(K36="","",K36/MAX(K$5:K36)-1)</f>
        <v/>
      </c>
      <c r="N36" s="32" t="str">
        <f>IF(OR((ROW()-1)&lt;5,'实盘净值数据(iFinD公式)'!$A36="",'实盘净值数据(iFinD公式)'!$B36=""),"",SUMPRODUCT(实盘持仓配置!$B$8:$X$8,'实盘净值数据(iFinD公式)'!$B36:$X36/'实盘净值数据(iFinD公式)'!$B$5:$X$5)*(1-实盘持仓配置!$Z$8)^(((ROW()-1)-5)/说明!$C$17))</f>
        <v/>
      </c>
      <c r="O36" s="7">
        <f>IF(OR(N35="",'实盘净值数据(iFinD公式)'!$A36="",'实盘净值数据(iFinD公式)'!$B36=""),"",SUMPRODUCT(实盘持仓配置!$B$8:$X$8,'实盘净值数据(iFinD公式)'!$B35:$X35/'实盘净值数据(iFinD公式)'!$B$5:$X$5,'实盘净值数据(iFinD公式)'!$B36:$X36/'实盘净值数据(iFinD公式)'!$B35:$X35)/SUMPRODUCT(实盘持仓配置!$B$8:$X$8,'实盘净值数据(iFinD公式)'!$B35:$X35/'实盘净值数据(iFinD公式)'!$B$5:$X$5)-1)</f>
      </c>
      <c r="P36" s="7" t="str">
        <f>IF(N36="","",N36/MAX(N$5:N36)-1)</f>
        <v/>
      </c>
      <c r="Q36" s="32" t="str">
        <f>IF(OR((ROW()-1)&lt;8,'实盘净值数据(iFinD公式)'!$A36="",'实盘净值数据(iFinD公式)'!$B36=""),"",SUMPRODUCT(实盘持仓配置!$B$9:$X$9,'实盘净值数据(iFinD公式)'!$B36:$X36/'实盘净值数据(iFinD公式)'!$B$8:$X$8)*(1-实盘持仓配置!$Z$9)^(((ROW()-1)-8)/说明!$C$17))</f>
        <v/>
      </c>
      <c r="R36" s="7">
        <f>IF(OR(Q35="",'实盘净值数据(iFinD公式)'!$A36="",'实盘净值数据(iFinD公式)'!$B36=""),"",SUMPRODUCT(实盘持仓配置!$B$9:$X$9,'实盘净值数据(iFinD公式)'!$B35:$X35/'实盘净值数据(iFinD公式)'!$B$8:$X$8,'实盘净值数据(iFinD公式)'!$B36:$X36/'实盘净值数据(iFinD公式)'!$B35:$X35)/SUMPRODUCT(实盘持仓配置!$B$9:$X$9,'实盘净值数据(iFinD公式)'!$B35:$X35/'实盘净值数据(iFinD公式)'!$B$8:$X$8)-1)</f>
      </c>
      <c r="S36" s="7" t="str">
        <f>IF(Q36="","",Q36/MAX(Q$5:Q36)-1)</f>
        <v/>
      </c>
    </row>
    <row r="37" spans="1:19" x14ac:dyDescent="0.25">
      <c r="A37" s="33" t="str">
        <f>IF('实盘净值数据(iFinD公式)'!A37="","",'实盘净值数据(iFinD公式)'!A37)</f>
        <v/>
      </c>
      <c r="B37" s="32" t="str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(ROW()-1)-6)/说明!$C$17))</f>
        <v/>
      </c>
      <c r="C37" s="7">
        <f>IF(OR(B36="",'实盘净值数据(iFinD公式)'!$A37="",'实盘净值数据(iFinD公式)'!$B37=""),"",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-1)</f>
      </c>
      <c r="D37" s="7" t="str">
        <f>IF(B37="","",B37/MAX(B$5:B37)-1)</f>
        <v/>
      </c>
      <c r="E37" s="32" t="str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(ROW()-1)-5)/说明!$C$17))</f>
        <v/>
      </c>
      <c r="F37" s="7">
        <f>IF(OR(E36="",'实盘净值数据(iFinD公式)'!$A37="",'实盘净值数据(iFinD公式)'!$B37=""),"",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-1)</f>
      </c>
      <c r="G37" s="7" t="str">
        <f>IF(E37="","",E37/MAX(E$5:E37)-1)</f>
        <v/>
      </c>
      <c r="H37" s="32" t="str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(ROW()-1)-7)/说明!$C$17))</f>
        <v/>
      </c>
      <c r="I37" s="7">
        <f>IF(OR(H36="",'实盘净值数据(iFinD公式)'!$A37="",'实盘净值数据(iFinD公式)'!$B37=""),"",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-1)</f>
      </c>
      <c r="J37" s="7" t="str">
        <f>IF(H37="","",H37/MAX(H$5:H37)-1)</f>
        <v/>
      </c>
      <c r="K37" s="32" t="str">
        <f>IF(OR((ROW()-1)&lt;8,'实盘净值数据(iFinD公式)'!$A37="",'实盘净值数据(iFinD公式)'!$B37=""),"",SUMPRODUCT(实盘持仓配置!$B$7:$X$7,'实盘净值数据(iFinD公式)'!$B37:$X37/'实盘净值数据(iFinD公式)'!$B$8:$X$8)*(1-实盘持仓配置!$Z$7)^(((ROW()-1)-8)/说明!$C$17))</f>
        <v/>
      </c>
      <c r="L37" s="7">
        <f>IF(OR(K36="",'实盘净值数据(iFinD公式)'!$A37="",'实盘净值数据(iFinD公式)'!$B37=""),"",SUMPRODUCT(实盘持仓配置!$B$7:$X$7,'实盘净值数据(iFinD公式)'!$B36:$X36/'实盘净值数据(iFinD公式)'!$B$8:$X$8,'实盘净值数据(iFinD公式)'!$B37:$X37/'实盘净值数据(iFinD公式)'!$B36:$X36)/SUMPRODUCT(实盘持仓配置!$B$7:$X$7,'实盘净值数据(iFinD公式)'!$B36:$X36/'实盘净值数据(iFinD公式)'!$B$8:$X$8)-1)</f>
      </c>
      <c r="M37" s="7" t="str">
        <f>IF(K37="","",K37/MAX(K$5:K37)-1)</f>
        <v/>
      </c>
      <c r="N37" s="32" t="str">
        <f>IF(OR((ROW()-1)&lt;5,'实盘净值数据(iFinD公式)'!$A37="",'实盘净值数据(iFinD公式)'!$B37=""),"",SUMPRODUCT(实盘持仓配置!$B$8:$X$8,'实盘净值数据(iFinD公式)'!$B37:$X37/'实盘净值数据(iFinD公式)'!$B$5:$X$5)*(1-实盘持仓配置!$Z$8)^(((ROW()-1)-5)/说明!$C$17))</f>
        <v/>
      </c>
      <c r="O37" s="7">
        <f>IF(OR(N36="",'实盘净值数据(iFinD公式)'!$A37="",'实盘净值数据(iFinD公式)'!$B37=""),"",SUMPRODUCT(实盘持仓配置!$B$8:$X$8,'实盘净值数据(iFinD公式)'!$B36:$X36/'实盘净值数据(iFinD公式)'!$B$5:$X$5,'实盘净值数据(iFinD公式)'!$B37:$X37/'实盘净值数据(iFinD公式)'!$B36:$X36)/SUMPRODUCT(实盘持仓配置!$B$8:$X$8,'实盘净值数据(iFinD公式)'!$B36:$X36/'实盘净值数据(iFinD公式)'!$B$5:$X$5)-1)</f>
      </c>
      <c r="P37" s="7" t="str">
        <f>IF(N37="","",N37/MAX(N$5:N37)-1)</f>
        <v/>
      </c>
      <c r="Q37" s="32" t="str">
        <f>IF(OR((ROW()-1)&lt;8,'实盘净值数据(iFinD公式)'!$A37="",'实盘净值数据(iFinD公式)'!$B37=""),"",SUMPRODUCT(实盘持仓配置!$B$9:$X$9,'实盘净值数据(iFinD公式)'!$B37:$X37/'实盘净值数据(iFinD公式)'!$B$8:$X$8)*(1-实盘持仓配置!$Z$9)^(((ROW()-1)-8)/说明!$C$17))</f>
        <v/>
      </c>
      <c r="R37" s="7">
        <f>IF(OR(Q36="",'实盘净值数据(iFinD公式)'!$A37="",'实盘净值数据(iFinD公式)'!$B37=""),"",SUMPRODUCT(实盘持仓配置!$B$9:$X$9,'实盘净值数据(iFinD公式)'!$B36:$X36/'实盘净值数据(iFinD公式)'!$B$8:$X$8,'实盘净值数据(iFinD公式)'!$B37:$X37/'实盘净值数据(iFinD公式)'!$B36:$X36)/SUMPRODUCT(实盘持仓配置!$B$9:$X$9,'实盘净值数据(iFinD公式)'!$B36:$X36/'实盘净值数据(iFinD公式)'!$B$8:$X$8)-1)</f>
      </c>
      <c r="S37" s="7" t="str">
        <f>IF(Q37="","",Q37/MAX(Q$5:Q37)-1)</f>
        <v/>
      </c>
    </row>
    <row r="38" spans="1:19" x14ac:dyDescent="0.25">
      <c r="A38" s="33" t="str">
        <f>IF('实盘净值数据(iFinD公式)'!A38="","",'实盘净值数据(iFinD公式)'!A38)</f>
        <v/>
      </c>
      <c r="B38" s="32" t="str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(ROW()-1)-6)/说明!$C$17))</f>
        <v/>
      </c>
      <c r="C38" s="7">
        <f>IF(OR(B37="",'实盘净值数据(iFinD公式)'!$A38="",'实盘净值数据(iFinD公式)'!$B38=""),"",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-1)</f>
      </c>
      <c r="D38" s="7" t="str">
        <f>IF(B38="","",B38/MAX(B$5:B38)-1)</f>
        <v/>
      </c>
      <c r="E38" s="32" t="str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(ROW()-1)-5)/说明!$C$17))</f>
        <v/>
      </c>
      <c r="F38" s="7">
        <f>IF(OR(E37="",'实盘净值数据(iFinD公式)'!$A38="",'实盘净值数据(iFinD公式)'!$B38=""),"",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-1)</f>
      </c>
      <c r="G38" s="7" t="str">
        <f>IF(E38="","",E38/MAX(E$5:E38)-1)</f>
        <v/>
      </c>
      <c r="H38" s="32" t="str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(ROW()-1)-7)/说明!$C$17))</f>
        <v/>
      </c>
      <c r="I38" s="7">
        <f>IF(OR(H37="",'实盘净值数据(iFinD公式)'!$A38="",'实盘净值数据(iFinD公式)'!$B38=""),"",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-1)</f>
      </c>
      <c r="J38" s="7" t="str">
        <f>IF(H38="","",H38/MAX(H$5:H38)-1)</f>
        <v/>
      </c>
      <c r="K38" s="32" t="str">
        <f>IF(OR((ROW()-1)&lt;8,'实盘净值数据(iFinD公式)'!$A38="",'实盘净值数据(iFinD公式)'!$B38=""),"",SUMPRODUCT(实盘持仓配置!$B$7:$X$7,'实盘净值数据(iFinD公式)'!$B38:$X38/'实盘净值数据(iFinD公式)'!$B$8:$X$8)*(1-实盘持仓配置!$Z$7)^(((ROW()-1)-8)/说明!$C$17))</f>
        <v/>
      </c>
      <c r="L38" s="7">
        <f>IF(OR(K37="",'实盘净值数据(iFinD公式)'!$A38="",'实盘净值数据(iFinD公式)'!$B38=""),"",SUMPRODUCT(实盘持仓配置!$B$7:$X$7,'实盘净值数据(iFinD公式)'!$B37:$X37/'实盘净值数据(iFinD公式)'!$B$8:$X$8,'实盘净值数据(iFinD公式)'!$B38:$X38/'实盘净值数据(iFinD公式)'!$B37:$X37)/SUMPRODUCT(实盘持仓配置!$B$7:$X$7,'实盘净值数据(iFinD公式)'!$B37:$X37/'实盘净值数据(iFinD公式)'!$B$8:$X$8)-1)</f>
      </c>
      <c r="M38" s="7" t="str">
        <f>IF(K38="","",K38/MAX(K$5:K38)-1)</f>
        <v/>
      </c>
      <c r="N38" s="32" t="str">
        <f>IF(OR((ROW()-1)&lt;5,'实盘净值数据(iFinD公式)'!$A38="",'实盘净值数据(iFinD公式)'!$B38=""),"",SUMPRODUCT(实盘持仓配置!$B$8:$X$8,'实盘净值数据(iFinD公式)'!$B38:$X38/'实盘净值数据(iFinD公式)'!$B$5:$X$5)*(1-实盘持仓配置!$Z$8)^(((ROW()-1)-5)/说明!$C$17))</f>
        <v/>
      </c>
      <c r="O38" s="7">
        <f>IF(OR(N37="",'实盘净值数据(iFinD公式)'!$A38="",'实盘净值数据(iFinD公式)'!$B38=""),"",SUMPRODUCT(实盘持仓配置!$B$8:$X$8,'实盘净值数据(iFinD公式)'!$B37:$X37/'实盘净值数据(iFinD公式)'!$B$5:$X$5,'实盘净值数据(iFinD公式)'!$B38:$X38/'实盘净值数据(iFinD公式)'!$B37:$X37)/SUMPRODUCT(实盘持仓配置!$B$8:$X$8,'实盘净值数据(iFinD公式)'!$B37:$X37/'实盘净值数据(iFinD公式)'!$B$5:$X$5)-1)</f>
      </c>
      <c r="P38" s="7" t="str">
        <f>IF(N38="","",N38/MAX(N$5:N38)-1)</f>
        <v/>
      </c>
      <c r="Q38" s="32" t="str">
        <f>IF(OR((ROW()-1)&lt;8,'实盘净值数据(iFinD公式)'!$A38="",'实盘净值数据(iFinD公式)'!$B38=""),"",SUMPRODUCT(实盘持仓配置!$B$9:$X$9,'实盘净值数据(iFinD公式)'!$B38:$X38/'实盘净值数据(iFinD公式)'!$B$8:$X$8)*(1-实盘持仓配置!$Z$9)^(((ROW()-1)-8)/说明!$C$17))</f>
        <v/>
      </c>
      <c r="R38" s="7">
        <f>IF(OR(Q37="",'实盘净值数据(iFinD公式)'!$A38="",'实盘净值数据(iFinD公式)'!$B38=""),"",SUMPRODUCT(实盘持仓配置!$B$9:$X$9,'实盘净值数据(iFinD公式)'!$B37:$X37/'实盘净值数据(iFinD公式)'!$B$8:$X$8,'实盘净值数据(iFinD公式)'!$B38:$X38/'实盘净值数据(iFinD公式)'!$B37:$X37)/SUMPRODUCT(实盘持仓配置!$B$9:$X$9,'实盘净值数据(iFinD公式)'!$B37:$X37/'实盘净值数据(iFinD公式)'!$B$8:$X$8)-1)</f>
      </c>
      <c r="S38" s="7" t="str">
        <f>IF(Q38="","",Q38/MAX(Q$5:Q38)-1)</f>
        <v/>
      </c>
    </row>
    <row r="39" spans="1:19" x14ac:dyDescent="0.25">
      <c r="A39" s="33" t="str">
        <f>IF('实盘净值数据(iFinD公式)'!A39="","",'实盘净值数据(iFinD公式)'!A39)</f>
        <v/>
      </c>
      <c r="B39" s="32" t="str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(ROW()-1)-6)/说明!$C$17))</f>
        <v/>
      </c>
      <c r="C39" s="7">
        <f>IF(OR(B38="",'实盘净值数据(iFinD公式)'!$A39="",'实盘净值数据(iFinD公式)'!$B39=""),"",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-1)</f>
      </c>
      <c r="D39" s="7" t="str">
        <f>IF(B39="","",B39/MAX(B$5:B39)-1)</f>
        <v/>
      </c>
      <c r="E39" s="32" t="str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(ROW()-1)-5)/说明!$C$17))</f>
        <v/>
      </c>
      <c r="F39" s="7">
        <f>IF(OR(E38="",'实盘净值数据(iFinD公式)'!$A39="",'实盘净值数据(iFinD公式)'!$B39=""),"",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-1)</f>
      </c>
      <c r="G39" s="7" t="str">
        <f>IF(E39="","",E39/MAX(E$5:E39)-1)</f>
        <v/>
      </c>
      <c r="H39" s="32" t="str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(ROW()-1)-7)/说明!$C$17))</f>
        <v/>
      </c>
      <c r="I39" s="7">
        <f>IF(OR(H38="",'实盘净值数据(iFinD公式)'!$A39="",'实盘净值数据(iFinD公式)'!$B39=""),"",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-1)</f>
      </c>
      <c r="J39" s="7" t="str">
        <f>IF(H39="","",H39/MAX(H$5:H39)-1)</f>
        <v/>
      </c>
      <c r="K39" s="32" t="str">
        <f>IF(OR((ROW()-1)&lt;8,'实盘净值数据(iFinD公式)'!$A39="",'实盘净值数据(iFinD公式)'!$B39=""),"",SUMPRODUCT(实盘持仓配置!$B$7:$X$7,'实盘净值数据(iFinD公式)'!$B39:$X39/'实盘净值数据(iFinD公式)'!$B$8:$X$8)*(1-实盘持仓配置!$Z$7)^(((ROW()-1)-8)/说明!$C$17))</f>
        <v/>
      </c>
      <c r="L39" s="7">
        <f>IF(OR(K38="",'实盘净值数据(iFinD公式)'!$A39="",'实盘净值数据(iFinD公式)'!$B39=""),"",SUMPRODUCT(实盘持仓配置!$B$7:$X$7,'实盘净值数据(iFinD公式)'!$B38:$X38/'实盘净值数据(iFinD公式)'!$B$8:$X$8,'实盘净值数据(iFinD公式)'!$B39:$X39/'实盘净值数据(iFinD公式)'!$B38:$X38)/SUMPRODUCT(实盘持仓配置!$B$7:$X$7,'实盘净值数据(iFinD公式)'!$B38:$X38/'实盘净值数据(iFinD公式)'!$B$8:$X$8)-1)</f>
      </c>
      <c r="M39" s="7" t="str">
        <f>IF(K39="","",K39/MAX(K$5:K39)-1)</f>
        <v/>
      </c>
      <c r="N39" s="32" t="str">
        <f>IF(OR((ROW()-1)&lt;5,'实盘净值数据(iFinD公式)'!$A39="",'实盘净值数据(iFinD公式)'!$B39=""),"",SUMPRODUCT(实盘持仓配置!$B$8:$X$8,'实盘净值数据(iFinD公式)'!$B39:$X39/'实盘净值数据(iFinD公式)'!$B$5:$X$5)*(1-实盘持仓配置!$Z$8)^(((ROW()-1)-5)/说明!$C$17))</f>
        <v/>
      </c>
      <c r="O39" s="7">
        <f>IF(OR(N38="",'实盘净值数据(iFinD公式)'!$A39="",'实盘净值数据(iFinD公式)'!$B39=""),"",SUMPRODUCT(实盘持仓配置!$B$8:$X$8,'实盘净值数据(iFinD公式)'!$B38:$X38/'实盘净值数据(iFinD公式)'!$B$5:$X$5,'实盘净值数据(iFinD公式)'!$B39:$X39/'实盘净值数据(iFinD公式)'!$B38:$X38)/SUMPRODUCT(实盘持仓配置!$B$8:$X$8,'实盘净值数据(iFinD公式)'!$B38:$X38/'实盘净值数据(iFinD公式)'!$B$5:$X$5)-1)</f>
      </c>
      <c r="P39" s="7" t="str">
        <f>IF(N39="","",N39/MAX(N$5:N39)-1)</f>
        <v/>
      </c>
      <c r="Q39" s="32" t="str">
        <f>IF(OR((ROW()-1)&lt;8,'实盘净值数据(iFinD公式)'!$A39="",'实盘净值数据(iFinD公式)'!$B39=""),"",SUMPRODUCT(实盘持仓配置!$B$9:$X$9,'实盘净值数据(iFinD公式)'!$B39:$X39/'实盘净值数据(iFinD公式)'!$B$8:$X$8)*(1-实盘持仓配置!$Z$9)^(((ROW()-1)-8)/说明!$C$17))</f>
        <v/>
      </c>
      <c r="R39" s="7">
        <f>IF(OR(Q38="",'实盘净值数据(iFinD公式)'!$A39="",'实盘净值数据(iFinD公式)'!$B39=""),"",SUMPRODUCT(实盘持仓配置!$B$9:$X$9,'实盘净值数据(iFinD公式)'!$B38:$X38/'实盘净值数据(iFinD公式)'!$B$8:$X$8,'实盘净值数据(iFinD公式)'!$B39:$X39/'实盘净值数据(iFinD公式)'!$B38:$X38)/SUMPRODUCT(实盘持仓配置!$B$9:$X$9,'实盘净值数据(iFinD公式)'!$B38:$X38/'实盘净值数据(iFinD公式)'!$B$8:$X$8)-1)</f>
      </c>
      <c r="S39" s="7" t="str">
        <f>IF(Q39="","",Q39/MAX(Q$5:Q39)-1)</f>
        <v/>
      </c>
    </row>
    <row r="40" spans="1:19" x14ac:dyDescent="0.25">
      <c r="A40" s="33" t="str">
        <f>IF('实盘净值数据(iFinD公式)'!A40="","",'实盘净值数据(iFinD公式)'!A40)</f>
        <v/>
      </c>
      <c r="B40" s="32" t="str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(ROW()-1)-6)/说明!$C$17))</f>
        <v/>
      </c>
      <c r="C40" s="7">
        <f>IF(OR(B39="",'实盘净值数据(iFinD公式)'!$A40="",'实盘净值数据(iFinD公式)'!$B40=""),"",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-1)</f>
      </c>
      <c r="D40" s="7" t="str">
        <f>IF(B40="","",B40/MAX(B$5:B40)-1)</f>
        <v/>
      </c>
      <c r="E40" s="32" t="str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(ROW()-1)-5)/说明!$C$17))</f>
        <v/>
      </c>
      <c r="F40" s="7">
        <f>IF(OR(E39="",'实盘净值数据(iFinD公式)'!$A40="",'实盘净值数据(iFinD公式)'!$B40=""),"",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-1)</f>
      </c>
      <c r="G40" s="7" t="str">
        <f>IF(E40="","",E40/MAX(E$5:E40)-1)</f>
        <v/>
      </c>
      <c r="H40" s="32" t="str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(ROW()-1)-7)/说明!$C$17))</f>
        <v/>
      </c>
      <c r="I40" s="7">
        <f>IF(OR(H39="",'实盘净值数据(iFinD公式)'!$A40="",'实盘净值数据(iFinD公式)'!$B40=""),"",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-1)</f>
      </c>
      <c r="J40" s="7" t="str">
        <f>IF(H40="","",H40/MAX(H$5:H40)-1)</f>
        <v/>
      </c>
      <c r="K40" s="32" t="str">
        <f>IF(OR((ROW()-1)&lt;8,'实盘净值数据(iFinD公式)'!$A40="",'实盘净值数据(iFinD公式)'!$B40=""),"",SUMPRODUCT(实盘持仓配置!$B$7:$X$7,'实盘净值数据(iFinD公式)'!$B40:$X40/'实盘净值数据(iFinD公式)'!$B$8:$X$8)*(1-实盘持仓配置!$Z$7)^(((ROW()-1)-8)/说明!$C$17))</f>
        <v/>
      </c>
      <c r="L40" s="7">
        <f>IF(OR(K39="",'实盘净值数据(iFinD公式)'!$A40="",'实盘净值数据(iFinD公式)'!$B40=""),"",SUMPRODUCT(实盘持仓配置!$B$7:$X$7,'实盘净值数据(iFinD公式)'!$B39:$X39/'实盘净值数据(iFinD公式)'!$B$8:$X$8,'实盘净值数据(iFinD公式)'!$B40:$X40/'实盘净值数据(iFinD公式)'!$B39:$X39)/SUMPRODUCT(实盘持仓配置!$B$7:$X$7,'实盘净值数据(iFinD公式)'!$B39:$X39/'实盘净值数据(iFinD公式)'!$B$8:$X$8)-1)</f>
      </c>
      <c r="M40" s="7" t="str">
        <f>IF(K40="","",K40/MAX(K$5:K40)-1)</f>
        <v/>
      </c>
      <c r="N40" s="32" t="str">
        <f>IF(OR((ROW()-1)&lt;5,'实盘净值数据(iFinD公式)'!$A40="",'实盘净值数据(iFinD公式)'!$B40=""),"",SUMPRODUCT(实盘持仓配置!$B$8:$X$8,'实盘净值数据(iFinD公式)'!$B40:$X40/'实盘净值数据(iFinD公式)'!$B$5:$X$5)*(1-实盘持仓配置!$Z$8)^(((ROW()-1)-5)/说明!$C$17))</f>
        <v/>
      </c>
      <c r="O40" s="7">
        <f>IF(OR(N39="",'实盘净值数据(iFinD公式)'!$A40="",'实盘净值数据(iFinD公式)'!$B40=""),"",SUMPRODUCT(实盘持仓配置!$B$8:$X$8,'实盘净值数据(iFinD公式)'!$B39:$X39/'实盘净值数据(iFinD公式)'!$B$5:$X$5,'实盘净值数据(iFinD公式)'!$B40:$X40/'实盘净值数据(iFinD公式)'!$B39:$X39)/SUMPRODUCT(实盘持仓配置!$B$8:$X$8,'实盘净值数据(iFinD公式)'!$B39:$X39/'实盘净值数据(iFinD公式)'!$B$5:$X$5)-1)</f>
      </c>
      <c r="P40" s="7" t="str">
        <f>IF(N40="","",N40/MAX(N$5:N40)-1)</f>
        <v/>
      </c>
      <c r="Q40" s="32" t="str">
        <f>IF(OR((ROW()-1)&lt;8,'实盘净值数据(iFinD公式)'!$A40="",'实盘净值数据(iFinD公式)'!$B40=""),"",SUMPRODUCT(实盘持仓配置!$B$9:$X$9,'实盘净值数据(iFinD公式)'!$B40:$X40/'实盘净值数据(iFinD公式)'!$B$8:$X$8)*(1-实盘持仓配置!$Z$9)^(((ROW()-1)-8)/说明!$C$17))</f>
        <v/>
      </c>
      <c r="R40" s="7">
        <f>IF(OR(Q39="",'实盘净值数据(iFinD公式)'!$A40="",'实盘净值数据(iFinD公式)'!$B40=""),"",SUMPRODUCT(实盘持仓配置!$B$9:$X$9,'实盘净值数据(iFinD公式)'!$B39:$X39/'实盘净值数据(iFinD公式)'!$B$8:$X$8,'实盘净值数据(iFinD公式)'!$B40:$X40/'实盘净值数据(iFinD公式)'!$B39:$X39)/SUMPRODUCT(实盘持仓配置!$B$9:$X$9,'实盘净值数据(iFinD公式)'!$B39:$X39/'实盘净值数据(iFinD公式)'!$B$8:$X$8)-1)</f>
      </c>
      <c r="S40" s="7" t="str">
        <f>IF(Q40="","",Q40/MAX(Q$5:Q40)-1)</f>
        <v/>
      </c>
    </row>
    <row r="41" spans="1:19" x14ac:dyDescent="0.25">
      <c r="A41" s="33" t="str">
        <f>IF('实盘净值数据(iFinD公式)'!A41="","",'实盘净值数据(iFinD公式)'!A41)</f>
        <v/>
      </c>
      <c r="B41" s="32" t="str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(ROW()-1)-6)/说明!$C$17))</f>
        <v/>
      </c>
      <c r="C41" s="7">
        <f>IF(OR(B40="",'实盘净值数据(iFinD公式)'!$A41="",'实盘净值数据(iFinD公式)'!$B41=""),"",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-1)</f>
      </c>
      <c r="D41" s="7" t="str">
        <f>IF(B41="","",B41/MAX(B$5:B41)-1)</f>
        <v/>
      </c>
      <c r="E41" s="32" t="str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(ROW()-1)-5)/说明!$C$17))</f>
        <v/>
      </c>
      <c r="F41" s="7">
        <f>IF(OR(E40="",'实盘净值数据(iFinD公式)'!$A41="",'实盘净值数据(iFinD公式)'!$B41=""),"",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-1)</f>
      </c>
      <c r="G41" s="7" t="str">
        <f>IF(E41="","",E41/MAX(E$5:E41)-1)</f>
        <v/>
      </c>
      <c r="H41" s="32" t="str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(ROW()-1)-7)/说明!$C$17))</f>
        <v/>
      </c>
      <c r="I41" s="7">
        <f>IF(OR(H40="",'实盘净值数据(iFinD公式)'!$A41="",'实盘净值数据(iFinD公式)'!$B41=""),"",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-1)</f>
      </c>
      <c r="J41" s="7" t="str">
        <f>IF(H41="","",H41/MAX(H$5:H41)-1)</f>
        <v/>
      </c>
      <c r="K41" s="32" t="str">
        <f>IF(OR((ROW()-1)&lt;8,'实盘净值数据(iFinD公式)'!$A41="",'实盘净值数据(iFinD公式)'!$B41=""),"",SUMPRODUCT(实盘持仓配置!$B$7:$X$7,'实盘净值数据(iFinD公式)'!$B41:$X41/'实盘净值数据(iFinD公式)'!$B$8:$X$8)*(1-实盘持仓配置!$Z$7)^(((ROW()-1)-8)/说明!$C$17))</f>
        <v/>
      </c>
      <c r="L41" s="7">
        <f>IF(OR(K40="",'实盘净值数据(iFinD公式)'!$A41="",'实盘净值数据(iFinD公式)'!$B41=""),"",SUMPRODUCT(实盘持仓配置!$B$7:$X$7,'实盘净值数据(iFinD公式)'!$B40:$X40/'实盘净值数据(iFinD公式)'!$B$8:$X$8,'实盘净值数据(iFinD公式)'!$B41:$X41/'实盘净值数据(iFinD公式)'!$B40:$X40)/SUMPRODUCT(实盘持仓配置!$B$7:$X$7,'实盘净值数据(iFinD公式)'!$B40:$X40/'实盘净值数据(iFinD公式)'!$B$8:$X$8)-1)</f>
      </c>
      <c r="M41" s="7" t="str">
        <f>IF(K41="","",K41/MAX(K$5:K41)-1)</f>
        <v/>
      </c>
      <c r="N41" s="32" t="str">
        <f>IF(OR((ROW()-1)&lt;5,'实盘净值数据(iFinD公式)'!$A41="",'实盘净值数据(iFinD公式)'!$B41=""),"",SUMPRODUCT(实盘持仓配置!$B$8:$X$8,'实盘净值数据(iFinD公式)'!$B41:$X41/'实盘净值数据(iFinD公式)'!$B$5:$X$5)*(1-实盘持仓配置!$Z$8)^(((ROW()-1)-5)/说明!$C$17))</f>
        <v/>
      </c>
      <c r="O41" s="7">
        <f>IF(OR(N40="",'实盘净值数据(iFinD公式)'!$A41="",'实盘净值数据(iFinD公式)'!$B41=""),"",SUMPRODUCT(实盘持仓配置!$B$8:$X$8,'实盘净值数据(iFinD公式)'!$B40:$X40/'实盘净值数据(iFinD公式)'!$B$5:$X$5,'实盘净值数据(iFinD公式)'!$B41:$X41/'实盘净值数据(iFinD公式)'!$B40:$X40)/SUMPRODUCT(实盘持仓配置!$B$8:$X$8,'实盘净值数据(iFinD公式)'!$B40:$X40/'实盘净值数据(iFinD公式)'!$B$5:$X$5)-1)</f>
      </c>
      <c r="P41" s="7" t="str">
        <f>IF(N41="","",N41/MAX(N$5:N41)-1)</f>
        <v/>
      </c>
      <c r="Q41" s="32" t="str">
        <f>IF(OR((ROW()-1)&lt;8,'实盘净值数据(iFinD公式)'!$A41="",'实盘净值数据(iFinD公式)'!$B41=""),"",SUMPRODUCT(实盘持仓配置!$B$9:$X$9,'实盘净值数据(iFinD公式)'!$B41:$X41/'实盘净值数据(iFinD公式)'!$B$8:$X$8)*(1-实盘持仓配置!$Z$9)^(((ROW()-1)-8)/说明!$C$17))</f>
        <v/>
      </c>
      <c r="R41" s="7">
        <f>IF(OR(Q40="",'实盘净值数据(iFinD公式)'!$A41="",'实盘净值数据(iFinD公式)'!$B41=""),"",SUMPRODUCT(实盘持仓配置!$B$9:$X$9,'实盘净值数据(iFinD公式)'!$B40:$X40/'实盘净值数据(iFinD公式)'!$B$8:$X$8,'实盘净值数据(iFinD公式)'!$B41:$X41/'实盘净值数据(iFinD公式)'!$B40:$X40)/SUMPRODUCT(实盘持仓配置!$B$9:$X$9,'实盘净值数据(iFinD公式)'!$B40:$X40/'实盘净值数据(iFinD公式)'!$B$8:$X$8)-1)</f>
      </c>
      <c r="S41" s="7" t="str">
        <f>IF(Q41="","",Q41/MAX(Q$5:Q41)-1)</f>
        <v/>
      </c>
    </row>
    <row r="42" spans="1:19" x14ac:dyDescent="0.25">
      <c r="A42" s="33" t="str">
        <f>IF('实盘净值数据(iFinD公式)'!A42="","",'实盘净值数据(iFinD公式)'!A42)</f>
        <v/>
      </c>
      <c r="B42" s="32" t="str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(ROW()-1)-6)/说明!$C$17))</f>
        <v/>
      </c>
      <c r="C42" s="7">
        <f>IF(OR(B41="",'实盘净值数据(iFinD公式)'!$A42="",'实盘净值数据(iFinD公式)'!$B42=""),"",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-1)</f>
      </c>
      <c r="D42" s="7" t="str">
        <f>IF(B42="","",B42/MAX(B$5:B42)-1)</f>
        <v/>
      </c>
      <c r="E42" s="32" t="str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(ROW()-1)-5)/说明!$C$17))</f>
        <v/>
      </c>
      <c r="F42" s="7">
        <f>IF(OR(E41="",'实盘净值数据(iFinD公式)'!$A42="",'实盘净值数据(iFinD公式)'!$B42=""),"",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-1)</f>
      </c>
      <c r="G42" s="7" t="str">
        <f>IF(E42="","",E42/MAX(E$5:E42)-1)</f>
        <v/>
      </c>
      <c r="H42" s="32" t="str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(ROW()-1)-7)/说明!$C$17))</f>
        <v/>
      </c>
      <c r="I42" s="7">
        <f>IF(OR(H41="",'实盘净值数据(iFinD公式)'!$A42="",'实盘净值数据(iFinD公式)'!$B42=""),"",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-1)</f>
      </c>
      <c r="J42" s="7" t="str">
        <f>IF(H42="","",H42/MAX(H$5:H42)-1)</f>
        <v/>
      </c>
      <c r="K42" s="32" t="str">
        <f>IF(OR((ROW()-1)&lt;8,'实盘净值数据(iFinD公式)'!$A42="",'实盘净值数据(iFinD公式)'!$B42=""),"",SUMPRODUCT(实盘持仓配置!$B$7:$X$7,'实盘净值数据(iFinD公式)'!$B42:$X42/'实盘净值数据(iFinD公式)'!$B$8:$X$8)*(1-实盘持仓配置!$Z$7)^(((ROW()-1)-8)/说明!$C$17))</f>
        <v/>
      </c>
      <c r="L42" s="7">
        <f>IF(OR(K41="",'实盘净值数据(iFinD公式)'!$A42="",'实盘净值数据(iFinD公式)'!$B42=""),"",SUMPRODUCT(实盘持仓配置!$B$7:$X$7,'实盘净值数据(iFinD公式)'!$B41:$X41/'实盘净值数据(iFinD公式)'!$B$8:$X$8,'实盘净值数据(iFinD公式)'!$B42:$X42/'实盘净值数据(iFinD公式)'!$B41:$X41)/SUMPRODUCT(实盘持仓配置!$B$7:$X$7,'实盘净值数据(iFinD公式)'!$B41:$X41/'实盘净值数据(iFinD公式)'!$B$8:$X$8)-1)</f>
      </c>
      <c r="M42" s="7" t="str">
        <f>IF(K42="","",K42/MAX(K$5:K42)-1)</f>
        <v/>
      </c>
      <c r="N42" s="32" t="str">
        <f>IF(OR((ROW()-1)&lt;5,'实盘净值数据(iFinD公式)'!$A42="",'实盘净值数据(iFinD公式)'!$B42=""),"",SUMPRODUCT(实盘持仓配置!$B$8:$X$8,'实盘净值数据(iFinD公式)'!$B42:$X42/'实盘净值数据(iFinD公式)'!$B$5:$X$5)*(1-实盘持仓配置!$Z$8)^(((ROW()-1)-5)/说明!$C$17))</f>
        <v/>
      </c>
      <c r="O42" s="7">
        <f>IF(OR(N41="",'实盘净值数据(iFinD公式)'!$A42="",'实盘净值数据(iFinD公式)'!$B42=""),"",SUMPRODUCT(实盘持仓配置!$B$8:$X$8,'实盘净值数据(iFinD公式)'!$B41:$X41/'实盘净值数据(iFinD公式)'!$B$5:$X$5,'实盘净值数据(iFinD公式)'!$B42:$X42/'实盘净值数据(iFinD公式)'!$B41:$X41)/SUMPRODUCT(实盘持仓配置!$B$8:$X$8,'实盘净值数据(iFinD公式)'!$B41:$X41/'实盘净值数据(iFinD公式)'!$B$5:$X$5)-1)</f>
      </c>
      <c r="P42" s="7" t="str">
        <f>IF(N42="","",N42/MAX(N$5:N42)-1)</f>
        <v/>
      </c>
      <c r="Q42" s="32" t="str">
        <f>IF(OR((ROW()-1)&lt;8,'实盘净值数据(iFinD公式)'!$A42="",'实盘净值数据(iFinD公式)'!$B42=""),"",SUMPRODUCT(实盘持仓配置!$B$9:$X$9,'实盘净值数据(iFinD公式)'!$B42:$X42/'实盘净值数据(iFinD公式)'!$B$8:$X$8)*(1-实盘持仓配置!$Z$9)^(((ROW()-1)-8)/说明!$C$17))</f>
        <v/>
      </c>
      <c r="R42" s="7">
        <f>IF(OR(Q41="",'实盘净值数据(iFinD公式)'!$A42="",'实盘净值数据(iFinD公式)'!$B42=""),"",SUMPRODUCT(实盘持仓配置!$B$9:$X$9,'实盘净值数据(iFinD公式)'!$B41:$X41/'实盘净值数据(iFinD公式)'!$B$8:$X$8,'实盘净值数据(iFinD公式)'!$B42:$X42/'实盘净值数据(iFinD公式)'!$B41:$X41)/SUMPRODUCT(实盘持仓配置!$B$9:$X$9,'实盘净值数据(iFinD公式)'!$B41:$X41/'实盘净值数据(iFinD公式)'!$B$8:$X$8)-1)</f>
      </c>
      <c r="S42" s="7" t="str">
        <f>IF(Q42="","",Q42/MAX(Q$5:Q42)-1)</f>
        <v/>
      </c>
    </row>
    <row r="43" spans="1:19" x14ac:dyDescent="0.25">
      <c r="A43" s="33" t="str">
        <f>IF('实盘净值数据(iFinD公式)'!A43="","",'实盘净值数据(iFinD公式)'!A43)</f>
        <v/>
      </c>
      <c r="B43" s="32" t="str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(ROW()-1)-6)/说明!$C$17))</f>
        <v/>
      </c>
      <c r="C43" s="7">
        <f>IF(OR(B42="",'实盘净值数据(iFinD公式)'!$A43="",'实盘净值数据(iFinD公式)'!$B43=""),"",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-1)</f>
      </c>
      <c r="D43" s="7" t="str">
        <f>IF(B43="","",B43/MAX(B$5:B43)-1)</f>
        <v/>
      </c>
      <c r="E43" s="32" t="str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(ROW()-1)-5)/说明!$C$17))</f>
        <v/>
      </c>
      <c r="F43" s="7">
        <f>IF(OR(E42="",'实盘净值数据(iFinD公式)'!$A43="",'实盘净值数据(iFinD公式)'!$B43=""),"",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-1)</f>
      </c>
      <c r="G43" s="7" t="str">
        <f>IF(E43="","",E43/MAX(E$5:E43)-1)</f>
        <v/>
      </c>
      <c r="H43" s="32" t="str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(ROW()-1)-7)/说明!$C$17))</f>
        <v/>
      </c>
      <c r="I43" s="7">
        <f>IF(OR(H42="",'实盘净值数据(iFinD公式)'!$A43="",'实盘净值数据(iFinD公式)'!$B43=""),"",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-1)</f>
      </c>
      <c r="J43" s="7" t="str">
        <f>IF(H43="","",H43/MAX(H$5:H43)-1)</f>
        <v/>
      </c>
      <c r="K43" s="32" t="str">
        <f>IF(OR((ROW()-1)&lt;8,'实盘净值数据(iFinD公式)'!$A43="",'实盘净值数据(iFinD公式)'!$B43=""),"",SUMPRODUCT(实盘持仓配置!$B$7:$X$7,'实盘净值数据(iFinD公式)'!$B43:$X43/'实盘净值数据(iFinD公式)'!$B$8:$X$8)*(1-实盘持仓配置!$Z$7)^(((ROW()-1)-8)/说明!$C$17))</f>
        <v/>
      </c>
      <c r="L43" s="7">
        <f>IF(OR(K42="",'实盘净值数据(iFinD公式)'!$A43="",'实盘净值数据(iFinD公式)'!$B43=""),"",SUMPRODUCT(实盘持仓配置!$B$7:$X$7,'实盘净值数据(iFinD公式)'!$B42:$X42/'实盘净值数据(iFinD公式)'!$B$8:$X$8,'实盘净值数据(iFinD公式)'!$B43:$X43/'实盘净值数据(iFinD公式)'!$B42:$X42)/SUMPRODUCT(实盘持仓配置!$B$7:$X$7,'实盘净值数据(iFinD公式)'!$B42:$X42/'实盘净值数据(iFinD公式)'!$B$8:$X$8)-1)</f>
      </c>
      <c r="M43" s="7" t="str">
        <f>IF(K43="","",K43/MAX(K$5:K43)-1)</f>
        <v/>
      </c>
      <c r="N43" s="32" t="str">
        <f>IF(OR((ROW()-1)&lt;5,'实盘净值数据(iFinD公式)'!$A43="",'实盘净值数据(iFinD公式)'!$B43=""),"",SUMPRODUCT(实盘持仓配置!$B$8:$X$8,'实盘净值数据(iFinD公式)'!$B43:$X43/'实盘净值数据(iFinD公式)'!$B$5:$X$5)*(1-实盘持仓配置!$Z$8)^(((ROW()-1)-5)/说明!$C$17))</f>
        <v/>
      </c>
      <c r="O43" s="7">
        <f>IF(OR(N42="",'实盘净值数据(iFinD公式)'!$A43="",'实盘净值数据(iFinD公式)'!$B43=""),"",SUMPRODUCT(实盘持仓配置!$B$8:$X$8,'实盘净值数据(iFinD公式)'!$B42:$X42/'实盘净值数据(iFinD公式)'!$B$5:$X$5,'实盘净值数据(iFinD公式)'!$B43:$X43/'实盘净值数据(iFinD公式)'!$B42:$X42)/SUMPRODUCT(实盘持仓配置!$B$8:$X$8,'实盘净值数据(iFinD公式)'!$B42:$X42/'实盘净值数据(iFinD公式)'!$B$5:$X$5)-1)</f>
      </c>
      <c r="P43" s="7" t="str">
        <f>IF(N43="","",N43/MAX(N$5:N43)-1)</f>
        <v/>
      </c>
      <c r="Q43" s="32" t="str">
        <f>IF(OR((ROW()-1)&lt;8,'实盘净值数据(iFinD公式)'!$A43="",'实盘净值数据(iFinD公式)'!$B43=""),"",SUMPRODUCT(实盘持仓配置!$B$9:$X$9,'实盘净值数据(iFinD公式)'!$B43:$X43/'实盘净值数据(iFinD公式)'!$B$8:$X$8)*(1-实盘持仓配置!$Z$9)^(((ROW()-1)-8)/说明!$C$17))</f>
        <v/>
      </c>
      <c r="R43" s="7">
        <f>IF(OR(Q42="",'实盘净值数据(iFinD公式)'!$A43="",'实盘净值数据(iFinD公式)'!$B43=""),"",SUMPRODUCT(实盘持仓配置!$B$9:$X$9,'实盘净值数据(iFinD公式)'!$B42:$X42/'实盘净值数据(iFinD公式)'!$B$8:$X$8,'实盘净值数据(iFinD公式)'!$B43:$X43/'实盘净值数据(iFinD公式)'!$B42:$X42)/SUMPRODUCT(实盘持仓配置!$B$9:$X$9,'实盘净值数据(iFinD公式)'!$B42:$X42/'实盘净值数据(iFinD公式)'!$B$8:$X$8)-1)</f>
      </c>
      <c r="S43" s="7" t="str">
        <f>IF(Q43="","",Q43/MAX(Q$5:Q43)-1)</f>
        <v/>
      </c>
    </row>
    <row r="44" spans="1:19" x14ac:dyDescent="0.25">
      <c r="A44" s="33" t="str">
        <f>IF('实盘净值数据(iFinD公式)'!A44="","",'实盘净值数据(iFinD公式)'!A44)</f>
        <v/>
      </c>
      <c r="B44" s="32" t="str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(ROW()-1)-6)/说明!$C$17))</f>
        <v/>
      </c>
      <c r="C44" s="7">
        <f>IF(OR(B43="",'实盘净值数据(iFinD公式)'!$A44="",'实盘净值数据(iFinD公式)'!$B44=""),"",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-1)</f>
      </c>
      <c r="D44" s="7" t="str">
        <f>IF(B44="","",B44/MAX(B$5:B44)-1)</f>
        <v/>
      </c>
      <c r="E44" s="32" t="str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(ROW()-1)-5)/说明!$C$17))</f>
        <v/>
      </c>
      <c r="F44" s="7">
        <f>IF(OR(E43="",'实盘净值数据(iFinD公式)'!$A44="",'实盘净值数据(iFinD公式)'!$B44=""),"",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-1)</f>
      </c>
      <c r="G44" s="7" t="str">
        <f>IF(E44="","",E44/MAX(E$5:E44)-1)</f>
        <v/>
      </c>
      <c r="H44" s="32" t="str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(ROW()-1)-7)/说明!$C$17))</f>
        <v/>
      </c>
      <c r="I44" s="7">
        <f>IF(OR(H43="",'实盘净值数据(iFinD公式)'!$A44="",'实盘净值数据(iFinD公式)'!$B44=""),"",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-1)</f>
      </c>
      <c r="J44" s="7" t="str">
        <f>IF(H44="","",H44/MAX(H$5:H44)-1)</f>
        <v/>
      </c>
      <c r="K44" s="32" t="str">
        <f>IF(OR((ROW()-1)&lt;8,'实盘净值数据(iFinD公式)'!$A44="",'实盘净值数据(iFinD公式)'!$B44=""),"",SUMPRODUCT(实盘持仓配置!$B$7:$X$7,'实盘净值数据(iFinD公式)'!$B44:$X44/'实盘净值数据(iFinD公式)'!$B$8:$X$8)*(1-实盘持仓配置!$Z$7)^(((ROW()-1)-8)/说明!$C$17))</f>
        <v/>
      </c>
      <c r="L44" s="7">
        <f>IF(OR(K43="",'实盘净值数据(iFinD公式)'!$A44="",'实盘净值数据(iFinD公式)'!$B44=""),"",SUMPRODUCT(实盘持仓配置!$B$7:$X$7,'实盘净值数据(iFinD公式)'!$B43:$X43/'实盘净值数据(iFinD公式)'!$B$8:$X$8,'实盘净值数据(iFinD公式)'!$B44:$X44/'实盘净值数据(iFinD公式)'!$B43:$X43)/SUMPRODUCT(实盘持仓配置!$B$7:$X$7,'实盘净值数据(iFinD公式)'!$B43:$X43/'实盘净值数据(iFinD公式)'!$B$8:$X$8)-1)</f>
      </c>
      <c r="M44" s="7" t="str">
        <f>IF(K44="","",K44/MAX(K$5:K44)-1)</f>
        <v/>
      </c>
      <c r="N44" s="32" t="str">
        <f>IF(OR((ROW()-1)&lt;5,'实盘净值数据(iFinD公式)'!$A44="",'实盘净值数据(iFinD公式)'!$B44=""),"",SUMPRODUCT(实盘持仓配置!$B$8:$X$8,'实盘净值数据(iFinD公式)'!$B44:$X44/'实盘净值数据(iFinD公式)'!$B$5:$X$5)*(1-实盘持仓配置!$Z$8)^(((ROW()-1)-5)/说明!$C$17))</f>
        <v/>
      </c>
      <c r="O44" s="7">
        <f>IF(OR(N43="",'实盘净值数据(iFinD公式)'!$A44="",'实盘净值数据(iFinD公式)'!$B44=""),"",SUMPRODUCT(实盘持仓配置!$B$8:$X$8,'实盘净值数据(iFinD公式)'!$B43:$X43/'实盘净值数据(iFinD公式)'!$B$5:$X$5,'实盘净值数据(iFinD公式)'!$B44:$X44/'实盘净值数据(iFinD公式)'!$B43:$X43)/SUMPRODUCT(实盘持仓配置!$B$8:$X$8,'实盘净值数据(iFinD公式)'!$B43:$X43/'实盘净值数据(iFinD公式)'!$B$5:$X$5)-1)</f>
      </c>
      <c r="P44" s="7" t="str">
        <f>IF(N44="","",N44/MAX(N$5:N44)-1)</f>
        <v/>
      </c>
      <c r="Q44" s="32" t="str">
        <f>IF(OR((ROW()-1)&lt;8,'实盘净值数据(iFinD公式)'!$A44="",'实盘净值数据(iFinD公式)'!$B44=""),"",SUMPRODUCT(实盘持仓配置!$B$9:$X$9,'实盘净值数据(iFinD公式)'!$B44:$X44/'实盘净值数据(iFinD公式)'!$B$8:$X$8)*(1-实盘持仓配置!$Z$9)^(((ROW()-1)-8)/说明!$C$17))</f>
        <v/>
      </c>
      <c r="R44" s="7">
        <f>IF(OR(Q43="",'实盘净值数据(iFinD公式)'!$A44="",'实盘净值数据(iFinD公式)'!$B44=""),"",SUMPRODUCT(实盘持仓配置!$B$9:$X$9,'实盘净值数据(iFinD公式)'!$B43:$X43/'实盘净值数据(iFinD公式)'!$B$8:$X$8,'实盘净值数据(iFinD公式)'!$B44:$X44/'实盘净值数据(iFinD公式)'!$B43:$X43)/SUMPRODUCT(实盘持仓配置!$B$9:$X$9,'实盘净值数据(iFinD公式)'!$B43:$X43/'实盘净值数据(iFinD公式)'!$B$8:$X$8)-1)</f>
      </c>
      <c r="S44" s="7" t="str">
        <f>IF(Q44="","",Q44/MAX(Q$5:Q44)-1)</f>
        <v/>
      </c>
    </row>
    <row r="45" spans="1:19" x14ac:dyDescent="0.25">
      <c r="A45" s="33" t="str">
        <f>IF('实盘净值数据(iFinD公式)'!A45="","",'实盘净值数据(iFinD公式)'!A45)</f>
        <v/>
      </c>
      <c r="B45" s="32" t="str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(ROW()-1)-6)/说明!$C$17))</f>
        <v/>
      </c>
      <c r="C45" s="7">
        <f>IF(OR(B44="",'实盘净值数据(iFinD公式)'!$A45="",'实盘净值数据(iFinD公式)'!$B45=""),"",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-1)</f>
      </c>
      <c r="D45" s="7" t="str">
        <f>IF(B45="","",B45/MAX(B$5:B45)-1)</f>
        <v/>
      </c>
      <c r="E45" s="32" t="str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(ROW()-1)-5)/说明!$C$17))</f>
        <v/>
      </c>
      <c r="F45" s="7">
        <f>IF(OR(E44="",'实盘净值数据(iFinD公式)'!$A45="",'实盘净值数据(iFinD公式)'!$B45=""),"",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-1)</f>
      </c>
      <c r="G45" s="7" t="str">
        <f>IF(E45="","",E45/MAX(E$5:E45)-1)</f>
        <v/>
      </c>
      <c r="H45" s="32" t="str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(ROW()-1)-7)/说明!$C$17))</f>
        <v/>
      </c>
      <c r="I45" s="7">
        <f>IF(OR(H44="",'实盘净值数据(iFinD公式)'!$A45="",'实盘净值数据(iFinD公式)'!$B45=""),"",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-1)</f>
      </c>
      <c r="J45" s="7" t="str">
        <f>IF(H45="","",H45/MAX(H$5:H45)-1)</f>
        <v/>
      </c>
      <c r="K45" s="32" t="str">
        <f>IF(OR((ROW()-1)&lt;8,'实盘净值数据(iFinD公式)'!$A45="",'实盘净值数据(iFinD公式)'!$B45=""),"",SUMPRODUCT(实盘持仓配置!$B$7:$X$7,'实盘净值数据(iFinD公式)'!$B45:$X45/'实盘净值数据(iFinD公式)'!$B$8:$X$8)*(1-实盘持仓配置!$Z$7)^(((ROW()-1)-8)/说明!$C$17))</f>
        <v/>
      </c>
      <c r="L45" s="7">
        <f>IF(OR(K44="",'实盘净值数据(iFinD公式)'!$A45="",'实盘净值数据(iFinD公式)'!$B45=""),"",SUMPRODUCT(实盘持仓配置!$B$7:$X$7,'实盘净值数据(iFinD公式)'!$B44:$X44/'实盘净值数据(iFinD公式)'!$B$8:$X$8,'实盘净值数据(iFinD公式)'!$B45:$X45/'实盘净值数据(iFinD公式)'!$B44:$X44)/SUMPRODUCT(实盘持仓配置!$B$7:$X$7,'实盘净值数据(iFinD公式)'!$B44:$X44/'实盘净值数据(iFinD公式)'!$B$8:$X$8)-1)</f>
      </c>
      <c r="M45" s="7" t="str">
        <f>IF(K45="","",K45/MAX(K$5:K45)-1)</f>
        <v/>
      </c>
      <c r="N45" s="32" t="str">
        <f>IF(OR((ROW()-1)&lt;5,'实盘净值数据(iFinD公式)'!$A45="",'实盘净值数据(iFinD公式)'!$B45=""),"",SUMPRODUCT(实盘持仓配置!$B$8:$X$8,'实盘净值数据(iFinD公式)'!$B45:$X45/'实盘净值数据(iFinD公式)'!$B$5:$X$5)*(1-实盘持仓配置!$Z$8)^(((ROW()-1)-5)/说明!$C$17))</f>
        <v/>
      </c>
      <c r="O45" s="7">
        <f>IF(OR(N44="",'实盘净值数据(iFinD公式)'!$A45="",'实盘净值数据(iFinD公式)'!$B45=""),"",SUMPRODUCT(实盘持仓配置!$B$8:$X$8,'实盘净值数据(iFinD公式)'!$B44:$X44/'实盘净值数据(iFinD公式)'!$B$5:$X$5,'实盘净值数据(iFinD公式)'!$B45:$X45/'实盘净值数据(iFinD公式)'!$B44:$X44)/SUMPRODUCT(实盘持仓配置!$B$8:$X$8,'实盘净值数据(iFinD公式)'!$B44:$X44/'实盘净值数据(iFinD公式)'!$B$5:$X$5)-1)</f>
      </c>
      <c r="P45" s="7" t="str">
        <f>IF(N45="","",N45/MAX(N$5:N45)-1)</f>
        <v/>
      </c>
      <c r="Q45" s="32" t="str">
        <f>IF(OR((ROW()-1)&lt;8,'实盘净值数据(iFinD公式)'!$A45="",'实盘净值数据(iFinD公式)'!$B45=""),"",SUMPRODUCT(实盘持仓配置!$B$9:$X$9,'实盘净值数据(iFinD公式)'!$B45:$X45/'实盘净值数据(iFinD公式)'!$B$8:$X$8)*(1-实盘持仓配置!$Z$9)^(((ROW()-1)-8)/说明!$C$17))</f>
        <v/>
      </c>
      <c r="R45" s="7">
        <f>IF(OR(Q44="",'实盘净值数据(iFinD公式)'!$A45="",'实盘净值数据(iFinD公式)'!$B45=""),"",SUMPRODUCT(实盘持仓配置!$B$9:$X$9,'实盘净值数据(iFinD公式)'!$B44:$X44/'实盘净值数据(iFinD公式)'!$B$8:$X$8,'实盘净值数据(iFinD公式)'!$B45:$X45/'实盘净值数据(iFinD公式)'!$B44:$X44)/SUMPRODUCT(实盘持仓配置!$B$9:$X$9,'实盘净值数据(iFinD公式)'!$B44:$X44/'实盘净值数据(iFinD公式)'!$B$8:$X$8)-1)</f>
      </c>
      <c r="S45" s="7" t="str">
        <f>IF(Q45="","",Q45/MAX(Q$5:Q45)-1)</f>
        <v/>
      </c>
    </row>
    <row r="46" spans="1:19" x14ac:dyDescent="0.25">
      <c r="A46" s="33" t="str">
        <f>IF('实盘净值数据(iFinD公式)'!A46="","",'实盘净值数据(iFinD公式)'!A46)</f>
        <v/>
      </c>
      <c r="B46" s="32" t="str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(ROW()-1)-6)/说明!$C$17))</f>
        <v/>
      </c>
      <c r="C46" s="7">
        <f>IF(OR(B45="",'实盘净值数据(iFinD公式)'!$A46="",'实盘净值数据(iFinD公式)'!$B46=""),"",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-1)</f>
      </c>
      <c r="D46" s="7" t="str">
        <f>IF(B46="","",B46/MAX(B$5:B46)-1)</f>
        <v/>
      </c>
      <c r="E46" s="32" t="str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(ROW()-1)-5)/说明!$C$17))</f>
        <v/>
      </c>
      <c r="F46" s="7">
        <f>IF(OR(E45="",'实盘净值数据(iFinD公式)'!$A46="",'实盘净值数据(iFinD公式)'!$B46=""),"",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-1)</f>
      </c>
      <c r="G46" s="7" t="str">
        <f>IF(E46="","",E46/MAX(E$5:E46)-1)</f>
        <v/>
      </c>
      <c r="H46" s="32" t="str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(ROW()-1)-7)/说明!$C$17))</f>
        <v/>
      </c>
      <c r="I46" s="7">
        <f>IF(OR(H45="",'实盘净值数据(iFinD公式)'!$A46="",'实盘净值数据(iFinD公式)'!$B46=""),"",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-1)</f>
      </c>
      <c r="J46" s="7" t="str">
        <f>IF(H46="","",H46/MAX(H$5:H46)-1)</f>
        <v/>
      </c>
      <c r="K46" s="32" t="str">
        <f>IF(OR((ROW()-1)&lt;8,'实盘净值数据(iFinD公式)'!$A46="",'实盘净值数据(iFinD公式)'!$B46=""),"",SUMPRODUCT(实盘持仓配置!$B$7:$X$7,'实盘净值数据(iFinD公式)'!$B46:$X46/'实盘净值数据(iFinD公式)'!$B$8:$X$8)*(1-实盘持仓配置!$Z$7)^(((ROW()-1)-8)/说明!$C$17))</f>
        <v/>
      </c>
      <c r="L46" s="7">
        <f>IF(OR(K45="",'实盘净值数据(iFinD公式)'!$A46="",'实盘净值数据(iFinD公式)'!$B46=""),"",SUMPRODUCT(实盘持仓配置!$B$7:$X$7,'实盘净值数据(iFinD公式)'!$B45:$X45/'实盘净值数据(iFinD公式)'!$B$8:$X$8,'实盘净值数据(iFinD公式)'!$B46:$X46/'实盘净值数据(iFinD公式)'!$B45:$X45)/SUMPRODUCT(实盘持仓配置!$B$7:$X$7,'实盘净值数据(iFinD公式)'!$B45:$X45/'实盘净值数据(iFinD公式)'!$B$8:$X$8)-1)</f>
      </c>
      <c r="M46" s="7" t="str">
        <f>IF(K46="","",K46/MAX(K$5:K46)-1)</f>
        <v/>
      </c>
      <c r="N46" s="32" t="str">
        <f>IF(OR((ROW()-1)&lt;5,'实盘净值数据(iFinD公式)'!$A46="",'实盘净值数据(iFinD公式)'!$B46=""),"",SUMPRODUCT(实盘持仓配置!$B$8:$X$8,'实盘净值数据(iFinD公式)'!$B46:$X46/'实盘净值数据(iFinD公式)'!$B$5:$X$5)*(1-实盘持仓配置!$Z$8)^(((ROW()-1)-5)/说明!$C$17))</f>
        <v/>
      </c>
      <c r="O46" s="7">
        <f>IF(OR(N45="",'实盘净值数据(iFinD公式)'!$A46="",'实盘净值数据(iFinD公式)'!$B46=""),"",SUMPRODUCT(实盘持仓配置!$B$8:$X$8,'实盘净值数据(iFinD公式)'!$B45:$X45/'实盘净值数据(iFinD公式)'!$B$5:$X$5,'实盘净值数据(iFinD公式)'!$B46:$X46/'实盘净值数据(iFinD公式)'!$B45:$X45)/SUMPRODUCT(实盘持仓配置!$B$8:$X$8,'实盘净值数据(iFinD公式)'!$B45:$X45/'实盘净值数据(iFinD公式)'!$B$5:$X$5)-1)</f>
      </c>
      <c r="P46" s="7" t="str">
        <f>IF(N46="","",N46/MAX(N$5:N46)-1)</f>
        <v/>
      </c>
      <c r="Q46" s="32" t="str">
        <f>IF(OR((ROW()-1)&lt;8,'实盘净值数据(iFinD公式)'!$A46="",'实盘净值数据(iFinD公式)'!$B46=""),"",SUMPRODUCT(实盘持仓配置!$B$9:$X$9,'实盘净值数据(iFinD公式)'!$B46:$X46/'实盘净值数据(iFinD公式)'!$B$8:$X$8)*(1-实盘持仓配置!$Z$9)^(((ROW()-1)-8)/说明!$C$17))</f>
        <v/>
      </c>
      <c r="R46" s="7">
        <f>IF(OR(Q45="",'实盘净值数据(iFinD公式)'!$A46="",'实盘净值数据(iFinD公式)'!$B46=""),"",SUMPRODUCT(实盘持仓配置!$B$9:$X$9,'实盘净值数据(iFinD公式)'!$B45:$X45/'实盘净值数据(iFinD公式)'!$B$8:$X$8,'实盘净值数据(iFinD公式)'!$B46:$X46/'实盘净值数据(iFinD公式)'!$B45:$X45)/SUMPRODUCT(实盘持仓配置!$B$9:$X$9,'实盘净值数据(iFinD公式)'!$B45:$X45/'实盘净值数据(iFinD公式)'!$B$8:$X$8)-1)</f>
      </c>
      <c r="S46" s="7" t="str">
        <f>IF(Q46="","",Q46/MAX(Q$5:Q46)-1)</f>
        <v/>
      </c>
    </row>
    <row r="47" spans="1:19" x14ac:dyDescent="0.25">
      <c r="A47" s="33" t="str">
        <f>IF('实盘净值数据(iFinD公式)'!A47="","",'实盘净值数据(iFinD公式)'!A47)</f>
        <v/>
      </c>
      <c r="B47" s="32" t="str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(ROW()-1)-6)/说明!$C$17))</f>
        <v/>
      </c>
      <c r="C47" s="7">
        <f>IF(OR(B46="",'实盘净值数据(iFinD公式)'!$A47="",'实盘净值数据(iFinD公式)'!$B47=""),"",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-1)</f>
      </c>
      <c r="D47" s="7" t="str">
        <f>IF(B47="","",B47/MAX(B$5:B47)-1)</f>
        <v/>
      </c>
      <c r="E47" s="32" t="str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(ROW()-1)-5)/说明!$C$17))</f>
        <v/>
      </c>
      <c r="F47" s="7">
        <f>IF(OR(E46="",'实盘净值数据(iFinD公式)'!$A47="",'实盘净值数据(iFinD公式)'!$B47=""),"",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-1)</f>
      </c>
      <c r="G47" s="7" t="str">
        <f>IF(E47="","",E47/MAX(E$5:E47)-1)</f>
        <v/>
      </c>
      <c r="H47" s="32" t="str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(ROW()-1)-7)/说明!$C$17))</f>
        <v/>
      </c>
      <c r="I47" s="7">
        <f>IF(OR(H46="",'实盘净值数据(iFinD公式)'!$A47="",'实盘净值数据(iFinD公式)'!$B47=""),"",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-1)</f>
      </c>
      <c r="J47" s="7" t="str">
        <f>IF(H47="","",H47/MAX(H$5:H47)-1)</f>
        <v/>
      </c>
      <c r="K47" s="32" t="str">
        <f>IF(OR((ROW()-1)&lt;8,'实盘净值数据(iFinD公式)'!$A47="",'实盘净值数据(iFinD公式)'!$B47=""),"",SUMPRODUCT(实盘持仓配置!$B$7:$X$7,'实盘净值数据(iFinD公式)'!$B47:$X47/'实盘净值数据(iFinD公式)'!$B$8:$X$8)*(1-实盘持仓配置!$Z$7)^(((ROW()-1)-8)/说明!$C$17))</f>
        <v/>
      </c>
      <c r="L47" s="7">
        <f>IF(OR(K46="",'实盘净值数据(iFinD公式)'!$A47="",'实盘净值数据(iFinD公式)'!$B47=""),"",SUMPRODUCT(实盘持仓配置!$B$7:$X$7,'实盘净值数据(iFinD公式)'!$B46:$X46/'实盘净值数据(iFinD公式)'!$B$8:$X$8,'实盘净值数据(iFinD公式)'!$B47:$X47/'实盘净值数据(iFinD公式)'!$B46:$X46)/SUMPRODUCT(实盘持仓配置!$B$7:$X$7,'实盘净值数据(iFinD公式)'!$B46:$X46/'实盘净值数据(iFinD公式)'!$B$8:$X$8)-1)</f>
      </c>
      <c r="M47" s="7" t="str">
        <f>IF(K47="","",K47/MAX(K$5:K47)-1)</f>
        <v/>
      </c>
      <c r="N47" s="32" t="str">
        <f>IF(OR((ROW()-1)&lt;5,'实盘净值数据(iFinD公式)'!$A47="",'实盘净值数据(iFinD公式)'!$B47=""),"",SUMPRODUCT(实盘持仓配置!$B$8:$X$8,'实盘净值数据(iFinD公式)'!$B47:$X47/'实盘净值数据(iFinD公式)'!$B$5:$X$5)*(1-实盘持仓配置!$Z$8)^(((ROW()-1)-5)/说明!$C$17))</f>
        <v/>
      </c>
      <c r="O47" s="7">
        <f>IF(OR(N46="",'实盘净值数据(iFinD公式)'!$A47="",'实盘净值数据(iFinD公式)'!$B47=""),"",SUMPRODUCT(实盘持仓配置!$B$8:$X$8,'实盘净值数据(iFinD公式)'!$B46:$X46/'实盘净值数据(iFinD公式)'!$B$5:$X$5,'实盘净值数据(iFinD公式)'!$B47:$X47/'实盘净值数据(iFinD公式)'!$B46:$X46)/SUMPRODUCT(实盘持仓配置!$B$8:$X$8,'实盘净值数据(iFinD公式)'!$B46:$X46/'实盘净值数据(iFinD公式)'!$B$5:$X$5)-1)</f>
      </c>
      <c r="P47" s="7" t="str">
        <f>IF(N47="","",N47/MAX(N$5:N47)-1)</f>
        <v/>
      </c>
      <c r="Q47" s="32" t="str">
        <f>IF(OR((ROW()-1)&lt;8,'实盘净值数据(iFinD公式)'!$A47="",'实盘净值数据(iFinD公式)'!$B47=""),"",SUMPRODUCT(实盘持仓配置!$B$9:$X$9,'实盘净值数据(iFinD公式)'!$B47:$X47/'实盘净值数据(iFinD公式)'!$B$8:$X$8)*(1-实盘持仓配置!$Z$9)^(((ROW()-1)-8)/说明!$C$17))</f>
        <v/>
      </c>
      <c r="R47" s="7">
        <f>IF(OR(Q46="",'实盘净值数据(iFinD公式)'!$A47="",'实盘净值数据(iFinD公式)'!$B47=""),"",SUMPRODUCT(实盘持仓配置!$B$9:$X$9,'实盘净值数据(iFinD公式)'!$B46:$X46/'实盘净值数据(iFinD公式)'!$B$8:$X$8,'实盘净值数据(iFinD公式)'!$B47:$X47/'实盘净值数据(iFinD公式)'!$B46:$X46)/SUMPRODUCT(实盘持仓配置!$B$9:$X$9,'实盘净值数据(iFinD公式)'!$B46:$X46/'实盘净值数据(iFinD公式)'!$B$8:$X$8)-1)</f>
      </c>
      <c r="S47" s="7" t="str">
        <f>IF(Q47="","",Q47/MAX(Q$5:Q47)-1)</f>
        <v/>
      </c>
    </row>
    <row r="48" spans="1:19" x14ac:dyDescent="0.25">
      <c r="A48" s="33" t="str">
        <f>IF('实盘净值数据(iFinD公式)'!A48="","",'实盘净值数据(iFinD公式)'!A48)</f>
        <v/>
      </c>
      <c r="B48" s="32" t="str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(ROW()-1)-6)/说明!$C$17))</f>
        <v/>
      </c>
      <c r="C48" s="7">
        <f>IF(OR(B47="",'实盘净值数据(iFinD公式)'!$A48="",'实盘净值数据(iFinD公式)'!$B48=""),"",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-1)</f>
      </c>
      <c r="D48" s="7" t="str">
        <f>IF(B48="","",B48/MAX(B$5:B48)-1)</f>
        <v/>
      </c>
      <c r="E48" s="32" t="str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(ROW()-1)-5)/说明!$C$17))</f>
        <v/>
      </c>
      <c r="F48" s="7">
        <f>IF(OR(E47="",'实盘净值数据(iFinD公式)'!$A48="",'实盘净值数据(iFinD公式)'!$B48=""),"",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-1)</f>
      </c>
      <c r="G48" s="7" t="str">
        <f>IF(E48="","",E48/MAX(E$5:E48)-1)</f>
        <v/>
      </c>
      <c r="H48" s="32" t="str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(ROW()-1)-7)/说明!$C$17))</f>
        <v/>
      </c>
      <c r="I48" s="7">
        <f>IF(OR(H47="",'实盘净值数据(iFinD公式)'!$A48="",'实盘净值数据(iFinD公式)'!$B48=""),"",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-1)</f>
      </c>
      <c r="J48" s="7" t="str">
        <f>IF(H48="","",H48/MAX(H$5:H48)-1)</f>
        <v/>
      </c>
      <c r="K48" s="32" t="str">
        <f>IF(OR((ROW()-1)&lt;8,'实盘净值数据(iFinD公式)'!$A48="",'实盘净值数据(iFinD公式)'!$B48=""),"",SUMPRODUCT(实盘持仓配置!$B$7:$X$7,'实盘净值数据(iFinD公式)'!$B48:$X48/'实盘净值数据(iFinD公式)'!$B$8:$X$8)*(1-实盘持仓配置!$Z$7)^(((ROW()-1)-8)/说明!$C$17))</f>
        <v/>
      </c>
      <c r="L48" s="7">
        <f>IF(OR(K47="",'实盘净值数据(iFinD公式)'!$A48="",'实盘净值数据(iFinD公式)'!$B48=""),"",SUMPRODUCT(实盘持仓配置!$B$7:$X$7,'实盘净值数据(iFinD公式)'!$B47:$X47/'实盘净值数据(iFinD公式)'!$B$8:$X$8,'实盘净值数据(iFinD公式)'!$B48:$X48/'实盘净值数据(iFinD公式)'!$B47:$X47)/SUMPRODUCT(实盘持仓配置!$B$7:$X$7,'实盘净值数据(iFinD公式)'!$B47:$X47/'实盘净值数据(iFinD公式)'!$B$8:$X$8)-1)</f>
      </c>
      <c r="M48" s="7" t="str">
        <f>IF(K48="","",K48/MAX(K$5:K48)-1)</f>
        <v/>
      </c>
      <c r="N48" s="32" t="str">
        <f>IF(OR((ROW()-1)&lt;5,'实盘净值数据(iFinD公式)'!$A48="",'实盘净值数据(iFinD公式)'!$B48=""),"",SUMPRODUCT(实盘持仓配置!$B$8:$X$8,'实盘净值数据(iFinD公式)'!$B48:$X48/'实盘净值数据(iFinD公式)'!$B$5:$X$5)*(1-实盘持仓配置!$Z$8)^(((ROW()-1)-5)/说明!$C$17))</f>
        <v/>
      </c>
      <c r="O48" s="7">
        <f>IF(OR(N47="",'实盘净值数据(iFinD公式)'!$A48="",'实盘净值数据(iFinD公式)'!$B48=""),"",SUMPRODUCT(实盘持仓配置!$B$8:$X$8,'实盘净值数据(iFinD公式)'!$B47:$X47/'实盘净值数据(iFinD公式)'!$B$5:$X$5,'实盘净值数据(iFinD公式)'!$B48:$X48/'实盘净值数据(iFinD公式)'!$B47:$X47)/SUMPRODUCT(实盘持仓配置!$B$8:$X$8,'实盘净值数据(iFinD公式)'!$B47:$X47/'实盘净值数据(iFinD公式)'!$B$5:$X$5)-1)</f>
      </c>
      <c r="P48" s="7" t="str">
        <f>IF(N48="","",N48/MAX(N$5:N48)-1)</f>
        <v/>
      </c>
      <c r="Q48" s="32" t="str">
        <f>IF(OR((ROW()-1)&lt;8,'实盘净值数据(iFinD公式)'!$A48="",'实盘净值数据(iFinD公式)'!$B48=""),"",SUMPRODUCT(实盘持仓配置!$B$9:$X$9,'实盘净值数据(iFinD公式)'!$B48:$X48/'实盘净值数据(iFinD公式)'!$B$8:$X$8)*(1-实盘持仓配置!$Z$9)^(((ROW()-1)-8)/说明!$C$17))</f>
        <v/>
      </c>
      <c r="R48" s="7">
        <f>IF(OR(Q47="",'实盘净值数据(iFinD公式)'!$A48="",'实盘净值数据(iFinD公式)'!$B48=""),"",SUMPRODUCT(实盘持仓配置!$B$9:$X$9,'实盘净值数据(iFinD公式)'!$B47:$X47/'实盘净值数据(iFinD公式)'!$B$8:$X$8,'实盘净值数据(iFinD公式)'!$B48:$X48/'实盘净值数据(iFinD公式)'!$B47:$X47)/SUMPRODUCT(实盘持仓配置!$B$9:$X$9,'实盘净值数据(iFinD公式)'!$B47:$X47/'实盘净值数据(iFinD公式)'!$B$8:$X$8)-1)</f>
      </c>
      <c r="S48" s="7" t="str">
        <f>IF(Q48="","",Q48/MAX(Q$5:Q48)-1)</f>
        <v/>
      </c>
    </row>
    <row r="49" spans="1:19" x14ac:dyDescent="0.25">
      <c r="A49" s="33" t="str">
        <f>IF('实盘净值数据(iFinD公式)'!A49="","",'实盘净值数据(iFinD公式)'!A49)</f>
        <v/>
      </c>
      <c r="B49" s="32" t="str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(ROW()-1)-6)/说明!$C$17))</f>
        <v/>
      </c>
      <c r="C49" s="7">
        <f>IF(OR(B48="",'实盘净值数据(iFinD公式)'!$A49="",'实盘净值数据(iFinD公式)'!$B49=""),"",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-1)</f>
      </c>
      <c r="D49" s="7" t="str">
        <f>IF(B49="","",B49/MAX(B$5:B49)-1)</f>
        <v/>
      </c>
      <c r="E49" s="32" t="str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(ROW()-1)-5)/说明!$C$17))</f>
        <v/>
      </c>
      <c r="F49" s="7">
        <f>IF(OR(E48="",'实盘净值数据(iFinD公式)'!$A49="",'实盘净值数据(iFinD公式)'!$B49=""),"",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-1)</f>
      </c>
      <c r="G49" s="7" t="str">
        <f>IF(E49="","",E49/MAX(E$5:E49)-1)</f>
        <v/>
      </c>
      <c r="H49" s="32" t="str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(ROW()-1)-7)/说明!$C$17))</f>
        <v/>
      </c>
      <c r="I49" s="7">
        <f>IF(OR(H48="",'实盘净值数据(iFinD公式)'!$A49="",'实盘净值数据(iFinD公式)'!$B49=""),"",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-1)</f>
      </c>
      <c r="J49" s="7" t="str">
        <f>IF(H49="","",H49/MAX(H$5:H49)-1)</f>
        <v/>
      </c>
      <c r="K49" s="32" t="str">
        <f>IF(OR((ROW()-1)&lt;8,'实盘净值数据(iFinD公式)'!$A49="",'实盘净值数据(iFinD公式)'!$B49=""),"",SUMPRODUCT(实盘持仓配置!$B$7:$X$7,'实盘净值数据(iFinD公式)'!$B49:$X49/'实盘净值数据(iFinD公式)'!$B$8:$X$8)*(1-实盘持仓配置!$Z$7)^(((ROW()-1)-8)/说明!$C$17))</f>
        <v/>
      </c>
      <c r="L49" s="7">
        <f>IF(OR(K48="",'实盘净值数据(iFinD公式)'!$A49="",'实盘净值数据(iFinD公式)'!$B49=""),"",SUMPRODUCT(实盘持仓配置!$B$7:$X$7,'实盘净值数据(iFinD公式)'!$B48:$X48/'实盘净值数据(iFinD公式)'!$B$8:$X$8,'实盘净值数据(iFinD公式)'!$B49:$X49/'实盘净值数据(iFinD公式)'!$B48:$X48)/SUMPRODUCT(实盘持仓配置!$B$7:$X$7,'实盘净值数据(iFinD公式)'!$B48:$X48/'实盘净值数据(iFinD公式)'!$B$8:$X$8)-1)</f>
      </c>
      <c r="M49" s="7" t="str">
        <f>IF(K49="","",K49/MAX(K$5:K49)-1)</f>
        <v/>
      </c>
      <c r="N49" s="32" t="str">
        <f>IF(OR((ROW()-1)&lt;5,'实盘净值数据(iFinD公式)'!$A49="",'实盘净值数据(iFinD公式)'!$B49=""),"",SUMPRODUCT(实盘持仓配置!$B$8:$X$8,'实盘净值数据(iFinD公式)'!$B49:$X49/'实盘净值数据(iFinD公式)'!$B$5:$X$5)*(1-实盘持仓配置!$Z$8)^(((ROW()-1)-5)/说明!$C$17))</f>
        <v/>
      </c>
      <c r="O49" s="7">
        <f>IF(OR(N48="",'实盘净值数据(iFinD公式)'!$A49="",'实盘净值数据(iFinD公式)'!$B49=""),"",SUMPRODUCT(实盘持仓配置!$B$8:$X$8,'实盘净值数据(iFinD公式)'!$B48:$X48/'实盘净值数据(iFinD公式)'!$B$5:$X$5,'实盘净值数据(iFinD公式)'!$B49:$X49/'实盘净值数据(iFinD公式)'!$B48:$X48)/SUMPRODUCT(实盘持仓配置!$B$8:$X$8,'实盘净值数据(iFinD公式)'!$B48:$X48/'实盘净值数据(iFinD公式)'!$B$5:$X$5)-1)</f>
      </c>
      <c r="P49" s="7" t="str">
        <f>IF(N49="","",N49/MAX(N$5:N49)-1)</f>
        <v/>
      </c>
      <c r="Q49" s="32" t="str">
        <f>IF(OR((ROW()-1)&lt;8,'实盘净值数据(iFinD公式)'!$A49="",'实盘净值数据(iFinD公式)'!$B49=""),"",SUMPRODUCT(实盘持仓配置!$B$9:$X$9,'实盘净值数据(iFinD公式)'!$B49:$X49/'实盘净值数据(iFinD公式)'!$B$8:$X$8)*(1-实盘持仓配置!$Z$9)^(((ROW()-1)-8)/说明!$C$17))</f>
        <v/>
      </c>
      <c r="R49" s="7">
        <f>IF(OR(Q48="",'实盘净值数据(iFinD公式)'!$A49="",'实盘净值数据(iFinD公式)'!$B49=""),"",SUMPRODUCT(实盘持仓配置!$B$9:$X$9,'实盘净值数据(iFinD公式)'!$B48:$X48/'实盘净值数据(iFinD公式)'!$B$8:$X$8,'实盘净值数据(iFinD公式)'!$B49:$X49/'实盘净值数据(iFinD公式)'!$B48:$X48)/SUMPRODUCT(实盘持仓配置!$B$9:$X$9,'实盘净值数据(iFinD公式)'!$B48:$X48/'实盘净值数据(iFinD公式)'!$B$8:$X$8)-1)</f>
      </c>
      <c r="S49" s="7" t="str">
        <f>IF(Q49="","",Q49/MAX(Q$5:Q49)-1)</f>
        <v/>
      </c>
    </row>
    <row r="50" spans="1:19" x14ac:dyDescent="0.25">
      <c r="A50" s="33" t="str">
        <f>IF('实盘净值数据(iFinD公式)'!A50="","",'实盘净值数据(iFinD公式)'!A50)</f>
        <v/>
      </c>
      <c r="B50" s="32" t="str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(ROW()-1)-6)/说明!$C$17))</f>
        <v/>
      </c>
      <c r="C50" s="7">
        <f>IF(OR(B49="",'实盘净值数据(iFinD公式)'!$A50="",'实盘净值数据(iFinD公式)'!$B50=""),"",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-1)</f>
      </c>
      <c r="D50" s="7" t="str">
        <f>IF(B50="","",B50/MAX(B$5:B50)-1)</f>
        <v/>
      </c>
      <c r="E50" s="32" t="str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(ROW()-1)-5)/说明!$C$17))</f>
        <v/>
      </c>
      <c r="F50" s="7">
        <f>IF(OR(E49="",'实盘净值数据(iFinD公式)'!$A50="",'实盘净值数据(iFinD公式)'!$B50=""),"",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-1)</f>
      </c>
      <c r="G50" s="7" t="str">
        <f>IF(E50="","",E50/MAX(E$5:E50)-1)</f>
        <v/>
      </c>
      <c r="H50" s="32" t="str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(ROW()-1)-7)/说明!$C$17))</f>
        <v/>
      </c>
      <c r="I50" s="7">
        <f>IF(OR(H49="",'实盘净值数据(iFinD公式)'!$A50="",'实盘净值数据(iFinD公式)'!$B50=""),"",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-1)</f>
      </c>
      <c r="J50" s="7" t="str">
        <f>IF(H50="","",H50/MAX(H$5:H50)-1)</f>
        <v/>
      </c>
      <c r="K50" s="32" t="str">
        <f>IF(OR((ROW()-1)&lt;8,'实盘净值数据(iFinD公式)'!$A50="",'实盘净值数据(iFinD公式)'!$B50=""),"",SUMPRODUCT(实盘持仓配置!$B$7:$X$7,'实盘净值数据(iFinD公式)'!$B50:$X50/'实盘净值数据(iFinD公式)'!$B$8:$X$8)*(1-实盘持仓配置!$Z$7)^(((ROW()-1)-8)/说明!$C$17))</f>
        <v/>
      </c>
      <c r="L50" s="7">
        <f>IF(OR(K49="",'实盘净值数据(iFinD公式)'!$A50="",'实盘净值数据(iFinD公式)'!$B50=""),"",SUMPRODUCT(实盘持仓配置!$B$7:$X$7,'实盘净值数据(iFinD公式)'!$B49:$X49/'实盘净值数据(iFinD公式)'!$B$8:$X$8,'实盘净值数据(iFinD公式)'!$B50:$X50/'实盘净值数据(iFinD公式)'!$B49:$X49)/SUMPRODUCT(实盘持仓配置!$B$7:$X$7,'实盘净值数据(iFinD公式)'!$B49:$X49/'实盘净值数据(iFinD公式)'!$B$8:$X$8)-1)</f>
      </c>
      <c r="M50" s="7" t="str">
        <f>IF(K50="","",K50/MAX(K$5:K50)-1)</f>
        <v/>
      </c>
      <c r="N50" s="32" t="str">
        <f>IF(OR((ROW()-1)&lt;5,'实盘净值数据(iFinD公式)'!$A50="",'实盘净值数据(iFinD公式)'!$B50=""),"",SUMPRODUCT(实盘持仓配置!$B$8:$X$8,'实盘净值数据(iFinD公式)'!$B50:$X50/'实盘净值数据(iFinD公式)'!$B$5:$X$5)*(1-实盘持仓配置!$Z$8)^(((ROW()-1)-5)/说明!$C$17))</f>
        <v/>
      </c>
      <c r="O50" s="7">
        <f>IF(OR(N49="",'实盘净值数据(iFinD公式)'!$A50="",'实盘净值数据(iFinD公式)'!$B50=""),"",SUMPRODUCT(实盘持仓配置!$B$8:$X$8,'实盘净值数据(iFinD公式)'!$B49:$X49/'实盘净值数据(iFinD公式)'!$B$5:$X$5,'实盘净值数据(iFinD公式)'!$B50:$X50/'实盘净值数据(iFinD公式)'!$B49:$X49)/SUMPRODUCT(实盘持仓配置!$B$8:$X$8,'实盘净值数据(iFinD公式)'!$B49:$X49/'实盘净值数据(iFinD公式)'!$B$5:$X$5)-1)</f>
      </c>
      <c r="P50" s="7" t="str">
        <f>IF(N50="","",N50/MAX(N$5:N50)-1)</f>
        <v/>
      </c>
      <c r="Q50" s="32" t="str">
        <f>IF(OR((ROW()-1)&lt;8,'实盘净值数据(iFinD公式)'!$A50="",'实盘净值数据(iFinD公式)'!$B50=""),"",SUMPRODUCT(实盘持仓配置!$B$9:$X$9,'实盘净值数据(iFinD公式)'!$B50:$X50/'实盘净值数据(iFinD公式)'!$B$8:$X$8)*(1-实盘持仓配置!$Z$9)^(((ROW()-1)-8)/说明!$C$17))</f>
        <v/>
      </c>
      <c r="R50" s="7">
        <f>IF(OR(Q49="",'实盘净值数据(iFinD公式)'!$A50="",'实盘净值数据(iFinD公式)'!$B50=""),"",SUMPRODUCT(实盘持仓配置!$B$9:$X$9,'实盘净值数据(iFinD公式)'!$B49:$X49/'实盘净值数据(iFinD公式)'!$B$8:$X$8,'实盘净值数据(iFinD公式)'!$B50:$X50/'实盘净值数据(iFinD公式)'!$B49:$X49)/SUMPRODUCT(实盘持仓配置!$B$9:$X$9,'实盘净值数据(iFinD公式)'!$B49:$X49/'实盘净值数据(iFinD公式)'!$B$8:$X$8)-1)</f>
      </c>
      <c r="S50" s="7" t="str">
        <f>IF(Q50="","",Q50/MAX(Q$5:Q50)-1)</f>
        <v/>
      </c>
    </row>
    <row r="51" spans="1:19" x14ac:dyDescent="0.25">
      <c r="A51" s="33" t="str">
        <f>IF('实盘净值数据(iFinD公式)'!A51="","",'实盘净值数据(iFinD公式)'!A51)</f>
        <v/>
      </c>
      <c r="B51" s="32" t="str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(ROW()-1)-6)/说明!$C$17))</f>
        <v/>
      </c>
      <c r="C51" s="7">
        <f>IF(OR(B50="",'实盘净值数据(iFinD公式)'!$A51="",'实盘净值数据(iFinD公式)'!$B51=""),"",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-1)</f>
      </c>
      <c r="D51" s="7" t="str">
        <f>IF(B51="","",B51/MAX(B$5:B51)-1)</f>
        <v/>
      </c>
      <c r="E51" s="32" t="str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(ROW()-1)-5)/说明!$C$17))</f>
        <v/>
      </c>
      <c r="F51" s="7">
        <f>IF(OR(E50="",'实盘净值数据(iFinD公式)'!$A51="",'实盘净值数据(iFinD公式)'!$B51=""),"",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-1)</f>
      </c>
      <c r="G51" s="7" t="str">
        <f>IF(E51="","",E51/MAX(E$5:E51)-1)</f>
        <v/>
      </c>
      <c r="H51" s="32" t="str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(ROW()-1)-7)/说明!$C$17))</f>
        <v/>
      </c>
      <c r="I51" s="7">
        <f>IF(OR(H50="",'实盘净值数据(iFinD公式)'!$A51="",'实盘净值数据(iFinD公式)'!$B51=""),"",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-1)</f>
      </c>
      <c r="J51" s="7" t="str">
        <f>IF(H51="","",H51/MAX(H$5:H51)-1)</f>
        <v/>
      </c>
      <c r="K51" s="32" t="str">
        <f>IF(OR((ROW()-1)&lt;8,'实盘净值数据(iFinD公式)'!$A51="",'实盘净值数据(iFinD公式)'!$B51=""),"",SUMPRODUCT(实盘持仓配置!$B$7:$X$7,'实盘净值数据(iFinD公式)'!$B51:$X51/'实盘净值数据(iFinD公式)'!$B$8:$X$8)*(1-实盘持仓配置!$Z$7)^(((ROW()-1)-8)/说明!$C$17))</f>
        <v/>
      </c>
      <c r="L51" s="7">
        <f>IF(OR(K50="",'实盘净值数据(iFinD公式)'!$A51="",'实盘净值数据(iFinD公式)'!$B51=""),"",SUMPRODUCT(实盘持仓配置!$B$7:$X$7,'实盘净值数据(iFinD公式)'!$B50:$X50/'实盘净值数据(iFinD公式)'!$B$8:$X$8,'实盘净值数据(iFinD公式)'!$B51:$X51/'实盘净值数据(iFinD公式)'!$B50:$X50)/SUMPRODUCT(实盘持仓配置!$B$7:$X$7,'实盘净值数据(iFinD公式)'!$B50:$X50/'实盘净值数据(iFinD公式)'!$B$8:$X$8)-1)</f>
      </c>
      <c r="M51" s="7" t="str">
        <f>IF(K51="","",K51/MAX(K$5:K51)-1)</f>
        <v/>
      </c>
      <c r="N51" s="32" t="str">
        <f>IF(OR((ROW()-1)&lt;5,'实盘净值数据(iFinD公式)'!$A51="",'实盘净值数据(iFinD公式)'!$B51=""),"",SUMPRODUCT(实盘持仓配置!$B$8:$X$8,'实盘净值数据(iFinD公式)'!$B51:$X51/'实盘净值数据(iFinD公式)'!$B$5:$X$5)*(1-实盘持仓配置!$Z$8)^(((ROW()-1)-5)/说明!$C$17))</f>
        <v/>
      </c>
      <c r="O51" s="7">
        <f>IF(OR(N50="",'实盘净值数据(iFinD公式)'!$A51="",'实盘净值数据(iFinD公式)'!$B51=""),"",SUMPRODUCT(实盘持仓配置!$B$8:$X$8,'实盘净值数据(iFinD公式)'!$B50:$X50/'实盘净值数据(iFinD公式)'!$B$5:$X$5,'实盘净值数据(iFinD公式)'!$B51:$X51/'实盘净值数据(iFinD公式)'!$B50:$X50)/SUMPRODUCT(实盘持仓配置!$B$8:$X$8,'实盘净值数据(iFinD公式)'!$B50:$X50/'实盘净值数据(iFinD公式)'!$B$5:$X$5)-1)</f>
      </c>
      <c r="P51" s="7" t="str">
        <f>IF(N51="","",N51/MAX(N$5:N51)-1)</f>
        <v/>
      </c>
      <c r="Q51" s="32" t="str">
        <f>IF(OR((ROW()-1)&lt;8,'实盘净值数据(iFinD公式)'!$A51="",'实盘净值数据(iFinD公式)'!$B51=""),"",SUMPRODUCT(实盘持仓配置!$B$9:$X$9,'实盘净值数据(iFinD公式)'!$B51:$X51/'实盘净值数据(iFinD公式)'!$B$8:$X$8)*(1-实盘持仓配置!$Z$9)^(((ROW()-1)-8)/说明!$C$17))</f>
        <v/>
      </c>
      <c r="R51" s="7">
        <f>IF(OR(Q50="",'实盘净值数据(iFinD公式)'!$A51="",'实盘净值数据(iFinD公式)'!$B51=""),"",SUMPRODUCT(实盘持仓配置!$B$9:$X$9,'实盘净值数据(iFinD公式)'!$B50:$X50/'实盘净值数据(iFinD公式)'!$B$8:$X$8,'实盘净值数据(iFinD公式)'!$B51:$X51/'实盘净值数据(iFinD公式)'!$B50:$X50)/SUMPRODUCT(实盘持仓配置!$B$9:$X$9,'实盘净值数据(iFinD公式)'!$B50:$X50/'实盘净值数据(iFinD公式)'!$B$8:$X$8)-1)</f>
      </c>
      <c r="S51" s="7" t="str">
        <f>IF(Q51="","",Q51/MAX(Q$5:Q51)-1)</f>
        <v/>
      </c>
    </row>
    <row r="52" spans="1:19" x14ac:dyDescent="0.25">
      <c r="A52" s="33" t="str">
        <f>IF('实盘净值数据(iFinD公式)'!A52="","",'实盘净值数据(iFinD公式)'!A52)</f>
        <v/>
      </c>
      <c r="B52" s="32" t="str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(ROW()-1)-6)/说明!$C$17))</f>
        <v/>
      </c>
      <c r="C52" s="7">
        <f>IF(OR(B51="",'实盘净值数据(iFinD公式)'!$A52="",'实盘净值数据(iFinD公式)'!$B52=""),"",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-1)</f>
      </c>
      <c r="D52" s="7" t="str">
        <f>IF(B52="","",B52/MAX(B$5:B52)-1)</f>
        <v/>
      </c>
      <c r="E52" s="32" t="str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(ROW()-1)-5)/说明!$C$17))</f>
        <v/>
      </c>
      <c r="F52" s="7">
        <f>IF(OR(E51="",'实盘净值数据(iFinD公式)'!$A52="",'实盘净值数据(iFinD公式)'!$B52=""),"",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-1)</f>
      </c>
      <c r="G52" s="7" t="str">
        <f>IF(E52="","",E52/MAX(E$5:E52)-1)</f>
        <v/>
      </c>
      <c r="H52" s="32" t="str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(ROW()-1)-7)/说明!$C$17))</f>
        <v/>
      </c>
      <c r="I52" s="7">
        <f>IF(OR(H51="",'实盘净值数据(iFinD公式)'!$A52="",'实盘净值数据(iFinD公式)'!$B52=""),"",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-1)</f>
      </c>
      <c r="J52" s="7" t="str">
        <f>IF(H52="","",H52/MAX(H$5:H52)-1)</f>
        <v/>
      </c>
      <c r="K52" s="32" t="str">
        <f>IF(OR((ROW()-1)&lt;8,'实盘净值数据(iFinD公式)'!$A52="",'实盘净值数据(iFinD公式)'!$B52=""),"",SUMPRODUCT(实盘持仓配置!$B$7:$X$7,'实盘净值数据(iFinD公式)'!$B52:$X52/'实盘净值数据(iFinD公式)'!$B$8:$X$8)*(1-实盘持仓配置!$Z$7)^(((ROW()-1)-8)/说明!$C$17))</f>
        <v/>
      </c>
      <c r="L52" s="7">
        <f>IF(OR(K51="",'实盘净值数据(iFinD公式)'!$A52="",'实盘净值数据(iFinD公式)'!$B52=""),"",SUMPRODUCT(实盘持仓配置!$B$7:$X$7,'实盘净值数据(iFinD公式)'!$B51:$X51/'实盘净值数据(iFinD公式)'!$B$8:$X$8,'实盘净值数据(iFinD公式)'!$B52:$X52/'实盘净值数据(iFinD公式)'!$B51:$X51)/SUMPRODUCT(实盘持仓配置!$B$7:$X$7,'实盘净值数据(iFinD公式)'!$B51:$X51/'实盘净值数据(iFinD公式)'!$B$8:$X$8)-1)</f>
      </c>
      <c r="M52" s="7" t="str">
        <f>IF(K52="","",K52/MAX(K$5:K52)-1)</f>
        <v/>
      </c>
      <c r="N52" s="32" t="str">
        <f>IF(OR((ROW()-1)&lt;5,'实盘净值数据(iFinD公式)'!$A52="",'实盘净值数据(iFinD公式)'!$B52=""),"",SUMPRODUCT(实盘持仓配置!$B$8:$X$8,'实盘净值数据(iFinD公式)'!$B52:$X52/'实盘净值数据(iFinD公式)'!$B$5:$X$5)*(1-实盘持仓配置!$Z$8)^(((ROW()-1)-5)/说明!$C$17))</f>
        <v/>
      </c>
      <c r="O52" s="7">
        <f>IF(OR(N51="",'实盘净值数据(iFinD公式)'!$A52="",'实盘净值数据(iFinD公式)'!$B52=""),"",SUMPRODUCT(实盘持仓配置!$B$8:$X$8,'实盘净值数据(iFinD公式)'!$B51:$X51/'实盘净值数据(iFinD公式)'!$B$5:$X$5,'实盘净值数据(iFinD公式)'!$B52:$X52/'实盘净值数据(iFinD公式)'!$B51:$X51)/SUMPRODUCT(实盘持仓配置!$B$8:$X$8,'实盘净值数据(iFinD公式)'!$B51:$X51/'实盘净值数据(iFinD公式)'!$B$5:$X$5)-1)</f>
      </c>
      <c r="P52" s="7" t="str">
        <f>IF(N52="","",N52/MAX(N$5:N52)-1)</f>
        <v/>
      </c>
      <c r="Q52" s="32" t="str">
        <f>IF(OR((ROW()-1)&lt;8,'实盘净值数据(iFinD公式)'!$A52="",'实盘净值数据(iFinD公式)'!$B52=""),"",SUMPRODUCT(实盘持仓配置!$B$9:$X$9,'实盘净值数据(iFinD公式)'!$B52:$X52/'实盘净值数据(iFinD公式)'!$B$8:$X$8)*(1-实盘持仓配置!$Z$9)^(((ROW()-1)-8)/说明!$C$17))</f>
        <v/>
      </c>
      <c r="R52" s="7">
        <f>IF(OR(Q51="",'实盘净值数据(iFinD公式)'!$A52="",'实盘净值数据(iFinD公式)'!$B52=""),"",SUMPRODUCT(实盘持仓配置!$B$9:$X$9,'实盘净值数据(iFinD公式)'!$B51:$X51/'实盘净值数据(iFinD公式)'!$B$8:$X$8,'实盘净值数据(iFinD公式)'!$B52:$X52/'实盘净值数据(iFinD公式)'!$B51:$X51)/SUMPRODUCT(实盘持仓配置!$B$9:$X$9,'实盘净值数据(iFinD公式)'!$B51:$X51/'实盘净值数据(iFinD公式)'!$B$8:$X$8)-1)</f>
      </c>
      <c r="S52" s="7" t="str">
        <f>IF(Q52="","",Q52/MAX(Q$5:Q52)-1)</f>
        <v/>
      </c>
    </row>
    <row r="53" spans="1:19" x14ac:dyDescent="0.25">
      <c r="A53" s="33" t="str">
        <f>IF('实盘净值数据(iFinD公式)'!A53="","",'实盘净值数据(iFinD公式)'!A53)</f>
        <v/>
      </c>
      <c r="B53" s="32" t="str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(ROW()-1)-6)/说明!$C$17))</f>
        <v/>
      </c>
      <c r="C53" s="7">
        <f>IF(OR(B52="",'实盘净值数据(iFinD公式)'!$A53="",'实盘净值数据(iFinD公式)'!$B53=""),"",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-1)</f>
      </c>
      <c r="D53" s="7" t="str">
        <f>IF(B53="","",B53/MAX(B$5:B53)-1)</f>
        <v/>
      </c>
      <c r="E53" s="32" t="str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(ROW()-1)-5)/说明!$C$17))</f>
        <v/>
      </c>
      <c r="F53" s="7">
        <f>IF(OR(E52="",'实盘净值数据(iFinD公式)'!$A53="",'实盘净值数据(iFinD公式)'!$B53=""),"",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-1)</f>
      </c>
      <c r="G53" s="7" t="str">
        <f>IF(E53="","",E53/MAX(E$5:E53)-1)</f>
        <v/>
      </c>
      <c r="H53" s="32" t="str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(ROW()-1)-7)/说明!$C$17))</f>
        <v/>
      </c>
      <c r="I53" s="7">
        <f>IF(OR(H52="",'实盘净值数据(iFinD公式)'!$A53="",'实盘净值数据(iFinD公式)'!$B53=""),"",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-1)</f>
      </c>
      <c r="J53" s="7" t="str">
        <f>IF(H53="","",H53/MAX(H$5:H53)-1)</f>
        <v/>
      </c>
      <c r="K53" s="32" t="str">
        <f>IF(OR((ROW()-1)&lt;8,'实盘净值数据(iFinD公式)'!$A53="",'实盘净值数据(iFinD公式)'!$B53=""),"",SUMPRODUCT(实盘持仓配置!$B$7:$X$7,'实盘净值数据(iFinD公式)'!$B53:$X53/'实盘净值数据(iFinD公式)'!$B$8:$X$8)*(1-实盘持仓配置!$Z$7)^(((ROW()-1)-8)/说明!$C$17))</f>
        <v/>
      </c>
      <c r="L53" s="7">
        <f>IF(OR(K52="",'实盘净值数据(iFinD公式)'!$A53="",'实盘净值数据(iFinD公式)'!$B53=""),"",SUMPRODUCT(实盘持仓配置!$B$7:$X$7,'实盘净值数据(iFinD公式)'!$B52:$X52/'实盘净值数据(iFinD公式)'!$B$8:$X$8,'实盘净值数据(iFinD公式)'!$B53:$X53/'实盘净值数据(iFinD公式)'!$B52:$X52)/SUMPRODUCT(实盘持仓配置!$B$7:$X$7,'实盘净值数据(iFinD公式)'!$B52:$X52/'实盘净值数据(iFinD公式)'!$B$8:$X$8)-1)</f>
      </c>
      <c r="M53" s="7" t="str">
        <f>IF(K53="","",K53/MAX(K$5:K53)-1)</f>
        <v/>
      </c>
      <c r="N53" s="32" t="str">
        <f>IF(OR((ROW()-1)&lt;5,'实盘净值数据(iFinD公式)'!$A53="",'实盘净值数据(iFinD公式)'!$B53=""),"",SUMPRODUCT(实盘持仓配置!$B$8:$X$8,'实盘净值数据(iFinD公式)'!$B53:$X53/'实盘净值数据(iFinD公式)'!$B$5:$X$5)*(1-实盘持仓配置!$Z$8)^(((ROW()-1)-5)/说明!$C$17))</f>
        <v/>
      </c>
      <c r="O53" s="7">
        <f>IF(OR(N52="",'实盘净值数据(iFinD公式)'!$A53="",'实盘净值数据(iFinD公式)'!$B53=""),"",SUMPRODUCT(实盘持仓配置!$B$8:$X$8,'实盘净值数据(iFinD公式)'!$B52:$X52/'实盘净值数据(iFinD公式)'!$B$5:$X$5,'实盘净值数据(iFinD公式)'!$B53:$X53/'实盘净值数据(iFinD公式)'!$B52:$X52)/SUMPRODUCT(实盘持仓配置!$B$8:$X$8,'实盘净值数据(iFinD公式)'!$B52:$X52/'实盘净值数据(iFinD公式)'!$B$5:$X$5)-1)</f>
      </c>
      <c r="P53" s="7" t="str">
        <f>IF(N53="","",N53/MAX(N$5:N53)-1)</f>
        <v/>
      </c>
      <c r="Q53" s="32" t="str">
        <f>IF(OR((ROW()-1)&lt;8,'实盘净值数据(iFinD公式)'!$A53="",'实盘净值数据(iFinD公式)'!$B53=""),"",SUMPRODUCT(实盘持仓配置!$B$9:$X$9,'实盘净值数据(iFinD公式)'!$B53:$X53/'实盘净值数据(iFinD公式)'!$B$8:$X$8)*(1-实盘持仓配置!$Z$9)^(((ROW()-1)-8)/说明!$C$17))</f>
        <v/>
      </c>
      <c r="R53" s="7">
        <f>IF(OR(Q52="",'实盘净值数据(iFinD公式)'!$A53="",'实盘净值数据(iFinD公式)'!$B53=""),"",SUMPRODUCT(实盘持仓配置!$B$9:$X$9,'实盘净值数据(iFinD公式)'!$B52:$X52/'实盘净值数据(iFinD公式)'!$B$8:$X$8,'实盘净值数据(iFinD公式)'!$B53:$X53/'实盘净值数据(iFinD公式)'!$B52:$X52)/SUMPRODUCT(实盘持仓配置!$B$9:$X$9,'实盘净值数据(iFinD公式)'!$B52:$X52/'实盘净值数据(iFinD公式)'!$B$8:$X$8)-1)</f>
      </c>
      <c r="S53" s="7" t="str">
        <f>IF(Q53="","",Q53/MAX(Q$5:Q53)-1)</f>
        <v/>
      </c>
    </row>
    <row r="54" spans="1:19" x14ac:dyDescent="0.25">
      <c r="A54" s="33" t="str">
        <f>IF('实盘净值数据(iFinD公式)'!A54="","",'实盘净值数据(iFinD公式)'!A54)</f>
        <v/>
      </c>
      <c r="B54" s="32" t="str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(ROW()-1)-6)/说明!$C$17))</f>
        <v/>
      </c>
      <c r="C54" s="7">
        <f>IF(OR(B53="",'实盘净值数据(iFinD公式)'!$A54="",'实盘净值数据(iFinD公式)'!$B54=""),"",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-1)</f>
      </c>
      <c r="D54" s="7" t="str">
        <f>IF(B54="","",B54/MAX(B$5:B54)-1)</f>
        <v/>
      </c>
      <c r="E54" s="32" t="str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(ROW()-1)-5)/说明!$C$17))</f>
        <v/>
      </c>
      <c r="F54" s="7">
        <f>IF(OR(E53="",'实盘净值数据(iFinD公式)'!$A54="",'实盘净值数据(iFinD公式)'!$B54=""),"",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-1)</f>
      </c>
      <c r="G54" s="7" t="str">
        <f>IF(E54="","",E54/MAX(E$5:E54)-1)</f>
        <v/>
      </c>
      <c r="H54" s="32" t="str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(ROW()-1)-7)/说明!$C$17))</f>
        <v/>
      </c>
      <c r="I54" s="7">
        <f>IF(OR(H53="",'实盘净值数据(iFinD公式)'!$A54="",'实盘净值数据(iFinD公式)'!$B54=""),"",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-1)</f>
      </c>
      <c r="J54" s="7" t="str">
        <f>IF(H54="","",H54/MAX(H$5:H54)-1)</f>
        <v/>
      </c>
      <c r="K54" s="32" t="str">
        <f>IF(OR((ROW()-1)&lt;8,'实盘净值数据(iFinD公式)'!$A54="",'实盘净值数据(iFinD公式)'!$B54=""),"",SUMPRODUCT(实盘持仓配置!$B$7:$X$7,'实盘净值数据(iFinD公式)'!$B54:$X54/'实盘净值数据(iFinD公式)'!$B$8:$X$8)*(1-实盘持仓配置!$Z$7)^(((ROW()-1)-8)/说明!$C$17))</f>
        <v/>
      </c>
      <c r="L54" s="7">
        <f>IF(OR(K53="",'实盘净值数据(iFinD公式)'!$A54="",'实盘净值数据(iFinD公式)'!$B54=""),"",SUMPRODUCT(实盘持仓配置!$B$7:$X$7,'实盘净值数据(iFinD公式)'!$B53:$X53/'实盘净值数据(iFinD公式)'!$B$8:$X$8,'实盘净值数据(iFinD公式)'!$B54:$X54/'实盘净值数据(iFinD公式)'!$B53:$X53)/SUMPRODUCT(实盘持仓配置!$B$7:$X$7,'实盘净值数据(iFinD公式)'!$B53:$X53/'实盘净值数据(iFinD公式)'!$B$8:$X$8)-1)</f>
      </c>
      <c r="M54" s="7" t="str">
        <f>IF(K54="","",K54/MAX(K$5:K54)-1)</f>
        <v/>
      </c>
      <c r="N54" s="32" t="str">
        <f>IF(OR((ROW()-1)&lt;5,'实盘净值数据(iFinD公式)'!$A54="",'实盘净值数据(iFinD公式)'!$B54=""),"",SUMPRODUCT(实盘持仓配置!$B$8:$X$8,'实盘净值数据(iFinD公式)'!$B54:$X54/'实盘净值数据(iFinD公式)'!$B$5:$X$5)*(1-实盘持仓配置!$Z$8)^(((ROW()-1)-5)/说明!$C$17))</f>
        <v/>
      </c>
      <c r="O54" s="7">
        <f>IF(OR(N53="",'实盘净值数据(iFinD公式)'!$A54="",'实盘净值数据(iFinD公式)'!$B54=""),"",SUMPRODUCT(实盘持仓配置!$B$8:$X$8,'实盘净值数据(iFinD公式)'!$B53:$X53/'实盘净值数据(iFinD公式)'!$B$5:$X$5,'实盘净值数据(iFinD公式)'!$B54:$X54/'实盘净值数据(iFinD公式)'!$B53:$X53)/SUMPRODUCT(实盘持仓配置!$B$8:$X$8,'实盘净值数据(iFinD公式)'!$B53:$X53/'实盘净值数据(iFinD公式)'!$B$5:$X$5)-1)</f>
      </c>
      <c r="P54" s="7" t="str">
        <f>IF(N54="","",N54/MAX(N$5:N54)-1)</f>
        <v/>
      </c>
      <c r="Q54" s="32" t="str">
        <f>IF(OR((ROW()-1)&lt;8,'实盘净值数据(iFinD公式)'!$A54="",'实盘净值数据(iFinD公式)'!$B54=""),"",SUMPRODUCT(实盘持仓配置!$B$9:$X$9,'实盘净值数据(iFinD公式)'!$B54:$X54/'实盘净值数据(iFinD公式)'!$B$8:$X$8)*(1-实盘持仓配置!$Z$9)^(((ROW()-1)-8)/说明!$C$17))</f>
        <v/>
      </c>
      <c r="R54" s="7">
        <f>IF(OR(Q53="",'实盘净值数据(iFinD公式)'!$A54="",'实盘净值数据(iFinD公式)'!$B54=""),"",SUMPRODUCT(实盘持仓配置!$B$9:$X$9,'实盘净值数据(iFinD公式)'!$B53:$X53/'实盘净值数据(iFinD公式)'!$B$8:$X$8,'实盘净值数据(iFinD公式)'!$B54:$X54/'实盘净值数据(iFinD公式)'!$B53:$X53)/SUMPRODUCT(实盘持仓配置!$B$9:$X$9,'实盘净值数据(iFinD公式)'!$B53:$X53/'实盘净值数据(iFinD公式)'!$B$8:$X$8)-1)</f>
      </c>
      <c r="S54" s="7" t="str">
        <f>IF(Q54="","",Q54/MAX(Q$5:Q54)-1)</f>
        <v/>
      </c>
    </row>
    <row r="55" spans="1:19" x14ac:dyDescent="0.25">
      <c r="A55" s="33" t="str">
        <f>IF('实盘净值数据(iFinD公式)'!A55="","",'实盘净值数据(iFinD公式)'!A55)</f>
        <v/>
      </c>
      <c r="B55" s="32" t="str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(ROW()-1)-6)/说明!$C$17))</f>
        <v/>
      </c>
      <c r="C55" s="7">
        <f>IF(OR(B54="",'实盘净值数据(iFinD公式)'!$A55="",'实盘净值数据(iFinD公式)'!$B55=""),"",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-1)</f>
      </c>
      <c r="D55" s="7" t="str">
        <f>IF(B55="","",B55/MAX(B$5:B55)-1)</f>
        <v/>
      </c>
      <c r="E55" s="32" t="str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(ROW()-1)-5)/说明!$C$17))</f>
        <v/>
      </c>
      <c r="F55" s="7">
        <f>IF(OR(E54="",'实盘净值数据(iFinD公式)'!$A55="",'实盘净值数据(iFinD公式)'!$B55=""),"",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-1)</f>
      </c>
      <c r="G55" s="7" t="str">
        <f>IF(E55="","",E55/MAX(E$5:E55)-1)</f>
        <v/>
      </c>
      <c r="H55" s="32" t="str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(ROW()-1)-7)/说明!$C$17))</f>
        <v/>
      </c>
      <c r="I55" s="7">
        <f>IF(OR(H54="",'实盘净值数据(iFinD公式)'!$A55="",'实盘净值数据(iFinD公式)'!$B55=""),"",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-1)</f>
      </c>
      <c r="J55" s="7" t="str">
        <f>IF(H55="","",H55/MAX(H$5:H55)-1)</f>
        <v/>
      </c>
      <c r="K55" s="32" t="str">
        <f>IF(OR((ROW()-1)&lt;8,'实盘净值数据(iFinD公式)'!$A55="",'实盘净值数据(iFinD公式)'!$B55=""),"",SUMPRODUCT(实盘持仓配置!$B$7:$X$7,'实盘净值数据(iFinD公式)'!$B55:$X55/'实盘净值数据(iFinD公式)'!$B$8:$X$8)*(1-实盘持仓配置!$Z$7)^(((ROW()-1)-8)/说明!$C$17))</f>
        <v/>
      </c>
      <c r="L55" s="7">
        <f>IF(OR(K54="",'实盘净值数据(iFinD公式)'!$A55="",'实盘净值数据(iFinD公式)'!$B55=""),"",SUMPRODUCT(实盘持仓配置!$B$7:$X$7,'实盘净值数据(iFinD公式)'!$B54:$X54/'实盘净值数据(iFinD公式)'!$B$8:$X$8,'实盘净值数据(iFinD公式)'!$B55:$X55/'实盘净值数据(iFinD公式)'!$B54:$X54)/SUMPRODUCT(实盘持仓配置!$B$7:$X$7,'实盘净值数据(iFinD公式)'!$B54:$X54/'实盘净值数据(iFinD公式)'!$B$8:$X$8)-1)</f>
      </c>
      <c r="M55" s="7" t="str">
        <f>IF(K55="","",K55/MAX(K$5:K55)-1)</f>
        <v/>
      </c>
      <c r="N55" s="32" t="str">
        <f>IF(OR((ROW()-1)&lt;5,'实盘净值数据(iFinD公式)'!$A55="",'实盘净值数据(iFinD公式)'!$B55=""),"",SUMPRODUCT(实盘持仓配置!$B$8:$X$8,'实盘净值数据(iFinD公式)'!$B55:$X55/'实盘净值数据(iFinD公式)'!$B$5:$X$5)*(1-实盘持仓配置!$Z$8)^(((ROW()-1)-5)/说明!$C$17))</f>
        <v/>
      </c>
      <c r="O55" s="7">
        <f>IF(OR(N54="",'实盘净值数据(iFinD公式)'!$A55="",'实盘净值数据(iFinD公式)'!$B55=""),"",SUMPRODUCT(实盘持仓配置!$B$8:$X$8,'实盘净值数据(iFinD公式)'!$B54:$X54/'实盘净值数据(iFinD公式)'!$B$5:$X$5,'实盘净值数据(iFinD公式)'!$B55:$X55/'实盘净值数据(iFinD公式)'!$B54:$X54)/SUMPRODUCT(实盘持仓配置!$B$8:$X$8,'实盘净值数据(iFinD公式)'!$B54:$X54/'实盘净值数据(iFinD公式)'!$B$5:$X$5)-1)</f>
      </c>
      <c r="P55" s="7" t="str">
        <f>IF(N55="","",N55/MAX(N$5:N55)-1)</f>
        <v/>
      </c>
      <c r="Q55" s="32" t="str">
        <f>IF(OR((ROW()-1)&lt;8,'实盘净值数据(iFinD公式)'!$A55="",'实盘净值数据(iFinD公式)'!$B55=""),"",SUMPRODUCT(实盘持仓配置!$B$9:$X$9,'实盘净值数据(iFinD公式)'!$B55:$X55/'实盘净值数据(iFinD公式)'!$B$8:$X$8)*(1-实盘持仓配置!$Z$9)^(((ROW()-1)-8)/说明!$C$17))</f>
        <v/>
      </c>
      <c r="R55" s="7">
        <f>IF(OR(Q54="",'实盘净值数据(iFinD公式)'!$A55="",'实盘净值数据(iFinD公式)'!$B55=""),"",SUMPRODUCT(实盘持仓配置!$B$9:$X$9,'实盘净值数据(iFinD公式)'!$B54:$X54/'实盘净值数据(iFinD公式)'!$B$8:$X$8,'实盘净值数据(iFinD公式)'!$B55:$X55/'实盘净值数据(iFinD公式)'!$B54:$X54)/SUMPRODUCT(实盘持仓配置!$B$9:$X$9,'实盘净值数据(iFinD公式)'!$B54:$X54/'实盘净值数据(iFinD公式)'!$B$8:$X$8)-1)</f>
      </c>
      <c r="S55" s="7" t="str">
        <f>IF(Q55="","",Q55/MAX(Q$5:Q55)-1)</f>
        <v/>
      </c>
    </row>
    <row r="56" spans="1:19" x14ac:dyDescent="0.25">
      <c r="A56" s="33" t="str">
        <f>IF('实盘净值数据(iFinD公式)'!A56="","",'实盘净值数据(iFinD公式)'!A56)</f>
        <v/>
      </c>
      <c r="B56" s="32" t="str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(ROW()-1)-6)/说明!$C$17))</f>
        <v/>
      </c>
      <c r="C56" s="7">
        <f>IF(OR(B55="",'实盘净值数据(iFinD公式)'!$A56="",'实盘净值数据(iFinD公式)'!$B56=""),"",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-1)</f>
      </c>
      <c r="D56" s="7" t="str">
        <f>IF(B56="","",B56/MAX(B$5:B56)-1)</f>
        <v/>
      </c>
      <c r="E56" s="32" t="str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(ROW()-1)-5)/说明!$C$17))</f>
        <v/>
      </c>
      <c r="F56" s="7">
        <f>IF(OR(E55="",'实盘净值数据(iFinD公式)'!$A56="",'实盘净值数据(iFinD公式)'!$B56=""),"",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-1)</f>
      </c>
      <c r="G56" s="7" t="str">
        <f>IF(E56="","",E56/MAX(E$5:E56)-1)</f>
        <v/>
      </c>
      <c r="H56" s="32" t="str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(ROW()-1)-7)/说明!$C$17))</f>
        <v/>
      </c>
      <c r="I56" s="7">
        <f>IF(OR(H55="",'实盘净值数据(iFinD公式)'!$A56="",'实盘净值数据(iFinD公式)'!$B56=""),"",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-1)</f>
      </c>
      <c r="J56" s="7" t="str">
        <f>IF(H56="","",H56/MAX(H$5:H56)-1)</f>
        <v/>
      </c>
      <c r="K56" s="32" t="str">
        <f>IF(OR((ROW()-1)&lt;8,'实盘净值数据(iFinD公式)'!$A56="",'实盘净值数据(iFinD公式)'!$B56=""),"",SUMPRODUCT(实盘持仓配置!$B$7:$X$7,'实盘净值数据(iFinD公式)'!$B56:$X56/'实盘净值数据(iFinD公式)'!$B$8:$X$8)*(1-实盘持仓配置!$Z$7)^(((ROW()-1)-8)/说明!$C$17))</f>
        <v/>
      </c>
      <c r="L56" s="7">
        <f>IF(OR(K55="",'实盘净值数据(iFinD公式)'!$A56="",'实盘净值数据(iFinD公式)'!$B56=""),"",SUMPRODUCT(实盘持仓配置!$B$7:$X$7,'实盘净值数据(iFinD公式)'!$B55:$X55/'实盘净值数据(iFinD公式)'!$B$8:$X$8,'实盘净值数据(iFinD公式)'!$B56:$X56/'实盘净值数据(iFinD公式)'!$B55:$X55)/SUMPRODUCT(实盘持仓配置!$B$7:$X$7,'实盘净值数据(iFinD公式)'!$B55:$X55/'实盘净值数据(iFinD公式)'!$B$8:$X$8)-1)</f>
      </c>
      <c r="M56" s="7" t="str">
        <f>IF(K56="","",K56/MAX(K$5:K56)-1)</f>
        <v/>
      </c>
      <c r="N56" s="32" t="str">
        <f>IF(OR((ROW()-1)&lt;5,'实盘净值数据(iFinD公式)'!$A56="",'实盘净值数据(iFinD公式)'!$B56=""),"",SUMPRODUCT(实盘持仓配置!$B$8:$X$8,'实盘净值数据(iFinD公式)'!$B56:$X56/'实盘净值数据(iFinD公式)'!$B$5:$X$5)*(1-实盘持仓配置!$Z$8)^(((ROW()-1)-5)/说明!$C$17))</f>
        <v/>
      </c>
      <c r="O56" s="7">
        <f>IF(OR(N55="",'实盘净值数据(iFinD公式)'!$A56="",'实盘净值数据(iFinD公式)'!$B56=""),"",SUMPRODUCT(实盘持仓配置!$B$8:$X$8,'实盘净值数据(iFinD公式)'!$B55:$X55/'实盘净值数据(iFinD公式)'!$B$5:$X$5,'实盘净值数据(iFinD公式)'!$B56:$X56/'实盘净值数据(iFinD公式)'!$B55:$X55)/SUMPRODUCT(实盘持仓配置!$B$8:$X$8,'实盘净值数据(iFinD公式)'!$B55:$X55/'实盘净值数据(iFinD公式)'!$B$5:$X$5)-1)</f>
      </c>
      <c r="P56" s="7" t="str">
        <f>IF(N56="","",N56/MAX(N$5:N56)-1)</f>
        <v/>
      </c>
      <c r="Q56" s="32" t="str">
        <f>IF(OR((ROW()-1)&lt;8,'实盘净值数据(iFinD公式)'!$A56="",'实盘净值数据(iFinD公式)'!$B56=""),"",SUMPRODUCT(实盘持仓配置!$B$9:$X$9,'实盘净值数据(iFinD公式)'!$B56:$X56/'实盘净值数据(iFinD公式)'!$B$8:$X$8)*(1-实盘持仓配置!$Z$9)^(((ROW()-1)-8)/说明!$C$17))</f>
        <v/>
      </c>
      <c r="R56" s="7">
        <f>IF(OR(Q55="",'实盘净值数据(iFinD公式)'!$A56="",'实盘净值数据(iFinD公式)'!$B56=""),"",SUMPRODUCT(实盘持仓配置!$B$9:$X$9,'实盘净值数据(iFinD公式)'!$B55:$X55/'实盘净值数据(iFinD公式)'!$B$8:$X$8,'实盘净值数据(iFinD公式)'!$B56:$X56/'实盘净值数据(iFinD公式)'!$B55:$X55)/SUMPRODUCT(实盘持仓配置!$B$9:$X$9,'实盘净值数据(iFinD公式)'!$B55:$X55/'实盘净值数据(iFinD公式)'!$B$8:$X$8)-1)</f>
      </c>
      <c r="S56" s="7" t="str">
        <f>IF(Q56="","",Q56/MAX(Q$5:Q56)-1)</f>
        <v/>
      </c>
    </row>
    <row r="57" spans="1:19" x14ac:dyDescent="0.25">
      <c r="A57" s="33" t="str">
        <f>IF('实盘净值数据(iFinD公式)'!A57="","",'实盘净值数据(iFinD公式)'!A57)</f>
        <v/>
      </c>
      <c r="B57" s="32" t="str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(ROW()-1)-6)/说明!$C$17))</f>
        <v/>
      </c>
      <c r="C57" s="7">
        <f>IF(OR(B56="",'实盘净值数据(iFinD公式)'!$A57="",'实盘净值数据(iFinD公式)'!$B57=""),"",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-1)</f>
      </c>
      <c r="D57" s="7" t="str">
        <f>IF(B57="","",B57/MAX(B$5:B57)-1)</f>
        <v/>
      </c>
      <c r="E57" s="32" t="str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(ROW()-1)-5)/说明!$C$17))</f>
        <v/>
      </c>
      <c r="F57" s="7">
        <f>IF(OR(E56="",'实盘净值数据(iFinD公式)'!$A57="",'实盘净值数据(iFinD公式)'!$B57=""),"",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-1)</f>
      </c>
      <c r="G57" s="7" t="str">
        <f>IF(E57="","",E57/MAX(E$5:E57)-1)</f>
        <v/>
      </c>
      <c r="H57" s="32" t="str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(ROW()-1)-7)/说明!$C$17))</f>
        <v/>
      </c>
      <c r="I57" s="7">
        <f>IF(OR(H56="",'实盘净值数据(iFinD公式)'!$A57="",'实盘净值数据(iFinD公式)'!$B57=""),"",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-1)</f>
      </c>
      <c r="J57" s="7" t="str">
        <f>IF(H57="","",H57/MAX(H$5:H57)-1)</f>
        <v/>
      </c>
      <c r="K57" s="32" t="str">
        <f>IF(OR((ROW()-1)&lt;8,'实盘净值数据(iFinD公式)'!$A57="",'实盘净值数据(iFinD公式)'!$B57=""),"",SUMPRODUCT(实盘持仓配置!$B$7:$X$7,'实盘净值数据(iFinD公式)'!$B57:$X57/'实盘净值数据(iFinD公式)'!$B$8:$X$8)*(1-实盘持仓配置!$Z$7)^(((ROW()-1)-8)/说明!$C$17))</f>
        <v/>
      </c>
      <c r="L57" s="7">
        <f>IF(OR(K56="",'实盘净值数据(iFinD公式)'!$A57="",'实盘净值数据(iFinD公式)'!$B57=""),"",SUMPRODUCT(实盘持仓配置!$B$7:$X$7,'实盘净值数据(iFinD公式)'!$B56:$X56/'实盘净值数据(iFinD公式)'!$B$8:$X$8,'实盘净值数据(iFinD公式)'!$B57:$X57/'实盘净值数据(iFinD公式)'!$B56:$X56)/SUMPRODUCT(实盘持仓配置!$B$7:$X$7,'实盘净值数据(iFinD公式)'!$B56:$X56/'实盘净值数据(iFinD公式)'!$B$8:$X$8)-1)</f>
      </c>
      <c r="M57" s="7" t="str">
        <f>IF(K57="","",K57/MAX(K$5:K57)-1)</f>
        <v/>
      </c>
      <c r="N57" s="32" t="str">
        <f>IF(OR((ROW()-1)&lt;5,'实盘净值数据(iFinD公式)'!$A57="",'实盘净值数据(iFinD公式)'!$B57=""),"",SUMPRODUCT(实盘持仓配置!$B$8:$X$8,'实盘净值数据(iFinD公式)'!$B57:$X57/'实盘净值数据(iFinD公式)'!$B$5:$X$5)*(1-实盘持仓配置!$Z$8)^(((ROW()-1)-5)/说明!$C$17))</f>
        <v/>
      </c>
      <c r="O57" s="7">
        <f>IF(OR(N56="",'实盘净值数据(iFinD公式)'!$A57="",'实盘净值数据(iFinD公式)'!$B57=""),"",SUMPRODUCT(实盘持仓配置!$B$8:$X$8,'实盘净值数据(iFinD公式)'!$B56:$X56/'实盘净值数据(iFinD公式)'!$B$5:$X$5,'实盘净值数据(iFinD公式)'!$B57:$X57/'实盘净值数据(iFinD公式)'!$B56:$X56)/SUMPRODUCT(实盘持仓配置!$B$8:$X$8,'实盘净值数据(iFinD公式)'!$B56:$X56/'实盘净值数据(iFinD公式)'!$B$5:$X$5)-1)</f>
      </c>
      <c r="P57" s="7" t="str">
        <f>IF(N57="","",N57/MAX(N$5:N57)-1)</f>
        <v/>
      </c>
      <c r="Q57" s="32" t="str">
        <f>IF(OR((ROW()-1)&lt;8,'实盘净值数据(iFinD公式)'!$A57="",'实盘净值数据(iFinD公式)'!$B57=""),"",SUMPRODUCT(实盘持仓配置!$B$9:$X$9,'实盘净值数据(iFinD公式)'!$B57:$X57/'实盘净值数据(iFinD公式)'!$B$8:$X$8)*(1-实盘持仓配置!$Z$9)^(((ROW()-1)-8)/说明!$C$17))</f>
        <v/>
      </c>
      <c r="R57" s="7">
        <f>IF(OR(Q56="",'实盘净值数据(iFinD公式)'!$A57="",'实盘净值数据(iFinD公式)'!$B57=""),"",SUMPRODUCT(实盘持仓配置!$B$9:$X$9,'实盘净值数据(iFinD公式)'!$B56:$X56/'实盘净值数据(iFinD公式)'!$B$8:$X$8,'实盘净值数据(iFinD公式)'!$B57:$X57/'实盘净值数据(iFinD公式)'!$B56:$X56)/SUMPRODUCT(实盘持仓配置!$B$9:$X$9,'实盘净值数据(iFinD公式)'!$B56:$X56/'实盘净值数据(iFinD公式)'!$B$8:$X$8)-1)</f>
      </c>
      <c r="S57" s="7" t="str">
        <f>IF(Q57="","",Q57/MAX(Q$5:Q57)-1)</f>
        <v/>
      </c>
    </row>
    <row r="58" spans="1:19" x14ac:dyDescent="0.25">
      <c r="A58" s="33" t="str">
        <f>IF('实盘净值数据(iFinD公式)'!A58="","",'实盘净值数据(iFinD公式)'!A58)</f>
        <v/>
      </c>
      <c r="B58" s="32" t="str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(ROW()-1)-6)/说明!$C$17))</f>
        <v/>
      </c>
      <c r="C58" s="7">
        <f>IF(OR(B57="",'实盘净值数据(iFinD公式)'!$A58="",'实盘净值数据(iFinD公式)'!$B58=""),"",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-1)</f>
      </c>
      <c r="D58" s="7" t="str">
        <f>IF(B58="","",B58/MAX(B$5:B58)-1)</f>
        <v/>
      </c>
      <c r="E58" s="32" t="str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(ROW()-1)-5)/说明!$C$17))</f>
        <v/>
      </c>
      <c r="F58" s="7">
        <f>IF(OR(E57="",'实盘净值数据(iFinD公式)'!$A58="",'实盘净值数据(iFinD公式)'!$B58=""),"",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-1)</f>
      </c>
      <c r="G58" s="7" t="str">
        <f>IF(E58="","",E58/MAX(E$5:E58)-1)</f>
        <v/>
      </c>
      <c r="H58" s="32" t="str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(ROW()-1)-7)/说明!$C$17))</f>
        <v/>
      </c>
      <c r="I58" s="7">
        <f>IF(OR(H57="",'实盘净值数据(iFinD公式)'!$A58="",'实盘净值数据(iFinD公式)'!$B58=""),"",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-1)</f>
      </c>
      <c r="J58" s="7" t="str">
        <f>IF(H58="","",H58/MAX(H$5:H58)-1)</f>
        <v/>
      </c>
      <c r="K58" s="32" t="str">
        <f>IF(OR((ROW()-1)&lt;8,'实盘净值数据(iFinD公式)'!$A58="",'实盘净值数据(iFinD公式)'!$B58=""),"",SUMPRODUCT(实盘持仓配置!$B$7:$X$7,'实盘净值数据(iFinD公式)'!$B58:$X58/'实盘净值数据(iFinD公式)'!$B$8:$X$8)*(1-实盘持仓配置!$Z$7)^(((ROW()-1)-8)/说明!$C$17))</f>
        <v/>
      </c>
      <c r="L58" s="7">
        <f>IF(OR(K57="",'实盘净值数据(iFinD公式)'!$A58="",'实盘净值数据(iFinD公式)'!$B58=""),"",SUMPRODUCT(实盘持仓配置!$B$7:$X$7,'实盘净值数据(iFinD公式)'!$B57:$X57/'实盘净值数据(iFinD公式)'!$B$8:$X$8,'实盘净值数据(iFinD公式)'!$B58:$X58/'实盘净值数据(iFinD公式)'!$B57:$X57)/SUMPRODUCT(实盘持仓配置!$B$7:$X$7,'实盘净值数据(iFinD公式)'!$B57:$X57/'实盘净值数据(iFinD公式)'!$B$8:$X$8)-1)</f>
      </c>
      <c r="M58" s="7" t="str">
        <f>IF(K58="","",K58/MAX(K$5:K58)-1)</f>
        <v/>
      </c>
      <c r="N58" s="32" t="str">
        <f>IF(OR((ROW()-1)&lt;5,'实盘净值数据(iFinD公式)'!$A58="",'实盘净值数据(iFinD公式)'!$B58=""),"",SUMPRODUCT(实盘持仓配置!$B$8:$X$8,'实盘净值数据(iFinD公式)'!$B58:$X58/'实盘净值数据(iFinD公式)'!$B$5:$X$5)*(1-实盘持仓配置!$Z$8)^(((ROW()-1)-5)/说明!$C$17))</f>
        <v/>
      </c>
      <c r="O58" s="7">
        <f>IF(OR(N57="",'实盘净值数据(iFinD公式)'!$A58="",'实盘净值数据(iFinD公式)'!$B58=""),"",SUMPRODUCT(实盘持仓配置!$B$8:$X$8,'实盘净值数据(iFinD公式)'!$B57:$X57/'实盘净值数据(iFinD公式)'!$B$5:$X$5,'实盘净值数据(iFinD公式)'!$B58:$X58/'实盘净值数据(iFinD公式)'!$B57:$X57)/SUMPRODUCT(实盘持仓配置!$B$8:$X$8,'实盘净值数据(iFinD公式)'!$B57:$X57/'实盘净值数据(iFinD公式)'!$B$5:$X$5)-1)</f>
      </c>
      <c r="P58" s="7" t="str">
        <f>IF(N58="","",N58/MAX(N$5:N58)-1)</f>
        <v/>
      </c>
      <c r="Q58" s="32" t="str">
        <f>IF(OR((ROW()-1)&lt;8,'实盘净值数据(iFinD公式)'!$A58="",'实盘净值数据(iFinD公式)'!$B58=""),"",SUMPRODUCT(实盘持仓配置!$B$9:$X$9,'实盘净值数据(iFinD公式)'!$B58:$X58/'实盘净值数据(iFinD公式)'!$B$8:$X$8)*(1-实盘持仓配置!$Z$9)^(((ROW()-1)-8)/说明!$C$17))</f>
        <v/>
      </c>
      <c r="R58" s="7">
        <f>IF(OR(Q57="",'实盘净值数据(iFinD公式)'!$A58="",'实盘净值数据(iFinD公式)'!$B58=""),"",SUMPRODUCT(实盘持仓配置!$B$9:$X$9,'实盘净值数据(iFinD公式)'!$B57:$X57/'实盘净值数据(iFinD公式)'!$B$8:$X$8,'实盘净值数据(iFinD公式)'!$B58:$X58/'实盘净值数据(iFinD公式)'!$B57:$X57)/SUMPRODUCT(实盘持仓配置!$B$9:$X$9,'实盘净值数据(iFinD公式)'!$B57:$X57/'实盘净值数据(iFinD公式)'!$B$8:$X$8)-1)</f>
      </c>
      <c r="S58" s="7" t="str">
        <f>IF(Q58="","",Q58/MAX(Q$5:Q58)-1)</f>
        <v/>
      </c>
    </row>
    <row r="59" spans="1:19" x14ac:dyDescent="0.25">
      <c r="A59" s="33" t="str">
        <f>IF('实盘净值数据(iFinD公式)'!A59="","",'实盘净值数据(iFinD公式)'!A59)</f>
        <v/>
      </c>
      <c r="B59" s="32" t="str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(ROW()-1)-6)/说明!$C$17))</f>
        <v/>
      </c>
      <c r="C59" s="7">
        <f>IF(OR(B58="",'实盘净值数据(iFinD公式)'!$A59="",'实盘净值数据(iFinD公式)'!$B59=""),"",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-1)</f>
      </c>
      <c r="D59" s="7" t="str">
        <f>IF(B59="","",B59/MAX(B$5:B59)-1)</f>
        <v/>
      </c>
      <c r="E59" s="32" t="str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(ROW()-1)-5)/说明!$C$17))</f>
        <v/>
      </c>
      <c r="F59" s="7">
        <f>IF(OR(E58="",'实盘净值数据(iFinD公式)'!$A59="",'实盘净值数据(iFinD公式)'!$B59=""),"",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-1)</f>
      </c>
      <c r="G59" s="7" t="str">
        <f>IF(E59="","",E59/MAX(E$5:E59)-1)</f>
        <v/>
      </c>
      <c r="H59" s="32" t="str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(ROW()-1)-7)/说明!$C$17))</f>
        <v/>
      </c>
      <c r="I59" s="7">
        <f>IF(OR(H58="",'实盘净值数据(iFinD公式)'!$A59="",'实盘净值数据(iFinD公式)'!$B59=""),"",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-1)</f>
      </c>
      <c r="J59" s="7" t="str">
        <f>IF(H59="","",H59/MAX(H$5:H59)-1)</f>
        <v/>
      </c>
      <c r="K59" s="32" t="str">
        <f>IF(OR((ROW()-1)&lt;8,'实盘净值数据(iFinD公式)'!$A59="",'实盘净值数据(iFinD公式)'!$B59=""),"",SUMPRODUCT(实盘持仓配置!$B$7:$X$7,'实盘净值数据(iFinD公式)'!$B59:$X59/'实盘净值数据(iFinD公式)'!$B$8:$X$8)*(1-实盘持仓配置!$Z$7)^(((ROW()-1)-8)/说明!$C$17))</f>
        <v/>
      </c>
      <c r="L59" s="7">
        <f>IF(OR(K58="",'实盘净值数据(iFinD公式)'!$A59="",'实盘净值数据(iFinD公式)'!$B59=""),"",SUMPRODUCT(实盘持仓配置!$B$7:$X$7,'实盘净值数据(iFinD公式)'!$B58:$X58/'实盘净值数据(iFinD公式)'!$B$8:$X$8,'实盘净值数据(iFinD公式)'!$B59:$X59/'实盘净值数据(iFinD公式)'!$B58:$X58)/SUMPRODUCT(实盘持仓配置!$B$7:$X$7,'实盘净值数据(iFinD公式)'!$B58:$X58/'实盘净值数据(iFinD公式)'!$B$8:$X$8)-1)</f>
      </c>
      <c r="M59" s="7" t="str">
        <f>IF(K59="","",K59/MAX(K$5:K59)-1)</f>
        <v/>
      </c>
      <c r="N59" s="32" t="str">
        <f>IF(OR((ROW()-1)&lt;5,'实盘净值数据(iFinD公式)'!$A59="",'实盘净值数据(iFinD公式)'!$B59=""),"",SUMPRODUCT(实盘持仓配置!$B$8:$X$8,'实盘净值数据(iFinD公式)'!$B59:$X59/'实盘净值数据(iFinD公式)'!$B$5:$X$5)*(1-实盘持仓配置!$Z$8)^(((ROW()-1)-5)/说明!$C$17))</f>
        <v/>
      </c>
      <c r="O59" s="7">
        <f>IF(OR(N58="",'实盘净值数据(iFinD公式)'!$A59="",'实盘净值数据(iFinD公式)'!$B59=""),"",SUMPRODUCT(实盘持仓配置!$B$8:$X$8,'实盘净值数据(iFinD公式)'!$B58:$X58/'实盘净值数据(iFinD公式)'!$B$5:$X$5,'实盘净值数据(iFinD公式)'!$B59:$X59/'实盘净值数据(iFinD公式)'!$B58:$X58)/SUMPRODUCT(实盘持仓配置!$B$8:$X$8,'实盘净值数据(iFinD公式)'!$B58:$X58/'实盘净值数据(iFinD公式)'!$B$5:$X$5)-1)</f>
      </c>
      <c r="P59" s="7" t="str">
        <f>IF(N59="","",N59/MAX(N$5:N59)-1)</f>
        <v/>
      </c>
      <c r="Q59" s="32" t="str">
        <f>IF(OR((ROW()-1)&lt;8,'实盘净值数据(iFinD公式)'!$A59="",'实盘净值数据(iFinD公式)'!$B59=""),"",SUMPRODUCT(实盘持仓配置!$B$9:$X$9,'实盘净值数据(iFinD公式)'!$B59:$X59/'实盘净值数据(iFinD公式)'!$B$8:$X$8)*(1-实盘持仓配置!$Z$9)^(((ROW()-1)-8)/说明!$C$17))</f>
        <v/>
      </c>
      <c r="R59" s="7">
        <f>IF(OR(Q58="",'实盘净值数据(iFinD公式)'!$A59="",'实盘净值数据(iFinD公式)'!$B59=""),"",SUMPRODUCT(实盘持仓配置!$B$9:$X$9,'实盘净值数据(iFinD公式)'!$B58:$X58/'实盘净值数据(iFinD公式)'!$B$8:$X$8,'实盘净值数据(iFinD公式)'!$B59:$X59/'实盘净值数据(iFinD公式)'!$B58:$X58)/SUMPRODUCT(实盘持仓配置!$B$9:$X$9,'实盘净值数据(iFinD公式)'!$B58:$X58/'实盘净值数据(iFinD公式)'!$B$8:$X$8)-1)</f>
      </c>
      <c r="S59" s="7" t="str">
        <f>IF(Q59="","",Q59/MAX(Q$5:Q59)-1)</f>
        <v/>
      </c>
    </row>
    <row r="61" spans="1:19" ht="14.5" customHeight="1" x14ac:dyDescent="0.3">
      <c r="A61" s="28" t="s">
        <v>72</v>
      </c>
    </row>
  </sheetData>
  <mergeCells count="1">
    <mergeCell ref="A1:J2"/>
  </mergeCells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K12" sqref="K1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0.453125" style="27" customWidth="1"/>
    <col min="5" max="5" width="15.81640625" style="27" customWidth="1"/>
    <col min="6" max="6" width="15.08984375" style="27" customWidth="1"/>
    <col min="7" max="7" width="14" style="27" customWidth="1"/>
    <col min="8" max="8" width="2" style="27" customWidth="1"/>
  </cols>
  <sheetData>
    <row r="2" spans="2:7" ht="20.5" customHeight="1" x14ac:dyDescent="0.25">
      <c r="B2" s="44" t="s">
        <v>73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"&amp;TEXT(实盘持仓配置!$Z$4,"0.0%")&amp;"（折每日计入净值）"</f>
        <v>买入持有 · 已扣年化费率 1.5%（折每日计入净值）</v>
      </c>
      <c r="C3" s="40"/>
      <c r="D3" s="40"/>
      <c r="E3" s="43" t="str">
        <f>"净值日期："&amp;TEXT(LOOKUP(2,1/(实盘组合净值!$B$5:$B$59&lt;&gt;""),实盘组合净值!$A$5:$A$59),"yyyy-mm-dd")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LOOKUP(2,1/(实盘组合净值!$B$5:$B$59&lt;&gt;""),实盘组合净值!$B$5:$B$59)</f>
        <v>1.0294155905508455</v>
      </c>
      <c r="C7" s="19">
        <f>(LOOKUP(2,1/(实盘组合净值!$B$5:$B$59&lt;&gt;""),实盘组合净值!$B$5:$B$59))/1-1</f>
        <v>2.9415590550845527E-2</v>
      </c>
      <c r="D7" s="19">
        <f>(LOOKUP(2,1/(实盘组合净值!$B$5:$B$59&lt;&gt;""),实盘组合净值!$B$5:$B$59)/1)^(说明!$C$17/MAX(COUNT(实盘组合净值!$C$5:$C$59),1))-1</f>
        <v>2.2197827463161004</v>
      </c>
      <c r="E7" s="20">
        <f>STDEV(实盘组合净值!$C$5:$C$59)*SQRT(说明!$C$17)</f>
        <v>0.41370859445420716</v>
      </c>
      <c r="F7" s="19">
        <f>MIN(实盘组合净值!$D$5:$D$59)</f>
        <v>-2.8604573320449078E-2</v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5.3655707811547657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IFERROR((LOOKUP(2,1/(实盘组合净值!$B$5:$B$59&lt;&gt;""),实盘组合净值!$B$5:$B$59))/(1)-1,"")</f>
        <v>2.9415590550845527E-2</v>
      </c>
      <c r="D11" s="15">
        <f>IFERROR((LOOKUP(2,1/(实盘组合净值!$B$5:$B$59&lt;&gt;""),实盘组合净值!$B$5:$B$59)/(1))^(说明!$C$17/COUNT(实盘组合净值!$C$5:$C$59))-1,"")</f>
        <v>2.2197827463161004</v>
      </c>
      <c r="E11" s="45" t="s">
        <v>79</v>
      </c>
      <c r="F11" s="46"/>
      <c r="G11" s="15">
        <f>MIN(实盘组合净值!$D$5:$D$59)</f>
        <v>-2.8604573320449078E-2</v>
      </c>
    </row>
    <row r="12" spans="2:7" ht="22.5" customHeight="1" x14ac:dyDescent="0.25">
      <c r="B12" s="24" t="s">
        <v>87</v>
      </c>
      <c r="C12" s="15">
        <f>IFERROR((LOOKUP(2,1/(实盘组合净值!$B$5:$B$59&lt;&gt;""),实盘组合净值!$B$5:$B$59))/(IFERROR(LOOKUP(DATE(2026,1,1),实盘组合净值!$A$5:$A$59,实盘组合净值!$B$5:$B$59),1))-1,"")</f>
        <v>2.9415590550845527E-2</v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1.4036427890669283</v>
      </c>
      <c r="E12" s="45" t="s">
        <v>88</v>
      </c>
      <c r="F12" s="46"/>
      <c r="G12" s="16">
        <f>IFERROR((LOOKUP(2,1/(实盘组合净值!$B$5:$B$59&lt;&gt;""),ROW(实盘组合净值!$B$5:$B$59)))-(LOOKUP(2,1/(实盘组合净值!$D$5:$D$59=0),ROW(实盘组合净值!$D$5:$D$59))),"")</f>
        <v>3</v>
      </c>
    </row>
    <row r="13" spans="2:7" ht="22.5" customHeight="1" x14ac:dyDescent="0.25">
      <c r="B13" s="24" t="s">
        <v>89</v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2.9415590550845527E-2</v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1.4036427890669283</v>
      </c>
      <c r="E13" s="45" t="s">
        <v>90</v>
      </c>
      <c r="F13" s="46"/>
      <c r="G13" s="35">
        <f>COUNTIF(实盘组合净值!$C$5:$C$59,"&gt;0")/MAX(COUNT(实盘组合净值!$C$5:$C$59),1)</f>
        <v>0.5</v>
      </c>
    </row>
    <row r="14" spans="2:7" ht="22.5" customHeight="1" x14ac:dyDescent="0.25">
      <c r="B14" s="24" t="s">
        <v>91</v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2.9415590550845527E-2</v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1.4036427890669283</v>
      </c>
      <c r="E14" s="45" t="s">
        <v>78</v>
      </c>
      <c r="F14" s="46"/>
      <c r="G14" s="15">
        <f>STDEV(实盘组合净值!$C$5:$C$59)*SQRT(说明!$C$17)</f>
        <v>0.41370859445420716</v>
      </c>
    </row>
    <row r="15" spans="2:7" ht="22.5" customHeight="1" x14ac:dyDescent="0.25">
      <c r="B15" s="24" t="s">
        <v>92</v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2.9415590550845527E-2</v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1.4036427890669283</v>
      </c>
      <c r="E15" s="45" t="s">
        <v>80</v>
      </c>
      <c r="F15" s="46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5.3655707811547657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IFERROR(((LOOKUP(2,1/(实盘组合净值!$B$5:$B$59&lt;&gt;""),实盘组合净值!$B$5:$B$59)/1)^(说明!$C$17/MAX(COUNT(实盘组合净值!$C$5:$C$59),1))-1)/ABS(MIN(实盘组合净值!$D$5:$D$59)),"")</f>
        <v>77.602372230779039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K16" sqref="K16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9.54296875" style="27" customWidth="1"/>
    <col min="5" max="5" width="15.81640625" style="27" customWidth="1"/>
    <col min="6" max="6" width="15.08984375" style="27" customWidth="1"/>
    <col min="7" max="7" width="16.6328125" style="27" customWidth="1"/>
    <col min="8" max="8" width="2" style="27" customWidth="1"/>
  </cols>
  <sheetData>
    <row r="2" spans="2:7" ht="20.5" customHeight="1" x14ac:dyDescent="0.25">
      <c r="B2" s="44" t="s">
        <v>96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"&amp;TEXT(实盘持仓配置!$Z$5,"0.0%")&amp;"（折每日计入净值）"</f>
        <v>买入持有 · 已扣年化费率 1.2%（折每日计入净值）</v>
      </c>
      <c r="C3" s="40"/>
      <c r="D3" s="40"/>
      <c r="E3" s="43" t="str">
        <f>"净值日期："&amp;TEXT(LOOKUP(2,1/(实盘组合净值!$E$5:$E$59&lt;&gt;""),实盘组合净值!$A$5:$A$59),"yyyy-mm-dd")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LOOKUP(2,1/(实盘组合净值!$E$5:$E$59&lt;&gt;""),实盘组合净值!$E$5:$E$59)</f>
        <v>1.0533263415786789</v>
      </c>
      <c r="C7" s="19">
        <f>(LOOKUP(2,1/(实盘组合净值!$E$5:$E$59&lt;&gt;""),实盘组合净值!$E$5:$E$59))/1-1</f>
        <v>5.3326341578678882E-2</v>
      </c>
      <c r="D7" s="19">
        <f>(LOOKUP(2,1/(实盘组合净值!$E$5:$E$59&lt;&gt;""),实盘组合净值!$E$5:$E$59)/1)^(说明!$C$17/MAX(COUNT(实盘组合净值!$F$5:$F$59),1))-1</f>
        <v>5.026057158979869</v>
      </c>
      <c r="E7" s="20">
        <f>STDEV(实盘组合净值!$F$5:$F$59)*SQRT(说明!$C$17)</f>
        <v>0.39348846692204087</v>
      </c>
      <c r="F7" s="19">
        <f>MIN(实盘组合净值!$G$5:$G$59)</f>
        <v>-2.8695043554146649E-2</v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12.773073626007053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IFERROR((LOOKUP(2,1/(实盘组合净值!$E$5:$E$59&lt;&gt;""),实盘组合净值!$E$5:$E$59))/(1)-1,"")</f>
        <v>5.3326341578678882E-2</v>
      </c>
      <c r="D11" s="15">
        <f>IFERROR((LOOKUP(2,1/(实盘组合净值!$E$5:$E$59&lt;&gt;""),实盘组合净值!$E$5:$E$59)/(1))^(说明!$C$17/COUNT(实盘组合净值!$F$5:$F$59))-1,"")</f>
        <v>5.026057158979869</v>
      </c>
      <c r="E11" s="45" t="s">
        <v>79</v>
      </c>
      <c r="F11" s="46"/>
      <c r="G11" s="15">
        <f>MIN(实盘组合净值!$G$5:$G$59)</f>
        <v>-2.8695043554146649E-2</v>
      </c>
    </row>
    <row r="12" spans="2:7" ht="22.5" customHeight="1" x14ac:dyDescent="0.25">
      <c r="B12" s="24" t="s">
        <v>87</v>
      </c>
      <c r="C12" s="15">
        <f>IFERROR((LOOKUP(2,1/(实盘组合净值!$E$5:$E$59&lt;&gt;""),实盘组合净值!$E$5:$E$59))/(IFERROR(LOOKUP(DATE(2026,1,1),实盘组合净值!$A$5:$A$59,实盘组合净值!$E$5:$E$59),1))-1,"")</f>
        <v>5.3326341578678882E-2</v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3.8142550088517533</v>
      </c>
      <c r="E12" s="45" t="s">
        <v>88</v>
      </c>
      <c r="F12" s="46"/>
      <c r="G12" s="16">
        <f>IFERROR((LOOKUP(2,1/(实盘组合净值!$E$5:$E$59&lt;&gt;""),ROW(实盘组合净值!$E$5:$E$59)))-(LOOKUP(2,1/(实盘组合净值!$G$5:$G$59=0),ROW(实盘组合净值!$G$5:$G$59))),"")</f>
        <v>3</v>
      </c>
    </row>
    <row r="13" spans="2:7" ht="22.5" customHeight="1" x14ac:dyDescent="0.25">
      <c r="B13" s="24" t="s">
        <v>89</v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5.3326341578678882E-2</v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3.8142550088517533</v>
      </c>
      <c r="E13" s="45" t="s">
        <v>90</v>
      </c>
      <c r="F13" s="46"/>
      <c r="G13" s="35">
        <f>COUNTIF(实盘组合净值!$F$5:$F$59,"&gt;0")/MAX(COUNT(实盘组合净值!$F$5:$F$59),1)</f>
        <v>0.5714285714285714</v>
      </c>
    </row>
    <row r="14" spans="2:7" ht="22.5" customHeight="1" x14ac:dyDescent="0.25">
      <c r="B14" s="24" t="s">
        <v>91</v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5.3326341578678882E-2</v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3.8142550088517533</v>
      </c>
      <c r="E14" s="45" t="s">
        <v>78</v>
      </c>
      <c r="F14" s="46"/>
      <c r="G14" s="15">
        <f>STDEV(实盘组合净值!$F$5:$F$59)*SQRT(说明!$C$17)</f>
        <v>0.39348846692204087</v>
      </c>
    </row>
    <row r="15" spans="2:7" ht="22.5" customHeight="1" x14ac:dyDescent="0.25">
      <c r="B15" s="24" t="s">
        <v>92</v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5.3326341578678882E-2</v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3.8142550088517533</v>
      </c>
      <c r="E15" s="45" t="s">
        <v>80</v>
      </c>
      <c r="F15" s="46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12.773073626007053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IFERROR(((LOOKUP(2,1/(实盘组合净值!$E$5:$E$59&lt;&gt;""),实盘组合净值!$E$5:$E$59)/1)^(说明!$C$17/MAX(COUNT(实盘组合净值!$F$5:$F$59),1))-1)/ABS(MIN(实盘组合净值!$G$5:$G$59)),"")</f>
        <v>175.15419168107749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7" workbookViewId="0">
      <selection activeCell="I30" sqref="I30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4.906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44" t="s">
        <v>97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"&amp;TEXT(实盘持仓配置!$Z$6,"0.0%")&amp;"（折每日计入净值）"</f>
        <v>买入持有 · 已扣年化费率 1.5%（折每日计入净值）</v>
      </c>
      <c r="C3" s="40"/>
      <c r="D3" s="40"/>
      <c r="E3" s="43" t="str">
        <f>"净值日期："&amp;TEXT(LOOKUP(2,1/(实盘组合净值!$H$5:$H$59&lt;&gt;""),实盘组合净值!$A$5:$A$59),"yyyy-mm-dd")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LOOKUP(2,1/(实盘组合净值!$H$5:$H$59&lt;&gt;""),实盘组合净值!$H$5:$H$59)</f>
        <v>1.068508413841105</v>
      </c>
      <c r="C7" s="19">
        <f>(LOOKUP(2,1/(实盘组合净值!$H$5:$H$59&lt;&gt;""),实盘组合净值!$H$5:$H$59))/1-1</f>
        <v>6.8508413841104954E-2</v>
      </c>
      <c r="D7" s="19">
        <f>(LOOKUP(2,1/(实盘组合净值!$H$5:$H$59&lt;&gt;""),实盘组合净值!$H$5:$H$59)/1)^(说明!$C$17/MAX(COUNT(实盘组合净值!$I$5:$I$59),1))-1</f>
        <v>23.708853904969811</v>
      </c>
      <c r="E7" s="20">
        <f>STDEV(实盘组合净值!$I$5:$I$59)*SQRT(说明!$C$17)</f>
        <v>0.38989700187788462</v>
      </c>
      <c r="F7" s="19">
        <f>MIN(实盘组合净值!$J$5:$J$59)</f>
        <v>-2.1863810316736343E-2</v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60.807992343566163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IFERROR((LOOKUP(2,1/(实盘组合净值!$H$5:$H$59&lt;&gt;""),实盘组合净值!$H$5:$H$59))/(1)-1,"")</f>
        <v>6.8508413841104954E-2</v>
      </c>
      <c r="D11" s="15">
        <f>IFERROR((LOOKUP(2,1/(实盘组合净值!$H$5:$H$59&lt;&gt;""),实盘组合净值!$H$5:$H$59)/(1))^(说明!$C$17/COUNT(实盘组合净值!$I$5:$I$59))-1,"")</f>
        <v>23.708853904969811</v>
      </c>
      <c r="E11" s="45" t="s">
        <v>79</v>
      </c>
      <c r="F11" s="46"/>
      <c r="G11" s="15">
        <f>MIN(实盘组合净值!$J$5:$J$59)</f>
        <v>-2.1863810316736343E-2</v>
      </c>
    </row>
    <row r="12" spans="2:7" ht="22.5" customHeight="1" x14ac:dyDescent="0.25">
      <c r="B12" s="24" t="s">
        <v>87</v>
      </c>
      <c r="C12" s="15">
        <f>IFERROR((LOOKUP(2,1/(实盘组合净值!$H$5:$H$59&lt;&gt;""),实盘组合净值!$H$5:$H$59))/(IFERROR(LOOKUP(DATE(2026,1,1),实盘组合净值!$A$5:$A$59,实盘组合净值!$H$5:$H$59),1))-1,"")</f>
        <v>6.8508413841104954E-2</v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6.4222038149678582</v>
      </c>
      <c r="E12" s="45" t="s">
        <v>88</v>
      </c>
      <c r="F12" s="46"/>
      <c r="G12" s="16">
        <f>IFERROR((LOOKUP(2,1/(实盘组合净值!$H$5:$H$59&lt;&gt;""),ROW(实盘组合净值!$H$5:$H$59)))-(LOOKUP(2,1/(实盘组合净值!$J$5:$J$59=0),ROW(实盘组合净值!$J$5:$J$59))),"")</f>
        <v>3</v>
      </c>
    </row>
    <row r="13" spans="2:7" ht="22.5" customHeight="1" x14ac:dyDescent="0.25">
      <c r="B13" s="24" t="s">
        <v>89</v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6.8508413841104954E-2</v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6.4222038149678582</v>
      </c>
      <c r="E13" s="45" t="s">
        <v>90</v>
      </c>
      <c r="F13" s="46"/>
      <c r="G13" s="35">
        <f>COUNTIF(实盘组合净值!$I$5:$I$59,"&gt;0")/MAX(COUNT(实盘组合净值!$I$5:$I$59),1)</f>
        <v>0.6</v>
      </c>
    </row>
    <row r="14" spans="2:7" ht="22.5" customHeight="1" x14ac:dyDescent="0.25">
      <c r="B14" s="24" t="s">
        <v>91</v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6.8508413841104954E-2</v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6.4222038149678582</v>
      </c>
      <c r="E14" s="45" t="s">
        <v>78</v>
      </c>
      <c r="F14" s="46"/>
      <c r="G14" s="15">
        <f>STDEV(实盘组合净值!$I$5:$I$59)*SQRT(说明!$C$17)</f>
        <v>0.38989700187788462</v>
      </c>
    </row>
    <row r="15" spans="2:7" ht="22.5" customHeight="1" x14ac:dyDescent="0.25">
      <c r="B15" s="24" t="s">
        <v>92</v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6.8508413841104954E-2</v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6.4222038149678582</v>
      </c>
      <c r="E15" s="45" t="s">
        <v>80</v>
      </c>
      <c r="F15" s="46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60.807992343566163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IFERROR(((LOOKUP(2,1/(实盘组合净值!$H$5:$H$59&lt;&gt;""),实盘组合净值!$H$5:$H$59)/1)^(说明!$C$17/MAX(COUNT(实盘组合净值!$I$5:$I$59),1))-1)/ABS(MIN(实盘组合净值!$J$5:$J$59)),"")</f>
        <v>1084.3880166130568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L28" sqref="L28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26953125" style="27" customWidth="1"/>
    <col min="5" max="5" width="19.36328125" style="27" customWidth="1"/>
    <col min="6" max="6" width="15.08984375" style="27" customWidth="1"/>
    <col min="7" max="7" width="17.81640625" style="27" customWidth="1"/>
    <col min="8" max="8" width="2" style="27" customWidth="1"/>
  </cols>
  <sheetData>
    <row r="2" spans="2:7" ht="20.5" customHeight="1" x14ac:dyDescent="0.25">
      <c r="B2" s="44" t="s">
        <v>98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"&amp;TEXT(实盘持仓配置!$Z$7,"0.0%")&amp;"（折每日计入净值）"</f>
        <v>买入持有 · 已扣年化费率 0.8%（折每日计入净值）</v>
      </c>
      <c r="C3" s="40"/>
      <c r="D3" s="40"/>
      <c r="E3" s="43" t="str">
        <f>"净值日期："&amp;TEXT(LOOKUP(2,1/(实盘组合净值!$K$5:$K$59&lt;&gt;""),实盘组合净值!$A$5:$A$59),"yyyy-mm-dd")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LOOKUP(2,1/(实盘组合净值!$K$5:$K$59&lt;&gt;""),实盘组合净值!$K$5:$K$59)</f>
        <v>1.0013918322245723</v>
      </c>
      <c r="C7" s="19">
        <f>(LOOKUP(2,1/(实盘组合净值!$K$5:$K$59&lt;&gt;""),实盘组合净值!$K$5:$K$59))/1-1</f>
        <v>1.3918322245722869E-3</v>
      </c>
      <c r="D7" s="19">
        <f>(LOOKUP(2,1/(实盘组合净值!$K$5:$K$59&lt;&gt;""),实盘组合净值!$K$5:$K$59)/1)^(说明!$C$17/MAX(COUNT(实盘组合净值!$L$5:$L$59),1))-1</f>
        <v>8.778911736619821E-2</v>
      </c>
      <c r="E7" s="20">
        <f>STDEV(实盘组合净值!$L$5:$L$59)*SQRT(说明!$C$17)</f>
        <v>2.7061690816622352E-2</v>
      </c>
      <c r="F7" s="19">
        <f>MIN(实盘组合净值!$M$5:$M$59)</f>
        <v>-1.9403959684980432E-3</v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3.2440366701800722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IFERROR((LOOKUP(2,1/(实盘组合净值!$K$5:$K$59&lt;&gt;""),实盘组合净值!$K$5:$K$59))/(1)-1,"")</f>
        <v>1.3918322245722869E-3</v>
      </c>
      <c r="D11" s="15">
        <f>IFERROR((LOOKUP(2,1/(实盘组合净值!$K$5:$K$59&lt;&gt;""),实盘组合净值!$K$5:$K$59)/(1))^(说明!$C$17/COUNT(实盘组合净值!$L$5:$L$59))-1,"")</f>
        <v>8.778911736619821E-2</v>
      </c>
      <c r="E11" s="45" t="s">
        <v>79</v>
      </c>
      <c r="F11" s="46"/>
      <c r="G11" s="15">
        <f>MIN(实盘组合净值!$M$5:$M$59)</f>
        <v>-1.9403959684980432E-3</v>
      </c>
    </row>
    <row r="12" spans="2:7" ht="22.5" customHeight="1" x14ac:dyDescent="0.25">
      <c r="B12" s="24" t="s">
        <v>87</v>
      </c>
      <c r="C12" s="15">
        <f>IFERROR((LOOKUP(2,1/(实盘组合净值!$K$5:$K$59&lt;&gt;""),实盘组合净值!$K$5:$K$59))/(IFERROR(LOOKUP(DATE(2026,1,1),实盘组合净值!$A$5:$A$59,实盘组合净值!$K$5:$K$59),1))-1,"")</f>
        <v>1.3918322245722869E-3</v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4.2971292685564988E-2</v>
      </c>
      <c r="E12" s="45" t="s">
        <v>88</v>
      </c>
      <c r="F12" s="46"/>
      <c r="G12" s="16">
        <f>IFERROR((LOOKUP(2,1/(实盘组合净值!$K$5:$K$59&lt;&gt;""),ROW(实盘组合净值!$K$5:$K$59)))-(LOOKUP(2,1/(实盘组合净值!$M$5:$M$59=0),ROW(实盘组合净值!$M$5:$M$59))),"")</f>
        <v>3</v>
      </c>
    </row>
    <row r="13" spans="2:7" ht="22.5" customHeight="1" x14ac:dyDescent="0.25">
      <c r="B13" s="24" t="s">
        <v>89</v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1.3918322245722869E-3</v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4.2971292685564988E-2</v>
      </c>
      <c r="E13" s="45" t="s">
        <v>90</v>
      </c>
      <c r="F13" s="46"/>
      <c r="G13" s="35">
        <f>COUNTIF(实盘组合净值!$L$5:$L$59,"&gt;0")/MAX(COUNT(实盘组合净值!$L$5:$L$59),1)</f>
        <v>0.5</v>
      </c>
    </row>
    <row r="14" spans="2:7" ht="22.5" customHeight="1" x14ac:dyDescent="0.25">
      <c r="B14" s="24" t="s">
        <v>91</v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1.3918322245722869E-3</v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4.2971292685564988E-2</v>
      </c>
      <c r="E14" s="45" t="s">
        <v>78</v>
      </c>
      <c r="F14" s="46"/>
      <c r="G14" s="15">
        <f>STDEV(实盘组合净值!$L$5:$L$59)*SQRT(说明!$C$17)</f>
        <v>2.7061690816622352E-2</v>
      </c>
    </row>
    <row r="15" spans="2:7" ht="22.5" customHeight="1" x14ac:dyDescent="0.25">
      <c r="B15" s="24" t="s">
        <v>92</v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1.3918322245722869E-3</v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4.2971292685564988E-2</v>
      </c>
      <c r="E15" s="45" t="s">
        <v>80</v>
      </c>
      <c r="F15" s="46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3.2440366701800722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IFERROR(((LOOKUP(2,1/(实盘组合净值!$K$5:$K$59&lt;&gt;""),实盘组合净值!$K$5:$K$59)/1)^(说明!$C$17/MAX(COUNT(实盘组合净值!$L$5:$L$59),1))-1)/ABS(MIN(实盘组合净值!$M$5:$M$59)),"")</f>
        <v>45.24288794217145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7" workbookViewId="0">
      <selection activeCell="G12" sqref="G1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8.363281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44" t="s">
        <v>99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"&amp;TEXT(实盘持仓配置!$Z$8,"0.0%")&amp;"（折每日计入净值）"</f>
        <v>买入持有 · 已扣年化费率 0.5%（折每日计入净值）</v>
      </c>
      <c r="C3" s="40"/>
      <c r="D3" s="40"/>
      <c r="E3" s="43" t="str">
        <f>"净值日期："&amp;TEXT(LOOKUP(2,1/(实盘组合净值!$N$5:$N$59&lt;&gt;""),实盘组合净值!$A$5:$A$59),"yyyy-mm-dd")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LOOKUP(2,1/(实盘组合净值!$N$5:$N$59&lt;&gt;""),实盘组合净值!$N$5:$N$59)</f>
        <v>1.0005478490779289</v>
      </c>
      <c r="C7" s="19">
        <f>(LOOKUP(2,1/(实盘组合净值!$N$5:$N$59&lt;&gt;""),实盘组合净值!$N$5:$N$59))/1-1</f>
        <v>5.4784907792893023E-4</v>
      </c>
      <c r="D7" s="19">
        <f>(LOOKUP(2,1/(实盘组合净值!$N$5:$N$59&lt;&gt;""),实盘组合净值!$N$5:$N$59)/1)^(说明!$C$17/MAX(COUNT(实盘组合净值!$O$5:$O$59),1))-1</f>
        <v>1.911513802441589E-2</v>
      </c>
      <c r="E7" s="20">
        <f>STDEV(实盘组合净值!$O$5:$O$59)*SQRT(说明!$C$17)</f>
        <v>3.1434876932441617E-2</v>
      </c>
      <c r="F7" s="19">
        <f>MIN(实盘组合净值!$P$5:$P$59)</f>
        <v>-3.0771023622546689E-3</v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0.60808693685988524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IFERROR((LOOKUP(2,1/(实盘组合净值!$N$5:$N$59&lt;&gt;""),实盘组合净值!$N$5:$N$59))/(1)-1,"")</f>
        <v>5.4784907792893023E-4</v>
      </c>
      <c r="D11" s="15">
        <f>IFERROR((LOOKUP(2,1/(实盘组合净值!$N$5:$N$59&lt;&gt;""),实盘组合净值!$N$5:$N$59)/(1))^(说明!$C$17/COUNT(实盘组合净值!$O$5:$O$59))-1,"")</f>
        <v>1.911513802441589E-2</v>
      </c>
      <c r="E11" s="45" t="s">
        <v>79</v>
      </c>
      <c r="F11" s="46"/>
      <c r="G11" s="15">
        <f>MIN(实盘组合净值!$P$5:$P$59)</f>
        <v>-3.0771023622546689E-3</v>
      </c>
    </row>
    <row r="12" spans="2:7" ht="22.5" customHeight="1" x14ac:dyDescent="0.25">
      <c r="B12" s="24" t="s">
        <v>87</v>
      </c>
      <c r="C12" s="15">
        <f>IFERROR((LOOKUP(2,1/(实盘组合净值!$N$5:$N$59&lt;&gt;""),实盘组合净值!$N$5:$N$59))/(IFERROR(LOOKUP(DATE(2026,1,1),实盘组合净值!$A$5:$A$59,实盘组合净值!$N$5:$N$59),1))-1,"")</f>
        <v>5.4784907792893023E-4</v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1.6705905386106501E-2</v>
      </c>
      <c r="E12" s="45" t="s">
        <v>88</v>
      </c>
      <c r="F12" s="46"/>
      <c r="G12" s="16">
        <f>IFERROR((LOOKUP(2,1/(实盘组合净值!$N$5:$N$59&lt;&gt;""),ROW(实盘组合净值!$N$5:$N$59)))-(LOOKUP(2,1/(实盘组合净值!$P$5:$P$59=0),ROW(实盘组合净值!$P$5:$P$59))),"")</f>
        <v>3</v>
      </c>
    </row>
    <row r="13" spans="2:7" ht="22.5" customHeight="1" x14ac:dyDescent="0.25">
      <c r="B13" s="24" t="s">
        <v>89</v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5.4784907792893023E-4</v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1.6705905386106501E-2</v>
      </c>
      <c r="E13" s="45" t="s">
        <v>90</v>
      </c>
      <c r="F13" s="46"/>
      <c r="G13" s="35">
        <f>COUNTIF(实盘组合净值!$O$5:$O$59,"&gt;0")/MAX(COUNT(实盘组合净值!$O$5:$O$59),1)</f>
        <v>0.5714285714285714</v>
      </c>
    </row>
    <row r="14" spans="2:7" ht="22.5" customHeight="1" x14ac:dyDescent="0.25">
      <c r="B14" s="24" t="s">
        <v>91</v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5.4784907792893023E-4</v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1.6705905386106501E-2</v>
      </c>
      <c r="E14" s="45" t="s">
        <v>78</v>
      </c>
      <c r="F14" s="46"/>
      <c r="G14" s="15">
        <f>STDEV(实盘组合净值!$O$5:$O$59)*SQRT(说明!$C$17)</f>
        <v>3.1434876932441617E-2</v>
      </c>
    </row>
    <row r="15" spans="2:7" ht="22.5" customHeight="1" x14ac:dyDescent="0.25">
      <c r="B15" s="24" t="s">
        <v>92</v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5.4784907792893023E-4</v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1.6705905386106501E-2</v>
      </c>
      <c r="E15" s="45" t="s">
        <v>80</v>
      </c>
      <c r="F15" s="46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0.60808693685988524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IFERROR(((LOOKUP(2,1/(实盘组合净值!$N$5:$N$59&lt;&gt;""),实盘组合净值!$N$5:$N$59)/1)^(说明!$C$17/MAX(COUNT(实盘组合净值!$O$5:$O$59),1))-1)/ABS(MIN(实盘组合净值!$P$5:$P$59)),"")</f>
        <v>6.2120578954057795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O14" sqref="O14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54296875" style="27" customWidth="1"/>
    <col min="5" max="5" width="19" style="27" customWidth="1"/>
    <col min="6" max="6" width="15.08984375" style="27" customWidth="1"/>
    <col min="7" max="7" width="18.453125" style="27" customWidth="1"/>
    <col min="8" max="8" width="2" style="27" customWidth="1"/>
  </cols>
  <sheetData>
    <row r="2" spans="2:7" ht="20.5" customHeight="1" x14ac:dyDescent="0.25">
      <c r="B2" s="44" t="s">
        <v>100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"&amp;TEXT(实盘持仓配置!$Z$9,"0.0%")&amp;"（折每日计入净值）"</f>
        <v>买入持有 · 已扣年化费率 1.2%（折每日计入净值）</v>
      </c>
      <c r="C3" s="40"/>
      <c r="D3" s="40"/>
      <c r="E3" s="43" t="str">
        <f>"净值日期："&amp;TEXT(LOOKUP(2,1/(实盘组合净值!$Q$5:$Q$59&lt;&gt;""),实盘组合净值!$A$5:$A$59),"yyyy-mm-dd")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LOOKUP(2,1/(实盘组合净值!$Q$5:$Q$59&lt;&gt;""),实盘组合净值!$Q$5:$Q$59)</f>
        <v>1.0009963386472145</v>
      </c>
      <c r="C7" s="19">
        <f>(LOOKUP(2,1/(实盘组合净值!$Q$5:$Q$59&lt;&gt;""),实盘组合净值!$Q$5:$Q$59))/1-1</f>
        <v>9.9633864721448973E-4</v>
      </c>
      <c r="D7" s="19">
        <f>(LOOKUP(2,1/(实盘组合净值!$Q$5:$Q$59&lt;&gt;""),实盘组合净值!$Q$5:$Q$59)/1)^(说明!$C$17/MAX(COUNT(实盘组合净值!$R$5:$R$59),1))-1</f>
        <v>6.2100423617096334E-2</v>
      </c>
      <c r="E7" s="20">
        <f>STDEV(实盘组合净值!$R$5:$R$59)*SQRT(说明!$C$17)</f>
        <v>7.8353663889559E-2</v>
      </c>
      <c r="F7" s="19">
        <f>MIN(实盘组合净值!$S$5:$S$59)</f>
        <v>-6.7550898607637855E-3</v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0.79256566361246461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IFERROR((LOOKUP(2,1/(实盘组合净值!$Q$5:$Q$59&lt;&gt;""),实盘组合净值!$Q$5:$Q$59))/(1)-1,"")</f>
        <v>9.9633864721448973E-4</v>
      </c>
      <c r="D11" s="15">
        <f>IFERROR((LOOKUP(2,1/(实盘组合净值!$Q$5:$Q$59&lt;&gt;""),实盘组合净值!$Q$5:$Q$59)/(1))^(说明!$C$17/COUNT(实盘组合净值!$R$5:$R$59))-1,"")</f>
        <v>6.2100423617096334E-2</v>
      </c>
      <c r="E11" s="45" t="s">
        <v>79</v>
      </c>
      <c r="F11" s="46"/>
      <c r="G11" s="15">
        <f>MIN(实盘组合净值!$S$5:$S$59)</f>
        <v>-6.7550898607637855E-3</v>
      </c>
    </row>
    <row r="12" spans="2:7" ht="22.5" customHeight="1" x14ac:dyDescent="0.25">
      <c r="B12" s="24" t="s">
        <v>87</v>
      </c>
      <c r="C12" s="15">
        <f>IFERROR((LOOKUP(2,1/(实盘组合净值!$Q$5:$Q$59&lt;&gt;""),实盘组合净值!$Q$5:$Q$59))/(IFERROR(LOOKUP(DATE(2026,1,1),实盘组合净值!$A$5:$A$59,实盘组合净值!$Q$5:$Q$59),1))-1,"")</f>
        <v>9.9633864721448973E-4</v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3.0582565162586173E-2</v>
      </c>
      <c r="E12" s="45" t="s">
        <v>88</v>
      </c>
      <c r="F12" s="46"/>
      <c r="G12" s="16">
        <f>IFERROR((LOOKUP(2,1/(实盘组合净值!$Q$5:$Q$59&lt;&gt;""),ROW(实盘组合净值!$Q$5:$Q$59)))-(LOOKUP(2,1/(实盘组合净值!$S$5:$S$59=0),ROW(实盘组合净值!$S$5:$S$59))),"")</f>
        <v>3</v>
      </c>
    </row>
    <row r="13" spans="2:7" ht="22.5" customHeight="1" x14ac:dyDescent="0.25">
      <c r="B13" s="24" t="s">
        <v>89</v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9.9633864721448973E-4</v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3.0582565162586173E-2</v>
      </c>
      <c r="E13" s="45" t="s">
        <v>90</v>
      </c>
      <c r="F13" s="46"/>
      <c r="G13" s="35">
        <f>COUNTIF(实盘组合净值!$R$5:$R$59,"&gt;0")/MAX(COUNT(实盘组合净值!$R$5:$R$59),1)</f>
        <v>0.5</v>
      </c>
    </row>
    <row r="14" spans="2:7" ht="22.5" customHeight="1" x14ac:dyDescent="0.25">
      <c r="B14" s="24" t="s">
        <v>91</v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9.9633864721448973E-4</v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3.0582565162586173E-2</v>
      </c>
      <c r="E14" s="45" t="s">
        <v>78</v>
      </c>
      <c r="F14" s="46"/>
      <c r="G14" s="15">
        <f>STDEV(实盘组合净值!$R$5:$R$59)*SQRT(说明!$C$17)</f>
        <v>7.8353663889559E-2</v>
      </c>
    </row>
    <row r="15" spans="2:7" ht="22.5" customHeight="1" x14ac:dyDescent="0.25">
      <c r="B15" s="24" t="s">
        <v>92</v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9.9633864721448973E-4</v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3.0582565162586173E-2</v>
      </c>
      <c r="E15" s="45" t="s">
        <v>80</v>
      </c>
      <c r="F15" s="46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0.79256566361246461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IFERROR(((LOOKUP(2,1/(实盘组合净值!$Q$5:$Q$59&lt;&gt;""),实盘组合净值!$Q$5:$Q$59)/1)^(说明!$C$17/MAX(COUNT(实盘组合净值!$R$5:$R$59),1))-1)/ABS(MIN(实盘组合净值!$S$5:$S$59)),"")</f>
        <v>9.1931306462405455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showGridLines="0" workbookViewId="0">
      <selection activeCell="B30" sqref="B30"/>
    </sheetView>
  </sheetViews>
  <sheetFormatPr defaultRowHeight="14" x14ac:dyDescent="0.25"/>
  <cols>
    <col min="1" max="1" width="2" style="27" customWidth="1"/>
    <col min="2" max="2" width="26" style="27" customWidth="1"/>
    <col min="3" max="8" width="15" style="27" customWidth="1"/>
  </cols>
  <sheetData>
    <row r="2" spans="2:8" ht="23" customHeight="1" x14ac:dyDescent="0.5">
      <c r="B2" s="1" t="s">
        <v>101</v>
      </c>
    </row>
    <row r="3" spans="2:8" ht="14.5" customHeight="1" x14ac:dyDescent="0.3">
      <c r="B3" s="28" t="s">
        <v>102</v>
      </c>
    </row>
    <row r="5" spans="2:8" ht="15.5" customHeight="1" x14ac:dyDescent="0.25">
      <c r="B5" s="11" t="s">
        <v>103</v>
      </c>
    </row>
    <row r="6" spans="2:8" ht="16.5" customHeight="1" x14ac:dyDescent="0.25">
      <c r="B6" s="12" t="s">
        <v>104</v>
      </c>
      <c r="C6" s="49" t="s">
        <v>105</v>
      </c>
      <c r="D6" s="40"/>
      <c r="E6" s="40"/>
      <c r="F6" s="40"/>
      <c r="G6" s="40"/>
      <c r="H6" s="40"/>
    </row>
    <row r="7" spans="2:8" ht="25.5" customHeight="1" x14ac:dyDescent="0.25">
      <c r="B7" s="12" t="s">
        <v>106</v>
      </c>
      <c r="C7" s="49" t="s">
        <v>107</v>
      </c>
      <c r="D7" s="40"/>
      <c r="E7" s="40"/>
      <c r="F7" s="40"/>
      <c r="G7" s="40"/>
      <c r="H7" s="40"/>
    </row>
    <row r="8" spans="2:8" ht="16.5" customHeight="1" x14ac:dyDescent="0.25">
      <c r="B8" s="12" t="s">
        <v>108</v>
      </c>
      <c r="C8" s="49" t="s">
        <v>109</v>
      </c>
      <c r="D8" s="40"/>
      <c r="E8" s="40"/>
      <c r="F8" s="40"/>
      <c r="G8" s="40"/>
      <c r="H8" s="40"/>
    </row>
    <row r="9" spans="2:8" ht="28" customHeight="1" x14ac:dyDescent="0.25">
      <c r="B9" s="12" t="s">
        <v>110</v>
      </c>
      <c r="C9" s="49" t="s">
        <v>111</v>
      </c>
      <c r="D9" s="40"/>
      <c r="E9" s="40"/>
      <c r="F9" s="40"/>
      <c r="G9" s="40"/>
      <c r="H9" s="40"/>
    </row>
    <row r="10" spans="2:8" ht="16.5" customHeight="1" x14ac:dyDescent="0.25">
      <c r="B10" s="13"/>
      <c r="C10" s="14"/>
      <c r="D10" s="14"/>
      <c r="E10" s="14"/>
      <c r="F10" s="14"/>
      <c r="G10" s="14"/>
      <c r="H10" s="14"/>
    </row>
    <row r="11" spans="2:8" ht="16.5" customHeight="1" x14ac:dyDescent="0.25">
      <c r="B11" s="11" t="s">
        <v>112</v>
      </c>
      <c r="C11" s="14"/>
      <c r="D11" s="14"/>
      <c r="E11" s="14"/>
      <c r="F11" s="14"/>
      <c r="G11" s="14"/>
      <c r="H11" s="14"/>
    </row>
    <row r="12" spans="2:8" ht="16.5" customHeight="1" x14ac:dyDescent="0.25">
      <c r="B12" s="12" t="s">
        <v>113</v>
      </c>
      <c r="C12" s="49" t="s">
        <v>114</v>
      </c>
      <c r="D12" s="40"/>
      <c r="E12" s="40"/>
      <c r="F12" s="40"/>
      <c r="G12" s="40"/>
      <c r="H12" s="40"/>
    </row>
    <row r="13" spans="2:8" ht="16.5" customHeight="1" x14ac:dyDescent="0.25">
      <c r="B13" s="12" t="s">
        <v>115</v>
      </c>
      <c r="C13" s="49" t="s">
        <v>116</v>
      </c>
      <c r="D13" s="40"/>
      <c r="E13" s="40"/>
      <c r="F13" s="40"/>
      <c r="G13" s="40"/>
      <c r="H13" s="40"/>
    </row>
    <row r="14" spans="2:8" ht="16.5" customHeight="1" x14ac:dyDescent="0.25">
      <c r="B14" s="12" t="s">
        <v>117</v>
      </c>
      <c r="C14" s="49" t="s">
        <v>118</v>
      </c>
      <c r="D14" s="40"/>
      <c r="E14" s="40"/>
      <c r="F14" s="40"/>
      <c r="G14" s="40"/>
      <c r="H14" s="40"/>
    </row>
    <row r="15" spans="2:8" ht="14.5" customHeight="1" x14ac:dyDescent="0.25">
      <c r="B15" s="12" t="s">
        <v>119</v>
      </c>
      <c r="C15" s="23" t="s">
        <v>120</v>
      </c>
    </row>
    <row r="16" spans="2:8" x14ac:dyDescent="0.25">
      <c r="B16" s="12" t="s">
        <v>121</v>
      </c>
      <c r="C16" s="36">
        <v>0</v>
      </c>
    </row>
    <row r="17" spans="2:3" x14ac:dyDescent="0.25">
      <c r="B17" s="12" t="s">
        <v>122</v>
      </c>
      <c r="C17" s="22">
        <v>242</v>
      </c>
    </row>
    <row r="18" spans="2:3" ht="14.5" customHeight="1" x14ac:dyDescent="0.25">
      <c r="B18" s="12" t="s">
        <v>123</v>
      </c>
      <c r="C18" s="23" t="s">
        <v>124</v>
      </c>
    </row>
    <row r="19" spans="2:3" ht="14.5" customHeight="1" x14ac:dyDescent="0.3">
      <c r="B19" s="10" t="s">
        <v>125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实盘持仓配置</vt:lpstr>
      <vt:lpstr>实盘净值数据(iFinD公式)</vt:lpstr>
      <vt:lpstr>实盘组合净值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2026-06-30T04:29:04Z</dcterms:modified>
</cp:coreProperties>
</file>