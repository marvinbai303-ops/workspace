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-120" yWindow="-120" windowWidth="22920" windowHeight="14370" activeTab="1"/>
  </bookViews>
  <sheets>
    <sheet name="实盘持仓初始配置" sheetId="1" r:id="rId1"/>
    <sheet name="偏离度监控" sheetId="13" r:id="rId2"/>
    <sheet name="vs固收+对比" sheetId="14" r:id="rId3"/>
    <sheet name="实盘净值数据(iFinD公式)" sheetId="2" r:id="rId4"/>
    <sheet name="实盘组合净值" sheetId="3" r:id="rId5"/>
    <sheet name="分期持仓明细" sheetId="4" r:id="rId6"/>
    <sheet name="看板-产业趋势" sheetId="5" r:id="rId7"/>
    <sheet name="看板-产业趋势基石" sheetId="6" r:id="rId8"/>
    <sheet name="看板-产业趋势2号" sheetId="7" r:id="rId9"/>
    <sheet name="看板-10-90" sheetId="8" r:id="rId10"/>
    <sheet name="看板-10-90基石" sheetId="9" r:id="rId11"/>
    <sheet name="看板-30-70" sheetId="10" r:id="rId12"/>
    <sheet name="说明" sheetId="11" r:id="rId13"/>
  </sheets>
  <externalReferences>
    <externalReference r:id="rId14"/>
  </externalReferences>
  <definedNames>
    <definedName name="_ChartDates" localSheetId="9">实盘组合净值!$A$8:INDEX(实盘组合净值!$A$8:$A$1000,MATCH(9.99999999999999E+307,实盘组合净值!$A$8:$A$1000))</definedName>
    <definedName name="_ChartDates" localSheetId="10">实盘组合净值!$A$5:INDEX(实盘组合净值!$A$5:$A$1000,MATCH(9.99999999999999E+307,实盘组合净值!$A$5:$A$1000))</definedName>
    <definedName name="_ChartDates" localSheetId="11">实盘组合净值!$A$8:INDEX(实盘组合净值!$A$8:$A$1000,MATCH(9.99999999999999E+307,实盘组合净值!$A$8:$A$1000))</definedName>
    <definedName name="_ChartDates" localSheetId="6">实盘组合净值!$A$6:INDEX(实盘组合净值!$A$6:$A$1000,MATCH(9.99999999999999E+307,实盘组合净值!$A$6:$A$1000))</definedName>
    <definedName name="_ChartDates" localSheetId="8">实盘组合净值!$A$7:INDEX(实盘组合净值!$A$7:$A$1000,MATCH(9.99999999999999E+307,实盘组合净值!$A$7:$A$1000))</definedName>
    <definedName name="_ChartDates" localSheetId="7">实盘组合净值!$A$5:INDEX(实盘组合净值!$A$5:$A$1000,MATCH(9.99999999999999E+307,实盘组合净值!$A$5:$A$1000))</definedName>
    <definedName name="_ChartValues" localSheetId="9">实盘组合净值!$K$8:INDEX(实盘组合净值!$K$8:$K$1000,MATCH(9.99999999999999E+307,实盘组合净值!$A$8:$A$1000))</definedName>
    <definedName name="_ChartValues" localSheetId="10">实盘组合净值!$N$5:INDEX(实盘组合净值!$N$5:$N$1000,MATCH(9.99999999999999E+307,实盘组合净值!$A$5:$A$1000))</definedName>
    <definedName name="_ChartValues" localSheetId="11">实盘组合净值!$Q$8:INDEX(实盘组合净值!$Q$8:$Q$1000,MATCH(9.99999999999999E+307,实盘组合净值!$A$8:$A$1000))</definedName>
    <definedName name="_ChartValues" localSheetId="6">实盘组合净值!$B$6:INDEX(实盘组合净值!$B$6:$B$1000,MATCH(9.99999999999999E+307,实盘组合净值!$A$6:$A$1000))</definedName>
    <definedName name="_ChartValues" localSheetId="8">实盘组合净值!$H$7:INDEX(实盘组合净值!$H$7:$H$1000,MATCH(9.99999999999999E+307,实盘组合净值!$A$7:$A$1000))</definedName>
    <definedName name="_ChartValues" localSheetId="7">实盘组合净值!$E$5:INDEX(实盘组合净值!$E$5:$E$1000,MATCH(9.99999999999999E+307,实盘组合净值!$A$5:$A$1000))</definedName>
  </definedNames>
  <calcPr calcId="15251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4" l="1"/>
  <c r="H22" i="14"/>
  <c r="H37" i="14" s="1"/>
  <c r="C23" i="14"/>
  <c r="B22" i="14"/>
  <c r="B37" i="14" s="1"/>
  <c r="C22" i="14"/>
  <c r="C37" i="14" s="1"/>
  <c r="D22" i="14"/>
  <c r="E22" i="14"/>
  <c r="E37" i="14" s="1"/>
  <c r="F22" i="14"/>
  <c r="F37" i="14" s="1"/>
  <c r="G22" i="14"/>
  <c r="G37" i="14" s="1"/>
  <c r="A22" i="14"/>
  <c r="A37" i="14" s="1"/>
  <c r="M88" i="13"/>
  <c r="N88" i="13"/>
  <c r="O88" i="13"/>
  <c r="P88" i="13"/>
  <c r="Q88" i="13"/>
  <c r="R88" i="13"/>
  <c r="M89" i="13"/>
  <c r="N89" i="13"/>
  <c r="O89" i="13"/>
  <c r="P89" i="13"/>
  <c r="Q89" i="13"/>
  <c r="R89" i="13"/>
  <c r="M90" i="13"/>
  <c r="N90" i="13"/>
  <c r="O90" i="13"/>
  <c r="P90" i="13"/>
  <c r="Q90" i="13"/>
  <c r="R90" i="13"/>
  <c r="M91" i="13"/>
  <c r="N91" i="13"/>
  <c r="O91" i="13"/>
  <c r="P91" i="13"/>
  <c r="Q91" i="13"/>
  <c r="R91" i="13"/>
  <c r="M92" i="13"/>
  <c r="N92" i="13"/>
  <c r="O92" i="13"/>
  <c r="P92" i="13"/>
  <c r="Q92" i="13"/>
  <c r="R92" i="13"/>
  <c r="M93" i="13"/>
  <c r="N93" i="13"/>
  <c r="O93" i="13"/>
  <c r="P93" i="13"/>
  <c r="Q93" i="13"/>
  <c r="R93" i="13"/>
  <c r="M94" i="13"/>
  <c r="N94" i="13"/>
  <c r="O94" i="13"/>
  <c r="P94" i="13"/>
  <c r="Q94" i="13"/>
  <c r="R94" i="13"/>
  <c r="M95" i="13"/>
  <c r="N95" i="13"/>
  <c r="O95" i="13"/>
  <c r="P95" i="13"/>
  <c r="Q95" i="13"/>
  <c r="R95" i="13"/>
  <c r="M96" i="13"/>
  <c r="N96" i="13"/>
  <c r="O96" i="13"/>
  <c r="P96" i="13"/>
  <c r="Q96" i="13"/>
  <c r="R96" i="13"/>
  <c r="M97" i="13"/>
  <c r="N97" i="13"/>
  <c r="O97" i="13"/>
  <c r="P97" i="13"/>
  <c r="Q97" i="13"/>
  <c r="R97" i="13"/>
  <c r="M98" i="13"/>
  <c r="N98" i="13"/>
  <c r="O98" i="13"/>
  <c r="P98" i="13"/>
  <c r="Q98" i="13"/>
  <c r="R98" i="13"/>
  <c r="M99" i="13"/>
  <c r="N99" i="13"/>
  <c r="O99" i="13"/>
  <c r="P99" i="13"/>
  <c r="Q99" i="13"/>
  <c r="R99" i="13"/>
  <c r="M100" i="13"/>
  <c r="N100" i="13"/>
  <c r="O100" i="13"/>
  <c r="P100" i="13"/>
  <c r="Q100" i="13"/>
  <c r="R100" i="13"/>
  <c r="M101" i="13"/>
  <c r="N101" i="13"/>
  <c r="O101" i="13"/>
  <c r="P101" i="13"/>
  <c r="Q101" i="13"/>
  <c r="R101" i="13"/>
  <c r="M102" i="13"/>
  <c r="N102" i="13"/>
  <c r="O102" i="13"/>
  <c r="P102" i="13"/>
  <c r="Q102" i="13"/>
  <c r="R102" i="13"/>
  <c r="M103" i="13"/>
  <c r="N103" i="13"/>
  <c r="O103" i="13"/>
  <c r="P103" i="13"/>
  <c r="Q103" i="13"/>
  <c r="R103" i="13"/>
  <c r="M104" i="13"/>
  <c r="N104" i="13"/>
  <c r="O104" i="13"/>
  <c r="P104" i="13"/>
  <c r="Q104" i="13"/>
  <c r="R104" i="13"/>
  <c r="M105" i="13"/>
  <c r="N105" i="13"/>
  <c r="O105" i="13"/>
  <c r="P105" i="13"/>
  <c r="Q105" i="13"/>
  <c r="R105" i="13"/>
  <c r="M106" i="13"/>
  <c r="N106" i="13"/>
  <c r="O106" i="13"/>
  <c r="P106" i="13"/>
  <c r="Q106" i="13"/>
  <c r="R106" i="13"/>
  <c r="M107" i="13"/>
  <c r="N107" i="13"/>
  <c r="O107" i="13"/>
  <c r="P107" i="13"/>
  <c r="Q107" i="13"/>
  <c r="R107" i="13"/>
  <c r="M108" i="13"/>
  <c r="N108" i="13"/>
  <c r="O108" i="13"/>
  <c r="P108" i="13"/>
  <c r="Q108" i="13"/>
  <c r="R108" i="13"/>
  <c r="M109" i="13"/>
  <c r="N109" i="13"/>
  <c r="O109" i="13"/>
  <c r="P109" i="13"/>
  <c r="Q109" i="13"/>
  <c r="R109" i="13"/>
  <c r="M110" i="13"/>
  <c r="N110" i="13"/>
  <c r="O110" i="13"/>
  <c r="P110" i="13"/>
  <c r="Q110" i="13"/>
  <c r="R110" i="13"/>
  <c r="M111" i="13"/>
  <c r="N111" i="13"/>
  <c r="O111" i="13"/>
  <c r="P111" i="13"/>
  <c r="Q111" i="13"/>
  <c r="R111" i="13"/>
  <c r="M112" i="13"/>
  <c r="N112" i="13"/>
  <c r="O112" i="13"/>
  <c r="P112" i="13"/>
  <c r="Q112" i="13"/>
  <c r="R112" i="13"/>
  <c r="M113" i="13"/>
  <c r="N113" i="13"/>
  <c r="O113" i="13"/>
  <c r="P113" i="13"/>
  <c r="Q113" i="13"/>
  <c r="R113" i="13"/>
  <c r="R281" i="13"/>
  <c r="Q281" i="13"/>
  <c r="P281" i="13"/>
  <c r="O281" i="13"/>
  <c r="N281" i="13"/>
  <c r="M281" i="13"/>
  <c r="R280" i="13"/>
  <c r="Q280" i="13"/>
  <c r="P280" i="13"/>
  <c r="O280" i="13"/>
  <c r="N280" i="13"/>
  <c r="M280" i="13"/>
  <c r="R279" i="13"/>
  <c r="Q279" i="13"/>
  <c r="P279" i="13"/>
  <c r="O279" i="13"/>
  <c r="N279" i="13"/>
  <c r="M279" i="13"/>
  <c r="R278" i="13"/>
  <c r="Q278" i="13"/>
  <c r="P278" i="13"/>
  <c r="O278" i="13"/>
  <c r="N278" i="13"/>
  <c r="M278" i="13"/>
  <c r="R277" i="13"/>
  <c r="Q277" i="13"/>
  <c r="P277" i="13"/>
  <c r="O277" i="13"/>
  <c r="N277" i="13"/>
  <c r="M277" i="13"/>
  <c r="R276" i="13"/>
  <c r="Q276" i="13"/>
  <c r="P276" i="13"/>
  <c r="O276" i="13"/>
  <c r="N276" i="13"/>
  <c r="M276" i="13"/>
  <c r="R275" i="13"/>
  <c r="Q275" i="13"/>
  <c r="P275" i="13"/>
  <c r="O275" i="13"/>
  <c r="N275" i="13"/>
  <c r="M275" i="13"/>
  <c r="R274" i="13"/>
  <c r="Q274" i="13"/>
  <c r="P274" i="13"/>
  <c r="O274" i="13"/>
  <c r="N274" i="13"/>
  <c r="M274" i="13"/>
  <c r="R273" i="13"/>
  <c r="Q273" i="13"/>
  <c r="P273" i="13"/>
  <c r="O273" i="13"/>
  <c r="N273" i="13"/>
  <c r="M273" i="13"/>
  <c r="R272" i="13"/>
  <c r="Q272" i="13"/>
  <c r="P272" i="13"/>
  <c r="O272" i="13"/>
  <c r="N272" i="13"/>
  <c r="M272" i="13"/>
  <c r="R271" i="13"/>
  <c r="Q271" i="13"/>
  <c r="P271" i="13"/>
  <c r="O271" i="13"/>
  <c r="N271" i="13"/>
  <c r="M271" i="13"/>
  <c r="R270" i="13"/>
  <c r="Q270" i="13"/>
  <c r="P270" i="13"/>
  <c r="O270" i="13"/>
  <c r="N270" i="13"/>
  <c r="M270" i="13"/>
  <c r="R269" i="13"/>
  <c r="Q269" i="13"/>
  <c r="P269" i="13"/>
  <c r="O269" i="13"/>
  <c r="N269" i="13"/>
  <c r="M269" i="13"/>
  <c r="R268" i="13"/>
  <c r="Q268" i="13"/>
  <c r="P268" i="13"/>
  <c r="O268" i="13"/>
  <c r="N268" i="13"/>
  <c r="M268" i="13"/>
  <c r="R267" i="13"/>
  <c r="Q267" i="13"/>
  <c r="P267" i="13"/>
  <c r="O267" i="13"/>
  <c r="N267" i="13"/>
  <c r="M267" i="13"/>
  <c r="R266" i="13"/>
  <c r="Q266" i="13"/>
  <c r="P266" i="13"/>
  <c r="O266" i="13"/>
  <c r="N266" i="13"/>
  <c r="M266" i="13"/>
  <c r="R265" i="13"/>
  <c r="Q265" i="13"/>
  <c r="P265" i="13"/>
  <c r="O265" i="13"/>
  <c r="N265" i="13"/>
  <c r="M265" i="13"/>
  <c r="R264" i="13"/>
  <c r="Q264" i="13"/>
  <c r="P264" i="13"/>
  <c r="O264" i="13"/>
  <c r="N264" i="13"/>
  <c r="M264" i="13"/>
  <c r="R263" i="13"/>
  <c r="Q263" i="13"/>
  <c r="P263" i="13"/>
  <c r="O263" i="13"/>
  <c r="N263" i="13"/>
  <c r="M263" i="13"/>
  <c r="R262" i="13"/>
  <c r="Q262" i="13"/>
  <c r="P262" i="13"/>
  <c r="O262" i="13"/>
  <c r="N262" i="13"/>
  <c r="M262" i="13"/>
  <c r="R261" i="13"/>
  <c r="Q261" i="13"/>
  <c r="P261" i="13"/>
  <c r="O261" i="13"/>
  <c r="N261" i="13"/>
  <c r="M261" i="13"/>
  <c r="R260" i="13"/>
  <c r="Q260" i="13"/>
  <c r="P260" i="13"/>
  <c r="O260" i="13"/>
  <c r="N260" i="13"/>
  <c r="M260" i="13"/>
  <c r="R259" i="13"/>
  <c r="Q259" i="13"/>
  <c r="P259" i="13"/>
  <c r="O259" i="13"/>
  <c r="N259" i="13"/>
  <c r="M259" i="13"/>
  <c r="R258" i="13"/>
  <c r="Q258" i="13"/>
  <c r="P258" i="13"/>
  <c r="O258" i="13"/>
  <c r="N258" i="13"/>
  <c r="M258" i="13"/>
  <c r="R257" i="13"/>
  <c r="Q257" i="13"/>
  <c r="P257" i="13"/>
  <c r="O257" i="13"/>
  <c r="N257" i="13"/>
  <c r="M257" i="13"/>
  <c r="R256" i="13"/>
  <c r="Q256" i="13"/>
  <c r="P256" i="13"/>
  <c r="O256" i="13"/>
  <c r="N256" i="13"/>
  <c r="M256" i="13"/>
  <c r="R255" i="13"/>
  <c r="Q255" i="13"/>
  <c r="P255" i="13"/>
  <c r="O255" i="13"/>
  <c r="N255" i="13"/>
  <c r="M255" i="13"/>
  <c r="R254" i="13"/>
  <c r="Q254" i="13"/>
  <c r="P254" i="13"/>
  <c r="O254" i="13"/>
  <c r="N254" i="13"/>
  <c r="M254" i="13"/>
  <c r="R253" i="13"/>
  <c r="Q253" i="13"/>
  <c r="P253" i="13"/>
  <c r="O253" i="13"/>
  <c r="N253" i="13"/>
  <c r="M253" i="13"/>
  <c r="R252" i="13"/>
  <c r="Q252" i="13"/>
  <c r="P252" i="13"/>
  <c r="O252" i="13"/>
  <c r="N252" i="13"/>
  <c r="M252" i="13"/>
  <c r="R251" i="13"/>
  <c r="Q251" i="13"/>
  <c r="P251" i="13"/>
  <c r="O251" i="13"/>
  <c r="N251" i="13"/>
  <c r="M251" i="13"/>
  <c r="R250" i="13"/>
  <c r="Q250" i="13"/>
  <c r="P250" i="13"/>
  <c r="O250" i="13"/>
  <c r="N250" i="13"/>
  <c r="M250" i="13"/>
  <c r="R249" i="13"/>
  <c r="Q249" i="13"/>
  <c r="P249" i="13"/>
  <c r="O249" i="13"/>
  <c r="N249" i="13"/>
  <c r="M249" i="13"/>
  <c r="R248" i="13"/>
  <c r="Q248" i="13"/>
  <c r="P248" i="13"/>
  <c r="O248" i="13"/>
  <c r="N248" i="13"/>
  <c r="M248" i="13"/>
  <c r="R247" i="13"/>
  <c r="Q247" i="13"/>
  <c r="P247" i="13"/>
  <c r="O247" i="13"/>
  <c r="N247" i="13"/>
  <c r="M247" i="13"/>
  <c r="R246" i="13"/>
  <c r="Q246" i="13"/>
  <c r="P246" i="13"/>
  <c r="O246" i="13"/>
  <c r="N246" i="13"/>
  <c r="M246" i="13"/>
  <c r="R245" i="13"/>
  <c r="Q245" i="13"/>
  <c r="P245" i="13"/>
  <c r="O245" i="13"/>
  <c r="N245" i="13"/>
  <c r="M245" i="13"/>
  <c r="R244" i="13"/>
  <c r="Q244" i="13"/>
  <c r="P244" i="13"/>
  <c r="O244" i="13"/>
  <c r="N244" i="13"/>
  <c r="M244" i="13"/>
  <c r="R243" i="13"/>
  <c r="Q243" i="13"/>
  <c r="P243" i="13"/>
  <c r="O243" i="13"/>
  <c r="N243" i="13"/>
  <c r="M243" i="13"/>
  <c r="R242" i="13"/>
  <c r="Q242" i="13"/>
  <c r="P242" i="13"/>
  <c r="O242" i="13"/>
  <c r="N242" i="13"/>
  <c r="M242" i="13"/>
  <c r="R241" i="13"/>
  <c r="Q241" i="13"/>
  <c r="P241" i="13"/>
  <c r="O241" i="13"/>
  <c r="N241" i="13"/>
  <c r="M241" i="13"/>
  <c r="R240" i="13"/>
  <c r="Q240" i="13"/>
  <c r="P240" i="13"/>
  <c r="O240" i="13"/>
  <c r="N240" i="13"/>
  <c r="M240" i="13"/>
  <c r="R239" i="13"/>
  <c r="Q239" i="13"/>
  <c r="P239" i="13"/>
  <c r="O239" i="13"/>
  <c r="N239" i="13"/>
  <c r="M239" i="13"/>
  <c r="R238" i="13"/>
  <c r="Q238" i="13"/>
  <c r="P238" i="13"/>
  <c r="O238" i="13"/>
  <c r="N238" i="13"/>
  <c r="M238" i="13"/>
  <c r="R237" i="13"/>
  <c r="Q237" i="13"/>
  <c r="P237" i="13"/>
  <c r="O237" i="13"/>
  <c r="N237" i="13"/>
  <c r="M237" i="13"/>
  <c r="R236" i="13"/>
  <c r="Q236" i="13"/>
  <c r="P236" i="13"/>
  <c r="O236" i="13"/>
  <c r="N236" i="13"/>
  <c r="M236" i="13"/>
  <c r="R235" i="13"/>
  <c r="Q235" i="13"/>
  <c r="P235" i="13"/>
  <c r="O235" i="13"/>
  <c r="N235" i="13"/>
  <c r="M235" i="13"/>
  <c r="R234" i="13"/>
  <c r="Q234" i="13"/>
  <c r="P234" i="13"/>
  <c r="O234" i="13"/>
  <c r="N234" i="13"/>
  <c r="M234" i="13"/>
  <c r="R233" i="13"/>
  <c r="Q233" i="13"/>
  <c r="P233" i="13"/>
  <c r="O233" i="13"/>
  <c r="N233" i="13"/>
  <c r="M233" i="13"/>
  <c r="R232" i="13"/>
  <c r="Q232" i="13"/>
  <c r="P232" i="13"/>
  <c r="O232" i="13"/>
  <c r="N232" i="13"/>
  <c r="M232" i="13"/>
  <c r="R231" i="13"/>
  <c r="Q231" i="13"/>
  <c r="P231" i="13"/>
  <c r="O231" i="13"/>
  <c r="N231" i="13"/>
  <c r="M231" i="13"/>
  <c r="R230" i="13"/>
  <c r="Q230" i="13"/>
  <c r="P230" i="13"/>
  <c r="O230" i="13"/>
  <c r="N230" i="13"/>
  <c r="M230" i="13"/>
  <c r="R229" i="13"/>
  <c r="Q229" i="13"/>
  <c r="P229" i="13"/>
  <c r="O229" i="13"/>
  <c r="N229" i="13"/>
  <c r="M229" i="13"/>
  <c r="R228" i="13"/>
  <c r="Q228" i="13"/>
  <c r="P228" i="13"/>
  <c r="O228" i="13"/>
  <c r="N228" i="13"/>
  <c r="M228" i="13"/>
  <c r="R227" i="13"/>
  <c r="Q227" i="13"/>
  <c r="P227" i="13"/>
  <c r="O227" i="13"/>
  <c r="N227" i="13"/>
  <c r="M227" i="13"/>
  <c r="R226" i="13"/>
  <c r="Q226" i="13"/>
  <c r="P226" i="13"/>
  <c r="O226" i="13"/>
  <c r="N226" i="13"/>
  <c r="M226" i="13"/>
  <c r="R225" i="13"/>
  <c r="Q225" i="13"/>
  <c r="P225" i="13"/>
  <c r="O225" i="13"/>
  <c r="N225" i="13"/>
  <c r="M225" i="13"/>
  <c r="R224" i="13"/>
  <c r="Q224" i="13"/>
  <c r="P224" i="13"/>
  <c r="O224" i="13"/>
  <c r="N224" i="13"/>
  <c r="M224" i="13"/>
  <c r="R223" i="13"/>
  <c r="Q223" i="13"/>
  <c r="P223" i="13"/>
  <c r="O223" i="13"/>
  <c r="N223" i="13"/>
  <c r="M223" i="13"/>
  <c r="R222" i="13"/>
  <c r="Q222" i="13"/>
  <c r="P222" i="13"/>
  <c r="O222" i="13"/>
  <c r="N222" i="13"/>
  <c r="M222" i="13"/>
  <c r="R221" i="13"/>
  <c r="Q221" i="13"/>
  <c r="P221" i="13"/>
  <c r="O221" i="13"/>
  <c r="N221" i="13"/>
  <c r="M221" i="13"/>
  <c r="R220" i="13"/>
  <c r="Q220" i="13"/>
  <c r="P220" i="13"/>
  <c r="O220" i="13"/>
  <c r="N220" i="13"/>
  <c r="M220" i="13"/>
  <c r="R219" i="13"/>
  <c r="Q219" i="13"/>
  <c r="P219" i="13"/>
  <c r="O219" i="13"/>
  <c r="N219" i="13"/>
  <c r="M219" i="13"/>
  <c r="R218" i="13"/>
  <c r="Q218" i="13"/>
  <c r="P218" i="13"/>
  <c r="O218" i="13"/>
  <c r="N218" i="13"/>
  <c r="M218" i="13"/>
  <c r="R217" i="13"/>
  <c r="Q217" i="13"/>
  <c r="P217" i="13"/>
  <c r="O217" i="13"/>
  <c r="N217" i="13"/>
  <c r="M217" i="13"/>
  <c r="R216" i="13"/>
  <c r="Q216" i="13"/>
  <c r="P216" i="13"/>
  <c r="O216" i="13"/>
  <c r="N216" i="13"/>
  <c r="M216" i="13"/>
  <c r="R215" i="13"/>
  <c r="Q215" i="13"/>
  <c r="P215" i="13"/>
  <c r="O215" i="13"/>
  <c r="N215" i="13"/>
  <c r="M215" i="13"/>
  <c r="R214" i="13"/>
  <c r="Q214" i="13"/>
  <c r="P214" i="13"/>
  <c r="O214" i="13"/>
  <c r="N214" i="13"/>
  <c r="M214" i="13"/>
  <c r="R213" i="13"/>
  <c r="Q213" i="13"/>
  <c r="P213" i="13"/>
  <c r="O213" i="13"/>
  <c r="N213" i="13"/>
  <c r="M213" i="13"/>
  <c r="R212" i="13"/>
  <c r="Q212" i="13"/>
  <c r="P212" i="13"/>
  <c r="O212" i="13"/>
  <c r="N212" i="13"/>
  <c r="M212" i="13"/>
  <c r="R211" i="13"/>
  <c r="Q211" i="13"/>
  <c r="P211" i="13"/>
  <c r="O211" i="13"/>
  <c r="N211" i="13"/>
  <c r="M211" i="13"/>
  <c r="R210" i="13"/>
  <c r="Q210" i="13"/>
  <c r="P210" i="13"/>
  <c r="O210" i="13"/>
  <c r="N210" i="13"/>
  <c r="M210" i="13"/>
  <c r="R209" i="13"/>
  <c r="Q209" i="13"/>
  <c r="P209" i="13"/>
  <c r="O209" i="13"/>
  <c r="N209" i="13"/>
  <c r="M209" i="13"/>
  <c r="R208" i="13"/>
  <c r="Q208" i="13"/>
  <c r="P208" i="13"/>
  <c r="O208" i="13"/>
  <c r="N208" i="13"/>
  <c r="M208" i="13"/>
  <c r="R207" i="13"/>
  <c r="Q207" i="13"/>
  <c r="P207" i="13"/>
  <c r="O207" i="13"/>
  <c r="N207" i="13"/>
  <c r="M207" i="13"/>
  <c r="R206" i="13"/>
  <c r="Q206" i="13"/>
  <c r="P206" i="13"/>
  <c r="O206" i="13"/>
  <c r="N206" i="13"/>
  <c r="M206" i="13"/>
  <c r="R205" i="13"/>
  <c r="Q205" i="13"/>
  <c r="P205" i="13"/>
  <c r="O205" i="13"/>
  <c r="N205" i="13"/>
  <c r="M205" i="13"/>
  <c r="R204" i="13"/>
  <c r="Q204" i="13"/>
  <c r="P204" i="13"/>
  <c r="O204" i="13"/>
  <c r="N204" i="13"/>
  <c r="M204" i="13"/>
  <c r="R203" i="13"/>
  <c r="Q203" i="13"/>
  <c r="P203" i="13"/>
  <c r="O203" i="13"/>
  <c r="N203" i="13"/>
  <c r="M203" i="13"/>
  <c r="R202" i="13"/>
  <c r="Q202" i="13"/>
  <c r="P202" i="13"/>
  <c r="O202" i="13"/>
  <c r="N202" i="13"/>
  <c r="M202" i="13"/>
  <c r="R201" i="13"/>
  <c r="Q201" i="13"/>
  <c r="P201" i="13"/>
  <c r="O201" i="13"/>
  <c r="N201" i="13"/>
  <c r="M201" i="13"/>
  <c r="R200" i="13"/>
  <c r="Q200" i="13"/>
  <c r="P200" i="13"/>
  <c r="O200" i="13"/>
  <c r="N200" i="13"/>
  <c r="M200" i="13"/>
  <c r="R199" i="13"/>
  <c r="Q199" i="13"/>
  <c r="P199" i="13"/>
  <c r="O199" i="13"/>
  <c r="N199" i="13"/>
  <c r="M199" i="13"/>
  <c r="R198" i="13"/>
  <c r="Q198" i="13"/>
  <c r="P198" i="13"/>
  <c r="O198" i="13"/>
  <c r="N198" i="13"/>
  <c r="M198" i="13"/>
  <c r="R197" i="13"/>
  <c r="Q197" i="13"/>
  <c r="P197" i="13"/>
  <c r="O197" i="13"/>
  <c r="N197" i="13"/>
  <c r="M197" i="13"/>
  <c r="R196" i="13"/>
  <c r="Q196" i="13"/>
  <c r="P196" i="13"/>
  <c r="O196" i="13"/>
  <c r="N196" i="13"/>
  <c r="M196" i="13"/>
  <c r="R195" i="13"/>
  <c r="Q195" i="13"/>
  <c r="P195" i="13"/>
  <c r="O195" i="13"/>
  <c r="N195" i="13"/>
  <c r="M195" i="13"/>
  <c r="R194" i="13"/>
  <c r="Q194" i="13"/>
  <c r="P194" i="13"/>
  <c r="O194" i="13"/>
  <c r="N194" i="13"/>
  <c r="M194" i="13"/>
  <c r="R193" i="13"/>
  <c r="Q193" i="13"/>
  <c r="P193" i="13"/>
  <c r="O193" i="13"/>
  <c r="N193" i="13"/>
  <c r="M193" i="13"/>
  <c r="R192" i="13"/>
  <c r="Q192" i="13"/>
  <c r="P192" i="13"/>
  <c r="O192" i="13"/>
  <c r="N192" i="13"/>
  <c r="M192" i="13"/>
  <c r="R191" i="13"/>
  <c r="Q191" i="13"/>
  <c r="P191" i="13"/>
  <c r="O191" i="13"/>
  <c r="N191" i="13"/>
  <c r="M191" i="13"/>
  <c r="R190" i="13"/>
  <c r="Q190" i="13"/>
  <c r="P190" i="13"/>
  <c r="O190" i="13"/>
  <c r="N190" i="13"/>
  <c r="M190" i="13"/>
  <c r="R189" i="13"/>
  <c r="Q189" i="13"/>
  <c r="P189" i="13"/>
  <c r="O189" i="13"/>
  <c r="N189" i="13"/>
  <c r="M189" i="13"/>
  <c r="R188" i="13"/>
  <c r="Q188" i="13"/>
  <c r="P188" i="13"/>
  <c r="O188" i="13"/>
  <c r="N188" i="13"/>
  <c r="M188" i="13"/>
  <c r="R187" i="13"/>
  <c r="Q187" i="13"/>
  <c r="P187" i="13"/>
  <c r="O187" i="13"/>
  <c r="N187" i="13"/>
  <c r="M187" i="13"/>
  <c r="R186" i="13"/>
  <c r="Q186" i="13"/>
  <c r="P186" i="13"/>
  <c r="O186" i="13"/>
  <c r="N186" i="13"/>
  <c r="M186" i="13"/>
  <c r="R185" i="13"/>
  <c r="Q185" i="13"/>
  <c r="P185" i="13"/>
  <c r="O185" i="13"/>
  <c r="N185" i="13"/>
  <c r="M185" i="13"/>
  <c r="R184" i="13"/>
  <c r="Q184" i="13"/>
  <c r="P184" i="13"/>
  <c r="O184" i="13"/>
  <c r="N184" i="13"/>
  <c r="M184" i="13"/>
  <c r="R183" i="13"/>
  <c r="Q183" i="13"/>
  <c r="P183" i="13"/>
  <c r="O183" i="13"/>
  <c r="N183" i="13"/>
  <c r="M183" i="13"/>
  <c r="R182" i="13"/>
  <c r="Q182" i="13"/>
  <c r="P182" i="13"/>
  <c r="O182" i="13"/>
  <c r="N182" i="13"/>
  <c r="M182" i="13"/>
  <c r="R181" i="13"/>
  <c r="Q181" i="13"/>
  <c r="P181" i="13"/>
  <c r="O181" i="13"/>
  <c r="N181" i="13"/>
  <c r="M181" i="13"/>
  <c r="R180" i="13"/>
  <c r="Q180" i="13"/>
  <c r="P180" i="13"/>
  <c r="O180" i="13"/>
  <c r="N180" i="13"/>
  <c r="M180" i="13"/>
  <c r="R179" i="13"/>
  <c r="Q179" i="13"/>
  <c r="P179" i="13"/>
  <c r="O179" i="13"/>
  <c r="N179" i="13"/>
  <c r="M179" i="13"/>
  <c r="R178" i="13"/>
  <c r="Q178" i="13"/>
  <c r="P178" i="13"/>
  <c r="O178" i="13"/>
  <c r="N178" i="13"/>
  <c r="M178" i="13"/>
  <c r="R177" i="13"/>
  <c r="Q177" i="13"/>
  <c r="P177" i="13"/>
  <c r="O177" i="13"/>
  <c r="N177" i="13"/>
  <c r="M177" i="13"/>
  <c r="R176" i="13"/>
  <c r="Q176" i="13"/>
  <c r="P176" i="13"/>
  <c r="O176" i="13"/>
  <c r="N176" i="13"/>
  <c r="M176" i="13"/>
  <c r="R175" i="13"/>
  <c r="Q175" i="13"/>
  <c r="P175" i="13"/>
  <c r="O175" i="13"/>
  <c r="N175" i="13"/>
  <c r="M175" i="13"/>
  <c r="R174" i="13"/>
  <c r="Q174" i="13"/>
  <c r="P174" i="13"/>
  <c r="O174" i="13"/>
  <c r="N174" i="13"/>
  <c r="M174" i="13"/>
  <c r="R173" i="13"/>
  <c r="Q173" i="13"/>
  <c r="P173" i="13"/>
  <c r="O173" i="13"/>
  <c r="N173" i="13"/>
  <c r="M173" i="13"/>
  <c r="R172" i="13"/>
  <c r="Q172" i="13"/>
  <c r="P172" i="13"/>
  <c r="O172" i="13"/>
  <c r="N172" i="13"/>
  <c r="M172" i="13"/>
  <c r="R171" i="13"/>
  <c r="Q171" i="13"/>
  <c r="P171" i="13"/>
  <c r="O171" i="13"/>
  <c r="N171" i="13"/>
  <c r="M171" i="13"/>
  <c r="R170" i="13"/>
  <c r="Q170" i="13"/>
  <c r="P170" i="13"/>
  <c r="O170" i="13"/>
  <c r="N170" i="13"/>
  <c r="M170" i="13"/>
  <c r="R169" i="13"/>
  <c r="Q169" i="13"/>
  <c r="P169" i="13"/>
  <c r="O169" i="13"/>
  <c r="N169" i="13"/>
  <c r="M169" i="13"/>
  <c r="R168" i="13"/>
  <c r="Q168" i="13"/>
  <c r="P168" i="13"/>
  <c r="O168" i="13"/>
  <c r="N168" i="13"/>
  <c r="M168" i="13"/>
  <c r="R167" i="13"/>
  <c r="Q167" i="13"/>
  <c r="P167" i="13"/>
  <c r="O167" i="13"/>
  <c r="N167" i="13"/>
  <c r="M167" i="13"/>
  <c r="R166" i="13"/>
  <c r="Q166" i="13"/>
  <c r="P166" i="13"/>
  <c r="O166" i="13"/>
  <c r="N166" i="13"/>
  <c r="M166" i="13"/>
  <c r="R165" i="13"/>
  <c r="Q165" i="13"/>
  <c r="P165" i="13"/>
  <c r="O165" i="13"/>
  <c r="N165" i="13"/>
  <c r="M165" i="13"/>
  <c r="R164" i="13"/>
  <c r="Q164" i="13"/>
  <c r="P164" i="13"/>
  <c r="O164" i="13"/>
  <c r="N164" i="13"/>
  <c r="M164" i="13"/>
  <c r="R163" i="13"/>
  <c r="Q163" i="13"/>
  <c r="P163" i="13"/>
  <c r="O163" i="13"/>
  <c r="N163" i="13"/>
  <c r="M163" i="13"/>
  <c r="R162" i="13"/>
  <c r="Q162" i="13"/>
  <c r="P162" i="13"/>
  <c r="O162" i="13"/>
  <c r="N162" i="13"/>
  <c r="M162" i="13"/>
  <c r="R161" i="13"/>
  <c r="Q161" i="13"/>
  <c r="P161" i="13"/>
  <c r="O161" i="13"/>
  <c r="N161" i="13"/>
  <c r="M161" i="13"/>
  <c r="R160" i="13"/>
  <c r="Q160" i="13"/>
  <c r="P160" i="13"/>
  <c r="O160" i="13"/>
  <c r="N160" i="13"/>
  <c r="M160" i="13"/>
  <c r="R159" i="13"/>
  <c r="Q159" i="13"/>
  <c r="P159" i="13"/>
  <c r="O159" i="13"/>
  <c r="N159" i="13"/>
  <c r="M159" i="13"/>
  <c r="R158" i="13"/>
  <c r="Q158" i="13"/>
  <c r="P158" i="13"/>
  <c r="O158" i="13"/>
  <c r="N158" i="13"/>
  <c r="M158" i="13"/>
  <c r="R157" i="13"/>
  <c r="Q157" i="13"/>
  <c r="P157" i="13"/>
  <c r="O157" i="13"/>
  <c r="N157" i="13"/>
  <c r="M157" i="13"/>
  <c r="R156" i="13"/>
  <c r="Q156" i="13"/>
  <c r="P156" i="13"/>
  <c r="O156" i="13"/>
  <c r="N156" i="13"/>
  <c r="M156" i="13"/>
  <c r="R155" i="13"/>
  <c r="Q155" i="13"/>
  <c r="P155" i="13"/>
  <c r="O155" i="13"/>
  <c r="N155" i="13"/>
  <c r="M155" i="13"/>
  <c r="R154" i="13"/>
  <c r="Q154" i="13"/>
  <c r="P154" i="13"/>
  <c r="O154" i="13"/>
  <c r="N154" i="13"/>
  <c r="M154" i="13"/>
  <c r="R153" i="13"/>
  <c r="Q153" i="13"/>
  <c r="P153" i="13"/>
  <c r="O153" i="13"/>
  <c r="N153" i="13"/>
  <c r="M153" i="13"/>
  <c r="R152" i="13"/>
  <c r="Q152" i="13"/>
  <c r="P152" i="13"/>
  <c r="O152" i="13"/>
  <c r="N152" i="13"/>
  <c r="M152" i="13"/>
  <c r="R151" i="13"/>
  <c r="Q151" i="13"/>
  <c r="P151" i="13"/>
  <c r="O151" i="13"/>
  <c r="N151" i="13"/>
  <c r="M151" i="13"/>
  <c r="R150" i="13"/>
  <c r="Q150" i="13"/>
  <c r="P150" i="13"/>
  <c r="O150" i="13"/>
  <c r="N150" i="13"/>
  <c r="M150" i="13"/>
  <c r="R149" i="13"/>
  <c r="Q149" i="13"/>
  <c r="P149" i="13"/>
  <c r="O149" i="13"/>
  <c r="N149" i="13"/>
  <c r="M149" i="13"/>
  <c r="R148" i="13"/>
  <c r="Q148" i="13"/>
  <c r="P148" i="13"/>
  <c r="O148" i="13"/>
  <c r="N148" i="13"/>
  <c r="M148" i="13"/>
  <c r="R147" i="13"/>
  <c r="Q147" i="13"/>
  <c r="P147" i="13"/>
  <c r="O147" i="13"/>
  <c r="N147" i="13"/>
  <c r="M147" i="13"/>
  <c r="R146" i="13"/>
  <c r="Q146" i="13"/>
  <c r="P146" i="13"/>
  <c r="O146" i="13"/>
  <c r="N146" i="13"/>
  <c r="M146" i="13"/>
  <c r="R145" i="13"/>
  <c r="Q145" i="13"/>
  <c r="P145" i="13"/>
  <c r="O145" i="13"/>
  <c r="N145" i="13"/>
  <c r="M145" i="13"/>
  <c r="R144" i="13"/>
  <c r="Q144" i="13"/>
  <c r="P144" i="13"/>
  <c r="O144" i="13"/>
  <c r="N144" i="13"/>
  <c r="M144" i="13"/>
  <c r="R143" i="13"/>
  <c r="Q143" i="13"/>
  <c r="P143" i="13"/>
  <c r="O143" i="13"/>
  <c r="N143" i="13"/>
  <c r="M143" i="13"/>
  <c r="R142" i="13"/>
  <c r="Q142" i="13"/>
  <c r="P142" i="13"/>
  <c r="O142" i="13"/>
  <c r="N142" i="13"/>
  <c r="M142" i="13"/>
  <c r="R141" i="13"/>
  <c r="Q141" i="13"/>
  <c r="P141" i="13"/>
  <c r="O141" i="13"/>
  <c r="N141" i="13"/>
  <c r="M141" i="13"/>
  <c r="R140" i="13"/>
  <c r="Q140" i="13"/>
  <c r="P140" i="13"/>
  <c r="O140" i="13"/>
  <c r="N140" i="13"/>
  <c r="M140" i="13"/>
  <c r="R139" i="13"/>
  <c r="Q139" i="13"/>
  <c r="P139" i="13"/>
  <c r="O139" i="13"/>
  <c r="N139" i="13"/>
  <c r="M139" i="13"/>
  <c r="R138" i="13"/>
  <c r="Q138" i="13"/>
  <c r="P138" i="13"/>
  <c r="O138" i="13"/>
  <c r="N138" i="13"/>
  <c r="M138" i="13"/>
  <c r="R137" i="13"/>
  <c r="Q137" i="13"/>
  <c r="P137" i="13"/>
  <c r="O137" i="13"/>
  <c r="N137" i="13"/>
  <c r="M137" i="13"/>
  <c r="R136" i="13"/>
  <c r="Q136" i="13"/>
  <c r="P136" i="13"/>
  <c r="O136" i="13"/>
  <c r="N136" i="13"/>
  <c r="M136" i="13"/>
  <c r="R135" i="13"/>
  <c r="Q135" i="13"/>
  <c r="P135" i="13"/>
  <c r="O135" i="13"/>
  <c r="N135" i="13"/>
  <c r="M135" i="13"/>
  <c r="R134" i="13"/>
  <c r="Q134" i="13"/>
  <c r="P134" i="13"/>
  <c r="O134" i="13"/>
  <c r="N134" i="13"/>
  <c r="M134" i="13"/>
  <c r="R133" i="13"/>
  <c r="Q133" i="13"/>
  <c r="P133" i="13"/>
  <c r="O133" i="13"/>
  <c r="N133" i="13"/>
  <c r="M133" i="13"/>
  <c r="R132" i="13"/>
  <c r="Q132" i="13"/>
  <c r="P132" i="13"/>
  <c r="O132" i="13"/>
  <c r="N132" i="13"/>
  <c r="M132" i="13"/>
  <c r="R131" i="13"/>
  <c r="Q131" i="13"/>
  <c r="P131" i="13"/>
  <c r="O131" i="13"/>
  <c r="N131" i="13"/>
  <c r="M131" i="13"/>
  <c r="R130" i="13"/>
  <c r="Q130" i="13"/>
  <c r="P130" i="13"/>
  <c r="O130" i="13"/>
  <c r="N130" i="13"/>
  <c r="M130" i="13"/>
  <c r="R129" i="13"/>
  <c r="Q129" i="13"/>
  <c r="P129" i="13"/>
  <c r="O129" i="13"/>
  <c r="N129" i="13"/>
  <c r="M129" i="13"/>
  <c r="R128" i="13"/>
  <c r="Q128" i="13"/>
  <c r="P128" i="13"/>
  <c r="O128" i="13"/>
  <c r="N128" i="13"/>
  <c r="M128" i="13"/>
  <c r="R127" i="13"/>
  <c r="Q127" i="13"/>
  <c r="P127" i="13"/>
  <c r="O127" i="13"/>
  <c r="N127" i="13"/>
  <c r="M127" i="13"/>
  <c r="R126" i="13"/>
  <c r="Q126" i="13"/>
  <c r="P126" i="13"/>
  <c r="O126" i="13"/>
  <c r="N126" i="13"/>
  <c r="M126" i="13"/>
  <c r="R125" i="13"/>
  <c r="Q125" i="13"/>
  <c r="P125" i="13"/>
  <c r="O125" i="13"/>
  <c r="N125" i="13"/>
  <c r="M125" i="13"/>
  <c r="R124" i="13"/>
  <c r="Q124" i="13"/>
  <c r="P124" i="13"/>
  <c r="O124" i="13"/>
  <c r="N124" i="13"/>
  <c r="M124" i="13"/>
  <c r="R123" i="13"/>
  <c r="Q123" i="13"/>
  <c r="P123" i="13"/>
  <c r="O123" i="13"/>
  <c r="N123" i="13"/>
  <c r="M123" i="13"/>
  <c r="R122" i="13"/>
  <c r="Q122" i="13"/>
  <c r="P122" i="13"/>
  <c r="O122" i="13"/>
  <c r="N122" i="13"/>
  <c r="M122" i="13"/>
  <c r="R121" i="13"/>
  <c r="Q121" i="13"/>
  <c r="P121" i="13"/>
  <c r="O121" i="13"/>
  <c r="N121" i="13"/>
  <c r="M121" i="13"/>
  <c r="R120" i="13"/>
  <c r="Q120" i="13"/>
  <c r="P120" i="13"/>
  <c r="O120" i="13"/>
  <c r="N120" i="13"/>
  <c r="M120" i="13"/>
  <c r="R119" i="13"/>
  <c r="Q119" i="13"/>
  <c r="P119" i="13"/>
  <c r="O119" i="13"/>
  <c r="N119" i="13"/>
  <c r="M119" i="13"/>
  <c r="R118" i="13"/>
  <c r="Q118" i="13"/>
  <c r="P118" i="13"/>
  <c r="O118" i="13"/>
  <c r="N118" i="13"/>
  <c r="M118" i="13"/>
  <c r="R117" i="13"/>
  <c r="Q117" i="13"/>
  <c r="P117" i="13"/>
  <c r="O117" i="13"/>
  <c r="N117" i="13"/>
  <c r="M117" i="13"/>
  <c r="R116" i="13"/>
  <c r="Q116" i="13"/>
  <c r="P116" i="13"/>
  <c r="O116" i="13"/>
  <c r="N116" i="13"/>
  <c r="M116" i="13"/>
  <c r="R115" i="13"/>
  <c r="Q115" i="13"/>
  <c r="P115" i="13"/>
  <c r="O115" i="13"/>
  <c r="N115" i="13"/>
  <c r="M115" i="13"/>
  <c r="R114" i="13"/>
  <c r="Q114" i="13"/>
  <c r="P114" i="13"/>
  <c r="O114" i="13"/>
  <c r="N114" i="13"/>
  <c r="M114" i="13"/>
  <c r="R87" i="13"/>
  <c r="Q87" i="13"/>
  <c r="P87" i="13"/>
  <c r="O87" i="13"/>
  <c r="N87" i="13"/>
  <c r="M87" i="13"/>
  <c r="R86" i="13"/>
  <c r="Q86" i="13"/>
  <c r="P86" i="13"/>
  <c r="O86" i="13"/>
  <c r="N86" i="13"/>
  <c r="M86" i="13"/>
  <c r="B81" i="13"/>
  <c r="E37" i="13"/>
  <c r="E36" i="13"/>
  <c r="E35" i="13"/>
  <c r="B3" i="10"/>
  <c r="B3" i="9"/>
  <c r="B3" i="8"/>
  <c r="B3" i="7"/>
  <c r="B3" i="6"/>
  <c r="B3" i="5"/>
  <c r="Z22" i="4"/>
  <c r="Z21" i="4"/>
  <c r="Z20" i="4"/>
  <c r="Z19" i="4"/>
  <c r="Z18" i="4"/>
  <c r="Z17" i="4"/>
  <c r="Z16" i="4"/>
  <c r="Z15" i="4"/>
  <c r="Z14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K56" i="3" s="1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E54" i="3" s="1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H52" i="3" s="1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E51" i="3" s="1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K50" i="3" s="1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A4" i="2"/>
  <c r="X47" i="2"/>
  <c r="P47" i="2"/>
  <c r="H47" i="2"/>
  <c r="X46" i="2"/>
  <c r="P46" i="2"/>
  <c r="H46" i="2"/>
  <c r="X45" i="2"/>
  <c r="P45" i="2"/>
  <c r="H45" i="2"/>
  <c r="X44" i="2"/>
  <c r="P44" i="2"/>
  <c r="H44" i="2"/>
  <c r="O47" i="2"/>
  <c r="O46" i="2"/>
  <c r="W45" i="2"/>
  <c r="G45" i="2"/>
  <c r="G44" i="2"/>
  <c r="C47" i="2"/>
  <c r="C45" i="2"/>
  <c r="B44" i="2"/>
  <c r="G47" i="2"/>
  <c r="O44" i="2"/>
  <c r="K47" i="2"/>
  <c r="K45" i="2"/>
  <c r="C44" i="2"/>
  <c r="V47" i="2"/>
  <c r="N47" i="2"/>
  <c r="F47" i="2"/>
  <c r="V46" i="2"/>
  <c r="N46" i="2"/>
  <c r="F46" i="2"/>
  <c r="V45" i="2"/>
  <c r="N45" i="2"/>
  <c r="F45" i="2"/>
  <c r="V44" i="2"/>
  <c r="N44" i="2"/>
  <c r="F44" i="2"/>
  <c r="C46" i="2"/>
  <c r="J47" i="2"/>
  <c r="J46" i="2"/>
  <c r="J45" i="2"/>
  <c r="R44" i="2"/>
  <c r="U47" i="2"/>
  <c r="M47" i="2"/>
  <c r="E47" i="2"/>
  <c r="U46" i="2"/>
  <c r="M46" i="2"/>
  <c r="E46" i="2"/>
  <c r="U45" i="2"/>
  <c r="M45" i="2"/>
  <c r="E45" i="2"/>
  <c r="U44" i="2"/>
  <c r="M44" i="2"/>
  <c r="E44" i="2"/>
  <c r="S46" i="2"/>
  <c r="K44" i="2"/>
  <c r="T47" i="2"/>
  <c r="L47" i="2"/>
  <c r="D47" i="2"/>
  <c r="T46" i="2"/>
  <c r="L46" i="2"/>
  <c r="D46" i="2"/>
  <c r="T45" i="2"/>
  <c r="L45" i="2"/>
  <c r="D45" i="2"/>
  <c r="T44" i="2"/>
  <c r="L44" i="2"/>
  <c r="D44" i="2"/>
  <c r="S47" i="2"/>
  <c r="K46" i="2"/>
  <c r="S44" i="2"/>
  <c r="R47" i="2"/>
  <c r="B47" i="2"/>
  <c r="R46" i="2"/>
  <c r="B46" i="2"/>
  <c r="R45" i="2"/>
  <c r="B45" i="2"/>
  <c r="J44" i="2"/>
  <c r="Y47" i="2"/>
  <c r="Q47" i="2"/>
  <c r="I47" i="2"/>
  <c r="Y46" i="2"/>
  <c r="Q46" i="2"/>
  <c r="I46" i="2"/>
  <c r="Y45" i="2"/>
  <c r="Q45" i="2"/>
  <c r="I45" i="2"/>
  <c r="Y44" i="2"/>
  <c r="Q44" i="2"/>
  <c r="I44" i="2"/>
  <c r="W47" i="2"/>
  <c r="W46" i="2"/>
  <c r="G46" i="2"/>
  <c r="O45" i="2"/>
  <c r="W44" i="2"/>
  <c r="S45" i="2"/>
  <c r="Y43" i="2"/>
  <c r="R43" i="2"/>
  <c r="G43" i="2"/>
  <c r="H43" i="2"/>
  <c r="D43" i="2"/>
  <c r="M43" i="2"/>
  <c r="Q43" i="2"/>
  <c r="U43" i="2"/>
  <c r="S43" i="2"/>
  <c r="C43" i="2"/>
  <c r="B43" i="2"/>
  <c r="T43" i="2"/>
  <c r="X43" i="2"/>
  <c r="P43" i="2"/>
  <c r="E43" i="2"/>
  <c r="K43" i="2"/>
  <c r="W43" i="2"/>
  <c r="N43" i="2"/>
  <c r="O43" i="2"/>
  <c r="J43" i="2"/>
  <c r="F43" i="2"/>
  <c r="V43" i="2"/>
  <c r="I43" i="2"/>
  <c r="L43" i="2"/>
  <c r="B82" i="13" l="1"/>
  <c r="H33" i="13" s="1"/>
  <c r="F1" i="14"/>
  <c r="E1" i="14"/>
  <c r="H82" i="13"/>
  <c r="H83" i="13" s="1"/>
  <c r="J82" i="13"/>
  <c r="J83" i="13" s="1"/>
  <c r="L82" i="13"/>
  <c r="L84" i="13" s="1"/>
  <c r="G82" i="13"/>
  <c r="G84" i="13" s="1"/>
  <c r="Z10" i="4"/>
  <c r="Z5" i="4"/>
  <c r="M50" i="3"/>
  <c r="G51" i="3"/>
  <c r="G54" i="3"/>
  <c r="J52" i="3"/>
  <c r="M56" i="3"/>
  <c r="E48" i="3"/>
  <c r="N48" i="3"/>
  <c r="B48" i="3"/>
  <c r="K48" i="3"/>
  <c r="Q48" i="3"/>
  <c r="H48" i="3"/>
  <c r="B49" i="3"/>
  <c r="E49" i="3"/>
  <c r="N49" i="3"/>
  <c r="K49" i="3"/>
  <c r="Q49" i="3"/>
  <c r="Q50" i="3"/>
  <c r="E50" i="3"/>
  <c r="N50" i="3"/>
  <c r="B50" i="3"/>
  <c r="K51" i="3"/>
  <c r="L51" i="3" s="1"/>
  <c r="B51" i="3"/>
  <c r="H51" i="3"/>
  <c r="Q51" i="3"/>
  <c r="N51" i="3"/>
  <c r="Q52" i="3"/>
  <c r="E52" i="3"/>
  <c r="F52" i="3" s="1"/>
  <c r="N52" i="3"/>
  <c r="K52" i="3"/>
  <c r="N53" i="3"/>
  <c r="H53" i="3"/>
  <c r="Q53" i="3"/>
  <c r="B53" i="3"/>
  <c r="K54" i="3"/>
  <c r="Q54" i="3"/>
  <c r="H54" i="3"/>
  <c r="N54" i="3"/>
  <c r="B54" i="3"/>
  <c r="H55" i="3"/>
  <c r="Q55" i="3"/>
  <c r="B55" i="3"/>
  <c r="K55" i="3"/>
  <c r="E55" i="3"/>
  <c r="F55" i="3" s="1"/>
  <c r="E56" i="3"/>
  <c r="N56" i="3"/>
  <c r="B56" i="3"/>
  <c r="H56" i="3"/>
  <c r="B57" i="3"/>
  <c r="Q57" i="3"/>
  <c r="E57" i="3"/>
  <c r="N57" i="3"/>
  <c r="K57" i="3"/>
  <c r="H57" i="3"/>
  <c r="N58" i="3"/>
  <c r="E58" i="3"/>
  <c r="H58" i="3"/>
  <c r="Q58" i="3"/>
  <c r="B58" i="3"/>
  <c r="K58" i="3"/>
  <c r="N59" i="3"/>
  <c r="P59" i="3" s="1"/>
  <c r="E59" i="3"/>
  <c r="G59" i="3" s="1"/>
  <c r="H59" i="3"/>
  <c r="J59" i="3" s="1"/>
  <c r="K59" i="3"/>
  <c r="M59" i="3" s="1"/>
  <c r="Q59" i="3"/>
  <c r="S59" i="3" s="1"/>
  <c r="H49" i="3"/>
  <c r="E53" i="3"/>
  <c r="Q56" i="3"/>
  <c r="B59" i="3"/>
  <c r="D59" i="3" s="1"/>
  <c r="K53" i="3"/>
  <c r="B52" i="3"/>
  <c r="Z6" i="4"/>
  <c r="H50" i="3"/>
  <c r="N55" i="3"/>
  <c r="I82" i="13"/>
  <c r="K82" i="13"/>
  <c r="Z7" i="4"/>
  <c r="Z8" i="4"/>
  <c r="Z12" i="4"/>
  <c r="J20" i="2"/>
  <c r="Q20" i="2"/>
  <c r="K17" i="2"/>
  <c r="D31" i="2"/>
  <c r="I10" i="2"/>
  <c r="I35" i="2"/>
  <c r="E31" i="2"/>
  <c r="E13" i="2"/>
  <c r="M35" i="2"/>
  <c r="G38" i="2"/>
  <c r="F34" i="2"/>
  <c r="E25" i="2"/>
  <c r="R23" i="2"/>
  <c r="T13" i="2"/>
  <c r="U8" i="2"/>
  <c r="F47" i="14"/>
  <c r="G15" i="2"/>
  <c r="Q33" i="2"/>
  <c r="P5" i="2"/>
  <c r="L24" i="2"/>
  <c r="I27" i="2"/>
  <c r="E9" i="2"/>
  <c r="Y23" i="2"/>
  <c r="B40" i="2"/>
  <c r="W24" i="2"/>
  <c r="N26" i="2"/>
  <c r="G40" i="2"/>
  <c r="R18" i="2"/>
  <c r="M8" i="2"/>
  <c r="W12" i="2"/>
  <c r="J32" i="2"/>
  <c r="E32" i="2"/>
  <c r="S9" i="2"/>
  <c r="P24" i="2"/>
  <c r="I25" i="2"/>
  <c r="B24" i="2"/>
  <c r="C29" i="2"/>
  <c r="Y13" i="2"/>
  <c r="R37" i="2"/>
  <c r="E11" i="2"/>
  <c r="T37" i="2"/>
  <c r="M29" i="2"/>
  <c r="B23" i="2"/>
  <c r="Y21" i="2"/>
  <c r="S37" i="2"/>
  <c r="T6" i="2"/>
  <c r="F31" i="14"/>
  <c r="F28" i="2"/>
  <c r="Y19" i="2"/>
  <c r="H33" i="2"/>
  <c r="H40" i="2"/>
  <c r="U29" i="2"/>
  <c r="O19" i="2"/>
  <c r="J18" i="2"/>
  <c r="W32" i="2"/>
  <c r="R36" i="2"/>
  <c r="F10" i="14"/>
  <c r="X7" i="2"/>
  <c r="Y8" i="2"/>
  <c r="S5" i="2"/>
  <c r="S23" i="2"/>
  <c r="L31" i="2"/>
  <c r="D23" i="2"/>
  <c r="D36" i="2"/>
  <c r="F23" i="2"/>
  <c r="B26" i="2"/>
  <c r="V22" i="2"/>
  <c r="L12" i="2"/>
  <c r="E37" i="2"/>
  <c r="B13" i="2"/>
  <c r="J42" i="2"/>
  <c r="W15" i="2"/>
  <c r="K28" i="2"/>
  <c r="K23" i="2"/>
  <c r="R9" i="2"/>
  <c r="V28" i="2"/>
  <c r="R30" i="2"/>
  <c r="R13" i="2"/>
  <c r="L41" i="2"/>
  <c r="M14" i="2"/>
  <c r="W19" i="2"/>
  <c r="K33" i="2"/>
  <c r="S17" i="2"/>
  <c r="Y17" i="2"/>
  <c r="V31" i="2"/>
  <c r="Q12" i="2"/>
  <c r="E30" i="2"/>
  <c r="G17" i="2"/>
  <c r="C7" i="2"/>
  <c r="Q5" i="2"/>
  <c r="H24" i="2"/>
  <c r="G18" i="2"/>
  <c r="P20" i="2"/>
  <c r="Y28" i="2"/>
  <c r="S36" i="2"/>
  <c r="B33" i="2"/>
  <c r="X34" i="2"/>
  <c r="J40" i="2"/>
  <c r="I14" i="2"/>
  <c r="W14" i="2"/>
  <c r="E12" i="2"/>
  <c r="P18" i="2"/>
  <c r="V18" i="2"/>
  <c r="M21" i="2"/>
  <c r="T15" i="2"/>
  <c r="U13" i="2"/>
  <c r="H22" i="2"/>
  <c r="O17" i="2"/>
  <c r="O39" i="2"/>
  <c r="T34" i="2"/>
  <c r="Q37" i="2"/>
  <c r="C27" i="2"/>
  <c r="S27" i="2"/>
  <c r="X21" i="2"/>
  <c r="J8" i="2"/>
  <c r="H11" i="2"/>
  <c r="F28" i="14"/>
  <c r="L25" i="2"/>
  <c r="K42" i="2"/>
  <c r="F24" i="14"/>
  <c r="R21" i="2"/>
  <c r="K41" i="2"/>
  <c r="B19" i="2"/>
  <c r="V38" i="2"/>
  <c r="L14" i="2"/>
  <c r="U24" i="2"/>
  <c r="W29" i="2"/>
  <c r="K12" i="2"/>
  <c r="C39" i="2"/>
  <c r="V35" i="2"/>
  <c r="W18" i="2"/>
  <c r="V37" i="2"/>
  <c r="G25" i="2"/>
  <c r="J37" i="2"/>
  <c r="C30" i="2"/>
  <c r="N36" i="2"/>
  <c r="U35" i="2"/>
  <c r="P8" i="2"/>
  <c r="P10" i="2"/>
  <c r="Y42" i="2"/>
  <c r="C14" i="2"/>
  <c r="I38" i="2"/>
  <c r="O30" i="2"/>
  <c r="M37" i="2"/>
  <c r="D14" i="2"/>
  <c r="C18" i="2"/>
  <c r="D29" i="2"/>
  <c r="F30" i="14"/>
  <c r="D24" i="2"/>
  <c r="E42" i="2"/>
  <c r="L7" i="2"/>
  <c r="F15" i="2"/>
  <c r="U30" i="2"/>
  <c r="S8" i="2"/>
  <c r="O27" i="2"/>
  <c r="D33" i="2"/>
  <c r="H20" i="2"/>
  <c r="X20" i="2"/>
  <c r="X17" i="2"/>
  <c r="K27" i="2"/>
  <c r="C24" i="2"/>
  <c r="J33" i="2"/>
  <c r="N29" i="2"/>
  <c r="U23" i="2"/>
  <c r="Y7" i="2"/>
  <c r="L19" i="2"/>
  <c r="X33" i="2"/>
  <c r="V29" i="2"/>
  <c r="U21" i="2"/>
  <c r="P6" i="2"/>
  <c r="G13" i="2"/>
  <c r="W41" i="2"/>
  <c r="B34" i="2"/>
  <c r="Y18" i="2"/>
  <c r="O42" i="2"/>
  <c r="E35" i="2"/>
  <c r="F40" i="2"/>
  <c r="M32" i="2"/>
  <c r="C32" i="2"/>
  <c r="J29" i="2"/>
  <c r="O31" i="2"/>
  <c r="E40" i="2"/>
  <c r="C11" i="2"/>
  <c r="Q28" i="2"/>
  <c r="N33" i="2"/>
  <c r="F11" i="2"/>
  <c r="D21" i="2"/>
  <c r="T12" i="2"/>
  <c r="X16" i="2"/>
  <c r="P38" i="2"/>
  <c r="V8" i="2"/>
  <c r="U20" i="2"/>
  <c r="X39" i="2"/>
  <c r="G36" i="2"/>
  <c r="N13" i="2"/>
  <c r="U12" i="2"/>
  <c r="H25" i="2"/>
  <c r="M24" i="2"/>
  <c r="V20" i="2"/>
  <c r="U15" i="2"/>
  <c r="M27" i="2"/>
  <c r="K16" i="2"/>
  <c r="B32" i="2"/>
  <c r="D15" i="2"/>
  <c r="Y40" i="2"/>
  <c r="J12" i="2"/>
  <c r="R31" i="2"/>
  <c r="Y39" i="2"/>
  <c r="F35" i="2"/>
  <c r="G35" i="2"/>
  <c r="H18" i="2"/>
  <c r="Y34" i="2"/>
  <c r="S33" i="2"/>
  <c r="W27" i="2"/>
  <c r="W36" i="2"/>
  <c r="G20" i="2"/>
  <c r="V19" i="2"/>
  <c r="Y37" i="2"/>
  <c r="C12" i="2"/>
  <c r="C15" i="2"/>
  <c r="I39" i="2"/>
  <c r="E15" i="2"/>
  <c r="F13" i="14"/>
  <c r="Q10" i="2"/>
  <c r="H36" i="2"/>
  <c r="O8" i="2"/>
  <c r="P32" i="2"/>
  <c r="E38" i="2"/>
  <c r="F15" i="14"/>
  <c r="D20" i="2"/>
  <c r="S20" i="2"/>
  <c r="J13" i="2"/>
  <c r="D34" i="2"/>
  <c r="T31" i="2"/>
  <c r="D7" i="2"/>
  <c r="H34" i="2"/>
  <c r="N6" i="2"/>
  <c r="B31" i="2"/>
  <c r="E41" i="2"/>
  <c r="F33" i="14"/>
  <c r="D38" i="2"/>
  <c r="M5" i="2"/>
  <c r="M20" i="2"/>
  <c r="G28" i="2"/>
  <c r="W8" i="2"/>
  <c r="V30" i="2"/>
  <c r="X12" i="2"/>
  <c r="Y16" i="2"/>
  <c r="T20" i="2"/>
  <c r="K39" i="2"/>
  <c r="N18" i="2"/>
  <c r="B22" i="2"/>
  <c r="J25" i="2"/>
  <c r="T28" i="2"/>
  <c r="F16" i="2"/>
  <c r="L15" i="2"/>
  <c r="R40" i="2"/>
  <c r="J35" i="2"/>
  <c r="P37" i="2"/>
  <c r="I9" i="2"/>
  <c r="U33" i="2"/>
  <c r="G34" i="2"/>
  <c r="E28" i="2"/>
  <c r="U6" i="2"/>
  <c r="L30" i="2"/>
  <c r="K35" i="2"/>
  <c r="Y30" i="2"/>
  <c r="X24" i="2"/>
  <c r="R39" i="2"/>
  <c r="L16" i="2"/>
  <c r="Y12" i="2"/>
  <c r="M22" i="2"/>
  <c r="P19" i="2"/>
  <c r="H39" i="2"/>
  <c r="Q31" i="2"/>
  <c r="I19" i="2"/>
  <c r="K20" i="2"/>
  <c r="V13" i="2"/>
  <c r="R7" i="2"/>
  <c r="E39" i="2"/>
  <c r="B28" i="2"/>
  <c r="P11" i="2"/>
  <c r="Y38" i="2"/>
  <c r="O24" i="2"/>
  <c r="C31" i="2"/>
  <c r="T21" i="2"/>
  <c r="B10" i="2"/>
  <c r="X6" i="2"/>
  <c r="W26" i="2"/>
  <c r="F30" i="2"/>
  <c r="I18" i="2"/>
  <c r="N41" i="2"/>
  <c r="L42" i="2"/>
  <c r="K26" i="2"/>
  <c r="J14" i="2"/>
  <c r="T14" i="2"/>
  <c r="I15" i="2"/>
  <c r="X13" i="2"/>
  <c r="T42" i="2"/>
  <c r="T38" i="2"/>
  <c r="Y32" i="2"/>
  <c r="S15" i="2"/>
  <c r="P36" i="2"/>
  <c r="F26" i="14"/>
  <c r="J27" i="2"/>
  <c r="C17" i="2"/>
  <c r="G23" i="2"/>
  <c r="P17" i="2"/>
  <c r="O25" i="2"/>
  <c r="L34" i="2"/>
  <c r="E6" i="2"/>
  <c r="G26" i="2"/>
  <c r="E19" i="2"/>
  <c r="T32" i="2"/>
  <c r="N34" i="2"/>
  <c r="F41" i="2"/>
  <c r="F18" i="14"/>
  <c r="K15" i="2"/>
  <c r="F5" i="2"/>
  <c r="E5" i="2"/>
  <c r="Q42" i="2"/>
  <c r="O7" i="2"/>
  <c r="X5" i="2"/>
  <c r="L5" i="2"/>
  <c r="D32" i="2"/>
  <c r="Q9" i="2"/>
  <c r="C37" i="2"/>
  <c r="E14" i="2"/>
  <c r="N27" i="2"/>
  <c r="P27" i="2"/>
  <c r="G7" i="2"/>
  <c r="F20" i="2"/>
  <c r="I22" i="2"/>
  <c r="H5" i="2"/>
  <c r="S13" i="2"/>
  <c r="J31" i="2"/>
  <c r="X8" i="2"/>
  <c r="U40" i="2"/>
  <c r="B17" i="2"/>
  <c r="J7" i="2"/>
  <c r="R20" i="2"/>
  <c r="X25" i="2"/>
  <c r="F36" i="2"/>
  <c r="I30" i="2"/>
  <c r="P31" i="2"/>
  <c r="J34" i="2"/>
  <c r="V41" i="2"/>
  <c r="X31" i="2"/>
  <c r="V14" i="2"/>
  <c r="X29" i="2"/>
  <c r="M23" i="2"/>
  <c r="E24" i="2"/>
  <c r="L29" i="2"/>
  <c r="S32" i="2"/>
  <c r="I13" i="2"/>
  <c r="R27" i="2"/>
  <c r="N25" i="2"/>
  <c r="F38" i="2"/>
  <c r="Q40" i="2"/>
  <c r="O32" i="2"/>
  <c r="W28" i="2"/>
  <c r="R24" i="2"/>
  <c r="F12" i="14"/>
  <c r="N14" i="2"/>
  <c r="J21" i="2"/>
  <c r="X40" i="2"/>
  <c r="Q39" i="2"/>
  <c r="K9" i="2"/>
  <c r="O23" i="2"/>
  <c r="U26" i="2"/>
  <c r="J28" i="2"/>
  <c r="Q35" i="2"/>
  <c r="C41" i="2"/>
  <c r="O36" i="2"/>
  <c r="S11" i="2"/>
  <c r="S12" i="2"/>
  <c r="W39" i="2"/>
  <c r="W13" i="2"/>
  <c r="T41" i="2"/>
  <c r="F45" i="14"/>
  <c r="V7" i="2"/>
  <c r="W38" i="2"/>
  <c r="F43" i="14"/>
  <c r="M40" i="2"/>
  <c r="D18" i="2"/>
  <c r="M13" i="2"/>
  <c r="P40" i="2"/>
  <c r="C22" i="2"/>
  <c r="Y14" i="2"/>
  <c r="C20" i="2"/>
  <c r="O18" i="2"/>
  <c r="I7" i="2"/>
  <c r="R29" i="2"/>
  <c r="B11" i="2"/>
  <c r="E21" i="2"/>
  <c r="H7" i="2"/>
  <c r="S39" i="2"/>
  <c r="D41" i="2"/>
  <c r="W20" i="2"/>
  <c r="D27" i="2"/>
  <c r="V40" i="2"/>
  <c r="H28" i="2"/>
  <c r="D5" i="2"/>
  <c r="H16" i="2"/>
  <c r="T30" i="2"/>
  <c r="G42" i="2"/>
  <c r="F6" i="2"/>
  <c r="H14" i="2"/>
  <c r="D16" i="2"/>
  <c r="Q25" i="2"/>
  <c r="I34" i="2"/>
  <c r="J22" i="2"/>
  <c r="J23" i="2"/>
  <c r="U38" i="2"/>
  <c r="K10" i="2"/>
  <c r="T29" i="2"/>
  <c r="G39" i="2"/>
  <c r="Y11" i="2"/>
  <c r="G14" i="2"/>
  <c r="V33" i="2"/>
  <c r="M42" i="2"/>
  <c r="P35" i="2"/>
  <c r="I40" i="2"/>
  <c r="H42" i="2"/>
  <c r="H27" i="2"/>
  <c r="S31" i="2"/>
  <c r="H15" i="2"/>
  <c r="O26" i="2"/>
  <c r="N20" i="2"/>
  <c r="N15" i="2"/>
  <c r="F17" i="14"/>
  <c r="Y9" i="2"/>
  <c r="O21" i="2"/>
  <c r="F25" i="14"/>
  <c r="M10" i="2"/>
  <c r="E17" i="2"/>
  <c r="G33" i="2"/>
  <c r="U10" i="2"/>
  <c r="I21" i="2"/>
  <c r="H37" i="2"/>
  <c r="U16" i="2"/>
  <c r="O41" i="2"/>
  <c r="K18" i="2"/>
  <c r="L22" i="2"/>
  <c r="M7" i="2"/>
  <c r="G5" i="2"/>
  <c r="R38" i="2"/>
  <c r="B41" i="2"/>
  <c r="U42" i="2"/>
  <c r="S10" i="2"/>
  <c r="U37" i="2"/>
  <c r="Y5" i="2"/>
  <c r="V6" i="2"/>
  <c r="T16" i="2"/>
  <c r="V17" i="2"/>
  <c r="I37" i="2"/>
  <c r="N5" i="2"/>
  <c r="S14" i="2"/>
  <c r="F27" i="2"/>
  <c r="B25" i="2"/>
  <c r="C13" i="2"/>
  <c r="O10" i="2"/>
  <c r="V25" i="2"/>
  <c r="G32" i="2"/>
  <c r="D9" i="2"/>
  <c r="I31" i="2"/>
  <c r="Q30" i="2"/>
  <c r="V15" i="2"/>
  <c r="F17" i="2"/>
  <c r="W34" i="2"/>
  <c r="Q11" i="2"/>
  <c r="D42" i="2"/>
  <c r="Q13" i="2"/>
  <c r="V34" i="2"/>
  <c r="C28" i="2"/>
  <c r="K5" i="2"/>
  <c r="Q32" i="2"/>
  <c r="F48" i="14"/>
  <c r="M17" i="2"/>
  <c r="V32" i="2"/>
  <c r="Y22" i="2"/>
  <c r="H26" i="2"/>
  <c r="F32" i="14"/>
  <c r="V9" i="2"/>
  <c r="M9" i="2"/>
  <c r="P14" i="2"/>
  <c r="T9" i="2"/>
  <c r="I32" i="2"/>
  <c r="F9" i="14"/>
  <c r="O5" i="2"/>
  <c r="N28" i="2"/>
  <c r="L40" i="2"/>
  <c r="K29" i="2"/>
  <c r="S29" i="2"/>
  <c r="L10" i="2"/>
  <c r="H30" i="2"/>
  <c r="G21" i="2"/>
  <c r="W22" i="2"/>
  <c r="P34" i="2"/>
  <c r="M12" i="2"/>
  <c r="Y31" i="2"/>
  <c r="G12" i="2"/>
  <c r="M19" i="2"/>
  <c r="Q27" i="2"/>
  <c r="S38" i="2"/>
  <c r="G11" i="2"/>
  <c r="C36" i="2"/>
  <c r="C25" i="2"/>
  <c r="C5" i="2"/>
  <c r="Q38" i="2"/>
  <c r="D37" i="2"/>
  <c r="U31" i="2"/>
  <c r="T39" i="2"/>
  <c r="F16" i="14"/>
  <c r="L23" i="2"/>
  <c r="L17" i="2"/>
  <c r="J15" i="2"/>
  <c r="X28" i="2"/>
  <c r="K19" i="2"/>
  <c r="I16" i="2"/>
  <c r="L13" i="2"/>
  <c r="Y26" i="2"/>
  <c r="W7" i="2"/>
  <c r="M11" i="2"/>
  <c r="P12" i="2"/>
  <c r="I26" i="2"/>
  <c r="J10" i="2"/>
  <c r="Q15" i="2"/>
  <c r="Q7" i="2"/>
  <c r="U34" i="2"/>
  <c r="R14" i="2"/>
  <c r="L37" i="2"/>
  <c r="Q14" i="2"/>
  <c r="E8" i="2"/>
  <c r="Q18" i="2"/>
  <c r="H17" i="2"/>
  <c r="O16" i="2"/>
  <c r="V5" i="2"/>
  <c r="T19" i="2"/>
  <c r="T22" i="2"/>
  <c r="Q6" i="2"/>
  <c r="P30" i="2"/>
  <c r="P16" i="2"/>
  <c r="K11" i="2"/>
  <c r="I42" i="2"/>
  <c r="G8" i="2"/>
  <c r="K21" i="2"/>
  <c r="O22" i="2"/>
  <c r="L26" i="2"/>
  <c r="T10" i="2"/>
  <c r="J16" i="2"/>
  <c r="X23" i="2"/>
  <c r="D26" i="2"/>
  <c r="G10" i="2"/>
  <c r="D6" i="2"/>
  <c r="C19" i="2"/>
  <c r="I41" i="2"/>
  <c r="M30" i="2"/>
  <c r="N11" i="2"/>
  <c r="J39" i="2"/>
  <c r="K22" i="2"/>
  <c r="X11" i="2"/>
  <c r="K7" i="2"/>
  <c r="P23" i="2"/>
  <c r="S19" i="2"/>
  <c r="P39" i="2"/>
  <c r="F19" i="2"/>
  <c r="N30" i="2"/>
  <c r="F7" i="2"/>
  <c r="J24" i="2"/>
  <c r="D17" i="2"/>
  <c r="N24" i="2"/>
  <c r="P29" i="2"/>
  <c r="V23" i="2"/>
  <c r="M15" i="2"/>
  <c r="N22" i="2"/>
  <c r="Y15" i="2"/>
  <c r="F25" i="2"/>
  <c r="H12" i="2"/>
  <c r="J41" i="2"/>
  <c r="F40" i="14"/>
  <c r="J5" i="2"/>
  <c r="M36" i="2"/>
  <c r="G31" i="2"/>
  <c r="J9" i="2"/>
  <c r="X10" i="2"/>
  <c r="R26" i="2"/>
  <c r="U5" i="2"/>
  <c r="Y29" i="2"/>
  <c r="D11" i="2"/>
  <c r="K37" i="2"/>
  <c r="B16" i="2"/>
  <c r="F29" i="2"/>
  <c r="W9" i="2"/>
  <c r="S26" i="2"/>
  <c r="H13" i="2"/>
  <c r="V12" i="2"/>
  <c r="P22" i="2"/>
  <c r="E29" i="2"/>
  <c r="L21" i="2"/>
  <c r="J30" i="2"/>
  <c r="R8" i="2"/>
  <c r="K25" i="2"/>
  <c r="Q22" i="2"/>
  <c r="P21" i="2"/>
  <c r="V10" i="2"/>
  <c r="R33" i="2"/>
  <c r="J36" i="2"/>
  <c r="T18" i="2"/>
  <c r="F46" i="14"/>
  <c r="K32" i="2"/>
  <c r="F41" i="14"/>
  <c r="X15" i="2"/>
  <c r="F29" i="14"/>
  <c r="U19" i="2"/>
  <c r="U17" i="2"/>
  <c r="G9" i="2"/>
  <c r="L28" i="2"/>
  <c r="X19" i="2"/>
  <c r="E33" i="2"/>
  <c r="U27" i="2"/>
  <c r="I12" i="2"/>
  <c r="T25" i="2"/>
  <c r="U39" i="2"/>
  <c r="T26" i="2"/>
  <c r="I23" i="2"/>
  <c r="K40" i="2"/>
  <c r="N42" i="2"/>
  <c r="N19" i="2"/>
  <c r="C16" i="2"/>
  <c r="F24" i="2"/>
  <c r="S42" i="2"/>
  <c r="N39" i="2"/>
  <c r="D10" i="2"/>
  <c r="O28" i="2"/>
  <c r="B18" i="2"/>
  <c r="U11" i="2"/>
  <c r="N32" i="2"/>
  <c r="Y41" i="2"/>
  <c r="I11" i="2"/>
  <c r="H35" i="2"/>
  <c r="C35" i="2"/>
  <c r="X41" i="2"/>
  <c r="X30" i="2"/>
  <c r="N16" i="2"/>
  <c r="R25" i="2"/>
  <c r="M39" i="2"/>
  <c r="I8" i="2"/>
  <c r="F18" i="2"/>
  <c r="X38" i="2"/>
  <c r="G16" i="2"/>
  <c r="N37" i="2"/>
  <c r="V42" i="2"/>
  <c r="P42" i="2"/>
  <c r="O15" i="2"/>
  <c r="X26" i="2"/>
  <c r="K13" i="2"/>
  <c r="I20" i="2"/>
  <c r="P7" i="2"/>
  <c r="G22" i="2"/>
  <c r="T23" i="2"/>
  <c r="W42" i="2"/>
  <c r="Q23" i="2"/>
  <c r="O14" i="2"/>
  <c r="I17" i="2"/>
  <c r="F39" i="2"/>
  <c r="H29" i="2"/>
  <c r="D22" i="2"/>
  <c r="T7" i="2"/>
  <c r="Q16" i="2"/>
  <c r="O9" i="2"/>
  <c r="S41" i="2"/>
  <c r="Y35" i="2"/>
  <c r="K6" i="2"/>
  <c r="H38" i="2"/>
  <c r="I28" i="2"/>
  <c r="F44" i="14"/>
  <c r="R19" i="2"/>
  <c r="S30" i="2"/>
  <c r="L32" i="2"/>
  <c r="M16" i="2"/>
  <c r="Y24" i="2"/>
  <c r="D19" i="2"/>
  <c r="R12" i="2"/>
  <c r="L38" i="2"/>
  <c r="O6" i="2"/>
  <c r="B14" i="2"/>
  <c r="W21" i="2"/>
  <c r="F21" i="2"/>
  <c r="Y25" i="2"/>
  <c r="F37" i="2"/>
  <c r="G30" i="2"/>
  <c r="H31" i="2"/>
  <c r="P33" i="2"/>
  <c r="T24" i="2"/>
  <c r="W30" i="2"/>
  <c r="L9" i="2"/>
  <c r="F27" i="14"/>
  <c r="X37" i="2"/>
  <c r="R10" i="2"/>
  <c r="B12" i="2"/>
  <c r="I24" i="2"/>
  <c r="U25" i="2"/>
  <c r="S6" i="2"/>
  <c r="T8" i="2"/>
  <c r="O13" i="2"/>
  <c r="O40" i="2"/>
  <c r="R16" i="2"/>
  <c r="M6" i="2"/>
  <c r="L6" i="2"/>
  <c r="N12" i="2"/>
  <c r="K24" i="2"/>
  <c r="V27" i="2"/>
  <c r="Q8" i="2"/>
  <c r="B29" i="2"/>
  <c r="S22" i="2"/>
  <c r="B30" i="2"/>
  <c r="R15" i="2"/>
  <c r="R35" i="2"/>
  <c r="F11" i="14"/>
  <c r="J38" i="2"/>
  <c r="W10" i="2"/>
  <c r="G29" i="2"/>
  <c r="D25" i="2"/>
  <c r="E7" i="2"/>
  <c r="S24" i="2"/>
  <c r="W11" i="2"/>
  <c r="J6" i="2"/>
  <c r="O35" i="2"/>
  <c r="I5" i="2"/>
  <c r="L35" i="2"/>
  <c r="P41" i="2"/>
  <c r="R6" i="2"/>
  <c r="N10" i="2"/>
  <c r="E27" i="2"/>
  <c r="U18" i="2"/>
  <c r="I36" i="2"/>
  <c r="F42" i="2"/>
  <c r="E22" i="2"/>
  <c r="B37" i="2"/>
  <c r="G24" i="2"/>
  <c r="B20" i="2"/>
  <c r="R34" i="2"/>
  <c r="U32" i="2"/>
  <c r="V24" i="2"/>
  <c r="R11" i="2"/>
  <c r="N40" i="2"/>
  <c r="C26" i="2"/>
  <c r="C8" i="2"/>
  <c r="B7" i="2"/>
  <c r="K31" i="2"/>
  <c r="W17" i="2"/>
  <c r="V16" i="2"/>
  <c r="Q41" i="2"/>
  <c r="R22" i="2"/>
  <c r="L20" i="2"/>
  <c r="J17" i="2"/>
  <c r="Y36" i="2"/>
  <c r="R5" i="2"/>
  <c r="B9" i="2"/>
  <c r="F14" i="14"/>
  <c r="R32" i="2"/>
  <c r="E23" i="2"/>
  <c r="M28" i="2"/>
  <c r="W25" i="2"/>
  <c r="L18" i="2"/>
  <c r="W16" i="2"/>
  <c r="S18" i="2"/>
  <c r="B5" i="2"/>
  <c r="D40" i="2"/>
  <c r="F39" i="14"/>
  <c r="B39" i="2"/>
  <c r="T33" i="2"/>
  <c r="N9" i="2"/>
  <c r="U9" i="2"/>
  <c r="M18" i="2"/>
  <c r="F32" i="2"/>
  <c r="X36" i="2"/>
  <c r="J11" i="2"/>
  <c r="U14" i="2"/>
  <c r="V39" i="2"/>
  <c r="O11" i="2"/>
  <c r="X42" i="2"/>
  <c r="G19" i="2"/>
  <c r="X14" i="2"/>
  <c r="B35" i="2"/>
  <c r="O34" i="2"/>
  <c r="Q34" i="2"/>
  <c r="H9" i="2"/>
  <c r="C38" i="2"/>
  <c r="M41" i="2"/>
  <c r="P25" i="2"/>
  <c r="O12" i="2"/>
  <c r="R17" i="2"/>
  <c r="B21" i="2"/>
  <c r="H10" i="2"/>
  <c r="J26" i="2"/>
  <c r="B8" i="2"/>
  <c r="M25" i="2"/>
  <c r="N35" i="2"/>
  <c r="Y10" i="2"/>
  <c r="C6" i="2"/>
  <c r="U36" i="2"/>
  <c r="M38" i="2"/>
  <c r="N31" i="2"/>
  <c r="C33" i="2"/>
  <c r="T40" i="2"/>
  <c r="T17" i="2"/>
  <c r="H6" i="2"/>
  <c r="O33" i="2"/>
  <c r="X22" i="2"/>
  <c r="B36" i="2"/>
  <c r="T11" i="2"/>
  <c r="L33" i="2"/>
  <c r="W35" i="2"/>
  <c r="E16" i="2"/>
  <c r="H19" i="2"/>
  <c r="E34" i="2"/>
  <c r="U28" i="2"/>
  <c r="I29" i="2"/>
  <c r="C21" i="2"/>
  <c r="S40" i="2"/>
  <c r="M31" i="2"/>
  <c r="B38" i="2"/>
  <c r="G27" i="2"/>
  <c r="E18" i="2"/>
  <c r="L8" i="2"/>
  <c r="B6" i="2"/>
  <c r="U41" i="2"/>
  <c r="W33" i="2"/>
  <c r="G41" i="2"/>
  <c r="F10" i="2"/>
  <c r="S7" i="2"/>
  <c r="I33" i="2"/>
  <c r="Q17" i="2"/>
  <c r="N23" i="2"/>
  <c r="E26" i="2"/>
  <c r="X35" i="2"/>
  <c r="K8" i="2"/>
  <c r="X32" i="2"/>
  <c r="N21" i="2"/>
  <c r="R41" i="2"/>
  <c r="H21" i="2"/>
  <c r="W6" i="2"/>
  <c r="B42" i="2"/>
  <c r="T27" i="2"/>
  <c r="O38" i="2"/>
  <c r="D8" i="2"/>
  <c r="F13" i="2"/>
  <c r="P15" i="2"/>
  <c r="K30" i="2"/>
  <c r="K36" i="2"/>
  <c r="S25" i="2"/>
  <c r="H8" i="2"/>
  <c r="H41" i="2"/>
  <c r="F26" i="2"/>
  <c r="M34" i="2"/>
  <c r="U22" i="2"/>
  <c r="E36" i="2"/>
  <c r="O29" i="2"/>
  <c r="N38" i="2"/>
  <c r="J19" i="2"/>
  <c r="D30" i="2"/>
  <c r="D12" i="2"/>
  <c r="Y27" i="2"/>
  <c r="N7" i="2"/>
  <c r="K38" i="2"/>
  <c r="S28" i="2"/>
  <c r="D35" i="2"/>
  <c r="T35" i="2"/>
  <c r="C9" i="2"/>
  <c r="S16" i="2"/>
  <c r="X27" i="2"/>
  <c r="W31" i="2"/>
  <c r="B27" i="2"/>
  <c r="P28" i="2"/>
  <c r="G37" i="2"/>
  <c r="W5" i="2"/>
  <c r="Y6" i="2"/>
  <c r="F42" i="14"/>
  <c r="W23" i="2"/>
  <c r="V36" i="2"/>
  <c r="S34" i="2"/>
  <c r="Q36" i="2"/>
  <c r="Y33" i="2"/>
  <c r="T36" i="2"/>
  <c r="Q26" i="2"/>
  <c r="L36" i="2"/>
  <c r="G6" i="2"/>
  <c r="F33" i="2"/>
  <c r="D39" i="2"/>
  <c r="P9" i="2"/>
  <c r="X9" i="2"/>
  <c r="V21" i="2"/>
  <c r="N8" i="2"/>
  <c r="V26" i="2"/>
  <c r="T5" i="2"/>
  <c r="X18" i="2"/>
  <c r="E20" i="2"/>
  <c r="U7" i="2"/>
  <c r="F31" i="2"/>
  <c r="R42" i="2"/>
  <c r="F8" i="2"/>
  <c r="P26" i="2"/>
  <c r="D13" i="2"/>
  <c r="F12" i="2"/>
  <c r="M26" i="2"/>
  <c r="F14" i="2"/>
  <c r="L39" i="2"/>
  <c r="K34" i="2"/>
  <c r="W40" i="2"/>
  <c r="V11" i="2"/>
  <c r="E10" i="2"/>
  <c r="O37" i="2"/>
  <c r="C40" i="2"/>
  <c r="W37" i="2"/>
  <c r="C23" i="2"/>
  <c r="C42" i="2"/>
  <c r="B15" i="2"/>
  <c r="H32" i="2"/>
  <c r="Q29" i="2"/>
  <c r="Q24" i="2"/>
  <c r="Q21" i="2"/>
  <c r="F22" i="2"/>
  <c r="R28" i="2"/>
  <c r="L11" i="2"/>
  <c r="I6" i="2"/>
  <c r="Y20" i="2"/>
  <c r="K14" i="2"/>
  <c r="C10" i="2"/>
  <c r="L27" i="2"/>
  <c r="M33" i="2"/>
  <c r="S35" i="2"/>
  <c r="H23" i="2"/>
  <c r="Q19" i="2"/>
  <c r="C34" i="2"/>
  <c r="O20" i="2"/>
  <c r="D28" i="2"/>
  <c r="S21" i="2"/>
  <c r="P13" i="2"/>
  <c r="N17" i="2"/>
  <c r="F9" i="2"/>
  <c r="E40" i="13" l="1"/>
  <c r="G5" i="13"/>
  <c r="B2" i="13"/>
  <c r="E5" i="14" s="1"/>
  <c r="B17" i="3"/>
  <c r="C18" i="3" s="1"/>
  <c r="H17" i="3"/>
  <c r="I18" i="3" s="1"/>
  <c r="E17" i="3"/>
  <c r="F18" i="3" s="1"/>
  <c r="B15" i="3"/>
  <c r="C16" i="3" s="1"/>
  <c r="E15" i="3"/>
  <c r="F16" i="3" s="1"/>
  <c r="H15" i="3"/>
  <c r="I16" i="3" s="1"/>
  <c r="E20" i="3"/>
  <c r="B20" i="3"/>
  <c r="AB18" i="4"/>
  <c r="E36" i="3" s="1"/>
  <c r="AB19" i="4"/>
  <c r="H20" i="3"/>
  <c r="AB17" i="4"/>
  <c r="H18" i="3"/>
  <c r="I19" i="3" s="1"/>
  <c r="E18" i="3"/>
  <c r="F19" i="3" s="1"/>
  <c r="B18" i="3"/>
  <c r="C19" i="3" s="1"/>
  <c r="E9" i="3"/>
  <c r="F10" i="3" s="1"/>
  <c r="K9" i="3"/>
  <c r="H9" i="3"/>
  <c r="L9" i="3"/>
  <c r="R9" i="3"/>
  <c r="B9" i="3"/>
  <c r="C10" i="3" s="1"/>
  <c r="Q9" i="3"/>
  <c r="R10" i="3" s="1"/>
  <c r="N9" i="3"/>
  <c r="O10" i="3" s="1"/>
  <c r="E16" i="3"/>
  <c r="F17" i="3" s="1"/>
  <c r="B16" i="3"/>
  <c r="C17" i="3" s="1"/>
  <c r="H16" i="3"/>
  <c r="I17" i="3" s="1"/>
  <c r="H14" i="3"/>
  <c r="I15" i="3" s="1"/>
  <c r="B14" i="3"/>
  <c r="C15" i="3" s="1"/>
  <c r="E14" i="3"/>
  <c r="F15" i="3" s="1"/>
  <c r="Q11" i="3"/>
  <c r="R12" i="3" s="1"/>
  <c r="H11" i="3"/>
  <c r="I12" i="3" s="1"/>
  <c r="E11" i="3"/>
  <c r="F12" i="3" s="1"/>
  <c r="N11" i="3"/>
  <c r="K11" i="3"/>
  <c r="B11" i="3"/>
  <c r="C12" i="3" s="1"/>
  <c r="Q7" i="3"/>
  <c r="R8" i="3" s="1"/>
  <c r="K7" i="3"/>
  <c r="M7" i="3" s="1"/>
  <c r="B7" i="3"/>
  <c r="C8" i="3" s="1"/>
  <c r="C7" i="3"/>
  <c r="N7" i="3"/>
  <c r="E7" i="3"/>
  <c r="F8" i="3" s="1"/>
  <c r="F6" i="3"/>
  <c r="N6" i="3"/>
  <c r="O7" i="3" s="1"/>
  <c r="E6" i="3"/>
  <c r="G6" i="3" s="1"/>
  <c r="K6" i="3"/>
  <c r="M6" i="3" s="1"/>
  <c r="O6" i="3"/>
  <c r="H6" i="3"/>
  <c r="J6" i="3" s="1"/>
  <c r="Q6" i="3"/>
  <c r="S6" i="3" s="1"/>
  <c r="H10" i="3"/>
  <c r="I11" i="3" s="1"/>
  <c r="E10" i="3"/>
  <c r="Q10" i="3"/>
  <c r="R11" i="3" s="1"/>
  <c r="N10" i="3"/>
  <c r="O11" i="3" s="1"/>
  <c r="B10" i="3"/>
  <c r="C11" i="3" s="1"/>
  <c r="K10" i="3"/>
  <c r="L11" i="3" s="1"/>
  <c r="H19" i="3"/>
  <c r="I20" i="3" s="1"/>
  <c r="B19" i="3"/>
  <c r="C20" i="3" s="1"/>
  <c r="E19" i="3"/>
  <c r="F20" i="3" s="1"/>
  <c r="I8" i="3"/>
  <c r="E8" i="3"/>
  <c r="F9" i="3" s="1"/>
  <c r="N8" i="3"/>
  <c r="O9" i="3" s="1"/>
  <c r="B8" i="3"/>
  <c r="C9" i="3" s="1"/>
  <c r="H8" i="3"/>
  <c r="I9" i="3" s="1"/>
  <c r="Q5" i="3"/>
  <c r="S5" i="3" s="1"/>
  <c r="K5" i="3"/>
  <c r="M5" i="3" s="1"/>
  <c r="H5" i="3"/>
  <c r="I6" i="3" s="1"/>
  <c r="B5" i="3"/>
  <c r="D6" i="3" s="1"/>
  <c r="H12" i="3"/>
  <c r="I13" i="3" s="1"/>
  <c r="N12" i="3"/>
  <c r="O13" i="3" s="1"/>
  <c r="Q12" i="3"/>
  <c r="R13" i="3" s="1"/>
  <c r="E12" i="3"/>
  <c r="F13" i="3" s="1"/>
  <c r="B12" i="3"/>
  <c r="C13" i="3" s="1"/>
  <c r="K12" i="3"/>
  <c r="L13" i="3" s="1"/>
  <c r="K13" i="3"/>
  <c r="E13" i="3"/>
  <c r="F14" i="3" s="1"/>
  <c r="B13" i="3"/>
  <c r="C14" i="3" s="1"/>
  <c r="AB13" i="4"/>
  <c r="U13" i="4" s="1"/>
  <c r="Q13" i="3"/>
  <c r="AB9" i="4"/>
  <c r="O9" i="4" s="1"/>
  <c r="AB11" i="4"/>
  <c r="Y11" i="4" s="1"/>
  <c r="N13" i="3"/>
  <c r="H13" i="3"/>
  <c r="I14" i="3" s="1"/>
  <c r="G83" i="13"/>
  <c r="H84" i="13"/>
  <c r="H85" i="13" s="1"/>
  <c r="H56" i="13" s="1"/>
  <c r="N56" i="13" s="1"/>
  <c r="J84" i="13"/>
  <c r="J85" i="13" s="1"/>
  <c r="J75" i="13" s="1"/>
  <c r="L83" i="13"/>
  <c r="E40" i="3"/>
  <c r="P50" i="3"/>
  <c r="O51" i="3"/>
  <c r="I59" i="3"/>
  <c r="J58" i="3"/>
  <c r="D57" i="3"/>
  <c r="C58" i="3"/>
  <c r="R56" i="3"/>
  <c r="S55" i="3"/>
  <c r="S53" i="3"/>
  <c r="R54" i="3"/>
  <c r="R52" i="3"/>
  <c r="S51" i="3"/>
  <c r="R50" i="3"/>
  <c r="S49" i="3"/>
  <c r="D48" i="3"/>
  <c r="C49" i="3"/>
  <c r="I84" i="13"/>
  <c r="I83" i="13"/>
  <c r="I51" i="3"/>
  <c r="J50" i="3"/>
  <c r="L54" i="3"/>
  <c r="M53" i="3"/>
  <c r="S58" i="3"/>
  <c r="R59" i="3"/>
  <c r="R58" i="3"/>
  <c r="S57" i="3"/>
  <c r="C56" i="3"/>
  <c r="D55" i="3"/>
  <c r="C54" i="3"/>
  <c r="D53" i="3"/>
  <c r="O52" i="3"/>
  <c r="P51" i="3"/>
  <c r="R51" i="3"/>
  <c r="S50" i="3"/>
  <c r="M48" i="3"/>
  <c r="L49" i="3"/>
  <c r="E44" i="13"/>
  <c r="H37" i="13"/>
  <c r="L85" i="13"/>
  <c r="L76" i="13" s="1"/>
  <c r="G58" i="3"/>
  <c r="F59" i="3"/>
  <c r="I57" i="3"/>
  <c r="J56" i="3"/>
  <c r="I56" i="3"/>
  <c r="J55" i="3"/>
  <c r="J53" i="3"/>
  <c r="I54" i="3"/>
  <c r="I52" i="3"/>
  <c r="J51" i="3"/>
  <c r="L50" i="3"/>
  <c r="M49" i="3"/>
  <c r="O49" i="3"/>
  <c r="P48" i="3"/>
  <c r="I53" i="3"/>
  <c r="G85" i="13"/>
  <c r="G59" i="13" s="1"/>
  <c r="M59" i="13" s="1"/>
  <c r="L10" i="3"/>
  <c r="E26" i="3"/>
  <c r="E22" i="3"/>
  <c r="C53" i="3"/>
  <c r="D52" i="3"/>
  <c r="O59" i="3"/>
  <c r="P58" i="3"/>
  <c r="D56" i="3"/>
  <c r="C57" i="3"/>
  <c r="C55" i="3"/>
  <c r="D54" i="3"/>
  <c r="P53" i="3"/>
  <c r="O54" i="3"/>
  <c r="D51" i="3"/>
  <c r="C52" i="3"/>
  <c r="O50" i="3"/>
  <c r="P49" i="3"/>
  <c r="F49" i="3"/>
  <c r="G48" i="3"/>
  <c r="R57" i="3"/>
  <c r="S56" i="3"/>
  <c r="J57" i="3"/>
  <c r="I58" i="3"/>
  <c r="O57" i="3"/>
  <c r="P56" i="3"/>
  <c r="O55" i="3"/>
  <c r="P54" i="3"/>
  <c r="L53" i="3"/>
  <c r="M52" i="3"/>
  <c r="L52" i="3"/>
  <c r="M51" i="3"/>
  <c r="F50" i="3"/>
  <c r="G49" i="3"/>
  <c r="G53" i="3"/>
  <c r="F54" i="3"/>
  <c r="L58" i="3"/>
  <c r="M57" i="3"/>
  <c r="F57" i="3"/>
  <c r="G56" i="3"/>
  <c r="J54" i="3"/>
  <c r="I55" i="3"/>
  <c r="P52" i="3"/>
  <c r="O53" i="3"/>
  <c r="D50" i="3"/>
  <c r="C51" i="3"/>
  <c r="C50" i="3"/>
  <c r="D49" i="3"/>
  <c r="L57" i="3"/>
  <c r="E24" i="3"/>
  <c r="E27" i="3"/>
  <c r="K84" i="13"/>
  <c r="K83" i="13"/>
  <c r="P55" i="3"/>
  <c r="O56" i="3"/>
  <c r="C59" i="3"/>
  <c r="D58" i="3"/>
  <c r="G57" i="3"/>
  <c r="F58" i="3"/>
  <c r="M55" i="3"/>
  <c r="L56" i="3"/>
  <c r="L55" i="3"/>
  <c r="M54" i="3"/>
  <c r="R53" i="3"/>
  <c r="S52" i="3"/>
  <c r="G50" i="3"/>
  <c r="F51" i="3"/>
  <c r="R49" i="3"/>
  <c r="S48" i="3"/>
  <c r="E41" i="3"/>
  <c r="J49" i="3"/>
  <c r="I50" i="3"/>
  <c r="L59" i="3"/>
  <c r="M58" i="3"/>
  <c r="O58" i="3"/>
  <c r="P57" i="3"/>
  <c r="G55" i="3"/>
  <c r="F56" i="3"/>
  <c r="S54" i="3"/>
  <c r="R55" i="3"/>
  <c r="F53" i="3"/>
  <c r="G52" i="3"/>
  <c r="J48" i="3"/>
  <c r="I49" i="3"/>
  <c r="O12" i="3"/>
  <c r="H46" i="14"/>
  <c r="E10" i="14"/>
  <c r="E24" i="14"/>
  <c r="H32" i="14"/>
  <c r="H26" i="14"/>
  <c r="E42" i="14"/>
  <c r="E32" i="14"/>
  <c r="H31" i="14"/>
  <c r="H33" i="14"/>
  <c r="E41" i="14"/>
  <c r="E17" i="14"/>
  <c r="E39" i="14"/>
  <c r="H25" i="14"/>
  <c r="H29" i="14"/>
  <c r="E18" i="14"/>
  <c r="E48" i="14"/>
  <c r="H17" i="14"/>
  <c r="E25" i="14"/>
  <c r="H13" i="14"/>
  <c r="H39" i="14"/>
  <c r="H40" i="14"/>
  <c r="E11" i="14"/>
  <c r="H24" i="14"/>
  <c r="E27" i="14"/>
  <c r="E30" i="14"/>
  <c r="H27" i="14"/>
  <c r="H18" i="14"/>
  <c r="H41" i="14"/>
  <c r="H30" i="14"/>
  <c r="H12" i="14"/>
  <c r="E13" i="14"/>
  <c r="E26" i="14"/>
  <c r="E31" i="14"/>
  <c r="H48" i="14"/>
  <c r="E47" i="14"/>
  <c r="E40" i="14"/>
  <c r="H45" i="14"/>
  <c r="H43" i="14"/>
  <c r="H44" i="14"/>
  <c r="E45" i="14"/>
  <c r="H11" i="14"/>
  <c r="H16" i="14"/>
  <c r="E9" i="14"/>
  <c r="H42" i="14"/>
  <c r="H28" i="14"/>
  <c r="E33" i="14"/>
  <c r="E14" i="14"/>
  <c r="H15" i="14"/>
  <c r="E29" i="14"/>
  <c r="E12" i="14"/>
  <c r="E43" i="14"/>
  <c r="E46" i="14"/>
  <c r="H14" i="14"/>
  <c r="E28" i="14"/>
  <c r="H47" i="14"/>
  <c r="H9" i="14"/>
  <c r="H10" i="14"/>
  <c r="E15" i="14"/>
  <c r="E44" i="14"/>
  <c r="E16" i="14"/>
  <c r="E38" i="3" l="1"/>
  <c r="G5" i="14"/>
  <c r="B45" i="3"/>
  <c r="B47" i="3"/>
  <c r="B44" i="3"/>
  <c r="B46" i="3"/>
  <c r="H46" i="3"/>
  <c r="H45" i="3"/>
  <c r="H47" i="3"/>
  <c r="H44" i="3"/>
  <c r="E33" i="3"/>
  <c r="E44" i="3"/>
  <c r="E46" i="3"/>
  <c r="E45" i="3"/>
  <c r="E47" i="3"/>
  <c r="C6" i="3"/>
  <c r="F9" i="4"/>
  <c r="Y9" i="4"/>
  <c r="H9" i="4"/>
  <c r="U9" i="4"/>
  <c r="S9" i="4"/>
  <c r="T9" i="4"/>
  <c r="E28" i="3"/>
  <c r="F28" i="3" s="1"/>
  <c r="E35" i="3"/>
  <c r="F36" i="3" s="1"/>
  <c r="H31" i="3"/>
  <c r="H43" i="3"/>
  <c r="E23" i="3"/>
  <c r="F24" i="3" s="1"/>
  <c r="E43" i="3"/>
  <c r="E30" i="3"/>
  <c r="B27" i="3"/>
  <c r="B43" i="3"/>
  <c r="J5" i="3"/>
  <c r="E32" i="3"/>
  <c r="E42" i="3"/>
  <c r="F42" i="3" s="1"/>
  <c r="E29" i="3"/>
  <c r="E34" i="3"/>
  <c r="L7" i="3"/>
  <c r="F7" i="3"/>
  <c r="E25" i="3"/>
  <c r="F25" i="3" s="1"/>
  <c r="E37" i="3"/>
  <c r="Y13" i="4"/>
  <c r="G7" i="3"/>
  <c r="J13" i="4"/>
  <c r="F13" i="4"/>
  <c r="E39" i="3"/>
  <c r="F40" i="3" s="1"/>
  <c r="R13" i="4"/>
  <c r="L8" i="3"/>
  <c r="D13" i="4"/>
  <c r="G9" i="3"/>
  <c r="P6" i="3"/>
  <c r="M9" i="3"/>
  <c r="E31" i="3"/>
  <c r="E21" i="3"/>
  <c r="V13" i="4"/>
  <c r="C13" i="4"/>
  <c r="B40" i="3"/>
  <c r="B23" i="3"/>
  <c r="C9" i="4"/>
  <c r="B36" i="3"/>
  <c r="B32" i="3"/>
  <c r="B39" i="3"/>
  <c r="B21" i="3"/>
  <c r="D21" i="3" s="1"/>
  <c r="B31" i="3"/>
  <c r="B34" i="3"/>
  <c r="B28" i="3"/>
  <c r="E42" i="13"/>
  <c r="B41" i="3"/>
  <c r="B26" i="3"/>
  <c r="B24" i="3"/>
  <c r="G8" i="3"/>
  <c r="B25" i="3"/>
  <c r="R7" i="3"/>
  <c r="B22" i="3"/>
  <c r="B35" i="3"/>
  <c r="H35" i="13"/>
  <c r="B29" i="3"/>
  <c r="S7" i="3"/>
  <c r="P9" i="4"/>
  <c r="B33" i="3"/>
  <c r="B42" i="3"/>
  <c r="M12" i="3"/>
  <c r="B38" i="3"/>
  <c r="B37" i="3"/>
  <c r="B30" i="3"/>
  <c r="G9" i="4"/>
  <c r="I9" i="4"/>
  <c r="V9" i="4"/>
  <c r="J9" i="4"/>
  <c r="S13" i="4"/>
  <c r="Q9" i="4"/>
  <c r="X9" i="4"/>
  <c r="N13" i="4"/>
  <c r="K9" i="4"/>
  <c r="N9" i="4"/>
  <c r="G12" i="3"/>
  <c r="P13" i="4"/>
  <c r="Q13" i="4"/>
  <c r="G19" i="3"/>
  <c r="I13" i="4"/>
  <c r="D9" i="4"/>
  <c r="O13" i="4"/>
  <c r="R9" i="4"/>
  <c r="J18" i="3"/>
  <c r="J20" i="3"/>
  <c r="P8" i="3"/>
  <c r="H13" i="4"/>
  <c r="G17" i="3"/>
  <c r="M11" i="3"/>
  <c r="J12" i="3"/>
  <c r="M9" i="4"/>
  <c r="E9" i="4"/>
  <c r="L9" i="4"/>
  <c r="W9" i="4"/>
  <c r="M13" i="3"/>
  <c r="H38" i="3"/>
  <c r="G10" i="3"/>
  <c r="H26" i="3"/>
  <c r="G16" i="3"/>
  <c r="H32" i="3"/>
  <c r="H24" i="3"/>
  <c r="H23" i="3"/>
  <c r="H40" i="3"/>
  <c r="H37" i="3"/>
  <c r="L12" i="3"/>
  <c r="G18" i="3"/>
  <c r="F11" i="3"/>
  <c r="H35" i="3"/>
  <c r="O8" i="3"/>
  <c r="H30" i="3"/>
  <c r="I31" i="3" s="1"/>
  <c r="H41" i="3"/>
  <c r="H34" i="3"/>
  <c r="H39" i="3"/>
  <c r="H21" i="3"/>
  <c r="I21" i="3" s="1"/>
  <c r="H28" i="3"/>
  <c r="D7" i="3"/>
  <c r="D8" i="3"/>
  <c r="M10" i="3"/>
  <c r="H25" i="3"/>
  <c r="H29" i="3"/>
  <c r="G13" i="3"/>
  <c r="D11" i="3"/>
  <c r="M8" i="3"/>
  <c r="H27" i="3"/>
  <c r="H36" i="3"/>
  <c r="H33" i="3"/>
  <c r="G15" i="3"/>
  <c r="D10" i="3"/>
  <c r="D9" i="3"/>
  <c r="H22" i="3"/>
  <c r="G14" i="3"/>
  <c r="L6" i="3"/>
  <c r="D5" i="3"/>
  <c r="I10" i="3"/>
  <c r="H42" i="3"/>
  <c r="S9" i="3"/>
  <c r="G20" i="3"/>
  <c r="S13" i="3"/>
  <c r="P11" i="3"/>
  <c r="D16" i="3"/>
  <c r="S10" i="3"/>
  <c r="D12" i="3"/>
  <c r="J13" i="3"/>
  <c r="J16" i="3"/>
  <c r="P13" i="3"/>
  <c r="D19" i="3"/>
  <c r="P7" i="3"/>
  <c r="G11" i="3"/>
  <c r="D14" i="3"/>
  <c r="J9" i="3"/>
  <c r="J17" i="3"/>
  <c r="D15" i="3"/>
  <c r="P10" i="3"/>
  <c r="J8" i="3"/>
  <c r="S12" i="3"/>
  <c r="D17" i="3"/>
  <c r="J15" i="3"/>
  <c r="S11" i="3"/>
  <c r="D20" i="3"/>
  <c r="D13" i="3"/>
  <c r="J10" i="3"/>
  <c r="P12" i="3"/>
  <c r="P9" i="3"/>
  <c r="J14" i="3"/>
  <c r="B13" i="4"/>
  <c r="B9" i="4"/>
  <c r="G13" i="4"/>
  <c r="L13" i="4"/>
  <c r="M13" i="4"/>
  <c r="D18" i="3"/>
  <c r="C11" i="4"/>
  <c r="M11" i="4"/>
  <c r="R6" i="3"/>
  <c r="W11" i="4"/>
  <c r="X13" i="4"/>
  <c r="F11" i="4"/>
  <c r="T11" i="4"/>
  <c r="E11" i="4"/>
  <c r="J11" i="4"/>
  <c r="J11" i="3"/>
  <c r="T13" i="4"/>
  <c r="O11" i="4"/>
  <c r="Q11" i="4"/>
  <c r="D11" i="4"/>
  <c r="X11" i="4"/>
  <c r="R11" i="4"/>
  <c r="I7" i="3"/>
  <c r="U11" i="4"/>
  <c r="J19" i="3"/>
  <c r="H11" i="4"/>
  <c r="K11" i="4"/>
  <c r="I11" i="4"/>
  <c r="J7" i="3"/>
  <c r="S8" i="3"/>
  <c r="S11" i="4"/>
  <c r="B11" i="4"/>
  <c r="V11" i="4"/>
  <c r="W13" i="4"/>
  <c r="K13" i="4"/>
  <c r="G11" i="4"/>
  <c r="L11" i="4"/>
  <c r="N11" i="4"/>
  <c r="P11" i="4"/>
  <c r="E13" i="4"/>
  <c r="F41" i="3"/>
  <c r="H55" i="13"/>
  <c r="H58" i="13"/>
  <c r="H72" i="13"/>
  <c r="N72" i="13" s="1"/>
  <c r="H59" i="13"/>
  <c r="N59" i="13" s="1"/>
  <c r="J59" i="13"/>
  <c r="P59" i="13" s="1"/>
  <c r="E43" i="13"/>
  <c r="H36" i="13"/>
  <c r="H74" i="13"/>
  <c r="N74" i="13" s="1"/>
  <c r="H54" i="13"/>
  <c r="K85" i="13"/>
  <c r="K76" i="13" s="1"/>
  <c r="H75" i="13"/>
  <c r="N75" i="13" s="1"/>
  <c r="I85" i="13"/>
  <c r="I68" i="13" s="1"/>
  <c r="O68" i="13" s="1"/>
  <c r="H76" i="13"/>
  <c r="H71" i="13"/>
  <c r="H64" i="13"/>
  <c r="N64" i="13" s="1"/>
  <c r="H65" i="13"/>
  <c r="N65" i="13" s="1"/>
  <c r="H69" i="13"/>
  <c r="N69" i="13" s="1"/>
  <c r="H62" i="13"/>
  <c r="N62" i="13" s="1"/>
  <c r="H63" i="13"/>
  <c r="N63" i="13" s="1"/>
  <c r="H53" i="13"/>
  <c r="H60" i="13"/>
  <c r="N60" i="13" s="1"/>
  <c r="H61" i="13"/>
  <c r="H66" i="13"/>
  <c r="N66" i="13" s="1"/>
  <c r="H67" i="13"/>
  <c r="H73" i="13"/>
  <c r="N73" i="13" s="1"/>
  <c r="G76" i="13"/>
  <c r="G60" i="13"/>
  <c r="M60" i="13" s="1"/>
  <c r="G65" i="13"/>
  <c r="M65" i="13" s="1"/>
  <c r="G62" i="13"/>
  <c r="M62" i="13" s="1"/>
  <c r="G67" i="13"/>
  <c r="G57" i="13"/>
  <c r="M57" i="13" s="1"/>
  <c r="G74" i="13"/>
  <c r="M74" i="13" s="1"/>
  <c r="G58" i="13"/>
  <c r="G63" i="13"/>
  <c r="M63" i="13" s="1"/>
  <c r="G72" i="13"/>
  <c r="M72" i="13" s="1"/>
  <c r="G56" i="13"/>
  <c r="M56" i="13" s="1"/>
  <c r="G61" i="13"/>
  <c r="G70" i="13"/>
  <c r="M70" i="13" s="1"/>
  <c r="G54" i="13"/>
  <c r="G75" i="13"/>
  <c r="M75" i="13" s="1"/>
  <c r="G64" i="13"/>
  <c r="M64" i="13" s="1"/>
  <c r="G53" i="13"/>
  <c r="G73" i="13"/>
  <c r="M73" i="13" s="1"/>
  <c r="G71" i="13"/>
  <c r="H57" i="13"/>
  <c r="N57" i="13" s="1"/>
  <c r="G68" i="13"/>
  <c r="L53" i="13"/>
  <c r="L71" i="13"/>
  <c r="R71" i="13" s="1"/>
  <c r="L55" i="13"/>
  <c r="L68" i="13"/>
  <c r="R68" i="13" s="1"/>
  <c r="L63" i="13"/>
  <c r="R63" i="13" s="1"/>
  <c r="L67" i="13"/>
  <c r="R67" i="13" s="1"/>
  <c r="L64" i="13"/>
  <c r="L62" i="13"/>
  <c r="L65" i="13"/>
  <c r="R65" i="13" s="1"/>
  <c r="L72" i="13"/>
  <c r="L74" i="13"/>
  <c r="L56" i="13"/>
  <c r="L60" i="13"/>
  <c r="L58" i="13"/>
  <c r="R58" i="13" s="1"/>
  <c r="L73" i="13"/>
  <c r="R73" i="13" s="1"/>
  <c r="L57" i="13"/>
  <c r="L54" i="13"/>
  <c r="L69" i="13"/>
  <c r="L66" i="13"/>
  <c r="G66" i="13"/>
  <c r="M66" i="13" s="1"/>
  <c r="H68" i="13"/>
  <c r="L61" i="13"/>
  <c r="R61" i="13" s="1"/>
  <c r="G69" i="13"/>
  <c r="M69" i="13" s="1"/>
  <c r="F27" i="3"/>
  <c r="J69" i="13"/>
  <c r="J62" i="13"/>
  <c r="J71" i="13"/>
  <c r="P71" i="13" s="1"/>
  <c r="J55" i="13"/>
  <c r="J74" i="13"/>
  <c r="J58" i="13"/>
  <c r="P58" i="13" s="1"/>
  <c r="J67" i="13"/>
  <c r="P67" i="13" s="1"/>
  <c r="J72" i="13"/>
  <c r="J56" i="13"/>
  <c r="J65" i="13"/>
  <c r="P65" i="13" s="1"/>
  <c r="J70" i="13"/>
  <c r="J54" i="13"/>
  <c r="J63" i="13"/>
  <c r="P63" i="13" s="1"/>
  <c r="J64" i="13"/>
  <c r="J73" i="13"/>
  <c r="P73" i="13" s="1"/>
  <c r="J57" i="13"/>
  <c r="J76" i="13"/>
  <c r="J60" i="13"/>
  <c r="J53" i="13"/>
  <c r="G55" i="13"/>
  <c r="L59" i="13"/>
  <c r="R59" i="13" s="1"/>
  <c r="J61" i="13"/>
  <c r="P61" i="13" s="1"/>
  <c r="H70" i="13"/>
  <c r="N70" i="13" s="1"/>
  <c r="J66" i="13"/>
  <c r="L70" i="13"/>
  <c r="J68" i="13"/>
  <c r="P68" i="13" s="1"/>
  <c r="L75" i="13"/>
  <c r="G40" i="14"/>
  <c r="G28" i="14"/>
  <c r="G11" i="14"/>
  <c r="G42" i="14"/>
  <c r="G26" i="14"/>
  <c r="G17" i="14"/>
  <c r="G14" i="14"/>
  <c r="G47" i="14"/>
  <c r="G13" i="14"/>
  <c r="G41" i="14"/>
  <c r="G45" i="14"/>
  <c r="G32" i="14"/>
  <c r="G27" i="14"/>
  <c r="G24" i="14"/>
  <c r="G30" i="14"/>
  <c r="G29" i="14"/>
  <c r="G39" i="14"/>
  <c r="G10" i="14"/>
  <c r="G46" i="14"/>
  <c r="G15" i="14"/>
  <c r="G12" i="14"/>
  <c r="G18" i="14"/>
  <c r="G44" i="14"/>
  <c r="G33" i="14"/>
  <c r="G48" i="14"/>
  <c r="G43" i="14"/>
  <c r="G31" i="14"/>
  <c r="G25" i="14"/>
  <c r="G16" i="14"/>
  <c r="G9" i="14"/>
  <c r="F38" i="3" l="1"/>
  <c r="F23" i="3"/>
  <c r="F33" i="3"/>
  <c r="I32" i="3"/>
  <c r="D45" i="3"/>
  <c r="J44" i="3"/>
  <c r="I45" i="3"/>
  <c r="J47" i="3"/>
  <c r="I48" i="3"/>
  <c r="J45" i="3"/>
  <c r="I46" i="3"/>
  <c r="F48" i="3"/>
  <c r="G47" i="3"/>
  <c r="J46" i="3"/>
  <c r="I47" i="3"/>
  <c r="G45" i="3"/>
  <c r="F46" i="3"/>
  <c r="C46" i="3"/>
  <c r="D46" i="3"/>
  <c r="C47" i="3"/>
  <c r="G46" i="3"/>
  <c r="F47" i="3"/>
  <c r="C45" i="3"/>
  <c r="D44" i="3"/>
  <c r="F45" i="3"/>
  <c r="G44" i="3"/>
  <c r="D47" i="3"/>
  <c r="C48" i="3"/>
  <c r="F29" i="3"/>
  <c r="F37" i="3"/>
  <c r="C24" i="3"/>
  <c r="F32" i="3"/>
  <c r="F30" i="3"/>
  <c r="C27" i="3"/>
  <c r="F35" i="3"/>
  <c r="C36" i="3"/>
  <c r="C28" i="3"/>
  <c r="F39" i="3"/>
  <c r="F34" i="3"/>
  <c r="C14" i="6"/>
  <c r="E3" i="6"/>
  <c r="C13" i="6"/>
  <c r="C15" i="6"/>
  <c r="I43" i="3"/>
  <c r="F43" i="3"/>
  <c r="F26" i="3"/>
  <c r="C43" i="3"/>
  <c r="C44" i="3"/>
  <c r="D43" i="3"/>
  <c r="D15" i="6"/>
  <c r="D14" i="6"/>
  <c r="C7" i="6"/>
  <c r="C11" i="6"/>
  <c r="G30" i="3"/>
  <c r="F44" i="3"/>
  <c r="G43" i="3"/>
  <c r="C12" i="6"/>
  <c r="D13" i="6"/>
  <c r="I44" i="3"/>
  <c r="J43" i="3"/>
  <c r="B7" i="6"/>
  <c r="D12" i="6"/>
  <c r="C31" i="3"/>
  <c r="G39" i="3"/>
  <c r="C23" i="3"/>
  <c r="C40" i="3"/>
  <c r="D22" i="3"/>
  <c r="D23" i="3"/>
  <c r="C22" i="3"/>
  <c r="C21" i="3"/>
  <c r="D24" i="3"/>
  <c r="C39" i="3"/>
  <c r="I23" i="3"/>
  <c r="G37" i="3"/>
  <c r="C29" i="3"/>
  <c r="D29" i="3"/>
  <c r="C35" i="3"/>
  <c r="G38" i="3"/>
  <c r="G26" i="3"/>
  <c r="G23" i="3"/>
  <c r="G22" i="3"/>
  <c r="G29" i="3"/>
  <c r="G36" i="3"/>
  <c r="F21" i="3"/>
  <c r="G41" i="3"/>
  <c r="J22" i="3"/>
  <c r="G33" i="3"/>
  <c r="G21" i="3"/>
  <c r="F22" i="3"/>
  <c r="G25" i="3"/>
  <c r="G35" i="3"/>
  <c r="G28" i="3"/>
  <c r="G24" i="3"/>
  <c r="G27" i="3"/>
  <c r="G40" i="3"/>
  <c r="J23" i="3"/>
  <c r="D25" i="3"/>
  <c r="D27" i="3"/>
  <c r="C25" i="3"/>
  <c r="G31" i="3"/>
  <c r="D26" i="3"/>
  <c r="G32" i="3"/>
  <c r="G42" i="3"/>
  <c r="C34" i="3"/>
  <c r="C37" i="3"/>
  <c r="G34" i="3"/>
  <c r="F31" i="3"/>
  <c r="C38" i="3"/>
  <c r="C26" i="3"/>
  <c r="I40" i="3"/>
  <c r="C32" i="3"/>
  <c r="D34" i="3"/>
  <c r="D40" i="3"/>
  <c r="D35" i="3"/>
  <c r="D30" i="3"/>
  <c r="D32" i="3"/>
  <c r="D31" i="3"/>
  <c r="D33" i="3"/>
  <c r="D36" i="3"/>
  <c r="D39" i="3"/>
  <c r="D38" i="3"/>
  <c r="I27" i="3"/>
  <c r="D41" i="3"/>
  <c r="D28" i="3"/>
  <c r="C30" i="3"/>
  <c r="I26" i="3"/>
  <c r="B7" i="5"/>
  <c r="C11" i="7"/>
  <c r="B7" i="7"/>
  <c r="D42" i="3"/>
  <c r="D12" i="7"/>
  <c r="I39" i="3"/>
  <c r="D13" i="5"/>
  <c r="D12" i="5"/>
  <c r="J21" i="3"/>
  <c r="I22" i="3"/>
  <c r="D15" i="5"/>
  <c r="C7" i="5"/>
  <c r="D14" i="5"/>
  <c r="I33" i="3"/>
  <c r="D37" i="3"/>
  <c r="C12" i="5"/>
  <c r="E3" i="5"/>
  <c r="E3" i="7"/>
  <c r="C42" i="3"/>
  <c r="C14" i="5"/>
  <c r="C13" i="7"/>
  <c r="C7" i="7"/>
  <c r="C15" i="5"/>
  <c r="C41" i="3"/>
  <c r="C33" i="3"/>
  <c r="I38" i="3"/>
  <c r="D14" i="7"/>
  <c r="C14" i="7"/>
  <c r="C15" i="7"/>
  <c r="D15" i="7"/>
  <c r="C11" i="5"/>
  <c r="D13" i="7"/>
  <c r="C12" i="7"/>
  <c r="C13" i="5"/>
  <c r="I35" i="3"/>
  <c r="I30" i="3"/>
  <c r="R54" i="13"/>
  <c r="I42" i="3"/>
  <c r="I41" i="3"/>
  <c r="I29" i="3"/>
  <c r="N17" i="3"/>
  <c r="Q14" i="3"/>
  <c r="S14" i="3" s="1"/>
  <c r="Z13" i="4"/>
  <c r="Q16" i="3"/>
  <c r="I34" i="3"/>
  <c r="I28" i="3"/>
  <c r="J36" i="3"/>
  <c r="K16" i="3"/>
  <c r="Q15" i="3"/>
  <c r="J37" i="3"/>
  <c r="N14" i="3"/>
  <c r="O14" i="3" s="1"/>
  <c r="J30" i="3"/>
  <c r="K15" i="3"/>
  <c r="J42" i="3"/>
  <c r="J28" i="3"/>
  <c r="K17" i="3"/>
  <c r="AB16" i="4"/>
  <c r="Q19" i="3" s="1"/>
  <c r="K14" i="3"/>
  <c r="J27" i="3"/>
  <c r="Z9" i="4"/>
  <c r="AB14" i="4"/>
  <c r="K18" i="3" s="1"/>
  <c r="N16" i="3"/>
  <c r="N15" i="3"/>
  <c r="I37" i="3"/>
  <c r="J33" i="3"/>
  <c r="J29" i="3"/>
  <c r="J41" i="3"/>
  <c r="J38" i="3"/>
  <c r="J26" i="3"/>
  <c r="J40" i="3"/>
  <c r="Z11" i="4"/>
  <c r="J32" i="3"/>
  <c r="I24" i="3"/>
  <c r="J24" i="3"/>
  <c r="I25" i="3"/>
  <c r="J35" i="3"/>
  <c r="J31" i="3"/>
  <c r="J34" i="3"/>
  <c r="I36" i="3"/>
  <c r="J25" i="3"/>
  <c r="J39" i="3"/>
  <c r="Q17" i="3"/>
  <c r="AB15" i="4"/>
  <c r="AB21" i="4" s="1"/>
  <c r="I59" i="13"/>
  <c r="O59" i="13" s="1"/>
  <c r="I58" i="13"/>
  <c r="O58" i="13" s="1"/>
  <c r="I60" i="13"/>
  <c r="I67" i="13"/>
  <c r="O67" i="13" s="1"/>
  <c r="I75" i="13"/>
  <c r="O75" i="13" s="1"/>
  <c r="I53" i="13"/>
  <c r="O53" i="13" s="1"/>
  <c r="I70" i="13"/>
  <c r="I72" i="13"/>
  <c r="I56" i="13"/>
  <c r="O56" i="13" s="1"/>
  <c r="I74" i="13"/>
  <c r="O74" i="13" s="1"/>
  <c r="M58" i="13"/>
  <c r="N58" i="13"/>
  <c r="K60" i="13"/>
  <c r="Q60" i="13" s="1"/>
  <c r="K71" i="13"/>
  <c r="K55" i="13"/>
  <c r="K65" i="13"/>
  <c r="K54" i="13"/>
  <c r="K58" i="13"/>
  <c r="Q58" i="13" s="1"/>
  <c r="K64" i="13"/>
  <c r="Q64" i="13" s="1"/>
  <c r="N55" i="13"/>
  <c r="M54" i="13"/>
  <c r="P64" i="13"/>
  <c r="R75" i="13"/>
  <c r="K56" i="13"/>
  <c r="N67" i="13"/>
  <c r="K53" i="13"/>
  <c r="P75" i="13"/>
  <c r="R57" i="13"/>
  <c r="K62" i="13"/>
  <c r="Q62" i="13" s="1"/>
  <c r="P57" i="13"/>
  <c r="P72" i="13"/>
  <c r="N68" i="13"/>
  <c r="R69" i="13"/>
  <c r="R72" i="13"/>
  <c r="M68" i="13"/>
  <c r="K57" i="13"/>
  <c r="Q57" i="13" s="1"/>
  <c r="K68" i="13"/>
  <c r="M55" i="13"/>
  <c r="L77" i="13"/>
  <c r="R53" i="13"/>
  <c r="F37" i="13"/>
  <c r="G37" i="13" s="1"/>
  <c r="K61" i="13"/>
  <c r="N54" i="13"/>
  <c r="K70" i="13"/>
  <c r="Q70" i="13" s="1"/>
  <c r="K69" i="13"/>
  <c r="Q69" i="13" s="1"/>
  <c r="P74" i="13"/>
  <c r="R64" i="13"/>
  <c r="I54" i="13"/>
  <c r="M67" i="13"/>
  <c r="K66" i="13"/>
  <c r="Q66" i="13" s="1"/>
  <c r="R70" i="13"/>
  <c r="P54" i="13"/>
  <c r="P55" i="13"/>
  <c r="C35" i="13"/>
  <c r="D35" i="13" s="1"/>
  <c r="D42" i="13"/>
  <c r="B42" i="13"/>
  <c r="I57" i="13"/>
  <c r="O57" i="13" s="1"/>
  <c r="M61" i="13"/>
  <c r="N61" i="13"/>
  <c r="N71" i="13"/>
  <c r="R60" i="13"/>
  <c r="M71" i="13"/>
  <c r="N76" i="13"/>
  <c r="I62" i="13"/>
  <c r="I61" i="13"/>
  <c r="O61" i="13" s="1"/>
  <c r="I69" i="13"/>
  <c r="I66" i="13"/>
  <c r="O66" i="13" s="1"/>
  <c r="I65" i="13"/>
  <c r="O65" i="13" s="1"/>
  <c r="I55" i="13"/>
  <c r="O55" i="13" s="1"/>
  <c r="I64" i="13"/>
  <c r="O64" i="13" s="1"/>
  <c r="I63" i="13"/>
  <c r="O63" i="13" s="1"/>
  <c r="I73" i="13"/>
  <c r="O73" i="13" s="1"/>
  <c r="K75" i="13"/>
  <c r="R76" i="13"/>
  <c r="R62" i="13"/>
  <c r="P66" i="13"/>
  <c r="J77" i="13"/>
  <c r="F35" i="13"/>
  <c r="G35" i="13" s="1"/>
  <c r="P53" i="13"/>
  <c r="P70" i="13"/>
  <c r="P60" i="13"/>
  <c r="P62" i="13"/>
  <c r="R56" i="13"/>
  <c r="C44" i="13"/>
  <c r="K63" i="13"/>
  <c r="N53" i="13"/>
  <c r="H77" i="13"/>
  <c r="I71" i="13"/>
  <c r="O71" i="13" s="1"/>
  <c r="K67" i="13"/>
  <c r="K59" i="13"/>
  <c r="Q59" i="13" s="1"/>
  <c r="P76" i="13"/>
  <c r="P56" i="13"/>
  <c r="C42" i="13"/>
  <c r="P69" i="13"/>
  <c r="R66" i="13"/>
  <c r="R74" i="13"/>
  <c r="D44" i="13"/>
  <c r="C37" i="13"/>
  <c r="D37" i="13" s="1"/>
  <c r="B44" i="13"/>
  <c r="R55" i="13"/>
  <c r="M53" i="13"/>
  <c r="G77" i="13"/>
  <c r="M76" i="13"/>
  <c r="K72" i="13"/>
  <c r="Q72" i="13" s="1"/>
  <c r="K73" i="13"/>
  <c r="K74" i="13"/>
  <c r="Q74" i="13" s="1"/>
  <c r="I76" i="13"/>
  <c r="N39" i="3" l="1"/>
  <c r="N44" i="3"/>
  <c r="N47" i="3"/>
  <c r="N46" i="3"/>
  <c r="N45" i="3"/>
  <c r="O15" i="3"/>
  <c r="O17" i="3"/>
  <c r="N42" i="3"/>
  <c r="N43" i="3"/>
  <c r="D7" i="6"/>
  <c r="G11" i="6"/>
  <c r="F7" i="6"/>
  <c r="G12" i="6"/>
  <c r="G16" i="6"/>
  <c r="G15" i="6"/>
  <c r="G7" i="6"/>
  <c r="D11" i="6"/>
  <c r="G14" i="6"/>
  <c r="G13" i="6"/>
  <c r="E7" i="6"/>
  <c r="G13" i="5"/>
  <c r="N29" i="3"/>
  <c r="F7" i="5"/>
  <c r="G11" i="5"/>
  <c r="G12" i="5"/>
  <c r="G14" i="5"/>
  <c r="D7" i="5"/>
  <c r="G16" i="5"/>
  <c r="E7" i="5"/>
  <c r="N24" i="3"/>
  <c r="P16" i="3"/>
  <c r="S15" i="3"/>
  <c r="P17" i="3"/>
  <c r="N22" i="3"/>
  <c r="R17" i="3"/>
  <c r="S16" i="3"/>
  <c r="L18" i="3"/>
  <c r="R16" i="3"/>
  <c r="G15" i="5"/>
  <c r="O16" i="3"/>
  <c r="L17" i="3"/>
  <c r="K20" i="3"/>
  <c r="N36" i="3"/>
  <c r="N26" i="3"/>
  <c r="N23" i="3"/>
  <c r="N40" i="3"/>
  <c r="O40" i="3" s="1"/>
  <c r="N38" i="3"/>
  <c r="D11" i="5"/>
  <c r="P15" i="3"/>
  <c r="N27" i="3"/>
  <c r="N33" i="3"/>
  <c r="N30" i="3"/>
  <c r="K23" i="3"/>
  <c r="N37" i="3"/>
  <c r="N41" i="3"/>
  <c r="G2" i="14" s="1"/>
  <c r="G7" i="5"/>
  <c r="K24" i="3"/>
  <c r="R15" i="3"/>
  <c r="N25" i="3"/>
  <c r="AB20" i="4"/>
  <c r="N28" i="3"/>
  <c r="N31" i="3"/>
  <c r="K21" i="3"/>
  <c r="N34" i="3"/>
  <c r="N35" i="3"/>
  <c r="G1" i="14" s="1"/>
  <c r="K22" i="3"/>
  <c r="R14" i="3"/>
  <c r="Q18" i="3"/>
  <c r="S18" i="3" s="1"/>
  <c r="N32" i="3"/>
  <c r="K19" i="3"/>
  <c r="L19" i="3" s="1"/>
  <c r="N20" i="3"/>
  <c r="D7" i="7"/>
  <c r="L16" i="3"/>
  <c r="P14" i="3"/>
  <c r="N19" i="3"/>
  <c r="L15" i="3"/>
  <c r="G7" i="7"/>
  <c r="M16" i="3"/>
  <c r="S17" i="3"/>
  <c r="M18" i="3"/>
  <c r="M15" i="3"/>
  <c r="M14" i="3"/>
  <c r="M17" i="3"/>
  <c r="L14" i="3"/>
  <c r="D11" i="7"/>
  <c r="G16" i="7"/>
  <c r="Q23" i="3"/>
  <c r="AB22" i="4"/>
  <c r="G14" i="7"/>
  <c r="Q22" i="3"/>
  <c r="G15" i="7"/>
  <c r="G13" i="7"/>
  <c r="E7" i="7"/>
  <c r="Q20" i="3"/>
  <c r="R20" i="3" s="1"/>
  <c r="Q21" i="3"/>
  <c r="F7" i="7"/>
  <c r="Q24" i="3"/>
  <c r="N21" i="3"/>
  <c r="G12" i="7"/>
  <c r="G11" i="7"/>
  <c r="N18" i="3"/>
  <c r="F36" i="13"/>
  <c r="G36" i="13" s="1"/>
  <c r="O54" i="13"/>
  <c r="E23" i="13" s="1"/>
  <c r="Q56" i="13"/>
  <c r="Q71" i="13"/>
  <c r="Q54" i="13"/>
  <c r="Q53" i="13"/>
  <c r="Q55" i="13"/>
  <c r="Q73" i="13"/>
  <c r="O62" i="13"/>
  <c r="O39" i="3"/>
  <c r="E12" i="13"/>
  <c r="D11" i="13"/>
  <c r="C10" i="13"/>
  <c r="B9" i="13"/>
  <c r="E14" i="13"/>
  <c r="D13" i="13"/>
  <c r="C12" i="13"/>
  <c r="B11" i="13"/>
  <c r="C14" i="13"/>
  <c r="B13" i="13"/>
  <c r="E8" i="13"/>
  <c r="D7" i="13"/>
  <c r="E13" i="13"/>
  <c r="B8" i="13"/>
  <c r="C13" i="13"/>
  <c r="E11" i="13"/>
  <c r="E9" i="13"/>
  <c r="C11" i="13"/>
  <c r="D9" i="13"/>
  <c r="E7" i="13"/>
  <c r="C9" i="13"/>
  <c r="C7" i="13"/>
  <c r="B12" i="13"/>
  <c r="D8" i="13"/>
  <c r="C8" i="13"/>
  <c r="D14" i="13"/>
  <c r="D10" i="13"/>
  <c r="B14" i="13"/>
  <c r="B10" i="13"/>
  <c r="E10" i="13"/>
  <c r="B7" i="13"/>
  <c r="D12" i="13"/>
  <c r="K77" i="13"/>
  <c r="Q76" i="13"/>
  <c r="O76" i="13"/>
  <c r="O70" i="13"/>
  <c r="E20" i="13"/>
  <c r="D19" i="13"/>
  <c r="C18" i="13"/>
  <c r="B17" i="13"/>
  <c r="E22" i="13"/>
  <c r="D21" i="13"/>
  <c r="C20" i="13"/>
  <c r="B19" i="13"/>
  <c r="C22" i="13"/>
  <c r="B21" i="13"/>
  <c r="E16" i="13"/>
  <c r="D15" i="13"/>
  <c r="C17" i="13"/>
  <c r="C15" i="13"/>
  <c r="D22" i="13"/>
  <c r="B15" i="13"/>
  <c r="B22" i="13"/>
  <c r="D20" i="13"/>
  <c r="E18" i="13"/>
  <c r="B20" i="13"/>
  <c r="D18" i="13"/>
  <c r="D16" i="13"/>
  <c r="E19" i="13"/>
  <c r="C19" i="13"/>
  <c r="E15" i="13"/>
  <c r="B18" i="13"/>
  <c r="D17" i="13"/>
  <c r="C16" i="13"/>
  <c r="B16" i="13"/>
  <c r="E21" i="13"/>
  <c r="C21" i="13"/>
  <c r="E17" i="13"/>
  <c r="Q65" i="13"/>
  <c r="Q63" i="13"/>
  <c r="C43" i="13"/>
  <c r="B43" i="13"/>
  <c r="Q68" i="13"/>
  <c r="O60" i="13"/>
  <c r="I77" i="13"/>
  <c r="D43" i="13"/>
  <c r="Q67" i="13"/>
  <c r="Q75" i="13"/>
  <c r="C36" i="13"/>
  <c r="D36" i="13" s="1"/>
  <c r="Q61" i="13"/>
  <c r="O69" i="13"/>
  <c r="O72" i="13"/>
  <c r="Q47" i="3" l="1"/>
  <c r="Q46" i="3"/>
  <c r="Q44" i="3"/>
  <c r="Q45" i="3"/>
  <c r="O46" i="3"/>
  <c r="P45" i="3"/>
  <c r="K46" i="3"/>
  <c r="K47" i="3"/>
  <c r="K44" i="3"/>
  <c r="K45" i="3"/>
  <c r="O47" i="3"/>
  <c r="P46" i="3"/>
  <c r="P47" i="3"/>
  <c r="O48" i="3"/>
  <c r="P44" i="3"/>
  <c r="O45" i="3"/>
  <c r="G8" i="14"/>
  <c r="L22" i="3"/>
  <c r="O31" i="3"/>
  <c r="O24" i="3"/>
  <c r="Q42" i="3"/>
  <c r="Q43" i="3"/>
  <c r="K42" i="3"/>
  <c r="K43" i="3"/>
  <c r="P43" i="3"/>
  <c r="O44" i="3"/>
  <c r="O43" i="3"/>
  <c r="O27" i="3"/>
  <c r="O32" i="3"/>
  <c r="O37" i="3"/>
  <c r="O35" i="3"/>
  <c r="F2" i="14"/>
  <c r="F38" i="14" s="1"/>
  <c r="L23" i="3"/>
  <c r="O36" i="3"/>
  <c r="S19" i="3"/>
  <c r="O23" i="3"/>
  <c r="O30" i="3"/>
  <c r="M19" i="3"/>
  <c r="O29" i="3"/>
  <c r="M20" i="3"/>
  <c r="L20" i="3"/>
  <c r="L24" i="3"/>
  <c r="O25" i="3"/>
  <c r="O38" i="3"/>
  <c r="M21" i="3"/>
  <c r="P31" i="3"/>
  <c r="P25" i="3"/>
  <c r="P39" i="3"/>
  <c r="P30" i="3"/>
  <c r="P40" i="3"/>
  <c r="O28" i="3"/>
  <c r="P37" i="3"/>
  <c r="O19" i="3"/>
  <c r="P29" i="3"/>
  <c r="O20" i="3"/>
  <c r="O26" i="3"/>
  <c r="P33" i="3"/>
  <c r="P26" i="3"/>
  <c r="Q25" i="3"/>
  <c r="R25" i="3" s="1"/>
  <c r="P38" i="3"/>
  <c r="P19" i="3"/>
  <c r="P24" i="3"/>
  <c r="O21" i="3"/>
  <c r="P36" i="3"/>
  <c r="P27" i="3"/>
  <c r="L21" i="3"/>
  <c r="Q32" i="3"/>
  <c r="S21" i="3"/>
  <c r="M23" i="3"/>
  <c r="Q41" i="3"/>
  <c r="P42" i="3"/>
  <c r="P22" i="3"/>
  <c r="O34" i="3"/>
  <c r="P28" i="3"/>
  <c r="P23" i="3"/>
  <c r="P20" i="3"/>
  <c r="S20" i="3"/>
  <c r="P34" i="3"/>
  <c r="P35" i="3"/>
  <c r="Q38" i="3"/>
  <c r="M24" i="3"/>
  <c r="K41" i="3"/>
  <c r="K40" i="3"/>
  <c r="Q34" i="3"/>
  <c r="Q36" i="3"/>
  <c r="R18" i="3"/>
  <c r="K28" i="3"/>
  <c r="K37" i="3"/>
  <c r="C7" i="9"/>
  <c r="Q29" i="3"/>
  <c r="K34" i="3"/>
  <c r="M22" i="3"/>
  <c r="O22" i="3"/>
  <c r="K36" i="3"/>
  <c r="Q39" i="3"/>
  <c r="Q33" i="3"/>
  <c r="K25" i="3"/>
  <c r="M25" i="3" s="1"/>
  <c r="K29" i="3"/>
  <c r="R19" i="3"/>
  <c r="K39" i="3"/>
  <c r="K38" i="3"/>
  <c r="Q26" i="3"/>
  <c r="K27" i="3"/>
  <c r="K30" i="3"/>
  <c r="K26" i="3"/>
  <c r="K32" i="3"/>
  <c r="Q40" i="3"/>
  <c r="Q35" i="3"/>
  <c r="K33" i="3"/>
  <c r="O41" i="3"/>
  <c r="P32" i="3"/>
  <c r="D14" i="9"/>
  <c r="Q31" i="3"/>
  <c r="C11" i="9"/>
  <c r="D12" i="9"/>
  <c r="B7" i="9"/>
  <c r="D13" i="9"/>
  <c r="P41" i="3"/>
  <c r="C13" i="9"/>
  <c r="C14" i="9"/>
  <c r="O33" i="3"/>
  <c r="E3" i="9"/>
  <c r="Q30" i="3"/>
  <c r="C15" i="9"/>
  <c r="K35" i="3"/>
  <c r="Q27" i="3"/>
  <c r="K31" i="3"/>
  <c r="D15" i="9"/>
  <c r="C12" i="9"/>
  <c r="O42" i="3"/>
  <c r="Q28" i="3"/>
  <c r="Q37" i="3"/>
  <c r="E2" i="14"/>
  <c r="E38" i="14" s="1"/>
  <c r="P21" i="3"/>
  <c r="R23" i="3"/>
  <c r="S22" i="3"/>
  <c r="S24" i="3"/>
  <c r="R22" i="3"/>
  <c r="S23" i="3"/>
  <c r="R24" i="3"/>
  <c r="R21" i="3"/>
  <c r="O18" i="3"/>
  <c r="P18" i="3"/>
  <c r="G38" i="14"/>
  <c r="G23" i="14"/>
  <c r="B23" i="13"/>
  <c r="G23" i="13" s="1"/>
  <c r="C23" i="13"/>
  <c r="D23" i="13"/>
  <c r="B25" i="13"/>
  <c r="G25" i="13" s="1"/>
  <c r="C24" i="13"/>
  <c r="B27" i="13"/>
  <c r="A27" i="13" s="1"/>
  <c r="C25" i="13"/>
  <c r="E28" i="13"/>
  <c r="C29" i="13"/>
  <c r="D24" i="13"/>
  <c r="B30" i="13"/>
  <c r="A30" i="13" s="1"/>
  <c r="B29" i="13"/>
  <c r="A29" i="13" s="1"/>
  <c r="C27" i="13"/>
  <c r="D30" i="13"/>
  <c r="C30" i="13"/>
  <c r="C26" i="13"/>
  <c r="E29" i="13"/>
  <c r="C28" i="13"/>
  <c r="B26" i="13"/>
  <c r="A26" i="13" s="1"/>
  <c r="D27" i="13"/>
  <c r="D28" i="13"/>
  <c r="E26" i="13"/>
  <c r="G14" i="13"/>
  <c r="F14" i="13"/>
  <c r="A14" i="13"/>
  <c r="F9" i="13"/>
  <c r="G9" i="13"/>
  <c r="A9" i="13"/>
  <c r="A16" i="13"/>
  <c r="G16" i="13"/>
  <c r="F16" i="13"/>
  <c r="A20" i="13"/>
  <c r="G20" i="13"/>
  <c r="F20" i="13"/>
  <c r="F17" i="13"/>
  <c r="A17" i="13"/>
  <c r="G17" i="13"/>
  <c r="F13" i="13"/>
  <c r="A13" i="13"/>
  <c r="G13" i="13"/>
  <c r="A18" i="13"/>
  <c r="G18" i="13"/>
  <c r="F18" i="13"/>
  <c r="F21" i="13"/>
  <c r="G21" i="13"/>
  <c r="A21" i="13"/>
  <c r="F11" i="13"/>
  <c r="A11" i="13"/>
  <c r="G11" i="13"/>
  <c r="D25" i="13"/>
  <c r="E25" i="13"/>
  <c r="D26" i="13"/>
  <c r="D29" i="13"/>
  <c r="E27" i="13"/>
  <c r="B28" i="13"/>
  <c r="E30" i="13"/>
  <c r="G22" i="13"/>
  <c r="F22" i="13"/>
  <c r="A22" i="13"/>
  <c r="F7" i="13"/>
  <c r="G7" i="13"/>
  <c r="A7" i="13"/>
  <c r="A12" i="13"/>
  <c r="G12" i="13"/>
  <c r="F12" i="13"/>
  <c r="F15" i="13"/>
  <c r="A15" i="13"/>
  <c r="G15" i="13"/>
  <c r="A19" i="13"/>
  <c r="G19" i="13"/>
  <c r="F19" i="13"/>
  <c r="A8" i="13"/>
  <c r="G8" i="13"/>
  <c r="F8" i="13"/>
  <c r="B24" i="13"/>
  <c r="E24" i="13"/>
  <c r="A10" i="13"/>
  <c r="G10" i="13"/>
  <c r="F10" i="13"/>
  <c r="M47" i="3" l="1"/>
  <c r="L48" i="3"/>
  <c r="L47" i="3"/>
  <c r="M46" i="3"/>
  <c r="R46" i="3"/>
  <c r="S45" i="3"/>
  <c r="S44" i="3"/>
  <c r="R45" i="3"/>
  <c r="M45" i="3"/>
  <c r="L46" i="3"/>
  <c r="R47" i="3"/>
  <c r="S46" i="3"/>
  <c r="M44" i="3"/>
  <c r="L45" i="3"/>
  <c r="S47" i="3"/>
  <c r="R48" i="3"/>
  <c r="R37" i="3"/>
  <c r="R36" i="3"/>
  <c r="S25" i="3"/>
  <c r="S26" i="3"/>
  <c r="F23" i="14"/>
  <c r="F8" i="14"/>
  <c r="R34" i="3"/>
  <c r="L42" i="3"/>
  <c r="R42" i="3"/>
  <c r="R32" i="3"/>
  <c r="R27" i="3"/>
  <c r="R33" i="3"/>
  <c r="M43" i="3"/>
  <c r="L44" i="3"/>
  <c r="L43" i="3"/>
  <c r="S43" i="3"/>
  <c r="R44" i="3"/>
  <c r="R43" i="3"/>
  <c r="S32" i="3"/>
  <c r="M26" i="3"/>
  <c r="R35" i="3"/>
  <c r="L28" i="3"/>
  <c r="R31" i="3"/>
  <c r="M28" i="3"/>
  <c r="M27" i="3"/>
  <c r="R41" i="3"/>
  <c r="L37" i="3"/>
  <c r="S33" i="3"/>
  <c r="S35" i="3"/>
  <c r="L33" i="3"/>
  <c r="L38" i="3"/>
  <c r="M37" i="3"/>
  <c r="S36" i="3"/>
  <c r="M31" i="3"/>
  <c r="M36" i="3"/>
  <c r="S42" i="3"/>
  <c r="G13" i="9"/>
  <c r="D11" i="9"/>
  <c r="M42" i="3"/>
  <c r="M34" i="3"/>
  <c r="S41" i="3"/>
  <c r="E7" i="9"/>
  <c r="S38" i="3"/>
  <c r="S39" i="3"/>
  <c r="M40" i="3"/>
  <c r="M30" i="3"/>
  <c r="S34" i="3"/>
  <c r="S29" i="3"/>
  <c r="S31" i="3"/>
  <c r="M39" i="3"/>
  <c r="G14" i="9"/>
  <c r="S40" i="3"/>
  <c r="M38" i="3"/>
  <c r="S30" i="3"/>
  <c r="M29" i="3"/>
  <c r="M41" i="3"/>
  <c r="M33" i="3"/>
  <c r="L41" i="3"/>
  <c r="L26" i="3"/>
  <c r="M32" i="3"/>
  <c r="L29" i="3"/>
  <c r="L34" i="3"/>
  <c r="L27" i="3"/>
  <c r="R26" i="3"/>
  <c r="L30" i="3"/>
  <c r="L40" i="3"/>
  <c r="L39" i="3"/>
  <c r="C11" i="8"/>
  <c r="E8" i="14"/>
  <c r="R28" i="3"/>
  <c r="R39" i="3"/>
  <c r="R40" i="3"/>
  <c r="S27" i="3"/>
  <c r="G15" i="9"/>
  <c r="L25" i="3"/>
  <c r="D7" i="9"/>
  <c r="C12" i="8"/>
  <c r="L31" i="3"/>
  <c r="B7" i="8"/>
  <c r="R29" i="3"/>
  <c r="L36" i="3"/>
  <c r="G16" i="9"/>
  <c r="D14" i="10"/>
  <c r="G7" i="9"/>
  <c r="D12" i="10"/>
  <c r="R30" i="3"/>
  <c r="L35" i="3"/>
  <c r="C15" i="10"/>
  <c r="M35" i="3"/>
  <c r="C13" i="10"/>
  <c r="D13" i="8"/>
  <c r="L32" i="3"/>
  <c r="C12" i="10"/>
  <c r="C7" i="8"/>
  <c r="C14" i="10"/>
  <c r="B7" i="10"/>
  <c r="S28" i="3"/>
  <c r="C11" i="10"/>
  <c r="C7" i="10"/>
  <c r="D15" i="10"/>
  <c r="S37" i="3"/>
  <c r="E3" i="10"/>
  <c r="D12" i="8"/>
  <c r="C13" i="8"/>
  <c r="C15" i="8"/>
  <c r="R38" i="3"/>
  <c r="E23" i="14"/>
  <c r="D15" i="8"/>
  <c r="C14" i="8"/>
  <c r="E3" i="8"/>
  <c r="D13" i="10"/>
  <c r="D14" i="8"/>
  <c r="G12" i="9"/>
  <c r="G11" i="9"/>
  <c r="F7" i="9"/>
  <c r="H38" i="14" s="1"/>
  <c r="A23" i="13"/>
  <c r="F23" i="13"/>
  <c r="A25" i="13"/>
  <c r="G27" i="13"/>
  <c r="G30" i="13"/>
  <c r="F30" i="13"/>
  <c r="F29" i="13"/>
  <c r="G29" i="13"/>
  <c r="F26" i="13"/>
  <c r="G26" i="13"/>
  <c r="F25" i="13"/>
  <c r="F27" i="13"/>
  <c r="A28" i="13"/>
  <c r="G28" i="13"/>
  <c r="F28" i="13"/>
  <c r="A24" i="13"/>
  <c r="G24" i="13"/>
  <c r="F24" i="13"/>
  <c r="E7" i="10" l="1"/>
  <c r="G11" i="10"/>
  <c r="F7" i="10"/>
  <c r="G14" i="10"/>
  <c r="G12" i="10"/>
  <c r="E7" i="8"/>
  <c r="F7" i="8"/>
  <c r="G12" i="8"/>
  <c r="G11" i="8"/>
  <c r="G14" i="8"/>
  <c r="D11" i="8"/>
  <c r="G7" i="10"/>
  <c r="G7" i="8"/>
  <c r="G16" i="10"/>
  <c r="G15" i="8"/>
  <c r="D11" i="10"/>
  <c r="D7" i="8"/>
  <c r="G13" i="8"/>
  <c r="D7" i="10"/>
  <c r="G15" i="10"/>
  <c r="G16" i="8"/>
  <c r="H23" i="14"/>
  <c r="G13" i="10"/>
  <c r="H8" i="14"/>
</calcChain>
</file>

<file path=xl/sharedStrings.xml><?xml version="1.0" encoding="utf-8"?>
<sst xmlns="http://schemas.openxmlformats.org/spreadsheetml/2006/main" count="823" uniqueCount="340">
  <si>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</si>
  <si>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</si>
  <si>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</si>
  <si>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</si>
  <si>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</si>
  <si>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</si>
  <si>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</si>
  <si>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</si>
  <si>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</si>
  <si>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</si>
  <si>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</si>
  <si>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</si>
  <si>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</si>
  <si>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</si>
  <si>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</si>
  <si>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</si>
  <si>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</si>
  <si>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</si>
  <si>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</si>
  <si>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</si>
  <si>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</si>
  <si>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</si>
  <si>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</si>
  <si>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</si>
  <si>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</si>
  <si>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</si>
  <si>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</si>
  <si>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</si>
  <si>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</si>
  <si>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</si>
  <si>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</si>
  <si>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</si>
  <si>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</si>
  <si>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</si>
  <si>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</si>
  <si>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</si>
  <si>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</si>
  <si>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</si>
  <si>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</si>
  <si>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</si>
  <si>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</si>
  <si>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</si>
  <si>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</si>
  <si>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</si>
  <si>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</si>
  <si>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</si>
  <si>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</si>
  <si>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</si>
  <si>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</si>
  <si>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</si>
  <si>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</si>
  <si>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</si>
  <si>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</si>
  <si>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</si>
  <si>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</si>
  <si>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</si>
  <si>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</si>
  <si>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</si>
  <si>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i/>
        <sz val="9"/>
        <color rgb="FF595959"/>
        <rFont val="Linux Libertine G"/>
        <family val="2"/>
      </rPr>
      <t>权重蓝色输入；</t>
    </r>
    <r>
      <rPr>
        <i/>
        <sz val="9"/>
        <color rgb="FF595959"/>
        <rFont val="Arial"/>
        <family val="2"/>
      </rPr>
      <t>Z</t>
    </r>
    <r>
      <rPr>
        <i/>
        <sz val="9"/>
        <color rgb="FF595959"/>
        <rFont val="Linux Libertine G"/>
        <family val="2"/>
      </rPr>
      <t>列为各组合年化费率、</t>
    </r>
    <r>
      <rPr>
        <i/>
        <sz val="9"/>
        <color rgb="FF595959"/>
        <rFont val="Arial"/>
        <family val="2"/>
      </rPr>
      <t>AA</t>
    </r>
    <r>
      <rPr>
        <i/>
        <sz val="9"/>
        <color rgb="FF595959"/>
        <rFont val="Linux Libertine G"/>
        <family val="2"/>
      </rPr>
      <t>列为各组合净值起始日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当日净值</t>
    </r>
    <r>
      <rPr>
        <i/>
        <sz val="9"/>
        <color rgb="FF595959"/>
        <rFont val="Arial"/>
        <family val="2"/>
      </rPr>
      <t>=1)</t>
    </r>
    <r>
      <rPr>
        <i/>
        <sz val="9"/>
        <color rgb="FF595959"/>
        <rFont val="Linux Libertine G"/>
        <family val="2"/>
      </rPr>
      <t>。新增交易日下拉填充，下游净值与看板自动重算。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</si>
  <si>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</si>
  <si>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</si>
  <si>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</si>
  <si>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</si>
  <si>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宋体"/>
        <family val="3"/>
      </rPr>
      <t>组合净值</t>
    </r>
    <r>
      <rPr>
        <b/>
        <sz val="15"/>
        <color rgb="FFFFFFFF"/>
        <rFont val="Arial"/>
        <family val="2"/>
      </rPr>
      <t/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</si>
  <si>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</si>
  <si>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</si>
  <si>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</si>
  <si>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</si>
  <si>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</si>
  <si>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30-70</t>
    </r>
  </si>
  <si>
    <t>日期</t>
  </si>
  <si>
    <t>净值</t>
  </si>
  <si>
    <t>日收益</t>
  </si>
  <si>
    <t>回撤</t>
  </si>
  <si>
    <r>
      <rPr>
        <i/>
        <sz val="9"/>
        <color rgb="FF595959"/>
        <rFont val="Linux Libertine G"/>
        <family val="2"/>
      </rPr>
      <t>各组合自其净值起始日起</t>
    </r>
    <r>
      <rPr>
        <i/>
        <sz val="9"/>
        <color rgb="FF595959"/>
        <rFont val="Arial"/>
        <family val="2"/>
      </rPr>
      <t>=1.0000</t>
    </r>
    <r>
      <rPr>
        <i/>
        <sz val="9"/>
        <color rgb="FF595959"/>
        <rFont val="Linux Libertine G"/>
        <family val="2"/>
      </rPr>
      <t>；买入持有，权重随涨跌漂移；净值已按各自年化费率折每日扣费。新增日期下拉填充。</t>
    </r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</si>
  <si>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</si>
  <si>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</si>
  <si>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</si>
  <si>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</si>
  <si>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</si>
  <si>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</si>
  <si>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</si>
  <si>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</si>
  <si>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</si>
  <si>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</si>
  <si>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</si>
  <si>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</si>
  <si>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</si>
  <si>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</si>
  <si>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</si>
  <si>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</si>
  <si>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</si>
  <si>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</si>
  <si>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</si>
  <si>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</si>
  <si>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</si>
  <si>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</si>
  <si>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</si>
  <si>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</si>
  <si>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</si>
  <si>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</si>
  <si>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</si>
  <si>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</si>
  <si>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</si>
  <si>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</si>
  <si>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</si>
  <si>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</si>
  <si>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</si>
  <si>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</si>
  <si>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</si>
  <si>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</si>
  <si>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</si>
  <si>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</si>
  <si>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</si>
  <si>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</si>
  <si>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</si>
  <si>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</si>
  <si>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</si>
  <si>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</si>
  <si>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</si>
  <si>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</si>
  <si>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</si>
  <si>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</si>
  <si>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</si>
  <si>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</si>
  <si>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</si>
  <si>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</si>
  <si>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</si>
  <si>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</si>
  <si>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</si>
  <si>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</si>
  <si>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</si>
  <si>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</si>
  <si>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</si>
  <si>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</si>
  <si>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</si>
  <si>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</si>
  <si>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</si>
  <si>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</si>
  <si>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</si>
  <si>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</si>
  <si>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</si>
  <si>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</si>
  <si>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</si>
  <si>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</si>
  <si>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</si>
  <si>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</si>
  <si>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</si>
  <si>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</si>
  <si>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</si>
  <si>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</si>
  <si>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</si>
  <si>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</si>
  <si>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</si>
  <si>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</si>
  <si>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</si>
  <si>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</si>
  <si>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r>
      <rPr>
        <b/>
        <sz val="16"/>
        <color rgb="FF000000"/>
        <rFont val="Linux Libertine G"/>
        <family val="2"/>
      </rPr>
      <t>回撤修复天数</t>
    </r>
    <r>
      <rPr>
        <b/>
        <sz val="16"/>
        <color rgb="FF000000"/>
        <rFont val="微软雅黑"/>
        <family val="2"/>
      </rPr>
      <t>(</t>
    </r>
    <r>
      <rPr>
        <b/>
        <sz val="16"/>
        <color rgb="FF000000"/>
        <rFont val="Linux Libertine G"/>
        <family val="2"/>
      </rPr>
      <t>未创新高</t>
    </r>
    <r>
      <rPr>
        <b/>
        <sz val="16"/>
        <color rgb="FF000000"/>
        <rFont val="微软雅黑"/>
        <family val="2"/>
      </rPr>
      <t>)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</si>
  <si>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3</t>
    </r>
    <r>
      <rPr>
        <b/>
        <sz val="16"/>
        <color rgb="FF000000"/>
        <rFont val="Linux Libertine G"/>
        <family val="2"/>
      </rPr>
      <t>个月</t>
    </r>
  </si>
  <si>
    <t>正收益占比</t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</si>
  <si>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6</t>
    </r>
    <r>
      <rPr>
        <b/>
        <sz val="16"/>
        <color rgb="FF000000"/>
        <rFont val="Linux Libertine G"/>
        <family val="2"/>
      </rPr>
      <t>个月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</si>
  <si>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1</t>
    </r>
    <r>
      <rPr>
        <b/>
        <sz val="16"/>
        <color rgb="FF000000"/>
        <rFont val="Linux Libertine G"/>
        <family val="2"/>
      </rPr>
      <t>年</t>
    </r>
  </si>
  <si>
    <t>卡玛比率</t>
  </si>
  <si>
    <r>
      <rPr>
        <b/>
        <sz val="11"/>
        <color rgb="FFFFFFFF"/>
        <rFont val="Linux Libertine G"/>
        <family val="2"/>
      </rPr>
      <t xml:space="preserve">产品运作情况 </t>
    </r>
    <r>
      <rPr>
        <b/>
        <sz val="11"/>
        <color rgb="FFFFFFFF"/>
        <rFont val="Arial"/>
        <family val="2"/>
      </rPr>
      <t xml:space="preserve">· </t>
    </r>
    <r>
      <rPr>
        <b/>
        <sz val="11"/>
        <color rgb="FFFFFFFF"/>
        <rFont val="Linux Libertine G"/>
        <family val="2"/>
      </rPr>
      <t>组合净值曲线</t>
    </r>
  </si>
  <si>
    <r>
      <rPr>
        <i/>
        <sz val="9"/>
        <color rgb="FF595959"/>
        <rFont val="Linux Libertine G"/>
        <family val="2"/>
      </rPr>
      <t>统计区间自</t>
    </r>
    <r>
      <rPr>
        <i/>
        <sz val="9"/>
        <color rgb="FF595959"/>
        <rFont val="Arial"/>
        <family val="2"/>
      </rPr>
      <t>2026/6/1</t>
    </r>
    <r>
      <rPr>
        <i/>
        <sz val="9"/>
        <color rgb="FF595959"/>
        <rFont val="Linux Libertine G"/>
        <family val="2"/>
      </rPr>
      <t>起；运作初期样本少，年化类指标仅供参考。新增交易日后请同步扩展本图数据区。</t>
    </r>
  </si>
  <si>
    <t>样板间组合走势看板（产业趋势基石组合）</t>
  </si>
  <si>
    <r>
      <rPr>
        <b/>
        <sz val="17"/>
        <color rgb="FFFFFFFF"/>
        <rFont val="Linux Libertine G"/>
        <family val="2"/>
      </rPr>
      <t>样板间组合走势看板（产业趋势</t>
    </r>
    <r>
      <rPr>
        <b/>
        <sz val="17"/>
        <color rgb="FFFFFFFF"/>
        <rFont val="Arial"/>
        <family val="2"/>
      </rPr>
      <t>2</t>
    </r>
    <r>
      <rPr>
        <b/>
        <sz val="17"/>
        <color rgb="FFFFFFFF"/>
        <rFont val="Linux Libertine G"/>
        <family val="2"/>
      </rPr>
      <t>号组合）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</si>
  <si>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</si>
  <si>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基石组合）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</si>
  <si>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30-70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</si>
  <si>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</si>
  <si>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</si>
  <si>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</si>
  <si>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</si>
  <si>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</si>
  <si>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</si>
  <si>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</si>
  <si>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</si>
  <si>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</si>
  <si>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</si>
  <si>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</si>
  <si>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</si>
  <si>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</si>
  <si>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</si>
  <si>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</si>
  <si>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</si>
  <si>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</si>
  <si>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</si>
  <si>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</si>
  <si>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</si>
  <si>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</si>
  <si>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</si>
  <si>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</si>
  <si>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</si>
  <si>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</rPr>
      <t>)</t>
    </r>
  </si>
  <si>
    <t>样板间投顾组合 · 偏离度监控</t>
  </si>
  <si>
    <t>净值截止日</t>
  </si>
  <si>
    <t>权重口径</t>
  </si>
  <si>
    <t>上一完整交易日（避免当日净值更新不同步）</t>
  </si>
  <si>
    <t>配比预警阈值</t>
  </si>
  <si>
    <t>主动基金上限</t>
  </si>
  <si>
    <t>三个产业趋势组合展示全部最新持仓；10-90（含基石）及30-70的结构偏离按目标配比监控。红色表示超过约束或预警阈值。</t>
  </si>
  <si>
    <t>数据截止日</t>
  </si>
  <si>
    <t>组合</t>
  </si>
  <si>
    <t>基金类型</t>
  </si>
  <si>
    <t>当前权重</t>
  </si>
  <si>
    <t>是否超限</t>
  </si>
  <si>
    <t>调仓生效日</t>
  </si>
  <si>
    <t>约束口径：仅“主动”基金适用单只20%上限；主题指数、指增、货币、债券及保障基金不纳入该上限。超限基金整行标红。</t>
  </si>
  <si>
    <t>增值目标</t>
  </si>
  <si>
    <t>增值当前</t>
  </si>
  <si>
    <t>偏离度</t>
  </si>
  <si>
    <t>生息目标</t>
  </si>
  <si>
    <t>生息当前</t>
  </si>
  <si>
    <t>10-90</t>
  </si>
  <si>
    <t>10-90基石</t>
  </si>
  <si>
    <t>30-70</t>
  </si>
  <si>
    <t>生息含债券、货币及保障类基金；默认预警阈值为±2个百分点，可在J2直接修改。偏离度=当前配比−目标配比。</t>
  </si>
  <si>
    <t>3. 增值部分内部产业趋势 / 指增当前配比</t>
  </si>
  <si>
    <t>产业趋势当前权重</t>
  </si>
  <si>
    <t>指增部分当前权重</t>
  </si>
  <si>
    <t>增值部分总权重</t>
  </si>
  <si>
    <t>产业趋势与指增的当前权重均以“增值部分总权重”为分母。</t>
  </si>
  <si>
    <t>核验：原模板8月10日当日行仅货币基金先更新，最大混频差为0.00044个百分点；改用2026-08-07完整净值后，与系统导出最大残差降至0.00010个百分点（约0.01bp，仅为6位小数舍入）。</t>
  </si>
  <si>
    <t>分类映射与自动计算明细（维护区）</t>
  </si>
  <si>
    <t>分类参考《增值_生息+产业趋势_指增.xlsx》；A/C份额继承同一基金分类。000917、009993及部分C份额为现持仓补充映射。</t>
  </si>
  <si>
    <t>大类</t>
  </si>
  <si>
    <t>增值细分</t>
  </si>
  <si>
    <t>管理方式</t>
  </si>
  <si>
    <t>分类依据</t>
  </si>
  <si>
    <t>产业趋势</t>
  </si>
  <si>
    <t>产业趋势基石</t>
  </si>
  <si>
    <t>产业趋势2号</t>
  </si>
  <si>
    <t>华安黄金ETF联接A</t>
  </si>
  <si>
    <t>生息</t>
  </si>
  <si>
    <t>-</t>
  </si>
  <si>
    <t>保障</t>
  </si>
  <si>
    <t>债券&amp;保障池子（保障）</t>
  </si>
  <si>
    <t>嘉实快线货币A</t>
  </si>
  <si>
    <t>货币</t>
  </si>
  <si>
    <t>现持仓补充</t>
  </si>
  <si>
    <t>宏利复兴混合A</t>
  </si>
  <si>
    <t>增值</t>
  </si>
  <si>
    <t>主动</t>
  </si>
  <si>
    <t>产业趋势产品池</t>
  </si>
  <si>
    <t>博道沪深300增强A</t>
  </si>
  <si>
    <t>指增</t>
  </si>
  <si>
    <t>宽基&amp;指增池</t>
  </si>
  <si>
    <t>博道沪深300指增C</t>
  </si>
  <si>
    <t>同基金A/C</t>
  </si>
  <si>
    <t>国泰通信设备ETF联接A</t>
  </si>
  <si>
    <t>指数</t>
  </si>
  <si>
    <t>国泰通信设备C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</si>
  <si>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</si>
  <si>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</si>
  <si>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</si>
  <si>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</si>
  <si>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</si>
  <si>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</si>
  <si>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</si>
  <si>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</si>
  <si>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</si>
  <si>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</si>
  <si>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</si>
  <si>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</si>
  <si>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</si>
  <si>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</si>
  <si>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</si>
  <si>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债券</t>
  </si>
  <si>
    <t>债券&amp;保障池子（生息）</t>
  </si>
  <si>
    <t>自动计算参数（公式区）</t>
  </si>
  <si>
    <t>最新完整净值行(相对A5)</t>
  </si>
  <si>
    <t>最新完整净值日期</t>
  </si>
  <si>
    <t>最新阶段行</t>
  </si>
  <si>
    <t>阶段标签</t>
  </si>
  <si>
    <t>归一化因子</t>
  </si>
  <si>
    <t>最近完整快照（2026-08-07，由模板净值和分期持仓重算；非系统导入）</t>
  </si>
  <si>
    <t>1. 产业趋势组合详细持仓及集中度风险</t>
    <phoneticPr fontId="35" type="noConversion"/>
  </si>
  <si>
    <t>2. 组合内部增值 / 生息配比偏离（10-90/30-70）</t>
    <phoneticPr fontId="35" type="noConversion"/>
  </si>
  <si>
    <t>序号</t>
  </si>
  <si>
    <t>产品/基金名称</t>
  </si>
  <si>
    <t>003504.OF</t>
  </si>
  <si>
    <t>000143.OF</t>
  </si>
  <si>
    <t>000385.OF</t>
  </si>
  <si>
    <t>002065.OF</t>
  </si>
  <si>
    <t>002969.OF</t>
  </si>
  <si>
    <t>014088.OF</t>
  </si>
  <si>
    <t>001751.OF</t>
  </si>
  <si>
    <t>014846.OF</t>
  </si>
  <si>
    <t>000171.OF</t>
  </si>
  <si>
    <t>202101.OF</t>
  </si>
  <si>
    <t>470010.OF</t>
  </si>
  <si>
    <t>000406.OF</t>
  </si>
  <si>
    <t>018595.OF</t>
  </si>
  <si>
    <t>020218.OF</t>
  </si>
  <si>
    <t>009355.OF</t>
  </si>
  <si>
    <t>024057.OF</t>
  </si>
  <si>
    <t>011168.OF</t>
  </si>
  <si>
    <t>嘉实睿享安久双利18个月持有期债券</t>
  </si>
  <si>
    <t>014738.OF</t>
  </si>
  <si>
    <t>006307.OF</t>
  </si>
  <si>
    <t>003458.OF</t>
  </si>
  <si>
    <t>110027.OF</t>
  </si>
  <si>
    <t>005221.OF</t>
  </si>
  <si>
    <t>160718.OF</t>
  </si>
  <si>
    <t>数据源：同花顺 iFinD；基金净值明细覆盖 2026-06-18 至 2026-08-10。</t>
  </si>
  <si>
    <t>景顺长城景颐丰利债券</t>
  </si>
  <si>
    <t>鹏华双债加利债券</t>
  </si>
  <si>
    <t>景顺长城景颐双利债券</t>
  </si>
  <si>
    <t>景顺长城景盛双息收益债券</t>
  </si>
  <si>
    <t>易方达丰和债券</t>
  </si>
  <si>
    <t>永赢稳健增强债券</t>
  </si>
  <si>
    <t>华商信用增强债券</t>
  </si>
  <si>
    <t>博时恒乐债券</t>
  </si>
  <si>
    <t>易方达裕丰回报债券</t>
  </si>
  <si>
    <t>南方宝元债券</t>
  </si>
  <si>
    <t>上线以来</t>
    <phoneticPr fontId="35" type="noConversion"/>
  </si>
  <si>
    <t>汇添富多元收益债券</t>
  </si>
  <si>
    <t>汇添富双利增强债券</t>
  </si>
  <si>
    <t>华商利欣回报债券</t>
  </si>
  <si>
    <t>万家锦利债券发起式</t>
  </si>
  <si>
    <t>宏利泰和稳健养老目标一年持有期混合(FOF)</t>
  </si>
  <si>
    <t>宏利鼎森稳健3个月持有期混合(FOF)</t>
  </si>
  <si>
    <t>广发恒祥债券</t>
  </si>
  <si>
    <t>嘉实养老目标日期2040五年持有期混合(FOF)</t>
  </si>
  <si>
    <t>嘉实稳宏债券</t>
  </si>
  <si>
    <t>易方达安心回报债券</t>
  </si>
  <si>
    <t>宏利全能优选混合(FOF)</t>
  </si>
  <si>
    <t>嘉实多利收益债券</t>
  </si>
  <si>
    <t>最大回撤按页首“上线以来”起止日计算；日期参数需选择净值明细中存在的日期，否则相应收益率留空。</t>
    <phoneticPr fontId="35" type="noConversion"/>
  </si>
  <si>
    <t>说明：基金收益率按复权单位净值计算；1090净值通过公式直接链接实盘净值数据</t>
    <phoneticPr fontId="35" type="noConversion"/>
  </si>
  <si>
    <t>26Q2规模（亿元）</t>
    <phoneticPr fontId="35" type="noConversion"/>
  </si>
  <si>
    <t>最大回撤（上线以来）</t>
    <phoneticPr fontId="35" type="noConversion"/>
  </si>
  <si>
    <t>公募固收+Q2规模增长前十基金表现</t>
    <phoneticPr fontId="35" type="noConversion"/>
  </si>
  <si>
    <t>公司公募固收+保有前十基金表现（2026Q2）</t>
    <phoneticPr fontId="35" type="noConversion"/>
  </si>
  <si>
    <t>公募固收+规模前十（2026Q2）基金表现</t>
    <phoneticPr fontId="35" type="noConversion"/>
  </si>
  <si>
    <t>6/22-7/30</t>
    <phoneticPr fontId="35" type="noConversion"/>
  </si>
  <si>
    <t>7.31至今</t>
    <phoneticPr fontId="35" type="noConversion"/>
  </si>
  <si>
    <t>10/90基石投顾组合</t>
    <phoneticPr fontId="35" type="noConversion"/>
  </si>
  <si>
    <t>公司固收加保有前十（万元）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</si>
</sst>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0.00000000%"/>
    <numFmt numFmtId="185" formatCode="yyyy\-mm\-dd\ h:mm:ss"/>
    <numFmt numFmtId="186" formatCode="0.00%;[Red]\(0.00%\);\-"/>
    <numFmt numFmtId="187" formatCode="0.00%;\(0.00%\);\-"/>
    <numFmt numFmtId="188" formatCode="0.000000"/>
    <numFmt numFmtId="189" formatCode="0.00_);[Red]\(0.00\)"/>
    <numFmt numFmtId="190" formatCode="_ * #,##0_ ;_ * \-#,##0_ ;_ * &quot;-&quot;??_ ;_ @_ "/>
  </numFmts>
  <fonts count="69">
    <font>
      <sz val="10"/>
      <name val="Linux Libertine G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</font>
    <font>
      <b/>
      <sz val="15"/>
      <color rgb="FFFFFFFF"/>
      <name val="Linux Libertine G"/>
    </font>
    <font>
      <b/>
      <sz val="15"/>
      <color rgb="FFFFFFFF"/>
      <name val="Arial"/>
      <family val="2"/>
    </font>
    <font>
      <b/>
      <sz val="10"/>
      <color rgb="FFFFFFFF"/>
      <name val="Linux Libertine G"/>
    </font>
    <font>
      <b/>
      <sz val="10"/>
      <color rgb="FF000000"/>
      <name val="Linux Libertine G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</font>
    <font>
      <i/>
      <sz val="9"/>
      <color rgb="FF595959"/>
      <name val="Arial"/>
      <family val="2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</font>
    <font>
      <b/>
      <sz val="11"/>
      <color rgb="FFFFFFFF"/>
      <name val="Arial"/>
      <family val="2"/>
    </font>
    <font>
      <sz val="10"/>
      <color rgb="FF000000"/>
      <name val="Linux Libertine G"/>
    </font>
    <font>
      <sz val="11"/>
      <color theme="1"/>
      <name val="Linux Libertine G"/>
    </font>
    <font>
      <sz val="10"/>
      <name val="Arial"/>
      <family val="2"/>
    </font>
    <font>
      <sz val="11"/>
      <color theme="1"/>
      <name val="宋体"/>
      <family val="3"/>
      <charset val="134"/>
    </font>
    <font>
      <b/>
      <sz val="17"/>
      <color rgb="FFFFFFFF"/>
      <name val="Linux Libertine G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6"/>
      <color rgb="FF000000"/>
      <name val="Linux Libertine G"/>
    </font>
    <font>
      <sz val="16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theme="1"/>
      <name val="Linux Libertine G"/>
    </font>
    <font>
      <b/>
      <sz val="17"/>
      <color rgb="FFFFFFFF"/>
      <name val="Arial"/>
      <family val="2"/>
    </font>
    <font>
      <b/>
      <sz val="18"/>
      <color rgb="FF1F3864"/>
      <name val="Linux Libertine G"/>
    </font>
    <font>
      <b/>
      <sz val="18"/>
      <color rgb="FF1F3864"/>
      <name val="Arial"/>
      <family val="2"/>
    </font>
    <font>
      <b/>
      <sz val="12"/>
      <color rgb="FF1F3864"/>
      <name val="Linux Libertine G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9"/>
      <color rgb="FF1F3864"/>
      <name val="微软雅黑"/>
      <family val="2"/>
      <charset val="134"/>
    </font>
    <font>
      <b/>
      <sz val="9"/>
      <color rgb="FF0000FF"/>
      <name val="Arial"/>
      <family val="2"/>
    </font>
    <font>
      <i/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rgb="FF000000"/>
      <name val="微软雅黑"/>
      <family val="2"/>
      <charset val="134"/>
    </font>
    <font>
      <i/>
      <sz val="8"/>
      <color rgb="FF595959"/>
      <name val="微软雅黑"/>
      <family val="2"/>
      <charset val="134"/>
    </font>
    <font>
      <sz val="8"/>
      <color rgb="FF595959"/>
      <name val="微软雅黑"/>
      <family val="2"/>
      <charset val="134"/>
    </font>
    <font>
      <b/>
      <sz val="8"/>
      <color rgb="FF1F3864"/>
      <name val="微软雅黑"/>
      <family val="2"/>
      <charset val="134"/>
    </font>
    <font>
      <sz val="7"/>
      <color rgb="FF000000"/>
      <name val="微软雅黑"/>
      <family val="2"/>
      <charset val="134"/>
    </font>
    <font>
      <b/>
      <sz val="15"/>
      <color rgb="FFFFFFFF"/>
      <name val="Linux Libertine G"/>
      <family val="2"/>
    </font>
    <font>
      <b/>
      <sz val="10"/>
      <color rgb="FF000000"/>
      <name val="Linux Libertine G"/>
      <family val="2"/>
    </font>
    <font>
      <i/>
      <sz val="9"/>
      <color rgb="FF595959"/>
      <name val="Linux Libertine G"/>
      <family val="2"/>
    </font>
    <font>
      <b/>
      <sz val="15"/>
      <color rgb="FFFFFFFF"/>
      <name val="宋体"/>
      <family val="3"/>
    </font>
    <font>
      <b/>
      <sz val="11"/>
      <color rgb="FFFFFFFF"/>
      <name val="Linux Libertine G"/>
      <family val="2"/>
    </font>
    <font>
      <sz val="10"/>
      <name val="Linux Libertine G"/>
      <family val="2"/>
    </font>
    <font>
      <sz val="11"/>
      <color theme="1"/>
      <name val="Linux Libertine G"/>
      <family val="2"/>
    </font>
    <font>
      <sz val="11"/>
      <color theme="1"/>
      <name val="宋体"/>
      <family val="2"/>
    </font>
    <font>
      <b/>
      <sz val="16"/>
      <color rgb="FF000000"/>
      <name val="Linux Libertine G"/>
      <family val="2"/>
    </font>
    <font>
      <b/>
      <sz val="16"/>
      <color rgb="FF000000"/>
      <name val="微软雅黑"/>
      <family val="2"/>
    </font>
    <font>
      <b/>
      <sz val="17"/>
      <color rgb="FFFFFFFF"/>
      <name val="Linux Libertine G"/>
      <family val="2"/>
    </font>
    <font>
      <b/>
      <sz val="18"/>
      <color rgb="FF1F3864"/>
      <name val="Linux Libertine G"/>
      <family val="2"/>
    </font>
    <font>
      <sz val="10"/>
      <color rgb="FF000000"/>
      <name val="Linux Libertine G"/>
      <family val="2"/>
    </font>
    <font>
      <sz val="10"/>
      <color rgb="FF000000"/>
      <name val="微软雅黑"/>
      <family val="2"/>
    </font>
    <font>
      <sz val="10"/>
      <name val="Linux Libertine G"/>
    </font>
    <font>
      <b/>
      <sz val="11"/>
      <color rgb="FFFFFFFF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EAF0F8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355E84"/>
      </left>
      <right style="thin">
        <color rgb="FF355E84"/>
      </right>
      <top style="thin">
        <color rgb="FF355E84"/>
      </top>
      <bottom style="thin">
        <color rgb="FF355E84"/>
      </bottom>
      <diagonal/>
    </border>
    <border>
      <left style="thin">
        <color rgb="FFA6A6A6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/>
      <diagonal/>
    </border>
    <border>
      <left style="thin">
        <color rgb="FFD9E2F3"/>
      </left>
      <right style="thin">
        <color rgb="FFD9E2F3"/>
      </right>
      <top style="thin">
        <color rgb="FFB4C6E7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 style="thin">
        <color rgb="FF355E84"/>
      </bottom>
      <diagonal/>
    </border>
    <border>
      <left/>
      <right/>
      <top style="thin">
        <color theme="4"/>
      </top>
      <bottom style="thin">
        <color rgb="FFA6A6A6"/>
      </bottom>
      <diagonal/>
    </border>
    <border>
      <left style="thin">
        <color rgb="FFD9E2F3"/>
      </left>
      <right/>
      <top style="thin">
        <color rgb="FFA6A6A6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B4C6E7"/>
      </bottom>
      <diagonal/>
    </border>
    <border>
      <left style="thin">
        <color rgb="FF355E84"/>
      </left>
      <right style="thin">
        <color rgb="FF355E8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rgb="FFA6A6A6"/>
      </bottom>
      <diagonal/>
    </border>
  </borders>
  <cellStyleXfs count="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/>
    <xf numFmtId="9" fontId="2" fillId="0" borderId="0" applyBorder="0" applyAlignment="0" applyProtection="0"/>
    <xf numFmtId="9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</cellStyleXfs>
  <cellXfs count="136">
    <xf numFmtId="0" fontId="0" fillId="0" borderId="0" xfId="0"/>
    <xf numFmtId="0" fontId="6" fillId="3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center" vertical="center" wrapText="1"/>
    </xf>
    <xf numFmtId="0" fontId="9" fillId="5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left" vertical="center"/>
    </xf>
    <xf numFmtId="10" fontId="10" fillId="0" borderId="2" xfId="5" applyNumberFormat="1" applyFont="1" applyBorder="1" applyAlignment="1">
      <alignment horizontal="center" vertical="center" wrapText="1"/>
    </xf>
    <xf numFmtId="180" fontId="11" fillId="5" borderId="2" xfId="5" applyNumberFormat="1" applyFont="1" applyFill="1" applyBorder="1" applyAlignment="1">
      <alignment horizontal="center" vertical="center" wrapText="1"/>
    </xf>
    <xf numFmtId="180" fontId="12" fillId="6" borderId="2" xfId="5" applyNumberFormat="1" applyFont="1" applyFill="1" applyBorder="1" applyAlignment="1">
      <alignment horizontal="center" vertical="center"/>
    </xf>
    <xf numFmtId="181" fontId="10" fillId="5" borderId="2" xfId="5" applyNumberFormat="1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0" fontId="13" fillId="0" borderId="0" xfId="5" applyFont="1"/>
    <xf numFmtId="182" fontId="15" fillId="0" borderId="0" xfId="5" applyNumberFormat="1" applyFont="1"/>
    <xf numFmtId="0" fontId="16" fillId="5" borderId="2" xfId="5" applyFont="1" applyFill="1" applyBorder="1" applyAlignment="1">
      <alignment horizontal="center" vertical="center" wrapText="1"/>
    </xf>
    <xf numFmtId="183" fontId="9" fillId="0" borderId="2" xfId="5" applyNumberFormat="1" applyFont="1" applyBorder="1" applyAlignment="1">
      <alignment horizontal="center" vertical="center" wrapText="1"/>
    </xf>
    <xf numFmtId="0" fontId="17" fillId="3" borderId="2" xfId="5" applyFont="1" applyFill="1" applyBorder="1" applyAlignment="1">
      <alignment horizontal="center" vertical="center" wrapText="1"/>
    </xf>
    <xf numFmtId="181" fontId="16" fillId="5" borderId="2" xfId="5" applyNumberFormat="1" applyFont="1" applyFill="1" applyBorder="1" applyAlignment="1">
      <alignment horizontal="center" vertical="center" wrapText="1"/>
    </xf>
    <xf numFmtId="10" fontId="19" fillId="0" borderId="2" xfId="5" applyNumberFormat="1" applyFont="1" applyBorder="1" applyAlignment="1">
      <alignment horizontal="center" vertical="center" wrapText="1"/>
    </xf>
    <xf numFmtId="10" fontId="20" fillId="0" borderId="0" xfId="5" applyNumberFormat="1" applyFont="1"/>
    <xf numFmtId="184" fontId="20" fillId="0" borderId="0" xfId="5" applyNumberFormat="1" applyFont="1"/>
    <xf numFmtId="0" fontId="20" fillId="0" borderId="0" xfId="0" applyFont="1"/>
    <xf numFmtId="0" fontId="15" fillId="0" borderId="0" xfId="5" applyFont="1"/>
    <xf numFmtId="10" fontId="21" fillId="0" borderId="0" xfId="0" applyNumberFormat="1" applyFont="1"/>
    <xf numFmtId="185" fontId="15" fillId="0" borderId="0" xfId="5" applyNumberFormat="1" applyFont="1"/>
    <xf numFmtId="0" fontId="22" fillId="0" borderId="0" xfId="5" applyFont="1"/>
    <xf numFmtId="0" fontId="21" fillId="0" borderId="0" xfId="0" applyFont="1"/>
    <xf numFmtId="181" fontId="3" fillId="0" borderId="0" xfId="5" applyNumberFormat="1"/>
    <xf numFmtId="0" fontId="7" fillId="5" borderId="2" xfId="5" applyFont="1" applyFill="1" applyBorder="1" applyAlignment="1">
      <alignment horizontal="center" vertical="center" wrapText="1"/>
    </xf>
    <xf numFmtId="183" fontId="24" fillId="0" borderId="2" xfId="5" applyNumberFormat="1" applyFont="1" applyBorder="1" applyAlignment="1">
      <alignment horizontal="center" vertical="center" wrapText="1"/>
    </xf>
    <xf numFmtId="10" fontId="25" fillId="0" borderId="2" xfId="5" applyNumberFormat="1" applyFont="1" applyBorder="1" applyAlignment="1">
      <alignment horizontal="center" vertical="center" wrapText="1"/>
    </xf>
    <xf numFmtId="10" fontId="24" fillId="0" borderId="2" xfId="5" applyNumberFormat="1" applyFont="1" applyBorder="1" applyAlignment="1">
      <alignment horizontal="center" vertical="center" wrapText="1"/>
    </xf>
    <xf numFmtId="2" fontId="24" fillId="0" borderId="2" xfId="5" applyNumberFormat="1" applyFont="1" applyBorder="1" applyAlignment="1">
      <alignment horizontal="center" vertical="center" wrapText="1"/>
    </xf>
    <xf numFmtId="0" fontId="26" fillId="0" borderId="2" xfId="5" applyFont="1" applyBorder="1" applyAlignment="1">
      <alignment horizontal="left" vertical="center"/>
    </xf>
    <xf numFmtId="10" fontId="27" fillId="0" borderId="2" xfId="5" applyNumberFormat="1" applyFont="1" applyBorder="1" applyAlignment="1">
      <alignment horizontal="center" vertical="center" wrapText="1"/>
    </xf>
    <xf numFmtId="0" fontId="28" fillId="0" borderId="2" xfId="5" applyFont="1" applyBorder="1" applyAlignment="1">
      <alignment horizontal="left" vertical="center"/>
    </xf>
    <xf numFmtId="1" fontId="27" fillId="0" borderId="2" xfId="5" applyNumberFormat="1" applyFont="1" applyBorder="1" applyAlignment="1">
      <alignment horizontal="center" vertical="center" wrapText="1"/>
    </xf>
    <xf numFmtId="180" fontId="27" fillId="0" borderId="2" xfId="5" applyNumberFormat="1" applyFont="1" applyBorder="1" applyAlignment="1">
      <alignment horizontal="center" vertical="center" wrapText="1"/>
    </xf>
    <xf numFmtId="2" fontId="27" fillId="0" borderId="2" xfId="5" applyNumberFormat="1" applyFont="1" applyBorder="1" applyAlignment="1">
      <alignment horizontal="center" vertical="center" wrapText="1"/>
    </xf>
    <xf numFmtId="0" fontId="29" fillId="0" borderId="0" xfId="5" applyFont="1"/>
    <xf numFmtId="0" fontId="31" fillId="0" borderId="0" xfId="5" applyFont="1"/>
    <xf numFmtId="0" fontId="3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180" fontId="10" fillId="6" borderId="2" xfId="5" applyNumberFormat="1" applyFont="1" applyFill="1" applyBorder="1"/>
    <xf numFmtId="0" fontId="10" fillId="6" borderId="2" xfId="5" applyFont="1" applyFill="1" applyBorder="1"/>
    <xf numFmtId="0" fontId="37" fillId="8" borderId="2" xfId="0" applyFont="1" applyFill="1" applyBorder="1" applyAlignment="1">
      <alignment horizontal="center" vertical="center"/>
    </xf>
    <xf numFmtId="181" fontId="37" fillId="8" borderId="2" xfId="0" applyNumberFormat="1" applyFont="1" applyFill="1" applyBorder="1" applyAlignment="1">
      <alignment horizontal="center" vertical="center"/>
    </xf>
    <xf numFmtId="186" fontId="38" fillId="9" borderId="2" xfId="0" applyNumberFormat="1" applyFont="1" applyFill="1" applyBorder="1" applyAlignment="1">
      <alignment horizontal="center" vertical="center"/>
    </xf>
    <xf numFmtId="0" fontId="40" fillId="10" borderId="0" xfId="0" applyFont="1" applyFill="1" applyAlignment="1">
      <alignment horizontal="left" vertical="center"/>
    </xf>
    <xf numFmtId="181" fontId="37" fillId="11" borderId="2" xfId="0" applyNumberFormat="1" applyFont="1" applyFill="1" applyBorder="1" applyAlignment="1">
      <alignment horizontal="center" vertical="center"/>
    </xf>
    <xf numFmtId="0" fontId="41" fillId="12" borderId="2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vertical="center"/>
    </xf>
    <xf numFmtId="181" fontId="42" fillId="0" borderId="2" xfId="0" applyNumberFormat="1" applyFont="1" applyBorder="1" applyAlignment="1">
      <alignment vertical="center"/>
    </xf>
    <xf numFmtId="0" fontId="42" fillId="0" borderId="2" xfId="0" applyFont="1" applyBorder="1" applyAlignment="1">
      <alignment horizontal="center" vertical="center"/>
    </xf>
    <xf numFmtId="186" fontId="42" fillId="0" borderId="2" xfId="0" applyNumberFormat="1" applyFont="1" applyBorder="1" applyAlignment="1">
      <alignment horizontal="right" vertical="center"/>
    </xf>
    <xf numFmtId="181" fontId="42" fillId="0" borderId="2" xfId="0" applyNumberFormat="1" applyFont="1" applyBorder="1" applyAlignment="1">
      <alignment horizontal="center" vertical="center"/>
    </xf>
    <xf numFmtId="187" fontId="42" fillId="0" borderId="2" xfId="0" applyNumberFormat="1" applyFont="1" applyBorder="1" applyAlignment="1">
      <alignment horizontal="right" vertical="center"/>
    </xf>
    <xf numFmtId="0" fontId="37" fillId="11" borderId="2" xfId="0" applyFont="1" applyFill="1" applyBorder="1" applyAlignment="1">
      <alignment vertical="center"/>
    </xf>
    <xf numFmtId="186" fontId="37" fillId="11" borderId="2" xfId="0" applyNumberFormat="1" applyFont="1" applyFill="1" applyBorder="1" applyAlignment="1">
      <alignment horizontal="right" vertical="center"/>
    </xf>
    <xf numFmtId="1" fontId="42" fillId="0" borderId="2" xfId="0" applyNumberFormat="1" applyFont="1" applyBorder="1" applyAlignment="1">
      <alignment vertical="center"/>
    </xf>
    <xf numFmtId="188" fontId="42" fillId="0" borderId="2" xfId="0" applyNumberFormat="1" applyFont="1" applyBorder="1" applyAlignment="1">
      <alignment vertical="center"/>
    </xf>
    <xf numFmtId="0" fontId="45" fillId="8" borderId="2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62" fillId="14" borderId="4" xfId="0" applyFont="1" applyFill="1" applyBorder="1" applyAlignment="1">
      <alignment horizontal="center" vertical="center" wrapText="1"/>
    </xf>
    <xf numFmtId="0" fontId="63" fillId="15" borderId="5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left" vertical="center"/>
    </xf>
    <xf numFmtId="0" fontId="64" fillId="0" borderId="7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8" xfId="0" applyFont="1" applyBorder="1" applyAlignment="1">
      <alignment horizontal="left" vertical="center"/>
    </xf>
    <xf numFmtId="0" fontId="64" fillId="16" borderId="7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left" vertical="center"/>
    </xf>
    <xf numFmtId="0" fontId="64" fillId="16" borderId="9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left" vertical="center"/>
    </xf>
    <xf numFmtId="0" fontId="64" fillId="16" borderId="11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left" vertical="center"/>
    </xf>
    <xf numFmtId="0" fontId="62" fillId="14" borderId="16" xfId="0" applyFont="1" applyFill="1" applyBorder="1" applyAlignment="1">
      <alignment horizontal="center" vertical="center" wrapText="1"/>
    </xf>
    <xf numFmtId="14" fontId="0" fillId="0" borderId="0" xfId="0" applyNumberFormat="1"/>
    <xf numFmtId="0" fontId="62" fillId="14" borderId="22" xfId="0" applyFont="1" applyFill="1" applyBorder="1" applyAlignment="1">
      <alignment horizontal="center" vertical="center" wrapText="1"/>
    </xf>
    <xf numFmtId="189" fontId="0" fillId="0" borderId="0" xfId="0" applyNumberFormat="1"/>
    <xf numFmtId="0" fontId="63" fillId="15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63" fillId="15" borderId="18" xfId="0" applyFont="1" applyFill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64" fillId="16" borderId="19" xfId="0" applyFont="1" applyFill="1" applyBorder="1" applyAlignment="1">
      <alignment horizontal="center" vertical="center"/>
    </xf>
    <xf numFmtId="0" fontId="64" fillId="16" borderId="20" xfId="0" applyFont="1" applyFill="1" applyBorder="1" applyAlignment="1">
      <alignment horizontal="center" vertical="center"/>
    </xf>
    <xf numFmtId="0" fontId="62" fillId="14" borderId="4" xfId="0" applyFont="1" applyFill="1" applyBorder="1" applyAlignment="1">
      <alignment horizontal="left" vertical="center"/>
    </xf>
    <xf numFmtId="0" fontId="62" fillId="13" borderId="15" xfId="0" applyFont="1" applyFill="1" applyBorder="1" applyAlignment="1">
      <alignment vertical="center"/>
    </xf>
    <xf numFmtId="0" fontId="62" fillId="13" borderId="0" xfId="0" applyFont="1" applyFill="1" applyAlignment="1">
      <alignment vertical="center"/>
    </xf>
    <xf numFmtId="0" fontId="62" fillId="14" borderId="22" xfId="0" applyFont="1" applyFill="1" applyBorder="1" applyAlignment="1">
      <alignment horizontal="left" vertical="center"/>
    </xf>
    <xf numFmtId="190" fontId="64" fillId="0" borderId="8" xfId="8" applyNumberFormat="1" applyFont="1" applyBorder="1" applyAlignment="1">
      <alignment vertical="center"/>
    </xf>
    <xf numFmtId="190" fontId="64" fillId="16" borderId="8" xfId="8" applyNumberFormat="1" applyFont="1" applyFill="1" applyBorder="1" applyAlignment="1">
      <alignment vertical="center"/>
    </xf>
    <xf numFmtId="190" fontId="64" fillId="16" borderId="10" xfId="8" applyNumberFormat="1" applyFont="1" applyFill="1" applyBorder="1" applyAlignment="1">
      <alignment vertical="center"/>
    </xf>
    <xf numFmtId="10" fontId="66" fillId="15" borderId="0" xfId="0" applyNumberFormat="1" applyFont="1" applyFill="1" applyAlignment="1">
      <alignment horizontal="center" vertical="center"/>
    </xf>
    <xf numFmtId="10" fontId="67" fillId="0" borderId="0" xfId="7" applyNumberFormat="1" applyFont="1" applyBorder="1" applyAlignment="1">
      <alignment horizontal="center" vertical="center"/>
    </xf>
    <xf numFmtId="10" fontId="68" fillId="16" borderId="0" xfId="0" applyNumberFormat="1" applyFont="1" applyFill="1" applyAlignment="1">
      <alignment horizontal="center" vertical="center"/>
    </xf>
    <xf numFmtId="10" fontId="68" fillId="0" borderId="13" xfId="7" applyNumberFormat="1" applyFont="1" applyBorder="1" applyAlignment="1">
      <alignment horizontal="right" vertical="center"/>
    </xf>
    <xf numFmtId="10" fontId="68" fillId="16" borderId="17" xfId="0" applyNumberFormat="1" applyFont="1" applyFill="1" applyBorder="1" applyAlignment="1">
      <alignment horizontal="right" vertical="center"/>
    </xf>
    <xf numFmtId="10" fontId="66" fillId="15" borderId="13" xfId="0" applyNumberFormat="1" applyFont="1" applyFill="1" applyBorder="1" applyAlignment="1">
      <alignment horizontal="center" vertical="center"/>
    </xf>
    <xf numFmtId="10" fontId="66" fillId="15" borderId="21" xfId="0" applyNumberFormat="1" applyFont="1" applyFill="1" applyBorder="1" applyAlignment="1">
      <alignment horizontal="center" vertical="center"/>
    </xf>
    <xf numFmtId="10" fontId="68" fillId="0" borderId="13" xfId="7" applyNumberFormat="1" applyFont="1" applyBorder="1" applyAlignment="1">
      <alignment horizontal="center" vertical="center"/>
    </xf>
    <xf numFmtId="10" fontId="68" fillId="0" borderId="14" xfId="7" applyNumberFormat="1" applyFont="1" applyBorder="1" applyAlignment="1">
      <alignment horizontal="center" vertical="center"/>
    </xf>
    <xf numFmtId="10" fontId="68" fillId="16" borderId="13" xfId="0" applyNumberFormat="1" applyFont="1" applyFill="1" applyBorder="1" applyAlignment="1">
      <alignment horizontal="center" vertical="center"/>
    </xf>
    <xf numFmtId="10" fontId="68" fillId="16" borderId="14" xfId="0" applyNumberFormat="1" applyFont="1" applyFill="1" applyBorder="1" applyAlignment="1">
      <alignment horizontal="center" vertical="center"/>
    </xf>
    <xf numFmtId="10" fontId="68" fillId="16" borderId="17" xfId="0" applyNumberFormat="1" applyFont="1" applyFill="1" applyBorder="1" applyAlignment="1">
      <alignment horizontal="center" vertical="center"/>
    </xf>
    <xf numFmtId="10" fontId="68" fillId="16" borderId="23" xfId="0" applyNumberFormat="1" applyFont="1" applyFill="1" applyBorder="1" applyAlignment="1">
      <alignment horizontal="center" vertical="center"/>
    </xf>
    <xf numFmtId="10" fontId="66" fillId="15" borderId="13" xfId="0" applyNumberFormat="1" applyFont="1" applyFill="1" applyBorder="1" applyAlignment="1">
      <alignment vertical="center"/>
    </xf>
    <xf numFmtId="10" fontId="68" fillId="0" borderId="13" xfId="7" applyNumberFormat="1" applyFont="1" applyBorder="1" applyAlignment="1">
      <alignment vertical="center"/>
    </xf>
    <xf numFmtId="10" fontId="68" fillId="16" borderId="13" xfId="0" applyNumberFormat="1" applyFont="1" applyFill="1" applyBorder="1" applyAlignment="1">
      <alignment vertical="center"/>
    </xf>
    <xf numFmtId="14" fontId="0" fillId="18" borderId="0" xfId="0" applyNumberFormat="1" applyFill="1"/>
    <xf numFmtId="0" fontId="4" fillId="2" borderId="1" xfId="5" applyFont="1" applyFill="1" applyBorder="1" applyAlignment="1">
      <alignment horizontal="center"/>
    </xf>
    <xf numFmtId="0" fontId="40" fillId="10" borderId="0" xfId="0" applyFont="1" applyFill="1" applyAlignment="1">
      <alignment horizontal="left" vertical="center"/>
    </xf>
    <xf numFmtId="0" fontId="43" fillId="8" borderId="0" xfId="0" applyFont="1" applyFill="1"/>
    <xf numFmtId="0" fontId="40" fillId="10" borderId="1" xfId="0" applyFont="1" applyFill="1" applyBorder="1" applyAlignment="1">
      <alignment horizontal="left" vertical="center"/>
    </xf>
    <xf numFmtId="0" fontId="40" fillId="10" borderId="3" xfId="0" applyFont="1" applyFill="1" applyBorder="1" applyAlignment="1">
      <alignment horizontal="left" vertical="center"/>
    </xf>
    <xf numFmtId="0" fontId="44" fillId="9" borderId="0" xfId="0" applyFont="1" applyFill="1" applyAlignment="1">
      <alignment vertical="center" wrapText="1"/>
    </xf>
    <xf numFmtId="0" fontId="36" fillId="7" borderId="0" xfId="0" applyFont="1" applyFill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9" fillId="0" borderId="0" xfId="0" applyFont="1" applyAlignment="1">
      <alignment vertical="center" wrapText="1"/>
    </xf>
    <xf numFmtId="0" fontId="43" fillId="8" borderId="0" xfId="0" applyFont="1" applyFill="1" applyAlignment="1">
      <alignment wrapText="1"/>
    </xf>
    <xf numFmtId="0" fontId="65" fillId="17" borderId="0" xfId="0" applyFont="1" applyFill="1" applyAlignment="1">
      <alignment horizontal="left" vertical="center" wrapText="1"/>
    </xf>
    <xf numFmtId="0" fontId="62" fillId="13" borderId="15" xfId="0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/>
    </xf>
    <xf numFmtId="0" fontId="4" fillId="2" borderId="0" xfId="5" applyFont="1" applyFill="1" applyAlignment="1">
      <alignment horizontal="center" vertical="center"/>
    </xf>
    <xf numFmtId="0" fontId="23" fillId="2" borderId="0" xfId="5" applyFont="1" applyFill="1" applyAlignment="1">
      <alignment horizontal="center" vertical="center" wrapText="1"/>
    </xf>
    <xf numFmtId="0" fontId="13" fillId="0" borderId="0" xfId="5" applyFont="1"/>
    <xf numFmtId="0" fontId="7" fillId="0" borderId="0" xfId="5" applyFont="1" applyAlignment="1">
      <alignment horizontal="right"/>
    </xf>
    <xf numFmtId="0" fontId="17" fillId="3" borderId="0" xfId="5" applyFont="1" applyFill="1" applyAlignment="1">
      <alignment horizontal="left" vertical="center"/>
    </xf>
    <xf numFmtId="0" fontId="26" fillId="0" borderId="2" xfId="5" applyFont="1" applyBorder="1" applyAlignment="1">
      <alignment horizontal="left" vertical="center"/>
    </xf>
    <xf numFmtId="0" fontId="6" fillId="3" borderId="2" xfId="5" applyFont="1" applyFill="1" applyBorder="1" applyAlignment="1">
      <alignment horizontal="center" vertical="center" wrapText="1"/>
    </xf>
    <xf numFmtId="0" fontId="19" fillId="0" borderId="0" xfId="5" applyFont="1" applyAlignment="1">
      <alignment vertical="center" wrapText="1"/>
    </xf>
    <xf numFmtId="0" fontId="34" fillId="0" borderId="0" xfId="5" applyFont="1" applyAlignment="1">
      <alignment vertical="center" wrapText="1"/>
    </xf>
  </cellXfs>
  <cellStyles count="9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千位分隔" xfId="8" builtinId="3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'看板-产业趋势'!_ChartDates</c:f>
              <c:numCache>
                <c:formatCode>yyyy\-mm\-dd</c:formatCode>
                <c:ptCount val="42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  <c:pt idx="18">
                  <c:v>46219</c:v>
                </c:pt>
                <c:pt idx="19">
                  <c:v>46220</c:v>
                </c:pt>
                <c:pt idx="20">
                  <c:v>46223</c:v>
                </c:pt>
                <c:pt idx="21">
                  <c:v>46224</c:v>
                </c:pt>
                <c:pt idx="22">
                  <c:v>46225</c:v>
                </c:pt>
                <c:pt idx="23">
                  <c:v>46226</c:v>
                </c:pt>
                <c:pt idx="24">
                  <c:v>46227</c:v>
                </c:pt>
                <c:pt idx="25">
                  <c:v>46230</c:v>
                </c:pt>
                <c:pt idx="26">
                  <c:v>46231</c:v>
                </c:pt>
                <c:pt idx="27">
                  <c:v>46232</c:v>
                </c:pt>
                <c:pt idx="28">
                  <c:v>46233</c:v>
                </c:pt>
                <c:pt idx="29">
                  <c:v>46234</c:v>
                </c:pt>
                <c:pt idx="30">
                  <c:v>46237</c:v>
                </c:pt>
                <c:pt idx="31">
                  <c:v>46238</c:v>
                </c:pt>
                <c:pt idx="32">
                  <c:v>46239</c:v>
                </c:pt>
                <c:pt idx="33">
                  <c:v>46240</c:v>
                </c:pt>
                <c:pt idx="34">
                  <c:v>46241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  <c:pt idx="39">
                  <c:v>46248</c:v>
                </c:pt>
                <c:pt idx="40">
                  <c:v>46251</c:v>
                </c:pt>
                <c:pt idx="41">
                  <c:v>46252</c:v>
                </c:pt>
              </c:numCache>
            </c:numRef>
          </c:cat>
          <c:val>
            <c:numRef>
              <c:f>'看板-产业趋势'!_ChartValues</c:f>
              <c:numCache>
                <c:formatCode>0.0000</c:formatCode>
                <c:ptCount val="42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0.91697362913212932</c:v>
                </c:pt>
                <c:pt idx="16">
                  <c:v>0.94637062365446645</c:v>
                </c:pt>
                <c:pt idx="17">
                  <c:v>0.91699688948477942</c:v>
                </c:pt>
                <c:pt idx="18">
                  <c:v>0.87559563769905591</c:v>
                </c:pt>
                <c:pt idx="19">
                  <c:v>0.80395186275888708</c:v>
                </c:pt>
                <c:pt idx="20">
                  <c:v>0.7725846198142714</c:v>
                </c:pt>
                <c:pt idx="21">
                  <c:v>0.85977786369144249</c:v>
                </c:pt>
                <c:pt idx="22">
                  <c:v>0.83406264853237666</c:v>
                </c:pt>
                <c:pt idx="23">
                  <c:v>0.81192392134913194</c:v>
                </c:pt>
                <c:pt idx="24">
                  <c:v>0.81167965590769986</c:v>
                </c:pt>
                <c:pt idx="25">
                  <c:v>0.83469124014895102</c:v>
                </c:pt>
                <c:pt idx="26">
                  <c:v>0.76869284885503608</c:v>
                </c:pt>
                <c:pt idx="27">
                  <c:v>0.75909621549224715</c:v>
                </c:pt>
                <c:pt idx="28">
                  <c:v>0.70197151091105148</c:v>
                </c:pt>
                <c:pt idx="29">
                  <c:v>0.72624632001160483</c:v>
                </c:pt>
                <c:pt idx="30">
                  <c:v>0.6962683081309522</c:v>
                </c:pt>
                <c:pt idx="31">
                  <c:v>0.74614458366388403</c:v>
                </c:pt>
                <c:pt idx="32">
                  <c:v>0.77896150349312188</c:v>
                </c:pt>
                <c:pt idx="33">
                  <c:v>0.79001227829138299</c:v>
                </c:pt>
                <c:pt idx="34">
                  <c:v>0.81131379383137059</c:v>
                </c:pt>
                <c:pt idx="35">
                  <c:v>0.81333484775718323</c:v>
                </c:pt>
                <c:pt idx="36">
                  <c:v>0.80390380258733718</c:v>
                </c:pt>
                <c:pt idx="37">
                  <c:v>0.82830533304129883</c:v>
                </c:pt>
                <c:pt idx="38">
                  <c:v>0.82438313522875573</c:v>
                </c:pt>
                <c:pt idx="39">
                  <c:v>0.83551715435720697</c:v>
                </c:pt>
                <c:pt idx="40">
                  <c:v>0.87689411795961425</c:v>
                </c:pt>
                <c:pt idx="41">
                  <c:v>0.87685780895765764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648-406B-857D-FFC7DCCFB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75967440"/>
        <c:axId val="-775966896"/>
      </c:lineChart>
      <c:dateAx>
        <c:axId val="-775967440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-775966896"/>
        <c:crosses val="autoZero"/>
        <c:auto val="1"/>
        <c:lblOffset val="100"/>
        <c:baseTimeUnit val="days"/>
        <c:majorTimeUnit val="days"/>
      </c:dateAx>
      <c:valAx>
        <c:axId val="-775966896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77596744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'看板-产业趋势基石'!_ChartDates</c:f>
              <c:numCache>
                <c:formatCode>yyyy\-mm\-dd</c:formatCode>
                <c:ptCount val="43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</c:numCache>
            </c:numRef>
          </c:cat>
          <c:val>
            <c:numRef>
              <c:f>'看板-产业趋势基石'!_ChartValues</c:f>
              <c:numCache>
                <c:formatCode>0.0000</c:formatCode>
                <c:ptCount val="43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0.93808139669337876</c:v>
                </c:pt>
                <c:pt idx="17">
                  <c:v>0.96830009922126759</c:v>
                </c:pt>
                <c:pt idx="18">
                  <c:v>0.93822864166205733</c:v>
                </c:pt>
                <c:pt idx="19">
                  <c:v>0.89587465029610514</c:v>
                </c:pt>
                <c:pt idx="20">
                  <c:v>0.82248092101937031</c:v>
                </c:pt>
                <c:pt idx="21">
                  <c:v>0.79035973856508246</c:v>
                </c:pt>
                <c:pt idx="22">
                  <c:v>0.87956638034701318</c:v>
                </c:pt>
                <c:pt idx="23">
                  <c:v>0.85321196799992882</c:v>
                </c:pt>
                <c:pt idx="24">
                  <c:v>0.83060416834710382</c:v>
                </c:pt>
                <c:pt idx="25">
                  <c:v>0.83029356330213822</c:v>
                </c:pt>
                <c:pt idx="26">
                  <c:v>0.85390475841332225</c:v>
                </c:pt>
                <c:pt idx="27">
                  <c:v>0.7862607541617691</c:v>
                </c:pt>
                <c:pt idx="28">
                  <c:v>0.77644814898918524</c:v>
                </c:pt>
                <c:pt idx="29">
                  <c:v>0.71793541970282437</c:v>
                </c:pt>
                <c:pt idx="30">
                  <c:v>0.74282726366224527</c:v>
                </c:pt>
                <c:pt idx="31">
                  <c:v>0.71222410579163131</c:v>
                </c:pt>
                <c:pt idx="32">
                  <c:v>0.76336947663905597</c:v>
                </c:pt>
                <c:pt idx="33">
                  <c:v>0.79692340056760913</c:v>
                </c:pt>
                <c:pt idx="34">
                  <c:v>0.80826511012075786</c:v>
                </c:pt>
                <c:pt idx="35">
                  <c:v>0.83008467669236141</c:v>
                </c:pt>
                <c:pt idx="36">
                  <c:v>0.83211163195446736</c:v>
                </c:pt>
                <c:pt idx="37">
                  <c:v>0.82249407267954855</c:v>
                </c:pt>
                <c:pt idx="38">
                  <c:v>0.84749604001398571</c:v>
                </c:pt>
                <c:pt idx="39">
                  <c:v>0.84350945139145028</c:v>
                </c:pt>
                <c:pt idx="40">
                  <c:v>0.85496078801066921</c:v>
                </c:pt>
                <c:pt idx="41">
                  <c:v>0.89736673193518768</c:v>
                </c:pt>
                <c:pt idx="42">
                  <c:v>0.89733705151434484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AF-4641-B79E-01CB1C340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775964720"/>
        <c:axId val="-984492112"/>
      </c:lineChart>
      <c:dateAx>
        <c:axId val="-775964720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984492112"/>
        <c:crosses val="autoZero"/>
        <c:auto val="1"/>
        <c:lblOffset val="100"/>
        <c:baseTimeUnit val="days"/>
        <c:majorTimeUnit val="days"/>
      </c:dateAx>
      <c:valAx>
        <c:axId val="-984492112"/>
        <c:scaling>
          <c:orientation val="minMax"/>
          <c:min val="0.70000000000000007"/>
        </c:scaling>
        <c:delete val="0"/>
        <c:axPos val="l"/>
        <c:numFmt formatCode="0.0000" sourceLinked="0"/>
        <c:majorTickMark val="none"/>
        <c:minorTickMark val="none"/>
        <c:tickLblPos val="nextTo"/>
        <c:crossAx val="-77596472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'看板-产业趋势2号'!_ChartDates</c:f>
              <c:numCache>
                <c:formatCode>yyyy\-mm\-dd</c:formatCode>
                <c:ptCount val="41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46230</c:v>
                </c:pt>
                <c:pt idx="25">
                  <c:v>46231</c:v>
                </c:pt>
                <c:pt idx="26">
                  <c:v>46232</c:v>
                </c:pt>
                <c:pt idx="27">
                  <c:v>46233</c:v>
                </c:pt>
                <c:pt idx="28">
                  <c:v>46234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  <c:pt idx="33">
                  <c:v>46241</c:v>
                </c:pt>
                <c:pt idx="34">
                  <c:v>46244</c:v>
                </c:pt>
                <c:pt idx="35">
                  <c:v>46245</c:v>
                </c:pt>
                <c:pt idx="36">
                  <c:v>46246</c:v>
                </c:pt>
                <c:pt idx="37">
                  <c:v>46247</c:v>
                </c:pt>
                <c:pt idx="38">
                  <c:v>46248</c:v>
                </c:pt>
                <c:pt idx="39">
                  <c:v>46251</c:v>
                </c:pt>
                <c:pt idx="40">
                  <c:v>46252</c:v>
                </c:pt>
              </c:numCache>
            </c:numRef>
          </c:cat>
          <c:val>
            <c:numRef>
              <c:f>'看板-产业趋势2号'!_ChartValues</c:f>
              <c:numCache>
                <c:formatCode>0.0000</c:formatCode>
                <c:ptCount val="41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0.95546551536216096</c:v>
                </c:pt>
                <c:pt idx="15">
                  <c:v>0.98122069665460177</c:v>
                </c:pt>
                <c:pt idx="16">
                  <c:v>0.9454808705016986</c:v>
                </c:pt>
                <c:pt idx="17">
                  <c:v>0.90360617948177735</c:v>
                </c:pt>
                <c:pt idx="18">
                  <c:v>0.83721468119835341</c:v>
                </c:pt>
                <c:pt idx="19">
                  <c:v>0.80811386650276029</c:v>
                </c:pt>
                <c:pt idx="20">
                  <c:v>0.90141211983560632</c:v>
                </c:pt>
                <c:pt idx="21">
                  <c:v>0.87692454413373422</c:v>
                </c:pt>
                <c:pt idx="22">
                  <c:v>0.85192377866811053</c:v>
                </c:pt>
                <c:pt idx="23">
                  <c:v>0.85634618908665328</c:v>
                </c:pt>
                <c:pt idx="24">
                  <c:v>0.87898017619041946</c:v>
                </c:pt>
                <c:pt idx="25">
                  <c:v>0.81331518475104281</c:v>
                </c:pt>
                <c:pt idx="26">
                  <c:v>0.80514197361881068</c:v>
                </c:pt>
                <c:pt idx="27">
                  <c:v>0.74787436802830576</c:v>
                </c:pt>
                <c:pt idx="28">
                  <c:v>0.77133249538722459</c:v>
                </c:pt>
                <c:pt idx="29">
                  <c:v>0.73222495499610107</c:v>
                </c:pt>
                <c:pt idx="30">
                  <c:v>0.77918745072942763</c:v>
                </c:pt>
                <c:pt idx="31">
                  <c:v>0.81627637308703827</c:v>
                </c:pt>
                <c:pt idx="32">
                  <c:v>0.82647704725758364</c:v>
                </c:pt>
                <c:pt idx="33">
                  <c:v>0.84783459383647197</c:v>
                </c:pt>
                <c:pt idx="34">
                  <c:v>0.85249753265663131</c:v>
                </c:pt>
                <c:pt idx="35">
                  <c:v>0.84046441743138178</c:v>
                </c:pt>
                <c:pt idx="36">
                  <c:v>0.86079932414595484</c:v>
                </c:pt>
                <c:pt idx="37">
                  <c:v>0.85324518033636265</c:v>
                </c:pt>
                <c:pt idx="38">
                  <c:v>0.85968862851962957</c:v>
                </c:pt>
                <c:pt idx="39">
                  <c:v>0.90237415611570237</c:v>
                </c:pt>
                <c:pt idx="40">
                  <c:v>0.90233679207786821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75-4C3E-AA25-3AD48E780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4489936"/>
        <c:axId val="-984493744"/>
      </c:lineChart>
      <c:dateAx>
        <c:axId val="-984489936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-984493744"/>
        <c:crosses val="autoZero"/>
        <c:auto val="1"/>
        <c:lblOffset val="100"/>
        <c:baseTimeUnit val="days"/>
        <c:majorTimeUnit val="days"/>
      </c:dateAx>
      <c:valAx>
        <c:axId val="-98449374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98448993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'看板-10-90'!_ChartDates</c:f>
              <c:numCache>
                <c:formatCode>yyyy\-mm\-dd</c:formatCode>
                <c:ptCount val="40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</c:numCache>
            </c:numRef>
          </c:cat>
          <c:val>
            <c:numRef>
              <c:f>'看板-10-90'!_ChartValues</c:f>
              <c:numCache>
                <c:formatCode>0.0000</c:formatCode>
                <c:ptCount val="40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0.9950051524362421</c:v>
                </c:pt>
                <c:pt idx="11">
                  <c:v>1.0000251971614045</c:v>
                </c:pt>
                <c:pt idx="12">
                  <c:v>0.996179521171354</c:v>
                </c:pt>
                <c:pt idx="13">
                  <c:v>0.99091999764701377</c:v>
                </c:pt>
                <c:pt idx="14">
                  <c:v>0.99334753088252004</c:v>
                </c:pt>
                <c:pt idx="15">
                  <c:v>0.99071728198972964</c:v>
                </c:pt>
                <c:pt idx="16">
                  <c:v>0.98676187132227156</c:v>
                </c:pt>
                <c:pt idx="17">
                  <c:v>0.9801796358017143</c:v>
                </c:pt>
                <c:pt idx="18">
                  <c:v>0.97692785405628013</c:v>
                </c:pt>
                <c:pt idx="19">
                  <c:v>0.98595161384431096</c:v>
                </c:pt>
                <c:pt idx="20">
                  <c:v>0.98579850868578778</c:v>
                </c:pt>
                <c:pt idx="21">
                  <c:v>0.98447784718233267</c:v>
                </c:pt>
                <c:pt idx="22">
                  <c:v>0.98345040579106224</c:v>
                </c:pt>
                <c:pt idx="23">
                  <c:v>0.98696437228355804</c:v>
                </c:pt>
                <c:pt idx="24">
                  <c:v>0.9806986308480341</c:v>
                </c:pt>
                <c:pt idx="25">
                  <c:v>0.98026906419805526</c:v>
                </c:pt>
                <c:pt idx="26">
                  <c:v>0.9761214913199201</c:v>
                </c:pt>
                <c:pt idx="27">
                  <c:v>0.97927214944896834</c:v>
                </c:pt>
                <c:pt idx="28">
                  <c:v>0.97645840479381407</c:v>
                </c:pt>
                <c:pt idx="29">
                  <c:v>0.9809307866654694</c:v>
                </c:pt>
                <c:pt idx="30">
                  <c:v>0.98575511215025358</c:v>
                </c:pt>
                <c:pt idx="31">
                  <c:v>0.98807991531029082</c:v>
                </c:pt>
                <c:pt idx="32">
                  <c:v>0.99118243223928182</c:v>
                </c:pt>
                <c:pt idx="33">
                  <c:v>0.99340887946259904</c:v>
                </c:pt>
                <c:pt idx="34">
                  <c:v>0.99204013612030795</c:v>
                </c:pt>
                <c:pt idx="35">
                  <c:v>0.99444411358789253</c:v>
                </c:pt>
                <c:pt idx="36">
                  <c:v>0.99374808320021091</c:v>
                </c:pt>
                <c:pt idx="37">
                  <c:v>0.994115670668685</c:v>
                </c:pt>
                <c:pt idx="38">
                  <c:v>0.99895898030685437</c:v>
                </c:pt>
                <c:pt idx="39">
                  <c:v>0.99893699750750309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D0-406D-A14D-76E7D9A7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84493200"/>
        <c:axId val="-1185840080"/>
      </c:lineChart>
      <c:dateAx>
        <c:axId val="-984493200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185840080"/>
        <c:crosses val="autoZero"/>
        <c:auto val="1"/>
        <c:lblOffset val="100"/>
        <c:baseTimeUnit val="days"/>
        <c:majorTimeUnit val="days"/>
      </c:dateAx>
      <c:valAx>
        <c:axId val="-118584008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98449320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'看板-10-90基石'!_ChartDates</c:f>
              <c:numCache>
                <c:formatCode>yyyy\-mm\-dd</c:formatCode>
                <c:ptCount val="43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</c:numCache>
            </c:numRef>
          </c:cat>
          <c:val>
            <c:numRef>
              <c:f>'看板-10-90基石'!_ChartValues</c:f>
              <c:numCache>
                <c:formatCode>0.0000</c:formatCode>
                <c:ptCount val="43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0.99875367924501923</c:v>
                </c:pt>
                <c:pt idx="15">
                  <c:v>0.99502796314950503</c:v>
                </c:pt>
                <c:pt idx="16">
                  <c:v>0.98984401811572498</c:v>
                </c:pt>
                <c:pt idx="17">
                  <c:v>0.99259572537929164</c:v>
                </c:pt>
                <c:pt idx="18">
                  <c:v>0.99020099872472989</c:v>
                </c:pt>
                <c:pt idx="19">
                  <c:v>0.9861176198208752</c:v>
                </c:pt>
                <c:pt idx="20">
                  <c:v>0.9790047810904865</c:v>
                </c:pt>
                <c:pt idx="21">
                  <c:v>0.97551609956302554</c:v>
                </c:pt>
                <c:pt idx="22">
                  <c:v>0.98451181946051036</c:v>
                </c:pt>
                <c:pt idx="23">
                  <c:v>0.98416489616962055</c:v>
                </c:pt>
                <c:pt idx="24">
                  <c:v>0.98294067506944183</c:v>
                </c:pt>
                <c:pt idx="25">
                  <c:v>0.98167072753263529</c:v>
                </c:pt>
                <c:pt idx="26">
                  <c:v>0.98530566690705634</c:v>
                </c:pt>
                <c:pt idx="27">
                  <c:v>0.97879642351182894</c:v>
                </c:pt>
                <c:pt idx="28">
                  <c:v>0.9782589797667538</c:v>
                </c:pt>
                <c:pt idx="29">
                  <c:v>0.97390321005734459</c:v>
                </c:pt>
                <c:pt idx="30">
                  <c:v>0.97719837247619623</c:v>
                </c:pt>
                <c:pt idx="31">
                  <c:v>0.97483599855662972</c:v>
                </c:pt>
                <c:pt idx="32">
                  <c:v>0.97968557339554074</c:v>
                </c:pt>
                <c:pt idx="33">
                  <c:v>0.98435681211622128</c:v>
                </c:pt>
                <c:pt idx="34">
                  <c:v>0.98673128064354332</c:v>
                </c:pt>
                <c:pt idx="35">
                  <c:v>0.98991772635449637</c:v>
                </c:pt>
                <c:pt idx="36">
                  <c:v>0.9919944749306091</c:v>
                </c:pt>
                <c:pt idx="37">
                  <c:v>0.99073929663758642</c:v>
                </c:pt>
                <c:pt idx="38">
                  <c:v>0.99347449449349057</c:v>
                </c:pt>
                <c:pt idx="39">
                  <c:v>0.99299759081711703</c:v>
                </c:pt>
                <c:pt idx="40">
                  <c:v>0.99372212189107401</c:v>
                </c:pt>
                <c:pt idx="41">
                  <c:v>0.99865469890573955</c:v>
                </c:pt>
                <c:pt idx="42">
                  <c:v>0.9986409844836206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A4-4548-A5EC-9D1B8FCEA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87277104"/>
        <c:axId val="-594801936"/>
      </c:lineChart>
      <c:dateAx>
        <c:axId val="-1187277104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594801936"/>
        <c:crosses val="autoZero"/>
        <c:auto val="1"/>
        <c:lblOffset val="100"/>
        <c:baseTimeUnit val="days"/>
        <c:majorTimeUnit val="days"/>
      </c:dateAx>
      <c:valAx>
        <c:axId val="-594801936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8727710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'看板-30-70'!_ChartDates</c:f>
              <c:numCache>
                <c:formatCode>yyyy\-mm\-dd</c:formatCode>
                <c:ptCount val="40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</c:numCache>
            </c:numRef>
          </c:cat>
          <c:val>
            <c:numRef>
              <c:f>'看板-30-70'!_ChartValues</c:f>
              <c:numCache>
                <c:formatCode>0.0000</c:formatCode>
                <c:ptCount val="40"/>
                <c:pt idx="0">
                  <c:v>1</c:v>
                </c:pt>
                <c:pt idx="1">
                  <c:v>1.0039732082294279</c:v>
                </c:pt>
                <c:pt idx="2">
                  <c:v>0.99720804304745392</c:v>
                </c:pt>
                <c:pt idx="3">
                  <c:v>1.0009806053834995</c:v>
                </c:pt>
                <c:pt idx="4">
                  <c:v>1.0087618711402628</c:v>
                </c:pt>
                <c:pt idx="5">
                  <c:v>1.0039155476418373</c:v>
                </c:pt>
                <c:pt idx="6">
                  <c:v>0.98752211337914908</c:v>
                </c:pt>
                <c:pt idx="7">
                  <c:v>0.99030293727219687</c:v>
                </c:pt>
                <c:pt idx="8">
                  <c:v>0.98670140137911</c:v>
                </c:pt>
                <c:pt idx="9">
                  <c:v>0.98405318400777231</c:v>
                </c:pt>
                <c:pt idx="10">
                  <c:v>0.98291598797716351</c:v>
                </c:pt>
                <c:pt idx="11">
                  <c:v>0.99677409001455453</c:v>
                </c:pt>
                <c:pt idx="12">
                  <c:v>0.9860201572522912</c:v>
                </c:pt>
                <c:pt idx="13">
                  <c:v>0.97202141801703834</c:v>
                </c:pt>
                <c:pt idx="14">
                  <c:v>0.97923592239467783</c:v>
                </c:pt>
                <c:pt idx="15">
                  <c:v>0.97194176165457125</c:v>
                </c:pt>
                <c:pt idx="16">
                  <c:v>0.96152631831469659</c:v>
                </c:pt>
                <c:pt idx="17">
                  <c:v>0.94210028710651716</c:v>
                </c:pt>
                <c:pt idx="18">
                  <c:v>0.93309057637493542</c:v>
                </c:pt>
                <c:pt idx="19">
                  <c:v>0.95862869099830639</c:v>
                </c:pt>
                <c:pt idx="20">
                  <c:v>0.95473536714260399</c:v>
                </c:pt>
                <c:pt idx="21">
                  <c:v>0.95057923744523387</c:v>
                </c:pt>
                <c:pt idx="22">
                  <c:v>0.94741055273696939</c:v>
                </c:pt>
                <c:pt idx="23">
                  <c:v>0.95708142162899978</c:v>
                </c:pt>
                <c:pt idx="24">
                  <c:v>0.93946694791941554</c:v>
                </c:pt>
                <c:pt idx="25">
                  <c:v>0.93860410362572089</c:v>
                </c:pt>
                <c:pt idx="26">
                  <c:v>0.92445284206535505</c:v>
                </c:pt>
                <c:pt idx="27">
                  <c:v>0.93264826644668219</c:v>
                </c:pt>
                <c:pt idx="28">
                  <c:v>0.92408565948164412</c:v>
                </c:pt>
                <c:pt idx="29">
                  <c:v>0.93652463834702993</c:v>
                </c:pt>
                <c:pt idx="30">
                  <c:v>0.94971573113282171</c:v>
                </c:pt>
                <c:pt idx="31">
                  <c:v>0.95513401394071007</c:v>
                </c:pt>
                <c:pt idx="32">
                  <c:v>0.96277386059938297</c:v>
                </c:pt>
                <c:pt idx="33">
                  <c:v>0.96690387122170962</c:v>
                </c:pt>
                <c:pt idx="34">
                  <c:v>0.9636551856543506</c:v>
                </c:pt>
                <c:pt idx="35">
                  <c:v>0.97013061127071021</c:v>
                </c:pt>
                <c:pt idx="36">
                  <c:v>0.96690757815179629</c:v>
                </c:pt>
                <c:pt idx="37">
                  <c:v>0.9682286227764374</c:v>
                </c:pt>
                <c:pt idx="38">
                  <c:v>0.98134194706126798</c:v>
                </c:pt>
                <c:pt idx="39">
                  <c:v>0.98130948915867044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7DF-4AC4-9EBB-8B7B9670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94800304"/>
        <c:axId val="-594796496"/>
      </c:lineChart>
      <c:dateAx>
        <c:axId val="-594800304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594796496"/>
        <c:crosses val="autoZero"/>
        <c:auto val="1"/>
        <c:lblOffset val="100"/>
        <c:baseTimeUnit val="days"/>
        <c:majorTimeUnit val="days"/>
      </c:dateAx>
      <c:valAx>
        <c:axId val="-594796496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59480030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74160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1069700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822240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144720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56160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3" name="表3" displayName="表3" ref="A7:H18" totalsRowShown="0" headerRowDxfId="11" dataDxfId="9" headerRowBorderDxfId="10" tableBorderDxfId="8">
  <tableColumns count="8">
    <tableColumn id="1" name="序号" dataDxfId="7"/>
    <tableColumn id="2" name="基金代码" dataDxfId="6"/>
    <tableColumn id="3" name="产品/基金名称" dataDxfId="5"/>
    <tableColumn id="4" name="26Q2规模（亿元）" dataDxfId="4"/>
    <tableColumn id="5" name="上线以来" dataDxfId="3"/>
    <tableColumn id="6" name="6/22-7/30" dataDxfId="2"/>
    <tableColumn id="7" name="7.31至今" dataDxfId="1"/>
    <tableColumn id="8" name="最大回撤（上线以来）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activeCell="C41" sqref="C41"/>
    </sheetView>
  </sheetViews>
  <sheetFormatPr defaultColWidth="9.453125" defaultRowHeight="12.5"/>
  <cols>
    <col min="1" max="1" width="17.453125" customWidth="1"/>
    <col min="2" max="24" width="12.1796875" customWidth="1"/>
    <col min="25" max="26" width="9.81640625" customWidth="1"/>
    <col min="27" max="27" width="13.1796875" customWidth="1"/>
  </cols>
  <sheetData>
    <row r="1" spans="1:27" ht="18.75" customHeight="1">
      <c r="A1" s="114" t="s">
        <v>0</v>
      </c>
      <c r="B1" s="114"/>
      <c r="C1" s="114"/>
    </row>
    <row r="2" spans="1:27" ht="39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1" t="s">
        <v>26</v>
      </c>
      <c r="AA2" s="1" t="s">
        <v>27</v>
      </c>
    </row>
    <row r="3" spans="1:27" ht="13">
      <c r="A3" s="1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ht="13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6">
        <f t="shared" ref="Y4:Y9" si="0">SUM(B4:X4)</f>
        <v>0.99999999999999989</v>
      </c>
      <c r="Z4" s="7">
        <v>1.4999999999999999E-2</v>
      </c>
      <c r="AA4" s="8">
        <v>46195</v>
      </c>
    </row>
    <row r="5" spans="1:27" ht="13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6">
        <f t="shared" si="0"/>
        <v>0.99999999999999989</v>
      </c>
      <c r="Z5" s="7">
        <v>1.2E-2</v>
      </c>
      <c r="AA5" s="8">
        <v>46191</v>
      </c>
    </row>
    <row r="6" spans="1:27" ht="13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6">
        <f t="shared" si="0"/>
        <v>0.99999999999999989</v>
      </c>
      <c r="Z6" s="7">
        <v>1.4999999999999999E-2</v>
      </c>
      <c r="AA6" s="8">
        <v>46196</v>
      </c>
    </row>
    <row r="7" spans="1:27" ht="13">
      <c r="A7" s="9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6">
        <f t="shared" si="0"/>
        <v>1</v>
      </c>
      <c r="Z7" s="7">
        <v>8.0000000000000002E-3</v>
      </c>
      <c r="AA7" s="8">
        <v>46197</v>
      </c>
    </row>
    <row r="8" spans="1:27" ht="13">
      <c r="A8" s="9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6">
        <f t="shared" si="0"/>
        <v>1</v>
      </c>
      <c r="Z8" s="7">
        <v>5.0000000000000001E-3</v>
      </c>
      <c r="AA8" s="8">
        <v>46191</v>
      </c>
    </row>
    <row r="9" spans="1:27" ht="13">
      <c r="A9" s="9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3.7499999999999999E-2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3.7499999999999999E-2</v>
      </c>
      <c r="N9" s="5">
        <v>0</v>
      </c>
      <c r="O9" s="5">
        <v>3.7499999999999999E-2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3.7499999999999999E-2</v>
      </c>
      <c r="X9" s="5">
        <v>0.57999999999999996</v>
      </c>
      <c r="Y9" s="6">
        <f t="shared" si="0"/>
        <v>0.99999999999999989</v>
      </c>
      <c r="Z9" s="7">
        <v>1.2E-2</v>
      </c>
      <c r="AA9" s="8">
        <v>46197</v>
      </c>
    </row>
    <row r="11" spans="1:27" ht="14.25" customHeight="1">
      <c r="A11" s="10" t="s">
        <v>58</v>
      </c>
    </row>
  </sheetData>
  <mergeCells count="1">
    <mergeCell ref="A1:C1"/>
  </mergeCells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R281"/>
  <sheetViews>
    <sheetView showGridLines="0" tabSelected="1" topLeftCell="A16" workbookViewId="0">
      <selection activeCell="F44" sqref="F44"/>
    </sheetView>
  </sheetViews>
  <sheetFormatPr defaultRowHeight="12.5"/>
  <cols>
    <col min="1" max="1" width="18" customWidth="1"/>
    <col min="2" max="2" width="17" customWidth="1"/>
    <col min="3" max="3" width="29" customWidth="1"/>
    <col min="4" max="5" width="14" customWidth="1"/>
    <col min="6" max="6" width="15" customWidth="1"/>
    <col min="7" max="7" width="13" customWidth="1"/>
    <col min="8" max="10" width="15" customWidth="1"/>
    <col min="11" max="12" width="14" customWidth="1"/>
    <col min="13" max="18" width="0.1796875" customWidth="1"/>
  </cols>
  <sheetData>
    <row r="1" spans="1:12" ht="28" customHeight="1">
      <c r="A1" s="120" t="s">
        <v>195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2" ht="24" customHeight="1">
      <c r="A2" s="46" t="s">
        <v>196</v>
      </c>
      <c r="B2" s="47">
        <f ca="1">$B$82</f>
        <v>46251</v>
      </c>
      <c r="C2" s="46" t="s">
        <v>197</v>
      </c>
      <c r="D2" s="121" t="s">
        <v>198</v>
      </c>
      <c r="E2" s="121"/>
      <c r="F2" s="121"/>
      <c r="G2" s="121"/>
      <c r="H2" s="121"/>
      <c r="I2" s="46" t="s">
        <v>199</v>
      </c>
      <c r="J2" s="48">
        <v>0.02</v>
      </c>
      <c r="K2" s="46" t="s">
        <v>200</v>
      </c>
      <c r="L2" s="48">
        <v>0.2</v>
      </c>
    </row>
    <row r="3" spans="1:12" ht="28" customHeight="1">
      <c r="A3" s="122" t="s">
        <v>201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</row>
    <row r="5" spans="1:12" ht="21" customHeight="1">
      <c r="A5" s="115" t="s">
        <v>277</v>
      </c>
      <c r="B5" s="115"/>
      <c r="C5" s="115"/>
      <c r="D5" s="115"/>
      <c r="E5" s="115"/>
      <c r="F5" s="49" t="s">
        <v>202</v>
      </c>
      <c r="G5" s="50">
        <f ca="1">$B$82</f>
        <v>46251</v>
      </c>
    </row>
    <row r="6" spans="1:12" ht="28" customHeight="1">
      <c r="A6" s="51" t="s">
        <v>203</v>
      </c>
      <c r="B6" s="51" t="s">
        <v>28</v>
      </c>
      <c r="C6" s="51" t="s">
        <v>1</v>
      </c>
      <c r="D6" s="51" t="s">
        <v>204</v>
      </c>
      <c r="E6" s="51" t="s">
        <v>205</v>
      </c>
      <c r="F6" s="51" t="s">
        <v>206</v>
      </c>
      <c r="G6" s="51" t="s">
        <v>207</v>
      </c>
    </row>
    <row r="7" spans="1:12" ht="13.5">
      <c r="A7" s="46" t="str">
        <f t="shared" ref="A7:A14" ca="1" si="0">IF(B7&lt;&gt;"","产业趋势","")</f>
        <v>产业趋势</v>
      </c>
      <c r="B7" s="54" t="str">
        <f ca="1">IFERROR(INDEX($A$53:$A$76,MATCH(1,M$53:M$76,0)),"")</f>
        <v>000917.OF</v>
      </c>
      <c r="C7" s="54" t="str">
        <f ca="1">IFERROR(INDEX($B$53:$B$76,MATCH(1,M$53:M$76,0)),"")</f>
        <v>嘉实快线货币A</v>
      </c>
      <c r="D7" s="54" t="str">
        <f ca="1">IFERROR(INDEX($E$53:$E$76,MATCH(1,M$53:M$76,0)),"")</f>
        <v>货币</v>
      </c>
      <c r="E7" s="55">
        <f ca="1">IFERROR(INDEX(G$53:G$76,MATCH(1,M$53:M$76,0)),"")</f>
        <v>5.0270536692175946E-2</v>
      </c>
      <c r="F7" s="54" t="str">
        <f t="shared" ref="F7:F30" ca="1" si="1">IF(B7="","",IF(D7&lt;&gt;"主动","不适用",IF(E7&gt;$L$2,"超限","正常")))</f>
        <v>不适用</v>
      </c>
      <c r="G7" s="56">
        <f t="shared" ref="G7:G14" ca="1" si="2">IF(B7&lt;&gt;"",G$84,"")</f>
        <v>46213</v>
      </c>
    </row>
    <row r="8" spans="1:12" ht="13.5">
      <c r="A8" s="46" t="str">
        <f t="shared" ca="1" si="0"/>
        <v>产业趋势</v>
      </c>
      <c r="B8" s="54" t="str">
        <f ca="1">IFERROR(INDEX($A$53:$A$76,MATCH(2,M$53:M$76,0)),"")</f>
        <v>001170.OF</v>
      </c>
      <c r="C8" s="54" t="str">
        <f ca="1">IFERROR(INDEX($B$53:$B$76,MATCH(2,M$53:M$76,0)),"")</f>
        <v>宏利复兴混合A</v>
      </c>
      <c r="D8" s="54" t="str">
        <f ca="1">IFERROR(INDEX($E$53:$E$76,MATCH(2,M$53:M$76,0)),"")</f>
        <v>主动</v>
      </c>
      <c r="E8" s="55">
        <f ca="1">IFERROR(INDEX(G$53:G$76,MATCH(2,M$53:M$76,0)),"")</f>
        <v>0.16924381878578429</v>
      </c>
      <c r="F8" s="54" t="str">
        <f t="shared" ca="1" si="1"/>
        <v>正常</v>
      </c>
      <c r="G8" s="56">
        <f t="shared" ca="1" si="2"/>
        <v>46213</v>
      </c>
    </row>
    <row r="9" spans="1:12" ht="13.5">
      <c r="A9" s="46" t="str">
        <f t="shared" ca="1" si="0"/>
        <v>产业趋势</v>
      </c>
      <c r="B9" s="54" t="str">
        <f ca="1">IFERROR(INDEX($A$53:$A$76,MATCH(3,M$53:M$76,0)),"")</f>
        <v>013840.OF</v>
      </c>
      <c r="C9" s="54" t="str">
        <f ca="1">IFERROR(INDEX($B$53:$B$76,MATCH(3,M$53:M$76,0)),"")</f>
        <v>银华集成电路混合A</v>
      </c>
      <c r="D9" s="54" t="str">
        <f ca="1">IFERROR(INDEX($E$53:$E$76,MATCH(3,M$53:M$76,0)),"")</f>
        <v>主动</v>
      </c>
      <c r="E9" s="55">
        <f ca="1">IFERROR(INDEX(G$53:G$76,MATCH(3,M$53:M$76,0)),"")</f>
        <v>0.24137329028928453</v>
      </c>
      <c r="F9" s="54" t="str">
        <f t="shared" ca="1" si="1"/>
        <v>超限</v>
      </c>
      <c r="G9" s="56">
        <f t="shared" ca="1" si="2"/>
        <v>46213</v>
      </c>
    </row>
    <row r="10" spans="1:12" ht="13.5">
      <c r="A10" s="46" t="str">
        <f t="shared" ca="1" si="0"/>
        <v>产业趋势</v>
      </c>
      <c r="B10" s="54" t="str">
        <f ca="1">IFERROR(INDEX($A$53:$A$76,MATCH(4,M$53:M$76,0)),"")</f>
        <v>016370.OF</v>
      </c>
      <c r="C10" s="54" t="str">
        <f ca="1">IFERROR(INDEX($B$53:$B$76,MATCH(4,M$53:M$76,0)),"")</f>
        <v>信澳业绩驱动A</v>
      </c>
      <c r="D10" s="54" t="str">
        <f ca="1">IFERROR(INDEX($E$53:$E$76,MATCH(4,M$53:M$76,0)),"")</f>
        <v>主动</v>
      </c>
      <c r="E10" s="55">
        <f ca="1">IFERROR(INDEX(G$53:G$76,MATCH(4,M$53:M$76,0)),"")</f>
        <v>0.16943217579531708</v>
      </c>
      <c r="F10" s="54" t="str">
        <f t="shared" ca="1" si="1"/>
        <v>正常</v>
      </c>
      <c r="G10" s="56">
        <f t="shared" ca="1" si="2"/>
        <v>46213</v>
      </c>
    </row>
    <row r="11" spans="1:12" ht="13.5">
      <c r="A11" s="46" t="str">
        <f t="shared" ca="1" si="0"/>
        <v>产业趋势</v>
      </c>
      <c r="B11" s="54" t="str">
        <f ca="1">IFERROR(INDEX($A$53:$A$76,MATCH(5,M$53:M$76,0)),"")</f>
        <v>017488.OF</v>
      </c>
      <c r="C11" s="54" t="str">
        <f ca="1">IFERROR(INDEX($B$53:$B$76,MATCH(5,M$53:M$76,0)),"")</f>
        <v>嘉实信息产业A</v>
      </c>
      <c r="D11" s="54" t="str">
        <f ca="1">IFERROR(INDEX($E$53:$E$76,MATCH(5,M$53:M$76,0)),"")</f>
        <v>主动</v>
      </c>
      <c r="E11" s="55">
        <f ca="1">IFERROR(INDEX(G$53:G$76,MATCH(5,M$53:M$76,0)),"")</f>
        <v>0.17413271284042564</v>
      </c>
      <c r="F11" s="54" t="str">
        <f t="shared" ca="1" si="1"/>
        <v>正常</v>
      </c>
      <c r="G11" s="56">
        <f t="shared" ca="1" si="2"/>
        <v>46213</v>
      </c>
    </row>
    <row r="12" spans="1:12" ht="13.5">
      <c r="A12" s="46" t="str">
        <f t="shared" ca="1" si="0"/>
        <v>产业趋势</v>
      </c>
      <c r="B12" s="54" t="str">
        <f ca="1">IFERROR(INDEX($A$53:$A$76,MATCH(6,M$53:M$76,0)),"")</f>
        <v>019632.OF</v>
      </c>
      <c r="C12" s="54" t="str">
        <f ca="1">IFERROR(INDEX($B$53:$B$76,MATCH(6,M$53:M$76,0)),"")</f>
        <v>国泰半导体材料设备ETF联接A</v>
      </c>
      <c r="D12" s="54" t="str">
        <f ca="1">IFERROR(INDEX($E$53:$E$76,MATCH(6,M$53:M$76,0)),"")</f>
        <v>指数</v>
      </c>
      <c r="E12" s="55">
        <f ca="1">IFERROR(INDEX(G$53:G$76,MATCH(6,M$53:M$76,0)),"")</f>
        <v>0.12784444461942124</v>
      </c>
      <c r="F12" s="54" t="str">
        <f t="shared" ca="1" si="1"/>
        <v>不适用</v>
      </c>
      <c r="G12" s="56">
        <f t="shared" ca="1" si="2"/>
        <v>46213</v>
      </c>
    </row>
    <row r="13" spans="1:12" ht="13.5">
      <c r="A13" s="46" t="str">
        <f t="shared" ca="1" si="0"/>
        <v>产业趋势</v>
      </c>
      <c r="B13" s="54" t="str">
        <f ca="1">IFERROR(INDEX($A$53:$A$76,MATCH(7,M$53:M$76,0)),"")</f>
        <v>162214.OF</v>
      </c>
      <c r="C13" s="54" t="str">
        <f ca="1">IFERROR(INDEX($B$53:$B$76,MATCH(7,M$53:M$76,0)),"")</f>
        <v>宏利领先中小盘混合</v>
      </c>
      <c r="D13" s="54" t="str">
        <f ca="1">IFERROR(INDEX($E$53:$E$76,MATCH(7,M$53:M$76,0)),"")</f>
        <v>主动</v>
      </c>
      <c r="E13" s="55">
        <f ca="1">IFERROR(INDEX(G$53:G$76,MATCH(7,M$53:M$76,0)),"")</f>
        <v>6.7703020977591247E-2</v>
      </c>
      <c r="F13" s="54" t="str">
        <f t="shared" ca="1" si="1"/>
        <v>正常</v>
      </c>
      <c r="G13" s="56">
        <f t="shared" ca="1" si="2"/>
        <v>46213</v>
      </c>
    </row>
    <row r="14" spans="1:12" ht="13.5">
      <c r="A14" s="46" t="str">
        <f t="shared" ca="1" si="0"/>
        <v/>
      </c>
      <c r="B14" s="54" t="str">
        <f ca="1">IFERROR(INDEX($A$53:$A$76,MATCH(8,M$53:M$76,0)),"")</f>
        <v/>
      </c>
      <c r="C14" s="54" t="str">
        <f ca="1">IFERROR(INDEX($B$53:$B$76,MATCH(8,M$53:M$76,0)),"")</f>
        <v/>
      </c>
      <c r="D14" s="54" t="str">
        <f ca="1">IFERROR(INDEX($E$53:$E$76,MATCH(8,M$53:M$76,0)),"")</f>
        <v/>
      </c>
      <c r="E14" s="55" t="str">
        <f ca="1">IFERROR(INDEX(G$53:G$76,MATCH(8,M$53:M$76,0)),"")</f>
        <v/>
      </c>
      <c r="F14" s="54" t="str">
        <f t="shared" ca="1" si="1"/>
        <v/>
      </c>
      <c r="G14" s="56" t="str">
        <f t="shared" ca="1" si="2"/>
        <v/>
      </c>
    </row>
    <row r="15" spans="1:12" ht="13.5">
      <c r="A15" s="46" t="str">
        <f t="shared" ref="A15:A22" ca="1" si="3">IF(B15&lt;&gt;"","产业趋势基石","")</f>
        <v>产业趋势基石</v>
      </c>
      <c r="B15" s="54" t="str">
        <f ca="1">IFERROR(INDEX($A$53:$A$76,MATCH(1,N$53:N$76,0)),"")</f>
        <v>000917.OF</v>
      </c>
      <c r="C15" s="54" t="str">
        <f ca="1">IFERROR(INDEX($B$53:$B$76,MATCH(1,N$53:N$76,0)),"")</f>
        <v>嘉实快线货币A</v>
      </c>
      <c r="D15" s="54" t="str">
        <f ca="1">IFERROR(INDEX($E$53:$E$76,MATCH(1,N$53:N$76,0)),"")</f>
        <v>货币</v>
      </c>
      <c r="E15" s="55">
        <f ca="1">IFERROR(INDEX(H$53:H$76,MATCH(1,N$53:N$76,0)),"")</f>
        <v>4.9149446392396094E-2</v>
      </c>
      <c r="F15" s="54" t="str">
        <f t="shared" ca="1" si="1"/>
        <v>不适用</v>
      </c>
      <c r="G15" s="56">
        <f t="shared" ref="G15:G22" ca="1" si="4">IF(B15&lt;&gt;"",H$84,"")</f>
        <v>46213</v>
      </c>
    </row>
    <row r="16" spans="1:12" ht="13.5">
      <c r="A16" s="46" t="str">
        <f t="shared" ca="1" si="3"/>
        <v>产业趋势基石</v>
      </c>
      <c r="B16" s="54" t="str">
        <f ca="1">IFERROR(INDEX($A$53:$A$76,MATCH(2,N$53:N$76,0)),"")</f>
        <v>001170.OF</v>
      </c>
      <c r="C16" s="54" t="str">
        <f ca="1">IFERROR(INDEX($B$53:$B$76,MATCH(2,N$53:N$76,0)),"")</f>
        <v>宏利复兴混合A</v>
      </c>
      <c r="D16" s="54" t="str">
        <f ca="1">IFERROR(INDEX($E$53:$E$76,MATCH(2,N$53:N$76,0)),"")</f>
        <v>主动</v>
      </c>
      <c r="E16" s="55">
        <f ca="1">IFERROR(INDEX(H$53:H$76,MATCH(2,N$53:N$76,0)),"")</f>
        <v>0.17080956798264663</v>
      </c>
      <c r="F16" s="54" t="str">
        <f t="shared" ca="1" si="1"/>
        <v>正常</v>
      </c>
      <c r="G16" s="56">
        <f t="shared" ca="1" si="4"/>
        <v>46213</v>
      </c>
    </row>
    <row r="17" spans="1:7" ht="13.5">
      <c r="A17" s="46" t="str">
        <f t="shared" ca="1" si="3"/>
        <v>产业趋势基石</v>
      </c>
      <c r="B17" s="54" t="str">
        <f ca="1">IFERROR(INDEX($A$53:$A$76,MATCH(3,N$53:N$76,0)),"")</f>
        <v>013840.OF</v>
      </c>
      <c r="C17" s="54" t="str">
        <f ca="1">IFERROR(INDEX($B$53:$B$76,MATCH(3,N$53:N$76,0)),"")</f>
        <v>银华集成电路混合A</v>
      </c>
      <c r="D17" s="54" t="str">
        <f ca="1">IFERROR(INDEX($E$53:$E$76,MATCH(3,N$53:N$76,0)),"")</f>
        <v>主动</v>
      </c>
      <c r="E17" s="55">
        <f ca="1">IFERROR(INDEX(H$53:H$76,MATCH(3,N$53:N$76,0)),"")</f>
        <v>0.23964713549716302</v>
      </c>
      <c r="F17" s="54" t="str">
        <f t="shared" ca="1" si="1"/>
        <v>超限</v>
      </c>
      <c r="G17" s="56">
        <f t="shared" ca="1" si="4"/>
        <v>46213</v>
      </c>
    </row>
    <row r="18" spans="1:7" ht="13.5">
      <c r="A18" s="46" t="str">
        <f t="shared" ca="1" si="3"/>
        <v>产业趋势基石</v>
      </c>
      <c r="B18" s="54" t="str">
        <f ca="1">IFERROR(INDEX($A$53:$A$76,MATCH(4,N$53:N$76,0)),"")</f>
        <v>016370.OF</v>
      </c>
      <c r="C18" s="54" t="str">
        <f ca="1">IFERROR(INDEX($B$53:$B$76,MATCH(4,N$53:N$76,0)),"")</f>
        <v>信澳业绩驱动A</v>
      </c>
      <c r="D18" s="54" t="str">
        <f ca="1">IFERROR(INDEX($E$53:$E$76,MATCH(4,N$53:N$76,0)),"")</f>
        <v>主动</v>
      </c>
      <c r="E18" s="55">
        <f ca="1">IFERROR(INDEX(H$53:H$76,MATCH(4,N$53:N$76,0)),"")</f>
        <v>0.16930521349539523</v>
      </c>
      <c r="F18" s="54" t="str">
        <f t="shared" ca="1" si="1"/>
        <v>正常</v>
      </c>
      <c r="G18" s="56">
        <f t="shared" ca="1" si="4"/>
        <v>46213</v>
      </c>
    </row>
    <row r="19" spans="1:7" ht="13.5">
      <c r="A19" s="46" t="str">
        <f t="shared" ca="1" si="3"/>
        <v>产业趋势基石</v>
      </c>
      <c r="B19" s="54" t="str">
        <f ca="1">IFERROR(INDEX($A$53:$A$76,MATCH(5,N$53:N$76,0)),"")</f>
        <v>017488.OF</v>
      </c>
      <c r="C19" s="54" t="str">
        <f ca="1">IFERROR(INDEX($B$53:$B$76,MATCH(5,N$53:N$76,0)),"")</f>
        <v>嘉实信息产业A</v>
      </c>
      <c r="D19" s="54" t="str">
        <f ca="1">IFERROR(INDEX($E$53:$E$76,MATCH(5,N$53:N$76,0)),"")</f>
        <v>主动</v>
      </c>
      <c r="E19" s="55">
        <f ca="1">IFERROR(INDEX(H$53:H$76,MATCH(5,N$53:N$76,0)),"")</f>
        <v>0.1749247978627323</v>
      </c>
      <c r="F19" s="54" t="str">
        <f t="shared" ca="1" si="1"/>
        <v>正常</v>
      </c>
      <c r="G19" s="56">
        <f t="shared" ca="1" si="4"/>
        <v>46213</v>
      </c>
    </row>
    <row r="20" spans="1:7" ht="13.5">
      <c r="A20" s="46" t="str">
        <f t="shared" ca="1" si="3"/>
        <v>产业趋势基石</v>
      </c>
      <c r="B20" s="54" t="str">
        <f ca="1">IFERROR(INDEX($A$53:$A$76,MATCH(6,N$53:N$76,0)),"")</f>
        <v>019632.OF</v>
      </c>
      <c r="C20" s="54" t="str">
        <f ca="1">IFERROR(INDEX($B$53:$B$76,MATCH(6,N$53:N$76,0)),"")</f>
        <v>国泰半导体材料设备ETF联接A</v>
      </c>
      <c r="D20" s="54" t="str">
        <f ca="1">IFERROR(INDEX($E$53:$E$76,MATCH(6,N$53:N$76,0)),"")</f>
        <v>指数</v>
      </c>
      <c r="E20" s="55">
        <f ca="1">IFERROR(INDEX(H$53:H$76,MATCH(6,N$53:N$76,0)),"")</f>
        <v>0.12845890387182801</v>
      </c>
      <c r="F20" s="54" t="str">
        <f t="shared" ca="1" si="1"/>
        <v>不适用</v>
      </c>
      <c r="G20" s="56">
        <f t="shared" ca="1" si="4"/>
        <v>46213</v>
      </c>
    </row>
    <row r="21" spans="1:7" ht="13.5">
      <c r="A21" s="46" t="str">
        <f t="shared" ca="1" si="3"/>
        <v>产业趋势基石</v>
      </c>
      <c r="B21" s="54" t="str">
        <f ca="1">IFERROR(INDEX($A$53:$A$76,MATCH(7,N$53:N$76,0)),"")</f>
        <v>162214.OF</v>
      </c>
      <c r="C21" s="54" t="str">
        <f ca="1">IFERROR(INDEX($B$53:$B$76,MATCH(7,N$53:N$76,0)),"")</f>
        <v>宏利领先中小盘混合</v>
      </c>
      <c r="D21" s="54" t="str">
        <f ca="1">IFERROR(INDEX($E$53:$E$76,MATCH(7,N$53:N$76,0)),"")</f>
        <v>主动</v>
      </c>
      <c r="E21" s="55">
        <f ca="1">IFERROR(INDEX(H$53:H$76,MATCH(7,N$53:N$76,0)),"")</f>
        <v>6.7704934897838881E-2</v>
      </c>
      <c r="F21" s="54" t="str">
        <f t="shared" ca="1" si="1"/>
        <v>正常</v>
      </c>
      <c r="G21" s="56">
        <f t="shared" ca="1" si="4"/>
        <v>46213</v>
      </c>
    </row>
    <row r="22" spans="1:7" ht="13.5">
      <c r="A22" s="46" t="str">
        <f t="shared" ca="1" si="3"/>
        <v/>
      </c>
      <c r="B22" s="54" t="str">
        <f ca="1">IFERROR(INDEX($A$53:$A$76,MATCH(8,N$53:N$76,0)),"")</f>
        <v/>
      </c>
      <c r="C22" s="54" t="str">
        <f ca="1">IFERROR(INDEX($B$53:$B$76,MATCH(8,N$53:N$76,0)),"")</f>
        <v/>
      </c>
      <c r="D22" s="54" t="str">
        <f ca="1">IFERROR(INDEX($E$53:$E$76,MATCH(8,N$53:N$76,0)),"")</f>
        <v/>
      </c>
      <c r="E22" s="55" t="str">
        <f ca="1">IFERROR(INDEX(H$53:H$76,MATCH(8,N$53:N$76,0)),"")</f>
        <v/>
      </c>
      <c r="F22" s="54" t="str">
        <f t="shared" ca="1" si="1"/>
        <v/>
      </c>
      <c r="G22" s="56" t="str">
        <f t="shared" ca="1" si="4"/>
        <v/>
      </c>
    </row>
    <row r="23" spans="1:7" ht="13.5">
      <c r="A23" s="46" t="str">
        <f t="shared" ref="A23:A30" ca="1" si="5">IF(B23&lt;&gt;"","产业趋势2号","")</f>
        <v>产业趋势2号</v>
      </c>
      <c r="B23" s="54" t="str">
        <f ca="1">IFERROR(INDEX($A$53:$A$76,MATCH(1,O$53:O$76,0)),"")</f>
        <v>000917.OF</v>
      </c>
      <c r="C23" s="54" t="str">
        <f ca="1">IFERROR(INDEX($B$53:$B$76,MATCH(1,O$53:O$76,0)),"")</f>
        <v>嘉实快线货币A</v>
      </c>
      <c r="D23" s="54" t="str">
        <f ca="1">IFERROR(INDEX($E$53:$E$76,MATCH(1,O$53:O$76,0)),"")</f>
        <v>货币</v>
      </c>
      <c r="E23" s="55">
        <f ca="1">IFERROR(INDEX(I$53:I$76,MATCH(1,O$53:O$76,0)),"")</f>
        <v>4.8176915353642595E-2</v>
      </c>
      <c r="F23" s="54" t="str">
        <f t="shared" ca="1" si="1"/>
        <v>不适用</v>
      </c>
      <c r="G23" s="56">
        <f t="shared" ref="G23:G30" ca="1" si="6">IF(B23&lt;&gt;"",I$84,"")</f>
        <v>46213</v>
      </c>
    </row>
    <row r="24" spans="1:7" ht="13.5">
      <c r="A24" s="46" t="str">
        <f t="shared" ca="1" si="5"/>
        <v>产业趋势2号</v>
      </c>
      <c r="B24" s="54" t="str">
        <f ca="1">IFERROR(INDEX($A$53:$A$76,MATCH(2,O$53:O$76,0)),"")</f>
        <v>009993.OF</v>
      </c>
      <c r="C24" s="54" t="str">
        <f ca="1">IFERROR(INDEX($B$53:$B$76,MATCH(2,O$53:O$76,0)),"")</f>
        <v>嘉实前沿科技创新</v>
      </c>
      <c r="D24" s="54" t="str">
        <f ca="1">IFERROR(INDEX($E$53:$E$76,MATCH(2,O$53:O$76,0)),"")</f>
        <v>主动</v>
      </c>
      <c r="E24" s="55">
        <f ca="1">IFERROR(INDEX(I$53:I$76,MATCH(2,O$53:O$76,0)),"")</f>
        <v>0.18367479560820632</v>
      </c>
      <c r="F24" s="54" t="str">
        <f t="shared" ca="1" si="1"/>
        <v>正常</v>
      </c>
      <c r="G24" s="56">
        <f t="shared" ca="1" si="6"/>
        <v>46213</v>
      </c>
    </row>
    <row r="25" spans="1:7" ht="13.5">
      <c r="A25" s="46" t="str">
        <f t="shared" ca="1" si="5"/>
        <v>产业趋势2号</v>
      </c>
      <c r="B25" s="54" t="str">
        <f ca="1">IFERROR(INDEX($A$53:$A$76,MATCH(3,O$53:O$76,0)),"")</f>
        <v>013841.OF</v>
      </c>
      <c r="C25" s="54" t="str">
        <f ca="1">IFERROR(INDEX($B$53:$B$76,MATCH(3,O$53:O$76,0)),"")</f>
        <v>银华集成电路混合C</v>
      </c>
      <c r="D25" s="54" t="str">
        <f ca="1">IFERROR(INDEX($E$53:$E$76,MATCH(3,O$53:O$76,0)),"")</f>
        <v>主动</v>
      </c>
      <c r="E25" s="55">
        <f ca="1">IFERROR(INDEX(I$53:I$76,MATCH(3,O$53:O$76,0)),"")</f>
        <v>0.23202409282778078</v>
      </c>
      <c r="F25" s="54" t="str">
        <f t="shared" ca="1" si="1"/>
        <v>超限</v>
      </c>
      <c r="G25" s="56">
        <f t="shared" ca="1" si="6"/>
        <v>46213</v>
      </c>
    </row>
    <row r="26" spans="1:7" ht="13.5">
      <c r="A26" s="46" t="str">
        <f t="shared" ca="1" si="5"/>
        <v>产业趋势2号</v>
      </c>
      <c r="B26" s="54" t="str">
        <f ca="1">IFERROR(INDEX($A$53:$A$76,MATCH(4,O$53:O$76,0)),"")</f>
        <v>017489.OF</v>
      </c>
      <c r="C26" s="54" t="str">
        <f ca="1">IFERROR(INDEX($B$53:$B$76,MATCH(4,O$53:O$76,0)),"")</f>
        <v>嘉实信息产业C</v>
      </c>
      <c r="D26" s="54" t="str">
        <f ca="1">IFERROR(INDEX($E$53:$E$76,MATCH(4,O$53:O$76,0)),"")</f>
        <v>主动</v>
      </c>
      <c r="E26" s="55">
        <f ca="1">IFERROR(INDEX(I$53:I$76,MATCH(4,O$53:O$76,0)),"")</f>
        <v>0.17253291074432461</v>
      </c>
      <c r="F26" s="54" t="str">
        <f t="shared" ca="1" si="1"/>
        <v>正常</v>
      </c>
      <c r="G26" s="56">
        <f t="shared" ca="1" si="6"/>
        <v>46213</v>
      </c>
    </row>
    <row r="27" spans="1:7" ht="13.5">
      <c r="A27" s="46" t="str">
        <f t="shared" ca="1" si="5"/>
        <v>产业趋势2号</v>
      </c>
      <c r="B27" s="54" t="str">
        <f ca="1">IFERROR(INDEX($A$53:$A$76,MATCH(5,O$53:O$76,0)),"")</f>
        <v>017612.OF</v>
      </c>
      <c r="C27" s="54" t="str">
        <f ca="1">IFERROR(INDEX($B$53:$B$76,MATCH(5,O$53:O$76,0)),"")</f>
        <v>宏利复兴伟业C</v>
      </c>
      <c r="D27" s="54" t="str">
        <f ca="1">IFERROR(INDEX($E$53:$E$76,MATCH(5,O$53:O$76,0)),"")</f>
        <v>主动</v>
      </c>
      <c r="E27" s="55">
        <f ca="1">IFERROR(INDEX(I$53:I$76,MATCH(5,O$53:O$76,0)),"")</f>
        <v>0.1711017940336319</v>
      </c>
      <c r="F27" s="54" t="str">
        <f t="shared" ca="1" si="1"/>
        <v>正常</v>
      </c>
      <c r="G27" s="56">
        <f t="shared" ca="1" si="6"/>
        <v>46213</v>
      </c>
    </row>
    <row r="28" spans="1:7" ht="13.5">
      <c r="A28" s="46" t="str">
        <f t="shared" ca="1" si="5"/>
        <v>产业趋势2号</v>
      </c>
      <c r="B28" s="54" t="str">
        <f ca="1">IFERROR(INDEX($A$53:$A$76,MATCH(6,O$53:O$76,0)),"")</f>
        <v>019633.OF</v>
      </c>
      <c r="C28" s="54" t="str">
        <f ca="1">IFERROR(INDEX($B$53:$B$76,MATCH(6,O$53:O$76,0)),"")</f>
        <v>国泰半导体材料设备C</v>
      </c>
      <c r="D28" s="54" t="str">
        <f ca="1">IFERROR(INDEX($E$53:$E$76,MATCH(6,O$53:O$76,0)),"")</f>
        <v>指数</v>
      </c>
      <c r="E28" s="55">
        <f ca="1">IFERROR(INDEX(I$53:I$76,MATCH(6,O$53:O$76,0)),"")</f>
        <v>0.12382021055911398</v>
      </c>
      <c r="F28" s="54" t="str">
        <f t="shared" ca="1" si="1"/>
        <v>不适用</v>
      </c>
      <c r="G28" s="56">
        <f t="shared" ca="1" si="6"/>
        <v>46213</v>
      </c>
    </row>
    <row r="29" spans="1:7" ht="13.5">
      <c r="A29" s="46" t="str">
        <f t="shared" ca="1" si="5"/>
        <v>产业趋势2号</v>
      </c>
      <c r="B29" s="54" t="str">
        <f ca="1">IFERROR(INDEX($A$53:$A$76,MATCH(7,O$53:O$76,0)),"")</f>
        <v>162214.OF</v>
      </c>
      <c r="C29" s="54" t="str">
        <f ca="1">IFERROR(INDEX($B$53:$B$76,MATCH(7,O$53:O$76,0)),"")</f>
        <v>宏利领先中小盘混合</v>
      </c>
      <c r="D29" s="54" t="str">
        <f ca="1">IFERROR(INDEX($E$53:$E$76,MATCH(7,O$53:O$76,0)),"")</f>
        <v>主动</v>
      </c>
      <c r="E29" s="55">
        <f ca="1">IFERROR(INDEX(I$53:I$76,MATCH(7,O$53:O$76,0)),"")</f>
        <v>6.866928087329989E-2</v>
      </c>
      <c r="F29" s="54" t="str">
        <f t="shared" ca="1" si="1"/>
        <v>正常</v>
      </c>
      <c r="G29" s="56">
        <f t="shared" ca="1" si="6"/>
        <v>46213</v>
      </c>
    </row>
    <row r="30" spans="1:7" ht="13.5">
      <c r="A30" s="46" t="str">
        <f t="shared" ca="1" si="5"/>
        <v/>
      </c>
      <c r="B30" s="54" t="str">
        <f ca="1">IFERROR(INDEX($A$53:$A$76,MATCH(8,O$53:O$76,0)),"")</f>
        <v/>
      </c>
      <c r="C30" s="54" t="str">
        <f ca="1">IFERROR(INDEX($B$53:$B$76,MATCH(8,O$53:O$76,0)),"")</f>
        <v/>
      </c>
      <c r="D30" s="54" t="str">
        <f ca="1">IFERROR(INDEX($E$53:$E$76,MATCH(8,O$53:O$76,0)),"")</f>
        <v/>
      </c>
      <c r="E30" s="55" t="str">
        <f ca="1">IFERROR(INDEX(I$53:I$76,MATCH(8,O$53:O$76,0)),"")</f>
        <v/>
      </c>
      <c r="F30" s="54" t="str">
        <f t="shared" ca="1" si="1"/>
        <v/>
      </c>
      <c r="G30" s="56" t="str">
        <f t="shared" ca="1" si="6"/>
        <v/>
      </c>
    </row>
    <row r="31" spans="1:7" ht="13">
      <c r="A31" s="123" t="s">
        <v>208</v>
      </c>
      <c r="B31" s="123"/>
      <c r="C31" s="123"/>
      <c r="D31" s="123"/>
      <c r="E31" s="123"/>
      <c r="F31" s="123"/>
      <c r="G31" s="123"/>
    </row>
    <row r="33" spans="1:8" ht="21" customHeight="1">
      <c r="A33" s="115" t="s">
        <v>278</v>
      </c>
      <c r="B33" s="115"/>
      <c r="C33" s="115"/>
      <c r="D33" s="115"/>
      <c r="E33" s="115"/>
      <c r="F33" s="115"/>
      <c r="G33" s="49" t="s">
        <v>202</v>
      </c>
      <c r="H33" s="50">
        <f ca="1">$B$82</f>
        <v>46251</v>
      </c>
    </row>
    <row r="34" spans="1:8" ht="28" customHeight="1">
      <c r="A34" s="51" t="s">
        <v>203</v>
      </c>
      <c r="B34" s="51" t="s">
        <v>209</v>
      </c>
      <c r="C34" s="51" t="s">
        <v>210</v>
      </c>
      <c r="D34" s="51" t="s">
        <v>211</v>
      </c>
      <c r="E34" s="51" t="s">
        <v>212</v>
      </c>
      <c r="F34" s="51" t="s">
        <v>213</v>
      </c>
      <c r="G34" s="51" t="s">
        <v>211</v>
      </c>
      <c r="H34" s="51" t="s">
        <v>207</v>
      </c>
    </row>
    <row r="35" spans="1:8" ht="13">
      <c r="A35" s="54" t="s">
        <v>214</v>
      </c>
      <c r="B35" s="55">
        <v>0.1</v>
      </c>
      <c r="C35" s="55">
        <f ca="1">SUMIF($C$53:$C$76,"增值",J$53:J$76)</f>
        <v>0.108956263772556</v>
      </c>
      <c r="D35" s="57">
        <f ca="1">C35-B35</f>
        <v>8.9562637725559974E-3</v>
      </c>
      <c r="E35" s="55">
        <f>1-B35</f>
        <v>0.9</v>
      </c>
      <c r="F35" s="55">
        <f ca="1">SUMIF($C$53:$C$76,"生息",J$53:J$76)</f>
        <v>0.89104373622744393</v>
      </c>
      <c r="G35" s="57">
        <f ca="1">F35-E35</f>
        <v>-8.9562637725560945E-3</v>
      </c>
      <c r="H35" s="56">
        <f>J$84</f>
        <v>46220</v>
      </c>
    </row>
    <row r="36" spans="1:8" ht="13">
      <c r="A36" s="54" t="s">
        <v>215</v>
      </c>
      <c r="B36" s="55">
        <v>0.1</v>
      </c>
      <c r="C36" s="55">
        <f ca="1">SUMIF($C$53:$C$76,"增值",K$53:K$76)</f>
        <v>0.11108440385059495</v>
      </c>
      <c r="D36" s="57">
        <f ca="1">C36-B36</f>
        <v>1.1084403850594948E-2</v>
      </c>
      <c r="E36" s="55">
        <f>1-B36</f>
        <v>0.9</v>
      </c>
      <c r="F36" s="55">
        <f ca="1">SUMIF($C$53:$C$76,"生息",K$53:K$76)</f>
        <v>0.88891559614940496</v>
      </c>
      <c r="G36" s="57">
        <f ca="1">F36-E36</f>
        <v>-1.1084403850595059E-2</v>
      </c>
      <c r="H36" s="56">
        <f>K$84</f>
        <v>46220</v>
      </c>
    </row>
    <row r="37" spans="1:8" ht="13">
      <c r="A37" s="54" t="s">
        <v>216</v>
      </c>
      <c r="B37" s="55">
        <v>0.3</v>
      </c>
      <c r="C37" s="55">
        <f ca="1">SUMIF($C$53:$C$76,"增值",L$53:L$76)</f>
        <v>0.32448435282950738</v>
      </c>
      <c r="D37" s="57">
        <f ca="1">C37-B37</f>
        <v>2.4484352829507394E-2</v>
      </c>
      <c r="E37" s="55">
        <f>1-B37</f>
        <v>0.7</v>
      </c>
      <c r="F37" s="55">
        <f ca="1">SUMIF($C$53:$C$76,"生息",L$53:L$76)</f>
        <v>0.67551564717049273</v>
      </c>
      <c r="G37" s="57">
        <f ca="1">F37-E37</f>
        <v>-2.4484352829507228E-2</v>
      </c>
      <c r="H37" s="56">
        <f>L$84</f>
        <v>46220</v>
      </c>
    </row>
    <row r="38" spans="1:8" ht="13">
      <c r="A38" s="116" t="s">
        <v>217</v>
      </c>
      <c r="B38" s="116"/>
      <c r="C38" s="116"/>
      <c r="D38" s="116"/>
      <c r="E38" s="116"/>
      <c r="F38" s="116"/>
      <c r="G38" s="116"/>
      <c r="H38" s="116"/>
    </row>
    <row r="40" spans="1:8" ht="21" customHeight="1">
      <c r="A40" s="115" t="s">
        <v>218</v>
      </c>
      <c r="B40" s="115"/>
      <c r="C40" s="115"/>
      <c r="D40" s="49" t="s">
        <v>202</v>
      </c>
      <c r="E40" s="50">
        <f ca="1">$B$82</f>
        <v>46251</v>
      </c>
    </row>
    <row r="41" spans="1:8" ht="28" customHeight="1">
      <c r="A41" s="51" t="s">
        <v>203</v>
      </c>
      <c r="B41" s="51" t="s">
        <v>219</v>
      </c>
      <c r="C41" s="51" t="s">
        <v>220</v>
      </c>
      <c r="D41" s="51" t="s">
        <v>221</v>
      </c>
      <c r="E41" s="51" t="s">
        <v>207</v>
      </c>
    </row>
    <row r="42" spans="1:8" ht="13">
      <c r="A42" s="54" t="s">
        <v>214</v>
      </c>
      <c r="B42" s="55">
        <f ca="1">IFERROR(SUMIF($D$53:$D$76,"产业趋势",J$53:J$76)/SUMIF($C$53:$C$76,"增值",J$53:J$76),0)</f>
        <v>0.51550463676905844</v>
      </c>
      <c r="C42" s="55">
        <f ca="1">IFERROR(SUMIF($D$53:$D$76,"指增",J$53:J$76)/SUMIF($C$53:$C$76,"增值",J$53:J$76),0)</f>
        <v>0.48449536323094156</v>
      </c>
      <c r="D42" s="55">
        <f ca="1">SUMIF($C$53:$C$76,"增值",J$53:J$76)</f>
        <v>0.108956263772556</v>
      </c>
      <c r="E42" s="56">
        <f>J$84</f>
        <v>46220</v>
      </c>
    </row>
    <row r="43" spans="1:8" ht="13">
      <c r="A43" s="54" t="s">
        <v>215</v>
      </c>
      <c r="B43" s="55">
        <f ca="1">IFERROR(SUMIF($D$53:$D$76,"产业趋势",K$53:K$76)/SUMIF($C$53:$C$76,"增值",K$53:K$76),0)</f>
        <v>0.52052902056648687</v>
      </c>
      <c r="C43" s="55">
        <f ca="1">IFERROR(SUMIF($D$53:$D$76,"指增",K$53:K$76)/SUMIF($C$53:$C$76,"增值",K$53:K$76),0)</f>
        <v>0.47947097943351297</v>
      </c>
      <c r="D43" s="55">
        <f ca="1">SUMIF($C$53:$C$76,"增值",K$53:K$76)</f>
        <v>0.11108440385059495</v>
      </c>
      <c r="E43" s="56">
        <f>K$84</f>
        <v>46220</v>
      </c>
    </row>
    <row r="44" spans="1:8" ht="13">
      <c r="A44" s="54" t="s">
        <v>216</v>
      </c>
      <c r="B44" s="55">
        <f ca="1">IFERROR(SUMIF($D$53:$D$76,"产业趋势",L$53:L$76)/SUMIF($C$53:$C$76,"增值",L$53:L$76),0)</f>
        <v>0.51941868479084308</v>
      </c>
      <c r="C44" s="55">
        <f ca="1">IFERROR(SUMIF($D$53:$D$76,"指增",L$53:L$76)/SUMIF($C$53:$C$76,"增值",L$53:L$76),0)</f>
        <v>0.48058131520915692</v>
      </c>
      <c r="D44" s="55">
        <f ca="1">SUMIF($C$53:$C$76,"增值",L$53:L$76)</f>
        <v>0.32448435282950738</v>
      </c>
      <c r="E44" s="56">
        <f>L$84</f>
        <v>46220</v>
      </c>
    </row>
    <row r="45" spans="1:8" ht="13">
      <c r="A45" s="116" t="s">
        <v>222</v>
      </c>
      <c r="B45" s="116"/>
      <c r="C45" s="116"/>
      <c r="D45" s="116"/>
      <c r="E45" s="116"/>
    </row>
    <row r="47" spans="1:8" ht="34" customHeight="1">
      <c r="A47" s="119" t="s">
        <v>223</v>
      </c>
      <c r="B47" s="119"/>
      <c r="C47" s="119"/>
      <c r="D47" s="119"/>
      <c r="E47" s="119"/>
      <c r="F47" s="119"/>
      <c r="G47" s="119"/>
      <c r="H47" s="119"/>
    </row>
    <row r="50" spans="1:18" ht="21" customHeight="1">
      <c r="A50" s="115" t="s">
        <v>224</v>
      </c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</row>
    <row r="51" spans="1:18" ht="24" customHeight="1">
      <c r="A51" s="116" t="s">
        <v>225</v>
      </c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</row>
    <row r="52" spans="1:18" ht="28" customHeight="1">
      <c r="A52" s="51" t="s">
        <v>28</v>
      </c>
      <c r="B52" s="51" t="s">
        <v>1</v>
      </c>
      <c r="C52" s="51" t="s">
        <v>226</v>
      </c>
      <c r="D52" s="51" t="s">
        <v>227</v>
      </c>
      <c r="E52" s="51" t="s">
        <v>228</v>
      </c>
      <c r="F52" s="51" t="s">
        <v>229</v>
      </c>
      <c r="G52" s="51" t="s">
        <v>230</v>
      </c>
      <c r="H52" s="51" t="s">
        <v>231</v>
      </c>
      <c r="I52" s="51" t="s">
        <v>232</v>
      </c>
      <c r="J52" s="51" t="s">
        <v>214</v>
      </c>
      <c r="K52" s="51" t="s">
        <v>215</v>
      </c>
      <c r="L52" s="51" t="s">
        <v>216</v>
      </c>
    </row>
    <row r="53" spans="1:18" ht="13">
      <c r="A53" s="54" t="s">
        <v>29</v>
      </c>
      <c r="B53" s="52" t="s">
        <v>233</v>
      </c>
      <c r="C53" s="54" t="s">
        <v>234</v>
      </c>
      <c r="D53" s="54" t="s">
        <v>235</v>
      </c>
      <c r="E53" s="54" t="s">
        <v>236</v>
      </c>
      <c r="F53" s="54" t="s">
        <v>237</v>
      </c>
      <c r="G53" s="55">
        <f ca="1">IFERROR(INDEX(分期持仓明细!$B$5:$Y$200,G$82-4,MATCH(LEFT($A53,6),分期持仓明细!$B$3:$Y$3,0))*INDEX('实盘净值数据(iFinD公式)'!$B$5:$Y$1000,$B$81,MATCH($A53,'实盘净值数据(iFinD公式)'!$B$3:$Y$3,0))/INDEX('实盘净值数据(iFinD公式)'!$B$5:$Y$1000,MATCH(G$84,'实盘净值数据(iFinD公式)'!$A$5:$A$1000,0),MATCH($A53,'实盘净值数据(iFinD公式)'!$B$3:$Y$3,0))/G$85,G89)</f>
        <v>0</v>
      </c>
      <c r="H53" s="55">
        <f ca="1">IFERROR(INDEX(分期持仓明细!$B$5:$Y$200,H$82-4,MATCH(LEFT($A53,6),分期持仓明细!$B$3:$Y$3,0))*INDEX('实盘净值数据(iFinD公式)'!$B$5:$Y$1000,$B$81,MATCH($A53,'实盘净值数据(iFinD公式)'!$B$3:$Y$3,0))/INDEX('实盘净值数据(iFinD公式)'!$B$5:$Y$1000,MATCH(H$84,'实盘净值数据(iFinD公式)'!$A$5:$A$1000,0),MATCH($A53,'实盘净值数据(iFinD公式)'!$B$3:$Y$3,0))/H$85,H89)</f>
        <v>0</v>
      </c>
      <c r="I53" s="55">
        <f ca="1">IFERROR(INDEX(分期持仓明细!$B$5:$Y$200,I$82-4,MATCH(LEFT($A53,6),分期持仓明细!$B$3:$Y$3,0))*INDEX('实盘净值数据(iFinD公式)'!$B$5:$Y$1000,$B$81,MATCH($A53,'实盘净值数据(iFinD公式)'!$B$3:$Y$3,0))/INDEX('实盘净值数据(iFinD公式)'!$B$5:$Y$1000,MATCH(I$84,'实盘净值数据(iFinD公式)'!$A$5:$A$1000,0),MATCH($A53,'实盘净值数据(iFinD公式)'!$B$3:$Y$3,0))/I$85,I89)</f>
        <v>0</v>
      </c>
      <c r="J53" s="55">
        <f ca="1">IFERROR(INDEX(分期持仓明细!$B$5:$Y$200,J$82-4,MATCH(LEFT($A53,6),分期持仓明细!$B$3:$Y$3,0))*INDEX('实盘净值数据(iFinD公式)'!$B$5:$Y$1000,$B$81,MATCH($A53,'实盘净值数据(iFinD公式)'!$B$3:$Y$3,0))/INDEX('实盘净值数据(iFinD公式)'!$B$5:$Y$1000,MATCH(J$84,'实盘净值数据(iFinD公式)'!$A$5:$A$1000,0),MATCH($A53,'实盘净值数据(iFinD公式)'!$B$3:$Y$3,0))/J$85,J89)</f>
        <v>5.4981195015757447E-2</v>
      </c>
      <c r="K53" s="55">
        <f ca="1">IFERROR(INDEX(分期持仓明细!$B$5:$Y$200,K$82-4,MATCH(LEFT($A53,6),分期持仓明细!$B$3:$Y$3,0))*INDEX('实盘净值数据(iFinD公式)'!$B$5:$Y$1000,$B$81,MATCH($A53,'实盘净值数据(iFinD公式)'!$B$3:$Y$3,0))/INDEX('实盘净值数据(iFinD公式)'!$B$5:$Y$1000,MATCH(K$84,'实盘净值数据(iFinD公式)'!$A$5:$A$1000,0),MATCH($A53,'实盘净值数据(iFinD公式)'!$B$3:$Y$3,0))/K$85,K89)</f>
        <v>5.2549112572519513E-2</v>
      </c>
      <c r="L53" s="55">
        <f ca="1">IFERROR(INDEX(分期持仓明细!$B$5:$Y$200,L$82-4,MATCH(LEFT($A53,6),分期持仓明细!$B$3:$Y$3,0))*INDEX('实盘净值数据(iFinD公式)'!$B$5:$Y$1000,$B$81,MATCH($A53,'实盘净值数据(iFinD公式)'!$B$3:$Y$3,0))/INDEX('实盘净值数据(iFinD公式)'!$B$5:$Y$1000,MATCH(L$84,'实盘净值数据(iFinD公式)'!$A$5:$A$1000,0),MATCH($A53,'实盘净值数据(iFinD公式)'!$B$3:$Y$3,0))/L$85,L89)</f>
        <v>0.10827807936152196</v>
      </c>
      <c r="M53" t="str">
        <f ca="1">IF(G53&gt;0,COUNTIF(G$53:G53,"&gt;0"),"")</f>
        <v/>
      </c>
      <c r="N53" t="str">
        <f ca="1">IF(H53&gt;0,COUNTIF(H$53:H53,"&gt;0"),"")</f>
        <v/>
      </c>
      <c r="O53" t="str">
        <f ca="1">IF(I53&gt;0,COUNTIF(I$53:I53,"&gt;0"),"")</f>
        <v/>
      </c>
      <c r="P53">
        <f ca="1">IF(J53&gt;0,COUNTIF(J$53:J53,"&gt;0"),"")</f>
        <v>1</v>
      </c>
      <c r="Q53">
        <f ca="1">IF(K53&gt;0,COUNTIF(K$53:K53,"&gt;0"),"")</f>
        <v>1</v>
      </c>
      <c r="R53">
        <f ca="1">IF(L53&gt;0,COUNTIF(L$53:L53,"&gt;0"),"")</f>
        <v>1</v>
      </c>
    </row>
    <row r="54" spans="1:18" ht="13">
      <c r="A54" s="54" t="s">
        <v>30</v>
      </c>
      <c r="B54" s="52" t="s">
        <v>238</v>
      </c>
      <c r="C54" s="54" t="s">
        <v>234</v>
      </c>
      <c r="D54" s="54" t="s">
        <v>235</v>
      </c>
      <c r="E54" s="54" t="s">
        <v>239</v>
      </c>
      <c r="F54" s="54" t="s">
        <v>240</v>
      </c>
      <c r="G54" s="55">
        <f ca="1">IFERROR(INDEX(分期持仓明细!$B$5:$Y$200,G$82-4,MATCH(LEFT($A54,6),分期持仓明细!$B$3:$Y$3,0))*INDEX('实盘净值数据(iFinD公式)'!$B$5:$Y$1000,$B$81,MATCH($A54,'实盘净值数据(iFinD公式)'!$B$3:$Y$3,0))/INDEX('实盘净值数据(iFinD公式)'!$B$5:$Y$1000,MATCH(G$84,'实盘净值数据(iFinD公式)'!$A$5:$A$1000,0),MATCH($A54,'实盘净值数据(iFinD公式)'!$B$3:$Y$3,0))/G$85,G90)</f>
        <v>5.0270536692175946E-2</v>
      </c>
      <c r="H54" s="55">
        <f ca="1">IFERROR(INDEX(分期持仓明细!$B$5:$Y$200,H$82-4,MATCH(LEFT($A54,6),分期持仓明细!$B$3:$Y$3,0))*INDEX('实盘净值数据(iFinD公式)'!$B$5:$Y$1000,$B$81,MATCH($A54,'实盘净值数据(iFinD公式)'!$B$3:$Y$3,0))/INDEX('实盘净值数据(iFinD公式)'!$B$5:$Y$1000,MATCH(H$84,'实盘净值数据(iFinD公式)'!$A$5:$A$1000,0),MATCH($A54,'实盘净值数据(iFinD公式)'!$B$3:$Y$3,0))/H$85,H90)</f>
        <v>4.9149446392396094E-2</v>
      </c>
      <c r="I54" s="55">
        <f ca="1">IFERROR(INDEX(分期持仓明细!$B$5:$Y$200,I$82-4,MATCH(LEFT($A54,6),分期持仓明细!$B$3:$Y$3,0))*INDEX('实盘净值数据(iFinD公式)'!$B$5:$Y$1000,$B$81,MATCH($A54,'实盘净值数据(iFinD公式)'!$B$3:$Y$3,0))/INDEX('实盘净值数据(iFinD公式)'!$B$5:$Y$1000,MATCH(I$84,'实盘净值数据(iFinD公式)'!$A$5:$A$1000,0),MATCH($A54,'实盘净值数据(iFinD公式)'!$B$3:$Y$3,0))/I$85,I90)</f>
        <v>4.8176915353642595E-2</v>
      </c>
      <c r="J54" s="55">
        <f ca="1">IFERROR(INDEX(分期持仓明细!$B$5:$Y$200,J$82-4,MATCH(LEFT($A54,6),分期持仓明细!$B$3:$Y$3,0))*INDEX('实盘净值数据(iFinD公式)'!$B$5:$Y$1000,$B$81,MATCH($A54,'实盘净值数据(iFinD公式)'!$B$3:$Y$3,0))/INDEX('实盘净值数据(iFinD公式)'!$B$5:$Y$1000,MATCH(J$84,'实盘净值数据(iFinD公式)'!$A$5:$A$1000,0),MATCH($A54,'实盘净值数据(iFinD公式)'!$B$3:$Y$3,0))/J$85,J90)</f>
        <v>4.3586980487999895E-2</v>
      </c>
      <c r="K54" s="55">
        <f ca="1">IFERROR(INDEX(分期持仓明细!$B$5:$Y$200,K$82-4,MATCH(LEFT($A54,6),分期持仓明细!$B$3:$Y$3,0))*INDEX('实盘净值数据(iFinD公式)'!$B$5:$Y$1000,$B$81,MATCH($A54,'实盘净值数据(iFinD公式)'!$B$3:$Y$3,0))/INDEX('实盘净值数据(iFinD公式)'!$B$5:$Y$1000,MATCH(K$84,'实盘净值数据(iFinD公式)'!$A$5:$A$1000,0),MATCH($A54,'实盘净值数据(iFinD公式)'!$B$3:$Y$3,0))/K$85,K90)</f>
        <v>4.357780877646545E-2</v>
      </c>
      <c r="L54" s="55">
        <f ca="1">IFERROR(INDEX(分期持仓明细!$B$5:$Y$200,L$82-4,MATCH(LEFT($A54,6),分期持仓明细!$B$3:$Y$3,0))*INDEX('实盘净值数据(iFinD公式)'!$B$5:$Y$1000,$B$81,MATCH($A54,'实盘净值数据(iFinD公式)'!$B$3:$Y$3,0))/INDEX('实盘净值数据(iFinD公式)'!$B$5:$Y$1000,MATCH(L$84,'实盘净值数据(iFinD公式)'!$A$5:$A$1000,0),MATCH($A54,'实盘净值数据(iFinD公式)'!$B$3:$Y$3,0))/L$85,L90)</f>
        <v>8.3690624207406764E-2</v>
      </c>
      <c r="M54">
        <f ca="1">IF(G54&gt;0,COUNTIF(G$53:G54,"&gt;0"),"")</f>
        <v>1</v>
      </c>
      <c r="N54">
        <f ca="1">IF(H54&gt;0,COUNTIF(H$53:H54,"&gt;0"),"")</f>
        <v>1</v>
      </c>
      <c r="O54">
        <f ca="1">IF(I54&gt;0,COUNTIF(I$53:I54,"&gt;0"),"")</f>
        <v>1</v>
      </c>
      <c r="P54">
        <f ca="1">IF(J54&gt;0,COUNTIF(J$53:J54,"&gt;0"),"")</f>
        <v>2</v>
      </c>
      <c r="Q54">
        <f ca="1">IF(K54&gt;0,COUNTIF(K$53:K54,"&gt;0"),"")</f>
        <v>2</v>
      </c>
      <c r="R54">
        <f ca="1">IF(L54&gt;0,COUNTIF(L$53:L54,"&gt;0"),"")</f>
        <v>2</v>
      </c>
    </row>
    <row r="55" spans="1:18" ht="13">
      <c r="A55" s="54" t="s">
        <v>31</v>
      </c>
      <c r="B55" s="52" t="s">
        <v>241</v>
      </c>
      <c r="C55" s="54" t="s">
        <v>242</v>
      </c>
      <c r="D55" s="54" t="s">
        <v>230</v>
      </c>
      <c r="E55" s="54" t="s">
        <v>243</v>
      </c>
      <c r="F55" s="54" t="s">
        <v>244</v>
      </c>
      <c r="G55" s="55">
        <f ca="1">IFERROR(INDEX(分期持仓明细!$B$5:$Y$200,G$82-4,MATCH(LEFT($A55,6),分期持仓明细!$B$3:$Y$3,0))*INDEX('实盘净值数据(iFinD公式)'!$B$5:$Y$1000,$B$81,MATCH($A55,'实盘净值数据(iFinD公式)'!$B$3:$Y$3,0))/INDEX('实盘净值数据(iFinD公式)'!$B$5:$Y$1000,MATCH(G$84,'实盘净值数据(iFinD公式)'!$A$5:$A$1000,0),MATCH($A55,'实盘净值数据(iFinD公式)'!$B$3:$Y$3,0))/G$85,G91)</f>
        <v>0.16924381878578429</v>
      </c>
      <c r="H55" s="55">
        <f ca="1">IFERROR(INDEX(分期持仓明细!$B$5:$Y$200,H$82-4,MATCH(LEFT($A55,6),分期持仓明细!$B$3:$Y$3,0))*INDEX('实盘净值数据(iFinD公式)'!$B$5:$Y$1000,$B$81,MATCH($A55,'实盘净值数据(iFinD公式)'!$B$3:$Y$3,0))/INDEX('实盘净值数据(iFinD公式)'!$B$5:$Y$1000,MATCH(H$84,'实盘净值数据(iFinD公式)'!$A$5:$A$1000,0),MATCH($A55,'实盘净值数据(iFinD公式)'!$B$3:$Y$3,0))/H$85,H91)</f>
        <v>0.17080956798264663</v>
      </c>
      <c r="I55" s="55">
        <f ca="1">IFERROR(INDEX(分期持仓明细!$B$5:$Y$200,I$82-4,MATCH(LEFT($A55,6),分期持仓明细!$B$3:$Y$3,0))*INDEX('实盘净值数据(iFinD公式)'!$B$5:$Y$1000,$B$81,MATCH($A55,'实盘净值数据(iFinD公式)'!$B$3:$Y$3,0))/INDEX('实盘净值数据(iFinD公式)'!$B$5:$Y$1000,MATCH(I$84,'实盘净值数据(iFinD公式)'!$A$5:$A$1000,0),MATCH($A55,'实盘净值数据(iFinD公式)'!$B$3:$Y$3,0))/I$85,I91)</f>
        <v>0</v>
      </c>
      <c r="J55" s="55">
        <f ca="1">IFERROR(INDEX(分期持仓明细!$B$5:$Y$200,J$82-4,MATCH(LEFT($A55,6),分期持仓明细!$B$3:$Y$3,0))*INDEX('实盘净值数据(iFinD公式)'!$B$5:$Y$1000,$B$81,MATCH($A55,'实盘净值数据(iFinD公式)'!$B$3:$Y$3,0))/INDEX('实盘净值数据(iFinD公式)'!$B$5:$Y$1000,MATCH(J$84,'实盘净值数据(iFinD公式)'!$A$5:$A$1000,0),MATCH($A55,'实盘净值数据(iFinD公式)'!$B$3:$Y$3,0))/J$85,J91)</f>
        <v>0</v>
      </c>
      <c r="K55" s="55">
        <f ca="1">IFERROR(INDEX(分期持仓明细!$B$5:$Y$200,K$82-4,MATCH(LEFT($A55,6),分期持仓明细!$B$3:$Y$3,0))*INDEX('实盘净值数据(iFinD公式)'!$B$5:$Y$1000,$B$81,MATCH($A55,'实盘净值数据(iFinD公式)'!$B$3:$Y$3,0))/INDEX('实盘净值数据(iFinD公式)'!$B$5:$Y$1000,MATCH(K$84,'实盘净值数据(iFinD公式)'!$A$5:$A$1000,0),MATCH($A55,'实盘净值数据(iFinD公式)'!$B$3:$Y$3,0))/K$85,K91)</f>
        <v>9.4241294542641522E-3</v>
      </c>
      <c r="L55" s="55">
        <f ca="1">IFERROR(INDEX(分期持仓明细!$B$5:$Y$200,L$82-4,MATCH(LEFT($A55,6),分期持仓明细!$B$3:$Y$3,0))*INDEX('实盘净值数据(iFinD公式)'!$B$5:$Y$1000,$B$81,MATCH($A55,'实盘净值数据(iFinD公式)'!$B$3:$Y$3,0))/INDEX('实盘净值数据(iFinD公式)'!$B$5:$Y$1000,MATCH(L$84,'实盘净值数据(iFinD公式)'!$A$5:$A$1000,0),MATCH($A55,'实盘净值数据(iFinD公式)'!$B$3:$Y$3,0))/L$85,L91)</f>
        <v>0</v>
      </c>
      <c r="M55">
        <f ca="1">IF(G55&gt;0,COUNTIF(G$53:G55,"&gt;0"),"")</f>
        <v>2</v>
      </c>
      <c r="N55">
        <f ca="1">IF(H55&gt;0,COUNTIF(H$53:H55,"&gt;0"),"")</f>
        <v>2</v>
      </c>
      <c r="O55" t="str">
        <f ca="1">IF(I55&gt;0,COUNTIF(I$53:I55,"&gt;0"),"")</f>
        <v/>
      </c>
      <c r="P55" t="str">
        <f ca="1">IF(J55&gt;0,COUNTIF(J$53:J55,"&gt;0"),"")</f>
        <v/>
      </c>
      <c r="Q55">
        <f ca="1">IF(K55&gt;0,COUNTIF(K$53:K55,"&gt;0"),"")</f>
        <v>3</v>
      </c>
      <c r="R55" t="str">
        <f ca="1">IF(L55&gt;0,COUNTIF(L$53:L55,"&gt;0"),"")</f>
        <v/>
      </c>
    </row>
    <row r="56" spans="1:18" ht="13">
      <c r="A56" s="54" t="s">
        <v>32</v>
      </c>
      <c r="B56" s="52" t="s">
        <v>245</v>
      </c>
      <c r="C56" s="54" t="s">
        <v>242</v>
      </c>
      <c r="D56" s="54" t="s">
        <v>246</v>
      </c>
      <c r="E56" s="54" t="s">
        <v>246</v>
      </c>
      <c r="F56" s="54" t="s">
        <v>247</v>
      </c>
      <c r="G56" s="55">
        <f ca="1">IFERROR(INDEX(分期持仓明细!$B$5:$Y$200,G$82-4,MATCH(LEFT($A56,6),分期持仓明细!$B$3:$Y$3,0))*INDEX('实盘净值数据(iFinD公式)'!$B$5:$Y$1000,$B$81,MATCH($A56,'实盘净值数据(iFinD公式)'!$B$3:$Y$3,0))/INDEX('实盘净值数据(iFinD公式)'!$B$5:$Y$1000,MATCH(G$84,'实盘净值数据(iFinD公式)'!$A$5:$A$1000,0),MATCH($A56,'实盘净值数据(iFinD公式)'!$B$3:$Y$3,0))/G$85,G92)</f>
        <v>0</v>
      </c>
      <c r="H56" s="55">
        <f ca="1">IFERROR(INDEX(分期持仓明细!$B$5:$Y$200,H$82-4,MATCH(LEFT($A56,6),分期持仓明细!$B$3:$Y$3,0))*INDEX('实盘净值数据(iFinD公式)'!$B$5:$Y$1000,$B$81,MATCH($A56,'实盘净值数据(iFinD公式)'!$B$3:$Y$3,0))/INDEX('实盘净值数据(iFinD公式)'!$B$5:$Y$1000,MATCH(H$84,'实盘净值数据(iFinD公式)'!$A$5:$A$1000,0),MATCH($A56,'实盘净值数据(iFinD公式)'!$B$3:$Y$3,0))/H$85,H92)</f>
        <v>0</v>
      </c>
      <c r="I56" s="55">
        <f ca="1">IFERROR(INDEX(分期持仓明细!$B$5:$Y$200,I$82-4,MATCH(LEFT($A56,6),分期持仓明细!$B$3:$Y$3,0))*INDEX('实盘净值数据(iFinD公式)'!$B$5:$Y$1000,$B$81,MATCH($A56,'实盘净值数据(iFinD公式)'!$B$3:$Y$3,0))/INDEX('实盘净值数据(iFinD公式)'!$B$5:$Y$1000,MATCH(I$84,'实盘净值数据(iFinD公式)'!$A$5:$A$1000,0),MATCH($A56,'实盘净值数据(iFinD公式)'!$B$3:$Y$3,0))/I$85,I92)</f>
        <v>0</v>
      </c>
      <c r="J56" s="55">
        <f ca="1">IFERROR(INDEX(分期持仓明细!$B$5:$Y$200,J$82-4,MATCH(LEFT($A56,6),分期持仓明细!$B$3:$Y$3,0))*INDEX('实盘净值数据(iFinD公式)'!$B$5:$Y$1000,$B$81,MATCH($A56,'实盘净值数据(iFinD公式)'!$B$3:$Y$3,0))/INDEX('实盘净值数据(iFinD公式)'!$B$5:$Y$1000,MATCH(J$84,'实盘净值数据(iFinD公式)'!$A$5:$A$1000,0),MATCH($A56,'实盘净值数据(iFinD公式)'!$B$3:$Y$3,0))/J$85,J92)</f>
        <v>0</v>
      </c>
      <c r="K56" s="55">
        <f ca="1">IFERROR(INDEX(分期持仓明细!$B$5:$Y$200,K$82-4,MATCH(LEFT($A56,6),分期持仓明细!$B$3:$Y$3,0))*INDEX('实盘净值数据(iFinD公式)'!$B$5:$Y$1000,$B$81,MATCH($A56,'实盘净值数据(iFinD公式)'!$B$3:$Y$3,0))/INDEX('实盘净值数据(iFinD公式)'!$B$5:$Y$1000,MATCH(K$84,'实盘净值数据(iFinD公式)'!$A$5:$A$1000,0),MATCH($A56,'实盘净值数据(iFinD公式)'!$B$3:$Y$3,0))/K$85,K92)</f>
        <v>1.309234740070116E-2</v>
      </c>
      <c r="L56" s="55">
        <f ca="1">IFERROR(INDEX(分期持仓明细!$B$5:$Y$200,L$82-4,MATCH(LEFT($A56,6),分期持仓明细!$B$3:$Y$3,0))*INDEX('实盘净值数据(iFinD公式)'!$B$5:$Y$1000,$B$81,MATCH($A56,'实盘净值数据(iFinD公式)'!$B$3:$Y$3,0))/INDEX('实盘净值数据(iFinD公式)'!$B$5:$Y$1000,MATCH(L$84,'实盘净值数据(iFinD公式)'!$A$5:$A$1000,0),MATCH($A56,'实盘净值数据(iFinD公式)'!$B$3:$Y$3,0))/L$85,L92)</f>
        <v>0</v>
      </c>
      <c r="M56" t="str">
        <f ca="1">IF(G56&gt;0,COUNTIF(G$53:G56,"&gt;0"),"")</f>
        <v/>
      </c>
      <c r="N56" t="str">
        <f ca="1">IF(H56&gt;0,COUNTIF(H$53:H56,"&gt;0"),"")</f>
        <v/>
      </c>
      <c r="O56" t="str">
        <f ca="1">IF(I56&gt;0,COUNTIF(I$53:I56,"&gt;0"),"")</f>
        <v/>
      </c>
      <c r="P56" t="str">
        <f ca="1">IF(J56&gt;0,COUNTIF(J$53:J56,"&gt;0"),"")</f>
        <v/>
      </c>
      <c r="Q56">
        <f ca="1">IF(K56&gt;0,COUNTIF(K$53:K56,"&gt;0"),"")</f>
        <v>4</v>
      </c>
      <c r="R56" t="str">
        <f ca="1">IF(L56&gt;0,COUNTIF(L$53:L56,"&gt;0"),"")</f>
        <v/>
      </c>
    </row>
    <row r="57" spans="1:18" ht="13">
      <c r="A57" s="54" t="s">
        <v>33</v>
      </c>
      <c r="B57" s="52" t="s">
        <v>248</v>
      </c>
      <c r="C57" s="54" t="s">
        <v>242</v>
      </c>
      <c r="D57" s="54" t="s">
        <v>246</v>
      </c>
      <c r="E57" s="54" t="s">
        <v>246</v>
      </c>
      <c r="F57" s="54" t="s">
        <v>249</v>
      </c>
      <c r="G57" s="55">
        <f ca="1">IFERROR(INDEX(分期持仓明细!$B$5:$Y$200,G$82-4,MATCH(LEFT($A57,6),分期持仓明细!$B$3:$Y$3,0))*INDEX('实盘净值数据(iFinD公式)'!$B$5:$Y$1000,$B$81,MATCH($A57,'实盘净值数据(iFinD公式)'!$B$3:$Y$3,0))/INDEX('实盘净值数据(iFinD公式)'!$B$5:$Y$1000,MATCH(G$84,'实盘净值数据(iFinD公式)'!$A$5:$A$1000,0),MATCH($A57,'实盘净值数据(iFinD公式)'!$B$3:$Y$3,0))/G$85,G93)</f>
        <v>0</v>
      </c>
      <c r="H57" s="55">
        <f ca="1">IFERROR(INDEX(分期持仓明细!$B$5:$Y$200,H$82-4,MATCH(LEFT($A57,6),分期持仓明细!$B$3:$Y$3,0))*INDEX('实盘净值数据(iFinD公式)'!$B$5:$Y$1000,$B$81,MATCH($A57,'实盘净值数据(iFinD公式)'!$B$3:$Y$3,0))/INDEX('实盘净值数据(iFinD公式)'!$B$5:$Y$1000,MATCH(H$84,'实盘净值数据(iFinD公式)'!$A$5:$A$1000,0),MATCH($A57,'实盘净值数据(iFinD公式)'!$B$3:$Y$3,0))/H$85,H93)</f>
        <v>0</v>
      </c>
      <c r="I57" s="55">
        <f ca="1">IFERROR(INDEX(分期持仓明细!$B$5:$Y$200,I$82-4,MATCH(LEFT($A57,6),分期持仓明细!$B$3:$Y$3,0))*INDEX('实盘净值数据(iFinD公式)'!$B$5:$Y$1000,$B$81,MATCH($A57,'实盘净值数据(iFinD公式)'!$B$3:$Y$3,0))/INDEX('实盘净值数据(iFinD公式)'!$B$5:$Y$1000,MATCH(I$84,'实盘净值数据(iFinD公式)'!$A$5:$A$1000,0),MATCH($A57,'实盘净值数据(iFinD公式)'!$B$3:$Y$3,0))/I$85,I93)</f>
        <v>0</v>
      </c>
      <c r="J57" s="55">
        <f ca="1">IFERROR(INDEX(分期持仓明细!$B$5:$Y$200,J$82-4,MATCH(LEFT($A57,6),分期持仓明细!$B$3:$Y$3,0))*INDEX('实盘净值数据(iFinD公式)'!$B$5:$Y$1000,$B$81,MATCH($A57,'实盘净值数据(iFinD公式)'!$B$3:$Y$3,0))/INDEX('实盘净值数据(iFinD公式)'!$B$5:$Y$1000,MATCH(J$84,'实盘净值数据(iFinD公式)'!$A$5:$A$1000,0),MATCH($A57,'实盘净值数据(iFinD公式)'!$B$3:$Y$3,0))/J$85,J93)</f>
        <v>1.3059333651505226E-2</v>
      </c>
      <c r="K57" s="55">
        <f ca="1">IFERROR(INDEX(分期持仓明细!$B$5:$Y$200,K$82-4,MATCH(LEFT($A57,6),分期持仓明细!$B$3:$Y$3,0))*INDEX('实盘净值数据(iFinD公式)'!$B$5:$Y$1000,$B$81,MATCH($A57,'实盘净值数据(iFinD公式)'!$B$3:$Y$3,0))/INDEX('实盘净值数据(iFinD公式)'!$B$5:$Y$1000,MATCH(K$84,'实盘净值数据(iFinD公式)'!$A$5:$A$1000,0),MATCH($A57,'实盘净值数据(iFinD公式)'!$B$3:$Y$3,0))/K$85,K93)</f>
        <v>0</v>
      </c>
      <c r="L57" s="55">
        <f ca="1">IFERROR(INDEX(分期持仓明细!$B$5:$Y$200,L$82-4,MATCH(LEFT($A57,6),分期持仓明细!$B$3:$Y$3,0))*INDEX('实盘净值数据(iFinD公式)'!$B$5:$Y$1000,$B$81,MATCH($A57,'实盘净值数据(iFinD公式)'!$B$3:$Y$3,0))/INDEX('实盘净值数据(iFinD公式)'!$B$5:$Y$1000,MATCH(L$84,'实盘净值数据(iFinD公式)'!$A$5:$A$1000,0),MATCH($A57,'实盘净值数据(iFinD公式)'!$B$3:$Y$3,0))/L$85,L93)</f>
        <v>3.8576973574830038E-2</v>
      </c>
      <c r="M57" t="str">
        <f ca="1">IF(G57&gt;0,COUNTIF(G$53:G57,"&gt;0"),"")</f>
        <v/>
      </c>
      <c r="N57" t="str">
        <f ca="1">IF(H57&gt;0,COUNTIF(H$53:H57,"&gt;0"),"")</f>
        <v/>
      </c>
      <c r="O57" t="str">
        <f ca="1">IF(I57&gt;0,COUNTIF(I$53:I57,"&gt;0"),"")</f>
        <v/>
      </c>
      <c r="P57">
        <f ca="1">IF(J57&gt;0,COUNTIF(J$53:J57,"&gt;0"),"")</f>
        <v>3</v>
      </c>
      <c r="Q57" t="str">
        <f ca="1">IF(K57&gt;0,COUNTIF(K$53:K57,"&gt;0"),"")</f>
        <v/>
      </c>
      <c r="R57">
        <f ca="1">IF(L57&gt;0,COUNTIF(L$53:L57,"&gt;0"),"")</f>
        <v>3</v>
      </c>
    </row>
    <row r="58" spans="1:18" ht="13">
      <c r="A58" s="54" t="s">
        <v>34</v>
      </c>
      <c r="B58" s="52" t="s">
        <v>250</v>
      </c>
      <c r="C58" s="54" t="s">
        <v>242</v>
      </c>
      <c r="D58" s="54" t="s">
        <v>230</v>
      </c>
      <c r="E58" s="54" t="s">
        <v>251</v>
      </c>
      <c r="F58" s="54" t="s">
        <v>244</v>
      </c>
      <c r="G58" s="55">
        <f ca="1">IFERROR(INDEX(分期持仓明细!$B$5:$Y$200,G$82-4,MATCH(LEFT($A58,6),分期持仓明细!$B$3:$Y$3,0))*INDEX('实盘净值数据(iFinD公式)'!$B$5:$Y$1000,$B$81,MATCH($A58,'实盘净值数据(iFinD公式)'!$B$3:$Y$3,0))/INDEX('实盘净值数据(iFinD公式)'!$B$5:$Y$1000,MATCH(G$84,'实盘净值数据(iFinD公式)'!$A$5:$A$1000,0),MATCH($A58,'实盘净值数据(iFinD公式)'!$B$3:$Y$3,0))/G$85,G94)</f>
        <v>0</v>
      </c>
      <c r="H58" s="55">
        <f ca="1">IFERROR(INDEX(分期持仓明细!$B$5:$Y$200,H$82-4,MATCH(LEFT($A58,6),分期持仓明细!$B$3:$Y$3,0))*INDEX('实盘净值数据(iFinD公式)'!$B$5:$Y$1000,$B$81,MATCH($A58,'实盘净值数据(iFinD公式)'!$B$3:$Y$3,0))/INDEX('实盘净值数据(iFinD公式)'!$B$5:$Y$1000,MATCH(H$84,'实盘净值数据(iFinD公式)'!$A$5:$A$1000,0),MATCH($A58,'实盘净值数据(iFinD公式)'!$B$3:$Y$3,0))/H$85,H94)</f>
        <v>0</v>
      </c>
      <c r="I58" s="55">
        <f ca="1">IFERROR(INDEX(分期持仓明细!$B$5:$Y$200,I$82-4,MATCH(LEFT($A58,6),分期持仓明细!$B$3:$Y$3,0))*INDEX('实盘净值数据(iFinD公式)'!$B$5:$Y$1000,$B$81,MATCH($A58,'实盘净值数据(iFinD公式)'!$B$3:$Y$3,0))/INDEX('实盘净值数据(iFinD公式)'!$B$5:$Y$1000,MATCH(I$84,'实盘净值数据(iFinD公式)'!$A$5:$A$1000,0),MATCH($A58,'实盘净值数据(iFinD公式)'!$B$3:$Y$3,0))/I$85,I94)</f>
        <v>0</v>
      </c>
      <c r="J58" s="55">
        <f ca="1">IFERROR(INDEX(分期持仓明细!$B$5:$Y$200,J$82-4,MATCH(LEFT($A58,6),分期持仓明细!$B$3:$Y$3,0))*INDEX('实盘净值数据(iFinD公式)'!$B$5:$Y$1000,$B$81,MATCH($A58,'实盘净值数据(iFinD公式)'!$B$3:$Y$3,0))/INDEX('实盘净值数据(iFinD公式)'!$B$5:$Y$1000,MATCH(J$84,'实盘净值数据(iFinD公式)'!$A$5:$A$1000,0),MATCH($A58,'实盘净值数据(iFinD公式)'!$B$3:$Y$3,0))/J$85,J94)</f>
        <v>0</v>
      </c>
      <c r="K58" s="55">
        <f ca="1">IFERROR(INDEX(分期持仓明细!$B$5:$Y$200,K$82-4,MATCH(LEFT($A58,6),分期持仓明细!$B$3:$Y$3,0))*INDEX('实盘净值数据(iFinD公式)'!$B$5:$Y$1000,$B$81,MATCH($A58,'实盘净值数据(iFinD公式)'!$B$3:$Y$3,0))/INDEX('实盘净值数据(iFinD公式)'!$B$5:$Y$1000,MATCH(K$84,'实盘净值数据(iFinD公式)'!$A$5:$A$1000,0),MATCH($A58,'实盘净值数据(iFinD公式)'!$B$3:$Y$3,0))/K$85,K94)</f>
        <v>0</v>
      </c>
      <c r="L58" s="55">
        <f ca="1">IFERROR(INDEX(分期持仓明细!$B$5:$Y$200,L$82-4,MATCH(LEFT($A58,6),分期持仓明细!$B$3:$Y$3,0))*INDEX('实盘净值数据(iFinD公式)'!$B$5:$Y$1000,$B$81,MATCH($A58,'实盘净值数据(iFinD公式)'!$B$3:$Y$3,0))/INDEX('实盘净值数据(iFinD公式)'!$B$5:$Y$1000,MATCH(L$84,'实盘净值数据(iFinD公式)'!$A$5:$A$1000,0),MATCH($A58,'实盘净值数据(iFinD公式)'!$B$3:$Y$3,0))/L$85,L94)</f>
        <v>0</v>
      </c>
      <c r="M58" t="str">
        <f ca="1">IF(G58&gt;0,COUNTIF(G$53:G58,"&gt;0"),"")</f>
        <v/>
      </c>
      <c r="N58" t="str">
        <f ca="1">IF(H58&gt;0,COUNTIF(H$53:H58,"&gt;0"),"")</f>
        <v/>
      </c>
      <c r="O58" t="str">
        <f ca="1">IF(I58&gt;0,COUNTIF(I$53:I58,"&gt;0"),"")</f>
        <v/>
      </c>
      <c r="P58" t="str">
        <f ca="1">IF(J58&gt;0,COUNTIF(J$53:J58,"&gt;0"),"")</f>
        <v/>
      </c>
      <c r="Q58" t="str">
        <f ca="1">IF(K58&gt;0,COUNTIF(K$53:K58,"&gt;0"),"")</f>
        <v/>
      </c>
      <c r="R58" t="str">
        <f ca="1">IF(L58&gt;0,COUNTIF(L$53:L58,"&gt;0"),"")</f>
        <v/>
      </c>
    </row>
    <row r="59" spans="1:18" ht="13">
      <c r="A59" s="54" t="s">
        <v>35</v>
      </c>
      <c r="B59" s="52" t="s">
        <v>252</v>
      </c>
      <c r="C59" s="54" t="s">
        <v>242</v>
      </c>
      <c r="D59" s="54" t="s">
        <v>230</v>
      </c>
      <c r="E59" s="54" t="s">
        <v>251</v>
      </c>
      <c r="F59" s="54" t="s">
        <v>249</v>
      </c>
      <c r="G59" s="55">
        <f ca="1">IFERROR(INDEX(分期持仓明细!$B$5:$Y$200,G$82-4,MATCH(LEFT($A59,6),分期持仓明细!$B$3:$Y$3,0))*INDEX('实盘净值数据(iFinD公式)'!$B$5:$Y$1000,$B$81,MATCH($A59,'实盘净值数据(iFinD公式)'!$B$3:$Y$3,0))/INDEX('实盘净值数据(iFinD公式)'!$B$5:$Y$1000,MATCH(G$84,'实盘净值数据(iFinD公式)'!$A$5:$A$1000,0),MATCH($A59,'实盘净值数据(iFinD公式)'!$B$3:$Y$3,0))/G$85,G95)</f>
        <v>0</v>
      </c>
      <c r="H59" s="55">
        <f ca="1">IFERROR(INDEX(分期持仓明细!$B$5:$Y$200,H$82-4,MATCH(LEFT($A59,6),分期持仓明细!$B$3:$Y$3,0))*INDEX('实盘净值数据(iFinD公式)'!$B$5:$Y$1000,$B$81,MATCH($A59,'实盘净值数据(iFinD公式)'!$B$3:$Y$3,0))/INDEX('实盘净值数据(iFinD公式)'!$B$5:$Y$1000,MATCH(H$84,'实盘净值数据(iFinD公式)'!$A$5:$A$1000,0),MATCH($A59,'实盘净值数据(iFinD公式)'!$B$3:$Y$3,0))/H$85,H95)</f>
        <v>0</v>
      </c>
      <c r="I59" s="55">
        <f ca="1">IFERROR(INDEX(分期持仓明细!$B$5:$Y$200,I$82-4,MATCH(LEFT($A59,6),分期持仓明细!$B$3:$Y$3,0))*INDEX('实盘净值数据(iFinD公式)'!$B$5:$Y$1000,$B$81,MATCH($A59,'实盘净值数据(iFinD公式)'!$B$3:$Y$3,0))/INDEX('实盘净值数据(iFinD公式)'!$B$5:$Y$1000,MATCH(I$84,'实盘净值数据(iFinD公式)'!$A$5:$A$1000,0),MATCH($A59,'实盘净值数据(iFinD公式)'!$B$3:$Y$3,0))/I$85,I95)</f>
        <v>0</v>
      </c>
      <c r="J59" s="55">
        <f ca="1">IFERROR(INDEX(分期持仓明细!$B$5:$Y$200,J$82-4,MATCH(LEFT($A59,6),分期持仓明细!$B$3:$Y$3,0))*INDEX('实盘净值数据(iFinD公式)'!$B$5:$Y$1000,$B$81,MATCH($A59,'实盘净值数据(iFinD公式)'!$B$3:$Y$3,0))/INDEX('实盘净值数据(iFinD公式)'!$B$5:$Y$1000,MATCH(J$84,'实盘净值数据(iFinD公式)'!$A$5:$A$1000,0),MATCH($A59,'实盘净值数据(iFinD公式)'!$B$3:$Y$3,0))/J$85,J95)</f>
        <v>0</v>
      </c>
      <c r="K59" s="55">
        <f ca="1">IFERROR(INDEX(分期持仓明细!$B$5:$Y$200,K$82-4,MATCH(LEFT($A59,6),分期持仓明细!$B$3:$Y$3,0))*INDEX('实盘净值数据(iFinD公式)'!$B$5:$Y$1000,$B$81,MATCH($A59,'实盘净值数据(iFinD公式)'!$B$3:$Y$3,0))/INDEX('实盘净值数据(iFinD公式)'!$B$5:$Y$1000,MATCH(K$84,'实盘净值数据(iFinD公式)'!$A$5:$A$1000,0),MATCH($A59,'实盘净值数据(iFinD公式)'!$B$3:$Y$3,0))/K$85,K95)</f>
        <v>0</v>
      </c>
      <c r="L59" s="55">
        <f ca="1">IFERROR(INDEX(分期持仓明细!$B$5:$Y$200,L$82-4,MATCH(LEFT($A59,6),分期持仓明细!$B$3:$Y$3,0))*INDEX('实盘净值数据(iFinD公式)'!$B$5:$Y$1000,$B$81,MATCH($A59,'实盘净值数据(iFinD公式)'!$B$3:$Y$3,0))/INDEX('实盘净值数据(iFinD公式)'!$B$5:$Y$1000,MATCH(L$84,'实盘净值数据(iFinD公式)'!$A$5:$A$1000,0),MATCH($A59,'实盘净值数据(iFinD公式)'!$B$3:$Y$3,0))/L$85,L95)</f>
        <v>0</v>
      </c>
      <c r="M59" t="str">
        <f ca="1">IF(G59&gt;0,COUNTIF(G$53:G59,"&gt;0"),"")</f>
        <v/>
      </c>
      <c r="N59" t="str">
        <f ca="1">IF(H59&gt;0,COUNTIF(H$53:H59,"&gt;0"),"")</f>
        <v/>
      </c>
      <c r="O59" t="str">
        <f ca="1">IF(I59&gt;0,COUNTIF(I$53:I59,"&gt;0"),"")</f>
        <v/>
      </c>
      <c r="P59" t="str">
        <f ca="1">IF(J59&gt;0,COUNTIF(J$53:J59,"&gt;0"),"")</f>
        <v/>
      </c>
      <c r="Q59" t="str">
        <f ca="1">IF(K59&gt;0,COUNTIF(K$53:K59,"&gt;0"),"")</f>
        <v/>
      </c>
      <c r="R59" t="str">
        <f ca="1">IF(L59&gt;0,COUNTIF(L$53:L59,"&gt;0"),"")</f>
        <v/>
      </c>
    </row>
    <row r="60" spans="1:18" ht="13">
      <c r="A60" s="54" t="s">
        <v>36</v>
      </c>
      <c r="B60" s="52" t="s">
        <v>9</v>
      </c>
      <c r="C60" s="54" t="s">
        <v>242</v>
      </c>
      <c r="D60" s="54" t="s">
        <v>230</v>
      </c>
      <c r="E60" s="54" t="s">
        <v>243</v>
      </c>
      <c r="F60" s="54" t="s">
        <v>240</v>
      </c>
      <c r="G60" s="55">
        <f ca="1">IFERROR(INDEX(分期持仓明细!$B$5:$Y$200,G$82-4,MATCH(LEFT($A60,6),分期持仓明细!$B$3:$Y$3,0))*INDEX('实盘净值数据(iFinD公式)'!$B$5:$Y$1000,$B$81,MATCH($A60,'实盘净值数据(iFinD公式)'!$B$3:$Y$3,0))/INDEX('实盘净值数据(iFinD公式)'!$B$5:$Y$1000,MATCH(G$84,'实盘净值数据(iFinD公式)'!$A$5:$A$1000,0),MATCH($A60,'实盘净值数据(iFinD公式)'!$B$3:$Y$3,0))/G$85,G96)</f>
        <v>0</v>
      </c>
      <c r="H60" s="55">
        <f ca="1">IFERROR(INDEX(分期持仓明细!$B$5:$Y$200,H$82-4,MATCH(LEFT($A60,6),分期持仓明细!$B$3:$Y$3,0))*INDEX('实盘净值数据(iFinD公式)'!$B$5:$Y$1000,$B$81,MATCH($A60,'实盘净值数据(iFinD公式)'!$B$3:$Y$3,0))/INDEX('实盘净值数据(iFinD公式)'!$B$5:$Y$1000,MATCH(H$84,'实盘净值数据(iFinD公式)'!$A$5:$A$1000,0),MATCH($A60,'实盘净值数据(iFinD公式)'!$B$3:$Y$3,0))/H$85,H96)</f>
        <v>0</v>
      </c>
      <c r="I60" s="55">
        <f ca="1">IFERROR(INDEX(分期持仓明细!$B$5:$Y$200,I$82-4,MATCH(LEFT($A60,6),分期持仓明细!$B$3:$Y$3,0))*INDEX('实盘净值数据(iFinD公式)'!$B$5:$Y$1000,$B$81,MATCH($A60,'实盘净值数据(iFinD公式)'!$B$3:$Y$3,0))/INDEX('实盘净值数据(iFinD公式)'!$B$5:$Y$1000,MATCH(I$84,'实盘净值数据(iFinD公式)'!$A$5:$A$1000,0),MATCH($A60,'实盘净值数据(iFinD公式)'!$B$3:$Y$3,0))/I$85,I96)</f>
        <v>0.18367479560820632</v>
      </c>
      <c r="J60" s="55">
        <f ca="1">IFERROR(INDEX(分期持仓明细!$B$5:$Y$200,J$82-4,MATCH(LEFT($A60,6),分期持仓明细!$B$3:$Y$3,0))*INDEX('实盘净值数据(iFinD公式)'!$B$5:$Y$1000,$B$81,MATCH($A60,'实盘净值数据(iFinD公式)'!$B$3:$Y$3,0))/INDEX('实盘净值数据(iFinD公式)'!$B$5:$Y$1000,MATCH(J$84,'实盘净值数据(iFinD公式)'!$A$5:$A$1000,0),MATCH($A60,'实盘净值数据(iFinD公式)'!$B$3:$Y$3,0))/J$85,J96)</f>
        <v>1.0021122598703169E-2</v>
      </c>
      <c r="K60" s="55">
        <f ca="1">IFERROR(INDEX(分期持仓明细!$B$5:$Y$200,K$82-4,MATCH(LEFT($A60,6),分期持仓明细!$B$3:$Y$3,0))*INDEX('实盘净值数据(iFinD公式)'!$B$5:$Y$1000,$B$81,MATCH($A60,'实盘净值数据(iFinD公式)'!$B$3:$Y$3,0))/INDEX('实盘净值数据(iFinD公式)'!$B$5:$Y$1000,MATCH(K$84,'实盘净值数据(iFinD公式)'!$A$5:$A$1000,0),MATCH($A60,'实盘净值数据(iFinD公式)'!$B$3:$Y$3,0))/K$85,K96)</f>
        <v>0</v>
      </c>
      <c r="L60" s="55">
        <f ca="1">IFERROR(INDEX(分期持仓明细!$B$5:$Y$200,L$82-4,MATCH(LEFT($A60,6),分期持仓明细!$B$3:$Y$3,0))*INDEX('实盘净值数据(iFinD公式)'!$B$5:$Y$1000,$B$81,MATCH($A60,'实盘净值数据(iFinD公式)'!$B$3:$Y$3,0))/INDEX('实盘净值数据(iFinD公式)'!$B$5:$Y$1000,MATCH(L$84,'实盘净值数据(iFinD公式)'!$A$5:$A$1000,0),MATCH($A60,'实盘净值数据(iFinD公式)'!$B$3:$Y$3,0))/L$85,L96)</f>
        <v>2.960290242831326E-2</v>
      </c>
      <c r="M60" t="str">
        <f ca="1">IF(G60&gt;0,COUNTIF(G$53:G60,"&gt;0"),"")</f>
        <v/>
      </c>
      <c r="N60" t="str">
        <f ca="1">IF(H60&gt;0,COUNTIF(H$53:H60,"&gt;0"),"")</f>
        <v/>
      </c>
      <c r="O60">
        <f ca="1">IF(I60&gt;0,COUNTIF(I$53:I60,"&gt;0"),"")</f>
        <v>2</v>
      </c>
      <c r="P60">
        <f ca="1">IF(J60&gt;0,COUNTIF(J$53:J60,"&gt;0"),"")</f>
        <v>4</v>
      </c>
      <c r="Q60" t="str">
        <f ca="1">IF(K60&gt;0,COUNTIF(K$53:K60,"&gt;0"),"")</f>
        <v/>
      </c>
      <c r="R60">
        <f ca="1">IF(L60&gt;0,COUNTIF(L$53:L60,"&gt;0"),"")</f>
        <v>4</v>
      </c>
    </row>
    <row r="61" spans="1:18" ht="13">
      <c r="A61" s="54" t="s">
        <v>37</v>
      </c>
      <c r="B61" s="52" t="s">
        <v>253</v>
      </c>
      <c r="C61" s="54" t="s">
        <v>242</v>
      </c>
      <c r="D61" s="54" t="s">
        <v>230</v>
      </c>
      <c r="E61" s="54" t="s">
        <v>243</v>
      </c>
      <c r="F61" s="54" t="s">
        <v>244</v>
      </c>
      <c r="G61" s="55">
        <f ca="1">IFERROR(INDEX(分期持仓明细!$B$5:$Y$200,G$82-4,MATCH(LEFT($A61,6),分期持仓明细!$B$3:$Y$3,0))*INDEX('实盘净值数据(iFinD公式)'!$B$5:$Y$1000,$B$81,MATCH($A61,'实盘净值数据(iFinD公式)'!$B$3:$Y$3,0))/INDEX('实盘净值数据(iFinD公式)'!$B$5:$Y$1000,MATCH(G$84,'实盘净值数据(iFinD公式)'!$A$5:$A$1000,0),MATCH($A61,'实盘净值数据(iFinD公式)'!$B$3:$Y$3,0))/G$85,G97)</f>
        <v>0.24137329028928453</v>
      </c>
      <c r="H61" s="55">
        <f ca="1">IFERROR(INDEX(分期持仓明细!$B$5:$Y$200,H$82-4,MATCH(LEFT($A61,6),分期持仓明细!$B$3:$Y$3,0))*INDEX('实盘净值数据(iFinD公式)'!$B$5:$Y$1000,$B$81,MATCH($A61,'实盘净值数据(iFinD公式)'!$B$3:$Y$3,0))/INDEX('实盘净值数据(iFinD公式)'!$B$5:$Y$1000,MATCH(H$84,'实盘净值数据(iFinD公式)'!$A$5:$A$1000,0),MATCH($A61,'实盘净值数据(iFinD公式)'!$B$3:$Y$3,0))/H$85,H97)</f>
        <v>0.23964713549716302</v>
      </c>
      <c r="I61" s="55">
        <f ca="1">IFERROR(INDEX(分期持仓明细!$B$5:$Y$200,I$82-4,MATCH(LEFT($A61,6),分期持仓明细!$B$3:$Y$3,0))*INDEX('实盘净值数据(iFinD公式)'!$B$5:$Y$1000,$B$81,MATCH($A61,'实盘净值数据(iFinD公式)'!$B$3:$Y$3,0))/INDEX('实盘净值数据(iFinD公式)'!$B$5:$Y$1000,MATCH(I$84,'实盘净值数据(iFinD公式)'!$A$5:$A$1000,0),MATCH($A61,'实盘净值数据(iFinD公式)'!$B$3:$Y$3,0))/I$85,I97)</f>
        <v>0</v>
      </c>
      <c r="J61" s="55">
        <f ca="1">IFERROR(INDEX(分期持仓明细!$B$5:$Y$200,J$82-4,MATCH(LEFT($A61,6),分期持仓明细!$B$3:$Y$3,0))*INDEX('实盘净值数据(iFinD公式)'!$B$5:$Y$1000,$B$81,MATCH($A61,'实盘净值数据(iFinD公式)'!$B$3:$Y$3,0))/INDEX('实盘净值数据(iFinD公式)'!$B$5:$Y$1000,MATCH(J$84,'实盘净值数据(iFinD公式)'!$A$5:$A$1000,0),MATCH($A61,'实盘净值数据(iFinD公式)'!$B$3:$Y$3,0))/J$85,J97)</f>
        <v>0</v>
      </c>
      <c r="K61" s="55">
        <f ca="1">IFERROR(INDEX(分期持仓明细!$B$5:$Y$200,K$82-4,MATCH(LEFT($A61,6),分期持仓明细!$B$3:$Y$3,0))*INDEX('实盘净值数据(iFinD公式)'!$B$5:$Y$1000,$B$81,MATCH($A61,'实盘净值数据(iFinD公式)'!$B$3:$Y$3,0))/INDEX('实盘净值数据(iFinD公式)'!$B$5:$Y$1000,MATCH(K$84,'实盘净值数据(iFinD公式)'!$A$5:$A$1000,0),MATCH($A61,'实盘净值数据(iFinD公式)'!$B$3:$Y$3,0))/K$85,K97)</f>
        <v>1.2865071660060262E-2</v>
      </c>
      <c r="L61" s="55">
        <f ca="1">IFERROR(INDEX(分期持仓明细!$B$5:$Y$200,L$82-4,MATCH(LEFT($A61,6),分期持仓明细!$B$3:$Y$3,0))*INDEX('实盘净值数据(iFinD公式)'!$B$5:$Y$1000,$B$81,MATCH($A61,'实盘净值数据(iFinD公式)'!$B$3:$Y$3,0))/INDEX('实盘净值数据(iFinD公式)'!$B$5:$Y$1000,MATCH(L$84,'实盘净值数据(iFinD公式)'!$A$5:$A$1000,0),MATCH($A61,'实盘净值数据(iFinD公式)'!$B$3:$Y$3,0))/L$85,L97)</f>
        <v>0</v>
      </c>
      <c r="M61">
        <f ca="1">IF(G61&gt;0,COUNTIF(G$53:G61,"&gt;0"),"")</f>
        <v>3</v>
      </c>
      <c r="N61">
        <f ca="1">IF(H61&gt;0,COUNTIF(H$53:H61,"&gt;0"),"")</f>
        <v>3</v>
      </c>
      <c r="O61" t="str">
        <f ca="1">IF(I61&gt;0,COUNTIF(I$53:I61,"&gt;0"),"")</f>
        <v/>
      </c>
      <c r="P61" t="str">
        <f ca="1">IF(J61&gt;0,COUNTIF(J$53:J61,"&gt;0"),"")</f>
        <v/>
      </c>
      <c r="Q61">
        <f ca="1">IF(K61&gt;0,COUNTIF(K$53:K61,"&gt;0"),"")</f>
        <v>5</v>
      </c>
      <c r="R61" t="str">
        <f ca="1">IF(L61&gt;0,COUNTIF(L$53:L61,"&gt;0"),"")</f>
        <v/>
      </c>
    </row>
    <row r="62" spans="1:18" ht="13">
      <c r="A62" s="54" t="s">
        <v>38</v>
      </c>
      <c r="B62" s="52" t="s">
        <v>254</v>
      </c>
      <c r="C62" s="54" t="s">
        <v>242</v>
      </c>
      <c r="D62" s="54" t="s">
        <v>230</v>
      </c>
      <c r="E62" s="54" t="s">
        <v>243</v>
      </c>
      <c r="F62" s="54" t="s">
        <v>249</v>
      </c>
      <c r="G62" s="55">
        <f ca="1">IFERROR(INDEX(分期持仓明细!$B$5:$Y$200,G$82-4,MATCH(LEFT($A62,6),分期持仓明细!$B$3:$Y$3,0))*INDEX('实盘净值数据(iFinD公式)'!$B$5:$Y$1000,$B$81,MATCH($A62,'实盘净值数据(iFinD公式)'!$B$3:$Y$3,0))/INDEX('实盘净值数据(iFinD公式)'!$B$5:$Y$1000,MATCH(G$84,'实盘净值数据(iFinD公式)'!$A$5:$A$1000,0),MATCH($A62,'实盘净值数据(iFinD公式)'!$B$3:$Y$3,0))/G$85,G98)</f>
        <v>0</v>
      </c>
      <c r="H62" s="55">
        <f ca="1">IFERROR(INDEX(分期持仓明细!$B$5:$Y$200,H$82-4,MATCH(LEFT($A62,6),分期持仓明细!$B$3:$Y$3,0))*INDEX('实盘净值数据(iFinD公式)'!$B$5:$Y$1000,$B$81,MATCH($A62,'实盘净值数据(iFinD公式)'!$B$3:$Y$3,0))/INDEX('实盘净值数据(iFinD公式)'!$B$5:$Y$1000,MATCH(H$84,'实盘净值数据(iFinD公式)'!$A$5:$A$1000,0),MATCH($A62,'实盘净值数据(iFinD公式)'!$B$3:$Y$3,0))/H$85,H98)</f>
        <v>0</v>
      </c>
      <c r="I62" s="55">
        <f ca="1">IFERROR(INDEX(分期持仓明细!$B$5:$Y$200,I$82-4,MATCH(LEFT($A62,6),分期持仓明细!$B$3:$Y$3,0))*INDEX('实盘净值数据(iFinD公式)'!$B$5:$Y$1000,$B$81,MATCH($A62,'实盘净值数据(iFinD公式)'!$B$3:$Y$3,0))/INDEX('实盘净值数据(iFinD公式)'!$B$5:$Y$1000,MATCH(I$84,'实盘净值数据(iFinD公式)'!$A$5:$A$1000,0),MATCH($A62,'实盘净值数据(iFinD公式)'!$B$3:$Y$3,0))/I$85,I98)</f>
        <v>0.23202409282778078</v>
      </c>
      <c r="J62" s="55">
        <f ca="1">IFERROR(INDEX(分期持仓明细!$B$5:$Y$200,J$82-4,MATCH(LEFT($A62,6),分期持仓明细!$B$3:$Y$3,0))*INDEX('实盘净值数据(iFinD公式)'!$B$5:$Y$1000,$B$81,MATCH($A62,'实盘净值数据(iFinD公式)'!$B$3:$Y$3,0))/INDEX('实盘净值数据(iFinD公式)'!$B$5:$Y$1000,MATCH(J$84,'实盘净值数据(iFinD公式)'!$A$5:$A$1000,0),MATCH($A62,'实盘净值数据(iFinD公式)'!$B$3:$Y$3,0))/J$85,J98)</f>
        <v>1.1617207649453905E-2</v>
      </c>
      <c r="K62" s="55">
        <f ca="1">IFERROR(INDEX(分期持仓明细!$B$5:$Y$200,K$82-4,MATCH(LEFT($A62,6),分期持仓明细!$B$3:$Y$3,0))*INDEX('实盘净值数据(iFinD公式)'!$B$5:$Y$1000,$B$81,MATCH($A62,'实盘净值数据(iFinD公式)'!$B$3:$Y$3,0))/INDEX('实盘净值数据(iFinD公式)'!$B$5:$Y$1000,MATCH(K$84,'实盘净值数据(iFinD公式)'!$A$5:$A$1000,0),MATCH($A62,'实盘净值数据(iFinD公式)'!$B$3:$Y$3,0))/K$85,K98)</f>
        <v>0</v>
      </c>
      <c r="L62" s="55">
        <f ca="1">IFERROR(INDEX(分期持仓明细!$B$5:$Y$200,L$82-4,MATCH(LEFT($A62,6),分期持仓明细!$B$3:$Y$3,0))*INDEX('实盘净值数据(iFinD公式)'!$B$5:$Y$1000,$B$81,MATCH($A62,'实盘净值数据(iFinD公式)'!$B$3:$Y$3,0))/INDEX('实盘净值数据(iFinD公式)'!$B$5:$Y$1000,MATCH(L$84,'实盘净值数据(iFinD公式)'!$A$5:$A$1000,0),MATCH($A62,'实盘净值数据(iFinD公式)'!$B$3:$Y$3,0))/L$85,L98)</f>
        <v>3.431666097300666E-2</v>
      </c>
      <c r="M62" t="str">
        <f ca="1">IF(G62&gt;0,COUNTIF(G$53:G62,"&gt;0"),"")</f>
        <v/>
      </c>
      <c r="N62" t="str">
        <f ca="1">IF(H62&gt;0,COUNTIF(H$53:H62,"&gt;0"),"")</f>
        <v/>
      </c>
      <c r="O62">
        <f ca="1">IF(I62&gt;0,COUNTIF(I$53:I62,"&gt;0"),"")</f>
        <v>3</v>
      </c>
      <c r="P62">
        <f ca="1">IF(J62&gt;0,COUNTIF(J$53:J62,"&gt;0"),"")</f>
        <v>5</v>
      </c>
      <c r="Q62" t="str">
        <f ca="1">IF(K62&gt;0,COUNTIF(K$53:K62,"&gt;0"),"")</f>
        <v/>
      </c>
      <c r="R62">
        <f ca="1">IF(L62&gt;0,COUNTIF(L$53:L62,"&gt;0"),"")</f>
        <v>5</v>
      </c>
    </row>
    <row r="63" spans="1:18" ht="13">
      <c r="A63" s="54" t="s">
        <v>39</v>
      </c>
      <c r="B63" s="52" t="s">
        <v>255</v>
      </c>
      <c r="C63" s="54" t="s">
        <v>242</v>
      </c>
      <c r="D63" s="54" t="s">
        <v>246</v>
      </c>
      <c r="E63" s="54" t="s">
        <v>246</v>
      </c>
      <c r="F63" s="54" t="s">
        <v>247</v>
      </c>
      <c r="G63" s="55">
        <f ca="1">IFERROR(INDEX(分期持仓明细!$B$5:$Y$200,G$82-4,MATCH(LEFT($A63,6),分期持仓明细!$B$3:$Y$3,0))*INDEX('实盘净值数据(iFinD公式)'!$B$5:$Y$1000,$B$81,MATCH($A63,'实盘净值数据(iFinD公式)'!$B$3:$Y$3,0))/INDEX('实盘净值数据(iFinD公式)'!$B$5:$Y$1000,MATCH(G$84,'实盘净值数据(iFinD公式)'!$A$5:$A$1000,0),MATCH($A63,'实盘净值数据(iFinD公式)'!$B$3:$Y$3,0))/G$85,G99)</f>
        <v>0</v>
      </c>
      <c r="H63" s="55">
        <f ca="1">IFERROR(INDEX(分期持仓明细!$B$5:$Y$200,H$82-4,MATCH(LEFT($A63,6),分期持仓明细!$B$3:$Y$3,0))*INDEX('实盘净值数据(iFinD公式)'!$B$5:$Y$1000,$B$81,MATCH($A63,'实盘净值数据(iFinD公式)'!$B$3:$Y$3,0))/INDEX('实盘净值数据(iFinD公式)'!$B$5:$Y$1000,MATCH(H$84,'实盘净值数据(iFinD公式)'!$A$5:$A$1000,0),MATCH($A63,'实盘净值数据(iFinD公式)'!$B$3:$Y$3,0))/H$85,H99)</f>
        <v>0</v>
      </c>
      <c r="I63" s="55">
        <f ca="1">IFERROR(INDEX(分期持仓明细!$B$5:$Y$200,I$82-4,MATCH(LEFT($A63,6),分期持仓明细!$B$3:$Y$3,0))*INDEX('实盘净值数据(iFinD公式)'!$B$5:$Y$1000,$B$81,MATCH($A63,'实盘净值数据(iFinD公式)'!$B$3:$Y$3,0))/INDEX('实盘净值数据(iFinD公式)'!$B$5:$Y$1000,MATCH(I$84,'实盘净值数据(iFinD公式)'!$A$5:$A$1000,0),MATCH($A63,'实盘净值数据(iFinD公式)'!$B$3:$Y$3,0))/I$85,I99)</f>
        <v>0</v>
      </c>
      <c r="J63" s="55">
        <f ca="1">IFERROR(INDEX(分期持仓明细!$B$5:$Y$200,J$82-4,MATCH(LEFT($A63,6),分期持仓明细!$B$3:$Y$3,0))*INDEX('实盘净值数据(iFinD公式)'!$B$5:$Y$1000,$B$81,MATCH($A63,'实盘净值数据(iFinD公式)'!$B$3:$Y$3,0))/INDEX('实盘净值数据(iFinD公式)'!$B$5:$Y$1000,MATCH(J$84,'实盘净值数据(iFinD公式)'!$A$5:$A$1000,0),MATCH($A63,'实盘净值数据(iFinD公式)'!$B$3:$Y$3,0))/J$85,J99)</f>
        <v>0</v>
      </c>
      <c r="K63" s="55">
        <f ca="1">IFERROR(INDEX(分期持仓明细!$B$5:$Y$200,K$82-4,MATCH(LEFT($A63,6),分期持仓明细!$B$3:$Y$3,0))*INDEX('实盘净值数据(iFinD公式)'!$B$5:$Y$1000,$B$81,MATCH($A63,'实盘净值数据(iFinD公式)'!$B$3:$Y$3,0))/INDEX('实盘净值数据(iFinD公式)'!$B$5:$Y$1000,MATCH(K$84,'实盘净值数据(iFinD公式)'!$A$5:$A$1000,0),MATCH($A63,'实盘净值数据(iFinD公式)'!$B$3:$Y$3,0))/K$85,K99)</f>
        <v>1.3392757713321954E-2</v>
      </c>
      <c r="L63" s="55">
        <f ca="1">IFERROR(INDEX(分期持仓明细!$B$5:$Y$200,L$82-4,MATCH(LEFT($A63,6),分期持仓明细!$B$3:$Y$3,0))*INDEX('实盘净值数据(iFinD公式)'!$B$5:$Y$1000,$B$81,MATCH($A63,'实盘净值数据(iFinD公式)'!$B$3:$Y$3,0))/INDEX('实盘净值数据(iFinD公式)'!$B$5:$Y$1000,MATCH(L$84,'实盘净值数据(iFinD公式)'!$A$5:$A$1000,0),MATCH($A63,'实盘净值数据(iFinD公式)'!$B$3:$Y$3,0))/L$85,L99)</f>
        <v>0</v>
      </c>
      <c r="M63" t="str">
        <f ca="1">IF(G63&gt;0,COUNTIF(G$53:G63,"&gt;0"),"")</f>
        <v/>
      </c>
      <c r="N63" t="str">
        <f ca="1">IF(H63&gt;0,COUNTIF(H$53:H63,"&gt;0"),"")</f>
        <v/>
      </c>
      <c r="O63" t="str">
        <f ca="1">IF(I63&gt;0,COUNTIF(I$53:I63,"&gt;0"),"")</f>
        <v/>
      </c>
      <c r="P63" t="str">
        <f ca="1">IF(J63&gt;0,COUNTIF(J$53:J63,"&gt;0"),"")</f>
        <v/>
      </c>
      <c r="Q63">
        <f ca="1">IF(K63&gt;0,COUNTIF(K$53:K63,"&gt;0"),"")</f>
        <v>6</v>
      </c>
      <c r="R63" t="str">
        <f ca="1">IF(L63&gt;0,COUNTIF(L$53:L63,"&gt;0"),"")</f>
        <v/>
      </c>
    </row>
    <row r="64" spans="1:18" ht="13">
      <c r="A64" s="54" t="s">
        <v>40</v>
      </c>
      <c r="B64" s="52" t="s">
        <v>256</v>
      </c>
      <c r="C64" s="54" t="s">
        <v>242</v>
      </c>
      <c r="D64" s="54" t="s">
        <v>246</v>
      </c>
      <c r="E64" s="54" t="s">
        <v>246</v>
      </c>
      <c r="F64" s="54" t="s">
        <v>249</v>
      </c>
      <c r="G64" s="55">
        <f ca="1">IFERROR(INDEX(分期持仓明细!$B$5:$Y$200,G$82-4,MATCH(LEFT($A64,6),分期持仓明细!$B$3:$Y$3,0))*INDEX('实盘净值数据(iFinD公式)'!$B$5:$Y$1000,$B$81,MATCH($A64,'实盘净值数据(iFinD公式)'!$B$3:$Y$3,0))/INDEX('实盘净值数据(iFinD公式)'!$B$5:$Y$1000,MATCH(G$84,'实盘净值数据(iFinD公式)'!$A$5:$A$1000,0),MATCH($A64,'实盘净值数据(iFinD公式)'!$B$3:$Y$3,0))/G$85,G100)</f>
        <v>0</v>
      </c>
      <c r="H64" s="55">
        <f ca="1">IFERROR(INDEX(分期持仓明细!$B$5:$Y$200,H$82-4,MATCH(LEFT($A64,6),分期持仓明细!$B$3:$Y$3,0))*INDEX('实盘净值数据(iFinD公式)'!$B$5:$Y$1000,$B$81,MATCH($A64,'实盘净值数据(iFinD公式)'!$B$3:$Y$3,0))/INDEX('实盘净值数据(iFinD公式)'!$B$5:$Y$1000,MATCH(H$84,'实盘净值数据(iFinD公式)'!$A$5:$A$1000,0),MATCH($A64,'实盘净值数据(iFinD公式)'!$B$3:$Y$3,0))/H$85,H100)</f>
        <v>0</v>
      </c>
      <c r="I64" s="55">
        <f ca="1">IFERROR(INDEX(分期持仓明细!$B$5:$Y$200,I$82-4,MATCH(LEFT($A64,6),分期持仓明细!$B$3:$Y$3,0))*INDEX('实盘净值数据(iFinD公式)'!$B$5:$Y$1000,$B$81,MATCH($A64,'实盘净值数据(iFinD公式)'!$B$3:$Y$3,0))/INDEX('实盘净值数据(iFinD公式)'!$B$5:$Y$1000,MATCH(I$84,'实盘净值数据(iFinD公式)'!$A$5:$A$1000,0),MATCH($A64,'实盘净值数据(iFinD公式)'!$B$3:$Y$3,0))/I$85,I100)</f>
        <v>0</v>
      </c>
      <c r="J64" s="55">
        <f ca="1">IFERROR(INDEX(分期持仓明细!$B$5:$Y$200,J$82-4,MATCH(LEFT($A64,6),分期持仓明细!$B$3:$Y$3,0))*INDEX('实盘净值数据(iFinD公式)'!$B$5:$Y$1000,$B$81,MATCH($A64,'实盘净值数据(iFinD公式)'!$B$3:$Y$3,0))/INDEX('实盘净值数据(iFinD公式)'!$B$5:$Y$1000,MATCH(J$84,'实盘净值数据(iFinD公式)'!$A$5:$A$1000,0),MATCH($A64,'实盘净值数据(iFinD公式)'!$B$3:$Y$3,0))/J$85,J100)</f>
        <v>1.3222136674086104E-2</v>
      </c>
      <c r="K64" s="55">
        <f ca="1">IFERROR(INDEX(分期持仓明细!$B$5:$Y$200,K$82-4,MATCH(LEFT($A64,6),分期持仓明细!$B$3:$Y$3,0))*INDEX('实盘净值数据(iFinD公式)'!$B$5:$Y$1000,$B$81,MATCH($A64,'实盘净值数据(iFinD公式)'!$B$3:$Y$3,0))/INDEX('实盘净值数据(iFinD公式)'!$B$5:$Y$1000,MATCH(K$84,'实盘净值数据(iFinD公式)'!$A$5:$A$1000,0),MATCH($A64,'实盘净值数据(iFinD公式)'!$B$3:$Y$3,0))/K$85,K100)</f>
        <v>0</v>
      </c>
      <c r="L64" s="55">
        <f ca="1">IFERROR(INDEX(分期持仓明细!$B$5:$Y$200,L$82-4,MATCH(LEFT($A64,6),分期持仓明细!$B$3:$Y$3,0))*INDEX('实盘净值数据(iFinD公式)'!$B$5:$Y$1000,$B$81,MATCH($A64,'实盘净值数据(iFinD公式)'!$B$3:$Y$3,0))/INDEX('实盘净值数据(iFinD公式)'!$B$5:$Y$1000,MATCH(L$84,'实盘净值数据(iFinD公式)'!$A$5:$A$1000,0),MATCH($A64,'实盘净值数据(iFinD公式)'!$B$3:$Y$3,0))/L$85,L100)</f>
        <v>3.9060602677413625E-2</v>
      </c>
      <c r="M64" t="str">
        <f ca="1">IF(G64&gt;0,COUNTIF(G$53:G64,"&gt;0"),"")</f>
        <v/>
      </c>
      <c r="N64" t="str">
        <f ca="1">IF(H64&gt;0,COUNTIF(H$53:H64,"&gt;0"),"")</f>
        <v/>
      </c>
      <c r="O64" t="str">
        <f ca="1">IF(I64&gt;0,COUNTIF(I$53:I64,"&gt;0"),"")</f>
        <v/>
      </c>
      <c r="P64">
        <f ca="1">IF(J64&gt;0,COUNTIF(J$53:J64,"&gt;0"),"")</f>
        <v>6</v>
      </c>
      <c r="Q64" t="str">
        <f ca="1">IF(K64&gt;0,COUNTIF(K$53:K64,"&gt;0"),"")</f>
        <v/>
      </c>
      <c r="R64">
        <f ca="1">IF(L64&gt;0,COUNTIF(L$53:L64,"&gt;0"),"")</f>
        <v>6</v>
      </c>
    </row>
    <row r="65" spans="1:18" ht="13">
      <c r="A65" s="54" t="s">
        <v>41</v>
      </c>
      <c r="B65" s="52" t="s">
        <v>257</v>
      </c>
      <c r="C65" s="54" t="s">
        <v>242</v>
      </c>
      <c r="D65" s="54" t="s">
        <v>246</v>
      </c>
      <c r="E65" s="54" t="s">
        <v>246</v>
      </c>
      <c r="F65" s="54" t="s">
        <v>247</v>
      </c>
      <c r="G65" s="55">
        <f ca="1">IFERROR(INDEX(分期持仓明细!$B$5:$Y$200,G$82-4,MATCH(LEFT($A65,6),分期持仓明细!$B$3:$Y$3,0))*INDEX('实盘净值数据(iFinD公式)'!$B$5:$Y$1000,$B$81,MATCH($A65,'实盘净值数据(iFinD公式)'!$B$3:$Y$3,0))/INDEX('实盘净值数据(iFinD公式)'!$B$5:$Y$1000,MATCH(G$84,'实盘净值数据(iFinD公式)'!$A$5:$A$1000,0),MATCH($A65,'实盘净值数据(iFinD公式)'!$B$3:$Y$3,0))/G$85,G101)</f>
        <v>0</v>
      </c>
      <c r="H65" s="55">
        <f ca="1">IFERROR(INDEX(分期持仓明细!$B$5:$Y$200,H$82-4,MATCH(LEFT($A65,6),分期持仓明细!$B$3:$Y$3,0))*INDEX('实盘净值数据(iFinD公式)'!$B$5:$Y$1000,$B$81,MATCH($A65,'实盘净值数据(iFinD公式)'!$B$3:$Y$3,0))/INDEX('实盘净值数据(iFinD公式)'!$B$5:$Y$1000,MATCH(H$84,'实盘净值数据(iFinD公式)'!$A$5:$A$1000,0),MATCH($A65,'实盘净值数据(iFinD公式)'!$B$3:$Y$3,0))/H$85,H101)</f>
        <v>0</v>
      </c>
      <c r="I65" s="55">
        <f ca="1">IFERROR(INDEX(分期持仓明细!$B$5:$Y$200,I$82-4,MATCH(LEFT($A65,6),分期持仓明细!$B$3:$Y$3,0))*INDEX('实盘净值数据(iFinD公式)'!$B$5:$Y$1000,$B$81,MATCH($A65,'实盘净值数据(iFinD公式)'!$B$3:$Y$3,0))/INDEX('实盘净值数据(iFinD公式)'!$B$5:$Y$1000,MATCH(I$84,'实盘净值数据(iFinD公式)'!$A$5:$A$1000,0),MATCH($A65,'实盘净值数据(iFinD公式)'!$B$3:$Y$3,0))/I$85,I101)</f>
        <v>0</v>
      </c>
      <c r="J65" s="55">
        <f ca="1">IFERROR(INDEX(分期持仓明细!$B$5:$Y$200,J$82-4,MATCH(LEFT($A65,6),分期持仓明细!$B$3:$Y$3,0))*INDEX('实盘净值数据(iFinD公式)'!$B$5:$Y$1000,$B$81,MATCH($A65,'实盘净值数据(iFinD公式)'!$B$3:$Y$3,0))/INDEX('实盘净值数据(iFinD公式)'!$B$5:$Y$1000,MATCH(J$84,'实盘净值数据(iFinD公式)'!$A$5:$A$1000,0),MATCH($A65,'实盘净值数据(iFinD公式)'!$B$3:$Y$3,0))/J$85,J101)</f>
        <v>0</v>
      </c>
      <c r="K65" s="55">
        <f ca="1">IFERROR(INDEX(分期持仓明细!$B$5:$Y$200,K$82-4,MATCH(LEFT($A65,6),分期持仓明细!$B$3:$Y$3,0))*INDEX('实盘净值数据(iFinD公式)'!$B$5:$Y$1000,$B$81,MATCH($A65,'实盘净值数据(iFinD公式)'!$B$3:$Y$3,0))/INDEX('实盘净值数据(iFinD公式)'!$B$5:$Y$1000,MATCH(K$84,'实盘净值数据(iFinD公式)'!$A$5:$A$1000,0),MATCH($A65,'实盘净值数据(iFinD公式)'!$B$3:$Y$3,0))/K$85,K101)</f>
        <v>1.3578567706181941E-2</v>
      </c>
      <c r="L65" s="55">
        <f ca="1">IFERROR(INDEX(分期持仓明细!$B$5:$Y$200,L$82-4,MATCH(LEFT($A65,6),分期持仓明细!$B$3:$Y$3,0))*INDEX('实盘净值数据(iFinD公式)'!$B$5:$Y$1000,$B$81,MATCH($A65,'实盘净值数据(iFinD公式)'!$B$3:$Y$3,0))/INDEX('实盘净值数据(iFinD公式)'!$B$5:$Y$1000,MATCH(L$84,'实盘净值数据(iFinD公式)'!$A$5:$A$1000,0),MATCH($A65,'实盘净值数据(iFinD公式)'!$B$3:$Y$3,0))/L$85,L101)</f>
        <v>0</v>
      </c>
      <c r="M65" t="str">
        <f ca="1">IF(G65&gt;0,COUNTIF(G$53:G65,"&gt;0"),"")</f>
        <v/>
      </c>
      <c r="N65" t="str">
        <f ca="1">IF(H65&gt;0,COUNTIF(H$53:H65,"&gt;0"),"")</f>
        <v/>
      </c>
      <c r="O65" t="str">
        <f ca="1">IF(I65&gt;0,COUNTIF(I$53:I65,"&gt;0"),"")</f>
        <v/>
      </c>
      <c r="P65" t="str">
        <f ca="1">IF(J65&gt;0,COUNTIF(J$53:J65,"&gt;0"),"")</f>
        <v/>
      </c>
      <c r="Q65">
        <f ca="1">IF(K65&gt;0,COUNTIF(K$53:K65,"&gt;0"),"")</f>
        <v>7</v>
      </c>
      <c r="R65" t="str">
        <f ca="1">IF(L65&gt;0,COUNTIF(L$53:L65,"&gt;0"),"")</f>
        <v/>
      </c>
    </row>
    <row r="66" spans="1:18" ht="13">
      <c r="A66" s="54" t="s">
        <v>42</v>
      </c>
      <c r="B66" s="52" t="s">
        <v>258</v>
      </c>
      <c r="C66" s="54" t="s">
        <v>242</v>
      </c>
      <c r="D66" s="54" t="s">
        <v>246</v>
      </c>
      <c r="E66" s="54" t="s">
        <v>246</v>
      </c>
      <c r="F66" s="54" t="s">
        <v>249</v>
      </c>
      <c r="G66" s="55">
        <f ca="1">IFERROR(INDEX(分期持仓明细!$B$5:$Y$200,G$82-4,MATCH(LEFT($A66,6),分期持仓明细!$B$3:$Y$3,0))*INDEX('实盘净值数据(iFinD公式)'!$B$5:$Y$1000,$B$81,MATCH($A66,'实盘净值数据(iFinD公式)'!$B$3:$Y$3,0))/INDEX('实盘净值数据(iFinD公式)'!$B$5:$Y$1000,MATCH(G$84,'实盘净值数据(iFinD公式)'!$A$5:$A$1000,0),MATCH($A66,'实盘净值数据(iFinD公式)'!$B$3:$Y$3,0))/G$85,G102)</f>
        <v>0</v>
      </c>
      <c r="H66" s="55">
        <f ca="1">IFERROR(INDEX(分期持仓明细!$B$5:$Y$200,H$82-4,MATCH(LEFT($A66,6),分期持仓明细!$B$3:$Y$3,0))*INDEX('实盘净值数据(iFinD公式)'!$B$5:$Y$1000,$B$81,MATCH($A66,'实盘净值数据(iFinD公式)'!$B$3:$Y$3,0))/INDEX('实盘净值数据(iFinD公式)'!$B$5:$Y$1000,MATCH(H$84,'实盘净值数据(iFinD公式)'!$A$5:$A$1000,0),MATCH($A66,'实盘净值数据(iFinD公式)'!$B$3:$Y$3,0))/H$85,H102)</f>
        <v>0</v>
      </c>
      <c r="I66" s="55">
        <f ca="1">IFERROR(INDEX(分期持仓明细!$B$5:$Y$200,I$82-4,MATCH(LEFT($A66,6),分期持仓明细!$B$3:$Y$3,0))*INDEX('实盘净值数据(iFinD公式)'!$B$5:$Y$1000,$B$81,MATCH($A66,'实盘净值数据(iFinD公式)'!$B$3:$Y$3,0))/INDEX('实盘净值数据(iFinD公式)'!$B$5:$Y$1000,MATCH(I$84,'实盘净值数据(iFinD公式)'!$A$5:$A$1000,0),MATCH($A66,'实盘净值数据(iFinD公式)'!$B$3:$Y$3,0))/I$85,I102)</f>
        <v>0</v>
      </c>
      <c r="J66" s="55">
        <f ca="1">IFERROR(INDEX(分期持仓明细!$B$5:$Y$200,J$82-4,MATCH(LEFT($A66,6),分期持仓明细!$B$3:$Y$3,0))*INDEX('实盘净值数据(iFinD公式)'!$B$5:$Y$1000,$B$81,MATCH($A66,'实盘净值数据(iFinD公式)'!$B$3:$Y$3,0))/INDEX('实盘净值数据(iFinD公式)'!$B$5:$Y$1000,MATCH(J$84,'实盘净值数据(iFinD公式)'!$A$5:$A$1000,0),MATCH($A66,'实盘净值数据(iFinD公式)'!$B$3:$Y$3,0))/J$85,J102)</f>
        <v>1.328046657628317E-2</v>
      </c>
      <c r="K66" s="55">
        <f ca="1">IFERROR(INDEX(分期持仓明细!$B$5:$Y$200,K$82-4,MATCH(LEFT($A66,6),分期持仓明细!$B$3:$Y$3,0))*INDEX('实盘净值数据(iFinD公式)'!$B$5:$Y$1000,$B$81,MATCH($A66,'实盘净值数据(iFinD公式)'!$B$3:$Y$3,0))/INDEX('实盘净值数据(iFinD公式)'!$B$5:$Y$1000,MATCH(K$84,'实盘净值数据(iFinD公式)'!$A$5:$A$1000,0),MATCH($A66,'实盘净值数据(iFinD公式)'!$B$3:$Y$3,0))/K$85,K102)</f>
        <v>0</v>
      </c>
      <c r="L66" s="55">
        <f ca="1">IFERROR(INDEX(分期持仓明细!$B$5:$Y$200,L$82-4,MATCH(LEFT($A66,6),分期持仓明细!$B$3:$Y$3,0))*INDEX('实盘净值数据(iFinD公式)'!$B$5:$Y$1000,$B$81,MATCH($A66,'实盘净值数据(iFinD公式)'!$B$3:$Y$3,0))/INDEX('实盘净值数据(iFinD公式)'!$B$5:$Y$1000,MATCH(L$84,'实盘净值数据(iFinD公式)'!$A$5:$A$1000,0),MATCH($A66,'实盘净值数据(iFinD公式)'!$B$3:$Y$3,0))/L$85,L102)</f>
        <v>3.9230013226256258E-2</v>
      </c>
      <c r="M66" t="str">
        <f ca="1">IF(G66&gt;0,COUNTIF(G$53:G66,"&gt;0"),"")</f>
        <v/>
      </c>
      <c r="N66" t="str">
        <f ca="1">IF(H66&gt;0,COUNTIF(H$53:H66,"&gt;0"),"")</f>
        <v/>
      </c>
      <c r="O66" t="str">
        <f ca="1">IF(I66&gt;0,COUNTIF(I$53:I66,"&gt;0"),"")</f>
        <v/>
      </c>
      <c r="P66">
        <f ca="1">IF(J66&gt;0,COUNTIF(J$53:J66,"&gt;0"),"")</f>
        <v>7</v>
      </c>
      <c r="Q66" t="str">
        <f ca="1">IF(K66&gt;0,COUNTIF(K$53:K66,"&gt;0"),"")</f>
        <v/>
      </c>
      <c r="R66">
        <f ca="1">IF(L66&gt;0,COUNTIF(L$53:L66,"&gt;0"),"")</f>
        <v>7</v>
      </c>
    </row>
    <row r="67" spans="1:18" ht="13">
      <c r="A67" s="54" t="s">
        <v>43</v>
      </c>
      <c r="B67" s="52" t="s">
        <v>259</v>
      </c>
      <c r="C67" s="54" t="s">
        <v>242</v>
      </c>
      <c r="D67" s="54" t="s">
        <v>230</v>
      </c>
      <c r="E67" s="54" t="s">
        <v>243</v>
      </c>
      <c r="F67" s="54" t="s">
        <v>244</v>
      </c>
      <c r="G67" s="55">
        <f ca="1">IFERROR(INDEX(分期持仓明细!$B$5:$Y$200,G$82-4,MATCH(LEFT($A67,6),分期持仓明细!$B$3:$Y$3,0))*INDEX('实盘净值数据(iFinD公式)'!$B$5:$Y$1000,$B$81,MATCH($A67,'实盘净值数据(iFinD公式)'!$B$3:$Y$3,0))/INDEX('实盘净值数据(iFinD公式)'!$B$5:$Y$1000,MATCH(G$84,'实盘净值数据(iFinD公式)'!$A$5:$A$1000,0),MATCH($A67,'实盘净值数据(iFinD公式)'!$B$3:$Y$3,0))/G$85,G103)</f>
        <v>0.16943217579531708</v>
      </c>
      <c r="H67" s="55">
        <f ca="1">IFERROR(INDEX(分期持仓明细!$B$5:$Y$200,H$82-4,MATCH(LEFT($A67,6),分期持仓明细!$B$3:$Y$3,0))*INDEX('实盘净值数据(iFinD公式)'!$B$5:$Y$1000,$B$81,MATCH($A67,'实盘净值数据(iFinD公式)'!$B$3:$Y$3,0))/INDEX('实盘净值数据(iFinD公式)'!$B$5:$Y$1000,MATCH(H$84,'实盘净值数据(iFinD公式)'!$A$5:$A$1000,0),MATCH($A67,'实盘净值数据(iFinD公式)'!$B$3:$Y$3,0))/H$85,H103)</f>
        <v>0.16930521349539523</v>
      </c>
      <c r="I67" s="55">
        <f ca="1">IFERROR(INDEX(分期持仓明细!$B$5:$Y$200,I$82-4,MATCH(LEFT($A67,6),分期持仓明细!$B$3:$Y$3,0))*INDEX('实盘净值数据(iFinD公式)'!$B$5:$Y$1000,$B$81,MATCH($A67,'实盘净值数据(iFinD公式)'!$B$3:$Y$3,0))/INDEX('实盘净值数据(iFinD公式)'!$B$5:$Y$1000,MATCH(I$84,'实盘净值数据(iFinD公式)'!$A$5:$A$1000,0),MATCH($A67,'实盘净值数据(iFinD公式)'!$B$3:$Y$3,0))/I$85,I103)</f>
        <v>0</v>
      </c>
      <c r="J67" s="55">
        <f ca="1">IFERROR(INDEX(分期持仓明细!$B$5:$Y$200,J$82-4,MATCH(LEFT($A67,6),分期持仓明细!$B$3:$Y$3,0))*INDEX('实盘净值数据(iFinD公式)'!$B$5:$Y$1000,$B$81,MATCH($A67,'实盘净值数据(iFinD公式)'!$B$3:$Y$3,0))/INDEX('实盘净值数据(iFinD公式)'!$B$5:$Y$1000,MATCH(J$84,'实盘净值数据(iFinD公式)'!$A$5:$A$1000,0),MATCH($A67,'实盘净值数据(iFinD公式)'!$B$3:$Y$3,0))/J$85,J103)</f>
        <v>0</v>
      </c>
      <c r="K67" s="55">
        <f ca="1">IFERROR(INDEX(分期持仓明细!$B$5:$Y$200,K$82-4,MATCH(LEFT($A67,6),分期持仓明细!$B$3:$Y$3,0))*INDEX('实盘净值数据(iFinD公式)'!$B$5:$Y$1000,$B$81,MATCH($A67,'实盘净值数据(iFinD公式)'!$B$3:$Y$3,0))/INDEX('实盘净值数据(iFinD公式)'!$B$5:$Y$1000,MATCH(K$84,'实盘净值数据(iFinD公式)'!$A$5:$A$1000,0),MATCH($A67,'实盘净值数据(iFinD公式)'!$B$3:$Y$3,0))/K$85,K103)</f>
        <v>9.5964053454647268E-3</v>
      </c>
      <c r="L67" s="55">
        <f ca="1">IFERROR(INDEX(分期持仓明细!$B$5:$Y$200,L$82-4,MATCH(LEFT($A67,6),分期持仓明细!$B$3:$Y$3,0))*INDEX('实盘净值数据(iFinD公式)'!$B$5:$Y$1000,$B$81,MATCH($A67,'实盘净值数据(iFinD公式)'!$B$3:$Y$3,0))/INDEX('实盘净值数据(iFinD公式)'!$B$5:$Y$1000,MATCH(L$84,'实盘净值数据(iFinD公式)'!$A$5:$A$1000,0),MATCH($A67,'实盘净值数据(iFinD公式)'!$B$3:$Y$3,0))/L$85,L103)</f>
        <v>0</v>
      </c>
      <c r="M67">
        <f ca="1">IF(G67&gt;0,COUNTIF(G$53:G67,"&gt;0"),"")</f>
        <v>4</v>
      </c>
      <c r="N67">
        <f ca="1">IF(H67&gt;0,COUNTIF(H$53:H67,"&gt;0"),"")</f>
        <v>4</v>
      </c>
      <c r="O67" t="str">
        <f ca="1">IF(I67&gt;0,COUNTIF(I$53:I67,"&gt;0"),"")</f>
        <v/>
      </c>
      <c r="P67" t="str">
        <f ca="1">IF(J67&gt;0,COUNTIF(J$53:J67,"&gt;0"),"")</f>
        <v/>
      </c>
      <c r="Q67">
        <f ca="1">IF(K67&gt;0,COUNTIF(K$53:K67,"&gt;0"),"")</f>
        <v>8</v>
      </c>
      <c r="R67" t="str">
        <f ca="1">IF(L67&gt;0,COUNTIF(L$53:L67,"&gt;0"),"")</f>
        <v/>
      </c>
    </row>
    <row r="68" spans="1:18" ht="13">
      <c r="A68" s="54" t="s">
        <v>44</v>
      </c>
      <c r="B68" s="52" t="s">
        <v>260</v>
      </c>
      <c r="C68" s="54" t="s">
        <v>242</v>
      </c>
      <c r="D68" s="54" t="s">
        <v>230</v>
      </c>
      <c r="E68" s="54" t="s">
        <v>243</v>
      </c>
      <c r="F68" s="54" t="s">
        <v>244</v>
      </c>
      <c r="G68" s="55">
        <f ca="1">IFERROR(INDEX(分期持仓明细!$B$5:$Y$200,G$82-4,MATCH(LEFT($A68,6),分期持仓明细!$B$3:$Y$3,0))*INDEX('实盘净值数据(iFinD公式)'!$B$5:$Y$1000,$B$81,MATCH($A68,'实盘净值数据(iFinD公式)'!$B$3:$Y$3,0))/INDEX('实盘净值数据(iFinD公式)'!$B$5:$Y$1000,MATCH(G$84,'实盘净值数据(iFinD公式)'!$A$5:$A$1000,0),MATCH($A68,'实盘净值数据(iFinD公式)'!$B$3:$Y$3,0))/G$85,G104)</f>
        <v>0.17413271284042564</v>
      </c>
      <c r="H68" s="55">
        <f ca="1">IFERROR(INDEX(分期持仓明细!$B$5:$Y$200,H$82-4,MATCH(LEFT($A68,6),分期持仓明细!$B$3:$Y$3,0))*INDEX('实盘净值数据(iFinD公式)'!$B$5:$Y$1000,$B$81,MATCH($A68,'实盘净值数据(iFinD公式)'!$B$3:$Y$3,0))/INDEX('实盘净值数据(iFinD公式)'!$B$5:$Y$1000,MATCH(H$84,'实盘净值数据(iFinD公式)'!$A$5:$A$1000,0),MATCH($A68,'实盘净值数据(iFinD公式)'!$B$3:$Y$3,0))/H$85,H104)</f>
        <v>0.1749247978627323</v>
      </c>
      <c r="I68" s="55">
        <f ca="1">IFERROR(INDEX(分期持仓明细!$B$5:$Y$200,I$82-4,MATCH(LEFT($A68,6),分期持仓明细!$B$3:$Y$3,0))*INDEX('实盘净值数据(iFinD公式)'!$B$5:$Y$1000,$B$81,MATCH($A68,'实盘净值数据(iFinD公式)'!$B$3:$Y$3,0))/INDEX('实盘净值数据(iFinD公式)'!$B$5:$Y$1000,MATCH(I$84,'实盘净值数据(iFinD公式)'!$A$5:$A$1000,0),MATCH($A68,'实盘净值数据(iFinD公式)'!$B$3:$Y$3,0))/I$85,I104)</f>
        <v>0</v>
      </c>
      <c r="J68" s="55">
        <f ca="1">IFERROR(INDEX(分期持仓明细!$B$5:$Y$200,J$82-4,MATCH(LEFT($A68,6),分期持仓明细!$B$3:$Y$3,0))*INDEX('实盘净值数据(iFinD公式)'!$B$5:$Y$1000,$B$81,MATCH($A68,'实盘净值数据(iFinD公式)'!$B$3:$Y$3,0))/INDEX('实盘净值数据(iFinD公式)'!$B$5:$Y$1000,MATCH(J$84,'实盘净值数据(iFinD公式)'!$A$5:$A$1000,0),MATCH($A68,'实盘净值数据(iFinD公式)'!$B$3:$Y$3,0))/J$85,J104)</f>
        <v>0</v>
      </c>
      <c r="K68" s="55">
        <f ca="1">IFERROR(INDEX(分期持仓明细!$B$5:$Y$200,K$82-4,MATCH(LEFT($A68,6),分期持仓明细!$B$3:$Y$3,0))*INDEX('实盘净值数据(iFinD公式)'!$B$5:$Y$1000,$B$81,MATCH($A68,'实盘净值数据(iFinD公式)'!$B$3:$Y$3,0))/INDEX('实盘净值数据(iFinD公式)'!$B$5:$Y$1000,MATCH(K$84,'实盘净值数据(iFinD公式)'!$A$5:$A$1000,0),MATCH($A68,'实盘净值数据(iFinD公式)'!$B$3:$Y$3,0))/K$85,K104)</f>
        <v>9.7259004278846695E-3</v>
      </c>
      <c r="L68" s="55">
        <f ca="1">IFERROR(INDEX(分期持仓明细!$B$5:$Y$200,L$82-4,MATCH(LEFT($A68,6),分期持仓明细!$B$3:$Y$3,0))*INDEX('实盘净值数据(iFinD公式)'!$B$5:$Y$1000,$B$81,MATCH($A68,'实盘净值数据(iFinD公式)'!$B$3:$Y$3,0))/INDEX('实盘净值数据(iFinD公式)'!$B$5:$Y$1000,MATCH(L$84,'实盘净值数据(iFinD公式)'!$A$5:$A$1000,0),MATCH($A68,'实盘净值数据(iFinD公式)'!$B$3:$Y$3,0))/L$85,L104)</f>
        <v>0</v>
      </c>
      <c r="M68">
        <f ca="1">IF(G68&gt;0,COUNTIF(G$53:G68,"&gt;0"),"")</f>
        <v>5</v>
      </c>
      <c r="N68">
        <f ca="1">IF(H68&gt;0,COUNTIF(H$53:H68,"&gt;0"),"")</f>
        <v>5</v>
      </c>
      <c r="O68" t="str">
        <f ca="1">IF(I68&gt;0,COUNTIF(I$53:I68,"&gt;0"),"")</f>
        <v/>
      </c>
      <c r="P68" t="str">
        <f ca="1">IF(J68&gt;0,COUNTIF(J$53:J68,"&gt;0"),"")</f>
        <v/>
      </c>
      <c r="Q68">
        <f ca="1">IF(K68&gt;0,COUNTIF(K$53:K68,"&gt;0"),"")</f>
        <v>9</v>
      </c>
      <c r="R68" t="str">
        <f ca="1">IF(L68&gt;0,COUNTIF(L$53:L68,"&gt;0"),"")</f>
        <v/>
      </c>
    </row>
    <row r="69" spans="1:18" ht="13">
      <c r="A69" s="54" t="s">
        <v>45</v>
      </c>
      <c r="B69" s="52" t="s">
        <v>261</v>
      </c>
      <c r="C69" s="54" t="s">
        <v>242</v>
      </c>
      <c r="D69" s="54" t="s">
        <v>230</v>
      </c>
      <c r="E69" s="54" t="s">
        <v>243</v>
      </c>
      <c r="F69" s="54" t="s">
        <v>249</v>
      </c>
      <c r="G69" s="55">
        <f ca="1">IFERROR(INDEX(分期持仓明细!$B$5:$Y$200,G$82-4,MATCH(LEFT($A69,6),分期持仓明细!$B$3:$Y$3,0))*INDEX('实盘净值数据(iFinD公式)'!$B$5:$Y$1000,$B$81,MATCH($A69,'实盘净值数据(iFinD公式)'!$B$3:$Y$3,0))/INDEX('实盘净值数据(iFinD公式)'!$B$5:$Y$1000,MATCH(G$84,'实盘净值数据(iFinD公式)'!$A$5:$A$1000,0),MATCH($A69,'实盘净值数据(iFinD公式)'!$B$3:$Y$3,0))/G$85,G105)</f>
        <v>0</v>
      </c>
      <c r="H69" s="55">
        <f ca="1">IFERROR(INDEX(分期持仓明细!$B$5:$Y$200,H$82-4,MATCH(LEFT($A69,6),分期持仓明细!$B$3:$Y$3,0))*INDEX('实盘净值数据(iFinD公式)'!$B$5:$Y$1000,$B$81,MATCH($A69,'实盘净值数据(iFinD公式)'!$B$3:$Y$3,0))/INDEX('实盘净值数据(iFinD公式)'!$B$5:$Y$1000,MATCH(H$84,'实盘净值数据(iFinD公式)'!$A$5:$A$1000,0),MATCH($A69,'实盘净值数据(iFinD公式)'!$B$3:$Y$3,0))/H$85,H105)</f>
        <v>0</v>
      </c>
      <c r="I69" s="55">
        <f ca="1">IFERROR(INDEX(分期持仓明细!$B$5:$Y$200,I$82-4,MATCH(LEFT($A69,6),分期持仓明细!$B$3:$Y$3,0))*INDEX('实盘净值数据(iFinD公式)'!$B$5:$Y$1000,$B$81,MATCH($A69,'实盘净值数据(iFinD公式)'!$B$3:$Y$3,0))/INDEX('实盘净值数据(iFinD公式)'!$B$5:$Y$1000,MATCH(I$84,'实盘净值数据(iFinD公式)'!$A$5:$A$1000,0),MATCH($A69,'实盘净值数据(iFinD公式)'!$B$3:$Y$3,0))/I$85,I105)</f>
        <v>0.17253291074432461</v>
      </c>
      <c r="J69" s="55">
        <f ca="1">IFERROR(INDEX(分期持仓明细!$B$5:$Y$200,J$82-4,MATCH(LEFT($A69,6),分期持仓明细!$B$3:$Y$3,0))*INDEX('实盘净值数据(iFinD公式)'!$B$5:$Y$1000,$B$81,MATCH($A69,'实盘净值数据(iFinD公式)'!$B$3:$Y$3,0))/INDEX('实盘净值数据(iFinD公式)'!$B$5:$Y$1000,MATCH(J$84,'实盘净值数据(iFinD公式)'!$A$5:$A$1000,0),MATCH($A69,'实盘净值数据(iFinD公式)'!$B$3:$Y$3,0))/J$85,J105)</f>
        <v>9.444151388350976E-3</v>
      </c>
      <c r="K69" s="55">
        <f ca="1">IFERROR(INDEX(分期持仓明细!$B$5:$Y$200,K$82-4,MATCH(LEFT($A69,6),分期持仓明细!$B$3:$Y$3,0))*INDEX('实盘净值数据(iFinD公式)'!$B$5:$Y$1000,$B$81,MATCH($A69,'实盘净值数据(iFinD公式)'!$B$3:$Y$3,0))/INDEX('实盘净值数据(iFinD公式)'!$B$5:$Y$1000,MATCH(K$84,'实盘净值数据(iFinD公式)'!$A$5:$A$1000,0),MATCH($A69,'实盘净值数据(iFinD公式)'!$B$3:$Y$3,0))/K$85,K105)</f>
        <v>0</v>
      </c>
      <c r="L69" s="55">
        <f ca="1">IFERROR(INDEX(分期持仓明细!$B$5:$Y$200,L$82-4,MATCH(LEFT($A69,6),分期持仓明细!$B$3:$Y$3,0))*INDEX('实盘净值数据(iFinD公式)'!$B$5:$Y$1000,$B$81,MATCH($A69,'实盘净值数据(iFinD公式)'!$B$3:$Y$3,0))/INDEX('实盘净值数据(iFinD公式)'!$B$5:$Y$1000,MATCH(L$84,'实盘净值数据(iFinD公式)'!$A$5:$A$1000,0),MATCH($A69,'实盘净值数据(iFinD公式)'!$B$3:$Y$3,0))/L$85,L105)</f>
        <v>2.7899242922259121E-2</v>
      </c>
      <c r="M69" t="str">
        <f ca="1">IF(G69&gt;0,COUNTIF(G$53:G69,"&gt;0"),"")</f>
        <v/>
      </c>
      <c r="N69" t="str">
        <f ca="1">IF(H69&gt;0,COUNTIF(H$53:H69,"&gt;0"),"")</f>
        <v/>
      </c>
      <c r="O69">
        <f ca="1">IF(I69&gt;0,COUNTIF(I$53:I69,"&gt;0"),"")</f>
        <v>4</v>
      </c>
      <c r="P69">
        <f ca="1">IF(J69&gt;0,COUNTIF(J$53:J69,"&gt;0"),"")</f>
        <v>8</v>
      </c>
      <c r="Q69" t="str">
        <f ca="1">IF(K69&gt;0,COUNTIF(K$53:K69,"&gt;0"),"")</f>
        <v/>
      </c>
      <c r="R69">
        <f ca="1">IF(L69&gt;0,COUNTIF(L$53:L69,"&gt;0"),"")</f>
        <v>8</v>
      </c>
    </row>
    <row r="70" spans="1:18" ht="13">
      <c r="A70" s="54" t="s">
        <v>46</v>
      </c>
      <c r="B70" s="52" t="s">
        <v>262</v>
      </c>
      <c r="C70" s="54" t="s">
        <v>242</v>
      </c>
      <c r="D70" s="54" t="s">
        <v>230</v>
      </c>
      <c r="E70" s="54" t="s">
        <v>243</v>
      </c>
      <c r="F70" s="54" t="s">
        <v>249</v>
      </c>
      <c r="G70" s="55">
        <f ca="1">IFERROR(INDEX(分期持仓明细!$B$5:$Y$200,G$82-4,MATCH(LEFT($A70,6),分期持仓明细!$B$3:$Y$3,0))*INDEX('实盘净值数据(iFinD公式)'!$B$5:$Y$1000,$B$81,MATCH($A70,'实盘净值数据(iFinD公式)'!$B$3:$Y$3,0))/INDEX('实盘净值数据(iFinD公式)'!$B$5:$Y$1000,MATCH(G$84,'实盘净值数据(iFinD公式)'!$A$5:$A$1000,0),MATCH($A70,'实盘净值数据(iFinD公式)'!$B$3:$Y$3,0))/G$85,G106)</f>
        <v>0</v>
      </c>
      <c r="H70" s="55">
        <f ca="1">IFERROR(INDEX(分期持仓明细!$B$5:$Y$200,H$82-4,MATCH(LEFT($A70,6),分期持仓明细!$B$3:$Y$3,0))*INDEX('实盘净值数据(iFinD公式)'!$B$5:$Y$1000,$B$81,MATCH($A70,'实盘净值数据(iFinD公式)'!$B$3:$Y$3,0))/INDEX('实盘净值数据(iFinD公式)'!$B$5:$Y$1000,MATCH(H$84,'实盘净值数据(iFinD公式)'!$A$5:$A$1000,0),MATCH($A70,'实盘净值数据(iFinD公式)'!$B$3:$Y$3,0))/H$85,H106)</f>
        <v>0</v>
      </c>
      <c r="I70" s="55">
        <f ca="1">IFERROR(INDEX(分期持仓明细!$B$5:$Y$200,I$82-4,MATCH(LEFT($A70,6),分期持仓明细!$B$3:$Y$3,0))*INDEX('实盘净值数据(iFinD公式)'!$B$5:$Y$1000,$B$81,MATCH($A70,'实盘净值数据(iFinD公式)'!$B$3:$Y$3,0))/INDEX('实盘净值数据(iFinD公式)'!$B$5:$Y$1000,MATCH(I$84,'实盘净值数据(iFinD公式)'!$A$5:$A$1000,0),MATCH($A70,'实盘净值数据(iFinD公式)'!$B$3:$Y$3,0))/I$85,I106)</f>
        <v>0.1711017940336319</v>
      </c>
      <c r="J70" s="55">
        <f ca="1">IFERROR(INDEX(分期持仓明细!$B$5:$Y$200,J$82-4,MATCH(LEFT($A70,6),分期持仓明细!$B$3:$Y$3,0))*INDEX('实盘净值数据(iFinD公式)'!$B$5:$Y$1000,$B$81,MATCH($A70,'实盘净值数据(iFinD公式)'!$B$3:$Y$3,0))/INDEX('实盘净值数据(iFinD公式)'!$B$5:$Y$1000,MATCH(J$84,'实盘净值数据(iFinD公式)'!$A$5:$A$1000,0),MATCH($A70,'实盘净值数据(iFinD公式)'!$B$3:$Y$3,0))/J$85,J106)</f>
        <v>9.3363926628513335E-3</v>
      </c>
      <c r="K70" s="55">
        <f ca="1">IFERROR(INDEX(分期持仓明细!$B$5:$Y$200,K$82-4,MATCH(LEFT($A70,6),分期持仓明细!$B$3:$Y$3,0))*INDEX('实盘净值数据(iFinD公式)'!$B$5:$Y$1000,$B$81,MATCH($A70,'实盘净值数据(iFinD公式)'!$B$3:$Y$3,0))/INDEX('实盘净值数据(iFinD公式)'!$B$5:$Y$1000,MATCH(K$84,'实盘净值数据(iFinD公式)'!$A$5:$A$1000,0),MATCH($A70,'实盘净值数据(iFinD公式)'!$B$3:$Y$3,0))/K$85,K106)</f>
        <v>0</v>
      </c>
      <c r="L70" s="55">
        <f ca="1">IFERROR(INDEX(分期持仓明细!$B$5:$Y$200,L$82-4,MATCH(LEFT($A70,6),分期持仓明细!$B$3:$Y$3,0))*INDEX('实盘净值数据(iFinD公式)'!$B$5:$Y$1000,$B$81,MATCH($A70,'实盘净值数据(iFinD公式)'!$B$3:$Y$3,0))/INDEX('实盘净值数据(iFinD公式)'!$B$5:$Y$1000,MATCH(L$84,'实盘净值数据(iFinD公式)'!$A$5:$A$1000,0),MATCH($A70,'实盘净值数据(iFinD公式)'!$B$3:$Y$3,0))/L$85,L106)</f>
        <v>2.7581824998290091E-2</v>
      </c>
      <c r="M70" t="str">
        <f ca="1">IF(G70&gt;0,COUNTIF(G$53:G70,"&gt;0"),"")</f>
        <v/>
      </c>
      <c r="N70" t="str">
        <f ca="1">IF(H70&gt;0,COUNTIF(H$53:H70,"&gt;0"),"")</f>
        <v/>
      </c>
      <c r="O70">
        <f ca="1">IF(I70&gt;0,COUNTIF(I$53:I70,"&gt;0"),"")</f>
        <v>5</v>
      </c>
      <c r="P70">
        <f ca="1">IF(J70&gt;0,COUNTIF(J$53:J70,"&gt;0"),"")</f>
        <v>9</v>
      </c>
      <c r="Q70" t="str">
        <f ca="1">IF(K70&gt;0,COUNTIF(K$53:K70,"&gt;0"),"")</f>
        <v/>
      </c>
      <c r="R70">
        <f ca="1">IF(L70&gt;0,COUNTIF(L$53:L70,"&gt;0"),"")</f>
        <v>9</v>
      </c>
    </row>
    <row r="71" spans="1:18" ht="13">
      <c r="A71" s="54" t="s">
        <v>47</v>
      </c>
      <c r="B71" s="52" t="s">
        <v>263</v>
      </c>
      <c r="C71" s="54" t="s">
        <v>242</v>
      </c>
      <c r="D71" s="54" t="s">
        <v>230</v>
      </c>
      <c r="E71" s="54" t="s">
        <v>251</v>
      </c>
      <c r="F71" s="54" t="s">
        <v>244</v>
      </c>
      <c r="G71" s="55">
        <f ca="1">IFERROR(INDEX(分期持仓明细!$B$5:$Y$200,G$82-4,MATCH(LEFT($A71,6),分期持仓明细!$B$3:$Y$3,0))*INDEX('实盘净值数据(iFinD公式)'!$B$5:$Y$1000,$B$81,MATCH($A71,'实盘净值数据(iFinD公式)'!$B$3:$Y$3,0))/INDEX('实盘净值数据(iFinD公式)'!$B$5:$Y$1000,MATCH(G$84,'实盘净值数据(iFinD公式)'!$A$5:$A$1000,0),MATCH($A71,'实盘净值数据(iFinD公式)'!$B$3:$Y$3,0))/G$85,G107)</f>
        <v>0.12784444461942124</v>
      </c>
      <c r="H71" s="55">
        <f ca="1">IFERROR(INDEX(分期持仓明细!$B$5:$Y$200,H$82-4,MATCH(LEFT($A71,6),分期持仓明细!$B$3:$Y$3,0))*INDEX('实盘净值数据(iFinD公式)'!$B$5:$Y$1000,$B$81,MATCH($A71,'实盘净值数据(iFinD公式)'!$B$3:$Y$3,0))/INDEX('实盘净值数据(iFinD公式)'!$B$5:$Y$1000,MATCH(H$84,'实盘净值数据(iFinD公式)'!$A$5:$A$1000,0),MATCH($A71,'实盘净值数据(iFinD公式)'!$B$3:$Y$3,0))/H$85,H107)</f>
        <v>0.12845890387182801</v>
      </c>
      <c r="I71" s="55">
        <f ca="1">IFERROR(INDEX(分期持仓明细!$B$5:$Y$200,I$82-4,MATCH(LEFT($A71,6),分期持仓明细!$B$3:$Y$3,0))*INDEX('实盘净值数据(iFinD公式)'!$B$5:$Y$1000,$B$81,MATCH($A71,'实盘净值数据(iFinD公式)'!$B$3:$Y$3,0))/INDEX('实盘净值数据(iFinD公式)'!$B$5:$Y$1000,MATCH(I$84,'实盘净值数据(iFinD公式)'!$A$5:$A$1000,0),MATCH($A71,'实盘净值数据(iFinD公式)'!$B$3:$Y$3,0))/I$85,I107)</f>
        <v>0</v>
      </c>
      <c r="J71" s="55">
        <f ca="1">IFERROR(INDEX(分期持仓明细!$B$5:$Y$200,J$82-4,MATCH(LEFT($A71,6),分期持仓明细!$B$3:$Y$3,0))*INDEX('实盘净值数据(iFinD公式)'!$B$5:$Y$1000,$B$81,MATCH($A71,'实盘净值数据(iFinD公式)'!$B$3:$Y$3,0))/INDEX('实盘净值数据(iFinD公式)'!$B$5:$Y$1000,MATCH(J$84,'实盘净值数据(iFinD公式)'!$A$5:$A$1000,0),MATCH($A71,'实盘净值数据(iFinD公式)'!$B$3:$Y$3,0))/J$85,J107)</f>
        <v>0</v>
      </c>
      <c r="K71" s="55">
        <f ca="1">IFERROR(INDEX(分期持仓明细!$B$5:$Y$200,K$82-4,MATCH(LEFT($A71,6),分期持仓明细!$B$3:$Y$3,0))*INDEX('实盘净值数据(iFinD公式)'!$B$5:$Y$1000,$B$81,MATCH($A71,'实盘净值数据(iFinD公式)'!$B$3:$Y$3,0))/INDEX('实盘净值数据(iFinD公式)'!$B$5:$Y$1000,MATCH(K$84,'实盘净值数据(iFinD公式)'!$A$5:$A$1000,0),MATCH($A71,'实盘净值数据(iFinD公式)'!$B$3:$Y$3,0))/K$85,K107)</f>
        <v>6.1186374358579917E-3</v>
      </c>
      <c r="L71" s="55">
        <f ca="1">IFERROR(INDEX(分期持仓明细!$B$5:$Y$200,L$82-4,MATCH(LEFT($A71,6),分期持仓明细!$B$3:$Y$3,0))*INDEX('实盘净值数据(iFinD公式)'!$B$5:$Y$1000,$B$81,MATCH($A71,'实盘净值数据(iFinD公式)'!$B$3:$Y$3,0))/INDEX('实盘净值数据(iFinD公式)'!$B$5:$Y$1000,MATCH(L$84,'实盘净值数据(iFinD公式)'!$A$5:$A$1000,0),MATCH($A71,'实盘净值数据(iFinD公式)'!$B$3:$Y$3,0))/L$85,L107)</f>
        <v>0</v>
      </c>
      <c r="M71">
        <f ca="1">IF(G71&gt;0,COUNTIF(G$53:G71,"&gt;0"),"")</f>
        <v>6</v>
      </c>
      <c r="N71">
        <f ca="1">IF(H71&gt;0,COUNTIF(H$53:H71,"&gt;0"),"")</f>
        <v>6</v>
      </c>
      <c r="O71" t="str">
        <f ca="1">IF(I71&gt;0,COUNTIF(I$53:I71,"&gt;0"),"")</f>
        <v/>
      </c>
      <c r="P71" t="str">
        <f ca="1">IF(J71&gt;0,COUNTIF(J$53:J71,"&gt;0"),"")</f>
        <v/>
      </c>
      <c r="Q71">
        <f ca="1">IF(K71&gt;0,COUNTIF(K$53:K71,"&gt;0"),"")</f>
        <v>10</v>
      </c>
      <c r="R71" t="str">
        <f ca="1">IF(L71&gt;0,COUNTIF(L$53:L71,"&gt;0"),"")</f>
        <v/>
      </c>
    </row>
    <row r="72" spans="1:18" ht="13">
      <c r="A72" s="54" t="s">
        <v>48</v>
      </c>
      <c r="B72" s="52" t="s">
        <v>264</v>
      </c>
      <c r="C72" s="54" t="s">
        <v>242</v>
      </c>
      <c r="D72" s="54" t="s">
        <v>230</v>
      </c>
      <c r="E72" s="54" t="s">
        <v>251</v>
      </c>
      <c r="F72" s="54" t="s">
        <v>249</v>
      </c>
      <c r="G72" s="55">
        <f ca="1">IFERROR(INDEX(分期持仓明细!$B$5:$Y$200,G$82-4,MATCH(LEFT($A72,6),分期持仓明细!$B$3:$Y$3,0))*INDEX('实盘净值数据(iFinD公式)'!$B$5:$Y$1000,$B$81,MATCH($A72,'实盘净值数据(iFinD公式)'!$B$3:$Y$3,0))/INDEX('实盘净值数据(iFinD公式)'!$B$5:$Y$1000,MATCH(G$84,'实盘净值数据(iFinD公式)'!$A$5:$A$1000,0),MATCH($A72,'实盘净值数据(iFinD公式)'!$B$3:$Y$3,0))/G$85,G108)</f>
        <v>0</v>
      </c>
      <c r="H72" s="55">
        <f ca="1">IFERROR(INDEX(分期持仓明细!$B$5:$Y$200,H$82-4,MATCH(LEFT($A72,6),分期持仓明细!$B$3:$Y$3,0))*INDEX('实盘净值数据(iFinD公式)'!$B$5:$Y$1000,$B$81,MATCH($A72,'实盘净值数据(iFinD公式)'!$B$3:$Y$3,0))/INDEX('实盘净值数据(iFinD公式)'!$B$5:$Y$1000,MATCH(H$84,'实盘净值数据(iFinD公式)'!$A$5:$A$1000,0),MATCH($A72,'实盘净值数据(iFinD公式)'!$B$3:$Y$3,0))/H$85,H108)</f>
        <v>0</v>
      </c>
      <c r="I72" s="55">
        <f ca="1">IFERROR(INDEX(分期持仓明细!$B$5:$Y$200,I$82-4,MATCH(LEFT($A72,6),分期持仓明细!$B$3:$Y$3,0))*INDEX('实盘净值数据(iFinD公式)'!$B$5:$Y$1000,$B$81,MATCH($A72,'实盘净值数据(iFinD公式)'!$B$3:$Y$3,0))/INDEX('实盘净值数据(iFinD公式)'!$B$5:$Y$1000,MATCH(I$84,'实盘净值数据(iFinD公式)'!$A$5:$A$1000,0),MATCH($A72,'实盘净值数据(iFinD公式)'!$B$3:$Y$3,0))/I$85,I108)</f>
        <v>0.12382021055911398</v>
      </c>
      <c r="J72" s="55">
        <f ca="1">IFERROR(INDEX(分期持仓明细!$B$5:$Y$200,J$82-4,MATCH(LEFT($A72,6),分期持仓明细!$B$3:$Y$3,0))*INDEX('实盘净值数据(iFinD公式)'!$B$5:$Y$1000,$B$81,MATCH($A72,'实盘净值数据(iFinD公式)'!$B$3:$Y$3,0))/INDEX('实盘净值数据(iFinD公式)'!$B$5:$Y$1000,MATCH(J$84,'实盘净值数据(iFinD公式)'!$A$5:$A$1000,0),MATCH($A72,'实盘净值数据(iFinD公式)'!$B$3:$Y$3,0))/J$85,J108)</f>
        <v>5.6606791138835268E-3</v>
      </c>
      <c r="K72" s="55">
        <f ca="1">IFERROR(INDEX(分期持仓明细!$B$5:$Y$200,K$82-4,MATCH(LEFT($A72,6),分期持仓明细!$B$3:$Y$3,0))*INDEX('实盘净值数据(iFinD公式)'!$B$5:$Y$1000,$B$81,MATCH($A72,'实盘净值数据(iFinD公式)'!$B$3:$Y$3,0))/INDEX('实盘净值数据(iFinD公式)'!$B$5:$Y$1000,MATCH(K$84,'实盘净值数据(iFinD公式)'!$A$5:$A$1000,0),MATCH($A72,'实盘净值数据(iFinD公式)'!$B$3:$Y$3,0))/K$85,K108)</f>
        <v>0</v>
      </c>
      <c r="L72" s="55">
        <f ca="1">IFERROR(INDEX(分期持仓明细!$B$5:$Y$200,L$82-4,MATCH(LEFT($A72,6),分期持仓明细!$B$3:$Y$3,0))*INDEX('实盘净值数据(iFinD公式)'!$B$5:$Y$1000,$B$81,MATCH($A72,'实盘净值数据(iFinD公式)'!$B$3:$Y$3,0))/INDEX('实盘净值数据(iFinD公式)'!$B$5:$Y$1000,MATCH(L$84,'实盘净值数据(iFinD公式)'!$A$5:$A$1000,0),MATCH($A72,'实盘净值数据(iFinD公式)'!$B$3:$Y$3,0))/L$85,L108)</f>
        <v>1.6721991956582142E-2</v>
      </c>
      <c r="M72" t="str">
        <f ca="1">IF(G72&gt;0,COUNTIF(G$53:G72,"&gt;0"),"")</f>
        <v/>
      </c>
      <c r="N72" t="str">
        <f ca="1">IF(H72&gt;0,COUNTIF(H$53:H72,"&gt;0"),"")</f>
        <v/>
      </c>
      <c r="O72">
        <f ca="1">IF(I72&gt;0,COUNTIF(I$53:I72,"&gt;0"),"")</f>
        <v>6</v>
      </c>
      <c r="P72">
        <f ca="1">IF(J72&gt;0,COUNTIF(J$53:J72,"&gt;0"),"")</f>
        <v>10</v>
      </c>
      <c r="Q72" t="str">
        <f ca="1">IF(K72&gt;0,COUNTIF(K$53:K72,"&gt;0"),"")</f>
        <v/>
      </c>
      <c r="R72">
        <f ca="1">IF(L72&gt;0,COUNTIF(L$53:L72,"&gt;0"),"")</f>
        <v>10</v>
      </c>
    </row>
    <row r="73" spans="1:18" ht="13">
      <c r="A73" s="54" t="s">
        <v>49</v>
      </c>
      <c r="B73" s="52" t="s">
        <v>265</v>
      </c>
      <c r="C73" s="54" t="s">
        <v>242</v>
      </c>
      <c r="D73" s="54" t="s">
        <v>246</v>
      </c>
      <c r="E73" s="54" t="s">
        <v>246</v>
      </c>
      <c r="F73" s="54" t="s">
        <v>247</v>
      </c>
      <c r="G73" s="55">
        <f ca="1">IFERROR(INDEX(分期持仓明细!$B$5:$Y$200,G$82-4,MATCH(LEFT($A73,6),分期持仓明细!$B$3:$Y$3,0))*INDEX('实盘净值数据(iFinD公式)'!$B$5:$Y$1000,$B$81,MATCH($A73,'实盘净值数据(iFinD公式)'!$B$3:$Y$3,0))/INDEX('实盘净值数据(iFinD公式)'!$B$5:$Y$1000,MATCH(G$84,'实盘净值数据(iFinD公式)'!$A$5:$A$1000,0),MATCH($A73,'实盘净值数据(iFinD公式)'!$B$3:$Y$3,0))/G$85,G109)</f>
        <v>0</v>
      </c>
      <c r="H73" s="55">
        <f ca="1">IFERROR(INDEX(分期持仓明细!$B$5:$Y$200,H$82-4,MATCH(LEFT($A73,6),分期持仓明细!$B$3:$Y$3,0))*INDEX('实盘净值数据(iFinD公式)'!$B$5:$Y$1000,$B$81,MATCH($A73,'实盘净值数据(iFinD公式)'!$B$3:$Y$3,0))/INDEX('实盘净值数据(iFinD公式)'!$B$5:$Y$1000,MATCH(H$84,'实盘净值数据(iFinD公式)'!$A$5:$A$1000,0),MATCH($A73,'实盘净值数据(iFinD公式)'!$B$3:$Y$3,0))/H$85,H109)</f>
        <v>0</v>
      </c>
      <c r="I73" s="55">
        <f ca="1">IFERROR(INDEX(分期持仓明细!$B$5:$Y$200,I$82-4,MATCH(LEFT($A73,6),分期持仓明细!$B$3:$Y$3,0))*INDEX('实盘净值数据(iFinD公式)'!$B$5:$Y$1000,$B$81,MATCH($A73,'实盘净值数据(iFinD公式)'!$B$3:$Y$3,0))/INDEX('实盘净值数据(iFinD公式)'!$B$5:$Y$1000,MATCH(I$84,'实盘净值数据(iFinD公式)'!$A$5:$A$1000,0),MATCH($A73,'实盘净值数据(iFinD公式)'!$B$3:$Y$3,0))/I$85,I109)</f>
        <v>0</v>
      </c>
      <c r="J73" s="55">
        <f ca="1">IFERROR(INDEX(分期持仓明细!$B$5:$Y$200,J$82-4,MATCH(LEFT($A73,6),分期持仓明细!$B$3:$Y$3,0))*INDEX('实盘净值数据(iFinD公式)'!$B$5:$Y$1000,$B$81,MATCH($A73,'实盘净值数据(iFinD公式)'!$B$3:$Y$3,0))/INDEX('实盘净值数据(iFinD公式)'!$B$5:$Y$1000,MATCH(J$84,'实盘净值数据(iFinD公式)'!$A$5:$A$1000,0),MATCH($A73,'实盘净值数据(iFinD公式)'!$B$3:$Y$3,0))/J$85,J109)</f>
        <v>0</v>
      </c>
      <c r="K73" s="55">
        <f ca="1">IFERROR(INDEX(分期持仓明细!$B$5:$Y$200,K$82-4,MATCH(LEFT($A73,6),分期持仓明细!$B$3:$Y$3,0))*INDEX('实盘净值数据(iFinD公式)'!$B$5:$Y$1000,$B$81,MATCH($A73,'实盘净值数据(iFinD公式)'!$B$3:$Y$3,0))/INDEX('实盘净值数据(iFinD公式)'!$B$5:$Y$1000,MATCH(K$84,'实盘净值数据(iFinD公式)'!$A$5:$A$1000,0),MATCH($A73,'实盘净值数据(iFinD公式)'!$B$3:$Y$3,0))/K$85,K109)</f>
        <v>1.3198075093827609E-2</v>
      </c>
      <c r="L73" s="55">
        <f ca="1">IFERROR(INDEX(分期持仓明细!$B$5:$Y$200,L$82-4,MATCH(LEFT($A73,6),分期持仓明细!$B$3:$Y$3,0))*INDEX('实盘净值数据(iFinD公式)'!$B$5:$Y$1000,$B$81,MATCH($A73,'实盘净值数据(iFinD公式)'!$B$3:$Y$3,0))/INDEX('实盘净值数据(iFinD公式)'!$B$5:$Y$1000,MATCH(L$84,'实盘净值数据(iFinD公式)'!$A$5:$A$1000,0),MATCH($A73,'实盘净值数据(iFinD公式)'!$B$3:$Y$3,0))/L$85,L109)</f>
        <v>0</v>
      </c>
      <c r="M73" t="str">
        <f ca="1">IF(G73&gt;0,COUNTIF(G$53:G73,"&gt;0"),"")</f>
        <v/>
      </c>
      <c r="N73" t="str">
        <f ca="1">IF(H73&gt;0,COUNTIF(H$53:H73,"&gt;0"),"")</f>
        <v/>
      </c>
      <c r="O73" t="str">
        <f ca="1">IF(I73&gt;0,COUNTIF(I$53:I73,"&gt;0"),"")</f>
        <v/>
      </c>
      <c r="P73" t="str">
        <f ca="1">IF(J73&gt;0,COUNTIF(J$53:J73,"&gt;0"),"")</f>
        <v/>
      </c>
      <c r="Q73">
        <f ca="1">IF(K73&gt;0,COUNTIF(K$53:K73,"&gt;0"),"")</f>
        <v>11</v>
      </c>
      <c r="R73" t="str">
        <f ca="1">IF(L73&gt;0,COUNTIF(L$53:L73,"&gt;0"),"")</f>
        <v/>
      </c>
    </row>
    <row r="74" spans="1:18" ht="13">
      <c r="A74" s="54" t="s">
        <v>50</v>
      </c>
      <c r="B74" s="52" t="s">
        <v>266</v>
      </c>
      <c r="C74" s="54" t="s">
        <v>242</v>
      </c>
      <c r="D74" s="54" t="s">
        <v>246</v>
      </c>
      <c r="E74" s="54" t="s">
        <v>246</v>
      </c>
      <c r="F74" s="54" t="s">
        <v>249</v>
      </c>
      <c r="G74" s="55">
        <f ca="1">IFERROR(INDEX(分期持仓明细!$B$5:$Y$200,G$82-4,MATCH(LEFT($A74,6),分期持仓明细!$B$3:$Y$3,0))*INDEX('实盘净值数据(iFinD公式)'!$B$5:$Y$1000,$B$81,MATCH($A74,'实盘净值数据(iFinD公式)'!$B$3:$Y$3,0))/INDEX('实盘净值数据(iFinD公式)'!$B$5:$Y$1000,MATCH(G$84,'实盘净值数据(iFinD公式)'!$A$5:$A$1000,0),MATCH($A74,'实盘净值数据(iFinD公式)'!$B$3:$Y$3,0))/G$85,G110)</f>
        <v>0</v>
      </c>
      <c r="H74" s="55">
        <f ca="1">IFERROR(INDEX(分期持仓明细!$B$5:$Y$200,H$82-4,MATCH(LEFT($A74,6),分期持仓明细!$B$3:$Y$3,0))*INDEX('实盘净值数据(iFinD公式)'!$B$5:$Y$1000,$B$81,MATCH($A74,'实盘净值数据(iFinD公式)'!$B$3:$Y$3,0))/INDEX('实盘净值数据(iFinD公式)'!$B$5:$Y$1000,MATCH(H$84,'实盘净值数据(iFinD公式)'!$A$5:$A$1000,0),MATCH($A74,'实盘净值数据(iFinD公式)'!$B$3:$Y$3,0))/H$85,H110)</f>
        <v>0</v>
      </c>
      <c r="I74" s="55">
        <f ca="1">IFERROR(INDEX(分期持仓明细!$B$5:$Y$200,I$82-4,MATCH(LEFT($A74,6),分期持仓明细!$B$3:$Y$3,0))*INDEX('实盘净值数据(iFinD公式)'!$B$5:$Y$1000,$B$81,MATCH($A74,'实盘净值数据(iFinD公式)'!$B$3:$Y$3,0))/INDEX('实盘净值数据(iFinD公式)'!$B$5:$Y$1000,MATCH(I$84,'实盘净值数据(iFinD公式)'!$A$5:$A$1000,0),MATCH($A74,'实盘净值数据(iFinD公式)'!$B$3:$Y$3,0))/I$85,I110)</f>
        <v>0</v>
      </c>
      <c r="J74" s="55">
        <f ca="1">IFERROR(INDEX(分期持仓明细!$B$5:$Y$200,J$82-4,MATCH(LEFT($A74,6),分期持仓明细!$B$3:$Y$3,0))*INDEX('实盘净值数据(iFinD公式)'!$B$5:$Y$1000,$B$81,MATCH($A74,'实盘净值数据(iFinD公式)'!$B$3:$Y$3,0))/INDEX('实盘净值数据(iFinD公式)'!$B$5:$Y$1000,MATCH(J$84,'实盘净值数据(iFinD公式)'!$A$5:$A$1000,0),MATCH($A74,'实盘净值数据(iFinD公式)'!$B$3:$Y$3,0))/J$85,J110)</f>
        <v>1.3226867690896298E-2</v>
      </c>
      <c r="K74" s="55">
        <f ca="1">IFERROR(INDEX(分期持仓明细!$B$5:$Y$200,K$82-4,MATCH(LEFT($A74,6),分期持仓明细!$B$3:$Y$3,0))*INDEX('实盘净值数据(iFinD公式)'!$B$5:$Y$1000,$B$81,MATCH($A74,'实盘净值数据(iFinD公式)'!$B$3:$Y$3,0))/INDEX('实盘净值数据(iFinD公式)'!$B$5:$Y$1000,MATCH(K$84,'实盘净值数据(iFinD公式)'!$A$5:$A$1000,0),MATCH($A74,'实盘净值数据(iFinD公式)'!$B$3:$Y$3,0))/K$85,K110)</f>
        <v>0</v>
      </c>
      <c r="L74" s="55">
        <f ca="1">IFERROR(INDEX(分期持仓明细!$B$5:$Y$200,L$82-4,MATCH(LEFT($A74,6),分期持仓明细!$B$3:$Y$3,0))*INDEX('实盘净值数据(iFinD公式)'!$B$5:$Y$1000,$B$81,MATCH($A74,'实盘净值数据(iFinD公式)'!$B$3:$Y$3,0))/INDEX('实盘净值数据(iFinD公式)'!$B$5:$Y$1000,MATCH(L$84,'实盘净值数据(iFinD公式)'!$A$5:$A$1000,0),MATCH($A74,'实盘净值数据(iFinD公式)'!$B$3:$Y$3,0))/L$85,L110)</f>
        <v>3.9073527569096878E-2</v>
      </c>
      <c r="M74" t="str">
        <f ca="1">IF(G74&gt;0,COUNTIF(G$53:G74,"&gt;0"),"")</f>
        <v/>
      </c>
      <c r="N74" t="str">
        <f ca="1">IF(H74&gt;0,COUNTIF(H$53:H74,"&gt;0"),"")</f>
        <v/>
      </c>
      <c r="O74" t="str">
        <f ca="1">IF(I74&gt;0,COUNTIF(I$53:I74,"&gt;0"),"")</f>
        <v/>
      </c>
      <c r="P74">
        <f ca="1">IF(J74&gt;0,COUNTIF(J$53:J74,"&gt;0"),"")</f>
        <v>11</v>
      </c>
      <c r="Q74" t="str">
        <f ca="1">IF(K74&gt;0,COUNTIF(K$53:K74,"&gt;0"),"")</f>
        <v/>
      </c>
      <c r="R74">
        <f ca="1">IF(L74&gt;0,COUNTIF(L$53:L74,"&gt;0"),"")</f>
        <v>11</v>
      </c>
    </row>
    <row r="75" spans="1:18" ht="13">
      <c r="A75" s="54" t="s">
        <v>51</v>
      </c>
      <c r="B75" s="52" t="s">
        <v>267</v>
      </c>
      <c r="C75" s="54" t="s">
        <v>234</v>
      </c>
      <c r="D75" s="54" t="s">
        <v>235</v>
      </c>
      <c r="E75" s="54" t="s">
        <v>268</v>
      </c>
      <c r="F75" s="54" t="s">
        <v>269</v>
      </c>
      <c r="G75" s="55">
        <f ca="1">IFERROR(INDEX(分期持仓明细!$B$5:$Y$200,G$82-4,MATCH(LEFT($A75,6),分期持仓明细!$B$3:$Y$3,0))*INDEX('实盘净值数据(iFinD公式)'!$B$5:$Y$1000,$B$81,MATCH($A75,'实盘净值数据(iFinD公式)'!$B$3:$Y$3,0))/INDEX('实盘净值数据(iFinD公式)'!$B$5:$Y$1000,MATCH(G$84,'实盘净值数据(iFinD公式)'!$A$5:$A$1000,0),MATCH($A75,'实盘净值数据(iFinD公式)'!$B$3:$Y$3,0))/G$85,G111)</f>
        <v>0</v>
      </c>
      <c r="H75" s="55">
        <f ca="1">IFERROR(INDEX(分期持仓明细!$B$5:$Y$200,H$82-4,MATCH(LEFT($A75,6),分期持仓明细!$B$3:$Y$3,0))*INDEX('实盘净值数据(iFinD公式)'!$B$5:$Y$1000,$B$81,MATCH($A75,'实盘净值数据(iFinD公式)'!$B$3:$Y$3,0))/INDEX('实盘净值数据(iFinD公式)'!$B$5:$Y$1000,MATCH(H$84,'实盘净值数据(iFinD公式)'!$A$5:$A$1000,0),MATCH($A75,'实盘净值数据(iFinD公式)'!$B$3:$Y$3,0))/H$85,H111)</f>
        <v>0</v>
      </c>
      <c r="I75" s="55">
        <f ca="1">IFERROR(INDEX(分期持仓明细!$B$5:$Y$200,I$82-4,MATCH(LEFT($A75,6),分期持仓明细!$B$3:$Y$3,0))*INDEX('实盘净值数据(iFinD公式)'!$B$5:$Y$1000,$B$81,MATCH($A75,'实盘净值数据(iFinD公式)'!$B$3:$Y$3,0))/INDEX('实盘净值数据(iFinD公式)'!$B$5:$Y$1000,MATCH(I$84,'实盘净值数据(iFinD公式)'!$A$5:$A$1000,0),MATCH($A75,'实盘净值数据(iFinD公式)'!$B$3:$Y$3,0))/I$85,I111)</f>
        <v>0</v>
      </c>
      <c r="J75" s="55">
        <f ca="1">IFERROR(INDEX(分期持仓明细!$B$5:$Y$200,J$82-4,MATCH(LEFT($A75,6),分期持仓明细!$B$3:$Y$3,0))*INDEX('实盘净值数据(iFinD公式)'!$B$5:$Y$1000,$B$81,MATCH($A75,'实盘净值数据(iFinD公式)'!$B$3:$Y$3,0))/INDEX('实盘净值数据(iFinD公式)'!$B$5:$Y$1000,MATCH(J$84,'实盘净值数据(iFinD公式)'!$A$5:$A$1000,0),MATCH($A75,'实盘净值数据(iFinD公式)'!$B$3:$Y$3,0))/J$85,J111)</f>
        <v>0.79247556072368663</v>
      </c>
      <c r="K75" s="55">
        <f ca="1">IFERROR(INDEX(分期持仓明细!$B$5:$Y$200,K$82-4,MATCH(LEFT($A75,6),分期持仓明细!$B$3:$Y$3,0))*INDEX('实盘净值数据(iFinD公式)'!$B$5:$Y$1000,$B$81,MATCH($A75,'实盘净值数据(iFinD公式)'!$B$3:$Y$3,0))/INDEX('实盘净值数据(iFinD公式)'!$B$5:$Y$1000,MATCH(K$84,'实盘净值数据(iFinD公式)'!$A$5:$A$1000,0),MATCH($A75,'实盘净值数据(iFinD公式)'!$B$3:$Y$3,0))/K$85,K111)</f>
        <v>0.79278867480042003</v>
      </c>
      <c r="L75" s="55">
        <f ca="1">IFERROR(INDEX(分期持仓明细!$B$5:$Y$200,L$82-4,MATCH(LEFT($A75,6),分期持仓明细!$B$3:$Y$3,0))*INDEX('实盘净值数据(iFinD公式)'!$B$5:$Y$1000,$B$81,MATCH($A75,'实盘净值数据(iFinD公式)'!$B$3:$Y$3,0))/INDEX('实盘净值数据(iFinD公式)'!$B$5:$Y$1000,MATCH(L$84,'实盘净值数据(iFinD公式)'!$A$5:$A$1000,0),MATCH($A75,'实盘净值数据(iFinD公式)'!$B$3:$Y$3,0))/L$85,L111)</f>
        <v>0.48354694360156403</v>
      </c>
      <c r="M75" t="str">
        <f ca="1">IF(G75&gt;0,COUNTIF(G$53:G75,"&gt;0"),"")</f>
        <v/>
      </c>
      <c r="N75" t="str">
        <f ca="1">IF(H75&gt;0,COUNTIF(H$53:H75,"&gt;0"),"")</f>
        <v/>
      </c>
      <c r="O75" t="str">
        <f ca="1">IF(I75&gt;0,COUNTIF(I$53:I75,"&gt;0"),"")</f>
        <v/>
      </c>
      <c r="P75">
        <f ca="1">IF(J75&gt;0,COUNTIF(J$53:J75,"&gt;0"),"")</f>
        <v>12</v>
      </c>
      <c r="Q75">
        <f ca="1">IF(K75&gt;0,COUNTIF(K$53:K75,"&gt;0"),"")</f>
        <v>12</v>
      </c>
      <c r="R75">
        <f ca="1">IF(L75&gt;0,COUNTIF(L$53:L75,"&gt;0"),"")</f>
        <v>12</v>
      </c>
    </row>
    <row r="76" spans="1:18" ht="13">
      <c r="A76" s="54" t="s">
        <v>61</v>
      </c>
      <c r="B76" s="52" t="s">
        <v>62</v>
      </c>
      <c r="C76" s="54" t="s">
        <v>242</v>
      </c>
      <c r="D76" s="54" t="s">
        <v>230</v>
      </c>
      <c r="E76" s="54" t="s">
        <v>243</v>
      </c>
      <c r="F76" s="54" t="s">
        <v>244</v>
      </c>
      <c r="G76" s="55">
        <f ca="1">IFERROR(INDEX(分期持仓明细!$B$5:$Y$200,G$82-4,MATCH(LEFT($A76,6),分期持仓明细!$B$3:$Y$3,0))*INDEX('实盘净值数据(iFinD公式)'!$B$5:$Y$1000,$B$81,MATCH($A76,'实盘净值数据(iFinD公式)'!$B$3:$Y$3,0))/INDEX('实盘净值数据(iFinD公式)'!$B$5:$Y$1000,MATCH(G$84,'实盘净值数据(iFinD公式)'!$A$5:$A$1000,0),MATCH($A76,'实盘净值数据(iFinD公式)'!$B$3:$Y$3,0))/G$85,G112)</f>
        <v>6.7703020977591247E-2</v>
      </c>
      <c r="H76" s="55">
        <f ca="1">IFERROR(INDEX(分期持仓明细!$B$5:$Y$200,H$82-4,MATCH(LEFT($A76,6),分期持仓明细!$B$3:$Y$3,0))*INDEX('实盘净值数据(iFinD公式)'!$B$5:$Y$1000,$B$81,MATCH($A76,'实盘净值数据(iFinD公式)'!$B$3:$Y$3,0))/INDEX('实盘净值数据(iFinD公式)'!$B$5:$Y$1000,MATCH(H$84,'实盘净值数据(iFinD公式)'!$A$5:$A$1000,0),MATCH($A76,'实盘净值数据(iFinD公式)'!$B$3:$Y$3,0))/H$85,H112)</f>
        <v>6.7704934897838881E-2</v>
      </c>
      <c r="I76" s="55">
        <f ca="1">IFERROR(INDEX(分期持仓明细!$B$5:$Y$200,I$82-4,MATCH(LEFT($A76,6),分期持仓明细!$B$3:$Y$3,0))*INDEX('实盘净值数据(iFinD公式)'!$B$5:$Y$1000,$B$81,MATCH($A76,'实盘净值数据(iFinD公式)'!$B$3:$Y$3,0))/INDEX('实盘净值数据(iFinD公式)'!$B$5:$Y$1000,MATCH(I$84,'实盘净值数据(iFinD公式)'!$A$5:$A$1000,0),MATCH($A76,'实盘净值数据(iFinD公式)'!$B$3:$Y$3,0))/I$85,I112)</f>
        <v>6.866928087329989E-2</v>
      </c>
      <c r="J76" s="55">
        <f ca="1">IFERROR(INDEX(分期持仓明细!$B$5:$Y$200,J$82-4,MATCH(LEFT($A76,6),分期持仓明细!$B$3:$Y$3,0))*INDEX('实盘净值数据(iFinD公式)'!$B$5:$Y$1000,$B$81,MATCH($A76,'实盘净值数据(iFinD公式)'!$B$3:$Y$3,0))/INDEX('实盘净值数据(iFinD公式)'!$B$5:$Y$1000,MATCH(J$84,'实盘净值数据(iFinD公式)'!$A$5:$A$1000,0),MATCH($A76,'实盘净值数据(iFinD公式)'!$B$3:$Y$3,0))/J$85,J112)</f>
        <v>1.0087905766542291E-2</v>
      </c>
      <c r="K76" s="55">
        <f ca="1">IFERROR(INDEX(分期持仓明细!$B$5:$Y$200,K$82-4,MATCH(LEFT($A76,6),分期持仓明细!$B$3:$Y$3,0))*INDEX('实盘净值数据(iFinD公式)'!$B$5:$Y$1000,$B$81,MATCH($A76,'实盘净值数据(iFinD公式)'!$B$3:$Y$3,0))/INDEX('实盘净值数据(iFinD公式)'!$B$5:$Y$1000,MATCH(K$84,'实盘净值数据(iFinD公式)'!$A$5:$A$1000,0),MATCH($A76,'实盘净值数据(iFinD公式)'!$B$3:$Y$3,0))/K$85,K112)</f>
        <v>1.0092511613030481E-2</v>
      </c>
      <c r="L76" s="55">
        <f ca="1">IFERROR(INDEX(分期持仓明细!$B$5:$Y$200,L$82-4,MATCH(LEFT($A76,6),分期持仓明细!$B$3:$Y$3,0))*INDEX('实盘净值数据(iFinD公式)'!$B$5:$Y$1000,$B$81,MATCH($A76,'实盘净值数据(iFinD公式)'!$B$3:$Y$3,0))/INDEX('实盘净值数据(iFinD公式)'!$B$5:$Y$1000,MATCH(L$84,'实盘净值数据(iFinD公式)'!$A$5:$A$1000,0),MATCH($A76,'实盘净值数据(iFinD公式)'!$B$3:$Y$3,0))/L$85,L112)</f>
        <v>3.2420612503459303E-2</v>
      </c>
      <c r="M76">
        <f ca="1">IF(G76&gt;0,COUNTIF(G$53:G76,"&gt;0"),"")</f>
        <v>7</v>
      </c>
      <c r="N76">
        <f ca="1">IF(H76&gt;0,COUNTIF(H$53:H76,"&gt;0"),"")</f>
        <v>7</v>
      </c>
      <c r="O76">
        <f ca="1">IF(I76&gt;0,COUNTIF(I$53:I76,"&gt;0"),"")</f>
        <v>7</v>
      </c>
      <c r="P76">
        <f ca="1">IF(J76&gt;0,COUNTIF(J$53:J76,"&gt;0"),"")</f>
        <v>13</v>
      </c>
      <c r="Q76">
        <f ca="1">IF(K76&gt;0,COUNTIF(K$53:K76,"&gt;0"),"")</f>
        <v>13</v>
      </c>
      <c r="R76">
        <f ca="1">IF(L76&gt;0,COUNTIF(L$53:L76,"&gt;0"),"")</f>
        <v>13</v>
      </c>
    </row>
    <row r="77" spans="1:18" ht="13.5">
      <c r="A77" s="58" t="s">
        <v>25</v>
      </c>
      <c r="B77" s="58"/>
      <c r="C77" s="58"/>
      <c r="D77" s="58"/>
      <c r="E77" s="58"/>
      <c r="F77" s="58"/>
      <c r="G77" s="59">
        <f t="shared" ref="G77:L77" ca="1" si="7">SUM(G53:G76)</f>
        <v>1</v>
      </c>
      <c r="H77" s="59">
        <f t="shared" ca="1" si="7"/>
        <v>1</v>
      </c>
      <c r="I77" s="59">
        <f t="shared" ca="1" si="7"/>
        <v>1</v>
      </c>
      <c r="J77" s="59">
        <f t="shared" ca="1" si="7"/>
        <v>1</v>
      </c>
      <c r="K77" s="59">
        <f t="shared" ca="1" si="7"/>
        <v>1</v>
      </c>
      <c r="L77" s="59">
        <f t="shared" ca="1" si="7"/>
        <v>1.0000000000000002</v>
      </c>
    </row>
    <row r="80" spans="1:18" ht="21" customHeight="1">
      <c r="A80" s="115" t="s">
        <v>270</v>
      </c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</row>
    <row r="81" spans="1:18" ht="28" customHeight="1">
      <c r="A81" s="52" t="s">
        <v>271</v>
      </c>
      <c r="B81" s="60">
        <f ca="1">IFERROR(MATCH(TODAY()-1,'实盘净值数据(iFinD公式)'!$A$5:$A$1000,1),0)</f>
        <v>42</v>
      </c>
      <c r="G81" s="51" t="s">
        <v>230</v>
      </c>
      <c r="H81" s="51" t="s">
        <v>231</v>
      </c>
      <c r="I81" s="51" t="s">
        <v>232</v>
      </c>
      <c r="J81" s="51" t="s">
        <v>214</v>
      </c>
      <c r="K81" s="51" t="s">
        <v>215</v>
      </c>
      <c r="L81" s="51" t="s">
        <v>216</v>
      </c>
    </row>
    <row r="82" spans="1:18" ht="13">
      <c r="A82" s="52" t="s">
        <v>272</v>
      </c>
      <c r="B82" s="53">
        <f ca="1">IF($B$81=0,"",INDEX('实盘净值数据(iFinD公式)'!$A$5:$A$1000,$B$81))</f>
        <v>46251</v>
      </c>
      <c r="F82" s="62" t="s">
        <v>273</v>
      </c>
      <c r="G82" s="52">
        <f t="shared" ref="G82:L82" si="8">IFERROR(MAX(M$86:M$281),0)</f>
        <v>17</v>
      </c>
      <c r="H82" s="52">
        <f t="shared" si="8"/>
        <v>18</v>
      </c>
      <c r="I82" s="52">
        <f t="shared" si="8"/>
        <v>19</v>
      </c>
      <c r="J82" s="52">
        <f t="shared" si="8"/>
        <v>20</v>
      </c>
      <c r="K82" s="52">
        <f t="shared" si="8"/>
        <v>21</v>
      </c>
      <c r="L82" s="52">
        <f t="shared" si="8"/>
        <v>22</v>
      </c>
    </row>
    <row r="83" spans="1:18" ht="32.15" customHeight="1">
      <c r="A83" s="52"/>
      <c r="B83" s="52"/>
      <c r="F83" s="62" t="s">
        <v>274</v>
      </c>
      <c r="G83" s="63" t="str">
        <f>IF(G$82=0,"",INDEX(分期持仓明细!$A$5:$A$200,G$82-4))</f>
        <v>产业趋势 · P1(7/10调仓后)</v>
      </c>
      <c r="H83" s="63" t="str">
        <f>IF(H$82=0,"",INDEX(分期持仓明细!$A$5:$A$200,H$82-4))</f>
        <v>产业趋势基石 · P1(7/10调仓后)</v>
      </c>
      <c r="I83" s="63" t="str">
        <f>IF(I$82=0,"",INDEX(分期持仓明细!$A$5:$A$200,I$82-4))</f>
        <v>产业趋势2号 · P1(7/10调仓后)</v>
      </c>
      <c r="J83" s="63" t="str">
        <f>IF(J$82=0,"",INDEX(分期持仓明细!$A$5:$A$200,J$82-4))</f>
        <v>10-90 · P3(7/17调仓后)</v>
      </c>
      <c r="K83" s="63" t="str">
        <f>IF(K$82=0,"",INDEX(分期持仓明细!$A$5:$A$200,K$82-4))</f>
        <v>10-90基石 · P3(7/17调仓后)</v>
      </c>
      <c r="L83" s="63" t="str">
        <f>IF(L$82=0,"",INDEX(分期持仓明细!$A$5:$A$200,L$82-4))</f>
        <v>30-70 · P3(7/17调仓后)</v>
      </c>
    </row>
    <row r="84" spans="1:18" ht="13">
      <c r="A84" s="52"/>
      <c r="B84" s="52"/>
      <c r="F84" s="62" t="s">
        <v>98</v>
      </c>
      <c r="G84" s="53">
        <f>IF(G$82=0,"",INDEX(分期持仓明细!$AA$5:$AA$200,G$82-4))</f>
        <v>46213</v>
      </c>
      <c r="H84" s="53">
        <f>IF(H$82=0,"",INDEX(分期持仓明细!$AA$5:$AA$200,H$82-4))</f>
        <v>46213</v>
      </c>
      <c r="I84" s="53">
        <f>IF(I$82=0,"",INDEX(分期持仓明细!$AA$5:$AA$200,I$82-4))</f>
        <v>46213</v>
      </c>
      <c r="J84" s="53">
        <f>IF(J$82=0,"",INDEX(分期持仓明细!$AA$5:$AA$200,J$82-4))</f>
        <v>46220</v>
      </c>
      <c r="K84" s="53">
        <f>IF(K$82=0,"",INDEX(分期持仓明细!$AA$5:$AA$200,K$82-4))</f>
        <v>46220</v>
      </c>
      <c r="L84" s="53">
        <f>IF(L$82=0,"",INDEX(分期持仓明细!$AA$5:$AA$200,L$82-4))</f>
        <v>46220</v>
      </c>
    </row>
    <row r="85" spans="1:18" ht="13">
      <c r="A85" s="52"/>
      <c r="B85" s="52"/>
      <c r="F85" s="62" t="s">
        <v>275</v>
      </c>
      <c r="G85" s="61">
        <f ca="1">IFERROR(SUMPRODUCT(INDEX(分期持仓明细!$B$5:$Y$200,G$82-4,0),INDEX('实盘净值数据(iFinD公式)'!$B$5:$Y$1000,$B$81,0)/INDEX('实盘净值数据(iFinD公式)'!$B$5:$Y$1000,MATCH(G$84,'实盘净值数据(iFinD公式)'!$A$5:$A$1000,0),0)),0)</f>
        <v>0.92275724717827234</v>
      </c>
      <c r="H85" s="61">
        <f ca="1">IFERROR(SUMPRODUCT(INDEX(分期持仓明细!$B$5:$Y$200,H$82-4,0),INDEX('实盘净值数据(iFinD公式)'!$B$5:$Y$1000,$B$81,0)/INDEX('实盘净值数据(iFinD公式)'!$B$5:$Y$1000,MATCH(H$84,'实盘净值数据(iFinD公式)'!$A$5:$A$1000,0),0)),0)</f>
        <v>0.9227239404907519</v>
      </c>
      <c r="I85" s="61">
        <f ca="1">IFERROR(SUMPRODUCT(INDEX(分期持仓明细!$B$5:$Y$200,I$82-4,0),INDEX('实盘净值数据(iFinD公式)'!$B$5:$Y$1000,$B$81,0)/INDEX('实盘净值数据(iFinD公式)'!$B$5:$Y$1000,MATCH(I$84,'实盘净值数据(iFinD公式)'!$A$5:$A$1000,0),0)),0)</f>
        <v>0.90976294285145043</v>
      </c>
      <c r="J85" s="61">
        <f ca="1">IFERROR(SUMPRODUCT(INDEX(分期持仓明细!$B$5:$Y$200,J$82-4,0),INDEX('实盘净值数据(iFinD公式)'!$B$5:$Y$1000,$B$81,0)/INDEX('实盘净值数据(iFinD公式)'!$B$5:$Y$1000,MATCH(J$84,'实盘净值数据(iFinD公式)'!$A$5:$A$1000,0),0)),0)</f>
        <v>1.0198545762132096</v>
      </c>
      <c r="K85" s="61">
        <f ca="1">IFERROR(SUMPRODUCT(INDEX(分期持仓明细!$B$5:$Y$200,K$82-4,0),INDEX('实盘净值数据(iFinD公式)'!$B$5:$Y$1000,$B$81,0)/INDEX('实盘净值数据(iFinD公式)'!$B$5:$Y$1000,MATCH(K$84,'实盘净值数据(iFinD公式)'!$A$5:$A$1000,0),0)),0)</f>
        <v>1.0205056795623715</v>
      </c>
      <c r="L85" s="61">
        <f ca="1">IFERROR(SUMPRODUCT(INDEX(分期持仓明细!$B$5:$Y$200,L$82-4,0),INDEX('实盘净值数据(iFinD公式)'!$B$5:$Y$1000,$B$81,0)/INDEX('实盘净值数据(iFinD公式)'!$B$5:$Y$1000,MATCH(L$84,'实盘净值数据(iFinD公式)'!$A$5:$A$1000,0),0)),0)</f>
        <v>1.04272197786007</v>
      </c>
    </row>
    <row r="86" spans="1:18">
      <c r="M86">
        <f>IF(LEFT(分期持仓明细!$A$5,LEN(G$81)+2)=G$81&amp;" ·",ROW(分期持仓明细!$A$5),0)</f>
        <v>5</v>
      </c>
      <c r="N86">
        <f>IF(LEFT(分期持仓明细!$A$5,LEN(H$81)+2)=H$81&amp;" ·",ROW(分期持仓明细!$A$5),0)</f>
        <v>0</v>
      </c>
      <c r="O86">
        <f>IF(LEFT(分期持仓明细!$A$5,LEN(I$81)+2)=I$81&amp;" ·",ROW(分期持仓明细!$A$5),0)</f>
        <v>0</v>
      </c>
      <c r="P86">
        <f>IF(LEFT(分期持仓明细!$A$5,LEN(J$81)+2)=J$81&amp;" ·",ROW(分期持仓明细!$A$5),0)</f>
        <v>0</v>
      </c>
      <c r="Q86">
        <f>IF(LEFT(分期持仓明细!$A$5,LEN(K$81)+2)=K$81&amp;" ·",ROW(分期持仓明细!$A$5),0)</f>
        <v>0</v>
      </c>
      <c r="R86">
        <f>IF(LEFT(分期持仓明细!$A$5,LEN(L$81)+2)=L$81&amp;" ·",ROW(分期持仓明细!$A$5),0)</f>
        <v>0</v>
      </c>
    </row>
    <row r="87" spans="1:18">
      <c r="M87">
        <f>IF(LEFT(分期持仓明细!$A$6,LEN(G$81)+2)=G$81&amp;" ·",ROW(分期持仓明细!$A$6),0)</f>
        <v>0</v>
      </c>
      <c r="N87">
        <f>IF(LEFT(分期持仓明细!$A$6,LEN(H$81)+2)=H$81&amp;" ·",ROW(分期持仓明细!$A$6),0)</f>
        <v>6</v>
      </c>
      <c r="O87">
        <f>IF(LEFT(分期持仓明细!$A$6,LEN(I$81)+2)=I$81&amp;" ·",ROW(分期持仓明细!$A$6),0)</f>
        <v>0</v>
      </c>
      <c r="P87">
        <f>IF(LEFT(分期持仓明细!$A$6,LEN(J$81)+2)=J$81&amp;" ·",ROW(分期持仓明细!$A$6),0)</f>
        <v>0</v>
      </c>
      <c r="Q87">
        <f>IF(LEFT(分期持仓明细!$A$6,LEN(K$81)+2)=K$81&amp;" ·",ROW(分期持仓明细!$A$6),0)</f>
        <v>0</v>
      </c>
      <c r="R87">
        <f>IF(LEFT(分期持仓明细!$A$6,LEN(L$81)+2)=L$81&amp;" ·",ROW(分期持仓明细!$A$6),0)</f>
        <v>0</v>
      </c>
    </row>
    <row r="88" spans="1:18" ht="14.5">
      <c r="A88" s="117" t="s">
        <v>276</v>
      </c>
      <c r="B88" s="117"/>
      <c r="C88" s="117"/>
      <c r="D88" s="117"/>
      <c r="E88" s="117"/>
      <c r="F88" s="118"/>
      <c r="G88" s="51" t="s">
        <v>230</v>
      </c>
      <c r="H88" s="51" t="s">
        <v>231</v>
      </c>
      <c r="I88" s="51" t="s">
        <v>232</v>
      </c>
      <c r="J88" s="51" t="s">
        <v>214</v>
      </c>
      <c r="K88" s="51" t="s">
        <v>215</v>
      </c>
      <c r="L88" s="51" t="s">
        <v>216</v>
      </c>
      <c r="M88">
        <f>IF(LEFT(分期持仓明细!$A$7,LEN(G$81)+2)=G$81&amp;" ·",ROW(分期持仓明细!$A$7),0)</f>
        <v>0</v>
      </c>
      <c r="N88">
        <f>IF(LEFT(分期持仓明细!$A$7,LEN(H$81)+2)=H$81&amp;" ·",ROW(分期持仓明细!$A$7),0)</f>
        <v>0</v>
      </c>
      <c r="O88">
        <f>IF(LEFT(分期持仓明细!$A$7,LEN(I$81)+2)=I$81&amp;" ·",ROW(分期持仓明细!$A$7),0)</f>
        <v>7</v>
      </c>
      <c r="P88">
        <f>IF(LEFT(分期持仓明细!$A$7,LEN(J$81)+2)=J$81&amp;" ·",ROW(分期持仓明细!$A$7),0)</f>
        <v>0</v>
      </c>
      <c r="Q88">
        <f>IF(LEFT(分期持仓明细!$A$7,LEN(K$81)+2)=K$81&amp;" ·",ROW(分期持仓明细!$A$7),0)</f>
        <v>0</v>
      </c>
      <c r="R88">
        <f>IF(LEFT(分期持仓明细!$A$7,LEN(L$81)+2)=L$81&amp;" ·",ROW(分期持仓明细!$A$7),0)</f>
        <v>0</v>
      </c>
    </row>
    <row r="89" spans="1:18" ht="13">
      <c r="A89" s="54" t="s">
        <v>29</v>
      </c>
      <c r="B89" s="52" t="s">
        <v>233</v>
      </c>
      <c r="C89" s="54" t="s">
        <v>234</v>
      </c>
      <c r="D89" s="54" t="s">
        <v>235</v>
      </c>
      <c r="E89" s="54" t="s">
        <v>236</v>
      </c>
      <c r="F89" s="54" t="s">
        <v>237</v>
      </c>
      <c r="G89" s="55">
        <v>0</v>
      </c>
      <c r="H89" s="55">
        <v>0</v>
      </c>
      <c r="I89" s="55">
        <v>0</v>
      </c>
      <c r="J89" s="55">
        <v>5.4143474472245108E-2</v>
      </c>
      <c r="K89" s="55">
        <v>5.1794493820263125E-2</v>
      </c>
      <c r="L89" s="55">
        <v>0.10785060309605504</v>
      </c>
      <c r="M89">
        <f>IF(LEFT(分期持仓明细!$A$8,LEN(G$81)+2)=G$81&amp;" ·",ROW(分期持仓明细!$A$8),0)</f>
        <v>0</v>
      </c>
      <c r="N89">
        <f>IF(LEFT(分期持仓明细!$A$8,LEN(H$81)+2)=H$81&amp;" ·",ROW(分期持仓明细!$A$8),0)</f>
        <v>0</v>
      </c>
      <c r="O89">
        <f>IF(LEFT(分期持仓明细!$A$8,LEN(I$81)+2)=I$81&amp;" ·",ROW(分期持仓明细!$A$8),0)</f>
        <v>0</v>
      </c>
      <c r="P89">
        <f>IF(LEFT(分期持仓明细!$A$8,LEN(J$81)+2)=J$81&amp;" ·",ROW(分期持仓明细!$A$8),0)</f>
        <v>8</v>
      </c>
      <c r="Q89">
        <f>IF(LEFT(分期持仓明细!$A$8,LEN(K$81)+2)=K$81&amp;" ·",ROW(分期持仓明细!$A$8),0)</f>
        <v>0</v>
      </c>
      <c r="R89">
        <f>IF(LEFT(分期持仓明细!$A$8,LEN(L$81)+2)=L$81&amp;" ·",ROW(分期持仓明细!$A$8),0)</f>
        <v>0</v>
      </c>
    </row>
    <row r="90" spans="1:18" ht="13">
      <c r="A90" s="54" t="s">
        <v>30</v>
      </c>
      <c r="B90" s="52" t="s">
        <v>238</v>
      </c>
      <c r="C90" s="54" t="s">
        <v>234</v>
      </c>
      <c r="D90" s="54" t="s">
        <v>235</v>
      </c>
      <c r="E90" s="54" t="s">
        <v>239</v>
      </c>
      <c r="F90" s="54" t="s">
        <v>240</v>
      </c>
      <c r="G90" s="55">
        <v>5.4338345878986755E-2</v>
      </c>
      <c r="H90" s="55">
        <v>5.3133033237809359E-2</v>
      </c>
      <c r="I90" s="55">
        <v>5.1280127993777687E-2</v>
      </c>
      <c r="J90" s="55">
        <v>4.3923928891400975E-2</v>
      </c>
      <c r="K90" s="55">
        <v>4.395376124085798E-2</v>
      </c>
      <c r="L90" s="55">
        <v>8.5304372068088219E-2</v>
      </c>
      <c r="M90">
        <f>IF(LEFT(分期持仓明细!$A$9,LEN(G$81)+2)=G$81&amp;" ·",ROW(分期持仓明细!$A$9),0)</f>
        <v>0</v>
      </c>
      <c r="N90">
        <f>IF(LEFT(分期持仓明细!$A$9,LEN(H$81)+2)=H$81&amp;" ·",ROW(分期持仓明细!$A$9),0)</f>
        <v>0</v>
      </c>
      <c r="O90">
        <f>IF(LEFT(分期持仓明细!$A$9,LEN(I$81)+2)=I$81&amp;" ·",ROW(分期持仓明细!$A$9),0)</f>
        <v>0</v>
      </c>
      <c r="P90">
        <f>IF(LEFT(分期持仓明细!$A$9,LEN(J$81)+2)=J$81&amp;" ·",ROW(分期持仓明细!$A$9),0)</f>
        <v>9</v>
      </c>
      <c r="Q90">
        <f>IF(LEFT(分期持仓明细!$A$9,LEN(K$81)+2)=K$81&amp;" ·",ROW(分期持仓明细!$A$9),0)</f>
        <v>0</v>
      </c>
      <c r="R90">
        <f>IF(LEFT(分期持仓明细!$A$9,LEN(L$81)+2)=L$81&amp;" ·",ROW(分期持仓明细!$A$9),0)</f>
        <v>0</v>
      </c>
    </row>
    <row r="91" spans="1:18" ht="13">
      <c r="A91" s="54" t="s">
        <v>31</v>
      </c>
      <c r="B91" s="52" t="s">
        <v>241</v>
      </c>
      <c r="C91" s="54" t="s">
        <v>242</v>
      </c>
      <c r="D91" s="54" t="s">
        <v>230</v>
      </c>
      <c r="E91" s="54" t="s">
        <v>243</v>
      </c>
      <c r="F91" s="54" t="s">
        <v>244</v>
      </c>
      <c r="G91" s="55">
        <v>0.1681479854041161</v>
      </c>
      <c r="H91" s="55">
        <v>0.16972434194387825</v>
      </c>
      <c r="I91" s="55">
        <v>0</v>
      </c>
      <c r="J91" s="55">
        <v>0</v>
      </c>
      <c r="K91" s="55">
        <v>8.7369099448945005E-3</v>
      </c>
      <c r="L91" s="55">
        <v>0</v>
      </c>
      <c r="M91">
        <f>IF(LEFT(分期持仓明细!$A$10,LEN(G$81)+2)=G$81&amp;" ·",ROW(分期持仓明细!$A$10),0)</f>
        <v>0</v>
      </c>
      <c r="N91">
        <f>IF(LEFT(分期持仓明细!$A$10,LEN(H$81)+2)=H$81&amp;" ·",ROW(分期持仓明细!$A$10),0)</f>
        <v>0</v>
      </c>
      <c r="O91">
        <f>IF(LEFT(分期持仓明细!$A$10,LEN(I$81)+2)=I$81&amp;" ·",ROW(分期持仓明细!$A$10),0)</f>
        <v>0</v>
      </c>
      <c r="P91">
        <f>IF(LEFT(分期持仓明细!$A$10,LEN(J$81)+2)=J$81&amp;" ·",ROW(分期持仓明细!$A$10),0)</f>
        <v>0</v>
      </c>
      <c r="Q91">
        <f>IF(LEFT(分期持仓明细!$A$10,LEN(K$81)+2)=K$81&amp;" ·",ROW(分期持仓明细!$A$10),0)</f>
        <v>10</v>
      </c>
      <c r="R91">
        <f>IF(LEFT(分期持仓明细!$A$10,LEN(L$81)+2)=L$81&amp;" ·",ROW(分期持仓明细!$A$10),0)</f>
        <v>0</v>
      </c>
    </row>
    <row r="92" spans="1:18" ht="13">
      <c r="A92" s="54" t="s">
        <v>32</v>
      </c>
      <c r="B92" s="52" t="s">
        <v>245</v>
      </c>
      <c r="C92" s="54" t="s">
        <v>242</v>
      </c>
      <c r="D92" s="54" t="s">
        <v>246</v>
      </c>
      <c r="E92" s="54" t="s">
        <v>246</v>
      </c>
      <c r="F92" s="54" t="s">
        <v>247</v>
      </c>
      <c r="G92" s="55">
        <v>0</v>
      </c>
      <c r="H92" s="55">
        <v>0</v>
      </c>
      <c r="I92" s="55">
        <v>0</v>
      </c>
      <c r="J92" s="55">
        <v>0</v>
      </c>
      <c r="K92" s="55">
        <v>1.28975499557758E-2</v>
      </c>
      <c r="L92" s="55">
        <v>0</v>
      </c>
      <c r="M92">
        <f>IF(LEFT(分期持仓明细!$A$11,LEN(G$81)+2)=G$81&amp;" ·",ROW(分期持仓明细!$A$11),0)</f>
        <v>0</v>
      </c>
      <c r="N92">
        <f>IF(LEFT(分期持仓明细!$A$11,LEN(H$81)+2)=H$81&amp;" ·",ROW(分期持仓明细!$A$11),0)</f>
        <v>0</v>
      </c>
      <c r="O92">
        <f>IF(LEFT(分期持仓明细!$A$11,LEN(I$81)+2)=I$81&amp;" ·",ROW(分期持仓明细!$A$11),0)</f>
        <v>0</v>
      </c>
      <c r="P92">
        <f>IF(LEFT(分期持仓明细!$A$11,LEN(J$81)+2)=J$81&amp;" ·",ROW(分期持仓明细!$A$11),0)</f>
        <v>0</v>
      </c>
      <c r="Q92">
        <f>IF(LEFT(分期持仓明细!$A$11,LEN(K$81)+2)=K$81&amp;" ·",ROW(分期持仓明细!$A$11),0)</f>
        <v>11</v>
      </c>
      <c r="R92">
        <f>IF(LEFT(分期持仓明细!$A$11,LEN(L$81)+2)=L$81&amp;" ·",ROW(分期持仓明细!$A$11),0)</f>
        <v>0</v>
      </c>
    </row>
    <row r="93" spans="1:18" ht="13">
      <c r="A93" s="54" t="s">
        <v>33</v>
      </c>
      <c r="B93" s="52" t="s">
        <v>248</v>
      </c>
      <c r="C93" s="54" t="s">
        <v>242</v>
      </c>
      <c r="D93" s="54" t="s">
        <v>246</v>
      </c>
      <c r="E93" s="54" t="s">
        <v>246</v>
      </c>
      <c r="F93" s="54" t="s">
        <v>249</v>
      </c>
      <c r="G93" s="55">
        <v>0</v>
      </c>
      <c r="H93" s="55">
        <v>0</v>
      </c>
      <c r="I93" s="55">
        <v>0</v>
      </c>
      <c r="J93" s="55">
        <v>1.2855558252454736E-2</v>
      </c>
      <c r="K93" s="55">
        <v>0</v>
      </c>
      <c r="L93" s="55">
        <v>3.8410341115140779E-2</v>
      </c>
      <c r="M93">
        <f>IF(LEFT(分期持仓明细!$A$12,LEN(G$81)+2)=G$81&amp;" ·",ROW(分期持仓明细!$A$12),0)</f>
        <v>0</v>
      </c>
      <c r="N93">
        <f>IF(LEFT(分期持仓明细!$A$12,LEN(H$81)+2)=H$81&amp;" ·",ROW(分期持仓明细!$A$12),0)</f>
        <v>0</v>
      </c>
      <c r="O93">
        <f>IF(LEFT(分期持仓明细!$A$12,LEN(I$81)+2)=I$81&amp;" ·",ROW(分期持仓明细!$A$12),0)</f>
        <v>0</v>
      </c>
      <c r="P93">
        <f>IF(LEFT(分期持仓明细!$A$12,LEN(J$81)+2)=J$81&amp;" ·",ROW(分期持仓明细!$A$12),0)</f>
        <v>0</v>
      </c>
      <c r="Q93">
        <f>IF(LEFT(分期持仓明细!$A$12,LEN(K$81)+2)=K$81&amp;" ·",ROW(分期持仓明细!$A$12),0)</f>
        <v>0</v>
      </c>
      <c r="R93">
        <f>IF(LEFT(分期持仓明细!$A$12,LEN(L$81)+2)=L$81&amp;" ·",ROW(分期持仓明细!$A$12),0)</f>
        <v>12</v>
      </c>
    </row>
    <row r="94" spans="1:18" ht="13">
      <c r="A94" s="54" t="s">
        <v>34</v>
      </c>
      <c r="B94" s="52" t="s">
        <v>250</v>
      </c>
      <c r="C94" s="54" t="s">
        <v>242</v>
      </c>
      <c r="D94" s="54" t="s">
        <v>230</v>
      </c>
      <c r="E94" s="54" t="s">
        <v>251</v>
      </c>
      <c r="F94" s="54" t="s">
        <v>244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5">
        <v>0</v>
      </c>
      <c r="M94">
        <f>IF(LEFT(分期持仓明细!$A$13,LEN(G$81)+2)=G$81&amp;" ·",ROW(分期持仓明细!$A$13),0)</f>
        <v>0</v>
      </c>
      <c r="N94">
        <f>IF(LEFT(分期持仓明细!$A$13,LEN(H$81)+2)=H$81&amp;" ·",ROW(分期持仓明细!$A$13),0)</f>
        <v>0</v>
      </c>
      <c r="O94">
        <f>IF(LEFT(分期持仓明细!$A$13,LEN(I$81)+2)=I$81&amp;" ·",ROW(分期持仓明细!$A$13),0)</f>
        <v>0</v>
      </c>
      <c r="P94">
        <f>IF(LEFT(分期持仓明细!$A$13,LEN(J$81)+2)=J$81&amp;" ·",ROW(分期持仓明细!$A$13),0)</f>
        <v>0</v>
      </c>
      <c r="Q94">
        <f>IF(LEFT(分期持仓明细!$A$13,LEN(K$81)+2)=K$81&amp;" ·",ROW(分期持仓明细!$A$13),0)</f>
        <v>0</v>
      </c>
      <c r="R94">
        <f>IF(LEFT(分期持仓明细!$A$13,LEN(L$81)+2)=L$81&amp;" ·",ROW(分期持仓明细!$A$13),0)</f>
        <v>13</v>
      </c>
    </row>
    <row r="95" spans="1:18" ht="13">
      <c r="A95" s="54" t="s">
        <v>35</v>
      </c>
      <c r="B95" s="52" t="s">
        <v>252</v>
      </c>
      <c r="C95" s="54" t="s">
        <v>242</v>
      </c>
      <c r="D95" s="54" t="s">
        <v>230</v>
      </c>
      <c r="E95" s="54" t="s">
        <v>251</v>
      </c>
      <c r="F95" s="54" t="s">
        <v>249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5">
        <v>0</v>
      </c>
      <c r="M95">
        <f>IF(LEFT(分期持仓明细!$A$14,LEN(G$81)+2)=G$81&amp;" ·",ROW(分期持仓明细!$A$14),0)</f>
        <v>0</v>
      </c>
      <c r="N95">
        <f>IF(LEFT(分期持仓明细!$A$14,LEN(H$81)+2)=H$81&amp;" ·",ROW(分期持仓明细!$A$14),0)</f>
        <v>0</v>
      </c>
      <c r="O95">
        <f>IF(LEFT(分期持仓明细!$A$14,LEN(I$81)+2)=I$81&amp;" ·",ROW(分期持仓明细!$A$14),0)</f>
        <v>0</v>
      </c>
      <c r="P95">
        <f>IF(LEFT(分期持仓明细!$A$14,LEN(J$81)+2)=J$81&amp;" ·",ROW(分期持仓明细!$A$14),0)</f>
        <v>14</v>
      </c>
      <c r="Q95">
        <f>IF(LEFT(分期持仓明细!$A$14,LEN(K$81)+2)=K$81&amp;" ·",ROW(分期持仓明细!$A$14),0)</f>
        <v>0</v>
      </c>
      <c r="R95">
        <f>IF(LEFT(分期持仓明细!$A$14,LEN(L$81)+2)=L$81&amp;" ·",ROW(分期持仓明细!$A$14),0)</f>
        <v>0</v>
      </c>
    </row>
    <row r="96" spans="1:18" ht="13">
      <c r="A96" s="54" t="s">
        <v>36</v>
      </c>
      <c r="B96" s="52" t="s">
        <v>9</v>
      </c>
      <c r="C96" s="54" t="s">
        <v>242</v>
      </c>
      <c r="D96" s="54" t="s">
        <v>230</v>
      </c>
      <c r="E96" s="54" t="s">
        <v>243</v>
      </c>
      <c r="F96" s="54" t="s">
        <v>240</v>
      </c>
      <c r="G96" s="55">
        <v>0</v>
      </c>
      <c r="H96" s="55">
        <v>0</v>
      </c>
      <c r="I96" s="55">
        <v>0.18643460253095584</v>
      </c>
      <c r="J96" s="55">
        <v>9.6300294724422451E-3</v>
      </c>
      <c r="K96" s="55">
        <v>0</v>
      </c>
      <c r="L96" s="55">
        <v>2.8773694107794432E-2</v>
      </c>
      <c r="M96">
        <f>IF(LEFT(分期持仓明细!$A$15,LEN(G$81)+2)=G$81&amp;" ·",ROW(分期持仓明细!$A$15),0)</f>
        <v>0</v>
      </c>
      <c r="N96">
        <f>IF(LEFT(分期持仓明细!$A$15,LEN(H$81)+2)=H$81&amp;" ·",ROW(分期持仓明细!$A$15),0)</f>
        <v>0</v>
      </c>
      <c r="O96">
        <f>IF(LEFT(分期持仓明细!$A$15,LEN(I$81)+2)=I$81&amp;" ·",ROW(分期持仓明细!$A$15),0)</f>
        <v>0</v>
      </c>
      <c r="P96">
        <f>IF(LEFT(分期持仓明细!$A$15,LEN(J$81)+2)=J$81&amp;" ·",ROW(分期持仓明细!$A$15),0)</f>
        <v>0</v>
      </c>
      <c r="Q96">
        <f>IF(LEFT(分期持仓明细!$A$15,LEN(K$81)+2)=K$81&amp;" ·",ROW(分期持仓明细!$A$15),0)</f>
        <v>15</v>
      </c>
      <c r="R96">
        <f>IF(LEFT(分期持仓明细!$A$15,LEN(L$81)+2)=L$81&amp;" ·",ROW(分期持仓明细!$A$15),0)</f>
        <v>0</v>
      </c>
    </row>
    <row r="97" spans="1:18" ht="13">
      <c r="A97" s="54" t="s">
        <v>37</v>
      </c>
      <c r="B97" s="52" t="s">
        <v>253</v>
      </c>
      <c r="C97" s="54" t="s">
        <v>242</v>
      </c>
      <c r="D97" s="54" t="s">
        <v>230</v>
      </c>
      <c r="E97" s="54" t="s">
        <v>243</v>
      </c>
      <c r="F97" s="54" t="s">
        <v>244</v>
      </c>
      <c r="G97" s="55">
        <v>0.24648996572257403</v>
      </c>
      <c r="H97" s="55">
        <v>0.24475713621132436</v>
      </c>
      <c r="I97" s="55">
        <v>0</v>
      </c>
      <c r="J97" s="55">
        <v>0</v>
      </c>
      <c r="K97" s="55">
        <v>1.2259140073502661E-2</v>
      </c>
      <c r="L97" s="55">
        <v>0</v>
      </c>
      <c r="M97">
        <f>IF(LEFT(分期持仓明细!$A$16,LEN(G$81)+2)=G$81&amp;" ·",ROW(分期持仓明细!$A$16),0)</f>
        <v>0</v>
      </c>
      <c r="N97">
        <f>IF(LEFT(分期持仓明细!$A$16,LEN(H$81)+2)=H$81&amp;" ·",ROW(分期持仓明细!$A$16),0)</f>
        <v>0</v>
      </c>
      <c r="O97">
        <f>IF(LEFT(分期持仓明细!$A$16,LEN(I$81)+2)=I$81&amp;" ·",ROW(分期持仓明细!$A$16),0)</f>
        <v>0</v>
      </c>
      <c r="P97">
        <f>IF(LEFT(分期持仓明细!$A$16,LEN(J$81)+2)=J$81&amp;" ·",ROW(分期持仓明细!$A$16),0)</f>
        <v>0</v>
      </c>
      <c r="Q97">
        <f>IF(LEFT(分期持仓明细!$A$16,LEN(K$81)+2)=K$81&amp;" ·",ROW(分期持仓明细!$A$16),0)</f>
        <v>0</v>
      </c>
      <c r="R97">
        <f>IF(LEFT(分期持仓明细!$A$16,LEN(L$81)+2)=L$81&amp;" ·",ROW(分期持仓明细!$A$16),0)</f>
        <v>16</v>
      </c>
    </row>
    <row r="98" spans="1:18" ht="13">
      <c r="A98" s="54" t="s">
        <v>38</v>
      </c>
      <c r="B98" s="52" t="s">
        <v>254</v>
      </c>
      <c r="C98" s="54" t="s">
        <v>242</v>
      </c>
      <c r="D98" s="54" t="s">
        <v>230</v>
      </c>
      <c r="E98" s="54" t="s">
        <v>243</v>
      </c>
      <c r="F98" s="54" t="s">
        <v>249</v>
      </c>
      <c r="G98" s="55">
        <v>0</v>
      </c>
      <c r="H98" s="55">
        <v>0</v>
      </c>
      <c r="I98" s="55">
        <v>0.23333425378822176</v>
      </c>
      <c r="J98" s="55">
        <v>1.1060670436649926E-2</v>
      </c>
      <c r="K98" s="55">
        <v>0</v>
      </c>
      <c r="L98" s="55">
        <v>3.3047210898090498E-2</v>
      </c>
      <c r="M98">
        <f>IF(LEFT(分期持仓明细!$A$17,LEN(G$81)+2)=G$81&amp;" ·",ROW(分期持仓明细!$A$17),0)</f>
        <v>17</v>
      </c>
      <c r="N98">
        <f>IF(LEFT(分期持仓明细!$A$17,LEN(H$81)+2)=H$81&amp;" ·",ROW(分期持仓明细!$A$17),0)</f>
        <v>0</v>
      </c>
      <c r="O98">
        <f>IF(LEFT(分期持仓明细!$A$17,LEN(I$81)+2)=I$81&amp;" ·",ROW(分期持仓明细!$A$17),0)</f>
        <v>0</v>
      </c>
      <c r="P98">
        <f>IF(LEFT(分期持仓明细!$A$17,LEN(J$81)+2)=J$81&amp;" ·",ROW(分期持仓明细!$A$17),0)</f>
        <v>0</v>
      </c>
      <c r="Q98">
        <f>IF(LEFT(分期持仓明细!$A$17,LEN(K$81)+2)=K$81&amp;" ·",ROW(分期持仓明细!$A$17),0)</f>
        <v>0</v>
      </c>
      <c r="R98">
        <f>IF(LEFT(分期持仓明细!$A$17,LEN(L$81)+2)=L$81&amp;" ·",ROW(分期持仓明细!$A$17),0)</f>
        <v>0</v>
      </c>
    </row>
    <row r="99" spans="1:18" ht="13">
      <c r="A99" s="54" t="s">
        <v>39</v>
      </c>
      <c r="B99" s="52" t="s">
        <v>255</v>
      </c>
      <c r="C99" s="54" t="s">
        <v>242</v>
      </c>
      <c r="D99" s="54" t="s">
        <v>246</v>
      </c>
      <c r="E99" s="54" t="s">
        <v>246</v>
      </c>
      <c r="F99" s="54" t="s">
        <v>247</v>
      </c>
      <c r="G99" s="55">
        <v>0</v>
      </c>
      <c r="H99" s="55">
        <v>0</v>
      </c>
      <c r="I99" s="55">
        <v>0</v>
      </c>
      <c r="J99" s="55">
        <v>0</v>
      </c>
      <c r="K99" s="55">
        <v>1.305811206863005E-2</v>
      </c>
      <c r="L99" s="55">
        <v>0</v>
      </c>
      <c r="M99">
        <f>IF(LEFT(分期持仓明细!$A$18,LEN(G$81)+2)=G$81&amp;" ·",ROW(分期持仓明细!$A$18),0)</f>
        <v>0</v>
      </c>
      <c r="N99">
        <f>IF(LEFT(分期持仓明细!$A$18,LEN(H$81)+2)=H$81&amp;" ·",ROW(分期持仓明细!$A$18),0)</f>
        <v>18</v>
      </c>
      <c r="O99">
        <f>IF(LEFT(分期持仓明细!$A$18,LEN(I$81)+2)=I$81&amp;" ·",ROW(分期持仓明细!$A$18),0)</f>
        <v>0</v>
      </c>
      <c r="P99">
        <f>IF(LEFT(分期持仓明细!$A$18,LEN(J$81)+2)=J$81&amp;" ·",ROW(分期持仓明细!$A$18),0)</f>
        <v>0</v>
      </c>
      <c r="Q99">
        <f>IF(LEFT(分期持仓明细!$A$18,LEN(K$81)+2)=K$81&amp;" ·",ROW(分期持仓明细!$A$18),0)</f>
        <v>0</v>
      </c>
      <c r="R99">
        <f>IF(LEFT(分期持仓明细!$A$18,LEN(L$81)+2)=L$81&amp;" ·",ROW(分期持仓明细!$A$18),0)</f>
        <v>0</v>
      </c>
    </row>
    <row r="100" spans="1:18" ht="13">
      <c r="A100" s="54" t="s">
        <v>40</v>
      </c>
      <c r="B100" s="52" t="s">
        <v>256</v>
      </c>
      <c r="C100" s="54" t="s">
        <v>242</v>
      </c>
      <c r="D100" s="54" t="s">
        <v>246</v>
      </c>
      <c r="E100" s="54" t="s">
        <v>246</v>
      </c>
      <c r="F100" s="54" t="s">
        <v>249</v>
      </c>
      <c r="G100" s="55">
        <v>0</v>
      </c>
      <c r="H100" s="55">
        <v>0</v>
      </c>
      <c r="I100" s="55">
        <v>0</v>
      </c>
      <c r="J100" s="55">
        <v>1.2881708223882951E-2</v>
      </c>
      <c r="K100" s="55">
        <v>0</v>
      </c>
      <c r="L100" s="55">
        <v>3.8491146166847352E-2</v>
      </c>
      <c r="M100">
        <f>IF(LEFT(分期持仓明细!$A$19,LEN(G$81)+2)=G$81&amp;" ·",ROW(分期持仓明细!$A$19),0)</f>
        <v>0</v>
      </c>
      <c r="N100">
        <f>IF(LEFT(分期持仓明细!$A$19,LEN(H$81)+2)=H$81&amp;" ·",ROW(分期持仓明细!$A$19),0)</f>
        <v>0</v>
      </c>
      <c r="O100">
        <f>IF(LEFT(分期持仓明细!$A$19,LEN(I$81)+2)=I$81&amp;" ·",ROW(分期持仓明细!$A$19),0)</f>
        <v>19</v>
      </c>
      <c r="P100">
        <f>IF(LEFT(分期持仓明细!$A$19,LEN(J$81)+2)=J$81&amp;" ·",ROW(分期持仓明细!$A$19),0)</f>
        <v>0</v>
      </c>
      <c r="Q100">
        <f>IF(LEFT(分期持仓明细!$A$19,LEN(K$81)+2)=K$81&amp;" ·",ROW(分期持仓明细!$A$19),0)</f>
        <v>0</v>
      </c>
      <c r="R100">
        <f>IF(LEFT(分期持仓明细!$A$19,LEN(L$81)+2)=L$81&amp;" ·",ROW(分期持仓明细!$A$19),0)</f>
        <v>0</v>
      </c>
    </row>
    <row r="101" spans="1:18" ht="13">
      <c r="A101" s="54" t="s">
        <v>41</v>
      </c>
      <c r="B101" s="52" t="s">
        <v>257</v>
      </c>
      <c r="C101" s="54" t="s">
        <v>242</v>
      </c>
      <c r="D101" s="54" t="s">
        <v>246</v>
      </c>
      <c r="E101" s="54" t="s">
        <v>246</v>
      </c>
      <c r="F101" s="54" t="s">
        <v>247</v>
      </c>
      <c r="G101" s="55">
        <v>0</v>
      </c>
      <c r="H101" s="55">
        <v>0</v>
      </c>
      <c r="I101" s="55">
        <v>0</v>
      </c>
      <c r="J101" s="55">
        <v>0</v>
      </c>
      <c r="K101" s="55">
        <v>1.3311355660962931E-2</v>
      </c>
      <c r="L101" s="55">
        <v>0</v>
      </c>
      <c r="M101">
        <f>IF(LEFT(分期持仓明细!$A$20,LEN(G$81)+2)=G$81&amp;" ·",ROW(分期持仓明细!$A$20),0)</f>
        <v>0</v>
      </c>
      <c r="N101">
        <f>IF(LEFT(分期持仓明细!$A$20,LEN(H$81)+2)=H$81&amp;" ·",ROW(分期持仓明细!$A$20),0)</f>
        <v>0</v>
      </c>
      <c r="O101">
        <f>IF(LEFT(分期持仓明细!$A$20,LEN(I$81)+2)=I$81&amp;" ·",ROW(分期持仓明细!$A$20),0)</f>
        <v>0</v>
      </c>
      <c r="P101">
        <f>IF(LEFT(分期持仓明细!$A$20,LEN(J$81)+2)=J$81&amp;" ·",ROW(分期持仓明细!$A$20),0)</f>
        <v>20</v>
      </c>
      <c r="Q101">
        <f>IF(LEFT(分期持仓明细!$A$20,LEN(K$81)+2)=K$81&amp;" ·",ROW(分期持仓明细!$A$20),0)</f>
        <v>0</v>
      </c>
      <c r="R101">
        <f>IF(LEFT(分期持仓明细!$A$20,LEN(L$81)+2)=L$81&amp;" ·",ROW(分期持仓明细!$A$20),0)</f>
        <v>0</v>
      </c>
    </row>
    <row r="102" spans="1:18" ht="13">
      <c r="A102" s="54" t="s">
        <v>42</v>
      </c>
      <c r="B102" s="52" t="s">
        <v>258</v>
      </c>
      <c r="C102" s="54" t="s">
        <v>242</v>
      </c>
      <c r="D102" s="54" t="s">
        <v>246</v>
      </c>
      <c r="E102" s="54" t="s">
        <v>246</v>
      </c>
      <c r="F102" s="54" t="s">
        <v>249</v>
      </c>
      <c r="G102" s="55">
        <v>0</v>
      </c>
      <c r="H102" s="55">
        <v>0</v>
      </c>
      <c r="I102" s="55">
        <v>0</v>
      </c>
      <c r="J102" s="55">
        <v>1.300899943471813E-2</v>
      </c>
      <c r="K102" s="55">
        <v>0</v>
      </c>
      <c r="L102" s="55">
        <v>3.886861841160838E-2</v>
      </c>
      <c r="M102">
        <f>IF(LEFT(分期持仓明细!$A$21,LEN(G$81)+2)=G$81&amp;" ·",ROW(分期持仓明细!$A$21),0)</f>
        <v>0</v>
      </c>
      <c r="N102">
        <f>IF(LEFT(分期持仓明细!$A$21,LEN(H$81)+2)=H$81&amp;" ·",ROW(分期持仓明细!$A$21),0)</f>
        <v>0</v>
      </c>
      <c r="O102">
        <f>IF(LEFT(分期持仓明细!$A$21,LEN(I$81)+2)=I$81&amp;" ·",ROW(分期持仓明细!$A$21),0)</f>
        <v>0</v>
      </c>
      <c r="P102">
        <f>IF(LEFT(分期持仓明细!$A$21,LEN(J$81)+2)=J$81&amp;" ·",ROW(分期持仓明细!$A$21),0)</f>
        <v>0</v>
      </c>
      <c r="Q102">
        <f>IF(LEFT(分期持仓明细!$A$21,LEN(K$81)+2)=K$81&amp;" ·",ROW(分期持仓明细!$A$21),0)</f>
        <v>21</v>
      </c>
      <c r="R102">
        <f>IF(LEFT(分期持仓明细!$A$21,LEN(L$81)+2)=L$81&amp;" ·",ROW(分期持仓明细!$A$21),0)</f>
        <v>0</v>
      </c>
    </row>
    <row r="103" spans="1:18" ht="13">
      <c r="A103" s="54" t="s">
        <v>43</v>
      </c>
      <c r="B103" s="52" t="s">
        <v>259</v>
      </c>
      <c r="C103" s="54" t="s">
        <v>242</v>
      </c>
      <c r="D103" s="54" t="s">
        <v>230</v>
      </c>
      <c r="E103" s="54" t="s">
        <v>243</v>
      </c>
      <c r="F103" s="54" t="s">
        <v>244</v>
      </c>
      <c r="G103" s="55">
        <v>0.15912488007417924</v>
      </c>
      <c r="H103" s="55">
        <v>0.15902507905426536</v>
      </c>
      <c r="I103" s="55">
        <v>0</v>
      </c>
      <c r="J103" s="55">
        <v>0</v>
      </c>
      <c r="K103" s="55">
        <v>8.4098558006694794E-3</v>
      </c>
      <c r="L103" s="55">
        <v>0</v>
      </c>
      <c r="M103">
        <f>IF(LEFT(分期持仓明细!$A$22,LEN(G$81)+2)=G$81&amp;" ·",ROW(分期持仓明细!$A$22),0)</f>
        <v>0</v>
      </c>
      <c r="N103">
        <f>IF(LEFT(分期持仓明细!$A$22,LEN(H$81)+2)=H$81&amp;" ·",ROW(分期持仓明细!$A$22),0)</f>
        <v>0</v>
      </c>
      <c r="O103">
        <f>IF(LEFT(分期持仓明细!$A$22,LEN(I$81)+2)=I$81&amp;" ·",ROW(分期持仓明细!$A$22),0)</f>
        <v>0</v>
      </c>
      <c r="P103">
        <f>IF(LEFT(分期持仓明细!$A$22,LEN(J$81)+2)=J$81&amp;" ·",ROW(分期持仓明细!$A$22),0)</f>
        <v>0</v>
      </c>
      <c r="Q103">
        <f>IF(LEFT(分期持仓明细!$A$22,LEN(K$81)+2)=K$81&amp;" ·",ROW(分期持仓明细!$A$22),0)</f>
        <v>0</v>
      </c>
      <c r="R103">
        <f>IF(LEFT(分期持仓明细!$A$22,LEN(L$81)+2)=L$81&amp;" ·",ROW(分期持仓明细!$A$22),0)</f>
        <v>22</v>
      </c>
    </row>
    <row r="104" spans="1:18" ht="13">
      <c r="A104" s="54" t="s">
        <v>44</v>
      </c>
      <c r="B104" s="52" t="s">
        <v>260</v>
      </c>
      <c r="C104" s="54" t="s">
        <v>242</v>
      </c>
      <c r="D104" s="54" t="s">
        <v>230</v>
      </c>
      <c r="E104" s="54" t="s">
        <v>243</v>
      </c>
      <c r="F104" s="54" t="s">
        <v>244</v>
      </c>
      <c r="G104" s="55">
        <v>0.17230499151577977</v>
      </c>
      <c r="H104" s="55">
        <v>0.17310992190249347</v>
      </c>
      <c r="I104" s="55">
        <v>0</v>
      </c>
      <c r="J104" s="55">
        <v>0</v>
      </c>
      <c r="K104" s="55">
        <v>8.980180698834838E-3</v>
      </c>
      <c r="L104" s="55">
        <v>0</v>
      </c>
      <c r="M104">
        <f>IF(LEFT(分期持仓明细!$A$23,LEN(G$81)+2)=G$81&amp;" ·",ROW(分期持仓明细!$A$23),0)</f>
        <v>0</v>
      </c>
      <c r="N104">
        <f>IF(LEFT(分期持仓明细!$A$23,LEN(H$81)+2)=H$81&amp;" ·",ROW(分期持仓明细!$A$23),0)</f>
        <v>0</v>
      </c>
      <c r="O104">
        <f>IF(LEFT(分期持仓明细!$A$23,LEN(I$81)+2)=I$81&amp;" ·",ROW(分期持仓明细!$A$23),0)</f>
        <v>0</v>
      </c>
      <c r="P104">
        <f>IF(LEFT(分期持仓明细!$A$23,LEN(J$81)+2)=J$81&amp;" ·",ROW(分期持仓明细!$A$23),0)</f>
        <v>0</v>
      </c>
      <c r="Q104">
        <f>IF(LEFT(分期持仓明细!$A$23,LEN(K$81)+2)=K$81&amp;" ·",ROW(分期持仓明细!$A$23),0)</f>
        <v>0</v>
      </c>
      <c r="R104">
        <f>IF(LEFT(分期持仓明细!$A$23,LEN(L$81)+2)=L$81&amp;" ·",ROW(分期持仓明细!$A$23),0)</f>
        <v>0</v>
      </c>
    </row>
    <row r="105" spans="1:18" ht="13">
      <c r="A105" s="54" t="s">
        <v>45</v>
      </c>
      <c r="B105" s="52" t="s">
        <v>261</v>
      </c>
      <c r="C105" s="54" t="s">
        <v>242</v>
      </c>
      <c r="D105" s="54" t="s">
        <v>230</v>
      </c>
      <c r="E105" s="54" t="s">
        <v>243</v>
      </c>
      <c r="F105" s="54" t="s">
        <v>249</v>
      </c>
      <c r="G105" s="55">
        <v>0</v>
      </c>
      <c r="H105" s="55">
        <v>0</v>
      </c>
      <c r="I105" s="55">
        <v>0.16814227790813516</v>
      </c>
      <c r="J105" s="55">
        <v>8.7136919526273112E-3</v>
      </c>
      <c r="K105" s="55">
        <v>0</v>
      </c>
      <c r="L105" s="55">
        <v>2.6036449968919718E-2</v>
      </c>
      <c r="M105">
        <f>IF(LEFT(分期持仓明细!$A$24,LEN(G$81)+2)=G$81&amp;" ·",ROW(分期持仓明细!$A$24),0)</f>
        <v>0</v>
      </c>
      <c r="N105">
        <f>IF(LEFT(分期持仓明细!$A$24,LEN(H$81)+2)=H$81&amp;" ·",ROW(分期持仓明细!$A$24),0)</f>
        <v>0</v>
      </c>
      <c r="O105">
        <f>IF(LEFT(分期持仓明细!$A$24,LEN(I$81)+2)=I$81&amp;" ·",ROW(分期持仓明细!$A$24),0)</f>
        <v>0</v>
      </c>
      <c r="P105">
        <f>IF(LEFT(分期持仓明细!$A$24,LEN(J$81)+2)=J$81&amp;" ·",ROW(分期持仓明细!$A$24),0)</f>
        <v>0</v>
      </c>
      <c r="Q105">
        <f>IF(LEFT(分期持仓明细!$A$24,LEN(K$81)+2)=K$81&amp;" ·",ROW(分期持仓明细!$A$24),0)</f>
        <v>0</v>
      </c>
      <c r="R105">
        <f>IF(LEFT(分期持仓明细!$A$24,LEN(L$81)+2)=L$81&amp;" ·",ROW(分期持仓明细!$A$24),0)</f>
        <v>0</v>
      </c>
    </row>
    <row r="106" spans="1:18" ht="13">
      <c r="A106" s="54" t="s">
        <v>46</v>
      </c>
      <c r="B106" s="52" t="s">
        <v>262</v>
      </c>
      <c r="C106" s="54" t="s">
        <v>242</v>
      </c>
      <c r="D106" s="54" t="s">
        <v>230</v>
      </c>
      <c r="E106" s="54" t="s">
        <v>243</v>
      </c>
      <c r="F106" s="54" t="s">
        <v>249</v>
      </c>
      <c r="G106" s="55">
        <v>0</v>
      </c>
      <c r="H106" s="55">
        <v>0</v>
      </c>
      <c r="I106" s="55">
        <v>0.16735538109816184</v>
      </c>
      <c r="J106" s="55">
        <v>8.6456671485469483E-3</v>
      </c>
      <c r="K106" s="55">
        <v>0</v>
      </c>
      <c r="L106" s="55">
        <v>2.5834049605666629E-2</v>
      </c>
      <c r="M106">
        <f>IF(LEFT(分期持仓明细!$A$25,LEN(G$81)+2)=G$81&amp;" ·",ROW(分期持仓明细!$A$25),0)</f>
        <v>0</v>
      </c>
      <c r="N106">
        <f>IF(LEFT(分期持仓明细!$A$25,LEN(H$81)+2)=H$81&amp;" ·",ROW(分期持仓明细!$A$25),0)</f>
        <v>0</v>
      </c>
      <c r="O106">
        <f>IF(LEFT(分期持仓明细!$A$25,LEN(I$81)+2)=I$81&amp;" ·",ROW(分期持仓明细!$A$25),0)</f>
        <v>0</v>
      </c>
      <c r="P106">
        <f>IF(LEFT(分期持仓明细!$A$25,LEN(J$81)+2)=J$81&amp;" ·",ROW(分期持仓明细!$A$25),0)</f>
        <v>0</v>
      </c>
      <c r="Q106">
        <f>IF(LEFT(分期持仓明细!$A$25,LEN(K$81)+2)=K$81&amp;" ·",ROW(分期持仓明细!$A$25),0)</f>
        <v>0</v>
      </c>
      <c r="R106">
        <f>IF(LEFT(分期持仓明细!$A$25,LEN(L$81)+2)=L$81&amp;" ·",ROW(分期持仓明细!$A$25),0)</f>
        <v>0</v>
      </c>
    </row>
    <row r="107" spans="1:18" ht="13">
      <c r="A107" s="54" t="s">
        <v>47</v>
      </c>
      <c r="B107" s="52" t="s">
        <v>263</v>
      </c>
      <c r="C107" s="54" t="s">
        <v>242</v>
      </c>
      <c r="D107" s="54" t="s">
        <v>230</v>
      </c>
      <c r="E107" s="54" t="s">
        <v>251</v>
      </c>
      <c r="F107" s="54" t="s">
        <v>244</v>
      </c>
      <c r="G107" s="55">
        <v>0.13112866075668961</v>
      </c>
      <c r="H107" s="55">
        <v>0.1317750117897416</v>
      </c>
      <c r="I107" s="55">
        <v>0</v>
      </c>
      <c r="J107" s="55">
        <v>0</v>
      </c>
      <c r="K107" s="55">
        <v>5.8560968181895854E-3</v>
      </c>
      <c r="L107" s="55">
        <v>0</v>
      </c>
      <c r="M107">
        <f>IF(LEFT(分期持仓明细!$A$26,LEN(G$81)+2)=G$81&amp;" ·",ROW(分期持仓明细!$A$26),0)</f>
        <v>0</v>
      </c>
      <c r="N107">
        <f>IF(LEFT(分期持仓明细!$A$26,LEN(H$81)+2)=H$81&amp;" ·",ROW(分期持仓明细!$A$26),0)</f>
        <v>0</v>
      </c>
      <c r="O107">
        <f>IF(LEFT(分期持仓明细!$A$26,LEN(I$81)+2)=I$81&amp;" ·",ROW(分期持仓明细!$A$26),0)</f>
        <v>0</v>
      </c>
      <c r="P107">
        <f>IF(LEFT(分期持仓明细!$A$26,LEN(J$81)+2)=J$81&amp;" ·",ROW(分期持仓明细!$A$26),0)</f>
        <v>0</v>
      </c>
      <c r="Q107">
        <f>IF(LEFT(分期持仓明细!$A$26,LEN(K$81)+2)=K$81&amp;" ·",ROW(分期持仓明细!$A$26),0)</f>
        <v>0</v>
      </c>
      <c r="R107">
        <f>IF(LEFT(分期持仓明细!$A$26,LEN(L$81)+2)=L$81&amp;" ·",ROW(分期持仓明细!$A$26),0)</f>
        <v>0</v>
      </c>
    </row>
    <row r="108" spans="1:18" ht="13">
      <c r="A108" s="54" t="s">
        <v>48</v>
      </c>
      <c r="B108" s="52" t="s">
        <v>264</v>
      </c>
      <c r="C108" s="54" t="s">
        <v>242</v>
      </c>
      <c r="D108" s="54" t="s">
        <v>230</v>
      </c>
      <c r="E108" s="54" t="s">
        <v>251</v>
      </c>
      <c r="F108" s="54" t="s">
        <v>249</v>
      </c>
      <c r="G108" s="55">
        <v>0</v>
      </c>
      <c r="H108" s="55">
        <v>0</v>
      </c>
      <c r="I108" s="55">
        <v>0.12507142493000778</v>
      </c>
      <c r="J108" s="55">
        <v>5.4133908101450853E-3</v>
      </c>
      <c r="K108" s="55">
        <v>0</v>
      </c>
      <c r="L108" s="55">
        <v>1.6174800858502231E-2</v>
      </c>
      <c r="M108">
        <f>IF(LEFT(分期持仓明细!$A$27,LEN(G$81)+2)=G$81&amp;" ·",ROW(分期持仓明细!$A$27),0)</f>
        <v>0</v>
      </c>
      <c r="N108">
        <f>IF(LEFT(分期持仓明细!$A$27,LEN(H$81)+2)=H$81&amp;" ·",ROW(分期持仓明细!$A$27),0)</f>
        <v>0</v>
      </c>
      <c r="O108">
        <f>IF(LEFT(分期持仓明细!$A$27,LEN(I$81)+2)=I$81&amp;" ·",ROW(分期持仓明细!$A$27),0)</f>
        <v>0</v>
      </c>
      <c r="P108">
        <f>IF(LEFT(分期持仓明细!$A$27,LEN(J$81)+2)=J$81&amp;" ·",ROW(分期持仓明细!$A$27),0)</f>
        <v>0</v>
      </c>
      <c r="Q108">
        <f>IF(LEFT(分期持仓明细!$A$27,LEN(K$81)+2)=K$81&amp;" ·",ROW(分期持仓明细!$A$27),0)</f>
        <v>0</v>
      </c>
      <c r="R108">
        <f>IF(LEFT(分期持仓明细!$A$27,LEN(L$81)+2)=L$81&amp;" ·",ROW(分期持仓明细!$A$27),0)</f>
        <v>0</v>
      </c>
    </row>
    <row r="109" spans="1:18" ht="13">
      <c r="A109" s="54" t="s">
        <v>49</v>
      </c>
      <c r="B109" s="52" t="s">
        <v>265</v>
      </c>
      <c r="C109" s="54" t="s">
        <v>242</v>
      </c>
      <c r="D109" s="54" t="s">
        <v>246</v>
      </c>
      <c r="E109" s="54" t="s">
        <v>246</v>
      </c>
      <c r="F109" s="54" t="s">
        <v>247</v>
      </c>
      <c r="G109" s="55">
        <v>0</v>
      </c>
      <c r="H109" s="55">
        <v>0</v>
      </c>
      <c r="I109" s="55">
        <v>0</v>
      </c>
      <c r="J109" s="55">
        <v>0</v>
      </c>
      <c r="K109" s="55">
        <v>1.2743977694171382E-2</v>
      </c>
      <c r="L109" s="55">
        <v>0</v>
      </c>
      <c r="M109">
        <f>IF(LEFT(分期持仓明细!$A$28,LEN(G$81)+2)=G$81&amp;" ·",ROW(分期持仓明细!$A$28),0)</f>
        <v>0</v>
      </c>
      <c r="N109">
        <f>IF(LEFT(分期持仓明细!$A$28,LEN(H$81)+2)=H$81&amp;" ·",ROW(分期持仓明细!$A$28),0)</f>
        <v>0</v>
      </c>
      <c r="O109">
        <f>IF(LEFT(分期持仓明细!$A$28,LEN(I$81)+2)=I$81&amp;" ·",ROW(分期持仓明细!$A$28),0)</f>
        <v>0</v>
      </c>
      <c r="P109">
        <f>IF(LEFT(分期持仓明细!$A$28,LEN(J$81)+2)=J$81&amp;" ·",ROW(分期持仓明细!$A$28),0)</f>
        <v>0</v>
      </c>
      <c r="Q109">
        <f>IF(LEFT(分期持仓明细!$A$28,LEN(K$81)+2)=K$81&amp;" ·",ROW(分期持仓明细!$A$28),0)</f>
        <v>0</v>
      </c>
      <c r="R109">
        <f>IF(LEFT(分期持仓明细!$A$28,LEN(L$81)+2)=L$81&amp;" ·",ROW(分期持仓明细!$A$28),0)</f>
        <v>0</v>
      </c>
    </row>
    <row r="110" spans="1:18" ht="13">
      <c r="A110" s="54" t="s">
        <v>50</v>
      </c>
      <c r="B110" s="52" t="s">
        <v>266</v>
      </c>
      <c r="C110" s="54" t="s">
        <v>242</v>
      </c>
      <c r="D110" s="54" t="s">
        <v>246</v>
      </c>
      <c r="E110" s="54" t="s">
        <v>246</v>
      </c>
      <c r="F110" s="54" t="s">
        <v>249</v>
      </c>
      <c r="G110" s="55">
        <v>0</v>
      </c>
      <c r="H110" s="55">
        <v>0</v>
      </c>
      <c r="I110" s="55">
        <v>0</v>
      </c>
      <c r="J110" s="55">
        <v>1.2762048562637551E-2</v>
      </c>
      <c r="K110" s="55">
        <v>0</v>
      </c>
      <c r="L110" s="55">
        <v>3.8132571431769798E-2</v>
      </c>
      <c r="M110">
        <f>IF(LEFT(分期持仓明细!$A$29,LEN(G$81)+2)=G$81&amp;" ·",ROW(分期持仓明细!$A$29),0)</f>
        <v>0</v>
      </c>
      <c r="N110">
        <f>IF(LEFT(分期持仓明细!$A$29,LEN(H$81)+2)=H$81&amp;" ·",ROW(分期持仓明细!$A$29),0)</f>
        <v>0</v>
      </c>
      <c r="O110">
        <f>IF(LEFT(分期持仓明细!$A$29,LEN(I$81)+2)=I$81&amp;" ·",ROW(分期持仓明细!$A$29),0)</f>
        <v>0</v>
      </c>
      <c r="P110">
        <f>IF(LEFT(分期持仓明细!$A$29,LEN(J$81)+2)=J$81&amp;" ·",ROW(分期持仓明细!$A$29),0)</f>
        <v>0</v>
      </c>
      <c r="Q110">
        <f>IF(LEFT(分期持仓明细!$A$29,LEN(K$81)+2)=K$81&amp;" ·",ROW(分期持仓明细!$A$29),0)</f>
        <v>0</v>
      </c>
      <c r="R110">
        <f>IF(LEFT(分期持仓明细!$A$29,LEN(L$81)+2)=L$81&amp;" ·",ROW(分期持仓明细!$A$29),0)</f>
        <v>0</v>
      </c>
    </row>
    <row r="111" spans="1:18" ht="13">
      <c r="A111" s="54" t="s">
        <v>51</v>
      </c>
      <c r="B111" s="52" t="s">
        <v>267</v>
      </c>
      <c r="C111" s="54" t="s">
        <v>234</v>
      </c>
      <c r="D111" s="54" t="s">
        <v>235</v>
      </c>
      <c r="E111" s="54" t="s">
        <v>268</v>
      </c>
      <c r="F111" s="54" t="s">
        <v>269</v>
      </c>
      <c r="G111" s="55">
        <v>0</v>
      </c>
      <c r="H111" s="55">
        <v>0</v>
      </c>
      <c r="I111" s="55">
        <v>0</v>
      </c>
      <c r="J111" s="55">
        <v>0.79745009544564527</v>
      </c>
      <c r="K111" s="55">
        <v>0.79847502055174235</v>
      </c>
      <c r="L111" s="55">
        <v>0.49216006002582735</v>
      </c>
      <c r="M111">
        <f>IF(LEFT(分期持仓明细!$A$30,LEN(G$81)+2)=G$81&amp;" ·",ROW(分期持仓明细!$A$30),0)</f>
        <v>0</v>
      </c>
      <c r="N111">
        <f>IF(LEFT(分期持仓明细!$A$30,LEN(H$81)+2)=H$81&amp;" ·",ROW(分期持仓明细!$A$30),0)</f>
        <v>0</v>
      </c>
      <c r="O111">
        <f>IF(LEFT(分期持仓明细!$A$30,LEN(I$81)+2)=I$81&amp;" ·",ROW(分期持仓明细!$A$30),0)</f>
        <v>0</v>
      </c>
      <c r="P111">
        <f>IF(LEFT(分期持仓明细!$A$30,LEN(J$81)+2)=J$81&amp;" ·",ROW(分期持仓明细!$A$30),0)</f>
        <v>0</v>
      </c>
      <c r="Q111">
        <f>IF(LEFT(分期持仓明细!$A$30,LEN(K$81)+2)=K$81&amp;" ·",ROW(分期持仓明细!$A$30),0)</f>
        <v>0</v>
      </c>
      <c r="R111">
        <f>IF(LEFT(分期持仓明细!$A$30,LEN(L$81)+2)=L$81&amp;" ·",ROW(分期持仓明细!$A$30),0)</f>
        <v>0</v>
      </c>
    </row>
    <row r="112" spans="1:18" ht="13">
      <c r="A112" s="54" t="s">
        <v>61</v>
      </c>
      <c r="B112" s="52" t="s">
        <v>62</v>
      </c>
      <c r="C112" s="54" t="s">
        <v>242</v>
      </c>
      <c r="D112" s="54" t="s">
        <v>230</v>
      </c>
      <c r="E112" s="54" t="s">
        <v>243</v>
      </c>
      <c r="F112" s="54" t="s">
        <v>244</v>
      </c>
      <c r="G112" s="55">
        <v>6.8465170647674434E-2</v>
      </c>
      <c r="H112" s="55">
        <v>6.8475475860487661E-2</v>
      </c>
      <c r="I112" s="55">
        <v>6.8381931750740005E-2</v>
      </c>
      <c r="J112" s="55">
        <v>9.5107368966037675E-3</v>
      </c>
      <c r="K112" s="55">
        <v>9.5235456715052746E-3</v>
      </c>
      <c r="L112" s="55">
        <v>3.0916082245689688E-2</v>
      </c>
      <c r="M112">
        <f>IF(LEFT(分期持仓明细!$A$31,LEN(G$81)+2)=G$81&amp;" ·",ROW(分期持仓明细!$A$31),0)</f>
        <v>0</v>
      </c>
      <c r="N112">
        <f>IF(LEFT(分期持仓明细!$A$31,LEN(H$81)+2)=H$81&amp;" ·",ROW(分期持仓明细!$A$31),0)</f>
        <v>0</v>
      </c>
      <c r="O112">
        <f>IF(LEFT(分期持仓明细!$A$31,LEN(I$81)+2)=I$81&amp;" ·",ROW(分期持仓明细!$A$31),0)</f>
        <v>0</v>
      </c>
      <c r="P112">
        <f>IF(LEFT(分期持仓明细!$A$31,LEN(J$81)+2)=J$81&amp;" ·",ROW(分期持仓明细!$A$31),0)</f>
        <v>0</v>
      </c>
      <c r="Q112">
        <f>IF(LEFT(分期持仓明细!$A$31,LEN(K$81)+2)=K$81&amp;" ·",ROW(分期持仓明细!$A$31),0)</f>
        <v>0</v>
      </c>
      <c r="R112">
        <f>IF(LEFT(分期持仓明细!$A$31,LEN(L$81)+2)=L$81&amp;" ·",ROW(分期持仓明细!$A$31),0)</f>
        <v>0</v>
      </c>
    </row>
    <row r="113" spans="13:18">
      <c r="M113">
        <f>IF(LEFT(分期持仓明细!$A$32,LEN(G$81)+2)=G$81&amp;" ·",ROW(分期持仓明细!$A$32),0)</f>
        <v>0</v>
      </c>
      <c r="N113">
        <f>IF(LEFT(分期持仓明细!$A$32,LEN(H$81)+2)=H$81&amp;" ·",ROW(分期持仓明细!$A$32),0)</f>
        <v>0</v>
      </c>
      <c r="O113">
        <f>IF(LEFT(分期持仓明细!$A$32,LEN(I$81)+2)=I$81&amp;" ·",ROW(分期持仓明细!$A$32),0)</f>
        <v>0</v>
      </c>
      <c r="P113">
        <f>IF(LEFT(分期持仓明细!$A$32,LEN(J$81)+2)=J$81&amp;" ·",ROW(分期持仓明细!$A$32),0)</f>
        <v>0</v>
      </c>
      <c r="Q113">
        <f>IF(LEFT(分期持仓明细!$A$32,LEN(K$81)+2)=K$81&amp;" ·",ROW(分期持仓明细!$A$32),0)</f>
        <v>0</v>
      </c>
      <c r="R113">
        <f>IF(LEFT(分期持仓明细!$A$32,LEN(L$81)+2)=L$81&amp;" ·",ROW(分期持仓明细!$A$32),0)</f>
        <v>0</v>
      </c>
    </row>
    <row r="114" spans="13:18">
      <c r="M114">
        <f>IF(LEFT(分期持仓明细!$A$33,LEN(G$81)+2)=G$81&amp;" ·",ROW(分期持仓明细!$A$33),0)</f>
        <v>0</v>
      </c>
      <c r="N114">
        <f>IF(LEFT(分期持仓明细!$A$33,LEN(H$81)+2)=H$81&amp;" ·",ROW(分期持仓明细!$A$33),0)</f>
        <v>0</v>
      </c>
      <c r="O114">
        <f>IF(LEFT(分期持仓明细!$A$33,LEN(I$81)+2)=I$81&amp;" ·",ROW(分期持仓明细!$A$33),0)</f>
        <v>0</v>
      </c>
      <c r="P114">
        <f>IF(LEFT(分期持仓明细!$A$33,LEN(J$81)+2)=J$81&amp;" ·",ROW(分期持仓明细!$A$33),0)</f>
        <v>0</v>
      </c>
      <c r="Q114">
        <f>IF(LEFT(分期持仓明细!$A$33,LEN(K$81)+2)=K$81&amp;" ·",ROW(分期持仓明细!$A$33),0)</f>
        <v>0</v>
      </c>
      <c r="R114">
        <f>IF(LEFT(分期持仓明细!$A$33,LEN(L$81)+2)=L$81&amp;" ·",ROW(分期持仓明细!$A$33),0)</f>
        <v>0</v>
      </c>
    </row>
    <row r="115" spans="13:18">
      <c r="M115">
        <f>IF(LEFT(分期持仓明细!$A$34,LEN(G$81)+2)=G$81&amp;" ·",ROW(分期持仓明细!$A$34),0)</f>
        <v>0</v>
      </c>
      <c r="N115">
        <f>IF(LEFT(分期持仓明细!$A$34,LEN(H$81)+2)=H$81&amp;" ·",ROW(分期持仓明细!$A$34),0)</f>
        <v>0</v>
      </c>
      <c r="O115">
        <f>IF(LEFT(分期持仓明细!$A$34,LEN(I$81)+2)=I$81&amp;" ·",ROW(分期持仓明细!$A$34),0)</f>
        <v>0</v>
      </c>
      <c r="P115">
        <f>IF(LEFT(分期持仓明细!$A$34,LEN(J$81)+2)=J$81&amp;" ·",ROW(分期持仓明细!$A$34),0)</f>
        <v>0</v>
      </c>
      <c r="Q115">
        <f>IF(LEFT(分期持仓明细!$A$34,LEN(K$81)+2)=K$81&amp;" ·",ROW(分期持仓明细!$A$34),0)</f>
        <v>0</v>
      </c>
      <c r="R115">
        <f>IF(LEFT(分期持仓明细!$A$34,LEN(L$81)+2)=L$81&amp;" ·",ROW(分期持仓明细!$A$34),0)</f>
        <v>0</v>
      </c>
    </row>
    <row r="116" spans="13:18">
      <c r="M116">
        <f>IF(LEFT(分期持仓明细!$A$35,LEN(G$81)+2)=G$81&amp;" ·",ROW(分期持仓明细!$A$35),0)</f>
        <v>0</v>
      </c>
      <c r="N116">
        <f>IF(LEFT(分期持仓明细!$A$35,LEN(H$81)+2)=H$81&amp;" ·",ROW(分期持仓明细!$A$35),0)</f>
        <v>0</v>
      </c>
      <c r="O116">
        <f>IF(LEFT(分期持仓明细!$A$35,LEN(I$81)+2)=I$81&amp;" ·",ROW(分期持仓明细!$A$35),0)</f>
        <v>0</v>
      </c>
      <c r="P116">
        <f>IF(LEFT(分期持仓明细!$A$35,LEN(J$81)+2)=J$81&amp;" ·",ROW(分期持仓明细!$A$35),0)</f>
        <v>0</v>
      </c>
      <c r="Q116">
        <f>IF(LEFT(分期持仓明细!$A$35,LEN(K$81)+2)=K$81&amp;" ·",ROW(分期持仓明细!$A$35),0)</f>
        <v>0</v>
      </c>
      <c r="R116">
        <f>IF(LEFT(分期持仓明细!$A$35,LEN(L$81)+2)=L$81&amp;" ·",ROW(分期持仓明细!$A$35),0)</f>
        <v>0</v>
      </c>
    </row>
    <row r="117" spans="13:18">
      <c r="M117">
        <f>IF(LEFT(分期持仓明细!$A$36,LEN(G$81)+2)=G$81&amp;" ·",ROW(分期持仓明细!$A$36),0)</f>
        <v>0</v>
      </c>
      <c r="N117">
        <f>IF(LEFT(分期持仓明细!$A$36,LEN(H$81)+2)=H$81&amp;" ·",ROW(分期持仓明细!$A$36),0)</f>
        <v>0</v>
      </c>
      <c r="O117">
        <f>IF(LEFT(分期持仓明细!$A$36,LEN(I$81)+2)=I$81&amp;" ·",ROW(分期持仓明细!$A$36),0)</f>
        <v>0</v>
      </c>
      <c r="P117">
        <f>IF(LEFT(分期持仓明细!$A$36,LEN(J$81)+2)=J$81&amp;" ·",ROW(分期持仓明细!$A$36),0)</f>
        <v>0</v>
      </c>
      <c r="Q117">
        <f>IF(LEFT(分期持仓明细!$A$36,LEN(K$81)+2)=K$81&amp;" ·",ROW(分期持仓明细!$A$36),0)</f>
        <v>0</v>
      </c>
      <c r="R117">
        <f>IF(LEFT(分期持仓明细!$A$36,LEN(L$81)+2)=L$81&amp;" ·",ROW(分期持仓明细!$A$36),0)</f>
        <v>0</v>
      </c>
    </row>
    <row r="118" spans="13:18">
      <c r="M118">
        <f>IF(LEFT(分期持仓明细!$A$37,LEN(G$81)+2)=G$81&amp;" ·",ROW(分期持仓明细!$A$37),0)</f>
        <v>0</v>
      </c>
      <c r="N118">
        <f>IF(LEFT(分期持仓明细!$A$37,LEN(H$81)+2)=H$81&amp;" ·",ROW(分期持仓明细!$A$37),0)</f>
        <v>0</v>
      </c>
      <c r="O118">
        <f>IF(LEFT(分期持仓明细!$A$37,LEN(I$81)+2)=I$81&amp;" ·",ROW(分期持仓明细!$A$37),0)</f>
        <v>0</v>
      </c>
      <c r="P118">
        <f>IF(LEFT(分期持仓明细!$A$37,LEN(J$81)+2)=J$81&amp;" ·",ROW(分期持仓明细!$A$37),0)</f>
        <v>0</v>
      </c>
      <c r="Q118">
        <f>IF(LEFT(分期持仓明细!$A$37,LEN(K$81)+2)=K$81&amp;" ·",ROW(分期持仓明细!$A$37),0)</f>
        <v>0</v>
      </c>
      <c r="R118">
        <f>IF(LEFT(分期持仓明细!$A$37,LEN(L$81)+2)=L$81&amp;" ·",ROW(分期持仓明细!$A$37),0)</f>
        <v>0</v>
      </c>
    </row>
    <row r="119" spans="13:18">
      <c r="M119">
        <f>IF(LEFT(分期持仓明细!$A$38,LEN(G$81)+2)=G$81&amp;" ·",ROW(分期持仓明细!$A$38),0)</f>
        <v>0</v>
      </c>
      <c r="N119">
        <f>IF(LEFT(分期持仓明细!$A$38,LEN(H$81)+2)=H$81&amp;" ·",ROW(分期持仓明细!$A$38),0)</f>
        <v>0</v>
      </c>
      <c r="O119">
        <f>IF(LEFT(分期持仓明细!$A$38,LEN(I$81)+2)=I$81&amp;" ·",ROW(分期持仓明细!$A$38),0)</f>
        <v>0</v>
      </c>
      <c r="P119">
        <f>IF(LEFT(分期持仓明细!$A$38,LEN(J$81)+2)=J$81&amp;" ·",ROW(分期持仓明细!$A$38),0)</f>
        <v>0</v>
      </c>
      <c r="Q119">
        <f>IF(LEFT(分期持仓明细!$A$38,LEN(K$81)+2)=K$81&amp;" ·",ROW(分期持仓明细!$A$38),0)</f>
        <v>0</v>
      </c>
      <c r="R119">
        <f>IF(LEFT(分期持仓明细!$A$38,LEN(L$81)+2)=L$81&amp;" ·",ROW(分期持仓明细!$A$38),0)</f>
        <v>0</v>
      </c>
    </row>
    <row r="120" spans="13:18">
      <c r="M120">
        <f>IF(LEFT(分期持仓明细!$A$39,LEN(G$81)+2)=G$81&amp;" ·",ROW(分期持仓明细!$A$39),0)</f>
        <v>0</v>
      </c>
      <c r="N120">
        <f>IF(LEFT(分期持仓明细!$A$39,LEN(H$81)+2)=H$81&amp;" ·",ROW(分期持仓明细!$A$39),0)</f>
        <v>0</v>
      </c>
      <c r="O120">
        <f>IF(LEFT(分期持仓明细!$A$39,LEN(I$81)+2)=I$81&amp;" ·",ROW(分期持仓明细!$A$39),0)</f>
        <v>0</v>
      </c>
      <c r="P120">
        <f>IF(LEFT(分期持仓明细!$A$39,LEN(J$81)+2)=J$81&amp;" ·",ROW(分期持仓明细!$A$39),0)</f>
        <v>0</v>
      </c>
      <c r="Q120">
        <f>IF(LEFT(分期持仓明细!$A$39,LEN(K$81)+2)=K$81&amp;" ·",ROW(分期持仓明细!$A$39),0)</f>
        <v>0</v>
      </c>
      <c r="R120">
        <f>IF(LEFT(分期持仓明细!$A$39,LEN(L$81)+2)=L$81&amp;" ·",ROW(分期持仓明细!$A$39),0)</f>
        <v>0</v>
      </c>
    </row>
    <row r="121" spans="13:18">
      <c r="M121">
        <f>IF(LEFT(分期持仓明细!$A$40,LEN(G$81)+2)=G$81&amp;" ·",ROW(分期持仓明细!$A$40),0)</f>
        <v>0</v>
      </c>
      <c r="N121">
        <f>IF(LEFT(分期持仓明细!$A$40,LEN(H$81)+2)=H$81&amp;" ·",ROW(分期持仓明细!$A$40),0)</f>
        <v>0</v>
      </c>
      <c r="O121">
        <f>IF(LEFT(分期持仓明细!$A$40,LEN(I$81)+2)=I$81&amp;" ·",ROW(分期持仓明细!$A$40),0)</f>
        <v>0</v>
      </c>
      <c r="P121">
        <f>IF(LEFT(分期持仓明细!$A$40,LEN(J$81)+2)=J$81&amp;" ·",ROW(分期持仓明细!$A$40),0)</f>
        <v>0</v>
      </c>
      <c r="Q121">
        <f>IF(LEFT(分期持仓明细!$A$40,LEN(K$81)+2)=K$81&amp;" ·",ROW(分期持仓明细!$A$40),0)</f>
        <v>0</v>
      </c>
      <c r="R121">
        <f>IF(LEFT(分期持仓明细!$A$40,LEN(L$81)+2)=L$81&amp;" ·",ROW(分期持仓明细!$A$40),0)</f>
        <v>0</v>
      </c>
    </row>
    <row r="122" spans="13:18">
      <c r="M122">
        <f>IF(LEFT(分期持仓明细!$A$41,LEN(G$81)+2)=G$81&amp;" ·",ROW(分期持仓明细!$A$41),0)</f>
        <v>0</v>
      </c>
      <c r="N122">
        <f>IF(LEFT(分期持仓明细!$A$41,LEN(H$81)+2)=H$81&amp;" ·",ROW(分期持仓明细!$A$41),0)</f>
        <v>0</v>
      </c>
      <c r="O122">
        <f>IF(LEFT(分期持仓明细!$A$41,LEN(I$81)+2)=I$81&amp;" ·",ROW(分期持仓明细!$A$41),0)</f>
        <v>0</v>
      </c>
      <c r="P122">
        <f>IF(LEFT(分期持仓明细!$A$41,LEN(J$81)+2)=J$81&amp;" ·",ROW(分期持仓明细!$A$41),0)</f>
        <v>0</v>
      </c>
      <c r="Q122">
        <f>IF(LEFT(分期持仓明细!$A$41,LEN(K$81)+2)=K$81&amp;" ·",ROW(分期持仓明细!$A$41),0)</f>
        <v>0</v>
      </c>
      <c r="R122">
        <f>IF(LEFT(分期持仓明细!$A$41,LEN(L$81)+2)=L$81&amp;" ·",ROW(分期持仓明细!$A$41),0)</f>
        <v>0</v>
      </c>
    </row>
    <row r="123" spans="13:18">
      <c r="M123">
        <f>IF(LEFT(分期持仓明细!$A$42,LEN(G$81)+2)=G$81&amp;" ·",ROW(分期持仓明细!$A$42),0)</f>
        <v>0</v>
      </c>
      <c r="N123">
        <f>IF(LEFT(分期持仓明细!$A$42,LEN(H$81)+2)=H$81&amp;" ·",ROW(分期持仓明细!$A$42),0)</f>
        <v>0</v>
      </c>
      <c r="O123">
        <f>IF(LEFT(分期持仓明细!$A$42,LEN(I$81)+2)=I$81&amp;" ·",ROW(分期持仓明细!$A$42),0)</f>
        <v>0</v>
      </c>
      <c r="P123">
        <f>IF(LEFT(分期持仓明细!$A$42,LEN(J$81)+2)=J$81&amp;" ·",ROW(分期持仓明细!$A$42),0)</f>
        <v>0</v>
      </c>
      <c r="Q123">
        <f>IF(LEFT(分期持仓明细!$A$42,LEN(K$81)+2)=K$81&amp;" ·",ROW(分期持仓明细!$A$42),0)</f>
        <v>0</v>
      </c>
      <c r="R123">
        <f>IF(LEFT(分期持仓明细!$A$42,LEN(L$81)+2)=L$81&amp;" ·",ROW(分期持仓明细!$A$42),0)</f>
        <v>0</v>
      </c>
    </row>
    <row r="124" spans="13:18">
      <c r="M124">
        <f>IF(LEFT(分期持仓明细!$A$43,LEN(G$81)+2)=G$81&amp;" ·",ROW(分期持仓明细!$A$43),0)</f>
        <v>0</v>
      </c>
      <c r="N124">
        <f>IF(LEFT(分期持仓明细!$A$43,LEN(H$81)+2)=H$81&amp;" ·",ROW(分期持仓明细!$A$43),0)</f>
        <v>0</v>
      </c>
      <c r="O124">
        <f>IF(LEFT(分期持仓明细!$A$43,LEN(I$81)+2)=I$81&amp;" ·",ROW(分期持仓明细!$A$43),0)</f>
        <v>0</v>
      </c>
      <c r="P124">
        <f>IF(LEFT(分期持仓明细!$A$43,LEN(J$81)+2)=J$81&amp;" ·",ROW(分期持仓明细!$A$43),0)</f>
        <v>0</v>
      </c>
      <c r="Q124">
        <f>IF(LEFT(分期持仓明细!$A$43,LEN(K$81)+2)=K$81&amp;" ·",ROW(分期持仓明细!$A$43),0)</f>
        <v>0</v>
      </c>
      <c r="R124">
        <f>IF(LEFT(分期持仓明细!$A$43,LEN(L$81)+2)=L$81&amp;" ·",ROW(分期持仓明细!$A$43),0)</f>
        <v>0</v>
      </c>
    </row>
    <row r="125" spans="13:18">
      <c r="M125">
        <f>IF(LEFT(分期持仓明细!$A$44,LEN(G$81)+2)=G$81&amp;" ·",ROW(分期持仓明细!$A$44),0)</f>
        <v>0</v>
      </c>
      <c r="N125">
        <f>IF(LEFT(分期持仓明细!$A$44,LEN(H$81)+2)=H$81&amp;" ·",ROW(分期持仓明细!$A$44),0)</f>
        <v>0</v>
      </c>
      <c r="O125">
        <f>IF(LEFT(分期持仓明细!$A$44,LEN(I$81)+2)=I$81&amp;" ·",ROW(分期持仓明细!$A$44),0)</f>
        <v>0</v>
      </c>
      <c r="P125">
        <f>IF(LEFT(分期持仓明细!$A$44,LEN(J$81)+2)=J$81&amp;" ·",ROW(分期持仓明细!$A$44),0)</f>
        <v>0</v>
      </c>
      <c r="Q125">
        <f>IF(LEFT(分期持仓明细!$A$44,LEN(K$81)+2)=K$81&amp;" ·",ROW(分期持仓明细!$A$44),0)</f>
        <v>0</v>
      </c>
      <c r="R125">
        <f>IF(LEFT(分期持仓明细!$A$44,LEN(L$81)+2)=L$81&amp;" ·",ROW(分期持仓明细!$A$44),0)</f>
        <v>0</v>
      </c>
    </row>
    <row r="126" spans="13:18">
      <c r="M126">
        <f>IF(LEFT(分期持仓明细!$A$45,LEN(G$81)+2)=G$81&amp;" ·",ROW(分期持仓明细!$A$45),0)</f>
        <v>0</v>
      </c>
      <c r="N126">
        <f>IF(LEFT(分期持仓明细!$A$45,LEN(H$81)+2)=H$81&amp;" ·",ROW(分期持仓明细!$A$45),0)</f>
        <v>0</v>
      </c>
      <c r="O126">
        <f>IF(LEFT(分期持仓明细!$A$45,LEN(I$81)+2)=I$81&amp;" ·",ROW(分期持仓明细!$A$45),0)</f>
        <v>0</v>
      </c>
      <c r="P126">
        <f>IF(LEFT(分期持仓明细!$A$45,LEN(J$81)+2)=J$81&amp;" ·",ROW(分期持仓明细!$A$45),0)</f>
        <v>0</v>
      </c>
      <c r="Q126">
        <f>IF(LEFT(分期持仓明细!$A$45,LEN(K$81)+2)=K$81&amp;" ·",ROW(分期持仓明细!$A$45),0)</f>
        <v>0</v>
      </c>
      <c r="R126">
        <f>IF(LEFT(分期持仓明细!$A$45,LEN(L$81)+2)=L$81&amp;" ·",ROW(分期持仓明细!$A$45),0)</f>
        <v>0</v>
      </c>
    </row>
    <row r="127" spans="13:18">
      <c r="M127">
        <f>IF(LEFT(分期持仓明细!$A$46,LEN(G$81)+2)=G$81&amp;" ·",ROW(分期持仓明细!$A$46),0)</f>
        <v>0</v>
      </c>
      <c r="N127">
        <f>IF(LEFT(分期持仓明细!$A$46,LEN(H$81)+2)=H$81&amp;" ·",ROW(分期持仓明细!$A$46),0)</f>
        <v>0</v>
      </c>
      <c r="O127">
        <f>IF(LEFT(分期持仓明细!$A$46,LEN(I$81)+2)=I$81&amp;" ·",ROW(分期持仓明细!$A$46),0)</f>
        <v>0</v>
      </c>
      <c r="P127">
        <f>IF(LEFT(分期持仓明细!$A$46,LEN(J$81)+2)=J$81&amp;" ·",ROW(分期持仓明细!$A$46),0)</f>
        <v>0</v>
      </c>
      <c r="Q127">
        <f>IF(LEFT(分期持仓明细!$A$46,LEN(K$81)+2)=K$81&amp;" ·",ROW(分期持仓明细!$A$46),0)</f>
        <v>0</v>
      </c>
      <c r="R127">
        <f>IF(LEFT(分期持仓明细!$A$46,LEN(L$81)+2)=L$81&amp;" ·",ROW(分期持仓明细!$A$46),0)</f>
        <v>0</v>
      </c>
    </row>
    <row r="128" spans="13:18">
      <c r="M128">
        <f>IF(LEFT(分期持仓明细!$A$47,LEN(G$81)+2)=G$81&amp;" ·",ROW(分期持仓明细!$A$47),0)</f>
        <v>0</v>
      </c>
      <c r="N128">
        <f>IF(LEFT(分期持仓明细!$A$47,LEN(H$81)+2)=H$81&amp;" ·",ROW(分期持仓明细!$A$47),0)</f>
        <v>0</v>
      </c>
      <c r="O128">
        <f>IF(LEFT(分期持仓明细!$A$47,LEN(I$81)+2)=I$81&amp;" ·",ROW(分期持仓明细!$A$47),0)</f>
        <v>0</v>
      </c>
      <c r="P128">
        <f>IF(LEFT(分期持仓明细!$A$47,LEN(J$81)+2)=J$81&amp;" ·",ROW(分期持仓明细!$A$47),0)</f>
        <v>0</v>
      </c>
      <c r="Q128">
        <f>IF(LEFT(分期持仓明细!$A$47,LEN(K$81)+2)=K$81&amp;" ·",ROW(分期持仓明细!$A$47),0)</f>
        <v>0</v>
      </c>
      <c r="R128">
        <f>IF(LEFT(分期持仓明细!$A$47,LEN(L$81)+2)=L$81&amp;" ·",ROW(分期持仓明细!$A$47),0)</f>
        <v>0</v>
      </c>
    </row>
    <row r="129" spans="13:18">
      <c r="M129">
        <f>IF(LEFT(分期持仓明细!$A$48,LEN(G$81)+2)=G$81&amp;" ·",ROW(分期持仓明细!$A$48),0)</f>
        <v>0</v>
      </c>
      <c r="N129">
        <f>IF(LEFT(分期持仓明细!$A$48,LEN(H$81)+2)=H$81&amp;" ·",ROW(分期持仓明细!$A$48),0)</f>
        <v>0</v>
      </c>
      <c r="O129">
        <f>IF(LEFT(分期持仓明细!$A$48,LEN(I$81)+2)=I$81&amp;" ·",ROW(分期持仓明细!$A$48),0)</f>
        <v>0</v>
      </c>
      <c r="P129">
        <f>IF(LEFT(分期持仓明细!$A$48,LEN(J$81)+2)=J$81&amp;" ·",ROW(分期持仓明细!$A$48),0)</f>
        <v>0</v>
      </c>
      <c r="Q129">
        <f>IF(LEFT(分期持仓明细!$A$48,LEN(K$81)+2)=K$81&amp;" ·",ROW(分期持仓明细!$A$48),0)</f>
        <v>0</v>
      </c>
      <c r="R129">
        <f>IF(LEFT(分期持仓明细!$A$48,LEN(L$81)+2)=L$81&amp;" ·",ROW(分期持仓明细!$A$48),0)</f>
        <v>0</v>
      </c>
    </row>
    <row r="130" spans="13:18">
      <c r="M130">
        <f>IF(LEFT(分期持仓明细!$A$49,LEN(G$81)+2)=G$81&amp;" ·",ROW(分期持仓明细!$A$49),0)</f>
        <v>0</v>
      </c>
      <c r="N130">
        <f>IF(LEFT(分期持仓明细!$A$49,LEN(H$81)+2)=H$81&amp;" ·",ROW(分期持仓明细!$A$49),0)</f>
        <v>0</v>
      </c>
      <c r="O130">
        <f>IF(LEFT(分期持仓明细!$A$49,LEN(I$81)+2)=I$81&amp;" ·",ROW(分期持仓明细!$A$49),0)</f>
        <v>0</v>
      </c>
      <c r="P130">
        <f>IF(LEFT(分期持仓明细!$A$49,LEN(J$81)+2)=J$81&amp;" ·",ROW(分期持仓明细!$A$49),0)</f>
        <v>0</v>
      </c>
      <c r="Q130">
        <f>IF(LEFT(分期持仓明细!$A$49,LEN(K$81)+2)=K$81&amp;" ·",ROW(分期持仓明细!$A$49),0)</f>
        <v>0</v>
      </c>
      <c r="R130">
        <f>IF(LEFT(分期持仓明细!$A$49,LEN(L$81)+2)=L$81&amp;" ·",ROW(分期持仓明细!$A$49),0)</f>
        <v>0</v>
      </c>
    </row>
    <row r="131" spans="13:18">
      <c r="M131">
        <f>IF(LEFT(分期持仓明细!$A$50,LEN(G$81)+2)=G$81&amp;" ·",ROW(分期持仓明细!$A$50),0)</f>
        <v>0</v>
      </c>
      <c r="N131">
        <f>IF(LEFT(分期持仓明细!$A$50,LEN(H$81)+2)=H$81&amp;" ·",ROW(分期持仓明细!$A$50),0)</f>
        <v>0</v>
      </c>
      <c r="O131">
        <f>IF(LEFT(分期持仓明细!$A$50,LEN(I$81)+2)=I$81&amp;" ·",ROW(分期持仓明细!$A$50),0)</f>
        <v>0</v>
      </c>
      <c r="P131">
        <f>IF(LEFT(分期持仓明细!$A$50,LEN(J$81)+2)=J$81&amp;" ·",ROW(分期持仓明细!$A$50),0)</f>
        <v>0</v>
      </c>
      <c r="Q131">
        <f>IF(LEFT(分期持仓明细!$A$50,LEN(K$81)+2)=K$81&amp;" ·",ROW(分期持仓明细!$A$50),0)</f>
        <v>0</v>
      </c>
      <c r="R131">
        <f>IF(LEFT(分期持仓明细!$A$50,LEN(L$81)+2)=L$81&amp;" ·",ROW(分期持仓明细!$A$50),0)</f>
        <v>0</v>
      </c>
    </row>
    <row r="132" spans="13:18">
      <c r="M132">
        <f>IF(LEFT(分期持仓明细!$A$51,LEN(G$81)+2)=G$81&amp;" ·",ROW(分期持仓明细!$A$51),0)</f>
        <v>0</v>
      </c>
      <c r="N132">
        <f>IF(LEFT(分期持仓明细!$A$51,LEN(H$81)+2)=H$81&amp;" ·",ROW(分期持仓明细!$A$51),0)</f>
        <v>0</v>
      </c>
      <c r="O132">
        <f>IF(LEFT(分期持仓明细!$A$51,LEN(I$81)+2)=I$81&amp;" ·",ROW(分期持仓明细!$A$51),0)</f>
        <v>0</v>
      </c>
      <c r="P132">
        <f>IF(LEFT(分期持仓明细!$A$51,LEN(J$81)+2)=J$81&amp;" ·",ROW(分期持仓明细!$A$51),0)</f>
        <v>0</v>
      </c>
      <c r="Q132">
        <f>IF(LEFT(分期持仓明细!$A$51,LEN(K$81)+2)=K$81&amp;" ·",ROW(分期持仓明细!$A$51),0)</f>
        <v>0</v>
      </c>
      <c r="R132">
        <f>IF(LEFT(分期持仓明细!$A$51,LEN(L$81)+2)=L$81&amp;" ·",ROW(分期持仓明细!$A$51),0)</f>
        <v>0</v>
      </c>
    </row>
    <row r="133" spans="13:18">
      <c r="M133">
        <f>IF(LEFT(分期持仓明细!$A$52,LEN(G$81)+2)=G$81&amp;" ·",ROW(分期持仓明细!$A$52),0)</f>
        <v>0</v>
      </c>
      <c r="N133">
        <f>IF(LEFT(分期持仓明细!$A$52,LEN(H$81)+2)=H$81&amp;" ·",ROW(分期持仓明细!$A$52),0)</f>
        <v>0</v>
      </c>
      <c r="O133">
        <f>IF(LEFT(分期持仓明细!$A$52,LEN(I$81)+2)=I$81&amp;" ·",ROW(分期持仓明细!$A$52),0)</f>
        <v>0</v>
      </c>
      <c r="P133">
        <f>IF(LEFT(分期持仓明细!$A$52,LEN(J$81)+2)=J$81&amp;" ·",ROW(分期持仓明细!$A$52),0)</f>
        <v>0</v>
      </c>
      <c r="Q133">
        <f>IF(LEFT(分期持仓明细!$A$52,LEN(K$81)+2)=K$81&amp;" ·",ROW(分期持仓明细!$A$52),0)</f>
        <v>0</v>
      </c>
      <c r="R133">
        <f>IF(LEFT(分期持仓明细!$A$52,LEN(L$81)+2)=L$81&amp;" ·",ROW(分期持仓明细!$A$52),0)</f>
        <v>0</v>
      </c>
    </row>
    <row r="134" spans="13:18">
      <c r="M134">
        <f>IF(LEFT(分期持仓明细!$A$53,LEN(G$81)+2)=G$81&amp;" ·",ROW(分期持仓明细!$A$53),0)</f>
        <v>0</v>
      </c>
      <c r="N134">
        <f>IF(LEFT(分期持仓明细!$A$53,LEN(H$81)+2)=H$81&amp;" ·",ROW(分期持仓明细!$A$53),0)</f>
        <v>0</v>
      </c>
      <c r="O134">
        <f>IF(LEFT(分期持仓明细!$A$53,LEN(I$81)+2)=I$81&amp;" ·",ROW(分期持仓明细!$A$53),0)</f>
        <v>0</v>
      </c>
      <c r="P134">
        <f>IF(LEFT(分期持仓明细!$A$53,LEN(J$81)+2)=J$81&amp;" ·",ROW(分期持仓明细!$A$53),0)</f>
        <v>0</v>
      </c>
      <c r="Q134">
        <f>IF(LEFT(分期持仓明细!$A$53,LEN(K$81)+2)=K$81&amp;" ·",ROW(分期持仓明细!$A$53),0)</f>
        <v>0</v>
      </c>
      <c r="R134">
        <f>IF(LEFT(分期持仓明细!$A$53,LEN(L$81)+2)=L$81&amp;" ·",ROW(分期持仓明细!$A$53),0)</f>
        <v>0</v>
      </c>
    </row>
    <row r="135" spans="13:18">
      <c r="M135">
        <f>IF(LEFT(分期持仓明细!$A$54,LEN(G$81)+2)=G$81&amp;" ·",ROW(分期持仓明细!$A$54),0)</f>
        <v>0</v>
      </c>
      <c r="N135">
        <f>IF(LEFT(分期持仓明细!$A$54,LEN(H$81)+2)=H$81&amp;" ·",ROW(分期持仓明细!$A$54),0)</f>
        <v>0</v>
      </c>
      <c r="O135">
        <f>IF(LEFT(分期持仓明细!$A$54,LEN(I$81)+2)=I$81&amp;" ·",ROW(分期持仓明细!$A$54),0)</f>
        <v>0</v>
      </c>
      <c r="P135">
        <f>IF(LEFT(分期持仓明细!$A$54,LEN(J$81)+2)=J$81&amp;" ·",ROW(分期持仓明细!$A$54),0)</f>
        <v>0</v>
      </c>
      <c r="Q135">
        <f>IF(LEFT(分期持仓明细!$A$54,LEN(K$81)+2)=K$81&amp;" ·",ROW(分期持仓明细!$A$54),0)</f>
        <v>0</v>
      </c>
      <c r="R135">
        <f>IF(LEFT(分期持仓明细!$A$54,LEN(L$81)+2)=L$81&amp;" ·",ROW(分期持仓明细!$A$54),0)</f>
        <v>0</v>
      </c>
    </row>
    <row r="136" spans="13:18">
      <c r="M136">
        <f>IF(LEFT(分期持仓明细!$A$55,LEN(G$81)+2)=G$81&amp;" ·",ROW(分期持仓明细!$A$55),0)</f>
        <v>0</v>
      </c>
      <c r="N136">
        <f>IF(LEFT(分期持仓明细!$A$55,LEN(H$81)+2)=H$81&amp;" ·",ROW(分期持仓明细!$A$55),0)</f>
        <v>0</v>
      </c>
      <c r="O136">
        <f>IF(LEFT(分期持仓明细!$A$55,LEN(I$81)+2)=I$81&amp;" ·",ROW(分期持仓明细!$A$55),0)</f>
        <v>0</v>
      </c>
      <c r="P136">
        <f>IF(LEFT(分期持仓明细!$A$55,LEN(J$81)+2)=J$81&amp;" ·",ROW(分期持仓明细!$A$55),0)</f>
        <v>0</v>
      </c>
      <c r="Q136">
        <f>IF(LEFT(分期持仓明细!$A$55,LEN(K$81)+2)=K$81&amp;" ·",ROW(分期持仓明细!$A$55),0)</f>
        <v>0</v>
      </c>
      <c r="R136">
        <f>IF(LEFT(分期持仓明细!$A$55,LEN(L$81)+2)=L$81&amp;" ·",ROW(分期持仓明细!$A$55),0)</f>
        <v>0</v>
      </c>
    </row>
    <row r="137" spans="13:18">
      <c r="M137">
        <f>IF(LEFT(分期持仓明细!$A$56,LEN(G$81)+2)=G$81&amp;" ·",ROW(分期持仓明细!$A$56),0)</f>
        <v>0</v>
      </c>
      <c r="N137">
        <f>IF(LEFT(分期持仓明细!$A$56,LEN(H$81)+2)=H$81&amp;" ·",ROW(分期持仓明细!$A$56),0)</f>
        <v>0</v>
      </c>
      <c r="O137">
        <f>IF(LEFT(分期持仓明细!$A$56,LEN(I$81)+2)=I$81&amp;" ·",ROW(分期持仓明细!$A$56),0)</f>
        <v>0</v>
      </c>
      <c r="P137">
        <f>IF(LEFT(分期持仓明细!$A$56,LEN(J$81)+2)=J$81&amp;" ·",ROW(分期持仓明细!$A$56),0)</f>
        <v>0</v>
      </c>
      <c r="Q137">
        <f>IF(LEFT(分期持仓明细!$A$56,LEN(K$81)+2)=K$81&amp;" ·",ROW(分期持仓明细!$A$56),0)</f>
        <v>0</v>
      </c>
      <c r="R137">
        <f>IF(LEFT(分期持仓明细!$A$56,LEN(L$81)+2)=L$81&amp;" ·",ROW(分期持仓明细!$A$56),0)</f>
        <v>0</v>
      </c>
    </row>
    <row r="138" spans="13:18">
      <c r="M138">
        <f>IF(LEFT(分期持仓明细!$A$57,LEN(G$81)+2)=G$81&amp;" ·",ROW(分期持仓明细!$A$57),0)</f>
        <v>0</v>
      </c>
      <c r="N138">
        <f>IF(LEFT(分期持仓明细!$A$57,LEN(H$81)+2)=H$81&amp;" ·",ROW(分期持仓明细!$A$57),0)</f>
        <v>0</v>
      </c>
      <c r="O138">
        <f>IF(LEFT(分期持仓明细!$A$57,LEN(I$81)+2)=I$81&amp;" ·",ROW(分期持仓明细!$A$57),0)</f>
        <v>0</v>
      </c>
      <c r="P138">
        <f>IF(LEFT(分期持仓明细!$A$57,LEN(J$81)+2)=J$81&amp;" ·",ROW(分期持仓明细!$A$57),0)</f>
        <v>0</v>
      </c>
      <c r="Q138">
        <f>IF(LEFT(分期持仓明细!$A$57,LEN(K$81)+2)=K$81&amp;" ·",ROW(分期持仓明细!$A$57),0)</f>
        <v>0</v>
      </c>
      <c r="R138">
        <f>IF(LEFT(分期持仓明细!$A$57,LEN(L$81)+2)=L$81&amp;" ·",ROW(分期持仓明细!$A$57),0)</f>
        <v>0</v>
      </c>
    </row>
    <row r="139" spans="13:18">
      <c r="M139">
        <f>IF(LEFT(分期持仓明细!$A$58,LEN(G$81)+2)=G$81&amp;" ·",ROW(分期持仓明细!$A$58),0)</f>
        <v>0</v>
      </c>
      <c r="N139">
        <f>IF(LEFT(分期持仓明细!$A$58,LEN(H$81)+2)=H$81&amp;" ·",ROW(分期持仓明细!$A$58),0)</f>
        <v>0</v>
      </c>
      <c r="O139">
        <f>IF(LEFT(分期持仓明细!$A$58,LEN(I$81)+2)=I$81&amp;" ·",ROW(分期持仓明细!$A$58),0)</f>
        <v>0</v>
      </c>
      <c r="P139">
        <f>IF(LEFT(分期持仓明细!$A$58,LEN(J$81)+2)=J$81&amp;" ·",ROW(分期持仓明细!$A$58),0)</f>
        <v>0</v>
      </c>
      <c r="Q139">
        <f>IF(LEFT(分期持仓明细!$A$58,LEN(K$81)+2)=K$81&amp;" ·",ROW(分期持仓明细!$A$58),0)</f>
        <v>0</v>
      </c>
      <c r="R139">
        <f>IF(LEFT(分期持仓明细!$A$58,LEN(L$81)+2)=L$81&amp;" ·",ROW(分期持仓明细!$A$58),0)</f>
        <v>0</v>
      </c>
    </row>
    <row r="140" spans="13:18">
      <c r="M140">
        <f>IF(LEFT(分期持仓明细!$A$59,LEN(G$81)+2)=G$81&amp;" ·",ROW(分期持仓明细!$A$59),0)</f>
        <v>0</v>
      </c>
      <c r="N140">
        <f>IF(LEFT(分期持仓明细!$A$59,LEN(H$81)+2)=H$81&amp;" ·",ROW(分期持仓明细!$A$59),0)</f>
        <v>0</v>
      </c>
      <c r="O140">
        <f>IF(LEFT(分期持仓明细!$A$59,LEN(I$81)+2)=I$81&amp;" ·",ROW(分期持仓明细!$A$59),0)</f>
        <v>0</v>
      </c>
      <c r="P140">
        <f>IF(LEFT(分期持仓明细!$A$59,LEN(J$81)+2)=J$81&amp;" ·",ROW(分期持仓明细!$A$59),0)</f>
        <v>0</v>
      </c>
      <c r="Q140">
        <f>IF(LEFT(分期持仓明细!$A$59,LEN(K$81)+2)=K$81&amp;" ·",ROW(分期持仓明细!$A$59),0)</f>
        <v>0</v>
      </c>
      <c r="R140">
        <f>IF(LEFT(分期持仓明细!$A$59,LEN(L$81)+2)=L$81&amp;" ·",ROW(分期持仓明细!$A$59),0)</f>
        <v>0</v>
      </c>
    </row>
    <row r="141" spans="13:18">
      <c r="M141">
        <f>IF(LEFT(分期持仓明细!$A$60,LEN(G$81)+2)=G$81&amp;" ·",ROW(分期持仓明细!$A$60),0)</f>
        <v>0</v>
      </c>
      <c r="N141">
        <f>IF(LEFT(分期持仓明细!$A$60,LEN(H$81)+2)=H$81&amp;" ·",ROW(分期持仓明细!$A$60),0)</f>
        <v>0</v>
      </c>
      <c r="O141">
        <f>IF(LEFT(分期持仓明细!$A$60,LEN(I$81)+2)=I$81&amp;" ·",ROW(分期持仓明细!$A$60),0)</f>
        <v>0</v>
      </c>
      <c r="P141">
        <f>IF(LEFT(分期持仓明细!$A$60,LEN(J$81)+2)=J$81&amp;" ·",ROW(分期持仓明细!$A$60),0)</f>
        <v>0</v>
      </c>
      <c r="Q141">
        <f>IF(LEFT(分期持仓明细!$A$60,LEN(K$81)+2)=K$81&amp;" ·",ROW(分期持仓明细!$A$60),0)</f>
        <v>0</v>
      </c>
      <c r="R141">
        <f>IF(LEFT(分期持仓明细!$A$60,LEN(L$81)+2)=L$81&amp;" ·",ROW(分期持仓明细!$A$60),0)</f>
        <v>0</v>
      </c>
    </row>
    <row r="142" spans="13:18">
      <c r="M142">
        <f>IF(LEFT(分期持仓明细!$A$61,LEN(G$81)+2)=G$81&amp;" ·",ROW(分期持仓明细!$A$61),0)</f>
        <v>0</v>
      </c>
      <c r="N142">
        <f>IF(LEFT(分期持仓明细!$A$61,LEN(H$81)+2)=H$81&amp;" ·",ROW(分期持仓明细!$A$61),0)</f>
        <v>0</v>
      </c>
      <c r="O142">
        <f>IF(LEFT(分期持仓明细!$A$61,LEN(I$81)+2)=I$81&amp;" ·",ROW(分期持仓明细!$A$61),0)</f>
        <v>0</v>
      </c>
      <c r="P142">
        <f>IF(LEFT(分期持仓明细!$A$61,LEN(J$81)+2)=J$81&amp;" ·",ROW(分期持仓明细!$A$61),0)</f>
        <v>0</v>
      </c>
      <c r="Q142">
        <f>IF(LEFT(分期持仓明细!$A$61,LEN(K$81)+2)=K$81&amp;" ·",ROW(分期持仓明细!$A$61),0)</f>
        <v>0</v>
      </c>
      <c r="R142">
        <f>IF(LEFT(分期持仓明细!$A$61,LEN(L$81)+2)=L$81&amp;" ·",ROW(分期持仓明细!$A$61),0)</f>
        <v>0</v>
      </c>
    </row>
    <row r="143" spans="13:18">
      <c r="M143">
        <f>IF(LEFT(分期持仓明细!$A$62,LEN(G$81)+2)=G$81&amp;" ·",ROW(分期持仓明细!$A$62),0)</f>
        <v>0</v>
      </c>
      <c r="N143">
        <f>IF(LEFT(分期持仓明细!$A$62,LEN(H$81)+2)=H$81&amp;" ·",ROW(分期持仓明细!$A$62),0)</f>
        <v>0</v>
      </c>
      <c r="O143">
        <f>IF(LEFT(分期持仓明细!$A$62,LEN(I$81)+2)=I$81&amp;" ·",ROW(分期持仓明细!$A$62),0)</f>
        <v>0</v>
      </c>
      <c r="P143">
        <f>IF(LEFT(分期持仓明细!$A$62,LEN(J$81)+2)=J$81&amp;" ·",ROW(分期持仓明细!$A$62),0)</f>
        <v>0</v>
      </c>
      <c r="Q143">
        <f>IF(LEFT(分期持仓明细!$A$62,LEN(K$81)+2)=K$81&amp;" ·",ROW(分期持仓明细!$A$62),0)</f>
        <v>0</v>
      </c>
      <c r="R143">
        <f>IF(LEFT(分期持仓明细!$A$62,LEN(L$81)+2)=L$81&amp;" ·",ROW(分期持仓明细!$A$62),0)</f>
        <v>0</v>
      </c>
    </row>
    <row r="144" spans="13:18">
      <c r="M144">
        <f>IF(LEFT(分期持仓明细!$A$63,LEN(G$81)+2)=G$81&amp;" ·",ROW(分期持仓明细!$A$63),0)</f>
        <v>0</v>
      </c>
      <c r="N144">
        <f>IF(LEFT(分期持仓明细!$A$63,LEN(H$81)+2)=H$81&amp;" ·",ROW(分期持仓明细!$A$63),0)</f>
        <v>0</v>
      </c>
      <c r="O144">
        <f>IF(LEFT(分期持仓明细!$A$63,LEN(I$81)+2)=I$81&amp;" ·",ROW(分期持仓明细!$A$63),0)</f>
        <v>0</v>
      </c>
      <c r="P144">
        <f>IF(LEFT(分期持仓明细!$A$63,LEN(J$81)+2)=J$81&amp;" ·",ROW(分期持仓明细!$A$63),0)</f>
        <v>0</v>
      </c>
      <c r="Q144">
        <f>IF(LEFT(分期持仓明细!$A$63,LEN(K$81)+2)=K$81&amp;" ·",ROW(分期持仓明细!$A$63),0)</f>
        <v>0</v>
      </c>
      <c r="R144">
        <f>IF(LEFT(分期持仓明细!$A$63,LEN(L$81)+2)=L$81&amp;" ·",ROW(分期持仓明细!$A$63),0)</f>
        <v>0</v>
      </c>
    </row>
    <row r="145" spans="13:18">
      <c r="M145">
        <f>IF(LEFT(分期持仓明细!$A$64,LEN(G$81)+2)=G$81&amp;" ·",ROW(分期持仓明细!$A$64),0)</f>
        <v>0</v>
      </c>
      <c r="N145">
        <f>IF(LEFT(分期持仓明细!$A$64,LEN(H$81)+2)=H$81&amp;" ·",ROW(分期持仓明细!$A$64),0)</f>
        <v>0</v>
      </c>
      <c r="O145">
        <f>IF(LEFT(分期持仓明细!$A$64,LEN(I$81)+2)=I$81&amp;" ·",ROW(分期持仓明细!$A$64),0)</f>
        <v>0</v>
      </c>
      <c r="P145">
        <f>IF(LEFT(分期持仓明细!$A$64,LEN(J$81)+2)=J$81&amp;" ·",ROW(分期持仓明细!$A$64),0)</f>
        <v>0</v>
      </c>
      <c r="Q145">
        <f>IF(LEFT(分期持仓明细!$A$64,LEN(K$81)+2)=K$81&amp;" ·",ROW(分期持仓明细!$A$64),0)</f>
        <v>0</v>
      </c>
      <c r="R145">
        <f>IF(LEFT(分期持仓明细!$A$64,LEN(L$81)+2)=L$81&amp;" ·",ROW(分期持仓明细!$A$64),0)</f>
        <v>0</v>
      </c>
    </row>
    <row r="146" spans="13:18">
      <c r="M146">
        <f>IF(LEFT(分期持仓明细!$A$65,LEN(G$81)+2)=G$81&amp;" ·",ROW(分期持仓明细!$A$65),0)</f>
        <v>0</v>
      </c>
      <c r="N146">
        <f>IF(LEFT(分期持仓明细!$A$65,LEN(H$81)+2)=H$81&amp;" ·",ROW(分期持仓明细!$A$65),0)</f>
        <v>0</v>
      </c>
      <c r="O146">
        <f>IF(LEFT(分期持仓明细!$A$65,LEN(I$81)+2)=I$81&amp;" ·",ROW(分期持仓明细!$A$65),0)</f>
        <v>0</v>
      </c>
      <c r="P146">
        <f>IF(LEFT(分期持仓明细!$A$65,LEN(J$81)+2)=J$81&amp;" ·",ROW(分期持仓明细!$A$65),0)</f>
        <v>0</v>
      </c>
      <c r="Q146">
        <f>IF(LEFT(分期持仓明细!$A$65,LEN(K$81)+2)=K$81&amp;" ·",ROW(分期持仓明细!$A$65),0)</f>
        <v>0</v>
      </c>
      <c r="R146">
        <f>IF(LEFT(分期持仓明细!$A$65,LEN(L$81)+2)=L$81&amp;" ·",ROW(分期持仓明细!$A$65),0)</f>
        <v>0</v>
      </c>
    </row>
    <row r="147" spans="13:18">
      <c r="M147">
        <f>IF(LEFT(分期持仓明细!$A$66,LEN(G$81)+2)=G$81&amp;" ·",ROW(分期持仓明细!$A$66),0)</f>
        <v>0</v>
      </c>
      <c r="N147">
        <f>IF(LEFT(分期持仓明细!$A$66,LEN(H$81)+2)=H$81&amp;" ·",ROW(分期持仓明细!$A$66),0)</f>
        <v>0</v>
      </c>
      <c r="O147">
        <f>IF(LEFT(分期持仓明细!$A$66,LEN(I$81)+2)=I$81&amp;" ·",ROW(分期持仓明细!$A$66),0)</f>
        <v>0</v>
      </c>
      <c r="P147">
        <f>IF(LEFT(分期持仓明细!$A$66,LEN(J$81)+2)=J$81&amp;" ·",ROW(分期持仓明细!$A$66),0)</f>
        <v>0</v>
      </c>
      <c r="Q147">
        <f>IF(LEFT(分期持仓明细!$A$66,LEN(K$81)+2)=K$81&amp;" ·",ROW(分期持仓明细!$A$66),0)</f>
        <v>0</v>
      </c>
      <c r="R147">
        <f>IF(LEFT(分期持仓明细!$A$66,LEN(L$81)+2)=L$81&amp;" ·",ROW(分期持仓明细!$A$66),0)</f>
        <v>0</v>
      </c>
    </row>
    <row r="148" spans="13:18">
      <c r="M148">
        <f>IF(LEFT(分期持仓明细!$A$67,LEN(G$81)+2)=G$81&amp;" ·",ROW(分期持仓明细!$A$67),0)</f>
        <v>0</v>
      </c>
      <c r="N148">
        <f>IF(LEFT(分期持仓明细!$A$67,LEN(H$81)+2)=H$81&amp;" ·",ROW(分期持仓明细!$A$67),0)</f>
        <v>0</v>
      </c>
      <c r="O148">
        <f>IF(LEFT(分期持仓明细!$A$67,LEN(I$81)+2)=I$81&amp;" ·",ROW(分期持仓明细!$A$67),0)</f>
        <v>0</v>
      </c>
      <c r="P148">
        <f>IF(LEFT(分期持仓明细!$A$67,LEN(J$81)+2)=J$81&amp;" ·",ROW(分期持仓明细!$A$67),0)</f>
        <v>0</v>
      </c>
      <c r="Q148">
        <f>IF(LEFT(分期持仓明细!$A$67,LEN(K$81)+2)=K$81&amp;" ·",ROW(分期持仓明细!$A$67),0)</f>
        <v>0</v>
      </c>
      <c r="R148">
        <f>IF(LEFT(分期持仓明细!$A$67,LEN(L$81)+2)=L$81&amp;" ·",ROW(分期持仓明细!$A$67),0)</f>
        <v>0</v>
      </c>
    </row>
    <row r="149" spans="13:18">
      <c r="M149">
        <f>IF(LEFT(分期持仓明细!$A$68,LEN(G$81)+2)=G$81&amp;" ·",ROW(分期持仓明细!$A$68),0)</f>
        <v>0</v>
      </c>
      <c r="N149">
        <f>IF(LEFT(分期持仓明细!$A$68,LEN(H$81)+2)=H$81&amp;" ·",ROW(分期持仓明细!$A$68),0)</f>
        <v>0</v>
      </c>
      <c r="O149">
        <f>IF(LEFT(分期持仓明细!$A$68,LEN(I$81)+2)=I$81&amp;" ·",ROW(分期持仓明细!$A$68),0)</f>
        <v>0</v>
      </c>
      <c r="P149">
        <f>IF(LEFT(分期持仓明细!$A$68,LEN(J$81)+2)=J$81&amp;" ·",ROW(分期持仓明细!$A$68),0)</f>
        <v>0</v>
      </c>
      <c r="Q149">
        <f>IF(LEFT(分期持仓明细!$A$68,LEN(K$81)+2)=K$81&amp;" ·",ROW(分期持仓明细!$A$68),0)</f>
        <v>0</v>
      </c>
      <c r="R149">
        <f>IF(LEFT(分期持仓明细!$A$68,LEN(L$81)+2)=L$81&amp;" ·",ROW(分期持仓明细!$A$68),0)</f>
        <v>0</v>
      </c>
    </row>
    <row r="150" spans="13:18">
      <c r="M150">
        <f>IF(LEFT(分期持仓明细!$A$69,LEN(G$81)+2)=G$81&amp;" ·",ROW(分期持仓明细!$A$69),0)</f>
        <v>0</v>
      </c>
      <c r="N150">
        <f>IF(LEFT(分期持仓明细!$A$69,LEN(H$81)+2)=H$81&amp;" ·",ROW(分期持仓明细!$A$69),0)</f>
        <v>0</v>
      </c>
      <c r="O150">
        <f>IF(LEFT(分期持仓明细!$A$69,LEN(I$81)+2)=I$81&amp;" ·",ROW(分期持仓明细!$A$69),0)</f>
        <v>0</v>
      </c>
      <c r="P150">
        <f>IF(LEFT(分期持仓明细!$A$69,LEN(J$81)+2)=J$81&amp;" ·",ROW(分期持仓明细!$A$69),0)</f>
        <v>0</v>
      </c>
      <c r="Q150">
        <f>IF(LEFT(分期持仓明细!$A$69,LEN(K$81)+2)=K$81&amp;" ·",ROW(分期持仓明细!$A$69),0)</f>
        <v>0</v>
      </c>
      <c r="R150">
        <f>IF(LEFT(分期持仓明细!$A$69,LEN(L$81)+2)=L$81&amp;" ·",ROW(分期持仓明细!$A$69),0)</f>
        <v>0</v>
      </c>
    </row>
    <row r="151" spans="13:18">
      <c r="M151">
        <f>IF(LEFT(分期持仓明细!$A$70,LEN(G$81)+2)=G$81&amp;" ·",ROW(分期持仓明细!$A$70),0)</f>
        <v>0</v>
      </c>
      <c r="N151">
        <f>IF(LEFT(分期持仓明细!$A$70,LEN(H$81)+2)=H$81&amp;" ·",ROW(分期持仓明细!$A$70),0)</f>
        <v>0</v>
      </c>
      <c r="O151">
        <f>IF(LEFT(分期持仓明细!$A$70,LEN(I$81)+2)=I$81&amp;" ·",ROW(分期持仓明细!$A$70),0)</f>
        <v>0</v>
      </c>
      <c r="P151">
        <f>IF(LEFT(分期持仓明细!$A$70,LEN(J$81)+2)=J$81&amp;" ·",ROW(分期持仓明细!$A$70),0)</f>
        <v>0</v>
      </c>
      <c r="Q151">
        <f>IF(LEFT(分期持仓明细!$A$70,LEN(K$81)+2)=K$81&amp;" ·",ROW(分期持仓明细!$A$70),0)</f>
        <v>0</v>
      </c>
      <c r="R151">
        <f>IF(LEFT(分期持仓明细!$A$70,LEN(L$81)+2)=L$81&amp;" ·",ROW(分期持仓明细!$A$70),0)</f>
        <v>0</v>
      </c>
    </row>
    <row r="152" spans="13:18">
      <c r="M152">
        <f>IF(LEFT(分期持仓明细!$A$71,LEN(G$81)+2)=G$81&amp;" ·",ROW(分期持仓明细!$A$71),0)</f>
        <v>0</v>
      </c>
      <c r="N152">
        <f>IF(LEFT(分期持仓明细!$A$71,LEN(H$81)+2)=H$81&amp;" ·",ROW(分期持仓明细!$A$71),0)</f>
        <v>0</v>
      </c>
      <c r="O152">
        <f>IF(LEFT(分期持仓明细!$A$71,LEN(I$81)+2)=I$81&amp;" ·",ROW(分期持仓明细!$A$71),0)</f>
        <v>0</v>
      </c>
      <c r="P152">
        <f>IF(LEFT(分期持仓明细!$A$71,LEN(J$81)+2)=J$81&amp;" ·",ROW(分期持仓明细!$A$71),0)</f>
        <v>0</v>
      </c>
      <c r="Q152">
        <f>IF(LEFT(分期持仓明细!$A$71,LEN(K$81)+2)=K$81&amp;" ·",ROW(分期持仓明细!$A$71),0)</f>
        <v>0</v>
      </c>
      <c r="R152">
        <f>IF(LEFT(分期持仓明细!$A$71,LEN(L$81)+2)=L$81&amp;" ·",ROW(分期持仓明细!$A$71),0)</f>
        <v>0</v>
      </c>
    </row>
    <row r="153" spans="13:18">
      <c r="M153">
        <f>IF(LEFT(分期持仓明细!$A$72,LEN(G$81)+2)=G$81&amp;" ·",ROW(分期持仓明细!$A$72),0)</f>
        <v>0</v>
      </c>
      <c r="N153">
        <f>IF(LEFT(分期持仓明细!$A$72,LEN(H$81)+2)=H$81&amp;" ·",ROW(分期持仓明细!$A$72),0)</f>
        <v>0</v>
      </c>
      <c r="O153">
        <f>IF(LEFT(分期持仓明细!$A$72,LEN(I$81)+2)=I$81&amp;" ·",ROW(分期持仓明细!$A$72),0)</f>
        <v>0</v>
      </c>
      <c r="P153">
        <f>IF(LEFT(分期持仓明细!$A$72,LEN(J$81)+2)=J$81&amp;" ·",ROW(分期持仓明细!$A$72),0)</f>
        <v>0</v>
      </c>
      <c r="Q153">
        <f>IF(LEFT(分期持仓明细!$A$72,LEN(K$81)+2)=K$81&amp;" ·",ROW(分期持仓明细!$A$72),0)</f>
        <v>0</v>
      </c>
      <c r="R153">
        <f>IF(LEFT(分期持仓明细!$A$72,LEN(L$81)+2)=L$81&amp;" ·",ROW(分期持仓明细!$A$72),0)</f>
        <v>0</v>
      </c>
    </row>
    <row r="154" spans="13:18">
      <c r="M154">
        <f>IF(LEFT(分期持仓明细!$A$73,LEN(G$81)+2)=G$81&amp;" ·",ROW(分期持仓明细!$A$73),0)</f>
        <v>0</v>
      </c>
      <c r="N154">
        <f>IF(LEFT(分期持仓明细!$A$73,LEN(H$81)+2)=H$81&amp;" ·",ROW(分期持仓明细!$A$73),0)</f>
        <v>0</v>
      </c>
      <c r="O154">
        <f>IF(LEFT(分期持仓明细!$A$73,LEN(I$81)+2)=I$81&amp;" ·",ROW(分期持仓明细!$A$73),0)</f>
        <v>0</v>
      </c>
      <c r="P154">
        <f>IF(LEFT(分期持仓明细!$A$73,LEN(J$81)+2)=J$81&amp;" ·",ROW(分期持仓明细!$A$73),0)</f>
        <v>0</v>
      </c>
      <c r="Q154">
        <f>IF(LEFT(分期持仓明细!$A$73,LEN(K$81)+2)=K$81&amp;" ·",ROW(分期持仓明细!$A$73),0)</f>
        <v>0</v>
      </c>
      <c r="R154">
        <f>IF(LEFT(分期持仓明细!$A$73,LEN(L$81)+2)=L$81&amp;" ·",ROW(分期持仓明细!$A$73),0)</f>
        <v>0</v>
      </c>
    </row>
    <row r="155" spans="13:18">
      <c r="M155">
        <f>IF(LEFT(分期持仓明细!$A$74,LEN(G$81)+2)=G$81&amp;" ·",ROW(分期持仓明细!$A$74),0)</f>
        <v>0</v>
      </c>
      <c r="N155">
        <f>IF(LEFT(分期持仓明细!$A$74,LEN(H$81)+2)=H$81&amp;" ·",ROW(分期持仓明细!$A$74),0)</f>
        <v>0</v>
      </c>
      <c r="O155">
        <f>IF(LEFT(分期持仓明细!$A$74,LEN(I$81)+2)=I$81&amp;" ·",ROW(分期持仓明细!$A$74),0)</f>
        <v>0</v>
      </c>
      <c r="P155">
        <f>IF(LEFT(分期持仓明细!$A$74,LEN(J$81)+2)=J$81&amp;" ·",ROW(分期持仓明细!$A$74),0)</f>
        <v>0</v>
      </c>
      <c r="Q155">
        <f>IF(LEFT(分期持仓明细!$A$74,LEN(K$81)+2)=K$81&amp;" ·",ROW(分期持仓明细!$A$74),0)</f>
        <v>0</v>
      </c>
      <c r="R155">
        <f>IF(LEFT(分期持仓明细!$A$74,LEN(L$81)+2)=L$81&amp;" ·",ROW(分期持仓明细!$A$74),0)</f>
        <v>0</v>
      </c>
    </row>
    <row r="156" spans="13:18">
      <c r="M156">
        <f>IF(LEFT(分期持仓明细!$A$75,LEN(G$81)+2)=G$81&amp;" ·",ROW(分期持仓明细!$A$75),0)</f>
        <v>0</v>
      </c>
      <c r="N156">
        <f>IF(LEFT(分期持仓明细!$A$75,LEN(H$81)+2)=H$81&amp;" ·",ROW(分期持仓明细!$A$75),0)</f>
        <v>0</v>
      </c>
      <c r="O156">
        <f>IF(LEFT(分期持仓明细!$A$75,LEN(I$81)+2)=I$81&amp;" ·",ROW(分期持仓明细!$A$75),0)</f>
        <v>0</v>
      </c>
      <c r="P156">
        <f>IF(LEFT(分期持仓明细!$A$75,LEN(J$81)+2)=J$81&amp;" ·",ROW(分期持仓明细!$A$75),0)</f>
        <v>0</v>
      </c>
      <c r="Q156">
        <f>IF(LEFT(分期持仓明细!$A$75,LEN(K$81)+2)=K$81&amp;" ·",ROW(分期持仓明细!$A$75),0)</f>
        <v>0</v>
      </c>
      <c r="R156">
        <f>IF(LEFT(分期持仓明细!$A$75,LEN(L$81)+2)=L$81&amp;" ·",ROW(分期持仓明细!$A$75),0)</f>
        <v>0</v>
      </c>
    </row>
    <row r="157" spans="13:18">
      <c r="M157">
        <f>IF(LEFT(分期持仓明细!$A$76,LEN(G$81)+2)=G$81&amp;" ·",ROW(分期持仓明细!$A$76),0)</f>
        <v>0</v>
      </c>
      <c r="N157">
        <f>IF(LEFT(分期持仓明细!$A$76,LEN(H$81)+2)=H$81&amp;" ·",ROW(分期持仓明细!$A$76),0)</f>
        <v>0</v>
      </c>
      <c r="O157">
        <f>IF(LEFT(分期持仓明细!$A$76,LEN(I$81)+2)=I$81&amp;" ·",ROW(分期持仓明细!$A$76),0)</f>
        <v>0</v>
      </c>
      <c r="P157">
        <f>IF(LEFT(分期持仓明细!$A$76,LEN(J$81)+2)=J$81&amp;" ·",ROW(分期持仓明细!$A$76),0)</f>
        <v>0</v>
      </c>
      <c r="Q157">
        <f>IF(LEFT(分期持仓明细!$A$76,LEN(K$81)+2)=K$81&amp;" ·",ROW(分期持仓明细!$A$76),0)</f>
        <v>0</v>
      </c>
      <c r="R157">
        <f>IF(LEFT(分期持仓明细!$A$76,LEN(L$81)+2)=L$81&amp;" ·",ROW(分期持仓明细!$A$76),0)</f>
        <v>0</v>
      </c>
    </row>
    <row r="158" spans="13:18">
      <c r="M158">
        <f>IF(LEFT(分期持仓明细!$A$77,LEN(G$81)+2)=G$81&amp;" ·",ROW(分期持仓明细!$A$77),0)</f>
        <v>0</v>
      </c>
      <c r="N158">
        <f>IF(LEFT(分期持仓明细!$A$77,LEN(H$81)+2)=H$81&amp;" ·",ROW(分期持仓明细!$A$77),0)</f>
        <v>0</v>
      </c>
      <c r="O158">
        <f>IF(LEFT(分期持仓明细!$A$77,LEN(I$81)+2)=I$81&amp;" ·",ROW(分期持仓明细!$A$77),0)</f>
        <v>0</v>
      </c>
      <c r="P158">
        <f>IF(LEFT(分期持仓明细!$A$77,LEN(J$81)+2)=J$81&amp;" ·",ROW(分期持仓明细!$A$77),0)</f>
        <v>0</v>
      </c>
      <c r="Q158">
        <f>IF(LEFT(分期持仓明细!$A$77,LEN(K$81)+2)=K$81&amp;" ·",ROW(分期持仓明细!$A$77),0)</f>
        <v>0</v>
      </c>
      <c r="R158">
        <f>IF(LEFT(分期持仓明细!$A$77,LEN(L$81)+2)=L$81&amp;" ·",ROW(分期持仓明细!$A$77),0)</f>
        <v>0</v>
      </c>
    </row>
    <row r="159" spans="13:18">
      <c r="M159">
        <f>IF(LEFT(分期持仓明细!$A$78,LEN(G$81)+2)=G$81&amp;" ·",ROW(分期持仓明细!$A$78),0)</f>
        <v>0</v>
      </c>
      <c r="N159">
        <f>IF(LEFT(分期持仓明细!$A$78,LEN(H$81)+2)=H$81&amp;" ·",ROW(分期持仓明细!$A$78),0)</f>
        <v>0</v>
      </c>
      <c r="O159">
        <f>IF(LEFT(分期持仓明细!$A$78,LEN(I$81)+2)=I$81&amp;" ·",ROW(分期持仓明细!$A$78),0)</f>
        <v>0</v>
      </c>
      <c r="P159">
        <f>IF(LEFT(分期持仓明细!$A$78,LEN(J$81)+2)=J$81&amp;" ·",ROW(分期持仓明细!$A$78),0)</f>
        <v>0</v>
      </c>
      <c r="Q159">
        <f>IF(LEFT(分期持仓明细!$A$78,LEN(K$81)+2)=K$81&amp;" ·",ROW(分期持仓明细!$A$78),0)</f>
        <v>0</v>
      </c>
      <c r="R159">
        <f>IF(LEFT(分期持仓明细!$A$78,LEN(L$81)+2)=L$81&amp;" ·",ROW(分期持仓明细!$A$78),0)</f>
        <v>0</v>
      </c>
    </row>
    <row r="160" spans="13:18">
      <c r="M160">
        <f>IF(LEFT(分期持仓明细!$A$79,LEN(G$81)+2)=G$81&amp;" ·",ROW(分期持仓明细!$A$79),0)</f>
        <v>0</v>
      </c>
      <c r="N160">
        <f>IF(LEFT(分期持仓明细!$A$79,LEN(H$81)+2)=H$81&amp;" ·",ROW(分期持仓明细!$A$79),0)</f>
        <v>0</v>
      </c>
      <c r="O160">
        <f>IF(LEFT(分期持仓明细!$A$79,LEN(I$81)+2)=I$81&amp;" ·",ROW(分期持仓明细!$A$79),0)</f>
        <v>0</v>
      </c>
      <c r="P160">
        <f>IF(LEFT(分期持仓明细!$A$79,LEN(J$81)+2)=J$81&amp;" ·",ROW(分期持仓明细!$A$79),0)</f>
        <v>0</v>
      </c>
      <c r="Q160">
        <f>IF(LEFT(分期持仓明细!$A$79,LEN(K$81)+2)=K$81&amp;" ·",ROW(分期持仓明细!$A$79),0)</f>
        <v>0</v>
      </c>
      <c r="R160">
        <f>IF(LEFT(分期持仓明细!$A$79,LEN(L$81)+2)=L$81&amp;" ·",ROW(分期持仓明细!$A$79),0)</f>
        <v>0</v>
      </c>
    </row>
    <row r="161" spans="13:18">
      <c r="M161">
        <f>IF(LEFT(分期持仓明细!$A$80,LEN(G$81)+2)=G$81&amp;" ·",ROW(分期持仓明细!$A$80),0)</f>
        <v>0</v>
      </c>
      <c r="N161">
        <f>IF(LEFT(分期持仓明细!$A$80,LEN(H$81)+2)=H$81&amp;" ·",ROW(分期持仓明细!$A$80),0)</f>
        <v>0</v>
      </c>
      <c r="O161">
        <f>IF(LEFT(分期持仓明细!$A$80,LEN(I$81)+2)=I$81&amp;" ·",ROW(分期持仓明细!$A$80),0)</f>
        <v>0</v>
      </c>
      <c r="P161">
        <f>IF(LEFT(分期持仓明细!$A$80,LEN(J$81)+2)=J$81&amp;" ·",ROW(分期持仓明细!$A$80),0)</f>
        <v>0</v>
      </c>
      <c r="Q161">
        <f>IF(LEFT(分期持仓明细!$A$80,LEN(K$81)+2)=K$81&amp;" ·",ROW(分期持仓明细!$A$80),0)</f>
        <v>0</v>
      </c>
      <c r="R161">
        <f>IF(LEFT(分期持仓明细!$A$80,LEN(L$81)+2)=L$81&amp;" ·",ROW(分期持仓明细!$A$80),0)</f>
        <v>0</v>
      </c>
    </row>
    <row r="162" spans="13:18">
      <c r="M162">
        <f>IF(LEFT(分期持仓明细!$A$81,LEN(G$81)+2)=G$81&amp;" ·",ROW(分期持仓明细!$A$81),0)</f>
        <v>0</v>
      </c>
      <c r="N162">
        <f>IF(LEFT(分期持仓明细!$A$81,LEN(H$81)+2)=H$81&amp;" ·",ROW(分期持仓明细!$A$81),0)</f>
        <v>0</v>
      </c>
      <c r="O162">
        <f>IF(LEFT(分期持仓明细!$A$81,LEN(I$81)+2)=I$81&amp;" ·",ROW(分期持仓明细!$A$81),0)</f>
        <v>0</v>
      </c>
      <c r="P162">
        <f>IF(LEFT(分期持仓明细!$A$81,LEN(J$81)+2)=J$81&amp;" ·",ROW(分期持仓明细!$A$81),0)</f>
        <v>0</v>
      </c>
      <c r="Q162">
        <f>IF(LEFT(分期持仓明细!$A$81,LEN(K$81)+2)=K$81&amp;" ·",ROW(分期持仓明细!$A$81),0)</f>
        <v>0</v>
      </c>
      <c r="R162">
        <f>IF(LEFT(分期持仓明细!$A$81,LEN(L$81)+2)=L$81&amp;" ·",ROW(分期持仓明细!$A$81),0)</f>
        <v>0</v>
      </c>
    </row>
    <row r="163" spans="13:18">
      <c r="M163">
        <f>IF(LEFT(分期持仓明细!$A$82,LEN(G$81)+2)=G$81&amp;" ·",ROW(分期持仓明细!$A$82),0)</f>
        <v>0</v>
      </c>
      <c r="N163">
        <f>IF(LEFT(分期持仓明细!$A$82,LEN(H$81)+2)=H$81&amp;" ·",ROW(分期持仓明细!$A$82),0)</f>
        <v>0</v>
      </c>
      <c r="O163">
        <f>IF(LEFT(分期持仓明细!$A$82,LEN(I$81)+2)=I$81&amp;" ·",ROW(分期持仓明细!$A$82),0)</f>
        <v>0</v>
      </c>
      <c r="P163">
        <f>IF(LEFT(分期持仓明细!$A$82,LEN(J$81)+2)=J$81&amp;" ·",ROW(分期持仓明细!$A$82),0)</f>
        <v>0</v>
      </c>
      <c r="Q163">
        <f>IF(LEFT(分期持仓明细!$A$82,LEN(K$81)+2)=K$81&amp;" ·",ROW(分期持仓明细!$A$82),0)</f>
        <v>0</v>
      </c>
      <c r="R163">
        <f>IF(LEFT(分期持仓明细!$A$82,LEN(L$81)+2)=L$81&amp;" ·",ROW(分期持仓明细!$A$82),0)</f>
        <v>0</v>
      </c>
    </row>
    <row r="164" spans="13:18">
      <c r="M164">
        <f>IF(LEFT(分期持仓明细!$A$83,LEN(G$81)+2)=G$81&amp;" ·",ROW(分期持仓明细!$A$83),0)</f>
        <v>0</v>
      </c>
      <c r="N164">
        <f>IF(LEFT(分期持仓明细!$A$83,LEN(H$81)+2)=H$81&amp;" ·",ROW(分期持仓明细!$A$83),0)</f>
        <v>0</v>
      </c>
      <c r="O164">
        <f>IF(LEFT(分期持仓明细!$A$83,LEN(I$81)+2)=I$81&amp;" ·",ROW(分期持仓明细!$A$83),0)</f>
        <v>0</v>
      </c>
      <c r="P164">
        <f>IF(LEFT(分期持仓明细!$A$83,LEN(J$81)+2)=J$81&amp;" ·",ROW(分期持仓明细!$A$83),0)</f>
        <v>0</v>
      </c>
      <c r="Q164">
        <f>IF(LEFT(分期持仓明细!$A$83,LEN(K$81)+2)=K$81&amp;" ·",ROW(分期持仓明细!$A$83),0)</f>
        <v>0</v>
      </c>
      <c r="R164">
        <f>IF(LEFT(分期持仓明细!$A$83,LEN(L$81)+2)=L$81&amp;" ·",ROW(分期持仓明细!$A$83),0)</f>
        <v>0</v>
      </c>
    </row>
    <row r="165" spans="13:18">
      <c r="M165">
        <f>IF(LEFT(分期持仓明细!$A$84,LEN(G$81)+2)=G$81&amp;" ·",ROW(分期持仓明细!$A$84),0)</f>
        <v>0</v>
      </c>
      <c r="N165">
        <f>IF(LEFT(分期持仓明细!$A$84,LEN(H$81)+2)=H$81&amp;" ·",ROW(分期持仓明细!$A$84),0)</f>
        <v>0</v>
      </c>
      <c r="O165">
        <f>IF(LEFT(分期持仓明细!$A$84,LEN(I$81)+2)=I$81&amp;" ·",ROW(分期持仓明细!$A$84),0)</f>
        <v>0</v>
      </c>
      <c r="P165">
        <f>IF(LEFT(分期持仓明细!$A$84,LEN(J$81)+2)=J$81&amp;" ·",ROW(分期持仓明细!$A$84),0)</f>
        <v>0</v>
      </c>
      <c r="Q165">
        <f>IF(LEFT(分期持仓明细!$A$84,LEN(K$81)+2)=K$81&amp;" ·",ROW(分期持仓明细!$A$84),0)</f>
        <v>0</v>
      </c>
      <c r="R165">
        <f>IF(LEFT(分期持仓明细!$A$84,LEN(L$81)+2)=L$81&amp;" ·",ROW(分期持仓明细!$A$84),0)</f>
        <v>0</v>
      </c>
    </row>
    <row r="166" spans="13:18">
      <c r="M166">
        <f>IF(LEFT(分期持仓明细!$A$85,LEN(G$81)+2)=G$81&amp;" ·",ROW(分期持仓明细!$A$85),0)</f>
        <v>0</v>
      </c>
      <c r="N166">
        <f>IF(LEFT(分期持仓明细!$A$85,LEN(H$81)+2)=H$81&amp;" ·",ROW(分期持仓明细!$A$85),0)</f>
        <v>0</v>
      </c>
      <c r="O166">
        <f>IF(LEFT(分期持仓明细!$A$85,LEN(I$81)+2)=I$81&amp;" ·",ROW(分期持仓明细!$A$85),0)</f>
        <v>0</v>
      </c>
      <c r="P166">
        <f>IF(LEFT(分期持仓明细!$A$85,LEN(J$81)+2)=J$81&amp;" ·",ROW(分期持仓明细!$A$85),0)</f>
        <v>0</v>
      </c>
      <c r="Q166">
        <f>IF(LEFT(分期持仓明细!$A$85,LEN(K$81)+2)=K$81&amp;" ·",ROW(分期持仓明细!$A$85),0)</f>
        <v>0</v>
      </c>
      <c r="R166">
        <f>IF(LEFT(分期持仓明细!$A$85,LEN(L$81)+2)=L$81&amp;" ·",ROW(分期持仓明细!$A$85),0)</f>
        <v>0</v>
      </c>
    </row>
    <row r="167" spans="13:18">
      <c r="M167">
        <f>IF(LEFT(分期持仓明细!$A$86,LEN(G$81)+2)=G$81&amp;" ·",ROW(分期持仓明细!$A$86),0)</f>
        <v>0</v>
      </c>
      <c r="N167">
        <f>IF(LEFT(分期持仓明细!$A$86,LEN(H$81)+2)=H$81&amp;" ·",ROW(分期持仓明细!$A$86),0)</f>
        <v>0</v>
      </c>
      <c r="O167">
        <f>IF(LEFT(分期持仓明细!$A$86,LEN(I$81)+2)=I$81&amp;" ·",ROW(分期持仓明细!$A$86),0)</f>
        <v>0</v>
      </c>
      <c r="P167">
        <f>IF(LEFT(分期持仓明细!$A$86,LEN(J$81)+2)=J$81&amp;" ·",ROW(分期持仓明细!$A$86),0)</f>
        <v>0</v>
      </c>
      <c r="Q167">
        <f>IF(LEFT(分期持仓明细!$A$86,LEN(K$81)+2)=K$81&amp;" ·",ROW(分期持仓明细!$A$86),0)</f>
        <v>0</v>
      </c>
      <c r="R167">
        <f>IF(LEFT(分期持仓明细!$A$86,LEN(L$81)+2)=L$81&amp;" ·",ROW(分期持仓明细!$A$86),0)</f>
        <v>0</v>
      </c>
    </row>
    <row r="168" spans="13:18">
      <c r="M168">
        <f>IF(LEFT(分期持仓明细!$A$87,LEN(G$81)+2)=G$81&amp;" ·",ROW(分期持仓明细!$A$87),0)</f>
        <v>0</v>
      </c>
      <c r="N168">
        <f>IF(LEFT(分期持仓明细!$A$87,LEN(H$81)+2)=H$81&amp;" ·",ROW(分期持仓明细!$A$87),0)</f>
        <v>0</v>
      </c>
      <c r="O168">
        <f>IF(LEFT(分期持仓明细!$A$87,LEN(I$81)+2)=I$81&amp;" ·",ROW(分期持仓明细!$A$87),0)</f>
        <v>0</v>
      </c>
      <c r="P168">
        <f>IF(LEFT(分期持仓明细!$A$87,LEN(J$81)+2)=J$81&amp;" ·",ROW(分期持仓明细!$A$87),0)</f>
        <v>0</v>
      </c>
      <c r="Q168">
        <f>IF(LEFT(分期持仓明细!$A$87,LEN(K$81)+2)=K$81&amp;" ·",ROW(分期持仓明细!$A$87),0)</f>
        <v>0</v>
      </c>
      <c r="R168">
        <f>IF(LEFT(分期持仓明细!$A$87,LEN(L$81)+2)=L$81&amp;" ·",ROW(分期持仓明细!$A$87),0)</f>
        <v>0</v>
      </c>
    </row>
    <row r="169" spans="13:18">
      <c r="M169">
        <f>IF(LEFT(分期持仓明细!$A$88,LEN(G$81)+2)=G$81&amp;" ·",ROW(分期持仓明细!$A$88),0)</f>
        <v>0</v>
      </c>
      <c r="N169">
        <f>IF(LEFT(分期持仓明细!$A$88,LEN(H$81)+2)=H$81&amp;" ·",ROW(分期持仓明细!$A$88),0)</f>
        <v>0</v>
      </c>
      <c r="O169">
        <f>IF(LEFT(分期持仓明细!$A$88,LEN(I$81)+2)=I$81&amp;" ·",ROW(分期持仓明细!$A$88),0)</f>
        <v>0</v>
      </c>
      <c r="P169">
        <f>IF(LEFT(分期持仓明细!$A$88,LEN(J$81)+2)=J$81&amp;" ·",ROW(分期持仓明细!$A$88),0)</f>
        <v>0</v>
      </c>
      <c r="Q169">
        <f>IF(LEFT(分期持仓明细!$A$88,LEN(K$81)+2)=K$81&amp;" ·",ROW(分期持仓明细!$A$88),0)</f>
        <v>0</v>
      </c>
      <c r="R169">
        <f>IF(LEFT(分期持仓明细!$A$88,LEN(L$81)+2)=L$81&amp;" ·",ROW(分期持仓明细!$A$88),0)</f>
        <v>0</v>
      </c>
    </row>
    <row r="170" spans="13:18">
      <c r="M170">
        <f>IF(LEFT(分期持仓明细!$A$89,LEN(G$81)+2)=G$81&amp;" ·",ROW(分期持仓明细!$A$89),0)</f>
        <v>0</v>
      </c>
      <c r="N170">
        <f>IF(LEFT(分期持仓明细!$A$89,LEN(H$81)+2)=H$81&amp;" ·",ROW(分期持仓明细!$A$89),0)</f>
        <v>0</v>
      </c>
      <c r="O170">
        <f>IF(LEFT(分期持仓明细!$A$89,LEN(I$81)+2)=I$81&amp;" ·",ROW(分期持仓明细!$A$89),0)</f>
        <v>0</v>
      </c>
      <c r="P170">
        <f>IF(LEFT(分期持仓明细!$A$89,LEN(J$81)+2)=J$81&amp;" ·",ROW(分期持仓明细!$A$89),0)</f>
        <v>0</v>
      </c>
      <c r="Q170">
        <f>IF(LEFT(分期持仓明细!$A$89,LEN(K$81)+2)=K$81&amp;" ·",ROW(分期持仓明细!$A$89),0)</f>
        <v>0</v>
      </c>
      <c r="R170">
        <f>IF(LEFT(分期持仓明细!$A$89,LEN(L$81)+2)=L$81&amp;" ·",ROW(分期持仓明细!$A$89),0)</f>
        <v>0</v>
      </c>
    </row>
    <row r="171" spans="13:18">
      <c r="M171">
        <f>IF(LEFT(分期持仓明细!$A$90,LEN(G$81)+2)=G$81&amp;" ·",ROW(分期持仓明细!$A$90),0)</f>
        <v>0</v>
      </c>
      <c r="N171">
        <f>IF(LEFT(分期持仓明细!$A$90,LEN(H$81)+2)=H$81&amp;" ·",ROW(分期持仓明细!$A$90),0)</f>
        <v>0</v>
      </c>
      <c r="O171">
        <f>IF(LEFT(分期持仓明细!$A$90,LEN(I$81)+2)=I$81&amp;" ·",ROW(分期持仓明细!$A$90),0)</f>
        <v>0</v>
      </c>
      <c r="P171">
        <f>IF(LEFT(分期持仓明细!$A$90,LEN(J$81)+2)=J$81&amp;" ·",ROW(分期持仓明细!$A$90),0)</f>
        <v>0</v>
      </c>
      <c r="Q171">
        <f>IF(LEFT(分期持仓明细!$A$90,LEN(K$81)+2)=K$81&amp;" ·",ROW(分期持仓明细!$A$90),0)</f>
        <v>0</v>
      </c>
      <c r="R171">
        <f>IF(LEFT(分期持仓明细!$A$90,LEN(L$81)+2)=L$81&amp;" ·",ROW(分期持仓明细!$A$90),0)</f>
        <v>0</v>
      </c>
    </row>
    <row r="172" spans="13:18">
      <c r="M172">
        <f>IF(LEFT(分期持仓明细!$A$91,LEN(G$81)+2)=G$81&amp;" ·",ROW(分期持仓明细!$A$91),0)</f>
        <v>0</v>
      </c>
      <c r="N172">
        <f>IF(LEFT(分期持仓明细!$A$91,LEN(H$81)+2)=H$81&amp;" ·",ROW(分期持仓明细!$A$91),0)</f>
        <v>0</v>
      </c>
      <c r="O172">
        <f>IF(LEFT(分期持仓明细!$A$91,LEN(I$81)+2)=I$81&amp;" ·",ROW(分期持仓明细!$A$91),0)</f>
        <v>0</v>
      </c>
      <c r="P172">
        <f>IF(LEFT(分期持仓明细!$A$91,LEN(J$81)+2)=J$81&amp;" ·",ROW(分期持仓明细!$A$91),0)</f>
        <v>0</v>
      </c>
      <c r="Q172">
        <f>IF(LEFT(分期持仓明细!$A$91,LEN(K$81)+2)=K$81&amp;" ·",ROW(分期持仓明细!$A$91),0)</f>
        <v>0</v>
      </c>
      <c r="R172">
        <f>IF(LEFT(分期持仓明细!$A$91,LEN(L$81)+2)=L$81&amp;" ·",ROW(分期持仓明细!$A$91),0)</f>
        <v>0</v>
      </c>
    </row>
    <row r="173" spans="13:18">
      <c r="M173">
        <f>IF(LEFT(分期持仓明细!$A$92,LEN(G$81)+2)=G$81&amp;" ·",ROW(分期持仓明细!$A$92),0)</f>
        <v>0</v>
      </c>
      <c r="N173">
        <f>IF(LEFT(分期持仓明细!$A$92,LEN(H$81)+2)=H$81&amp;" ·",ROW(分期持仓明细!$A$92),0)</f>
        <v>0</v>
      </c>
      <c r="O173">
        <f>IF(LEFT(分期持仓明细!$A$92,LEN(I$81)+2)=I$81&amp;" ·",ROW(分期持仓明细!$A$92),0)</f>
        <v>0</v>
      </c>
      <c r="P173">
        <f>IF(LEFT(分期持仓明细!$A$92,LEN(J$81)+2)=J$81&amp;" ·",ROW(分期持仓明细!$A$92),0)</f>
        <v>0</v>
      </c>
      <c r="Q173">
        <f>IF(LEFT(分期持仓明细!$A$92,LEN(K$81)+2)=K$81&amp;" ·",ROW(分期持仓明细!$A$92),0)</f>
        <v>0</v>
      </c>
      <c r="R173">
        <f>IF(LEFT(分期持仓明细!$A$92,LEN(L$81)+2)=L$81&amp;" ·",ROW(分期持仓明细!$A$92),0)</f>
        <v>0</v>
      </c>
    </row>
    <row r="174" spans="13:18">
      <c r="M174">
        <f>IF(LEFT(分期持仓明细!$A$93,LEN(G$81)+2)=G$81&amp;" ·",ROW(分期持仓明细!$A$93),0)</f>
        <v>0</v>
      </c>
      <c r="N174">
        <f>IF(LEFT(分期持仓明细!$A$93,LEN(H$81)+2)=H$81&amp;" ·",ROW(分期持仓明细!$A$93),0)</f>
        <v>0</v>
      </c>
      <c r="O174">
        <f>IF(LEFT(分期持仓明细!$A$93,LEN(I$81)+2)=I$81&amp;" ·",ROW(分期持仓明细!$A$93),0)</f>
        <v>0</v>
      </c>
      <c r="P174">
        <f>IF(LEFT(分期持仓明细!$A$93,LEN(J$81)+2)=J$81&amp;" ·",ROW(分期持仓明细!$A$93),0)</f>
        <v>0</v>
      </c>
      <c r="Q174">
        <f>IF(LEFT(分期持仓明细!$A$93,LEN(K$81)+2)=K$81&amp;" ·",ROW(分期持仓明细!$A$93),0)</f>
        <v>0</v>
      </c>
      <c r="R174">
        <f>IF(LEFT(分期持仓明细!$A$93,LEN(L$81)+2)=L$81&amp;" ·",ROW(分期持仓明细!$A$93),0)</f>
        <v>0</v>
      </c>
    </row>
    <row r="175" spans="13:18">
      <c r="M175">
        <f>IF(LEFT(分期持仓明细!$A$94,LEN(G$81)+2)=G$81&amp;" ·",ROW(分期持仓明细!$A$94),0)</f>
        <v>0</v>
      </c>
      <c r="N175">
        <f>IF(LEFT(分期持仓明细!$A$94,LEN(H$81)+2)=H$81&amp;" ·",ROW(分期持仓明细!$A$94),0)</f>
        <v>0</v>
      </c>
      <c r="O175">
        <f>IF(LEFT(分期持仓明细!$A$94,LEN(I$81)+2)=I$81&amp;" ·",ROW(分期持仓明细!$A$94),0)</f>
        <v>0</v>
      </c>
      <c r="P175">
        <f>IF(LEFT(分期持仓明细!$A$94,LEN(J$81)+2)=J$81&amp;" ·",ROW(分期持仓明细!$A$94),0)</f>
        <v>0</v>
      </c>
      <c r="Q175">
        <f>IF(LEFT(分期持仓明细!$A$94,LEN(K$81)+2)=K$81&amp;" ·",ROW(分期持仓明细!$A$94),0)</f>
        <v>0</v>
      </c>
      <c r="R175">
        <f>IF(LEFT(分期持仓明细!$A$94,LEN(L$81)+2)=L$81&amp;" ·",ROW(分期持仓明细!$A$94),0)</f>
        <v>0</v>
      </c>
    </row>
    <row r="176" spans="13:18">
      <c r="M176">
        <f>IF(LEFT(分期持仓明细!$A$95,LEN(G$81)+2)=G$81&amp;" ·",ROW(分期持仓明细!$A$95),0)</f>
        <v>0</v>
      </c>
      <c r="N176">
        <f>IF(LEFT(分期持仓明细!$A$95,LEN(H$81)+2)=H$81&amp;" ·",ROW(分期持仓明细!$A$95),0)</f>
        <v>0</v>
      </c>
      <c r="O176">
        <f>IF(LEFT(分期持仓明细!$A$95,LEN(I$81)+2)=I$81&amp;" ·",ROW(分期持仓明细!$A$95),0)</f>
        <v>0</v>
      </c>
      <c r="P176">
        <f>IF(LEFT(分期持仓明细!$A$95,LEN(J$81)+2)=J$81&amp;" ·",ROW(分期持仓明细!$A$95),0)</f>
        <v>0</v>
      </c>
      <c r="Q176">
        <f>IF(LEFT(分期持仓明细!$A$95,LEN(K$81)+2)=K$81&amp;" ·",ROW(分期持仓明细!$A$95),0)</f>
        <v>0</v>
      </c>
      <c r="R176">
        <f>IF(LEFT(分期持仓明细!$A$95,LEN(L$81)+2)=L$81&amp;" ·",ROW(分期持仓明细!$A$95),0)</f>
        <v>0</v>
      </c>
    </row>
    <row r="177" spans="13:18">
      <c r="M177">
        <f>IF(LEFT(分期持仓明细!$A$96,LEN(G$81)+2)=G$81&amp;" ·",ROW(分期持仓明细!$A$96),0)</f>
        <v>0</v>
      </c>
      <c r="N177">
        <f>IF(LEFT(分期持仓明细!$A$96,LEN(H$81)+2)=H$81&amp;" ·",ROW(分期持仓明细!$A$96),0)</f>
        <v>0</v>
      </c>
      <c r="O177">
        <f>IF(LEFT(分期持仓明细!$A$96,LEN(I$81)+2)=I$81&amp;" ·",ROW(分期持仓明细!$A$96),0)</f>
        <v>0</v>
      </c>
      <c r="P177">
        <f>IF(LEFT(分期持仓明细!$A$96,LEN(J$81)+2)=J$81&amp;" ·",ROW(分期持仓明细!$A$96),0)</f>
        <v>0</v>
      </c>
      <c r="Q177">
        <f>IF(LEFT(分期持仓明细!$A$96,LEN(K$81)+2)=K$81&amp;" ·",ROW(分期持仓明细!$A$96),0)</f>
        <v>0</v>
      </c>
      <c r="R177">
        <f>IF(LEFT(分期持仓明细!$A$96,LEN(L$81)+2)=L$81&amp;" ·",ROW(分期持仓明细!$A$96),0)</f>
        <v>0</v>
      </c>
    </row>
    <row r="178" spans="13:18">
      <c r="M178">
        <f>IF(LEFT(分期持仓明细!$A$97,LEN(G$81)+2)=G$81&amp;" ·",ROW(分期持仓明细!$A$97),0)</f>
        <v>0</v>
      </c>
      <c r="N178">
        <f>IF(LEFT(分期持仓明细!$A$97,LEN(H$81)+2)=H$81&amp;" ·",ROW(分期持仓明细!$A$97),0)</f>
        <v>0</v>
      </c>
      <c r="O178">
        <f>IF(LEFT(分期持仓明细!$A$97,LEN(I$81)+2)=I$81&amp;" ·",ROW(分期持仓明细!$A$97),0)</f>
        <v>0</v>
      </c>
      <c r="P178">
        <f>IF(LEFT(分期持仓明细!$A$97,LEN(J$81)+2)=J$81&amp;" ·",ROW(分期持仓明细!$A$97),0)</f>
        <v>0</v>
      </c>
      <c r="Q178">
        <f>IF(LEFT(分期持仓明细!$A$97,LEN(K$81)+2)=K$81&amp;" ·",ROW(分期持仓明细!$A$97),0)</f>
        <v>0</v>
      </c>
      <c r="R178">
        <f>IF(LEFT(分期持仓明细!$A$97,LEN(L$81)+2)=L$81&amp;" ·",ROW(分期持仓明细!$A$97),0)</f>
        <v>0</v>
      </c>
    </row>
    <row r="179" spans="13:18">
      <c r="M179">
        <f>IF(LEFT(分期持仓明细!$A$98,LEN(G$81)+2)=G$81&amp;" ·",ROW(分期持仓明细!$A$98),0)</f>
        <v>0</v>
      </c>
      <c r="N179">
        <f>IF(LEFT(分期持仓明细!$A$98,LEN(H$81)+2)=H$81&amp;" ·",ROW(分期持仓明细!$A$98),0)</f>
        <v>0</v>
      </c>
      <c r="O179">
        <f>IF(LEFT(分期持仓明细!$A$98,LEN(I$81)+2)=I$81&amp;" ·",ROW(分期持仓明细!$A$98),0)</f>
        <v>0</v>
      </c>
      <c r="P179">
        <f>IF(LEFT(分期持仓明细!$A$98,LEN(J$81)+2)=J$81&amp;" ·",ROW(分期持仓明细!$A$98),0)</f>
        <v>0</v>
      </c>
      <c r="Q179">
        <f>IF(LEFT(分期持仓明细!$A$98,LEN(K$81)+2)=K$81&amp;" ·",ROW(分期持仓明细!$A$98),0)</f>
        <v>0</v>
      </c>
      <c r="R179">
        <f>IF(LEFT(分期持仓明细!$A$98,LEN(L$81)+2)=L$81&amp;" ·",ROW(分期持仓明细!$A$98),0)</f>
        <v>0</v>
      </c>
    </row>
    <row r="180" spans="13:18">
      <c r="M180">
        <f>IF(LEFT(分期持仓明细!$A$99,LEN(G$81)+2)=G$81&amp;" ·",ROW(分期持仓明细!$A$99),0)</f>
        <v>0</v>
      </c>
      <c r="N180">
        <f>IF(LEFT(分期持仓明细!$A$99,LEN(H$81)+2)=H$81&amp;" ·",ROW(分期持仓明细!$A$99),0)</f>
        <v>0</v>
      </c>
      <c r="O180">
        <f>IF(LEFT(分期持仓明细!$A$99,LEN(I$81)+2)=I$81&amp;" ·",ROW(分期持仓明细!$A$99),0)</f>
        <v>0</v>
      </c>
      <c r="P180">
        <f>IF(LEFT(分期持仓明细!$A$99,LEN(J$81)+2)=J$81&amp;" ·",ROW(分期持仓明细!$A$99),0)</f>
        <v>0</v>
      </c>
      <c r="Q180">
        <f>IF(LEFT(分期持仓明细!$A$99,LEN(K$81)+2)=K$81&amp;" ·",ROW(分期持仓明细!$A$99),0)</f>
        <v>0</v>
      </c>
      <c r="R180">
        <f>IF(LEFT(分期持仓明细!$A$99,LEN(L$81)+2)=L$81&amp;" ·",ROW(分期持仓明细!$A$99),0)</f>
        <v>0</v>
      </c>
    </row>
    <row r="181" spans="13:18">
      <c r="M181">
        <f>IF(LEFT(分期持仓明细!$A$100,LEN(G$81)+2)=G$81&amp;" ·",ROW(分期持仓明细!$A$100),0)</f>
        <v>0</v>
      </c>
      <c r="N181">
        <f>IF(LEFT(分期持仓明细!$A$100,LEN(H$81)+2)=H$81&amp;" ·",ROW(分期持仓明细!$A$100),0)</f>
        <v>0</v>
      </c>
      <c r="O181">
        <f>IF(LEFT(分期持仓明细!$A$100,LEN(I$81)+2)=I$81&amp;" ·",ROW(分期持仓明细!$A$100),0)</f>
        <v>0</v>
      </c>
      <c r="P181">
        <f>IF(LEFT(分期持仓明细!$A$100,LEN(J$81)+2)=J$81&amp;" ·",ROW(分期持仓明细!$A$100),0)</f>
        <v>0</v>
      </c>
      <c r="Q181">
        <f>IF(LEFT(分期持仓明细!$A$100,LEN(K$81)+2)=K$81&amp;" ·",ROW(分期持仓明细!$A$100),0)</f>
        <v>0</v>
      </c>
      <c r="R181">
        <f>IF(LEFT(分期持仓明细!$A$100,LEN(L$81)+2)=L$81&amp;" ·",ROW(分期持仓明细!$A$100),0)</f>
        <v>0</v>
      </c>
    </row>
    <row r="182" spans="13:18">
      <c r="M182">
        <f>IF(LEFT(分期持仓明细!$A$101,LEN(G$81)+2)=G$81&amp;" ·",ROW(分期持仓明细!$A$101),0)</f>
        <v>0</v>
      </c>
      <c r="N182">
        <f>IF(LEFT(分期持仓明细!$A$101,LEN(H$81)+2)=H$81&amp;" ·",ROW(分期持仓明细!$A$101),0)</f>
        <v>0</v>
      </c>
      <c r="O182">
        <f>IF(LEFT(分期持仓明细!$A$101,LEN(I$81)+2)=I$81&amp;" ·",ROW(分期持仓明细!$A$101),0)</f>
        <v>0</v>
      </c>
      <c r="P182">
        <f>IF(LEFT(分期持仓明细!$A$101,LEN(J$81)+2)=J$81&amp;" ·",ROW(分期持仓明细!$A$101),0)</f>
        <v>0</v>
      </c>
      <c r="Q182">
        <f>IF(LEFT(分期持仓明细!$A$101,LEN(K$81)+2)=K$81&amp;" ·",ROW(分期持仓明细!$A$101),0)</f>
        <v>0</v>
      </c>
      <c r="R182">
        <f>IF(LEFT(分期持仓明细!$A$101,LEN(L$81)+2)=L$81&amp;" ·",ROW(分期持仓明细!$A$101),0)</f>
        <v>0</v>
      </c>
    </row>
    <row r="183" spans="13:18">
      <c r="M183">
        <f>IF(LEFT(分期持仓明细!$A$102,LEN(G$81)+2)=G$81&amp;" ·",ROW(分期持仓明细!$A$102),0)</f>
        <v>0</v>
      </c>
      <c r="N183">
        <f>IF(LEFT(分期持仓明细!$A$102,LEN(H$81)+2)=H$81&amp;" ·",ROW(分期持仓明细!$A$102),0)</f>
        <v>0</v>
      </c>
      <c r="O183">
        <f>IF(LEFT(分期持仓明细!$A$102,LEN(I$81)+2)=I$81&amp;" ·",ROW(分期持仓明细!$A$102),0)</f>
        <v>0</v>
      </c>
      <c r="P183">
        <f>IF(LEFT(分期持仓明细!$A$102,LEN(J$81)+2)=J$81&amp;" ·",ROW(分期持仓明细!$A$102),0)</f>
        <v>0</v>
      </c>
      <c r="Q183">
        <f>IF(LEFT(分期持仓明细!$A$102,LEN(K$81)+2)=K$81&amp;" ·",ROW(分期持仓明细!$A$102),0)</f>
        <v>0</v>
      </c>
      <c r="R183">
        <f>IF(LEFT(分期持仓明细!$A$102,LEN(L$81)+2)=L$81&amp;" ·",ROW(分期持仓明细!$A$102),0)</f>
        <v>0</v>
      </c>
    </row>
    <row r="184" spans="13:18">
      <c r="M184">
        <f>IF(LEFT(分期持仓明细!$A$103,LEN(G$81)+2)=G$81&amp;" ·",ROW(分期持仓明细!$A$103),0)</f>
        <v>0</v>
      </c>
      <c r="N184">
        <f>IF(LEFT(分期持仓明细!$A$103,LEN(H$81)+2)=H$81&amp;" ·",ROW(分期持仓明细!$A$103),0)</f>
        <v>0</v>
      </c>
      <c r="O184">
        <f>IF(LEFT(分期持仓明细!$A$103,LEN(I$81)+2)=I$81&amp;" ·",ROW(分期持仓明细!$A$103),0)</f>
        <v>0</v>
      </c>
      <c r="P184">
        <f>IF(LEFT(分期持仓明细!$A$103,LEN(J$81)+2)=J$81&amp;" ·",ROW(分期持仓明细!$A$103),0)</f>
        <v>0</v>
      </c>
      <c r="Q184">
        <f>IF(LEFT(分期持仓明细!$A$103,LEN(K$81)+2)=K$81&amp;" ·",ROW(分期持仓明细!$A$103),0)</f>
        <v>0</v>
      </c>
      <c r="R184">
        <f>IF(LEFT(分期持仓明细!$A$103,LEN(L$81)+2)=L$81&amp;" ·",ROW(分期持仓明细!$A$103),0)</f>
        <v>0</v>
      </c>
    </row>
    <row r="185" spans="13:18">
      <c r="M185">
        <f>IF(LEFT(分期持仓明细!$A$104,LEN(G$81)+2)=G$81&amp;" ·",ROW(分期持仓明细!$A$104),0)</f>
        <v>0</v>
      </c>
      <c r="N185">
        <f>IF(LEFT(分期持仓明细!$A$104,LEN(H$81)+2)=H$81&amp;" ·",ROW(分期持仓明细!$A$104),0)</f>
        <v>0</v>
      </c>
      <c r="O185">
        <f>IF(LEFT(分期持仓明细!$A$104,LEN(I$81)+2)=I$81&amp;" ·",ROW(分期持仓明细!$A$104),0)</f>
        <v>0</v>
      </c>
      <c r="P185">
        <f>IF(LEFT(分期持仓明细!$A$104,LEN(J$81)+2)=J$81&amp;" ·",ROW(分期持仓明细!$A$104),0)</f>
        <v>0</v>
      </c>
      <c r="Q185">
        <f>IF(LEFT(分期持仓明细!$A$104,LEN(K$81)+2)=K$81&amp;" ·",ROW(分期持仓明细!$A$104),0)</f>
        <v>0</v>
      </c>
      <c r="R185">
        <f>IF(LEFT(分期持仓明细!$A$104,LEN(L$81)+2)=L$81&amp;" ·",ROW(分期持仓明细!$A$104),0)</f>
        <v>0</v>
      </c>
    </row>
    <row r="186" spans="13:18">
      <c r="M186">
        <f>IF(LEFT(分期持仓明细!$A$105,LEN(G$81)+2)=G$81&amp;" ·",ROW(分期持仓明细!$A$105),0)</f>
        <v>0</v>
      </c>
      <c r="N186">
        <f>IF(LEFT(分期持仓明细!$A$105,LEN(H$81)+2)=H$81&amp;" ·",ROW(分期持仓明细!$A$105),0)</f>
        <v>0</v>
      </c>
      <c r="O186">
        <f>IF(LEFT(分期持仓明细!$A$105,LEN(I$81)+2)=I$81&amp;" ·",ROW(分期持仓明细!$A$105),0)</f>
        <v>0</v>
      </c>
      <c r="P186">
        <f>IF(LEFT(分期持仓明细!$A$105,LEN(J$81)+2)=J$81&amp;" ·",ROW(分期持仓明细!$A$105),0)</f>
        <v>0</v>
      </c>
      <c r="Q186">
        <f>IF(LEFT(分期持仓明细!$A$105,LEN(K$81)+2)=K$81&amp;" ·",ROW(分期持仓明细!$A$105),0)</f>
        <v>0</v>
      </c>
      <c r="R186">
        <f>IF(LEFT(分期持仓明细!$A$105,LEN(L$81)+2)=L$81&amp;" ·",ROW(分期持仓明细!$A$105),0)</f>
        <v>0</v>
      </c>
    </row>
    <row r="187" spans="13:18">
      <c r="M187">
        <f>IF(LEFT(分期持仓明细!$A$106,LEN(G$81)+2)=G$81&amp;" ·",ROW(分期持仓明细!$A$106),0)</f>
        <v>0</v>
      </c>
      <c r="N187">
        <f>IF(LEFT(分期持仓明细!$A$106,LEN(H$81)+2)=H$81&amp;" ·",ROW(分期持仓明细!$A$106),0)</f>
        <v>0</v>
      </c>
      <c r="O187">
        <f>IF(LEFT(分期持仓明细!$A$106,LEN(I$81)+2)=I$81&amp;" ·",ROW(分期持仓明细!$A$106),0)</f>
        <v>0</v>
      </c>
      <c r="P187">
        <f>IF(LEFT(分期持仓明细!$A$106,LEN(J$81)+2)=J$81&amp;" ·",ROW(分期持仓明细!$A$106),0)</f>
        <v>0</v>
      </c>
      <c r="Q187">
        <f>IF(LEFT(分期持仓明细!$A$106,LEN(K$81)+2)=K$81&amp;" ·",ROW(分期持仓明细!$A$106),0)</f>
        <v>0</v>
      </c>
      <c r="R187">
        <f>IF(LEFT(分期持仓明细!$A$106,LEN(L$81)+2)=L$81&amp;" ·",ROW(分期持仓明细!$A$106),0)</f>
        <v>0</v>
      </c>
    </row>
    <row r="188" spans="13:18">
      <c r="M188">
        <f>IF(LEFT(分期持仓明细!$A$107,LEN(G$81)+2)=G$81&amp;" ·",ROW(分期持仓明细!$A$107),0)</f>
        <v>0</v>
      </c>
      <c r="N188">
        <f>IF(LEFT(分期持仓明细!$A$107,LEN(H$81)+2)=H$81&amp;" ·",ROW(分期持仓明细!$A$107),0)</f>
        <v>0</v>
      </c>
      <c r="O188">
        <f>IF(LEFT(分期持仓明细!$A$107,LEN(I$81)+2)=I$81&amp;" ·",ROW(分期持仓明细!$A$107),0)</f>
        <v>0</v>
      </c>
      <c r="P188">
        <f>IF(LEFT(分期持仓明细!$A$107,LEN(J$81)+2)=J$81&amp;" ·",ROW(分期持仓明细!$A$107),0)</f>
        <v>0</v>
      </c>
      <c r="Q188">
        <f>IF(LEFT(分期持仓明细!$A$107,LEN(K$81)+2)=K$81&amp;" ·",ROW(分期持仓明细!$A$107),0)</f>
        <v>0</v>
      </c>
      <c r="R188">
        <f>IF(LEFT(分期持仓明细!$A$107,LEN(L$81)+2)=L$81&amp;" ·",ROW(分期持仓明细!$A$107),0)</f>
        <v>0</v>
      </c>
    </row>
    <row r="189" spans="13:18">
      <c r="M189">
        <f>IF(LEFT(分期持仓明细!$A$108,LEN(G$81)+2)=G$81&amp;" ·",ROW(分期持仓明细!$A$108),0)</f>
        <v>0</v>
      </c>
      <c r="N189">
        <f>IF(LEFT(分期持仓明细!$A$108,LEN(H$81)+2)=H$81&amp;" ·",ROW(分期持仓明细!$A$108),0)</f>
        <v>0</v>
      </c>
      <c r="O189">
        <f>IF(LEFT(分期持仓明细!$A$108,LEN(I$81)+2)=I$81&amp;" ·",ROW(分期持仓明细!$A$108),0)</f>
        <v>0</v>
      </c>
      <c r="P189">
        <f>IF(LEFT(分期持仓明细!$A$108,LEN(J$81)+2)=J$81&amp;" ·",ROW(分期持仓明细!$A$108),0)</f>
        <v>0</v>
      </c>
      <c r="Q189">
        <f>IF(LEFT(分期持仓明细!$A$108,LEN(K$81)+2)=K$81&amp;" ·",ROW(分期持仓明细!$A$108),0)</f>
        <v>0</v>
      </c>
      <c r="R189">
        <f>IF(LEFT(分期持仓明细!$A$108,LEN(L$81)+2)=L$81&amp;" ·",ROW(分期持仓明细!$A$108),0)</f>
        <v>0</v>
      </c>
    </row>
    <row r="190" spans="13:18">
      <c r="M190">
        <f>IF(LEFT(分期持仓明细!$A$109,LEN(G$81)+2)=G$81&amp;" ·",ROW(分期持仓明细!$A$109),0)</f>
        <v>0</v>
      </c>
      <c r="N190">
        <f>IF(LEFT(分期持仓明细!$A$109,LEN(H$81)+2)=H$81&amp;" ·",ROW(分期持仓明细!$A$109),0)</f>
        <v>0</v>
      </c>
      <c r="O190">
        <f>IF(LEFT(分期持仓明细!$A$109,LEN(I$81)+2)=I$81&amp;" ·",ROW(分期持仓明细!$A$109),0)</f>
        <v>0</v>
      </c>
      <c r="P190">
        <f>IF(LEFT(分期持仓明细!$A$109,LEN(J$81)+2)=J$81&amp;" ·",ROW(分期持仓明细!$A$109),0)</f>
        <v>0</v>
      </c>
      <c r="Q190">
        <f>IF(LEFT(分期持仓明细!$A$109,LEN(K$81)+2)=K$81&amp;" ·",ROW(分期持仓明细!$A$109),0)</f>
        <v>0</v>
      </c>
      <c r="R190">
        <f>IF(LEFT(分期持仓明细!$A$109,LEN(L$81)+2)=L$81&amp;" ·",ROW(分期持仓明细!$A$109),0)</f>
        <v>0</v>
      </c>
    </row>
    <row r="191" spans="13:18">
      <c r="M191">
        <f>IF(LEFT(分期持仓明细!$A$110,LEN(G$81)+2)=G$81&amp;" ·",ROW(分期持仓明细!$A$110),0)</f>
        <v>0</v>
      </c>
      <c r="N191">
        <f>IF(LEFT(分期持仓明细!$A$110,LEN(H$81)+2)=H$81&amp;" ·",ROW(分期持仓明细!$A$110),0)</f>
        <v>0</v>
      </c>
      <c r="O191">
        <f>IF(LEFT(分期持仓明细!$A$110,LEN(I$81)+2)=I$81&amp;" ·",ROW(分期持仓明细!$A$110),0)</f>
        <v>0</v>
      </c>
      <c r="P191">
        <f>IF(LEFT(分期持仓明细!$A$110,LEN(J$81)+2)=J$81&amp;" ·",ROW(分期持仓明细!$A$110),0)</f>
        <v>0</v>
      </c>
      <c r="Q191">
        <f>IF(LEFT(分期持仓明细!$A$110,LEN(K$81)+2)=K$81&amp;" ·",ROW(分期持仓明细!$A$110),0)</f>
        <v>0</v>
      </c>
      <c r="R191">
        <f>IF(LEFT(分期持仓明细!$A$110,LEN(L$81)+2)=L$81&amp;" ·",ROW(分期持仓明细!$A$110),0)</f>
        <v>0</v>
      </c>
    </row>
    <row r="192" spans="13:18">
      <c r="M192">
        <f>IF(LEFT(分期持仓明细!$A$111,LEN(G$81)+2)=G$81&amp;" ·",ROW(分期持仓明细!$A$111),0)</f>
        <v>0</v>
      </c>
      <c r="N192">
        <f>IF(LEFT(分期持仓明细!$A$111,LEN(H$81)+2)=H$81&amp;" ·",ROW(分期持仓明细!$A$111),0)</f>
        <v>0</v>
      </c>
      <c r="O192">
        <f>IF(LEFT(分期持仓明细!$A$111,LEN(I$81)+2)=I$81&amp;" ·",ROW(分期持仓明细!$A$111),0)</f>
        <v>0</v>
      </c>
      <c r="P192">
        <f>IF(LEFT(分期持仓明细!$A$111,LEN(J$81)+2)=J$81&amp;" ·",ROW(分期持仓明细!$A$111),0)</f>
        <v>0</v>
      </c>
      <c r="Q192">
        <f>IF(LEFT(分期持仓明细!$A$111,LEN(K$81)+2)=K$81&amp;" ·",ROW(分期持仓明细!$A$111),0)</f>
        <v>0</v>
      </c>
      <c r="R192">
        <f>IF(LEFT(分期持仓明细!$A$111,LEN(L$81)+2)=L$81&amp;" ·",ROW(分期持仓明细!$A$111),0)</f>
        <v>0</v>
      </c>
    </row>
    <row r="193" spans="13:18">
      <c r="M193">
        <f>IF(LEFT(分期持仓明细!$A$112,LEN(G$81)+2)=G$81&amp;" ·",ROW(分期持仓明细!$A$112),0)</f>
        <v>0</v>
      </c>
      <c r="N193">
        <f>IF(LEFT(分期持仓明细!$A$112,LEN(H$81)+2)=H$81&amp;" ·",ROW(分期持仓明细!$A$112),0)</f>
        <v>0</v>
      </c>
      <c r="O193">
        <f>IF(LEFT(分期持仓明细!$A$112,LEN(I$81)+2)=I$81&amp;" ·",ROW(分期持仓明细!$A$112),0)</f>
        <v>0</v>
      </c>
      <c r="P193">
        <f>IF(LEFT(分期持仓明细!$A$112,LEN(J$81)+2)=J$81&amp;" ·",ROW(分期持仓明细!$A$112),0)</f>
        <v>0</v>
      </c>
      <c r="Q193">
        <f>IF(LEFT(分期持仓明细!$A$112,LEN(K$81)+2)=K$81&amp;" ·",ROW(分期持仓明细!$A$112),0)</f>
        <v>0</v>
      </c>
      <c r="R193">
        <f>IF(LEFT(分期持仓明细!$A$112,LEN(L$81)+2)=L$81&amp;" ·",ROW(分期持仓明细!$A$112),0)</f>
        <v>0</v>
      </c>
    </row>
    <row r="194" spans="13:18">
      <c r="M194">
        <f>IF(LEFT(分期持仓明细!$A$113,LEN(G$81)+2)=G$81&amp;" ·",ROW(分期持仓明细!$A$113),0)</f>
        <v>0</v>
      </c>
      <c r="N194">
        <f>IF(LEFT(分期持仓明细!$A$113,LEN(H$81)+2)=H$81&amp;" ·",ROW(分期持仓明细!$A$113),0)</f>
        <v>0</v>
      </c>
      <c r="O194">
        <f>IF(LEFT(分期持仓明细!$A$113,LEN(I$81)+2)=I$81&amp;" ·",ROW(分期持仓明细!$A$113),0)</f>
        <v>0</v>
      </c>
      <c r="P194">
        <f>IF(LEFT(分期持仓明细!$A$113,LEN(J$81)+2)=J$81&amp;" ·",ROW(分期持仓明细!$A$113),0)</f>
        <v>0</v>
      </c>
      <c r="Q194">
        <f>IF(LEFT(分期持仓明细!$A$113,LEN(K$81)+2)=K$81&amp;" ·",ROW(分期持仓明细!$A$113),0)</f>
        <v>0</v>
      </c>
      <c r="R194">
        <f>IF(LEFT(分期持仓明细!$A$113,LEN(L$81)+2)=L$81&amp;" ·",ROW(分期持仓明细!$A$113),0)</f>
        <v>0</v>
      </c>
    </row>
    <row r="195" spans="13:18">
      <c r="M195">
        <f>IF(LEFT(分期持仓明细!$A$114,LEN(G$81)+2)=G$81&amp;" ·",ROW(分期持仓明细!$A$114),0)</f>
        <v>0</v>
      </c>
      <c r="N195">
        <f>IF(LEFT(分期持仓明细!$A$114,LEN(H$81)+2)=H$81&amp;" ·",ROW(分期持仓明细!$A$114),0)</f>
        <v>0</v>
      </c>
      <c r="O195">
        <f>IF(LEFT(分期持仓明细!$A$114,LEN(I$81)+2)=I$81&amp;" ·",ROW(分期持仓明细!$A$114),0)</f>
        <v>0</v>
      </c>
      <c r="P195">
        <f>IF(LEFT(分期持仓明细!$A$114,LEN(J$81)+2)=J$81&amp;" ·",ROW(分期持仓明细!$A$114),0)</f>
        <v>0</v>
      </c>
      <c r="Q195">
        <f>IF(LEFT(分期持仓明细!$A$114,LEN(K$81)+2)=K$81&amp;" ·",ROW(分期持仓明细!$A$114),0)</f>
        <v>0</v>
      </c>
      <c r="R195">
        <f>IF(LEFT(分期持仓明细!$A$114,LEN(L$81)+2)=L$81&amp;" ·",ROW(分期持仓明细!$A$114),0)</f>
        <v>0</v>
      </c>
    </row>
    <row r="196" spans="13:18">
      <c r="M196">
        <f>IF(LEFT(分期持仓明细!$A$115,LEN(G$81)+2)=G$81&amp;" ·",ROW(分期持仓明细!$A$115),0)</f>
        <v>0</v>
      </c>
      <c r="N196">
        <f>IF(LEFT(分期持仓明细!$A$115,LEN(H$81)+2)=H$81&amp;" ·",ROW(分期持仓明细!$A$115),0)</f>
        <v>0</v>
      </c>
      <c r="O196">
        <f>IF(LEFT(分期持仓明细!$A$115,LEN(I$81)+2)=I$81&amp;" ·",ROW(分期持仓明细!$A$115),0)</f>
        <v>0</v>
      </c>
      <c r="P196">
        <f>IF(LEFT(分期持仓明细!$A$115,LEN(J$81)+2)=J$81&amp;" ·",ROW(分期持仓明细!$A$115),0)</f>
        <v>0</v>
      </c>
      <c r="Q196">
        <f>IF(LEFT(分期持仓明细!$A$115,LEN(K$81)+2)=K$81&amp;" ·",ROW(分期持仓明细!$A$115),0)</f>
        <v>0</v>
      </c>
      <c r="R196">
        <f>IF(LEFT(分期持仓明细!$A$115,LEN(L$81)+2)=L$81&amp;" ·",ROW(分期持仓明细!$A$115),0)</f>
        <v>0</v>
      </c>
    </row>
    <row r="197" spans="13:18">
      <c r="M197">
        <f>IF(LEFT(分期持仓明细!$A$116,LEN(G$81)+2)=G$81&amp;" ·",ROW(分期持仓明细!$A$116),0)</f>
        <v>0</v>
      </c>
      <c r="N197">
        <f>IF(LEFT(分期持仓明细!$A$116,LEN(H$81)+2)=H$81&amp;" ·",ROW(分期持仓明细!$A$116),0)</f>
        <v>0</v>
      </c>
      <c r="O197">
        <f>IF(LEFT(分期持仓明细!$A$116,LEN(I$81)+2)=I$81&amp;" ·",ROW(分期持仓明细!$A$116),0)</f>
        <v>0</v>
      </c>
      <c r="P197">
        <f>IF(LEFT(分期持仓明细!$A$116,LEN(J$81)+2)=J$81&amp;" ·",ROW(分期持仓明细!$A$116),0)</f>
        <v>0</v>
      </c>
      <c r="Q197">
        <f>IF(LEFT(分期持仓明细!$A$116,LEN(K$81)+2)=K$81&amp;" ·",ROW(分期持仓明细!$A$116),0)</f>
        <v>0</v>
      </c>
      <c r="R197">
        <f>IF(LEFT(分期持仓明细!$A$116,LEN(L$81)+2)=L$81&amp;" ·",ROW(分期持仓明细!$A$116),0)</f>
        <v>0</v>
      </c>
    </row>
    <row r="198" spans="13:18">
      <c r="M198">
        <f>IF(LEFT(分期持仓明细!$A$117,LEN(G$81)+2)=G$81&amp;" ·",ROW(分期持仓明细!$A$117),0)</f>
        <v>0</v>
      </c>
      <c r="N198">
        <f>IF(LEFT(分期持仓明细!$A$117,LEN(H$81)+2)=H$81&amp;" ·",ROW(分期持仓明细!$A$117),0)</f>
        <v>0</v>
      </c>
      <c r="O198">
        <f>IF(LEFT(分期持仓明细!$A$117,LEN(I$81)+2)=I$81&amp;" ·",ROW(分期持仓明细!$A$117),0)</f>
        <v>0</v>
      </c>
      <c r="P198">
        <f>IF(LEFT(分期持仓明细!$A$117,LEN(J$81)+2)=J$81&amp;" ·",ROW(分期持仓明细!$A$117),0)</f>
        <v>0</v>
      </c>
      <c r="Q198">
        <f>IF(LEFT(分期持仓明细!$A$117,LEN(K$81)+2)=K$81&amp;" ·",ROW(分期持仓明细!$A$117),0)</f>
        <v>0</v>
      </c>
      <c r="R198">
        <f>IF(LEFT(分期持仓明细!$A$117,LEN(L$81)+2)=L$81&amp;" ·",ROW(分期持仓明细!$A$117),0)</f>
        <v>0</v>
      </c>
    </row>
    <row r="199" spans="13:18">
      <c r="M199">
        <f>IF(LEFT(分期持仓明细!$A$118,LEN(G$81)+2)=G$81&amp;" ·",ROW(分期持仓明细!$A$118),0)</f>
        <v>0</v>
      </c>
      <c r="N199">
        <f>IF(LEFT(分期持仓明细!$A$118,LEN(H$81)+2)=H$81&amp;" ·",ROW(分期持仓明细!$A$118),0)</f>
        <v>0</v>
      </c>
      <c r="O199">
        <f>IF(LEFT(分期持仓明细!$A$118,LEN(I$81)+2)=I$81&amp;" ·",ROW(分期持仓明细!$A$118),0)</f>
        <v>0</v>
      </c>
      <c r="P199">
        <f>IF(LEFT(分期持仓明细!$A$118,LEN(J$81)+2)=J$81&amp;" ·",ROW(分期持仓明细!$A$118),0)</f>
        <v>0</v>
      </c>
      <c r="Q199">
        <f>IF(LEFT(分期持仓明细!$A$118,LEN(K$81)+2)=K$81&amp;" ·",ROW(分期持仓明细!$A$118),0)</f>
        <v>0</v>
      </c>
      <c r="R199">
        <f>IF(LEFT(分期持仓明细!$A$118,LEN(L$81)+2)=L$81&amp;" ·",ROW(分期持仓明细!$A$118),0)</f>
        <v>0</v>
      </c>
    </row>
    <row r="200" spans="13:18">
      <c r="M200">
        <f>IF(LEFT(分期持仓明细!$A$119,LEN(G$81)+2)=G$81&amp;" ·",ROW(分期持仓明细!$A$119),0)</f>
        <v>0</v>
      </c>
      <c r="N200">
        <f>IF(LEFT(分期持仓明细!$A$119,LEN(H$81)+2)=H$81&amp;" ·",ROW(分期持仓明细!$A$119),0)</f>
        <v>0</v>
      </c>
      <c r="O200">
        <f>IF(LEFT(分期持仓明细!$A$119,LEN(I$81)+2)=I$81&amp;" ·",ROW(分期持仓明细!$A$119),0)</f>
        <v>0</v>
      </c>
      <c r="P200">
        <f>IF(LEFT(分期持仓明细!$A$119,LEN(J$81)+2)=J$81&amp;" ·",ROW(分期持仓明细!$A$119),0)</f>
        <v>0</v>
      </c>
      <c r="Q200">
        <f>IF(LEFT(分期持仓明细!$A$119,LEN(K$81)+2)=K$81&amp;" ·",ROW(分期持仓明细!$A$119),0)</f>
        <v>0</v>
      </c>
      <c r="R200">
        <f>IF(LEFT(分期持仓明细!$A$119,LEN(L$81)+2)=L$81&amp;" ·",ROW(分期持仓明细!$A$119),0)</f>
        <v>0</v>
      </c>
    </row>
    <row r="201" spans="13:18">
      <c r="M201">
        <f>IF(LEFT(分期持仓明细!$A$120,LEN(G$81)+2)=G$81&amp;" ·",ROW(分期持仓明细!$A$120),0)</f>
        <v>0</v>
      </c>
      <c r="N201">
        <f>IF(LEFT(分期持仓明细!$A$120,LEN(H$81)+2)=H$81&amp;" ·",ROW(分期持仓明细!$A$120),0)</f>
        <v>0</v>
      </c>
      <c r="O201">
        <f>IF(LEFT(分期持仓明细!$A$120,LEN(I$81)+2)=I$81&amp;" ·",ROW(分期持仓明细!$A$120),0)</f>
        <v>0</v>
      </c>
      <c r="P201">
        <f>IF(LEFT(分期持仓明细!$A$120,LEN(J$81)+2)=J$81&amp;" ·",ROW(分期持仓明细!$A$120),0)</f>
        <v>0</v>
      </c>
      <c r="Q201">
        <f>IF(LEFT(分期持仓明细!$A$120,LEN(K$81)+2)=K$81&amp;" ·",ROW(分期持仓明细!$A$120),0)</f>
        <v>0</v>
      </c>
      <c r="R201">
        <f>IF(LEFT(分期持仓明细!$A$120,LEN(L$81)+2)=L$81&amp;" ·",ROW(分期持仓明细!$A$120),0)</f>
        <v>0</v>
      </c>
    </row>
    <row r="202" spans="13:18">
      <c r="M202">
        <f>IF(LEFT(分期持仓明细!$A$121,LEN(G$81)+2)=G$81&amp;" ·",ROW(分期持仓明细!$A$121),0)</f>
        <v>0</v>
      </c>
      <c r="N202">
        <f>IF(LEFT(分期持仓明细!$A$121,LEN(H$81)+2)=H$81&amp;" ·",ROW(分期持仓明细!$A$121),0)</f>
        <v>0</v>
      </c>
      <c r="O202">
        <f>IF(LEFT(分期持仓明细!$A$121,LEN(I$81)+2)=I$81&amp;" ·",ROW(分期持仓明细!$A$121),0)</f>
        <v>0</v>
      </c>
      <c r="P202">
        <f>IF(LEFT(分期持仓明细!$A$121,LEN(J$81)+2)=J$81&amp;" ·",ROW(分期持仓明细!$A$121),0)</f>
        <v>0</v>
      </c>
      <c r="Q202">
        <f>IF(LEFT(分期持仓明细!$A$121,LEN(K$81)+2)=K$81&amp;" ·",ROW(分期持仓明细!$A$121),0)</f>
        <v>0</v>
      </c>
      <c r="R202">
        <f>IF(LEFT(分期持仓明细!$A$121,LEN(L$81)+2)=L$81&amp;" ·",ROW(分期持仓明细!$A$121),0)</f>
        <v>0</v>
      </c>
    </row>
    <row r="203" spans="13:18">
      <c r="M203">
        <f>IF(LEFT(分期持仓明细!$A$122,LEN(G$81)+2)=G$81&amp;" ·",ROW(分期持仓明细!$A$122),0)</f>
        <v>0</v>
      </c>
      <c r="N203">
        <f>IF(LEFT(分期持仓明细!$A$122,LEN(H$81)+2)=H$81&amp;" ·",ROW(分期持仓明细!$A$122),0)</f>
        <v>0</v>
      </c>
      <c r="O203">
        <f>IF(LEFT(分期持仓明细!$A$122,LEN(I$81)+2)=I$81&amp;" ·",ROW(分期持仓明细!$A$122),0)</f>
        <v>0</v>
      </c>
      <c r="P203">
        <f>IF(LEFT(分期持仓明细!$A$122,LEN(J$81)+2)=J$81&amp;" ·",ROW(分期持仓明细!$A$122),0)</f>
        <v>0</v>
      </c>
      <c r="Q203">
        <f>IF(LEFT(分期持仓明细!$A$122,LEN(K$81)+2)=K$81&amp;" ·",ROW(分期持仓明细!$A$122),0)</f>
        <v>0</v>
      </c>
      <c r="R203">
        <f>IF(LEFT(分期持仓明细!$A$122,LEN(L$81)+2)=L$81&amp;" ·",ROW(分期持仓明细!$A$122),0)</f>
        <v>0</v>
      </c>
    </row>
    <row r="204" spans="13:18">
      <c r="M204">
        <f>IF(LEFT(分期持仓明细!$A$123,LEN(G$81)+2)=G$81&amp;" ·",ROW(分期持仓明细!$A$123),0)</f>
        <v>0</v>
      </c>
      <c r="N204">
        <f>IF(LEFT(分期持仓明细!$A$123,LEN(H$81)+2)=H$81&amp;" ·",ROW(分期持仓明细!$A$123),0)</f>
        <v>0</v>
      </c>
      <c r="O204">
        <f>IF(LEFT(分期持仓明细!$A$123,LEN(I$81)+2)=I$81&amp;" ·",ROW(分期持仓明细!$A$123),0)</f>
        <v>0</v>
      </c>
      <c r="P204">
        <f>IF(LEFT(分期持仓明细!$A$123,LEN(J$81)+2)=J$81&amp;" ·",ROW(分期持仓明细!$A$123),0)</f>
        <v>0</v>
      </c>
      <c r="Q204">
        <f>IF(LEFT(分期持仓明细!$A$123,LEN(K$81)+2)=K$81&amp;" ·",ROW(分期持仓明细!$A$123),0)</f>
        <v>0</v>
      </c>
      <c r="R204">
        <f>IF(LEFT(分期持仓明细!$A$123,LEN(L$81)+2)=L$81&amp;" ·",ROW(分期持仓明细!$A$123),0)</f>
        <v>0</v>
      </c>
    </row>
    <row r="205" spans="13:18">
      <c r="M205">
        <f>IF(LEFT(分期持仓明细!$A$124,LEN(G$81)+2)=G$81&amp;" ·",ROW(分期持仓明细!$A$124),0)</f>
        <v>0</v>
      </c>
      <c r="N205">
        <f>IF(LEFT(分期持仓明细!$A$124,LEN(H$81)+2)=H$81&amp;" ·",ROW(分期持仓明细!$A$124),0)</f>
        <v>0</v>
      </c>
      <c r="O205">
        <f>IF(LEFT(分期持仓明细!$A$124,LEN(I$81)+2)=I$81&amp;" ·",ROW(分期持仓明细!$A$124),0)</f>
        <v>0</v>
      </c>
      <c r="P205">
        <f>IF(LEFT(分期持仓明细!$A$124,LEN(J$81)+2)=J$81&amp;" ·",ROW(分期持仓明细!$A$124),0)</f>
        <v>0</v>
      </c>
      <c r="Q205">
        <f>IF(LEFT(分期持仓明细!$A$124,LEN(K$81)+2)=K$81&amp;" ·",ROW(分期持仓明细!$A$124),0)</f>
        <v>0</v>
      </c>
      <c r="R205">
        <f>IF(LEFT(分期持仓明细!$A$124,LEN(L$81)+2)=L$81&amp;" ·",ROW(分期持仓明细!$A$124),0)</f>
        <v>0</v>
      </c>
    </row>
    <row r="206" spans="13:18">
      <c r="M206">
        <f>IF(LEFT(分期持仓明细!$A$125,LEN(G$81)+2)=G$81&amp;" ·",ROW(分期持仓明细!$A$125),0)</f>
        <v>0</v>
      </c>
      <c r="N206">
        <f>IF(LEFT(分期持仓明细!$A$125,LEN(H$81)+2)=H$81&amp;" ·",ROW(分期持仓明细!$A$125),0)</f>
        <v>0</v>
      </c>
      <c r="O206">
        <f>IF(LEFT(分期持仓明细!$A$125,LEN(I$81)+2)=I$81&amp;" ·",ROW(分期持仓明细!$A$125),0)</f>
        <v>0</v>
      </c>
      <c r="P206">
        <f>IF(LEFT(分期持仓明细!$A$125,LEN(J$81)+2)=J$81&amp;" ·",ROW(分期持仓明细!$A$125),0)</f>
        <v>0</v>
      </c>
      <c r="Q206">
        <f>IF(LEFT(分期持仓明细!$A$125,LEN(K$81)+2)=K$81&amp;" ·",ROW(分期持仓明细!$A$125),0)</f>
        <v>0</v>
      </c>
      <c r="R206">
        <f>IF(LEFT(分期持仓明细!$A$125,LEN(L$81)+2)=L$81&amp;" ·",ROW(分期持仓明细!$A$125),0)</f>
        <v>0</v>
      </c>
    </row>
    <row r="207" spans="13:18">
      <c r="M207">
        <f>IF(LEFT(分期持仓明细!$A$126,LEN(G$81)+2)=G$81&amp;" ·",ROW(分期持仓明细!$A$126),0)</f>
        <v>0</v>
      </c>
      <c r="N207">
        <f>IF(LEFT(分期持仓明细!$A$126,LEN(H$81)+2)=H$81&amp;" ·",ROW(分期持仓明细!$A$126),0)</f>
        <v>0</v>
      </c>
      <c r="O207">
        <f>IF(LEFT(分期持仓明细!$A$126,LEN(I$81)+2)=I$81&amp;" ·",ROW(分期持仓明细!$A$126),0)</f>
        <v>0</v>
      </c>
      <c r="P207">
        <f>IF(LEFT(分期持仓明细!$A$126,LEN(J$81)+2)=J$81&amp;" ·",ROW(分期持仓明细!$A$126),0)</f>
        <v>0</v>
      </c>
      <c r="Q207">
        <f>IF(LEFT(分期持仓明细!$A$126,LEN(K$81)+2)=K$81&amp;" ·",ROW(分期持仓明细!$A$126),0)</f>
        <v>0</v>
      </c>
      <c r="R207">
        <f>IF(LEFT(分期持仓明细!$A$126,LEN(L$81)+2)=L$81&amp;" ·",ROW(分期持仓明细!$A$126),0)</f>
        <v>0</v>
      </c>
    </row>
    <row r="208" spans="13:18">
      <c r="M208">
        <f>IF(LEFT(分期持仓明细!$A$127,LEN(G$81)+2)=G$81&amp;" ·",ROW(分期持仓明细!$A$127),0)</f>
        <v>0</v>
      </c>
      <c r="N208">
        <f>IF(LEFT(分期持仓明细!$A$127,LEN(H$81)+2)=H$81&amp;" ·",ROW(分期持仓明细!$A$127),0)</f>
        <v>0</v>
      </c>
      <c r="O208">
        <f>IF(LEFT(分期持仓明细!$A$127,LEN(I$81)+2)=I$81&amp;" ·",ROW(分期持仓明细!$A$127),0)</f>
        <v>0</v>
      </c>
      <c r="P208">
        <f>IF(LEFT(分期持仓明细!$A$127,LEN(J$81)+2)=J$81&amp;" ·",ROW(分期持仓明细!$A$127),0)</f>
        <v>0</v>
      </c>
      <c r="Q208">
        <f>IF(LEFT(分期持仓明细!$A$127,LEN(K$81)+2)=K$81&amp;" ·",ROW(分期持仓明细!$A$127),0)</f>
        <v>0</v>
      </c>
      <c r="R208">
        <f>IF(LEFT(分期持仓明细!$A$127,LEN(L$81)+2)=L$81&amp;" ·",ROW(分期持仓明细!$A$127),0)</f>
        <v>0</v>
      </c>
    </row>
    <row r="209" spans="13:18">
      <c r="M209">
        <f>IF(LEFT(分期持仓明细!$A$128,LEN(G$81)+2)=G$81&amp;" ·",ROW(分期持仓明细!$A$128),0)</f>
        <v>0</v>
      </c>
      <c r="N209">
        <f>IF(LEFT(分期持仓明细!$A$128,LEN(H$81)+2)=H$81&amp;" ·",ROW(分期持仓明细!$A$128),0)</f>
        <v>0</v>
      </c>
      <c r="O209">
        <f>IF(LEFT(分期持仓明细!$A$128,LEN(I$81)+2)=I$81&amp;" ·",ROW(分期持仓明细!$A$128),0)</f>
        <v>0</v>
      </c>
      <c r="P209">
        <f>IF(LEFT(分期持仓明细!$A$128,LEN(J$81)+2)=J$81&amp;" ·",ROW(分期持仓明细!$A$128),0)</f>
        <v>0</v>
      </c>
      <c r="Q209">
        <f>IF(LEFT(分期持仓明细!$A$128,LEN(K$81)+2)=K$81&amp;" ·",ROW(分期持仓明细!$A$128),0)</f>
        <v>0</v>
      </c>
      <c r="R209">
        <f>IF(LEFT(分期持仓明细!$A$128,LEN(L$81)+2)=L$81&amp;" ·",ROW(分期持仓明细!$A$128),0)</f>
        <v>0</v>
      </c>
    </row>
    <row r="210" spans="13:18">
      <c r="M210">
        <f>IF(LEFT(分期持仓明细!$A$129,LEN(G$81)+2)=G$81&amp;" ·",ROW(分期持仓明细!$A$129),0)</f>
        <v>0</v>
      </c>
      <c r="N210">
        <f>IF(LEFT(分期持仓明细!$A$129,LEN(H$81)+2)=H$81&amp;" ·",ROW(分期持仓明细!$A$129),0)</f>
        <v>0</v>
      </c>
      <c r="O210">
        <f>IF(LEFT(分期持仓明细!$A$129,LEN(I$81)+2)=I$81&amp;" ·",ROW(分期持仓明细!$A$129),0)</f>
        <v>0</v>
      </c>
      <c r="P210">
        <f>IF(LEFT(分期持仓明细!$A$129,LEN(J$81)+2)=J$81&amp;" ·",ROW(分期持仓明细!$A$129),0)</f>
        <v>0</v>
      </c>
      <c r="Q210">
        <f>IF(LEFT(分期持仓明细!$A$129,LEN(K$81)+2)=K$81&amp;" ·",ROW(分期持仓明细!$A$129),0)</f>
        <v>0</v>
      </c>
      <c r="R210">
        <f>IF(LEFT(分期持仓明细!$A$129,LEN(L$81)+2)=L$81&amp;" ·",ROW(分期持仓明细!$A$129),0)</f>
        <v>0</v>
      </c>
    </row>
    <row r="211" spans="13:18">
      <c r="M211">
        <f>IF(LEFT(分期持仓明细!$A$130,LEN(G$81)+2)=G$81&amp;" ·",ROW(分期持仓明细!$A$130),0)</f>
        <v>0</v>
      </c>
      <c r="N211">
        <f>IF(LEFT(分期持仓明细!$A$130,LEN(H$81)+2)=H$81&amp;" ·",ROW(分期持仓明细!$A$130),0)</f>
        <v>0</v>
      </c>
      <c r="O211">
        <f>IF(LEFT(分期持仓明细!$A$130,LEN(I$81)+2)=I$81&amp;" ·",ROW(分期持仓明细!$A$130),0)</f>
        <v>0</v>
      </c>
      <c r="P211">
        <f>IF(LEFT(分期持仓明细!$A$130,LEN(J$81)+2)=J$81&amp;" ·",ROW(分期持仓明细!$A$130),0)</f>
        <v>0</v>
      </c>
      <c r="Q211">
        <f>IF(LEFT(分期持仓明细!$A$130,LEN(K$81)+2)=K$81&amp;" ·",ROW(分期持仓明细!$A$130),0)</f>
        <v>0</v>
      </c>
      <c r="R211">
        <f>IF(LEFT(分期持仓明细!$A$130,LEN(L$81)+2)=L$81&amp;" ·",ROW(分期持仓明细!$A$130),0)</f>
        <v>0</v>
      </c>
    </row>
    <row r="212" spans="13:18">
      <c r="M212">
        <f>IF(LEFT(分期持仓明细!$A$131,LEN(G$81)+2)=G$81&amp;" ·",ROW(分期持仓明细!$A$131),0)</f>
        <v>0</v>
      </c>
      <c r="N212">
        <f>IF(LEFT(分期持仓明细!$A$131,LEN(H$81)+2)=H$81&amp;" ·",ROW(分期持仓明细!$A$131),0)</f>
        <v>0</v>
      </c>
      <c r="O212">
        <f>IF(LEFT(分期持仓明细!$A$131,LEN(I$81)+2)=I$81&amp;" ·",ROW(分期持仓明细!$A$131),0)</f>
        <v>0</v>
      </c>
      <c r="P212">
        <f>IF(LEFT(分期持仓明细!$A$131,LEN(J$81)+2)=J$81&amp;" ·",ROW(分期持仓明细!$A$131),0)</f>
        <v>0</v>
      </c>
      <c r="Q212">
        <f>IF(LEFT(分期持仓明细!$A$131,LEN(K$81)+2)=K$81&amp;" ·",ROW(分期持仓明细!$A$131),0)</f>
        <v>0</v>
      </c>
      <c r="R212">
        <f>IF(LEFT(分期持仓明细!$A$131,LEN(L$81)+2)=L$81&amp;" ·",ROW(分期持仓明细!$A$131),0)</f>
        <v>0</v>
      </c>
    </row>
    <row r="213" spans="13:18">
      <c r="M213">
        <f>IF(LEFT(分期持仓明细!$A$132,LEN(G$81)+2)=G$81&amp;" ·",ROW(分期持仓明细!$A$132),0)</f>
        <v>0</v>
      </c>
      <c r="N213">
        <f>IF(LEFT(分期持仓明细!$A$132,LEN(H$81)+2)=H$81&amp;" ·",ROW(分期持仓明细!$A$132),0)</f>
        <v>0</v>
      </c>
      <c r="O213">
        <f>IF(LEFT(分期持仓明细!$A$132,LEN(I$81)+2)=I$81&amp;" ·",ROW(分期持仓明细!$A$132),0)</f>
        <v>0</v>
      </c>
      <c r="P213">
        <f>IF(LEFT(分期持仓明细!$A$132,LEN(J$81)+2)=J$81&amp;" ·",ROW(分期持仓明细!$A$132),0)</f>
        <v>0</v>
      </c>
      <c r="Q213">
        <f>IF(LEFT(分期持仓明细!$A$132,LEN(K$81)+2)=K$81&amp;" ·",ROW(分期持仓明细!$A$132),0)</f>
        <v>0</v>
      </c>
      <c r="R213">
        <f>IF(LEFT(分期持仓明细!$A$132,LEN(L$81)+2)=L$81&amp;" ·",ROW(分期持仓明细!$A$132),0)</f>
        <v>0</v>
      </c>
    </row>
    <row r="214" spans="13:18">
      <c r="M214">
        <f>IF(LEFT(分期持仓明细!$A$133,LEN(G$81)+2)=G$81&amp;" ·",ROW(分期持仓明细!$A$133),0)</f>
        <v>0</v>
      </c>
      <c r="N214">
        <f>IF(LEFT(分期持仓明细!$A$133,LEN(H$81)+2)=H$81&amp;" ·",ROW(分期持仓明细!$A$133),0)</f>
        <v>0</v>
      </c>
      <c r="O214">
        <f>IF(LEFT(分期持仓明细!$A$133,LEN(I$81)+2)=I$81&amp;" ·",ROW(分期持仓明细!$A$133),0)</f>
        <v>0</v>
      </c>
      <c r="P214">
        <f>IF(LEFT(分期持仓明细!$A$133,LEN(J$81)+2)=J$81&amp;" ·",ROW(分期持仓明细!$A$133),0)</f>
        <v>0</v>
      </c>
      <c r="Q214">
        <f>IF(LEFT(分期持仓明细!$A$133,LEN(K$81)+2)=K$81&amp;" ·",ROW(分期持仓明细!$A$133),0)</f>
        <v>0</v>
      </c>
      <c r="R214">
        <f>IF(LEFT(分期持仓明细!$A$133,LEN(L$81)+2)=L$81&amp;" ·",ROW(分期持仓明细!$A$133),0)</f>
        <v>0</v>
      </c>
    </row>
    <row r="215" spans="13:18">
      <c r="M215">
        <f>IF(LEFT(分期持仓明细!$A$134,LEN(G$81)+2)=G$81&amp;" ·",ROW(分期持仓明细!$A$134),0)</f>
        <v>0</v>
      </c>
      <c r="N215">
        <f>IF(LEFT(分期持仓明细!$A$134,LEN(H$81)+2)=H$81&amp;" ·",ROW(分期持仓明细!$A$134),0)</f>
        <v>0</v>
      </c>
      <c r="O215">
        <f>IF(LEFT(分期持仓明细!$A$134,LEN(I$81)+2)=I$81&amp;" ·",ROW(分期持仓明细!$A$134),0)</f>
        <v>0</v>
      </c>
      <c r="P215">
        <f>IF(LEFT(分期持仓明细!$A$134,LEN(J$81)+2)=J$81&amp;" ·",ROW(分期持仓明细!$A$134),0)</f>
        <v>0</v>
      </c>
      <c r="Q215">
        <f>IF(LEFT(分期持仓明细!$A$134,LEN(K$81)+2)=K$81&amp;" ·",ROW(分期持仓明细!$A$134),0)</f>
        <v>0</v>
      </c>
      <c r="R215">
        <f>IF(LEFT(分期持仓明细!$A$134,LEN(L$81)+2)=L$81&amp;" ·",ROW(分期持仓明细!$A$134),0)</f>
        <v>0</v>
      </c>
    </row>
    <row r="216" spans="13:18">
      <c r="M216">
        <f>IF(LEFT(分期持仓明细!$A$135,LEN(G$81)+2)=G$81&amp;" ·",ROW(分期持仓明细!$A$135),0)</f>
        <v>0</v>
      </c>
      <c r="N216">
        <f>IF(LEFT(分期持仓明细!$A$135,LEN(H$81)+2)=H$81&amp;" ·",ROW(分期持仓明细!$A$135),0)</f>
        <v>0</v>
      </c>
      <c r="O216">
        <f>IF(LEFT(分期持仓明细!$A$135,LEN(I$81)+2)=I$81&amp;" ·",ROW(分期持仓明细!$A$135),0)</f>
        <v>0</v>
      </c>
      <c r="P216">
        <f>IF(LEFT(分期持仓明细!$A$135,LEN(J$81)+2)=J$81&amp;" ·",ROW(分期持仓明细!$A$135),0)</f>
        <v>0</v>
      </c>
      <c r="Q216">
        <f>IF(LEFT(分期持仓明细!$A$135,LEN(K$81)+2)=K$81&amp;" ·",ROW(分期持仓明细!$A$135),0)</f>
        <v>0</v>
      </c>
      <c r="R216">
        <f>IF(LEFT(分期持仓明细!$A$135,LEN(L$81)+2)=L$81&amp;" ·",ROW(分期持仓明细!$A$135),0)</f>
        <v>0</v>
      </c>
    </row>
    <row r="217" spans="13:18">
      <c r="M217">
        <f>IF(LEFT(分期持仓明细!$A$136,LEN(G$81)+2)=G$81&amp;" ·",ROW(分期持仓明细!$A$136),0)</f>
        <v>0</v>
      </c>
      <c r="N217">
        <f>IF(LEFT(分期持仓明细!$A$136,LEN(H$81)+2)=H$81&amp;" ·",ROW(分期持仓明细!$A$136),0)</f>
        <v>0</v>
      </c>
      <c r="O217">
        <f>IF(LEFT(分期持仓明细!$A$136,LEN(I$81)+2)=I$81&amp;" ·",ROW(分期持仓明细!$A$136),0)</f>
        <v>0</v>
      </c>
      <c r="P217">
        <f>IF(LEFT(分期持仓明细!$A$136,LEN(J$81)+2)=J$81&amp;" ·",ROW(分期持仓明细!$A$136),0)</f>
        <v>0</v>
      </c>
      <c r="Q217">
        <f>IF(LEFT(分期持仓明细!$A$136,LEN(K$81)+2)=K$81&amp;" ·",ROW(分期持仓明细!$A$136),0)</f>
        <v>0</v>
      </c>
      <c r="R217">
        <f>IF(LEFT(分期持仓明细!$A$136,LEN(L$81)+2)=L$81&amp;" ·",ROW(分期持仓明细!$A$136),0)</f>
        <v>0</v>
      </c>
    </row>
    <row r="218" spans="13:18">
      <c r="M218">
        <f>IF(LEFT(分期持仓明细!$A$137,LEN(G$81)+2)=G$81&amp;" ·",ROW(分期持仓明细!$A$137),0)</f>
        <v>0</v>
      </c>
      <c r="N218">
        <f>IF(LEFT(分期持仓明细!$A$137,LEN(H$81)+2)=H$81&amp;" ·",ROW(分期持仓明细!$A$137),0)</f>
        <v>0</v>
      </c>
      <c r="O218">
        <f>IF(LEFT(分期持仓明细!$A$137,LEN(I$81)+2)=I$81&amp;" ·",ROW(分期持仓明细!$A$137),0)</f>
        <v>0</v>
      </c>
      <c r="P218">
        <f>IF(LEFT(分期持仓明细!$A$137,LEN(J$81)+2)=J$81&amp;" ·",ROW(分期持仓明细!$A$137),0)</f>
        <v>0</v>
      </c>
      <c r="Q218">
        <f>IF(LEFT(分期持仓明细!$A$137,LEN(K$81)+2)=K$81&amp;" ·",ROW(分期持仓明细!$A$137),0)</f>
        <v>0</v>
      </c>
      <c r="R218">
        <f>IF(LEFT(分期持仓明细!$A$137,LEN(L$81)+2)=L$81&amp;" ·",ROW(分期持仓明细!$A$137),0)</f>
        <v>0</v>
      </c>
    </row>
    <row r="219" spans="13:18">
      <c r="M219">
        <f>IF(LEFT(分期持仓明细!$A$138,LEN(G$81)+2)=G$81&amp;" ·",ROW(分期持仓明细!$A$138),0)</f>
        <v>0</v>
      </c>
      <c r="N219">
        <f>IF(LEFT(分期持仓明细!$A$138,LEN(H$81)+2)=H$81&amp;" ·",ROW(分期持仓明细!$A$138),0)</f>
        <v>0</v>
      </c>
      <c r="O219">
        <f>IF(LEFT(分期持仓明细!$A$138,LEN(I$81)+2)=I$81&amp;" ·",ROW(分期持仓明细!$A$138),0)</f>
        <v>0</v>
      </c>
      <c r="P219">
        <f>IF(LEFT(分期持仓明细!$A$138,LEN(J$81)+2)=J$81&amp;" ·",ROW(分期持仓明细!$A$138),0)</f>
        <v>0</v>
      </c>
      <c r="Q219">
        <f>IF(LEFT(分期持仓明细!$A$138,LEN(K$81)+2)=K$81&amp;" ·",ROW(分期持仓明细!$A$138),0)</f>
        <v>0</v>
      </c>
      <c r="R219">
        <f>IF(LEFT(分期持仓明细!$A$138,LEN(L$81)+2)=L$81&amp;" ·",ROW(分期持仓明细!$A$138),0)</f>
        <v>0</v>
      </c>
    </row>
    <row r="220" spans="13:18">
      <c r="M220">
        <f>IF(LEFT(分期持仓明细!$A$139,LEN(G$81)+2)=G$81&amp;" ·",ROW(分期持仓明细!$A$139),0)</f>
        <v>0</v>
      </c>
      <c r="N220">
        <f>IF(LEFT(分期持仓明细!$A$139,LEN(H$81)+2)=H$81&amp;" ·",ROW(分期持仓明细!$A$139),0)</f>
        <v>0</v>
      </c>
      <c r="O220">
        <f>IF(LEFT(分期持仓明细!$A$139,LEN(I$81)+2)=I$81&amp;" ·",ROW(分期持仓明细!$A$139),0)</f>
        <v>0</v>
      </c>
      <c r="P220">
        <f>IF(LEFT(分期持仓明细!$A$139,LEN(J$81)+2)=J$81&amp;" ·",ROW(分期持仓明细!$A$139),0)</f>
        <v>0</v>
      </c>
      <c r="Q220">
        <f>IF(LEFT(分期持仓明细!$A$139,LEN(K$81)+2)=K$81&amp;" ·",ROW(分期持仓明细!$A$139),0)</f>
        <v>0</v>
      </c>
      <c r="R220">
        <f>IF(LEFT(分期持仓明细!$A$139,LEN(L$81)+2)=L$81&amp;" ·",ROW(分期持仓明细!$A$139),0)</f>
        <v>0</v>
      </c>
    </row>
    <row r="221" spans="13:18">
      <c r="M221">
        <f>IF(LEFT(分期持仓明细!$A$140,LEN(G$81)+2)=G$81&amp;" ·",ROW(分期持仓明细!$A$140),0)</f>
        <v>0</v>
      </c>
      <c r="N221">
        <f>IF(LEFT(分期持仓明细!$A$140,LEN(H$81)+2)=H$81&amp;" ·",ROW(分期持仓明细!$A$140),0)</f>
        <v>0</v>
      </c>
      <c r="O221">
        <f>IF(LEFT(分期持仓明细!$A$140,LEN(I$81)+2)=I$81&amp;" ·",ROW(分期持仓明细!$A$140),0)</f>
        <v>0</v>
      </c>
      <c r="P221">
        <f>IF(LEFT(分期持仓明细!$A$140,LEN(J$81)+2)=J$81&amp;" ·",ROW(分期持仓明细!$A$140),0)</f>
        <v>0</v>
      </c>
      <c r="Q221">
        <f>IF(LEFT(分期持仓明细!$A$140,LEN(K$81)+2)=K$81&amp;" ·",ROW(分期持仓明细!$A$140),0)</f>
        <v>0</v>
      </c>
      <c r="R221">
        <f>IF(LEFT(分期持仓明细!$A$140,LEN(L$81)+2)=L$81&amp;" ·",ROW(分期持仓明细!$A$140),0)</f>
        <v>0</v>
      </c>
    </row>
    <row r="222" spans="13:18">
      <c r="M222">
        <f>IF(LEFT(分期持仓明细!$A$141,LEN(G$81)+2)=G$81&amp;" ·",ROW(分期持仓明细!$A$141),0)</f>
        <v>0</v>
      </c>
      <c r="N222">
        <f>IF(LEFT(分期持仓明细!$A$141,LEN(H$81)+2)=H$81&amp;" ·",ROW(分期持仓明细!$A$141),0)</f>
        <v>0</v>
      </c>
      <c r="O222">
        <f>IF(LEFT(分期持仓明细!$A$141,LEN(I$81)+2)=I$81&amp;" ·",ROW(分期持仓明细!$A$141),0)</f>
        <v>0</v>
      </c>
      <c r="P222">
        <f>IF(LEFT(分期持仓明细!$A$141,LEN(J$81)+2)=J$81&amp;" ·",ROW(分期持仓明细!$A$141),0)</f>
        <v>0</v>
      </c>
      <c r="Q222">
        <f>IF(LEFT(分期持仓明细!$A$141,LEN(K$81)+2)=K$81&amp;" ·",ROW(分期持仓明细!$A$141),0)</f>
        <v>0</v>
      </c>
      <c r="R222">
        <f>IF(LEFT(分期持仓明细!$A$141,LEN(L$81)+2)=L$81&amp;" ·",ROW(分期持仓明细!$A$141),0)</f>
        <v>0</v>
      </c>
    </row>
    <row r="223" spans="13:18">
      <c r="M223">
        <f>IF(LEFT(分期持仓明细!$A$142,LEN(G$81)+2)=G$81&amp;" ·",ROW(分期持仓明细!$A$142),0)</f>
        <v>0</v>
      </c>
      <c r="N223">
        <f>IF(LEFT(分期持仓明细!$A$142,LEN(H$81)+2)=H$81&amp;" ·",ROW(分期持仓明细!$A$142),0)</f>
        <v>0</v>
      </c>
      <c r="O223">
        <f>IF(LEFT(分期持仓明细!$A$142,LEN(I$81)+2)=I$81&amp;" ·",ROW(分期持仓明细!$A$142),0)</f>
        <v>0</v>
      </c>
      <c r="P223">
        <f>IF(LEFT(分期持仓明细!$A$142,LEN(J$81)+2)=J$81&amp;" ·",ROW(分期持仓明细!$A$142),0)</f>
        <v>0</v>
      </c>
      <c r="Q223">
        <f>IF(LEFT(分期持仓明细!$A$142,LEN(K$81)+2)=K$81&amp;" ·",ROW(分期持仓明细!$A$142),0)</f>
        <v>0</v>
      </c>
      <c r="R223">
        <f>IF(LEFT(分期持仓明细!$A$142,LEN(L$81)+2)=L$81&amp;" ·",ROW(分期持仓明细!$A$142),0)</f>
        <v>0</v>
      </c>
    </row>
    <row r="224" spans="13:18">
      <c r="M224">
        <f>IF(LEFT(分期持仓明细!$A$143,LEN(G$81)+2)=G$81&amp;" ·",ROW(分期持仓明细!$A$143),0)</f>
        <v>0</v>
      </c>
      <c r="N224">
        <f>IF(LEFT(分期持仓明细!$A$143,LEN(H$81)+2)=H$81&amp;" ·",ROW(分期持仓明细!$A$143),0)</f>
        <v>0</v>
      </c>
      <c r="O224">
        <f>IF(LEFT(分期持仓明细!$A$143,LEN(I$81)+2)=I$81&amp;" ·",ROW(分期持仓明细!$A$143),0)</f>
        <v>0</v>
      </c>
      <c r="P224">
        <f>IF(LEFT(分期持仓明细!$A$143,LEN(J$81)+2)=J$81&amp;" ·",ROW(分期持仓明细!$A$143),0)</f>
        <v>0</v>
      </c>
      <c r="Q224">
        <f>IF(LEFT(分期持仓明细!$A$143,LEN(K$81)+2)=K$81&amp;" ·",ROW(分期持仓明细!$A$143),0)</f>
        <v>0</v>
      </c>
      <c r="R224">
        <f>IF(LEFT(分期持仓明细!$A$143,LEN(L$81)+2)=L$81&amp;" ·",ROW(分期持仓明细!$A$143),0)</f>
        <v>0</v>
      </c>
    </row>
    <row r="225" spans="13:18">
      <c r="M225">
        <f>IF(LEFT(分期持仓明细!$A$144,LEN(G$81)+2)=G$81&amp;" ·",ROW(分期持仓明细!$A$144),0)</f>
        <v>0</v>
      </c>
      <c r="N225">
        <f>IF(LEFT(分期持仓明细!$A$144,LEN(H$81)+2)=H$81&amp;" ·",ROW(分期持仓明细!$A$144),0)</f>
        <v>0</v>
      </c>
      <c r="O225">
        <f>IF(LEFT(分期持仓明细!$A$144,LEN(I$81)+2)=I$81&amp;" ·",ROW(分期持仓明细!$A$144),0)</f>
        <v>0</v>
      </c>
      <c r="P225">
        <f>IF(LEFT(分期持仓明细!$A$144,LEN(J$81)+2)=J$81&amp;" ·",ROW(分期持仓明细!$A$144),0)</f>
        <v>0</v>
      </c>
      <c r="Q225">
        <f>IF(LEFT(分期持仓明细!$A$144,LEN(K$81)+2)=K$81&amp;" ·",ROW(分期持仓明细!$A$144),0)</f>
        <v>0</v>
      </c>
      <c r="R225">
        <f>IF(LEFT(分期持仓明细!$A$144,LEN(L$81)+2)=L$81&amp;" ·",ROW(分期持仓明细!$A$144),0)</f>
        <v>0</v>
      </c>
    </row>
    <row r="226" spans="13:18">
      <c r="M226">
        <f>IF(LEFT(分期持仓明细!$A$145,LEN(G$81)+2)=G$81&amp;" ·",ROW(分期持仓明细!$A$145),0)</f>
        <v>0</v>
      </c>
      <c r="N226">
        <f>IF(LEFT(分期持仓明细!$A$145,LEN(H$81)+2)=H$81&amp;" ·",ROW(分期持仓明细!$A$145),0)</f>
        <v>0</v>
      </c>
      <c r="O226">
        <f>IF(LEFT(分期持仓明细!$A$145,LEN(I$81)+2)=I$81&amp;" ·",ROW(分期持仓明细!$A$145),0)</f>
        <v>0</v>
      </c>
      <c r="P226">
        <f>IF(LEFT(分期持仓明细!$A$145,LEN(J$81)+2)=J$81&amp;" ·",ROW(分期持仓明细!$A$145),0)</f>
        <v>0</v>
      </c>
      <c r="Q226">
        <f>IF(LEFT(分期持仓明细!$A$145,LEN(K$81)+2)=K$81&amp;" ·",ROW(分期持仓明细!$A$145),0)</f>
        <v>0</v>
      </c>
      <c r="R226">
        <f>IF(LEFT(分期持仓明细!$A$145,LEN(L$81)+2)=L$81&amp;" ·",ROW(分期持仓明细!$A$145),0)</f>
        <v>0</v>
      </c>
    </row>
    <row r="227" spans="13:18">
      <c r="M227">
        <f>IF(LEFT(分期持仓明细!$A$146,LEN(G$81)+2)=G$81&amp;" ·",ROW(分期持仓明细!$A$146),0)</f>
        <v>0</v>
      </c>
      <c r="N227">
        <f>IF(LEFT(分期持仓明细!$A$146,LEN(H$81)+2)=H$81&amp;" ·",ROW(分期持仓明细!$A$146),0)</f>
        <v>0</v>
      </c>
      <c r="O227">
        <f>IF(LEFT(分期持仓明细!$A$146,LEN(I$81)+2)=I$81&amp;" ·",ROW(分期持仓明细!$A$146),0)</f>
        <v>0</v>
      </c>
      <c r="P227">
        <f>IF(LEFT(分期持仓明细!$A$146,LEN(J$81)+2)=J$81&amp;" ·",ROW(分期持仓明细!$A$146),0)</f>
        <v>0</v>
      </c>
      <c r="Q227">
        <f>IF(LEFT(分期持仓明细!$A$146,LEN(K$81)+2)=K$81&amp;" ·",ROW(分期持仓明细!$A$146),0)</f>
        <v>0</v>
      </c>
      <c r="R227">
        <f>IF(LEFT(分期持仓明细!$A$146,LEN(L$81)+2)=L$81&amp;" ·",ROW(分期持仓明细!$A$146),0)</f>
        <v>0</v>
      </c>
    </row>
    <row r="228" spans="13:18">
      <c r="M228">
        <f>IF(LEFT(分期持仓明细!$A$147,LEN(G$81)+2)=G$81&amp;" ·",ROW(分期持仓明细!$A$147),0)</f>
        <v>0</v>
      </c>
      <c r="N228">
        <f>IF(LEFT(分期持仓明细!$A$147,LEN(H$81)+2)=H$81&amp;" ·",ROW(分期持仓明细!$A$147),0)</f>
        <v>0</v>
      </c>
      <c r="O228">
        <f>IF(LEFT(分期持仓明细!$A$147,LEN(I$81)+2)=I$81&amp;" ·",ROW(分期持仓明细!$A$147),0)</f>
        <v>0</v>
      </c>
      <c r="P228">
        <f>IF(LEFT(分期持仓明细!$A$147,LEN(J$81)+2)=J$81&amp;" ·",ROW(分期持仓明细!$A$147),0)</f>
        <v>0</v>
      </c>
      <c r="Q228">
        <f>IF(LEFT(分期持仓明细!$A$147,LEN(K$81)+2)=K$81&amp;" ·",ROW(分期持仓明细!$A$147),0)</f>
        <v>0</v>
      </c>
      <c r="R228">
        <f>IF(LEFT(分期持仓明细!$A$147,LEN(L$81)+2)=L$81&amp;" ·",ROW(分期持仓明细!$A$147),0)</f>
        <v>0</v>
      </c>
    </row>
    <row r="229" spans="13:18">
      <c r="M229">
        <f>IF(LEFT(分期持仓明细!$A$148,LEN(G$81)+2)=G$81&amp;" ·",ROW(分期持仓明细!$A$148),0)</f>
        <v>0</v>
      </c>
      <c r="N229">
        <f>IF(LEFT(分期持仓明细!$A$148,LEN(H$81)+2)=H$81&amp;" ·",ROW(分期持仓明细!$A$148),0)</f>
        <v>0</v>
      </c>
      <c r="O229">
        <f>IF(LEFT(分期持仓明细!$A$148,LEN(I$81)+2)=I$81&amp;" ·",ROW(分期持仓明细!$A$148),0)</f>
        <v>0</v>
      </c>
      <c r="P229">
        <f>IF(LEFT(分期持仓明细!$A$148,LEN(J$81)+2)=J$81&amp;" ·",ROW(分期持仓明细!$A$148),0)</f>
        <v>0</v>
      </c>
      <c r="Q229">
        <f>IF(LEFT(分期持仓明细!$A$148,LEN(K$81)+2)=K$81&amp;" ·",ROW(分期持仓明细!$A$148),0)</f>
        <v>0</v>
      </c>
      <c r="R229">
        <f>IF(LEFT(分期持仓明细!$A$148,LEN(L$81)+2)=L$81&amp;" ·",ROW(分期持仓明细!$A$148),0)</f>
        <v>0</v>
      </c>
    </row>
    <row r="230" spans="13:18">
      <c r="M230">
        <f>IF(LEFT(分期持仓明细!$A$149,LEN(G$81)+2)=G$81&amp;" ·",ROW(分期持仓明细!$A$149),0)</f>
        <v>0</v>
      </c>
      <c r="N230">
        <f>IF(LEFT(分期持仓明细!$A$149,LEN(H$81)+2)=H$81&amp;" ·",ROW(分期持仓明细!$A$149),0)</f>
        <v>0</v>
      </c>
      <c r="O230">
        <f>IF(LEFT(分期持仓明细!$A$149,LEN(I$81)+2)=I$81&amp;" ·",ROW(分期持仓明细!$A$149),0)</f>
        <v>0</v>
      </c>
      <c r="P230">
        <f>IF(LEFT(分期持仓明细!$A$149,LEN(J$81)+2)=J$81&amp;" ·",ROW(分期持仓明细!$A$149),0)</f>
        <v>0</v>
      </c>
      <c r="Q230">
        <f>IF(LEFT(分期持仓明细!$A$149,LEN(K$81)+2)=K$81&amp;" ·",ROW(分期持仓明细!$A$149),0)</f>
        <v>0</v>
      </c>
      <c r="R230">
        <f>IF(LEFT(分期持仓明细!$A$149,LEN(L$81)+2)=L$81&amp;" ·",ROW(分期持仓明细!$A$149),0)</f>
        <v>0</v>
      </c>
    </row>
    <row r="231" spans="13:18">
      <c r="M231">
        <f>IF(LEFT(分期持仓明细!$A$150,LEN(G$81)+2)=G$81&amp;" ·",ROW(分期持仓明细!$A$150),0)</f>
        <v>0</v>
      </c>
      <c r="N231">
        <f>IF(LEFT(分期持仓明细!$A$150,LEN(H$81)+2)=H$81&amp;" ·",ROW(分期持仓明细!$A$150),0)</f>
        <v>0</v>
      </c>
      <c r="O231">
        <f>IF(LEFT(分期持仓明细!$A$150,LEN(I$81)+2)=I$81&amp;" ·",ROW(分期持仓明细!$A$150),0)</f>
        <v>0</v>
      </c>
      <c r="P231">
        <f>IF(LEFT(分期持仓明细!$A$150,LEN(J$81)+2)=J$81&amp;" ·",ROW(分期持仓明细!$A$150),0)</f>
        <v>0</v>
      </c>
      <c r="Q231">
        <f>IF(LEFT(分期持仓明细!$A$150,LEN(K$81)+2)=K$81&amp;" ·",ROW(分期持仓明细!$A$150),0)</f>
        <v>0</v>
      </c>
      <c r="R231">
        <f>IF(LEFT(分期持仓明细!$A$150,LEN(L$81)+2)=L$81&amp;" ·",ROW(分期持仓明细!$A$150),0)</f>
        <v>0</v>
      </c>
    </row>
    <row r="232" spans="13:18">
      <c r="M232">
        <f>IF(LEFT(分期持仓明细!$A$151,LEN(G$81)+2)=G$81&amp;" ·",ROW(分期持仓明细!$A$151),0)</f>
        <v>0</v>
      </c>
      <c r="N232">
        <f>IF(LEFT(分期持仓明细!$A$151,LEN(H$81)+2)=H$81&amp;" ·",ROW(分期持仓明细!$A$151),0)</f>
        <v>0</v>
      </c>
      <c r="O232">
        <f>IF(LEFT(分期持仓明细!$A$151,LEN(I$81)+2)=I$81&amp;" ·",ROW(分期持仓明细!$A$151),0)</f>
        <v>0</v>
      </c>
      <c r="P232">
        <f>IF(LEFT(分期持仓明细!$A$151,LEN(J$81)+2)=J$81&amp;" ·",ROW(分期持仓明细!$A$151),0)</f>
        <v>0</v>
      </c>
      <c r="Q232">
        <f>IF(LEFT(分期持仓明细!$A$151,LEN(K$81)+2)=K$81&amp;" ·",ROW(分期持仓明细!$A$151),0)</f>
        <v>0</v>
      </c>
      <c r="R232">
        <f>IF(LEFT(分期持仓明细!$A$151,LEN(L$81)+2)=L$81&amp;" ·",ROW(分期持仓明细!$A$151),0)</f>
        <v>0</v>
      </c>
    </row>
    <row r="233" spans="13:18">
      <c r="M233">
        <f>IF(LEFT(分期持仓明细!$A$152,LEN(G$81)+2)=G$81&amp;" ·",ROW(分期持仓明细!$A$152),0)</f>
        <v>0</v>
      </c>
      <c r="N233">
        <f>IF(LEFT(分期持仓明细!$A$152,LEN(H$81)+2)=H$81&amp;" ·",ROW(分期持仓明细!$A$152),0)</f>
        <v>0</v>
      </c>
      <c r="O233">
        <f>IF(LEFT(分期持仓明细!$A$152,LEN(I$81)+2)=I$81&amp;" ·",ROW(分期持仓明细!$A$152),0)</f>
        <v>0</v>
      </c>
      <c r="P233">
        <f>IF(LEFT(分期持仓明细!$A$152,LEN(J$81)+2)=J$81&amp;" ·",ROW(分期持仓明细!$A$152),0)</f>
        <v>0</v>
      </c>
      <c r="Q233">
        <f>IF(LEFT(分期持仓明细!$A$152,LEN(K$81)+2)=K$81&amp;" ·",ROW(分期持仓明细!$A$152),0)</f>
        <v>0</v>
      </c>
      <c r="R233">
        <f>IF(LEFT(分期持仓明细!$A$152,LEN(L$81)+2)=L$81&amp;" ·",ROW(分期持仓明细!$A$152),0)</f>
        <v>0</v>
      </c>
    </row>
    <row r="234" spans="13:18">
      <c r="M234">
        <f>IF(LEFT(分期持仓明细!$A$153,LEN(G$81)+2)=G$81&amp;" ·",ROW(分期持仓明细!$A$153),0)</f>
        <v>0</v>
      </c>
      <c r="N234">
        <f>IF(LEFT(分期持仓明细!$A$153,LEN(H$81)+2)=H$81&amp;" ·",ROW(分期持仓明细!$A$153),0)</f>
        <v>0</v>
      </c>
      <c r="O234">
        <f>IF(LEFT(分期持仓明细!$A$153,LEN(I$81)+2)=I$81&amp;" ·",ROW(分期持仓明细!$A$153),0)</f>
        <v>0</v>
      </c>
      <c r="P234">
        <f>IF(LEFT(分期持仓明细!$A$153,LEN(J$81)+2)=J$81&amp;" ·",ROW(分期持仓明细!$A$153),0)</f>
        <v>0</v>
      </c>
      <c r="Q234">
        <f>IF(LEFT(分期持仓明细!$A$153,LEN(K$81)+2)=K$81&amp;" ·",ROW(分期持仓明细!$A$153),0)</f>
        <v>0</v>
      </c>
      <c r="R234">
        <f>IF(LEFT(分期持仓明细!$A$153,LEN(L$81)+2)=L$81&amp;" ·",ROW(分期持仓明细!$A$153),0)</f>
        <v>0</v>
      </c>
    </row>
    <row r="235" spans="13:18">
      <c r="M235">
        <f>IF(LEFT(分期持仓明细!$A$154,LEN(G$81)+2)=G$81&amp;" ·",ROW(分期持仓明细!$A$154),0)</f>
        <v>0</v>
      </c>
      <c r="N235">
        <f>IF(LEFT(分期持仓明细!$A$154,LEN(H$81)+2)=H$81&amp;" ·",ROW(分期持仓明细!$A$154),0)</f>
        <v>0</v>
      </c>
      <c r="O235">
        <f>IF(LEFT(分期持仓明细!$A$154,LEN(I$81)+2)=I$81&amp;" ·",ROW(分期持仓明细!$A$154),0)</f>
        <v>0</v>
      </c>
      <c r="P235">
        <f>IF(LEFT(分期持仓明细!$A$154,LEN(J$81)+2)=J$81&amp;" ·",ROW(分期持仓明细!$A$154),0)</f>
        <v>0</v>
      </c>
      <c r="Q235">
        <f>IF(LEFT(分期持仓明细!$A$154,LEN(K$81)+2)=K$81&amp;" ·",ROW(分期持仓明细!$A$154),0)</f>
        <v>0</v>
      </c>
      <c r="R235">
        <f>IF(LEFT(分期持仓明细!$A$154,LEN(L$81)+2)=L$81&amp;" ·",ROW(分期持仓明细!$A$154),0)</f>
        <v>0</v>
      </c>
    </row>
    <row r="236" spans="13:18">
      <c r="M236">
        <f>IF(LEFT(分期持仓明细!$A$155,LEN(G$81)+2)=G$81&amp;" ·",ROW(分期持仓明细!$A$155),0)</f>
        <v>0</v>
      </c>
      <c r="N236">
        <f>IF(LEFT(分期持仓明细!$A$155,LEN(H$81)+2)=H$81&amp;" ·",ROW(分期持仓明细!$A$155),0)</f>
        <v>0</v>
      </c>
      <c r="O236">
        <f>IF(LEFT(分期持仓明细!$A$155,LEN(I$81)+2)=I$81&amp;" ·",ROW(分期持仓明细!$A$155),0)</f>
        <v>0</v>
      </c>
      <c r="P236">
        <f>IF(LEFT(分期持仓明细!$A$155,LEN(J$81)+2)=J$81&amp;" ·",ROW(分期持仓明细!$A$155),0)</f>
        <v>0</v>
      </c>
      <c r="Q236">
        <f>IF(LEFT(分期持仓明细!$A$155,LEN(K$81)+2)=K$81&amp;" ·",ROW(分期持仓明细!$A$155),0)</f>
        <v>0</v>
      </c>
      <c r="R236">
        <f>IF(LEFT(分期持仓明细!$A$155,LEN(L$81)+2)=L$81&amp;" ·",ROW(分期持仓明细!$A$155),0)</f>
        <v>0</v>
      </c>
    </row>
    <row r="237" spans="13:18">
      <c r="M237">
        <f>IF(LEFT(分期持仓明细!$A$156,LEN(G$81)+2)=G$81&amp;" ·",ROW(分期持仓明细!$A$156),0)</f>
        <v>0</v>
      </c>
      <c r="N237">
        <f>IF(LEFT(分期持仓明细!$A$156,LEN(H$81)+2)=H$81&amp;" ·",ROW(分期持仓明细!$A$156),0)</f>
        <v>0</v>
      </c>
      <c r="O237">
        <f>IF(LEFT(分期持仓明细!$A$156,LEN(I$81)+2)=I$81&amp;" ·",ROW(分期持仓明细!$A$156),0)</f>
        <v>0</v>
      </c>
      <c r="P237">
        <f>IF(LEFT(分期持仓明细!$A$156,LEN(J$81)+2)=J$81&amp;" ·",ROW(分期持仓明细!$A$156),0)</f>
        <v>0</v>
      </c>
      <c r="Q237">
        <f>IF(LEFT(分期持仓明细!$A$156,LEN(K$81)+2)=K$81&amp;" ·",ROW(分期持仓明细!$A$156),0)</f>
        <v>0</v>
      </c>
      <c r="R237">
        <f>IF(LEFT(分期持仓明细!$A$156,LEN(L$81)+2)=L$81&amp;" ·",ROW(分期持仓明细!$A$156),0)</f>
        <v>0</v>
      </c>
    </row>
    <row r="238" spans="13:18">
      <c r="M238">
        <f>IF(LEFT(分期持仓明细!$A$157,LEN(G$81)+2)=G$81&amp;" ·",ROW(分期持仓明细!$A$157),0)</f>
        <v>0</v>
      </c>
      <c r="N238">
        <f>IF(LEFT(分期持仓明细!$A$157,LEN(H$81)+2)=H$81&amp;" ·",ROW(分期持仓明细!$A$157),0)</f>
        <v>0</v>
      </c>
      <c r="O238">
        <f>IF(LEFT(分期持仓明细!$A$157,LEN(I$81)+2)=I$81&amp;" ·",ROW(分期持仓明细!$A$157),0)</f>
        <v>0</v>
      </c>
      <c r="P238">
        <f>IF(LEFT(分期持仓明细!$A$157,LEN(J$81)+2)=J$81&amp;" ·",ROW(分期持仓明细!$A$157),0)</f>
        <v>0</v>
      </c>
      <c r="Q238">
        <f>IF(LEFT(分期持仓明细!$A$157,LEN(K$81)+2)=K$81&amp;" ·",ROW(分期持仓明细!$A$157),0)</f>
        <v>0</v>
      </c>
      <c r="R238">
        <f>IF(LEFT(分期持仓明细!$A$157,LEN(L$81)+2)=L$81&amp;" ·",ROW(分期持仓明细!$A$157),0)</f>
        <v>0</v>
      </c>
    </row>
    <row r="239" spans="13:18">
      <c r="M239">
        <f>IF(LEFT(分期持仓明细!$A$158,LEN(G$81)+2)=G$81&amp;" ·",ROW(分期持仓明细!$A$158),0)</f>
        <v>0</v>
      </c>
      <c r="N239">
        <f>IF(LEFT(分期持仓明细!$A$158,LEN(H$81)+2)=H$81&amp;" ·",ROW(分期持仓明细!$A$158),0)</f>
        <v>0</v>
      </c>
      <c r="O239">
        <f>IF(LEFT(分期持仓明细!$A$158,LEN(I$81)+2)=I$81&amp;" ·",ROW(分期持仓明细!$A$158),0)</f>
        <v>0</v>
      </c>
      <c r="P239">
        <f>IF(LEFT(分期持仓明细!$A$158,LEN(J$81)+2)=J$81&amp;" ·",ROW(分期持仓明细!$A$158),0)</f>
        <v>0</v>
      </c>
      <c r="Q239">
        <f>IF(LEFT(分期持仓明细!$A$158,LEN(K$81)+2)=K$81&amp;" ·",ROW(分期持仓明细!$A$158),0)</f>
        <v>0</v>
      </c>
      <c r="R239">
        <f>IF(LEFT(分期持仓明细!$A$158,LEN(L$81)+2)=L$81&amp;" ·",ROW(分期持仓明细!$A$158),0)</f>
        <v>0</v>
      </c>
    </row>
    <row r="240" spans="13:18">
      <c r="M240">
        <f>IF(LEFT(分期持仓明细!$A$159,LEN(G$81)+2)=G$81&amp;" ·",ROW(分期持仓明细!$A$159),0)</f>
        <v>0</v>
      </c>
      <c r="N240">
        <f>IF(LEFT(分期持仓明细!$A$159,LEN(H$81)+2)=H$81&amp;" ·",ROW(分期持仓明细!$A$159),0)</f>
        <v>0</v>
      </c>
      <c r="O240">
        <f>IF(LEFT(分期持仓明细!$A$159,LEN(I$81)+2)=I$81&amp;" ·",ROW(分期持仓明细!$A$159),0)</f>
        <v>0</v>
      </c>
      <c r="P240">
        <f>IF(LEFT(分期持仓明细!$A$159,LEN(J$81)+2)=J$81&amp;" ·",ROW(分期持仓明细!$A$159),0)</f>
        <v>0</v>
      </c>
      <c r="Q240">
        <f>IF(LEFT(分期持仓明细!$A$159,LEN(K$81)+2)=K$81&amp;" ·",ROW(分期持仓明细!$A$159),0)</f>
        <v>0</v>
      </c>
      <c r="R240">
        <f>IF(LEFT(分期持仓明细!$A$159,LEN(L$81)+2)=L$81&amp;" ·",ROW(分期持仓明细!$A$159),0)</f>
        <v>0</v>
      </c>
    </row>
    <row r="241" spans="13:18">
      <c r="M241">
        <f>IF(LEFT(分期持仓明细!$A$160,LEN(G$81)+2)=G$81&amp;" ·",ROW(分期持仓明细!$A$160),0)</f>
        <v>0</v>
      </c>
      <c r="N241">
        <f>IF(LEFT(分期持仓明细!$A$160,LEN(H$81)+2)=H$81&amp;" ·",ROW(分期持仓明细!$A$160),0)</f>
        <v>0</v>
      </c>
      <c r="O241">
        <f>IF(LEFT(分期持仓明细!$A$160,LEN(I$81)+2)=I$81&amp;" ·",ROW(分期持仓明细!$A$160),0)</f>
        <v>0</v>
      </c>
      <c r="P241">
        <f>IF(LEFT(分期持仓明细!$A$160,LEN(J$81)+2)=J$81&amp;" ·",ROW(分期持仓明细!$A$160),0)</f>
        <v>0</v>
      </c>
      <c r="Q241">
        <f>IF(LEFT(分期持仓明细!$A$160,LEN(K$81)+2)=K$81&amp;" ·",ROW(分期持仓明细!$A$160),0)</f>
        <v>0</v>
      </c>
      <c r="R241">
        <f>IF(LEFT(分期持仓明细!$A$160,LEN(L$81)+2)=L$81&amp;" ·",ROW(分期持仓明细!$A$160),0)</f>
        <v>0</v>
      </c>
    </row>
    <row r="242" spans="13:18">
      <c r="M242">
        <f>IF(LEFT(分期持仓明细!$A$161,LEN(G$81)+2)=G$81&amp;" ·",ROW(分期持仓明细!$A$161),0)</f>
        <v>0</v>
      </c>
      <c r="N242">
        <f>IF(LEFT(分期持仓明细!$A$161,LEN(H$81)+2)=H$81&amp;" ·",ROW(分期持仓明细!$A$161),0)</f>
        <v>0</v>
      </c>
      <c r="O242">
        <f>IF(LEFT(分期持仓明细!$A$161,LEN(I$81)+2)=I$81&amp;" ·",ROW(分期持仓明细!$A$161),0)</f>
        <v>0</v>
      </c>
      <c r="P242">
        <f>IF(LEFT(分期持仓明细!$A$161,LEN(J$81)+2)=J$81&amp;" ·",ROW(分期持仓明细!$A$161),0)</f>
        <v>0</v>
      </c>
      <c r="Q242">
        <f>IF(LEFT(分期持仓明细!$A$161,LEN(K$81)+2)=K$81&amp;" ·",ROW(分期持仓明细!$A$161),0)</f>
        <v>0</v>
      </c>
      <c r="R242">
        <f>IF(LEFT(分期持仓明细!$A$161,LEN(L$81)+2)=L$81&amp;" ·",ROW(分期持仓明细!$A$161),0)</f>
        <v>0</v>
      </c>
    </row>
    <row r="243" spans="13:18">
      <c r="M243">
        <f>IF(LEFT(分期持仓明细!$A$162,LEN(G$81)+2)=G$81&amp;" ·",ROW(分期持仓明细!$A$162),0)</f>
        <v>0</v>
      </c>
      <c r="N243">
        <f>IF(LEFT(分期持仓明细!$A$162,LEN(H$81)+2)=H$81&amp;" ·",ROW(分期持仓明细!$A$162),0)</f>
        <v>0</v>
      </c>
      <c r="O243">
        <f>IF(LEFT(分期持仓明细!$A$162,LEN(I$81)+2)=I$81&amp;" ·",ROW(分期持仓明细!$A$162),0)</f>
        <v>0</v>
      </c>
      <c r="P243">
        <f>IF(LEFT(分期持仓明细!$A$162,LEN(J$81)+2)=J$81&amp;" ·",ROW(分期持仓明细!$A$162),0)</f>
        <v>0</v>
      </c>
      <c r="Q243">
        <f>IF(LEFT(分期持仓明细!$A$162,LEN(K$81)+2)=K$81&amp;" ·",ROW(分期持仓明细!$A$162),0)</f>
        <v>0</v>
      </c>
      <c r="R243">
        <f>IF(LEFT(分期持仓明细!$A$162,LEN(L$81)+2)=L$81&amp;" ·",ROW(分期持仓明细!$A$162),0)</f>
        <v>0</v>
      </c>
    </row>
    <row r="244" spans="13:18">
      <c r="M244">
        <f>IF(LEFT(分期持仓明细!$A$163,LEN(G$81)+2)=G$81&amp;" ·",ROW(分期持仓明细!$A$163),0)</f>
        <v>0</v>
      </c>
      <c r="N244">
        <f>IF(LEFT(分期持仓明细!$A$163,LEN(H$81)+2)=H$81&amp;" ·",ROW(分期持仓明细!$A$163),0)</f>
        <v>0</v>
      </c>
      <c r="O244">
        <f>IF(LEFT(分期持仓明细!$A$163,LEN(I$81)+2)=I$81&amp;" ·",ROW(分期持仓明细!$A$163),0)</f>
        <v>0</v>
      </c>
      <c r="P244">
        <f>IF(LEFT(分期持仓明细!$A$163,LEN(J$81)+2)=J$81&amp;" ·",ROW(分期持仓明细!$A$163),0)</f>
        <v>0</v>
      </c>
      <c r="Q244">
        <f>IF(LEFT(分期持仓明细!$A$163,LEN(K$81)+2)=K$81&amp;" ·",ROW(分期持仓明细!$A$163),0)</f>
        <v>0</v>
      </c>
      <c r="R244">
        <f>IF(LEFT(分期持仓明细!$A$163,LEN(L$81)+2)=L$81&amp;" ·",ROW(分期持仓明细!$A$163),0)</f>
        <v>0</v>
      </c>
    </row>
    <row r="245" spans="13:18">
      <c r="M245">
        <f>IF(LEFT(分期持仓明细!$A$164,LEN(G$81)+2)=G$81&amp;" ·",ROW(分期持仓明细!$A$164),0)</f>
        <v>0</v>
      </c>
      <c r="N245">
        <f>IF(LEFT(分期持仓明细!$A$164,LEN(H$81)+2)=H$81&amp;" ·",ROW(分期持仓明细!$A$164),0)</f>
        <v>0</v>
      </c>
      <c r="O245">
        <f>IF(LEFT(分期持仓明细!$A$164,LEN(I$81)+2)=I$81&amp;" ·",ROW(分期持仓明细!$A$164),0)</f>
        <v>0</v>
      </c>
      <c r="P245">
        <f>IF(LEFT(分期持仓明细!$A$164,LEN(J$81)+2)=J$81&amp;" ·",ROW(分期持仓明细!$A$164),0)</f>
        <v>0</v>
      </c>
      <c r="Q245">
        <f>IF(LEFT(分期持仓明细!$A$164,LEN(K$81)+2)=K$81&amp;" ·",ROW(分期持仓明细!$A$164),0)</f>
        <v>0</v>
      </c>
      <c r="R245">
        <f>IF(LEFT(分期持仓明细!$A$164,LEN(L$81)+2)=L$81&amp;" ·",ROW(分期持仓明细!$A$164),0)</f>
        <v>0</v>
      </c>
    </row>
    <row r="246" spans="13:18">
      <c r="M246">
        <f>IF(LEFT(分期持仓明细!$A$165,LEN(G$81)+2)=G$81&amp;" ·",ROW(分期持仓明细!$A$165),0)</f>
        <v>0</v>
      </c>
      <c r="N246">
        <f>IF(LEFT(分期持仓明细!$A$165,LEN(H$81)+2)=H$81&amp;" ·",ROW(分期持仓明细!$A$165),0)</f>
        <v>0</v>
      </c>
      <c r="O246">
        <f>IF(LEFT(分期持仓明细!$A$165,LEN(I$81)+2)=I$81&amp;" ·",ROW(分期持仓明细!$A$165),0)</f>
        <v>0</v>
      </c>
      <c r="P246">
        <f>IF(LEFT(分期持仓明细!$A$165,LEN(J$81)+2)=J$81&amp;" ·",ROW(分期持仓明细!$A$165),0)</f>
        <v>0</v>
      </c>
      <c r="Q246">
        <f>IF(LEFT(分期持仓明细!$A$165,LEN(K$81)+2)=K$81&amp;" ·",ROW(分期持仓明细!$A$165),0)</f>
        <v>0</v>
      </c>
      <c r="R246">
        <f>IF(LEFT(分期持仓明细!$A$165,LEN(L$81)+2)=L$81&amp;" ·",ROW(分期持仓明细!$A$165),0)</f>
        <v>0</v>
      </c>
    </row>
    <row r="247" spans="13:18">
      <c r="M247">
        <f>IF(LEFT(分期持仓明细!$A$166,LEN(G$81)+2)=G$81&amp;" ·",ROW(分期持仓明细!$A$166),0)</f>
        <v>0</v>
      </c>
      <c r="N247">
        <f>IF(LEFT(分期持仓明细!$A$166,LEN(H$81)+2)=H$81&amp;" ·",ROW(分期持仓明细!$A$166),0)</f>
        <v>0</v>
      </c>
      <c r="O247">
        <f>IF(LEFT(分期持仓明细!$A$166,LEN(I$81)+2)=I$81&amp;" ·",ROW(分期持仓明细!$A$166),0)</f>
        <v>0</v>
      </c>
      <c r="P247">
        <f>IF(LEFT(分期持仓明细!$A$166,LEN(J$81)+2)=J$81&amp;" ·",ROW(分期持仓明细!$A$166),0)</f>
        <v>0</v>
      </c>
      <c r="Q247">
        <f>IF(LEFT(分期持仓明细!$A$166,LEN(K$81)+2)=K$81&amp;" ·",ROW(分期持仓明细!$A$166),0)</f>
        <v>0</v>
      </c>
      <c r="R247">
        <f>IF(LEFT(分期持仓明细!$A$166,LEN(L$81)+2)=L$81&amp;" ·",ROW(分期持仓明细!$A$166),0)</f>
        <v>0</v>
      </c>
    </row>
    <row r="248" spans="13:18">
      <c r="M248">
        <f>IF(LEFT(分期持仓明细!$A$167,LEN(G$81)+2)=G$81&amp;" ·",ROW(分期持仓明细!$A$167),0)</f>
        <v>0</v>
      </c>
      <c r="N248">
        <f>IF(LEFT(分期持仓明细!$A$167,LEN(H$81)+2)=H$81&amp;" ·",ROW(分期持仓明细!$A$167),0)</f>
        <v>0</v>
      </c>
      <c r="O248">
        <f>IF(LEFT(分期持仓明细!$A$167,LEN(I$81)+2)=I$81&amp;" ·",ROW(分期持仓明细!$A$167),0)</f>
        <v>0</v>
      </c>
      <c r="P248">
        <f>IF(LEFT(分期持仓明细!$A$167,LEN(J$81)+2)=J$81&amp;" ·",ROW(分期持仓明细!$A$167),0)</f>
        <v>0</v>
      </c>
      <c r="Q248">
        <f>IF(LEFT(分期持仓明细!$A$167,LEN(K$81)+2)=K$81&amp;" ·",ROW(分期持仓明细!$A$167),0)</f>
        <v>0</v>
      </c>
      <c r="R248">
        <f>IF(LEFT(分期持仓明细!$A$167,LEN(L$81)+2)=L$81&amp;" ·",ROW(分期持仓明细!$A$167),0)</f>
        <v>0</v>
      </c>
    </row>
    <row r="249" spans="13:18">
      <c r="M249">
        <f>IF(LEFT(分期持仓明细!$A$168,LEN(G$81)+2)=G$81&amp;" ·",ROW(分期持仓明细!$A$168),0)</f>
        <v>0</v>
      </c>
      <c r="N249">
        <f>IF(LEFT(分期持仓明细!$A$168,LEN(H$81)+2)=H$81&amp;" ·",ROW(分期持仓明细!$A$168),0)</f>
        <v>0</v>
      </c>
      <c r="O249">
        <f>IF(LEFT(分期持仓明细!$A$168,LEN(I$81)+2)=I$81&amp;" ·",ROW(分期持仓明细!$A$168),0)</f>
        <v>0</v>
      </c>
      <c r="P249">
        <f>IF(LEFT(分期持仓明细!$A$168,LEN(J$81)+2)=J$81&amp;" ·",ROW(分期持仓明细!$A$168),0)</f>
        <v>0</v>
      </c>
      <c r="Q249">
        <f>IF(LEFT(分期持仓明细!$A$168,LEN(K$81)+2)=K$81&amp;" ·",ROW(分期持仓明细!$A$168),0)</f>
        <v>0</v>
      </c>
      <c r="R249">
        <f>IF(LEFT(分期持仓明细!$A$168,LEN(L$81)+2)=L$81&amp;" ·",ROW(分期持仓明细!$A$168),0)</f>
        <v>0</v>
      </c>
    </row>
    <row r="250" spans="13:18">
      <c r="M250">
        <f>IF(LEFT(分期持仓明细!$A$169,LEN(G$81)+2)=G$81&amp;" ·",ROW(分期持仓明细!$A$169),0)</f>
        <v>0</v>
      </c>
      <c r="N250">
        <f>IF(LEFT(分期持仓明细!$A$169,LEN(H$81)+2)=H$81&amp;" ·",ROW(分期持仓明细!$A$169),0)</f>
        <v>0</v>
      </c>
      <c r="O250">
        <f>IF(LEFT(分期持仓明细!$A$169,LEN(I$81)+2)=I$81&amp;" ·",ROW(分期持仓明细!$A$169),0)</f>
        <v>0</v>
      </c>
      <c r="P250">
        <f>IF(LEFT(分期持仓明细!$A$169,LEN(J$81)+2)=J$81&amp;" ·",ROW(分期持仓明细!$A$169),0)</f>
        <v>0</v>
      </c>
      <c r="Q250">
        <f>IF(LEFT(分期持仓明细!$A$169,LEN(K$81)+2)=K$81&amp;" ·",ROW(分期持仓明细!$A$169),0)</f>
        <v>0</v>
      </c>
      <c r="R250">
        <f>IF(LEFT(分期持仓明细!$A$169,LEN(L$81)+2)=L$81&amp;" ·",ROW(分期持仓明细!$A$169),0)</f>
        <v>0</v>
      </c>
    </row>
    <row r="251" spans="13:18">
      <c r="M251">
        <f>IF(LEFT(分期持仓明细!$A$170,LEN(G$81)+2)=G$81&amp;" ·",ROW(分期持仓明细!$A$170),0)</f>
        <v>0</v>
      </c>
      <c r="N251">
        <f>IF(LEFT(分期持仓明细!$A$170,LEN(H$81)+2)=H$81&amp;" ·",ROW(分期持仓明细!$A$170),0)</f>
        <v>0</v>
      </c>
      <c r="O251">
        <f>IF(LEFT(分期持仓明细!$A$170,LEN(I$81)+2)=I$81&amp;" ·",ROW(分期持仓明细!$A$170),0)</f>
        <v>0</v>
      </c>
      <c r="P251">
        <f>IF(LEFT(分期持仓明细!$A$170,LEN(J$81)+2)=J$81&amp;" ·",ROW(分期持仓明细!$A$170),0)</f>
        <v>0</v>
      </c>
      <c r="Q251">
        <f>IF(LEFT(分期持仓明细!$A$170,LEN(K$81)+2)=K$81&amp;" ·",ROW(分期持仓明细!$A$170),0)</f>
        <v>0</v>
      </c>
      <c r="R251">
        <f>IF(LEFT(分期持仓明细!$A$170,LEN(L$81)+2)=L$81&amp;" ·",ROW(分期持仓明细!$A$170),0)</f>
        <v>0</v>
      </c>
    </row>
    <row r="252" spans="13:18">
      <c r="M252">
        <f>IF(LEFT(分期持仓明细!$A$171,LEN(G$81)+2)=G$81&amp;" ·",ROW(分期持仓明细!$A$171),0)</f>
        <v>0</v>
      </c>
      <c r="N252">
        <f>IF(LEFT(分期持仓明细!$A$171,LEN(H$81)+2)=H$81&amp;" ·",ROW(分期持仓明细!$A$171),0)</f>
        <v>0</v>
      </c>
      <c r="O252">
        <f>IF(LEFT(分期持仓明细!$A$171,LEN(I$81)+2)=I$81&amp;" ·",ROW(分期持仓明细!$A$171),0)</f>
        <v>0</v>
      </c>
      <c r="P252">
        <f>IF(LEFT(分期持仓明细!$A$171,LEN(J$81)+2)=J$81&amp;" ·",ROW(分期持仓明细!$A$171),0)</f>
        <v>0</v>
      </c>
      <c r="Q252">
        <f>IF(LEFT(分期持仓明细!$A$171,LEN(K$81)+2)=K$81&amp;" ·",ROW(分期持仓明细!$A$171),0)</f>
        <v>0</v>
      </c>
      <c r="R252">
        <f>IF(LEFT(分期持仓明细!$A$171,LEN(L$81)+2)=L$81&amp;" ·",ROW(分期持仓明细!$A$171),0)</f>
        <v>0</v>
      </c>
    </row>
    <row r="253" spans="13:18">
      <c r="M253">
        <f>IF(LEFT(分期持仓明细!$A$172,LEN(G$81)+2)=G$81&amp;" ·",ROW(分期持仓明细!$A$172),0)</f>
        <v>0</v>
      </c>
      <c r="N253">
        <f>IF(LEFT(分期持仓明细!$A$172,LEN(H$81)+2)=H$81&amp;" ·",ROW(分期持仓明细!$A$172),0)</f>
        <v>0</v>
      </c>
      <c r="O253">
        <f>IF(LEFT(分期持仓明细!$A$172,LEN(I$81)+2)=I$81&amp;" ·",ROW(分期持仓明细!$A$172),0)</f>
        <v>0</v>
      </c>
      <c r="P253">
        <f>IF(LEFT(分期持仓明细!$A$172,LEN(J$81)+2)=J$81&amp;" ·",ROW(分期持仓明细!$A$172),0)</f>
        <v>0</v>
      </c>
      <c r="Q253">
        <f>IF(LEFT(分期持仓明细!$A$172,LEN(K$81)+2)=K$81&amp;" ·",ROW(分期持仓明细!$A$172),0)</f>
        <v>0</v>
      </c>
      <c r="R253">
        <f>IF(LEFT(分期持仓明细!$A$172,LEN(L$81)+2)=L$81&amp;" ·",ROW(分期持仓明细!$A$172),0)</f>
        <v>0</v>
      </c>
    </row>
    <row r="254" spans="13:18">
      <c r="M254">
        <f>IF(LEFT(分期持仓明细!$A$173,LEN(G$81)+2)=G$81&amp;" ·",ROW(分期持仓明细!$A$173),0)</f>
        <v>0</v>
      </c>
      <c r="N254">
        <f>IF(LEFT(分期持仓明细!$A$173,LEN(H$81)+2)=H$81&amp;" ·",ROW(分期持仓明细!$A$173),0)</f>
        <v>0</v>
      </c>
      <c r="O254">
        <f>IF(LEFT(分期持仓明细!$A$173,LEN(I$81)+2)=I$81&amp;" ·",ROW(分期持仓明细!$A$173),0)</f>
        <v>0</v>
      </c>
      <c r="P254">
        <f>IF(LEFT(分期持仓明细!$A$173,LEN(J$81)+2)=J$81&amp;" ·",ROW(分期持仓明细!$A$173),0)</f>
        <v>0</v>
      </c>
      <c r="Q254">
        <f>IF(LEFT(分期持仓明细!$A$173,LEN(K$81)+2)=K$81&amp;" ·",ROW(分期持仓明细!$A$173),0)</f>
        <v>0</v>
      </c>
      <c r="R254">
        <f>IF(LEFT(分期持仓明细!$A$173,LEN(L$81)+2)=L$81&amp;" ·",ROW(分期持仓明细!$A$173),0)</f>
        <v>0</v>
      </c>
    </row>
    <row r="255" spans="13:18">
      <c r="M255">
        <f>IF(LEFT(分期持仓明细!$A$174,LEN(G$81)+2)=G$81&amp;" ·",ROW(分期持仓明细!$A$174),0)</f>
        <v>0</v>
      </c>
      <c r="N255">
        <f>IF(LEFT(分期持仓明细!$A$174,LEN(H$81)+2)=H$81&amp;" ·",ROW(分期持仓明细!$A$174),0)</f>
        <v>0</v>
      </c>
      <c r="O255">
        <f>IF(LEFT(分期持仓明细!$A$174,LEN(I$81)+2)=I$81&amp;" ·",ROW(分期持仓明细!$A$174),0)</f>
        <v>0</v>
      </c>
      <c r="P255">
        <f>IF(LEFT(分期持仓明细!$A$174,LEN(J$81)+2)=J$81&amp;" ·",ROW(分期持仓明细!$A$174),0)</f>
        <v>0</v>
      </c>
      <c r="Q255">
        <f>IF(LEFT(分期持仓明细!$A$174,LEN(K$81)+2)=K$81&amp;" ·",ROW(分期持仓明细!$A$174),0)</f>
        <v>0</v>
      </c>
      <c r="R255">
        <f>IF(LEFT(分期持仓明细!$A$174,LEN(L$81)+2)=L$81&amp;" ·",ROW(分期持仓明细!$A$174),0)</f>
        <v>0</v>
      </c>
    </row>
    <row r="256" spans="13:18">
      <c r="M256">
        <f>IF(LEFT(分期持仓明细!$A$175,LEN(G$81)+2)=G$81&amp;" ·",ROW(分期持仓明细!$A$175),0)</f>
        <v>0</v>
      </c>
      <c r="N256">
        <f>IF(LEFT(分期持仓明细!$A$175,LEN(H$81)+2)=H$81&amp;" ·",ROW(分期持仓明细!$A$175),0)</f>
        <v>0</v>
      </c>
      <c r="O256">
        <f>IF(LEFT(分期持仓明细!$A$175,LEN(I$81)+2)=I$81&amp;" ·",ROW(分期持仓明细!$A$175),0)</f>
        <v>0</v>
      </c>
      <c r="P256">
        <f>IF(LEFT(分期持仓明细!$A$175,LEN(J$81)+2)=J$81&amp;" ·",ROW(分期持仓明细!$A$175),0)</f>
        <v>0</v>
      </c>
      <c r="Q256">
        <f>IF(LEFT(分期持仓明细!$A$175,LEN(K$81)+2)=K$81&amp;" ·",ROW(分期持仓明细!$A$175),0)</f>
        <v>0</v>
      </c>
      <c r="R256">
        <f>IF(LEFT(分期持仓明细!$A$175,LEN(L$81)+2)=L$81&amp;" ·",ROW(分期持仓明细!$A$175),0)</f>
        <v>0</v>
      </c>
    </row>
    <row r="257" spans="13:18">
      <c r="M257">
        <f>IF(LEFT(分期持仓明细!$A$176,LEN(G$81)+2)=G$81&amp;" ·",ROW(分期持仓明细!$A$176),0)</f>
        <v>0</v>
      </c>
      <c r="N257">
        <f>IF(LEFT(分期持仓明细!$A$176,LEN(H$81)+2)=H$81&amp;" ·",ROW(分期持仓明细!$A$176),0)</f>
        <v>0</v>
      </c>
      <c r="O257">
        <f>IF(LEFT(分期持仓明细!$A$176,LEN(I$81)+2)=I$81&amp;" ·",ROW(分期持仓明细!$A$176),0)</f>
        <v>0</v>
      </c>
      <c r="P257">
        <f>IF(LEFT(分期持仓明细!$A$176,LEN(J$81)+2)=J$81&amp;" ·",ROW(分期持仓明细!$A$176),0)</f>
        <v>0</v>
      </c>
      <c r="Q257">
        <f>IF(LEFT(分期持仓明细!$A$176,LEN(K$81)+2)=K$81&amp;" ·",ROW(分期持仓明细!$A$176),0)</f>
        <v>0</v>
      </c>
      <c r="R257">
        <f>IF(LEFT(分期持仓明细!$A$176,LEN(L$81)+2)=L$81&amp;" ·",ROW(分期持仓明细!$A$176),0)</f>
        <v>0</v>
      </c>
    </row>
    <row r="258" spans="13:18">
      <c r="M258">
        <f>IF(LEFT(分期持仓明细!$A$177,LEN(G$81)+2)=G$81&amp;" ·",ROW(分期持仓明细!$A$177),0)</f>
        <v>0</v>
      </c>
      <c r="N258">
        <f>IF(LEFT(分期持仓明细!$A$177,LEN(H$81)+2)=H$81&amp;" ·",ROW(分期持仓明细!$A$177),0)</f>
        <v>0</v>
      </c>
      <c r="O258">
        <f>IF(LEFT(分期持仓明细!$A$177,LEN(I$81)+2)=I$81&amp;" ·",ROW(分期持仓明细!$A$177),0)</f>
        <v>0</v>
      </c>
      <c r="P258">
        <f>IF(LEFT(分期持仓明细!$A$177,LEN(J$81)+2)=J$81&amp;" ·",ROW(分期持仓明细!$A$177),0)</f>
        <v>0</v>
      </c>
      <c r="Q258">
        <f>IF(LEFT(分期持仓明细!$A$177,LEN(K$81)+2)=K$81&amp;" ·",ROW(分期持仓明细!$A$177),0)</f>
        <v>0</v>
      </c>
      <c r="R258">
        <f>IF(LEFT(分期持仓明细!$A$177,LEN(L$81)+2)=L$81&amp;" ·",ROW(分期持仓明细!$A$177),0)</f>
        <v>0</v>
      </c>
    </row>
    <row r="259" spans="13:18">
      <c r="M259">
        <f>IF(LEFT(分期持仓明细!$A$178,LEN(G$81)+2)=G$81&amp;" ·",ROW(分期持仓明细!$A$178),0)</f>
        <v>0</v>
      </c>
      <c r="N259">
        <f>IF(LEFT(分期持仓明细!$A$178,LEN(H$81)+2)=H$81&amp;" ·",ROW(分期持仓明细!$A$178),0)</f>
        <v>0</v>
      </c>
      <c r="O259">
        <f>IF(LEFT(分期持仓明细!$A$178,LEN(I$81)+2)=I$81&amp;" ·",ROW(分期持仓明细!$A$178),0)</f>
        <v>0</v>
      </c>
      <c r="P259">
        <f>IF(LEFT(分期持仓明细!$A$178,LEN(J$81)+2)=J$81&amp;" ·",ROW(分期持仓明细!$A$178),0)</f>
        <v>0</v>
      </c>
      <c r="Q259">
        <f>IF(LEFT(分期持仓明细!$A$178,LEN(K$81)+2)=K$81&amp;" ·",ROW(分期持仓明细!$A$178),0)</f>
        <v>0</v>
      </c>
      <c r="R259">
        <f>IF(LEFT(分期持仓明细!$A$178,LEN(L$81)+2)=L$81&amp;" ·",ROW(分期持仓明细!$A$178),0)</f>
        <v>0</v>
      </c>
    </row>
    <row r="260" spans="13:18">
      <c r="M260">
        <f>IF(LEFT(分期持仓明细!$A$179,LEN(G$81)+2)=G$81&amp;" ·",ROW(分期持仓明细!$A$179),0)</f>
        <v>0</v>
      </c>
      <c r="N260">
        <f>IF(LEFT(分期持仓明细!$A$179,LEN(H$81)+2)=H$81&amp;" ·",ROW(分期持仓明细!$A$179),0)</f>
        <v>0</v>
      </c>
      <c r="O260">
        <f>IF(LEFT(分期持仓明细!$A$179,LEN(I$81)+2)=I$81&amp;" ·",ROW(分期持仓明细!$A$179),0)</f>
        <v>0</v>
      </c>
      <c r="P260">
        <f>IF(LEFT(分期持仓明细!$A$179,LEN(J$81)+2)=J$81&amp;" ·",ROW(分期持仓明细!$A$179),0)</f>
        <v>0</v>
      </c>
      <c r="Q260">
        <f>IF(LEFT(分期持仓明细!$A$179,LEN(K$81)+2)=K$81&amp;" ·",ROW(分期持仓明细!$A$179),0)</f>
        <v>0</v>
      </c>
      <c r="R260">
        <f>IF(LEFT(分期持仓明细!$A$179,LEN(L$81)+2)=L$81&amp;" ·",ROW(分期持仓明细!$A$179),0)</f>
        <v>0</v>
      </c>
    </row>
    <row r="261" spans="13:18">
      <c r="M261">
        <f>IF(LEFT(分期持仓明细!$A$180,LEN(G$81)+2)=G$81&amp;" ·",ROW(分期持仓明细!$A$180),0)</f>
        <v>0</v>
      </c>
      <c r="N261">
        <f>IF(LEFT(分期持仓明细!$A$180,LEN(H$81)+2)=H$81&amp;" ·",ROW(分期持仓明细!$A$180),0)</f>
        <v>0</v>
      </c>
      <c r="O261">
        <f>IF(LEFT(分期持仓明细!$A$180,LEN(I$81)+2)=I$81&amp;" ·",ROW(分期持仓明细!$A$180),0)</f>
        <v>0</v>
      </c>
      <c r="P261">
        <f>IF(LEFT(分期持仓明细!$A$180,LEN(J$81)+2)=J$81&amp;" ·",ROW(分期持仓明细!$A$180),0)</f>
        <v>0</v>
      </c>
      <c r="Q261">
        <f>IF(LEFT(分期持仓明细!$A$180,LEN(K$81)+2)=K$81&amp;" ·",ROW(分期持仓明细!$A$180),0)</f>
        <v>0</v>
      </c>
      <c r="R261">
        <f>IF(LEFT(分期持仓明细!$A$180,LEN(L$81)+2)=L$81&amp;" ·",ROW(分期持仓明细!$A$180),0)</f>
        <v>0</v>
      </c>
    </row>
    <row r="262" spans="13:18">
      <c r="M262">
        <f>IF(LEFT(分期持仓明细!$A$181,LEN(G$81)+2)=G$81&amp;" ·",ROW(分期持仓明细!$A$181),0)</f>
        <v>0</v>
      </c>
      <c r="N262">
        <f>IF(LEFT(分期持仓明细!$A$181,LEN(H$81)+2)=H$81&amp;" ·",ROW(分期持仓明细!$A$181),0)</f>
        <v>0</v>
      </c>
      <c r="O262">
        <f>IF(LEFT(分期持仓明细!$A$181,LEN(I$81)+2)=I$81&amp;" ·",ROW(分期持仓明细!$A$181),0)</f>
        <v>0</v>
      </c>
      <c r="P262">
        <f>IF(LEFT(分期持仓明细!$A$181,LEN(J$81)+2)=J$81&amp;" ·",ROW(分期持仓明细!$A$181),0)</f>
        <v>0</v>
      </c>
      <c r="Q262">
        <f>IF(LEFT(分期持仓明细!$A$181,LEN(K$81)+2)=K$81&amp;" ·",ROW(分期持仓明细!$A$181),0)</f>
        <v>0</v>
      </c>
      <c r="R262">
        <f>IF(LEFT(分期持仓明细!$A$181,LEN(L$81)+2)=L$81&amp;" ·",ROW(分期持仓明细!$A$181),0)</f>
        <v>0</v>
      </c>
    </row>
    <row r="263" spans="13:18">
      <c r="M263">
        <f>IF(LEFT(分期持仓明细!$A$182,LEN(G$81)+2)=G$81&amp;" ·",ROW(分期持仓明细!$A$182),0)</f>
        <v>0</v>
      </c>
      <c r="N263">
        <f>IF(LEFT(分期持仓明细!$A$182,LEN(H$81)+2)=H$81&amp;" ·",ROW(分期持仓明细!$A$182),0)</f>
        <v>0</v>
      </c>
      <c r="O263">
        <f>IF(LEFT(分期持仓明细!$A$182,LEN(I$81)+2)=I$81&amp;" ·",ROW(分期持仓明细!$A$182),0)</f>
        <v>0</v>
      </c>
      <c r="P263">
        <f>IF(LEFT(分期持仓明细!$A$182,LEN(J$81)+2)=J$81&amp;" ·",ROW(分期持仓明细!$A$182),0)</f>
        <v>0</v>
      </c>
      <c r="Q263">
        <f>IF(LEFT(分期持仓明细!$A$182,LEN(K$81)+2)=K$81&amp;" ·",ROW(分期持仓明细!$A$182),0)</f>
        <v>0</v>
      </c>
      <c r="R263">
        <f>IF(LEFT(分期持仓明细!$A$182,LEN(L$81)+2)=L$81&amp;" ·",ROW(分期持仓明细!$A$182),0)</f>
        <v>0</v>
      </c>
    </row>
    <row r="264" spans="13:18">
      <c r="M264">
        <f>IF(LEFT(分期持仓明细!$A$183,LEN(G$81)+2)=G$81&amp;" ·",ROW(分期持仓明细!$A$183),0)</f>
        <v>0</v>
      </c>
      <c r="N264">
        <f>IF(LEFT(分期持仓明细!$A$183,LEN(H$81)+2)=H$81&amp;" ·",ROW(分期持仓明细!$A$183),0)</f>
        <v>0</v>
      </c>
      <c r="O264">
        <f>IF(LEFT(分期持仓明细!$A$183,LEN(I$81)+2)=I$81&amp;" ·",ROW(分期持仓明细!$A$183),0)</f>
        <v>0</v>
      </c>
      <c r="P264">
        <f>IF(LEFT(分期持仓明细!$A$183,LEN(J$81)+2)=J$81&amp;" ·",ROW(分期持仓明细!$A$183),0)</f>
        <v>0</v>
      </c>
      <c r="Q264">
        <f>IF(LEFT(分期持仓明细!$A$183,LEN(K$81)+2)=K$81&amp;" ·",ROW(分期持仓明细!$A$183),0)</f>
        <v>0</v>
      </c>
      <c r="R264">
        <f>IF(LEFT(分期持仓明细!$A$183,LEN(L$81)+2)=L$81&amp;" ·",ROW(分期持仓明细!$A$183),0)</f>
        <v>0</v>
      </c>
    </row>
    <row r="265" spans="13:18">
      <c r="M265">
        <f>IF(LEFT(分期持仓明细!$A$184,LEN(G$81)+2)=G$81&amp;" ·",ROW(分期持仓明细!$A$184),0)</f>
        <v>0</v>
      </c>
      <c r="N265">
        <f>IF(LEFT(分期持仓明细!$A$184,LEN(H$81)+2)=H$81&amp;" ·",ROW(分期持仓明细!$A$184),0)</f>
        <v>0</v>
      </c>
      <c r="O265">
        <f>IF(LEFT(分期持仓明细!$A$184,LEN(I$81)+2)=I$81&amp;" ·",ROW(分期持仓明细!$A$184),0)</f>
        <v>0</v>
      </c>
      <c r="P265">
        <f>IF(LEFT(分期持仓明细!$A$184,LEN(J$81)+2)=J$81&amp;" ·",ROW(分期持仓明细!$A$184),0)</f>
        <v>0</v>
      </c>
      <c r="Q265">
        <f>IF(LEFT(分期持仓明细!$A$184,LEN(K$81)+2)=K$81&amp;" ·",ROW(分期持仓明细!$A$184),0)</f>
        <v>0</v>
      </c>
      <c r="R265">
        <f>IF(LEFT(分期持仓明细!$A$184,LEN(L$81)+2)=L$81&amp;" ·",ROW(分期持仓明细!$A$184),0)</f>
        <v>0</v>
      </c>
    </row>
    <row r="266" spans="13:18">
      <c r="M266">
        <f>IF(LEFT(分期持仓明细!$A$185,LEN(G$81)+2)=G$81&amp;" ·",ROW(分期持仓明细!$A$185),0)</f>
        <v>0</v>
      </c>
      <c r="N266">
        <f>IF(LEFT(分期持仓明细!$A$185,LEN(H$81)+2)=H$81&amp;" ·",ROW(分期持仓明细!$A$185),0)</f>
        <v>0</v>
      </c>
      <c r="O266">
        <f>IF(LEFT(分期持仓明细!$A$185,LEN(I$81)+2)=I$81&amp;" ·",ROW(分期持仓明细!$A$185),0)</f>
        <v>0</v>
      </c>
      <c r="P266">
        <f>IF(LEFT(分期持仓明细!$A$185,LEN(J$81)+2)=J$81&amp;" ·",ROW(分期持仓明细!$A$185),0)</f>
        <v>0</v>
      </c>
      <c r="Q266">
        <f>IF(LEFT(分期持仓明细!$A$185,LEN(K$81)+2)=K$81&amp;" ·",ROW(分期持仓明细!$A$185),0)</f>
        <v>0</v>
      </c>
      <c r="R266">
        <f>IF(LEFT(分期持仓明细!$A$185,LEN(L$81)+2)=L$81&amp;" ·",ROW(分期持仓明细!$A$185),0)</f>
        <v>0</v>
      </c>
    </row>
    <row r="267" spans="13:18">
      <c r="M267">
        <f>IF(LEFT(分期持仓明细!$A$186,LEN(G$81)+2)=G$81&amp;" ·",ROW(分期持仓明细!$A$186),0)</f>
        <v>0</v>
      </c>
      <c r="N267">
        <f>IF(LEFT(分期持仓明细!$A$186,LEN(H$81)+2)=H$81&amp;" ·",ROW(分期持仓明细!$A$186),0)</f>
        <v>0</v>
      </c>
      <c r="O267">
        <f>IF(LEFT(分期持仓明细!$A$186,LEN(I$81)+2)=I$81&amp;" ·",ROW(分期持仓明细!$A$186),0)</f>
        <v>0</v>
      </c>
      <c r="P267">
        <f>IF(LEFT(分期持仓明细!$A$186,LEN(J$81)+2)=J$81&amp;" ·",ROW(分期持仓明细!$A$186),0)</f>
        <v>0</v>
      </c>
      <c r="Q267">
        <f>IF(LEFT(分期持仓明细!$A$186,LEN(K$81)+2)=K$81&amp;" ·",ROW(分期持仓明细!$A$186),0)</f>
        <v>0</v>
      </c>
      <c r="R267">
        <f>IF(LEFT(分期持仓明细!$A$186,LEN(L$81)+2)=L$81&amp;" ·",ROW(分期持仓明细!$A$186),0)</f>
        <v>0</v>
      </c>
    </row>
    <row r="268" spans="13:18">
      <c r="M268">
        <f>IF(LEFT(分期持仓明细!$A$187,LEN(G$81)+2)=G$81&amp;" ·",ROW(分期持仓明细!$A$187),0)</f>
        <v>0</v>
      </c>
      <c r="N268">
        <f>IF(LEFT(分期持仓明细!$A$187,LEN(H$81)+2)=H$81&amp;" ·",ROW(分期持仓明细!$A$187),0)</f>
        <v>0</v>
      </c>
      <c r="O268">
        <f>IF(LEFT(分期持仓明细!$A$187,LEN(I$81)+2)=I$81&amp;" ·",ROW(分期持仓明细!$A$187),0)</f>
        <v>0</v>
      </c>
      <c r="P268">
        <f>IF(LEFT(分期持仓明细!$A$187,LEN(J$81)+2)=J$81&amp;" ·",ROW(分期持仓明细!$A$187),0)</f>
        <v>0</v>
      </c>
      <c r="Q268">
        <f>IF(LEFT(分期持仓明细!$A$187,LEN(K$81)+2)=K$81&amp;" ·",ROW(分期持仓明细!$A$187),0)</f>
        <v>0</v>
      </c>
      <c r="R268">
        <f>IF(LEFT(分期持仓明细!$A$187,LEN(L$81)+2)=L$81&amp;" ·",ROW(分期持仓明细!$A$187),0)</f>
        <v>0</v>
      </c>
    </row>
    <row r="269" spans="13:18">
      <c r="M269">
        <f>IF(LEFT(分期持仓明细!$A$188,LEN(G$81)+2)=G$81&amp;" ·",ROW(分期持仓明细!$A$188),0)</f>
        <v>0</v>
      </c>
      <c r="N269">
        <f>IF(LEFT(分期持仓明细!$A$188,LEN(H$81)+2)=H$81&amp;" ·",ROW(分期持仓明细!$A$188),0)</f>
        <v>0</v>
      </c>
      <c r="O269">
        <f>IF(LEFT(分期持仓明细!$A$188,LEN(I$81)+2)=I$81&amp;" ·",ROW(分期持仓明细!$A$188),0)</f>
        <v>0</v>
      </c>
      <c r="P269">
        <f>IF(LEFT(分期持仓明细!$A$188,LEN(J$81)+2)=J$81&amp;" ·",ROW(分期持仓明细!$A$188),0)</f>
        <v>0</v>
      </c>
      <c r="Q269">
        <f>IF(LEFT(分期持仓明细!$A$188,LEN(K$81)+2)=K$81&amp;" ·",ROW(分期持仓明细!$A$188),0)</f>
        <v>0</v>
      </c>
      <c r="R269">
        <f>IF(LEFT(分期持仓明细!$A$188,LEN(L$81)+2)=L$81&amp;" ·",ROW(分期持仓明细!$A$188),0)</f>
        <v>0</v>
      </c>
    </row>
    <row r="270" spans="13:18">
      <c r="M270">
        <f>IF(LEFT(分期持仓明细!$A$189,LEN(G$81)+2)=G$81&amp;" ·",ROW(分期持仓明细!$A$189),0)</f>
        <v>0</v>
      </c>
      <c r="N270">
        <f>IF(LEFT(分期持仓明细!$A$189,LEN(H$81)+2)=H$81&amp;" ·",ROW(分期持仓明细!$A$189),0)</f>
        <v>0</v>
      </c>
      <c r="O270">
        <f>IF(LEFT(分期持仓明细!$A$189,LEN(I$81)+2)=I$81&amp;" ·",ROW(分期持仓明细!$A$189),0)</f>
        <v>0</v>
      </c>
      <c r="P270">
        <f>IF(LEFT(分期持仓明细!$A$189,LEN(J$81)+2)=J$81&amp;" ·",ROW(分期持仓明细!$A$189),0)</f>
        <v>0</v>
      </c>
      <c r="Q270">
        <f>IF(LEFT(分期持仓明细!$A$189,LEN(K$81)+2)=K$81&amp;" ·",ROW(分期持仓明细!$A$189),0)</f>
        <v>0</v>
      </c>
      <c r="R270">
        <f>IF(LEFT(分期持仓明细!$A$189,LEN(L$81)+2)=L$81&amp;" ·",ROW(分期持仓明细!$A$189),0)</f>
        <v>0</v>
      </c>
    </row>
    <row r="271" spans="13:18">
      <c r="M271">
        <f>IF(LEFT(分期持仓明细!$A$190,LEN(G$81)+2)=G$81&amp;" ·",ROW(分期持仓明细!$A$190),0)</f>
        <v>0</v>
      </c>
      <c r="N271">
        <f>IF(LEFT(分期持仓明细!$A$190,LEN(H$81)+2)=H$81&amp;" ·",ROW(分期持仓明细!$A$190),0)</f>
        <v>0</v>
      </c>
      <c r="O271">
        <f>IF(LEFT(分期持仓明细!$A$190,LEN(I$81)+2)=I$81&amp;" ·",ROW(分期持仓明细!$A$190),0)</f>
        <v>0</v>
      </c>
      <c r="P271">
        <f>IF(LEFT(分期持仓明细!$A$190,LEN(J$81)+2)=J$81&amp;" ·",ROW(分期持仓明细!$A$190),0)</f>
        <v>0</v>
      </c>
      <c r="Q271">
        <f>IF(LEFT(分期持仓明细!$A$190,LEN(K$81)+2)=K$81&amp;" ·",ROW(分期持仓明细!$A$190),0)</f>
        <v>0</v>
      </c>
      <c r="R271">
        <f>IF(LEFT(分期持仓明细!$A$190,LEN(L$81)+2)=L$81&amp;" ·",ROW(分期持仓明细!$A$190),0)</f>
        <v>0</v>
      </c>
    </row>
    <row r="272" spans="13:18">
      <c r="M272">
        <f>IF(LEFT(分期持仓明细!$A$191,LEN(G$81)+2)=G$81&amp;" ·",ROW(分期持仓明细!$A$191),0)</f>
        <v>0</v>
      </c>
      <c r="N272">
        <f>IF(LEFT(分期持仓明细!$A$191,LEN(H$81)+2)=H$81&amp;" ·",ROW(分期持仓明细!$A$191),0)</f>
        <v>0</v>
      </c>
      <c r="O272">
        <f>IF(LEFT(分期持仓明细!$A$191,LEN(I$81)+2)=I$81&amp;" ·",ROW(分期持仓明细!$A$191),0)</f>
        <v>0</v>
      </c>
      <c r="P272">
        <f>IF(LEFT(分期持仓明细!$A$191,LEN(J$81)+2)=J$81&amp;" ·",ROW(分期持仓明细!$A$191),0)</f>
        <v>0</v>
      </c>
      <c r="Q272">
        <f>IF(LEFT(分期持仓明细!$A$191,LEN(K$81)+2)=K$81&amp;" ·",ROW(分期持仓明细!$A$191),0)</f>
        <v>0</v>
      </c>
      <c r="R272">
        <f>IF(LEFT(分期持仓明细!$A$191,LEN(L$81)+2)=L$81&amp;" ·",ROW(分期持仓明细!$A$191),0)</f>
        <v>0</v>
      </c>
    </row>
    <row r="273" spans="13:18">
      <c r="M273">
        <f>IF(LEFT(分期持仓明细!$A$192,LEN(G$81)+2)=G$81&amp;" ·",ROW(分期持仓明细!$A$192),0)</f>
        <v>0</v>
      </c>
      <c r="N273">
        <f>IF(LEFT(分期持仓明细!$A$192,LEN(H$81)+2)=H$81&amp;" ·",ROW(分期持仓明细!$A$192),0)</f>
        <v>0</v>
      </c>
      <c r="O273">
        <f>IF(LEFT(分期持仓明细!$A$192,LEN(I$81)+2)=I$81&amp;" ·",ROW(分期持仓明细!$A$192),0)</f>
        <v>0</v>
      </c>
      <c r="P273">
        <f>IF(LEFT(分期持仓明细!$A$192,LEN(J$81)+2)=J$81&amp;" ·",ROW(分期持仓明细!$A$192),0)</f>
        <v>0</v>
      </c>
      <c r="Q273">
        <f>IF(LEFT(分期持仓明细!$A$192,LEN(K$81)+2)=K$81&amp;" ·",ROW(分期持仓明细!$A$192),0)</f>
        <v>0</v>
      </c>
      <c r="R273">
        <f>IF(LEFT(分期持仓明细!$A$192,LEN(L$81)+2)=L$81&amp;" ·",ROW(分期持仓明细!$A$192),0)</f>
        <v>0</v>
      </c>
    </row>
    <row r="274" spans="13:18">
      <c r="M274">
        <f>IF(LEFT(分期持仓明细!$A$193,LEN(G$81)+2)=G$81&amp;" ·",ROW(分期持仓明细!$A$193),0)</f>
        <v>0</v>
      </c>
      <c r="N274">
        <f>IF(LEFT(分期持仓明细!$A$193,LEN(H$81)+2)=H$81&amp;" ·",ROW(分期持仓明细!$A$193),0)</f>
        <v>0</v>
      </c>
      <c r="O274">
        <f>IF(LEFT(分期持仓明细!$A$193,LEN(I$81)+2)=I$81&amp;" ·",ROW(分期持仓明细!$A$193),0)</f>
        <v>0</v>
      </c>
      <c r="P274">
        <f>IF(LEFT(分期持仓明细!$A$193,LEN(J$81)+2)=J$81&amp;" ·",ROW(分期持仓明细!$A$193),0)</f>
        <v>0</v>
      </c>
      <c r="Q274">
        <f>IF(LEFT(分期持仓明细!$A$193,LEN(K$81)+2)=K$81&amp;" ·",ROW(分期持仓明细!$A$193),0)</f>
        <v>0</v>
      </c>
      <c r="R274">
        <f>IF(LEFT(分期持仓明细!$A$193,LEN(L$81)+2)=L$81&amp;" ·",ROW(分期持仓明细!$A$193),0)</f>
        <v>0</v>
      </c>
    </row>
    <row r="275" spans="13:18">
      <c r="M275">
        <f>IF(LEFT(分期持仓明细!$A$194,LEN(G$81)+2)=G$81&amp;" ·",ROW(分期持仓明细!$A$194),0)</f>
        <v>0</v>
      </c>
      <c r="N275">
        <f>IF(LEFT(分期持仓明细!$A$194,LEN(H$81)+2)=H$81&amp;" ·",ROW(分期持仓明细!$A$194),0)</f>
        <v>0</v>
      </c>
      <c r="O275">
        <f>IF(LEFT(分期持仓明细!$A$194,LEN(I$81)+2)=I$81&amp;" ·",ROW(分期持仓明细!$A$194),0)</f>
        <v>0</v>
      </c>
      <c r="P275">
        <f>IF(LEFT(分期持仓明细!$A$194,LEN(J$81)+2)=J$81&amp;" ·",ROW(分期持仓明细!$A$194),0)</f>
        <v>0</v>
      </c>
      <c r="Q275">
        <f>IF(LEFT(分期持仓明细!$A$194,LEN(K$81)+2)=K$81&amp;" ·",ROW(分期持仓明细!$A$194),0)</f>
        <v>0</v>
      </c>
      <c r="R275">
        <f>IF(LEFT(分期持仓明细!$A$194,LEN(L$81)+2)=L$81&amp;" ·",ROW(分期持仓明细!$A$194),0)</f>
        <v>0</v>
      </c>
    </row>
    <row r="276" spans="13:18">
      <c r="M276">
        <f>IF(LEFT(分期持仓明细!$A$195,LEN(G$81)+2)=G$81&amp;" ·",ROW(分期持仓明细!$A$195),0)</f>
        <v>0</v>
      </c>
      <c r="N276">
        <f>IF(LEFT(分期持仓明细!$A$195,LEN(H$81)+2)=H$81&amp;" ·",ROW(分期持仓明细!$A$195),0)</f>
        <v>0</v>
      </c>
      <c r="O276">
        <f>IF(LEFT(分期持仓明细!$A$195,LEN(I$81)+2)=I$81&amp;" ·",ROW(分期持仓明细!$A$195),0)</f>
        <v>0</v>
      </c>
      <c r="P276">
        <f>IF(LEFT(分期持仓明细!$A$195,LEN(J$81)+2)=J$81&amp;" ·",ROW(分期持仓明细!$A$195),0)</f>
        <v>0</v>
      </c>
      <c r="Q276">
        <f>IF(LEFT(分期持仓明细!$A$195,LEN(K$81)+2)=K$81&amp;" ·",ROW(分期持仓明细!$A$195),0)</f>
        <v>0</v>
      </c>
      <c r="R276">
        <f>IF(LEFT(分期持仓明细!$A$195,LEN(L$81)+2)=L$81&amp;" ·",ROW(分期持仓明细!$A$195),0)</f>
        <v>0</v>
      </c>
    </row>
    <row r="277" spans="13:18">
      <c r="M277">
        <f>IF(LEFT(分期持仓明细!$A$196,LEN(G$81)+2)=G$81&amp;" ·",ROW(分期持仓明细!$A$196),0)</f>
        <v>0</v>
      </c>
      <c r="N277">
        <f>IF(LEFT(分期持仓明细!$A$196,LEN(H$81)+2)=H$81&amp;" ·",ROW(分期持仓明细!$A$196),0)</f>
        <v>0</v>
      </c>
      <c r="O277">
        <f>IF(LEFT(分期持仓明细!$A$196,LEN(I$81)+2)=I$81&amp;" ·",ROW(分期持仓明细!$A$196),0)</f>
        <v>0</v>
      </c>
      <c r="P277">
        <f>IF(LEFT(分期持仓明细!$A$196,LEN(J$81)+2)=J$81&amp;" ·",ROW(分期持仓明细!$A$196),0)</f>
        <v>0</v>
      </c>
      <c r="Q277">
        <f>IF(LEFT(分期持仓明细!$A$196,LEN(K$81)+2)=K$81&amp;" ·",ROW(分期持仓明细!$A$196),0)</f>
        <v>0</v>
      </c>
      <c r="R277">
        <f>IF(LEFT(分期持仓明细!$A$196,LEN(L$81)+2)=L$81&amp;" ·",ROW(分期持仓明细!$A$196),0)</f>
        <v>0</v>
      </c>
    </row>
    <row r="278" spans="13:18">
      <c r="M278">
        <f>IF(LEFT(分期持仓明细!$A$197,LEN(G$81)+2)=G$81&amp;" ·",ROW(分期持仓明细!$A$197),0)</f>
        <v>0</v>
      </c>
      <c r="N278">
        <f>IF(LEFT(分期持仓明细!$A$197,LEN(H$81)+2)=H$81&amp;" ·",ROW(分期持仓明细!$A$197),0)</f>
        <v>0</v>
      </c>
      <c r="O278">
        <f>IF(LEFT(分期持仓明细!$A$197,LEN(I$81)+2)=I$81&amp;" ·",ROW(分期持仓明细!$A$197),0)</f>
        <v>0</v>
      </c>
      <c r="P278">
        <f>IF(LEFT(分期持仓明细!$A$197,LEN(J$81)+2)=J$81&amp;" ·",ROW(分期持仓明细!$A$197),0)</f>
        <v>0</v>
      </c>
      <c r="Q278">
        <f>IF(LEFT(分期持仓明细!$A$197,LEN(K$81)+2)=K$81&amp;" ·",ROW(分期持仓明细!$A$197),0)</f>
        <v>0</v>
      </c>
      <c r="R278">
        <f>IF(LEFT(分期持仓明细!$A$197,LEN(L$81)+2)=L$81&amp;" ·",ROW(分期持仓明细!$A$197),0)</f>
        <v>0</v>
      </c>
    </row>
    <row r="279" spans="13:18">
      <c r="M279">
        <f>IF(LEFT(分期持仓明细!$A$198,LEN(G$81)+2)=G$81&amp;" ·",ROW(分期持仓明细!$A$198),0)</f>
        <v>0</v>
      </c>
      <c r="N279">
        <f>IF(LEFT(分期持仓明细!$A$198,LEN(H$81)+2)=H$81&amp;" ·",ROW(分期持仓明细!$A$198),0)</f>
        <v>0</v>
      </c>
      <c r="O279">
        <f>IF(LEFT(分期持仓明细!$A$198,LEN(I$81)+2)=I$81&amp;" ·",ROW(分期持仓明细!$A$198),0)</f>
        <v>0</v>
      </c>
      <c r="P279">
        <f>IF(LEFT(分期持仓明细!$A$198,LEN(J$81)+2)=J$81&amp;" ·",ROW(分期持仓明细!$A$198),0)</f>
        <v>0</v>
      </c>
      <c r="Q279">
        <f>IF(LEFT(分期持仓明细!$A$198,LEN(K$81)+2)=K$81&amp;" ·",ROW(分期持仓明细!$A$198),0)</f>
        <v>0</v>
      </c>
      <c r="R279">
        <f>IF(LEFT(分期持仓明细!$A$198,LEN(L$81)+2)=L$81&amp;" ·",ROW(分期持仓明细!$A$198),0)</f>
        <v>0</v>
      </c>
    </row>
    <row r="280" spans="13:18">
      <c r="M280">
        <f>IF(LEFT(分期持仓明细!$A$199,LEN(G$81)+2)=G$81&amp;" ·",ROW(分期持仓明细!$A$199),0)</f>
        <v>0</v>
      </c>
      <c r="N280">
        <f>IF(LEFT(分期持仓明细!$A$199,LEN(H$81)+2)=H$81&amp;" ·",ROW(分期持仓明细!$A$199),0)</f>
        <v>0</v>
      </c>
      <c r="O280">
        <f>IF(LEFT(分期持仓明细!$A$199,LEN(I$81)+2)=I$81&amp;" ·",ROW(分期持仓明细!$A$199),0)</f>
        <v>0</v>
      </c>
      <c r="P280">
        <f>IF(LEFT(分期持仓明细!$A$199,LEN(J$81)+2)=J$81&amp;" ·",ROW(分期持仓明细!$A$199),0)</f>
        <v>0</v>
      </c>
      <c r="Q280">
        <f>IF(LEFT(分期持仓明细!$A$199,LEN(K$81)+2)=K$81&amp;" ·",ROW(分期持仓明细!$A$199),0)</f>
        <v>0</v>
      </c>
      <c r="R280">
        <f>IF(LEFT(分期持仓明细!$A$199,LEN(L$81)+2)=L$81&amp;" ·",ROW(分期持仓明细!$A$199),0)</f>
        <v>0</v>
      </c>
    </row>
    <row r="281" spans="13:18">
      <c r="M281">
        <f>IF(LEFT(分期持仓明细!$A$200,LEN(G$81)+2)=G$81&amp;" ·",ROW(分期持仓明细!$A$200),0)</f>
        <v>0</v>
      </c>
      <c r="N281">
        <f>IF(LEFT(分期持仓明细!$A$200,LEN(H$81)+2)=H$81&amp;" ·",ROW(分期持仓明细!$A$200),0)</f>
        <v>0</v>
      </c>
      <c r="O281">
        <f>IF(LEFT(分期持仓明细!$A$200,LEN(I$81)+2)=I$81&amp;" ·",ROW(分期持仓明细!$A$200),0)</f>
        <v>0</v>
      </c>
      <c r="P281">
        <f>IF(LEFT(分期持仓明细!$A$200,LEN(J$81)+2)=J$81&amp;" ·",ROW(分期持仓明细!$A$200),0)</f>
        <v>0</v>
      </c>
      <c r="Q281">
        <f>IF(LEFT(分期持仓明细!$A$200,LEN(K$81)+2)=K$81&amp;" ·",ROW(分期持仓明细!$A$200),0)</f>
        <v>0</v>
      </c>
      <c r="R281">
        <f>IF(LEFT(分期持仓明细!$A$200,LEN(L$81)+2)=L$81&amp;" ·",ROW(分期持仓明细!$A$200),0)</f>
        <v>0</v>
      </c>
    </row>
  </sheetData>
  <mergeCells count="14">
    <mergeCell ref="A1:L1"/>
    <mergeCell ref="D2:H2"/>
    <mergeCell ref="A3:L3"/>
    <mergeCell ref="A5:E5"/>
    <mergeCell ref="A31:G31"/>
    <mergeCell ref="A50:L50"/>
    <mergeCell ref="A51:L51"/>
    <mergeCell ref="A80:L80"/>
    <mergeCell ref="A88:F88"/>
    <mergeCell ref="A33:F33"/>
    <mergeCell ref="A38:H38"/>
    <mergeCell ref="A40:C40"/>
    <mergeCell ref="A45:E45"/>
    <mergeCell ref="A47:H47"/>
  </mergeCells>
  <phoneticPr fontId="35" type="noConversion"/>
  <conditionalFormatting sqref="A7:G30">
    <cfRule type="expression" dxfId="24" priority="1">
      <formula>AND($D7="主动",$E7&gt;$L$2)</formula>
    </cfRule>
  </conditionalFormatting>
  <conditionalFormatting sqref="D35:D37">
    <cfRule type="expression" dxfId="23" priority="3">
      <formula>ABS(D35)&gt;$J$2</formula>
    </cfRule>
  </conditionalFormatting>
  <conditionalFormatting sqref="F7:F30">
    <cfRule type="containsText" dxfId="22" priority="2" operator="containsText" text="正常"/>
  </conditionalFormatting>
  <conditionalFormatting sqref="G35:G37">
    <cfRule type="expression" dxfId="21" priority="4">
      <formula>ABS(G35)&gt;$J$2</formula>
    </cfRule>
  </conditionalFormatting>
  <dataValidations count="3">
    <dataValidation type="list" sqref="C53:C76">
      <formula1>"增值,生息"</formula1>
    </dataValidation>
    <dataValidation type="list" sqref="D53:D76">
      <formula1>"产业趋势,指增,-"</formula1>
    </dataValidation>
    <dataValidation type="list" sqref="E53:E76">
      <formula1>"主动,指数,指增,货币,债券,保障"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H52"/>
  <sheetViews>
    <sheetView topLeftCell="A4" workbookViewId="0">
      <selection activeCell="H19" sqref="H19"/>
    </sheetView>
  </sheetViews>
  <sheetFormatPr defaultRowHeight="12.5"/>
  <cols>
    <col min="1" max="1" width="8" customWidth="1"/>
    <col min="2" max="2" width="16" customWidth="1"/>
    <col min="3" max="3" width="34.7265625" customWidth="1"/>
    <col min="4" max="4" width="12.54296875" style="85" customWidth="1"/>
    <col min="5" max="5" width="12" customWidth="1"/>
    <col min="6" max="6" width="15.26953125" customWidth="1"/>
    <col min="7" max="7" width="12.54296875" customWidth="1"/>
    <col min="8" max="8" width="21.1796875" customWidth="1"/>
  </cols>
  <sheetData>
    <row r="1" spans="1:8">
      <c r="E1" s="83">
        <f>VLOOKUP(E3,实盘组合净值!$A:$P,14)</f>
        <v>1</v>
      </c>
      <c r="F1" s="83">
        <f>VLOOKUP(F3,实盘组合净值!$A:$P,14)</f>
        <v>1</v>
      </c>
      <c r="G1" s="83">
        <f>VLOOKUP(G3,实盘组合净值!$A:$P,14)</f>
        <v>0.97719837247619623</v>
      </c>
    </row>
    <row r="2" spans="1:8">
      <c r="E2" s="83">
        <f ca="1">VLOOKUP(E5,实盘组合净值!$A:$P,14)</f>
        <v>0.99865469890573955</v>
      </c>
      <c r="F2" s="83">
        <f>VLOOKUP(F5,实盘组合净值!$A:$P,14)</f>
        <v>0.97390321005734459</v>
      </c>
      <c r="G2" s="83">
        <f ca="1">VLOOKUP(G5,实盘组合净值!$A:$P,14)</f>
        <v>0.99865469890573955</v>
      </c>
    </row>
    <row r="3" spans="1:8">
      <c r="E3" s="81">
        <v>46191</v>
      </c>
      <c r="F3" s="81">
        <v>46191</v>
      </c>
      <c r="G3" s="81">
        <v>46234</v>
      </c>
    </row>
    <row r="4" spans="1:8">
      <c r="E4" s="81">
        <v>46195</v>
      </c>
      <c r="F4" s="81">
        <v>46195</v>
      </c>
      <c r="G4" s="81">
        <v>46237</v>
      </c>
    </row>
    <row r="5" spans="1:8">
      <c r="E5" s="113">
        <f ca="1">偏离度监控!B2</f>
        <v>46251</v>
      </c>
      <c r="F5" s="81">
        <v>46233</v>
      </c>
      <c r="G5" s="81">
        <f ca="1">E5</f>
        <v>46251</v>
      </c>
    </row>
    <row r="6" spans="1:8" ht="33.65" customHeight="1">
      <c r="A6" s="91"/>
      <c r="B6" s="91"/>
      <c r="C6" s="125" t="s">
        <v>335</v>
      </c>
      <c r="D6" s="125"/>
      <c r="E6" s="125"/>
      <c r="F6" s="125"/>
      <c r="G6" s="125"/>
      <c r="H6" s="125"/>
    </row>
    <row r="7" spans="1:8" ht="33">
      <c r="A7" s="80" t="s">
        <v>279</v>
      </c>
      <c r="B7" s="80" t="s">
        <v>28</v>
      </c>
      <c r="C7" s="80" t="s">
        <v>280</v>
      </c>
      <c r="D7" s="80" t="s">
        <v>331</v>
      </c>
      <c r="E7" s="82" t="s">
        <v>316</v>
      </c>
      <c r="F7" s="82" t="s">
        <v>336</v>
      </c>
      <c r="G7" s="82" t="s">
        <v>337</v>
      </c>
      <c r="H7" s="93" t="s">
        <v>332</v>
      </c>
    </row>
    <row r="8" spans="1:8" ht="16.5">
      <c r="A8" s="65" t="s">
        <v>203</v>
      </c>
      <c r="B8" s="66"/>
      <c r="C8" s="67" t="s">
        <v>338</v>
      </c>
      <c r="D8" s="86"/>
      <c r="E8" s="97">
        <f ca="1">E$2/E$1-1</f>
        <v>-1.3453010942604537E-3</v>
      </c>
      <c r="F8" s="97">
        <f t="shared" ref="F8" si="0">F$2/F$1-1</f>
        <v>-2.6096789942655407E-2</v>
      </c>
      <c r="G8" s="97">
        <f ca="1">G$2/G$1-1</f>
        <v>2.1956981339595893E-2</v>
      </c>
      <c r="H8" s="97">
        <f>'看板-10-90基石'!$F$7</f>
        <v>-2.8729069309879618E-2</v>
      </c>
    </row>
    <row r="9" spans="1:8" ht="16.5">
      <c r="A9" s="68">
        <v>1</v>
      </c>
      <c r="B9" s="69" t="s">
        <v>281</v>
      </c>
      <c r="C9" s="70" t="s">
        <v>306</v>
      </c>
      <c r="D9" s="87">
        <v>712</v>
      </c>
      <c r="E9" s="98">
        <f ca="1">[1]!thsiFinD("ths_adjustment_nvg_ratio_fund",$B9,E$4,E$5,101)/100</f>
        <v>-2.9897810237827002E-2</v>
      </c>
      <c r="F9" s="98">
        <f>[1]!thsiFinD("ths_adjustment_nvg_ratio_fund",$B9,F$4,F$5,101)/100</f>
        <v>-7.3401459857001999E-2</v>
      </c>
      <c r="G9" s="98">
        <f ca="1">[1]!thsiFinD("ths_adjustment_nvg_ratio_fund",$B9,G$4,G$5,101)/100</f>
        <v>3.7210463905762999E-2</v>
      </c>
      <c r="H9" s="98">
        <f ca="1">-[1]!thsiFinD("ths_max_retrace_rate_all_fund",$B9,E$3,E$5)/100</f>
        <v>-7.8192169154790991E-2</v>
      </c>
    </row>
    <row r="10" spans="1:8" ht="16.5">
      <c r="A10" s="71">
        <v>2</v>
      </c>
      <c r="B10" s="72" t="s">
        <v>282</v>
      </c>
      <c r="C10" s="73" t="s">
        <v>307</v>
      </c>
      <c r="D10" s="88">
        <v>584</v>
      </c>
      <c r="E10" s="99">
        <f ca="1">[1]!thsiFinD("ths_adjustment_nvg_ratio_fund",$B10,E$4,E$5,101)/100</f>
        <v>-1.7138566190714001E-2</v>
      </c>
      <c r="F10" s="99">
        <f>[1]!thsiFinD("ths_adjustment_nvg_ratio_fund",$B10,F$4,F$5,101)/100</f>
        <v>-5.1945757323097003E-2</v>
      </c>
      <c r="G10" s="99">
        <f ca="1">[1]!thsiFinD("ths_adjustment_nvg_ratio_fund",$B10,G$4,G$5,101)/100</f>
        <v>2.9424011095428998E-2</v>
      </c>
      <c r="H10" s="99">
        <f ca="1">-[1]!thsiFinD("ths_max_retrace_rate_all_fund",$B10,E$3,E$5)/100</f>
        <v>-6.0905709922503999E-2</v>
      </c>
    </row>
    <row r="11" spans="1:8" ht="16.5">
      <c r="A11" s="68">
        <v>3</v>
      </c>
      <c r="B11" s="69" t="s">
        <v>283</v>
      </c>
      <c r="C11" s="70" t="s">
        <v>308</v>
      </c>
      <c r="D11" s="87">
        <v>576</v>
      </c>
      <c r="E11" s="98">
        <f ca="1">[1]!thsiFinD("ths_adjustment_nvg_ratio_fund",$B11,E$4,E$5,101)/100</f>
        <v>-5.2438382690555001E-4</v>
      </c>
      <c r="F11" s="98">
        <f>[1]!thsiFinD("ths_adjustment_nvg_ratio_fund",$B11,F$4,F$5,101)/100</f>
        <v>-1.3633980067752001E-2</v>
      </c>
      <c r="G11" s="98">
        <f ca="1">[1]!thsiFinD("ths_adjustment_nvg_ratio_fund",$B11,G$4,G$5,101)/100</f>
        <v>1.1677282372752999E-2</v>
      </c>
      <c r="H11" s="98">
        <f ca="1">-[1]!thsiFinD("ths_max_retrace_rate_all_fund",$B11,E$3,E$5)/100</f>
        <v>-2.4530271409826998E-2</v>
      </c>
    </row>
    <row r="12" spans="1:8" ht="16.5">
      <c r="A12" s="71">
        <v>4</v>
      </c>
      <c r="B12" s="72" t="s">
        <v>284</v>
      </c>
      <c r="C12" s="73" t="s">
        <v>309</v>
      </c>
      <c r="D12" s="88">
        <v>393</v>
      </c>
      <c r="E12" s="99">
        <f ca="1">[1]!thsiFinD("ths_adjustment_nvg_ratio_fund",$B12,E$4,E$5,101)/100</f>
        <v>2.7932960865988E-2</v>
      </c>
      <c r="F12" s="99">
        <f>[1]!thsiFinD("ths_adjustment_nvg_ratio_fund",$B12,F$4,F$5,101)/100</f>
        <v>1.5961691953112998E-2</v>
      </c>
      <c r="G12" s="99">
        <f ca="1">[1]!thsiFinD("ths_adjustment_nvg_ratio_fund",$B12,G$4,G$5,101)/100</f>
        <v>9.4043886682421991E-3</v>
      </c>
      <c r="H12" s="99">
        <f ca="1">-[1]!thsiFinD("ths_max_retrace_rate_all_fund",$B12,E$3,E$5)/100</f>
        <v>-1.9857029388075001E-2</v>
      </c>
    </row>
    <row r="13" spans="1:8" ht="16.5">
      <c r="A13" s="68">
        <v>5</v>
      </c>
      <c r="B13" s="69" t="s">
        <v>285</v>
      </c>
      <c r="C13" s="70" t="s">
        <v>310</v>
      </c>
      <c r="D13" s="87">
        <v>391</v>
      </c>
      <c r="E13" s="98">
        <f ca="1">[1]!thsiFinD("ths_adjustment_nvg_ratio_fund",$B13,E$4,E$5,101)/100</f>
        <v>-1.1805271481001E-2</v>
      </c>
      <c r="F13" s="98">
        <f>[1]!thsiFinD("ths_adjustment_nvg_ratio_fund",$B13,F$4,F$5,101)/100</f>
        <v>-5.6454912032351999E-2</v>
      </c>
      <c r="G13" s="98">
        <f ca="1">[1]!thsiFinD("ths_adjustment_nvg_ratio_fund",$B13,G$4,G$5,101)/100</f>
        <v>3.7935056176636998E-2</v>
      </c>
      <c r="H13" s="98">
        <f ca="1">-[1]!thsiFinD("ths_max_retrace_rate_all_fund",$B13,E$3,E$5)/100</f>
        <v>-7.0577399089732998E-2</v>
      </c>
    </row>
    <row r="14" spans="1:8" ht="16.5">
      <c r="A14" s="71">
        <v>6</v>
      </c>
      <c r="B14" s="72" t="s">
        <v>286</v>
      </c>
      <c r="C14" s="73" t="s">
        <v>311</v>
      </c>
      <c r="D14" s="88">
        <v>365</v>
      </c>
      <c r="E14" s="99">
        <f ca="1">[1]!thsiFinD("ths_adjustment_nvg_ratio_fund",$B14,E$4,E$5,101)/100</f>
        <v>-1.8100272304981999E-2</v>
      </c>
      <c r="F14" s="99">
        <f>[1]!thsiFinD("ths_adjustment_nvg_ratio_fund",$B14,F$4,F$5,101)/100</f>
        <v>-3.9484222329008001E-2</v>
      </c>
      <c r="G14" s="99">
        <f ca="1">[1]!thsiFinD("ths_adjustment_nvg_ratio_fund",$B14,G$4,G$5,101)/100</f>
        <v>1.6836692377872001E-2</v>
      </c>
      <c r="H14" s="99">
        <f ca="1">-[1]!thsiFinD("ths_max_retrace_rate_all_fund",$B14,E$3,E$5)/100</f>
        <v>-4.5758395670858001E-2</v>
      </c>
    </row>
    <row r="15" spans="1:8" ht="16.5">
      <c r="A15" s="68">
        <v>7</v>
      </c>
      <c r="B15" s="69" t="s">
        <v>287</v>
      </c>
      <c r="C15" s="70" t="s">
        <v>312</v>
      </c>
      <c r="D15" s="87">
        <v>361</v>
      </c>
      <c r="E15" s="98">
        <f ca="1">[1]!thsiFinD("ths_adjustment_nvg_ratio_fund",$B15,E$4,E$5,101)/100</f>
        <v>1.7039922103213E-2</v>
      </c>
      <c r="F15" s="98">
        <f>[1]!thsiFinD("ths_adjustment_nvg_ratio_fund",$B15,F$4,F$5,101)/100</f>
        <v>-2.8724440116844999E-2</v>
      </c>
      <c r="G15" s="98">
        <f ca="1">[1]!thsiFinD("ths_adjustment_nvg_ratio_fund",$B15,G$4,G$5,101)/100</f>
        <v>3.8270377733598003E-2</v>
      </c>
      <c r="H15" s="98">
        <f ca="1">-[1]!thsiFinD("ths_max_retrace_rate_all_fund",$B15,E$3,E$5)/100</f>
        <v>-5.2405907575036006E-2</v>
      </c>
    </row>
    <row r="16" spans="1:8" ht="16.5">
      <c r="A16" s="71">
        <v>8</v>
      </c>
      <c r="B16" s="72" t="s">
        <v>288</v>
      </c>
      <c r="C16" s="73" t="s">
        <v>313</v>
      </c>
      <c r="D16" s="88">
        <v>359</v>
      </c>
      <c r="E16" s="99">
        <f ca="1">[1]!thsiFinD("ths_adjustment_nvg_ratio_fund",$B16,E$4,E$5,101)/100</f>
        <v>-1.0101010059486E-2</v>
      </c>
      <c r="F16" s="99">
        <f>[1]!thsiFinD("ths_adjustment_nvg_ratio_fund",$B16,F$4,F$5,101)/100</f>
        <v>-1.6463851118404999E-2</v>
      </c>
      <c r="G16" s="99">
        <f ca="1">[1]!thsiFinD("ths_adjustment_nvg_ratio_fund",$B16,G$4,G$5,101)/100</f>
        <v>5.4936176998857996E-3</v>
      </c>
      <c r="H16" s="99">
        <f ca="1">-[1]!thsiFinD("ths_max_retrace_rate_all_fund",$B16,E$3,E$5)/100</f>
        <v>-3.0877742970785001E-2</v>
      </c>
    </row>
    <row r="17" spans="1:8" ht="16.5">
      <c r="A17" s="68">
        <v>9</v>
      </c>
      <c r="B17" s="69" t="s">
        <v>289</v>
      </c>
      <c r="C17" s="70" t="s">
        <v>314</v>
      </c>
      <c r="D17" s="87">
        <v>342</v>
      </c>
      <c r="E17" s="98">
        <f ca="1">[1]!thsiFinD("ths_adjustment_nvg_ratio_fund",$B17,E$4,E$5,101)/100</f>
        <v>-1.8097447812127999E-2</v>
      </c>
      <c r="F17" s="98">
        <f>[1]!thsiFinD("ths_adjustment_nvg_ratio_fund",$B17,F$4,F$5,101)/100</f>
        <v>-4.8259860808042995E-2</v>
      </c>
      <c r="G17" s="98">
        <f ca="1">[1]!thsiFinD("ths_adjustment_nvg_ratio_fund",$B17,G$4,G$5,101)/100</f>
        <v>2.6188166810882998E-2</v>
      </c>
      <c r="H17" s="98">
        <f ca="1">-[1]!thsiFinD("ths_max_retrace_rate_all_fund",$B17,E$3,E$5)/100</f>
        <v>-6.3470319649836002E-2</v>
      </c>
    </row>
    <row r="18" spans="1:8" ht="16.5">
      <c r="A18" s="77">
        <v>10</v>
      </c>
      <c r="B18" s="78" t="s">
        <v>290</v>
      </c>
      <c r="C18" s="79" t="s">
        <v>315</v>
      </c>
      <c r="D18" s="89">
        <v>314</v>
      </c>
      <c r="E18" s="99">
        <f ca="1">[1]!thsiFinD("ths_adjustment_nvg_ratio_fund",$B18,E$4,E$5,101)/100</f>
        <v>2.9280055132476003E-3</v>
      </c>
      <c r="F18" s="99">
        <f>[1]!thsiFinD("ths_adjustment_nvg_ratio_fund",$B18,F$4,F$5,101)/100</f>
        <v>-7.2338959456968999E-4</v>
      </c>
      <c r="G18" s="99">
        <f ca="1">[1]!thsiFinD("ths_adjustment_nvg_ratio_fund",$B18,G$4,G$5,101)/100</f>
        <v>3.2736044176154997E-3</v>
      </c>
      <c r="H18" s="99">
        <f ca="1">-[1]!thsiFinD("ths_max_retrace_rate_all_fund",$B18,E$3,E$5)/100</f>
        <v>-2.6377751246695998E-2</v>
      </c>
    </row>
    <row r="21" spans="1:8" ht="39" customHeight="1">
      <c r="A21" s="92"/>
      <c r="B21" s="92"/>
      <c r="C21" s="125" t="s">
        <v>333</v>
      </c>
      <c r="D21" s="125"/>
      <c r="E21" s="125"/>
      <c r="F21" s="125"/>
      <c r="G21" s="125"/>
      <c r="H21" s="125"/>
    </row>
    <row r="22" spans="1:8" ht="36" customHeight="1">
      <c r="A22" s="64" t="str">
        <f>表3[[#Headers],[序号]]</f>
        <v>序号</v>
      </c>
      <c r="B22" s="64" t="str">
        <f>表3[[#Headers],[基金代码]]</f>
        <v>基金代码</v>
      </c>
      <c r="C22" s="64" t="str">
        <f>表3[[#Headers],[产品/基金名称]]</f>
        <v>产品/基金名称</v>
      </c>
      <c r="D22" s="64" t="str">
        <f>表3[[#Headers],[26Q2规模（亿元）]]</f>
        <v>26Q2规模（亿元）</v>
      </c>
      <c r="E22" s="64" t="str">
        <f>表3[[#Headers],[上线以来]]</f>
        <v>上线以来</v>
      </c>
      <c r="F22" s="64" t="str">
        <f>表3[[#Headers],[6/22-7/30]]</f>
        <v>6/22-7/30</v>
      </c>
      <c r="G22" s="64" t="str">
        <f>表3[[#Headers],[7.31至今]]</f>
        <v>7.31至今</v>
      </c>
      <c r="H22" s="90" t="str">
        <f>表3[[#Headers],[最大回撤（上线以来）]]</f>
        <v>最大回撤（上线以来）</v>
      </c>
    </row>
    <row r="23" spans="1:8" ht="16.5">
      <c r="A23" s="65" t="s">
        <v>203</v>
      </c>
      <c r="B23" s="66"/>
      <c r="C23" s="67" t="str">
        <f>C8</f>
        <v>10/90基石投顾组合</v>
      </c>
      <c r="D23" s="66"/>
      <c r="E23" s="102">
        <f ca="1">E$2/E$1-1</f>
        <v>-1.3453010942604537E-3</v>
      </c>
      <c r="F23" s="102">
        <f t="shared" ref="F23:G23" si="1">F$2/F$1-1</f>
        <v>-2.6096789942655407E-2</v>
      </c>
      <c r="G23" s="102">
        <f t="shared" ca="1" si="1"/>
        <v>2.1956981339595893E-2</v>
      </c>
      <c r="H23" s="103">
        <f>'看板-10-90基石'!$F$7</f>
        <v>-2.8729069309879618E-2</v>
      </c>
    </row>
    <row r="24" spans="1:8" ht="16.5">
      <c r="A24" s="68">
        <v>1</v>
      </c>
      <c r="B24" s="69" t="s">
        <v>281</v>
      </c>
      <c r="C24" s="70" t="s">
        <v>306</v>
      </c>
      <c r="D24" s="69">
        <v>391</v>
      </c>
      <c r="E24" s="104">
        <f ca="1">[1]!thsiFinD("ths_adjustment_nvg_ratio_fund",$B24,E$4,E$5,101)/100</f>
        <v>-2.9897810237827002E-2</v>
      </c>
      <c r="F24" s="104">
        <f>[1]!thsiFinD("ths_adjustment_nvg_ratio_fund",$B24,F$4,F$5,101)/100</f>
        <v>-7.3401459857001999E-2</v>
      </c>
      <c r="G24" s="104">
        <f ca="1">[1]!thsiFinD("ths_adjustment_nvg_ratio_fund",$B24,G$4,G$5,101)/100</f>
        <v>3.7210463905762999E-2</v>
      </c>
      <c r="H24" s="105">
        <f ca="1">-[1]!thsiFinD("ths_max_retrace_rate_all_fund",$B24,E$3,E$5)/100</f>
        <v>-7.8192169154790991E-2</v>
      </c>
    </row>
    <row r="25" spans="1:8" ht="16.5">
      <c r="A25" s="71">
        <v>2</v>
      </c>
      <c r="B25" s="72" t="s">
        <v>285</v>
      </c>
      <c r="C25" s="73" t="s">
        <v>310</v>
      </c>
      <c r="D25" s="72">
        <v>347</v>
      </c>
      <c r="E25" s="106">
        <f ca="1">[1]!thsiFinD("ths_adjustment_nvg_ratio_fund",$B25,E$4,E$5,101)/100</f>
        <v>-1.1805271481001E-2</v>
      </c>
      <c r="F25" s="106">
        <f>[1]!thsiFinD("ths_adjustment_nvg_ratio_fund",$B25,F$4,F$5,101)/100</f>
        <v>-5.6454912032351999E-2</v>
      </c>
      <c r="G25" s="106">
        <f ca="1">[1]!thsiFinD("ths_adjustment_nvg_ratio_fund",$B25,G$4,G$5,101)/100</f>
        <v>3.7935056176636998E-2</v>
      </c>
      <c r="H25" s="107">
        <f ca="1">-[1]!thsiFinD("ths_max_retrace_rate_all_fund",$B25,E$3,E$5)/100</f>
        <v>-7.0577399089732998E-2</v>
      </c>
    </row>
    <row r="26" spans="1:8" ht="16.5">
      <c r="A26" s="68">
        <v>3</v>
      </c>
      <c r="B26" s="69" t="s">
        <v>291</v>
      </c>
      <c r="C26" s="70" t="s">
        <v>317</v>
      </c>
      <c r="D26" s="69">
        <v>255</v>
      </c>
      <c r="E26" s="104">
        <f ca="1">[1]!thsiFinD("ths_adjustment_nvg_ratio_fund",$B26,E$4,E$5,101)/100</f>
        <v>-2.8318810860263999E-2</v>
      </c>
      <c r="F26" s="104">
        <f>[1]!thsiFinD("ths_adjustment_nvg_ratio_fund",$B26,F$4,F$5,101)/100</f>
        <v>-5.3754484891249996E-2</v>
      </c>
      <c r="G26" s="104">
        <f ca="1">[1]!thsiFinD("ths_adjustment_nvg_ratio_fund",$B26,G$4,G$5,101)/100</f>
        <v>2.0111656706812999E-2</v>
      </c>
      <c r="H26" s="105">
        <f ca="1">-[1]!thsiFinD("ths_max_retrace_rate_all_fund",$B26,E$3,E$5)/100</f>
        <v>-6.6198786055969003E-2</v>
      </c>
    </row>
    <row r="27" spans="1:8" ht="16.5">
      <c r="A27" s="71">
        <v>4</v>
      </c>
      <c r="B27" s="72" t="s">
        <v>282</v>
      </c>
      <c r="C27" s="73" t="s">
        <v>307</v>
      </c>
      <c r="D27" s="72">
        <v>228</v>
      </c>
      <c r="E27" s="106">
        <f ca="1">[1]!thsiFinD("ths_adjustment_nvg_ratio_fund",$B27,E$4,E$5,101)/100</f>
        <v>-1.7138566190714001E-2</v>
      </c>
      <c r="F27" s="106">
        <f>[1]!thsiFinD("ths_adjustment_nvg_ratio_fund",$B27,F$4,F$5,101)/100</f>
        <v>-5.1945757323097003E-2</v>
      </c>
      <c r="G27" s="106">
        <f ca="1">[1]!thsiFinD("ths_adjustment_nvg_ratio_fund",$B27,G$4,G$5,101)/100</f>
        <v>2.9424011095428998E-2</v>
      </c>
      <c r="H27" s="107">
        <f ca="1">-[1]!thsiFinD("ths_max_retrace_rate_all_fund",$B27,E$3,E$5)/100</f>
        <v>-6.0905709922503999E-2</v>
      </c>
    </row>
    <row r="28" spans="1:8" ht="16.5">
      <c r="A28" s="68">
        <v>5</v>
      </c>
      <c r="B28" s="69" t="s">
        <v>292</v>
      </c>
      <c r="C28" s="70" t="s">
        <v>318</v>
      </c>
      <c r="D28" s="69">
        <v>172</v>
      </c>
      <c r="E28" s="104">
        <f ca="1">[1]!thsiFinD("ths_adjustment_nvg_ratio_fund",$B28,E$4,E$5,101)/100</f>
        <v>-1.8633540357013E-2</v>
      </c>
      <c r="F28" s="104">
        <f>[1]!thsiFinD("ths_adjustment_nvg_ratio_fund",$B28,F$4,F$5,101)/100</f>
        <v>-4.0589339891791996E-2</v>
      </c>
      <c r="G28" s="104">
        <f ca="1">[1]!thsiFinD("ths_adjustment_nvg_ratio_fund",$B28,G$4,G$5,101)/100</f>
        <v>2.1116705524197997E-2</v>
      </c>
      <c r="H28" s="105">
        <f ca="1">-[1]!thsiFinD("ths_max_retrace_rate_all_fund",$B28,E$3,E$5)/100</f>
        <v>-5.0897343862490001E-2</v>
      </c>
    </row>
    <row r="29" spans="1:8" ht="16.5">
      <c r="A29" s="71">
        <v>6</v>
      </c>
      <c r="B29" s="72" t="s">
        <v>289</v>
      </c>
      <c r="C29" s="73" t="s">
        <v>314</v>
      </c>
      <c r="D29" s="72">
        <v>146</v>
      </c>
      <c r="E29" s="106">
        <f ca="1">[1]!thsiFinD("ths_adjustment_nvg_ratio_fund",$B29,E$4,E$5,101)/100</f>
        <v>-1.8097447812127999E-2</v>
      </c>
      <c r="F29" s="106">
        <f>[1]!thsiFinD("ths_adjustment_nvg_ratio_fund",$B29,F$4,F$5,101)/100</f>
        <v>-4.8259860808042995E-2</v>
      </c>
      <c r="G29" s="106">
        <f ca="1">[1]!thsiFinD("ths_adjustment_nvg_ratio_fund",$B29,G$4,G$5,101)/100</f>
        <v>2.6188166810882998E-2</v>
      </c>
      <c r="H29" s="107">
        <f ca="1">-[1]!thsiFinD("ths_max_retrace_rate_all_fund",$B29,E$3,E$5)/100</f>
        <v>-6.3470319649836002E-2</v>
      </c>
    </row>
    <row r="30" spans="1:8" ht="16.5">
      <c r="A30" s="68">
        <v>7</v>
      </c>
      <c r="B30" s="69" t="s">
        <v>293</v>
      </c>
      <c r="C30" s="70" t="s">
        <v>319</v>
      </c>
      <c r="D30" s="69">
        <v>130</v>
      </c>
      <c r="E30" s="104">
        <f ca="1">[1]!thsiFinD("ths_adjustment_nvg_ratio_fund",$B30,E$4,E$5,101)/100</f>
        <v>2.0602218700475003E-2</v>
      </c>
      <c r="F30" s="104">
        <f>[1]!thsiFinD("ths_adjustment_nvg_ratio_fund",$B30,F$4,F$5,101)/100</f>
        <v>-2.2028526148969999E-2</v>
      </c>
      <c r="G30" s="104">
        <f ca="1">[1]!thsiFinD("ths_adjustment_nvg_ratio_fund",$B30,G$4,G$5,101)/100</f>
        <v>3.6870069232008001E-2</v>
      </c>
      <c r="H30" s="105">
        <f ca="1">-[1]!thsiFinD("ths_max_retrace_rate_all_fund",$B30,E$3,E$5)/100</f>
        <v>-4.6444909668915006E-2</v>
      </c>
    </row>
    <row r="31" spans="1:8" ht="16.5">
      <c r="A31" s="71">
        <v>8</v>
      </c>
      <c r="B31" s="72" t="s">
        <v>287</v>
      </c>
      <c r="C31" s="73" t="s">
        <v>312</v>
      </c>
      <c r="D31" s="72">
        <v>123</v>
      </c>
      <c r="E31" s="106">
        <f ca="1">[1]!thsiFinD("ths_adjustment_nvg_ratio_fund",$B31,E$4,E$5,101)/100</f>
        <v>1.7039922103213E-2</v>
      </c>
      <c r="F31" s="106">
        <f>[1]!thsiFinD("ths_adjustment_nvg_ratio_fund",$B31,F$4,F$5,101)/100</f>
        <v>-2.8724440116844999E-2</v>
      </c>
      <c r="G31" s="106">
        <f ca="1">[1]!thsiFinD("ths_adjustment_nvg_ratio_fund",$B31,G$4,G$5,101)/100</f>
        <v>3.8270377733598003E-2</v>
      </c>
      <c r="H31" s="107">
        <f ca="1">-[1]!thsiFinD("ths_max_retrace_rate_all_fund",$B31,E$3,E$5)/100</f>
        <v>-5.2405907575036006E-2</v>
      </c>
    </row>
    <row r="32" spans="1:8" ht="16.5">
      <c r="A32" s="68">
        <v>9</v>
      </c>
      <c r="B32" s="69" t="s">
        <v>294</v>
      </c>
      <c r="C32" s="70" t="s">
        <v>320</v>
      </c>
      <c r="D32" s="69">
        <v>120</v>
      </c>
      <c r="E32" s="104">
        <f ca="1">[1]!thsiFinD("ths_adjustment_nvg_ratio_fund",$B32,E$4,E$5,101)/100</f>
        <v>-2.5978243221301999E-2</v>
      </c>
      <c r="F32" s="104">
        <f>[1]!thsiFinD("ths_adjustment_nvg_ratio_fund",$B32,F$4,F$5,101)/100</f>
        <v>-4.7978567949341994E-2</v>
      </c>
      <c r="G32" s="104">
        <f ca="1">[1]!thsiFinD("ths_adjustment_nvg_ratio_fund",$B32,G$4,G$5,101)/100</f>
        <v>1.9024970273484001E-2</v>
      </c>
      <c r="H32" s="105">
        <f ca="1">-[1]!thsiFinD("ths_max_retrace_rate_all_fund",$B32,E$3,E$5)/100</f>
        <v>-5.7478666881338999E-2</v>
      </c>
    </row>
    <row r="33" spans="1:8" ht="16.5">
      <c r="A33" s="74">
        <v>10</v>
      </c>
      <c r="B33" s="75" t="s">
        <v>288</v>
      </c>
      <c r="C33" s="76" t="s">
        <v>313</v>
      </c>
      <c r="D33" s="75">
        <v>114</v>
      </c>
      <c r="E33" s="108">
        <f ca="1">[1]!thsiFinD("ths_adjustment_nvg_ratio_fund",$B33,E$4,E$5,101)/100</f>
        <v>-1.0101010059486E-2</v>
      </c>
      <c r="F33" s="108">
        <f>[1]!thsiFinD("ths_adjustment_nvg_ratio_fund",$B33,F$4,F$5,101)/100</f>
        <v>-1.6463851118404999E-2</v>
      </c>
      <c r="G33" s="108">
        <f ca="1">[1]!thsiFinD("ths_adjustment_nvg_ratio_fund",$B33,G$4,G$5,101)/100</f>
        <v>5.4936176998857996E-3</v>
      </c>
      <c r="H33" s="109">
        <f ca="1">-[1]!thsiFinD("ths_max_retrace_rate_all_fund",$B33,E$3,E$5)/100</f>
        <v>-3.0877742970785001E-2</v>
      </c>
    </row>
    <row r="36" spans="1:8" ht="36" customHeight="1">
      <c r="A36" s="91"/>
      <c r="B36" s="91"/>
      <c r="C36" s="125" t="s">
        <v>334</v>
      </c>
      <c r="D36" s="125"/>
      <c r="E36" s="125"/>
      <c r="F36" s="125"/>
      <c r="G36" s="125"/>
      <c r="H36" s="125"/>
    </row>
    <row r="37" spans="1:8" ht="43" customHeight="1">
      <c r="A37" s="64" t="str">
        <f>A22</f>
        <v>序号</v>
      </c>
      <c r="B37" s="64" t="str">
        <f t="shared" ref="B37:H37" si="2">B22</f>
        <v>基金代码</v>
      </c>
      <c r="C37" s="64" t="str">
        <f t="shared" si="2"/>
        <v>产品/基金名称</v>
      </c>
      <c r="D37" s="64" t="s">
        <v>339</v>
      </c>
      <c r="E37" s="64" t="str">
        <f t="shared" si="2"/>
        <v>上线以来</v>
      </c>
      <c r="F37" s="64" t="str">
        <f t="shared" si="2"/>
        <v>6/22-7/30</v>
      </c>
      <c r="G37" s="64" t="str">
        <f t="shared" si="2"/>
        <v>7.31至今</v>
      </c>
      <c r="H37" s="90" t="str">
        <f t="shared" si="2"/>
        <v>最大回撤（上线以来）</v>
      </c>
    </row>
    <row r="38" spans="1:8" ht="16.5">
      <c r="A38" s="65" t="s">
        <v>203</v>
      </c>
      <c r="B38" s="66"/>
      <c r="C38" s="67" t="str">
        <f>C8</f>
        <v>10/90基石投顾组合</v>
      </c>
      <c r="D38" s="84"/>
      <c r="E38" s="110">
        <f ca="1">E$2/E$1-1</f>
        <v>-1.3453010942604537E-3</v>
      </c>
      <c r="F38" s="102">
        <f t="shared" ref="F38:G38" si="3">F$2/F$1-1</f>
        <v>-2.6096789942655407E-2</v>
      </c>
      <c r="G38" s="102">
        <f t="shared" ca="1" si="3"/>
        <v>2.1956981339595893E-2</v>
      </c>
      <c r="H38" s="103">
        <f>'看板-10-90基石'!$F$7</f>
        <v>-2.8729069309879618E-2</v>
      </c>
    </row>
    <row r="39" spans="1:8" ht="16.5">
      <c r="A39" s="68">
        <v>1</v>
      </c>
      <c r="B39" s="69" t="s">
        <v>295</v>
      </c>
      <c r="C39" s="70" t="s">
        <v>321</v>
      </c>
      <c r="D39" s="94">
        <v>5265</v>
      </c>
      <c r="E39" s="111">
        <f ca="1">[1]!thsiFinD("ths_adjustment_nvg_ratio_fund",$B39,E$4,E$5,101)/100</f>
        <v>-6.8749003609310999E-3</v>
      </c>
      <c r="F39" s="104">
        <f>[1]!thsiFinD("ths_adjustment_nvg_ratio_fund",$B39,F$4,F$5,101)/100</f>
        <v>-1.8110759418334E-2</v>
      </c>
      <c r="G39" s="104">
        <f ca="1">[1]!thsiFinD("ths_adjustment_nvg_ratio_fund",$B39,G$4,G$5,101)/100</f>
        <v>7.7821011935777992E-3</v>
      </c>
      <c r="H39" s="105">
        <f ca="1">-[1]!thsiFinD("ths_max_retrace_rate_all_fund",$B39,E$3,E$5)/100</f>
        <v>-1.8873622199938999E-2</v>
      </c>
    </row>
    <row r="40" spans="1:8" ht="16.5">
      <c r="A40" s="71">
        <v>2</v>
      </c>
      <c r="B40" s="72" t="s">
        <v>296</v>
      </c>
      <c r="C40" s="73" t="s">
        <v>322</v>
      </c>
      <c r="D40" s="95">
        <v>896</v>
      </c>
      <c r="E40" s="112">
        <f ca="1">[1]!thsiFinD("ths_adjustment_nvg_ratio_fund",$B40,E$4,E$5,101)/100</f>
        <v>0</v>
      </c>
      <c r="F40" s="106">
        <f>[1]!thsiFinD("ths_adjustment_nvg_ratio_fund",$B40,F$4,F$5,101)/100</f>
        <v>-1.2397914001770999E-2</v>
      </c>
      <c r="G40" s="106">
        <f ca="1">[1]!thsiFinD("ths_adjustment_nvg_ratio_fund",$B40,G$4,G$5,101)/100</f>
        <v>9.5361080758916E-3</v>
      </c>
      <c r="H40" s="107">
        <f ca="1">-[1]!thsiFinD("ths_max_retrace_rate_all_fund",$B40,E$3,E$5)/100</f>
        <v>-1.3283479287611999E-2</v>
      </c>
    </row>
    <row r="41" spans="1:8" ht="16.5">
      <c r="A41" s="68">
        <v>3</v>
      </c>
      <c r="B41" s="69" t="s">
        <v>297</v>
      </c>
      <c r="C41" s="70" t="s">
        <v>298</v>
      </c>
      <c r="D41" s="94">
        <v>239</v>
      </c>
      <c r="E41" s="111">
        <f ca="1">[1]!thsiFinD("ths_adjustment_nvg_ratio_fund",$B41,E$4,E$5,101)/100</f>
        <v>-1.3638577691184E-2</v>
      </c>
      <c r="F41" s="104">
        <f>[1]!thsiFinD("ths_adjustment_nvg_ratio_fund",$B41,F$4,F$5,101)/100</f>
        <v>-2.6627699301834999E-2</v>
      </c>
      <c r="G41" s="104">
        <f ca="1">[1]!thsiFinD("ths_adjustment_nvg_ratio_fund",$B41,G$4,G$5,101)/100</f>
        <v>1.1320126519061001E-2</v>
      </c>
      <c r="H41" s="105">
        <f ca="1">-[1]!thsiFinD("ths_max_retrace_rate_all_fund",$B41,E$3,E$5)/100</f>
        <v>-4.9419990465597002E-2</v>
      </c>
    </row>
    <row r="42" spans="1:8" ht="16.5">
      <c r="A42" s="71">
        <v>4</v>
      </c>
      <c r="B42" s="72" t="s">
        <v>285</v>
      </c>
      <c r="C42" s="73" t="s">
        <v>310</v>
      </c>
      <c r="D42" s="95">
        <v>225</v>
      </c>
      <c r="E42" s="112">
        <f ca="1">[1]!thsiFinD("ths_adjustment_nvg_ratio_fund",$B42,E$4,E$5,101)/100</f>
        <v>-1.1805271481001E-2</v>
      </c>
      <c r="F42" s="106">
        <f>[1]!thsiFinD("ths_adjustment_nvg_ratio_fund",$B42,F$4,F$5,101)/100</f>
        <v>-5.6454912032351999E-2</v>
      </c>
      <c r="G42" s="106">
        <f ca="1">[1]!thsiFinD("ths_adjustment_nvg_ratio_fund",$B42,G$4,G$5,101)/100</f>
        <v>3.7935056176636998E-2</v>
      </c>
      <c r="H42" s="107">
        <f ca="1">-[1]!thsiFinD("ths_max_retrace_rate_all_fund",$B42,E$3,E$5)/100</f>
        <v>-7.0577399089732998E-2</v>
      </c>
    </row>
    <row r="43" spans="1:8" ht="16.5">
      <c r="A43" s="68">
        <v>5</v>
      </c>
      <c r="B43" s="69" t="s">
        <v>299</v>
      </c>
      <c r="C43" s="70" t="s">
        <v>323</v>
      </c>
      <c r="D43" s="94">
        <v>205</v>
      </c>
      <c r="E43" s="111">
        <f ca="1">[1]!thsiFinD("ths_adjustment_nvg_ratio_fund",$B43,E$4,E$5,101)/100</f>
        <v>-2.3467721138141998E-2</v>
      </c>
      <c r="F43" s="104">
        <f>[1]!thsiFinD("ths_adjustment_nvg_ratio_fund",$B43,F$4,F$5,101)/100</f>
        <v>-2.9313160835554002E-2</v>
      </c>
      <c r="G43" s="104">
        <f ca="1">[1]!thsiFinD("ths_adjustment_nvg_ratio_fund",$B43,G$4,G$5,101)/100</f>
        <v>8.1647142350017004E-3</v>
      </c>
      <c r="H43" s="105">
        <f ca="1">-[1]!thsiFinD("ths_max_retrace_rate_all_fund",$B43,E$3,E$5)/100</f>
        <v>-5.6883966775735997E-2</v>
      </c>
    </row>
    <row r="44" spans="1:8" ht="16.5">
      <c r="A44" s="71">
        <v>6</v>
      </c>
      <c r="B44" s="72" t="s">
        <v>300</v>
      </c>
      <c r="C44" s="73" t="s">
        <v>324</v>
      </c>
      <c r="D44" s="95">
        <v>190</v>
      </c>
      <c r="E44" s="112">
        <f ca="1">[1]!thsiFinD("ths_adjustment_nvg_ratio_fund",$B44,E$4,E$5,101)/100</f>
        <v>-3.9890260631001005E-2</v>
      </c>
      <c r="F44" s="106">
        <f>[1]!thsiFinD("ths_adjustment_nvg_ratio_fund",$B44,F$4,F$5,101)/100</f>
        <v>-9.3443072702332E-2</v>
      </c>
      <c r="G44" s="106">
        <f ca="1">[1]!thsiFinD("ths_adjustment_nvg_ratio_fund",$B44,G$4,G$5,101)/100</f>
        <v>4.6781526681023998E-2</v>
      </c>
      <c r="H44" s="107">
        <f ca="1">-[1]!thsiFinD("ths_max_retrace_rate_all_fund",$B44,E$3,E$5)/100</f>
        <v>-0.11736738073615</v>
      </c>
    </row>
    <row r="45" spans="1:8" ht="16.5">
      <c r="A45" s="68">
        <v>7</v>
      </c>
      <c r="B45" s="69" t="s">
        <v>301</v>
      </c>
      <c r="C45" s="70" t="s">
        <v>325</v>
      </c>
      <c r="D45" s="94">
        <v>189</v>
      </c>
      <c r="E45" s="111">
        <f ca="1">[1]!thsiFinD("ths_adjustment_nvg_ratio_fund",$B45,E$4,E$5,101)/100</f>
        <v>-6.0439560439560003E-2</v>
      </c>
      <c r="F45" s="104">
        <f>[1]!thsiFinD("ths_adjustment_nvg_ratio_fund",$B45,F$4,F$5,101)/100</f>
        <v>-0.12207792207792</v>
      </c>
      <c r="G45" s="104">
        <f ca="1">[1]!thsiFinD("ths_adjustment_nvg_ratio_fund",$B45,G$4,G$5,101)/100</f>
        <v>5.7870760924582001E-2</v>
      </c>
      <c r="H45" s="107">
        <f ca="1">-[1]!thsiFinD("ths_max_retrace_rate_all_fund",$B45,E$3,E$5)/100</f>
        <v>-0.14870700111591001</v>
      </c>
    </row>
    <row r="46" spans="1:8" ht="16.5">
      <c r="A46" s="71">
        <v>8</v>
      </c>
      <c r="B46" s="72" t="s">
        <v>302</v>
      </c>
      <c r="C46" s="73" t="s">
        <v>326</v>
      </c>
      <c r="D46" s="95">
        <v>184</v>
      </c>
      <c r="E46" s="112">
        <f ca="1">[1]!thsiFinD("ths_adjustment_nvg_ratio_fund",$B46,E$4,E$5,101)/100</f>
        <v>-1.5813601382883999E-2</v>
      </c>
      <c r="F46" s="106">
        <f>[1]!thsiFinD("ths_adjustment_nvg_ratio_fund",$B46,F$4,F$5,101)/100</f>
        <v>-4.5842621036721001E-2</v>
      </c>
      <c r="G46" s="106">
        <f ca="1">[1]!thsiFinD("ths_adjustment_nvg_ratio_fund",$B46,G$4,G$5,101)/100</f>
        <v>2.4203431370733001E-2</v>
      </c>
      <c r="H46" s="107">
        <f ca="1">-[1]!thsiFinD("ths_max_retrace_rate_all_fund",$B46,E$3,E$5)/100</f>
        <v>-6.3951809226055992E-2</v>
      </c>
    </row>
    <row r="47" spans="1:8" ht="16.5">
      <c r="A47" s="68">
        <v>9</v>
      </c>
      <c r="B47" s="69" t="s">
        <v>303</v>
      </c>
      <c r="C47" s="70" t="s">
        <v>327</v>
      </c>
      <c r="D47" s="94">
        <v>174</v>
      </c>
      <c r="E47" s="100">
        <f ca="1">[1]!thsiFinD("ths_adjustment_nvg_ratio_fund",$B47,E$4,E$5,101)/100</f>
        <v>2.8034550689497E-3</v>
      </c>
      <c r="F47" s="104">
        <f>[1]!thsiFinD("ths_adjustment_nvg_ratio_fund",$B47,F$4,F$5,101)/100</f>
        <v>-2.4246097893620999E-3</v>
      </c>
      <c r="G47" s="104">
        <f ca="1">[1]!thsiFinD("ths_adjustment_nvg_ratio_fund",$B47,G$4,G$5,101)/100</f>
        <v>3.7921880925292999E-3</v>
      </c>
      <c r="H47" s="105">
        <f ca="1">-[1]!thsiFinD("ths_max_retrace_rate_all_fund",$B47,E$3,E$5)/100</f>
        <v>-4.3188361873011004E-3</v>
      </c>
    </row>
    <row r="48" spans="1:8" ht="16.5">
      <c r="A48" s="74">
        <v>10</v>
      </c>
      <c r="B48" s="75" t="s">
        <v>304</v>
      </c>
      <c r="C48" s="76" t="s">
        <v>328</v>
      </c>
      <c r="D48" s="96">
        <v>170</v>
      </c>
      <c r="E48" s="101">
        <f ca="1">[1]!thsiFinD("ths_adjustment_nvg_ratio_fund",$B48,E$4,E$5,101)/100</f>
        <v>-2.2199130932901E-2</v>
      </c>
      <c r="F48" s="108">
        <f>[1]!thsiFinD("ths_adjustment_nvg_ratio_fund",$B48,F$4,F$5,101)/100</f>
        <v>-6.8297751744840998E-2</v>
      </c>
      <c r="G48" s="108">
        <f ca="1">[1]!thsiFinD("ths_adjustment_nvg_ratio_fund",$B48,G$4,G$5,101)/100</f>
        <v>4.0301507579900003E-2</v>
      </c>
      <c r="H48" s="109">
        <f ca="1">-[1]!thsiFinD("ths_max_retrace_rate_all_fund",$B48,E$3,E$5)/100</f>
        <v>-7.9686479412252001E-2</v>
      </c>
    </row>
    <row r="50" spans="1:8" ht="16.5">
      <c r="A50" s="124" t="s">
        <v>330</v>
      </c>
      <c r="B50" s="124"/>
      <c r="C50" s="124"/>
      <c r="D50" s="124"/>
      <c r="E50" s="124"/>
      <c r="F50" s="124"/>
      <c r="G50" s="124"/>
      <c r="H50" s="124"/>
    </row>
    <row r="51" spans="1:8" ht="16.5">
      <c r="A51" s="124" t="s">
        <v>329</v>
      </c>
      <c r="B51" s="124"/>
      <c r="C51" s="124"/>
      <c r="D51" s="124"/>
      <c r="E51" s="124"/>
      <c r="F51" s="124"/>
      <c r="G51" s="124"/>
      <c r="H51" s="124"/>
    </row>
    <row r="52" spans="1:8" ht="16.5">
      <c r="A52" s="124" t="s">
        <v>305</v>
      </c>
      <c r="B52" s="124"/>
      <c r="C52" s="124"/>
      <c r="D52" s="124"/>
      <c r="E52" s="124"/>
      <c r="F52" s="124"/>
      <c r="G52" s="124"/>
      <c r="H52" s="124"/>
    </row>
  </sheetData>
  <mergeCells count="6">
    <mergeCell ref="A52:H52"/>
    <mergeCell ref="A50:H50"/>
    <mergeCell ref="A51:H51"/>
    <mergeCell ref="C6:H6"/>
    <mergeCell ref="C21:H21"/>
    <mergeCell ref="C36:H36"/>
  </mergeCells>
  <phoneticPr fontId="35" type="noConversion"/>
  <conditionalFormatting sqref="E8:H8">
    <cfRule type="cellIs" dxfId="20" priority="10" operator="greaterThan">
      <formula>0</formula>
    </cfRule>
    <cfRule type="cellIs" dxfId="19" priority="11" operator="lessThan">
      <formula>0</formula>
    </cfRule>
  </conditionalFormatting>
  <conditionalFormatting sqref="E9:H18">
    <cfRule type="cellIs" dxfId="18" priority="7" operator="greaterThan">
      <formula>0</formula>
    </cfRule>
  </conditionalFormatting>
  <conditionalFormatting sqref="E23:H23">
    <cfRule type="cellIs" dxfId="17" priority="5" operator="greaterThan">
      <formula>0</formula>
    </cfRule>
    <cfRule type="cellIs" dxfId="16" priority="6" operator="lessThan">
      <formula>0</formula>
    </cfRule>
  </conditionalFormatting>
  <conditionalFormatting sqref="E24:H33">
    <cfRule type="cellIs" dxfId="15" priority="4" operator="greaterThan">
      <formula>0</formula>
    </cfRule>
  </conditionalFormatting>
  <conditionalFormatting sqref="E38:H38">
    <cfRule type="cellIs" dxfId="14" priority="2" operator="greaterThan">
      <formula>0</formula>
    </cfRule>
    <cfRule type="cellIs" dxfId="13" priority="3" operator="lessThan">
      <formula>0</formula>
    </cfRule>
  </conditionalFormatting>
  <conditionalFormatting sqref="E39:H48">
    <cfRule type="cellIs" dxfId="12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showGridLines="0" workbookViewId="0">
      <selection activeCell="F17" sqref="F17"/>
    </sheetView>
  </sheetViews>
  <sheetFormatPr defaultColWidth="9.453125" defaultRowHeight="12.5"/>
  <cols>
    <col min="1" max="1" width="13.1796875" customWidth="1"/>
  </cols>
  <sheetData>
    <row r="1" spans="1:25" ht="19.5" customHeight="1">
      <c r="A1" s="126" t="s">
        <v>59</v>
      </c>
      <c r="B1" s="126"/>
      <c r="C1" s="126"/>
      <c r="D1" s="126"/>
    </row>
    <row r="2" spans="1:25" ht="14">
      <c r="A2" s="11">
        <f ca="1">TODAY()</f>
        <v>46252</v>
      </c>
    </row>
    <row r="3" spans="1:25" ht="24.75" customHeight="1">
      <c r="A3" s="1" t="s">
        <v>60</v>
      </c>
      <c r="B3" s="12" t="str">
        <f>实盘持仓初始配置!B3</f>
        <v>000216.OF</v>
      </c>
      <c r="C3" s="12" t="str">
        <f>实盘持仓初始配置!C3</f>
        <v>000917.OF</v>
      </c>
      <c r="D3" s="12" t="str">
        <f>实盘持仓初始配置!D3</f>
        <v>001170.OF</v>
      </c>
      <c r="E3" s="12" t="str">
        <f>实盘持仓初始配置!E3</f>
        <v>007044.OF</v>
      </c>
      <c r="F3" s="12" t="str">
        <f>实盘持仓初始配置!F3</f>
        <v>007045.OF</v>
      </c>
      <c r="G3" s="12" t="str">
        <f>实盘持仓初始配置!G3</f>
        <v>007817.OF</v>
      </c>
      <c r="H3" s="12" t="str">
        <f>实盘持仓初始配置!H3</f>
        <v>007818.OF</v>
      </c>
      <c r="I3" s="12" t="str">
        <f>实盘持仓初始配置!I3</f>
        <v>009993.OF</v>
      </c>
      <c r="J3" s="12" t="str">
        <f>实盘持仓初始配置!J3</f>
        <v>013840.OF</v>
      </c>
      <c r="K3" s="12" t="str">
        <f>实盘持仓初始配置!K3</f>
        <v>013841.OF</v>
      </c>
      <c r="L3" s="12" t="str">
        <f>实盘持仓初始配置!L3</f>
        <v>014201.OF</v>
      </c>
      <c r="M3" s="12" t="str">
        <f>实盘持仓初始配置!M3</f>
        <v>014202.OF</v>
      </c>
      <c r="N3" s="12" t="str">
        <f>实盘持仓初始配置!N3</f>
        <v>015453.OF</v>
      </c>
      <c r="O3" s="12" t="str">
        <f>实盘持仓初始配置!O3</f>
        <v>015454.OF</v>
      </c>
      <c r="P3" s="12" t="str">
        <f>实盘持仓初始配置!P3</f>
        <v>016370.OF</v>
      </c>
      <c r="Q3" s="12" t="str">
        <f>实盘持仓初始配置!Q3</f>
        <v>017488.OF</v>
      </c>
      <c r="R3" s="12" t="str">
        <f>实盘持仓初始配置!R3</f>
        <v>017489.OF</v>
      </c>
      <c r="S3" s="12" t="str">
        <f>实盘持仓初始配置!S3</f>
        <v>017612.OF</v>
      </c>
      <c r="T3" s="12" t="str">
        <f>实盘持仓初始配置!T3</f>
        <v>019632.OF</v>
      </c>
      <c r="U3" s="12" t="str">
        <f>实盘持仓初始配置!U3</f>
        <v>019633.OF</v>
      </c>
      <c r="V3" s="12" t="str">
        <f>实盘持仓初始配置!V3</f>
        <v>019923.OF</v>
      </c>
      <c r="W3" s="12" t="str">
        <f>实盘持仓初始配置!W3</f>
        <v>019924.OF</v>
      </c>
      <c r="X3" s="12" t="str">
        <f>实盘持仓初始配置!X3</f>
        <v>161119.OF</v>
      </c>
      <c r="Y3" s="12" t="s">
        <v>61</v>
      </c>
    </row>
    <row r="4" spans="1:25" ht="51.75" customHeight="1">
      <c r="A4" s="1" t="str">
        <f ca="1">[1]!HX_AutoDate(1,"2026-06-18",A2,-1,-1,0,0,0,0,0,"SSE",43,0)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62</v>
      </c>
    </row>
    <row r="5" spans="1:25">
      <c r="A5" s="8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</row>
    <row r="6" spans="1:25">
      <c r="A6" s="8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</row>
    <row r="7" spans="1:25">
      <c r="A7" s="8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</row>
    <row r="8" spans="1:25">
      <c r="A8" s="8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</row>
    <row r="9" spans="1:25">
      <c r="A9" s="8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</row>
    <row r="10" spans="1:25">
      <c r="A10" s="8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</row>
    <row r="11" spans="1:25">
      <c r="A11" s="8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</row>
    <row r="12" spans="1:25">
      <c r="A12" s="8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</row>
    <row r="13" spans="1:25">
      <c r="A13" s="8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</row>
    <row r="14" spans="1:25">
      <c r="A14" s="8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</row>
    <row r="15" spans="1:25">
      <c r="A15" s="8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</row>
    <row r="16" spans="1:25">
      <c r="A16" s="8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</row>
    <row r="17" spans="1:25">
      <c r="A17" s="8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</row>
    <row r="18" spans="1:25">
      <c r="A18" s="8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</row>
    <row r="19" spans="1:25">
      <c r="A19" s="8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</row>
    <row r="20" spans="1:25">
      <c r="A20" s="8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</row>
    <row r="21" spans="1:25">
      <c r="A21" s="8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</row>
    <row r="22" spans="1:25">
      <c r="A22" s="8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</row>
    <row r="23" spans="1:25">
      <c r="A23" s="8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</row>
    <row r="24" spans="1:25">
      <c r="A24" s="8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</row>
    <row r="25" spans="1:25">
      <c r="A25" s="8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</row>
    <row r="26" spans="1:25">
      <c r="A26" s="8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</row>
    <row r="27" spans="1:25">
      <c r="A27" s="8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</row>
    <row r="28" spans="1:25">
      <c r="A28" s="8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</row>
    <row r="29" spans="1:25">
      <c r="A29" s="8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</row>
    <row r="30" spans="1:25">
      <c r="A30" s="8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</row>
    <row r="31" spans="1:25">
      <c r="A31" s="8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</row>
    <row r="32" spans="1:25">
      <c r="A32" s="8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</row>
    <row r="33" spans="1:25">
      <c r="A33" s="8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</row>
    <row r="34" spans="1:25">
      <c r="A34" s="8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</row>
    <row r="35" spans="1:25">
      <c r="A35" s="8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</row>
    <row r="36" spans="1:25">
      <c r="A36" s="8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</row>
    <row r="37" spans="1:25">
      <c r="A37" s="8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</row>
    <row r="38" spans="1:25">
      <c r="A38" s="8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</row>
    <row r="39" spans="1:25">
      <c r="A39" s="8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</row>
    <row r="40" spans="1:25">
      <c r="A40" s="8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</row>
    <row r="41" spans="1:25">
      <c r="A41" s="8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</row>
    <row r="42" spans="1:25">
      <c r="A42" s="8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</row>
    <row r="43" spans="1:25">
      <c r="A43" s="8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</row>
    <row r="44" spans="1:25">
      <c r="A44" s="8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</row>
    <row r="45" spans="1:25">
      <c r="A45" s="8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</row>
    <row r="46" spans="1:25">
      <c r="A46" s="8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</row>
    <row r="47" spans="1:25">
      <c r="A47" s="8">
        <v>46252</v>
      </c>
      <c r="B47" s="13">
        <f>IF($A47="","",[1]!thsiFinD("ths_adjustment_nv_fund",B$3,$A47))</f>
        <v>3.2961999999999998</v>
      </c>
      <c r="C47" s="13">
        <f>IF($A47="","",[1]!thsiFinD("ths_adjustment_nv_fund",C$3,$A47))</f>
        <v>1.3199769937000001</v>
      </c>
      <c r="D47" s="13">
        <f>IF($A47="","",[1]!thsiFinD("ths_adjustment_nv_fund",D$3,$A47))</f>
        <v>4.9039999999999999</v>
      </c>
      <c r="E47" s="13">
        <f>IF($A47="","",[1]!thsiFinD("ths_adjustment_nv_fund",E$3,$A47))</f>
        <v>1.9380999999999999</v>
      </c>
      <c r="F47" s="13">
        <f>IF($A47="","",[1]!thsiFinD("ths_adjustment_nv_fund",F$3,$A47))</f>
        <v>1.8823000000000001</v>
      </c>
      <c r="G47" s="13">
        <f>IF($A47="","",[1]!thsiFinD("ths_adjustment_nv_fund",G$3,$A47))</f>
        <v>4.0640999999999998</v>
      </c>
      <c r="H47" s="13">
        <f>IF($A47="","",[1]!thsiFinD("ths_adjustment_nv_fund",H$3,$A47))</f>
        <v>3.9763999999999999</v>
      </c>
      <c r="I47" s="13">
        <f>IF($A47="","",[1]!thsiFinD("ths_adjustment_nv_fund",I$3,$A47))</f>
        <v>2.5301</v>
      </c>
      <c r="J47" s="13">
        <f>IF($A47="","",[1]!thsiFinD("ths_adjustment_nv_fund",J$3,$A47))</f>
        <v>3.3996</v>
      </c>
      <c r="K47" s="13">
        <f>IF($A47="","",[1]!thsiFinD("ths_adjustment_nv_fund",K$3,$A47))</f>
        <v>3.3677999999999999</v>
      </c>
      <c r="L47" s="13">
        <f>IF($A47="","",[1]!thsiFinD("ths_adjustment_nv_fund",L$3,$A47))</f>
        <v>1.5899000000000001</v>
      </c>
      <c r="M47" s="13">
        <f>IF($A47="","",[1]!thsiFinD("ths_adjustment_nv_fund",M$3,$A47))</f>
        <v>1.5681</v>
      </c>
      <c r="N47" s="13">
        <f>IF($A47="","",[1]!thsiFinD("ths_adjustment_nv_fund",N$3,$A47))</f>
        <v>1.5815999999999999</v>
      </c>
      <c r="O47" s="13">
        <f>IF($A47="","",[1]!thsiFinD("ths_adjustment_nv_fund",O$3,$A47))</f>
        <v>1.5417000000000001</v>
      </c>
      <c r="P47" s="13">
        <f>IF($A47="","",[1]!thsiFinD("ths_adjustment_nv_fund",P$3,$A47))</f>
        <v>2.927</v>
      </c>
      <c r="Q47" s="13">
        <f>IF($A47="","",[1]!thsiFinD("ths_adjustment_nv_fund",Q$3,$A47))</f>
        <v>3.6488</v>
      </c>
      <c r="R47" s="13">
        <f>IF($A47="","",[1]!thsiFinD("ths_adjustment_nv_fund",R$3,$A47))</f>
        <v>3.5701999999999998</v>
      </c>
      <c r="S47" s="13">
        <f>IF($A47="","",[1]!thsiFinD("ths_adjustment_nv_fund",S$3,$A47))</f>
        <v>4.8529999999999998</v>
      </c>
      <c r="T47" s="13">
        <f>IF($A47="","",[1]!thsiFinD("ths_adjustment_nv_fund",T$3,$A47))</f>
        <v>3.0985</v>
      </c>
      <c r="U47" s="13">
        <f>IF($A47="","",[1]!thsiFinD("ths_adjustment_nv_fund",U$3,$A47))</f>
        <v>3.0815000000000001</v>
      </c>
      <c r="V47" s="13">
        <f>IF($A47="","",[1]!thsiFinD("ths_adjustment_nv_fund",V$3,$A47))</f>
        <v>1.9588000000000001</v>
      </c>
      <c r="W47" s="13">
        <f>IF($A47="","",[1]!thsiFinD("ths_adjustment_nv_fund",W$3,$A47))</f>
        <v>1.9387000000000001</v>
      </c>
      <c r="X47" s="13">
        <f>IF($A47="","",[1]!thsiFinD("ths_adjustment_nv_fund",X$3,$A47))</f>
        <v>1.8018000000000001</v>
      </c>
      <c r="Y47" s="13">
        <f>IF($A47="","",[1]!thsiFinD("ths_adjustment_nv_fund",Y$3,$A47))</f>
        <v>2.6560000000000001</v>
      </c>
    </row>
    <row r="48" spans="1:25">
      <c r="A48" s="8"/>
      <c r="B48" s="13" t="str">
        <f>IF($A48="","",[1]!thsiFinD("ths_adjustment_nv_fund",B$3,$A48))</f>
        <v/>
      </c>
      <c r="C48" s="13" t="str">
        <f>IF($A48="","",[1]!thsiFinD("ths_adjustment_nv_fund",C$3,$A48))</f>
        <v/>
      </c>
      <c r="D48" s="13" t="str">
        <f>IF($A48="","",[1]!thsiFinD("ths_adjustment_nv_fund",D$3,$A48))</f>
        <v/>
      </c>
      <c r="E48" s="13" t="str">
        <f>IF($A48="","",[1]!thsiFinD("ths_adjustment_nv_fund",E$3,$A48))</f>
        <v/>
      </c>
      <c r="F48" s="13" t="str">
        <f>IF($A48="","",[1]!thsiFinD("ths_adjustment_nv_fund",F$3,$A48))</f>
        <v/>
      </c>
      <c r="G48" s="13" t="str">
        <f>IF($A48="","",[1]!thsiFinD("ths_adjustment_nv_fund",G$3,$A48))</f>
        <v/>
      </c>
      <c r="H48" s="13" t="str">
        <f>IF($A48="","",[1]!thsiFinD("ths_adjustment_nv_fund",H$3,$A48))</f>
        <v/>
      </c>
      <c r="I48" s="13" t="str">
        <f>IF($A48="","",[1]!thsiFinD("ths_adjustment_nv_fund",I$3,$A48))</f>
        <v/>
      </c>
      <c r="J48" s="13" t="str">
        <f>IF($A48="","",[1]!thsiFinD("ths_adjustment_nv_fund",J$3,$A48))</f>
        <v/>
      </c>
      <c r="K48" s="13" t="str">
        <f>IF($A48="","",[1]!thsiFinD("ths_adjustment_nv_fund",K$3,$A48))</f>
        <v/>
      </c>
      <c r="L48" s="13" t="str">
        <f>IF($A48="","",[1]!thsiFinD("ths_adjustment_nv_fund",L$3,$A48))</f>
        <v/>
      </c>
      <c r="M48" s="13" t="str">
        <f>IF($A48="","",[1]!thsiFinD("ths_adjustment_nv_fund",M$3,$A48))</f>
        <v/>
      </c>
      <c r="N48" s="13" t="str">
        <f>IF($A48="","",[1]!thsiFinD("ths_adjustment_nv_fund",N$3,$A48))</f>
        <v/>
      </c>
      <c r="O48" s="13" t="str">
        <f>IF($A48="","",[1]!thsiFinD("ths_adjustment_nv_fund",O$3,$A48))</f>
        <v/>
      </c>
      <c r="P48" s="13" t="str">
        <f>IF($A48="","",[1]!thsiFinD("ths_adjustment_nv_fund",P$3,$A48))</f>
        <v/>
      </c>
      <c r="Q48" s="13" t="str">
        <f>IF($A48="","",[1]!thsiFinD("ths_adjustment_nv_fund",Q$3,$A48))</f>
        <v/>
      </c>
      <c r="R48" s="13" t="str">
        <f>IF($A48="","",[1]!thsiFinD("ths_adjustment_nv_fund",R$3,$A48))</f>
        <v/>
      </c>
      <c r="S48" s="13" t="str">
        <f>IF($A48="","",[1]!thsiFinD("ths_adjustment_nv_fund",S$3,$A48))</f>
        <v/>
      </c>
      <c r="T48" s="13" t="str">
        <f>IF($A48="","",[1]!thsiFinD("ths_adjustment_nv_fund",T$3,$A48))</f>
        <v/>
      </c>
      <c r="U48" s="13" t="str">
        <f>IF($A48="","",[1]!thsiFinD("ths_adjustment_nv_fund",U$3,$A48))</f>
        <v/>
      </c>
      <c r="V48" s="13" t="str">
        <f>IF($A48="","",[1]!thsiFinD("ths_adjustment_nv_fund",V$3,$A48))</f>
        <v/>
      </c>
      <c r="W48" s="13" t="str">
        <f>IF($A48="","",[1]!thsiFinD("ths_adjustment_nv_fund",W$3,$A48))</f>
        <v/>
      </c>
      <c r="X48" s="13" t="str">
        <f>IF($A48="","",[1]!thsiFinD("ths_adjustment_nv_fund",X$3,$A48))</f>
        <v/>
      </c>
      <c r="Y48" s="13" t="str">
        <f>IF($A48="","",[1]!thsiFinD("ths_adjustment_nv_fund",Y$3,$A48))</f>
        <v/>
      </c>
    </row>
    <row r="49" spans="1:25">
      <c r="A49" s="8"/>
      <c r="B49" s="13" t="str">
        <f>IF($A49="","",[1]!thsiFinD("ths_adjustment_nv_fund",B$3,$A49))</f>
        <v/>
      </c>
      <c r="C49" s="13" t="str">
        <f>IF($A49="","",[1]!thsiFinD("ths_adjustment_nv_fund",C$3,$A49))</f>
        <v/>
      </c>
      <c r="D49" s="13" t="str">
        <f>IF($A49="","",[1]!thsiFinD("ths_adjustment_nv_fund",D$3,$A49))</f>
        <v/>
      </c>
      <c r="E49" s="13" t="str">
        <f>IF($A49="","",[1]!thsiFinD("ths_adjustment_nv_fund",E$3,$A49))</f>
        <v/>
      </c>
      <c r="F49" s="13" t="str">
        <f>IF($A49="","",[1]!thsiFinD("ths_adjustment_nv_fund",F$3,$A49))</f>
        <v/>
      </c>
      <c r="G49" s="13" t="str">
        <f>IF($A49="","",[1]!thsiFinD("ths_adjustment_nv_fund",G$3,$A49))</f>
        <v/>
      </c>
      <c r="H49" s="13" t="str">
        <f>IF($A49="","",[1]!thsiFinD("ths_adjustment_nv_fund",H$3,$A49))</f>
        <v/>
      </c>
      <c r="I49" s="13" t="str">
        <f>IF($A49="","",[1]!thsiFinD("ths_adjustment_nv_fund",I$3,$A49))</f>
        <v/>
      </c>
      <c r="J49" s="13" t="str">
        <f>IF($A49="","",[1]!thsiFinD("ths_adjustment_nv_fund",J$3,$A49))</f>
        <v/>
      </c>
      <c r="K49" s="13" t="str">
        <f>IF($A49="","",[1]!thsiFinD("ths_adjustment_nv_fund",K$3,$A49))</f>
        <v/>
      </c>
      <c r="L49" s="13" t="str">
        <f>IF($A49="","",[1]!thsiFinD("ths_adjustment_nv_fund",L$3,$A49))</f>
        <v/>
      </c>
      <c r="M49" s="13" t="str">
        <f>IF($A49="","",[1]!thsiFinD("ths_adjustment_nv_fund",M$3,$A49))</f>
        <v/>
      </c>
      <c r="N49" s="13" t="str">
        <f>IF($A49="","",[1]!thsiFinD("ths_adjustment_nv_fund",N$3,$A49))</f>
        <v/>
      </c>
      <c r="O49" s="13" t="str">
        <f>IF($A49="","",[1]!thsiFinD("ths_adjustment_nv_fund",O$3,$A49))</f>
        <v/>
      </c>
      <c r="P49" s="13" t="str">
        <f>IF($A49="","",[1]!thsiFinD("ths_adjustment_nv_fund",P$3,$A49))</f>
        <v/>
      </c>
      <c r="Q49" s="13" t="str">
        <f>IF($A49="","",[1]!thsiFinD("ths_adjustment_nv_fund",Q$3,$A49))</f>
        <v/>
      </c>
      <c r="R49" s="13" t="str">
        <f>IF($A49="","",[1]!thsiFinD("ths_adjustment_nv_fund",R$3,$A49))</f>
        <v/>
      </c>
      <c r="S49" s="13" t="str">
        <f>IF($A49="","",[1]!thsiFinD("ths_adjustment_nv_fund",S$3,$A49))</f>
        <v/>
      </c>
      <c r="T49" s="13" t="str">
        <f>IF($A49="","",[1]!thsiFinD("ths_adjustment_nv_fund",T$3,$A49))</f>
        <v/>
      </c>
      <c r="U49" s="13" t="str">
        <f>IF($A49="","",[1]!thsiFinD("ths_adjustment_nv_fund",U$3,$A49))</f>
        <v/>
      </c>
      <c r="V49" s="13" t="str">
        <f>IF($A49="","",[1]!thsiFinD("ths_adjustment_nv_fund",V$3,$A49))</f>
        <v/>
      </c>
      <c r="W49" s="13" t="str">
        <f>IF($A49="","",[1]!thsiFinD("ths_adjustment_nv_fund",W$3,$A49))</f>
        <v/>
      </c>
      <c r="X49" s="13" t="str">
        <f>IF($A49="","",[1]!thsiFinD("ths_adjustment_nv_fund",X$3,$A49))</f>
        <v/>
      </c>
      <c r="Y49" s="13" t="str">
        <f>IF($A49="","",[1]!thsiFinD("ths_adjustment_nv_fund",Y$3,$A49))</f>
        <v/>
      </c>
    </row>
    <row r="50" spans="1:25">
      <c r="A50" s="8"/>
      <c r="B50" s="13" t="str">
        <f>IF($A50="","",[1]!thsiFinD("ths_adjustment_nv_fund",B$3,$A50))</f>
        <v/>
      </c>
      <c r="C50" s="13" t="str">
        <f>IF($A50="","",[1]!thsiFinD("ths_adjustment_nv_fund",C$3,$A50))</f>
        <v/>
      </c>
      <c r="D50" s="13" t="str">
        <f>IF($A50="","",[1]!thsiFinD("ths_adjustment_nv_fund",D$3,$A50))</f>
        <v/>
      </c>
      <c r="E50" s="13" t="str">
        <f>IF($A50="","",[1]!thsiFinD("ths_adjustment_nv_fund",E$3,$A50))</f>
        <v/>
      </c>
      <c r="F50" s="13" t="str">
        <f>IF($A50="","",[1]!thsiFinD("ths_adjustment_nv_fund",F$3,$A50))</f>
        <v/>
      </c>
      <c r="G50" s="13" t="str">
        <f>IF($A50="","",[1]!thsiFinD("ths_adjustment_nv_fund",G$3,$A50))</f>
        <v/>
      </c>
      <c r="H50" s="13" t="str">
        <f>IF($A50="","",[1]!thsiFinD("ths_adjustment_nv_fund",H$3,$A50))</f>
        <v/>
      </c>
      <c r="I50" s="13" t="str">
        <f>IF($A50="","",[1]!thsiFinD("ths_adjustment_nv_fund",I$3,$A50))</f>
        <v/>
      </c>
      <c r="J50" s="13" t="str">
        <f>IF($A50="","",[1]!thsiFinD("ths_adjustment_nv_fund",J$3,$A50))</f>
        <v/>
      </c>
      <c r="K50" s="13" t="str">
        <f>IF($A50="","",[1]!thsiFinD("ths_adjustment_nv_fund",K$3,$A50))</f>
        <v/>
      </c>
      <c r="L50" s="13" t="str">
        <f>IF($A50="","",[1]!thsiFinD("ths_adjustment_nv_fund",L$3,$A50))</f>
        <v/>
      </c>
      <c r="M50" s="13" t="str">
        <f>IF($A50="","",[1]!thsiFinD("ths_adjustment_nv_fund",M$3,$A50))</f>
        <v/>
      </c>
      <c r="N50" s="13" t="str">
        <f>IF($A50="","",[1]!thsiFinD("ths_adjustment_nv_fund",N$3,$A50))</f>
        <v/>
      </c>
      <c r="O50" s="13" t="str">
        <f>IF($A50="","",[1]!thsiFinD("ths_adjustment_nv_fund",O$3,$A50))</f>
        <v/>
      </c>
      <c r="P50" s="13" t="str">
        <f>IF($A50="","",[1]!thsiFinD("ths_adjustment_nv_fund",P$3,$A50))</f>
        <v/>
      </c>
      <c r="Q50" s="13" t="str">
        <f>IF($A50="","",[1]!thsiFinD("ths_adjustment_nv_fund",Q$3,$A50))</f>
        <v/>
      </c>
      <c r="R50" s="13" t="str">
        <f>IF($A50="","",[1]!thsiFinD("ths_adjustment_nv_fund",R$3,$A50))</f>
        <v/>
      </c>
      <c r="S50" s="13" t="str">
        <f>IF($A50="","",[1]!thsiFinD("ths_adjustment_nv_fund",S$3,$A50))</f>
        <v/>
      </c>
      <c r="T50" s="13" t="str">
        <f>IF($A50="","",[1]!thsiFinD("ths_adjustment_nv_fund",T$3,$A50))</f>
        <v/>
      </c>
      <c r="U50" s="13" t="str">
        <f>IF($A50="","",[1]!thsiFinD("ths_adjustment_nv_fund",U$3,$A50))</f>
        <v/>
      </c>
      <c r="V50" s="13" t="str">
        <f>IF($A50="","",[1]!thsiFinD("ths_adjustment_nv_fund",V$3,$A50))</f>
        <v/>
      </c>
      <c r="W50" s="13" t="str">
        <f>IF($A50="","",[1]!thsiFinD("ths_adjustment_nv_fund",W$3,$A50))</f>
        <v/>
      </c>
      <c r="X50" s="13" t="str">
        <f>IF($A50="","",[1]!thsiFinD("ths_adjustment_nv_fund",X$3,$A50))</f>
        <v/>
      </c>
      <c r="Y50" s="13" t="str">
        <f>IF($A50="","",[1]!thsiFinD("ths_adjustment_nv_fund",Y$3,$A50))</f>
        <v/>
      </c>
    </row>
    <row r="51" spans="1:25">
      <c r="A51" s="8"/>
      <c r="B51" s="13" t="str">
        <f>IF($A51="","",[1]!thsiFinD("ths_adjustment_nv_fund",B$3,$A51))</f>
        <v/>
      </c>
      <c r="C51" s="13" t="str">
        <f>IF($A51="","",[1]!thsiFinD("ths_adjustment_nv_fund",C$3,$A51))</f>
        <v/>
      </c>
      <c r="D51" s="13" t="str">
        <f>IF($A51="","",[1]!thsiFinD("ths_adjustment_nv_fund",D$3,$A51))</f>
        <v/>
      </c>
      <c r="E51" s="13" t="str">
        <f>IF($A51="","",[1]!thsiFinD("ths_adjustment_nv_fund",E$3,$A51))</f>
        <v/>
      </c>
      <c r="F51" s="13" t="str">
        <f>IF($A51="","",[1]!thsiFinD("ths_adjustment_nv_fund",F$3,$A51))</f>
        <v/>
      </c>
      <c r="G51" s="13" t="str">
        <f>IF($A51="","",[1]!thsiFinD("ths_adjustment_nv_fund",G$3,$A51))</f>
        <v/>
      </c>
      <c r="H51" s="13" t="str">
        <f>IF($A51="","",[1]!thsiFinD("ths_adjustment_nv_fund",H$3,$A51))</f>
        <v/>
      </c>
      <c r="I51" s="13" t="str">
        <f>IF($A51="","",[1]!thsiFinD("ths_adjustment_nv_fund",I$3,$A51))</f>
        <v/>
      </c>
      <c r="J51" s="13" t="str">
        <f>IF($A51="","",[1]!thsiFinD("ths_adjustment_nv_fund",J$3,$A51))</f>
        <v/>
      </c>
      <c r="K51" s="13" t="str">
        <f>IF($A51="","",[1]!thsiFinD("ths_adjustment_nv_fund",K$3,$A51))</f>
        <v/>
      </c>
      <c r="L51" s="13" t="str">
        <f>IF($A51="","",[1]!thsiFinD("ths_adjustment_nv_fund",L$3,$A51))</f>
        <v/>
      </c>
      <c r="M51" s="13" t="str">
        <f>IF($A51="","",[1]!thsiFinD("ths_adjustment_nv_fund",M$3,$A51))</f>
        <v/>
      </c>
      <c r="N51" s="13" t="str">
        <f>IF($A51="","",[1]!thsiFinD("ths_adjustment_nv_fund",N$3,$A51))</f>
        <v/>
      </c>
      <c r="O51" s="13" t="str">
        <f>IF($A51="","",[1]!thsiFinD("ths_adjustment_nv_fund",O$3,$A51))</f>
        <v/>
      </c>
      <c r="P51" s="13" t="str">
        <f>IF($A51="","",[1]!thsiFinD("ths_adjustment_nv_fund",P$3,$A51))</f>
        <v/>
      </c>
      <c r="Q51" s="13" t="str">
        <f>IF($A51="","",[1]!thsiFinD("ths_adjustment_nv_fund",Q$3,$A51))</f>
        <v/>
      </c>
      <c r="R51" s="13" t="str">
        <f>IF($A51="","",[1]!thsiFinD("ths_adjustment_nv_fund",R$3,$A51))</f>
        <v/>
      </c>
      <c r="S51" s="13" t="str">
        <f>IF($A51="","",[1]!thsiFinD("ths_adjustment_nv_fund",S$3,$A51))</f>
        <v/>
      </c>
      <c r="T51" s="13" t="str">
        <f>IF($A51="","",[1]!thsiFinD("ths_adjustment_nv_fund",T$3,$A51))</f>
        <v/>
      </c>
      <c r="U51" s="13" t="str">
        <f>IF($A51="","",[1]!thsiFinD("ths_adjustment_nv_fund",U$3,$A51))</f>
        <v/>
      </c>
      <c r="V51" s="13" t="str">
        <f>IF($A51="","",[1]!thsiFinD("ths_adjustment_nv_fund",V$3,$A51))</f>
        <v/>
      </c>
      <c r="W51" s="13" t="str">
        <f>IF($A51="","",[1]!thsiFinD("ths_adjustment_nv_fund",W$3,$A51))</f>
        <v/>
      </c>
      <c r="X51" s="13" t="str">
        <f>IF($A51="","",[1]!thsiFinD("ths_adjustment_nv_fund",X$3,$A51))</f>
        <v/>
      </c>
      <c r="Y51" s="13" t="str">
        <f>IF($A51="","",[1]!thsiFinD("ths_adjustment_nv_fund",Y$3,$A51))</f>
        <v/>
      </c>
    </row>
    <row r="52" spans="1:25">
      <c r="A52" s="8"/>
      <c r="B52" s="13" t="str">
        <f>IF($A52="","",[1]!thsiFinD("ths_adjustment_nv_fund",B$3,$A52))</f>
        <v/>
      </c>
      <c r="C52" s="13" t="str">
        <f>IF($A52="","",[1]!thsiFinD("ths_adjustment_nv_fund",C$3,$A52))</f>
        <v/>
      </c>
      <c r="D52" s="13" t="str">
        <f>IF($A52="","",[1]!thsiFinD("ths_adjustment_nv_fund",D$3,$A52))</f>
        <v/>
      </c>
      <c r="E52" s="13" t="str">
        <f>IF($A52="","",[1]!thsiFinD("ths_adjustment_nv_fund",E$3,$A52))</f>
        <v/>
      </c>
      <c r="F52" s="13" t="str">
        <f>IF($A52="","",[1]!thsiFinD("ths_adjustment_nv_fund",F$3,$A52))</f>
        <v/>
      </c>
      <c r="G52" s="13" t="str">
        <f>IF($A52="","",[1]!thsiFinD("ths_adjustment_nv_fund",G$3,$A52))</f>
        <v/>
      </c>
      <c r="H52" s="13" t="str">
        <f>IF($A52="","",[1]!thsiFinD("ths_adjustment_nv_fund",H$3,$A52))</f>
        <v/>
      </c>
      <c r="I52" s="13" t="str">
        <f>IF($A52="","",[1]!thsiFinD("ths_adjustment_nv_fund",I$3,$A52))</f>
        <v/>
      </c>
      <c r="J52" s="13" t="str">
        <f>IF($A52="","",[1]!thsiFinD("ths_adjustment_nv_fund",J$3,$A52))</f>
        <v/>
      </c>
      <c r="K52" s="13" t="str">
        <f>IF($A52="","",[1]!thsiFinD("ths_adjustment_nv_fund",K$3,$A52))</f>
        <v/>
      </c>
      <c r="L52" s="13" t="str">
        <f>IF($A52="","",[1]!thsiFinD("ths_adjustment_nv_fund",L$3,$A52))</f>
        <v/>
      </c>
      <c r="M52" s="13" t="str">
        <f>IF($A52="","",[1]!thsiFinD("ths_adjustment_nv_fund",M$3,$A52))</f>
        <v/>
      </c>
      <c r="N52" s="13" t="str">
        <f>IF($A52="","",[1]!thsiFinD("ths_adjustment_nv_fund",N$3,$A52))</f>
        <v/>
      </c>
      <c r="O52" s="13" t="str">
        <f>IF($A52="","",[1]!thsiFinD("ths_adjustment_nv_fund",O$3,$A52))</f>
        <v/>
      </c>
      <c r="P52" s="13" t="str">
        <f>IF($A52="","",[1]!thsiFinD("ths_adjustment_nv_fund",P$3,$A52))</f>
        <v/>
      </c>
      <c r="Q52" s="13" t="str">
        <f>IF($A52="","",[1]!thsiFinD("ths_adjustment_nv_fund",Q$3,$A52))</f>
        <v/>
      </c>
      <c r="R52" s="13" t="str">
        <f>IF($A52="","",[1]!thsiFinD("ths_adjustment_nv_fund",R$3,$A52))</f>
        <v/>
      </c>
      <c r="S52" s="13" t="str">
        <f>IF($A52="","",[1]!thsiFinD("ths_adjustment_nv_fund",S$3,$A52))</f>
        <v/>
      </c>
      <c r="T52" s="13" t="str">
        <f>IF($A52="","",[1]!thsiFinD("ths_adjustment_nv_fund",T$3,$A52))</f>
        <v/>
      </c>
      <c r="U52" s="13" t="str">
        <f>IF($A52="","",[1]!thsiFinD("ths_adjustment_nv_fund",U$3,$A52))</f>
        <v/>
      </c>
      <c r="V52" s="13" t="str">
        <f>IF($A52="","",[1]!thsiFinD("ths_adjustment_nv_fund",V$3,$A52))</f>
        <v/>
      </c>
      <c r="W52" s="13" t="str">
        <f>IF($A52="","",[1]!thsiFinD("ths_adjustment_nv_fund",W$3,$A52))</f>
        <v/>
      </c>
      <c r="X52" s="13" t="str">
        <f>IF($A52="","",[1]!thsiFinD("ths_adjustment_nv_fund",X$3,$A52))</f>
        <v/>
      </c>
      <c r="Y52" s="13" t="str">
        <f>IF($A52="","",[1]!thsiFinD("ths_adjustment_nv_fund",Y$3,$A52))</f>
        <v/>
      </c>
    </row>
    <row r="53" spans="1:25">
      <c r="A53" s="8"/>
      <c r="B53" s="13" t="str">
        <f>IF($A53="","",[1]!thsiFinD("ths_adjustment_nv_fund",B$3,$A53))</f>
        <v/>
      </c>
      <c r="C53" s="13" t="str">
        <f>IF($A53="","",[1]!thsiFinD("ths_adjustment_nv_fund",C$3,$A53))</f>
        <v/>
      </c>
      <c r="D53" s="13" t="str">
        <f>IF($A53="","",[1]!thsiFinD("ths_adjustment_nv_fund",D$3,$A53))</f>
        <v/>
      </c>
      <c r="E53" s="13" t="str">
        <f>IF($A53="","",[1]!thsiFinD("ths_adjustment_nv_fund",E$3,$A53))</f>
        <v/>
      </c>
      <c r="F53" s="13" t="str">
        <f>IF($A53="","",[1]!thsiFinD("ths_adjustment_nv_fund",F$3,$A53))</f>
        <v/>
      </c>
      <c r="G53" s="13" t="str">
        <f>IF($A53="","",[1]!thsiFinD("ths_adjustment_nv_fund",G$3,$A53))</f>
        <v/>
      </c>
      <c r="H53" s="13" t="str">
        <f>IF($A53="","",[1]!thsiFinD("ths_adjustment_nv_fund",H$3,$A53))</f>
        <v/>
      </c>
      <c r="I53" s="13" t="str">
        <f>IF($A53="","",[1]!thsiFinD("ths_adjustment_nv_fund",I$3,$A53))</f>
        <v/>
      </c>
      <c r="J53" s="13" t="str">
        <f>IF($A53="","",[1]!thsiFinD("ths_adjustment_nv_fund",J$3,$A53))</f>
        <v/>
      </c>
      <c r="K53" s="13" t="str">
        <f>IF($A53="","",[1]!thsiFinD("ths_adjustment_nv_fund",K$3,$A53))</f>
        <v/>
      </c>
      <c r="L53" s="13" t="str">
        <f>IF($A53="","",[1]!thsiFinD("ths_adjustment_nv_fund",L$3,$A53))</f>
        <v/>
      </c>
      <c r="M53" s="13" t="str">
        <f>IF($A53="","",[1]!thsiFinD("ths_adjustment_nv_fund",M$3,$A53))</f>
        <v/>
      </c>
      <c r="N53" s="13" t="str">
        <f>IF($A53="","",[1]!thsiFinD("ths_adjustment_nv_fund",N$3,$A53))</f>
        <v/>
      </c>
      <c r="O53" s="13" t="str">
        <f>IF($A53="","",[1]!thsiFinD("ths_adjustment_nv_fund",O$3,$A53))</f>
        <v/>
      </c>
      <c r="P53" s="13" t="str">
        <f>IF($A53="","",[1]!thsiFinD("ths_adjustment_nv_fund",P$3,$A53))</f>
        <v/>
      </c>
      <c r="Q53" s="13" t="str">
        <f>IF($A53="","",[1]!thsiFinD("ths_adjustment_nv_fund",Q$3,$A53))</f>
        <v/>
      </c>
      <c r="R53" s="13" t="str">
        <f>IF($A53="","",[1]!thsiFinD("ths_adjustment_nv_fund",R$3,$A53))</f>
        <v/>
      </c>
      <c r="S53" s="13" t="str">
        <f>IF($A53="","",[1]!thsiFinD("ths_adjustment_nv_fund",S$3,$A53))</f>
        <v/>
      </c>
      <c r="T53" s="13" t="str">
        <f>IF($A53="","",[1]!thsiFinD("ths_adjustment_nv_fund",T$3,$A53))</f>
        <v/>
      </c>
      <c r="U53" s="13" t="str">
        <f>IF($A53="","",[1]!thsiFinD("ths_adjustment_nv_fund",U$3,$A53))</f>
        <v/>
      </c>
      <c r="V53" s="13" t="str">
        <f>IF($A53="","",[1]!thsiFinD("ths_adjustment_nv_fund",V$3,$A53))</f>
        <v/>
      </c>
      <c r="W53" s="13" t="str">
        <f>IF($A53="","",[1]!thsiFinD("ths_adjustment_nv_fund",W$3,$A53))</f>
        <v/>
      </c>
      <c r="X53" s="13" t="str">
        <f>IF($A53="","",[1]!thsiFinD("ths_adjustment_nv_fund",X$3,$A53))</f>
        <v/>
      </c>
      <c r="Y53" s="13" t="str">
        <f>IF($A53="","",[1]!thsiFinD("ths_adjustment_nv_fund",Y$3,$A53))</f>
        <v/>
      </c>
    </row>
    <row r="54" spans="1:25">
      <c r="A54" s="8"/>
      <c r="B54" s="13" t="str">
        <f>IF($A54="","",[1]!thsiFinD("ths_adjustment_nv_fund",B$3,$A54))</f>
        <v/>
      </c>
      <c r="C54" s="13" t="str">
        <f>IF($A54="","",[1]!thsiFinD("ths_adjustment_nv_fund",C$3,$A54))</f>
        <v/>
      </c>
      <c r="D54" s="13" t="str">
        <f>IF($A54="","",[1]!thsiFinD("ths_adjustment_nv_fund",D$3,$A54))</f>
        <v/>
      </c>
      <c r="E54" s="13" t="str">
        <f>IF($A54="","",[1]!thsiFinD("ths_adjustment_nv_fund",E$3,$A54))</f>
        <v/>
      </c>
      <c r="F54" s="13" t="str">
        <f>IF($A54="","",[1]!thsiFinD("ths_adjustment_nv_fund",F$3,$A54))</f>
        <v/>
      </c>
      <c r="G54" s="13" t="str">
        <f>IF($A54="","",[1]!thsiFinD("ths_adjustment_nv_fund",G$3,$A54))</f>
        <v/>
      </c>
      <c r="H54" s="13" t="str">
        <f>IF($A54="","",[1]!thsiFinD("ths_adjustment_nv_fund",H$3,$A54))</f>
        <v/>
      </c>
      <c r="I54" s="13" t="str">
        <f>IF($A54="","",[1]!thsiFinD("ths_adjustment_nv_fund",I$3,$A54))</f>
        <v/>
      </c>
      <c r="J54" s="13" t="str">
        <f>IF($A54="","",[1]!thsiFinD("ths_adjustment_nv_fund",J$3,$A54))</f>
        <v/>
      </c>
      <c r="K54" s="13" t="str">
        <f>IF($A54="","",[1]!thsiFinD("ths_adjustment_nv_fund",K$3,$A54))</f>
        <v/>
      </c>
      <c r="L54" s="13" t="str">
        <f>IF($A54="","",[1]!thsiFinD("ths_adjustment_nv_fund",L$3,$A54))</f>
        <v/>
      </c>
      <c r="M54" s="13" t="str">
        <f>IF($A54="","",[1]!thsiFinD("ths_adjustment_nv_fund",M$3,$A54))</f>
        <v/>
      </c>
      <c r="N54" s="13" t="str">
        <f>IF($A54="","",[1]!thsiFinD("ths_adjustment_nv_fund",N$3,$A54))</f>
        <v/>
      </c>
      <c r="O54" s="13" t="str">
        <f>IF($A54="","",[1]!thsiFinD("ths_adjustment_nv_fund",O$3,$A54))</f>
        <v/>
      </c>
      <c r="P54" s="13" t="str">
        <f>IF($A54="","",[1]!thsiFinD("ths_adjustment_nv_fund",P$3,$A54))</f>
        <v/>
      </c>
      <c r="Q54" s="13" t="str">
        <f>IF($A54="","",[1]!thsiFinD("ths_adjustment_nv_fund",Q$3,$A54))</f>
        <v/>
      </c>
      <c r="R54" s="13" t="str">
        <f>IF($A54="","",[1]!thsiFinD("ths_adjustment_nv_fund",R$3,$A54))</f>
        <v/>
      </c>
      <c r="S54" s="13" t="str">
        <f>IF($A54="","",[1]!thsiFinD("ths_adjustment_nv_fund",S$3,$A54))</f>
        <v/>
      </c>
      <c r="T54" s="13" t="str">
        <f>IF($A54="","",[1]!thsiFinD("ths_adjustment_nv_fund",T$3,$A54))</f>
        <v/>
      </c>
      <c r="U54" s="13" t="str">
        <f>IF($A54="","",[1]!thsiFinD("ths_adjustment_nv_fund",U$3,$A54))</f>
        <v/>
      </c>
      <c r="V54" s="13" t="str">
        <f>IF($A54="","",[1]!thsiFinD("ths_adjustment_nv_fund",V$3,$A54))</f>
        <v/>
      </c>
      <c r="W54" s="13" t="str">
        <f>IF($A54="","",[1]!thsiFinD("ths_adjustment_nv_fund",W$3,$A54))</f>
        <v/>
      </c>
      <c r="X54" s="13" t="str">
        <f>IF($A54="","",[1]!thsiFinD("ths_adjustment_nv_fund",X$3,$A54))</f>
        <v/>
      </c>
      <c r="Y54" s="13" t="str">
        <f>IF($A54="","",[1]!thsiFinD("ths_adjustment_nv_fund",Y$3,$A54))</f>
        <v/>
      </c>
    </row>
    <row r="55" spans="1:25">
      <c r="A55" s="8"/>
      <c r="B55" s="13" t="str">
        <f>IF($A55="","",[1]!thsiFinD("ths_adjustment_nv_fund",B$3,$A55))</f>
        <v/>
      </c>
      <c r="C55" s="13" t="str">
        <f>IF($A55="","",[1]!thsiFinD("ths_adjustment_nv_fund",C$3,$A55))</f>
        <v/>
      </c>
      <c r="D55" s="13" t="str">
        <f>IF($A55="","",[1]!thsiFinD("ths_adjustment_nv_fund",D$3,$A55))</f>
        <v/>
      </c>
      <c r="E55" s="13" t="str">
        <f>IF($A55="","",[1]!thsiFinD("ths_adjustment_nv_fund",E$3,$A55))</f>
        <v/>
      </c>
      <c r="F55" s="13" t="str">
        <f>IF($A55="","",[1]!thsiFinD("ths_adjustment_nv_fund",F$3,$A55))</f>
        <v/>
      </c>
      <c r="G55" s="13" t="str">
        <f>IF($A55="","",[1]!thsiFinD("ths_adjustment_nv_fund",G$3,$A55))</f>
        <v/>
      </c>
      <c r="H55" s="13" t="str">
        <f>IF($A55="","",[1]!thsiFinD("ths_adjustment_nv_fund",H$3,$A55))</f>
        <v/>
      </c>
      <c r="I55" s="13" t="str">
        <f>IF($A55="","",[1]!thsiFinD("ths_adjustment_nv_fund",I$3,$A55))</f>
        <v/>
      </c>
      <c r="J55" s="13" t="str">
        <f>IF($A55="","",[1]!thsiFinD("ths_adjustment_nv_fund",J$3,$A55))</f>
        <v/>
      </c>
      <c r="K55" s="13" t="str">
        <f>IF($A55="","",[1]!thsiFinD("ths_adjustment_nv_fund",K$3,$A55))</f>
        <v/>
      </c>
      <c r="L55" s="13" t="str">
        <f>IF($A55="","",[1]!thsiFinD("ths_adjustment_nv_fund",L$3,$A55))</f>
        <v/>
      </c>
      <c r="M55" s="13" t="str">
        <f>IF($A55="","",[1]!thsiFinD("ths_adjustment_nv_fund",M$3,$A55))</f>
        <v/>
      </c>
      <c r="N55" s="13" t="str">
        <f>IF($A55="","",[1]!thsiFinD("ths_adjustment_nv_fund",N$3,$A55))</f>
        <v/>
      </c>
      <c r="O55" s="13" t="str">
        <f>IF($A55="","",[1]!thsiFinD("ths_adjustment_nv_fund",O$3,$A55))</f>
        <v/>
      </c>
      <c r="P55" s="13" t="str">
        <f>IF($A55="","",[1]!thsiFinD("ths_adjustment_nv_fund",P$3,$A55))</f>
        <v/>
      </c>
      <c r="Q55" s="13" t="str">
        <f>IF($A55="","",[1]!thsiFinD("ths_adjustment_nv_fund",Q$3,$A55))</f>
        <v/>
      </c>
      <c r="R55" s="13" t="str">
        <f>IF($A55="","",[1]!thsiFinD("ths_adjustment_nv_fund",R$3,$A55))</f>
        <v/>
      </c>
      <c r="S55" s="13" t="str">
        <f>IF($A55="","",[1]!thsiFinD("ths_adjustment_nv_fund",S$3,$A55))</f>
        <v/>
      </c>
      <c r="T55" s="13" t="str">
        <f>IF($A55="","",[1]!thsiFinD("ths_adjustment_nv_fund",T$3,$A55))</f>
        <v/>
      </c>
      <c r="U55" s="13" t="str">
        <f>IF($A55="","",[1]!thsiFinD("ths_adjustment_nv_fund",U$3,$A55))</f>
        <v/>
      </c>
      <c r="V55" s="13" t="str">
        <f>IF($A55="","",[1]!thsiFinD("ths_adjustment_nv_fund",V$3,$A55))</f>
        <v/>
      </c>
      <c r="W55" s="13" t="str">
        <f>IF($A55="","",[1]!thsiFinD("ths_adjustment_nv_fund",W$3,$A55))</f>
        <v/>
      </c>
      <c r="X55" s="13" t="str">
        <f>IF($A55="","",[1]!thsiFinD("ths_adjustment_nv_fund",X$3,$A55))</f>
        <v/>
      </c>
      <c r="Y55" s="13" t="str">
        <f>IF($A55="","",[1]!thsiFinD("ths_adjustment_nv_fund",Y$3,$A55))</f>
        <v/>
      </c>
    </row>
    <row r="56" spans="1:25">
      <c r="A56" s="8"/>
      <c r="B56" s="13" t="str">
        <f>IF($A56="","",[1]!thsiFinD("ths_adjustment_nv_fund",B$3,$A56))</f>
        <v/>
      </c>
      <c r="C56" s="13" t="str">
        <f>IF($A56="","",[1]!thsiFinD("ths_adjustment_nv_fund",C$3,$A56))</f>
        <v/>
      </c>
      <c r="D56" s="13" t="str">
        <f>IF($A56="","",[1]!thsiFinD("ths_adjustment_nv_fund",D$3,$A56))</f>
        <v/>
      </c>
      <c r="E56" s="13" t="str">
        <f>IF($A56="","",[1]!thsiFinD("ths_adjustment_nv_fund",E$3,$A56))</f>
        <v/>
      </c>
      <c r="F56" s="13" t="str">
        <f>IF($A56="","",[1]!thsiFinD("ths_adjustment_nv_fund",F$3,$A56))</f>
        <v/>
      </c>
      <c r="G56" s="13" t="str">
        <f>IF($A56="","",[1]!thsiFinD("ths_adjustment_nv_fund",G$3,$A56))</f>
        <v/>
      </c>
      <c r="H56" s="13" t="str">
        <f>IF($A56="","",[1]!thsiFinD("ths_adjustment_nv_fund",H$3,$A56))</f>
        <v/>
      </c>
      <c r="I56" s="13" t="str">
        <f>IF($A56="","",[1]!thsiFinD("ths_adjustment_nv_fund",I$3,$A56))</f>
        <v/>
      </c>
      <c r="J56" s="13" t="str">
        <f>IF($A56="","",[1]!thsiFinD("ths_adjustment_nv_fund",J$3,$A56))</f>
        <v/>
      </c>
      <c r="K56" s="13" t="str">
        <f>IF($A56="","",[1]!thsiFinD("ths_adjustment_nv_fund",K$3,$A56))</f>
        <v/>
      </c>
      <c r="L56" s="13" t="str">
        <f>IF($A56="","",[1]!thsiFinD("ths_adjustment_nv_fund",L$3,$A56))</f>
        <v/>
      </c>
      <c r="M56" s="13" t="str">
        <f>IF($A56="","",[1]!thsiFinD("ths_adjustment_nv_fund",M$3,$A56))</f>
        <v/>
      </c>
      <c r="N56" s="13" t="str">
        <f>IF($A56="","",[1]!thsiFinD("ths_adjustment_nv_fund",N$3,$A56))</f>
        <v/>
      </c>
      <c r="O56" s="13" t="str">
        <f>IF($A56="","",[1]!thsiFinD("ths_adjustment_nv_fund",O$3,$A56))</f>
        <v/>
      </c>
      <c r="P56" s="13" t="str">
        <f>IF($A56="","",[1]!thsiFinD("ths_adjustment_nv_fund",P$3,$A56))</f>
        <v/>
      </c>
      <c r="Q56" s="13" t="str">
        <f>IF($A56="","",[1]!thsiFinD("ths_adjustment_nv_fund",Q$3,$A56))</f>
        <v/>
      </c>
      <c r="R56" s="13" t="str">
        <f>IF($A56="","",[1]!thsiFinD("ths_adjustment_nv_fund",R$3,$A56))</f>
        <v/>
      </c>
      <c r="S56" s="13" t="str">
        <f>IF($A56="","",[1]!thsiFinD("ths_adjustment_nv_fund",S$3,$A56))</f>
        <v/>
      </c>
      <c r="T56" s="13" t="str">
        <f>IF($A56="","",[1]!thsiFinD("ths_adjustment_nv_fund",T$3,$A56))</f>
        <v/>
      </c>
      <c r="U56" s="13" t="str">
        <f>IF($A56="","",[1]!thsiFinD("ths_adjustment_nv_fund",U$3,$A56))</f>
        <v/>
      </c>
      <c r="V56" s="13" t="str">
        <f>IF($A56="","",[1]!thsiFinD("ths_adjustment_nv_fund",V$3,$A56))</f>
        <v/>
      </c>
      <c r="W56" s="13" t="str">
        <f>IF($A56="","",[1]!thsiFinD("ths_adjustment_nv_fund",W$3,$A56))</f>
        <v/>
      </c>
      <c r="X56" s="13" t="str">
        <f>IF($A56="","",[1]!thsiFinD("ths_adjustment_nv_fund",X$3,$A56))</f>
        <v/>
      </c>
      <c r="Y56" s="13" t="str">
        <f>IF($A56="","",[1]!thsiFinD("ths_adjustment_nv_fund",Y$3,$A56))</f>
        <v/>
      </c>
    </row>
    <row r="57" spans="1:25">
      <c r="A57" s="8"/>
      <c r="B57" s="13" t="str">
        <f>IF($A57="","",[1]!thsiFinD("ths_adjustment_nv_fund",B$3,$A57))</f>
        <v/>
      </c>
      <c r="C57" s="13" t="str">
        <f>IF($A57="","",[1]!thsiFinD("ths_adjustment_nv_fund",C$3,$A57))</f>
        <v/>
      </c>
      <c r="D57" s="13" t="str">
        <f>IF($A57="","",[1]!thsiFinD("ths_adjustment_nv_fund",D$3,$A57))</f>
        <v/>
      </c>
      <c r="E57" s="13" t="str">
        <f>IF($A57="","",[1]!thsiFinD("ths_adjustment_nv_fund",E$3,$A57))</f>
        <v/>
      </c>
      <c r="F57" s="13" t="str">
        <f>IF($A57="","",[1]!thsiFinD("ths_adjustment_nv_fund",F$3,$A57))</f>
        <v/>
      </c>
      <c r="G57" s="13" t="str">
        <f>IF($A57="","",[1]!thsiFinD("ths_adjustment_nv_fund",G$3,$A57))</f>
        <v/>
      </c>
      <c r="H57" s="13" t="str">
        <f>IF($A57="","",[1]!thsiFinD("ths_adjustment_nv_fund",H$3,$A57))</f>
        <v/>
      </c>
      <c r="I57" s="13" t="str">
        <f>IF($A57="","",[1]!thsiFinD("ths_adjustment_nv_fund",I$3,$A57))</f>
        <v/>
      </c>
      <c r="J57" s="13" t="str">
        <f>IF($A57="","",[1]!thsiFinD("ths_adjustment_nv_fund",J$3,$A57))</f>
        <v/>
      </c>
      <c r="K57" s="13" t="str">
        <f>IF($A57="","",[1]!thsiFinD("ths_adjustment_nv_fund",K$3,$A57))</f>
        <v/>
      </c>
      <c r="L57" s="13" t="str">
        <f>IF($A57="","",[1]!thsiFinD("ths_adjustment_nv_fund",L$3,$A57))</f>
        <v/>
      </c>
      <c r="M57" s="13" t="str">
        <f>IF($A57="","",[1]!thsiFinD("ths_adjustment_nv_fund",M$3,$A57))</f>
        <v/>
      </c>
      <c r="N57" s="13" t="str">
        <f>IF($A57="","",[1]!thsiFinD("ths_adjustment_nv_fund",N$3,$A57))</f>
        <v/>
      </c>
      <c r="O57" s="13" t="str">
        <f>IF($A57="","",[1]!thsiFinD("ths_adjustment_nv_fund",O$3,$A57))</f>
        <v/>
      </c>
      <c r="P57" s="13" t="str">
        <f>IF($A57="","",[1]!thsiFinD("ths_adjustment_nv_fund",P$3,$A57))</f>
        <v/>
      </c>
      <c r="Q57" s="13" t="str">
        <f>IF($A57="","",[1]!thsiFinD("ths_adjustment_nv_fund",Q$3,$A57))</f>
        <v/>
      </c>
      <c r="R57" s="13" t="str">
        <f>IF($A57="","",[1]!thsiFinD("ths_adjustment_nv_fund",R$3,$A57))</f>
        <v/>
      </c>
      <c r="S57" s="13" t="str">
        <f>IF($A57="","",[1]!thsiFinD("ths_adjustment_nv_fund",S$3,$A57))</f>
        <v/>
      </c>
      <c r="T57" s="13" t="str">
        <f>IF($A57="","",[1]!thsiFinD("ths_adjustment_nv_fund",T$3,$A57))</f>
        <v/>
      </c>
      <c r="U57" s="13" t="str">
        <f>IF($A57="","",[1]!thsiFinD("ths_adjustment_nv_fund",U$3,$A57))</f>
        <v/>
      </c>
      <c r="V57" s="13" t="str">
        <f>IF($A57="","",[1]!thsiFinD("ths_adjustment_nv_fund",V$3,$A57))</f>
        <v/>
      </c>
      <c r="W57" s="13" t="str">
        <f>IF($A57="","",[1]!thsiFinD("ths_adjustment_nv_fund",W$3,$A57))</f>
        <v/>
      </c>
      <c r="X57" s="13" t="str">
        <f>IF($A57="","",[1]!thsiFinD("ths_adjustment_nv_fund",X$3,$A57))</f>
        <v/>
      </c>
      <c r="Y57" s="13" t="str">
        <f>IF($A57="","",[1]!thsiFinD("ths_adjustment_nv_fund",Y$3,$A57))</f>
        <v/>
      </c>
    </row>
    <row r="58" spans="1:25">
      <c r="A58" s="8"/>
      <c r="B58" s="13" t="str">
        <f>IF($A58="","",[1]!thsiFinD("ths_adjustment_nv_fund",B$3,$A58))</f>
        <v/>
      </c>
      <c r="C58" s="13" t="str">
        <f>IF($A58="","",[1]!thsiFinD("ths_adjustment_nv_fund",C$3,$A58))</f>
        <v/>
      </c>
      <c r="D58" s="13" t="str">
        <f>IF($A58="","",[1]!thsiFinD("ths_adjustment_nv_fund",D$3,$A58))</f>
        <v/>
      </c>
      <c r="E58" s="13" t="str">
        <f>IF($A58="","",[1]!thsiFinD("ths_adjustment_nv_fund",E$3,$A58))</f>
        <v/>
      </c>
      <c r="F58" s="13" t="str">
        <f>IF($A58="","",[1]!thsiFinD("ths_adjustment_nv_fund",F$3,$A58))</f>
        <v/>
      </c>
      <c r="G58" s="13" t="str">
        <f>IF($A58="","",[1]!thsiFinD("ths_adjustment_nv_fund",G$3,$A58))</f>
        <v/>
      </c>
      <c r="H58" s="13" t="str">
        <f>IF($A58="","",[1]!thsiFinD("ths_adjustment_nv_fund",H$3,$A58))</f>
        <v/>
      </c>
      <c r="I58" s="13" t="str">
        <f>IF($A58="","",[1]!thsiFinD("ths_adjustment_nv_fund",I$3,$A58))</f>
        <v/>
      </c>
      <c r="J58" s="13" t="str">
        <f>IF($A58="","",[1]!thsiFinD("ths_adjustment_nv_fund",J$3,$A58))</f>
        <v/>
      </c>
      <c r="K58" s="13" t="str">
        <f>IF($A58="","",[1]!thsiFinD("ths_adjustment_nv_fund",K$3,$A58))</f>
        <v/>
      </c>
      <c r="L58" s="13" t="str">
        <f>IF($A58="","",[1]!thsiFinD("ths_adjustment_nv_fund",L$3,$A58))</f>
        <v/>
      </c>
      <c r="M58" s="13" t="str">
        <f>IF($A58="","",[1]!thsiFinD("ths_adjustment_nv_fund",M$3,$A58))</f>
        <v/>
      </c>
      <c r="N58" s="13" t="str">
        <f>IF($A58="","",[1]!thsiFinD("ths_adjustment_nv_fund",N$3,$A58))</f>
        <v/>
      </c>
      <c r="O58" s="13" t="str">
        <f>IF($A58="","",[1]!thsiFinD("ths_adjustment_nv_fund",O$3,$A58))</f>
        <v/>
      </c>
      <c r="P58" s="13" t="str">
        <f>IF($A58="","",[1]!thsiFinD("ths_adjustment_nv_fund",P$3,$A58))</f>
        <v/>
      </c>
      <c r="Q58" s="13" t="str">
        <f>IF($A58="","",[1]!thsiFinD("ths_adjustment_nv_fund",Q$3,$A58))</f>
        <v/>
      </c>
      <c r="R58" s="13" t="str">
        <f>IF($A58="","",[1]!thsiFinD("ths_adjustment_nv_fund",R$3,$A58))</f>
        <v/>
      </c>
      <c r="S58" s="13" t="str">
        <f>IF($A58="","",[1]!thsiFinD("ths_adjustment_nv_fund",S$3,$A58))</f>
        <v/>
      </c>
      <c r="T58" s="13" t="str">
        <f>IF($A58="","",[1]!thsiFinD("ths_adjustment_nv_fund",T$3,$A58))</f>
        <v/>
      </c>
      <c r="U58" s="13" t="str">
        <f>IF($A58="","",[1]!thsiFinD("ths_adjustment_nv_fund",U$3,$A58))</f>
        <v/>
      </c>
      <c r="V58" s="13" t="str">
        <f>IF($A58="","",[1]!thsiFinD("ths_adjustment_nv_fund",V$3,$A58))</f>
        <v/>
      </c>
      <c r="W58" s="13" t="str">
        <f>IF($A58="","",[1]!thsiFinD("ths_adjustment_nv_fund",W$3,$A58))</f>
        <v/>
      </c>
      <c r="X58" s="13" t="str">
        <f>IF($A58="","",[1]!thsiFinD("ths_adjustment_nv_fund",X$3,$A58))</f>
        <v/>
      </c>
      <c r="Y58" s="13" t="str">
        <f>IF($A58="","",[1]!thsiFinD("ths_adjustment_nv_fund",Y$3,$A58))</f>
        <v/>
      </c>
    </row>
    <row r="59" spans="1:25">
      <c r="A59" s="8"/>
      <c r="B59" s="13" t="str">
        <f>IF($A59="","",[1]!thsiFinD("ths_adjustment_nv_fund",B$3,$A59))</f>
        <v/>
      </c>
      <c r="C59" s="13" t="str">
        <f>IF($A59="","",[1]!thsiFinD("ths_adjustment_nv_fund",C$3,$A59))</f>
        <v/>
      </c>
      <c r="D59" s="13" t="str">
        <f>IF($A59="","",[1]!thsiFinD("ths_adjustment_nv_fund",D$3,$A59))</f>
        <v/>
      </c>
      <c r="E59" s="13" t="str">
        <f>IF($A59="","",[1]!thsiFinD("ths_adjustment_nv_fund",E$3,$A59))</f>
        <v/>
      </c>
      <c r="F59" s="13" t="str">
        <f>IF($A59="","",[1]!thsiFinD("ths_adjustment_nv_fund",F$3,$A59))</f>
        <v/>
      </c>
      <c r="G59" s="13" t="str">
        <f>IF($A59="","",[1]!thsiFinD("ths_adjustment_nv_fund",G$3,$A59))</f>
        <v/>
      </c>
      <c r="H59" s="13" t="str">
        <f>IF($A59="","",[1]!thsiFinD("ths_adjustment_nv_fund",H$3,$A59))</f>
        <v/>
      </c>
      <c r="I59" s="13" t="str">
        <f>IF($A59="","",[1]!thsiFinD("ths_adjustment_nv_fund",I$3,$A59))</f>
        <v/>
      </c>
      <c r="J59" s="13" t="str">
        <f>IF($A59="","",[1]!thsiFinD("ths_adjustment_nv_fund",J$3,$A59))</f>
        <v/>
      </c>
      <c r="K59" s="13" t="str">
        <f>IF($A59="","",[1]!thsiFinD("ths_adjustment_nv_fund",K$3,$A59))</f>
        <v/>
      </c>
      <c r="L59" s="13" t="str">
        <f>IF($A59="","",[1]!thsiFinD("ths_adjustment_nv_fund",L$3,$A59))</f>
        <v/>
      </c>
      <c r="M59" s="13" t="str">
        <f>IF($A59="","",[1]!thsiFinD("ths_adjustment_nv_fund",M$3,$A59))</f>
        <v/>
      </c>
      <c r="N59" s="13" t="str">
        <f>IF($A59="","",[1]!thsiFinD("ths_adjustment_nv_fund",N$3,$A59))</f>
        <v/>
      </c>
      <c r="O59" s="13" t="str">
        <f>IF($A59="","",[1]!thsiFinD("ths_adjustment_nv_fund",O$3,$A59))</f>
        <v/>
      </c>
      <c r="P59" s="13" t="str">
        <f>IF($A59="","",[1]!thsiFinD("ths_adjustment_nv_fund",P$3,$A59))</f>
        <v/>
      </c>
      <c r="Q59" s="13" t="str">
        <f>IF($A59="","",[1]!thsiFinD("ths_adjustment_nv_fund",Q$3,$A59))</f>
        <v/>
      </c>
      <c r="R59" s="13" t="str">
        <f>IF($A59="","",[1]!thsiFinD("ths_adjustment_nv_fund",R$3,$A59))</f>
        <v/>
      </c>
      <c r="S59" s="13" t="str">
        <f>IF($A59="","",[1]!thsiFinD("ths_adjustment_nv_fund",S$3,$A59))</f>
        <v/>
      </c>
      <c r="T59" s="13" t="str">
        <f>IF($A59="","",[1]!thsiFinD("ths_adjustment_nv_fund",T$3,$A59))</f>
        <v/>
      </c>
      <c r="U59" s="13" t="str">
        <f>IF($A59="","",[1]!thsiFinD("ths_adjustment_nv_fund",U$3,$A59))</f>
        <v/>
      </c>
      <c r="V59" s="13" t="str">
        <f>IF($A59="","",[1]!thsiFinD("ths_adjustment_nv_fund",V$3,$A59))</f>
        <v/>
      </c>
      <c r="W59" s="13" t="str">
        <f>IF($A59="","",[1]!thsiFinD("ths_adjustment_nv_fund",W$3,$A59))</f>
        <v/>
      </c>
      <c r="X59" s="13" t="str">
        <f>IF($A59="","",[1]!thsiFinD("ths_adjustment_nv_fund",X$3,$A59))</f>
        <v/>
      </c>
      <c r="Y59" s="13" t="str">
        <f>IF($A59="","",[1]!thsiFinD("ths_adjustment_nv_fund",Y$3,$A59))</f>
        <v/>
      </c>
    </row>
    <row r="60" spans="1:25">
      <c r="A60" s="8"/>
      <c r="B60" s="13" t="str">
        <f>IF($A60="","",[1]!thsiFinD("ths_adjustment_nv_fund",B$3,$A60))</f>
        <v/>
      </c>
      <c r="C60" s="13" t="str">
        <f>IF($A60="","",[1]!thsiFinD("ths_adjustment_nv_fund",C$3,$A60))</f>
        <v/>
      </c>
      <c r="D60" s="13" t="str">
        <f>IF($A60="","",[1]!thsiFinD("ths_adjustment_nv_fund",D$3,$A60))</f>
        <v/>
      </c>
      <c r="E60" s="13" t="str">
        <f>IF($A60="","",[1]!thsiFinD("ths_adjustment_nv_fund",E$3,$A60))</f>
        <v/>
      </c>
      <c r="F60" s="13" t="str">
        <f>IF($A60="","",[1]!thsiFinD("ths_adjustment_nv_fund",F$3,$A60))</f>
        <v/>
      </c>
      <c r="G60" s="13" t="str">
        <f>IF($A60="","",[1]!thsiFinD("ths_adjustment_nv_fund",G$3,$A60))</f>
        <v/>
      </c>
      <c r="H60" s="13" t="str">
        <f>IF($A60="","",[1]!thsiFinD("ths_adjustment_nv_fund",H$3,$A60))</f>
        <v/>
      </c>
      <c r="I60" s="13" t="str">
        <f>IF($A60="","",[1]!thsiFinD("ths_adjustment_nv_fund",I$3,$A60))</f>
        <v/>
      </c>
      <c r="J60" s="13" t="str">
        <f>IF($A60="","",[1]!thsiFinD("ths_adjustment_nv_fund",J$3,$A60))</f>
        <v/>
      </c>
      <c r="K60" s="13" t="str">
        <f>IF($A60="","",[1]!thsiFinD("ths_adjustment_nv_fund",K$3,$A60))</f>
        <v/>
      </c>
      <c r="L60" s="13" t="str">
        <f>IF($A60="","",[1]!thsiFinD("ths_adjustment_nv_fund",L$3,$A60))</f>
        <v/>
      </c>
      <c r="M60" s="13" t="str">
        <f>IF($A60="","",[1]!thsiFinD("ths_adjustment_nv_fund",M$3,$A60))</f>
        <v/>
      </c>
      <c r="N60" s="13" t="str">
        <f>IF($A60="","",[1]!thsiFinD("ths_adjustment_nv_fund",N$3,$A60))</f>
        <v/>
      </c>
      <c r="O60" s="13" t="str">
        <f>IF($A60="","",[1]!thsiFinD("ths_adjustment_nv_fund",O$3,$A60))</f>
        <v/>
      </c>
      <c r="P60" s="13" t="str">
        <f>IF($A60="","",[1]!thsiFinD("ths_adjustment_nv_fund",P$3,$A60))</f>
        <v/>
      </c>
      <c r="Q60" s="13" t="str">
        <f>IF($A60="","",[1]!thsiFinD("ths_adjustment_nv_fund",Q$3,$A60))</f>
        <v/>
      </c>
      <c r="R60" s="13" t="str">
        <f>IF($A60="","",[1]!thsiFinD("ths_adjustment_nv_fund",R$3,$A60))</f>
        <v/>
      </c>
      <c r="S60" s="13" t="str">
        <f>IF($A60="","",[1]!thsiFinD("ths_adjustment_nv_fund",S$3,$A60))</f>
        <v/>
      </c>
      <c r="T60" s="13" t="str">
        <f>IF($A60="","",[1]!thsiFinD("ths_adjustment_nv_fund",T$3,$A60))</f>
        <v/>
      </c>
      <c r="U60" s="13" t="str">
        <f>IF($A60="","",[1]!thsiFinD("ths_adjustment_nv_fund",U$3,$A60))</f>
        <v/>
      </c>
      <c r="V60" s="13" t="str">
        <f>IF($A60="","",[1]!thsiFinD("ths_adjustment_nv_fund",V$3,$A60))</f>
        <v/>
      </c>
      <c r="W60" s="13" t="str">
        <f>IF($A60="","",[1]!thsiFinD("ths_adjustment_nv_fund",W$3,$A60))</f>
        <v/>
      </c>
      <c r="X60" s="13" t="str">
        <f>IF($A60="","",[1]!thsiFinD("ths_adjustment_nv_fund",X$3,$A60))</f>
        <v/>
      </c>
    </row>
  </sheetData>
  <mergeCells count="1">
    <mergeCell ref="A1:D1"/>
  </mergeCells>
  <phoneticPr fontId="3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showGridLines="0" topLeftCell="A7" workbookViewId="0">
      <selection activeCell="K50" sqref="K50"/>
    </sheetView>
  </sheetViews>
  <sheetFormatPr defaultColWidth="9.453125" defaultRowHeight="12.5"/>
  <cols>
    <col min="1" max="1" width="13.1796875" customWidth="1"/>
    <col min="22" max="22" width="14.81640625" customWidth="1"/>
  </cols>
  <sheetData>
    <row r="1" spans="1:22" ht="18.75" customHeight="1">
      <c r="A1" s="127" t="s">
        <v>63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22" ht="13.5" customHeight="1">
      <c r="A2" s="127"/>
      <c r="B2" s="127"/>
      <c r="C2" s="127"/>
      <c r="D2" s="127"/>
      <c r="E2" s="127"/>
      <c r="F2" s="127"/>
      <c r="G2" s="127"/>
      <c r="H2" s="127"/>
      <c r="I2" s="127"/>
      <c r="J2" s="127"/>
    </row>
    <row r="3" spans="1:22" ht="42" customHeight="1">
      <c r="B3" s="14" t="s">
        <v>64</v>
      </c>
      <c r="E3" s="14" t="s">
        <v>65</v>
      </c>
      <c r="H3" s="14" t="s">
        <v>66</v>
      </c>
      <c r="K3" s="14" t="s">
        <v>67</v>
      </c>
      <c r="N3" s="14" t="s">
        <v>68</v>
      </c>
      <c r="Q3" s="14" t="s">
        <v>69</v>
      </c>
    </row>
    <row r="4" spans="1:22" ht="13">
      <c r="A4" s="1" t="s">
        <v>70</v>
      </c>
      <c r="B4" s="1" t="s">
        <v>71</v>
      </c>
      <c r="C4" s="1" t="s">
        <v>72</v>
      </c>
      <c r="D4" s="1" t="s">
        <v>73</v>
      </c>
      <c r="E4" s="1" t="s">
        <v>71</v>
      </c>
      <c r="F4" s="1" t="s">
        <v>72</v>
      </c>
      <c r="G4" s="1" t="s">
        <v>73</v>
      </c>
      <c r="H4" s="1" t="s">
        <v>71</v>
      </c>
      <c r="I4" s="1" t="s">
        <v>72</v>
      </c>
      <c r="J4" s="1" t="s">
        <v>73</v>
      </c>
      <c r="K4" s="1" t="s">
        <v>71</v>
      </c>
      <c r="L4" s="1" t="s">
        <v>72</v>
      </c>
      <c r="M4" s="1" t="s">
        <v>73</v>
      </c>
      <c r="N4" s="1" t="s">
        <v>71</v>
      </c>
      <c r="O4" s="1" t="s">
        <v>72</v>
      </c>
      <c r="P4" s="1" t="s">
        <v>73</v>
      </c>
      <c r="Q4" s="1" t="s">
        <v>71</v>
      </c>
      <c r="R4" s="1" t="s">
        <v>72</v>
      </c>
      <c r="S4" s="1" t="s">
        <v>73</v>
      </c>
    </row>
    <row r="5" spans="1:22" ht="14">
      <c r="A5" s="15">
        <f>IF('实盘净值数据(iFinD公式)'!A5="","",'实盘净值数据(iFinD公式)'!A5)</f>
        <v>46191</v>
      </c>
      <c r="B5" s="13" t="str">
        <f>IF(OR((ROW()-1)&lt;6,'实盘净值数据(iFinD公式)'!$A5="",'实盘净值数据(iFinD公式)'!$B5=""),"",SUMPRODUCT(实盘持仓初始配置!$B$4:$X$4,'实盘净值数据(iFinD公式)'!$B5:$X5/'实盘净值数据(iFinD公式)'!$B$6:$X$6)*(1-实盘持仓初始配置!$Z$4)^(('实盘净值数据(iFinD公式)'!$A5-'实盘净值数据(iFinD公式)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公式)'!$A5="",'实盘净值数据(iFinD公式)'!$B5=""),"",SUMPRODUCT(实盘持仓初始配置!$B$6:$X$6,'实盘净值数据(iFinD公式)'!$B5:$X5/'实盘净值数据(iFinD公式)'!$B$7:$X$7)*(1-实盘持仓初始配置!$Z$6)^(('实盘净值数据(iFinD公式)'!$A5-'实盘净值数据(iFinD公式)'!$A$7)/365))</f>
        <v/>
      </c>
      <c r="I5" s="16"/>
      <c r="J5" s="16" t="str">
        <f>IF(H5="","",H5/MAX(H$5:H5)-1)</f>
        <v/>
      </c>
      <c r="K5" s="13" t="str">
        <f>IF(OR((ROW()-1)&lt;8,'实盘净值数据(iFinD公式)'!$A5="",'实盘净值数据(iFinD公式)'!$B5=""),"",SUMPRODUCT(实盘持仓初始配置!$B$7:$X$7,'实盘净值数据(iFinD公式)'!$B5:$X5/'实盘净值数据(iFinD公式)'!$B$8:$X$8)*(1-实盘持仓初始配置!$Z$7)^(('实盘净值数据(iFinD公式)'!$A5-'实盘净值数据(iFinD公式)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公式)'!$A5="",'实盘净值数据(iFinD公式)'!$B5=""),"",SUMPRODUCT(实盘持仓初始配置!$B$9:$X$9,'实盘净值数据(iFinD公式)'!$B5:$X5/'实盘净值数据(iFinD公式)'!$B$8:$X$8)*(1-实盘持仓初始配置!$Z$9)^(('实盘净值数据(iFinD公式)'!$A5-'实盘净值数据(iFinD公式)'!$A$8)/365))</f>
        <v/>
      </c>
      <c r="R5" s="16"/>
      <c r="S5" s="16" t="str">
        <f>IF(Q5="","",Q5/MAX(Q$5:Q5)-1)</f>
        <v/>
      </c>
      <c r="U5" s="17"/>
    </row>
    <row r="6" spans="1:22" ht="14">
      <c r="A6" s="15">
        <f>IF('实盘净值数据(iFinD公式)'!A6="","",'实盘净值数据(iFinD公式)'!A6)</f>
        <v>46195</v>
      </c>
      <c r="B6" s="13">
        <v>1</v>
      </c>
      <c r="C6" s="16" t="str">
        <f>IF(OR(B5="",'实盘净值数据(iFinD公式)'!$A6="",'实盘净值数据(iFinD公式)'!$B6=""),"",(SUMPRODUCT(实盘持仓初始配置!$B$4:$X$4,'实盘净值数据(iFinD公式)'!$B5:$X5/'实盘净值数据(iFinD公式)'!$B$6:$X$6,'实盘净值数据(iFinD公式)'!$B6:$X6/'实盘净值数据(iFinD公式)'!$B5:$X5)/SUMPRODUCT(实盘持仓初始配置!$B$4:$X$4,'实盘净值数据(iFinD公式)'!$B5:$X5/'实盘净值数据(iFinD公式)'!$B$6:$X$6))*(1-实盘持仓初始配置!$Z$4)^(('实盘净值数据(iFinD公式)'!$A6-'实盘净值数据(iFinD公式)'!$A5)/365)-1)</f>
        <v/>
      </c>
      <c r="D6" s="16">
        <f>IF(B6="","",B6/MAX(B$5:B6)-1)</f>
        <v>0</v>
      </c>
      <c r="E6" s="13">
        <f>IF(OR((ROW()-1)&lt;5,'实盘净值数据(iFinD公式)'!$A6="",'实盘净值数据(iFinD公式)'!$B6=""),"",SUMPRODUCT(实盘持仓初始配置!$B$5:$X$5,'实盘净值数据(iFinD公式)'!$B6:$X6/'实盘净值数据(iFinD公式)'!$B$5:$X$5)*(1-实盘持仓初始配置!$Z$5)^(('实盘净值数据(iFinD公式)'!$A6-'实盘净值数据(iFinD公式)'!$A$5)/365))</f>
        <v>1.0234374728432394</v>
      </c>
      <c r="F6" s="16">
        <f>IF(OR(E5="",'实盘净值数据(iFinD公式)'!$A6="",'实盘净值数据(iFinD公式)'!$B6=""),"",(SUMPRODUCT(实盘持仓初始配置!$B$5:$X$5,'实盘净值数据(iFinD公式)'!$B5:$X5/'实盘净值数据(iFinD公式)'!$B$5:$X$5,'实盘净值数据(iFinD公式)'!$B6:$X6/'实盘净值数据(iFinD公式)'!$B5:$X5)/SUMPRODUCT(实盘持仓初始配置!$B$5:$X$5,'实盘净值数据(iFinD公式)'!$B5:$X5/'实盘净值数据(iFinD公式)'!$B$5:$X$5))*(1-实盘持仓初始配置!$Z$5)^(('实盘净值数据(iFinD公式)'!$A6-'实盘净值数据(iFinD公式)'!$A5)/365)-1)</f>
        <v>2.3437472843239604E-2</v>
      </c>
      <c r="G6" s="16">
        <f>IF(E6="","",E6/MAX(E$5:E6)-1)</f>
        <v>0</v>
      </c>
      <c r="H6" s="13" t="str">
        <f>IF(OR((ROW()-1)&lt;7,'实盘净值数据(iFinD公式)'!$A6="",'实盘净值数据(iFinD公式)'!$B6=""),"",SUMPRODUCT(实盘持仓初始配置!$B$6:$X$6,'实盘净值数据(iFinD公式)'!$B6:$X6/'实盘净值数据(iFinD公式)'!$B$7:$X$7)*(1-实盘持仓初始配置!$Z$6)^(('实盘净值数据(iFinD公式)'!$A6-'实盘净值数据(iFinD公式)'!$A$7)/365))</f>
        <v/>
      </c>
      <c r="I6" s="16" t="str">
        <f>IF(OR(H5="",'实盘净值数据(iFinD公式)'!$A6="",'实盘净值数据(iFinD公式)'!$B6=""),"",(SUMPRODUCT(实盘持仓初始配置!$B$6:$X$6,'实盘净值数据(iFinD公式)'!$B5:$X5/'实盘净值数据(iFinD公式)'!$B$7:$X$7,'实盘净值数据(iFinD公式)'!$B6:$X6/'实盘净值数据(iFinD公式)'!$B5:$X5)/SUMPRODUCT(实盘持仓初始配置!$B$6:$X$6,'实盘净值数据(iFinD公式)'!$B5:$X5/'实盘净值数据(iFinD公式)'!$B$7:$X$7))*(1-实盘持仓初始配置!$Z$6)^(('实盘净值数据(iFinD公式)'!$A6-'实盘净值数据(iFinD公式)'!$A5)/365)-1)</f>
        <v/>
      </c>
      <c r="J6" s="16" t="str">
        <f>IF(H6="","",H6/MAX(H$5:H6)-1)</f>
        <v/>
      </c>
      <c r="K6" s="13" t="str">
        <f>IF(OR((ROW()-1)&lt;8,'实盘净值数据(iFinD公式)'!$A6="",'实盘净值数据(iFinD公式)'!$B6=""),"",SUMPRODUCT(实盘持仓初始配置!$B$7:$X$7,'实盘净值数据(iFinD公式)'!$B6:$X6/'实盘净值数据(iFinD公式)'!$B$8:$X$8)*(1-实盘持仓初始配置!$Z$7)^(('实盘净值数据(iFinD公式)'!$A6-'实盘净值数据(iFinD公式)'!$A$8)/365))</f>
        <v/>
      </c>
      <c r="L6" s="16" t="str">
        <f>IF(OR(K5="",'实盘净值数据(iFinD公式)'!$A6="",'实盘净值数据(iFinD公式)'!$B6=""),"",(SUMPRODUCT(实盘持仓初始配置!$B$7:$X$7,'实盘净值数据(iFinD公式)'!$B5:$X5/'实盘净值数据(iFinD公式)'!$B$8:$X$8,'实盘净值数据(iFinD公式)'!$B6:$X6/'实盘净值数据(iFinD公式)'!$B5:$X5)/SUMPRODUCT(实盘持仓初始配置!$B$7:$X$7,'实盘净值数据(iFinD公式)'!$B5:$X5/'实盘净值数据(iFinD公式)'!$B$8:$X$8))*(1-实盘持仓初始配置!$Z$7)^(('实盘净值数据(iFinD公式)'!$A6-'实盘净值数据(iFinD公式)'!$A5)/365)-1)</f>
        <v/>
      </c>
      <c r="M6" s="16" t="str">
        <f>IF(K6="","",K6/MAX(K$5:K6)-1)</f>
        <v/>
      </c>
      <c r="N6" s="13">
        <f>IF(OR((ROW()-1)&lt;5,'实盘净值数据(iFinD公式)'!$A6="",'实盘净值数据(iFinD公式)'!$B6=""),"",SUMPRODUCT(实盘持仓初始配置!$B$8:$X$8,'实盘净值数据(iFinD公式)'!$B6:$X6/'实盘净值数据(iFinD公式)'!$B$5:$X$5)*(1-实盘持仓初始配置!$Z$8)^(('实盘净值数据(iFinD公式)'!$A6-'实盘净值数据(iFinD公式)'!$A$5)/365))</f>
        <v>1.0008955316407739</v>
      </c>
      <c r="O6" s="16">
        <f>IF(OR(N5="",'实盘净值数据(iFinD公式)'!$A6="",'实盘净值数据(iFinD公式)'!$B6=""),"",(SUMPRODUCT(实盘持仓初始配置!$B$8:$X$8,'实盘净值数据(iFinD公式)'!$B5:$X5/'实盘净值数据(iFinD公式)'!$B$5:$X$5,'实盘净值数据(iFinD公式)'!$B6:$X6/'实盘净值数据(iFinD公式)'!$B5:$X5)/SUMPRODUCT(实盘持仓初始配置!$B$8:$X$8,'实盘净值数据(iFinD公式)'!$B5:$X5/'实盘净值数据(iFinD公式)'!$B$5:$X$5))*(1-实盘持仓初始配置!$Z$8)^(('实盘净值数据(iFinD公式)'!$A6-'实盘净值数据(iFinD公式)'!$A5)/365)-1)</f>
        <v>8.9553164077393888E-4</v>
      </c>
      <c r="P6" s="16">
        <f>IF(N6="","",N6/MAX(N$5:N6)-1)</f>
        <v>0</v>
      </c>
      <c r="Q6" s="13" t="str">
        <f>IF(OR((ROW()-1)&lt;8,'实盘净值数据(iFinD公式)'!$A6="",'实盘净值数据(iFinD公式)'!$B6=""),"",SUMPRODUCT(实盘持仓初始配置!$B$9:$X$9,'实盘净值数据(iFinD公式)'!$B6:$X6/'实盘净值数据(iFinD公式)'!$B$8:$X$8)*(1-实盘持仓初始配置!$Z$9)^(('实盘净值数据(iFinD公式)'!$A6-'实盘净值数据(iFinD公式)'!$A$8)/365))</f>
        <v/>
      </c>
      <c r="R6" s="16" t="str">
        <f>IF(OR(Q5="",'实盘净值数据(iFinD公式)'!$A6="",'实盘净值数据(iFinD公式)'!$B6=""),"",(SUMPRODUCT(实盘持仓初始配置!$B$9:$X$9,'实盘净值数据(iFinD公式)'!$B5:$X5/'实盘净值数据(iFinD公式)'!$B$8:$X$8,'实盘净值数据(iFinD公式)'!$B6:$X6/'实盘净值数据(iFinD公式)'!$B5:$X5)/SUMPRODUCT(实盘持仓初始配置!$B$9:$X$9,'实盘净值数据(iFinD公式)'!$B5:$X5/'实盘净值数据(iFinD公式)'!$B$8:$X$8))*(1-实盘持仓初始配置!$Z$9)^(('实盘净值数据(iFinD公式)'!$A6-'实盘净值数据(iFinD公式)'!$A5)/365)-1)</f>
        <v/>
      </c>
      <c r="S6" s="16" t="str">
        <f>IF(Q6="","",Q6/MAX(Q$5:Q6)-1)</f>
        <v/>
      </c>
      <c r="U6" s="17"/>
      <c r="V6" s="18"/>
    </row>
    <row r="7" spans="1:22" ht="14">
      <c r="A7" s="15">
        <f>IF('实盘净值数据(iFinD公式)'!A7="","",'实盘净值数据(iFinD公式)'!A7)</f>
        <v>46196</v>
      </c>
      <c r="B7" s="13">
        <f>IF(OR((ROW()-1)&lt;6,'实盘净值数据(iFinD公式)'!$A7="",'实盘净值数据(iFinD公式)'!$B7=""),"",SUMPRODUCT(实盘持仓初始配置!$B$4:$X$4,'实盘净值数据(iFinD公式)'!$B7:$X7/'实盘净值数据(iFinD公式)'!$B$6:$X$6)*(1-实盘持仓初始配置!$Z$4)^(('实盘净值数据(iFinD公式)'!$A7-'实盘净值数据(iFinD公式)'!$A$6)/365))</f>
        <v>0.98042318811773688</v>
      </c>
      <c r="C7" s="16">
        <f>IF(OR(B6="",'实盘净值数据(iFinD公式)'!$A7="",'实盘净值数据(iFinD公式)'!$B7=""),"",(SUMPRODUCT(实盘持仓初始配置!$B$4:$X$4,'实盘净值数据(iFinD公式)'!$B6:$X6/'实盘净值数据(iFinD公式)'!$B$6:$X$6,'实盘净值数据(iFinD公式)'!$B7:$X7/'实盘净值数据(iFinD公式)'!$B6:$X6)/SUMPRODUCT(实盘持仓初始配置!$B$4:$X$4,'实盘净值数据(iFinD公式)'!$B6:$X6/'实盘净值数据(iFinD公式)'!$B$6:$X$6))*(1-实盘持仓初始配置!$Z$4)^(('实盘净值数据(iFinD公式)'!$A7-'实盘净值数据(iFinD公式)'!$A6)/365)-1)</f>
        <v>-1.9576811882263012E-2</v>
      </c>
      <c r="D7" s="16">
        <f>IF(B7="","",B7/MAX(B$5:B7)-1)</f>
        <v>-1.9576811882263123E-2</v>
      </c>
      <c r="E7" s="13">
        <f>IF(OR((ROW()-1)&lt;5,'实盘净值数据(iFinD公式)'!$A7="",'实盘净值数据(iFinD公式)'!$B7=""),"",SUMPRODUCT(实盘持仓初始配置!$B$5:$X$5,'实盘净值数据(iFinD公式)'!$B7:$X7/'实盘净值数据(iFinD公式)'!$B$5:$X$5)*(1-实盘持仓初始配置!$Z$5)^(('实盘净值数据(iFinD公式)'!$A7-'实盘净值数据(iFinD公式)'!$A$5)/365))</f>
        <v>1.0033378905556949</v>
      </c>
      <c r="F7" s="16">
        <f>IF(OR(E6="",'实盘净值数据(iFinD公式)'!$A7="",'实盘净值数据(iFinD公式)'!$B7=""),"",(SUMPRODUCT(实盘持仓初始配置!$B$5:$X$5,'实盘净值数据(iFinD公式)'!$B6:$X6/'实盘净值数据(iFinD公式)'!$B$5:$X$5,'实盘净值数据(iFinD公式)'!$B7:$X7/'实盘净值数据(iFinD公式)'!$B6:$X6)/SUMPRODUCT(实盘持仓初始配置!$B$5:$X$5,'实盘净值数据(iFinD公式)'!$B6:$X6/'实盘净值数据(iFinD公式)'!$B$5:$X$5))*(1-实盘持仓初始配置!$Z$5)^(('实盘净值数据(iFinD公式)'!$A7-'实盘净值数据(iFinD公式)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公式)'!$A7="",'实盘净值数据(iFinD公式)'!$B7=""),"",(SUMPRODUCT(实盘持仓初始配置!$B$6:$X$6,'实盘净值数据(iFinD公式)'!$B6:$X6/'实盘净值数据(iFinD公式)'!$B$7:$X$7,'实盘净值数据(iFinD公式)'!$B7:$X7/'实盘净值数据(iFinD公式)'!$B6:$X6)/SUMPRODUCT(实盘持仓初始配置!$B$6:$X$6,'实盘净值数据(iFinD公式)'!$B6:$X6/'实盘净值数据(iFinD公式)'!$B$7:$X$7))*(1-实盘持仓初始配置!$Z$6)^(('实盘净值数据(iFinD公式)'!$A7-'实盘净值数据(iFinD公式)'!$A6)/365)-1)</f>
        <v/>
      </c>
      <c r="J7" s="16">
        <f>IF(H7="","",H7/MAX(H$5:H7)-1)</f>
        <v>0</v>
      </c>
      <c r="K7" s="13" t="str">
        <f>IF(OR((ROW()-1)&lt;8,'实盘净值数据(iFinD公式)'!$A7="",'实盘净值数据(iFinD公式)'!$B7=""),"",SUMPRODUCT(实盘持仓初始配置!$B$7:$X$7,'实盘净值数据(iFinD公式)'!$B7:$X7/'实盘净值数据(iFinD公式)'!$B$8:$X$8)*(1-实盘持仓初始配置!$Z$7)^(('实盘净值数据(iFinD公式)'!$A7-'实盘净值数据(iFinD公式)'!$A$8)/365))</f>
        <v/>
      </c>
      <c r="L7" s="16" t="str">
        <f>IF(OR(K6="",'实盘净值数据(iFinD公式)'!$A7="",'实盘净值数据(iFinD公式)'!$B7=""),"",(SUMPRODUCT(实盘持仓初始配置!$B$7:$X$7,'实盘净值数据(iFinD公式)'!$B6:$X6/'实盘净值数据(iFinD公式)'!$B$8:$X$8,'实盘净值数据(iFinD公式)'!$B7:$X7/'实盘净值数据(iFinD公式)'!$B6:$X6)/SUMPRODUCT(实盘持仓初始配置!$B$7:$X$7,'实盘净值数据(iFinD公式)'!$B6:$X6/'实盘净值数据(iFinD公式)'!$B$8:$X$8))*(1-实盘持仓初始配置!$Z$7)^(('实盘净值数据(iFinD公式)'!$A7-'实盘净值数据(iFinD公式)'!$A6)/365)-1)</f>
        <v/>
      </c>
      <c r="M7" s="16" t="str">
        <f>IF(K7="","",K7/MAX(K$5:K7)-1)</f>
        <v/>
      </c>
      <c r="N7" s="13">
        <f>IF(OR((ROW()-1)&lt;5,'实盘净值数据(iFinD公式)'!$A7="",'实盘净值数据(iFinD公式)'!$B7=""),"",SUMPRODUCT(实盘持仓初始配置!$B$8:$X$8,'实盘净值数据(iFinD公式)'!$B7:$X7/'实盘净值数据(iFinD公式)'!$B$5:$X$5)*(1-实盘持仓初始配置!$Z$8)^(('实盘净值数据(iFinD公式)'!$A7-'实盘净值数据(iFinD公式)'!$A$5)/365))</f>
        <v>0.99782263840516405</v>
      </c>
      <c r="O7" s="16">
        <f>IF(OR(N6="",'实盘净值数据(iFinD公式)'!$A7="",'实盘净值数据(iFinD公式)'!$B7=""),"",(SUMPRODUCT(实盘持仓初始配置!$B$8:$X$8,'实盘净值数据(iFinD公式)'!$B6:$X6/'实盘净值数据(iFinD公式)'!$B$5:$X$5,'实盘净值数据(iFinD公式)'!$B7:$X7/'实盘净值数据(iFinD公式)'!$B6:$X6)/SUMPRODUCT(实盘持仓初始配置!$B$8:$X$8,'实盘净值数据(iFinD公式)'!$B6:$X6/'实盘净值数据(iFinD公式)'!$B$5:$X$5))*(1-实盘持仓初始配置!$Z$8)^(('实盘净值数据(iFinD公式)'!$A7-'实盘净值数据(iFinD公式)'!$A6)/365)-1)</f>
        <v>-3.0701438246729662E-3</v>
      </c>
      <c r="P7" s="16">
        <f>IF(N7="","",N7/MAX(N$5:N7)-1)</f>
        <v>-3.0701438246731882E-3</v>
      </c>
      <c r="Q7" s="13" t="str">
        <f>IF(OR((ROW()-1)&lt;8,'实盘净值数据(iFinD公式)'!$A7="",'实盘净值数据(iFinD公式)'!$B7=""),"",SUMPRODUCT(实盘持仓初始配置!$B$9:$X$9,'实盘净值数据(iFinD公式)'!$B7:$X7/'实盘净值数据(iFinD公式)'!$B$8:$X$8)*(1-实盘持仓初始配置!$Z$9)^(('实盘净值数据(iFinD公式)'!$A7-'实盘净值数据(iFinD公式)'!$A$8)/365))</f>
        <v/>
      </c>
      <c r="R7" s="16" t="str">
        <f>IF(OR(Q6="",'实盘净值数据(iFinD公式)'!$A7="",'实盘净值数据(iFinD公式)'!$B7=""),"",(SUMPRODUCT(实盘持仓初始配置!$B$9:$X$9,'实盘净值数据(iFinD公式)'!$B6:$X6/'实盘净值数据(iFinD公式)'!$B$8:$X$8,'实盘净值数据(iFinD公式)'!$B7:$X7/'实盘净值数据(iFinD公式)'!$B6:$X6)/SUMPRODUCT(实盘持仓初始配置!$B$9:$X$9,'实盘净值数据(iFinD公式)'!$B6:$X6/'实盘净值数据(iFinD公式)'!$B$8:$X$8))*(1-实盘持仓初始配置!$Z$9)^(('实盘净值数据(iFinD公式)'!$A7-'实盘净值数据(iFinD公式)'!$A6)/365)-1)</f>
        <v/>
      </c>
      <c r="S7" s="16" t="str">
        <f>IF(Q7="","",Q7/MAX(Q$5:Q7)-1)</f>
        <v/>
      </c>
      <c r="U7" s="17"/>
      <c r="V7" s="18"/>
    </row>
    <row r="8" spans="1:22" ht="14">
      <c r="A8" s="15">
        <f>IF('实盘净值数据(iFinD公式)'!A8="","",'实盘净值数据(iFinD公式)'!A8)</f>
        <v>46197</v>
      </c>
      <c r="B8" s="13">
        <f>IF(OR((ROW()-1)&lt;6,'实盘净值数据(iFinD公式)'!$A8="",'实盘净值数据(iFinD公式)'!$B8=""),"",SUMPRODUCT(实盘持仓初始配置!$B$4:$X$4,'实盘净值数据(iFinD公式)'!$B8:$X8/'实盘净值数据(iFinD公式)'!$B$6:$X$6)*(1-实盘持仓初始配置!$Z$4)^(('实盘净值数据(iFinD公式)'!$A8-'实盘净值数据(iFinD公式)'!$A$6)/365))</f>
        <v>1.0160197208922743</v>
      </c>
      <c r="C8" s="16">
        <f>IF(OR(B7="",'实盘净值数据(iFinD公式)'!$A8="",'实盘净值数据(iFinD公式)'!$B8=""),"",(SUMPRODUCT(实盘持仓初始配置!$B$4:$X$4,'实盘净值数据(iFinD公式)'!$B7:$X7/'实盘净值数据(iFinD公式)'!$B$6:$X$6,'实盘净值数据(iFinD公式)'!$B8:$X8/'实盘净值数据(iFinD公式)'!$B7:$X7)/SUMPRODUCT(实盘持仓初始配置!$B$4:$X$4,'实盘净值数据(iFinD公式)'!$B7:$X7/'实盘净值数据(iFinD公式)'!$B$6:$X$6))*(1-实盘持仓初始配置!$Z$4)^(('实盘净值数据(iFinD公式)'!$A8-'实盘净值数据(iFinD公式)'!$A7)/365)-1)</f>
        <v>3.6307314235271448E-2</v>
      </c>
      <c r="D8" s="16">
        <f>IF(B8="","",B8/MAX(B$5:B8)-1)</f>
        <v>0</v>
      </c>
      <c r="E8" s="13">
        <f>IF(OR((ROW()-1)&lt;5,'实盘净值数据(iFinD公式)'!$A8="",'实盘净值数据(iFinD公式)'!$B8=""),"",SUMPRODUCT(实盘持仓初始配置!$B$5:$X$5,'实盘净值数据(iFinD公式)'!$B8:$X8/'实盘净值数据(iFinD公式)'!$B$5:$X$5)*(1-实盘持仓初始配置!$Z$5)^(('实盘净值数据(iFinD公式)'!$A8-'实盘净值数据(iFinD公式)'!$A$5)/365))</f>
        <v>1.0397126768191969</v>
      </c>
      <c r="F8" s="16">
        <f>IF(OR(E7="",'实盘净值数据(iFinD公式)'!$A8="",'实盘净值数据(iFinD公式)'!$B8=""),"",(SUMPRODUCT(实盘持仓初始配置!$B$5:$X$5,'实盘净值数据(iFinD公式)'!$B7:$X7/'实盘净值数据(iFinD公式)'!$B$5:$X$5,'实盘净值数据(iFinD公式)'!$B8:$X8/'实盘净值数据(iFinD公式)'!$B7:$X7)/SUMPRODUCT(实盘持仓初始配置!$B$5:$X$5,'实盘净值数据(iFinD公式)'!$B7:$X7/'实盘净值数据(iFinD公式)'!$B$5:$X$5))*(1-实盘持仓初始配置!$Z$5)^(('实盘净值数据(iFinD公式)'!$A8-'实盘净值数据(iFinD公式)'!$A7)/365)-1)</f>
        <v>3.6253775129887478E-2</v>
      </c>
      <c r="G8" s="16">
        <f>IF(E8="","",E8/MAX(E$5:E8)-1)</f>
        <v>0</v>
      </c>
      <c r="H8" s="13">
        <f>IF(OR((ROW()-1)&lt;7,'实盘净值数据(iFinD公式)'!$A8="",'实盘净值数据(iFinD公式)'!$B8=""),"",SUMPRODUCT(实盘持仓初始配置!$B$6:$X$6,'实盘净值数据(iFinD公式)'!$B8:$X8/'实盘净值数据(iFinD公式)'!$B$7:$X$7)*(1-实盘持仓初始配置!$Z$6)^(('实盘净值数据(iFinD公式)'!$A8-'实盘净值数据(iFinD公式)'!$A$7)/365))</f>
        <v>1.039202963297934</v>
      </c>
      <c r="I8" s="16">
        <f>IF(OR(H7="",'实盘净值数据(iFinD公式)'!$A8="",'实盘净值数据(iFinD公式)'!$B8=""),"",(SUMPRODUCT(实盘持仓初始配置!$B$6:$X$6,'实盘净值数据(iFinD公式)'!$B7:$X7/'实盘净值数据(iFinD公式)'!$B$7:$X$7,'实盘净值数据(iFinD公式)'!$B8:$X8/'实盘净值数据(iFinD公式)'!$B7:$X7)/SUMPRODUCT(实盘持仓初始配置!$B$6:$X$6,'实盘净值数据(iFinD公式)'!$B7:$X7/'实盘净值数据(iFinD公式)'!$B$7:$X$7))*(1-实盘持仓初始配置!$Z$6)^(('实盘净值数据(iFinD公式)'!$A8-'实盘净值数据(iFinD公式)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公式)'!$A8="",'实盘净值数据(iFinD公式)'!$B8=""),"",(SUMPRODUCT(实盘持仓初始配置!$B$7:$X$7,'实盘净值数据(iFinD公式)'!$B7:$X7/'实盘净值数据(iFinD公式)'!$B$8:$X$8,'实盘净值数据(iFinD公式)'!$B8:$X8/'实盘净值数据(iFinD公式)'!$B7:$X7)/SUMPRODUCT(实盘持仓初始配置!$B$7:$X$7,'实盘净值数据(iFinD公式)'!$B7:$X7/'实盘净值数据(iFinD公式)'!$B$8:$X$8))*(1-实盘持仓初始配置!$Z$7)^(('实盘净值数据(iFinD公式)'!$A8-'实盘净值数据(iFinD公式)'!$A7)/365)-1)</f>
        <v/>
      </c>
      <c r="M8" s="16">
        <f>IF(K8="","",K8/MAX(K$5:K8)-1)</f>
        <v>0</v>
      </c>
      <c r="N8" s="13">
        <f>IF(OR((ROW()-1)&lt;5,'实盘净值数据(iFinD公式)'!$A8="",'实盘净值数据(iFinD公式)'!$B8=""),"",SUMPRODUCT(实盘持仓初始配置!$B$8:$X$8,'实盘净值数据(iFinD公式)'!$B8:$X8/'实盘净值数据(iFinD公式)'!$B$5:$X$5)*(1-实盘持仓初始配置!$Z$8)^(('实盘净值数据(iFinD公式)'!$A8-'实盘净值数据(iFinD公式)'!$A$5)/365))</f>
        <v>0.99977056884376803</v>
      </c>
      <c r="O8" s="16">
        <f>IF(OR(N7="",'实盘净值数据(iFinD公式)'!$A8="",'实盘净值数据(iFinD公式)'!$B8=""),"",(SUMPRODUCT(实盘持仓初始配置!$B$8:$X$8,'实盘净值数据(iFinD公式)'!$B7:$X7/'实盘净值数据(iFinD公式)'!$B$5:$X$5,'实盘净值数据(iFinD公式)'!$B8:$X8/'实盘净值数据(iFinD公式)'!$B7:$X7)/SUMPRODUCT(实盘持仓初始配置!$B$8:$X$8,'实盘净值数据(iFinD公式)'!$B7:$X7/'实盘净值数据(iFinD公式)'!$B$5:$X$5))*(1-实盘持仓初始配置!$Z$8)^(('实盘净值数据(iFinD公式)'!$A8-'实盘净值数据(iFinD公式)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公式)'!$A8="",'实盘净值数据(iFinD公式)'!$B8=""),"",(SUMPRODUCT(实盘持仓初始配置!$B$9:$X$9,'实盘净值数据(iFinD公式)'!$B7:$X7/'实盘净值数据(iFinD公式)'!$B$8:$X$8,'实盘净值数据(iFinD公式)'!$B8:$X8/'实盘净值数据(iFinD公式)'!$B7:$X7)/SUMPRODUCT(实盘持仓初始配置!$B$9:$X$9,'实盘净值数据(iFinD公式)'!$B7:$X7/'实盘净值数据(iFinD公式)'!$B$8:$X$8))*(1-实盘持仓初始配置!$Z$9)^(('实盘净值数据(iFinD公式)'!$A8-'实盘净值数据(iFinD公式)'!$A7)/365)-1)</f>
        <v/>
      </c>
      <c r="S8" s="16">
        <f>IF(Q8="","",Q8/MAX(Q$5:Q8)-1)</f>
        <v>0</v>
      </c>
      <c r="U8" s="17"/>
      <c r="V8" s="18"/>
    </row>
    <row r="9" spans="1:22" ht="14">
      <c r="A9" s="15">
        <f>IF('实盘净值数据(iFinD公式)'!A9="","",'实盘净值数据(iFinD公式)'!A9)</f>
        <v>46198</v>
      </c>
      <c r="B9" s="13">
        <f>IF(OR((ROW()-1)&lt;6,'实盘净值数据(iFinD公式)'!$A9="",'实盘净值数据(iFinD公式)'!$B9=""),"",SUMPRODUCT(实盘持仓初始配置!$B$4:$X$4,'实盘净值数据(iFinD公式)'!$B9:$X9/'实盘净值数据(iFinD公式)'!$B$6:$X$6)*(1-实盘持仓初始配置!$Z$4)^(('实盘净值数据(iFinD公式)'!$A9-'实盘净值数据(iFinD公式)'!$A$6)/365))</f>
        <v>1.0494431551246099</v>
      </c>
      <c r="C9" s="16">
        <f>IF(OR(B8="",'实盘净值数据(iFinD公式)'!$A9="",'实盘净值数据(iFinD公式)'!$B9=""),"",(SUMPRODUCT(实盘持仓初始配置!$B$4:$X$4,'实盘净值数据(iFinD公式)'!$B8:$X8/'实盘净值数据(iFinD公式)'!$B$6:$X$6,'实盘净值数据(iFinD公式)'!$B9:$X9/'实盘净值数据(iFinD公式)'!$B8:$X8)/SUMPRODUCT(实盘持仓初始配置!$B$4:$X$4,'实盘净值数据(iFinD公式)'!$B8:$X8/'实盘净值数据(iFinD公式)'!$B$6:$X$6))*(1-实盘持仓初始配置!$Z$4)^(('实盘净值数据(iFinD公式)'!$A9-'实盘净值数据(iFinD公式)'!$A8)/365)-1)</f>
        <v>3.2896442406632698E-2</v>
      </c>
      <c r="D9" s="16">
        <f>IF(B9="","",B9/MAX(B$5:B9)-1)</f>
        <v>0</v>
      </c>
      <c r="E9" s="13">
        <f>IF(OR((ROW()-1)&lt;5,'实盘净值数据(iFinD公式)'!$A9="",'实盘净值数据(iFinD公式)'!$B9=""),"",SUMPRODUCT(实盘持仓初始配置!$B$5:$X$5,'实盘净值数据(iFinD公式)'!$B9:$X9/'实盘净值数据(iFinD公式)'!$B$5:$X$5)*(1-实盘持仓初始配置!$Z$5)^(('实盘净值数据(iFinD公式)'!$A9-'实盘净值数据(iFinD公式)'!$A$5)/365))</f>
        <v>1.0739445334901312</v>
      </c>
      <c r="F9" s="16">
        <f>IF(OR(E8="",'实盘净值数据(iFinD公式)'!$A9="",'实盘净值数据(iFinD公式)'!$B9=""),"",(SUMPRODUCT(实盘持仓初始配置!$B$5:$X$5,'实盘净值数据(iFinD公式)'!$B8:$X8/'实盘净值数据(iFinD公式)'!$B$5:$X$5,'实盘净值数据(iFinD公式)'!$B9:$X9/'实盘净值数据(iFinD公式)'!$B8:$X8)/SUMPRODUCT(实盘持仓初始配置!$B$5:$X$5,'实盘净值数据(iFinD公式)'!$B8:$X8/'实盘净值数据(iFinD公式)'!$B$5:$X$5))*(1-实盘持仓初始配置!$Z$5)^(('实盘净值数据(iFinD公式)'!$A9-'实盘净值数据(iFinD公式)'!$A8)/365)-1)</f>
        <v>3.2924342882554747E-2</v>
      </c>
      <c r="G9" s="16">
        <f>IF(E9="","",E9/MAX(E$5:E9)-1)</f>
        <v>0</v>
      </c>
      <c r="H9" s="13">
        <f>IF(OR((ROW()-1)&lt;7,'实盘净值数据(iFinD公式)'!$A9="",'实盘净值数据(iFinD公式)'!$B9=""),"",SUMPRODUCT(实盘持仓初始配置!$B$6:$X$6,'实盘净值数据(iFinD公式)'!$B9:$X9/'实盘净值数据(iFinD公式)'!$B$7:$X$7)*(1-实盘持仓初始配置!$Z$6)^(('实盘净值数据(iFinD公式)'!$A9-'实盘净值数据(iFinD公式)'!$A$7)/365))</f>
        <v>1.0741076445723305</v>
      </c>
      <c r="I9" s="16">
        <f>IF(OR(H8="",'实盘净值数据(iFinD公式)'!$A9="",'实盘净值数据(iFinD公式)'!$B9=""),"",(SUMPRODUCT(实盘持仓初始配置!$B$6:$X$6,'实盘净值数据(iFinD公式)'!$B8:$X8/'实盘净值数据(iFinD公式)'!$B$7:$X$7,'实盘净值数据(iFinD公式)'!$B9:$X9/'实盘净值数据(iFinD公式)'!$B8:$X8)/SUMPRODUCT(实盘持仓初始配置!$B$6:$X$6,'实盘净值数据(iFinD公式)'!$B8:$X8/'实盘净值数据(iFinD公式)'!$B$7:$X$7))*(1-实盘持仓初始配置!$Z$6)^(('实盘净值数据(iFinD公式)'!$A9-'实盘净值数据(iFinD公式)'!$A8)/365)-1)</f>
        <v>3.3587934702982158E-2</v>
      </c>
      <c r="J9" s="16">
        <f>IF(H9="","",H9/MAX(H$5:H9)-1)</f>
        <v>0</v>
      </c>
      <c r="K9" s="13">
        <f>IF(OR((ROW()-1)&lt;8,'实盘净值数据(iFinD公式)'!$A9="",'实盘净值数据(iFinD公式)'!$B9=""),"",SUMPRODUCT(实盘持仓初始配置!$B$7:$X$7,'实盘净值数据(iFinD公式)'!$B9:$X9/'实盘净值数据(iFinD公式)'!$B$8:$X$8)*(1-实盘持仓初始配置!$Z$7)^(('实盘净值数据(iFinD公式)'!$A9-'实盘净值数据(iFinD公式)'!$A$8)/365))</f>
        <v>1.0014141946107082</v>
      </c>
      <c r="L9" s="16">
        <f>IF(OR(K8="",'实盘净值数据(iFinD公式)'!$A9="",'实盘净值数据(iFinD公式)'!$B9=""),"",(SUMPRODUCT(实盘持仓初始配置!$B$7:$X$7,'实盘净值数据(iFinD公式)'!$B8:$X8/'实盘净值数据(iFinD公式)'!$B$8:$X$8,'实盘净值数据(iFinD公式)'!$B9:$X9/'实盘净值数据(iFinD公式)'!$B8:$X8)/SUMPRODUCT(实盘持仓初始配置!$B$7:$X$7,'实盘净值数据(iFinD公式)'!$B8:$X8/'实盘净值数据(iFinD公式)'!$B$8:$X$8))*(1-实盘持仓初始配置!$Z$7)^(('实盘净值数据(iFinD公式)'!$A9-'实盘净值数据(iFinD公式)'!$A8)/365)-1)</f>
        <v>1.4141946107082415E-3</v>
      </c>
      <c r="M9" s="16">
        <f>IF(K9="","",K9/MAX(K$5:K9)-1)</f>
        <v>0</v>
      </c>
      <c r="N9" s="13">
        <f>IF(OR((ROW()-1)&lt;5,'实盘净值数据(iFinD公式)'!$A9="",'实盘净值数据(iFinD公式)'!$B9=""),"",SUMPRODUCT(实盘持仓初始配置!$B$8:$X$8,'实盘净值数据(iFinD公式)'!$B9:$X9/'实盘净值数据(iFinD公式)'!$B$5:$X$5)*(1-实盘持仓初始配置!$Z$8)^(('实盘净值数据(iFinD公式)'!$A9-'实盘净值数据(iFinD公式)'!$A$5)/365))</f>
        <v>1.0012779820956512</v>
      </c>
      <c r="O9" s="16">
        <f>IF(OR(N8="",'实盘净值数据(iFinD公式)'!$A9="",'实盘净值数据(iFinD公式)'!$B9=""),"",(SUMPRODUCT(实盘持仓初始配置!$B$8:$X$8,'实盘净值数据(iFinD公式)'!$B8:$X8/'实盘净值数据(iFinD公式)'!$B$5:$X$5,'实盘净值数据(iFinD公式)'!$B9:$X9/'实盘净值数据(iFinD公式)'!$B8:$X8)/SUMPRODUCT(实盘持仓初始配置!$B$8:$X$8,'实盘净值数据(iFinD公式)'!$B8:$X8/'实盘净值数据(iFinD公式)'!$B$5:$X$5))*(1-实盘持仓初始配置!$Z$8)^(('实盘净值数据(iFinD公式)'!$A9-'实盘净值数据(iFinD公式)'!$A8)/365)-1)</f>
        <v>1.5077591788150713E-3</v>
      </c>
      <c r="P9" s="16">
        <f>IF(N9="","",N9/MAX(N$5:N9)-1)</f>
        <v>0</v>
      </c>
      <c r="Q9" s="13">
        <f>IF(OR((ROW()-1)&lt;8,'实盘净值数据(iFinD公式)'!$A9="",'实盘净值数据(iFinD公式)'!$B9=""),"",SUMPRODUCT(实盘持仓初始配置!$B$9:$X$9,'实盘净值数据(iFinD公式)'!$B9:$X9/'实盘净值数据(iFinD公式)'!$B$8:$X$8)*(1-实盘持仓初始配置!$Z$9)^(('实盘净值数据(iFinD公式)'!$A9-'实盘净值数据(iFinD公式)'!$A$8)/365))</f>
        <v>1.0039732082294279</v>
      </c>
      <c r="R9" s="16">
        <f>IF(OR(Q8="",'实盘净值数据(iFinD公式)'!$A9="",'实盘净值数据(iFinD公式)'!$B9=""),"",(SUMPRODUCT(实盘持仓初始配置!$B$9:$X$9,'实盘净值数据(iFinD公式)'!$B8:$X8/'实盘净值数据(iFinD公式)'!$B$8:$X$8,'实盘净值数据(iFinD公式)'!$B9:$X9/'实盘净值数据(iFinD公式)'!$B8:$X8)/SUMPRODUCT(实盘持仓初始配置!$B$9:$X$9,'实盘净值数据(iFinD公式)'!$B8:$X8/'实盘净值数据(iFinD公式)'!$B$8:$X$8))*(1-实盘持仓初始配置!$Z$9)^(('实盘净值数据(iFinD公式)'!$A9-'实盘净值数据(iFinD公式)'!$A8)/365)-1)</f>
        <v>3.973208229428149E-3</v>
      </c>
      <c r="S9" s="16">
        <f>IF(Q9="","",Q9/MAX(Q$5:Q9)-1)</f>
        <v>0</v>
      </c>
      <c r="U9" s="17"/>
      <c r="V9" s="18"/>
    </row>
    <row r="10" spans="1:22" ht="14">
      <c r="A10" s="15">
        <f>IF('实盘净值数据(iFinD公式)'!A10="","",'实盘净值数据(iFinD公式)'!A10)</f>
        <v>46199</v>
      </c>
      <c r="B10" s="13">
        <f>IF(OR((ROW()-1)&lt;6,'实盘净值数据(iFinD公式)'!$A10="",'实盘净值数据(iFinD公式)'!$B10=""),"",SUMPRODUCT(实盘持仓初始配置!$B$4:$X$4,'实盘净值数据(iFinD公式)'!$B10:$X10/'实盘净值数据(iFinD公式)'!$B$6:$X$6)*(1-实盘持仓初始配置!$Z$4)^(('实盘净值数据(iFinD公式)'!$A10-'实盘净值数据(iFinD公式)'!$A$6)/365))</f>
        <v>1.0194457362958647</v>
      </c>
      <c r="C10" s="16">
        <f>IF(OR(B9="",'实盘净值数据(iFinD公式)'!$A10="",'实盘净值数据(iFinD公式)'!$B10=""),"",(SUMPRODUCT(实盘持仓初始配置!$B$4:$X$4,'实盘净值数据(iFinD公式)'!$B9:$X9/'实盘净值数据(iFinD公式)'!$B$6:$X$6,'实盘净值数据(iFinD公式)'!$B10:$X10/'实盘净值数据(iFinD公式)'!$B9:$X9)/SUMPRODUCT(实盘持仓初始配置!$B$4:$X$4,'实盘净值数据(iFinD公式)'!$B9:$X9/'实盘净值数据(iFinD公式)'!$B$6:$X$6))*(1-实盘持仓初始配置!$Z$4)^(('实盘净值数据(iFinD公式)'!$A10-'实盘净值数据(iFinD公式)'!$A9)/365)-1)</f>
        <v>-2.8584129290150306E-2</v>
      </c>
      <c r="D10" s="16">
        <f>IF(B10="","",B10/MAX(B$5:B10)-1)</f>
        <v>-2.8584129290150528E-2</v>
      </c>
      <c r="E10" s="13">
        <f>IF(OR((ROW()-1)&lt;5,'实盘净值数据(iFinD公式)'!$A10="",'实盘净值数据(iFinD公式)'!$B10=""),"",SUMPRODUCT(实盘持仓初始配置!$B$5:$X$5,'实盘净值数据(iFinD公式)'!$B10:$X10/'实盘净值数据(iFinD公式)'!$B$5:$X$5)*(1-实盘持仓初始配置!$Z$5)^(('实盘净值数据(iFinD公式)'!$A10-'实盘净值数据(iFinD公式)'!$A$5)/365))</f>
        <v>1.0431451846332738</v>
      </c>
      <c r="F10" s="16">
        <f>IF(OR(E9="",'实盘净值数据(iFinD公式)'!$A10="",'实盘净值数据(iFinD公式)'!$B10=""),"",(SUMPRODUCT(实盘持仓初始配置!$B$5:$X$5,'实盘净值数据(iFinD公式)'!$B9:$X9/'实盘净值数据(iFinD公式)'!$B$5:$X$5,'实盘净值数据(iFinD公式)'!$B10:$X10/'实盘净值数据(iFinD公式)'!$B9:$X9)/SUMPRODUCT(实盘持仓初始配置!$B$5:$X$5,'实盘净值数据(iFinD公式)'!$B9:$X9/'实盘净值数据(iFinD公式)'!$B$5:$X$5))*(1-实盘持仓初始配置!$Z$5)^(('实盘净值数据(iFinD公式)'!$A10-'实盘净值数据(iFinD公式)'!$A9)/365)-1)</f>
        <v>-2.8678714678834649E-2</v>
      </c>
      <c r="G10" s="16">
        <f>IF(E10="","",E10/MAX(E$5:E10)-1)</f>
        <v>-2.8678714678834427E-2</v>
      </c>
      <c r="H10" s="13">
        <f>IF(OR((ROW()-1)&lt;7,'实盘净值数据(iFinD公式)'!$A10="",'实盘净值数据(iFinD公式)'!$B10=""),"",SUMPRODUCT(实盘持仓初始配置!$B$6:$X$6,'实盘净值数据(iFinD公式)'!$B10:$X10/'实盘净值数据(iFinD公式)'!$B$7:$X$7)*(1-实盘持仓初始配置!$Z$6)^(('实盘净值数据(iFinD公式)'!$A10-'实盘净值数据(iFinD公式)'!$A$7)/365))</f>
        <v>1.050645670240649</v>
      </c>
      <c r="I10" s="16">
        <f>IF(OR(H9="",'实盘净值数据(iFinD公式)'!$A10="",'实盘净值数据(iFinD公式)'!$B10=""),"",(SUMPRODUCT(实盘持仓初始配置!$B$6:$X$6,'实盘净值数据(iFinD公式)'!$B9:$X9/'实盘净值数据(iFinD公式)'!$B$7:$X$7,'实盘净值数据(iFinD公式)'!$B10:$X10/'实盘净值数据(iFinD公式)'!$B9:$X9)/SUMPRODUCT(实盘持仓初始配置!$B$6:$X$6,'实盘净值数据(iFinD公式)'!$B9:$X9/'实盘净值数据(iFinD公式)'!$B$7:$X$7))*(1-实盘持仓初始配置!$Z$6)^(('实盘净值数据(iFinD公式)'!$A10-'实盘净值数据(iFinD公式)'!$A9)/365)-1)</f>
        <v>-2.1843224420047047E-2</v>
      </c>
      <c r="J10" s="16">
        <f>IF(H10="","",H10/MAX(H$5:H10)-1)</f>
        <v>-2.1843224420047047E-2</v>
      </c>
      <c r="K10" s="13">
        <f>IF(OR((ROW()-1)&lt;8,'实盘净值数据(iFinD公式)'!$A10="",'实盘净值数据(iFinD公式)'!$B10=""),"",SUMPRODUCT(实盘持仓初始配置!$B$7:$X$7,'实盘净值数据(iFinD公式)'!$B10:$X10/'实盘净值数据(iFinD公式)'!$B$8:$X$8)*(1-实盘持仓初始配置!$Z$7)^(('实盘净值数据(iFinD公式)'!$A10-'实盘净值数据(iFinD公式)'!$A$8)/365))</f>
        <v>0.999482233533317</v>
      </c>
      <c r="L10" s="16">
        <f>IF(OR(K9="",'实盘净值数据(iFinD公式)'!$A10="",'实盘净值数据(iFinD公式)'!$B10=""),"",(SUMPRODUCT(实盘持仓初始配置!$B$7:$X$7,'实盘净值数据(iFinD公式)'!$B9:$X9/'实盘净值数据(iFinD公式)'!$B$8:$X$8,'实盘净值数据(iFinD公式)'!$B10:$X10/'实盘净值数据(iFinD公式)'!$B9:$X9)/SUMPRODUCT(实盘持仓初始配置!$B$7:$X$7,'实盘净值数据(iFinD公式)'!$B9:$X9/'实盘净值数据(iFinD公式)'!$B$8:$X$8))*(1-实盘持仓初始配置!$Z$7)^(('实盘净值数据(iFinD公式)'!$A10-'实盘净值数据(iFinD公式)'!$A9)/365)-1)</f>
        <v>-1.9292327668097853E-3</v>
      </c>
      <c r="M10" s="16">
        <f>IF(K10="","",K10/MAX(K$5:K10)-1)</f>
        <v>-1.9292327668095632E-3</v>
      </c>
      <c r="N10" s="13">
        <f>IF(OR((ROW()-1)&lt;5,'实盘净值数据(iFinD公式)'!$A10="",'实盘净值数据(iFinD公式)'!$B10=""),"",SUMPRODUCT(实盘持仓初始配置!$B$8:$X$8,'实盘净值数据(iFinD公式)'!$B10:$X10/'实盘净值数据(iFinD公式)'!$B$5:$X$5)*(1-实盘持仓初始配置!$Z$8)^(('实盘净值数据(iFinD公式)'!$A10-'实盘净值数据(iFinD公式)'!$A$5)/365))</f>
        <v>0.99892980064356218</v>
      </c>
      <c r="O10" s="16">
        <f>IF(OR(N9="",'实盘净值数据(iFinD公式)'!$A10="",'实盘净值数据(iFinD公式)'!$B10=""),"",(SUMPRODUCT(实盘持仓初始配置!$B$8:$X$8,'实盘净值数据(iFinD公式)'!$B9:$X9/'实盘净值数据(iFinD公式)'!$B$5:$X$5,'实盘净值数据(iFinD公式)'!$B10:$X10/'实盘净值数据(iFinD公式)'!$B9:$X9)/SUMPRODUCT(实盘持仓初始配置!$B$8:$X$8,'实盘净值数据(iFinD公式)'!$B9:$X9/'实盘净值数据(iFinD公式)'!$B$5:$X$5))*(1-实盘持仓初始配置!$Z$8)^(('实盘净值数据(iFinD公式)'!$A10-'实盘净值数据(iFinD公式)'!$A9)/365)-1)</f>
        <v>-2.3451843484805224E-3</v>
      </c>
      <c r="P10" s="16">
        <f>IF(N10="","",N10/MAX(N$5:N10)-1)</f>
        <v>-2.3451843484806334E-3</v>
      </c>
      <c r="Q10" s="13">
        <f>IF(OR((ROW()-1)&lt;8,'实盘净值数据(iFinD公式)'!$A10="",'实盘净值数据(iFinD公式)'!$B10=""),"",SUMPRODUCT(实盘持仓初始配置!$B$9:$X$9,'实盘净值数据(iFinD公式)'!$B10:$X10/'实盘净值数据(iFinD公式)'!$B$8:$X$8)*(1-实盘持仓初始配置!$Z$9)^(('实盘净值数据(iFinD公式)'!$A10-'实盘净值数据(iFinD公式)'!$A$8)/365))</f>
        <v>0.99720804304745392</v>
      </c>
      <c r="R10" s="16">
        <f>IF(OR(Q9="",'实盘净值数据(iFinD公式)'!$A10="",'实盘净值数据(iFinD公式)'!$B10=""),"",(SUMPRODUCT(实盘持仓初始配置!$B$9:$X$9,'实盘净值数据(iFinD公式)'!$B9:$X9/'实盘净值数据(iFinD公式)'!$B$8:$X$8,'实盘净值数据(iFinD公式)'!$B10:$X10/'实盘净值数据(iFinD公式)'!$B9:$X9)/SUMPRODUCT(实盘持仓初始配置!$B$9:$X$9,'实盘净值数据(iFinD公式)'!$B9:$X9/'实盘净值数据(iFinD公式)'!$B$8:$X$8))*(1-实盘持仓初始配置!$Z$9)^(('实盘净值数据(iFinD公式)'!$A10-'实盘净值数据(iFinD公式)'!$A9)/365)-1)</f>
        <v>-6.7383921468430197E-3</v>
      </c>
      <c r="S10" s="16">
        <f>IF(Q10="","",Q10/MAX(Q$5:Q10)-1)</f>
        <v>-6.7383921468430197E-3</v>
      </c>
      <c r="U10" s="17"/>
      <c r="V10" s="18"/>
    </row>
    <row r="11" spans="1:22" ht="14">
      <c r="A11" s="15">
        <f>IF('实盘净值数据(iFinD公式)'!A11="","",'实盘净值数据(iFinD公式)'!A11)</f>
        <v>46202</v>
      </c>
      <c r="B11" s="13">
        <f>IF(OR((ROW()-1)&lt;6,'实盘净值数据(iFinD公式)'!$A11="",'实盘净值数据(iFinD公式)'!$B11=""),"",SUMPRODUCT(实盘持仓初始配置!$B$4:$X$4,'实盘净值数据(iFinD公式)'!$B11:$X11/'实盘净值数据(iFinD公式)'!$B$6:$X$6)*(1-实盘持仓初始配置!$Z$4)^(('实盘净值数据(iFinD公式)'!$A11-'实盘净值数据(iFinD公式)'!$A$6)/365))</f>
        <v>1.0294386648056562</v>
      </c>
      <c r="C11" s="16">
        <f>IF(OR(B10="",'实盘净值数据(iFinD公式)'!$A11="",'实盘净值数据(iFinD公式)'!$B11=""),"",(SUMPRODUCT(实盘持仓初始配置!$B$4:$X$4,'实盘净值数据(iFinD公式)'!$B10:$X10/'实盘净值数据(iFinD公式)'!$B$6:$X$6,'实盘净值数据(iFinD公式)'!$B11:$X11/'实盘净值数据(iFinD公式)'!$B10:$X10)/SUMPRODUCT(实盘持仓初始配置!$B$4:$X$4,'实盘净值数据(iFinD公式)'!$B10:$X10/'实盘净值数据(iFinD公式)'!$B$6:$X$6))*(1-实盘持仓初始配置!$Z$4)^(('实盘净值数据(iFinD公式)'!$A11-'实盘净值数据(iFinD公式)'!$A10)/365)-1)</f>
        <v>9.8023152719246553E-3</v>
      </c>
      <c r="D11" s="16">
        <f>IF(B11="","",B11/MAX(B$5:B11)-1)</f>
        <v>-1.906200466530128E-2</v>
      </c>
      <c r="E11" s="13">
        <f>IF(OR((ROW()-1)&lt;5,'实盘净值数据(iFinD公式)'!$A11="",'实盘净值数据(iFinD公式)'!$B11=""),"",SUMPRODUCT(实盘持仓初始配置!$B$5:$X$5,'实盘净值数据(iFinD公式)'!$B11:$X11/'实盘净值数据(iFinD公式)'!$B$5:$X$5)*(1-实盘持仓初始配置!$Z$5)^(('实盘净值数据(iFinD公式)'!$A11-'实盘净值数据(iFinD公式)'!$A$5)/365))</f>
        <v>1.0532583926143868</v>
      </c>
      <c r="F11" s="16">
        <f>IF(OR(E10="",'实盘净值数据(iFinD公式)'!$A11="",'实盘净值数据(iFinD公式)'!$B11=""),"",(SUMPRODUCT(实盘持仓初始配置!$B$5:$X$5,'实盘净值数据(iFinD公式)'!$B10:$X10/'实盘净值数据(iFinD公式)'!$B$5:$X$5,'实盘净值数据(iFinD公式)'!$B11:$X11/'实盘净值数据(iFinD公式)'!$B10:$X10)/SUMPRODUCT(实盘持仓初始配置!$B$5:$X$5,'实盘净值数据(iFinD公式)'!$B10:$X10/'实盘净值数据(iFinD公式)'!$B$5:$X$5))*(1-实盘持仓初始配置!$Z$5)^(('实盘净值数据(iFinD公式)'!$A11-'实盘净值数据(iFinD公式)'!$A10)/365)-1)</f>
        <v>9.6949189145405512E-3</v>
      </c>
      <c r="G11" s="16">
        <f>IF(E11="","",E11/MAX(E$5:E11)-1)</f>
        <v>-1.9261833577678411E-2</v>
      </c>
      <c r="H11" s="13">
        <f>IF(OR((ROW()-1)&lt;7,'实盘净值数据(iFinD公式)'!$A11="",'实盘净值数据(iFinD公式)'!$B11=""),"",SUMPRODUCT(实盘持仓初始配置!$B$6:$X$6,'实盘净值数据(iFinD公式)'!$B11:$X11/'实盘净值数据(iFinD公式)'!$B$7:$X$7)*(1-实盘持仓初始配置!$Z$6)^(('实盘净值数据(iFinD公式)'!$A11-'实盘净值数据(iFinD公式)'!$A$7)/365))</f>
        <v>1.0685098764526948</v>
      </c>
      <c r="I11" s="16">
        <f>IF(OR(H10="",'实盘净值数据(iFinD公式)'!$A11="",'实盘净值数据(iFinD公式)'!$B11=""),"",(SUMPRODUCT(实盘持仓初始配置!$B$6:$X$6,'实盘净值数据(iFinD公式)'!$B10:$X10/'实盘净值数据(iFinD公式)'!$B$7:$X$7,'实盘净值数据(iFinD公式)'!$B11:$X11/'实盘净值数据(iFinD公式)'!$B10:$X10)/SUMPRODUCT(实盘持仓初始配置!$B$6:$X$6,'实盘净值数据(iFinD公式)'!$B10:$X10/'实盘净值数据(iFinD公式)'!$B$7:$X$7))*(1-实盘持仓初始配置!$Z$6)^(('实盘净值数据(iFinD公式)'!$A11-'实盘净值数据(iFinD公式)'!$A10)/365)-1)</f>
        <v>1.7003074126745288E-2</v>
      </c>
      <c r="J11" s="16">
        <f>IF(H11="","",H11/MAX(H$5:H11)-1)</f>
        <v>-5.2115522572828699E-3</v>
      </c>
      <c r="K11" s="13">
        <f>IF(OR((ROW()-1)&lt;8,'实盘净值数据(iFinD公式)'!$A11="",'实盘净值数据(iFinD公式)'!$B11=""),"",SUMPRODUCT(实盘持仓初始配置!$B$7:$X$7,'实盘净值数据(iFinD公式)'!$B11:$X11/'实盘净值数据(iFinD公式)'!$B$8:$X$8)*(1-实盘持仓初始配置!$Z$7)^(('实盘净值数据(iFinD公式)'!$A11-'实盘净值数据(iFinD公式)'!$A$8)/365))</f>
        <v>1.0013813603515529</v>
      </c>
      <c r="L11" s="16">
        <f>IF(OR(K10="",'实盘净值数据(iFinD公式)'!$A11="",'实盘净值数据(iFinD公式)'!$B11=""),"",(SUMPRODUCT(实盘持仓初始配置!$B$7:$X$7,'实盘净值数据(iFinD公式)'!$B10:$X10/'实盘净值数据(iFinD公式)'!$B$8:$X$8,'实盘净值数据(iFinD公式)'!$B11:$X11/'实盘净值数据(iFinD公式)'!$B10:$X10)/SUMPRODUCT(实盘持仓初始配置!$B$7:$X$7,'实盘净值数据(iFinD公式)'!$B10:$X10/'实盘净值数据(iFinD公式)'!$B$8:$X$8))*(1-实盘持仓初始配置!$Z$7)^(('实盘净值数据(iFinD公式)'!$A11-'实盘净值数据(iFinD公式)'!$A10)/365)-1)</f>
        <v>1.9001106318041749E-3</v>
      </c>
      <c r="M11" s="16">
        <f>IF(K11="","",K11/MAX(K$5:K11)-1)</f>
        <v>-3.2787890697050237E-5</v>
      </c>
      <c r="N11" s="13">
        <f>IF(OR((ROW()-1)&lt;5,'实盘净值数据(iFinD公式)'!$A11="",'实盘净值数据(iFinD公式)'!$B11=""),"",SUMPRODUCT(实盘持仓初始配置!$B$8:$X$8,'实盘净值数据(iFinD公式)'!$B11:$X11/'实盘净值数据(iFinD公式)'!$B$5:$X$5)*(1-实盘持仓初始配置!$Z$8)^(('实盘净值数据(iFinD公式)'!$A11-'实盘净值数据(iFinD公式)'!$A$5)/365))</f>
        <v>1.0005210497548791</v>
      </c>
      <c r="O11" s="16">
        <f>IF(OR(N10="",'实盘净值数据(iFinD公式)'!$A11="",'实盘净值数据(iFinD公式)'!$B11=""),"",(SUMPRODUCT(实盘持仓初始配置!$B$8:$X$8,'实盘净值数据(iFinD公式)'!$B10:$X10/'实盘净值数据(iFinD公式)'!$B$5:$X$5,'实盘净值数据(iFinD公式)'!$B11:$X11/'实盘净值数据(iFinD公式)'!$B10:$X10)/SUMPRODUCT(实盘持仓初始配置!$B$8:$X$8,'实盘净值数据(iFinD公式)'!$B10:$X10/'实盘净值数据(iFinD公式)'!$B$5:$X$5))*(1-实盘持仓初始配置!$Z$8)^(('实盘净值数据(iFinD公式)'!$A11-'实盘净值数据(iFinD公式)'!$A10)/365)-1)</f>
        <v>1.5929538895442796E-3</v>
      </c>
      <c r="P11" s="16">
        <f>IF(N11="","",N11/MAX(N$5:N11)-1)</f>
        <v>-7.5596622946594305E-4</v>
      </c>
      <c r="Q11" s="13">
        <f>IF(OR((ROW()-1)&lt;8,'实盘净值数据(iFinD公式)'!$A11="",'实盘净值数据(iFinD公式)'!$B11=""),"",SUMPRODUCT(实盘持仓初始配置!$B$9:$X$9,'实盘净值数据(iFinD公式)'!$B11:$X11/'实盘净值数据(iFinD公式)'!$B$8:$X$8)*(1-实盘持仓初始配置!$Z$9)^(('实盘净值数据(iFinD公式)'!$A11-'实盘净值数据(iFinD公式)'!$A$8)/365))</f>
        <v>1.0009806053834995</v>
      </c>
      <c r="R11" s="16">
        <f>IF(OR(Q10="",'实盘净值数据(iFinD公式)'!$A11="",'实盘净值数据(iFinD公式)'!$B11=""),"",(SUMPRODUCT(实盘持仓初始配置!$B$9:$X$9,'实盘净值数据(iFinD公式)'!$B10:$X10/'实盘净值数据(iFinD公式)'!$B$8:$X$8,'实盘净值数据(iFinD公式)'!$B11:$X11/'实盘净值数据(iFinD公式)'!$B10:$X10)/SUMPRODUCT(实盘持仓初始配置!$B$9:$X$9,'实盘净值数据(iFinD公式)'!$B10:$X10/'实盘净值数据(iFinD公式)'!$B$8:$X$8))*(1-实盘持仓初始配置!$Z$9)^(('实盘净值数据(iFinD公式)'!$A11-'实盘净值数据(iFinD公式)'!$A10)/365)-1)</f>
        <v>3.7831246572348487E-3</v>
      </c>
      <c r="S11" s="16">
        <f>IF(Q11="","",Q11/MAX(Q$5:Q11)-1)</f>
        <v>-2.9807596670892167E-3</v>
      </c>
      <c r="U11" s="17"/>
      <c r="V11" s="18"/>
    </row>
    <row r="12" spans="1:22">
      <c r="A12" s="15">
        <f>IF('实盘净值数据(iFinD公式)'!A12="","",'实盘净值数据(iFinD公式)'!A12)</f>
        <v>46203</v>
      </c>
      <c r="B12" s="13">
        <f>IF(OR((ROW()-1)&lt;6,'实盘净值数据(iFinD公式)'!$A12="",'实盘净值数据(iFinD公式)'!$B12=""),"",SUMPRODUCT(实盘持仓初始配置!$B$4:$X$4,'实盘净值数据(iFinD公式)'!$B12:$X12/'实盘净值数据(iFinD公式)'!$B$6:$X$6)*(1-实盘持仓初始配置!$Z$4)^(('实盘净值数据(iFinD公式)'!$A12-'实盘净值数据(iFinD公式)'!$A$6)/365))</f>
        <v>1.0748479117145109</v>
      </c>
      <c r="C12" s="16">
        <f>IF(OR(B11="",'实盘净值数据(iFinD公式)'!$A12="",'实盘净值数据(iFinD公式)'!$B12=""),"",(SUMPRODUCT(实盘持仓初始配置!$B$4:$X$4,'实盘净值数据(iFinD公式)'!$B11:$X11/'实盘净值数据(iFinD公式)'!$B$6:$X$6,'实盘净值数据(iFinD公式)'!$B12:$X12/'实盘净值数据(iFinD公式)'!$B11:$X11)/SUMPRODUCT(实盘持仓初始配置!$B$4:$X$4,'实盘净值数据(iFinD公式)'!$B11:$X11/'实盘净值数据(iFinD公式)'!$B$6:$X$6))*(1-实盘持仓初始配置!$Z$4)^(('实盘净值数据(iFinD公式)'!$A12-'实盘净值数据(iFinD公式)'!$A11)/365)-1)</f>
        <v>4.4110687174769625E-2</v>
      </c>
      <c r="D12" s="16">
        <f>IF(B12="","",B12/MAX(B$5:B12)-1)</f>
        <v>0</v>
      </c>
      <c r="E12" s="13">
        <f>IF(OR((ROW()-1)&lt;5,'实盘净值数据(iFinD公式)'!$A12="",'实盘净值数据(iFinD公式)'!$B12=""),"",SUMPRODUCT(实盘持仓初始配置!$B$5:$X$5,'实盘净值数据(iFinD公式)'!$B12:$X12/'实盘净值数据(iFinD公式)'!$B$5:$X$5)*(1-实盘持仓初始配置!$Z$5)^(('实盘净值数据(iFinD公式)'!$A12-'实盘净值数据(iFinD公式)'!$A$5)/365))</f>
        <v>1.0997368712958928</v>
      </c>
      <c r="F12" s="16">
        <f>IF(OR(E11="",'实盘净值数据(iFinD公式)'!$A12="",'实盘净值数据(iFinD公式)'!$B12=""),"",(SUMPRODUCT(实盘持仓初始配置!$B$5:$X$5,'实盘净值数据(iFinD公式)'!$B11:$X11/'实盘净值数据(iFinD公式)'!$B$5:$X$5,'实盘净值数据(iFinD公式)'!$B12:$X12/'实盘净值数据(iFinD公式)'!$B11:$X11)/SUMPRODUCT(实盘持仓初始配置!$B$5:$X$5,'实盘净值数据(iFinD公式)'!$B11:$X11/'实盘净值数据(iFinD公式)'!$B$5:$X$5))*(1-实盘持仓初始配置!$Z$5)^(('实盘净值数据(iFinD公式)'!$A12-'实盘净值数据(iFinD公式)'!$A11)/365)-1)</f>
        <v>4.412827755033355E-2</v>
      </c>
      <c r="G12" s="16">
        <f>IF(E12="","",E12/MAX(E$5:E12)-1)</f>
        <v>0</v>
      </c>
      <c r="H12" s="13">
        <f>IF(OR((ROW()-1)&lt;7,'实盘净值数据(iFinD公式)'!$A12="",'实盘净值数据(iFinD公式)'!$B12=""),"",SUMPRODUCT(实盘持仓初始配置!$B$6:$X$6,'实盘净值数据(iFinD公式)'!$B12:$X12/'实盘净值数据(iFinD公式)'!$B$7:$X$7)*(1-实盘持仓初始配置!$Z$6)^(('实盘净值数据(iFinD公式)'!$A12-'实盘净值数据(iFinD公式)'!$A$7)/365))</f>
        <v>1.1117066956825354</v>
      </c>
      <c r="I12" s="16">
        <f>IF(OR(H11="",'实盘净值数据(iFinD公式)'!$A12="",'实盘净值数据(iFinD公式)'!$B12=""),"",(SUMPRODUCT(实盘持仓初始配置!$B$6:$X$6,'实盘净值数据(iFinD公式)'!$B11:$X11/'实盘净值数据(iFinD公式)'!$B$7:$X$7,'实盘净值数据(iFinD公式)'!$B12:$X12/'实盘净值数据(iFinD公式)'!$B11:$X11)/SUMPRODUCT(实盘持仓初始配置!$B$6:$X$6,'实盘净值数据(iFinD公式)'!$B11:$X11/'实盘净值数据(iFinD公式)'!$B$7:$X$7))*(1-实盘持仓初始配置!$Z$6)^(('实盘净值数据(iFinD公式)'!$A12-'实盘净值数据(iFinD公式)'!$A11)/365)-1)</f>
        <v>4.042715952542042E-2</v>
      </c>
      <c r="J12" s="16">
        <f>IF(H12="","",H12/MAX(H$5:H12)-1)</f>
        <v>0</v>
      </c>
      <c r="K12" s="13">
        <f>IF(OR((ROW()-1)&lt;8,'实盘净值数据(iFinD公式)'!$A12="",'实盘净值数据(iFinD公式)'!$B12=""),"",SUMPRODUCT(实盘持仓初始配置!$B$7:$X$7,'实盘净值数据(iFinD公式)'!$B12:$X12/'实盘净值数据(iFinD公式)'!$B$8:$X$8)*(1-实盘持仓初始配置!$Z$7)^(('实盘净值数据(iFinD公式)'!$A12-'实盘净值数据(iFinD公式)'!$A$8)/365))</f>
        <v>1.0032719936317975</v>
      </c>
      <c r="L12" s="16">
        <f>IF(OR(K11="",'实盘净值数据(iFinD公式)'!$A12="",'实盘净值数据(iFinD公式)'!$B12=""),"",(SUMPRODUCT(实盘持仓初始配置!$B$7:$X$7,'实盘净值数据(iFinD公式)'!$B11:$X11/'实盘净值数据(iFinD公式)'!$B$8:$X$8,'实盘净值数据(iFinD公式)'!$B12:$X12/'实盘净值数据(iFinD公式)'!$B11:$X11)/SUMPRODUCT(实盘持仓初始配置!$B$7:$X$7,'实盘净值数据(iFinD公式)'!$B11:$X11/'实盘净值数据(iFinD公式)'!$B$8:$X$8))*(1-实盘持仓初始配置!$Z$7)^(('实盘净值数据(iFinD公式)'!$A12-'实盘净值数据(iFinD公式)'!$A11)/365)-1)</f>
        <v>1.888025237039237E-3</v>
      </c>
      <c r="M12" s="16">
        <f>IF(K12="","",K12/MAX(K$5:K12)-1)</f>
        <v>0</v>
      </c>
      <c r="N12" s="13">
        <f>IF(OR((ROW()-1)&lt;5,'实盘净值数据(iFinD公式)'!$A12="",'实盘净值数据(iFinD公式)'!$B12=""),"",SUMPRODUCT(实盘持仓初始配置!$B$8:$X$8,'实盘净值数据(iFinD公式)'!$B12:$X12/'实盘净值数据(iFinD公式)'!$B$5:$X$5)*(1-实盘持仓初始配置!$Z$8)^(('实盘净值数据(iFinD公式)'!$A12-'实盘净值数据(iFinD公式)'!$A$5)/365))</f>
        <v>1.0027101391424882</v>
      </c>
      <c r="O12" s="16">
        <f>IF(OR(N11="",'实盘净值数据(iFinD公式)'!$A12="",'实盘净值数据(iFinD公式)'!$B12=""),"",(SUMPRODUCT(实盘持仓初始配置!$B$8:$X$8,'实盘净值数据(iFinD公式)'!$B11:$X11/'实盘净值数据(iFinD公式)'!$B$5:$X$5,'实盘净值数据(iFinD公式)'!$B12:$X12/'实盘净值数据(iFinD公式)'!$B11:$X11)/SUMPRODUCT(实盘持仓初始配置!$B$8:$X$8,'实盘净值数据(iFinD公式)'!$B11:$X11/'实盘净值数据(iFinD公式)'!$B$5:$X$5))*(1-实盘持仓初始配置!$Z$8)^(('实盘净值数据(iFinD公式)'!$A12-'实盘净值数据(iFinD公式)'!$A11)/365)-1)</f>
        <v>2.1879493571328457E-3</v>
      </c>
      <c r="P12" s="16">
        <f>IF(N12="","",N12/MAX(N$5:N12)-1)</f>
        <v>0</v>
      </c>
      <c r="Q12" s="13">
        <f>IF(OR((ROW()-1)&lt;8,'实盘净值数据(iFinD公式)'!$A12="",'实盘净值数据(iFinD公式)'!$B12=""),"",SUMPRODUCT(实盘持仓初始配置!$B$9:$X$9,'实盘净值数据(iFinD公式)'!$B12:$X12/'实盘净值数据(iFinD公式)'!$B$8:$X$8)*(1-实盘持仓初始配置!$Z$9)^(('实盘净值数据(iFinD公式)'!$A12-'实盘净值数据(iFinD公式)'!$A$8)/365))</f>
        <v>1.0087618711402628</v>
      </c>
      <c r="R12" s="16">
        <f>IF(OR(Q11="",'实盘净值数据(iFinD公式)'!$A12="",'实盘净值数据(iFinD公式)'!$B12=""),"",(SUMPRODUCT(实盘持仓初始配置!$B$9:$X$9,'实盘净值数据(iFinD公式)'!$B11:$X11/'实盘净值数据(iFinD公式)'!$B$8:$X$8,'实盘净值数据(iFinD公式)'!$B12:$X12/'实盘净值数据(iFinD公式)'!$B11:$X11)/SUMPRODUCT(实盘持仓初始配置!$B$9:$X$9,'实盘净值数据(iFinD公式)'!$B11:$X11/'实盘净值数据(iFinD公式)'!$B$8:$X$8))*(1-实盘持仓初始配置!$Z$9)^(('实盘净值数据(iFinD公式)'!$A12-'实盘净值数据(iFinD公式)'!$A11)/365)-1)</f>
        <v>7.7736428807049229E-3</v>
      </c>
      <c r="S12" s="16">
        <f>IF(Q12="","",Q12/MAX(Q$5:Q12)-1)</f>
        <v>0</v>
      </c>
    </row>
    <row r="13" spans="1:22">
      <c r="A13" s="15">
        <f>IF('实盘净值数据(iFinD公式)'!A13="","",'实盘净值数据(iFinD公式)'!A13)</f>
        <v>46204</v>
      </c>
      <c r="B13" s="13">
        <f>IF(OR((ROW()-1)&lt;6,'实盘净值数据(iFinD公式)'!$A13="",'实盘净值数据(iFinD公式)'!$B13=""),"",SUMPRODUCT(实盘持仓初始配置!$B$4:$X$4,'实盘净值数据(iFinD公式)'!$B13:$X13/'实盘净值数据(iFinD公式)'!$B$6:$X$6)*(1-实盘持仓初始配置!$Z$4)^(('实盘净值数据(iFinD公式)'!$A13-'实盘净值数据(iFinD公式)'!$A$6)/365))</f>
        <v>1.0416673271387726</v>
      </c>
      <c r="C13" s="16">
        <f>IF(OR(B12="",'实盘净值数据(iFinD公式)'!$A13="",'实盘净值数据(iFinD公式)'!$B13=""),"",(SUMPRODUCT(实盘持仓初始配置!$B$4:$X$4,'实盘净值数据(iFinD公式)'!$B12:$X12/'实盘净值数据(iFinD公式)'!$B$6:$X$6,'实盘净值数据(iFinD公式)'!$B13:$X13/'实盘净值数据(iFinD公式)'!$B12:$X12)/SUMPRODUCT(实盘持仓初始配置!$B$4:$X$4,'实盘净值数据(iFinD公式)'!$B12:$X12/'实盘净值数据(iFinD公式)'!$B$6:$X$6))*(1-实盘持仓初始配置!$Z$4)^(('实盘净值数据(iFinD公式)'!$A13-'实盘净值数据(iFinD公式)'!$A12)/365)-1)</f>
        <v>-3.0870027483991924E-2</v>
      </c>
      <c r="D13" s="16">
        <f>IF(B13="","",B13/MAX(B$5:B13)-1)</f>
        <v>-3.0870027483991924E-2</v>
      </c>
      <c r="E13" s="13">
        <f>IF(OR((ROW()-1)&lt;5,'实盘净值数据(iFinD公式)'!$A13="",'实盘净值数据(iFinD公式)'!$B13=""),"",SUMPRODUCT(实盘持仓初始配置!$B$5:$X$5,'实盘净值数据(iFinD公式)'!$B13:$X13/'实盘净值数据(iFinD公式)'!$B$5:$X$5)*(1-实盘持仓初始配置!$Z$5)^(('实盘净值数据(iFinD公式)'!$A13-'实盘净值数据(iFinD公式)'!$A$5)/365))</f>
        <v>1.0657543280201871</v>
      </c>
      <c r="F13" s="16">
        <f>IF(OR(E12="",'实盘净值数据(iFinD公式)'!$A13="",'实盘净值数据(iFinD公式)'!$B13=""),"",(SUMPRODUCT(实盘持仓初始配置!$B$5:$X$5,'实盘净值数据(iFinD公式)'!$B12:$X12/'实盘净值数据(iFinD公式)'!$B$5:$X$5,'实盘净值数据(iFinD公式)'!$B13:$X13/'实盘净值数据(iFinD公式)'!$B12:$X12)/SUMPRODUCT(实盘持仓初始配置!$B$5:$X$5,'实盘净值数据(iFinD公式)'!$B12:$X12/'实盘净值数据(iFinD公式)'!$B$5:$X$5))*(1-实盘持仓初始配置!$Z$5)^(('实盘净值数据(iFinD公式)'!$A13-'实盘净值数据(iFinD公式)'!$A12)/365)-1)</f>
        <v>-3.0900612830832896E-2</v>
      </c>
      <c r="G13" s="16">
        <f>IF(E13="","",E13/MAX(E$5:E13)-1)</f>
        <v>-3.0900612830832785E-2</v>
      </c>
      <c r="H13" s="13">
        <f>IF(OR((ROW()-1)&lt;7,'实盘净值数据(iFinD公式)'!$A13="",'实盘净值数据(iFinD公式)'!$B13=""),"",SUMPRODUCT(实盘持仓初始配置!$B$6:$X$6,'实盘净值数据(iFinD公式)'!$B13:$X13/'实盘净值数据(iFinD公式)'!$B$7:$X$7)*(1-实盘持仓初始配置!$Z$6)^(('实盘净值数据(iFinD公式)'!$A13-'实盘净值数据(iFinD公式)'!$A$7)/365))</f>
        <v>1.0836174881519127</v>
      </c>
      <c r="I13" s="16">
        <f>IF(OR(H12="",'实盘净值数据(iFinD公式)'!$A13="",'实盘净值数据(iFinD公式)'!$B13=""),"",(SUMPRODUCT(实盘持仓初始配置!$B$6:$X$6,'实盘净值数据(iFinD公式)'!$B12:$X12/'实盘净值数据(iFinD公式)'!$B$7:$X$7,'实盘净值数据(iFinD公式)'!$B13:$X13/'实盘净值数据(iFinD公式)'!$B12:$X12)/SUMPRODUCT(实盘持仓初始配置!$B$6:$X$6,'实盘净值数据(iFinD公式)'!$B12:$X12/'实盘净值数据(iFinD公式)'!$B$7:$X$7))*(1-实盘持仓初始配置!$Z$6)^(('实盘净值数据(iFinD公式)'!$A13-'实盘净值数据(iFinD公式)'!$A12)/365)-1)</f>
        <v>-2.5266743143412818E-2</v>
      </c>
      <c r="J13" s="16">
        <f>IF(H13="","",H13/MAX(H$5:H13)-1)</f>
        <v>-2.5266743143412707E-2</v>
      </c>
      <c r="K13" s="13">
        <f>IF(OR((ROW()-1)&lt;8,'实盘净值数据(iFinD公式)'!$A13="",'实盘净值数据(iFinD公式)'!$B13=""),"",SUMPRODUCT(实盘持仓初始配置!$B$7:$X$7,'实盘净值数据(iFinD公式)'!$B13:$X13/'实盘净值数据(iFinD公式)'!$B$8:$X$8)*(1-实盘持仓初始配置!$Z$7)^(('实盘净值数据(iFinD公式)'!$A13-'实盘净值数据(iFinD公式)'!$A$8)/365))</f>
        <v>1.0008642071384042</v>
      </c>
      <c r="L13" s="16">
        <f>IF(OR(K12="",'实盘净值数据(iFinD公式)'!$A13="",'实盘净值数据(iFinD公式)'!$B13=""),"",(SUMPRODUCT(实盘持仓初始配置!$B$7:$X$7,'实盘净值数据(iFinD公式)'!$B12:$X12/'实盘净值数据(iFinD公式)'!$B$8:$X$8,'实盘净值数据(iFinD公式)'!$B13:$X13/'实盘净值数据(iFinD公式)'!$B12:$X12)/SUMPRODUCT(实盘持仓初始配置!$B$7:$X$7,'实盘净值数据(iFinD公式)'!$B12:$X12/'实盘净值数据(iFinD公式)'!$B$8:$X$8))*(1-实盘持仓初始配置!$Z$7)^(('实盘净值数据(iFinD公式)'!$A13-'实盘净值数据(iFinD公式)'!$A12)/365)-1)</f>
        <v>-2.3999339248743645E-3</v>
      </c>
      <c r="M13" s="16">
        <f>IF(K13="","",K13/MAX(K$5:K13)-1)</f>
        <v>-2.3999339248744755E-3</v>
      </c>
      <c r="N13" s="13">
        <f>IF(OR((ROW()-1)&lt;5,'实盘净值数据(iFinD公式)'!$A13="",'实盘净值数据(iFinD公式)'!$B13=""),"",SUMPRODUCT(实盘持仓初始配置!$B$8:$X$8,'实盘净值数据(iFinD公式)'!$B13:$X13/'实盘净值数据(iFinD公式)'!$B$5:$X$5)*(1-实盘持仓初始配置!$Z$8)^(('实盘净值数据(iFinD公式)'!$A13-'实盘净值数据(iFinD公式)'!$A$5)/365))</f>
        <v>0.99998436731801976</v>
      </c>
      <c r="O13" s="16">
        <f>IF(OR(N12="",'实盘净值数据(iFinD公式)'!$A13="",'实盘净值数据(iFinD公式)'!$B13=""),"",(SUMPRODUCT(实盘持仓初始配置!$B$8:$X$8,'实盘净值数据(iFinD公式)'!$B12:$X12/'实盘净值数据(iFinD公式)'!$B$5:$X$5,'实盘净值数据(iFinD公式)'!$B13:$X13/'实盘净值数据(iFinD公式)'!$B12:$X12)/SUMPRODUCT(实盘持仓初始配置!$B$8:$X$8,'实盘净值数据(iFinD公式)'!$B12:$X12/'实盘净值数据(iFinD公式)'!$B$5:$X$5))*(1-实盘持仓初始配置!$Z$8)^(('实盘净值数据(iFinD公式)'!$A13-'实盘净值数据(iFinD公式)'!$A12)/365)-1)</f>
        <v>-2.7184045698385173E-3</v>
      </c>
      <c r="P13" s="16">
        <f>IF(N13="","",N13/MAX(N$5:N13)-1)</f>
        <v>-2.7184045698386283E-3</v>
      </c>
      <c r="Q13" s="13">
        <f>IF(OR((ROW()-1)&lt;8,'实盘净值数据(iFinD公式)'!$A13="",'实盘净值数据(iFinD公式)'!$B13=""),"",SUMPRODUCT(实盘持仓初始配置!$B$9:$X$9,'实盘净值数据(iFinD公式)'!$B13:$X13/'实盘净值数据(iFinD公式)'!$B$8:$X$8)*(1-实盘持仓初始配置!$Z$9)^(('实盘净值数据(iFinD公式)'!$A13-'实盘净值数据(iFinD公式)'!$A$8)/365))</f>
        <v>1.0039155476418373</v>
      </c>
      <c r="R13" s="16">
        <f>IF(OR(Q12="",'实盘净值数据(iFinD公式)'!$A13="",'实盘净值数据(iFinD公式)'!$B13=""),"",(SUMPRODUCT(实盘持仓初始配置!$B$9:$X$9,'实盘净值数据(iFinD公式)'!$B12:$X12/'实盘净值数据(iFinD公式)'!$B$8:$X$8,'实盘净值数据(iFinD公式)'!$B13:$X13/'实盘净值数据(iFinD公式)'!$B12:$X12)/SUMPRODUCT(实盘持仓初始配置!$B$9:$X$9,'实盘净值数据(iFinD公式)'!$B12:$X12/'实盘净值数据(iFinD公式)'!$B$8:$X$8))*(1-实盘持仓初始配置!$Z$9)^(('实盘净值数据(iFinD公式)'!$A13-'实盘净值数据(iFinD公式)'!$A12)/365)-1)</f>
        <v>-4.8042294589777379E-3</v>
      </c>
      <c r="S13" s="16">
        <f>IF(Q13="","",Q13/MAX(Q$5:Q13)-1)</f>
        <v>-4.8042294589777379E-3</v>
      </c>
    </row>
    <row r="14" spans="1:22">
      <c r="A14" s="15">
        <f>IF('实盘净值数据(iFinD公式)'!A14="","",'实盘净值数据(iFinD公式)'!A14)</f>
        <v>46205</v>
      </c>
      <c r="B14" s="13">
        <f>IF(OR((ROW()-1)&lt;6,'实盘净值数据(iFinD公式)'!$A14="",'实盘净值数据(iFinD公式)'!$B14=""),"",SUMPRODUCT(实盘持仓初始配置!$B$4:$X$4,'实盘净值数据(iFinD公式)'!$B14:$X14/'实盘净值数据(iFinD公式)'!$B$6:$X$6)*(1-实盘持仓初始配置!$Z$4)^(('实盘净值数据(iFinD公式)'!$A14-'实盘净值数据(iFinD公式)'!$A$6)/365))</f>
        <v>0.9502400516447862</v>
      </c>
      <c r="C14" s="16">
        <f>IF(OR(B13="",'实盘净值数据(iFinD公式)'!$A14="",'实盘净值数据(iFinD公式)'!$B14=""),"",(SUMPRODUCT(实盘持仓初始配置!$B$4:$X$4,'实盘净值数据(iFinD公式)'!$B13:$X13/'实盘净值数据(iFinD公式)'!$B$6:$X$6,'实盘净值数据(iFinD公式)'!$B14:$X14/'实盘净值数据(iFinD公式)'!$B13:$X13)/SUMPRODUCT(实盘持仓初始配置!$B$4:$X$4,'实盘净值数据(iFinD公式)'!$B13:$X13/'实盘净值数据(iFinD公式)'!$B$6:$X$6))*(1-实盘持仓初始配置!$Z$4)^(('实盘净值数据(iFinD公式)'!$A14-'实盘净值数据(iFinD公式)'!$A13)/365)-1)</f>
        <v>-8.7770128823294269E-2</v>
      </c>
      <c r="D14" s="16">
        <f>IF(B14="","",B14/MAX(B$5:B14)-1)</f>
        <v>-0.1159306900182373</v>
      </c>
      <c r="E14" s="13">
        <f>IF(OR((ROW()-1)&lt;5,'实盘净值数据(iFinD公式)'!$A14="",'实盘净值数据(iFinD公式)'!$B14=""),"",SUMPRODUCT(实盘持仓初始配置!$B$5:$X$5,'实盘净值数据(iFinD公式)'!$B14:$X14/'实盘净值数据(iFinD公式)'!$B$5:$X$5)*(1-实盘持仓初始配置!$Z$5)^(('实盘净值数据(iFinD公式)'!$A14-'实盘净值数据(iFinD公式)'!$A$5)/365))</f>
        <v>0.97222777037242381</v>
      </c>
      <c r="F14" s="16">
        <f>IF(OR(E13="",'实盘净值数据(iFinD公式)'!$A14="",'实盘净值数据(iFinD公式)'!$B14=""),"",(SUMPRODUCT(实盘持仓初始配置!$B$5:$X$5,'实盘净值数据(iFinD公式)'!$B13:$X13/'实盘净值数据(iFinD公式)'!$B$5:$X$5,'实盘净值数据(iFinD公式)'!$B14:$X14/'实盘净值数据(iFinD公式)'!$B13:$X13)/SUMPRODUCT(实盘持仓初始配置!$B$5:$X$5,'实盘净值数据(iFinD公式)'!$B13:$X13/'实盘净值数据(iFinD公式)'!$B$5:$X$5))*(1-实盘持仓初始配置!$Z$5)^(('实盘净值数据(iFinD公式)'!$A14-'实盘净值数据(iFinD公式)'!$A13)/365)-1)</f>
        <v>-8.7756207212880244E-2</v>
      </c>
      <c r="G14" s="16">
        <f>IF(E14="","",E14/MAX(E$5:E14)-1)</f>
        <v>-0.1159450994611253</v>
      </c>
      <c r="H14" s="13">
        <f>IF(OR((ROW()-1)&lt;7,'实盘净值数据(iFinD公式)'!$A14="",'实盘净值数据(iFinD公式)'!$B14=""),"",SUMPRODUCT(实盘持仓初始配置!$B$6:$X$6,'实盘净值数据(iFinD公式)'!$B14:$X14/'实盘净值数据(iFinD公式)'!$B$7:$X$7)*(1-实盘持仓初始配置!$Z$6)^(('实盘净值数据(iFinD公式)'!$A14-'实盘净值数据(iFinD公式)'!$A$7)/365))</f>
        <v>0.9917522529182049</v>
      </c>
      <c r="I14" s="16">
        <f>IF(OR(H13="",'实盘净值数据(iFinD公式)'!$A14="",'实盘净值数据(iFinD公式)'!$B14=""),"",(SUMPRODUCT(实盘持仓初始配置!$B$6:$X$6,'实盘净值数据(iFinD公式)'!$B13:$X13/'实盘净值数据(iFinD公式)'!$B$7:$X$7,'实盘净值数据(iFinD公式)'!$B14:$X14/'实盘净值数据(iFinD公式)'!$B13:$X13)/SUMPRODUCT(实盘持仓初始配置!$B$6:$X$6,'实盘净值数据(iFinD公式)'!$B13:$X13/'实盘净值数据(iFinD公式)'!$B$7:$X$7))*(1-实盘持仓初始配置!$Z$6)^(('实盘净值数据(iFinD公式)'!$A14-'实盘净值数据(iFinD公式)'!$A13)/365)-1)</f>
        <v>-8.477644209155577E-2</v>
      </c>
      <c r="J14" s="16">
        <f>IF(H14="","",H14/MAX(H$5:H14)-1)</f>
        <v>-0.10790116064802879</v>
      </c>
      <c r="K14" s="13">
        <f>IF(OR('实盘净值数据(iFinD公式)'!$A14="",'实盘净值数据(iFinD公式)'!$B14=""),"",分期持仓明细!$AB$9*SUMPRODUCT(分期持仓明细!$B$9:$Y$9,'实盘净值数据(iFinD公式)'!$B14:$Y14/'实盘净值数据(iFinD公式)'!$B$13:$Y$13)*(1-实盘持仓初始配置!$Z$7)^(('实盘净值数据(iFinD公式)'!$A14-'实盘净值数据(iFinD公式)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初始配置!$Z$8)^(('实盘净值数据(iFinD公式)'!$A14-'实盘净值数据(iFinD公式)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初始配置!$Z$9)^(('实盘净值数据(iFinD公式)'!$A14-'实盘净值数据(iFinD公式)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</row>
    <row r="15" spans="1:22">
      <c r="A15" s="15">
        <f>IF('实盘净值数据(iFinD公式)'!A15="","",'实盘净值数据(iFinD公式)'!A15)</f>
        <v>46206</v>
      </c>
      <c r="B15" s="13">
        <f>IF(OR((ROW()-1)&lt;6,'实盘净值数据(iFinD公式)'!$A15="",'实盘净值数据(iFinD公式)'!$B15=""),"",SUMPRODUCT(实盘持仓初始配置!$B$4:$X$4,'实盘净值数据(iFinD公式)'!$B15:$X15/'实盘净值数据(iFinD公式)'!$B$6:$X$6)*(1-实盘持仓初始配置!$Z$4)^(('实盘净值数据(iFinD公式)'!$A15-'实盘净值数据(iFinD公式)'!$A$6)/365))</f>
        <v>0.94321899538470466</v>
      </c>
      <c r="C15" s="16">
        <f>IF(OR(B14="",'实盘净值数据(iFinD公式)'!$A15="",'实盘净值数据(iFinD公式)'!$B15=""),"",(SUMPRODUCT(实盘持仓初始配置!$B$4:$X$4,'实盘净值数据(iFinD公式)'!$B14:$X14/'实盘净值数据(iFinD公式)'!$B$6:$X$6,'实盘净值数据(iFinD公式)'!$B15:$X15/'实盘净值数据(iFinD公式)'!$B14:$X14)/SUMPRODUCT(实盘持仓初始配置!$B$4:$X$4,'实盘净值数据(iFinD公式)'!$B14:$X14/'实盘净值数据(iFinD公式)'!$B$6:$X$6))*(1-实盘持仓初始配置!$Z$4)^(('实盘净值数据(iFinD公式)'!$A15-'实盘净值数据(iFinD公式)'!$A14)/365)-1)</f>
        <v>-7.3887185116313647E-3</v>
      </c>
      <c r="D15" s="16">
        <f>IF(B15="","",B15/MAX(B$5:B15)-1)</f>
        <v>-0.12246282929446495</v>
      </c>
      <c r="E15" s="13">
        <f>IF(OR((ROW()-1)&lt;5,'实盘净值数据(iFinD公式)'!$A15="",'实盘净值数据(iFinD公式)'!$B15=""),"",SUMPRODUCT(实盘持仓初始配置!$B$5:$X$5,'实盘净值数据(iFinD公式)'!$B15:$X15/'实盘净值数据(iFinD公式)'!$B$5:$X$5)*(1-实盘持仓初始配置!$Z$5)^(('实盘净值数据(iFinD公式)'!$A15-'实盘净值数据(iFinD公式)'!$A$5)/365))</f>
        <v>0.9650764877591137</v>
      </c>
      <c r="F15" s="16">
        <f>IF(OR(E14="",'实盘净值数据(iFinD公式)'!$A15="",'实盘净值数据(iFinD公式)'!$B15=""),"",(SUMPRODUCT(实盘持仓初始配置!$B$5:$X$5,'实盘净值数据(iFinD公式)'!$B14:$X14/'实盘净值数据(iFinD公式)'!$B$5:$X$5,'实盘净值数据(iFinD公式)'!$B15:$X15/'实盘净值数据(iFinD公式)'!$B14:$X14)/SUMPRODUCT(实盘持仓初始配置!$B$5:$X$5,'实盘净值数据(iFinD公式)'!$B14:$X14/'实盘净值数据(iFinD公式)'!$B$5:$X$5))*(1-实盘持仓初始配置!$Z$5)^(('实盘净值数据(iFinD公式)'!$A15-'实盘净值数据(iFinD公式)'!$A14)/365)-1)</f>
        <v>-7.3555629979286108E-3</v>
      </c>
      <c r="G15" s="16">
        <f>IF(E15="","",E15/MAX(E$5:E15)-1)</f>
        <v>-0.12244782097566653</v>
      </c>
      <c r="H15" s="13">
        <f>IF(OR((ROW()-1)&lt;7,'实盘净值数据(iFinD公式)'!$A15="",'实盘净值数据(iFinD公式)'!$B15=""),"",SUMPRODUCT(实盘持仓初始配置!$B$6:$X$6,'实盘净值数据(iFinD公式)'!$B15:$X15/'实盘净值数据(iFinD公式)'!$B$7:$X$7)*(1-实盘持仓初始配置!$Z$6)^(('实盘净值数据(iFinD公式)'!$A15-'实盘净值数据(iFinD公式)'!$A$7)/365))</f>
        <v>0.98876258967330444</v>
      </c>
      <c r="I15" s="16">
        <f>IF(OR(H14="",'实盘净值数据(iFinD公式)'!$A15="",'实盘净值数据(iFinD公式)'!$B15=""),"",(SUMPRODUCT(实盘持仓初始配置!$B$6:$X$6,'实盘净值数据(iFinD公式)'!$B14:$X14/'实盘净值数据(iFinD公式)'!$B$7:$X$7,'实盘净值数据(iFinD公式)'!$B15:$X15/'实盘净值数据(iFinD公式)'!$B14:$X14)/SUMPRODUCT(实盘持仓初始配置!$B$6:$X$6,'实盘净值数据(iFinD公式)'!$B14:$X14/'实盘净值数据(iFinD公式)'!$B$7:$X$7))*(1-实盘持仓初始配置!$Z$6)^(('实盘净值数据(iFinD公式)'!$A15-'实盘净值数据(iFinD公式)'!$A14)/365)-1)</f>
        <v>-3.0145262953558127E-3</v>
      </c>
      <c r="J15" s="16">
        <f>IF(H15="","",H15/MAX(H$5:H15)-1)</f>
        <v>-0.1105904160573119</v>
      </c>
      <c r="K15" s="13">
        <f>IF(OR('实盘净值数据(iFinD公式)'!$A15="",'实盘净值数据(iFinD公式)'!$B15=""),"",分期持仓明细!$AB$9*SUMPRODUCT(分期持仓明细!$B$9:$Y$9,'实盘净值数据(iFinD公式)'!$B15:$Y15/'实盘净值数据(iFinD公式)'!$B$13:$Y$13)*(1-实盘持仓初始配置!$Z$7)^(('实盘净值数据(iFinD公式)'!$A15-'实盘净值数据(iFinD公式)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初始配置!$Z$8)^(('实盘净值数据(iFinD公式)'!$A15-'实盘净值数据(iFinD公式)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初始配置!$Z$9)^(('实盘净值数据(iFinD公式)'!$A15-'实盘净值数据(iFinD公式)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</row>
    <row r="16" spans="1:22">
      <c r="A16" s="15">
        <f>IF('实盘净值数据(iFinD公式)'!A16="","",'实盘净值数据(iFinD公式)'!A16)</f>
        <v>46209</v>
      </c>
      <c r="B16" s="13">
        <f>IF(OR((ROW()-1)&lt;6,'实盘净值数据(iFinD公式)'!$A16="",'实盘净值数据(iFinD公式)'!$B16=""),"",SUMPRODUCT(实盘持仓初始配置!$B$4:$X$4,'实盘净值数据(iFinD公式)'!$B16:$X16/'实盘净值数据(iFinD公式)'!$B$6:$X$6)*(1-实盘持仓初始配置!$Z$4)^(('实盘净值数据(iFinD公式)'!$A16-'实盘净值数据(iFinD公式)'!$A$6)/365))</f>
        <v>0.92459185139429301</v>
      </c>
      <c r="C16" s="16">
        <f>IF(OR(B15="",'实盘净值数据(iFinD公式)'!$A16="",'实盘净值数据(iFinD公式)'!$B16=""),"",(SUMPRODUCT(实盘持仓初始配置!$B$4:$X$4,'实盘净值数据(iFinD公式)'!$B15:$X15/'实盘净值数据(iFinD公式)'!$B$6:$X$6,'实盘净值数据(iFinD公式)'!$B16:$X16/'实盘净值数据(iFinD公式)'!$B15:$X15)/SUMPRODUCT(实盘持仓初始配置!$B$4:$X$4,'实盘净值数据(iFinD公式)'!$B15:$X15/'实盘净值数据(iFinD公式)'!$B$6:$X$6))*(1-实盘持仓初始配置!$Z$4)^(('实盘净值数据(iFinD公式)'!$A16-'实盘净值数据(iFinD公式)'!$A15)/365)-1)</f>
        <v>-1.9748482676405832E-2</v>
      </c>
      <c r="D16" s="16">
        <f>IF(B16="","",B16/MAX(B$5:B16)-1)</f>
        <v>-0.13979285690804522</v>
      </c>
      <c r="E16" s="13">
        <f>IF(OR((ROW()-1)&lt;5,'实盘净值数据(iFinD公式)'!$A16="",'实盘净值数据(iFinD公式)'!$B16=""),"",SUMPRODUCT(实盘持仓初始配置!$B$5:$X$5,'实盘净值数据(iFinD公式)'!$B16:$X16/'实盘净值数据(iFinD公式)'!$B$5:$X$5)*(1-实盘持仓初始配置!$Z$5)^(('实盘净值数据(iFinD公式)'!$A16-'实盘净值数据(iFinD公式)'!$A$5)/365))</f>
        <v>0.94597775731161959</v>
      </c>
      <c r="F16" s="16">
        <f>IF(OR(E15="",'实盘净值数据(iFinD公式)'!$A16="",'实盘净值数据(iFinD公式)'!$B16=""),"",(SUMPRODUCT(实盘持仓初始配置!$B$5:$X$5,'实盘净值数据(iFinD公式)'!$B15:$X15/'实盘净值数据(iFinD公式)'!$B$5:$X$5,'实盘净值数据(iFinD公式)'!$B16:$X16/'实盘净值数据(iFinD公式)'!$B15:$X15)/SUMPRODUCT(实盘持仓初始配置!$B$5:$X$5,'实盘净值数据(iFinD公式)'!$B15:$X15/'实盘净值数据(iFinD公式)'!$B$5:$X$5))*(1-实盘持仓初始配置!$Z$5)^(('实盘净值数据(iFinD公式)'!$A16-'实盘净值数据(iFinD公式)'!$A15)/365)-1)</f>
        <v>-1.9789861932955177E-2</v>
      </c>
      <c r="G16" s="16">
        <f>IF(E16="","",E16/MAX(E$5:E16)-1)</f>
        <v>-0.13981445743752197</v>
      </c>
      <c r="H16" s="13">
        <f>IF(OR((ROW()-1)&lt;7,'实盘净值数据(iFinD公式)'!$A16="",'实盘净值数据(iFinD公式)'!$B16=""),"",SUMPRODUCT(实盘持仓初始配置!$B$6:$X$6,'实盘净值数据(iFinD公式)'!$B16:$X16/'实盘净值数据(iFinD公式)'!$B$7:$X$7)*(1-实盘持仓初始配置!$Z$6)^(('实盘净值数据(iFinD公式)'!$A16-'实盘净值数据(iFinD公式)'!$A$7)/365))</f>
        <v>0.97195202442112383</v>
      </c>
      <c r="I16" s="16">
        <f>IF(OR(H15="",'实盘净值数据(iFinD公式)'!$A16="",'实盘净值数据(iFinD公式)'!$B16=""),"",(SUMPRODUCT(实盘持仓初始配置!$B$6:$X$6,'实盘净值数据(iFinD公式)'!$B15:$X15/'实盘净值数据(iFinD公式)'!$B$7:$X$7,'实盘净值数据(iFinD公式)'!$B16:$X16/'实盘净值数据(iFinD公式)'!$B15:$X15)/SUMPRODUCT(实盘持仓初始配置!$B$6:$X$6,'实盘净值数据(iFinD公式)'!$B15:$X15/'实盘净值数据(iFinD公式)'!$B$7:$X$7))*(1-实盘持仓初始配置!$Z$6)^(('实盘净值数据(iFinD公式)'!$A16-'实盘净值数据(iFinD公式)'!$A15)/365)-1)</f>
        <v>-1.7001619425887737E-2</v>
      </c>
      <c r="J16" s="16">
        <f>IF(H16="","",H16/MAX(H$5:H16)-1)</f>
        <v>-0.12571181931724251</v>
      </c>
      <c r="K16" s="13">
        <f>IF(OR('实盘净值数据(iFinD公式)'!$A16="",'实盘净值数据(iFinD公式)'!$B16=""),"",分期持仓明细!$AB$9*SUMPRODUCT(分期持仓明细!$B$9:$Y$9,'实盘净值数据(iFinD公式)'!$B16:$Y16/'实盘净值数据(iFinD公式)'!$B$13:$Y$13)*(1-实盘持仓初始配置!$Z$7)^(('实盘净值数据(iFinD公式)'!$A16-'实盘净值数据(iFinD公式)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初始配置!$Z$8)^(('实盘净值数据(iFinD公式)'!$A16-'实盘净值数据(iFinD公式)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初始配置!$Z$9)^(('实盘净值数据(iFinD公式)'!$A16-'实盘净值数据(iFinD公式)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</row>
    <row r="17" spans="1:19">
      <c r="A17" s="15">
        <f>IF('实盘净值数据(iFinD公式)'!A17="","",'实盘净值数据(iFinD公式)'!A17)</f>
        <v>46210</v>
      </c>
      <c r="B17" s="13">
        <f>IF(OR((ROW()-1)&lt;6,'实盘净值数据(iFinD公式)'!$A17="",'实盘净值数据(iFinD公式)'!$B17=""),"",SUMPRODUCT(实盘持仓初始配置!$B$4:$X$4,'实盘净值数据(iFinD公式)'!$B17:$X17/'实盘净值数据(iFinD公式)'!$B$6:$X$6)*(1-实盘持仓初始配置!$Z$4)^(('实盘净值数据(iFinD公式)'!$A17-'实盘净值数据(iFinD公式)'!$A$6)/365))</f>
        <v>0.93094051945631884</v>
      </c>
      <c r="C17" s="16">
        <f>IF(OR(B16="",'实盘净值数据(iFinD公式)'!$A17="",'实盘净值数据(iFinD公式)'!$B17=""),"",(SUMPRODUCT(实盘持仓初始配置!$B$4:$X$4,'实盘净值数据(iFinD公式)'!$B16:$X16/'实盘净值数据(iFinD公式)'!$B$6:$X$6,'实盘净值数据(iFinD公式)'!$B17:$X17/'实盘净值数据(iFinD公式)'!$B16:$X16)/SUMPRODUCT(实盘持仓初始配置!$B$4:$X$4,'实盘净值数据(iFinD公式)'!$B16:$X16/'实盘净值数据(iFinD公式)'!$B$6:$X$6))*(1-实盘持仓初始配置!$Z$4)^(('实盘净值数据(iFinD公式)'!$A17-'实盘净值数据(iFinD公式)'!$A16)/365)-1)</f>
        <v>6.8664546983105978E-3</v>
      </c>
      <c r="D17" s="16">
        <f>IF(B17="","",B17/MAX(B$5:B17)-1)</f>
        <v>-0.13388628352884135</v>
      </c>
      <c r="E17" s="13">
        <f>IF(OR((ROW()-1)&lt;5,'实盘净值数据(iFinD公式)'!$A17="",'实盘净值数据(iFinD公式)'!$B17=""),"",SUMPRODUCT(实盘持仓初始配置!$B$5:$X$5,'实盘净值数据(iFinD公式)'!$B17:$X17/'实盘净值数据(iFinD公式)'!$B$5:$X$5)*(1-实盘持仓初始配置!$Z$5)^(('实盘净值数据(iFinD公式)'!$A17-'实盘净值数据(iFinD公式)'!$A$5)/365))</f>
        <v>0.95247542928901296</v>
      </c>
      <c r="F17" s="16">
        <f>IF(OR(E16="",'实盘净值数据(iFinD公式)'!$A17="",'实盘净值数据(iFinD公式)'!$B17=""),"",(SUMPRODUCT(实盘持仓初始配置!$B$5:$X$5,'实盘净值数据(iFinD公式)'!$B16:$X16/'实盘净值数据(iFinD公式)'!$B$5:$X$5,'实盘净值数据(iFinD公式)'!$B17:$X17/'实盘净值数据(iFinD公式)'!$B16:$X16)/SUMPRODUCT(实盘持仓初始配置!$B$5:$X$5,'实盘净值数据(iFinD公式)'!$B16:$X16/'实盘净值数据(iFinD公式)'!$B$5:$X$5))*(1-实盘持仓初始配置!$Z$5)^(('实盘净值数据(iFinD公式)'!$A17-'实盘净值数据(iFinD公式)'!$A16)/365)-1)</f>
        <v>6.8687365291326685E-3</v>
      </c>
      <c r="G17" s="16">
        <f>IF(E17="","",E17/MAX(E$5:E17)-1)</f>
        <v>-0.13390606957949125</v>
      </c>
      <c r="H17" s="13">
        <f>IF(OR((ROW()-1)&lt;7,'实盘净值数据(iFinD公式)'!$A17="",'实盘净值数据(iFinD公式)'!$B17=""),"",SUMPRODUCT(实盘持仓初始配置!$B$6:$X$6,'实盘净值数据(iFinD公式)'!$B17:$X17/'实盘净值数据(iFinD公式)'!$B$7:$X$7)*(1-实盘持仓初始配置!$Z$6)^(('实盘净值数据(iFinD公式)'!$A17-'实盘净值数据(iFinD公式)'!$A$7)/365))</f>
        <v>0.97477427077798739</v>
      </c>
      <c r="I17" s="16">
        <f>IF(OR(H16="",'实盘净值数据(iFinD公式)'!$A17="",'实盘净值数据(iFinD公式)'!$B17=""),"",(SUMPRODUCT(实盘持仓初始配置!$B$6:$X$6,'实盘净值数据(iFinD公式)'!$B16:$X16/'实盘净值数据(iFinD公式)'!$B$7:$X$7,'实盘净值数据(iFinD公式)'!$B17:$X17/'实盘净值数据(iFinD公式)'!$B16:$X16)/SUMPRODUCT(实盘持仓初始配置!$B$6:$X$6,'实盘净值数据(iFinD公式)'!$B16:$X16/'实盘净值数据(iFinD公式)'!$B$7:$X$7))*(1-实盘持仓初始配置!$Z$6)^(('实盘净值数据(iFinD公式)'!$A17-'实盘净值数据(iFinD公式)'!$A16)/365)-1)</f>
        <v>2.903688953726391E-3</v>
      </c>
      <c r="J17" s="16">
        <f>IF(H17="","",H17/MAX(H$5:H17)-1)</f>
        <v>-0.12317315838462051</v>
      </c>
      <c r="K17" s="13">
        <f>IF(OR('实盘净值数据(iFinD公式)'!$A17="",'实盘净值数据(iFinD公式)'!$B17=""),"",分期持仓明细!$AB$9*SUMPRODUCT(分期持仓明细!$B$9:$Y$9,'实盘净值数据(iFinD公式)'!$B17:$Y17/'实盘净值数据(iFinD公式)'!$B$13:$Y$13)*(1-实盘持仓初始配置!$Z$7)^(('实盘净值数据(iFinD公式)'!$A17-'实盘净值数据(iFinD公式)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初始配置!$Z$8)^(('实盘净值数据(iFinD公式)'!$A17-'实盘净值数据(iFinD公式)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初始配置!$Z$9)^(('实盘净值数据(iFinD公式)'!$A17-'实盘净值数据(iFinD公式)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</row>
    <row r="18" spans="1:19">
      <c r="A18" s="15">
        <f>IF('实盘净值数据(iFinD公式)'!A18="","",'实盘净值数据(iFinD公式)'!A18)</f>
        <v>46211</v>
      </c>
      <c r="B18" s="13">
        <f>IF(OR((ROW()-1)&lt;6,'实盘净值数据(iFinD公式)'!$A18="",'实盘净值数据(iFinD公式)'!$B18=""),"",SUMPRODUCT(实盘持仓初始配置!$B$4:$X$4,'实盘净值数据(iFinD公式)'!$B18:$X18/'实盘净值数据(iFinD公式)'!$B$6:$X$6)*(1-实盘持仓初始配置!$Z$4)^(('实盘净值数据(iFinD公式)'!$A18-'实盘净值数据(iFinD公式)'!$A$6)/365))</f>
        <v>0.93624162720445936</v>
      </c>
      <c r="C18" s="16">
        <f>IF(OR(B17="",'实盘净值数据(iFinD公式)'!$A18="",'实盘净值数据(iFinD公式)'!$B18=""),"",(SUMPRODUCT(实盘持仓初始配置!$B$4:$X$4,'实盘净值数据(iFinD公式)'!$B17:$X17/'实盘净值数据(iFinD公式)'!$B$6:$X$6,'实盘净值数据(iFinD公式)'!$B18:$X18/'实盘净值数据(iFinD公式)'!$B17:$X17)/SUMPRODUCT(实盘持仓初始配置!$B$4:$X$4,'实盘净值数据(iFinD公式)'!$B17:$X17/'实盘净值数据(iFinD公式)'!$B$6:$X$6))*(1-实盘持仓初始配置!$Z$4)^(('实盘净值数据(iFinD公式)'!$A18-'实盘净值数据(iFinD公式)'!$A17)/365)-1)</f>
        <v>5.6943570908660757E-3</v>
      </c>
      <c r="D18" s="16">
        <f>IF(B18="","",B18/MAX(B$5:B18)-1)</f>
        <v>-0.12895432274595753</v>
      </c>
      <c r="E18" s="13">
        <f>IF(OR((ROW()-1)&lt;5,'实盘净值数据(iFinD公式)'!$A18="",'实盘净值数据(iFinD公式)'!$B18=""),"",SUMPRODUCT(实盘持仓初始配置!$B$5:$X$5,'实盘净值数据(iFinD公式)'!$B18:$X18/'实盘净值数据(iFinD公式)'!$B$5:$X$5)*(1-实盘持仓初始配置!$Z$5)^(('实盘净值数据(iFinD公式)'!$A18-'实盘净值数据(iFinD公式)'!$A$5)/365))</f>
        <v>0.9578161514912864</v>
      </c>
      <c r="F18" s="16">
        <f>IF(OR(E17="",'实盘净值数据(iFinD公式)'!$A18="",'实盘净值数据(iFinD公式)'!$B18=""),"",(SUMPRODUCT(实盘持仓初始配置!$B$5:$X$5,'实盘净值数据(iFinD公式)'!$B17:$X17/'实盘净值数据(iFinD公式)'!$B$5:$X$5,'实盘净值数据(iFinD公式)'!$B18:$X18/'实盘净值数据(iFinD公式)'!$B17:$X17)/SUMPRODUCT(实盘持仓初始配置!$B$5:$X$5,'实盘净值数据(iFinD公式)'!$B17:$X17/'实盘净值数据(iFinD公式)'!$B$5:$X$5))*(1-实盘持仓初始配置!$Z$5)^(('实盘净值数据(iFinD公式)'!$A18-'实盘净值数据(iFinD公式)'!$A17)/365)-1)</f>
        <v>5.6072020737165662E-3</v>
      </c>
      <c r="G18" s="16">
        <f>IF(E18="","",E18/MAX(E$5:E18)-1)</f>
        <v>-0.12904970589680409</v>
      </c>
      <c r="H18" s="13">
        <f>IF(OR((ROW()-1)&lt;7,'实盘净值数据(iFinD公式)'!$A18="",'实盘净值数据(iFinD公式)'!$B18=""),"",SUMPRODUCT(实盘持仓初始配置!$B$6:$X$6,'实盘净值数据(iFinD公式)'!$B18:$X18/'实盘净值数据(iFinD公式)'!$B$7:$X$7)*(1-实盘持仓初始配置!$Z$6)^(('实盘净值数据(iFinD公式)'!$A18-'实盘净值数据(iFinD公式)'!$A$7)/365))</f>
        <v>0.98001297325673131</v>
      </c>
      <c r="I18" s="16">
        <f>IF(OR(H17="",'实盘净值数据(iFinD公式)'!$A18="",'实盘净值数据(iFinD公式)'!$B18=""),"",(SUMPRODUCT(实盘持仓初始配置!$B$6:$X$6,'实盘净值数据(iFinD公式)'!$B17:$X17/'实盘净值数据(iFinD公式)'!$B$7:$X$7,'实盘净值数据(iFinD公式)'!$B18:$X18/'实盘净值数据(iFinD公式)'!$B17:$X17)/SUMPRODUCT(实盘持仓初始配置!$B$6:$X$6,'实盘净值数据(iFinD公式)'!$B17:$X17/'实盘净值数据(iFinD公式)'!$B$7:$X$7))*(1-实盘持仓初始配置!$Z$6)^(('实盘净值数据(iFinD公式)'!$A18-'实盘净值数据(iFinD公式)'!$A17)/365)-1)</f>
        <v>5.3742724195651181E-3</v>
      </c>
      <c r="J18" s="16">
        <f>IF(H18="","",H18/MAX(H$5:H18)-1)</f>
        <v>-0.11846085207299251</v>
      </c>
      <c r="K18" s="13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初始配置!$Z$7)^(('实盘净值数据(iFinD公式)'!$A18-'实盘净值数据(iFinD公式)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初始配置!$Z$8)^(('实盘净值数据(iFinD公式)'!$A18-'实盘净值数据(iFinD公式)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初始配置!$Z$9)^(('实盘净值数据(iFinD公式)'!$A18-'实盘净值数据(iFinD公式)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</row>
    <row r="19" spans="1:19">
      <c r="A19" s="15">
        <f>IF('实盘净值数据(iFinD公式)'!A19="","",'实盘净值数据(iFinD公式)'!A19)</f>
        <v>46212</v>
      </c>
      <c r="B19" s="13">
        <f>IF(OR((ROW()-1)&lt;6,'实盘净值数据(iFinD公式)'!$A19="",'实盘净值数据(iFinD公式)'!$B19=""),"",SUMPRODUCT(实盘持仓初始配置!$B$4:$X$4,'实盘净值数据(iFinD公式)'!$B19:$X19/'实盘净值数据(iFinD公式)'!$B$6:$X$6)*(1-实盘持仓初始配置!$Z$4)^(('实盘净值数据(iFinD公式)'!$A19-'实盘净值数据(iFinD公式)'!$A$6)/365))</f>
        <v>1.000119640739735</v>
      </c>
      <c r="C19" s="16">
        <f>IF(OR(B18="",'实盘净值数据(iFinD公式)'!$A19="",'实盘净值数据(iFinD公式)'!$B19=""),"",(SUMPRODUCT(实盘持仓初始配置!$B$4:$X$4,'实盘净值数据(iFinD公式)'!$B18:$X18/'实盘净值数据(iFinD公式)'!$B$6:$X$6,'实盘净值数据(iFinD公式)'!$B19:$X19/'实盘净值数据(iFinD公式)'!$B18:$X18)/SUMPRODUCT(实盘持仓初始配置!$B$4:$X$4,'实盘净值数据(iFinD公式)'!$B18:$X18/'实盘净值数据(iFinD公式)'!$B$6:$X$6))*(1-实盘持仓初始配置!$Z$4)^(('实盘净值数据(iFinD公式)'!$A19-'实盘净值数据(iFinD公式)'!$A18)/365)-1)</f>
        <v>6.8228127952406625E-2</v>
      </c>
      <c r="D19" s="16">
        <f>IF(B19="","",B19/MAX(B$5:B19)-1)</f>
        <v>-6.952450682587763E-2</v>
      </c>
      <c r="E19" s="13">
        <f>IF(OR((ROW()-1)&lt;5,'实盘净值数据(iFinD公式)'!$A19="",'实盘净值数据(iFinD公式)'!$B19=""),"",SUMPRODUCT(实盘持仓初始配置!$B$5:$X$5,'实盘净值数据(iFinD公式)'!$B19:$X19/'实盘净值数据(iFinD公式)'!$B$5:$X$5)*(1-实盘持仓初始配置!$Z$5)^(('实盘净值数据(iFinD公式)'!$A19-'实盘净值数据(iFinD公式)'!$A$5)/365))</f>
        <v>1.0231939223043951</v>
      </c>
      <c r="F19" s="16">
        <f>IF(OR(E18="",'实盘净值数据(iFinD公式)'!$A19="",'实盘净值数据(iFinD公式)'!$B19=""),"",(SUMPRODUCT(实盘持仓初始配置!$B$5:$X$5,'实盘净值数据(iFinD公式)'!$B18:$X18/'实盘净值数据(iFinD公式)'!$B$5:$X$5,'实盘净值数据(iFinD公式)'!$B19:$X19/'实盘净值数据(iFinD公式)'!$B18:$X18)/SUMPRODUCT(实盘持仓初始配置!$B$5:$X$5,'实盘净值数据(iFinD公式)'!$B18:$X18/'实盘净值数据(iFinD公式)'!$B$5:$X$5))*(1-实盘持仓初始配置!$Z$5)^(('实盘净值数据(iFinD公式)'!$A19-'实盘净值数据(iFinD公式)'!$A18)/365)-1)</f>
        <v>6.8257118770985281E-2</v>
      </c>
      <c r="G19" s="16">
        <f>IF(E19="","",E19/MAX(E$5:E19)-1)</f>
        <v>-6.9601148228577658E-2</v>
      </c>
      <c r="H19" s="13">
        <f>IF(OR((ROW()-1)&lt;7,'实盘净值数据(iFinD公式)'!$A19="",'实盘净值数据(iFinD公式)'!$B19=""),"",SUMPRODUCT(实盘持仓初始配置!$B$6:$X$6,'实盘净值数据(iFinD公式)'!$B19:$X19/'实盘净值数据(iFinD公式)'!$B$7:$X$7)*(1-实盘持仓初始配置!$Z$6)^(('实盘净值数据(iFinD公式)'!$A19-'实盘净值数据(iFinD公式)'!$A$7)/365))</f>
        <v>1.0473336640835054</v>
      </c>
      <c r="I19" s="16">
        <f>IF(OR(H18="",'实盘净值数据(iFinD公式)'!$A19="",'实盘净值数据(iFinD公式)'!$B19=""),"",(SUMPRODUCT(实盘持仓初始配置!$B$6:$X$6,'实盘净值数据(iFinD公式)'!$B18:$X18/'实盘净值数据(iFinD公式)'!$B$7:$X$7,'实盘净值数据(iFinD公式)'!$B19:$X19/'实盘净值数据(iFinD公式)'!$B18:$X18)/SUMPRODUCT(实盘持仓初始配置!$B$6:$X$6,'实盘净值数据(iFinD公式)'!$B18:$X18/'实盘净值数据(iFinD公式)'!$B$7:$X$7))*(1-实盘持仓初始配置!$Z$6)^(('实盘净值数据(iFinD公式)'!$A19-'实盘净值数据(iFinD公式)'!$A18)/365)-1)</f>
        <v>6.8693673108282782E-2</v>
      </c>
      <c r="J19" s="16">
        <f>IF(H19="","",H19/MAX(H$5:H19)-1)</f>
        <v>-5.7904690013140581E-2</v>
      </c>
      <c r="K19" s="13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初始配置!$Z$7)^(('实盘净值数据(iFinD公式)'!$A19-'实盘净值数据(iFinD公式)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初始配置!$Z$8)^(('实盘净值数据(iFinD公式)'!$A19-'实盘净值数据(iFinD公式)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初始配置!$Z$9)^(('实盘净值数据(iFinD公式)'!$A19-'实盘净值数据(iFinD公式)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</row>
    <row r="20" spans="1:19">
      <c r="A20" s="15">
        <f>IF('实盘净值数据(iFinD公式)'!A20="","",'实盘净值数据(iFinD公式)'!A20)</f>
        <v>46213</v>
      </c>
      <c r="B20" s="13">
        <f>IF(OR((ROW()-1)&lt;6,'实盘净值数据(iFinD公式)'!$A20="",'实盘净值数据(iFinD公式)'!$B20=""),"",SUMPRODUCT(实盘持仓初始配置!$B$4:$X$4,'实盘净值数据(iFinD公式)'!$B20:$X20/'实盘净值数据(iFinD公式)'!$B$6:$X$6)*(1-实盘持仓初始配置!$Z$4)^(('实盘净值数据(iFinD公式)'!$A20-'实盘净值数据(iFinD公式)'!$A$6)/365))</f>
        <v>0.95179417704073732</v>
      </c>
      <c r="C20" s="16">
        <f>IF(OR(B19="",'实盘净值数据(iFinD公式)'!$A20="",'实盘净值数据(iFinD公式)'!$B20=""),"",(SUMPRODUCT(实盘持仓初始配置!$B$4:$X$4,'实盘净值数据(iFinD公式)'!$B19:$X19/'实盘净值数据(iFinD公式)'!$B$6:$X$6,'实盘净值数据(iFinD公式)'!$B20:$X20/'实盘净值数据(iFinD公式)'!$B19:$X19)/SUMPRODUCT(实盘持仓初始配置!$B$4:$X$4,'实盘净值数据(iFinD公式)'!$B19:$X19/'实盘净值数据(iFinD公式)'!$B$6:$X$6))*(1-实盘持仓初始配置!$Z$4)^(('实盘净值数据(iFinD公式)'!$A20-'实盘净值数据(iFinD公式)'!$A19)/365)-1)</f>
        <v>-4.8319682696416288E-2</v>
      </c>
      <c r="D20" s="16">
        <f>IF(B20="","",B20/MAX(B$5:B20)-1)</f>
        <v>-0.11448478741284263</v>
      </c>
      <c r="E20" s="13">
        <f>IF(OR((ROW()-1)&lt;5,'实盘净值数据(iFinD公式)'!$A20="",'实盘净值数据(iFinD公式)'!$B20=""),"",SUMPRODUCT(实盘持仓初始配置!$B$5:$X$5,'实盘净值数据(iFinD公式)'!$B20:$X20/'实盘净值数据(iFinD公式)'!$B$5:$X$5)*(1-实盘持仓初始配置!$Z$5)^(('实盘净值数据(iFinD公式)'!$A20-'实盘净值数据(iFinD公式)'!$A$5)/365))</f>
        <v>0.9737422822209042</v>
      </c>
      <c r="F20" s="16">
        <f>IF(OR(E19="",'实盘净值数据(iFinD公式)'!$A20="",'实盘净值数据(iFinD公式)'!$B20=""),"",(SUMPRODUCT(实盘持仓初始配置!$B$5:$X$5,'实盘净值数据(iFinD公式)'!$B19:$X19/'实盘净值数据(iFinD公式)'!$B$5:$X$5,'实盘净值数据(iFinD公式)'!$B20:$X20/'实盘净值数据(iFinD公式)'!$B19:$X19)/SUMPRODUCT(实盘持仓初始配置!$B$5:$X$5,'实盘净值数据(iFinD公式)'!$B19:$X19/'实盘净值数据(iFinD公式)'!$B$5:$X$5))*(1-实盘持仓初始配置!$Z$5)^(('实盘净值数据(iFinD公式)'!$A20-'实盘净值数据(iFinD公式)'!$A19)/365)-1)</f>
        <v>-4.833066245362172E-2</v>
      </c>
      <c r="G20" s="16">
        <f>IF(E20="","",E20/MAX(E$5:E20)-1)</f>
        <v>-0.1145679410807795</v>
      </c>
      <c r="H20" s="13">
        <f>IF(OR((ROW()-1)&lt;7,'实盘净值数据(iFinD公式)'!$A20="",'实盘净值数据(iFinD公式)'!$B20=""),"",SUMPRODUCT(实盘持仓初始配置!$B$6:$X$6,'实盘净值数据(iFinD公式)'!$B20:$X20/'实盘净值数据(iFinD公式)'!$B$7:$X$7)*(1-实盘持仓初始配置!$Z$6)^(('实盘净值数据(iFinD公式)'!$A20-'实盘净值数据(iFinD公式)'!$A$7)/365))</f>
        <v>0.99344026231902305</v>
      </c>
      <c r="I20" s="16">
        <f>IF(OR(H19="",'实盘净值数据(iFinD公式)'!$A20="",'实盘净值数据(iFinD公式)'!$B20=""),"",(SUMPRODUCT(实盘持仓初始配置!$B$6:$X$6,'实盘净值数据(iFinD公式)'!$B19:$X19/'实盘净值数据(iFinD公式)'!$B$7:$X$7,'实盘净值数据(iFinD公式)'!$B20:$X20/'实盘净值数据(iFinD公式)'!$B19:$X19)/SUMPRODUCT(实盘持仓初始配置!$B$6:$X$6,'实盘净值数据(iFinD公式)'!$B19:$X19/'实盘净值数据(iFinD公式)'!$B$7:$X$7))*(1-实盘持仓初始配置!$Z$6)^(('实盘净值数据(iFinD公式)'!$A20-'实盘净值数据(iFinD公式)'!$A19)/365)-1)</f>
        <v>-5.1457719361711729E-2</v>
      </c>
      <c r="J20" s="16">
        <f>IF(H20="","",H20/MAX(H$5:H20)-1)</f>
        <v>-0.10638276608642927</v>
      </c>
      <c r="K20" s="13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初始配置!$Z$7)^(('实盘净值数据(iFinD公式)'!$A20-'实盘净值数据(iFinD公式)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初始配置!$Z$8)^(('实盘净值数据(iFinD公式)'!$A20-'实盘净值数据(iFinD公式)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初始配置!$Z$9)^(('实盘净值数据(iFinD公式)'!$A20-'实盘净值数据(iFinD公式)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</row>
    <row r="21" spans="1:19">
      <c r="A21" s="15">
        <f>IF('实盘净值数据(iFinD公式)'!A21="","",'实盘净值数据(iFinD公式)'!A21)</f>
        <v>46216</v>
      </c>
      <c r="B21" s="13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初始配置!$Z$4)^(('实盘净值数据(iFinD公式)'!$A21-'实盘净值数据(iFinD公式)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初始配置!$Z$5)^(('实盘净值数据(iFinD公式)'!$A21-'实盘净值数据(iFinD公式)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初始配置!$Z$6)^(('实盘净值数据(iFinD公式)'!$A21-'实盘净值数据(iFinD公式)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初始配置!$Z$7)^(('实盘净值数据(iFinD公式)'!$A21-'实盘净值数据(iFinD公式)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初始配置!$Z$8)^(('实盘净值数据(iFinD公式)'!$A21-'实盘净值数据(iFinD公式)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初始配置!$Z$9)^(('实盘净值数据(iFinD公式)'!$A21-'实盘净值数据(iFinD公式)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</row>
    <row r="22" spans="1:19">
      <c r="A22" s="15">
        <f>IF('实盘净值数据(iFinD公式)'!A22="","",'实盘净值数据(iFinD公式)'!A22)</f>
        <v>46217</v>
      </c>
      <c r="B22" s="13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初始配置!$Z$4)^(('实盘净值数据(iFinD公式)'!$A22-'实盘净值数据(iFinD公式)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初始配置!$Z$5)^(('实盘净值数据(iFinD公式)'!$A22-'实盘净值数据(iFinD公式)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初始配置!$Z$6)^(('实盘净值数据(iFinD公式)'!$A22-'实盘净值数据(iFinD公式)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初始配置!$Z$7)^(('实盘净值数据(iFinD公式)'!$A22-'实盘净值数据(iFinD公式)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初始配置!$Z$8)^(('实盘净值数据(iFinD公式)'!$A22-'实盘净值数据(iFinD公式)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初始配置!$Z$9)^(('实盘净值数据(iFinD公式)'!$A22-'实盘净值数据(iFinD公式)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</row>
    <row r="23" spans="1:19">
      <c r="A23" s="15">
        <f>IF('实盘净值数据(iFinD公式)'!A23="","",'实盘净值数据(iFinD公式)'!A23)</f>
        <v>46218</v>
      </c>
      <c r="B23" s="13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初始配置!$Z$4)^(('实盘净值数据(iFinD公式)'!$A23-'实盘净值数据(iFinD公式)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初始配置!$Z$5)^(('实盘净值数据(iFinD公式)'!$A23-'实盘净值数据(iFinD公式)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初始配置!$Z$6)^(('实盘净值数据(iFinD公式)'!$A23-'实盘净值数据(iFinD公式)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初始配置!$Z$7)^(('实盘净值数据(iFinD公式)'!$A23-'实盘净值数据(iFinD公式)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初始配置!$Z$8)^(('实盘净值数据(iFinD公式)'!$A23-'实盘净值数据(iFinD公式)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初始配置!$Z$9)^(('实盘净值数据(iFinD公式)'!$A23-'实盘净值数据(iFinD公式)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</row>
    <row r="24" spans="1:19">
      <c r="A24" s="15">
        <f>IF('实盘净值数据(iFinD公式)'!A24="","",'实盘净值数据(iFinD公式)'!A24)</f>
        <v>46219</v>
      </c>
      <c r="B24" s="13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初始配置!$Z$4)^(('实盘净值数据(iFinD公式)'!$A24-'实盘净值数据(iFinD公式)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初始配置!$Z$5)^(('实盘净值数据(iFinD公式)'!$A24-'实盘净值数据(iFinD公式)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初始配置!$Z$6)^(('实盘净值数据(iFinD公式)'!$A24-'实盘净值数据(iFinD公式)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初始配置!$Z$7)^(('实盘净值数据(iFinD公式)'!$A24-'实盘净值数据(iFinD公式)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初始配置!$Z$8)^(('实盘净值数据(iFinD公式)'!$A24-'实盘净值数据(iFinD公式)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初始配置!$Z$9)^(('实盘净值数据(iFinD公式)'!$A24-'实盘净值数据(iFinD公式)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</row>
    <row r="25" spans="1:19">
      <c r="A25" s="15">
        <f>IF('实盘净值数据(iFinD公式)'!A25="","",'实盘净值数据(iFinD公式)'!A25)</f>
        <v>46220</v>
      </c>
      <c r="B25" s="13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初始配置!$Z$4)^(('实盘净值数据(iFinD公式)'!$A25-'实盘净值数据(iFinD公式)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初始配置!$Z$5)^(('实盘净值数据(iFinD公式)'!$A25-'实盘净值数据(iFinD公式)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初始配置!$Z$6)^(('实盘净值数据(iFinD公式)'!$A25-'实盘净值数据(iFinD公式)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公式)'!$A25="",'实盘净值数据(iFinD公式)'!$B25=""),"",分期持仓明细!$AB$20*SUMPRODUCT(分期持仓明细!$B$20:$Y$20,'实盘净值数据(iFinD公式)'!$B25:$Y25/'实盘净值数据(iFinD公式)'!$B$25:$Y$25)*(1-实盘持仓初始配置!$Z$7)^(('实盘净值数据(iFinD公式)'!$A25-'实盘净值数据(iFinD公式)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公式)'!$A25="",'实盘净值数据(iFinD公式)'!$B25=""),"",分期持仓明细!$AB$21*SUMPRODUCT(分期持仓明细!$B$21:$Y$21,'实盘净值数据(iFinD公式)'!$B25:$Y25/'实盘净值数据(iFinD公式)'!$B$25:$Y$25)*(1-实盘持仓初始配置!$Z$8)^(('实盘净值数据(iFinD公式)'!$A25-'实盘净值数据(iFinD公式)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公式)'!$A25="",'实盘净值数据(iFinD公式)'!$B25=""),"",分期持仓明细!$AB$22*SUMPRODUCT(分期持仓明细!$B$22:$Y$22,'实盘净值数据(iFinD公式)'!$B25:$Y25/'实盘净值数据(iFinD公式)'!$B$25:$Y$25)*(1-实盘持仓初始配置!$Z$9)^(('实盘净值数据(iFinD公式)'!$A25-'实盘净值数据(iFinD公式)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</row>
    <row r="26" spans="1:19">
      <c r="A26" s="15">
        <f>IF('实盘净值数据(iFinD公式)'!A26="","",'实盘净值数据(iFinD公式)'!A26)</f>
        <v>46223</v>
      </c>
      <c r="B26" s="13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初始配置!$Z$4)^(('实盘净值数据(iFinD公式)'!$A26-'实盘净值数据(iFinD公式)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初始配置!$Z$5)^(('实盘净值数据(iFinD公式)'!$A26-'实盘净值数据(iFinD公式)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初始配置!$Z$6)^(('实盘净值数据(iFinD公式)'!$A26-'实盘净值数据(iFinD公式)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公式)'!$A26="",'实盘净值数据(iFinD公式)'!$B26=""),"",分期持仓明细!$AB$20*SUMPRODUCT(分期持仓明细!$B$20:$Y$20,'实盘净值数据(iFinD公式)'!$B26:$Y26/'实盘净值数据(iFinD公式)'!$B$25:$Y$25)*(1-实盘持仓初始配置!$Z$7)^(('实盘净值数据(iFinD公式)'!$A26-'实盘净值数据(iFinD公式)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公式)'!$A26="",'实盘净值数据(iFinD公式)'!$B26=""),"",分期持仓明细!$AB$21*SUMPRODUCT(分期持仓明细!$B$21:$Y$21,'实盘净值数据(iFinD公式)'!$B26:$Y26/'实盘净值数据(iFinD公式)'!$B$25:$Y$25)*(1-实盘持仓初始配置!$Z$8)^(('实盘净值数据(iFinD公式)'!$A26-'实盘净值数据(iFinD公式)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公式)'!$A26="",'实盘净值数据(iFinD公式)'!$B26=""),"",分期持仓明细!$AB$22*SUMPRODUCT(分期持仓明细!$B$22:$Y$22,'实盘净值数据(iFinD公式)'!$B26:$Y26/'实盘净值数据(iFinD公式)'!$B$25:$Y$25)*(1-实盘持仓初始配置!$Z$9)^(('实盘净值数据(iFinD公式)'!$A26-'实盘净值数据(iFinD公式)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</row>
    <row r="27" spans="1:19">
      <c r="A27" s="15">
        <f>IF('实盘净值数据(iFinD公式)'!A27="","",'实盘净值数据(iFinD公式)'!A27)</f>
        <v>46224</v>
      </c>
      <c r="B27" s="13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初始配置!$Z$4)^(('实盘净值数据(iFinD公式)'!$A27-'实盘净值数据(iFinD公式)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初始配置!$Z$5)^(('实盘净值数据(iFinD公式)'!$A27-'实盘净值数据(iFinD公式)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初始配置!$Z$6)^(('实盘净值数据(iFinD公式)'!$A27-'实盘净值数据(iFinD公式)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公式)'!$A27="",'实盘净值数据(iFinD公式)'!$B27=""),"",分期持仓明细!$AB$20*SUMPRODUCT(分期持仓明细!$B$20:$Y$20,'实盘净值数据(iFinD公式)'!$B27:$Y27/'实盘净值数据(iFinD公式)'!$B$25:$Y$25)*(1-实盘持仓初始配置!$Z$7)^(('实盘净值数据(iFinD公式)'!$A27-'实盘净值数据(iFinD公式)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公式)'!$A27="",'实盘净值数据(iFinD公式)'!$B27=""),"",分期持仓明细!$AB$21*SUMPRODUCT(分期持仓明细!$B$21:$Y$21,'实盘净值数据(iFinD公式)'!$B27:$Y27/'实盘净值数据(iFinD公式)'!$B$25:$Y$25)*(1-实盘持仓初始配置!$Z$8)^(('实盘净值数据(iFinD公式)'!$A27-'实盘净值数据(iFinD公式)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公式)'!$A27="",'实盘净值数据(iFinD公式)'!$B27=""),"",分期持仓明细!$AB$22*SUMPRODUCT(分期持仓明细!$B$22:$Y$22,'实盘净值数据(iFinD公式)'!$B27:$Y27/'实盘净值数据(iFinD公式)'!$B$25:$Y$25)*(1-实盘持仓初始配置!$Z$9)^(('实盘净值数据(iFinD公式)'!$A27-'实盘净值数据(iFinD公式)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</row>
    <row r="28" spans="1:19">
      <c r="A28" s="15">
        <f>IF('实盘净值数据(iFinD公式)'!A28="","",'实盘净值数据(iFinD公式)'!A28)</f>
        <v>46225</v>
      </c>
      <c r="B28" s="13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初始配置!$Z$4)^(('实盘净值数据(iFinD公式)'!$A28-'实盘净值数据(iFinD公式)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初始配置!$Z$5)^(('实盘净值数据(iFinD公式)'!$A28-'实盘净值数据(iFinD公式)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初始配置!$Z$6)^(('实盘净值数据(iFinD公式)'!$A28-'实盘净值数据(iFinD公式)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公式)'!$A28="",'实盘净值数据(iFinD公式)'!$B28=""),"",分期持仓明细!$AB$20*SUMPRODUCT(分期持仓明细!$B$20:$Y$20,'实盘净值数据(iFinD公式)'!$B28:$Y28/'实盘净值数据(iFinD公式)'!$B$25:$Y$25)*(1-实盘持仓初始配置!$Z$7)^(('实盘净值数据(iFinD公式)'!$A28-'实盘净值数据(iFinD公式)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公式)'!$A28="",'实盘净值数据(iFinD公式)'!$B28=""),"",分期持仓明细!$AB$21*SUMPRODUCT(分期持仓明细!$B$21:$Y$21,'实盘净值数据(iFinD公式)'!$B28:$Y28/'实盘净值数据(iFinD公式)'!$B$25:$Y$25)*(1-实盘持仓初始配置!$Z$8)^(('实盘净值数据(iFinD公式)'!$A28-'实盘净值数据(iFinD公式)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公式)'!$A28="",'实盘净值数据(iFinD公式)'!$B28=""),"",分期持仓明细!$AB$22*SUMPRODUCT(分期持仓明细!$B$22:$Y$22,'实盘净值数据(iFinD公式)'!$B28:$Y28/'实盘净值数据(iFinD公式)'!$B$25:$Y$25)*(1-实盘持仓初始配置!$Z$9)^(('实盘净值数据(iFinD公式)'!$A28-'实盘净值数据(iFinD公式)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</row>
    <row r="29" spans="1:19">
      <c r="A29" s="15">
        <f>IF('实盘净值数据(iFinD公式)'!A29="","",'实盘净值数据(iFinD公式)'!A29)</f>
        <v>46226</v>
      </c>
      <c r="B29" s="13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初始配置!$Z$4)^(('实盘净值数据(iFinD公式)'!$A29-'实盘净值数据(iFinD公式)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初始配置!$Z$5)^(('实盘净值数据(iFinD公式)'!$A29-'实盘净值数据(iFinD公式)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初始配置!$Z$6)^(('实盘净值数据(iFinD公式)'!$A29-'实盘净值数据(iFinD公式)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公式)'!$A29="",'实盘净值数据(iFinD公式)'!$B29=""),"",分期持仓明细!$AB$20*SUMPRODUCT(分期持仓明细!$B$20:$Y$20,'实盘净值数据(iFinD公式)'!$B29:$Y29/'实盘净值数据(iFinD公式)'!$B$25:$Y$25)*(1-实盘持仓初始配置!$Z$7)^(('实盘净值数据(iFinD公式)'!$A29-'实盘净值数据(iFinD公式)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公式)'!$A29="",'实盘净值数据(iFinD公式)'!$B29=""),"",分期持仓明细!$AB$21*SUMPRODUCT(分期持仓明细!$B$21:$Y$21,'实盘净值数据(iFinD公式)'!$B29:$Y29/'实盘净值数据(iFinD公式)'!$B$25:$Y$25)*(1-实盘持仓初始配置!$Z$8)^(('实盘净值数据(iFinD公式)'!$A29-'实盘净值数据(iFinD公式)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公式)'!$A29="",'实盘净值数据(iFinD公式)'!$B29=""),"",分期持仓明细!$AB$22*SUMPRODUCT(分期持仓明细!$B$22:$Y$22,'实盘净值数据(iFinD公式)'!$B29:$Y29/'实盘净值数据(iFinD公式)'!$B$25:$Y$25)*(1-实盘持仓初始配置!$Z$9)^(('实盘净值数据(iFinD公式)'!$A29-'实盘净值数据(iFinD公式)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</row>
    <row r="30" spans="1:19">
      <c r="A30" s="15">
        <f>IF('实盘净值数据(iFinD公式)'!A30="","",'实盘净值数据(iFinD公式)'!A30)</f>
        <v>46227</v>
      </c>
      <c r="B30" s="13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初始配置!$Z$4)^(('实盘净值数据(iFinD公式)'!$A30-'实盘净值数据(iFinD公式)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初始配置!$Z$5)^(('实盘净值数据(iFinD公式)'!$A30-'实盘净值数据(iFinD公式)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初始配置!$Z$6)^(('实盘净值数据(iFinD公式)'!$A30-'实盘净值数据(iFinD公式)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公式)'!$A30="",'实盘净值数据(iFinD公式)'!$B30=""),"",分期持仓明细!$AB$20*SUMPRODUCT(分期持仓明细!$B$20:$Y$20,'实盘净值数据(iFinD公式)'!$B30:$Y30/'实盘净值数据(iFinD公式)'!$B$25:$Y$25)*(1-实盘持仓初始配置!$Z$7)^(('实盘净值数据(iFinD公式)'!$A30-'实盘净值数据(iFinD公式)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公式)'!$A30="",'实盘净值数据(iFinD公式)'!$B30=""),"",分期持仓明细!$AB$21*SUMPRODUCT(分期持仓明细!$B$21:$Y$21,'实盘净值数据(iFinD公式)'!$B30:$Y30/'实盘净值数据(iFinD公式)'!$B$25:$Y$25)*(1-实盘持仓初始配置!$Z$8)^(('实盘净值数据(iFinD公式)'!$A30-'实盘净值数据(iFinD公式)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公式)'!$A30="",'实盘净值数据(iFinD公式)'!$B30=""),"",分期持仓明细!$AB$22*SUMPRODUCT(分期持仓明细!$B$22:$Y$22,'实盘净值数据(iFinD公式)'!$B30:$Y30/'实盘净值数据(iFinD公式)'!$B$25:$Y$25)*(1-实盘持仓初始配置!$Z$9)^(('实盘净值数据(iFinD公式)'!$A30-'实盘净值数据(iFinD公式)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</row>
    <row r="31" spans="1:19">
      <c r="A31" s="15">
        <f>IF('实盘净值数据(iFinD公式)'!A31="","",'实盘净值数据(iFinD公式)'!A31)</f>
        <v>46230</v>
      </c>
      <c r="B31" s="13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初始配置!$Z$4)^(('实盘净值数据(iFinD公式)'!$A31-'实盘净值数据(iFinD公式)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初始配置!$Z$5)^(('实盘净值数据(iFinD公式)'!$A31-'实盘净值数据(iFinD公式)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初始配置!$Z$6)^(('实盘净值数据(iFinD公式)'!$A31-'实盘净值数据(iFinD公式)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公式)'!$A31="",'实盘净值数据(iFinD公式)'!$B31=""),"",分期持仓明细!$AB$20*SUMPRODUCT(分期持仓明细!$B$20:$Y$20,'实盘净值数据(iFinD公式)'!$B31:$Y31/'实盘净值数据(iFinD公式)'!$B$25:$Y$25)*(1-实盘持仓初始配置!$Z$7)^(('实盘净值数据(iFinD公式)'!$A31-'实盘净值数据(iFinD公式)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公式)'!$A31="",'实盘净值数据(iFinD公式)'!$B31=""),"",分期持仓明细!$AB$21*SUMPRODUCT(分期持仓明细!$B$21:$Y$21,'实盘净值数据(iFinD公式)'!$B31:$Y31/'实盘净值数据(iFinD公式)'!$B$25:$Y$25)*(1-实盘持仓初始配置!$Z$8)^(('实盘净值数据(iFinD公式)'!$A31-'实盘净值数据(iFinD公式)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公式)'!$A31="",'实盘净值数据(iFinD公式)'!$B31=""),"",分期持仓明细!$AB$22*SUMPRODUCT(分期持仓明细!$B$22:$Y$22,'实盘净值数据(iFinD公式)'!$B31:$Y31/'实盘净值数据(iFinD公式)'!$B$25:$Y$25)*(1-实盘持仓初始配置!$Z$9)^(('实盘净值数据(iFinD公式)'!$A31-'实盘净值数据(iFinD公式)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</row>
    <row r="32" spans="1:19">
      <c r="A32" s="15">
        <f>IF('实盘净值数据(iFinD公式)'!A32="","",'实盘净值数据(iFinD公式)'!A32)</f>
        <v>46231</v>
      </c>
      <c r="B32" s="13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初始配置!$Z$4)^(('实盘净值数据(iFinD公式)'!$A32-'实盘净值数据(iFinD公式)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初始配置!$Z$5)^(('实盘净值数据(iFinD公式)'!$A32-'实盘净值数据(iFinD公式)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初始配置!$Z$6)^(('实盘净值数据(iFinD公式)'!$A32-'实盘净值数据(iFinD公式)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公式)'!$A32="",'实盘净值数据(iFinD公式)'!$B32=""),"",分期持仓明细!$AB$20*SUMPRODUCT(分期持仓明细!$B$20:$Y$20,'实盘净值数据(iFinD公式)'!$B32:$Y32/'实盘净值数据(iFinD公式)'!$B$25:$Y$25)*(1-实盘持仓初始配置!$Z$7)^(('实盘净值数据(iFinD公式)'!$A32-'实盘净值数据(iFinD公式)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公式)'!$A32="",'实盘净值数据(iFinD公式)'!$B32=""),"",分期持仓明细!$AB$21*SUMPRODUCT(分期持仓明细!$B$21:$Y$21,'实盘净值数据(iFinD公式)'!$B32:$Y32/'实盘净值数据(iFinD公式)'!$B$25:$Y$25)*(1-实盘持仓初始配置!$Z$8)^(('实盘净值数据(iFinD公式)'!$A32-'实盘净值数据(iFinD公式)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公式)'!$A32="",'实盘净值数据(iFinD公式)'!$B32=""),"",分期持仓明细!$AB$22*SUMPRODUCT(分期持仓明细!$B$22:$Y$22,'实盘净值数据(iFinD公式)'!$B32:$Y32/'实盘净值数据(iFinD公式)'!$B$25:$Y$25)*(1-实盘持仓初始配置!$Z$9)^(('实盘净值数据(iFinD公式)'!$A32-'实盘净值数据(iFinD公式)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</row>
    <row r="33" spans="1:19">
      <c r="A33" s="15">
        <f>IF('实盘净值数据(iFinD公式)'!A33="","",'实盘净值数据(iFinD公式)'!A33)</f>
        <v>46232</v>
      </c>
      <c r="B33" s="13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初始配置!$Z$4)^(('实盘净值数据(iFinD公式)'!$A33-'实盘净值数据(iFinD公式)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初始配置!$Z$5)^(('实盘净值数据(iFinD公式)'!$A33-'实盘净值数据(iFinD公式)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初始配置!$Z$6)^(('实盘净值数据(iFinD公式)'!$A33-'实盘净值数据(iFinD公式)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公式)'!$A33="",'实盘净值数据(iFinD公式)'!$B33=""),"",分期持仓明细!$AB$20*SUMPRODUCT(分期持仓明细!$B$20:$Y$20,'实盘净值数据(iFinD公式)'!$B33:$Y33/'实盘净值数据(iFinD公式)'!$B$25:$Y$25)*(1-实盘持仓初始配置!$Z$7)^(('实盘净值数据(iFinD公式)'!$A33-'实盘净值数据(iFinD公式)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公式)'!$A33="",'实盘净值数据(iFinD公式)'!$B33=""),"",分期持仓明细!$AB$21*SUMPRODUCT(分期持仓明细!$B$21:$Y$21,'实盘净值数据(iFinD公式)'!$B33:$Y33/'实盘净值数据(iFinD公式)'!$B$25:$Y$25)*(1-实盘持仓初始配置!$Z$8)^(('实盘净值数据(iFinD公式)'!$A33-'实盘净值数据(iFinD公式)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公式)'!$A33="",'实盘净值数据(iFinD公式)'!$B33=""),"",分期持仓明细!$AB$22*SUMPRODUCT(分期持仓明细!$B$22:$Y$22,'实盘净值数据(iFinD公式)'!$B33:$Y33/'实盘净值数据(iFinD公式)'!$B$25:$Y$25)*(1-实盘持仓初始配置!$Z$9)^(('实盘净值数据(iFinD公式)'!$A33-'实盘净值数据(iFinD公式)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</row>
    <row r="34" spans="1:19">
      <c r="A34" s="15">
        <f>IF('实盘净值数据(iFinD公式)'!A34="","",'实盘净值数据(iFinD公式)'!A34)</f>
        <v>46233</v>
      </c>
      <c r="B34" s="13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初始配置!$Z$4)^(('实盘净值数据(iFinD公式)'!$A34-'实盘净值数据(iFinD公式)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初始配置!$Z$5)^(('实盘净值数据(iFinD公式)'!$A34-'实盘净值数据(iFinD公式)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初始配置!$Z$6)^(('实盘净值数据(iFinD公式)'!$A34-'实盘净值数据(iFinD公式)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公式)'!$A34="",'实盘净值数据(iFinD公式)'!$B34=""),"",分期持仓明细!$AB$20*SUMPRODUCT(分期持仓明细!$B$20:$Y$20,'实盘净值数据(iFinD公式)'!$B34:$Y34/'实盘净值数据(iFinD公式)'!$B$25:$Y$25)*(1-实盘持仓初始配置!$Z$7)^(('实盘净值数据(iFinD公式)'!$A34-'实盘净值数据(iFinD公式)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公式)'!$A34="",'实盘净值数据(iFinD公式)'!$B34=""),"",分期持仓明细!$AB$21*SUMPRODUCT(分期持仓明细!$B$21:$Y$21,'实盘净值数据(iFinD公式)'!$B34:$Y34/'实盘净值数据(iFinD公式)'!$B$25:$Y$25)*(1-实盘持仓初始配置!$Z$8)^(('实盘净值数据(iFinD公式)'!$A34-'实盘净值数据(iFinD公式)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公式)'!$A34="",'实盘净值数据(iFinD公式)'!$B34=""),"",分期持仓明细!$AB$22*SUMPRODUCT(分期持仓明细!$B$22:$Y$22,'实盘净值数据(iFinD公式)'!$B34:$Y34/'实盘净值数据(iFinD公式)'!$B$25:$Y$25)*(1-实盘持仓初始配置!$Z$9)^(('实盘净值数据(iFinD公式)'!$A34-'实盘净值数据(iFinD公式)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</row>
    <row r="35" spans="1:19">
      <c r="A35" s="15">
        <f>IF('实盘净值数据(iFinD公式)'!A35="","",'实盘净值数据(iFinD公式)'!A35)</f>
        <v>46234</v>
      </c>
      <c r="B35" s="13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初始配置!$Z$4)^(('实盘净值数据(iFinD公式)'!$A35-'实盘净值数据(iFinD公式)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初始配置!$Z$5)^(('实盘净值数据(iFinD公式)'!$A35-'实盘净值数据(iFinD公式)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初始配置!$Z$6)^(('实盘净值数据(iFinD公式)'!$A35-'实盘净值数据(iFinD公式)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公式)'!$A35="",'实盘净值数据(iFinD公式)'!$B35=""),"",分期持仓明细!$AB$20*SUMPRODUCT(分期持仓明细!$B$20:$Y$20,'实盘净值数据(iFinD公式)'!$B35:$Y35/'实盘净值数据(iFinD公式)'!$B$25:$Y$25)*(1-实盘持仓初始配置!$Z$7)^(('实盘净值数据(iFinD公式)'!$A35-'实盘净值数据(iFinD公式)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公式)'!$A35="",'实盘净值数据(iFinD公式)'!$B35=""),"",分期持仓明细!$AB$21*SUMPRODUCT(分期持仓明细!$B$21:$Y$21,'实盘净值数据(iFinD公式)'!$B35:$Y35/'实盘净值数据(iFinD公式)'!$B$25:$Y$25)*(1-实盘持仓初始配置!$Z$8)^(('实盘净值数据(iFinD公式)'!$A35-'实盘净值数据(iFinD公式)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公式)'!$A35="",'实盘净值数据(iFinD公式)'!$B35=""),"",分期持仓明细!$AB$22*SUMPRODUCT(分期持仓明细!$B$22:$Y$22,'实盘净值数据(iFinD公式)'!$B35:$Y35/'实盘净值数据(iFinD公式)'!$B$25:$Y$25)*(1-实盘持仓初始配置!$Z$9)^(('实盘净值数据(iFinD公式)'!$A35-'实盘净值数据(iFinD公式)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</row>
    <row r="36" spans="1:19">
      <c r="A36" s="15">
        <f>IF('实盘净值数据(iFinD公式)'!A36="","",'实盘净值数据(iFinD公式)'!A36)</f>
        <v>46237</v>
      </c>
      <c r="B36" s="13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初始配置!$Z$4)^(('实盘净值数据(iFinD公式)'!$A36-'实盘净值数据(iFinD公式)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初始配置!$Z$5)^(('实盘净值数据(iFinD公式)'!$A36-'实盘净值数据(iFinD公式)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初始配置!$Z$6)^(('实盘净值数据(iFinD公式)'!$A36-'实盘净值数据(iFinD公式)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公式)'!$A36="",'实盘净值数据(iFinD公式)'!$B36=""),"",分期持仓明细!$AB$20*SUMPRODUCT(分期持仓明细!$B$20:$Y$20,'实盘净值数据(iFinD公式)'!$B36:$Y36/'实盘净值数据(iFinD公式)'!$B$25:$Y$25)*(1-实盘持仓初始配置!$Z$7)^(('实盘净值数据(iFinD公式)'!$A36-'实盘净值数据(iFinD公式)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公式)'!$A36="",'实盘净值数据(iFinD公式)'!$B36=""),"",分期持仓明细!$AB$21*SUMPRODUCT(分期持仓明细!$B$21:$Y$21,'实盘净值数据(iFinD公式)'!$B36:$Y36/'实盘净值数据(iFinD公式)'!$B$25:$Y$25)*(1-实盘持仓初始配置!$Z$8)^(('实盘净值数据(iFinD公式)'!$A36-'实盘净值数据(iFinD公式)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公式)'!$A36="",'实盘净值数据(iFinD公式)'!$B36=""),"",分期持仓明细!$AB$22*SUMPRODUCT(分期持仓明细!$B$22:$Y$22,'实盘净值数据(iFinD公式)'!$B36:$Y36/'实盘净值数据(iFinD公式)'!$B$25:$Y$25)*(1-实盘持仓初始配置!$Z$9)^(('实盘净值数据(iFinD公式)'!$A36-'实盘净值数据(iFinD公式)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</row>
    <row r="37" spans="1:19">
      <c r="A37" s="15">
        <f>IF('实盘净值数据(iFinD公式)'!A37="","",'实盘净值数据(iFinD公式)'!A37)</f>
        <v>46238</v>
      </c>
      <c r="B37" s="13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初始配置!$Z$4)^(('实盘净值数据(iFinD公式)'!$A37-'实盘净值数据(iFinD公式)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初始配置!$Z$5)^(('实盘净值数据(iFinD公式)'!$A37-'实盘净值数据(iFinD公式)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初始配置!$Z$6)^(('实盘净值数据(iFinD公式)'!$A37-'实盘净值数据(iFinD公式)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公式)'!$A37="",'实盘净值数据(iFinD公式)'!$B37=""),"",分期持仓明细!$AB$20*SUMPRODUCT(分期持仓明细!$B$20:$Y$20,'实盘净值数据(iFinD公式)'!$B37:$Y37/'实盘净值数据(iFinD公式)'!$B$25:$Y$25)*(1-实盘持仓初始配置!$Z$7)^(('实盘净值数据(iFinD公式)'!$A37-'实盘净值数据(iFinD公式)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公式)'!$A37="",'实盘净值数据(iFinD公式)'!$B37=""),"",分期持仓明细!$AB$21*SUMPRODUCT(分期持仓明细!$B$21:$Y$21,'实盘净值数据(iFinD公式)'!$B37:$Y37/'实盘净值数据(iFinD公式)'!$B$25:$Y$25)*(1-实盘持仓初始配置!$Z$8)^(('实盘净值数据(iFinD公式)'!$A37-'实盘净值数据(iFinD公式)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公式)'!$A37="",'实盘净值数据(iFinD公式)'!$B37=""),"",分期持仓明细!$AB$22*SUMPRODUCT(分期持仓明细!$B$22:$Y$22,'实盘净值数据(iFinD公式)'!$B37:$Y37/'实盘净值数据(iFinD公式)'!$B$25:$Y$25)*(1-实盘持仓初始配置!$Z$9)^(('实盘净值数据(iFinD公式)'!$A37-'实盘净值数据(iFinD公式)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</row>
    <row r="38" spans="1:19">
      <c r="A38" s="15">
        <f>IF('实盘净值数据(iFinD公式)'!A38="","",'实盘净值数据(iFinD公式)'!A38)</f>
        <v>46239</v>
      </c>
      <c r="B38" s="13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初始配置!$Z$4)^(('实盘净值数据(iFinD公式)'!$A38-'实盘净值数据(iFinD公式)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初始配置!$Z$5)^(('实盘净值数据(iFinD公式)'!$A38-'实盘净值数据(iFinD公式)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初始配置!$Z$6)^(('实盘净值数据(iFinD公式)'!$A38-'实盘净值数据(iFinD公式)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公式)'!$A38="",'实盘净值数据(iFinD公式)'!$B38=""),"",分期持仓明细!$AB$20*SUMPRODUCT(分期持仓明细!$B$20:$Y$20,'实盘净值数据(iFinD公式)'!$B38:$Y38/'实盘净值数据(iFinD公式)'!$B$25:$Y$25)*(1-实盘持仓初始配置!$Z$7)^(('实盘净值数据(iFinD公式)'!$A38-'实盘净值数据(iFinD公式)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公式)'!$A38="",'实盘净值数据(iFinD公式)'!$B38=""),"",分期持仓明细!$AB$21*SUMPRODUCT(分期持仓明细!$B$21:$Y$21,'实盘净值数据(iFinD公式)'!$B38:$Y38/'实盘净值数据(iFinD公式)'!$B$25:$Y$25)*(1-实盘持仓初始配置!$Z$8)^(('实盘净值数据(iFinD公式)'!$A38-'实盘净值数据(iFinD公式)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公式)'!$A38="",'实盘净值数据(iFinD公式)'!$B38=""),"",分期持仓明细!$AB$22*SUMPRODUCT(分期持仓明细!$B$22:$Y$22,'实盘净值数据(iFinD公式)'!$B38:$Y38/'实盘净值数据(iFinD公式)'!$B$25:$Y$25)*(1-实盘持仓初始配置!$Z$9)^(('实盘净值数据(iFinD公式)'!$A38-'实盘净值数据(iFinD公式)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</row>
    <row r="39" spans="1:19">
      <c r="A39" s="15">
        <f>IF('实盘净值数据(iFinD公式)'!A39="","",'实盘净值数据(iFinD公式)'!A39)</f>
        <v>46240</v>
      </c>
      <c r="B39" s="13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初始配置!$Z$4)^(('实盘净值数据(iFinD公式)'!$A39-'实盘净值数据(iFinD公式)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初始配置!$Z$5)^(('实盘净值数据(iFinD公式)'!$A39-'实盘净值数据(iFinD公式)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初始配置!$Z$6)^(('实盘净值数据(iFinD公式)'!$A39-'实盘净值数据(iFinD公式)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公式)'!$A39="",'实盘净值数据(iFinD公式)'!$B39=""),"",分期持仓明细!$AB$20*SUMPRODUCT(分期持仓明细!$B$20:$Y$20,'实盘净值数据(iFinD公式)'!$B39:$Y39/'实盘净值数据(iFinD公式)'!$B$25:$Y$25)*(1-实盘持仓初始配置!$Z$7)^(('实盘净值数据(iFinD公式)'!$A39-'实盘净值数据(iFinD公式)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公式)'!$A39="",'实盘净值数据(iFinD公式)'!$B39=""),"",分期持仓明细!$AB$21*SUMPRODUCT(分期持仓明细!$B$21:$Y$21,'实盘净值数据(iFinD公式)'!$B39:$Y39/'实盘净值数据(iFinD公式)'!$B$25:$Y$25)*(1-实盘持仓初始配置!$Z$8)^(('实盘净值数据(iFinD公式)'!$A39-'实盘净值数据(iFinD公式)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公式)'!$A39="",'实盘净值数据(iFinD公式)'!$B39=""),"",分期持仓明细!$AB$22*SUMPRODUCT(分期持仓明细!$B$22:$Y$22,'实盘净值数据(iFinD公式)'!$B39:$Y39/'实盘净值数据(iFinD公式)'!$B$25:$Y$25)*(1-实盘持仓初始配置!$Z$9)^(('实盘净值数据(iFinD公式)'!$A39-'实盘净值数据(iFinD公式)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</row>
    <row r="40" spans="1:19">
      <c r="A40" s="15">
        <f>IF('实盘净值数据(iFinD公式)'!A40="","",'实盘净值数据(iFinD公式)'!A40)</f>
        <v>46241</v>
      </c>
      <c r="B40" s="13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初始配置!$Z$4)^(('实盘净值数据(iFinD公式)'!$A40-'实盘净值数据(iFinD公式)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初始配置!$Z$5)^(('实盘净值数据(iFinD公式)'!$A40-'实盘净值数据(iFinD公式)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初始配置!$Z$6)^(('实盘净值数据(iFinD公式)'!$A40-'实盘净值数据(iFinD公式)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公式)'!$A40="",'实盘净值数据(iFinD公式)'!$B40=""),"",分期持仓明细!$AB$20*SUMPRODUCT(分期持仓明细!$B$20:$Y$20,'实盘净值数据(iFinD公式)'!$B40:$Y40/'实盘净值数据(iFinD公式)'!$B$25:$Y$25)*(1-实盘持仓初始配置!$Z$7)^(('实盘净值数据(iFinD公式)'!$A40-'实盘净值数据(iFinD公式)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公式)'!$A40="",'实盘净值数据(iFinD公式)'!$B40=""),"",分期持仓明细!$AB$21*SUMPRODUCT(分期持仓明细!$B$21:$Y$21,'实盘净值数据(iFinD公式)'!$B40:$Y40/'实盘净值数据(iFinD公式)'!$B$25:$Y$25)*(1-实盘持仓初始配置!$Z$8)^(('实盘净值数据(iFinD公式)'!$A40-'实盘净值数据(iFinD公式)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公式)'!$A40="",'实盘净值数据(iFinD公式)'!$B40=""),"",分期持仓明细!$AB$22*SUMPRODUCT(分期持仓明细!$B$22:$Y$22,'实盘净值数据(iFinD公式)'!$B40:$Y40/'实盘净值数据(iFinD公式)'!$B$25:$Y$25)*(1-实盘持仓初始配置!$Z$9)^(('实盘净值数据(iFinD公式)'!$A40-'实盘净值数据(iFinD公式)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</row>
    <row r="41" spans="1:19">
      <c r="A41" s="15">
        <f>IF('实盘净值数据(iFinD公式)'!A41="","",'实盘净值数据(iFinD公式)'!A41)</f>
        <v>46244</v>
      </c>
      <c r="B41" s="13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初始配置!$Z$4)^(('实盘净值数据(iFinD公式)'!$A41-'实盘净值数据(iFinD公式)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初始配置!$Z$5)^(('实盘净值数据(iFinD公式)'!$A41-'实盘净值数据(iFinD公式)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初始配置!$Z$6)^(('实盘净值数据(iFinD公式)'!$A41-'实盘净值数据(iFinD公式)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公式)'!$A41="",'实盘净值数据(iFinD公式)'!$B41=""),"",分期持仓明细!$AB$20*SUMPRODUCT(分期持仓明细!$B$20:$Y$20,'实盘净值数据(iFinD公式)'!$B41:$Y41/'实盘净值数据(iFinD公式)'!$B$25:$Y$25)*(1-实盘持仓初始配置!$Z$7)^(('实盘净值数据(iFinD公式)'!$A41-'实盘净值数据(iFinD公式)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公式)'!$A41="",'实盘净值数据(iFinD公式)'!$B41=""),"",分期持仓明细!$AB$21*SUMPRODUCT(分期持仓明细!$B$21:$Y$21,'实盘净值数据(iFinD公式)'!$B41:$Y41/'实盘净值数据(iFinD公式)'!$B$25:$Y$25)*(1-实盘持仓初始配置!$Z$8)^(('实盘净值数据(iFinD公式)'!$A41-'实盘净值数据(iFinD公式)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公式)'!$A41="",'实盘净值数据(iFinD公式)'!$B41=""),"",分期持仓明细!$AB$22*SUMPRODUCT(分期持仓明细!$B$22:$Y$22,'实盘净值数据(iFinD公式)'!$B41:$Y41/'实盘净值数据(iFinD公式)'!$B$25:$Y$25)*(1-实盘持仓初始配置!$Z$9)^(('实盘净值数据(iFinD公式)'!$A41-'实盘净值数据(iFinD公式)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</row>
    <row r="42" spans="1:19">
      <c r="A42" s="15">
        <f>IF('实盘净值数据(iFinD公式)'!A42="","",'实盘净值数据(iFinD公式)'!A42)</f>
        <v>46245</v>
      </c>
      <c r="B42" s="13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初始配置!$Z$4)^(('实盘净值数据(iFinD公式)'!$A42-'实盘净值数据(iFinD公式)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初始配置!$Z$5)^(('实盘净值数据(iFinD公式)'!$A42-'实盘净值数据(iFinD公式)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初始配置!$Z$6)^(('实盘净值数据(iFinD公式)'!$A42-'实盘净值数据(iFinD公式)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公式)'!$A42="",'实盘净值数据(iFinD公式)'!$B42=""),"",分期持仓明细!$AB$20*SUMPRODUCT(分期持仓明细!$B$20:$Y$20,'实盘净值数据(iFinD公式)'!$B42:$Y42/'实盘净值数据(iFinD公式)'!$B$25:$Y$25)*(1-实盘持仓初始配置!$Z$7)^(('实盘净值数据(iFinD公式)'!$A42-'实盘净值数据(iFinD公式)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公式)'!$A42="",'实盘净值数据(iFinD公式)'!$B42=""),"",分期持仓明细!$AB$21*SUMPRODUCT(分期持仓明细!$B$21:$Y$21,'实盘净值数据(iFinD公式)'!$B42:$Y42/'实盘净值数据(iFinD公式)'!$B$25:$Y$25)*(1-实盘持仓初始配置!$Z$8)^(('实盘净值数据(iFinD公式)'!$A42-'实盘净值数据(iFinD公式)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公式)'!$A42="",'实盘净值数据(iFinD公式)'!$B42=""),"",分期持仓明细!$AB$22*SUMPRODUCT(分期持仓明细!$B$22:$Y$22,'实盘净值数据(iFinD公式)'!$B42:$Y42/'实盘净值数据(iFinD公式)'!$B$25:$Y$25)*(1-实盘持仓初始配置!$Z$9)^(('实盘净值数据(iFinD公式)'!$A42-'实盘净值数据(iFinD公式)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</row>
    <row r="43" spans="1:19">
      <c r="A43" s="15">
        <f>IF('实盘净值数据(iFinD公式)'!A43="","",'实盘净值数据(iFinD公式)'!A43)</f>
        <v>46246</v>
      </c>
      <c r="B43" s="13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初始配置!$Z$4)^(('实盘净值数据(iFinD公式)'!$A43-'实盘净值数据(iFinD公式)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初始配置!$Z$5)^(('实盘净值数据(iFinD公式)'!$A43-'实盘净值数据(iFinD公式)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初始配置!$Z$6)^(('实盘净值数据(iFinD公式)'!$A43-'实盘净值数据(iFinD公式)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公式)'!$A43="",'实盘净值数据(iFinD公式)'!$B43=""),"",分期持仓明细!$AB$20*SUMPRODUCT(分期持仓明细!$B$20:$Y$20,'实盘净值数据(iFinD公式)'!$B43:$Y43/'实盘净值数据(iFinD公式)'!$B$25:$Y$25)*(1-实盘持仓初始配置!$Z$7)^(('实盘净值数据(iFinD公式)'!$A43-'实盘净值数据(iFinD公式)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公式)'!$A43="",'实盘净值数据(iFinD公式)'!$B43=""),"",分期持仓明细!$AB$21*SUMPRODUCT(分期持仓明细!$B$21:$Y$21,'实盘净值数据(iFinD公式)'!$B43:$Y43/'实盘净值数据(iFinD公式)'!$B$25:$Y$25)*(1-实盘持仓初始配置!$Z$8)^(('实盘净值数据(iFinD公式)'!$A43-'实盘净值数据(iFinD公式)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公式)'!$A43="",'实盘净值数据(iFinD公式)'!$B43=""),"",分期持仓明细!$AB$22*SUMPRODUCT(分期持仓明细!$B$22:$Y$22,'实盘净值数据(iFinD公式)'!$B43:$Y43/'实盘净值数据(iFinD公式)'!$B$25:$Y$25)*(1-实盘持仓初始配置!$Z$9)^(('实盘净值数据(iFinD公式)'!$A43-'实盘净值数据(iFinD公式)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</row>
    <row r="44" spans="1:19">
      <c r="A44" s="15">
        <f>IF('实盘净值数据(iFinD公式)'!A44="","",'实盘净值数据(iFinD公式)'!A44)</f>
        <v>46247</v>
      </c>
      <c r="B44" s="13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初始配置!$Z$4)^(('实盘净值数据(iFinD公式)'!$A44-'实盘净值数据(iFinD公式)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初始配置!$Z$5)^(('实盘净值数据(iFinD公式)'!$A44-'实盘净值数据(iFinD公式)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初始配置!$Z$6)^(('实盘净值数据(iFinD公式)'!$A44-'实盘净值数据(iFinD公式)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公式)'!$A44="",'实盘净值数据(iFinD公式)'!$B44=""),"",分期持仓明细!$AB$20*SUMPRODUCT(分期持仓明细!$B$20:$Y$20,'实盘净值数据(iFinD公式)'!$B44:$Y44/'实盘净值数据(iFinD公式)'!$B$25:$Y$25)*(1-实盘持仓初始配置!$Z$7)^(('实盘净值数据(iFinD公式)'!$A44-'实盘净值数据(iFinD公式)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公式)'!$A44="",'实盘净值数据(iFinD公式)'!$B44=""),"",分期持仓明细!$AB$21*SUMPRODUCT(分期持仓明细!$B$21:$Y$21,'实盘净值数据(iFinD公式)'!$B44:$Y44/'实盘净值数据(iFinD公式)'!$B$25:$Y$25)*(1-实盘持仓初始配置!$Z$8)^(('实盘净值数据(iFinD公式)'!$A44-'实盘净值数据(iFinD公式)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公式)'!$A44="",'实盘净值数据(iFinD公式)'!$B44=""),"",分期持仓明细!$AB$22*SUMPRODUCT(分期持仓明细!$B$22:$Y$22,'实盘净值数据(iFinD公式)'!$B44:$Y44/'实盘净值数据(iFinD公式)'!$B$25:$Y$25)*(1-实盘持仓初始配置!$Z$9)^(('实盘净值数据(iFinD公式)'!$A44-'实盘净值数据(iFinD公式)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</row>
    <row r="45" spans="1:19">
      <c r="A45" s="15">
        <f>IF('实盘净值数据(iFinD公式)'!A45="","",'实盘净值数据(iFinD公式)'!A45)</f>
        <v>46248</v>
      </c>
      <c r="B45" s="13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初始配置!$Z$4)^(('实盘净值数据(iFinD公式)'!$A45-'实盘净值数据(iFinD公式)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初始配置!$Z$5)^(('实盘净值数据(iFinD公式)'!$A45-'实盘净值数据(iFinD公式)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初始配置!$Z$6)^(('实盘净值数据(iFinD公式)'!$A45-'实盘净值数据(iFinD公式)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公式)'!$A45="",'实盘净值数据(iFinD公式)'!$B45=""),"",分期持仓明细!$AB$20*SUMPRODUCT(分期持仓明细!$B$20:$Y$20,'实盘净值数据(iFinD公式)'!$B45:$Y45/'实盘净值数据(iFinD公式)'!$B$25:$Y$25)*(1-实盘持仓初始配置!$Z$7)^(('实盘净值数据(iFinD公式)'!$A45-'实盘净值数据(iFinD公式)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公式)'!$A45="",'实盘净值数据(iFinD公式)'!$B45=""),"",分期持仓明细!$AB$21*SUMPRODUCT(分期持仓明细!$B$21:$Y$21,'实盘净值数据(iFinD公式)'!$B45:$Y45/'实盘净值数据(iFinD公式)'!$B$25:$Y$25)*(1-实盘持仓初始配置!$Z$8)^(('实盘净值数据(iFinD公式)'!$A45-'实盘净值数据(iFinD公式)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公式)'!$A45="",'实盘净值数据(iFinD公式)'!$B45=""),"",分期持仓明细!$AB$22*SUMPRODUCT(分期持仓明细!$B$22:$Y$22,'实盘净值数据(iFinD公式)'!$B45:$Y45/'实盘净值数据(iFinD公式)'!$B$25:$Y$25)*(1-实盘持仓初始配置!$Z$9)^(('实盘净值数据(iFinD公式)'!$A45-'实盘净值数据(iFinD公式)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</row>
    <row r="46" spans="1:19">
      <c r="A46" s="15">
        <f>IF('实盘净值数据(iFinD公式)'!A46="","",'实盘净值数据(iFinD公式)'!A46)</f>
        <v>46251</v>
      </c>
      <c r="B46" s="13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初始配置!$Z$4)^(('实盘净值数据(iFinD公式)'!$A46-'实盘净值数据(iFinD公式)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初始配置!$Z$5)^(('实盘净值数据(iFinD公式)'!$A46-'实盘净值数据(iFinD公式)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初始配置!$Z$6)^(('实盘净值数据(iFinD公式)'!$A46-'实盘净值数据(iFinD公式)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公式)'!$A46="",'实盘净值数据(iFinD公式)'!$B46=""),"",分期持仓明细!$AB$20*SUMPRODUCT(分期持仓明细!$B$20:$Y$20,'实盘净值数据(iFinD公式)'!$B46:$Y46/'实盘净值数据(iFinD公式)'!$B$25:$Y$25)*(1-实盘持仓初始配置!$Z$7)^(('实盘净值数据(iFinD公式)'!$A46-'实盘净值数据(iFinD公式)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公式)'!$A46="",'实盘净值数据(iFinD公式)'!$B46=""),"",分期持仓明细!$AB$21*SUMPRODUCT(分期持仓明细!$B$21:$Y$21,'实盘净值数据(iFinD公式)'!$B46:$Y46/'实盘净值数据(iFinD公式)'!$B$25:$Y$25)*(1-实盘持仓初始配置!$Z$8)^(('实盘净值数据(iFinD公式)'!$A46-'实盘净值数据(iFinD公式)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公式)'!$A46="",'实盘净值数据(iFinD公式)'!$B46=""),"",分期持仓明细!$AB$22*SUMPRODUCT(分期持仓明细!$B$22:$Y$22,'实盘净值数据(iFinD公式)'!$B46:$Y46/'实盘净值数据(iFinD公式)'!$B$25:$Y$25)*(1-实盘持仓初始配置!$Z$9)^(('实盘净值数据(iFinD公式)'!$A46-'实盘净值数据(iFinD公式)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</row>
    <row r="47" spans="1:19">
      <c r="A47" s="15">
        <f>IF('实盘净值数据(iFinD公式)'!A47="","",'实盘净值数据(iFinD公式)'!A47)</f>
        <v>46252</v>
      </c>
      <c r="B47" s="13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初始配置!$Z$4)^(('实盘净值数据(iFinD公式)'!$A47-'实盘净值数据(iFinD公式)'!$A$6)/365))</f>
        <v>0.87685780895765764</v>
      </c>
      <c r="C47" s="16">
        <f t="shared" si="3"/>
        <v>-4.1406369609475746E-5</v>
      </c>
      <c r="D47" s="16">
        <f>IF(B47="","",B47/MAX(B$5:B47)-1)</f>
        <v>-0.18420290033502074</v>
      </c>
      <c r="E47" s="13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初始配置!$Z$5)^(('实盘净值数据(iFinD公式)'!$A47-'实盘净值数据(iFinD公式)'!$A$5)/365))</f>
        <v>0.89733705151434484</v>
      </c>
      <c r="F47" s="16">
        <f t="shared" si="4"/>
        <v>-3.3075018035066961E-5</v>
      </c>
      <c r="G47" s="16">
        <f>IF(E47="","",E47/MAX(E$5:E47)-1)</f>
        <v>-0.18404386091288083</v>
      </c>
      <c r="H47" s="13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初始配置!$Z$6)^(('实盘净值数据(iFinD公式)'!$A47-'实盘净值数据(iFinD公式)'!$A$7)/365))</f>
        <v>0.90233679207786821</v>
      </c>
      <c r="I47" s="16">
        <f t="shared" si="5"/>
        <v>-4.1406369609475746E-5</v>
      </c>
      <c r="J47" s="16">
        <f>IF(H47="","",H47/MAX(H$5:H47)-1)</f>
        <v>-0.18833196239420325</v>
      </c>
      <c r="K47" s="13">
        <f>IF(OR('实盘净值数据(iFinD公式)'!$A47="",'实盘净值数据(iFinD公式)'!$B47=""),"",分期持仓明细!$AB$20*SUMPRODUCT(分期持仓明细!$B$20:$Y$20,'实盘净值数据(iFinD公式)'!$B47:$Y47/'实盘净值数据(iFinD公式)'!$B$25:$Y$25)*(1-实盘持仓初始配置!$Z$7)^(('实盘净值数据(iFinD公式)'!$A47-'实盘净值数据(iFinD公式)'!$A$8)/365))</f>
        <v>0.99893699750750309</v>
      </c>
      <c r="L47" s="16">
        <f t="shared" si="0"/>
        <v>-2.2005707726369117E-5</v>
      </c>
      <c r="M47" s="16">
        <f>IF(K47="","",K47/MAX(K$5:K47)-1)</f>
        <v>-4.3208583034416437E-3</v>
      </c>
      <c r="N47" s="13">
        <f>IF(OR('实盘净值数据(iFinD公式)'!$A47="",'实盘净值数据(iFinD公式)'!$B47=""),"",分期持仓明细!$AB$21*SUMPRODUCT(分期持仓明细!$B$21:$Y$21,'实盘净值数据(iFinD公式)'!$B47:$Y47/'实盘净值数据(iFinD公式)'!$B$25:$Y$25)*(1-实盘持仓初始配置!$Z$8)^(('实盘净值数据(iFinD公式)'!$A47-'实盘净值数据(iFinD公式)'!$A$5)/365))</f>
        <v>0.9986409844836206</v>
      </c>
      <c r="O47" s="16">
        <f t="shared" si="1"/>
        <v>-1.3732897000351407E-5</v>
      </c>
      <c r="P47" s="16">
        <f>IF(N47="","",N47/MAX(N$5:N47)-1)</f>
        <v>-4.0581564901174261E-3</v>
      </c>
      <c r="Q47" s="13">
        <f>IF(OR('实盘净值数据(iFinD公式)'!$A47="",'实盘净值数据(iFinD公式)'!$B47=""),"",分期持仓明细!$AB$22*SUMPRODUCT(分期持仓明细!$B$22:$Y$22,'实盘净值数据(iFinD公式)'!$B47:$Y47/'实盘净值数据(iFinD公式)'!$B$25:$Y$25)*(1-实盘持仓初始配置!$Z$9)^(('实盘净值数据(iFinD公式)'!$A47-'实盘净值数据(iFinD公式)'!$A$8)/365))</f>
        <v>0.98130948915867044</v>
      </c>
      <c r="R47" s="16">
        <f t="shared" si="2"/>
        <v>-3.3075018034955939E-5</v>
      </c>
      <c r="S47" s="16">
        <f>IF(Q47="","",Q47/MAX(Q$5:Q47)-1)</f>
        <v>-2.7213936972619091E-2</v>
      </c>
    </row>
    <row r="48" spans="1:19">
      <c r="A48" s="15" t="str">
        <f>IF('实盘净值数据(iFinD公式)'!A48="","",'实盘净值数据(iFinD公式)'!A48)</f>
        <v/>
      </c>
      <c r="B48" s="13" t="str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初始配置!$Z$4)^(('实盘净值数据(iFinD公式)'!$A48-'实盘净值数据(iFinD公式)'!$A$6)/365))</f>
        <v/>
      </c>
      <c r="C48" s="16" t="str">
        <f t="shared" si="3"/>
        <v/>
      </c>
      <c r="D48" s="16" t="str">
        <f>IF(B48="","",B48/MAX(B$5:B48)-1)</f>
        <v/>
      </c>
      <c r="E48" s="13" t="str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初始配置!$Z$5)^(('实盘净值数据(iFinD公式)'!$A48-'实盘净值数据(iFinD公式)'!$A$5)/365))</f>
        <v/>
      </c>
      <c r="F48" s="16" t="str">
        <f t="shared" si="4"/>
        <v/>
      </c>
      <c r="G48" s="16" t="str">
        <f>IF(E48="","",E48/MAX(E$5:E48)-1)</f>
        <v/>
      </c>
      <c r="H48" s="13" t="str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初始配置!$Z$6)^(('实盘净值数据(iFinD公式)'!$A48-'实盘净值数据(iFinD公式)'!$A$7)/365))</f>
        <v/>
      </c>
      <c r="I48" s="16" t="str">
        <f t="shared" si="5"/>
        <v/>
      </c>
      <c r="J48" s="16" t="str">
        <f>IF(H48="","",H48/MAX(H$5:H48)-1)</f>
        <v/>
      </c>
      <c r="K48" s="13" t="str">
        <f>IF(OR('实盘净值数据(iFinD公式)'!$A48="",'实盘净值数据(iFinD公式)'!$B48=""),"",分期持仓明细!$AB$20*SUMPRODUCT(分期持仓明细!$B$20:$Y$20,'实盘净值数据(iFinD公式)'!$B48:$Y48/'实盘净值数据(iFinD公式)'!$B$25:$Y$25)*(1-实盘持仓初始配置!$Z$7)^(('实盘净值数据(iFinD公式)'!$A48-'实盘净值数据(iFinD公式)'!$A$8)/365))</f>
        <v/>
      </c>
      <c r="L48" s="16" t="str">
        <f t="shared" si="0"/>
        <v/>
      </c>
      <c r="M48" s="16" t="str">
        <f>IF(K48="","",K48/MAX(K$5:K48)-1)</f>
        <v/>
      </c>
      <c r="N48" s="13" t="str">
        <f>IF(OR('实盘净值数据(iFinD公式)'!$A48="",'实盘净值数据(iFinD公式)'!$B48=""),"",分期持仓明细!$AB$21*SUMPRODUCT(分期持仓明细!$B$21:$Y$21,'实盘净值数据(iFinD公式)'!$B48:$Y48/'实盘净值数据(iFinD公式)'!$B$25:$Y$25)*(1-实盘持仓初始配置!$Z$8)^(('实盘净值数据(iFinD公式)'!$A48-'实盘净值数据(iFinD公式)'!$A$5)/365))</f>
        <v/>
      </c>
      <c r="O48" s="16" t="str">
        <f t="shared" si="1"/>
        <v/>
      </c>
      <c r="P48" s="16" t="str">
        <f>IF(N48="","",N48/MAX(N$5:N48)-1)</f>
        <v/>
      </c>
      <c r="Q48" s="13" t="str">
        <f>IF(OR('实盘净值数据(iFinD公式)'!$A48="",'实盘净值数据(iFinD公式)'!$B48=""),"",分期持仓明细!$AB$22*SUMPRODUCT(分期持仓明细!$B$22:$Y$22,'实盘净值数据(iFinD公式)'!$B48:$Y48/'实盘净值数据(iFinD公式)'!$B$25:$Y$25)*(1-实盘持仓初始配置!$Z$9)^(('实盘净值数据(iFinD公式)'!$A48-'实盘净值数据(iFinD公式)'!$A$8)/365))</f>
        <v/>
      </c>
      <c r="R48" s="16" t="str">
        <f t="shared" si="2"/>
        <v/>
      </c>
      <c r="S48" s="16" t="str">
        <f>IF(Q48="","",Q48/MAX(Q$5:Q48)-1)</f>
        <v/>
      </c>
    </row>
    <row r="49" spans="1:19">
      <c r="A49" s="15" t="str">
        <f>IF('实盘净值数据(iFinD公式)'!A49="","",'实盘净值数据(iFinD公式)'!A49)</f>
        <v/>
      </c>
      <c r="B49" s="13" t="str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初始配置!$Z$4)^(('实盘净值数据(iFinD公式)'!$A49-'实盘净值数据(iFinD公式)'!$A$6)/365))</f>
        <v/>
      </c>
      <c r="C49" s="16" t="str">
        <f t="shared" si="3"/>
        <v/>
      </c>
      <c r="D49" s="16" t="str">
        <f>IF(B49="","",B49/MAX(B$5:B49)-1)</f>
        <v/>
      </c>
      <c r="E49" s="13" t="str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初始配置!$Z$5)^(('实盘净值数据(iFinD公式)'!$A49-'实盘净值数据(iFinD公式)'!$A$5)/365))</f>
        <v/>
      </c>
      <c r="F49" s="16" t="str">
        <f t="shared" si="4"/>
        <v/>
      </c>
      <c r="G49" s="16" t="str">
        <f>IF(E49="","",E49/MAX(E$5:E49)-1)</f>
        <v/>
      </c>
      <c r="H49" s="13" t="str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初始配置!$Z$6)^(('实盘净值数据(iFinD公式)'!$A49-'实盘净值数据(iFinD公式)'!$A$7)/365))</f>
        <v/>
      </c>
      <c r="I49" s="16" t="str">
        <f t="shared" si="5"/>
        <v/>
      </c>
      <c r="J49" s="16" t="str">
        <f>IF(H49="","",H49/MAX(H$5:H49)-1)</f>
        <v/>
      </c>
      <c r="K49" s="13" t="str">
        <f>IF(OR('实盘净值数据(iFinD公式)'!$A49="",'实盘净值数据(iFinD公式)'!$B49=""),"",分期持仓明细!$AB$20*SUMPRODUCT(分期持仓明细!$B$20:$Y$20,'实盘净值数据(iFinD公式)'!$B49:$Y49/'实盘净值数据(iFinD公式)'!$B$25:$Y$25)*(1-实盘持仓初始配置!$Z$7)^(('实盘净值数据(iFinD公式)'!$A49-'实盘净值数据(iFinD公式)'!$A$8)/365))</f>
        <v/>
      </c>
      <c r="L49" s="16" t="str">
        <f t="shared" si="0"/>
        <v/>
      </c>
      <c r="M49" s="16" t="str">
        <f>IF(K49="","",K49/MAX(K$5:K49)-1)</f>
        <v/>
      </c>
      <c r="N49" s="13" t="str">
        <f>IF(OR('实盘净值数据(iFinD公式)'!$A49="",'实盘净值数据(iFinD公式)'!$B49=""),"",分期持仓明细!$AB$21*SUMPRODUCT(分期持仓明细!$B$21:$Y$21,'实盘净值数据(iFinD公式)'!$B49:$Y49/'实盘净值数据(iFinD公式)'!$B$25:$Y$25)*(1-实盘持仓初始配置!$Z$8)^(('实盘净值数据(iFinD公式)'!$A49-'实盘净值数据(iFinD公式)'!$A$5)/365))</f>
        <v/>
      </c>
      <c r="O49" s="16" t="str">
        <f t="shared" si="1"/>
        <v/>
      </c>
      <c r="P49" s="16" t="str">
        <f>IF(N49="","",N49/MAX(N$5:N49)-1)</f>
        <v/>
      </c>
      <c r="Q49" s="13" t="str">
        <f>IF(OR('实盘净值数据(iFinD公式)'!$A49="",'实盘净值数据(iFinD公式)'!$B49=""),"",分期持仓明细!$AB$22*SUMPRODUCT(分期持仓明细!$B$22:$Y$22,'实盘净值数据(iFinD公式)'!$B49:$Y49/'实盘净值数据(iFinD公式)'!$B$25:$Y$25)*(1-实盘持仓初始配置!$Z$9)^(('实盘净值数据(iFinD公式)'!$A49-'实盘净值数据(iFinD公式)'!$A$8)/365))</f>
        <v/>
      </c>
      <c r="R49" s="16" t="str">
        <f t="shared" si="2"/>
        <v/>
      </c>
      <c r="S49" s="16" t="str">
        <f>IF(Q49="","",Q49/MAX(Q$5:Q49)-1)</f>
        <v/>
      </c>
    </row>
    <row r="50" spans="1:19">
      <c r="A50" s="15" t="str">
        <f>IF('实盘净值数据(iFinD公式)'!A50="","",'实盘净值数据(iFinD公式)'!A50)</f>
        <v/>
      </c>
      <c r="B50" s="13" t="str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初始配置!$Z$4)^(('实盘净值数据(iFinD公式)'!$A50-'实盘净值数据(iFinD公式)'!$A$6)/365))</f>
        <v/>
      </c>
      <c r="C50" s="16" t="str">
        <f t="shared" si="3"/>
        <v/>
      </c>
      <c r="D50" s="16" t="str">
        <f>IF(B50="","",B50/MAX(B$5:B50)-1)</f>
        <v/>
      </c>
      <c r="E50" s="13" t="str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初始配置!$Z$5)^(('实盘净值数据(iFinD公式)'!$A50-'实盘净值数据(iFinD公式)'!$A$5)/365))</f>
        <v/>
      </c>
      <c r="F50" s="16" t="str">
        <f t="shared" si="4"/>
        <v/>
      </c>
      <c r="G50" s="16" t="str">
        <f>IF(E50="","",E50/MAX(E$5:E50)-1)</f>
        <v/>
      </c>
      <c r="H50" s="13" t="str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初始配置!$Z$6)^(('实盘净值数据(iFinD公式)'!$A50-'实盘净值数据(iFinD公式)'!$A$7)/365))</f>
        <v/>
      </c>
      <c r="I50" s="16" t="str">
        <f t="shared" si="5"/>
        <v/>
      </c>
      <c r="J50" s="16" t="str">
        <f>IF(H50="","",H50/MAX(H$5:H50)-1)</f>
        <v/>
      </c>
      <c r="K50" s="13" t="str">
        <f>IF(OR('实盘净值数据(iFinD公式)'!$A50="",'实盘净值数据(iFinD公式)'!$B50=""),"",分期持仓明细!$AB$20*SUMPRODUCT(分期持仓明细!$B$20:$Y$20,'实盘净值数据(iFinD公式)'!$B50:$Y50/'实盘净值数据(iFinD公式)'!$B$25:$Y$25)*(1-实盘持仓初始配置!$Z$7)^(('实盘净值数据(iFinD公式)'!$A50-'实盘净值数据(iFinD公式)'!$A$8)/365))</f>
        <v/>
      </c>
      <c r="L50" s="16" t="str">
        <f t="shared" si="0"/>
        <v/>
      </c>
      <c r="M50" s="16" t="str">
        <f>IF(K50="","",K50/MAX(K$5:K50)-1)</f>
        <v/>
      </c>
      <c r="N50" s="13" t="str">
        <f>IF(OR('实盘净值数据(iFinD公式)'!$A50="",'实盘净值数据(iFinD公式)'!$B50=""),"",分期持仓明细!$AB$21*SUMPRODUCT(分期持仓明细!$B$21:$Y$21,'实盘净值数据(iFinD公式)'!$B50:$Y50/'实盘净值数据(iFinD公式)'!$B$25:$Y$25)*(1-实盘持仓初始配置!$Z$8)^(('实盘净值数据(iFinD公式)'!$A50-'实盘净值数据(iFinD公式)'!$A$5)/365))</f>
        <v/>
      </c>
      <c r="O50" s="16" t="str">
        <f t="shared" si="1"/>
        <v/>
      </c>
      <c r="P50" s="16" t="str">
        <f>IF(N50="","",N50/MAX(N$5:N50)-1)</f>
        <v/>
      </c>
      <c r="Q50" s="13" t="str">
        <f>IF(OR('实盘净值数据(iFinD公式)'!$A50="",'实盘净值数据(iFinD公式)'!$B50=""),"",分期持仓明细!$AB$22*SUMPRODUCT(分期持仓明细!$B$22:$Y$22,'实盘净值数据(iFinD公式)'!$B50:$Y50/'实盘净值数据(iFinD公式)'!$B$25:$Y$25)*(1-实盘持仓初始配置!$Z$9)^(('实盘净值数据(iFinD公式)'!$A50-'实盘净值数据(iFinD公式)'!$A$8)/365))</f>
        <v/>
      </c>
      <c r="R50" s="16" t="str">
        <f t="shared" si="2"/>
        <v/>
      </c>
      <c r="S50" s="16" t="str">
        <f>IF(Q50="","",Q50/MAX(Q$5:Q50)-1)</f>
        <v/>
      </c>
    </row>
    <row r="51" spans="1:19">
      <c r="A51" s="15" t="str">
        <f>IF('实盘净值数据(iFinD公式)'!A51="","",'实盘净值数据(iFinD公式)'!A51)</f>
        <v/>
      </c>
      <c r="B51" s="13" t="str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初始配置!$Z$4)^(('实盘净值数据(iFinD公式)'!$A51-'实盘净值数据(iFinD公式)'!$A$6)/365))</f>
        <v/>
      </c>
      <c r="C51" s="16" t="str">
        <f t="shared" si="3"/>
        <v/>
      </c>
      <c r="D51" s="16" t="str">
        <f>IF(B51="","",B51/MAX(B$5:B51)-1)</f>
        <v/>
      </c>
      <c r="E51" s="13" t="str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初始配置!$Z$5)^(('实盘净值数据(iFinD公式)'!$A51-'实盘净值数据(iFinD公式)'!$A$5)/365))</f>
        <v/>
      </c>
      <c r="F51" s="16" t="str">
        <f t="shared" si="4"/>
        <v/>
      </c>
      <c r="G51" s="16" t="str">
        <f>IF(E51="","",E51/MAX(E$5:E51)-1)</f>
        <v/>
      </c>
      <c r="H51" s="13" t="str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初始配置!$Z$6)^(('实盘净值数据(iFinD公式)'!$A51-'实盘净值数据(iFinD公式)'!$A$7)/365))</f>
        <v/>
      </c>
      <c r="I51" s="16" t="str">
        <f t="shared" si="5"/>
        <v/>
      </c>
      <c r="J51" s="16" t="str">
        <f>IF(H51="","",H51/MAX(H$5:H51)-1)</f>
        <v/>
      </c>
      <c r="K51" s="13" t="str">
        <f>IF(OR('实盘净值数据(iFinD公式)'!$A51="",'实盘净值数据(iFinD公式)'!$B51=""),"",分期持仓明细!$AB$20*SUMPRODUCT(分期持仓明细!$B$20:$Y$20,'实盘净值数据(iFinD公式)'!$B51:$Y51/'实盘净值数据(iFinD公式)'!$B$25:$Y$25)*(1-实盘持仓初始配置!$Z$7)^(('实盘净值数据(iFinD公式)'!$A51-'实盘净值数据(iFinD公式)'!$A$8)/365))</f>
        <v/>
      </c>
      <c r="L51" s="16" t="str">
        <f t="shared" si="0"/>
        <v/>
      </c>
      <c r="M51" s="16" t="str">
        <f>IF(K51="","",K51/MAX(K$5:K51)-1)</f>
        <v/>
      </c>
      <c r="N51" s="13" t="str">
        <f>IF(OR('实盘净值数据(iFinD公式)'!$A51="",'实盘净值数据(iFinD公式)'!$B51=""),"",分期持仓明细!$AB$21*SUMPRODUCT(分期持仓明细!$B$21:$Y$21,'实盘净值数据(iFinD公式)'!$B51:$Y51/'实盘净值数据(iFinD公式)'!$B$25:$Y$25)*(1-实盘持仓初始配置!$Z$8)^(('实盘净值数据(iFinD公式)'!$A51-'实盘净值数据(iFinD公式)'!$A$5)/365))</f>
        <v/>
      </c>
      <c r="O51" s="16" t="str">
        <f t="shared" si="1"/>
        <v/>
      </c>
      <c r="P51" s="16" t="str">
        <f>IF(N51="","",N51/MAX(N$5:N51)-1)</f>
        <v/>
      </c>
      <c r="Q51" s="13" t="str">
        <f>IF(OR('实盘净值数据(iFinD公式)'!$A51="",'实盘净值数据(iFinD公式)'!$B51=""),"",分期持仓明细!$AB$22*SUMPRODUCT(分期持仓明细!$B$22:$Y$22,'实盘净值数据(iFinD公式)'!$B51:$Y51/'实盘净值数据(iFinD公式)'!$B$25:$Y$25)*(1-实盘持仓初始配置!$Z$9)^(('实盘净值数据(iFinD公式)'!$A51-'实盘净值数据(iFinD公式)'!$A$8)/365))</f>
        <v/>
      </c>
      <c r="R51" s="16" t="str">
        <f t="shared" si="2"/>
        <v/>
      </c>
      <c r="S51" s="16" t="str">
        <f>IF(Q51="","",Q51/MAX(Q$5:Q51)-1)</f>
        <v/>
      </c>
    </row>
    <row r="52" spans="1:19">
      <c r="A52" s="15" t="str">
        <f>IF('实盘净值数据(iFinD公式)'!A52="","",'实盘净值数据(iFinD公式)'!A52)</f>
        <v/>
      </c>
      <c r="B52" s="13" t="str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初始配置!$Z$4)^(('实盘净值数据(iFinD公式)'!$A52-'实盘净值数据(iFinD公式)'!$A$6)/365))</f>
        <v/>
      </c>
      <c r="C52" s="16" t="str">
        <f t="shared" si="3"/>
        <v/>
      </c>
      <c r="D52" s="16" t="str">
        <f>IF(B52="","",B52/MAX(B$5:B52)-1)</f>
        <v/>
      </c>
      <c r="E52" s="13" t="str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初始配置!$Z$5)^(('实盘净值数据(iFinD公式)'!$A52-'实盘净值数据(iFinD公式)'!$A$5)/365))</f>
        <v/>
      </c>
      <c r="F52" s="16" t="str">
        <f t="shared" si="4"/>
        <v/>
      </c>
      <c r="G52" s="16" t="str">
        <f>IF(E52="","",E52/MAX(E$5:E52)-1)</f>
        <v/>
      </c>
      <c r="H52" s="13" t="str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初始配置!$Z$6)^(('实盘净值数据(iFinD公式)'!$A52-'实盘净值数据(iFinD公式)'!$A$7)/365))</f>
        <v/>
      </c>
      <c r="I52" s="16" t="str">
        <f t="shared" si="5"/>
        <v/>
      </c>
      <c r="J52" s="16" t="str">
        <f>IF(H52="","",H52/MAX(H$5:H52)-1)</f>
        <v/>
      </c>
      <c r="K52" s="13" t="str">
        <f>IF(OR('实盘净值数据(iFinD公式)'!$A52="",'实盘净值数据(iFinD公式)'!$B52=""),"",分期持仓明细!$AB$20*SUMPRODUCT(分期持仓明细!$B$20:$Y$20,'实盘净值数据(iFinD公式)'!$B52:$Y52/'实盘净值数据(iFinD公式)'!$B$25:$Y$25)*(1-实盘持仓初始配置!$Z$7)^(('实盘净值数据(iFinD公式)'!$A52-'实盘净值数据(iFinD公式)'!$A$8)/365))</f>
        <v/>
      </c>
      <c r="L52" s="16" t="str">
        <f t="shared" si="0"/>
        <v/>
      </c>
      <c r="M52" s="16" t="str">
        <f>IF(K52="","",K52/MAX(K$5:K52)-1)</f>
        <v/>
      </c>
      <c r="N52" s="13" t="str">
        <f>IF(OR('实盘净值数据(iFinD公式)'!$A52="",'实盘净值数据(iFinD公式)'!$B52=""),"",分期持仓明细!$AB$21*SUMPRODUCT(分期持仓明细!$B$21:$Y$21,'实盘净值数据(iFinD公式)'!$B52:$Y52/'实盘净值数据(iFinD公式)'!$B$25:$Y$25)*(1-实盘持仓初始配置!$Z$8)^(('实盘净值数据(iFinD公式)'!$A52-'实盘净值数据(iFinD公式)'!$A$5)/365))</f>
        <v/>
      </c>
      <c r="O52" s="16" t="str">
        <f t="shared" si="1"/>
        <v/>
      </c>
      <c r="P52" s="16" t="str">
        <f>IF(N52="","",N52/MAX(N$5:N52)-1)</f>
        <v/>
      </c>
      <c r="Q52" s="13" t="str">
        <f>IF(OR('实盘净值数据(iFinD公式)'!$A52="",'实盘净值数据(iFinD公式)'!$B52=""),"",分期持仓明细!$AB$22*SUMPRODUCT(分期持仓明细!$B$22:$Y$22,'实盘净值数据(iFinD公式)'!$B52:$Y52/'实盘净值数据(iFinD公式)'!$B$25:$Y$25)*(1-实盘持仓初始配置!$Z$9)^(('实盘净值数据(iFinD公式)'!$A52-'实盘净值数据(iFinD公式)'!$A$8)/365))</f>
        <v/>
      </c>
      <c r="R52" s="16" t="str">
        <f t="shared" si="2"/>
        <v/>
      </c>
      <c r="S52" s="16" t="str">
        <f>IF(Q52="","",Q52/MAX(Q$5:Q52)-1)</f>
        <v/>
      </c>
    </row>
    <row r="53" spans="1:19">
      <c r="A53" s="15" t="str">
        <f>IF('实盘净值数据(iFinD公式)'!A53="","",'实盘净值数据(iFinD公式)'!A53)</f>
        <v/>
      </c>
      <c r="B53" s="13" t="str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初始配置!$Z$4)^(('实盘净值数据(iFinD公式)'!$A53-'实盘净值数据(iFinD公式)'!$A$6)/365))</f>
        <v/>
      </c>
      <c r="C53" s="16" t="str">
        <f t="shared" si="3"/>
        <v/>
      </c>
      <c r="D53" s="16" t="str">
        <f>IF(B53="","",B53/MAX(B$5:B53)-1)</f>
        <v/>
      </c>
      <c r="E53" s="13" t="str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初始配置!$Z$5)^(('实盘净值数据(iFinD公式)'!$A53-'实盘净值数据(iFinD公式)'!$A$5)/365))</f>
        <v/>
      </c>
      <c r="F53" s="16" t="str">
        <f t="shared" si="4"/>
        <v/>
      </c>
      <c r="G53" s="16" t="str">
        <f>IF(E53="","",E53/MAX(E$5:E53)-1)</f>
        <v/>
      </c>
      <c r="H53" s="13" t="str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初始配置!$Z$6)^(('实盘净值数据(iFinD公式)'!$A53-'实盘净值数据(iFinD公式)'!$A$7)/365))</f>
        <v/>
      </c>
      <c r="I53" s="16" t="str">
        <f t="shared" si="5"/>
        <v/>
      </c>
      <c r="J53" s="16" t="str">
        <f>IF(H53="","",H53/MAX(H$5:H53)-1)</f>
        <v/>
      </c>
      <c r="K53" s="13" t="str">
        <f>IF(OR('实盘净值数据(iFinD公式)'!$A53="",'实盘净值数据(iFinD公式)'!$B53=""),"",分期持仓明细!$AB$20*SUMPRODUCT(分期持仓明细!$B$20:$Y$20,'实盘净值数据(iFinD公式)'!$B53:$Y53/'实盘净值数据(iFinD公式)'!$B$25:$Y$25)*(1-实盘持仓初始配置!$Z$7)^(('实盘净值数据(iFinD公式)'!$A53-'实盘净值数据(iFinD公式)'!$A$8)/365))</f>
        <v/>
      </c>
      <c r="L53" s="16" t="str">
        <f t="shared" si="0"/>
        <v/>
      </c>
      <c r="M53" s="16" t="str">
        <f>IF(K53="","",K53/MAX(K$5:K53)-1)</f>
        <v/>
      </c>
      <c r="N53" s="13" t="str">
        <f>IF(OR('实盘净值数据(iFinD公式)'!$A53="",'实盘净值数据(iFinD公式)'!$B53=""),"",分期持仓明细!$AB$21*SUMPRODUCT(分期持仓明细!$B$21:$Y$21,'实盘净值数据(iFinD公式)'!$B53:$Y53/'实盘净值数据(iFinD公式)'!$B$25:$Y$25)*(1-实盘持仓初始配置!$Z$8)^(('实盘净值数据(iFinD公式)'!$A53-'实盘净值数据(iFinD公式)'!$A$5)/365))</f>
        <v/>
      </c>
      <c r="O53" s="16" t="str">
        <f t="shared" si="1"/>
        <v/>
      </c>
      <c r="P53" s="16" t="str">
        <f>IF(N53="","",N53/MAX(N$5:N53)-1)</f>
        <v/>
      </c>
      <c r="Q53" s="13" t="str">
        <f>IF(OR('实盘净值数据(iFinD公式)'!$A53="",'实盘净值数据(iFinD公式)'!$B53=""),"",分期持仓明细!$AB$22*SUMPRODUCT(分期持仓明细!$B$22:$Y$22,'实盘净值数据(iFinD公式)'!$B53:$Y53/'实盘净值数据(iFinD公式)'!$B$25:$Y$25)*(1-实盘持仓初始配置!$Z$9)^(('实盘净值数据(iFinD公式)'!$A53-'实盘净值数据(iFinD公式)'!$A$8)/365))</f>
        <v/>
      </c>
      <c r="R53" s="16" t="str">
        <f t="shared" si="2"/>
        <v/>
      </c>
      <c r="S53" s="16" t="str">
        <f>IF(Q53="","",Q53/MAX(Q$5:Q53)-1)</f>
        <v/>
      </c>
    </row>
    <row r="54" spans="1:19">
      <c r="A54" s="15" t="str">
        <f>IF('实盘净值数据(iFinD公式)'!A54="","",'实盘净值数据(iFinD公式)'!A54)</f>
        <v/>
      </c>
      <c r="B54" s="13" t="str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初始配置!$Z$4)^(('实盘净值数据(iFinD公式)'!$A54-'实盘净值数据(iFinD公式)'!$A$6)/365))</f>
        <v/>
      </c>
      <c r="C54" s="16" t="str">
        <f t="shared" si="3"/>
        <v/>
      </c>
      <c r="D54" s="16" t="str">
        <f>IF(B54="","",B54/MAX(B$5:B54)-1)</f>
        <v/>
      </c>
      <c r="E54" s="13" t="str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初始配置!$Z$5)^(('实盘净值数据(iFinD公式)'!$A54-'实盘净值数据(iFinD公式)'!$A$5)/365))</f>
        <v/>
      </c>
      <c r="F54" s="16" t="str">
        <f t="shared" si="4"/>
        <v/>
      </c>
      <c r="G54" s="16" t="str">
        <f>IF(E54="","",E54/MAX(E$5:E54)-1)</f>
        <v/>
      </c>
      <c r="H54" s="13" t="str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初始配置!$Z$6)^(('实盘净值数据(iFinD公式)'!$A54-'实盘净值数据(iFinD公式)'!$A$7)/365))</f>
        <v/>
      </c>
      <c r="I54" s="16" t="str">
        <f t="shared" si="5"/>
        <v/>
      </c>
      <c r="J54" s="16" t="str">
        <f>IF(H54="","",H54/MAX(H$5:H54)-1)</f>
        <v/>
      </c>
      <c r="K54" s="13" t="str">
        <f>IF(OR('实盘净值数据(iFinD公式)'!$A54="",'实盘净值数据(iFinD公式)'!$B54=""),"",分期持仓明细!$AB$20*SUMPRODUCT(分期持仓明细!$B$20:$Y$20,'实盘净值数据(iFinD公式)'!$B54:$Y54/'实盘净值数据(iFinD公式)'!$B$25:$Y$25)*(1-实盘持仓初始配置!$Z$7)^(('实盘净值数据(iFinD公式)'!$A54-'实盘净值数据(iFinD公式)'!$A$8)/365))</f>
        <v/>
      </c>
      <c r="L54" s="16" t="str">
        <f t="shared" si="0"/>
        <v/>
      </c>
      <c r="M54" s="16" t="str">
        <f>IF(K54="","",K54/MAX(K$5:K54)-1)</f>
        <v/>
      </c>
      <c r="N54" s="13" t="str">
        <f>IF(OR('实盘净值数据(iFinD公式)'!$A54="",'实盘净值数据(iFinD公式)'!$B54=""),"",分期持仓明细!$AB$21*SUMPRODUCT(分期持仓明细!$B$21:$Y$21,'实盘净值数据(iFinD公式)'!$B54:$Y54/'实盘净值数据(iFinD公式)'!$B$25:$Y$25)*(1-实盘持仓初始配置!$Z$8)^(('实盘净值数据(iFinD公式)'!$A54-'实盘净值数据(iFinD公式)'!$A$5)/365))</f>
        <v/>
      </c>
      <c r="O54" s="16" t="str">
        <f t="shared" si="1"/>
        <v/>
      </c>
      <c r="P54" s="16" t="str">
        <f>IF(N54="","",N54/MAX(N$5:N54)-1)</f>
        <v/>
      </c>
      <c r="Q54" s="13" t="str">
        <f>IF(OR('实盘净值数据(iFinD公式)'!$A54="",'实盘净值数据(iFinD公式)'!$B54=""),"",分期持仓明细!$AB$22*SUMPRODUCT(分期持仓明细!$B$22:$Y$22,'实盘净值数据(iFinD公式)'!$B54:$Y54/'实盘净值数据(iFinD公式)'!$B$25:$Y$25)*(1-实盘持仓初始配置!$Z$9)^(('实盘净值数据(iFinD公式)'!$A54-'实盘净值数据(iFinD公式)'!$A$8)/365))</f>
        <v/>
      </c>
      <c r="R54" s="16" t="str">
        <f t="shared" si="2"/>
        <v/>
      </c>
      <c r="S54" s="16" t="str">
        <f>IF(Q54="","",Q54/MAX(Q$5:Q54)-1)</f>
        <v/>
      </c>
    </row>
    <row r="55" spans="1:19">
      <c r="A55" s="15" t="str">
        <f>IF('实盘净值数据(iFinD公式)'!A55="","",'实盘净值数据(iFinD公式)'!A55)</f>
        <v/>
      </c>
      <c r="B55" s="13" t="str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初始配置!$Z$4)^(('实盘净值数据(iFinD公式)'!$A55-'实盘净值数据(iFinD公式)'!$A$6)/365))</f>
        <v/>
      </c>
      <c r="C55" s="16" t="str">
        <f t="shared" si="3"/>
        <v/>
      </c>
      <c r="D55" s="16" t="str">
        <f>IF(B55="","",B55/MAX(B$5:B55)-1)</f>
        <v/>
      </c>
      <c r="E55" s="13" t="str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初始配置!$Z$5)^(('实盘净值数据(iFinD公式)'!$A55-'实盘净值数据(iFinD公式)'!$A$5)/365))</f>
        <v/>
      </c>
      <c r="F55" s="16" t="str">
        <f t="shared" si="4"/>
        <v/>
      </c>
      <c r="G55" s="16" t="str">
        <f>IF(E55="","",E55/MAX(E$5:E55)-1)</f>
        <v/>
      </c>
      <c r="H55" s="13" t="str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初始配置!$Z$6)^(('实盘净值数据(iFinD公式)'!$A55-'实盘净值数据(iFinD公式)'!$A$7)/365))</f>
        <v/>
      </c>
      <c r="I55" s="16" t="str">
        <f t="shared" si="5"/>
        <v/>
      </c>
      <c r="J55" s="16" t="str">
        <f>IF(H55="","",H55/MAX(H$5:H55)-1)</f>
        <v/>
      </c>
      <c r="K55" s="13" t="str">
        <f>IF(OR('实盘净值数据(iFinD公式)'!$A55="",'实盘净值数据(iFinD公式)'!$B55=""),"",分期持仓明细!$AB$20*SUMPRODUCT(分期持仓明细!$B$20:$Y$20,'实盘净值数据(iFinD公式)'!$B55:$Y55/'实盘净值数据(iFinD公式)'!$B$25:$Y$25)*(1-实盘持仓初始配置!$Z$7)^(('实盘净值数据(iFinD公式)'!$A55-'实盘净值数据(iFinD公式)'!$A$8)/365))</f>
        <v/>
      </c>
      <c r="L55" s="16" t="str">
        <f t="shared" si="0"/>
        <v/>
      </c>
      <c r="M55" s="16" t="str">
        <f>IF(K55="","",K55/MAX(K$5:K55)-1)</f>
        <v/>
      </c>
      <c r="N55" s="13" t="str">
        <f>IF(OR('实盘净值数据(iFinD公式)'!$A55="",'实盘净值数据(iFinD公式)'!$B55=""),"",分期持仓明细!$AB$21*SUMPRODUCT(分期持仓明细!$B$21:$Y$21,'实盘净值数据(iFinD公式)'!$B55:$Y55/'实盘净值数据(iFinD公式)'!$B$25:$Y$25)*(1-实盘持仓初始配置!$Z$8)^(('实盘净值数据(iFinD公式)'!$A55-'实盘净值数据(iFinD公式)'!$A$5)/365))</f>
        <v/>
      </c>
      <c r="O55" s="16" t="str">
        <f t="shared" si="1"/>
        <v/>
      </c>
      <c r="P55" s="16" t="str">
        <f>IF(N55="","",N55/MAX(N$5:N55)-1)</f>
        <v/>
      </c>
      <c r="Q55" s="13" t="str">
        <f>IF(OR('实盘净值数据(iFinD公式)'!$A55="",'实盘净值数据(iFinD公式)'!$B55=""),"",分期持仓明细!$AB$22*SUMPRODUCT(分期持仓明细!$B$22:$Y$22,'实盘净值数据(iFinD公式)'!$B55:$Y55/'实盘净值数据(iFinD公式)'!$B$25:$Y$25)*(1-实盘持仓初始配置!$Z$9)^(('实盘净值数据(iFinD公式)'!$A55-'实盘净值数据(iFinD公式)'!$A$8)/365))</f>
        <v/>
      </c>
      <c r="R55" s="16" t="str">
        <f t="shared" si="2"/>
        <v/>
      </c>
      <c r="S55" s="16" t="str">
        <f>IF(Q55="","",Q55/MAX(Q$5:Q55)-1)</f>
        <v/>
      </c>
    </row>
    <row r="56" spans="1:19">
      <c r="A56" s="15" t="str">
        <f>IF('实盘净值数据(iFinD公式)'!A56="","",'实盘净值数据(iFinD公式)'!A56)</f>
        <v/>
      </c>
      <c r="B56" s="13" t="str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初始配置!$Z$4)^(('实盘净值数据(iFinD公式)'!$A56-'实盘净值数据(iFinD公式)'!$A$6)/365))</f>
        <v/>
      </c>
      <c r="C56" s="16" t="str">
        <f t="shared" si="3"/>
        <v/>
      </c>
      <c r="D56" s="16" t="str">
        <f>IF(B56="","",B56/MAX(B$5:B56)-1)</f>
        <v/>
      </c>
      <c r="E56" s="13" t="str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初始配置!$Z$5)^(('实盘净值数据(iFinD公式)'!$A56-'实盘净值数据(iFinD公式)'!$A$5)/365))</f>
        <v/>
      </c>
      <c r="F56" s="16" t="str">
        <f t="shared" si="4"/>
        <v/>
      </c>
      <c r="G56" s="16" t="str">
        <f>IF(E56="","",E56/MAX(E$5:E56)-1)</f>
        <v/>
      </c>
      <c r="H56" s="13" t="str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初始配置!$Z$6)^(('实盘净值数据(iFinD公式)'!$A56-'实盘净值数据(iFinD公式)'!$A$7)/365))</f>
        <v/>
      </c>
      <c r="I56" s="16" t="str">
        <f t="shared" si="5"/>
        <v/>
      </c>
      <c r="J56" s="16" t="str">
        <f>IF(H56="","",H56/MAX(H$5:H56)-1)</f>
        <v/>
      </c>
      <c r="K56" s="13" t="str">
        <f>IF(OR('实盘净值数据(iFinD公式)'!$A56="",'实盘净值数据(iFinD公式)'!$B56=""),"",分期持仓明细!$AB$20*SUMPRODUCT(分期持仓明细!$B$20:$Y$20,'实盘净值数据(iFinD公式)'!$B56:$Y56/'实盘净值数据(iFinD公式)'!$B$25:$Y$25)*(1-实盘持仓初始配置!$Z$7)^(('实盘净值数据(iFinD公式)'!$A56-'实盘净值数据(iFinD公式)'!$A$8)/365))</f>
        <v/>
      </c>
      <c r="L56" s="16" t="str">
        <f t="shared" si="0"/>
        <v/>
      </c>
      <c r="M56" s="16" t="str">
        <f>IF(K56="","",K56/MAX(K$5:K56)-1)</f>
        <v/>
      </c>
      <c r="N56" s="13" t="str">
        <f>IF(OR('实盘净值数据(iFinD公式)'!$A56="",'实盘净值数据(iFinD公式)'!$B56=""),"",分期持仓明细!$AB$21*SUMPRODUCT(分期持仓明细!$B$21:$Y$21,'实盘净值数据(iFinD公式)'!$B56:$Y56/'实盘净值数据(iFinD公式)'!$B$25:$Y$25)*(1-实盘持仓初始配置!$Z$8)^(('实盘净值数据(iFinD公式)'!$A56-'实盘净值数据(iFinD公式)'!$A$5)/365))</f>
        <v/>
      </c>
      <c r="O56" s="16" t="str">
        <f t="shared" si="1"/>
        <v/>
      </c>
      <c r="P56" s="16" t="str">
        <f>IF(N56="","",N56/MAX(N$5:N56)-1)</f>
        <v/>
      </c>
      <c r="Q56" s="13" t="str">
        <f>IF(OR('实盘净值数据(iFinD公式)'!$A56="",'实盘净值数据(iFinD公式)'!$B56=""),"",分期持仓明细!$AB$22*SUMPRODUCT(分期持仓明细!$B$22:$Y$22,'实盘净值数据(iFinD公式)'!$B56:$Y56/'实盘净值数据(iFinD公式)'!$B$25:$Y$25)*(1-实盘持仓初始配置!$Z$9)^(('实盘净值数据(iFinD公式)'!$A56-'实盘净值数据(iFinD公式)'!$A$8)/365))</f>
        <v/>
      </c>
      <c r="R56" s="16" t="str">
        <f t="shared" si="2"/>
        <v/>
      </c>
      <c r="S56" s="16" t="str">
        <f>IF(Q56="","",Q56/MAX(Q$5:Q56)-1)</f>
        <v/>
      </c>
    </row>
    <row r="57" spans="1:19">
      <c r="A57" s="15" t="str">
        <f>IF('实盘净值数据(iFinD公式)'!A57="","",'实盘净值数据(iFinD公式)'!A57)</f>
        <v/>
      </c>
      <c r="B57" s="13" t="str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初始配置!$Z$4)^(('实盘净值数据(iFinD公式)'!$A57-'实盘净值数据(iFinD公式)'!$A$6)/365))</f>
        <v/>
      </c>
      <c r="C57" s="16" t="str">
        <f t="shared" si="3"/>
        <v/>
      </c>
      <c r="D57" s="16" t="str">
        <f>IF(B57="","",B57/MAX(B$5:B57)-1)</f>
        <v/>
      </c>
      <c r="E57" s="13" t="str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初始配置!$Z$5)^(('实盘净值数据(iFinD公式)'!$A57-'实盘净值数据(iFinD公式)'!$A$5)/365))</f>
        <v/>
      </c>
      <c r="F57" s="16" t="str">
        <f t="shared" si="4"/>
        <v/>
      </c>
      <c r="G57" s="16" t="str">
        <f>IF(E57="","",E57/MAX(E$5:E57)-1)</f>
        <v/>
      </c>
      <c r="H57" s="13" t="str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初始配置!$Z$6)^(('实盘净值数据(iFinD公式)'!$A57-'实盘净值数据(iFinD公式)'!$A$7)/365))</f>
        <v/>
      </c>
      <c r="I57" s="16" t="str">
        <f t="shared" si="5"/>
        <v/>
      </c>
      <c r="J57" s="16" t="str">
        <f>IF(H57="","",H57/MAX(H$5:H57)-1)</f>
        <v/>
      </c>
      <c r="K57" s="13" t="str">
        <f>IF(OR('实盘净值数据(iFinD公式)'!$A57="",'实盘净值数据(iFinD公式)'!$B57=""),"",分期持仓明细!$AB$20*SUMPRODUCT(分期持仓明细!$B$20:$Y$20,'实盘净值数据(iFinD公式)'!$B57:$Y57/'实盘净值数据(iFinD公式)'!$B$25:$Y$25)*(1-实盘持仓初始配置!$Z$7)^(('实盘净值数据(iFinD公式)'!$A57-'实盘净值数据(iFinD公式)'!$A$8)/365))</f>
        <v/>
      </c>
      <c r="L57" s="16" t="str">
        <f t="shared" si="0"/>
        <v/>
      </c>
      <c r="M57" s="16" t="str">
        <f>IF(K57="","",K57/MAX(K$5:K57)-1)</f>
        <v/>
      </c>
      <c r="N57" s="13" t="str">
        <f>IF(OR('实盘净值数据(iFinD公式)'!$A57="",'实盘净值数据(iFinD公式)'!$B57=""),"",分期持仓明细!$AB$21*SUMPRODUCT(分期持仓明细!$B$21:$Y$21,'实盘净值数据(iFinD公式)'!$B57:$Y57/'实盘净值数据(iFinD公式)'!$B$25:$Y$25)*(1-实盘持仓初始配置!$Z$8)^(('实盘净值数据(iFinD公式)'!$A57-'实盘净值数据(iFinD公式)'!$A$5)/365))</f>
        <v/>
      </c>
      <c r="O57" s="16" t="str">
        <f t="shared" si="1"/>
        <v/>
      </c>
      <c r="P57" s="16" t="str">
        <f>IF(N57="","",N57/MAX(N$5:N57)-1)</f>
        <v/>
      </c>
      <c r="Q57" s="13" t="str">
        <f>IF(OR('实盘净值数据(iFinD公式)'!$A57="",'实盘净值数据(iFinD公式)'!$B57=""),"",分期持仓明细!$AB$22*SUMPRODUCT(分期持仓明细!$B$22:$Y$22,'实盘净值数据(iFinD公式)'!$B57:$Y57/'实盘净值数据(iFinD公式)'!$B$25:$Y$25)*(1-实盘持仓初始配置!$Z$9)^(('实盘净值数据(iFinD公式)'!$A57-'实盘净值数据(iFinD公式)'!$A$8)/365))</f>
        <v/>
      </c>
      <c r="R57" s="16" t="str">
        <f t="shared" si="2"/>
        <v/>
      </c>
      <c r="S57" s="16" t="str">
        <f>IF(Q57="","",Q57/MAX(Q$5:Q57)-1)</f>
        <v/>
      </c>
    </row>
    <row r="58" spans="1:19">
      <c r="A58" s="15" t="str">
        <f>IF('实盘净值数据(iFinD公式)'!A58="","",'实盘净值数据(iFinD公式)'!A58)</f>
        <v/>
      </c>
      <c r="B58" s="13" t="str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初始配置!$Z$4)^(('实盘净值数据(iFinD公式)'!$A58-'实盘净值数据(iFinD公式)'!$A$6)/365))</f>
        <v/>
      </c>
      <c r="C58" s="16" t="str">
        <f t="shared" si="3"/>
        <v/>
      </c>
      <c r="D58" s="16" t="str">
        <f>IF(B58="","",B58/MAX(B$5:B58)-1)</f>
        <v/>
      </c>
      <c r="E58" s="13" t="str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初始配置!$Z$5)^(('实盘净值数据(iFinD公式)'!$A58-'实盘净值数据(iFinD公式)'!$A$5)/365))</f>
        <v/>
      </c>
      <c r="F58" s="16" t="str">
        <f t="shared" si="4"/>
        <v/>
      </c>
      <c r="G58" s="16" t="str">
        <f>IF(E58="","",E58/MAX(E$5:E58)-1)</f>
        <v/>
      </c>
      <c r="H58" s="13" t="str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初始配置!$Z$6)^(('实盘净值数据(iFinD公式)'!$A58-'实盘净值数据(iFinD公式)'!$A$7)/365))</f>
        <v/>
      </c>
      <c r="I58" s="16" t="str">
        <f t="shared" si="5"/>
        <v/>
      </c>
      <c r="J58" s="16" t="str">
        <f>IF(H58="","",H58/MAX(H$5:H58)-1)</f>
        <v/>
      </c>
      <c r="K58" s="13" t="str">
        <f>IF(OR('实盘净值数据(iFinD公式)'!$A58="",'实盘净值数据(iFinD公式)'!$B58=""),"",分期持仓明细!$AB$20*SUMPRODUCT(分期持仓明细!$B$20:$Y$20,'实盘净值数据(iFinD公式)'!$B58:$Y58/'实盘净值数据(iFinD公式)'!$B$25:$Y$25)*(1-实盘持仓初始配置!$Z$7)^(('实盘净值数据(iFinD公式)'!$A58-'实盘净值数据(iFinD公式)'!$A$8)/365))</f>
        <v/>
      </c>
      <c r="L58" s="16" t="str">
        <f t="shared" si="0"/>
        <v/>
      </c>
      <c r="M58" s="16" t="str">
        <f>IF(K58="","",K58/MAX(K$5:K58)-1)</f>
        <v/>
      </c>
      <c r="N58" s="13" t="str">
        <f>IF(OR('实盘净值数据(iFinD公式)'!$A58="",'实盘净值数据(iFinD公式)'!$B58=""),"",分期持仓明细!$AB$21*SUMPRODUCT(分期持仓明细!$B$21:$Y$21,'实盘净值数据(iFinD公式)'!$B58:$Y58/'实盘净值数据(iFinD公式)'!$B$25:$Y$25)*(1-实盘持仓初始配置!$Z$8)^(('实盘净值数据(iFinD公式)'!$A58-'实盘净值数据(iFinD公式)'!$A$5)/365))</f>
        <v/>
      </c>
      <c r="O58" s="16" t="str">
        <f t="shared" si="1"/>
        <v/>
      </c>
      <c r="P58" s="16" t="str">
        <f>IF(N58="","",N58/MAX(N$5:N58)-1)</f>
        <v/>
      </c>
      <c r="Q58" s="13" t="str">
        <f>IF(OR('实盘净值数据(iFinD公式)'!$A58="",'实盘净值数据(iFinD公式)'!$B58=""),"",分期持仓明细!$AB$22*SUMPRODUCT(分期持仓明细!$B$22:$Y$22,'实盘净值数据(iFinD公式)'!$B58:$Y58/'实盘净值数据(iFinD公式)'!$B$25:$Y$25)*(1-实盘持仓初始配置!$Z$9)^(('实盘净值数据(iFinD公式)'!$A58-'实盘净值数据(iFinD公式)'!$A$8)/365))</f>
        <v/>
      </c>
      <c r="R58" s="16" t="str">
        <f t="shared" si="2"/>
        <v/>
      </c>
      <c r="S58" s="16" t="str">
        <f>IF(Q58="","",Q58/MAX(Q$5:Q58)-1)</f>
        <v/>
      </c>
    </row>
    <row r="59" spans="1:19">
      <c r="A59" s="15" t="str">
        <f>IF('实盘净值数据(iFinD公式)'!A59="","",'实盘净值数据(iFinD公式)'!A59)</f>
        <v/>
      </c>
      <c r="B59" s="13" t="str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初始配置!$Z$4)^(('实盘净值数据(iFinD公式)'!$A59-'实盘净值数据(iFinD公式)'!$A$6)/365))</f>
        <v/>
      </c>
      <c r="C59" s="16" t="str">
        <f t="shared" si="3"/>
        <v/>
      </c>
      <c r="D59" s="16" t="str">
        <f>IF(B59="","",B59/MAX(B$5:B59)-1)</f>
        <v/>
      </c>
      <c r="E59" s="13" t="str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初始配置!$Z$5)^(('实盘净值数据(iFinD公式)'!$A59-'实盘净值数据(iFinD公式)'!$A$5)/365))</f>
        <v/>
      </c>
      <c r="F59" s="16" t="str">
        <f t="shared" si="4"/>
        <v/>
      </c>
      <c r="G59" s="16" t="str">
        <f>IF(E59="","",E59/MAX(E$5:E59)-1)</f>
        <v/>
      </c>
      <c r="H59" s="13" t="str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初始配置!$Z$6)^(('实盘净值数据(iFinD公式)'!$A59-'实盘净值数据(iFinD公式)'!$A$7)/365))</f>
        <v/>
      </c>
      <c r="I59" s="16" t="str">
        <f t="shared" si="5"/>
        <v/>
      </c>
      <c r="J59" s="16" t="str">
        <f>IF(H59="","",H59/MAX(H$5:H59)-1)</f>
        <v/>
      </c>
      <c r="K59" s="13" t="str">
        <f>IF(OR('实盘净值数据(iFinD公式)'!$A59="",'实盘净值数据(iFinD公式)'!$B59=""),"",分期持仓明细!$AB$20*SUMPRODUCT(分期持仓明细!$B$20:$Y$20,'实盘净值数据(iFinD公式)'!$B59:$Y59/'实盘净值数据(iFinD公式)'!$B$25:$Y$25)*(1-实盘持仓初始配置!$Z$7)^(('实盘净值数据(iFinD公式)'!$A59-'实盘净值数据(iFinD公式)'!$A$8)/365))</f>
        <v/>
      </c>
      <c r="L59" s="16" t="str">
        <f t="shared" si="0"/>
        <v/>
      </c>
      <c r="M59" s="16" t="str">
        <f>IF(K59="","",K59/MAX(K$5:K59)-1)</f>
        <v/>
      </c>
      <c r="N59" s="13" t="str">
        <f>IF(OR('实盘净值数据(iFinD公式)'!$A59="",'实盘净值数据(iFinD公式)'!$B59=""),"",分期持仓明细!$AB$21*SUMPRODUCT(分期持仓明细!$B$21:$Y$21,'实盘净值数据(iFinD公式)'!$B59:$Y59/'实盘净值数据(iFinD公式)'!$B$25:$Y$25)*(1-实盘持仓初始配置!$Z$8)^(('实盘净值数据(iFinD公式)'!$A59-'实盘净值数据(iFinD公式)'!$A$5)/365))</f>
        <v/>
      </c>
      <c r="O59" s="16" t="str">
        <f t="shared" si="1"/>
        <v/>
      </c>
      <c r="P59" s="16" t="str">
        <f>IF(N59="","",N59/MAX(N$5:N59)-1)</f>
        <v/>
      </c>
      <c r="Q59" s="13" t="str">
        <f>IF(OR('实盘净值数据(iFinD公式)'!$A59="",'实盘净值数据(iFinD公式)'!$B59=""),"",分期持仓明细!$AB$22*SUMPRODUCT(分期持仓明细!$B$22:$Y$22,'实盘净值数据(iFinD公式)'!$B59:$Y59/'实盘净值数据(iFinD公式)'!$B$25:$Y$25)*(1-实盘持仓初始配置!$Z$9)^(('实盘净值数据(iFinD公式)'!$A59-'实盘净值数据(iFinD公式)'!$A$8)/365))</f>
        <v/>
      </c>
      <c r="R59" s="16" t="str">
        <f t="shared" si="2"/>
        <v/>
      </c>
      <c r="S59" s="16" t="str">
        <f>IF(Q59="","",Q59/MAX(Q$5:Q59)-1)</f>
        <v/>
      </c>
    </row>
    <row r="61" spans="1:19" ht="14.25" customHeight="1">
      <c r="A61" s="10" t="s">
        <v>74</v>
      </c>
    </row>
  </sheetData>
  <mergeCells count="1">
    <mergeCell ref="A1:J2"/>
  </mergeCells>
  <phoneticPr fontId="3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showGridLines="0" workbookViewId="0">
      <selection activeCell="G42" sqref="G42"/>
    </sheetView>
  </sheetViews>
  <sheetFormatPr defaultColWidth="9.453125" defaultRowHeight="12.5"/>
  <cols>
    <col min="1" max="1" width="37.45312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</cols>
  <sheetData>
    <row r="1" spans="1:28">
      <c r="A1" t="s">
        <v>75</v>
      </c>
    </row>
    <row r="2" spans="1:28" ht="14.5">
      <c r="A2" t="s">
        <v>1</v>
      </c>
      <c r="B2" s="19" t="s">
        <v>76</v>
      </c>
      <c r="C2" s="19" t="s">
        <v>77</v>
      </c>
      <c r="D2" s="19" t="s">
        <v>78</v>
      </c>
      <c r="E2" s="19" t="s">
        <v>79</v>
      </c>
      <c r="F2" s="19" t="s">
        <v>80</v>
      </c>
      <c r="G2" s="19" t="s">
        <v>81</v>
      </c>
      <c r="H2" s="19" t="s">
        <v>82</v>
      </c>
      <c r="I2" t="s">
        <v>9</v>
      </c>
      <c r="J2" s="19" t="s">
        <v>83</v>
      </c>
      <c r="K2" s="19" t="s">
        <v>84</v>
      </c>
      <c r="L2" s="19" t="s">
        <v>85</v>
      </c>
      <c r="M2" s="19" t="s">
        <v>86</v>
      </c>
      <c r="N2" s="19" t="s">
        <v>87</v>
      </c>
      <c r="O2" s="19" t="s">
        <v>88</v>
      </c>
      <c r="P2" s="19" t="s">
        <v>89</v>
      </c>
      <c r="Q2" s="19" t="s">
        <v>90</v>
      </c>
      <c r="R2" s="19" t="s">
        <v>91</v>
      </c>
      <c r="S2" s="19" t="s">
        <v>92</v>
      </c>
      <c r="T2" s="19" t="s">
        <v>93</v>
      </c>
      <c r="U2" s="19" t="s">
        <v>94</v>
      </c>
      <c r="V2" s="19" t="s">
        <v>95</v>
      </c>
      <c r="W2" s="19" t="s">
        <v>96</v>
      </c>
      <c r="X2" s="19" t="s">
        <v>97</v>
      </c>
      <c r="Y2" t="s">
        <v>62</v>
      </c>
      <c r="Z2" t="s">
        <v>25</v>
      </c>
      <c r="AA2" t="s">
        <v>98</v>
      </c>
      <c r="AB2" s="19" t="s">
        <v>99</v>
      </c>
    </row>
    <row r="3" spans="1:28" ht="14">
      <c r="A3" t="s">
        <v>28</v>
      </c>
      <c r="B3" s="20" t="s">
        <v>100</v>
      </c>
      <c r="C3" s="20" t="s">
        <v>101</v>
      </c>
      <c r="D3" s="20" t="s">
        <v>102</v>
      </c>
      <c r="E3" s="20" t="s">
        <v>103</v>
      </c>
      <c r="F3" s="20" t="s">
        <v>104</v>
      </c>
      <c r="G3" s="20" t="s">
        <v>105</v>
      </c>
      <c r="H3" s="20" t="s">
        <v>106</v>
      </c>
      <c r="I3" s="20" t="s">
        <v>107</v>
      </c>
      <c r="J3" s="20" t="s">
        <v>108</v>
      </c>
      <c r="K3" s="20" t="s">
        <v>109</v>
      </c>
      <c r="L3" s="20" t="s">
        <v>110</v>
      </c>
      <c r="M3" s="20" t="s">
        <v>111</v>
      </c>
      <c r="N3" s="20" t="s">
        <v>112</v>
      </c>
      <c r="O3" s="20" t="s">
        <v>113</v>
      </c>
      <c r="P3" s="20" t="s">
        <v>114</v>
      </c>
      <c r="Q3" s="20" t="s">
        <v>115</v>
      </c>
      <c r="R3" s="20" t="s">
        <v>116</v>
      </c>
      <c r="S3" s="20" t="s">
        <v>117</v>
      </c>
      <c r="T3" s="20" t="s">
        <v>118</v>
      </c>
      <c r="U3" s="20" t="s">
        <v>119</v>
      </c>
      <c r="V3" s="20" t="s">
        <v>120</v>
      </c>
      <c r="W3" s="20" t="s">
        <v>121</v>
      </c>
      <c r="X3" s="20" t="s">
        <v>122</v>
      </c>
      <c r="Y3" s="20" t="s">
        <v>123</v>
      </c>
    </row>
    <row r="5" spans="1:28" ht="14.5">
      <c r="A5" s="19" t="s">
        <v>124</v>
      </c>
      <c r="B5" s="21">
        <f>实盘持仓初始配置!B4</f>
        <v>0</v>
      </c>
      <c r="C5" s="21">
        <f>实盘持仓初始配置!C4</f>
        <v>0.02</v>
      </c>
      <c r="D5" s="21">
        <f>实盘持仓初始配置!D4</f>
        <v>0.19</v>
      </c>
      <c r="E5" s="21">
        <f>实盘持仓初始配置!E4</f>
        <v>0</v>
      </c>
      <c r="F5" s="21">
        <f>实盘持仓初始配置!F4</f>
        <v>0</v>
      </c>
      <c r="G5" s="21">
        <f>实盘持仓初始配置!G4</f>
        <v>0.11</v>
      </c>
      <c r="H5" s="21">
        <f>实盘持仓初始配置!H4</f>
        <v>0</v>
      </c>
      <c r="I5" s="21">
        <f>实盘持仓初始配置!I4</f>
        <v>0</v>
      </c>
      <c r="J5" s="21">
        <f>实盘持仓初始配置!J4</f>
        <v>0.19</v>
      </c>
      <c r="K5" s="21">
        <f>实盘持仓初始配置!K4</f>
        <v>0</v>
      </c>
      <c r="L5" s="21">
        <f>实盘持仓初始配置!L4</f>
        <v>0</v>
      </c>
      <c r="M5" s="21">
        <f>实盘持仓初始配置!M4</f>
        <v>0</v>
      </c>
      <c r="N5" s="21">
        <f>实盘持仓初始配置!N4</f>
        <v>0</v>
      </c>
      <c r="O5" s="21">
        <f>实盘持仓初始配置!O4</f>
        <v>0</v>
      </c>
      <c r="P5" s="21">
        <f>实盘持仓初始配置!P4</f>
        <v>0.19</v>
      </c>
      <c r="Q5" s="21">
        <f>实盘持仓初始配置!Q4</f>
        <v>0.19</v>
      </c>
      <c r="R5" s="21">
        <f>实盘持仓初始配置!R4</f>
        <v>0</v>
      </c>
      <c r="S5" s="21">
        <f>实盘持仓初始配置!S4</f>
        <v>0</v>
      </c>
      <c r="T5" s="21">
        <f>实盘持仓初始配置!T4</f>
        <v>0.11</v>
      </c>
      <c r="U5" s="21">
        <f>实盘持仓初始配置!U4</f>
        <v>0</v>
      </c>
      <c r="V5" s="21">
        <f>实盘持仓初始配置!V4</f>
        <v>0</v>
      </c>
      <c r="W5" s="21">
        <f>实盘持仓初始配置!W4</f>
        <v>0</v>
      </c>
      <c r="X5" s="21">
        <f>实盘持仓初始配置!X4</f>
        <v>0</v>
      </c>
      <c r="Y5">
        <v>0</v>
      </c>
      <c r="Z5">
        <f t="shared" ref="Z5:Z22" si="0">SUM(B5:Y5)</f>
        <v>0.99999999999999989</v>
      </c>
      <c r="AA5" s="22">
        <v>46195</v>
      </c>
    </row>
    <row r="6" spans="1:28" ht="14.5">
      <c r="A6" s="19" t="s">
        <v>125</v>
      </c>
      <c r="B6" s="21">
        <f>实盘持仓初始配置!B5</f>
        <v>0</v>
      </c>
      <c r="C6" s="21">
        <f>实盘持仓初始配置!C5</f>
        <v>0.02</v>
      </c>
      <c r="D6" s="21">
        <f>实盘持仓初始配置!D5</f>
        <v>0.19</v>
      </c>
      <c r="E6" s="21">
        <f>实盘持仓初始配置!E5</f>
        <v>0</v>
      </c>
      <c r="F6" s="21">
        <f>实盘持仓初始配置!F5</f>
        <v>0</v>
      </c>
      <c r="G6" s="21">
        <f>实盘持仓初始配置!G5</f>
        <v>0.11</v>
      </c>
      <c r="H6" s="21">
        <f>实盘持仓初始配置!H5</f>
        <v>0</v>
      </c>
      <c r="I6" s="21">
        <f>实盘持仓初始配置!I5</f>
        <v>0</v>
      </c>
      <c r="J6" s="21">
        <f>实盘持仓初始配置!J5</f>
        <v>0.19</v>
      </c>
      <c r="K6" s="21">
        <f>实盘持仓初始配置!K5</f>
        <v>0</v>
      </c>
      <c r="L6" s="21">
        <f>实盘持仓初始配置!L5</f>
        <v>0</v>
      </c>
      <c r="M6" s="21">
        <f>实盘持仓初始配置!M5</f>
        <v>0</v>
      </c>
      <c r="N6" s="21">
        <f>实盘持仓初始配置!N5</f>
        <v>0</v>
      </c>
      <c r="O6" s="21">
        <f>实盘持仓初始配置!O5</f>
        <v>0</v>
      </c>
      <c r="P6" s="21">
        <f>实盘持仓初始配置!P5</f>
        <v>0.19</v>
      </c>
      <c r="Q6" s="21">
        <f>实盘持仓初始配置!Q5</f>
        <v>0.19</v>
      </c>
      <c r="R6" s="21">
        <f>实盘持仓初始配置!R5</f>
        <v>0</v>
      </c>
      <c r="S6" s="21">
        <f>实盘持仓初始配置!S5</f>
        <v>0</v>
      </c>
      <c r="T6" s="21">
        <f>实盘持仓初始配置!T5</f>
        <v>0.11</v>
      </c>
      <c r="U6" s="21">
        <f>实盘持仓初始配置!U5</f>
        <v>0</v>
      </c>
      <c r="V6" s="21">
        <f>实盘持仓初始配置!V5</f>
        <v>0</v>
      </c>
      <c r="W6" s="21">
        <f>实盘持仓初始配置!W5</f>
        <v>0</v>
      </c>
      <c r="X6" s="21">
        <f>实盘持仓初始配置!X5</f>
        <v>0</v>
      </c>
      <c r="Y6">
        <v>0</v>
      </c>
      <c r="Z6">
        <f t="shared" si="0"/>
        <v>0.99999999999999989</v>
      </c>
      <c r="AA6" s="22">
        <v>46191</v>
      </c>
    </row>
    <row r="7" spans="1:28" ht="14.5">
      <c r="A7" s="19" t="s">
        <v>126</v>
      </c>
      <c r="B7" s="21">
        <f>实盘持仓初始配置!B6</f>
        <v>0</v>
      </c>
      <c r="C7" s="21">
        <f>实盘持仓初始配置!C6</f>
        <v>0.02</v>
      </c>
      <c r="D7" s="21">
        <f>实盘持仓初始配置!D6</f>
        <v>0</v>
      </c>
      <c r="E7" s="21">
        <f>实盘持仓初始配置!E6</f>
        <v>0</v>
      </c>
      <c r="F7" s="21">
        <f>实盘持仓初始配置!F6</f>
        <v>0</v>
      </c>
      <c r="G7" s="21">
        <f>实盘持仓初始配置!G6</f>
        <v>0</v>
      </c>
      <c r="H7" s="21">
        <f>实盘持仓初始配置!H6</f>
        <v>0.11</v>
      </c>
      <c r="I7" s="21">
        <f>实盘持仓初始配置!I6</f>
        <v>0.19</v>
      </c>
      <c r="J7" s="21">
        <f>实盘持仓初始配置!J6</f>
        <v>0</v>
      </c>
      <c r="K7" s="21">
        <f>实盘持仓初始配置!K6</f>
        <v>0.19</v>
      </c>
      <c r="L7" s="21">
        <f>实盘持仓初始配置!L6</f>
        <v>0</v>
      </c>
      <c r="M7" s="21">
        <f>实盘持仓初始配置!M6</f>
        <v>0</v>
      </c>
      <c r="N7" s="21">
        <f>实盘持仓初始配置!N6</f>
        <v>0</v>
      </c>
      <c r="O7" s="21">
        <f>实盘持仓初始配置!O6</f>
        <v>0</v>
      </c>
      <c r="P7" s="21">
        <f>实盘持仓初始配置!P6</f>
        <v>0</v>
      </c>
      <c r="Q7" s="21">
        <f>实盘持仓初始配置!Q6</f>
        <v>0</v>
      </c>
      <c r="R7" s="21">
        <f>实盘持仓初始配置!R6</f>
        <v>0.19</v>
      </c>
      <c r="S7" s="21">
        <f>实盘持仓初始配置!S6</f>
        <v>0.19</v>
      </c>
      <c r="T7" s="21">
        <f>实盘持仓初始配置!T6</f>
        <v>0</v>
      </c>
      <c r="U7" s="21">
        <f>实盘持仓初始配置!U6</f>
        <v>0.11</v>
      </c>
      <c r="V7" s="21">
        <f>实盘持仓初始配置!V6</f>
        <v>0</v>
      </c>
      <c r="W7" s="21">
        <f>实盘持仓初始配置!W6</f>
        <v>0</v>
      </c>
      <c r="X7" s="21">
        <f>实盘持仓初始配置!X6</f>
        <v>0</v>
      </c>
      <c r="Y7">
        <v>0</v>
      </c>
      <c r="Z7">
        <f t="shared" si="0"/>
        <v>0.99999999999999989</v>
      </c>
      <c r="AA7" s="22">
        <v>46196</v>
      </c>
    </row>
    <row r="8" spans="1:28" ht="14.5">
      <c r="A8" s="23" t="s">
        <v>127</v>
      </c>
      <c r="B8" s="21">
        <f>实盘持仓初始配置!B7</f>
        <v>0.05</v>
      </c>
      <c r="C8" s="21">
        <f>实盘持仓初始配置!C7</f>
        <v>0.02</v>
      </c>
      <c r="D8" s="21">
        <f>实盘持仓初始配置!D7</f>
        <v>0</v>
      </c>
      <c r="E8" s="21">
        <f>实盘持仓初始配置!E7</f>
        <v>0</v>
      </c>
      <c r="F8" s="21">
        <f>实盘持仓初始配置!F7</f>
        <v>1.2500000000000001E-2</v>
      </c>
      <c r="G8" s="21">
        <f>实盘持仓初始配置!G7</f>
        <v>0</v>
      </c>
      <c r="H8" s="21">
        <f>实盘持仓初始配置!H7</f>
        <v>5.0000000000000001E-3</v>
      </c>
      <c r="I8" s="21">
        <f>实盘持仓初始配置!I7</f>
        <v>0.01</v>
      </c>
      <c r="J8" s="21">
        <f>实盘持仓初始配置!J7</f>
        <v>0</v>
      </c>
      <c r="K8" s="21">
        <f>实盘持仓初始配置!K7</f>
        <v>0.01</v>
      </c>
      <c r="L8" s="21">
        <f>实盘持仓初始配置!L7</f>
        <v>0</v>
      </c>
      <c r="M8" s="21">
        <f>实盘持仓初始配置!M7</f>
        <v>1.2500000000000001E-2</v>
      </c>
      <c r="N8" s="21">
        <f>实盘持仓初始配置!N7</f>
        <v>0</v>
      </c>
      <c r="O8" s="21">
        <f>实盘持仓初始配置!O7</f>
        <v>1.2500000000000001E-2</v>
      </c>
      <c r="P8" s="21">
        <f>实盘持仓初始配置!P7</f>
        <v>0</v>
      </c>
      <c r="Q8" s="21">
        <f>实盘持仓初始配置!Q7</f>
        <v>0</v>
      </c>
      <c r="R8" s="21">
        <f>实盘持仓初始配置!R7</f>
        <v>0.01</v>
      </c>
      <c r="S8" s="21">
        <f>实盘持仓初始配置!S7</f>
        <v>0.01</v>
      </c>
      <c r="T8" s="21">
        <f>实盘持仓初始配置!T7</f>
        <v>0</v>
      </c>
      <c r="U8" s="21">
        <f>实盘持仓初始配置!U7</f>
        <v>5.0000000000000001E-3</v>
      </c>
      <c r="V8" s="21">
        <f>实盘持仓初始配置!V7</f>
        <v>0</v>
      </c>
      <c r="W8" s="21">
        <f>实盘持仓初始配置!W7</f>
        <v>1.2500000000000001E-2</v>
      </c>
      <c r="X8" s="21">
        <f>实盘持仓初始配置!X7</f>
        <v>0.83</v>
      </c>
      <c r="Y8">
        <v>0</v>
      </c>
      <c r="Z8">
        <f t="shared" si="0"/>
        <v>1</v>
      </c>
      <c r="AA8" s="22">
        <v>46197</v>
      </c>
    </row>
    <row r="9" spans="1:28" ht="14.5">
      <c r="A9" s="23" t="s">
        <v>128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22">
        <v>46204</v>
      </c>
      <c r="AB9">
        <f>SUMPRODUCT($B$8:$Y$8,'实盘净值数据(iFinD公式)'!$B$13:$Y$13/'实盘净值数据(iFinD公式)'!$B$8:$Y$8)</f>
        <v>1.0010183937865633</v>
      </c>
    </row>
    <row r="10" spans="1:28" ht="14.5">
      <c r="A10" s="23" t="s">
        <v>129</v>
      </c>
      <c r="B10" s="21">
        <f>实盘持仓初始配置!B8</f>
        <v>0.05</v>
      </c>
      <c r="C10" s="21">
        <f>实盘持仓初始配置!C8</f>
        <v>0.02</v>
      </c>
      <c r="D10" s="21">
        <f>实盘持仓初始配置!D8</f>
        <v>0.01</v>
      </c>
      <c r="E10" s="21">
        <f>实盘持仓初始配置!E8</f>
        <v>1.2500000000000001E-2</v>
      </c>
      <c r="F10" s="21">
        <f>实盘持仓初始配置!F8</f>
        <v>0</v>
      </c>
      <c r="G10" s="21">
        <f>实盘持仓初始配置!G8</f>
        <v>5.0000000000000001E-3</v>
      </c>
      <c r="H10" s="21">
        <f>实盘持仓初始配置!H8</f>
        <v>0</v>
      </c>
      <c r="I10" s="21">
        <f>实盘持仓初始配置!I8</f>
        <v>0</v>
      </c>
      <c r="J10" s="21">
        <f>实盘持仓初始配置!J8</f>
        <v>0.01</v>
      </c>
      <c r="K10" s="21">
        <f>实盘持仓初始配置!K8</f>
        <v>0</v>
      </c>
      <c r="L10" s="21">
        <f>实盘持仓初始配置!L8</f>
        <v>1.2500000000000001E-2</v>
      </c>
      <c r="M10" s="21">
        <f>实盘持仓初始配置!M8</f>
        <v>0</v>
      </c>
      <c r="N10" s="21">
        <f>实盘持仓初始配置!N8</f>
        <v>1.2500000000000001E-2</v>
      </c>
      <c r="O10" s="21">
        <f>实盘持仓初始配置!O8</f>
        <v>0</v>
      </c>
      <c r="P10" s="21">
        <f>实盘持仓初始配置!P8</f>
        <v>0.01</v>
      </c>
      <c r="Q10" s="21">
        <f>实盘持仓初始配置!Q8</f>
        <v>0.01</v>
      </c>
      <c r="R10" s="21">
        <f>实盘持仓初始配置!R8</f>
        <v>0</v>
      </c>
      <c r="S10" s="21">
        <f>实盘持仓初始配置!S8</f>
        <v>0</v>
      </c>
      <c r="T10" s="21">
        <f>实盘持仓初始配置!T8</f>
        <v>5.0000000000000001E-3</v>
      </c>
      <c r="U10" s="21">
        <f>实盘持仓初始配置!U8</f>
        <v>0</v>
      </c>
      <c r="V10" s="21">
        <f>实盘持仓初始配置!V8</f>
        <v>1.2500000000000001E-2</v>
      </c>
      <c r="W10" s="21">
        <f>实盘持仓初始配置!W8</f>
        <v>0</v>
      </c>
      <c r="X10" s="21">
        <f>实盘持仓初始配置!X8</f>
        <v>0.83</v>
      </c>
      <c r="Y10">
        <v>0</v>
      </c>
      <c r="Z10">
        <f t="shared" si="0"/>
        <v>1</v>
      </c>
      <c r="AA10" s="22">
        <v>46191</v>
      </c>
    </row>
    <row r="11" spans="1:28" ht="14.5">
      <c r="A11" s="23" t="s">
        <v>130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22">
        <v>46204</v>
      </c>
      <c r="AB11">
        <f>SUMPRODUCT($B$10:$Y$10,'实盘净值数据(iFinD公式)'!$B$13:$Y$13/'实盘净值数据(iFinD公式)'!$B$5:$Y$5)</f>
        <v>1.0001629093509814</v>
      </c>
    </row>
    <row r="12" spans="1:28" ht="14.5">
      <c r="A12" s="23" t="s">
        <v>131</v>
      </c>
      <c r="B12" s="21">
        <f>实盘持仓初始配置!B9</f>
        <v>0.1</v>
      </c>
      <c r="C12" s="21">
        <f>实盘持仓初始配置!C9</f>
        <v>0.02</v>
      </c>
      <c r="D12" s="21">
        <f>实盘持仓初始配置!D9</f>
        <v>0</v>
      </c>
      <c r="E12" s="21">
        <f>实盘持仓初始配置!E9</f>
        <v>0</v>
      </c>
      <c r="F12" s="21">
        <f>实盘持仓初始配置!F9</f>
        <v>3.7499999999999999E-2</v>
      </c>
      <c r="G12" s="21">
        <f>实盘持仓初始配置!G9</f>
        <v>0</v>
      </c>
      <c r="H12" s="21">
        <f>实盘持仓初始配置!H9</f>
        <v>1.4999999999999999E-2</v>
      </c>
      <c r="I12" s="21">
        <f>实盘持仓初始配置!I9</f>
        <v>0.03</v>
      </c>
      <c r="J12" s="21">
        <f>实盘持仓初始配置!J9</f>
        <v>0</v>
      </c>
      <c r="K12" s="21">
        <f>实盘持仓初始配置!K9</f>
        <v>0.03</v>
      </c>
      <c r="L12" s="21">
        <f>实盘持仓初始配置!L9</f>
        <v>0</v>
      </c>
      <c r="M12" s="21">
        <f>实盘持仓初始配置!M9</f>
        <v>3.7499999999999999E-2</v>
      </c>
      <c r="N12" s="21">
        <f>实盘持仓初始配置!N9</f>
        <v>0</v>
      </c>
      <c r="O12" s="21">
        <f>实盘持仓初始配置!O9</f>
        <v>3.7499999999999999E-2</v>
      </c>
      <c r="P12" s="21">
        <f>实盘持仓初始配置!P9</f>
        <v>0</v>
      </c>
      <c r="Q12" s="21">
        <f>实盘持仓初始配置!Q9</f>
        <v>0</v>
      </c>
      <c r="R12" s="21">
        <f>实盘持仓初始配置!R9</f>
        <v>0.03</v>
      </c>
      <c r="S12" s="21">
        <f>实盘持仓初始配置!S9</f>
        <v>0.03</v>
      </c>
      <c r="T12" s="21">
        <f>实盘持仓初始配置!T9</f>
        <v>0</v>
      </c>
      <c r="U12" s="21">
        <f>实盘持仓初始配置!U9</f>
        <v>1.4999999999999999E-2</v>
      </c>
      <c r="V12" s="21">
        <f>实盘持仓初始配置!V9</f>
        <v>0</v>
      </c>
      <c r="W12" s="21">
        <f>实盘持仓初始配置!W9</f>
        <v>3.7499999999999999E-2</v>
      </c>
      <c r="X12" s="21">
        <f>实盘持仓初始配置!X9</f>
        <v>0.57999999999999996</v>
      </c>
      <c r="Y12">
        <v>0</v>
      </c>
      <c r="Z12">
        <f t="shared" si="0"/>
        <v>0.99999999999999989</v>
      </c>
      <c r="AA12" s="22">
        <v>46197</v>
      </c>
    </row>
    <row r="13" spans="1:28" ht="14.5">
      <c r="A13" s="23" t="s">
        <v>132</v>
      </c>
      <c r="B13">
        <f>B$12*'实盘净值数据(iFinD公式)'!B$13/'实盘净值数据(iFinD公式)'!B$8/$AB$13</f>
        <v>9.6752041040539472E-2</v>
      </c>
      <c r="C13">
        <f>C$12*'实盘净值数据(iFinD公式)'!C$13/'实盘净值数据(iFinD公式)'!C$8/$AB$13-0.015</f>
        <v>4.9222093775360756E-3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1.4130559060444955E-2</v>
      </c>
      <c r="I13">
        <f>I$12*'实盘净值数据(iFinD公式)'!I$13/'实盘净值数据(iFinD公式)'!I$8/$AB$13</f>
        <v>3.1187415054142246E-2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3.5385334680596091E-2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3.7809020026759531E-2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2.8865709660439238E-2</v>
      </c>
      <c r="S13">
        <f>S$12*'实盘净值数据(iFinD公式)'!S$13/'实盘净值数据(iFinD公式)'!S$8/$AB$13</f>
        <v>2.8231926900584323E-2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1.7706181846760063E-2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0.57770110350899728</v>
      </c>
      <c r="Y13">
        <f>Y$12*'实盘净值数据(iFinD公式)'!Y$13/'实盘净值数据(iFinD公式)'!Y$8/$AB$13+0.015</f>
        <v>1.4999999999999999E-2</v>
      </c>
      <c r="Z13">
        <f t="shared" si="0"/>
        <v>1</v>
      </c>
      <c r="AA13" s="22">
        <v>46204</v>
      </c>
      <c r="AB13">
        <f>SUMPRODUCT($B$12:$Y$12,'实盘净值数据(iFinD公式)'!$B$13:$Y$13/'实盘净值数据(iFinD公式)'!$B$8:$Y$8)</f>
        <v>1.0041480100695226</v>
      </c>
    </row>
    <row r="14" spans="1:28" ht="14.5">
      <c r="A14" s="23" t="s">
        <v>133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2">
        <v>46210</v>
      </c>
      <c r="AB14">
        <f>$AB$9*SUMPRODUCT($B$9:$Y$9,'实盘净值数据(iFinD公式)'!$B$17:$Y$17/'实盘净值数据(iFinD公式)'!$B$13:$Y$13)</f>
        <v>0.99518059435920936</v>
      </c>
    </row>
    <row r="15" spans="1:28" ht="14.5">
      <c r="A15" s="23" t="s">
        <v>134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2">
        <v>46210</v>
      </c>
      <c r="AB15">
        <f>$AB$11*SUMPRODUCT($B$11:$Y$11,'实盘净值数据(iFinD公式)'!$B$17:$Y$17/'实盘净值数据(iFinD公式)'!$B$13:$Y$13)</f>
        <v>0.99376731247498307</v>
      </c>
    </row>
    <row r="16" spans="1:28" ht="14.5">
      <c r="A16" s="23" t="s">
        <v>135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2">
        <v>46210</v>
      </c>
      <c r="AB16">
        <f>$AB$13*SUMPRODUCT($B$13:$Y$13,'实盘净值数据(iFinD公式)'!$B$17:$Y$17/'实盘净值数据(iFinD公式)'!$B$13:$Y$13)</f>
        <v>0.9844764004850477</v>
      </c>
    </row>
    <row r="17" spans="1:28" ht="14.5">
      <c r="A17" s="19" t="s">
        <v>136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2">
        <v>46213</v>
      </c>
      <c r="AB17">
        <f>SUMPRODUCT($B$5:$Y$5,'实盘净值数据(iFinD公式)'!$B$20:$Y$20/'实盘净值数据(iFinD公式)'!$B$6:$Y$6)</f>
        <v>0.95250384230903973</v>
      </c>
    </row>
    <row r="18" spans="1:28" ht="14.5">
      <c r="A18" s="19" t="s">
        <v>137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2">
        <v>46213</v>
      </c>
      <c r="AB18">
        <f>SUMPRODUCT($B$6:$Y$6,'实盘净值数据(iFinD公式)'!$B$20:$Y$20/'实盘净值数据(iFinD公式)'!$B$5:$Y$5)</f>
        <v>0.97445109575393596</v>
      </c>
    </row>
    <row r="19" spans="1:28" ht="14.5">
      <c r="A19" s="19" t="s">
        <v>138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2">
        <v>46213</v>
      </c>
      <c r="AB19">
        <f>SUMPRODUCT($B$7:$Y$7,'实盘净值数据(iFinD公式)'!$B$20:$Y$20/'实盘净值数据(iFinD公式)'!$B$7:$Y$7)</f>
        <v>0.99413981381289751</v>
      </c>
    </row>
    <row r="20" spans="1:28" ht="14">
      <c r="A20" s="24" t="s">
        <v>139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5">
        <v>46220</v>
      </c>
      <c r="AB20">
        <f>$AB$14*SUMPRODUCT($B$14:$Y$14,'实盘净值数据(iFinD公式)'!$B$25:$Y$25/'实盘净值数据(iFinD公式)'!$B$17:$Y$17)</f>
        <v>0.98067586640145799</v>
      </c>
    </row>
    <row r="21" spans="1:28" ht="14">
      <c r="A21" s="24" t="s">
        <v>140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5">
        <v>46220</v>
      </c>
      <c r="AB21">
        <f>$AB$15*SUMPRODUCT($B$15:$Y$15,'实盘净值数据(iFinD公式)'!$B$25:$Y$25/'实盘净值数据(iFinD公式)'!$B$17:$Y$17)</f>
        <v>0.97939475400002896</v>
      </c>
    </row>
    <row r="22" spans="1:28" ht="14">
      <c r="A22" s="24" t="s">
        <v>141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5">
        <v>46220</v>
      </c>
      <c r="AB22">
        <f>$AB$16*SUMPRODUCT($B$16:$Y$16,'实盘净值数据(iFinD公式)'!$B$25:$Y$25/'实盘净值数据(iFinD公式)'!$B$17:$Y$17)</f>
        <v>0.94281725126693205</v>
      </c>
    </row>
  </sheetData>
  <phoneticPr fontId="3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/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2.453125" customWidth="1"/>
    <col min="5" max="5" width="17.453125" customWidth="1"/>
    <col min="6" max="6" width="19.26953125" customWidth="1"/>
    <col min="7" max="7" width="15.453125" customWidth="1"/>
    <col min="8" max="8" width="2.1796875" customWidth="1"/>
  </cols>
  <sheetData>
    <row r="2" spans="2:7" ht="20.25" customHeight="1">
      <c r="B2" s="128" t="s">
        <v>142</v>
      </c>
      <c r="C2" s="128"/>
      <c r="D2" s="128"/>
      <c r="E2" s="128"/>
      <c r="F2" s="128"/>
      <c r="G2" s="128"/>
    </row>
    <row r="3" spans="2:7" ht="14.25" customHeight="1">
      <c r="B3" s="129" t="str">
        <f>"买入持有 · 已扣年化费率 "&amp;TEXT(实盘持仓初始配置!$Z$4,"0.0%")&amp;"（折每日计入净值）"</f>
        <v>买入持有 · 已扣年化费率 1.5%（折每日计入净值）</v>
      </c>
      <c r="C3" s="129"/>
      <c r="D3" s="129"/>
      <c r="E3" s="130" t="str">
        <f>"净值日期："&amp;TEXT(LOOKUP(2,1/(实盘组合净值!$B$5:$B$59&lt;&gt;""),实盘组合净值!$A$5:$A$59),"yyyy-mm-dd")</f>
        <v>净值日期：2026-08-18</v>
      </c>
      <c r="F3" s="130"/>
      <c r="G3" s="130"/>
    </row>
    <row r="5" spans="2:7" ht="14">
      <c r="B5" s="131" t="s">
        <v>143</v>
      </c>
      <c r="C5" s="131"/>
      <c r="D5" s="131"/>
      <c r="E5" s="131"/>
      <c r="F5" s="131"/>
      <c r="G5" s="131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LOOKUP(2,1/(实盘组合净值!$B$5:$B$59&lt;&gt;""),实盘组合净值!$B$5:$B$59)</f>
        <v>0.87685780895765764</v>
      </c>
      <c r="C7" s="28">
        <f>(LOOKUP(2,1/(实盘组合净值!$B$5:$B$59&lt;&gt;""),实盘组合净值!$B$5:$B$59))/1-1</f>
        <v>-0.12314219104234236</v>
      </c>
      <c r="D7" s="28">
        <f>(LOOKUP(2,1/(实盘组合净值!$B$5:$B$59&lt;&gt;""),实盘组合净值!$B$5:$B$59)/1)^(说明!$C$17/MAX(COUNT(实盘组合净值!$C$5:$C$59),1))-1</f>
        <v>-0.53959192776912623</v>
      </c>
      <c r="E7" s="29">
        <f>STDEV(实盘组合净值!$C$5:$C$59)*SQRT(说明!$C$17)</f>
        <v>0.68258960618166531</v>
      </c>
      <c r="F7" s="28">
        <f>MIN(实盘组合净值!$D$5:$D$59)</f>
        <v>-0.35221690385915061</v>
      </c>
      <c r="G7" s="30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-0.79050709662508178</v>
      </c>
    </row>
    <row r="9" spans="2:7" ht="14">
      <c r="B9" s="131" t="s">
        <v>150</v>
      </c>
      <c r="C9" s="131"/>
      <c r="D9" s="131"/>
      <c r="E9" s="131" t="s">
        <v>151</v>
      </c>
      <c r="F9" s="131"/>
      <c r="G9" s="131"/>
    </row>
    <row r="10" spans="2:7" ht="13.5" customHeight="1">
      <c r="B10" s="1" t="s">
        <v>152</v>
      </c>
      <c r="C10" s="1" t="s">
        <v>145</v>
      </c>
      <c r="D10" s="1" t="s">
        <v>146</v>
      </c>
      <c r="E10" s="133" t="s">
        <v>153</v>
      </c>
      <c r="F10" s="133"/>
      <c r="G10" s="1" t="s">
        <v>154</v>
      </c>
    </row>
    <row r="11" spans="2:7" ht="22.5" customHeight="1">
      <c r="B11" s="31" t="s">
        <v>155</v>
      </c>
      <c r="C11" s="32">
        <f>IFERROR((LOOKUP(2,1/(实盘组合净值!$B$5:$B$59&lt;&gt;""),实盘组合净值!$B$5:$B$59))/(1)-1,"")</f>
        <v>-0.12314219104234236</v>
      </c>
      <c r="D11" s="32">
        <f>IFERROR((LOOKUP(2,1/(实盘组合净值!$B$5:$B$59&lt;&gt;""),实盘组合净值!$B$5:$B$59)/(1))^(说明!$C$17/COUNT(实盘组合净值!$C$5:$C$59))-1,"")</f>
        <v>-0.53959192776912623</v>
      </c>
      <c r="E11" s="132" t="s">
        <v>148</v>
      </c>
      <c r="F11" s="132"/>
      <c r="G11" s="32">
        <f>MIN(实盘组合净值!$D$5:$D$59)</f>
        <v>-0.35221690385915061</v>
      </c>
    </row>
    <row r="12" spans="2:7" ht="22.5" customHeight="1">
      <c r="B12" s="33" t="s">
        <v>156</v>
      </c>
      <c r="C12" s="32">
        <f>IFERROR((LOOKUP(2,1/(实盘组合净值!$B$5:$B$59&lt;&gt;""),实盘组合净值!$B$5:$B$59))/(IFERROR(LOOKUP(DATE(2026,1,1),实盘组合净值!$A$5:$A$59,实盘组合净值!$B$5:$B$59),1))-1,"")</f>
        <v>-0.12314219104234236</v>
      </c>
      <c r="D12" s="32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-0.52267882598881477</v>
      </c>
      <c r="E12" s="132" t="s">
        <v>157</v>
      </c>
      <c r="F12" s="132"/>
      <c r="G12" s="34">
        <f>IFERROR((LOOKUP(2,1/(实盘组合净值!$B$5:$B$59&lt;&gt;""),ROW(实盘组合净值!$B$5:$B$59)))-(LOOKUP(2,1/(实盘组合净值!$D$5:$D$59=0),ROW(实盘组合净值!$D$5:$D$59))),"")</f>
        <v>35</v>
      </c>
    </row>
    <row r="13" spans="2:7" ht="22.5" customHeight="1">
      <c r="B13" s="31" t="s">
        <v>158</v>
      </c>
      <c r="C13" s="32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-0.12314219104234236</v>
      </c>
      <c r="D13" s="32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-0.52267882598881477</v>
      </c>
      <c r="E13" s="132" t="s">
        <v>159</v>
      </c>
      <c r="F13" s="132"/>
      <c r="G13" s="35">
        <f>COUNTIF(实盘组合净值!$C$5:$C$59,"&gt;0")/MAX(COUNT(实盘组合净值!$C$5:$C$59),1)</f>
        <v>0.46341463414634149</v>
      </c>
    </row>
    <row r="14" spans="2:7" ht="22.5" customHeight="1">
      <c r="B14" s="31" t="s">
        <v>160</v>
      </c>
      <c r="C14" s="32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-0.12314219104234236</v>
      </c>
      <c r="D14" s="32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-0.52267882598881477</v>
      </c>
      <c r="E14" s="132" t="s">
        <v>147</v>
      </c>
      <c r="F14" s="132"/>
      <c r="G14" s="32">
        <f>STDEV(实盘组合净值!$C$5:$C$59)*SQRT(说明!$C$17)</f>
        <v>0.68258960618166531</v>
      </c>
    </row>
    <row r="15" spans="2:7" ht="22.5" customHeight="1">
      <c r="B15" s="31" t="s">
        <v>161</v>
      </c>
      <c r="C15" s="32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-0.12314219104234236</v>
      </c>
      <c r="D15" s="32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-0.52267882598881477</v>
      </c>
      <c r="E15" s="132" t="s">
        <v>149</v>
      </c>
      <c r="F15" s="132"/>
      <c r="G15" s="36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-0.79050709662508178</v>
      </c>
    </row>
    <row r="16" spans="2:7" ht="22.5" customHeight="1">
      <c r="B16" s="37"/>
      <c r="C16" s="37"/>
      <c r="D16" s="37"/>
      <c r="E16" s="132" t="s">
        <v>162</v>
      </c>
      <c r="F16" s="132"/>
      <c r="G16" s="36">
        <f>IFERROR(((LOOKUP(2,1/(实盘组合净值!$B$5:$B$59&lt;&gt;""),实盘组合净值!$B$5:$B$59)/1)^(说明!$C$17/MAX(COUNT(实盘组合净值!$C$5:$C$59),1))-1)/ABS(MIN(实盘组合净值!$D$5:$D$59)),"")</f>
        <v>-1.5319875958733251</v>
      </c>
    </row>
    <row r="18" spans="2:7" ht="14">
      <c r="B18" s="131" t="s">
        <v>163</v>
      </c>
      <c r="C18" s="131"/>
      <c r="D18" s="131"/>
      <c r="E18" s="131"/>
      <c r="F18" s="131"/>
      <c r="G18" s="131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J26" sqref="J26"/>
    </sheetView>
  </sheetViews>
  <sheetFormatPr defaultColWidth="9.453125" defaultRowHeight="12.5"/>
  <cols>
    <col min="1" max="1" width="2.1796875" customWidth="1"/>
    <col min="2" max="2" width="15.453125" customWidth="1"/>
    <col min="3" max="3" width="19.453125" customWidth="1"/>
    <col min="4" max="4" width="21.453125" customWidth="1"/>
    <col min="5" max="5" width="17.453125" customWidth="1"/>
    <col min="6" max="6" width="19.26953125" customWidth="1"/>
    <col min="7" max="7" width="18.26953125" customWidth="1"/>
    <col min="8" max="8" width="2.1796875" customWidth="1"/>
  </cols>
  <sheetData>
    <row r="2" spans="2:7" ht="20.25" customHeight="1">
      <c r="B2" s="128" t="s">
        <v>165</v>
      </c>
      <c r="C2" s="128"/>
      <c r="D2" s="128"/>
      <c r="E2" s="128"/>
      <c r="F2" s="128"/>
      <c r="G2" s="128"/>
    </row>
    <row r="3" spans="2:7" ht="14.25" customHeight="1">
      <c r="B3" s="129" t="str">
        <f>"买入持有 · 已扣年化费率 "&amp;TEXT(实盘持仓初始配置!$Z$5,"0.0%")&amp;"（折每日计入净值）"</f>
        <v>买入持有 · 已扣年化费率 1.2%（折每日计入净值）</v>
      </c>
      <c r="C3" s="129"/>
      <c r="D3" s="129"/>
      <c r="E3" s="130" t="str">
        <f>"净值日期："&amp;TEXT(LOOKUP(2,1/(实盘组合净值!$E$5:$E$59&lt;&gt;""),实盘组合净值!$A$5:$A$59),"yyyy-mm-dd")</f>
        <v>净值日期：2026-08-18</v>
      </c>
      <c r="F3" s="130"/>
      <c r="G3" s="130"/>
    </row>
    <row r="5" spans="2:7" ht="14">
      <c r="B5" s="131" t="s">
        <v>143</v>
      </c>
      <c r="C5" s="131"/>
      <c r="D5" s="131"/>
      <c r="E5" s="131"/>
      <c r="F5" s="131"/>
      <c r="G5" s="131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LOOKUP(2,1/(实盘组合净值!$E$5:$E$59&lt;&gt;""),实盘组合净值!$E$5:$E$59)</f>
        <v>0.89733705151434484</v>
      </c>
      <c r="C7" s="28">
        <f>(LOOKUP(2,1/(实盘组合净值!$E$5:$E$59&lt;&gt;""),实盘组合净值!$E$5:$E$59))/1-1</f>
        <v>-0.10266294848565516</v>
      </c>
      <c r="D7" s="28">
        <f>(LOOKUP(2,1/(实盘组合净值!$E$5:$E$59&lt;&gt;""),实盘组合净值!$E$5:$E$59)/1)^(说明!$C$17/MAX(COUNT(实盘组合净值!$F$5:$F$59),1))-1</f>
        <v>-0.46428396018419149</v>
      </c>
      <c r="E7" s="29">
        <f>STDEV(实盘组合净值!$F$5:$F$59)*SQRT(说明!$C$17)</f>
        <v>0.67758047698642576</v>
      </c>
      <c r="F7" s="28">
        <f>MIN(实盘组合净值!$G$5:$G$59)</f>
        <v>-0.35236862163912863</v>
      </c>
      <c r="G7" s="30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-0.6852085854792016</v>
      </c>
    </row>
    <row r="9" spans="2:7" ht="14">
      <c r="B9" s="131" t="s">
        <v>150</v>
      </c>
      <c r="C9" s="131"/>
      <c r="D9" s="131"/>
      <c r="E9" s="131" t="s">
        <v>151</v>
      </c>
      <c r="F9" s="131"/>
      <c r="G9" s="131"/>
    </row>
    <row r="10" spans="2:7" ht="13.5" customHeight="1">
      <c r="B10" s="1" t="s">
        <v>152</v>
      </c>
      <c r="C10" s="1" t="s">
        <v>145</v>
      </c>
      <c r="D10" s="1" t="s">
        <v>146</v>
      </c>
      <c r="E10" s="133" t="s">
        <v>153</v>
      </c>
      <c r="F10" s="133"/>
      <c r="G10" s="1" t="s">
        <v>154</v>
      </c>
    </row>
    <row r="11" spans="2:7" ht="22.5" customHeight="1">
      <c r="B11" s="31" t="s">
        <v>155</v>
      </c>
      <c r="C11" s="32">
        <f>IFERROR((LOOKUP(2,1/(实盘组合净值!$E$5:$E$59&lt;&gt;""),实盘组合净值!$E$5:$E$59))/(1)-1,"")</f>
        <v>-0.10266294848565516</v>
      </c>
      <c r="D11" s="32">
        <f>IFERROR((LOOKUP(2,1/(实盘组合净值!$E$5:$E$59&lt;&gt;""),实盘组合净值!$E$5:$E$59)/(1))^(说明!$C$17/COUNT(实盘组合净值!$F$5:$F$59))-1,"")</f>
        <v>-0.46428396018419149</v>
      </c>
      <c r="E11" s="132" t="s">
        <v>148</v>
      </c>
      <c r="F11" s="132"/>
      <c r="G11" s="32">
        <f>MIN(实盘组合净值!$G$5:$G$59)</f>
        <v>-0.35236862163912863</v>
      </c>
    </row>
    <row r="12" spans="2:7" ht="22.5" customHeight="1">
      <c r="B12" s="33" t="s">
        <v>156</v>
      </c>
      <c r="C12" s="32">
        <f>IFERROR((LOOKUP(2,1/(实盘组合净值!$E$5:$E$59&lt;&gt;""),实盘组合净值!$E$5:$E$59))/(IFERROR(LOOKUP(DATE(2026,1,1),实盘组合净值!$A$5:$A$59,实盘组合净值!$E$5:$E$59),1))-1,"")</f>
        <v>-0.10266294848565516</v>
      </c>
      <c r="D12" s="32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-0.45645125781685525</v>
      </c>
      <c r="E12" s="132" t="s">
        <v>157</v>
      </c>
      <c r="F12" s="132"/>
      <c r="G12" s="34">
        <f>IFERROR((LOOKUP(2,1/(实盘组合净值!$E$5:$E$59&lt;&gt;""),ROW(实盘组合净值!$E$5:$E$59)))-(LOOKUP(2,1/(实盘组合净值!$G$5:$G$59=0),ROW(实盘组合净值!$G$5:$G$59))),"")</f>
        <v>35</v>
      </c>
    </row>
    <row r="13" spans="2:7" ht="22.5" customHeight="1">
      <c r="B13" s="31" t="s">
        <v>158</v>
      </c>
      <c r="C13" s="32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-0.10266294848565516</v>
      </c>
      <c r="D13" s="32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-0.45645125781685525</v>
      </c>
      <c r="E13" s="132" t="s">
        <v>159</v>
      </c>
      <c r="F13" s="132"/>
      <c r="G13" s="35">
        <f>COUNTIF(实盘组合净值!$F$5:$F$59,"&gt;0")/MAX(COUNT(实盘组合净值!$F$5:$F$59),1)</f>
        <v>0.47619047619047616</v>
      </c>
    </row>
    <row r="14" spans="2:7" ht="22.5" customHeight="1">
      <c r="B14" s="31" t="s">
        <v>160</v>
      </c>
      <c r="C14" s="32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-0.10266294848565516</v>
      </c>
      <c r="D14" s="32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-0.45645125781685525</v>
      </c>
      <c r="E14" s="132" t="s">
        <v>147</v>
      </c>
      <c r="F14" s="132"/>
      <c r="G14" s="32">
        <f>STDEV(实盘组合净值!$F$5:$F$59)*SQRT(说明!$C$17)</f>
        <v>0.67758047698642576</v>
      </c>
    </row>
    <row r="15" spans="2:7" ht="22.5" customHeight="1">
      <c r="B15" s="31" t="s">
        <v>161</v>
      </c>
      <c r="C15" s="32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-0.10266294848565516</v>
      </c>
      <c r="D15" s="32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-0.45645125781685525</v>
      </c>
      <c r="E15" s="132" t="s">
        <v>149</v>
      </c>
      <c r="F15" s="132"/>
      <c r="G15" s="36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-0.6852085854792016</v>
      </c>
    </row>
    <row r="16" spans="2:7" ht="22.5" customHeight="1">
      <c r="B16" s="37"/>
      <c r="C16" s="37"/>
      <c r="D16" s="37"/>
      <c r="E16" s="132" t="s">
        <v>162</v>
      </c>
      <c r="F16" s="132"/>
      <c r="G16" s="36">
        <f>IFERROR(((LOOKUP(2,1/(实盘组合净值!$E$5:$E$59&lt;&gt;""),实盘组合净值!$E$5:$E$59)/1)^(说明!$C$17/MAX(COUNT(实盘组合净值!$F$5:$F$59),1))-1)/ABS(MIN(实盘组合净值!$G$5:$G$59)),"")</f>
        <v>-1.3176086963261977</v>
      </c>
    </row>
    <row r="18" spans="2:7" ht="14">
      <c r="B18" s="131" t="s">
        <v>163</v>
      </c>
      <c r="C18" s="131"/>
      <c r="D18" s="131"/>
      <c r="E18" s="131"/>
      <c r="F18" s="131"/>
      <c r="G18" s="131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opLeftCell="A4" workbookViewId="0">
      <selection activeCell="J27" sqref="J27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7.26953125" customWidth="1"/>
    <col min="5" max="5" width="17.453125" customWidth="1"/>
    <col min="6" max="6" width="19.26953125" customWidth="1"/>
    <col min="7" max="7" width="19.1796875" customWidth="1"/>
    <col min="8" max="8" width="2.1796875" customWidth="1"/>
  </cols>
  <sheetData>
    <row r="2" spans="2:7" ht="20.25" customHeight="1">
      <c r="B2" s="128" t="s">
        <v>166</v>
      </c>
      <c r="C2" s="128"/>
      <c r="D2" s="128"/>
      <c r="E2" s="128"/>
      <c r="F2" s="128"/>
      <c r="G2" s="128"/>
    </row>
    <row r="3" spans="2:7" ht="14.25" customHeight="1">
      <c r="B3" s="129" t="str">
        <f>"买入持有 · 已扣年化费率 "&amp;TEXT(实盘持仓初始配置!$Z$6,"0.0%")&amp;"（折每日计入净值）"</f>
        <v>买入持有 · 已扣年化费率 1.5%（折每日计入净值）</v>
      </c>
      <c r="C3" s="129"/>
      <c r="D3" s="129"/>
      <c r="E3" s="130" t="str">
        <f>"净值日期："&amp;TEXT(LOOKUP(2,1/(实盘组合净值!$H$5:$H$59&lt;&gt;""),实盘组合净值!$A$5:$A$59),"yyyy-mm-dd")</f>
        <v>净值日期：2026-08-18</v>
      </c>
      <c r="F3" s="130"/>
      <c r="G3" s="130"/>
    </row>
    <row r="5" spans="2:7" ht="14">
      <c r="B5" s="131" t="s">
        <v>143</v>
      </c>
      <c r="C5" s="131"/>
      <c r="D5" s="131"/>
      <c r="E5" s="131"/>
      <c r="F5" s="131"/>
      <c r="G5" s="131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LOOKUP(2,1/(实盘组合净值!$H$5:$H$59&lt;&gt;""),实盘组合净值!$H$5:$H$59)</f>
        <v>0.90233679207786821</v>
      </c>
      <c r="C7" s="28">
        <f>(LOOKUP(2,1/(实盘组合净值!$H$5:$H$59&lt;&gt;""),实盘组合净值!$H$5:$H$59))/1-1</f>
        <v>-9.7663207922131789E-2</v>
      </c>
      <c r="D7" s="28">
        <f>(LOOKUP(2,1/(实盘组合净值!$H$5:$H$59&lt;&gt;""),实盘组合净值!$H$5:$H$59)/1)^(说明!$C$17/MAX(COUNT(实盘组合净值!$I$5:$I$59),1))-1</f>
        <v>-0.46299240534987174</v>
      </c>
      <c r="E7" s="29">
        <f>STDEV(实盘组合净值!$I$5:$I$59)*SQRT(说明!$C$17)</f>
        <v>0.67342485865873669</v>
      </c>
      <c r="F7" s="28">
        <f>MIN(实盘组合净值!$J$5:$J$59)</f>
        <v>-0.34135059378539634</v>
      </c>
      <c r="G7" s="30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-0.68751902962420453</v>
      </c>
    </row>
    <row r="9" spans="2:7" ht="14">
      <c r="B9" s="131" t="s">
        <v>150</v>
      </c>
      <c r="C9" s="131"/>
      <c r="D9" s="131"/>
      <c r="E9" s="131" t="s">
        <v>151</v>
      </c>
      <c r="F9" s="131"/>
      <c r="G9" s="131"/>
    </row>
    <row r="10" spans="2:7" ht="13.5" customHeight="1">
      <c r="B10" s="1" t="s">
        <v>152</v>
      </c>
      <c r="C10" s="1" t="s">
        <v>145</v>
      </c>
      <c r="D10" s="1" t="s">
        <v>146</v>
      </c>
      <c r="E10" s="133" t="s">
        <v>153</v>
      </c>
      <c r="F10" s="133"/>
      <c r="G10" s="1" t="s">
        <v>154</v>
      </c>
    </row>
    <row r="11" spans="2:7" ht="22.5" customHeight="1">
      <c r="B11" s="31" t="s">
        <v>155</v>
      </c>
      <c r="C11" s="32">
        <f>IFERROR((LOOKUP(2,1/(实盘组合净值!$H$5:$H$59&lt;&gt;""),实盘组合净值!$H$5:$H$59))/(1)-1,"")</f>
        <v>-9.7663207922131789E-2</v>
      </c>
      <c r="D11" s="32">
        <f>IFERROR((LOOKUP(2,1/(实盘组合净值!$H$5:$H$59&lt;&gt;""),实盘组合净值!$H$5:$H$59)/(1))^(说明!$C$17/COUNT(实盘组合净值!$I$5:$I$59))-1,"")</f>
        <v>-0.46299240534987174</v>
      </c>
      <c r="E11" s="132" t="s">
        <v>148</v>
      </c>
      <c r="F11" s="132"/>
      <c r="G11" s="32">
        <f>MIN(实盘组合净值!$J$5:$J$59)</f>
        <v>-0.34135059378539634</v>
      </c>
    </row>
    <row r="12" spans="2:7" ht="22.5" customHeight="1">
      <c r="B12" s="33" t="s">
        <v>156</v>
      </c>
      <c r="C12" s="32">
        <f>IFERROR((LOOKUP(2,1/(实盘组合净值!$H$5:$H$59&lt;&gt;""),实盘组合净值!$H$5:$H$59))/(IFERROR(LOOKUP(DATE(2026,1,1),实盘组合净值!$A$5:$A$59,实盘组合净值!$H$5:$H$59),1))-1,"")</f>
        <v>-9.7663207922131789E-2</v>
      </c>
      <c r="D12" s="32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-0.43918579871007801</v>
      </c>
      <c r="E12" s="132" t="s">
        <v>157</v>
      </c>
      <c r="F12" s="132"/>
      <c r="G12" s="34">
        <f>IFERROR((LOOKUP(2,1/(实盘组合净值!$H$5:$H$59&lt;&gt;""),ROW(实盘组合净值!$H$5:$H$59)))-(LOOKUP(2,1/(实盘组合净值!$J$5:$J$59=0),ROW(实盘组合净值!$J$5:$J$59))),"")</f>
        <v>35</v>
      </c>
    </row>
    <row r="13" spans="2:7" ht="22.5" customHeight="1">
      <c r="B13" s="31" t="s">
        <v>158</v>
      </c>
      <c r="C13" s="32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-9.7663207922131789E-2</v>
      </c>
      <c r="D13" s="32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-0.43918579871007801</v>
      </c>
      <c r="E13" s="132" t="s">
        <v>159</v>
      </c>
      <c r="F13" s="132"/>
      <c r="G13" s="35">
        <f>COUNTIF(实盘组合净值!$I$5:$I$59,"&gt;0")/MAX(COUNT(实盘组合净值!$I$5:$I$59),1)</f>
        <v>0.5</v>
      </c>
    </row>
    <row r="14" spans="2:7" ht="22.5" customHeight="1">
      <c r="B14" s="31" t="s">
        <v>160</v>
      </c>
      <c r="C14" s="32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-9.7663207922131789E-2</v>
      </c>
      <c r="D14" s="32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-0.43918579871007801</v>
      </c>
      <c r="E14" s="132" t="s">
        <v>147</v>
      </c>
      <c r="F14" s="132"/>
      <c r="G14" s="32">
        <f>STDEV(实盘组合净值!$I$5:$I$59)*SQRT(说明!$C$17)</f>
        <v>0.67342485865873669</v>
      </c>
    </row>
    <row r="15" spans="2:7" ht="22.5" customHeight="1">
      <c r="B15" s="31" t="s">
        <v>161</v>
      </c>
      <c r="C15" s="32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-9.7663207922131789E-2</v>
      </c>
      <c r="D15" s="32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-0.43918579871007801</v>
      </c>
      <c r="E15" s="132" t="s">
        <v>149</v>
      </c>
      <c r="F15" s="132"/>
      <c r="G15" s="36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-0.68751902962420453</v>
      </c>
    </row>
    <row r="16" spans="2:7" ht="22.5" customHeight="1">
      <c r="B16" s="37"/>
      <c r="C16" s="37"/>
      <c r="D16" s="37"/>
      <c r="E16" s="132" t="s">
        <v>162</v>
      </c>
      <c r="F16" s="132"/>
      <c r="G16" s="36">
        <f>IFERROR(((LOOKUP(2,1/(实盘组合净值!$H$5:$H$59&lt;&gt;""),实盘组合净值!$H$5:$H$59)/1)^(说明!$C$17/MAX(COUNT(实盘组合净值!$I$5:$I$59),1))-1)/ABS(MIN(实盘组合净值!$J$5:$J$59)),"")</f>
        <v>-1.3563544747807013</v>
      </c>
    </row>
    <row r="18" spans="2:7" ht="14">
      <c r="B18" s="131" t="s">
        <v>163</v>
      </c>
      <c r="C18" s="131"/>
      <c r="D18" s="131"/>
      <c r="E18" s="131"/>
      <c r="F18" s="131"/>
      <c r="G18" s="131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/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8.81640625" customWidth="1"/>
    <col min="5" max="5" width="21.26953125" customWidth="1"/>
    <col min="6" max="6" width="16.453125" customWidth="1"/>
    <col min="7" max="7" width="19.453125" customWidth="1"/>
    <col min="8" max="8" width="2.1796875" customWidth="1"/>
  </cols>
  <sheetData>
    <row r="2" spans="2:7" ht="20.25" customHeight="1">
      <c r="B2" s="128" t="s">
        <v>167</v>
      </c>
      <c r="C2" s="128"/>
      <c r="D2" s="128"/>
      <c r="E2" s="128"/>
      <c r="F2" s="128"/>
      <c r="G2" s="128"/>
    </row>
    <row r="3" spans="2:7" ht="14.25" customHeight="1">
      <c r="B3" s="129" t="str">
        <f>"买入持有 · 已扣年化费率 "&amp;TEXT(实盘持仓初始配置!$Z$7,"0.0%")&amp;"（折每日计入净值）"</f>
        <v>买入持有 · 已扣年化费率 0.8%（折每日计入净值）</v>
      </c>
      <c r="C3" s="129"/>
      <c r="D3" s="129"/>
      <c r="E3" s="130" t="str">
        <f>"净值日期："&amp;TEXT(LOOKUP(2,1/(实盘组合净值!$K$5:$K$59&lt;&gt;""),实盘组合净值!$A$5:$A$59),"yyyy-mm-dd")</f>
        <v>净值日期：2026-08-18</v>
      </c>
      <c r="F3" s="130"/>
      <c r="G3" s="130"/>
    </row>
    <row r="5" spans="2:7" ht="14">
      <c r="B5" s="131" t="s">
        <v>143</v>
      </c>
      <c r="C5" s="131"/>
      <c r="D5" s="131"/>
      <c r="E5" s="131"/>
      <c r="F5" s="131"/>
      <c r="G5" s="131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LOOKUP(2,1/(实盘组合净值!$K$5:$K$59&lt;&gt;""),实盘组合净值!$K$5:$K$59)</f>
        <v>0.99893699750750309</v>
      </c>
      <c r="C7" s="28">
        <f>(LOOKUP(2,1/(实盘组合净值!$K$5:$K$59&lt;&gt;""),实盘组合净值!$K$5:$K$59))/1-1</f>
        <v>-1.0630024924969117E-3</v>
      </c>
      <c r="D7" s="28">
        <f>(LOOKUP(2,1/(实盘组合净值!$K$5:$K$59&lt;&gt;""),实盘组合净值!$K$5:$K$59)/1)^(说明!$C$17/MAX(COUNT(实盘组合净值!$L$5:$L$59),1))-1</f>
        <v>-6.5778456848275546E-3</v>
      </c>
      <c r="E7" s="29">
        <f>STDEV(实盘组合净值!$L$5:$L$59)*SQRT(说明!$C$17)</f>
        <v>5.5281907016975974E-2</v>
      </c>
      <c r="F7" s="28">
        <f>MIN(实盘组合净值!$M$5:$M$59)</f>
        <v>-2.7061955764950518E-2</v>
      </c>
      <c r="G7" s="30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-0.11898731501443373</v>
      </c>
    </row>
    <row r="9" spans="2:7" ht="14">
      <c r="B9" s="131" t="s">
        <v>150</v>
      </c>
      <c r="C9" s="131"/>
      <c r="D9" s="131"/>
      <c r="E9" s="131" t="s">
        <v>151</v>
      </c>
      <c r="F9" s="131"/>
      <c r="G9" s="131"/>
    </row>
    <row r="10" spans="2:7" ht="13.5" customHeight="1">
      <c r="B10" s="1" t="s">
        <v>152</v>
      </c>
      <c r="C10" s="1" t="s">
        <v>145</v>
      </c>
      <c r="D10" s="1" t="s">
        <v>146</v>
      </c>
      <c r="E10" s="133" t="s">
        <v>153</v>
      </c>
      <c r="F10" s="133"/>
      <c r="G10" s="1" t="s">
        <v>154</v>
      </c>
    </row>
    <row r="11" spans="2:7" ht="22.5" customHeight="1">
      <c r="B11" s="31" t="s">
        <v>155</v>
      </c>
      <c r="C11" s="32">
        <f>IFERROR((LOOKUP(2,1/(实盘组合净值!$K$5:$K$59&lt;&gt;""),实盘组合净值!$K$5:$K$59))/(1)-1,"")</f>
        <v>-1.0630024924969117E-3</v>
      </c>
      <c r="D11" s="32">
        <f>IFERROR((LOOKUP(2,1/(实盘组合净值!$K$5:$K$59&lt;&gt;""),实盘组合净值!$K$5:$K$59)/(1))^(说明!$C$17/COUNT(实盘组合净值!$L$5:$L$59))-1,"")</f>
        <v>-6.5778456848275546E-3</v>
      </c>
      <c r="E11" s="132" t="s">
        <v>148</v>
      </c>
      <c r="F11" s="132"/>
      <c r="G11" s="32">
        <f>MIN(实盘组合净值!$M$5:$M$59)</f>
        <v>-2.7061955764950518E-2</v>
      </c>
    </row>
    <row r="12" spans="2:7" ht="22.5" customHeight="1">
      <c r="B12" s="33" t="s">
        <v>156</v>
      </c>
      <c r="C12" s="32">
        <f>IFERROR((LOOKUP(2,1/(实盘组合净值!$K$5:$K$59&lt;&gt;""),实盘组合净值!$K$5:$K$59))/(IFERROR(LOOKUP(DATE(2026,1,1),实盘组合净值!$A$5:$A$59,实盘组合净值!$K$5:$K$59),1))-1,"")</f>
        <v>-1.0630024924969117E-3</v>
      </c>
      <c r="D12" s="32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-5.9677827138153727E-3</v>
      </c>
      <c r="E12" s="132" t="s">
        <v>157</v>
      </c>
      <c r="F12" s="132"/>
      <c r="G12" s="34">
        <f>IFERROR((LOOKUP(2,1/(实盘组合净值!$K$5:$K$59&lt;&gt;""),ROW(实盘组合净值!$K$5:$K$59)))-(LOOKUP(2,1/(实盘组合净值!$M$5:$M$59=0),ROW(实盘组合净值!$M$5:$M$59))),"")</f>
        <v>35</v>
      </c>
    </row>
    <row r="13" spans="2:7" ht="22.5" customHeight="1">
      <c r="B13" s="31" t="s">
        <v>158</v>
      </c>
      <c r="C13" s="32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-1.0630024924969117E-3</v>
      </c>
      <c r="D13" s="32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-5.9677827138153727E-3</v>
      </c>
      <c r="E13" s="132" t="s">
        <v>159</v>
      </c>
      <c r="F13" s="132"/>
      <c r="G13" s="35">
        <f>COUNTIF(实盘组合净值!$L$5:$L$59,"&gt;0")/MAX(COUNT(实盘组合净值!$L$5:$L$59),1)</f>
        <v>0.46153846153846156</v>
      </c>
    </row>
    <row r="14" spans="2:7" ht="22.5" customHeight="1">
      <c r="B14" s="31" t="s">
        <v>160</v>
      </c>
      <c r="C14" s="32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-1.0630024924969117E-3</v>
      </c>
      <c r="D14" s="32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-5.9677827138153727E-3</v>
      </c>
      <c r="E14" s="132" t="s">
        <v>147</v>
      </c>
      <c r="F14" s="132"/>
      <c r="G14" s="32">
        <f>STDEV(实盘组合净值!$L$5:$L$59)*SQRT(说明!$C$17)</f>
        <v>5.5281907016975974E-2</v>
      </c>
    </row>
    <row r="15" spans="2:7" ht="22.5" customHeight="1">
      <c r="B15" s="31" t="s">
        <v>161</v>
      </c>
      <c r="C15" s="32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-1.0630024924969117E-3</v>
      </c>
      <c r="D15" s="32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-5.9677827138153727E-3</v>
      </c>
      <c r="E15" s="132" t="s">
        <v>149</v>
      </c>
      <c r="F15" s="132"/>
      <c r="G15" s="36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-0.11898731501443373</v>
      </c>
    </row>
    <row r="16" spans="2:7" ht="22.5" customHeight="1">
      <c r="B16" s="37"/>
      <c r="C16" s="37"/>
      <c r="D16" s="37"/>
      <c r="E16" s="132" t="s">
        <v>162</v>
      </c>
      <c r="F16" s="132"/>
      <c r="G16" s="36">
        <f>IFERROR(((LOOKUP(2,1/(实盘组合净值!$K$5:$K$59&lt;&gt;""),实盘组合净值!$K$5:$K$59)/1)^(说明!$C$17/MAX(COUNT(实盘组合净值!$L$5:$L$59),1))-1)/ABS(MIN(实盘组合净值!$M$5:$M$59)),"")</f>
        <v>-0.24306616055247926</v>
      </c>
    </row>
    <row r="18" spans="2:7" ht="14">
      <c r="B18" s="131" t="s">
        <v>163</v>
      </c>
      <c r="C18" s="131"/>
      <c r="D18" s="131"/>
      <c r="E18" s="131"/>
      <c r="F18" s="131"/>
      <c r="G18" s="131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F7" sqref="F7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0.1796875" customWidth="1"/>
    <col min="5" max="5" width="17.453125" customWidth="1"/>
    <col min="6" max="6" width="16.453125" customWidth="1"/>
    <col min="7" max="7" width="19.1796875" customWidth="1"/>
    <col min="8" max="8" width="2.1796875" customWidth="1"/>
  </cols>
  <sheetData>
    <row r="2" spans="2:7" ht="20.25" customHeight="1">
      <c r="B2" s="128" t="s">
        <v>168</v>
      </c>
      <c r="C2" s="128"/>
      <c r="D2" s="128"/>
      <c r="E2" s="128"/>
      <c r="F2" s="128"/>
      <c r="G2" s="128"/>
    </row>
    <row r="3" spans="2:7" ht="14.25" customHeight="1">
      <c r="B3" s="129" t="str">
        <f>"买入持有 · 已扣年化费率 "&amp;TEXT(实盘持仓初始配置!$Z$8,"0.0%")&amp;"（折每日计入净值）"</f>
        <v>买入持有 · 已扣年化费率 0.5%（折每日计入净值）</v>
      </c>
      <c r="C3" s="129"/>
      <c r="D3" s="129"/>
      <c r="E3" s="130" t="str">
        <f>"净值日期："&amp;TEXT(LOOKUP(2,1/(实盘组合净值!$N$5:$N$59&lt;&gt;""),实盘组合净值!$A$5:$A$59),"yyyy-mm-dd")</f>
        <v>净值日期：2026-08-18</v>
      </c>
      <c r="F3" s="130"/>
      <c r="G3" s="130"/>
    </row>
    <row r="5" spans="2:7" ht="14">
      <c r="B5" s="131" t="s">
        <v>143</v>
      </c>
      <c r="C5" s="131"/>
      <c r="D5" s="131"/>
      <c r="E5" s="131"/>
      <c r="F5" s="131"/>
      <c r="G5" s="131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LOOKUP(2,1/(实盘组合净值!$N$5:$N$59&lt;&gt;""),实盘组合净值!$N$5:$N$59)</f>
        <v>0.9986409844836206</v>
      </c>
      <c r="C7" s="28">
        <f>(LOOKUP(2,1/(实盘组合净值!$N$5:$N$59&lt;&gt;""),实盘组合净值!$N$5:$N$59))/1-1</f>
        <v>-1.3590155163794027E-3</v>
      </c>
      <c r="D7" s="28">
        <f>(LOOKUP(2,1/(实盘组合净值!$N$5:$N$59&lt;&gt;""),实盘组合净值!$N$5:$N$59)/1)^(说明!$C$17/MAX(COUNT(实盘组合净值!$O$5:$O$59),1))-1</f>
        <v>-7.8052235060610542E-3</v>
      </c>
      <c r="E7" s="29">
        <f>STDEV(实盘组合净值!$O$5:$O$59)*SQRT(说明!$C$17)</f>
        <v>5.5456695229714741E-2</v>
      </c>
      <c r="F7" s="28">
        <f>MIN(实盘组合净值!$P$5:$P$59)</f>
        <v>-2.8729069309879618E-2</v>
      </c>
      <c r="G7" s="30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-0.14074447591458478</v>
      </c>
    </row>
    <row r="9" spans="2:7" ht="14">
      <c r="B9" s="131" t="s">
        <v>150</v>
      </c>
      <c r="C9" s="131"/>
      <c r="D9" s="131"/>
      <c r="E9" s="131" t="s">
        <v>151</v>
      </c>
      <c r="F9" s="131"/>
      <c r="G9" s="131"/>
    </row>
    <row r="10" spans="2:7" ht="13.5" customHeight="1">
      <c r="B10" s="1" t="s">
        <v>152</v>
      </c>
      <c r="C10" s="1" t="s">
        <v>145</v>
      </c>
      <c r="D10" s="1" t="s">
        <v>146</v>
      </c>
      <c r="E10" s="133" t="s">
        <v>153</v>
      </c>
      <c r="F10" s="133"/>
      <c r="G10" s="1" t="s">
        <v>154</v>
      </c>
    </row>
    <row r="11" spans="2:7" ht="22.5" customHeight="1">
      <c r="B11" s="31" t="s">
        <v>155</v>
      </c>
      <c r="C11" s="32">
        <f>IFERROR((LOOKUP(2,1/(实盘组合净值!$N$5:$N$59&lt;&gt;""),实盘组合净值!$N$5:$N$59))/(1)-1,"")</f>
        <v>-1.3590155163794027E-3</v>
      </c>
      <c r="D11" s="32">
        <f>IFERROR((LOOKUP(2,1/(实盘组合净值!$N$5:$N$59&lt;&gt;""),实盘组合净值!$N$5:$N$59)/(1))^(说明!$C$17/COUNT(实盘组合净值!$O$5:$O$59))-1,"")</f>
        <v>-7.8052235060610542E-3</v>
      </c>
      <c r="E11" s="132" t="s">
        <v>148</v>
      </c>
      <c r="F11" s="132"/>
      <c r="G11" s="32">
        <f>MIN(实盘组合净值!$P$5:$P$59)</f>
        <v>-2.8729069309879618E-2</v>
      </c>
    </row>
    <row r="12" spans="2:7" ht="22.5" customHeight="1">
      <c r="B12" s="33" t="s">
        <v>156</v>
      </c>
      <c r="C12" s="32">
        <f>IFERROR((LOOKUP(2,1/(实盘组合净值!$N$5:$N$59&lt;&gt;""),实盘组合净值!$N$5:$N$59))/(IFERROR(LOOKUP(DATE(2026,1,1),实盘组合净值!$A$5:$A$59,实盘组合净值!$N$5:$N$59),1))-1,"")</f>
        <v>-1.3590155163794027E-3</v>
      </c>
      <c r="D12" s="32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-7.6244004452138414E-3</v>
      </c>
      <c r="E12" s="132" t="s">
        <v>157</v>
      </c>
      <c r="F12" s="132"/>
      <c r="G12" s="34">
        <f>IFERROR((LOOKUP(2,1/(实盘组合净值!$N$5:$N$59&lt;&gt;""),ROW(实盘组合净值!$N$5:$N$59)))-(LOOKUP(2,1/(实盘组合净值!$P$5:$P$59=0),ROW(实盘组合净值!$P$5:$P$59))),"")</f>
        <v>35</v>
      </c>
    </row>
    <row r="13" spans="2:7" ht="22.5" customHeight="1">
      <c r="B13" s="31" t="s">
        <v>158</v>
      </c>
      <c r="C13" s="32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-1.3590155163794027E-3</v>
      </c>
      <c r="D13" s="32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-7.6244004452138414E-3</v>
      </c>
      <c r="E13" s="132" t="s">
        <v>159</v>
      </c>
      <c r="F13" s="132"/>
      <c r="G13" s="35">
        <f>COUNTIF(实盘组合净值!$O$5:$O$59,"&gt;0")/MAX(COUNT(实盘组合净值!$O$5:$O$59),1)</f>
        <v>0.47619047619047616</v>
      </c>
    </row>
    <row r="14" spans="2:7" ht="22.5" customHeight="1">
      <c r="B14" s="31" t="s">
        <v>160</v>
      </c>
      <c r="C14" s="32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-1.3590155163794027E-3</v>
      </c>
      <c r="D14" s="32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-7.6244004452138414E-3</v>
      </c>
      <c r="E14" s="132" t="s">
        <v>147</v>
      </c>
      <c r="F14" s="132"/>
      <c r="G14" s="32">
        <f>STDEV(实盘组合净值!$O$5:$O$59)*SQRT(说明!$C$17)</f>
        <v>5.5456695229714741E-2</v>
      </c>
    </row>
    <row r="15" spans="2:7" ht="22.5" customHeight="1">
      <c r="B15" s="31" t="s">
        <v>161</v>
      </c>
      <c r="C15" s="32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-1.3590155163794027E-3</v>
      </c>
      <c r="D15" s="32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-7.6244004452138414E-3</v>
      </c>
      <c r="E15" s="132" t="s">
        <v>149</v>
      </c>
      <c r="F15" s="132"/>
      <c r="G15" s="36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-0.14074447591458478</v>
      </c>
    </row>
    <row r="16" spans="2:7" ht="22.5" customHeight="1">
      <c r="B16" s="37"/>
      <c r="C16" s="37"/>
      <c r="D16" s="37"/>
      <c r="E16" s="132" t="s">
        <v>162</v>
      </c>
      <c r="F16" s="132"/>
      <c r="G16" s="36">
        <f>IFERROR(((LOOKUP(2,1/(实盘组合净值!$N$5:$N$59&lt;&gt;""),实盘组合净值!$N$5:$N$59)/1)^(说明!$C$17/MAX(COUNT(实盘组合净值!$O$5:$O$59),1))-1)/ABS(MIN(实盘组合净值!$P$5:$P$59)),"")</f>
        <v>-0.27168382734128188</v>
      </c>
    </row>
    <row r="18" spans="2:7" ht="14">
      <c r="B18" s="131" t="s">
        <v>163</v>
      </c>
      <c r="C18" s="131"/>
      <c r="D18" s="131"/>
      <c r="E18" s="131"/>
      <c r="F18" s="131"/>
      <c r="G18" s="131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/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9.26953125" customWidth="1"/>
    <col min="5" max="5" width="20.81640625" customWidth="1"/>
    <col min="6" max="6" width="16.453125" customWidth="1"/>
    <col min="7" max="7" width="20.26953125" customWidth="1"/>
    <col min="8" max="8" width="2.1796875" customWidth="1"/>
  </cols>
  <sheetData>
    <row r="2" spans="2:7" ht="20.25" customHeight="1">
      <c r="B2" s="128" t="s">
        <v>169</v>
      </c>
      <c r="C2" s="128"/>
      <c r="D2" s="128"/>
      <c r="E2" s="128"/>
      <c r="F2" s="128"/>
      <c r="G2" s="128"/>
    </row>
    <row r="3" spans="2:7" ht="14.25" customHeight="1">
      <c r="B3" s="129" t="str">
        <f>"买入持有 · 已扣年化费率 "&amp;TEXT(实盘持仓初始配置!$Z$9,"0.0%")&amp;"（折每日计入净值）"</f>
        <v>买入持有 · 已扣年化费率 1.2%（折每日计入净值）</v>
      </c>
      <c r="C3" s="129"/>
      <c r="D3" s="129"/>
      <c r="E3" s="130" t="str">
        <f>"净值日期："&amp;TEXT(LOOKUP(2,1/(实盘组合净值!$Q$5:$Q$59&lt;&gt;""),实盘组合净值!$A$5:$A$59),"yyyy-mm-dd")</f>
        <v>净值日期：2026-08-18</v>
      </c>
      <c r="F3" s="130"/>
      <c r="G3" s="130"/>
    </row>
    <row r="5" spans="2:7" ht="14">
      <c r="B5" s="131" t="s">
        <v>143</v>
      </c>
      <c r="C5" s="131"/>
      <c r="D5" s="131"/>
      <c r="E5" s="131"/>
      <c r="F5" s="131"/>
      <c r="G5" s="131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LOOKUP(2,1/(实盘组合净值!$Q$5:$Q$59&lt;&gt;""),实盘组合净值!$Q$5:$Q$59)</f>
        <v>0.98130948915867044</v>
      </c>
      <c r="C7" s="28">
        <f>(LOOKUP(2,1/(实盘组合净值!$Q$5:$Q$59&lt;&gt;""),实盘组合净值!$Q$5:$Q$59))/1-1</f>
        <v>-1.8690510841329555E-2</v>
      </c>
      <c r="D7" s="28">
        <f>(LOOKUP(2,1/(实盘组合净值!$Q$5:$Q$59&lt;&gt;""),实盘组合净值!$Q$5:$Q$59)/1)^(说明!$C$17/MAX(COUNT(实盘组合净值!$R$5:$R$59),1))-1</f>
        <v>-0.11048112113025921</v>
      </c>
      <c r="E7" s="29">
        <f>STDEV(实盘组合净值!$R$5:$R$59)*SQRT(说明!$C$17)</f>
        <v>0.16093131063923402</v>
      </c>
      <c r="F7" s="28">
        <f>MIN(实盘组合净值!$S$5:$S$59)</f>
        <v>-8.3940733765942466E-2</v>
      </c>
      <c r="G7" s="30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-0.68651103810326275</v>
      </c>
    </row>
    <row r="9" spans="2:7" ht="14">
      <c r="B9" s="131" t="s">
        <v>150</v>
      </c>
      <c r="C9" s="131"/>
      <c r="D9" s="131"/>
      <c r="E9" s="131" t="s">
        <v>151</v>
      </c>
      <c r="F9" s="131"/>
      <c r="G9" s="131"/>
    </row>
    <row r="10" spans="2:7" ht="13.5" customHeight="1">
      <c r="B10" s="1" t="s">
        <v>152</v>
      </c>
      <c r="C10" s="1" t="s">
        <v>145</v>
      </c>
      <c r="D10" s="1" t="s">
        <v>146</v>
      </c>
      <c r="E10" s="133" t="s">
        <v>153</v>
      </c>
      <c r="F10" s="133"/>
      <c r="G10" s="1" t="s">
        <v>154</v>
      </c>
    </row>
    <row r="11" spans="2:7" ht="22.5" customHeight="1">
      <c r="B11" s="31" t="s">
        <v>155</v>
      </c>
      <c r="C11" s="32">
        <f>IFERROR((LOOKUP(2,1/(实盘组合净值!$Q$5:$Q$59&lt;&gt;""),实盘组合净值!$Q$5:$Q$59))/(1)-1,"")</f>
        <v>-1.8690510841329555E-2</v>
      </c>
      <c r="D11" s="32">
        <f>IFERROR((LOOKUP(2,1/(实盘组合净值!$Q$5:$Q$59&lt;&gt;""),实盘组合净值!$Q$5:$Q$59)/(1))^(说明!$C$17/COUNT(实盘组合净值!$R$5:$R$59))-1,"")</f>
        <v>-0.11048112113025921</v>
      </c>
      <c r="E11" s="132" t="s">
        <v>148</v>
      </c>
      <c r="F11" s="132"/>
      <c r="G11" s="32">
        <f>MIN(实盘组合净值!$S$5:$S$59)</f>
        <v>-8.3940733765942466E-2</v>
      </c>
    </row>
    <row r="12" spans="2:7" ht="22.5" customHeight="1">
      <c r="B12" s="33" t="s">
        <v>156</v>
      </c>
      <c r="C12" s="32">
        <f>IFERROR((LOOKUP(2,1/(实盘组合净值!$Q$5:$Q$59&lt;&gt;""),实盘组合净值!$Q$5:$Q$59))/(IFERROR(LOOKUP(DATE(2026,1,1),实盘组合净值!$A$5:$A$59,实盘组合净值!$Q$5:$Q$59),1))-1,"")</f>
        <v>-1.8690510841329555E-2</v>
      </c>
      <c r="D12" s="32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-0.10074073402054484</v>
      </c>
      <c r="E12" s="132" t="s">
        <v>157</v>
      </c>
      <c r="F12" s="132"/>
      <c r="G12" s="34">
        <f>IFERROR((LOOKUP(2,1/(实盘组合净值!$Q$5:$Q$59&lt;&gt;""),ROW(实盘组合净值!$Q$5:$Q$59)))-(LOOKUP(2,1/(实盘组合净值!$S$5:$S$59=0),ROW(实盘组合净值!$S$5:$S$59))),"")</f>
        <v>35</v>
      </c>
    </row>
    <row r="13" spans="2:7" ht="22.5" customHeight="1">
      <c r="B13" s="31" t="s">
        <v>158</v>
      </c>
      <c r="C13" s="32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-1.8690510841329555E-2</v>
      </c>
      <c r="D13" s="32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-0.10074073402054484</v>
      </c>
      <c r="E13" s="132" t="s">
        <v>159</v>
      </c>
      <c r="F13" s="132"/>
      <c r="G13" s="35">
        <f>COUNTIF(实盘组合净值!$R$5:$R$59,"&gt;0")/MAX(COUNT(实盘组合净值!$R$5:$R$59),1)</f>
        <v>0.4358974358974359</v>
      </c>
    </row>
    <row r="14" spans="2:7" ht="22.5" customHeight="1">
      <c r="B14" s="31" t="s">
        <v>160</v>
      </c>
      <c r="C14" s="32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-1.8690510841329555E-2</v>
      </c>
      <c r="D14" s="32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-0.10074073402054484</v>
      </c>
      <c r="E14" s="132" t="s">
        <v>147</v>
      </c>
      <c r="F14" s="132"/>
      <c r="G14" s="32">
        <f>STDEV(实盘组合净值!$R$5:$R$59)*SQRT(说明!$C$17)</f>
        <v>0.16093131063923402</v>
      </c>
    </row>
    <row r="15" spans="2:7" ht="22.5" customHeight="1">
      <c r="B15" s="31" t="s">
        <v>161</v>
      </c>
      <c r="C15" s="32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-1.8690510841329555E-2</v>
      </c>
      <c r="D15" s="32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-0.10074073402054484</v>
      </c>
      <c r="E15" s="132" t="s">
        <v>149</v>
      </c>
      <c r="F15" s="132"/>
      <c r="G15" s="36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-0.68651103810326275</v>
      </c>
    </row>
    <row r="16" spans="2:7" ht="22.5" customHeight="1">
      <c r="B16" s="37"/>
      <c r="C16" s="37"/>
      <c r="D16" s="37"/>
      <c r="E16" s="132" t="s">
        <v>162</v>
      </c>
      <c r="F16" s="132"/>
      <c r="G16" s="36">
        <f>IFERROR(((LOOKUP(2,1/(实盘组合净值!$Q$5:$Q$59&lt;&gt;""),实盘组合净值!$Q$5:$Q$59)/1)^(说明!$C$17/MAX(COUNT(实盘组合净值!$R$5:$R$59),1))-1)/ABS(MIN(实盘组合净值!$S$5:$S$59)),"")</f>
        <v>-1.3161800734113318</v>
      </c>
    </row>
    <row r="18" spans="2:7" ht="14">
      <c r="B18" s="131" t="s">
        <v>163</v>
      </c>
      <c r="C18" s="131"/>
      <c r="D18" s="131"/>
      <c r="E18" s="131"/>
      <c r="F18" s="131"/>
      <c r="G18" s="131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workbookViewId="0"/>
  </sheetViews>
  <sheetFormatPr defaultColWidth="9.453125" defaultRowHeight="12.5"/>
  <cols>
    <col min="1" max="1" width="2.1796875" customWidth="1"/>
    <col min="2" max="2" width="28.453125" customWidth="1"/>
    <col min="3" max="8" width="16.453125" customWidth="1"/>
  </cols>
  <sheetData>
    <row r="2" spans="2:8" ht="22.5" customHeight="1">
      <c r="B2" s="38" t="s">
        <v>170</v>
      </c>
    </row>
    <row r="3" spans="2:8" ht="14.25" customHeight="1">
      <c r="B3" s="10" t="s">
        <v>171</v>
      </c>
    </row>
    <row r="5" spans="2:8" ht="15" customHeight="1">
      <c r="B5" s="39" t="s">
        <v>172</v>
      </c>
    </row>
    <row r="6" spans="2:8" ht="16.5" customHeight="1">
      <c r="B6" s="40" t="s">
        <v>173</v>
      </c>
      <c r="C6" s="134" t="s">
        <v>174</v>
      </c>
      <c r="D6" s="134"/>
      <c r="E6" s="134"/>
      <c r="F6" s="134"/>
      <c r="G6" s="134"/>
      <c r="H6" s="134"/>
    </row>
    <row r="7" spans="2:8" ht="25.5" customHeight="1">
      <c r="B7" s="40" t="s">
        <v>175</v>
      </c>
      <c r="C7" s="134" t="s">
        <v>176</v>
      </c>
      <c r="D7" s="134"/>
      <c r="E7" s="134"/>
      <c r="F7" s="134"/>
      <c r="G7" s="134"/>
      <c r="H7" s="134"/>
    </row>
    <row r="8" spans="2:8" ht="16.5" customHeight="1">
      <c r="B8" s="40" t="s">
        <v>177</v>
      </c>
      <c r="C8" s="134" t="s">
        <v>178</v>
      </c>
      <c r="D8" s="134"/>
      <c r="E8" s="134"/>
      <c r="F8" s="134"/>
      <c r="G8" s="134"/>
      <c r="H8" s="134"/>
    </row>
    <row r="9" spans="2:8" ht="27.75" customHeight="1">
      <c r="B9" s="40" t="s">
        <v>179</v>
      </c>
      <c r="C9" s="135" t="s">
        <v>180</v>
      </c>
      <c r="D9" s="135"/>
      <c r="E9" s="135"/>
      <c r="F9" s="135"/>
      <c r="G9" s="135"/>
      <c r="H9" s="135"/>
    </row>
    <row r="10" spans="2:8" ht="16.5" customHeight="1">
      <c r="B10" s="41"/>
      <c r="C10" s="42"/>
      <c r="D10" s="42"/>
      <c r="E10" s="42"/>
      <c r="F10" s="42"/>
      <c r="G10" s="42"/>
      <c r="H10" s="42"/>
    </row>
    <row r="11" spans="2:8" ht="16.5" customHeight="1">
      <c r="B11" s="39" t="s">
        <v>181</v>
      </c>
      <c r="C11" s="42"/>
      <c r="D11" s="42"/>
      <c r="E11" s="42"/>
      <c r="F11" s="42"/>
      <c r="G11" s="42"/>
      <c r="H11" s="42"/>
    </row>
    <row r="12" spans="2:8" ht="16.5" customHeight="1">
      <c r="B12" s="40" t="s">
        <v>182</v>
      </c>
      <c r="C12" s="134" t="s">
        <v>183</v>
      </c>
      <c r="D12" s="134"/>
      <c r="E12" s="134"/>
      <c r="F12" s="134"/>
      <c r="G12" s="134"/>
      <c r="H12" s="134"/>
    </row>
    <row r="13" spans="2:8" ht="16.5" customHeight="1">
      <c r="B13" s="43" t="s">
        <v>184</v>
      </c>
      <c r="C13" s="134" t="s">
        <v>185</v>
      </c>
      <c r="D13" s="134"/>
      <c r="E13" s="134"/>
      <c r="F13" s="134"/>
      <c r="G13" s="134"/>
      <c r="H13" s="134"/>
    </row>
    <row r="14" spans="2:8" ht="16.5" customHeight="1">
      <c r="B14" s="40" t="s">
        <v>186</v>
      </c>
      <c r="C14" s="134" t="s">
        <v>187</v>
      </c>
      <c r="D14" s="134"/>
      <c r="E14" s="134"/>
      <c r="F14" s="134"/>
      <c r="G14" s="134"/>
      <c r="H14" s="134"/>
    </row>
    <row r="15" spans="2:8" ht="14.25" customHeight="1">
      <c r="B15" s="40" t="s">
        <v>188</v>
      </c>
      <c r="C15" s="41" t="s">
        <v>189</v>
      </c>
    </row>
    <row r="16" spans="2:8" ht="13">
      <c r="B16" s="40" t="s">
        <v>190</v>
      </c>
      <c r="C16" s="44">
        <v>0</v>
      </c>
    </row>
    <row r="17" spans="2:3" ht="13">
      <c r="B17" s="40" t="s">
        <v>191</v>
      </c>
      <c r="C17" s="45">
        <v>242</v>
      </c>
    </row>
    <row r="18" spans="2:3" ht="14.25" customHeight="1">
      <c r="B18" s="40" t="s">
        <v>192</v>
      </c>
      <c r="C18" s="41" t="s">
        <v>193</v>
      </c>
    </row>
    <row r="19" spans="2:3" ht="14.25" customHeight="1">
      <c r="B19" s="10" t="s">
        <v>194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实盘持仓初始配置</vt:lpstr>
      <vt:lpstr>偏离度监控</vt:lpstr>
      <vt:lpstr>vs固收+对比</vt:lpstr>
      <vt:lpstr>实盘净值数据(iFinD公式)</vt:lpstr>
      <vt:lpstr>实盘组合净值</vt:lpstr>
      <vt:lpstr>分期持仓明细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2026-08-10T08:54:35Z</dcterms:created>
  <dcterms:modified xsi:type="dcterms:W3CDTF">2026-08-18T07:32:37Z</dcterms:modified>
</cp:coreProperties>
</file>