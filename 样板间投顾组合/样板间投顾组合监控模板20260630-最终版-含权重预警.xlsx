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687" activeTab="2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  <sheet name="持仓权重预警" sheetId="11" r:id="rId16"/>
  </sheets>
  <externalReferences>
    <externalReference r:id="rId11"/>
  </externalReferences>
  <calcPr calcId="152511" fullCalcOnLoad="1"/>
</workbook>
</file>

<file path=xl/sharedStrings.xml><?xml version="1.0" encoding="utf-8"?>
<sst xmlns="http://schemas.openxmlformats.org/spreadsheetml/2006/main" count="304" uniqueCount="126">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</sst>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yyyy\-mm\-dd"/>
    <numFmt numFmtId="178" formatCode="0.0000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177" fontId="22" fillId="0" borderId="0" xfId="0" applyNumberFormat="1" applyFon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6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7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0.98046378556363067</c:v>
                </c:pt>
                <c:pt idx="2">
                  <c:v>1.0160404086918662</c:v>
                </c:pt>
                <c:pt idx="3">
                  <c:v>1.0494424368681481</c:v>
                </c:pt>
                <c:pt idx="4">
                  <c:v>1.0194235837371624</c:v>
                </c:pt>
                <c:pt idx="5">
                  <c:v>1.0294798827005589</c:v>
                </c:pt>
                <c:pt idx="6">
                  <c:v>1.0294155905508455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8480"/>
        <c:axId val="-1672666304"/>
      </c:lineChart>
      <c:dateAx>
        <c:axId val="-1672668480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304"/>
        <c:crosses val="autoZero"/>
        <c:auto val="1"/>
        <c:lblOffset val="100"/>
        <c:baseTimeUnit val="days"/>
      </c:dateAx>
      <c:valAx>
        <c:axId val="-16726663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8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1.0235728848914316</c:v>
                </c:pt>
                <c:pt idx="2">
                  <c:v>1.0034537738698632</c:v>
                </c:pt>
                <c:pt idx="3">
                  <c:v>1.0398152807197236</c:v>
                </c:pt>
                <c:pt idx="4">
                  <c:v>1.0740324597009789</c:v>
                </c:pt>
                <c:pt idx="5">
                  <c:v>1.0432130514912921</c:v>
                </c:pt>
                <c:pt idx="6">
                  <c:v>1.0533788898638812</c:v>
                </c:pt>
                <c:pt idx="7">
                  <c:v>1.0533263415786789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5760"/>
        <c:axId val="-1672666848"/>
      </c:lineChart>
      <c:dateAx>
        <c:axId val="-16726657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848"/>
        <c:crosses val="autoZero"/>
        <c:auto val="1"/>
        <c:lblOffset val="100"/>
        <c:baseTimeUnit val="days"/>
      </c:dateAx>
      <c:valAx>
        <c:axId val="-1672666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57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6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1.0392459947017059</c:v>
                </c:pt>
                <c:pt idx="2">
                  <c:v>1.0741295151357004</c:v>
                </c:pt>
                <c:pt idx="3">
                  <c:v>1.0506449511611655</c:v>
                </c:pt>
                <c:pt idx="4">
                  <c:v>1.0685751475330594</c:v>
                </c:pt>
                <c:pt idx="5">
                  <c:v>1.068508413841105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5536"/>
        <c:axId val="-1192163360"/>
      </c:lineChart>
      <c:dateAx>
        <c:axId val="-1192165536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360"/>
        <c:crosses val="autoZero"/>
        <c:auto val="1"/>
        <c:lblOffset val="100"/>
        <c:baseTimeUnit val="days"/>
      </c:dateAx>
      <c:valAx>
        <c:axId val="-11921633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55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1.0014362319237347</c:v>
                </c:pt>
                <c:pt idx="2">
                  <c:v>0.99949304909660197</c:v>
                </c:pt>
                <c:pt idx="3">
                  <c:v>1.001425069764311</c:v>
                </c:pt>
                <c:pt idx="4">
                  <c:v>1.0013918322245723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6080"/>
        <c:axId val="-1192164992"/>
      </c:lineChart>
      <c:dateAx>
        <c:axId val="-119216608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992"/>
        <c:crosses val="autoZero"/>
        <c:auto val="1"/>
        <c:lblOffset val="100"/>
        <c:baseTimeUnit val="days"/>
      </c:dateAx>
      <c:valAx>
        <c:axId val="-119216499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6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1.0009505143094155</c:v>
                </c:pt>
                <c:pt idx="2">
                  <c:v>0.99787048711733395</c:v>
                </c:pt>
                <c:pt idx="3">
                  <c:v>0.99981153226498964</c:v>
                </c:pt>
                <c:pt idx="4">
                  <c:v>1.0013120181061355</c:v>
                </c:pt>
                <c:pt idx="5">
                  <c:v>0.9989567840991862</c:v>
                </c:pt>
                <c:pt idx="6">
                  <c:v>1.0005685736228922</c:v>
                </c:pt>
                <c:pt idx="7">
                  <c:v>1.0005478490779289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2272"/>
        <c:axId val="-1192164448"/>
      </c:lineChart>
      <c:dateAx>
        <c:axId val="-1192162272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448"/>
        <c:crosses val="autoZero"/>
        <c:auto val="1"/>
        <c:lblOffset val="100"/>
        <c:baseTimeUnit val="days"/>
      </c:dateAx>
      <c:valAx>
        <c:axId val="-11921644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22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1.0040064157597366</c:v>
                </c:pt>
                <c:pt idx="2">
                  <c:v>0.9972242622004962</c:v>
                </c:pt>
                <c:pt idx="3">
                  <c:v>1.001046276296178</c:v>
                </c:pt>
                <c:pt idx="4">
                  <c:v>1.0009963386472145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1184"/>
        <c:axId val="-1192163904"/>
      </c:lineChart>
      <c:dateAx>
        <c:axId val="-1192161184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904"/>
        <c:crosses val="autoZero"/>
        <c:auto val="1"/>
        <c:lblOffset val="100"/>
        <c:baseTimeUnit val="days"/>
      </c:dateAx>
      <c:valAx>
        <c:axId val="-11921639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11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H13" sqref="H13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37" t="s">
        <v>0</v>
      </c>
      <c r="B1" s="38"/>
      <c r="C1" s="3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F24" sqref="F24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39" t="s">
        <v>59</v>
      </c>
      <c r="B1" s="40"/>
      <c r="C1" s="40"/>
      <c r="D1" s="40"/>
    </row>
    <row r="2" spans="1:24" x14ac:dyDescent="0.25">
      <c r="A2" s="9">
        <f ca="1">TODAY()</f>
        <v>46203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</row>
    <row r="12" spans="1:24" x14ac:dyDescent="0.25">
      <c r="A12" s="31">
        <v>46203</v>
      </c>
      <c r="B12" s="32">
        <f>IF($A12="","",[1]!thsiFinD("ths_adjustment_nv_fund",B$3,$A12))</f>
        <v>3.0722999999999998</v>
      </c>
      <c r="C12" s="32">
        <f>IF($A12="","",[1]!thsiFinD("ths_adjustment_nv_fund",C$3,$A12))</f>
        <v>1.3177907965</v>
      </c>
      <c r="D12" s="32">
        <f>IF($A12="","",[1]!thsiFinD("ths_adjustment_nv_fund",D$3,$A12))</f>
        <v>5.7949999999999999</v>
      </c>
      <c r="E12" s="32">
        <f>IF($A12="","",[1]!thsiFinD("ths_adjustment_nv_fund",E$3,$A12))</f>
        <v>1.9811000000000001</v>
      </c>
      <c r="F12" s="32">
        <f>IF($A12="","",[1]!thsiFinD("ths_adjustment_nv_fund",F$3,$A12))</f>
        <v>1.9252</v>
      </c>
      <c r="G12" s="32">
        <f>IF($A12="","",[1]!thsiFinD("ths_adjustment_nv_fund",G$3,$A12))</f>
        <v>4.7591999999999999</v>
      </c>
      <c r="H12" s="32">
        <f>IF($A12="","",[1]!thsiFinD("ths_adjustment_nv_fund",H$3,$A12))</f>
        <v>4.6585000000000001</v>
      </c>
      <c r="I12" s="32">
        <f>IF($A12="","",[1]!thsiFinD("ths_adjustment_nv_fund",I$3,$A12))</f>
        <v>3.1442000000000001</v>
      </c>
      <c r="J12" s="32">
        <f>IF($A12="","",[1]!thsiFinD("ths_adjustment_nv_fund",J$3,$A12))</f>
        <v>3.8559000000000001</v>
      </c>
      <c r="K12" s="32">
        <f>IF($A12="","",[1]!thsiFinD("ths_adjustment_nv_fund",K$3,$A12))</f>
        <v>3.8208000000000002</v>
      </c>
      <c r="L12" s="32">
        <f>IF($A12="","",[1]!thsiFinD("ths_adjustment_nv_fund",L$3,$A12))</f>
        <v>1.6827000000000001</v>
      </c>
      <c r="M12" s="32">
        <f>IF($A12="","",[1]!thsiFinD("ths_adjustment_nv_fund",M$3,$A12))</f>
        <v>1.6604000000000001</v>
      </c>
      <c r="N12" s="32">
        <f>IF($A12="","",[1]!thsiFinD("ths_adjustment_nv_fund",N$3,$A12))</f>
        <v>1.6415</v>
      </c>
      <c r="O12" s="32">
        <f>IF($A12="","",[1]!thsiFinD("ths_adjustment_nv_fund",O$3,$A12))</f>
        <v>1.6012999999999999</v>
      </c>
      <c r="P12" s="32">
        <f>IF($A12="","",[1]!thsiFinD("ths_adjustment_nv_fund",P$3,$A12))</f>
        <v>3.4931000000000001</v>
      </c>
      <c r="Q12" s="32">
        <f>IF($A12="","",[1]!thsiFinD("ths_adjustment_nv_fund",Q$3,$A12))</f>
        <v>4.3342999999999998</v>
      </c>
      <c r="R12" s="32">
        <f>IF($A12="","",[1]!thsiFinD("ths_adjustment_nv_fund",R$3,$A12))</f>
        <v>4.2443999999999997</v>
      </c>
      <c r="S12" s="32">
        <f>IF($A12="","",[1]!thsiFinD("ths_adjustment_nv_fund",S$3,$A12))</f>
        <v>5.7359999999999998</v>
      </c>
      <c r="T12" s="32">
        <f>IF($A12="","",[1]!thsiFinD("ths_adjustment_nv_fund",T$3,$A12))</f>
        <v>3.7000999999999999</v>
      </c>
      <c r="U12" s="32">
        <f>IF($A12="","",[1]!thsiFinD("ths_adjustment_nv_fund",U$3,$A12))</f>
        <v>3.6808000000000001</v>
      </c>
      <c r="V12" s="32">
        <f>IF($A12="","",[1]!thsiFinD("ths_adjustment_nv_fund",V$3,$A12))</f>
        <v>2.0396999999999998</v>
      </c>
      <c r="W12" s="32">
        <f>IF($A12="","",[1]!thsiFinD("ths_adjustment_nv_fund",W$3,$A12))</f>
        <v>2.02</v>
      </c>
      <c r="X12" s="32">
        <f>IF($A12="","",[1]!thsiFinD("ths_adjustment_nv_fund",X$3,$A12))</f>
        <v>1.7897000000000001</v>
      </c>
    </row>
    <row r="13" spans="1:24" x14ac:dyDescent="0.25">
      <c r="A13" s="31"/>
      <c r="B13" s="32" t="str">
        <f>IF($A13="","",[1]!thsiFinD("ths_adjustment_nv_fund",B$3,$A13))</f>
        <v/>
      </c>
      <c r="C13" s="32" t="str">
        <f>IF($A13="","",[1]!thsiFinD("ths_adjustment_nv_fund",C$3,$A13))</f>
        <v/>
      </c>
      <c r="D13" s="32" t="str">
        <f>IF($A13="","",[1]!thsiFinD("ths_adjustment_nv_fund",D$3,$A13))</f>
        <v/>
      </c>
      <c r="E13" s="32" t="str">
        <f>IF($A13="","",[1]!thsiFinD("ths_adjustment_nv_fund",E$3,$A13))</f>
        <v/>
      </c>
      <c r="F13" s="32" t="str">
        <f>IF($A13="","",[1]!thsiFinD("ths_adjustment_nv_fund",F$3,$A13))</f>
        <v/>
      </c>
      <c r="G13" s="32" t="str">
        <f>IF($A13="","",[1]!thsiFinD("ths_adjustment_nv_fund",G$3,$A13))</f>
        <v/>
      </c>
      <c r="H13" s="32" t="str">
        <f>IF($A13="","",[1]!thsiFinD("ths_adjustment_nv_fund",H$3,$A13))</f>
        <v/>
      </c>
      <c r="I13" s="32" t="str">
        <f>IF($A13="","",[1]!thsiFinD("ths_adjustment_nv_fund",I$3,$A13))</f>
        <v/>
      </c>
      <c r="J13" s="32" t="str">
        <f>IF($A13="","",[1]!thsiFinD("ths_adjustment_nv_fund",J$3,$A13))</f>
        <v/>
      </c>
      <c r="K13" s="32" t="str">
        <f>IF($A13="","",[1]!thsiFinD("ths_adjustment_nv_fund",K$3,$A13))</f>
        <v/>
      </c>
      <c r="L13" s="32" t="str">
        <f>IF($A13="","",[1]!thsiFinD("ths_adjustment_nv_fund",L$3,$A13))</f>
        <v/>
      </c>
      <c r="M13" s="32" t="str">
        <f>IF($A13="","",[1]!thsiFinD("ths_adjustment_nv_fund",M$3,$A13))</f>
        <v/>
      </c>
      <c r="N13" s="32" t="str">
        <f>IF($A13="","",[1]!thsiFinD("ths_adjustment_nv_fund",N$3,$A13))</f>
        <v/>
      </c>
      <c r="O13" s="32" t="str">
        <f>IF($A13="","",[1]!thsiFinD("ths_adjustment_nv_fund",O$3,$A13))</f>
        <v/>
      </c>
      <c r="P13" s="32" t="str">
        <f>IF($A13="","",[1]!thsiFinD("ths_adjustment_nv_fund",P$3,$A13))</f>
        <v/>
      </c>
      <c r="Q13" s="32" t="str">
        <f>IF($A13="","",[1]!thsiFinD("ths_adjustment_nv_fund",Q$3,$A13))</f>
        <v/>
      </c>
      <c r="R13" s="32" t="str">
        <f>IF($A13="","",[1]!thsiFinD("ths_adjustment_nv_fund",R$3,$A13))</f>
        <v/>
      </c>
      <c r="S13" s="32" t="str">
        <f>IF($A13="","",[1]!thsiFinD("ths_adjustment_nv_fund",S$3,$A13))</f>
        <v/>
      </c>
      <c r="T13" s="32" t="str">
        <f>IF($A13="","",[1]!thsiFinD("ths_adjustment_nv_fund",T$3,$A13))</f>
        <v/>
      </c>
      <c r="U13" s="32" t="str">
        <f>IF($A13="","",[1]!thsiFinD("ths_adjustment_nv_fund",U$3,$A13))</f>
        <v/>
      </c>
      <c r="V13" s="32" t="str">
        <f>IF($A13="","",[1]!thsiFinD("ths_adjustment_nv_fund",V$3,$A13))</f>
        <v/>
      </c>
      <c r="W13" s="32" t="str">
        <f>IF($A13="","",[1]!thsiFinD("ths_adjustment_nv_fund",W$3,$A13))</f>
        <v/>
      </c>
      <c r="X13" s="32" t="str">
        <f>IF($A13="","",[1]!thsiFinD("ths_adjustment_nv_fund",X$3,$A13))</f>
        <v/>
      </c>
    </row>
    <row r="14" spans="1:24" x14ac:dyDescent="0.25">
      <c r="A14" s="31"/>
      <c r="B14" s="32" t="str">
        <f>IF($A14="","",[1]!thsiFinD("ths_adjustment_nv_fund",B$3,$A14))</f>
        <v/>
      </c>
      <c r="C14" s="32" t="str">
        <f>IF($A14="","",[1]!thsiFinD("ths_adjustment_nv_fund",C$3,$A14))</f>
        <v/>
      </c>
      <c r="D14" s="32" t="str">
        <f>IF($A14="","",[1]!thsiFinD("ths_adjustment_nv_fund",D$3,$A14))</f>
        <v/>
      </c>
      <c r="E14" s="32" t="str">
        <f>IF($A14="","",[1]!thsiFinD("ths_adjustment_nv_fund",E$3,$A14))</f>
        <v/>
      </c>
      <c r="F14" s="32" t="str">
        <f>IF($A14="","",[1]!thsiFinD("ths_adjustment_nv_fund",F$3,$A14))</f>
        <v/>
      </c>
      <c r="G14" s="32" t="str">
        <f>IF($A14="","",[1]!thsiFinD("ths_adjustment_nv_fund",G$3,$A14))</f>
        <v/>
      </c>
      <c r="H14" s="32" t="str">
        <f>IF($A14="","",[1]!thsiFinD("ths_adjustment_nv_fund",H$3,$A14))</f>
        <v/>
      </c>
      <c r="I14" s="32" t="str">
        <f>IF($A14="","",[1]!thsiFinD("ths_adjustment_nv_fund",I$3,$A14))</f>
        <v/>
      </c>
      <c r="J14" s="32" t="str">
        <f>IF($A14="","",[1]!thsiFinD("ths_adjustment_nv_fund",J$3,$A14))</f>
        <v/>
      </c>
      <c r="K14" s="32" t="str">
        <f>IF($A14="","",[1]!thsiFinD("ths_adjustment_nv_fund",K$3,$A14))</f>
        <v/>
      </c>
      <c r="L14" s="32" t="str">
        <f>IF($A14="","",[1]!thsiFinD("ths_adjustment_nv_fund",L$3,$A14))</f>
        <v/>
      </c>
      <c r="M14" s="32" t="str">
        <f>IF($A14="","",[1]!thsiFinD("ths_adjustment_nv_fund",M$3,$A14))</f>
        <v/>
      </c>
      <c r="N14" s="32" t="str">
        <f>IF($A14="","",[1]!thsiFinD("ths_adjustment_nv_fund",N$3,$A14))</f>
        <v/>
      </c>
      <c r="O14" s="32" t="str">
        <f>IF($A14="","",[1]!thsiFinD("ths_adjustment_nv_fund",O$3,$A14))</f>
        <v/>
      </c>
      <c r="P14" s="32" t="str">
        <f>IF($A14="","",[1]!thsiFinD("ths_adjustment_nv_fund",P$3,$A14))</f>
        <v/>
      </c>
      <c r="Q14" s="32" t="str">
        <f>IF($A14="","",[1]!thsiFinD("ths_adjustment_nv_fund",Q$3,$A14))</f>
        <v/>
      </c>
      <c r="R14" s="32" t="str">
        <f>IF($A14="","",[1]!thsiFinD("ths_adjustment_nv_fund",R$3,$A14))</f>
        <v/>
      </c>
      <c r="S14" s="32" t="str">
        <f>IF($A14="","",[1]!thsiFinD("ths_adjustment_nv_fund",S$3,$A14))</f>
        <v/>
      </c>
      <c r="T14" s="32" t="str">
        <f>IF($A14="","",[1]!thsiFinD("ths_adjustment_nv_fund",T$3,$A14))</f>
        <v/>
      </c>
      <c r="U14" s="32" t="str">
        <f>IF($A14="","",[1]!thsiFinD("ths_adjustment_nv_fund",U$3,$A14))</f>
        <v/>
      </c>
      <c r="V14" s="32" t="str">
        <f>IF($A14="","",[1]!thsiFinD("ths_adjustment_nv_fund",V$3,$A14))</f>
        <v/>
      </c>
      <c r="W14" s="32" t="str">
        <f>IF($A14="","",[1]!thsiFinD("ths_adjustment_nv_fund",W$3,$A14))</f>
        <v/>
      </c>
      <c r="X14" s="32" t="str">
        <f>IF($A14="","",[1]!thsiFinD("ths_adjustment_nv_fund",X$3,$A14))</f>
        <v/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workbookViewId="0">
      <selection activeCell="D25" sqref="D25"/>
    </sheetView>
  </sheetViews>
  <sheetFormatPr defaultRowHeight="14" x14ac:dyDescent="0.25"/>
  <cols>
    <col min="1" max="1" width="12" style="27" customWidth="1"/>
  </cols>
  <sheetData>
    <row r="1" spans="1:19" ht="19" customHeight="1" x14ac:dyDescent="0.25">
      <c r="A1" s="41" t="s">
        <v>61</v>
      </c>
      <c r="B1" s="40"/>
      <c r="C1" s="40"/>
      <c r="D1" s="40"/>
      <c r="E1" s="40"/>
      <c r="F1" s="40"/>
      <c r="G1" s="40"/>
      <c r="H1" s="40"/>
      <c r="I1" s="40"/>
      <c r="J1" s="40"/>
    </row>
    <row r="2" spans="1:19" ht="14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9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19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19" x14ac:dyDescent="0.25">
      <c r="A5" s="33">
        <f>IF('实盘净值数据(iFinD公式)'!A5="","",'实盘净值数据(iFinD公式)'!A5)</f>
        <v>46191</v>
      </c>
      <c r="B5" s="32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</c>
      <c r="I5" s="7"/>
      <c r="J5" s="7" t="str">
        <f>IF(H5="","",H5/MAX(H$5:H5)-1)</f>
        <v/>
      </c>
      <c r="K5" s="32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</c>
      <c r="R5" s="7"/>
      <c r="S5" s="7" t="str">
        <f>IF(Q5="","",Q5/MAX(Q$5:Q5)-1)</f>
        <v/>
      </c>
    </row>
    <row r="6" spans="1:19" x14ac:dyDescent="0.25">
      <c r="A6" s="33">
        <f>IF('实盘净值数据(iFinD公式)'!A6="","",'实盘净值数据(iFinD公式)'!A6)</f>
        <v>46195</v>
      </c>
      <c r="B6" s="32">
        <v>1</v>
      </c>
      <c r="C6" s="7">
        <f>IF(OR(B5="",'实盘净值数据(iFinD公式)'!$A6="",'实盘净值数据(iFinD公式)'!$B6=""),"",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-1)</f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</c>
      <c r="F6" s="7">
        <f>IF(OR(E5="",'实盘净值数据(iFinD公式)'!$A6="",'实盘净值数据(iFinD公式)'!$B6=""),"",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-1)</f>
      </c>
      <c r="G6" s="7">
        <f>IF(E6="","",E6/MAX(E$5:E6)-1)</f>
        <v>0</v>
      </c>
      <c r="H6" s="32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</c>
      <c r="I6" s="7">
        <f>IF(OR(H5="",'实盘净值数据(iFinD公式)'!$A6="",'实盘净值数据(iFinD公式)'!$B6=""),"",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-1)</f>
      </c>
      <c r="J6" s="7" t="str">
        <f>IF(H6="","",H6/MAX(H$5:H6)-1)</f>
        <v/>
      </c>
      <c r="K6" s="32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</c>
      <c r="L6" s="7">
        <f>IF(OR(K5="",'实盘净值数据(iFinD公式)'!$A6="",'实盘净值数据(iFinD公式)'!$B6=""),"",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-1)</f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</c>
      <c r="O6" s="7">
        <f>IF(OR(N5="",'实盘净值数据(iFinD公式)'!$A6="",'实盘净值数据(iFinD公式)'!$B6=""),"",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-1)</f>
      </c>
      <c r="P6" s="7">
        <f>IF(N6="","",N6/MAX(N$5:N6)-1)</f>
        <v>0</v>
      </c>
      <c r="Q6" s="32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</c>
      <c r="R6" s="7">
        <f>IF(OR(Q5="",'实盘净值数据(iFinD公式)'!$A6="",'实盘净值数据(iFinD公式)'!$B6=""),"",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-1)</f>
      </c>
      <c r="S6" s="7" t="str">
        <f>IF(Q6="","",Q6/MAX(Q$5:Q6)-1)</f>
        <v/>
      </c>
    </row>
    <row r="7" spans="1:19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</c>
      <c r="C7" s="7">
        <f>IF(OR(B6="",'实盘净值数据(iFinD公式)'!$A7="",'实盘净值数据(iFinD公式)'!$B7=""),"",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-1)</f>
      </c>
      <c r="D7" s="7">
        <f>IF(B7="","",B7/MAX(B$5:B7)-1)</f>
        <v>-1.9536214436369326E-2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</c>
      <c r="F7" s="7">
        <f>IF(OR(E6="",'实盘净值数据(iFinD公式)'!$A7="",'实盘净值数据(iFinD公式)'!$B7=""),"",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-1)</f>
      </c>
      <c r="G7" s="7">
        <f>IF(E7="","",E7/MAX(E$5:E7)-1)</f>
        <v>-1.965576786815959E-2</v>
      </c>
      <c r="H7" s="32">
        <v>1</v>
      </c>
      <c r="I7" s="7">
        <f>IF(OR(H6="",'实盘净值数据(iFinD公式)'!$A7="",'实盘净值数据(iFinD公式)'!$B7=""),"",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-1)</f>
      </c>
      <c r="J7" s="7">
        <f>IF(H7="","",H7/MAX(H$5:H7)-1)</f>
        <v>0</v>
      </c>
      <c r="K7" s="32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</c>
      <c r="L7" s="7">
        <f>IF(OR(K6="",'实盘净值数据(iFinD公式)'!$A7="",'实盘净值数据(iFinD公式)'!$B7=""),"",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-1)</f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</c>
      <c r="O7" s="7">
        <f>IF(OR(N6="",'实盘净值数据(iFinD公式)'!$A7="",'实盘净值数据(iFinD公式)'!$B7=""),"",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-1)</f>
      </c>
      <c r="P7" s="7">
        <f>IF(N7="","",N7/MAX(N$5:N7)-1)</f>
        <v>-3.0771023622546689E-3</v>
      </c>
      <c r="Q7" s="32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</c>
      <c r="R7" s="7">
        <f>IF(OR(Q6="",'实盘净值数据(iFinD公式)'!$A7="",'实盘净值数据(iFinD公式)'!$B7=""),"",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-1)</f>
      </c>
      <c r="S7" s="7" t="str">
        <f>IF(Q7="","",Q7/MAX(Q$5:Q7)-1)</f>
        <v/>
      </c>
    </row>
    <row r="8" spans="1:19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</c>
      <c r="C8" s="7">
        <f>IF(OR(B7="",'实盘净值数据(iFinD公式)'!$A8="",'实盘净值数据(iFinD公式)'!$B8=""),"",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-1)</f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</c>
      <c r="F8" s="7">
        <f>IF(OR(E7="",'实盘净值数据(iFinD公式)'!$A8="",'实盘净值数据(iFinD公式)'!$B8=""),"",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-1)</f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</c>
      <c r="I8" s="7">
        <f>IF(OR(H7="",'实盘净值数据(iFinD公式)'!$A8="",'实盘净值数据(iFinD公式)'!$B8=""),"",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-1)</f>
      </c>
      <c r="J8" s="7">
        <f>IF(H8="","",H8/MAX(H$5:H8)-1)</f>
        <v>0</v>
      </c>
      <c r="K8" s="32">
        <v>1</v>
      </c>
      <c r="L8" s="7">
        <f>IF(OR(K7="",'实盘净值数据(iFinD公式)'!$A8="",'实盘净值数据(iFinD公式)'!$B8=""),"",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-1)</f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</c>
      <c r="O8" s="7">
        <f>IF(OR(N7="",'实盘净值数据(iFinD公式)'!$A8="",'实盘净值数据(iFinD公式)'!$B8=""),"",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-1)</f>
      </c>
      <c r="P8" s="7">
        <f>IF(N8="","",N8/MAX(N$5:N8)-1)</f>
        <v>-1.1379004537618309E-3</v>
      </c>
      <c r="Q8" s="32">
        <v>1</v>
      </c>
      <c r="R8" s="7">
        <f>IF(OR(Q7="",'实盘净值数据(iFinD公式)'!$A8="",'实盘净值数据(iFinD公式)'!$B8=""),"",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-1)</f>
      </c>
      <c r="S8" s="7">
        <f>IF(Q8="","",Q8/MAX(Q$5:Q8)-1)</f>
        <v>0</v>
      </c>
    </row>
    <row r="9" spans="1:19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</c>
      <c r="C9" s="7">
        <f>IF(OR(B8="",'实盘净值数据(iFinD公式)'!$A9="",'实盘净值数据(iFinD公式)'!$B9=""),"",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-1)</f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</c>
      <c r="F9" s="7">
        <f>IF(OR(E8="",'实盘净值数据(iFinD公式)'!$A9="",'实盘净值数据(iFinD公式)'!$B9=""),"",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-1)</f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</c>
      <c r="I9" s="7">
        <f>IF(OR(H8="",'实盘净值数据(iFinD公式)'!$A9="",'实盘净值数据(iFinD公式)'!$B9=""),"",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-1)</f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</c>
      <c r="L9" s="7">
        <f>IF(OR(K8="",'实盘净值数据(iFinD公式)'!$A9="",'实盘净值数据(iFinD公式)'!$B9=""),"",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-1)</f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</c>
      <c r="O9" s="7">
        <f>IF(OR(N8="",'实盘净值数据(iFinD公式)'!$A9="",'实盘净值数据(iFinD公式)'!$B9=""),"",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-1)</f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</c>
      <c r="R9" s="7">
        <f>IF(OR(Q8="",'实盘净值数据(iFinD公式)'!$A9="",'实盘净值数据(iFinD公式)'!$B9=""),"",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-1)</f>
      </c>
      <c r="S9" s="7">
        <f>IF(Q9="","",Q9/MAX(Q$5:Q9)-1)</f>
        <v>0</v>
      </c>
    </row>
    <row r="10" spans="1:19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</c>
      <c r="C10" s="7">
        <f>IF(OR(B9="",'实盘净值数据(iFinD公式)'!$A10="",'实盘净值数据(iFinD公式)'!$B10=""),"",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-1)</f>
      </c>
      <c r="D10" s="7">
        <f>IF(B10="","",B10/MAX(B$5:B10)-1)</f>
        <v>-2.8604573320449078E-2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</c>
      <c r="F10" s="7">
        <f>IF(OR(E9="",'实盘净值数据(iFinD公式)'!$A10="",'实盘净值数据(iFinD公式)'!$B10=""),"",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-1)</f>
      </c>
      <c r="G10" s="7">
        <f>IF(E10="","",E10/MAX(E$5:E10)-1)</f>
        <v>-2.8695043554146649E-2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</c>
      <c r="I10" s="7">
        <f>IF(OR(H9="",'实盘净值数据(iFinD公式)'!$A10="",'实盘净值数据(iFinD公式)'!$B10=""),"",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-1)</f>
      </c>
      <c r="J10" s="7">
        <f>IF(H10="","",H10/MAX(H$5:H10)-1)</f>
        <v>-2.1863810316736343E-2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</c>
      <c r="L10" s="7">
        <f>IF(OR(K9="",'实盘净值数据(iFinD公式)'!$A10="",'实盘净值数据(iFinD公式)'!$B10=""),"",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-1)</f>
      </c>
      <c r="M10" s="7">
        <f>IF(K10="","",K10/MAX(K$5:K10)-1)</f>
        <v>-1.9403959684980432E-3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</c>
      <c r="O10" s="7">
        <f>IF(OR(N9="",'实盘净值数据(iFinD公式)'!$A10="",'实盘净值数据(iFinD公式)'!$B10=""),"",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-1)</f>
      </c>
      <c r="P10" s="7">
        <f>IF(N10="","",N10/MAX(N$5:N10)-1)</f>
        <v>-2.3521479462554895E-3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</c>
      <c r="R10" s="7">
        <f>IF(OR(Q9="",'实盘净值数据(iFinD公式)'!$A10="",'实盘净值数据(iFinD公式)'!$B10=""),"",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-1)</f>
      </c>
      <c r="S10" s="7">
        <f>IF(Q10="","",Q10/MAX(Q$5:Q10)-1)</f>
        <v>-6.7550898607637855E-3</v>
      </c>
    </row>
    <row r="11" spans="1:19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</c>
      <c r="C11" s="7">
        <f>IF(OR(B10="",'实盘净值数据(iFinD公式)'!$A11="",'实盘净值数据(iFinD公式)'!$B11=""),"",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-1)</f>
      </c>
      <c r="D11" s="7">
        <f>IF(B11="","",B11/MAX(B$5:B11)-1)</f>
        <v>-1.9022057300411288E-2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</c>
      <c r="F11" s="7">
        <f>IF(OR(E10="",'实盘净值数据(iFinD公式)'!$A11="",'实盘净值数据(iFinD公式)'!$B11=""),"",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-1)</f>
      </c>
      <c r="G11" s="7">
        <f>IF(E11="","",E11/MAX(E$5:E11)-1)</f>
        <v>-1.9229930762844849E-2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</c>
      <c r="I11" s="7">
        <f>IF(OR(H10="",'实盘净值数据(iFinD公式)'!$A11="",'实盘净值数据(iFinD公式)'!$B11=""),"",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-1)</f>
      </c>
      <c r="J11" s="7">
        <f>IF(H11="","",H11/MAX(H$5:H11)-1)</f>
        <v>-5.1710408515674988E-3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</c>
      <c r="L11" s="7">
        <f>IF(OR(K10="",'实盘净值数据(iFinD公式)'!$A11="",'实盘净值数据(iFinD公式)'!$B11=""),"",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-1)</f>
      </c>
      <c r="M11" s="7">
        <f>IF(K11="","",K11/MAX(K$5:K11)-1)</f>
        <v>-1.1146150965757329E-5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</c>
      <c r="O11" s="7">
        <f>IF(OR(N10="",'实盘净值数据(iFinD公式)'!$A11="",'实盘净值数据(iFinD公式)'!$B11=""),"",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-1)</f>
      </c>
      <c r="P11" s="7">
        <f>IF(N11="","",N11/MAX(N$5:N11)-1)</f>
        <v>-7.4247034870245088E-4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</c>
      <c r="R11" s="7">
        <f>IF(OR(Q10="",'实盘净值数据(iFinD公式)'!$A11="",'实盘净值数据(iFinD公式)'!$B11=""),"",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-1)</f>
      </c>
      <c r="S11" s="7">
        <f>IF(Q11="","",Q11/MAX(Q$5:Q11)-1)</f>
        <v>-2.948327238843973E-3</v>
      </c>
    </row>
    <row r="12" spans="1:19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</c>
      <c r="C12" s="7">
        <f>IF(OR(B11="",'实盘净值数据(iFinD公式)'!$A12="",'实盘净值数据(iFinD公式)'!$B12=""),"",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-1)</f>
      </c>
      <c r="D12" s="7">
        <f>IF(B12="","",B12/MAX(B$5:B12)-1)</f>
        <v>-1.9083320450684949E-2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</c>
      <c r="F12" s="7">
        <f>IF(OR(E11="",'实盘净值数据(iFinD公式)'!$A12="",'实盘净值数据(iFinD公式)'!$B12=""),"",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-1)</f>
      </c>
      <c r="G12" s="7">
        <f>IF(E12="","",E12/MAX(E$5:E12)-1)</f>
        <v>-1.9278856923993559E-2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</c>
      <c r="I12" s="7">
        <f>IF(OR(H11="",'实盘净值数据(iFinD公式)'!$A12="",'实盘净值数据(iFinD公式)'!$B12=""),"",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-1)</f>
      </c>
      <c r="J12" s="7">
        <f>IF(H12="","",H12/MAX(H$5:H12)-1)</f>
        <v>-5.2331690130359432E-3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</c>
      <c r="L12" s="7">
        <f>IF(OR(K11="",'实盘净值数据(iFinD公式)'!$A12="",'实盘净值数据(iFinD公式)'!$B12=""),"",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-1)</f>
      </c>
      <c r="M12" s="7">
        <f>IF(K12="","",K12/MAX(K$5:K12)-1)</f>
        <v>-4.4336022351654236E-5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</c>
      <c r="O12" s="7">
        <f>IF(OR(N11="",'实盘净值数据(iFinD公式)'!$A12="",'实盘净值数据(iFinD公式)'!$B12=""),"",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-1)</f>
      </c>
      <c r="P12" s="7">
        <f>IF(N12="","",N12/MAX(N$5:N12)-1)</f>
        <v>-7.6316773831586193E-4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</c>
      <c r="R12" s="7">
        <f>IF(OR(Q11="",'实盘净值数据(iFinD公式)'!$A12="",'实盘净值数据(iFinD公式)'!$B12=""),"",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-1)</f>
      </c>
      <c r="S12" s="7">
        <f>IF(Q12="","",Q12/MAX(Q$5:Q12)-1)</f>
        <v>-2.9980656151926688E-3</v>
      </c>
    </row>
    <row r="13" spans="1:19" x14ac:dyDescent="0.25">
      <c r="A13" s="33" t="str">
        <f>IF('实盘净值数据(iFinD公式)'!A13="","",'实盘净值数据(iFinD公式)'!A13)</f>
        <v/>
      </c>
      <c r="B13" s="3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</c>
      <c r="C13" s="7">
        <f>IF(OR(B12="",'实盘净值数据(iFinD公式)'!$A13="",'实盘净值数据(iFinD公式)'!$B13=""),"",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-1)</f>
      </c>
      <c r="D13" s="7" t="str">
        <f>IF(B13="","",B13/MAX(B$5:B13)-1)</f>
        <v/>
      </c>
      <c r="E13" s="3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</c>
      <c r="F13" s="7">
        <f>IF(OR(E12="",'实盘净值数据(iFinD公式)'!$A13="",'实盘净值数据(iFinD公式)'!$B13=""),"",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-1)</f>
      </c>
      <c r="G13" s="7" t="str">
        <f>IF(E13="","",E13/MAX(E$5:E13)-1)</f>
        <v/>
      </c>
      <c r="H13" s="3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</c>
      <c r="I13" s="7">
        <f>IF(OR(H12="",'实盘净值数据(iFinD公式)'!$A13="",'实盘净值数据(iFinD公式)'!$B13=""),"",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-1)</f>
      </c>
      <c r="J13" s="7" t="str">
        <f>IF(H13="","",H13/MAX(H$5:H13)-1)</f>
        <v/>
      </c>
      <c r="K13" s="3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</c>
      <c r="L13" s="7">
        <f>IF(OR(K12="",'实盘净值数据(iFinD公式)'!$A13="",'实盘净值数据(iFinD公式)'!$B13=""),"",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-1)</f>
      </c>
      <c r="M13" s="7" t="str">
        <f>IF(K13="","",K13/MAX(K$5:K13)-1)</f>
        <v/>
      </c>
      <c r="N13" s="3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</c>
      <c r="O13" s="7">
        <f>IF(OR(N12="",'实盘净值数据(iFinD公式)'!$A13="",'实盘净值数据(iFinD公式)'!$B13=""),"",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-1)</f>
      </c>
      <c r="P13" s="7" t="str">
        <f>IF(N13="","",N13/MAX(N$5:N13)-1)</f>
        <v/>
      </c>
      <c r="Q13" s="3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</c>
      <c r="R13" s="7">
        <f>IF(OR(Q12="",'实盘净值数据(iFinD公式)'!$A13="",'实盘净值数据(iFinD公式)'!$B13=""),"",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-1)</f>
      </c>
      <c r="S13" s="7" t="str">
        <f>IF(Q13="","",Q13/MAX(Q$5:Q13)-1)</f>
        <v/>
      </c>
    </row>
    <row r="14" spans="1:19" x14ac:dyDescent="0.25">
      <c r="A14" s="33" t="str">
        <f>IF('实盘净值数据(iFinD公式)'!A14="","",'实盘净值数据(iFinD公式)'!A14)</f>
        <v/>
      </c>
      <c r="B14" s="3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</c>
      <c r="C14" s="7">
        <f>IF(OR(B13="",'实盘净值数据(iFinD公式)'!$A14="",'实盘净值数据(iFinD公式)'!$B14=""),"",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-1)</f>
      </c>
      <c r="D14" s="7" t="str">
        <f>IF(B14="","",B14/MAX(B$5:B14)-1)</f>
        <v/>
      </c>
      <c r="E14" s="3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</c>
      <c r="F14" s="7">
        <f>IF(OR(E13="",'实盘净值数据(iFinD公式)'!$A14="",'实盘净值数据(iFinD公式)'!$B14=""),"",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-1)</f>
      </c>
      <c r="G14" s="7" t="str">
        <f>IF(E14="","",E14/MAX(E$5:E14)-1)</f>
        <v/>
      </c>
      <c r="H14" s="3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</c>
      <c r="I14" s="7">
        <f>IF(OR(H13="",'实盘净值数据(iFinD公式)'!$A14="",'实盘净值数据(iFinD公式)'!$B14=""),"",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-1)</f>
      </c>
      <c r="J14" s="7" t="str">
        <f>IF(H14="","",H14/MAX(H$5:H14)-1)</f>
        <v/>
      </c>
      <c r="K14" s="3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</c>
      <c r="L14" s="7">
        <f>IF(OR(K13="",'实盘净值数据(iFinD公式)'!$A14="",'实盘净值数据(iFinD公式)'!$B14=""),"",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-1)</f>
      </c>
      <c r="M14" s="7" t="str">
        <f>IF(K14="","",K14/MAX(K$5:K14)-1)</f>
        <v/>
      </c>
      <c r="N14" s="3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</c>
      <c r="O14" s="7">
        <f>IF(OR(N13="",'实盘净值数据(iFinD公式)'!$A14="",'实盘净值数据(iFinD公式)'!$B14=""),"",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-1)</f>
      </c>
      <c r="P14" s="7" t="str">
        <f>IF(N14="","",N14/MAX(N$5:N14)-1)</f>
        <v/>
      </c>
      <c r="Q14" s="3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</c>
      <c r="R14" s="7">
        <f>IF(OR(Q13="",'实盘净值数据(iFinD公式)'!$A14="",'实盘净值数据(iFinD公式)'!$B14=""),"",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-1)</f>
      </c>
      <c r="S14" s="7" t="str">
        <f>IF(Q14="","",Q14/MAX(Q$5:Q14)-1)</f>
        <v/>
      </c>
    </row>
    <row r="15" spans="1:19" x14ac:dyDescent="0.25">
      <c r="A15" s="33" t="str">
        <f>IF('实盘净值数据(iFinD公式)'!A15="","",'实盘净值数据(iFinD公式)'!A15)</f>
        <v/>
      </c>
      <c r="B15" s="32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</c>
      <c r="C15" s="7">
        <f>IF(OR(B14="",'实盘净值数据(iFinD公式)'!$A15="",'实盘净值数据(iFinD公式)'!$B15=""),"",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-1)</f>
      </c>
      <c r="D15" s="7" t="str">
        <f>IF(B15="","",B15/MAX(B$5:B15)-1)</f>
        <v/>
      </c>
      <c r="E15" s="32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</c>
      <c r="F15" s="7">
        <f>IF(OR(E14="",'实盘净值数据(iFinD公式)'!$A15="",'实盘净值数据(iFinD公式)'!$B15=""),"",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-1)</f>
      </c>
      <c r="G15" s="7" t="str">
        <f>IF(E15="","",E15/MAX(E$5:E15)-1)</f>
        <v/>
      </c>
      <c r="H15" s="32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</c>
      <c r="I15" s="7">
        <f>IF(OR(H14="",'实盘净值数据(iFinD公式)'!$A15="",'实盘净值数据(iFinD公式)'!$B15=""),"",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-1)</f>
      </c>
      <c r="J15" s="7" t="str">
        <f>IF(H15="","",H15/MAX(H$5:H15)-1)</f>
        <v/>
      </c>
      <c r="K15" s="32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</c>
      <c r="L15" s="7">
        <f>IF(OR(K14="",'实盘净值数据(iFinD公式)'!$A15="",'实盘净值数据(iFinD公式)'!$B15=""),"",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-1)</f>
      </c>
      <c r="M15" s="7" t="str">
        <f>IF(K15="","",K15/MAX(K$5:K15)-1)</f>
        <v/>
      </c>
      <c r="N15" s="32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</c>
      <c r="O15" s="7">
        <f>IF(OR(N14="",'实盘净值数据(iFinD公式)'!$A15="",'实盘净值数据(iFinD公式)'!$B15=""),"",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-1)</f>
      </c>
      <c r="P15" s="7" t="str">
        <f>IF(N15="","",N15/MAX(N$5:N15)-1)</f>
        <v/>
      </c>
      <c r="Q15" s="32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</c>
      <c r="R15" s="7">
        <f>IF(OR(Q14="",'实盘净值数据(iFinD公式)'!$A15="",'实盘净值数据(iFinD公式)'!$B15=""),"",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-1)</f>
      </c>
      <c r="S15" s="7" t="str">
        <f>IF(Q15="","",Q15/MAX(Q$5:Q15)-1)</f>
        <v/>
      </c>
    </row>
    <row r="16" spans="1:19" x14ac:dyDescent="0.25">
      <c r="A16" s="33" t="str">
        <f>IF('实盘净值数据(iFinD公式)'!A16="","",'实盘净值数据(iFinD公式)'!A16)</f>
        <v/>
      </c>
      <c r="B16" s="32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</c>
      <c r="C16" s="7">
        <f>IF(OR(B15="",'实盘净值数据(iFinD公式)'!$A16="",'实盘净值数据(iFinD公式)'!$B16=""),"",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-1)</f>
      </c>
      <c r="D16" s="7" t="str">
        <f>IF(B16="","",B16/MAX(B$5:B16)-1)</f>
        <v/>
      </c>
      <c r="E16" s="32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</c>
      <c r="F16" s="7">
        <f>IF(OR(E15="",'实盘净值数据(iFinD公式)'!$A16="",'实盘净值数据(iFinD公式)'!$B16=""),"",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-1)</f>
      </c>
      <c r="G16" s="7" t="str">
        <f>IF(E16="","",E16/MAX(E$5:E16)-1)</f>
        <v/>
      </c>
      <c r="H16" s="32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</c>
      <c r="I16" s="7">
        <f>IF(OR(H15="",'实盘净值数据(iFinD公式)'!$A16="",'实盘净值数据(iFinD公式)'!$B16=""),"",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-1)</f>
      </c>
      <c r="J16" s="7" t="str">
        <f>IF(H16="","",H16/MAX(H$5:H16)-1)</f>
        <v/>
      </c>
      <c r="K16" s="32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</c>
      <c r="L16" s="7">
        <f>IF(OR(K15="",'实盘净值数据(iFinD公式)'!$A16="",'实盘净值数据(iFinD公式)'!$B16=""),"",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-1)</f>
      </c>
      <c r="M16" s="7" t="str">
        <f>IF(K16="","",K16/MAX(K$5:K16)-1)</f>
        <v/>
      </c>
      <c r="N16" s="32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</c>
      <c r="O16" s="7">
        <f>IF(OR(N15="",'实盘净值数据(iFinD公式)'!$A16="",'实盘净值数据(iFinD公式)'!$B16=""),"",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-1)</f>
      </c>
      <c r="P16" s="7" t="str">
        <f>IF(N16="","",N16/MAX(N$5:N16)-1)</f>
        <v/>
      </c>
      <c r="Q16" s="32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</c>
      <c r="R16" s="7">
        <f>IF(OR(Q15="",'实盘净值数据(iFinD公式)'!$A16="",'实盘净值数据(iFinD公式)'!$B16=""),"",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-1)</f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</c>
      <c r="C17" s="7">
        <f>IF(OR(B16="",'实盘净值数据(iFinD公式)'!$A17="",'实盘净值数据(iFinD公式)'!$B17=""),"",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-1)</f>
      </c>
      <c r="D17" s="7" t="str">
        <f>IF(B17="","",B17/MAX(B$5:B17)-1)</f>
        <v/>
      </c>
      <c r="E17" s="32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</c>
      <c r="F17" s="7">
        <f>IF(OR(E16="",'实盘净值数据(iFinD公式)'!$A17="",'实盘净值数据(iFinD公式)'!$B17=""),"",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-1)</f>
      </c>
      <c r="G17" s="7" t="str">
        <f>IF(E17="","",E17/MAX(E$5:E17)-1)</f>
        <v/>
      </c>
      <c r="H17" s="32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</c>
      <c r="I17" s="7">
        <f>IF(OR(H16="",'实盘净值数据(iFinD公式)'!$A17="",'实盘净值数据(iFinD公式)'!$B17=""),"",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-1)</f>
      </c>
      <c r="J17" s="7" t="str">
        <f>IF(H17="","",H17/MAX(H$5:H17)-1)</f>
        <v/>
      </c>
      <c r="K17" s="32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</c>
      <c r="L17" s="7">
        <f>IF(OR(K16="",'实盘净值数据(iFinD公式)'!$A17="",'实盘净值数据(iFinD公式)'!$B17=""),"",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-1)</f>
      </c>
      <c r="M17" s="7" t="str">
        <f>IF(K17="","",K17/MAX(K$5:K17)-1)</f>
        <v/>
      </c>
      <c r="N17" s="32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</c>
      <c r="O17" s="7">
        <f>IF(OR(N16="",'实盘净值数据(iFinD公式)'!$A17="",'实盘净值数据(iFinD公式)'!$B17=""),"",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-1)</f>
      </c>
      <c r="P17" s="7" t="str">
        <f>IF(N17="","",N17/MAX(N$5:N17)-1)</f>
        <v/>
      </c>
      <c r="Q17" s="32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</c>
      <c r="R17" s="7">
        <f>IF(OR(Q16="",'实盘净值数据(iFinD公式)'!$A17="",'实盘净值数据(iFinD公式)'!$B17=""),"",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-1)</f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</c>
      <c r="C18" s="7">
        <f>IF(OR(B17="",'实盘净值数据(iFinD公式)'!$A18="",'实盘净值数据(iFinD公式)'!$B18=""),"",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-1)</f>
      </c>
      <c r="D18" s="7" t="str">
        <f>IF(B18="","",B18/MAX(B$5:B18)-1)</f>
        <v/>
      </c>
      <c r="E18" s="32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</c>
      <c r="F18" s="7">
        <f>IF(OR(E17="",'实盘净值数据(iFinD公式)'!$A18="",'实盘净值数据(iFinD公式)'!$B18=""),"",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-1)</f>
      </c>
      <c r="G18" s="7" t="str">
        <f>IF(E18="","",E18/MAX(E$5:E18)-1)</f>
        <v/>
      </c>
      <c r="H18" s="32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</c>
      <c r="I18" s="7">
        <f>IF(OR(H17="",'实盘净值数据(iFinD公式)'!$A18="",'实盘净值数据(iFinD公式)'!$B18=""),"",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-1)</f>
      </c>
      <c r="J18" s="7" t="str">
        <f>IF(H18="","",H18/MAX(H$5:H18)-1)</f>
        <v/>
      </c>
      <c r="K18" s="32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</c>
      <c r="L18" s="7">
        <f>IF(OR(K17="",'实盘净值数据(iFinD公式)'!$A18="",'实盘净值数据(iFinD公式)'!$B18=""),"",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-1)</f>
      </c>
      <c r="M18" s="7" t="str">
        <f>IF(K18="","",K18/MAX(K$5:K18)-1)</f>
        <v/>
      </c>
      <c r="N18" s="32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</c>
      <c r="O18" s="7">
        <f>IF(OR(N17="",'实盘净值数据(iFinD公式)'!$A18="",'实盘净值数据(iFinD公式)'!$B18=""),"",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-1)</f>
      </c>
      <c r="P18" s="7" t="str">
        <f>IF(N18="","",N18/MAX(N$5:N18)-1)</f>
        <v/>
      </c>
      <c r="Q18" s="32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</c>
      <c r="R18" s="7">
        <f>IF(OR(Q17="",'实盘净值数据(iFinD公式)'!$A18="",'实盘净值数据(iFinD公式)'!$B18=""),"",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-1)</f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</c>
      <c r="C19" s="7">
        <f>IF(OR(B18="",'实盘净值数据(iFinD公式)'!$A19="",'实盘净值数据(iFinD公式)'!$B19=""),"",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-1)</f>
      </c>
      <c r="D19" s="7" t="str">
        <f>IF(B19="","",B19/MAX(B$5:B19)-1)</f>
        <v/>
      </c>
      <c r="E19" s="32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</c>
      <c r="F19" s="7">
        <f>IF(OR(E18="",'实盘净值数据(iFinD公式)'!$A19="",'实盘净值数据(iFinD公式)'!$B19=""),"",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-1)</f>
      </c>
      <c r="G19" s="7" t="str">
        <f>IF(E19="","",E19/MAX(E$5:E19)-1)</f>
        <v/>
      </c>
      <c r="H19" s="32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</c>
      <c r="I19" s="7">
        <f>IF(OR(H18="",'实盘净值数据(iFinD公式)'!$A19="",'实盘净值数据(iFinD公式)'!$B19=""),"",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-1)</f>
      </c>
      <c r="J19" s="7" t="str">
        <f>IF(H19="","",H19/MAX(H$5:H19)-1)</f>
        <v/>
      </c>
      <c r="K19" s="32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</c>
      <c r="L19" s="7">
        <f>IF(OR(K18="",'实盘净值数据(iFinD公式)'!$A19="",'实盘净值数据(iFinD公式)'!$B19=""),"",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-1)</f>
      </c>
      <c r="M19" s="7" t="str">
        <f>IF(K19="","",K19/MAX(K$5:K19)-1)</f>
        <v/>
      </c>
      <c r="N19" s="32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</c>
      <c r="O19" s="7">
        <f>IF(OR(N18="",'实盘净值数据(iFinD公式)'!$A19="",'实盘净值数据(iFinD公式)'!$B19=""),"",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-1)</f>
      </c>
      <c r="P19" s="7" t="str">
        <f>IF(N19="","",N19/MAX(N$5:N19)-1)</f>
        <v/>
      </c>
      <c r="Q19" s="32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</c>
      <c r="R19" s="7">
        <f>IF(OR(Q18="",'实盘净值数据(iFinD公式)'!$A19="",'实盘净值数据(iFinD公式)'!$B19=""),"",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-1)</f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</c>
      <c r="C20" s="7">
        <f>IF(OR(B19="",'实盘净值数据(iFinD公式)'!$A20="",'实盘净值数据(iFinD公式)'!$B20=""),"",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-1)</f>
      </c>
      <c r="D20" s="7" t="str">
        <f>IF(B20="","",B20/MAX(B$5:B20)-1)</f>
        <v/>
      </c>
      <c r="E20" s="32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</c>
      <c r="F20" s="7">
        <f>IF(OR(E19="",'实盘净值数据(iFinD公式)'!$A20="",'实盘净值数据(iFinD公式)'!$B20=""),"",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-1)</f>
      </c>
      <c r="G20" s="7" t="str">
        <f>IF(E20="","",E20/MAX(E$5:E20)-1)</f>
        <v/>
      </c>
      <c r="H20" s="32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</c>
      <c r="I20" s="7">
        <f>IF(OR(H19="",'实盘净值数据(iFinD公式)'!$A20="",'实盘净值数据(iFinD公式)'!$B20=""),"",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-1)</f>
      </c>
      <c r="J20" s="7" t="str">
        <f>IF(H20="","",H20/MAX(H$5:H20)-1)</f>
        <v/>
      </c>
      <c r="K20" s="32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</c>
      <c r="L20" s="7">
        <f>IF(OR(K19="",'实盘净值数据(iFinD公式)'!$A20="",'实盘净值数据(iFinD公式)'!$B20=""),"",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-1)</f>
      </c>
      <c r="M20" s="7" t="str">
        <f>IF(K20="","",K20/MAX(K$5:K20)-1)</f>
        <v/>
      </c>
      <c r="N20" s="32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</c>
      <c r="O20" s="7">
        <f>IF(OR(N19="",'实盘净值数据(iFinD公式)'!$A20="",'实盘净值数据(iFinD公式)'!$B20=""),"",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-1)</f>
      </c>
      <c r="P20" s="7" t="str">
        <f>IF(N20="","",N20/MAX(N$5:N20)-1)</f>
        <v/>
      </c>
      <c r="Q20" s="32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</c>
      <c r="R20" s="7">
        <f>IF(OR(Q19="",'实盘净值数据(iFinD公式)'!$A20="",'实盘净值数据(iFinD公式)'!$B20=""),"",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-1)</f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</c>
      <c r="C21" s="7">
        <f>IF(OR(B20="",'实盘净值数据(iFinD公式)'!$A21="",'实盘净值数据(iFinD公式)'!$B21=""),"",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-1)</f>
      </c>
      <c r="D21" s="7" t="str">
        <f>IF(B21="","",B21/MAX(B$5:B21)-1)</f>
        <v/>
      </c>
      <c r="E21" s="32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</c>
      <c r="F21" s="7">
        <f>IF(OR(E20="",'实盘净值数据(iFinD公式)'!$A21="",'实盘净值数据(iFinD公式)'!$B21=""),"",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-1)</f>
      </c>
      <c r="G21" s="7" t="str">
        <f>IF(E21="","",E21/MAX(E$5:E21)-1)</f>
        <v/>
      </c>
      <c r="H21" s="32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</c>
      <c r="I21" s="7">
        <f>IF(OR(H20="",'实盘净值数据(iFinD公式)'!$A21="",'实盘净值数据(iFinD公式)'!$B21=""),"",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-1)</f>
      </c>
      <c r="J21" s="7" t="str">
        <f>IF(H21="","",H21/MAX(H$5:H21)-1)</f>
        <v/>
      </c>
      <c r="K21" s="32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</c>
      <c r="L21" s="7">
        <f>IF(OR(K20="",'实盘净值数据(iFinD公式)'!$A21="",'实盘净值数据(iFinD公式)'!$B21=""),"",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-1)</f>
      </c>
      <c r="M21" s="7" t="str">
        <f>IF(K21="","",K21/MAX(K$5:K21)-1)</f>
        <v/>
      </c>
      <c r="N21" s="32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</c>
      <c r="O21" s="7">
        <f>IF(OR(N20="",'实盘净值数据(iFinD公式)'!$A21="",'实盘净值数据(iFinD公式)'!$B21=""),"",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-1)</f>
      </c>
      <c r="P21" s="7" t="str">
        <f>IF(N21="","",N21/MAX(N$5:N21)-1)</f>
        <v/>
      </c>
      <c r="Q21" s="32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</c>
      <c r="R21" s="7">
        <f>IF(OR(Q20="",'实盘净值数据(iFinD公式)'!$A21="",'实盘净值数据(iFinD公式)'!$B21=""),"",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-1)</f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</c>
      <c r="C22" s="7">
        <f>IF(OR(B21="",'实盘净值数据(iFinD公式)'!$A22="",'实盘净值数据(iFinD公式)'!$B22=""),"",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-1)</f>
      </c>
      <c r="D22" s="7" t="str">
        <f>IF(B22="","",B22/MAX(B$5:B22)-1)</f>
        <v/>
      </c>
      <c r="E22" s="32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</c>
      <c r="F22" s="7">
        <f>IF(OR(E21="",'实盘净值数据(iFinD公式)'!$A22="",'实盘净值数据(iFinD公式)'!$B22=""),"",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-1)</f>
      </c>
      <c r="G22" s="7" t="str">
        <f>IF(E22="","",E22/MAX(E$5:E22)-1)</f>
        <v/>
      </c>
      <c r="H22" s="32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</c>
      <c r="I22" s="7">
        <f>IF(OR(H21="",'实盘净值数据(iFinD公式)'!$A22="",'实盘净值数据(iFinD公式)'!$B22=""),"",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-1)</f>
      </c>
      <c r="J22" s="7" t="str">
        <f>IF(H22="","",H22/MAX(H$5:H22)-1)</f>
        <v/>
      </c>
      <c r="K22" s="32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</c>
      <c r="L22" s="7">
        <f>IF(OR(K21="",'实盘净值数据(iFinD公式)'!$A22="",'实盘净值数据(iFinD公式)'!$B22=""),"",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-1)</f>
      </c>
      <c r="M22" s="7" t="str">
        <f>IF(K22="","",K22/MAX(K$5:K22)-1)</f>
        <v/>
      </c>
      <c r="N22" s="32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</c>
      <c r="O22" s="7">
        <f>IF(OR(N21="",'实盘净值数据(iFinD公式)'!$A22="",'实盘净值数据(iFinD公式)'!$B22=""),"",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-1)</f>
      </c>
      <c r="P22" s="7" t="str">
        <f>IF(N22="","",N22/MAX(N$5:N22)-1)</f>
        <v/>
      </c>
      <c r="Q22" s="32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</c>
      <c r="R22" s="7">
        <f>IF(OR(Q21="",'实盘净值数据(iFinD公式)'!$A22="",'实盘净值数据(iFinD公式)'!$B22=""),"",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-1)</f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</c>
      <c r="C23" s="7">
        <f>IF(OR(B22="",'实盘净值数据(iFinD公式)'!$A23="",'实盘净值数据(iFinD公式)'!$B23=""),"",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-1)</f>
      </c>
      <c r="D23" s="7" t="str">
        <f>IF(B23="","",B23/MAX(B$5:B23)-1)</f>
        <v/>
      </c>
      <c r="E23" s="32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</c>
      <c r="F23" s="7">
        <f>IF(OR(E22="",'实盘净值数据(iFinD公式)'!$A23="",'实盘净值数据(iFinD公式)'!$B23=""),"",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-1)</f>
      </c>
      <c r="G23" s="7" t="str">
        <f>IF(E23="","",E23/MAX(E$5:E23)-1)</f>
        <v/>
      </c>
      <c r="H23" s="32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</c>
      <c r="I23" s="7">
        <f>IF(OR(H22="",'实盘净值数据(iFinD公式)'!$A23="",'实盘净值数据(iFinD公式)'!$B23=""),"",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-1)</f>
      </c>
      <c r="J23" s="7" t="str">
        <f>IF(H23="","",H23/MAX(H$5:H23)-1)</f>
        <v/>
      </c>
      <c r="K23" s="32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</c>
      <c r="L23" s="7">
        <f>IF(OR(K22="",'实盘净值数据(iFinD公式)'!$A23="",'实盘净值数据(iFinD公式)'!$B23=""),"",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-1)</f>
      </c>
      <c r="M23" s="7" t="str">
        <f>IF(K23="","",K23/MAX(K$5:K23)-1)</f>
        <v/>
      </c>
      <c r="N23" s="32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</c>
      <c r="O23" s="7">
        <f>IF(OR(N22="",'实盘净值数据(iFinD公式)'!$A23="",'实盘净值数据(iFinD公式)'!$B23=""),"",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-1)</f>
      </c>
      <c r="P23" s="7" t="str">
        <f>IF(N23="","",N23/MAX(N$5:N23)-1)</f>
        <v/>
      </c>
      <c r="Q23" s="32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</c>
      <c r="R23" s="7">
        <f>IF(OR(Q22="",'实盘净值数据(iFinD公式)'!$A23="",'实盘净值数据(iFinD公式)'!$B23=""),"",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-1)</f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</c>
      <c r="C24" s="7">
        <f>IF(OR(B23="",'实盘净值数据(iFinD公式)'!$A24="",'实盘净值数据(iFinD公式)'!$B24=""),"",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-1)</f>
      </c>
      <c r="D24" s="7" t="str">
        <f>IF(B24="","",B24/MAX(B$5:B24)-1)</f>
        <v/>
      </c>
      <c r="E24" s="32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</c>
      <c r="F24" s="7">
        <f>IF(OR(E23="",'实盘净值数据(iFinD公式)'!$A24="",'实盘净值数据(iFinD公式)'!$B24=""),"",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-1)</f>
      </c>
      <c r="G24" s="7" t="str">
        <f>IF(E24="","",E24/MAX(E$5:E24)-1)</f>
        <v/>
      </c>
      <c r="H24" s="32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</c>
      <c r="I24" s="7">
        <f>IF(OR(H23="",'实盘净值数据(iFinD公式)'!$A24="",'实盘净值数据(iFinD公式)'!$B24=""),"",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-1)</f>
      </c>
      <c r="J24" s="7" t="str">
        <f>IF(H24="","",H24/MAX(H$5:H24)-1)</f>
        <v/>
      </c>
      <c r="K24" s="32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</c>
      <c r="L24" s="7">
        <f>IF(OR(K23="",'实盘净值数据(iFinD公式)'!$A24="",'实盘净值数据(iFinD公式)'!$B24=""),"",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-1)</f>
      </c>
      <c r="M24" s="7" t="str">
        <f>IF(K24="","",K24/MAX(K$5:K24)-1)</f>
        <v/>
      </c>
      <c r="N24" s="32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</c>
      <c r="O24" s="7">
        <f>IF(OR(N23="",'实盘净值数据(iFinD公式)'!$A24="",'实盘净值数据(iFinD公式)'!$B24=""),"",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-1)</f>
      </c>
      <c r="P24" s="7" t="str">
        <f>IF(N24="","",N24/MAX(N$5:N24)-1)</f>
        <v/>
      </c>
      <c r="Q24" s="32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</c>
      <c r="R24" s="7">
        <f>IF(OR(Q23="",'实盘净值数据(iFinD公式)'!$A24="",'实盘净值数据(iFinD公式)'!$B24=""),"",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-1)</f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</c>
      <c r="C25" s="7">
        <f>IF(OR(B24="",'实盘净值数据(iFinD公式)'!$A25="",'实盘净值数据(iFinD公式)'!$B25=""),"",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-1)</f>
      </c>
      <c r="D25" s="7" t="str">
        <f>IF(B25="","",B25/MAX(B$5:B25)-1)</f>
        <v/>
      </c>
      <c r="E25" s="32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</c>
      <c r="F25" s="7">
        <f>IF(OR(E24="",'实盘净值数据(iFinD公式)'!$A25="",'实盘净值数据(iFinD公式)'!$B25=""),"",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-1)</f>
      </c>
      <c r="G25" s="7" t="str">
        <f>IF(E25="","",E25/MAX(E$5:E25)-1)</f>
        <v/>
      </c>
      <c r="H25" s="32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</c>
      <c r="I25" s="7">
        <f>IF(OR(H24="",'实盘净值数据(iFinD公式)'!$A25="",'实盘净值数据(iFinD公式)'!$B25=""),"",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-1)</f>
      </c>
      <c r="J25" s="7" t="str">
        <f>IF(H25="","",H25/MAX(H$5:H25)-1)</f>
        <v/>
      </c>
      <c r="K25" s="32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</c>
      <c r="L25" s="7">
        <f>IF(OR(K24="",'实盘净值数据(iFinD公式)'!$A25="",'实盘净值数据(iFinD公式)'!$B25=""),"",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-1)</f>
      </c>
      <c r="M25" s="7" t="str">
        <f>IF(K25="","",K25/MAX(K$5:K25)-1)</f>
        <v/>
      </c>
      <c r="N25" s="32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</c>
      <c r="O25" s="7">
        <f>IF(OR(N24="",'实盘净值数据(iFinD公式)'!$A25="",'实盘净值数据(iFinD公式)'!$B25=""),"",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-1)</f>
      </c>
      <c r="P25" s="7" t="str">
        <f>IF(N25="","",N25/MAX(N$5:N25)-1)</f>
        <v/>
      </c>
      <c r="Q25" s="32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</c>
      <c r="R25" s="7">
        <f>IF(OR(Q24="",'实盘净值数据(iFinD公式)'!$A25="",'实盘净值数据(iFinD公式)'!$B25=""),"",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-1)</f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</c>
      <c r="C26" s="7">
        <f>IF(OR(B25="",'实盘净值数据(iFinD公式)'!$A26="",'实盘净值数据(iFinD公式)'!$B26=""),"",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-1)</f>
      </c>
      <c r="D26" s="7" t="str">
        <f>IF(B26="","",B26/MAX(B$5:B26)-1)</f>
        <v/>
      </c>
      <c r="E26" s="32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</c>
      <c r="F26" s="7">
        <f>IF(OR(E25="",'实盘净值数据(iFinD公式)'!$A26="",'实盘净值数据(iFinD公式)'!$B26=""),"",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-1)</f>
      </c>
      <c r="G26" s="7" t="str">
        <f>IF(E26="","",E26/MAX(E$5:E26)-1)</f>
        <v/>
      </c>
      <c r="H26" s="32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</c>
      <c r="I26" s="7">
        <f>IF(OR(H25="",'实盘净值数据(iFinD公式)'!$A26="",'实盘净值数据(iFinD公式)'!$B26=""),"",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-1)</f>
      </c>
      <c r="J26" s="7" t="str">
        <f>IF(H26="","",H26/MAX(H$5:H26)-1)</f>
        <v/>
      </c>
      <c r="K26" s="32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</c>
      <c r="L26" s="7">
        <f>IF(OR(K25="",'实盘净值数据(iFinD公式)'!$A26="",'实盘净值数据(iFinD公式)'!$B26=""),"",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-1)</f>
      </c>
      <c r="M26" s="7" t="str">
        <f>IF(K26="","",K26/MAX(K$5:K26)-1)</f>
        <v/>
      </c>
      <c r="N26" s="32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</c>
      <c r="O26" s="7">
        <f>IF(OR(N25="",'实盘净值数据(iFinD公式)'!$A26="",'实盘净值数据(iFinD公式)'!$B26=""),"",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-1)</f>
      </c>
      <c r="P26" s="7" t="str">
        <f>IF(N26="","",N26/MAX(N$5:N26)-1)</f>
        <v/>
      </c>
      <c r="Q26" s="32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</c>
      <c r="R26" s="7">
        <f>IF(OR(Q25="",'实盘净值数据(iFinD公式)'!$A26="",'实盘净值数据(iFinD公式)'!$B26=""),"",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-1)</f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</c>
      <c r="C27" s="7">
        <f>IF(OR(B26="",'实盘净值数据(iFinD公式)'!$A27="",'实盘净值数据(iFinD公式)'!$B27=""),"",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-1)</f>
      </c>
      <c r="D27" s="7" t="str">
        <f>IF(B27="","",B27/MAX(B$5:B27)-1)</f>
        <v/>
      </c>
      <c r="E27" s="32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</c>
      <c r="F27" s="7">
        <f>IF(OR(E26="",'实盘净值数据(iFinD公式)'!$A27="",'实盘净值数据(iFinD公式)'!$B27=""),"",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-1)</f>
      </c>
      <c r="G27" s="7" t="str">
        <f>IF(E27="","",E27/MAX(E$5:E27)-1)</f>
        <v/>
      </c>
      <c r="H27" s="32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</c>
      <c r="I27" s="7">
        <f>IF(OR(H26="",'实盘净值数据(iFinD公式)'!$A27="",'实盘净值数据(iFinD公式)'!$B27=""),"",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-1)</f>
      </c>
      <c r="J27" s="7" t="str">
        <f>IF(H27="","",H27/MAX(H$5:H27)-1)</f>
        <v/>
      </c>
      <c r="K27" s="32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</c>
      <c r="L27" s="7">
        <f>IF(OR(K26="",'实盘净值数据(iFinD公式)'!$A27="",'实盘净值数据(iFinD公式)'!$B27=""),"",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-1)</f>
      </c>
      <c r="M27" s="7" t="str">
        <f>IF(K27="","",K27/MAX(K$5:K27)-1)</f>
        <v/>
      </c>
      <c r="N27" s="32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</c>
      <c r="O27" s="7">
        <f>IF(OR(N26="",'实盘净值数据(iFinD公式)'!$A27="",'实盘净值数据(iFinD公式)'!$B27=""),"",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-1)</f>
      </c>
      <c r="P27" s="7" t="str">
        <f>IF(N27="","",N27/MAX(N$5:N27)-1)</f>
        <v/>
      </c>
      <c r="Q27" s="32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</c>
      <c r="R27" s="7">
        <f>IF(OR(Q26="",'实盘净值数据(iFinD公式)'!$A27="",'实盘净值数据(iFinD公式)'!$B27=""),"",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-1)</f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</c>
      <c r="C28" s="7">
        <f>IF(OR(B27="",'实盘净值数据(iFinD公式)'!$A28="",'实盘净值数据(iFinD公式)'!$B28=""),"",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-1)</f>
      </c>
      <c r="D28" s="7" t="str">
        <f>IF(B28="","",B28/MAX(B$5:B28)-1)</f>
        <v/>
      </c>
      <c r="E28" s="32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</c>
      <c r="F28" s="7">
        <f>IF(OR(E27="",'实盘净值数据(iFinD公式)'!$A28="",'实盘净值数据(iFinD公式)'!$B28=""),"",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-1)</f>
      </c>
      <c r="G28" s="7" t="str">
        <f>IF(E28="","",E28/MAX(E$5:E28)-1)</f>
        <v/>
      </c>
      <c r="H28" s="32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</c>
      <c r="I28" s="7">
        <f>IF(OR(H27="",'实盘净值数据(iFinD公式)'!$A28="",'实盘净值数据(iFinD公式)'!$B28=""),"",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-1)</f>
      </c>
      <c r="J28" s="7" t="str">
        <f>IF(H28="","",H28/MAX(H$5:H28)-1)</f>
        <v/>
      </c>
      <c r="K28" s="32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</c>
      <c r="L28" s="7">
        <f>IF(OR(K27="",'实盘净值数据(iFinD公式)'!$A28="",'实盘净值数据(iFinD公式)'!$B28=""),"",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-1)</f>
      </c>
      <c r="M28" s="7" t="str">
        <f>IF(K28="","",K28/MAX(K$5:K28)-1)</f>
        <v/>
      </c>
      <c r="N28" s="32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</c>
      <c r="O28" s="7">
        <f>IF(OR(N27="",'实盘净值数据(iFinD公式)'!$A28="",'实盘净值数据(iFinD公式)'!$B28=""),"",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-1)</f>
      </c>
      <c r="P28" s="7" t="str">
        <f>IF(N28="","",N28/MAX(N$5:N28)-1)</f>
        <v/>
      </c>
      <c r="Q28" s="32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</c>
      <c r="R28" s="7">
        <f>IF(OR(Q27="",'实盘净值数据(iFinD公式)'!$A28="",'实盘净值数据(iFinD公式)'!$B28=""),"",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-1)</f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</c>
      <c r="C29" s="7">
        <f>IF(OR(B28="",'实盘净值数据(iFinD公式)'!$A29="",'实盘净值数据(iFinD公式)'!$B29=""),"",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-1)</f>
      </c>
      <c r="D29" s="7" t="str">
        <f>IF(B29="","",B29/MAX(B$5:B29)-1)</f>
        <v/>
      </c>
      <c r="E29" s="32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</c>
      <c r="F29" s="7">
        <f>IF(OR(E28="",'实盘净值数据(iFinD公式)'!$A29="",'实盘净值数据(iFinD公式)'!$B29=""),"",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-1)</f>
      </c>
      <c r="G29" s="7" t="str">
        <f>IF(E29="","",E29/MAX(E$5:E29)-1)</f>
        <v/>
      </c>
      <c r="H29" s="32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</c>
      <c r="I29" s="7">
        <f>IF(OR(H28="",'实盘净值数据(iFinD公式)'!$A29="",'实盘净值数据(iFinD公式)'!$B29=""),"",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-1)</f>
      </c>
      <c r="J29" s="7" t="str">
        <f>IF(H29="","",H29/MAX(H$5:H29)-1)</f>
        <v/>
      </c>
      <c r="K29" s="32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</c>
      <c r="L29" s="7">
        <f>IF(OR(K28="",'实盘净值数据(iFinD公式)'!$A29="",'实盘净值数据(iFinD公式)'!$B29=""),"",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-1)</f>
      </c>
      <c r="M29" s="7" t="str">
        <f>IF(K29="","",K29/MAX(K$5:K29)-1)</f>
        <v/>
      </c>
      <c r="N29" s="32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</c>
      <c r="O29" s="7">
        <f>IF(OR(N28="",'实盘净值数据(iFinD公式)'!$A29="",'实盘净值数据(iFinD公式)'!$B29=""),"",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-1)</f>
      </c>
      <c r="P29" s="7" t="str">
        <f>IF(N29="","",N29/MAX(N$5:N29)-1)</f>
        <v/>
      </c>
      <c r="Q29" s="32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</c>
      <c r="R29" s="7">
        <f>IF(OR(Q28="",'实盘净值数据(iFinD公式)'!$A29="",'实盘净值数据(iFinD公式)'!$B29=""),"",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-1)</f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</c>
      <c r="C30" s="7">
        <f>IF(OR(B29="",'实盘净值数据(iFinD公式)'!$A30="",'实盘净值数据(iFinD公式)'!$B30=""),"",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-1)</f>
      </c>
      <c r="D30" s="7" t="str">
        <f>IF(B30="","",B30/MAX(B$5:B30)-1)</f>
        <v/>
      </c>
      <c r="E30" s="32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</c>
      <c r="F30" s="7">
        <f>IF(OR(E29="",'实盘净值数据(iFinD公式)'!$A30="",'实盘净值数据(iFinD公式)'!$B30=""),"",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-1)</f>
      </c>
      <c r="G30" s="7" t="str">
        <f>IF(E30="","",E30/MAX(E$5:E30)-1)</f>
        <v/>
      </c>
      <c r="H30" s="32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</c>
      <c r="I30" s="7">
        <f>IF(OR(H29="",'实盘净值数据(iFinD公式)'!$A30="",'实盘净值数据(iFinD公式)'!$B30=""),"",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-1)</f>
      </c>
      <c r="J30" s="7" t="str">
        <f>IF(H30="","",H30/MAX(H$5:H30)-1)</f>
        <v/>
      </c>
      <c r="K30" s="32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</c>
      <c r="L30" s="7">
        <f>IF(OR(K29="",'实盘净值数据(iFinD公式)'!$A30="",'实盘净值数据(iFinD公式)'!$B30=""),"",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-1)</f>
      </c>
      <c r="M30" s="7" t="str">
        <f>IF(K30="","",K30/MAX(K$5:K30)-1)</f>
        <v/>
      </c>
      <c r="N30" s="32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</c>
      <c r="O30" s="7">
        <f>IF(OR(N29="",'实盘净值数据(iFinD公式)'!$A30="",'实盘净值数据(iFinD公式)'!$B30=""),"",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-1)</f>
      </c>
      <c r="P30" s="7" t="str">
        <f>IF(N30="","",N30/MAX(N$5:N30)-1)</f>
        <v/>
      </c>
      <c r="Q30" s="32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</c>
      <c r="R30" s="7">
        <f>IF(OR(Q29="",'实盘净值数据(iFinD公式)'!$A30="",'实盘净值数据(iFinD公式)'!$B30=""),"",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-1)</f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</c>
      <c r="C31" s="7">
        <f>IF(OR(B30="",'实盘净值数据(iFinD公式)'!$A31="",'实盘净值数据(iFinD公式)'!$B31=""),"",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-1)</f>
      </c>
      <c r="D31" s="7" t="str">
        <f>IF(B31="","",B31/MAX(B$5:B31)-1)</f>
        <v/>
      </c>
      <c r="E31" s="32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</c>
      <c r="F31" s="7">
        <f>IF(OR(E30="",'实盘净值数据(iFinD公式)'!$A31="",'实盘净值数据(iFinD公式)'!$B31=""),"",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-1)</f>
      </c>
      <c r="G31" s="7" t="str">
        <f>IF(E31="","",E31/MAX(E$5:E31)-1)</f>
        <v/>
      </c>
      <c r="H31" s="32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</c>
      <c r="I31" s="7">
        <f>IF(OR(H30="",'实盘净值数据(iFinD公式)'!$A31="",'实盘净值数据(iFinD公式)'!$B31=""),"",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-1)</f>
      </c>
      <c r="J31" s="7" t="str">
        <f>IF(H31="","",H31/MAX(H$5:H31)-1)</f>
        <v/>
      </c>
      <c r="K31" s="32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</c>
      <c r="L31" s="7">
        <f>IF(OR(K30="",'实盘净值数据(iFinD公式)'!$A31="",'实盘净值数据(iFinD公式)'!$B31=""),"",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-1)</f>
      </c>
      <c r="M31" s="7" t="str">
        <f>IF(K31="","",K31/MAX(K$5:K31)-1)</f>
        <v/>
      </c>
      <c r="N31" s="32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</c>
      <c r="O31" s="7">
        <f>IF(OR(N30="",'实盘净值数据(iFinD公式)'!$A31="",'实盘净值数据(iFinD公式)'!$B31=""),"",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-1)</f>
      </c>
      <c r="P31" s="7" t="str">
        <f>IF(N31="","",N31/MAX(N$5:N31)-1)</f>
        <v/>
      </c>
      <c r="Q31" s="32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</c>
      <c r="R31" s="7">
        <f>IF(OR(Q30="",'实盘净值数据(iFinD公式)'!$A31="",'实盘净值数据(iFinD公式)'!$B31=""),"",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-1)</f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</c>
      <c r="C32" s="7">
        <f>IF(OR(B31="",'实盘净值数据(iFinD公式)'!$A32="",'实盘净值数据(iFinD公式)'!$B32=""),"",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-1)</f>
      </c>
      <c r="D32" s="7" t="str">
        <f>IF(B32="","",B32/MAX(B$5:B32)-1)</f>
        <v/>
      </c>
      <c r="E32" s="32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</c>
      <c r="F32" s="7">
        <f>IF(OR(E31="",'实盘净值数据(iFinD公式)'!$A32="",'实盘净值数据(iFinD公式)'!$B32=""),"",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-1)</f>
      </c>
      <c r="G32" s="7" t="str">
        <f>IF(E32="","",E32/MAX(E$5:E32)-1)</f>
        <v/>
      </c>
      <c r="H32" s="32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</c>
      <c r="I32" s="7">
        <f>IF(OR(H31="",'实盘净值数据(iFinD公式)'!$A32="",'实盘净值数据(iFinD公式)'!$B32=""),"",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-1)</f>
      </c>
      <c r="J32" s="7" t="str">
        <f>IF(H32="","",H32/MAX(H$5:H32)-1)</f>
        <v/>
      </c>
      <c r="K32" s="32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</c>
      <c r="L32" s="7">
        <f>IF(OR(K31="",'实盘净值数据(iFinD公式)'!$A32="",'实盘净值数据(iFinD公式)'!$B32=""),"",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-1)</f>
      </c>
      <c r="M32" s="7" t="str">
        <f>IF(K32="","",K32/MAX(K$5:K32)-1)</f>
        <v/>
      </c>
      <c r="N32" s="32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</c>
      <c r="O32" s="7">
        <f>IF(OR(N31="",'实盘净值数据(iFinD公式)'!$A32="",'实盘净值数据(iFinD公式)'!$B32=""),"",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-1)</f>
      </c>
      <c r="P32" s="7" t="str">
        <f>IF(N32="","",N32/MAX(N$5:N32)-1)</f>
        <v/>
      </c>
      <c r="Q32" s="32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</c>
      <c r="R32" s="7">
        <f>IF(OR(Q31="",'实盘净值数据(iFinD公式)'!$A32="",'实盘净值数据(iFinD公式)'!$B32=""),"",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-1)</f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</c>
      <c r="C33" s="7">
        <f>IF(OR(B32="",'实盘净值数据(iFinD公式)'!$A33="",'实盘净值数据(iFinD公式)'!$B33=""),"",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-1)</f>
      </c>
      <c r="D33" s="7" t="str">
        <f>IF(B33="","",B33/MAX(B$5:B33)-1)</f>
        <v/>
      </c>
      <c r="E33" s="32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</c>
      <c r="F33" s="7">
        <f>IF(OR(E32="",'实盘净值数据(iFinD公式)'!$A33="",'实盘净值数据(iFinD公式)'!$B33=""),"",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-1)</f>
      </c>
      <c r="G33" s="7" t="str">
        <f>IF(E33="","",E33/MAX(E$5:E33)-1)</f>
        <v/>
      </c>
      <c r="H33" s="32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</c>
      <c r="I33" s="7">
        <f>IF(OR(H32="",'实盘净值数据(iFinD公式)'!$A33="",'实盘净值数据(iFinD公式)'!$B33=""),"",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-1)</f>
      </c>
      <c r="J33" s="7" t="str">
        <f>IF(H33="","",H33/MAX(H$5:H33)-1)</f>
        <v/>
      </c>
      <c r="K33" s="32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</c>
      <c r="L33" s="7">
        <f>IF(OR(K32="",'实盘净值数据(iFinD公式)'!$A33="",'实盘净值数据(iFinD公式)'!$B33=""),"",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-1)</f>
      </c>
      <c r="M33" s="7" t="str">
        <f>IF(K33="","",K33/MAX(K$5:K33)-1)</f>
        <v/>
      </c>
      <c r="N33" s="32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</c>
      <c r="O33" s="7">
        <f>IF(OR(N32="",'实盘净值数据(iFinD公式)'!$A33="",'实盘净值数据(iFinD公式)'!$B33=""),"",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-1)</f>
      </c>
      <c r="P33" s="7" t="str">
        <f>IF(N33="","",N33/MAX(N$5:N33)-1)</f>
        <v/>
      </c>
      <c r="Q33" s="32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</c>
      <c r="R33" s="7">
        <f>IF(OR(Q32="",'实盘净值数据(iFinD公式)'!$A33="",'实盘净值数据(iFinD公式)'!$B33=""),"",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-1)</f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</c>
      <c r="C34" s="7">
        <f>IF(OR(B33="",'实盘净值数据(iFinD公式)'!$A34="",'实盘净值数据(iFinD公式)'!$B34=""),"",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-1)</f>
      </c>
      <c r="D34" s="7" t="str">
        <f>IF(B34="","",B34/MAX(B$5:B34)-1)</f>
        <v/>
      </c>
      <c r="E34" s="32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</c>
      <c r="F34" s="7">
        <f>IF(OR(E33="",'实盘净值数据(iFinD公式)'!$A34="",'实盘净值数据(iFinD公式)'!$B34=""),"",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-1)</f>
      </c>
      <c r="G34" s="7" t="str">
        <f>IF(E34="","",E34/MAX(E$5:E34)-1)</f>
        <v/>
      </c>
      <c r="H34" s="32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</c>
      <c r="I34" s="7">
        <f>IF(OR(H33="",'实盘净值数据(iFinD公式)'!$A34="",'实盘净值数据(iFinD公式)'!$B34=""),"",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-1)</f>
      </c>
      <c r="J34" s="7" t="str">
        <f>IF(H34="","",H34/MAX(H$5:H34)-1)</f>
        <v/>
      </c>
      <c r="K34" s="32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</c>
      <c r="L34" s="7">
        <f>IF(OR(K33="",'实盘净值数据(iFinD公式)'!$A34="",'实盘净值数据(iFinD公式)'!$B34=""),"",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-1)</f>
      </c>
      <c r="M34" s="7" t="str">
        <f>IF(K34="","",K34/MAX(K$5:K34)-1)</f>
        <v/>
      </c>
      <c r="N34" s="32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</c>
      <c r="O34" s="7">
        <f>IF(OR(N33="",'实盘净值数据(iFinD公式)'!$A34="",'实盘净值数据(iFinD公式)'!$B34=""),"",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-1)</f>
      </c>
      <c r="P34" s="7" t="str">
        <f>IF(N34="","",N34/MAX(N$5:N34)-1)</f>
        <v/>
      </c>
      <c r="Q34" s="32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</c>
      <c r="R34" s="7">
        <f>IF(OR(Q33="",'实盘净值数据(iFinD公式)'!$A34="",'实盘净值数据(iFinD公式)'!$B34=""),"",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-1)</f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</c>
      <c r="C35" s="7">
        <f>IF(OR(B34="",'实盘净值数据(iFinD公式)'!$A35="",'实盘净值数据(iFinD公式)'!$B35=""),"",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-1)</f>
      </c>
      <c r="D35" s="7" t="str">
        <f>IF(B35="","",B35/MAX(B$5:B35)-1)</f>
        <v/>
      </c>
      <c r="E35" s="32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</c>
      <c r="F35" s="7">
        <f>IF(OR(E34="",'实盘净值数据(iFinD公式)'!$A35="",'实盘净值数据(iFinD公式)'!$B35=""),"",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-1)</f>
      </c>
      <c r="G35" s="7" t="str">
        <f>IF(E35="","",E35/MAX(E$5:E35)-1)</f>
        <v/>
      </c>
      <c r="H35" s="32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</c>
      <c r="I35" s="7">
        <f>IF(OR(H34="",'实盘净值数据(iFinD公式)'!$A35="",'实盘净值数据(iFinD公式)'!$B35=""),"",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-1)</f>
      </c>
      <c r="J35" s="7" t="str">
        <f>IF(H35="","",H35/MAX(H$5:H35)-1)</f>
        <v/>
      </c>
      <c r="K35" s="32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</c>
      <c r="L35" s="7">
        <f>IF(OR(K34="",'实盘净值数据(iFinD公式)'!$A35="",'实盘净值数据(iFinD公式)'!$B35=""),"",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-1)</f>
      </c>
      <c r="M35" s="7" t="str">
        <f>IF(K35="","",K35/MAX(K$5:K35)-1)</f>
        <v/>
      </c>
      <c r="N35" s="32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</c>
      <c r="O35" s="7">
        <f>IF(OR(N34="",'实盘净值数据(iFinD公式)'!$A35="",'实盘净值数据(iFinD公式)'!$B35=""),"",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-1)</f>
      </c>
      <c r="P35" s="7" t="str">
        <f>IF(N35="","",N35/MAX(N$5:N35)-1)</f>
        <v/>
      </c>
      <c r="Q35" s="32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</c>
      <c r="R35" s="7">
        <f>IF(OR(Q34="",'实盘净值数据(iFinD公式)'!$A35="",'实盘净值数据(iFinD公式)'!$B35=""),"",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-1)</f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</c>
      <c r="C36" s="7">
        <f>IF(OR(B35="",'实盘净值数据(iFinD公式)'!$A36="",'实盘净值数据(iFinD公式)'!$B36=""),"",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-1)</f>
      </c>
      <c r="D36" s="7" t="str">
        <f>IF(B36="","",B36/MAX(B$5:B36)-1)</f>
        <v/>
      </c>
      <c r="E36" s="32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</c>
      <c r="F36" s="7">
        <f>IF(OR(E35="",'实盘净值数据(iFinD公式)'!$A36="",'实盘净值数据(iFinD公式)'!$B36=""),"",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-1)</f>
      </c>
      <c r="G36" s="7" t="str">
        <f>IF(E36="","",E36/MAX(E$5:E36)-1)</f>
        <v/>
      </c>
      <c r="H36" s="32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</c>
      <c r="I36" s="7">
        <f>IF(OR(H35="",'实盘净值数据(iFinD公式)'!$A36="",'实盘净值数据(iFinD公式)'!$B36=""),"",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-1)</f>
      </c>
      <c r="J36" s="7" t="str">
        <f>IF(H36="","",H36/MAX(H$5:H36)-1)</f>
        <v/>
      </c>
      <c r="K36" s="32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</c>
      <c r="L36" s="7">
        <f>IF(OR(K35="",'实盘净值数据(iFinD公式)'!$A36="",'实盘净值数据(iFinD公式)'!$B36=""),"",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-1)</f>
      </c>
      <c r="M36" s="7" t="str">
        <f>IF(K36="","",K36/MAX(K$5:K36)-1)</f>
        <v/>
      </c>
      <c r="N36" s="32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</c>
      <c r="O36" s="7">
        <f>IF(OR(N35="",'实盘净值数据(iFinD公式)'!$A36="",'实盘净值数据(iFinD公式)'!$B36=""),"",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-1)</f>
      </c>
      <c r="P36" s="7" t="str">
        <f>IF(N36="","",N36/MAX(N$5:N36)-1)</f>
        <v/>
      </c>
      <c r="Q36" s="32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</c>
      <c r="R36" s="7">
        <f>IF(OR(Q35="",'实盘净值数据(iFinD公式)'!$A36="",'实盘净值数据(iFinD公式)'!$B36=""),"",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-1)</f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</c>
      <c r="C37" s="7">
        <f>IF(OR(B36="",'实盘净值数据(iFinD公式)'!$A37="",'实盘净值数据(iFinD公式)'!$B37=""),"",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-1)</f>
      </c>
      <c r="D37" s="7" t="str">
        <f>IF(B37="","",B37/MAX(B$5:B37)-1)</f>
        <v/>
      </c>
      <c r="E37" s="32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</c>
      <c r="F37" s="7">
        <f>IF(OR(E36="",'实盘净值数据(iFinD公式)'!$A37="",'实盘净值数据(iFinD公式)'!$B37=""),"",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-1)</f>
      </c>
      <c r="G37" s="7" t="str">
        <f>IF(E37="","",E37/MAX(E$5:E37)-1)</f>
        <v/>
      </c>
      <c r="H37" s="32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</c>
      <c r="I37" s="7">
        <f>IF(OR(H36="",'实盘净值数据(iFinD公式)'!$A37="",'实盘净值数据(iFinD公式)'!$B37=""),"",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-1)</f>
      </c>
      <c r="J37" s="7" t="str">
        <f>IF(H37="","",H37/MAX(H$5:H37)-1)</f>
        <v/>
      </c>
      <c r="K37" s="32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</c>
      <c r="L37" s="7">
        <f>IF(OR(K36="",'实盘净值数据(iFinD公式)'!$A37="",'实盘净值数据(iFinD公式)'!$B37=""),"",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-1)</f>
      </c>
      <c r="M37" s="7" t="str">
        <f>IF(K37="","",K37/MAX(K$5:K37)-1)</f>
        <v/>
      </c>
      <c r="N37" s="32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</c>
      <c r="O37" s="7">
        <f>IF(OR(N36="",'实盘净值数据(iFinD公式)'!$A37="",'实盘净值数据(iFinD公式)'!$B37=""),"",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-1)</f>
      </c>
      <c r="P37" s="7" t="str">
        <f>IF(N37="","",N37/MAX(N$5:N37)-1)</f>
        <v/>
      </c>
      <c r="Q37" s="32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</c>
      <c r="R37" s="7">
        <f>IF(OR(Q36="",'实盘净值数据(iFinD公式)'!$A37="",'实盘净值数据(iFinD公式)'!$B37=""),"",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-1)</f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</c>
      <c r="C38" s="7">
        <f>IF(OR(B37="",'实盘净值数据(iFinD公式)'!$A38="",'实盘净值数据(iFinD公式)'!$B38=""),"",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-1)</f>
      </c>
      <c r="D38" s="7" t="str">
        <f>IF(B38="","",B38/MAX(B$5:B38)-1)</f>
        <v/>
      </c>
      <c r="E38" s="32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</c>
      <c r="F38" s="7">
        <f>IF(OR(E37="",'实盘净值数据(iFinD公式)'!$A38="",'实盘净值数据(iFinD公式)'!$B38=""),"",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-1)</f>
      </c>
      <c r="G38" s="7" t="str">
        <f>IF(E38="","",E38/MAX(E$5:E38)-1)</f>
        <v/>
      </c>
      <c r="H38" s="32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</c>
      <c r="I38" s="7">
        <f>IF(OR(H37="",'实盘净值数据(iFinD公式)'!$A38="",'实盘净值数据(iFinD公式)'!$B38=""),"",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-1)</f>
      </c>
      <c r="J38" s="7" t="str">
        <f>IF(H38="","",H38/MAX(H$5:H38)-1)</f>
        <v/>
      </c>
      <c r="K38" s="32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</c>
      <c r="L38" s="7">
        <f>IF(OR(K37="",'实盘净值数据(iFinD公式)'!$A38="",'实盘净值数据(iFinD公式)'!$B38=""),"",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-1)</f>
      </c>
      <c r="M38" s="7" t="str">
        <f>IF(K38="","",K38/MAX(K$5:K38)-1)</f>
        <v/>
      </c>
      <c r="N38" s="32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</c>
      <c r="O38" s="7">
        <f>IF(OR(N37="",'实盘净值数据(iFinD公式)'!$A38="",'实盘净值数据(iFinD公式)'!$B38=""),"",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-1)</f>
      </c>
      <c r="P38" s="7" t="str">
        <f>IF(N38="","",N38/MAX(N$5:N38)-1)</f>
        <v/>
      </c>
      <c r="Q38" s="32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</c>
      <c r="R38" s="7">
        <f>IF(OR(Q37="",'实盘净值数据(iFinD公式)'!$A38="",'实盘净值数据(iFinD公式)'!$B38=""),"",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-1)</f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</c>
      <c r="C39" s="7">
        <f>IF(OR(B38="",'实盘净值数据(iFinD公式)'!$A39="",'实盘净值数据(iFinD公式)'!$B39=""),"",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-1)</f>
      </c>
      <c r="D39" s="7" t="str">
        <f>IF(B39="","",B39/MAX(B$5:B39)-1)</f>
        <v/>
      </c>
      <c r="E39" s="32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</c>
      <c r="F39" s="7">
        <f>IF(OR(E38="",'实盘净值数据(iFinD公式)'!$A39="",'实盘净值数据(iFinD公式)'!$B39=""),"",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-1)</f>
      </c>
      <c r="G39" s="7" t="str">
        <f>IF(E39="","",E39/MAX(E$5:E39)-1)</f>
        <v/>
      </c>
      <c r="H39" s="32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</c>
      <c r="I39" s="7">
        <f>IF(OR(H38="",'实盘净值数据(iFinD公式)'!$A39="",'实盘净值数据(iFinD公式)'!$B39=""),"",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-1)</f>
      </c>
      <c r="J39" s="7" t="str">
        <f>IF(H39="","",H39/MAX(H$5:H39)-1)</f>
        <v/>
      </c>
      <c r="K39" s="32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</c>
      <c r="L39" s="7">
        <f>IF(OR(K38="",'实盘净值数据(iFinD公式)'!$A39="",'实盘净值数据(iFinD公式)'!$B39=""),"",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-1)</f>
      </c>
      <c r="M39" s="7" t="str">
        <f>IF(K39="","",K39/MAX(K$5:K39)-1)</f>
        <v/>
      </c>
      <c r="N39" s="32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</c>
      <c r="O39" s="7">
        <f>IF(OR(N38="",'实盘净值数据(iFinD公式)'!$A39="",'实盘净值数据(iFinD公式)'!$B39=""),"",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-1)</f>
      </c>
      <c r="P39" s="7" t="str">
        <f>IF(N39="","",N39/MAX(N$5:N39)-1)</f>
        <v/>
      </c>
      <c r="Q39" s="32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</c>
      <c r="R39" s="7">
        <f>IF(OR(Q38="",'实盘净值数据(iFinD公式)'!$A39="",'实盘净值数据(iFinD公式)'!$B39=""),"",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-1)</f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</c>
      <c r="C40" s="7">
        <f>IF(OR(B39="",'实盘净值数据(iFinD公式)'!$A40="",'实盘净值数据(iFinD公式)'!$B40=""),"",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-1)</f>
      </c>
      <c r="D40" s="7" t="str">
        <f>IF(B40="","",B40/MAX(B$5:B40)-1)</f>
        <v/>
      </c>
      <c r="E40" s="32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</c>
      <c r="F40" s="7">
        <f>IF(OR(E39="",'实盘净值数据(iFinD公式)'!$A40="",'实盘净值数据(iFinD公式)'!$B40=""),"",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-1)</f>
      </c>
      <c r="G40" s="7" t="str">
        <f>IF(E40="","",E40/MAX(E$5:E40)-1)</f>
        <v/>
      </c>
      <c r="H40" s="32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</c>
      <c r="I40" s="7">
        <f>IF(OR(H39="",'实盘净值数据(iFinD公式)'!$A40="",'实盘净值数据(iFinD公式)'!$B40=""),"",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-1)</f>
      </c>
      <c r="J40" s="7" t="str">
        <f>IF(H40="","",H40/MAX(H$5:H40)-1)</f>
        <v/>
      </c>
      <c r="K40" s="32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</c>
      <c r="L40" s="7">
        <f>IF(OR(K39="",'实盘净值数据(iFinD公式)'!$A40="",'实盘净值数据(iFinD公式)'!$B40=""),"",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-1)</f>
      </c>
      <c r="M40" s="7" t="str">
        <f>IF(K40="","",K40/MAX(K$5:K40)-1)</f>
        <v/>
      </c>
      <c r="N40" s="32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</c>
      <c r="O40" s="7">
        <f>IF(OR(N39="",'实盘净值数据(iFinD公式)'!$A40="",'实盘净值数据(iFinD公式)'!$B40=""),"",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-1)</f>
      </c>
      <c r="P40" s="7" t="str">
        <f>IF(N40="","",N40/MAX(N$5:N40)-1)</f>
        <v/>
      </c>
      <c r="Q40" s="32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</c>
      <c r="R40" s="7">
        <f>IF(OR(Q39="",'实盘净值数据(iFinD公式)'!$A40="",'实盘净值数据(iFinD公式)'!$B40=""),"",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-1)</f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</c>
      <c r="C41" s="7">
        <f>IF(OR(B40="",'实盘净值数据(iFinD公式)'!$A41="",'实盘净值数据(iFinD公式)'!$B41=""),"",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-1)</f>
      </c>
      <c r="D41" s="7" t="str">
        <f>IF(B41="","",B41/MAX(B$5:B41)-1)</f>
        <v/>
      </c>
      <c r="E41" s="32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</c>
      <c r="F41" s="7">
        <f>IF(OR(E40="",'实盘净值数据(iFinD公式)'!$A41="",'实盘净值数据(iFinD公式)'!$B41=""),"",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-1)</f>
      </c>
      <c r="G41" s="7" t="str">
        <f>IF(E41="","",E41/MAX(E$5:E41)-1)</f>
        <v/>
      </c>
      <c r="H41" s="32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</c>
      <c r="I41" s="7">
        <f>IF(OR(H40="",'实盘净值数据(iFinD公式)'!$A41="",'实盘净值数据(iFinD公式)'!$B41=""),"",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-1)</f>
      </c>
      <c r="J41" s="7" t="str">
        <f>IF(H41="","",H41/MAX(H$5:H41)-1)</f>
        <v/>
      </c>
      <c r="K41" s="32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</c>
      <c r="L41" s="7">
        <f>IF(OR(K40="",'实盘净值数据(iFinD公式)'!$A41="",'实盘净值数据(iFinD公式)'!$B41=""),"",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-1)</f>
      </c>
      <c r="M41" s="7" t="str">
        <f>IF(K41="","",K41/MAX(K$5:K41)-1)</f>
        <v/>
      </c>
      <c r="N41" s="32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</c>
      <c r="O41" s="7">
        <f>IF(OR(N40="",'实盘净值数据(iFinD公式)'!$A41="",'实盘净值数据(iFinD公式)'!$B41=""),"",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-1)</f>
      </c>
      <c r="P41" s="7" t="str">
        <f>IF(N41="","",N41/MAX(N$5:N41)-1)</f>
        <v/>
      </c>
      <c r="Q41" s="32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</c>
      <c r="R41" s="7">
        <f>IF(OR(Q40="",'实盘净值数据(iFinD公式)'!$A41="",'实盘净值数据(iFinD公式)'!$B41=""),"",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-1)</f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</c>
      <c r="C42" s="7">
        <f>IF(OR(B41="",'实盘净值数据(iFinD公式)'!$A42="",'实盘净值数据(iFinD公式)'!$B42=""),"",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-1)</f>
      </c>
      <c r="D42" s="7" t="str">
        <f>IF(B42="","",B42/MAX(B$5:B42)-1)</f>
        <v/>
      </c>
      <c r="E42" s="32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</c>
      <c r="F42" s="7">
        <f>IF(OR(E41="",'实盘净值数据(iFinD公式)'!$A42="",'实盘净值数据(iFinD公式)'!$B42=""),"",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-1)</f>
      </c>
      <c r="G42" s="7" t="str">
        <f>IF(E42="","",E42/MAX(E$5:E42)-1)</f>
        <v/>
      </c>
      <c r="H42" s="32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</c>
      <c r="I42" s="7">
        <f>IF(OR(H41="",'实盘净值数据(iFinD公式)'!$A42="",'实盘净值数据(iFinD公式)'!$B42=""),"",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-1)</f>
      </c>
      <c r="J42" s="7" t="str">
        <f>IF(H42="","",H42/MAX(H$5:H42)-1)</f>
        <v/>
      </c>
      <c r="K42" s="32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</c>
      <c r="L42" s="7">
        <f>IF(OR(K41="",'实盘净值数据(iFinD公式)'!$A42="",'实盘净值数据(iFinD公式)'!$B42=""),"",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-1)</f>
      </c>
      <c r="M42" s="7" t="str">
        <f>IF(K42="","",K42/MAX(K$5:K42)-1)</f>
        <v/>
      </c>
      <c r="N42" s="32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</c>
      <c r="O42" s="7">
        <f>IF(OR(N41="",'实盘净值数据(iFinD公式)'!$A42="",'实盘净值数据(iFinD公式)'!$B42=""),"",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-1)</f>
      </c>
      <c r="P42" s="7" t="str">
        <f>IF(N42="","",N42/MAX(N$5:N42)-1)</f>
        <v/>
      </c>
      <c r="Q42" s="32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</c>
      <c r="R42" s="7">
        <f>IF(OR(Q41="",'实盘净值数据(iFinD公式)'!$A42="",'实盘净值数据(iFinD公式)'!$B42=""),"",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-1)</f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</c>
      <c r="C43" s="7">
        <f>IF(OR(B42="",'实盘净值数据(iFinD公式)'!$A43="",'实盘净值数据(iFinD公式)'!$B43=""),"",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-1)</f>
      </c>
      <c r="D43" s="7" t="str">
        <f>IF(B43="","",B43/MAX(B$5:B43)-1)</f>
        <v/>
      </c>
      <c r="E43" s="32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</c>
      <c r="F43" s="7">
        <f>IF(OR(E42="",'实盘净值数据(iFinD公式)'!$A43="",'实盘净值数据(iFinD公式)'!$B43=""),"",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-1)</f>
      </c>
      <c r="G43" s="7" t="str">
        <f>IF(E43="","",E43/MAX(E$5:E43)-1)</f>
        <v/>
      </c>
      <c r="H43" s="32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</c>
      <c r="I43" s="7">
        <f>IF(OR(H42="",'实盘净值数据(iFinD公式)'!$A43="",'实盘净值数据(iFinD公式)'!$B43=""),"",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-1)</f>
      </c>
      <c r="J43" s="7" t="str">
        <f>IF(H43="","",H43/MAX(H$5:H43)-1)</f>
        <v/>
      </c>
      <c r="K43" s="32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</c>
      <c r="L43" s="7">
        <f>IF(OR(K42="",'实盘净值数据(iFinD公式)'!$A43="",'实盘净值数据(iFinD公式)'!$B43=""),"",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-1)</f>
      </c>
      <c r="M43" s="7" t="str">
        <f>IF(K43="","",K43/MAX(K$5:K43)-1)</f>
        <v/>
      </c>
      <c r="N43" s="32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</c>
      <c r="O43" s="7">
        <f>IF(OR(N42="",'实盘净值数据(iFinD公式)'!$A43="",'实盘净值数据(iFinD公式)'!$B43=""),"",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-1)</f>
      </c>
      <c r="P43" s="7" t="str">
        <f>IF(N43="","",N43/MAX(N$5:N43)-1)</f>
        <v/>
      </c>
      <c r="Q43" s="32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</c>
      <c r="R43" s="7">
        <f>IF(OR(Q42="",'实盘净值数据(iFinD公式)'!$A43="",'实盘净值数据(iFinD公式)'!$B43=""),"",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-1)</f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</c>
      <c r="C44" s="7">
        <f>IF(OR(B43="",'实盘净值数据(iFinD公式)'!$A44="",'实盘净值数据(iFinD公式)'!$B44=""),"",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-1)</f>
      </c>
      <c r="D44" s="7" t="str">
        <f>IF(B44="","",B44/MAX(B$5:B44)-1)</f>
        <v/>
      </c>
      <c r="E44" s="32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</c>
      <c r="F44" s="7">
        <f>IF(OR(E43="",'实盘净值数据(iFinD公式)'!$A44="",'实盘净值数据(iFinD公式)'!$B44=""),"",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-1)</f>
      </c>
      <c r="G44" s="7" t="str">
        <f>IF(E44="","",E44/MAX(E$5:E44)-1)</f>
        <v/>
      </c>
      <c r="H44" s="32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</c>
      <c r="I44" s="7">
        <f>IF(OR(H43="",'实盘净值数据(iFinD公式)'!$A44="",'实盘净值数据(iFinD公式)'!$B44=""),"",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-1)</f>
      </c>
      <c r="J44" s="7" t="str">
        <f>IF(H44="","",H44/MAX(H$5:H44)-1)</f>
        <v/>
      </c>
      <c r="K44" s="32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</c>
      <c r="L44" s="7">
        <f>IF(OR(K43="",'实盘净值数据(iFinD公式)'!$A44="",'实盘净值数据(iFinD公式)'!$B44=""),"",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-1)</f>
      </c>
      <c r="M44" s="7" t="str">
        <f>IF(K44="","",K44/MAX(K$5:K44)-1)</f>
        <v/>
      </c>
      <c r="N44" s="32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</c>
      <c r="O44" s="7">
        <f>IF(OR(N43="",'实盘净值数据(iFinD公式)'!$A44="",'实盘净值数据(iFinD公式)'!$B44=""),"",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-1)</f>
      </c>
      <c r="P44" s="7" t="str">
        <f>IF(N44="","",N44/MAX(N$5:N44)-1)</f>
        <v/>
      </c>
      <c r="Q44" s="32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</c>
      <c r="R44" s="7">
        <f>IF(OR(Q43="",'实盘净值数据(iFinD公式)'!$A44="",'实盘净值数据(iFinD公式)'!$B44=""),"",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-1)</f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</c>
      <c r="C45" s="7">
        <f>IF(OR(B44="",'实盘净值数据(iFinD公式)'!$A45="",'实盘净值数据(iFinD公式)'!$B45=""),"",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-1)</f>
      </c>
      <c r="D45" s="7" t="str">
        <f>IF(B45="","",B45/MAX(B$5:B45)-1)</f>
        <v/>
      </c>
      <c r="E45" s="32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</c>
      <c r="F45" s="7">
        <f>IF(OR(E44="",'实盘净值数据(iFinD公式)'!$A45="",'实盘净值数据(iFinD公式)'!$B45=""),"",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-1)</f>
      </c>
      <c r="G45" s="7" t="str">
        <f>IF(E45="","",E45/MAX(E$5:E45)-1)</f>
        <v/>
      </c>
      <c r="H45" s="32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</c>
      <c r="I45" s="7">
        <f>IF(OR(H44="",'实盘净值数据(iFinD公式)'!$A45="",'实盘净值数据(iFinD公式)'!$B45=""),"",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-1)</f>
      </c>
      <c r="J45" s="7" t="str">
        <f>IF(H45="","",H45/MAX(H$5:H45)-1)</f>
        <v/>
      </c>
      <c r="K45" s="32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</c>
      <c r="L45" s="7">
        <f>IF(OR(K44="",'实盘净值数据(iFinD公式)'!$A45="",'实盘净值数据(iFinD公式)'!$B45=""),"",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-1)</f>
      </c>
      <c r="M45" s="7" t="str">
        <f>IF(K45="","",K45/MAX(K$5:K45)-1)</f>
        <v/>
      </c>
      <c r="N45" s="32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</c>
      <c r="O45" s="7">
        <f>IF(OR(N44="",'实盘净值数据(iFinD公式)'!$A45="",'实盘净值数据(iFinD公式)'!$B45=""),"",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-1)</f>
      </c>
      <c r="P45" s="7" t="str">
        <f>IF(N45="","",N45/MAX(N$5:N45)-1)</f>
        <v/>
      </c>
      <c r="Q45" s="32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</c>
      <c r="R45" s="7">
        <f>IF(OR(Q44="",'实盘净值数据(iFinD公式)'!$A45="",'实盘净值数据(iFinD公式)'!$B45=""),"",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-1)</f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</c>
      <c r="C46" s="7">
        <f>IF(OR(B45="",'实盘净值数据(iFinD公式)'!$A46="",'实盘净值数据(iFinD公式)'!$B46=""),"",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-1)</f>
      </c>
      <c r="D46" s="7" t="str">
        <f>IF(B46="","",B46/MAX(B$5:B46)-1)</f>
        <v/>
      </c>
      <c r="E46" s="32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</c>
      <c r="F46" s="7">
        <f>IF(OR(E45="",'实盘净值数据(iFinD公式)'!$A46="",'实盘净值数据(iFinD公式)'!$B46=""),"",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-1)</f>
      </c>
      <c r="G46" s="7" t="str">
        <f>IF(E46="","",E46/MAX(E$5:E46)-1)</f>
        <v/>
      </c>
      <c r="H46" s="32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</c>
      <c r="I46" s="7">
        <f>IF(OR(H45="",'实盘净值数据(iFinD公式)'!$A46="",'实盘净值数据(iFinD公式)'!$B46=""),"",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-1)</f>
      </c>
      <c r="J46" s="7" t="str">
        <f>IF(H46="","",H46/MAX(H$5:H46)-1)</f>
        <v/>
      </c>
      <c r="K46" s="32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</c>
      <c r="L46" s="7">
        <f>IF(OR(K45="",'实盘净值数据(iFinD公式)'!$A46="",'实盘净值数据(iFinD公式)'!$B46=""),"",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-1)</f>
      </c>
      <c r="M46" s="7" t="str">
        <f>IF(K46="","",K46/MAX(K$5:K46)-1)</f>
        <v/>
      </c>
      <c r="N46" s="32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</c>
      <c r="O46" s="7">
        <f>IF(OR(N45="",'实盘净值数据(iFinD公式)'!$A46="",'实盘净值数据(iFinD公式)'!$B46=""),"",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-1)</f>
      </c>
      <c r="P46" s="7" t="str">
        <f>IF(N46="","",N46/MAX(N$5:N46)-1)</f>
        <v/>
      </c>
      <c r="Q46" s="32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</c>
      <c r="R46" s="7">
        <f>IF(OR(Q45="",'实盘净值数据(iFinD公式)'!$A46="",'实盘净值数据(iFinD公式)'!$B46=""),"",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-1)</f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</c>
      <c r="C47" s="7">
        <f>IF(OR(B46="",'实盘净值数据(iFinD公式)'!$A47="",'实盘净值数据(iFinD公式)'!$B47=""),"",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-1)</f>
      </c>
      <c r="D47" s="7" t="str">
        <f>IF(B47="","",B47/MAX(B$5:B47)-1)</f>
        <v/>
      </c>
      <c r="E47" s="32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</c>
      <c r="F47" s="7">
        <f>IF(OR(E46="",'实盘净值数据(iFinD公式)'!$A47="",'实盘净值数据(iFinD公式)'!$B47=""),"",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-1)</f>
      </c>
      <c r="G47" s="7" t="str">
        <f>IF(E47="","",E47/MAX(E$5:E47)-1)</f>
        <v/>
      </c>
      <c r="H47" s="32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</c>
      <c r="I47" s="7">
        <f>IF(OR(H46="",'实盘净值数据(iFinD公式)'!$A47="",'实盘净值数据(iFinD公式)'!$B47=""),"",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-1)</f>
      </c>
      <c r="J47" s="7" t="str">
        <f>IF(H47="","",H47/MAX(H$5:H47)-1)</f>
        <v/>
      </c>
      <c r="K47" s="32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</c>
      <c r="L47" s="7">
        <f>IF(OR(K46="",'实盘净值数据(iFinD公式)'!$A47="",'实盘净值数据(iFinD公式)'!$B47=""),"",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-1)</f>
      </c>
      <c r="M47" s="7" t="str">
        <f>IF(K47="","",K47/MAX(K$5:K47)-1)</f>
        <v/>
      </c>
      <c r="N47" s="32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</c>
      <c r="O47" s="7">
        <f>IF(OR(N46="",'实盘净值数据(iFinD公式)'!$A47="",'实盘净值数据(iFinD公式)'!$B47=""),"",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-1)</f>
      </c>
      <c r="P47" s="7" t="str">
        <f>IF(N47="","",N47/MAX(N$5:N47)-1)</f>
        <v/>
      </c>
      <c r="Q47" s="32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</c>
      <c r="R47" s="7">
        <f>IF(OR(Q46="",'实盘净值数据(iFinD公式)'!$A47="",'实盘净值数据(iFinD公式)'!$B47=""),"",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-1)</f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</c>
      <c r="C48" s="7">
        <f>IF(OR(B47="",'实盘净值数据(iFinD公式)'!$A48="",'实盘净值数据(iFinD公式)'!$B48=""),"",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-1)</f>
      </c>
      <c r="D48" s="7" t="str">
        <f>IF(B48="","",B48/MAX(B$5:B48)-1)</f>
        <v/>
      </c>
      <c r="E48" s="32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</c>
      <c r="F48" s="7">
        <f>IF(OR(E47="",'实盘净值数据(iFinD公式)'!$A48="",'实盘净值数据(iFinD公式)'!$B48=""),"",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-1)</f>
      </c>
      <c r="G48" s="7" t="str">
        <f>IF(E48="","",E48/MAX(E$5:E48)-1)</f>
        <v/>
      </c>
      <c r="H48" s="32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</c>
      <c r="I48" s="7">
        <f>IF(OR(H47="",'实盘净值数据(iFinD公式)'!$A48="",'实盘净值数据(iFinD公式)'!$B48=""),"",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-1)</f>
      </c>
      <c r="J48" s="7" t="str">
        <f>IF(H48="","",H48/MAX(H$5:H48)-1)</f>
        <v/>
      </c>
      <c r="K48" s="32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</c>
      <c r="L48" s="7">
        <f>IF(OR(K47="",'实盘净值数据(iFinD公式)'!$A48="",'实盘净值数据(iFinD公式)'!$B48=""),"",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-1)</f>
      </c>
      <c r="M48" s="7" t="str">
        <f>IF(K48="","",K48/MAX(K$5:K48)-1)</f>
        <v/>
      </c>
      <c r="N48" s="32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</c>
      <c r="O48" s="7">
        <f>IF(OR(N47="",'实盘净值数据(iFinD公式)'!$A48="",'实盘净值数据(iFinD公式)'!$B48=""),"",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-1)</f>
      </c>
      <c r="P48" s="7" t="str">
        <f>IF(N48="","",N48/MAX(N$5:N48)-1)</f>
        <v/>
      </c>
      <c r="Q48" s="32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</c>
      <c r="R48" s="7">
        <f>IF(OR(Q47="",'实盘净值数据(iFinD公式)'!$A48="",'实盘净值数据(iFinD公式)'!$B48=""),"",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-1)</f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</c>
      <c r="C49" s="7">
        <f>IF(OR(B48="",'实盘净值数据(iFinD公式)'!$A49="",'实盘净值数据(iFinD公式)'!$B49=""),"",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-1)</f>
      </c>
      <c r="D49" s="7" t="str">
        <f>IF(B49="","",B49/MAX(B$5:B49)-1)</f>
        <v/>
      </c>
      <c r="E49" s="32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</c>
      <c r="F49" s="7">
        <f>IF(OR(E48="",'实盘净值数据(iFinD公式)'!$A49="",'实盘净值数据(iFinD公式)'!$B49=""),"",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-1)</f>
      </c>
      <c r="G49" s="7" t="str">
        <f>IF(E49="","",E49/MAX(E$5:E49)-1)</f>
        <v/>
      </c>
      <c r="H49" s="32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</c>
      <c r="I49" s="7">
        <f>IF(OR(H48="",'实盘净值数据(iFinD公式)'!$A49="",'实盘净值数据(iFinD公式)'!$B49=""),"",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-1)</f>
      </c>
      <c r="J49" s="7" t="str">
        <f>IF(H49="","",H49/MAX(H$5:H49)-1)</f>
        <v/>
      </c>
      <c r="K49" s="32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</c>
      <c r="L49" s="7">
        <f>IF(OR(K48="",'实盘净值数据(iFinD公式)'!$A49="",'实盘净值数据(iFinD公式)'!$B49=""),"",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-1)</f>
      </c>
      <c r="M49" s="7" t="str">
        <f>IF(K49="","",K49/MAX(K$5:K49)-1)</f>
        <v/>
      </c>
      <c r="N49" s="32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</c>
      <c r="O49" s="7">
        <f>IF(OR(N48="",'实盘净值数据(iFinD公式)'!$A49="",'实盘净值数据(iFinD公式)'!$B49=""),"",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-1)</f>
      </c>
      <c r="P49" s="7" t="str">
        <f>IF(N49="","",N49/MAX(N$5:N49)-1)</f>
        <v/>
      </c>
      <c r="Q49" s="32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</c>
      <c r="R49" s="7">
        <f>IF(OR(Q48="",'实盘净值数据(iFinD公式)'!$A49="",'实盘净值数据(iFinD公式)'!$B49=""),"",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-1)</f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</c>
      <c r="C50" s="7">
        <f>IF(OR(B49="",'实盘净值数据(iFinD公式)'!$A50="",'实盘净值数据(iFinD公式)'!$B50=""),"",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-1)</f>
      </c>
      <c r="D50" s="7" t="str">
        <f>IF(B50="","",B50/MAX(B$5:B50)-1)</f>
        <v/>
      </c>
      <c r="E50" s="32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</c>
      <c r="F50" s="7">
        <f>IF(OR(E49="",'实盘净值数据(iFinD公式)'!$A50="",'实盘净值数据(iFinD公式)'!$B50=""),"",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-1)</f>
      </c>
      <c r="G50" s="7" t="str">
        <f>IF(E50="","",E50/MAX(E$5:E50)-1)</f>
        <v/>
      </c>
      <c r="H50" s="32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</c>
      <c r="I50" s="7">
        <f>IF(OR(H49="",'实盘净值数据(iFinD公式)'!$A50="",'实盘净值数据(iFinD公式)'!$B50=""),"",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-1)</f>
      </c>
      <c r="J50" s="7" t="str">
        <f>IF(H50="","",H50/MAX(H$5:H50)-1)</f>
        <v/>
      </c>
      <c r="K50" s="32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</c>
      <c r="L50" s="7">
        <f>IF(OR(K49="",'实盘净值数据(iFinD公式)'!$A50="",'实盘净值数据(iFinD公式)'!$B50=""),"",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-1)</f>
      </c>
      <c r="M50" s="7" t="str">
        <f>IF(K50="","",K50/MAX(K$5:K50)-1)</f>
        <v/>
      </c>
      <c r="N50" s="32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</c>
      <c r="O50" s="7">
        <f>IF(OR(N49="",'实盘净值数据(iFinD公式)'!$A50="",'实盘净值数据(iFinD公式)'!$B50=""),"",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-1)</f>
      </c>
      <c r="P50" s="7" t="str">
        <f>IF(N50="","",N50/MAX(N$5:N50)-1)</f>
        <v/>
      </c>
      <c r="Q50" s="32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</c>
      <c r="R50" s="7">
        <f>IF(OR(Q49="",'实盘净值数据(iFinD公式)'!$A50="",'实盘净值数据(iFinD公式)'!$B50=""),"",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-1)</f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</c>
      <c r="C51" s="7">
        <f>IF(OR(B50="",'实盘净值数据(iFinD公式)'!$A51="",'实盘净值数据(iFinD公式)'!$B51=""),"",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-1)</f>
      </c>
      <c r="D51" s="7" t="str">
        <f>IF(B51="","",B51/MAX(B$5:B51)-1)</f>
        <v/>
      </c>
      <c r="E51" s="32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</c>
      <c r="F51" s="7">
        <f>IF(OR(E50="",'实盘净值数据(iFinD公式)'!$A51="",'实盘净值数据(iFinD公式)'!$B51=""),"",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-1)</f>
      </c>
      <c r="G51" s="7" t="str">
        <f>IF(E51="","",E51/MAX(E$5:E51)-1)</f>
        <v/>
      </c>
      <c r="H51" s="32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</c>
      <c r="I51" s="7">
        <f>IF(OR(H50="",'实盘净值数据(iFinD公式)'!$A51="",'实盘净值数据(iFinD公式)'!$B51=""),"",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-1)</f>
      </c>
      <c r="J51" s="7" t="str">
        <f>IF(H51="","",H51/MAX(H$5:H51)-1)</f>
        <v/>
      </c>
      <c r="K51" s="32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</c>
      <c r="L51" s="7">
        <f>IF(OR(K50="",'实盘净值数据(iFinD公式)'!$A51="",'实盘净值数据(iFinD公式)'!$B51=""),"",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-1)</f>
      </c>
      <c r="M51" s="7" t="str">
        <f>IF(K51="","",K51/MAX(K$5:K51)-1)</f>
        <v/>
      </c>
      <c r="N51" s="32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</c>
      <c r="O51" s="7">
        <f>IF(OR(N50="",'实盘净值数据(iFinD公式)'!$A51="",'实盘净值数据(iFinD公式)'!$B51=""),"",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-1)</f>
      </c>
      <c r="P51" s="7" t="str">
        <f>IF(N51="","",N51/MAX(N$5:N51)-1)</f>
        <v/>
      </c>
      <c r="Q51" s="32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</c>
      <c r="R51" s="7">
        <f>IF(OR(Q50="",'实盘净值数据(iFinD公式)'!$A51="",'实盘净值数据(iFinD公式)'!$B51=""),"",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-1)</f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</c>
      <c r="C52" s="7">
        <f>IF(OR(B51="",'实盘净值数据(iFinD公式)'!$A52="",'实盘净值数据(iFinD公式)'!$B52=""),"",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-1)</f>
      </c>
      <c r="D52" s="7" t="str">
        <f>IF(B52="","",B52/MAX(B$5:B52)-1)</f>
        <v/>
      </c>
      <c r="E52" s="32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</c>
      <c r="F52" s="7">
        <f>IF(OR(E51="",'实盘净值数据(iFinD公式)'!$A52="",'实盘净值数据(iFinD公式)'!$B52=""),"",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-1)</f>
      </c>
      <c r="G52" s="7" t="str">
        <f>IF(E52="","",E52/MAX(E$5:E52)-1)</f>
        <v/>
      </c>
      <c r="H52" s="32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</c>
      <c r="I52" s="7">
        <f>IF(OR(H51="",'实盘净值数据(iFinD公式)'!$A52="",'实盘净值数据(iFinD公式)'!$B52=""),"",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-1)</f>
      </c>
      <c r="J52" s="7" t="str">
        <f>IF(H52="","",H52/MAX(H$5:H52)-1)</f>
        <v/>
      </c>
      <c r="K52" s="32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</c>
      <c r="L52" s="7">
        <f>IF(OR(K51="",'实盘净值数据(iFinD公式)'!$A52="",'实盘净值数据(iFinD公式)'!$B52=""),"",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-1)</f>
      </c>
      <c r="M52" s="7" t="str">
        <f>IF(K52="","",K52/MAX(K$5:K52)-1)</f>
        <v/>
      </c>
      <c r="N52" s="32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</c>
      <c r="O52" s="7">
        <f>IF(OR(N51="",'实盘净值数据(iFinD公式)'!$A52="",'实盘净值数据(iFinD公式)'!$B52=""),"",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-1)</f>
      </c>
      <c r="P52" s="7" t="str">
        <f>IF(N52="","",N52/MAX(N$5:N52)-1)</f>
        <v/>
      </c>
      <c r="Q52" s="32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</c>
      <c r="R52" s="7">
        <f>IF(OR(Q51="",'实盘净值数据(iFinD公式)'!$A52="",'实盘净值数据(iFinD公式)'!$B52=""),"",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-1)</f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</c>
      <c r="C53" s="7">
        <f>IF(OR(B52="",'实盘净值数据(iFinD公式)'!$A53="",'实盘净值数据(iFinD公式)'!$B53=""),"",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-1)</f>
      </c>
      <c r="D53" s="7" t="str">
        <f>IF(B53="","",B53/MAX(B$5:B53)-1)</f>
        <v/>
      </c>
      <c r="E53" s="32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</c>
      <c r="F53" s="7">
        <f>IF(OR(E52="",'实盘净值数据(iFinD公式)'!$A53="",'实盘净值数据(iFinD公式)'!$B53=""),"",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-1)</f>
      </c>
      <c r="G53" s="7" t="str">
        <f>IF(E53="","",E53/MAX(E$5:E53)-1)</f>
        <v/>
      </c>
      <c r="H53" s="32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</c>
      <c r="I53" s="7">
        <f>IF(OR(H52="",'实盘净值数据(iFinD公式)'!$A53="",'实盘净值数据(iFinD公式)'!$B53=""),"",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-1)</f>
      </c>
      <c r="J53" s="7" t="str">
        <f>IF(H53="","",H53/MAX(H$5:H53)-1)</f>
        <v/>
      </c>
      <c r="K53" s="32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</c>
      <c r="L53" s="7">
        <f>IF(OR(K52="",'实盘净值数据(iFinD公式)'!$A53="",'实盘净值数据(iFinD公式)'!$B53=""),"",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-1)</f>
      </c>
      <c r="M53" s="7" t="str">
        <f>IF(K53="","",K53/MAX(K$5:K53)-1)</f>
        <v/>
      </c>
      <c r="N53" s="32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</c>
      <c r="O53" s="7">
        <f>IF(OR(N52="",'实盘净值数据(iFinD公式)'!$A53="",'实盘净值数据(iFinD公式)'!$B53=""),"",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-1)</f>
      </c>
      <c r="P53" s="7" t="str">
        <f>IF(N53="","",N53/MAX(N$5:N53)-1)</f>
        <v/>
      </c>
      <c r="Q53" s="32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</c>
      <c r="R53" s="7">
        <f>IF(OR(Q52="",'实盘净值数据(iFinD公式)'!$A53="",'实盘净值数据(iFinD公式)'!$B53=""),"",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-1)</f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</c>
      <c r="C54" s="7">
        <f>IF(OR(B53="",'实盘净值数据(iFinD公式)'!$A54="",'实盘净值数据(iFinD公式)'!$B54=""),"",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-1)</f>
      </c>
      <c r="D54" s="7" t="str">
        <f>IF(B54="","",B54/MAX(B$5:B54)-1)</f>
        <v/>
      </c>
      <c r="E54" s="32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</c>
      <c r="F54" s="7">
        <f>IF(OR(E53="",'实盘净值数据(iFinD公式)'!$A54="",'实盘净值数据(iFinD公式)'!$B54=""),"",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-1)</f>
      </c>
      <c r="G54" s="7" t="str">
        <f>IF(E54="","",E54/MAX(E$5:E54)-1)</f>
        <v/>
      </c>
      <c r="H54" s="32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</c>
      <c r="I54" s="7">
        <f>IF(OR(H53="",'实盘净值数据(iFinD公式)'!$A54="",'实盘净值数据(iFinD公式)'!$B54=""),"",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-1)</f>
      </c>
      <c r="J54" s="7" t="str">
        <f>IF(H54="","",H54/MAX(H$5:H54)-1)</f>
        <v/>
      </c>
      <c r="K54" s="32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</c>
      <c r="L54" s="7">
        <f>IF(OR(K53="",'实盘净值数据(iFinD公式)'!$A54="",'实盘净值数据(iFinD公式)'!$B54=""),"",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-1)</f>
      </c>
      <c r="M54" s="7" t="str">
        <f>IF(K54="","",K54/MAX(K$5:K54)-1)</f>
        <v/>
      </c>
      <c r="N54" s="32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</c>
      <c r="O54" s="7">
        <f>IF(OR(N53="",'实盘净值数据(iFinD公式)'!$A54="",'实盘净值数据(iFinD公式)'!$B54=""),"",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-1)</f>
      </c>
      <c r="P54" s="7" t="str">
        <f>IF(N54="","",N54/MAX(N$5:N54)-1)</f>
        <v/>
      </c>
      <c r="Q54" s="32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</c>
      <c r="R54" s="7">
        <f>IF(OR(Q53="",'实盘净值数据(iFinD公式)'!$A54="",'实盘净值数据(iFinD公式)'!$B54=""),"",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-1)</f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</c>
      <c r="C55" s="7">
        <f>IF(OR(B54="",'实盘净值数据(iFinD公式)'!$A55="",'实盘净值数据(iFinD公式)'!$B55=""),"",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-1)</f>
      </c>
      <c r="D55" s="7" t="str">
        <f>IF(B55="","",B55/MAX(B$5:B55)-1)</f>
        <v/>
      </c>
      <c r="E55" s="32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</c>
      <c r="F55" s="7">
        <f>IF(OR(E54="",'实盘净值数据(iFinD公式)'!$A55="",'实盘净值数据(iFinD公式)'!$B55=""),"",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-1)</f>
      </c>
      <c r="G55" s="7" t="str">
        <f>IF(E55="","",E55/MAX(E$5:E55)-1)</f>
        <v/>
      </c>
      <c r="H55" s="32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</c>
      <c r="I55" s="7">
        <f>IF(OR(H54="",'实盘净值数据(iFinD公式)'!$A55="",'实盘净值数据(iFinD公式)'!$B55=""),"",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-1)</f>
      </c>
      <c r="J55" s="7" t="str">
        <f>IF(H55="","",H55/MAX(H$5:H55)-1)</f>
        <v/>
      </c>
      <c r="K55" s="32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</c>
      <c r="L55" s="7">
        <f>IF(OR(K54="",'实盘净值数据(iFinD公式)'!$A55="",'实盘净值数据(iFinD公式)'!$B55=""),"",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-1)</f>
      </c>
      <c r="M55" s="7" t="str">
        <f>IF(K55="","",K55/MAX(K$5:K55)-1)</f>
        <v/>
      </c>
      <c r="N55" s="32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</c>
      <c r="O55" s="7">
        <f>IF(OR(N54="",'实盘净值数据(iFinD公式)'!$A55="",'实盘净值数据(iFinD公式)'!$B55=""),"",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-1)</f>
      </c>
      <c r="P55" s="7" t="str">
        <f>IF(N55="","",N55/MAX(N$5:N55)-1)</f>
        <v/>
      </c>
      <c r="Q55" s="32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</c>
      <c r="R55" s="7">
        <f>IF(OR(Q54="",'实盘净值数据(iFinD公式)'!$A55="",'实盘净值数据(iFinD公式)'!$B55=""),"",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-1)</f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</c>
      <c r="C56" s="7">
        <f>IF(OR(B55="",'实盘净值数据(iFinD公式)'!$A56="",'实盘净值数据(iFinD公式)'!$B56=""),"",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-1)</f>
      </c>
      <c r="D56" s="7" t="str">
        <f>IF(B56="","",B56/MAX(B$5:B56)-1)</f>
        <v/>
      </c>
      <c r="E56" s="32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</c>
      <c r="F56" s="7">
        <f>IF(OR(E55="",'实盘净值数据(iFinD公式)'!$A56="",'实盘净值数据(iFinD公式)'!$B56=""),"",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-1)</f>
      </c>
      <c r="G56" s="7" t="str">
        <f>IF(E56="","",E56/MAX(E$5:E56)-1)</f>
        <v/>
      </c>
      <c r="H56" s="32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</c>
      <c r="I56" s="7">
        <f>IF(OR(H55="",'实盘净值数据(iFinD公式)'!$A56="",'实盘净值数据(iFinD公式)'!$B56=""),"",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-1)</f>
      </c>
      <c r="J56" s="7" t="str">
        <f>IF(H56="","",H56/MAX(H$5:H56)-1)</f>
        <v/>
      </c>
      <c r="K56" s="32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</c>
      <c r="L56" s="7">
        <f>IF(OR(K55="",'实盘净值数据(iFinD公式)'!$A56="",'实盘净值数据(iFinD公式)'!$B56=""),"",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-1)</f>
      </c>
      <c r="M56" s="7" t="str">
        <f>IF(K56="","",K56/MAX(K$5:K56)-1)</f>
        <v/>
      </c>
      <c r="N56" s="32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</c>
      <c r="O56" s="7">
        <f>IF(OR(N55="",'实盘净值数据(iFinD公式)'!$A56="",'实盘净值数据(iFinD公式)'!$B56=""),"",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-1)</f>
      </c>
      <c r="P56" s="7" t="str">
        <f>IF(N56="","",N56/MAX(N$5:N56)-1)</f>
        <v/>
      </c>
      <c r="Q56" s="32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</c>
      <c r="R56" s="7">
        <f>IF(OR(Q55="",'实盘净值数据(iFinD公式)'!$A56="",'实盘净值数据(iFinD公式)'!$B56=""),"",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-1)</f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</c>
      <c r="C57" s="7">
        <f>IF(OR(B56="",'实盘净值数据(iFinD公式)'!$A57="",'实盘净值数据(iFinD公式)'!$B57=""),"",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-1)</f>
      </c>
      <c r="D57" s="7" t="str">
        <f>IF(B57="","",B57/MAX(B$5:B57)-1)</f>
        <v/>
      </c>
      <c r="E57" s="32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</c>
      <c r="F57" s="7">
        <f>IF(OR(E56="",'实盘净值数据(iFinD公式)'!$A57="",'实盘净值数据(iFinD公式)'!$B57=""),"",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-1)</f>
      </c>
      <c r="G57" s="7" t="str">
        <f>IF(E57="","",E57/MAX(E$5:E57)-1)</f>
        <v/>
      </c>
      <c r="H57" s="32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</c>
      <c r="I57" s="7">
        <f>IF(OR(H56="",'实盘净值数据(iFinD公式)'!$A57="",'实盘净值数据(iFinD公式)'!$B57=""),"",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-1)</f>
      </c>
      <c r="J57" s="7" t="str">
        <f>IF(H57="","",H57/MAX(H$5:H57)-1)</f>
        <v/>
      </c>
      <c r="K57" s="32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</c>
      <c r="L57" s="7">
        <f>IF(OR(K56="",'实盘净值数据(iFinD公式)'!$A57="",'实盘净值数据(iFinD公式)'!$B57=""),"",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-1)</f>
      </c>
      <c r="M57" s="7" t="str">
        <f>IF(K57="","",K57/MAX(K$5:K57)-1)</f>
        <v/>
      </c>
      <c r="N57" s="32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</c>
      <c r="O57" s="7">
        <f>IF(OR(N56="",'实盘净值数据(iFinD公式)'!$A57="",'实盘净值数据(iFinD公式)'!$B57=""),"",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-1)</f>
      </c>
      <c r="P57" s="7" t="str">
        <f>IF(N57="","",N57/MAX(N$5:N57)-1)</f>
        <v/>
      </c>
      <c r="Q57" s="32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</c>
      <c r="R57" s="7">
        <f>IF(OR(Q56="",'实盘净值数据(iFinD公式)'!$A57="",'实盘净值数据(iFinD公式)'!$B57=""),"",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-1)</f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</c>
      <c r="C58" s="7">
        <f>IF(OR(B57="",'实盘净值数据(iFinD公式)'!$A58="",'实盘净值数据(iFinD公式)'!$B58=""),"",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-1)</f>
      </c>
      <c r="D58" s="7" t="str">
        <f>IF(B58="","",B58/MAX(B$5:B58)-1)</f>
        <v/>
      </c>
      <c r="E58" s="32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</c>
      <c r="F58" s="7">
        <f>IF(OR(E57="",'实盘净值数据(iFinD公式)'!$A58="",'实盘净值数据(iFinD公式)'!$B58=""),"",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-1)</f>
      </c>
      <c r="G58" s="7" t="str">
        <f>IF(E58="","",E58/MAX(E$5:E58)-1)</f>
        <v/>
      </c>
      <c r="H58" s="32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</c>
      <c r="I58" s="7">
        <f>IF(OR(H57="",'实盘净值数据(iFinD公式)'!$A58="",'实盘净值数据(iFinD公式)'!$B58=""),"",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-1)</f>
      </c>
      <c r="J58" s="7" t="str">
        <f>IF(H58="","",H58/MAX(H$5:H58)-1)</f>
        <v/>
      </c>
      <c r="K58" s="32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</c>
      <c r="L58" s="7">
        <f>IF(OR(K57="",'实盘净值数据(iFinD公式)'!$A58="",'实盘净值数据(iFinD公式)'!$B58=""),"",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-1)</f>
      </c>
      <c r="M58" s="7" t="str">
        <f>IF(K58="","",K58/MAX(K$5:K58)-1)</f>
        <v/>
      </c>
      <c r="N58" s="32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</c>
      <c r="O58" s="7">
        <f>IF(OR(N57="",'实盘净值数据(iFinD公式)'!$A58="",'实盘净值数据(iFinD公式)'!$B58=""),"",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-1)</f>
      </c>
      <c r="P58" s="7" t="str">
        <f>IF(N58="","",N58/MAX(N$5:N58)-1)</f>
        <v/>
      </c>
      <c r="Q58" s="32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</c>
      <c r="R58" s="7">
        <f>IF(OR(Q57="",'实盘净值数据(iFinD公式)'!$A58="",'实盘净值数据(iFinD公式)'!$B58=""),"",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-1)</f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</c>
      <c r="C59" s="7">
        <f>IF(OR(B58="",'实盘净值数据(iFinD公式)'!$A59="",'实盘净值数据(iFinD公式)'!$B59=""),"",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-1)</f>
      </c>
      <c r="D59" s="7" t="str">
        <f>IF(B59="","",B59/MAX(B$5:B59)-1)</f>
        <v/>
      </c>
      <c r="E59" s="32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</c>
      <c r="F59" s="7">
        <f>IF(OR(E58="",'实盘净值数据(iFinD公式)'!$A59="",'实盘净值数据(iFinD公式)'!$B59=""),"",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-1)</f>
      </c>
      <c r="G59" s="7" t="str">
        <f>IF(E59="","",E59/MAX(E$5:E59)-1)</f>
        <v/>
      </c>
      <c r="H59" s="32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</c>
      <c r="I59" s="7">
        <f>IF(OR(H58="",'实盘净值数据(iFinD公式)'!$A59="",'实盘净值数据(iFinD公式)'!$B59=""),"",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-1)</f>
      </c>
      <c r="J59" s="7" t="str">
        <f>IF(H59="","",H59/MAX(H$5:H59)-1)</f>
        <v/>
      </c>
      <c r="K59" s="32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</c>
      <c r="L59" s="7">
        <f>IF(OR(K58="",'实盘净值数据(iFinD公式)'!$A59="",'实盘净值数据(iFinD公式)'!$B59=""),"",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-1)</f>
      </c>
      <c r="M59" s="7" t="str">
        <f>IF(K59="","",K59/MAX(K$5:K59)-1)</f>
        <v/>
      </c>
      <c r="N59" s="32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</c>
      <c r="O59" s="7">
        <f>IF(OR(N58="",'实盘净值数据(iFinD公式)'!$A59="",'实盘净值数据(iFinD公式)'!$B59=""),"",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-1)</f>
      </c>
      <c r="P59" s="7" t="str">
        <f>IF(N59="","",N59/MAX(N$5:N59)-1)</f>
        <v/>
      </c>
      <c r="Q59" s="32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</c>
      <c r="R59" s="7">
        <f>IF(OR(Q58="",'实盘净值数据(iFinD公式)'!$A59="",'实盘净值数据(iFinD公式)'!$B59=""),"",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-1)</f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44" t="s">
        <v>73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"&amp;TEXT(实盘持仓配置!$Z$4,"0.0%")&amp;"（折每日计入净值）"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"净值日期："&amp;TEXT(LOOKUP(2,1/(实盘组合净值!$B$5:$B$59&lt;&gt;""),实盘组合净值!$A$5:$A$59),"yyyy-mm-dd")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1.0294155905508455</v>
      </c>
      <c r="C7" s="19">
        <f>(LOOKUP(2,1/(实盘组合净值!$B$5:$B$59&lt;&gt;""),实盘组合净值!$B$5:$B$59))/1-1</f>
        <v>2.9415590550845527E-2</v>
      </c>
      <c r="D7" s="19">
        <f>(LOOKUP(2,1/(实盘组合净值!$B$5:$B$59&lt;&gt;""),实盘组合净值!$B$5:$B$59)/1)^(说明!$C$17/MAX(COUNT(实盘组合净值!$C$5:$C$59),1))-1</f>
        <v>2.2197827463161004</v>
      </c>
      <c r="E7" s="20">
        <f>STDEV(实盘组合净值!$C$5:$C$59)*SQRT(说明!$C$17)</f>
        <v>0.41370859445420716</v>
      </c>
      <c r="F7" s="19">
        <f>MIN(实盘组合净值!$D$5:$D$59)</f>
        <v>-2.8604573320449078E-2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2.9415590550845527E-2</v>
      </c>
      <c r="D11" s="15">
        <f>IFERROR((LOOKUP(2,1/(实盘组合净值!$B$5:$B$59&lt;&gt;""),实盘组合净值!$B$5:$B$59)/(1))^(说明!$C$17/COUNT(实盘组合净值!$C$5:$C$59))-1,"")</f>
        <v>2.2197827463161004</v>
      </c>
      <c r="E11" s="45" t="s">
        <v>79</v>
      </c>
      <c r="F11" s="46"/>
      <c r="G11" s="15">
        <f>MIN(实盘组合净值!$D$5:$D$59)</f>
        <v>-2.8604573320449078E-2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2.9415590550845527E-2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1.4036427890669283</v>
      </c>
      <c r="E12" s="45" t="s">
        <v>88</v>
      </c>
      <c r="F12" s="46"/>
      <c r="G12" s="16">
        <f>IFERROR((LOOKUP(2,1/(实盘组合净值!$B$5:$B$59&lt;&gt;""),ROW(实盘组合净值!$B$5:$B$59)))-(LOOKUP(2,1/(实盘组合净值!$D$5:$D$59=0),ROW(实盘组合净值!$D$5:$D$59))),"")</f>
        <v>3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2.9415590550845527E-2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1.4036427890669283</v>
      </c>
      <c r="E13" s="45" t="s">
        <v>90</v>
      </c>
      <c r="F13" s="46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2.9415590550845527E-2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1.4036427890669283</v>
      </c>
      <c r="E14" s="45" t="s">
        <v>78</v>
      </c>
      <c r="F14" s="46"/>
      <c r="G14" s="15">
        <f>STDEV(实盘组合净值!$C$5:$C$59)*SQRT(说明!$C$17)</f>
        <v>0.41370859445420716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2.9415590550845527E-2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1.4036427890669283</v>
      </c>
      <c r="E15" s="45" t="s">
        <v>80</v>
      </c>
      <c r="F15" s="46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IFERROR(((LOOKUP(2,1/(实盘组合净值!$B$5:$B$59&lt;&gt;""),实盘组合净值!$B$5:$B$59)/1)^(说明!$C$17/MAX(COUNT(实盘组合净值!$C$5:$C$59),1))-1)/ABS(MIN(实盘组合净值!$D$5:$D$59)),"")</f>
        <v>77.602372230779039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6" sqref="K16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44" t="s">
        <v>96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"&amp;TEXT(实盘持仓配置!$Z$5,"0.0%")&amp;"（折每日计入净值）"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"净值日期："&amp;TEXT(LOOKUP(2,1/(实盘组合净值!$E$5:$E$59&lt;&gt;""),实盘组合净值!$A$5:$A$59),"yyyy-mm-dd")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1.0533263415786789</v>
      </c>
      <c r="C7" s="19">
        <f>(LOOKUP(2,1/(实盘组合净值!$E$5:$E$59&lt;&gt;""),实盘组合净值!$E$5:$E$59))/1-1</f>
        <v>5.3326341578678882E-2</v>
      </c>
      <c r="D7" s="19">
        <f>(LOOKUP(2,1/(实盘组合净值!$E$5:$E$59&lt;&gt;""),实盘组合净值!$E$5:$E$59)/1)^(说明!$C$17/MAX(COUNT(实盘组合净值!$F$5:$F$59),1))-1</f>
        <v>5.026057158979869</v>
      </c>
      <c r="E7" s="20">
        <f>STDEV(实盘组合净值!$F$5:$F$59)*SQRT(说明!$C$17)</f>
        <v>0.39348846692204087</v>
      </c>
      <c r="F7" s="19">
        <f>MIN(实盘组合净值!$G$5:$G$59)</f>
        <v>-2.8695043554146649E-2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5.3326341578678882E-2</v>
      </c>
      <c r="D11" s="15">
        <f>IFERROR((LOOKUP(2,1/(实盘组合净值!$E$5:$E$59&lt;&gt;""),实盘组合净值!$E$5:$E$59)/(1))^(说明!$C$17/COUNT(实盘组合净值!$F$5:$F$59))-1,"")</f>
        <v>5.026057158979869</v>
      </c>
      <c r="E11" s="45" t="s">
        <v>79</v>
      </c>
      <c r="F11" s="46"/>
      <c r="G11" s="15">
        <f>MIN(实盘组合净值!$G$5:$G$59)</f>
        <v>-2.8695043554146649E-2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5.3326341578678882E-2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3.8142550088517533</v>
      </c>
      <c r="E12" s="45" t="s">
        <v>88</v>
      </c>
      <c r="F12" s="46"/>
      <c r="G12" s="16">
        <f>IFERROR((LOOKUP(2,1/(实盘组合净值!$E$5:$E$59&lt;&gt;""),ROW(实盘组合净值!$E$5:$E$59)))-(LOOKUP(2,1/(实盘组合净值!$G$5:$G$59=0),ROW(实盘组合净值!$G$5:$G$59))),"")</f>
        <v>3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5.3326341578678882E-2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3.8142550088517533</v>
      </c>
      <c r="E13" s="45" t="s">
        <v>90</v>
      </c>
      <c r="F13" s="46"/>
      <c r="G13" s="35">
        <f>COUNTIF(实盘组合净值!$F$5:$F$59,"&gt;0")/MAX(COUNT(实盘组合净值!$F$5:$F$59),1)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5.3326341578678882E-2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3.8142550088517533</v>
      </c>
      <c r="E14" s="45" t="s">
        <v>78</v>
      </c>
      <c r="F14" s="46"/>
      <c r="G14" s="15">
        <f>STDEV(实盘组合净值!$F$5:$F$59)*SQRT(说明!$C$17)</f>
        <v>0.39348846692204087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5.3326341578678882E-2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3.8142550088517533</v>
      </c>
      <c r="E15" s="45" t="s">
        <v>80</v>
      </c>
      <c r="F15" s="46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IFERROR(((LOOKUP(2,1/(实盘组合净值!$E$5:$E$59&lt;&gt;""),实盘组合净值!$E$5:$E$59)/1)^(说明!$C$17/MAX(COUNT(实盘组合净值!$F$5:$F$59),1))-1)/ABS(MIN(实盘组合净值!$G$5:$G$59)),"")</f>
        <v>175.15419168107749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I30" sqref="I30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97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"&amp;TEXT(实盘持仓配置!$Z$6,"0.0%")&amp;"（折每日计入净值）"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"净值日期："&amp;TEXT(LOOKUP(2,1/(实盘组合净值!$H$5:$H$59&lt;&gt;""),实盘组合净值!$A$5:$A$59),"yyyy-mm-dd")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1.068508413841105</v>
      </c>
      <c r="C7" s="19">
        <f>(LOOKUP(2,1/(实盘组合净值!$H$5:$H$59&lt;&gt;""),实盘组合净值!$H$5:$H$59))/1-1</f>
        <v>6.8508413841104954E-2</v>
      </c>
      <c r="D7" s="19">
        <f>(LOOKUP(2,1/(实盘组合净值!$H$5:$H$59&lt;&gt;""),实盘组合净值!$H$5:$H$59)/1)^(说明!$C$17/MAX(COUNT(实盘组合净值!$I$5:$I$59),1))-1</f>
        <v>23.708853904969811</v>
      </c>
      <c r="E7" s="20">
        <f>STDEV(实盘组合净值!$I$5:$I$59)*SQRT(说明!$C$17)</f>
        <v>0.38989700187788462</v>
      </c>
      <c r="F7" s="19">
        <f>MIN(实盘组合净值!$J$5:$J$59)</f>
        <v>-2.1863810316736343E-2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6.8508413841104954E-2</v>
      </c>
      <c r="D11" s="15">
        <f>IFERROR((LOOKUP(2,1/(实盘组合净值!$H$5:$H$59&lt;&gt;""),实盘组合净值!$H$5:$H$59)/(1))^(说明!$C$17/COUNT(实盘组合净值!$I$5:$I$59))-1,"")</f>
        <v>23.708853904969811</v>
      </c>
      <c r="E11" s="45" t="s">
        <v>79</v>
      </c>
      <c r="F11" s="46"/>
      <c r="G11" s="15">
        <f>MIN(实盘组合净值!$J$5:$J$59)</f>
        <v>-2.1863810316736343E-2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6.8508413841104954E-2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6.4222038149678582</v>
      </c>
      <c r="E12" s="45" t="s">
        <v>88</v>
      </c>
      <c r="F12" s="46"/>
      <c r="G12" s="16">
        <f>IFERROR((LOOKUP(2,1/(实盘组合净值!$H$5:$H$59&lt;&gt;""),ROW(实盘组合净值!$H$5:$H$59)))-(LOOKUP(2,1/(实盘组合净值!$J$5:$J$59=0),ROW(实盘组合净值!$J$5:$J$59))),"")</f>
        <v>3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6.8508413841104954E-2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6.4222038149678582</v>
      </c>
      <c r="E13" s="45" t="s">
        <v>90</v>
      </c>
      <c r="F13" s="46"/>
      <c r="G13" s="35">
        <f>COUNTIF(实盘组合净值!$I$5:$I$59,"&gt;0")/MAX(COUNT(实盘组合净值!$I$5:$I$59),1)</f>
        <v>0.6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6.8508413841104954E-2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6.4222038149678582</v>
      </c>
      <c r="E14" s="45" t="s">
        <v>78</v>
      </c>
      <c r="F14" s="46"/>
      <c r="G14" s="15">
        <f>STDEV(实盘组合净值!$I$5:$I$59)*SQRT(说明!$C$17)</f>
        <v>0.38989700187788462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6.8508413841104954E-2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6.4222038149678582</v>
      </c>
      <c r="E15" s="45" t="s">
        <v>80</v>
      </c>
      <c r="F15" s="46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IFERROR(((LOOKUP(2,1/(实盘组合净值!$H$5:$H$59&lt;&gt;""),实盘组合净值!$H$5:$H$59)/1)^(说明!$C$17/MAX(COUNT(实盘组合净值!$I$5:$I$59),1))-1)/ABS(MIN(实盘组合净值!$J$5:$J$59)),"")</f>
        <v>1084.3880166130568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44" t="s">
        <v>98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"&amp;TEXT(实盘持仓配置!$Z$7,"0.0%")&amp;"（折每日计入净值）"</f>
        <v>买入持有 · 已扣年化费率 0.8%（折每日计入净值）</v>
      </c>
      <c r="C3" s="40"/>
      <c r="D3" s="40"/>
      <c r="E3" s="43" t="str">
        <f>"净值日期："&amp;TEXT(LOOKUP(2,1/(实盘组合净值!$K$5:$K$59&lt;&gt;""),实盘组合净值!$A$5:$A$59),"yyyy-mm-dd")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1.0013918322245723</v>
      </c>
      <c r="C7" s="19">
        <f>(LOOKUP(2,1/(实盘组合净值!$K$5:$K$59&lt;&gt;""),实盘组合净值!$K$5:$K$59))/1-1</f>
        <v>1.3918322245722869E-3</v>
      </c>
      <c r="D7" s="19">
        <f>(LOOKUP(2,1/(实盘组合净值!$K$5:$K$59&lt;&gt;""),实盘组合净值!$K$5:$K$59)/1)^(说明!$C$17/MAX(COUNT(实盘组合净值!$L$5:$L$59),1))-1</f>
        <v>8.778911736619821E-2</v>
      </c>
      <c r="E7" s="20">
        <f>STDEV(实盘组合净值!$L$5:$L$59)*SQRT(说明!$C$17)</f>
        <v>2.7061690816622352E-2</v>
      </c>
      <c r="F7" s="19">
        <f>MIN(实盘组合净值!$M$5:$M$59)</f>
        <v>-1.9403959684980432E-3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1.3918322245722869E-3</v>
      </c>
      <c r="D11" s="15">
        <f>IFERROR((LOOKUP(2,1/(实盘组合净值!$K$5:$K$59&lt;&gt;""),实盘组合净值!$K$5:$K$59)/(1))^(说明!$C$17/COUNT(实盘组合净值!$L$5:$L$59))-1,"")</f>
        <v>8.778911736619821E-2</v>
      </c>
      <c r="E11" s="45" t="s">
        <v>79</v>
      </c>
      <c r="F11" s="46"/>
      <c r="G11" s="15">
        <f>MIN(实盘组合净值!$M$5:$M$59)</f>
        <v>-1.9403959684980432E-3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1.3918322245722869E-3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4.2971292685564988E-2</v>
      </c>
      <c r="E12" s="45" t="s">
        <v>88</v>
      </c>
      <c r="F12" s="46"/>
      <c r="G12" s="16">
        <f>IFERROR((LOOKUP(2,1/(实盘组合净值!$K$5:$K$59&lt;&gt;""),ROW(实盘组合净值!$K$5:$K$59)))-(LOOKUP(2,1/(实盘组合净值!$M$5:$M$59=0),ROW(实盘组合净值!$M$5:$M$59))),"")</f>
        <v>3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1.3918322245722869E-3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4.2971292685564988E-2</v>
      </c>
      <c r="E13" s="45" t="s">
        <v>90</v>
      </c>
      <c r="F13" s="46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1.3918322245722869E-3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4.2971292685564988E-2</v>
      </c>
      <c r="E14" s="45" t="s">
        <v>78</v>
      </c>
      <c r="F14" s="46"/>
      <c r="G14" s="15">
        <f>STDEV(实盘组合净值!$L$5:$L$59)*SQRT(说明!$C$17)</f>
        <v>2.7061690816622352E-2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1.3918322245722869E-3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4.2971292685564988E-2</v>
      </c>
      <c r="E15" s="45" t="s">
        <v>80</v>
      </c>
      <c r="F15" s="46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IFERROR(((LOOKUP(2,1/(实盘组合净值!$K$5:$K$59&lt;&gt;""),实盘组合净值!$K$5:$K$59)/1)^(说明!$C$17/MAX(COUNT(实盘组合净值!$L$5:$L$59),1))-1)/ABS(MIN(实盘组合净值!$M$5:$M$59)),"")</f>
        <v>45.24288794217145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G12" sqref="G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99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"&amp;TEXT(实盘持仓配置!$Z$8,"0.0%")&amp;"（折每日计入净值）"</f>
        <v>买入持有 · 已扣年化费率 0.5%（折每日计入净值）</v>
      </c>
      <c r="C3" s="40"/>
      <c r="D3" s="40"/>
      <c r="E3" s="43" t="str">
        <f>"净值日期："&amp;TEXT(LOOKUP(2,1/(实盘组合净值!$N$5:$N$59&lt;&gt;""),实盘组合净值!$A$5:$A$59),"yyyy-mm-dd")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1.0005478490779289</v>
      </c>
      <c r="C7" s="19">
        <f>(LOOKUP(2,1/(实盘组合净值!$N$5:$N$59&lt;&gt;""),实盘组合净值!$N$5:$N$59))/1-1</f>
        <v>5.4784907792893023E-4</v>
      </c>
      <c r="D7" s="19">
        <f>(LOOKUP(2,1/(实盘组合净值!$N$5:$N$59&lt;&gt;""),实盘组合净值!$N$5:$N$59)/1)^(说明!$C$17/MAX(COUNT(实盘组合净值!$O$5:$O$59),1))-1</f>
        <v>1.911513802441589E-2</v>
      </c>
      <c r="E7" s="20">
        <f>STDEV(实盘组合净值!$O$5:$O$59)*SQRT(说明!$C$17)</f>
        <v>3.1434876932441617E-2</v>
      </c>
      <c r="F7" s="19">
        <f>MIN(实盘组合净值!$P$5:$P$59)</f>
        <v>-3.0771023622546689E-3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5.4784907792893023E-4</v>
      </c>
      <c r="D11" s="15">
        <f>IFERROR((LOOKUP(2,1/(实盘组合净值!$N$5:$N$59&lt;&gt;""),实盘组合净值!$N$5:$N$59)/(1))^(说明!$C$17/COUNT(实盘组合净值!$O$5:$O$59))-1,"")</f>
        <v>1.911513802441589E-2</v>
      </c>
      <c r="E11" s="45" t="s">
        <v>79</v>
      </c>
      <c r="F11" s="46"/>
      <c r="G11" s="15">
        <f>MIN(实盘组合净值!$P$5:$P$59)</f>
        <v>-3.0771023622546689E-3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5.4784907792893023E-4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1.6705905386106501E-2</v>
      </c>
      <c r="E12" s="45" t="s">
        <v>88</v>
      </c>
      <c r="F12" s="46"/>
      <c r="G12" s="16">
        <f>IFERROR((LOOKUP(2,1/(实盘组合净值!$N$5:$N$59&lt;&gt;""),ROW(实盘组合净值!$N$5:$N$59)))-(LOOKUP(2,1/(实盘组合净值!$P$5:$P$59=0),ROW(实盘组合净值!$P$5:$P$59))),"")</f>
        <v>3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5.4784907792893023E-4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1.6705905386106501E-2</v>
      </c>
      <c r="E13" s="45" t="s">
        <v>90</v>
      </c>
      <c r="F13" s="46"/>
      <c r="G13" s="35">
        <f>COUNTIF(实盘组合净值!$O$5:$O$59,"&gt;0")/MAX(COUNT(实盘组合净值!$O$5:$O$59),1)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5.4784907792893023E-4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1.6705905386106501E-2</v>
      </c>
      <c r="E14" s="45" t="s">
        <v>78</v>
      </c>
      <c r="F14" s="46"/>
      <c r="G14" s="15">
        <f>STDEV(实盘组合净值!$O$5:$O$59)*SQRT(说明!$C$17)</f>
        <v>3.1434876932441617E-2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5.4784907792893023E-4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1.6705905386106501E-2</v>
      </c>
      <c r="E15" s="45" t="s">
        <v>80</v>
      </c>
      <c r="F15" s="46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IFERROR(((LOOKUP(2,1/(实盘组合净值!$N$5:$N$59&lt;&gt;""),实盘组合净值!$N$5:$N$59)/1)^(说明!$C$17/MAX(COUNT(实盘组合净值!$O$5:$O$59),1))-1)/ABS(MIN(实盘组合净值!$P$5:$P$59)),"")</f>
        <v>6.2120578954057795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O14" sqref="O14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44" t="s">
        <v>100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"&amp;TEXT(实盘持仓配置!$Z$9,"0.0%")&amp;"（折每日计入净值）"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"净值日期："&amp;TEXT(LOOKUP(2,1/(实盘组合净值!$Q$5:$Q$59&lt;&gt;""),实盘组合净值!$A$5:$A$59),"yyyy-mm-dd")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1.0009963386472145</v>
      </c>
      <c r="C7" s="19">
        <f>(LOOKUP(2,1/(实盘组合净值!$Q$5:$Q$59&lt;&gt;""),实盘组合净值!$Q$5:$Q$59))/1-1</f>
        <v>9.9633864721448973E-4</v>
      </c>
      <c r="D7" s="19">
        <f>(LOOKUP(2,1/(实盘组合净值!$Q$5:$Q$59&lt;&gt;""),实盘组合净值!$Q$5:$Q$59)/1)^(说明!$C$17/MAX(COUNT(实盘组合净值!$R$5:$R$59),1))-1</f>
        <v>6.2100423617096334E-2</v>
      </c>
      <c r="E7" s="20">
        <f>STDEV(实盘组合净值!$R$5:$R$59)*SQRT(说明!$C$17)</f>
        <v>7.8353663889559E-2</v>
      </c>
      <c r="F7" s="19">
        <f>MIN(实盘组合净值!$S$5:$S$59)</f>
        <v>-6.7550898607637855E-3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9.9633864721448973E-4</v>
      </c>
      <c r="D11" s="15">
        <f>IFERROR((LOOKUP(2,1/(实盘组合净值!$Q$5:$Q$59&lt;&gt;""),实盘组合净值!$Q$5:$Q$59)/(1))^(说明!$C$17/COUNT(实盘组合净值!$R$5:$R$59))-1,"")</f>
        <v>6.2100423617096334E-2</v>
      </c>
      <c r="E11" s="45" t="s">
        <v>79</v>
      </c>
      <c r="F11" s="46"/>
      <c r="G11" s="15">
        <f>MIN(实盘组合净值!$S$5:$S$59)</f>
        <v>-6.7550898607637855E-3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9.9633864721448973E-4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3.0582565162586173E-2</v>
      </c>
      <c r="E12" s="45" t="s">
        <v>88</v>
      </c>
      <c r="F12" s="46"/>
      <c r="G12" s="16">
        <f>IFERROR((LOOKUP(2,1/(实盘组合净值!$Q$5:$Q$59&lt;&gt;""),ROW(实盘组合净值!$Q$5:$Q$59)))-(LOOKUP(2,1/(实盘组合净值!$S$5:$S$59=0),ROW(实盘组合净值!$S$5:$S$59))),"")</f>
        <v>3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9.9633864721448973E-4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3.0582565162586173E-2</v>
      </c>
      <c r="E13" s="45" t="s">
        <v>90</v>
      </c>
      <c r="F13" s="46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9.9633864721448973E-4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3.0582565162586173E-2</v>
      </c>
      <c r="E14" s="45" t="s">
        <v>78</v>
      </c>
      <c r="F14" s="46"/>
      <c r="G14" s="15">
        <f>STDEV(实盘组合净值!$R$5:$R$59)*SQRT(说明!$C$17)</f>
        <v>7.8353663889559E-2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9.9633864721448973E-4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3.0582565162586173E-2</v>
      </c>
      <c r="E15" s="45" t="s">
        <v>80</v>
      </c>
      <c r="F15" s="46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IFERROR(((LOOKUP(2,1/(实盘组合净值!$Q$5:$Q$59&lt;&gt;""),实盘组合净值!$Q$5:$Q$59)/1)^(说明!$C$17/MAX(COUNT(实盘组合净值!$R$5:$R$59),1))-1)/ABS(MIN(实盘组合净值!$S$5:$S$59)),"")</f>
        <v>9.1931306462405455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49" t="s">
        <v>105</v>
      </c>
      <c r="D6" s="40"/>
      <c r="E6" s="40"/>
      <c r="F6" s="40"/>
      <c r="G6" s="40"/>
      <c r="H6" s="40"/>
    </row>
    <row r="7" spans="2:8" ht="25.5" customHeight="1" x14ac:dyDescent="0.25">
      <c r="B7" s="12" t="s">
        <v>106</v>
      </c>
      <c r="C7" s="49" t="s">
        <v>107</v>
      </c>
      <c r="D7" s="40"/>
      <c r="E7" s="40"/>
      <c r="F7" s="40"/>
      <c r="G7" s="40"/>
      <c r="H7" s="40"/>
    </row>
    <row r="8" spans="2:8" ht="16.5" customHeight="1" x14ac:dyDescent="0.25">
      <c r="B8" s="12" t="s">
        <v>108</v>
      </c>
      <c r="C8" s="49" t="s">
        <v>109</v>
      </c>
      <c r="D8" s="40"/>
      <c r="E8" s="40"/>
      <c r="F8" s="40"/>
      <c r="G8" s="40"/>
      <c r="H8" s="40"/>
    </row>
    <row r="9" spans="2:8" ht="28" customHeight="1" x14ac:dyDescent="0.25">
      <c r="B9" s="12" t="s">
        <v>110</v>
      </c>
      <c r="C9" s="49" t="s">
        <v>111</v>
      </c>
      <c r="D9" s="40"/>
      <c r="E9" s="40"/>
      <c r="F9" s="40"/>
      <c r="G9" s="40"/>
      <c r="H9" s="4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49" t="s">
        <v>114</v>
      </c>
      <c r="D12" s="40"/>
      <c r="E12" s="40"/>
      <c r="F12" s="40"/>
      <c r="G12" s="40"/>
      <c r="H12" s="40"/>
    </row>
    <row r="13" spans="2:8" ht="16.5" customHeight="1" x14ac:dyDescent="0.25">
      <c r="B13" s="12" t="s">
        <v>115</v>
      </c>
      <c r="C13" s="49" t="s">
        <v>116</v>
      </c>
      <c r="D13" s="40"/>
      <c r="E13" s="40"/>
      <c r="F13" s="40"/>
      <c r="G13" s="40"/>
      <c r="H13" s="40"/>
    </row>
    <row r="14" spans="2:8" ht="16.5" customHeight="1" x14ac:dyDescent="0.25">
      <c r="B14" s="12" t="s">
        <v>117</v>
      </c>
      <c r="C14" s="49" t="s">
        <v>118</v>
      </c>
      <c r="D14" s="40"/>
      <c r="E14" s="40"/>
      <c r="F14" s="40"/>
      <c r="G14" s="40"/>
      <c r="H14" s="40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Views>
    <sheetView showGridLines="0" workbookViewId="0"/>
  </sheetViews>
  <sheetFormatPr defaultRowHeight="14.5"/>
  <cols>
    <col min="1" max="1" width="22" customWidth="1"/>
    <col min="2" max="2" width="13" customWidth="1"/>
    <col min="3" max="4" width="17" customWidth="1"/>
    <col min="6" max="6" width="16" customWidth="1"/>
    <col min="7" max="7" width="12" customWidth="1"/>
  </cols>
  <sheetData>
    <row r="1">
      <c r="A1" t="inlineStr" s="50">
        <is>
          <t>三个产业趋势组合 · 动态持仓权重监控（单只权重超过20%自动标红预警）</t>
        </is>
      </c>
      <c r="F1" t="inlineStr" s="55">
        <is>
          <t>末行序号(自动)</t>
        </is>
      </c>
      <c r="G1" s="0">
        <f>COUNT('实盘净值数据(iFinD公式)'!$B$5:$B$60)</f>
      </c>
    </row>
    <row r="2">
      <c r="A2" t="inlineStr" s="50">
        <is>
          <t>截止净值日期：</t>
        </is>
      </c>
      <c r="B2" s="54">
        <f>INDEX('实盘净值数据(iFinD公式)'!$A$5:$A$60,$G$1)</f>
      </c>
      <c r="F2" t="inlineStr" s="55">
        <is>
          <t>产业趋势毛净值</t>
        </is>
      </c>
      <c r="G2" s="0">
        <f>SUMPRODUCT(实盘持仓配置!$B$4:$X$4,INDEX('实盘净值数据(iFinD公式)'!$B$5:$X$60,$G$1,0)/'实盘净值数据(iFinD公式)'!$B$6:$X$6)</f>
      </c>
    </row>
    <row r="3">
      <c r="F3" t="inlineStr" s="55">
        <is>
          <t>基石毛净值</t>
        </is>
      </c>
      <c r="G3" s="0">
        <f>SUMPRODUCT(实盘持仓配置!$B$5:$X$5,INDEX('实盘净值数据(iFinD公式)'!$B$5:$X$60,$G$1,0)/'实盘净值数据(iFinD公式)'!$B$5:$X$5)</f>
      </c>
    </row>
    <row r="4">
      <c r="F4" t="inlineStr" s="55">
        <is>
          <t>2号毛净值</t>
        </is>
      </c>
      <c r="G4" s="0">
        <f>SUMPRODUCT(实盘持仓配置!$B$6:$X$6,INDEX('实盘净值数据(iFinD公式)'!$B$5:$X$60,$G$1,0)/'实盘净值数据(iFinD公式)'!$B$7:$X$7)</f>
      </c>
      <c r="A4" t="inlineStr" s="50">
        <is>
          <t>产业趋势组合（起始日 2026-06-22）</t>
        </is>
      </c>
    </row>
    <row r="5">
      <c r="A5" t="inlineStr" s="51">
        <is>
          <t>基金简称</t>
        </is>
      </c>
      <c r="B5" t="inlineStr" s="51">
        <is>
          <t>基金代码</t>
        </is>
      </c>
      <c r="C5" t="inlineStr" s="51">
        <is>
          <t>初始权重</t>
        </is>
      </c>
      <c r="D5" t="inlineStr" s="51">
        <is>
          <t>动态权重(截止前一交易日)</t>
        </is>
      </c>
    </row>
    <row r="6">
      <c r="A6" t="inlineStr" s="0">
        <is>
          <t>国泰半导体ETF联接A</t>
        </is>
      </c>
      <c r="B6" t="inlineStr" s="55">
        <is>
          <t>019632.OF</t>
        </is>
      </c>
      <c r="C6" s="52">
        <f>实盘持仓配置!T$4</f>
      </c>
      <c r="D6" s="52">
        <f>实盘持仓配置!T$4*INDEX('实盘净值数据(iFinD公式)'!T$5:T$60,$G$1)/'实盘净值数据(iFinD公式)'!T$6/$G$2</f>
      </c>
    </row>
    <row r="7">
      <c r="A7" t="inlineStr" s="0">
        <is>
          <t>国泰通信ETF联接A</t>
        </is>
      </c>
      <c r="B7" t="inlineStr" s="55">
        <is>
          <t>007817.OF</t>
        </is>
      </c>
      <c r="C7" s="52">
        <f>实盘持仓配置!G$4</f>
      </c>
      <c r="D7" s="52">
        <f>实盘持仓配置!G$4*INDEX('实盘净值数据(iFinD公式)'!G$5:G$60,$G$1)/'实盘净值数据(iFinD公式)'!G$6/$G$2</f>
      </c>
    </row>
    <row r="8">
      <c r="A8" t="inlineStr" s="0">
        <is>
          <t>宏利复兴混合A</t>
        </is>
      </c>
      <c r="B8" t="inlineStr" s="55">
        <is>
          <t>001170.OF</t>
        </is>
      </c>
      <c r="C8" s="52">
        <f>实盘持仓配置!D$4</f>
      </c>
      <c r="D8" s="52">
        <f>实盘持仓配置!D$4*INDEX('实盘净值数据(iFinD公式)'!D$5:D$60,$G$1)/'实盘净值数据(iFinD公式)'!D$6/$G$2</f>
      </c>
    </row>
    <row r="9">
      <c r="A9" t="inlineStr" s="0">
        <is>
          <t>嘉实信息产业A</t>
        </is>
      </c>
      <c r="B9" t="inlineStr" s="55">
        <is>
          <t>017488.OF</t>
        </is>
      </c>
      <c r="C9" s="52">
        <f>实盘持仓配置!Q$4</f>
      </c>
      <c r="D9" s="52">
        <f>实盘持仓配置!Q$4*INDEX('实盘净值数据(iFinD公式)'!Q$5:Q$60,$G$1)/'实盘净值数据(iFinD公式)'!Q$6/$G$2</f>
      </c>
    </row>
    <row r="10">
      <c r="A10" t="inlineStr" s="0">
        <is>
          <t>信澳业绩驱动A</t>
        </is>
      </c>
      <c r="B10" t="inlineStr" s="55">
        <is>
          <t>016370.OF</t>
        </is>
      </c>
      <c r="C10" s="52">
        <f>实盘持仓配置!P$4</f>
      </c>
      <c r="D10" s="52">
        <f>实盘持仓配置!P$4*INDEX('实盘净值数据(iFinD公式)'!P$5:P$60,$G$1)/'实盘净值数据(iFinD公式)'!P$6/$G$2</f>
      </c>
    </row>
    <row r="11">
      <c r="A11" t="inlineStr" s="0">
        <is>
          <t>银华集成电路混合A</t>
        </is>
      </c>
      <c r="B11" t="inlineStr" s="55">
        <is>
          <t>013840.OF</t>
        </is>
      </c>
      <c r="C11" s="52">
        <f>实盘持仓配置!J$4</f>
      </c>
      <c r="D11" s="52">
        <f>实盘持仓配置!J$4*INDEX('实盘净值数据(iFinD公式)'!J$5:J$60,$G$1)/'实盘净值数据(iFinD公式)'!J$6/$G$2</f>
      </c>
    </row>
    <row r="12">
      <c r="A12" t="inlineStr" s="0">
        <is>
          <t>嘉实快线货币A</t>
        </is>
      </c>
      <c r="B12" t="inlineStr" s="55">
        <is>
          <t>000917.OF</t>
        </is>
      </c>
      <c r="C12" s="52">
        <f>实盘持仓配置!C$4</f>
      </c>
      <c r="D12" s="52">
        <f>实盘持仓配置!C$4*INDEX('实盘净值数据(iFinD公式)'!C$5:C$60,$G$1)/'实盘净值数据(iFinD公式)'!C$6/$G$2</f>
      </c>
    </row>
    <row r="13">
      <c r="A13" t="inlineStr" s="50">
        <is>
          <t>合计</t>
        </is>
      </c>
      <c r="C13" s="53">
        <f>SUM(C6:C12)</f>
      </c>
      <c r="D13" s="53">
        <f>SUM(D6:D12)</f>
      </c>
    </row>
    <row r="15">
      <c r="A15" t="inlineStr" s="50">
        <is>
          <t>产业趋势基石组合（起始日 2026-06-18）</t>
        </is>
      </c>
    </row>
    <row r="16">
      <c r="A16" t="inlineStr" s="51">
        <is>
          <t>基金简称</t>
        </is>
      </c>
      <c r="B16" t="inlineStr" s="51">
        <is>
          <t>基金代码</t>
        </is>
      </c>
      <c r="C16" t="inlineStr" s="51">
        <is>
          <t>初始权重</t>
        </is>
      </c>
      <c r="D16" t="inlineStr" s="51">
        <is>
          <t>动态权重(截止前一交易日)</t>
        </is>
      </c>
    </row>
    <row r="17">
      <c r="A17" t="inlineStr" s="0">
        <is>
          <t>国泰半导体ETF联接A</t>
        </is>
      </c>
      <c r="B17" t="inlineStr" s="55">
        <is>
          <t>019632.OF</t>
        </is>
      </c>
      <c r="C17" s="52">
        <f>实盘持仓配置!T$5</f>
      </c>
      <c r="D17" s="52">
        <f>实盘持仓配置!T$5*INDEX('实盘净值数据(iFinD公式)'!T$5:T$60,$G$1)/'实盘净值数据(iFinD公式)'!T$5/$G$3</f>
      </c>
    </row>
    <row r="18">
      <c r="A18" t="inlineStr" s="0">
        <is>
          <t>国泰通信ETF联接A</t>
        </is>
      </c>
      <c r="B18" t="inlineStr" s="55">
        <is>
          <t>007817.OF</t>
        </is>
      </c>
      <c r="C18" s="52">
        <f>实盘持仓配置!G$5</f>
      </c>
      <c r="D18" s="52">
        <f>实盘持仓配置!G$5*INDEX('实盘净值数据(iFinD公式)'!G$5:G$60,$G$1)/'实盘净值数据(iFinD公式)'!G$5/$G$3</f>
      </c>
    </row>
    <row r="19">
      <c r="A19" t="inlineStr" s="0">
        <is>
          <t>宏利复兴混合A</t>
        </is>
      </c>
      <c r="B19" t="inlineStr" s="55">
        <is>
          <t>001170.OF</t>
        </is>
      </c>
      <c r="C19" s="52">
        <f>实盘持仓配置!D$5</f>
      </c>
      <c r="D19" s="52">
        <f>实盘持仓配置!D$5*INDEX('实盘净值数据(iFinD公式)'!D$5:D$60,$G$1)/'实盘净值数据(iFinD公式)'!D$5/$G$3</f>
      </c>
    </row>
    <row r="20">
      <c r="A20" t="inlineStr" s="0">
        <is>
          <t>嘉实信息产业A</t>
        </is>
      </c>
      <c r="B20" t="inlineStr" s="55">
        <is>
          <t>017488.OF</t>
        </is>
      </c>
      <c r="C20" s="52">
        <f>实盘持仓配置!Q$5</f>
      </c>
      <c r="D20" s="52">
        <f>实盘持仓配置!Q$5*INDEX('实盘净值数据(iFinD公式)'!Q$5:Q$60,$G$1)/'实盘净值数据(iFinD公式)'!Q$5/$G$3</f>
      </c>
    </row>
    <row r="21">
      <c r="A21" t="inlineStr" s="0">
        <is>
          <t>信澳业绩驱动A</t>
        </is>
      </c>
      <c r="B21" t="inlineStr" s="55">
        <is>
          <t>016370.OF</t>
        </is>
      </c>
      <c r="C21" s="52">
        <f>实盘持仓配置!P$5</f>
      </c>
      <c r="D21" s="52">
        <f>实盘持仓配置!P$5*INDEX('实盘净值数据(iFinD公式)'!P$5:P$60,$G$1)/'实盘净值数据(iFinD公式)'!P$5/$G$3</f>
      </c>
    </row>
    <row r="22">
      <c r="A22" t="inlineStr" s="0">
        <is>
          <t>银华集成电路混合A</t>
        </is>
      </c>
      <c r="B22" t="inlineStr" s="55">
        <is>
          <t>013840.OF</t>
        </is>
      </c>
      <c r="C22" s="52">
        <f>实盘持仓配置!J$5</f>
      </c>
      <c r="D22" s="52">
        <f>实盘持仓配置!J$5*INDEX('实盘净值数据(iFinD公式)'!J$5:J$60,$G$1)/'实盘净值数据(iFinD公式)'!J$5/$G$3</f>
      </c>
    </row>
    <row r="23">
      <c r="A23" t="inlineStr" s="0">
        <is>
          <t>嘉实快线货币A</t>
        </is>
      </c>
      <c r="B23" t="inlineStr" s="55">
        <is>
          <t>000917.OF</t>
        </is>
      </c>
      <c r="C23" s="52">
        <f>实盘持仓配置!C$5</f>
      </c>
      <c r="D23" s="52">
        <f>实盘持仓配置!C$5*INDEX('实盘净值数据(iFinD公式)'!C$5:C$60,$G$1)/'实盘净值数据(iFinD公式)'!C$5/$G$3</f>
      </c>
    </row>
    <row r="24">
      <c r="A24" t="inlineStr" s="50">
        <is>
          <t>合计</t>
        </is>
      </c>
      <c r="C24" s="53">
        <f>SUM(C17:C23)</f>
      </c>
      <c r="D24" s="53">
        <f>SUM(D17:D23)</f>
      </c>
    </row>
    <row r="26">
      <c r="A26" t="inlineStr" s="50">
        <is>
          <t>产业趋势2号组合（起始日 2026-06-23）</t>
        </is>
      </c>
    </row>
    <row r="27">
      <c r="A27" t="inlineStr" s="51">
        <is>
          <t>基金简称</t>
        </is>
      </c>
      <c r="B27" t="inlineStr" s="51">
        <is>
          <t>基金代码</t>
        </is>
      </c>
      <c r="C27" t="inlineStr" s="51">
        <is>
          <t>初始权重</t>
        </is>
      </c>
      <c r="D27" t="inlineStr" s="51">
        <is>
          <t>动态权重(截止前一交易日)</t>
        </is>
      </c>
    </row>
    <row r="28">
      <c r="A28" t="inlineStr" s="0">
        <is>
          <t>国泰半导体C</t>
        </is>
      </c>
      <c r="B28" t="inlineStr" s="55">
        <is>
          <t>019633.OF</t>
        </is>
      </c>
      <c r="C28" s="52">
        <f>实盘持仓配置!U$6</f>
      </c>
      <c r="D28" s="52">
        <f>实盘持仓配置!U$6*INDEX('实盘净值数据(iFinD公式)'!U$5:U$60,$G$1)/'实盘净值数据(iFinD公式)'!U$7/$G$4</f>
      </c>
    </row>
    <row r="29">
      <c r="A29" t="inlineStr" s="0">
        <is>
          <t>国泰通信设备C</t>
        </is>
      </c>
      <c r="B29" t="inlineStr" s="55">
        <is>
          <t>007818.OF</t>
        </is>
      </c>
      <c r="C29" s="52">
        <f>实盘持仓配置!H$6</f>
      </c>
      <c r="D29" s="52">
        <f>实盘持仓配置!H$6*INDEX('实盘净值数据(iFinD公式)'!H$5:H$60,$G$1)/'实盘净值数据(iFinD公式)'!H$7/$G$4</f>
      </c>
    </row>
    <row r="30">
      <c r="A30" t="inlineStr" s="0">
        <is>
          <t>宏利复兴伟业C</t>
        </is>
      </c>
      <c r="B30" t="inlineStr" s="55">
        <is>
          <t>017612.OF</t>
        </is>
      </c>
      <c r="C30" s="52">
        <f>实盘持仓配置!S$6</f>
      </c>
      <c r="D30" s="52">
        <f>实盘持仓配置!S$6*INDEX('实盘净值数据(iFinD公式)'!S$5:S$60,$G$1)/'实盘净值数据(iFinD公式)'!S$7/$G$4</f>
      </c>
    </row>
    <row r="31">
      <c r="A31" t="inlineStr" s="0">
        <is>
          <t>嘉实信息产业C</t>
        </is>
      </c>
      <c r="B31" t="inlineStr" s="55">
        <is>
          <t>017489.OF</t>
        </is>
      </c>
      <c r="C31" s="52">
        <f>实盘持仓配置!R$6</f>
      </c>
      <c r="D31" s="52">
        <f>实盘持仓配置!R$6*INDEX('实盘净值数据(iFinD公式)'!R$5:R$60,$G$1)/'实盘净值数据(iFinD公式)'!R$7/$G$4</f>
      </c>
    </row>
    <row r="32">
      <c r="A32" t="inlineStr" s="0">
        <is>
          <t>嘉实前沿科技创新</t>
        </is>
      </c>
      <c r="B32" t="inlineStr" s="55">
        <is>
          <t>009993.OF</t>
        </is>
      </c>
      <c r="C32" s="52">
        <f>实盘持仓配置!I$6</f>
      </c>
      <c r="D32" s="52">
        <f>实盘持仓配置!I$6*INDEX('实盘净值数据(iFinD公式)'!I$5:I$60,$G$1)/'实盘净值数据(iFinD公式)'!I$7/$G$4</f>
      </c>
    </row>
    <row r="33">
      <c r="A33" t="inlineStr" s="0">
        <is>
          <t>银华集成电路混合C</t>
        </is>
      </c>
      <c r="B33" t="inlineStr" s="55">
        <is>
          <t>013841.OF</t>
        </is>
      </c>
      <c r="C33" s="52">
        <f>实盘持仓配置!K$6</f>
      </c>
      <c r="D33" s="52">
        <f>实盘持仓配置!K$6*INDEX('实盘净值数据(iFinD公式)'!K$5:K$60,$G$1)/'实盘净值数据(iFinD公式)'!K$7/$G$4</f>
      </c>
    </row>
    <row r="34">
      <c r="A34" t="inlineStr" s="0">
        <is>
          <t>嘉实快线货币A</t>
        </is>
      </c>
      <c r="B34" t="inlineStr" s="55">
        <is>
          <t>000917.OF</t>
        </is>
      </c>
      <c r="C34" s="52">
        <f>实盘持仓配置!C$6</f>
      </c>
      <c r="D34" s="52">
        <f>实盘持仓配置!C$6*INDEX('实盘净值数据(iFinD公式)'!C$5:C$60,$G$1)/'实盘净值数据(iFinD公式)'!C$7/$G$4</f>
      </c>
    </row>
    <row r="35">
      <c r="A35" t="inlineStr" s="50">
        <is>
          <t>合计</t>
        </is>
      </c>
      <c r="C35" s="53">
        <f>SUM(C28:C34)</f>
      </c>
      <c r="D35" s="53">
        <f>SUM(D28:D34)</f>
      </c>
    </row>
  </sheetData>
  <conditionalFormatting sqref="D6:D12 D17:D23 D28:D34">
    <cfRule type="cellIs" dxfId="0" priority="1" operator="greaterThan">
      <formula>0.2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2026-06-30T04:29:04Z</dcterms:modified>
</cp:coreProperties>
</file>