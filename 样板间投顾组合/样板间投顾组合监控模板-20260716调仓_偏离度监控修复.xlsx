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d6ef98164c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盘持仓配置" sheetId="1" r:id="R3ea17d08b4d24694"/>
    <x:sheet xmlns:r="http://schemas.openxmlformats.org/officeDocument/2006/relationships" name="实盘净值数据(iFinD公式)" sheetId="2" r:id="R2d2802c5884742d5"/>
    <x:sheet xmlns:r="http://schemas.openxmlformats.org/officeDocument/2006/relationships" name="实盘组合净值" sheetId="3" r:id="R34b130b0e04a4859"/>
    <x:sheet xmlns:r="http://schemas.openxmlformats.org/officeDocument/2006/relationships" name="分期持仓明细" sheetId="4" r:id="Redb3efdfcfa24293"/>
    <x:sheet xmlns:r="http://schemas.openxmlformats.org/officeDocument/2006/relationships" name="看板-产业趋势" sheetId="5" r:id="R121d72ad60a44068"/>
    <x:sheet xmlns:r="http://schemas.openxmlformats.org/officeDocument/2006/relationships" name="看板-产业趋势基石" sheetId="6" r:id="Rbde48b5da7d445cf"/>
    <x:sheet xmlns:r="http://schemas.openxmlformats.org/officeDocument/2006/relationships" name="看板-产业趋势2号" sheetId="7" r:id="R93849d5fc02f4577"/>
    <x:sheet xmlns:r="http://schemas.openxmlformats.org/officeDocument/2006/relationships" name="看板-10-90" sheetId="8" r:id="R6e5186c2605f40ae"/>
    <x:sheet xmlns:r="http://schemas.openxmlformats.org/officeDocument/2006/relationships" name="看板-10-90基石" sheetId="9" r:id="R76e0ca29adf640b5"/>
    <x:sheet xmlns:r="http://schemas.openxmlformats.org/officeDocument/2006/relationships" name="看板-30-70" sheetId="10" r:id="R88d930d44bb8439d"/>
    <x:sheet xmlns:r="http://schemas.openxmlformats.org/officeDocument/2006/relationships" name="说明" sheetId="11" r:id="R38aebe9045734e73"/>
    <x:sheet xmlns:r="http://schemas.openxmlformats.org/officeDocument/2006/relationships" name="持仓权重预警" sheetId="12" r:id="Red4a68f5812e4cce"/>
    <x:sheet xmlns:r="http://schemas.openxmlformats.org/officeDocument/2006/relationships" name="偏离度监控" sheetId="13" r:id="R515ec33708f44875"/>
  </x:sheets>
  <x:externalReferences>
    <x:externalReference xmlns:r="http://schemas.openxmlformats.org/officeDocument/2006/relationships" r:id="RIFIND_EXTERNAL_1"/>
  </x:externalReferences>
  <x:definedNames>
    <x:definedName name="_ChartDates" localSheetId="7">实盘组合净值!$A$8:INDEX(实盘组合净值!$A$8:$A$1000,MATCH(9.99999999999999E+307,实盘组合净值!$A$8:$A$1000))</x:definedName>
    <x:definedName name="_ChartValues" localSheetId="7">实盘组合净值!$K$8:INDEX(实盘组合净值!$K$8:$K$1000,MATCH(9.99999999999999E+307,实盘组合净值!$A$8:$A$1000))</x:definedName>
    <x:definedName name="_ChartDates" localSheetId="8">实盘组合净值!$A$5:INDEX(实盘组合净值!$A$5:$A$1000,MATCH(9.99999999999999E+307,实盘组合净值!$A$5:$A$1000))</x:definedName>
    <x:definedName name="_ChartValues" localSheetId="8">实盘组合净值!$N$5:INDEX(实盘组合净值!$N$5:$N$1000,MATCH(9.99999999999999E+307,实盘组合净值!$A$5:$A$1000))</x:definedName>
    <x:definedName name="_ChartDates" localSheetId="9">实盘组合净值!$A$8:INDEX(实盘组合净值!$A$8:$A$1000,MATCH(9.99999999999999E+307,实盘组合净值!$A$8:$A$1000))</x:definedName>
    <x:definedName name="_ChartValues" localSheetId="9">实盘组合净值!$Q$8:INDEX(实盘组合净值!$Q$8:$Q$1000,MATCH(9.99999999999999E+307,实盘组合净值!$A$8:$A$1000))</x:definedName>
    <x:definedName name="_ChartDates" localSheetId="4">实盘组合净值!$A$6:INDEX(实盘组合净值!$A$6:$A$1000,MATCH(9.99999999999999E+307,实盘组合净值!$A$6:$A$1000))</x:definedName>
    <x:definedName name="_ChartValues" localSheetId="4">实盘组合净值!$B$6:INDEX(实盘组合净值!$B$6:$B$1000,MATCH(9.99999999999999E+307,实盘组合净值!$A$6:$A$1000))</x:definedName>
    <x:definedName name="_ChartDates" localSheetId="6">实盘组合净值!$A$7:INDEX(实盘组合净值!$A$7:$A$1000,MATCH(9.99999999999999E+307,实盘组合净值!$A$7:$A$1000))</x:definedName>
    <x:definedName name="_ChartValues" localSheetId="6">实盘组合净值!$H$7:INDEX(实盘组合净值!$H$7:$H$1000,MATCH(9.99999999999999E+307,实盘组合净值!$A$7:$A$1000))</x:definedName>
    <x:definedName name="_ChartDates" localSheetId="5">实盘组合净值!$A$5:INDEX(实盘组合净值!$A$5:$A$1000,MATCH(9.99999999999999E+307,实盘组合净值!$A$5:$A$1000))</x:definedName>
    <x:definedName name="_ChartValues" localSheetId="5">实盘组合净值!$E$5:INDEX(实盘组合净值!$E$5:$E$1000,MATCH(9.99999999999999E+307,实盘组合净值!$A$5:$A$1000))</x:definedName>
  </x:definedNames>
  <x:calcPr calcId="152511" forceFullCalc="1"/>
</x:workbook>
</file>

<file path=xl/sharedStrings.xml><?xml version="1.0" encoding="utf-8"?>
<x:sst xmlns:x="http://schemas.openxmlformats.org/spreadsheetml/2006/main">
  <x:si>
    <x:r>
      <x:rPr>
        <x:b/>
        <x:sz val="15"/>
        <x:color rgb="FFFFFFFF"/>
        <x:rFont val="Linux Libertine G"/>
        <x:family val="2"/>
      </x:rPr>
      <x:t xml:space="preserve">持仓配置（实盘</x:t>
    </x:r>
    <x:r>
      <x:rPr>
        <x:b/>
        <x:sz val="15"/>
        <x:color rgb="FFFFFFFF"/>
        <x:rFont val="Arial"/>
        <x:family val="2"/>
      </x:rPr>
      <x:t xml:space="preserve">·</x:t>
    </x:r>
    <x:r>
      <x:rPr>
        <x:b/>
        <x:sz val="15"/>
        <x:color rgb="FFFFFFFF"/>
        <x:rFont val="Linux Libertine G"/>
        <x:family val="2"/>
      </x:rPr>
      <x:t xml:space="preserve">初始权重）</x:t>
    </x:r>
  </x:si>
  <x:si>
    <x:t xml:space="preserve">基金简称</x:t>
  </x:si>
  <x:si>
    <x:r>
      <x:rPr>
        <x:b/>
        <x:sz val="10"/>
        <x:color rgb="FF000000"/>
        <x:rFont val="Linux Libertine G"/>
        <x:family val="2"/>
      </x:rPr>
      <x:t xml:space="preserve">华安黄金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</x:si>
  <x:si>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嘉实快线货币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</x:si>
  <x:si>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宏利复兴混合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</x:si>
  <x:si>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增强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</x:si>
  <x:si>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</x:si>
  <x:si>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</x:si>
  <x:si>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C</x:t>
    </x:r>
  </x:si>
  <x:si>
    <x:t xml:space="preserve">嘉实前沿科技创新</x:t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</x:si>
  <x:si>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</x:si>
  <x:si>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</x:si>
  <x:si>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</x:si>
  <x:si>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</x:si>
  <x:si>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</x:si>
  <x:si>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</x:si>
  <x:si>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信澳业绩驱动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</x:si>
  <x:si>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</x:si>
  <x:si>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</x:si>
  <x:si>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宏利复兴伟业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</x:si>
  <x:si>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</x:si>
  <x:si>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</x:si>
  <x:si>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</x:si>
  <x:si>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</x:si>
  <x:si>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易方达中债新综指</x:t>
    </x:r>
    <x:r>
      <x:rPr>
        <x:b/>
        <x:sz val="10"/>
        <x:color rgb="FF000000"/>
        <x:rFont val="Arial"/>
        <x:family val="2"/>
      </x:rPr>
      <x:t xml:space="preserve">LOFA</x:t>
    </x:r>
  </x:si>
  <x:si>
    <x:t xml:space="preserve">合计</x:t>
  </x:si>
  <x:si>
    <x:t xml:space="preserve">年化费率</x:t>
  </x:si>
  <x:si>
    <x:t xml:space="preserve">净值起始日</x:t>
  </x:si>
  <x:si>
    <x:t xml:space="preserve">基金代码</x:t>
  </x:si>
  <x:si>
    <x:t xml:space="preserve">000216.OF</x:t>
  </x:si>
  <x:si>
    <x:t xml:space="preserve">000917.OF</x:t>
  </x:si>
  <x:si>
    <x:t xml:space="preserve">001170.OF</x:t>
  </x:si>
  <x:si>
    <x:t xml:space="preserve">007044.OF</x:t>
  </x:si>
  <x:si>
    <x:t xml:space="preserve">007045.OF</x:t>
  </x:si>
  <x:si>
    <x:t xml:space="preserve">007817.OF</x:t>
  </x:si>
  <x:si>
    <x:t xml:space="preserve">007818.OF</x:t>
  </x:si>
  <x:si>
    <x:t xml:space="preserve">009993.OF</x:t>
  </x:si>
  <x:si>
    <x:t xml:space="preserve">013840.OF</x:t>
  </x:si>
  <x:si>
    <x:t xml:space="preserve">013841.OF</x:t>
  </x:si>
  <x:si>
    <x:t xml:space="preserve">014201.OF</x:t>
  </x:si>
  <x:si>
    <x:t xml:space="preserve">014202.OF</x:t>
  </x:si>
  <x:si>
    <x:t xml:space="preserve">015453.OF</x:t>
  </x:si>
  <x:si>
    <x:t xml:space="preserve">015454.OF</x:t>
  </x:si>
  <x:si>
    <x:t xml:space="preserve">016370.OF</x:t>
  </x:si>
  <x:si>
    <x:t xml:space="preserve">017488.OF</x:t>
  </x:si>
  <x:si>
    <x:t xml:space="preserve">017489.OF</x:t>
  </x:si>
  <x:si>
    <x:t xml:space="preserve">017612.OF</x:t>
  </x:si>
  <x:si>
    <x:t xml:space="preserve">019632.OF</x:t>
  </x:si>
  <x:si>
    <x:t xml:space="preserve">019633.OF</x:t>
  </x:si>
  <x:si>
    <x:t xml:space="preserve">019923.OF</x:t>
  </x:si>
  <x:si>
    <x:t xml:space="preserve">019924.OF</x:t>
  </x:si>
  <x:si>
    <x:t xml:space="preserve">161119.OF</x:t>
  </x:si>
  <x:si>
    <x:t xml:space="preserve">产业趋势 权重</x:t>
  </x:si>
  <x:si>
    <x:t xml:space="preserve">产业趋势基石 权重</x:t>
  </x:si>
  <x:si>
    <x:r>
      <x:rPr>
        <x:b/>
        <x:sz val="10"/>
        <x:color rgb="FF000000"/>
        <x:rFont val="Linux Libertine G"/>
        <x:family val="2"/>
      </x:rPr>
      <x:t xml:space="preserve">产业趋势</x:t>
    </x:r>
    <x:r>
      <x:rPr>
        <x:b/>
        <x:sz val="10"/>
        <x:color rgb="FF000000"/>
        <x:rFont val="Arial"/>
        <x:family val="2"/>
      </x:rPr>
      <x:t xml:space="preserve">2</x:t>
    </x:r>
    <x:r>
      <x:rPr>
        <x:b/>
        <x:sz val="10"/>
        <x:color rgb="FF000000"/>
        <x:rFont val="Linux Libertine G"/>
        <x:family val="2"/>
      </x:rPr>
      <x:t xml:space="preserve">号 权重</x:t>
    </x:r>
  </x:si>
  <x:si>
    <x:r>
      <x:rPr>
        <x:b/>
        <x:sz val="10"/>
        <x:color rgb="FF000000"/>
        <x:rFont val="Arial"/>
        <x:family val="2"/>
      </x:rPr>
      <x:t xml:space="preserve">10-90 </x:t>
    </x:r>
    <x:r>
      <x:rPr>
        <x:b/>
        <x:sz val="10"/>
        <x:color rgb="FF000000"/>
        <x:rFont val="Linux Libertine G"/>
        <x:family val="2"/>
      </x:rPr>
      <x:t xml:space="preserve">权重</x:t>
    </x:r>
  </x:si>
  <x:si>
    <x:r>
      <x:rPr>
        <x:b/>
        <x:sz val="10"/>
        <x:color rgb="FF000000"/>
        <x:rFont val="Arial"/>
        <x:family val="2"/>
      </x:rPr>
      <x:t xml:space="preserve">10-90</x:t>
    </x:r>
    <x:r>
      <x:rPr>
        <x:b/>
        <x:sz val="10"/>
        <x:color rgb="FF000000"/>
        <x:rFont val="Linux Libertine G"/>
        <x:family val="2"/>
      </x:rPr>
      <x:t xml:space="preserve">基石 权重</x:t>
    </x:r>
  </x:si>
  <x:si>
    <x:r>
      <x:rPr>
        <x:b/>
        <x:sz val="10"/>
        <x:color rgb="FF000000"/>
        <x:rFont val="Arial"/>
        <x:family val="2"/>
      </x:rPr>
      <x:t xml:space="preserve">30-70 </x:t>
    </x:r>
    <x:r>
      <x:rPr>
        <x:b/>
        <x:sz val="10"/>
        <x:color rgb="FF000000"/>
        <x:rFont val="Linux Libertine G"/>
        <x:family val="2"/>
      </x:rPr>
      <x:t xml:space="preserve">权重</x:t>
    </x:r>
  </x:si>
  <x:si>
    <x:r>
      <x:rPr>
        <x:i/>
        <x:sz val="9"/>
        <x:color rgb="FF595959"/>
        <x:rFont val="Linux Libertine G"/>
        <x:family val="2"/>
      </x:rPr>
      <x:t xml:space="preserve">权重蓝色输入；</x:t>
    </x:r>
    <x:r>
      <x:rPr>
        <x:i/>
        <x:sz val="9"/>
        <x:color rgb="FF595959"/>
        <x:rFont val="Arial"/>
        <x:family val="2"/>
      </x:rPr>
      <x:t xml:space="preserve">Z</x:t>
    </x:r>
    <x:r>
      <x:rPr>
        <x:i/>
        <x:sz val="9"/>
        <x:color rgb="FF595959"/>
        <x:rFont val="Linux Libertine G"/>
        <x:family val="2"/>
      </x:rPr>
      <x:t xml:space="preserve">列为各组合年化费率、</x:t>
    </x:r>
    <x:r>
      <x:rPr>
        <x:i/>
        <x:sz val="9"/>
        <x:color rgb="FF595959"/>
        <x:rFont val="Arial"/>
        <x:family val="2"/>
      </x:rPr>
      <x:t xml:space="preserve">AA</x:t>
    </x:r>
    <x:r>
      <x:rPr>
        <x:i/>
        <x:sz val="9"/>
        <x:color rgb="FF595959"/>
        <x:rFont val="Linux Libertine G"/>
        <x:family val="2"/>
      </x:rPr>
      <x:t xml:space="preserve">列为各组合净值起始日</x:t>
    </x:r>
    <x:r>
      <x:rPr>
        <x:i/>
        <x:sz val="9"/>
        <x:color rgb="FF595959"/>
        <x:rFont val="Arial"/>
        <x:family val="2"/>
      </x:rPr>
      <x:t xml:space="preserve">(</x:t>
    </x:r>
    <x:r>
      <x:rPr>
        <x:i/>
        <x:sz val="9"/>
        <x:color rgb="FF595959"/>
        <x:rFont val="Linux Libertine G"/>
        <x:family val="2"/>
      </x:rPr>
      <x:t xml:space="preserve">当日净值</x:t>
    </x:r>
    <x:r>
      <x:rPr>
        <x:i/>
        <x:sz val="9"/>
        <x:color rgb="FF595959"/>
        <x:rFont val="Arial"/>
        <x:family val="2"/>
      </x:rPr>
      <x:t xml:space="preserve">=1)</x:t>
    </x:r>
    <x:r>
      <x:rPr>
        <x:i/>
        <x:sz val="9"/>
        <x:color rgb="FF595959"/>
        <x:rFont val="Linux Libertine G"/>
        <x:family val="2"/>
      </x:rPr>
      <x:t xml:space="preserve">。新增交易日下拉填充，下游净值与看板自动重算。</x:t>
    </x:r>
  </x:si>
  <x:si>
    <x:r>
      <x:rPr>
        <x:b/>
        <x:sz val="15"/>
        <x:color rgb="FFFFFFFF"/>
        <x:rFont val="Linux Libertine G"/>
        <x:family val="2"/>
      </x:rPr>
      <x:t xml:space="preserve">净值数据 </x:t>
    </x:r>
    <x:r>
      <x:rPr>
        <x:b/>
        <x:sz val="15"/>
        <x:color rgb="FFFFFFFF"/>
        <x:rFont val="Arial"/>
        <x:family val="2"/>
      </x:rPr>
      <x:t xml:space="preserve">* </x:t>
    </x:r>
    <x:r>
      <x:rPr>
        <x:b/>
        <x:sz val="15"/>
        <x:color rgb="FFFFFFFF"/>
        <x:rFont val="Linux Libertine G"/>
        <x:family val="2"/>
      </x:rPr>
      <x:t xml:space="preserve">实盘</x:t>
    </x:r>
  </x:si>
  <x:si>
    <x:t xml:space="preserve">基金代码→</x:t>
  </x:si>
  <x:si>
    <x:t xml:space="preserve">162214.OF</x:t>
  </x:si>
  <x:si>
    <x:t xml:space="preserve">宏利领先中小盘混合</x:t>
  </x:si>
  <x:si>
    <x:r>
      <x:rPr>
        <x:b/>
        <x:sz val="15"/>
        <x:color rgb="FFFFFFFF"/>
        <x:rFont val="宋体"/>
        <x:family val="3"/>
      </x:rPr>
      <x:t xml:space="preserve">组合净值</x:t>
    </x:r>
    <x:r>
      <x:rPr>
        <x:b/>
        <x:sz val="15"/>
        <x:color rgb="FFFFFFFF"/>
        <x:rFont val="Arial"/>
        <x:family val="2"/>
      </x:rPr>
      <x:t xml:space="preserve"/>
    </x:r>
  </x:si>
  <x:si>
    <x:t xml:space="preserve">组合 产业趋势</x:t>
  </x:si>
  <x:si>
    <x:t xml:space="preserve">组合 产业趋势基石</x:t>
  </x:si>
  <x:si>
    <x:r>
      <x:rPr>
        <x:b/>
        <x:sz val="11"/>
        <x:color rgb="FFFFFFFF"/>
        <x:rFont val="Linux Libertine G"/>
        <x:family val="2"/>
      </x:rPr>
      <x:t xml:space="preserve">组合 产业趋势</x:t>
    </x:r>
    <x:r>
      <x:rPr>
        <x:b/>
        <x:sz val="11"/>
        <x:color rgb="FFFFFFFF"/>
        <x:rFont val="Arial"/>
        <x:family val="2"/>
      </x:rPr>
      <x:t xml:space="preserve">2</x:t>
    </x:r>
    <x:r>
      <x:rPr>
        <x:b/>
        <x:sz val="11"/>
        <x:color rgb="FFFFFFFF"/>
        <x:rFont val="Linux Libertine G"/>
        <x:family val="2"/>
      </x:rPr>
      <x:t xml:space="preserve">号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</x:si>
  <x:si>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10-90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</x:si>
  <x:si>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10-90</x:t>
    </x:r>
    <x:r>
      <x:rPr>
        <x:b/>
        <x:sz val="11"/>
        <x:color rgb="FFFFFFFF"/>
        <x:rFont val="Linux Libertine G"/>
        <x:family val="2"/>
      </x:rPr>
      <x:t xml:space="preserve">基石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</x:si>
  <x:si>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30-70</x:t>
    </x:r>
  </x:si>
  <x:si>
    <x:t xml:space="preserve">日期</x:t>
  </x:si>
  <x:si>
    <x:t xml:space="preserve">净值</x:t>
  </x:si>
  <x:si>
    <x:t xml:space="preserve">日收益</x:t>
  </x:si>
  <x:si>
    <x:t xml:space="preserve">回撤</x:t>
  </x:si>
  <x:si>
    <x:r>
      <x:rPr>
        <x:i/>
        <x:sz val="9"/>
        <x:color rgb="FF595959"/>
        <x:rFont val="Linux Libertine G"/>
        <x:family val="2"/>
      </x:rPr>
      <x:t xml:space="preserve">各组合自其净值起始日起</x:t>
    </x:r>
    <x:r>
      <x:rPr>
        <x:i/>
        <x:sz val="9"/>
        <x:color rgb="FF595959"/>
        <x:rFont val="Arial"/>
        <x:family val="2"/>
      </x:rPr>
      <x:t xml:space="preserve">=1.0000</x:t>
    </x:r>
    <x:r>
      <x:rPr>
        <x:i/>
        <x:sz val="9"/>
        <x:color rgb="FF595959"/>
        <x:rFont val="Linux Libertine G"/>
        <x:family val="2"/>
      </x:rPr>
      <x:t xml:space="preserve">；买入持有，权重随涨跌漂移；净值已按各自年化费率折每日扣费。新增日期下拉填充。</x:t>
    </x:r>
  </x:si>
  <x:si>
    <x:r>
      <x:rPr>
        <x:sz val="10"/>
        <x:rFont val="Linux Libertine G"/>
        <x:family val="2"/>
      </x:rPr>
      <x:t xml:space="preserve">分期持仓明细（每次调仓后的组合权重；</x:t>
    </x:r>
    <x:r>
      <x:rPr>
        <x:sz val="10"/>
        <x:rFont val="Arial"/>
        <x:family val="2"/>
      </x:rPr>
      <x:t xml:space="preserve">P0=</x:t>
    </x:r>
    <x:r>
      <x:rPr>
        <x:sz val="10"/>
        <x:rFont val="Linux Libertine G"/>
        <x:family val="2"/>
      </x:rPr>
      <x:t xml:space="preserve">初始建仓，</x:t>
    </x:r>
    <x:r>
      <x:rPr>
        <x:sz val="10"/>
        <x:rFont val="Arial"/>
        <x:family val="2"/>
      </x:rPr>
      <x:t xml:space="preserve">P1=7/1</x:t>
    </x:r>
    <x:r>
      <x:rPr>
        <x:sz val="10"/>
        <x:rFont val="Linux Libertine G"/>
        <x:family val="2"/>
      </x:rPr>
      <x:t xml:space="preserve">调仓后…</x:t>
    </x:r>
    <x:r>
      <x:rPr>
        <x:sz val="10"/>
        <x:rFont val="Arial"/>
        <x:family val="2"/>
      </x:rPr>
      <x:t xml:space="preserve">P3=7/17</x:t>
    </x:r>
    <x:r>
      <x:rPr>
        <x:sz val="10"/>
        <x:rFont val="Linux Libertine G"/>
        <x:family val="2"/>
      </x:rPr>
      <x:t xml:space="preserve">调仓后）</x:t>
    </x:r>
  </x:si>
  <x:si>
    <x:r>
      <x:rPr>
        <x:sz val="11"/>
        <x:color theme="1"/>
        <x:rFont val="Linux Libertine G"/>
        <x:family val="2"/>
      </x:rPr>
      <x:t xml:space="preserve">华安黄金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</x:si>
  <x:si>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嘉实快线货币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</x:si>
  <x:si>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宏利复兴混合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</x:si>
  <x:si>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博道沪深</x:t>
    </x:r>
    <x:r>
      <x:rPr>
        <x:sz val="11"/>
        <x:color theme="1"/>
        <x:rFont val="宋体"/>
        <x:family val="2"/>
      </x:rPr>
      <x:t xml:space="preserve">300</x:t>
    </x:r>
    <x:r>
      <x:rPr>
        <x:sz val="11"/>
        <x:color theme="1"/>
        <x:rFont val="Linux Libertine G"/>
        <x:family val="2"/>
      </x:rPr>
      <x:t xml:space="preserve">增强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</x:si>
  <x:si>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博道沪深</x:t>
    </x:r>
    <x:r>
      <x:rPr>
        <x:sz val="11"/>
        <x:color theme="1"/>
        <x:rFont val="宋体"/>
        <x:family val="2"/>
      </x:rPr>
      <x:t xml:space="preserve">300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</x:si>
  <x:si>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国泰通信设备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</x:si>
  <x:si>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国泰通信设备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</x:si>
  <x:si>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银华集成电路混合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</x:si>
  <x:si>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银华集成电路混合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</x:si>
  <x:si>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天弘中证</x:t>
    </x:r>
    <x:r>
      <x:rPr>
        <x:sz val="11"/>
        <x:color theme="1"/>
        <x:rFont val="宋体"/>
        <x:family val="2"/>
      </x:rPr>
      <x:t xml:space="preserve">1000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</x:si>
  <x:si>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天弘中证</x:t>
    </x:r>
    <x:r>
      <x:rPr>
        <x:sz val="11"/>
        <x:color theme="1"/>
        <x:rFont val="宋体"/>
        <x:family val="2"/>
      </x:rPr>
      <x:t xml:space="preserve">1000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</x:si>
  <x:si>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中欧中证</x:t>
    </x:r>
    <x:r>
      <x:rPr>
        <x:sz val="11"/>
        <x:color theme="1"/>
        <x:rFont val="宋体"/>
        <x:family val="2"/>
      </x:rPr>
      <x:t xml:space="preserve">500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</x:si>
  <x:si>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中欧中证</x:t>
    </x:r>
    <x:r>
      <x:rPr>
        <x:sz val="11"/>
        <x:color theme="1"/>
        <x:rFont val="宋体"/>
        <x:family val="2"/>
      </x:rPr>
      <x:t xml:space="preserve">500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</x:si>
  <x:si>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信澳业绩驱动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</x:si>
  <x:si>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嘉实信息产业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</x:si>
  <x:si>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嘉实信息产业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</x:si>
  <x:si>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宏利复兴伟业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</x:si>
  <x:si>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国泰半导体材料设备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</x:si>
  <x:si>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国泰半导体材料设备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</x:si>
  <x:si>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华泰柏瑞中证</x:t>
    </x:r>
    <x:r>
      <x:rPr>
        <x:sz val="11"/>
        <x:color theme="1"/>
        <x:rFont val="宋体"/>
        <x:family val="2"/>
      </x:rPr>
      <x:t xml:space="preserve">2000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</x:si>
  <x:si>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华泰柏瑞中证</x:t>
    </x:r>
    <x:r>
      <x:rPr>
        <x:sz val="11"/>
        <x:color theme="1"/>
        <x:rFont val="宋体"/>
        <x:family val="2"/>
      </x:rPr>
      <x:t xml:space="preserve">2000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</x:si>
  <x:si>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易方达中债新综指</x:t>
    </x:r>
    <x:r>
      <x:rPr>
        <x:sz val="11"/>
        <x:color theme="1"/>
        <x:rFont val="宋体"/>
        <x:family val="2"/>
      </x:rPr>
      <x:t xml:space="preserve">LOFA</x:t>
    </x:r>
  </x:si>
  <x:si>
    <x:t xml:space="preserve">生效日</x:t>
  </x:si>
  <x:si>
    <x:r>
      <x:rPr>
        <x:sz val="11"/>
        <x:color theme="1"/>
        <x:rFont val="Linux Libertine G"/>
        <x:family val="2"/>
      </x:rPr>
      <x:t xml:space="preserve">累计因子</x:t>
    </x:r>
    <x:r>
      <x:rPr>
        <x:sz val="11"/>
        <x:color theme="1"/>
        <x:rFont val="宋体"/>
        <x:family val="2"/>
      </x:rPr>
      <x:t xml:space="preserve">(</x:t>
    </x:r>
    <x:r>
      <x:rPr>
        <x:sz val="11"/>
        <x:color theme="1"/>
        <x:rFont val="Linux Libertine G"/>
        <x:family val="2"/>
      </x:rPr>
      <x:t xml:space="preserve">自动</x:t>
    </x:r>
    <x:r>
      <x:rPr>
        <x:sz val="11"/>
        <x:color theme="1"/>
        <x:rFont val="宋体"/>
        <x:family val="2"/>
      </x:rPr>
      <x:t xml:space="preserve">)</x:t>
    </x:r>
  </x:si>
  <x:si>
    <x:t xml:space="preserve">000216</x:t>
  </x:si>
  <x:si>
    <x:t xml:space="preserve">000917</x:t>
  </x:si>
  <x:si>
    <x:t xml:space="preserve">001170</x:t>
  </x:si>
  <x:si>
    <x:t xml:space="preserve">007044</x:t>
  </x:si>
  <x:si>
    <x:t xml:space="preserve">007045</x:t>
  </x:si>
  <x:si>
    <x:t xml:space="preserve">007817</x:t>
  </x:si>
  <x:si>
    <x:t xml:space="preserve">007818</x:t>
  </x:si>
  <x:si>
    <x:t xml:space="preserve">009993</x:t>
  </x:si>
  <x:si>
    <x:t xml:space="preserve">013840</x:t>
  </x:si>
  <x:si>
    <x:t xml:space="preserve">013841</x:t>
  </x:si>
  <x:si>
    <x:t xml:space="preserve">014201</x:t>
  </x:si>
  <x:si>
    <x:t xml:space="preserve">014202</x:t>
  </x:si>
  <x:si>
    <x:t xml:space="preserve">015453</x:t>
  </x:si>
  <x:si>
    <x:t xml:space="preserve">015454</x:t>
  </x:si>
  <x:si>
    <x:t xml:space="preserve">016370</x:t>
  </x:si>
  <x:si>
    <x:t xml:space="preserve">017488</x:t>
  </x:si>
  <x:si>
    <x:t xml:space="preserve">017489</x:t>
  </x:si>
  <x:si>
    <x:t xml:space="preserve">017612</x:t>
  </x:si>
  <x:si>
    <x:t xml:space="preserve">019632</x:t>
  </x:si>
  <x:si>
    <x:t xml:space="preserve">019633</x:t>
  </x:si>
  <x:si>
    <x:t xml:space="preserve">019923</x:t>
  </x:si>
  <x:si>
    <x:t xml:space="preserve">019924</x:t>
  </x:si>
  <x:si>
    <x:t xml:space="preserve">161119</x:t>
  </x:si>
  <x:si>
    <x:t xml:space="preserve">162214</x:t>
  </x:si>
  <x:si>
    <x:r>
      <x:rPr>
        <x:sz val="11"/>
        <x:color theme="1"/>
        <x:rFont val="Linux Libertine G"/>
        <x:family val="2"/>
      </x:rPr>
      <x:t xml:space="preserve">产业趋势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</x:si>
  <x:si>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Linux Libertine G"/>
        <x:family val="2"/>
      </x:rPr>
      <x:t xml:space="preserve">产业趋势基石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</x:si>
  <x:si>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Linux Libertine G"/>
        <x:family val="2"/>
      </x:rPr>
      <x:t xml:space="preserve">产业趋势</x:t>
    </x:r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</x:si>
  <x:si>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 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</x:si>
  <x:si>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 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</x:si>
  <x:si>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</x:si>
  <x:si>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</x:si>
  <x:si>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30-70 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</x:si>
  <x:si>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30-70 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</x:si>
  <x:si>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 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</x:si>
  <x:si>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</x:si>
  <x:si>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30-70 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</x:si>
  <x:si>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</x:si>
  <x:si>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产业趋势基石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</x:si>
  <x:si>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</x:t>
    </x:r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</x:si>
  <x:si>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0"/>
        <x:rFont val="Arial"/>
        <x:family val="2"/>
      </x:rPr>
      <x:t xml:space="preserve">10-90 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</x:si>
  <x:si>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r>
      <x:rPr>
        <x:sz val="10"/>
        <x:rFont val="Arial"/>
        <x:family val="2"/>
      </x:rPr>
      <x:t xml:space="preserve">10-90</x:t>
    </x:r>
    <x:r>
      <x:rPr>
        <x:sz val="10"/>
        <x:rFont val="Linux Libertine G"/>
        <x:family val="2"/>
      </x:rPr>
      <x:t xml:space="preserve">基石 </x:t>
    </x:r>
    <x:r>
      <x:rPr>
        <x:sz val="10"/>
        <x:rFont val="Arial"/>
        <x:family val="2"/>
      </x:rPr>
      <x:t xml:space="preserve">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</x:si>
  <x:si>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r>
      <x:rPr>
        <x:sz val="10"/>
        <x:rFont val="Arial"/>
        <x:family val="2"/>
      </x:rPr>
      <x:t xml:space="preserve">30-70 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</x:si>
  <x:si>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t xml:space="preserve">样板间组合走势看板（产业趋势组合）</x:t>
  </x:si>
  <x:si>
    <x:t xml:space="preserve">产品业绩表现（历史表现不代表未来收益承诺）</x:t>
  </x:si>
  <x:si>
    <x:t xml:space="preserve">最新净值</x:t>
  </x:si>
  <x:si>
    <x:t xml:space="preserve">累计收益</x:t>
  </x:si>
  <x:si>
    <x:t xml:space="preserve">年化收益</x:t>
  </x:si>
  <x:si>
    <x:t xml:space="preserve">年化波动率</x:t>
  </x:si>
  <x:si>
    <x:t xml:space="preserve">最大回撤</x:t>
  </x:si>
  <x:si>
    <x:t xml:space="preserve">夏普比率</x:t>
  </x:si>
  <x:si>
    <x:t xml:space="preserve">收益表现</x:t>
  </x:si>
  <x:si>
    <x:t xml:space="preserve">风险特征</x:t>
  </x:si>
  <x:si>
    <x:t xml:space="preserve">区间</x:t>
  </x:si>
  <x:si>
    <x:t xml:space="preserve">指标</x:t>
  </x:si>
  <x:si>
    <x:t xml:space="preserve">数值</x:t>
  </x:si>
  <x:si>
    <x:t xml:space="preserve">起始以来</x:t>
  </x:si>
  <x:si>
    <x:t xml:space="preserve">2026YTD</x:t>
  </x:si>
  <x:si>
    <x:r>
      <x:rPr>
        <x:b/>
        <x:sz val="16"/>
        <x:color rgb="FF000000"/>
        <x:rFont val="Linux Libertine G"/>
        <x:family val="2"/>
      </x:rPr>
      <x:t xml:space="preserve">回撤修复天数</x:t>
    </x:r>
    <x:r>
      <x:rPr>
        <x:b/>
        <x:sz val="16"/>
        <x:color rgb="FF000000"/>
        <x:rFont val="微软雅黑"/>
        <x:family val="2"/>
      </x:rPr>
      <x:t xml:space="preserve">(</x:t>
    </x:r>
    <x:r>
      <x:rPr>
        <x:b/>
        <x:sz val="16"/>
        <x:color rgb="FF000000"/>
        <x:rFont val="Linux Libertine G"/>
        <x:family val="2"/>
      </x:rPr>
      <x:t xml:space="preserve">未创新高</x:t>
    </x:r>
    <x:r>
      <x:rPr>
        <x:b/>
        <x:sz val="16"/>
        <x:color rgb="FF000000"/>
        <x:rFont val="微软雅黑"/>
        <x:family val="2"/>
      </x:rPr>
      <x:t xml:space="preserve">)</x:t>
    </x:r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</x:si>
  <x:si>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3</x:t>
    </x:r>
    <x:r>
      <x:rPr>
        <x:b/>
        <x:sz val="16"/>
        <x:color rgb="FF000000"/>
        <x:rFont val="Linux Libertine G"/>
        <x:family val="2"/>
      </x:rPr>
      <x:t xml:space="preserve">个月</x:t>
    </x:r>
  </x:si>
  <x:si>
    <x:t xml:space="preserve">正收益占比</x:t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</x:si>
  <x:si>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6</x:t>
    </x:r>
    <x:r>
      <x:rPr>
        <x:b/>
        <x:sz val="16"/>
        <x:color rgb="FF000000"/>
        <x:rFont val="Linux Libertine G"/>
        <x:family val="2"/>
      </x:rPr>
      <x:t xml:space="preserve">个月</x:t>
    </x:r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</x:si>
  <x:si>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1</x:t>
    </x:r>
    <x:r>
      <x:rPr>
        <x:b/>
        <x:sz val="16"/>
        <x:color rgb="FF000000"/>
        <x:rFont val="Linux Libertine G"/>
        <x:family val="2"/>
      </x:rPr>
      <x:t xml:space="preserve">年</x:t>
    </x:r>
  </x:si>
  <x:si>
    <x:t xml:space="preserve">卡玛比率</x:t>
  </x:si>
  <x:si>
    <x:r>
      <x:rPr>
        <x:b/>
        <x:sz val="11"/>
        <x:color rgb="FFFFFFFF"/>
        <x:rFont val="Linux Libertine G"/>
        <x:family val="2"/>
      </x:rPr>
      <x:t xml:space="preserve">产品运作情况 </x:t>
    </x:r>
    <x:r>
      <x:rPr>
        <x:b/>
        <x:sz val="11"/>
        <x:color rgb="FFFFFFFF"/>
        <x:rFont val="Arial"/>
        <x:family val="2"/>
      </x:rPr>
      <x:t xml:space="preserve">· </x:t>
    </x:r>
    <x:r>
      <x:rPr>
        <x:b/>
        <x:sz val="11"/>
        <x:color rgb="FFFFFFFF"/>
        <x:rFont val="Linux Libertine G"/>
        <x:family val="2"/>
      </x:rPr>
      <x:t xml:space="preserve">组合净值曲线</x:t>
    </x:r>
  </x:si>
  <x:si>
    <x:r>
      <x:rPr>
        <x:i/>
        <x:sz val="9"/>
        <x:color rgb="FF595959"/>
        <x:rFont val="Linux Libertine G"/>
        <x:family val="2"/>
      </x:rPr>
      <x:t xml:space="preserve">统计区间自</x:t>
    </x:r>
    <x:r>
      <x:rPr>
        <x:i/>
        <x:sz val="9"/>
        <x:color rgb="FF595959"/>
        <x:rFont val="Arial"/>
        <x:family val="2"/>
      </x:rPr>
      <x:t xml:space="preserve">2026/6/1</x:t>
    </x:r>
    <x:r>
      <x:rPr>
        <x:i/>
        <x:sz val="9"/>
        <x:color rgb="FF595959"/>
        <x:rFont val="Linux Libertine G"/>
        <x:family val="2"/>
      </x:rPr>
      <x:t xml:space="preserve">起；运作初期样本少，年化类指标仅供参考。新增交易日后请同步扩展本图数据区。</x:t>
    </x:r>
  </x:si>
  <x:si>
    <x:t xml:space="preserve">样板间组合走势看板（产业趋势基石组合）</x:t>
  </x:si>
  <x:si>
    <x:r>
      <x:rPr>
        <x:b/>
        <x:sz val="17"/>
        <x:color rgb="FFFFFFFF"/>
        <x:rFont val="Linux Libertine G"/>
        <x:family val="2"/>
      </x:rPr>
      <x:t xml:space="preserve">样板间组合走势看板（产业趋势</x:t>
    </x:r>
    <x:r>
      <x:rPr>
        <x:b/>
        <x:sz val="17"/>
        <x:color rgb="FFFFFFFF"/>
        <x:rFont val="Arial"/>
        <x:family val="2"/>
      </x:rPr>
      <x:t xml:space="preserve">2</x:t>
    </x:r>
    <x:r>
      <x:rPr>
        <x:b/>
        <x:sz val="17"/>
        <x:color rgb="FFFFFFFF"/>
        <x:rFont val="Linux Libertine G"/>
        <x:family val="2"/>
      </x:rPr>
      <x:t xml:space="preserve">号组合）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</x:si>
  <x:si>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10-90</x:t>
    </x:r>
    <x:r>
      <x:rPr>
        <x:b/>
        <x:sz val="17"/>
        <x:color rgb="FFFFFFFF"/>
        <x:rFont val="Linux Libertine G"/>
        <x:family val="2"/>
      </x:rPr>
      <x:t xml:space="preserve">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</x:si>
  <x:si>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10-90</x:t>
    </x:r>
    <x:r>
      <x:rPr>
        <x:b/>
        <x:sz val="17"/>
        <x:color rgb="FFFFFFFF"/>
        <x:rFont val="Linux Libertine G"/>
        <x:family val="2"/>
      </x:rPr>
      <x:t xml:space="preserve">基石组合）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</x:si>
  <x:si>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30-70</x:t>
    </x:r>
    <x:r>
      <x:rPr>
        <x:b/>
        <x:sz val="17"/>
        <x:color rgb="FFFFFFFF"/>
        <x:rFont val="Linux Libertine G"/>
        <x:family val="2"/>
      </x:rPr>
      <x:t xml:space="preserve">组合）</x:t>
    </x:r>
  </x:si>
  <x:si>
    <x:r>
      <x:rPr>
        <x:b/>
        <x:sz val="18"/>
        <x:color rgb="FF1F3864"/>
        <x:rFont val="Linux Libertine G"/>
        <x:family val="2"/>
      </x:rPr>
      <x:t xml:space="preserve">样板间投顾组合 </x:t>
    </x:r>
    <x:r>
      <x:rPr>
        <x:b/>
        <x:sz val="18"/>
        <x:color rgb="FF1F3864"/>
        <x:rFont val="Arial"/>
        <x:family val="2"/>
      </x:rPr>
      <x:t xml:space="preserve">· </x:t>
    </x:r>
    <x:r>
      <x:rPr>
        <x:b/>
        <x:sz val="18"/>
        <x:color rgb="FF1F3864"/>
        <x:rFont val="Linux Libertine G"/>
        <x:family val="2"/>
      </x:rPr>
      <x:t xml:space="preserve">净值监控模板</x:t>
    </x:r>
  </x:si>
  <x:si>
    <x:r>
      <x:rPr>
        <x:i/>
        <x:sz val="9"/>
        <x:color rgb="FF595959"/>
        <x:rFont val="Linux Libertine G"/>
        <x:family val="2"/>
      </x:rPr>
      <x:t xml:space="preserve">运作起始日（实盘）：产业趋势基石</x:t>
    </x:r>
    <x:r>
      <x:rPr>
        <x:i/>
        <x:sz val="9"/>
        <x:color rgb="FF595959"/>
        <x:rFont val="Arial"/>
        <x:family val="2"/>
      </x:rPr>
      <x:t xml:space="preserve">/10-90</x:t>
    </x:r>
    <x:r>
      <x:rPr>
        <x:i/>
        <x:sz val="9"/>
        <x:color rgb="FF595959"/>
        <x:rFont val="Linux Libertine G"/>
        <x:family val="2"/>
      </x:rPr>
      <x:t xml:space="preserve">基石 </x:t>
    </x:r>
    <x:r>
      <x:rPr>
        <x:i/>
        <x:sz val="9"/>
        <x:color rgb="FF595959"/>
        <x:rFont val="Arial"/>
        <x:family val="2"/>
      </x:rPr>
      <x:t xml:space="preserve">2026/6/18 · </x:t>
    </x:r>
    <x:r>
      <x:rPr>
        <x:i/>
        <x:sz val="9"/>
        <x:color rgb="FF595959"/>
        <x:rFont val="Linux Libertine G"/>
        <x:family val="2"/>
      </x:rPr>
      <x:t xml:space="preserve">产业趋势 </x:t>
    </x:r>
    <x:r>
      <x:rPr>
        <x:i/>
        <x:sz val="9"/>
        <x:color rgb="FF595959"/>
        <x:rFont val="Arial"/>
        <x:family val="2"/>
      </x:rPr>
      <x:t xml:space="preserve">6/22 · </x:t>
    </x:r>
    <x:r>
      <x:rPr>
        <x:i/>
        <x:sz val="9"/>
        <x:color rgb="FF595959"/>
        <x:rFont val="Linux Libertine G"/>
        <x:family val="2"/>
      </x:rPr>
      <x:t xml:space="preserve">产业趋势</x:t>
    </x:r>
    <x:r>
      <x:rPr>
        <x:i/>
        <x:sz val="9"/>
        <x:color rgb="FF595959"/>
        <x:rFont val="Arial"/>
        <x:family val="2"/>
      </x:rPr>
      <x:t xml:space="preserve">2</x:t>
    </x:r>
    <x:r>
      <x:rPr>
        <x:i/>
        <x:sz val="9"/>
        <x:color rgb="FF595959"/>
        <x:rFont val="Linux Libertine G"/>
        <x:family val="2"/>
      </x:rPr>
      <x:t xml:space="preserve">号 </x:t>
    </x:r>
    <x:r>
      <x:rPr>
        <x:i/>
        <x:sz val="9"/>
        <x:color rgb="FF595959"/>
        <x:rFont val="Arial"/>
        <x:family val="2"/>
      </x:rPr>
      <x:t xml:space="preserve">6/23 · 10-90/30-70 6/24 </x:t>
    </x:r>
    <x:r>
      <x:rPr>
        <x:i/>
        <x:sz val="9"/>
        <x:color rgb="FF595959"/>
        <x:rFont val="Linux Libertine G"/>
        <x:family val="2"/>
      </x:rPr>
      <x:t xml:space="preserve">｜ 净值口径：复权单位净值</x:t>
    </x:r>
    <x:r>
      <x:rPr>
        <x:i/>
        <x:sz val="9"/>
        <x:color rgb="FF595959"/>
        <x:rFont val="Arial"/>
        <x:family val="2"/>
      </x:rPr>
      <x:t xml:space="preserve">(iFinD) </x:t>
    </x:r>
    <x:r>
      <x:rPr>
        <x:i/>
        <x:sz val="9"/>
        <x:color rgb="FF595959"/>
        <x:rFont val="Linux Libertine G"/>
        <x:family val="2"/>
      </x:rPr>
      <x:t xml:space="preserve">｜ 买入持有</x:t>
    </x:r>
    <x:r>
      <x:rPr>
        <x:i/>
        <x:sz val="9"/>
        <x:color rgb="FF595959"/>
        <x:rFont val="Arial"/>
        <x:family val="2"/>
      </x:rPr>
      <x:t xml:space="preserve">(</x:t>
    </x:r>
    <x:r>
      <x:rPr>
        <x:i/>
        <x:sz val="9"/>
        <x:color rgb="FF595959"/>
        <x:rFont val="Linux Libertine G"/>
        <x:family val="2"/>
      </x:rPr>
      <x:t xml:space="preserve">权重漂移</x:t>
    </x:r>
    <x:r>
      <x:rPr>
        <x:i/>
        <x:sz val="9"/>
        <x:color rgb="FF595959"/>
        <x:rFont val="Arial"/>
        <x:family val="2"/>
      </x:rPr>
      <x:t xml:space="preserve">)</x:t>
    </x:r>
    <x:r>
      <x:rPr>
        <x:i/>
        <x:sz val="9"/>
        <x:color rgb="FF595959"/>
        <x:rFont val="Linux Libertine G"/>
        <x:family val="2"/>
      </x:rPr>
      <x:t xml:space="preserve">，各组合自其起始日净值</x:t>
    </x:r>
    <x:r>
      <x:rPr>
        <x:i/>
        <x:sz val="9"/>
        <x:color rgb="FF595959"/>
        <x:rFont val="Arial"/>
        <x:family val="2"/>
      </x:rPr>
      <x:t xml:space="preserve">=1</x:t>
    </x:r>
  </x:si>
  <x:si>
    <x:t xml:space="preserve">一、模板结构</x:t>
  </x:si>
  <x:si>
    <x:t xml:space="preserve">持仓配置</x:t>
  </x:si>
  <x:si>
    <x:r>
      <x:rPr>
        <x:sz val="10"/>
        <x:color rgb="FF000000"/>
        <x:rFont val="Linux Libertine G"/>
        <x:family val="2"/>
      </x:rPr>
      <x:t xml:space="preserve">实盘</x:t>
    </x:r>
    <x:r>
      <x:rPr>
        <x:sz val="10"/>
        <x:color rgb="FF000000"/>
        <x:rFont val="微软雅黑"/>
        <x:family val="2"/>
      </x:rPr>
      <x:t xml:space="preserve">6</x:t>
    </x:r>
    <x:r>
      <x:rPr>
        <x:sz val="10"/>
        <x:color rgb="FF000000"/>
        <x:rFont val="Linux Libertine G"/>
        <x:family val="2"/>
      </x:rPr>
      <x:t xml:space="preserve">组合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产业趋势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产业趋势基石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产业趋势</x:t>
    </x:r>
    <x:r>
      <x:rPr>
        <x:sz val="10"/>
        <x:color rgb="FF000000"/>
        <x:rFont val="微软雅黑"/>
        <x:family val="2"/>
      </x:rPr>
      <x:t xml:space="preserve">2</x:t>
    </x:r>
    <x:r>
      <x:rPr>
        <x:sz val="10"/>
        <x:color rgb="FF000000"/>
        <x:rFont val="Linux Libertine G"/>
        <x:family val="2"/>
      </x:rPr>
      <x:t xml:space="preserve">号</x:t>
    </x:r>
    <x:r>
      <x:rPr>
        <x:sz val="10"/>
        <x:color rgb="FF000000"/>
        <x:rFont val="微软雅黑"/>
        <x:family val="2"/>
      </x:rPr>
      <x:t xml:space="preserve">/10-90/10-90</x:t>
    </x:r>
    <x:r>
      <x:rPr>
        <x:sz val="10"/>
        <x:color rgb="FF000000"/>
        <x:rFont val="Linux Libertine G"/>
        <x:family val="2"/>
      </x:rPr>
      <x:t xml:space="preserve">基石</x:t>
    </x:r>
    <x:r>
      <x:rPr>
        <x:sz val="10"/>
        <x:color rgb="FF000000"/>
        <x:rFont val="微软雅黑"/>
        <x:family val="2"/>
      </x:rPr>
      <x:t xml:space="preserve">/30-70)</x:t>
    </x:r>
    <x:r>
      <x:rPr>
        <x:sz val="10"/>
        <x:color rgb="FF000000"/>
        <x:rFont val="Linux Libertine G"/>
        <x:family val="2"/>
      </x:rPr>
      <x:t xml:space="preserve">成份基金、代码、初始权重、年化费率、净值起始日，可直接编辑。</x:t>
    </x:r>
  </x:si>
  <x:si>
    <x:r>
      <x:rPr>
        <x:b/>
        <x:sz val="10"/>
        <x:color rgb="FF000000"/>
        <x:rFont val="Linux Libertine G"/>
        <x:family val="2"/>
      </x:rPr>
      <x:t xml:space="preserve">净值数据</x:t>
    </x:r>
    <x:r>
      <x:rPr>
        <x:b/>
        <x:sz val="10"/>
        <x:color rgb="FF000000"/>
        <x:rFont val="Arial"/>
        <x:family val="2"/>
      </x:rPr>
      <x:t xml:space="preserve">(iFinD</x:t>
    </x:r>
    <x:r>
      <x:rPr>
        <x:b/>
        <x:sz val="10"/>
        <x:color rgb="FF000000"/>
        <x:rFont val="Linux Libertine G"/>
        <x:family val="2"/>
      </x:rPr>
      <x:t xml:space="preserve">公式</x:t>
    </x:r>
    <x:r>
      <x:rPr>
        <x:b/>
        <x:sz val="10"/>
        <x:color rgb="FF000000"/>
        <x:rFont val="Arial"/>
        <x:family val="2"/>
      </x:rPr>
      <x:t xml:space="preserve">)</x:t>
    </x:r>
  </x:si>
  <x:si>
    <x:t xml:space="preserve">同花顺公式拉取复权单位净值</x:t>
  </x:si>
  <x:si>
    <x:t xml:space="preserve">组合净值</x:t>
  </x:si>
  <x:si>
    <x:r>
      <x:rPr>
        <x:sz val="10"/>
        <x:color rgb="FF000000"/>
        <x:rFont val="Linux Libertine G"/>
        <x:family val="2"/>
      </x:rPr>
      <x:t xml:space="preserve">按买入持有逐日计算四组合净值、日收益与回撤；净值已按年化费率折每日扣费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扣费后口径</x:t>
    </x:r>
    <x:r>
      <x:rPr>
        <x:sz val="10"/>
        <x:color rgb="FF000000"/>
        <x:rFont val="微软雅黑"/>
        <x:family val="2"/>
      </x:rPr>
      <x:t xml:space="preserve">)</x:t>
    </x:r>
    <x:r>
      <x:rPr>
        <x:sz val="10"/>
        <x:color rgb="FF000000"/>
        <x:rFont val="Linux Libertine G"/>
        <x:family val="2"/>
      </x:rPr>
      <x:t xml:space="preserve">。</x:t>
    </x:r>
  </x:si>
  <x:si>
    <x:r>
      <x:rPr>
        <x:b/>
        <x:sz val="10"/>
        <x:color rgb="FF000000"/>
        <x:rFont val="Linux Libertine G"/>
        <x:family val="2"/>
      </x:rPr>
      <x:t xml:space="preserve">看板</x:t>
    </x:r>
    <x:r>
      <x:rPr>
        <x:b/>
        <x:sz val="10"/>
        <x:color rgb="FF000000"/>
        <x:rFont val="Arial"/>
        <x:family val="2"/>
      </x:rPr>
      <x:t xml:space="preserve">-10/20/30/</x:t>
    </x:r>
    <x:r>
      <x:rPr>
        <x:b/>
        <x:sz val="10"/>
        <x:color rgb="FF000000"/>
        <x:rFont val="Linux Libertine G"/>
        <x:family val="2"/>
      </x:rPr>
      <x:t xml:space="preserve">增值</x:t>
    </x:r>
  </x:si>
  <x:si>
    <x:r>
      <x:rPr>
        <x:sz val="10"/>
        <x:color rgb="FF000000"/>
        <x:rFont val="微软雅黑"/>
        <x:family val="2"/>
      </x:rPr>
      <x:t xml:space="preserve">6</x:t>
    </x:r>
    <x:r>
      <x:rPr>
        <x:sz val="10"/>
        <x:color rgb="FF000000"/>
        <x:rFont val="Linux Libertine G"/>
        <x:family val="2"/>
      </x:rPr>
      <x:t xml:space="preserve">个组合各一页：业绩</x:t>
    </x:r>
    <x:r>
      <x:rPr>
        <x:sz val="10"/>
        <x:color rgb="FF000000"/>
        <x:rFont val="微软雅黑"/>
        <x:family val="2"/>
      </x:rPr>
      <x:t xml:space="preserve">KPI</x:t>
    </x:r>
    <x:r>
      <x:rPr>
        <x:sz val="10"/>
        <x:color rgb="FF000000"/>
        <x:rFont val="Linux Libertine G"/>
        <x:family val="2"/>
      </x:rPr>
      <x:t xml:space="preserve">＋收益表现＋风险特征＋净值曲线。</x:t>
    </x:r>
  </x:si>
  <x:si>
    <x:t xml:space="preserve">二、使用说明</x:t>
  </x:si>
  <x:si>
    <x:t xml:space="preserve">每日更新</x:t>
  </x:si>
  <x:si>
    <x:r>
      <x:rPr>
        <x:sz val="10"/>
        <x:color rgb="FF000000"/>
        <x:rFont val="Linux Libertine G"/>
        <x:family val="2"/>
      </x:rPr>
      <x:t xml:space="preserve">在『净值数据』『组合净值』底部按日期顺序新增一行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公式可下拉</x:t>
    </x:r>
    <x:r>
      <x:rPr>
        <x:sz val="10"/>
        <x:color rgb="FF000000"/>
        <x:rFont val="微软雅黑"/>
        <x:family val="2"/>
      </x:rPr>
      <x:t xml:space="preserve">)</x:t>
    </x:r>
    <x:r>
      <x:rPr>
        <x:sz val="10"/>
        <x:color rgb="FF000000"/>
        <x:rFont val="Linux Libertine G"/>
        <x:family val="2"/>
      </x:rPr>
      <x:t xml:space="preserve">，看板自动刷新。</x:t>
    </x:r>
  </x:si>
  <x:si>
    <x:r>
      <x:rPr>
        <x:b/>
        <x:sz val="10"/>
        <x:color rgb="FF000000"/>
        <x:rFont val="Arial"/>
        <x:family val="2"/>
      </x:rPr>
      <x:t xml:space="preserve">iFinD</x:t>
    </x:r>
    <x:r>
      <x:rPr>
        <x:b/>
        <x:sz val="10"/>
        <x:color rgb="FF000000"/>
        <x:rFont val="Linux Libertine G"/>
        <x:family val="2"/>
      </x:rPr>
      <x:t xml:space="preserve">指标</x:t>
    </x:r>
  </x:si>
  <x:si>
    <x:r>
      <x:rPr>
        <x:sz val="10"/>
        <x:color rgb="FF000000"/>
        <x:rFont val="Linux Libertine G"/>
        <x:family val="2"/>
      </x:rPr>
      <x:t xml:space="preserve">复权净值指标代码集中在『净值数据』</x:t>
    </x:r>
    <x:r>
      <x:rPr>
        <x:sz val="10"/>
        <x:color rgb="FF000000"/>
        <x:rFont val="微软雅黑"/>
        <x:family val="2"/>
      </x:rPr>
      <x:t xml:space="preserve">B2</x:t>
    </x:r>
    <x:r>
      <x:rPr>
        <x:sz val="10"/>
        <x:color rgb="FF000000"/>
        <x:rFont val="Linux Libertine G"/>
        <x:family val="2"/>
      </x:rPr>
      <x:t xml:space="preserve">，与本地版本不符时只改此处。</x:t>
    </x:r>
  </x:si>
  <x:si>
    <x:t xml:space="preserve">买入持有口径</x:t>
  </x:si>
  <x:si>
    <x:r>
      <x:rPr>
        <x:sz val="10"/>
        <x:color rgb="FF000000"/>
        <x:rFont val="Linux Libertine G"/>
        <x:family val="2"/>
      </x:rPr>
      <x:t xml:space="preserve">起始日按初始权重买入后持有，权重随涨跌漂移；组合起始净值</x:t>
    </x:r>
    <x:r>
      <x:rPr>
        <x:sz val="10"/>
        <x:color rgb="FF000000"/>
        <x:rFont val="微软雅黑"/>
        <x:family val="2"/>
      </x:rPr>
      <x:t xml:space="preserve">=1.0000</x:t>
    </x:r>
    <x:r>
      <x:rPr>
        <x:sz val="10"/>
        <x:color rgb="FF000000"/>
        <x:rFont val="Linux Libertine G"/>
        <x:family val="2"/>
      </x:rPr>
      <x:t xml:space="preserve">。</x:t>
    </x:r>
  </x:si>
  <x:si>
    <x:t xml:space="preserve">扣费方式</x:t>
  </x:si>
  <x:si>
    <x:r>
      <x:rPr>
        <x:sz val="10"/>
        <x:color rgb="FF000000"/>
        <x:rFont val="Linux Libertine G"/>
        <x:family val="2"/>
      </x:rPr>
      <x:t xml:space="preserve">各组合年化费率见『实盘持仓配置』</x:t>
    </x:r>
    <x:r>
      <x:rPr>
        <x:sz val="10"/>
        <x:color rgb="FF000000"/>
        <x:rFont val="微软雅黑"/>
        <x:family val="2"/>
      </x:rPr>
      <x:t xml:space="preserve">Z</x:t>
    </x:r>
    <x:r>
      <x:rPr>
        <x:sz val="10"/>
        <x:color rgb="FF000000"/>
        <x:rFont val="Linux Libertine G"/>
        <x:family val="2"/>
      </x:rPr>
      <x:t xml:space="preserve">列；按 净值</x:t>
    </x:r>
    <x:r>
      <x:rPr>
        <x:sz val="10"/>
        <x:color rgb="FF000000"/>
        <x:rFont val="微软雅黑"/>
        <x:family val="2"/>
      </x:rPr>
      <x:t xml:space="preserve">×(1-</x:t>
    </x:r>
    <x:r>
      <x:rPr>
        <x:sz val="10"/>
        <x:color rgb="FF000000"/>
        <x:rFont val="Linux Libertine G"/>
        <x:family val="2"/>
      </x:rPr>
      <x:t xml:space="preserve">费率</x:t>
    </x:r>
    <x:r>
      <x:rPr>
        <x:sz val="10"/>
        <x:color rgb="FF000000"/>
        <x:rFont val="微软雅黑"/>
        <x:family val="2"/>
      </x:rPr>
      <x:t xml:space="preserve">)^(</x:t>
    </x:r>
    <x:r>
      <x:rPr>
        <x:sz val="10"/>
        <x:color rgb="FF000000"/>
        <x:rFont val="Linux Libertine G"/>
        <x:family val="2"/>
      </x:rPr>
      <x:t xml:space="preserve">已运作交易日数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年化交易日数</x:t>
    </x:r>
    <x:r>
      <x:rPr>
        <x:sz val="10"/>
        <x:color rgb="FF000000"/>
        <x:rFont val="微软雅黑"/>
        <x:family val="2"/>
      </x:rPr>
      <x:t xml:space="preserve">) </x:t>
    </x:r>
    <x:r>
      <x:rPr>
        <x:sz val="10"/>
        <x:color rgb="FF000000"/>
        <x:rFont val="Linux Libertine G"/>
        <x:family val="2"/>
      </x:rPr>
      <x:t xml:space="preserve">折每日计入，看板均为扣费后口径。</x:t>
    </x:r>
  </x:si>
  <x:si>
    <x:r>
      <x:rPr>
        <x:b/>
        <x:sz val="10"/>
        <x:color rgb="FF000000"/>
        <x:rFont val="Linux Libertine G"/>
        <x:family val="2"/>
      </x:rPr>
      <x:t xml:space="preserve">参数：无风险利率</x:t>
    </x:r>
    <x:r>
      <x:rPr>
        <x:b/>
        <x:sz val="10"/>
        <x:color rgb="FF000000"/>
        <x:rFont val="Arial"/>
        <x:family val="2"/>
      </x:rPr>
      <x:t xml:space="preserve">(</x:t>
    </x:r>
    <x:r>
      <x:rPr>
        <x:b/>
        <x:sz val="10"/>
        <x:color rgb="FF000000"/>
        <x:rFont val="Linux Libertine G"/>
        <x:family val="2"/>
      </x:rPr>
      <x:t xml:space="preserve">年化</x:t>
    </x:r>
    <x:r>
      <x:rPr>
        <x:b/>
        <x:sz val="10"/>
        <x:color rgb="FF000000"/>
        <x:rFont val="Arial"/>
        <x:family val="2"/>
      </x:rPr>
      <x:t xml:space="preserve">)</x:t>
    </x:r>
  </x:si>
  <x:si>
    <x:t xml:space="preserve">参数：年化交易日数</x:t>
  </x:si>
  <x:si>
    <x:t xml:space="preserve">净值曲线</x:t>
  </x:si>
  <x:si>
    <x:r>
      <x:rPr>
        <x:sz val="10"/>
        <x:color rgb="FF000000"/>
        <x:rFont val="Linux Libertine G"/>
        <x:family val="2"/>
      </x:rPr>
      <x:t xml:space="preserve">净值曲线改用日期轴</x:t>
    </x:r>
    <x:r>
      <x:rPr>
        <x:sz val="10"/>
        <x:color rgb="FF000000"/>
        <x:rFont val="微软雅黑"/>
        <x:family val="2"/>
      </x:rPr>
      <x:t xml:space="preserve">+</x:t>
    </x:r>
    <x:r>
      <x:rPr>
        <x:sz val="10"/>
        <x:color rgb="FF000000"/>
        <x:rFont val="Linux Libertine G"/>
        <x:family val="2"/>
      </x:rPr>
      <x:t xml:space="preserve">直接区域引用，横轴自起始日起、自动延伸到最新交易日，无需手改图表数据区。</x:t>
    </x:r>
  </x:si>
  <x:si>
    <x:r>
      <x:rPr>
        <x:i/>
        <x:sz val="9"/>
        <x:color rgb="FF595959"/>
        <x:rFont val="Linux Libertine G"/>
        <x:family val="2"/>
      </x:rPr>
      <x:t xml:space="preserve">数据来源：同花顺 </x:t>
    </x:r>
    <x:r>
      <x:rPr>
        <x:i/>
        <x:sz val="9"/>
        <x:color rgb="FF595959"/>
        <x:rFont val="Arial"/>
        <x:family val="2"/>
      </x:rPr>
      <x:t xml:space="preserve">iFinD(</x:t>
    </x:r>
    <x:r>
      <x:rPr>
        <x:i/>
        <x:sz val="9"/>
        <x:color rgb="FF595959"/>
        <x:rFont val="Linux Libertine G"/>
        <x:family val="2"/>
      </x:rPr>
      <x:t xml:space="preserve">复权单位净值</x:t>
    </x:r>
    <x:r>
      <x:rPr>
        <x:i/>
        <x:sz val="9"/>
        <x:color rgb="FF595959"/>
        <x:rFont val="Arial"/>
        <x:family val="2"/>
      </x:rPr>
      <x:t xml:space="preserve">)</x:t>
    </x:r>
  </x:si>
  <x:si>
    <x:r>
      <x:rPr>
        <x:b/>
        <x:sz val="11"/>
        <x:color theme="1"/>
        <x:rFont val="Linux Libertine G"/>
        <x:family val="2"/>
      </x:rPr>
      <x:t xml:space="preserve">三个产业趋势组合 </x:t>
    </x:r>
    <x:r>
      <x:rPr>
        <x:b/>
        <x:sz val="11"/>
        <x:color theme="1"/>
        <x:rFont val="宋体"/>
        <x:family val="2"/>
      </x:rPr>
      <x:t xml:space="preserve">· </x:t>
    </x:r>
    <x:r>
      <x:rPr>
        <x:b/>
        <x:sz val="11"/>
        <x:color theme="1"/>
        <x:rFont val="Linux Libertine G"/>
        <x:family val="2"/>
      </x:rPr>
      <x:t xml:space="preserve">动态持仓权重监控（单只权重超过</x:t>
    </x:r>
    <x:r>
      <x:rPr>
        <x:b/>
        <x:sz val="11"/>
        <x:color theme="1"/>
        <x:rFont val="宋体"/>
        <x:family val="2"/>
      </x:rPr>
      <x:t xml:space="preserve">20%</x:t>
    </x:r>
    <x:r>
      <x:rPr>
        <x:b/>
        <x:sz val="11"/>
        <x:color theme="1"/>
        <x:rFont val="Linux Libertine G"/>
        <x:family val="2"/>
      </x:rPr>
      <x:t xml:space="preserve">自动标红预警）</x:t>
    </x:r>
  </x:si>
  <x:si>
    <x:r>
      <x:rPr>
        <x:sz val="11"/>
        <x:color theme="1"/>
        <x:rFont val="Linux Libertine G"/>
        <x:family val="2"/>
      </x:rPr>
      <x:t xml:space="preserve">末行序号</x:t>
    </x:r>
    <x:r>
      <x:rPr>
        <x:sz val="11"/>
        <x:color theme="1"/>
        <x:rFont val="宋体"/>
        <x:family val="2"/>
      </x:rPr>
      <x:t xml:space="preserve">(</x:t>
    </x:r>
    <x:r>
      <x:rPr>
        <x:sz val="11"/>
        <x:color theme="1"/>
        <x:rFont val="Linux Libertine G"/>
        <x:family val="2"/>
      </x:rPr>
      <x:t xml:space="preserve">自动</x:t>
    </x:r>
    <x:r>
      <x:rPr>
        <x:sz val="11"/>
        <x:color theme="1"/>
        <x:rFont val="宋体"/>
        <x:family val="2"/>
      </x:rPr>
      <x:t xml:space="preserve">)</x:t>
    </x:r>
  </x:si>
  <x:si>
    <x:t xml:space="preserve">截止净值日期：</x:t>
  </x:si>
  <x:si>
    <x:t xml:space="preserve">产业趋势毛净值</x:t>
  </x:si>
  <x:si>
    <x:t xml:space="preserve">基石毛净值</x:t>
  </x:si>
  <x:si>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号毛净值</x:t>
    </x:r>
  </x:si>
  <x:si>
    <x:t xml:space="preserve">初始权重</x:t>
  </x:si>
  <x:si>
    <x:r>
      <x:rPr>
        <x:b/>
        <x:sz val="11"/>
        <x:color theme="1"/>
        <x:rFont val="Linux Libertine G"/>
        <x:family val="2"/>
      </x:rPr>
      <x:t xml:space="preserve">动态权重</x:t>
    </x:r>
    <x:r>
      <x:rPr>
        <x:b/>
        <x:sz val="11"/>
        <x:color theme="1"/>
        <x:rFont val="宋体"/>
        <x:family val="2"/>
      </x:rPr>
      <x:t xml:space="preserve">(</x:t>
    </x:r>
    <x:r>
      <x:rPr>
        <x:b/>
        <x:sz val="11"/>
        <x:color theme="1"/>
        <x:rFont val="Linux Libertine G"/>
        <x:family val="2"/>
      </x:rPr>
      <x:t xml:space="preserve">截止前一交易日</x:t>
    </x:r>
    <x:r>
      <x:rPr>
        <x:b/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</x:si>
  <x:si>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国泰半导体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</x:si>
  <x:si>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国泰通信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</x:si>
  <x:si>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b/>
        <x:sz val="11"/>
        <x:color theme="1"/>
        <x:rFont val="Linux Libertine G"/>
        <x:family val="2"/>
      </x:rPr>
      <x:t xml:space="preserve">产业趋势基石组合（起始日 </x:t>
    </x:r>
    <x:r>
      <x:rPr>
        <x:b/>
        <x:sz val="11"/>
        <x:color theme="1"/>
        <x:rFont val="宋体"/>
        <x:family val="2"/>
      </x:rPr>
      <x:t xml:space="preserve">2026-06-18</x:t>
    </x:r>
    <x:r>
      <x:rPr>
        <x:b/>
        <x:sz val="11"/>
        <x:color theme="1"/>
        <x:rFont val="Linux Libertine G"/>
        <x:family val="2"/>
      </x:rPr>
      <x:t xml:space="preserve">）</x:t>
    </x:r>
  </x:si>
  <x:si>
    <x:r>
      <x:rPr>
        <x:b/>
        <x:sz val="11"/>
        <x:color theme="1"/>
        <x:rFont val="Linux Libertine G"/>
        <x:family val="2"/>
      </x:rPr>
      <x:t xml:space="preserve">产业趋势</x:t>
    </x:r>
    <x:r>
      <x:rPr>
        <x:b/>
        <x:sz val="11"/>
        <x:color theme="1"/>
        <x:rFont val="宋体"/>
        <x:family val="2"/>
      </x:rPr>
      <x:t xml:space="preserve">2</x:t>
    </x:r>
    <x:r>
      <x:rPr>
        <x:b/>
        <x:sz val="11"/>
        <x:color theme="1"/>
        <x:rFont val="Linux Libertine G"/>
        <x:family val="2"/>
      </x:rPr>
      <x:t xml:space="preserve">号组合（起始日 </x:t>
    </x:r>
    <x:r>
      <x:rPr>
        <x:b/>
        <x:sz val="11"/>
        <x:color theme="1"/>
        <x:rFont val="宋体"/>
        <x:family val="2"/>
      </x:rPr>
      <x:t xml:space="preserve">2026-06-23</x:t>
    </x:r>
    <x:r>
      <x:rPr>
        <x:b/>
        <x:sz val="11"/>
        <x:color theme="1"/>
        <x:rFont val="Linux Libertine G"/>
        <x:family val="2"/>
      </x:rPr>
      <x:t xml:space="preserve">）</x:t>
    </x:r>
  </x:si>
  <x:si>
    <x:r>
      <x:rPr>
        <x:sz val="11"/>
        <x:color theme="1"/>
        <x:rFont val="Linux Libertine G"/>
        <x:family val="2"/>
      </x:rPr>
      <x:t xml:space="preserve">国泰半导体</x:t>
    </x:r>
    <x:r>
      <x:rPr>
        <x:sz val="11"/>
        <x:color theme="1"/>
        <x:rFont val="宋体"/>
        <x:family val="2"/>
      </x:rPr>
      <x:t xml:space="preserve">C</x:t>
    </x:r>
  </x:si>
</x:sst>
</file>

<file path=xl/styles.xml><?xml version="1.0" encoding="utf-8"?>
<x:styleSheet xmlns:x="http://schemas.openxmlformats.org/spreadsheetml/2006/main">
  <x:numFmts count="15">
    <x:numFmt numFmtId="176" formatCode="_ * #,##0.00_ ;_ * \-#,##0.00_ ;_ * \-??_ ;_ @_ "/>
    <x:numFmt numFmtId="177" formatCode="_ * #,##0_ ;_ * \-#,##0_ ;_ * \-_ ;_ @_ "/>
    <x:numFmt numFmtId="178" formatCode="_ \￥* #,##0.00_ ;_ \￥* \-#,##0.00_ ;_ \￥* \-??_ ;_ @_ "/>
    <x:numFmt numFmtId="179" formatCode="_ \￥* #,##0_ ;_ \￥* \-#,##0_ ;_ \￥* \-_ ;_ @_ "/>
    <x:numFmt numFmtId="180" formatCode="0.0%"/>
    <x:numFmt numFmtId="181" formatCode="yyyy\-mm\-dd"/>
    <x:numFmt numFmtId="182" formatCode="yyyy\-m\-d"/>
    <x:numFmt numFmtId="183" formatCode="0.0000"/>
    <x:numFmt numFmtId="184" formatCode="0.00000000%"/>
    <x:numFmt numFmtId="185" formatCode="yyyy\-mm\-dd\ h:mm:ss"/>
    <x:numFmt numFmtId="200" formatCode="yyyy-mm-dd"/>
    <x:numFmt numFmtId="201" formatCode="0.00%;[Red](0.00%);-"/>
    <x:numFmt numFmtId="202" formatCode="0.00%;(0.00%);-"/>
    <x:numFmt numFmtId="203" formatCode="0.000000"/>
    <x:numFmt numFmtId="204" formatCode="0"/>
  </x:numFmts>
  <x:fonts count="52">
    <x:font>
      <x:sz val="10"/>
      <x:name val="Linux Libertine G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  <x:font>
      <x:b/>
      <x:sz val="15"/>
      <x:color rgb="FFFFFFFF"/>
      <x:name val="Linux Libertine G"/>
    </x:font>
    <x:font>
      <x:b/>
      <x:sz val="15"/>
      <x:color rgb="FFFFFFFF"/>
      <x:name val="Arial"/>
    </x:font>
    <x:font>
      <x:b/>
      <x:sz val="10"/>
      <x:color rgb="FFFFFFFF"/>
      <x:name val="Linux Libertine G"/>
    </x:font>
    <x:font>
      <x:b/>
      <x:sz val="10"/>
      <x:color rgb="FF000000"/>
      <x:name val="Linux Libertine G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0"/>
      <x:color rgb="FF000000"/>
      <x:name val="Arial"/>
    </x:font>
    <x:font>
      <x:b/>
      <x:sz val="10"/>
      <x:color rgb="FF0000FF"/>
      <x:name val="Arial"/>
    </x:font>
    <x:font>
      <x:i/>
      <x:sz val="9"/>
      <x:color rgb="FF595959"/>
      <x:name val="Linux Libertine G"/>
    </x:font>
    <x:font>
      <x:i/>
      <x:sz val="9"/>
      <x:color rgb="FF595959"/>
      <x:name val="Arial"/>
    </x:font>
    <x:font>
      <x:sz val="11"/>
      <x:color theme="1"/>
      <x:name val="宋体"/>
    </x:font>
    <x:font>
      <x:sz val="10"/>
      <x:color rgb="FF006100"/>
      <x:name val="Arial"/>
    </x:font>
    <x:font>
      <x:b/>
      <x:sz val="11"/>
      <x:color rgb="FFFFFFFF"/>
      <x:name val="Linux Libertine G"/>
    </x:font>
    <x:font>
      <x:b/>
      <x:sz val="11"/>
      <x:color rgb="FFFFFFFF"/>
      <x:name val="Arial"/>
    </x:font>
    <x:font>
      <x:sz val="10"/>
      <x:color rgb="FF000000"/>
      <x:name val="Linux Libertine G"/>
    </x:font>
    <x:font>
      <x:sz val="11"/>
      <x:color theme="1"/>
      <x:name val="Linux Libertine G"/>
    </x:font>
    <x:font>
      <x:sz val="10"/>
      <x:name val="Arial"/>
    </x:font>
    <x:font>
      <x:sz val="11"/>
      <x:color theme="1"/>
      <x:name val="宋体"/>
    </x:font>
    <x:font>
      <x:b/>
      <x:sz val="17"/>
      <x:color rgb="FFFFFFFF"/>
      <x:name val="Linux Libertine G"/>
    </x:font>
    <x:font>
      <x:b/>
      <x:sz val="20"/>
      <x:color rgb="FF1F3864"/>
      <x:name val="微软雅黑"/>
    </x:font>
    <x:font>
      <x:b/>
      <x:sz val="20"/>
      <x:color rgb="FFC00000"/>
      <x:name val="微软雅黑"/>
    </x:font>
    <x:font>
      <x:b/>
      <x:sz val="16"/>
      <x:color rgb="FF000000"/>
      <x:name val="Linux Libertine G"/>
    </x:font>
    <x:font>
      <x:sz val="16"/>
      <x:color rgb="FF000000"/>
      <x:name val="微软雅黑"/>
    </x:font>
    <x:font>
      <x:b/>
      <x:sz val="16"/>
      <x:color rgb="FF000000"/>
      <x:name val="微软雅黑"/>
    </x:font>
    <x:font>
      <x:b/>
      <x:sz val="16"/>
      <x:color rgb="FF000000"/>
      <x:name val="微软雅黑"/>
    </x:font>
    <x:font>
      <x:sz val="16"/>
      <x:color theme="1"/>
      <x:name val="Linux Libertine G"/>
    </x:font>
    <x:font>
      <x:b/>
      <x:sz val="17"/>
      <x:color rgb="FFFFFFFF"/>
      <x:name val="Arial"/>
    </x:font>
    <x:font>
      <x:b/>
      <x:sz val="18"/>
      <x:color rgb="FF1F3864"/>
      <x:name val="Linux Libertine G"/>
    </x:font>
    <x:font>
      <x:b/>
      <x:sz val="18"/>
      <x:color rgb="FF1F3864"/>
      <x:name val="Arial"/>
    </x:font>
    <x:font>
      <x:b/>
      <x:sz val="12"/>
      <x:color rgb="FF1F3864"/>
      <x:name val="Linux Libertine G"/>
    </x:font>
    <x:font>
      <x:sz val="10"/>
      <x:color rgb="FF000000"/>
      <x:name val="微软雅黑"/>
    </x:font>
    <x:font>
      <x:b/>
      <x:sz val="11"/>
      <x:color theme="1"/>
      <x:name val="Linux Libertine G"/>
    </x:font>
    <x:font>
      <x:b/>
      <x:sz val="11"/>
      <x:color theme="1"/>
      <x:name val="宋体"/>
    </x:font>
    <x:font>
      <x:b/>
      <x:sz val="11"/>
      <x:color theme="1"/>
      <x:name val="宋体"/>
    </x:font>
    <x:font>
      <x:sz val="9"/>
      <x:name val="宋体"/>
    </x:font>
    <x:font>
      <x:b/>
      <x:sz val="15"/>
      <x:color rgb="FFFFFFFF"/>
      <x:name val="宋体"/>
    </x:font>
    <x:font>
      <x:b/>
      <x:sz val="16"/>
      <x:color rgb="FFFFFFFF"/>
      <x:name val="微软雅黑"/>
    </x:font>
    <x:font>
      <x:b/>
      <x:sz val="9"/>
      <x:color rgb="FF1F3864"/>
      <x:name val="微软雅黑"/>
    </x:font>
    <x:font>
      <x:b/>
      <x:sz val="9"/>
      <x:color rgb="FF0000FF"/>
      <x:name val="Arial"/>
    </x:font>
    <x:font>
      <x:i/>
      <x:sz val="9"/>
      <x:color rgb="FF595959"/>
      <x:name val="微软雅黑"/>
    </x:font>
    <x:font>
      <x:b/>
      <x:sz val="10"/>
      <x:color rgb="FFFFFFFF"/>
      <x:name val="微软雅黑"/>
    </x:font>
    <x:font>
      <x:b/>
      <x:sz val="9"/>
      <x:color rgb="FFFFFFFF"/>
      <x:name val="微软雅黑"/>
    </x:font>
    <x:font>
      <x:sz val="9"/>
      <x:color rgb="FF000000"/>
      <x:name val="微软雅黑"/>
    </x:font>
    <x:font>
      <x:i/>
      <x:sz val="8"/>
      <x:color rgb="FF595959"/>
      <x:name val="微软雅黑"/>
    </x:font>
    <x:font>
      <x:sz val="8"/>
      <x:color rgb="FF595959"/>
      <x:name val="微软雅黑"/>
    </x:font>
    <x:font>
      <x:b/>
      <x:sz val="8"/>
      <x:color rgb="FF1F3864"/>
      <x:name val="微软雅黑"/>
    </x:font>
    <x:font>
      <x:sz val="7"/>
      <x:color rgb="FF000000"/>
      <x:name val="微软雅黑"/>
    </x:font>
  </x:fonts>
  <x:fills count="13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F2F4F8"/>
      </x:patternFill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EAF0F8"/>
      </x:patternFill>
    </x:fill>
    <x:fill>
      <x:patternFill patternType="solid">
        <x:fgColor rgb="FFFFF2CC"/>
      </x:patternFill>
    </x:fill>
    <x:fill>
      <x:patternFill patternType="solid">
        <x:fgColor rgb="FF2E5496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</x:fills>
  <x:borders count="3">
    <x:border/>
    <x:border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7">
    <x:xf numFmtId="0" fontId="0" fillId="0" borderId="0"/>
    <x:xf numFmtId="176" fontId="2" fillId="0" borderId="0" applyBorder="0" applyAlignment="0" applyProtection="0"/>
    <x:xf numFmtId="177" fontId="2" fillId="0" borderId="0" applyBorder="0" applyAlignment="0" applyProtection="0"/>
    <x:xf numFmtId="178" fontId="2" fillId="0" borderId="0" applyBorder="0" applyAlignment="0" applyProtection="0"/>
    <x:xf numFmtId="179" fontId="2" fillId="0" borderId="0" applyBorder="0" applyAlignment="0" applyProtection="0"/>
    <x:xf numFmtId="0" fontId="3" fillId="0" borderId="0"/>
    <x:xf numFmtId="9" fontId="2" fillId="0" borderId="0" applyBorder="0" applyAlignment="0" applyProtection="0"/>
  </x:cellStyleXfs>
  <x:cellXfs count="132">
    <x:xf numFmtId="0" fontId="0" fillId="0" borderId="0" xfId="0"/>
    <x:xf numFmtId="0" fontId="6" fillId="3" borderId="2" xfId="5" applyFont="1" applyFill="1" applyBorder="1" applyAlignment="1">
      <x:alignment horizontal="center" vertical="center" wrapText="1"/>
    </x:xf>
    <x:xf numFmtId="0" fontId="7" fillId="4" borderId="2" xfId="5" applyFont="1" applyFill="1" applyBorder="1" applyAlignment="1">
      <x:alignment horizontal="center" vertical="center" wrapText="1"/>
    </x:xf>
    <x:xf numFmtId="0" fontId="9" fillId="5" borderId="2" xfId="5" applyFont="1" applyFill="1" applyBorder="1" applyAlignment="1">
      <x:alignment horizontal="center" vertical="center" wrapText="1"/>
    </x:xf>
    <x:xf numFmtId="0" fontId="7" fillId="4" borderId="2" xfId="5" applyFont="1" applyFill="1" applyBorder="1" applyAlignment="1">
      <x:alignment horizontal="left" vertical="center"/>
    </x:xf>
    <x:xf numFmtId="10" fontId="10" fillId="0" borderId="2" xfId="5" applyNumberFormat="1" applyFont="1" applyBorder="1" applyAlignment="1">
      <x:alignment horizontal="center" vertical="center" wrapText="1"/>
    </x:xf>
    <x:xf numFmtId="180" fontId="11" fillId="5" borderId="2" xfId="5" applyNumberFormat="1" applyFont="1" applyFill="1" applyBorder="1" applyAlignment="1">
      <x:alignment horizontal="center" vertical="center" wrapText="1"/>
    </x:xf>
    <x:xf numFmtId="180" fontId="12" fillId="6" borderId="2" xfId="5" applyNumberFormat="1" applyFont="1" applyFill="1" applyBorder="1" applyAlignment="1">
      <x:alignment horizontal="center" vertical="center"/>
    </x:xf>
    <x:xf numFmtId="181" fontId="10" fillId="5" borderId="2" xfId="5" applyNumberFormat="1" applyFont="1" applyFill="1" applyBorder="1" applyAlignment="1">
      <x:alignment horizontal="center" vertical="center" wrapText="1"/>
    </x:xf>
    <x:xf numFmtId="0" fontId="8" fillId="4" borderId="2" xfId="5" applyFont="1" applyFill="1" applyBorder="1" applyAlignment="1">
      <x:alignment horizontal="left" vertical="center"/>
    </x:xf>
    <x:xf numFmtId="0" fontId="13" fillId="0" borderId="0" xfId="5" applyFont="1" applyAlignment="1"/>
    <x:xf numFmtId="182" fontId="15" fillId="0" borderId="0" xfId="5" applyNumberFormat="1" applyFont="1" applyAlignment="1"/>
    <x:xf numFmtId="0" fontId="16" fillId="5" borderId="2" xfId="5" applyFont="1" applyFill="1" applyBorder="1" applyAlignment="1">
      <x:alignment horizontal="center" vertical="center" wrapText="1"/>
    </x:xf>
    <x:xf numFmtId="183" fontId="9" fillId="0" borderId="2" xfId="5" applyNumberFormat="1" applyFont="1" applyBorder="1" applyAlignment="1">
      <x:alignment horizontal="center" vertical="center" wrapText="1"/>
    </x:xf>
    <x:xf numFmtId="0" fontId="17" fillId="3" borderId="2" xfId="5" applyFont="1" applyFill="1" applyBorder="1" applyAlignment="1">
      <x:alignment horizontal="center" vertical="center" wrapText="1"/>
    </x:xf>
    <x:xf numFmtId="181" fontId="16" fillId="5" borderId="2" xfId="5" applyNumberFormat="1" applyFont="1" applyFill="1" applyBorder="1" applyAlignment="1">
      <x:alignment horizontal="center" vertical="center" wrapText="1"/>
    </x:xf>
    <x:xf numFmtId="10" fontId="19" fillId="0" borderId="2" xfId="5" applyNumberFormat="1" applyFont="1" applyBorder="1" applyAlignment="1">
      <x:alignment horizontal="center" vertical="center" wrapText="1"/>
    </x:xf>
    <x:xf numFmtId="10" fontId="20" fillId="0" borderId="0" xfId="5" applyNumberFormat="1" applyFont="1" applyAlignment="1"/>
    <x:xf numFmtId="184" fontId="20" fillId="0" borderId="0" xfId="5" applyNumberFormat="1" applyFont="1" applyAlignment="1"/>
    <x:xf numFmtId="0" fontId="20" fillId="0" borderId="0" xfId="0" applyFont="1"/>
    <x:xf numFmtId="0" fontId="15" fillId="0" borderId="0" xfId="5" applyFont="1" applyAlignment="1"/>
    <x:xf numFmtId="10" fontId="21" fillId="0" borderId="0" xfId="0" applyNumberFormat="1" applyFont="1"/>
    <x:xf numFmtId="185" fontId="15" fillId="0" borderId="0" xfId="5" applyNumberFormat="1" applyFont="1" applyAlignment="1"/>
    <x:xf numFmtId="0" fontId="22" fillId="0" borderId="0" xfId="5" applyFont="1" applyAlignment="1"/>
    <x:xf numFmtId="0" fontId="21" fillId="0" borderId="0" xfId="0" applyFont="1"/>
    <x:xf numFmtId="181" fontId="3" fillId="0" borderId="0" xfId="5" applyNumberFormat="1" applyFont="1" applyBorder="1" applyAlignment="1"/>
    <x:xf numFmtId="0" fontId="7" fillId="5" borderId="2" xfId="5" applyFont="1" applyFill="1" applyBorder="1" applyAlignment="1">
      <x:alignment horizontal="center" vertical="center" wrapText="1"/>
    </x:xf>
    <x:xf numFmtId="183" fontId="24" fillId="0" borderId="2" xfId="5" applyNumberFormat="1" applyFont="1" applyBorder="1" applyAlignment="1">
      <x:alignment horizontal="center" vertical="center" wrapText="1"/>
    </x:xf>
    <x:xf numFmtId="10" fontId="25" fillId="0" borderId="2" xfId="5" applyNumberFormat="1" applyFont="1" applyBorder="1" applyAlignment="1">
      <x:alignment horizontal="center" vertical="center" wrapText="1"/>
    </x:xf>
    <x:xf numFmtId="10" fontId="24" fillId="0" borderId="2" xfId="5" applyNumberFormat="1" applyFont="1" applyBorder="1" applyAlignment="1">
      <x:alignment horizontal="center" vertical="center" wrapText="1"/>
    </x:xf>
    <x:xf numFmtId="2" fontId="24" fillId="0" borderId="2" xfId="5" applyNumberFormat="1" applyFont="1" applyBorder="1" applyAlignment="1">
      <x:alignment horizontal="center" vertical="center" wrapText="1"/>
    </x:xf>
    <x:xf numFmtId="0" fontId="26" fillId="0" borderId="2" xfId="5" applyFont="1" applyBorder="1" applyAlignment="1">
      <x:alignment horizontal="left" vertical="center"/>
    </x:xf>
    <x:xf numFmtId="10" fontId="27" fillId="0" borderId="2" xfId="5" applyNumberFormat="1" applyFont="1" applyBorder="1" applyAlignment="1">
      <x:alignment horizontal="center" vertical="center" wrapText="1"/>
    </x:xf>
    <x:xf numFmtId="0" fontId="28" fillId="0" borderId="2" xfId="5" applyFont="1" applyBorder="1" applyAlignment="1">
      <x:alignment horizontal="left" vertical="center"/>
    </x:xf>
    <x:xf numFmtId="1" fontId="27" fillId="0" borderId="2" xfId="5" applyNumberFormat="1" applyFont="1" applyBorder="1" applyAlignment="1">
      <x:alignment horizontal="center" vertical="center" wrapText="1"/>
    </x:xf>
    <x:xf numFmtId="180" fontId="27" fillId="0" borderId="2" xfId="5" applyNumberFormat="1" applyFont="1" applyBorder="1" applyAlignment="1">
      <x:alignment horizontal="center" vertical="center" wrapText="1"/>
    </x:xf>
    <x:xf numFmtId="2" fontId="27" fillId="0" borderId="2" xfId="5" applyNumberFormat="1" applyFont="1" applyBorder="1" applyAlignment="1">
      <x:alignment horizontal="center" vertical="center" wrapText="1"/>
    </x:xf>
    <x:xf numFmtId="0" fontId="30" fillId="0" borderId="0" xfId="5" applyFont="1" applyAlignment="1"/>
    <x:xf numFmtId="0" fontId="32" fillId="0" borderId="0" xfId="5" applyFont="1" applyAlignment="1"/>
    <x:xf numFmtId="0" fontId="34" fillId="0" borderId="0" xfId="5" applyFont="1" applyAlignment="1">
      <x:alignment vertical="center"/>
    </x:xf>
    <x:xf numFmtId="0" fontId="7" fillId="0" borderId="0" xfId="5" applyFont="1" applyAlignment="1">
      <x:alignment vertical="center"/>
    </x:xf>
    <x:xf numFmtId="0" fontId="19" fillId="0" borderId="0" xfId="5" applyFont="1" applyAlignment="1">
      <x:alignment vertical="center"/>
    </x:xf>
    <x:xf numFmtId="0" fontId="20" fillId="0" borderId="0" xfId="5" applyFont="1" applyAlignment="1">
      <x:alignment vertical="center"/>
    </x:xf>
    <x:xf numFmtId="0" fontId="8" fillId="0" borderId="0" xfId="5" applyFont="1" applyAlignment="1">
      <x:alignment vertical="center"/>
    </x:xf>
    <x:xf numFmtId="180" fontId="10" fillId="6" borderId="2" xfId="5" applyNumberFormat="1" applyFont="1" applyFill="1" applyBorder="1" applyAlignment="1"/>
    <x:xf numFmtId="0" fontId="10" fillId="6" borderId="2" xfId="5" applyFont="1" applyFill="1" applyBorder="1" applyAlignment="1"/>
    <x:xf numFmtId="0" fontId="36" fillId="0" borderId="0" xfId="5" applyFont="1" applyAlignment="1"/>
    <x:xf numFmtId="0" fontId="20" fillId="0" borderId="0" xfId="5" applyFont="1" applyAlignment="1">
      <x:alignment horizontal="center"/>
    </x:xf>
    <x:xf numFmtId="181" fontId="38" fillId="0" borderId="0" xfId="5" applyNumberFormat="1" applyFont="1" applyAlignment="1"/>
    <x:xf numFmtId="0" fontId="22" fillId="0" borderId="0" xfId="5" applyFont="1" applyAlignment="1">
      <x:alignment horizontal="center"/>
    </x:xf>
    <x:xf numFmtId="0" fontId="36" fillId="0" borderId="0" xfId="5" applyFont="1" applyAlignment="1">
      <x:alignment horizontal="center"/>
    </x:xf>
    <x:xf numFmtId="0" fontId="15" fillId="0" borderId="0" xfId="5" applyFont="1" applyAlignment="1">
      <x:alignment horizontal="center"/>
    </x:xf>
    <x:xf numFmtId="10" fontId="15" fillId="0" borderId="0" xfId="5" applyNumberFormat="1" applyFont="1" applyAlignment="1">
      <x:alignment horizontal="center"/>
    </x:xf>
    <x:xf numFmtId="10" fontId="38" fillId="0" borderId="0" xfId="5" applyNumberFormat="1" applyFont="1" applyAlignment="1">
      <x:alignment horizontal="center"/>
    </x:xf>
    <x:xf numFmtId="0" fontId="4" fillId="2" borderId="1" xfId="5" applyFont="1" applyFill="1" applyBorder="1" applyAlignment="1">
      <x:alignment horizontal="center"/>
    </x:xf>
    <x:xf numFmtId="0" fontId="4" fillId="2" borderId="0" xfId="5" applyFont="1" applyFill="1" applyBorder="1" applyAlignment="1">
      <x:alignment horizontal="center"/>
    </x:xf>
    <x:xf numFmtId="0" fontId="4" fillId="2" borderId="0" xfId="5" applyFont="1" applyFill="1" applyBorder="1" applyAlignment="1">
      <x:alignment horizontal="center" vertical="center"/>
    </x:xf>
    <x:xf numFmtId="0" fontId="23" fillId="2" borderId="0" xfId="5" applyFont="1" applyFill="1" applyBorder="1" applyAlignment="1">
      <x:alignment horizontal="center" vertical="center" wrapText="1"/>
    </x:xf>
    <x:xf numFmtId="0" fontId="13" fillId="0" borderId="0" xfId="5" applyFont="1" applyBorder="1" applyAlignment="1"/>
    <x:xf numFmtId="0" fontId="7" fillId="0" borderId="0" xfId="5" applyFont="1" applyBorder="1" applyAlignment="1">
      <x:alignment horizontal="right"/>
    </x:xf>
    <x:xf numFmtId="0" fontId="17" fillId="3" borderId="0" xfId="5" applyFont="1" applyFill="1" applyBorder="1" applyAlignment="1">
      <x:alignment horizontal="left" vertical="center"/>
    </x:xf>
    <x:xf numFmtId="0" fontId="26" fillId="0" borderId="2" xfId="5" applyFont="1" applyBorder="1" applyAlignment="1">
      <x:alignment horizontal="left" vertical="center"/>
    </x:xf>
    <x:xf numFmtId="0" fontId="6" fillId="3" borderId="2" xfId="5" applyFont="1" applyFill="1" applyBorder="1" applyAlignment="1">
      <x:alignment horizontal="center" vertical="center" wrapText="1"/>
    </x:xf>
    <x:xf numFmtId="0" fontId="19" fillId="0" borderId="0" xfId="5" applyFont="1" applyBorder="1" applyAlignment="1">
      <x:alignment vertical="center" wrapText="1"/>
    </x:xf>
    <x:xf numFmtId="0" fontId="35" fillId="0" borderId="0" xfId="5" applyFont="1" applyBorder="1" applyAlignment="1">
      <x:alignment vertical="center" wrapText="1"/>
    </x:xf>
    <x:xf numFmtId="0" fontId="0" fillId="7" borderId="0" xfId="0" applyNumberFormat="1" applyFont="1" applyFill="1" applyBorder="1"/>
    <x:xf numFmtId="0" fontId="41" fillId="7" borderId="0" xfId="0" applyNumberFormat="1" applyFont="1" applyFill="1" applyBorder="1"/>
    <x:xf numFmtId="0" fontId="41" fillId="7" borderId="0" xfId="0" applyNumberFormat="1" applyFont="1" applyFill="1" applyBorder="1" applyAlignment="1">
      <x:alignment horizontal="center"/>
    </x:xf>
    <x:xf numFmtId="0" fontId="4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2" fillId="8" borderId="0" xfId="0" applyNumberFormat="1" applyFont="1" applyFill="1" applyBorder="1"/>
    <x:xf numFmtId="0" fontId="42" fillId="8" borderId="2" xfId="0" applyNumberFormat="1" applyFont="1" applyFill="1" applyBorder="1"/>
    <x:xf numFmtId="0" fontId="42" fillId="8" borderId="2" xfId="0" applyNumberFormat="1" applyFont="1" applyFill="1" applyBorder="1" applyAlignment="1">
      <x:alignment horizontal="center"/>
    </x:xf>
    <x:xf numFmtId="0" fontId="42" fillId="8" borderId="2" xfId="0" applyNumberFormat="1" applyFont="1" applyFill="1" applyBorder="1" applyAlignment="1">
      <x:alignment horizontal="center" vertical="center"/>
    </x:xf>
    <x:xf numFmtId="200" fontId="42" fillId="8" borderId="2" xfId="0" applyNumberFormat="1" applyFont="1" applyFill="1" applyBorder="1" applyAlignment="1">
      <x:alignment horizontal="center" vertical="center"/>
    </x:xf>
    <x:xf numFmtId="0" fontId="42" fillId="9" borderId="2" xfId="0" applyNumberFormat="1" applyFont="1" applyFill="1" applyBorder="1" applyAlignment="1">
      <x:alignment horizontal="center" vertical="center"/>
    </x:xf>
    <x:xf numFmtId="0" fontId="43" fillId="9" borderId="2" xfId="0" applyNumberFormat="1" applyFont="1" applyFill="1" applyBorder="1" applyAlignment="1">
      <x:alignment horizontal="center" vertical="center"/>
    </x:xf>
    <x:xf numFmtId="201" fontId="43" fillId="9" borderId="2" xfId="0" applyNumberFormat="1" applyFont="1" applyFill="1" applyBorder="1" applyAlignment="1">
      <x:alignment horizontal="center" vertical="center"/>
    </x:xf>
    <x:xf numFmtId="0" fontId="44" fillId="0" borderId="0" xfId="0" applyNumberFormat="1" applyFont="1" applyFill="1" applyBorder="1"/>
    <x:xf numFmtId="0" fontId="44" fillId="0" borderId="0" xfId="0" applyNumberFormat="1" applyFont="1" applyFill="1" applyBorder="1" applyAlignment="1">
      <x:alignment wrapText="1"/>
    </x:xf>
    <x:xf numFmtId="0" fontId="44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5" fillId="10" borderId="0" xfId="0" applyNumberFormat="1" applyFont="1" applyFill="1" applyBorder="1"/>
    <x:xf numFmtId="0" fontId="45" fillId="10" borderId="0" xfId="0" applyNumberFormat="1" applyFont="1" applyFill="1" applyBorder="1" applyAlignment="1">
      <x:alignment horizontal="left"/>
    </x:xf>
    <x:xf numFmtId="0" fontId="45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42" fillId="11" borderId="0" xfId="0" applyNumberFormat="1" applyFont="1" applyFill="1" applyBorder="1"/>
    <x:xf numFmtId="0" fontId="42" fillId="11" borderId="2" xfId="0" applyNumberFormat="1" applyFont="1" applyFill="1" applyBorder="1"/>
    <x:xf numFmtId="200" fontId="42" fillId="11" borderId="2" xfId="0" applyNumberFormat="1" applyFont="1" applyFill="1" applyBorder="1"/>
    <x:xf numFmtId="200" fontId="42" fillId="11" borderId="2" xfId="0" applyNumberFormat="1" applyFont="1" applyFill="1" applyBorder="1" applyAlignment="1">
      <x:alignment horizontal="center"/>
    </x:xf>
    <x:xf numFmtId="200" fontId="42" fillId="11" borderId="2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46" fillId="12" borderId="0" xfId="0" applyNumberFormat="1" applyFont="1" applyFill="1" applyBorder="1"/>
    <x:xf numFmtId="0" fontId="46" fillId="12" borderId="2" xfId="0" applyNumberFormat="1" applyFont="1" applyFill="1" applyBorder="1"/>
    <x:xf numFmtId="0" fontId="46" fillId="12" borderId="2" xfId="0" applyNumberFormat="1" applyFont="1" applyFill="1" applyBorder="1" applyAlignment="1">
      <x:alignment wrapText="1"/>
    </x:xf>
    <x:xf numFmtId="0" fontId="46" fillId="12" borderId="2" xfId="0" applyNumberFormat="1" applyFont="1" applyFill="1" applyBorder="1" applyAlignment="1">
      <x:alignment horizontal="center" wrapText="1"/>
    </x:xf>
    <x:xf numFmtId="0" fontId="46" fillId="12" borderId="2" xfId="0" applyNumberFormat="1" applyFont="1" applyFill="1" applyBorder="1" applyAlignment="1">
      <x:alignment horizontal="center" vertical="center" wrapText="1"/>
    </x:xf>
    <x:xf numFmtId="0" fontId="47" fillId="0" borderId="0" xfId="0" applyNumberFormat="1" applyFont="1" applyFill="1" applyBorder="1"/>
    <x:xf numFmtId="0" fontId="47" fillId="0" borderId="2" xfId="0" applyNumberFormat="1" applyFont="1" applyFill="1" applyBorder="1"/>
    <x:xf numFmtId="0" fontId="47" fillId="0" borderId="2" xfId="0" applyNumberFormat="1" applyFont="1" applyFill="1" applyBorder="1" applyAlignment="1">
      <x:alignment vertical="center"/>
    </x:xf>
    <x:xf numFmtId="0" fontId="47" fillId="8" borderId="2" xfId="0" applyNumberFormat="1" applyFont="1" applyFill="1" applyBorder="1" applyAlignment="1">
      <x:alignment vertical="center"/>
    </x:xf>
    <x:xf numFmtId="0" fontId="42" fillId="8" borderId="2" xfId="0" applyNumberFormat="1" applyFont="1" applyFill="1" applyBorder="1" applyAlignment="1">
      <x:alignment vertical="center"/>
    </x:xf>
    <x:xf numFmtId="201" fontId="47" fillId="0" borderId="2" xfId="0" applyNumberFormat="1" applyFont="1" applyFill="1" applyBorder="1" applyAlignment="1">
      <x:alignment vertical="center"/>
    </x:xf>
    <x:xf numFmtId="200" fontId="47" fillId="0" borderId="2" xfId="0" applyNumberFormat="1" applyFont="1" applyFill="1" applyBorder="1" applyAlignment="1">
      <x:alignment vertical="center"/>
    </x:xf>
    <x:xf numFmtId="0" fontId="47" fillId="0" borderId="2" xfId="0" applyNumberFormat="1" applyFont="1" applyFill="1" applyBorder="1" applyAlignment="1">
      <x:alignment horizontal="center" vertical="center"/>
    </x:xf>
    <x:xf numFmtId="201" fontId="47" fillId="0" borderId="2" xfId="0" applyNumberFormat="1" applyFont="1" applyFill="1" applyBorder="1" applyAlignment="1">
      <x:alignment horizontal="right" vertical="center"/>
    </x:xf>
    <x:xf numFmtId="200" fontId="47" fillId="0" borderId="2" xfId="0" applyNumberFormat="1" applyFont="1" applyFill="1" applyBorder="1" applyAlignment="1">
      <x:alignment horizontal="center" vertical="center"/>
    </x:xf>
    <x:xf numFmtId="0" fontId="48" fillId="8" borderId="0" xfId="0" applyNumberFormat="1" applyFont="1" applyFill="1" applyBorder="1"/>
    <x:xf numFmtId="0" fontId="48" fillId="8" borderId="0" xfId="0" applyNumberFormat="1" applyFont="1" applyFill="1" applyBorder="1" applyAlignment="1">
      <x:alignment wrapText="1"/>
    </x:xf>
    <x:xf numFmtId="202" fontId="47" fillId="0" borderId="2" xfId="0" applyNumberFormat="1" applyFont="1" applyFill="1" applyBorder="1" applyAlignment="1">
      <x:alignment vertical="center"/>
    </x:xf>
    <x:xf numFmtId="202" fontId="47" fillId="0" borderId="2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49" fillId="9" borderId="0" xfId="0" applyNumberFormat="1" applyFont="1" applyFill="1" applyBorder="1"/>
    <x:xf numFmtId="0" fontId="49" fillId="9" borderId="0" xfId="0" applyNumberFormat="1" applyFont="1" applyFill="1" applyBorder="1" applyAlignment="1">
      <x:alignment wrapText="1"/>
    </x:xf>
    <x:xf numFmtId="0" fontId="49" fillId="9" borderId="0" xfId="0" applyNumberFormat="1" applyFont="1" applyFill="1" applyBorder="1" applyAlignment="1">
      <x:alignment vertical="center" wrapText="1"/>
    </x:xf>
    <x:xf numFmtId="0" fontId="47" fillId="11" borderId="2" xfId="0" applyNumberFormat="1" applyFont="1" applyFill="1" applyBorder="1" applyAlignment="1">
      <x:alignment vertical="center"/>
    </x:xf>
    <x:xf numFmtId="0" fontId="42" fillId="11" borderId="2" xfId="0" applyNumberFormat="1" applyFont="1" applyFill="1" applyBorder="1" applyAlignment="1">
      <x:alignment vertical="center"/>
    </x:xf>
    <x:xf numFmtId="201" fontId="42" fillId="11" borderId="2" xfId="0" applyNumberFormat="1" applyFont="1" applyFill="1" applyBorder="1" applyAlignment="1">
      <x:alignment vertical="center"/>
    </x:xf>
    <x:xf numFmtId="201" fontId="42" fillId="11" borderId="2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47" fillId="0" borderId="0" xfId="0" applyNumberFormat="1" applyFont="1" applyFill="1" applyBorder="1"/>
    <x:xf numFmtId="200" fontId="47" fillId="0" borderId="2" xfId="0" applyNumberFormat="1" applyFont="1" applyFill="1" applyBorder="1"/>
    <x:xf numFmtId="204" fontId="47" fillId="0" borderId="2" xfId="0" applyNumberFormat="1" applyFont="1" applyFill="1" applyBorder="1" applyAlignment="1">
      <x:alignment vertical="center"/>
    </x:xf>
    <x:xf numFmtId="203" fontId="47" fillId="0" borderId="0" xfId="0" applyNumberFormat="1" applyFont="1" applyFill="1" applyBorder="1"/>
    <x:xf numFmtId="203" fontId="47" fillId="0" borderId="2" xfId="0" applyNumberFormat="1" applyFont="1" applyFill="1" applyBorder="1"/>
    <x:xf numFmtId="203" fontId="47" fillId="0" borderId="2" xfId="0" applyNumberFormat="1" applyFont="1" applyFill="1" applyBorder="1" applyAlignment="1">
      <x:alignment vertical="center"/>
    </x:xf>
    <x:xf numFmtId="0" fontId="50" fillId="8" borderId="2" xfId="0" applyNumberFormat="1" applyFont="1" applyFill="1" applyBorder="1" applyAlignment="1">
      <x:alignment vertical="center"/>
    </x:xf>
    <x:xf numFmtId="0" fontId="50" fillId="8" borderId="2" xfId="0" applyNumberFormat="1" applyFont="1" applyFill="1" applyBorder="1" applyAlignment="1">
      <x:alignment horizontal="center" vertical="center"/>
    </x:xf>
    <x:xf numFmtId="0" fontId="51" fillId="0" borderId="2" xfId="0" applyNumberFormat="1" applyFont="1" applyFill="1" applyBorder="1" applyAlignment="1">
      <x:alignment vertical="center"/>
    </x:xf>
    <x:xf numFmtId="0" fontId="51" fillId="0" borderId="2" xfId="0" applyNumberFormat="1" applyFont="1" applyFill="1" applyBorder="1" applyAlignment="1">
      <x:alignment vertical="center" wrapText="1"/>
    </x:xf>
    <x:xf numFmtId="0" fontId="51" fillId="0" borderId="2" xfId="0" applyNumberFormat="1" applyFont="1" applyFill="1" applyBorder="1" applyAlignment="1">
      <x:alignment horizontal="center" vertical="center" wrapText="1"/>
    </x:xf>
  </x:cellXfs>
  <x:cellStyles count="7">
    <x:cellStyle name="Comma" xfId="1"/>
    <x:cellStyle name="Comma [0]" xfId="2"/>
    <x:cellStyle name="Currency" xfId="3"/>
    <x:cellStyle name="Currency [0]" xfId="4"/>
    <x:cellStyle name="Normal" xfId="5"/>
    <x:cellStyle name="Percent" xfId="6"/>
    <x:cellStyle name="常规" xfId="0"/>
  </x:cellStyles>
  <x:dxfs count="5">
    <x:dxf>
      <x:font>
        <x:color rgb="FF9C0006"/>
      </x:font>
      <x:fill>
        <x:patternFill>
          <x:bgColor rgb="FFFFC7CE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BFBFBF"/>
      <x:rgbColor rgb="FF878787"/>
      <x:rgbColor rgb="FF9999FF"/>
      <x:rgbColor rgb="FF993366"/>
      <x:rgbColor rgb="FFFFF2CC"/>
      <x:rgbColor rgb="FFF2F4F8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1F2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2E5496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5d5739a6fe4d8d" /><Relationship Type="http://schemas.openxmlformats.org/officeDocument/2006/relationships/theme" Target="/xl/theme/theme1.xml" Id="R2b274f19a7574f63" /><Relationship Type="http://schemas.openxmlformats.org/officeDocument/2006/relationships/sharedStrings" Target="/xl/sharedStrings.xml" Id="Rad5c701f77a243e1" /><Relationship Type="http://schemas.openxmlformats.org/officeDocument/2006/relationships/worksheet" Target="/xl/worksheets/sheet1.xml" Id="R3ea17d08b4d24694" /><Relationship Type="http://schemas.openxmlformats.org/officeDocument/2006/relationships/worksheet" Target="/xl/worksheets/sheet2.xml" Id="R2d2802c5884742d5" /><Relationship Type="http://schemas.openxmlformats.org/officeDocument/2006/relationships/worksheet" Target="/xl/worksheets/sheet3.xml" Id="R34b130b0e04a4859" /><Relationship Type="http://schemas.openxmlformats.org/officeDocument/2006/relationships/worksheet" Target="/xl/worksheets/sheet4.xml" Id="Redb3efdfcfa24293" /><Relationship Type="http://schemas.openxmlformats.org/officeDocument/2006/relationships/worksheet" Target="/xl/worksheets/sheet5.xml" Id="R121d72ad60a44068" /><Relationship Type="http://schemas.openxmlformats.org/officeDocument/2006/relationships/worksheet" Target="/xl/worksheets/sheet6.xml" Id="Rbde48b5da7d445cf" /><Relationship Type="http://schemas.openxmlformats.org/officeDocument/2006/relationships/worksheet" Target="/xl/worksheets/sheet7.xml" Id="R93849d5fc02f4577" /><Relationship Type="http://schemas.openxmlformats.org/officeDocument/2006/relationships/worksheet" Target="/xl/worksheets/sheet8.xml" Id="R6e5186c2605f40ae" /><Relationship Type="http://schemas.openxmlformats.org/officeDocument/2006/relationships/worksheet" Target="/xl/worksheets/sheet9.xml" Id="R76e0ca29adf640b5" /><Relationship Type="http://schemas.openxmlformats.org/officeDocument/2006/relationships/worksheet" Target="/xl/worksheets/sheet10.xml" Id="R88d930d44bb8439d" /><Relationship Type="http://schemas.openxmlformats.org/officeDocument/2006/relationships/worksheet" Target="/xl/worksheets/sheet11.xml" Id="R38aebe9045734e73" /><Relationship Type="http://schemas.openxmlformats.org/officeDocument/2006/relationships/worksheet" Target="/xl/worksheets/sheet12.xml" Id="Red4a68f5812e4cce" /><Relationship Type="http://schemas.openxmlformats.org/officeDocument/2006/relationships/worksheet" Target="/xl/worksheets/sheet13.xml" Id="R515ec33708f44875" /><Relationship Type="http://schemas.openxmlformats.org/officeDocument/2006/relationships/externalLink" Target="externalLinks/externalLink1.xml" Id="RIFIND_EXTERNAL_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c5280f351e4fd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e351a1c8350498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6c9139522054a2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f31bea7de81949cb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62835c1fa1b421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e586662da5184896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产业趋势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mm\-dd</c:formatCode>
                <c:ptCount val="36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36"/>
                <c:pt idx="0">
                  <c:v>1</c:v>
                </c:pt>
                <c:pt idx="1">
                  <c:v>0.9804231881177369</c:v>
                </c:pt>
                <c:pt idx="2">
                  <c:v>1.0160197208922743</c:v>
                </c:pt>
                <c:pt idx="3">
                  <c:v>1.04944315512461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0.9432189953847047</c:v>
                </c:pt>
                <c:pt idx="10">
                  <c:v>0.924591851394293</c:v>
                </c:pt>
                <c:pt idx="11">
                  <c:v>0.9309405194563188</c:v>
                </c:pt>
                <c:pt idx="12">
                  <c:v>0.9362416272044594</c:v>
                </c:pt>
                <c:pt idx="13">
                  <c:v>1.000119640739735</c:v>
                </c:pt>
                <c:pt idx="14">
                  <c:v>0.9517941770407373</c:v>
                </c:pt>
                <c:pt idx="15">
                  <c:v>0.9169736291321293</c:v>
                </c:pt>
                <c:pt idx="16">
                  <c:v>0.9463706236544664</c:v>
                </c:pt>
                <c:pt idx="17">
                  <c:v>0.9169968894847794</c:v>
                </c:pt>
                <c:pt idx="18">
                  <c:v>0.8755956376990559</c:v>
                </c:pt>
                <c:pt idx="19">
                  <c:v>0.8039518627588871</c:v>
                </c:pt>
                <c:pt idx="20">
                  <c:v>0.7725846198142714</c:v>
                </c:pt>
                <c:pt idx="21">
                  <c:v>0.8597778636914425</c:v>
                </c:pt>
                <c:pt idx="22">
                  <c:v>0.8340626485323767</c:v>
                </c:pt>
                <c:pt idx="23">
                  <c:v>0.8119239213491319</c:v>
                </c:pt>
                <c:pt idx="24">
                  <c:v>0.8116796559076999</c:v>
                </c:pt>
                <c:pt idx="25">
                  <c:v>0.834691240148951</c:v>
                </c:pt>
                <c:pt idx="26">
                  <c:v>0.7686928488550361</c:v>
                </c:pt>
                <c:pt idx="27">
                  <c:v>0.7590962154922472</c:v>
                </c:pt>
                <c:pt idx="28">
                  <c:v>0.7019715109110515</c:v>
                </c:pt>
                <c:pt idx="29">
                  <c:v>0.7262463200116048</c:v>
                </c:pt>
                <c:pt idx="30">
                  <c:v>0.6962683081309522</c:v>
                </c:pt>
                <c:pt idx="31">
                  <c:v>0.746144583663884</c:v>
                </c:pt>
                <c:pt idx="32">
                  <c:v>0.7789615034931219</c:v>
                </c:pt>
                <c:pt idx="33">
                  <c:v>0.790012278291383</c:v>
                </c:pt>
                <c:pt idx="34">
                  <c:v>0.8113137938313706</c:v>
                </c:pt>
                <c:pt idx="35">
                  <c:v>0.8112159407582967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9632"/>
        <c:axId val="340573440"/>
      </c:lineChart>
      <c:dateAx>
        <c:axId val="340569632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340573440"/>
        <c:crosses val="autoZero"/>
        <c:auto val="1"/>
        <c:baseTimeUnit val="days"/>
        <c:majorTimeUnit val="days"/>
      </c:dateAx>
      <c:valAx>
        <c:axId val="34057344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9632"/>
        <c:crosses val="autoZero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产业趋势基石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mm\-dd</c:formatCode>
                <c:ptCount val="37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37"/>
                <c:pt idx="0">
                  <c:v>1</c:v>
                </c:pt>
                <c:pt idx="1">
                  <c:v>1.0234374728432394</c:v>
                </c:pt>
                <c:pt idx="2">
                  <c:v>1.003337890555695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</c:v>
                </c:pt>
                <c:pt idx="9">
                  <c:v>0.9722277703724238</c:v>
                </c:pt>
                <c:pt idx="10">
                  <c:v>0.9650764877591137</c:v>
                </c:pt>
                <c:pt idx="11">
                  <c:v>0.9459777573116196</c:v>
                </c:pt>
                <c:pt idx="12">
                  <c:v>0.952475429289013</c:v>
                </c:pt>
                <c:pt idx="13">
                  <c:v>0.9578161514912864</c:v>
                </c:pt>
                <c:pt idx="14">
                  <c:v>1.023193922304395</c:v>
                </c:pt>
                <c:pt idx="15">
                  <c:v>0.9737422822209042</c:v>
                </c:pt>
                <c:pt idx="16">
                  <c:v>0.9380813966933788</c:v>
                </c:pt>
                <c:pt idx="17">
                  <c:v>0.9683000992212676</c:v>
                </c:pt>
                <c:pt idx="18">
                  <c:v>0.9382286416620573</c:v>
                </c:pt>
                <c:pt idx="19">
                  <c:v>0.8958746502961051</c:v>
                </c:pt>
                <c:pt idx="20">
                  <c:v>0.8224809210193703</c:v>
                </c:pt>
                <c:pt idx="21">
                  <c:v>0.7903597385650825</c:v>
                </c:pt>
                <c:pt idx="22">
                  <c:v>0.8795663803470132</c:v>
                </c:pt>
                <c:pt idx="23">
                  <c:v>0.8532119679999288</c:v>
                </c:pt>
                <c:pt idx="24">
                  <c:v>0.8306041683471038</c:v>
                </c:pt>
                <c:pt idx="25">
                  <c:v>0.8302935633021382</c:v>
                </c:pt>
                <c:pt idx="26">
                  <c:v>0.8539047584133223</c:v>
                </c:pt>
                <c:pt idx="27">
                  <c:v>0.7862607541617691</c:v>
                </c:pt>
                <c:pt idx="28">
                  <c:v>0.7764481489891852</c:v>
                </c:pt>
                <c:pt idx="29">
                  <c:v>0.7179354197028244</c:v>
                </c:pt>
                <c:pt idx="30">
                  <c:v>0.7428272636622453</c:v>
                </c:pt>
                <c:pt idx="31">
                  <c:v>0.7122241057916313</c:v>
                </c:pt>
                <c:pt idx="32">
                  <c:v>0.763369476639056</c:v>
                </c:pt>
                <c:pt idx="33">
                  <c:v>0.7969234005676091</c:v>
                </c:pt>
                <c:pt idx="34">
                  <c:v>0.8082651101207579</c:v>
                </c:pt>
                <c:pt idx="35">
                  <c:v>0.8300846766923614</c:v>
                </c:pt>
                <c:pt idx="36">
                  <c:v>0.8300052390141042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3104"/>
        <c:axId val="340563648"/>
      </c:lineChart>
      <c:dateAx>
        <c:axId val="340563104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340563648"/>
        <c:crosses val="autoZero"/>
        <c:auto val="1"/>
        <c:baseTimeUnit val="days"/>
        <c:majorTimeUnit val="days"/>
      </c:dateAx>
      <c:valAx>
        <c:axId val="3405636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3104"/>
        <c:crosses val="autoZero"/>
        <c:crossBetween val="between"/>
      </c:valAx>
    </c:plotArea>
    <c:plotVisOnly val="1"/>
  </c:chart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产业趋势2号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mm\-dd</c:formatCode>
                <c:ptCount val="35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35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</c:v>
                </c:pt>
                <c:pt idx="9">
                  <c:v>0.9719520244211238</c:v>
                </c:pt>
                <c:pt idx="10">
                  <c:v>0.9747742707779874</c:v>
                </c:pt>
                <c:pt idx="11">
                  <c:v>0.9800129732567313</c:v>
                </c:pt>
                <c:pt idx="12">
                  <c:v>1.0473336640835054</c:v>
                </c:pt>
                <c:pt idx="13">
                  <c:v>0.993440262319023</c:v>
                </c:pt>
                <c:pt idx="14">
                  <c:v>0.955465515362161</c:v>
                </c:pt>
                <c:pt idx="15">
                  <c:v>0.9812206966546018</c:v>
                </c:pt>
                <c:pt idx="16">
                  <c:v>0.9454808705016986</c:v>
                </c:pt>
                <c:pt idx="17">
                  <c:v>0.9036061794817773</c:v>
                </c:pt>
                <c:pt idx="18">
                  <c:v>0.8372146811983534</c:v>
                </c:pt>
                <c:pt idx="19">
                  <c:v>0.8081138665027603</c:v>
                </c:pt>
                <c:pt idx="20">
                  <c:v>0.9014121198356063</c:v>
                </c:pt>
                <c:pt idx="21">
                  <c:v>0.8769245441337342</c:v>
                </c:pt>
                <c:pt idx="22">
                  <c:v>0.8519237786681105</c:v>
                </c:pt>
                <c:pt idx="23">
                  <c:v>0.8563461890866533</c:v>
                </c:pt>
                <c:pt idx="24">
                  <c:v>0.8789801761904195</c:v>
                </c:pt>
                <c:pt idx="25">
                  <c:v>0.8133151847510428</c:v>
                </c:pt>
                <c:pt idx="26">
                  <c:v>0.8051419736188107</c:v>
                </c:pt>
                <c:pt idx="27">
                  <c:v>0.7478743680283058</c:v>
                </c:pt>
                <c:pt idx="28">
                  <c:v>0.7713324953872246</c:v>
                </c:pt>
                <c:pt idx="29">
                  <c:v>0.7322249549961011</c:v>
                </c:pt>
                <c:pt idx="30">
                  <c:v>0.7791874507294276</c:v>
                </c:pt>
                <c:pt idx="31">
                  <c:v>0.8162763730870383</c:v>
                </c:pt>
                <c:pt idx="32">
                  <c:v>0.8264770472575836</c:v>
                </c:pt>
                <c:pt idx="33">
                  <c:v>0.847834593836472</c:v>
                </c:pt>
                <c:pt idx="34">
                  <c:v>0.8477321640264125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2560"/>
        <c:axId val="340570720"/>
      </c:lineChart>
      <c:dateAx>
        <c:axId val="340562560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340570720"/>
        <c:crosses val="autoZero"/>
        <c:auto val="1"/>
        <c:baseTimeUnit val="days"/>
        <c:majorTimeUnit val="days"/>
      </c:dateAx>
      <c:valAx>
        <c:axId val="34057072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2560"/>
        <c:crosses val="autoZero"/>
        <c:crossBetween val="between"/>
      </c:valAx>
    </c:plotArea>
    <c:plotVisOnly val="1"/>
  </c:chart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10-90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mm\-dd</c:formatCode>
                <c:ptCount val="34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34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1.001381360351553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0.9965245472082546</c:v>
                </c:pt>
                <c:pt idx="8">
                  <c:v>0.9957323662810534</c:v>
                </c:pt>
                <c:pt idx="9">
                  <c:v>0.9948959364529036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0.9909199976470138</c:v>
                </c:pt>
                <c:pt idx="14">
                  <c:v>0.99334753088252</c:v>
                </c:pt>
                <c:pt idx="15">
                  <c:v>0.9907172819897296</c:v>
                </c:pt>
                <c:pt idx="16">
                  <c:v>0.9867618713222716</c:v>
                </c:pt>
                <c:pt idx="17">
                  <c:v>0.9801796358017143</c:v>
                </c:pt>
                <c:pt idx="18">
                  <c:v>0.9769278540562801</c:v>
                </c:pt>
                <c:pt idx="19">
                  <c:v>0.985951613844311</c:v>
                </c:pt>
                <c:pt idx="20">
                  <c:v>0.9857985086857878</c:v>
                </c:pt>
                <c:pt idx="21">
                  <c:v>0.9844778471823327</c:v>
                </c:pt>
                <c:pt idx="22">
                  <c:v>0.9834504057910622</c:v>
                </c:pt>
                <c:pt idx="23">
                  <c:v>0.986964372283558</c:v>
                </c:pt>
                <c:pt idx="24">
                  <c:v>0.9806986308480341</c:v>
                </c:pt>
                <c:pt idx="25">
                  <c:v>0.9802690641980553</c:v>
                </c:pt>
                <c:pt idx="26">
                  <c:v>0.9761214913199201</c:v>
                </c:pt>
                <c:pt idx="27">
                  <c:v>0.9792721494489683</c:v>
                </c:pt>
                <c:pt idx="28">
                  <c:v>0.9764584047938141</c:v>
                </c:pt>
                <c:pt idx="29">
                  <c:v>0.9809307866654694</c:v>
                </c:pt>
                <c:pt idx="30">
                  <c:v>0.9857551121502536</c:v>
                </c:pt>
                <c:pt idx="31">
                  <c:v>0.9880799153102908</c:v>
                </c:pt>
                <c:pt idx="32">
                  <c:v>0.9911824322392818</c:v>
                </c:pt>
                <c:pt idx="33">
                  <c:v>0.9911198858710139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6368"/>
        <c:axId val="340577248"/>
      </c:lineChart>
      <c:dateAx>
        <c:axId val="340566368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340577248"/>
        <c:crosses val="autoZero"/>
        <c:auto val="1"/>
        <c:baseTimeUnit val="days"/>
        <c:majorTimeUnit val="days"/>
      </c:dateAx>
      <c:valAx>
        <c:axId val="3405772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6368"/>
        <c:crosses val="autoZero"/>
        <c:crossBetween val="between"/>
      </c:valAx>
    </c:plotArea>
    <c:plotVisOnly val="1"/>
  </c:chart>
</c:chartSpace>
</file>

<file path=xl/drawings/charts/chart5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10-90基石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mm\-dd</c:formatCode>
                <c:ptCount val="37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37"/>
                <c:pt idx="0">
                  <c:v>1</c:v>
                </c:pt>
                <c:pt idx="1">
                  <c:v>1.000895531640774</c:v>
                </c:pt>
                <c:pt idx="2">
                  <c:v>0.997822638405164</c:v>
                </c:pt>
                <c:pt idx="3">
                  <c:v>0.999770568843768</c:v>
                </c:pt>
                <c:pt idx="4">
                  <c:v>1.0012779820956512</c:v>
                </c:pt>
                <c:pt idx="5">
                  <c:v>0.9989298006435622</c:v>
                </c:pt>
                <c:pt idx="6">
                  <c:v>1.000521049754879</c:v>
                </c:pt>
                <c:pt idx="7">
                  <c:v>1.0027101391424882</c:v>
                </c:pt>
                <c:pt idx="8">
                  <c:v>0.9999843673180198</c:v>
                </c:pt>
                <c:pt idx="9">
                  <c:v>0.9941527961239465</c:v>
                </c:pt>
                <c:pt idx="10">
                  <c:v>0.9950266275137456</c:v>
                </c:pt>
                <c:pt idx="11">
                  <c:v>0.9941257530343445</c:v>
                </c:pt>
                <c:pt idx="12">
                  <c:v>0.993508045742055</c:v>
                </c:pt>
                <c:pt idx="13">
                  <c:v>0.993658268958903</c:v>
                </c:pt>
                <c:pt idx="14">
                  <c:v>0.9987536792450192</c:v>
                </c:pt>
                <c:pt idx="15">
                  <c:v>0.995027963149505</c:v>
                </c:pt>
                <c:pt idx="16">
                  <c:v>0.989844018115725</c:v>
                </c:pt>
                <c:pt idx="17">
                  <c:v>0.9925957253792916</c:v>
                </c:pt>
                <c:pt idx="18">
                  <c:v>0.9902009987247299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</c:v>
                </c:pt>
                <c:pt idx="22">
                  <c:v>0.9845118194605104</c:v>
                </c:pt>
                <c:pt idx="23">
                  <c:v>0.9841648961696206</c:v>
                </c:pt>
                <c:pt idx="24">
                  <c:v>0.9829406750694418</c:v>
                </c:pt>
                <c:pt idx="25">
                  <c:v>0.9816707275326353</c:v>
                </c:pt>
                <c:pt idx="26">
                  <c:v>0.9853056669070563</c:v>
                </c:pt>
                <c:pt idx="27">
                  <c:v>0.9787964235118289</c:v>
                </c:pt>
                <c:pt idx="28">
                  <c:v>0.9782589797667538</c:v>
                </c:pt>
                <c:pt idx="29">
                  <c:v>0.9739032100573446</c:v>
                </c:pt>
                <c:pt idx="30">
                  <c:v>0.9771983724761962</c:v>
                </c:pt>
                <c:pt idx="31">
                  <c:v>0.9748359985566297</c:v>
                </c:pt>
                <c:pt idx="32">
                  <c:v>0.9796855733955407</c:v>
                </c:pt>
                <c:pt idx="33">
                  <c:v>0.9843568121162213</c:v>
                </c:pt>
                <c:pt idx="34">
                  <c:v>0.9867312806435433</c:v>
                </c:pt>
                <c:pt idx="35">
                  <c:v>0.9899177263544964</c:v>
                </c:pt>
                <c:pt idx="36">
                  <c:v>0.9898798291506663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4736"/>
        <c:axId val="340565280"/>
      </c:lineChart>
      <c:dateAx>
        <c:axId val="34056473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340565280"/>
        <c:crosses val="autoZero"/>
        <c:auto val="1"/>
        <c:baseTimeUnit val="days"/>
        <c:majorTimeUnit val="days"/>
      </c:dateAx>
      <c:valAx>
        <c:axId val="34056528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4736"/>
        <c:crosses val="autoZero"/>
        <c:crossBetween val="between"/>
      </c:valAx>
    </c:plotArea>
    <c:plotVisOnly val="1"/>
  </c:chart>
</c:chartSpace>
</file>

<file path=xl/drawings/charts/chart6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30-70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mm\-dd</c:formatCode>
                <c:ptCount val="34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34"/>
                <c:pt idx="0">
                  <c:v>1</c:v>
                </c:pt>
                <c:pt idx="1">
                  <c:v>1.003973208229428</c:v>
                </c:pt>
                <c:pt idx="2">
                  <c:v>0.9972080430474539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0.9875221133791491</c:v>
                </c:pt>
                <c:pt idx="7">
                  <c:v>0.9903029372721969</c:v>
                </c:pt>
                <c:pt idx="8">
                  <c:v>0.98670140137911</c:v>
                </c:pt>
                <c:pt idx="9">
                  <c:v>0.9840531840077723</c:v>
                </c:pt>
                <c:pt idx="10">
                  <c:v>0.9829159879771635</c:v>
                </c:pt>
                <c:pt idx="11">
                  <c:v>0.9967740900145545</c:v>
                </c:pt>
                <c:pt idx="12">
                  <c:v>0.9860201572522912</c:v>
                </c:pt>
                <c:pt idx="13">
                  <c:v>0.9720214180170383</c:v>
                </c:pt>
                <c:pt idx="14">
                  <c:v>0.9792359223946778</c:v>
                </c:pt>
                <c:pt idx="15">
                  <c:v>0.9719417616545712</c:v>
                </c:pt>
                <c:pt idx="16">
                  <c:v>0.9615263183146966</c:v>
                </c:pt>
                <c:pt idx="17">
                  <c:v>0.9421002871065172</c:v>
                </c:pt>
                <c:pt idx="18">
                  <c:v>0.9330905763749354</c:v>
                </c:pt>
                <c:pt idx="19">
                  <c:v>0.9586286909983064</c:v>
                </c:pt>
                <c:pt idx="20">
                  <c:v>0.954735367142604</c:v>
                </c:pt>
                <c:pt idx="21">
                  <c:v>0.9505792374452339</c:v>
                </c:pt>
                <c:pt idx="22">
                  <c:v>0.9474105527369694</c:v>
                </c:pt>
                <c:pt idx="23">
                  <c:v>0.9570814216289998</c:v>
                </c:pt>
                <c:pt idx="24">
                  <c:v>0.9394669479194155</c:v>
                </c:pt>
                <c:pt idx="25">
                  <c:v>0.9386041036257209</c:v>
                </c:pt>
                <c:pt idx="26">
                  <c:v>0.924452842065355</c:v>
                </c:pt>
                <c:pt idx="27">
                  <c:v>0.9326482664466822</c:v>
                </c:pt>
                <c:pt idx="28">
                  <c:v>0.9240856594816441</c:v>
                </c:pt>
                <c:pt idx="29">
                  <c:v>0.9365246383470299</c:v>
                </c:pt>
                <c:pt idx="30">
                  <c:v>0.9497157311328217</c:v>
                </c:pt>
                <c:pt idx="31">
                  <c:v>0.9551340139407101</c:v>
                </c:pt>
                <c:pt idx="32">
                  <c:v>0.962773860599383</c:v>
                </c:pt>
                <c:pt idx="33">
                  <c:v>0.962683778800384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75616"/>
        <c:axId val="340569088"/>
      </c:lineChart>
      <c:dateAx>
        <c:axId val="340575616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340569088"/>
        <c:crosses val="autoZero"/>
        <c:auto val="1"/>
        <c:baseTimeUnit val="days"/>
        <c:majorTimeUnit val="days"/>
      </c:dateAx>
      <c:valAx>
        <c:axId val="34056908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75616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c5280f351e4fd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6</xdr:col>
      <xdr:colOff>1069700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351a1c8350498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c9139522054a2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1bea7de81949cb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2835c1fa1b421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86662da518489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a88b40930b549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a2f3a4eb58d24d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9bbb39414a6444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3740a057783e41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3e122fa79a0f466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2602018bd18d4c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17.453125" customWidth="1"/>
    <x:col min="2" max="24" width="12.08984375" customWidth="1"/>
    <x:col min="25" max="26" width="9.90625" customWidth="1"/>
    <x:col min="27" max="27" width="13.1796875" customWidth="1"/>
  </x:cols>
  <x:sheetData>
    <x:row r="1" ht="18.75" customHeight="1">
      <x:c r="A1" s="54" t="s">
        <x:v>0</x:v>
      </x:c>
      <x:c r="B1" s="54"/>
      <x:c r="C1" s="54"/>
    </x:row>
    <x:row r="2" ht="39" customHeight="1">
      <x:c r="A2" s="1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1" t="s">
        <x:v>25</x:v>
      </x:c>
      <x:c r="Z2" s="1" t="s">
        <x:v>26</x:v>
      </x:c>
      <x:c r="AA2" s="1" t="s">
        <x:v>27</x:v>
      </x:c>
    </x:row>
    <x:row r="3" ht="13">
      <x:c r="A3" s="1" t="s">
        <x:v>28</x:v>
      </x:c>
      <x:c r="B3" s="3" t="s">
        <x:v>29</x:v>
      </x:c>
      <x:c r="C3" s="3" t="s">
        <x:v>30</x:v>
      </x:c>
      <x:c r="D3" s="3" t="s">
        <x:v>31</x:v>
      </x:c>
      <x:c r="E3" s="3" t="s">
        <x:v>32</x:v>
      </x:c>
      <x:c r="F3" s="3" t="s">
        <x:v>33</x:v>
      </x:c>
      <x:c r="G3" s="3" t="s">
        <x:v>34</x:v>
      </x:c>
      <x:c r="H3" s="3" t="s">
        <x:v>35</x:v>
      </x:c>
      <x:c r="I3" s="3" t="s">
        <x:v>36</x:v>
      </x:c>
      <x:c r="J3" s="3" t="s">
        <x:v>37</x:v>
      </x:c>
      <x:c r="K3" s="3" t="s">
        <x:v>38</x:v>
      </x:c>
      <x:c r="L3" s="3" t="s">
        <x:v>39</x:v>
      </x:c>
      <x:c r="M3" s="3" t="s">
        <x:v>40</x:v>
      </x:c>
      <x:c r="N3" s="3" t="s">
        <x:v>41</x:v>
      </x:c>
      <x:c r="O3" s="3" t="s">
        <x:v>42</x:v>
      </x:c>
      <x:c r="P3" s="3" t="s">
        <x:v>43</x:v>
      </x:c>
      <x:c r="Q3" s="3" t="s">
        <x:v>44</x:v>
      </x:c>
      <x:c r="R3" s="3" t="s">
        <x:v>45</x:v>
      </x:c>
      <x:c r="S3" s="3" t="s">
        <x:v>46</x:v>
      </x:c>
      <x:c r="T3" s="3" t="s">
        <x:v>47</x:v>
      </x:c>
      <x:c r="U3" s="3" t="s">
        <x:v>48</x:v>
      </x:c>
      <x:c r="V3" s="3" t="s">
        <x:v>49</x:v>
      </x:c>
      <x:c r="W3" s="3" t="s">
        <x:v>50</x:v>
      </x:c>
      <x:c r="X3" s="3" t="s">
        <x:v>51</x:v>
      </x:c>
      <x:c r="Y3" s="3"/>
      <x:c r="Z3" s="3"/>
      <x:c r="AA3" s="3"/>
    </x:row>
    <x:row r="4" ht="13">
      <x:c r="A4" s="4" t="s">
        <x:v>52</x:v>
      </x:c>
      <x:c r="B4" s="5">
        <x:v>0</x:v>
      </x:c>
      <x:c r="C4" s="5">
        <x:v>0.02</x:v>
      </x:c>
      <x:c r="D4" s="5">
        <x:v>0.19</x:v>
      </x:c>
      <x:c r="E4" s="5">
        <x:v>0</x:v>
      </x:c>
      <x:c r="F4" s="5">
        <x:v>0</x:v>
      </x:c>
      <x:c r="G4" s="5">
        <x:v>0.11</x:v>
      </x:c>
      <x:c r="H4" s="5">
        <x:v>0</x:v>
      </x:c>
      <x:c r="I4" s="5">
        <x:v>0</x:v>
      </x:c>
      <x:c r="J4" s="5">
        <x:v>0.19</x:v>
      </x:c>
      <x:c r="K4" s="5">
        <x:v>0</x:v>
      </x:c>
      <x:c r="L4" s="5">
        <x:v>0</x:v>
      </x:c>
      <x:c r="M4" s="5">
        <x:v>0</x:v>
      </x:c>
      <x:c r="N4" s="5">
        <x:v>0</x:v>
      </x:c>
      <x:c r="O4" s="5">
        <x:v>0</x:v>
      </x:c>
      <x:c r="P4" s="5">
        <x:v>0.19</x:v>
      </x:c>
      <x:c r="Q4" s="5">
        <x:v>0.19</x:v>
      </x:c>
      <x:c r="R4" s="5">
        <x:v>0</x:v>
      </x:c>
      <x:c r="S4" s="5">
        <x:v>0</x:v>
      </x:c>
      <x:c r="T4" s="5">
        <x:v>0.11</x:v>
      </x:c>
      <x:c r="U4" s="5">
        <x:v>0</x:v>
      </x:c>
      <x:c r="V4" s="5">
        <x:v>0</x:v>
      </x:c>
      <x:c r="W4" s="5">
        <x:v>0</x:v>
      </x:c>
      <x:c r="X4" s="5">
        <x:v>0</x:v>
      </x:c>
      <x:c r="Y4" s="6" t="n">
        <x:f t="shared" ref="Y4:Y9" si="0">SUM(B4:X4)</x:f>
        <x:v>0.9999999999999999</x:v>
      </x:c>
      <x:c r="Z4" s="7">
        <x:v>1.4999999999999999E-2</x:v>
      </x:c>
      <x:c r="AA4" s="8">
        <x:v>46195</x:v>
      </x:c>
    </x:row>
    <x:row r="5" ht="13">
      <x:c r="A5" s="4" t="s">
        <x:v>53</x:v>
      </x:c>
      <x:c r="B5" s="5">
        <x:v>0</x:v>
      </x:c>
      <x:c r="C5" s="5">
        <x:v>0.02</x:v>
      </x:c>
      <x:c r="D5" s="5">
        <x:v>0.19</x:v>
      </x:c>
      <x:c r="E5" s="5">
        <x:v>0</x:v>
      </x:c>
      <x:c r="F5" s="5">
        <x:v>0</x:v>
      </x:c>
      <x:c r="G5" s="5">
        <x:v>0.11</x:v>
      </x:c>
      <x:c r="H5" s="5">
        <x:v>0</x:v>
      </x:c>
      <x:c r="I5" s="5">
        <x:v>0</x:v>
      </x:c>
      <x:c r="J5" s="5">
        <x:v>0.19</x:v>
      </x:c>
      <x:c r="K5" s="5">
        <x:v>0</x:v>
      </x:c>
      <x:c r="L5" s="5">
        <x:v>0</x:v>
      </x:c>
      <x:c r="M5" s="5">
        <x:v>0</x:v>
      </x:c>
      <x:c r="N5" s="5">
        <x:v>0</x:v>
      </x:c>
      <x:c r="O5" s="5">
        <x:v>0</x:v>
      </x:c>
      <x:c r="P5" s="5">
        <x:v>0.19</x:v>
      </x:c>
      <x:c r="Q5" s="5">
        <x:v>0.19</x:v>
      </x:c>
      <x:c r="R5" s="5">
        <x:v>0</x:v>
      </x:c>
      <x:c r="S5" s="5">
        <x:v>0</x:v>
      </x:c>
      <x:c r="T5" s="5">
        <x:v>0.11</x:v>
      </x:c>
      <x:c r="U5" s="5">
        <x:v>0</x:v>
      </x:c>
      <x:c r="V5" s="5">
        <x:v>0</x:v>
      </x:c>
      <x:c r="W5" s="5">
        <x:v>0</x:v>
      </x:c>
      <x:c r="X5" s="5">
        <x:v>0</x:v>
      </x:c>
      <x:c r="Y5" s="6">
        <x:f t="shared" si="0"/>
        <x:v>0.99999999999999989</x:v>
      </x:c>
      <x:c r="Z5" s="7">
        <x:v>1.2E-2</x:v>
      </x:c>
      <x:c r="AA5" s="8">
        <x:v>46191</x:v>
      </x:c>
    </x:row>
    <x:row r="6" ht="13">
      <x:c r="A6" s="4" t="s">
        <x:v>54</x:v>
      </x:c>
      <x:c r="B6" s="5">
        <x:v>0</x:v>
      </x:c>
      <x:c r="C6" s="5">
        <x:v>0.02</x:v>
      </x:c>
      <x:c r="D6" s="5">
        <x:v>0</x:v>
      </x:c>
      <x:c r="E6" s="5">
        <x:v>0</x:v>
      </x:c>
      <x:c r="F6" s="5">
        <x:v>0</x:v>
      </x:c>
      <x:c r="G6" s="5">
        <x:v>0</x:v>
      </x:c>
      <x:c r="H6" s="5">
        <x:v>0.11</x:v>
      </x:c>
      <x:c r="I6" s="5">
        <x:v>0.19</x:v>
      </x:c>
      <x:c r="J6" s="5">
        <x:v>0</x:v>
      </x:c>
      <x:c r="K6" s="5">
        <x:v>0.19</x:v>
      </x:c>
      <x:c r="L6" s="5">
        <x:v>0</x:v>
      </x:c>
      <x:c r="M6" s="5">
        <x:v>0</x:v>
      </x:c>
      <x:c r="N6" s="5">
        <x:v>0</x:v>
      </x:c>
      <x:c r="O6" s="5">
        <x:v>0</x:v>
      </x:c>
      <x:c r="P6" s="5">
        <x:v>0</x:v>
      </x:c>
      <x:c r="Q6" s="5">
        <x:v>0</x:v>
      </x:c>
      <x:c r="R6" s="5">
        <x:v>0.19</x:v>
      </x:c>
      <x:c r="S6" s="5">
        <x:v>0.19</x:v>
      </x:c>
      <x:c r="T6" s="5">
        <x:v>0</x:v>
      </x:c>
      <x:c r="U6" s="5">
        <x:v>0.11</x:v>
      </x:c>
      <x:c r="V6" s="5">
        <x:v>0</x:v>
      </x:c>
      <x:c r="W6" s="5">
        <x:v>0</x:v>
      </x:c>
      <x:c r="X6" s="5">
        <x:v>0</x:v>
      </x:c>
      <x:c r="Y6" s="6">
        <x:f t="shared" si="0"/>
        <x:v>0.99999999999999989</x:v>
      </x:c>
      <x:c r="Z6" s="7">
        <x:v>1.4999999999999999E-2</x:v>
      </x:c>
      <x:c r="AA6" s="8">
        <x:v>46196</x:v>
      </x:c>
    </x:row>
    <x:row r="7" ht="13">
      <x:c r="A7" s="9" t="s">
        <x:v>55</x:v>
      </x:c>
      <x:c r="B7" s="5">
        <x:v>0.05</x:v>
      </x:c>
      <x:c r="C7" s="5">
        <x:v>0.02</x:v>
      </x:c>
      <x:c r="D7" s="5">
        <x:v>0</x:v>
      </x:c>
      <x:c r="E7" s="5">
        <x:v>0</x:v>
      </x:c>
      <x:c r="F7" s="5">
        <x:v>1.2500000000000001E-2</x:v>
      </x:c>
      <x:c r="G7" s="5">
        <x:v>0</x:v>
      </x:c>
      <x:c r="H7" s="5">
        <x:v>5.0000000000000001E-3</x:v>
      </x:c>
      <x:c r="I7" s="5">
        <x:v>0.01</x:v>
      </x:c>
      <x:c r="J7" s="5">
        <x:v>0</x:v>
      </x:c>
      <x:c r="K7" s="5">
        <x:v>0.01</x:v>
      </x:c>
      <x:c r="L7" s="5">
        <x:v>0</x:v>
      </x:c>
      <x:c r="M7" s="5">
        <x:v>1.2500000000000001E-2</x:v>
      </x:c>
      <x:c r="N7" s="5">
        <x:v>0</x:v>
      </x:c>
      <x:c r="O7" s="5">
        <x:v>1.2500000000000001E-2</x:v>
      </x:c>
      <x:c r="P7" s="5">
        <x:v>0</x:v>
      </x:c>
      <x:c r="Q7" s="5">
        <x:v>0</x:v>
      </x:c>
      <x:c r="R7" s="5">
        <x:v>0.01</x:v>
      </x:c>
      <x:c r="S7" s="5">
        <x:v>0.01</x:v>
      </x:c>
      <x:c r="T7" s="5">
        <x:v>0</x:v>
      </x:c>
      <x:c r="U7" s="5">
        <x:v>5.0000000000000001E-3</x:v>
      </x:c>
      <x:c r="V7" s="5">
        <x:v>0</x:v>
      </x:c>
      <x:c r="W7" s="5">
        <x:v>1.2500000000000001E-2</x:v>
      </x:c>
      <x:c r="X7" s="5">
        <x:v>0.83</x:v>
      </x:c>
      <x:c r="Y7" s="6">
        <x:f t="shared" si="0"/>
        <x:v>1</x:v>
      </x:c>
      <x:c r="Z7" s="7">
        <x:v>8.0000000000000002E-3</x:v>
      </x:c>
      <x:c r="AA7" s="8">
        <x:v>46197</x:v>
      </x:c>
    </x:row>
    <x:row r="8" ht="13">
      <x:c r="A8" s="9" t="s">
        <x:v>56</x:v>
      </x:c>
      <x:c r="B8" s="5">
        <x:v>0.05</x:v>
      </x:c>
      <x:c r="C8" s="5">
        <x:v>0.02</x:v>
      </x:c>
      <x:c r="D8" s="5">
        <x:v>0.01</x:v>
      </x:c>
      <x:c r="E8" s="5">
        <x:v>1.2500000000000001E-2</x:v>
      </x:c>
      <x:c r="F8" s="5">
        <x:v>0</x:v>
      </x:c>
      <x:c r="G8" s="5">
        <x:v>5.0000000000000001E-3</x:v>
      </x:c>
      <x:c r="H8" s="5">
        <x:v>0</x:v>
      </x:c>
      <x:c r="I8" s="5">
        <x:v>0</x:v>
      </x:c>
      <x:c r="J8" s="5">
        <x:v>0.01</x:v>
      </x:c>
      <x:c r="K8" s="5">
        <x:v>0</x:v>
      </x:c>
      <x:c r="L8" s="5">
        <x:v>1.2500000000000001E-2</x:v>
      </x:c>
      <x:c r="M8" s="5">
        <x:v>0</x:v>
      </x:c>
      <x:c r="N8" s="5">
        <x:v>1.2500000000000001E-2</x:v>
      </x:c>
      <x:c r="O8" s="5">
        <x:v>0</x:v>
      </x:c>
      <x:c r="P8" s="5">
        <x:v>0.01</x:v>
      </x:c>
      <x:c r="Q8" s="5">
        <x:v>0.01</x:v>
      </x:c>
      <x:c r="R8" s="5">
        <x:v>0</x:v>
      </x:c>
      <x:c r="S8" s="5">
        <x:v>0</x:v>
      </x:c>
      <x:c r="T8" s="5">
        <x:v>5.0000000000000001E-3</x:v>
      </x:c>
      <x:c r="U8" s="5">
        <x:v>0</x:v>
      </x:c>
      <x:c r="V8" s="5">
        <x:v>1.2500000000000001E-2</x:v>
      </x:c>
      <x:c r="W8" s="5">
        <x:v>0</x:v>
      </x:c>
      <x:c r="X8" s="5">
        <x:v>0.83</x:v>
      </x:c>
      <x:c r="Y8" s="6">
        <x:f t="shared" si="0"/>
        <x:v>1</x:v>
      </x:c>
      <x:c r="Z8" s="7">
        <x:v>5.0000000000000001E-3</x:v>
      </x:c>
      <x:c r="AA8" s="8">
        <x:v>46191</x:v>
      </x:c>
    </x:row>
    <x:row r="9" ht="13">
      <x:c r="A9" s="9" t="s">
        <x:v>57</x:v>
      </x:c>
      <x:c r="B9" s="5">
        <x:v>0.1</x:v>
      </x:c>
      <x:c r="C9" s="5">
        <x:v>0.02</x:v>
      </x:c>
      <x:c r="D9" s="5">
        <x:v>0</x:v>
      </x:c>
      <x:c r="E9" s="5">
        <x:v>0</x:v>
      </x:c>
      <x:c r="F9" s="5">
        <x:v>3.7499999999999999E-2</x:v>
      </x:c>
      <x:c r="G9" s="5">
        <x:v>0</x:v>
      </x:c>
      <x:c r="H9" s="5">
        <x:v>1.4999999999999999E-2</x:v>
      </x:c>
      <x:c r="I9" s="5">
        <x:v>0.03</x:v>
      </x:c>
      <x:c r="J9" s="5">
        <x:v>0</x:v>
      </x:c>
      <x:c r="K9" s="5">
        <x:v>0.03</x:v>
      </x:c>
      <x:c r="L9" s="5">
        <x:v>0</x:v>
      </x:c>
      <x:c r="M9" s="5">
        <x:v>3.7499999999999999E-2</x:v>
      </x:c>
      <x:c r="N9" s="5">
        <x:v>0</x:v>
      </x:c>
      <x:c r="O9" s="5">
        <x:v>3.7499999999999999E-2</x:v>
      </x:c>
      <x:c r="P9" s="5">
        <x:v>0</x:v>
      </x:c>
      <x:c r="Q9" s="5">
        <x:v>0</x:v>
      </x:c>
      <x:c r="R9" s="5">
        <x:v>0.03</x:v>
      </x:c>
      <x:c r="S9" s="5">
        <x:v>0.03</x:v>
      </x:c>
      <x:c r="T9" s="5">
        <x:v>0</x:v>
      </x:c>
      <x:c r="U9" s="5">
        <x:v>1.4999999999999999E-2</x:v>
      </x:c>
      <x:c r="V9" s="5">
        <x:v>0</x:v>
      </x:c>
      <x:c r="W9" s="5">
        <x:v>3.7499999999999999E-2</x:v>
      </x:c>
      <x:c r="X9" s="5">
        <x:v>0.57999999999999996</x:v>
      </x:c>
      <x:c r="Y9" s="6">
        <x:f t="shared" si="0"/>
        <x:v>0.99999999999999989</x:v>
      </x:c>
      <x:c r="Z9" s="7">
        <x:v>1.2E-2</x:v>
      </x:c>
      <x:c r="AA9" s="8">
        <x:v>46197</x:v>
      </x:c>
    </x:row>
    <x:row r="11" ht="14.25" customHeight="1">
      <x:c r="A11" s="10" t="s">
        <x:v>58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13.1796875" customWidth="1"/>
  </x:cols>
  <x:sheetData>
    <x:row r="1" ht="19.5" customHeight="1">
      <x:c r="A1" s="55" t="s">
        <x:v>59</x:v>
      </x:c>
      <x:c r="B1" s="55"/>
      <x:c r="C1" s="55"/>
      <x:c r="D1" s="55"/>
    </x:row>
    <x:row r="2" ht="14">
      <x:c r="A2" s="11" t="n">
        <x:f ca="1">TODAY()</x:f>
        <x:v>46244</x:v>
      </x:c>
    </x:row>
    <x:row r="3" ht="24.75" customHeight="1">
      <x:c r="A3" s="1" t="s">
        <x:v>60</x:v>
      </x:c>
      <x:c r="B3" s="12" t="e">
        <x:f>实盘持仓配置!B3</x:f>
        <x:v>#NAME?</x:v>
      </x:c>
      <x:c r="C3" s="12" t="e">
        <x:f>实盘持仓配置!C3</x:f>
        <x:v>#NAME?</x:v>
      </x:c>
      <x:c r="D3" s="12" t="e">
        <x:f>实盘持仓配置!D3</x:f>
        <x:v>#NAME?</x:v>
      </x:c>
      <x:c r="E3" s="12" t="e">
        <x:f>实盘持仓配置!E3</x:f>
        <x:v>#NAME?</x:v>
      </x:c>
      <x:c r="F3" s="12" t="e">
        <x:f>实盘持仓配置!F3</x:f>
        <x:v>#NAME?</x:v>
      </x:c>
      <x:c r="G3" s="12" t="e">
        <x:f>实盘持仓配置!G3</x:f>
        <x:v>#NAME?</x:v>
      </x:c>
      <x:c r="H3" s="12" t="e">
        <x:f>实盘持仓配置!H3</x:f>
        <x:v>#NAME?</x:v>
      </x:c>
      <x:c r="I3" s="12" t="e">
        <x:f>实盘持仓配置!I3</x:f>
        <x:v>#NAME?</x:v>
      </x:c>
      <x:c r="J3" s="12" t="e">
        <x:f>实盘持仓配置!J3</x:f>
        <x:v>#NAME?</x:v>
      </x:c>
      <x:c r="K3" s="12" t="e">
        <x:f>实盘持仓配置!K3</x:f>
        <x:v>#NAME?</x:v>
      </x:c>
      <x:c r="L3" s="12" t="e">
        <x:f>实盘持仓配置!L3</x:f>
        <x:v>#NAME?</x:v>
      </x:c>
      <x:c r="M3" s="12" t="e">
        <x:f>实盘持仓配置!M3</x:f>
        <x:v>#NAME?</x:v>
      </x:c>
      <x:c r="N3" s="12" t="e">
        <x:f>实盘持仓配置!N3</x:f>
        <x:v>#NAME?</x:v>
      </x:c>
      <x:c r="O3" s="12" t="e">
        <x:f>实盘持仓配置!O3</x:f>
        <x:v>#NAME?</x:v>
      </x:c>
      <x:c r="P3" s="12" t="e">
        <x:f>实盘持仓配置!P3</x:f>
        <x:v>#NAME?</x:v>
      </x:c>
      <x:c r="Q3" s="12" t="e">
        <x:f>实盘持仓配置!Q3</x:f>
        <x:v>#NAME?</x:v>
      </x:c>
      <x:c r="R3" s="12" t="e">
        <x:f>实盘持仓配置!R3</x:f>
        <x:v>#NAME?</x:v>
      </x:c>
      <x:c r="S3" s="12" t="e">
        <x:f>实盘持仓配置!S3</x:f>
        <x:v>#NAME?</x:v>
      </x:c>
      <x:c r="T3" s="12" t="e">
        <x:f>实盘持仓配置!T3</x:f>
        <x:v>#NAME?</x:v>
      </x:c>
      <x:c r="U3" s="12" t="e">
        <x:f>实盘持仓配置!U3</x:f>
        <x:v>#NAME?</x:v>
      </x:c>
      <x:c r="V3" s="12" t="e">
        <x:f>实盘持仓配置!V3</x:f>
        <x:v>#NAME?</x:v>
      </x:c>
      <x:c r="W3" s="12" t="e">
        <x:f>实盘持仓配置!W3</x:f>
        <x:v>#NAME?</x:v>
      </x:c>
      <x:c r="X3" s="12" t="e">
        <x:f>实盘持仓配置!X3</x:f>
        <x:v>#NAME?</x:v>
      </x:c>
      <x:c r="Y3" s="12" t="s">
        <x:v>61</x:v>
      </x:c>
    </x:row>
    <x:row r="4" ht="51.75" customHeight="1">
      <x:c r="A4" s="1" t="e">
        <x:f ca="1">[1]!HX_AutoDate(1,"2026-06-18",A2,-1,-1,0,0,0,0,0,"SSE",37,0)</x:f>
        <x:v>#NAME?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  <x:c r="U4" s="2" t="s">
        <x:v>21</x:v>
      </x:c>
      <x:c r="V4" s="2" t="s">
        <x:v>22</x:v>
      </x:c>
      <x:c r="W4" s="2" t="s">
        <x:v>23</x:v>
      </x:c>
      <x:c r="X4" s="2" t="s">
        <x:v>24</x:v>
      </x:c>
      <x:c r="Y4" s="2" t="s">
        <x:v>62</x:v>
      </x:c>
    </x:row>
    <x:row r="5">
      <x:c r="A5" s="8">
        <x:v>46191</x:v>
      </x:c>
      <x:c r="B5" s="13" t="e">
        <x:f>IF($A5="","",[1]!thsiFinD("ths_adjustment_nv_fund",B$3,$A5))</x:f>
        <x:v>#NAME?</x:v>
      </x:c>
      <x:c r="C5" s="13" t="e">
        <x:f>IF($A5="","",[1]!thsiFinD("ths_adjustment_nv_fund",C$3,$A5))</x:f>
        <x:v>#NAME?</x:v>
      </x:c>
      <x:c r="D5" s="13" t="e">
        <x:f>IF($A5="","",[1]!thsiFinD("ths_adjustment_nv_fund",D$3,$A5))</x:f>
        <x:v>#NAME?</x:v>
      </x:c>
      <x:c r="E5" s="13" t="e">
        <x:f>IF($A5="","",[1]!thsiFinD("ths_adjustment_nv_fund",E$3,$A5))</x:f>
        <x:v>#NAME?</x:v>
      </x:c>
      <x:c r="F5" s="13" t="e">
        <x:f>IF($A5="","",[1]!thsiFinD("ths_adjustment_nv_fund",F$3,$A5))</x:f>
        <x:v>#NAME?</x:v>
      </x:c>
      <x:c r="G5" s="13" t="e">
        <x:f>IF($A5="","",[1]!thsiFinD("ths_adjustment_nv_fund",G$3,$A5))</x:f>
        <x:v>#NAME?</x:v>
      </x:c>
      <x:c r="H5" s="13" t="e">
        <x:f>IF($A5="","",[1]!thsiFinD("ths_adjustment_nv_fund",H$3,$A5))</x:f>
        <x:v>#NAME?</x:v>
      </x:c>
      <x:c r="I5" s="13" t="e">
        <x:f>IF($A5="","",[1]!thsiFinD("ths_adjustment_nv_fund",I$3,$A5))</x:f>
        <x:v>#NAME?</x:v>
      </x:c>
      <x:c r="J5" s="13" t="e">
        <x:f>IF($A5="","",[1]!thsiFinD("ths_adjustment_nv_fund",J$3,$A5))</x:f>
        <x:v>#NAME?</x:v>
      </x:c>
      <x:c r="K5" s="13" t="e">
        <x:f>IF($A5="","",[1]!thsiFinD("ths_adjustment_nv_fund",K$3,$A5))</x:f>
        <x:v>#NAME?</x:v>
      </x:c>
      <x:c r="L5" s="13" t="e">
        <x:f>IF($A5="","",[1]!thsiFinD("ths_adjustment_nv_fund",L$3,$A5))</x:f>
        <x:v>#NAME?</x:v>
      </x:c>
      <x:c r="M5" s="13" t="e">
        <x:f>IF($A5="","",[1]!thsiFinD("ths_adjustment_nv_fund",M$3,$A5))</x:f>
        <x:v>#NAME?</x:v>
      </x:c>
      <x:c r="N5" s="13" t="e">
        <x:f>IF($A5="","",[1]!thsiFinD("ths_adjustment_nv_fund",N$3,$A5))</x:f>
        <x:v>#NAME?</x:v>
      </x:c>
      <x:c r="O5" s="13" t="e">
        <x:f>IF($A5="","",[1]!thsiFinD("ths_adjustment_nv_fund",O$3,$A5))</x:f>
        <x:v>#NAME?</x:v>
      </x:c>
      <x:c r="P5" s="13" t="e">
        <x:f>IF($A5="","",[1]!thsiFinD("ths_adjustment_nv_fund",P$3,$A5))</x:f>
        <x:v>#NAME?</x:v>
      </x:c>
      <x:c r="Q5" s="13" t="e">
        <x:f>IF($A5="","",[1]!thsiFinD("ths_adjustment_nv_fund",Q$3,$A5))</x:f>
        <x:v>#NAME?</x:v>
      </x:c>
      <x:c r="R5" s="13" t="e">
        <x:f>IF($A5="","",[1]!thsiFinD("ths_adjustment_nv_fund",R$3,$A5))</x:f>
        <x:v>#NAME?</x:v>
      </x:c>
      <x:c r="S5" s="13" t="e">
        <x:f>IF($A5="","",[1]!thsiFinD("ths_adjustment_nv_fund",S$3,$A5))</x:f>
        <x:v>#NAME?</x:v>
      </x:c>
      <x:c r="T5" s="13" t="e">
        <x:f>IF($A5="","",[1]!thsiFinD("ths_adjustment_nv_fund",T$3,$A5))</x:f>
        <x:v>#NAME?</x:v>
      </x:c>
      <x:c r="U5" s="13" t="e">
        <x:f>IF($A5="","",[1]!thsiFinD("ths_adjustment_nv_fund",U$3,$A5))</x:f>
        <x:v>#NAME?</x:v>
      </x:c>
      <x:c r="V5" s="13" t="e">
        <x:f>IF($A5="","",[1]!thsiFinD("ths_adjustment_nv_fund",V$3,$A5))</x:f>
        <x:v>#NAME?</x:v>
      </x:c>
      <x:c r="W5" s="13" t="e">
        <x:f>IF($A5="","",[1]!thsiFinD("ths_adjustment_nv_fund",W$3,$A5))</x:f>
        <x:v>#NAME?</x:v>
      </x:c>
      <x:c r="X5" s="13" t="e">
        <x:f>IF($A5="","",[1]!thsiFinD("ths_adjustment_nv_fund",X$3,$A5))</x:f>
        <x:v>#NAME?</x:v>
      </x:c>
      <x:c r="Y5" s="13" t="e">
        <x:f>IF($A5="","",[1]!thsiFinD("ths_adjustment_nv_fund",Y$3,$A5))</x:f>
        <x:v>#NAME?</x:v>
      </x:c>
    </x:row>
    <x:row r="6">
      <x:c r="A6" s="8">
        <x:v>46195</x:v>
      </x:c>
      <x:c r="B6" s="13" t="e">
        <x:f>IF($A6="","",[1]!thsiFinD("ths_adjustment_nv_fund",B$3,$A6))</x:f>
        <x:v>#NAME?</x:v>
      </x:c>
      <x:c r="C6" s="13" t="e">
        <x:f>IF($A6="","",[1]!thsiFinD("ths_adjustment_nv_fund",C$3,$A6))</x:f>
        <x:v>#NAME?</x:v>
      </x:c>
      <x:c r="D6" s="13" t="e">
        <x:f>IF($A6="","",[1]!thsiFinD("ths_adjustment_nv_fund",D$3,$A6))</x:f>
        <x:v>#NAME?</x:v>
      </x:c>
      <x:c r="E6" s="13" t="e">
        <x:f>IF($A6="","",[1]!thsiFinD("ths_adjustment_nv_fund",E$3,$A6))</x:f>
        <x:v>#NAME?</x:v>
      </x:c>
      <x:c r="F6" s="13" t="e">
        <x:f>IF($A6="","",[1]!thsiFinD("ths_adjustment_nv_fund",F$3,$A6))</x:f>
        <x:v>#NAME?</x:v>
      </x:c>
      <x:c r="G6" s="13" t="e">
        <x:f>IF($A6="","",[1]!thsiFinD("ths_adjustment_nv_fund",G$3,$A6))</x:f>
        <x:v>#NAME?</x:v>
      </x:c>
      <x:c r="H6" s="13" t="e">
        <x:f>IF($A6="","",[1]!thsiFinD("ths_adjustment_nv_fund",H$3,$A6))</x:f>
        <x:v>#NAME?</x:v>
      </x:c>
      <x:c r="I6" s="13" t="e">
        <x:f>IF($A6="","",[1]!thsiFinD("ths_adjustment_nv_fund",I$3,$A6))</x:f>
        <x:v>#NAME?</x:v>
      </x:c>
      <x:c r="J6" s="13" t="e">
        <x:f>IF($A6="","",[1]!thsiFinD("ths_adjustment_nv_fund",J$3,$A6))</x:f>
        <x:v>#NAME?</x:v>
      </x:c>
      <x:c r="K6" s="13" t="e">
        <x:f>IF($A6="","",[1]!thsiFinD("ths_adjustment_nv_fund",K$3,$A6))</x:f>
        <x:v>#NAME?</x:v>
      </x:c>
      <x:c r="L6" s="13" t="e">
        <x:f>IF($A6="","",[1]!thsiFinD("ths_adjustment_nv_fund",L$3,$A6))</x:f>
        <x:v>#NAME?</x:v>
      </x:c>
      <x:c r="M6" s="13" t="e">
        <x:f>IF($A6="","",[1]!thsiFinD("ths_adjustment_nv_fund",M$3,$A6))</x:f>
        <x:v>#NAME?</x:v>
      </x:c>
      <x:c r="N6" s="13" t="e">
        <x:f>IF($A6="","",[1]!thsiFinD("ths_adjustment_nv_fund",N$3,$A6))</x:f>
        <x:v>#NAME?</x:v>
      </x:c>
      <x:c r="O6" s="13" t="e">
        <x:f>IF($A6="","",[1]!thsiFinD("ths_adjustment_nv_fund",O$3,$A6))</x:f>
        <x:v>#NAME?</x:v>
      </x:c>
      <x:c r="P6" s="13" t="e">
        <x:f>IF($A6="","",[1]!thsiFinD("ths_adjustment_nv_fund",P$3,$A6))</x:f>
        <x:v>#NAME?</x:v>
      </x:c>
      <x:c r="Q6" s="13" t="e">
        <x:f>IF($A6="","",[1]!thsiFinD("ths_adjustment_nv_fund",Q$3,$A6))</x:f>
        <x:v>#NAME?</x:v>
      </x:c>
      <x:c r="R6" s="13" t="e">
        <x:f>IF($A6="","",[1]!thsiFinD("ths_adjustment_nv_fund",R$3,$A6))</x:f>
        <x:v>#NAME?</x:v>
      </x:c>
      <x:c r="S6" s="13" t="e">
        <x:f>IF($A6="","",[1]!thsiFinD("ths_adjustment_nv_fund",S$3,$A6))</x:f>
        <x:v>#NAME?</x:v>
      </x:c>
      <x:c r="T6" s="13" t="e">
        <x:f>IF($A6="","",[1]!thsiFinD("ths_adjustment_nv_fund",T$3,$A6))</x:f>
        <x:v>#NAME?</x:v>
      </x:c>
      <x:c r="U6" s="13" t="e">
        <x:f>IF($A6="","",[1]!thsiFinD("ths_adjustment_nv_fund",U$3,$A6))</x:f>
        <x:v>#NAME?</x:v>
      </x:c>
      <x:c r="V6" s="13" t="e">
        <x:f>IF($A6="","",[1]!thsiFinD("ths_adjustment_nv_fund",V$3,$A6))</x:f>
        <x:v>#NAME?</x:v>
      </x:c>
      <x:c r="W6" s="13" t="e">
        <x:f>IF($A6="","",[1]!thsiFinD("ths_adjustment_nv_fund",W$3,$A6))</x:f>
        <x:v>#NAME?</x:v>
      </x:c>
      <x:c r="X6" s="13" t="e">
        <x:f>IF($A6="","",[1]!thsiFinD("ths_adjustment_nv_fund",X$3,$A6))</x:f>
        <x:v>#NAME?</x:v>
      </x:c>
      <x:c r="Y6" s="13" t="e">
        <x:f>IF($A6="","",[1]!thsiFinD("ths_adjustment_nv_fund",Y$3,$A6))</x:f>
        <x:v>#NAME?</x:v>
      </x:c>
    </x:row>
    <x:row r="7">
      <x:c r="A7" s="8">
        <x:v>46196</x:v>
      </x:c>
      <x:c r="B7" s="13" t="e">
        <x:f>IF($A7="","",[1]!thsiFinD("ths_adjustment_nv_fund",B$3,$A7))</x:f>
        <x:v>#NAME?</x:v>
      </x:c>
      <x:c r="C7" s="13" t="e">
        <x:f>IF($A7="","",[1]!thsiFinD("ths_adjustment_nv_fund",C$3,$A7))</x:f>
        <x:v>#NAME?</x:v>
      </x:c>
      <x:c r="D7" s="13" t="e">
        <x:f>IF($A7="","",[1]!thsiFinD("ths_adjustment_nv_fund",D$3,$A7))</x:f>
        <x:v>#NAME?</x:v>
      </x:c>
      <x:c r="E7" s="13" t="e">
        <x:f>IF($A7="","",[1]!thsiFinD("ths_adjustment_nv_fund",E$3,$A7))</x:f>
        <x:v>#NAME?</x:v>
      </x:c>
      <x:c r="F7" s="13" t="e">
        <x:f>IF($A7="","",[1]!thsiFinD("ths_adjustment_nv_fund",F$3,$A7))</x:f>
        <x:v>#NAME?</x:v>
      </x:c>
      <x:c r="G7" s="13" t="e">
        <x:f>IF($A7="","",[1]!thsiFinD("ths_adjustment_nv_fund",G$3,$A7))</x:f>
        <x:v>#NAME?</x:v>
      </x:c>
      <x:c r="H7" s="13" t="e">
        <x:f>IF($A7="","",[1]!thsiFinD("ths_adjustment_nv_fund",H$3,$A7))</x:f>
        <x:v>#NAME?</x:v>
      </x:c>
      <x:c r="I7" s="13" t="e">
        <x:f>IF($A7="","",[1]!thsiFinD("ths_adjustment_nv_fund",I$3,$A7))</x:f>
        <x:v>#NAME?</x:v>
      </x:c>
      <x:c r="J7" s="13" t="e">
        <x:f>IF($A7="","",[1]!thsiFinD("ths_adjustment_nv_fund",J$3,$A7))</x:f>
        <x:v>#NAME?</x:v>
      </x:c>
      <x:c r="K7" s="13" t="e">
        <x:f>IF($A7="","",[1]!thsiFinD("ths_adjustment_nv_fund",K$3,$A7))</x:f>
        <x:v>#NAME?</x:v>
      </x:c>
      <x:c r="L7" s="13" t="e">
        <x:f>IF($A7="","",[1]!thsiFinD("ths_adjustment_nv_fund",L$3,$A7))</x:f>
        <x:v>#NAME?</x:v>
      </x:c>
      <x:c r="M7" s="13" t="e">
        <x:f>IF($A7="","",[1]!thsiFinD("ths_adjustment_nv_fund",M$3,$A7))</x:f>
        <x:v>#NAME?</x:v>
      </x:c>
      <x:c r="N7" s="13" t="e">
        <x:f>IF($A7="","",[1]!thsiFinD("ths_adjustment_nv_fund",N$3,$A7))</x:f>
        <x:v>#NAME?</x:v>
      </x:c>
      <x:c r="O7" s="13" t="e">
        <x:f>IF($A7="","",[1]!thsiFinD("ths_adjustment_nv_fund",O$3,$A7))</x:f>
        <x:v>#NAME?</x:v>
      </x:c>
      <x:c r="P7" s="13" t="e">
        <x:f>IF($A7="","",[1]!thsiFinD("ths_adjustment_nv_fund",P$3,$A7))</x:f>
        <x:v>#NAME?</x:v>
      </x:c>
      <x:c r="Q7" s="13" t="e">
        <x:f>IF($A7="","",[1]!thsiFinD("ths_adjustment_nv_fund",Q$3,$A7))</x:f>
        <x:v>#NAME?</x:v>
      </x:c>
      <x:c r="R7" s="13" t="e">
        <x:f>IF($A7="","",[1]!thsiFinD("ths_adjustment_nv_fund",R$3,$A7))</x:f>
        <x:v>#NAME?</x:v>
      </x:c>
      <x:c r="S7" s="13" t="e">
        <x:f>IF($A7="","",[1]!thsiFinD("ths_adjustment_nv_fund",S$3,$A7))</x:f>
        <x:v>#NAME?</x:v>
      </x:c>
      <x:c r="T7" s="13" t="e">
        <x:f>IF($A7="","",[1]!thsiFinD("ths_adjustment_nv_fund",T$3,$A7))</x:f>
        <x:v>#NAME?</x:v>
      </x:c>
      <x:c r="U7" s="13" t="e">
        <x:f>IF($A7="","",[1]!thsiFinD("ths_adjustment_nv_fund",U$3,$A7))</x:f>
        <x:v>#NAME?</x:v>
      </x:c>
      <x:c r="V7" s="13" t="e">
        <x:f>IF($A7="","",[1]!thsiFinD("ths_adjustment_nv_fund",V$3,$A7))</x:f>
        <x:v>#NAME?</x:v>
      </x:c>
      <x:c r="W7" s="13" t="e">
        <x:f>IF($A7="","",[1]!thsiFinD("ths_adjustment_nv_fund",W$3,$A7))</x:f>
        <x:v>#NAME?</x:v>
      </x:c>
      <x:c r="X7" s="13" t="e">
        <x:f>IF($A7="","",[1]!thsiFinD("ths_adjustment_nv_fund",X$3,$A7))</x:f>
        <x:v>#NAME?</x:v>
      </x:c>
      <x:c r="Y7" s="13" t="e">
        <x:f>IF($A7="","",[1]!thsiFinD("ths_adjustment_nv_fund",Y$3,$A7))</x:f>
        <x:v>#NAME?</x:v>
      </x:c>
    </x:row>
    <x:row r="8">
      <x:c r="A8" s="8">
        <x:v>46197</x:v>
      </x:c>
      <x:c r="B8" s="13" t="e">
        <x:f>IF($A8="","",[1]!thsiFinD("ths_adjustment_nv_fund",B$3,$A8))</x:f>
        <x:v>#NAME?</x:v>
      </x:c>
      <x:c r="C8" s="13" t="e">
        <x:f>IF($A8="","",[1]!thsiFinD("ths_adjustment_nv_fund",C$3,$A8))</x:f>
        <x:v>#NAME?</x:v>
      </x:c>
      <x:c r="D8" s="13" t="e">
        <x:f>IF($A8="","",[1]!thsiFinD("ths_adjustment_nv_fund",D$3,$A8))</x:f>
        <x:v>#NAME?</x:v>
      </x:c>
      <x:c r="E8" s="13" t="e">
        <x:f>IF($A8="","",[1]!thsiFinD("ths_adjustment_nv_fund",E$3,$A8))</x:f>
        <x:v>#NAME?</x:v>
      </x:c>
      <x:c r="F8" s="13" t="e">
        <x:f>IF($A8="","",[1]!thsiFinD("ths_adjustment_nv_fund",F$3,$A8))</x:f>
        <x:v>#NAME?</x:v>
      </x:c>
      <x:c r="G8" s="13" t="e">
        <x:f>IF($A8="","",[1]!thsiFinD("ths_adjustment_nv_fund",G$3,$A8))</x:f>
        <x:v>#NAME?</x:v>
      </x:c>
      <x:c r="H8" s="13" t="e">
        <x:f>IF($A8="","",[1]!thsiFinD("ths_adjustment_nv_fund",H$3,$A8))</x:f>
        <x:v>#NAME?</x:v>
      </x:c>
      <x:c r="I8" s="13" t="e">
        <x:f>IF($A8="","",[1]!thsiFinD("ths_adjustment_nv_fund",I$3,$A8))</x:f>
        <x:v>#NAME?</x:v>
      </x:c>
      <x:c r="J8" s="13" t="e">
        <x:f>IF($A8="","",[1]!thsiFinD("ths_adjustment_nv_fund",J$3,$A8))</x:f>
        <x:v>#NAME?</x:v>
      </x:c>
      <x:c r="K8" s="13" t="e">
        <x:f>IF($A8="","",[1]!thsiFinD("ths_adjustment_nv_fund",K$3,$A8))</x:f>
        <x:v>#NAME?</x:v>
      </x:c>
      <x:c r="L8" s="13" t="e">
        <x:f>IF($A8="","",[1]!thsiFinD("ths_adjustment_nv_fund",L$3,$A8))</x:f>
        <x:v>#NAME?</x:v>
      </x:c>
      <x:c r="M8" s="13" t="e">
        <x:f>IF($A8="","",[1]!thsiFinD("ths_adjustment_nv_fund",M$3,$A8))</x:f>
        <x:v>#NAME?</x:v>
      </x:c>
      <x:c r="N8" s="13" t="e">
        <x:f>IF($A8="","",[1]!thsiFinD("ths_adjustment_nv_fund",N$3,$A8))</x:f>
        <x:v>#NAME?</x:v>
      </x:c>
      <x:c r="O8" s="13" t="e">
        <x:f>IF($A8="","",[1]!thsiFinD("ths_adjustment_nv_fund",O$3,$A8))</x:f>
        <x:v>#NAME?</x:v>
      </x:c>
      <x:c r="P8" s="13" t="e">
        <x:f>IF($A8="","",[1]!thsiFinD("ths_adjustment_nv_fund",P$3,$A8))</x:f>
        <x:v>#NAME?</x:v>
      </x:c>
      <x:c r="Q8" s="13" t="e">
        <x:f>IF($A8="","",[1]!thsiFinD("ths_adjustment_nv_fund",Q$3,$A8))</x:f>
        <x:v>#NAME?</x:v>
      </x:c>
      <x:c r="R8" s="13" t="e">
        <x:f>IF($A8="","",[1]!thsiFinD("ths_adjustment_nv_fund",R$3,$A8))</x:f>
        <x:v>#NAME?</x:v>
      </x:c>
      <x:c r="S8" s="13" t="e">
        <x:f>IF($A8="","",[1]!thsiFinD("ths_adjustment_nv_fund",S$3,$A8))</x:f>
        <x:v>#NAME?</x:v>
      </x:c>
      <x:c r="T8" s="13" t="e">
        <x:f>IF($A8="","",[1]!thsiFinD("ths_adjustment_nv_fund",T$3,$A8))</x:f>
        <x:v>#NAME?</x:v>
      </x:c>
      <x:c r="U8" s="13" t="e">
        <x:f>IF($A8="","",[1]!thsiFinD("ths_adjustment_nv_fund",U$3,$A8))</x:f>
        <x:v>#NAME?</x:v>
      </x:c>
      <x:c r="V8" s="13" t="e">
        <x:f>IF($A8="","",[1]!thsiFinD("ths_adjustment_nv_fund",V$3,$A8))</x:f>
        <x:v>#NAME?</x:v>
      </x:c>
      <x:c r="W8" s="13" t="e">
        <x:f>IF($A8="","",[1]!thsiFinD("ths_adjustment_nv_fund",W$3,$A8))</x:f>
        <x:v>#NAME?</x:v>
      </x:c>
      <x:c r="X8" s="13" t="e">
        <x:f>IF($A8="","",[1]!thsiFinD("ths_adjustment_nv_fund",X$3,$A8))</x:f>
        <x:v>#NAME?</x:v>
      </x:c>
      <x:c r="Y8" s="13" t="e">
        <x:f>IF($A8="","",[1]!thsiFinD("ths_adjustment_nv_fund",Y$3,$A8))</x:f>
        <x:v>#NAME?</x:v>
      </x:c>
    </x:row>
    <x:row r="9">
      <x:c r="A9" s="8">
        <x:v>46198</x:v>
      </x:c>
      <x:c r="B9" s="13" t="e">
        <x:f>IF($A9="","",[1]!thsiFinD("ths_adjustment_nv_fund",B$3,$A9))</x:f>
        <x:v>#NAME?</x:v>
      </x:c>
      <x:c r="C9" s="13" t="e">
        <x:f>IF($A9="","",[1]!thsiFinD("ths_adjustment_nv_fund",C$3,$A9))</x:f>
        <x:v>#NAME?</x:v>
      </x:c>
      <x:c r="D9" s="13" t="e">
        <x:f>IF($A9="","",[1]!thsiFinD("ths_adjustment_nv_fund",D$3,$A9))</x:f>
        <x:v>#NAME?</x:v>
      </x:c>
      <x:c r="E9" s="13" t="e">
        <x:f>IF($A9="","",[1]!thsiFinD("ths_adjustment_nv_fund",E$3,$A9))</x:f>
        <x:v>#NAME?</x:v>
      </x:c>
      <x:c r="F9" s="13" t="e">
        <x:f>IF($A9="","",[1]!thsiFinD("ths_adjustment_nv_fund",F$3,$A9))</x:f>
        <x:v>#NAME?</x:v>
      </x:c>
      <x:c r="G9" s="13" t="e">
        <x:f>IF($A9="","",[1]!thsiFinD("ths_adjustment_nv_fund",G$3,$A9))</x:f>
        <x:v>#NAME?</x:v>
      </x:c>
      <x:c r="H9" s="13" t="e">
        <x:f>IF($A9="","",[1]!thsiFinD("ths_adjustment_nv_fund",H$3,$A9))</x:f>
        <x:v>#NAME?</x:v>
      </x:c>
      <x:c r="I9" s="13" t="e">
        <x:f>IF($A9="","",[1]!thsiFinD("ths_adjustment_nv_fund",I$3,$A9))</x:f>
        <x:v>#NAME?</x:v>
      </x:c>
      <x:c r="J9" s="13" t="e">
        <x:f>IF($A9="","",[1]!thsiFinD("ths_adjustment_nv_fund",J$3,$A9))</x:f>
        <x:v>#NAME?</x:v>
      </x:c>
      <x:c r="K9" s="13" t="e">
        <x:f>IF($A9="","",[1]!thsiFinD("ths_adjustment_nv_fund",K$3,$A9))</x:f>
        <x:v>#NAME?</x:v>
      </x:c>
      <x:c r="L9" s="13" t="e">
        <x:f>IF($A9="","",[1]!thsiFinD("ths_adjustment_nv_fund",L$3,$A9))</x:f>
        <x:v>#NAME?</x:v>
      </x:c>
      <x:c r="M9" s="13" t="e">
        <x:f>IF($A9="","",[1]!thsiFinD("ths_adjustment_nv_fund",M$3,$A9))</x:f>
        <x:v>#NAME?</x:v>
      </x:c>
      <x:c r="N9" s="13" t="e">
        <x:f>IF($A9="","",[1]!thsiFinD("ths_adjustment_nv_fund",N$3,$A9))</x:f>
        <x:v>#NAME?</x:v>
      </x:c>
      <x:c r="O9" s="13" t="e">
        <x:f>IF($A9="","",[1]!thsiFinD("ths_adjustment_nv_fund",O$3,$A9))</x:f>
        <x:v>#NAME?</x:v>
      </x:c>
      <x:c r="P9" s="13" t="e">
        <x:f>IF($A9="","",[1]!thsiFinD("ths_adjustment_nv_fund",P$3,$A9))</x:f>
        <x:v>#NAME?</x:v>
      </x:c>
      <x:c r="Q9" s="13" t="e">
        <x:f>IF($A9="","",[1]!thsiFinD("ths_adjustment_nv_fund",Q$3,$A9))</x:f>
        <x:v>#NAME?</x:v>
      </x:c>
      <x:c r="R9" s="13" t="e">
        <x:f>IF($A9="","",[1]!thsiFinD("ths_adjustment_nv_fund",R$3,$A9))</x:f>
        <x:v>#NAME?</x:v>
      </x:c>
      <x:c r="S9" s="13" t="e">
        <x:f>IF($A9="","",[1]!thsiFinD("ths_adjustment_nv_fund",S$3,$A9))</x:f>
        <x:v>#NAME?</x:v>
      </x:c>
      <x:c r="T9" s="13" t="e">
        <x:f>IF($A9="","",[1]!thsiFinD("ths_adjustment_nv_fund",T$3,$A9))</x:f>
        <x:v>#NAME?</x:v>
      </x:c>
      <x:c r="U9" s="13" t="e">
        <x:f>IF($A9="","",[1]!thsiFinD("ths_adjustment_nv_fund",U$3,$A9))</x:f>
        <x:v>#NAME?</x:v>
      </x:c>
      <x:c r="V9" s="13" t="e">
        <x:f>IF($A9="","",[1]!thsiFinD("ths_adjustment_nv_fund",V$3,$A9))</x:f>
        <x:v>#NAME?</x:v>
      </x:c>
      <x:c r="W9" s="13" t="e">
        <x:f>IF($A9="","",[1]!thsiFinD("ths_adjustment_nv_fund",W$3,$A9))</x:f>
        <x:v>#NAME?</x:v>
      </x:c>
      <x:c r="X9" s="13" t="e">
        <x:f>IF($A9="","",[1]!thsiFinD("ths_adjustment_nv_fund",X$3,$A9))</x:f>
        <x:v>#NAME?</x:v>
      </x:c>
      <x:c r="Y9" s="13" t="e">
        <x:f>IF($A9="","",[1]!thsiFinD("ths_adjustment_nv_fund",Y$3,$A9))</x:f>
        <x:v>#NAME?</x:v>
      </x:c>
    </x:row>
    <x:row r="10">
      <x:c r="A10" s="8">
        <x:v>46199</x:v>
      </x:c>
      <x:c r="B10" s="13" t="e">
        <x:f>IF($A10="","",[1]!thsiFinD("ths_adjustment_nv_fund",B$3,$A10))</x:f>
        <x:v>#NAME?</x:v>
      </x:c>
      <x:c r="C10" s="13" t="e">
        <x:f>IF($A10="","",[1]!thsiFinD("ths_adjustment_nv_fund",C$3,$A10))</x:f>
        <x:v>#NAME?</x:v>
      </x:c>
      <x:c r="D10" s="13" t="e">
        <x:f>IF($A10="","",[1]!thsiFinD("ths_adjustment_nv_fund",D$3,$A10))</x:f>
        <x:v>#NAME?</x:v>
      </x:c>
      <x:c r="E10" s="13" t="e">
        <x:f>IF($A10="","",[1]!thsiFinD("ths_adjustment_nv_fund",E$3,$A10))</x:f>
        <x:v>#NAME?</x:v>
      </x:c>
      <x:c r="F10" s="13" t="e">
        <x:f>IF($A10="","",[1]!thsiFinD("ths_adjustment_nv_fund",F$3,$A10))</x:f>
        <x:v>#NAME?</x:v>
      </x:c>
      <x:c r="G10" s="13" t="e">
        <x:f>IF($A10="","",[1]!thsiFinD("ths_adjustment_nv_fund",G$3,$A10))</x:f>
        <x:v>#NAME?</x:v>
      </x:c>
      <x:c r="H10" s="13" t="e">
        <x:f>IF($A10="","",[1]!thsiFinD("ths_adjustment_nv_fund",H$3,$A10))</x:f>
        <x:v>#NAME?</x:v>
      </x:c>
      <x:c r="I10" s="13" t="e">
        <x:f>IF($A10="","",[1]!thsiFinD("ths_adjustment_nv_fund",I$3,$A10))</x:f>
        <x:v>#NAME?</x:v>
      </x:c>
      <x:c r="J10" s="13" t="e">
        <x:f>IF($A10="","",[1]!thsiFinD("ths_adjustment_nv_fund",J$3,$A10))</x:f>
        <x:v>#NAME?</x:v>
      </x:c>
      <x:c r="K10" s="13" t="e">
        <x:f>IF($A10="","",[1]!thsiFinD("ths_adjustment_nv_fund",K$3,$A10))</x:f>
        <x:v>#NAME?</x:v>
      </x:c>
      <x:c r="L10" s="13" t="e">
        <x:f>IF($A10="","",[1]!thsiFinD("ths_adjustment_nv_fund",L$3,$A10))</x:f>
        <x:v>#NAME?</x:v>
      </x:c>
      <x:c r="M10" s="13" t="e">
        <x:f>IF($A10="","",[1]!thsiFinD("ths_adjustment_nv_fund",M$3,$A10))</x:f>
        <x:v>#NAME?</x:v>
      </x:c>
      <x:c r="N10" s="13" t="e">
        <x:f>IF($A10="","",[1]!thsiFinD("ths_adjustment_nv_fund",N$3,$A10))</x:f>
        <x:v>#NAME?</x:v>
      </x:c>
      <x:c r="O10" s="13" t="e">
        <x:f>IF($A10="","",[1]!thsiFinD("ths_adjustment_nv_fund",O$3,$A10))</x:f>
        <x:v>#NAME?</x:v>
      </x:c>
      <x:c r="P10" s="13" t="e">
        <x:f>IF($A10="","",[1]!thsiFinD("ths_adjustment_nv_fund",P$3,$A10))</x:f>
        <x:v>#NAME?</x:v>
      </x:c>
      <x:c r="Q10" s="13" t="e">
        <x:f>IF($A10="","",[1]!thsiFinD("ths_adjustment_nv_fund",Q$3,$A10))</x:f>
        <x:v>#NAME?</x:v>
      </x:c>
      <x:c r="R10" s="13" t="e">
        <x:f>IF($A10="","",[1]!thsiFinD("ths_adjustment_nv_fund",R$3,$A10))</x:f>
        <x:v>#NAME?</x:v>
      </x:c>
      <x:c r="S10" s="13" t="e">
        <x:f>IF($A10="","",[1]!thsiFinD("ths_adjustment_nv_fund",S$3,$A10))</x:f>
        <x:v>#NAME?</x:v>
      </x:c>
      <x:c r="T10" s="13" t="e">
        <x:f>IF($A10="","",[1]!thsiFinD("ths_adjustment_nv_fund",T$3,$A10))</x:f>
        <x:v>#NAME?</x:v>
      </x:c>
      <x:c r="U10" s="13" t="e">
        <x:f>IF($A10="","",[1]!thsiFinD("ths_adjustment_nv_fund",U$3,$A10))</x:f>
        <x:v>#NAME?</x:v>
      </x:c>
      <x:c r="V10" s="13" t="e">
        <x:f>IF($A10="","",[1]!thsiFinD("ths_adjustment_nv_fund",V$3,$A10))</x:f>
        <x:v>#NAME?</x:v>
      </x:c>
      <x:c r="W10" s="13" t="e">
        <x:f>IF($A10="","",[1]!thsiFinD("ths_adjustment_nv_fund",W$3,$A10))</x:f>
        <x:v>#NAME?</x:v>
      </x:c>
      <x:c r="X10" s="13" t="e">
        <x:f>IF($A10="","",[1]!thsiFinD("ths_adjustment_nv_fund",X$3,$A10))</x:f>
        <x:v>#NAME?</x:v>
      </x:c>
      <x:c r="Y10" s="13" t="e">
        <x:f>IF($A10="","",[1]!thsiFinD("ths_adjustment_nv_fund",Y$3,$A10))</x:f>
        <x:v>#NAME?</x:v>
      </x:c>
    </x:row>
    <x:row r="11">
      <x:c r="A11" s="8">
        <x:v>46202</x:v>
      </x:c>
      <x:c r="B11" s="13" t="e">
        <x:f>IF($A11="","",[1]!thsiFinD("ths_adjustment_nv_fund",B$3,$A11))</x:f>
        <x:v>#NAME?</x:v>
      </x:c>
      <x:c r="C11" s="13" t="e">
        <x:f>IF($A11="","",[1]!thsiFinD("ths_adjustment_nv_fund",C$3,$A11))</x:f>
        <x:v>#NAME?</x:v>
      </x:c>
      <x:c r="D11" s="13" t="e">
        <x:f>IF($A11="","",[1]!thsiFinD("ths_adjustment_nv_fund",D$3,$A11))</x:f>
        <x:v>#NAME?</x:v>
      </x:c>
      <x:c r="E11" s="13" t="e">
        <x:f>IF($A11="","",[1]!thsiFinD("ths_adjustment_nv_fund",E$3,$A11))</x:f>
        <x:v>#NAME?</x:v>
      </x:c>
      <x:c r="F11" s="13" t="e">
        <x:f>IF($A11="","",[1]!thsiFinD("ths_adjustment_nv_fund",F$3,$A11))</x:f>
        <x:v>#NAME?</x:v>
      </x:c>
      <x:c r="G11" s="13" t="e">
        <x:f>IF($A11="","",[1]!thsiFinD("ths_adjustment_nv_fund",G$3,$A11))</x:f>
        <x:v>#NAME?</x:v>
      </x:c>
      <x:c r="H11" s="13" t="e">
        <x:f>IF($A11="","",[1]!thsiFinD("ths_adjustment_nv_fund",H$3,$A11))</x:f>
        <x:v>#NAME?</x:v>
      </x:c>
      <x:c r="I11" s="13" t="e">
        <x:f>IF($A11="","",[1]!thsiFinD("ths_adjustment_nv_fund",I$3,$A11))</x:f>
        <x:v>#NAME?</x:v>
      </x:c>
      <x:c r="J11" s="13" t="e">
        <x:f>IF($A11="","",[1]!thsiFinD("ths_adjustment_nv_fund",J$3,$A11))</x:f>
        <x:v>#NAME?</x:v>
      </x:c>
      <x:c r="K11" s="13" t="e">
        <x:f>IF($A11="","",[1]!thsiFinD("ths_adjustment_nv_fund",K$3,$A11))</x:f>
        <x:v>#NAME?</x:v>
      </x:c>
      <x:c r="L11" s="13" t="e">
        <x:f>IF($A11="","",[1]!thsiFinD("ths_adjustment_nv_fund",L$3,$A11))</x:f>
        <x:v>#NAME?</x:v>
      </x:c>
      <x:c r="M11" s="13" t="e">
        <x:f>IF($A11="","",[1]!thsiFinD("ths_adjustment_nv_fund",M$3,$A11))</x:f>
        <x:v>#NAME?</x:v>
      </x:c>
      <x:c r="N11" s="13" t="e">
        <x:f>IF($A11="","",[1]!thsiFinD("ths_adjustment_nv_fund",N$3,$A11))</x:f>
        <x:v>#NAME?</x:v>
      </x:c>
      <x:c r="O11" s="13" t="e">
        <x:f>IF($A11="","",[1]!thsiFinD("ths_adjustment_nv_fund",O$3,$A11))</x:f>
        <x:v>#NAME?</x:v>
      </x:c>
      <x:c r="P11" s="13" t="e">
        <x:f>IF($A11="","",[1]!thsiFinD("ths_adjustment_nv_fund",P$3,$A11))</x:f>
        <x:v>#NAME?</x:v>
      </x:c>
      <x:c r="Q11" s="13" t="e">
        <x:f>IF($A11="","",[1]!thsiFinD("ths_adjustment_nv_fund",Q$3,$A11))</x:f>
        <x:v>#NAME?</x:v>
      </x:c>
      <x:c r="R11" s="13" t="e">
        <x:f>IF($A11="","",[1]!thsiFinD("ths_adjustment_nv_fund",R$3,$A11))</x:f>
        <x:v>#NAME?</x:v>
      </x:c>
      <x:c r="S11" s="13" t="e">
        <x:f>IF($A11="","",[1]!thsiFinD("ths_adjustment_nv_fund",S$3,$A11))</x:f>
        <x:v>#NAME?</x:v>
      </x:c>
      <x:c r="T11" s="13" t="e">
        <x:f>IF($A11="","",[1]!thsiFinD("ths_adjustment_nv_fund",T$3,$A11))</x:f>
        <x:v>#NAME?</x:v>
      </x:c>
      <x:c r="U11" s="13" t="e">
        <x:f>IF($A11="","",[1]!thsiFinD("ths_adjustment_nv_fund",U$3,$A11))</x:f>
        <x:v>#NAME?</x:v>
      </x:c>
      <x:c r="V11" s="13" t="e">
        <x:f>IF($A11="","",[1]!thsiFinD("ths_adjustment_nv_fund",V$3,$A11))</x:f>
        <x:v>#NAME?</x:v>
      </x:c>
      <x:c r="W11" s="13" t="e">
        <x:f>IF($A11="","",[1]!thsiFinD("ths_adjustment_nv_fund",W$3,$A11))</x:f>
        <x:v>#NAME?</x:v>
      </x:c>
      <x:c r="X11" s="13" t="e">
        <x:f>IF($A11="","",[1]!thsiFinD("ths_adjustment_nv_fund",X$3,$A11))</x:f>
        <x:v>#NAME?</x:v>
      </x:c>
      <x:c r="Y11" s="13" t="e">
        <x:f>IF($A11="","",[1]!thsiFinD("ths_adjustment_nv_fund",Y$3,$A11))</x:f>
        <x:v>#NAME?</x:v>
      </x:c>
    </x:row>
    <x:row r="12">
      <x:c r="A12" s="8">
        <x:v>46203</x:v>
      </x:c>
      <x:c r="B12" s="13" t="e">
        <x:f>IF($A12="","",[1]!thsiFinD("ths_adjustment_nv_fund",B$3,$A12))</x:f>
        <x:v>#NAME?</x:v>
      </x:c>
      <x:c r="C12" s="13" t="e">
        <x:f>IF($A12="","",[1]!thsiFinD("ths_adjustment_nv_fund",C$3,$A12))</x:f>
        <x:v>#NAME?</x:v>
      </x:c>
      <x:c r="D12" s="13" t="e">
        <x:f>IF($A12="","",[1]!thsiFinD("ths_adjustment_nv_fund",D$3,$A12))</x:f>
        <x:v>#NAME?</x:v>
      </x:c>
      <x:c r="E12" s="13" t="e">
        <x:f>IF($A12="","",[1]!thsiFinD("ths_adjustment_nv_fund",E$3,$A12))</x:f>
        <x:v>#NAME?</x:v>
      </x:c>
      <x:c r="F12" s="13" t="e">
        <x:f>IF($A12="","",[1]!thsiFinD("ths_adjustment_nv_fund",F$3,$A12))</x:f>
        <x:v>#NAME?</x:v>
      </x:c>
      <x:c r="G12" s="13" t="e">
        <x:f>IF($A12="","",[1]!thsiFinD("ths_adjustment_nv_fund",G$3,$A12))</x:f>
        <x:v>#NAME?</x:v>
      </x:c>
      <x:c r="H12" s="13" t="e">
        <x:f>IF($A12="","",[1]!thsiFinD("ths_adjustment_nv_fund",H$3,$A12))</x:f>
        <x:v>#NAME?</x:v>
      </x:c>
      <x:c r="I12" s="13" t="e">
        <x:f>IF($A12="","",[1]!thsiFinD("ths_adjustment_nv_fund",I$3,$A12))</x:f>
        <x:v>#NAME?</x:v>
      </x:c>
      <x:c r="J12" s="13" t="e">
        <x:f>IF($A12="","",[1]!thsiFinD("ths_adjustment_nv_fund",J$3,$A12))</x:f>
        <x:v>#NAME?</x:v>
      </x:c>
      <x:c r="K12" s="13" t="e">
        <x:f>IF($A12="","",[1]!thsiFinD("ths_adjustment_nv_fund",K$3,$A12))</x:f>
        <x:v>#NAME?</x:v>
      </x:c>
      <x:c r="L12" s="13" t="e">
        <x:f>IF($A12="","",[1]!thsiFinD("ths_adjustment_nv_fund",L$3,$A12))</x:f>
        <x:v>#NAME?</x:v>
      </x:c>
      <x:c r="M12" s="13" t="e">
        <x:f>IF($A12="","",[1]!thsiFinD("ths_adjustment_nv_fund",M$3,$A12))</x:f>
        <x:v>#NAME?</x:v>
      </x:c>
      <x:c r="N12" s="13" t="e">
        <x:f>IF($A12="","",[1]!thsiFinD("ths_adjustment_nv_fund",N$3,$A12))</x:f>
        <x:v>#NAME?</x:v>
      </x:c>
      <x:c r="O12" s="13" t="e">
        <x:f>IF($A12="","",[1]!thsiFinD("ths_adjustment_nv_fund",O$3,$A12))</x:f>
        <x:v>#NAME?</x:v>
      </x:c>
      <x:c r="P12" s="13" t="e">
        <x:f>IF($A12="","",[1]!thsiFinD("ths_adjustment_nv_fund",P$3,$A12))</x:f>
        <x:v>#NAME?</x:v>
      </x:c>
      <x:c r="Q12" s="13" t="e">
        <x:f>IF($A12="","",[1]!thsiFinD("ths_adjustment_nv_fund",Q$3,$A12))</x:f>
        <x:v>#NAME?</x:v>
      </x:c>
      <x:c r="R12" s="13" t="e">
        <x:f>IF($A12="","",[1]!thsiFinD("ths_adjustment_nv_fund",R$3,$A12))</x:f>
        <x:v>#NAME?</x:v>
      </x:c>
      <x:c r="S12" s="13" t="e">
        <x:f>IF($A12="","",[1]!thsiFinD("ths_adjustment_nv_fund",S$3,$A12))</x:f>
        <x:v>#NAME?</x:v>
      </x:c>
      <x:c r="T12" s="13" t="e">
        <x:f>IF($A12="","",[1]!thsiFinD("ths_adjustment_nv_fund",T$3,$A12))</x:f>
        <x:v>#NAME?</x:v>
      </x:c>
      <x:c r="U12" s="13" t="e">
        <x:f>IF($A12="","",[1]!thsiFinD("ths_adjustment_nv_fund",U$3,$A12))</x:f>
        <x:v>#NAME?</x:v>
      </x:c>
      <x:c r="V12" s="13" t="e">
        <x:f>IF($A12="","",[1]!thsiFinD("ths_adjustment_nv_fund",V$3,$A12))</x:f>
        <x:v>#NAME?</x:v>
      </x:c>
      <x:c r="W12" s="13" t="e">
        <x:f>IF($A12="","",[1]!thsiFinD("ths_adjustment_nv_fund",W$3,$A12))</x:f>
        <x:v>#NAME?</x:v>
      </x:c>
      <x:c r="X12" s="13" t="e">
        <x:f>IF($A12="","",[1]!thsiFinD("ths_adjustment_nv_fund",X$3,$A12))</x:f>
        <x:v>#NAME?</x:v>
      </x:c>
      <x:c r="Y12" s="13" t="e">
        <x:f>IF($A12="","",[1]!thsiFinD("ths_adjustment_nv_fund",Y$3,$A12))</x:f>
        <x:v>#NAME?</x:v>
      </x:c>
    </x:row>
    <x:row r="13">
      <x:c r="A13" s="8">
        <x:v>46204</x:v>
      </x:c>
      <x:c r="B13" s="13" t="e">
        <x:f>IF($A13="","",[1]!thsiFinD("ths_adjustment_nv_fund",B$3,$A13))</x:f>
        <x:v>#NAME?</x:v>
      </x:c>
      <x:c r="C13" s="13" t="e">
        <x:f>IF($A13="","",[1]!thsiFinD("ths_adjustment_nv_fund",C$3,$A13))</x:f>
        <x:v>#NAME?</x:v>
      </x:c>
      <x:c r="D13" s="13" t="e">
        <x:f>IF($A13="","",[1]!thsiFinD("ths_adjustment_nv_fund",D$3,$A13))</x:f>
        <x:v>#NAME?</x:v>
      </x:c>
      <x:c r="E13" s="13" t="e">
        <x:f>IF($A13="","",[1]!thsiFinD("ths_adjustment_nv_fund",E$3,$A13))</x:f>
        <x:v>#NAME?</x:v>
      </x:c>
      <x:c r="F13" s="13" t="e">
        <x:f>IF($A13="","",[1]!thsiFinD("ths_adjustment_nv_fund",F$3,$A13))</x:f>
        <x:v>#NAME?</x:v>
      </x:c>
      <x:c r="G13" s="13" t="e">
        <x:f>IF($A13="","",[1]!thsiFinD("ths_adjustment_nv_fund",G$3,$A13))</x:f>
        <x:v>#NAME?</x:v>
      </x:c>
      <x:c r="H13" s="13" t="e">
        <x:f>IF($A13="","",[1]!thsiFinD("ths_adjustment_nv_fund",H$3,$A13))</x:f>
        <x:v>#NAME?</x:v>
      </x:c>
      <x:c r="I13" s="13" t="e">
        <x:f>IF($A13="","",[1]!thsiFinD("ths_adjustment_nv_fund",I$3,$A13))</x:f>
        <x:v>#NAME?</x:v>
      </x:c>
      <x:c r="J13" s="13" t="e">
        <x:f>IF($A13="","",[1]!thsiFinD("ths_adjustment_nv_fund",J$3,$A13))</x:f>
        <x:v>#NAME?</x:v>
      </x:c>
      <x:c r="K13" s="13" t="e">
        <x:f>IF($A13="","",[1]!thsiFinD("ths_adjustment_nv_fund",K$3,$A13))</x:f>
        <x:v>#NAME?</x:v>
      </x:c>
      <x:c r="L13" s="13" t="e">
        <x:f>IF($A13="","",[1]!thsiFinD("ths_adjustment_nv_fund",L$3,$A13))</x:f>
        <x:v>#NAME?</x:v>
      </x:c>
      <x:c r="M13" s="13" t="e">
        <x:f>IF($A13="","",[1]!thsiFinD("ths_adjustment_nv_fund",M$3,$A13))</x:f>
        <x:v>#NAME?</x:v>
      </x:c>
      <x:c r="N13" s="13" t="e">
        <x:f>IF($A13="","",[1]!thsiFinD("ths_adjustment_nv_fund",N$3,$A13))</x:f>
        <x:v>#NAME?</x:v>
      </x:c>
      <x:c r="O13" s="13" t="e">
        <x:f>IF($A13="","",[1]!thsiFinD("ths_adjustment_nv_fund",O$3,$A13))</x:f>
        <x:v>#NAME?</x:v>
      </x:c>
      <x:c r="P13" s="13" t="e">
        <x:f>IF($A13="","",[1]!thsiFinD("ths_adjustment_nv_fund",P$3,$A13))</x:f>
        <x:v>#NAME?</x:v>
      </x:c>
      <x:c r="Q13" s="13" t="e">
        <x:f>IF($A13="","",[1]!thsiFinD("ths_adjustment_nv_fund",Q$3,$A13))</x:f>
        <x:v>#NAME?</x:v>
      </x:c>
      <x:c r="R13" s="13" t="e">
        <x:f>IF($A13="","",[1]!thsiFinD("ths_adjustment_nv_fund",R$3,$A13))</x:f>
        <x:v>#NAME?</x:v>
      </x:c>
      <x:c r="S13" s="13" t="e">
        <x:f>IF($A13="","",[1]!thsiFinD("ths_adjustment_nv_fund",S$3,$A13))</x:f>
        <x:v>#NAME?</x:v>
      </x:c>
      <x:c r="T13" s="13" t="e">
        <x:f>IF($A13="","",[1]!thsiFinD("ths_adjustment_nv_fund",T$3,$A13))</x:f>
        <x:v>#NAME?</x:v>
      </x:c>
      <x:c r="U13" s="13" t="e">
        <x:f>IF($A13="","",[1]!thsiFinD("ths_adjustment_nv_fund",U$3,$A13))</x:f>
        <x:v>#NAME?</x:v>
      </x:c>
      <x:c r="V13" s="13" t="e">
        <x:f>IF($A13="","",[1]!thsiFinD("ths_adjustment_nv_fund",V$3,$A13))</x:f>
        <x:v>#NAME?</x:v>
      </x:c>
      <x:c r="W13" s="13" t="e">
        <x:f>IF($A13="","",[1]!thsiFinD("ths_adjustment_nv_fund",W$3,$A13))</x:f>
        <x:v>#NAME?</x:v>
      </x:c>
      <x:c r="X13" s="13" t="e">
        <x:f>IF($A13="","",[1]!thsiFinD("ths_adjustment_nv_fund",X$3,$A13))</x:f>
        <x:v>#NAME?</x:v>
      </x:c>
      <x:c r="Y13" s="13" t="e">
        <x:f>IF($A13="","",[1]!thsiFinD("ths_adjustment_nv_fund",Y$3,$A13))</x:f>
        <x:v>#NAME?</x:v>
      </x:c>
    </x:row>
    <x:row r="14">
      <x:c r="A14" s="8">
        <x:v>46205</x:v>
      </x:c>
      <x:c r="B14" s="13" t="e">
        <x:f>IF($A14="","",[1]!thsiFinD("ths_adjustment_nv_fund",B$3,$A14))</x:f>
        <x:v>#NAME?</x:v>
      </x:c>
      <x:c r="C14" s="13" t="e">
        <x:f>IF($A14="","",[1]!thsiFinD("ths_adjustment_nv_fund",C$3,$A14))</x:f>
        <x:v>#NAME?</x:v>
      </x:c>
      <x:c r="D14" s="13" t="e">
        <x:f>IF($A14="","",[1]!thsiFinD("ths_adjustment_nv_fund",D$3,$A14))</x:f>
        <x:v>#NAME?</x:v>
      </x:c>
      <x:c r="E14" s="13" t="e">
        <x:f>IF($A14="","",[1]!thsiFinD("ths_adjustment_nv_fund",E$3,$A14))</x:f>
        <x:v>#NAME?</x:v>
      </x:c>
      <x:c r="F14" s="13" t="e">
        <x:f>IF($A14="","",[1]!thsiFinD("ths_adjustment_nv_fund",F$3,$A14))</x:f>
        <x:v>#NAME?</x:v>
      </x:c>
      <x:c r="G14" s="13" t="e">
        <x:f>IF($A14="","",[1]!thsiFinD("ths_adjustment_nv_fund",G$3,$A14))</x:f>
        <x:v>#NAME?</x:v>
      </x:c>
      <x:c r="H14" s="13" t="e">
        <x:f>IF($A14="","",[1]!thsiFinD("ths_adjustment_nv_fund",H$3,$A14))</x:f>
        <x:v>#NAME?</x:v>
      </x:c>
      <x:c r="I14" s="13" t="e">
        <x:f>IF($A14="","",[1]!thsiFinD("ths_adjustment_nv_fund",I$3,$A14))</x:f>
        <x:v>#NAME?</x:v>
      </x:c>
      <x:c r="J14" s="13" t="e">
        <x:f>IF($A14="","",[1]!thsiFinD("ths_adjustment_nv_fund",J$3,$A14))</x:f>
        <x:v>#NAME?</x:v>
      </x:c>
      <x:c r="K14" s="13" t="e">
        <x:f>IF($A14="","",[1]!thsiFinD("ths_adjustment_nv_fund",K$3,$A14))</x:f>
        <x:v>#NAME?</x:v>
      </x:c>
      <x:c r="L14" s="13" t="e">
        <x:f>IF($A14="","",[1]!thsiFinD("ths_adjustment_nv_fund",L$3,$A14))</x:f>
        <x:v>#NAME?</x:v>
      </x:c>
      <x:c r="M14" s="13" t="e">
        <x:f>IF($A14="","",[1]!thsiFinD("ths_adjustment_nv_fund",M$3,$A14))</x:f>
        <x:v>#NAME?</x:v>
      </x:c>
      <x:c r="N14" s="13" t="e">
        <x:f>IF($A14="","",[1]!thsiFinD("ths_adjustment_nv_fund",N$3,$A14))</x:f>
        <x:v>#NAME?</x:v>
      </x:c>
      <x:c r="O14" s="13" t="e">
        <x:f>IF($A14="","",[1]!thsiFinD("ths_adjustment_nv_fund",O$3,$A14))</x:f>
        <x:v>#NAME?</x:v>
      </x:c>
      <x:c r="P14" s="13" t="e">
        <x:f>IF($A14="","",[1]!thsiFinD("ths_adjustment_nv_fund",P$3,$A14))</x:f>
        <x:v>#NAME?</x:v>
      </x:c>
      <x:c r="Q14" s="13" t="e">
        <x:f>IF($A14="","",[1]!thsiFinD("ths_adjustment_nv_fund",Q$3,$A14))</x:f>
        <x:v>#NAME?</x:v>
      </x:c>
      <x:c r="R14" s="13" t="e">
        <x:f>IF($A14="","",[1]!thsiFinD("ths_adjustment_nv_fund",R$3,$A14))</x:f>
        <x:v>#NAME?</x:v>
      </x:c>
      <x:c r="S14" s="13" t="e">
        <x:f>IF($A14="","",[1]!thsiFinD("ths_adjustment_nv_fund",S$3,$A14))</x:f>
        <x:v>#NAME?</x:v>
      </x:c>
      <x:c r="T14" s="13" t="e">
        <x:f>IF($A14="","",[1]!thsiFinD("ths_adjustment_nv_fund",T$3,$A14))</x:f>
        <x:v>#NAME?</x:v>
      </x:c>
      <x:c r="U14" s="13" t="e">
        <x:f>IF($A14="","",[1]!thsiFinD("ths_adjustment_nv_fund",U$3,$A14))</x:f>
        <x:v>#NAME?</x:v>
      </x:c>
      <x:c r="V14" s="13" t="e">
        <x:f>IF($A14="","",[1]!thsiFinD("ths_adjustment_nv_fund",V$3,$A14))</x:f>
        <x:v>#NAME?</x:v>
      </x:c>
      <x:c r="W14" s="13" t="e">
        <x:f>IF($A14="","",[1]!thsiFinD("ths_adjustment_nv_fund",W$3,$A14))</x:f>
        <x:v>#NAME?</x:v>
      </x:c>
      <x:c r="X14" s="13" t="e">
        <x:f>IF($A14="","",[1]!thsiFinD("ths_adjustment_nv_fund",X$3,$A14))</x:f>
        <x:v>#NAME?</x:v>
      </x:c>
      <x:c r="Y14" s="13" t="e">
        <x:f>IF($A14="","",[1]!thsiFinD("ths_adjustment_nv_fund",Y$3,$A14))</x:f>
        <x:v>#NAME?</x:v>
      </x:c>
    </x:row>
    <x:row r="15">
      <x:c r="A15" s="8">
        <x:v>46206</x:v>
      </x:c>
      <x:c r="B15" s="13" t="e">
        <x:f>IF($A15="","",[1]!thsiFinD("ths_adjustment_nv_fund",B$3,$A15))</x:f>
        <x:v>#NAME?</x:v>
      </x:c>
      <x:c r="C15" s="13" t="e">
        <x:f>IF($A15="","",[1]!thsiFinD("ths_adjustment_nv_fund",C$3,$A15))</x:f>
        <x:v>#NAME?</x:v>
      </x:c>
      <x:c r="D15" s="13" t="e">
        <x:f>IF($A15="","",[1]!thsiFinD("ths_adjustment_nv_fund",D$3,$A15))</x:f>
        <x:v>#NAME?</x:v>
      </x:c>
      <x:c r="E15" s="13" t="e">
        <x:f>IF($A15="","",[1]!thsiFinD("ths_adjustment_nv_fund",E$3,$A15))</x:f>
        <x:v>#NAME?</x:v>
      </x:c>
      <x:c r="F15" s="13" t="e">
        <x:f>IF($A15="","",[1]!thsiFinD("ths_adjustment_nv_fund",F$3,$A15))</x:f>
        <x:v>#NAME?</x:v>
      </x:c>
      <x:c r="G15" s="13" t="e">
        <x:f>IF($A15="","",[1]!thsiFinD("ths_adjustment_nv_fund",G$3,$A15))</x:f>
        <x:v>#NAME?</x:v>
      </x:c>
      <x:c r="H15" s="13" t="e">
        <x:f>IF($A15="","",[1]!thsiFinD("ths_adjustment_nv_fund",H$3,$A15))</x:f>
        <x:v>#NAME?</x:v>
      </x:c>
      <x:c r="I15" s="13" t="e">
        <x:f>IF($A15="","",[1]!thsiFinD("ths_adjustment_nv_fund",I$3,$A15))</x:f>
        <x:v>#NAME?</x:v>
      </x:c>
      <x:c r="J15" s="13" t="e">
        <x:f>IF($A15="","",[1]!thsiFinD("ths_adjustment_nv_fund",J$3,$A15))</x:f>
        <x:v>#NAME?</x:v>
      </x:c>
      <x:c r="K15" s="13" t="e">
        <x:f>IF($A15="","",[1]!thsiFinD("ths_adjustment_nv_fund",K$3,$A15))</x:f>
        <x:v>#NAME?</x:v>
      </x:c>
      <x:c r="L15" s="13" t="e">
        <x:f>IF($A15="","",[1]!thsiFinD("ths_adjustment_nv_fund",L$3,$A15))</x:f>
        <x:v>#NAME?</x:v>
      </x:c>
      <x:c r="M15" s="13" t="e">
        <x:f>IF($A15="","",[1]!thsiFinD("ths_adjustment_nv_fund",M$3,$A15))</x:f>
        <x:v>#NAME?</x:v>
      </x:c>
      <x:c r="N15" s="13" t="e">
        <x:f>IF($A15="","",[1]!thsiFinD("ths_adjustment_nv_fund",N$3,$A15))</x:f>
        <x:v>#NAME?</x:v>
      </x:c>
      <x:c r="O15" s="13" t="e">
        <x:f>IF($A15="","",[1]!thsiFinD("ths_adjustment_nv_fund",O$3,$A15))</x:f>
        <x:v>#NAME?</x:v>
      </x:c>
      <x:c r="P15" s="13" t="e">
        <x:f>IF($A15="","",[1]!thsiFinD("ths_adjustment_nv_fund",P$3,$A15))</x:f>
        <x:v>#NAME?</x:v>
      </x:c>
      <x:c r="Q15" s="13" t="e">
        <x:f>IF($A15="","",[1]!thsiFinD("ths_adjustment_nv_fund",Q$3,$A15))</x:f>
        <x:v>#NAME?</x:v>
      </x:c>
      <x:c r="R15" s="13" t="e">
        <x:f>IF($A15="","",[1]!thsiFinD("ths_adjustment_nv_fund",R$3,$A15))</x:f>
        <x:v>#NAME?</x:v>
      </x:c>
      <x:c r="S15" s="13" t="e">
        <x:f>IF($A15="","",[1]!thsiFinD("ths_adjustment_nv_fund",S$3,$A15))</x:f>
        <x:v>#NAME?</x:v>
      </x:c>
      <x:c r="T15" s="13" t="e">
        <x:f>IF($A15="","",[1]!thsiFinD("ths_adjustment_nv_fund",T$3,$A15))</x:f>
        <x:v>#NAME?</x:v>
      </x:c>
      <x:c r="U15" s="13" t="e">
        <x:f>IF($A15="","",[1]!thsiFinD("ths_adjustment_nv_fund",U$3,$A15))</x:f>
        <x:v>#NAME?</x:v>
      </x:c>
      <x:c r="V15" s="13" t="e">
        <x:f>IF($A15="","",[1]!thsiFinD("ths_adjustment_nv_fund",V$3,$A15))</x:f>
        <x:v>#NAME?</x:v>
      </x:c>
      <x:c r="W15" s="13" t="e">
        <x:f>IF($A15="","",[1]!thsiFinD("ths_adjustment_nv_fund",W$3,$A15))</x:f>
        <x:v>#NAME?</x:v>
      </x:c>
      <x:c r="X15" s="13" t="e">
        <x:f>IF($A15="","",[1]!thsiFinD("ths_adjustment_nv_fund",X$3,$A15))</x:f>
        <x:v>#NAME?</x:v>
      </x:c>
      <x:c r="Y15" s="13" t="e">
        <x:f>IF($A15="","",[1]!thsiFinD("ths_adjustment_nv_fund",Y$3,$A15))</x:f>
        <x:v>#NAME?</x:v>
      </x:c>
    </x:row>
    <x:row r="16">
      <x:c r="A16" s="8">
        <x:v>46209</x:v>
      </x:c>
      <x:c r="B16" s="13" t="e">
        <x:f>IF($A16="","",[1]!thsiFinD("ths_adjustment_nv_fund",B$3,$A16))</x:f>
        <x:v>#NAME?</x:v>
      </x:c>
      <x:c r="C16" s="13" t="e">
        <x:f>IF($A16="","",[1]!thsiFinD("ths_adjustment_nv_fund",C$3,$A16))</x:f>
        <x:v>#NAME?</x:v>
      </x:c>
      <x:c r="D16" s="13" t="e">
        <x:f>IF($A16="","",[1]!thsiFinD("ths_adjustment_nv_fund",D$3,$A16))</x:f>
        <x:v>#NAME?</x:v>
      </x:c>
      <x:c r="E16" s="13" t="e">
        <x:f>IF($A16="","",[1]!thsiFinD("ths_adjustment_nv_fund",E$3,$A16))</x:f>
        <x:v>#NAME?</x:v>
      </x:c>
      <x:c r="F16" s="13" t="e">
        <x:f>IF($A16="","",[1]!thsiFinD("ths_adjustment_nv_fund",F$3,$A16))</x:f>
        <x:v>#NAME?</x:v>
      </x:c>
      <x:c r="G16" s="13" t="e">
        <x:f>IF($A16="","",[1]!thsiFinD("ths_adjustment_nv_fund",G$3,$A16))</x:f>
        <x:v>#NAME?</x:v>
      </x:c>
      <x:c r="H16" s="13" t="e">
        <x:f>IF($A16="","",[1]!thsiFinD("ths_adjustment_nv_fund",H$3,$A16))</x:f>
        <x:v>#NAME?</x:v>
      </x:c>
      <x:c r="I16" s="13" t="e">
        <x:f>IF($A16="","",[1]!thsiFinD("ths_adjustment_nv_fund",I$3,$A16))</x:f>
        <x:v>#NAME?</x:v>
      </x:c>
      <x:c r="J16" s="13" t="e">
        <x:f>IF($A16="","",[1]!thsiFinD("ths_adjustment_nv_fund",J$3,$A16))</x:f>
        <x:v>#NAME?</x:v>
      </x:c>
      <x:c r="K16" s="13" t="e">
        <x:f>IF($A16="","",[1]!thsiFinD("ths_adjustment_nv_fund",K$3,$A16))</x:f>
        <x:v>#NAME?</x:v>
      </x:c>
      <x:c r="L16" s="13" t="e">
        <x:f>IF($A16="","",[1]!thsiFinD("ths_adjustment_nv_fund",L$3,$A16))</x:f>
        <x:v>#NAME?</x:v>
      </x:c>
      <x:c r="M16" s="13" t="e">
        <x:f>IF($A16="","",[1]!thsiFinD("ths_adjustment_nv_fund",M$3,$A16))</x:f>
        <x:v>#NAME?</x:v>
      </x:c>
      <x:c r="N16" s="13" t="e">
        <x:f>IF($A16="","",[1]!thsiFinD("ths_adjustment_nv_fund",N$3,$A16))</x:f>
        <x:v>#NAME?</x:v>
      </x:c>
      <x:c r="O16" s="13" t="e">
        <x:f>IF($A16="","",[1]!thsiFinD("ths_adjustment_nv_fund",O$3,$A16))</x:f>
        <x:v>#NAME?</x:v>
      </x:c>
      <x:c r="P16" s="13" t="e">
        <x:f>IF($A16="","",[1]!thsiFinD("ths_adjustment_nv_fund",P$3,$A16))</x:f>
        <x:v>#NAME?</x:v>
      </x:c>
      <x:c r="Q16" s="13" t="e">
        <x:f>IF($A16="","",[1]!thsiFinD("ths_adjustment_nv_fund",Q$3,$A16))</x:f>
        <x:v>#NAME?</x:v>
      </x:c>
      <x:c r="R16" s="13" t="e">
        <x:f>IF($A16="","",[1]!thsiFinD("ths_adjustment_nv_fund",R$3,$A16))</x:f>
        <x:v>#NAME?</x:v>
      </x:c>
      <x:c r="S16" s="13" t="e">
        <x:f>IF($A16="","",[1]!thsiFinD("ths_adjustment_nv_fund",S$3,$A16))</x:f>
        <x:v>#NAME?</x:v>
      </x:c>
      <x:c r="T16" s="13" t="e">
        <x:f>IF($A16="","",[1]!thsiFinD("ths_adjustment_nv_fund",T$3,$A16))</x:f>
        <x:v>#NAME?</x:v>
      </x:c>
      <x:c r="U16" s="13" t="e">
        <x:f>IF($A16="","",[1]!thsiFinD("ths_adjustment_nv_fund",U$3,$A16))</x:f>
        <x:v>#NAME?</x:v>
      </x:c>
      <x:c r="V16" s="13" t="e">
        <x:f>IF($A16="","",[1]!thsiFinD("ths_adjustment_nv_fund",V$3,$A16))</x:f>
        <x:v>#NAME?</x:v>
      </x:c>
      <x:c r="W16" s="13" t="e">
        <x:f>IF($A16="","",[1]!thsiFinD("ths_adjustment_nv_fund",W$3,$A16))</x:f>
        <x:v>#NAME?</x:v>
      </x:c>
      <x:c r="X16" s="13" t="e">
        <x:f>IF($A16="","",[1]!thsiFinD("ths_adjustment_nv_fund",X$3,$A16))</x:f>
        <x:v>#NAME?</x:v>
      </x:c>
      <x:c r="Y16" s="13" t="e">
        <x:f>IF($A16="","",[1]!thsiFinD("ths_adjustment_nv_fund",Y$3,$A16))</x:f>
        <x:v>#NAME?</x:v>
      </x:c>
    </x:row>
    <x:row r="17">
      <x:c r="A17" s="8">
        <x:v>46210</x:v>
      </x:c>
      <x:c r="B17" s="13" t="e">
        <x:f>IF($A17="","",[1]!thsiFinD("ths_adjustment_nv_fund",B$3,$A17))</x:f>
        <x:v>#NAME?</x:v>
      </x:c>
      <x:c r="C17" s="13" t="e">
        <x:f>IF($A17="","",[1]!thsiFinD("ths_adjustment_nv_fund",C$3,$A17))</x:f>
        <x:v>#NAME?</x:v>
      </x:c>
      <x:c r="D17" s="13" t="e">
        <x:f>IF($A17="","",[1]!thsiFinD("ths_adjustment_nv_fund",D$3,$A17))</x:f>
        <x:v>#NAME?</x:v>
      </x:c>
      <x:c r="E17" s="13" t="e">
        <x:f>IF($A17="","",[1]!thsiFinD("ths_adjustment_nv_fund",E$3,$A17))</x:f>
        <x:v>#NAME?</x:v>
      </x:c>
      <x:c r="F17" s="13" t="e">
        <x:f>IF($A17="","",[1]!thsiFinD("ths_adjustment_nv_fund",F$3,$A17))</x:f>
        <x:v>#NAME?</x:v>
      </x:c>
      <x:c r="G17" s="13" t="e">
        <x:f>IF($A17="","",[1]!thsiFinD("ths_adjustment_nv_fund",G$3,$A17))</x:f>
        <x:v>#NAME?</x:v>
      </x:c>
      <x:c r="H17" s="13" t="e">
        <x:f>IF($A17="","",[1]!thsiFinD("ths_adjustment_nv_fund",H$3,$A17))</x:f>
        <x:v>#NAME?</x:v>
      </x:c>
      <x:c r="I17" s="13" t="e">
        <x:f>IF($A17="","",[1]!thsiFinD("ths_adjustment_nv_fund",I$3,$A17))</x:f>
        <x:v>#NAME?</x:v>
      </x:c>
      <x:c r="J17" s="13" t="e">
        <x:f>IF($A17="","",[1]!thsiFinD("ths_adjustment_nv_fund",J$3,$A17))</x:f>
        <x:v>#NAME?</x:v>
      </x:c>
      <x:c r="K17" s="13" t="e">
        <x:f>IF($A17="","",[1]!thsiFinD("ths_adjustment_nv_fund",K$3,$A17))</x:f>
        <x:v>#NAME?</x:v>
      </x:c>
      <x:c r="L17" s="13" t="e">
        <x:f>IF($A17="","",[1]!thsiFinD("ths_adjustment_nv_fund",L$3,$A17))</x:f>
        <x:v>#NAME?</x:v>
      </x:c>
      <x:c r="M17" s="13" t="e">
        <x:f>IF($A17="","",[1]!thsiFinD("ths_adjustment_nv_fund",M$3,$A17))</x:f>
        <x:v>#NAME?</x:v>
      </x:c>
      <x:c r="N17" s="13" t="e">
        <x:f>IF($A17="","",[1]!thsiFinD("ths_adjustment_nv_fund",N$3,$A17))</x:f>
        <x:v>#NAME?</x:v>
      </x:c>
      <x:c r="O17" s="13" t="e">
        <x:f>IF($A17="","",[1]!thsiFinD("ths_adjustment_nv_fund",O$3,$A17))</x:f>
        <x:v>#NAME?</x:v>
      </x:c>
      <x:c r="P17" s="13" t="e">
        <x:f>IF($A17="","",[1]!thsiFinD("ths_adjustment_nv_fund",P$3,$A17))</x:f>
        <x:v>#NAME?</x:v>
      </x:c>
      <x:c r="Q17" s="13" t="e">
        <x:f>IF($A17="","",[1]!thsiFinD("ths_adjustment_nv_fund",Q$3,$A17))</x:f>
        <x:v>#NAME?</x:v>
      </x:c>
      <x:c r="R17" s="13" t="e">
        <x:f>IF($A17="","",[1]!thsiFinD("ths_adjustment_nv_fund",R$3,$A17))</x:f>
        <x:v>#NAME?</x:v>
      </x:c>
      <x:c r="S17" s="13" t="e">
        <x:f>IF($A17="","",[1]!thsiFinD("ths_adjustment_nv_fund",S$3,$A17))</x:f>
        <x:v>#NAME?</x:v>
      </x:c>
      <x:c r="T17" s="13" t="e">
        <x:f>IF($A17="","",[1]!thsiFinD("ths_adjustment_nv_fund",T$3,$A17))</x:f>
        <x:v>#NAME?</x:v>
      </x:c>
      <x:c r="U17" s="13" t="e">
        <x:f>IF($A17="","",[1]!thsiFinD("ths_adjustment_nv_fund",U$3,$A17))</x:f>
        <x:v>#NAME?</x:v>
      </x:c>
      <x:c r="V17" s="13" t="e">
        <x:f>IF($A17="","",[1]!thsiFinD("ths_adjustment_nv_fund",V$3,$A17))</x:f>
        <x:v>#NAME?</x:v>
      </x:c>
      <x:c r="W17" s="13" t="e">
        <x:f>IF($A17="","",[1]!thsiFinD("ths_adjustment_nv_fund",W$3,$A17))</x:f>
        <x:v>#NAME?</x:v>
      </x:c>
      <x:c r="X17" s="13" t="e">
        <x:f>IF($A17="","",[1]!thsiFinD("ths_adjustment_nv_fund",X$3,$A17))</x:f>
        <x:v>#NAME?</x:v>
      </x:c>
      <x:c r="Y17" s="13" t="e">
        <x:f>IF($A17="","",[1]!thsiFinD("ths_adjustment_nv_fund",Y$3,$A17))</x:f>
        <x:v>#NAME?</x:v>
      </x:c>
    </x:row>
    <x:row r="18">
      <x:c r="A18" s="8">
        <x:v>46211</x:v>
      </x:c>
      <x:c r="B18" s="13" t="e">
        <x:f>IF($A18="","",[1]!thsiFinD("ths_adjustment_nv_fund",B$3,$A18))</x:f>
        <x:v>#NAME?</x:v>
      </x:c>
      <x:c r="C18" s="13" t="e">
        <x:f>IF($A18="","",[1]!thsiFinD("ths_adjustment_nv_fund",C$3,$A18))</x:f>
        <x:v>#NAME?</x:v>
      </x:c>
      <x:c r="D18" s="13" t="e">
        <x:f>IF($A18="","",[1]!thsiFinD("ths_adjustment_nv_fund",D$3,$A18))</x:f>
        <x:v>#NAME?</x:v>
      </x:c>
      <x:c r="E18" s="13" t="e">
        <x:f>IF($A18="","",[1]!thsiFinD("ths_adjustment_nv_fund",E$3,$A18))</x:f>
        <x:v>#NAME?</x:v>
      </x:c>
      <x:c r="F18" s="13" t="e">
        <x:f>IF($A18="","",[1]!thsiFinD("ths_adjustment_nv_fund",F$3,$A18))</x:f>
        <x:v>#NAME?</x:v>
      </x:c>
      <x:c r="G18" s="13" t="e">
        <x:f>IF($A18="","",[1]!thsiFinD("ths_adjustment_nv_fund",G$3,$A18))</x:f>
        <x:v>#NAME?</x:v>
      </x:c>
      <x:c r="H18" s="13" t="e">
        <x:f>IF($A18="","",[1]!thsiFinD("ths_adjustment_nv_fund",H$3,$A18))</x:f>
        <x:v>#NAME?</x:v>
      </x:c>
      <x:c r="I18" s="13" t="e">
        <x:f>IF($A18="","",[1]!thsiFinD("ths_adjustment_nv_fund",I$3,$A18))</x:f>
        <x:v>#NAME?</x:v>
      </x:c>
      <x:c r="J18" s="13" t="e">
        <x:f>IF($A18="","",[1]!thsiFinD("ths_adjustment_nv_fund",J$3,$A18))</x:f>
        <x:v>#NAME?</x:v>
      </x:c>
      <x:c r="K18" s="13" t="e">
        <x:f>IF($A18="","",[1]!thsiFinD("ths_adjustment_nv_fund",K$3,$A18))</x:f>
        <x:v>#NAME?</x:v>
      </x:c>
      <x:c r="L18" s="13" t="e">
        <x:f>IF($A18="","",[1]!thsiFinD("ths_adjustment_nv_fund",L$3,$A18))</x:f>
        <x:v>#NAME?</x:v>
      </x:c>
      <x:c r="M18" s="13" t="e">
        <x:f>IF($A18="","",[1]!thsiFinD("ths_adjustment_nv_fund",M$3,$A18))</x:f>
        <x:v>#NAME?</x:v>
      </x:c>
      <x:c r="N18" s="13" t="e">
        <x:f>IF($A18="","",[1]!thsiFinD("ths_adjustment_nv_fund",N$3,$A18))</x:f>
        <x:v>#NAME?</x:v>
      </x:c>
      <x:c r="O18" s="13" t="e">
        <x:f>IF($A18="","",[1]!thsiFinD("ths_adjustment_nv_fund",O$3,$A18))</x:f>
        <x:v>#NAME?</x:v>
      </x:c>
      <x:c r="P18" s="13" t="e">
        <x:f>IF($A18="","",[1]!thsiFinD("ths_adjustment_nv_fund",P$3,$A18))</x:f>
        <x:v>#NAME?</x:v>
      </x:c>
      <x:c r="Q18" s="13" t="e">
        <x:f>IF($A18="","",[1]!thsiFinD("ths_adjustment_nv_fund",Q$3,$A18))</x:f>
        <x:v>#NAME?</x:v>
      </x:c>
      <x:c r="R18" s="13" t="e">
        <x:f>IF($A18="","",[1]!thsiFinD("ths_adjustment_nv_fund",R$3,$A18))</x:f>
        <x:v>#NAME?</x:v>
      </x:c>
      <x:c r="S18" s="13" t="e">
        <x:f>IF($A18="","",[1]!thsiFinD("ths_adjustment_nv_fund",S$3,$A18))</x:f>
        <x:v>#NAME?</x:v>
      </x:c>
      <x:c r="T18" s="13" t="e">
        <x:f>IF($A18="","",[1]!thsiFinD("ths_adjustment_nv_fund",T$3,$A18))</x:f>
        <x:v>#NAME?</x:v>
      </x:c>
      <x:c r="U18" s="13" t="e">
        <x:f>IF($A18="","",[1]!thsiFinD("ths_adjustment_nv_fund",U$3,$A18))</x:f>
        <x:v>#NAME?</x:v>
      </x:c>
      <x:c r="V18" s="13" t="e">
        <x:f>IF($A18="","",[1]!thsiFinD("ths_adjustment_nv_fund",V$3,$A18))</x:f>
        <x:v>#NAME?</x:v>
      </x:c>
      <x:c r="W18" s="13" t="e">
        <x:f>IF($A18="","",[1]!thsiFinD("ths_adjustment_nv_fund",W$3,$A18))</x:f>
        <x:v>#NAME?</x:v>
      </x:c>
      <x:c r="X18" s="13" t="e">
        <x:f>IF($A18="","",[1]!thsiFinD("ths_adjustment_nv_fund",X$3,$A18))</x:f>
        <x:v>#NAME?</x:v>
      </x:c>
      <x:c r="Y18" s="13" t="e">
        <x:f>IF($A18="","",[1]!thsiFinD("ths_adjustment_nv_fund",Y$3,$A18))</x:f>
        <x:v>#NAME?</x:v>
      </x:c>
    </x:row>
    <x:row r="19">
      <x:c r="A19" s="8">
        <x:v>46212</x:v>
      </x:c>
      <x:c r="B19" s="13" t="e">
        <x:f>IF($A19="","",[1]!thsiFinD("ths_adjustment_nv_fund",B$3,$A19))</x:f>
        <x:v>#NAME?</x:v>
      </x:c>
      <x:c r="C19" s="13" t="e">
        <x:f>IF($A19="","",[1]!thsiFinD("ths_adjustment_nv_fund",C$3,$A19))</x:f>
        <x:v>#NAME?</x:v>
      </x:c>
      <x:c r="D19" s="13" t="e">
        <x:f>IF($A19="","",[1]!thsiFinD("ths_adjustment_nv_fund",D$3,$A19))</x:f>
        <x:v>#NAME?</x:v>
      </x:c>
      <x:c r="E19" s="13" t="e">
        <x:f>IF($A19="","",[1]!thsiFinD("ths_adjustment_nv_fund",E$3,$A19))</x:f>
        <x:v>#NAME?</x:v>
      </x:c>
      <x:c r="F19" s="13" t="e">
        <x:f>IF($A19="","",[1]!thsiFinD("ths_adjustment_nv_fund",F$3,$A19))</x:f>
        <x:v>#NAME?</x:v>
      </x:c>
      <x:c r="G19" s="13" t="e">
        <x:f>IF($A19="","",[1]!thsiFinD("ths_adjustment_nv_fund",G$3,$A19))</x:f>
        <x:v>#NAME?</x:v>
      </x:c>
      <x:c r="H19" s="13" t="e">
        <x:f>IF($A19="","",[1]!thsiFinD("ths_adjustment_nv_fund",H$3,$A19))</x:f>
        <x:v>#NAME?</x:v>
      </x:c>
      <x:c r="I19" s="13" t="e">
        <x:f>IF($A19="","",[1]!thsiFinD("ths_adjustment_nv_fund",I$3,$A19))</x:f>
        <x:v>#NAME?</x:v>
      </x:c>
      <x:c r="J19" s="13" t="e">
        <x:f>IF($A19="","",[1]!thsiFinD("ths_adjustment_nv_fund",J$3,$A19))</x:f>
        <x:v>#NAME?</x:v>
      </x:c>
      <x:c r="K19" s="13" t="e">
        <x:f>IF($A19="","",[1]!thsiFinD("ths_adjustment_nv_fund",K$3,$A19))</x:f>
        <x:v>#NAME?</x:v>
      </x:c>
      <x:c r="L19" s="13" t="e">
        <x:f>IF($A19="","",[1]!thsiFinD("ths_adjustment_nv_fund",L$3,$A19))</x:f>
        <x:v>#NAME?</x:v>
      </x:c>
      <x:c r="M19" s="13" t="e">
        <x:f>IF($A19="","",[1]!thsiFinD("ths_adjustment_nv_fund",M$3,$A19))</x:f>
        <x:v>#NAME?</x:v>
      </x:c>
      <x:c r="N19" s="13" t="e">
        <x:f>IF($A19="","",[1]!thsiFinD("ths_adjustment_nv_fund",N$3,$A19))</x:f>
        <x:v>#NAME?</x:v>
      </x:c>
      <x:c r="O19" s="13" t="e">
        <x:f>IF($A19="","",[1]!thsiFinD("ths_adjustment_nv_fund",O$3,$A19))</x:f>
        <x:v>#NAME?</x:v>
      </x:c>
      <x:c r="P19" s="13" t="e">
        <x:f>IF($A19="","",[1]!thsiFinD("ths_adjustment_nv_fund",P$3,$A19))</x:f>
        <x:v>#NAME?</x:v>
      </x:c>
      <x:c r="Q19" s="13" t="e">
        <x:f>IF($A19="","",[1]!thsiFinD("ths_adjustment_nv_fund",Q$3,$A19))</x:f>
        <x:v>#NAME?</x:v>
      </x:c>
      <x:c r="R19" s="13" t="e">
        <x:f>IF($A19="","",[1]!thsiFinD("ths_adjustment_nv_fund",R$3,$A19))</x:f>
        <x:v>#NAME?</x:v>
      </x:c>
      <x:c r="S19" s="13" t="e">
        <x:f>IF($A19="","",[1]!thsiFinD("ths_adjustment_nv_fund",S$3,$A19))</x:f>
        <x:v>#NAME?</x:v>
      </x:c>
      <x:c r="T19" s="13" t="e">
        <x:f>IF($A19="","",[1]!thsiFinD("ths_adjustment_nv_fund",T$3,$A19))</x:f>
        <x:v>#NAME?</x:v>
      </x:c>
      <x:c r="U19" s="13" t="e">
        <x:f>IF($A19="","",[1]!thsiFinD("ths_adjustment_nv_fund",U$3,$A19))</x:f>
        <x:v>#NAME?</x:v>
      </x:c>
      <x:c r="V19" s="13" t="e">
        <x:f>IF($A19="","",[1]!thsiFinD("ths_adjustment_nv_fund",V$3,$A19))</x:f>
        <x:v>#NAME?</x:v>
      </x:c>
      <x:c r="W19" s="13" t="e">
        <x:f>IF($A19="","",[1]!thsiFinD("ths_adjustment_nv_fund",W$3,$A19))</x:f>
        <x:v>#NAME?</x:v>
      </x:c>
      <x:c r="X19" s="13" t="e">
        <x:f>IF($A19="","",[1]!thsiFinD("ths_adjustment_nv_fund",X$3,$A19))</x:f>
        <x:v>#NAME?</x:v>
      </x:c>
      <x:c r="Y19" s="13" t="e">
        <x:f>IF($A19="","",[1]!thsiFinD("ths_adjustment_nv_fund",Y$3,$A19))</x:f>
        <x:v>#NAME?</x:v>
      </x:c>
    </x:row>
    <x:row r="20">
      <x:c r="A20" s="8">
        <x:v>46213</x:v>
      </x:c>
      <x:c r="B20" s="13" t="e">
        <x:f>IF($A20="","",[1]!thsiFinD("ths_adjustment_nv_fund",B$3,$A20))</x:f>
        <x:v>#NAME?</x:v>
      </x:c>
      <x:c r="C20" s="13" t="e">
        <x:f>IF($A20="","",[1]!thsiFinD("ths_adjustment_nv_fund",C$3,$A20))</x:f>
        <x:v>#NAME?</x:v>
      </x:c>
      <x:c r="D20" s="13" t="e">
        <x:f>IF($A20="","",[1]!thsiFinD("ths_adjustment_nv_fund",D$3,$A20))</x:f>
        <x:v>#NAME?</x:v>
      </x:c>
      <x:c r="E20" s="13" t="e">
        <x:f>IF($A20="","",[1]!thsiFinD("ths_adjustment_nv_fund",E$3,$A20))</x:f>
        <x:v>#NAME?</x:v>
      </x:c>
      <x:c r="F20" s="13" t="e">
        <x:f>IF($A20="","",[1]!thsiFinD("ths_adjustment_nv_fund",F$3,$A20))</x:f>
        <x:v>#NAME?</x:v>
      </x:c>
      <x:c r="G20" s="13" t="e">
        <x:f>IF($A20="","",[1]!thsiFinD("ths_adjustment_nv_fund",G$3,$A20))</x:f>
        <x:v>#NAME?</x:v>
      </x:c>
      <x:c r="H20" s="13" t="e">
        <x:f>IF($A20="","",[1]!thsiFinD("ths_adjustment_nv_fund",H$3,$A20))</x:f>
        <x:v>#NAME?</x:v>
      </x:c>
      <x:c r="I20" s="13" t="e">
        <x:f>IF($A20="","",[1]!thsiFinD("ths_adjustment_nv_fund",I$3,$A20))</x:f>
        <x:v>#NAME?</x:v>
      </x:c>
      <x:c r="J20" s="13" t="e">
        <x:f>IF($A20="","",[1]!thsiFinD("ths_adjustment_nv_fund",J$3,$A20))</x:f>
        <x:v>#NAME?</x:v>
      </x:c>
      <x:c r="K20" s="13" t="e">
        <x:f>IF($A20="","",[1]!thsiFinD("ths_adjustment_nv_fund",K$3,$A20))</x:f>
        <x:v>#NAME?</x:v>
      </x:c>
      <x:c r="L20" s="13" t="e">
        <x:f>IF($A20="","",[1]!thsiFinD("ths_adjustment_nv_fund",L$3,$A20))</x:f>
        <x:v>#NAME?</x:v>
      </x:c>
      <x:c r="M20" s="13" t="e">
        <x:f>IF($A20="","",[1]!thsiFinD("ths_adjustment_nv_fund",M$3,$A20))</x:f>
        <x:v>#NAME?</x:v>
      </x:c>
      <x:c r="N20" s="13" t="e">
        <x:f>IF($A20="","",[1]!thsiFinD("ths_adjustment_nv_fund",N$3,$A20))</x:f>
        <x:v>#NAME?</x:v>
      </x:c>
      <x:c r="O20" s="13" t="e">
        <x:f>IF($A20="","",[1]!thsiFinD("ths_adjustment_nv_fund",O$3,$A20))</x:f>
        <x:v>#NAME?</x:v>
      </x:c>
      <x:c r="P20" s="13" t="e">
        <x:f>IF($A20="","",[1]!thsiFinD("ths_adjustment_nv_fund",P$3,$A20))</x:f>
        <x:v>#NAME?</x:v>
      </x:c>
      <x:c r="Q20" s="13" t="e">
        <x:f>IF($A20="","",[1]!thsiFinD("ths_adjustment_nv_fund",Q$3,$A20))</x:f>
        <x:v>#NAME?</x:v>
      </x:c>
      <x:c r="R20" s="13" t="e">
        <x:f>IF($A20="","",[1]!thsiFinD("ths_adjustment_nv_fund",R$3,$A20))</x:f>
        <x:v>#NAME?</x:v>
      </x:c>
      <x:c r="S20" s="13" t="e">
        <x:f>IF($A20="","",[1]!thsiFinD("ths_adjustment_nv_fund",S$3,$A20))</x:f>
        <x:v>#NAME?</x:v>
      </x:c>
      <x:c r="T20" s="13" t="e">
        <x:f>IF($A20="","",[1]!thsiFinD("ths_adjustment_nv_fund",T$3,$A20))</x:f>
        <x:v>#NAME?</x:v>
      </x:c>
      <x:c r="U20" s="13" t="e">
        <x:f>IF($A20="","",[1]!thsiFinD("ths_adjustment_nv_fund",U$3,$A20))</x:f>
        <x:v>#NAME?</x:v>
      </x:c>
      <x:c r="V20" s="13" t="e">
        <x:f>IF($A20="","",[1]!thsiFinD("ths_adjustment_nv_fund",V$3,$A20))</x:f>
        <x:v>#NAME?</x:v>
      </x:c>
      <x:c r="W20" s="13" t="e">
        <x:f>IF($A20="","",[1]!thsiFinD("ths_adjustment_nv_fund",W$3,$A20))</x:f>
        <x:v>#NAME?</x:v>
      </x:c>
      <x:c r="X20" s="13" t="e">
        <x:f>IF($A20="","",[1]!thsiFinD("ths_adjustment_nv_fund",X$3,$A20))</x:f>
        <x:v>#NAME?</x:v>
      </x:c>
      <x:c r="Y20" s="13" t="e">
        <x:f>IF($A20="","",[1]!thsiFinD("ths_adjustment_nv_fund",Y$3,$A20))</x:f>
        <x:v>#NAME?</x:v>
      </x:c>
    </x:row>
    <x:row r="21">
      <x:c r="A21" s="8">
        <x:v>46216</x:v>
      </x:c>
      <x:c r="B21" s="13" t="e">
        <x:f>IF($A21="","",[1]!thsiFinD("ths_adjustment_nv_fund",B$3,$A21))</x:f>
        <x:v>#NAME?</x:v>
      </x:c>
      <x:c r="C21" s="13" t="e">
        <x:f>IF($A21="","",[1]!thsiFinD("ths_adjustment_nv_fund",C$3,$A21))</x:f>
        <x:v>#NAME?</x:v>
      </x:c>
      <x:c r="D21" s="13" t="e">
        <x:f>IF($A21="","",[1]!thsiFinD("ths_adjustment_nv_fund",D$3,$A21))</x:f>
        <x:v>#NAME?</x:v>
      </x:c>
      <x:c r="E21" s="13" t="e">
        <x:f>IF($A21="","",[1]!thsiFinD("ths_adjustment_nv_fund",E$3,$A21))</x:f>
        <x:v>#NAME?</x:v>
      </x:c>
      <x:c r="F21" s="13" t="e">
        <x:f>IF($A21="","",[1]!thsiFinD("ths_adjustment_nv_fund",F$3,$A21))</x:f>
        <x:v>#NAME?</x:v>
      </x:c>
      <x:c r="G21" s="13" t="e">
        <x:f>IF($A21="","",[1]!thsiFinD("ths_adjustment_nv_fund",G$3,$A21))</x:f>
        <x:v>#NAME?</x:v>
      </x:c>
      <x:c r="H21" s="13" t="e">
        <x:f>IF($A21="","",[1]!thsiFinD("ths_adjustment_nv_fund",H$3,$A21))</x:f>
        <x:v>#NAME?</x:v>
      </x:c>
      <x:c r="I21" s="13" t="e">
        <x:f>IF($A21="","",[1]!thsiFinD("ths_adjustment_nv_fund",I$3,$A21))</x:f>
        <x:v>#NAME?</x:v>
      </x:c>
      <x:c r="J21" s="13" t="e">
        <x:f>IF($A21="","",[1]!thsiFinD("ths_adjustment_nv_fund",J$3,$A21))</x:f>
        <x:v>#NAME?</x:v>
      </x:c>
      <x:c r="K21" s="13" t="e">
        <x:f>IF($A21="","",[1]!thsiFinD("ths_adjustment_nv_fund",K$3,$A21))</x:f>
        <x:v>#NAME?</x:v>
      </x:c>
      <x:c r="L21" s="13" t="e">
        <x:f>IF($A21="","",[1]!thsiFinD("ths_adjustment_nv_fund",L$3,$A21))</x:f>
        <x:v>#NAME?</x:v>
      </x:c>
      <x:c r="M21" s="13" t="e">
        <x:f>IF($A21="","",[1]!thsiFinD("ths_adjustment_nv_fund",M$3,$A21))</x:f>
        <x:v>#NAME?</x:v>
      </x:c>
      <x:c r="N21" s="13" t="e">
        <x:f>IF($A21="","",[1]!thsiFinD("ths_adjustment_nv_fund",N$3,$A21))</x:f>
        <x:v>#NAME?</x:v>
      </x:c>
      <x:c r="O21" s="13" t="e">
        <x:f>IF($A21="","",[1]!thsiFinD("ths_adjustment_nv_fund",O$3,$A21))</x:f>
        <x:v>#NAME?</x:v>
      </x:c>
      <x:c r="P21" s="13" t="e">
        <x:f>IF($A21="","",[1]!thsiFinD("ths_adjustment_nv_fund",P$3,$A21))</x:f>
        <x:v>#NAME?</x:v>
      </x:c>
      <x:c r="Q21" s="13" t="e">
        <x:f>IF($A21="","",[1]!thsiFinD("ths_adjustment_nv_fund",Q$3,$A21))</x:f>
        <x:v>#NAME?</x:v>
      </x:c>
      <x:c r="R21" s="13" t="e">
        <x:f>IF($A21="","",[1]!thsiFinD("ths_adjustment_nv_fund",R$3,$A21))</x:f>
        <x:v>#NAME?</x:v>
      </x:c>
      <x:c r="S21" s="13" t="e">
        <x:f>IF($A21="","",[1]!thsiFinD("ths_adjustment_nv_fund",S$3,$A21))</x:f>
        <x:v>#NAME?</x:v>
      </x:c>
      <x:c r="T21" s="13" t="e">
        <x:f>IF($A21="","",[1]!thsiFinD("ths_adjustment_nv_fund",T$3,$A21))</x:f>
        <x:v>#NAME?</x:v>
      </x:c>
      <x:c r="U21" s="13" t="e">
        <x:f>IF($A21="","",[1]!thsiFinD("ths_adjustment_nv_fund",U$3,$A21))</x:f>
        <x:v>#NAME?</x:v>
      </x:c>
      <x:c r="V21" s="13" t="e">
        <x:f>IF($A21="","",[1]!thsiFinD("ths_adjustment_nv_fund",V$3,$A21))</x:f>
        <x:v>#NAME?</x:v>
      </x:c>
      <x:c r="W21" s="13" t="e">
        <x:f>IF($A21="","",[1]!thsiFinD("ths_adjustment_nv_fund",W$3,$A21))</x:f>
        <x:v>#NAME?</x:v>
      </x:c>
      <x:c r="X21" s="13" t="e">
        <x:f>IF($A21="","",[1]!thsiFinD("ths_adjustment_nv_fund",X$3,$A21))</x:f>
        <x:v>#NAME?</x:v>
      </x:c>
      <x:c r="Y21" s="13" t="e">
        <x:f>IF($A21="","",[1]!thsiFinD("ths_adjustment_nv_fund",Y$3,$A21))</x:f>
        <x:v>#NAME?</x:v>
      </x:c>
    </x:row>
    <x:row r="22">
      <x:c r="A22" s="8">
        <x:v>46217</x:v>
      </x:c>
      <x:c r="B22" s="13" t="e">
        <x:f>IF($A22="","",[1]!thsiFinD("ths_adjustment_nv_fund",B$3,$A22))</x:f>
        <x:v>#NAME?</x:v>
      </x:c>
      <x:c r="C22" s="13" t="e">
        <x:f>IF($A22="","",[1]!thsiFinD("ths_adjustment_nv_fund",C$3,$A22))</x:f>
        <x:v>#NAME?</x:v>
      </x:c>
      <x:c r="D22" s="13" t="e">
        <x:f>IF($A22="","",[1]!thsiFinD("ths_adjustment_nv_fund",D$3,$A22))</x:f>
        <x:v>#NAME?</x:v>
      </x:c>
      <x:c r="E22" s="13" t="e">
        <x:f>IF($A22="","",[1]!thsiFinD("ths_adjustment_nv_fund",E$3,$A22))</x:f>
        <x:v>#NAME?</x:v>
      </x:c>
      <x:c r="F22" s="13" t="e">
        <x:f>IF($A22="","",[1]!thsiFinD("ths_adjustment_nv_fund",F$3,$A22))</x:f>
        <x:v>#NAME?</x:v>
      </x:c>
      <x:c r="G22" s="13" t="e">
        <x:f>IF($A22="","",[1]!thsiFinD("ths_adjustment_nv_fund",G$3,$A22))</x:f>
        <x:v>#NAME?</x:v>
      </x:c>
      <x:c r="H22" s="13" t="e">
        <x:f>IF($A22="","",[1]!thsiFinD("ths_adjustment_nv_fund",H$3,$A22))</x:f>
        <x:v>#NAME?</x:v>
      </x:c>
      <x:c r="I22" s="13" t="e">
        <x:f>IF($A22="","",[1]!thsiFinD("ths_adjustment_nv_fund",I$3,$A22))</x:f>
        <x:v>#NAME?</x:v>
      </x:c>
      <x:c r="J22" s="13" t="e">
        <x:f>IF($A22="","",[1]!thsiFinD("ths_adjustment_nv_fund",J$3,$A22))</x:f>
        <x:v>#NAME?</x:v>
      </x:c>
      <x:c r="K22" s="13" t="e">
        <x:f>IF($A22="","",[1]!thsiFinD("ths_adjustment_nv_fund",K$3,$A22))</x:f>
        <x:v>#NAME?</x:v>
      </x:c>
      <x:c r="L22" s="13" t="e">
        <x:f>IF($A22="","",[1]!thsiFinD("ths_adjustment_nv_fund",L$3,$A22))</x:f>
        <x:v>#NAME?</x:v>
      </x:c>
      <x:c r="M22" s="13" t="e">
        <x:f>IF($A22="","",[1]!thsiFinD("ths_adjustment_nv_fund",M$3,$A22))</x:f>
        <x:v>#NAME?</x:v>
      </x:c>
      <x:c r="N22" s="13" t="e">
        <x:f>IF($A22="","",[1]!thsiFinD("ths_adjustment_nv_fund",N$3,$A22))</x:f>
        <x:v>#NAME?</x:v>
      </x:c>
      <x:c r="O22" s="13" t="e">
        <x:f>IF($A22="","",[1]!thsiFinD("ths_adjustment_nv_fund",O$3,$A22))</x:f>
        <x:v>#NAME?</x:v>
      </x:c>
      <x:c r="P22" s="13" t="e">
        <x:f>IF($A22="","",[1]!thsiFinD("ths_adjustment_nv_fund",P$3,$A22))</x:f>
        <x:v>#NAME?</x:v>
      </x:c>
      <x:c r="Q22" s="13" t="e">
        <x:f>IF($A22="","",[1]!thsiFinD("ths_adjustment_nv_fund",Q$3,$A22))</x:f>
        <x:v>#NAME?</x:v>
      </x:c>
      <x:c r="R22" s="13" t="e">
        <x:f>IF($A22="","",[1]!thsiFinD("ths_adjustment_nv_fund",R$3,$A22))</x:f>
        <x:v>#NAME?</x:v>
      </x:c>
      <x:c r="S22" s="13" t="e">
        <x:f>IF($A22="","",[1]!thsiFinD("ths_adjustment_nv_fund",S$3,$A22))</x:f>
        <x:v>#NAME?</x:v>
      </x:c>
      <x:c r="T22" s="13" t="e">
        <x:f>IF($A22="","",[1]!thsiFinD("ths_adjustment_nv_fund",T$3,$A22))</x:f>
        <x:v>#NAME?</x:v>
      </x:c>
      <x:c r="U22" s="13" t="e">
        <x:f>IF($A22="","",[1]!thsiFinD("ths_adjustment_nv_fund",U$3,$A22))</x:f>
        <x:v>#NAME?</x:v>
      </x:c>
      <x:c r="V22" s="13" t="e">
        <x:f>IF($A22="","",[1]!thsiFinD("ths_adjustment_nv_fund",V$3,$A22))</x:f>
        <x:v>#NAME?</x:v>
      </x:c>
      <x:c r="W22" s="13" t="e">
        <x:f>IF($A22="","",[1]!thsiFinD("ths_adjustment_nv_fund",W$3,$A22))</x:f>
        <x:v>#NAME?</x:v>
      </x:c>
      <x:c r="X22" s="13" t="e">
        <x:f>IF($A22="","",[1]!thsiFinD("ths_adjustment_nv_fund",X$3,$A22))</x:f>
        <x:v>#NAME?</x:v>
      </x:c>
      <x:c r="Y22" s="13" t="e">
        <x:f>IF($A22="","",[1]!thsiFinD("ths_adjustment_nv_fund",Y$3,$A22))</x:f>
        <x:v>#NAME?</x:v>
      </x:c>
    </x:row>
    <x:row r="23">
      <x:c r="A23" s="8">
        <x:v>46218</x:v>
      </x:c>
      <x:c r="B23" s="13" t="e">
        <x:f>IF($A23="","",[1]!thsiFinD("ths_adjustment_nv_fund",B$3,$A23))</x:f>
        <x:v>#NAME?</x:v>
      </x:c>
      <x:c r="C23" s="13" t="e">
        <x:f>IF($A23="","",[1]!thsiFinD("ths_adjustment_nv_fund",C$3,$A23))</x:f>
        <x:v>#NAME?</x:v>
      </x:c>
      <x:c r="D23" s="13" t="e">
        <x:f>IF($A23="","",[1]!thsiFinD("ths_adjustment_nv_fund",D$3,$A23))</x:f>
        <x:v>#NAME?</x:v>
      </x:c>
      <x:c r="E23" s="13" t="e">
        <x:f>IF($A23="","",[1]!thsiFinD("ths_adjustment_nv_fund",E$3,$A23))</x:f>
        <x:v>#NAME?</x:v>
      </x:c>
      <x:c r="F23" s="13" t="e">
        <x:f>IF($A23="","",[1]!thsiFinD("ths_adjustment_nv_fund",F$3,$A23))</x:f>
        <x:v>#NAME?</x:v>
      </x:c>
      <x:c r="G23" s="13" t="e">
        <x:f>IF($A23="","",[1]!thsiFinD("ths_adjustment_nv_fund",G$3,$A23))</x:f>
        <x:v>#NAME?</x:v>
      </x:c>
      <x:c r="H23" s="13" t="e">
        <x:f>IF($A23="","",[1]!thsiFinD("ths_adjustment_nv_fund",H$3,$A23))</x:f>
        <x:v>#NAME?</x:v>
      </x:c>
      <x:c r="I23" s="13" t="e">
        <x:f>IF($A23="","",[1]!thsiFinD("ths_adjustment_nv_fund",I$3,$A23))</x:f>
        <x:v>#NAME?</x:v>
      </x:c>
      <x:c r="J23" s="13" t="e">
        <x:f>IF($A23="","",[1]!thsiFinD("ths_adjustment_nv_fund",J$3,$A23))</x:f>
        <x:v>#NAME?</x:v>
      </x:c>
      <x:c r="K23" s="13" t="e">
        <x:f>IF($A23="","",[1]!thsiFinD("ths_adjustment_nv_fund",K$3,$A23))</x:f>
        <x:v>#NAME?</x:v>
      </x:c>
      <x:c r="L23" s="13" t="e">
        <x:f>IF($A23="","",[1]!thsiFinD("ths_adjustment_nv_fund",L$3,$A23))</x:f>
        <x:v>#NAME?</x:v>
      </x:c>
      <x:c r="M23" s="13" t="e">
        <x:f>IF($A23="","",[1]!thsiFinD("ths_adjustment_nv_fund",M$3,$A23))</x:f>
        <x:v>#NAME?</x:v>
      </x:c>
      <x:c r="N23" s="13" t="e">
        <x:f>IF($A23="","",[1]!thsiFinD("ths_adjustment_nv_fund",N$3,$A23))</x:f>
        <x:v>#NAME?</x:v>
      </x:c>
      <x:c r="O23" s="13" t="e">
        <x:f>IF($A23="","",[1]!thsiFinD("ths_adjustment_nv_fund",O$3,$A23))</x:f>
        <x:v>#NAME?</x:v>
      </x:c>
      <x:c r="P23" s="13" t="e">
        <x:f>IF($A23="","",[1]!thsiFinD("ths_adjustment_nv_fund",P$3,$A23))</x:f>
        <x:v>#NAME?</x:v>
      </x:c>
      <x:c r="Q23" s="13" t="e">
        <x:f>IF($A23="","",[1]!thsiFinD("ths_adjustment_nv_fund",Q$3,$A23))</x:f>
        <x:v>#NAME?</x:v>
      </x:c>
      <x:c r="R23" s="13" t="e">
        <x:f>IF($A23="","",[1]!thsiFinD("ths_adjustment_nv_fund",R$3,$A23))</x:f>
        <x:v>#NAME?</x:v>
      </x:c>
      <x:c r="S23" s="13" t="e">
        <x:f>IF($A23="","",[1]!thsiFinD("ths_adjustment_nv_fund",S$3,$A23))</x:f>
        <x:v>#NAME?</x:v>
      </x:c>
      <x:c r="T23" s="13" t="e">
        <x:f>IF($A23="","",[1]!thsiFinD("ths_adjustment_nv_fund",T$3,$A23))</x:f>
        <x:v>#NAME?</x:v>
      </x:c>
      <x:c r="U23" s="13" t="e">
        <x:f>IF($A23="","",[1]!thsiFinD("ths_adjustment_nv_fund",U$3,$A23))</x:f>
        <x:v>#NAME?</x:v>
      </x:c>
      <x:c r="V23" s="13" t="e">
        <x:f>IF($A23="","",[1]!thsiFinD("ths_adjustment_nv_fund",V$3,$A23))</x:f>
        <x:v>#NAME?</x:v>
      </x:c>
      <x:c r="W23" s="13" t="e">
        <x:f>IF($A23="","",[1]!thsiFinD("ths_adjustment_nv_fund",W$3,$A23))</x:f>
        <x:v>#NAME?</x:v>
      </x:c>
      <x:c r="X23" s="13" t="e">
        <x:f>IF($A23="","",[1]!thsiFinD("ths_adjustment_nv_fund",X$3,$A23))</x:f>
        <x:v>#NAME?</x:v>
      </x:c>
      <x:c r="Y23" s="13" t="e">
        <x:f>IF($A23="","",[1]!thsiFinD("ths_adjustment_nv_fund",Y$3,$A23))</x:f>
        <x:v>#NAME?</x:v>
      </x:c>
    </x:row>
    <x:row r="24">
      <x:c r="A24" s="8">
        <x:v>46219</x:v>
      </x:c>
      <x:c r="B24" s="13" t="e">
        <x:f>IF($A24="","",[1]!thsiFinD("ths_adjustment_nv_fund",B$3,$A24))</x:f>
        <x:v>#NAME?</x:v>
      </x:c>
      <x:c r="C24" s="13" t="e">
        <x:f>IF($A24="","",[1]!thsiFinD("ths_adjustment_nv_fund",C$3,$A24))</x:f>
        <x:v>#NAME?</x:v>
      </x:c>
      <x:c r="D24" s="13" t="e">
        <x:f>IF($A24="","",[1]!thsiFinD("ths_adjustment_nv_fund",D$3,$A24))</x:f>
        <x:v>#NAME?</x:v>
      </x:c>
      <x:c r="E24" s="13" t="e">
        <x:f>IF($A24="","",[1]!thsiFinD("ths_adjustment_nv_fund",E$3,$A24))</x:f>
        <x:v>#NAME?</x:v>
      </x:c>
      <x:c r="F24" s="13" t="e">
        <x:f>IF($A24="","",[1]!thsiFinD("ths_adjustment_nv_fund",F$3,$A24))</x:f>
        <x:v>#NAME?</x:v>
      </x:c>
      <x:c r="G24" s="13" t="e">
        <x:f>IF($A24="","",[1]!thsiFinD("ths_adjustment_nv_fund",G$3,$A24))</x:f>
        <x:v>#NAME?</x:v>
      </x:c>
      <x:c r="H24" s="13" t="e">
        <x:f>IF($A24="","",[1]!thsiFinD("ths_adjustment_nv_fund",H$3,$A24))</x:f>
        <x:v>#NAME?</x:v>
      </x:c>
      <x:c r="I24" s="13" t="e">
        <x:f>IF($A24="","",[1]!thsiFinD("ths_adjustment_nv_fund",I$3,$A24))</x:f>
        <x:v>#NAME?</x:v>
      </x:c>
      <x:c r="J24" s="13" t="e">
        <x:f>IF($A24="","",[1]!thsiFinD("ths_adjustment_nv_fund",J$3,$A24))</x:f>
        <x:v>#NAME?</x:v>
      </x:c>
      <x:c r="K24" s="13" t="e">
        <x:f>IF($A24="","",[1]!thsiFinD("ths_adjustment_nv_fund",K$3,$A24))</x:f>
        <x:v>#NAME?</x:v>
      </x:c>
      <x:c r="L24" s="13" t="e">
        <x:f>IF($A24="","",[1]!thsiFinD("ths_adjustment_nv_fund",L$3,$A24))</x:f>
        <x:v>#NAME?</x:v>
      </x:c>
      <x:c r="M24" s="13" t="e">
        <x:f>IF($A24="","",[1]!thsiFinD("ths_adjustment_nv_fund",M$3,$A24))</x:f>
        <x:v>#NAME?</x:v>
      </x:c>
      <x:c r="N24" s="13" t="e">
        <x:f>IF($A24="","",[1]!thsiFinD("ths_adjustment_nv_fund",N$3,$A24))</x:f>
        <x:v>#NAME?</x:v>
      </x:c>
      <x:c r="O24" s="13" t="e">
        <x:f>IF($A24="","",[1]!thsiFinD("ths_adjustment_nv_fund",O$3,$A24))</x:f>
        <x:v>#NAME?</x:v>
      </x:c>
      <x:c r="P24" s="13" t="e">
        <x:f>IF($A24="","",[1]!thsiFinD("ths_adjustment_nv_fund",P$3,$A24))</x:f>
        <x:v>#NAME?</x:v>
      </x:c>
      <x:c r="Q24" s="13" t="e">
        <x:f>IF($A24="","",[1]!thsiFinD("ths_adjustment_nv_fund",Q$3,$A24))</x:f>
        <x:v>#NAME?</x:v>
      </x:c>
      <x:c r="R24" s="13" t="e">
        <x:f>IF($A24="","",[1]!thsiFinD("ths_adjustment_nv_fund",R$3,$A24))</x:f>
        <x:v>#NAME?</x:v>
      </x:c>
      <x:c r="S24" s="13" t="e">
        <x:f>IF($A24="","",[1]!thsiFinD("ths_adjustment_nv_fund",S$3,$A24))</x:f>
        <x:v>#NAME?</x:v>
      </x:c>
      <x:c r="T24" s="13" t="e">
        <x:f>IF($A24="","",[1]!thsiFinD("ths_adjustment_nv_fund",T$3,$A24))</x:f>
        <x:v>#NAME?</x:v>
      </x:c>
      <x:c r="U24" s="13" t="e">
        <x:f>IF($A24="","",[1]!thsiFinD("ths_adjustment_nv_fund",U$3,$A24))</x:f>
        <x:v>#NAME?</x:v>
      </x:c>
      <x:c r="V24" s="13" t="e">
        <x:f>IF($A24="","",[1]!thsiFinD("ths_adjustment_nv_fund",V$3,$A24))</x:f>
        <x:v>#NAME?</x:v>
      </x:c>
      <x:c r="W24" s="13" t="e">
        <x:f>IF($A24="","",[1]!thsiFinD("ths_adjustment_nv_fund",W$3,$A24))</x:f>
        <x:v>#NAME?</x:v>
      </x:c>
      <x:c r="X24" s="13" t="e">
        <x:f>IF($A24="","",[1]!thsiFinD("ths_adjustment_nv_fund",X$3,$A24))</x:f>
        <x:v>#NAME?</x:v>
      </x:c>
      <x:c r="Y24" s="13" t="e">
        <x:f>IF($A24="","",[1]!thsiFinD("ths_adjustment_nv_fund",Y$3,$A24))</x:f>
        <x:v>#NAME?</x:v>
      </x:c>
    </x:row>
    <x:row r="25">
      <x:c r="A25" s="8">
        <x:v>46220</x:v>
      </x:c>
      <x:c r="B25" s="13" t="e">
        <x:f>IF($A25="","",[1]!thsiFinD("ths_adjustment_nv_fund",B$3,$A25))</x:f>
        <x:v>#NAME?</x:v>
      </x:c>
      <x:c r="C25" s="13" t="e">
        <x:f>IF($A25="","",[1]!thsiFinD("ths_adjustment_nv_fund",C$3,$A25))</x:f>
        <x:v>#NAME?</x:v>
      </x:c>
      <x:c r="D25" s="13" t="e">
        <x:f>IF($A25="","",[1]!thsiFinD("ths_adjustment_nv_fund",D$3,$A25))</x:f>
        <x:v>#NAME?</x:v>
      </x:c>
      <x:c r="E25" s="13" t="e">
        <x:f>IF($A25="","",[1]!thsiFinD("ths_adjustment_nv_fund",E$3,$A25))</x:f>
        <x:v>#NAME?</x:v>
      </x:c>
      <x:c r="F25" s="13" t="e">
        <x:f>IF($A25="","",[1]!thsiFinD("ths_adjustment_nv_fund",F$3,$A25))</x:f>
        <x:v>#NAME?</x:v>
      </x:c>
      <x:c r="G25" s="13" t="e">
        <x:f>IF($A25="","",[1]!thsiFinD("ths_adjustment_nv_fund",G$3,$A25))</x:f>
        <x:v>#NAME?</x:v>
      </x:c>
      <x:c r="H25" s="13" t="e">
        <x:f>IF($A25="","",[1]!thsiFinD("ths_adjustment_nv_fund",H$3,$A25))</x:f>
        <x:v>#NAME?</x:v>
      </x:c>
      <x:c r="I25" s="13" t="e">
        <x:f>IF($A25="","",[1]!thsiFinD("ths_adjustment_nv_fund",I$3,$A25))</x:f>
        <x:v>#NAME?</x:v>
      </x:c>
      <x:c r="J25" s="13" t="e">
        <x:f>IF($A25="","",[1]!thsiFinD("ths_adjustment_nv_fund",J$3,$A25))</x:f>
        <x:v>#NAME?</x:v>
      </x:c>
      <x:c r="K25" s="13" t="e">
        <x:f>IF($A25="","",[1]!thsiFinD("ths_adjustment_nv_fund",K$3,$A25))</x:f>
        <x:v>#NAME?</x:v>
      </x:c>
      <x:c r="L25" s="13" t="e">
        <x:f>IF($A25="","",[1]!thsiFinD("ths_adjustment_nv_fund",L$3,$A25))</x:f>
        <x:v>#NAME?</x:v>
      </x:c>
      <x:c r="M25" s="13" t="e">
        <x:f>IF($A25="","",[1]!thsiFinD("ths_adjustment_nv_fund",M$3,$A25))</x:f>
        <x:v>#NAME?</x:v>
      </x:c>
      <x:c r="N25" s="13" t="e">
        <x:f>IF($A25="","",[1]!thsiFinD("ths_adjustment_nv_fund",N$3,$A25))</x:f>
        <x:v>#NAME?</x:v>
      </x:c>
      <x:c r="O25" s="13" t="e">
        <x:f>IF($A25="","",[1]!thsiFinD("ths_adjustment_nv_fund",O$3,$A25))</x:f>
        <x:v>#NAME?</x:v>
      </x:c>
      <x:c r="P25" s="13" t="e">
        <x:f>IF($A25="","",[1]!thsiFinD("ths_adjustment_nv_fund",P$3,$A25))</x:f>
        <x:v>#NAME?</x:v>
      </x:c>
      <x:c r="Q25" s="13" t="e">
        <x:f>IF($A25="","",[1]!thsiFinD("ths_adjustment_nv_fund",Q$3,$A25))</x:f>
        <x:v>#NAME?</x:v>
      </x:c>
      <x:c r="R25" s="13" t="e">
        <x:f>IF($A25="","",[1]!thsiFinD("ths_adjustment_nv_fund",R$3,$A25))</x:f>
        <x:v>#NAME?</x:v>
      </x:c>
      <x:c r="S25" s="13" t="e">
        <x:f>IF($A25="","",[1]!thsiFinD("ths_adjustment_nv_fund",S$3,$A25))</x:f>
        <x:v>#NAME?</x:v>
      </x:c>
      <x:c r="T25" s="13" t="e">
        <x:f>IF($A25="","",[1]!thsiFinD("ths_adjustment_nv_fund",T$3,$A25))</x:f>
        <x:v>#NAME?</x:v>
      </x:c>
      <x:c r="U25" s="13" t="e">
        <x:f>IF($A25="","",[1]!thsiFinD("ths_adjustment_nv_fund",U$3,$A25))</x:f>
        <x:v>#NAME?</x:v>
      </x:c>
      <x:c r="V25" s="13" t="e">
        <x:f>IF($A25="","",[1]!thsiFinD("ths_adjustment_nv_fund",V$3,$A25))</x:f>
        <x:v>#NAME?</x:v>
      </x:c>
      <x:c r="W25" s="13" t="e">
        <x:f>IF($A25="","",[1]!thsiFinD("ths_adjustment_nv_fund",W$3,$A25))</x:f>
        <x:v>#NAME?</x:v>
      </x:c>
      <x:c r="X25" s="13" t="e">
        <x:f>IF($A25="","",[1]!thsiFinD("ths_adjustment_nv_fund",X$3,$A25))</x:f>
        <x:v>#NAME?</x:v>
      </x:c>
      <x:c r="Y25" s="13" t="e">
        <x:f>IF($A25="","",[1]!thsiFinD("ths_adjustment_nv_fund",Y$3,$A25))</x:f>
        <x:v>#NAME?</x:v>
      </x:c>
    </x:row>
    <x:row r="26">
      <x:c r="A26" s="8">
        <x:v>46223</x:v>
      </x:c>
      <x:c r="B26" s="13" t="e">
        <x:f>IF($A26="","",[1]!thsiFinD("ths_adjustment_nv_fund",B$3,$A26))</x:f>
        <x:v>#NAME?</x:v>
      </x:c>
      <x:c r="C26" s="13" t="e">
        <x:f>IF($A26="","",[1]!thsiFinD("ths_adjustment_nv_fund",C$3,$A26))</x:f>
        <x:v>#NAME?</x:v>
      </x:c>
      <x:c r="D26" s="13" t="e">
        <x:f>IF($A26="","",[1]!thsiFinD("ths_adjustment_nv_fund",D$3,$A26))</x:f>
        <x:v>#NAME?</x:v>
      </x:c>
      <x:c r="E26" s="13" t="e">
        <x:f>IF($A26="","",[1]!thsiFinD("ths_adjustment_nv_fund",E$3,$A26))</x:f>
        <x:v>#NAME?</x:v>
      </x:c>
      <x:c r="F26" s="13" t="e">
        <x:f>IF($A26="","",[1]!thsiFinD("ths_adjustment_nv_fund",F$3,$A26))</x:f>
        <x:v>#NAME?</x:v>
      </x:c>
      <x:c r="G26" s="13" t="e">
        <x:f>IF($A26="","",[1]!thsiFinD("ths_adjustment_nv_fund",G$3,$A26))</x:f>
        <x:v>#NAME?</x:v>
      </x:c>
      <x:c r="H26" s="13" t="e">
        <x:f>IF($A26="","",[1]!thsiFinD("ths_adjustment_nv_fund",H$3,$A26))</x:f>
        <x:v>#NAME?</x:v>
      </x:c>
      <x:c r="I26" s="13" t="e">
        <x:f>IF($A26="","",[1]!thsiFinD("ths_adjustment_nv_fund",I$3,$A26))</x:f>
        <x:v>#NAME?</x:v>
      </x:c>
      <x:c r="J26" s="13" t="e">
        <x:f>IF($A26="","",[1]!thsiFinD("ths_adjustment_nv_fund",J$3,$A26))</x:f>
        <x:v>#NAME?</x:v>
      </x:c>
      <x:c r="K26" s="13" t="e">
        <x:f>IF($A26="","",[1]!thsiFinD("ths_adjustment_nv_fund",K$3,$A26))</x:f>
        <x:v>#NAME?</x:v>
      </x:c>
      <x:c r="L26" s="13" t="e">
        <x:f>IF($A26="","",[1]!thsiFinD("ths_adjustment_nv_fund",L$3,$A26))</x:f>
        <x:v>#NAME?</x:v>
      </x:c>
      <x:c r="M26" s="13" t="e">
        <x:f>IF($A26="","",[1]!thsiFinD("ths_adjustment_nv_fund",M$3,$A26))</x:f>
        <x:v>#NAME?</x:v>
      </x:c>
      <x:c r="N26" s="13" t="e">
        <x:f>IF($A26="","",[1]!thsiFinD("ths_adjustment_nv_fund",N$3,$A26))</x:f>
        <x:v>#NAME?</x:v>
      </x:c>
      <x:c r="O26" s="13" t="e">
        <x:f>IF($A26="","",[1]!thsiFinD("ths_adjustment_nv_fund",O$3,$A26))</x:f>
        <x:v>#NAME?</x:v>
      </x:c>
      <x:c r="P26" s="13" t="e">
        <x:f>IF($A26="","",[1]!thsiFinD("ths_adjustment_nv_fund",P$3,$A26))</x:f>
        <x:v>#NAME?</x:v>
      </x:c>
      <x:c r="Q26" s="13" t="e">
        <x:f>IF($A26="","",[1]!thsiFinD("ths_adjustment_nv_fund",Q$3,$A26))</x:f>
        <x:v>#NAME?</x:v>
      </x:c>
      <x:c r="R26" s="13" t="e">
        <x:f>IF($A26="","",[1]!thsiFinD("ths_adjustment_nv_fund",R$3,$A26))</x:f>
        <x:v>#NAME?</x:v>
      </x:c>
      <x:c r="S26" s="13" t="e">
        <x:f>IF($A26="","",[1]!thsiFinD("ths_adjustment_nv_fund",S$3,$A26))</x:f>
        <x:v>#NAME?</x:v>
      </x:c>
      <x:c r="T26" s="13" t="e">
        <x:f>IF($A26="","",[1]!thsiFinD("ths_adjustment_nv_fund",T$3,$A26))</x:f>
        <x:v>#NAME?</x:v>
      </x:c>
      <x:c r="U26" s="13" t="e">
        <x:f>IF($A26="","",[1]!thsiFinD("ths_adjustment_nv_fund",U$3,$A26))</x:f>
        <x:v>#NAME?</x:v>
      </x:c>
      <x:c r="V26" s="13" t="e">
        <x:f>IF($A26="","",[1]!thsiFinD("ths_adjustment_nv_fund",V$3,$A26))</x:f>
        <x:v>#NAME?</x:v>
      </x:c>
      <x:c r="W26" s="13" t="e">
        <x:f>IF($A26="","",[1]!thsiFinD("ths_adjustment_nv_fund",W$3,$A26))</x:f>
        <x:v>#NAME?</x:v>
      </x:c>
      <x:c r="X26" s="13" t="e">
        <x:f>IF($A26="","",[1]!thsiFinD("ths_adjustment_nv_fund",X$3,$A26))</x:f>
        <x:v>#NAME?</x:v>
      </x:c>
      <x:c r="Y26" s="13" t="e">
        <x:f>IF($A26="","",[1]!thsiFinD("ths_adjustment_nv_fund",Y$3,$A26))</x:f>
        <x:v>#NAME?</x:v>
      </x:c>
    </x:row>
    <x:row r="27">
      <x:c r="A27" s="8">
        <x:v>46224</x:v>
      </x:c>
      <x:c r="B27" s="13" t="e">
        <x:f>IF($A27="","",[1]!thsiFinD("ths_adjustment_nv_fund",B$3,$A27))</x:f>
        <x:v>#NAME?</x:v>
      </x:c>
      <x:c r="C27" s="13" t="e">
        <x:f>IF($A27="","",[1]!thsiFinD("ths_adjustment_nv_fund",C$3,$A27))</x:f>
        <x:v>#NAME?</x:v>
      </x:c>
      <x:c r="D27" s="13" t="e">
        <x:f>IF($A27="","",[1]!thsiFinD("ths_adjustment_nv_fund",D$3,$A27))</x:f>
        <x:v>#NAME?</x:v>
      </x:c>
      <x:c r="E27" s="13" t="e">
        <x:f>IF($A27="","",[1]!thsiFinD("ths_adjustment_nv_fund",E$3,$A27))</x:f>
        <x:v>#NAME?</x:v>
      </x:c>
      <x:c r="F27" s="13" t="e">
        <x:f>IF($A27="","",[1]!thsiFinD("ths_adjustment_nv_fund",F$3,$A27))</x:f>
        <x:v>#NAME?</x:v>
      </x:c>
      <x:c r="G27" s="13" t="e">
        <x:f>IF($A27="","",[1]!thsiFinD("ths_adjustment_nv_fund",G$3,$A27))</x:f>
        <x:v>#NAME?</x:v>
      </x:c>
      <x:c r="H27" s="13" t="e">
        <x:f>IF($A27="","",[1]!thsiFinD("ths_adjustment_nv_fund",H$3,$A27))</x:f>
        <x:v>#NAME?</x:v>
      </x:c>
      <x:c r="I27" s="13" t="e">
        <x:f>IF($A27="","",[1]!thsiFinD("ths_adjustment_nv_fund",I$3,$A27))</x:f>
        <x:v>#NAME?</x:v>
      </x:c>
      <x:c r="J27" s="13" t="e">
        <x:f>IF($A27="","",[1]!thsiFinD("ths_adjustment_nv_fund",J$3,$A27))</x:f>
        <x:v>#NAME?</x:v>
      </x:c>
      <x:c r="K27" s="13" t="e">
        <x:f>IF($A27="","",[1]!thsiFinD("ths_adjustment_nv_fund",K$3,$A27))</x:f>
        <x:v>#NAME?</x:v>
      </x:c>
      <x:c r="L27" s="13" t="e">
        <x:f>IF($A27="","",[1]!thsiFinD("ths_adjustment_nv_fund",L$3,$A27))</x:f>
        <x:v>#NAME?</x:v>
      </x:c>
      <x:c r="M27" s="13" t="e">
        <x:f>IF($A27="","",[1]!thsiFinD("ths_adjustment_nv_fund",M$3,$A27))</x:f>
        <x:v>#NAME?</x:v>
      </x:c>
      <x:c r="N27" s="13" t="e">
        <x:f>IF($A27="","",[1]!thsiFinD("ths_adjustment_nv_fund",N$3,$A27))</x:f>
        <x:v>#NAME?</x:v>
      </x:c>
      <x:c r="O27" s="13" t="e">
        <x:f>IF($A27="","",[1]!thsiFinD("ths_adjustment_nv_fund",O$3,$A27))</x:f>
        <x:v>#NAME?</x:v>
      </x:c>
      <x:c r="P27" s="13" t="e">
        <x:f>IF($A27="","",[1]!thsiFinD("ths_adjustment_nv_fund",P$3,$A27))</x:f>
        <x:v>#NAME?</x:v>
      </x:c>
      <x:c r="Q27" s="13" t="e">
        <x:f>IF($A27="","",[1]!thsiFinD("ths_adjustment_nv_fund",Q$3,$A27))</x:f>
        <x:v>#NAME?</x:v>
      </x:c>
      <x:c r="R27" s="13" t="e">
        <x:f>IF($A27="","",[1]!thsiFinD("ths_adjustment_nv_fund",R$3,$A27))</x:f>
        <x:v>#NAME?</x:v>
      </x:c>
      <x:c r="S27" s="13" t="e">
        <x:f>IF($A27="","",[1]!thsiFinD("ths_adjustment_nv_fund",S$3,$A27))</x:f>
        <x:v>#NAME?</x:v>
      </x:c>
      <x:c r="T27" s="13" t="e">
        <x:f>IF($A27="","",[1]!thsiFinD("ths_adjustment_nv_fund",T$3,$A27))</x:f>
        <x:v>#NAME?</x:v>
      </x:c>
      <x:c r="U27" s="13" t="e">
        <x:f>IF($A27="","",[1]!thsiFinD("ths_adjustment_nv_fund",U$3,$A27))</x:f>
        <x:v>#NAME?</x:v>
      </x:c>
      <x:c r="V27" s="13" t="e">
        <x:f>IF($A27="","",[1]!thsiFinD("ths_adjustment_nv_fund",V$3,$A27))</x:f>
        <x:v>#NAME?</x:v>
      </x:c>
      <x:c r="W27" s="13" t="e">
        <x:f>IF($A27="","",[1]!thsiFinD("ths_adjustment_nv_fund",W$3,$A27))</x:f>
        <x:v>#NAME?</x:v>
      </x:c>
      <x:c r="X27" s="13" t="e">
        <x:f>IF($A27="","",[1]!thsiFinD("ths_adjustment_nv_fund",X$3,$A27))</x:f>
        <x:v>#NAME?</x:v>
      </x:c>
      <x:c r="Y27" s="13" t="e">
        <x:f>IF($A27="","",[1]!thsiFinD("ths_adjustment_nv_fund",Y$3,$A27))</x:f>
        <x:v>#NAME?</x:v>
      </x:c>
    </x:row>
    <x:row r="28">
      <x:c r="A28" s="8">
        <x:v>46225</x:v>
      </x:c>
      <x:c r="B28" s="13" t="e">
        <x:f>IF($A28="","",[1]!thsiFinD("ths_adjustment_nv_fund",B$3,$A28))</x:f>
        <x:v>#NAME?</x:v>
      </x:c>
      <x:c r="C28" s="13" t="e">
        <x:f>IF($A28="","",[1]!thsiFinD("ths_adjustment_nv_fund",C$3,$A28))</x:f>
        <x:v>#NAME?</x:v>
      </x:c>
      <x:c r="D28" s="13" t="e">
        <x:f>IF($A28="","",[1]!thsiFinD("ths_adjustment_nv_fund",D$3,$A28))</x:f>
        <x:v>#NAME?</x:v>
      </x:c>
      <x:c r="E28" s="13" t="e">
        <x:f>IF($A28="","",[1]!thsiFinD("ths_adjustment_nv_fund",E$3,$A28))</x:f>
        <x:v>#NAME?</x:v>
      </x:c>
      <x:c r="F28" s="13" t="e">
        <x:f>IF($A28="","",[1]!thsiFinD("ths_adjustment_nv_fund",F$3,$A28))</x:f>
        <x:v>#NAME?</x:v>
      </x:c>
      <x:c r="G28" s="13" t="e">
        <x:f>IF($A28="","",[1]!thsiFinD("ths_adjustment_nv_fund",G$3,$A28))</x:f>
        <x:v>#NAME?</x:v>
      </x:c>
      <x:c r="H28" s="13" t="e">
        <x:f>IF($A28="","",[1]!thsiFinD("ths_adjustment_nv_fund",H$3,$A28))</x:f>
        <x:v>#NAME?</x:v>
      </x:c>
      <x:c r="I28" s="13" t="e">
        <x:f>IF($A28="","",[1]!thsiFinD("ths_adjustment_nv_fund",I$3,$A28))</x:f>
        <x:v>#NAME?</x:v>
      </x:c>
      <x:c r="J28" s="13" t="e">
        <x:f>IF($A28="","",[1]!thsiFinD("ths_adjustment_nv_fund",J$3,$A28))</x:f>
        <x:v>#NAME?</x:v>
      </x:c>
      <x:c r="K28" s="13" t="e">
        <x:f>IF($A28="","",[1]!thsiFinD("ths_adjustment_nv_fund",K$3,$A28))</x:f>
        <x:v>#NAME?</x:v>
      </x:c>
      <x:c r="L28" s="13" t="e">
        <x:f>IF($A28="","",[1]!thsiFinD("ths_adjustment_nv_fund",L$3,$A28))</x:f>
        <x:v>#NAME?</x:v>
      </x:c>
      <x:c r="M28" s="13" t="e">
        <x:f>IF($A28="","",[1]!thsiFinD("ths_adjustment_nv_fund",M$3,$A28))</x:f>
        <x:v>#NAME?</x:v>
      </x:c>
      <x:c r="N28" s="13" t="e">
        <x:f>IF($A28="","",[1]!thsiFinD("ths_adjustment_nv_fund",N$3,$A28))</x:f>
        <x:v>#NAME?</x:v>
      </x:c>
      <x:c r="O28" s="13" t="e">
        <x:f>IF($A28="","",[1]!thsiFinD("ths_adjustment_nv_fund",O$3,$A28))</x:f>
        <x:v>#NAME?</x:v>
      </x:c>
      <x:c r="P28" s="13" t="e">
        <x:f>IF($A28="","",[1]!thsiFinD("ths_adjustment_nv_fund",P$3,$A28))</x:f>
        <x:v>#NAME?</x:v>
      </x:c>
      <x:c r="Q28" s="13" t="e">
        <x:f>IF($A28="","",[1]!thsiFinD("ths_adjustment_nv_fund",Q$3,$A28))</x:f>
        <x:v>#NAME?</x:v>
      </x:c>
      <x:c r="R28" s="13" t="e">
        <x:f>IF($A28="","",[1]!thsiFinD("ths_adjustment_nv_fund",R$3,$A28))</x:f>
        <x:v>#NAME?</x:v>
      </x:c>
      <x:c r="S28" s="13" t="e">
        <x:f>IF($A28="","",[1]!thsiFinD("ths_adjustment_nv_fund",S$3,$A28))</x:f>
        <x:v>#NAME?</x:v>
      </x:c>
      <x:c r="T28" s="13" t="e">
        <x:f>IF($A28="","",[1]!thsiFinD("ths_adjustment_nv_fund",T$3,$A28))</x:f>
        <x:v>#NAME?</x:v>
      </x:c>
      <x:c r="U28" s="13" t="e">
        <x:f>IF($A28="","",[1]!thsiFinD("ths_adjustment_nv_fund",U$3,$A28))</x:f>
        <x:v>#NAME?</x:v>
      </x:c>
      <x:c r="V28" s="13" t="e">
        <x:f>IF($A28="","",[1]!thsiFinD("ths_adjustment_nv_fund",V$3,$A28))</x:f>
        <x:v>#NAME?</x:v>
      </x:c>
      <x:c r="W28" s="13" t="e">
        <x:f>IF($A28="","",[1]!thsiFinD("ths_adjustment_nv_fund",W$3,$A28))</x:f>
        <x:v>#NAME?</x:v>
      </x:c>
      <x:c r="X28" s="13" t="e">
        <x:f>IF($A28="","",[1]!thsiFinD("ths_adjustment_nv_fund",X$3,$A28))</x:f>
        <x:v>#NAME?</x:v>
      </x:c>
      <x:c r="Y28" s="13" t="e">
        <x:f>IF($A28="","",[1]!thsiFinD("ths_adjustment_nv_fund",Y$3,$A28))</x:f>
        <x:v>#NAME?</x:v>
      </x:c>
    </x:row>
    <x:row r="29">
      <x:c r="A29" s="8">
        <x:v>46226</x:v>
      </x:c>
      <x:c r="B29" s="13" t="e">
        <x:f>IF($A29="","",[1]!thsiFinD("ths_adjustment_nv_fund",B$3,$A29))</x:f>
        <x:v>#NAME?</x:v>
      </x:c>
      <x:c r="C29" s="13" t="e">
        <x:f>IF($A29="","",[1]!thsiFinD("ths_adjustment_nv_fund",C$3,$A29))</x:f>
        <x:v>#NAME?</x:v>
      </x:c>
      <x:c r="D29" s="13" t="e">
        <x:f>IF($A29="","",[1]!thsiFinD("ths_adjustment_nv_fund",D$3,$A29))</x:f>
        <x:v>#NAME?</x:v>
      </x:c>
      <x:c r="E29" s="13" t="e">
        <x:f>IF($A29="","",[1]!thsiFinD("ths_adjustment_nv_fund",E$3,$A29))</x:f>
        <x:v>#NAME?</x:v>
      </x:c>
      <x:c r="F29" s="13" t="e">
        <x:f>IF($A29="","",[1]!thsiFinD("ths_adjustment_nv_fund",F$3,$A29))</x:f>
        <x:v>#NAME?</x:v>
      </x:c>
      <x:c r="G29" s="13" t="e">
        <x:f>IF($A29="","",[1]!thsiFinD("ths_adjustment_nv_fund",G$3,$A29))</x:f>
        <x:v>#NAME?</x:v>
      </x:c>
      <x:c r="H29" s="13" t="e">
        <x:f>IF($A29="","",[1]!thsiFinD("ths_adjustment_nv_fund",H$3,$A29))</x:f>
        <x:v>#NAME?</x:v>
      </x:c>
      <x:c r="I29" s="13" t="e">
        <x:f>IF($A29="","",[1]!thsiFinD("ths_adjustment_nv_fund",I$3,$A29))</x:f>
        <x:v>#NAME?</x:v>
      </x:c>
      <x:c r="J29" s="13" t="e">
        <x:f>IF($A29="","",[1]!thsiFinD("ths_adjustment_nv_fund",J$3,$A29))</x:f>
        <x:v>#NAME?</x:v>
      </x:c>
      <x:c r="K29" s="13" t="e">
        <x:f>IF($A29="","",[1]!thsiFinD("ths_adjustment_nv_fund",K$3,$A29))</x:f>
        <x:v>#NAME?</x:v>
      </x:c>
      <x:c r="L29" s="13" t="e">
        <x:f>IF($A29="","",[1]!thsiFinD("ths_adjustment_nv_fund",L$3,$A29))</x:f>
        <x:v>#NAME?</x:v>
      </x:c>
      <x:c r="M29" s="13" t="e">
        <x:f>IF($A29="","",[1]!thsiFinD("ths_adjustment_nv_fund",M$3,$A29))</x:f>
        <x:v>#NAME?</x:v>
      </x:c>
      <x:c r="N29" s="13" t="e">
        <x:f>IF($A29="","",[1]!thsiFinD("ths_adjustment_nv_fund",N$3,$A29))</x:f>
        <x:v>#NAME?</x:v>
      </x:c>
      <x:c r="O29" s="13" t="e">
        <x:f>IF($A29="","",[1]!thsiFinD("ths_adjustment_nv_fund",O$3,$A29))</x:f>
        <x:v>#NAME?</x:v>
      </x:c>
      <x:c r="P29" s="13" t="e">
        <x:f>IF($A29="","",[1]!thsiFinD("ths_adjustment_nv_fund",P$3,$A29))</x:f>
        <x:v>#NAME?</x:v>
      </x:c>
      <x:c r="Q29" s="13" t="e">
        <x:f>IF($A29="","",[1]!thsiFinD("ths_adjustment_nv_fund",Q$3,$A29))</x:f>
        <x:v>#NAME?</x:v>
      </x:c>
      <x:c r="R29" s="13" t="e">
        <x:f>IF($A29="","",[1]!thsiFinD("ths_adjustment_nv_fund",R$3,$A29))</x:f>
        <x:v>#NAME?</x:v>
      </x:c>
      <x:c r="S29" s="13" t="e">
        <x:f>IF($A29="","",[1]!thsiFinD("ths_adjustment_nv_fund",S$3,$A29))</x:f>
        <x:v>#NAME?</x:v>
      </x:c>
      <x:c r="T29" s="13" t="e">
        <x:f>IF($A29="","",[1]!thsiFinD("ths_adjustment_nv_fund",T$3,$A29))</x:f>
        <x:v>#NAME?</x:v>
      </x:c>
      <x:c r="U29" s="13" t="e">
        <x:f>IF($A29="","",[1]!thsiFinD("ths_adjustment_nv_fund",U$3,$A29))</x:f>
        <x:v>#NAME?</x:v>
      </x:c>
      <x:c r="V29" s="13" t="e">
        <x:f>IF($A29="","",[1]!thsiFinD("ths_adjustment_nv_fund",V$3,$A29))</x:f>
        <x:v>#NAME?</x:v>
      </x:c>
      <x:c r="W29" s="13" t="e">
        <x:f>IF($A29="","",[1]!thsiFinD("ths_adjustment_nv_fund",W$3,$A29))</x:f>
        <x:v>#NAME?</x:v>
      </x:c>
      <x:c r="X29" s="13" t="e">
        <x:f>IF($A29="","",[1]!thsiFinD("ths_adjustment_nv_fund",X$3,$A29))</x:f>
        <x:v>#NAME?</x:v>
      </x:c>
      <x:c r="Y29" s="13" t="e">
        <x:f>IF($A29="","",[1]!thsiFinD("ths_adjustment_nv_fund",Y$3,$A29))</x:f>
        <x:v>#NAME?</x:v>
      </x:c>
    </x:row>
    <x:row r="30">
      <x:c r="A30" s="8">
        <x:v>46227</x:v>
      </x:c>
      <x:c r="B30" s="13" t="e">
        <x:f>IF($A30="","",[1]!thsiFinD("ths_adjustment_nv_fund",B$3,$A30))</x:f>
        <x:v>#NAME?</x:v>
      </x:c>
      <x:c r="C30" s="13" t="e">
        <x:f>IF($A30="","",[1]!thsiFinD("ths_adjustment_nv_fund",C$3,$A30))</x:f>
        <x:v>#NAME?</x:v>
      </x:c>
      <x:c r="D30" s="13" t="e">
        <x:f>IF($A30="","",[1]!thsiFinD("ths_adjustment_nv_fund",D$3,$A30))</x:f>
        <x:v>#NAME?</x:v>
      </x:c>
      <x:c r="E30" s="13" t="e">
        <x:f>IF($A30="","",[1]!thsiFinD("ths_adjustment_nv_fund",E$3,$A30))</x:f>
        <x:v>#NAME?</x:v>
      </x:c>
      <x:c r="F30" s="13" t="e">
        <x:f>IF($A30="","",[1]!thsiFinD("ths_adjustment_nv_fund",F$3,$A30))</x:f>
        <x:v>#NAME?</x:v>
      </x:c>
      <x:c r="G30" s="13" t="e">
        <x:f>IF($A30="","",[1]!thsiFinD("ths_adjustment_nv_fund",G$3,$A30))</x:f>
        <x:v>#NAME?</x:v>
      </x:c>
      <x:c r="H30" s="13" t="e">
        <x:f>IF($A30="","",[1]!thsiFinD("ths_adjustment_nv_fund",H$3,$A30))</x:f>
        <x:v>#NAME?</x:v>
      </x:c>
      <x:c r="I30" s="13" t="e">
        <x:f>IF($A30="","",[1]!thsiFinD("ths_adjustment_nv_fund",I$3,$A30))</x:f>
        <x:v>#NAME?</x:v>
      </x:c>
      <x:c r="J30" s="13" t="e">
        <x:f>IF($A30="","",[1]!thsiFinD("ths_adjustment_nv_fund",J$3,$A30))</x:f>
        <x:v>#NAME?</x:v>
      </x:c>
      <x:c r="K30" s="13" t="e">
        <x:f>IF($A30="","",[1]!thsiFinD("ths_adjustment_nv_fund",K$3,$A30))</x:f>
        <x:v>#NAME?</x:v>
      </x:c>
      <x:c r="L30" s="13" t="e">
        <x:f>IF($A30="","",[1]!thsiFinD("ths_adjustment_nv_fund",L$3,$A30))</x:f>
        <x:v>#NAME?</x:v>
      </x:c>
      <x:c r="M30" s="13" t="e">
        <x:f>IF($A30="","",[1]!thsiFinD("ths_adjustment_nv_fund",M$3,$A30))</x:f>
        <x:v>#NAME?</x:v>
      </x:c>
      <x:c r="N30" s="13" t="e">
        <x:f>IF($A30="","",[1]!thsiFinD("ths_adjustment_nv_fund",N$3,$A30))</x:f>
        <x:v>#NAME?</x:v>
      </x:c>
      <x:c r="O30" s="13" t="e">
        <x:f>IF($A30="","",[1]!thsiFinD("ths_adjustment_nv_fund",O$3,$A30))</x:f>
        <x:v>#NAME?</x:v>
      </x:c>
      <x:c r="P30" s="13" t="e">
        <x:f>IF($A30="","",[1]!thsiFinD("ths_adjustment_nv_fund",P$3,$A30))</x:f>
        <x:v>#NAME?</x:v>
      </x:c>
      <x:c r="Q30" s="13" t="e">
        <x:f>IF($A30="","",[1]!thsiFinD("ths_adjustment_nv_fund",Q$3,$A30))</x:f>
        <x:v>#NAME?</x:v>
      </x:c>
      <x:c r="R30" s="13" t="e">
        <x:f>IF($A30="","",[1]!thsiFinD("ths_adjustment_nv_fund",R$3,$A30))</x:f>
        <x:v>#NAME?</x:v>
      </x:c>
      <x:c r="S30" s="13" t="e">
        <x:f>IF($A30="","",[1]!thsiFinD("ths_adjustment_nv_fund",S$3,$A30))</x:f>
        <x:v>#NAME?</x:v>
      </x:c>
      <x:c r="T30" s="13" t="e">
        <x:f>IF($A30="","",[1]!thsiFinD("ths_adjustment_nv_fund",T$3,$A30))</x:f>
        <x:v>#NAME?</x:v>
      </x:c>
      <x:c r="U30" s="13" t="e">
        <x:f>IF($A30="","",[1]!thsiFinD("ths_adjustment_nv_fund",U$3,$A30))</x:f>
        <x:v>#NAME?</x:v>
      </x:c>
      <x:c r="V30" s="13" t="e">
        <x:f>IF($A30="","",[1]!thsiFinD("ths_adjustment_nv_fund",V$3,$A30))</x:f>
        <x:v>#NAME?</x:v>
      </x:c>
      <x:c r="W30" s="13" t="e">
        <x:f>IF($A30="","",[1]!thsiFinD("ths_adjustment_nv_fund",W$3,$A30))</x:f>
        <x:v>#NAME?</x:v>
      </x:c>
      <x:c r="X30" s="13" t="e">
        <x:f>IF($A30="","",[1]!thsiFinD("ths_adjustment_nv_fund",X$3,$A30))</x:f>
        <x:v>#NAME?</x:v>
      </x:c>
      <x:c r="Y30" s="13" t="e">
        <x:f>IF($A30="","",[1]!thsiFinD("ths_adjustment_nv_fund",Y$3,$A30))</x:f>
        <x:v>#NAME?</x:v>
      </x:c>
    </x:row>
    <x:row r="31">
      <x:c r="A31" s="8">
        <x:v>46230</x:v>
      </x:c>
      <x:c r="B31" s="13" t="e">
        <x:f>IF($A31="","",[1]!thsiFinD("ths_adjustment_nv_fund",B$3,$A31))</x:f>
        <x:v>#NAME?</x:v>
      </x:c>
      <x:c r="C31" s="13" t="e">
        <x:f>IF($A31="","",[1]!thsiFinD("ths_adjustment_nv_fund",C$3,$A31))</x:f>
        <x:v>#NAME?</x:v>
      </x:c>
      <x:c r="D31" s="13" t="e">
        <x:f>IF($A31="","",[1]!thsiFinD("ths_adjustment_nv_fund",D$3,$A31))</x:f>
        <x:v>#NAME?</x:v>
      </x:c>
      <x:c r="E31" s="13" t="e">
        <x:f>IF($A31="","",[1]!thsiFinD("ths_adjustment_nv_fund",E$3,$A31))</x:f>
        <x:v>#NAME?</x:v>
      </x:c>
      <x:c r="F31" s="13" t="e">
        <x:f>IF($A31="","",[1]!thsiFinD("ths_adjustment_nv_fund",F$3,$A31))</x:f>
        <x:v>#NAME?</x:v>
      </x:c>
      <x:c r="G31" s="13" t="e">
        <x:f>IF($A31="","",[1]!thsiFinD("ths_adjustment_nv_fund",G$3,$A31))</x:f>
        <x:v>#NAME?</x:v>
      </x:c>
      <x:c r="H31" s="13" t="e">
        <x:f>IF($A31="","",[1]!thsiFinD("ths_adjustment_nv_fund",H$3,$A31))</x:f>
        <x:v>#NAME?</x:v>
      </x:c>
      <x:c r="I31" s="13" t="e">
        <x:f>IF($A31="","",[1]!thsiFinD("ths_adjustment_nv_fund",I$3,$A31))</x:f>
        <x:v>#NAME?</x:v>
      </x:c>
      <x:c r="J31" s="13" t="e">
        <x:f>IF($A31="","",[1]!thsiFinD("ths_adjustment_nv_fund",J$3,$A31))</x:f>
        <x:v>#NAME?</x:v>
      </x:c>
      <x:c r="K31" s="13" t="e">
        <x:f>IF($A31="","",[1]!thsiFinD("ths_adjustment_nv_fund",K$3,$A31))</x:f>
        <x:v>#NAME?</x:v>
      </x:c>
      <x:c r="L31" s="13" t="e">
        <x:f>IF($A31="","",[1]!thsiFinD("ths_adjustment_nv_fund",L$3,$A31))</x:f>
        <x:v>#NAME?</x:v>
      </x:c>
      <x:c r="M31" s="13" t="e">
        <x:f>IF($A31="","",[1]!thsiFinD("ths_adjustment_nv_fund",M$3,$A31))</x:f>
        <x:v>#NAME?</x:v>
      </x:c>
      <x:c r="N31" s="13" t="e">
        <x:f>IF($A31="","",[1]!thsiFinD("ths_adjustment_nv_fund",N$3,$A31))</x:f>
        <x:v>#NAME?</x:v>
      </x:c>
      <x:c r="O31" s="13" t="e">
        <x:f>IF($A31="","",[1]!thsiFinD("ths_adjustment_nv_fund",O$3,$A31))</x:f>
        <x:v>#NAME?</x:v>
      </x:c>
      <x:c r="P31" s="13" t="e">
        <x:f>IF($A31="","",[1]!thsiFinD("ths_adjustment_nv_fund",P$3,$A31))</x:f>
        <x:v>#NAME?</x:v>
      </x:c>
      <x:c r="Q31" s="13" t="e">
        <x:f>IF($A31="","",[1]!thsiFinD("ths_adjustment_nv_fund",Q$3,$A31))</x:f>
        <x:v>#NAME?</x:v>
      </x:c>
      <x:c r="R31" s="13" t="e">
        <x:f>IF($A31="","",[1]!thsiFinD("ths_adjustment_nv_fund",R$3,$A31))</x:f>
        <x:v>#NAME?</x:v>
      </x:c>
      <x:c r="S31" s="13" t="e">
        <x:f>IF($A31="","",[1]!thsiFinD("ths_adjustment_nv_fund",S$3,$A31))</x:f>
        <x:v>#NAME?</x:v>
      </x:c>
      <x:c r="T31" s="13" t="e">
        <x:f>IF($A31="","",[1]!thsiFinD("ths_adjustment_nv_fund",T$3,$A31))</x:f>
        <x:v>#NAME?</x:v>
      </x:c>
      <x:c r="U31" s="13" t="e">
        <x:f>IF($A31="","",[1]!thsiFinD("ths_adjustment_nv_fund",U$3,$A31))</x:f>
        <x:v>#NAME?</x:v>
      </x:c>
      <x:c r="V31" s="13" t="e">
        <x:f>IF($A31="","",[1]!thsiFinD("ths_adjustment_nv_fund",V$3,$A31))</x:f>
        <x:v>#NAME?</x:v>
      </x:c>
      <x:c r="W31" s="13" t="e">
        <x:f>IF($A31="","",[1]!thsiFinD("ths_adjustment_nv_fund",W$3,$A31))</x:f>
        <x:v>#NAME?</x:v>
      </x:c>
      <x:c r="X31" s="13" t="e">
        <x:f>IF($A31="","",[1]!thsiFinD("ths_adjustment_nv_fund",X$3,$A31))</x:f>
        <x:v>#NAME?</x:v>
      </x:c>
      <x:c r="Y31" s="13" t="e">
        <x:f>IF($A31="","",[1]!thsiFinD("ths_adjustment_nv_fund",Y$3,$A31))</x:f>
        <x:v>#NAME?</x:v>
      </x:c>
    </x:row>
    <x:row r="32">
      <x:c r="A32" s="8">
        <x:v>46231</x:v>
      </x:c>
      <x:c r="B32" s="13" t="e">
        <x:f>IF($A32="","",[1]!thsiFinD("ths_adjustment_nv_fund",B$3,$A32))</x:f>
        <x:v>#NAME?</x:v>
      </x:c>
      <x:c r="C32" s="13" t="e">
        <x:f>IF($A32="","",[1]!thsiFinD("ths_adjustment_nv_fund",C$3,$A32))</x:f>
        <x:v>#NAME?</x:v>
      </x:c>
      <x:c r="D32" s="13" t="e">
        <x:f>IF($A32="","",[1]!thsiFinD("ths_adjustment_nv_fund",D$3,$A32))</x:f>
        <x:v>#NAME?</x:v>
      </x:c>
      <x:c r="E32" s="13" t="e">
        <x:f>IF($A32="","",[1]!thsiFinD("ths_adjustment_nv_fund",E$3,$A32))</x:f>
        <x:v>#NAME?</x:v>
      </x:c>
      <x:c r="F32" s="13" t="e">
        <x:f>IF($A32="","",[1]!thsiFinD("ths_adjustment_nv_fund",F$3,$A32))</x:f>
        <x:v>#NAME?</x:v>
      </x:c>
      <x:c r="G32" s="13" t="e">
        <x:f>IF($A32="","",[1]!thsiFinD("ths_adjustment_nv_fund",G$3,$A32))</x:f>
        <x:v>#NAME?</x:v>
      </x:c>
      <x:c r="H32" s="13" t="e">
        <x:f>IF($A32="","",[1]!thsiFinD("ths_adjustment_nv_fund",H$3,$A32))</x:f>
        <x:v>#NAME?</x:v>
      </x:c>
      <x:c r="I32" s="13" t="e">
        <x:f>IF($A32="","",[1]!thsiFinD("ths_adjustment_nv_fund",I$3,$A32))</x:f>
        <x:v>#NAME?</x:v>
      </x:c>
      <x:c r="J32" s="13" t="e">
        <x:f>IF($A32="","",[1]!thsiFinD("ths_adjustment_nv_fund",J$3,$A32))</x:f>
        <x:v>#NAME?</x:v>
      </x:c>
      <x:c r="K32" s="13" t="e">
        <x:f>IF($A32="","",[1]!thsiFinD("ths_adjustment_nv_fund",K$3,$A32))</x:f>
        <x:v>#NAME?</x:v>
      </x:c>
      <x:c r="L32" s="13" t="e">
        <x:f>IF($A32="","",[1]!thsiFinD("ths_adjustment_nv_fund",L$3,$A32))</x:f>
        <x:v>#NAME?</x:v>
      </x:c>
      <x:c r="M32" s="13" t="e">
        <x:f>IF($A32="","",[1]!thsiFinD("ths_adjustment_nv_fund",M$3,$A32))</x:f>
        <x:v>#NAME?</x:v>
      </x:c>
      <x:c r="N32" s="13" t="e">
        <x:f>IF($A32="","",[1]!thsiFinD("ths_adjustment_nv_fund",N$3,$A32))</x:f>
        <x:v>#NAME?</x:v>
      </x:c>
      <x:c r="O32" s="13" t="e">
        <x:f>IF($A32="","",[1]!thsiFinD("ths_adjustment_nv_fund",O$3,$A32))</x:f>
        <x:v>#NAME?</x:v>
      </x:c>
      <x:c r="P32" s="13" t="e">
        <x:f>IF($A32="","",[1]!thsiFinD("ths_adjustment_nv_fund",P$3,$A32))</x:f>
        <x:v>#NAME?</x:v>
      </x:c>
      <x:c r="Q32" s="13" t="e">
        <x:f>IF($A32="","",[1]!thsiFinD("ths_adjustment_nv_fund",Q$3,$A32))</x:f>
        <x:v>#NAME?</x:v>
      </x:c>
      <x:c r="R32" s="13" t="e">
        <x:f>IF($A32="","",[1]!thsiFinD("ths_adjustment_nv_fund",R$3,$A32))</x:f>
        <x:v>#NAME?</x:v>
      </x:c>
      <x:c r="S32" s="13" t="e">
        <x:f>IF($A32="","",[1]!thsiFinD("ths_adjustment_nv_fund",S$3,$A32))</x:f>
        <x:v>#NAME?</x:v>
      </x:c>
      <x:c r="T32" s="13" t="e">
        <x:f>IF($A32="","",[1]!thsiFinD("ths_adjustment_nv_fund",T$3,$A32))</x:f>
        <x:v>#NAME?</x:v>
      </x:c>
      <x:c r="U32" s="13" t="e">
        <x:f>IF($A32="","",[1]!thsiFinD("ths_adjustment_nv_fund",U$3,$A32))</x:f>
        <x:v>#NAME?</x:v>
      </x:c>
      <x:c r="V32" s="13" t="e">
        <x:f>IF($A32="","",[1]!thsiFinD("ths_adjustment_nv_fund",V$3,$A32))</x:f>
        <x:v>#NAME?</x:v>
      </x:c>
      <x:c r="W32" s="13" t="e">
        <x:f>IF($A32="","",[1]!thsiFinD("ths_adjustment_nv_fund",W$3,$A32))</x:f>
        <x:v>#NAME?</x:v>
      </x:c>
      <x:c r="X32" s="13" t="e">
        <x:f>IF($A32="","",[1]!thsiFinD("ths_adjustment_nv_fund",X$3,$A32))</x:f>
        <x:v>#NAME?</x:v>
      </x:c>
      <x:c r="Y32" s="13" t="e">
        <x:f>IF($A32="","",[1]!thsiFinD("ths_adjustment_nv_fund",Y$3,$A32))</x:f>
        <x:v>#NAME?</x:v>
      </x:c>
    </x:row>
    <x:row r="33">
      <x:c r="A33" s="8">
        <x:v>46232</x:v>
      </x:c>
      <x:c r="B33" s="13" t="e">
        <x:f>IF($A33="","",[1]!thsiFinD("ths_adjustment_nv_fund",B$3,$A33))</x:f>
        <x:v>#NAME?</x:v>
      </x:c>
      <x:c r="C33" s="13" t="e">
        <x:f>IF($A33="","",[1]!thsiFinD("ths_adjustment_nv_fund",C$3,$A33))</x:f>
        <x:v>#NAME?</x:v>
      </x:c>
      <x:c r="D33" s="13" t="e">
        <x:f>IF($A33="","",[1]!thsiFinD("ths_adjustment_nv_fund",D$3,$A33))</x:f>
        <x:v>#NAME?</x:v>
      </x:c>
      <x:c r="E33" s="13" t="e">
        <x:f>IF($A33="","",[1]!thsiFinD("ths_adjustment_nv_fund",E$3,$A33))</x:f>
        <x:v>#NAME?</x:v>
      </x:c>
      <x:c r="F33" s="13" t="e">
        <x:f>IF($A33="","",[1]!thsiFinD("ths_adjustment_nv_fund",F$3,$A33))</x:f>
        <x:v>#NAME?</x:v>
      </x:c>
      <x:c r="G33" s="13" t="e">
        <x:f>IF($A33="","",[1]!thsiFinD("ths_adjustment_nv_fund",G$3,$A33))</x:f>
        <x:v>#NAME?</x:v>
      </x:c>
      <x:c r="H33" s="13" t="e">
        <x:f>IF($A33="","",[1]!thsiFinD("ths_adjustment_nv_fund",H$3,$A33))</x:f>
        <x:v>#NAME?</x:v>
      </x:c>
      <x:c r="I33" s="13" t="e">
        <x:f>IF($A33="","",[1]!thsiFinD("ths_adjustment_nv_fund",I$3,$A33))</x:f>
        <x:v>#NAME?</x:v>
      </x:c>
      <x:c r="J33" s="13" t="e">
        <x:f>IF($A33="","",[1]!thsiFinD("ths_adjustment_nv_fund",J$3,$A33))</x:f>
        <x:v>#NAME?</x:v>
      </x:c>
      <x:c r="K33" s="13" t="e">
        <x:f>IF($A33="","",[1]!thsiFinD("ths_adjustment_nv_fund",K$3,$A33))</x:f>
        <x:v>#NAME?</x:v>
      </x:c>
      <x:c r="L33" s="13" t="e">
        <x:f>IF($A33="","",[1]!thsiFinD("ths_adjustment_nv_fund",L$3,$A33))</x:f>
        <x:v>#NAME?</x:v>
      </x:c>
      <x:c r="M33" s="13" t="e">
        <x:f>IF($A33="","",[1]!thsiFinD("ths_adjustment_nv_fund",M$3,$A33))</x:f>
        <x:v>#NAME?</x:v>
      </x:c>
      <x:c r="N33" s="13" t="e">
        <x:f>IF($A33="","",[1]!thsiFinD("ths_adjustment_nv_fund",N$3,$A33))</x:f>
        <x:v>#NAME?</x:v>
      </x:c>
      <x:c r="O33" s="13" t="e">
        <x:f>IF($A33="","",[1]!thsiFinD("ths_adjustment_nv_fund",O$3,$A33))</x:f>
        <x:v>#NAME?</x:v>
      </x:c>
      <x:c r="P33" s="13" t="e">
        <x:f>IF($A33="","",[1]!thsiFinD("ths_adjustment_nv_fund",P$3,$A33))</x:f>
        <x:v>#NAME?</x:v>
      </x:c>
      <x:c r="Q33" s="13" t="e">
        <x:f>IF($A33="","",[1]!thsiFinD("ths_adjustment_nv_fund",Q$3,$A33))</x:f>
        <x:v>#NAME?</x:v>
      </x:c>
      <x:c r="R33" s="13" t="e">
        <x:f>IF($A33="","",[1]!thsiFinD("ths_adjustment_nv_fund",R$3,$A33))</x:f>
        <x:v>#NAME?</x:v>
      </x:c>
      <x:c r="S33" s="13" t="e">
        <x:f>IF($A33="","",[1]!thsiFinD("ths_adjustment_nv_fund",S$3,$A33))</x:f>
        <x:v>#NAME?</x:v>
      </x:c>
      <x:c r="T33" s="13" t="e">
        <x:f>IF($A33="","",[1]!thsiFinD("ths_adjustment_nv_fund",T$3,$A33))</x:f>
        <x:v>#NAME?</x:v>
      </x:c>
      <x:c r="U33" s="13" t="e">
        <x:f>IF($A33="","",[1]!thsiFinD("ths_adjustment_nv_fund",U$3,$A33))</x:f>
        <x:v>#NAME?</x:v>
      </x:c>
      <x:c r="V33" s="13" t="e">
        <x:f>IF($A33="","",[1]!thsiFinD("ths_adjustment_nv_fund",V$3,$A33))</x:f>
        <x:v>#NAME?</x:v>
      </x:c>
      <x:c r="W33" s="13" t="e">
        <x:f>IF($A33="","",[1]!thsiFinD("ths_adjustment_nv_fund",W$3,$A33))</x:f>
        <x:v>#NAME?</x:v>
      </x:c>
      <x:c r="X33" s="13" t="e">
        <x:f>IF($A33="","",[1]!thsiFinD("ths_adjustment_nv_fund",X$3,$A33))</x:f>
        <x:v>#NAME?</x:v>
      </x:c>
      <x:c r="Y33" s="13" t="e">
        <x:f>IF($A33="","",[1]!thsiFinD("ths_adjustment_nv_fund",Y$3,$A33))</x:f>
        <x:v>#NAME?</x:v>
      </x:c>
    </x:row>
    <x:row r="34">
      <x:c r="A34" s="8">
        <x:v>46233</x:v>
      </x:c>
      <x:c r="B34" s="13" t="e">
        <x:f>IF($A34="","",[1]!thsiFinD("ths_adjustment_nv_fund",B$3,$A34))</x:f>
        <x:v>#NAME?</x:v>
      </x:c>
      <x:c r="C34" s="13" t="e">
        <x:f>IF($A34="","",[1]!thsiFinD("ths_adjustment_nv_fund",C$3,$A34))</x:f>
        <x:v>#NAME?</x:v>
      </x:c>
      <x:c r="D34" s="13" t="e">
        <x:f>IF($A34="","",[1]!thsiFinD("ths_adjustment_nv_fund",D$3,$A34))</x:f>
        <x:v>#NAME?</x:v>
      </x:c>
      <x:c r="E34" s="13" t="e">
        <x:f>IF($A34="","",[1]!thsiFinD("ths_adjustment_nv_fund",E$3,$A34))</x:f>
        <x:v>#NAME?</x:v>
      </x:c>
      <x:c r="F34" s="13" t="e">
        <x:f>IF($A34="","",[1]!thsiFinD("ths_adjustment_nv_fund",F$3,$A34))</x:f>
        <x:v>#NAME?</x:v>
      </x:c>
      <x:c r="G34" s="13" t="e">
        <x:f>IF($A34="","",[1]!thsiFinD("ths_adjustment_nv_fund",G$3,$A34))</x:f>
        <x:v>#NAME?</x:v>
      </x:c>
      <x:c r="H34" s="13" t="e">
        <x:f>IF($A34="","",[1]!thsiFinD("ths_adjustment_nv_fund",H$3,$A34))</x:f>
        <x:v>#NAME?</x:v>
      </x:c>
      <x:c r="I34" s="13" t="e">
        <x:f>IF($A34="","",[1]!thsiFinD("ths_adjustment_nv_fund",I$3,$A34))</x:f>
        <x:v>#NAME?</x:v>
      </x:c>
      <x:c r="J34" s="13" t="e">
        <x:f>IF($A34="","",[1]!thsiFinD("ths_adjustment_nv_fund",J$3,$A34))</x:f>
        <x:v>#NAME?</x:v>
      </x:c>
      <x:c r="K34" s="13" t="e">
        <x:f>IF($A34="","",[1]!thsiFinD("ths_adjustment_nv_fund",K$3,$A34))</x:f>
        <x:v>#NAME?</x:v>
      </x:c>
      <x:c r="L34" s="13" t="e">
        <x:f>IF($A34="","",[1]!thsiFinD("ths_adjustment_nv_fund",L$3,$A34))</x:f>
        <x:v>#NAME?</x:v>
      </x:c>
      <x:c r="M34" s="13" t="e">
        <x:f>IF($A34="","",[1]!thsiFinD("ths_adjustment_nv_fund",M$3,$A34))</x:f>
        <x:v>#NAME?</x:v>
      </x:c>
      <x:c r="N34" s="13" t="e">
        <x:f>IF($A34="","",[1]!thsiFinD("ths_adjustment_nv_fund",N$3,$A34))</x:f>
        <x:v>#NAME?</x:v>
      </x:c>
      <x:c r="O34" s="13" t="e">
        <x:f>IF($A34="","",[1]!thsiFinD("ths_adjustment_nv_fund",O$3,$A34))</x:f>
        <x:v>#NAME?</x:v>
      </x:c>
      <x:c r="P34" s="13" t="e">
        <x:f>IF($A34="","",[1]!thsiFinD("ths_adjustment_nv_fund",P$3,$A34))</x:f>
        <x:v>#NAME?</x:v>
      </x:c>
      <x:c r="Q34" s="13" t="e">
        <x:f>IF($A34="","",[1]!thsiFinD("ths_adjustment_nv_fund",Q$3,$A34))</x:f>
        <x:v>#NAME?</x:v>
      </x:c>
      <x:c r="R34" s="13" t="e">
        <x:f>IF($A34="","",[1]!thsiFinD("ths_adjustment_nv_fund",R$3,$A34))</x:f>
        <x:v>#NAME?</x:v>
      </x:c>
      <x:c r="S34" s="13" t="e">
        <x:f>IF($A34="","",[1]!thsiFinD("ths_adjustment_nv_fund",S$3,$A34))</x:f>
        <x:v>#NAME?</x:v>
      </x:c>
      <x:c r="T34" s="13" t="e">
        <x:f>IF($A34="","",[1]!thsiFinD("ths_adjustment_nv_fund",T$3,$A34))</x:f>
        <x:v>#NAME?</x:v>
      </x:c>
      <x:c r="U34" s="13" t="e">
        <x:f>IF($A34="","",[1]!thsiFinD("ths_adjustment_nv_fund",U$3,$A34))</x:f>
        <x:v>#NAME?</x:v>
      </x:c>
      <x:c r="V34" s="13" t="e">
        <x:f>IF($A34="","",[1]!thsiFinD("ths_adjustment_nv_fund",V$3,$A34))</x:f>
        <x:v>#NAME?</x:v>
      </x:c>
      <x:c r="W34" s="13" t="e">
        <x:f>IF($A34="","",[1]!thsiFinD("ths_adjustment_nv_fund",W$3,$A34))</x:f>
        <x:v>#NAME?</x:v>
      </x:c>
      <x:c r="X34" s="13" t="e">
        <x:f>IF($A34="","",[1]!thsiFinD("ths_adjustment_nv_fund",X$3,$A34))</x:f>
        <x:v>#NAME?</x:v>
      </x:c>
      <x:c r="Y34" s="13" t="e">
        <x:f>IF($A34="","",[1]!thsiFinD("ths_adjustment_nv_fund",Y$3,$A34))</x:f>
        <x:v>#NAME?</x:v>
      </x:c>
    </x:row>
    <x:row r="35">
      <x:c r="A35" s="8">
        <x:v>46234</x:v>
      </x:c>
      <x:c r="B35" s="13" t="e">
        <x:f>IF($A35="","",[1]!thsiFinD("ths_adjustment_nv_fund",B$3,$A35))</x:f>
        <x:v>#NAME?</x:v>
      </x:c>
      <x:c r="C35" s="13" t="e">
        <x:f>IF($A35="","",[1]!thsiFinD("ths_adjustment_nv_fund",C$3,$A35))</x:f>
        <x:v>#NAME?</x:v>
      </x:c>
      <x:c r="D35" s="13" t="e">
        <x:f>IF($A35="","",[1]!thsiFinD("ths_adjustment_nv_fund",D$3,$A35))</x:f>
        <x:v>#NAME?</x:v>
      </x:c>
      <x:c r="E35" s="13" t="e">
        <x:f>IF($A35="","",[1]!thsiFinD("ths_adjustment_nv_fund",E$3,$A35))</x:f>
        <x:v>#NAME?</x:v>
      </x:c>
      <x:c r="F35" s="13" t="e">
        <x:f>IF($A35="","",[1]!thsiFinD("ths_adjustment_nv_fund",F$3,$A35))</x:f>
        <x:v>#NAME?</x:v>
      </x:c>
      <x:c r="G35" s="13" t="e">
        <x:f>IF($A35="","",[1]!thsiFinD("ths_adjustment_nv_fund",G$3,$A35))</x:f>
        <x:v>#NAME?</x:v>
      </x:c>
      <x:c r="H35" s="13" t="e">
        <x:f>IF($A35="","",[1]!thsiFinD("ths_adjustment_nv_fund",H$3,$A35))</x:f>
        <x:v>#NAME?</x:v>
      </x:c>
      <x:c r="I35" s="13" t="e">
        <x:f>IF($A35="","",[1]!thsiFinD("ths_adjustment_nv_fund",I$3,$A35))</x:f>
        <x:v>#NAME?</x:v>
      </x:c>
      <x:c r="J35" s="13" t="e">
        <x:f>IF($A35="","",[1]!thsiFinD("ths_adjustment_nv_fund",J$3,$A35))</x:f>
        <x:v>#NAME?</x:v>
      </x:c>
      <x:c r="K35" s="13" t="e">
        <x:f>IF($A35="","",[1]!thsiFinD("ths_adjustment_nv_fund",K$3,$A35))</x:f>
        <x:v>#NAME?</x:v>
      </x:c>
      <x:c r="L35" s="13" t="e">
        <x:f>IF($A35="","",[1]!thsiFinD("ths_adjustment_nv_fund",L$3,$A35))</x:f>
        <x:v>#NAME?</x:v>
      </x:c>
      <x:c r="M35" s="13" t="e">
        <x:f>IF($A35="","",[1]!thsiFinD("ths_adjustment_nv_fund",M$3,$A35))</x:f>
        <x:v>#NAME?</x:v>
      </x:c>
      <x:c r="N35" s="13" t="e">
        <x:f>IF($A35="","",[1]!thsiFinD("ths_adjustment_nv_fund",N$3,$A35))</x:f>
        <x:v>#NAME?</x:v>
      </x:c>
      <x:c r="O35" s="13" t="e">
        <x:f>IF($A35="","",[1]!thsiFinD("ths_adjustment_nv_fund",O$3,$A35))</x:f>
        <x:v>#NAME?</x:v>
      </x:c>
      <x:c r="P35" s="13" t="e">
        <x:f>IF($A35="","",[1]!thsiFinD("ths_adjustment_nv_fund",P$3,$A35))</x:f>
        <x:v>#NAME?</x:v>
      </x:c>
      <x:c r="Q35" s="13" t="e">
        <x:f>IF($A35="","",[1]!thsiFinD("ths_adjustment_nv_fund",Q$3,$A35))</x:f>
        <x:v>#NAME?</x:v>
      </x:c>
      <x:c r="R35" s="13" t="e">
        <x:f>IF($A35="","",[1]!thsiFinD("ths_adjustment_nv_fund",R$3,$A35))</x:f>
        <x:v>#NAME?</x:v>
      </x:c>
      <x:c r="S35" s="13" t="e">
        <x:f>IF($A35="","",[1]!thsiFinD("ths_adjustment_nv_fund",S$3,$A35))</x:f>
        <x:v>#NAME?</x:v>
      </x:c>
      <x:c r="T35" s="13" t="e">
        <x:f>IF($A35="","",[1]!thsiFinD("ths_adjustment_nv_fund",T$3,$A35))</x:f>
        <x:v>#NAME?</x:v>
      </x:c>
      <x:c r="U35" s="13" t="e">
        <x:f>IF($A35="","",[1]!thsiFinD("ths_adjustment_nv_fund",U$3,$A35))</x:f>
        <x:v>#NAME?</x:v>
      </x:c>
      <x:c r="V35" s="13" t="e">
        <x:f>IF($A35="","",[1]!thsiFinD("ths_adjustment_nv_fund",V$3,$A35))</x:f>
        <x:v>#NAME?</x:v>
      </x:c>
      <x:c r="W35" s="13" t="e">
        <x:f>IF($A35="","",[1]!thsiFinD("ths_adjustment_nv_fund",W$3,$A35))</x:f>
        <x:v>#NAME?</x:v>
      </x:c>
      <x:c r="X35" s="13" t="e">
        <x:f>IF($A35="","",[1]!thsiFinD("ths_adjustment_nv_fund",X$3,$A35))</x:f>
        <x:v>#NAME?</x:v>
      </x:c>
      <x:c r="Y35" s="13" t="e">
        <x:f>IF($A35="","",[1]!thsiFinD("ths_adjustment_nv_fund",Y$3,$A35))</x:f>
        <x:v>#NAME?</x:v>
      </x:c>
    </x:row>
    <x:row r="36">
      <x:c r="A36" s="8">
        <x:v>46237</x:v>
      </x:c>
      <x:c r="B36" s="13" t="e">
        <x:f>IF($A36="","",[1]!thsiFinD("ths_adjustment_nv_fund",B$3,$A36))</x:f>
        <x:v>#NAME?</x:v>
      </x:c>
      <x:c r="C36" s="13" t="e">
        <x:f>IF($A36="","",[1]!thsiFinD("ths_adjustment_nv_fund",C$3,$A36))</x:f>
        <x:v>#NAME?</x:v>
      </x:c>
      <x:c r="D36" s="13" t="e">
        <x:f>IF($A36="","",[1]!thsiFinD("ths_adjustment_nv_fund",D$3,$A36))</x:f>
        <x:v>#NAME?</x:v>
      </x:c>
      <x:c r="E36" s="13" t="e">
        <x:f>IF($A36="","",[1]!thsiFinD("ths_adjustment_nv_fund",E$3,$A36))</x:f>
        <x:v>#NAME?</x:v>
      </x:c>
      <x:c r="F36" s="13" t="e">
        <x:f>IF($A36="","",[1]!thsiFinD("ths_adjustment_nv_fund",F$3,$A36))</x:f>
        <x:v>#NAME?</x:v>
      </x:c>
      <x:c r="G36" s="13" t="e">
        <x:f>IF($A36="","",[1]!thsiFinD("ths_adjustment_nv_fund",G$3,$A36))</x:f>
        <x:v>#NAME?</x:v>
      </x:c>
      <x:c r="H36" s="13" t="e">
        <x:f>IF($A36="","",[1]!thsiFinD("ths_adjustment_nv_fund",H$3,$A36))</x:f>
        <x:v>#NAME?</x:v>
      </x:c>
      <x:c r="I36" s="13" t="e">
        <x:f>IF($A36="","",[1]!thsiFinD("ths_adjustment_nv_fund",I$3,$A36))</x:f>
        <x:v>#NAME?</x:v>
      </x:c>
      <x:c r="J36" s="13" t="e">
        <x:f>IF($A36="","",[1]!thsiFinD("ths_adjustment_nv_fund",J$3,$A36))</x:f>
        <x:v>#NAME?</x:v>
      </x:c>
      <x:c r="K36" s="13" t="e">
        <x:f>IF($A36="","",[1]!thsiFinD("ths_adjustment_nv_fund",K$3,$A36))</x:f>
        <x:v>#NAME?</x:v>
      </x:c>
      <x:c r="L36" s="13" t="e">
        <x:f>IF($A36="","",[1]!thsiFinD("ths_adjustment_nv_fund",L$3,$A36))</x:f>
        <x:v>#NAME?</x:v>
      </x:c>
      <x:c r="M36" s="13" t="e">
        <x:f>IF($A36="","",[1]!thsiFinD("ths_adjustment_nv_fund",M$3,$A36))</x:f>
        <x:v>#NAME?</x:v>
      </x:c>
      <x:c r="N36" s="13" t="e">
        <x:f>IF($A36="","",[1]!thsiFinD("ths_adjustment_nv_fund",N$3,$A36))</x:f>
        <x:v>#NAME?</x:v>
      </x:c>
      <x:c r="O36" s="13" t="e">
        <x:f>IF($A36="","",[1]!thsiFinD("ths_adjustment_nv_fund",O$3,$A36))</x:f>
        <x:v>#NAME?</x:v>
      </x:c>
      <x:c r="P36" s="13" t="e">
        <x:f>IF($A36="","",[1]!thsiFinD("ths_adjustment_nv_fund",P$3,$A36))</x:f>
        <x:v>#NAME?</x:v>
      </x:c>
      <x:c r="Q36" s="13" t="e">
        <x:f>IF($A36="","",[1]!thsiFinD("ths_adjustment_nv_fund",Q$3,$A36))</x:f>
        <x:v>#NAME?</x:v>
      </x:c>
      <x:c r="R36" s="13" t="e">
        <x:f>IF($A36="","",[1]!thsiFinD("ths_adjustment_nv_fund",R$3,$A36))</x:f>
        <x:v>#NAME?</x:v>
      </x:c>
      <x:c r="S36" s="13" t="e">
        <x:f>IF($A36="","",[1]!thsiFinD("ths_adjustment_nv_fund",S$3,$A36))</x:f>
        <x:v>#NAME?</x:v>
      </x:c>
      <x:c r="T36" s="13" t="e">
        <x:f>IF($A36="","",[1]!thsiFinD("ths_adjustment_nv_fund",T$3,$A36))</x:f>
        <x:v>#NAME?</x:v>
      </x:c>
      <x:c r="U36" s="13" t="e">
        <x:f>IF($A36="","",[1]!thsiFinD("ths_adjustment_nv_fund",U$3,$A36))</x:f>
        <x:v>#NAME?</x:v>
      </x:c>
      <x:c r="V36" s="13" t="e">
        <x:f>IF($A36="","",[1]!thsiFinD("ths_adjustment_nv_fund",V$3,$A36))</x:f>
        <x:v>#NAME?</x:v>
      </x:c>
      <x:c r="W36" s="13" t="e">
        <x:f>IF($A36="","",[1]!thsiFinD("ths_adjustment_nv_fund",W$3,$A36))</x:f>
        <x:v>#NAME?</x:v>
      </x:c>
      <x:c r="X36" s="13" t="e">
        <x:f>IF($A36="","",[1]!thsiFinD("ths_adjustment_nv_fund",X$3,$A36))</x:f>
        <x:v>#NAME?</x:v>
      </x:c>
      <x:c r="Y36" s="13" t="e">
        <x:f>IF($A36="","",[1]!thsiFinD("ths_adjustment_nv_fund",Y$3,$A36))</x:f>
        <x:v>#NAME?</x:v>
      </x:c>
    </x:row>
    <x:row r="37">
      <x:c r="A37" s="8">
        <x:v>46238</x:v>
      </x:c>
      <x:c r="B37" s="13" t="e">
        <x:f>IF($A37="","",[1]!thsiFinD("ths_adjustment_nv_fund",B$3,$A37))</x:f>
        <x:v>#NAME?</x:v>
      </x:c>
      <x:c r="C37" s="13" t="e">
        <x:f>IF($A37="","",[1]!thsiFinD("ths_adjustment_nv_fund",C$3,$A37))</x:f>
        <x:v>#NAME?</x:v>
      </x:c>
      <x:c r="D37" s="13" t="e">
        <x:f>IF($A37="","",[1]!thsiFinD("ths_adjustment_nv_fund",D$3,$A37))</x:f>
        <x:v>#NAME?</x:v>
      </x:c>
      <x:c r="E37" s="13" t="e">
        <x:f>IF($A37="","",[1]!thsiFinD("ths_adjustment_nv_fund",E$3,$A37))</x:f>
        <x:v>#NAME?</x:v>
      </x:c>
      <x:c r="F37" s="13" t="e">
        <x:f>IF($A37="","",[1]!thsiFinD("ths_adjustment_nv_fund",F$3,$A37))</x:f>
        <x:v>#NAME?</x:v>
      </x:c>
      <x:c r="G37" s="13" t="e">
        <x:f>IF($A37="","",[1]!thsiFinD("ths_adjustment_nv_fund",G$3,$A37))</x:f>
        <x:v>#NAME?</x:v>
      </x:c>
      <x:c r="H37" s="13" t="e">
        <x:f>IF($A37="","",[1]!thsiFinD("ths_adjustment_nv_fund",H$3,$A37))</x:f>
        <x:v>#NAME?</x:v>
      </x:c>
      <x:c r="I37" s="13" t="e">
        <x:f>IF($A37="","",[1]!thsiFinD("ths_adjustment_nv_fund",I$3,$A37))</x:f>
        <x:v>#NAME?</x:v>
      </x:c>
      <x:c r="J37" s="13" t="e">
        <x:f>IF($A37="","",[1]!thsiFinD("ths_adjustment_nv_fund",J$3,$A37))</x:f>
        <x:v>#NAME?</x:v>
      </x:c>
      <x:c r="K37" s="13" t="e">
        <x:f>IF($A37="","",[1]!thsiFinD("ths_adjustment_nv_fund",K$3,$A37))</x:f>
        <x:v>#NAME?</x:v>
      </x:c>
      <x:c r="L37" s="13" t="e">
        <x:f>IF($A37="","",[1]!thsiFinD("ths_adjustment_nv_fund",L$3,$A37))</x:f>
        <x:v>#NAME?</x:v>
      </x:c>
      <x:c r="M37" s="13" t="e">
        <x:f>IF($A37="","",[1]!thsiFinD("ths_adjustment_nv_fund",M$3,$A37))</x:f>
        <x:v>#NAME?</x:v>
      </x:c>
      <x:c r="N37" s="13" t="e">
        <x:f>IF($A37="","",[1]!thsiFinD("ths_adjustment_nv_fund",N$3,$A37))</x:f>
        <x:v>#NAME?</x:v>
      </x:c>
      <x:c r="O37" s="13" t="e">
        <x:f>IF($A37="","",[1]!thsiFinD("ths_adjustment_nv_fund",O$3,$A37))</x:f>
        <x:v>#NAME?</x:v>
      </x:c>
      <x:c r="P37" s="13" t="e">
        <x:f>IF($A37="","",[1]!thsiFinD("ths_adjustment_nv_fund",P$3,$A37))</x:f>
        <x:v>#NAME?</x:v>
      </x:c>
      <x:c r="Q37" s="13" t="e">
        <x:f>IF($A37="","",[1]!thsiFinD("ths_adjustment_nv_fund",Q$3,$A37))</x:f>
        <x:v>#NAME?</x:v>
      </x:c>
      <x:c r="R37" s="13" t="e">
        <x:f>IF($A37="","",[1]!thsiFinD("ths_adjustment_nv_fund",R$3,$A37))</x:f>
        <x:v>#NAME?</x:v>
      </x:c>
      <x:c r="S37" s="13" t="e">
        <x:f>IF($A37="","",[1]!thsiFinD("ths_adjustment_nv_fund",S$3,$A37))</x:f>
        <x:v>#NAME?</x:v>
      </x:c>
      <x:c r="T37" s="13" t="e">
        <x:f>IF($A37="","",[1]!thsiFinD("ths_adjustment_nv_fund",T$3,$A37))</x:f>
        <x:v>#NAME?</x:v>
      </x:c>
      <x:c r="U37" s="13" t="e">
        <x:f>IF($A37="","",[1]!thsiFinD("ths_adjustment_nv_fund",U$3,$A37))</x:f>
        <x:v>#NAME?</x:v>
      </x:c>
      <x:c r="V37" s="13" t="e">
        <x:f>IF($A37="","",[1]!thsiFinD("ths_adjustment_nv_fund",V$3,$A37))</x:f>
        <x:v>#NAME?</x:v>
      </x:c>
      <x:c r="W37" s="13" t="e">
        <x:f>IF($A37="","",[1]!thsiFinD("ths_adjustment_nv_fund",W$3,$A37))</x:f>
        <x:v>#NAME?</x:v>
      </x:c>
      <x:c r="X37" s="13" t="e">
        <x:f>IF($A37="","",[1]!thsiFinD("ths_adjustment_nv_fund",X$3,$A37))</x:f>
        <x:v>#NAME?</x:v>
      </x:c>
      <x:c r="Y37" s="13" t="e">
        <x:f>IF($A37="","",[1]!thsiFinD("ths_adjustment_nv_fund",Y$3,$A37))</x:f>
        <x:v>#NAME?</x:v>
      </x:c>
    </x:row>
    <x:row r="38">
      <x:c r="A38" s="8">
        <x:v>46239</x:v>
      </x:c>
      <x:c r="B38" s="13" t="e">
        <x:f>IF($A38="","",[1]!thsiFinD("ths_adjustment_nv_fund",B$3,$A38))</x:f>
        <x:v>#NAME?</x:v>
      </x:c>
      <x:c r="C38" s="13" t="e">
        <x:f>IF($A38="","",[1]!thsiFinD("ths_adjustment_nv_fund",C$3,$A38))</x:f>
        <x:v>#NAME?</x:v>
      </x:c>
      <x:c r="D38" s="13" t="e">
        <x:f>IF($A38="","",[1]!thsiFinD("ths_adjustment_nv_fund",D$3,$A38))</x:f>
        <x:v>#NAME?</x:v>
      </x:c>
      <x:c r="E38" s="13" t="e">
        <x:f>IF($A38="","",[1]!thsiFinD("ths_adjustment_nv_fund",E$3,$A38))</x:f>
        <x:v>#NAME?</x:v>
      </x:c>
      <x:c r="F38" s="13" t="e">
        <x:f>IF($A38="","",[1]!thsiFinD("ths_adjustment_nv_fund",F$3,$A38))</x:f>
        <x:v>#NAME?</x:v>
      </x:c>
      <x:c r="G38" s="13" t="e">
        <x:f>IF($A38="","",[1]!thsiFinD("ths_adjustment_nv_fund",G$3,$A38))</x:f>
        <x:v>#NAME?</x:v>
      </x:c>
      <x:c r="H38" s="13" t="e">
        <x:f>IF($A38="","",[1]!thsiFinD("ths_adjustment_nv_fund",H$3,$A38))</x:f>
        <x:v>#NAME?</x:v>
      </x:c>
      <x:c r="I38" s="13" t="e">
        <x:f>IF($A38="","",[1]!thsiFinD("ths_adjustment_nv_fund",I$3,$A38))</x:f>
        <x:v>#NAME?</x:v>
      </x:c>
      <x:c r="J38" s="13" t="e">
        <x:f>IF($A38="","",[1]!thsiFinD("ths_adjustment_nv_fund",J$3,$A38))</x:f>
        <x:v>#NAME?</x:v>
      </x:c>
      <x:c r="K38" s="13" t="e">
        <x:f>IF($A38="","",[1]!thsiFinD("ths_adjustment_nv_fund",K$3,$A38))</x:f>
        <x:v>#NAME?</x:v>
      </x:c>
      <x:c r="L38" s="13" t="e">
        <x:f>IF($A38="","",[1]!thsiFinD("ths_adjustment_nv_fund",L$3,$A38))</x:f>
        <x:v>#NAME?</x:v>
      </x:c>
      <x:c r="M38" s="13" t="e">
        <x:f>IF($A38="","",[1]!thsiFinD("ths_adjustment_nv_fund",M$3,$A38))</x:f>
        <x:v>#NAME?</x:v>
      </x:c>
      <x:c r="N38" s="13" t="e">
        <x:f>IF($A38="","",[1]!thsiFinD("ths_adjustment_nv_fund",N$3,$A38))</x:f>
        <x:v>#NAME?</x:v>
      </x:c>
      <x:c r="O38" s="13" t="e">
        <x:f>IF($A38="","",[1]!thsiFinD("ths_adjustment_nv_fund",O$3,$A38))</x:f>
        <x:v>#NAME?</x:v>
      </x:c>
      <x:c r="P38" s="13" t="e">
        <x:f>IF($A38="","",[1]!thsiFinD("ths_adjustment_nv_fund",P$3,$A38))</x:f>
        <x:v>#NAME?</x:v>
      </x:c>
      <x:c r="Q38" s="13" t="e">
        <x:f>IF($A38="","",[1]!thsiFinD("ths_adjustment_nv_fund",Q$3,$A38))</x:f>
        <x:v>#NAME?</x:v>
      </x:c>
      <x:c r="R38" s="13" t="e">
        <x:f>IF($A38="","",[1]!thsiFinD("ths_adjustment_nv_fund",R$3,$A38))</x:f>
        <x:v>#NAME?</x:v>
      </x:c>
      <x:c r="S38" s="13" t="e">
        <x:f>IF($A38="","",[1]!thsiFinD("ths_adjustment_nv_fund",S$3,$A38))</x:f>
        <x:v>#NAME?</x:v>
      </x:c>
      <x:c r="T38" s="13" t="e">
        <x:f>IF($A38="","",[1]!thsiFinD("ths_adjustment_nv_fund",T$3,$A38))</x:f>
        <x:v>#NAME?</x:v>
      </x:c>
      <x:c r="U38" s="13" t="e">
        <x:f>IF($A38="","",[1]!thsiFinD("ths_adjustment_nv_fund",U$3,$A38))</x:f>
        <x:v>#NAME?</x:v>
      </x:c>
      <x:c r="V38" s="13" t="e">
        <x:f>IF($A38="","",[1]!thsiFinD("ths_adjustment_nv_fund",V$3,$A38))</x:f>
        <x:v>#NAME?</x:v>
      </x:c>
      <x:c r="W38" s="13" t="e">
        <x:f>IF($A38="","",[1]!thsiFinD("ths_adjustment_nv_fund",W$3,$A38))</x:f>
        <x:v>#NAME?</x:v>
      </x:c>
      <x:c r="X38" s="13" t="e">
        <x:f>IF($A38="","",[1]!thsiFinD("ths_adjustment_nv_fund",X$3,$A38))</x:f>
        <x:v>#NAME?</x:v>
      </x:c>
      <x:c r="Y38" s="13" t="e">
        <x:f>IF($A38="","",[1]!thsiFinD("ths_adjustment_nv_fund",Y$3,$A38))</x:f>
        <x:v>#NAME?</x:v>
      </x:c>
    </x:row>
    <x:row r="39">
      <x:c r="A39" s="8">
        <x:v>46240</x:v>
      </x:c>
      <x:c r="B39" s="13" t="e">
        <x:f>IF($A39="","",[1]!thsiFinD("ths_adjustment_nv_fund",B$3,$A39))</x:f>
        <x:v>#NAME?</x:v>
      </x:c>
      <x:c r="C39" s="13" t="e">
        <x:f>IF($A39="","",[1]!thsiFinD("ths_adjustment_nv_fund",C$3,$A39))</x:f>
        <x:v>#NAME?</x:v>
      </x:c>
      <x:c r="D39" s="13" t="e">
        <x:f>IF($A39="","",[1]!thsiFinD("ths_adjustment_nv_fund",D$3,$A39))</x:f>
        <x:v>#NAME?</x:v>
      </x:c>
      <x:c r="E39" s="13" t="e">
        <x:f>IF($A39="","",[1]!thsiFinD("ths_adjustment_nv_fund",E$3,$A39))</x:f>
        <x:v>#NAME?</x:v>
      </x:c>
      <x:c r="F39" s="13" t="e">
        <x:f>IF($A39="","",[1]!thsiFinD("ths_adjustment_nv_fund",F$3,$A39))</x:f>
        <x:v>#NAME?</x:v>
      </x:c>
      <x:c r="G39" s="13" t="e">
        <x:f>IF($A39="","",[1]!thsiFinD("ths_adjustment_nv_fund",G$3,$A39))</x:f>
        <x:v>#NAME?</x:v>
      </x:c>
      <x:c r="H39" s="13" t="e">
        <x:f>IF($A39="","",[1]!thsiFinD("ths_adjustment_nv_fund",H$3,$A39))</x:f>
        <x:v>#NAME?</x:v>
      </x:c>
      <x:c r="I39" s="13" t="e">
        <x:f>IF($A39="","",[1]!thsiFinD("ths_adjustment_nv_fund",I$3,$A39))</x:f>
        <x:v>#NAME?</x:v>
      </x:c>
      <x:c r="J39" s="13" t="e">
        <x:f>IF($A39="","",[1]!thsiFinD("ths_adjustment_nv_fund",J$3,$A39))</x:f>
        <x:v>#NAME?</x:v>
      </x:c>
      <x:c r="K39" s="13" t="e">
        <x:f>IF($A39="","",[1]!thsiFinD("ths_adjustment_nv_fund",K$3,$A39))</x:f>
        <x:v>#NAME?</x:v>
      </x:c>
      <x:c r="L39" s="13" t="e">
        <x:f>IF($A39="","",[1]!thsiFinD("ths_adjustment_nv_fund",L$3,$A39))</x:f>
        <x:v>#NAME?</x:v>
      </x:c>
      <x:c r="M39" s="13" t="e">
        <x:f>IF($A39="","",[1]!thsiFinD("ths_adjustment_nv_fund",M$3,$A39))</x:f>
        <x:v>#NAME?</x:v>
      </x:c>
      <x:c r="N39" s="13" t="e">
        <x:f>IF($A39="","",[1]!thsiFinD("ths_adjustment_nv_fund",N$3,$A39))</x:f>
        <x:v>#NAME?</x:v>
      </x:c>
      <x:c r="O39" s="13" t="e">
        <x:f>IF($A39="","",[1]!thsiFinD("ths_adjustment_nv_fund",O$3,$A39))</x:f>
        <x:v>#NAME?</x:v>
      </x:c>
      <x:c r="P39" s="13" t="e">
        <x:f>IF($A39="","",[1]!thsiFinD("ths_adjustment_nv_fund",P$3,$A39))</x:f>
        <x:v>#NAME?</x:v>
      </x:c>
      <x:c r="Q39" s="13" t="e">
        <x:f>IF($A39="","",[1]!thsiFinD("ths_adjustment_nv_fund",Q$3,$A39))</x:f>
        <x:v>#NAME?</x:v>
      </x:c>
      <x:c r="R39" s="13" t="e">
        <x:f>IF($A39="","",[1]!thsiFinD("ths_adjustment_nv_fund",R$3,$A39))</x:f>
        <x:v>#NAME?</x:v>
      </x:c>
      <x:c r="S39" s="13" t="e">
        <x:f>IF($A39="","",[1]!thsiFinD("ths_adjustment_nv_fund",S$3,$A39))</x:f>
        <x:v>#NAME?</x:v>
      </x:c>
      <x:c r="T39" s="13" t="e">
        <x:f>IF($A39="","",[1]!thsiFinD("ths_adjustment_nv_fund",T$3,$A39))</x:f>
        <x:v>#NAME?</x:v>
      </x:c>
      <x:c r="U39" s="13" t="e">
        <x:f>IF($A39="","",[1]!thsiFinD("ths_adjustment_nv_fund",U$3,$A39))</x:f>
        <x:v>#NAME?</x:v>
      </x:c>
      <x:c r="V39" s="13" t="e">
        <x:f>IF($A39="","",[1]!thsiFinD("ths_adjustment_nv_fund",V$3,$A39))</x:f>
        <x:v>#NAME?</x:v>
      </x:c>
      <x:c r="W39" s="13" t="e">
        <x:f>IF($A39="","",[1]!thsiFinD("ths_adjustment_nv_fund",W$3,$A39))</x:f>
        <x:v>#NAME?</x:v>
      </x:c>
      <x:c r="X39" s="13" t="e">
        <x:f>IF($A39="","",[1]!thsiFinD("ths_adjustment_nv_fund",X$3,$A39))</x:f>
        <x:v>#NAME?</x:v>
      </x:c>
      <x:c r="Y39" s="13" t="e">
        <x:f>IF($A39="","",[1]!thsiFinD("ths_adjustment_nv_fund",Y$3,$A39))</x:f>
        <x:v>#NAME?</x:v>
      </x:c>
    </x:row>
    <x:row r="40">
      <x:c r="A40" s="8">
        <x:v>46241</x:v>
      </x:c>
      <x:c r="B40" s="13" t="e">
        <x:f>IF($A40="","",[1]!thsiFinD("ths_adjustment_nv_fund",B$3,$A40))</x:f>
        <x:v>#NAME?</x:v>
      </x:c>
      <x:c r="C40" s="13" t="e">
        <x:f>IF($A40="","",[1]!thsiFinD("ths_adjustment_nv_fund",C$3,$A40))</x:f>
        <x:v>#NAME?</x:v>
      </x:c>
      <x:c r="D40" s="13" t="e">
        <x:f>IF($A40="","",[1]!thsiFinD("ths_adjustment_nv_fund",D$3,$A40))</x:f>
        <x:v>#NAME?</x:v>
      </x:c>
      <x:c r="E40" s="13" t="e">
        <x:f>IF($A40="","",[1]!thsiFinD("ths_adjustment_nv_fund",E$3,$A40))</x:f>
        <x:v>#NAME?</x:v>
      </x:c>
      <x:c r="F40" s="13" t="e">
        <x:f>IF($A40="","",[1]!thsiFinD("ths_adjustment_nv_fund",F$3,$A40))</x:f>
        <x:v>#NAME?</x:v>
      </x:c>
      <x:c r="G40" s="13" t="e">
        <x:f>IF($A40="","",[1]!thsiFinD("ths_adjustment_nv_fund",G$3,$A40))</x:f>
        <x:v>#NAME?</x:v>
      </x:c>
      <x:c r="H40" s="13" t="e">
        <x:f>IF($A40="","",[1]!thsiFinD("ths_adjustment_nv_fund",H$3,$A40))</x:f>
        <x:v>#NAME?</x:v>
      </x:c>
      <x:c r="I40" s="13" t="e">
        <x:f>IF($A40="","",[1]!thsiFinD("ths_adjustment_nv_fund",I$3,$A40))</x:f>
        <x:v>#NAME?</x:v>
      </x:c>
      <x:c r="J40" s="13" t="e">
        <x:f>IF($A40="","",[1]!thsiFinD("ths_adjustment_nv_fund",J$3,$A40))</x:f>
        <x:v>#NAME?</x:v>
      </x:c>
      <x:c r="K40" s="13" t="e">
        <x:f>IF($A40="","",[1]!thsiFinD("ths_adjustment_nv_fund",K$3,$A40))</x:f>
        <x:v>#NAME?</x:v>
      </x:c>
      <x:c r="L40" s="13" t="e">
        <x:f>IF($A40="","",[1]!thsiFinD("ths_adjustment_nv_fund",L$3,$A40))</x:f>
        <x:v>#NAME?</x:v>
      </x:c>
      <x:c r="M40" s="13" t="e">
        <x:f>IF($A40="","",[1]!thsiFinD("ths_adjustment_nv_fund",M$3,$A40))</x:f>
        <x:v>#NAME?</x:v>
      </x:c>
      <x:c r="N40" s="13" t="e">
        <x:f>IF($A40="","",[1]!thsiFinD("ths_adjustment_nv_fund",N$3,$A40))</x:f>
        <x:v>#NAME?</x:v>
      </x:c>
      <x:c r="O40" s="13" t="e">
        <x:f>IF($A40="","",[1]!thsiFinD("ths_adjustment_nv_fund",O$3,$A40))</x:f>
        <x:v>#NAME?</x:v>
      </x:c>
      <x:c r="P40" s="13" t="e">
        <x:f>IF($A40="","",[1]!thsiFinD("ths_adjustment_nv_fund",P$3,$A40))</x:f>
        <x:v>#NAME?</x:v>
      </x:c>
      <x:c r="Q40" s="13" t="e">
        <x:f>IF($A40="","",[1]!thsiFinD("ths_adjustment_nv_fund",Q$3,$A40))</x:f>
        <x:v>#NAME?</x:v>
      </x:c>
      <x:c r="R40" s="13" t="e">
        <x:f>IF($A40="","",[1]!thsiFinD("ths_adjustment_nv_fund",R$3,$A40))</x:f>
        <x:v>#NAME?</x:v>
      </x:c>
      <x:c r="S40" s="13" t="e">
        <x:f>IF($A40="","",[1]!thsiFinD("ths_adjustment_nv_fund",S$3,$A40))</x:f>
        <x:v>#NAME?</x:v>
      </x:c>
      <x:c r="T40" s="13" t="e">
        <x:f>IF($A40="","",[1]!thsiFinD("ths_adjustment_nv_fund",T$3,$A40))</x:f>
        <x:v>#NAME?</x:v>
      </x:c>
      <x:c r="U40" s="13" t="e">
        <x:f>IF($A40="","",[1]!thsiFinD("ths_adjustment_nv_fund",U$3,$A40))</x:f>
        <x:v>#NAME?</x:v>
      </x:c>
      <x:c r="V40" s="13" t="e">
        <x:f>IF($A40="","",[1]!thsiFinD("ths_adjustment_nv_fund",V$3,$A40))</x:f>
        <x:v>#NAME?</x:v>
      </x:c>
      <x:c r="W40" s="13" t="e">
        <x:f>IF($A40="","",[1]!thsiFinD("ths_adjustment_nv_fund",W$3,$A40))</x:f>
        <x:v>#NAME?</x:v>
      </x:c>
      <x:c r="X40" s="13" t="e">
        <x:f>IF($A40="","",[1]!thsiFinD("ths_adjustment_nv_fund",X$3,$A40))</x:f>
        <x:v>#NAME?</x:v>
      </x:c>
      <x:c r="Y40" s="13" t="e">
        <x:f>IF($A40="","",[1]!thsiFinD("ths_adjustment_nv_fund",Y$3,$A40))</x:f>
        <x:v>#NAME?</x:v>
      </x:c>
    </x:row>
    <x:row r="41">
      <x:c r="A41" s="8">
        <x:v>46244</x:v>
      </x:c>
      <x:c r="B41" s="13" t="e">
        <x:f>IF($A41="","",[1]!thsiFinD("ths_adjustment_nv_fund",B$3,$A41))</x:f>
        <x:v>#NAME?</x:v>
      </x:c>
      <x:c r="C41" s="13" t="e">
        <x:f>IF($A41="","",[1]!thsiFinD("ths_adjustment_nv_fund",C$3,$A41))</x:f>
        <x:v>#NAME?</x:v>
      </x:c>
      <x:c r="D41" s="13" t="e">
        <x:f>IF($A41="","",[1]!thsiFinD("ths_adjustment_nv_fund",D$3,$A41))</x:f>
        <x:v>#NAME?</x:v>
      </x:c>
      <x:c r="E41" s="13" t="e">
        <x:f>IF($A41="","",[1]!thsiFinD("ths_adjustment_nv_fund",E$3,$A41))</x:f>
        <x:v>#NAME?</x:v>
      </x:c>
      <x:c r="F41" s="13" t="e">
        <x:f>IF($A41="","",[1]!thsiFinD("ths_adjustment_nv_fund",F$3,$A41))</x:f>
        <x:v>#NAME?</x:v>
      </x:c>
      <x:c r="G41" s="13" t="e">
        <x:f>IF($A41="","",[1]!thsiFinD("ths_adjustment_nv_fund",G$3,$A41))</x:f>
        <x:v>#NAME?</x:v>
      </x:c>
      <x:c r="H41" s="13" t="e">
        <x:f>IF($A41="","",[1]!thsiFinD("ths_adjustment_nv_fund",H$3,$A41))</x:f>
        <x:v>#NAME?</x:v>
      </x:c>
      <x:c r="I41" s="13" t="e">
        <x:f>IF($A41="","",[1]!thsiFinD("ths_adjustment_nv_fund",I$3,$A41))</x:f>
        <x:v>#NAME?</x:v>
      </x:c>
      <x:c r="J41" s="13" t="e">
        <x:f>IF($A41="","",[1]!thsiFinD("ths_adjustment_nv_fund",J$3,$A41))</x:f>
        <x:v>#NAME?</x:v>
      </x:c>
      <x:c r="K41" s="13" t="e">
        <x:f>IF($A41="","",[1]!thsiFinD("ths_adjustment_nv_fund",K$3,$A41))</x:f>
        <x:v>#NAME?</x:v>
      </x:c>
      <x:c r="L41" s="13" t="e">
        <x:f>IF($A41="","",[1]!thsiFinD("ths_adjustment_nv_fund",L$3,$A41))</x:f>
        <x:v>#NAME?</x:v>
      </x:c>
      <x:c r="M41" s="13" t="e">
        <x:f>IF($A41="","",[1]!thsiFinD("ths_adjustment_nv_fund",M$3,$A41))</x:f>
        <x:v>#NAME?</x:v>
      </x:c>
      <x:c r="N41" s="13" t="e">
        <x:f>IF($A41="","",[1]!thsiFinD("ths_adjustment_nv_fund",N$3,$A41))</x:f>
        <x:v>#NAME?</x:v>
      </x:c>
      <x:c r="O41" s="13" t="e">
        <x:f>IF($A41="","",[1]!thsiFinD("ths_adjustment_nv_fund",O$3,$A41))</x:f>
        <x:v>#NAME?</x:v>
      </x:c>
      <x:c r="P41" s="13" t="e">
        <x:f>IF($A41="","",[1]!thsiFinD("ths_adjustment_nv_fund",P$3,$A41))</x:f>
        <x:v>#NAME?</x:v>
      </x:c>
      <x:c r="Q41" s="13" t="e">
        <x:f>IF($A41="","",[1]!thsiFinD("ths_adjustment_nv_fund",Q$3,$A41))</x:f>
        <x:v>#NAME?</x:v>
      </x:c>
      <x:c r="R41" s="13" t="e">
        <x:f>IF($A41="","",[1]!thsiFinD("ths_adjustment_nv_fund",R$3,$A41))</x:f>
        <x:v>#NAME?</x:v>
      </x:c>
      <x:c r="S41" s="13" t="e">
        <x:f>IF($A41="","",[1]!thsiFinD("ths_adjustment_nv_fund",S$3,$A41))</x:f>
        <x:v>#NAME?</x:v>
      </x:c>
      <x:c r="T41" s="13" t="e">
        <x:f>IF($A41="","",[1]!thsiFinD("ths_adjustment_nv_fund",T$3,$A41))</x:f>
        <x:v>#NAME?</x:v>
      </x:c>
      <x:c r="U41" s="13" t="e">
        <x:f>IF($A41="","",[1]!thsiFinD("ths_adjustment_nv_fund",U$3,$A41))</x:f>
        <x:v>#NAME?</x:v>
      </x:c>
      <x:c r="V41" s="13" t="e">
        <x:f>IF($A41="","",[1]!thsiFinD("ths_adjustment_nv_fund",V$3,$A41))</x:f>
        <x:v>#NAME?</x:v>
      </x:c>
      <x:c r="W41" s="13" t="e">
        <x:f>IF($A41="","",[1]!thsiFinD("ths_adjustment_nv_fund",W$3,$A41))</x:f>
        <x:v>#NAME?</x:v>
      </x:c>
      <x:c r="X41" s="13" t="e">
        <x:f>IF($A41="","",[1]!thsiFinD("ths_adjustment_nv_fund",X$3,$A41))</x:f>
        <x:v>#NAME?</x:v>
      </x:c>
      <x:c r="Y41" s="13" t="e">
        <x:f>IF($A41="","",[1]!thsiFinD("ths_adjustment_nv_fund",Y$3,$A41))</x:f>
        <x:v>#NAME?</x:v>
      </x:c>
    </x:row>
    <x:row r="42">
      <x:c r="A42" s="8"/>
      <x:c r="B42" s="13" t="e">
        <x:f>IF($A42="","",[1]!thsiFinD("ths_adjustment_nv_fund",B$3,$A42))</x:f>
        <x:v>#NAME?</x:v>
      </x:c>
      <x:c r="C42" s="13" t="e">
        <x:f>IF($A42="","",[1]!thsiFinD("ths_adjustment_nv_fund",C$3,$A42))</x:f>
        <x:v>#NAME?</x:v>
      </x:c>
      <x:c r="D42" s="13" t="e">
        <x:f>IF($A42="","",[1]!thsiFinD("ths_adjustment_nv_fund",D$3,$A42))</x:f>
        <x:v>#NAME?</x:v>
      </x:c>
      <x:c r="E42" s="13" t="e">
        <x:f>IF($A42="","",[1]!thsiFinD("ths_adjustment_nv_fund",E$3,$A42))</x:f>
        <x:v>#NAME?</x:v>
      </x:c>
      <x:c r="F42" s="13" t="e">
        <x:f>IF($A42="","",[1]!thsiFinD("ths_adjustment_nv_fund",F$3,$A42))</x:f>
        <x:v>#NAME?</x:v>
      </x:c>
      <x:c r="G42" s="13" t="e">
        <x:f>IF($A42="","",[1]!thsiFinD("ths_adjustment_nv_fund",G$3,$A42))</x:f>
        <x:v>#NAME?</x:v>
      </x:c>
      <x:c r="H42" s="13" t="e">
        <x:f>IF($A42="","",[1]!thsiFinD("ths_adjustment_nv_fund",H$3,$A42))</x:f>
        <x:v>#NAME?</x:v>
      </x:c>
      <x:c r="I42" s="13" t="e">
        <x:f>IF($A42="","",[1]!thsiFinD("ths_adjustment_nv_fund",I$3,$A42))</x:f>
        <x:v>#NAME?</x:v>
      </x:c>
      <x:c r="J42" s="13" t="e">
        <x:f>IF($A42="","",[1]!thsiFinD("ths_adjustment_nv_fund",J$3,$A42))</x:f>
        <x:v>#NAME?</x:v>
      </x:c>
      <x:c r="K42" s="13" t="e">
        <x:f>IF($A42="","",[1]!thsiFinD("ths_adjustment_nv_fund",K$3,$A42))</x:f>
        <x:v>#NAME?</x:v>
      </x:c>
      <x:c r="L42" s="13" t="e">
        <x:f>IF($A42="","",[1]!thsiFinD("ths_adjustment_nv_fund",L$3,$A42))</x:f>
        <x:v>#NAME?</x:v>
      </x:c>
      <x:c r="M42" s="13" t="e">
        <x:f>IF($A42="","",[1]!thsiFinD("ths_adjustment_nv_fund",M$3,$A42))</x:f>
        <x:v>#NAME?</x:v>
      </x:c>
      <x:c r="N42" s="13" t="e">
        <x:f>IF($A42="","",[1]!thsiFinD("ths_adjustment_nv_fund",N$3,$A42))</x:f>
        <x:v>#NAME?</x:v>
      </x:c>
      <x:c r="O42" s="13" t="e">
        <x:f>IF($A42="","",[1]!thsiFinD("ths_adjustment_nv_fund",O$3,$A42))</x:f>
        <x:v>#NAME?</x:v>
      </x:c>
      <x:c r="P42" s="13" t="e">
        <x:f>IF($A42="","",[1]!thsiFinD("ths_adjustment_nv_fund",P$3,$A42))</x:f>
        <x:v>#NAME?</x:v>
      </x:c>
      <x:c r="Q42" s="13" t="e">
        <x:f>IF($A42="","",[1]!thsiFinD("ths_adjustment_nv_fund",Q$3,$A42))</x:f>
        <x:v>#NAME?</x:v>
      </x:c>
      <x:c r="R42" s="13" t="e">
        <x:f>IF($A42="","",[1]!thsiFinD("ths_adjustment_nv_fund",R$3,$A42))</x:f>
        <x:v>#NAME?</x:v>
      </x:c>
      <x:c r="S42" s="13" t="e">
        <x:f>IF($A42="","",[1]!thsiFinD("ths_adjustment_nv_fund",S$3,$A42))</x:f>
        <x:v>#NAME?</x:v>
      </x:c>
      <x:c r="T42" s="13" t="e">
        <x:f>IF($A42="","",[1]!thsiFinD("ths_adjustment_nv_fund",T$3,$A42))</x:f>
        <x:v>#NAME?</x:v>
      </x:c>
      <x:c r="U42" s="13" t="e">
        <x:f>IF($A42="","",[1]!thsiFinD("ths_adjustment_nv_fund",U$3,$A42))</x:f>
        <x:v>#NAME?</x:v>
      </x:c>
      <x:c r="V42" s="13" t="e">
        <x:f>IF($A42="","",[1]!thsiFinD("ths_adjustment_nv_fund",V$3,$A42))</x:f>
        <x:v>#NAME?</x:v>
      </x:c>
      <x:c r="W42" s="13" t="e">
        <x:f>IF($A42="","",[1]!thsiFinD("ths_adjustment_nv_fund",W$3,$A42))</x:f>
        <x:v>#NAME?</x:v>
      </x:c>
      <x:c r="X42" s="13" t="e">
        <x:f>IF($A42="","",[1]!thsiFinD("ths_adjustment_nv_fund",X$3,$A42))</x:f>
        <x:v>#NAME?</x:v>
      </x:c>
      <x:c r="Y42" s="13" t="e">
        <x:f>IF($A42="","",[1]!thsiFinD("ths_adjustment_nv_fund",Y$3,$A42))</x:f>
        <x:v>#NAME?</x:v>
      </x:c>
    </x:row>
    <x:row r="43">
      <x:c r="A43" s="8"/>
      <x:c r="B43" s="13" t="e">
        <x:f>IF($A43="","",[1]!thsiFinD("ths_adjustment_nv_fund",B$3,$A43))</x:f>
        <x:v>#NAME?</x:v>
      </x:c>
      <x:c r="C43" s="13" t="e">
        <x:f>IF($A43="","",[1]!thsiFinD("ths_adjustment_nv_fund",C$3,$A43))</x:f>
        <x:v>#NAME?</x:v>
      </x:c>
      <x:c r="D43" s="13" t="e">
        <x:f>IF($A43="","",[1]!thsiFinD("ths_adjustment_nv_fund",D$3,$A43))</x:f>
        <x:v>#NAME?</x:v>
      </x:c>
      <x:c r="E43" s="13" t="e">
        <x:f>IF($A43="","",[1]!thsiFinD("ths_adjustment_nv_fund",E$3,$A43))</x:f>
        <x:v>#NAME?</x:v>
      </x:c>
      <x:c r="F43" s="13" t="e">
        <x:f>IF($A43="","",[1]!thsiFinD("ths_adjustment_nv_fund",F$3,$A43))</x:f>
        <x:v>#NAME?</x:v>
      </x:c>
      <x:c r="G43" s="13" t="e">
        <x:f>IF($A43="","",[1]!thsiFinD("ths_adjustment_nv_fund",G$3,$A43))</x:f>
        <x:v>#NAME?</x:v>
      </x:c>
      <x:c r="H43" s="13" t="e">
        <x:f>IF($A43="","",[1]!thsiFinD("ths_adjustment_nv_fund",H$3,$A43))</x:f>
        <x:v>#NAME?</x:v>
      </x:c>
      <x:c r="I43" s="13" t="e">
        <x:f>IF($A43="","",[1]!thsiFinD("ths_adjustment_nv_fund",I$3,$A43))</x:f>
        <x:v>#NAME?</x:v>
      </x:c>
      <x:c r="J43" s="13" t="e">
        <x:f>IF($A43="","",[1]!thsiFinD("ths_adjustment_nv_fund",J$3,$A43))</x:f>
        <x:v>#NAME?</x:v>
      </x:c>
      <x:c r="K43" s="13" t="e">
        <x:f>IF($A43="","",[1]!thsiFinD("ths_adjustment_nv_fund",K$3,$A43))</x:f>
        <x:v>#NAME?</x:v>
      </x:c>
      <x:c r="L43" s="13" t="e">
        <x:f>IF($A43="","",[1]!thsiFinD("ths_adjustment_nv_fund",L$3,$A43))</x:f>
        <x:v>#NAME?</x:v>
      </x:c>
      <x:c r="M43" s="13" t="e">
        <x:f>IF($A43="","",[1]!thsiFinD("ths_adjustment_nv_fund",M$3,$A43))</x:f>
        <x:v>#NAME?</x:v>
      </x:c>
      <x:c r="N43" s="13" t="e">
        <x:f>IF($A43="","",[1]!thsiFinD("ths_adjustment_nv_fund",N$3,$A43))</x:f>
        <x:v>#NAME?</x:v>
      </x:c>
      <x:c r="O43" s="13" t="e">
        <x:f>IF($A43="","",[1]!thsiFinD("ths_adjustment_nv_fund",O$3,$A43))</x:f>
        <x:v>#NAME?</x:v>
      </x:c>
      <x:c r="P43" s="13" t="e">
        <x:f>IF($A43="","",[1]!thsiFinD("ths_adjustment_nv_fund",P$3,$A43))</x:f>
        <x:v>#NAME?</x:v>
      </x:c>
      <x:c r="Q43" s="13" t="e">
        <x:f>IF($A43="","",[1]!thsiFinD("ths_adjustment_nv_fund",Q$3,$A43))</x:f>
        <x:v>#NAME?</x:v>
      </x:c>
      <x:c r="R43" s="13" t="e">
        <x:f>IF($A43="","",[1]!thsiFinD("ths_adjustment_nv_fund",R$3,$A43))</x:f>
        <x:v>#NAME?</x:v>
      </x:c>
      <x:c r="S43" s="13" t="e">
        <x:f>IF($A43="","",[1]!thsiFinD("ths_adjustment_nv_fund",S$3,$A43))</x:f>
        <x:v>#NAME?</x:v>
      </x:c>
      <x:c r="T43" s="13" t="e">
        <x:f>IF($A43="","",[1]!thsiFinD("ths_adjustment_nv_fund",T$3,$A43))</x:f>
        <x:v>#NAME?</x:v>
      </x:c>
      <x:c r="U43" s="13" t="e">
        <x:f>IF($A43="","",[1]!thsiFinD("ths_adjustment_nv_fund",U$3,$A43))</x:f>
        <x:v>#NAME?</x:v>
      </x:c>
      <x:c r="V43" s="13" t="e">
        <x:f>IF($A43="","",[1]!thsiFinD("ths_adjustment_nv_fund",V$3,$A43))</x:f>
        <x:v>#NAME?</x:v>
      </x:c>
      <x:c r="W43" s="13" t="e">
        <x:f>IF($A43="","",[1]!thsiFinD("ths_adjustment_nv_fund",W$3,$A43))</x:f>
        <x:v>#NAME?</x:v>
      </x:c>
      <x:c r="X43" s="13" t="e">
        <x:f>IF($A43="","",[1]!thsiFinD("ths_adjustment_nv_fund",X$3,$A43))</x:f>
        <x:v>#NAME?</x:v>
      </x:c>
      <x:c r="Y43" s="13" t="e">
        <x:f>IF($A43="","",[1]!thsiFinD("ths_adjustment_nv_fund",Y$3,$A43))</x:f>
        <x:v>#NAME?</x:v>
      </x:c>
    </x:row>
    <x:row r="44">
      <x:c r="A44" s="8"/>
      <x:c r="B44" s="13" t="e">
        <x:f>IF($A44="","",[1]!thsiFinD("ths_adjustment_nv_fund",B$3,$A44))</x:f>
        <x:v>#NAME?</x:v>
      </x:c>
      <x:c r="C44" s="13" t="e">
        <x:f>IF($A44="","",[1]!thsiFinD("ths_adjustment_nv_fund",C$3,$A44))</x:f>
        <x:v>#NAME?</x:v>
      </x:c>
      <x:c r="D44" s="13" t="e">
        <x:f>IF($A44="","",[1]!thsiFinD("ths_adjustment_nv_fund",D$3,$A44))</x:f>
        <x:v>#NAME?</x:v>
      </x:c>
      <x:c r="E44" s="13" t="e">
        <x:f>IF($A44="","",[1]!thsiFinD("ths_adjustment_nv_fund",E$3,$A44))</x:f>
        <x:v>#NAME?</x:v>
      </x:c>
      <x:c r="F44" s="13" t="e">
        <x:f>IF($A44="","",[1]!thsiFinD("ths_adjustment_nv_fund",F$3,$A44))</x:f>
        <x:v>#NAME?</x:v>
      </x:c>
      <x:c r="G44" s="13" t="e">
        <x:f>IF($A44="","",[1]!thsiFinD("ths_adjustment_nv_fund",G$3,$A44))</x:f>
        <x:v>#NAME?</x:v>
      </x:c>
      <x:c r="H44" s="13" t="e">
        <x:f>IF($A44="","",[1]!thsiFinD("ths_adjustment_nv_fund",H$3,$A44))</x:f>
        <x:v>#NAME?</x:v>
      </x:c>
      <x:c r="I44" s="13" t="e">
        <x:f>IF($A44="","",[1]!thsiFinD("ths_adjustment_nv_fund",I$3,$A44))</x:f>
        <x:v>#NAME?</x:v>
      </x:c>
      <x:c r="J44" s="13" t="e">
        <x:f>IF($A44="","",[1]!thsiFinD("ths_adjustment_nv_fund",J$3,$A44))</x:f>
        <x:v>#NAME?</x:v>
      </x:c>
      <x:c r="K44" s="13" t="e">
        <x:f>IF($A44="","",[1]!thsiFinD("ths_adjustment_nv_fund",K$3,$A44))</x:f>
        <x:v>#NAME?</x:v>
      </x:c>
      <x:c r="L44" s="13" t="e">
        <x:f>IF($A44="","",[1]!thsiFinD("ths_adjustment_nv_fund",L$3,$A44))</x:f>
        <x:v>#NAME?</x:v>
      </x:c>
      <x:c r="M44" s="13" t="e">
        <x:f>IF($A44="","",[1]!thsiFinD("ths_adjustment_nv_fund",M$3,$A44))</x:f>
        <x:v>#NAME?</x:v>
      </x:c>
      <x:c r="N44" s="13" t="e">
        <x:f>IF($A44="","",[1]!thsiFinD("ths_adjustment_nv_fund",N$3,$A44))</x:f>
        <x:v>#NAME?</x:v>
      </x:c>
      <x:c r="O44" s="13" t="e">
        <x:f>IF($A44="","",[1]!thsiFinD("ths_adjustment_nv_fund",O$3,$A44))</x:f>
        <x:v>#NAME?</x:v>
      </x:c>
      <x:c r="P44" s="13" t="e">
        <x:f>IF($A44="","",[1]!thsiFinD("ths_adjustment_nv_fund",P$3,$A44))</x:f>
        <x:v>#NAME?</x:v>
      </x:c>
      <x:c r="Q44" s="13" t="e">
        <x:f>IF($A44="","",[1]!thsiFinD("ths_adjustment_nv_fund",Q$3,$A44))</x:f>
        <x:v>#NAME?</x:v>
      </x:c>
      <x:c r="R44" s="13" t="e">
        <x:f>IF($A44="","",[1]!thsiFinD("ths_adjustment_nv_fund",R$3,$A44))</x:f>
        <x:v>#NAME?</x:v>
      </x:c>
      <x:c r="S44" s="13" t="e">
        <x:f>IF($A44="","",[1]!thsiFinD("ths_adjustment_nv_fund",S$3,$A44))</x:f>
        <x:v>#NAME?</x:v>
      </x:c>
      <x:c r="T44" s="13" t="e">
        <x:f>IF($A44="","",[1]!thsiFinD("ths_adjustment_nv_fund",T$3,$A44))</x:f>
        <x:v>#NAME?</x:v>
      </x:c>
      <x:c r="U44" s="13" t="e">
        <x:f>IF($A44="","",[1]!thsiFinD("ths_adjustment_nv_fund",U$3,$A44))</x:f>
        <x:v>#NAME?</x:v>
      </x:c>
      <x:c r="V44" s="13" t="e">
        <x:f>IF($A44="","",[1]!thsiFinD("ths_adjustment_nv_fund",V$3,$A44))</x:f>
        <x:v>#NAME?</x:v>
      </x:c>
      <x:c r="W44" s="13" t="e">
        <x:f>IF($A44="","",[1]!thsiFinD("ths_adjustment_nv_fund",W$3,$A44))</x:f>
        <x:v>#NAME?</x:v>
      </x:c>
      <x:c r="X44" s="13" t="e">
        <x:f>IF($A44="","",[1]!thsiFinD("ths_adjustment_nv_fund",X$3,$A44))</x:f>
        <x:v>#NAME?</x:v>
      </x:c>
      <x:c r="Y44" s="13" t="e">
        <x:f>IF($A44="","",[1]!thsiFinD("ths_adjustment_nv_fund",Y$3,$A44))</x:f>
        <x:v>#NAME?</x:v>
      </x:c>
    </x:row>
    <x:row r="45">
      <x:c r="A45" s="8"/>
      <x:c r="B45" s="13" t="e">
        <x:f>IF($A45="","",[1]!thsiFinD("ths_adjustment_nv_fund",B$3,$A45))</x:f>
        <x:v>#NAME?</x:v>
      </x:c>
      <x:c r="C45" s="13" t="e">
        <x:f>IF($A45="","",[1]!thsiFinD("ths_adjustment_nv_fund",C$3,$A45))</x:f>
        <x:v>#NAME?</x:v>
      </x:c>
      <x:c r="D45" s="13" t="e">
        <x:f>IF($A45="","",[1]!thsiFinD("ths_adjustment_nv_fund",D$3,$A45))</x:f>
        <x:v>#NAME?</x:v>
      </x:c>
      <x:c r="E45" s="13" t="e">
        <x:f>IF($A45="","",[1]!thsiFinD("ths_adjustment_nv_fund",E$3,$A45))</x:f>
        <x:v>#NAME?</x:v>
      </x:c>
      <x:c r="F45" s="13" t="e">
        <x:f>IF($A45="","",[1]!thsiFinD("ths_adjustment_nv_fund",F$3,$A45))</x:f>
        <x:v>#NAME?</x:v>
      </x:c>
      <x:c r="G45" s="13" t="e">
        <x:f>IF($A45="","",[1]!thsiFinD("ths_adjustment_nv_fund",G$3,$A45))</x:f>
        <x:v>#NAME?</x:v>
      </x:c>
      <x:c r="H45" s="13" t="e">
        <x:f>IF($A45="","",[1]!thsiFinD("ths_adjustment_nv_fund",H$3,$A45))</x:f>
        <x:v>#NAME?</x:v>
      </x:c>
      <x:c r="I45" s="13" t="e">
        <x:f>IF($A45="","",[1]!thsiFinD("ths_adjustment_nv_fund",I$3,$A45))</x:f>
        <x:v>#NAME?</x:v>
      </x:c>
      <x:c r="J45" s="13" t="e">
        <x:f>IF($A45="","",[1]!thsiFinD("ths_adjustment_nv_fund",J$3,$A45))</x:f>
        <x:v>#NAME?</x:v>
      </x:c>
      <x:c r="K45" s="13" t="e">
        <x:f>IF($A45="","",[1]!thsiFinD("ths_adjustment_nv_fund",K$3,$A45))</x:f>
        <x:v>#NAME?</x:v>
      </x:c>
      <x:c r="L45" s="13" t="e">
        <x:f>IF($A45="","",[1]!thsiFinD("ths_adjustment_nv_fund",L$3,$A45))</x:f>
        <x:v>#NAME?</x:v>
      </x:c>
      <x:c r="M45" s="13" t="e">
        <x:f>IF($A45="","",[1]!thsiFinD("ths_adjustment_nv_fund",M$3,$A45))</x:f>
        <x:v>#NAME?</x:v>
      </x:c>
      <x:c r="N45" s="13" t="e">
        <x:f>IF($A45="","",[1]!thsiFinD("ths_adjustment_nv_fund",N$3,$A45))</x:f>
        <x:v>#NAME?</x:v>
      </x:c>
      <x:c r="O45" s="13" t="e">
        <x:f>IF($A45="","",[1]!thsiFinD("ths_adjustment_nv_fund",O$3,$A45))</x:f>
        <x:v>#NAME?</x:v>
      </x:c>
      <x:c r="P45" s="13" t="e">
        <x:f>IF($A45="","",[1]!thsiFinD("ths_adjustment_nv_fund",P$3,$A45))</x:f>
        <x:v>#NAME?</x:v>
      </x:c>
      <x:c r="Q45" s="13" t="e">
        <x:f>IF($A45="","",[1]!thsiFinD("ths_adjustment_nv_fund",Q$3,$A45))</x:f>
        <x:v>#NAME?</x:v>
      </x:c>
      <x:c r="R45" s="13" t="e">
        <x:f>IF($A45="","",[1]!thsiFinD("ths_adjustment_nv_fund",R$3,$A45))</x:f>
        <x:v>#NAME?</x:v>
      </x:c>
      <x:c r="S45" s="13" t="e">
        <x:f>IF($A45="","",[1]!thsiFinD("ths_adjustment_nv_fund",S$3,$A45))</x:f>
        <x:v>#NAME?</x:v>
      </x:c>
      <x:c r="T45" s="13" t="e">
        <x:f>IF($A45="","",[1]!thsiFinD("ths_adjustment_nv_fund",T$3,$A45))</x:f>
        <x:v>#NAME?</x:v>
      </x:c>
      <x:c r="U45" s="13" t="e">
        <x:f>IF($A45="","",[1]!thsiFinD("ths_adjustment_nv_fund",U$3,$A45))</x:f>
        <x:v>#NAME?</x:v>
      </x:c>
      <x:c r="V45" s="13" t="e">
        <x:f>IF($A45="","",[1]!thsiFinD("ths_adjustment_nv_fund",V$3,$A45))</x:f>
        <x:v>#NAME?</x:v>
      </x:c>
      <x:c r="W45" s="13" t="e">
        <x:f>IF($A45="","",[1]!thsiFinD("ths_adjustment_nv_fund",W$3,$A45))</x:f>
        <x:v>#NAME?</x:v>
      </x:c>
      <x:c r="X45" s="13" t="e">
        <x:f>IF($A45="","",[1]!thsiFinD("ths_adjustment_nv_fund",X$3,$A45))</x:f>
        <x:v>#NAME?</x:v>
      </x:c>
      <x:c r="Y45" s="13" t="e">
        <x:f>IF($A45="","",[1]!thsiFinD("ths_adjustment_nv_fund",Y$3,$A45))</x:f>
        <x:v>#NAME?</x:v>
      </x:c>
    </x:row>
    <x:row r="46">
      <x:c r="A46" s="8"/>
      <x:c r="B46" s="13" t="e">
        <x:f>IF($A46="","",[1]!thsiFinD("ths_adjustment_nv_fund",B$3,$A46))</x:f>
        <x:v>#NAME?</x:v>
      </x:c>
      <x:c r="C46" s="13" t="e">
        <x:f>IF($A46="","",[1]!thsiFinD("ths_adjustment_nv_fund",C$3,$A46))</x:f>
        <x:v>#NAME?</x:v>
      </x:c>
      <x:c r="D46" s="13" t="e">
        <x:f>IF($A46="","",[1]!thsiFinD("ths_adjustment_nv_fund",D$3,$A46))</x:f>
        <x:v>#NAME?</x:v>
      </x:c>
      <x:c r="E46" s="13" t="e">
        <x:f>IF($A46="","",[1]!thsiFinD("ths_adjustment_nv_fund",E$3,$A46))</x:f>
        <x:v>#NAME?</x:v>
      </x:c>
      <x:c r="F46" s="13" t="e">
        <x:f>IF($A46="","",[1]!thsiFinD("ths_adjustment_nv_fund",F$3,$A46))</x:f>
        <x:v>#NAME?</x:v>
      </x:c>
      <x:c r="G46" s="13" t="e">
        <x:f>IF($A46="","",[1]!thsiFinD("ths_adjustment_nv_fund",G$3,$A46))</x:f>
        <x:v>#NAME?</x:v>
      </x:c>
      <x:c r="H46" s="13" t="e">
        <x:f>IF($A46="","",[1]!thsiFinD("ths_adjustment_nv_fund",H$3,$A46))</x:f>
        <x:v>#NAME?</x:v>
      </x:c>
      <x:c r="I46" s="13" t="e">
        <x:f>IF($A46="","",[1]!thsiFinD("ths_adjustment_nv_fund",I$3,$A46))</x:f>
        <x:v>#NAME?</x:v>
      </x:c>
      <x:c r="J46" s="13" t="e">
        <x:f>IF($A46="","",[1]!thsiFinD("ths_adjustment_nv_fund",J$3,$A46))</x:f>
        <x:v>#NAME?</x:v>
      </x:c>
      <x:c r="K46" s="13" t="e">
        <x:f>IF($A46="","",[1]!thsiFinD("ths_adjustment_nv_fund",K$3,$A46))</x:f>
        <x:v>#NAME?</x:v>
      </x:c>
      <x:c r="L46" s="13" t="e">
        <x:f>IF($A46="","",[1]!thsiFinD("ths_adjustment_nv_fund",L$3,$A46))</x:f>
        <x:v>#NAME?</x:v>
      </x:c>
      <x:c r="M46" s="13" t="e">
        <x:f>IF($A46="","",[1]!thsiFinD("ths_adjustment_nv_fund",M$3,$A46))</x:f>
        <x:v>#NAME?</x:v>
      </x:c>
      <x:c r="N46" s="13" t="e">
        <x:f>IF($A46="","",[1]!thsiFinD("ths_adjustment_nv_fund",N$3,$A46))</x:f>
        <x:v>#NAME?</x:v>
      </x:c>
      <x:c r="O46" s="13" t="e">
        <x:f>IF($A46="","",[1]!thsiFinD("ths_adjustment_nv_fund",O$3,$A46))</x:f>
        <x:v>#NAME?</x:v>
      </x:c>
      <x:c r="P46" s="13" t="e">
        <x:f>IF($A46="","",[1]!thsiFinD("ths_adjustment_nv_fund",P$3,$A46))</x:f>
        <x:v>#NAME?</x:v>
      </x:c>
      <x:c r="Q46" s="13" t="e">
        <x:f>IF($A46="","",[1]!thsiFinD("ths_adjustment_nv_fund",Q$3,$A46))</x:f>
        <x:v>#NAME?</x:v>
      </x:c>
      <x:c r="R46" s="13" t="e">
        <x:f>IF($A46="","",[1]!thsiFinD("ths_adjustment_nv_fund",R$3,$A46))</x:f>
        <x:v>#NAME?</x:v>
      </x:c>
      <x:c r="S46" s="13" t="e">
        <x:f>IF($A46="","",[1]!thsiFinD("ths_adjustment_nv_fund",S$3,$A46))</x:f>
        <x:v>#NAME?</x:v>
      </x:c>
      <x:c r="T46" s="13" t="e">
        <x:f>IF($A46="","",[1]!thsiFinD("ths_adjustment_nv_fund",T$3,$A46))</x:f>
        <x:v>#NAME?</x:v>
      </x:c>
      <x:c r="U46" s="13" t="e">
        <x:f>IF($A46="","",[1]!thsiFinD("ths_adjustment_nv_fund",U$3,$A46))</x:f>
        <x:v>#NAME?</x:v>
      </x:c>
      <x:c r="V46" s="13" t="e">
        <x:f>IF($A46="","",[1]!thsiFinD("ths_adjustment_nv_fund",V$3,$A46))</x:f>
        <x:v>#NAME?</x:v>
      </x:c>
      <x:c r="W46" s="13" t="e">
        <x:f>IF($A46="","",[1]!thsiFinD("ths_adjustment_nv_fund",W$3,$A46))</x:f>
        <x:v>#NAME?</x:v>
      </x:c>
      <x:c r="X46" s="13" t="e">
        <x:f>IF($A46="","",[1]!thsiFinD("ths_adjustment_nv_fund",X$3,$A46))</x:f>
        <x:v>#NAME?</x:v>
      </x:c>
      <x:c r="Y46" s="13" t="e">
        <x:f>IF($A46="","",[1]!thsiFinD("ths_adjustment_nv_fund",Y$3,$A46))</x:f>
        <x:v>#NAME?</x:v>
      </x:c>
    </x:row>
    <x:row r="47">
      <x:c r="A47" s="8"/>
      <x:c r="B47" s="13" t="e">
        <x:f>IF($A47="","",[1]!thsiFinD("ths_adjustment_nv_fund",B$3,$A47))</x:f>
        <x:v>#NAME?</x:v>
      </x:c>
      <x:c r="C47" s="13" t="e">
        <x:f>IF($A47="","",[1]!thsiFinD("ths_adjustment_nv_fund",C$3,$A47))</x:f>
        <x:v>#NAME?</x:v>
      </x:c>
      <x:c r="D47" s="13" t="e">
        <x:f>IF($A47="","",[1]!thsiFinD("ths_adjustment_nv_fund",D$3,$A47))</x:f>
        <x:v>#NAME?</x:v>
      </x:c>
      <x:c r="E47" s="13" t="e">
        <x:f>IF($A47="","",[1]!thsiFinD("ths_adjustment_nv_fund",E$3,$A47))</x:f>
        <x:v>#NAME?</x:v>
      </x:c>
      <x:c r="F47" s="13" t="e">
        <x:f>IF($A47="","",[1]!thsiFinD("ths_adjustment_nv_fund",F$3,$A47))</x:f>
        <x:v>#NAME?</x:v>
      </x:c>
      <x:c r="G47" s="13" t="e">
        <x:f>IF($A47="","",[1]!thsiFinD("ths_adjustment_nv_fund",G$3,$A47))</x:f>
        <x:v>#NAME?</x:v>
      </x:c>
      <x:c r="H47" s="13" t="e">
        <x:f>IF($A47="","",[1]!thsiFinD("ths_adjustment_nv_fund",H$3,$A47))</x:f>
        <x:v>#NAME?</x:v>
      </x:c>
      <x:c r="I47" s="13" t="e">
        <x:f>IF($A47="","",[1]!thsiFinD("ths_adjustment_nv_fund",I$3,$A47))</x:f>
        <x:v>#NAME?</x:v>
      </x:c>
      <x:c r="J47" s="13" t="e">
        <x:f>IF($A47="","",[1]!thsiFinD("ths_adjustment_nv_fund",J$3,$A47))</x:f>
        <x:v>#NAME?</x:v>
      </x:c>
      <x:c r="K47" s="13" t="e">
        <x:f>IF($A47="","",[1]!thsiFinD("ths_adjustment_nv_fund",K$3,$A47))</x:f>
        <x:v>#NAME?</x:v>
      </x:c>
      <x:c r="L47" s="13" t="e">
        <x:f>IF($A47="","",[1]!thsiFinD("ths_adjustment_nv_fund",L$3,$A47))</x:f>
        <x:v>#NAME?</x:v>
      </x:c>
      <x:c r="M47" s="13" t="e">
        <x:f>IF($A47="","",[1]!thsiFinD("ths_adjustment_nv_fund",M$3,$A47))</x:f>
        <x:v>#NAME?</x:v>
      </x:c>
      <x:c r="N47" s="13" t="e">
        <x:f>IF($A47="","",[1]!thsiFinD("ths_adjustment_nv_fund",N$3,$A47))</x:f>
        <x:v>#NAME?</x:v>
      </x:c>
      <x:c r="O47" s="13" t="e">
        <x:f>IF($A47="","",[1]!thsiFinD("ths_adjustment_nv_fund",O$3,$A47))</x:f>
        <x:v>#NAME?</x:v>
      </x:c>
      <x:c r="P47" s="13" t="e">
        <x:f>IF($A47="","",[1]!thsiFinD("ths_adjustment_nv_fund",P$3,$A47))</x:f>
        <x:v>#NAME?</x:v>
      </x:c>
      <x:c r="Q47" s="13" t="e">
        <x:f>IF($A47="","",[1]!thsiFinD("ths_adjustment_nv_fund",Q$3,$A47))</x:f>
        <x:v>#NAME?</x:v>
      </x:c>
      <x:c r="R47" s="13" t="e">
        <x:f>IF($A47="","",[1]!thsiFinD("ths_adjustment_nv_fund",R$3,$A47))</x:f>
        <x:v>#NAME?</x:v>
      </x:c>
      <x:c r="S47" s="13" t="e">
        <x:f>IF($A47="","",[1]!thsiFinD("ths_adjustment_nv_fund",S$3,$A47))</x:f>
        <x:v>#NAME?</x:v>
      </x:c>
      <x:c r="T47" s="13" t="e">
        <x:f>IF($A47="","",[1]!thsiFinD("ths_adjustment_nv_fund",T$3,$A47))</x:f>
        <x:v>#NAME?</x:v>
      </x:c>
      <x:c r="U47" s="13" t="e">
        <x:f>IF($A47="","",[1]!thsiFinD("ths_adjustment_nv_fund",U$3,$A47))</x:f>
        <x:v>#NAME?</x:v>
      </x:c>
      <x:c r="V47" s="13" t="e">
        <x:f>IF($A47="","",[1]!thsiFinD("ths_adjustment_nv_fund",V$3,$A47))</x:f>
        <x:v>#NAME?</x:v>
      </x:c>
      <x:c r="W47" s="13" t="e">
        <x:f>IF($A47="","",[1]!thsiFinD("ths_adjustment_nv_fund",W$3,$A47))</x:f>
        <x:v>#NAME?</x:v>
      </x:c>
      <x:c r="X47" s="13" t="e">
        <x:f>IF($A47="","",[1]!thsiFinD("ths_adjustment_nv_fund",X$3,$A47))</x:f>
        <x:v>#NAME?</x:v>
      </x:c>
      <x:c r="Y47" s="13" t="e">
        <x:f>IF($A47="","",[1]!thsiFinD("ths_adjustment_nv_fund",Y$3,$A47))</x:f>
        <x:v>#NAME?</x:v>
      </x:c>
    </x:row>
    <x:row r="48">
      <x:c r="A48" s="8"/>
      <x:c r="B48" s="13" t="e">
        <x:f>IF($A48="","",[1]!thsiFinD("ths_adjustment_nv_fund",B$3,$A48))</x:f>
        <x:v>#NAME?</x:v>
      </x:c>
      <x:c r="C48" s="13" t="e">
        <x:f>IF($A48="","",[1]!thsiFinD("ths_adjustment_nv_fund",C$3,$A48))</x:f>
        <x:v>#NAME?</x:v>
      </x:c>
      <x:c r="D48" s="13" t="e">
        <x:f>IF($A48="","",[1]!thsiFinD("ths_adjustment_nv_fund",D$3,$A48))</x:f>
        <x:v>#NAME?</x:v>
      </x:c>
      <x:c r="E48" s="13" t="e">
        <x:f>IF($A48="","",[1]!thsiFinD("ths_adjustment_nv_fund",E$3,$A48))</x:f>
        <x:v>#NAME?</x:v>
      </x:c>
      <x:c r="F48" s="13" t="e">
        <x:f>IF($A48="","",[1]!thsiFinD("ths_adjustment_nv_fund",F$3,$A48))</x:f>
        <x:v>#NAME?</x:v>
      </x:c>
      <x:c r="G48" s="13" t="e">
        <x:f>IF($A48="","",[1]!thsiFinD("ths_adjustment_nv_fund",G$3,$A48))</x:f>
        <x:v>#NAME?</x:v>
      </x:c>
      <x:c r="H48" s="13" t="e">
        <x:f>IF($A48="","",[1]!thsiFinD("ths_adjustment_nv_fund",H$3,$A48))</x:f>
        <x:v>#NAME?</x:v>
      </x:c>
      <x:c r="I48" s="13" t="e">
        <x:f>IF($A48="","",[1]!thsiFinD("ths_adjustment_nv_fund",I$3,$A48))</x:f>
        <x:v>#NAME?</x:v>
      </x:c>
      <x:c r="J48" s="13" t="e">
        <x:f>IF($A48="","",[1]!thsiFinD("ths_adjustment_nv_fund",J$3,$A48))</x:f>
        <x:v>#NAME?</x:v>
      </x:c>
      <x:c r="K48" s="13" t="e">
        <x:f>IF($A48="","",[1]!thsiFinD("ths_adjustment_nv_fund",K$3,$A48))</x:f>
        <x:v>#NAME?</x:v>
      </x:c>
      <x:c r="L48" s="13" t="e">
        <x:f>IF($A48="","",[1]!thsiFinD("ths_adjustment_nv_fund",L$3,$A48))</x:f>
        <x:v>#NAME?</x:v>
      </x:c>
      <x:c r="M48" s="13" t="e">
        <x:f>IF($A48="","",[1]!thsiFinD("ths_adjustment_nv_fund",M$3,$A48))</x:f>
        <x:v>#NAME?</x:v>
      </x:c>
      <x:c r="N48" s="13" t="e">
        <x:f>IF($A48="","",[1]!thsiFinD("ths_adjustment_nv_fund",N$3,$A48))</x:f>
        <x:v>#NAME?</x:v>
      </x:c>
      <x:c r="O48" s="13" t="e">
        <x:f>IF($A48="","",[1]!thsiFinD("ths_adjustment_nv_fund",O$3,$A48))</x:f>
        <x:v>#NAME?</x:v>
      </x:c>
      <x:c r="P48" s="13" t="e">
        <x:f>IF($A48="","",[1]!thsiFinD("ths_adjustment_nv_fund",P$3,$A48))</x:f>
        <x:v>#NAME?</x:v>
      </x:c>
      <x:c r="Q48" s="13" t="e">
        <x:f>IF($A48="","",[1]!thsiFinD("ths_adjustment_nv_fund",Q$3,$A48))</x:f>
        <x:v>#NAME?</x:v>
      </x:c>
      <x:c r="R48" s="13" t="e">
        <x:f>IF($A48="","",[1]!thsiFinD("ths_adjustment_nv_fund",R$3,$A48))</x:f>
        <x:v>#NAME?</x:v>
      </x:c>
      <x:c r="S48" s="13" t="e">
        <x:f>IF($A48="","",[1]!thsiFinD("ths_adjustment_nv_fund",S$3,$A48))</x:f>
        <x:v>#NAME?</x:v>
      </x:c>
      <x:c r="T48" s="13" t="e">
        <x:f>IF($A48="","",[1]!thsiFinD("ths_adjustment_nv_fund",T$3,$A48))</x:f>
        <x:v>#NAME?</x:v>
      </x:c>
      <x:c r="U48" s="13" t="e">
        <x:f>IF($A48="","",[1]!thsiFinD("ths_adjustment_nv_fund",U$3,$A48))</x:f>
        <x:v>#NAME?</x:v>
      </x:c>
      <x:c r="V48" s="13" t="e">
        <x:f>IF($A48="","",[1]!thsiFinD("ths_adjustment_nv_fund",V$3,$A48))</x:f>
        <x:v>#NAME?</x:v>
      </x:c>
      <x:c r="W48" s="13" t="e">
        <x:f>IF($A48="","",[1]!thsiFinD("ths_adjustment_nv_fund",W$3,$A48))</x:f>
        <x:v>#NAME?</x:v>
      </x:c>
      <x:c r="X48" s="13" t="e">
        <x:f>IF($A48="","",[1]!thsiFinD("ths_adjustment_nv_fund",X$3,$A48))</x:f>
        <x:v>#NAME?</x:v>
      </x:c>
      <x:c r="Y48" s="13" t="e">
        <x:f>IF($A48="","",[1]!thsiFinD("ths_adjustment_nv_fund",Y$3,$A48))</x:f>
        <x:v>#NAME?</x:v>
      </x:c>
    </x:row>
    <x:row r="49">
      <x:c r="A49" s="8"/>
      <x:c r="B49" s="13" t="e">
        <x:f>IF($A49="","",[1]!thsiFinD("ths_adjustment_nv_fund",B$3,$A49))</x:f>
        <x:v>#NAME?</x:v>
      </x:c>
      <x:c r="C49" s="13" t="e">
        <x:f>IF($A49="","",[1]!thsiFinD("ths_adjustment_nv_fund",C$3,$A49))</x:f>
        <x:v>#NAME?</x:v>
      </x:c>
      <x:c r="D49" s="13" t="e">
        <x:f>IF($A49="","",[1]!thsiFinD("ths_adjustment_nv_fund",D$3,$A49))</x:f>
        <x:v>#NAME?</x:v>
      </x:c>
      <x:c r="E49" s="13" t="e">
        <x:f>IF($A49="","",[1]!thsiFinD("ths_adjustment_nv_fund",E$3,$A49))</x:f>
        <x:v>#NAME?</x:v>
      </x:c>
      <x:c r="F49" s="13" t="e">
        <x:f>IF($A49="","",[1]!thsiFinD("ths_adjustment_nv_fund",F$3,$A49))</x:f>
        <x:v>#NAME?</x:v>
      </x:c>
      <x:c r="G49" s="13" t="e">
        <x:f>IF($A49="","",[1]!thsiFinD("ths_adjustment_nv_fund",G$3,$A49))</x:f>
        <x:v>#NAME?</x:v>
      </x:c>
      <x:c r="H49" s="13" t="e">
        <x:f>IF($A49="","",[1]!thsiFinD("ths_adjustment_nv_fund",H$3,$A49))</x:f>
        <x:v>#NAME?</x:v>
      </x:c>
      <x:c r="I49" s="13" t="e">
        <x:f>IF($A49="","",[1]!thsiFinD("ths_adjustment_nv_fund",I$3,$A49))</x:f>
        <x:v>#NAME?</x:v>
      </x:c>
      <x:c r="J49" s="13" t="e">
        <x:f>IF($A49="","",[1]!thsiFinD("ths_adjustment_nv_fund",J$3,$A49))</x:f>
        <x:v>#NAME?</x:v>
      </x:c>
      <x:c r="K49" s="13" t="e">
        <x:f>IF($A49="","",[1]!thsiFinD("ths_adjustment_nv_fund",K$3,$A49))</x:f>
        <x:v>#NAME?</x:v>
      </x:c>
      <x:c r="L49" s="13" t="e">
        <x:f>IF($A49="","",[1]!thsiFinD("ths_adjustment_nv_fund",L$3,$A49))</x:f>
        <x:v>#NAME?</x:v>
      </x:c>
      <x:c r="M49" s="13" t="e">
        <x:f>IF($A49="","",[1]!thsiFinD("ths_adjustment_nv_fund",M$3,$A49))</x:f>
        <x:v>#NAME?</x:v>
      </x:c>
      <x:c r="N49" s="13" t="e">
        <x:f>IF($A49="","",[1]!thsiFinD("ths_adjustment_nv_fund",N$3,$A49))</x:f>
        <x:v>#NAME?</x:v>
      </x:c>
      <x:c r="O49" s="13" t="e">
        <x:f>IF($A49="","",[1]!thsiFinD("ths_adjustment_nv_fund",O$3,$A49))</x:f>
        <x:v>#NAME?</x:v>
      </x:c>
      <x:c r="P49" s="13" t="e">
        <x:f>IF($A49="","",[1]!thsiFinD("ths_adjustment_nv_fund",P$3,$A49))</x:f>
        <x:v>#NAME?</x:v>
      </x:c>
      <x:c r="Q49" s="13" t="e">
        <x:f>IF($A49="","",[1]!thsiFinD("ths_adjustment_nv_fund",Q$3,$A49))</x:f>
        <x:v>#NAME?</x:v>
      </x:c>
      <x:c r="R49" s="13" t="e">
        <x:f>IF($A49="","",[1]!thsiFinD("ths_adjustment_nv_fund",R$3,$A49))</x:f>
        <x:v>#NAME?</x:v>
      </x:c>
      <x:c r="S49" s="13" t="e">
        <x:f>IF($A49="","",[1]!thsiFinD("ths_adjustment_nv_fund",S$3,$A49))</x:f>
        <x:v>#NAME?</x:v>
      </x:c>
      <x:c r="T49" s="13" t="e">
        <x:f>IF($A49="","",[1]!thsiFinD("ths_adjustment_nv_fund",T$3,$A49))</x:f>
        <x:v>#NAME?</x:v>
      </x:c>
      <x:c r="U49" s="13" t="e">
        <x:f>IF($A49="","",[1]!thsiFinD("ths_adjustment_nv_fund",U$3,$A49))</x:f>
        <x:v>#NAME?</x:v>
      </x:c>
      <x:c r="V49" s="13" t="e">
        <x:f>IF($A49="","",[1]!thsiFinD("ths_adjustment_nv_fund",V$3,$A49))</x:f>
        <x:v>#NAME?</x:v>
      </x:c>
      <x:c r="W49" s="13" t="e">
        <x:f>IF($A49="","",[1]!thsiFinD("ths_adjustment_nv_fund",W$3,$A49))</x:f>
        <x:v>#NAME?</x:v>
      </x:c>
      <x:c r="X49" s="13" t="e">
        <x:f>IF($A49="","",[1]!thsiFinD("ths_adjustment_nv_fund",X$3,$A49))</x:f>
        <x:v>#NAME?</x:v>
      </x:c>
      <x:c r="Y49" s="13" t="e">
        <x:f>IF($A49="","",[1]!thsiFinD("ths_adjustment_nv_fund",Y$3,$A49))</x:f>
        <x:v>#NAME?</x:v>
      </x:c>
    </x:row>
    <x:row r="50">
      <x:c r="A50" s="8"/>
      <x:c r="B50" s="13" t="e">
        <x:f>IF($A50="","",[1]!thsiFinD("ths_adjustment_nv_fund",B$3,$A50))</x:f>
        <x:v>#NAME?</x:v>
      </x:c>
      <x:c r="C50" s="13" t="e">
        <x:f>IF($A50="","",[1]!thsiFinD("ths_adjustment_nv_fund",C$3,$A50))</x:f>
        <x:v>#NAME?</x:v>
      </x:c>
      <x:c r="D50" s="13" t="e">
        <x:f>IF($A50="","",[1]!thsiFinD("ths_adjustment_nv_fund",D$3,$A50))</x:f>
        <x:v>#NAME?</x:v>
      </x:c>
      <x:c r="E50" s="13" t="e">
        <x:f>IF($A50="","",[1]!thsiFinD("ths_adjustment_nv_fund",E$3,$A50))</x:f>
        <x:v>#NAME?</x:v>
      </x:c>
      <x:c r="F50" s="13" t="e">
        <x:f>IF($A50="","",[1]!thsiFinD("ths_adjustment_nv_fund",F$3,$A50))</x:f>
        <x:v>#NAME?</x:v>
      </x:c>
      <x:c r="G50" s="13" t="e">
        <x:f>IF($A50="","",[1]!thsiFinD("ths_adjustment_nv_fund",G$3,$A50))</x:f>
        <x:v>#NAME?</x:v>
      </x:c>
      <x:c r="H50" s="13" t="e">
        <x:f>IF($A50="","",[1]!thsiFinD("ths_adjustment_nv_fund",H$3,$A50))</x:f>
        <x:v>#NAME?</x:v>
      </x:c>
      <x:c r="I50" s="13" t="e">
        <x:f>IF($A50="","",[1]!thsiFinD("ths_adjustment_nv_fund",I$3,$A50))</x:f>
        <x:v>#NAME?</x:v>
      </x:c>
      <x:c r="J50" s="13" t="e">
        <x:f>IF($A50="","",[1]!thsiFinD("ths_adjustment_nv_fund",J$3,$A50))</x:f>
        <x:v>#NAME?</x:v>
      </x:c>
      <x:c r="K50" s="13" t="e">
        <x:f>IF($A50="","",[1]!thsiFinD("ths_adjustment_nv_fund",K$3,$A50))</x:f>
        <x:v>#NAME?</x:v>
      </x:c>
      <x:c r="L50" s="13" t="e">
        <x:f>IF($A50="","",[1]!thsiFinD("ths_adjustment_nv_fund",L$3,$A50))</x:f>
        <x:v>#NAME?</x:v>
      </x:c>
      <x:c r="M50" s="13" t="e">
        <x:f>IF($A50="","",[1]!thsiFinD("ths_adjustment_nv_fund",M$3,$A50))</x:f>
        <x:v>#NAME?</x:v>
      </x:c>
      <x:c r="N50" s="13" t="e">
        <x:f>IF($A50="","",[1]!thsiFinD("ths_adjustment_nv_fund",N$3,$A50))</x:f>
        <x:v>#NAME?</x:v>
      </x:c>
      <x:c r="O50" s="13" t="e">
        <x:f>IF($A50="","",[1]!thsiFinD("ths_adjustment_nv_fund",O$3,$A50))</x:f>
        <x:v>#NAME?</x:v>
      </x:c>
      <x:c r="P50" s="13" t="e">
        <x:f>IF($A50="","",[1]!thsiFinD("ths_adjustment_nv_fund",P$3,$A50))</x:f>
        <x:v>#NAME?</x:v>
      </x:c>
      <x:c r="Q50" s="13" t="e">
        <x:f>IF($A50="","",[1]!thsiFinD("ths_adjustment_nv_fund",Q$3,$A50))</x:f>
        <x:v>#NAME?</x:v>
      </x:c>
      <x:c r="R50" s="13" t="e">
        <x:f>IF($A50="","",[1]!thsiFinD("ths_adjustment_nv_fund",R$3,$A50))</x:f>
        <x:v>#NAME?</x:v>
      </x:c>
      <x:c r="S50" s="13" t="e">
        <x:f>IF($A50="","",[1]!thsiFinD("ths_adjustment_nv_fund",S$3,$A50))</x:f>
        <x:v>#NAME?</x:v>
      </x:c>
      <x:c r="T50" s="13" t="e">
        <x:f>IF($A50="","",[1]!thsiFinD("ths_adjustment_nv_fund",T$3,$A50))</x:f>
        <x:v>#NAME?</x:v>
      </x:c>
      <x:c r="U50" s="13" t="e">
        <x:f>IF($A50="","",[1]!thsiFinD("ths_adjustment_nv_fund",U$3,$A50))</x:f>
        <x:v>#NAME?</x:v>
      </x:c>
      <x:c r="V50" s="13" t="e">
        <x:f>IF($A50="","",[1]!thsiFinD("ths_adjustment_nv_fund",V$3,$A50))</x:f>
        <x:v>#NAME?</x:v>
      </x:c>
      <x:c r="W50" s="13" t="e">
        <x:f>IF($A50="","",[1]!thsiFinD("ths_adjustment_nv_fund",W$3,$A50))</x:f>
        <x:v>#NAME?</x:v>
      </x:c>
      <x:c r="X50" s="13" t="e">
        <x:f>IF($A50="","",[1]!thsiFinD("ths_adjustment_nv_fund",X$3,$A50))</x:f>
        <x:v>#NAME?</x:v>
      </x:c>
      <x:c r="Y50" s="13" t="e">
        <x:f>IF($A50="","",[1]!thsiFinD("ths_adjustment_nv_fund",Y$3,$A50))</x:f>
        <x:v>#NAME?</x:v>
      </x:c>
    </x:row>
    <x:row r="51">
      <x:c r="A51" s="8"/>
      <x:c r="B51" s="13" t="e">
        <x:f>IF($A51="","",[1]!thsiFinD("ths_adjustment_nv_fund",B$3,$A51))</x:f>
        <x:v>#NAME?</x:v>
      </x:c>
      <x:c r="C51" s="13" t="e">
        <x:f>IF($A51="","",[1]!thsiFinD("ths_adjustment_nv_fund",C$3,$A51))</x:f>
        <x:v>#NAME?</x:v>
      </x:c>
      <x:c r="D51" s="13" t="e">
        <x:f>IF($A51="","",[1]!thsiFinD("ths_adjustment_nv_fund",D$3,$A51))</x:f>
        <x:v>#NAME?</x:v>
      </x:c>
      <x:c r="E51" s="13" t="e">
        <x:f>IF($A51="","",[1]!thsiFinD("ths_adjustment_nv_fund",E$3,$A51))</x:f>
        <x:v>#NAME?</x:v>
      </x:c>
      <x:c r="F51" s="13" t="e">
        <x:f>IF($A51="","",[1]!thsiFinD("ths_adjustment_nv_fund",F$3,$A51))</x:f>
        <x:v>#NAME?</x:v>
      </x:c>
      <x:c r="G51" s="13" t="e">
        <x:f>IF($A51="","",[1]!thsiFinD("ths_adjustment_nv_fund",G$3,$A51))</x:f>
        <x:v>#NAME?</x:v>
      </x:c>
      <x:c r="H51" s="13" t="e">
        <x:f>IF($A51="","",[1]!thsiFinD("ths_adjustment_nv_fund",H$3,$A51))</x:f>
        <x:v>#NAME?</x:v>
      </x:c>
      <x:c r="I51" s="13" t="e">
        <x:f>IF($A51="","",[1]!thsiFinD("ths_adjustment_nv_fund",I$3,$A51))</x:f>
        <x:v>#NAME?</x:v>
      </x:c>
      <x:c r="J51" s="13" t="e">
        <x:f>IF($A51="","",[1]!thsiFinD("ths_adjustment_nv_fund",J$3,$A51))</x:f>
        <x:v>#NAME?</x:v>
      </x:c>
      <x:c r="K51" s="13" t="e">
        <x:f>IF($A51="","",[1]!thsiFinD("ths_adjustment_nv_fund",K$3,$A51))</x:f>
        <x:v>#NAME?</x:v>
      </x:c>
      <x:c r="L51" s="13" t="e">
        <x:f>IF($A51="","",[1]!thsiFinD("ths_adjustment_nv_fund",L$3,$A51))</x:f>
        <x:v>#NAME?</x:v>
      </x:c>
      <x:c r="M51" s="13" t="e">
        <x:f>IF($A51="","",[1]!thsiFinD("ths_adjustment_nv_fund",M$3,$A51))</x:f>
        <x:v>#NAME?</x:v>
      </x:c>
      <x:c r="N51" s="13" t="e">
        <x:f>IF($A51="","",[1]!thsiFinD("ths_adjustment_nv_fund",N$3,$A51))</x:f>
        <x:v>#NAME?</x:v>
      </x:c>
      <x:c r="O51" s="13" t="e">
        <x:f>IF($A51="","",[1]!thsiFinD("ths_adjustment_nv_fund",O$3,$A51))</x:f>
        <x:v>#NAME?</x:v>
      </x:c>
      <x:c r="P51" s="13" t="e">
        <x:f>IF($A51="","",[1]!thsiFinD("ths_adjustment_nv_fund",P$3,$A51))</x:f>
        <x:v>#NAME?</x:v>
      </x:c>
      <x:c r="Q51" s="13" t="e">
        <x:f>IF($A51="","",[1]!thsiFinD("ths_adjustment_nv_fund",Q$3,$A51))</x:f>
        <x:v>#NAME?</x:v>
      </x:c>
      <x:c r="R51" s="13" t="e">
        <x:f>IF($A51="","",[1]!thsiFinD("ths_adjustment_nv_fund",R$3,$A51))</x:f>
        <x:v>#NAME?</x:v>
      </x:c>
      <x:c r="S51" s="13" t="e">
        <x:f>IF($A51="","",[1]!thsiFinD("ths_adjustment_nv_fund",S$3,$A51))</x:f>
        <x:v>#NAME?</x:v>
      </x:c>
      <x:c r="T51" s="13" t="e">
        <x:f>IF($A51="","",[1]!thsiFinD("ths_adjustment_nv_fund",T$3,$A51))</x:f>
        <x:v>#NAME?</x:v>
      </x:c>
      <x:c r="U51" s="13" t="e">
        <x:f>IF($A51="","",[1]!thsiFinD("ths_adjustment_nv_fund",U$3,$A51))</x:f>
        <x:v>#NAME?</x:v>
      </x:c>
      <x:c r="V51" s="13" t="e">
        <x:f>IF($A51="","",[1]!thsiFinD("ths_adjustment_nv_fund",V$3,$A51))</x:f>
        <x:v>#NAME?</x:v>
      </x:c>
      <x:c r="W51" s="13" t="e">
        <x:f>IF($A51="","",[1]!thsiFinD("ths_adjustment_nv_fund",W$3,$A51))</x:f>
        <x:v>#NAME?</x:v>
      </x:c>
      <x:c r="X51" s="13" t="e">
        <x:f>IF($A51="","",[1]!thsiFinD("ths_adjustment_nv_fund",X$3,$A51))</x:f>
        <x:v>#NAME?</x:v>
      </x:c>
      <x:c r="Y51" s="13" t="e">
        <x:f>IF($A51="","",[1]!thsiFinD("ths_adjustment_nv_fund",Y$3,$A51))</x:f>
        <x:v>#NAME?</x:v>
      </x:c>
    </x:row>
    <x:row r="52">
      <x:c r="A52" s="8"/>
      <x:c r="B52" s="13" t="e">
        <x:f>IF($A52="","",[1]!thsiFinD("ths_adjustment_nv_fund",B$3,$A52))</x:f>
        <x:v>#NAME?</x:v>
      </x:c>
      <x:c r="C52" s="13" t="e">
        <x:f>IF($A52="","",[1]!thsiFinD("ths_adjustment_nv_fund",C$3,$A52))</x:f>
        <x:v>#NAME?</x:v>
      </x:c>
      <x:c r="D52" s="13" t="e">
        <x:f>IF($A52="","",[1]!thsiFinD("ths_adjustment_nv_fund",D$3,$A52))</x:f>
        <x:v>#NAME?</x:v>
      </x:c>
      <x:c r="E52" s="13" t="e">
        <x:f>IF($A52="","",[1]!thsiFinD("ths_adjustment_nv_fund",E$3,$A52))</x:f>
        <x:v>#NAME?</x:v>
      </x:c>
      <x:c r="F52" s="13" t="e">
        <x:f>IF($A52="","",[1]!thsiFinD("ths_adjustment_nv_fund",F$3,$A52))</x:f>
        <x:v>#NAME?</x:v>
      </x:c>
      <x:c r="G52" s="13" t="e">
        <x:f>IF($A52="","",[1]!thsiFinD("ths_adjustment_nv_fund",G$3,$A52))</x:f>
        <x:v>#NAME?</x:v>
      </x:c>
      <x:c r="H52" s="13" t="e">
        <x:f>IF($A52="","",[1]!thsiFinD("ths_adjustment_nv_fund",H$3,$A52))</x:f>
        <x:v>#NAME?</x:v>
      </x:c>
      <x:c r="I52" s="13" t="e">
        <x:f>IF($A52="","",[1]!thsiFinD("ths_adjustment_nv_fund",I$3,$A52))</x:f>
        <x:v>#NAME?</x:v>
      </x:c>
      <x:c r="J52" s="13" t="e">
        <x:f>IF($A52="","",[1]!thsiFinD("ths_adjustment_nv_fund",J$3,$A52))</x:f>
        <x:v>#NAME?</x:v>
      </x:c>
      <x:c r="K52" s="13" t="e">
        <x:f>IF($A52="","",[1]!thsiFinD("ths_adjustment_nv_fund",K$3,$A52))</x:f>
        <x:v>#NAME?</x:v>
      </x:c>
      <x:c r="L52" s="13" t="e">
        <x:f>IF($A52="","",[1]!thsiFinD("ths_adjustment_nv_fund",L$3,$A52))</x:f>
        <x:v>#NAME?</x:v>
      </x:c>
      <x:c r="M52" s="13" t="e">
        <x:f>IF($A52="","",[1]!thsiFinD("ths_adjustment_nv_fund",M$3,$A52))</x:f>
        <x:v>#NAME?</x:v>
      </x:c>
      <x:c r="N52" s="13" t="e">
        <x:f>IF($A52="","",[1]!thsiFinD("ths_adjustment_nv_fund",N$3,$A52))</x:f>
        <x:v>#NAME?</x:v>
      </x:c>
      <x:c r="O52" s="13" t="e">
        <x:f>IF($A52="","",[1]!thsiFinD("ths_adjustment_nv_fund",O$3,$A52))</x:f>
        <x:v>#NAME?</x:v>
      </x:c>
      <x:c r="P52" s="13" t="e">
        <x:f>IF($A52="","",[1]!thsiFinD("ths_adjustment_nv_fund",P$3,$A52))</x:f>
        <x:v>#NAME?</x:v>
      </x:c>
      <x:c r="Q52" s="13" t="e">
        <x:f>IF($A52="","",[1]!thsiFinD("ths_adjustment_nv_fund",Q$3,$A52))</x:f>
        <x:v>#NAME?</x:v>
      </x:c>
      <x:c r="R52" s="13" t="e">
        <x:f>IF($A52="","",[1]!thsiFinD("ths_adjustment_nv_fund",R$3,$A52))</x:f>
        <x:v>#NAME?</x:v>
      </x:c>
      <x:c r="S52" s="13" t="e">
        <x:f>IF($A52="","",[1]!thsiFinD("ths_adjustment_nv_fund",S$3,$A52))</x:f>
        <x:v>#NAME?</x:v>
      </x:c>
      <x:c r="T52" s="13" t="e">
        <x:f>IF($A52="","",[1]!thsiFinD("ths_adjustment_nv_fund",T$3,$A52))</x:f>
        <x:v>#NAME?</x:v>
      </x:c>
      <x:c r="U52" s="13" t="e">
        <x:f>IF($A52="","",[1]!thsiFinD("ths_adjustment_nv_fund",U$3,$A52))</x:f>
        <x:v>#NAME?</x:v>
      </x:c>
      <x:c r="V52" s="13" t="e">
        <x:f>IF($A52="","",[1]!thsiFinD("ths_adjustment_nv_fund",V$3,$A52))</x:f>
        <x:v>#NAME?</x:v>
      </x:c>
      <x:c r="W52" s="13" t="e">
        <x:f>IF($A52="","",[1]!thsiFinD("ths_adjustment_nv_fund",W$3,$A52))</x:f>
        <x:v>#NAME?</x:v>
      </x:c>
      <x:c r="X52" s="13" t="e">
        <x:f>IF($A52="","",[1]!thsiFinD("ths_adjustment_nv_fund",X$3,$A52))</x:f>
        <x:v>#NAME?</x:v>
      </x:c>
      <x:c r="Y52" s="13" t="e">
        <x:f>IF($A52="","",[1]!thsiFinD("ths_adjustment_nv_fund",Y$3,$A52))</x:f>
        <x:v>#NAME?</x:v>
      </x:c>
    </x:row>
    <x:row r="53">
      <x:c r="A53" s="8"/>
      <x:c r="B53" s="13" t="e">
        <x:f>IF($A53="","",[1]!thsiFinD("ths_adjustment_nv_fund",B$3,$A53))</x:f>
        <x:v>#NAME?</x:v>
      </x:c>
      <x:c r="C53" s="13" t="e">
        <x:f>IF($A53="","",[1]!thsiFinD("ths_adjustment_nv_fund",C$3,$A53))</x:f>
        <x:v>#NAME?</x:v>
      </x:c>
      <x:c r="D53" s="13" t="e">
        <x:f>IF($A53="","",[1]!thsiFinD("ths_adjustment_nv_fund",D$3,$A53))</x:f>
        <x:v>#NAME?</x:v>
      </x:c>
      <x:c r="E53" s="13" t="e">
        <x:f>IF($A53="","",[1]!thsiFinD("ths_adjustment_nv_fund",E$3,$A53))</x:f>
        <x:v>#NAME?</x:v>
      </x:c>
      <x:c r="F53" s="13" t="e">
        <x:f>IF($A53="","",[1]!thsiFinD("ths_adjustment_nv_fund",F$3,$A53))</x:f>
        <x:v>#NAME?</x:v>
      </x:c>
      <x:c r="G53" s="13" t="e">
        <x:f>IF($A53="","",[1]!thsiFinD("ths_adjustment_nv_fund",G$3,$A53))</x:f>
        <x:v>#NAME?</x:v>
      </x:c>
      <x:c r="H53" s="13" t="e">
        <x:f>IF($A53="","",[1]!thsiFinD("ths_adjustment_nv_fund",H$3,$A53))</x:f>
        <x:v>#NAME?</x:v>
      </x:c>
      <x:c r="I53" s="13" t="e">
        <x:f>IF($A53="","",[1]!thsiFinD("ths_adjustment_nv_fund",I$3,$A53))</x:f>
        <x:v>#NAME?</x:v>
      </x:c>
      <x:c r="J53" s="13" t="e">
        <x:f>IF($A53="","",[1]!thsiFinD("ths_adjustment_nv_fund",J$3,$A53))</x:f>
        <x:v>#NAME?</x:v>
      </x:c>
      <x:c r="K53" s="13" t="e">
        <x:f>IF($A53="","",[1]!thsiFinD("ths_adjustment_nv_fund",K$3,$A53))</x:f>
        <x:v>#NAME?</x:v>
      </x:c>
      <x:c r="L53" s="13" t="e">
        <x:f>IF($A53="","",[1]!thsiFinD("ths_adjustment_nv_fund",L$3,$A53))</x:f>
        <x:v>#NAME?</x:v>
      </x:c>
      <x:c r="M53" s="13" t="e">
        <x:f>IF($A53="","",[1]!thsiFinD("ths_adjustment_nv_fund",M$3,$A53))</x:f>
        <x:v>#NAME?</x:v>
      </x:c>
      <x:c r="N53" s="13" t="e">
        <x:f>IF($A53="","",[1]!thsiFinD("ths_adjustment_nv_fund",N$3,$A53))</x:f>
        <x:v>#NAME?</x:v>
      </x:c>
      <x:c r="O53" s="13" t="e">
        <x:f>IF($A53="","",[1]!thsiFinD("ths_adjustment_nv_fund",O$3,$A53))</x:f>
        <x:v>#NAME?</x:v>
      </x:c>
      <x:c r="P53" s="13" t="e">
        <x:f>IF($A53="","",[1]!thsiFinD("ths_adjustment_nv_fund",P$3,$A53))</x:f>
        <x:v>#NAME?</x:v>
      </x:c>
      <x:c r="Q53" s="13" t="e">
        <x:f>IF($A53="","",[1]!thsiFinD("ths_adjustment_nv_fund",Q$3,$A53))</x:f>
        <x:v>#NAME?</x:v>
      </x:c>
      <x:c r="R53" s="13" t="e">
        <x:f>IF($A53="","",[1]!thsiFinD("ths_adjustment_nv_fund",R$3,$A53))</x:f>
        <x:v>#NAME?</x:v>
      </x:c>
      <x:c r="S53" s="13" t="e">
        <x:f>IF($A53="","",[1]!thsiFinD("ths_adjustment_nv_fund",S$3,$A53))</x:f>
        <x:v>#NAME?</x:v>
      </x:c>
      <x:c r="T53" s="13" t="e">
        <x:f>IF($A53="","",[1]!thsiFinD("ths_adjustment_nv_fund",T$3,$A53))</x:f>
        <x:v>#NAME?</x:v>
      </x:c>
      <x:c r="U53" s="13" t="e">
        <x:f>IF($A53="","",[1]!thsiFinD("ths_adjustment_nv_fund",U$3,$A53))</x:f>
        <x:v>#NAME?</x:v>
      </x:c>
      <x:c r="V53" s="13" t="e">
        <x:f>IF($A53="","",[1]!thsiFinD("ths_adjustment_nv_fund",V$3,$A53))</x:f>
        <x:v>#NAME?</x:v>
      </x:c>
      <x:c r="W53" s="13" t="e">
        <x:f>IF($A53="","",[1]!thsiFinD("ths_adjustment_nv_fund",W$3,$A53))</x:f>
        <x:v>#NAME?</x:v>
      </x:c>
      <x:c r="X53" s="13" t="e">
        <x:f>IF($A53="","",[1]!thsiFinD("ths_adjustment_nv_fund",X$3,$A53))</x:f>
        <x:v>#NAME?</x:v>
      </x:c>
      <x:c r="Y53" s="13" t="e">
        <x:f>IF($A53="","",[1]!thsiFinD("ths_adjustment_nv_fund",Y$3,$A53))</x:f>
        <x:v>#NAME?</x:v>
      </x:c>
    </x:row>
    <x:row r="54">
      <x:c r="A54" s="8"/>
      <x:c r="B54" s="13" t="e">
        <x:f>IF($A54="","",[1]!thsiFinD("ths_adjustment_nv_fund",B$3,$A54))</x:f>
        <x:v>#NAME?</x:v>
      </x:c>
      <x:c r="C54" s="13" t="e">
        <x:f>IF($A54="","",[1]!thsiFinD("ths_adjustment_nv_fund",C$3,$A54))</x:f>
        <x:v>#NAME?</x:v>
      </x:c>
      <x:c r="D54" s="13" t="e">
        <x:f>IF($A54="","",[1]!thsiFinD("ths_adjustment_nv_fund",D$3,$A54))</x:f>
        <x:v>#NAME?</x:v>
      </x:c>
      <x:c r="E54" s="13" t="e">
        <x:f>IF($A54="","",[1]!thsiFinD("ths_adjustment_nv_fund",E$3,$A54))</x:f>
        <x:v>#NAME?</x:v>
      </x:c>
      <x:c r="F54" s="13" t="e">
        <x:f>IF($A54="","",[1]!thsiFinD("ths_adjustment_nv_fund",F$3,$A54))</x:f>
        <x:v>#NAME?</x:v>
      </x:c>
      <x:c r="G54" s="13" t="e">
        <x:f>IF($A54="","",[1]!thsiFinD("ths_adjustment_nv_fund",G$3,$A54))</x:f>
        <x:v>#NAME?</x:v>
      </x:c>
      <x:c r="H54" s="13" t="e">
        <x:f>IF($A54="","",[1]!thsiFinD("ths_adjustment_nv_fund",H$3,$A54))</x:f>
        <x:v>#NAME?</x:v>
      </x:c>
      <x:c r="I54" s="13" t="e">
        <x:f>IF($A54="","",[1]!thsiFinD("ths_adjustment_nv_fund",I$3,$A54))</x:f>
        <x:v>#NAME?</x:v>
      </x:c>
      <x:c r="J54" s="13" t="e">
        <x:f>IF($A54="","",[1]!thsiFinD("ths_adjustment_nv_fund",J$3,$A54))</x:f>
        <x:v>#NAME?</x:v>
      </x:c>
      <x:c r="K54" s="13" t="e">
        <x:f>IF($A54="","",[1]!thsiFinD("ths_adjustment_nv_fund",K$3,$A54))</x:f>
        <x:v>#NAME?</x:v>
      </x:c>
      <x:c r="L54" s="13" t="e">
        <x:f>IF($A54="","",[1]!thsiFinD("ths_adjustment_nv_fund",L$3,$A54))</x:f>
        <x:v>#NAME?</x:v>
      </x:c>
      <x:c r="M54" s="13" t="e">
        <x:f>IF($A54="","",[1]!thsiFinD("ths_adjustment_nv_fund",M$3,$A54))</x:f>
        <x:v>#NAME?</x:v>
      </x:c>
      <x:c r="N54" s="13" t="e">
        <x:f>IF($A54="","",[1]!thsiFinD("ths_adjustment_nv_fund",N$3,$A54))</x:f>
        <x:v>#NAME?</x:v>
      </x:c>
      <x:c r="O54" s="13" t="e">
        <x:f>IF($A54="","",[1]!thsiFinD("ths_adjustment_nv_fund",O$3,$A54))</x:f>
        <x:v>#NAME?</x:v>
      </x:c>
      <x:c r="P54" s="13" t="e">
        <x:f>IF($A54="","",[1]!thsiFinD("ths_adjustment_nv_fund",P$3,$A54))</x:f>
        <x:v>#NAME?</x:v>
      </x:c>
      <x:c r="Q54" s="13" t="e">
        <x:f>IF($A54="","",[1]!thsiFinD("ths_adjustment_nv_fund",Q$3,$A54))</x:f>
        <x:v>#NAME?</x:v>
      </x:c>
      <x:c r="R54" s="13" t="e">
        <x:f>IF($A54="","",[1]!thsiFinD("ths_adjustment_nv_fund",R$3,$A54))</x:f>
        <x:v>#NAME?</x:v>
      </x:c>
      <x:c r="S54" s="13" t="e">
        <x:f>IF($A54="","",[1]!thsiFinD("ths_adjustment_nv_fund",S$3,$A54))</x:f>
        <x:v>#NAME?</x:v>
      </x:c>
      <x:c r="T54" s="13" t="e">
        <x:f>IF($A54="","",[1]!thsiFinD("ths_adjustment_nv_fund",T$3,$A54))</x:f>
        <x:v>#NAME?</x:v>
      </x:c>
      <x:c r="U54" s="13" t="e">
        <x:f>IF($A54="","",[1]!thsiFinD("ths_adjustment_nv_fund",U$3,$A54))</x:f>
        <x:v>#NAME?</x:v>
      </x:c>
      <x:c r="V54" s="13" t="e">
        <x:f>IF($A54="","",[1]!thsiFinD("ths_adjustment_nv_fund",V$3,$A54))</x:f>
        <x:v>#NAME?</x:v>
      </x:c>
      <x:c r="W54" s="13" t="e">
        <x:f>IF($A54="","",[1]!thsiFinD("ths_adjustment_nv_fund",W$3,$A54))</x:f>
        <x:v>#NAME?</x:v>
      </x:c>
      <x:c r="X54" s="13" t="e">
        <x:f>IF($A54="","",[1]!thsiFinD("ths_adjustment_nv_fund",X$3,$A54))</x:f>
        <x:v>#NAME?</x:v>
      </x:c>
      <x:c r="Y54" s="13" t="e">
        <x:f>IF($A54="","",[1]!thsiFinD("ths_adjustment_nv_fund",Y$3,$A54))</x:f>
        <x:v>#NAME?</x:v>
      </x:c>
    </x:row>
    <x:row r="55">
      <x:c r="A55" s="8"/>
      <x:c r="B55" s="13" t="e">
        <x:f>IF($A55="","",[1]!thsiFinD("ths_adjustment_nv_fund",B$3,$A55))</x:f>
        <x:v>#NAME?</x:v>
      </x:c>
      <x:c r="C55" s="13" t="e">
        <x:f>IF($A55="","",[1]!thsiFinD("ths_adjustment_nv_fund",C$3,$A55))</x:f>
        <x:v>#NAME?</x:v>
      </x:c>
      <x:c r="D55" s="13" t="e">
        <x:f>IF($A55="","",[1]!thsiFinD("ths_adjustment_nv_fund",D$3,$A55))</x:f>
        <x:v>#NAME?</x:v>
      </x:c>
      <x:c r="E55" s="13" t="e">
        <x:f>IF($A55="","",[1]!thsiFinD("ths_adjustment_nv_fund",E$3,$A55))</x:f>
        <x:v>#NAME?</x:v>
      </x:c>
      <x:c r="F55" s="13" t="e">
        <x:f>IF($A55="","",[1]!thsiFinD("ths_adjustment_nv_fund",F$3,$A55))</x:f>
        <x:v>#NAME?</x:v>
      </x:c>
      <x:c r="G55" s="13" t="e">
        <x:f>IF($A55="","",[1]!thsiFinD("ths_adjustment_nv_fund",G$3,$A55))</x:f>
        <x:v>#NAME?</x:v>
      </x:c>
      <x:c r="H55" s="13" t="e">
        <x:f>IF($A55="","",[1]!thsiFinD("ths_adjustment_nv_fund",H$3,$A55))</x:f>
        <x:v>#NAME?</x:v>
      </x:c>
      <x:c r="I55" s="13" t="e">
        <x:f>IF($A55="","",[1]!thsiFinD("ths_adjustment_nv_fund",I$3,$A55))</x:f>
        <x:v>#NAME?</x:v>
      </x:c>
      <x:c r="J55" s="13" t="e">
        <x:f>IF($A55="","",[1]!thsiFinD("ths_adjustment_nv_fund",J$3,$A55))</x:f>
        <x:v>#NAME?</x:v>
      </x:c>
      <x:c r="K55" s="13" t="e">
        <x:f>IF($A55="","",[1]!thsiFinD("ths_adjustment_nv_fund",K$3,$A55))</x:f>
        <x:v>#NAME?</x:v>
      </x:c>
      <x:c r="L55" s="13" t="e">
        <x:f>IF($A55="","",[1]!thsiFinD("ths_adjustment_nv_fund",L$3,$A55))</x:f>
        <x:v>#NAME?</x:v>
      </x:c>
      <x:c r="M55" s="13" t="e">
        <x:f>IF($A55="","",[1]!thsiFinD("ths_adjustment_nv_fund",M$3,$A55))</x:f>
        <x:v>#NAME?</x:v>
      </x:c>
      <x:c r="N55" s="13" t="e">
        <x:f>IF($A55="","",[1]!thsiFinD("ths_adjustment_nv_fund",N$3,$A55))</x:f>
        <x:v>#NAME?</x:v>
      </x:c>
      <x:c r="O55" s="13" t="e">
        <x:f>IF($A55="","",[1]!thsiFinD("ths_adjustment_nv_fund",O$3,$A55))</x:f>
        <x:v>#NAME?</x:v>
      </x:c>
      <x:c r="P55" s="13" t="e">
        <x:f>IF($A55="","",[1]!thsiFinD("ths_adjustment_nv_fund",P$3,$A55))</x:f>
        <x:v>#NAME?</x:v>
      </x:c>
      <x:c r="Q55" s="13" t="e">
        <x:f>IF($A55="","",[1]!thsiFinD("ths_adjustment_nv_fund",Q$3,$A55))</x:f>
        <x:v>#NAME?</x:v>
      </x:c>
      <x:c r="R55" s="13" t="e">
        <x:f>IF($A55="","",[1]!thsiFinD("ths_adjustment_nv_fund",R$3,$A55))</x:f>
        <x:v>#NAME?</x:v>
      </x:c>
      <x:c r="S55" s="13" t="e">
        <x:f>IF($A55="","",[1]!thsiFinD("ths_adjustment_nv_fund",S$3,$A55))</x:f>
        <x:v>#NAME?</x:v>
      </x:c>
      <x:c r="T55" s="13" t="e">
        <x:f>IF($A55="","",[1]!thsiFinD("ths_adjustment_nv_fund",T$3,$A55))</x:f>
        <x:v>#NAME?</x:v>
      </x:c>
      <x:c r="U55" s="13" t="e">
        <x:f>IF($A55="","",[1]!thsiFinD("ths_adjustment_nv_fund",U$3,$A55))</x:f>
        <x:v>#NAME?</x:v>
      </x:c>
      <x:c r="V55" s="13" t="e">
        <x:f>IF($A55="","",[1]!thsiFinD("ths_adjustment_nv_fund",V$3,$A55))</x:f>
        <x:v>#NAME?</x:v>
      </x:c>
      <x:c r="W55" s="13" t="e">
        <x:f>IF($A55="","",[1]!thsiFinD("ths_adjustment_nv_fund",W$3,$A55))</x:f>
        <x:v>#NAME?</x:v>
      </x:c>
      <x:c r="X55" s="13" t="e">
        <x:f>IF($A55="","",[1]!thsiFinD("ths_adjustment_nv_fund",X$3,$A55))</x:f>
        <x:v>#NAME?</x:v>
      </x:c>
      <x:c r="Y55" s="13" t="e">
        <x:f>IF($A55="","",[1]!thsiFinD("ths_adjustment_nv_fund",Y$3,$A55))</x:f>
        <x:v>#NAME?</x:v>
      </x:c>
    </x:row>
    <x:row r="56">
      <x:c r="A56" s="8"/>
      <x:c r="B56" s="13" t="e">
        <x:f>IF($A56="","",[1]!thsiFinD("ths_adjustment_nv_fund",B$3,$A56))</x:f>
        <x:v>#NAME?</x:v>
      </x:c>
      <x:c r="C56" s="13" t="e">
        <x:f>IF($A56="","",[1]!thsiFinD("ths_adjustment_nv_fund",C$3,$A56))</x:f>
        <x:v>#NAME?</x:v>
      </x:c>
      <x:c r="D56" s="13" t="e">
        <x:f>IF($A56="","",[1]!thsiFinD("ths_adjustment_nv_fund",D$3,$A56))</x:f>
        <x:v>#NAME?</x:v>
      </x:c>
      <x:c r="E56" s="13" t="e">
        <x:f>IF($A56="","",[1]!thsiFinD("ths_adjustment_nv_fund",E$3,$A56))</x:f>
        <x:v>#NAME?</x:v>
      </x:c>
      <x:c r="F56" s="13" t="e">
        <x:f>IF($A56="","",[1]!thsiFinD("ths_adjustment_nv_fund",F$3,$A56))</x:f>
        <x:v>#NAME?</x:v>
      </x:c>
      <x:c r="G56" s="13" t="e">
        <x:f>IF($A56="","",[1]!thsiFinD("ths_adjustment_nv_fund",G$3,$A56))</x:f>
        <x:v>#NAME?</x:v>
      </x:c>
      <x:c r="H56" s="13" t="e">
        <x:f>IF($A56="","",[1]!thsiFinD("ths_adjustment_nv_fund",H$3,$A56))</x:f>
        <x:v>#NAME?</x:v>
      </x:c>
      <x:c r="I56" s="13" t="e">
        <x:f>IF($A56="","",[1]!thsiFinD("ths_adjustment_nv_fund",I$3,$A56))</x:f>
        <x:v>#NAME?</x:v>
      </x:c>
      <x:c r="J56" s="13" t="e">
        <x:f>IF($A56="","",[1]!thsiFinD("ths_adjustment_nv_fund",J$3,$A56))</x:f>
        <x:v>#NAME?</x:v>
      </x:c>
      <x:c r="K56" s="13" t="e">
        <x:f>IF($A56="","",[1]!thsiFinD("ths_adjustment_nv_fund",K$3,$A56))</x:f>
        <x:v>#NAME?</x:v>
      </x:c>
      <x:c r="L56" s="13" t="e">
        <x:f>IF($A56="","",[1]!thsiFinD("ths_adjustment_nv_fund",L$3,$A56))</x:f>
        <x:v>#NAME?</x:v>
      </x:c>
      <x:c r="M56" s="13" t="e">
        <x:f>IF($A56="","",[1]!thsiFinD("ths_adjustment_nv_fund",M$3,$A56))</x:f>
        <x:v>#NAME?</x:v>
      </x:c>
      <x:c r="N56" s="13" t="e">
        <x:f>IF($A56="","",[1]!thsiFinD("ths_adjustment_nv_fund",N$3,$A56))</x:f>
        <x:v>#NAME?</x:v>
      </x:c>
      <x:c r="O56" s="13" t="e">
        <x:f>IF($A56="","",[1]!thsiFinD("ths_adjustment_nv_fund",O$3,$A56))</x:f>
        <x:v>#NAME?</x:v>
      </x:c>
      <x:c r="P56" s="13" t="e">
        <x:f>IF($A56="","",[1]!thsiFinD("ths_adjustment_nv_fund",P$3,$A56))</x:f>
        <x:v>#NAME?</x:v>
      </x:c>
      <x:c r="Q56" s="13" t="e">
        <x:f>IF($A56="","",[1]!thsiFinD("ths_adjustment_nv_fund",Q$3,$A56))</x:f>
        <x:v>#NAME?</x:v>
      </x:c>
      <x:c r="R56" s="13" t="e">
        <x:f>IF($A56="","",[1]!thsiFinD("ths_adjustment_nv_fund",R$3,$A56))</x:f>
        <x:v>#NAME?</x:v>
      </x:c>
      <x:c r="S56" s="13" t="e">
        <x:f>IF($A56="","",[1]!thsiFinD("ths_adjustment_nv_fund",S$3,$A56))</x:f>
        <x:v>#NAME?</x:v>
      </x:c>
      <x:c r="T56" s="13" t="e">
        <x:f>IF($A56="","",[1]!thsiFinD("ths_adjustment_nv_fund",T$3,$A56))</x:f>
        <x:v>#NAME?</x:v>
      </x:c>
      <x:c r="U56" s="13" t="e">
        <x:f>IF($A56="","",[1]!thsiFinD("ths_adjustment_nv_fund",U$3,$A56))</x:f>
        <x:v>#NAME?</x:v>
      </x:c>
      <x:c r="V56" s="13" t="e">
        <x:f>IF($A56="","",[1]!thsiFinD("ths_adjustment_nv_fund",V$3,$A56))</x:f>
        <x:v>#NAME?</x:v>
      </x:c>
      <x:c r="W56" s="13" t="e">
        <x:f>IF($A56="","",[1]!thsiFinD("ths_adjustment_nv_fund",W$3,$A56))</x:f>
        <x:v>#NAME?</x:v>
      </x:c>
      <x:c r="X56" s="13" t="e">
        <x:f>IF($A56="","",[1]!thsiFinD("ths_adjustment_nv_fund",X$3,$A56))</x:f>
        <x:v>#NAME?</x:v>
      </x:c>
      <x:c r="Y56" s="13" t="e">
        <x:f>IF($A56="","",[1]!thsiFinD("ths_adjustment_nv_fund",Y$3,$A56))</x:f>
        <x:v>#NAME?</x:v>
      </x:c>
    </x:row>
    <x:row r="57">
      <x:c r="A57" s="8"/>
      <x:c r="B57" s="13" t="e">
        <x:f>IF($A57="","",[1]!thsiFinD("ths_adjustment_nv_fund",B$3,$A57))</x:f>
        <x:v>#NAME?</x:v>
      </x:c>
      <x:c r="C57" s="13" t="e">
        <x:f>IF($A57="","",[1]!thsiFinD("ths_adjustment_nv_fund",C$3,$A57))</x:f>
        <x:v>#NAME?</x:v>
      </x:c>
      <x:c r="D57" s="13" t="e">
        <x:f>IF($A57="","",[1]!thsiFinD("ths_adjustment_nv_fund",D$3,$A57))</x:f>
        <x:v>#NAME?</x:v>
      </x:c>
      <x:c r="E57" s="13" t="e">
        <x:f>IF($A57="","",[1]!thsiFinD("ths_adjustment_nv_fund",E$3,$A57))</x:f>
        <x:v>#NAME?</x:v>
      </x:c>
      <x:c r="F57" s="13" t="e">
        <x:f>IF($A57="","",[1]!thsiFinD("ths_adjustment_nv_fund",F$3,$A57))</x:f>
        <x:v>#NAME?</x:v>
      </x:c>
      <x:c r="G57" s="13" t="e">
        <x:f>IF($A57="","",[1]!thsiFinD("ths_adjustment_nv_fund",G$3,$A57))</x:f>
        <x:v>#NAME?</x:v>
      </x:c>
      <x:c r="H57" s="13" t="e">
        <x:f>IF($A57="","",[1]!thsiFinD("ths_adjustment_nv_fund",H$3,$A57))</x:f>
        <x:v>#NAME?</x:v>
      </x:c>
      <x:c r="I57" s="13" t="e">
        <x:f>IF($A57="","",[1]!thsiFinD("ths_adjustment_nv_fund",I$3,$A57))</x:f>
        <x:v>#NAME?</x:v>
      </x:c>
      <x:c r="J57" s="13" t="e">
        <x:f>IF($A57="","",[1]!thsiFinD("ths_adjustment_nv_fund",J$3,$A57))</x:f>
        <x:v>#NAME?</x:v>
      </x:c>
      <x:c r="K57" s="13" t="e">
        <x:f>IF($A57="","",[1]!thsiFinD("ths_adjustment_nv_fund",K$3,$A57))</x:f>
        <x:v>#NAME?</x:v>
      </x:c>
      <x:c r="L57" s="13" t="e">
        <x:f>IF($A57="","",[1]!thsiFinD("ths_adjustment_nv_fund",L$3,$A57))</x:f>
        <x:v>#NAME?</x:v>
      </x:c>
      <x:c r="M57" s="13" t="e">
        <x:f>IF($A57="","",[1]!thsiFinD("ths_adjustment_nv_fund",M$3,$A57))</x:f>
        <x:v>#NAME?</x:v>
      </x:c>
      <x:c r="N57" s="13" t="e">
        <x:f>IF($A57="","",[1]!thsiFinD("ths_adjustment_nv_fund",N$3,$A57))</x:f>
        <x:v>#NAME?</x:v>
      </x:c>
      <x:c r="O57" s="13" t="e">
        <x:f>IF($A57="","",[1]!thsiFinD("ths_adjustment_nv_fund",O$3,$A57))</x:f>
        <x:v>#NAME?</x:v>
      </x:c>
      <x:c r="P57" s="13" t="e">
        <x:f>IF($A57="","",[1]!thsiFinD("ths_adjustment_nv_fund",P$3,$A57))</x:f>
        <x:v>#NAME?</x:v>
      </x:c>
      <x:c r="Q57" s="13" t="e">
        <x:f>IF($A57="","",[1]!thsiFinD("ths_adjustment_nv_fund",Q$3,$A57))</x:f>
        <x:v>#NAME?</x:v>
      </x:c>
      <x:c r="R57" s="13" t="e">
        <x:f>IF($A57="","",[1]!thsiFinD("ths_adjustment_nv_fund",R$3,$A57))</x:f>
        <x:v>#NAME?</x:v>
      </x:c>
      <x:c r="S57" s="13" t="e">
        <x:f>IF($A57="","",[1]!thsiFinD("ths_adjustment_nv_fund",S$3,$A57))</x:f>
        <x:v>#NAME?</x:v>
      </x:c>
      <x:c r="T57" s="13" t="e">
        <x:f>IF($A57="","",[1]!thsiFinD("ths_adjustment_nv_fund",T$3,$A57))</x:f>
        <x:v>#NAME?</x:v>
      </x:c>
      <x:c r="U57" s="13" t="e">
        <x:f>IF($A57="","",[1]!thsiFinD("ths_adjustment_nv_fund",U$3,$A57))</x:f>
        <x:v>#NAME?</x:v>
      </x:c>
      <x:c r="V57" s="13" t="e">
        <x:f>IF($A57="","",[1]!thsiFinD("ths_adjustment_nv_fund",V$3,$A57))</x:f>
        <x:v>#NAME?</x:v>
      </x:c>
      <x:c r="W57" s="13" t="e">
        <x:f>IF($A57="","",[1]!thsiFinD("ths_adjustment_nv_fund",W$3,$A57))</x:f>
        <x:v>#NAME?</x:v>
      </x:c>
      <x:c r="X57" s="13" t="e">
        <x:f>IF($A57="","",[1]!thsiFinD("ths_adjustment_nv_fund",X$3,$A57))</x:f>
        <x:v>#NAME?</x:v>
      </x:c>
      <x:c r="Y57" s="13" t="e">
        <x:f>IF($A57="","",[1]!thsiFinD("ths_adjustment_nv_fund",Y$3,$A57))</x:f>
        <x:v>#NAME?</x:v>
      </x:c>
    </x:row>
    <x:row r="58">
      <x:c r="A58" s="8"/>
      <x:c r="B58" s="13" t="e">
        <x:f>IF($A58="","",[1]!thsiFinD("ths_adjustment_nv_fund",B$3,$A58))</x:f>
        <x:v>#NAME?</x:v>
      </x:c>
      <x:c r="C58" s="13" t="e">
        <x:f>IF($A58="","",[1]!thsiFinD("ths_adjustment_nv_fund",C$3,$A58))</x:f>
        <x:v>#NAME?</x:v>
      </x:c>
      <x:c r="D58" s="13" t="e">
        <x:f>IF($A58="","",[1]!thsiFinD("ths_adjustment_nv_fund",D$3,$A58))</x:f>
        <x:v>#NAME?</x:v>
      </x:c>
      <x:c r="E58" s="13" t="e">
        <x:f>IF($A58="","",[1]!thsiFinD("ths_adjustment_nv_fund",E$3,$A58))</x:f>
        <x:v>#NAME?</x:v>
      </x:c>
      <x:c r="F58" s="13" t="e">
        <x:f>IF($A58="","",[1]!thsiFinD("ths_adjustment_nv_fund",F$3,$A58))</x:f>
        <x:v>#NAME?</x:v>
      </x:c>
      <x:c r="G58" s="13" t="e">
        <x:f>IF($A58="","",[1]!thsiFinD("ths_adjustment_nv_fund",G$3,$A58))</x:f>
        <x:v>#NAME?</x:v>
      </x:c>
      <x:c r="H58" s="13" t="e">
        <x:f>IF($A58="","",[1]!thsiFinD("ths_adjustment_nv_fund",H$3,$A58))</x:f>
        <x:v>#NAME?</x:v>
      </x:c>
      <x:c r="I58" s="13" t="e">
        <x:f>IF($A58="","",[1]!thsiFinD("ths_adjustment_nv_fund",I$3,$A58))</x:f>
        <x:v>#NAME?</x:v>
      </x:c>
      <x:c r="J58" s="13" t="e">
        <x:f>IF($A58="","",[1]!thsiFinD("ths_adjustment_nv_fund",J$3,$A58))</x:f>
        <x:v>#NAME?</x:v>
      </x:c>
      <x:c r="K58" s="13" t="e">
        <x:f>IF($A58="","",[1]!thsiFinD("ths_adjustment_nv_fund",K$3,$A58))</x:f>
        <x:v>#NAME?</x:v>
      </x:c>
      <x:c r="L58" s="13" t="e">
        <x:f>IF($A58="","",[1]!thsiFinD("ths_adjustment_nv_fund",L$3,$A58))</x:f>
        <x:v>#NAME?</x:v>
      </x:c>
      <x:c r="M58" s="13" t="e">
        <x:f>IF($A58="","",[1]!thsiFinD("ths_adjustment_nv_fund",M$3,$A58))</x:f>
        <x:v>#NAME?</x:v>
      </x:c>
      <x:c r="N58" s="13" t="e">
        <x:f>IF($A58="","",[1]!thsiFinD("ths_adjustment_nv_fund",N$3,$A58))</x:f>
        <x:v>#NAME?</x:v>
      </x:c>
      <x:c r="O58" s="13" t="e">
        <x:f>IF($A58="","",[1]!thsiFinD("ths_adjustment_nv_fund",O$3,$A58))</x:f>
        <x:v>#NAME?</x:v>
      </x:c>
      <x:c r="P58" s="13" t="e">
        <x:f>IF($A58="","",[1]!thsiFinD("ths_adjustment_nv_fund",P$3,$A58))</x:f>
        <x:v>#NAME?</x:v>
      </x:c>
      <x:c r="Q58" s="13" t="e">
        <x:f>IF($A58="","",[1]!thsiFinD("ths_adjustment_nv_fund",Q$3,$A58))</x:f>
        <x:v>#NAME?</x:v>
      </x:c>
      <x:c r="R58" s="13" t="e">
        <x:f>IF($A58="","",[1]!thsiFinD("ths_adjustment_nv_fund",R$3,$A58))</x:f>
        <x:v>#NAME?</x:v>
      </x:c>
      <x:c r="S58" s="13" t="e">
        <x:f>IF($A58="","",[1]!thsiFinD("ths_adjustment_nv_fund",S$3,$A58))</x:f>
        <x:v>#NAME?</x:v>
      </x:c>
      <x:c r="T58" s="13" t="e">
        <x:f>IF($A58="","",[1]!thsiFinD("ths_adjustment_nv_fund",T$3,$A58))</x:f>
        <x:v>#NAME?</x:v>
      </x:c>
      <x:c r="U58" s="13" t="e">
        <x:f>IF($A58="","",[1]!thsiFinD("ths_adjustment_nv_fund",U$3,$A58))</x:f>
        <x:v>#NAME?</x:v>
      </x:c>
      <x:c r="V58" s="13" t="e">
        <x:f>IF($A58="","",[1]!thsiFinD("ths_adjustment_nv_fund",V$3,$A58))</x:f>
        <x:v>#NAME?</x:v>
      </x:c>
      <x:c r="W58" s="13" t="e">
        <x:f>IF($A58="","",[1]!thsiFinD("ths_adjustment_nv_fund",W$3,$A58))</x:f>
        <x:v>#NAME?</x:v>
      </x:c>
      <x:c r="X58" s="13" t="e">
        <x:f>IF($A58="","",[1]!thsiFinD("ths_adjustment_nv_fund",X$3,$A58))</x:f>
        <x:v>#NAME?</x:v>
      </x:c>
      <x:c r="Y58" s="13" t="e">
        <x:f>IF($A58="","",[1]!thsiFinD("ths_adjustment_nv_fund",Y$3,$A58))</x:f>
        <x:v>#NAME?</x:v>
      </x:c>
    </x:row>
    <x:row r="59">
      <x:c r="A59" s="8"/>
      <x:c r="B59" s="13" t="e">
        <x:f>IF($A59="","",[1]!thsiFinD("ths_adjustment_nv_fund",B$3,$A59))</x:f>
        <x:v>#NAME?</x:v>
      </x:c>
      <x:c r="C59" s="13" t="e">
        <x:f>IF($A59="","",[1]!thsiFinD("ths_adjustment_nv_fund",C$3,$A59))</x:f>
        <x:v>#NAME?</x:v>
      </x:c>
      <x:c r="D59" s="13" t="e">
        <x:f>IF($A59="","",[1]!thsiFinD("ths_adjustment_nv_fund",D$3,$A59))</x:f>
        <x:v>#NAME?</x:v>
      </x:c>
      <x:c r="E59" s="13" t="e">
        <x:f>IF($A59="","",[1]!thsiFinD("ths_adjustment_nv_fund",E$3,$A59))</x:f>
        <x:v>#NAME?</x:v>
      </x:c>
      <x:c r="F59" s="13" t="e">
        <x:f>IF($A59="","",[1]!thsiFinD("ths_adjustment_nv_fund",F$3,$A59))</x:f>
        <x:v>#NAME?</x:v>
      </x:c>
      <x:c r="G59" s="13" t="e">
        <x:f>IF($A59="","",[1]!thsiFinD("ths_adjustment_nv_fund",G$3,$A59))</x:f>
        <x:v>#NAME?</x:v>
      </x:c>
      <x:c r="H59" s="13" t="e">
        <x:f>IF($A59="","",[1]!thsiFinD("ths_adjustment_nv_fund",H$3,$A59))</x:f>
        <x:v>#NAME?</x:v>
      </x:c>
      <x:c r="I59" s="13" t="e">
        <x:f>IF($A59="","",[1]!thsiFinD("ths_adjustment_nv_fund",I$3,$A59))</x:f>
        <x:v>#NAME?</x:v>
      </x:c>
      <x:c r="J59" s="13" t="e">
        <x:f>IF($A59="","",[1]!thsiFinD("ths_adjustment_nv_fund",J$3,$A59))</x:f>
        <x:v>#NAME?</x:v>
      </x:c>
      <x:c r="K59" s="13" t="e">
        <x:f>IF($A59="","",[1]!thsiFinD("ths_adjustment_nv_fund",K$3,$A59))</x:f>
        <x:v>#NAME?</x:v>
      </x:c>
      <x:c r="L59" s="13" t="e">
        <x:f>IF($A59="","",[1]!thsiFinD("ths_adjustment_nv_fund",L$3,$A59))</x:f>
        <x:v>#NAME?</x:v>
      </x:c>
      <x:c r="M59" s="13" t="e">
        <x:f>IF($A59="","",[1]!thsiFinD("ths_adjustment_nv_fund",M$3,$A59))</x:f>
        <x:v>#NAME?</x:v>
      </x:c>
      <x:c r="N59" s="13" t="e">
        <x:f>IF($A59="","",[1]!thsiFinD("ths_adjustment_nv_fund",N$3,$A59))</x:f>
        <x:v>#NAME?</x:v>
      </x:c>
      <x:c r="O59" s="13" t="e">
        <x:f>IF($A59="","",[1]!thsiFinD("ths_adjustment_nv_fund",O$3,$A59))</x:f>
        <x:v>#NAME?</x:v>
      </x:c>
      <x:c r="P59" s="13" t="e">
        <x:f>IF($A59="","",[1]!thsiFinD("ths_adjustment_nv_fund",P$3,$A59))</x:f>
        <x:v>#NAME?</x:v>
      </x:c>
      <x:c r="Q59" s="13" t="e">
        <x:f>IF($A59="","",[1]!thsiFinD("ths_adjustment_nv_fund",Q$3,$A59))</x:f>
        <x:v>#NAME?</x:v>
      </x:c>
      <x:c r="R59" s="13" t="e">
        <x:f>IF($A59="","",[1]!thsiFinD("ths_adjustment_nv_fund",R$3,$A59))</x:f>
        <x:v>#NAME?</x:v>
      </x:c>
      <x:c r="S59" s="13" t="e">
        <x:f>IF($A59="","",[1]!thsiFinD("ths_adjustment_nv_fund",S$3,$A59))</x:f>
        <x:v>#NAME?</x:v>
      </x:c>
      <x:c r="T59" s="13" t="e">
        <x:f>IF($A59="","",[1]!thsiFinD("ths_adjustment_nv_fund",T$3,$A59))</x:f>
        <x:v>#NAME?</x:v>
      </x:c>
      <x:c r="U59" s="13" t="e">
        <x:f>IF($A59="","",[1]!thsiFinD("ths_adjustment_nv_fund",U$3,$A59))</x:f>
        <x:v>#NAME?</x:v>
      </x:c>
      <x:c r="V59" s="13" t="e">
        <x:f>IF($A59="","",[1]!thsiFinD("ths_adjustment_nv_fund",V$3,$A59))</x:f>
        <x:v>#NAME?</x:v>
      </x:c>
      <x:c r="W59" s="13" t="e">
        <x:f>IF($A59="","",[1]!thsiFinD("ths_adjustment_nv_fund",W$3,$A59))</x:f>
        <x:v>#NAME?</x:v>
      </x:c>
      <x:c r="X59" s="13" t="e">
        <x:f>IF($A59="","",[1]!thsiFinD("ths_adjustment_nv_fund",X$3,$A59))</x:f>
        <x:v>#NAME?</x:v>
      </x:c>
      <x:c r="Y59" s="13" t="e">
        <x:f>IF($A59="","",[1]!thsiFinD("ths_adjustment_nv_fund",Y$3,$A59))</x:f>
        <x:v>#NAME?</x:v>
      </x:c>
    </x:row>
    <x:row r="60">
      <x:c r="A60" s="8"/>
      <x:c r="B60" s="13" t="e">
        <x:f>IF($A60="","",[1]!thsiFinD("ths_adjustment_nv_fund",B$3,$A60))</x:f>
        <x:v>#NAME?</x:v>
      </x:c>
      <x:c r="C60" s="13" t="e">
        <x:f>IF($A60="","",[1]!thsiFinD("ths_adjustment_nv_fund",C$3,$A60))</x:f>
        <x:v>#NAME?</x:v>
      </x:c>
      <x:c r="D60" s="13" t="e">
        <x:f>IF($A60="","",[1]!thsiFinD("ths_adjustment_nv_fund",D$3,$A60))</x:f>
        <x:v>#NAME?</x:v>
      </x:c>
      <x:c r="E60" s="13" t="e">
        <x:f>IF($A60="","",[1]!thsiFinD("ths_adjustment_nv_fund",E$3,$A60))</x:f>
        <x:v>#NAME?</x:v>
      </x:c>
      <x:c r="F60" s="13" t="e">
        <x:f>IF($A60="","",[1]!thsiFinD("ths_adjustment_nv_fund",F$3,$A60))</x:f>
        <x:v>#NAME?</x:v>
      </x:c>
      <x:c r="G60" s="13" t="e">
        <x:f>IF($A60="","",[1]!thsiFinD("ths_adjustment_nv_fund",G$3,$A60))</x:f>
        <x:v>#NAME?</x:v>
      </x:c>
      <x:c r="H60" s="13" t="e">
        <x:f>IF($A60="","",[1]!thsiFinD("ths_adjustment_nv_fund",H$3,$A60))</x:f>
        <x:v>#NAME?</x:v>
      </x:c>
      <x:c r="I60" s="13" t="e">
        <x:f>IF($A60="","",[1]!thsiFinD("ths_adjustment_nv_fund",I$3,$A60))</x:f>
        <x:v>#NAME?</x:v>
      </x:c>
      <x:c r="J60" s="13" t="e">
        <x:f>IF($A60="","",[1]!thsiFinD("ths_adjustment_nv_fund",J$3,$A60))</x:f>
        <x:v>#NAME?</x:v>
      </x:c>
      <x:c r="K60" s="13" t="e">
        <x:f>IF($A60="","",[1]!thsiFinD("ths_adjustment_nv_fund",K$3,$A60))</x:f>
        <x:v>#NAME?</x:v>
      </x:c>
      <x:c r="L60" s="13" t="e">
        <x:f>IF($A60="","",[1]!thsiFinD("ths_adjustment_nv_fund",L$3,$A60))</x:f>
        <x:v>#NAME?</x:v>
      </x:c>
      <x:c r="M60" s="13" t="e">
        <x:f>IF($A60="","",[1]!thsiFinD("ths_adjustment_nv_fund",M$3,$A60))</x:f>
        <x:v>#NAME?</x:v>
      </x:c>
      <x:c r="N60" s="13" t="e">
        <x:f>IF($A60="","",[1]!thsiFinD("ths_adjustment_nv_fund",N$3,$A60))</x:f>
        <x:v>#NAME?</x:v>
      </x:c>
      <x:c r="O60" s="13" t="e">
        <x:f>IF($A60="","",[1]!thsiFinD("ths_adjustment_nv_fund",O$3,$A60))</x:f>
        <x:v>#NAME?</x:v>
      </x:c>
      <x:c r="P60" s="13" t="e">
        <x:f>IF($A60="","",[1]!thsiFinD("ths_adjustment_nv_fund",P$3,$A60))</x:f>
        <x:v>#NAME?</x:v>
      </x:c>
      <x:c r="Q60" s="13" t="e">
        <x:f>IF($A60="","",[1]!thsiFinD("ths_adjustment_nv_fund",Q$3,$A60))</x:f>
        <x:v>#NAME?</x:v>
      </x:c>
      <x:c r="R60" s="13" t="e">
        <x:f>IF($A60="","",[1]!thsiFinD("ths_adjustment_nv_fund",R$3,$A60))</x:f>
        <x:v>#NAME?</x:v>
      </x:c>
      <x:c r="S60" s="13" t="e">
        <x:f>IF($A60="","",[1]!thsiFinD("ths_adjustment_nv_fund",S$3,$A60))</x:f>
        <x:v>#NAME?</x:v>
      </x:c>
      <x:c r="T60" s="13" t="e">
        <x:f>IF($A60="","",[1]!thsiFinD("ths_adjustment_nv_fund",T$3,$A60))</x:f>
        <x:v>#NAME?</x:v>
      </x:c>
      <x:c r="U60" s="13" t="e">
        <x:f>IF($A60="","",[1]!thsiFinD("ths_adjustment_nv_fund",U$3,$A60))</x:f>
        <x:v>#NAME?</x:v>
      </x:c>
      <x:c r="V60" s="13" t="e">
        <x:f>IF($A60="","",[1]!thsiFinD("ths_adjustment_nv_fund",V$3,$A60))</x:f>
        <x:v>#NAME?</x:v>
      </x:c>
      <x:c r="W60" s="13" t="e">
        <x:f>IF($A60="","",[1]!thsiFinD("ths_adjustment_nv_fund",W$3,$A60))</x:f>
        <x:v>#NAME?</x:v>
      </x:c>
      <x:c r="X60" s="13" t="e">
        <x:f>IF($A60="","",[1]!thsiFinD("ths_adjustment_nv_fund",X$3,$A60))</x:f>
        <x:v>#NAME?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13.1796875" customWidth="1"/>
    <x:col min="22" max="22" width="14.81640625" customWidth="1"/>
  </x:cols>
  <x:sheetData>
    <x:row r="1" ht="18.75" customHeight="1">
      <x:c r="A1" s="56" t="s">
        <x:v>63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13.5" customHeight="1">
      <x:c r="A2" s="56"/>
      <x:c r="B2" s="56"/>
      <x:c r="C2" s="56"/>
      <x:c r="D2" s="56"/>
      <x:c r="E2" s="56"/>
      <x:c r="F2" s="56"/>
      <x:c r="G2" s="56"/>
      <x:c r="H2" s="56"/>
      <x:c r="I2" s="56"/>
      <x:c r="J2" s="56"/>
    </x:row>
    <x:row r="3" ht="42" customHeight="1">
      <x:c r="B3" s="14" t="s">
        <x:v>64</x:v>
      </x:c>
      <x:c r="E3" s="14" t="s">
        <x:v>65</x:v>
      </x:c>
      <x:c r="H3" s="14" t="s">
        <x:v>66</x:v>
      </x:c>
      <x:c r="K3" s="14" t="s">
        <x:v>67</x:v>
      </x:c>
      <x:c r="N3" s="14" t="s">
        <x:v>68</x:v>
      </x:c>
      <x:c r="Q3" s="14" t="s">
        <x:v>69</x:v>
      </x:c>
    </x:row>
    <x:row r="4" ht="13">
      <x:c r="A4" s="1" t="s">
        <x:v>70</x:v>
      </x:c>
      <x:c r="B4" s="1" t="s">
        <x:v>71</x:v>
      </x:c>
      <x:c r="C4" s="1" t="s">
        <x:v>72</x:v>
      </x:c>
      <x:c r="D4" s="1" t="s">
        <x:v>73</x:v>
      </x:c>
      <x:c r="E4" s="1" t="s">
        <x:v>71</x:v>
      </x:c>
      <x:c r="F4" s="1" t="s">
        <x:v>72</x:v>
      </x:c>
      <x:c r="G4" s="1" t="s">
        <x:v>73</x:v>
      </x:c>
      <x:c r="H4" s="1" t="s">
        <x:v>71</x:v>
      </x:c>
      <x:c r="I4" s="1" t="s">
        <x:v>72</x:v>
      </x:c>
      <x:c r="J4" s="1" t="s">
        <x:v>73</x:v>
      </x:c>
      <x:c r="K4" s="1" t="s">
        <x:v>71</x:v>
      </x:c>
      <x:c r="L4" s="1" t="s">
        <x:v>72</x:v>
      </x:c>
      <x:c r="M4" s="1" t="s">
        <x:v>73</x:v>
      </x:c>
      <x:c r="N4" s="1" t="s">
        <x:v>71</x:v>
      </x:c>
      <x:c r="O4" s="1" t="s">
        <x:v>72</x:v>
      </x:c>
      <x:c r="P4" s="1" t="s">
        <x:v>73</x:v>
      </x:c>
      <x:c r="Q4" s="1" t="s">
        <x:v>71</x:v>
      </x:c>
      <x:c r="R4" s="1" t="s">
        <x:v>72</x:v>
      </x:c>
      <x:c r="S4" s="1" t="s">
        <x:v>73</x:v>
      </x:c>
    </x:row>
    <x:row r="5" ht="14">
      <x:c r="A5" s="15" t="n">
        <x:f>IF('实盘净值数据(iFinD公式)'!A5="","",'实盘净值数据(iFinD公式)'!A5)</x:f>
        <x:v>46191</x:v>
      </x:c>
      <x:c r="B5" s="13" t="e">
        <x: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x:f>
        <x:v>#NAME?</x:v>
      </x:c>
      <x:c r="C5" s="16"/>
      <x:c r="D5" s="16" t="e">
        <x:f>IF(B5="","",B5/MAX(B$5:B5)-1)</x:f>
        <x:v>#NAME?</x:v>
      </x:c>
      <x:c r="E5" s="13">
        <x:v>1</x:v>
      </x:c>
      <x:c r="F5" s="16"/>
      <x:c r="G5" s="16" t="n">
        <x:f>IF(E5="","",E5/MAX(E$5:E5)-1)</x:f>
        <x:v>0</x:v>
      </x:c>
      <x:c r="H5" s="13" t="e">
        <x: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x:f>
        <x:v>#NAME?</x:v>
      </x:c>
      <x:c r="I5" s="16"/>
      <x:c r="J5" s="16" t="e">
        <x:f>IF(H5="","",H5/MAX(H$5:H5)-1)</x:f>
        <x:v>#NAME?</x:v>
      </x:c>
      <x:c r="K5" s="13" t="e">
        <x: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x:f>
        <x:v>#NAME?</x:v>
      </x:c>
      <x:c r="L5" s="16"/>
      <x:c r="M5" s="16" t="e">
        <x:f>IF(K5="","",K5/MAX(K$5:K5)-1)</x:f>
        <x:v>#NAME?</x:v>
      </x:c>
      <x:c r="N5" s="13">
        <x:v>1</x:v>
      </x:c>
      <x:c r="O5" s="16"/>
      <x:c r="P5" s="16" t="n">
        <x:f>IF(N5="","",N5/MAX(N$5:N5)-1)</x:f>
        <x:v>0</x:v>
      </x:c>
      <x:c r="Q5" s="13" t="e">
        <x: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x:f>
        <x:v>#NAME?</x:v>
      </x:c>
      <x:c r="R5" s="16"/>
      <x:c r="S5" s="16" t="e">
        <x:f>IF(Q5="","",Q5/MAX(Q$5:Q5)-1)</x:f>
        <x:v>#NAME?</x:v>
      </x:c>
      <x:c r="U5" s="17"/>
    </x:row>
    <x:row r="6" ht="14">
      <x:c r="A6" s="15" t="n">
        <x:f>IF('实盘净值数据(iFinD公式)'!A6="","",'实盘净值数据(iFinD公式)'!A6)</x:f>
        <x:v>46195</x:v>
      </x:c>
      <x:c r="B6" s="13">
        <x:v>1</x:v>
      </x:c>
      <x:c r="C6" s="16" t="e">
        <x: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x:f>
        <x:v>#NAME?</x:v>
      </x:c>
      <x:c r="D6" s="16" t="e">
        <x:f>IF(B6="","",B6/MAX(B$5:B6)-1)</x:f>
        <x:v>#NAME?</x:v>
      </x:c>
      <x:c r="E6" s="13" t="e">
        <x: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x:f>
        <x:v>#NAME?</x:v>
      </x:c>
      <x:c r="F6" s="16" t="e">
        <x: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x:f>
        <x:v>#NAME?</x:v>
      </x:c>
      <x:c r="G6" s="16" t="e">
        <x:f>IF(E6="","",E6/MAX(E$5:E6)-1)</x:f>
        <x:v>#NAME?</x:v>
      </x:c>
      <x:c r="H6" s="13" t="e">
        <x: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x:f>
        <x:v>#NAME?</x:v>
      </x:c>
      <x:c r="I6" s="16" t="e">
        <x: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x:f>
        <x:v>#NAME?</x:v>
      </x:c>
      <x:c r="J6" s="16" t="e">
        <x:f>IF(H6="","",H6/MAX(H$5:H6)-1)</x:f>
        <x:v>#NAME?</x:v>
      </x:c>
      <x:c r="K6" s="13" t="e">
        <x: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x:f>
        <x:v>#NAME?</x:v>
      </x:c>
      <x:c r="L6" s="16" t="e">
        <x: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x:f>
        <x:v>#NAME?</x:v>
      </x:c>
      <x:c r="M6" s="16" t="e">
        <x:f>IF(K6="","",K6/MAX(K$5:K6)-1)</x:f>
        <x:v>#NAME?</x:v>
      </x:c>
      <x:c r="N6" s="13" t="e">
        <x: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x:f>
        <x:v>#NAME?</x:v>
      </x:c>
      <x:c r="O6" s="16" t="e">
        <x: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x:f>
        <x:v>#NAME?</x:v>
      </x:c>
      <x:c r="P6" s="16" t="e">
        <x:f>IF(N6="","",N6/MAX(N$5:N6)-1)</x:f>
        <x:v>#NAME?</x:v>
      </x:c>
      <x:c r="Q6" s="13" t="e">
        <x: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x:f>
        <x:v>#NAME?</x:v>
      </x:c>
      <x:c r="R6" s="16" t="e">
        <x: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x:f>
        <x:v>#NAME?</x:v>
      </x:c>
      <x:c r="S6" s="16" t="e">
        <x:f>IF(Q6="","",Q6/MAX(Q$5:Q6)-1)</x:f>
        <x:v>#NAME?</x:v>
      </x:c>
      <x:c r="U6" s="17"/>
      <x:c r="V6" s="18"/>
    </x:row>
    <x:row r="7" ht="14">
      <x:c r="A7" s="15" t="n">
        <x:f>IF('实盘净值数据(iFinD公式)'!A7="","",'实盘净值数据(iFinD公式)'!A7)</x:f>
        <x:v>46196</x:v>
      </x:c>
      <x:c r="B7" s="13" t="e">
        <x: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x:f>
        <x:v>#NAME?</x:v>
      </x:c>
      <x:c r="C7" s="16" t="e">
        <x: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x:f>
        <x:v>#NAME?</x:v>
      </x:c>
      <x:c r="D7" s="16" t="e">
        <x:f>IF(B7="","",B7/MAX(B$5:B7)-1)</x:f>
        <x:v>#NAME?</x:v>
      </x:c>
      <x:c r="E7" s="13" t="e">
        <x: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x:f>
        <x:v>#NAME?</x:v>
      </x:c>
      <x:c r="F7" s="16" t="e">
        <x: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x:f>
        <x:v>#NAME?</x:v>
      </x:c>
      <x:c r="G7" s="16" t="e">
        <x:f>IF(E7="","",E7/MAX(E$5:E7)-1)</x:f>
        <x:v>#NAME?</x:v>
      </x:c>
      <x:c r="H7" s="13">
        <x:v>1</x:v>
      </x:c>
      <x:c r="I7" s="16" t="e">
        <x: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x:f>
        <x:v>#NAME?</x:v>
      </x:c>
      <x:c r="J7" s="16" t="e">
        <x:f>IF(H7="","",H7/MAX(H$5:H7)-1)</x:f>
        <x:v>#NAME?</x:v>
      </x:c>
      <x:c r="K7" s="13" t="e">
        <x: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x:f>
        <x:v>#NAME?</x:v>
      </x:c>
      <x:c r="L7" s="16" t="e">
        <x: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x:f>
        <x:v>#NAME?</x:v>
      </x:c>
      <x:c r="M7" s="16" t="e">
        <x:f>IF(K7="","",K7/MAX(K$5:K7)-1)</x:f>
        <x:v>#NAME?</x:v>
      </x:c>
      <x:c r="N7" s="13" t="e">
        <x: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x:f>
        <x:v>#NAME?</x:v>
      </x:c>
      <x:c r="O7" s="16" t="e">
        <x: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x:f>
        <x:v>#NAME?</x:v>
      </x:c>
      <x:c r="P7" s="16" t="e">
        <x:f>IF(N7="","",N7/MAX(N$5:N7)-1)</x:f>
        <x:v>#NAME?</x:v>
      </x:c>
      <x:c r="Q7" s="13" t="e">
        <x: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x:f>
        <x:v>#NAME?</x:v>
      </x:c>
      <x:c r="R7" s="16" t="e">
        <x: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x:f>
        <x:v>#NAME?</x:v>
      </x:c>
      <x:c r="S7" s="16" t="e">
        <x:f>IF(Q7="","",Q7/MAX(Q$5:Q7)-1)</x:f>
        <x:v>#NAME?</x:v>
      </x:c>
      <x:c r="U7" s="17"/>
      <x:c r="V7" s="18"/>
    </x:row>
    <x:row r="8" ht="14">
      <x:c r="A8" s="15" t="n">
        <x:f>IF('实盘净值数据(iFinD公式)'!A8="","",'实盘净值数据(iFinD公式)'!A8)</x:f>
        <x:v>46197</x:v>
      </x:c>
      <x:c r="B8" s="13" t="e">
        <x: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x:f>
        <x:v>#NAME?</x:v>
      </x:c>
      <x:c r="C8" s="16" t="e">
        <x: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x:f>
        <x:v>#NAME?</x:v>
      </x:c>
      <x:c r="D8" s="16" t="e">
        <x:f>IF(B8="","",B8/MAX(B$5:B8)-1)</x:f>
        <x:v>#NAME?</x:v>
      </x:c>
      <x:c r="E8" s="13" t="e">
        <x: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x:f>
        <x:v>#NAME?</x:v>
      </x:c>
      <x:c r="F8" s="16" t="e">
        <x: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x:f>
        <x:v>#NAME?</x:v>
      </x:c>
      <x:c r="G8" s="16" t="e">
        <x:f>IF(E8="","",E8/MAX(E$5:E8)-1)</x:f>
        <x:v>#NAME?</x:v>
      </x:c>
      <x:c r="H8" s="13" t="e">
        <x: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x:f>
        <x:v>#NAME?</x:v>
      </x:c>
      <x:c r="I8" s="16" t="e">
        <x: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x:f>
        <x:v>#NAME?</x:v>
      </x:c>
      <x:c r="J8" s="16" t="e">
        <x:f>IF(H8="","",H8/MAX(H$5:H8)-1)</x:f>
        <x:v>#NAME?</x:v>
      </x:c>
      <x:c r="K8" s="13">
        <x:v>1</x:v>
      </x:c>
      <x:c r="L8" s="16" t="e">
        <x: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x:f>
        <x:v>#NAME?</x:v>
      </x:c>
      <x:c r="M8" s="16" t="e">
        <x:f>IF(K8="","",K8/MAX(K$5:K8)-1)</x:f>
        <x:v>#NAME?</x:v>
      </x:c>
      <x:c r="N8" s="13" t="e">
        <x: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x:f>
        <x:v>#NAME?</x:v>
      </x:c>
      <x:c r="O8" s="16" t="e">
        <x: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x:f>
        <x:v>#NAME?</x:v>
      </x:c>
      <x:c r="P8" s="16" t="e">
        <x:f>IF(N8="","",N8/MAX(N$5:N8)-1)</x:f>
        <x:v>#NAME?</x:v>
      </x:c>
      <x:c r="Q8" s="13">
        <x:v>1</x:v>
      </x:c>
      <x:c r="R8" s="16" t="e">
        <x: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x:f>
        <x:v>#NAME?</x:v>
      </x:c>
      <x:c r="S8" s="16" t="e">
        <x:f>IF(Q8="","",Q8/MAX(Q$5:Q8)-1)</x:f>
        <x:v>#NAME?</x:v>
      </x:c>
      <x:c r="U8" s="17"/>
      <x:c r="V8" s="18"/>
    </x:row>
    <x:row r="9" ht="14">
      <x:c r="A9" s="15" t="n">
        <x:f>IF('实盘净值数据(iFinD公式)'!A9="","",'实盘净值数据(iFinD公式)'!A9)</x:f>
        <x:v>46198</x:v>
      </x:c>
      <x:c r="B9" s="13" t="e">
        <x: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x:f>
        <x:v>#NAME?</x:v>
      </x:c>
      <x:c r="C9" s="16" t="e">
        <x: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x:f>
        <x:v>#NAME?</x:v>
      </x:c>
      <x:c r="D9" s="16" t="e">
        <x:f>IF(B9="","",B9/MAX(B$5:B9)-1)</x:f>
        <x:v>#NAME?</x:v>
      </x:c>
      <x:c r="E9" s="13" t="e">
        <x: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x:f>
        <x:v>#NAME?</x:v>
      </x:c>
      <x:c r="F9" s="16" t="e">
        <x: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x:f>
        <x:v>#NAME?</x:v>
      </x:c>
      <x:c r="G9" s="16" t="e">
        <x:f>IF(E9="","",E9/MAX(E$5:E9)-1)</x:f>
        <x:v>#NAME?</x:v>
      </x:c>
      <x:c r="H9" s="13" t="e">
        <x: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x:f>
        <x:v>#NAME?</x:v>
      </x:c>
      <x:c r="I9" s="16" t="e">
        <x: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x:f>
        <x:v>#NAME?</x:v>
      </x:c>
      <x:c r="J9" s="16" t="e">
        <x:f>IF(H9="","",H9/MAX(H$5:H9)-1)</x:f>
        <x:v>#NAME?</x:v>
      </x:c>
      <x:c r="K9" s="13" t="e">
        <x: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x:f>
        <x:v>#NAME?</x:v>
      </x:c>
      <x:c r="L9" s="16" t="e">
        <x: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x:f>
        <x:v>#NAME?</x:v>
      </x:c>
      <x:c r="M9" s="16" t="e">
        <x:f>IF(K9="","",K9/MAX(K$5:K9)-1)</x:f>
        <x:v>#NAME?</x:v>
      </x:c>
      <x:c r="N9" s="13" t="e">
        <x: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x:f>
        <x:v>#NAME?</x:v>
      </x:c>
      <x:c r="O9" s="16" t="e">
        <x: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x:f>
        <x:v>#NAME?</x:v>
      </x:c>
      <x:c r="P9" s="16" t="e">
        <x:f>IF(N9="","",N9/MAX(N$5:N9)-1)</x:f>
        <x:v>#NAME?</x:v>
      </x:c>
      <x:c r="Q9" s="13" t="e">
        <x: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x:f>
        <x:v>#NAME?</x:v>
      </x:c>
      <x:c r="R9" s="16" t="e">
        <x: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x:f>
        <x:v>#NAME?</x:v>
      </x:c>
      <x:c r="S9" s="16" t="e">
        <x:f>IF(Q9="","",Q9/MAX(Q$5:Q9)-1)</x:f>
        <x:v>#NAME?</x:v>
      </x:c>
      <x:c r="U9" s="17"/>
      <x:c r="V9" s="18"/>
    </x:row>
    <x:row r="10" ht="14">
      <x:c r="A10" s="15" t="n">
        <x:f>IF('实盘净值数据(iFinD公式)'!A10="","",'实盘净值数据(iFinD公式)'!A10)</x:f>
        <x:v>46199</x:v>
      </x:c>
      <x:c r="B10" s="13" t="e">
        <x: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x:f>
        <x:v>#NAME?</x:v>
      </x:c>
      <x:c r="C10" s="16" t="e">
        <x: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x:f>
        <x:v>#NAME?</x:v>
      </x:c>
      <x:c r="D10" s="16" t="e">
        <x:f>IF(B10="","",B10/MAX(B$5:B10)-1)</x:f>
        <x:v>#NAME?</x:v>
      </x:c>
      <x:c r="E10" s="13" t="e">
        <x: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x:f>
        <x:v>#NAME?</x:v>
      </x:c>
      <x:c r="F10" s="16" t="e">
        <x: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x:f>
        <x:v>#NAME?</x:v>
      </x:c>
      <x:c r="G10" s="16" t="e">
        <x:f>IF(E10="","",E10/MAX(E$5:E10)-1)</x:f>
        <x:v>#NAME?</x:v>
      </x:c>
      <x:c r="H10" s="13" t="e">
        <x: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x:f>
        <x:v>#NAME?</x:v>
      </x:c>
      <x:c r="I10" s="16" t="e">
        <x: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x:f>
        <x:v>#NAME?</x:v>
      </x:c>
      <x:c r="J10" s="16" t="e">
        <x:f>IF(H10="","",H10/MAX(H$5:H10)-1)</x:f>
        <x:v>#NAME?</x:v>
      </x:c>
      <x:c r="K10" s="13" t="e">
        <x: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x:f>
        <x:v>#NAME?</x:v>
      </x:c>
      <x:c r="L10" s="16" t="e">
        <x: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x:f>
        <x:v>#NAME?</x:v>
      </x:c>
      <x:c r="M10" s="16" t="e">
        <x:f>IF(K10="","",K10/MAX(K$5:K10)-1)</x:f>
        <x:v>#NAME?</x:v>
      </x:c>
      <x:c r="N10" s="13" t="e">
        <x: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x:f>
        <x:v>#NAME?</x:v>
      </x:c>
      <x:c r="O10" s="16" t="e">
        <x: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x:f>
        <x:v>#NAME?</x:v>
      </x:c>
      <x:c r="P10" s="16" t="e">
        <x:f>IF(N10="","",N10/MAX(N$5:N10)-1)</x:f>
        <x:v>#NAME?</x:v>
      </x:c>
      <x:c r="Q10" s="13" t="e">
        <x: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x:f>
        <x:v>#NAME?</x:v>
      </x:c>
      <x:c r="R10" s="16" t="e">
        <x: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x:f>
        <x:v>#NAME?</x:v>
      </x:c>
      <x:c r="S10" s="16" t="e">
        <x:f>IF(Q10="","",Q10/MAX(Q$5:Q10)-1)</x:f>
        <x:v>#NAME?</x:v>
      </x:c>
      <x:c r="U10" s="17"/>
      <x:c r="V10" s="18"/>
    </x:row>
    <x:row r="11" ht="14">
      <x:c r="A11" s="15" t="n">
        <x:f>IF('实盘净值数据(iFinD公式)'!A11="","",'实盘净值数据(iFinD公式)'!A11)</x:f>
        <x:v>46202</x:v>
      </x:c>
      <x:c r="B11" s="13" t="e">
        <x: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x:f>
        <x:v>#NAME?</x:v>
      </x:c>
      <x:c r="C11" s="16" t="e">
        <x: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x:f>
        <x:v>#NAME?</x:v>
      </x:c>
      <x:c r="D11" s="16" t="e">
        <x:f>IF(B11="","",B11/MAX(B$5:B11)-1)</x:f>
        <x:v>#NAME?</x:v>
      </x:c>
      <x:c r="E11" s="13" t="e">
        <x: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x:f>
        <x:v>#NAME?</x:v>
      </x:c>
      <x:c r="F11" s="16" t="e">
        <x: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x:f>
        <x:v>#NAME?</x:v>
      </x:c>
      <x:c r="G11" s="16" t="e">
        <x:f>IF(E11="","",E11/MAX(E$5:E11)-1)</x:f>
        <x:v>#NAME?</x:v>
      </x:c>
      <x:c r="H11" s="13" t="e">
        <x: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x:f>
        <x:v>#NAME?</x:v>
      </x:c>
      <x:c r="I11" s="16" t="e">
        <x: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x:f>
        <x:v>#NAME?</x:v>
      </x:c>
      <x:c r="J11" s="16" t="e">
        <x:f>IF(H11="","",H11/MAX(H$5:H11)-1)</x:f>
        <x:v>#NAME?</x:v>
      </x:c>
      <x:c r="K11" s="13" t="e">
        <x: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x:f>
        <x:v>#NAME?</x:v>
      </x:c>
      <x:c r="L11" s="16" t="e">
        <x: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x:f>
        <x:v>#NAME?</x:v>
      </x:c>
      <x:c r="M11" s="16" t="e">
        <x:f>IF(K11="","",K11/MAX(K$5:K11)-1)</x:f>
        <x:v>#NAME?</x:v>
      </x:c>
      <x:c r="N11" s="13" t="e">
        <x: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x:f>
        <x:v>#NAME?</x:v>
      </x:c>
      <x:c r="O11" s="16" t="e">
        <x: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x:f>
        <x:v>#NAME?</x:v>
      </x:c>
      <x:c r="P11" s="16" t="e">
        <x:f>IF(N11="","",N11/MAX(N$5:N11)-1)</x:f>
        <x:v>#NAME?</x:v>
      </x:c>
      <x:c r="Q11" s="13" t="e">
        <x: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x:f>
        <x:v>#NAME?</x:v>
      </x:c>
      <x:c r="R11" s="16" t="e">
        <x: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x:f>
        <x:v>#NAME?</x:v>
      </x:c>
      <x:c r="S11" s="16" t="e">
        <x:f>IF(Q11="","",Q11/MAX(Q$5:Q11)-1)</x:f>
        <x:v>#NAME?</x:v>
      </x:c>
      <x:c r="U11" s="17"/>
      <x:c r="V11" s="18"/>
    </x:row>
    <x:row r="12">
      <x:c r="A12" s="15" t="n">
        <x:f>IF('实盘净值数据(iFinD公式)'!A12="","",'实盘净值数据(iFinD公式)'!A12)</x:f>
        <x:v>46203</x:v>
      </x:c>
      <x:c r="B12" s="13" t="e">
        <x: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x:f>
        <x:v>#NAME?</x:v>
      </x:c>
      <x:c r="C12" s="16" t="e">
        <x: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x:f>
        <x:v>#NAME?</x:v>
      </x:c>
      <x:c r="D12" s="16" t="e">
        <x:f>IF(B12="","",B12/MAX(B$5:B12)-1)</x:f>
        <x:v>#NAME?</x:v>
      </x:c>
      <x:c r="E12" s="13" t="e">
        <x: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x:f>
        <x:v>#NAME?</x:v>
      </x:c>
      <x:c r="F12" s="16" t="e">
        <x: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x:f>
        <x:v>#NAME?</x:v>
      </x:c>
      <x:c r="G12" s="16" t="e">
        <x:f>IF(E12="","",E12/MAX(E$5:E12)-1)</x:f>
        <x:v>#NAME?</x:v>
      </x:c>
      <x:c r="H12" s="13" t="e">
        <x: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x:f>
        <x:v>#NAME?</x:v>
      </x:c>
      <x:c r="I12" s="16" t="e">
        <x: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x:f>
        <x:v>#NAME?</x:v>
      </x:c>
      <x:c r="J12" s="16" t="e">
        <x:f>IF(H12="","",H12/MAX(H$5:H12)-1)</x:f>
        <x:v>#NAME?</x:v>
      </x:c>
      <x:c r="K12" s="13" t="e">
        <x: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x:f>
        <x:v>#NAME?</x:v>
      </x:c>
      <x:c r="L12" s="16" t="e">
        <x: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x:f>
        <x:v>#NAME?</x:v>
      </x:c>
      <x:c r="M12" s="16" t="e">
        <x:f>IF(K12="","",K12/MAX(K$5:K12)-1)</x:f>
        <x:v>#NAME?</x:v>
      </x:c>
      <x:c r="N12" s="13" t="e">
        <x: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x:f>
        <x:v>#NAME?</x:v>
      </x:c>
      <x:c r="O12" s="16" t="e">
        <x: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x:f>
        <x:v>#NAME?</x:v>
      </x:c>
      <x:c r="P12" s="16" t="e">
        <x:f>IF(N12="","",N12/MAX(N$5:N12)-1)</x:f>
        <x:v>#NAME?</x:v>
      </x:c>
      <x:c r="Q12" s="13" t="e">
        <x: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x:f>
        <x:v>#NAME?</x:v>
      </x:c>
      <x:c r="R12" s="16" t="e">
        <x: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x:f>
        <x:v>#NAME?</x:v>
      </x:c>
      <x:c r="S12" s="16" t="e">
        <x:f>IF(Q12="","",Q12/MAX(Q$5:Q12)-1)</x:f>
        <x:v>#NAME?</x:v>
      </x:c>
    </x:row>
    <x:row r="13">
      <x:c r="A13" s="15" t="n">
        <x:f>IF('实盘净值数据(iFinD公式)'!A13="","",'实盘净值数据(iFinD公式)'!A13)</x:f>
        <x:v>46204</x:v>
      </x:c>
      <x:c r="B13" s="13" t="e">
        <x: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x:f>
        <x:v>#NAME?</x:v>
      </x:c>
      <x:c r="C13" s="16" t="e">
        <x: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x:f>
        <x:v>#NAME?</x:v>
      </x:c>
      <x:c r="D13" s="16" t="e">
        <x:f>IF(B13="","",B13/MAX(B$5:B13)-1)</x:f>
        <x:v>#NAME?</x:v>
      </x:c>
      <x:c r="E13" s="13" t="e">
        <x: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x:f>
        <x:v>#NAME?</x:v>
      </x:c>
      <x:c r="F13" s="16" t="e">
        <x: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x:f>
        <x:v>#NAME?</x:v>
      </x:c>
      <x:c r="G13" s="16" t="e">
        <x:f>IF(E13="","",E13/MAX(E$5:E13)-1)</x:f>
        <x:v>#NAME?</x:v>
      </x:c>
      <x:c r="H13" s="13" t="e">
        <x: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x:f>
        <x:v>#NAME?</x:v>
      </x:c>
      <x:c r="I13" s="16" t="e">
        <x: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x:f>
        <x:v>#NAME?</x:v>
      </x:c>
      <x:c r="J13" s="16" t="e">
        <x:f>IF(H13="","",H13/MAX(H$5:H13)-1)</x:f>
        <x:v>#NAME?</x:v>
      </x:c>
      <x:c r="K13" s="13" t="e">
        <x: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x:f>
        <x:v>#NAME?</x:v>
      </x:c>
      <x:c r="L13" s="16" t="e">
        <x: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x:f>
        <x:v>#NAME?</x:v>
      </x:c>
      <x:c r="M13" s="16" t="e">
        <x:f>IF(K13="","",K13/MAX(K$5:K13)-1)</x:f>
        <x:v>#NAME?</x:v>
      </x:c>
      <x:c r="N13" s="13" t="e">
        <x: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x:f>
        <x:v>#NAME?</x:v>
      </x:c>
      <x:c r="O13" s="16" t="e">
        <x: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x:f>
        <x:v>#NAME?</x:v>
      </x:c>
      <x:c r="P13" s="16" t="e">
        <x:f>IF(N13="","",N13/MAX(N$5:N13)-1)</x:f>
        <x:v>#NAME?</x:v>
      </x:c>
      <x:c r="Q13" s="13" t="e">
        <x: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x:f>
        <x:v>#NAME?</x:v>
      </x:c>
      <x:c r="R13" s="16" t="e">
        <x: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x:f>
        <x:v>#NAME?</x:v>
      </x:c>
      <x:c r="S13" s="16" t="e">
        <x:f>IF(Q13="","",Q13/MAX(Q$5:Q13)-1)</x:f>
        <x:v>#NAME?</x:v>
      </x:c>
    </x:row>
    <x:row r="14">
      <x:c r="A14" s="15" t="n">
        <x:f>IF('实盘净值数据(iFinD公式)'!A14="","",'实盘净值数据(iFinD公式)'!A14)</x:f>
        <x:v>46205</x:v>
      </x:c>
      <x:c r="B14" s="13" t="e">
        <x: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x:f>
        <x:v>#NAME?</x:v>
      </x:c>
      <x:c r="C14" s="16" t="e">
        <x: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x:f>
        <x:v>#NAME?</x:v>
      </x:c>
      <x:c r="D14" s="16" t="e">
        <x:f>IF(B14="","",B14/MAX(B$5:B14)-1)</x:f>
        <x:v>#NAME?</x:v>
      </x:c>
      <x:c r="E14" s="13" t="e">
        <x: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x:f>
        <x:v>#NAME?</x:v>
      </x:c>
      <x:c r="F14" s="16" t="e">
        <x: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x:f>
        <x:v>#NAME?</x:v>
      </x:c>
      <x:c r="G14" s="16" t="e">
        <x:f>IF(E14="","",E14/MAX(E$5:E14)-1)</x:f>
        <x:v>#NAME?</x:v>
      </x:c>
      <x:c r="H14" s="13" t="e">
        <x: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x:f>
        <x:v>#NAME?</x:v>
      </x:c>
      <x:c r="I14" s="16" t="e">
        <x: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x:f>
        <x:v>#NAME?</x:v>
      </x:c>
      <x:c r="J14" s="16" t="e">
        <x:f>IF(H14="","",H14/MAX(H$5:H14)-1)</x:f>
        <x:v>#NAME?</x:v>
      </x:c>
      <x:c r="K14" s="13" t="e">
        <x: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x:f>
        <x:v>#NAME?</x:v>
      </x:c>
      <x:c r="L14" s="16" t="e">
        <x:f t="shared" ref="L14:L59" si="0">IF(OR(K13="",K14=""),"",K14/K13-1)</x:f>
        <x:v>#NAME?</x:v>
      </x:c>
      <x:c r="M14" s="16" t="e">
        <x:f>IF(K14="","",K14/MAX(K$5:K14)-1)</x:f>
        <x:v>#NAME?</x:v>
      </x:c>
      <x:c r="N14" s="13" t="e">
        <x: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x:f>
        <x:v>#NAME?</x:v>
      </x:c>
      <x:c r="O14" s="16" t="e">
        <x:f t="shared" ref="O14:O59" si="1">IF(OR(N13="",N14=""),"",N14/N13-1)</x:f>
        <x:v>#NAME?</x:v>
      </x:c>
      <x:c r="P14" s="16" t="e">
        <x:f>IF(N14="","",N14/MAX(N$5:N14)-1)</x:f>
        <x:v>#NAME?</x:v>
      </x:c>
      <x:c r="Q14" s="13" t="e">
        <x: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x:f>
        <x:v>#NAME?</x:v>
      </x:c>
      <x:c r="R14" s="16" t="e">
        <x:f t="shared" ref="R14:R59" si="2">IF(OR(Q13="",Q14=""),"",Q14/Q13-1)</x:f>
        <x:v>#NAME?</x:v>
      </x:c>
      <x:c r="S14" s="16" t="e">
        <x:f>IF(Q14="","",Q14/MAX(Q$5:Q14)-1)</x:f>
        <x:v>#NAME?</x:v>
      </x:c>
    </x:row>
    <x:row r="15">
      <x:c r="A15" s="15" t="n">
        <x:f>IF('实盘净值数据(iFinD公式)'!A15="","",'实盘净值数据(iFinD公式)'!A15)</x:f>
        <x:v>46206</x:v>
      </x:c>
      <x:c r="B15" s="13" t="e">
        <x: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x:f>
        <x:v>#NAME?</x:v>
      </x:c>
      <x:c r="C15" s="16" t="e">
        <x: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x:f>
        <x:v>#NAME?</x:v>
      </x:c>
      <x:c r="D15" s="16" t="e">
        <x:f>IF(B15="","",B15/MAX(B$5:B15)-1)</x:f>
        <x:v>#NAME?</x:v>
      </x:c>
      <x:c r="E15" s="13" t="e">
        <x: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x:f>
        <x:v>#NAME?</x:v>
      </x:c>
      <x:c r="F15" s="16" t="e">
        <x: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x:f>
        <x:v>#NAME?</x:v>
      </x:c>
      <x:c r="G15" s="16" t="e">
        <x:f>IF(E15="","",E15/MAX(E$5:E15)-1)</x:f>
        <x:v>#NAME?</x:v>
      </x:c>
      <x:c r="H15" s="13" t="e">
        <x: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x:f>
        <x:v>#NAME?</x:v>
      </x:c>
      <x:c r="I15" s="16" t="e">
        <x: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x:f>
        <x:v>#NAME?</x:v>
      </x:c>
      <x:c r="J15" s="16" t="e">
        <x:f>IF(H15="","",H15/MAX(H$5:H15)-1)</x:f>
        <x:v>#NAME?</x:v>
      </x:c>
      <x:c r="K15" s="13" t="e">
        <x: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x:f>
        <x:v>#NAME?</x:v>
      </x:c>
      <x:c r="L15" s="16">
        <x:f t="shared" si="0"/>
        <x:v>1.1604737502870499E-3</x:v>
      </x:c>
      <x:c r="M15" s="16" t="e">
        <x:f>IF(K15="","",K15/MAX(K$5:K15)-1)</x:f>
        <x:v>#NAME?</x:v>
      </x:c>
      <x:c r="N15" s="13" t="e">
        <x: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x:f>
        <x:v>#NAME?</x:v>
      </x:c>
      <x:c r="O15" s="16">
        <x:f t="shared" si="1"/>
        <x:v>8.7897091192234988E-4</x:v>
      </x:c>
      <x:c r="P15" s="16" t="e">
        <x:f>IF(N15="","",N15/MAX(N$5:N15)-1)</x:f>
        <x:v>#NAME?</x:v>
      </x:c>
      <x:c r="Q15" s="13" t="e">
        <x: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x:f>
        <x:v>#NAME?</x:v>
      </x:c>
      <x:c r="R15" s="16">
        <x:f t="shared" si="2"/>
        <x:v>2.8159611368421267E-3</x:v>
      </x:c>
      <x:c r="S15" s="16" t="e">
        <x:f>IF(Q15="","",Q15/MAX(Q$5:Q15)-1)</x:f>
        <x:v>#NAME?</x:v>
      </x:c>
    </x:row>
    <x:row r="16">
      <x:c r="A16" s="15" t="n">
        <x:f>IF('实盘净值数据(iFinD公式)'!A16="","",'实盘净值数据(iFinD公式)'!A16)</x:f>
        <x:v>46209</x:v>
      </x:c>
      <x:c r="B16" s="13" t="e">
        <x: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x:f>
        <x:v>#NAME?</x:v>
      </x:c>
      <x:c r="C16" s="16" t="e">
        <x: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x:f>
        <x:v>#NAME?</x:v>
      </x:c>
      <x:c r="D16" s="16" t="e">
        <x:f>IF(B16="","",B16/MAX(B$5:B16)-1)</x:f>
        <x:v>#NAME?</x:v>
      </x:c>
      <x:c r="E16" s="13" t="e">
        <x: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x:f>
        <x:v>#NAME?</x:v>
      </x:c>
      <x:c r="F16" s="16" t="e">
        <x: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x:f>
        <x:v>#NAME?</x:v>
      </x:c>
      <x:c r="G16" s="16" t="e">
        <x:f>IF(E16="","",E16/MAX(E$5:E16)-1)</x:f>
        <x:v>#NAME?</x:v>
      </x:c>
      <x:c r="H16" s="13" t="e">
        <x: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x:f>
        <x:v>#NAME?</x:v>
      </x:c>
      <x:c r="I16" s="16" t="e">
        <x: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x:f>
        <x:v>#NAME?</x:v>
      </x:c>
      <x:c r="J16" s="16" t="e">
        <x:f>IF(H16="","",H16/MAX(H$5:H16)-1)</x:f>
        <x:v>#NAME?</x:v>
      </x:c>
      <x:c r="K16" s="13" t="e">
        <x: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x:f>
        <x:v>#NAME?</x:v>
      </x:c>
      <x:c r="L16" s="16">
        <x:f t="shared" si="0"/>
        <x:v>-7.9494371656008145E-4</x:v>
      </x:c>
      <x:c r="M16" s="16" t="e">
        <x:f>IF(K16="","",K16/MAX(K$5:K16)-1)</x:f>
        <x:v>#NAME?</x:v>
      </x:c>
      <x:c r="N16" s="13" t="e">
        <x: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x:f>
        <x:v>#NAME?</x:v>
      </x:c>
      <x:c r="O16" s="16">
        <x:f t="shared" si="1"/>
        <x:v>-9.053772577444219E-4</x:v>
      </x:c>
      <x:c r="P16" s="16" t="e">
        <x:f>IF(N16="","",N16/MAX(N$5:N16)-1)</x:f>
        <x:v>#NAME?</x:v>
      </x:c>
      <x:c r="Q16" s="13" t="e">
        <x: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x:f>
        <x:v>#NAME?</x:v>
      </x:c>
      <x:c r="R16" s="16">
        <x:f t="shared" si="2"/>
        <x:v>-3.636802192071964E-3</x:v>
      </x:c>
      <x:c r="S16" s="16" t="e">
        <x:f>IF(Q16="","",Q16/MAX(Q$5:Q16)-1)</x:f>
        <x:v>#NAME?</x:v>
      </x:c>
    </x:row>
    <x:row r="17">
      <x:c r="A17" s="15" t="n">
        <x:f>IF('实盘净值数据(iFinD公式)'!A17="","",'实盘净值数据(iFinD公式)'!A17)</x:f>
        <x:v>46210</x:v>
      </x:c>
      <x:c r="B17" s="13" t="e">
        <x: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x:f>
        <x:v>#NAME?</x:v>
      </x:c>
      <x:c r="C17" s="16" t="e">
        <x: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x:f>
        <x:v>#NAME?</x:v>
      </x:c>
      <x:c r="D17" s="16" t="e">
        <x:f>IF(B17="","",B17/MAX(B$5:B17)-1)</x:f>
        <x:v>#NAME?</x:v>
      </x:c>
      <x:c r="E17" s="13" t="e">
        <x: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x:f>
        <x:v>#NAME?</x:v>
      </x:c>
      <x:c r="F17" s="16" t="e">
        <x: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x:f>
        <x:v>#NAME?</x:v>
      </x:c>
      <x:c r="G17" s="16" t="e">
        <x:f>IF(E17="","",E17/MAX(E$5:E17)-1)</x:f>
        <x:v>#NAME?</x:v>
      </x:c>
      <x:c r="H17" s="13" t="e">
        <x: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x:f>
        <x:v>#NAME?</x:v>
      </x:c>
      <x:c r="I17" s="16" t="e">
        <x: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x:f>
        <x:v>#NAME?</x:v>
      </x:c>
      <x:c r="J17" s="16" t="e">
        <x:f>IF(H17="","",H17/MAX(H$5:H17)-1)</x:f>
        <x:v>#NAME?</x:v>
      </x:c>
      <x:c r="K17" s="13" t="e">
        <x: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x:f>
        <x:v>#NAME?</x:v>
      </x:c>
      <x:c r="L17" s="16">
        <x:f t="shared" si="0"/>
        <x:v>-8.4001470322170313E-4</x:v>
      </x:c>
      <x:c r="M17" s="16" t="e">
        <x:f>IF(K17="","",K17/MAX(K$5:K17)-1)</x:f>
        <x:v>#NAME?</x:v>
      </x:c>
      <x:c r="N17" s="13" t="e">
        <x: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x:f>
        <x:v>#NAME?</x:v>
      </x:c>
      <x:c r="O17" s="16">
        <x:f t="shared" si="1"/>
        <x:v>-6.2135729851486854E-4</x:v>
      </x:c>
      <x:c r="P17" s="16" t="e">
        <x:f>IF(N17="","",N17/MAX(N$5:N17)-1)</x:f>
        <x:v>#NAME?</x:v>
      </x:c>
      <x:c r="Q17" s="13" t="e">
        <x: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x:f>
        <x:v>#NAME?</x:v>
      </x:c>
      <x:c r="R17" s="16">
        <x:f t="shared" si="2"/>
        <x:v>-2.6839096079485092E-3</x:v>
      </x:c>
      <x:c r="S17" s="16" t="e">
        <x:f>IF(Q17="","",Q17/MAX(Q$5:Q17)-1)</x:f>
        <x:v>#NAME?</x:v>
      </x:c>
    </x:row>
    <x:row r="18">
      <x:c r="A18" s="15" t="n">
        <x:f>IF('实盘净值数据(iFinD公式)'!A18="","",'实盘净值数据(iFinD公式)'!A18)</x:f>
        <x:v>46211</x:v>
      </x:c>
      <x:c r="B18" s="13" t="e">
        <x: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x:f>
        <x:v>#NAME?</x:v>
      </x:c>
      <x:c r="C18" s="16" t="e">
        <x: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x:f>
        <x:v>#NAME?</x:v>
      </x:c>
      <x:c r="D18" s="16" t="e">
        <x:f>IF(B18="","",B18/MAX(B$5:B18)-1)</x:f>
        <x:v>#NAME?</x:v>
      </x:c>
      <x:c r="E18" s="13" t="e">
        <x: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x:f>
        <x:v>#NAME?</x:v>
      </x:c>
      <x:c r="F18" s="16" t="e">
        <x: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x:f>
        <x:v>#NAME?</x:v>
      </x:c>
      <x:c r="G18" s="16" t="e">
        <x:f>IF(E18="","",E18/MAX(E$5:E18)-1)</x:f>
        <x:v>#NAME?</x:v>
      </x:c>
      <x:c r="H18" s="13" t="e">
        <x: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x:f>
        <x:v>#NAME?</x:v>
      </x:c>
      <x:c r="I18" s="16" t="e">
        <x: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x:f>
        <x:v>#NAME?</x:v>
      </x:c>
      <x:c r="J18" s="16" t="e">
        <x:f>IF(H18="","",H18/MAX(H$5:H18)-1)</x:f>
        <x:v>#NAME?</x:v>
      </x:c>
      <x:c r="K18" s="13" t="e">
        <x:f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x:f>
        <x:v>#NAME?</x:v>
      </x:c>
      <x:c r="L18" s="16">
        <x:f t="shared" si="0"/>
        <x:v>1.0977628849095922E-4</x:v>
      </x:c>
      <x:c r="M18" s="16" t="e">
        <x:f>IF(K18="","",K18/MAX(K$5:K18)-1)</x:f>
        <x:v>#NAME?</x:v>
      </x:c>
      <x:c r="N18" s="13" t="e">
        <x:f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x:f>
        <x:v>#NAME?</x:v>
      </x:c>
      <x:c r="O18" s="16">
        <x:f t="shared" si="1"/>
        <x:v>1.5120483169894783E-4</x:v>
      </x:c>
      <x:c r="P18" s="16" t="e">
        <x:f>IF(N18="","",N18/MAX(N$5:N18)-1)</x:f>
        <x:v>#NAME?</x:v>
      </x:c>
      <x:c r="Q18" s="13" t="e">
        <x:f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x:f>
        <x:v>#NAME?</x:v>
      </x:c>
      <x:c r="R18" s="16">
        <x:f t="shared" si="2"/>
        <x:v>-1.1556245628689954E-3</x:v>
      </x:c>
      <x:c r="S18" s="16" t="e">
        <x:f>IF(Q18="","",Q18/MAX(Q$5:Q18)-1)</x:f>
        <x:v>#NAME?</x:v>
      </x:c>
    </x:row>
    <x:row r="19">
      <x:c r="A19" s="15" t="n">
        <x:f>IF('实盘净值数据(iFinD公式)'!A19="","",'实盘净值数据(iFinD公式)'!A19)</x:f>
        <x:v>46212</x:v>
      </x:c>
      <x:c r="B19" s="13" t="e">
        <x: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x:f>
        <x:v>#NAME?</x:v>
      </x:c>
      <x:c r="C19" s="16" t="e">
        <x: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x:f>
        <x:v>#NAME?</x:v>
      </x:c>
      <x:c r="D19" s="16" t="e">
        <x:f>IF(B19="","",B19/MAX(B$5:B19)-1)</x:f>
        <x:v>#NAME?</x:v>
      </x:c>
      <x:c r="E19" s="13" t="e">
        <x: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x:f>
        <x:v>#NAME?</x:v>
      </x:c>
      <x:c r="F19" s="16" t="e">
        <x: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x:f>
        <x:v>#NAME?</x:v>
      </x:c>
      <x:c r="G19" s="16" t="e">
        <x:f>IF(E19="","",E19/MAX(E$5:E19)-1)</x:f>
        <x:v>#NAME?</x:v>
      </x:c>
      <x:c r="H19" s="13" t="e">
        <x: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x:f>
        <x:v>#NAME?</x:v>
      </x:c>
      <x:c r="I19" s="16" t="e">
        <x: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x:f>
        <x:v>#NAME?</x:v>
      </x:c>
      <x:c r="J19" s="16" t="e">
        <x:f>IF(H19="","",H19/MAX(H$5:H19)-1)</x:f>
        <x:v>#NAME?</x:v>
      </x:c>
      <x:c r="K19" s="13" t="e">
        <x:f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x:f>
        <x:v>#NAME?</x:v>
      </x:c>
      <x:c r="L19" s="16">
        <x:f t="shared" si="0"/>
        <x:v>5.045244954632544E-3</x:v>
      </x:c>
      <x:c r="M19" s="16" t="e">
        <x:f>IF(K19="","",K19/MAX(K$5:K19)-1)</x:f>
        <x:v>#NAME?</x:v>
      </x:c>
      <x:c r="N19" s="13" t="e">
        <x:f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x:f>
        <x:v>#NAME?</x:v>
      </x:c>
      <x:c r="O19" s="16">
        <x:f t="shared" si="1"/>
        <x:v>5.1279302404989568E-3</x:v>
      </x:c>
      <x:c r="P19" s="16" t="e">
        <x:f>IF(N19="","",N19/MAX(N$5:N19)-1)</x:f>
        <x:v>#NAME?</x:v>
      </x:c>
      <x:c r="Q19" s="13" t="e">
        <x:f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x:f>
        <x:v>#NAME?</x:v>
      </x:c>
      <x:c r="R19" s="16">
        <x:f t="shared" si="2"/>
        <x:v>1.4098968993180083E-2</x:v>
      </x:c>
      <x:c r="S19" s="16" t="e">
        <x:f>IF(Q19="","",Q19/MAX(Q$5:Q19)-1)</x:f>
        <x:v>#NAME?</x:v>
      </x:c>
    </x:row>
    <x:row r="20">
      <x:c r="A20" s="15" t="n">
        <x:f>IF('实盘净值数据(iFinD公式)'!A20="","",'实盘净值数据(iFinD公式)'!A20)</x:f>
        <x:v>46213</x:v>
      </x:c>
      <x:c r="B20" s="13" t="e">
        <x: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x:f>
        <x:v>#NAME?</x:v>
      </x:c>
      <x:c r="C20" s="16" t="e">
        <x: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x:f>
        <x:v>#NAME?</x:v>
      </x:c>
      <x:c r="D20" s="16" t="e">
        <x:f>IF(B20="","",B20/MAX(B$5:B20)-1)</x:f>
        <x:v>#NAME?</x:v>
      </x:c>
      <x:c r="E20" s="13" t="e">
        <x: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x:f>
        <x:v>#NAME?</x:v>
      </x:c>
      <x:c r="F20" s="16" t="e">
        <x: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x:f>
        <x:v>#NAME?</x:v>
      </x:c>
      <x:c r="G20" s="16" t="e">
        <x:f>IF(E20="","",E20/MAX(E$5:E20)-1)</x:f>
        <x:v>#NAME?</x:v>
      </x:c>
      <x:c r="H20" s="13" t="e">
        <x: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x:f>
        <x:v>#NAME?</x:v>
      </x:c>
      <x:c r="I20" s="16" t="e">
        <x: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x:f>
        <x:v>#NAME?</x:v>
      </x:c>
      <x:c r="J20" s="16" t="e">
        <x:f>IF(H20="","",H20/MAX(H$5:H20)-1)</x:f>
        <x:v>#NAME?</x:v>
      </x:c>
      <x:c r="K20" s="13" t="e">
        <x:f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x:f>
        <x:v>#NAME?</x:v>
      </x:c>
      <x:c r="L20" s="16">
        <x:f t="shared" si="0"/>
        <x:v>-3.8455790923733746E-3</x:v>
      </x:c>
      <x:c r="M20" s="16" t="e">
        <x:f>IF(K20="","",K20/MAX(K$5:K20)-1)</x:f>
        <x:v>#NAME?</x:v>
      </x:c>
      <x:c r="N20" s="13" t="e">
        <x:f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x:f>
        <x:v>#NAME?</x:v>
      </x:c>
      <x:c r="O20" s="16">
        <x:f t="shared" si="1"/>
        <x:v>-3.7303653272452442E-3</x:v>
      </x:c>
      <x:c r="P20" s="16" t="e">
        <x:f>IF(N20="","",N20/MAX(N$5:N20)-1)</x:f>
        <x:v>#NAME?</x:v>
      </x:c>
      <x:c r="Q20" s="13" t="e">
        <x:f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x:f>
        <x:v>#NAME?</x:v>
      </x:c>
      <x:c r="R20" s="16">
        <x:f t="shared" si="2"/>
        <x:v>-1.0788736254276343E-2</x:v>
      </x:c>
      <x:c r="S20" s="16" t="e">
        <x:f>IF(Q20="","",Q20/MAX(Q$5:Q20)-1)</x:f>
        <x:v>#NAME?</x:v>
      </x:c>
    </x:row>
    <x:row r="21">
      <x:c r="A21" s="15" t="n">
        <x:f>IF('实盘净值数据(iFinD公式)'!A21="","",'实盘净值数据(iFinD公式)'!A21)</x:f>
        <x:v>46216</x:v>
      </x:c>
      <x:c r="B21" s="13" t="e">
        <x:f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x:f>
        <x:v>#NAME?</x:v>
      </x:c>
      <x:c r="C21" s="16" t="e">
        <x:f t="shared" ref="C21:C59" si="3">IF(OR(B20="",B21=""),"",B21/B20-1)</x:f>
        <x:v>#NAME?</x:v>
      </x:c>
      <x:c r="D21" s="16" t="e">
        <x:f>IF(B21="","",B21/MAX(B$5:B21)-1)</x:f>
        <x:v>#NAME?</x:v>
      </x:c>
      <x:c r="E21" s="13" t="e">
        <x:f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x:f>
        <x:v>#NAME?</x:v>
      </x:c>
      <x:c r="F21" s="16" t="e">
        <x:f t="shared" ref="F21:F59" si="4">IF(OR(E20="",E21=""),"",E21/E20-1)</x:f>
        <x:v>#NAME?</x:v>
      </x:c>
      <x:c r="G21" s="16" t="e">
        <x:f>IF(E21="","",E21/MAX(E$5:E21)-1)</x:f>
        <x:v>#NAME?</x:v>
      </x:c>
      <x:c r="H21" s="13" t="e">
        <x:f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x:f>
        <x:v>#NAME?</x:v>
      </x:c>
      <x:c r="I21" s="16" t="e">
        <x:f t="shared" ref="I21:I59" si="5">IF(OR(H20="",H21=""),"",H21/H20-1)</x:f>
        <x:v>#NAME?</x:v>
      </x:c>
      <x:c r="J21" s="16" t="e">
        <x:f>IF(H21="","",H21/MAX(H$5:H21)-1)</x:f>
        <x:v>#NAME?</x:v>
      </x:c>
      <x:c r="K21" s="13" t="e">
        <x:f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x:f>
        <x:v>#NAME?</x:v>
      </x:c>
      <x:c r="L21" s="16">
        <x:f t="shared" si="0"/>
        <x:v>-5.279694485343156E-3</x:v>
      </x:c>
      <x:c r="M21" s="16" t="e">
        <x:f>IF(K21="","",K21/MAX(K$5:K21)-1)</x:f>
        <x:v>#NAME?</x:v>
      </x:c>
      <x:c r="N21" s="13" t="e">
        <x:f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x:f>
        <x:v>#NAME?</x:v>
      </x:c>
      <x:c r="O21" s="16">
        <x:f t="shared" si="1"/>
        <x:v>-5.2098485929698013E-3</x:v>
      </x:c>
      <x:c r="P21" s="16" t="e">
        <x:f>IF(N21="","",N21/MAX(N$5:N21)-1)</x:f>
        <x:v>#NAME?</x:v>
      </x:c>
      <x:c r="Q21" s="13" t="e">
        <x:f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x:f>
        <x:v>#NAME?</x:v>
      </x:c>
      <x:c r="R21" s="16">
        <x:f t="shared" si="2"/>
        <x:v>-1.4197214055200136E-2</x:v>
      </x:c>
      <x:c r="S21" s="16" t="e">
        <x:f>IF(Q21="","",Q21/MAX(Q$5:Q21)-1)</x:f>
        <x:v>#NAME?</x:v>
      </x:c>
    </x:row>
    <x:row r="22">
      <x:c r="A22" s="15" t="n">
        <x:f>IF('实盘净值数据(iFinD公式)'!A22="","",'实盘净值数据(iFinD公式)'!A22)</x:f>
        <x:v>46217</x:v>
      </x:c>
      <x:c r="B22" s="13" t="e">
        <x:f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x:f>
        <x:v>#NAME?</x:v>
      </x:c>
      <x:c r="C22" s="16">
        <x:f t="shared" si="3"/>
        <x:v>3.205871312805364E-2</x:v>
      </x:c>
      <x:c r="D22" s="16" t="e">
        <x:f>IF(B22="","",B22/MAX(B$5:B22)-1)</x:f>
        <x:v>#NAME?</x:v>
      </x:c>
      <x:c r="E22" s="13" t="e">
        <x:f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x:f>
        <x:v>#NAME?</x:v>
      </x:c>
      <x:c r="F22" s="16">
        <x:f t="shared" si="4"/>
        <x:v>3.2213305406552095E-2</x:v>
      </x:c>
      <x:c r="G22" s="16" t="e">
        <x:f>IF(E22="","",E22/MAX(E$5:E22)-1)</x:f>
        <x:v>#NAME?</x:v>
      </x:c>
      <x:c r="H22" s="13" t="e">
        <x:f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x:f>
        <x:v>#NAME?</x:v>
      </x:c>
      <x:c r="I22" s="16">
        <x:f t="shared" si="5"/>
        <x:v>2.6955636680072725E-2</x:v>
      </x:c>
      <x:c r="J22" s="16" t="e">
        <x:f>IF(H22="","",H22/MAX(H$5:H22)-1)</x:f>
        <x:v>#NAME?</x:v>
      </x:c>
      <x:c r="K22" s="13" t="e">
        <x:f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x:f>
        <x:v>#NAME?</x:v>
      </x:c>
      <x:c r="L22" s="16">
        <x:f t="shared" si="0"/>
        <x:v>2.4497772184137734E-3</x:v>
      </x:c>
      <x:c r="M22" s="16" t="e">
        <x:f>IF(K22="","",K22/MAX(K$5:K22)-1)</x:f>
        <x:v>#NAME?</x:v>
      </x:c>
      <x:c r="N22" s="13" t="e">
        <x:f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x:f>
        <x:v>#NAME?</x:v>
      </x:c>
      <x:c r="O22" s="16">
        <x:f t="shared" si="1"/>
        <x:v>2.7799402867583201E-3</x:v>
      </x:c>
      <x:c r="P22" s="16" t="e">
        <x:f>IF(N22="","",N22/MAX(N$5:N22)-1)</x:f>
        <x:v>#NAME?</x:v>
      </x:c>
      <x:c r="Q22" s="13" t="e">
        <x:f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x:f>
        <x:v>#NAME?</x:v>
      </x:c>
      <x:c r="R22" s="16">
        <x:f t="shared" si="2"/>
        <x:v>7.4221660592184158E-3</x:v>
      </x:c>
      <x:c r="S22" s="16" t="e">
        <x:f>IF(Q22="","",Q22/MAX(Q$5:Q22)-1)</x:f>
        <x:v>#NAME?</x:v>
      </x:c>
    </x:row>
    <x:row r="23">
      <x:c r="A23" s="15" t="n">
        <x:f>IF('实盘净值数据(iFinD公式)'!A23="","",'实盘净值数据(iFinD公式)'!A23)</x:f>
        <x:v>46218</x:v>
      </x:c>
      <x:c r="B23" s="13" t="e">
        <x:f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x:f>
        <x:v>#NAME?</x:v>
      </x:c>
      <x:c r="C23" s="16">
        <x:f t="shared" si="3"/>
        <x:v>-3.1038298775862838E-2</x:v>
      </x:c>
      <x:c r="D23" s="16" t="e">
        <x:f>IF(B23="","",B23/MAX(B$5:B23)-1)</x:f>
        <x:v>#NAME?</x:v>
      </x:c>
      <x:c r="E23" s="13" t="e">
        <x:f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x:f>
        <x:v>#NAME?</x:v>
      </x:c>
      <x:c r="F23" s="16">
        <x:f t="shared" si="4"/>
        <x:v>-3.1055927375608583E-2</x:v>
      </x:c>
      <x:c r="G23" s="16" t="e">
        <x:f>IF(E23="","",E23/MAX(E$5:E23)-1)</x:f>
        <x:v>#NAME?</x:v>
      </x:c>
      <x:c r="H23" s="13" t="e">
        <x:f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x:f>
        <x:v>#NAME?</x:v>
      </x:c>
      <x:c r="I23" s="16">
        <x:f t="shared" si="5"/>
        <x:v>-3.6423840502707971E-2</x:v>
      </x:c>
      <x:c r="J23" s="16" t="e">
        <x:f>IF(H23="","",H23/MAX(H$5:H23)-1)</x:f>
        <x:v>#NAME?</x:v>
      </x:c>
      <x:c r="K23" s="13" t="e">
        <x:f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x:f>
        <x:v>#NAME?</x:v>
      </x:c>
      <x:c r="L23" s="16">
        <x:f t="shared" si="0"/>
        <x:v>-2.647863724444588E-3</x:v>
      </x:c>
      <x:c r="M23" s="16" t="e">
        <x:f>IF(K23="","",K23/MAX(K$5:K23)-1)</x:f>
        <x:v>#NAME?</x:v>
      </x:c>
      <x:c r="N23" s="13" t="e">
        <x:f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x:f>
        <x:v>#NAME?</x:v>
      </x:c>
      <x:c r="O23" s="16">
        <x:f t="shared" si="1"/>
        <x:v>-2.4125901344644873E-3</x:v>
      </x:c>
      <x:c r="P23" s="16" t="e">
        <x:f>IF(N23="","",N23/MAX(N$5:N23)-1)</x:f>
        <x:v>#NAME?</x:v>
      </x:c>
      <x:c r="Q23" s="13" t="e">
        <x:f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x:f>
        <x:v>#NAME?</x:v>
      </x:c>
      <x:c r="R23" s="16">
        <x:f t="shared" si="2"/>
        <x:v>-7.4488287993653701E-3</x:v>
      </x:c>
      <x:c r="S23" s="16" t="e">
        <x:f>IF(Q23="","",Q23/MAX(Q$5:Q23)-1)</x:f>
        <x:v>#NAME?</x:v>
      </x:c>
    </x:row>
    <x:row r="24">
      <x:c r="A24" s="15" t="n">
        <x:f>IF('实盘净值数据(iFinD公式)'!A24="","",'实盘净值数据(iFinD公式)'!A24)</x:f>
        <x:v>46219</x:v>
      </x:c>
      <x:c r="B24" s="13" t="e">
        <x:f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x:f>
        <x:v>#NAME?</x:v>
      </x:c>
      <x:c r="C24" s="16">
        <x:f t="shared" si="3"/>
        <x:v>-4.5148737428089891E-2</x:v>
      </x:c>
      <x:c r="D24" s="16" t="e">
        <x:f>IF(B24="","",B24/MAX(B$5:B24)-1)</x:f>
        <x:v>#NAME?</x:v>
      </x:c>
      <x:c r="E24" s="13" t="e">
        <x:f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x:f>
        <x:v>#NAME?</x:v>
      </x:c>
      <x:c r="F24" s="16">
        <x:f t="shared" si="4"/>
        <x:v>-4.5142505232970476E-2</x:v>
      </x:c>
      <x:c r="G24" s="16" t="e">
        <x:f>IF(E24="","",E24/MAX(E$5:E24)-1)</x:f>
        <x:v>#NAME?</x:v>
      </x:c>
      <x:c r="H24" s="13" t="e">
        <x:f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x:f>
        <x:v>#NAME?</x:v>
      </x:c>
      <x:c r="I24" s="16">
        <x:f t="shared" si="5"/>
        <x:v>-4.4289305396206902E-2</x:v>
      </x:c>
      <x:c r="J24" s="16" t="e">
        <x:f>IF(H24="","",H24/MAX(H$5:H24)-1)</x:f>
        <x:v>#NAME?</x:v>
      </x:c>
      <x:c r="K24" s="13" t="e">
        <x:f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x:f>
        <x:v>#NAME?</x:v>
      </x:c>
      <x:c r="L24" s="16">
        <x:f t="shared" si="0"/>
        <x:v>-3.9924716560048035E-3</x:v>
      </x:c>
      <x:c r="M24" s="16" t="e">
        <x:f>IF(K24="","",K24/MAX(K$5:K24)-1)</x:f>
        <x:v>#NAME?</x:v>
      </x:c>
      <x:c r="N24" s="13" t="e">
        <x:f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x:f>
        <x:v>#NAME?</x:v>
      </x:c>
      <x:c r="O24" s="16">
        <x:f t="shared" si="1"/>
        <x:v>-4.1237879068124483E-3</x:v>
      </x:c>
      <x:c r="P24" s="16" t="e">
        <x:f>IF(N24="","",N24/MAX(N$5:N24)-1)</x:f>
        <x:v>#NAME?</x:v>
      </x:c>
      <x:c r="Q24" s="13" t="e">
        <x:f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x:f>
        <x:v>#NAME?</x:v>
      </x:c>
      <x:c r="R24" s="16">
        <x:f t="shared" si="2"/>
        <x:v>-1.0716118754012682E-2</x:v>
      </x:c>
      <x:c r="S24" s="16" t="e">
        <x:f>IF(Q24="","",Q24/MAX(Q$5:Q24)-1)</x:f>
        <x:v>#NAME?</x:v>
      </x:c>
    </x:row>
    <x:row r="25">
      <x:c r="A25" s="15" t="n">
        <x:f>IF('实盘净值数据(iFinD公式)'!A25="","",'实盘净值数据(iFinD公式)'!A25)</x:f>
        <x:v>46220</x:v>
      </x:c>
      <x:c r="B25" s="13" t="e">
        <x:f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x:f>
        <x:v>#NAME?</x:v>
      </x:c>
      <x:c r="C25" s="16">
        <x:f t="shared" si="3"/>
        <x:v>-8.1822900726685632E-2</x:v>
      </x:c>
      <x:c r="D25" s="16" t="e">
        <x:f>IF(B25="","",B25/MAX(B$5:B25)-1)</x:f>
        <x:v>#NAME?</x:v>
      </x:c>
      <x:c r="E25" s="13" t="e">
        <x:f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x:f>
        <x:v>#NAME?</x:v>
      </x:c>
      <x:c r="F25" s="16">
        <x:f t="shared" si="4"/>
        <x:v>-8.1924105400768554E-2</x:v>
      </x:c>
      <x:c r="G25" s="16" t="e">
        <x:f>IF(E25="","",E25/MAX(E$5:E25)-1)</x:f>
        <x:v>#NAME?</x:v>
      </x:c>
      <x:c r="H25" s="13" t="e">
        <x:f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x:f>
        <x:v>#NAME?</x:v>
      </x:c>
      <x:c r="I25" s="16">
        <x:f t="shared" si="5"/>
        <x:v>-7.347393122244894E-2</x:v>
      </x:c>
      <x:c r="J25" s="16" t="e">
        <x:f>IF(H25="","",H25/MAX(H$5:H25)-1)</x:f>
        <x:v>#NAME?</x:v>
      </x:c>
      <x:c r="K25" s="13" t="e">
        <x:f>IF(OR('实盘净值数据(iFinD公式)'!$A25="",'实盘净值数据(iFinD公式)'!$B25=""),"",分期持仓明细!$AB$20*SUMPRODUCT(分期持仓明细!$B$20:$Y$20,'实盘净值数据(iFinD公式)'!$B25:$Y25/'实盘净值数据(iFinD公式)'!$B$25:$Y$25)*(1-实盘持仓配置!$Z$7)^(('实盘净值数据(iFinD公式)'!$A25-'实盘净值数据(iFinD公式)'!$A$8)/365))</x:f>
        <x:v>#NAME?</x:v>
      </x:c>
      <x:c r="L25" s="16">
        <x:f t="shared" si="0"/>
        <x:v>-6.6705410006742127E-3</x:v>
      </x:c>
      <x:c r="M25" s="16" t="e">
        <x:f>IF(K25="","",K25/MAX(K$5:K25)-1)</x:f>
        <x:v>#NAME?</x:v>
      </x:c>
      <x:c r="N25" s="13" t="e">
        <x:f>IF(OR('实盘净值数据(iFinD公式)'!$A25="",'实盘净值数据(iFinD公式)'!$B25=""),"",分期持仓明细!$AB$21*SUMPRODUCT(分期持仓明细!$B$21:$Y$21,'实盘净值数据(iFinD公式)'!$B25:$Y25/'实盘净值数据(iFinD公式)'!$B$25:$Y$25)*(1-实盘持仓配置!$Z$8)^(('实盘净值数据(iFinD公式)'!$A25-'实盘净值数据(iFinD公式)'!$A$5)/365))</x:f>
        <x:v>#NAME?</x:v>
      </x:c>
      <x:c r="O25" s="16">
        <x:f t="shared" si="1"/>
        <x:v>-7.2129719492090016E-3</x:v>
      </x:c>
      <x:c r="P25" s="16" t="e">
        <x:f>IF(N25="","",N25/MAX(N$5:N25)-1)</x:f>
        <x:v>#NAME?</x:v>
      </x:c>
      <x:c r="Q25" s="13" t="e">
        <x:f>IF(OR('实盘净值数据(iFinD公式)'!$A25="",'实盘净值数据(iFinD公式)'!$B25=""),"",分期持仓明细!$AB$22*SUMPRODUCT(分期持仓明细!$B$22:$Y$22,'实盘净值数据(iFinD公式)'!$B25:$Y25/'实盘净值数据(iFinD公式)'!$B$25:$Y$25)*(1-实盘持仓配置!$Z$9)^(('实盘净值数据(iFinD公式)'!$A25-'实盘净值数据(iFinD公式)'!$A$8)/365))</x:f>
        <x:v>#NAME?</x:v>
      </x:c>
      <x:c r="R25" s="16">
        <x:f t="shared" si="2"/>
        <x:v>-2.020332760337562E-2</x:v>
      </x:c>
      <x:c r="S25" s="16" t="e">
        <x:f>IF(Q25="","",Q25/MAX(Q$5:Q25)-1)</x:f>
        <x:v>#NAME?</x:v>
      </x:c>
    </x:row>
    <x:row r="26">
      <x:c r="A26" s="15" t="n">
        <x:f>IF('实盘净值数据(iFinD公式)'!A26="","",'实盘净值数据(iFinD公式)'!A26)</x:f>
        <x:v>46223</x:v>
      </x:c>
      <x:c r="B26" s="13" t="e">
        <x:f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x:f>
        <x:v>#NAME?</x:v>
      </x:c>
      <x:c r="C26" s="16">
        <x:f t="shared" si="3"/>
        <x:v>-3.9016319754486384E-2</x:v>
      </x:c>
      <x:c r="D26" s="16" t="e">
        <x:f>IF(B26="","",B26/MAX(B$5:B26)-1)</x:f>
        <x:v>#NAME?</x:v>
      </x:c>
      <x:c r="E26" s="13" t="e">
        <x:f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x:f>
        <x:v>#NAME?</x:v>
      </x:c>
      <x:c r="F26" s="16">
        <x:f t="shared" si="4"/>
        <x:v>-3.9054015276703713E-2</x:v>
      </x:c>
      <x:c r="G26" s="16" t="e">
        <x:f>IF(E26="","",E26/MAX(E$5:E26)-1)</x:f>
        <x:v>#NAME?</x:v>
      </x:c>
      <x:c r="H26" s="13" t="e">
        <x:f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x:f>
        <x:v>#NAME?</x:v>
      </x:c>
      <x:c r="I26" s="16">
        <x:f t="shared" si="5"/>
        <x:v>-3.4759083123028223E-2</x:v>
      </x:c>
      <x:c r="J26" s="16" t="e">
        <x:f>IF(H26="","",H26/MAX(H$5:H26)-1)</x:f>
        <x:v>#NAME?</x:v>
      </x:c>
      <x:c r="K26" s="13" t="e">
        <x:f>IF(OR('实盘净值数据(iFinD公式)'!$A26="",'实盘净值数据(iFinD公式)'!$B26=""),"",分期持仓明细!$AB$20*SUMPRODUCT(分期持仓明细!$B$20:$Y$20,'实盘净值数据(iFinD公式)'!$B26:$Y26/'实盘净值数据(iFinD公式)'!$B$25:$Y$25)*(1-实盘持仓配置!$Z$7)^(('实盘净值数据(iFinD公式)'!$A26-'实盘净值数据(iFinD公式)'!$A$8)/365))</x:f>
        <x:v>#NAME?</x:v>
      </x:c>
      <x:c r="L26" s="16">
        <x:f t="shared" si="0"/>
        <x:v>-3.3175365276533197E-3</x:v>
      </x:c>
      <x:c r="M26" s="16" t="e">
        <x:f>IF(K26="","",K26/MAX(K$5:K26)-1)</x:f>
        <x:v>#NAME?</x:v>
      </x:c>
      <x:c r="N26" s="13" t="e">
        <x:f>IF(OR('实盘净值数据(iFinD公式)'!$A26="",'实盘净值数据(iFinD公式)'!$B26=""),"",分期持仓明细!$AB$21*SUMPRODUCT(分期持仓明细!$B$21:$Y$21,'实盘净值数据(iFinD公式)'!$B26:$Y26/'实盘净值数据(iFinD公式)'!$B$25:$Y$25)*(1-实盘持仓配置!$Z$8)^(('实盘净值数据(iFinD公式)'!$A26-'实盘净值数据(iFinD公式)'!$A$5)/365))</x:f>
        <x:v>#NAME?</x:v>
      </x:c>
      <x:c r="O26" s="16">
        <x:f t="shared" si="1"/>
        <x:v>-3.5634979469405526E-3</x:v>
      </x:c>
      <x:c r="P26" s="16" t="e">
        <x:f>IF(N26="","",N26/MAX(N$5:N26)-1)</x:f>
        <x:v>#NAME?</x:v>
      </x:c>
      <x:c r="Q26" s="13" t="e">
        <x:f>IF(OR('实盘净值数据(iFinD公式)'!$A26="",'实盘净值数据(iFinD公式)'!$B26=""),"",分期持仓明细!$AB$22*SUMPRODUCT(分期持仓明细!$B$22:$Y$22,'实盘净值数据(iFinD公式)'!$B26:$Y26/'实盘净值数据(iFinD公式)'!$B$25:$Y$25)*(1-实盘持仓配置!$Z$9)^(('实盘净值数据(iFinD公式)'!$A26-'实盘净值数据(iFinD公式)'!$A$8)/365))</x:f>
        <x:v>#NAME?</x:v>
      </x:c>
      <x:c r="R26" s="16">
        <x:f t="shared" si="2"/>
        <x:v>-9.5634306186800355E-3</x:v>
      </x:c>
      <x:c r="S26" s="16" t="e">
        <x:f>IF(Q26="","",Q26/MAX(Q$5:Q26)-1)</x:f>
        <x:v>#NAME?</x:v>
      </x:c>
    </x:row>
    <x:row r="27">
      <x:c r="A27" s="15" t="n">
        <x:f>IF('实盘净值数据(iFinD公式)'!A27="","",'实盘净值数据(iFinD公式)'!A27)</x:f>
        <x:v>46224</x:v>
      </x:c>
      <x:c r="B27" s="13" t="e">
        <x:f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x:f>
        <x:v>#NAME?</x:v>
      </x:c>
      <x:c r="C27" s="16">
        <x:f t="shared" si="3"/>
        <x:v>0.11285915049426198</x:v>
      </x:c>
      <x:c r="D27" s="16" t="e">
        <x:f>IF(B27="","",B27/MAX(B$5:B27)-1)</x:f>
        <x:v>#NAME?</x:v>
      </x:c>
      <x:c r="E27" s="13" t="e">
        <x:f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x:f>
        <x:v>#NAME?</x:v>
      </x:c>
      <x:c r="F27" s="16">
        <x:f t="shared" si="4"/>
        <x:v>0.11286840337273207</x:v>
      </x:c>
      <x:c r="G27" s="16" t="e">
        <x:f>IF(E27="","",E27/MAX(E$5:E27)-1)</x:f>
        <x:v>#NAME?</x:v>
      </x:c>
      <x:c r="H27" s="13" t="e">
        <x:f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x:f>
        <x:v>#NAME?</x:v>
      </x:c>
      <x:c r="I27" s="16">
        <x:f t="shared" si="5"/>
        <x:v>0.11545186538700158</x:v>
      </x:c>
      <x:c r="J27" s="16" t="e">
        <x:f>IF(H27="","",H27/MAX(H$5:H27)-1)</x:f>
        <x:v>#NAME?</x:v>
      </x:c>
      <x:c r="K27" s="13" t="e">
        <x:f>IF(OR('实盘净值数据(iFinD公式)'!$A27="",'实盘净值数据(iFinD公式)'!$B27=""),"",分期持仓明细!$AB$20*SUMPRODUCT(分期持仓明细!$B$20:$Y$20,'实盘净值数据(iFinD公式)'!$B27:$Y27/'实盘净值数据(iFinD公式)'!$B$25:$Y$25)*(1-实盘持仓配置!$Z$7)^(('实盘净值数据(iFinD公式)'!$A27-'实盘净值数据(iFinD公式)'!$A$8)/365))</x:f>
        <x:v>#NAME?</x:v>
      </x:c>
      <x:c r="L27" s="16">
        <x:f t="shared" si="0"/>
        <x:v>9.2368742999429099E-3</x:v>
      </x:c>
      <x:c r="M27" s="16" t="e">
        <x:f>IF(K27="","",K27/MAX(K$5:K27)-1)</x:f>
        <x:v>#NAME?</x:v>
      </x:c>
      <x:c r="N27" s="13" t="e">
        <x:f>IF(OR('实盘净值数据(iFinD公式)'!$A27="",'实盘净值数据(iFinD公式)'!$B27=""),"",分期持仓明细!$AB$21*SUMPRODUCT(分期持仓明细!$B$21:$Y$21,'实盘净值数据(iFinD公式)'!$B27:$Y27/'实盘净值数据(iFinD公式)'!$B$25:$Y$25)*(1-实盘持仓配置!$Z$8)^(('实盘净值数据(iFinD公式)'!$A27-'实盘净值数据(iFinD公式)'!$A$5)/365))</x:f>
        <x:v>#NAME?</x:v>
      </x:c>
      <x:c r="O27" s="16">
        <x:f t="shared" si="1"/>
        <x:v>9.2214981398199836E-3</x:v>
      </x:c>
      <x:c r="P27" s="16" t="e">
        <x:f>IF(N27="","",N27/MAX(N$5:N27)-1)</x:f>
        <x:v>#NAME?</x:v>
      </x:c>
      <x:c r="Q27" s="13" t="e">
        <x:f>IF(OR('实盘净值数据(iFinD公式)'!$A27="",'实盘净值数据(iFinD公式)'!$B27=""),"",分期持仓明细!$AB$22*SUMPRODUCT(分期持仓明细!$B$22:$Y$22,'实盘净值数据(iFinD公式)'!$B27:$Y27/'实盘净值数据(iFinD公式)'!$B$25:$Y$25)*(1-实盘持仓配置!$Z$9)^(('实盘净值数据(iFinD公式)'!$A27-'实盘净值数据(iFinD公式)'!$A$8)/365))</x:f>
        <x:v>#NAME?</x:v>
      </x:c>
      <x:c r="R27" s="16">
        <x:f t="shared" si="2"/>
        <x:v>2.7369384355575344E-2</x:v>
      </x:c>
      <x:c r="S27" s="16" t="e">
        <x:f>IF(Q27="","",Q27/MAX(Q$5:Q27)-1)</x:f>
        <x:v>#NAME?</x:v>
      </x:c>
    </x:row>
    <x:row r="28">
      <x:c r="A28" s="15" t="n">
        <x:f>IF('实盘净值数据(iFinD公式)'!A28="","",'实盘净值数据(iFinD公式)'!A28)</x:f>
        <x:v>46225</x:v>
      </x:c>
      <x:c r="B28" s="13" t="e">
        <x:f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x:f>
        <x:v>#NAME?</x:v>
      </x:c>
      <x:c r="C28" s="16">
        <x:f t="shared" si="3"/>
        <x:v>-2.9909138447293815E-2</x:v>
      </x:c>
      <x:c r="D28" s="16" t="e">
        <x:f>IF(B28="","",B28/MAX(B$5:B28)-1)</x:f>
        <x:v>#NAME?</x:v>
      </x:c>
      <x:c r="E28" s="13" t="e">
        <x:f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x:f>
        <x:v>#NAME?</x:v>
      </x:c>
      <x:c r="F28" s="16">
        <x:f t="shared" si="4"/>
        <x:v>-2.9962960085726298E-2</x:v>
      </x:c>
      <x:c r="G28" s="16" t="e">
        <x:f>IF(E28="","",E28/MAX(E$5:E28)-1)</x:f>
        <x:v>#NAME?</x:v>
      </x:c>
      <x:c r="H28" s="13" t="e">
        <x:f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x:f>
        <x:v>#NAME?</x:v>
      </x:c>
      <x:c r="I28" s="16">
        <x:f t="shared" si="5"/>
        <x:v>-2.7165793717459641E-2</x:v>
      </x:c>
      <x:c r="J28" s="16" t="e">
        <x:f>IF(H28="","",H28/MAX(H$5:H28)-1)</x:f>
        <x:v>#NAME?</x:v>
      </x:c>
      <x:c r="K28" s="13" t="e">
        <x:f>IF(OR('实盘净值数据(iFinD公式)'!$A28="",'实盘净值数据(iFinD公式)'!$B28=""),"",分期持仓明细!$AB$20*SUMPRODUCT(分期持仓明细!$B$20:$Y$20,'实盘净值数据(iFinD公式)'!$B28:$Y28/'实盘净值数据(iFinD公式)'!$B$25:$Y$25)*(1-实盘持仓配置!$Z$7)^(('实盘净值数据(iFinD公式)'!$A28-'实盘净值数据(iFinD公式)'!$A$8)/365))</x:f>
        <x:v>#NAME?</x:v>
      </x:c>
      <x:c r="L28" s="16">
        <x:f t="shared" si="0"/>
        <x:v>-1.5528668585085281E-4</x:v>
      </x:c>
      <x:c r="M28" s="16" t="e">
        <x:f>IF(K28="","",K28/MAX(K$5:K28)-1)</x:f>
        <x:v>#NAME?</x:v>
      </x:c>
      <x:c r="N28" s="13" t="e">
        <x:f>IF(OR('实盘净值数据(iFinD公式)'!$A28="",'实盘净值数据(iFinD公式)'!$B28=""),"",分期持仓明细!$AB$21*SUMPRODUCT(分期持仓明细!$B$21:$Y$21,'实盘净值数据(iFinD公式)'!$B28:$Y28/'实盘净值数据(iFinD公式)'!$B$25:$Y$25)*(1-实盘持仓配置!$Z$8)^(('实盘净值数据(iFinD公式)'!$A28-'实盘净值数据(iFinD公式)'!$A$5)/365))</x:f>
        <x:v>#NAME?</x:v>
      </x:c>
      <x:c r="O28" s="16">
        <x:f t="shared" si="1"/>
        <x:v>-3.523810319310261E-4</x:v>
      </x:c>
      <x:c r="P28" s="16" t="e">
        <x:f>IF(N28="","",N28/MAX(N$5:N28)-1)</x:f>
        <x:v>#NAME?</x:v>
      </x:c>
      <x:c r="Q28" s="13" t="e">
        <x:f>IF(OR('实盘净值数据(iFinD公式)'!$A28="",'实盘净值数据(iFinD公式)'!$B28=""),"",分期持仓明细!$AB$22*SUMPRODUCT(分期持仓明细!$B$22:$Y$22,'实盘净值数据(iFinD公式)'!$B28:$Y28/'实盘净值数据(iFinD公式)'!$B$25:$Y$25)*(1-实盘持仓配置!$Z$9)^(('实盘净值数据(iFinD公式)'!$A28-'实盘净值数据(iFinD公式)'!$A$8)/365))</x:f>
        <x:v>#NAME?</x:v>
      </x:c>
      <x:c r="R28" s="16">
        <x:f t="shared" si="2"/>
        <x:v>-4.0613471016061053E-3</x:v>
      </x:c>
      <x:c r="S28" s="16" t="e">
        <x:f>IF(Q28="","",Q28/MAX(Q$5:Q28)-1)</x:f>
        <x:v>#NAME?</x:v>
      </x:c>
    </x:row>
    <x:row r="29">
      <x:c r="A29" s="15" t="n">
        <x:f>IF('实盘净值数据(iFinD公式)'!A29="","",'实盘净值数据(iFinD公式)'!A29)</x:f>
        <x:v>46226</x:v>
      </x:c>
      <x:c r="B29" s="13" t="e">
        <x:f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x:f>
        <x:v>#NAME?</x:v>
      </x:c>
      <x:c r="C29" s="16">
        <x:f t="shared" si="3"/>
        <x:v>-2.654324255162388E-2</x:v>
      </x:c>
      <x:c r="D29" s="16" t="e">
        <x:f>IF(B29="","",B29/MAX(B$5:B29)-1)</x:f>
        <x:v>#NAME?</x:v>
      </x:c>
      <x:c r="E29" s="13" t="e">
        <x:f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x:f>
        <x:v>#NAME?</x:v>
      </x:c>
      <x:c r="F29" s="16">
        <x:f t="shared" si="4"/>
        <x:v>-2.6497283794344129E-2</x:v>
      </x:c>
      <x:c r="G29" s="16" t="e">
        <x:f>IF(E29="","",E29/MAX(E$5:E29)-1)</x:f>
        <x:v>#NAME?</x:v>
      </x:c>
      <x:c r="H29" s="13" t="e">
        <x:f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x:f>
        <x:v>#NAME?</x:v>
      </x:c>
      <x:c r="I29" s="16">
        <x:f t="shared" si="5"/>
        <x:v>-2.8509597128816289E-2</x:v>
      </x:c>
      <x:c r="J29" s="16" t="e">
        <x:f>IF(H29="","",H29/MAX(H$5:H29)-1)</x:f>
        <x:v>#NAME?</x:v>
      </x:c>
      <x:c r="K29" s="13" t="e">
        <x:f>IF(OR('实盘净值数据(iFinD公式)'!$A29="",'实盘净值数据(iFinD公式)'!$B29=""),"",分期持仓明细!$AB$20*SUMPRODUCT(分期持仓明细!$B$20:$Y$20,'实盘净值数据(iFinD公式)'!$B29:$Y29/'实盘净值数据(iFinD公式)'!$B$25:$Y$25)*(1-实盘持仓配置!$Z$7)^(('实盘净值数据(iFinD公式)'!$A29-'实盘净值数据(iFinD公式)'!$A$8)/365))</x:f>
        <x:v>#NAME?</x:v>
      </x:c>
      <x:c r="L29" s="16">
        <x:f t="shared" si="0"/>
        <x:v>-1.3396870575669295E-3</x:v>
      </x:c>
      <x:c r="M29" s="16" t="e">
        <x:f>IF(K29="","",K29/MAX(K$5:K29)-1)</x:f>
        <x:v>#NAME?</x:v>
      </x:c>
      <x:c r="N29" s="13" t="e">
        <x:f>IF(OR('实盘净值数据(iFinD公式)'!$A29="",'实盘净值数据(iFinD公式)'!$B29=""),"",分期持仓明细!$AB$21*SUMPRODUCT(分期持仓明细!$B$21:$Y$21,'实盘净值数据(iFinD公式)'!$B29:$Y29/'实盘净值数据(iFinD公式)'!$B$25:$Y$25)*(1-实盘持仓配置!$Z$8)^(('实盘净值数据(iFinD公式)'!$A29-'实盘净值数据(iFinD公式)'!$A$5)/365))</x:f>
        <x:v>#NAME?</x:v>
      </x:c>
      <x:c r="O29" s="16">
        <x:f t="shared" si="1"/>
        <x:v>-1.2439186816592951E-3</x:v>
      </x:c>
      <x:c r="P29" s="16" t="e">
        <x:f>IF(N29="","",N29/MAX(N$5:N29)-1)</x:f>
        <x:v>#NAME?</x:v>
      </x:c>
      <x:c r="Q29" s="13" t="e">
        <x:f>IF(OR('实盘净值数据(iFinD公式)'!$A29="",'实盘净值数据(iFinD公式)'!$B29=""),"",分期持仓明细!$AB$22*SUMPRODUCT(分期持仓明细!$B$22:$Y$22,'实盘净值数据(iFinD公式)'!$B29:$Y29/'实盘净值数据(iFinD公式)'!$B$25:$Y$25)*(1-实盘持仓配置!$Z$9)^(('实盘净值数据(iFinD公式)'!$A29-'实盘净值数据(iFinD公式)'!$A$8)/365))</x:f>
        <x:v>#NAME?</x:v>
      </x:c>
      <x:c r="R29" s="16">
        <x:f t="shared" si="2"/>
        <x:v>-4.3531745449095771E-3</x:v>
      </x:c>
      <x:c r="S29" s="16" t="e">
        <x:f>IF(Q29="","",Q29/MAX(Q$5:Q29)-1)</x:f>
        <x:v>#NAME?</x:v>
      </x:c>
    </x:row>
    <x:row r="30">
      <x:c r="A30" s="15" t="n">
        <x:f>IF('实盘净值数据(iFinD公式)'!A30="","",'实盘净值数据(iFinD公式)'!A30)</x:f>
        <x:v>46227</x:v>
      </x:c>
      <x:c r="B30" s="13" t="e">
        <x:f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x:f>
        <x:v>#NAME?</x:v>
      </x:c>
      <x:c r="C30" s="16">
        <x:f t="shared" si="3"/>
        <x:v>-3.0084769645188914E-4</x:v>
      </x:c>
      <x:c r="D30" s="16" t="e">
        <x:f>IF(B30="","",B30/MAX(B$5:B30)-1)</x:f>
        <x:v>#NAME?</x:v>
      </x:c>
      <x:c r="E30" s="13" t="e">
        <x:f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x:f>
        <x:v>#NAME?</x:v>
      </x:c>
      <x:c r="F30" s="16">
        <x:f t="shared" si="4"/>
        <x:v>-3.7395074188428801E-4</x:v>
      </x:c>
      <x:c r="G30" s="16" t="e">
        <x:f>IF(E30="","",E30/MAX(E$5:E30)-1)</x:f>
        <x:v>#NAME?</x:v>
      </x:c>
      <x:c r="H30" s="13" t="e">
        <x:f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x:f>
        <x:v>#NAME?</x:v>
      </x:c>
      <x:c r="I30" s="16">
        <x:f t="shared" si="5"/>
        <x:v>5.1910869602169729E-3</x:v>
      </x:c>
      <x:c r="J30" s="16" t="e">
        <x:f>IF(H30="","",H30/MAX(H$5:H30)-1)</x:f>
        <x:v>#NAME?</x:v>
      </x:c>
      <x:c r="K30" s="13" t="e">
        <x:f>IF(OR('实盘净值数据(iFinD公式)'!$A30="",'实盘净值数据(iFinD公式)'!$B30=""),"",分期持仓明细!$AB$20*SUMPRODUCT(分期持仓明细!$B$20:$Y$20,'实盘净值数据(iFinD公式)'!$B30:$Y30/'实盘净值数据(iFinD公式)'!$B$25:$Y$25)*(1-实盘持仓配置!$Z$7)^(('实盘净值数据(iFinD公式)'!$A30-'实盘净值数据(iFinD公式)'!$A$8)/365))</x:f>
        <x:v>#NAME?</x:v>
      </x:c>
      <x:c r="L30" s="16">
        <x:f t="shared" si="0"/>
        <x:v>-1.0436409455134577E-3</x:v>
      </x:c>
      <x:c r="M30" s="16" t="e">
        <x:f>IF(K30="","",K30/MAX(K$5:K30)-1)</x:f>
        <x:v>#NAME?</x:v>
      </x:c>
      <x:c r="N30" s="13" t="e">
        <x:f>IF(OR('实盘净值数据(iFinD公式)'!$A30="",'实盘净值数据(iFinD公式)'!$B30=""),"",分期持仓明细!$AB$21*SUMPRODUCT(分期持仓明细!$B$21:$Y$21,'实盘净值数据(iFinD公式)'!$B30:$Y30/'实盘净值数据(iFinD公式)'!$B$25:$Y$25)*(1-实盘持仓配置!$Z$8)^(('实盘净值数据(iFinD公式)'!$A30-'实盘净值数据(iFinD公式)'!$A$5)/365))</x:f>
        <x:v>#NAME?</x:v>
      </x:c>
      <x:c r="O30" s="16">
        <x:f t="shared" si="1"/>
        <x:v>-1.2919879795562084E-3</x:v>
      </x:c>
      <x:c r="P30" s="16" t="e">
        <x:f>IF(N30="","",N30/MAX(N$5:N30)-1)</x:f>
        <x:v>#NAME?</x:v>
      </x:c>
      <x:c r="Q30" s="13" t="e">
        <x:f>IF(OR('实盘净值数据(iFinD公式)'!$A30="",'实盘净值数据(iFinD公式)'!$B30=""),"",分期持仓明细!$AB$22*SUMPRODUCT(分期持仓明细!$B$22:$Y$22,'实盘净值数据(iFinD公式)'!$B30:$Y30/'实盘净值数据(iFinD公式)'!$B$25:$Y$25)*(1-实盘持仓配置!$Z$9)^(('实盘净值数据(iFinD公式)'!$A30-'实盘净值数据(iFinD公式)'!$A$8)/365))</x:f>
        <x:v>#NAME?</x:v>
      </x:c>
      <x:c r="R30" s="16">
        <x:f t="shared" si="2"/>
        <x:v>-3.3334251195940023E-3</x:v>
      </x:c>
      <x:c r="S30" s="16" t="e">
        <x:f>IF(Q30="","",Q30/MAX(Q$5:Q30)-1)</x:f>
        <x:v>#NAME?</x:v>
      </x:c>
    </x:row>
    <x:row r="31">
      <x:c r="A31" s="15" t="n">
        <x:f>IF('实盘净值数据(iFinD公式)'!A31="","",'实盘净值数据(iFinD公式)'!A31)</x:f>
        <x:v>46230</x:v>
      </x:c>
      <x:c r="B31" s="13" t="e">
        <x:f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x:f>
        <x:v>#NAME?</x:v>
      </x:c>
      <x:c r="C31" s="16">
        <x:f t="shared" si="3"/>
        <x:v>2.8350574113524374E-2</x:v>
      </x:c>
      <x:c r="D31" s="16" t="e">
        <x:f>IF(B31="","",B31/MAX(B$5:B31)-1)</x:f>
        <x:v>#NAME?</x:v>
      </x:c>
      <x:c r="E31" s="13" t="e">
        <x:f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x:f>
        <x:v>#NAME?</x:v>
      </x:c>
      <x:c r="F31" s="16">
        <x:f t="shared" si="4"/>
        <x:v>2.8437165063981196E-2</x:v>
      </x:c>
      <x:c r="G31" s="16" t="e">
        <x:f>IF(E31="","",E31/MAX(E$5:E31)-1)</x:f>
        <x:v>#NAME?</x:v>
      </x:c>
      <x:c r="H31" s="13" t="e">
        <x:f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x:f>
        <x:v>#NAME?</x:v>
      </x:c>
      <x:c r="I31" s="16">
        <x:f t="shared" si="5"/>
        <x:v>2.6430884369213814E-2</x:v>
      </x:c>
      <x:c r="J31" s="16" t="e">
        <x:f>IF(H31="","",H31/MAX(H$5:H31)-1)</x:f>
        <x:v>#NAME?</x:v>
      </x:c>
      <x:c r="K31" s="13" t="e">
        <x:f>IF(OR('实盘净值数据(iFinD公式)'!$A31="",'实盘净值数据(iFinD公式)'!$B31=""),"",分期持仓明细!$AB$20*SUMPRODUCT(分期持仓明细!$B$20:$Y$20,'实盘净值数据(iFinD公式)'!$B31:$Y31/'实盘净值数据(iFinD公式)'!$B$25:$Y$25)*(1-实盘持仓配置!$Z$7)^(('实盘净值数据(iFinD公式)'!$A31-'实盘净值数据(iFinD公式)'!$A$8)/365))</x:f>
        <x:v>#NAME?</x:v>
      </x:c>
      <x:c r="L31" s="16">
        <x:f t="shared" si="0"/>
        <x:v>3.5730998449985396E-3</x:v>
      </x:c>
      <x:c r="M31" s="16" t="e">
        <x:f>IF(K31="","",K31/MAX(K$5:K31)-1)</x:f>
        <x:v>#NAME?</x:v>
      </x:c>
      <x:c r="N31" s="13" t="e">
        <x:f>IF(OR('实盘净值数据(iFinD公式)'!$A31="",'实盘净值数据(iFinD公式)'!$B31=""),"",分期持仓明细!$AB$21*SUMPRODUCT(分期持仓明细!$B$21:$Y$21,'实盘净值数据(iFinD公式)'!$B31:$Y31/'实盘净值数据(iFinD公式)'!$B$25:$Y$25)*(1-实盘持仓配置!$Z$8)^(('实盘净值数据(iFinD公式)'!$A31-'实盘净值数据(iFinD公式)'!$A$5)/365))</x:f>
        <x:v>#NAME?</x:v>
      </x:c>
      <x:c r="O31" s="16">
        <x:f t="shared" si="1"/>
        <x:v>3.7028091726409862E-3</x:v>
      </x:c>
      <x:c r="P31" s="16" t="e">
        <x:f>IF(N31="","",N31/MAX(N$5:N31)-1)</x:f>
        <x:v>#NAME?</x:v>
      </x:c>
      <x:c r="Q31" s="13" t="e">
        <x:f>IF(OR('实盘净值数据(iFinD公式)'!$A31="",'实盘净值数据(iFinD公式)'!$B31=""),"",分期持仓明细!$AB$22*SUMPRODUCT(分期持仓明细!$B$22:$Y$22,'实盘净值数据(iFinD公式)'!$B31:$Y31/'实盘净值数据(iFinD公式)'!$B$25:$Y$25)*(1-实盘持仓配置!$Z$9)^(('实盘净值数据(iFinD公式)'!$A31-'实盘净值数据(iFinD公式)'!$A$8)/365))</x:f>
        <x:v>#NAME?</x:v>
      </x:c>
      <x:c r="R31" s="16">
        <x:f t="shared" si="2"/>
        <x:v>1.0207685426441904E-2</x:v>
      </x:c>
      <x:c r="S31" s="16" t="e">
        <x:f>IF(Q31="","",Q31/MAX(Q$5:Q31)-1)</x:f>
        <x:v>#NAME?</x:v>
      </x:c>
    </x:row>
    <x:row r="32">
      <x:c r="A32" s="15" t="n">
        <x:f>IF('实盘净值数据(iFinD公式)'!A32="","",'实盘净值数据(iFinD公式)'!A32)</x:f>
        <x:v>46231</x:v>
      </x:c>
      <x:c r="B32" s="13" t="e">
        <x:f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x:f>
        <x:v>#NAME?</x:v>
      </x:c>
      <x:c r="C32" s="16">
        <x:f t="shared" si="3"/>
        <x:v>-7.9069227181703172E-2</x:v>
      </x:c>
      <x:c r="D32" s="16" t="e">
        <x:f>IF(B32="","",B32/MAX(B$5:B32)-1)</x:f>
        <x:v>#NAME?</x:v>
      </x:c>
      <x:c r="E32" s="13" t="e">
        <x:f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x:f>
        <x:v>#NAME?</x:v>
      </x:c>
      <x:c r="F32" s="16">
        <x:f t="shared" si="4"/>
        <x:v>-7.9217270527037975E-2</x:v>
      </x:c>
      <x:c r="G32" s="16" t="e">
        <x:f>IF(E32="","",E32/MAX(E$5:E32)-1)</x:f>
        <x:v>#NAME?</x:v>
      </x:c>
      <x:c r="H32" s="13" t="e">
        <x:f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x:f>
        <x:v>#NAME?</x:v>
      </x:c>
      <x:c r="I32" s="16">
        <x:f t="shared" si="5"/>
        <x:v>-7.4705884407967771E-2</x:v>
      </x:c>
      <x:c r="J32" s="16" t="e">
        <x:f>IF(H32="","",H32/MAX(H$5:H32)-1)</x:f>
        <x:v>#NAME?</x:v>
      </x:c>
      <x:c r="K32" s="13" t="e">
        <x:f>IF(OR('实盘净值数据(iFinD公式)'!$A32="",'实盘净值数据(iFinD公式)'!$B32=""),"",分期持仓明细!$AB$20*SUMPRODUCT(分期持仓明细!$B$20:$Y$20,'实盘净值数据(iFinD公式)'!$B32:$Y32/'实盘净值数据(iFinD公式)'!$B$25:$Y$25)*(1-实盘持仓配置!$Z$7)^(('实盘净值数据(iFinD公式)'!$A32-'实盘净值数据(iFinD公式)'!$A$8)/365))</x:f>
        <x:v>#NAME?</x:v>
      </x:c>
      <x:c r="L32" s="16">
        <x:f t="shared" si="0"/>
        <x:v>-6.3484980932257962E-3</x:v>
      </x:c>
      <x:c r="M32" s="16" t="e">
        <x:f>IF(K32="","",K32/MAX(K$5:K32)-1)</x:f>
        <x:v>#NAME?</x:v>
      </x:c>
      <x:c r="N32" s="13" t="e">
        <x:f>IF(OR('实盘净值数据(iFinD公式)'!$A32="",'实盘净值数据(iFinD公式)'!$B32=""),"",分期持仓明细!$AB$21*SUMPRODUCT(分期持仓明细!$B$21:$Y$21,'实盘净值数据(iFinD公式)'!$B32:$Y32/'实盘净值数据(iFinD公式)'!$B$25:$Y$25)*(1-实盘持仓配置!$Z$8)^(('实盘净值数据(iFinD公式)'!$A32-'实盘净值数据(iFinD公式)'!$A$5)/365))</x:f>
        <x:v>#NAME?</x:v>
      </x:c>
      <x:c r="O32" s="16">
        <x:f t="shared" si="1"/>
        <x:v>-6.6063188448518551E-3</x:v>
      </x:c>
      <x:c r="P32" s="16" t="e">
        <x:f>IF(N32="","",N32/MAX(N$5:N32)-1)</x:f>
        <x:v>#NAME?</x:v>
      </x:c>
      <x:c r="Q32" s="13" t="e">
        <x:f>IF(OR('实盘净值数据(iFinD公式)'!$A32="",'实盘净值数据(iFinD公式)'!$B32=""),"",分期持仓明细!$AB$22*SUMPRODUCT(分期持仓明细!$B$22:$Y$22,'实盘净值数据(iFinD公式)'!$B32:$Y32/'实盘净值数据(iFinD公式)'!$B$25:$Y$25)*(1-实盘持仓配置!$Z$9)^(('实盘净值数据(iFinD公式)'!$A32-'实盘净值数据(iFinD公式)'!$A$8)/365))</x:f>
        <x:v>#NAME?</x:v>
      </x:c>
      <x:c r="R32" s="16">
        <x:f t="shared" si="2"/>
        <x:v>-1.840436279664015E-2</x:v>
      </x:c>
      <x:c r="S32" s="16" t="e">
        <x:f>IF(Q32="","",Q32/MAX(Q$5:Q32)-1)</x:f>
        <x:v>#NAME?</x:v>
      </x:c>
    </x:row>
    <x:row r="33">
      <x:c r="A33" s="15" t="n">
        <x:f>IF('实盘净值数据(iFinD公式)'!A33="","",'实盘净值数据(iFinD公式)'!A33)</x:f>
        <x:v>46232</x:v>
      </x:c>
      <x:c r="B33" s="13" t="e">
        <x:f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x:f>
        <x:v>#NAME?</x:v>
      </x:c>
      <x:c r="C33" s="16">
        <x:f t="shared" si="3"/>
        <x:v>-1.2484353636284085E-2</x:v>
      </x:c>
      <x:c r="D33" s="16" t="e">
        <x:f>IF(B33="","",B33/MAX(B$5:B33)-1)</x:f>
        <x:v>#NAME?</x:v>
      </x:c>
      <x:c r="E33" s="13" t="e">
        <x:f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x:f>
        <x:v>#NAME?</x:v>
      </x:c>
      <x:c r="F33" s="16">
        <x:f t="shared" si="4"/>
        <x:v>-1.2480090250778231E-2</x:v>
      </x:c>
      <x:c r="G33" s="16" t="e">
        <x:f>IF(E33="","",E33/MAX(E$5:E33)-1)</x:f>
        <x:v>#NAME?</x:v>
      </x:c>
      <x:c r="H33" s="13" t="e">
        <x:f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x:f>
        <x:v>#NAME?</x:v>
      </x:c>
      <x:c r="I33" s="16">
        <x:f t="shared" si="5"/>
        <x:v>-1.0049254317972656E-2</x:v>
      </x:c>
      <x:c r="J33" s="16" t="e">
        <x:f>IF(H33="","",H33/MAX(H$5:H33)-1)</x:f>
        <x:v>#NAME?</x:v>
      </x:c>
      <x:c r="K33" s="13" t="e">
        <x:f>IF(OR('实盘净值数据(iFinD公式)'!$A33="",'实盘净值数据(iFinD公式)'!$B33=""),"",分期持仓明细!$AB$20*SUMPRODUCT(分期持仓明细!$B$20:$Y$20,'实盘净值数据(iFinD公式)'!$B33:$Y33/'实盘净值数据(iFinD公式)'!$B$25:$Y$25)*(1-实盘持仓配置!$Z$7)^(('实盘净值数据(iFinD公式)'!$A33-'实盘净值数据(iFinD公式)'!$A$8)/365))</x:f>
        <x:v>#NAME?</x:v>
      </x:c>
      <x:c r="L33" s="16">
        <x:f t="shared" si="0"/>
        <x:v>-4.3802105607859687E-4</x:v>
      </x:c>
      <x:c r="M33" s="16" t="e">
        <x:f>IF(K33="","",K33/MAX(K$5:K33)-1)</x:f>
        <x:v>#NAME?</x:v>
      </x:c>
      <x:c r="N33" s="13" t="e">
        <x:f>IF(OR('实盘净值数据(iFinD公式)'!$A33="",'实盘净值数据(iFinD公式)'!$B33=""),"",分期持仓明细!$AB$21*SUMPRODUCT(分期持仓明细!$B$21:$Y$21,'实盘净值数据(iFinD公式)'!$B33:$Y33/'实盘净值数据(iFinD公式)'!$B$25:$Y$25)*(1-实盘持仓配置!$Z$8)^(('实盘净值数据(iFinD公式)'!$A33-'实盘净值数据(iFinD公式)'!$A$5)/365))</x:f>
        <x:v>#NAME?</x:v>
      </x:c>
      <x:c r="O33" s="16">
        <x:f t="shared" si="1"/>
        <x:v>-5.490863392684231E-4</x:v>
      </x:c>
      <x:c r="P33" s="16" t="e">
        <x:f>IF(N33="","",N33/MAX(N$5:N33)-1)</x:f>
        <x:v>#NAME?</x:v>
      </x:c>
      <x:c r="Q33" s="13" t="e">
        <x:f>IF(OR('实盘净值数据(iFinD公式)'!$A33="",'实盘净值数据(iFinD公式)'!$B33=""),"",分期持仓明细!$AB$22*SUMPRODUCT(分期持仓明细!$B$22:$Y$22,'实盘净值数据(iFinD公式)'!$B33:$Y33/'实盘净值数据(iFinD公式)'!$B$25:$Y$25)*(1-实盘持仓配置!$Z$9)^(('实盘净值数据(iFinD公式)'!$A33-'实盘净值数据(iFinD公式)'!$A$8)/365))</x:f>
        <x:v>#NAME?</x:v>
      </x:c>
      <x:c r="R33" s="16">
        <x:f t="shared" si="2"/>
        <x:v>-9.184402874475861E-4</x:v>
      </x:c>
      <x:c r="S33" s="16" t="e">
        <x:f>IF(Q33="","",Q33/MAX(Q$5:Q33)-1)</x:f>
        <x:v>#NAME?</x:v>
      </x:c>
    </x:row>
    <x:row r="34">
      <x:c r="A34" s="15" t="n">
        <x:f>IF('实盘净值数据(iFinD公式)'!A34="","",'实盘净值数据(iFinD公式)'!A34)</x:f>
        <x:v>46233</x:v>
      </x:c>
      <x:c r="B34" s="13" t="e">
        <x:f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x:f>
        <x:v>#NAME?</x:v>
      </x:c>
      <x:c r="C34" s="16">
        <x:f t="shared" si="3"/>
        <x:v>-7.5253575785715565E-2</x:v>
      </x:c>
      <x:c r="D34" s="16" t="e">
        <x:f>IF(B34="","",B34/MAX(B$5:B34)-1)</x:f>
        <x:v>#NAME?</x:v>
      </x:c>
      <x:c r="E34" s="13" t="e">
        <x:f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x:f>
        <x:v>#NAME?</x:v>
      </x:c>
      <x:c r="F34" s="16">
        <x:f t="shared" si="4"/>
        <x:v>-7.5359480684621838E-2</x:v>
      </x:c>
      <x:c r="G34" s="16" t="e">
        <x:f>IF(E34="","",E34/MAX(E$5:E34)-1)</x:f>
        <x:v>#NAME?</x:v>
      </x:c>
      <x:c r="H34" s="13" t="e">
        <x:f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x:f>
        <x:v>#NAME?</x:v>
      </x:c>
      <x:c r="I34" s="16">
        <x:f t="shared" si="5"/>
        <x:v>-7.1127338366311355E-2</x:v>
      </x:c>
      <x:c r="J34" s="16" t="e">
        <x:f>IF(H34="","",H34/MAX(H$5:H34)-1)</x:f>
        <x:v>#NAME?</x:v>
      </x:c>
      <x:c r="K34" s="13" t="e">
        <x:f>IF(OR('实盘净值数据(iFinD公式)'!$A34="",'实盘净值数据(iFinD公式)'!$B34=""),"",分期持仓明细!$AB$20*SUMPRODUCT(分期持仓明细!$B$20:$Y$20,'实盘净值数据(iFinD公式)'!$B34:$Y34/'实盘净值数据(iFinD公式)'!$B$25:$Y$25)*(1-实盘持仓配置!$Z$7)^(('实盘净值数据(iFinD公式)'!$A34-'实盘净值数据(iFinD公式)'!$A$8)/365))</x:f>
        <x:v>#NAME?</x:v>
      </x:c>
      <x:c r="L34" s="16">
        <x:f t="shared" si="0"/>
        <x:v>-4.2310555638397362E-3</x:v>
      </x:c>
      <x:c r="M34" s="16" t="e">
        <x:f>IF(K34="","",K34/MAX(K$5:K34)-1)</x:f>
        <x:v>#NAME?</x:v>
      </x:c>
      <x:c r="N34" s="13" t="e">
        <x:f>IF(OR('实盘净值数据(iFinD公式)'!$A34="",'实盘净值数据(iFinD公式)'!$B34=""),"",分期持仓明细!$AB$21*SUMPRODUCT(分期持仓明细!$B$21:$Y$21,'实盘净值数据(iFinD公式)'!$B34:$Y34/'实盘净值数据(iFinD公式)'!$B$25:$Y$25)*(1-实盘持仓配置!$Z$8)^(('实盘净值数据(iFinD公式)'!$A34-'实盘净值数据(iFinD公式)'!$A$5)/365))</x:f>
        <x:v>#NAME?</x:v>
      </x:c>
      <x:c r="O34" s="16">
        <x:f t="shared" si="1"/>
        <x:v>-4.4525731932946178E-3</x:v>
      </x:c>
      <x:c r="P34" s="16" t="e">
        <x:f>IF(N34="","",N34/MAX(N$5:N34)-1)</x:f>
        <x:v>#NAME?</x:v>
      </x:c>
      <x:c r="Q34" s="13" t="e">
        <x:f>IF(OR('实盘净值数据(iFinD公式)'!$A34="",'实盘净值数据(iFinD公式)'!$B34=""),"",分期持仓明细!$AB$22*SUMPRODUCT(分期持仓明细!$B$22:$Y$22,'实盘净值数据(iFinD公式)'!$B34:$Y34/'实盘净值数据(iFinD公式)'!$B$25:$Y$25)*(1-实盘持仓配置!$Z$9)^(('实盘净值数据(iFinD公式)'!$A34-'实盘净值数据(iFinD公式)'!$A$8)/365))</x:f>
        <x:v>#NAME?</x:v>
      </x:c>
      <x:c r="R34" s="16">
        <x:f t="shared" si="2"/>
        <x:v>-1.507692274698258E-2</x:v>
      </x:c>
      <x:c r="S34" s="16" t="e">
        <x:f>IF(Q34="","",Q34/MAX(Q$5:Q34)-1)</x:f>
        <x:v>#NAME?</x:v>
      </x:c>
    </x:row>
    <x:row r="35">
      <x:c r="A35" s="15" t="n">
        <x:f>IF('实盘净值数据(iFinD公式)'!A35="","",'实盘净值数据(iFinD公式)'!A35)</x:f>
        <x:v>46234</x:v>
      </x:c>
      <x:c r="B35" s="13" t="e">
        <x:f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x:f>
        <x:v>#NAME?</x:v>
      </x:c>
      <x:c r="C35" s="16">
        <x:f t="shared" si="3"/>
        <x:v>3.4580903531324703E-2</x:v>
      </x:c>
      <x:c r="D35" s="16" t="e">
        <x:f>IF(B35="","",B35/MAX(B$5:B35)-1)</x:f>
        <x:v>#NAME?</x:v>
      </x:c>
      <x:c r="E35" s="13" t="e">
        <x:f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x:f>
        <x:v>#NAME?</x:v>
      </x:c>
      <x:c r="F35" s="16">
        <x:f t="shared" si="4"/>
        <x:v>3.4671424861200562E-2</x:v>
      </x:c>
      <x:c r="G35" s="16" t="e">
        <x:f>IF(E35="","",E35/MAX(E$5:E35)-1)</x:f>
        <x:v>#NAME?</x:v>
      </x:c>
      <x:c r="H35" s="13" t="e">
        <x:f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x:f>
        <x:v>#NAME?</x:v>
      </x:c>
      <x:c r="I35" s="16">
        <x:f t="shared" si="5"/>
        <x:v>3.1366401045089587E-2</x:v>
      </x:c>
      <x:c r="J35" s="16" t="e">
        <x:f>IF(H35="","",H35/MAX(H$5:H35)-1)</x:f>
        <x:v>#NAME?</x:v>
      </x:c>
      <x:c r="K35" s="13" t="e">
        <x:f>IF(OR('实盘净值数据(iFinD公式)'!$A35="",'实盘净值数据(iFinD公式)'!$B35=""),"",分期持仓明细!$AB$20*SUMPRODUCT(分期持仓明细!$B$20:$Y$20,'实盘净值数据(iFinD公式)'!$B35:$Y35/'实盘净值数据(iFinD公式)'!$B$25:$Y$25)*(1-实盘持仓配置!$Z$7)^(('实盘净值数据(iFinD公式)'!$A35-'实盘净值数据(iFinD公式)'!$A$8)/365))</x:f>
        <x:v>#NAME?</x:v>
      </x:c>
      <x:c r="L35" s="16">
        <x:f t="shared" si="0"/>
        <x:v>3.2277315447566401E-3</x:v>
      </x:c>
      <x:c r="M35" s="16" t="e">
        <x:f>IF(K35="","",K35/MAX(K$5:K35)-1)</x:f>
        <x:v>#NAME?</x:v>
      </x:c>
      <x:c r="N35" s="13" t="e">
        <x:f>IF(OR('实盘净值数据(iFinD公式)'!$A35="",'实盘净值数据(iFinD公式)'!$B35=""),"",分期持仓明细!$AB$21*SUMPRODUCT(分期持仓明细!$B$21:$Y$21,'实盘净值数据(iFinD公式)'!$B35:$Y35/'实盘净值数据(iFinD公式)'!$B$25:$Y$25)*(1-实盘持仓配置!$Z$8)^(('实盘净值数据(iFinD公式)'!$A35-'实盘净值数据(iFinD公式)'!$A$5)/365))</x:f>
        <x:v>#NAME?</x:v>
      </x:c>
      <x:c r="O35" s="16">
        <x:f t="shared" si="1"/>
        <x:v>3.3834598601001353E-3</x:v>
      </x:c>
      <x:c r="P35" s="16" t="e">
        <x:f>IF(N35="","",N35/MAX(N$5:N35)-1)</x:f>
        <x:v>#NAME?</x:v>
      </x:c>
      <x:c r="Q35" s="13" t="e">
        <x:f>IF(OR('实盘净值数据(iFinD公式)'!$A35="",'实盘净值数据(iFinD公式)'!$B35=""),"",分期持仓明细!$AB$22*SUMPRODUCT(分期持仓明细!$B$22:$Y$22,'实盘净值数据(iFinD公式)'!$B35:$Y35/'实盘净值数据(iFinD公式)'!$B$25:$Y$25)*(1-实盘持仓配置!$Z$9)^(('实盘净值数据(iFinD公式)'!$A35-'实盘净值数据(iFinD公式)'!$A$8)/365))</x:f>
        <x:v>#NAME?</x:v>
      </x:c>
      <x:c r="R35" s="16">
        <x:f t="shared" si="2"/>
        <x:v>8.8651621893631738E-3</x:v>
      </x:c>
      <x:c r="S35" s="16" t="e">
        <x:f>IF(Q35="","",Q35/MAX(Q$5:Q35)-1)</x:f>
        <x:v>#NAME?</x:v>
      </x:c>
    </x:row>
    <x:row r="36">
      <x:c r="A36" s="15" t="n">
        <x:f>IF('实盘净值数据(iFinD公式)'!A36="","",'实盘净值数据(iFinD公式)'!A36)</x:f>
        <x:v>46237</x:v>
      </x:c>
      <x:c r="B36" s="13" t="e">
        <x:f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x:f>
        <x:v>#NAME?</x:v>
      </x:c>
      <x:c r="C36" s="16">
        <x:f t="shared" si="3"/>
        <x:v>-4.1278022421061822E-2</x:v>
      </x:c>
      <x:c r="D36" s="16" t="e">
        <x:f>IF(B36="","",B36/MAX(B$5:B36)-1)</x:f>
        <x:v>#NAME?</x:v>
      </x:c>
      <x:c r="E36" s="13" t="e">
        <x:f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x:f>
        <x:v>#NAME?</x:v>
      </x:c>
      <x:c r="F36" s="16">
        <x:f t="shared" si="4"/>
        <x:v>-4.1198215746331091E-2</x:v>
      </x:c>
      <x:c r="G36" s="16" t="e">
        <x:f>IF(E36="","",E36/MAX(E$5:E36)-1)</x:f>
        <x:v>#NAME?</x:v>
      </x:c>
      <x:c r="H36" s="13" t="e">
        <x:f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x:f>
        <x:v>#NAME?</x:v>
      </x:c>
      <x:c r="I36" s="16">
        <x:f t="shared" si="5"/>
        <x:v>-5.0701274255910533E-2</x:v>
      </x:c>
      <x:c r="J36" s="16" t="e">
        <x:f>IF(H36="","",H36/MAX(H$5:H36)-1)</x:f>
        <x:v>#NAME?</x:v>
      </x:c>
      <x:c r="K36" s="13" t="e">
        <x:f>IF(OR('实盘净值数据(iFinD公式)'!$A36="",'实盘净值数据(iFinD公式)'!$B36=""),"",分期持仓明细!$AB$20*SUMPRODUCT(分期持仓明细!$B$20:$Y$20,'实盘净值数据(iFinD公式)'!$B36:$Y36/'实盘净值数据(iFinD公式)'!$B$25:$Y$25)*(1-实盘持仓配置!$Z$7)^(('实盘净值数据(iFinD公式)'!$A36-'实盘净值数据(iFinD公式)'!$A$8)/365))</x:f>
        <x:v>#NAME?</x:v>
      </x:c>
      <x:c r="L36" s="16">
        <x:f t="shared" si="0"/>
        <x:v>-2.8733020302247336E-3</x:v>
      </x:c>
      <x:c r="M36" s="16" t="e">
        <x:f>IF(K36="","",K36/MAX(K$5:K36)-1)</x:f>
        <x:v>#NAME?</x:v>
      </x:c>
      <x:c r="N36" s="13" t="e">
        <x:f>IF(OR('实盘净值数据(iFinD公式)'!$A36="",'实盘净值数据(iFinD公式)'!$B36=""),"",分期持仓明细!$AB$21*SUMPRODUCT(分期持仓明细!$B$21:$Y$21,'实盘净值数据(iFinD公式)'!$B36:$Y36/'实盘净值数据(iFinD公式)'!$B$25:$Y$25)*(1-实盘持仓配置!$Z$8)^(('实盘净值数据(iFinD公式)'!$A36-'实盘净值数据(iFinD公式)'!$A$5)/365))</x:f>
        <x:v>#NAME?</x:v>
      </x:c>
      <x:c r="O36" s="16">
        <x:f t="shared" si="1"/>
        <x:v>-2.4174967807000236E-3</x:v>
      </x:c>
      <x:c r="P36" s="16" t="e">
        <x:f>IF(N36="","",N36/MAX(N$5:N36)-1)</x:f>
        <x:v>#NAME?</x:v>
      </x:c>
      <x:c r="Q36" s="13" t="e">
        <x:f>IF(OR('实盘净值数据(iFinD公式)'!$A36="",'实盘净值数据(iFinD公式)'!$B36=""),"",分期持仓明细!$AB$22*SUMPRODUCT(分期持仓明细!$B$22:$Y$22,'实盘净值数据(iFinD公式)'!$B36:$Y36/'实盘净值数据(iFinD公式)'!$B$25:$Y$25)*(1-实盘持仓配置!$Z$9)^(('实盘净值数据(iFinD公式)'!$A36-'实盘净值数据(iFinD公式)'!$A$8)/365))</x:f>
        <x:v>#NAME?</x:v>
      </x:c>
      <x:c r="R36" s="16">
        <x:f t="shared" si="2"/>
        <x:v>-9.1809605754814561E-3</x:v>
      </x:c>
      <x:c r="S36" s="16" t="e">
        <x:f>IF(Q36="","",Q36/MAX(Q$5:Q36)-1)</x:f>
        <x:v>#NAME?</x:v>
      </x:c>
    </x:row>
    <x:row r="37">
      <x:c r="A37" s="15" t="n">
        <x:f>IF('实盘净值数据(iFinD公式)'!A37="","",'实盘净值数据(iFinD公式)'!A37)</x:f>
        <x:v>46238</x:v>
      </x:c>
      <x:c r="B37" s="13" t="e">
        <x:f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x:f>
        <x:v>#NAME?</x:v>
      </x:c>
      <x:c r="C37" s="16">
        <x:f t="shared" si="3"/>
        <x:v>7.1633700615813867E-2</x:v>
      </x:c>
      <x:c r="D37" s="16" t="e">
        <x:f>IF(B37="","",B37/MAX(B$5:B37)-1)</x:f>
        <x:v>#NAME?</x:v>
      </x:c>
      <x:c r="E37" s="13" t="e">
        <x:f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x:f>
        <x:v>#NAME?</x:v>
      </x:c>
      <x:c r="F37" s="16">
        <x:f t="shared" si="4"/>
        <x:v>7.1810783195237482E-2</x:v>
      </x:c>
      <x:c r="G37" s="16" t="e">
        <x:f>IF(E37="","",E37/MAX(E$5:E37)-1)</x:f>
        <x:v>#NAME?</x:v>
      </x:c>
      <x:c r="H37" s="13" t="e">
        <x:f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x:f>
        <x:v>#NAME?</x:v>
      </x:c>
      <x:c r="I37" s="16">
        <x:f t="shared" si="5"/>
        <x:v>6.4136704728366745E-2</x:v>
      </x:c>
      <x:c r="J37" s="16" t="e">
        <x:f>IF(H37="","",H37/MAX(H$5:H37)-1)</x:f>
        <x:v>#NAME?</x:v>
      </x:c>
      <x:c r="K37" s="13" t="e">
        <x:f>IF(OR('实盘净值数据(iFinD公式)'!$A37="",'实盘净值数据(iFinD公式)'!$B37=""),"",分期持仓明细!$AB$20*SUMPRODUCT(分期持仓明细!$B$20:$Y$20,'实盘净值数据(iFinD公式)'!$B37:$Y37/'实盘净值数据(iFinD公式)'!$B$25:$Y$25)*(1-实盘持仓配置!$Z$7)^(('实盘净值数据(iFinD公式)'!$A37-'实盘净值数据(iFinD公式)'!$A$8)/365))</x:f>
        <x:v>#NAME?</x:v>
      </x:c>
      <x:c r="L37" s="16">
        <x:f t="shared" si="0"/>
        <x:v>4.5802072568565944E-3</x:v>
      </x:c>
      <x:c r="M37" s="16" t="e">
        <x:f>IF(K37="","",K37/MAX(K$5:K37)-1)</x:f>
        <x:v>#NAME?</x:v>
      </x:c>
      <x:c r="N37" s="13" t="e">
        <x:f>IF(OR('实盘净值数据(iFinD公式)'!$A37="",'实盘净值数据(iFinD公式)'!$B37=""),"",分期持仓明细!$AB$21*SUMPRODUCT(分期持仓明细!$B$21:$Y$21,'实盘净值数据(iFinD公式)'!$B37:$Y37/'实盘净值数据(iFinD公式)'!$B$25:$Y$25)*(1-实盘持仓配置!$Z$8)^(('实盘净值数据(iFinD公式)'!$A37-'实盘净值数据(iFinD公式)'!$A$5)/365))</x:f>
        <x:v>#NAME?</x:v>
      </x:c>
      <x:c r="O37" s="16">
        <x:f t="shared" si="1"/>
        <x:v>4.9747596991611687E-3</x:v>
      </x:c>
      <x:c r="P37" s="16" t="e">
        <x:f>IF(N37="","",N37/MAX(N$5:N37)-1)</x:f>
        <x:v>#NAME?</x:v>
      </x:c>
      <x:c r="Q37" s="13" t="e">
        <x:f>IF(OR('实盘净值数据(iFinD公式)'!$A37="",'实盘净值数据(iFinD公式)'!$B37=""),"",分期持仓明细!$AB$22*SUMPRODUCT(分期持仓明细!$B$22:$Y$22,'实盘净值数据(iFinD公式)'!$B37:$Y37/'实盘净值数据(iFinD公式)'!$B$25:$Y$25)*(1-实盘持仓配置!$Z$9)^(('实盘净值数据(iFinD公式)'!$A37-'实盘净值数据(iFinD公式)'!$A$8)/365))</x:f>
        <x:v>#NAME?</x:v>
      </x:c>
      <x:c r="R37" s="16">
        <x:f t="shared" si="2"/>
        <x:v>1.3460850450123019E-2</x:v>
      </x:c>
      <x:c r="S37" s="16" t="e">
        <x:f>IF(Q37="","",Q37/MAX(Q$5:Q37)-1)</x:f>
        <x:v>#NAME?</x:v>
      </x:c>
    </x:row>
    <x:row r="38">
      <x:c r="A38" s="15" t="n">
        <x:f>IF('实盘净值数据(iFinD公式)'!A38="","",'实盘净值数据(iFinD公式)'!A38)</x:f>
        <x:v>46239</x:v>
      </x:c>
      <x:c r="B38" s="13" t="e">
        <x:f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x:f>
        <x:v>#NAME?</x:v>
      </x:c>
      <x:c r="C38" s="16">
        <x:f t="shared" si="3"/>
        <x:v>4.3981984923207484E-2</x:v>
      </x:c>
      <x:c r="D38" s="16" t="e">
        <x:f>IF(B38="","",B38/MAX(B$5:B38)-1)</x:f>
        <x:v>#NAME?</x:v>
      </x:c>
      <x:c r="E38" s="13" t="e">
        <x:f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x:f>
        <x:v>#NAME?</x:v>
      </x:c>
      <x:c r="F38" s="16">
        <x:f t="shared" si="4"/>
        <x:v>4.3955024343236282E-2</x:v>
      </x:c>
      <x:c r="G38" s="16" t="e">
        <x:f>IF(E38="","",E38/MAX(E$5:E38)-1)</x:f>
        <x:v>#NAME?</x:v>
      </x:c>
      <x:c r="H38" s="13" t="e">
        <x:f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x:f>
        <x:v>#NAME?</x:v>
      </x:c>
      <x:c r="I38" s="16">
        <x:f t="shared" si="5"/>
        <x:v>4.7599486263401936E-2</x:v>
      </x:c>
      <x:c r="J38" s="16" t="e">
        <x:f>IF(H38="","",H38/MAX(H$5:H38)-1)</x:f>
        <x:v>#NAME?</x:v>
      </x:c>
      <x:c r="K38" s="13" t="e">
        <x:f>IF(OR('实盘净值数据(iFinD公式)'!$A38="",'实盘净值数据(iFinD公式)'!$B38=""),"",分期持仓明细!$AB$20*SUMPRODUCT(分期持仓明细!$B$20:$Y$20,'实盘净值数据(iFinD公式)'!$B38:$Y38/'实盘净值数据(iFinD公式)'!$B$25:$Y$25)*(1-实盘持仓配置!$Z$7)^(('实盘净值数据(iFinD公式)'!$A38-'实盘净值数据(iFinD公式)'!$A$8)/365))</x:f>
        <x:v>#NAME?</x:v>
      </x:c>
      <x:c r="L38" s="16">
        <x:f t="shared" si="0"/>
        <x:v>4.9181099730633004E-3</x:v>
      </x:c>
      <x:c r="M38" s="16" t="e">
        <x:f>IF(K38="","",K38/MAX(K$5:K38)-1)</x:f>
        <x:v>#NAME?</x:v>
      </x:c>
      <x:c r="N38" s="13" t="e">
        <x:f>IF(OR('实盘净值数据(iFinD公式)'!$A38="",'实盘净值数据(iFinD公式)'!$B38=""),"",分期持仓明细!$AB$21*SUMPRODUCT(分期持仓明细!$B$21:$Y$21,'实盘净值数据(iFinD公式)'!$B38:$Y38/'实盘净值数据(iFinD公式)'!$B$25:$Y$25)*(1-实盘持仓配置!$Z$8)^(('实盘净值数据(iFinD公式)'!$A38-'实盘净值数据(iFinD公式)'!$A$5)/365))</x:f>
        <x:v>#NAME?</x:v>
      </x:c>
      <x:c r="O38" s="16">
        <x:f t="shared" si="1"/>
        <x:v>4.7680999368913124E-3</x:v>
      </x:c>
      <x:c r="P38" s="16" t="e">
        <x:f>IF(N38="","",N38/MAX(N$5:N38)-1)</x:f>
        <x:v>#NAME?</x:v>
      </x:c>
      <x:c r="Q38" s="13" t="e">
        <x:f>IF(OR('实盘净值数据(iFinD公式)'!$A38="",'实盘净值数据(iFinD公式)'!$B38=""),"",分期持仓明细!$AB$22*SUMPRODUCT(分期持仓明细!$B$22:$Y$22,'实盘净值数据(iFinD公式)'!$B38:$Y38/'实盘净值数据(iFinD公式)'!$B$25:$Y$25)*(1-实盘持仓配置!$Z$9)^(('实盘净值数据(iFinD公式)'!$A38-'实盘净值数据(iFinD公式)'!$A$8)/365))</x:f>
        <x:v>#NAME?</x:v>
      </x:c>
      <x:c r="R38" s="16">
        <x:f t="shared" si="2"/>
        <x:v>1.4085152964127046E-2</x:v>
      </x:c>
      <x:c r="S38" s="16" t="e">
        <x:f>IF(Q38="","",Q38/MAX(Q$5:Q38)-1)</x:f>
        <x:v>#NAME?</x:v>
      </x:c>
    </x:row>
    <x:row r="39">
      <x:c r="A39" s="15" t="n">
        <x:f>IF('实盘净值数据(iFinD公式)'!A39="","",'实盘净值数据(iFinD公式)'!A39)</x:f>
        <x:v>46240</x:v>
      </x:c>
      <x:c r="B39" s="13" t="e">
        <x:f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x:f>
        <x:v>#NAME?</x:v>
      </x:c>
      <x:c r="C39" s="16">
        <x:f t="shared" si="3"/>
        <x:v>1.4186548049814673E-2</x:v>
      </x:c>
      <x:c r="D39" s="16" t="e">
        <x:f>IF(B39="","",B39/MAX(B$5:B39)-1)</x:f>
        <x:v>#NAME?</x:v>
      </x:c>
      <x:c r="E39" s="13" t="e">
        <x:f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x:f>
        <x:v>#NAME?</x:v>
      </x:c>
      <x:c r="F39" s="16">
        <x:f t="shared" si="4"/>
        <x:v>1.4231869142091513E-2</x:v>
      </x:c>
      <x:c r="G39" s="16" t="e">
        <x:f>IF(E39="","",E39/MAX(E$5:E39)-1)</x:f>
        <x:v>#NAME?</x:v>
      </x:c>
      <x:c r="H39" s="13" t="e">
        <x:f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x:f>
        <x:v>#NAME?</x:v>
      </x:c>
      <x:c r="I39" s="16">
        <x:f t="shared" si="5"/>
        <x:v>1.249659368672873E-2</x:v>
      </x:c>
      <x:c r="J39" s="16" t="e">
        <x:f>IF(H39="","",H39/MAX(H$5:H39)-1)</x:f>
        <x:v>#NAME?</x:v>
      </x:c>
      <x:c r="K39" s="13" t="e">
        <x:f>IF(OR('实盘净值数据(iFinD公式)'!$A39="",'实盘净值数据(iFinD公式)'!$B39=""),"",分期持仓明细!$AB$20*SUMPRODUCT(分期持仓明细!$B$20:$Y$20,'实盘净值数据(iFinD公式)'!$B39:$Y39/'实盘净值数据(iFinD公式)'!$B$25:$Y$25)*(1-实盘持仓配置!$Z$7)^(('实盘净值数据(iFinD公式)'!$A39-'实盘净值数据(iFinD公式)'!$A$8)/365))</x:f>
        <x:v>#NAME?</x:v>
      </x:c>
      <x:c r="L39" s="16">
        <x:f t="shared" si="0"/>
        <x:v>2.358398279026952E-3</x:v>
      </x:c>
      <x:c r="M39" s="16" t="e">
        <x:f>IF(K39="","",K39/MAX(K$5:K39)-1)</x:f>
        <x:v>#NAME?</x:v>
      </x:c>
      <x:c r="N39" s="13" t="e">
        <x:f>IF(OR('实盘净值数据(iFinD公式)'!$A39="",'实盘净值数据(iFinD公式)'!$B39=""),"",分期持仓明细!$AB$21*SUMPRODUCT(分期持仓明细!$B$21:$Y$21,'实盘净值数据(iFinD公式)'!$B39:$Y39/'实盘净值数据(iFinD公式)'!$B$25:$Y$25)*(1-实盘持仓配置!$Z$8)^(('实盘净值数据(iFinD公式)'!$A39-'实盘净值数据(iFinD公式)'!$A$5)/365))</x:f>
        <x:v>#NAME?</x:v>
      </x:c>
      <x:c r="O39" s="16">
        <x:f t="shared" si="1"/>
        <x:v>2.4122030732101063E-3</x:v>
      </x:c>
      <x:c r="P39" s="16" t="e">
        <x:f>IF(N39="","",N39/MAX(N$5:N39)-1)</x:f>
        <x:v>#NAME?</x:v>
      </x:c>
      <x:c r="Q39" s="13" t="e">
        <x:f>IF(OR('实盘净值数据(iFinD公式)'!$A39="",'实盘净值数据(iFinD公式)'!$B39=""),"",分期持仓明细!$AB$22*SUMPRODUCT(分期持仓明细!$B$22:$Y$22,'实盘净值数据(iFinD公式)'!$B39:$Y39/'实盘净值数据(iFinD公式)'!$B$25:$Y$25)*(1-实盘持仓配置!$Z$9)^(('实盘净值数据(iFinD公式)'!$A39-'实盘净值数据(iFinD公式)'!$A$8)/365))</x:f>
        <x:v>#NAME?</x:v>
      </x:c>
      <x:c r="R39" s="16">
        <x:f t="shared" si="2"/>
        <x:v>5.7051627453041931E-3</x:v>
      </x:c>
      <x:c r="S39" s="16" t="e">
        <x:f>IF(Q39="","",Q39/MAX(Q$5:Q39)-1)</x:f>
        <x:v>#NAME?</x:v>
      </x:c>
    </x:row>
    <x:row r="40">
      <x:c r="A40" s="15" t="n">
        <x:f>IF('实盘净值数据(iFinD公式)'!A40="","",'实盘净值数据(iFinD公式)'!A40)</x:f>
        <x:v>46241</x:v>
      </x:c>
      <x:c r="B40" s="13" t="e">
        <x:f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x:f>
        <x:v>#NAME?</x:v>
      </x:c>
      <x:c r="C40" s="16">
        <x:f t="shared" si="3"/>
        <x:v>2.6963524650601478E-2</x:v>
      </x:c>
      <x:c r="D40" s="16" t="e">
        <x:f>IF(B40="","",B40/MAX(B$5:B40)-1)</x:f>
        <x:v>#NAME?</x:v>
      </x:c>
      <x:c r="E40" s="13" t="e">
        <x:f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x:f>
        <x:v>#NAME?</x:v>
      </x:c>
      <x:c r="F40" s="16">
        <x:f t="shared" si="4"/>
        <x:v>2.699555665386022E-2</x:v>
      </x:c>
      <x:c r="G40" s="16" t="e">
        <x:f>IF(E40="","",E40/MAX(E$5:E40)-1)</x:f>
        <x:v>#NAME?</x:v>
      </x:c>
      <x:c r="H40" s="13" t="e">
        <x:f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x:f>
        <x:v>#NAME?</x:v>
      </x:c>
      <x:c r="I40" s="16">
        <x:f t="shared" si="5"/>
        <x:v>2.5841669347935303E-2</x:v>
      </x:c>
      <x:c r="J40" s="16" t="e">
        <x:f>IF(H40="","",H40/MAX(H$5:H40)-1)</x:f>
        <x:v>#NAME?</x:v>
      </x:c>
      <x:c r="K40" s="13" t="e">
        <x:f>IF(OR('实盘净值数据(iFinD公式)'!$A40="",'实盘净值数据(iFinD公式)'!$B40=""),"",分期持仓明细!$AB$20*SUMPRODUCT(分期持仓明细!$B$20:$Y$20,'实盘净值数据(iFinD公式)'!$B40:$Y40/'实盘净值数据(iFinD公式)'!$B$25:$Y$25)*(1-实盘持仓配置!$Z$7)^(('实盘净值数据(iFinD公式)'!$A40-'实盘净值数据(iFinD公式)'!$A$8)/365))</x:f>
        <x:v>#NAME?</x:v>
      </x:c>
      <x:c r="L40" s="16">
        <x:f t="shared" si="0"/>
        <x:v>3.139945343405337E-3</x:v>
      </x:c>
      <x:c r="M40" s="16" t="e">
        <x:f>IF(K40="","",K40/MAX(K$5:K40)-1)</x:f>
        <x:v>#NAME?</x:v>
      </x:c>
      <x:c r="N40" s="13" t="e">
        <x:f>IF(OR('实盘净值数据(iFinD公式)'!$A40="",'实盘净值数据(iFinD公式)'!$B40=""),"",分期持仓明细!$AB$21*SUMPRODUCT(分期持仓明细!$B$21:$Y$21,'实盘净值数据(iFinD公式)'!$B40:$Y40/'实盘净值数据(iFinD公式)'!$B$25:$Y$25)*(1-实盘持仓配置!$Z$8)^(('实盘净值数据(iFinD公式)'!$A40-'实盘净值数据(iFinD公式)'!$A$5)/365))</x:f>
        <x:v>#NAME?</x:v>
      </x:c>
      <x:c r="O40" s="16">
        <x:f t="shared" si="1"/>
        <x:v>3.2292943108835903E-3</x:v>
      </x:c>
      <x:c r="P40" s="16" t="e">
        <x:f>IF(N40="","",N40/MAX(N$5:N40)-1)</x:f>
        <x:v>#NAME?</x:v>
      </x:c>
      <x:c r="Q40" s="13" t="e">
        <x:f>IF(OR('实盘净值数据(iFinD公式)'!$A40="",'实盘净值数据(iFinD公式)'!$B40=""),"",分期持仓明细!$AB$22*SUMPRODUCT(分期持仓明细!$B$22:$Y$22,'实盘净值数据(iFinD公式)'!$B40:$Y40/'实盘净值数据(iFinD公式)'!$B$25:$Y$25)*(1-实盘持仓配置!$Z$9)^(('实盘净值数据(iFinD公式)'!$A40-'实盘净值数据(iFinD公式)'!$A$8)/365))</x:f>
        <x:v>#NAME?</x:v>
      </x:c>
      <x:c r="R40" s="16">
        <x:f t="shared" si="2"/>
        <x:v>7.9987169833395377E-3</x:v>
      </x:c>
      <x:c r="S40" s="16" t="e">
        <x:f>IF(Q40="","",Q40/MAX(Q$5:Q40)-1)</x:f>
        <x:v>#NAME?</x:v>
      </x:c>
      <x:c r="U40" t="e">
        <x:f>E40/E35-1</x:f>
        <x:v>#NAME?</x:v>
      </x:c>
    </x:row>
    <x:row r="41">
      <x:c r="A41" s="15" t="n">
        <x:f>IF('实盘净值数据(iFinD公式)'!A41="","",'实盘净值数据(iFinD公式)'!A41)</x:f>
        <x:v>46244</x:v>
      </x:c>
      <x:c r="B41" s="13" t="e">
        <x:f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x:f>
        <x:v>#NAME?</x:v>
      </x:c>
      <x:c r="C41" s="16">
        <x:f t="shared" si="3"/>
        <x:v>-1.2061063649826398E-4</x:v>
      </x:c>
      <x:c r="D41" s="16" t="e">
        <x:f>IF(B41="","",B41/MAX(B$5:B41)-1)</x:f>
        <x:v>#NAME?</x:v>
      </x:c>
      <x:c r="E41" s="13" t="e">
        <x:f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x:f>
        <x:v>#NAME?</x:v>
      </x:c>
      <x:c r="F41" s="16">
        <x:f t="shared" si="4"/>
        <x:v>-9.5698282943534885E-5</x:v>
      </x:c>
      <x:c r="G41" s="16" t="e">
        <x:f>IF(E41="","",E41/MAX(E$5:E41)-1)</x:f>
        <x:v>#NAME?</x:v>
      </x:c>
      <x:c r="H41" s="13" t="e">
        <x:f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x:f>
        <x:v>#NAME?</x:v>
      </x:c>
      <x:c r="I41" s="16">
        <x:f t="shared" si="5"/>
        <x:v>-1.2081343554992685E-4</x:v>
      </x:c>
      <x:c r="J41" s="16" t="e">
        <x:f>IF(H41="","",H41/MAX(H$5:H41)-1)</x:f>
        <x:v>#NAME?</x:v>
      </x:c>
      <x:c r="K41" s="13" t="e">
        <x:f>IF(OR('实盘净值数据(iFinD公式)'!$A41="",'实盘净值数据(iFinD公式)'!$B41=""),"",分期持仓明细!$AB$20*SUMPRODUCT(分期持仓明细!$B$20:$Y$20,'实盘净值数据(iFinD公式)'!$B41:$Y41/'实盘净值数据(iFinD公式)'!$B$25:$Y$25)*(1-实盘持仓配置!$Z$7)^(('实盘净值数据(iFinD公式)'!$A41-'实盘净值数据(iFinD公式)'!$A$8)/365))</x:f>
        <x:v>#NAME?</x:v>
      </x:c>
      <x:c r="L41" s="16">
        <x:f t="shared" si="0"/>
        <x:v>-6.3102781318158385E-5</x:v>
      </x:c>
      <x:c r="M41" s="16" t="e">
        <x:f>IF(K41="","",K41/MAX(K$5:K41)-1)</x:f>
        <x:v>#NAME?</x:v>
      </x:c>
      <x:c r="N41" s="13" t="e">
        <x:f>IF(OR('实盘净值数据(iFinD公式)'!$A41="",'实盘净值数据(iFinD公式)'!$B41=""),"",分期持仓明细!$AB$21*SUMPRODUCT(分期持仓明细!$B$21:$Y$21,'实盘净值数据(iFinD公式)'!$B41:$Y41/'实盘净值数据(iFinD公式)'!$B$25:$Y$25)*(1-实盘持仓配置!$Z$8)^(('实盘净值数据(iFinD公式)'!$A41-'实盘净值数据(iFinD公式)'!$A$5)/365))</x:f>
        <x:v>#NAME?</x:v>
      </x:c>
      <x:c r="O41" s="16">
        <x:f t="shared" si="1"/>
        <x:v>-3.8283185381127183E-5</x:v>
      </x:c>
      <x:c r="P41" s="16" t="e">
        <x:f>IF(N41="","",N41/MAX(N$5:N41)-1)</x:f>
        <x:v>#NAME?</x:v>
      </x:c>
      <x:c r="Q41" s="13" t="e">
        <x:f>IF(OR('实盘净值数据(iFinD公式)'!$A41="",'实盘净值数据(iFinD公式)'!$B41=""),"",分期持仓明细!$AB$22*SUMPRODUCT(分期持仓明细!$B$22:$Y$22,'实盘净值数据(iFinD公式)'!$B41:$Y41/'实盘净值数据(iFinD公式)'!$B$25:$Y$25)*(1-实盘持仓配置!$Z$9)^(('实盘净值数据(iFinD公式)'!$A41-'实盘净值数据(iFinD公式)'!$A$8)/365))</x:f>
        <x:v>#NAME?</x:v>
      </x:c>
      <x:c r="R41" s="16">
        <x:f t="shared" si="2"/>
        <x:v>-9.3564857424399683E-5</x:v>
      </x:c>
      <x:c r="S41" s="16" t="e">
        <x:f>IF(Q41="","",Q41/MAX(Q$5:Q41)-1)</x:f>
        <x:v>#NAME?</x:v>
      </x:c>
    </x:row>
    <x:row r="42">
      <x:c r="A42" s="15" t="str">
        <x:f>IF('实盘净值数据(iFinD公式)'!A42="","",'实盘净值数据(iFinD公式)'!A42)</x:f>
      </x:c>
      <x:c r="B42" s="13" t="e">
        <x:f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x:f>
        <x:v>#NAME?</x:v>
      </x:c>
      <x:c r="C42" s="16" t="str">
        <x:f t="shared" si="3"/>
      </x:c>
      <x:c r="D42" s="16" t="e">
        <x:f>IF(B42="","",B42/MAX(B$5:B42)-1)</x:f>
        <x:v>#NAME?</x:v>
      </x:c>
      <x:c r="E42" s="13" t="e">
        <x:f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x:f>
        <x:v>#NAME?</x:v>
      </x:c>
      <x:c r="F42" s="16" t="str">
        <x:f t="shared" si="4"/>
      </x:c>
      <x:c r="G42" s="16" t="e">
        <x:f>IF(E42="","",E42/MAX(E$5:E42)-1)</x:f>
        <x:v>#NAME?</x:v>
      </x:c>
      <x:c r="H42" s="13" t="e">
        <x:f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x:f>
        <x:v>#NAME?</x:v>
      </x:c>
      <x:c r="I42" s="16" t="str">
        <x:f t="shared" si="5"/>
      </x:c>
      <x:c r="J42" s="16" t="e">
        <x:f>IF(H42="","",H42/MAX(H$5:H42)-1)</x:f>
        <x:v>#NAME?</x:v>
      </x:c>
      <x:c r="K42" s="13" t="e">
        <x:f>IF(OR('实盘净值数据(iFinD公式)'!$A42="",'实盘净值数据(iFinD公式)'!$B42=""),"",分期持仓明细!$AB$20*SUMPRODUCT(分期持仓明细!$B$20:$Y$20,'实盘净值数据(iFinD公式)'!$B42:$Y42/'实盘净值数据(iFinD公式)'!$B$25:$Y$25)*(1-实盘持仓配置!$Z$7)^(('实盘净值数据(iFinD公式)'!$A42-'实盘净值数据(iFinD公式)'!$A$8)/365))</x:f>
        <x:v>#NAME?</x:v>
      </x:c>
      <x:c r="L42" s="16" t="str">
        <x:f t="shared" si="0"/>
      </x:c>
      <x:c r="M42" s="16" t="e">
        <x:f>IF(K42="","",K42/MAX(K$5:K42)-1)</x:f>
        <x:v>#NAME?</x:v>
      </x:c>
      <x:c r="N42" s="13" t="e">
        <x:f>IF(OR('实盘净值数据(iFinD公式)'!$A42="",'实盘净值数据(iFinD公式)'!$B42=""),"",分期持仓明细!$AB$21*SUMPRODUCT(分期持仓明细!$B$21:$Y$21,'实盘净值数据(iFinD公式)'!$B42:$Y42/'实盘净值数据(iFinD公式)'!$B$25:$Y$25)*(1-实盘持仓配置!$Z$8)^(('实盘净值数据(iFinD公式)'!$A42-'实盘净值数据(iFinD公式)'!$A$5)/365))</x:f>
        <x:v>#NAME?</x:v>
      </x:c>
      <x:c r="O42" s="16" t="str">
        <x:f t="shared" si="1"/>
      </x:c>
      <x:c r="P42" s="16" t="e">
        <x:f>IF(N42="","",N42/MAX(N$5:N42)-1)</x:f>
        <x:v>#NAME?</x:v>
      </x:c>
      <x:c r="Q42" s="13" t="e">
        <x:f>IF(OR('实盘净值数据(iFinD公式)'!$A42="",'实盘净值数据(iFinD公式)'!$B42=""),"",分期持仓明细!$AB$22*SUMPRODUCT(分期持仓明细!$B$22:$Y$22,'实盘净值数据(iFinD公式)'!$B42:$Y42/'实盘净值数据(iFinD公式)'!$B$25:$Y$25)*(1-实盘持仓配置!$Z$9)^(('实盘净值数据(iFinD公式)'!$A42-'实盘净值数据(iFinD公式)'!$A$8)/365))</x:f>
        <x:v>#NAME?</x:v>
      </x:c>
      <x:c r="R42" s="16" t="str">
        <x:f t="shared" si="2"/>
      </x:c>
      <x:c r="S42" s="16" t="e">
        <x:f>IF(Q42="","",Q42/MAX(Q$5:Q42)-1)</x:f>
        <x:v>#NAME?</x:v>
      </x:c>
    </x:row>
    <x:row r="43">
      <x:c r="A43" s="15" t="str">
        <x:f>IF('实盘净值数据(iFinD公式)'!A43="","",'实盘净值数据(iFinD公式)'!A43)</x:f>
      </x:c>
      <x:c r="B43" s="13" t="e">
        <x:f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x:f>
        <x:v>#NAME?</x:v>
      </x:c>
      <x:c r="C43" s="16" t="str">
        <x:f t="shared" si="3"/>
      </x:c>
      <x:c r="D43" s="16" t="e">
        <x:f>IF(B43="","",B43/MAX(B$5:B43)-1)</x:f>
        <x:v>#NAME?</x:v>
      </x:c>
      <x:c r="E43" s="13" t="e">
        <x:f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x:f>
        <x:v>#NAME?</x:v>
      </x:c>
      <x:c r="F43" s="16" t="str">
        <x:f t="shared" si="4"/>
      </x:c>
      <x:c r="G43" s="16" t="e">
        <x:f>IF(E43="","",E43/MAX(E$5:E43)-1)</x:f>
        <x:v>#NAME?</x:v>
      </x:c>
      <x:c r="H43" s="13" t="e">
        <x:f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x:f>
        <x:v>#NAME?</x:v>
      </x:c>
      <x:c r="I43" s="16" t="str">
        <x:f t="shared" si="5"/>
      </x:c>
      <x:c r="J43" s="16" t="e">
        <x:f>IF(H43="","",H43/MAX(H$5:H43)-1)</x:f>
        <x:v>#NAME?</x:v>
      </x:c>
      <x:c r="K43" s="13" t="e">
        <x:f>IF(OR('实盘净值数据(iFinD公式)'!$A43="",'实盘净值数据(iFinD公式)'!$B43=""),"",分期持仓明细!$AB$20*SUMPRODUCT(分期持仓明细!$B$20:$Y$20,'实盘净值数据(iFinD公式)'!$B43:$Y43/'实盘净值数据(iFinD公式)'!$B$25:$Y$25)*(1-实盘持仓配置!$Z$7)^(('实盘净值数据(iFinD公式)'!$A43-'实盘净值数据(iFinD公式)'!$A$8)/365))</x:f>
        <x:v>#NAME?</x:v>
      </x:c>
      <x:c r="L43" s="16" t="str">
        <x:f t="shared" si="0"/>
      </x:c>
      <x:c r="M43" s="16" t="e">
        <x:f>IF(K43="","",K43/MAX(K$5:K43)-1)</x:f>
        <x:v>#NAME?</x:v>
      </x:c>
      <x:c r="N43" s="13" t="e">
        <x:f>IF(OR('实盘净值数据(iFinD公式)'!$A43="",'实盘净值数据(iFinD公式)'!$B43=""),"",分期持仓明细!$AB$21*SUMPRODUCT(分期持仓明细!$B$21:$Y$21,'实盘净值数据(iFinD公式)'!$B43:$Y43/'实盘净值数据(iFinD公式)'!$B$25:$Y$25)*(1-实盘持仓配置!$Z$8)^(('实盘净值数据(iFinD公式)'!$A43-'实盘净值数据(iFinD公式)'!$A$5)/365))</x:f>
        <x:v>#NAME?</x:v>
      </x:c>
      <x:c r="O43" s="16" t="str">
        <x:f t="shared" si="1"/>
      </x:c>
      <x:c r="P43" s="16" t="e">
        <x:f>IF(N43="","",N43/MAX(N$5:N43)-1)</x:f>
        <x:v>#NAME?</x:v>
      </x:c>
      <x:c r="Q43" s="13" t="e">
        <x:f>IF(OR('实盘净值数据(iFinD公式)'!$A43="",'实盘净值数据(iFinD公式)'!$B43=""),"",分期持仓明细!$AB$22*SUMPRODUCT(分期持仓明细!$B$22:$Y$22,'实盘净值数据(iFinD公式)'!$B43:$Y43/'实盘净值数据(iFinD公式)'!$B$25:$Y$25)*(1-实盘持仓配置!$Z$9)^(('实盘净值数据(iFinD公式)'!$A43-'实盘净值数据(iFinD公式)'!$A$8)/365))</x:f>
        <x:v>#NAME?</x:v>
      </x:c>
      <x:c r="R43" s="16" t="str">
        <x:f t="shared" si="2"/>
      </x:c>
      <x:c r="S43" s="16" t="e">
        <x:f>IF(Q43="","",Q43/MAX(Q$5:Q43)-1)</x:f>
        <x:v>#NAME?</x:v>
      </x:c>
    </x:row>
    <x:row r="44">
      <x:c r="A44" s="15" t="str">
        <x:f>IF('实盘净值数据(iFinD公式)'!A44="","",'实盘净值数据(iFinD公式)'!A44)</x:f>
      </x:c>
      <x:c r="B44" s="13" t="e">
        <x:f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x:f>
        <x:v>#NAME?</x:v>
      </x:c>
      <x:c r="C44" s="16" t="str">
        <x:f t="shared" si="3"/>
      </x:c>
      <x:c r="D44" s="16" t="e">
        <x:f>IF(B44="","",B44/MAX(B$5:B44)-1)</x:f>
        <x:v>#NAME?</x:v>
      </x:c>
      <x:c r="E44" s="13" t="e">
        <x:f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x:f>
        <x:v>#NAME?</x:v>
      </x:c>
      <x:c r="F44" s="16" t="str">
        <x:f t="shared" si="4"/>
      </x:c>
      <x:c r="G44" s="16" t="e">
        <x:f>IF(E44="","",E44/MAX(E$5:E44)-1)</x:f>
        <x:v>#NAME?</x:v>
      </x:c>
      <x:c r="H44" s="13" t="e">
        <x:f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x:f>
        <x:v>#NAME?</x:v>
      </x:c>
      <x:c r="I44" s="16" t="str">
        <x:f t="shared" si="5"/>
      </x:c>
      <x:c r="J44" s="16" t="e">
        <x:f>IF(H44="","",H44/MAX(H$5:H44)-1)</x:f>
        <x:v>#NAME?</x:v>
      </x:c>
      <x:c r="K44" s="13" t="e">
        <x:f>IF(OR('实盘净值数据(iFinD公式)'!$A44="",'实盘净值数据(iFinD公式)'!$B44=""),"",分期持仓明细!$AB$20*SUMPRODUCT(分期持仓明细!$B$20:$Y$20,'实盘净值数据(iFinD公式)'!$B44:$Y44/'实盘净值数据(iFinD公式)'!$B$25:$Y$25)*(1-实盘持仓配置!$Z$7)^(('实盘净值数据(iFinD公式)'!$A44-'实盘净值数据(iFinD公式)'!$A$8)/365))</x:f>
        <x:v>#NAME?</x:v>
      </x:c>
      <x:c r="L44" s="16" t="str">
        <x:f t="shared" si="0"/>
      </x:c>
      <x:c r="M44" s="16" t="e">
        <x:f>IF(K44="","",K44/MAX(K$5:K44)-1)</x:f>
        <x:v>#NAME?</x:v>
      </x:c>
      <x:c r="N44" s="13" t="e">
        <x:f>IF(OR('实盘净值数据(iFinD公式)'!$A44="",'实盘净值数据(iFinD公式)'!$B44=""),"",分期持仓明细!$AB$21*SUMPRODUCT(分期持仓明细!$B$21:$Y$21,'实盘净值数据(iFinD公式)'!$B44:$Y44/'实盘净值数据(iFinD公式)'!$B$25:$Y$25)*(1-实盘持仓配置!$Z$8)^(('实盘净值数据(iFinD公式)'!$A44-'实盘净值数据(iFinD公式)'!$A$5)/365))</x:f>
        <x:v>#NAME?</x:v>
      </x:c>
      <x:c r="O44" s="16" t="str">
        <x:f t="shared" si="1"/>
      </x:c>
      <x:c r="P44" s="16" t="e">
        <x:f>IF(N44="","",N44/MAX(N$5:N44)-1)</x:f>
        <x:v>#NAME?</x:v>
      </x:c>
      <x:c r="Q44" s="13" t="e">
        <x:f>IF(OR('实盘净值数据(iFinD公式)'!$A44="",'实盘净值数据(iFinD公式)'!$B44=""),"",分期持仓明细!$AB$22*SUMPRODUCT(分期持仓明细!$B$22:$Y$22,'实盘净值数据(iFinD公式)'!$B44:$Y44/'实盘净值数据(iFinD公式)'!$B$25:$Y$25)*(1-实盘持仓配置!$Z$9)^(('实盘净值数据(iFinD公式)'!$A44-'实盘净值数据(iFinD公式)'!$A$8)/365))</x:f>
        <x:v>#NAME?</x:v>
      </x:c>
      <x:c r="R44" s="16" t="str">
        <x:f t="shared" si="2"/>
      </x:c>
      <x:c r="S44" s="16" t="e">
        <x:f>IF(Q44="","",Q44/MAX(Q$5:Q44)-1)</x:f>
        <x:v>#NAME?</x:v>
      </x:c>
    </x:row>
    <x:row r="45">
      <x:c r="A45" s="15" t="str">
        <x:f>IF('实盘净值数据(iFinD公式)'!A45="","",'实盘净值数据(iFinD公式)'!A45)</x:f>
      </x:c>
      <x:c r="B45" s="13" t="e">
        <x:f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x:f>
        <x:v>#NAME?</x:v>
      </x:c>
      <x:c r="C45" s="16" t="str">
        <x:f t="shared" si="3"/>
      </x:c>
      <x:c r="D45" s="16" t="e">
        <x:f>IF(B45="","",B45/MAX(B$5:B45)-1)</x:f>
        <x:v>#NAME?</x:v>
      </x:c>
      <x:c r="E45" s="13" t="e">
        <x:f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x:f>
        <x:v>#NAME?</x:v>
      </x:c>
      <x:c r="F45" s="16" t="str">
        <x:f t="shared" si="4"/>
      </x:c>
      <x:c r="G45" s="16" t="e">
        <x:f>IF(E45="","",E45/MAX(E$5:E45)-1)</x:f>
        <x:v>#NAME?</x:v>
      </x:c>
      <x:c r="H45" s="13" t="e">
        <x:f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x:f>
        <x:v>#NAME?</x:v>
      </x:c>
      <x:c r="I45" s="16" t="str">
        <x:f t="shared" si="5"/>
      </x:c>
      <x:c r="J45" s="16" t="e">
        <x:f>IF(H45="","",H45/MAX(H$5:H45)-1)</x:f>
        <x:v>#NAME?</x:v>
      </x:c>
      <x:c r="K45" s="13" t="e">
        <x:f>IF(OR('实盘净值数据(iFinD公式)'!$A45="",'实盘净值数据(iFinD公式)'!$B45=""),"",分期持仓明细!$AB$20*SUMPRODUCT(分期持仓明细!$B$20:$Y$20,'实盘净值数据(iFinD公式)'!$B45:$Y45/'实盘净值数据(iFinD公式)'!$B$25:$Y$25)*(1-实盘持仓配置!$Z$7)^(('实盘净值数据(iFinD公式)'!$A45-'实盘净值数据(iFinD公式)'!$A$8)/365))</x:f>
        <x:v>#NAME?</x:v>
      </x:c>
      <x:c r="L45" s="16" t="str">
        <x:f t="shared" si="0"/>
      </x:c>
      <x:c r="M45" s="16" t="e">
        <x:f>IF(K45="","",K45/MAX(K$5:K45)-1)</x:f>
        <x:v>#NAME?</x:v>
      </x:c>
      <x:c r="N45" s="13" t="e">
        <x:f>IF(OR('实盘净值数据(iFinD公式)'!$A45="",'实盘净值数据(iFinD公式)'!$B45=""),"",分期持仓明细!$AB$21*SUMPRODUCT(分期持仓明细!$B$21:$Y$21,'实盘净值数据(iFinD公式)'!$B45:$Y45/'实盘净值数据(iFinD公式)'!$B$25:$Y$25)*(1-实盘持仓配置!$Z$8)^(('实盘净值数据(iFinD公式)'!$A45-'实盘净值数据(iFinD公式)'!$A$5)/365))</x:f>
        <x:v>#NAME?</x:v>
      </x:c>
      <x:c r="O45" s="16" t="str">
        <x:f t="shared" si="1"/>
      </x:c>
      <x:c r="P45" s="16" t="e">
        <x:f>IF(N45="","",N45/MAX(N$5:N45)-1)</x:f>
        <x:v>#NAME?</x:v>
      </x:c>
      <x:c r="Q45" s="13" t="e">
        <x:f>IF(OR('实盘净值数据(iFinD公式)'!$A45="",'实盘净值数据(iFinD公式)'!$B45=""),"",分期持仓明细!$AB$22*SUMPRODUCT(分期持仓明细!$B$22:$Y$22,'实盘净值数据(iFinD公式)'!$B45:$Y45/'实盘净值数据(iFinD公式)'!$B$25:$Y$25)*(1-实盘持仓配置!$Z$9)^(('实盘净值数据(iFinD公式)'!$A45-'实盘净值数据(iFinD公式)'!$A$8)/365))</x:f>
        <x:v>#NAME?</x:v>
      </x:c>
      <x:c r="R45" s="16" t="str">
        <x:f t="shared" si="2"/>
      </x:c>
      <x:c r="S45" s="16" t="e">
        <x:f>IF(Q45="","",Q45/MAX(Q$5:Q45)-1)</x:f>
        <x:v>#NAME?</x:v>
      </x:c>
    </x:row>
    <x:row r="46">
      <x:c r="A46" s="15" t="str">
        <x:f>IF('实盘净值数据(iFinD公式)'!A46="","",'实盘净值数据(iFinD公式)'!A46)</x:f>
      </x:c>
      <x:c r="B46" s="13" t="e">
        <x:f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x:f>
        <x:v>#NAME?</x:v>
      </x:c>
      <x:c r="C46" s="16" t="str">
        <x:f t="shared" si="3"/>
      </x:c>
      <x:c r="D46" s="16" t="e">
        <x:f>IF(B46="","",B46/MAX(B$5:B46)-1)</x:f>
        <x:v>#NAME?</x:v>
      </x:c>
      <x:c r="E46" s="13" t="e">
        <x:f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x:f>
        <x:v>#NAME?</x:v>
      </x:c>
      <x:c r="F46" s="16" t="str">
        <x:f t="shared" si="4"/>
      </x:c>
      <x:c r="G46" s="16" t="e">
        <x:f>IF(E46="","",E46/MAX(E$5:E46)-1)</x:f>
        <x:v>#NAME?</x:v>
      </x:c>
      <x:c r="H46" s="13" t="e">
        <x:f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x:f>
        <x:v>#NAME?</x:v>
      </x:c>
      <x:c r="I46" s="16" t="str">
        <x:f t="shared" si="5"/>
      </x:c>
      <x:c r="J46" s="16" t="e">
        <x:f>IF(H46="","",H46/MAX(H$5:H46)-1)</x:f>
        <x:v>#NAME?</x:v>
      </x:c>
      <x:c r="K46" s="13" t="e">
        <x:f>IF(OR('实盘净值数据(iFinD公式)'!$A46="",'实盘净值数据(iFinD公式)'!$B46=""),"",分期持仓明细!$AB$20*SUMPRODUCT(分期持仓明细!$B$20:$Y$20,'实盘净值数据(iFinD公式)'!$B46:$Y46/'实盘净值数据(iFinD公式)'!$B$25:$Y$25)*(1-实盘持仓配置!$Z$7)^(('实盘净值数据(iFinD公式)'!$A46-'实盘净值数据(iFinD公式)'!$A$8)/365))</x:f>
        <x:v>#NAME?</x:v>
      </x:c>
      <x:c r="L46" s="16" t="str">
        <x:f t="shared" si="0"/>
      </x:c>
      <x:c r="M46" s="16" t="e">
        <x:f>IF(K46="","",K46/MAX(K$5:K46)-1)</x:f>
        <x:v>#NAME?</x:v>
      </x:c>
      <x:c r="N46" s="13" t="e">
        <x:f>IF(OR('实盘净值数据(iFinD公式)'!$A46="",'实盘净值数据(iFinD公式)'!$B46=""),"",分期持仓明细!$AB$21*SUMPRODUCT(分期持仓明细!$B$21:$Y$21,'实盘净值数据(iFinD公式)'!$B46:$Y46/'实盘净值数据(iFinD公式)'!$B$25:$Y$25)*(1-实盘持仓配置!$Z$8)^(('实盘净值数据(iFinD公式)'!$A46-'实盘净值数据(iFinD公式)'!$A$5)/365))</x:f>
        <x:v>#NAME?</x:v>
      </x:c>
      <x:c r="O46" s="16" t="str">
        <x:f t="shared" si="1"/>
      </x:c>
      <x:c r="P46" s="16" t="e">
        <x:f>IF(N46="","",N46/MAX(N$5:N46)-1)</x:f>
        <x:v>#NAME?</x:v>
      </x:c>
      <x:c r="Q46" s="13" t="e">
        <x:f>IF(OR('实盘净值数据(iFinD公式)'!$A46="",'实盘净值数据(iFinD公式)'!$B46=""),"",分期持仓明细!$AB$22*SUMPRODUCT(分期持仓明细!$B$22:$Y$22,'实盘净值数据(iFinD公式)'!$B46:$Y46/'实盘净值数据(iFinD公式)'!$B$25:$Y$25)*(1-实盘持仓配置!$Z$9)^(('实盘净值数据(iFinD公式)'!$A46-'实盘净值数据(iFinD公式)'!$A$8)/365))</x:f>
        <x:v>#NAME?</x:v>
      </x:c>
      <x:c r="R46" s="16" t="str">
        <x:f t="shared" si="2"/>
      </x:c>
      <x:c r="S46" s="16" t="e">
        <x:f>IF(Q46="","",Q46/MAX(Q$5:Q46)-1)</x:f>
        <x:v>#NAME?</x:v>
      </x:c>
    </x:row>
    <x:row r="47">
      <x:c r="A47" s="15" t="str">
        <x:f>IF('实盘净值数据(iFinD公式)'!A47="","",'实盘净值数据(iFinD公式)'!A47)</x:f>
      </x:c>
      <x:c r="B47" s="13" t="e">
        <x:f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x:f>
        <x:v>#NAME?</x:v>
      </x:c>
      <x:c r="C47" s="16" t="str">
        <x:f t="shared" si="3"/>
      </x:c>
      <x:c r="D47" s="16" t="e">
        <x:f>IF(B47="","",B47/MAX(B$5:B47)-1)</x:f>
        <x:v>#NAME?</x:v>
      </x:c>
      <x:c r="E47" s="13" t="e">
        <x:f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x:f>
        <x:v>#NAME?</x:v>
      </x:c>
      <x:c r="F47" s="16" t="str">
        <x:f t="shared" si="4"/>
      </x:c>
      <x:c r="G47" s="16" t="e">
        <x:f>IF(E47="","",E47/MAX(E$5:E47)-1)</x:f>
        <x:v>#NAME?</x:v>
      </x:c>
      <x:c r="H47" s="13" t="e">
        <x:f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x:f>
        <x:v>#NAME?</x:v>
      </x:c>
      <x:c r="I47" s="16" t="str">
        <x:f t="shared" si="5"/>
      </x:c>
      <x:c r="J47" s="16" t="e">
        <x:f>IF(H47="","",H47/MAX(H$5:H47)-1)</x:f>
        <x:v>#NAME?</x:v>
      </x:c>
      <x:c r="K47" s="13" t="e">
        <x:f>IF(OR('实盘净值数据(iFinD公式)'!$A47="",'实盘净值数据(iFinD公式)'!$B47=""),"",分期持仓明细!$AB$20*SUMPRODUCT(分期持仓明细!$B$20:$Y$20,'实盘净值数据(iFinD公式)'!$B47:$Y47/'实盘净值数据(iFinD公式)'!$B$25:$Y$25)*(1-实盘持仓配置!$Z$7)^(('实盘净值数据(iFinD公式)'!$A47-'实盘净值数据(iFinD公式)'!$A$8)/365))</x:f>
        <x:v>#NAME?</x:v>
      </x:c>
      <x:c r="L47" s="16" t="str">
        <x:f t="shared" si="0"/>
      </x:c>
      <x:c r="M47" s="16" t="e">
        <x:f>IF(K47="","",K47/MAX(K$5:K47)-1)</x:f>
        <x:v>#NAME?</x:v>
      </x:c>
      <x:c r="N47" s="13" t="e">
        <x:f>IF(OR('实盘净值数据(iFinD公式)'!$A47="",'实盘净值数据(iFinD公式)'!$B47=""),"",分期持仓明细!$AB$21*SUMPRODUCT(分期持仓明细!$B$21:$Y$21,'实盘净值数据(iFinD公式)'!$B47:$Y47/'实盘净值数据(iFinD公式)'!$B$25:$Y$25)*(1-实盘持仓配置!$Z$8)^(('实盘净值数据(iFinD公式)'!$A47-'实盘净值数据(iFinD公式)'!$A$5)/365))</x:f>
        <x:v>#NAME?</x:v>
      </x:c>
      <x:c r="O47" s="16" t="str">
        <x:f t="shared" si="1"/>
      </x:c>
      <x:c r="P47" s="16" t="e">
        <x:f>IF(N47="","",N47/MAX(N$5:N47)-1)</x:f>
        <x:v>#NAME?</x:v>
      </x:c>
      <x:c r="Q47" s="13" t="e">
        <x:f>IF(OR('实盘净值数据(iFinD公式)'!$A47="",'实盘净值数据(iFinD公式)'!$B47=""),"",分期持仓明细!$AB$22*SUMPRODUCT(分期持仓明细!$B$22:$Y$22,'实盘净值数据(iFinD公式)'!$B47:$Y47/'实盘净值数据(iFinD公式)'!$B$25:$Y$25)*(1-实盘持仓配置!$Z$9)^(('实盘净值数据(iFinD公式)'!$A47-'实盘净值数据(iFinD公式)'!$A$8)/365))</x:f>
        <x:v>#NAME?</x:v>
      </x:c>
      <x:c r="R47" s="16" t="str">
        <x:f t="shared" si="2"/>
      </x:c>
      <x:c r="S47" s="16" t="e">
        <x:f>IF(Q47="","",Q47/MAX(Q$5:Q47)-1)</x:f>
        <x:v>#NAME?</x:v>
      </x:c>
    </x:row>
    <x:row r="48">
      <x:c r="A48" s="15" t="str">
        <x:f>IF('实盘净值数据(iFinD公式)'!A48="","",'实盘净值数据(iFinD公式)'!A48)</x:f>
      </x:c>
      <x:c r="B48" s="13" t="e">
        <x:f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x:f>
        <x:v>#NAME?</x:v>
      </x:c>
      <x:c r="C48" s="16" t="str">
        <x:f t="shared" si="3"/>
      </x:c>
      <x:c r="D48" s="16" t="e">
        <x:f>IF(B48="","",B48/MAX(B$5:B48)-1)</x:f>
        <x:v>#NAME?</x:v>
      </x:c>
      <x:c r="E48" s="13" t="e">
        <x:f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x:f>
        <x:v>#NAME?</x:v>
      </x:c>
      <x:c r="F48" s="16" t="str">
        <x:f t="shared" si="4"/>
      </x:c>
      <x:c r="G48" s="16" t="e">
        <x:f>IF(E48="","",E48/MAX(E$5:E48)-1)</x:f>
        <x:v>#NAME?</x:v>
      </x:c>
      <x:c r="H48" s="13" t="e">
        <x:f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x:f>
        <x:v>#NAME?</x:v>
      </x:c>
      <x:c r="I48" s="16" t="str">
        <x:f t="shared" si="5"/>
      </x:c>
      <x:c r="J48" s="16" t="e">
        <x:f>IF(H48="","",H48/MAX(H$5:H48)-1)</x:f>
        <x:v>#NAME?</x:v>
      </x:c>
      <x:c r="K48" s="13" t="e">
        <x:f>IF(OR('实盘净值数据(iFinD公式)'!$A48="",'实盘净值数据(iFinD公式)'!$B48=""),"",分期持仓明细!$AB$20*SUMPRODUCT(分期持仓明细!$B$20:$Y$20,'实盘净值数据(iFinD公式)'!$B48:$Y48/'实盘净值数据(iFinD公式)'!$B$25:$Y$25)*(1-实盘持仓配置!$Z$7)^(('实盘净值数据(iFinD公式)'!$A48-'实盘净值数据(iFinD公式)'!$A$8)/365))</x:f>
        <x:v>#NAME?</x:v>
      </x:c>
      <x:c r="L48" s="16" t="str">
        <x:f t="shared" si="0"/>
      </x:c>
      <x:c r="M48" s="16" t="e">
        <x:f>IF(K48="","",K48/MAX(K$5:K48)-1)</x:f>
        <x:v>#NAME?</x:v>
      </x:c>
      <x:c r="N48" s="13" t="e">
        <x:f>IF(OR('实盘净值数据(iFinD公式)'!$A48="",'实盘净值数据(iFinD公式)'!$B48=""),"",分期持仓明细!$AB$21*SUMPRODUCT(分期持仓明细!$B$21:$Y$21,'实盘净值数据(iFinD公式)'!$B48:$Y48/'实盘净值数据(iFinD公式)'!$B$25:$Y$25)*(1-实盘持仓配置!$Z$8)^(('实盘净值数据(iFinD公式)'!$A48-'实盘净值数据(iFinD公式)'!$A$5)/365))</x:f>
        <x:v>#NAME?</x:v>
      </x:c>
      <x:c r="O48" s="16" t="str">
        <x:f t="shared" si="1"/>
      </x:c>
      <x:c r="P48" s="16" t="e">
        <x:f>IF(N48="","",N48/MAX(N$5:N48)-1)</x:f>
        <x:v>#NAME?</x:v>
      </x:c>
      <x:c r="Q48" s="13" t="e">
        <x:f>IF(OR('实盘净值数据(iFinD公式)'!$A48="",'实盘净值数据(iFinD公式)'!$B48=""),"",分期持仓明细!$AB$22*SUMPRODUCT(分期持仓明细!$B$22:$Y$22,'实盘净值数据(iFinD公式)'!$B48:$Y48/'实盘净值数据(iFinD公式)'!$B$25:$Y$25)*(1-实盘持仓配置!$Z$9)^(('实盘净值数据(iFinD公式)'!$A48-'实盘净值数据(iFinD公式)'!$A$8)/365))</x:f>
        <x:v>#NAME?</x:v>
      </x:c>
      <x:c r="R48" s="16" t="str">
        <x:f t="shared" si="2"/>
      </x:c>
      <x:c r="S48" s="16" t="e">
        <x:f>IF(Q48="","",Q48/MAX(Q$5:Q48)-1)</x:f>
        <x:v>#NAME?</x:v>
      </x:c>
    </x:row>
    <x:row r="49">
      <x:c r="A49" s="15" t="str">
        <x:f>IF('实盘净值数据(iFinD公式)'!A49="","",'实盘净值数据(iFinD公式)'!A49)</x:f>
      </x:c>
      <x:c r="B49" s="13" t="e">
        <x:f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x:f>
        <x:v>#NAME?</x:v>
      </x:c>
      <x:c r="C49" s="16" t="str">
        <x:f t="shared" si="3"/>
      </x:c>
      <x:c r="D49" s="16" t="e">
        <x:f>IF(B49="","",B49/MAX(B$5:B49)-1)</x:f>
        <x:v>#NAME?</x:v>
      </x:c>
      <x:c r="E49" s="13" t="e">
        <x:f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x:f>
        <x:v>#NAME?</x:v>
      </x:c>
      <x:c r="F49" s="16" t="str">
        <x:f t="shared" si="4"/>
      </x:c>
      <x:c r="G49" s="16" t="e">
        <x:f>IF(E49="","",E49/MAX(E$5:E49)-1)</x:f>
        <x:v>#NAME?</x:v>
      </x:c>
      <x:c r="H49" s="13" t="e">
        <x:f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x:f>
        <x:v>#NAME?</x:v>
      </x:c>
      <x:c r="I49" s="16" t="str">
        <x:f t="shared" si="5"/>
      </x:c>
      <x:c r="J49" s="16" t="e">
        <x:f>IF(H49="","",H49/MAX(H$5:H49)-1)</x:f>
        <x:v>#NAME?</x:v>
      </x:c>
      <x:c r="K49" s="13" t="e">
        <x:f>IF(OR('实盘净值数据(iFinD公式)'!$A49="",'实盘净值数据(iFinD公式)'!$B49=""),"",分期持仓明细!$AB$20*SUMPRODUCT(分期持仓明细!$B$20:$Y$20,'实盘净值数据(iFinD公式)'!$B49:$Y49/'实盘净值数据(iFinD公式)'!$B$25:$Y$25)*(1-实盘持仓配置!$Z$7)^(('实盘净值数据(iFinD公式)'!$A49-'实盘净值数据(iFinD公式)'!$A$8)/365))</x:f>
        <x:v>#NAME?</x:v>
      </x:c>
      <x:c r="L49" s="16" t="str">
        <x:f t="shared" si="0"/>
      </x:c>
      <x:c r="M49" s="16" t="e">
        <x:f>IF(K49="","",K49/MAX(K$5:K49)-1)</x:f>
        <x:v>#NAME?</x:v>
      </x:c>
      <x:c r="N49" s="13" t="e">
        <x:f>IF(OR('实盘净值数据(iFinD公式)'!$A49="",'实盘净值数据(iFinD公式)'!$B49=""),"",分期持仓明细!$AB$21*SUMPRODUCT(分期持仓明细!$B$21:$Y$21,'实盘净值数据(iFinD公式)'!$B49:$Y49/'实盘净值数据(iFinD公式)'!$B$25:$Y$25)*(1-实盘持仓配置!$Z$8)^(('实盘净值数据(iFinD公式)'!$A49-'实盘净值数据(iFinD公式)'!$A$5)/365))</x:f>
        <x:v>#NAME?</x:v>
      </x:c>
      <x:c r="O49" s="16" t="str">
        <x:f t="shared" si="1"/>
      </x:c>
      <x:c r="P49" s="16" t="e">
        <x:f>IF(N49="","",N49/MAX(N$5:N49)-1)</x:f>
        <x:v>#NAME?</x:v>
      </x:c>
      <x:c r="Q49" s="13" t="e">
        <x:f>IF(OR('实盘净值数据(iFinD公式)'!$A49="",'实盘净值数据(iFinD公式)'!$B49=""),"",分期持仓明细!$AB$22*SUMPRODUCT(分期持仓明细!$B$22:$Y$22,'实盘净值数据(iFinD公式)'!$B49:$Y49/'实盘净值数据(iFinD公式)'!$B$25:$Y$25)*(1-实盘持仓配置!$Z$9)^(('实盘净值数据(iFinD公式)'!$A49-'实盘净值数据(iFinD公式)'!$A$8)/365))</x:f>
        <x:v>#NAME?</x:v>
      </x:c>
      <x:c r="R49" s="16" t="str">
        <x:f t="shared" si="2"/>
      </x:c>
      <x:c r="S49" s="16" t="e">
        <x:f>IF(Q49="","",Q49/MAX(Q$5:Q49)-1)</x:f>
        <x:v>#NAME?</x:v>
      </x:c>
    </x:row>
    <x:row r="50">
      <x:c r="A50" s="15" t="str">
        <x:f>IF('实盘净值数据(iFinD公式)'!A50="","",'实盘净值数据(iFinD公式)'!A50)</x:f>
      </x:c>
      <x:c r="B50" s="13" t="e">
        <x:f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x:f>
        <x:v>#NAME?</x:v>
      </x:c>
      <x:c r="C50" s="16" t="str">
        <x:f t="shared" si="3"/>
      </x:c>
      <x:c r="D50" s="16" t="e">
        <x:f>IF(B50="","",B50/MAX(B$5:B50)-1)</x:f>
        <x:v>#NAME?</x:v>
      </x:c>
      <x:c r="E50" s="13" t="e">
        <x:f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x:f>
        <x:v>#NAME?</x:v>
      </x:c>
      <x:c r="F50" s="16" t="str">
        <x:f t="shared" si="4"/>
      </x:c>
      <x:c r="G50" s="16" t="e">
        <x:f>IF(E50="","",E50/MAX(E$5:E50)-1)</x:f>
        <x:v>#NAME?</x:v>
      </x:c>
      <x:c r="H50" s="13" t="e">
        <x:f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x:f>
        <x:v>#NAME?</x:v>
      </x:c>
      <x:c r="I50" s="16" t="str">
        <x:f t="shared" si="5"/>
      </x:c>
      <x:c r="J50" s="16" t="e">
        <x:f>IF(H50="","",H50/MAX(H$5:H50)-1)</x:f>
        <x:v>#NAME?</x:v>
      </x:c>
      <x:c r="K50" s="13" t="e">
        <x:f>IF(OR('实盘净值数据(iFinD公式)'!$A50="",'实盘净值数据(iFinD公式)'!$B50=""),"",分期持仓明细!$AB$20*SUMPRODUCT(分期持仓明细!$B$20:$Y$20,'实盘净值数据(iFinD公式)'!$B50:$Y50/'实盘净值数据(iFinD公式)'!$B$25:$Y$25)*(1-实盘持仓配置!$Z$7)^(('实盘净值数据(iFinD公式)'!$A50-'实盘净值数据(iFinD公式)'!$A$8)/365))</x:f>
        <x:v>#NAME?</x:v>
      </x:c>
      <x:c r="L50" s="16" t="str">
        <x:f t="shared" si="0"/>
      </x:c>
      <x:c r="M50" s="16" t="e">
        <x:f>IF(K50="","",K50/MAX(K$5:K50)-1)</x:f>
        <x:v>#NAME?</x:v>
      </x:c>
      <x:c r="N50" s="13" t="e">
        <x:f>IF(OR('实盘净值数据(iFinD公式)'!$A50="",'实盘净值数据(iFinD公式)'!$B50=""),"",分期持仓明细!$AB$21*SUMPRODUCT(分期持仓明细!$B$21:$Y$21,'实盘净值数据(iFinD公式)'!$B50:$Y50/'实盘净值数据(iFinD公式)'!$B$25:$Y$25)*(1-实盘持仓配置!$Z$8)^(('实盘净值数据(iFinD公式)'!$A50-'实盘净值数据(iFinD公式)'!$A$5)/365))</x:f>
        <x:v>#NAME?</x:v>
      </x:c>
      <x:c r="O50" s="16" t="str">
        <x:f t="shared" si="1"/>
      </x:c>
      <x:c r="P50" s="16" t="e">
        <x:f>IF(N50="","",N50/MAX(N$5:N50)-1)</x:f>
        <x:v>#NAME?</x:v>
      </x:c>
      <x:c r="Q50" s="13" t="e">
        <x:f>IF(OR('实盘净值数据(iFinD公式)'!$A50="",'实盘净值数据(iFinD公式)'!$B50=""),"",分期持仓明细!$AB$22*SUMPRODUCT(分期持仓明细!$B$22:$Y$22,'实盘净值数据(iFinD公式)'!$B50:$Y50/'实盘净值数据(iFinD公式)'!$B$25:$Y$25)*(1-实盘持仓配置!$Z$9)^(('实盘净值数据(iFinD公式)'!$A50-'实盘净值数据(iFinD公式)'!$A$8)/365))</x:f>
        <x:v>#NAME?</x:v>
      </x:c>
      <x:c r="R50" s="16" t="str">
        <x:f t="shared" si="2"/>
      </x:c>
      <x:c r="S50" s="16" t="e">
        <x:f>IF(Q50="","",Q50/MAX(Q$5:Q50)-1)</x:f>
        <x:v>#NAME?</x:v>
      </x:c>
    </x:row>
    <x:row r="51">
      <x:c r="A51" s="15" t="str">
        <x:f>IF('实盘净值数据(iFinD公式)'!A51="","",'实盘净值数据(iFinD公式)'!A51)</x:f>
      </x:c>
      <x:c r="B51" s="13" t="e">
        <x:f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x:f>
        <x:v>#NAME?</x:v>
      </x:c>
      <x:c r="C51" s="16" t="str">
        <x:f t="shared" si="3"/>
      </x:c>
      <x:c r="D51" s="16" t="e">
        <x:f>IF(B51="","",B51/MAX(B$5:B51)-1)</x:f>
        <x:v>#NAME?</x:v>
      </x:c>
      <x:c r="E51" s="13" t="e">
        <x:f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x:f>
        <x:v>#NAME?</x:v>
      </x:c>
      <x:c r="F51" s="16" t="str">
        <x:f t="shared" si="4"/>
      </x:c>
      <x:c r="G51" s="16" t="e">
        <x:f>IF(E51="","",E51/MAX(E$5:E51)-1)</x:f>
        <x:v>#NAME?</x:v>
      </x:c>
      <x:c r="H51" s="13" t="e">
        <x:f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x:f>
        <x:v>#NAME?</x:v>
      </x:c>
      <x:c r="I51" s="16" t="str">
        <x:f t="shared" si="5"/>
      </x:c>
      <x:c r="J51" s="16" t="e">
        <x:f>IF(H51="","",H51/MAX(H$5:H51)-1)</x:f>
        <x:v>#NAME?</x:v>
      </x:c>
      <x:c r="K51" s="13" t="e">
        <x:f>IF(OR('实盘净值数据(iFinD公式)'!$A51="",'实盘净值数据(iFinD公式)'!$B51=""),"",分期持仓明细!$AB$20*SUMPRODUCT(分期持仓明细!$B$20:$Y$20,'实盘净值数据(iFinD公式)'!$B51:$Y51/'实盘净值数据(iFinD公式)'!$B$25:$Y$25)*(1-实盘持仓配置!$Z$7)^(('实盘净值数据(iFinD公式)'!$A51-'实盘净值数据(iFinD公式)'!$A$8)/365))</x:f>
        <x:v>#NAME?</x:v>
      </x:c>
      <x:c r="L51" s="16" t="str">
        <x:f t="shared" si="0"/>
      </x:c>
      <x:c r="M51" s="16" t="e">
        <x:f>IF(K51="","",K51/MAX(K$5:K51)-1)</x:f>
        <x:v>#NAME?</x:v>
      </x:c>
      <x:c r="N51" s="13" t="e">
        <x:f>IF(OR('实盘净值数据(iFinD公式)'!$A51="",'实盘净值数据(iFinD公式)'!$B51=""),"",分期持仓明细!$AB$21*SUMPRODUCT(分期持仓明细!$B$21:$Y$21,'实盘净值数据(iFinD公式)'!$B51:$Y51/'实盘净值数据(iFinD公式)'!$B$25:$Y$25)*(1-实盘持仓配置!$Z$8)^(('实盘净值数据(iFinD公式)'!$A51-'实盘净值数据(iFinD公式)'!$A$5)/365))</x:f>
        <x:v>#NAME?</x:v>
      </x:c>
      <x:c r="O51" s="16" t="str">
        <x:f t="shared" si="1"/>
      </x:c>
      <x:c r="P51" s="16" t="e">
        <x:f>IF(N51="","",N51/MAX(N$5:N51)-1)</x:f>
        <x:v>#NAME?</x:v>
      </x:c>
      <x:c r="Q51" s="13" t="e">
        <x:f>IF(OR('实盘净值数据(iFinD公式)'!$A51="",'实盘净值数据(iFinD公式)'!$B51=""),"",分期持仓明细!$AB$22*SUMPRODUCT(分期持仓明细!$B$22:$Y$22,'实盘净值数据(iFinD公式)'!$B51:$Y51/'实盘净值数据(iFinD公式)'!$B$25:$Y$25)*(1-实盘持仓配置!$Z$9)^(('实盘净值数据(iFinD公式)'!$A51-'实盘净值数据(iFinD公式)'!$A$8)/365))</x:f>
        <x:v>#NAME?</x:v>
      </x:c>
      <x:c r="R51" s="16" t="str">
        <x:f t="shared" si="2"/>
      </x:c>
      <x:c r="S51" s="16" t="e">
        <x:f>IF(Q51="","",Q51/MAX(Q$5:Q51)-1)</x:f>
        <x:v>#NAME?</x:v>
      </x:c>
    </x:row>
    <x:row r="52">
      <x:c r="A52" s="15" t="str">
        <x:f>IF('实盘净值数据(iFinD公式)'!A52="","",'实盘净值数据(iFinD公式)'!A52)</x:f>
      </x:c>
      <x:c r="B52" s="13" t="e">
        <x:f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x:f>
        <x:v>#NAME?</x:v>
      </x:c>
      <x:c r="C52" s="16" t="str">
        <x:f t="shared" si="3"/>
      </x:c>
      <x:c r="D52" s="16" t="e">
        <x:f>IF(B52="","",B52/MAX(B$5:B52)-1)</x:f>
        <x:v>#NAME?</x:v>
      </x:c>
      <x:c r="E52" s="13" t="e">
        <x:f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x:f>
        <x:v>#NAME?</x:v>
      </x:c>
      <x:c r="F52" s="16" t="str">
        <x:f t="shared" si="4"/>
      </x:c>
      <x:c r="G52" s="16" t="e">
        <x:f>IF(E52="","",E52/MAX(E$5:E52)-1)</x:f>
        <x:v>#NAME?</x:v>
      </x:c>
      <x:c r="H52" s="13" t="e">
        <x:f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x:f>
        <x:v>#NAME?</x:v>
      </x:c>
      <x:c r="I52" s="16" t="str">
        <x:f t="shared" si="5"/>
      </x:c>
      <x:c r="J52" s="16" t="e">
        <x:f>IF(H52="","",H52/MAX(H$5:H52)-1)</x:f>
        <x:v>#NAME?</x:v>
      </x:c>
      <x:c r="K52" s="13" t="e">
        <x:f>IF(OR('实盘净值数据(iFinD公式)'!$A52="",'实盘净值数据(iFinD公式)'!$B52=""),"",分期持仓明细!$AB$20*SUMPRODUCT(分期持仓明细!$B$20:$Y$20,'实盘净值数据(iFinD公式)'!$B52:$Y52/'实盘净值数据(iFinD公式)'!$B$25:$Y$25)*(1-实盘持仓配置!$Z$7)^(('实盘净值数据(iFinD公式)'!$A52-'实盘净值数据(iFinD公式)'!$A$8)/365))</x:f>
        <x:v>#NAME?</x:v>
      </x:c>
      <x:c r="L52" s="16" t="str">
        <x:f t="shared" si="0"/>
      </x:c>
      <x:c r="M52" s="16" t="e">
        <x:f>IF(K52="","",K52/MAX(K$5:K52)-1)</x:f>
        <x:v>#NAME?</x:v>
      </x:c>
      <x:c r="N52" s="13" t="e">
        <x:f>IF(OR('实盘净值数据(iFinD公式)'!$A52="",'实盘净值数据(iFinD公式)'!$B52=""),"",分期持仓明细!$AB$21*SUMPRODUCT(分期持仓明细!$B$21:$Y$21,'实盘净值数据(iFinD公式)'!$B52:$Y52/'实盘净值数据(iFinD公式)'!$B$25:$Y$25)*(1-实盘持仓配置!$Z$8)^(('实盘净值数据(iFinD公式)'!$A52-'实盘净值数据(iFinD公式)'!$A$5)/365))</x:f>
        <x:v>#NAME?</x:v>
      </x:c>
      <x:c r="O52" s="16" t="str">
        <x:f t="shared" si="1"/>
      </x:c>
      <x:c r="P52" s="16" t="e">
        <x:f>IF(N52="","",N52/MAX(N$5:N52)-1)</x:f>
        <x:v>#NAME?</x:v>
      </x:c>
      <x:c r="Q52" s="13" t="e">
        <x:f>IF(OR('实盘净值数据(iFinD公式)'!$A52="",'实盘净值数据(iFinD公式)'!$B52=""),"",分期持仓明细!$AB$22*SUMPRODUCT(分期持仓明细!$B$22:$Y$22,'实盘净值数据(iFinD公式)'!$B52:$Y52/'实盘净值数据(iFinD公式)'!$B$25:$Y$25)*(1-实盘持仓配置!$Z$9)^(('实盘净值数据(iFinD公式)'!$A52-'实盘净值数据(iFinD公式)'!$A$8)/365))</x:f>
        <x:v>#NAME?</x:v>
      </x:c>
      <x:c r="R52" s="16" t="str">
        <x:f t="shared" si="2"/>
      </x:c>
      <x:c r="S52" s="16" t="e">
        <x:f>IF(Q52="","",Q52/MAX(Q$5:Q52)-1)</x:f>
        <x:v>#NAME?</x:v>
      </x:c>
    </x:row>
    <x:row r="53">
      <x:c r="A53" s="15" t="str">
        <x:f>IF('实盘净值数据(iFinD公式)'!A53="","",'实盘净值数据(iFinD公式)'!A53)</x:f>
      </x:c>
      <x:c r="B53" s="13" t="e">
        <x:f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x:f>
        <x:v>#NAME?</x:v>
      </x:c>
      <x:c r="C53" s="16" t="str">
        <x:f t="shared" si="3"/>
      </x:c>
      <x:c r="D53" s="16" t="e">
        <x:f>IF(B53="","",B53/MAX(B$5:B53)-1)</x:f>
        <x:v>#NAME?</x:v>
      </x:c>
      <x:c r="E53" s="13" t="e">
        <x:f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x:f>
        <x:v>#NAME?</x:v>
      </x:c>
      <x:c r="F53" s="16" t="str">
        <x:f t="shared" si="4"/>
      </x:c>
      <x:c r="G53" s="16" t="e">
        <x:f>IF(E53="","",E53/MAX(E$5:E53)-1)</x:f>
        <x:v>#NAME?</x:v>
      </x:c>
      <x:c r="H53" s="13" t="e">
        <x:f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x:f>
        <x:v>#NAME?</x:v>
      </x:c>
      <x:c r="I53" s="16" t="str">
        <x:f t="shared" si="5"/>
      </x:c>
      <x:c r="J53" s="16" t="e">
        <x:f>IF(H53="","",H53/MAX(H$5:H53)-1)</x:f>
        <x:v>#NAME?</x:v>
      </x:c>
      <x:c r="K53" s="13" t="e">
        <x:f>IF(OR('实盘净值数据(iFinD公式)'!$A53="",'实盘净值数据(iFinD公式)'!$B53=""),"",分期持仓明细!$AB$20*SUMPRODUCT(分期持仓明细!$B$20:$Y$20,'实盘净值数据(iFinD公式)'!$B53:$Y53/'实盘净值数据(iFinD公式)'!$B$25:$Y$25)*(1-实盘持仓配置!$Z$7)^(('实盘净值数据(iFinD公式)'!$A53-'实盘净值数据(iFinD公式)'!$A$8)/365))</x:f>
        <x:v>#NAME?</x:v>
      </x:c>
      <x:c r="L53" s="16" t="str">
        <x:f t="shared" si="0"/>
      </x:c>
      <x:c r="M53" s="16" t="e">
        <x:f>IF(K53="","",K53/MAX(K$5:K53)-1)</x:f>
        <x:v>#NAME?</x:v>
      </x:c>
      <x:c r="N53" s="13" t="e">
        <x:f>IF(OR('实盘净值数据(iFinD公式)'!$A53="",'实盘净值数据(iFinD公式)'!$B53=""),"",分期持仓明细!$AB$21*SUMPRODUCT(分期持仓明细!$B$21:$Y$21,'实盘净值数据(iFinD公式)'!$B53:$Y53/'实盘净值数据(iFinD公式)'!$B$25:$Y$25)*(1-实盘持仓配置!$Z$8)^(('实盘净值数据(iFinD公式)'!$A53-'实盘净值数据(iFinD公式)'!$A$5)/365))</x:f>
        <x:v>#NAME?</x:v>
      </x:c>
      <x:c r="O53" s="16" t="str">
        <x:f t="shared" si="1"/>
      </x:c>
      <x:c r="P53" s="16" t="e">
        <x:f>IF(N53="","",N53/MAX(N$5:N53)-1)</x:f>
        <x:v>#NAME?</x:v>
      </x:c>
      <x:c r="Q53" s="13" t="e">
        <x:f>IF(OR('实盘净值数据(iFinD公式)'!$A53="",'实盘净值数据(iFinD公式)'!$B53=""),"",分期持仓明细!$AB$22*SUMPRODUCT(分期持仓明细!$B$22:$Y$22,'实盘净值数据(iFinD公式)'!$B53:$Y53/'实盘净值数据(iFinD公式)'!$B$25:$Y$25)*(1-实盘持仓配置!$Z$9)^(('实盘净值数据(iFinD公式)'!$A53-'实盘净值数据(iFinD公式)'!$A$8)/365))</x:f>
        <x:v>#NAME?</x:v>
      </x:c>
      <x:c r="R53" s="16" t="str">
        <x:f t="shared" si="2"/>
      </x:c>
      <x:c r="S53" s="16" t="e">
        <x:f>IF(Q53="","",Q53/MAX(Q$5:Q53)-1)</x:f>
        <x:v>#NAME?</x:v>
      </x:c>
    </x:row>
    <x:row r="54">
      <x:c r="A54" s="15" t="str">
        <x:f>IF('实盘净值数据(iFinD公式)'!A54="","",'实盘净值数据(iFinD公式)'!A54)</x:f>
      </x:c>
      <x:c r="B54" s="13" t="e">
        <x:f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x:f>
        <x:v>#NAME?</x:v>
      </x:c>
      <x:c r="C54" s="16" t="str">
        <x:f t="shared" si="3"/>
      </x:c>
      <x:c r="D54" s="16" t="e">
        <x:f>IF(B54="","",B54/MAX(B$5:B54)-1)</x:f>
        <x:v>#NAME?</x:v>
      </x:c>
      <x:c r="E54" s="13" t="e">
        <x:f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x:f>
        <x:v>#NAME?</x:v>
      </x:c>
      <x:c r="F54" s="16" t="str">
        <x:f t="shared" si="4"/>
      </x:c>
      <x:c r="G54" s="16" t="e">
        <x:f>IF(E54="","",E54/MAX(E$5:E54)-1)</x:f>
        <x:v>#NAME?</x:v>
      </x:c>
      <x:c r="H54" s="13" t="e">
        <x:f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x:f>
        <x:v>#NAME?</x:v>
      </x:c>
      <x:c r="I54" s="16" t="str">
        <x:f t="shared" si="5"/>
      </x:c>
      <x:c r="J54" s="16" t="e">
        <x:f>IF(H54="","",H54/MAX(H$5:H54)-1)</x:f>
        <x:v>#NAME?</x:v>
      </x:c>
      <x:c r="K54" s="13" t="e">
        <x:f>IF(OR('实盘净值数据(iFinD公式)'!$A54="",'实盘净值数据(iFinD公式)'!$B54=""),"",分期持仓明细!$AB$20*SUMPRODUCT(分期持仓明细!$B$20:$Y$20,'实盘净值数据(iFinD公式)'!$B54:$Y54/'实盘净值数据(iFinD公式)'!$B$25:$Y$25)*(1-实盘持仓配置!$Z$7)^(('实盘净值数据(iFinD公式)'!$A54-'实盘净值数据(iFinD公式)'!$A$8)/365))</x:f>
        <x:v>#NAME?</x:v>
      </x:c>
      <x:c r="L54" s="16" t="str">
        <x:f t="shared" si="0"/>
      </x:c>
      <x:c r="M54" s="16" t="e">
        <x:f>IF(K54="","",K54/MAX(K$5:K54)-1)</x:f>
        <x:v>#NAME?</x:v>
      </x:c>
      <x:c r="N54" s="13" t="e">
        <x:f>IF(OR('实盘净值数据(iFinD公式)'!$A54="",'实盘净值数据(iFinD公式)'!$B54=""),"",分期持仓明细!$AB$21*SUMPRODUCT(分期持仓明细!$B$21:$Y$21,'实盘净值数据(iFinD公式)'!$B54:$Y54/'实盘净值数据(iFinD公式)'!$B$25:$Y$25)*(1-实盘持仓配置!$Z$8)^(('实盘净值数据(iFinD公式)'!$A54-'实盘净值数据(iFinD公式)'!$A$5)/365))</x:f>
        <x:v>#NAME?</x:v>
      </x:c>
      <x:c r="O54" s="16" t="str">
        <x:f t="shared" si="1"/>
      </x:c>
      <x:c r="P54" s="16" t="e">
        <x:f>IF(N54="","",N54/MAX(N$5:N54)-1)</x:f>
        <x:v>#NAME?</x:v>
      </x:c>
      <x:c r="Q54" s="13" t="e">
        <x:f>IF(OR('实盘净值数据(iFinD公式)'!$A54="",'实盘净值数据(iFinD公式)'!$B54=""),"",分期持仓明细!$AB$22*SUMPRODUCT(分期持仓明细!$B$22:$Y$22,'实盘净值数据(iFinD公式)'!$B54:$Y54/'实盘净值数据(iFinD公式)'!$B$25:$Y$25)*(1-实盘持仓配置!$Z$9)^(('实盘净值数据(iFinD公式)'!$A54-'实盘净值数据(iFinD公式)'!$A$8)/365))</x:f>
        <x:v>#NAME?</x:v>
      </x:c>
      <x:c r="R54" s="16" t="str">
        <x:f t="shared" si="2"/>
      </x:c>
      <x:c r="S54" s="16" t="e">
        <x:f>IF(Q54="","",Q54/MAX(Q$5:Q54)-1)</x:f>
        <x:v>#NAME?</x:v>
      </x:c>
    </x:row>
    <x:row r="55">
      <x:c r="A55" s="15" t="str">
        <x:f>IF('实盘净值数据(iFinD公式)'!A55="","",'实盘净值数据(iFinD公式)'!A55)</x:f>
      </x:c>
      <x:c r="B55" s="13" t="e">
        <x:f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x:f>
        <x:v>#NAME?</x:v>
      </x:c>
      <x:c r="C55" s="16" t="str">
        <x:f t="shared" si="3"/>
      </x:c>
      <x:c r="D55" s="16" t="e">
        <x:f>IF(B55="","",B55/MAX(B$5:B55)-1)</x:f>
        <x:v>#NAME?</x:v>
      </x:c>
      <x:c r="E55" s="13" t="e">
        <x:f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x:f>
        <x:v>#NAME?</x:v>
      </x:c>
      <x:c r="F55" s="16" t="str">
        <x:f t="shared" si="4"/>
      </x:c>
      <x:c r="G55" s="16" t="e">
        <x:f>IF(E55="","",E55/MAX(E$5:E55)-1)</x:f>
        <x:v>#NAME?</x:v>
      </x:c>
      <x:c r="H55" s="13" t="e">
        <x:f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x:f>
        <x:v>#NAME?</x:v>
      </x:c>
      <x:c r="I55" s="16" t="str">
        <x:f t="shared" si="5"/>
      </x:c>
      <x:c r="J55" s="16" t="e">
        <x:f>IF(H55="","",H55/MAX(H$5:H55)-1)</x:f>
        <x:v>#NAME?</x:v>
      </x:c>
      <x:c r="K55" s="13" t="e">
        <x:f>IF(OR('实盘净值数据(iFinD公式)'!$A55="",'实盘净值数据(iFinD公式)'!$B55=""),"",分期持仓明细!$AB$20*SUMPRODUCT(分期持仓明细!$B$20:$Y$20,'实盘净值数据(iFinD公式)'!$B55:$Y55/'实盘净值数据(iFinD公式)'!$B$25:$Y$25)*(1-实盘持仓配置!$Z$7)^(('实盘净值数据(iFinD公式)'!$A55-'实盘净值数据(iFinD公式)'!$A$8)/365))</x:f>
        <x:v>#NAME?</x:v>
      </x:c>
      <x:c r="L55" s="16" t="str">
        <x:f t="shared" si="0"/>
      </x:c>
      <x:c r="M55" s="16" t="e">
        <x:f>IF(K55="","",K55/MAX(K$5:K55)-1)</x:f>
        <x:v>#NAME?</x:v>
      </x:c>
      <x:c r="N55" s="13" t="e">
        <x:f>IF(OR('实盘净值数据(iFinD公式)'!$A55="",'实盘净值数据(iFinD公式)'!$B55=""),"",分期持仓明细!$AB$21*SUMPRODUCT(分期持仓明细!$B$21:$Y$21,'实盘净值数据(iFinD公式)'!$B55:$Y55/'实盘净值数据(iFinD公式)'!$B$25:$Y$25)*(1-实盘持仓配置!$Z$8)^(('实盘净值数据(iFinD公式)'!$A55-'实盘净值数据(iFinD公式)'!$A$5)/365))</x:f>
        <x:v>#NAME?</x:v>
      </x:c>
      <x:c r="O55" s="16" t="str">
        <x:f t="shared" si="1"/>
      </x:c>
      <x:c r="P55" s="16" t="e">
        <x:f>IF(N55="","",N55/MAX(N$5:N55)-1)</x:f>
        <x:v>#NAME?</x:v>
      </x:c>
      <x:c r="Q55" s="13" t="e">
        <x:f>IF(OR('实盘净值数据(iFinD公式)'!$A55="",'实盘净值数据(iFinD公式)'!$B55=""),"",分期持仓明细!$AB$22*SUMPRODUCT(分期持仓明细!$B$22:$Y$22,'实盘净值数据(iFinD公式)'!$B55:$Y55/'实盘净值数据(iFinD公式)'!$B$25:$Y$25)*(1-实盘持仓配置!$Z$9)^(('实盘净值数据(iFinD公式)'!$A55-'实盘净值数据(iFinD公式)'!$A$8)/365))</x:f>
        <x:v>#NAME?</x:v>
      </x:c>
      <x:c r="R55" s="16" t="str">
        <x:f t="shared" si="2"/>
      </x:c>
      <x:c r="S55" s="16" t="e">
        <x:f>IF(Q55="","",Q55/MAX(Q$5:Q55)-1)</x:f>
        <x:v>#NAME?</x:v>
      </x:c>
    </x:row>
    <x:row r="56">
      <x:c r="A56" s="15" t="str">
        <x:f>IF('实盘净值数据(iFinD公式)'!A56="","",'实盘净值数据(iFinD公式)'!A56)</x:f>
      </x:c>
      <x:c r="B56" s="13" t="e">
        <x:f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x:f>
        <x:v>#NAME?</x:v>
      </x:c>
      <x:c r="C56" s="16" t="str">
        <x:f t="shared" si="3"/>
      </x:c>
      <x:c r="D56" s="16" t="e">
        <x:f>IF(B56="","",B56/MAX(B$5:B56)-1)</x:f>
        <x:v>#NAME?</x:v>
      </x:c>
      <x:c r="E56" s="13" t="e">
        <x:f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x:f>
        <x:v>#NAME?</x:v>
      </x:c>
      <x:c r="F56" s="16" t="str">
        <x:f t="shared" si="4"/>
      </x:c>
      <x:c r="G56" s="16" t="e">
        <x:f>IF(E56="","",E56/MAX(E$5:E56)-1)</x:f>
        <x:v>#NAME?</x:v>
      </x:c>
      <x:c r="H56" s="13" t="e">
        <x:f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x:f>
        <x:v>#NAME?</x:v>
      </x:c>
      <x:c r="I56" s="16" t="str">
        <x:f t="shared" si="5"/>
      </x:c>
      <x:c r="J56" s="16" t="e">
        <x:f>IF(H56="","",H56/MAX(H$5:H56)-1)</x:f>
        <x:v>#NAME?</x:v>
      </x:c>
      <x:c r="K56" s="13" t="e">
        <x:f>IF(OR('实盘净值数据(iFinD公式)'!$A56="",'实盘净值数据(iFinD公式)'!$B56=""),"",分期持仓明细!$AB$20*SUMPRODUCT(分期持仓明细!$B$20:$Y$20,'实盘净值数据(iFinD公式)'!$B56:$Y56/'实盘净值数据(iFinD公式)'!$B$25:$Y$25)*(1-实盘持仓配置!$Z$7)^(('实盘净值数据(iFinD公式)'!$A56-'实盘净值数据(iFinD公式)'!$A$8)/365))</x:f>
        <x:v>#NAME?</x:v>
      </x:c>
      <x:c r="L56" s="16" t="str">
        <x:f t="shared" si="0"/>
      </x:c>
      <x:c r="M56" s="16" t="e">
        <x:f>IF(K56="","",K56/MAX(K$5:K56)-1)</x:f>
        <x:v>#NAME?</x:v>
      </x:c>
      <x:c r="N56" s="13" t="e">
        <x:f>IF(OR('实盘净值数据(iFinD公式)'!$A56="",'实盘净值数据(iFinD公式)'!$B56=""),"",分期持仓明细!$AB$21*SUMPRODUCT(分期持仓明细!$B$21:$Y$21,'实盘净值数据(iFinD公式)'!$B56:$Y56/'实盘净值数据(iFinD公式)'!$B$25:$Y$25)*(1-实盘持仓配置!$Z$8)^(('实盘净值数据(iFinD公式)'!$A56-'实盘净值数据(iFinD公式)'!$A$5)/365))</x:f>
        <x:v>#NAME?</x:v>
      </x:c>
      <x:c r="O56" s="16" t="str">
        <x:f t="shared" si="1"/>
      </x:c>
      <x:c r="P56" s="16" t="e">
        <x:f>IF(N56="","",N56/MAX(N$5:N56)-1)</x:f>
        <x:v>#NAME?</x:v>
      </x:c>
      <x:c r="Q56" s="13" t="e">
        <x:f>IF(OR('实盘净值数据(iFinD公式)'!$A56="",'实盘净值数据(iFinD公式)'!$B56=""),"",分期持仓明细!$AB$22*SUMPRODUCT(分期持仓明细!$B$22:$Y$22,'实盘净值数据(iFinD公式)'!$B56:$Y56/'实盘净值数据(iFinD公式)'!$B$25:$Y$25)*(1-实盘持仓配置!$Z$9)^(('实盘净值数据(iFinD公式)'!$A56-'实盘净值数据(iFinD公式)'!$A$8)/365))</x:f>
        <x:v>#NAME?</x:v>
      </x:c>
      <x:c r="R56" s="16" t="str">
        <x:f t="shared" si="2"/>
      </x:c>
      <x:c r="S56" s="16" t="e">
        <x:f>IF(Q56="","",Q56/MAX(Q$5:Q56)-1)</x:f>
        <x:v>#NAME?</x:v>
      </x:c>
    </x:row>
    <x:row r="57">
      <x:c r="A57" s="15" t="str">
        <x:f>IF('实盘净值数据(iFinD公式)'!A57="","",'实盘净值数据(iFinD公式)'!A57)</x:f>
      </x:c>
      <x:c r="B57" s="13" t="e">
        <x:f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x:f>
        <x:v>#NAME?</x:v>
      </x:c>
      <x:c r="C57" s="16" t="str">
        <x:f t="shared" si="3"/>
      </x:c>
      <x:c r="D57" s="16" t="e">
        <x:f>IF(B57="","",B57/MAX(B$5:B57)-1)</x:f>
        <x:v>#NAME?</x:v>
      </x:c>
      <x:c r="E57" s="13" t="e">
        <x:f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x:f>
        <x:v>#NAME?</x:v>
      </x:c>
      <x:c r="F57" s="16" t="str">
        <x:f t="shared" si="4"/>
      </x:c>
      <x:c r="G57" s="16" t="e">
        <x:f>IF(E57="","",E57/MAX(E$5:E57)-1)</x:f>
        <x:v>#NAME?</x:v>
      </x:c>
      <x:c r="H57" s="13" t="e">
        <x:f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x:f>
        <x:v>#NAME?</x:v>
      </x:c>
      <x:c r="I57" s="16" t="str">
        <x:f t="shared" si="5"/>
      </x:c>
      <x:c r="J57" s="16" t="e">
        <x:f>IF(H57="","",H57/MAX(H$5:H57)-1)</x:f>
        <x:v>#NAME?</x:v>
      </x:c>
      <x:c r="K57" s="13" t="e">
        <x:f>IF(OR('实盘净值数据(iFinD公式)'!$A57="",'实盘净值数据(iFinD公式)'!$B57=""),"",分期持仓明细!$AB$20*SUMPRODUCT(分期持仓明细!$B$20:$Y$20,'实盘净值数据(iFinD公式)'!$B57:$Y57/'实盘净值数据(iFinD公式)'!$B$25:$Y$25)*(1-实盘持仓配置!$Z$7)^(('实盘净值数据(iFinD公式)'!$A57-'实盘净值数据(iFinD公式)'!$A$8)/365))</x:f>
        <x:v>#NAME?</x:v>
      </x:c>
      <x:c r="L57" s="16" t="str">
        <x:f t="shared" si="0"/>
      </x:c>
      <x:c r="M57" s="16" t="e">
        <x:f>IF(K57="","",K57/MAX(K$5:K57)-1)</x:f>
        <x:v>#NAME?</x:v>
      </x:c>
      <x:c r="N57" s="13" t="e">
        <x:f>IF(OR('实盘净值数据(iFinD公式)'!$A57="",'实盘净值数据(iFinD公式)'!$B57=""),"",分期持仓明细!$AB$21*SUMPRODUCT(分期持仓明细!$B$21:$Y$21,'实盘净值数据(iFinD公式)'!$B57:$Y57/'实盘净值数据(iFinD公式)'!$B$25:$Y$25)*(1-实盘持仓配置!$Z$8)^(('实盘净值数据(iFinD公式)'!$A57-'实盘净值数据(iFinD公式)'!$A$5)/365))</x:f>
        <x:v>#NAME?</x:v>
      </x:c>
      <x:c r="O57" s="16" t="str">
        <x:f t="shared" si="1"/>
      </x:c>
      <x:c r="P57" s="16" t="e">
        <x:f>IF(N57="","",N57/MAX(N$5:N57)-1)</x:f>
        <x:v>#NAME?</x:v>
      </x:c>
      <x:c r="Q57" s="13" t="e">
        <x:f>IF(OR('实盘净值数据(iFinD公式)'!$A57="",'实盘净值数据(iFinD公式)'!$B57=""),"",分期持仓明细!$AB$22*SUMPRODUCT(分期持仓明细!$B$22:$Y$22,'实盘净值数据(iFinD公式)'!$B57:$Y57/'实盘净值数据(iFinD公式)'!$B$25:$Y$25)*(1-实盘持仓配置!$Z$9)^(('实盘净值数据(iFinD公式)'!$A57-'实盘净值数据(iFinD公式)'!$A$8)/365))</x:f>
        <x:v>#NAME?</x:v>
      </x:c>
      <x:c r="R57" s="16" t="str">
        <x:f t="shared" si="2"/>
      </x:c>
      <x:c r="S57" s="16" t="e">
        <x:f>IF(Q57="","",Q57/MAX(Q$5:Q57)-1)</x:f>
        <x:v>#NAME?</x:v>
      </x:c>
    </x:row>
    <x:row r="58">
      <x:c r="A58" s="15" t="str">
        <x:f>IF('实盘净值数据(iFinD公式)'!A58="","",'实盘净值数据(iFinD公式)'!A58)</x:f>
      </x:c>
      <x:c r="B58" s="13" t="e">
        <x:f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x:f>
        <x:v>#NAME?</x:v>
      </x:c>
      <x:c r="C58" s="16" t="str">
        <x:f t="shared" si="3"/>
      </x:c>
      <x:c r="D58" s="16" t="e">
        <x:f>IF(B58="","",B58/MAX(B$5:B58)-1)</x:f>
        <x:v>#NAME?</x:v>
      </x:c>
      <x:c r="E58" s="13" t="e">
        <x:f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x:f>
        <x:v>#NAME?</x:v>
      </x:c>
      <x:c r="F58" s="16" t="str">
        <x:f t="shared" si="4"/>
      </x:c>
      <x:c r="G58" s="16" t="e">
        <x:f>IF(E58="","",E58/MAX(E$5:E58)-1)</x:f>
        <x:v>#NAME?</x:v>
      </x:c>
      <x:c r="H58" s="13" t="e">
        <x:f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x:f>
        <x:v>#NAME?</x:v>
      </x:c>
      <x:c r="I58" s="16" t="str">
        <x:f t="shared" si="5"/>
      </x:c>
      <x:c r="J58" s="16" t="e">
        <x:f>IF(H58="","",H58/MAX(H$5:H58)-1)</x:f>
        <x:v>#NAME?</x:v>
      </x:c>
      <x:c r="K58" s="13" t="e">
        <x:f>IF(OR('实盘净值数据(iFinD公式)'!$A58="",'实盘净值数据(iFinD公式)'!$B58=""),"",分期持仓明细!$AB$20*SUMPRODUCT(分期持仓明细!$B$20:$Y$20,'实盘净值数据(iFinD公式)'!$B58:$Y58/'实盘净值数据(iFinD公式)'!$B$25:$Y$25)*(1-实盘持仓配置!$Z$7)^(('实盘净值数据(iFinD公式)'!$A58-'实盘净值数据(iFinD公式)'!$A$8)/365))</x:f>
        <x:v>#NAME?</x:v>
      </x:c>
      <x:c r="L58" s="16" t="str">
        <x:f t="shared" si="0"/>
      </x:c>
      <x:c r="M58" s="16" t="e">
        <x:f>IF(K58="","",K58/MAX(K$5:K58)-1)</x:f>
        <x:v>#NAME?</x:v>
      </x:c>
      <x:c r="N58" s="13" t="e">
        <x:f>IF(OR('实盘净值数据(iFinD公式)'!$A58="",'实盘净值数据(iFinD公式)'!$B58=""),"",分期持仓明细!$AB$21*SUMPRODUCT(分期持仓明细!$B$21:$Y$21,'实盘净值数据(iFinD公式)'!$B58:$Y58/'实盘净值数据(iFinD公式)'!$B$25:$Y$25)*(1-实盘持仓配置!$Z$8)^(('实盘净值数据(iFinD公式)'!$A58-'实盘净值数据(iFinD公式)'!$A$5)/365))</x:f>
        <x:v>#NAME?</x:v>
      </x:c>
      <x:c r="O58" s="16" t="str">
        <x:f t="shared" si="1"/>
      </x:c>
      <x:c r="P58" s="16" t="e">
        <x:f>IF(N58="","",N58/MAX(N$5:N58)-1)</x:f>
        <x:v>#NAME?</x:v>
      </x:c>
      <x:c r="Q58" s="13" t="e">
        <x:f>IF(OR('实盘净值数据(iFinD公式)'!$A58="",'实盘净值数据(iFinD公式)'!$B58=""),"",分期持仓明细!$AB$22*SUMPRODUCT(分期持仓明细!$B$22:$Y$22,'实盘净值数据(iFinD公式)'!$B58:$Y58/'实盘净值数据(iFinD公式)'!$B$25:$Y$25)*(1-实盘持仓配置!$Z$9)^(('实盘净值数据(iFinD公式)'!$A58-'实盘净值数据(iFinD公式)'!$A$8)/365))</x:f>
        <x:v>#NAME?</x:v>
      </x:c>
      <x:c r="R58" s="16" t="str">
        <x:f t="shared" si="2"/>
      </x:c>
      <x:c r="S58" s="16" t="e">
        <x:f>IF(Q58="","",Q58/MAX(Q$5:Q58)-1)</x:f>
        <x:v>#NAME?</x:v>
      </x:c>
    </x:row>
    <x:row r="59">
      <x:c r="A59" s="15" t="str">
        <x:f>IF('实盘净值数据(iFinD公式)'!A59="","",'实盘净值数据(iFinD公式)'!A59)</x:f>
      </x:c>
      <x:c r="B59" s="13" t="e">
        <x:f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x:f>
        <x:v>#NAME?</x:v>
      </x:c>
      <x:c r="C59" s="16" t="str">
        <x:f t="shared" si="3"/>
      </x:c>
      <x:c r="D59" s="16" t="e">
        <x:f>IF(B59="","",B59/MAX(B$5:B59)-1)</x:f>
        <x:v>#NAME?</x:v>
      </x:c>
      <x:c r="E59" s="13" t="e">
        <x:f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x:f>
        <x:v>#NAME?</x:v>
      </x:c>
      <x:c r="F59" s="16" t="str">
        <x:f t="shared" si="4"/>
      </x:c>
      <x:c r="G59" s="16" t="e">
        <x:f>IF(E59="","",E59/MAX(E$5:E59)-1)</x:f>
        <x:v>#NAME?</x:v>
      </x:c>
      <x:c r="H59" s="13" t="e">
        <x:f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x:f>
        <x:v>#NAME?</x:v>
      </x:c>
      <x:c r="I59" s="16" t="str">
        <x:f t="shared" si="5"/>
      </x:c>
      <x:c r="J59" s="16" t="e">
        <x:f>IF(H59="","",H59/MAX(H$5:H59)-1)</x:f>
        <x:v>#NAME?</x:v>
      </x:c>
      <x:c r="K59" s="13" t="e">
        <x:f>IF(OR('实盘净值数据(iFinD公式)'!$A59="",'实盘净值数据(iFinD公式)'!$B59=""),"",分期持仓明细!$AB$20*SUMPRODUCT(分期持仓明细!$B$20:$Y$20,'实盘净值数据(iFinD公式)'!$B59:$Y59/'实盘净值数据(iFinD公式)'!$B$25:$Y$25)*(1-实盘持仓配置!$Z$7)^(('实盘净值数据(iFinD公式)'!$A59-'实盘净值数据(iFinD公式)'!$A$8)/365))</x:f>
        <x:v>#NAME?</x:v>
      </x:c>
      <x:c r="L59" s="16" t="str">
        <x:f t="shared" si="0"/>
      </x:c>
      <x:c r="M59" s="16" t="e">
        <x:f>IF(K59="","",K59/MAX(K$5:K59)-1)</x:f>
        <x:v>#NAME?</x:v>
      </x:c>
      <x:c r="N59" s="13" t="e">
        <x:f>IF(OR('实盘净值数据(iFinD公式)'!$A59="",'实盘净值数据(iFinD公式)'!$B59=""),"",分期持仓明细!$AB$21*SUMPRODUCT(分期持仓明细!$B$21:$Y$21,'实盘净值数据(iFinD公式)'!$B59:$Y59/'实盘净值数据(iFinD公式)'!$B$25:$Y$25)*(1-实盘持仓配置!$Z$8)^(('实盘净值数据(iFinD公式)'!$A59-'实盘净值数据(iFinD公式)'!$A$5)/365))</x:f>
        <x:v>#NAME?</x:v>
      </x:c>
      <x:c r="O59" s="16" t="str">
        <x:f t="shared" si="1"/>
      </x:c>
      <x:c r="P59" s="16" t="e">
        <x:f>IF(N59="","",N59/MAX(N$5:N59)-1)</x:f>
        <x:v>#NAME?</x:v>
      </x:c>
      <x:c r="Q59" s="13" t="e">
        <x:f>IF(OR('实盘净值数据(iFinD公式)'!$A59="",'实盘净值数据(iFinD公式)'!$B59=""),"",分期持仓明细!$AB$22*SUMPRODUCT(分期持仓明细!$B$22:$Y$22,'实盘净值数据(iFinD公式)'!$B59:$Y59/'实盘净值数据(iFinD公式)'!$B$25:$Y$25)*(1-实盘持仓配置!$Z$9)^(('实盘净值数据(iFinD公式)'!$A59-'实盘净值数据(iFinD公式)'!$A$8)/365))</x:f>
        <x:v>#NAME?</x:v>
      </x:c>
      <x:c r="R59" s="16" t="str">
        <x:f t="shared" si="2"/>
      </x:c>
      <x:c r="S59" s="16" t="e">
        <x:f>IF(Q59="","",Q59/MAX(Q$5:Q59)-1)</x:f>
        <x:v>#NAME?</x:v>
      </x:c>
    </x:row>
    <x:row r="61" ht="14.25" customHeight="1">
      <x:c r="A61" s="10" t="s">
        <x:v>74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37.453125" customWidth="1"/>
    <x:col min="2" max="6" width="9.26953125" customWidth="1"/>
    <x:col min="7" max="7" width="24.26953125" customWidth="1"/>
    <x:col min="8" max="8" width="16.26953125" customWidth="1"/>
    <x:col min="9" max="25" width="9.26953125" customWidth="1"/>
    <x:col min="27" max="27" width="21.90625" customWidth="1"/>
    <x:col min="28" max="28" width="14.26953125" customWidth="1"/>
  </x:cols>
  <x:sheetData>
    <x:row r="1">
      <x:c r="A1" t="s">
        <x:v>75</x:v>
      </x:c>
    </x:row>
    <x:row r="2" ht="14.5">
      <x:c r="A2" t="s">
        <x:v>1</x:v>
      </x:c>
      <x:c r="B2" s="19" t="s">
        <x:v>76</x:v>
      </x:c>
      <x:c r="C2" s="19" t="s">
        <x:v>77</x:v>
      </x:c>
      <x:c r="D2" s="19" t="s">
        <x:v>78</x:v>
      </x:c>
      <x:c r="E2" s="19" t="s">
        <x:v>79</x:v>
      </x:c>
      <x:c r="F2" s="19" t="s">
        <x:v>80</x:v>
      </x:c>
      <x:c r="G2" s="19" t="s">
        <x:v>81</x:v>
      </x:c>
      <x:c r="H2" s="19" t="s">
        <x:v>82</x:v>
      </x:c>
      <x:c r="I2" t="s">
        <x:v>9</x:v>
      </x:c>
      <x:c r="J2" s="19" t="s">
        <x:v>83</x:v>
      </x:c>
      <x:c r="K2" s="19" t="s">
        <x:v>84</x:v>
      </x:c>
      <x:c r="L2" s="19" t="s">
        <x:v>85</x:v>
      </x:c>
      <x:c r="M2" s="19" t="s">
        <x:v>86</x:v>
      </x:c>
      <x:c r="N2" s="19" t="s">
        <x:v>87</x:v>
      </x:c>
      <x:c r="O2" s="19" t="s">
        <x:v>88</x:v>
      </x:c>
      <x:c r="P2" s="19" t="s">
        <x:v>89</x:v>
      </x:c>
      <x:c r="Q2" s="19" t="s">
        <x:v>90</x:v>
      </x:c>
      <x:c r="R2" s="19" t="s">
        <x:v>91</x:v>
      </x:c>
      <x:c r="S2" s="19" t="s">
        <x:v>92</x:v>
      </x:c>
      <x:c r="T2" s="19" t="s">
        <x:v>93</x:v>
      </x:c>
      <x:c r="U2" s="19" t="s">
        <x:v>94</x:v>
      </x:c>
      <x:c r="V2" s="19" t="s">
        <x:v>95</x:v>
      </x:c>
      <x:c r="W2" s="19" t="s">
        <x:v>96</x:v>
      </x:c>
      <x:c r="X2" s="19" t="s">
        <x:v>97</x:v>
      </x:c>
      <x:c r="Y2" t="s">
        <x:v>62</x:v>
      </x:c>
      <x:c r="Z2" t="s">
        <x:v>25</x:v>
      </x:c>
      <x:c r="AA2" t="s">
        <x:v>98</x:v>
      </x:c>
      <x:c r="AB2" s="19" t="s">
        <x:v>99</x:v>
      </x:c>
    </x:row>
    <x:row r="3" ht="14">
      <x:c r="A3" t="s">
        <x:v>28</x:v>
      </x:c>
      <x:c r="B3" s="20" t="s">
        <x:v>100</x:v>
      </x:c>
      <x:c r="C3" s="20" t="s">
        <x:v>101</x:v>
      </x:c>
      <x:c r="D3" s="20" t="s">
        <x:v>102</x:v>
      </x:c>
      <x:c r="E3" s="20" t="s">
        <x:v>103</x:v>
      </x:c>
      <x:c r="F3" s="20" t="s">
        <x:v>104</x:v>
      </x:c>
      <x:c r="G3" s="20" t="s">
        <x:v>105</x:v>
      </x:c>
      <x:c r="H3" s="20" t="s">
        <x:v>106</x:v>
      </x:c>
      <x:c r="I3" s="20" t="s">
        <x:v>107</x:v>
      </x:c>
      <x:c r="J3" s="20" t="s">
        <x:v>108</x:v>
      </x:c>
      <x:c r="K3" s="20" t="s">
        <x:v>109</x:v>
      </x:c>
      <x:c r="L3" s="20" t="s">
        <x:v>110</x:v>
      </x:c>
      <x:c r="M3" s="20" t="s">
        <x:v>111</x:v>
      </x:c>
      <x:c r="N3" s="20" t="s">
        <x:v>112</x:v>
      </x:c>
      <x:c r="O3" s="20" t="s">
        <x:v>113</x:v>
      </x:c>
      <x:c r="P3" s="20" t="s">
        <x:v>114</x:v>
      </x:c>
      <x:c r="Q3" s="20" t="s">
        <x:v>115</x:v>
      </x:c>
      <x:c r="R3" s="20" t="s">
        <x:v>116</x:v>
      </x:c>
      <x:c r="S3" s="20" t="s">
        <x:v>117</x:v>
      </x:c>
      <x:c r="T3" s="20" t="s">
        <x:v>118</x:v>
      </x:c>
      <x:c r="U3" s="20" t="s">
        <x:v>119</x:v>
      </x:c>
      <x:c r="V3" s="20" t="s">
        <x:v>120</x:v>
      </x:c>
      <x:c r="W3" s="20" t="s">
        <x:v>121</x:v>
      </x:c>
      <x:c r="X3" s="20" t="s">
        <x:v>122</x:v>
      </x:c>
      <x:c r="Y3" s="20" t="s">
        <x:v>123</x:v>
      </x:c>
    </x:row>
    <x:row r="5" ht="14.5">
      <x:c r="A5" s="19" t="s">
        <x:v>124</x:v>
      </x:c>
      <x:c r="B5" s="21" t="e">
        <x:f>实盘持仓配置!B4</x:f>
        <x:v>#NAME?</x:v>
      </x:c>
      <x:c r="C5" s="21" t="e">
        <x:f>实盘持仓配置!C4</x:f>
        <x:v>#NAME?</x:v>
      </x:c>
      <x:c r="D5" s="21" t="e">
        <x:f>实盘持仓配置!D4</x:f>
        <x:v>#NAME?</x:v>
      </x:c>
      <x:c r="E5" s="21" t="e">
        <x:f>实盘持仓配置!E4</x:f>
        <x:v>#NAME?</x:v>
      </x:c>
      <x:c r="F5" s="21" t="e">
        <x:f>实盘持仓配置!F4</x:f>
        <x:v>#NAME?</x:v>
      </x:c>
      <x:c r="G5" s="21" t="e">
        <x:f>实盘持仓配置!G4</x:f>
        <x:v>#NAME?</x:v>
      </x:c>
      <x:c r="H5" s="21" t="e">
        <x:f>实盘持仓配置!H4</x:f>
        <x:v>#NAME?</x:v>
      </x:c>
      <x:c r="I5" s="21" t="e">
        <x:f>实盘持仓配置!I4</x:f>
        <x:v>#NAME?</x:v>
      </x:c>
      <x:c r="J5" s="21" t="e">
        <x:f>实盘持仓配置!J4</x:f>
        <x:v>#NAME?</x:v>
      </x:c>
      <x:c r="K5" s="21" t="e">
        <x:f>实盘持仓配置!K4</x:f>
        <x:v>#NAME?</x:v>
      </x:c>
      <x:c r="L5" s="21" t="e">
        <x:f>实盘持仓配置!L4</x:f>
        <x:v>#NAME?</x:v>
      </x:c>
      <x:c r="M5" s="21" t="e">
        <x:f>实盘持仓配置!M4</x:f>
        <x:v>#NAME?</x:v>
      </x:c>
      <x:c r="N5" s="21" t="e">
        <x:f>实盘持仓配置!N4</x:f>
        <x:v>#NAME?</x:v>
      </x:c>
      <x:c r="O5" s="21" t="e">
        <x:f>实盘持仓配置!O4</x:f>
        <x:v>#NAME?</x:v>
      </x:c>
      <x:c r="P5" s="21" t="e">
        <x:f>实盘持仓配置!P4</x:f>
        <x:v>#NAME?</x:v>
      </x:c>
      <x:c r="Q5" s="21" t="e">
        <x:f>实盘持仓配置!Q4</x:f>
        <x:v>#NAME?</x:v>
      </x:c>
      <x:c r="R5" s="21" t="e">
        <x:f>实盘持仓配置!R4</x:f>
        <x:v>#NAME?</x:v>
      </x:c>
      <x:c r="S5" s="21" t="e">
        <x:f>实盘持仓配置!S4</x:f>
        <x:v>#NAME?</x:v>
      </x:c>
      <x:c r="T5" s="21" t="e">
        <x:f>实盘持仓配置!T4</x:f>
        <x:v>#NAME?</x:v>
      </x:c>
      <x:c r="U5" s="21" t="e">
        <x:f>实盘持仓配置!U4</x:f>
        <x:v>#NAME?</x:v>
      </x:c>
      <x:c r="V5" s="21" t="e">
        <x:f>实盘持仓配置!V4</x:f>
        <x:v>#NAME?</x:v>
      </x:c>
      <x:c r="W5" s="21" t="e">
        <x:f>实盘持仓配置!W4</x:f>
        <x:v>#NAME?</x:v>
      </x:c>
      <x:c r="X5" s="21" t="e">
        <x:f>实盘持仓配置!X4</x:f>
        <x:v>#NAME?</x:v>
      </x:c>
      <x:c r="Y5">
        <x:v>0</x:v>
      </x:c>
      <x:c r="Z5" t="e">
        <x:f t="shared" ref="Z5:Z22" si="0">SUM(B5:Y5)</x:f>
        <x:v>#NAME?</x:v>
      </x:c>
      <x:c r="AA5" s="22">
        <x:v>46195</x:v>
      </x:c>
    </x:row>
    <x:row r="6" ht="14.5">
      <x:c r="A6" s="19" t="s">
        <x:v>125</x:v>
      </x:c>
      <x:c r="B6" s="21" t="e">
        <x:f>实盘持仓配置!B5</x:f>
        <x:v>#NAME?</x:v>
      </x:c>
      <x:c r="C6" s="21" t="e">
        <x:f>实盘持仓配置!C5</x:f>
        <x:v>#NAME?</x:v>
      </x:c>
      <x:c r="D6" s="21" t="e">
        <x:f>实盘持仓配置!D5</x:f>
        <x:v>#NAME?</x:v>
      </x:c>
      <x:c r="E6" s="21" t="e">
        <x:f>实盘持仓配置!E5</x:f>
        <x:v>#NAME?</x:v>
      </x:c>
      <x:c r="F6" s="21" t="e">
        <x:f>实盘持仓配置!F5</x:f>
        <x:v>#NAME?</x:v>
      </x:c>
      <x:c r="G6" s="21" t="e">
        <x:f>实盘持仓配置!G5</x:f>
        <x:v>#NAME?</x:v>
      </x:c>
      <x:c r="H6" s="21" t="e">
        <x:f>实盘持仓配置!H5</x:f>
        <x:v>#NAME?</x:v>
      </x:c>
      <x:c r="I6" s="21" t="e">
        <x:f>实盘持仓配置!I5</x:f>
        <x:v>#NAME?</x:v>
      </x:c>
      <x:c r="J6" s="21" t="e">
        <x:f>实盘持仓配置!J5</x:f>
        <x:v>#NAME?</x:v>
      </x:c>
      <x:c r="K6" s="21" t="e">
        <x:f>实盘持仓配置!K5</x:f>
        <x:v>#NAME?</x:v>
      </x:c>
      <x:c r="L6" s="21" t="e">
        <x:f>实盘持仓配置!L5</x:f>
        <x:v>#NAME?</x:v>
      </x:c>
      <x:c r="M6" s="21" t="e">
        <x:f>实盘持仓配置!M5</x:f>
        <x:v>#NAME?</x:v>
      </x:c>
      <x:c r="N6" s="21" t="e">
        <x:f>实盘持仓配置!N5</x:f>
        <x:v>#NAME?</x:v>
      </x:c>
      <x:c r="O6" s="21" t="e">
        <x:f>实盘持仓配置!O5</x:f>
        <x:v>#NAME?</x:v>
      </x:c>
      <x:c r="P6" s="21" t="e">
        <x:f>实盘持仓配置!P5</x:f>
        <x:v>#NAME?</x:v>
      </x:c>
      <x:c r="Q6" s="21" t="e">
        <x:f>实盘持仓配置!Q5</x:f>
        <x:v>#NAME?</x:v>
      </x:c>
      <x:c r="R6" s="21" t="e">
        <x:f>实盘持仓配置!R5</x:f>
        <x:v>#NAME?</x:v>
      </x:c>
      <x:c r="S6" s="21" t="e">
        <x:f>实盘持仓配置!S5</x:f>
        <x:v>#NAME?</x:v>
      </x:c>
      <x:c r="T6" s="21" t="e">
        <x:f>实盘持仓配置!T5</x:f>
        <x:v>#NAME?</x:v>
      </x:c>
      <x:c r="U6" s="21" t="e">
        <x:f>实盘持仓配置!U5</x:f>
        <x:v>#NAME?</x:v>
      </x:c>
      <x:c r="V6" s="21" t="e">
        <x:f>实盘持仓配置!V5</x:f>
        <x:v>#NAME?</x:v>
      </x:c>
      <x:c r="W6" s="21" t="e">
        <x:f>实盘持仓配置!W5</x:f>
        <x:v>#NAME?</x:v>
      </x:c>
      <x:c r="X6" s="21" t="e">
        <x:f>实盘持仓配置!X5</x:f>
        <x:v>#NAME?</x:v>
      </x:c>
      <x:c r="Y6">
        <x:v>0</x:v>
      </x:c>
      <x:c r="Z6">
        <x:f t="shared" si="0"/>
        <x:v>0.99999999999999989</x:v>
      </x:c>
      <x:c r="AA6" s="22">
        <x:v>46191</x:v>
      </x:c>
    </x:row>
    <x:row r="7" ht="14.5">
      <x:c r="A7" s="19" t="s">
        <x:v>126</x:v>
      </x:c>
      <x:c r="B7" s="21" t="e">
        <x:f>实盘持仓配置!B6</x:f>
        <x:v>#NAME?</x:v>
      </x:c>
      <x:c r="C7" s="21" t="e">
        <x:f>实盘持仓配置!C6</x:f>
        <x:v>#NAME?</x:v>
      </x:c>
      <x:c r="D7" s="21" t="e">
        <x:f>实盘持仓配置!D6</x:f>
        <x:v>#NAME?</x:v>
      </x:c>
      <x:c r="E7" s="21" t="e">
        <x:f>实盘持仓配置!E6</x:f>
        <x:v>#NAME?</x:v>
      </x:c>
      <x:c r="F7" s="21" t="e">
        <x:f>实盘持仓配置!F6</x:f>
        <x:v>#NAME?</x:v>
      </x:c>
      <x:c r="G7" s="21" t="e">
        <x:f>实盘持仓配置!G6</x:f>
        <x:v>#NAME?</x:v>
      </x:c>
      <x:c r="H7" s="21" t="e">
        <x:f>实盘持仓配置!H6</x:f>
        <x:v>#NAME?</x:v>
      </x:c>
      <x:c r="I7" s="21" t="e">
        <x:f>实盘持仓配置!I6</x:f>
        <x:v>#NAME?</x:v>
      </x:c>
      <x:c r="J7" s="21" t="e">
        <x:f>实盘持仓配置!J6</x:f>
        <x:v>#NAME?</x:v>
      </x:c>
      <x:c r="K7" s="21" t="e">
        <x:f>实盘持仓配置!K6</x:f>
        <x:v>#NAME?</x:v>
      </x:c>
      <x:c r="L7" s="21" t="e">
        <x:f>实盘持仓配置!L6</x:f>
        <x:v>#NAME?</x:v>
      </x:c>
      <x:c r="M7" s="21" t="e">
        <x:f>实盘持仓配置!M6</x:f>
        <x:v>#NAME?</x:v>
      </x:c>
      <x:c r="N7" s="21" t="e">
        <x:f>实盘持仓配置!N6</x:f>
        <x:v>#NAME?</x:v>
      </x:c>
      <x:c r="O7" s="21" t="e">
        <x:f>实盘持仓配置!O6</x:f>
        <x:v>#NAME?</x:v>
      </x:c>
      <x:c r="P7" s="21" t="e">
        <x:f>实盘持仓配置!P6</x:f>
        <x:v>#NAME?</x:v>
      </x:c>
      <x:c r="Q7" s="21" t="e">
        <x:f>实盘持仓配置!Q6</x:f>
        <x:v>#NAME?</x:v>
      </x:c>
      <x:c r="R7" s="21" t="e">
        <x:f>实盘持仓配置!R6</x:f>
        <x:v>#NAME?</x:v>
      </x:c>
      <x:c r="S7" s="21" t="e">
        <x:f>实盘持仓配置!S6</x:f>
        <x:v>#NAME?</x:v>
      </x:c>
      <x:c r="T7" s="21" t="e">
        <x:f>实盘持仓配置!T6</x:f>
        <x:v>#NAME?</x:v>
      </x:c>
      <x:c r="U7" s="21" t="e">
        <x:f>实盘持仓配置!U6</x:f>
        <x:v>#NAME?</x:v>
      </x:c>
      <x:c r="V7" s="21" t="e">
        <x:f>实盘持仓配置!V6</x:f>
        <x:v>#NAME?</x:v>
      </x:c>
      <x:c r="W7" s="21" t="e">
        <x:f>实盘持仓配置!W6</x:f>
        <x:v>#NAME?</x:v>
      </x:c>
      <x:c r="X7" s="21" t="e">
        <x:f>实盘持仓配置!X6</x:f>
        <x:v>#NAME?</x:v>
      </x:c>
      <x:c r="Y7">
        <x:v>0</x:v>
      </x:c>
      <x:c r="Z7">
        <x:f t="shared" si="0"/>
        <x:v>0.99999999999999989</x:v>
      </x:c>
      <x:c r="AA7" s="22">
        <x:v>46196</x:v>
      </x:c>
    </x:row>
    <x:row r="8" ht="14.5">
      <x:c r="A8" s="23" t="s">
        <x:v>127</x:v>
      </x:c>
      <x:c r="B8" s="21" t="e">
        <x:f>实盘持仓配置!B7</x:f>
        <x:v>#NAME?</x:v>
      </x:c>
      <x:c r="C8" s="21" t="e">
        <x:f>实盘持仓配置!C7</x:f>
        <x:v>#NAME?</x:v>
      </x:c>
      <x:c r="D8" s="21" t="e">
        <x:f>实盘持仓配置!D7</x:f>
        <x:v>#NAME?</x:v>
      </x:c>
      <x:c r="E8" s="21" t="e">
        <x:f>实盘持仓配置!E7</x:f>
        <x:v>#NAME?</x:v>
      </x:c>
      <x:c r="F8" s="21" t="e">
        <x:f>实盘持仓配置!F7</x:f>
        <x:v>#NAME?</x:v>
      </x:c>
      <x:c r="G8" s="21" t="e">
        <x:f>实盘持仓配置!G7</x:f>
        <x:v>#NAME?</x:v>
      </x:c>
      <x:c r="H8" s="21" t="e">
        <x:f>实盘持仓配置!H7</x:f>
        <x:v>#NAME?</x:v>
      </x:c>
      <x:c r="I8" s="21" t="e">
        <x:f>实盘持仓配置!I7</x:f>
        <x:v>#NAME?</x:v>
      </x:c>
      <x:c r="J8" s="21" t="e">
        <x:f>实盘持仓配置!J7</x:f>
        <x:v>#NAME?</x:v>
      </x:c>
      <x:c r="K8" s="21" t="e">
        <x:f>实盘持仓配置!K7</x:f>
        <x:v>#NAME?</x:v>
      </x:c>
      <x:c r="L8" s="21" t="e">
        <x:f>实盘持仓配置!L7</x:f>
        <x:v>#NAME?</x:v>
      </x:c>
      <x:c r="M8" s="21" t="e">
        <x:f>实盘持仓配置!M7</x:f>
        <x:v>#NAME?</x:v>
      </x:c>
      <x:c r="N8" s="21" t="e">
        <x:f>实盘持仓配置!N7</x:f>
        <x:v>#NAME?</x:v>
      </x:c>
      <x:c r="O8" s="21" t="e">
        <x:f>实盘持仓配置!O7</x:f>
        <x:v>#NAME?</x:v>
      </x:c>
      <x:c r="P8" s="21" t="e">
        <x:f>实盘持仓配置!P7</x:f>
        <x:v>#NAME?</x:v>
      </x:c>
      <x:c r="Q8" s="21" t="e">
        <x:f>实盘持仓配置!Q7</x:f>
        <x:v>#NAME?</x:v>
      </x:c>
      <x:c r="R8" s="21" t="e">
        <x:f>实盘持仓配置!R7</x:f>
        <x:v>#NAME?</x:v>
      </x:c>
      <x:c r="S8" s="21" t="e">
        <x:f>实盘持仓配置!S7</x:f>
        <x:v>#NAME?</x:v>
      </x:c>
      <x:c r="T8" s="21" t="e">
        <x:f>实盘持仓配置!T7</x:f>
        <x:v>#NAME?</x:v>
      </x:c>
      <x:c r="U8" s="21" t="e">
        <x:f>实盘持仓配置!U7</x:f>
        <x:v>#NAME?</x:v>
      </x:c>
      <x:c r="V8" s="21" t="e">
        <x:f>实盘持仓配置!V7</x:f>
        <x:v>#NAME?</x:v>
      </x:c>
      <x:c r="W8" s="21" t="e">
        <x:f>实盘持仓配置!W7</x:f>
        <x:v>#NAME?</x:v>
      </x:c>
      <x:c r="X8" s="21" t="e">
        <x:f>实盘持仓配置!X7</x:f>
        <x:v>#NAME?</x:v>
      </x:c>
      <x:c r="Y8">
        <x:v>0</x:v>
      </x:c>
      <x:c r="Z8">
        <x:f t="shared" si="0"/>
        <x:v>1</x:v>
      </x:c>
      <x:c r="AA8" s="22">
        <x:v>46197</x:v>
      </x:c>
    </x:row>
    <x:row r="9" ht="14.5">
      <x:c r="A9" s="23" t="s">
        <x:v>128</x:v>
      </x:c>
      <x:c r="B9" t="e">
        <x:f>B$8*'实盘净值数据(iFinD公式)'!B$13/'实盘净值数据(iFinD公式)'!B$8/$AB$9</x:f>
        <x:v>#NAME?</x:v>
      </x:c>
      <x:c r="C9" t="e">
        <x:f>C$8*'实盘净值数据(iFinD公式)'!C$13/'实盘净值数据(iFinD公式)'!C$8/$AB$9-0.01</x:f>
        <x:v>#NAME?</x:v>
      </x:c>
      <x:c r="D9" t="e">
        <x:f>D$8*'实盘净值数据(iFinD公式)'!D$13/'实盘净值数据(iFinD公式)'!D$8/$AB$9</x:f>
        <x:v>#NAME?</x:v>
      </x:c>
      <x:c r="E9" t="e">
        <x:f>E$8*'实盘净值数据(iFinD公式)'!E$13/'实盘净值数据(iFinD公式)'!E$8/$AB$9</x:f>
        <x:v>#NAME?</x:v>
      </x:c>
      <x:c r="F9" t="e">
        <x:f>F$8*'实盘净值数据(iFinD公式)'!F$13/'实盘净值数据(iFinD公式)'!F$8/$AB$9</x:f>
        <x:v>#NAME?</x:v>
      </x:c>
      <x:c r="G9" t="e">
        <x:f>G$8*'实盘净值数据(iFinD公式)'!G$13/'实盘净值数据(iFinD公式)'!G$8/$AB$9</x:f>
        <x:v>#NAME?</x:v>
      </x:c>
      <x:c r="H9" t="e">
        <x:f>H$8*'实盘净值数据(iFinD公式)'!H$13/'实盘净值数据(iFinD公式)'!H$8/$AB$9</x:f>
        <x:v>#NAME?</x:v>
      </x:c>
      <x:c r="I9" t="e">
        <x:f>I$8*'实盘净值数据(iFinD公式)'!I$13/'实盘净值数据(iFinD公式)'!I$8/$AB$9</x:f>
        <x:v>#NAME?</x:v>
      </x:c>
      <x:c r="J9" t="e">
        <x:f>J$8*'实盘净值数据(iFinD公式)'!J$13/'实盘净值数据(iFinD公式)'!J$8/$AB$9</x:f>
        <x:v>#NAME?</x:v>
      </x:c>
      <x:c r="K9" t="e">
        <x:f>K$8*'实盘净值数据(iFinD公式)'!K$13/'实盘净值数据(iFinD公式)'!K$8/$AB$9</x:f>
        <x:v>#NAME?</x:v>
      </x:c>
      <x:c r="L9" t="e">
        <x:f>L$8*'实盘净值数据(iFinD公式)'!L$13/'实盘净值数据(iFinD公式)'!L$8/$AB$9</x:f>
        <x:v>#NAME?</x:v>
      </x:c>
      <x:c r="M9" t="e">
        <x:f>M$8*'实盘净值数据(iFinD公式)'!M$13/'实盘净值数据(iFinD公式)'!M$8/$AB$9</x:f>
        <x:v>#NAME?</x:v>
      </x:c>
      <x:c r="N9" t="e">
        <x:f>N$8*'实盘净值数据(iFinD公式)'!N$13/'实盘净值数据(iFinD公式)'!N$8/$AB$9</x:f>
        <x:v>#NAME?</x:v>
      </x:c>
      <x:c r="O9" t="e">
        <x:f>O$8*'实盘净值数据(iFinD公式)'!O$13/'实盘净值数据(iFinD公式)'!O$8/$AB$9</x:f>
        <x:v>#NAME?</x:v>
      </x:c>
      <x:c r="P9" t="e">
        <x:f>P$8*'实盘净值数据(iFinD公式)'!P$13/'实盘净值数据(iFinD公式)'!P$8/$AB$9</x:f>
        <x:v>#NAME?</x:v>
      </x:c>
      <x:c r="Q9" t="e">
        <x:f>Q$8*'实盘净值数据(iFinD公式)'!Q$13/'实盘净值数据(iFinD公式)'!Q$8/$AB$9</x:f>
        <x:v>#NAME?</x:v>
      </x:c>
      <x:c r="R9" t="e">
        <x:f>R$8*'实盘净值数据(iFinD公式)'!R$13/'实盘净值数据(iFinD公式)'!R$8/$AB$9</x:f>
        <x:v>#NAME?</x:v>
      </x:c>
      <x:c r="S9" t="e">
        <x:f>S$8*'实盘净值数据(iFinD公式)'!S$13/'实盘净值数据(iFinD公式)'!S$8/$AB$9</x:f>
        <x:v>#NAME?</x:v>
      </x:c>
      <x:c r="T9" t="e">
        <x:f>T$8*'实盘净值数据(iFinD公式)'!T$13/'实盘净值数据(iFinD公式)'!T$8/$AB$9</x:f>
        <x:v>#NAME?</x:v>
      </x:c>
      <x:c r="U9" t="e">
        <x:f>U$8*'实盘净值数据(iFinD公式)'!U$13/'实盘净值数据(iFinD公式)'!U$8/$AB$9</x:f>
        <x:v>#NAME?</x:v>
      </x:c>
      <x:c r="V9" t="e">
        <x:f>V$8*'实盘净值数据(iFinD公式)'!V$13/'实盘净值数据(iFinD公式)'!V$8/$AB$9</x:f>
        <x:v>#NAME?</x:v>
      </x:c>
      <x:c r="W9" t="e">
        <x:f>W$8*'实盘净值数据(iFinD公式)'!W$13/'实盘净值数据(iFinD公式)'!W$8/$AB$9</x:f>
        <x:v>#NAME?</x:v>
      </x:c>
      <x:c r="X9" t="e">
        <x:f>X$8*'实盘净值数据(iFinD公式)'!X$13/'实盘净值数据(iFinD公式)'!X$8/$AB$9</x:f>
        <x:v>#NAME?</x:v>
      </x:c>
      <x:c r="Y9" t="e">
        <x:f>Y$8*'实盘净值数据(iFinD公式)'!Y$13/'实盘净值数据(iFinD公式)'!Y$8/$AB$9+0.01</x:f>
        <x:v>#NAME?</x:v>
      </x:c>
      <x:c r="Z9">
        <x:f t="shared" si="0"/>
        <x:v>1</x:v>
      </x:c>
      <x:c r="AA9" s="22">
        <x:v>46204</x:v>
      </x:c>
      <x:c r="AB9" t="e">
        <x:f>SUMPRODUCT($B$8:$Y$8,'实盘净值数据(iFinD公式)'!$B$13:$Y$13/'实盘净值数据(iFinD公式)'!$B$8:$Y$8)</x:f>
        <x:v>#NAME?</x:v>
      </x:c>
    </x:row>
    <x:row r="10" ht="14.5">
      <x:c r="A10" s="23" t="s">
        <x:v>129</x:v>
      </x:c>
      <x:c r="B10" s="21" t="e">
        <x:f>实盘持仓配置!B8</x:f>
        <x:v>#NAME?</x:v>
      </x:c>
      <x:c r="C10" s="21" t="e">
        <x:f>实盘持仓配置!C8</x:f>
        <x:v>#NAME?</x:v>
      </x:c>
      <x:c r="D10" s="21" t="e">
        <x:f>实盘持仓配置!D8</x:f>
        <x:v>#NAME?</x:v>
      </x:c>
      <x:c r="E10" s="21" t="e">
        <x:f>实盘持仓配置!E8</x:f>
        <x:v>#NAME?</x:v>
      </x:c>
      <x:c r="F10" s="21" t="e">
        <x:f>实盘持仓配置!F8</x:f>
        <x:v>#NAME?</x:v>
      </x:c>
      <x:c r="G10" s="21" t="e">
        <x:f>实盘持仓配置!G8</x:f>
        <x:v>#NAME?</x:v>
      </x:c>
      <x:c r="H10" s="21" t="e">
        <x:f>实盘持仓配置!H8</x:f>
        <x:v>#NAME?</x:v>
      </x:c>
      <x:c r="I10" s="21" t="e">
        <x:f>实盘持仓配置!I8</x:f>
        <x:v>#NAME?</x:v>
      </x:c>
      <x:c r="J10" s="21" t="e">
        <x:f>实盘持仓配置!J8</x:f>
        <x:v>#NAME?</x:v>
      </x:c>
      <x:c r="K10" s="21" t="e">
        <x:f>实盘持仓配置!K8</x:f>
        <x:v>#NAME?</x:v>
      </x:c>
      <x:c r="L10" s="21" t="e">
        <x:f>实盘持仓配置!L8</x:f>
        <x:v>#NAME?</x:v>
      </x:c>
      <x:c r="M10" s="21" t="e">
        <x:f>实盘持仓配置!M8</x:f>
        <x:v>#NAME?</x:v>
      </x:c>
      <x:c r="N10" s="21" t="e">
        <x:f>实盘持仓配置!N8</x:f>
        <x:v>#NAME?</x:v>
      </x:c>
      <x:c r="O10" s="21" t="e">
        <x:f>实盘持仓配置!O8</x:f>
        <x:v>#NAME?</x:v>
      </x:c>
      <x:c r="P10" s="21" t="e">
        <x:f>实盘持仓配置!P8</x:f>
        <x:v>#NAME?</x:v>
      </x:c>
      <x:c r="Q10" s="21" t="e">
        <x:f>实盘持仓配置!Q8</x:f>
        <x:v>#NAME?</x:v>
      </x:c>
      <x:c r="R10" s="21" t="e">
        <x:f>实盘持仓配置!R8</x:f>
        <x:v>#NAME?</x:v>
      </x:c>
      <x:c r="S10" s="21" t="e">
        <x:f>实盘持仓配置!S8</x:f>
        <x:v>#NAME?</x:v>
      </x:c>
      <x:c r="T10" s="21" t="e">
        <x:f>实盘持仓配置!T8</x:f>
        <x:v>#NAME?</x:v>
      </x:c>
      <x:c r="U10" s="21" t="e">
        <x:f>实盘持仓配置!U8</x:f>
        <x:v>#NAME?</x:v>
      </x:c>
      <x:c r="V10" s="21" t="e">
        <x:f>实盘持仓配置!V8</x:f>
        <x:v>#NAME?</x:v>
      </x:c>
      <x:c r="W10" s="21" t="e">
        <x:f>实盘持仓配置!W8</x:f>
        <x:v>#NAME?</x:v>
      </x:c>
      <x:c r="X10" s="21" t="e">
        <x:f>实盘持仓配置!X8</x:f>
        <x:v>#NAME?</x:v>
      </x:c>
      <x:c r="Y10">
        <x:v>0</x:v>
      </x:c>
      <x:c r="Z10">
        <x:f t="shared" si="0"/>
        <x:v>1</x:v>
      </x:c>
      <x:c r="AA10" s="22">
        <x:v>46191</x:v>
      </x:c>
    </x:row>
    <x:row r="11" ht="14.5">
      <x:c r="A11" s="23" t="s">
        <x:v>130</x:v>
      </x:c>
      <x:c r="B11" t="e">
        <x:f>B$10*'实盘净值数据(iFinD公式)'!B$13/'实盘净值数据(iFinD公式)'!B$5/$AB$11</x:f>
        <x:v>#NAME?</x:v>
      </x:c>
      <x:c r="C11" t="e">
        <x:f>C$10*'实盘净值数据(iFinD公式)'!C$13/'实盘净值数据(iFinD公式)'!C$5/$AB$11-0.01</x:f>
        <x:v>#NAME?</x:v>
      </x:c>
      <x:c r="D11" t="e">
        <x:f>D$10*'实盘净值数据(iFinD公式)'!D$13/'实盘净值数据(iFinD公式)'!D$5/$AB$11</x:f>
        <x:v>#NAME?</x:v>
      </x:c>
      <x:c r="E11" t="e">
        <x:f>E$10*'实盘净值数据(iFinD公式)'!E$13/'实盘净值数据(iFinD公式)'!E$5/$AB$11</x:f>
        <x:v>#NAME?</x:v>
      </x:c>
      <x:c r="F11" t="e">
        <x:f>F$10*'实盘净值数据(iFinD公式)'!F$13/'实盘净值数据(iFinD公式)'!F$5/$AB$11</x:f>
        <x:v>#NAME?</x:v>
      </x:c>
      <x:c r="G11" t="e">
        <x:f>G$10*'实盘净值数据(iFinD公式)'!G$13/'实盘净值数据(iFinD公式)'!G$5/$AB$11</x:f>
        <x:v>#NAME?</x:v>
      </x:c>
      <x:c r="H11" t="e">
        <x:f>H$10*'实盘净值数据(iFinD公式)'!H$13/'实盘净值数据(iFinD公式)'!H$5/$AB$11</x:f>
        <x:v>#NAME?</x:v>
      </x:c>
      <x:c r="I11" t="e">
        <x:f>I$10*'实盘净值数据(iFinD公式)'!I$13/'实盘净值数据(iFinD公式)'!I$5/$AB$11</x:f>
        <x:v>#NAME?</x:v>
      </x:c>
      <x:c r="J11" t="e">
        <x:f>J$10*'实盘净值数据(iFinD公式)'!J$13/'实盘净值数据(iFinD公式)'!J$5/$AB$11</x:f>
        <x:v>#NAME?</x:v>
      </x:c>
      <x:c r="K11" t="e">
        <x:f>K$10*'实盘净值数据(iFinD公式)'!K$13/'实盘净值数据(iFinD公式)'!K$5/$AB$11</x:f>
        <x:v>#NAME?</x:v>
      </x:c>
      <x:c r="L11" t="e">
        <x:f>L$10*'实盘净值数据(iFinD公式)'!L$13/'实盘净值数据(iFinD公式)'!L$5/$AB$11</x:f>
        <x:v>#NAME?</x:v>
      </x:c>
      <x:c r="M11" t="e">
        <x:f>M$10*'实盘净值数据(iFinD公式)'!M$13/'实盘净值数据(iFinD公式)'!M$5/$AB$11</x:f>
        <x:v>#NAME?</x:v>
      </x:c>
      <x:c r="N11" t="e">
        <x:f>N$10*'实盘净值数据(iFinD公式)'!N$13/'实盘净值数据(iFinD公式)'!N$5/$AB$11</x:f>
        <x:v>#NAME?</x:v>
      </x:c>
      <x:c r="O11" t="e">
        <x:f>O$10*'实盘净值数据(iFinD公式)'!O$13/'实盘净值数据(iFinD公式)'!O$5/$AB$11</x:f>
        <x:v>#NAME?</x:v>
      </x:c>
      <x:c r="P11" t="e">
        <x:f>P$10*'实盘净值数据(iFinD公式)'!P$13/'实盘净值数据(iFinD公式)'!P$5/$AB$11</x:f>
        <x:v>#NAME?</x:v>
      </x:c>
      <x:c r="Q11" t="e">
        <x:f>Q$10*'实盘净值数据(iFinD公式)'!Q$13/'实盘净值数据(iFinD公式)'!Q$5/$AB$11</x:f>
        <x:v>#NAME?</x:v>
      </x:c>
      <x:c r="R11" t="e">
        <x:f>R$10*'实盘净值数据(iFinD公式)'!R$13/'实盘净值数据(iFinD公式)'!R$5/$AB$11</x:f>
        <x:v>#NAME?</x:v>
      </x:c>
      <x:c r="S11" t="e">
        <x:f>S$10*'实盘净值数据(iFinD公式)'!S$13/'实盘净值数据(iFinD公式)'!S$5/$AB$11</x:f>
        <x:v>#NAME?</x:v>
      </x:c>
      <x:c r="T11" t="e">
        <x:f>T$10*'实盘净值数据(iFinD公式)'!T$13/'实盘净值数据(iFinD公式)'!T$5/$AB$11</x:f>
        <x:v>#NAME?</x:v>
      </x:c>
      <x:c r="U11" t="e">
        <x:f>U$10*'实盘净值数据(iFinD公式)'!U$13/'实盘净值数据(iFinD公式)'!U$5/$AB$11</x:f>
        <x:v>#NAME?</x:v>
      </x:c>
      <x:c r="V11" t="e">
        <x:f>V$10*'实盘净值数据(iFinD公式)'!V$13/'实盘净值数据(iFinD公式)'!V$5/$AB$11</x:f>
        <x:v>#NAME?</x:v>
      </x:c>
      <x:c r="W11" t="e">
        <x:f>W$10*'实盘净值数据(iFinD公式)'!W$13/'实盘净值数据(iFinD公式)'!W$5/$AB$11</x:f>
        <x:v>#NAME?</x:v>
      </x:c>
      <x:c r="X11" t="e">
        <x:f>X$10*'实盘净值数据(iFinD公式)'!X$13/'实盘净值数据(iFinD公式)'!X$5/$AB$11</x:f>
        <x:v>#NAME?</x:v>
      </x:c>
      <x:c r="Y11" t="e">
        <x:f>Y$10*'实盘净值数据(iFinD公式)'!Y$13/'实盘净值数据(iFinD公式)'!Y$5/$AB$11+0.01</x:f>
        <x:v>#NAME?</x:v>
      </x:c>
      <x:c r="Z11">
        <x:f t="shared" si="0"/>
        <x:v>0.99999999999999989</x:v>
      </x:c>
      <x:c r="AA11" s="22">
        <x:v>46204</x:v>
      </x:c>
      <x:c r="AB11" t="e">
        <x:f>SUMPRODUCT($B$10:$Y$10,'实盘净值数据(iFinD公式)'!$B$13:$Y$13/'实盘净值数据(iFinD公式)'!$B$5:$Y$5)</x:f>
        <x:v>#NAME?</x:v>
      </x:c>
    </x:row>
    <x:row r="12" ht="14.5">
      <x:c r="A12" s="23" t="s">
        <x:v>131</x:v>
      </x:c>
      <x:c r="B12" s="21" t="e">
        <x:f>实盘持仓配置!B9</x:f>
        <x:v>#NAME?</x:v>
      </x:c>
      <x:c r="C12" s="21" t="e">
        <x:f>实盘持仓配置!C9</x:f>
        <x:v>#NAME?</x:v>
      </x:c>
      <x:c r="D12" s="21" t="e">
        <x:f>实盘持仓配置!D9</x:f>
        <x:v>#NAME?</x:v>
      </x:c>
      <x:c r="E12" s="21" t="e">
        <x:f>实盘持仓配置!E9</x:f>
        <x:v>#NAME?</x:v>
      </x:c>
      <x:c r="F12" s="21" t="e">
        <x:f>实盘持仓配置!F9</x:f>
        <x:v>#NAME?</x:v>
      </x:c>
      <x:c r="G12" s="21" t="e">
        <x:f>实盘持仓配置!G9</x:f>
        <x:v>#NAME?</x:v>
      </x:c>
      <x:c r="H12" s="21" t="e">
        <x:f>实盘持仓配置!H9</x:f>
        <x:v>#NAME?</x:v>
      </x:c>
      <x:c r="I12" s="21" t="e">
        <x:f>实盘持仓配置!I9</x:f>
        <x:v>#NAME?</x:v>
      </x:c>
      <x:c r="J12" s="21" t="e">
        <x:f>实盘持仓配置!J9</x:f>
        <x:v>#NAME?</x:v>
      </x:c>
      <x:c r="K12" s="21" t="e">
        <x:f>实盘持仓配置!K9</x:f>
        <x:v>#NAME?</x:v>
      </x:c>
      <x:c r="L12" s="21" t="e">
        <x:f>实盘持仓配置!L9</x:f>
        <x:v>#NAME?</x:v>
      </x:c>
      <x:c r="M12" s="21" t="e">
        <x:f>实盘持仓配置!M9</x:f>
        <x:v>#NAME?</x:v>
      </x:c>
      <x:c r="N12" s="21" t="e">
        <x:f>实盘持仓配置!N9</x:f>
        <x:v>#NAME?</x:v>
      </x:c>
      <x:c r="O12" s="21" t="e">
        <x:f>实盘持仓配置!O9</x:f>
        <x:v>#NAME?</x:v>
      </x:c>
      <x:c r="P12" s="21" t="e">
        <x:f>实盘持仓配置!P9</x:f>
        <x:v>#NAME?</x:v>
      </x:c>
      <x:c r="Q12" s="21" t="e">
        <x:f>实盘持仓配置!Q9</x:f>
        <x:v>#NAME?</x:v>
      </x:c>
      <x:c r="R12" s="21" t="e">
        <x:f>实盘持仓配置!R9</x:f>
        <x:v>#NAME?</x:v>
      </x:c>
      <x:c r="S12" s="21" t="e">
        <x:f>实盘持仓配置!S9</x:f>
        <x:v>#NAME?</x:v>
      </x:c>
      <x:c r="T12" s="21" t="e">
        <x:f>实盘持仓配置!T9</x:f>
        <x:v>#NAME?</x:v>
      </x:c>
      <x:c r="U12" s="21" t="e">
        <x:f>实盘持仓配置!U9</x:f>
        <x:v>#NAME?</x:v>
      </x:c>
      <x:c r="V12" s="21" t="e">
        <x:f>实盘持仓配置!V9</x:f>
        <x:v>#NAME?</x:v>
      </x:c>
      <x:c r="W12" s="21" t="e">
        <x:f>实盘持仓配置!W9</x:f>
        <x:v>#NAME?</x:v>
      </x:c>
      <x:c r="X12" s="21" t="e">
        <x:f>实盘持仓配置!X9</x:f>
        <x:v>#NAME?</x:v>
      </x:c>
      <x:c r="Y12">
        <x:v>0</x:v>
      </x:c>
      <x:c r="Z12">
        <x:f t="shared" si="0"/>
        <x:v>0.99999999999999989</x:v>
      </x:c>
      <x:c r="AA12" s="22">
        <x:v>46197</x:v>
      </x:c>
    </x:row>
    <x:row r="13" ht="14.5">
      <x:c r="A13" s="23" t="s">
        <x:v>132</x:v>
      </x:c>
      <x:c r="B13" t="e">
        <x:f>B$12*'实盘净值数据(iFinD公式)'!B$13/'实盘净值数据(iFinD公式)'!B$8/$AB$13</x:f>
        <x:v>#NAME?</x:v>
      </x:c>
      <x:c r="C13" t="e">
        <x:f>C$12*'实盘净值数据(iFinD公式)'!C$13/'实盘净值数据(iFinD公式)'!C$8/$AB$13-0.015</x:f>
        <x:v>#NAME?</x:v>
      </x:c>
      <x:c r="D13" t="e">
        <x:f>D$12*'实盘净值数据(iFinD公式)'!D$13/'实盘净值数据(iFinD公式)'!D$8/$AB$13</x:f>
        <x:v>#NAME?</x:v>
      </x:c>
      <x:c r="E13" t="e">
        <x:f>E$12*'实盘净值数据(iFinD公式)'!E$13/'实盘净值数据(iFinD公式)'!E$8/$AB$13</x:f>
        <x:v>#NAME?</x:v>
      </x:c>
      <x:c r="F13" t="e">
        <x:f>F$12*'实盘净值数据(iFinD公式)'!F$13/'实盘净值数据(iFinD公式)'!F$8/$AB$13</x:f>
        <x:v>#NAME?</x:v>
      </x:c>
      <x:c r="G13" t="e">
        <x:f>G$12*'实盘净值数据(iFinD公式)'!G$13/'实盘净值数据(iFinD公式)'!G$8/$AB$13</x:f>
        <x:v>#NAME?</x:v>
      </x:c>
      <x:c r="H13" t="e">
        <x:f>H$12*'实盘净值数据(iFinD公式)'!H$13/'实盘净值数据(iFinD公式)'!H$8/$AB$13</x:f>
        <x:v>#NAME?</x:v>
      </x:c>
      <x:c r="I13" t="e">
        <x:f>I$12*'实盘净值数据(iFinD公式)'!I$13/'实盘净值数据(iFinD公式)'!I$8/$AB$13</x:f>
        <x:v>#NAME?</x:v>
      </x:c>
      <x:c r="J13" t="e">
        <x:f>J$12*'实盘净值数据(iFinD公式)'!J$13/'实盘净值数据(iFinD公式)'!J$8/$AB$13</x:f>
        <x:v>#NAME?</x:v>
      </x:c>
      <x:c r="K13" t="e">
        <x:f>K$12*'实盘净值数据(iFinD公式)'!K$13/'实盘净值数据(iFinD公式)'!K$8/$AB$13</x:f>
        <x:v>#NAME?</x:v>
      </x:c>
      <x:c r="L13" t="e">
        <x:f>L$12*'实盘净值数据(iFinD公式)'!L$13/'实盘净值数据(iFinD公式)'!L$8/$AB$13</x:f>
        <x:v>#NAME?</x:v>
      </x:c>
      <x:c r="M13" t="e">
        <x:f>M$12*'实盘净值数据(iFinD公式)'!M$13/'实盘净值数据(iFinD公式)'!M$8/$AB$13</x:f>
        <x:v>#NAME?</x:v>
      </x:c>
      <x:c r="N13" t="e">
        <x:f>N$12*'实盘净值数据(iFinD公式)'!N$13/'实盘净值数据(iFinD公式)'!N$8/$AB$13</x:f>
        <x:v>#NAME?</x:v>
      </x:c>
      <x:c r="O13" t="e">
        <x:f>O$12*'实盘净值数据(iFinD公式)'!O$13/'实盘净值数据(iFinD公式)'!O$8/$AB$13</x:f>
        <x:v>#NAME?</x:v>
      </x:c>
      <x:c r="P13" t="e">
        <x:f>P$12*'实盘净值数据(iFinD公式)'!P$13/'实盘净值数据(iFinD公式)'!P$8/$AB$13</x:f>
        <x:v>#NAME?</x:v>
      </x:c>
      <x:c r="Q13" t="e">
        <x:f>Q$12*'实盘净值数据(iFinD公式)'!Q$13/'实盘净值数据(iFinD公式)'!Q$8/$AB$13</x:f>
        <x:v>#NAME?</x:v>
      </x:c>
      <x:c r="R13" t="e">
        <x:f>R$12*'实盘净值数据(iFinD公式)'!R$13/'实盘净值数据(iFinD公式)'!R$8/$AB$13</x:f>
        <x:v>#NAME?</x:v>
      </x:c>
      <x:c r="S13" t="e">
        <x:f>S$12*'实盘净值数据(iFinD公式)'!S$13/'实盘净值数据(iFinD公式)'!S$8/$AB$13</x:f>
        <x:v>#NAME?</x:v>
      </x:c>
      <x:c r="T13" t="e">
        <x:f>T$12*'实盘净值数据(iFinD公式)'!T$13/'实盘净值数据(iFinD公式)'!T$8/$AB$13</x:f>
        <x:v>#NAME?</x:v>
      </x:c>
      <x:c r="U13" t="e">
        <x:f>U$12*'实盘净值数据(iFinD公式)'!U$13/'实盘净值数据(iFinD公式)'!U$8/$AB$13</x:f>
        <x:v>#NAME?</x:v>
      </x:c>
      <x:c r="V13" t="e">
        <x:f>V$12*'实盘净值数据(iFinD公式)'!V$13/'实盘净值数据(iFinD公式)'!V$8/$AB$13</x:f>
        <x:v>#NAME?</x:v>
      </x:c>
      <x:c r="W13" t="e">
        <x:f>W$12*'实盘净值数据(iFinD公式)'!W$13/'实盘净值数据(iFinD公式)'!W$8/$AB$13</x:f>
        <x:v>#NAME?</x:v>
      </x:c>
      <x:c r="X13" t="e">
        <x:f>X$12*'实盘净值数据(iFinD公式)'!X$13/'实盘净值数据(iFinD公式)'!X$8/$AB$13</x:f>
        <x:v>#NAME?</x:v>
      </x:c>
      <x:c r="Y13" t="e">
        <x:f>Y$12*'实盘净值数据(iFinD公式)'!Y$13/'实盘净值数据(iFinD公式)'!Y$8/$AB$13+0.015</x:f>
        <x:v>#NAME?</x:v>
      </x:c>
      <x:c r="Z13">
        <x:f t="shared" si="0"/>
        <x:v>1</x:v>
      </x:c>
      <x:c r="AA13" s="22">
        <x:v>46204</x:v>
      </x:c>
      <x:c r="AB13" t="e">
        <x:f>SUMPRODUCT($B$12:$Y$12,'实盘净值数据(iFinD公式)'!$B$13:$Y$13/'实盘净值数据(iFinD公式)'!$B$8:$Y$8)</x:f>
        <x:v>#NAME?</x:v>
      </x:c>
    </x:row>
    <x:row r="14" ht="14.5">
      <x:c r="A14" s="23" t="s">
        <x:v>133</x:v>
      </x:c>
      <x:c r="B14">
        <x:v>5.1392931664740599E-2</x:v>
      </x:c>
      <x:c r="C14">
        <x:v>5.0001502866869302E-2</x:v>
      </x:c>
      <x:c r="D14">
        <x:v>0</x:v>
      </x:c>
      <x:c r="E14">
        <x:v>0</x:v>
      </x:c>
      <x:c r="F14">
        <x:v>1.22700167166955E-2</x:v>
      </x:c>
      <x:c r="G14">
        <x:v>0</x:v>
      </x:c>
      <x:c r="H14">
        <x:v>4.4058931492136797E-3</x:v>
      </x:c>
      <x:c r="I14">
        <x:v>9.76043516734444E-3</x:v>
      </x:c>
      <x:c r="J14">
        <x:v>0</x:v>
      </x:c>
      <x:c r="K14">
        <x:v>1.07009175985259E-2</x:v>
      </x:c>
      <x:c r="L14">
        <x:v>0</x:v>
      </x:c>
      <x:c r="M14">
        <x:v>1.2094650535350001E-2</x:v>
      </x:c>
      <x:c r="N14">
        <x:v>0</x:v>
      </x:c>
      <x:c r="O14">
        <x:v>1.2228859161548601E-2</x:v>
      </x:c>
      <x:c r="P14">
        <x:v>0</x:v>
      </x:c>
      <x:c r="Q14">
        <x:v>0</x:v>
      </x:c>
      <x:c r="R14">
        <x:v>8.9849704896460304E-3</x:v>
      </x:c>
      <x:c r="S14">
        <x:v>8.9406347696315992E-3</x:v>
      </x:c>
      <x:c r="T14">
        <x:v>0</x:v>
      </x:c>
      <x:c r="U14">
        <x:v>5.1732171227200198E-3</x:v>
      </x:c>
      <x:c r="V14">
        <x:v>0</x:v>
      </x:c>
      <x:c r="W14">
        <x:v>1.2045088401733701E-2</x:v>
      </x:c>
      <x:c r="X14">
        <x:v>0.79287068364096702</x:v>
      </x:c>
      <x:c r="Y14">
        <x:v>9.1301987150140505E-3</x:v>
      </x:c>
      <x:c r="Z14">
        <x:f t="shared" si="0"/>
        <x:v>1.0000000000000004</x:v>
      </x:c>
      <x:c r="AA14" s="22">
        <x:v>46210</x:v>
      </x:c>
      <x:c r="AB14" t="e">
        <x:f>$AB$9*SUMPRODUCT($B$9:$Y$9,'实盘净值数据(iFinD公式)'!$B$17:$Y$17/'实盘净值数据(iFinD公式)'!$B$13:$Y$13)</x:f>
        <x:v>#NAME?</x:v>
      </x:c>
    </x:row>
    <x:row r="15" ht="14.5">
      <x:c r="A15" s="23" t="s">
        <x:v>134</x:v>
      </x:c>
      <x:c r="B15">
        <x:v>4.9150896792573798E-2</x:v>
      </x:c>
      <x:c r="C15">
        <x:v>5.0001160130108802E-2</x:v>
      </x:c>
      <x:c r="D15">
        <x:v>9.0305950887984605E-3</x:v>
      </x:c>
      <x:c r="E15">
        <x:v>1.2304437502045899E-2</x:v>
      </x:c>
      <x:c r="F15">
        <x:v>0</x:v>
      </x:c>
      <x:c r="G15">
        <x:v>4.42507895785553E-3</x:v>
      </x:c>
      <x:c r="H15">
        <x:v>0</x:v>
      </x:c>
      <x:c r="I15">
        <x:v>0</x:v>
      </x:c>
      <x:c r="J15">
        <x:v>1.1856418000136201E-2</x:v>
      </x:c>
      <x:c r="K15">
        <x:v>0</x:v>
      </x:c>
      <x:c r="L15">
        <x:v>1.2254684287608401E-2</x:v>
      </x:c>
      <x:c r="M15">
        <x:v>0</x:v>
      </x:c>
      <x:c r="N15">
        <x:v>1.25057849313139E-2</x:v>
      </x:c>
      <x:c r="O15">
        <x:v>0</x:v>
      </x:c>
      <x:c r="P15">
        <x:v>8.7603815716342098E-3</x:v>
      </x:c>
      <x:c r="Q15">
        <x:v>9.2543443784100805E-3</x:v>
      </x:c>
      <x:c r="R15">
        <x:v>0</x:v>
      </x:c>
      <x:c r="S15">
        <x:v>0</x:v>
      </x:c>
      <x:c r="T15">
        <x:v>5.5938035302751897E-3</x:v>
      </x:c>
      <x:c r="U15">
        <x:v>0</x:v>
      </x:c>
      <x:c r="V15">
        <x:v>1.2021635524279701E-2</x:v>
      </x:c>
      <x:c r="W15">
        <x:v>0</x:v>
      </x:c>
      <x:c r="X15">
        <x:v>0.79370064963292497</x:v>
      </x:c>
      <x:c r="Y15">
        <x:v>9.1401296720349801E-3</x:v>
      </x:c>
      <x:c r="Z15">
        <x:f t="shared" si="0"/>
        <x:v>1.0000000000000002</x:v>
      </x:c>
      <x:c r="AA15" s="22">
        <x:v>46210</x:v>
      </x:c>
      <x:c r="AB15" t="e">
        <x:f>$AB$11*SUMPRODUCT($B$11:$Y$11,'实盘净值数据(iFinD公式)'!$B$17:$Y$17/'实盘净值数据(iFinD公式)'!$B$13:$Y$13)</x:f>
        <x:v>#NAME?</x:v>
      </x:c>
    </x:row>
    <x:row r="16" ht="14.5">
      <x:c r="A16" s="23" t="s">
        <x:v>135</x:v>
      </x:c>
      <x:c r="B16">
        <x:v>0.103481083555403</x:v>
      </x:c>
      <x:c r="C16">
        <x:v>0.10000326780346599</x:v>
      </x:c>
      <x:c r="D16">
        <x:v>0</x:v>
      </x:c>
      <x:c r="E16">
        <x:v>0</x:v>
      </x:c>
      <x:c r="F16">
        <x:v>3.7057535822370799E-2</x:v>
      </x:c>
      <x:c r="G16">
        <x:v>0</x:v>
      </x:c>
      <x:c r="H16">
        <x:v>1.3306494935067E-2</x:v>
      </x:c>
      <x:c r="I16">
        <x:v>2.94781885716324E-2</x:v>
      </x:c>
      <x:c r="J16">
        <x:v>0</x:v>
      </x:c>
      <x:c r="K16">
        <x:v>3.2319155927703999E-2</x:v>
      </x:c>
      <x:c r="L16">
        <x:v>0</x:v>
      </x:c>
      <x:c r="M16">
        <x:v>3.6532004631774098E-2</x:v>
      </x:c>
      <x:c r="N16">
        <x:v>0</x:v>
      </x:c>
      <x:c r="O16">
        <x:v>3.6934217474570798E-2</x:v>
      </x:c>
      <x:c r="P16">
        <x:v>0</x:v>
      </x:c>
      <x:c r="Q16">
        <x:v>0</x:v>
      </x:c>
      <x:c r="R16">
        <x:v>2.7137905606625799E-2</x:v>
      </x:c>
      <x:c r="S16">
        <x:v>2.70057842412821E-2</x:v>
      </x:c>
      <x:c r="T16">
        <x:v>0</x:v>
      </x:c>
      <x:c r="U16">
        <x:v>1.5624326719431999E-2</x:v>
      </x:c>
      <x:c r="V16">
        <x:v>0</x:v>
      </x:c>
      <x:c r="W16">
        <x:v>3.6380179395524299E-2</x:v>
      </x:c>
      <x:c r="X16">
        <x:v>0.49087376717201098</x:v>
      </x:c>
      <x:c r="Y16">
        <x:v>1.38660881431366E-2</x:v>
      </x:c>
      <x:c r="Z16">
        <x:f t="shared" si="0"/>
        <x:v>0.99999999999999989</x:v>
      </x:c>
      <x:c r="AA16" s="22">
        <x:v>46210</x:v>
      </x:c>
      <x:c r="AB16" t="e">
        <x:f>$AB$13*SUMPRODUCT($B$13:$Y$13,'实盘净值数据(iFinD公式)'!$B$17:$Y$17/'实盘净值数据(iFinD公式)'!$B$13:$Y$13)</x:f>
        <x:v>#NAME?</x:v>
      </x:c>
    </x:row>
    <x:row r="17" ht="14.5">
      <x:c r="A17" s="19" t="s">
        <x:v>136</x:v>
      </x:c>
      <x:c r="B17">
        <x:v>0</x:v>
      </x:c>
      <x:c r="C17">
        <x:v>4.6328032076459101E-2</x:v>
      </x:c>
      <x:c r="D17">
        <x:v>0.16457820614969301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0.24720581393205801</x:v>
      </x:c>
      <x:c r="K17">
        <x:v>0</x:v>
      </x:c>
      <x:c r="L17">
        <x:v>0</x:v>
      </x:c>
      <x:c r="M17">
        <x:v>0</x:v>
      </x:c>
      <x:c r="N17">
        <x:v>0</x:v>
      </x:c>
      <x:c r="O17">
        <x:v>0</x:v>
      </x:c>
      <x:c r="P17">
        <x:v>0.16397772588060999</x:v>
      </x:c>
      <x:c r="Q17">
        <x:v>0.17265148062140001</x:v>
      </x:c>
      <x:c r="R17">
        <x:v>0</x:v>
      </x:c>
      <x:c r="S17">
        <x:v>0</x:v>
      </x:c>
      <x:c r="T17">
        <x:v>0.13525836599697399</x:v>
      </x:c>
      <x:c r="U17">
        <x:v>0</x:v>
      </x:c>
      <x:c r="V17">
        <x:v>0</x:v>
      </x:c>
      <x:c r="W17">
        <x:v>0</x:v>
      </x:c>
      <x:c r="X17">
        <x:v>0</x:v>
      </x:c>
      <x:c r="Y17">
        <x:v>7.0000375342806606E-2</x:v>
      </x:c>
      <x:c r="Z17">
        <x:f t="shared" si="0"/>
        <x:v>1.0000000000000009</x:v>
      </x:c>
      <x:c r="AA17" s="22">
        <x:v>46213</x:v>
      </x:c>
      <x:c r="AB17" t="e">
        <x:f>SUMPRODUCT($B$5:$Y$5,'实盘净值数据(iFinD公式)'!$B$20:$Y$20/'实盘净值数据(iFinD公式)'!$B$6:$Y$6)</x:f>
        <x:v>#NAME?</x:v>
      </x:c>
    </x:row>
    <x:row r="18" ht="14.5">
      <x:c r="A18" s="19" t="s">
        <x:v>137</x:v>
      </x:c>
      <x:c r="B18">
        <x:v>0</x:v>
      </x:c>
      <x:c r="C18">
        <x:v>4.5293229219309401E-2</x:v>
      </x:c>
      <x:c r="D18">
        <x:v>0.16609479634100499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0.245429089462296</x:v>
      </x:c>
      <x:c r="K18">
        <x:v>0</x:v>
      </x:c>
      <x:c r="L18">
        <x:v>0</x:v>
      </x:c>
      <x:c r="M18">
        <x:v>0</x:v>
      </x:c>
      <x:c r="N18">
        <x:v>0</x:v>
      </x:c>
      <x:c r="O18">
        <x:v>0</x:v>
      </x:c>
      <x:c r="P18">
        <x:v>0.16384893651891699</x:v>
      </x:c>
      <x:c r="Q18">
        <x:v>0.173430567740403</x:v>
      </x:c>
      <x:c r="R18">
        <x:v>0</x:v>
      </x:c>
      <x:c r="S18">
        <x:v>0</x:v>
      </x:c>
      <x:c r="T18">
        <x:v>0.135903553227429</x:v>
      </x:c>
      <x:c r="U18">
        <x:v>0</x:v>
      </x:c>
      <x:c r="V18">
        <x:v>0</x:v>
      </x:c>
      <x:c r="W18">
        <x:v>0</x:v>
      </x:c>
      <x:c r="X18">
        <x:v>0</x:v>
      </x:c>
      <x:c r="Y18">
        <x:v>6.9999827490640307E-2</x:v>
      </x:c>
      <x:c r="Z18">
        <x:f t="shared" si="0"/>
        <x:v>0.99999999999999956</x:v>
      </x:c>
      <x:c r="AA18" s="22">
        <x:v>46213</x:v>
      </x:c>
      <x:c r="AB18" t="e">
        <x:f>SUMPRODUCT($B$6:$Y$6,'实盘净值数据(iFinD公式)'!$B$20:$Y$20/'实盘净值数据(iFinD公式)'!$B$5:$Y$5)</x:f>
        <x:v>#NAME?</x:v>
      </x:c>
    </x:row>
    <x:row r="19" ht="14.5">
      <x:c r="A19" s="19" t="s">
        <x:v>138</x:v>
      </x:c>
      <x:c r="B19">
        <x:v>0</x:v>
      </x:c>
      <x:c r="C19">
        <x:v>4.37733816458728E-2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0.189912474874215</x:v>
      </x:c>
      <x:c r="J19">
        <x:v>0</x:v>
      </x:c>
      <x:c r="K19">
        <x:v>0.23432791874005601</x:v>
      </x:c>
      <x:c r="L19">
        <x:v>0</x:v>
      </x:c>
      <x:c r="M19">
        <x:v>0</x:v>
      </x:c>
      <x:c r="N19">
        <x:v>0</x:v>
      </x:c>
      <x:c r="O19">
        <x:v>0</x:v>
      </x:c>
      <x:c r="P19">
        <x:v>0</x:v>
      </x:c>
      <x:c r="Q19">
        <x:v>0</x:v>
      </x:c>
      <x:c r="R19">
        <x:v>0.16876427007536601</x:v>
      </x:c>
      <x:c r="S19">
        <x:v>0.16403375942840701</x:v>
      </x:c>
      <x:c r="T19">
        <x:v>0</x:v>
      </x:c>
      <x:c r="U19">
        <x:v>0.12918858878158801</x:v>
      </x:c>
      <x:c r="V19">
        <x:v>0</x:v>
      </x:c>
      <x:c r="W19">
        <x:v>0</x:v>
      </x:c>
      <x:c r="X19">
        <x:v>0</x:v>
      </x:c>
      <x:c r="Y19">
        <x:v>6.9999606454495295E-2</x:v>
      </x:c>
      <x:c r="Z19">
        <x:f t="shared" si="0"/>
        <x:v>1.0000000000000002</x:v>
      </x:c>
      <x:c r="AA19" s="22">
        <x:v>46213</x:v>
      </x:c>
      <x:c r="AB19" t="e">
        <x:f>SUMPRODUCT($B$7:$Y$7,'实盘净值数据(iFinD公式)'!$B$20:$Y$20/'实盘净值数据(iFinD公式)'!$B$7:$Y$7)</x:f>
        <x:v>#NAME?</x:v>
      </x:c>
    </x:row>
    <x:row r="20" ht="14">
      <x:c r="A20" s="24" t="s">
        <x:v>139</x:v>
      </x:c>
      <x:c r="B20">
        <x:v>5.1393000000000001E-2</x:v>
      </x:c>
      <x:c r="C20">
        <x:v>4.4406000000000001E-2</x:v>
      </x:c>
      <x:c r="D20">
        <x:v>0</x:v>
      </x:c>
      <x:c r="E20">
        <x:v>0</x:v>
      </x:c>
      <x:c r="F20">
        <x:v>1.227E-2</x:v>
      </x:c>
      <x:c r="G20">
        <x:v>0</x:v>
      </x:c>
      <x:c r="H20">
        <x:v>0</x:v>
      </x:c>
      <x:c r="I20">
        <x:v>9.7599999999999996E-3</x:v>
      </x:c>
      <x:c r="J20">
        <x:v>0</x:v>
      </x:c>
      <x:c r="K20">
        <x:v>1.0701E-2</x:v>
      </x:c>
      <x:c r="L20">
        <x:v>0</x:v>
      </x:c>
      <x:c r="M20">
        <x:v>1.2095E-2</x:v>
      </x:c>
      <x:c r="N20">
        <x:v>0</x:v>
      </x:c>
      <x:c r="O20">
        <x:v>1.2229E-2</x:v>
      </x:c>
      <x:c r="P20">
        <x:v>0</x:v>
      </x:c>
      <x:c r="Q20">
        <x:v>0</x:v>
      </x:c>
      <x:c r="R20">
        <x:v>8.9849999999999999E-3</x:v>
      </x:c>
      <x:c r="S20">
        <x:v>8.9409999999999993E-3</x:v>
      </x:c>
      <x:c r="T20">
        <x:v>0</x:v>
      </x:c>
      <x:c r="U20">
        <x:v>5.1729999999999996E-3</x:v>
      </x:c>
      <x:c r="V20">
        <x:v>0</x:v>
      </x:c>
      <x:c r="W20">
        <x:v>1.2045E-2</x:v>
      </x:c>
      <x:c r="X20">
        <x:v>0.80287200000000003</x:v>
      </x:c>
      <x:c r="Y20">
        <x:v>9.1299999999999992E-3</x:v>
      </x:c>
      <x:c r="Z20">
        <x:f t="shared" si="0"/>
        <x:v>1</x:v>
      </x:c>
      <x:c r="AA20" s="25">
        <x:v>46220</x:v>
      </x:c>
      <x:c r="AB20" t="e">
        <x:f>$AB$14*SUMPRODUCT($B$14:$Y$14,'实盘净值数据(iFinD公式)'!$B$25:$Y$25/'实盘净值数据(iFinD公式)'!$B$17:$Y$17)</x:f>
        <x:v>#NAME?</x:v>
      </x:c>
    </x:row>
    <x:row r="21" ht="14">
      <x:c r="A21" s="24" t="s">
        <x:v>140</x:v>
      </x:c>
      <x:c r="B21">
        <x:v>4.9151E-2</x:v>
      </x:c>
      <x:c r="C21">
        <x:v>4.4424999999999999E-2</x:v>
      </x:c>
      <x:c r="D21">
        <x:v>9.0310000000000008E-3</x:v>
      </x:c>
      <x:c r="E21">
        <x:v>1.2304000000000001E-2</x:v>
      </x:c>
      <x:c r="F21">
        <x:v>0</x:v>
      </x:c>
      <x:c r="G21">
        <x:v>0</x:v>
      </x:c>
      <x:c r="H21">
        <x:v>0</x:v>
      </x:c>
      <x:c r="I21">
        <x:v>0</x:v>
      </x:c>
      <x:c r="J21">
        <x:v>1.1856E-2</x:v>
      </x:c>
      <x:c r="K21">
        <x:v>0</x:v>
      </x:c>
      <x:c r="L21">
        <x:v>1.2255E-2</x:v>
      </x:c>
      <x:c r="M21">
        <x:v>0</x:v>
      </x:c>
      <x:c r="N21">
        <x:v>1.2506E-2</x:v>
      </x:c>
      <x:c r="O21">
        <x:v>0</x:v>
      </x:c>
      <x:c r="P21">
        <x:v>8.7600000000000004E-3</x:v>
      </x:c>
      <x:c r="Q21">
        <x:v>9.2540000000000001E-3</x:v>
      </x:c>
      <x:c r="R21">
        <x:v>0</x:v>
      </x:c>
      <x:c r="S21">
        <x:v>0</x:v>
      </x:c>
      <x:c r="T21">
        <x:v>5.594E-3</x:v>
      </x:c>
      <x:c r="U21">
        <x:v>0</x:v>
      </x:c>
      <x:c r="V21">
        <x:v>1.2022E-2</x:v>
      </x:c>
      <x:c r="W21">
        <x:v>0</x:v>
      </x:c>
      <x:c r="X21">
        <x:v>0.80370200000000003</x:v>
      </x:c>
      <x:c r="Y21">
        <x:v>9.1400000000000006E-3</x:v>
      </x:c>
      <x:c r="Z21">
        <x:f t="shared" si="0"/>
        <x:v>1</x:v>
      </x:c>
      <x:c r="AA21" s="25">
        <x:v>46220</x:v>
      </x:c>
      <x:c r="AB21" t="e">
        <x:f>$AB$15*SUMPRODUCT($B$15:$Y$15,'实盘净值数据(iFinD公式)'!$B$25:$Y$25/'实盘净值数据(iFinD公式)'!$B$17:$Y$17)</x:f>
        <x:v>#NAME?</x:v>
      </x:c>
    </x:row>
    <x:row r="22" ht="14">
      <x:c r="A22" s="24" t="s">
        <x:v>141</x:v>
      </x:c>
      <x:c r="B22">
        <x:v>0.103481</x:v>
      </x:c>
      <x:c r="C22">
        <x:v>8.7175000000000002E-2</x:v>
      </x:c>
      <x:c r="D22">
        <x:v>0</x:v>
      </x:c>
      <x:c r="E22">
        <x:v>0</x:v>
      </x:c>
      <x:c r="F22">
        <x:v>3.7058000000000001E-2</x:v>
      </x:c>
      <x:c r="G22">
        <x:v>0</x:v>
      </x:c>
      <x:c r="H22">
        <x:v>0</x:v>
      </x:c>
      <x:c r="I22">
        <x:v>2.9478000000000001E-2</x:v>
      </x:c>
      <x:c r="J22">
        <x:v>0</x:v>
      </x:c>
      <x:c r="K22">
        <x:v>3.2319000000000001E-2</x:v>
      </x:c>
      <x:c r="L22">
        <x:v>0</x:v>
      </x:c>
      <x:c r="M22">
        <x:v>3.6532000000000002E-2</x:v>
      </x:c>
      <x:c r="N22">
        <x:v>0</x:v>
      </x:c>
      <x:c r="O22">
        <x:v>3.6934000000000002E-2</x:v>
      </x:c>
      <x:c r="P22">
        <x:v>0</x:v>
      </x:c>
      <x:c r="Q22">
        <x:v>0</x:v>
      </x:c>
      <x:c r="R22">
        <x:v>2.7137999999999999E-2</x:v>
      </x:c>
      <x:c r="S22">
        <x:v>2.7005999999999999E-2</x:v>
      </x:c>
      <x:c r="T22">
        <x:v>0</x:v>
      </x:c>
      <x:c r="U22">
        <x:v>1.5624000000000001E-2</x:v>
      </x:c>
      <x:c r="V22">
        <x:v>0</x:v>
      </x:c>
      <x:c r="W22">
        <x:v>3.6380000000000003E-2</x:v>
      </x:c>
      <x:c r="X22">
        <x:v>0.50087499999999996</x:v>
      </x:c>
      <x:c r="Y22">
        <x:v>0.03</x:v>
      </x:c>
      <x:c r="Z22">
        <x:f t="shared" si="0"/>
        <x:v>1</x:v>
      </x:c>
      <x:c r="AA22" s="25">
        <x:v>46220</x:v>
      </x:c>
      <x:c r="AB22" t="e">
        <x:f>$AB$16*SUMPRODUCT($B$16:$Y$16,'实盘净值数据(iFinD公式)'!$B$25:$Y$25/'实盘净值数据(iFinD公式)'!$B$17:$Y$17)</x:f>
        <x:v>#NAME?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22.453125" customWidth="1"/>
    <x:col min="5" max="5" width="17.36328125" customWidth="1"/>
    <x:col min="6" max="6" width="19.26953125" customWidth="1"/>
    <x:col min="7" max="7" width="15.36328125" customWidth="1"/>
    <x:col min="8" max="8" width="2.1796875" customWidth="1"/>
  </x:cols>
  <x:sheetData>
    <x:row r="2" ht="20.25" customHeight="1">
      <x:c r="B2" s="57" t="s">
        <x:v>142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"&amp;TEXT(实盘持仓配置!$Z$4,"0.0%")&amp;"（折每日计入净值）"</x:f>
        <x:v>#NAME?</x:v>
      </x:c>
      <x:c r="C3" s="58"/>
      <x:c r="D3" s="58"/>
      <x:c r="E3" s="59" t="e">
        <x:f>"净值日期："&amp;TEXT(LOOKUP(2,1/(实盘组合净值!$B$5:$B$59&lt;&gt;""),实盘组合净值!$A$5:$A$59),"yyyy-mm-dd")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LOOKUP(2,1/(实盘组合净值!$B$5:$B$59&lt;&gt;""),实盘组合净值!$B$5:$B$59)</x:f>
        <x:v>#NAME?</x:v>
      </x:c>
      <x:c r="C7" s="28" t="e">
        <x:f>(LOOKUP(2,1/(实盘组合净值!$B$5:$B$59&lt;&gt;""),实盘组合净值!$B$5:$B$59))/1-1</x:f>
        <x:v>#NAME?</x:v>
      </x:c>
      <x:c r="D7" s="28" t="e">
        <x:f>(LOOKUP(2,1/(实盘组合净值!$B$5:$B$59&lt;&gt;""),实盘组合净值!$B$5:$B$59)/1)^(说明!$C$17/MAX(COUNT(实盘组合净值!$C$5:$C$59),1))-1</x:f>
        <x:v>#NAME?</x:v>
      </x:c>
      <x:c r="E7" s="29" t="e">
        <x:f>STDEV(实盘组合净值!$C$5:$C$59)*SQRT(说明!$C$17)</x:f>
        <x:v>#NAME?</x:v>
      </x:c>
      <x:c r="F7" s="28" t="e">
        <x:f>MIN(实盘组合净值!$D$5:$D$59)</x:f>
        <x:v>#NAME?</x:v>
      </x:c>
      <x:c r="G7" s="30" t="e">
        <x: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IFERROR((LOOKUP(2,1/(实盘组合净值!$B$5:$B$59&lt;&gt;""),实盘组合净值!$B$5:$B$59))/(1)-1,"")</x:f>
        <x:v>#NAME?</x:v>
      </x:c>
      <x:c r="D11" s="32" t="e">
        <x:f>IFERROR((LOOKUP(2,1/(实盘组合净值!$B$5:$B$59&lt;&gt;""),实盘组合净值!$B$5:$B$59)/(1))^(说明!$C$17/COUNT(实盘组合净值!$C$5:$C$59))-1,"")</x:f>
        <x:v>#NAME?</x:v>
      </x:c>
      <x:c r="E11" s="61" t="s">
        <x:v>148</x:v>
      </x:c>
      <x:c r="F11" s="61"/>
      <x:c r="G11" s="32" t="e">
        <x:f>MIN(实盘组合净值!$D$5:$D$59)</x:f>
        <x:v>#NAME?</x:v>
      </x:c>
    </x:row>
    <x:row r="12" ht="22.5" customHeight="1">
      <x:c r="B12" s="33" t="s">
        <x:v>156</x:v>
      </x:c>
      <x:c r="C12" s="32" t="e">
        <x:f>IFERROR((LOOKUP(2,1/(实盘组合净值!$B$5:$B$59&lt;&gt;""),实盘组合净值!$B$5:$B$59))/(IFERROR(LOOKUP(DATE(2026,1,1),实盘组合净值!$A$5:$A$59,实盘组合净值!$B$5:$B$59),1))-1,"")</x:f>
        <x:v>#NAME?</x:v>
      </x:c>
      <x:c r="D12" s="32" t="e">
        <x: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IFERROR((LOOKUP(2,1/(实盘组合净值!$B$5:$B$59&lt;&gt;""),ROW(实盘组合净值!$B$5:$B$59)))-(LOOKUP(2,1/(实盘组合净值!$D$5:$D$59=0),ROW(实盘组合净值!$D$5:$D$59))),"")</x:f>
        <x:v>#NAME?</x:v>
      </x:c>
    </x:row>
    <x:row r="13" ht="22.5" customHeight="1">
      <x:c r="B13" s="31" t="s">
        <x:v>158</x:v>
      </x:c>
      <x:c r="C13" s="32" t="e">
        <x:f>IFERROR((LOOKUP(2,1/(实盘组合净值!$B$5:$B$59&lt;&gt;""),实盘组合净值!$B$5:$B$59))/(IFERROR(LOOKUP(EDATE(LOOKUP(2,1/(实盘组合净值!$B$5:$B$59&lt;&gt;""),实盘组合净值!$A$5:$A$59),-3),实盘组合净值!$A$5:$A$59,实盘组合净值!$B$5:$B$59),1))-1,"")</x:f>
        <x:v>#NAME?</x:v>
      </x:c>
      <x:c r="D13" s="32" t="e">
        <x: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x:f>
        <x:v>#NAME?</x:v>
      </x:c>
      <x:c r="E13" s="61" t="s">
        <x:v>159</x:v>
      </x:c>
      <x:c r="F13" s="61"/>
      <x:c r="G13" s="35" t="e">
        <x:f>COUNTIF(实盘组合净值!$C$5:$C$59,"&gt;0")/MAX(COUNT(实盘组合净值!$C$5:$C$59),1)</x:f>
        <x:v>#NAME?</x:v>
      </x:c>
    </x:row>
    <x:row r="14" ht="22.5" customHeight="1">
      <x:c r="B14" s="31" t="s">
        <x:v>160</x:v>
      </x:c>
      <x:c r="C14" s="32" t="e">
        <x:f>IFERROR((LOOKUP(2,1/(实盘组合净值!$B$5:$B$59&lt;&gt;""),实盘组合净值!$B$5:$B$59))/(IFERROR(LOOKUP(EDATE(LOOKUP(2,1/(实盘组合净值!$B$5:$B$59&lt;&gt;""),实盘组合净值!$A$5:$A$59),-6),实盘组合净值!$A$5:$A$59,实盘组合净值!$B$5:$B$59),1))-1,"")</x:f>
        <x:v>#NAME?</x:v>
      </x:c>
      <x:c r="D14" s="32" t="e">
        <x: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x:f>
        <x:v>#NAME?</x:v>
      </x:c>
      <x:c r="E14" s="61" t="s">
        <x:v>147</x:v>
      </x:c>
      <x:c r="F14" s="61"/>
      <x:c r="G14" s="32" t="e">
        <x:f>STDEV(实盘组合净值!$C$5:$C$59)*SQRT(说明!$C$17)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IFERROR((LOOKUP(2,1/(实盘组合净值!$B$5:$B$59&lt;&gt;""),实盘组合净值!$B$5:$B$59))/(IFERROR(LOOKUP(EDATE(LOOKUP(2,1/(实盘组合净值!$B$5:$B$59&lt;&gt;""),实盘组合净值!$A$5:$A$59),-12),实盘组合净值!$A$5:$A$59,实盘组合净值!$B$5:$B$59),1))-1,"")</x:f>
        <x:v>#NAME?</x:v>
      </x:c>
      <x:c r="D15" s="32" t="e">
        <x: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IFERROR(((LOOKUP(2,1/(实盘组合净值!$B$5:$B$59&lt;&gt;""),实盘组合净值!$B$5:$B$59)/1)^(说明!$C$17/MAX(COUNT(实盘组合净值!$C$5:$C$59),1))-1)/ABS(MIN(实盘组合净值!$D$5:$D$59)),"")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8a88b40930b5498a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9.36328125" customWidth="1"/>
    <x:col min="4" max="4" width="21.453125" customWidth="1"/>
    <x:col min="5" max="5" width="17.36328125" customWidth="1"/>
    <x:col min="6" max="6" width="19.26953125" customWidth="1"/>
    <x:col min="7" max="7" width="18.26953125" customWidth="1"/>
    <x:col min="8" max="8" width="2.1796875" customWidth="1"/>
  </x:cols>
  <x:sheetData>
    <x:row r="2" ht="20.25" customHeight="1">
      <x:c r="B2" s="57" t="s">
        <x:v>165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"&amp;TEXT(实盘持仓配置!$Z$5,"0.0%")&amp;"（折每日计入净值）"</x:f>
        <x:v>#NAME?</x:v>
      </x:c>
      <x:c r="C3" s="58"/>
      <x:c r="D3" s="58"/>
      <x:c r="E3" s="59" t="e">
        <x:f>"净值日期："&amp;TEXT(LOOKUP(2,1/(实盘组合净值!$E$5:$E$59&lt;&gt;""),实盘组合净值!$A$5:$A$59),"yyyy-mm-dd")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LOOKUP(2,1/(实盘组合净值!$E$5:$E$59&lt;&gt;""),实盘组合净值!$E$5:$E$59)</x:f>
        <x:v>#NAME?</x:v>
      </x:c>
      <x:c r="C7" s="28" t="e">
        <x:f>(LOOKUP(2,1/(实盘组合净值!$E$5:$E$59&lt;&gt;""),实盘组合净值!$E$5:$E$59))/1-1</x:f>
        <x:v>#NAME?</x:v>
      </x:c>
      <x:c r="D7" s="28" t="e">
        <x:f>(LOOKUP(2,1/(实盘组合净值!$E$5:$E$59&lt;&gt;""),实盘组合净值!$E$5:$E$59)/1)^(说明!$C$17/MAX(COUNT(实盘组合净值!$F$5:$F$59),1))-1</x:f>
        <x:v>#NAME?</x:v>
      </x:c>
      <x:c r="E7" s="29" t="e">
        <x:f>STDEV(实盘组合净值!$F$5:$F$59)*SQRT(说明!$C$17)</x:f>
        <x:v>#NAME?</x:v>
      </x:c>
      <x:c r="F7" s="28" t="e">
        <x:f>MIN(实盘组合净值!$G$5:$G$59)</x:f>
        <x:v>#NAME?</x:v>
      </x:c>
      <x:c r="G7" s="30" t="e">
        <x: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IFERROR((LOOKUP(2,1/(实盘组合净值!$E$5:$E$59&lt;&gt;""),实盘组合净值!$E$5:$E$59))/(1)-1,"")</x:f>
        <x:v>#NAME?</x:v>
      </x:c>
      <x:c r="D11" s="32" t="e">
        <x:f>IFERROR((LOOKUP(2,1/(实盘组合净值!$E$5:$E$59&lt;&gt;""),实盘组合净值!$E$5:$E$59)/(1))^(说明!$C$17/COUNT(实盘组合净值!$F$5:$F$59))-1,"")</x:f>
        <x:v>#NAME?</x:v>
      </x:c>
      <x:c r="E11" s="61" t="s">
        <x:v>148</x:v>
      </x:c>
      <x:c r="F11" s="61"/>
      <x:c r="G11" s="32" t="e">
        <x:f>MIN(实盘组合净值!$G$5:$G$59)</x:f>
        <x:v>#NAME?</x:v>
      </x:c>
    </x:row>
    <x:row r="12" ht="22.5" customHeight="1">
      <x:c r="B12" s="33" t="s">
        <x:v>156</x:v>
      </x:c>
      <x:c r="C12" s="32" t="e">
        <x:f>IFERROR((LOOKUP(2,1/(实盘组合净值!$E$5:$E$59&lt;&gt;""),实盘组合净值!$E$5:$E$59))/(IFERROR(LOOKUP(DATE(2026,1,1),实盘组合净值!$A$5:$A$59,实盘组合净值!$E$5:$E$59),1))-1,"")</x:f>
        <x:v>#NAME?</x:v>
      </x:c>
      <x:c r="D12" s="32" t="e">
        <x: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IFERROR((LOOKUP(2,1/(实盘组合净值!$E$5:$E$59&lt;&gt;""),ROW(实盘组合净值!$E$5:$E$59)))-(LOOKUP(2,1/(实盘组合净值!$G$5:$G$59=0),ROW(实盘组合净值!$G$5:$G$59))),"")</x:f>
        <x:v>#NAME?</x:v>
      </x:c>
    </x:row>
    <x:row r="13" ht="22.5" customHeight="1">
      <x:c r="B13" s="31" t="s">
        <x:v>158</x:v>
      </x:c>
      <x:c r="C13" s="32" t="e">
        <x:f>IFERROR((LOOKUP(2,1/(实盘组合净值!$E$5:$E$59&lt;&gt;""),实盘组合净值!$E$5:$E$59))/(IFERROR(LOOKUP(EDATE(LOOKUP(2,1/(实盘组合净值!$E$5:$E$59&lt;&gt;""),实盘组合净值!$A$5:$A$59),-3),实盘组合净值!$A$5:$A$59,实盘组合净值!$E$5:$E$59),1))-1,"")</x:f>
        <x:v>#NAME?</x:v>
      </x:c>
      <x:c r="D13" s="32" t="e">
        <x: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x:f>
        <x:v>#NAME?</x:v>
      </x:c>
      <x:c r="E13" s="61" t="s">
        <x:v>159</x:v>
      </x:c>
      <x:c r="F13" s="61"/>
      <x:c r="G13" s="35" t="e">
        <x:f>COUNTIF(实盘组合净值!$F$5:$F$59,"&gt;0")/MAX(COUNT(实盘组合净值!$F$5:$F$59),1)</x:f>
        <x:v>#NAME?</x:v>
      </x:c>
    </x:row>
    <x:row r="14" ht="22.5" customHeight="1">
      <x:c r="B14" s="31" t="s">
        <x:v>160</x:v>
      </x:c>
      <x:c r="C14" s="32" t="e">
        <x:f>IFERROR((LOOKUP(2,1/(实盘组合净值!$E$5:$E$59&lt;&gt;""),实盘组合净值!$E$5:$E$59))/(IFERROR(LOOKUP(EDATE(LOOKUP(2,1/(实盘组合净值!$E$5:$E$59&lt;&gt;""),实盘组合净值!$A$5:$A$59),-6),实盘组合净值!$A$5:$A$59,实盘组合净值!$E$5:$E$59),1))-1,"")</x:f>
        <x:v>#NAME?</x:v>
      </x:c>
      <x:c r="D14" s="32" t="e">
        <x: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x:f>
        <x:v>#NAME?</x:v>
      </x:c>
      <x:c r="E14" s="61" t="s">
        <x:v>147</x:v>
      </x:c>
      <x:c r="F14" s="61"/>
      <x:c r="G14" s="32" t="e">
        <x:f>STDEV(实盘组合净值!$F$5:$F$59)*SQRT(说明!$C$17)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IFERROR((LOOKUP(2,1/(实盘组合净值!$E$5:$E$59&lt;&gt;""),实盘组合净值!$E$5:$E$59))/(IFERROR(LOOKUP(EDATE(LOOKUP(2,1/(实盘组合净值!$E$5:$E$59&lt;&gt;""),实盘组合净值!$A$5:$A$59),-12),实盘组合净值!$A$5:$A$59,实盘组合净值!$E$5:$E$59),1))-1,"")</x:f>
        <x:v>#NAME?</x:v>
      </x:c>
      <x:c r="D15" s="32" t="e">
        <x: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IFERROR(((LOOKUP(2,1/(实盘组合净值!$E$5:$E$59&lt;&gt;""),实盘组合净值!$E$5:$E$59)/1)^(说明!$C$17/MAX(COUNT(实盘组合净值!$F$5:$F$59),1))-1)/ABS(MIN(实盘组合净值!$G$5:$G$59)),"")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a2f3a4eb58d24d7a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27.26953125" customWidth="1"/>
    <x:col min="5" max="5" width="17.36328125" customWidth="1"/>
    <x:col min="6" max="6" width="19.26953125" customWidth="1"/>
    <x:col min="7" max="7" width="19.08984375" customWidth="1"/>
    <x:col min="8" max="8" width="2.1796875" customWidth="1"/>
  </x:cols>
  <x:sheetData>
    <x:row r="2" ht="20.25" customHeight="1">
      <x:c r="B2" s="57" t="s">
        <x:v>166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"&amp;TEXT(实盘持仓配置!$Z$6,"0.0%")&amp;"（折每日计入净值）"</x:f>
        <x:v>#NAME?</x:v>
      </x:c>
      <x:c r="C3" s="58"/>
      <x:c r="D3" s="58"/>
      <x:c r="E3" s="59" t="e">
        <x:f>"净值日期："&amp;TEXT(LOOKUP(2,1/(实盘组合净值!$H$5:$H$59&lt;&gt;""),实盘组合净值!$A$5:$A$59),"yyyy-mm-dd")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LOOKUP(2,1/(实盘组合净值!$H$5:$H$59&lt;&gt;""),实盘组合净值!$H$5:$H$59)</x:f>
        <x:v>#NAME?</x:v>
      </x:c>
      <x:c r="C7" s="28" t="e">
        <x:f>(LOOKUP(2,1/(实盘组合净值!$H$5:$H$59&lt;&gt;""),实盘组合净值!$H$5:$H$59))/1-1</x:f>
        <x:v>#NAME?</x:v>
      </x:c>
      <x:c r="D7" s="28" t="e">
        <x:f>(LOOKUP(2,1/(实盘组合净值!$H$5:$H$59&lt;&gt;""),实盘组合净值!$H$5:$H$59)/1)^(说明!$C$17/MAX(COUNT(实盘组合净值!$I$5:$I$59),1))-1</x:f>
        <x:v>#NAME?</x:v>
      </x:c>
      <x:c r="E7" s="29" t="e">
        <x:f>STDEV(实盘组合净值!$I$5:$I$59)*SQRT(说明!$C$17)</x:f>
        <x:v>#NAME?</x:v>
      </x:c>
      <x:c r="F7" s="28" t="e">
        <x:f>MIN(实盘组合净值!$J$5:$J$59)</x:f>
        <x:v>#NAME?</x:v>
      </x:c>
      <x:c r="G7" s="30" t="e">
        <x: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IFERROR((LOOKUP(2,1/(实盘组合净值!$H$5:$H$59&lt;&gt;""),实盘组合净值!$H$5:$H$59))/(1)-1,"")</x:f>
        <x:v>#NAME?</x:v>
      </x:c>
      <x:c r="D11" s="32" t="e">
        <x:f>IFERROR((LOOKUP(2,1/(实盘组合净值!$H$5:$H$59&lt;&gt;""),实盘组合净值!$H$5:$H$59)/(1))^(说明!$C$17/COUNT(实盘组合净值!$I$5:$I$59))-1,"")</x:f>
        <x:v>#NAME?</x:v>
      </x:c>
      <x:c r="E11" s="61" t="s">
        <x:v>148</x:v>
      </x:c>
      <x:c r="F11" s="61"/>
      <x:c r="G11" s="32" t="e">
        <x:f>MIN(实盘组合净值!$J$5:$J$59)</x:f>
        <x:v>#NAME?</x:v>
      </x:c>
    </x:row>
    <x:row r="12" ht="22.5" customHeight="1">
      <x:c r="B12" s="33" t="s">
        <x:v>156</x:v>
      </x:c>
      <x:c r="C12" s="32" t="e">
        <x:f>IFERROR((LOOKUP(2,1/(实盘组合净值!$H$5:$H$59&lt;&gt;""),实盘组合净值!$H$5:$H$59))/(IFERROR(LOOKUP(DATE(2026,1,1),实盘组合净值!$A$5:$A$59,实盘组合净值!$H$5:$H$59),1))-1,"")</x:f>
        <x:v>#NAME?</x:v>
      </x:c>
      <x:c r="D12" s="32" t="e">
        <x: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IFERROR((LOOKUP(2,1/(实盘组合净值!$H$5:$H$59&lt;&gt;""),ROW(实盘组合净值!$H$5:$H$59)))-(LOOKUP(2,1/(实盘组合净值!$J$5:$J$59=0),ROW(实盘组合净值!$J$5:$J$59))),"")</x:f>
        <x:v>#NAME?</x:v>
      </x:c>
    </x:row>
    <x:row r="13" ht="22.5" customHeight="1">
      <x:c r="B13" s="31" t="s">
        <x:v>158</x:v>
      </x:c>
      <x:c r="C13" s="32" t="e">
        <x:f>IFERROR((LOOKUP(2,1/(实盘组合净值!$H$5:$H$59&lt;&gt;""),实盘组合净值!$H$5:$H$59))/(IFERROR(LOOKUP(EDATE(LOOKUP(2,1/(实盘组合净值!$H$5:$H$59&lt;&gt;""),实盘组合净值!$A$5:$A$59),-3),实盘组合净值!$A$5:$A$59,实盘组合净值!$H$5:$H$59),1))-1,"")</x:f>
        <x:v>#NAME?</x:v>
      </x:c>
      <x:c r="D13" s="32" t="e">
        <x: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x:f>
        <x:v>#NAME?</x:v>
      </x:c>
      <x:c r="E13" s="61" t="s">
        <x:v>159</x:v>
      </x:c>
      <x:c r="F13" s="61"/>
      <x:c r="G13" s="35" t="e">
        <x:f>COUNTIF(实盘组合净值!$I$5:$I$59,"&gt;0")/MAX(COUNT(实盘组合净值!$I$5:$I$59),1)</x:f>
        <x:v>#NAME?</x:v>
      </x:c>
    </x:row>
    <x:row r="14" ht="22.5" customHeight="1">
      <x:c r="B14" s="31" t="s">
        <x:v>160</x:v>
      </x:c>
      <x:c r="C14" s="32" t="e">
        <x:f>IFERROR((LOOKUP(2,1/(实盘组合净值!$H$5:$H$59&lt;&gt;""),实盘组合净值!$H$5:$H$59))/(IFERROR(LOOKUP(EDATE(LOOKUP(2,1/(实盘组合净值!$H$5:$H$59&lt;&gt;""),实盘组合净值!$A$5:$A$59),-6),实盘组合净值!$A$5:$A$59,实盘组合净值!$H$5:$H$59),1))-1,"")</x:f>
        <x:v>#NAME?</x:v>
      </x:c>
      <x:c r="D14" s="32" t="e">
        <x: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x:f>
        <x:v>#NAME?</x:v>
      </x:c>
      <x:c r="E14" s="61" t="s">
        <x:v>147</x:v>
      </x:c>
      <x:c r="F14" s="61"/>
      <x:c r="G14" s="32" t="e">
        <x:f>STDEV(实盘组合净值!$I$5:$I$59)*SQRT(说明!$C$17)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IFERROR((LOOKUP(2,1/(实盘组合净值!$H$5:$H$59&lt;&gt;""),实盘组合净值!$H$5:$H$59))/(IFERROR(LOOKUP(EDATE(LOOKUP(2,1/(实盘组合净值!$H$5:$H$59&lt;&gt;""),实盘组合净值!$A$5:$A$59),-12),实盘组合净值!$A$5:$A$59,实盘组合净值!$H$5:$H$59),1))-1,"")</x:f>
        <x:v>#NAME?</x:v>
      </x:c>
      <x:c r="D15" s="32" t="e">
        <x: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IFERROR(((LOOKUP(2,1/(实盘组合净值!$H$5:$H$59&lt;&gt;""),实盘组合净值!$H$5:$H$59)/1)^(说明!$C$17/MAX(COUNT(实盘组合净值!$I$5:$I$59),1))-1)/ABS(MIN(实盘组合净值!$J$5:$J$59)),"")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9bbb39414a644402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18.90625" customWidth="1"/>
    <x:col min="5" max="5" width="21.26953125" customWidth="1"/>
    <x:col min="6" max="6" width="16.453125" customWidth="1"/>
    <x:col min="7" max="7" width="19.453125" customWidth="1"/>
    <x:col min="8" max="8" width="2.1796875" customWidth="1"/>
  </x:cols>
  <x:sheetData>
    <x:row r="2" ht="20.25" customHeight="1">
      <x:c r="B2" s="57" t="s">
        <x:v>167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"&amp;TEXT(实盘持仓配置!$Z$7,"0.0%")&amp;"（折每日计入净值）"</x:f>
        <x:v>#NAME?</x:v>
      </x:c>
      <x:c r="C3" s="58"/>
      <x:c r="D3" s="58"/>
      <x:c r="E3" s="59" t="e">
        <x:f>"净值日期："&amp;TEXT(LOOKUP(2,1/(实盘组合净值!$K$5:$K$59&lt;&gt;""),实盘组合净值!$A$5:$A$59),"yyyy-mm-dd")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LOOKUP(2,1/(实盘组合净值!$K$5:$K$59&lt;&gt;""),实盘组合净值!$K$5:$K$59)</x:f>
        <x:v>#NAME?</x:v>
      </x:c>
      <x:c r="C7" s="28" t="e">
        <x:f>(LOOKUP(2,1/(实盘组合净值!$K$5:$K$59&lt;&gt;""),实盘组合净值!$K$5:$K$59))/1-1</x:f>
        <x:v>#NAME?</x:v>
      </x:c>
      <x:c r="D7" s="28" t="e">
        <x:f>(LOOKUP(2,1/(实盘组合净值!$K$5:$K$59&lt;&gt;""),实盘组合净值!$K$5:$K$59)/1)^(说明!$C$17/MAX(COUNT(实盘组合净值!$L$5:$L$59),1))-1</x:f>
        <x:v>#NAME?</x:v>
      </x:c>
      <x:c r="E7" s="29" t="e">
        <x:f>STDEV(实盘组合净值!$L$5:$L$59)*SQRT(说明!$C$17)</x:f>
        <x:v>#NAME?</x:v>
      </x:c>
      <x:c r="F7" s="28" t="e">
        <x:f>MIN(实盘组合净值!$M$5:$M$59)</x:f>
        <x:v>#NAME?</x:v>
      </x:c>
      <x:c r="G7" s="30" t="e">
        <x: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IFERROR((LOOKUP(2,1/(实盘组合净值!$K$5:$K$59&lt;&gt;""),实盘组合净值!$K$5:$K$59))/(1)-1,"")</x:f>
        <x:v>#NAME?</x:v>
      </x:c>
      <x:c r="D11" s="32" t="e">
        <x:f>IFERROR((LOOKUP(2,1/(实盘组合净值!$K$5:$K$59&lt;&gt;""),实盘组合净值!$K$5:$K$59)/(1))^(说明!$C$17/COUNT(实盘组合净值!$L$5:$L$59))-1,"")</x:f>
        <x:v>#NAME?</x:v>
      </x:c>
      <x:c r="E11" s="61" t="s">
        <x:v>148</x:v>
      </x:c>
      <x:c r="F11" s="61"/>
      <x:c r="G11" s="32" t="e">
        <x:f>MIN(实盘组合净值!$M$5:$M$59)</x:f>
        <x:v>#NAME?</x:v>
      </x:c>
    </x:row>
    <x:row r="12" ht="22.5" customHeight="1">
      <x:c r="B12" s="33" t="s">
        <x:v>156</x:v>
      </x:c>
      <x:c r="C12" s="32" t="e">
        <x:f>IFERROR((LOOKUP(2,1/(实盘组合净值!$K$5:$K$59&lt;&gt;""),实盘组合净值!$K$5:$K$59))/(IFERROR(LOOKUP(DATE(2026,1,1),实盘组合净值!$A$5:$A$59,实盘组合净值!$K$5:$K$59),1))-1,"")</x:f>
        <x:v>#NAME?</x:v>
      </x:c>
      <x:c r="D12" s="32" t="e">
        <x: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IFERROR((LOOKUP(2,1/(实盘组合净值!$K$5:$K$59&lt;&gt;""),ROW(实盘组合净值!$K$5:$K$59)))-(LOOKUP(2,1/(实盘组合净值!$M$5:$M$59=0),ROW(实盘组合净值!$M$5:$M$59))),"")</x:f>
        <x:v>#NAME?</x:v>
      </x:c>
    </x:row>
    <x:row r="13" ht="22.5" customHeight="1">
      <x:c r="B13" s="31" t="s">
        <x:v>158</x:v>
      </x:c>
      <x:c r="C13" s="32" t="e">
        <x:f>IFERROR((LOOKUP(2,1/(实盘组合净值!$K$5:$K$59&lt;&gt;""),实盘组合净值!$K$5:$K$59))/(IFERROR(LOOKUP(EDATE(LOOKUP(2,1/(实盘组合净值!$K$5:$K$59&lt;&gt;""),实盘组合净值!$A$5:$A$59),-3),实盘组合净值!$A$5:$A$59,实盘组合净值!$K$5:$K$59),1))-1,"")</x:f>
        <x:v>#NAME?</x:v>
      </x:c>
      <x:c r="D13" s="32" t="e">
        <x: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x:f>
        <x:v>#NAME?</x:v>
      </x:c>
      <x:c r="E13" s="61" t="s">
        <x:v>159</x:v>
      </x:c>
      <x:c r="F13" s="61"/>
      <x:c r="G13" s="35" t="e">
        <x:f>COUNTIF(实盘组合净值!$L$5:$L$59,"&gt;0")/MAX(COUNT(实盘组合净值!$L$5:$L$59),1)</x:f>
        <x:v>#NAME?</x:v>
      </x:c>
    </x:row>
    <x:row r="14" ht="22.5" customHeight="1">
      <x:c r="B14" s="31" t="s">
        <x:v>160</x:v>
      </x:c>
      <x:c r="C14" s="32" t="e">
        <x:f>IFERROR((LOOKUP(2,1/(实盘组合净值!$K$5:$K$59&lt;&gt;""),实盘组合净值!$K$5:$K$59))/(IFERROR(LOOKUP(EDATE(LOOKUP(2,1/(实盘组合净值!$K$5:$K$59&lt;&gt;""),实盘组合净值!$A$5:$A$59),-6),实盘组合净值!$A$5:$A$59,实盘组合净值!$K$5:$K$59),1))-1,"")</x:f>
        <x:v>#NAME?</x:v>
      </x:c>
      <x:c r="D14" s="32" t="e">
        <x: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x:f>
        <x:v>#NAME?</x:v>
      </x:c>
      <x:c r="E14" s="61" t="s">
        <x:v>147</x:v>
      </x:c>
      <x:c r="F14" s="61"/>
      <x:c r="G14" s="32" t="e">
        <x:f>STDEV(实盘组合净值!$L$5:$L$59)*SQRT(说明!$C$17)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IFERROR((LOOKUP(2,1/(实盘组合净值!$K$5:$K$59&lt;&gt;""),实盘组合净值!$K$5:$K$59))/(IFERROR(LOOKUP(EDATE(LOOKUP(2,1/(实盘组合净值!$K$5:$K$59&lt;&gt;""),实盘组合净值!$A$5:$A$59),-12),实盘组合净值!$A$5:$A$59,实盘组合净值!$K$5:$K$59),1))-1,"")</x:f>
        <x:v>#NAME?</x:v>
      </x:c>
      <x:c r="D15" s="32" t="e">
        <x: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IFERROR(((LOOKUP(2,1/(实盘组合净值!$K$5:$K$59&lt;&gt;""),实盘组合净值!$K$5:$K$59)/1)^(说明!$C$17/MAX(COUNT(实盘组合净值!$L$5:$L$59),1))-1)/ABS(MIN(实盘组合净值!$M$5:$M$59)),"")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3740a057783e4186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20.08984375" customWidth="1"/>
    <x:col min="5" max="5" width="17.36328125" customWidth="1"/>
    <x:col min="6" max="6" width="16.453125" customWidth="1"/>
    <x:col min="7" max="7" width="19.08984375" customWidth="1"/>
    <x:col min="8" max="8" width="2.1796875" customWidth="1"/>
  </x:cols>
  <x:sheetData>
    <x:row r="2" ht="20.25" customHeight="1">
      <x:c r="B2" s="57" t="s">
        <x:v>168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"&amp;TEXT(实盘持仓配置!$Z$8,"0.0%")&amp;"（折每日计入净值）"</x:f>
        <x:v>#NAME?</x:v>
      </x:c>
      <x:c r="C3" s="58"/>
      <x:c r="D3" s="58"/>
      <x:c r="E3" s="59" t="e">
        <x:f>"净值日期："&amp;TEXT(LOOKUP(2,1/(实盘组合净值!$N$5:$N$59&lt;&gt;""),实盘组合净值!$A$5:$A$59),"yyyy-mm-dd")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LOOKUP(2,1/(实盘组合净值!$N$5:$N$59&lt;&gt;""),实盘组合净值!$N$5:$N$59)</x:f>
        <x:v>#NAME?</x:v>
      </x:c>
      <x:c r="C7" s="28" t="e">
        <x:f>(LOOKUP(2,1/(实盘组合净值!$N$5:$N$59&lt;&gt;""),实盘组合净值!$N$5:$N$59))/1-1</x:f>
        <x:v>#NAME?</x:v>
      </x:c>
      <x:c r="D7" s="28" t="e">
        <x:f>(LOOKUP(2,1/(实盘组合净值!$N$5:$N$59&lt;&gt;""),实盘组合净值!$N$5:$N$59)/1)^(说明!$C$17/MAX(COUNT(实盘组合净值!$O$5:$O$59),1))-1</x:f>
        <x:v>#NAME?</x:v>
      </x:c>
      <x:c r="E7" s="29" t="e">
        <x:f>STDEV(实盘组合净值!$O$5:$O$59)*SQRT(说明!$C$17)</x:f>
        <x:v>#NAME?</x:v>
      </x:c>
      <x:c r="F7" s="28" t="e">
        <x:f>MIN(实盘组合净值!$P$5:$P$59)</x:f>
        <x:v>#NAME?</x:v>
      </x:c>
      <x:c r="G7" s="30" t="e">
        <x: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IFERROR((LOOKUP(2,1/(实盘组合净值!$N$5:$N$59&lt;&gt;""),实盘组合净值!$N$5:$N$59))/(1)-1,"")</x:f>
        <x:v>#NAME?</x:v>
      </x:c>
      <x:c r="D11" s="32" t="e">
        <x:f>IFERROR((LOOKUP(2,1/(实盘组合净值!$N$5:$N$59&lt;&gt;""),实盘组合净值!$N$5:$N$59)/(1))^(说明!$C$17/COUNT(实盘组合净值!$O$5:$O$59))-1,"")</x:f>
        <x:v>#NAME?</x:v>
      </x:c>
      <x:c r="E11" s="61" t="s">
        <x:v>148</x:v>
      </x:c>
      <x:c r="F11" s="61"/>
      <x:c r="G11" s="32" t="e">
        <x:f>MIN(实盘组合净值!$P$5:$P$59)</x:f>
        <x:v>#NAME?</x:v>
      </x:c>
    </x:row>
    <x:row r="12" ht="22.5" customHeight="1">
      <x:c r="B12" s="33" t="s">
        <x:v>156</x:v>
      </x:c>
      <x:c r="C12" s="32" t="e">
        <x:f>IFERROR((LOOKUP(2,1/(实盘组合净值!$N$5:$N$59&lt;&gt;""),实盘组合净值!$N$5:$N$59))/(IFERROR(LOOKUP(DATE(2026,1,1),实盘组合净值!$A$5:$A$59,实盘组合净值!$N$5:$N$59),1))-1,"")</x:f>
        <x:v>#NAME?</x:v>
      </x:c>
      <x:c r="D12" s="32" t="e">
        <x: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IFERROR((LOOKUP(2,1/(实盘组合净值!$N$5:$N$59&lt;&gt;""),ROW(实盘组合净值!$N$5:$N$59)))-(LOOKUP(2,1/(实盘组合净值!$P$5:$P$59=0),ROW(实盘组合净值!$P$5:$P$59))),"")</x:f>
        <x:v>#NAME?</x:v>
      </x:c>
    </x:row>
    <x:row r="13" ht="22.5" customHeight="1">
      <x:c r="B13" s="31" t="s">
        <x:v>158</x:v>
      </x:c>
      <x:c r="C13" s="32" t="e">
        <x:f>IFERROR((LOOKUP(2,1/(实盘组合净值!$N$5:$N$59&lt;&gt;""),实盘组合净值!$N$5:$N$59))/(IFERROR(LOOKUP(EDATE(LOOKUP(2,1/(实盘组合净值!$N$5:$N$59&lt;&gt;""),实盘组合净值!$A$5:$A$59),-3),实盘组合净值!$A$5:$A$59,实盘组合净值!$N$5:$N$59),1))-1,"")</x:f>
        <x:v>#NAME?</x:v>
      </x:c>
      <x:c r="D13" s="32" t="e">
        <x: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x:f>
        <x:v>#NAME?</x:v>
      </x:c>
      <x:c r="E13" s="61" t="s">
        <x:v>159</x:v>
      </x:c>
      <x:c r="F13" s="61"/>
      <x:c r="G13" s="35" t="e">
        <x:f>COUNTIF(实盘组合净值!$O$5:$O$59,"&gt;0")/MAX(COUNT(实盘组合净值!$O$5:$O$59),1)</x:f>
        <x:v>#NAME?</x:v>
      </x:c>
    </x:row>
    <x:row r="14" ht="22.5" customHeight="1">
      <x:c r="B14" s="31" t="s">
        <x:v>160</x:v>
      </x:c>
      <x:c r="C14" s="32" t="e">
        <x:f>IFERROR((LOOKUP(2,1/(实盘组合净值!$N$5:$N$59&lt;&gt;""),实盘组合净值!$N$5:$N$59))/(IFERROR(LOOKUP(EDATE(LOOKUP(2,1/(实盘组合净值!$N$5:$N$59&lt;&gt;""),实盘组合净值!$A$5:$A$59),-6),实盘组合净值!$A$5:$A$59,实盘组合净值!$N$5:$N$59),1))-1,"")</x:f>
        <x:v>#NAME?</x:v>
      </x:c>
      <x:c r="D14" s="32" t="e">
        <x: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x:f>
        <x:v>#NAME?</x:v>
      </x:c>
      <x:c r="E14" s="61" t="s">
        <x:v>147</x:v>
      </x:c>
      <x:c r="F14" s="61"/>
      <x:c r="G14" s="32" t="e">
        <x:f>STDEV(实盘组合净值!$O$5:$O$59)*SQRT(说明!$C$17)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IFERROR((LOOKUP(2,1/(实盘组合净值!$N$5:$N$59&lt;&gt;""),实盘组合净值!$N$5:$N$59))/(IFERROR(LOOKUP(EDATE(LOOKUP(2,1/(实盘组合净值!$N$5:$N$59&lt;&gt;""),实盘组合净值!$A$5:$A$59),-12),实盘组合净值!$A$5:$A$59,实盘组合净值!$N$5:$N$59),1))-1,"")</x:f>
        <x:v>#NAME?</x:v>
      </x:c>
      <x:c r="D15" s="32" t="e">
        <x: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IFERROR(((LOOKUP(2,1/(实盘组合净值!$N$5:$N$59&lt;&gt;""),实盘组合净值!$N$5:$N$59)/1)^(说明!$C$17/MAX(COUNT(实盘组合净值!$O$5:$O$59),1))-1)/ABS(MIN(实盘组合净值!$P$5:$P$59)),"")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3e122fa79a0f4666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19.26953125" customWidth="1"/>
    <x:col min="5" max="5" width="20.81640625" customWidth="1"/>
    <x:col min="6" max="6" width="16.453125" customWidth="1"/>
    <x:col min="7" max="7" width="20.26953125" customWidth="1"/>
    <x:col min="8" max="8" width="2.1796875" customWidth="1"/>
  </x:cols>
  <x:sheetData>
    <x:row r="2" ht="20.25" customHeight="1">
      <x:c r="B2" s="57" t="s">
        <x:v>169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"&amp;TEXT(实盘持仓配置!$Z$9,"0.0%")&amp;"（折每日计入净值）"</x:f>
        <x:v>#NAME?</x:v>
      </x:c>
      <x:c r="C3" s="58"/>
      <x:c r="D3" s="58"/>
      <x:c r="E3" s="59" t="e">
        <x:f>"净值日期："&amp;TEXT(LOOKUP(2,1/(实盘组合净值!$Q$5:$Q$59&lt;&gt;""),实盘组合净值!$A$5:$A$59),"yyyy-mm-dd")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LOOKUP(2,1/(实盘组合净值!$Q$5:$Q$59&lt;&gt;""),实盘组合净值!$Q$5:$Q$59)</x:f>
        <x:v>#NAME?</x:v>
      </x:c>
      <x:c r="C7" s="28" t="e">
        <x:f>(LOOKUP(2,1/(实盘组合净值!$Q$5:$Q$59&lt;&gt;""),实盘组合净值!$Q$5:$Q$59))/1-1</x:f>
        <x:v>#NAME?</x:v>
      </x:c>
      <x:c r="D7" s="28" t="e">
        <x:f>(LOOKUP(2,1/(实盘组合净值!$Q$5:$Q$59&lt;&gt;""),实盘组合净值!$Q$5:$Q$59)/1)^(说明!$C$17/MAX(COUNT(实盘组合净值!$R$5:$R$59),1))-1</x:f>
        <x:v>#NAME?</x:v>
      </x:c>
      <x:c r="E7" s="29" t="e">
        <x:f>STDEV(实盘组合净值!$R$5:$R$59)*SQRT(说明!$C$17)</x:f>
        <x:v>#NAME?</x:v>
      </x:c>
      <x:c r="F7" s="28" t="e">
        <x:f>MIN(实盘组合净值!$S$5:$S$59)</x:f>
        <x:v>#NAME?</x:v>
      </x:c>
      <x:c r="G7" s="30" t="e">
        <x: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IFERROR((LOOKUP(2,1/(实盘组合净值!$Q$5:$Q$59&lt;&gt;""),实盘组合净值!$Q$5:$Q$59))/(1)-1,"")</x:f>
        <x:v>#NAME?</x:v>
      </x:c>
      <x:c r="D11" s="32" t="e">
        <x:f>IFERROR((LOOKUP(2,1/(实盘组合净值!$Q$5:$Q$59&lt;&gt;""),实盘组合净值!$Q$5:$Q$59)/(1))^(说明!$C$17/COUNT(实盘组合净值!$R$5:$R$59))-1,"")</x:f>
        <x:v>#NAME?</x:v>
      </x:c>
      <x:c r="E11" s="61" t="s">
        <x:v>148</x:v>
      </x:c>
      <x:c r="F11" s="61"/>
      <x:c r="G11" s="32" t="e">
        <x:f>MIN(实盘组合净值!$S$5:$S$59)</x:f>
        <x:v>#NAME?</x:v>
      </x:c>
    </x:row>
    <x:row r="12" ht="22.5" customHeight="1">
      <x:c r="B12" s="33" t="s">
        <x:v>156</x:v>
      </x:c>
      <x:c r="C12" s="32" t="e">
        <x:f>IFERROR((LOOKUP(2,1/(实盘组合净值!$Q$5:$Q$59&lt;&gt;""),实盘组合净值!$Q$5:$Q$59))/(IFERROR(LOOKUP(DATE(2026,1,1),实盘组合净值!$A$5:$A$59,实盘组合净值!$Q$5:$Q$59),1))-1,"")</x:f>
        <x:v>#NAME?</x:v>
      </x:c>
      <x:c r="D12" s="32" t="e">
        <x: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IFERROR((LOOKUP(2,1/(实盘组合净值!$Q$5:$Q$59&lt;&gt;""),ROW(实盘组合净值!$Q$5:$Q$59)))-(LOOKUP(2,1/(实盘组合净值!$S$5:$S$59=0),ROW(实盘组合净值!$S$5:$S$59))),"")</x:f>
        <x:v>#NAME?</x:v>
      </x:c>
    </x:row>
    <x:row r="13" ht="22.5" customHeight="1">
      <x:c r="B13" s="31" t="s">
        <x:v>158</x:v>
      </x:c>
      <x:c r="C13" s="32" t="e">
        <x:f>IFERROR((LOOKUP(2,1/(实盘组合净值!$Q$5:$Q$59&lt;&gt;""),实盘组合净值!$Q$5:$Q$59))/(IFERROR(LOOKUP(EDATE(LOOKUP(2,1/(实盘组合净值!$Q$5:$Q$59&lt;&gt;""),实盘组合净值!$A$5:$A$59),-3),实盘组合净值!$A$5:$A$59,实盘组合净值!$Q$5:$Q$59),1))-1,"")</x:f>
        <x:v>#NAME?</x:v>
      </x:c>
      <x:c r="D13" s="32" t="e">
        <x: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x:f>
        <x:v>#NAME?</x:v>
      </x:c>
      <x:c r="E13" s="61" t="s">
        <x:v>159</x:v>
      </x:c>
      <x:c r="F13" s="61"/>
      <x:c r="G13" s="35" t="e">
        <x:f>COUNTIF(实盘组合净值!$R$5:$R$59,"&gt;0")/MAX(COUNT(实盘组合净值!$R$5:$R$59),1)</x:f>
        <x:v>#NAME?</x:v>
      </x:c>
    </x:row>
    <x:row r="14" ht="22.5" customHeight="1">
      <x:c r="B14" s="31" t="s">
        <x:v>160</x:v>
      </x:c>
      <x:c r="C14" s="32" t="e">
        <x:f>IFERROR((LOOKUP(2,1/(实盘组合净值!$Q$5:$Q$59&lt;&gt;""),实盘组合净值!$Q$5:$Q$59))/(IFERROR(LOOKUP(EDATE(LOOKUP(2,1/(实盘组合净值!$Q$5:$Q$59&lt;&gt;""),实盘组合净值!$A$5:$A$59),-6),实盘组合净值!$A$5:$A$59,实盘组合净值!$Q$5:$Q$59),1))-1,"")</x:f>
        <x:v>#NAME?</x:v>
      </x:c>
      <x:c r="D14" s="32" t="e">
        <x: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x:f>
        <x:v>#NAME?</x:v>
      </x:c>
      <x:c r="E14" s="61" t="s">
        <x:v>147</x:v>
      </x:c>
      <x:c r="F14" s="61"/>
      <x:c r="G14" s="32" t="e">
        <x:f>STDEV(实盘组合净值!$R$5:$R$59)*SQRT(说明!$C$17)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IFERROR((LOOKUP(2,1/(实盘组合净值!$Q$5:$Q$59&lt;&gt;""),实盘组合净值!$Q$5:$Q$59))/(IFERROR(LOOKUP(EDATE(LOOKUP(2,1/(实盘组合净值!$Q$5:$Q$59&lt;&gt;""),实盘组合净值!$A$5:$A$59),-12),实盘组合净值!$A$5:$A$59,实盘组合净值!$Q$5:$Q$59),1))-1,"")</x:f>
        <x:v>#NAME?</x:v>
      </x:c>
      <x:c r="D15" s="32" t="e">
        <x: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IFERROR(((LOOKUP(2,1/(实盘组合净值!$Q$5:$Q$59&lt;&gt;""),实盘组合净值!$Q$5:$Q$59)/1)^(说明!$C$17/MAX(COUNT(实盘组合净值!$R$5:$R$59),1))-1)/ABS(MIN(实盘组合净值!$S$5:$S$59)),"")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2602018bd18d4cdf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28.453125" customWidth="1"/>
    <x:col min="3" max="8" width="16.453125" customWidth="1"/>
  </x:cols>
  <x:sheetData>
    <x:row r="2" ht="22.5" customHeight="1">
      <x:c r="B2" s="38" t="s">
        <x:v>170</x:v>
      </x:c>
    </x:row>
    <x:row r="3" ht="14.25" customHeight="1">
      <x:c r="B3" s="10" t="s">
        <x:v>171</x:v>
      </x:c>
    </x:row>
    <x:row r="5" ht="15" customHeight="1">
      <x:c r="B5" s="39" t="s">
        <x:v>172</x:v>
      </x:c>
    </x:row>
    <x:row r="6" ht="16.5" customHeight="1">
      <x:c r="B6" s="40" t="s">
        <x:v>173</x:v>
      </x:c>
      <x:c r="C6" s="63" t="s">
        <x:v>174</x:v>
      </x:c>
      <x:c r="D6" s="63"/>
      <x:c r="E6" s="63"/>
      <x:c r="F6" s="63"/>
      <x:c r="G6" s="63"/>
      <x:c r="H6" s="63"/>
    </x:row>
    <x:row r="7" ht="25.5" customHeight="1">
      <x:c r="B7" s="40" t="s">
        <x:v>175</x:v>
      </x:c>
      <x:c r="C7" s="63" t="s">
        <x:v>176</x:v>
      </x:c>
      <x:c r="D7" s="63"/>
      <x:c r="E7" s="63"/>
      <x:c r="F7" s="63"/>
      <x:c r="G7" s="63"/>
      <x:c r="H7" s="63"/>
    </x:row>
    <x:row r="8" ht="16.5" customHeight="1">
      <x:c r="B8" s="40" t="s">
        <x:v>177</x:v>
      </x:c>
      <x:c r="C8" s="63" t="s">
        <x:v>178</x:v>
      </x:c>
      <x:c r="D8" s="63"/>
      <x:c r="E8" s="63"/>
      <x:c r="F8" s="63"/>
      <x:c r="G8" s="63"/>
      <x:c r="H8" s="63"/>
    </x:row>
    <x:row r="9" ht="27.75" customHeight="1">
      <x:c r="B9" s="40" t="s">
        <x:v>179</x:v>
      </x:c>
      <x:c r="C9" s="64" t="s">
        <x:v>180</x:v>
      </x:c>
      <x:c r="D9" s="64"/>
      <x:c r="E9" s="64"/>
      <x:c r="F9" s="64"/>
      <x:c r="G9" s="64"/>
      <x:c r="H9" s="64"/>
    </x:row>
    <x:row r="10" ht="16.5" customHeight="1">
      <x:c r="B10" s="41"/>
      <x:c r="C10" s="42"/>
      <x:c r="D10" s="42"/>
      <x:c r="E10" s="42"/>
      <x:c r="F10" s="42"/>
      <x:c r="G10" s="42"/>
      <x:c r="H10" s="42"/>
    </x:row>
    <x:row r="11" ht="16.5" customHeight="1">
      <x:c r="B11" s="39" t="s">
        <x:v>181</x:v>
      </x:c>
      <x:c r="C11" s="42"/>
      <x:c r="D11" s="42"/>
      <x:c r="E11" s="42"/>
      <x:c r="F11" s="42"/>
      <x:c r="G11" s="42"/>
      <x:c r="H11" s="42"/>
    </x:row>
    <x:row r="12" ht="16.5" customHeight="1">
      <x:c r="B12" s="40" t="s">
        <x:v>182</x:v>
      </x:c>
      <x:c r="C12" s="63" t="s">
        <x:v>183</x:v>
      </x:c>
      <x:c r="D12" s="63"/>
      <x:c r="E12" s="63"/>
      <x:c r="F12" s="63"/>
      <x:c r="G12" s="63"/>
      <x:c r="H12" s="63"/>
    </x:row>
    <x:row r="13" ht="16.5" customHeight="1">
      <x:c r="B13" s="43" t="s">
        <x:v>184</x:v>
      </x:c>
      <x:c r="C13" s="63" t="s">
        <x:v>185</x:v>
      </x:c>
      <x:c r="D13" s="63"/>
      <x:c r="E13" s="63"/>
      <x:c r="F13" s="63"/>
      <x:c r="G13" s="63"/>
      <x:c r="H13" s="63"/>
    </x:row>
    <x:row r="14" ht="16.5" customHeight="1">
      <x:c r="B14" s="40" t="s">
        <x:v>186</x:v>
      </x:c>
      <x:c r="C14" s="63" t="s">
        <x:v>187</x:v>
      </x:c>
      <x:c r="D14" s="63"/>
      <x:c r="E14" s="63"/>
      <x:c r="F14" s="63"/>
      <x:c r="G14" s="63"/>
      <x:c r="H14" s="63"/>
    </x:row>
    <x:row r="15" ht="14.25" customHeight="1">
      <x:c r="B15" s="40" t="s">
        <x:v>188</x:v>
      </x:c>
      <x:c r="C15" s="41" t="s">
        <x:v>189</x:v>
      </x:c>
    </x:row>
    <x:row r="16" ht="13">
      <x:c r="B16" s="40" t="s">
        <x:v>190</x:v>
      </x:c>
      <x:c r="C16" s="44">
        <x:v>0</x:v>
      </x:c>
    </x:row>
    <x:row r="17" ht="13">
      <x:c r="B17" s="40" t="s">
        <x:v>191</x:v>
      </x:c>
      <x:c r="C17" s="45">
        <x:v>242</x:v>
      </x:c>
    </x:row>
    <x:row r="18" ht="14.25" customHeight="1">
      <x:c r="B18" s="40" t="s">
        <x:v>192</x:v>
      </x:c>
      <x:c r="C18" s="41" t="s">
        <x:v>193</x:v>
      </x:c>
    </x:row>
    <x:row r="19" ht="14.25" customHeight="1">
      <x:c r="B19" s="10" t="s">
        <x:v>194</x:v>
      </x:c>
    </x:row>
  </x:sheetData>
  <x:mergeCells>
    <x:mergeCell ref="C13:H13"/>
    <x:mergeCell ref="C14:H14"/>
    <x:mergeCell ref="C6:H6"/>
    <x:mergeCell ref="C7:H7"/>
    <x:mergeCell ref="C8:H8"/>
    <x:mergeCell ref="C9:H9"/>
    <x:mergeCell ref="C12:H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4.08984375" customWidth="1"/>
    <x:col min="2" max="2" width="14.26953125" customWidth="1"/>
    <x:col min="3" max="4" width="18.6328125" customWidth="1"/>
    <x:col min="6" max="6" width="17.453125" customWidth="1"/>
    <x:col min="7" max="7" width="13.1796875" customWidth="1"/>
  </x:cols>
  <x:sheetData>
    <x:row r="1" ht="14.5">
      <x:c r="A1" s="46" t="s">
        <x:v>195</x:v>
      </x:c>
      <x:c r="F1" s="47" t="s">
        <x:v>196</x:v>
      </x:c>
      <x:c r="G1" t="n">
        <x:f>COUNT('实盘净值数据(iFinD公式)'!$B$5:$B$60)</x:f>
        <x:v>0</x:v>
      </x:c>
    </x:row>
    <x:row r="2" ht="14.5">
      <x:c r="A2" s="46" t="s">
        <x:v>197</x:v>
      </x:c>
      <x:c r="B2" s="48" t="n">
        <x:f>INDEX('实盘净值数据(iFinD公式)'!$A$5:$A$60,$G$1)</x:f>
        <x:v>46191</x:v>
      </x:c>
      <x:c r="F2" s="47" t="s">
        <x:v>198</x:v>
      </x:c>
      <x:c r="G2" t="e">
        <x:f>SUMPRODUCT(实盘持仓配置!$B$4:$X$4,INDEX('实盘净值数据(iFinD公式)'!$B$5:$X$60,$G$1,0)/'实盘净值数据(iFinD公式)'!$B$6:$X$6)</x:f>
        <x:v>#NAME?</x:v>
      </x:c>
    </x:row>
    <x:row r="3" ht="14">
      <x:c r="F3" s="47" t="s">
        <x:v>199</x:v>
      </x:c>
      <x:c r="G3" t="e">
        <x:f>SUMPRODUCT(实盘持仓配置!$B$5:$X$5,INDEX('实盘净值数据(iFinD公式)'!$B$5:$X$60,$G$1,0)/'实盘净值数据(iFinD公式)'!$B$5:$X$5)</x:f>
        <x:v>#NAME?</x:v>
      </x:c>
    </x:row>
    <x:row r="4" ht="14.5">
      <x:c r="F4" s="49" t="s">
        <x:v>200</x:v>
      </x:c>
      <x:c r="G4" t="e">
        <x:f>SUMPRODUCT(实盘持仓配置!$B$6:$X$6,INDEX('实盘净值数据(iFinD公式)'!$B$5:$X$60,$G$1,0)/'实盘净值数据(iFinD公式)'!$B$7:$X$7)</x:f>
        <x:v>#NAME?</x:v>
      </x:c>
    </x:row>
    <x:row r="5" ht="14.5">
      <x:c r="A5" s="50" t="s">
        <x:v>1</x:v>
      </x:c>
      <x:c r="B5" s="50" t="s">
        <x:v>28</x:v>
      </x:c>
      <x:c r="C5" s="50" t="s">
        <x:v>201</x:v>
      </x:c>
      <x:c r="D5" s="50" t="s">
        <x:v>202</x:v>
      </x:c>
    </x:row>
    <x:row r="6" ht="14.5">
      <x:c r="A6" s="19" t="s">
        <x:v>203</x:v>
      </x:c>
      <x:c r="B6" s="51" t="s">
        <x:v>47</x:v>
      </x:c>
      <x:c r="C6" s="52" t="e">
        <x:f>实盘持仓配置!T$4</x:f>
        <x:v>#NAME?</x:v>
      </x:c>
      <x:c r="D6" s="52" t="e">
        <x:f>实盘持仓配置!T$4*INDEX('实盘净值数据(iFinD公式)'!T$5:T$60,$G$1)/'实盘净值数据(iFinD公式)'!T$6/$G$2</x:f>
        <x:v>#NAME?</x:v>
      </x:c>
    </x:row>
    <x:row r="7" ht="14.5">
      <x:c r="A7" s="19" t="s">
        <x:v>204</x:v>
      </x:c>
      <x:c r="B7" s="51" t="s">
        <x:v>34</x:v>
      </x:c>
      <x:c r="C7" s="52" t="e">
        <x:f>实盘持仓配置!G$4</x:f>
        <x:v>#NAME?</x:v>
      </x:c>
      <x:c r="D7" s="52" t="e">
        <x:f>实盘持仓配置!G$4*INDEX('实盘净值数据(iFinD公式)'!G$5:G$60,$G$1)/'实盘净值数据(iFinD公式)'!G$6/$G$2</x:f>
        <x:v>#NAME?</x:v>
      </x:c>
    </x:row>
    <x:row r="8" ht="14.5">
      <x:c r="A8" s="19" t="s">
        <x:v>78</x:v>
      </x:c>
      <x:c r="B8" s="51" t="s">
        <x:v>31</x:v>
      </x:c>
      <x:c r="C8" s="52" t="e">
        <x:f>实盘持仓配置!D$4</x:f>
        <x:v>#NAME?</x:v>
      </x:c>
      <x:c r="D8" s="52" t="e">
        <x:f>实盘持仓配置!D$4*INDEX('实盘净值数据(iFinD公式)'!D$5:D$60,$G$1)/'实盘净值数据(iFinD公式)'!D$6/$G$2</x:f>
        <x:v>#NAME?</x:v>
      </x:c>
    </x:row>
    <x:row r="9" ht="14.5">
      <x:c r="A9" s="19" t="s">
        <x:v>90</x:v>
      </x:c>
      <x:c r="B9" s="51" t="s">
        <x:v>44</x:v>
      </x:c>
      <x:c r="C9" s="52" t="e">
        <x:f>实盘持仓配置!Q$4</x:f>
        <x:v>#NAME?</x:v>
      </x:c>
      <x:c r="D9" s="52" t="e">
        <x:f>实盘持仓配置!Q$4*INDEX('实盘净值数据(iFinD公式)'!Q$5:Q$60,$G$1)/'实盘净值数据(iFinD公式)'!Q$6/$G$2</x:f>
        <x:v>#NAME?</x:v>
      </x:c>
    </x:row>
    <x:row r="10" ht="14.5">
      <x:c r="A10" s="19" t="s">
        <x:v>89</x:v>
      </x:c>
      <x:c r="B10" s="51" t="s">
        <x:v>43</x:v>
      </x:c>
      <x:c r="C10" s="52" t="e">
        <x:f>实盘持仓配置!P$4</x:f>
        <x:v>#NAME?</x:v>
      </x:c>
      <x:c r="D10" s="52" t="e">
        <x:f>实盘持仓配置!P$4*INDEX('实盘净值数据(iFinD公式)'!P$5:P$60,$G$1)/'实盘净值数据(iFinD公式)'!P$6/$G$2</x:f>
        <x:v>#NAME?</x:v>
      </x:c>
    </x:row>
    <x:row r="11" ht="14.5">
      <x:c r="A11" s="19" t="s">
        <x:v>83</x:v>
      </x:c>
      <x:c r="B11" s="51" t="s">
        <x:v>37</x:v>
      </x:c>
      <x:c r="C11" s="52" t="e">
        <x:f>实盘持仓配置!J$4</x:f>
        <x:v>#NAME?</x:v>
      </x:c>
      <x:c r="D11" s="52" t="e">
        <x:f>实盘持仓配置!J$4*INDEX('实盘净值数据(iFinD公式)'!J$5:J$60,$G$1)/'实盘净值数据(iFinD公式)'!J$6/$G$2</x:f>
        <x:v>#NAME?</x:v>
      </x:c>
    </x:row>
    <x:row r="12" ht="14.5">
      <x:c r="A12" s="19" t="s">
        <x:v>77</x:v>
      </x:c>
      <x:c r="B12" s="51" t="s">
        <x:v>30</x:v>
      </x:c>
      <x:c r="C12" s="52" t="e">
        <x:f>实盘持仓配置!C$4</x:f>
        <x:v>#NAME?</x:v>
      </x:c>
      <x:c r="D12" s="52" t="e">
        <x:f>实盘持仓配置!C$4*INDEX('实盘净值数据(iFinD公式)'!C$5:C$60,$G$1)/'实盘净值数据(iFinD公式)'!C$6/$G$2</x:f>
        <x:v>#NAME?</x:v>
      </x:c>
    </x:row>
    <x:row r="13" ht="14.5">
      <x:c r="A13" s="46" t="s">
        <x:v>25</x:v>
      </x:c>
      <x:c r="C13" s="53" t="e">
        <x:f>SUM(C6:C12)</x:f>
        <x:v>#NAME?</x:v>
      </x:c>
      <x:c r="D13" s="53" t="e">
        <x:f>SUM(D6:D12)</x:f>
        <x:v>#NAME?</x:v>
      </x:c>
    </x:row>
    <x:row r="15" ht="14.5">
      <x:c r="A15" s="46" t="s">
        <x:v>205</x:v>
      </x:c>
    </x:row>
    <x:row r="16" ht="14.5">
      <x:c r="A16" s="50" t="s">
        <x:v>1</x:v>
      </x:c>
      <x:c r="B16" s="50" t="s">
        <x:v>28</x:v>
      </x:c>
      <x:c r="C16" s="50" t="s">
        <x:v>201</x:v>
      </x:c>
      <x:c r="D16" s="50" t="s">
        <x:v>202</x:v>
      </x:c>
    </x:row>
    <x:row r="17" ht="14.5">
      <x:c r="A17" s="19" t="s">
        <x:v>203</x:v>
      </x:c>
      <x:c r="B17" s="51" t="s">
        <x:v>47</x:v>
      </x:c>
      <x:c r="C17" s="52" t="e">
        <x:f>实盘持仓配置!T$5</x:f>
        <x:v>#NAME?</x:v>
      </x:c>
      <x:c r="D17" s="52" t="e">
        <x:f>实盘持仓配置!T$5*INDEX('实盘净值数据(iFinD公式)'!T$5:T$60,$G$1)/'实盘净值数据(iFinD公式)'!T$5/$G$3</x:f>
        <x:v>#NAME?</x:v>
      </x:c>
    </x:row>
    <x:row r="18" ht="14.5">
      <x:c r="A18" s="19" t="s">
        <x:v>204</x:v>
      </x:c>
      <x:c r="B18" s="51" t="s">
        <x:v>34</x:v>
      </x:c>
      <x:c r="C18" s="52" t="e">
        <x:f>实盘持仓配置!G$5</x:f>
        <x:v>#NAME?</x:v>
      </x:c>
      <x:c r="D18" s="52" t="e">
        <x:f>实盘持仓配置!G$5*INDEX('实盘净值数据(iFinD公式)'!G$5:G$60,$G$1)/'实盘净值数据(iFinD公式)'!G$5/$G$3</x:f>
        <x:v>#NAME?</x:v>
      </x:c>
    </x:row>
    <x:row r="19" ht="14.5">
      <x:c r="A19" s="19" t="s">
        <x:v>78</x:v>
      </x:c>
      <x:c r="B19" s="51" t="s">
        <x:v>31</x:v>
      </x:c>
      <x:c r="C19" s="52" t="e">
        <x:f>实盘持仓配置!D$5</x:f>
        <x:v>#NAME?</x:v>
      </x:c>
      <x:c r="D19" s="52" t="e">
        <x:f>实盘持仓配置!D$5*INDEX('实盘净值数据(iFinD公式)'!D$5:D$60,$G$1)/'实盘净值数据(iFinD公式)'!D$5/$G$3</x:f>
        <x:v>#NAME?</x:v>
      </x:c>
    </x:row>
    <x:row r="20" ht="14.5">
      <x:c r="A20" s="19" t="s">
        <x:v>90</x:v>
      </x:c>
      <x:c r="B20" s="51" t="s">
        <x:v>44</x:v>
      </x:c>
      <x:c r="C20" s="52" t="e">
        <x:f>实盘持仓配置!Q$5</x:f>
        <x:v>#NAME?</x:v>
      </x:c>
      <x:c r="D20" s="52" t="e">
        <x:f>实盘持仓配置!Q$5*INDEX('实盘净值数据(iFinD公式)'!Q$5:Q$60,$G$1)/'实盘净值数据(iFinD公式)'!Q$5/$G$3</x:f>
        <x:v>#NAME?</x:v>
      </x:c>
    </x:row>
    <x:row r="21" ht="14.5">
      <x:c r="A21" s="19" t="s">
        <x:v>89</x:v>
      </x:c>
      <x:c r="B21" s="51" t="s">
        <x:v>43</x:v>
      </x:c>
      <x:c r="C21" s="52" t="e">
        <x:f>实盘持仓配置!P$5</x:f>
        <x:v>#NAME?</x:v>
      </x:c>
      <x:c r="D21" s="52" t="e">
        <x:f>实盘持仓配置!P$5*INDEX('实盘净值数据(iFinD公式)'!P$5:P$60,$G$1)/'实盘净值数据(iFinD公式)'!P$5/$G$3</x:f>
        <x:v>#NAME?</x:v>
      </x:c>
    </x:row>
    <x:row r="22" ht="14.5">
      <x:c r="A22" s="19" t="s">
        <x:v>83</x:v>
      </x:c>
      <x:c r="B22" s="51" t="s">
        <x:v>37</x:v>
      </x:c>
      <x:c r="C22" s="52" t="e">
        <x:f>实盘持仓配置!J$5</x:f>
        <x:v>#NAME?</x:v>
      </x:c>
      <x:c r="D22" s="52" t="e">
        <x:f>实盘持仓配置!J$5*INDEX('实盘净值数据(iFinD公式)'!J$5:J$60,$G$1)/'实盘净值数据(iFinD公式)'!J$5/$G$3</x:f>
        <x:v>#NAME?</x:v>
      </x:c>
    </x:row>
    <x:row r="23" ht="14.5">
      <x:c r="A23" s="19" t="s">
        <x:v>77</x:v>
      </x:c>
      <x:c r="B23" s="51" t="s">
        <x:v>30</x:v>
      </x:c>
      <x:c r="C23" s="52" t="e">
        <x:f>实盘持仓配置!C$5</x:f>
        <x:v>#NAME?</x:v>
      </x:c>
      <x:c r="D23" s="52" t="e">
        <x:f>实盘持仓配置!C$5*INDEX('实盘净值数据(iFinD公式)'!C$5:C$60,$G$1)/'实盘净值数据(iFinD公式)'!C$5/$G$3</x:f>
        <x:v>#NAME?</x:v>
      </x:c>
    </x:row>
    <x:row r="24" ht="14.5">
      <x:c r="A24" s="46" t="s">
        <x:v>25</x:v>
      </x:c>
      <x:c r="C24" s="53" t="e">
        <x:f>SUM(C17:C23)</x:f>
        <x:v>#NAME?</x:v>
      </x:c>
      <x:c r="D24" s="53" t="e">
        <x:f>SUM(D17:D23)</x:f>
        <x:v>#NAME?</x:v>
      </x:c>
    </x:row>
    <x:row r="26" ht="14.5">
      <x:c r="A26" s="46" t="s">
        <x:v>206</x:v>
      </x:c>
    </x:row>
    <x:row r="27" ht="14.5">
      <x:c r="A27" s="50" t="s">
        <x:v>1</x:v>
      </x:c>
      <x:c r="B27" s="50" t="s">
        <x:v>28</x:v>
      </x:c>
      <x:c r="C27" s="50" t="s">
        <x:v>201</x:v>
      </x:c>
      <x:c r="D27" s="50" t="s">
        <x:v>202</x:v>
      </x:c>
    </x:row>
    <x:row r="28" ht="14.5">
      <x:c r="A28" s="19" t="s">
        <x:v>207</x:v>
      </x:c>
      <x:c r="B28" s="51" t="s">
        <x:v>48</x:v>
      </x:c>
      <x:c r="C28" s="52" t="e">
        <x:f>实盘持仓配置!U$6</x:f>
        <x:v>#NAME?</x:v>
      </x:c>
      <x:c r="D28" s="52" t="e">
        <x:f>实盘持仓配置!U$6*INDEX('实盘净值数据(iFinD公式)'!U$5:U$60,$G$1)/'实盘净值数据(iFinD公式)'!U$7/$G$4</x:f>
        <x:v>#NAME?</x:v>
      </x:c>
    </x:row>
    <x:row r="29" ht="14.5">
      <x:c r="A29" s="19" t="s">
        <x:v>82</x:v>
      </x:c>
      <x:c r="B29" s="51" t="s">
        <x:v>35</x:v>
      </x:c>
      <x:c r="C29" s="52" t="e">
        <x:f>实盘持仓配置!H$6</x:f>
        <x:v>#NAME?</x:v>
      </x:c>
      <x:c r="D29" s="52" t="e">
        <x:f>实盘持仓配置!H$6*INDEX('实盘净值数据(iFinD公式)'!H$5:H$60,$G$1)/'实盘净值数据(iFinD公式)'!H$7/$G$4</x:f>
        <x:v>#NAME?</x:v>
      </x:c>
    </x:row>
    <x:row r="30" ht="14.5">
      <x:c r="A30" s="19" t="s">
        <x:v>92</x:v>
      </x:c>
      <x:c r="B30" s="51" t="s">
        <x:v>46</x:v>
      </x:c>
      <x:c r="C30" s="52" t="e">
        <x:f>实盘持仓配置!S$6</x:f>
        <x:v>#NAME?</x:v>
      </x:c>
      <x:c r="D30" s="52" t="e">
        <x:f>实盘持仓配置!S$6*INDEX('实盘净值数据(iFinD公式)'!S$5:S$60,$G$1)/'实盘净值数据(iFinD公式)'!S$7/$G$4</x:f>
        <x:v>#NAME?</x:v>
      </x:c>
    </x:row>
    <x:row r="31" ht="14.5">
      <x:c r="A31" s="19" t="s">
        <x:v>91</x:v>
      </x:c>
      <x:c r="B31" s="51" t="s">
        <x:v>45</x:v>
      </x:c>
      <x:c r="C31" s="52" t="e">
        <x:f>实盘持仓配置!R$6</x:f>
        <x:v>#NAME?</x:v>
      </x:c>
      <x:c r="D31" s="52" t="e">
        <x:f>实盘持仓配置!R$6*INDEX('实盘净值数据(iFinD公式)'!R$5:R$60,$G$1)/'实盘净值数据(iFinD公式)'!R$7/$G$4</x:f>
        <x:v>#NAME?</x:v>
      </x:c>
    </x:row>
    <x:row r="32" ht="14">
      <x:c r="A32" t="s">
        <x:v>9</x:v>
      </x:c>
      <x:c r="B32" s="51" t="s">
        <x:v>36</x:v>
      </x:c>
      <x:c r="C32" s="52" t="e">
        <x:f>实盘持仓配置!I$6</x:f>
        <x:v>#NAME?</x:v>
      </x:c>
      <x:c r="D32" s="52" t="e">
        <x:f>实盘持仓配置!I$6*INDEX('实盘净值数据(iFinD公式)'!I$5:I$60,$G$1)/'实盘净值数据(iFinD公式)'!I$7/$G$4</x:f>
        <x:v>#NAME?</x:v>
      </x:c>
    </x:row>
    <x:row r="33" ht="14.5">
      <x:c r="A33" s="19" t="s">
        <x:v>84</x:v>
      </x:c>
      <x:c r="B33" s="51" t="s">
        <x:v>38</x:v>
      </x:c>
      <x:c r="C33" s="52" t="e">
        <x:f>实盘持仓配置!K$6</x:f>
        <x:v>#NAME?</x:v>
      </x:c>
      <x:c r="D33" s="52" t="e">
        <x:f>实盘持仓配置!K$6*INDEX('实盘净值数据(iFinD公式)'!K$5:K$60,$G$1)/'实盘净值数据(iFinD公式)'!K$7/$G$4</x:f>
        <x:v>#NAME?</x:v>
      </x:c>
    </x:row>
    <x:row r="34" ht="14.5">
      <x:c r="A34" s="19" t="s">
        <x:v>77</x:v>
      </x:c>
      <x:c r="B34" s="51" t="s">
        <x:v>30</x:v>
      </x:c>
      <x:c r="C34" s="52" t="e">
        <x:f>实盘持仓配置!C$6</x:f>
        <x:v>#NAME?</x:v>
      </x:c>
      <x:c r="D34" s="52" t="e">
        <x:f>实盘持仓配置!C$6*INDEX('实盘净值数据(iFinD公式)'!C$5:C$60,$G$1)/'实盘净值数据(iFinD公式)'!C$7/$G$4</x:f>
        <x:v>#NAME?</x:v>
      </x:c>
    </x:row>
    <x:row r="35" ht="14.5">
      <x:c r="A35" s="46" t="s">
        <x:v>25</x:v>
      </x:c>
      <x:c r="C35" s="53" t="e">
        <x:f>SUM(C28:C34)</x:f>
        <x:v>#NAME?</x:v>
      </x:c>
      <x:c r="D35" s="53" t="e">
        <x:f>SUM(D28:D34)</x:f>
        <x:v>#NAME?</x:v>
      </x:c>
    </x:row>
  </x:sheetData>
  <x:conditionalFormatting sqref="D6:D12 D17:D23 D28:D34">
    <x:cfRule type="cellIs" dxfId="0" priority="2" operator="greaterThan">
      <x:formula>0.2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9" hidden="0" customWidth="1"/>
    <x:col min="4" max="4" width="14" hidden="0" customWidth="1"/>
    <x:col min="5" max="5" width="14" hidden="0" customWidth="1"/>
    <x:col min="6" max="6" width="15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0.10000000149011612" hidden="0" customWidth="1"/>
    <x:col min="14" max="14" width="0.10000000149011612" hidden="0" customWidth="1"/>
    <x:col min="15" max="15" width="0.10000000149011612" hidden="0" customWidth="1"/>
    <x:col min="16" max="16" width="0.10000000149011612" hidden="0" customWidth="1"/>
    <x:col min="17" max="17" width="0.10000000149011612" hidden="0" customWidth="1"/>
    <x:col min="18" max="18" width="0.10000000149011612" hidden="0" customWidth="1"/>
  </x:cols>
  <x:sheetData>
    <x:row r="1" ht="28" customHeight="1">
      <x:c r="A1" s="68" t="str">
        <x:v>样板间投顾组合 · 偏离度监控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</x:row>
    <x:row r="2" ht="24" customHeight="1">
      <x:c r="A2" s="73" t="str">
        <x:v>净值截止日</x:v>
      </x:c>
      <x:c r="B2" s="74" t="n">
        <x:f>$B$82</x:f>
        <x:v>46241</x:v>
      </x:c>
      <x:c r="C2" s="73" t="str">
        <x:v>权重口径</x:v>
      </x:c>
      <x:c r="D2" s="73" t="str">
        <x:v>上一完整交易日（避免当日净值更新不同步）</x:v>
      </x:c>
      <x:c r="E2" s="73"/>
      <x:c r="F2" s="73"/>
      <x:c r="G2" s="73"/>
      <x:c r="H2" s="73"/>
      <x:c r="I2" s="73" t="str">
        <x:v>配比预警阈值</x:v>
      </x:c>
      <x:c r="J2" s="77" t="n">
        <x:v>0.02</x:v>
      </x:c>
      <x:c r="K2" s="73" t="str">
        <x:v>主动基金上限</x:v>
      </x:c>
      <x:c r="L2" s="77" t="n">
        <x:v>0.2</x:v>
      </x:c>
    </x:row>
    <x:row r="3" ht="28" customHeight="1">
      <x:c r="A3" s="80" t="str">
        <x:v>三个产业趋势组合展示全部最新持仓；10-90（含基石）及30-70的结构偏离按目标配比监控。红色表示超过约束或预警阈值。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</x:row>
    <x:row r="5" ht="21" customHeight="1">
      <x:c r="A5" s="84" t="str">
        <x:v>1. 三个产业趋势组合详细持仓及集中度风险</x:v>
      </x:c>
      <x:c r="B5" s="84"/>
      <x:c r="C5" s="84"/>
      <x:c r="D5" s="84"/>
      <x:c r="E5" s="84"/>
      <x:c r="F5" s="84" t="str">
        <x:v>数据截止日</x:v>
      </x:c>
      <x:c r="G5" s="90" t="n">
        <x:f>$B$82</x:f>
        <x:v>46241</x:v>
      </x:c>
    </x:row>
    <x:row r="6" ht="28" customHeight="1">
      <x:c r="A6" s="96" t="str">
        <x:v>组合</x:v>
      </x:c>
      <x:c r="B6" s="96" t="str">
        <x:v>基金代码</x:v>
      </x:c>
      <x:c r="C6" s="96" t="str">
        <x:v>基金简称</x:v>
      </x:c>
      <x:c r="D6" s="96" t="str">
        <x:v>基金类型</x:v>
      </x:c>
      <x:c r="E6" s="96" t="str">
        <x:v>当前权重</x:v>
      </x:c>
      <x:c r="F6" s="96" t="str">
        <x:v>是否超限</x:v>
      </x:c>
      <x:c r="G6" s="96" t="str">
        <x:v>调仓生效日</x:v>
      </x:c>
    </x:row>
    <x:row r="7">
      <x:c r="A7" s="73" t="str">
        <x:f>IF(B7&lt;&gt;"","产业趋势","")</x:f>
        <x:v>产业趋势</x:v>
      </x:c>
      <x:c r="B7" s="104" t="str">
        <x:f>IFERROR(INDEX($A$53:$A$76,MATCH(1,M$53:M$76,0)),"")</x:f>
        <x:v>000917.OF</x:v>
      </x:c>
      <x:c r="C7" s="104" t="str">
        <x:f>IFERROR(INDEX($B$53:$B$76,MATCH(1,M$53:M$76,0)),"")</x:f>
        <x:v>嘉实快线货币A</x:v>
      </x:c>
      <x:c r="D7" s="104" t="str">
        <x:f>IFERROR(INDEX($E$53:$E$76,MATCH(1,M$53:M$76,0)),"")</x:f>
        <x:v>货币</x:v>
      </x:c>
      <x:c r="E7" s="105" t="n">
        <x:f>IFERROR(INDEX(G$53:G$76,MATCH(1,M$53:M$76,0)),"")</x:f>
        <x:v>0.054338345878986755</x:v>
      </x:c>
      <x:c r="F7" s="104" t="str">
        <x:f>IF(B7="","",IF(D7&lt;&gt;"主动","不适用",IF(E7&gt;$L$2,"超限","正常")))</x:f>
        <x:v>不适用</x:v>
      </x:c>
      <x:c r="G7" s="106" t="n">
        <x:f>IF(B7&lt;&gt;"",G$84,"")</x:f>
        <x:v>46213</x:v>
      </x:c>
    </x:row>
    <x:row r="8">
      <x:c r="A8" s="73" t="str">
        <x:f>IF(B8&lt;&gt;"","产业趋势","")</x:f>
        <x:v>产业趋势</x:v>
      </x:c>
      <x:c r="B8" s="104" t="str">
        <x:f>IFERROR(INDEX($A$53:$A$76,MATCH(2,M$53:M$76,0)),"")</x:f>
        <x:v>001170.OF</x:v>
      </x:c>
      <x:c r="C8" s="104" t="str">
        <x:f>IFERROR(INDEX($B$53:$B$76,MATCH(2,M$53:M$76,0)),"")</x:f>
        <x:v>宏利复兴混合A</x:v>
      </x:c>
      <x:c r="D8" s="104" t="str">
        <x:f>IFERROR(INDEX($E$53:$E$76,MATCH(2,M$53:M$76,0)),"")</x:f>
        <x:v>主动</x:v>
      </x:c>
      <x:c r="E8" s="105" t="n">
        <x:f>IFERROR(INDEX(G$53:G$76,MATCH(2,M$53:M$76,0)),"")</x:f>
        <x:v>0.1681479854041161</x:v>
      </x:c>
      <x:c r="F8" s="104" t="str">
        <x:f>IF(B8="","",IF(D8&lt;&gt;"主动","不适用",IF(E8&gt;$L$2,"超限","正常")))</x:f>
        <x:v>正常</x:v>
      </x:c>
      <x:c r="G8" s="106" t="n">
        <x:f>IF(B8&lt;&gt;"",G$84,"")</x:f>
        <x:v>46213</x:v>
      </x:c>
    </x:row>
    <x:row r="9">
      <x:c r="A9" s="73" t="str">
        <x:f>IF(B9&lt;&gt;"","产业趋势","")</x:f>
        <x:v>产业趋势</x:v>
      </x:c>
      <x:c r="B9" s="104" t="str">
        <x:f>IFERROR(INDEX($A$53:$A$76,MATCH(3,M$53:M$76,0)),"")</x:f>
        <x:v>013840.OF</x:v>
      </x:c>
      <x:c r="C9" s="104" t="str">
        <x:f>IFERROR(INDEX($B$53:$B$76,MATCH(3,M$53:M$76,0)),"")</x:f>
        <x:v>银华集成电路混合A</x:v>
      </x:c>
      <x:c r="D9" s="104" t="str">
        <x:f>IFERROR(INDEX($E$53:$E$76,MATCH(3,M$53:M$76,0)),"")</x:f>
        <x:v>主动</x:v>
      </x:c>
      <x:c r="E9" s="105" t="n">
        <x:f>IFERROR(INDEX(G$53:G$76,MATCH(3,M$53:M$76,0)),"")</x:f>
        <x:v>0.24648996572257403</x:v>
      </x:c>
      <x:c r="F9" s="104" t="str">
        <x:f>IF(B9="","",IF(D9&lt;&gt;"主动","不适用",IF(E9&gt;$L$2,"超限","正常")))</x:f>
        <x:v>超限</x:v>
      </x:c>
      <x:c r="G9" s="106" t="n">
        <x:f>IF(B9&lt;&gt;"",G$84,"")</x:f>
        <x:v>46213</x:v>
      </x:c>
    </x:row>
    <x:row r="10">
      <x:c r="A10" s="73" t="str">
        <x:f>IF(B10&lt;&gt;"","产业趋势","")</x:f>
        <x:v>产业趋势</x:v>
      </x:c>
      <x:c r="B10" s="104" t="str">
        <x:f>IFERROR(INDEX($A$53:$A$76,MATCH(4,M$53:M$76,0)),"")</x:f>
        <x:v>016370.OF</x:v>
      </x:c>
      <x:c r="C10" s="104" t="str">
        <x:f>IFERROR(INDEX($B$53:$B$76,MATCH(4,M$53:M$76,0)),"")</x:f>
        <x:v>信澳业绩驱动A</x:v>
      </x:c>
      <x:c r="D10" s="104" t="str">
        <x:f>IFERROR(INDEX($E$53:$E$76,MATCH(4,M$53:M$76,0)),"")</x:f>
        <x:v>主动</x:v>
      </x:c>
      <x:c r="E10" s="105" t="n">
        <x:f>IFERROR(INDEX(G$53:G$76,MATCH(4,M$53:M$76,0)),"")</x:f>
        <x:v>0.15912488007417924</x:v>
      </x:c>
      <x:c r="F10" s="104" t="str">
        <x:f>IF(B10="","",IF(D10&lt;&gt;"主动","不适用",IF(E10&gt;$L$2,"超限","正常")))</x:f>
        <x:v>正常</x:v>
      </x:c>
      <x:c r="G10" s="106" t="n">
        <x:f>IF(B10&lt;&gt;"",G$84,"")</x:f>
        <x:v>46213</x:v>
      </x:c>
    </x:row>
    <x:row r="11">
      <x:c r="A11" s="73" t="str">
        <x:f>IF(B11&lt;&gt;"","产业趋势","")</x:f>
        <x:v>产业趋势</x:v>
      </x:c>
      <x:c r="B11" s="104" t="str">
        <x:f>IFERROR(INDEX($A$53:$A$76,MATCH(5,M$53:M$76,0)),"")</x:f>
        <x:v>017488.OF</x:v>
      </x:c>
      <x:c r="C11" s="104" t="str">
        <x:f>IFERROR(INDEX($B$53:$B$76,MATCH(5,M$53:M$76,0)),"")</x:f>
        <x:v>嘉实信息产业A</x:v>
      </x:c>
      <x:c r="D11" s="104" t="str">
        <x:f>IFERROR(INDEX($E$53:$E$76,MATCH(5,M$53:M$76,0)),"")</x:f>
        <x:v>主动</x:v>
      </x:c>
      <x:c r="E11" s="105" t="n">
        <x:f>IFERROR(INDEX(G$53:G$76,MATCH(5,M$53:M$76,0)),"")</x:f>
        <x:v>0.17230499151577977</x:v>
      </x:c>
      <x:c r="F11" s="104" t="str">
        <x:f>IF(B11="","",IF(D11&lt;&gt;"主动","不适用",IF(E11&gt;$L$2,"超限","正常")))</x:f>
        <x:v>正常</x:v>
      </x:c>
      <x:c r="G11" s="106" t="n">
        <x:f>IF(B11&lt;&gt;"",G$84,"")</x:f>
        <x:v>46213</x:v>
      </x:c>
    </x:row>
    <x:row r="12">
      <x:c r="A12" s="73" t="str">
        <x:f>IF(B12&lt;&gt;"","产业趋势","")</x:f>
        <x:v>产业趋势</x:v>
      </x:c>
      <x:c r="B12" s="104" t="str">
        <x:f>IFERROR(INDEX($A$53:$A$76,MATCH(6,M$53:M$76,0)),"")</x:f>
        <x:v>019632.OF</x:v>
      </x:c>
      <x:c r="C12" s="104" t="str">
        <x:f>IFERROR(INDEX($B$53:$B$76,MATCH(6,M$53:M$76,0)),"")</x:f>
        <x:v>国泰半导体材料设备ETF联接A</x:v>
      </x:c>
      <x:c r="D12" s="104" t="str">
        <x:f>IFERROR(INDEX($E$53:$E$76,MATCH(6,M$53:M$76,0)),"")</x:f>
        <x:v>指数</x:v>
      </x:c>
      <x:c r="E12" s="105" t="n">
        <x:f>IFERROR(INDEX(G$53:G$76,MATCH(6,M$53:M$76,0)),"")</x:f>
        <x:v>0.1311286607566896</x:v>
      </x:c>
      <x:c r="F12" s="104" t="str">
        <x:f>IF(B12="","",IF(D12&lt;&gt;"主动","不适用",IF(E12&gt;$L$2,"超限","正常")))</x:f>
        <x:v>不适用</x:v>
      </x:c>
      <x:c r="G12" s="106" t="n">
        <x:f>IF(B12&lt;&gt;"",G$84,"")</x:f>
        <x:v>46213</x:v>
      </x:c>
    </x:row>
    <x:row r="13">
      <x:c r="A13" s="73" t="str">
        <x:f>IF(B13&lt;&gt;"","产业趋势","")</x:f>
        <x:v>产业趋势</x:v>
      </x:c>
      <x:c r="B13" s="104" t="str">
        <x:f>IFERROR(INDEX($A$53:$A$76,MATCH(7,M$53:M$76,0)),"")</x:f>
        <x:v>162214.OF</x:v>
      </x:c>
      <x:c r="C13" s="104" t="str">
        <x:f>IFERROR(INDEX($B$53:$B$76,MATCH(7,M$53:M$76,0)),"")</x:f>
        <x:v>宏利领先中小盘混合</x:v>
      </x:c>
      <x:c r="D13" s="104" t="str">
        <x:f>IFERROR(INDEX($E$53:$E$76,MATCH(7,M$53:M$76,0)),"")</x:f>
        <x:v>主动</x:v>
      </x:c>
      <x:c r="E13" s="105" t="n">
        <x:f>IFERROR(INDEX(G$53:G$76,MATCH(7,M$53:M$76,0)),"")</x:f>
        <x:v>0.06846517064767443</x:v>
      </x:c>
      <x:c r="F13" s="104" t="str">
        <x:f>IF(B13="","",IF(D13&lt;&gt;"主动","不适用",IF(E13&gt;$L$2,"超限","正常")))</x:f>
        <x:v>正常</x:v>
      </x:c>
      <x:c r="G13" s="106" t="n">
        <x:f>IF(B13&lt;&gt;"",G$84,"")</x:f>
        <x:v>46213</x:v>
      </x:c>
    </x:row>
    <x:row r="14">
      <x:c r="A14" s="73" t="str">
        <x:f>IF(B14&lt;&gt;"","产业趋势","")</x:f>
      </x:c>
      <x:c r="B14" s="104" t="str">
        <x:f>IFERROR(INDEX($A$53:$A$76,MATCH(8,M$53:M$76,0)),"")</x:f>
      </x:c>
      <x:c r="C14" s="104" t="str">
        <x:f>IFERROR(INDEX($B$53:$B$76,MATCH(8,M$53:M$76,0)),"")</x:f>
      </x:c>
      <x:c r="D14" s="104" t="str">
        <x:f>IFERROR(INDEX($E$53:$E$76,MATCH(8,M$53:M$76,0)),"")</x:f>
      </x:c>
      <x:c r="E14" s="105" t="str">
        <x:f>IFERROR(INDEX(G$53:G$76,MATCH(8,M$53:M$76,0)),"")</x:f>
      </x:c>
      <x:c r="F14" s="104" t="str">
        <x:f>IF(B14="","",IF(D14&lt;&gt;"主动","不适用",IF(E14&gt;$L$2,"超限","正常")))</x:f>
      </x:c>
      <x:c r="G14" s="106" t="str">
        <x:f>IF(B14&lt;&gt;"",G$84,"")</x:f>
      </x:c>
    </x:row>
    <x:row r="15">
      <x:c r="A15" s="73" t="str">
        <x:f>IF(B15&lt;&gt;"","产业趋势基石","")</x:f>
        <x:v>产业趋势基石</x:v>
      </x:c>
      <x:c r="B15" s="104" t="str">
        <x:f>IFERROR(INDEX($A$53:$A$76,MATCH(1,N$53:N$76,0)),"")</x:f>
        <x:v>000917.OF</x:v>
      </x:c>
      <x:c r="C15" s="104" t="str">
        <x:f>IFERROR(INDEX($B$53:$B$76,MATCH(1,N$53:N$76,0)),"")</x:f>
        <x:v>嘉实快线货币A</x:v>
      </x:c>
      <x:c r="D15" s="104" t="str">
        <x:f>IFERROR(INDEX($E$53:$E$76,MATCH(1,N$53:N$76,0)),"")</x:f>
        <x:v>货币</x:v>
      </x:c>
      <x:c r="E15" s="105" t="n">
        <x:f>IFERROR(INDEX(H$53:H$76,MATCH(1,N$53:N$76,0)),"")</x:f>
        <x:v>0.05313303323780936</x:v>
      </x:c>
      <x:c r="F15" s="104" t="str">
        <x:f>IF(B15="","",IF(D15&lt;&gt;"主动","不适用",IF(E15&gt;$L$2,"超限","正常")))</x:f>
        <x:v>不适用</x:v>
      </x:c>
      <x:c r="G15" s="106" t="n">
        <x:f>IF(B15&lt;&gt;"",H$84,"")</x:f>
        <x:v>46213</x:v>
      </x:c>
    </x:row>
    <x:row r="16">
      <x:c r="A16" s="73" t="str">
        <x:f>IF(B16&lt;&gt;"","产业趋势基石","")</x:f>
        <x:v>产业趋势基石</x:v>
      </x:c>
      <x:c r="B16" s="104" t="str">
        <x:f>IFERROR(INDEX($A$53:$A$76,MATCH(2,N$53:N$76,0)),"")</x:f>
        <x:v>001170.OF</x:v>
      </x:c>
      <x:c r="C16" s="104" t="str">
        <x:f>IFERROR(INDEX($B$53:$B$76,MATCH(2,N$53:N$76,0)),"")</x:f>
        <x:v>宏利复兴混合A</x:v>
      </x:c>
      <x:c r="D16" s="104" t="str">
        <x:f>IFERROR(INDEX($E$53:$E$76,MATCH(2,N$53:N$76,0)),"")</x:f>
        <x:v>主动</x:v>
      </x:c>
      <x:c r="E16" s="105" t="n">
        <x:f>IFERROR(INDEX(H$53:H$76,MATCH(2,N$53:N$76,0)),"")</x:f>
        <x:v>0.16972434194387825</x:v>
      </x:c>
      <x:c r="F16" s="104" t="str">
        <x:f>IF(B16="","",IF(D16&lt;&gt;"主动","不适用",IF(E16&gt;$L$2,"超限","正常")))</x:f>
        <x:v>正常</x:v>
      </x:c>
      <x:c r="G16" s="106" t="n">
        <x:f>IF(B16&lt;&gt;"",H$84,"")</x:f>
        <x:v>46213</x:v>
      </x:c>
    </x:row>
    <x:row r="17">
      <x:c r="A17" s="73" t="str">
        <x:f>IF(B17&lt;&gt;"","产业趋势基石","")</x:f>
        <x:v>产业趋势基石</x:v>
      </x:c>
      <x:c r="B17" s="104" t="str">
        <x:f>IFERROR(INDEX($A$53:$A$76,MATCH(3,N$53:N$76,0)),"")</x:f>
        <x:v>013840.OF</x:v>
      </x:c>
      <x:c r="C17" s="104" t="str">
        <x:f>IFERROR(INDEX($B$53:$B$76,MATCH(3,N$53:N$76,0)),"")</x:f>
        <x:v>银华集成电路混合A</x:v>
      </x:c>
      <x:c r="D17" s="104" t="str">
        <x:f>IFERROR(INDEX($E$53:$E$76,MATCH(3,N$53:N$76,0)),"")</x:f>
        <x:v>主动</x:v>
      </x:c>
      <x:c r="E17" s="105" t="n">
        <x:f>IFERROR(INDEX(H$53:H$76,MATCH(3,N$53:N$76,0)),"")</x:f>
        <x:v>0.24475713621132436</x:v>
      </x:c>
      <x:c r="F17" s="104" t="str">
        <x:f>IF(B17="","",IF(D17&lt;&gt;"主动","不适用",IF(E17&gt;$L$2,"超限","正常")))</x:f>
        <x:v>超限</x:v>
      </x:c>
      <x:c r="G17" s="106" t="n">
        <x:f>IF(B17&lt;&gt;"",H$84,"")</x:f>
        <x:v>46213</x:v>
      </x:c>
    </x:row>
    <x:row r="18">
      <x:c r="A18" s="73" t="str">
        <x:f>IF(B18&lt;&gt;"","产业趋势基石","")</x:f>
        <x:v>产业趋势基石</x:v>
      </x:c>
      <x:c r="B18" s="104" t="str">
        <x:f>IFERROR(INDEX($A$53:$A$76,MATCH(4,N$53:N$76,0)),"")</x:f>
        <x:v>016370.OF</x:v>
      </x:c>
      <x:c r="C18" s="104" t="str">
        <x:f>IFERROR(INDEX($B$53:$B$76,MATCH(4,N$53:N$76,0)),"")</x:f>
        <x:v>信澳业绩驱动A</x:v>
      </x:c>
      <x:c r="D18" s="104" t="str">
        <x:f>IFERROR(INDEX($E$53:$E$76,MATCH(4,N$53:N$76,0)),"")</x:f>
        <x:v>主动</x:v>
      </x:c>
      <x:c r="E18" s="105" t="n">
        <x:f>IFERROR(INDEX(H$53:H$76,MATCH(4,N$53:N$76,0)),"")</x:f>
        <x:v>0.15902507905426536</x:v>
      </x:c>
      <x:c r="F18" s="104" t="str">
        <x:f>IF(B18="","",IF(D18&lt;&gt;"主动","不适用",IF(E18&gt;$L$2,"超限","正常")))</x:f>
        <x:v>正常</x:v>
      </x:c>
      <x:c r="G18" s="106" t="n">
        <x:f>IF(B18&lt;&gt;"",H$84,"")</x:f>
        <x:v>46213</x:v>
      </x:c>
    </x:row>
    <x:row r="19">
      <x:c r="A19" s="73" t="str">
        <x:f>IF(B19&lt;&gt;"","产业趋势基石","")</x:f>
        <x:v>产业趋势基石</x:v>
      </x:c>
      <x:c r="B19" s="104" t="str">
        <x:f>IFERROR(INDEX($A$53:$A$76,MATCH(5,N$53:N$76,0)),"")</x:f>
        <x:v>017488.OF</x:v>
      </x:c>
      <x:c r="C19" s="104" t="str">
        <x:f>IFERROR(INDEX($B$53:$B$76,MATCH(5,N$53:N$76,0)),"")</x:f>
        <x:v>嘉实信息产业A</x:v>
      </x:c>
      <x:c r="D19" s="104" t="str">
        <x:f>IFERROR(INDEX($E$53:$E$76,MATCH(5,N$53:N$76,0)),"")</x:f>
        <x:v>主动</x:v>
      </x:c>
      <x:c r="E19" s="105" t="n">
        <x:f>IFERROR(INDEX(H$53:H$76,MATCH(5,N$53:N$76,0)),"")</x:f>
        <x:v>0.17310992190249347</x:v>
      </x:c>
      <x:c r="F19" s="104" t="str">
        <x:f>IF(B19="","",IF(D19&lt;&gt;"主动","不适用",IF(E19&gt;$L$2,"超限","正常")))</x:f>
        <x:v>正常</x:v>
      </x:c>
      <x:c r="G19" s="106" t="n">
        <x:f>IF(B19&lt;&gt;"",H$84,"")</x:f>
        <x:v>46213</x:v>
      </x:c>
    </x:row>
    <x:row r="20">
      <x:c r="A20" s="73" t="str">
        <x:f>IF(B20&lt;&gt;"","产业趋势基石","")</x:f>
        <x:v>产业趋势基石</x:v>
      </x:c>
      <x:c r="B20" s="104" t="str">
        <x:f>IFERROR(INDEX($A$53:$A$76,MATCH(6,N$53:N$76,0)),"")</x:f>
        <x:v>019632.OF</x:v>
      </x:c>
      <x:c r="C20" s="104" t="str">
        <x:f>IFERROR(INDEX($B$53:$B$76,MATCH(6,N$53:N$76,0)),"")</x:f>
        <x:v>国泰半导体材料设备ETF联接A</x:v>
      </x:c>
      <x:c r="D20" s="104" t="str">
        <x:f>IFERROR(INDEX($E$53:$E$76,MATCH(6,N$53:N$76,0)),"")</x:f>
        <x:v>指数</x:v>
      </x:c>
      <x:c r="E20" s="105" t="n">
        <x:f>IFERROR(INDEX(H$53:H$76,MATCH(6,N$53:N$76,0)),"")</x:f>
        <x:v>0.1317750117897416</x:v>
      </x:c>
      <x:c r="F20" s="104" t="str">
        <x:f>IF(B20="","",IF(D20&lt;&gt;"主动","不适用",IF(E20&gt;$L$2,"超限","正常")))</x:f>
        <x:v>不适用</x:v>
      </x:c>
      <x:c r="G20" s="106" t="n">
        <x:f>IF(B20&lt;&gt;"",H$84,"")</x:f>
        <x:v>46213</x:v>
      </x:c>
    </x:row>
    <x:row r="21">
      <x:c r="A21" s="73" t="str">
        <x:f>IF(B21&lt;&gt;"","产业趋势基石","")</x:f>
        <x:v>产业趋势基石</x:v>
      </x:c>
      <x:c r="B21" s="104" t="str">
        <x:f>IFERROR(INDEX($A$53:$A$76,MATCH(7,N$53:N$76,0)),"")</x:f>
        <x:v>162214.OF</x:v>
      </x:c>
      <x:c r="C21" s="104" t="str">
        <x:f>IFERROR(INDEX($B$53:$B$76,MATCH(7,N$53:N$76,0)),"")</x:f>
        <x:v>宏利领先中小盘混合</x:v>
      </x:c>
      <x:c r="D21" s="104" t="str">
        <x:f>IFERROR(INDEX($E$53:$E$76,MATCH(7,N$53:N$76,0)),"")</x:f>
        <x:v>主动</x:v>
      </x:c>
      <x:c r="E21" s="105" t="n">
        <x:f>IFERROR(INDEX(H$53:H$76,MATCH(7,N$53:N$76,0)),"")</x:f>
        <x:v>0.06847547586048766</x:v>
      </x:c>
      <x:c r="F21" s="104" t="str">
        <x:f>IF(B21="","",IF(D21&lt;&gt;"主动","不适用",IF(E21&gt;$L$2,"超限","正常")))</x:f>
        <x:v>正常</x:v>
      </x:c>
      <x:c r="G21" s="106" t="n">
        <x:f>IF(B21&lt;&gt;"",H$84,"")</x:f>
        <x:v>46213</x:v>
      </x:c>
    </x:row>
    <x:row r="22">
      <x:c r="A22" s="73" t="str">
        <x:f>IF(B22&lt;&gt;"","产业趋势基石","")</x:f>
      </x:c>
      <x:c r="B22" s="104" t="str">
        <x:f>IFERROR(INDEX($A$53:$A$76,MATCH(8,N$53:N$76,0)),"")</x:f>
      </x:c>
      <x:c r="C22" s="104" t="str">
        <x:f>IFERROR(INDEX($B$53:$B$76,MATCH(8,N$53:N$76,0)),"")</x:f>
      </x:c>
      <x:c r="D22" s="104" t="str">
        <x:f>IFERROR(INDEX($E$53:$E$76,MATCH(8,N$53:N$76,0)),"")</x:f>
      </x:c>
      <x:c r="E22" s="105" t="str">
        <x:f>IFERROR(INDEX(H$53:H$76,MATCH(8,N$53:N$76,0)),"")</x:f>
      </x:c>
      <x:c r="F22" s="104" t="str">
        <x:f>IF(B22="","",IF(D22&lt;&gt;"主动","不适用",IF(E22&gt;$L$2,"超限","正常")))</x:f>
      </x:c>
      <x:c r="G22" s="106" t="str">
        <x:f>IF(B22&lt;&gt;"",H$84,"")</x:f>
      </x:c>
    </x:row>
    <x:row r="23">
      <x:c r="A23" s="73" t="str">
        <x:f>IF(B23&lt;&gt;"","产业趋势2号","")</x:f>
        <x:v>产业趋势2号</x:v>
      </x:c>
      <x:c r="B23" s="104" t="str">
        <x:f>IFERROR(INDEX($A$53:$A$76,MATCH(1,O$53:O$76,0)),"")</x:f>
        <x:v>000917.OF</x:v>
      </x:c>
      <x:c r="C23" s="104" t="str">
        <x:f>IFERROR(INDEX($B$53:$B$76,MATCH(1,O$53:O$76,0)),"")</x:f>
        <x:v>嘉实快线货币A</x:v>
      </x:c>
      <x:c r="D23" s="104" t="str">
        <x:f>IFERROR(INDEX($E$53:$E$76,MATCH(1,O$53:O$76,0)),"")</x:f>
        <x:v>货币</x:v>
      </x:c>
      <x:c r="E23" s="105" t="n">
        <x:f>IFERROR(INDEX(I$53:I$76,MATCH(1,O$53:O$76,0)),"")</x:f>
        <x:v>0.05128012799377769</x:v>
      </x:c>
      <x:c r="F23" s="104" t="str">
        <x:f>IF(B23="","",IF(D23&lt;&gt;"主动","不适用",IF(E23&gt;$L$2,"超限","正常")))</x:f>
        <x:v>不适用</x:v>
      </x:c>
      <x:c r="G23" s="106" t="n">
        <x:f>IF(B23&lt;&gt;"",I$84,"")</x:f>
        <x:v>46213</x:v>
      </x:c>
    </x:row>
    <x:row r="24">
      <x:c r="A24" s="73" t="str">
        <x:f>IF(B24&lt;&gt;"","产业趋势2号","")</x:f>
        <x:v>产业趋势2号</x:v>
      </x:c>
      <x:c r="B24" s="104" t="str">
        <x:f>IFERROR(INDEX($A$53:$A$76,MATCH(2,O$53:O$76,0)),"")</x:f>
        <x:v>009993.OF</x:v>
      </x:c>
      <x:c r="C24" s="104" t="str">
        <x:f>IFERROR(INDEX($B$53:$B$76,MATCH(2,O$53:O$76,0)),"")</x:f>
        <x:v>嘉实前沿科技创新</x:v>
      </x:c>
      <x:c r="D24" s="104" t="str">
        <x:f>IFERROR(INDEX($E$53:$E$76,MATCH(2,O$53:O$76,0)),"")</x:f>
        <x:v>主动</x:v>
      </x:c>
      <x:c r="E24" s="105" t="n">
        <x:f>IFERROR(INDEX(I$53:I$76,MATCH(2,O$53:O$76,0)),"")</x:f>
        <x:v>0.18643460253095584</x:v>
      </x:c>
      <x:c r="F24" s="104" t="str">
        <x:f>IF(B24="","",IF(D24&lt;&gt;"主动","不适用",IF(E24&gt;$L$2,"超限","正常")))</x:f>
        <x:v>正常</x:v>
      </x:c>
      <x:c r="G24" s="106" t="n">
        <x:f>IF(B24&lt;&gt;"",I$84,"")</x:f>
        <x:v>46213</x:v>
      </x:c>
    </x:row>
    <x:row r="25">
      <x:c r="A25" s="73" t="str">
        <x:f>IF(B25&lt;&gt;"","产业趋势2号","")</x:f>
        <x:v>产业趋势2号</x:v>
      </x:c>
      <x:c r="B25" s="104" t="str">
        <x:f>IFERROR(INDEX($A$53:$A$76,MATCH(3,O$53:O$76,0)),"")</x:f>
        <x:v>013841.OF</x:v>
      </x:c>
      <x:c r="C25" s="104" t="str">
        <x:f>IFERROR(INDEX($B$53:$B$76,MATCH(3,O$53:O$76,0)),"")</x:f>
        <x:v>银华集成电路混合C</x:v>
      </x:c>
      <x:c r="D25" s="104" t="str">
        <x:f>IFERROR(INDEX($E$53:$E$76,MATCH(3,O$53:O$76,0)),"")</x:f>
        <x:v>主动</x:v>
      </x:c>
      <x:c r="E25" s="105" t="n">
        <x:f>IFERROR(INDEX(I$53:I$76,MATCH(3,O$53:O$76,0)),"")</x:f>
        <x:v>0.23333425378822176</x:v>
      </x:c>
      <x:c r="F25" s="104" t="str">
        <x:f>IF(B25="","",IF(D25&lt;&gt;"主动","不适用",IF(E25&gt;$L$2,"超限","正常")))</x:f>
        <x:v>超限</x:v>
      </x:c>
      <x:c r="G25" s="106" t="n">
        <x:f>IF(B25&lt;&gt;"",I$84,"")</x:f>
        <x:v>46213</x:v>
      </x:c>
    </x:row>
    <x:row r="26">
      <x:c r="A26" s="73" t="str">
        <x:f>IF(B26&lt;&gt;"","产业趋势2号","")</x:f>
        <x:v>产业趋势2号</x:v>
      </x:c>
      <x:c r="B26" s="104" t="str">
        <x:f>IFERROR(INDEX($A$53:$A$76,MATCH(4,O$53:O$76,0)),"")</x:f>
        <x:v>017489.OF</x:v>
      </x:c>
      <x:c r="C26" s="104" t="str">
        <x:f>IFERROR(INDEX($B$53:$B$76,MATCH(4,O$53:O$76,0)),"")</x:f>
        <x:v>嘉实信息产业C</x:v>
      </x:c>
      <x:c r="D26" s="104" t="str">
        <x:f>IFERROR(INDEX($E$53:$E$76,MATCH(4,O$53:O$76,0)),"")</x:f>
        <x:v>主动</x:v>
      </x:c>
      <x:c r="E26" s="105" t="n">
        <x:f>IFERROR(INDEX(I$53:I$76,MATCH(4,O$53:O$76,0)),"")</x:f>
        <x:v>0.16814227790813516</x:v>
      </x:c>
      <x:c r="F26" s="104" t="str">
        <x:f>IF(B26="","",IF(D26&lt;&gt;"主动","不适用",IF(E26&gt;$L$2,"超限","正常")))</x:f>
        <x:v>正常</x:v>
      </x:c>
      <x:c r="G26" s="106" t="n">
        <x:f>IF(B26&lt;&gt;"",I$84,"")</x:f>
        <x:v>46213</x:v>
      </x:c>
    </x:row>
    <x:row r="27">
      <x:c r="A27" s="73" t="str">
        <x:f>IF(B27&lt;&gt;"","产业趋势2号","")</x:f>
        <x:v>产业趋势2号</x:v>
      </x:c>
      <x:c r="B27" s="104" t="str">
        <x:f>IFERROR(INDEX($A$53:$A$76,MATCH(5,O$53:O$76,0)),"")</x:f>
        <x:v>017612.OF</x:v>
      </x:c>
      <x:c r="C27" s="104" t="str">
        <x:f>IFERROR(INDEX($B$53:$B$76,MATCH(5,O$53:O$76,0)),"")</x:f>
        <x:v>宏利复兴伟业C</x:v>
      </x:c>
      <x:c r="D27" s="104" t="str">
        <x:f>IFERROR(INDEX($E$53:$E$76,MATCH(5,O$53:O$76,0)),"")</x:f>
        <x:v>主动</x:v>
      </x:c>
      <x:c r="E27" s="105" t="n">
        <x:f>IFERROR(INDEX(I$53:I$76,MATCH(5,O$53:O$76,0)),"")</x:f>
        <x:v>0.16735538109816184</x:v>
      </x:c>
      <x:c r="F27" s="104" t="str">
        <x:f>IF(B27="","",IF(D27&lt;&gt;"主动","不适用",IF(E27&gt;$L$2,"超限","正常")))</x:f>
        <x:v>正常</x:v>
      </x:c>
      <x:c r="G27" s="106" t="n">
        <x:f>IF(B27&lt;&gt;"",I$84,"")</x:f>
        <x:v>46213</x:v>
      </x:c>
    </x:row>
    <x:row r="28">
      <x:c r="A28" s="73" t="str">
        <x:f>IF(B28&lt;&gt;"","产业趋势2号","")</x:f>
        <x:v>产业趋势2号</x:v>
      </x:c>
      <x:c r="B28" s="104" t="str">
        <x:f>IFERROR(INDEX($A$53:$A$76,MATCH(6,O$53:O$76,0)),"")</x:f>
        <x:v>019633.OF</x:v>
      </x:c>
      <x:c r="C28" s="104" t="str">
        <x:f>IFERROR(INDEX($B$53:$B$76,MATCH(6,O$53:O$76,0)),"")</x:f>
        <x:v>国泰半导体材料设备C</x:v>
      </x:c>
      <x:c r="D28" s="104" t="str">
        <x:f>IFERROR(INDEX($E$53:$E$76,MATCH(6,O$53:O$76,0)),"")</x:f>
        <x:v>指数</x:v>
      </x:c>
      <x:c r="E28" s="105" t="n">
        <x:f>IFERROR(INDEX(I$53:I$76,MATCH(6,O$53:O$76,0)),"")</x:f>
        <x:v>0.12507142493000778</x:v>
      </x:c>
      <x:c r="F28" s="104" t="str">
        <x:f>IF(B28="","",IF(D28&lt;&gt;"主动","不适用",IF(E28&gt;$L$2,"超限","正常")))</x:f>
        <x:v>不适用</x:v>
      </x:c>
      <x:c r="G28" s="106" t="n">
        <x:f>IF(B28&lt;&gt;"",I$84,"")</x:f>
        <x:v>46213</x:v>
      </x:c>
    </x:row>
    <x:row r="29">
      <x:c r="A29" s="73" t="str">
        <x:f>IF(B29&lt;&gt;"","产业趋势2号","")</x:f>
        <x:v>产业趋势2号</x:v>
      </x:c>
      <x:c r="B29" s="104" t="str">
        <x:f>IFERROR(INDEX($A$53:$A$76,MATCH(7,O$53:O$76,0)),"")</x:f>
        <x:v>162214.OF</x:v>
      </x:c>
      <x:c r="C29" s="104" t="str">
        <x:f>IFERROR(INDEX($B$53:$B$76,MATCH(7,O$53:O$76,0)),"")</x:f>
        <x:v>宏利领先中小盘混合</x:v>
      </x:c>
      <x:c r="D29" s="104" t="str">
        <x:f>IFERROR(INDEX($E$53:$E$76,MATCH(7,O$53:O$76,0)),"")</x:f>
        <x:v>主动</x:v>
      </x:c>
      <x:c r="E29" s="105" t="n">
        <x:f>IFERROR(INDEX(I$53:I$76,MATCH(7,O$53:O$76,0)),"")</x:f>
        <x:v>0.06838193175074</x:v>
      </x:c>
      <x:c r="F29" s="104" t="str">
        <x:f>IF(B29="","",IF(D29&lt;&gt;"主动","不适用",IF(E29&gt;$L$2,"超限","正常")))</x:f>
        <x:v>正常</x:v>
      </x:c>
      <x:c r="G29" s="106" t="n">
        <x:f>IF(B29&lt;&gt;"",I$84,"")</x:f>
        <x:v>46213</x:v>
      </x:c>
    </x:row>
    <x:row r="30">
      <x:c r="A30" s="73" t="str">
        <x:f>IF(B30&lt;&gt;"","产业趋势2号","")</x:f>
      </x:c>
      <x:c r="B30" s="104" t="str">
        <x:f>IFERROR(INDEX($A$53:$A$76,MATCH(8,O$53:O$76,0)),"")</x:f>
      </x:c>
      <x:c r="C30" s="104" t="str">
        <x:f>IFERROR(INDEX($B$53:$B$76,MATCH(8,O$53:O$76,0)),"")</x:f>
      </x:c>
      <x:c r="D30" s="104" t="str">
        <x:f>IFERROR(INDEX($E$53:$E$76,MATCH(8,O$53:O$76,0)),"")</x:f>
      </x:c>
      <x:c r="E30" s="105" t="str">
        <x:f>IFERROR(INDEX(I$53:I$76,MATCH(8,O$53:O$76,0)),"")</x:f>
      </x:c>
      <x:c r="F30" s="104" t="str">
        <x:f>IF(B30="","",IF(D30&lt;&gt;"主动","不适用",IF(E30&gt;$L$2,"超限","正常")))</x:f>
      </x:c>
      <x:c r="G30" s="106" t="str">
        <x:f>IF(B30&lt;&gt;"",I$84,"")</x:f>
      </x:c>
    </x:row>
    <x:row r="31">
      <x:c r="A31" s="108" t="str">
        <x:v>约束口径：仅“主动”基金适用单只20%上限；主题指数、指增、货币、债券及保障基金不纳入该上限。超限基金整行标红。</x:v>
      </x:c>
      <x:c r="B31" s="108"/>
      <x:c r="C31" s="108"/>
      <x:c r="D31" s="108"/>
      <x:c r="E31" s="108"/>
      <x:c r="F31" s="108"/>
      <x:c r="G31" s="108"/>
    </x:row>
    <x:row r="33" ht="21" customHeight="1">
      <x:c r="A33" s="84" t="str">
        <x:v>2. 组合内部增值 / 生息配比偏离（10-90含基石、30-70）</x:v>
      </x:c>
      <x:c r="B33" s="84"/>
      <x:c r="C33" s="84"/>
      <x:c r="D33" s="84"/>
      <x:c r="E33" s="84"/>
      <x:c r="F33" s="84"/>
      <x:c r="G33" s="84" t="str">
        <x:v>数据截止日</x:v>
      </x:c>
      <x:c r="H33" s="90" t="n">
        <x:f>$B$82</x:f>
        <x:v>46241</x:v>
      </x:c>
    </x:row>
    <x:row r="34" ht="28" customHeight="1">
      <x:c r="A34" s="96" t="str">
        <x:v>组合</x:v>
      </x:c>
      <x:c r="B34" s="96" t="str">
        <x:v>增值目标</x:v>
      </x:c>
      <x:c r="C34" s="96" t="str">
        <x:v>增值当前</x:v>
      </x:c>
      <x:c r="D34" s="96" t="str">
        <x:v>偏离度</x:v>
      </x:c>
      <x:c r="E34" s="96" t="str">
        <x:v>生息目标</x:v>
      </x:c>
      <x:c r="F34" s="96" t="str">
        <x:v>生息当前</x:v>
      </x:c>
      <x:c r="G34" s="96" t="str">
        <x:v>偏离度</x:v>
      </x:c>
      <x:c r="H34" s="96" t="str">
        <x:v>调仓生效日</x:v>
      </x:c>
    </x:row>
    <x:row r="35">
      <x:c r="A35" s="104" t="str">
        <x:v>10-90</x:v>
      </x:c>
      <x:c r="B35" s="105" t="n">
        <x:v>0.1</x:v>
      </x:c>
      <x:c r="C35" s="105" t="n">
        <x:f>SUMIF($C$53:$C$76,"增值",J$53:J$76)</x:f>
        <x:v>0.10448250119070865</x:v>
      </x:c>
      <x:c r="D35" s="110" t="n">
        <x:f>C35-B35</x:f>
        <x:v>0.004482501190708643</x:v>
      </x:c>
      <x:c r="E35" s="105" t="n">
        <x:f>1-B35</x:f>
        <x:v>0.9</x:v>
      </x:c>
      <x:c r="F35" s="105" t="n">
        <x:f>SUMIF($C$53:$C$76,"生息",J$53:J$76)</x:f>
        <x:v>0.8955174988092913</x:v>
      </x:c>
      <x:c r="G35" s="110" t="n">
        <x:f>F35-E35</x:f>
        <x:v>-0.004482501190708699</x:v>
      </x:c>
      <x:c r="H35" s="106" t="n">
        <x:f>J$84</x:f>
        <x:v>46220</x:v>
      </x:c>
    </x:row>
    <x:row r="36">
      <x:c r="A36" s="104" t="str">
        <x:v>10-90基石</x:v>
      </x:c>
      <x:c r="B36" s="105" t="n">
        <x:v>0.1</x:v>
      </x:c>
      <x:c r="C36" s="105" t="n">
        <x:f>SUMIF($C$53:$C$76,"增值",K$53:K$76)</x:f>
        <x:v>0.1057767243871365</x:v>
      </x:c>
      <x:c r="D36" s="110" t="n">
        <x:f>C36-B36</x:f>
        <x:v>0.0057767243871365</x:v>
      </x:c>
      <x:c r="E36" s="105" t="n">
        <x:f>1-B36</x:f>
        <x:v>0.9</x:v>
      </x:c>
      <x:c r="F36" s="105" t="n">
        <x:f>SUMIF($C$53:$C$76,"生息",K$53:K$76)</x:f>
        <x:v>0.8942232756128634</x:v>
      </x:c>
      <x:c r="G36" s="110" t="n">
        <x:f>F36-E36</x:f>
        <x:v>-0.005776724387136611</x:v>
      </x:c>
      <x:c r="H36" s="106" t="n">
        <x:f>K$84</x:f>
        <x:v>46220</x:v>
      </x:c>
    </x:row>
    <x:row r="37">
      <x:c r="A37" s="104" t="str">
        <x:v>30-70</x:v>
      </x:c>
      <x:c r="B37" s="105" t="n">
        <x:v>0.3</x:v>
      </x:c>
      <x:c r="C37" s="105" t="n">
        <x:f>SUMIF($C$53:$C$76,"增值",L$53:L$76)</x:f>
        <x:v>0.3146849648100295</x:v>
      </x:c>
      <x:c r="D37" s="110" t="n">
        <x:f>C37-B37</x:f>
        <x:v>0.01468496481002951</x:v>
      </x:c>
      <x:c r="E37" s="105" t="n">
        <x:f>1-B37</x:f>
        <x:v>0.7</x:v>
      </x:c>
      <x:c r="F37" s="105" t="n">
        <x:f>SUMIF($C$53:$C$76,"生息",L$53:L$76)</x:f>
        <x:v>0.6853150351899706</x:v>
      </x:c>
      <x:c r="G37" s="110" t="n">
        <x:f>F37-E37</x:f>
        <x:v>-0.014684964810029344</x:v>
      </x:c>
      <x:c r="H37" s="106" t="n">
        <x:f>L$84</x:f>
        <x:v>46220</x:v>
      </x:c>
    </x:row>
    <x:row r="38">
      <x:c r="A38" s="107" t="str">
        <x:v>生息含债券、货币及保障类基金；默认预警阈值为±2个百分点，可在J2直接修改。偏离度=当前配比−目标配比。</x:v>
      </x:c>
      <x:c r="B38" s="107"/>
      <x:c r="C38" s="107"/>
      <x:c r="D38" s="107"/>
      <x:c r="E38" s="107"/>
      <x:c r="F38" s="107"/>
      <x:c r="G38" s="107"/>
      <x:c r="H38" s="107"/>
    </x:row>
    <x:row r="40" ht="21" customHeight="1">
      <x:c r="A40" s="84" t="str">
        <x:v>3. 增值部分内部产业趋势 / 指增当前配比</x:v>
      </x:c>
      <x:c r="B40" s="84"/>
      <x:c r="C40" s="84"/>
      <x:c r="D40" s="84" t="str">
        <x:v>数据截止日</x:v>
      </x:c>
      <x:c r="E40" s="90" t="n">
        <x:f>$B$82</x:f>
        <x:v>46241</x:v>
      </x:c>
    </x:row>
    <x:row r="41" ht="28" customHeight="1">
      <x:c r="A41" s="96" t="str">
        <x:v>组合</x:v>
      </x:c>
      <x:c r="B41" s="96" t="str">
        <x:v>产业趋势当前权重</x:v>
      </x:c>
      <x:c r="C41" s="96" t="str">
        <x:v>指增部分当前权重</x:v>
      </x:c>
      <x:c r="D41" s="96" t="str">
        <x:v>增值部分总权重</x:v>
      </x:c>
      <x:c r="E41" s="96" t="str">
        <x:v>调仓生效日</x:v>
      </x:c>
    </x:row>
    <x:row r="42">
      <x:c r="A42" s="104" t="str">
        <x:v>10-90</x:v>
      </x:c>
      <x:c r="B42" s="105" t="n">
        <x:f>IFERROR(SUMIF($D$53:$D$76,"产业趋势",J$53:J$76)/SUMIF($C$53:$C$76,"增值",J$53:J$76),0)</x:f>
        <x:v>0.5070149174580264</x:v>
      </x:c>
      <x:c r="C42" s="105" t="n">
        <x:f>IFERROR(SUMIF($D$53:$D$76,"指增",J$53:J$76)/SUMIF($C$53:$C$76,"增值",J$53:J$76),0)</x:f>
        <x:v>0.4929850825419737</x:v>
      </x:c>
      <x:c r="D42" s="105" t="n">
        <x:f>SUMIF($C$53:$C$76,"增值",J$53:J$76)</x:f>
        <x:v>0.10448250119070865</x:v>
      </x:c>
      <x:c r="E42" s="106" t="n">
        <x:f>J$84</x:f>
        <x:v>46220</x:v>
      </x:c>
    </x:row>
    <x:row r="43">
      <x:c r="A43" s="104" t="str">
        <x:v>10-90基石</x:v>
      </x:c>
      <x:c r="B43" s="105" t="n">
        <x:f>IFERROR(SUMIF($D$53:$D$76,"产业趋势",K$53:K$76)/SUMIF($C$53:$C$76,"增值",K$53:K$76),0)</x:f>
        <x:v>0.5082945167673842</x:v>
      </x:c>
      <x:c r="C43" s="105" t="n">
        <x:f>IFERROR(SUMIF($D$53:$D$76,"指增",K$53:K$76)/SUMIF($C$53:$C$76,"增值",K$53:K$76),0)</x:f>
        <x:v>0.4917054832326157</x:v>
      </x:c>
      <x:c r="D43" s="105" t="n">
        <x:f>SUMIF($C$53:$C$76,"增值",K$53:K$76)</x:f>
        <x:v>0.1057767243871365</x:v>
      </x:c>
      <x:c r="E43" s="106" t="n">
        <x:f>K$84</x:f>
        <x:v>46220</x:v>
      </x:c>
    </x:row>
    <x:row r="44">
      <x:c r="A44" s="104" t="str">
        <x:v>30-70</x:v>
      </x:c>
      <x:c r="B44" s="105" t="n">
        <x:f>IFERROR(SUMIF($D$53:$D$76,"产业趋势",L$53:L$76)/SUMIF($C$53:$C$76,"增值",L$53:L$76),0)</x:f>
        <x:v>0.5109309489308617</x:v>
      </x:c>
      <x:c r="C44" s="105" t="n">
        <x:f>IFERROR(SUMIF($D$53:$D$76,"指增",L$53:L$76)/SUMIF($C$53:$C$76,"增值",L$53:L$76),0)</x:f>
        <x:v>0.48906905106913834</x:v>
      </x:c>
      <x:c r="D44" s="105" t="n">
        <x:f>SUMIF($C$53:$C$76,"增值",L$53:L$76)</x:f>
        <x:v>0.3146849648100295</x:v>
      </x:c>
      <x:c r="E44" s="106" t="n">
        <x:f>L$84</x:f>
        <x:v>46220</x:v>
      </x:c>
    </x:row>
    <x:row r="45">
      <x:c r="A45" s="107" t="str">
        <x:v>产业趋势与指增的当前权重均以“增值部分总权重”为分母。</x:v>
      </x:c>
      <x:c r="B45" s="107"/>
      <x:c r="C45" s="107"/>
      <x:c r="D45" s="107"/>
      <x:c r="E45" s="107"/>
    </x:row>
    <x:row r="47" ht="34" customHeight="1">
      <x:c r="A47" s="114" t="str">
        <x:v>核验：原模板8月10日当日行仅货币基金先更新，最大混频差为0.00044个百分点；改用2026-08-07完整净值后，与系统导出最大残差降至0.00010个百分点（约0.01bp，仅为6位小数舍入）。</x:v>
      </x:c>
      <x:c r="B47" s="114"/>
      <x:c r="C47" s="114"/>
      <x:c r="D47" s="114"/>
      <x:c r="E47" s="114"/>
      <x:c r="F47" s="114"/>
      <x:c r="G47" s="114"/>
      <x:c r="H47" s="114"/>
    </x:row>
    <x:row r="50" ht="21" customHeight="1">
      <x:c r="A50" s="84" t="str">
        <x:v>分类映射与自动计算明细（维护区）</x:v>
      </x:c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</x:row>
    <x:row r="51" ht="24" customHeight="1">
      <x:c r="A51" s="107" t="str">
        <x:v>分类参考《增值_生息+产业趋势_指增.xlsx》；A/C份额继承同一基金分类。000917、009993及部分C份额为现持仓补充映射。</x:v>
      </x:c>
      <x:c r="B51" s="107"/>
      <x:c r="C51" s="107"/>
      <x:c r="D51" s="107"/>
      <x:c r="E51" s="107"/>
      <x:c r="F51" s="107"/>
      <x:c r="G51" s="107"/>
      <x:c r="H51" s="107"/>
      <x:c r="I51" s="107"/>
      <x:c r="J51" s="107"/>
      <x:c r="K51" s="107"/>
      <x:c r="L51" s="107"/>
    </x:row>
    <x:row r="52" ht="28" customHeight="1">
      <x:c r="A52" s="96" t="str">
        <x:v>基金代码</x:v>
      </x:c>
      <x:c r="B52" s="96" t="str">
        <x:v>基金简称</x:v>
      </x:c>
      <x:c r="C52" s="96" t="str">
        <x:v>大类</x:v>
      </x:c>
      <x:c r="D52" s="96" t="str">
        <x:v>增值细分</x:v>
      </x:c>
      <x:c r="E52" s="96" t="str">
        <x:v>管理方式</x:v>
      </x:c>
      <x:c r="F52" s="96" t="str">
        <x:v>分类依据</x:v>
      </x:c>
      <x:c r="G52" s="96" t="str">
        <x:v>产业趋势</x:v>
      </x:c>
      <x:c r="H52" s="96" t="str">
        <x:v>产业趋势基石</x:v>
      </x:c>
      <x:c r="I52" s="96" t="str">
        <x:v>产业趋势2号</x:v>
      </x:c>
      <x:c r="J52" s="96" t="str">
        <x:v>10-90</x:v>
      </x:c>
      <x:c r="K52" s="96" t="str">
        <x:v>10-90基石</x:v>
      </x:c>
      <x:c r="L52" s="96" t="str">
        <x:v>30-70</x:v>
      </x:c>
    </x:row>
    <x:row r="53">
      <x:c r="A53" s="104" t="str">
        <x:v>000216.OF</x:v>
      </x:c>
      <x:c r="B53" s="99" t="str">
        <x:v>华安黄金ETF联接A</x:v>
      </x:c>
      <x:c r="C53" s="104" t="str">
        <x:v>生息</x:v>
      </x:c>
      <x:c r="D53" s="104" t="str">
        <x:v>-</x:v>
      </x:c>
      <x:c r="E53" s="104" t="str">
        <x:v>保障</x:v>
      </x:c>
      <x:c r="F53" s="104" t="str">
        <x:v>债券&amp;保障池子（保障）</x:v>
      </x:c>
      <x:c r="G53" s="105" t="n">
        <x:f>IFERROR(INDEX('分期持仓明细'!$B$5:$Y$200,G$82-4,MATCH(LEFT($A53,6),'分期持仓明细'!$B$3:$Y$3,0))*INDEX('实盘净值数据(iFinD公式)'!$B$5:$Y$1000,$B$81,MATCH($A53,'实盘净值数据(iFinD公式)'!$B$3:$Y$3,0))/INDEX('实盘净值数据(iFinD公式)'!$B$5:$Y$1000,MATCH(G$84,'实盘净值数据(iFinD公式)'!$A$5:$A$1000,0),MATCH($A53,'实盘净值数据(iFinD公式)'!$B$3:$Y$3,0))/G$85,G89)</x:f>
        <x:v>0</x:v>
      </x:c>
      <x:c r="H53" s="105" t="n">
        <x:f>IFERROR(INDEX('分期持仓明细'!$B$5:$Y$200,H$82-4,MATCH(LEFT($A53,6),'分期持仓明细'!$B$3:$Y$3,0))*INDEX('实盘净值数据(iFinD公式)'!$B$5:$Y$1000,$B$81,MATCH($A53,'实盘净值数据(iFinD公式)'!$B$3:$Y$3,0))/INDEX('实盘净值数据(iFinD公式)'!$B$5:$Y$1000,MATCH(H$84,'实盘净值数据(iFinD公式)'!$A$5:$A$1000,0),MATCH($A53,'实盘净值数据(iFinD公式)'!$B$3:$Y$3,0))/H$85,H89)</x:f>
        <x:v>0</x:v>
      </x:c>
      <x:c r="I53" s="105" t="n">
        <x:f>IFERROR(INDEX('分期持仓明细'!$B$5:$Y$200,I$82-4,MATCH(LEFT($A53,6),'分期持仓明细'!$B$3:$Y$3,0))*INDEX('实盘净值数据(iFinD公式)'!$B$5:$Y$1000,$B$81,MATCH($A53,'实盘净值数据(iFinD公式)'!$B$3:$Y$3,0))/INDEX('实盘净值数据(iFinD公式)'!$B$5:$Y$1000,MATCH(I$84,'实盘净值数据(iFinD公式)'!$A$5:$A$1000,0),MATCH($A53,'实盘净值数据(iFinD公式)'!$B$3:$Y$3,0))/I$85,I89)</x:f>
        <x:v>0</x:v>
      </x:c>
      <x:c r="J53" s="105" t="n">
        <x:f>IFERROR(INDEX('分期持仓明细'!$B$5:$Y$200,J$82-4,MATCH(LEFT($A53,6),'分期持仓明细'!$B$3:$Y$3,0))*INDEX('实盘净值数据(iFinD公式)'!$B$5:$Y$1000,$B$81,MATCH($A53,'实盘净值数据(iFinD公式)'!$B$3:$Y$3,0))/INDEX('实盘净值数据(iFinD公式)'!$B$5:$Y$1000,MATCH(J$84,'实盘净值数据(iFinD公式)'!$A$5:$A$1000,0),MATCH($A53,'实盘净值数据(iFinD公式)'!$B$3:$Y$3,0))/J$85,J89)</x:f>
        <x:v>0.05414347447224511</x:v>
      </x:c>
      <x:c r="K53" s="105" t="n">
        <x:f>IFERROR(INDEX('分期持仓明细'!$B$5:$Y$200,K$82-4,MATCH(LEFT($A53,6),'分期持仓明细'!$B$3:$Y$3,0))*INDEX('实盘净值数据(iFinD公式)'!$B$5:$Y$1000,$B$81,MATCH($A53,'实盘净值数据(iFinD公式)'!$B$3:$Y$3,0))/INDEX('实盘净值数据(iFinD公式)'!$B$5:$Y$1000,MATCH(K$84,'实盘净值数据(iFinD公式)'!$A$5:$A$1000,0),MATCH($A53,'实盘净值数据(iFinD公式)'!$B$3:$Y$3,0))/K$85,K89)</x:f>
        <x:v>0.051794493820263125</x:v>
      </x:c>
      <x:c r="L53" s="105" t="n">
        <x:f>IFERROR(INDEX('分期持仓明细'!$B$5:$Y$200,L$82-4,MATCH(LEFT($A53,6),'分期持仓明细'!$B$3:$Y$3,0))*INDEX('实盘净值数据(iFinD公式)'!$B$5:$Y$1000,$B$81,MATCH($A53,'实盘净值数据(iFinD公式)'!$B$3:$Y$3,0))/INDEX('实盘净值数据(iFinD公式)'!$B$5:$Y$1000,MATCH(L$84,'实盘净值数据(iFinD公式)'!$A$5:$A$1000,0),MATCH($A53,'实盘净值数据(iFinD公式)'!$B$3:$Y$3,0))/L$85,L89)</x:f>
        <x:v>0.10785060309605504</x:v>
      </x:c>
      <x:c r="M53" t="str">
        <x:f>IF(G53&gt;0,COUNTIF(G$53:G53,"&gt;0"),"")</x:f>
      </x:c>
      <x:c r="N53" t="str">
        <x:f>IF(H53&gt;0,COUNTIF(H$53:H53,"&gt;0"),"")</x:f>
      </x:c>
      <x:c r="O53" t="str">
        <x:f>IF(I53&gt;0,COUNTIF(I$53:I53,"&gt;0"),"")</x:f>
      </x:c>
      <x:c r="P53" t="n">
        <x:f>IF(J53&gt;0,COUNTIF(J$53:J53,"&gt;0"),"")</x:f>
        <x:v>1</x:v>
      </x:c>
      <x:c r="Q53" t="n">
        <x:f>IF(K53&gt;0,COUNTIF(K$53:K53,"&gt;0"),"")</x:f>
        <x:v>1</x:v>
      </x:c>
      <x:c r="R53" t="n">
        <x:f>IF(L53&gt;0,COUNTIF(L$53:L53,"&gt;0"),"")</x:f>
        <x:v>1</x:v>
      </x:c>
    </x:row>
    <x:row r="54">
      <x:c r="A54" s="104" t="str">
        <x:v>000917.OF</x:v>
      </x:c>
      <x:c r="B54" s="99" t="str">
        <x:v>嘉实快线货币A</x:v>
      </x:c>
      <x:c r="C54" s="104" t="str">
        <x:v>生息</x:v>
      </x:c>
      <x:c r="D54" s="104" t="str">
        <x:v>-</x:v>
      </x:c>
      <x:c r="E54" s="104" t="str">
        <x:v>货币</x:v>
      </x:c>
      <x:c r="F54" s="104" t="str">
        <x:v>现持仓补充</x:v>
      </x:c>
      <x:c r="G54" s="105" t="n">
        <x:f>IFERROR(INDEX('分期持仓明细'!$B$5:$Y$200,G$82-4,MATCH(LEFT($A54,6),'分期持仓明细'!$B$3:$Y$3,0))*INDEX('实盘净值数据(iFinD公式)'!$B$5:$Y$1000,$B$81,MATCH($A54,'实盘净值数据(iFinD公式)'!$B$3:$Y$3,0))/INDEX('实盘净值数据(iFinD公式)'!$B$5:$Y$1000,MATCH(G$84,'实盘净值数据(iFinD公式)'!$A$5:$A$1000,0),MATCH($A54,'实盘净值数据(iFinD公式)'!$B$3:$Y$3,0))/G$85,G90)</x:f>
        <x:v>0.054338345878986755</x:v>
      </x:c>
      <x:c r="H54" s="105" t="n">
        <x:f>IFERROR(INDEX('分期持仓明细'!$B$5:$Y$200,H$82-4,MATCH(LEFT($A54,6),'分期持仓明细'!$B$3:$Y$3,0))*INDEX('实盘净值数据(iFinD公式)'!$B$5:$Y$1000,$B$81,MATCH($A54,'实盘净值数据(iFinD公式)'!$B$3:$Y$3,0))/INDEX('实盘净值数据(iFinD公式)'!$B$5:$Y$1000,MATCH(H$84,'实盘净值数据(iFinD公式)'!$A$5:$A$1000,0),MATCH($A54,'实盘净值数据(iFinD公式)'!$B$3:$Y$3,0))/H$85,H90)</x:f>
        <x:v>0.05313303323780936</x:v>
      </x:c>
      <x:c r="I54" s="105" t="n">
        <x:f>IFERROR(INDEX('分期持仓明细'!$B$5:$Y$200,I$82-4,MATCH(LEFT($A54,6),'分期持仓明细'!$B$3:$Y$3,0))*INDEX('实盘净值数据(iFinD公式)'!$B$5:$Y$1000,$B$81,MATCH($A54,'实盘净值数据(iFinD公式)'!$B$3:$Y$3,0))/INDEX('实盘净值数据(iFinD公式)'!$B$5:$Y$1000,MATCH(I$84,'实盘净值数据(iFinD公式)'!$A$5:$A$1000,0),MATCH($A54,'实盘净值数据(iFinD公式)'!$B$3:$Y$3,0))/I$85,I90)</x:f>
        <x:v>0.05128012799377769</x:v>
      </x:c>
      <x:c r="J54" s="105" t="n">
        <x:f>IFERROR(INDEX('分期持仓明细'!$B$5:$Y$200,J$82-4,MATCH(LEFT($A54,6),'分期持仓明细'!$B$3:$Y$3,0))*INDEX('实盘净值数据(iFinD公式)'!$B$5:$Y$1000,$B$81,MATCH($A54,'实盘净值数据(iFinD公式)'!$B$3:$Y$3,0))/INDEX('实盘净值数据(iFinD公式)'!$B$5:$Y$1000,MATCH(J$84,'实盘净值数据(iFinD公式)'!$A$5:$A$1000,0),MATCH($A54,'实盘净值数据(iFinD公式)'!$B$3:$Y$3,0))/J$85,J90)</x:f>
        <x:v>0.043923928891400975</x:v>
      </x:c>
      <x:c r="K54" s="105" t="n">
        <x:f>IFERROR(INDEX('分期持仓明细'!$B$5:$Y$200,K$82-4,MATCH(LEFT($A54,6),'分期持仓明细'!$B$3:$Y$3,0))*INDEX('实盘净值数据(iFinD公式)'!$B$5:$Y$1000,$B$81,MATCH($A54,'实盘净值数据(iFinD公式)'!$B$3:$Y$3,0))/INDEX('实盘净值数据(iFinD公式)'!$B$5:$Y$1000,MATCH(K$84,'实盘净值数据(iFinD公式)'!$A$5:$A$1000,0),MATCH($A54,'实盘净值数据(iFinD公式)'!$B$3:$Y$3,0))/K$85,K90)</x:f>
        <x:v>0.04395376124085798</x:v>
      </x:c>
      <x:c r="L54" s="105" t="n">
        <x:f>IFERROR(INDEX('分期持仓明细'!$B$5:$Y$200,L$82-4,MATCH(LEFT($A54,6),'分期持仓明细'!$B$3:$Y$3,0))*INDEX('实盘净值数据(iFinD公式)'!$B$5:$Y$1000,$B$81,MATCH($A54,'实盘净值数据(iFinD公式)'!$B$3:$Y$3,0))/INDEX('实盘净值数据(iFinD公式)'!$B$5:$Y$1000,MATCH(L$84,'实盘净值数据(iFinD公式)'!$A$5:$A$1000,0),MATCH($A54,'实盘净值数据(iFinD公式)'!$B$3:$Y$3,0))/L$85,L90)</x:f>
        <x:v>0.08530437206808822</x:v>
      </x:c>
      <x:c r="M54" t="n">
        <x:f>IF(G54&gt;0,COUNTIF(G$53:G54,"&gt;0"),"")</x:f>
        <x:v>1</x:v>
      </x:c>
      <x:c r="N54" t="n">
        <x:f>IF(H54&gt;0,COUNTIF(H$53:H54,"&gt;0"),"")</x:f>
        <x:v>1</x:v>
      </x:c>
      <x:c r="O54" t="n">
        <x:f>IF(I54&gt;0,COUNTIF(I$53:I54,"&gt;0"),"")</x:f>
        <x:v>1</x:v>
      </x:c>
      <x:c r="P54" t="n">
        <x:f>IF(J54&gt;0,COUNTIF(J$53:J54,"&gt;0"),"")</x:f>
        <x:v>2</x:v>
      </x:c>
      <x:c r="Q54" t="n">
        <x:f>IF(K54&gt;0,COUNTIF(K$53:K54,"&gt;0"),"")</x:f>
        <x:v>2</x:v>
      </x:c>
      <x:c r="R54" t="n">
        <x:f>IF(L54&gt;0,COUNTIF(L$53:L54,"&gt;0"),"")</x:f>
        <x:v>2</x:v>
      </x:c>
    </x:row>
    <x:row r="55">
      <x:c r="A55" s="104" t="str">
        <x:v>001170.OF</x:v>
      </x:c>
      <x:c r="B55" s="99" t="str">
        <x:v>宏利复兴混合A</x:v>
      </x:c>
      <x:c r="C55" s="104" t="str">
        <x:v>增值</x:v>
      </x:c>
      <x:c r="D55" s="104" t="str">
        <x:v>产业趋势</x:v>
      </x:c>
      <x:c r="E55" s="104" t="str">
        <x:v>主动</x:v>
      </x:c>
      <x:c r="F55" s="104" t="str">
        <x:v>产业趋势产品池</x:v>
      </x:c>
      <x:c r="G55" s="105" t="n">
        <x:f>IFERROR(INDEX('分期持仓明细'!$B$5:$Y$200,G$82-4,MATCH(LEFT($A55,6),'分期持仓明细'!$B$3:$Y$3,0))*INDEX('实盘净值数据(iFinD公式)'!$B$5:$Y$1000,$B$81,MATCH($A55,'实盘净值数据(iFinD公式)'!$B$3:$Y$3,0))/INDEX('实盘净值数据(iFinD公式)'!$B$5:$Y$1000,MATCH(G$84,'实盘净值数据(iFinD公式)'!$A$5:$A$1000,0),MATCH($A55,'实盘净值数据(iFinD公式)'!$B$3:$Y$3,0))/G$85,G91)</x:f>
        <x:v>0.1681479854041161</x:v>
      </x:c>
      <x:c r="H55" s="105" t="n">
        <x:f>IFERROR(INDEX('分期持仓明细'!$B$5:$Y$200,H$82-4,MATCH(LEFT($A55,6),'分期持仓明细'!$B$3:$Y$3,0))*INDEX('实盘净值数据(iFinD公式)'!$B$5:$Y$1000,$B$81,MATCH($A55,'实盘净值数据(iFinD公式)'!$B$3:$Y$3,0))/INDEX('实盘净值数据(iFinD公式)'!$B$5:$Y$1000,MATCH(H$84,'实盘净值数据(iFinD公式)'!$A$5:$A$1000,0),MATCH($A55,'实盘净值数据(iFinD公式)'!$B$3:$Y$3,0))/H$85,H91)</x:f>
        <x:v>0.16972434194387825</x:v>
      </x:c>
      <x:c r="I55" s="105" t="n">
        <x:f>IFERROR(INDEX('分期持仓明细'!$B$5:$Y$200,I$82-4,MATCH(LEFT($A55,6),'分期持仓明细'!$B$3:$Y$3,0))*INDEX('实盘净值数据(iFinD公式)'!$B$5:$Y$1000,$B$81,MATCH($A55,'实盘净值数据(iFinD公式)'!$B$3:$Y$3,0))/INDEX('实盘净值数据(iFinD公式)'!$B$5:$Y$1000,MATCH(I$84,'实盘净值数据(iFinD公式)'!$A$5:$A$1000,0),MATCH($A55,'实盘净值数据(iFinD公式)'!$B$3:$Y$3,0))/I$85,I91)</x:f>
        <x:v>0</x:v>
      </x:c>
      <x:c r="J55" s="105" t="n">
        <x:f>IFERROR(INDEX('分期持仓明细'!$B$5:$Y$200,J$82-4,MATCH(LEFT($A55,6),'分期持仓明细'!$B$3:$Y$3,0))*INDEX('实盘净值数据(iFinD公式)'!$B$5:$Y$1000,$B$81,MATCH($A55,'实盘净值数据(iFinD公式)'!$B$3:$Y$3,0))/INDEX('实盘净值数据(iFinD公式)'!$B$5:$Y$1000,MATCH(J$84,'实盘净值数据(iFinD公式)'!$A$5:$A$1000,0),MATCH($A55,'实盘净值数据(iFinD公式)'!$B$3:$Y$3,0))/J$85,J91)</x:f>
        <x:v>0</x:v>
      </x:c>
      <x:c r="K55" s="105" t="n">
        <x:f>IFERROR(INDEX('分期持仓明细'!$B$5:$Y$200,K$82-4,MATCH(LEFT($A55,6),'分期持仓明细'!$B$3:$Y$3,0))*INDEX('实盘净值数据(iFinD公式)'!$B$5:$Y$1000,$B$81,MATCH($A55,'实盘净值数据(iFinD公式)'!$B$3:$Y$3,0))/INDEX('实盘净值数据(iFinD公式)'!$B$5:$Y$1000,MATCH(K$84,'实盘净值数据(iFinD公式)'!$A$5:$A$1000,0),MATCH($A55,'实盘净值数据(iFinD公式)'!$B$3:$Y$3,0))/K$85,K91)</x:f>
        <x:v>0.0087369099448945</x:v>
      </x:c>
      <x:c r="L55" s="105" t="n">
        <x:f>IFERROR(INDEX('分期持仓明细'!$B$5:$Y$200,L$82-4,MATCH(LEFT($A55,6),'分期持仓明细'!$B$3:$Y$3,0))*INDEX('实盘净值数据(iFinD公式)'!$B$5:$Y$1000,$B$81,MATCH($A55,'实盘净值数据(iFinD公式)'!$B$3:$Y$3,0))/INDEX('实盘净值数据(iFinD公式)'!$B$5:$Y$1000,MATCH(L$84,'实盘净值数据(iFinD公式)'!$A$5:$A$1000,0),MATCH($A55,'实盘净值数据(iFinD公式)'!$B$3:$Y$3,0))/L$85,L91)</x:f>
        <x:v>0</x:v>
      </x:c>
      <x:c r="M55" t="n">
        <x:f>IF(G55&gt;0,COUNTIF(G$53:G55,"&gt;0"),"")</x:f>
        <x:v>2</x:v>
      </x:c>
      <x:c r="N55" t="n">
        <x:f>IF(H55&gt;0,COUNTIF(H$53:H55,"&gt;0"),"")</x:f>
        <x:v>2</x:v>
      </x:c>
      <x:c r="O55" t="str">
        <x:f>IF(I55&gt;0,COUNTIF(I$53:I55,"&gt;0"),"")</x:f>
      </x:c>
      <x:c r="P55" t="str">
        <x:f>IF(J55&gt;0,COUNTIF(J$53:J55,"&gt;0"),"")</x:f>
      </x:c>
      <x:c r="Q55" t="n">
        <x:f>IF(K55&gt;0,COUNTIF(K$53:K55,"&gt;0"),"")</x:f>
        <x:v>3</x:v>
      </x:c>
      <x:c r="R55" t="str">
        <x:f>IF(L55&gt;0,COUNTIF(L$53:L55,"&gt;0"),"")</x:f>
      </x:c>
    </x:row>
    <x:row r="56">
      <x:c r="A56" s="104" t="str">
        <x:v>007044.OF</x:v>
      </x:c>
      <x:c r="B56" s="99" t="str">
        <x:v>博道沪深300增强A</x:v>
      </x:c>
      <x:c r="C56" s="104" t="str">
        <x:v>增值</x:v>
      </x:c>
      <x:c r="D56" s="104" t="str">
        <x:v>指增</x:v>
      </x:c>
      <x:c r="E56" s="104" t="str">
        <x:v>指增</x:v>
      </x:c>
      <x:c r="F56" s="104" t="str">
        <x:v>宽基&amp;指增池</x:v>
      </x:c>
      <x:c r="G56" s="105" t="n">
        <x:f>IFERROR(INDEX('分期持仓明细'!$B$5:$Y$200,G$82-4,MATCH(LEFT($A56,6),'分期持仓明细'!$B$3:$Y$3,0))*INDEX('实盘净值数据(iFinD公式)'!$B$5:$Y$1000,$B$81,MATCH($A56,'实盘净值数据(iFinD公式)'!$B$3:$Y$3,0))/INDEX('实盘净值数据(iFinD公式)'!$B$5:$Y$1000,MATCH(G$84,'实盘净值数据(iFinD公式)'!$A$5:$A$1000,0),MATCH($A56,'实盘净值数据(iFinD公式)'!$B$3:$Y$3,0))/G$85,G92)</x:f>
        <x:v>0</x:v>
      </x:c>
      <x:c r="H56" s="105" t="n">
        <x:f>IFERROR(INDEX('分期持仓明细'!$B$5:$Y$200,H$82-4,MATCH(LEFT($A56,6),'分期持仓明细'!$B$3:$Y$3,0))*INDEX('实盘净值数据(iFinD公式)'!$B$5:$Y$1000,$B$81,MATCH($A56,'实盘净值数据(iFinD公式)'!$B$3:$Y$3,0))/INDEX('实盘净值数据(iFinD公式)'!$B$5:$Y$1000,MATCH(H$84,'实盘净值数据(iFinD公式)'!$A$5:$A$1000,0),MATCH($A56,'实盘净值数据(iFinD公式)'!$B$3:$Y$3,0))/H$85,H92)</x:f>
        <x:v>0</x:v>
      </x:c>
      <x:c r="I56" s="105" t="n">
        <x:f>IFERROR(INDEX('分期持仓明细'!$B$5:$Y$200,I$82-4,MATCH(LEFT($A56,6),'分期持仓明细'!$B$3:$Y$3,0))*INDEX('实盘净值数据(iFinD公式)'!$B$5:$Y$1000,$B$81,MATCH($A56,'实盘净值数据(iFinD公式)'!$B$3:$Y$3,0))/INDEX('实盘净值数据(iFinD公式)'!$B$5:$Y$1000,MATCH(I$84,'实盘净值数据(iFinD公式)'!$A$5:$A$1000,0),MATCH($A56,'实盘净值数据(iFinD公式)'!$B$3:$Y$3,0))/I$85,I92)</x:f>
        <x:v>0</x:v>
      </x:c>
      <x:c r="J56" s="105" t="n">
        <x:f>IFERROR(INDEX('分期持仓明细'!$B$5:$Y$200,J$82-4,MATCH(LEFT($A56,6),'分期持仓明细'!$B$3:$Y$3,0))*INDEX('实盘净值数据(iFinD公式)'!$B$5:$Y$1000,$B$81,MATCH($A56,'实盘净值数据(iFinD公式)'!$B$3:$Y$3,0))/INDEX('实盘净值数据(iFinD公式)'!$B$5:$Y$1000,MATCH(J$84,'实盘净值数据(iFinD公式)'!$A$5:$A$1000,0),MATCH($A56,'实盘净值数据(iFinD公式)'!$B$3:$Y$3,0))/J$85,J92)</x:f>
        <x:v>0</x:v>
      </x:c>
      <x:c r="K56" s="105" t="n">
        <x:f>IFERROR(INDEX('分期持仓明细'!$B$5:$Y$200,K$82-4,MATCH(LEFT($A56,6),'分期持仓明细'!$B$3:$Y$3,0))*INDEX('实盘净值数据(iFinD公式)'!$B$5:$Y$1000,$B$81,MATCH($A56,'实盘净值数据(iFinD公式)'!$B$3:$Y$3,0))/INDEX('实盘净值数据(iFinD公式)'!$B$5:$Y$1000,MATCH(K$84,'实盘净值数据(iFinD公式)'!$A$5:$A$1000,0),MATCH($A56,'实盘净值数据(iFinD公式)'!$B$3:$Y$3,0))/K$85,K92)</x:f>
        <x:v>0.0128975499557758</x:v>
      </x:c>
      <x:c r="L56" s="105" t="n">
        <x:f>IFERROR(INDEX('分期持仓明细'!$B$5:$Y$200,L$82-4,MATCH(LEFT($A56,6),'分期持仓明细'!$B$3:$Y$3,0))*INDEX('实盘净值数据(iFinD公式)'!$B$5:$Y$1000,$B$81,MATCH($A56,'实盘净值数据(iFinD公式)'!$B$3:$Y$3,0))/INDEX('实盘净值数据(iFinD公式)'!$B$5:$Y$1000,MATCH(L$84,'实盘净值数据(iFinD公式)'!$A$5:$A$1000,0),MATCH($A56,'实盘净值数据(iFinD公式)'!$B$3:$Y$3,0))/L$85,L92)</x:f>
        <x:v>0</x:v>
      </x:c>
      <x:c r="M56" t="str">
        <x:f>IF(G56&gt;0,COUNTIF(G$53:G56,"&gt;0"),"")</x:f>
      </x:c>
      <x:c r="N56" t="str">
        <x:f>IF(H56&gt;0,COUNTIF(H$53:H56,"&gt;0"),"")</x:f>
      </x:c>
      <x:c r="O56" t="str">
        <x:f>IF(I56&gt;0,COUNTIF(I$53:I56,"&gt;0"),"")</x:f>
      </x:c>
      <x:c r="P56" t="str">
        <x:f>IF(J56&gt;0,COUNTIF(J$53:J56,"&gt;0"),"")</x:f>
      </x:c>
      <x:c r="Q56" t="n">
        <x:f>IF(K56&gt;0,COUNTIF(K$53:K56,"&gt;0"),"")</x:f>
        <x:v>4</x:v>
      </x:c>
      <x:c r="R56" t="str">
        <x:f>IF(L56&gt;0,COUNTIF(L$53:L56,"&gt;0"),"")</x:f>
      </x:c>
    </x:row>
    <x:row r="57">
      <x:c r="A57" s="104" t="str">
        <x:v>007045.OF</x:v>
      </x:c>
      <x:c r="B57" s="99" t="str">
        <x:v>博道沪深300指增C</x:v>
      </x:c>
      <x:c r="C57" s="104" t="str">
        <x:v>增值</x:v>
      </x:c>
      <x:c r="D57" s="104" t="str">
        <x:v>指增</x:v>
      </x:c>
      <x:c r="E57" s="104" t="str">
        <x:v>指增</x:v>
      </x:c>
      <x:c r="F57" s="104" t="str">
        <x:v>同基金A/C</x:v>
      </x:c>
      <x:c r="G57" s="105" t="n">
        <x:f>IFERROR(INDEX('分期持仓明细'!$B$5:$Y$200,G$82-4,MATCH(LEFT($A57,6),'分期持仓明细'!$B$3:$Y$3,0))*INDEX('实盘净值数据(iFinD公式)'!$B$5:$Y$1000,$B$81,MATCH($A57,'实盘净值数据(iFinD公式)'!$B$3:$Y$3,0))/INDEX('实盘净值数据(iFinD公式)'!$B$5:$Y$1000,MATCH(G$84,'实盘净值数据(iFinD公式)'!$A$5:$A$1000,0),MATCH($A57,'实盘净值数据(iFinD公式)'!$B$3:$Y$3,0))/G$85,G93)</x:f>
        <x:v>0</x:v>
      </x:c>
      <x:c r="H57" s="105" t="n">
        <x:f>IFERROR(INDEX('分期持仓明细'!$B$5:$Y$200,H$82-4,MATCH(LEFT($A57,6),'分期持仓明细'!$B$3:$Y$3,0))*INDEX('实盘净值数据(iFinD公式)'!$B$5:$Y$1000,$B$81,MATCH($A57,'实盘净值数据(iFinD公式)'!$B$3:$Y$3,0))/INDEX('实盘净值数据(iFinD公式)'!$B$5:$Y$1000,MATCH(H$84,'实盘净值数据(iFinD公式)'!$A$5:$A$1000,0),MATCH($A57,'实盘净值数据(iFinD公式)'!$B$3:$Y$3,0))/H$85,H93)</x:f>
        <x:v>0</x:v>
      </x:c>
      <x:c r="I57" s="105" t="n">
        <x:f>IFERROR(INDEX('分期持仓明细'!$B$5:$Y$200,I$82-4,MATCH(LEFT($A57,6),'分期持仓明细'!$B$3:$Y$3,0))*INDEX('实盘净值数据(iFinD公式)'!$B$5:$Y$1000,$B$81,MATCH($A57,'实盘净值数据(iFinD公式)'!$B$3:$Y$3,0))/INDEX('实盘净值数据(iFinD公式)'!$B$5:$Y$1000,MATCH(I$84,'实盘净值数据(iFinD公式)'!$A$5:$A$1000,0),MATCH($A57,'实盘净值数据(iFinD公式)'!$B$3:$Y$3,0))/I$85,I93)</x:f>
        <x:v>0</x:v>
      </x:c>
      <x:c r="J57" s="105" t="n">
        <x:f>IFERROR(INDEX('分期持仓明细'!$B$5:$Y$200,J$82-4,MATCH(LEFT($A57,6),'分期持仓明细'!$B$3:$Y$3,0))*INDEX('实盘净值数据(iFinD公式)'!$B$5:$Y$1000,$B$81,MATCH($A57,'实盘净值数据(iFinD公式)'!$B$3:$Y$3,0))/INDEX('实盘净值数据(iFinD公式)'!$B$5:$Y$1000,MATCH(J$84,'实盘净值数据(iFinD公式)'!$A$5:$A$1000,0),MATCH($A57,'实盘净值数据(iFinD公式)'!$B$3:$Y$3,0))/J$85,J93)</x:f>
        <x:v>0.012855558252454736</x:v>
      </x:c>
      <x:c r="K57" s="105" t="n">
        <x:f>IFERROR(INDEX('分期持仓明细'!$B$5:$Y$200,K$82-4,MATCH(LEFT($A57,6),'分期持仓明细'!$B$3:$Y$3,0))*INDEX('实盘净值数据(iFinD公式)'!$B$5:$Y$1000,$B$81,MATCH($A57,'实盘净值数据(iFinD公式)'!$B$3:$Y$3,0))/INDEX('实盘净值数据(iFinD公式)'!$B$5:$Y$1000,MATCH(K$84,'实盘净值数据(iFinD公式)'!$A$5:$A$1000,0),MATCH($A57,'实盘净值数据(iFinD公式)'!$B$3:$Y$3,0))/K$85,K93)</x:f>
        <x:v>0</x:v>
      </x:c>
      <x:c r="L57" s="105" t="n">
        <x:f>IFERROR(INDEX('分期持仓明细'!$B$5:$Y$200,L$82-4,MATCH(LEFT($A57,6),'分期持仓明细'!$B$3:$Y$3,0))*INDEX('实盘净值数据(iFinD公式)'!$B$5:$Y$1000,$B$81,MATCH($A57,'实盘净值数据(iFinD公式)'!$B$3:$Y$3,0))/INDEX('实盘净值数据(iFinD公式)'!$B$5:$Y$1000,MATCH(L$84,'实盘净值数据(iFinD公式)'!$A$5:$A$1000,0),MATCH($A57,'实盘净值数据(iFinD公式)'!$B$3:$Y$3,0))/L$85,L93)</x:f>
        <x:v>0.03841034111514078</x:v>
      </x:c>
      <x:c r="M57" t="str">
        <x:f>IF(G57&gt;0,COUNTIF(G$53:G57,"&gt;0"),"")</x:f>
      </x:c>
      <x:c r="N57" t="str">
        <x:f>IF(H57&gt;0,COUNTIF(H$53:H57,"&gt;0"),"")</x:f>
      </x:c>
      <x:c r="O57" t="str">
        <x:f>IF(I57&gt;0,COUNTIF(I$53:I57,"&gt;0"),"")</x:f>
      </x:c>
      <x:c r="P57" t="n">
        <x:f>IF(J57&gt;0,COUNTIF(J$53:J57,"&gt;0"),"")</x:f>
        <x:v>3</x:v>
      </x:c>
      <x:c r="Q57" t="str">
        <x:f>IF(K57&gt;0,COUNTIF(K$53:K57,"&gt;0"),"")</x:f>
      </x:c>
      <x:c r="R57" t="n">
        <x:f>IF(L57&gt;0,COUNTIF(L$53:L57,"&gt;0"),"")</x:f>
        <x:v>3</x:v>
      </x:c>
    </x:row>
    <x:row r="58">
      <x:c r="A58" s="104" t="str">
        <x:v>007817.OF</x:v>
      </x:c>
      <x:c r="B58" s="99" t="str">
        <x:v>国泰通信设备ETF联接A</x:v>
      </x:c>
      <x:c r="C58" s="104" t="str">
        <x:v>增值</x:v>
      </x:c>
      <x:c r="D58" s="104" t="str">
        <x:v>产业趋势</x:v>
      </x:c>
      <x:c r="E58" s="104" t="str">
        <x:v>指数</x:v>
      </x:c>
      <x:c r="F58" s="104" t="str">
        <x:v>产业趋势产品池</x:v>
      </x:c>
      <x:c r="G58" s="105" t="n">
        <x:f>IFERROR(INDEX('分期持仓明细'!$B$5:$Y$200,G$82-4,MATCH(LEFT($A58,6),'分期持仓明细'!$B$3:$Y$3,0))*INDEX('实盘净值数据(iFinD公式)'!$B$5:$Y$1000,$B$81,MATCH($A58,'实盘净值数据(iFinD公式)'!$B$3:$Y$3,0))/INDEX('实盘净值数据(iFinD公式)'!$B$5:$Y$1000,MATCH(G$84,'实盘净值数据(iFinD公式)'!$A$5:$A$1000,0),MATCH($A58,'实盘净值数据(iFinD公式)'!$B$3:$Y$3,0))/G$85,G94)</x:f>
        <x:v>0</x:v>
      </x:c>
      <x:c r="H58" s="105" t="n">
        <x:f>IFERROR(INDEX('分期持仓明细'!$B$5:$Y$200,H$82-4,MATCH(LEFT($A58,6),'分期持仓明细'!$B$3:$Y$3,0))*INDEX('实盘净值数据(iFinD公式)'!$B$5:$Y$1000,$B$81,MATCH($A58,'实盘净值数据(iFinD公式)'!$B$3:$Y$3,0))/INDEX('实盘净值数据(iFinD公式)'!$B$5:$Y$1000,MATCH(H$84,'实盘净值数据(iFinD公式)'!$A$5:$A$1000,0),MATCH($A58,'实盘净值数据(iFinD公式)'!$B$3:$Y$3,0))/H$85,H94)</x:f>
        <x:v>0</x:v>
      </x:c>
      <x:c r="I58" s="105" t="n">
        <x:f>IFERROR(INDEX('分期持仓明细'!$B$5:$Y$200,I$82-4,MATCH(LEFT($A58,6),'分期持仓明细'!$B$3:$Y$3,0))*INDEX('实盘净值数据(iFinD公式)'!$B$5:$Y$1000,$B$81,MATCH($A58,'实盘净值数据(iFinD公式)'!$B$3:$Y$3,0))/INDEX('实盘净值数据(iFinD公式)'!$B$5:$Y$1000,MATCH(I$84,'实盘净值数据(iFinD公式)'!$A$5:$A$1000,0),MATCH($A58,'实盘净值数据(iFinD公式)'!$B$3:$Y$3,0))/I$85,I94)</x:f>
        <x:v>0</x:v>
      </x:c>
      <x:c r="J58" s="105" t="n">
        <x:f>IFERROR(INDEX('分期持仓明细'!$B$5:$Y$200,J$82-4,MATCH(LEFT($A58,6),'分期持仓明细'!$B$3:$Y$3,0))*INDEX('实盘净值数据(iFinD公式)'!$B$5:$Y$1000,$B$81,MATCH($A58,'实盘净值数据(iFinD公式)'!$B$3:$Y$3,0))/INDEX('实盘净值数据(iFinD公式)'!$B$5:$Y$1000,MATCH(J$84,'实盘净值数据(iFinD公式)'!$A$5:$A$1000,0),MATCH($A58,'实盘净值数据(iFinD公式)'!$B$3:$Y$3,0))/J$85,J94)</x:f>
        <x:v>0</x:v>
      </x:c>
      <x:c r="K58" s="105" t="n">
        <x:f>IFERROR(INDEX('分期持仓明细'!$B$5:$Y$200,K$82-4,MATCH(LEFT($A58,6),'分期持仓明细'!$B$3:$Y$3,0))*INDEX('实盘净值数据(iFinD公式)'!$B$5:$Y$1000,$B$81,MATCH($A58,'实盘净值数据(iFinD公式)'!$B$3:$Y$3,0))/INDEX('实盘净值数据(iFinD公式)'!$B$5:$Y$1000,MATCH(K$84,'实盘净值数据(iFinD公式)'!$A$5:$A$1000,0),MATCH($A58,'实盘净值数据(iFinD公式)'!$B$3:$Y$3,0))/K$85,K94)</x:f>
        <x:v>0</x:v>
      </x:c>
      <x:c r="L58" s="105" t="n">
        <x:f>IFERROR(INDEX('分期持仓明细'!$B$5:$Y$200,L$82-4,MATCH(LEFT($A58,6),'分期持仓明细'!$B$3:$Y$3,0))*INDEX('实盘净值数据(iFinD公式)'!$B$5:$Y$1000,$B$81,MATCH($A58,'实盘净值数据(iFinD公式)'!$B$3:$Y$3,0))/INDEX('实盘净值数据(iFinD公式)'!$B$5:$Y$1000,MATCH(L$84,'实盘净值数据(iFinD公式)'!$A$5:$A$1000,0),MATCH($A58,'实盘净值数据(iFinD公式)'!$B$3:$Y$3,0))/L$85,L94)</x:f>
        <x:v>0</x:v>
      </x:c>
      <x:c r="M58" t="str">
        <x:f>IF(G58&gt;0,COUNTIF(G$53:G58,"&gt;0"),"")</x:f>
      </x:c>
      <x:c r="N58" t="str">
        <x:f>IF(H58&gt;0,COUNTIF(H$53:H58,"&gt;0"),"")</x:f>
      </x:c>
      <x:c r="O58" t="str">
        <x:f>IF(I58&gt;0,COUNTIF(I$53:I58,"&gt;0"),"")</x:f>
      </x:c>
      <x:c r="P58" t="str">
        <x:f>IF(J58&gt;0,COUNTIF(J$53:J58,"&gt;0"),"")</x:f>
      </x:c>
      <x:c r="Q58" t="str">
        <x:f>IF(K58&gt;0,COUNTIF(K$53:K58,"&gt;0"),"")</x:f>
      </x:c>
      <x:c r="R58" t="str">
        <x:f>IF(L58&gt;0,COUNTIF(L$53:L58,"&gt;0"),"")</x:f>
      </x:c>
    </x:row>
    <x:row r="59">
      <x:c r="A59" s="104" t="str">
        <x:v>007818.OF</x:v>
      </x:c>
      <x:c r="B59" s="99" t="str">
        <x:v>国泰通信设备C</x:v>
      </x:c>
      <x:c r="C59" s="104" t="str">
        <x:v>增值</x:v>
      </x:c>
      <x:c r="D59" s="104" t="str">
        <x:v>产业趋势</x:v>
      </x:c>
      <x:c r="E59" s="104" t="str">
        <x:v>指数</x:v>
      </x:c>
      <x:c r="F59" s="104" t="str">
        <x:v>同基金A/C</x:v>
      </x:c>
      <x:c r="G59" s="105" t="n">
        <x:f>IFERROR(INDEX('分期持仓明细'!$B$5:$Y$200,G$82-4,MATCH(LEFT($A59,6),'分期持仓明细'!$B$3:$Y$3,0))*INDEX('实盘净值数据(iFinD公式)'!$B$5:$Y$1000,$B$81,MATCH($A59,'实盘净值数据(iFinD公式)'!$B$3:$Y$3,0))/INDEX('实盘净值数据(iFinD公式)'!$B$5:$Y$1000,MATCH(G$84,'实盘净值数据(iFinD公式)'!$A$5:$A$1000,0),MATCH($A59,'实盘净值数据(iFinD公式)'!$B$3:$Y$3,0))/G$85,G95)</x:f>
        <x:v>0</x:v>
      </x:c>
      <x:c r="H59" s="105" t="n">
        <x:f>IFERROR(INDEX('分期持仓明细'!$B$5:$Y$200,H$82-4,MATCH(LEFT($A59,6),'分期持仓明细'!$B$3:$Y$3,0))*INDEX('实盘净值数据(iFinD公式)'!$B$5:$Y$1000,$B$81,MATCH($A59,'实盘净值数据(iFinD公式)'!$B$3:$Y$3,0))/INDEX('实盘净值数据(iFinD公式)'!$B$5:$Y$1000,MATCH(H$84,'实盘净值数据(iFinD公式)'!$A$5:$A$1000,0),MATCH($A59,'实盘净值数据(iFinD公式)'!$B$3:$Y$3,0))/H$85,H95)</x:f>
        <x:v>0</x:v>
      </x:c>
      <x:c r="I59" s="105" t="n">
        <x:f>IFERROR(INDEX('分期持仓明细'!$B$5:$Y$200,I$82-4,MATCH(LEFT($A59,6),'分期持仓明细'!$B$3:$Y$3,0))*INDEX('实盘净值数据(iFinD公式)'!$B$5:$Y$1000,$B$81,MATCH($A59,'实盘净值数据(iFinD公式)'!$B$3:$Y$3,0))/INDEX('实盘净值数据(iFinD公式)'!$B$5:$Y$1000,MATCH(I$84,'实盘净值数据(iFinD公式)'!$A$5:$A$1000,0),MATCH($A59,'实盘净值数据(iFinD公式)'!$B$3:$Y$3,0))/I$85,I95)</x:f>
        <x:v>0</x:v>
      </x:c>
      <x:c r="J59" s="105" t="n">
        <x:f>IFERROR(INDEX('分期持仓明细'!$B$5:$Y$200,J$82-4,MATCH(LEFT($A59,6),'分期持仓明细'!$B$3:$Y$3,0))*INDEX('实盘净值数据(iFinD公式)'!$B$5:$Y$1000,$B$81,MATCH($A59,'实盘净值数据(iFinD公式)'!$B$3:$Y$3,0))/INDEX('实盘净值数据(iFinD公式)'!$B$5:$Y$1000,MATCH(J$84,'实盘净值数据(iFinD公式)'!$A$5:$A$1000,0),MATCH($A59,'实盘净值数据(iFinD公式)'!$B$3:$Y$3,0))/J$85,J95)</x:f>
        <x:v>0</x:v>
      </x:c>
      <x:c r="K59" s="105" t="n">
        <x:f>IFERROR(INDEX('分期持仓明细'!$B$5:$Y$200,K$82-4,MATCH(LEFT($A59,6),'分期持仓明细'!$B$3:$Y$3,0))*INDEX('实盘净值数据(iFinD公式)'!$B$5:$Y$1000,$B$81,MATCH($A59,'实盘净值数据(iFinD公式)'!$B$3:$Y$3,0))/INDEX('实盘净值数据(iFinD公式)'!$B$5:$Y$1000,MATCH(K$84,'实盘净值数据(iFinD公式)'!$A$5:$A$1000,0),MATCH($A59,'实盘净值数据(iFinD公式)'!$B$3:$Y$3,0))/K$85,K95)</x:f>
        <x:v>0</x:v>
      </x:c>
      <x:c r="L59" s="105" t="n">
        <x:f>IFERROR(INDEX('分期持仓明细'!$B$5:$Y$200,L$82-4,MATCH(LEFT($A59,6),'分期持仓明细'!$B$3:$Y$3,0))*INDEX('实盘净值数据(iFinD公式)'!$B$5:$Y$1000,$B$81,MATCH($A59,'实盘净值数据(iFinD公式)'!$B$3:$Y$3,0))/INDEX('实盘净值数据(iFinD公式)'!$B$5:$Y$1000,MATCH(L$84,'实盘净值数据(iFinD公式)'!$A$5:$A$1000,0),MATCH($A59,'实盘净值数据(iFinD公式)'!$B$3:$Y$3,0))/L$85,L95)</x:f>
        <x:v>0</x:v>
      </x:c>
      <x:c r="M59" t="str">
        <x:f>IF(G59&gt;0,COUNTIF(G$53:G59,"&gt;0"),"")</x:f>
      </x:c>
      <x:c r="N59" t="str">
        <x:f>IF(H59&gt;0,COUNTIF(H$53:H59,"&gt;0"),"")</x:f>
      </x:c>
      <x:c r="O59" t="str">
        <x:f>IF(I59&gt;0,COUNTIF(I$53:I59,"&gt;0"),"")</x:f>
      </x:c>
      <x:c r="P59" t="str">
        <x:f>IF(J59&gt;0,COUNTIF(J$53:J59,"&gt;0"),"")</x:f>
      </x:c>
      <x:c r="Q59" t="str">
        <x:f>IF(K59&gt;0,COUNTIF(K$53:K59,"&gt;0"),"")</x:f>
      </x:c>
      <x:c r="R59" t="str">
        <x:f>IF(L59&gt;0,COUNTIF(L$53:L59,"&gt;0"),"")</x:f>
      </x:c>
    </x:row>
    <x:row r="60">
      <x:c r="A60" s="104" t="str">
        <x:v>009993.OF</x:v>
      </x:c>
      <x:c r="B60" s="99" t="str">
        <x:v>嘉实前沿科技创新</x:v>
      </x:c>
      <x:c r="C60" s="104" t="str">
        <x:v>增值</x:v>
      </x:c>
      <x:c r="D60" s="104" t="str">
        <x:v>产业趋势</x:v>
      </x:c>
      <x:c r="E60" s="104" t="str">
        <x:v>主动</x:v>
      </x:c>
      <x:c r="F60" s="104" t="str">
        <x:v>现持仓补充</x:v>
      </x:c>
      <x:c r="G60" s="105" t="n">
        <x:f>IFERROR(INDEX('分期持仓明细'!$B$5:$Y$200,G$82-4,MATCH(LEFT($A60,6),'分期持仓明细'!$B$3:$Y$3,0))*INDEX('实盘净值数据(iFinD公式)'!$B$5:$Y$1000,$B$81,MATCH($A60,'实盘净值数据(iFinD公式)'!$B$3:$Y$3,0))/INDEX('实盘净值数据(iFinD公式)'!$B$5:$Y$1000,MATCH(G$84,'实盘净值数据(iFinD公式)'!$A$5:$A$1000,0),MATCH($A60,'实盘净值数据(iFinD公式)'!$B$3:$Y$3,0))/G$85,G96)</x:f>
        <x:v>0</x:v>
      </x:c>
      <x:c r="H60" s="105" t="n">
        <x:f>IFERROR(INDEX('分期持仓明细'!$B$5:$Y$200,H$82-4,MATCH(LEFT($A60,6),'分期持仓明细'!$B$3:$Y$3,0))*INDEX('实盘净值数据(iFinD公式)'!$B$5:$Y$1000,$B$81,MATCH($A60,'实盘净值数据(iFinD公式)'!$B$3:$Y$3,0))/INDEX('实盘净值数据(iFinD公式)'!$B$5:$Y$1000,MATCH(H$84,'实盘净值数据(iFinD公式)'!$A$5:$A$1000,0),MATCH($A60,'实盘净值数据(iFinD公式)'!$B$3:$Y$3,0))/H$85,H96)</x:f>
        <x:v>0</x:v>
      </x:c>
      <x:c r="I60" s="105" t="n">
        <x:f>IFERROR(INDEX('分期持仓明细'!$B$5:$Y$200,I$82-4,MATCH(LEFT($A60,6),'分期持仓明细'!$B$3:$Y$3,0))*INDEX('实盘净值数据(iFinD公式)'!$B$5:$Y$1000,$B$81,MATCH($A60,'实盘净值数据(iFinD公式)'!$B$3:$Y$3,0))/INDEX('实盘净值数据(iFinD公式)'!$B$5:$Y$1000,MATCH(I$84,'实盘净值数据(iFinD公式)'!$A$5:$A$1000,0),MATCH($A60,'实盘净值数据(iFinD公式)'!$B$3:$Y$3,0))/I$85,I96)</x:f>
        <x:v>0.18643460253095584</x:v>
      </x:c>
      <x:c r="J60" s="105" t="n">
        <x:f>IFERROR(INDEX('分期持仓明细'!$B$5:$Y$200,J$82-4,MATCH(LEFT($A60,6),'分期持仓明细'!$B$3:$Y$3,0))*INDEX('实盘净值数据(iFinD公式)'!$B$5:$Y$1000,$B$81,MATCH($A60,'实盘净值数据(iFinD公式)'!$B$3:$Y$3,0))/INDEX('实盘净值数据(iFinD公式)'!$B$5:$Y$1000,MATCH(J$84,'实盘净值数据(iFinD公式)'!$A$5:$A$1000,0),MATCH($A60,'实盘净值数据(iFinD公式)'!$B$3:$Y$3,0))/J$85,J96)</x:f>
        <x:v>0.009630029472442245</x:v>
      </x:c>
      <x:c r="K60" s="105" t="n">
        <x:f>IFERROR(INDEX('分期持仓明细'!$B$5:$Y$200,K$82-4,MATCH(LEFT($A60,6),'分期持仓明细'!$B$3:$Y$3,0))*INDEX('实盘净值数据(iFinD公式)'!$B$5:$Y$1000,$B$81,MATCH($A60,'实盘净值数据(iFinD公式)'!$B$3:$Y$3,0))/INDEX('实盘净值数据(iFinD公式)'!$B$5:$Y$1000,MATCH(K$84,'实盘净值数据(iFinD公式)'!$A$5:$A$1000,0),MATCH($A60,'实盘净值数据(iFinD公式)'!$B$3:$Y$3,0))/K$85,K96)</x:f>
        <x:v>0</x:v>
      </x:c>
      <x:c r="L60" s="105" t="n">
        <x:f>IFERROR(INDEX('分期持仓明细'!$B$5:$Y$200,L$82-4,MATCH(LEFT($A60,6),'分期持仓明细'!$B$3:$Y$3,0))*INDEX('实盘净值数据(iFinD公式)'!$B$5:$Y$1000,$B$81,MATCH($A60,'实盘净值数据(iFinD公式)'!$B$3:$Y$3,0))/INDEX('实盘净值数据(iFinD公式)'!$B$5:$Y$1000,MATCH(L$84,'实盘净值数据(iFinD公式)'!$A$5:$A$1000,0),MATCH($A60,'实盘净值数据(iFinD公式)'!$B$3:$Y$3,0))/L$85,L96)</x:f>
        <x:v>0.028773694107794432</x:v>
      </x:c>
      <x:c r="M60" t="str">
        <x:f>IF(G60&gt;0,COUNTIF(G$53:G60,"&gt;0"),"")</x:f>
      </x:c>
      <x:c r="N60" t="str">
        <x:f>IF(H60&gt;0,COUNTIF(H$53:H60,"&gt;0"),"")</x:f>
      </x:c>
      <x:c r="O60" t="n">
        <x:f>IF(I60&gt;0,COUNTIF(I$53:I60,"&gt;0"),"")</x:f>
        <x:v>2</x:v>
      </x:c>
      <x:c r="P60" t="n">
        <x:f>IF(J60&gt;0,COUNTIF(J$53:J60,"&gt;0"),"")</x:f>
        <x:v>4</x:v>
      </x:c>
      <x:c r="Q60" t="str">
        <x:f>IF(K60&gt;0,COUNTIF(K$53:K60,"&gt;0"),"")</x:f>
      </x:c>
      <x:c r="R60" t="n">
        <x:f>IF(L60&gt;0,COUNTIF(L$53:L60,"&gt;0"),"")</x:f>
        <x:v>4</x:v>
      </x:c>
    </x:row>
    <x:row r="61">
      <x:c r="A61" s="104" t="str">
        <x:v>013840.OF</x:v>
      </x:c>
      <x:c r="B61" s="99" t="str">
        <x:v>银华集成电路混合A</x:v>
      </x:c>
      <x:c r="C61" s="104" t="str">
        <x:v>增值</x:v>
      </x:c>
      <x:c r="D61" s="104" t="str">
        <x:v>产业趋势</x:v>
      </x:c>
      <x:c r="E61" s="104" t="str">
        <x:v>主动</x:v>
      </x:c>
      <x:c r="F61" s="104" t="str">
        <x:v>产业趋势产品池</x:v>
      </x:c>
      <x:c r="G61" s="105" t="n">
        <x:f>IFERROR(INDEX('分期持仓明细'!$B$5:$Y$200,G$82-4,MATCH(LEFT($A61,6),'分期持仓明细'!$B$3:$Y$3,0))*INDEX('实盘净值数据(iFinD公式)'!$B$5:$Y$1000,$B$81,MATCH($A61,'实盘净值数据(iFinD公式)'!$B$3:$Y$3,0))/INDEX('实盘净值数据(iFinD公式)'!$B$5:$Y$1000,MATCH(G$84,'实盘净值数据(iFinD公式)'!$A$5:$A$1000,0),MATCH($A61,'实盘净值数据(iFinD公式)'!$B$3:$Y$3,0))/G$85,G97)</x:f>
        <x:v>0.24648996572257403</x:v>
      </x:c>
      <x:c r="H61" s="105" t="n">
        <x:f>IFERROR(INDEX('分期持仓明细'!$B$5:$Y$200,H$82-4,MATCH(LEFT($A61,6),'分期持仓明细'!$B$3:$Y$3,0))*INDEX('实盘净值数据(iFinD公式)'!$B$5:$Y$1000,$B$81,MATCH($A61,'实盘净值数据(iFinD公式)'!$B$3:$Y$3,0))/INDEX('实盘净值数据(iFinD公式)'!$B$5:$Y$1000,MATCH(H$84,'实盘净值数据(iFinD公式)'!$A$5:$A$1000,0),MATCH($A61,'实盘净值数据(iFinD公式)'!$B$3:$Y$3,0))/H$85,H97)</x:f>
        <x:v>0.24475713621132436</x:v>
      </x:c>
      <x:c r="I61" s="105" t="n">
        <x:f>IFERROR(INDEX('分期持仓明细'!$B$5:$Y$200,I$82-4,MATCH(LEFT($A61,6),'分期持仓明细'!$B$3:$Y$3,0))*INDEX('实盘净值数据(iFinD公式)'!$B$5:$Y$1000,$B$81,MATCH($A61,'实盘净值数据(iFinD公式)'!$B$3:$Y$3,0))/INDEX('实盘净值数据(iFinD公式)'!$B$5:$Y$1000,MATCH(I$84,'实盘净值数据(iFinD公式)'!$A$5:$A$1000,0),MATCH($A61,'实盘净值数据(iFinD公式)'!$B$3:$Y$3,0))/I$85,I97)</x:f>
        <x:v>0</x:v>
      </x:c>
      <x:c r="J61" s="105" t="n">
        <x:f>IFERROR(INDEX('分期持仓明细'!$B$5:$Y$200,J$82-4,MATCH(LEFT($A61,6),'分期持仓明细'!$B$3:$Y$3,0))*INDEX('实盘净值数据(iFinD公式)'!$B$5:$Y$1000,$B$81,MATCH($A61,'实盘净值数据(iFinD公式)'!$B$3:$Y$3,0))/INDEX('实盘净值数据(iFinD公式)'!$B$5:$Y$1000,MATCH(J$84,'实盘净值数据(iFinD公式)'!$A$5:$A$1000,0),MATCH($A61,'实盘净值数据(iFinD公式)'!$B$3:$Y$3,0))/J$85,J97)</x:f>
        <x:v>0</x:v>
      </x:c>
      <x:c r="K61" s="105" t="n">
        <x:f>IFERROR(INDEX('分期持仓明细'!$B$5:$Y$200,K$82-4,MATCH(LEFT($A61,6),'分期持仓明细'!$B$3:$Y$3,0))*INDEX('实盘净值数据(iFinD公式)'!$B$5:$Y$1000,$B$81,MATCH($A61,'实盘净值数据(iFinD公式)'!$B$3:$Y$3,0))/INDEX('实盘净值数据(iFinD公式)'!$B$5:$Y$1000,MATCH(K$84,'实盘净值数据(iFinD公式)'!$A$5:$A$1000,0),MATCH($A61,'实盘净值数据(iFinD公式)'!$B$3:$Y$3,0))/K$85,K97)</x:f>
        <x:v>0.01225914007350266</x:v>
      </x:c>
      <x:c r="L61" s="105" t="n">
        <x:f>IFERROR(INDEX('分期持仓明细'!$B$5:$Y$200,L$82-4,MATCH(LEFT($A61,6),'分期持仓明细'!$B$3:$Y$3,0))*INDEX('实盘净值数据(iFinD公式)'!$B$5:$Y$1000,$B$81,MATCH($A61,'实盘净值数据(iFinD公式)'!$B$3:$Y$3,0))/INDEX('实盘净值数据(iFinD公式)'!$B$5:$Y$1000,MATCH(L$84,'实盘净值数据(iFinD公式)'!$A$5:$A$1000,0),MATCH($A61,'实盘净值数据(iFinD公式)'!$B$3:$Y$3,0))/L$85,L97)</x:f>
        <x:v>0</x:v>
      </x:c>
      <x:c r="M61" t="n">
        <x:f>IF(G61&gt;0,COUNTIF(G$53:G61,"&gt;0"),"")</x:f>
        <x:v>3</x:v>
      </x:c>
      <x:c r="N61" t="n">
        <x:f>IF(H61&gt;0,COUNTIF(H$53:H61,"&gt;0"),"")</x:f>
        <x:v>3</x:v>
      </x:c>
      <x:c r="O61" t="str">
        <x:f>IF(I61&gt;0,COUNTIF(I$53:I61,"&gt;0"),"")</x:f>
      </x:c>
      <x:c r="P61" t="str">
        <x:f>IF(J61&gt;0,COUNTIF(J$53:J61,"&gt;0"),"")</x:f>
      </x:c>
      <x:c r="Q61" t="n">
        <x:f>IF(K61&gt;0,COUNTIF(K$53:K61,"&gt;0"),"")</x:f>
        <x:v>5</x:v>
      </x:c>
      <x:c r="R61" t="str">
        <x:f>IF(L61&gt;0,COUNTIF(L$53:L61,"&gt;0"),"")</x:f>
      </x:c>
    </x:row>
    <x:row r="62">
      <x:c r="A62" s="104" t="str">
        <x:v>013841.OF</x:v>
      </x:c>
      <x:c r="B62" s="99" t="str">
        <x:v>银华集成电路混合C</x:v>
      </x:c>
      <x:c r="C62" s="104" t="str">
        <x:v>增值</x:v>
      </x:c>
      <x:c r="D62" s="104" t="str">
        <x:v>产业趋势</x:v>
      </x:c>
      <x:c r="E62" s="104" t="str">
        <x:v>主动</x:v>
      </x:c>
      <x:c r="F62" s="104" t="str">
        <x:v>同基金A/C</x:v>
      </x:c>
      <x:c r="G62" s="105" t="n">
        <x:f>IFERROR(INDEX('分期持仓明细'!$B$5:$Y$200,G$82-4,MATCH(LEFT($A62,6),'分期持仓明细'!$B$3:$Y$3,0))*INDEX('实盘净值数据(iFinD公式)'!$B$5:$Y$1000,$B$81,MATCH($A62,'实盘净值数据(iFinD公式)'!$B$3:$Y$3,0))/INDEX('实盘净值数据(iFinD公式)'!$B$5:$Y$1000,MATCH(G$84,'实盘净值数据(iFinD公式)'!$A$5:$A$1000,0),MATCH($A62,'实盘净值数据(iFinD公式)'!$B$3:$Y$3,0))/G$85,G98)</x:f>
        <x:v>0</x:v>
      </x:c>
      <x:c r="H62" s="105" t="n">
        <x:f>IFERROR(INDEX('分期持仓明细'!$B$5:$Y$200,H$82-4,MATCH(LEFT($A62,6),'分期持仓明细'!$B$3:$Y$3,0))*INDEX('实盘净值数据(iFinD公式)'!$B$5:$Y$1000,$B$81,MATCH($A62,'实盘净值数据(iFinD公式)'!$B$3:$Y$3,0))/INDEX('实盘净值数据(iFinD公式)'!$B$5:$Y$1000,MATCH(H$84,'实盘净值数据(iFinD公式)'!$A$5:$A$1000,0),MATCH($A62,'实盘净值数据(iFinD公式)'!$B$3:$Y$3,0))/H$85,H98)</x:f>
        <x:v>0</x:v>
      </x:c>
      <x:c r="I62" s="105" t="n">
        <x:f>IFERROR(INDEX('分期持仓明细'!$B$5:$Y$200,I$82-4,MATCH(LEFT($A62,6),'分期持仓明细'!$B$3:$Y$3,0))*INDEX('实盘净值数据(iFinD公式)'!$B$5:$Y$1000,$B$81,MATCH($A62,'实盘净值数据(iFinD公式)'!$B$3:$Y$3,0))/INDEX('实盘净值数据(iFinD公式)'!$B$5:$Y$1000,MATCH(I$84,'实盘净值数据(iFinD公式)'!$A$5:$A$1000,0),MATCH($A62,'实盘净值数据(iFinD公式)'!$B$3:$Y$3,0))/I$85,I98)</x:f>
        <x:v>0.23333425378822176</x:v>
      </x:c>
      <x:c r="J62" s="105" t="n">
        <x:f>IFERROR(INDEX('分期持仓明细'!$B$5:$Y$200,J$82-4,MATCH(LEFT($A62,6),'分期持仓明细'!$B$3:$Y$3,0))*INDEX('实盘净值数据(iFinD公式)'!$B$5:$Y$1000,$B$81,MATCH($A62,'实盘净值数据(iFinD公式)'!$B$3:$Y$3,0))/INDEX('实盘净值数据(iFinD公式)'!$B$5:$Y$1000,MATCH(J$84,'实盘净值数据(iFinD公式)'!$A$5:$A$1000,0),MATCH($A62,'实盘净值数据(iFinD公式)'!$B$3:$Y$3,0))/J$85,J98)</x:f>
        <x:v>0.011060670436649926</x:v>
      </x:c>
      <x:c r="K62" s="105" t="n">
        <x:f>IFERROR(INDEX('分期持仓明细'!$B$5:$Y$200,K$82-4,MATCH(LEFT($A62,6),'分期持仓明细'!$B$3:$Y$3,0))*INDEX('实盘净值数据(iFinD公式)'!$B$5:$Y$1000,$B$81,MATCH($A62,'实盘净值数据(iFinD公式)'!$B$3:$Y$3,0))/INDEX('实盘净值数据(iFinD公式)'!$B$5:$Y$1000,MATCH(K$84,'实盘净值数据(iFinD公式)'!$A$5:$A$1000,0),MATCH($A62,'实盘净值数据(iFinD公式)'!$B$3:$Y$3,0))/K$85,K98)</x:f>
        <x:v>0</x:v>
      </x:c>
      <x:c r="L62" s="105" t="n">
        <x:f>IFERROR(INDEX('分期持仓明细'!$B$5:$Y$200,L$82-4,MATCH(LEFT($A62,6),'分期持仓明细'!$B$3:$Y$3,0))*INDEX('实盘净值数据(iFinD公式)'!$B$5:$Y$1000,$B$81,MATCH($A62,'实盘净值数据(iFinD公式)'!$B$3:$Y$3,0))/INDEX('实盘净值数据(iFinD公式)'!$B$5:$Y$1000,MATCH(L$84,'实盘净值数据(iFinD公式)'!$A$5:$A$1000,0),MATCH($A62,'实盘净值数据(iFinD公式)'!$B$3:$Y$3,0))/L$85,L98)</x:f>
        <x:v>0.0330472108980905</x:v>
      </x:c>
      <x:c r="M62" t="str">
        <x:f>IF(G62&gt;0,COUNTIF(G$53:G62,"&gt;0"),"")</x:f>
      </x:c>
      <x:c r="N62" t="str">
        <x:f>IF(H62&gt;0,COUNTIF(H$53:H62,"&gt;0"),"")</x:f>
      </x:c>
      <x:c r="O62" t="n">
        <x:f>IF(I62&gt;0,COUNTIF(I$53:I62,"&gt;0"),"")</x:f>
        <x:v>3</x:v>
      </x:c>
      <x:c r="P62" t="n">
        <x:f>IF(J62&gt;0,COUNTIF(J$53:J62,"&gt;0"),"")</x:f>
        <x:v>5</x:v>
      </x:c>
      <x:c r="Q62" t="str">
        <x:f>IF(K62&gt;0,COUNTIF(K$53:K62,"&gt;0"),"")</x:f>
      </x:c>
      <x:c r="R62" t="n">
        <x:f>IF(L62&gt;0,COUNTIF(L$53:L62,"&gt;0"),"")</x:f>
        <x:v>5</x:v>
      </x:c>
    </x:row>
    <x:row r="63">
      <x:c r="A63" s="104" t="str">
        <x:v>014201.OF</x:v>
      </x:c>
      <x:c r="B63" s="99" t="str">
        <x:v>天弘中证1000指增A</x:v>
      </x:c>
      <x:c r="C63" s="104" t="str">
        <x:v>增值</x:v>
      </x:c>
      <x:c r="D63" s="104" t="str">
        <x:v>指增</x:v>
      </x:c>
      <x:c r="E63" s="104" t="str">
        <x:v>指增</x:v>
      </x:c>
      <x:c r="F63" s="104" t="str">
        <x:v>宽基&amp;指增池</x:v>
      </x:c>
      <x:c r="G63" s="105" t="n">
        <x:f>IFERROR(INDEX('分期持仓明细'!$B$5:$Y$200,G$82-4,MATCH(LEFT($A63,6),'分期持仓明细'!$B$3:$Y$3,0))*INDEX('实盘净值数据(iFinD公式)'!$B$5:$Y$1000,$B$81,MATCH($A63,'实盘净值数据(iFinD公式)'!$B$3:$Y$3,0))/INDEX('实盘净值数据(iFinD公式)'!$B$5:$Y$1000,MATCH(G$84,'实盘净值数据(iFinD公式)'!$A$5:$A$1000,0),MATCH($A63,'实盘净值数据(iFinD公式)'!$B$3:$Y$3,0))/G$85,G99)</x:f>
        <x:v>0</x:v>
      </x:c>
      <x:c r="H63" s="105" t="n">
        <x:f>IFERROR(INDEX('分期持仓明细'!$B$5:$Y$200,H$82-4,MATCH(LEFT($A63,6),'分期持仓明细'!$B$3:$Y$3,0))*INDEX('实盘净值数据(iFinD公式)'!$B$5:$Y$1000,$B$81,MATCH($A63,'实盘净值数据(iFinD公式)'!$B$3:$Y$3,0))/INDEX('实盘净值数据(iFinD公式)'!$B$5:$Y$1000,MATCH(H$84,'实盘净值数据(iFinD公式)'!$A$5:$A$1000,0),MATCH($A63,'实盘净值数据(iFinD公式)'!$B$3:$Y$3,0))/H$85,H99)</x:f>
        <x:v>0</x:v>
      </x:c>
      <x:c r="I63" s="105" t="n">
        <x:f>IFERROR(INDEX('分期持仓明细'!$B$5:$Y$200,I$82-4,MATCH(LEFT($A63,6),'分期持仓明细'!$B$3:$Y$3,0))*INDEX('实盘净值数据(iFinD公式)'!$B$5:$Y$1000,$B$81,MATCH($A63,'实盘净值数据(iFinD公式)'!$B$3:$Y$3,0))/INDEX('实盘净值数据(iFinD公式)'!$B$5:$Y$1000,MATCH(I$84,'实盘净值数据(iFinD公式)'!$A$5:$A$1000,0),MATCH($A63,'实盘净值数据(iFinD公式)'!$B$3:$Y$3,0))/I$85,I99)</x:f>
        <x:v>0</x:v>
      </x:c>
      <x:c r="J63" s="105" t="n">
        <x:f>IFERROR(INDEX('分期持仓明细'!$B$5:$Y$200,J$82-4,MATCH(LEFT($A63,6),'分期持仓明细'!$B$3:$Y$3,0))*INDEX('实盘净值数据(iFinD公式)'!$B$5:$Y$1000,$B$81,MATCH($A63,'实盘净值数据(iFinD公式)'!$B$3:$Y$3,0))/INDEX('实盘净值数据(iFinD公式)'!$B$5:$Y$1000,MATCH(J$84,'实盘净值数据(iFinD公式)'!$A$5:$A$1000,0),MATCH($A63,'实盘净值数据(iFinD公式)'!$B$3:$Y$3,0))/J$85,J99)</x:f>
        <x:v>0</x:v>
      </x:c>
      <x:c r="K63" s="105" t="n">
        <x:f>IFERROR(INDEX('分期持仓明细'!$B$5:$Y$200,K$82-4,MATCH(LEFT($A63,6),'分期持仓明细'!$B$3:$Y$3,0))*INDEX('实盘净值数据(iFinD公式)'!$B$5:$Y$1000,$B$81,MATCH($A63,'实盘净值数据(iFinD公式)'!$B$3:$Y$3,0))/INDEX('实盘净值数据(iFinD公式)'!$B$5:$Y$1000,MATCH(K$84,'实盘净值数据(iFinD公式)'!$A$5:$A$1000,0),MATCH($A63,'实盘净值数据(iFinD公式)'!$B$3:$Y$3,0))/K$85,K99)</x:f>
        <x:v>0.01305811206863005</x:v>
      </x:c>
      <x:c r="L63" s="105" t="n">
        <x:f>IFERROR(INDEX('分期持仓明细'!$B$5:$Y$200,L$82-4,MATCH(LEFT($A63,6),'分期持仓明细'!$B$3:$Y$3,0))*INDEX('实盘净值数据(iFinD公式)'!$B$5:$Y$1000,$B$81,MATCH($A63,'实盘净值数据(iFinD公式)'!$B$3:$Y$3,0))/INDEX('实盘净值数据(iFinD公式)'!$B$5:$Y$1000,MATCH(L$84,'实盘净值数据(iFinD公式)'!$A$5:$A$1000,0),MATCH($A63,'实盘净值数据(iFinD公式)'!$B$3:$Y$3,0))/L$85,L99)</x:f>
        <x:v>0</x:v>
      </x:c>
      <x:c r="M63" t="str">
        <x:f>IF(G63&gt;0,COUNTIF(G$53:G63,"&gt;0"),"")</x:f>
      </x:c>
      <x:c r="N63" t="str">
        <x:f>IF(H63&gt;0,COUNTIF(H$53:H63,"&gt;0"),"")</x:f>
      </x:c>
      <x:c r="O63" t="str">
        <x:f>IF(I63&gt;0,COUNTIF(I$53:I63,"&gt;0"),"")</x:f>
      </x:c>
      <x:c r="P63" t="str">
        <x:f>IF(J63&gt;0,COUNTIF(J$53:J63,"&gt;0"),"")</x:f>
      </x:c>
      <x:c r="Q63" t="n">
        <x:f>IF(K63&gt;0,COUNTIF(K$53:K63,"&gt;0"),"")</x:f>
        <x:v>6</x:v>
      </x:c>
      <x:c r="R63" t="str">
        <x:f>IF(L63&gt;0,COUNTIF(L$53:L63,"&gt;0"),"")</x:f>
      </x:c>
    </x:row>
    <x:row r="64">
      <x:c r="A64" s="104" t="str">
        <x:v>014202.OF</x:v>
      </x:c>
      <x:c r="B64" s="99" t="str">
        <x:v>天弘中证1000指增C</x:v>
      </x:c>
      <x:c r="C64" s="104" t="str">
        <x:v>增值</x:v>
      </x:c>
      <x:c r="D64" s="104" t="str">
        <x:v>指增</x:v>
      </x:c>
      <x:c r="E64" s="104" t="str">
        <x:v>指增</x:v>
      </x:c>
      <x:c r="F64" s="104" t="str">
        <x:v>同基金A/C</x:v>
      </x:c>
      <x:c r="G64" s="105" t="n">
        <x:f>IFERROR(INDEX('分期持仓明细'!$B$5:$Y$200,G$82-4,MATCH(LEFT($A64,6),'分期持仓明细'!$B$3:$Y$3,0))*INDEX('实盘净值数据(iFinD公式)'!$B$5:$Y$1000,$B$81,MATCH($A64,'实盘净值数据(iFinD公式)'!$B$3:$Y$3,0))/INDEX('实盘净值数据(iFinD公式)'!$B$5:$Y$1000,MATCH(G$84,'实盘净值数据(iFinD公式)'!$A$5:$A$1000,0),MATCH($A64,'实盘净值数据(iFinD公式)'!$B$3:$Y$3,0))/G$85,G100)</x:f>
        <x:v>0</x:v>
      </x:c>
      <x:c r="H64" s="105" t="n">
        <x:f>IFERROR(INDEX('分期持仓明细'!$B$5:$Y$200,H$82-4,MATCH(LEFT($A64,6),'分期持仓明细'!$B$3:$Y$3,0))*INDEX('实盘净值数据(iFinD公式)'!$B$5:$Y$1000,$B$81,MATCH($A64,'实盘净值数据(iFinD公式)'!$B$3:$Y$3,0))/INDEX('实盘净值数据(iFinD公式)'!$B$5:$Y$1000,MATCH(H$84,'实盘净值数据(iFinD公式)'!$A$5:$A$1000,0),MATCH($A64,'实盘净值数据(iFinD公式)'!$B$3:$Y$3,0))/H$85,H100)</x:f>
        <x:v>0</x:v>
      </x:c>
      <x:c r="I64" s="105" t="n">
        <x:f>IFERROR(INDEX('分期持仓明细'!$B$5:$Y$200,I$82-4,MATCH(LEFT($A64,6),'分期持仓明细'!$B$3:$Y$3,0))*INDEX('实盘净值数据(iFinD公式)'!$B$5:$Y$1000,$B$81,MATCH($A64,'实盘净值数据(iFinD公式)'!$B$3:$Y$3,0))/INDEX('实盘净值数据(iFinD公式)'!$B$5:$Y$1000,MATCH(I$84,'实盘净值数据(iFinD公式)'!$A$5:$A$1000,0),MATCH($A64,'实盘净值数据(iFinD公式)'!$B$3:$Y$3,0))/I$85,I100)</x:f>
        <x:v>0</x:v>
      </x:c>
      <x:c r="J64" s="105" t="n">
        <x:f>IFERROR(INDEX('分期持仓明细'!$B$5:$Y$200,J$82-4,MATCH(LEFT($A64,6),'分期持仓明细'!$B$3:$Y$3,0))*INDEX('实盘净值数据(iFinD公式)'!$B$5:$Y$1000,$B$81,MATCH($A64,'实盘净值数据(iFinD公式)'!$B$3:$Y$3,0))/INDEX('实盘净值数据(iFinD公式)'!$B$5:$Y$1000,MATCH(J$84,'实盘净值数据(iFinD公式)'!$A$5:$A$1000,0),MATCH($A64,'实盘净值数据(iFinD公式)'!$B$3:$Y$3,0))/J$85,J100)</x:f>
        <x:v>0.01288170822388295</x:v>
      </x:c>
      <x:c r="K64" s="105" t="n">
        <x:f>IFERROR(INDEX('分期持仓明细'!$B$5:$Y$200,K$82-4,MATCH(LEFT($A64,6),'分期持仓明细'!$B$3:$Y$3,0))*INDEX('实盘净值数据(iFinD公式)'!$B$5:$Y$1000,$B$81,MATCH($A64,'实盘净值数据(iFinD公式)'!$B$3:$Y$3,0))/INDEX('实盘净值数据(iFinD公式)'!$B$5:$Y$1000,MATCH(K$84,'实盘净值数据(iFinD公式)'!$A$5:$A$1000,0),MATCH($A64,'实盘净值数据(iFinD公式)'!$B$3:$Y$3,0))/K$85,K100)</x:f>
        <x:v>0</x:v>
      </x:c>
      <x:c r="L64" s="105" t="n">
        <x:f>IFERROR(INDEX('分期持仓明细'!$B$5:$Y$200,L$82-4,MATCH(LEFT($A64,6),'分期持仓明细'!$B$3:$Y$3,0))*INDEX('实盘净值数据(iFinD公式)'!$B$5:$Y$1000,$B$81,MATCH($A64,'实盘净值数据(iFinD公式)'!$B$3:$Y$3,0))/INDEX('实盘净值数据(iFinD公式)'!$B$5:$Y$1000,MATCH(L$84,'实盘净值数据(iFinD公式)'!$A$5:$A$1000,0),MATCH($A64,'实盘净值数据(iFinD公式)'!$B$3:$Y$3,0))/L$85,L100)</x:f>
        <x:v>0.03849114616684735</x:v>
      </x:c>
      <x:c r="M64" t="str">
        <x:f>IF(G64&gt;0,COUNTIF(G$53:G64,"&gt;0"),"")</x:f>
      </x:c>
      <x:c r="N64" t="str">
        <x:f>IF(H64&gt;0,COUNTIF(H$53:H64,"&gt;0"),"")</x:f>
      </x:c>
      <x:c r="O64" t="str">
        <x:f>IF(I64&gt;0,COUNTIF(I$53:I64,"&gt;0"),"")</x:f>
      </x:c>
      <x:c r="P64" t="n">
        <x:f>IF(J64&gt;0,COUNTIF(J$53:J64,"&gt;0"),"")</x:f>
        <x:v>6</x:v>
      </x:c>
      <x:c r="Q64" t="str">
        <x:f>IF(K64&gt;0,COUNTIF(K$53:K64,"&gt;0"),"")</x:f>
      </x:c>
      <x:c r="R64" t="n">
        <x:f>IF(L64&gt;0,COUNTIF(L$53:L64,"&gt;0"),"")</x:f>
        <x:v>6</x:v>
      </x:c>
    </x:row>
    <x:row r="65">
      <x:c r="A65" s="104" t="str">
        <x:v>015453.OF</x:v>
      </x:c>
      <x:c r="B65" s="99" t="str">
        <x:v>中欧中证500指增A</x:v>
      </x:c>
      <x:c r="C65" s="104" t="str">
        <x:v>增值</x:v>
      </x:c>
      <x:c r="D65" s="104" t="str">
        <x:v>指增</x:v>
      </x:c>
      <x:c r="E65" s="104" t="str">
        <x:v>指增</x:v>
      </x:c>
      <x:c r="F65" s="104" t="str">
        <x:v>宽基&amp;指增池</x:v>
      </x:c>
      <x:c r="G65" s="105" t="n">
        <x:f>IFERROR(INDEX('分期持仓明细'!$B$5:$Y$200,G$82-4,MATCH(LEFT($A65,6),'分期持仓明细'!$B$3:$Y$3,0))*INDEX('实盘净值数据(iFinD公式)'!$B$5:$Y$1000,$B$81,MATCH($A65,'实盘净值数据(iFinD公式)'!$B$3:$Y$3,0))/INDEX('实盘净值数据(iFinD公式)'!$B$5:$Y$1000,MATCH(G$84,'实盘净值数据(iFinD公式)'!$A$5:$A$1000,0),MATCH($A65,'实盘净值数据(iFinD公式)'!$B$3:$Y$3,0))/G$85,G101)</x:f>
        <x:v>0</x:v>
      </x:c>
      <x:c r="H65" s="105" t="n">
        <x:f>IFERROR(INDEX('分期持仓明细'!$B$5:$Y$200,H$82-4,MATCH(LEFT($A65,6),'分期持仓明细'!$B$3:$Y$3,0))*INDEX('实盘净值数据(iFinD公式)'!$B$5:$Y$1000,$B$81,MATCH($A65,'实盘净值数据(iFinD公式)'!$B$3:$Y$3,0))/INDEX('实盘净值数据(iFinD公式)'!$B$5:$Y$1000,MATCH(H$84,'实盘净值数据(iFinD公式)'!$A$5:$A$1000,0),MATCH($A65,'实盘净值数据(iFinD公式)'!$B$3:$Y$3,0))/H$85,H101)</x:f>
        <x:v>0</x:v>
      </x:c>
      <x:c r="I65" s="105" t="n">
        <x:f>IFERROR(INDEX('分期持仓明细'!$B$5:$Y$200,I$82-4,MATCH(LEFT($A65,6),'分期持仓明细'!$B$3:$Y$3,0))*INDEX('实盘净值数据(iFinD公式)'!$B$5:$Y$1000,$B$81,MATCH($A65,'实盘净值数据(iFinD公式)'!$B$3:$Y$3,0))/INDEX('实盘净值数据(iFinD公式)'!$B$5:$Y$1000,MATCH(I$84,'实盘净值数据(iFinD公式)'!$A$5:$A$1000,0),MATCH($A65,'实盘净值数据(iFinD公式)'!$B$3:$Y$3,0))/I$85,I101)</x:f>
        <x:v>0</x:v>
      </x:c>
      <x:c r="J65" s="105" t="n">
        <x:f>IFERROR(INDEX('分期持仓明细'!$B$5:$Y$200,J$82-4,MATCH(LEFT($A65,6),'分期持仓明细'!$B$3:$Y$3,0))*INDEX('实盘净值数据(iFinD公式)'!$B$5:$Y$1000,$B$81,MATCH($A65,'实盘净值数据(iFinD公式)'!$B$3:$Y$3,0))/INDEX('实盘净值数据(iFinD公式)'!$B$5:$Y$1000,MATCH(J$84,'实盘净值数据(iFinD公式)'!$A$5:$A$1000,0),MATCH($A65,'实盘净值数据(iFinD公式)'!$B$3:$Y$3,0))/J$85,J101)</x:f>
        <x:v>0</x:v>
      </x:c>
      <x:c r="K65" s="105" t="n">
        <x:f>IFERROR(INDEX('分期持仓明细'!$B$5:$Y$200,K$82-4,MATCH(LEFT($A65,6),'分期持仓明细'!$B$3:$Y$3,0))*INDEX('实盘净值数据(iFinD公式)'!$B$5:$Y$1000,$B$81,MATCH($A65,'实盘净值数据(iFinD公式)'!$B$3:$Y$3,0))/INDEX('实盘净值数据(iFinD公式)'!$B$5:$Y$1000,MATCH(K$84,'实盘净值数据(iFinD公式)'!$A$5:$A$1000,0),MATCH($A65,'实盘净值数据(iFinD公式)'!$B$3:$Y$3,0))/K$85,K101)</x:f>
        <x:v>0.01331135566096293</x:v>
      </x:c>
      <x:c r="L65" s="105" t="n">
        <x:f>IFERROR(INDEX('分期持仓明细'!$B$5:$Y$200,L$82-4,MATCH(LEFT($A65,6),'分期持仓明细'!$B$3:$Y$3,0))*INDEX('实盘净值数据(iFinD公式)'!$B$5:$Y$1000,$B$81,MATCH($A65,'实盘净值数据(iFinD公式)'!$B$3:$Y$3,0))/INDEX('实盘净值数据(iFinD公式)'!$B$5:$Y$1000,MATCH(L$84,'实盘净值数据(iFinD公式)'!$A$5:$A$1000,0),MATCH($A65,'实盘净值数据(iFinD公式)'!$B$3:$Y$3,0))/L$85,L101)</x:f>
        <x:v>0</x:v>
      </x:c>
      <x:c r="M65" t="str">
        <x:f>IF(G65&gt;0,COUNTIF(G$53:G65,"&gt;0"),"")</x:f>
      </x:c>
      <x:c r="N65" t="str">
        <x:f>IF(H65&gt;0,COUNTIF(H$53:H65,"&gt;0"),"")</x:f>
      </x:c>
      <x:c r="O65" t="str">
        <x:f>IF(I65&gt;0,COUNTIF(I$53:I65,"&gt;0"),"")</x:f>
      </x:c>
      <x:c r="P65" t="str">
        <x:f>IF(J65&gt;0,COUNTIF(J$53:J65,"&gt;0"),"")</x:f>
      </x:c>
      <x:c r="Q65" t="n">
        <x:f>IF(K65&gt;0,COUNTIF(K$53:K65,"&gt;0"),"")</x:f>
        <x:v>7</x:v>
      </x:c>
      <x:c r="R65" t="str">
        <x:f>IF(L65&gt;0,COUNTIF(L$53:L65,"&gt;0"),"")</x:f>
      </x:c>
    </x:row>
    <x:row r="66">
      <x:c r="A66" s="104" t="str">
        <x:v>015454.OF</x:v>
      </x:c>
      <x:c r="B66" s="99" t="str">
        <x:v>中欧中证500指增C</x:v>
      </x:c>
      <x:c r="C66" s="104" t="str">
        <x:v>增值</x:v>
      </x:c>
      <x:c r="D66" s="104" t="str">
        <x:v>指增</x:v>
      </x:c>
      <x:c r="E66" s="104" t="str">
        <x:v>指增</x:v>
      </x:c>
      <x:c r="F66" s="104" t="str">
        <x:v>同基金A/C</x:v>
      </x:c>
      <x:c r="G66" s="105" t="n">
        <x:f>IFERROR(INDEX('分期持仓明细'!$B$5:$Y$200,G$82-4,MATCH(LEFT($A66,6),'分期持仓明细'!$B$3:$Y$3,0))*INDEX('实盘净值数据(iFinD公式)'!$B$5:$Y$1000,$B$81,MATCH($A66,'实盘净值数据(iFinD公式)'!$B$3:$Y$3,0))/INDEX('实盘净值数据(iFinD公式)'!$B$5:$Y$1000,MATCH(G$84,'实盘净值数据(iFinD公式)'!$A$5:$A$1000,0),MATCH($A66,'实盘净值数据(iFinD公式)'!$B$3:$Y$3,0))/G$85,G102)</x:f>
        <x:v>0</x:v>
      </x:c>
      <x:c r="H66" s="105" t="n">
        <x:f>IFERROR(INDEX('分期持仓明细'!$B$5:$Y$200,H$82-4,MATCH(LEFT($A66,6),'分期持仓明细'!$B$3:$Y$3,0))*INDEX('实盘净值数据(iFinD公式)'!$B$5:$Y$1000,$B$81,MATCH($A66,'实盘净值数据(iFinD公式)'!$B$3:$Y$3,0))/INDEX('实盘净值数据(iFinD公式)'!$B$5:$Y$1000,MATCH(H$84,'实盘净值数据(iFinD公式)'!$A$5:$A$1000,0),MATCH($A66,'实盘净值数据(iFinD公式)'!$B$3:$Y$3,0))/H$85,H102)</x:f>
        <x:v>0</x:v>
      </x:c>
      <x:c r="I66" s="105" t="n">
        <x:f>IFERROR(INDEX('分期持仓明细'!$B$5:$Y$200,I$82-4,MATCH(LEFT($A66,6),'分期持仓明细'!$B$3:$Y$3,0))*INDEX('实盘净值数据(iFinD公式)'!$B$5:$Y$1000,$B$81,MATCH($A66,'实盘净值数据(iFinD公式)'!$B$3:$Y$3,0))/INDEX('实盘净值数据(iFinD公式)'!$B$5:$Y$1000,MATCH(I$84,'实盘净值数据(iFinD公式)'!$A$5:$A$1000,0),MATCH($A66,'实盘净值数据(iFinD公式)'!$B$3:$Y$3,0))/I$85,I102)</x:f>
        <x:v>0</x:v>
      </x:c>
      <x:c r="J66" s="105" t="n">
        <x:f>IFERROR(INDEX('分期持仓明细'!$B$5:$Y$200,J$82-4,MATCH(LEFT($A66,6),'分期持仓明细'!$B$3:$Y$3,0))*INDEX('实盘净值数据(iFinD公式)'!$B$5:$Y$1000,$B$81,MATCH($A66,'实盘净值数据(iFinD公式)'!$B$3:$Y$3,0))/INDEX('实盘净值数据(iFinD公式)'!$B$5:$Y$1000,MATCH(J$84,'实盘净值数据(iFinD公式)'!$A$5:$A$1000,0),MATCH($A66,'实盘净值数据(iFinD公式)'!$B$3:$Y$3,0))/J$85,J102)</x:f>
        <x:v>0.01300899943471813</x:v>
      </x:c>
      <x:c r="K66" s="105" t="n">
        <x:f>IFERROR(INDEX('分期持仓明细'!$B$5:$Y$200,K$82-4,MATCH(LEFT($A66,6),'分期持仓明细'!$B$3:$Y$3,0))*INDEX('实盘净值数据(iFinD公式)'!$B$5:$Y$1000,$B$81,MATCH($A66,'实盘净值数据(iFinD公式)'!$B$3:$Y$3,0))/INDEX('实盘净值数据(iFinD公式)'!$B$5:$Y$1000,MATCH(K$84,'实盘净值数据(iFinD公式)'!$A$5:$A$1000,0),MATCH($A66,'实盘净值数据(iFinD公式)'!$B$3:$Y$3,0))/K$85,K102)</x:f>
        <x:v>0</x:v>
      </x:c>
      <x:c r="L66" s="105" t="n">
        <x:f>IFERROR(INDEX('分期持仓明细'!$B$5:$Y$200,L$82-4,MATCH(LEFT($A66,6),'分期持仓明细'!$B$3:$Y$3,0))*INDEX('实盘净值数据(iFinD公式)'!$B$5:$Y$1000,$B$81,MATCH($A66,'实盘净值数据(iFinD公式)'!$B$3:$Y$3,0))/INDEX('实盘净值数据(iFinD公式)'!$B$5:$Y$1000,MATCH(L$84,'实盘净值数据(iFinD公式)'!$A$5:$A$1000,0),MATCH($A66,'实盘净值数据(iFinD公式)'!$B$3:$Y$3,0))/L$85,L102)</x:f>
        <x:v>0.03886861841160838</x:v>
      </x:c>
      <x:c r="M66" t="str">
        <x:f>IF(G66&gt;0,COUNTIF(G$53:G66,"&gt;0"),"")</x:f>
      </x:c>
      <x:c r="N66" t="str">
        <x:f>IF(H66&gt;0,COUNTIF(H$53:H66,"&gt;0"),"")</x:f>
      </x:c>
      <x:c r="O66" t="str">
        <x:f>IF(I66&gt;0,COUNTIF(I$53:I66,"&gt;0"),"")</x:f>
      </x:c>
      <x:c r="P66" t="n">
        <x:f>IF(J66&gt;0,COUNTIF(J$53:J66,"&gt;0"),"")</x:f>
        <x:v>7</x:v>
      </x:c>
      <x:c r="Q66" t="str">
        <x:f>IF(K66&gt;0,COUNTIF(K$53:K66,"&gt;0"),"")</x:f>
      </x:c>
      <x:c r="R66" t="n">
        <x:f>IF(L66&gt;0,COUNTIF(L$53:L66,"&gt;0"),"")</x:f>
        <x:v>7</x:v>
      </x:c>
    </x:row>
    <x:row r="67">
      <x:c r="A67" s="104" t="str">
        <x:v>016370.OF</x:v>
      </x:c>
      <x:c r="B67" s="99" t="str">
        <x:v>信澳业绩驱动A</x:v>
      </x:c>
      <x:c r="C67" s="104" t="str">
        <x:v>增值</x:v>
      </x:c>
      <x:c r="D67" s="104" t="str">
        <x:v>产业趋势</x:v>
      </x:c>
      <x:c r="E67" s="104" t="str">
        <x:v>主动</x:v>
      </x:c>
      <x:c r="F67" s="104" t="str">
        <x:v>产业趋势产品池</x:v>
      </x:c>
      <x:c r="G67" s="105" t="n">
        <x:f>IFERROR(INDEX('分期持仓明细'!$B$5:$Y$200,G$82-4,MATCH(LEFT($A67,6),'分期持仓明细'!$B$3:$Y$3,0))*INDEX('实盘净值数据(iFinD公式)'!$B$5:$Y$1000,$B$81,MATCH($A67,'实盘净值数据(iFinD公式)'!$B$3:$Y$3,0))/INDEX('实盘净值数据(iFinD公式)'!$B$5:$Y$1000,MATCH(G$84,'实盘净值数据(iFinD公式)'!$A$5:$A$1000,0),MATCH($A67,'实盘净值数据(iFinD公式)'!$B$3:$Y$3,0))/G$85,G103)</x:f>
        <x:v>0.15912488007417924</x:v>
      </x:c>
      <x:c r="H67" s="105" t="n">
        <x:f>IFERROR(INDEX('分期持仓明细'!$B$5:$Y$200,H$82-4,MATCH(LEFT($A67,6),'分期持仓明细'!$B$3:$Y$3,0))*INDEX('实盘净值数据(iFinD公式)'!$B$5:$Y$1000,$B$81,MATCH($A67,'实盘净值数据(iFinD公式)'!$B$3:$Y$3,0))/INDEX('实盘净值数据(iFinD公式)'!$B$5:$Y$1000,MATCH(H$84,'实盘净值数据(iFinD公式)'!$A$5:$A$1000,0),MATCH($A67,'实盘净值数据(iFinD公式)'!$B$3:$Y$3,0))/H$85,H103)</x:f>
        <x:v>0.15902507905426536</x:v>
      </x:c>
      <x:c r="I67" s="105" t="n">
        <x:f>IFERROR(INDEX('分期持仓明细'!$B$5:$Y$200,I$82-4,MATCH(LEFT($A67,6),'分期持仓明细'!$B$3:$Y$3,0))*INDEX('实盘净值数据(iFinD公式)'!$B$5:$Y$1000,$B$81,MATCH($A67,'实盘净值数据(iFinD公式)'!$B$3:$Y$3,0))/INDEX('实盘净值数据(iFinD公式)'!$B$5:$Y$1000,MATCH(I$84,'实盘净值数据(iFinD公式)'!$A$5:$A$1000,0),MATCH($A67,'实盘净值数据(iFinD公式)'!$B$3:$Y$3,0))/I$85,I103)</x:f>
        <x:v>0</x:v>
      </x:c>
      <x:c r="J67" s="105" t="n">
        <x:f>IFERROR(INDEX('分期持仓明细'!$B$5:$Y$200,J$82-4,MATCH(LEFT($A67,6),'分期持仓明细'!$B$3:$Y$3,0))*INDEX('实盘净值数据(iFinD公式)'!$B$5:$Y$1000,$B$81,MATCH($A67,'实盘净值数据(iFinD公式)'!$B$3:$Y$3,0))/INDEX('实盘净值数据(iFinD公式)'!$B$5:$Y$1000,MATCH(J$84,'实盘净值数据(iFinD公式)'!$A$5:$A$1000,0),MATCH($A67,'实盘净值数据(iFinD公式)'!$B$3:$Y$3,0))/J$85,J103)</x:f>
        <x:v>0</x:v>
      </x:c>
      <x:c r="K67" s="105" t="n">
        <x:f>IFERROR(INDEX('分期持仓明细'!$B$5:$Y$200,K$82-4,MATCH(LEFT($A67,6),'分期持仓明细'!$B$3:$Y$3,0))*INDEX('实盘净值数据(iFinD公式)'!$B$5:$Y$1000,$B$81,MATCH($A67,'实盘净值数据(iFinD公式)'!$B$3:$Y$3,0))/INDEX('实盘净值数据(iFinD公式)'!$B$5:$Y$1000,MATCH(K$84,'实盘净值数据(iFinD公式)'!$A$5:$A$1000,0),MATCH($A67,'实盘净值数据(iFinD公式)'!$B$3:$Y$3,0))/K$85,K103)</x:f>
        <x:v>0.00840985580066948</x:v>
      </x:c>
      <x:c r="L67" s="105" t="n">
        <x:f>IFERROR(INDEX('分期持仓明细'!$B$5:$Y$200,L$82-4,MATCH(LEFT($A67,6),'分期持仓明细'!$B$3:$Y$3,0))*INDEX('实盘净值数据(iFinD公式)'!$B$5:$Y$1000,$B$81,MATCH($A67,'实盘净值数据(iFinD公式)'!$B$3:$Y$3,0))/INDEX('实盘净值数据(iFinD公式)'!$B$5:$Y$1000,MATCH(L$84,'实盘净值数据(iFinD公式)'!$A$5:$A$1000,0),MATCH($A67,'实盘净值数据(iFinD公式)'!$B$3:$Y$3,0))/L$85,L103)</x:f>
        <x:v>0</x:v>
      </x:c>
      <x:c r="M67" t="n">
        <x:f>IF(G67&gt;0,COUNTIF(G$53:G67,"&gt;0"),"")</x:f>
        <x:v>4</x:v>
      </x:c>
      <x:c r="N67" t="n">
        <x:f>IF(H67&gt;0,COUNTIF(H$53:H67,"&gt;0"),"")</x:f>
        <x:v>4</x:v>
      </x:c>
      <x:c r="O67" t="str">
        <x:f>IF(I67&gt;0,COUNTIF(I$53:I67,"&gt;0"),"")</x:f>
      </x:c>
      <x:c r="P67" t="str">
        <x:f>IF(J67&gt;0,COUNTIF(J$53:J67,"&gt;0"),"")</x:f>
      </x:c>
      <x:c r="Q67" t="n">
        <x:f>IF(K67&gt;0,COUNTIF(K$53:K67,"&gt;0"),"")</x:f>
        <x:v>8</x:v>
      </x:c>
      <x:c r="R67" t="str">
        <x:f>IF(L67&gt;0,COUNTIF(L$53:L67,"&gt;0"),"")</x:f>
      </x:c>
    </x:row>
    <x:row r="68">
      <x:c r="A68" s="104" t="str">
        <x:v>017488.OF</x:v>
      </x:c>
      <x:c r="B68" s="99" t="str">
        <x:v>嘉实信息产业A</x:v>
      </x:c>
      <x:c r="C68" s="104" t="str">
        <x:v>增值</x:v>
      </x:c>
      <x:c r="D68" s="104" t="str">
        <x:v>产业趋势</x:v>
      </x:c>
      <x:c r="E68" s="104" t="str">
        <x:v>主动</x:v>
      </x:c>
      <x:c r="F68" s="104" t="str">
        <x:v>产业趋势产品池</x:v>
      </x:c>
      <x:c r="G68" s="105" t="n">
        <x:f>IFERROR(INDEX('分期持仓明细'!$B$5:$Y$200,G$82-4,MATCH(LEFT($A68,6),'分期持仓明细'!$B$3:$Y$3,0))*INDEX('实盘净值数据(iFinD公式)'!$B$5:$Y$1000,$B$81,MATCH($A68,'实盘净值数据(iFinD公式)'!$B$3:$Y$3,0))/INDEX('实盘净值数据(iFinD公式)'!$B$5:$Y$1000,MATCH(G$84,'实盘净值数据(iFinD公式)'!$A$5:$A$1000,0),MATCH($A68,'实盘净值数据(iFinD公式)'!$B$3:$Y$3,0))/G$85,G104)</x:f>
        <x:v>0.17230499151577977</x:v>
      </x:c>
      <x:c r="H68" s="105" t="n">
        <x:f>IFERROR(INDEX('分期持仓明细'!$B$5:$Y$200,H$82-4,MATCH(LEFT($A68,6),'分期持仓明细'!$B$3:$Y$3,0))*INDEX('实盘净值数据(iFinD公式)'!$B$5:$Y$1000,$B$81,MATCH($A68,'实盘净值数据(iFinD公式)'!$B$3:$Y$3,0))/INDEX('实盘净值数据(iFinD公式)'!$B$5:$Y$1000,MATCH(H$84,'实盘净值数据(iFinD公式)'!$A$5:$A$1000,0),MATCH($A68,'实盘净值数据(iFinD公式)'!$B$3:$Y$3,0))/H$85,H104)</x:f>
        <x:v>0.17310992190249347</x:v>
      </x:c>
      <x:c r="I68" s="105" t="n">
        <x:f>IFERROR(INDEX('分期持仓明细'!$B$5:$Y$200,I$82-4,MATCH(LEFT($A68,6),'分期持仓明细'!$B$3:$Y$3,0))*INDEX('实盘净值数据(iFinD公式)'!$B$5:$Y$1000,$B$81,MATCH($A68,'实盘净值数据(iFinD公式)'!$B$3:$Y$3,0))/INDEX('实盘净值数据(iFinD公式)'!$B$5:$Y$1000,MATCH(I$84,'实盘净值数据(iFinD公式)'!$A$5:$A$1000,0),MATCH($A68,'实盘净值数据(iFinD公式)'!$B$3:$Y$3,0))/I$85,I104)</x:f>
        <x:v>0</x:v>
      </x:c>
      <x:c r="J68" s="105" t="n">
        <x:f>IFERROR(INDEX('分期持仓明细'!$B$5:$Y$200,J$82-4,MATCH(LEFT($A68,6),'分期持仓明细'!$B$3:$Y$3,0))*INDEX('实盘净值数据(iFinD公式)'!$B$5:$Y$1000,$B$81,MATCH($A68,'实盘净值数据(iFinD公式)'!$B$3:$Y$3,0))/INDEX('实盘净值数据(iFinD公式)'!$B$5:$Y$1000,MATCH(J$84,'实盘净值数据(iFinD公式)'!$A$5:$A$1000,0),MATCH($A68,'实盘净值数据(iFinD公式)'!$B$3:$Y$3,0))/J$85,J104)</x:f>
        <x:v>0</x:v>
      </x:c>
      <x:c r="K68" s="105" t="n">
        <x:f>IFERROR(INDEX('分期持仓明细'!$B$5:$Y$200,K$82-4,MATCH(LEFT($A68,6),'分期持仓明细'!$B$3:$Y$3,0))*INDEX('实盘净值数据(iFinD公式)'!$B$5:$Y$1000,$B$81,MATCH($A68,'实盘净值数据(iFinD公式)'!$B$3:$Y$3,0))/INDEX('实盘净值数据(iFinD公式)'!$B$5:$Y$1000,MATCH(K$84,'实盘净值数据(iFinD公式)'!$A$5:$A$1000,0),MATCH($A68,'实盘净值数据(iFinD公式)'!$B$3:$Y$3,0))/K$85,K104)</x:f>
        <x:v>0.008980180698834838</x:v>
      </x:c>
      <x:c r="L68" s="105" t="n">
        <x:f>IFERROR(INDEX('分期持仓明细'!$B$5:$Y$200,L$82-4,MATCH(LEFT($A68,6),'分期持仓明细'!$B$3:$Y$3,0))*INDEX('实盘净值数据(iFinD公式)'!$B$5:$Y$1000,$B$81,MATCH($A68,'实盘净值数据(iFinD公式)'!$B$3:$Y$3,0))/INDEX('实盘净值数据(iFinD公式)'!$B$5:$Y$1000,MATCH(L$84,'实盘净值数据(iFinD公式)'!$A$5:$A$1000,0),MATCH($A68,'实盘净值数据(iFinD公式)'!$B$3:$Y$3,0))/L$85,L104)</x:f>
        <x:v>0</x:v>
      </x:c>
      <x:c r="M68" t="n">
        <x:f>IF(G68&gt;0,COUNTIF(G$53:G68,"&gt;0"),"")</x:f>
        <x:v>5</x:v>
      </x:c>
      <x:c r="N68" t="n">
        <x:f>IF(H68&gt;0,COUNTIF(H$53:H68,"&gt;0"),"")</x:f>
        <x:v>5</x:v>
      </x:c>
      <x:c r="O68" t="str">
        <x:f>IF(I68&gt;0,COUNTIF(I$53:I68,"&gt;0"),"")</x:f>
      </x:c>
      <x:c r="P68" t="str">
        <x:f>IF(J68&gt;0,COUNTIF(J$53:J68,"&gt;0"),"")</x:f>
      </x:c>
      <x:c r="Q68" t="n">
        <x:f>IF(K68&gt;0,COUNTIF(K$53:K68,"&gt;0"),"")</x:f>
        <x:v>9</x:v>
      </x:c>
      <x:c r="R68" t="str">
        <x:f>IF(L68&gt;0,COUNTIF(L$53:L68,"&gt;0"),"")</x:f>
      </x:c>
    </x:row>
    <x:row r="69">
      <x:c r="A69" s="104" t="str">
        <x:v>017489.OF</x:v>
      </x:c>
      <x:c r="B69" s="99" t="str">
        <x:v>嘉实信息产业C</x:v>
      </x:c>
      <x:c r="C69" s="104" t="str">
        <x:v>增值</x:v>
      </x:c>
      <x:c r="D69" s="104" t="str">
        <x:v>产业趋势</x:v>
      </x:c>
      <x:c r="E69" s="104" t="str">
        <x:v>主动</x:v>
      </x:c>
      <x:c r="F69" s="104" t="str">
        <x:v>同基金A/C</x:v>
      </x:c>
      <x:c r="G69" s="105" t="n">
        <x:f>IFERROR(INDEX('分期持仓明细'!$B$5:$Y$200,G$82-4,MATCH(LEFT($A69,6),'分期持仓明细'!$B$3:$Y$3,0))*INDEX('实盘净值数据(iFinD公式)'!$B$5:$Y$1000,$B$81,MATCH($A69,'实盘净值数据(iFinD公式)'!$B$3:$Y$3,0))/INDEX('实盘净值数据(iFinD公式)'!$B$5:$Y$1000,MATCH(G$84,'实盘净值数据(iFinD公式)'!$A$5:$A$1000,0),MATCH($A69,'实盘净值数据(iFinD公式)'!$B$3:$Y$3,0))/G$85,G105)</x:f>
        <x:v>0</x:v>
      </x:c>
      <x:c r="H69" s="105" t="n">
        <x:f>IFERROR(INDEX('分期持仓明细'!$B$5:$Y$200,H$82-4,MATCH(LEFT($A69,6),'分期持仓明细'!$B$3:$Y$3,0))*INDEX('实盘净值数据(iFinD公式)'!$B$5:$Y$1000,$B$81,MATCH($A69,'实盘净值数据(iFinD公式)'!$B$3:$Y$3,0))/INDEX('实盘净值数据(iFinD公式)'!$B$5:$Y$1000,MATCH(H$84,'实盘净值数据(iFinD公式)'!$A$5:$A$1000,0),MATCH($A69,'实盘净值数据(iFinD公式)'!$B$3:$Y$3,0))/H$85,H105)</x:f>
        <x:v>0</x:v>
      </x:c>
      <x:c r="I69" s="105" t="n">
        <x:f>IFERROR(INDEX('分期持仓明细'!$B$5:$Y$200,I$82-4,MATCH(LEFT($A69,6),'分期持仓明细'!$B$3:$Y$3,0))*INDEX('实盘净值数据(iFinD公式)'!$B$5:$Y$1000,$B$81,MATCH($A69,'实盘净值数据(iFinD公式)'!$B$3:$Y$3,0))/INDEX('实盘净值数据(iFinD公式)'!$B$5:$Y$1000,MATCH(I$84,'实盘净值数据(iFinD公式)'!$A$5:$A$1000,0),MATCH($A69,'实盘净值数据(iFinD公式)'!$B$3:$Y$3,0))/I$85,I105)</x:f>
        <x:v>0.16814227790813516</x:v>
      </x:c>
      <x:c r="J69" s="105" t="n">
        <x:f>IFERROR(INDEX('分期持仓明细'!$B$5:$Y$200,J$82-4,MATCH(LEFT($A69,6),'分期持仓明细'!$B$3:$Y$3,0))*INDEX('实盘净值数据(iFinD公式)'!$B$5:$Y$1000,$B$81,MATCH($A69,'实盘净值数据(iFinD公式)'!$B$3:$Y$3,0))/INDEX('实盘净值数据(iFinD公式)'!$B$5:$Y$1000,MATCH(J$84,'实盘净值数据(iFinD公式)'!$A$5:$A$1000,0),MATCH($A69,'实盘净值数据(iFinD公式)'!$B$3:$Y$3,0))/J$85,J105)</x:f>
        <x:v>0.008713691952627311</x:v>
      </x:c>
      <x:c r="K69" s="105" t="n">
        <x:f>IFERROR(INDEX('分期持仓明细'!$B$5:$Y$200,K$82-4,MATCH(LEFT($A69,6),'分期持仓明细'!$B$3:$Y$3,0))*INDEX('实盘净值数据(iFinD公式)'!$B$5:$Y$1000,$B$81,MATCH($A69,'实盘净值数据(iFinD公式)'!$B$3:$Y$3,0))/INDEX('实盘净值数据(iFinD公式)'!$B$5:$Y$1000,MATCH(K$84,'实盘净值数据(iFinD公式)'!$A$5:$A$1000,0),MATCH($A69,'实盘净值数据(iFinD公式)'!$B$3:$Y$3,0))/K$85,K105)</x:f>
        <x:v>0</x:v>
      </x:c>
      <x:c r="L69" s="105" t="n">
        <x:f>IFERROR(INDEX('分期持仓明细'!$B$5:$Y$200,L$82-4,MATCH(LEFT($A69,6),'分期持仓明细'!$B$3:$Y$3,0))*INDEX('实盘净值数据(iFinD公式)'!$B$5:$Y$1000,$B$81,MATCH($A69,'实盘净值数据(iFinD公式)'!$B$3:$Y$3,0))/INDEX('实盘净值数据(iFinD公式)'!$B$5:$Y$1000,MATCH(L$84,'实盘净值数据(iFinD公式)'!$A$5:$A$1000,0),MATCH($A69,'实盘净值数据(iFinD公式)'!$B$3:$Y$3,0))/L$85,L105)</x:f>
        <x:v>0.02603644996891972</x:v>
      </x:c>
      <x:c r="M69" t="str">
        <x:f>IF(G69&gt;0,COUNTIF(G$53:G69,"&gt;0"),"")</x:f>
      </x:c>
      <x:c r="N69" t="str">
        <x:f>IF(H69&gt;0,COUNTIF(H$53:H69,"&gt;0"),"")</x:f>
      </x:c>
      <x:c r="O69" t="n">
        <x:f>IF(I69&gt;0,COUNTIF(I$53:I69,"&gt;0"),"")</x:f>
        <x:v>4</x:v>
      </x:c>
      <x:c r="P69" t="n">
        <x:f>IF(J69&gt;0,COUNTIF(J$53:J69,"&gt;0"),"")</x:f>
        <x:v>8</x:v>
      </x:c>
      <x:c r="Q69" t="str">
        <x:f>IF(K69&gt;0,COUNTIF(K$53:K69,"&gt;0"),"")</x:f>
      </x:c>
      <x:c r="R69" t="n">
        <x:f>IF(L69&gt;0,COUNTIF(L$53:L69,"&gt;0"),"")</x:f>
        <x:v>8</x:v>
      </x:c>
    </x:row>
    <x:row r="70">
      <x:c r="A70" s="104" t="str">
        <x:v>017612.OF</x:v>
      </x:c>
      <x:c r="B70" s="99" t="str">
        <x:v>宏利复兴伟业C</x:v>
      </x:c>
      <x:c r="C70" s="104" t="str">
        <x:v>增值</x:v>
      </x:c>
      <x:c r="D70" s="104" t="str">
        <x:v>产业趋势</x:v>
      </x:c>
      <x:c r="E70" s="104" t="str">
        <x:v>主动</x:v>
      </x:c>
      <x:c r="F70" s="104" t="str">
        <x:v>同基金A/C</x:v>
      </x:c>
      <x:c r="G70" s="105" t="n">
        <x:f>IFERROR(INDEX('分期持仓明细'!$B$5:$Y$200,G$82-4,MATCH(LEFT($A70,6),'分期持仓明细'!$B$3:$Y$3,0))*INDEX('实盘净值数据(iFinD公式)'!$B$5:$Y$1000,$B$81,MATCH($A70,'实盘净值数据(iFinD公式)'!$B$3:$Y$3,0))/INDEX('实盘净值数据(iFinD公式)'!$B$5:$Y$1000,MATCH(G$84,'实盘净值数据(iFinD公式)'!$A$5:$A$1000,0),MATCH($A70,'实盘净值数据(iFinD公式)'!$B$3:$Y$3,0))/G$85,G106)</x:f>
        <x:v>0</x:v>
      </x:c>
      <x:c r="H70" s="105" t="n">
        <x:f>IFERROR(INDEX('分期持仓明细'!$B$5:$Y$200,H$82-4,MATCH(LEFT($A70,6),'分期持仓明细'!$B$3:$Y$3,0))*INDEX('实盘净值数据(iFinD公式)'!$B$5:$Y$1000,$B$81,MATCH($A70,'实盘净值数据(iFinD公式)'!$B$3:$Y$3,0))/INDEX('实盘净值数据(iFinD公式)'!$B$5:$Y$1000,MATCH(H$84,'实盘净值数据(iFinD公式)'!$A$5:$A$1000,0),MATCH($A70,'实盘净值数据(iFinD公式)'!$B$3:$Y$3,0))/H$85,H106)</x:f>
        <x:v>0</x:v>
      </x:c>
      <x:c r="I70" s="105" t="n">
        <x:f>IFERROR(INDEX('分期持仓明细'!$B$5:$Y$200,I$82-4,MATCH(LEFT($A70,6),'分期持仓明细'!$B$3:$Y$3,0))*INDEX('实盘净值数据(iFinD公式)'!$B$5:$Y$1000,$B$81,MATCH($A70,'实盘净值数据(iFinD公式)'!$B$3:$Y$3,0))/INDEX('实盘净值数据(iFinD公式)'!$B$5:$Y$1000,MATCH(I$84,'实盘净值数据(iFinD公式)'!$A$5:$A$1000,0),MATCH($A70,'实盘净值数据(iFinD公式)'!$B$3:$Y$3,0))/I$85,I106)</x:f>
        <x:v>0.16735538109816184</x:v>
      </x:c>
      <x:c r="J70" s="105" t="n">
        <x:f>IFERROR(INDEX('分期持仓明细'!$B$5:$Y$200,J$82-4,MATCH(LEFT($A70,6),'分期持仓明细'!$B$3:$Y$3,0))*INDEX('实盘净值数据(iFinD公式)'!$B$5:$Y$1000,$B$81,MATCH($A70,'实盘净值数据(iFinD公式)'!$B$3:$Y$3,0))/INDEX('实盘净值数据(iFinD公式)'!$B$5:$Y$1000,MATCH(J$84,'实盘净值数据(iFinD公式)'!$A$5:$A$1000,0),MATCH($A70,'实盘净值数据(iFinD公式)'!$B$3:$Y$3,0))/J$85,J106)</x:f>
        <x:v>0.008645667148546948</x:v>
      </x:c>
      <x:c r="K70" s="105" t="n">
        <x:f>IFERROR(INDEX('分期持仓明细'!$B$5:$Y$200,K$82-4,MATCH(LEFT($A70,6),'分期持仓明细'!$B$3:$Y$3,0))*INDEX('实盘净值数据(iFinD公式)'!$B$5:$Y$1000,$B$81,MATCH($A70,'实盘净值数据(iFinD公式)'!$B$3:$Y$3,0))/INDEX('实盘净值数据(iFinD公式)'!$B$5:$Y$1000,MATCH(K$84,'实盘净值数据(iFinD公式)'!$A$5:$A$1000,0),MATCH($A70,'实盘净值数据(iFinD公式)'!$B$3:$Y$3,0))/K$85,K106)</x:f>
        <x:v>0</x:v>
      </x:c>
      <x:c r="L70" s="105" t="n">
        <x:f>IFERROR(INDEX('分期持仓明细'!$B$5:$Y$200,L$82-4,MATCH(LEFT($A70,6),'分期持仓明细'!$B$3:$Y$3,0))*INDEX('实盘净值数据(iFinD公式)'!$B$5:$Y$1000,$B$81,MATCH($A70,'实盘净值数据(iFinD公式)'!$B$3:$Y$3,0))/INDEX('实盘净值数据(iFinD公式)'!$B$5:$Y$1000,MATCH(L$84,'实盘净值数据(iFinD公式)'!$A$5:$A$1000,0),MATCH($A70,'实盘净值数据(iFinD公式)'!$B$3:$Y$3,0))/L$85,L106)</x:f>
        <x:v>0.02583404960566663</x:v>
      </x:c>
      <x:c r="M70" t="str">
        <x:f>IF(G70&gt;0,COUNTIF(G$53:G70,"&gt;0"),"")</x:f>
      </x:c>
      <x:c r="N70" t="str">
        <x:f>IF(H70&gt;0,COUNTIF(H$53:H70,"&gt;0"),"")</x:f>
      </x:c>
      <x:c r="O70" t="n">
        <x:f>IF(I70&gt;0,COUNTIF(I$53:I70,"&gt;0"),"")</x:f>
        <x:v>5</x:v>
      </x:c>
      <x:c r="P70" t="n">
        <x:f>IF(J70&gt;0,COUNTIF(J$53:J70,"&gt;0"),"")</x:f>
        <x:v>9</x:v>
      </x:c>
      <x:c r="Q70" t="str">
        <x:f>IF(K70&gt;0,COUNTIF(K$53:K70,"&gt;0"),"")</x:f>
      </x:c>
      <x:c r="R70" t="n">
        <x:f>IF(L70&gt;0,COUNTIF(L$53:L70,"&gt;0"),"")</x:f>
        <x:v>9</x:v>
      </x:c>
    </x:row>
    <x:row r="71">
      <x:c r="A71" s="104" t="str">
        <x:v>019632.OF</x:v>
      </x:c>
      <x:c r="B71" s="99" t="str">
        <x:v>国泰半导体材料设备ETF联接A</x:v>
      </x:c>
      <x:c r="C71" s="104" t="str">
        <x:v>增值</x:v>
      </x:c>
      <x:c r="D71" s="104" t="str">
        <x:v>产业趋势</x:v>
      </x:c>
      <x:c r="E71" s="104" t="str">
        <x:v>指数</x:v>
      </x:c>
      <x:c r="F71" s="104" t="str">
        <x:v>产业趋势产品池</x:v>
      </x:c>
      <x:c r="G71" s="105" t="n">
        <x:f>IFERROR(INDEX('分期持仓明细'!$B$5:$Y$200,G$82-4,MATCH(LEFT($A71,6),'分期持仓明细'!$B$3:$Y$3,0))*INDEX('实盘净值数据(iFinD公式)'!$B$5:$Y$1000,$B$81,MATCH($A71,'实盘净值数据(iFinD公式)'!$B$3:$Y$3,0))/INDEX('实盘净值数据(iFinD公式)'!$B$5:$Y$1000,MATCH(G$84,'实盘净值数据(iFinD公式)'!$A$5:$A$1000,0),MATCH($A71,'实盘净值数据(iFinD公式)'!$B$3:$Y$3,0))/G$85,G107)</x:f>
        <x:v>0.1311286607566896</x:v>
      </x:c>
      <x:c r="H71" s="105" t="n">
        <x:f>IFERROR(INDEX('分期持仓明细'!$B$5:$Y$200,H$82-4,MATCH(LEFT($A71,6),'分期持仓明细'!$B$3:$Y$3,0))*INDEX('实盘净值数据(iFinD公式)'!$B$5:$Y$1000,$B$81,MATCH($A71,'实盘净值数据(iFinD公式)'!$B$3:$Y$3,0))/INDEX('实盘净值数据(iFinD公式)'!$B$5:$Y$1000,MATCH(H$84,'实盘净值数据(iFinD公式)'!$A$5:$A$1000,0),MATCH($A71,'实盘净值数据(iFinD公式)'!$B$3:$Y$3,0))/H$85,H107)</x:f>
        <x:v>0.1317750117897416</x:v>
      </x:c>
      <x:c r="I71" s="105" t="n">
        <x:f>IFERROR(INDEX('分期持仓明细'!$B$5:$Y$200,I$82-4,MATCH(LEFT($A71,6),'分期持仓明细'!$B$3:$Y$3,0))*INDEX('实盘净值数据(iFinD公式)'!$B$5:$Y$1000,$B$81,MATCH($A71,'实盘净值数据(iFinD公式)'!$B$3:$Y$3,0))/INDEX('实盘净值数据(iFinD公式)'!$B$5:$Y$1000,MATCH(I$84,'实盘净值数据(iFinD公式)'!$A$5:$A$1000,0),MATCH($A71,'实盘净值数据(iFinD公式)'!$B$3:$Y$3,0))/I$85,I107)</x:f>
        <x:v>0</x:v>
      </x:c>
      <x:c r="J71" s="105" t="n">
        <x:f>IFERROR(INDEX('分期持仓明细'!$B$5:$Y$200,J$82-4,MATCH(LEFT($A71,6),'分期持仓明细'!$B$3:$Y$3,0))*INDEX('实盘净值数据(iFinD公式)'!$B$5:$Y$1000,$B$81,MATCH($A71,'实盘净值数据(iFinD公式)'!$B$3:$Y$3,0))/INDEX('实盘净值数据(iFinD公式)'!$B$5:$Y$1000,MATCH(J$84,'实盘净值数据(iFinD公式)'!$A$5:$A$1000,0),MATCH($A71,'实盘净值数据(iFinD公式)'!$B$3:$Y$3,0))/J$85,J107)</x:f>
        <x:v>0</x:v>
      </x:c>
      <x:c r="K71" s="105" t="n">
        <x:f>IFERROR(INDEX('分期持仓明细'!$B$5:$Y$200,K$82-4,MATCH(LEFT($A71,6),'分期持仓明细'!$B$3:$Y$3,0))*INDEX('实盘净值数据(iFinD公式)'!$B$5:$Y$1000,$B$81,MATCH($A71,'实盘净值数据(iFinD公式)'!$B$3:$Y$3,0))/INDEX('实盘净值数据(iFinD公式)'!$B$5:$Y$1000,MATCH(K$84,'实盘净值数据(iFinD公式)'!$A$5:$A$1000,0),MATCH($A71,'实盘净值数据(iFinD公式)'!$B$3:$Y$3,0))/K$85,K107)</x:f>
        <x:v>0.005856096818189585</x:v>
      </x:c>
      <x:c r="L71" s="105" t="n">
        <x:f>IFERROR(INDEX('分期持仓明细'!$B$5:$Y$200,L$82-4,MATCH(LEFT($A71,6),'分期持仓明细'!$B$3:$Y$3,0))*INDEX('实盘净值数据(iFinD公式)'!$B$5:$Y$1000,$B$81,MATCH($A71,'实盘净值数据(iFinD公式)'!$B$3:$Y$3,0))/INDEX('实盘净值数据(iFinD公式)'!$B$5:$Y$1000,MATCH(L$84,'实盘净值数据(iFinD公式)'!$A$5:$A$1000,0),MATCH($A71,'实盘净值数据(iFinD公式)'!$B$3:$Y$3,0))/L$85,L107)</x:f>
        <x:v>0</x:v>
      </x:c>
      <x:c r="M71" t="n">
        <x:f>IF(G71&gt;0,COUNTIF(G$53:G71,"&gt;0"),"")</x:f>
        <x:v>6</x:v>
      </x:c>
      <x:c r="N71" t="n">
        <x:f>IF(H71&gt;0,COUNTIF(H$53:H71,"&gt;0"),"")</x:f>
        <x:v>6</x:v>
      </x:c>
      <x:c r="O71" t="str">
        <x:f>IF(I71&gt;0,COUNTIF(I$53:I71,"&gt;0"),"")</x:f>
      </x:c>
      <x:c r="P71" t="str">
        <x:f>IF(J71&gt;0,COUNTIF(J$53:J71,"&gt;0"),"")</x:f>
      </x:c>
      <x:c r="Q71" t="n">
        <x:f>IF(K71&gt;0,COUNTIF(K$53:K71,"&gt;0"),"")</x:f>
        <x:v>10</x:v>
      </x:c>
      <x:c r="R71" t="str">
        <x:f>IF(L71&gt;0,COUNTIF(L$53:L71,"&gt;0"),"")</x:f>
      </x:c>
    </x:row>
    <x:row r="72">
      <x:c r="A72" s="104" t="str">
        <x:v>019633.OF</x:v>
      </x:c>
      <x:c r="B72" s="99" t="str">
        <x:v>国泰半导体材料设备C</x:v>
      </x:c>
      <x:c r="C72" s="104" t="str">
        <x:v>增值</x:v>
      </x:c>
      <x:c r="D72" s="104" t="str">
        <x:v>产业趋势</x:v>
      </x:c>
      <x:c r="E72" s="104" t="str">
        <x:v>指数</x:v>
      </x:c>
      <x:c r="F72" s="104" t="str">
        <x:v>同基金A/C</x:v>
      </x:c>
      <x:c r="G72" s="105" t="n">
        <x:f>IFERROR(INDEX('分期持仓明细'!$B$5:$Y$200,G$82-4,MATCH(LEFT($A72,6),'分期持仓明细'!$B$3:$Y$3,0))*INDEX('实盘净值数据(iFinD公式)'!$B$5:$Y$1000,$B$81,MATCH($A72,'实盘净值数据(iFinD公式)'!$B$3:$Y$3,0))/INDEX('实盘净值数据(iFinD公式)'!$B$5:$Y$1000,MATCH(G$84,'实盘净值数据(iFinD公式)'!$A$5:$A$1000,0),MATCH($A72,'实盘净值数据(iFinD公式)'!$B$3:$Y$3,0))/G$85,G108)</x:f>
        <x:v>0</x:v>
      </x:c>
      <x:c r="H72" s="105" t="n">
        <x:f>IFERROR(INDEX('分期持仓明细'!$B$5:$Y$200,H$82-4,MATCH(LEFT($A72,6),'分期持仓明细'!$B$3:$Y$3,0))*INDEX('实盘净值数据(iFinD公式)'!$B$5:$Y$1000,$B$81,MATCH($A72,'实盘净值数据(iFinD公式)'!$B$3:$Y$3,0))/INDEX('实盘净值数据(iFinD公式)'!$B$5:$Y$1000,MATCH(H$84,'实盘净值数据(iFinD公式)'!$A$5:$A$1000,0),MATCH($A72,'实盘净值数据(iFinD公式)'!$B$3:$Y$3,0))/H$85,H108)</x:f>
        <x:v>0</x:v>
      </x:c>
      <x:c r="I72" s="105" t="n">
        <x:f>IFERROR(INDEX('分期持仓明细'!$B$5:$Y$200,I$82-4,MATCH(LEFT($A72,6),'分期持仓明细'!$B$3:$Y$3,0))*INDEX('实盘净值数据(iFinD公式)'!$B$5:$Y$1000,$B$81,MATCH($A72,'实盘净值数据(iFinD公式)'!$B$3:$Y$3,0))/INDEX('实盘净值数据(iFinD公式)'!$B$5:$Y$1000,MATCH(I$84,'实盘净值数据(iFinD公式)'!$A$5:$A$1000,0),MATCH($A72,'实盘净值数据(iFinD公式)'!$B$3:$Y$3,0))/I$85,I108)</x:f>
        <x:v>0.12507142493000778</x:v>
      </x:c>
      <x:c r="J72" s="105" t="n">
        <x:f>IFERROR(INDEX('分期持仓明细'!$B$5:$Y$200,J$82-4,MATCH(LEFT($A72,6),'分期持仓明细'!$B$3:$Y$3,0))*INDEX('实盘净值数据(iFinD公式)'!$B$5:$Y$1000,$B$81,MATCH($A72,'实盘净值数据(iFinD公式)'!$B$3:$Y$3,0))/INDEX('实盘净值数据(iFinD公式)'!$B$5:$Y$1000,MATCH(J$84,'实盘净值数据(iFinD公式)'!$A$5:$A$1000,0),MATCH($A72,'实盘净值数据(iFinD公式)'!$B$3:$Y$3,0))/J$85,J108)</x:f>
        <x:v>0.005413390810145085</x:v>
      </x:c>
      <x:c r="K72" s="105" t="n">
        <x:f>IFERROR(INDEX('分期持仓明细'!$B$5:$Y$200,K$82-4,MATCH(LEFT($A72,6),'分期持仓明细'!$B$3:$Y$3,0))*INDEX('实盘净值数据(iFinD公式)'!$B$5:$Y$1000,$B$81,MATCH($A72,'实盘净值数据(iFinD公式)'!$B$3:$Y$3,0))/INDEX('实盘净值数据(iFinD公式)'!$B$5:$Y$1000,MATCH(K$84,'实盘净值数据(iFinD公式)'!$A$5:$A$1000,0),MATCH($A72,'实盘净值数据(iFinD公式)'!$B$3:$Y$3,0))/K$85,K108)</x:f>
        <x:v>0</x:v>
      </x:c>
      <x:c r="L72" s="105" t="n">
        <x:f>IFERROR(INDEX('分期持仓明细'!$B$5:$Y$200,L$82-4,MATCH(LEFT($A72,6),'分期持仓明细'!$B$3:$Y$3,0))*INDEX('实盘净值数据(iFinD公式)'!$B$5:$Y$1000,$B$81,MATCH($A72,'实盘净值数据(iFinD公式)'!$B$3:$Y$3,0))/INDEX('实盘净值数据(iFinD公式)'!$B$5:$Y$1000,MATCH(L$84,'实盘净值数据(iFinD公式)'!$A$5:$A$1000,0),MATCH($A72,'实盘净值数据(iFinD公式)'!$B$3:$Y$3,0))/L$85,L108)</x:f>
        <x:v>0.01617480085850223</x:v>
      </x:c>
      <x:c r="M72" t="str">
        <x:f>IF(G72&gt;0,COUNTIF(G$53:G72,"&gt;0"),"")</x:f>
      </x:c>
      <x:c r="N72" t="str">
        <x:f>IF(H72&gt;0,COUNTIF(H$53:H72,"&gt;0"),"")</x:f>
      </x:c>
      <x:c r="O72" t="n">
        <x:f>IF(I72&gt;0,COUNTIF(I$53:I72,"&gt;0"),"")</x:f>
        <x:v>6</x:v>
      </x:c>
      <x:c r="P72" t="n">
        <x:f>IF(J72&gt;0,COUNTIF(J$53:J72,"&gt;0"),"")</x:f>
        <x:v>10</x:v>
      </x:c>
      <x:c r="Q72" t="str">
        <x:f>IF(K72&gt;0,COUNTIF(K$53:K72,"&gt;0"),"")</x:f>
      </x:c>
      <x:c r="R72" t="n">
        <x:f>IF(L72&gt;0,COUNTIF(L$53:L72,"&gt;0"),"")</x:f>
        <x:v>10</x:v>
      </x:c>
    </x:row>
    <x:row r="73">
      <x:c r="A73" s="104" t="str">
        <x:v>019923.OF</x:v>
      </x:c>
      <x:c r="B73" s="99" t="str">
        <x:v>华泰柏瑞中证2000指增A</x:v>
      </x:c>
      <x:c r="C73" s="104" t="str">
        <x:v>增值</x:v>
      </x:c>
      <x:c r="D73" s="104" t="str">
        <x:v>指增</x:v>
      </x:c>
      <x:c r="E73" s="104" t="str">
        <x:v>指增</x:v>
      </x:c>
      <x:c r="F73" s="104" t="str">
        <x:v>宽基&amp;指增池</x:v>
      </x:c>
      <x:c r="G73" s="105" t="n">
        <x:f>IFERROR(INDEX('分期持仓明细'!$B$5:$Y$200,G$82-4,MATCH(LEFT($A73,6),'分期持仓明细'!$B$3:$Y$3,0))*INDEX('实盘净值数据(iFinD公式)'!$B$5:$Y$1000,$B$81,MATCH($A73,'实盘净值数据(iFinD公式)'!$B$3:$Y$3,0))/INDEX('实盘净值数据(iFinD公式)'!$B$5:$Y$1000,MATCH(G$84,'实盘净值数据(iFinD公式)'!$A$5:$A$1000,0),MATCH($A73,'实盘净值数据(iFinD公式)'!$B$3:$Y$3,0))/G$85,G109)</x:f>
        <x:v>0</x:v>
      </x:c>
      <x:c r="H73" s="105" t="n">
        <x:f>IFERROR(INDEX('分期持仓明细'!$B$5:$Y$200,H$82-4,MATCH(LEFT($A73,6),'分期持仓明细'!$B$3:$Y$3,0))*INDEX('实盘净值数据(iFinD公式)'!$B$5:$Y$1000,$B$81,MATCH($A73,'实盘净值数据(iFinD公式)'!$B$3:$Y$3,0))/INDEX('实盘净值数据(iFinD公式)'!$B$5:$Y$1000,MATCH(H$84,'实盘净值数据(iFinD公式)'!$A$5:$A$1000,0),MATCH($A73,'实盘净值数据(iFinD公式)'!$B$3:$Y$3,0))/H$85,H109)</x:f>
        <x:v>0</x:v>
      </x:c>
      <x:c r="I73" s="105" t="n">
        <x:f>IFERROR(INDEX('分期持仓明细'!$B$5:$Y$200,I$82-4,MATCH(LEFT($A73,6),'分期持仓明细'!$B$3:$Y$3,0))*INDEX('实盘净值数据(iFinD公式)'!$B$5:$Y$1000,$B$81,MATCH($A73,'实盘净值数据(iFinD公式)'!$B$3:$Y$3,0))/INDEX('实盘净值数据(iFinD公式)'!$B$5:$Y$1000,MATCH(I$84,'实盘净值数据(iFinD公式)'!$A$5:$A$1000,0),MATCH($A73,'实盘净值数据(iFinD公式)'!$B$3:$Y$3,0))/I$85,I109)</x:f>
        <x:v>0</x:v>
      </x:c>
      <x:c r="J73" s="105" t="n">
        <x:f>IFERROR(INDEX('分期持仓明细'!$B$5:$Y$200,J$82-4,MATCH(LEFT($A73,6),'分期持仓明细'!$B$3:$Y$3,0))*INDEX('实盘净值数据(iFinD公式)'!$B$5:$Y$1000,$B$81,MATCH($A73,'实盘净值数据(iFinD公式)'!$B$3:$Y$3,0))/INDEX('实盘净值数据(iFinD公式)'!$B$5:$Y$1000,MATCH(J$84,'实盘净值数据(iFinD公式)'!$A$5:$A$1000,0),MATCH($A73,'实盘净值数据(iFinD公式)'!$B$3:$Y$3,0))/J$85,J109)</x:f>
        <x:v>0</x:v>
      </x:c>
      <x:c r="K73" s="105" t="n">
        <x:f>IFERROR(INDEX('分期持仓明细'!$B$5:$Y$200,K$82-4,MATCH(LEFT($A73,6),'分期持仓明细'!$B$3:$Y$3,0))*INDEX('实盘净值数据(iFinD公式)'!$B$5:$Y$1000,$B$81,MATCH($A73,'实盘净值数据(iFinD公式)'!$B$3:$Y$3,0))/INDEX('实盘净值数据(iFinD公式)'!$B$5:$Y$1000,MATCH(K$84,'实盘净值数据(iFinD公式)'!$A$5:$A$1000,0),MATCH($A73,'实盘净值数据(iFinD公式)'!$B$3:$Y$3,0))/K$85,K109)</x:f>
        <x:v>0.012743977694171382</x:v>
      </x:c>
      <x:c r="L73" s="105" t="n">
        <x:f>IFERROR(INDEX('分期持仓明细'!$B$5:$Y$200,L$82-4,MATCH(LEFT($A73,6),'分期持仓明细'!$B$3:$Y$3,0))*INDEX('实盘净值数据(iFinD公式)'!$B$5:$Y$1000,$B$81,MATCH($A73,'实盘净值数据(iFinD公式)'!$B$3:$Y$3,0))/INDEX('实盘净值数据(iFinD公式)'!$B$5:$Y$1000,MATCH(L$84,'实盘净值数据(iFinD公式)'!$A$5:$A$1000,0),MATCH($A73,'实盘净值数据(iFinD公式)'!$B$3:$Y$3,0))/L$85,L109)</x:f>
        <x:v>0</x:v>
      </x:c>
      <x:c r="M73" t="str">
        <x:f>IF(G73&gt;0,COUNTIF(G$53:G73,"&gt;0"),"")</x:f>
      </x:c>
      <x:c r="N73" t="str">
        <x:f>IF(H73&gt;0,COUNTIF(H$53:H73,"&gt;0"),"")</x:f>
      </x:c>
      <x:c r="O73" t="str">
        <x:f>IF(I73&gt;0,COUNTIF(I$53:I73,"&gt;0"),"")</x:f>
      </x:c>
      <x:c r="P73" t="str">
        <x:f>IF(J73&gt;0,COUNTIF(J$53:J73,"&gt;0"),"")</x:f>
      </x:c>
      <x:c r="Q73" t="n">
        <x:f>IF(K73&gt;0,COUNTIF(K$53:K73,"&gt;0"),"")</x:f>
        <x:v>11</x:v>
      </x:c>
      <x:c r="R73" t="str">
        <x:f>IF(L73&gt;0,COUNTIF(L$53:L73,"&gt;0"),"")</x:f>
      </x:c>
    </x:row>
    <x:row r="74">
      <x:c r="A74" s="104" t="str">
        <x:v>019924.OF</x:v>
      </x:c>
      <x:c r="B74" s="99" t="str">
        <x:v>华泰柏瑞中证2000指增C</x:v>
      </x:c>
      <x:c r="C74" s="104" t="str">
        <x:v>增值</x:v>
      </x:c>
      <x:c r="D74" s="104" t="str">
        <x:v>指增</x:v>
      </x:c>
      <x:c r="E74" s="104" t="str">
        <x:v>指增</x:v>
      </x:c>
      <x:c r="F74" s="104" t="str">
        <x:v>同基金A/C</x:v>
      </x:c>
      <x:c r="G74" s="105" t="n">
        <x:f>IFERROR(INDEX('分期持仓明细'!$B$5:$Y$200,G$82-4,MATCH(LEFT($A74,6),'分期持仓明细'!$B$3:$Y$3,0))*INDEX('实盘净值数据(iFinD公式)'!$B$5:$Y$1000,$B$81,MATCH($A74,'实盘净值数据(iFinD公式)'!$B$3:$Y$3,0))/INDEX('实盘净值数据(iFinD公式)'!$B$5:$Y$1000,MATCH(G$84,'实盘净值数据(iFinD公式)'!$A$5:$A$1000,0),MATCH($A74,'实盘净值数据(iFinD公式)'!$B$3:$Y$3,0))/G$85,G110)</x:f>
        <x:v>0</x:v>
      </x:c>
      <x:c r="H74" s="105" t="n">
        <x:f>IFERROR(INDEX('分期持仓明细'!$B$5:$Y$200,H$82-4,MATCH(LEFT($A74,6),'分期持仓明细'!$B$3:$Y$3,0))*INDEX('实盘净值数据(iFinD公式)'!$B$5:$Y$1000,$B$81,MATCH($A74,'实盘净值数据(iFinD公式)'!$B$3:$Y$3,0))/INDEX('实盘净值数据(iFinD公式)'!$B$5:$Y$1000,MATCH(H$84,'实盘净值数据(iFinD公式)'!$A$5:$A$1000,0),MATCH($A74,'实盘净值数据(iFinD公式)'!$B$3:$Y$3,0))/H$85,H110)</x:f>
        <x:v>0</x:v>
      </x:c>
      <x:c r="I74" s="105" t="n">
        <x:f>IFERROR(INDEX('分期持仓明细'!$B$5:$Y$200,I$82-4,MATCH(LEFT($A74,6),'分期持仓明细'!$B$3:$Y$3,0))*INDEX('实盘净值数据(iFinD公式)'!$B$5:$Y$1000,$B$81,MATCH($A74,'实盘净值数据(iFinD公式)'!$B$3:$Y$3,0))/INDEX('实盘净值数据(iFinD公式)'!$B$5:$Y$1000,MATCH(I$84,'实盘净值数据(iFinD公式)'!$A$5:$A$1000,0),MATCH($A74,'实盘净值数据(iFinD公式)'!$B$3:$Y$3,0))/I$85,I110)</x:f>
        <x:v>0</x:v>
      </x:c>
      <x:c r="J74" s="105" t="n">
        <x:f>IFERROR(INDEX('分期持仓明细'!$B$5:$Y$200,J$82-4,MATCH(LEFT($A74,6),'分期持仓明细'!$B$3:$Y$3,0))*INDEX('实盘净值数据(iFinD公式)'!$B$5:$Y$1000,$B$81,MATCH($A74,'实盘净值数据(iFinD公式)'!$B$3:$Y$3,0))/INDEX('实盘净值数据(iFinD公式)'!$B$5:$Y$1000,MATCH(J$84,'实盘净值数据(iFinD公式)'!$A$5:$A$1000,0),MATCH($A74,'实盘净值数据(iFinD公式)'!$B$3:$Y$3,0))/J$85,J110)</x:f>
        <x:v>0.012762048562637551</x:v>
      </x:c>
      <x:c r="K74" s="105" t="n">
        <x:f>IFERROR(INDEX('分期持仓明细'!$B$5:$Y$200,K$82-4,MATCH(LEFT($A74,6),'分期持仓明细'!$B$3:$Y$3,0))*INDEX('实盘净值数据(iFinD公式)'!$B$5:$Y$1000,$B$81,MATCH($A74,'实盘净值数据(iFinD公式)'!$B$3:$Y$3,0))/INDEX('实盘净值数据(iFinD公式)'!$B$5:$Y$1000,MATCH(K$84,'实盘净值数据(iFinD公式)'!$A$5:$A$1000,0),MATCH($A74,'实盘净值数据(iFinD公式)'!$B$3:$Y$3,0))/K$85,K110)</x:f>
        <x:v>0</x:v>
      </x:c>
      <x:c r="L74" s="105" t="n">
        <x:f>IFERROR(INDEX('分期持仓明细'!$B$5:$Y$200,L$82-4,MATCH(LEFT($A74,6),'分期持仓明细'!$B$3:$Y$3,0))*INDEX('实盘净值数据(iFinD公式)'!$B$5:$Y$1000,$B$81,MATCH($A74,'实盘净值数据(iFinD公式)'!$B$3:$Y$3,0))/INDEX('实盘净值数据(iFinD公式)'!$B$5:$Y$1000,MATCH(L$84,'实盘净值数据(iFinD公式)'!$A$5:$A$1000,0),MATCH($A74,'实盘净值数据(iFinD公式)'!$B$3:$Y$3,0))/L$85,L110)</x:f>
        <x:v>0.0381325714317698</x:v>
      </x:c>
      <x:c r="M74" t="str">
        <x:f>IF(G74&gt;0,COUNTIF(G$53:G74,"&gt;0"),"")</x:f>
      </x:c>
      <x:c r="N74" t="str">
        <x:f>IF(H74&gt;0,COUNTIF(H$53:H74,"&gt;0"),"")</x:f>
      </x:c>
      <x:c r="O74" t="str">
        <x:f>IF(I74&gt;0,COUNTIF(I$53:I74,"&gt;0"),"")</x:f>
      </x:c>
      <x:c r="P74" t="n">
        <x:f>IF(J74&gt;0,COUNTIF(J$53:J74,"&gt;0"),"")</x:f>
        <x:v>11</x:v>
      </x:c>
      <x:c r="Q74" t="str">
        <x:f>IF(K74&gt;0,COUNTIF(K$53:K74,"&gt;0"),"")</x:f>
      </x:c>
      <x:c r="R74" t="n">
        <x:f>IF(L74&gt;0,COUNTIF(L$53:L74,"&gt;0"),"")</x:f>
        <x:v>11</x:v>
      </x:c>
    </x:row>
    <x:row r="75">
      <x:c r="A75" s="104" t="str">
        <x:v>161119.OF</x:v>
      </x:c>
      <x:c r="B75" s="99" t="str">
        <x:v>易方达中债新综指LOFA</x:v>
      </x:c>
      <x:c r="C75" s="104" t="str">
        <x:v>生息</x:v>
      </x:c>
      <x:c r="D75" s="104" t="str">
        <x:v>-</x:v>
      </x:c>
      <x:c r="E75" s="104" t="str">
        <x:v>债券</x:v>
      </x:c>
      <x:c r="F75" s="104" t="str">
        <x:v>债券&amp;保障池子（生息）</x:v>
      </x:c>
      <x:c r="G75" s="105" t="n">
        <x:f>IFERROR(INDEX('分期持仓明细'!$B$5:$Y$200,G$82-4,MATCH(LEFT($A75,6),'分期持仓明细'!$B$3:$Y$3,0))*INDEX('实盘净值数据(iFinD公式)'!$B$5:$Y$1000,$B$81,MATCH($A75,'实盘净值数据(iFinD公式)'!$B$3:$Y$3,0))/INDEX('实盘净值数据(iFinD公式)'!$B$5:$Y$1000,MATCH(G$84,'实盘净值数据(iFinD公式)'!$A$5:$A$1000,0),MATCH($A75,'实盘净值数据(iFinD公式)'!$B$3:$Y$3,0))/G$85,G111)</x:f>
        <x:v>0</x:v>
      </x:c>
      <x:c r="H75" s="105" t="n">
        <x:f>IFERROR(INDEX('分期持仓明细'!$B$5:$Y$200,H$82-4,MATCH(LEFT($A75,6),'分期持仓明细'!$B$3:$Y$3,0))*INDEX('实盘净值数据(iFinD公式)'!$B$5:$Y$1000,$B$81,MATCH($A75,'实盘净值数据(iFinD公式)'!$B$3:$Y$3,0))/INDEX('实盘净值数据(iFinD公式)'!$B$5:$Y$1000,MATCH(H$84,'实盘净值数据(iFinD公式)'!$A$5:$A$1000,0),MATCH($A75,'实盘净值数据(iFinD公式)'!$B$3:$Y$3,0))/H$85,H111)</x:f>
        <x:v>0</x:v>
      </x:c>
      <x:c r="I75" s="105" t="n">
        <x:f>IFERROR(INDEX('分期持仓明细'!$B$5:$Y$200,I$82-4,MATCH(LEFT($A75,6),'分期持仓明细'!$B$3:$Y$3,0))*INDEX('实盘净值数据(iFinD公式)'!$B$5:$Y$1000,$B$81,MATCH($A75,'实盘净值数据(iFinD公式)'!$B$3:$Y$3,0))/INDEX('实盘净值数据(iFinD公式)'!$B$5:$Y$1000,MATCH(I$84,'实盘净值数据(iFinD公式)'!$A$5:$A$1000,0),MATCH($A75,'实盘净值数据(iFinD公式)'!$B$3:$Y$3,0))/I$85,I111)</x:f>
        <x:v>0</x:v>
      </x:c>
      <x:c r="J75" s="105" t="n">
        <x:f>IFERROR(INDEX('分期持仓明细'!$B$5:$Y$200,J$82-4,MATCH(LEFT($A75,6),'分期持仓明细'!$B$3:$Y$3,0))*INDEX('实盘净值数据(iFinD公式)'!$B$5:$Y$1000,$B$81,MATCH($A75,'实盘净值数据(iFinD公式)'!$B$3:$Y$3,0))/INDEX('实盘净值数据(iFinD公式)'!$B$5:$Y$1000,MATCH(J$84,'实盘净值数据(iFinD公式)'!$A$5:$A$1000,0),MATCH($A75,'实盘净值数据(iFinD公式)'!$B$3:$Y$3,0))/J$85,J111)</x:f>
        <x:v>0.7974500954456453</x:v>
      </x:c>
      <x:c r="K75" s="105" t="n">
        <x:f>IFERROR(INDEX('分期持仓明细'!$B$5:$Y$200,K$82-4,MATCH(LEFT($A75,6),'分期持仓明细'!$B$3:$Y$3,0))*INDEX('实盘净值数据(iFinD公式)'!$B$5:$Y$1000,$B$81,MATCH($A75,'实盘净值数据(iFinD公式)'!$B$3:$Y$3,0))/INDEX('实盘净值数据(iFinD公式)'!$B$5:$Y$1000,MATCH(K$84,'实盘净值数据(iFinD公式)'!$A$5:$A$1000,0),MATCH($A75,'实盘净值数据(iFinD公式)'!$B$3:$Y$3,0))/K$85,K111)</x:f>
        <x:v>0.7984750205517424</x:v>
      </x:c>
      <x:c r="L75" s="105" t="n">
        <x:f>IFERROR(INDEX('分期持仓明细'!$B$5:$Y$200,L$82-4,MATCH(LEFT($A75,6),'分期持仓明细'!$B$3:$Y$3,0))*INDEX('实盘净值数据(iFinD公式)'!$B$5:$Y$1000,$B$81,MATCH($A75,'实盘净值数据(iFinD公式)'!$B$3:$Y$3,0))/INDEX('实盘净值数据(iFinD公式)'!$B$5:$Y$1000,MATCH(L$84,'实盘净值数据(iFinD公式)'!$A$5:$A$1000,0),MATCH($A75,'实盘净值数据(iFinD公式)'!$B$3:$Y$3,0))/L$85,L111)</x:f>
        <x:v>0.49216006002582735</x:v>
      </x:c>
      <x:c r="M75" t="str">
        <x:f>IF(G75&gt;0,COUNTIF(G$53:G75,"&gt;0"),"")</x:f>
      </x:c>
      <x:c r="N75" t="str">
        <x:f>IF(H75&gt;0,COUNTIF(H$53:H75,"&gt;0"),"")</x:f>
      </x:c>
      <x:c r="O75" t="str">
        <x:f>IF(I75&gt;0,COUNTIF(I$53:I75,"&gt;0"),"")</x:f>
      </x:c>
      <x:c r="P75" t="n">
        <x:f>IF(J75&gt;0,COUNTIF(J$53:J75,"&gt;0"),"")</x:f>
        <x:v>12</x:v>
      </x:c>
      <x:c r="Q75" t="n">
        <x:f>IF(K75&gt;0,COUNTIF(K$53:K75,"&gt;0"),"")</x:f>
        <x:v>12</x:v>
      </x:c>
      <x:c r="R75" t="n">
        <x:f>IF(L75&gt;0,COUNTIF(L$53:L75,"&gt;0"),"")</x:f>
        <x:v>12</x:v>
      </x:c>
    </x:row>
    <x:row r="76">
      <x:c r="A76" s="104" t="str">
        <x:v>162214.OF</x:v>
      </x:c>
      <x:c r="B76" s="99" t="str">
        <x:v>宏利领先中小盘混合</x:v>
      </x:c>
      <x:c r="C76" s="104" t="str">
        <x:v>增值</x:v>
      </x:c>
      <x:c r="D76" s="104" t="str">
        <x:v>产业趋势</x:v>
      </x:c>
      <x:c r="E76" s="104" t="str">
        <x:v>主动</x:v>
      </x:c>
      <x:c r="F76" s="104" t="str">
        <x:v>产业趋势产品池</x:v>
      </x:c>
      <x:c r="G76" s="105" t="n">
        <x:f>IFERROR(INDEX('分期持仓明细'!$B$5:$Y$200,G$82-4,MATCH(LEFT($A76,6),'分期持仓明细'!$B$3:$Y$3,0))*INDEX('实盘净值数据(iFinD公式)'!$B$5:$Y$1000,$B$81,MATCH($A76,'实盘净值数据(iFinD公式)'!$B$3:$Y$3,0))/INDEX('实盘净值数据(iFinD公式)'!$B$5:$Y$1000,MATCH(G$84,'实盘净值数据(iFinD公式)'!$A$5:$A$1000,0),MATCH($A76,'实盘净值数据(iFinD公式)'!$B$3:$Y$3,0))/G$85,G112)</x:f>
        <x:v>0.06846517064767443</x:v>
      </x:c>
      <x:c r="H76" s="105" t="n">
        <x:f>IFERROR(INDEX('分期持仓明细'!$B$5:$Y$200,H$82-4,MATCH(LEFT($A76,6),'分期持仓明细'!$B$3:$Y$3,0))*INDEX('实盘净值数据(iFinD公式)'!$B$5:$Y$1000,$B$81,MATCH($A76,'实盘净值数据(iFinD公式)'!$B$3:$Y$3,0))/INDEX('实盘净值数据(iFinD公式)'!$B$5:$Y$1000,MATCH(H$84,'实盘净值数据(iFinD公式)'!$A$5:$A$1000,0),MATCH($A76,'实盘净值数据(iFinD公式)'!$B$3:$Y$3,0))/H$85,H112)</x:f>
        <x:v>0.06847547586048766</x:v>
      </x:c>
      <x:c r="I76" s="105" t="n">
        <x:f>IFERROR(INDEX('分期持仓明细'!$B$5:$Y$200,I$82-4,MATCH(LEFT($A76,6),'分期持仓明细'!$B$3:$Y$3,0))*INDEX('实盘净值数据(iFinD公式)'!$B$5:$Y$1000,$B$81,MATCH($A76,'实盘净值数据(iFinD公式)'!$B$3:$Y$3,0))/INDEX('实盘净值数据(iFinD公式)'!$B$5:$Y$1000,MATCH(I$84,'实盘净值数据(iFinD公式)'!$A$5:$A$1000,0),MATCH($A76,'实盘净值数据(iFinD公式)'!$B$3:$Y$3,0))/I$85,I112)</x:f>
        <x:v>0.06838193175074</x:v>
      </x:c>
      <x:c r="J76" s="105" t="n">
        <x:f>IFERROR(INDEX('分期持仓明细'!$B$5:$Y$200,J$82-4,MATCH(LEFT($A76,6),'分期持仓明细'!$B$3:$Y$3,0))*INDEX('实盘净值数据(iFinD公式)'!$B$5:$Y$1000,$B$81,MATCH($A76,'实盘净值数据(iFinD公式)'!$B$3:$Y$3,0))/INDEX('实盘净值数据(iFinD公式)'!$B$5:$Y$1000,MATCH(J$84,'实盘净值数据(iFinD公式)'!$A$5:$A$1000,0),MATCH($A76,'实盘净值数据(iFinD公式)'!$B$3:$Y$3,0))/J$85,J112)</x:f>
        <x:v>0.009510736896603767</x:v>
      </x:c>
      <x:c r="K76" s="105" t="n">
        <x:f>IFERROR(INDEX('分期持仓明细'!$B$5:$Y$200,K$82-4,MATCH(LEFT($A76,6),'分期持仓明细'!$B$3:$Y$3,0))*INDEX('实盘净值数据(iFinD公式)'!$B$5:$Y$1000,$B$81,MATCH($A76,'实盘净值数据(iFinD公式)'!$B$3:$Y$3,0))/INDEX('实盘净值数据(iFinD公式)'!$B$5:$Y$1000,MATCH(K$84,'实盘净值数据(iFinD公式)'!$A$5:$A$1000,0),MATCH($A76,'实盘净值数据(iFinD公式)'!$B$3:$Y$3,0))/K$85,K112)</x:f>
        <x:v>0.009523545671505275</x:v>
      </x:c>
      <x:c r="L76" s="105" t="n">
        <x:f>IFERROR(INDEX('分期持仓明细'!$B$5:$Y$200,L$82-4,MATCH(LEFT($A76,6),'分期持仓明细'!$B$3:$Y$3,0))*INDEX('实盘净值数据(iFinD公式)'!$B$5:$Y$1000,$B$81,MATCH($A76,'实盘净值数据(iFinD公式)'!$B$3:$Y$3,0))/INDEX('实盘净值数据(iFinD公式)'!$B$5:$Y$1000,MATCH(L$84,'实盘净值数据(iFinD公式)'!$A$5:$A$1000,0),MATCH($A76,'实盘净值数据(iFinD公式)'!$B$3:$Y$3,0))/L$85,L112)</x:f>
        <x:v>0.03091608224568969</x:v>
      </x:c>
      <x:c r="M76" t="n">
        <x:f>IF(G76&gt;0,COUNTIF(G$53:G76,"&gt;0"),"")</x:f>
        <x:v>7</x:v>
      </x:c>
      <x:c r="N76" t="n">
        <x:f>IF(H76&gt;0,COUNTIF(H$53:H76,"&gt;0"),"")</x:f>
        <x:v>7</x:v>
      </x:c>
      <x:c r="O76" t="n">
        <x:f>IF(I76&gt;0,COUNTIF(I$53:I76,"&gt;0"),"")</x:f>
        <x:v>7</x:v>
      </x:c>
      <x:c r="P76" t="n">
        <x:f>IF(J76&gt;0,COUNTIF(J$53:J76,"&gt;0"),"")</x:f>
        <x:v>13</x:v>
      </x:c>
      <x:c r="Q76" t="n">
        <x:f>IF(K76&gt;0,COUNTIF(K$53:K76,"&gt;0"),"")</x:f>
        <x:v>13</x:v>
      </x:c>
      <x:c r="R76" t="n">
        <x:f>IF(L76&gt;0,COUNTIF(L$53:L76,"&gt;0"),"")</x:f>
        <x:v>13</x:v>
      </x:c>
    </x:row>
    <x:row r="77">
      <x:c r="A77" s="116" t="str">
        <x:v>合计</x:v>
      </x:c>
      <x:c r="B77" s="116"/>
      <x:c r="C77" s="116"/>
      <x:c r="D77" s="116"/>
      <x:c r="E77" s="116"/>
      <x:c r="F77" s="116"/>
      <x:c r="G77" s="118" t="n">
        <x:f>SUM(G53:G76)</x:f>
        <x:v>0.9999999999999999</x:v>
      </x:c>
      <x:c r="H77" s="118" t="n">
        <x:f>SUM(H53:H76)</x:f>
        <x:v>1.0000000000000002</x:v>
      </x:c>
      <x:c r="I77" s="118" t="n">
        <x:f>SUM(I53:I76)</x:f>
        <x:v>1</x:v>
      </x:c>
      <x:c r="J77" s="118" t="n">
        <x:f>SUM(J53:J76)</x:f>
        <x:v>1</x:v>
      </x:c>
      <x:c r="K77" s="118" t="n">
        <x:f>SUM(K53:K76)</x:f>
        <x:v>0.9999999999999999</x:v>
      </x:c>
      <x:c r="L77" s="118" t="n">
        <x:f>SUM(L53:L76)</x:f>
        <x:v>1.0000000000000002</x:v>
      </x:c>
    </x:row>
    <x:row r="80" ht="21" customHeight="1">
      <x:c r="A80" s="84" t="str">
        <x:v>自动计算参数（公式区）</x:v>
      </x:c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</x:row>
    <x:row r="81" ht="28" customHeight="1">
      <x:c r="A81" s="99" t="str">
        <x:v>最新完整净值行(相对A5)</x:v>
      </x:c>
      <x:c r="B81" s="123" t="n">
        <x:f>IFERROR(MATCH(TODAY()-1,'实盘净值数据(iFinD公式)'!$A$5:$A$1000,1),0)</x:f>
        <x:v>36</x:v>
      </x:c>
      <x:c r="G81" s="96" t="str">
        <x:v>产业趋势</x:v>
      </x:c>
      <x:c r="H81" s="96" t="str">
        <x:v>产业趋势基石</x:v>
      </x:c>
      <x:c r="I81" s="96" t="str">
        <x:v>产业趋势2号</x:v>
      </x:c>
      <x:c r="J81" s="96" t="str">
        <x:v>10-90</x:v>
      </x:c>
      <x:c r="K81" s="96" t="str">
        <x:v>10-90基石</x:v>
      </x:c>
      <x:c r="L81" s="96" t="str">
        <x:v>30-70</x:v>
      </x:c>
    </x:row>
    <x:row r="82">
      <x:c r="A82" s="99" t="str">
        <x:v>最新完整净值日期</x:v>
      </x:c>
      <x:c r="B82" s="103" t="n">
        <x:f>IF($B$81=0,"",INDEX('实盘净值数据(iFinD公式)'!$A$5:$A$1000,$B$81))</x:f>
        <x:v>46241</x:v>
      </x:c>
      <x:c r="F82" s="128" t="str">
        <x:v>最新阶段行</x:v>
      </x:c>
      <x:c r="G82" s="99" t="n">
        <x:f>IFERROR(MAX(M$86:M$281),0)</x:f>
        <x:v>17</x:v>
      </x:c>
      <x:c r="H82" s="99" t="n">
        <x:f>IFERROR(MAX(N$86:N$281),0)</x:f>
        <x:v>18</x:v>
      </x:c>
      <x:c r="I82" s="99" t="n">
        <x:f>IFERROR(MAX(O$86:O$281),0)</x:f>
        <x:v>19</x:v>
      </x:c>
      <x:c r="J82" s="99" t="n">
        <x:f>IFERROR(MAX(P$86:P$281),0)</x:f>
        <x:v>20</x:v>
      </x:c>
      <x:c r="K82" s="99" t="n">
        <x:f>IFERROR(MAX(Q$86:Q$281),0)</x:f>
        <x:v>21</x:v>
      </x:c>
      <x:c r="L82" s="99" t="n">
        <x:f>IFERROR(MAX(R$86:R$281),0)</x:f>
        <x:v>22</x:v>
      </x:c>
    </x:row>
    <x:row r="83" ht="32" customHeight="1">
      <x:c r="A83" s="99" t="str">
        <x:v>说明</x:v>
      </x:c>
      <x:c r="B83" s="99" t="str">
        <x:v>取小于TODAY()的最后一个交易日</x:v>
      </x:c>
      <x:c r="F83" s="128" t="str">
        <x:v>阶段标签</x:v>
      </x:c>
      <x:c r="G83" s="131" t="str">
        <x:f>IF(G$82=0,"",INDEX('分期持仓明细'!$A$5:$A$200,G$82-4))</x:f>
        <x:v>产业趋势 · P1(7/10调仓后)</x:v>
      </x:c>
      <x:c r="H83" s="131" t="str">
        <x:f>IF(H$82=0,"",INDEX('分期持仓明细'!$A$5:$A$200,H$82-4))</x:f>
        <x:v>产业趋势基石 · P1(7/10调仓后)</x:v>
      </x:c>
      <x:c r="I83" s="131" t="str">
        <x:f>IF(I$82=0,"",INDEX('分期持仓明细'!$A$5:$A$200,I$82-4))</x:f>
        <x:v>产业趋势2号 · P1(7/10调仓后)</x:v>
      </x:c>
      <x:c r="J83" s="131" t="str">
        <x:f>IF(J$82=0,"",INDEX('分期持仓明细'!$A$5:$A$200,J$82-4))</x:f>
        <x:v>10-90 · P3(7/17调仓后)</x:v>
      </x:c>
      <x:c r="K83" s="131" t="str">
        <x:f>IF(K$82=0,"",INDEX('分期持仓明细'!$A$5:$A$200,K$82-4))</x:f>
        <x:v>10-90基石 · P3(7/17调仓后)</x:v>
      </x:c>
      <x:c r="L83" s="131" t="str">
        <x:f>IF(L$82=0,"",INDEX('分期持仓明细'!$A$5:$A$200,L$82-4))</x:f>
        <x:v>30-70 · P3(7/17调仓后)</x:v>
      </x:c>
    </x:row>
    <x:row r="84">
      <x:c r="A84" s="99" t="str"/>
      <x:c r="B84" s="99"/>
      <x:c r="F84" s="128" t="str">
        <x:v>生效日</x:v>
      </x:c>
      <x:c r="G84" s="103" t="n">
        <x:f>IF(G$82=0,"",INDEX('分期持仓明细'!$AA$5:$AA$200,G$82-4))</x:f>
        <x:v>46213</x:v>
      </x:c>
      <x:c r="H84" s="103" t="n">
        <x:f>IF(H$82=0,"",INDEX('分期持仓明细'!$AA$5:$AA$200,H$82-4))</x:f>
        <x:v>46213</x:v>
      </x:c>
      <x:c r="I84" s="103" t="n">
        <x:f>IF(I$82=0,"",INDEX('分期持仓明细'!$AA$5:$AA$200,I$82-4))</x:f>
        <x:v>46213</x:v>
      </x:c>
      <x:c r="J84" s="103" t="n">
        <x:f>IF(J$82=0,"",INDEX('分期持仓明细'!$AA$5:$AA$200,J$82-4))</x:f>
        <x:v>46220</x:v>
      </x:c>
      <x:c r="K84" s="103" t="n">
        <x:f>IF(K$82=0,"",INDEX('分期持仓明细'!$AA$5:$AA$200,K$82-4))</x:f>
        <x:v>46220</x:v>
      </x:c>
      <x:c r="L84" s="103" t="n">
        <x:f>IF(L$82=0,"",INDEX('分期持仓明细'!$AA$5:$AA$200,L$82-4))</x:f>
        <x:v>46220</x:v>
      </x:c>
    </x:row>
    <x:row r="85">
      <x:c r="A85" s="99" t="str"/>
      <x:c r="B85" s="99"/>
      <x:c r="F85" s="128" t="str">
        <x:v>归一化因子</x:v>
      </x:c>
      <x:c r="G85" s="126" t="n">
        <x:f>IFERROR(SUMPRODUCT(INDEX('分期持仓明细'!$B$5:$Y$200,G$82-4,0),INDEX('实盘净值数据(iFinD公式)'!$B$5:$Y$1000,$B$81,0)/INDEX('实盘净值数据(iFinD公式)'!$B$5:$Y$1000,MATCH(G$84,'实盘净值数据(iFinD公式)'!$A$5:$A$1000,0),0)),0)</x:f>
        <x:v>0</x:v>
      </x:c>
      <x:c r="H85" s="126" t="n">
        <x:f>IFERROR(SUMPRODUCT(INDEX('分期持仓明细'!$B$5:$Y$200,H$82-4,0),INDEX('实盘净值数据(iFinD公式)'!$B$5:$Y$1000,$B$81,0)/INDEX('实盘净值数据(iFinD公式)'!$B$5:$Y$1000,MATCH(H$84,'实盘净值数据(iFinD公式)'!$A$5:$A$1000,0),0)),0)</x:f>
        <x:v>0</x:v>
      </x:c>
      <x:c r="I85" s="126" t="n">
        <x:f>IFERROR(SUMPRODUCT(INDEX('分期持仓明细'!$B$5:$Y$200,I$82-4,0),INDEX('实盘净值数据(iFinD公式)'!$B$5:$Y$1000,$B$81,0)/INDEX('实盘净值数据(iFinD公式)'!$B$5:$Y$1000,MATCH(I$84,'实盘净值数据(iFinD公式)'!$A$5:$A$1000,0),0)),0)</x:f>
        <x:v>0</x:v>
      </x:c>
      <x:c r="J85" s="126" t="n">
        <x:f>IFERROR(SUMPRODUCT(INDEX('分期持仓明细'!$B$5:$Y$200,J$82-4,0),INDEX('实盘净值数据(iFinD公式)'!$B$5:$Y$1000,$B$81,0)/INDEX('实盘净值数据(iFinD公式)'!$B$5:$Y$1000,MATCH(J$84,'实盘净值数据(iFinD公式)'!$A$5:$A$1000,0),0)),0)</x:f>
        <x:v>0</x:v>
      </x:c>
      <x:c r="K85" s="126" t="n">
        <x:f>IFERROR(SUMPRODUCT(INDEX('分期持仓明细'!$B$5:$Y$200,K$82-4,0),INDEX('实盘净值数据(iFinD公式)'!$B$5:$Y$1000,$B$81,0)/INDEX('实盘净值数据(iFinD公式)'!$B$5:$Y$1000,MATCH(K$84,'实盘净值数据(iFinD公式)'!$A$5:$A$1000,0),0)),0)</x:f>
        <x:v>0</x:v>
      </x:c>
      <x:c r="L85" s="126" t="n">
        <x:f>IFERROR(SUMPRODUCT(INDEX('分期持仓明细'!$B$5:$Y$200,L$82-4,0),INDEX('实盘净值数据(iFinD公式)'!$B$5:$Y$1000,$B$81,0)/INDEX('实盘净值数据(iFinD公式)'!$B$5:$Y$1000,MATCH(L$84,'实盘净值数据(iFinD公式)'!$A$5:$A$1000,0),0)),0)</x:f>
        <x:v>0</x:v>
      </x:c>
    </x:row>
    <x:row r="86">
      <x:c r="M86" t="n">
        <x:f>IF(LEFT('分期持仓明细'!$A$5,LEN(G$81)+2)=G$81&amp;" ·",ROW('分期持仓明细'!$A$5),0)</x:f>
        <x:v>5</x:v>
      </x:c>
      <x:c r="N86" t="n">
        <x:f>IF(LEFT('分期持仓明细'!$A$5,LEN(H$81)+2)=H$81&amp;" ·",ROW('分期持仓明细'!$A$5),0)</x:f>
        <x:v>0</x:v>
      </x:c>
      <x:c r="O86" t="n">
        <x:f>IF(LEFT('分期持仓明细'!$A$5,LEN(I$81)+2)=I$81&amp;" ·",ROW('分期持仓明细'!$A$5),0)</x:f>
        <x:v>0</x:v>
      </x:c>
      <x:c r="P86" t="n">
        <x:f>IF(LEFT('分期持仓明细'!$A$5,LEN(J$81)+2)=J$81&amp;" ·",ROW('分期持仓明细'!$A$5),0)</x:f>
        <x:v>0</x:v>
      </x:c>
      <x:c r="Q86" t="n">
        <x:f>IF(LEFT('分期持仓明细'!$A$5,LEN(K$81)+2)=K$81&amp;" ·",ROW('分期持仓明细'!$A$5),0)</x:f>
        <x:v>0</x:v>
      </x:c>
      <x:c r="R86" t="n">
        <x:f>IF(LEFT('分期持仓明细'!$A$5,LEN(L$81)+2)=L$81&amp;" ·",ROW('分期持仓明细'!$A$5),0)</x:f>
        <x:v>0</x:v>
      </x:c>
    </x:row>
    <x:row r="87">
      <x:c r="M87" t="n">
        <x:f>IF(LEFT('分期持仓明细'!$A$6,LEN(G$81)+2)=G$81&amp;" ·",ROW('分期持仓明细'!$A$6),0)</x:f>
        <x:v>0</x:v>
      </x:c>
      <x:c r="N87" t="n">
        <x:f>IF(LEFT('分期持仓明细'!$A$6,LEN(H$81)+2)=H$81&amp;" ·",ROW('分期持仓明细'!$A$6),0)</x:f>
        <x:v>6</x:v>
      </x:c>
      <x:c r="O87" t="n">
        <x:f>IF(LEFT('分期持仓明细'!$A$6,LEN(I$81)+2)=I$81&amp;" ·",ROW('分期持仓明细'!$A$6),0)</x:f>
        <x:v>0</x:v>
      </x:c>
      <x:c r="P87" t="n">
        <x:f>IF(LEFT('分期持仓明细'!$A$6,LEN(J$81)+2)=J$81&amp;" ·",ROW('分期持仓明细'!$A$6),0)</x:f>
        <x:v>0</x:v>
      </x:c>
      <x:c r="Q87" t="n">
        <x:f>IF(LEFT('分期持仓明细'!$A$6,LEN(K$81)+2)=K$81&amp;" ·",ROW('分期持仓明细'!$A$6),0)</x:f>
        <x:v>0</x:v>
      </x:c>
      <x:c r="R87" t="n">
        <x:f>IF(LEFT('分期持仓明细'!$A$6,LEN(L$81)+2)=L$81&amp;" ·",ROW('分期持仓明细'!$A$6),0)</x:f>
        <x:v>0</x:v>
      </x:c>
    </x:row>
    <x:row r="88">
      <x:c r="A88" s="84" t="str">
        <x:v>最近完整快照（2026-08-07，由模板净值和分期持仓重算；非系统导入）</x:v>
      </x:c>
      <x:c r="B88" s="84"/>
      <x:c r="C88" s="84"/>
      <x:c r="D88" s="84"/>
      <x:c r="E88" s="84"/>
      <x:c r="F88" s="84"/>
      <x:c r="G88" s="96" t="str">
        <x:v>产业趋势</x:v>
      </x:c>
      <x:c r="H88" s="96" t="str">
        <x:v>产业趋势基石</x:v>
      </x:c>
      <x:c r="I88" s="96" t="str">
        <x:v>产业趋势2号</x:v>
      </x:c>
      <x:c r="J88" s="96" t="str">
        <x:v>10-90</x:v>
      </x:c>
      <x:c r="K88" s="96" t="str">
        <x:v>10-90基石</x:v>
      </x:c>
      <x:c r="L88" s="96" t="str">
        <x:v>30-70</x:v>
      </x:c>
      <x:c r="M88" t="n">
        <x:f>IF(LEFT('分期持仓明细'!$A$7,LEN(G$81)+2)=G$81&amp;" ·",ROW('分期持仓明细'!$A$7),0)</x:f>
        <x:v>0</x:v>
      </x:c>
      <x:c r="N88" t="n">
        <x:f>IF(LEFT('分期持仓明细'!$A$7,LEN(H$81)+2)=H$81&amp;" ·",ROW('分期持仓明细'!$A$7),0)</x:f>
        <x:v>0</x:v>
      </x:c>
      <x:c r="O88" t="n">
        <x:f>IF(LEFT('分期持仓明细'!$A$7,LEN(I$81)+2)=I$81&amp;" ·",ROW('分期持仓明细'!$A$7),0)</x:f>
        <x:v>7</x:v>
      </x:c>
      <x:c r="P88" t="n">
        <x:f>IF(LEFT('分期持仓明细'!$A$7,LEN(J$81)+2)=J$81&amp;" ·",ROW('分期持仓明细'!$A$7),0)</x:f>
        <x:v>0</x:v>
      </x:c>
      <x:c r="Q88" t="n">
        <x:f>IF(LEFT('分期持仓明细'!$A$7,LEN(K$81)+2)=K$81&amp;" ·",ROW('分期持仓明细'!$A$7),0)</x:f>
        <x:v>0</x:v>
      </x:c>
      <x:c r="R88" t="n">
        <x:f>IF(LEFT('分期持仓明细'!$A$7,LEN(L$81)+2)=L$81&amp;" ·",ROW('分期持仓明细'!$A$7),0)</x:f>
        <x:v>0</x:v>
      </x:c>
    </x:row>
    <x:row r="89">
      <x:c r="A89" s="104" t="str">
        <x:v>000216.OF</x:v>
      </x:c>
      <x:c r="B89" s="99" t="str">
        <x:v>华安黄金ETF联接A</x:v>
      </x:c>
      <x:c r="C89" s="104" t="str">
        <x:v>生息</x:v>
      </x:c>
      <x:c r="D89" s="104" t="str">
        <x:v>-</x:v>
      </x:c>
      <x:c r="E89" s="104" t="str">
        <x:v>保障</x:v>
      </x:c>
      <x:c r="F89" s="104" t="str">
        <x:v>债券&amp;保障池子（保障）</x:v>
      </x:c>
      <x:c r="G89" s="105" t="n">
        <x:v>0</x:v>
      </x:c>
      <x:c r="H89" s="105" t="n">
        <x:v>0</x:v>
      </x:c>
      <x:c r="I89" s="105" t="n">
        <x:v>0</x:v>
      </x:c>
      <x:c r="J89" s="105" t="n">
        <x:v>0.05414347447224511</x:v>
      </x:c>
      <x:c r="K89" s="105" t="n">
        <x:v>0.051794493820263125</x:v>
      </x:c>
      <x:c r="L89" s="105" t="n">
        <x:v>0.10785060309605504</x:v>
      </x:c>
      <x:c r="M89" t="n">
        <x:f>IF(LEFT('分期持仓明细'!$A$8,LEN(G$81)+2)=G$81&amp;" ·",ROW('分期持仓明细'!$A$8),0)</x:f>
        <x:v>0</x:v>
      </x:c>
      <x:c r="N89" t="n">
        <x:f>IF(LEFT('分期持仓明细'!$A$8,LEN(H$81)+2)=H$81&amp;" ·",ROW('分期持仓明细'!$A$8),0)</x:f>
        <x:v>0</x:v>
      </x:c>
      <x:c r="O89" t="n">
        <x:f>IF(LEFT('分期持仓明细'!$A$8,LEN(I$81)+2)=I$81&amp;" ·",ROW('分期持仓明细'!$A$8),0)</x:f>
        <x:v>0</x:v>
      </x:c>
      <x:c r="P89" t="n">
        <x:f>IF(LEFT('分期持仓明细'!$A$8,LEN(J$81)+2)=J$81&amp;" ·",ROW('分期持仓明细'!$A$8),0)</x:f>
        <x:v>8</x:v>
      </x:c>
      <x:c r="Q89" t="n">
        <x:f>IF(LEFT('分期持仓明细'!$A$8,LEN(K$81)+2)=K$81&amp;" ·",ROW('分期持仓明细'!$A$8),0)</x:f>
        <x:v>0</x:v>
      </x:c>
      <x:c r="R89" t="n">
        <x:f>IF(LEFT('分期持仓明细'!$A$8,LEN(L$81)+2)=L$81&amp;" ·",ROW('分期持仓明细'!$A$8),0)</x:f>
        <x:v>0</x:v>
      </x:c>
    </x:row>
    <x:row r="90">
      <x:c r="A90" s="104" t="str">
        <x:v>000917.OF</x:v>
      </x:c>
      <x:c r="B90" s="99" t="str">
        <x:v>嘉实快线货币A</x:v>
      </x:c>
      <x:c r="C90" s="104" t="str">
        <x:v>生息</x:v>
      </x:c>
      <x:c r="D90" s="104" t="str">
        <x:v>-</x:v>
      </x:c>
      <x:c r="E90" s="104" t="str">
        <x:v>货币</x:v>
      </x:c>
      <x:c r="F90" s="104" t="str">
        <x:v>现持仓补充</x:v>
      </x:c>
      <x:c r="G90" s="105" t="n">
        <x:v>0.054338345878986755</x:v>
      </x:c>
      <x:c r="H90" s="105" t="n">
        <x:v>0.05313303323780936</x:v>
      </x:c>
      <x:c r="I90" s="105" t="n">
        <x:v>0.05128012799377769</x:v>
      </x:c>
      <x:c r="J90" s="105" t="n">
        <x:v>0.043923928891400975</x:v>
      </x:c>
      <x:c r="K90" s="105" t="n">
        <x:v>0.04395376124085798</x:v>
      </x:c>
      <x:c r="L90" s="105" t="n">
        <x:v>0.08530437206808822</x:v>
      </x:c>
      <x:c r="M90" t="n">
        <x:f>IF(LEFT('分期持仓明细'!$A$9,LEN(G$81)+2)=G$81&amp;" ·",ROW('分期持仓明细'!$A$9),0)</x:f>
        <x:v>0</x:v>
      </x:c>
      <x:c r="N90" t="n">
        <x:f>IF(LEFT('分期持仓明细'!$A$9,LEN(H$81)+2)=H$81&amp;" ·",ROW('分期持仓明细'!$A$9),0)</x:f>
        <x:v>0</x:v>
      </x:c>
      <x:c r="O90" t="n">
        <x:f>IF(LEFT('分期持仓明细'!$A$9,LEN(I$81)+2)=I$81&amp;" ·",ROW('分期持仓明细'!$A$9),0)</x:f>
        <x:v>0</x:v>
      </x:c>
      <x:c r="P90" t="n">
        <x:f>IF(LEFT('分期持仓明细'!$A$9,LEN(J$81)+2)=J$81&amp;" ·",ROW('分期持仓明细'!$A$9),0)</x:f>
        <x:v>9</x:v>
      </x:c>
      <x:c r="Q90" t="n">
        <x:f>IF(LEFT('分期持仓明细'!$A$9,LEN(K$81)+2)=K$81&amp;" ·",ROW('分期持仓明细'!$A$9),0)</x:f>
        <x:v>0</x:v>
      </x:c>
      <x:c r="R90" t="n">
        <x:f>IF(LEFT('分期持仓明细'!$A$9,LEN(L$81)+2)=L$81&amp;" ·",ROW('分期持仓明细'!$A$9),0)</x:f>
        <x:v>0</x:v>
      </x:c>
    </x:row>
    <x:row r="91">
      <x:c r="A91" s="104" t="str">
        <x:v>001170.OF</x:v>
      </x:c>
      <x:c r="B91" s="99" t="str">
        <x:v>宏利复兴混合A</x:v>
      </x:c>
      <x:c r="C91" s="104" t="str">
        <x:v>增值</x:v>
      </x:c>
      <x:c r="D91" s="104" t="str">
        <x:v>产业趋势</x:v>
      </x:c>
      <x:c r="E91" s="104" t="str">
        <x:v>主动</x:v>
      </x:c>
      <x:c r="F91" s="104" t="str">
        <x:v>产业趋势产品池</x:v>
      </x:c>
      <x:c r="G91" s="105" t="n">
        <x:v>0.1681479854041161</x:v>
      </x:c>
      <x:c r="H91" s="105" t="n">
        <x:v>0.16972434194387825</x:v>
      </x:c>
      <x:c r="I91" s="105" t="n">
        <x:v>0</x:v>
      </x:c>
      <x:c r="J91" s="105" t="n">
        <x:v>0</x:v>
      </x:c>
      <x:c r="K91" s="105" t="n">
        <x:v>0.0087369099448945</x:v>
      </x:c>
      <x:c r="L91" s="105" t="n">
        <x:v>0</x:v>
      </x:c>
      <x:c r="M91" t="n">
        <x:f>IF(LEFT('分期持仓明细'!$A$10,LEN(G$81)+2)=G$81&amp;" ·",ROW('分期持仓明细'!$A$10),0)</x:f>
        <x:v>0</x:v>
      </x:c>
      <x:c r="N91" t="n">
        <x:f>IF(LEFT('分期持仓明细'!$A$10,LEN(H$81)+2)=H$81&amp;" ·",ROW('分期持仓明细'!$A$10),0)</x:f>
        <x:v>0</x:v>
      </x:c>
      <x:c r="O91" t="n">
        <x:f>IF(LEFT('分期持仓明细'!$A$10,LEN(I$81)+2)=I$81&amp;" ·",ROW('分期持仓明细'!$A$10),0)</x:f>
        <x:v>0</x:v>
      </x:c>
      <x:c r="P91" t="n">
        <x:f>IF(LEFT('分期持仓明细'!$A$10,LEN(J$81)+2)=J$81&amp;" ·",ROW('分期持仓明细'!$A$10),0)</x:f>
        <x:v>0</x:v>
      </x:c>
      <x:c r="Q91" t="n">
        <x:f>IF(LEFT('分期持仓明细'!$A$10,LEN(K$81)+2)=K$81&amp;" ·",ROW('分期持仓明细'!$A$10),0)</x:f>
        <x:v>10</x:v>
      </x:c>
      <x:c r="R91" t="n">
        <x:f>IF(LEFT('分期持仓明细'!$A$10,LEN(L$81)+2)=L$81&amp;" ·",ROW('分期持仓明细'!$A$10),0)</x:f>
        <x:v>0</x:v>
      </x:c>
    </x:row>
    <x:row r="92">
      <x:c r="A92" s="104" t="str">
        <x:v>007044.OF</x:v>
      </x:c>
      <x:c r="B92" s="99" t="str">
        <x:v>博道沪深300增强A</x:v>
      </x:c>
      <x:c r="C92" s="104" t="str">
        <x:v>增值</x:v>
      </x:c>
      <x:c r="D92" s="104" t="str">
        <x:v>指增</x:v>
      </x:c>
      <x:c r="E92" s="104" t="str">
        <x:v>指增</x:v>
      </x:c>
      <x:c r="F92" s="104" t="str">
        <x:v>宽基&amp;指增池</x:v>
      </x:c>
      <x:c r="G92" s="105" t="n">
        <x:v>0</x:v>
      </x:c>
      <x:c r="H92" s="105" t="n">
        <x:v>0</x:v>
      </x:c>
      <x:c r="I92" s="105" t="n">
        <x:v>0</x:v>
      </x:c>
      <x:c r="J92" s="105" t="n">
        <x:v>0</x:v>
      </x:c>
      <x:c r="K92" s="105" t="n">
        <x:v>0.0128975499557758</x:v>
      </x:c>
      <x:c r="L92" s="105" t="n">
        <x:v>0</x:v>
      </x:c>
      <x:c r="M92" t="n">
        <x:f>IF(LEFT('分期持仓明细'!$A$11,LEN(G$81)+2)=G$81&amp;" ·",ROW('分期持仓明细'!$A$11),0)</x:f>
        <x:v>0</x:v>
      </x:c>
      <x:c r="N92" t="n">
        <x:f>IF(LEFT('分期持仓明细'!$A$11,LEN(H$81)+2)=H$81&amp;" ·",ROW('分期持仓明细'!$A$11),0)</x:f>
        <x:v>0</x:v>
      </x:c>
      <x:c r="O92" t="n">
        <x:f>IF(LEFT('分期持仓明细'!$A$11,LEN(I$81)+2)=I$81&amp;" ·",ROW('分期持仓明细'!$A$11),0)</x:f>
        <x:v>0</x:v>
      </x:c>
      <x:c r="P92" t="n">
        <x:f>IF(LEFT('分期持仓明细'!$A$11,LEN(J$81)+2)=J$81&amp;" ·",ROW('分期持仓明细'!$A$11),0)</x:f>
        <x:v>0</x:v>
      </x:c>
      <x:c r="Q92" t="n">
        <x:f>IF(LEFT('分期持仓明细'!$A$11,LEN(K$81)+2)=K$81&amp;" ·",ROW('分期持仓明细'!$A$11),0)</x:f>
        <x:v>11</x:v>
      </x:c>
      <x:c r="R92" t="n">
        <x:f>IF(LEFT('分期持仓明细'!$A$11,LEN(L$81)+2)=L$81&amp;" ·",ROW('分期持仓明细'!$A$11),0)</x:f>
        <x:v>0</x:v>
      </x:c>
    </x:row>
    <x:row r="93">
      <x:c r="A93" s="104" t="str">
        <x:v>007045.OF</x:v>
      </x:c>
      <x:c r="B93" s="99" t="str">
        <x:v>博道沪深300指增C</x:v>
      </x:c>
      <x:c r="C93" s="104" t="str">
        <x:v>增值</x:v>
      </x:c>
      <x:c r="D93" s="104" t="str">
        <x:v>指增</x:v>
      </x:c>
      <x:c r="E93" s="104" t="str">
        <x:v>指增</x:v>
      </x:c>
      <x:c r="F93" s="104" t="str">
        <x:v>同基金A/C</x:v>
      </x:c>
      <x:c r="G93" s="105" t="n">
        <x:v>0</x:v>
      </x:c>
      <x:c r="H93" s="105" t="n">
        <x:v>0</x:v>
      </x:c>
      <x:c r="I93" s="105" t="n">
        <x:v>0</x:v>
      </x:c>
      <x:c r="J93" s="105" t="n">
        <x:v>0.012855558252454736</x:v>
      </x:c>
      <x:c r="K93" s="105" t="n">
        <x:v>0</x:v>
      </x:c>
      <x:c r="L93" s="105" t="n">
        <x:v>0.03841034111514078</x:v>
      </x:c>
      <x:c r="M93" t="n">
        <x:f>IF(LEFT('分期持仓明细'!$A$12,LEN(G$81)+2)=G$81&amp;" ·",ROW('分期持仓明细'!$A$12),0)</x:f>
        <x:v>0</x:v>
      </x:c>
      <x:c r="N93" t="n">
        <x:f>IF(LEFT('分期持仓明细'!$A$12,LEN(H$81)+2)=H$81&amp;" ·",ROW('分期持仓明细'!$A$12),0)</x:f>
        <x:v>0</x:v>
      </x:c>
      <x:c r="O93" t="n">
        <x:f>IF(LEFT('分期持仓明细'!$A$12,LEN(I$81)+2)=I$81&amp;" ·",ROW('分期持仓明细'!$A$12),0)</x:f>
        <x:v>0</x:v>
      </x:c>
      <x:c r="P93" t="n">
        <x:f>IF(LEFT('分期持仓明细'!$A$12,LEN(J$81)+2)=J$81&amp;" ·",ROW('分期持仓明细'!$A$12),0)</x:f>
        <x:v>0</x:v>
      </x:c>
      <x:c r="Q93" t="n">
        <x:f>IF(LEFT('分期持仓明细'!$A$12,LEN(K$81)+2)=K$81&amp;" ·",ROW('分期持仓明细'!$A$12),0)</x:f>
        <x:v>0</x:v>
      </x:c>
      <x:c r="R93" t="n">
        <x:f>IF(LEFT('分期持仓明细'!$A$12,LEN(L$81)+2)=L$81&amp;" ·",ROW('分期持仓明细'!$A$12),0)</x:f>
        <x:v>12</x:v>
      </x:c>
    </x:row>
    <x:row r="94">
      <x:c r="A94" s="104" t="str">
        <x:v>007817.OF</x:v>
      </x:c>
      <x:c r="B94" s="99" t="str">
        <x:v>国泰通信设备ETF联接A</x:v>
      </x:c>
      <x:c r="C94" s="104" t="str">
        <x:v>增值</x:v>
      </x:c>
      <x:c r="D94" s="104" t="str">
        <x:v>产业趋势</x:v>
      </x:c>
      <x:c r="E94" s="104" t="str">
        <x:v>指数</x:v>
      </x:c>
      <x:c r="F94" s="104" t="str">
        <x:v>产业趋势产品池</x:v>
      </x:c>
      <x:c r="G94" s="105" t="n">
        <x:v>0</x:v>
      </x:c>
      <x:c r="H94" s="105" t="n">
        <x:v>0</x:v>
      </x:c>
      <x:c r="I94" s="105" t="n">
        <x:v>0</x:v>
      </x:c>
      <x:c r="J94" s="105" t="n">
        <x:v>0</x:v>
      </x:c>
      <x:c r="K94" s="105" t="n">
        <x:v>0</x:v>
      </x:c>
      <x:c r="L94" s="105" t="n">
        <x:v>0</x:v>
      </x:c>
      <x:c r="M94" t="n">
        <x:f>IF(LEFT('分期持仓明细'!$A$13,LEN(G$81)+2)=G$81&amp;" ·",ROW('分期持仓明细'!$A$13),0)</x:f>
        <x:v>0</x:v>
      </x:c>
      <x:c r="N94" t="n">
        <x:f>IF(LEFT('分期持仓明细'!$A$13,LEN(H$81)+2)=H$81&amp;" ·",ROW('分期持仓明细'!$A$13),0)</x:f>
        <x:v>0</x:v>
      </x:c>
      <x:c r="O94" t="n">
        <x:f>IF(LEFT('分期持仓明细'!$A$13,LEN(I$81)+2)=I$81&amp;" ·",ROW('分期持仓明细'!$A$13),0)</x:f>
        <x:v>0</x:v>
      </x:c>
      <x:c r="P94" t="n">
        <x:f>IF(LEFT('分期持仓明细'!$A$13,LEN(J$81)+2)=J$81&amp;" ·",ROW('分期持仓明细'!$A$13),0)</x:f>
        <x:v>0</x:v>
      </x:c>
      <x:c r="Q94" t="n">
        <x:f>IF(LEFT('分期持仓明细'!$A$13,LEN(K$81)+2)=K$81&amp;" ·",ROW('分期持仓明细'!$A$13),0)</x:f>
        <x:v>0</x:v>
      </x:c>
      <x:c r="R94" t="n">
        <x:f>IF(LEFT('分期持仓明细'!$A$13,LEN(L$81)+2)=L$81&amp;" ·",ROW('分期持仓明细'!$A$13),0)</x:f>
        <x:v>13</x:v>
      </x:c>
    </x:row>
    <x:row r="95">
      <x:c r="A95" s="104" t="str">
        <x:v>007818.OF</x:v>
      </x:c>
      <x:c r="B95" s="99" t="str">
        <x:v>国泰通信设备C</x:v>
      </x:c>
      <x:c r="C95" s="104" t="str">
        <x:v>增值</x:v>
      </x:c>
      <x:c r="D95" s="104" t="str">
        <x:v>产业趋势</x:v>
      </x:c>
      <x:c r="E95" s="104" t="str">
        <x:v>指数</x:v>
      </x:c>
      <x:c r="F95" s="104" t="str">
        <x:v>同基金A/C</x:v>
      </x:c>
      <x:c r="G95" s="105" t="n">
        <x:v>0</x:v>
      </x:c>
      <x:c r="H95" s="105" t="n">
        <x:v>0</x:v>
      </x:c>
      <x:c r="I95" s="105" t="n">
        <x:v>0</x:v>
      </x:c>
      <x:c r="J95" s="105" t="n">
        <x:v>0</x:v>
      </x:c>
      <x:c r="K95" s="105" t="n">
        <x:v>0</x:v>
      </x:c>
      <x:c r="L95" s="105" t="n">
        <x:v>0</x:v>
      </x:c>
      <x:c r="M95" t="n">
        <x:f>IF(LEFT('分期持仓明细'!$A$14,LEN(G$81)+2)=G$81&amp;" ·",ROW('分期持仓明细'!$A$14),0)</x:f>
        <x:v>0</x:v>
      </x:c>
      <x:c r="N95" t="n">
        <x:f>IF(LEFT('分期持仓明细'!$A$14,LEN(H$81)+2)=H$81&amp;" ·",ROW('分期持仓明细'!$A$14),0)</x:f>
        <x:v>0</x:v>
      </x:c>
      <x:c r="O95" t="n">
        <x:f>IF(LEFT('分期持仓明细'!$A$14,LEN(I$81)+2)=I$81&amp;" ·",ROW('分期持仓明细'!$A$14),0)</x:f>
        <x:v>0</x:v>
      </x:c>
      <x:c r="P95" t="n">
        <x:f>IF(LEFT('分期持仓明细'!$A$14,LEN(J$81)+2)=J$81&amp;" ·",ROW('分期持仓明细'!$A$14),0)</x:f>
        <x:v>14</x:v>
      </x:c>
      <x:c r="Q95" t="n">
        <x:f>IF(LEFT('分期持仓明细'!$A$14,LEN(K$81)+2)=K$81&amp;" ·",ROW('分期持仓明细'!$A$14),0)</x:f>
        <x:v>0</x:v>
      </x:c>
      <x:c r="R95" t="n">
        <x:f>IF(LEFT('分期持仓明细'!$A$14,LEN(L$81)+2)=L$81&amp;" ·",ROW('分期持仓明细'!$A$14),0)</x:f>
        <x:v>0</x:v>
      </x:c>
    </x:row>
    <x:row r="96">
      <x:c r="A96" s="104" t="str">
        <x:v>009993.OF</x:v>
      </x:c>
      <x:c r="B96" s="99" t="str">
        <x:v>嘉实前沿科技创新</x:v>
      </x:c>
      <x:c r="C96" s="104" t="str">
        <x:v>增值</x:v>
      </x:c>
      <x:c r="D96" s="104" t="str">
        <x:v>产业趋势</x:v>
      </x:c>
      <x:c r="E96" s="104" t="str">
        <x:v>主动</x:v>
      </x:c>
      <x:c r="F96" s="104" t="str">
        <x:v>现持仓补充</x:v>
      </x:c>
      <x:c r="G96" s="105" t="n">
        <x:v>0</x:v>
      </x:c>
      <x:c r="H96" s="105" t="n">
        <x:v>0</x:v>
      </x:c>
      <x:c r="I96" s="105" t="n">
        <x:v>0.18643460253095584</x:v>
      </x:c>
      <x:c r="J96" s="105" t="n">
        <x:v>0.009630029472442245</x:v>
      </x:c>
      <x:c r="K96" s="105" t="n">
        <x:v>0</x:v>
      </x:c>
      <x:c r="L96" s="105" t="n">
        <x:v>0.028773694107794432</x:v>
      </x:c>
      <x:c r="M96" t="n">
        <x:f>IF(LEFT('分期持仓明细'!$A$15,LEN(G$81)+2)=G$81&amp;" ·",ROW('分期持仓明细'!$A$15),0)</x:f>
        <x:v>0</x:v>
      </x:c>
      <x:c r="N96" t="n">
        <x:f>IF(LEFT('分期持仓明细'!$A$15,LEN(H$81)+2)=H$81&amp;" ·",ROW('分期持仓明细'!$A$15),0)</x:f>
        <x:v>0</x:v>
      </x:c>
      <x:c r="O96" t="n">
        <x:f>IF(LEFT('分期持仓明细'!$A$15,LEN(I$81)+2)=I$81&amp;" ·",ROW('分期持仓明细'!$A$15),0)</x:f>
        <x:v>0</x:v>
      </x:c>
      <x:c r="P96" t="n">
        <x:f>IF(LEFT('分期持仓明细'!$A$15,LEN(J$81)+2)=J$81&amp;" ·",ROW('分期持仓明细'!$A$15),0)</x:f>
        <x:v>0</x:v>
      </x:c>
      <x:c r="Q96" t="n">
        <x:f>IF(LEFT('分期持仓明细'!$A$15,LEN(K$81)+2)=K$81&amp;" ·",ROW('分期持仓明细'!$A$15),0)</x:f>
        <x:v>15</x:v>
      </x:c>
      <x:c r="R96" t="n">
        <x:f>IF(LEFT('分期持仓明细'!$A$15,LEN(L$81)+2)=L$81&amp;" ·",ROW('分期持仓明细'!$A$15),0)</x:f>
        <x:v>0</x:v>
      </x:c>
    </x:row>
    <x:row r="97">
      <x:c r="A97" s="104" t="str">
        <x:v>013840.OF</x:v>
      </x:c>
      <x:c r="B97" s="99" t="str">
        <x:v>银华集成电路混合A</x:v>
      </x:c>
      <x:c r="C97" s="104" t="str">
        <x:v>增值</x:v>
      </x:c>
      <x:c r="D97" s="104" t="str">
        <x:v>产业趋势</x:v>
      </x:c>
      <x:c r="E97" s="104" t="str">
        <x:v>主动</x:v>
      </x:c>
      <x:c r="F97" s="104" t="str">
        <x:v>产业趋势产品池</x:v>
      </x:c>
      <x:c r="G97" s="105" t="n">
        <x:v>0.24648996572257403</x:v>
      </x:c>
      <x:c r="H97" s="105" t="n">
        <x:v>0.24475713621132436</x:v>
      </x:c>
      <x:c r="I97" s="105" t="n">
        <x:v>0</x:v>
      </x:c>
      <x:c r="J97" s="105" t="n">
        <x:v>0</x:v>
      </x:c>
      <x:c r="K97" s="105" t="n">
        <x:v>0.01225914007350266</x:v>
      </x:c>
      <x:c r="L97" s="105" t="n">
        <x:v>0</x:v>
      </x:c>
      <x:c r="M97" t="n">
        <x:f>IF(LEFT('分期持仓明细'!$A$16,LEN(G$81)+2)=G$81&amp;" ·",ROW('分期持仓明细'!$A$16),0)</x:f>
        <x:v>0</x:v>
      </x:c>
      <x:c r="N97" t="n">
        <x:f>IF(LEFT('分期持仓明细'!$A$16,LEN(H$81)+2)=H$81&amp;" ·",ROW('分期持仓明细'!$A$16),0)</x:f>
        <x:v>0</x:v>
      </x:c>
      <x:c r="O97" t="n">
        <x:f>IF(LEFT('分期持仓明细'!$A$16,LEN(I$81)+2)=I$81&amp;" ·",ROW('分期持仓明细'!$A$16),0)</x:f>
        <x:v>0</x:v>
      </x:c>
      <x:c r="P97" t="n">
        <x:f>IF(LEFT('分期持仓明细'!$A$16,LEN(J$81)+2)=J$81&amp;" ·",ROW('分期持仓明细'!$A$16),0)</x:f>
        <x:v>0</x:v>
      </x:c>
      <x:c r="Q97" t="n">
        <x:f>IF(LEFT('分期持仓明细'!$A$16,LEN(K$81)+2)=K$81&amp;" ·",ROW('分期持仓明细'!$A$16),0)</x:f>
        <x:v>0</x:v>
      </x:c>
      <x:c r="R97" t="n">
        <x:f>IF(LEFT('分期持仓明细'!$A$16,LEN(L$81)+2)=L$81&amp;" ·",ROW('分期持仓明细'!$A$16),0)</x:f>
        <x:v>16</x:v>
      </x:c>
    </x:row>
    <x:row r="98">
      <x:c r="A98" s="104" t="str">
        <x:v>013841.OF</x:v>
      </x:c>
      <x:c r="B98" s="99" t="str">
        <x:v>银华集成电路混合C</x:v>
      </x:c>
      <x:c r="C98" s="104" t="str">
        <x:v>增值</x:v>
      </x:c>
      <x:c r="D98" s="104" t="str">
        <x:v>产业趋势</x:v>
      </x:c>
      <x:c r="E98" s="104" t="str">
        <x:v>主动</x:v>
      </x:c>
      <x:c r="F98" s="104" t="str">
        <x:v>同基金A/C</x:v>
      </x:c>
      <x:c r="G98" s="105" t="n">
        <x:v>0</x:v>
      </x:c>
      <x:c r="H98" s="105" t="n">
        <x:v>0</x:v>
      </x:c>
      <x:c r="I98" s="105" t="n">
        <x:v>0.23333425378822176</x:v>
      </x:c>
      <x:c r="J98" s="105" t="n">
        <x:v>0.011060670436649926</x:v>
      </x:c>
      <x:c r="K98" s="105" t="n">
        <x:v>0</x:v>
      </x:c>
      <x:c r="L98" s="105" t="n">
        <x:v>0.0330472108980905</x:v>
      </x:c>
      <x:c r="M98" t="n">
        <x:f>IF(LEFT('分期持仓明细'!$A$17,LEN(G$81)+2)=G$81&amp;" ·",ROW('分期持仓明细'!$A$17),0)</x:f>
        <x:v>17</x:v>
      </x:c>
      <x:c r="N98" t="n">
        <x:f>IF(LEFT('分期持仓明细'!$A$17,LEN(H$81)+2)=H$81&amp;" ·",ROW('分期持仓明细'!$A$17),0)</x:f>
        <x:v>0</x:v>
      </x:c>
      <x:c r="O98" t="n">
        <x:f>IF(LEFT('分期持仓明细'!$A$17,LEN(I$81)+2)=I$81&amp;" ·",ROW('分期持仓明细'!$A$17),0)</x:f>
        <x:v>0</x:v>
      </x:c>
      <x:c r="P98" t="n">
        <x:f>IF(LEFT('分期持仓明细'!$A$17,LEN(J$81)+2)=J$81&amp;" ·",ROW('分期持仓明细'!$A$17),0)</x:f>
        <x:v>0</x:v>
      </x:c>
      <x:c r="Q98" t="n">
        <x:f>IF(LEFT('分期持仓明细'!$A$17,LEN(K$81)+2)=K$81&amp;" ·",ROW('分期持仓明细'!$A$17),0)</x:f>
        <x:v>0</x:v>
      </x:c>
      <x:c r="R98" t="n">
        <x:f>IF(LEFT('分期持仓明细'!$A$17,LEN(L$81)+2)=L$81&amp;" ·",ROW('分期持仓明细'!$A$17),0)</x:f>
        <x:v>0</x:v>
      </x:c>
    </x:row>
    <x:row r="99">
      <x:c r="A99" s="104" t="str">
        <x:v>014201.OF</x:v>
      </x:c>
      <x:c r="B99" s="99" t="str">
        <x:v>天弘中证1000指增A</x:v>
      </x:c>
      <x:c r="C99" s="104" t="str">
        <x:v>增值</x:v>
      </x:c>
      <x:c r="D99" s="104" t="str">
        <x:v>指增</x:v>
      </x:c>
      <x:c r="E99" s="104" t="str">
        <x:v>指增</x:v>
      </x:c>
      <x:c r="F99" s="104" t="str">
        <x:v>宽基&amp;指增池</x:v>
      </x:c>
      <x:c r="G99" s="105" t="n">
        <x:v>0</x:v>
      </x:c>
      <x:c r="H99" s="105" t="n">
        <x:v>0</x:v>
      </x:c>
      <x:c r="I99" s="105" t="n">
        <x:v>0</x:v>
      </x:c>
      <x:c r="J99" s="105" t="n">
        <x:v>0</x:v>
      </x:c>
      <x:c r="K99" s="105" t="n">
        <x:v>0.01305811206863005</x:v>
      </x:c>
      <x:c r="L99" s="105" t="n">
        <x:v>0</x:v>
      </x:c>
      <x:c r="M99" t="n">
        <x:f>IF(LEFT('分期持仓明细'!$A$18,LEN(G$81)+2)=G$81&amp;" ·",ROW('分期持仓明细'!$A$18),0)</x:f>
        <x:v>0</x:v>
      </x:c>
      <x:c r="N99" t="n">
        <x:f>IF(LEFT('分期持仓明细'!$A$18,LEN(H$81)+2)=H$81&amp;" ·",ROW('分期持仓明细'!$A$18),0)</x:f>
        <x:v>18</x:v>
      </x:c>
      <x:c r="O99" t="n">
        <x:f>IF(LEFT('分期持仓明细'!$A$18,LEN(I$81)+2)=I$81&amp;" ·",ROW('分期持仓明细'!$A$18),0)</x:f>
        <x:v>0</x:v>
      </x:c>
      <x:c r="P99" t="n">
        <x:f>IF(LEFT('分期持仓明细'!$A$18,LEN(J$81)+2)=J$81&amp;" ·",ROW('分期持仓明细'!$A$18),0)</x:f>
        <x:v>0</x:v>
      </x:c>
      <x:c r="Q99" t="n">
        <x:f>IF(LEFT('分期持仓明细'!$A$18,LEN(K$81)+2)=K$81&amp;" ·",ROW('分期持仓明细'!$A$18),0)</x:f>
        <x:v>0</x:v>
      </x:c>
      <x:c r="R99" t="n">
        <x:f>IF(LEFT('分期持仓明细'!$A$18,LEN(L$81)+2)=L$81&amp;" ·",ROW('分期持仓明细'!$A$18),0)</x:f>
        <x:v>0</x:v>
      </x:c>
    </x:row>
    <x:row r="100">
      <x:c r="A100" s="104" t="str">
        <x:v>014202.OF</x:v>
      </x:c>
      <x:c r="B100" s="99" t="str">
        <x:v>天弘中证1000指增C</x:v>
      </x:c>
      <x:c r="C100" s="104" t="str">
        <x:v>增值</x:v>
      </x:c>
      <x:c r="D100" s="104" t="str">
        <x:v>指增</x:v>
      </x:c>
      <x:c r="E100" s="104" t="str">
        <x:v>指增</x:v>
      </x:c>
      <x:c r="F100" s="104" t="str">
        <x:v>同基金A/C</x:v>
      </x:c>
      <x:c r="G100" s="105" t="n">
        <x:v>0</x:v>
      </x:c>
      <x:c r="H100" s="105" t="n">
        <x:v>0</x:v>
      </x:c>
      <x:c r="I100" s="105" t="n">
        <x:v>0</x:v>
      </x:c>
      <x:c r="J100" s="105" t="n">
        <x:v>0.01288170822388295</x:v>
      </x:c>
      <x:c r="K100" s="105" t="n">
        <x:v>0</x:v>
      </x:c>
      <x:c r="L100" s="105" t="n">
        <x:v>0.03849114616684735</x:v>
      </x:c>
      <x:c r="M100" t="n">
        <x:f>IF(LEFT('分期持仓明细'!$A$19,LEN(G$81)+2)=G$81&amp;" ·",ROW('分期持仓明细'!$A$19),0)</x:f>
        <x:v>0</x:v>
      </x:c>
      <x:c r="N100" t="n">
        <x:f>IF(LEFT('分期持仓明细'!$A$19,LEN(H$81)+2)=H$81&amp;" ·",ROW('分期持仓明细'!$A$19),0)</x:f>
        <x:v>0</x:v>
      </x:c>
      <x:c r="O100" t="n">
        <x:f>IF(LEFT('分期持仓明细'!$A$19,LEN(I$81)+2)=I$81&amp;" ·",ROW('分期持仓明细'!$A$19),0)</x:f>
        <x:v>19</x:v>
      </x:c>
      <x:c r="P100" t="n">
        <x:f>IF(LEFT('分期持仓明细'!$A$19,LEN(J$81)+2)=J$81&amp;" ·",ROW('分期持仓明细'!$A$19),0)</x:f>
        <x:v>0</x:v>
      </x:c>
      <x:c r="Q100" t="n">
        <x:f>IF(LEFT('分期持仓明细'!$A$19,LEN(K$81)+2)=K$81&amp;" ·",ROW('分期持仓明细'!$A$19),0)</x:f>
        <x:v>0</x:v>
      </x:c>
      <x:c r="R100" t="n">
        <x:f>IF(LEFT('分期持仓明细'!$A$19,LEN(L$81)+2)=L$81&amp;" ·",ROW('分期持仓明细'!$A$19),0)</x:f>
        <x:v>0</x:v>
      </x:c>
    </x:row>
    <x:row r="101">
      <x:c r="A101" s="104" t="str">
        <x:v>015453.OF</x:v>
      </x:c>
      <x:c r="B101" s="99" t="str">
        <x:v>中欧中证500指增A</x:v>
      </x:c>
      <x:c r="C101" s="104" t="str">
        <x:v>增值</x:v>
      </x:c>
      <x:c r="D101" s="104" t="str">
        <x:v>指增</x:v>
      </x:c>
      <x:c r="E101" s="104" t="str">
        <x:v>指增</x:v>
      </x:c>
      <x:c r="F101" s="104" t="str">
        <x:v>宽基&amp;指增池</x:v>
      </x:c>
      <x:c r="G101" s="105" t="n">
        <x:v>0</x:v>
      </x:c>
      <x:c r="H101" s="105" t="n">
        <x:v>0</x:v>
      </x:c>
      <x:c r="I101" s="105" t="n">
        <x:v>0</x:v>
      </x:c>
      <x:c r="J101" s="105" t="n">
        <x:v>0</x:v>
      </x:c>
      <x:c r="K101" s="105" t="n">
        <x:v>0.01331135566096293</x:v>
      </x:c>
      <x:c r="L101" s="105" t="n">
        <x:v>0</x:v>
      </x:c>
      <x:c r="M101" t="n">
        <x:f>IF(LEFT('分期持仓明细'!$A$20,LEN(G$81)+2)=G$81&amp;" ·",ROW('分期持仓明细'!$A$20),0)</x:f>
        <x:v>0</x:v>
      </x:c>
      <x:c r="N101" t="n">
        <x:f>IF(LEFT('分期持仓明细'!$A$20,LEN(H$81)+2)=H$81&amp;" ·",ROW('分期持仓明细'!$A$20),0)</x:f>
        <x:v>0</x:v>
      </x:c>
      <x:c r="O101" t="n">
        <x:f>IF(LEFT('分期持仓明细'!$A$20,LEN(I$81)+2)=I$81&amp;" ·",ROW('分期持仓明细'!$A$20),0)</x:f>
        <x:v>0</x:v>
      </x:c>
      <x:c r="P101" t="n">
        <x:f>IF(LEFT('分期持仓明细'!$A$20,LEN(J$81)+2)=J$81&amp;" ·",ROW('分期持仓明细'!$A$20),0)</x:f>
        <x:v>20</x:v>
      </x:c>
      <x:c r="Q101" t="n">
        <x:f>IF(LEFT('分期持仓明细'!$A$20,LEN(K$81)+2)=K$81&amp;" ·",ROW('分期持仓明细'!$A$20),0)</x:f>
        <x:v>0</x:v>
      </x:c>
      <x:c r="R101" t="n">
        <x:f>IF(LEFT('分期持仓明细'!$A$20,LEN(L$81)+2)=L$81&amp;" ·",ROW('分期持仓明细'!$A$20),0)</x:f>
        <x:v>0</x:v>
      </x:c>
    </x:row>
    <x:row r="102">
      <x:c r="A102" s="104" t="str">
        <x:v>015454.OF</x:v>
      </x:c>
      <x:c r="B102" s="99" t="str">
        <x:v>中欧中证500指增C</x:v>
      </x:c>
      <x:c r="C102" s="104" t="str">
        <x:v>增值</x:v>
      </x:c>
      <x:c r="D102" s="104" t="str">
        <x:v>指增</x:v>
      </x:c>
      <x:c r="E102" s="104" t="str">
        <x:v>指增</x:v>
      </x:c>
      <x:c r="F102" s="104" t="str">
        <x:v>同基金A/C</x:v>
      </x:c>
      <x:c r="G102" s="105" t="n">
        <x:v>0</x:v>
      </x:c>
      <x:c r="H102" s="105" t="n">
        <x:v>0</x:v>
      </x:c>
      <x:c r="I102" s="105" t="n">
        <x:v>0</x:v>
      </x:c>
      <x:c r="J102" s="105" t="n">
        <x:v>0.01300899943471813</x:v>
      </x:c>
      <x:c r="K102" s="105" t="n">
        <x:v>0</x:v>
      </x:c>
      <x:c r="L102" s="105" t="n">
        <x:v>0.03886861841160838</x:v>
      </x:c>
      <x:c r="M102" t="n">
        <x:f>IF(LEFT('分期持仓明细'!$A$21,LEN(G$81)+2)=G$81&amp;" ·",ROW('分期持仓明细'!$A$21),0)</x:f>
        <x:v>0</x:v>
      </x:c>
      <x:c r="N102" t="n">
        <x:f>IF(LEFT('分期持仓明细'!$A$21,LEN(H$81)+2)=H$81&amp;" ·",ROW('分期持仓明细'!$A$21),0)</x:f>
        <x:v>0</x:v>
      </x:c>
      <x:c r="O102" t="n">
        <x:f>IF(LEFT('分期持仓明细'!$A$21,LEN(I$81)+2)=I$81&amp;" ·",ROW('分期持仓明细'!$A$21),0)</x:f>
        <x:v>0</x:v>
      </x:c>
      <x:c r="P102" t="n">
        <x:f>IF(LEFT('分期持仓明细'!$A$21,LEN(J$81)+2)=J$81&amp;" ·",ROW('分期持仓明细'!$A$21),0)</x:f>
        <x:v>0</x:v>
      </x:c>
      <x:c r="Q102" t="n">
        <x:f>IF(LEFT('分期持仓明细'!$A$21,LEN(K$81)+2)=K$81&amp;" ·",ROW('分期持仓明细'!$A$21),0)</x:f>
        <x:v>21</x:v>
      </x:c>
      <x:c r="R102" t="n">
        <x:f>IF(LEFT('分期持仓明细'!$A$21,LEN(L$81)+2)=L$81&amp;" ·",ROW('分期持仓明细'!$A$21),0)</x:f>
        <x:v>0</x:v>
      </x:c>
    </x:row>
    <x:row r="103">
      <x:c r="A103" s="104" t="str">
        <x:v>016370.OF</x:v>
      </x:c>
      <x:c r="B103" s="99" t="str">
        <x:v>信澳业绩驱动A</x:v>
      </x:c>
      <x:c r="C103" s="104" t="str">
        <x:v>增值</x:v>
      </x:c>
      <x:c r="D103" s="104" t="str">
        <x:v>产业趋势</x:v>
      </x:c>
      <x:c r="E103" s="104" t="str">
        <x:v>主动</x:v>
      </x:c>
      <x:c r="F103" s="104" t="str">
        <x:v>产业趋势产品池</x:v>
      </x:c>
      <x:c r="G103" s="105" t="n">
        <x:v>0.15912488007417924</x:v>
      </x:c>
      <x:c r="H103" s="105" t="n">
        <x:v>0.15902507905426536</x:v>
      </x:c>
      <x:c r="I103" s="105" t="n">
        <x:v>0</x:v>
      </x:c>
      <x:c r="J103" s="105" t="n">
        <x:v>0</x:v>
      </x:c>
      <x:c r="K103" s="105" t="n">
        <x:v>0.00840985580066948</x:v>
      </x:c>
      <x:c r="L103" s="105" t="n">
        <x:v>0</x:v>
      </x:c>
      <x:c r="M103" t="n">
        <x:f>IF(LEFT('分期持仓明细'!$A$22,LEN(G$81)+2)=G$81&amp;" ·",ROW('分期持仓明细'!$A$22),0)</x:f>
        <x:v>0</x:v>
      </x:c>
      <x:c r="N103" t="n">
        <x:f>IF(LEFT('分期持仓明细'!$A$22,LEN(H$81)+2)=H$81&amp;" ·",ROW('分期持仓明细'!$A$22),0)</x:f>
        <x:v>0</x:v>
      </x:c>
      <x:c r="O103" t="n">
        <x:f>IF(LEFT('分期持仓明细'!$A$22,LEN(I$81)+2)=I$81&amp;" ·",ROW('分期持仓明细'!$A$22),0)</x:f>
        <x:v>0</x:v>
      </x:c>
      <x:c r="P103" t="n">
        <x:f>IF(LEFT('分期持仓明细'!$A$22,LEN(J$81)+2)=J$81&amp;" ·",ROW('分期持仓明细'!$A$22),0)</x:f>
        <x:v>0</x:v>
      </x:c>
      <x:c r="Q103" t="n">
        <x:f>IF(LEFT('分期持仓明细'!$A$22,LEN(K$81)+2)=K$81&amp;" ·",ROW('分期持仓明细'!$A$22),0)</x:f>
        <x:v>0</x:v>
      </x:c>
      <x:c r="R103" t="n">
        <x:f>IF(LEFT('分期持仓明细'!$A$22,LEN(L$81)+2)=L$81&amp;" ·",ROW('分期持仓明细'!$A$22),0)</x:f>
        <x:v>22</x:v>
      </x:c>
    </x:row>
    <x:row r="104">
      <x:c r="A104" s="104" t="str">
        <x:v>017488.OF</x:v>
      </x:c>
      <x:c r="B104" s="99" t="str">
        <x:v>嘉实信息产业A</x:v>
      </x:c>
      <x:c r="C104" s="104" t="str">
        <x:v>增值</x:v>
      </x:c>
      <x:c r="D104" s="104" t="str">
        <x:v>产业趋势</x:v>
      </x:c>
      <x:c r="E104" s="104" t="str">
        <x:v>主动</x:v>
      </x:c>
      <x:c r="F104" s="104" t="str">
        <x:v>产业趋势产品池</x:v>
      </x:c>
      <x:c r="G104" s="105" t="n">
        <x:v>0.17230499151577977</x:v>
      </x:c>
      <x:c r="H104" s="105" t="n">
        <x:v>0.17310992190249347</x:v>
      </x:c>
      <x:c r="I104" s="105" t="n">
        <x:v>0</x:v>
      </x:c>
      <x:c r="J104" s="105" t="n">
        <x:v>0</x:v>
      </x:c>
      <x:c r="K104" s="105" t="n">
        <x:v>0.008980180698834838</x:v>
      </x:c>
      <x:c r="L104" s="105" t="n">
        <x:v>0</x:v>
      </x:c>
      <x:c r="M104" t="n">
        <x:f>IF(LEFT('分期持仓明细'!$A$23,LEN(G$81)+2)=G$81&amp;" ·",ROW('分期持仓明细'!$A$23),0)</x:f>
        <x:v>0</x:v>
      </x:c>
      <x:c r="N104" t="n">
        <x:f>IF(LEFT('分期持仓明细'!$A$23,LEN(H$81)+2)=H$81&amp;" ·",ROW('分期持仓明细'!$A$23),0)</x:f>
        <x:v>0</x:v>
      </x:c>
      <x:c r="O104" t="n">
        <x:f>IF(LEFT('分期持仓明细'!$A$23,LEN(I$81)+2)=I$81&amp;" ·",ROW('分期持仓明细'!$A$23),0)</x:f>
        <x:v>0</x:v>
      </x:c>
      <x:c r="P104" t="n">
        <x:f>IF(LEFT('分期持仓明细'!$A$23,LEN(J$81)+2)=J$81&amp;" ·",ROW('分期持仓明细'!$A$23),0)</x:f>
        <x:v>0</x:v>
      </x:c>
      <x:c r="Q104" t="n">
        <x:f>IF(LEFT('分期持仓明细'!$A$23,LEN(K$81)+2)=K$81&amp;" ·",ROW('分期持仓明细'!$A$23),0)</x:f>
        <x:v>0</x:v>
      </x:c>
      <x:c r="R104" t="n">
        <x:f>IF(LEFT('分期持仓明细'!$A$23,LEN(L$81)+2)=L$81&amp;" ·",ROW('分期持仓明细'!$A$23),0)</x:f>
        <x:v>0</x:v>
      </x:c>
    </x:row>
    <x:row r="105">
      <x:c r="A105" s="104" t="str">
        <x:v>017489.OF</x:v>
      </x:c>
      <x:c r="B105" s="99" t="str">
        <x:v>嘉实信息产业C</x:v>
      </x:c>
      <x:c r="C105" s="104" t="str">
        <x:v>增值</x:v>
      </x:c>
      <x:c r="D105" s="104" t="str">
        <x:v>产业趋势</x:v>
      </x:c>
      <x:c r="E105" s="104" t="str">
        <x:v>主动</x:v>
      </x:c>
      <x:c r="F105" s="104" t="str">
        <x:v>同基金A/C</x:v>
      </x:c>
      <x:c r="G105" s="105" t="n">
        <x:v>0</x:v>
      </x:c>
      <x:c r="H105" s="105" t="n">
        <x:v>0</x:v>
      </x:c>
      <x:c r="I105" s="105" t="n">
        <x:v>0.16814227790813516</x:v>
      </x:c>
      <x:c r="J105" s="105" t="n">
        <x:v>0.008713691952627311</x:v>
      </x:c>
      <x:c r="K105" s="105" t="n">
        <x:v>0</x:v>
      </x:c>
      <x:c r="L105" s="105" t="n">
        <x:v>0.02603644996891972</x:v>
      </x:c>
      <x:c r="M105" t="n">
        <x:f>IF(LEFT('分期持仓明细'!$A$24,LEN(G$81)+2)=G$81&amp;" ·",ROW('分期持仓明细'!$A$24),0)</x:f>
        <x:v>0</x:v>
      </x:c>
      <x:c r="N105" t="n">
        <x:f>IF(LEFT('分期持仓明细'!$A$24,LEN(H$81)+2)=H$81&amp;" ·",ROW('分期持仓明细'!$A$24),0)</x:f>
        <x:v>0</x:v>
      </x:c>
      <x:c r="O105" t="n">
        <x:f>IF(LEFT('分期持仓明细'!$A$24,LEN(I$81)+2)=I$81&amp;" ·",ROW('分期持仓明细'!$A$24),0)</x:f>
        <x:v>0</x:v>
      </x:c>
      <x:c r="P105" t="n">
        <x:f>IF(LEFT('分期持仓明细'!$A$24,LEN(J$81)+2)=J$81&amp;" ·",ROW('分期持仓明细'!$A$24),0)</x:f>
        <x:v>0</x:v>
      </x:c>
      <x:c r="Q105" t="n">
        <x:f>IF(LEFT('分期持仓明细'!$A$24,LEN(K$81)+2)=K$81&amp;" ·",ROW('分期持仓明细'!$A$24),0)</x:f>
        <x:v>0</x:v>
      </x:c>
      <x:c r="R105" t="n">
        <x:f>IF(LEFT('分期持仓明细'!$A$24,LEN(L$81)+2)=L$81&amp;" ·",ROW('分期持仓明细'!$A$24),0)</x:f>
        <x:v>0</x:v>
      </x:c>
    </x:row>
    <x:row r="106">
      <x:c r="A106" s="104" t="str">
        <x:v>017612.OF</x:v>
      </x:c>
      <x:c r="B106" s="99" t="str">
        <x:v>宏利复兴伟业C</x:v>
      </x:c>
      <x:c r="C106" s="104" t="str">
        <x:v>增值</x:v>
      </x:c>
      <x:c r="D106" s="104" t="str">
        <x:v>产业趋势</x:v>
      </x:c>
      <x:c r="E106" s="104" t="str">
        <x:v>主动</x:v>
      </x:c>
      <x:c r="F106" s="104" t="str">
        <x:v>同基金A/C</x:v>
      </x:c>
      <x:c r="G106" s="105" t="n">
        <x:v>0</x:v>
      </x:c>
      <x:c r="H106" s="105" t="n">
        <x:v>0</x:v>
      </x:c>
      <x:c r="I106" s="105" t="n">
        <x:v>0.16735538109816184</x:v>
      </x:c>
      <x:c r="J106" s="105" t="n">
        <x:v>0.008645667148546948</x:v>
      </x:c>
      <x:c r="K106" s="105" t="n">
        <x:v>0</x:v>
      </x:c>
      <x:c r="L106" s="105" t="n">
        <x:v>0.02583404960566663</x:v>
      </x:c>
      <x:c r="M106" t="n">
        <x:f>IF(LEFT('分期持仓明细'!$A$25,LEN(G$81)+2)=G$81&amp;" ·",ROW('分期持仓明细'!$A$25),0)</x:f>
        <x:v>0</x:v>
      </x:c>
      <x:c r="N106" t="n">
        <x:f>IF(LEFT('分期持仓明细'!$A$25,LEN(H$81)+2)=H$81&amp;" ·",ROW('分期持仓明细'!$A$25),0)</x:f>
        <x:v>0</x:v>
      </x:c>
      <x:c r="O106" t="n">
        <x:f>IF(LEFT('分期持仓明细'!$A$25,LEN(I$81)+2)=I$81&amp;" ·",ROW('分期持仓明细'!$A$25),0)</x:f>
        <x:v>0</x:v>
      </x:c>
      <x:c r="P106" t="n">
        <x:f>IF(LEFT('分期持仓明细'!$A$25,LEN(J$81)+2)=J$81&amp;" ·",ROW('分期持仓明细'!$A$25),0)</x:f>
        <x:v>0</x:v>
      </x:c>
      <x:c r="Q106" t="n">
        <x:f>IF(LEFT('分期持仓明细'!$A$25,LEN(K$81)+2)=K$81&amp;" ·",ROW('分期持仓明细'!$A$25),0)</x:f>
        <x:v>0</x:v>
      </x:c>
      <x:c r="R106" t="n">
        <x:f>IF(LEFT('分期持仓明细'!$A$25,LEN(L$81)+2)=L$81&amp;" ·",ROW('分期持仓明细'!$A$25),0)</x:f>
        <x:v>0</x:v>
      </x:c>
    </x:row>
    <x:row r="107">
      <x:c r="A107" s="104" t="str">
        <x:v>019632.OF</x:v>
      </x:c>
      <x:c r="B107" s="99" t="str">
        <x:v>国泰半导体材料设备ETF联接A</x:v>
      </x:c>
      <x:c r="C107" s="104" t="str">
        <x:v>增值</x:v>
      </x:c>
      <x:c r="D107" s="104" t="str">
        <x:v>产业趋势</x:v>
      </x:c>
      <x:c r="E107" s="104" t="str">
        <x:v>指数</x:v>
      </x:c>
      <x:c r="F107" s="104" t="str">
        <x:v>产业趋势产品池</x:v>
      </x:c>
      <x:c r="G107" s="105" t="n">
        <x:v>0.1311286607566896</x:v>
      </x:c>
      <x:c r="H107" s="105" t="n">
        <x:v>0.1317750117897416</x:v>
      </x:c>
      <x:c r="I107" s="105" t="n">
        <x:v>0</x:v>
      </x:c>
      <x:c r="J107" s="105" t="n">
        <x:v>0</x:v>
      </x:c>
      <x:c r="K107" s="105" t="n">
        <x:v>0.005856096818189585</x:v>
      </x:c>
      <x:c r="L107" s="105" t="n">
        <x:v>0</x:v>
      </x:c>
      <x:c r="M107" t="n">
        <x:f>IF(LEFT('分期持仓明细'!$A$26,LEN(G$81)+2)=G$81&amp;" ·",ROW('分期持仓明细'!$A$26),0)</x:f>
        <x:v>0</x:v>
      </x:c>
      <x:c r="N107" t="n">
        <x:f>IF(LEFT('分期持仓明细'!$A$26,LEN(H$81)+2)=H$81&amp;" ·",ROW('分期持仓明细'!$A$26),0)</x:f>
        <x:v>0</x:v>
      </x:c>
      <x:c r="O107" t="n">
        <x:f>IF(LEFT('分期持仓明细'!$A$26,LEN(I$81)+2)=I$81&amp;" ·",ROW('分期持仓明细'!$A$26),0)</x:f>
        <x:v>0</x:v>
      </x:c>
      <x:c r="P107" t="n">
        <x:f>IF(LEFT('分期持仓明细'!$A$26,LEN(J$81)+2)=J$81&amp;" ·",ROW('分期持仓明细'!$A$26),0)</x:f>
        <x:v>0</x:v>
      </x:c>
      <x:c r="Q107" t="n">
        <x:f>IF(LEFT('分期持仓明细'!$A$26,LEN(K$81)+2)=K$81&amp;" ·",ROW('分期持仓明细'!$A$26),0)</x:f>
        <x:v>0</x:v>
      </x:c>
      <x:c r="R107" t="n">
        <x:f>IF(LEFT('分期持仓明细'!$A$26,LEN(L$81)+2)=L$81&amp;" ·",ROW('分期持仓明细'!$A$26),0)</x:f>
        <x:v>0</x:v>
      </x:c>
    </x:row>
    <x:row r="108">
      <x:c r="A108" s="104" t="str">
        <x:v>019633.OF</x:v>
      </x:c>
      <x:c r="B108" s="99" t="str">
        <x:v>国泰半导体材料设备C</x:v>
      </x:c>
      <x:c r="C108" s="104" t="str">
        <x:v>增值</x:v>
      </x:c>
      <x:c r="D108" s="104" t="str">
        <x:v>产业趋势</x:v>
      </x:c>
      <x:c r="E108" s="104" t="str">
        <x:v>指数</x:v>
      </x:c>
      <x:c r="F108" s="104" t="str">
        <x:v>同基金A/C</x:v>
      </x:c>
      <x:c r="G108" s="105" t="n">
        <x:v>0</x:v>
      </x:c>
      <x:c r="H108" s="105" t="n">
        <x:v>0</x:v>
      </x:c>
      <x:c r="I108" s="105" t="n">
        <x:v>0.12507142493000778</x:v>
      </x:c>
      <x:c r="J108" s="105" t="n">
        <x:v>0.005413390810145085</x:v>
      </x:c>
      <x:c r="K108" s="105" t="n">
        <x:v>0</x:v>
      </x:c>
      <x:c r="L108" s="105" t="n">
        <x:v>0.01617480085850223</x:v>
      </x:c>
      <x:c r="M108" t="n">
        <x:f>IF(LEFT('分期持仓明细'!$A$27,LEN(G$81)+2)=G$81&amp;" ·",ROW('分期持仓明细'!$A$27),0)</x:f>
        <x:v>0</x:v>
      </x:c>
      <x:c r="N108" t="n">
        <x:f>IF(LEFT('分期持仓明细'!$A$27,LEN(H$81)+2)=H$81&amp;" ·",ROW('分期持仓明细'!$A$27),0)</x:f>
        <x:v>0</x:v>
      </x:c>
      <x:c r="O108" t="n">
        <x:f>IF(LEFT('分期持仓明细'!$A$27,LEN(I$81)+2)=I$81&amp;" ·",ROW('分期持仓明细'!$A$27),0)</x:f>
        <x:v>0</x:v>
      </x:c>
      <x:c r="P108" t="n">
        <x:f>IF(LEFT('分期持仓明细'!$A$27,LEN(J$81)+2)=J$81&amp;" ·",ROW('分期持仓明细'!$A$27),0)</x:f>
        <x:v>0</x:v>
      </x:c>
      <x:c r="Q108" t="n">
        <x:f>IF(LEFT('分期持仓明细'!$A$27,LEN(K$81)+2)=K$81&amp;" ·",ROW('分期持仓明细'!$A$27),0)</x:f>
        <x:v>0</x:v>
      </x:c>
      <x:c r="R108" t="n">
        <x:f>IF(LEFT('分期持仓明细'!$A$27,LEN(L$81)+2)=L$81&amp;" ·",ROW('分期持仓明细'!$A$27),0)</x:f>
        <x:v>0</x:v>
      </x:c>
    </x:row>
    <x:row r="109">
      <x:c r="A109" s="104" t="str">
        <x:v>019923.OF</x:v>
      </x:c>
      <x:c r="B109" s="99" t="str">
        <x:v>华泰柏瑞中证2000指增A</x:v>
      </x:c>
      <x:c r="C109" s="104" t="str">
        <x:v>增值</x:v>
      </x:c>
      <x:c r="D109" s="104" t="str">
        <x:v>指增</x:v>
      </x:c>
      <x:c r="E109" s="104" t="str">
        <x:v>指增</x:v>
      </x:c>
      <x:c r="F109" s="104" t="str">
        <x:v>宽基&amp;指增池</x:v>
      </x:c>
      <x:c r="G109" s="105" t="n">
        <x:v>0</x:v>
      </x:c>
      <x:c r="H109" s="105" t="n">
        <x:v>0</x:v>
      </x:c>
      <x:c r="I109" s="105" t="n">
        <x:v>0</x:v>
      </x:c>
      <x:c r="J109" s="105" t="n">
        <x:v>0</x:v>
      </x:c>
      <x:c r="K109" s="105" t="n">
        <x:v>0.012743977694171382</x:v>
      </x:c>
      <x:c r="L109" s="105" t="n">
        <x:v>0</x:v>
      </x:c>
      <x:c r="M109" t="n">
        <x:f>IF(LEFT('分期持仓明细'!$A$28,LEN(G$81)+2)=G$81&amp;" ·",ROW('分期持仓明细'!$A$28),0)</x:f>
        <x:v>0</x:v>
      </x:c>
      <x:c r="N109" t="n">
        <x:f>IF(LEFT('分期持仓明细'!$A$28,LEN(H$81)+2)=H$81&amp;" ·",ROW('分期持仓明细'!$A$28),0)</x:f>
        <x:v>0</x:v>
      </x:c>
      <x:c r="O109" t="n">
        <x:f>IF(LEFT('分期持仓明细'!$A$28,LEN(I$81)+2)=I$81&amp;" ·",ROW('分期持仓明细'!$A$28),0)</x:f>
        <x:v>0</x:v>
      </x:c>
      <x:c r="P109" t="n">
        <x:f>IF(LEFT('分期持仓明细'!$A$28,LEN(J$81)+2)=J$81&amp;" ·",ROW('分期持仓明细'!$A$28),0)</x:f>
        <x:v>0</x:v>
      </x:c>
      <x:c r="Q109" t="n">
        <x:f>IF(LEFT('分期持仓明细'!$A$28,LEN(K$81)+2)=K$81&amp;" ·",ROW('分期持仓明细'!$A$28),0)</x:f>
        <x:v>0</x:v>
      </x:c>
      <x:c r="R109" t="n">
        <x:f>IF(LEFT('分期持仓明细'!$A$28,LEN(L$81)+2)=L$81&amp;" ·",ROW('分期持仓明细'!$A$28),0)</x:f>
        <x:v>0</x:v>
      </x:c>
    </x:row>
    <x:row r="110">
      <x:c r="A110" s="104" t="str">
        <x:v>019924.OF</x:v>
      </x:c>
      <x:c r="B110" s="99" t="str">
        <x:v>华泰柏瑞中证2000指增C</x:v>
      </x:c>
      <x:c r="C110" s="104" t="str">
        <x:v>增值</x:v>
      </x:c>
      <x:c r="D110" s="104" t="str">
        <x:v>指增</x:v>
      </x:c>
      <x:c r="E110" s="104" t="str">
        <x:v>指增</x:v>
      </x:c>
      <x:c r="F110" s="104" t="str">
        <x:v>同基金A/C</x:v>
      </x:c>
      <x:c r="G110" s="105" t="n">
        <x:v>0</x:v>
      </x:c>
      <x:c r="H110" s="105" t="n">
        <x:v>0</x:v>
      </x:c>
      <x:c r="I110" s="105" t="n">
        <x:v>0</x:v>
      </x:c>
      <x:c r="J110" s="105" t="n">
        <x:v>0.012762048562637551</x:v>
      </x:c>
      <x:c r="K110" s="105" t="n">
        <x:v>0</x:v>
      </x:c>
      <x:c r="L110" s="105" t="n">
        <x:v>0.0381325714317698</x:v>
      </x:c>
      <x:c r="M110" t="n">
        <x:f>IF(LEFT('分期持仓明细'!$A$29,LEN(G$81)+2)=G$81&amp;" ·",ROW('分期持仓明细'!$A$29),0)</x:f>
        <x:v>0</x:v>
      </x:c>
      <x:c r="N110" t="n">
        <x:f>IF(LEFT('分期持仓明细'!$A$29,LEN(H$81)+2)=H$81&amp;" ·",ROW('分期持仓明细'!$A$29),0)</x:f>
        <x:v>0</x:v>
      </x:c>
      <x:c r="O110" t="n">
        <x:f>IF(LEFT('分期持仓明细'!$A$29,LEN(I$81)+2)=I$81&amp;" ·",ROW('分期持仓明细'!$A$29),0)</x:f>
        <x:v>0</x:v>
      </x:c>
      <x:c r="P110" t="n">
        <x:f>IF(LEFT('分期持仓明细'!$A$29,LEN(J$81)+2)=J$81&amp;" ·",ROW('分期持仓明细'!$A$29),0)</x:f>
        <x:v>0</x:v>
      </x:c>
      <x:c r="Q110" t="n">
        <x:f>IF(LEFT('分期持仓明细'!$A$29,LEN(K$81)+2)=K$81&amp;" ·",ROW('分期持仓明细'!$A$29),0)</x:f>
        <x:v>0</x:v>
      </x:c>
      <x:c r="R110" t="n">
        <x:f>IF(LEFT('分期持仓明细'!$A$29,LEN(L$81)+2)=L$81&amp;" ·",ROW('分期持仓明细'!$A$29),0)</x:f>
        <x:v>0</x:v>
      </x:c>
    </x:row>
    <x:row r="111">
      <x:c r="A111" s="104" t="str">
        <x:v>161119.OF</x:v>
      </x:c>
      <x:c r="B111" s="99" t="str">
        <x:v>易方达中债新综指LOFA</x:v>
      </x:c>
      <x:c r="C111" s="104" t="str">
        <x:v>生息</x:v>
      </x:c>
      <x:c r="D111" s="104" t="str">
        <x:v>-</x:v>
      </x:c>
      <x:c r="E111" s="104" t="str">
        <x:v>债券</x:v>
      </x:c>
      <x:c r="F111" s="104" t="str">
        <x:v>债券&amp;保障池子（生息）</x:v>
      </x:c>
      <x:c r="G111" s="105" t="n">
        <x:v>0</x:v>
      </x:c>
      <x:c r="H111" s="105" t="n">
        <x:v>0</x:v>
      </x:c>
      <x:c r="I111" s="105" t="n">
        <x:v>0</x:v>
      </x:c>
      <x:c r="J111" s="105" t="n">
        <x:v>0.7974500954456453</x:v>
      </x:c>
      <x:c r="K111" s="105" t="n">
        <x:v>0.7984750205517424</x:v>
      </x:c>
      <x:c r="L111" s="105" t="n">
        <x:v>0.49216006002582735</x:v>
      </x:c>
      <x:c r="M111" t="n">
        <x:f>IF(LEFT('分期持仓明细'!$A$30,LEN(G$81)+2)=G$81&amp;" ·",ROW('分期持仓明细'!$A$30),0)</x:f>
        <x:v>0</x:v>
      </x:c>
      <x:c r="N111" t="n">
        <x:f>IF(LEFT('分期持仓明细'!$A$30,LEN(H$81)+2)=H$81&amp;" ·",ROW('分期持仓明细'!$A$30),0)</x:f>
        <x:v>0</x:v>
      </x:c>
      <x:c r="O111" t="n">
        <x:f>IF(LEFT('分期持仓明细'!$A$30,LEN(I$81)+2)=I$81&amp;" ·",ROW('分期持仓明细'!$A$30),0)</x:f>
        <x:v>0</x:v>
      </x:c>
      <x:c r="P111" t="n">
        <x:f>IF(LEFT('分期持仓明细'!$A$30,LEN(J$81)+2)=J$81&amp;" ·",ROW('分期持仓明细'!$A$30),0)</x:f>
        <x:v>0</x:v>
      </x:c>
      <x:c r="Q111" t="n">
        <x:f>IF(LEFT('分期持仓明细'!$A$30,LEN(K$81)+2)=K$81&amp;" ·",ROW('分期持仓明细'!$A$30),0)</x:f>
        <x:v>0</x:v>
      </x:c>
      <x:c r="R111" t="n">
        <x:f>IF(LEFT('分期持仓明细'!$A$30,LEN(L$81)+2)=L$81&amp;" ·",ROW('分期持仓明细'!$A$30),0)</x:f>
        <x:v>0</x:v>
      </x:c>
    </x:row>
    <x:row r="112">
      <x:c r="A112" s="104" t="str">
        <x:v>162214.OF</x:v>
      </x:c>
      <x:c r="B112" s="99" t="str">
        <x:v>宏利领先中小盘混合</x:v>
      </x:c>
      <x:c r="C112" s="104" t="str">
        <x:v>增值</x:v>
      </x:c>
      <x:c r="D112" s="104" t="str">
        <x:v>产业趋势</x:v>
      </x:c>
      <x:c r="E112" s="104" t="str">
        <x:v>主动</x:v>
      </x:c>
      <x:c r="F112" s="104" t="str">
        <x:v>产业趋势产品池</x:v>
      </x:c>
      <x:c r="G112" s="105" t="n">
        <x:v>0.06846517064767443</x:v>
      </x:c>
      <x:c r="H112" s="105" t="n">
        <x:v>0.06847547586048766</x:v>
      </x:c>
      <x:c r="I112" s="105" t="n">
        <x:v>0.06838193175074</x:v>
      </x:c>
      <x:c r="J112" s="105" t="n">
        <x:v>0.009510736896603767</x:v>
      </x:c>
      <x:c r="K112" s="105" t="n">
        <x:v>0.009523545671505275</x:v>
      </x:c>
      <x:c r="L112" s="105" t="n">
        <x:v>0.03091608224568969</x:v>
      </x:c>
      <x:c r="M112" t="n">
        <x:f>IF(LEFT('分期持仓明细'!$A$31,LEN(G$81)+2)=G$81&amp;" ·",ROW('分期持仓明细'!$A$31),0)</x:f>
        <x:v>0</x:v>
      </x:c>
      <x:c r="N112" t="n">
        <x:f>IF(LEFT('分期持仓明细'!$A$31,LEN(H$81)+2)=H$81&amp;" ·",ROW('分期持仓明细'!$A$31),0)</x:f>
        <x:v>0</x:v>
      </x:c>
      <x:c r="O112" t="n">
        <x:f>IF(LEFT('分期持仓明细'!$A$31,LEN(I$81)+2)=I$81&amp;" ·",ROW('分期持仓明细'!$A$31),0)</x:f>
        <x:v>0</x:v>
      </x:c>
      <x:c r="P112" t="n">
        <x:f>IF(LEFT('分期持仓明细'!$A$31,LEN(J$81)+2)=J$81&amp;" ·",ROW('分期持仓明细'!$A$31),0)</x:f>
        <x:v>0</x:v>
      </x:c>
      <x:c r="Q112" t="n">
        <x:f>IF(LEFT('分期持仓明细'!$A$31,LEN(K$81)+2)=K$81&amp;" ·",ROW('分期持仓明细'!$A$31),0)</x:f>
        <x:v>0</x:v>
      </x:c>
      <x:c r="R112" t="n">
        <x:f>IF(LEFT('分期持仓明细'!$A$31,LEN(L$81)+2)=L$81&amp;" ·",ROW('分期持仓明细'!$A$31),0)</x:f>
        <x:v>0</x:v>
      </x:c>
    </x:row>
    <x:row r="113">
      <x:c r="M113" t="n">
        <x:f>IF(LEFT('分期持仓明细'!$A$32,LEN(G$81)+2)=G$81&amp;" ·",ROW('分期持仓明细'!$A$32),0)</x:f>
        <x:v>0</x:v>
      </x:c>
      <x:c r="N113" t="n">
        <x:f>IF(LEFT('分期持仓明细'!$A$32,LEN(H$81)+2)=H$81&amp;" ·",ROW('分期持仓明细'!$A$32),0)</x:f>
        <x:v>0</x:v>
      </x:c>
      <x:c r="O113" t="n">
        <x:f>IF(LEFT('分期持仓明细'!$A$32,LEN(I$81)+2)=I$81&amp;" ·",ROW('分期持仓明细'!$A$32),0)</x:f>
        <x:v>0</x:v>
      </x:c>
      <x:c r="P113" t="n">
        <x:f>IF(LEFT('分期持仓明细'!$A$32,LEN(J$81)+2)=J$81&amp;" ·",ROW('分期持仓明细'!$A$32),0)</x:f>
        <x:v>0</x:v>
      </x:c>
      <x:c r="Q113" t="n">
        <x:f>IF(LEFT('分期持仓明细'!$A$32,LEN(K$81)+2)=K$81&amp;" ·",ROW('分期持仓明细'!$A$32),0)</x:f>
        <x:v>0</x:v>
      </x:c>
      <x:c r="R113" t="n">
        <x:f>IF(LEFT('分期持仓明细'!$A$32,LEN(L$81)+2)=L$81&amp;" ·",ROW('分期持仓明细'!$A$32),0)</x:f>
        <x:v>0</x:v>
      </x:c>
    </x:row>
    <x:row r="114">
      <x:c r="M114" t="n">
        <x:f>IF(LEFT('分期持仓明细'!$A$33,LEN(G$81)+2)=G$81&amp;" ·",ROW('分期持仓明细'!$A$33),0)</x:f>
        <x:v>0</x:v>
      </x:c>
      <x:c r="N114" t="n">
        <x:f>IF(LEFT('分期持仓明细'!$A$33,LEN(H$81)+2)=H$81&amp;" ·",ROW('分期持仓明细'!$A$33),0)</x:f>
        <x:v>0</x:v>
      </x:c>
      <x:c r="O114" t="n">
        <x:f>IF(LEFT('分期持仓明细'!$A$33,LEN(I$81)+2)=I$81&amp;" ·",ROW('分期持仓明细'!$A$33),0)</x:f>
        <x:v>0</x:v>
      </x:c>
      <x:c r="P114" t="n">
        <x:f>IF(LEFT('分期持仓明细'!$A$33,LEN(J$81)+2)=J$81&amp;" ·",ROW('分期持仓明细'!$A$33),0)</x:f>
        <x:v>0</x:v>
      </x:c>
      <x:c r="Q114" t="n">
        <x:f>IF(LEFT('分期持仓明细'!$A$33,LEN(K$81)+2)=K$81&amp;" ·",ROW('分期持仓明细'!$A$33),0)</x:f>
        <x:v>0</x:v>
      </x:c>
      <x:c r="R114" t="n">
        <x:f>IF(LEFT('分期持仓明细'!$A$33,LEN(L$81)+2)=L$81&amp;" ·",ROW('分期持仓明细'!$A$33),0)</x:f>
        <x:v>0</x:v>
      </x:c>
    </x:row>
    <x:row r="115">
      <x:c r="M115" t="n">
        <x:f>IF(LEFT('分期持仓明细'!$A$34,LEN(G$81)+2)=G$81&amp;" ·",ROW('分期持仓明细'!$A$34),0)</x:f>
        <x:v>0</x:v>
      </x:c>
      <x:c r="N115" t="n">
        <x:f>IF(LEFT('分期持仓明细'!$A$34,LEN(H$81)+2)=H$81&amp;" ·",ROW('分期持仓明细'!$A$34),0)</x:f>
        <x:v>0</x:v>
      </x:c>
      <x:c r="O115" t="n">
        <x:f>IF(LEFT('分期持仓明细'!$A$34,LEN(I$81)+2)=I$81&amp;" ·",ROW('分期持仓明细'!$A$34),0)</x:f>
        <x:v>0</x:v>
      </x:c>
      <x:c r="P115" t="n">
        <x:f>IF(LEFT('分期持仓明细'!$A$34,LEN(J$81)+2)=J$81&amp;" ·",ROW('分期持仓明细'!$A$34),0)</x:f>
        <x:v>0</x:v>
      </x:c>
      <x:c r="Q115" t="n">
        <x:f>IF(LEFT('分期持仓明细'!$A$34,LEN(K$81)+2)=K$81&amp;" ·",ROW('分期持仓明细'!$A$34),0)</x:f>
        <x:v>0</x:v>
      </x:c>
      <x:c r="R115" t="n">
        <x:f>IF(LEFT('分期持仓明细'!$A$34,LEN(L$81)+2)=L$81&amp;" ·",ROW('分期持仓明细'!$A$34),0)</x:f>
        <x:v>0</x:v>
      </x:c>
    </x:row>
    <x:row r="116">
      <x:c r="M116" t="n">
        <x:f>IF(LEFT('分期持仓明细'!$A$35,LEN(G$81)+2)=G$81&amp;" ·",ROW('分期持仓明细'!$A$35),0)</x:f>
        <x:v>0</x:v>
      </x:c>
      <x:c r="N116" t="n">
        <x:f>IF(LEFT('分期持仓明细'!$A$35,LEN(H$81)+2)=H$81&amp;" ·",ROW('分期持仓明细'!$A$35),0)</x:f>
        <x:v>0</x:v>
      </x:c>
      <x:c r="O116" t="n">
        <x:f>IF(LEFT('分期持仓明细'!$A$35,LEN(I$81)+2)=I$81&amp;" ·",ROW('分期持仓明细'!$A$35),0)</x:f>
        <x:v>0</x:v>
      </x:c>
      <x:c r="P116" t="n">
        <x:f>IF(LEFT('分期持仓明细'!$A$35,LEN(J$81)+2)=J$81&amp;" ·",ROW('分期持仓明细'!$A$35),0)</x:f>
        <x:v>0</x:v>
      </x:c>
      <x:c r="Q116" t="n">
        <x:f>IF(LEFT('分期持仓明细'!$A$35,LEN(K$81)+2)=K$81&amp;" ·",ROW('分期持仓明细'!$A$35),0)</x:f>
        <x:v>0</x:v>
      </x:c>
      <x:c r="R116" t="n">
        <x:f>IF(LEFT('分期持仓明细'!$A$35,LEN(L$81)+2)=L$81&amp;" ·",ROW('分期持仓明细'!$A$35),0)</x:f>
        <x:v>0</x:v>
      </x:c>
    </x:row>
    <x:row r="117">
      <x:c r="M117" t="n">
        <x:f>IF(LEFT('分期持仓明细'!$A$36,LEN(G$81)+2)=G$81&amp;" ·",ROW('分期持仓明细'!$A$36),0)</x:f>
        <x:v>0</x:v>
      </x:c>
      <x:c r="N117" t="n">
        <x:f>IF(LEFT('分期持仓明细'!$A$36,LEN(H$81)+2)=H$81&amp;" ·",ROW('分期持仓明细'!$A$36),0)</x:f>
        <x:v>0</x:v>
      </x:c>
      <x:c r="O117" t="n">
        <x:f>IF(LEFT('分期持仓明细'!$A$36,LEN(I$81)+2)=I$81&amp;" ·",ROW('分期持仓明细'!$A$36),0)</x:f>
        <x:v>0</x:v>
      </x:c>
      <x:c r="P117" t="n">
        <x:f>IF(LEFT('分期持仓明细'!$A$36,LEN(J$81)+2)=J$81&amp;" ·",ROW('分期持仓明细'!$A$36),0)</x:f>
        <x:v>0</x:v>
      </x:c>
      <x:c r="Q117" t="n">
        <x:f>IF(LEFT('分期持仓明细'!$A$36,LEN(K$81)+2)=K$81&amp;" ·",ROW('分期持仓明细'!$A$36),0)</x:f>
        <x:v>0</x:v>
      </x:c>
      <x:c r="R117" t="n">
        <x:f>IF(LEFT('分期持仓明细'!$A$36,LEN(L$81)+2)=L$81&amp;" ·",ROW('分期持仓明细'!$A$36),0)</x:f>
        <x:v>0</x:v>
      </x:c>
    </x:row>
    <x:row r="118">
      <x:c r="M118" t="n">
        <x:f>IF(LEFT('分期持仓明细'!$A$37,LEN(G$81)+2)=G$81&amp;" ·",ROW('分期持仓明细'!$A$37),0)</x:f>
        <x:v>0</x:v>
      </x:c>
      <x:c r="N118" t="n">
        <x:f>IF(LEFT('分期持仓明细'!$A$37,LEN(H$81)+2)=H$81&amp;" ·",ROW('分期持仓明细'!$A$37),0)</x:f>
        <x:v>0</x:v>
      </x:c>
      <x:c r="O118" t="n">
        <x:f>IF(LEFT('分期持仓明细'!$A$37,LEN(I$81)+2)=I$81&amp;" ·",ROW('分期持仓明细'!$A$37),0)</x:f>
        <x:v>0</x:v>
      </x:c>
      <x:c r="P118" t="n">
        <x:f>IF(LEFT('分期持仓明细'!$A$37,LEN(J$81)+2)=J$81&amp;" ·",ROW('分期持仓明细'!$A$37),0)</x:f>
        <x:v>0</x:v>
      </x:c>
      <x:c r="Q118" t="n">
        <x:f>IF(LEFT('分期持仓明细'!$A$37,LEN(K$81)+2)=K$81&amp;" ·",ROW('分期持仓明细'!$A$37),0)</x:f>
        <x:v>0</x:v>
      </x:c>
      <x:c r="R118" t="n">
        <x:f>IF(LEFT('分期持仓明细'!$A$37,LEN(L$81)+2)=L$81&amp;" ·",ROW('分期持仓明细'!$A$37),0)</x:f>
        <x:v>0</x:v>
      </x:c>
    </x:row>
    <x:row r="119">
      <x:c r="M119" t="n">
        <x:f>IF(LEFT('分期持仓明细'!$A$38,LEN(G$81)+2)=G$81&amp;" ·",ROW('分期持仓明细'!$A$38),0)</x:f>
        <x:v>0</x:v>
      </x:c>
      <x:c r="N119" t="n">
        <x:f>IF(LEFT('分期持仓明细'!$A$38,LEN(H$81)+2)=H$81&amp;" ·",ROW('分期持仓明细'!$A$38),0)</x:f>
        <x:v>0</x:v>
      </x:c>
      <x:c r="O119" t="n">
        <x:f>IF(LEFT('分期持仓明细'!$A$38,LEN(I$81)+2)=I$81&amp;" ·",ROW('分期持仓明细'!$A$38),0)</x:f>
        <x:v>0</x:v>
      </x:c>
      <x:c r="P119" t="n">
        <x:f>IF(LEFT('分期持仓明细'!$A$38,LEN(J$81)+2)=J$81&amp;" ·",ROW('分期持仓明细'!$A$38),0)</x:f>
        <x:v>0</x:v>
      </x:c>
      <x:c r="Q119" t="n">
        <x:f>IF(LEFT('分期持仓明细'!$A$38,LEN(K$81)+2)=K$81&amp;" ·",ROW('分期持仓明细'!$A$38),0)</x:f>
        <x:v>0</x:v>
      </x:c>
      <x:c r="R119" t="n">
        <x:f>IF(LEFT('分期持仓明细'!$A$38,LEN(L$81)+2)=L$81&amp;" ·",ROW('分期持仓明细'!$A$38),0)</x:f>
        <x:v>0</x:v>
      </x:c>
    </x:row>
    <x:row r="120">
      <x:c r="M120" t="n">
        <x:f>IF(LEFT('分期持仓明细'!$A$39,LEN(G$81)+2)=G$81&amp;" ·",ROW('分期持仓明细'!$A$39),0)</x:f>
        <x:v>0</x:v>
      </x:c>
      <x:c r="N120" t="n">
        <x:f>IF(LEFT('分期持仓明细'!$A$39,LEN(H$81)+2)=H$81&amp;" ·",ROW('分期持仓明细'!$A$39),0)</x:f>
        <x:v>0</x:v>
      </x:c>
      <x:c r="O120" t="n">
        <x:f>IF(LEFT('分期持仓明细'!$A$39,LEN(I$81)+2)=I$81&amp;" ·",ROW('分期持仓明细'!$A$39),0)</x:f>
        <x:v>0</x:v>
      </x:c>
      <x:c r="P120" t="n">
        <x:f>IF(LEFT('分期持仓明细'!$A$39,LEN(J$81)+2)=J$81&amp;" ·",ROW('分期持仓明细'!$A$39),0)</x:f>
        <x:v>0</x:v>
      </x:c>
      <x:c r="Q120" t="n">
        <x:f>IF(LEFT('分期持仓明细'!$A$39,LEN(K$81)+2)=K$81&amp;" ·",ROW('分期持仓明细'!$A$39),0)</x:f>
        <x:v>0</x:v>
      </x:c>
      <x:c r="R120" t="n">
        <x:f>IF(LEFT('分期持仓明细'!$A$39,LEN(L$81)+2)=L$81&amp;" ·",ROW('分期持仓明细'!$A$39),0)</x:f>
        <x:v>0</x:v>
      </x:c>
    </x:row>
    <x:row r="121">
      <x:c r="M121" t="n">
        <x:f>IF(LEFT('分期持仓明细'!$A$40,LEN(G$81)+2)=G$81&amp;" ·",ROW('分期持仓明细'!$A$40),0)</x:f>
        <x:v>0</x:v>
      </x:c>
      <x:c r="N121" t="n">
        <x:f>IF(LEFT('分期持仓明细'!$A$40,LEN(H$81)+2)=H$81&amp;" ·",ROW('分期持仓明细'!$A$40),0)</x:f>
        <x:v>0</x:v>
      </x:c>
      <x:c r="O121" t="n">
        <x:f>IF(LEFT('分期持仓明细'!$A$40,LEN(I$81)+2)=I$81&amp;" ·",ROW('分期持仓明细'!$A$40),0)</x:f>
        <x:v>0</x:v>
      </x:c>
      <x:c r="P121" t="n">
        <x:f>IF(LEFT('分期持仓明细'!$A$40,LEN(J$81)+2)=J$81&amp;" ·",ROW('分期持仓明细'!$A$40),0)</x:f>
        <x:v>0</x:v>
      </x:c>
      <x:c r="Q121" t="n">
        <x:f>IF(LEFT('分期持仓明细'!$A$40,LEN(K$81)+2)=K$81&amp;" ·",ROW('分期持仓明细'!$A$40),0)</x:f>
        <x:v>0</x:v>
      </x:c>
      <x:c r="R121" t="n">
        <x:f>IF(LEFT('分期持仓明细'!$A$40,LEN(L$81)+2)=L$81&amp;" ·",ROW('分期持仓明细'!$A$40),0)</x:f>
        <x:v>0</x:v>
      </x:c>
    </x:row>
    <x:row r="122">
      <x:c r="M122" t="n">
        <x:f>IF(LEFT('分期持仓明细'!$A$41,LEN(G$81)+2)=G$81&amp;" ·",ROW('分期持仓明细'!$A$41),0)</x:f>
        <x:v>0</x:v>
      </x:c>
      <x:c r="N122" t="n">
        <x:f>IF(LEFT('分期持仓明细'!$A$41,LEN(H$81)+2)=H$81&amp;" ·",ROW('分期持仓明细'!$A$41),0)</x:f>
        <x:v>0</x:v>
      </x:c>
      <x:c r="O122" t="n">
        <x:f>IF(LEFT('分期持仓明细'!$A$41,LEN(I$81)+2)=I$81&amp;" ·",ROW('分期持仓明细'!$A$41),0)</x:f>
        <x:v>0</x:v>
      </x:c>
      <x:c r="P122" t="n">
        <x:f>IF(LEFT('分期持仓明细'!$A$41,LEN(J$81)+2)=J$81&amp;" ·",ROW('分期持仓明细'!$A$41),0)</x:f>
        <x:v>0</x:v>
      </x:c>
      <x:c r="Q122" t="n">
        <x:f>IF(LEFT('分期持仓明细'!$A$41,LEN(K$81)+2)=K$81&amp;" ·",ROW('分期持仓明细'!$A$41),0)</x:f>
        <x:v>0</x:v>
      </x:c>
      <x:c r="R122" t="n">
        <x:f>IF(LEFT('分期持仓明细'!$A$41,LEN(L$81)+2)=L$81&amp;" ·",ROW('分期持仓明细'!$A$41),0)</x:f>
        <x:v>0</x:v>
      </x:c>
    </x:row>
    <x:row r="123">
      <x:c r="M123" t="n">
        <x:f>IF(LEFT('分期持仓明细'!$A$42,LEN(G$81)+2)=G$81&amp;" ·",ROW('分期持仓明细'!$A$42),0)</x:f>
        <x:v>0</x:v>
      </x:c>
      <x:c r="N123" t="n">
        <x:f>IF(LEFT('分期持仓明细'!$A$42,LEN(H$81)+2)=H$81&amp;" ·",ROW('分期持仓明细'!$A$42),0)</x:f>
        <x:v>0</x:v>
      </x:c>
      <x:c r="O123" t="n">
        <x:f>IF(LEFT('分期持仓明细'!$A$42,LEN(I$81)+2)=I$81&amp;" ·",ROW('分期持仓明细'!$A$42),0)</x:f>
        <x:v>0</x:v>
      </x:c>
      <x:c r="P123" t="n">
        <x:f>IF(LEFT('分期持仓明细'!$A$42,LEN(J$81)+2)=J$81&amp;" ·",ROW('分期持仓明细'!$A$42),0)</x:f>
        <x:v>0</x:v>
      </x:c>
      <x:c r="Q123" t="n">
        <x:f>IF(LEFT('分期持仓明细'!$A$42,LEN(K$81)+2)=K$81&amp;" ·",ROW('分期持仓明细'!$A$42),0)</x:f>
        <x:v>0</x:v>
      </x:c>
      <x:c r="R123" t="n">
        <x:f>IF(LEFT('分期持仓明细'!$A$42,LEN(L$81)+2)=L$81&amp;" ·",ROW('分期持仓明细'!$A$42),0)</x:f>
        <x:v>0</x:v>
      </x:c>
    </x:row>
    <x:row r="124">
      <x:c r="M124" t="n">
        <x:f>IF(LEFT('分期持仓明细'!$A$43,LEN(G$81)+2)=G$81&amp;" ·",ROW('分期持仓明细'!$A$43),0)</x:f>
        <x:v>0</x:v>
      </x:c>
      <x:c r="N124" t="n">
        <x:f>IF(LEFT('分期持仓明细'!$A$43,LEN(H$81)+2)=H$81&amp;" ·",ROW('分期持仓明细'!$A$43),0)</x:f>
        <x:v>0</x:v>
      </x:c>
      <x:c r="O124" t="n">
        <x:f>IF(LEFT('分期持仓明细'!$A$43,LEN(I$81)+2)=I$81&amp;" ·",ROW('分期持仓明细'!$A$43),0)</x:f>
        <x:v>0</x:v>
      </x:c>
      <x:c r="P124" t="n">
        <x:f>IF(LEFT('分期持仓明细'!$A$43,LEN(J$81)+2)=J$81&amp;" ·",ROW('分期持仓明细'!$A$43),0)</x:f>
        <x:v>0</x:v>
      </x:c>
      <x:c r="Q124" t="n">
        <x:f>IF(LEFT('分期持仓明细'!$A$43,LEN(K$81)+2)=K$81&amp;" ·",ROW('分期持仓明细'!$A$43),0)</x:f>
        <x:v>0</x:v>
      </x:c>
      <x:c r="R124" t="n">
        <x:f>IF(LEFT('分期持仓明细'!$A$43,LEN(L$81)+2)=L$81&amp;" ·",ROW('分期持仓明细'!$A$43),0)</x:f>
        <x:v>0</x:v>
      </x:c>
    </x:row>
    <x:row r="125">
      <x:c r="M125" t="n">
        <x:f>IF(LEFT('分期持仓明细'!$A$44,LEN(G$81)+2)=G$81&amp;" ·",ROW('分期持仓明细'!$A$44),0)</x:f>
        <x:v>0</x:v>
      </x:c>
      <x:c r="N125" t="n">
        <x:f>IF(LEFT('分期持仓明细'!$A$44,LEN(H$81)+2)=H$81&amp;" ·",ROW('分期持仓明细'!$A$44),0)</x:f>
        <x:v>0</x:v>
      </x:c>
      <x:c r="O125" t="n">
        <x:f>IF(LEFT('分期持仓明细'!$A$44,LEN(I$81)+2)=I$81&amp;" ·",ROW('分期持仓明细'!$A$44),0)</x:f>
        <x:v>0</x:v>
      </x:c>
      <x:c r="P125" t="n">
        <x:f>IF(LEFT('分期持仓明细'!$A$44,LEN(J$81)+2)=J$81&amp;" ·",ROW('分期持仓明细'!$A$44),0)</x:f>
        <x:v>0</x:v>
      </x:c>
      <x:c r="Q125" t="n">
        <x:f>IF(LEFT('分期持仓明细'!$A$44,LEN(K$81)+2)=K$81&amp;" ·",ROW('分期持仓明细'!$A$44),0)</x:f>
        <x:v>0</x:v>
      </x:c>
      <x:c r="R125" t="n">
        <x:f>IF(LEFT('分期持仓明细'!$A$44,LEN(L$81)+2)=L$81&amp;" ·",ROW('分期持仓明细'!$A$44),0)</x:f>
        <x:v>0</x:v>
      </x:c>
    </x:row>
    <x:row r="126">
      <x:c r="M126" t="n">
        <x:f>IF(LEFT('分期持仓明细'!$A$45,LEN(G$81)+2)=G$81&amp;" ·",ROW('分期持仓明细'!$A$45),0)</x:f>
        <x:v>0</x:v>
      </x:c>
      <x:c r="N126" t="n">
        <x:f>IF(LEFT('分期持仓明细'!$A$45,LEN(H$81)+2)=H$81&amp;" ·",ROW('分期持仓明细'!$A$45),0)</x:f>
        <x:v>0</x:v>
      </x:c>
      <x:c r="O126" t="n">
        <x:f>IF(LEFT('分期持仓明细'!$A$45,LEN(I$81)+2)=I$81&amp;" ·",ROW('分期持仓明细'!$A$45),0)</x:f>
        <x:v>0</x:v>
      </x:c>
      <x:c r="P126" t="n">
        <x:f>IF(LEFT('分期持仓明细'!$A$45,LEN(J$81)+2)=J$81&amp;" ·",ROW('分期持仓明细'!$A$45),0)</x:f>
        <x:v>0</x:v>
      </x:c>
      <x:c r="Q126" t="n">
        <x:f>IF(LEFT('分期持仓明细'!$A$45,LEN(K$81)+2)=K$81&amp;" ·",ROW('分期持仓明细'!$A$45),0)</x:f>
        <x:v>0</x:v>
      </x:c>
      <x:c r="R126" t="n">
        <x:f>IF(LEFT('分期持仓明细'!$A$45,LEN(L$81)+2)=L$81&amp;" ·",ROW('分期持仓明细'!$A$45),0)</x:f>
        <x:v>0</x:v>
      </x:c>
    </x:row>
    <x:row r="127">
      <x:c r="M127" t="n">
        <x:f>IF(LEFT('分期持仓明细'!$A$46,LEN(G$81)+2)=G$81&amp;" ·",ROW('分期持仓明细'!$A$46),0)</x:f>
        <x:v>0</x:v>
      </x:c>
      <x:c r="N127" t="n">
        <x:f>IF(LEFT('分期持仓明细'!$A$46,LEN(H$81)+2)=H$81&amp;" ·",ROW('分期持仓明细'!$A$46),0)</x:f>
        <x:v>0</x:v>
      </x:c>
      <x:c r="O127" t="n">
        <x:f>IF(LEFT('分期持仓明细'!$A$46,LEN(I$81)+2)=I$81&amp;" ·",ROW('分期持仓明细'!$A$46),0)</x:f>
        <x:v>0</x:v>
      </x:c>
      <x:c r="P127" t="n">
        <x:f>IF(LEFT('分期持仓明细'!$A$46,LEN(J$81)+2)=J$81&amp;" ·",ROW('分期持仓明细'!$A$46),0)</x:f>
        <x:v>0</x:v>
      </x:c>
      <x:c r="Q127" t="n">
        <x:f>IF(LEFT('分期持仓明细'!$A$46,LEN(K$81)+2)=K$81&amp;" ·",ROW('分期持仓明细'!$A$46),0)</x:f>
        <x:v>0</x:v>
      </x:c>
      <x:c r="R127" t="n">
        <x:f>IF(LEFT('分期持仓明细'!$A$46,LEN(L$81)+2)=L$81&amp;" ·",ROW('分期持仓明细'!$A$46),0)</x:f>
        <x:v>0</x:v>
      </x:c>
    </x:row>
    <x:row r="128">
      <x:c r="M128" t="n">
        <x:f>IF(LEFT('分期持仓明细'!$A$47,LEN(G$81)+2)=G$81&amp;" ·",ROW('分期持仓明细'!$A$47),0)</x:f>
        <x:v>0</x:v>
      </x:c>
      <x:c r="N128" t="n">
        <x:f>IF(LEFT('分期持仓明细'!$A$47,LEN(H$81)+2)=H$81&amp;" ·",ROW('分期持仓明细'!$A$47),0)</x:f>
        <x:v>0</x:v>
      </x:c>
      <x:c r="O128" t="n">
        <x:f>IF(LEFT('分期持仓明细'!$A$47,LEN(I$81)+2)=I$81&amp;" ·",ROW('分期持仓明细'!$A$47),0)</x:f>
        <x:v>0</x:v>
      </x:c>
      <x:c r="P128" t="n">
        <x:f>IF(LEFT('分期持仓明细'!$A$47,LEN(J$81)+2)=J$81&amp;" ·",ROW('分期持仓明细'!$A$47),0)</x:f>
        <x:v>0</x:v>
      </x:c>
      <x:c r="Q128" t="n">
        <x:f>IF(LEFT('分期持仓明细'!$A$47,LEN(K$81)+2)=K$81&amp;" ·",ROW('分期持仓明细'!$A$47),0)</x:f>
        <x:v>0</x:v>
      </x:c>
      <x:c r="R128" t="n">
        <x:f>IF(LEFT('分期持仓明细'!$A$47,LEN(L$81)+2)=L$81&amp;" ·",ROW('分期持仓明细'!$A$47),0)</x:f>
        <x:v>0</x:v>
      </x:c>
    </x:row>
    <x:row r="129">
      <x:c r="M129" t="n">
        <x:f>IF(LEFT('分期持仓明细'!$A$48,LEN(G$81)+2)=G$81&amp;" ·",ROW('分期持仓明细'!$A$48),0)</x:f>
        <x:v>0</x:v>
      </x:c>
      <x:c r="N129" t="n">
        <x:f>IF(LEFT('分期持仓明细'!$A$48,LEN(H$81)+2)=H$81&amp;" ·",ROW('分期持仓明细'!$A$48),0)</x:f>
        <x:v>0</x:v>
      </x:c>
      <x:c r="O129" t="n">
        <x:f>IF(LEFT('分期持仓明细'!$A$48,LEN(I$81)+2)=I$81&amp;" ·",ROW('分期持仓明细'!$A$48),0)</x:f>
        <x:v>0</x:v>
      </x:c>
      <x:c r="P129" t="n">
        <x:f>IF(LEFT('分期持仓明细'!$A$48,LEN(J$81)+2)=J$81&amp;" ·",ROW('分期持仓明细'!$A$48),0)</x:f>
        <x:v>0</x:v>
      </x:c>
      <x:c r="Q129" t="n">
        <x:f>IF(LEFT('分期持仓明细'!$A$48,LEN(K$81)+2)=K$81&amp;" ·",ROW('分期持仓明细'!$A$48),0)</x:f>
        <x:v>0</x:v>
      </x:c>
      <x:c r="R129" t="n">
        <x:f>IF(LEFT('分期持仓明细'!$A$48,LEN(L$81)+2)=L$81&amp;" ·",ROW('分期持仓明细'!$A$48),0)</x:f>
        <x:v>0</x:v>
      </x:c>
    </x:row>
    <x:row r="130">
      <x:c r="M130" t="n">
        <x:f>IF(LEFT('分期持仓明细'!$A$49,LEN(G$81)+2)=G$81&amp;" ·",ROW('分期持仓明细'!$A$49),0)</x:f>
        <x:v>0</x:v>
      </x:c>
      <x:c r="N130" t="n">
        <x:f>IF(LEFT('分期持仓明细'!$A$49,LEN(H$81)+2)=H$81&amp;" ·",ROW('分期持仓明细'!$A$49),0)</x:f>
        <x:v>0</x:v>
      </x:c>
      <x:c r="O130" t="n">
        <x:f>IF(LEFT('分期持仓明细'!$A$49,LEN(I$81)+2)=I$81&amp;" ·",ROW('分期持仓明细'!$A$49),0)</x:f>
        <x:v>0</x:v>
      </x:c>
      <x:c r="P130" t="n">
        <x:f>IF(LEFT('分期持仓明细'!$A$49,LEN(J$81)+2)=J$81&amp;" ·",ROW('分期持仓明细'!$A$49),0)</x:f>
        <x:v>0</x:v>
      </x:c>
      <x:c r="Q130" t="n">
        <x:f>IF(LEFT('分期持仓明细'!$A$49,LEN(K$81)+2)=K$81&amp;" ·",ROW('分期持仓明细'!$A$49),0)</x:f>
        <x:v>0</x:v>
      </x:c>
      <x:c r="R130" t="n">
        <x:f>IF(LEFT('分期持仓明细'!$A$49,LEN(L$81)+2)=L$81&amp;" ·",ROW('分期持仓明细'!$A$49),0)</x:f>
        <x:v>0</x:v>
      </x:c>
    </x:row>
    <x:row r="131">
      <x:c r="M131" t="n">
        <x:f>IF(LEFT('分期持仓明细'!$A$50,LEN(G$81)+2)=G$81&amp;" ·",ROW('分期持仓明细'!$A$50),0)</x:f>
        <x:v>0</x:v>
      </x:c>
      <x:c r="N131" t="n">
        <x:f>IF(LEFT('分期持仓明细'!$A$50,LEN(H$81)+2)=H$81&amp;" ·",ROW('分期持仓明细'!$A$50),0)</x:f>
        <x:v>0</x:v>
      </x:c>
      <x:c r="O131" t="n">
        <x:f>IF(LEFT('分期持仓明细'!$A$50,LEN(I$81)+2)=I$81&amp;" ·",ROW('分期持仓明细'!$A$50),0)</x:f>
        <x:v>0</x:v>
      </x:c>
      <x:c r="P131" t="n">
        <x:f>IF(LEFT('分期持仓明细'!$A$50,LEN(J$81)+2)=J$81&amp;" ·",ROW('分期持仓明细'!$A$50),0)</x:f>
        <x:v>0</x:v>
      </x:c>
      <x:c r="Q131" t="n">
        <x:f>IF(LEFT('分期持仓明细'!$A$50,LEN(K$81)+2)=K$81&amp;" ·",ROW('分期持仓明细'!$A$50),0)</x:f>
        <x:v>0</x:v>
      </x:c>
      <x:c r="R131" t="n">
        <x:f>IF(LEFT('分期持仓明细'!$A$50,LEN(L$81)+2)=L$81&amp;" ·",ROW('分期持仓明细'!$A$50),0)</x:f>
        <x:v>0</x:v>
      </x:c>
    </x:row>
    <x:row r="132">
      <x:c r="M132" t="n">
        <x:f>IF(LEFT('分期持仓明细'!$A$51,LEN(G$81)+2)=G$81&amp;" ·",ROW('分期持仓明细'!$A$51),0)</x:f>
        <x:v>0</x:v>
      </x:c>
      <x:c r="N132" t="n">
        <x:f>IF(LEFT('分期持仓明细'!$A$51,LEN(H$81)+2)=H$81&amp;" ·",ROW('分期持仓明细'!$A$51),0)</x:f>
        <x:v>0</x:v>
      </x:c>
      <x:c r="O132" t="n">
        <x:f>IF(LEFT('分期持仓明细'!$A$51,LEN(I$81)+2)=I$81&amp;" ·",ROW('分期持仓明细'!$A$51),0)</x:f>
        <x:v>0</x:v>
      </x:c>
      <x:c r="P132" t="n">
        <x:f>IF(LEFT('分期持仓明细'!$A$51,LEN(J$81)+2)=J$81&amp;" ·",ROW('分期持仓明细'!$A$51),0)</x:f>
        <x:v>0</x:v>
      </x:c>
      <x:c r="Q132" t="n">
        <x:f>IF(LEFT('分期持仓明细'!$A$51,LEN(K$81)+2)=K$81&amp;" ·",ROW('分期持仓明细'!$A$51),0)</x:f>
        <x:v>0</x:v>
      </x:c>
      <x:c r="R132" t="n">
        <x:f>IF(LEFT('分期持仓明细'!$A$51,LEN(L$81)+2)=L$81&amp;" ·",ROW('分期持仓明细'!$A$51),0)</x:f>
        <x:v>0</x:v>
      </x:c>
    </x:row>
    <x:row r="133">
      <x:c r="M133" t="n">
        <x:f>IF(LEFT('分期持仓明细'!$A$52,LEN(G$81)+2)=G$81&amp;" ·",ROW('分期持仓明细'!$A$52),0)</x:f>
        <x:v>0</x:v>
      </x:c>
      <x:c r="N133" t="n">
        <x:f>IF(LEFT('分期持仓明细'!$A$52,LEN(H$81)+2)=H$81&amp;" ·",ROW('分期持仓明细'!$A$52),0)</x:f>
        <x:v>0</x:v>
      </x:c>
      <x:c r="O133" t="n">
        <x:f>IF(LEFT('分期持仓明细'!$A$52,LEN(I$81)+2)=I$81&amp;" ·",ROW('分期持仓明细'!$A$52),0)</x:f>
        <x:v>0</x:v>
      </x:c>
      <x:c r="P133" t="n">
        <x:f>IF(LEFT('分期持仓明细'!$A$52,LEN(J$81)+2)=J$81&amp;" ·",ROW('分期持仓明细'!$A$52),0)</x:f>
        <x:v>0</x:v>
      </x:c>
      <x:c r="Q133" t="n">
        <x:f>IF(LEFT('分期持仓明细'!$A$52,LEN(K$81)+2)=K$81&amp;" ·",ROW('分期持仓明细'!$A$52),0)</x:f>
        <x:v>0</x:v>
      </x:c>
      <x:c r="R133" t="n">
        <x:f>IF(LEFT('分期持仓明细'!$A$52,LEN(L$81)+2)=L$81&amp;" ·",ROW('分期持仓明细'!$A$52),0)</x:f>
        <x:v>0</x:v>
      </x:c>
    </x:row>
    <x:row r="134">
      <x:c r="M134" t="n">
        <x:f>IF(LEFT('分期持仓明细'!$A$53,LEN(G$81)+2)=G$81&amp;" ·",ROW('分期持仓明细'!$A$53),0)</x:f>
        <x:v>0</x:v>
      </x:c>
      <x:c r="N134" t="n">
        <x:f>IF(LEFT('分期持仓明细'!$A$53,LEN(H$81)+2)=H$81&amp;" ·",ROW('分期持仓明细'!$A$53),0)</x:f>
        <x:v>0</x:v>
      </x:c>
      <x:c r="O134" t="n">
        <x:f>IF(LEFT('分期持仓明细'!$A$53,LEN(I$81)+2)=I$81&amp;" ·",ROW('分期持仓明细'!$A$53),0)</x:f>
        <x:v>0</x:v>
      </x:c>
      <x:c r="P134" t="n">
        <x:f>IF(LEFT('分期持仓明细'!$A$53,LEN(J$81)+2)=J$81&amp;" ·",ROW('分期持仓明细'!$A$53),0)</x:f>
        <x:v>0</x:v>
      </x:c>
      <x:c r="Q134" t="n">
        <x:f>IF(LEFT('分期持仓明细'!$A$53,LEN(K$81)+2)=K$81&amp;" ·",ROW('分期持仓明细'!$A$53),0)</x:f>
        <x:v>0</x:v>
      </x:c>
      <x:c r="R134" t="n">
        <x:f>IF(LEFT('分期持仓明细'!$A$53,LEN(L$81)+2)=L$81&amp;" ·",ROW('分期持仓明细'!$A$53),0)</x:f>
        <x:v>0</x:v>
      </x:c>
    </x:row>
    <x:row r="135">
      <x:c r="M135" t="n">
        <x:f>IF(LEFT('分期持仓明细'!$A$54,LEN(G$81)+2)=G$81&amp;" ·",ROW('分期持仓明细'!$A$54),0)</x:f>
        <x:v>0</x:v>
      </x:c>
      <x:c r="N135" t="n">
        <x:f>IF(LEFT('分期持仓明细'!$A$54,LEN(H$81)+2)=H$81&amp;" ·",ROW('分期持仓明细'!$A$54),0)</x:f>
        <x:v>0</x:v>
      </x:c>
      <x:c r="O135" t="n">
        <x:f>IF(LEFT('分期持仓明细'!$A$54,LEN(I$81)+2)=I$81&amp;" ·",ROW('分期持仓明细'!$A$54),0)</x:f>
        <x:v>0</x:v>
      </x:c>
      <x:c r="P135" t="n">
        <x:f>IF(LEFT('分期持仓明细'!$A$54,LEN(J$81)+2)=J$81&amp;" ·",ROW('分期持仓明细'!$A$54),0)</x:f>
        <x:v>0</x:v>
      </x:c>
      <x:c r="Q135" t="n">
        <x:f>IF(LEFT('分期持仓明细'!$A$54,LEN(K$81)+2)=K$81&amp;" ·",ROW('分期持仓明细'!$A$54),0)</x:f>
        <x:v>0</x:v>
      </x:c>
      <x:c r="R135" t="n">
        <x:f>IF(LEFT('分期持仓明细'!$A$54,LEN(L$81)+2)=L$81&amp;" ·",ROW('分期持仓明细'!$A$54),0)</x:f>
        <x:v>0</x:v>
      </x:c>
    </x:row>
    <x:row r="136">
      <x:c r="M136" t="n">
        <x:f>IF(LEFT('分期持仓明细'!$A$55,LEN(G$81)+2)=G$81&amp;" ·",ROW('分期持仓明细'!$A$55),0)</x:f>
        <x:v>0</x:v>
      </x:c>
      <x:c r="N136" t="n">
        <x:f>IF(LEFT('分期持仓明细'!$A$55,LEN(H$81)+2)=H$81&amp;" ·",ROW('分期持仓明细'!$A$55),0)</x:f>
        <x:v>0</x:v>
      </x:c>
      <x:c r="O136" t="n">
        <x:f>IF(LEFT('分期持仓明细'!$A$55,LEN(I$81)+2)=I$81&amp;" ·",ROW('分期持仓明细'!$A$55),0)</x:f>
        <x:v>0</x:v>
      </x:c>
      <x:c r="P136" t="n">
        <x:f>IF(LEFT('分期持仓明细'!$A$55,LEN(J$81)+2)=J$81&amp;" ·",ROW('分期持仓明细'!$A$55),0)</x:f>
        <x:v>0</x:v>
      </x:c>
      <x:c r="Q136" t="n">
        <x:f>IF(LEFT('分期持仓明细'!$A$55,LEN(K$81)+2)=K$81&amp;" ·",ROW('分期持仓明细'!$A$55),0)</x:f>
        <x:v>0</x:v>
      </x:c>
      <x:c r="R136" t="n">
        <x:f>IF(LEFT('分期持仓明细'!$A$55,LEN(L$81)+2)=L$81&amp;" ·",ROW('分期持仓明细'!$A$55),0)</x:f>
        <x:v>0</x:v>
      </x:c>
    </x:row>
    <x:row r="137">
      <x:c r="M137" t="n">
        <x:f>IF(LEFT('分期持仓明细'!$A$56,LEN(G$81)+2)=G$81&amp;" ·",ROW('分期持仓明细'!$A$56),0)</x:f>
        <x:v>0</x:v>
      </x:c>
      <x:c r="N137" t="n">
        <x:f>IF(LEFT('分期持仓明细'!$A$56,LEN(H$81)+2)=H$81&amp;" ·",ROW('分期持仓明细'!$A$56),0)</x:f>
        <x:v>0</x:v>
      </x:c>
      <x:c r="O137" t="n">
        <x:f>IF(LEFT('分期持仓明细'!$A$56,LEN(I$81)+2)=I$81&amp;" ·",ROW('分期持仓明细'!$A$56),0)</x:f>
        <x:v>0</x:v>
      </x:c>
      <x:c r="P137" t="n">
        <x:f>IF(LEFT('分期持仓明细'!$A$56,LEN(J$81)+2)=J$81&amp;" ·",ROW('分期持仓明细'!$A$56),0)</x:f>
        <x:v>0</x:v>
      </x:c>
      <x:c r="Q137" t="n">
        <x:f>IF(LEFT('分期持仓明细'!$A$56,LEN(K$81)+2)=K$81&amp;" ·",ROW('分期持仓明细'!$A$56),0)</x:f>
        <x:v>0</x:v>
      </x:c>
      <x:c r="R137" t="n">
        <x:f>IF(LEFT('分期持仓明细'!$A$56,LEN(L$81)+2)=L$81&amp;" ·",ROW('分期持仓明细'!$A$56),0)</x:f>
        <x:v>0</x:v>
      </x:c>
    </x:row>
    <x:row r="138">
      <x:c r="M138" t="n">
        <x:f>IF(LEFT('分期持仓明细'!$A$57,LEN(G$81)+2)=G$81&amp;" ·",ROW('分期持仓明细'!$A$57),0)</x:f>
        <x:v>0</x:v>
      </x:c>
      <x:c r="N138" t="n">
        <x:f>IF(LEFT('分期持仓明细'!$A$57,LEN(H$81)+2)=H$81&amp;" ·",ROW('分期持仓明细'!$A$57),0)</x:f>
        <x:v>0</x:v>
      </x:c>
      <x:c r="O138" t="n">
        <x:f>IF(LEFT('分期持仓明细'!$A$57,LEN(I$81)+2)=I$81&amp;" ·",ROW('分期持仓明细'!$A$57),0)</x:f>
        <x:v>0</x:v>
      </x:c>
      <x:c r="P138" t="n">
        <x:f>IF(LEFT('分期持仓明细'!$A$57,LEN(J$81)+2)=J$81&amp;" ·",ROW('分期持仓明细'!$A$57),0)</x:f>
        <x:v>0</x:v>
      </x:c>
      <x:c r="Q138" t="n">
        <x:f>IF(LEFT('分期持仓明细'!$A$57,LEN(K$81)+2)=K$81&amp;" ·",ROW('分期持仓明细'!$A$57),0)</x:f>
        <x:v>0</x:v>
      </x:c>
      <x:c r="R138" t="n">
        <x:f>IF(LEFT('分期持仓明细'!$A$57,LEN(L$81)+2)=L$81&amp;" ·",ROW('分期持仓明细'!$A$57),0)</x:f>
        <x:v>0</x:v>
      </x:c>
    </x:row>
    <x:row r="139">
      <x:c r="M139" t="n">
        <x:f>IF(LEFT('分期持仓明细'!$A$58,LEN(G$81)+2)=G$81&amp;" ·",ROW('分期持仓明细'!$A$58),0)</x:f>
        <x:v>0</x:v>
      </x:c>
      <x:c r="N139" t="n">
        <x:f>IF(LEFT('分期持仓明细'!$A$58,LEN(H$81)+2)=H$81&amp;" ·",ROW('分期持仓明细'!$A$58),0)</x:f>
        <x:v>0</x:v>
      </x:c>
      <x:c r="O139" t="n">
        <x:f>IF(LEFT('分期持仓明细'!$A$58,LEN(I$81)+2)=I$81&amp;" ·",ROW('分期持仓明细'!$A$58),0)</x:f>
        <x:v>0</x:v>
      </x:c>
      <x:c r="P139" t="n">
        <x:f>IF(LEFT('分期持仓明细'!$A$58,LEN(J$81)+2)=J$81&amp;" ·",ROW('分期持仓明细'!$A$58),0)</x:f>
        <x:v>0</x:v>
      </x:c>
      <x:c r="Q139" t="n">
        <x:f>IF(LEFT('分期持仓明细'!$A$58,LEN(K$81)+2)=K$81&amp;" ·",ROW('分期持仓明细'!$A$58),0)</x:f>
        <x:v>0</x:v>
      </x:c>
      <x:c r="R139" t="n">
        <x:f>IF(LEFT('分期持仓明细'!$A$58,LEN(L$81)+2)=L$81&amp;" ·",ROW('分期持仓明细'!$A$58),0)</x:f>
        <x:v>0</x:v>
      </x:c>
    </x:row>
    <x:row r="140">
      <x:c r="M140" t="n">
        <x:f>IF(LEFT('分期持仓明细'!$A$59,LEN(G$81)+2)=G$81&amp;" ·",ROW('分期持仓明细'!$A$59),0)</x:f>
        <x:v>0</x:v>
      </x:c>
      <x:c r="N140" t="n">
        <x:f>IF(LEFT('分期持仓明细'!$A$59,LEN(H$81)+2)=H$81&amp;" ·",ROW('分期持仓明细'!$A$59),0)</x:f>
        <x:v>0</x:v>
      </x:c>
      <x:c r="O140" t="n">
        <x:f>IF(LEFT('分期持仓明细'!$A$59,LEN(I$81)+2)=I$81&amp;" ·",ROW('分期持仓明细'!$A$59),0)</x:f>
        <x:v>0</x:v>
      </x:c>
      <x:c r="P140" t="n">
        <x:f>IF(LEFT('分期持仓明细'!$A$59,LEN(J$81)+2)=J$81&amp;" ·",ROW('分期持仓明细'!$A$59),0)</x:f>
        <x:v>0</x:v>
      </x:c>
      <x:c r="Q140" t="n">
        <x:f>IF(LEFT('分期持仓明细'!$A$59,LEN(K$81)+2)=K$81&amp;" ·",ROW('分期持仓明细'!$A$59),0)</x:f>
        <x:v>0</x:v>
      </x:c>
      <x:c r="R140" t="n">
        <x:f>IF(LEFT('分期持仓明细'!$A$59,LEN(L$81)+2)=L$81&amp;" ·",ROW('分期持仓明细'!$A$59),0)</x:f>
        <x:v>0</x:v>
      </x:c>
    </x:row>
    <x:row r="141">
      <x:c r="M141" t="n">
        <x:f>IF(LEFT('分期持仓明细'!$A$60,LEN(G$81)+2)=G$81&amp;" ·",ROW('分期持仓明细'!$A$60),0)</x:f>
        <x:v>0</x:v>
      </x:c>
      <x:c r="N141" t="n">
        <x:f>IF(LEFT('分期持仓明细'!$A$60,LEN(H$81)+2)=H$81&amp;" ·",ROW('分期持仓明细'!$A$60),0)</x:f>
        <x:v>0</x:v>
      </x:c>
      <x:c r="O141" t="n">
        <x:f>IF(LEFT('分期持仓明细'!$A$60,LEN(I$81)+2)=I$81&amp;" ·",ROW('分期持仓明细'!$A$60),0)</x:f>
        <x:v>0</x:v>
      </x:c>
      <x:c r="P141" t="n">
        <x:f>IF(LEFT('分期持仓明细'!$A$60,LEN(J$81)+2)=J$81&amp;" ·",ROW('分期持仓明细'!$A$60),0)</x:f>
        <x:v>0</x:v>
      </x:c>
      <x:c r="Q141" t="n">
        <x:f>IF(LEFT('分期持仓明细'!$A$60,LEN(K$81)+2)=K$81&amp;" ·",ROW('分期持仓明细'!$A$60),0)</x:f>
        <x:v>0</x:v>
      </x:c>
      <x:c r="R141" t="n">
        <x:f>IF(LEFT('分期持仓明细'!$A$60,LEN(L$81)+2)=L$81&amp;" ·",ROW('分期持仓明细'!$A$60),0)</x:f>
        <x:v>0</x:v>
      </x:c>
    </x:row>
    <x:row r="142">
      <x:c r="M142" t="n">
        <x:f>IF(LEFT('分期持仓明细'!$A$61,LEN(G$81)+2)=G$81&amp;" ·",ROW('分期持仓明细'!$A$61),0)</x:f>
        <x:v>0</x:v>
      </x:c>
      <x:c r="N142" t="n">
        <x:f>IF(LEFT('分期持仓明细'!$A$61,LEN(H$81)+2)=H$81&amp;" ·",ROW('分期持仓明细'!$A$61),0)</x:f>
        <x:v>0</x:v>
      </x:c>
      <x:c r="O142" t="n">
        <x:f>IF(LEFT('分期持仓明细'!$A$61,LEN(I$81)+2)=I$81&amp;" ·",ROW('分期持仓明细'!$A$61),0)</x:f>
        <x:v>0</x:v>
      </x:c>
      <x:c r="P142" t="n">
        <x:f>IF(LEFT('分期持仓明细'!$A$61,LEN(J$81)+2)=J$81&amp;" ·",ROW('分期持仓明细'!$A$61),0)</x:f>
        <x:v>0</x:v>
      </x:c>
      <x:c r="Q142" t="n">
        <x:f>IF(LEFT('分期持仓明细'!$A$61,LEN(K$81)+2)=K$81&amp;" ·",ROW('分期持仓明细'!$A$61),0)</x:f>
        <x:v>0</x:v>
      </x:c>
      <x:c r="R142" t="n">
        <x:f>IF(LEFT('分期持仓明细'!$A$61,LEN(L$81)+2)=L$81&amp;" ·",ROW('分期持仓明细'!$A$61),0)</x:f>
        <x:v>0</x:v>
      </x:c>
    </x:row>
    <x:row r="143">
      <x:c r="M143" t="n">
        <x:f>IF(LEFT('分期持仓明细'!$A$62,LEN(G$81)+2)=G$81&amp;" ·",ROW('分期持仓明细'!$A$62),0)</x:f>
        <x:v>0</x:v>
      </x:c>
      <x:c r="N143" t="n">
        <x:f>IF(LEFT('分期持仓明细'!$A$62,LEN(H$81)+2)=H$81&amp;" ·",ROW('分期持仓明细'!$A$62),0)</x:f>
        <x:v>0</x:v>
      </x:c>
      <x:c r="O143" t="n">
        <x:f>IF(LEFT('分期持仓明细'!$A$62,LEN(I$81)+2)=I$81&amp;" ·",ROW('分期持仓明细'!$A$62),0)</x:f>
        <x:v>0</x:v>
      </x:c>
      <x:c r="P143" t="n">
        <x:f>IF(LEFT('分期持仓明细'!$A$62,LEN(J$81)+2)=J$81&amp;" ·",ROW('分期持仓明细'!$A$62),0)</x:f>
        <x:v>0</x:v>
      </x:c>
      <x:c r="Q143" t="n">
        <x:f>IF(LEFT('分期持仓明细'!$A$62,LEN(K$81)+2)=K$81&amp;" ·",ROW('分期持仓明细'!$A$62),0)</x:f>
        <x:v>0</x:v>
      </x:c>
      <x:c r="R143" t="n">
        <x:f>IF(LEFT('分期持仓明细'!$A$62,LEN(L$81)+2)=L$81&amp;" ·",ROW('分期持仓明细'!$A$62),0)</x:f>
        <x:v>0</x:v>
      </x:c>
    </x:row>
    <x:row r="144">
      <x:c r="M144" t="n">
        <x:f>IF(LEFT('分期持仓明细'!$A$63,LEN(G$81)+2)=G$81&amp;" ·",ROW('分期持仓明细'!$A$63),0)</x:f>
        <x:v>0</x:v>
      </x:c>
      <x:c r="N144" t="n">
        <x:f>IF(LEFT('分期持仓明细'!$A$63,LEN(H$81)+2)=H$81&amp;" ·",ROW('分期持仓明细'!$A$63),0)</x:f>
        <x:v>0</x:v>
      </x:c>
      <x:c r="O144" t="n">
        <x:f>IF(LEFT('分期持仓明细'!$A$63,LEN(I$81)+2)=I$81&amp;" ·",ROW('分期持仓明细'!$A$63),0)</x:f>
        <x:v>0</x:v>
      </x:c>
      <x:c r="P144" t="n">
        <x:f>IF(LEFT('分期持仓明细'!$A$63,LEN(J$81)+2)=J$81&amp;" ·",ROW('分期持仓明细'!$A$63),0)</x:f>
        <x:v>0</x:v>
      </x:c>
      <x:c r="Q144" t="n">
        <x:f>IF(LEFT('分期持仓明细'!$A$63,LEN(K$81)+2)=K$81&amp;" ·",ROW('分期持仓明细'!$A$63),0)</x:f>
        <x:v>0</x:v>
      </x:c>
      <x:c r="R144" t="n">
        <x:f>IF(LEFT('分期持仓明细'!$A$63,LEN(L$81)+2)=L$81&amp;" ·",ROW('分期持仓明细'!$A$63),0)</x:f>
        <x:v>0</x:v>
      </x:c>
    </x:row>
    <x:row r="145">
      <x:c r="M145" t="n">
        <x:f>IF(LEFT('分期持仓明细'!$A$64,LEN(G$81)+2)=G$81&amp;" ·",ROW('分期持仓明细'!$A$64),0)</x:f>
        <x:v>0</x:v>
      </x:c>
      <x:c r="N145" t="n">
        <x:f>IF(LEFT('分期持仓明细'!$A$64,LEN(H$81)+2)=H$81&amp;" ·",ROW('分期持仓明细'!$A$64),0)</x:f>
        <x:v>0</x:v>
      </x:c>
      <x:c r="O145" t="n">
        <x:f>IF(LEFT('分期持仓明细'!$A$64,LEN(I$81)+2)=I$81&amp;" ·",ROW('分期持仓明细'!$A$64),0)</x:f>
        <x:v>0</x:v>
      </x:c>
      <x:c r="P145" t="n">
        <x:f>IF(LEFT('分期持仓明细'!$A$64,LEN(J$81)+2)=J$81&amp;" ·",ROW('分期持仓明细'!$A$64),0)</x:f>
        <x:v>0</x:v>
      </x:c>
      <x:c r="Q145" t="n">
        <x:f>IF(LEFT('分期持仓明细'!$A$64,LEN(K$81)+2)=K$81&amp;" ·",ROW('分期持仓明细'!$A$64),0)</x:f>
        <x:v>0</x:v>
      </x:c>
      <x:c r="R145" t="n">
        <x:f>IF(LEFT('分期持仓明细'!$A$64,LEN(L$81)+2)=L$81&amp;" ·",ROW('分期持仓明细'!$A$64),0)</x:f>
        <x:v>0</x:v>
      </x:c>
    </x:row>
    <x:row r="146">
      <x:c r="M146" t="n">
        <x:f>IF(LEFT('分期持仓明细'!$A$65,LEN(G$81)+2)=G$81&amp;" ·",ROW('分期持仓明细'!$A$65),0)</x:f>
        <x:v>0</x:v>
      </x:c>
      <x:c r="N146" t="n">
        <x:f>IF(LEFT('分期持仓明细'!$A$65,LEN(H$81)+2)=H$81&amp;" ·",ROW('分期持仓明细'!$A$65),0)</x:f>
        <x:v>0</x:v>
      </x:c>
      <x:c r="O146" t="n">
        <x:f>IF(LEFT('分期持仓明细'!$A$65,LEN(I$81)+2)=I$81&amp;" ·",ROW('分期持仓明细'!$A$65),0)</x:f>
        <x:v>0</x:v>
      </x:c>
      <x:c r="P146" t="n">
        <x:f>IF(LEFT('分期持仓明细'!$A$65,LEN(J$81)+2)=J$81&amp;" ·",ROW('分期持仓明细'!$A$65),0)</x:f>
        <x:v>0</x:v>
      </x:c>
      <x:c r="Q146" t="n">
        <x:f>IF(LEFT('分期持仓明细'!$A$65,LEN(K$81)+2)=K$81&amp;" ·",ROW('分期持仓明细'!$A$65),0)</x:f>
        <x:v>0</x:v>
      </x:c>
      <x:c r="R146" t="n">
        <x:f>IF(LEFT('分期持仓明细'!$A$65,LEN(L$81)+2)=L$81&amp;" ·",ROW('分期持仓明细'!$A$65),0)</x:f>
        <x:v>0</x:v>
      </x:c>
    </x:row>
    <x:row r="147">
      <x:c r="M147" t="n">
        <x:f>IF(LEFT('分期持仓明细'!$A$66,LEN(G$81)+2)=G$81&amp;" ·",ROW('分期持仓明细'!$A$66),0)</x:f>
        <x:v>0</x:v>
      </x:c>
      <x:c r="N147" t="n">
        <x:f>IF(LEFT('分期持仓明细'!$A$66,LEN(H$81)+2)=H$81&amp;" ·",ROW('分期持仓明细'!$A$66),0)</x:f>
        <x:v>0</x:v>
      </x:c>
      <x:c r="O147" t="n">
        <x:f>IF(LEFT('分期持仓明细'!$A$66,LEN(I$81)+2)=I$81&amp;" ·",ROW('分期持仓明细'!$A$66),0)</x:f>
        <x:v>0</x:v>
      </x:c>
      <x:c r="P147" t="n">
        <x:f>IF(LEFT('分期持仓明细'!$A$66,LEN(J$81)+2)=J$81&amp;" ·",ROW('分期持仓明细'!$A$66),0)</x:f>
        <x:v>0</x:v>
      </x:c>
      <x:c r="Q147" t="n">
        <x:f>IF(LEFT('分期持仓明细'!$A$66,LEN(K$81)+2)=K$81&amp;" ·",ROW('分期持仓明细'!$A$66),0)</x:f>
        <x:v>0</x:v>
      </x:c>
      <x:c r="R147" t="n">
        <x:f>IF(LEFT('分期持仓明细'!$A$66,LEN(L$81)+2)=L$81&amp;" ·",ROW('分期持仓明细'!$A$66),0)</x:f>
        <x:v>0</x:v>
      </x:c>
    </x:row>
    <x:row r="148">
      <x:c r="M148" t="n">
        <x:f>IF(LEFT('分期持仓明细'!$A$67,LEN(G$81)+2)=G$81&amp;" ·",ROW('分期持仓明细'!$A$67),0)</x:f>
        <x:v>0</x:v>
      </x:c>
      <x:c r="N148" t="n">
        <x:f>IF(LEFT('分期持仓明细'!$A$67,LEN(H$81)+2)=H$81&amp;" ·",ROW('分期持仓明细'!$A$67),0)</x:f>
        <x:v>0</x:v>
      </x:c>
      <x:c r="O148" t="n">
        <x:f>IF(LEFT('分期持仓明细'!$A$67,LEN(I$81)+2)=I$81&amp;" ·",ROW('分期持仓明细'!$A$67),0)</x:f>
        <x:v>0</x:v>
      </x:c>
      <x:c r="P148" t="n">
        <x:f>IF(LEFT('分期持仓明细'!$A$67,LEN(J$81)+2)=J$81&amp;" ·",ROW('分期持仓明细'!$A$67),0)</x:f>
        <x:v>0</x:v>
      </x:c>
      <x:c r="Q148" t="n">
        <x:f>IF(LEFT('分期持仓明细'!$A$67,LEN(K$81)+2)=K$81&amp;" ·",ROW('分期持仓明细'!$A$67),0)</x:f>
        <x:v>0</x:v>
      </x:c>
      <x:c r="R148" t="n">
        <x:f>IF(LEFT('分期持仓明细'!$A$67,LEN(L$81)+2)=L$81&amp;" ·",ROW('分期持仓明细'!$A$67),0)</x:f>
        <x:v>0</x:v>
      </x:c>
    </x:row>
    <x:row r="149">
      <x:c r="M149" t="n">
        <x:f>IF(LEFT('分期持仓明细'!$A$68,LEN(G$81)+2)=G$81&amp;" ·",ROW('分期持仓明细'!$A$68),0)</x:f>
        <x:v>0</x:v>
      </x:c>
      <x:c r="N149" t="n">
        <x:f>IF(LEFT('分期持仓明细'!$A$68,LEN(H$81)+2)=H$81&amp;" ·",ROW('分期持仓明细'!$A$68),0)</x:f>
        <x:v>0</x:v>
      </x:c>
      <x:c r="O149" t="n">
        <x:f>IF(LEFT('分期持仓明细'!$A$68,LEN(I$81)+2)=I$81&amp;" ·",ROW('分期持仓明细'!$A$68),0)</x:f>
        <x:v>0</x:v>
      </x:c>
      <x:c r="P149" t="n">
        <x:f>IF(LEFT('分期持仓明细'!$A$68,LEN(J$81)+2)=J$81&amp;" ·",ROW('分期持仓明细'!$A$68),0)</x:f>
        <x:v>0</x:v>
      </x:c>
      <x:c r="Q149" t="n">
        <x:f>IF(LEFT('分期持仓明细'!$A$68,LEN(K$81)+2)=K$81&amp;" ·",ROW('分期持仓明细'!$A$68),0)</x:f>
        <x:v>0</x:v>
      </x:c>
      <x:c r="R149" t="n">
        <x:f>IF(LEFT('分期持仓明细'!$A$68,LEN(L$81)+2)=L$81&amp;" ·",ROW('分期持仓明细'!$A$68),0)</x:f>
        <x:v>0</x:v>
      </x:c>
    </x:row>
    <x:row r="150">
      <x:c r="M150" t="n">
        <x:f>IF(LEFT('分期持仓明细'!$A$69,LEN(G$81)+2)=G$81&amp;" ·",ROW('分期持仓明细'!$A$69),0)</x:f>
        <x:v>0</x:v>
      </x:c>
      <x:c r="N150" t="n">
        <x:f>IF(LEFT('分期持仓明细'!$A$69,LEN(H$81)+2)=H$81&amp;" ·",ROW('分期持仓明细'!$A$69),0)</x:f>
        <x:v>0</x:v>
      </x:c>
      <x:c r="O150" t="n">
        <x:f>IF(LEFT('分期持仓明细'!$A$69,LEN(I$81)+2)=I$81&amp;" ·",ROW('分期持仓明细'!$A$69),0)</x:f>
        <x:v>0</x:v>
      </x:c>
      <x:c r="P150" t="n">
        <x:f>IF(LEFT('分期持仓明细'!$A$69,LEN(J$81)+2)=J$81&amp;" ·",ROW('分期持仓明细'!$A$69),0)</x:f>
        <x:v>0</x:v>
      </x:c>
      <x:c r="Q150" t="n">
        <x:f>IF(LEFT('分期持仓明细'!$A$69,LEN(K$81)+2)=K$81&amp;" ·",ROW('分期持仓明细'!$A$69),0)</x:f>
        <x:v>0</x:v>
      </x:c>
      <x:c r="R150" t="n">
        <x:f>IF(LEFT('分期持仓明细'!$A$69,LEN(L$81)+2)=L$81&amp;" ·",ROW('分期持仓明细'!$A$69),0)</x:f>
        <x:v>0</x:v>
      </x:c>
    </x:row>
    <x:row r="151">
      <x:c r="M151" t="n">
        <x:f>IF(LEFT('分期持仓明细'!$A$70,LEN(G$81)+2)=G$81&amp;" ·",ROW('分期持仓明细'!$A$70),0)</x:f>
        <x:v>0</x:v>
      </x:c>
      <x:c r="N151" t="n">
        <x:f>IF(LEFT('分期持仓明细'!$A$70,LEN(H$81)+2)=H$81&amp;" ·",ROW('分期持仓明细'!$A$70),0)</x:f>
        <x:v>0</x:v>
      </x:c>
      <x:c r="O151" t="n">
        <x:f>IF(LEFT('分期持仓明细'!$A$70,LEN(I$81)+2)=I$81&amp;" ·",ROW('分期持仓明细'!$A$70),0)</x:f>
        <x:v>0</x:v>
      </x:c>
      <x:c r="P151" t="n">
        <x:f>IF(LEFT('分期持仓明细'!$A$70,LEN(J$81)+2)=J$81&amp;" ·",ROW('分期持仓明细'!$A$70),0)</x:f>
        <x:v>0</x:v>
      </x:c>
      <x:c r="Q151" t="n">
        <x:f>IF(LEFT('分期持仓明细'!$A$70,LEN(K$81)+2)=K$81&amp;" ·",ROW('分期持仓明细'!$A$70),0)</x:f>
        <x:v>0</x:v>
      </x:c>
      <x:c r="R151" t="n">
        <x:f>IF(LEFT('分期持仓明细'!$A$70,LEN(L$81)+2)=L$81&amp;" ·",ROW('分期持仓明细'!$A$70),0)</x:f>
        <x:v>0</x:v>
      </x:c>
    </x:row>
    <x:row r="152">
      <x:c r="M152" t="n">
        <x:f>IF(LEFT('分期持仓明细'!$A$71,LEN(G$81)+2)=G$81&amp;" ·",ROW('分期持仓明细'!$A$71),0)</x:f>
        <x:v>0</x:v>
      </x:c>
      <x:c r="N152" t="n">
        <x:f>IF(LEFT('分期持仓明细'!$A$71,LEN(H$81)+2)=H$81&amp;" ·",ROW('分期持仓明细'!$A$71),0)</x:f>
        <x:v>0</x:v>
      </x:c>
      <x:c r="O152" t="n">
        <x:f>IF(LEFT('分期持仓明细'!$A$71,LEN(I$81)+2)=I$81&amp;" ·",ROW('分期持仓明细'!$A$71),0)</x:f>
        <x:v>0</x:v>
      </x:c>
      <x:c r="P152" t="n">
        <x:f>IF(LEFT('分期持仓明细'!$A$71,LEN(J$81)+2)=J$81&amp;" ·",ROW('分期持仓明细'!$A$71),0)</x:f>
        <x:v>0</x:v>
      </x:c>
      <x:c r="Q152" t="n">
        <x:f>IF(LEFT('分期持仓明细'!$A$71,LEN(K$81)+2)=K$81&amp;" ·",ROW('分期持仓明细'!$A$71),0)</x:f>
        <x:v>0</x:v>
      </x:c>
      <x:c r="R152" t="n">
        <x:f>IF(LEFT('分期持仓明细'!$A$71,LEN(L$81)+2)=L$81&amp;" ·",ROW('分期持仓明细'!$A$71),0)</x:f>
        <x:v>0</x:v>
      </x:c>
    </x:row>
    <x:row r="153">
      <x:c r="M153" t="n">
        <x:f>IF(LEFT('分期持仓明细'!$A$72,LEN(G$81)+2)=G$81&amp;" ·",ROW('分期持仓明细'!$A$72),0)</x:f>
        <x:v>0</x:v>
      </x:c>
      <x:c r="N153" t="n">
        <x:f>IF(LEFT('分期持仓明细'!$A$72,LEN(H$81)+2)=H$81&amp;" ·",ROW('分期持仓明细'!$A$72),0)</x:f>
        <x:v>0</x:v>
      </x:c>
      <x:c r="O153" t="n">
        <x:f>IF(LEFT('分期持仓明细'!$A$72,LEN(I$81)+2)=I$81&amp;" ·",ROW('分期持仓明细'!$A$72),0)</x:f>
        <x:v>0</x:v>
      </x:c>
      <x:c r="P153" t="n">
        <x:f>IF(LEFT('分期持仓明细'!$A$72,LEN(J$81)+2)=J$81&amp;" ·",ROW('分期持仓明细'!$A$72),0)</x:f>
        <x:v>0</x:v>
      </x:c>
      <x:c r="Q153" t="n">
        <x:f>IF(LEFT('分期持仓明细'!$A$72,LEN(K$81)+2)=K$81&amp;" ·",ROW('分期持仓明细'!$A$72),0)</x:f>
        <x:v>0</x:v>
      </x:c>
      <x:c r="R153" t="n">
        <x:f>IF(LEFT('分期持仓明细'!$A$72,LEN(L$81)+2)=L$81&amp;" ·",ROW('分期持仓明细'!$A$72),0)</x:f>
        <x:v>0</x:v>
      </x:c>
    </x:row>
    <x:row r="154">
      <x:c r="M154" t="n">
        <x:f>IF(LEFT('分期持仓明细'!$A$73,LEN(G$81)+2)=G$81&amp;" ·",ROW('分期持仓明细'!$A$73),0)</x:f>
        <x:v>0</x:v>
      </x:c>
      <x:c r="N154" t="n">
        <x:f>IF(LEFT('分期持仓明细'!$A$73,LEN(H$81)+2)=H$81&amp;" ·",ROW('分期持仓明细'!$A$73),0)</x:f>
        <x:v>0</x:v>
      </x:c>
      <x:c r="O154" t="n">
        <x:f>IF(LEFT('分期持仓明细'!$A$73,LEN(I$81)+2)=I$81&amp;" ·",ROW('分期持仓明细'!$A$73),0)</x:f>
        <x:v>0</x:v>
      </x:c>
      <x:c r="P154" t="n">
        <x:f>IF(LEFT('分期持仓明细'!$A$73,LEN(J$81)+2)=J$81&amp;" ·",ROW('分期持仓明细'!$A$73),0)</x:f>
        <x:v>0</x:v>
      </x:c>
      <x:c r="Q154" t="n">
        <x:f>IF(LEFT('分期持仓明细'!$A$73,LEN(K$81)+2)=K$81&amp;" ·",ROW('分期持仓明细'!$A$73),0)</x:f>
        <x:v>0</x:v>
      </x:c>
      <x:c r="R154" t="n">
        <x:f>IF(LEFT('分期持仓明细'!$A$73,LEN(L$81)+2)=L$81&amp;" ·",ROW('分期持仓明细'!$A$73),0)</x:f>
        <x:v>0</x:v>
      </x:c>
    </x:row>
    <x:row r="155">
      <x:c r="M155" t="n">
        <x:f>IF(LEFT('分期持仓明细'!$A$74,LEN(G$81)+2)=G$81&amp;" ·",ROW('分期持仓明细'!$A$74),0)</x:f>
        <x:v>0</x:v>
      </x:c>
      <x:c r="N155" t="n">
        <x:f>IF(LEFT('分期持仓明细'!$A$74,LEN(H$81)+2)=H$81&amp;" ·",ROW('分期持仓明细'!$A$74),0)</x:f>
        <x:v>0</x:v>
      </x:c>
      <x:c r="O155" t="n">
        <x:f>IF(LEFT('分期持仓明细'!$A$74,LEN(I$81)+2)=I$81&amp;" ·",ROW('分期持仓明细'!$A$74),0)</x:f>
        <x:v>0</x:v>
      </x:c>
      <x:c r="P155" t="n">
        <x:f>IF(LEFT('分期持仓明细'!$A$74,LEN(J$81)+2)=J$81&amp;" ·",ROW('分期持仓明细'!$A$74),0)</x:f>
        <x:v>0</x:v>
      </x:c>
      <x:c r="Q155" t="n">
        <x:f>IF(LEFT('分期持仓明细'!$A$74,LEN(K$81)+2)=K$81&amp;" ·",ROW('分期持仓明细'!$A$74),0)</x:f>
        <x:v>0</x:v>
      </x:c>
      <x:c r="R155" t="n">
        <x:f>IF(LEFT('分期持仓明细'!$A$74,LEN(L$81)+2)=L$81&amp;" ·",ROW('分期持仓明细'!$A$74),0)</x:f>
        <x:v>0</x:v>
      </x:c>
    </x:row>
    <x:row r="156">
      <x:c r="M156" t="n">
        <x:f>IF(LEFT('分期持仓明细'!$A$75,LEN(G$81)+2)=G$81&amp;" ·",ROW('分期持仓明细'!$A$75),0)</x:f>
        <x:v>0</x:v>
      </x:c>
      <x:c r="N156" t="n">
        <x:f>IF(LEFT('分期持仓明细'!$A$75,LEN(H$81)+2)=H$81&amp;" ·",ROW('分期持仓明细'!$A$75),0)</x:f>
        <x:v>0</x:v>
      </x:c>
      <x:c r="O156" t="n">
        <x:f>IF(LEFT('分期持仓明细'!$A$75,LEN(I$81)+2)=I$81&amp;" ·",ROW('分期持仓明细'!$A$75),0)</x:f>
        <x:v>0</x:v>
      </x:c>
      <x:c r="P156" t="n">
        <x:f>IF(LEFT('分期持仓明细'!$A$75,LEN(J$81)+2)=J$81&amp;" ·",ROW('分期持仓明细'!$A$75),0)</x:f>
        <x:v>0</x:v>
      </x:c>
      <x:c r="Q156" t="n">
        <x:f>IF(LEFT('分期持仓明细'!$A$75,LEN(K$81)+2)=K$81&amp;" ·",ROW('分期持仓明细'!$A$75),0)</x:f>
        <x:v>0</x:v>
      </x:c>
      <x:c r="R156" t="n">
        <x:f>IF(LEFT('分期持仓明细'!$A$75,LEN(L$81)+2)=L$81&amp;" ·",ROW('分期持仓明细'!$A$75),0)</x:f>
        <x:v>0</x:v>
      </x:c>
    </x:row>
    <x:row r="157">
      <x:c r="M157" t="n">
        <x:f>IF(LEFT('分期持仓明细'!$A$76,LEN(G$81)+2)=G$81&amp;" ·",ROW('分期持仓明细'!$A$76),0)</x:f>
        <x:v>0</x:v>
      </x:c>
      <x:c r="N157" t="n">
        <x:f>IF(LEFT('分期持仓明细'!$A$76,LEN(H$81)+2)=H$81&amp;" ·",ROW('分期持仓明细'!$A$76),0)</x:f>
        <x:v>0</x:v>
      </x:c>
      <x:c r="O157" t="n">
        <x:f>IF(LEFT('分期持仓明细'!$A$76,LEN(I$81)+2)=I$81&amp;" ·",ROW('分期持仓明细'!$A$76),0)</x:f>
        <x:v>0</x:v>
      </x:c>
      <x:c r="P157" t="n">
        <x:f>IF(LEFT('分期持仓明细'!$A$76,LEN(J$81)+2)=J$81&amp;" ·",ROW('分期持仓明细'!$A$76),0)</x:f>
        <x:v>0</x:v>
      </x:c>
      <x:c r="Q157" t="n">
        <x:f>IF(LEFT('分期持仓明细'!$A$76,LEN(K$81)+2)=K$81&amp;" ·",ROW('分期持仓明细'!$A$76),0)</x:f>
        <x:v>0</x:v>
      </x:c>
      <x:c r="R157" t="n">
        <x:f>IF(LEFT('分期持仓明细'!$A$76,LEN(L$81)+2)=L$81&amp;" ·",ROW('分期持仓明细'!$A$76),0)</x:f>
        <x:v>0</x:v>
      </x:c>
    </x:row>
    <x:row r="158">
      <x:c r="M158" t="n">
        <x:f>IF(LEFT('分期持仓明细'!$A$77,LEN(G$81)+2)=G$81&amp;" ·",ROW('分期持仓明细'!$A$77),0)</x:f>
        <x:v>0</x:v>
      </x:c>
      <x:c r="N158" t="n">
        <x:f>IF(LEFT('分期持仓明细'!$A$77,LEN(H$81)+2)=H$81&amp;" ·",ROW('分期持仓明细'!$A$77),0)</x:f>
        <x:v>0</x:v>
      </x:c>
      <x:c r="O158" t="n">
        <x:f>IF(LEFT('分期持仓明细'!$A$77,LEN(I$81)+2)=I$81&amp;" ·",ROW('分期持仓明细'!$A$77),0)</x:f>
        <x:v>0</x:v>
      </x:c>
      <x:c r="P158" t="n">
        <x:f>IF(LEFT('分期持仓明细'!$A$77,LEN(J$81)+2)=J$81&amp;" ·",ROW('分期持仓明细'!$A$77),0)</x:f>
        <x:v>0</x:v>
      </x:c>
      <x:c r="Q158" t="n">
        <x:f>IF(LEFT('分期持仓明细'!$A$77,LEN(K$81)+2)=K$81&amp;" ·",ROW('分期持仓明细'!$A$77),0)</x:f>
        <x:v>0</x:v>
      </x:c>
      <x:c r="R158" t="n">
        <x:f>IF(LEFT('分期持仓明细'!$A$77,LEN(L$81)+2)=L$81&amp;" ·",ROW('分期持仓明细'!$A$77),0)</x:f>
        <x:v>0</x:v>
      </x:c>
    </x:row>
    <x:row r="159">
      <x:c r="M159" t="n">
        <x:f>IF(LEFT('分期持仓明细'!$A$78,LEN(G$81)+2)=G$81&amp;" ·",ROW('分期持仓明细'!$A$78),0)</x:f>
        <x:v>0</x:v>
      </x:c>
      <x:c r="N159" t="n">
        <x:f>IF(LEFT('分期持仓明细'!$A$78,LEN(H$81)+2)=H$81&amp;" ·",ROW('分期持仓明细'!$A$78),0)</x:f>
        <x:v>0</x:v>
      </x:c>
      <x:c r="O159" t="n">
        <x:f>IF(LEFT('分期持仓明细'!$A$78,LEN(I$81)+2)=I$81&amp;" ·",ROW('分期持仓明细'!$A$78),0)</x:f>
        <x:v>0</x:v>
      </x:c>
      <x:c r="P159" t="n">
        <x:f>IF(LEFT('分期持仓明细'!$A$78,LEN(J$81)+2)=J$81&amp;" ·",ROW('分期持仓明细'!$A$78),0)</x:f>
        <x:v>0</x:v>
      </x:c>
      <x:c r="Q159" t="n">
        <x:f>IF(LEFT('分期持仓明细'!$A$78,LEN(K$81)+2)=K$81&amp;" ·",ROW('分期持仓明细'!$A$78),0)</x:f>
        <x:v>0</x:v>
      </x:c>
      <x:c r="R159" t="n">
        <x:f>IF(LEFT('分期持仓明细'!$A$78,LEN(L$81)+2)=L$81&amp;" ·",ROW('分期持仓明细'!$A$78),0)</x:f>
        <x:v>0</x:v>
      </x:c>
    </x:row>
    <x:row r="160">
      <x:c r="M160" t="n">
        <x:f>IF(LEFT('分期持仓明细'!$A$79,LEN(G$81)+2)=G$81&amp;" ·",ROW('分期持仓明细'!$A$79),0)</x:f>
        <x:v>0</x:v>
      </x:c>
      <x:c r="N160" t="n">
        <x:f>IF(LEFT('分期持仓明细'!$A$79,LEN(H$81)+2)=H$81&amp;" ·",ROW('分期持仓明细'!$A$79),0)</x:f>
        <x:v>0</x:v>
      </x:c>
      <x:c r="O160" t="n">
        <x:f>IF(LEFT('分期持仓明细'!$A$79,LEN(I$81)+2)=I$81&amp;" ·",ROW('分期持仓明细'!$A$79),0)</x:f>
        <x:v>0</x:v>
      </x:c>
      <x:c r="P160" t="n">
        <x:f>IF(LEFT('分期持仓明细'!$A$79,LEN(J$81)+2)=J$81&amp;" ·",ROW('分期持仓明细'!$A$79),0)</x:f>
        <x:v>0</x:v>
      </x:c>
      <x:c r="Q160" t="n">
        <x:f>IF(LEFT('分期持仓明细'!$A$79,LEN(K$81)+2)=K$81&amp;" ·",ROW('分期持仓明细'!$A$79),0)</x:f>
        <x:v>0</x:v>
      </x:c>
      <x:c r="R160" t="n">
        <x:f>IF(LEFT('分期持仓明细'!$A$79,LEN(L$81)+2)=L$81&amp;" ·",ROW('分期持仓明细'!$A$79),0)</x:f>
        <x:v>0</x:v>
      </x:c>
    </x:row>
    <x:row r="161">
      <x:c r="M161" t="n">
        <x:f>IF(LEFT('分期持仓明细'!$A$80,LEN(G$81)+2)=G$81&amp;" ·",ROW('分期持仓明细'!$A$80),0)</x:f>
        <x:v>0</x:v>
      </x:c>
      <x:c r="N161" t="n">
        <x:f>IF(LEFT('分期持仓明细'!$A$80,LEN(H$81)+2)=H$81&amp;" ·",ROW('分期持仓明细'!$A$80),0)</x:f>
        <x:v>0</x:v>
      </x:c>
      <x:c r="O161" t="n">
        <x:f>IF(LEFT('分期持仓明细'!$A$80,LEN(I$81)+2)=I$81&amp;" ·",ROW('分期持仓明细'!$A$80),0)</x:f>
        <x:v>0</x:v>
      </x:c>
      <x:c r="P161" t="n">
        <x:f>IF(LEFT('分期持仓明细'!$A$80,LEN(J$81)+2)=J$81&amp;" ·",ROW('分期持仓明细'!$A$80),0)</x:f>
        <x:v>0</x:v>
      </x:c>
      <x:c r="Q161" t="n">
        <x:f>IF(LEFT('分期持仓明细'!$A$80,LEN(K$81)+2)=K$81&amp;" ·",ROW('分期持仓明细'!$A$80),0)</x:f>
        <x:v>0</x:v>
      </x:c>
      <x:c r="R161" t="n">
        <x:f>IF(LEFT('分期持仓明细'!$A$80,LEN(L$81)+2)=L$81&amp;" ·",ROW('分期持仓明细'!$A$80),0)</x:f>
        <x:v>0</x:v>
      </x:c>
    </x:row>
    <x:row r="162">
      <x:c r="M162" t="n">
        <x:f>IF(LEFT('分期持仓明细'!$A$81,LEN(G$81)+2)=G$81&amp;" ·",ROW('分期持仓明细'!$A$81),0)</x:f>
        <x:v>0</x:v>
      </x:c>
      <x:c r="N162" t="n">
        <x:f>IF(LEFT('分期持仓明细'!$A$81,LEN(H$81)+2)=H$81&amp;" ·",ROW('分期持仓明细'!$A$81),0)</x:f>
        <x:v>0</x:v>
      </x:c>
      <x:c r="O162" t="n">
        <x:f>IF(LEFT('分期持仓明细'!$A$81,LEN(I$81)+2)=I$81&amp;" ·",ROW('分期持仓明细'!$A$81),0)</x:f>
        <x:v>0</x:v>
      </x:c>
      <x:c r="P162" t="n">
        <x:f>IF(LEFT('分期持仓明细'!$A$81,LEN(J$81)+2)=J$81&amp;" ·",ROW('分期持仓明细'!$A$81),0)</x:f>
        <x:v>0</x:v>
      </x:c>
      <x:c r="Q162" t="n">
        <x:f>IF(LEFT('分期持仓明细'!$A$81,LEN(K$81)+2)=K$81&amp;" ·",ROW('分期持仓明细'!$A$81),0)</x:f>
        <x:v>0</x:v>
      </x:c>
      <x:c r="R162" t="n">
        <x:f>IF(LEFT('分期持仓明细'!$A$81,LEN(L$81)+2)=L$81&amp;" ·",ROW('分期持仓明细'!$A$81),0)</x:f>
        <x:v>0</x:v>
      </x:c>
    </x:row>
    <x:row r="163">
      <x:c r="M163" t="n">
        <x:f>IF(LEFT('分期持仓明细'!$A$82,LEN(G$81)+2)=G$81&amp;" ·",ROW('分期持仓明细'!$A$82),0)</x:f>
        <x:v>0</x:v>
      </x:c>
      <x:c r="N163" t="n">
        <x:f>IF(LEFT('分期持仓明细'!$A$82,LEN(H$81)+2)=H$81&amp;" ·",ROW('分期持仓明细'!$A$82),0)</x:f>
        <x:v>0</x:v>
      </x:c>
      <x:c r="O163" t="n">
        <x:f>IF(LEFT('分期持仓明细'!$A$82,LEN(I$81)+2)=I$81&amp;" ·",ROW('分期持仓明细'!$A$82),0)</x:f>
        <x:v>0</x:v>
      </x:c>
      <x:c r="P163" t="n">
        <x:f>IF(LEFT('分期持仓明细'!$A$82,LEN(J$81)+2)=J$81&amp;" ·",ROW('分期持仓明细'!$A$82),0)</x:f>
        <x:v>0</x:v>
      </x:c>
      <x:c r="Q163" t="n">
        <x:f>IF(LEFT('分期持仓明细'!$A$82,LEN(K$81)+2)=K$81&amp;" ·",ROW('分期持仓明细'!$A$82),0)</x:f>
        <x:v>0</x:v>
      </x:c>
      <x:c r="R163" t="n">
        <x:f>IF(LEFT('分期持仓明细'!$A$82,LEN(L$81)+2)=L$81&amp;" ·",ROW('分期持仓明细'!$A$82),0)</x:f>
        <x:v>0</x:v>
      </x:c>
    </x:row>
    <x:row r="164">
      <x:c r="M164" t="n">
        <x:f>IF(LEFT('分期持仓明细'!$A$83,LEN(G$81)+2)=G$81&amp;" ·",ROW('分期持仓明细'!$A$83),0)</x:f>
        <x:v>0</x:v>
      </x:c>
      <x:c r="N164" t="n">
        <x:f>IF(LEFT('分期持仓明细'!$A$83,LEN(H$81)+2)=H$81&amp;" ·",ROW('分期持仓明细'!$A$83),0)</x:f>
        <x:v>0</x:v>
      </x:c>
      <x:c r="O164" t="n">
        <x:f>IF(LEFT('分期持仓明细'!$A$83,LEN(I$81)+2)=I$81&amp;" ·",ROW('分期持仓明细'!$A$83),0)</x:f>
        <x:v>0</x:v>
      </x:c>
      <x:c r="P164" t="n">
        <x:f>IF(LEFT('分期持仓明细'!$A$83,LEN(J$81)+2)=J$81&amp;" ·",ROW('分期持仓明细'!$A$83),0)</x:f>
        <x:v>0</x:v>
      </x:c>
      <x:c r="Q164" t="n">
        <x:f>IF(LEFT('分期持仓明细'!$A$83,LEN(K$81)+2)=K$81&amp;" ·",ROW('分期持仓明细'!$A$83),0)</x:f>
        <x:v>0</x:v>
      </x:c>
      <x:c r="R164" t="n">
        <x:f>IF(LEFT('分期持仓明细'!$A$83,LEN(L$81)+2)=L$81&amp;" ·",ROW('分期持仓明细'!$A$83),0)</x:f>
        <x:v>0</x:v>
      </x:c>
    </x:row>
    <x:row r="165">
      <x:c r="M165" t="n">
        <x:f>IF(LEFT('分期持仓明细'!$A$84,LEN(G$81)+2)=G$81&amp;" ·",ROW('分期持仓明细'!$A$84),0)</x:f>
        <x:v>0</x:v>
      </x:c>
      <x:c r="N165" t="n">
        <x:f>IF(LEFT('分期持仓明细'!$A$84,LEN(H$81)+2)=H$81&amp;" ·",ROW('分期持仓明细'!$A$84),0)</x:f>
        <x:v>0</x:v>
      </x:c>
      <x:c r="O165" t="n">
        <x:f>IF(LEFT('分期持仓明细'!$A$84,LEN(I$81)+2)=I$81&amp;" ·",ROW('分期持仓明细'!$A$84),0)</x:f>
        <x:v>0</x:v>
      </x:c>
      <x:c r="P165" t="n">
        <x:f>IF(LEFT('分期持仓明细'!$A$84,LEN(J$81)+2)=J$81&amp;" ·",ROW('分期持仓明细'!$A$84),0)</x:f>
        <x:v>0</x:v>
      </x:c>
      <x:c r="Q165" t="n">
        <x:f>IF(LEFT('分期持仓明细'!$A$84,LEN(K$81)+2)=K$81&amp;" ·",ROW('分期持仓明细'!$A$84),0)</x:f>
        <x:v>0</x:v>
      </x:c>
      <x:c r="R165" t="n">
        <x:f>IF(LEFT('分期持仓明细'!$A$84,LEN(L$81)+2)=L$81&amp;" ·",ROW('分期持仓明细'!$A$84),0)</x:f>
        <x:v>0</x:v>
      </x:c>
    </x:row>
    <x:row r="166">
      <x:c r="M166" t="n">
        <x:f>IF(LEFT('分期持仓明细'!$A$85,LEN(G$81)+2)=G$81&amp;" ·",ROW('分期持仓明细'!$A$85),0)</x:f>
        <x:v>0</x:v>
      </x:c>
      <x:c r="N166" t="n">
        <x:f>IF(LEFT('分期持仓明细'!$A$85,LEN(H$81)+2)=H$81&amp;" ·",ROW('分期持仓明细'!$A$85),0)</x:f>
        <x:v>0</x:v>
      </x:c>
      <x:c r="O166" t="n">
        <x:f>IF(LEFT('分期持仓明细'!$A$85,LEN(I$81)+2)=I$81&amp;" ·",ROW('分期持仓明细'!$A$85),0)</x:f>
        <x:v>0</x:v>
      </x:c>
      <x:c r="P166" t="n">
        <x:f>IF(LEFT('分期持仓明细'!$A$85,LEN(J$81)+2)=J$81&amp;" ·",ROW('分期持仓明细'!$A$85),0)</x:f>
        <x:v>0</x:v>
      </x:c>
      <x:c r="Q166" t="n">
        <x:f>IF(LEFT('分期持仓明细'!$A$85,LEN(K$81)+2)=K$81&amp;" ·",ROW('分期持仓明细'!$A$85),0)</x:f>
        <x:v>0</x:v>
      </x:c>
      <x:c r="R166" t="n">
        <x:f>IF(LEFT('分期持仓明细'!$A$85,LEN(L$81)+2)=L$81&amp;" ·",ROW('分期持仓明细'!$A$85),0)</x:f>
        <x:v>0</x:v>
      </x:c>
    </x:row>
    <x:row r="167">
      <x:c r="M167" t="n">
        <x:f>IF(LEFT('分期持仓明细'!$A$86,LEN(G$81)+2)=G$81&amp;" ·",ROW('分期持仓明细'!$A$86),0)</x:f>
        <x:v>0</x:v>
      </x:c>
      <x:c r="N167" t="n">
        <x:f>IF(LEFT('分期持仓明细'!$A$86,LEN(H$81)+2)=H$81&amp;" ·",ROW('分期持仓明细'!$A$86),0)</x:f>
        <x:v>0</x:v>
      </x:c>
      <x:c r="O167" t="n">
        <x:f>IF(LEFT('分期持仓明细'!$A$86,LEN(I$81)+2)=I$81&amp;" ·",ROW('分期持仓明细'!$A$86),0)</x:f>
        <x:v>0</x:v>
      </x:c>
      <x:c r="P167" t="n">
        <x:f>IF(LEFT('分期持仓明细'!$A$86,LEN(J$81)+2)=J$81&amp;" ·",ROW('分期持仓明细'!$A$86),0)</x:f>
        <x:v>0</x:v>
      </x:c>
      <x:c r="Q167" t="n">
        <x:f>IF(LEFT('分期持仓明细'!$A$86,LEN(K$81)+2)=K$81&amp;" ·",ROW('分期持仓明细'!$A$86),0)</x:f>
        <x:v>0</x:v>
      </x:c>
      <x:c r="R167" t="n">
        <x:f>IF(LEFT('分期持仓明细'!$A$86,LEN(L$81)+2)=L$81&amp;" ·",ROW('分期持仓明细'!$A$86),0)</x:f>
        <x:v>0</x:v>
      </x:c>
    </x:row>
    <x:row r="168">
      <x:c r="M168" t="n">
        <x:f>IF(LEFT('分期持仓明细'!$A$87,LEN(G$81)+2)=G$81&amp;" ·",ROW('分期持仓明细'!$A$87),0)</x:f>
        <x:v>0</x:v>
      </x:c>
      <x:c r="N168" t="n">
        <x:f>IF(LEFT('分期持仓明细'!$A$87,LEN(H$81)+2)=H$81&amp;" ·",ROW('分期持仓明细'!$A$87),0)</x:f>
        <x:v>0</x:v>
      </x:c>
      <x:c r="O168" t="n">
        <x:f>IF(LEFT('分期持仓明细'!$A$87,LEN(I$81)+2)=I$81&amp;" ·",ROW('分期持仓明细'!$A$87),0)</x:f>
        <x:v>0</x:v>
      </x:c>
      <x:c r="P168" t="n">
        <x:f>IF(LEFT('分期持仓明细'!$A$87,LEN(J$81)+2)=J$81&amp;" ·",ROW('分期持仓明细'!$A$87),0)</x:f>
        <x:v>0</x:v>
      </x:c>
      <x:c r="Q168" t="n">
        <x:f>IF(LEFT('分期持仓明细'!$A$87,LEN(K$81)+2)=K$81&amp;" ·",ROW('分期持仓明细'!$A$87),0)</x:f>
        <x:v>0</x:v>
      </x:c>
      <x:c r="R168" t="n">
        <x:f>IF(LEFT('分期持仓明细'!$A$87,LEN(L$81)+2)=L$81&amp;" ·",ROW('分期持仓明细'!$A$87),0)</x:f>
        <x:v>0</x:v>
      </x:c>
    </x:row>
    <x:row r="169">
      <x:c r="M169" t="n">
        <x:f>IF(LEFT('分期持仓明细'!$A$88,LEN(G$81)+2)=G$81&amp;" ·",ROW('分期持仓明细'!$A$88),0)</x:f>
        <x:v>0</x:v>
      </x:c>
      <x:c r="N169" t="n">
        <x:f>IF(LEFT('分期持仓明细'!$A$88,LEN(H$81)+2)=H$81&amp;" ·",ROW('分期持仓明细'!$A$88),0)</x:f>
        <x:v>0</x:v>
      </x:c>
      <x:c r="O169" t="n">
        <x:f>IF(LEFT('分期持仓明细'!$A$88,LEN(I$81)+2)=I$81&amp;" ·",ROW('分期持仓明细'!$A$88),0)</x:f>
        <x:v>0</x:v>
      </x:c>
      <x:c r="P169" t="n">
        <x:f>IF(LEFT('分期持仓明细'!$A$88,LEN(J$81)+2)=J$81&amp;" ·",ROW('分期持仓明细'!$A$88),0)</x:f>
        <x:v>0</x:v>
      </x:c>
      <x:c r="Q169" t="n">
        <x:f>IF(LEFT('分期持仓明细'!$A$88,LEN(K$81)+2)=K$81&amp;" ·",ROW('分期持仓明细'!$A$88),0)</x:f>
        <x:v>0</x:v>
      </x:c>
      <x:c r="R169" t="n">
        <x:f>IF(LEFT('分期持仓明细'!$A$88,LEN(L$81)+2)=L$81&amp;" ·",ROW('分期持仓明细'!$A$88),0)</x:f>
        <x:v>0</x:v>
      </x:c>
    </x:row>
    <x:row r="170">
      <x:c r="M170" t="n">
        <x:f>IF(LEFT('分期持仓明细'!$A$89,LEN(G$81)+2)=G$81&amp;" ·",ROW('分期持仓明细'!$A$89),0)</x:f>
        <x:v>0</x:v>
      </x:c>
      <x:c r="N170" t="n">
        <x:f>IF(LEFT('分期持仓明细'!$A$89,LEN(H$81)+2)=H$81&amp;" ·",ROW('分期持仓明细'!$A$89),0)</x:f>
        <x:v>0</x:v>
      </x:c>
      <x:c r="O170" t="n">
        <x:f>IF(LEFT('分期持仓明细'!$A$89,LEN(I$81)+2)=I$81&amp;" ·",ROW('分期持仓明细'!$A$89),0)</x:f>
        <x:v>0</x:v>
      </x:c>
      <x:c r="P170" t="n">
        <x:f>IF(LEFT('分期持仓明细'!$A$89,LEN(J$81)+2)=J$81&amp;" ·",ROW('分期持仓明细'!$A$89),0)</x:f>
        <x:v>0</x:v>
      </x:c>
      <x:c r="Q170" t="n">
        <x:f>IF(LEFT('分期持仓明细'!$A$89,LEN(K$81)+2)=K$81&amp;" ·",ROW('分期持仓明细'!$A$89),0)</x:f>
        <x:v>0</x:v>
      </x:c>
      <x:c r="R170" t="n">
        <x:f>IF(LEFT('分期持仓明细'!$A$89,LEN(L$81)+2)=L$81&amp;" ·",ROW('分期持仓明细'!$A$89),0)</x:f>
        <x:v>0</x:v>
      </x:c>
    </x:row>
    <x:row r="171">
      <x:c r="M171" t="n">
        <x:f>IF(LEFT('分期持仓明细'!$A$90,LEN(G$81)+2)=G$81&amp;" ·",ROW('分期持仓明细'!$A$90),0)</x:f>
        <x:v>0</x:v>
      </x:c>
      <x:c r="N171" t="n">
        <x:f>IF(LEFT('分期持仓明细'!$A$90,LEN(H$81)+2)=H$81&amp;" ·",ROW('分期持仓明细'!$A$90),0)</x:f>
        <x:v>0</x:v>
      </x:c>
      <x:c r="O171" t="n">
        <x:f>IF(LEFT('分期持仓明细'!$A$90,LEN(I$81)+2)=I$81&amp;" ·",ROW('分期持仓明细'!$A$90),0)</x:f>
        <x:v>0</x:v>
      </x:c>
      <x:c r="P171" t="n">
        <x:f>IF(LEFT('分期持仓明细'!$A$90,LEN(J$81)+2)=J$81&amp;" ·",ROW('分期持仓明细'!$A$90),0)</x:f>
        <x:v>0</x:v>
      </x:c>
      <x:c r="Q171" t="n">
        <x:f>IF(LEFT('分期持仓明细'!$A$90,LEN(K$81)+2)=K$81&amp;" ·",ROW('分期持仓明细'!$A$90),0)</x:f>
        <x:v>0</x:v>
      </x:c>
      <x:c r="R171" t="n">
        <x:f>IF(LEFT('分期持仓明细'!$A$90,LEN(L$81)+2)=L$81&amp;" ·",ROW('分期持仓明细'!$A$90),0)</x:f>
        <x:v>0</x:v>
      </x:c>
    </x:row>
    <x:row r="172">
      <x:c r="M172" t="n">
        <x:f>IF(LEFT('分期持仓明细'!$A$91,LEN(G$81)+2)=G$81&amp;" ·",ROW('分期持仓明细'!$A$91),0)</x:f>
        <x:v>0</x:v>
      </x:c>
      <x:c r="N172" t="n">
        <x:f>IF(LEFT('分期持仓明细'!$A$91,LEN(H$81)+2)=H$81&amp;" ·",ROW('分期持仓明细'!$A$91),0)</x:f>
        <x:v>0</x:v>
      </x:c>
      <x:c r="O172" t="n">
        <x:f>IF(LEFT('分期持仓明细'!$A$91,LEN(I$81)+2)=I$81&amp;" ·",ROW('分期持仓明细'!$A$91),0)</x:f>
        <x:v>0</x:v>
      </x:c>
      <x:c r="P172" t="n">
        <x:f>IF(LEFT('分期持仓明细'!$A$91,LEN(J$81)+2)=J$81&amp;" ·",ROW('分期持仓明细'!$A$91),0)</x:f>
        <x:v>0</x:v>
      </x:c>
      <x:c r="Q172" t="n">
        <x:f>IF(LEFT('分期持仓明细'!$A$91,LEN(K$81)+2)=K$81&amp;" ·",ROW('分期持仓明细'!$A$91),0)</x:f>
        <x:v>0</x:v>
      </x:c>
      <x:c r="R172" t="n">
        <x:f>IF(LEFT('分期持仓明细'!$A$91,LEN(L$81)+2)=L$81&amp;" ·",ROW('分期持仓明细'!$A$91),0)</x:f>
        <x:v>0</x:v>
      </x:c>
    </x:row>
    <x:row r="173">
      <x:c r="M173" t="n">
        <x:f>IF(LEFT('分期持仓明细'!$A$92,LEN(G$81)+2)=G$81&amp;" ·",ROW('分期持仓明细'!$A$92),0)</x:f>
        <x:v>0</x:v>
      </x:c>
      <x:c r="N173" t="n">
        <x:f>IF(LEFT('分期持仓明细'!$A$92,LEN(H$81)+2)=H$81&amp;" ·",ROW('分期持仓明细'!$A$92),0)</x:f>
        <x:v>0</x:v>
      </x:c>
      <x:c r="O173" t="n">
        <x:f>IF(LEFT('分期持仓明细'!$A$92,LEN(I$81)+2)=I$81&amp;" ·",ROW('分期持仓明细'!$A$92),0)</x:f>
        <x:v>0</x:v>
      </x:c>
      <x:c r="P173" t="n">
        <x:f>IF(LEFT('分期持仓明细'!$A$92,LEN(J$81)+2)=J$81&amp;" ·",ROW('分期持仓明细'!$A$92),0)</x:f>
        <x:v>0</x:v>
      </x:c>
      <x:c r="Q173" t="n">
        <x:f>IF(LEFT('分期持仓明细'!$A$92,LEN(K$81)+2)=K$81&amp;" ·",ROW('分期持仓明细'!$A$92),0)</x:f>
        <x:v>0</x:v>
      </x:c>
      <x:c r="R173" t="n">
        <x:f>IF(LEFT('分期持仓明细'!$A$92,LEN(L$81)+2)=L$81&amp;" ·",ROW('分期持仓明细'!$A$92),0)</x:f>
        <x:v>0</x:v>
      </x:c>
    </x:row>
    <x:row r="174">
      <x:c r="M174" t="n">
        <x:f>IF(LEFT('分期持仓明细'!$A$93,LEN(G$81)+2)=G$81&amp;" ·",ROW('分期持仓明细'!$A$93),0)</x:f>
        <x:v>0</x:v>
      </x:c>
      <x:c r="N174" t="n">
        <x:f>IF(LEFT('分期持仓明细'!$A$93,LEN(H$81)+2)=H$81&amp;" ·",ROW('分期持仓明细'!$A$93),0)</x:f>
        <x:v>0</x:v>
      </x:c>
      <x:c r="O174" t="n">
        <x:f>IF(LEFT('分期持仓明细'!$A$93,LEN(I$81)+2)=I$81&amp;" ·",ROW('分期持仓明细'!$A$93),0)</x:f>
        <x:v>0</x:v>
      </x:c>
      <x:c r="P174" t="n">
        <x:f>IF(LEFT('分期持仓明细'!$A$93,LEN(J$81)+2)=J$81&amp;" ·",ROW('分期持仓明细'!$A$93),0)</x:f>
        <x:v>0</x:v>
      </x:c>
      <x:c r="Q174" t="n">
        <x:f>IF(LEFT('分期持仓明细'!$A$93,LEN(K$81)+2)=K$81&amp;" ·",ROW('分期持仓明细'!$A$93),0)</x:f>
        <x:v>0</x:v>
      </x:c>
      <x:c r="R174" t="n">
        <x:f>IF(LEFT('分期持仓明细'!$A$93,LEN(L$81)+2)=L$81&amp;" ·",ROW('分期持仓明细'!$A$93),0)</x:f>
        <x:v>0</x:v>
      </x:c>
    </x:row>
    <x:row r="175">
      <x:c r="M175" t="n">
        <x:f>IF(LEFT('分期持仓明细'!$A$94,LEN(G$81)+2)=G$81&amp;" ·",ROW('分期持仓明细'!$A$94),0)</x:f>
        <x:v>0</x:v>
      </x:c>
      <x:c r="N175" t="n">
        <x:f>IF(LEFT('分期持仓明细'!$A$94,LEN(H$81)+2)=H$81&amp;" ·",ROW('分期持仓明细'!$A$94),0)</x:f>
        <x:v>0</x:v>
      </x:c>
      <x:c r="O175" t="n">
        <x:f>IF(LEFT('分期持仓明细'!$A$94,LEN(I$81)+2)=I$81&amp;" ·",ROW('分期持仓明细'!$A$94),0)</x:f>
        <x:v>0</x:v>
      </x:c>
      <x:c r="P175" t="n">
        <x:f>IF(LEFT('分期持仓明细'!$A$94,LEN(J$81)+2)=J$81&amp;" ·",ROW('分期持仓明细'!$A$94),0)</x:f>
        <x:v>0</x:v>
      </x:c>
      <x:c r="Q175" t="n">
        <x:f>IF(LEFT('分期持仓明细'!$A$94,LEN(K$81)+2)=K$81&amp;" ·",ROW('分期持仓明细'!$A$94),0)</x:f>
        <x:v>0</x:v>
      </x:c>
      <x:c r="R175" t="n">
        <x:f>IF(LEFT('分期持仓明细'!$A$94,LEN(L$81)+2)=L$81&amp;" ·",ROW('分期持仓明细'!$A$94),0)</x:f>
        <x:v>0</x:v>
      </x:c>
    </x:row>
    <x:row r="176">
      <x:c r="M176" t="n">
        <x:f>IF(LEFT('分期持仓明细'!$A$95,LEN(G$81)+2)=G$81&amp;" ·",ROW('分期持仓明细'!$A$95),0)</x:f>
        <x:v>0</x:v>
      </x:c>
      <x:c r="N176" t="n">
        <x:f>IF(LEFT('分期持仓明细'!$A$95,LEN(H$81)+2)=H$81&amp;" ·",ROW('分期持仓明细'!$A$95),0)</x:f>
        <x:v>0</x:v>
      </x:c>
      <x:c r="O176" t="n">
        <x:f>IF(LEFT('分期持仓明细'!$A$95,LEN(I$81)+2)=I$81&amp;" ·",ROW('分期持仓明细'!$A$95),0)</x:f>
        <x:v>0</x:v>
      </x:c>
      <x:c r="P176" t="n">
        <x:f>IF(LEFT('分期持仓明细'!$A$95,LEN(J$81)+2)=J$81&amp;" ·",ROW('分期持仓明细'!$A$95),0)</x:f>
        <x:v>0</x:v>
      </x:c>
      <x:c r="Q176" t="n">
        <x:f>IF(LEFT('分期持仓明细'!$A$95,LEN(K$81)+2)=K$81&amp;" ·",ROW('分期持仓明细'!$A$95),0)</x:f>
        <x:v>0</x:v>
      </x:c>
      <x:c r="R176" t="n">
        <x:f>IF(LEFT('分期持仓明细'!$A$95,LEN(L$81)+2)=L$81&amp;" ·",ROW('分期持仓明细'!$A$95),0)</x:f>
        <x:v>0</x:v>
      </x:c>
    </x:row>
    <x:row r="177">
      <x:c r="M177" t="n">
        <x:f>IF(LEFT('分期持仓明细'!$A$96,LEN(G$81)+2)=G$81&amp;" ·",ROW('分期持仓明细'!$A$96),0)</x:f>
        <x:v>0</x:v>
      </x:c>
      <x:c r="N177" t="n">
        <x:f>IF(LEFT('分期持仓明细'!$A$96,LEN(H$81)+2)=H$81&amp;" ·",ROW('分期持仓明细'!$A$96),0)</x:f>
        <x:v>0</x:v>
      </x:c>
      <x:c r="O177" t="n">
        <x:f>IF(LEFT('分期持仓明细'!$A$96,LEN(I$81)+2)=I$81&amp;" ·",ROW('分期持仓明细'!$A$96),0)</x:f>
        <x:v>0</x:v>
      </x:c>
      <x:c r="P177" t="n">
        <x:f>IF(LEFT('分期持仓明细'!$A$96,LEN(J$81)+2)=J$81&amp;" ·",ROW('分期持仓明细'!$A$96),0)</x:f>
        <x:v>0</x:v>
      </x:c>
      <x:c r="Q177" t="n">
        <x:f>IF(LEFT('分期持仓明细'!$A$96,LEN(K$81)+2)=K$81&amp;" ·",ROW('分期持仓明细'!$A$96),0)</x:f>
        <x:v>0</x:v>
      </x:c>
      <x:c r="R177" t="n">
        <x:f>IF(LEFT('分期持仓明细'!$A$96,LEN(L$81)+2)=L$81&amp;" ·",ROW('分期持仓明细'!$A$96),0)</x:f>
        <x:v>0</x:v>
      </x:c>
    </x:row>
    <x:row r="178">
      <x:c r="M178" t="n">
        <x:f>IF(LEFT('分期持仓明细'!$A$97,LEN(G$81)+2)=G$81&amp;" ·",ROW('分期持仓明细'!$A$97),0)</x:f>
        <x:v>0</x:v>
      </x:c>
      <x:c r="N178" t="n">
        <x:f>IF(LEFT('分期持仓明细'!$A$97,LEN(H$81)+2)=H$81&amp;" ·",ROW('分期持仓明细'!$A$97),0)</x:f>
        <x:v>0</x:v>
      </x:c>
      <x:c r="O178" t="n">
        <x:f>IF(LEFT('分期持仓明细'!$A$97,LEN(I$81)+2)=I$81&amp;" ·",ROW('分期持仓明细'!$A$97),0)</x:f>
        <x:v>0</x:v>
      </x:c>
      <x:c r="P178" t="n">
        <x:f>IF(LEFT('分期持仓明细'!$A$97,LEN(J$81)+2)=J$81&amp;" ·",ROW('分期持仓明细'!$A$97),0)</x:f>
        <x:v>0</x:v>
      </x:c>
      <x:c r="Q178" t="n">
        <x:f>IF(LEFT('分期持仓明细'!$A$97,LEN(K$81)+2)=K$81&amp;" ·",ROW('分期持仓明细'!$A$97),0)</x:f>
        <x:v>0</x:v>
      </x:c>
      <x:c r="R178" t="n">
        <x:f>IF(LEFT('分期持仓明细'!$A$97,LEN(L$81)+2)=L$81&amp;" ·",ROW('分期持仓明细'!$A$97),0)</x:f>
        <x:v>0</x:v>
      </x:c>
    </x:row>
    <x:row r="179">
      <x:c r="M179" t="n">
        <x:f>IF(LEFT('分期持仓明细'!$A$98,LEN(G$81)+2)=G$81&amp;" ·",ROW('分期持仓明细'!$A$98),0)</x:f>
        <x:v>0</x:v>
      </x:c>
      <x:c r="N179" t="n">
        <x:f>IF(LEFT('分期持仓明细'!$A$98,LEN(H$81)+2)=H$81&amp;" ·",ROW('分期持仓明细'!$A$98),0)</x:f>
        <x:v>0</x:v>
      </x:c>
      <x:c r="O179" t="n">
        <x:f>IF(LEFT('分期持仓明细'!$A$98,LEN(I$81)+2)=I$81&amp;" ·",ROW('分期持仓明细'!$A$98),0)</x:f>
        <x:v>0</x:v>
      </x:c>
      <x:c r="P179" t="n">
        <x:f>IF(LEFT('分期持仓明细'!$A$98,LEN(J$81)+2)=J$81&amp;" ·",ROW('分期持仓明细'!$A$98),0)</x:f>
        <x:v>0</x:v>
      </x:c>
      <x:c r="Q179" t="n">
        <x:f>IF(LEFT('分期持仓明细'!$A$98,LEN(K$81)+2)=K$81&amp;" ·",ROW('分期持仓明细'!$A$98),0)</x:f>
        <x:v>0</x:v>
      </x:c>
      <x:c r="R179" t="n">
        <x:f>IF(LEFT('分期持仓明细'!$A$98,LEN(L$81)+2)=L$81&amp;" ·",ROW('分期持仓明细'!$A$98),0)</x:f>
        <x:v>0</x:v>
      </x:c>
    </x:row>
    <x:row r="180">
      <x:c r="M180" t="n">
        <x:f>IF(LEFT('分期持仓明细'!$A$99,LEN(G$81)+2)=G$81&amp;" ·",ROW('分期持仓明细'!$A$99),0)</x:f>
        <x:v>0</x:v>
      </x:c>
      <x:c r="N180" t="n">
        <x:f>IF(LEFT('分期持仓明细'!$A$99,LEN(H$81)+2)=H$81&amp;" ·",ROW('分期持仓明细'!$A$99),0)</x:f>
        <x:v>0</x:v>
      </x:c>
      <x:c r="O180" t="n">
        <x:f>IF(LEFT('分期持仓明细'!$A$99,LEN(I$81)+2)=I$81&amp;" ·",ROW('分期持仓明细'!$A$99),0)</x:f>
        <x:v>0</x:v>
      </x:c>
      <x:c r="P180" t="n">
        <x:f>IF(LEFT('分期持仓明细'!$A$99,LEN(J$81)+2)=J$81&amp;" ·",ROW('分期持仓明细'!$A$99),0)</x:f>
        <x:v>0</x:v>
      </x:c>
      <x:c r="Q180" t="n">
        <x:f>IF(LEFT('分期持仓明细'!$A$99,LEN(K$81)+2)=K$81&amp;" ·",ROW('分期持仓明细'!$A$99),0)</x:f>
        <x:v>0</x:v>
      </x:c>
      <x:c r="R180" t="n">
        <x:f>IF(LEFT('分期持仓明细'!$A$99,LEN(L$81)+2)=L$81&amp;" ·",ROW('分期持仓明细'!$A$99),0)</x:f>
        <x:v>0</x:v>
      </x:c>
    </x:row>
    <x:row r="181">
      <x:c r="M181" t="n">
        <x:f>IF(LEFT('分期持仓明细'!$A$100,LEN(G$81)+2)=G$81&amp;" ·",ROW('分期持仓明细'!$A$100),0)</x:f>
        <x:v>0</x:v>
      </x:c>
      <x:c r="N181" t="n">
        <x:f>IF(LEFT('分期持仓明细'!$A$100,LEN(H$81)+2)=H$81&amp;" ·",ROW('分期持仓明细'!$A$100),0)</x:f>
        <x:v>0</x:v>
      </x:c>
      <x:c r="O181" t="n">
        <x:f>IF(LEFT('分期持仓明细'!$A$100,LEN(I$81)+2)=I$81&amp;" ·",ROW('分期持仓明细'!$A$100),0)</x:f>
        <x:v>0</x:v>
      </x:c>
      <x:c r="P181" t="n">
        <x:f>IF(LEFT('分期持仓明细'!$A$100,LEN(J$81)+2)=J$81&amp;" ·",ROW('分期持仓明细'!$A$100),0)</x:f>
        <x:v>0</x:v>
      </x:c>
      <x:c r="Q181" t="n">
        <x:f>IF(LEFT('分期持仓明细'!$A$100,LEN(K$81)+2)=K$81&amp;" ·",ROW('分期持仓明细'!$A$100),0)</x:f>
        <x:v>0</x:v>
      </x:c>
      <x:c r="R181" t="n">
        <x:f>IF(LEFT('分期持仓明细'!$A$100,LEN(L$81)+2)=L$81&amp;" ·",ROW('分期持仓明细'!$A$100),0)</x:f>
        <x:v>0</x:v>
      </x:c>
    </x:row>
    <x:row r="182">
      <x:c r="M182" t="n">
        <x:f>IF(LEFT('分期持仓明细'!$A$101,LEN(G$81)+2)=G$81&amp;" ·",ROW('分期持仓明细'!$A$101),0)</x:f>
        <x:v>0</x:v>
      </x:c>
      <x:c r="N182" t="n">
        <x:f>IF(LEFT('分期持仓明细'!$A$101,LEN(H$81)+2)=H$81&amp;" ·",ROW('分期持仓明细'!$A$101),0)</x:f>
        <x:v>0</x:v>
      </x:c>
      <x:c r="O182" t="n">
        <x:f>IF(LEFT('分期持仓明细'!$A$101,LEN(I$81)+2)=I$81&amp;" ·",ROW('分期持仓明细'!$A$101),0)</x:f>
        <x:v>0</x:v>
      </x:c>
      <x:c r="P182" t="n">
        <x:f>IF(LEFT('分期持仓明细'!$A$101,LEN(J$81)+2)=J$81&amp;" ·",ROW('分期持仓明细'!$A$101),0)</x:f>
        <x:v>0</x:v>
      </x:c>
      <x:c r="Q182" t="n">
        <x:f>IF(LEFT('分期持仓明细'!$A$101,LEN(K$81)+2)=K$81&amp;" ·",ROW('分期持仓明细'!$A$101),0)</x:f>
        <x:v>0</x:v>
      </x:c>
      <x:c r="R182" t="n">
        <x:f>IF(LEFT('分期持仓明细'!$A$101,LEN(L$81)+2)=L$81&amp;" ·",ROW('分期持仓明细'!$A$101),0)</x:f>
        <x:v>0</x:v>
      </x:c>
    </x:row>
    <x:row r="183">
      <x:c r="M183" t="n">
        <x:f>IF(LEFT('分期持仓明细'!$A$102,LEN(G$81)+2)=G$81&amp;" ·",ROW('分期持仓明细'!$A$102),0)</x:f>
        <x:v>0</x:v>
      </x:c>
      <x:c r="N183" t="n">
        <x:f>IF(LEFT('分期持仓明细'!$A$102,LEN(H$81)+2)=H$81&amp;" ·",ROW('分期持仓明细'!$A$102),0)</x:f>
        <x:v>0</x:v>
      </x:c>
      <x:c r="O183" t="n">
        <x:f>IF(LEFT('分期持仓明细'!$A$102,LEN(I$81)+2)=I$81&amp;" ·",ROW('分期持仓明细'!$A$102),0)</x:f>
        <x:v>0</x:v>
      </x:c>
      <x:c r="P183" t="n">
        <x:f>IF(LEFT('分期持仓明细'!$A$102,LEN(J$81)+2)=J$81&amp;" ·",ROW('分期持仓明细'!$A$102),0)</x:f>
        <x:v>0</x:v>
      </x:c>
      <x:c r="Q183" t="n">
        <x:f>IF(LEFT('分期持仓明细'!$A$102,LEN(K$81)+2)=K$81&amp;" ·",ROW('分期持仓明细'!$A$102),0)</x:f>
        <x:v>0</x:v>
      </x:c>
      <x:c r="R183" t="n">
        <x:f>IF(LEFT('分期持仓明细'!$A$102,LEN(L$81)+2)=L$81&amp;" ·",ROW('分期持仓明细'!$A$102),0)</x:f>
        <x:v>0</x:v>
      </x:c>
    </x:row>
    <x:row r="184">
      <x:c r="M184" t="n">
        <x:f>IF(LEFT('分期持仓明细'!$A$103,LEN(G$81)+2)=G$81&amp;" ·",ROW('分期持仓明细'!$A$103),0)</x:f>
        <x:v>0</x:v>
      </x:c>
      <x:c r="N184" t="n">
        <x:f>IF(LEFT('分期持仓明细'!$A$103,LEN(H$81)+2)=H$81&amp;" ·",ROW('分期持仓明细'!$A$103),0)</x:f>
        <x:v>0</x:v>
      </x:c>
      <x:c r="O184" t="n">
        <x:f>IF(LEFT('分期持仓明细'!$A$103,LEN(I$81)+2)=I$81&amp;" ·",ROW('分期持仓明细'!$A$103),0)</x:f>
        <x:v>0</x:v>
      </x:c>
      <x:c r="P184" t="n">
        <x:f>IF(LEFT('分期持仓明细'!$A$103,LEN(J$81)+2)=J$81&amp;" ·",ROW('分期持仓明细'!$A$103),0)</x:f>
        <x:v>0</x:v>
      </x:c>
      <x:c r="Q184" t="n">
        <x:f>IF(LEFT('分期持仓明细'!$A$103,LEN(K$81)+2)=K$81&amp;" ·",ROW('分期持仓明细'!$A$103),0)</x:f>
        <x:v>0</x:v>
      </x:c>
      <x:c r="R184" t="n">
        <x:f>IF(LEFT('分期持仓明细'!$A$103,LEN(L$81)+2)=L$81&amp;" ·",ROW('分期持仓明细'!$A$103),0)</x:f>
        <x:v>0</x:v>
      </x:c>
    </x:row>
    <x:row r="185">
      <x:c r="M185" t="n">
        <x:f>IF(LEFT('分期持仓明细'!$A$104,LEN(G$81)+2)=G$81&amp;" ·",ROW('分期持仓明细'!$A$104),0)</x:f>
        <x:v>0</x:v>
      </x:c>
      <x:c r="N185" t="n">
        <x:f>IF(LEFT('分期持仓明细'!$A$104,LEN(H$81)+2)=H$81&amp;" ·",ROW('分期持仓明细'!$A$104),0)</x:f>
        <x:v>0</x:v>
      </x:c>
      <x:c r="O185" t="n">
        <x:f>IF(LEFT('分期持仓明细'!$A$104,LEN(I$81)+2)=I$81&amp;" ·",ROW('分期持仓明细'!$A$104),0)</x:f>
        <x:v>0</x:v>
      </x:c>
      <x:c r="P185" t="n">
        <x:f>IF(LEFT('分期持仓明细'!$A$104,LEN(J$81)+2)=J$81&amp;" ·",ROW('分期持仓明细'!$A$104),0)</x:f>
        <x:v>0</x:v>
      </x:c>
      <x:c r="Q185" t="n">
        <x:f>IF(LEFT('分期持仓明细'!$A$104,LEN(K$81)+2)=K$81&amp;" ·",ROW('分期持仓明细'!$A$104),0)</x:f>
        <x:v>0</x:v>
      </x:c>
      <x:c r="R185" t="n">
        <x:f>IF(LEFT('分期持仓明细'!$A$104,LEN(L$81)+2)=L$81&amp;" ·",ROW('分期持仓明细'!$A$104),0)</x:f>
        <x:v>0</x:v>
      </x:c>
    </x:row>
    <x:row r="186">
      <x:c r="M186" t="n">
        <x:f>IF(LEFT('分期持仓明细'!$A$105,LEN(G$81)+2)=G$81&amp;" ·",ROW('分期持仓明细'!$A$105),0)</x:f>
        <x:v>0</x:v>
      </x:c>
      <x:c r="N186" t="n">
        <x:f>IF(LEFT('分期持仓明细'!$A$105,LEN(H$81)+2)=H$81&amp;" ·",ROW('分期持仓明细'!$A$105),0)</x:f>
        <x:v>0</x:v>
      </x:c>
      <x:c r="O186" t="n">
        <x:f>IF(LEFT('分期持仓明细'!$A$105,LEN(I$81)+2)=I$81&amp;" ·",ROW('分期持仓明细'!$A$105),0)</x:f>
        <x:v>0</x:v>
      </x:c>
      <x:c r="P186" t="n">
        <x:f>IF(LEFT('分期持仓明细'!$A$105,LEN(J$81)+2)=J$81&amp;" ·",ROW('分期持仓明细'!$A$105),0)</x:f>
        <x:v>0</x:v>
      </x:c>
      <x:c r="Q186" t="n">
        <x:f>IF(LEFT('分期持仓明细'!$A$105,LEN(K$81)+2)=K$81&amp;" ·",ROW('分期持仓明细'!$A$105),0)</x:f>
        <x:v>0</x:v>
      </x:c>
      <x:c r="R186" t="n">
        <x:f>IF(LEFT('分期持仓明细'!$A$105,LEN(L$81)+2)=L$81&amp;" ·",ROW('分期持仓明细'!$A$105),0)</x:f>
        <x:v>0</x:v>
      </x:c>
    </x:row>
    <x:row r="187">
      <x:c r="M187" t="n">
        <x:f>IF(LEFT('分期持仓明细'!$A$106,LEN(G$81)+2)=G$81&amp;" ·",ROW('分期持仓明细'!$A$106),0)</x:f>
        <x:v>0</x:v>
      </x:c>
      <x:c r="N187" t="n">
        <x:f>IF(LEFT('分期持仓明细'!$A$106,LEN(H$81)+2)=H$81&amp;" ·",ROW('分期持仓明细'!$A$106),0)</x:f>
        <x:v>0</x:v>
      </x:c>
      <x:c r="O187" t="n">
        <x:f>IF(LEFT('分期持仓明细'!$A$106,LEN(I$81)+2)=I$81&amp;" ·",ROW('分期持仓明细'!$A$106),0)</x:f>
        <x:v>0</x:v>
      </x:c>
      <x:c r="P187" t="n">
        <x:f>IF(LEFT('分期持仓明细'!$A$106,LEN(J$81)+2)=J$81&amp;" ·",ROW('分期持仓明细'!$A$106),0)</x:f>
        <x:v>0</x:v>
      </x:c>
      <x:c r="Q187" t="n">
        <x:f>IF(LEFT('分期持仓明细'!$A$106,LEN(K$81)+2)=K$81&amp;" ·",ROW('分期持仓明细'!$A$106),0)</x:f>
        <x:v>0</x:v>
      </x:c>
      <x:c r="R187" t="n">
        <x:f>IF(LEFT('分期持仓明细'!$A$106,LEN(L$81)+2)=L$81&amp;" ·",ROW('分期持仓明细'!$A$106),0)</x:f>
        <x:v>0</x:v>
      </x:c>
    </x:row>
    <x:row r="188">
      <x:c r="M188" t="n">
        <x:f>IF(LEFT('分期持仓明细'!$A$107,LEN(G$81)+2)=G$81&amp;" ·",ROW('分期持仓明细'!$A$107),0)</x:f>
        <x:v>0</x:v>
      </x:c>
      <x:c r="N188" t="n">
        <x:f>IF(LEFT('分期持仓明细'!$A$107,LEN(H$81)+2)=H$81&amp;" ·",ROW('分期持仓明细'!$A$107),0)</x:f>
        <x:v>0</x:v>
      </x:c>
      <x:c r="O188" t="n">
        <x:f>IF(LEFT('分期持仓明细'!$A$107,LEN(I$81)+2)=I$81&amp;" ·",ROW('分期持仓明细'!$A$107),0)</x:f>
        <x:v>0</x:v>
      </x:c>
      <x:c r="P188" t="n">
        <x:f>IF(LEFT('分期持仓明细'!$A$107,LEN(J$81)+2)=J$81&amp;" ·",ROW('分期持仓明细'!$A$107),0)</x:f>
        <x:v>0</x:v>
      </x:c>
      <x:c r="Q188" t="n">
        <x:f>IF(LEFT('分期持仓明细'!$A$107,LEN(K$81)+2)=K$81&amp;" ·",ROW('分期持仓明细'!$A$107),0)</x:f>
        <x:v>0</x:v>
      </x:c>
      <x:c r="R188" t="n">
        <x:f>IF(LEFT('分期持仓明细'!$A$107,LEN(L$81)+2)=L$81&amp;" ·",ROW('分期持仓明细'!$A$107),0)</x:f>
        <x:v>0</x:v>
      </x:c>
    </x:row>
    <x:row r="189">
      <x:c r="M189" t="n">
        <x:f>IF(LEFT('分期持仓明细'!$A$108,LEN(G$81)+2)=G$81&amp;" ·",ROW('分期持仓明细'!$A$108),0)</x:f>
        <x:v>0</x:v>
      </x:c>
      <x:c r="N189" t="n">
        <x:f>IF(LEFT('分期持仓明细'!$A$108,LEN(H$81)+2)=H$81&amp;" ·",ROW('分期持仓明细'!$A$108),0)</x:f>
        <x:v>0</x:v>
      </x:c>
      <x:c r="O189" t="n">
        <x:f>IF(LEFT('分期持仓明细'!$A$108,LEN(I$81)+2)=I$81&amp;" ·",ROW('分期持仓明细'!$A$108),0)</x:f>
        <x:v>0</x:v>
      </x:c>
      <x:c r="P189" t="n">
        <x:f>IF(LEFT('分期持仓明细'!$A$108,LEN(J$81)+2)=J$81&amp;" ·",ROW('分期持仓明细'!$A$108),0)</x:f>
        <x:v>0</x:v>
      </x:c>
      <x:c r="Q189" t="n">
        <x:f>IF(LEFT('分期持仓明细'!$A$108,LEN(K$81)+2)=K$81&amp;" ·",ROW('分期持仓明细'!$A$108),0)</x:f>
        <x:v>0</x:v>
      </x:c>
      <x:c r="R189" t="n">
        <x:f>IF(LEFT('分期持仓明细'!$A$108,LEN(L$81)+2)=L$81&amp;" ·",ROW('分期持仓明细'!$A$108),0)</x:f>
        <x:v>0</x:v>
      </x:c>
    </x:row>
    <x:row r="190">
      <x:c r="M190" t="n">
        <x:f>IF(LEFT('分期持仓明细'!$A$109,LEN(G$81)+2)=G$81&amp;" ·",ROW('分期持仓明细'!$A$109),0)</x:f>
        <x:v>0</x:v>
      </x:c>
      <x:c r="N190" t="n">
        <x:f>IF(LEFT('分期持仓明细'!$A$109,LEN(H$81)+2)=H$81&amp;" ·",ROW('分期持仓明细'!$A$109),0)</x:f>
        <x:v>0</x:v>
      </x:c>
      <x:c r="O190" t="n">
        <x:f>IF(LEFT('分期持仓明细'!$A$109,LEN(I$81)+2)=I$81&amp;" ·",ROW('分期持仓明细'!$A$109),0)</x:f>
        <x:v>0</x:v>
      </x:c>
      <x:c r="P190" t="n">
        <x:f>IF(LEFT('分期持仓明细'!$A$109,LEN(J$81)+2)=J$81&amp;" ·",ROW('分期持仓明细'!$A$109),0)</x:f>
        <x:v>0</x:v>
      </x:c>
      <x:c r="Q190" t="n">
        <x:f>IF(LEFT('分期持仓明细'!$A$109,LEN(K$81)+2)=K$81&amp;" ·",ROW('分期持仓明细'!$A$109),0)</x:f>
        <x:v>0</x:v>
      </x:c>
      <x:c r="R190" t="n">
        <x:f>IF(LEFT('分期持仓明细'!$A$109,LEN(L$81)+2)=L$81&amp;" ·",ROW('分期持仓明细'!$A$109),0)</x:f>
        <x:v>0</x:v>
      </x:c>
    </x:row>
    <x:row r="191">
      <x:c r="M191" t="n">
        <x:f>IF(LEFT('分期持仓明细'!$A$110,LEN(G$81)+2)=G$81&amp;" ·",ROW('分期持仓明细'!$A$110),0)</x:f>
        <x:v>0</x:v>
      </x:c>
      <x:c r="N191" t="n">
        <x:f>IF(LEFT('分期持仓明细'!$A$110,LEN(H$81)+2)=H$81&amp;" ·",ROW('分期持仓明细'!$A$110),0)</x:f>
        <x:v>0</x:v>
      </x:c>
      <x:c r="O191" t="n">
        <x:f>IF(LEFT('分期持仓明细'!$A$110,LEN(I$81)+2)=I$81&amp;" ·",ROW('分期持仓明细'!$A$110),0)</x:f>
        <x:v>0</x:v>
      </x:c>
      <x:c r="P191" t="n">
        <x:f>IF(LEFT('分期持仓明细'!$A$110,LEN(J$81)+2)=J$81&amp;" ·",ROW('分期持仓明细'!$A$110),0)</x:f>
        <x:v>0</x:v>
      </x:c>
      <x:c r="Q191" t="n">
        <x:f>IF(LEFT('分期持仓明细'!$A$110,LEN(K$81)+2)=K$81&amp;" ·",ROW('分期持仓明细'!$A$110),0)</x:f>
        <x:v>0</x:v>
      </x:c>
      <x:c r="R191" t="n">
        <x:f>IF(LEFT('分期持仓明细'!$A$110,LEN(L$81)+2)=L$81&amp;" ·",ROW('分期持仓明细'!$A$110),0)</x:f>
        <x:v>0</x:v>
      </x:c>
    </x:row>
    <x:row r="192">
      <x:c r="M192" t="n">
        <x:f>IF(LEFT('分期持仓明细'!$A$111,LEN(G$81)+2)=G$81&amp;" ·",ROW('分期持仓明细'!$A$111),0)</x:f>
        <x:v>0</x:v>
      </x:c>
      <x:c r="N192" t="n">
        <x:f>IF(LEFT('分期持仓明细'!$A$111,LEN(H$81)+2)=H$81&amp;" ·",ROW('分期持仓明细'!$A$111),0)</x:f>
        <x:v>0</x:v>
      </x:c>
      <x:c r="O192" t="n">
        <x:f>IF(LEFT('分期持仓明细'!$A$111,LEN(I$81)+2)=I$81&amp;" ·",ROW('分期持仓明细'!$A$111),0)</x:f>
        <x:v>0</x:v>
      </x:c>
      <x:c r="P192" t="n">
        <x:f>IF(LEFT('分期持仓明细'!$A$111,LEN(J$81)+2)=J$81&amp;" ·",ROW('分期持仓明细'!$A$111),0)</x:f>
        <x:v>0</x:v>
      </x:c>
      <x:c r="Q192" t="n">
        <x:f>IF(LEFT('分期持仓明细'!$A$111,LEN(K$81)+2)=K$81&amp;" ·",ROW('分期持仓明细'!$A$111),0)</x:f>
        <x:v>0</x:v>
      </x:c>
      <x:c r="R192" t="n">
        <x:f>IF(LEFT('分期持仓明细'!$A$111,LEN(L$81)+2)=L$81&amp;" ·",ROW('分期持仓明细'!$A$111),0)</x:f>
        <x:v>0</x:v>
      </x:c>
    </x:row>
    <x:row r="193">
      <x:c r="M193" t="n">
        <x:f>IF(LEFT('分期持仓明细'!$A$112,LEN(G$81)+2)=G$81&amp;" ·",ROW('分期持仓明细'!$A$112),0)</x:f>
        <x:v>0</x:v>
      </x:c>
      <x:c r="N193" t="n">
        <x:f>IF(LEFT('分期持仓明细'!$A$112,LEN(H$81)+2)=H$81&amp;" ·",ROW('分期持仓明细'!$A$112),0)</x:f>
        <x:v>0</x:v>
      </x:c>
      <x:c r="O193" t="n">
        <x:f>IF(LEFT('分期持仓明细'!$A$112,LEN(I$81)+2)=I$81&amp;" ·",ROW('分期持仓明细'!$A$112),0)</x:f>
        <x:v>0</x:v>
      </x:c>
      <x:c r="P193" t="n">
        <x:f>IF(LEFT('分期持仓明细'!$A$112,LEN(J$81)+2)=J$81&amp;" ·",ROW('分期持仓明细'!$A$112),0)</x:f>
        <x:v>0</x:v>
      </x:c>
      <x:c r="Q193" t="n">
        <x:f>IF(LEFT('分期持仓明细'!$A$112,LEN(K$81)+2)=K$81&amp;" ·",ROW('分期持仓明细'!$A$112),0)</x:f>
        <x:v>0</x:v>
      </x:c>
      <x:c r="R193" t="n">
        <x:f>IF(LEFT('分期持仓明细'!$A$112,LEN(L$81)+2)=L$81&amp;" ·",ROW('分期持仓明细'!$A$112),0)</x:f>
        <x:v>0</x:v>
      </x:c>
    </x:row>
    <x:row r="194">
      <x:c r="M194" t="n">
        <x:f>IF(LEFT('分期持仓明细'!$A$113,LEN(G$81)+2)=G$81&amp;" ·",ROW('分期持仓明细'!$A$113),0)</x:f>
        <x:v>0</x:v>
      </x:c>
      <x:c r="N194" t="n">
        <x:f>IF(LEFT('分期持仓明细'!$A$113,LEN(H$81)+2)=H$81&amp;" ·",ROW('分期持仓明细'!$A$113),0)</x:f>
        <x:v>0</x:v>
      </x:c>
      <x:c r="O194" t="n">
        <x:f>IF(LEFT('分期持仓明细'!$A$113,LEN(I$81)+2)=I$81&amp;" ·",ROW('分期持仓明细'!$A$113),0)</x:f>
        <x:v>0</x:v>
      </x:c>
      <x:c r="P194" t="n">
        <x:f>IF(LEFT('分期持仓明细'!$A$113,LEN(J$81)+2)=J$81&amp;" ·",ROW('分期持仓明细'!$A$113),0)</x:f>
        <x:v>0</x:v>
      </x:c>
      <x:c r="Q194" t="n">
        <x:f>IF(LEFT('分期持仓明细'!$A$113,LEN(K$81)+2)=K$81&amp;" ·",ROW('分期持仓明细'!$A$113),0)</x:f>
        <x:v>0</x:v>
      </x:c>
      <x:c r="R194" t="n">
        <x:f>IF(LEFT('分期持仓明细'!$A$113,LEN(L$81)+2)=L$81&amp;" ·",ROW('分期持仓明细'!$A$113),0)</x:f>
        <x:v>0</x:v>
      </x:c>
    </x:row>
    <x:row r="195">
      <x:c r="M195" t="n">
        <x:f>IF(LEFT('分期持仓明细'!$A$114,LEN(G$81)+2)=G$81&amp;" ·",ROW('分期持仓明细'!$A$114),0)</x:f>
        <x:v>0</x:v>
      </x:c>
      <x:c r="N195" t="n">
        <x:f>IF(LEFT('分期持仓明细'!$A$114,LEN(H$81)+2)=H$81&amp;" ·",ROW('分期持仓明细'!$A$114),0)</x:f>
        <x:v>0</x:v>
      </x:c>
      <x:c r="O195" t="n">
        <x:f>IF(LEFT('分期持仓明细'!$A$114,LEN(I$81)+2)=I$81&amp;" ·",ROW('分期持仓明细'!$A$114),0)</x:f>
        <x:v>0</x:v>
      </x:c>
      <x:c r="P195" t="n">
        <x:f>IF(LEFT('分期持仓明细'!$A$114,LEN(J$81)+2)=J$81&amp;" ·",ROW('分期持仓明细'!$A$114),0)</x:f>
        <x:v>0</x:v>
      </x:c>
      <x:c r="Q195" t="n">
        <x:f>IF(LEFT('分期持仓明细'!$A$114,LEN(K$81)+2)=K$81&amp;" ·",ROW('分期持仓明细'!$A$114),0)</x:f>
        <x:v>0</x:v>
      </x:c>
      <x:c r="R195" t="n">
        <x:f>IF(LEFT('分期持仓明细'!$A$114,LEN(L$81)+2)=L$81&amp;" ·",ROW('分期持仓明细'!$A$114),0)</x:f>
        <x:v>0</x:v>
      </x:c>
    </x:row>
    <x:row r="196">
      <x:c r="M196" t="n">
        <x:f>IF(LEFT('分期持仓明细'!$A$115,LEN(G$81)+2)=G$81&amp;" ·",ROW('分期持仓明细'!$A$115),0)</x:f>
        <x:v>0</x:v>
      </x:c>
      <x:c r="N196" t="n">
        <x:f>IF(LEFT('分期持仓明细'!$A$115,LEN(H$81)+2)=H$81&amp;" ·",ROW('分期持仓明细'!$A$115),0)</x:f>
        <x:v>0</x:v>
      </x:c>
      <x:c r="O196" t="n">
        <x:f>IF(LEFT('分期持仓明细'!$A$115,LEN(I$81)+2)=I$81&amp;" ·",ROW('分期持仓明细'!$A$115),0)</x:f>
        <x:v>0</x:v>
      </x:c>
      <x:c r="P196" t="n">
        <x:f>IF(LEFT('分期持仓明细'!$A$115,LEN(J$81)+2)=J$81&amp;" ·",ROW('分期持仓明细'!$A$115),0)</x:f>
        <x:v>0</x:v>
      </x:c>
      <x:c r="Q196" t="n">
        <x:f>IF(LEFT('分期持仓明细'!$A$115,LEN(K$81)+2)=K$81&amp;" ·",ROW('分期持仓明细'!$A$115),0)</x:f>
        <x:v>0</x:v>
      </x:c>
      <x:c r="R196" t="n">
        <x:f>IF(LEFT('分期持仓明细'!$A$115,LEN(L$81)+2)=L$81&amp;" ·",ROW('分期持仓明细'!$A$115),0)</x:f>
        <x:v>0</x:v>
      </x:c>
    </x:row>
    <x:row r="197">
      <x:c r="M197" t="n">
        <x:f>IF(LEFT('分期持仓明细'!$A$116,LEN(G$81)+2)=G$81&amp;" ·",ROW('分期持仓明细'!$A$116),0)</x:f>
        <x:v>0</x:v>
      </x:c>
      <x:c r="N197" t="n">
        <x:f>IF(LEFT('分期持仓明细'!$A$116,LEN(H$81)+2)=H$81&amp;" ·",ROW('分期持仓明细'!$A$116),0)</x:f>
        <x:v>0</x:v>
      </x:c>
      <x:c r="O197" t="n">
        <x:f>IF(LEFT('分期持仓明细'!$A$116,LEN(I$81)+2)=I$81&amp;" ·",ROW('分期持仓明细'!$A$116),0)</x:f>
        <x:v>0</x:v>
      </x:c>
      <x:c r="P197" t="n">
        <x:f>IF(LEFT('分期持仓明细'!$A$116,LEN(J$81)+2)=J$81&amp;" ·",ROW('分期持仓明细'!$A$116),0)</x:f>
        <x:v>0</x:v>
      </x:c>
      <x:c r="Q197" t="n">
        <x:f>IF(LEFT('分期持仓明细'!$A$116,LEN(K$81)+2)=K$81&amp;" ·",ROW('分期持仓明细'!$A$116),0)</x:f>
        <x:v>0</x:v>
      </x:c>
      <x:c r="R197" t="n">
        <x:f>IF(LEFT('分期持仓明细'!$A$116,LEN(L$81)+2)=L$81&amp;" ·",ROW('分期持仓明细'!$A$116),0)</x:f>
        <x:v>0</x:v>
      </x:c>
    </x:row>
    <x:row r="198">
      <x:c r="M198" t="n">
        <x:f>IF(LEFT('分期持仓明细'!$A$117,LEN(G$81)+2)=G$81&amp;" ·",ROW('分期持仓明细'!$A$117),0)</x:f>
        <x:v>0</x:v>
      </x:c>
      <x:c r="N198" t="n">
        <x:f>IF(LEFT('分期持仓明细'!$A$117,LEN(H$81)+2)=H$81&amp;" ·",ROW('分期持仓明细'!$A$117),0)</x:f>
        <x:v>0</x:v>
      </x:c>
      <x:c r="O198" t="n">
        <x:f>IF(LEFT('分期持仓明细'!$A$117,LEN(I$81)+2)=I$81&amp;" ·",ROW('分期持仓明细'!$A$117),0)</x:f>
        <x:v>0</x:v>
      </x:c>
      <x:c r="P198" t="n">
        <x:f>IF(LEFT('分期持仓明细'!$A$117,LEN(J$81)+2)=J$81&amp;" ·",ROW('分期持仓明细'!$A$117),0)</x:f>
        <x:v>0</x:v>
      </x:c>
      <x:c r="Q198" t="n">
        <x:f>IF(LEFT('分期持仓明细'!$A$117,LEN(K$81)+2)=K$81&amp;" ·",ROW('分期持仓明细'!$A$117),0)</x:f>
        <x:v>0</x:v>
      </x:c>
      <x:c r="R198" t="n">
        <x:f>IF(LEFT('分期持仓明细'!$A$117,LEN(L$81)+2)=L$81&amp;" ·",ROW('分期持仓明细'!$A$117),0)</x:f>
        <x:v>0</x:v>
      </x:c>
    </x:row>
    <x:row r="199">
      <x:c r="M199" t="n">
        <x:f>IF(LEFT('分期持仓明细'!$A$118,LEN(G$81)+2)=G$81&amp;" ·",ROW('分期持仓明细'!$A$118),0)</x:f>
        <x:v>0</x:v>
      </x:c>
      <x:c r="N199" t="n">
        <x:f>IF(LEFT('分期持仓明细'!$A$118,LEN(H$81)+2)=H$81&amp;" ·",ROW('分期持仓明细'!$A$118),0)</x:f>
        <x:v>0</x:v>
      </x:c>
      <x:c r="O199" t="n">
        <x:f>IF(LEFT('分期持仓明细'!$A$118,LEN(I$81)+2)=I$81&amp;" ·",ROW('分期持仓明细'!$A$118),0)</x:f>
        <x:v>0</x:v>
      </x:c>
      <x:c r="P199" t="n">
        <x:f>IF(LEFT('分期持仓明细'!$A$118,LEN(J$81)+2)=J$81&amp;" ·",ROW('分期持仓明细'!$A$118),0)</x:f>
        <x:v>0</x:v>
      </x:c>
      <x:c r="Q199" t="n">
        <x:f>IF(LEFT('分期持仓明细'!$A$118,LEN(K$81)+2)=K$81&amp;" ·",ROW('分期持仓明细'!$A$118),0)</x:f>
        <x:v>0</x:v>
      </x:c>
      <x:c r="R199" t="n">
        <x:f>IF(LEFT('分期持仓明细'!$A$118,LEN(L$81)+2)=L$81&amp;" ·",ROW('分期持仓明细'!$A$118),0)</x:f>
        <x:v>0</x:v>
      </x:c>
    </x:row>
    <x:row r="200">
      <x:c r="M200" t="n">
        <x:f>IF(LEFT('分期持仓明细'!$A$119,LEN(G$81)+2)=G$81&amp;" ·",ROW('分期持仓明细'!$A$119),0)</x:f>
        <x:v>0</x:v>
      </x:c>
      <x:c r="N200" t="n">
        <x:f>IF(LEFT('分期持仓明细'!$A$119,LEN(H$81)+2)=H$81&amp;" ·",ROW('分期持仓明细'!$A$119),0)</x:f>
        <x:v>0</x:v>
      </x:c>
      <x:c r="O200" t="n">
        <x:f>IF(LEFT('分期持仓明细'!$A$119,LEN(I$81)+2)=I$81&amp;" ·",ROW('分期持仓明细'!$A$119),0)</x:f>
        <x:v>0</x:v>
      </x:c>
      <x:c r="P200" t="n">
        <x:f>IF(LEFT('分期持仓明细'!$A$119,LEN(J$81)+2)=J$81&amp;" ·",ROW('分期持仓明细'!$A$119),0)</x:f>
        <x:v>0</x:v>
      </x:c>
      <x:c r="Q200" t="n">
        <x:f>IF(LEFT('分期持仓明细'!$A$119,LEN(K$81)+2)=K$81&amp;" ·",ROW('分期持仓明细'!$A$119),0)</x:f>
        <x:v>0</x:v>
      </x:c>
      <x:c r="R200" t="n">
        <x:f>IF(LEFT('分期持仓明细'!$A$119,LEN(L$81)+2)=L$81&amp;" ·",ROW('分期持仓明细'!$A$119),0)</x:f>
        <x:v>0</x:v>
      </x:c>
    </x:row>
    <x:row r="201">
      <x:c r="M201" t="n">
        <x:f>IF(LEFT('分期持仓明细'!$A$120,LEN(G$81)+2)=G$81&amp;" ·",ROW('分期持仓明细'!$A$120),0)</x:f>
        <x:v>0</x:v>
      </x:c>
      <x:c r="N201" t="n">
        <x:f>IF(LEFT('分期持仓明细'!$A$120,LEN(H$81)+2)=H$81&amp;" ·",ROW('分期持仓明细'!$A$120),0)</x:f>
        <x:v>0</x:v>
      </x:c>
      <x:c r="O201" t="n">
        <x:f>IF(LEFT('分期持仓明细'!$A$120,LEN(I$81)+2)=I$81&amp;" ·",ROW('分期持仓明细'!$A$120),0)</x:f>
        <x:v>0</x:v>
      </x:c>
      <x:c r="P201" t="n">
        <x:f>IF(LEFT('分期持仓明细'!$A$120,LEN(J$81)+2)=J$81&amp;" ·",ROW('分期持仓明细'!$A$120),0)</x:f>
        <x:v>0</x:v>
      </x:c>
      <x:c r="Q201" t="n">
        <x:f>IF(LEFT('分期持仓明细'!$A$120,LEN(K$81)+2)=K$81&amp;" ·",ROW('分期持仓明细'!$A$120),0)</x:f>
        <x:v>0</x:v>
      </x:c>
      <x:c r="R201" t="n">
        <x:f>IF(LEFT('分期持仓明细'!$A$120,LEN(L$81)+2)=L$81&amp;" ·",ROW('分期持仓明细'!$A$120),0)</x:f>
        <x:v>0</x:v>
      </x:c>
    </x:row>
    <x:row r="202">
      <x:c r="M202" t="n">
        <x:f>IF(LEFT('分期持仓明细'!$A$121,LEN(G$81)+2)=G$81&amp;" ·",ROW('分期持仓明细'!$A$121),0)</x:f>
        <x:v>0</x:v>
      </x:c>
      <x:c r="N202" t="n">
        <x:f>IF(LEFT('分期持仓明细'!$A$121,LEN(H$81)+2)=H$81&amp;" ·",ROW('分期持仓明细'!$A$121),0)</x:f>
        <x:v>0</x:v>
      </x:c>
      <x:c r="O202" t="n">
        <x:f>IF(LEFT('分期持仓明细'!$A$121,LEN(I$81)+2)=I$81&amp;" ·",ROW('分期持仓明细'!$A$121),0)</x:f>
        <x:v>0</x:v>
      </x:c>
      <x:c r="P202" t="n">
        <x:f>IF(LEFT('分期持仓明细'!$A$121,LEN(J$81)+2)=J$81&amp;" ·",ROW('分期持仓明细'!$A$121),0)</x:f>
        <x:v>0</x:v>
      </x:c>
      <x:c r="Q202" t="n">
        <x:f>IF(LEFT('分期持仓明细'!$A$121,LEN(K$81)+2)=K$81&amp;" ·",ROW('分期持仓明细'!$A$121),0)</x:f>
        <x:v>0</x:v>
      </x:c>
      <x:c r="R202" t="n">
        <x:f>IF(LEFT('分期持仓明细'!$A$121,LEN(L$81)+2)=L$81&amp;" ·",ROW('分期持仓明细'!$A$121),0)</x:f>
        <x:v>0</x:v>
      </x:c>
    </x:row>
    <x:row r="203">
      <x:c r="M203" t="n">
        <x:f>IF(LEFT('分期持仓明细'!$A$122,LEN(G$81)+2)=G$81&amp;" ·",ROW('分期持仓明细'!$A$122),0)</x:f>
        <x:v>0</x:v>
      </x:c>
      <x:c r="N203" t="n">
        <x:f>IF(LEFT('分期持仓明细'!$A$122,LEN(H$81)+2)=H$81&amp;" ·",ROW('分期持仓明细'!$A$122),0)</x:f>
        <x:v>0</x:v>
      </x:c>
      <x:c r="O203" t="n">
        <x:f>IF(LEFT('分期持仓明细'!$A$122,LEN(I$81)+2)=I$81&amp;" ·",ROW('分期持仓明细'!$A$122),0)</x:f>
        <x:v>0</x:v>
      </x:c>
      <x:c r="P203" t="n">
        <x:f>IF(LEFT('分期持仓明细'!$A$122,LEN(J$81)+2)=J$81&amp;" ·",ROW('分期持仓明细'!$A$122),0)</x:f>
        <x:v>0</x:v>
      </x:c>
      <x:c r="Q203" t="n">
        <x:f>IF(LEFT('分期持仓明细'!$A$122,LEN(K$81)+2)=K$81&amp;" ·",ROW('分期持仓明细'!$A$122),0)</x:f>
        <x:v>0</x:v>
      </x:c>
      <x:c r="R203" t="n">
        <x:f>IF(LEFT('分期持仓明细'!$A$122,LEN(L$81)+2)=L$81&amp;" ·",ROW('分期持仓明细'!$A$122),0)</x:f>
        <x:v>0</x:v>
      </x:c>
    </x:row>
    <x:row r="204">
      <x:c r="M204" t="n">
        <x:f>IF(LEFT('分期持仓明细'!$A$123,LEN(G$81)+2)=G$81&amp;" ·",ROW('分期持仓明细'!$A$123),0)</x:f>
        <x:v>0</x:v>
      </x:c>
      <x:c r="N204" t="n">
        <x:f>IF(LEFT('分期持仓明细'!$A$123,LEN(H$81)+2)=H$81&amp;" ·",ROW('分期持仓明细'!$A$123),0)</x:f>
        <x:v>0</x:v>
      </x:c>
      <x:c r="O204" t="n">
        <x:f>IF(LEFT('分期持仓明细'!$A$123,LEN(I$81)+2)=I$81&amp;" ·",ROW('分期持仓明细'!$A$123),0)</x:f>
        <x:v>0</x:v>
      </x:c>
      <x:c r="P204" t="n">
        <x:f>IF(LEFT('分期持仓明细'!$A$123,LEN(J$81)+2)=J$81&amp;" ·",ROW('分期持仓明细'!$A$123),0)</x:f>
        <x:v>0</x:v>
      </x:c>
      <x:c r="Q204" t="n">
        <x:f>IF(LEFT('分期持仓明细'!$A$123,LEN(K$81)+2)=K$81&amp;" ·",ROW('分期持仓明细'!$A$123),0)</x:f>
        <x:v>0</x:v>
      </x:c>
      <x:c r="R204" t="n">
        <x:f>IF(LEFT('分期持仓明细'!$A$123,LEN(L$81)+2)=L$81&amp;" ·",ROW('分期持仓明细'!$A$123),0)</x:f>
        <x:v>0</x:v>
      </x:c>
    </x:row>
    <x:row r="205">
      <x:c r="M205" t="n">
        <x:f>IF(LEFT('分期持仓明细'!$A$124,LEN(G$81)+2)=G$81&amp;" ·",ROW('分期持仓明细'!$A$124),0)</x:f>
        <x:v>0</x:v>
      </x:c>
      <x:c r="N205" t="n">
        <x:f>IF(LEFT('分期持仓明细'!$A$124,LEN(H$81)+2)=H$81&amp;" ·",ROW('分期持仓明细'!$A$124),0)</x:f>
        <x:v>0</x:v>
      </x:c>
      <x:c r="O205" t="n">
        <x:f>IF(LEFT('分期持仓明细'!$A$124,LEN(I$81)+2)=I$81&amp;" ·",ROW('分期持仓明细'!$A$124),0)</x:f>
        <x:v>0</x:v>
      </x:c>
      <x:c r="P205" t="n">
        <x:f>IF(LEFT('分期持仓明细'!$A$124,LEN(J$81)+2)=J$81&amp;" ·",ROW('分期持仓明细'!$A$124),0)</x:f>
        <x:v>0</x:v>
      </x:c>
      <x:c r="Q205" t="n">
        <x:f>IF(LEFT('分期持仓明细'!$A$124,LEN(K$81)+2)=K$81&amp;" ·",ROW('分期持仓明细'!$A$124),0)</x:f>
        <x:v>0</x:v>
      </x:c>
      <x:c r="R205" t="n">
        <x:f>IF(LEFT('分期持仓明细'!$A$124,LEN(L$81)+2)=L$81&amp;" ·",ROW('分期持仓明细'!$A$124),0)</x:f>
        <x:v>0</x:v>
      </x:c>
    </x:row>
    <x:row r="206">
      <x:c r="M206" t="n">
        <x:f>IF(LEFT('分期持仓明细'!$A$125,LEN(G$81)+2)=G$81&amp;" ·",ROW('分期持仓明细'!$A$125),0)</x:f>
        <x:v>0</x:v>
      </x:c>
      <x:c r="N206" t="n">
        <x:f>IF(LEFT('分期持仓明细'!$A$125,LEN(H$81)+2)=H$81&amp;" ·",ROW('分期持仓明细'!$A$125),0)</x:f>
        <x:v>0</x:v>
      </x:c>
      <x:c r="O206" t="n">
        <x:f>IF(LEFT('分期持仓明细'!$A$125,LEN(I$81)+2)=I$81&amp;" ·",ROW('分期持仓明细'!$A$125),0)</x:f>
        <x:v>0</x:v>
      </x:c>
      <x:c r="P206" t="n">
        <x:f>IF(LEFT('分期持仓明细'!$A$125,LEN(J$81)+2)=J$81&amp;" ·",ROW('分期持仓明细'!$A$125),0)</x:f>
        <x:v>0</x:v>
      </x:c>
      <x:c r="Q206" t="n">
        <x:f>IF(LEFT('分期持仓明细'!$A$125,LEN(K$81)+2)=K$81&amp;" ·",ROW('分期持仓明细'!$A$125),0)</x:f>
        <x:v>0</x:v>
      </x:c>
      <x:c r="R206" t="n">
        <x:f>IF(LEFT('分期持仓明细'!$A$125,LEN(L$81)+2)=L$81&amp;" ·",ROW('分期持仓明细'!$A$125),0)</x:f>
        <x:v>0</x:v>
      </x:c>
    </x:row>
    <x:row r="207">
      <x:c r="M207" t="n">
        <x:f>IF(LEFT('分期持仓明细'!$A$126,LEN(G$81)+2)=G$81&amp;" ·",ROW('分期持仓明细'!$A$126),0)</x:f>
        <x:v>0</x:v>
      </x:c>
      <x:c r="N207" t="n">
        <x:f>IF(LEFT('分期持仓明细'!$A$126,LEN(H$81)+2)=H$81&amp;" ·",ROW('分期持仓明细'!$A$126),0)</x:f>
        <x:v>0</x:v>
      </x:c>
      <x:c r="O207" t="n">
        <x:f>IF(LEFT('分期持仓明细'!$A$126,LEN(I$81)+2)=I$81&amp;" ·",ROW('分期持仓明细'!$A$126),0)</x:f>
        <x:v>0</x:v>
      </x:c>
      <x:c r="P207" t="n">
        <x:f>IF(LEFT('分期持仓明细'!$A$126,LEN(J$81)+2)=J$81&amp;" ·",ROW('分期持仓明细'!$A$126),0)</x:f>
        <x:v>0</x:v>
      </x:c>
      <x:c r="Q207" t="n">
        <x:f>IF(LEFT('分期持仓明细'!$A$126,LEN(K$81)+2)=K$81&amp;" ·",ROW('分期持仓明细'!$A$126),0)</x:f>
        <x:v>0</x:v>
      </x:c>
      <x:c r="R207" t="n">
        <x:f>IF(LEFT('分期持仓明细'!$A$126,LEN(L$81)+2)=L$81&amp;" ·",ROW('分期持仓明细'!$A$126),0)</x:f>
        <x:v>0</x:v>
      </x:c>
    </x:row>
    <x:row r="208">
      <x:c r="M208" t="n">
        <x:f>IF(LEFT('分期持仓明细'!$A$127,LEN(G$81)+2)=G$81&amp;" ·",ROW('分期持仓明细'!$A$127),0)</x:f>
        <x:v>0</x:v>
      </x:c>
      <x:c r="N208" t="n">
        <x:f>IF(LEFT('分期持仓明细'!$A$127,LEN(H$81)+2)=H$81&amp;" ·",ROW('分期持仓明细'!$A$127),0)</x:f>
        <x:v>0</x:v>
      </x:c>
      <x:c r="O208" t="n">
        <x:f>IF(LEFT('分期持仓明细'!$A$127,LEN(I$81)+2)=I$81&amp;" ·",ROW('分期持仓明细'!$A$127),0)</x:f>
        <x:v>0</x:v>
      </x:c>
      <x:c r="P208" t="n">
        <x:f>IF(LEFT('分期持仓明细'!$A$127,LEN(J$81)+2)=J$81&amp;" ·",ROW('分期持仓明细'!$A$127),0)</x:f>
        <x:v>0</x:v>
      </x:c>
      <x:c r="Q208" t="n">
        <x:f>IF(LEFT('分期持仓明细'!$A$127,LEN(K$81)+2)=K$81&amp;" ·",ROW('分期持仓明细'!$A$127),0)</x:f>
        <x:v>0</x:v>
      </x:c>
      <x:c r="R208" t="n">
        <x:f>IF(LEFT('分期持仓明细'!$A$127,LEN(L$81)+2)=L$81&amp;" ·",ROW('分期持仓明细'!$A$127),0)</x:f>
        <x:v>0</x:v>
      </x:c>
    </x:row>
    <x:row r="209">
      <x:c r="M209" t="n">
        <x:f>IF(LEFT('分期持仓明细'!$A$128,LEN(G$81)+2)=G$81&amp;" ·",ROW('分期持仓明细'!$A$128),0)</x:f>
        <x:v>0</x:v>
      </x:c>
      <x:c r="N209" t="n">
        <x:f>IF(LEFT('分期持仓明细'!$A$128,LEN(H$81)+2)=H$81&amp;" ·",ROW('分期持仓明细'!$A$128),0)</x:f>
        <x:v>0</x:v>
      </x:c>
      <x:c r="O209" t="n">
        <x:f>IF(LEFT('分期持仓明细'!$A$128,LEN(I$81)+2)=I$81&amp;" ·",ROW('分期持仓明细'!$A$128),0)</x:f>
        <x:v>0</x:v>
      </x:c>
      <x:c r="P209" t="n">
        <x:f>IF(LEFT('分期持仓明细'!$A$128,LEN(J$81)+2)=J$81&amp;" ·",ROW('分期持仓明细'!$A$128),0)</x:f>
        <x:v>0</x:v>
      </x:c>
      <x:c r="Q209" t="n">
        <x:f>IF(LEFT('分期持仓明细'!$A$128,LEN(K$81)+2)=K$81&amp;" ·",ROW('分期持仓明细'!$A$128),0)</x:f>
        <x:v>0</x:v>
      </x:c>
      <x:c r="R209" t="n">
        <x:f>IF(LEFT('分期持仓明细'!$A$128,LEN(L$81)+2)=L$81&amp;" ·",ROW('分期持仓明细'!$A$128),0)</x:f>
        <x:v>0</x:v>
      </x:c>
    </x:row>
    <x:row r="210">
      <x:c r="M210" t="n">
        <x:f>IF(LEFT('分期持仓明细'!$A$129,LEN(G$81)+2)=G$81&amp;" ·",ROW('分期持仓明细'!$A$129),0)</x:f>
        <x:v>0</x:v>
      </x:c>
      <x:c r="N210" t="n">
        <x:f>IF(LEFT('分期持仓明细'!$A$129,LEN(H$81)+2)=H$81&amp;" ·",ROW('分期持仓明细'!$A$129),0)</x:f>
        <x:v>0</x:v>
      </x:c>
      <x:c r="O210" t="n">
        <x:f>IF(LEFT('分期持仓明细'!$A$129,LEN(I$81)+2)=I$81&amp;" ·",ROW('分期持仓明细'!$A$129),0)</x:f>
        <x:v>0</x:v>
      </x:c>
      <x:c r="P210" t="n">
        <x:f>IF(LEFT('分期持仓明细'!$A$129,LEN(J$81)+2)=J$81&amp;" ·",ROW('分期持仓明细'!$A$129),0)</x:f>
        <x:v>0</x:v>
      </x:c>
      <x:c r="Q210" t="n">
        <x:f>IF(LEFT('分期持仓明细'!$A$129,LEN(K$81)+2)=K$81&amp;" ·",ROW('分期持仓明细'!$A$129),0)</x:f>
        <x:v>0</x:v>
      </x:c>
      <x:c r="R210" t="n">
        <x:f>IF(LEFT('分期持仓明细'!$A$129,LEN(L$81)+2)=L$81&amp;" ·",ROW('分期持仓明细'!$A$129),0)</x:f>
        <x:v>0</x:v>
      </x:c>
    </x:row>
    <x:row r="211">
      <x:c r="M211" t="n">
        <x:f>IF(LEFT('分期持仓明细'!$A$130,LEN(G$81)+2)=G$81&amp;" ·",ROW('分期持仓明细'!$A$130),0)</x:f>
        <x:v>0</x:v>
      </x:c>
      <x:c r="N211" t="n">
        <x:f>IF(LEFT('分期持仓明细'!$A$130,LEN(H$81)+2)=H$81&amp;" ·",ROW('分期持仓明细'!$A$130),0)</x:f>
        <x:v>0</x:v>
      </x:c>
      <x:c r="O211" t="n">
        <x:f>IF(LEFT('分期持仓明细'!$A$130,LEN(I$81)+2)=I$81&amp;" ·",ROW('分期持仓明细'!$A$130),0)</x:f>
        <x:v>0</x:v>
      </x:c>
      <x:c r="P211" t="n">
        <x:f>IF(LEFT('分期持仓明细'!$A$130,LEN(J$81)+2)=J$81&amp;" ·",ROW('分期持仓明细'!$A$130),0)</x:f>
        <x:v>0</x:v>
      </x:c>
      <x:c r="Q211" t="n">
        <x:f>IF(LEFT('分期持仓明细'!$A$130,LEN(K$81)+2)=K$81&amp;" ·",ROW('分期持仓明细'!$A$130),0)</x:f>
        <x:v>0</x:v>
      </x:c>
      <x:c r="R211" t="n">
        <x:f>IF(LEFT('分期持仓明细'!$A$130,LEN(L$81)+2)=L$81&amp;" ·",ROW('分期持仓明细'!$A$130),0)</x:f>
        <x:v>0</x:v>
      </x:c>
    </x:row>
    <x:row r="212">
      <x:c r="M212" t="n">
        <x:f>IF(LEFT('分期持仓明细'!$A$131,LEN(G$81)+2)=G$81&amp;" ·",ROW('分期持仓明细'!$A$131),0)</x:f>
        <x:v>0</x:v>
      </x:c>
      <x:c r="N212" t="n">
        <x:f>IF(LEFT('分期持仓明细'!$A$131,LEN(H$81)+2)=H$81&amp;" ·",ROW('分期持仓明细'!$A$131),0)</x:f>
        <x:v>0</x:v>
      </x:c>
      <x:c r="O212" t="n">
        <x:f>IF(LEFT('分期持仓明细'!$A$131,LEN(I$81)+2)=I$81&amp;" ·",ROW('分期持仓明细'!$A$131),0)</x:f>
        <x:v>0</x:v>
      </x:c>
      <x:c r="P212" t="n">
        <x:f>IF(LEFT('分期持仓明细'!$A$131,LEN(J$81)+2)=J$81&amp;" ·",ROW('分期持仓明细'!$A$131),0)</x:f>
        <x:v>0</x:v>
      </x:c>
      <x:c r="Q212" t="n">
        <x:f>IF(LEFT('分期持仓明细'!$A$131,LEN(K$81)+2)=K$81&amp;" ·",ROW('分期持仓明细'!$A$131),0)</x:f>
        <x:v>0</x:v>
      </x:c>
      <x:c r="R212" t="n">
        <x:f>IF(LEFT('分期持仓明细'!$A$131,LEN(L$81)+2)=L$81&amp;" ·",ROW('分期持仓明细'!$A$131),0)</x:f>
        <x:v>0</x:v>
      </x:c>
    </x:row>
    <x:row r="213">
      <x:c r="M213" t="n">
        <x:f>IF(LEFT('分期持仓明细'!$A$132,LEN(G$81)+2)=G$81&amp;" ·",ROW('分期持仓明细'!$A$132),0)</x:f>
        <x:v>0</x:v>
      </x:c>
      <x:c r="N213" t="n">
        <x:f>IF(LEFT('分期持仓明细'!$A$132,LEN(H$81)+2)=H$81&amp;" ·",ROW('分期持仓明细'!$A$132),0)</x:f>
        <x:v>0</x:v>
      </x:c>
      <x:c r="O213" t="n">
        <x:f>IF(LEFT('分期持仓明细'!$A$132,LEN(I$81)+2)=I$81&amp;" ·",ROW('分期持仓明细'!$A$132),0)</x:f>
        <x:v>0</x:v>
      </x:c>
      <x:c r="P213" t="n">
        <x:f>IF(LEFT('分期持仓明细'!$A$132,LEN(J$81)+2)=J$81&amp;" ·",ROW('分期持仓明细'!$A$132),0)</x:f>
        <x:v>0</x:v>
      </x:c>
      <x:c r="Q213" t="n">
        <x:f>IF(LEFT('分期持仓明细'!$A$132,LEN(K$81)+2)=K$81&amp;" ·",ROW('分期持仓明细'!$A$132),0)</x:f>
        <x:v>0</x:v>
      </x:c>
      <x:c r="R213" t="n">
        <x:f>IF(LEFT('分期持仓明细'!$A$132,LEN(L$81)+2)=L$81&amp;" ·",ROW('分期持仓明细'!$A$132),0)</x:f>
        <x:v>0</x:v>
      </x:c>
    </x:row>
    <x:row r="214">
      <x:c r="M214" t="n">
        <x:f>IF(LEFT('分期持仓明细'!$A$133,LEN(G$81)+2)=G$81&amp;" ·",ROW('分期持仓明细'!$A$133),0)</x:f>
        <x:v>0</x:v>
      </x:c>
      <x:c r="N214" t="n">
        <x:f>IF(LEFT('分期持仓明细'!$A$133,LEN(H$81)+2)=H$81&amp;" ·",ROW('分期持仓明细'!$A$133),0)</x:f>
        <x:v>0</x:v>
      </x:c>
      <x:c r="O214" t="n">
        <x:f>IF(LEFT('分期持仓明细'!$A$133,LEN(I$81)+2)=I$81&amp;" ·",ROW('分期持仓明细'!$A$133),0)</x:f>
        <x:v>0</x:v>
      </x:c>
      <x:c r="P214" t="n">
        <x:f>IF(LEFT('分期持仓明细'!$A$133,LEN(J$81)+2)=J$81&amp;" ·",ROW('分期持仓明细'!$A$133),0)</x:f>
        <x:v>0</x:v>
      </x:c>
      <x:c r="Q214" t="n">
        <x:f>IF(LEFT('分期持仓明细'!$A$133,LEN(K$81)+2)=K$81&amp;" ·",ROW('分期持仓明细'!$A$133),0)</x:f>
        <x:v>0</x:v>
      </x:c>
      <x:c r="R214" t="n">
        <x:f>IF(LEFT('分期持仓明细'!$A$133,LEN(L$81)+2)=L$81&amp;" ·",ROW('分期持仓明细'!$A$133),0)</x:f>
        <x:v>0</x:v>
      </x:c>
    </x:row>
    <x:row r="215">
      <x:c r="M215" t="n">
        <x:f>IF(LEFT('分期持仓明细'!$A$134,LEN(G$81)+2)=G$81&amp;" ·",ROW('分期持仓明细'!$A$134),0)</x:f>
        <x:v>0</x:v>
      </x:c>
      <x:c r="N215" t="n">
        <x:f>IF(LEFT('分期持仓明细'!$A$134,LEN(H$81)+2)=H$81&amp;" ·",ROW('分期持仓明细'!$A$134),0)</x:f>
        <x:v>0</x:v>
      </x:c>
      <x:c r="O215" t="n">
        <x:f>IF(LEFT('分期持仓明细'!$A$134,LEN(I$81)+2)=I$81&amp;" ·",ROW('分期持仓明细'!$A$134),0)</x:f>
        <x:v>0</x:v>
      </x:c>
      <x:c r="P215" t="n">
        <x:f>IF(LEFT('分期持仓明细'!$A$134,LEN(J$81)+2)=J$81&amp;" ·",ROW('分期持仓明细'!$A$134),0)</x:f>
        <x:v>0</x:v>
      </x:c>
      <x:c r="Q215" t="n">
        <x:f>IF(LEFT('分期持仓明细'!$A$134,LEN(K$81)+2)=K$81&amp;" ·",ROW('分期持仓明细'!$A$134),0)</x:f>
        <x:v>0</x:v>
      </x:c>
      <x:c r="R215" t="n">
        <x:f>IF(LEFT('分期持仓明细'!$A$134,LEN(L$81)+2)=L$81&amp;" ·",ROW('分期持仓明细'!$A$134),0)</x:f>
        <x:v>0</x:v>
      </x:c>
    </x:row>
    <x:row r="216">
      <x:c r="M216" t="n">
        <x:f>IF(LEFT('分期持仓明细'!$A$135,LEN(G$81)+2)=G$81&amp;" ·",ROW('分期持仓明细'!$A$135),0)</x:f>
        <x:v>0</x:v>
      </x:c>
      <x:c r="N216" t="n">
        <x:f>IF(LEFT('分期持仓明细'!$A$135,LEN(H$81)+2)=H$81&amp;" ·",ROW('分期持仓明细'!$A$135),0)</x:f>
        <x:v>0</x:v>
      </x:c>
      <x:c r="O216" t="n">
        <x:f>IF(LEFT('分期持仓明细'!$A$135,LEN(I$81)+2)=I$81&amp;" ·",ROW('分期持仓明细'!$A$135),0)</x:f>
        <x:v>0</x:v>
      </x:c>
      <x:c r="P216" t="n">
        <x:f>IF(LEFT('分期持仓明细'!$A$135,LEN(J$81)+2)=J$81&amp;" ·",ROW('分期持仓明细'!$A$135),0)</x:f>
        <x:v>0</x:v>
      </x:c>
      <x:c r="Q216" t="n">
        <x:f>IF(LEFT('分期持仓明细'!$A$135,LEN(K$81)+2)=K$81&amp;" ·",ROW('分期持仓明细'!$A$135),0)</x:f>
        <x:v>0</x:v>
      </x:c>
      <x:c r="R216" t="n">
        <x:f>IF(LEFT('分期持仓明细'!$A$135,LEN(L$81)+2)=L$81&amp;" ·",ROW('分期持仓明细'!$A$135),0)</x:f>
        <x:v>0</x:v>
      </x:c>
    </x:row>
    <x:row r="217">
      <x:c r="M217" t="n">
        <x:f>IF(LEFT('分期持仓明细'!$A$136,LEN(G$81)+2)=G$81&amp;" ·",ROW('分期持仓明细'!$A$136),0)</x:f>
        <x:v>0</x:v>
      </x:c>
      <x:c r="N217" t="n">
        <x:f>IF(LEFT('分期持仓明细'!$A$136,LEN(H$81)+2)=H$81&amp;" ·",ROW('分期持仓明细'!$A$136),0)</x:f>
        <x:v>0</x:v>
      </x:c>
      <x:c r="O217" t="n">
        <x:f>IF(LEFT('分期持仓明细'!$A$136,LEN(I$81)+2)=I$81&amp;" ·",ROW('分期持仓明细'!$A$136),0)</x:f>
        <x:v>0</x:v>
      </x:c>
      <x:c r="P217" t="n">
        <x:f>IF(LEFT('分期持仓明细'!$A$136,LEN(J$81)+2)=J$81&amp;" ·",ROW('分期持仓明细'!$A$136),0)</x:f>
        <x:v>0</x:v>
      </x:c>
      <x:c r="Q217" t="n">
        <x:f>IF(LEFT('分期持仓明细'!$A$136,LEN(K$81)+2)=K$81&amp;" ·",ROW('分期持仓明细'!$A$136),0)</x:f>
        <x:v>0</x:v>
      </x:c>
      <x:c r="R217" t="n">
        <x:f>IF(LEFT('分期持仓明细'!$A$136,LEN(L$81)+2)=L$81&amp;" ·",ROW('分期持仓明细'!$A$136),0)</x:f>
        <x:v>0</x:v>
      </x:c>
    </x:row>
    <x:row r="218">
      <x:c r="M218" t="n">
        <x:f>IF(LEFT('分期持仓明细'!$A$137,LEN(G$81)+2)=G$81&amp;" ·",ROW('分期持仓明细'!$A$137),0)</x:f>
        <x:v>0</x:v>
      </x:c>
      <x:c r="N218" t="n">
        <x:f>IF(LEFT('分期持仓明细'!$A$137,LEN(H$81)+2)=H$81&amp;" ·",ROW('分期持仓明细'!$A$137),0)</x:f>
        <x:v>0</x:v>
      </x:c>
      <x:c r="O218" t="n">
        <x:f>IF(LEFT('分期持仓明细'!$A$137,LEN(I$81)+2)=I$81&amp;" ·",ROW('分期持仓明细'!$A$137),0)</x:f>
        <x:v>0</x:v>
      </x:c>
      <x:c r="P218" t="n">
        <x:f>IF(LEFT('分期持仓明细'!$A$137,LEN(J$81)+2)=J$81&amp;" ·",ROW('分期持仓明细'!$A$137),0)</x:f>
        <x:v>0</x:v>
      </x:c>
      <x:c r="Q218" t="n">
        <x:f>IF(LEFT('分期持仓明细'!$A$137,LEN(K$81)+2)=K$81&amp;" ·",ROW('分期持仓明细'!$A$137),0)</x:f>
        <x:v>0</x:v>
      </x:c>
      <x:c r="R218" t="n">
        <x:f>IF(LEFT('分期持仓明细'!$A$137,LEN(L$81)+2)=L$81&amp;" ·",ROW('分期持仓明细'!$A$137),0)</x:f>
        <x:v>0</x:v>
      </x:c>
    </x:row>
    <x:row r="219">
      <x:c r="M219" t="n">
        <x:f>IF(LEFT('分期持仓明细'!$A$138,LEN(G$81)+2)=G$81&amp;" ·",ROW('分期持仓明细'!$A$138),0)</x:f>
        <x:v>0</x:v>
      </x:c>
      <x:c r="N219" t="n">
        <x:f>IF(LEFT('分期持仓明细'!$A$138,LEN(H$81)+2)=H$81&amp;" ·",ROW('分期持仓明细'!$A$138),0)</x:f>
        <x:v>0</x:v>
      </x:c>
      <x:c r="O219" t="n">
        <x:f>IF(LEFT('分期持仓明细'!$A$138,LEN(I$81)+2)=I$81&amp;" ·",ROW('分期持仓明细'!$A$138),0)</x:f>
        <x:v>0</x:v>
      </x:c>
      <x:c r="P219" t="n">
        <x:f>IF(LEFT('分期持仓明细'!$A$138,LEN(J$81)+2)=J$81&amp;" ·",ROW('分期持仓明细'!$A$138),0)</x:f>
        <x:v>0</x:v>
      </x:c>
      <x:c r="Q219" t="n">
        <x:f>IF(LEFT('分期持仓明细'!$A$138,LEN(K$81)+2)=K$81&amp;" ·",ROW('分期持仓明细'!$A$138),0)</x:f>
        <x:v>0</x:v>
      </x:c>
      <x:c r="R219" t="n">
        <x:f>IF(LEFT('分期持仓明细'!$A$138,LEN(L$81)+2)=L$81&amp;" ·",ROW('分期持仓明细'!$A$138),0)</x:f>
        <x:v>0</x:v>
      </x:c>
    </x:row>
    <x:row r="220">
      <x:c r="M220" t="n">
        <x:f>IF(LEFT('分期持仓明细'!$A$139,LEN(G$81)+2)=G$81&amp;" ·",ROW('分期持仓明细'!$A$139),0)</x:f>
        <x:v>0</x:v>
      </x:c>
      <x:c r="N220" t="n">
        <x:f>IF(LEFT('分期持仓明细'!$A$139,LEN(H$81)+2)=H$81&amp;" ·",ROW('分期持仓明细'!$A$139),0)</x:f>
        <x:v>0</x:v>
      </x:c>
      <x:c r="O220" t="n">
        <x:f>IF(LEFT('分期持仓明细'!$A$139,LEN(I$81)+2)=I$81&amp;" ·",ROW('分期持仓明细'!$A$139),0)</x:f>
        <x:v>0</x:v>
      </x:c>
      <x:c r="P220" t="n">
        <x:f>IF(LEFT('分期持仓明细'!$A$139,LEN(J$81)+2)=J$81&amp;" ·",ROW('分期持仓明细'!$A$139),0)</x:f>
        <x:v>0</x:v>
      </x:c>
      <x:c r="Q220" t="n">
        <x:f>IF(LEFT('分期持仓明细'!$A$139,LEN(K$81)+2)=K$81&amp;" ·",ROW('分期持仓明细'!$A$139),0)</x:f>
        <x:v>0</x:v>
      </x:c>
      <x:c r="R220" t="n">
        <x:f>IF(LEFT('分期持仓明细'!$A$139,LEN(L$81)+2)=L$81&amp;" ·",ROW('分期持仓明细'!$A$139),0)</x:f>
        <x:v>0</x:v>
      </x:c>
    </x:row>
    <x:row r="221">
      <x:c r="M221" t="n">
        <x:f>IF(LEFT('分期持仓明细'!$A$140,LEN(G$81)+2)=G$81&amp;" ·",ROW('分期持仓明细'!$A$140),0)</x:f>
        <x:v>0</x:v>
      </x:c>
      <x:c r="N221" t="n">
        <x:f>IF(LEFT('分期持仓明细'!$A$140,LEN(H$81)+2)=H$81&amp;" ·",ROW('分期持仓明细'!$A$140),0)</x:f>
        <x:v>0</x:v>
      </x:c>
      <x:c r="O221" t="n">
        <x:f>IF(LEFT('分期持仓明细'!$A$140,LEN(I$81)+2)=I$81&amp;" ·",ROW('分期持仓明细'!$A$140),0)</x:f>
        <x:v>0</x:v>
      </x:c>
      <x:c r="P221" t="n">
        <x:f>IF(LEFT('分期持仓明细'!$A$140,LEN(J$81)+2)=J$81&amp;" ·",ROW('分期持仓明细'!$A$140),0)</x:f>
        <x:v>0</x:v>
      </x:c>
      <x:c r="Q221" t="n">
        <x:f>IF(LEFT('分期持仓明细'!$A$140,LEN(K$81)+2)=K$81&amp;" ·",ROW('分期持仓明细'!$A$140),0)</x:f>
        <x:v>0</x:v>
      </x:c>
      <x:c r="R221" t="n">
        <x:f>IF(LEFT('分期持仓明细'!$A$140,LEN(L$81)+2)=L$81&amp;" ·",ROW('分期持仓明细'!$A$140),0)</x:f>
        <x:v>0</x:v>
      </x:c>
    </x:row>
    <x:row r="222">
      <x:c r="M222" t="n">
        <x:f>IF(LEFT('分期持仓明细'!$A$141,LEN(G$81)+2)=G$81&amp;" ·",ROW('分期持仓明细'!$A$141),0)</x:f>
        <x:v>0</x:v>
      </x:c>
      <x:c r="N222" t="n">
        <x:f>IF(LEFT('分期持仓明细'!$A$141,LEN(H$81)+2)=H$81&amp;" ·",ROW('分期持仓明细'!$A$141),0)</x:f>
        <x:v>0</x:v>
      </x:c>
      <x:c r="O222" t="n">
        <x:f>IF(LEFT('分期持仓明细'!$A$141,LEN(I$81)+2)=I$81&amp;" ·",ROW('分期持仓明细'!$A$141),0)</x:f>
        <x:v>0</x:v>
      </x:c>
      <x:c r="P222" t="n">
        <x:f>IF(LEFT('分期持仓明细'!$A$141,LEN(J$81)+2)=J$81&amp;" ·",ROW('分期持仓明细'!$A$141),0)</x:f>
        <x:v>0</x:v>
      </x:c>
      <x:c r="Q222" t="n">
        <x:f>IF(LEFT('分期持仓明细'!$A$141,LEN(K$81)+2)=K$81&amp;" ·",ROW('分期持仓明细'!$A$141),0)</x:f>
        <x:v>0</x:v>
      </x:c>
      <x:c r="R222" t="n">
        <x:f>IF(LEFT('分期持仓明细'!$A$141,LEN(L$81)+2)=L$81&amp;" ·",ROW('分期持仓明细'!$A$141),0)</x:f>
        <x:v>0</x:v>
      </x:c>
    </x:row>
    <x:row r="223">
      <x:c r="M223" t="n">
        <x:f>IF(LEFT('分期持仓明细'!$A$142,LEN(G$81)+2)=G$81&amp;" ·",ROW('分期持仓明细'!$A$142),0)</x:f>
        <x:v>0</x:v>
      </x:c>
      <x:c r="N223" t="n">
        <x:f>IF(LEFT('分期持仓明细'!$A$142,LEN(H$81)+2)=H$81&amp;" ·",ROW('分期持仓明细'!$A$142),0)</x:f>
        <x:v>0</x:v>
      </x:c>
      <x:c r="O223" t="n">
        <x:f>IF(LEFT('分期持仓明细'!$A$142,LEN(I$81)+2)=I$81&amp;" ·",ROW('分期持仓明细'!$A$142),0)</x:f>
        <x:v>0</x:v>
      </x:c>
      <x:c r="P223" t="n">
        <x:f>IF(LEFT('分期持仓明细'!$A$142,LEN(J$81)+2)=J$81&amp;" ·",ROW('分期持仓明细'!$A$142),0)</x:f>
        <x:v>0</x:v>
      </x:c>
      <x:c r="Q223" t="n">
        <x:f>IF(LEFT('分期持仓明细'!$A$142,LEN(K$81)+2)=K$81&amp;" ·",ROW('分期持仓明细'!$A$142),0)</x:f>
        <x:v>0</x:v>
      </x:c>
      <x:c r="R223" t="n">
        <x:f>IF(LEFT('分期持仓明细'!$A$142,LEN(L$81)+2)=L$81&amp;" ·",ROW('分期持仓明细'!$A$142),0)</x:f>
        <x:v>0</x:v>
      </x:c>
    </x:row>
    <x:row r="224">
      <x:c r="M224" t="n">
        <x:f>IF(LEFT('分期持仓明细'!$A$143,LEN(G$81)+2)=G$81&amp;" ·",ROW('分期持仓明细'!$A$143),0)</x:f>
        <x:v>0</x:v>
      </x:c>
      <x:c r="N224" t="n">
        <x:f>IF(LEFT('分期持仓明细'!$A$143,LEN(H$81)+2)=H$81&amp;" ·",ROW('分期持仓明细'!$A$143),0)</x:f>
        <x:v>0</x:v>
      </x:c>
      <x:c r="O224" t="n">
        <x:f>IF(LEFT('分期持仓明细'!$A$143,LEN(I$81)+2)=I$81&amp;" ·",ROW('分期持仓明细'!$A$143),0)</x:f>
        <x:v>0</x:v>
      </x:c>
      <x:c r="P224" t="n">
        <x:f>IF(LEFT('分期持仓明细'!$A$143,LEN(J$81)+2)=J$81&amp;" ·",ROW('分期持仓明细'!$A$143),0)</x:f>
        <x:v>0</x:v>
      </x:c>
      <x:c r="Q224" t="n">
        <x:f>IF(LEFT('分期持仓明细'!$A$143,LEN(K$81)+2)=K$81&amp;" ·",ROW('分期持仓明细'!$A$143),0)</x:f>
        <x:v>0</x:v>
      </x:c>
      <x:c r="R224" t="n">
        <x:f>IF(LEFT('分期持仓明细'!$A$143,LEN(L$81)+2)=L$81&amp;" ·",ROW('分期持仓明细'!$A$143),0)</x:f>
        <x:v>0</x:v>
      </x:c>
    </x:row>
    <x:row r="225">
      <x:c r="M225" t="n">
        <x:f>IF(LEFT('分期持仓明细'!$A$144,LEN(G$81)+2)=G$81&amp;" ·",ROW('分期持仓明细'!$A$144),0)</x:f>
        <x:v>0</x:v>
      </x:c>
      <x:c r="N225" t="n">
        <x:f>IF(LEFT('分期持仓明细'!$A$144,LEN(H$81)+2)=H$81&amp;" ·",ROW('分期持仓明细'!$A$144),0)</x:f>
        <x:v>0</x:v>
      </x:c>
      <x:c r="O225" t="n">
        <x:f>IF(LEFT('分期持仓明细'!$A$144,LEN(I$81)+2)=I$81&amp;" ·",ROW('分期持仓明细'!$A$144),0)</x:f>
        <x:v>0</x:v>
      </x:c>
      <x:c r="P225" t="n">
        <x:f>IF(LEFT('分期持仓明细'!$A$144,LEN(J$81)+2)=J$81&amp;" ·",ROW('分期持仓明细'!$A$144),0)</x:f>
        <x:v>0</x:v>
      </x:c>
      <x:c r="Q225" t="n">
        <x:f>IF(LEFT('分期持仓明细'!$A$144,LEN(K$81)+2)=K$81&amp;" ·",ROW('分期持仓明细'!$A$144),0)</x:f>
        <x:v>0</x:v>
      </x:c>
      <x:c r="R225" t="n">
        <x:f>IF(LEFT('分期持仓明细'!$A$144,LEN(L$81)+2)=L$81&amp;" ·",ROW('分期持仓明细'!$A$144),0)</x:f>
        <x:v>0</x:v>
      </x:c>
    </x:row>
    <x:row r="226">
      <x:c r="M226" t="n">
        <x:f>IF(LEFT('分期持仓明细'!$A$145,LEN(G$81)+2)=G$81&amp;" ·",ROW('分期持仓明细'!$A$145),0)</x:f>
        <x:v>0</x:v>
      </x:c>
      <x:c r="N226" t="n">
        <x:f>IF(LEFT('分期持仓明细'!$A$145,LEN(H$81)+2)=H$81&amp;" ·",ROW('分期持仓明细'!$A$145),0)</x:f>
        <x:v>0</x:v>
      </x:c>
      <x:c r="O226" t="n">
        <x:f>IF(LEFT('分期持仓明细'!$A$145,LEN(I$81)+2)=I$81&amp;" ·",ROW('分期持仓明细'!$A$145),0)</x:f>
        <x:v>0</x:v>
      </x:c>
      <x:c r="P226" t="n">
        <x:f>IF(LEFT('分期持仓明细'!$A$145,LEN(J$81)+2)=J$81&amp;" ·",ROW('分期持仓明细'!$A$145),0)</x:f>
        <x:v>0</x:v>
      </x:c>
      <x:c r="Q226" t="n">
        <x:f>IF(LEFT('分期持仓明细'!$A$145,LEN(K$81)+2)=K$81&amp;" ·",ROW('分期持仓明细'!$A$145),0)</x:f>
        <x:v>0</x:v>
      </x:c>
      <x:c r="R226" t="n">
        <x:f>IF(LEFT('分期持仓明细'!$A$145,LEN(L$81)+2)=L$81&amp;" ·",ROW('分期持仓明细'!$A$145),0)</x:f>
        <x:v>0</x:v>
      </x:c>
    </x:row>
    <x:row r="227">
      <x:c r="M227" t="n">
        <x:f>IF(LEFT('分期持仓明细'!$A$146,LEN(G$81)+2)=G$81&amp;" ·",ROW('分期持仓明细'!$A$146),0)</x:f>
        <x:v>0</x:v>
      </x:c>
      <x:c r="N227" t="n">
        <x:f>IF(LEFT('分期持仓明细'!$A$146,LEN(H$81)+2)=H$81&amp;" ·",ROW('分期持仓明细'!$A$146),0)</x:f>
        <x:v>0</x:v>
      </x:c>
      <x:c r="O227" t="n">
        <x:f>IF(LEFT('分期持仓明细'!$A$146,LEN(I$81)+2)=I$81&amp;" ·",ROW('分期持仓明细'!$A$146),0)</x:f>
        <x:v>0</x:v>
      </x:c>
      <x:c r="P227" t="n">
        <x:f>IF(LEFT('分期持仓明细'!$A$146,LEN(J$81)+2)=J$81&amp;" ·",ROW('分期持仓明细'!$A$146),0)</x:f>
        <x:v>0</x:v>
      </x:c>
      <x:c r="Q227" t="n">
        <x:f>IF(LEFT('分期持仓明细'!$A$146,LEN(K$81)+2)=K$81&amp;" ·",ROW('分期持仓明细'!$A$146),0)</x:f>
        <x:v>0</x:v>
      </x:c>
      <x:c r="R227" t="n">
        <x:f>IF(LEFT('分期持仓明细'!$A$146,LEN(L$81)+2)=L$81&amp;" ·",ROW('分期持仓明细'!$A$146),0)</x:f>
        <x:v>0</x:v>
      </x:c>
    </x:row>
    <x:row r="228">
      <x:c r="M228" t="n">
        <x:f>IF(LEFT('分期持仓明细'!$A$147,LEN(G$81)+2)=G$81&amp;" ·",ROW('分期持仓明细'!$A$147),0)</x:f>
        <x:v>0</x:v>
      </x:c>
      <x:c r="N228" t="n">
        <x:f>IF(LEFT('分期持仓明细'!$A$147,LEN(H$81)+2)=H$81&amp;" ·",ROW('分期持仓明细'!$A$147),0)</x:f>
        <x:v>0</x:v>
      </x:c>
      <x:c r="O228" t="n">
        <x:f>IF(LEFT('分期持仓明细'!$A$147,LEN(I$81)+2)=I$81&amp;" ·",ROW('分期持仓明细'!$A$147),0)</x:f>
        <x:v>0</x:v>
      </x:c>
      <x:c r="P228" t="n">
        <x:f>IF(LEFT('分期持仓明细'!$A$147,LEN(J$81)+2)=J$81&amp;" ·",ROW('分期持仓明细'!$A$147),0)</x:f>
        <x:v>0</x:v>
      </x:c>
      <x:c r="Q228" t="n">
        <x:f>IF(LEFT('分期持仓明细'!$A$147,LEN(K$81)+2)=K$81&amp;" ·",ROW('分期持仓明细'!$A$147),0)</x:f>
        <x:v>0</x:v>
      </x:c>
      <x:c r="R228" t="n">
        <x:f>IF(LEFT('分期持仓明细'!$A$147,LEN(L$81)+2)=L$81&amp;" ·",ROW('分期持仓明细'!$A$147),0)</x:f>
        <x:v>0</x:v>
      </x:c>
    </x:row>
    <x:row r="229">
      <x:c r="M229" t="n">
        <x:f>IF(LEFT('分期持仓明细'!$A$148,LEN(G$81)+2)=G$81&amp;" ·",ROW('分期持仓明细'!$A$148),0)</x:f>
        <x:v>0</x:v>
      </x:c>
      <x:c r="N229" t="n">
        <x:f>IF(LEFT('分期持仓明细'!$A$148,LEN(H$81)+2)=H$81&amp;" ·",ROW('分期持仓明细'!$A$148),0)</x:f>
        <x:v>0</x:v>
      </x:c>
      <x:c r="O229" t="n">
        <x:f>IF(LEFT('分期持仓明细'!$A$148,LEN(I$81)+2)=I$81&amp;" ·",ROW('分期持仓明细'!$A$148),0)</x:f>
        <x:v>0</x:v>
      </x:c>
      <x:c r="P229" t="n">
        <x:f>IF(LEFT('分期持仓明细'!$A$148,LEN(J$81)+2)=J$81&amp;" ·",ROW('分期持仓明细'!$A$148),0)</x:f>
        <x:v>0</x:v>
      </x:c>
      <x:c r="Q229" t="n">
        <x:f>IF(LEFT('分期持仓明细'!$A$148,LEN(K$81)+2)=K$81&amp;" ·",ROW('分期持仓明细'!$A$148),0)</x:f>
        <x:v>0</x:v>
      </x:c>
      <x:c r="R229" t="n">
        <x:f>IF(LEFT('分期持仓明细'!$A$148,LEN(L$81)+2)=L$81&amp;" ·",ROW('分期持仓明细'!$A$148),0)</x:f>
        <x:v>0</x:v>
      </x:c>
    </x:row>
    <x:row r="230">
      <x:c r="M230" t="n">
        <x:f>IF(LEFT('分期持仓明细'!$A$149,LEN(G$81)+2)=G$81&amp;" ·",ROW('分期持仓明细'!$A$149),0)</x:f>
        <x:v>0</x:v>
      </x:c>
      <x:c r="N230" t="n">
        <x:f>IF(LEFT('分期持仓明细'!$A$149,LEN(H$81)+2)=H$81&amp;" ·",ROW('分期持仓明细'!$A$149),0)</x:f>
        <x:v>0</x:v>
      </x:c>
      <x:c r="O230" t="n">
        <x:f>IF(LEFT('分期持仓明细'!$A$149,LEN(I$81)+2)=I$81&amp;" ·",ROW('分期持仓明细'!$A$149),0)</x:f>
        <x:v>0</x:v>
      </x:c>
      <x:c r="P230" t="n">
        <x:f>IF(LEFT('分期持仓明细'!$A$149,LEN(J$81)+2)=J$81&amp;" ·",ROW('分期持仓明细'!$A$149),0)</x:f>
        <x:v>0</x:v>
      </x:c>
      <x:c r="Q230" t="n">
        <x:f>IF(LEFT('分期持仓明细'!$A$149,LEN(K$81)+2)=K$81&amp;" ·",ROW('分期持仓明细'!$A$149),0)</x:f>
        <x:v>0</x:v>
      </x:c>
      <x:c r="R230" t="n">
        <x:f>IF(LEFT('分期持仓明细'!$A$149,LEN(L$81)+2)=L$81&amp;" ·",ROW('分期持仓明细'!$A$149),0)</x:f>
        <x:v>0</x:v>
      </x:c>
    </x:row>
    <x:row r="231">
      <x:c r="M231" t="n">
        <x:f>IF(LEFT('分期持仓明细'!$A$150,LEN(G$81)+2)=G$81&amp;" ·",ROW('分期持仓明细'!$A$150),0)</x:f>
        <x:v>0</x:v>
      </x:c>
      <x:c r="N231" t="n">
        <x:f>IF(LEFT('分期持仓明细'!$A$150,LEN(H$81)+2)=H$81&amp;" ·",ROW('分期持仓明细'!$A$150),0)</x:f>
        <x:v>0</x:v>
      </x:c>
      <x:c r="O231" t="n">
        <x:f>IF(LEFT('分期持仓明细'!$A$150,LEN(I$81)+2)=I$81&amp;" ·",ROW('分期持仓明细'!$A$150),0)</x:f>
        <x:v>0</x:v>
      </x:c>
      <x:c r="P231" t="n">
        <x:f>IF(LEFT('分期持仓明细'!$A$150,LEN(J$81)+2)=J$81&amp;" ·",ROW('分期持仓明细'!$A$150),0)</x:f>
        <x:v>0</x:v>
      </x:c>
      <x:c r="Q231" t="n">
        <x:f>IF(LEFT('分期持仓明细'!$A$150,LEN(K$81)+2)=K$81&amp;" ·",ROW('分期持仓明细'!$A$150),0)</x:f>
        <x:v>0</x:v>
      </x:c>
      <x:c r="R231" t="n">
        <x:f>IF(LEFT('分期持仓明细'!$A$150,LEN(L$81)+2)=L$81&amp;" ·",ROW('分期持仓明细'!$A$150),0)</x:f>
        <x:v>0</x:v>
      </x:c>
    </x:row>
    <x:row r="232">
      <x:c r="M232" t="n">
        <x:f>IF(LEFT('分期持仓明细'!$A$151,LEN(G$81)+2)=G$81&amp;" ·",ROW('分期持仓明细'!$A$151),0)</x:f>
        <x:v>0</x:v>
      </x:c>
      <x:c r="N232" t="n">
        <x:f>IF(LEFT('分期持仓明细'!$A$151,LEN(H$81)+2)=H$81&amp;" ·",ROW('分期持仓明细'!$A$151),0)</x:f>
        <x:v>0</x:v>
      </x:c>
      <x:c r="O232" t="n">
        <x:f>IF(LEFT('分期持仓明细'!$A$151,LEN(I$81)+2)=I$81&amp;" ·",ROW('分期持仓明细'!$A$151),0)</x:f>
        <x:v>0</x:v>
      </x:c>
      <x:c r="P232" t="n">
        <x:f>IF(LEFT('分期持仓明细'!$A$151,LEN(J$81)+2)=J$81&amp;" ·",ROW('分期持仓明细'!$A$151),0)</x:f>
        <x:v>0</x:v>
      </x:c>
      <x:c r="Q232" t="n">
        <x:f>IF(LEFT('分期持仓明细'!$A$151,LEN(K$81)+2)=K$81&amp;" ·",ROW('分期持仓明细'!$A$151),0)</x:f>
        <x:v>0</x:v>
      </x:c>
      <x:c r="R232" t="n">
        <x:f>IF(LEFT('分期持仓明细'!$A$151,LEN(L$81)+2)=L$81&amp;" ·",ROW('分期持仓明细'!$A$151),0)</x:f>
        <x:v>0</x:v>
      </x:c>
    </x:row>
    <x:row r="233">
      <x:c r="M233" t="n">
        <x:f>IF(LEFT('分期持仓明细'!$A$152,LEN(G$81)+2)=G$81&amp;" ·",ROW('分期持仓明细'!$A$152),0)</x:f>
        <x:v>0</x:v>
      </x:c>
      <x:c r="N233" t="n">
        <x:f>IF(LEFT('分期持仓明细'!$A$152,LEN(H$81)+2)=H$81&amp;" ·",ROW('分期持仓明细'!$A$152),0)</x:f>
        <x:v>0</x:v>
      </x:c>
      <x:c r="O233" t="n">
        <x:f>IF(LEFT('分期持仓明细'!$A$152,LEN(I$81)+2)=I$81&amp;" ·",ROW('分期持仓明细'!$A$152),0)</x:f>
        <x:v>0</x:v>
      </x:c>
      <x:c r="P233" t="n">
        <x:f>IF(LEFT('分期持仓明细'!$A$152,LEN(J$81)+2)=J$81&amp;" ·",ROW('分期持仓明细'!$A$152),0)</x:f>
        <x:v>0</x:v>
      </x:c>
      <x:c r="Q233" t="n">
        <x:f>IF(LEFT('分期持仓明细'!$A$152,LEN(K$81)+2)=K$81&amp;" ·",ROW('分期持仓明细'!$A$152),0)</x:f>
        <x:v>0</x:v>
      </x:c>
      <x:c r="R233" t="n">
        <x:f>IF(LEFT('分期持仓明细'!$A$152,LEN(L$81)+2)=L$81&amp;" ·",ROW('分期持仓明细'!$A$152),0)</x:f>
        <x:v>0</x:v>
      </x:c>
    </x:row>
    <x:row r="234">
      <x:c r="M234" t="n">
        <x:f>IF(LEFT('分期持仓明细'!$A$153,LEN(G$81)+2)=G$81&amp;" ·",ROW('分期持仓明细'!$A$153),0)</x:f>
        <x:v>0</x:v>
      </x:c>
      <x:c r="N234" t="n">
        <x:f>IF(LEFT('分期持仓明细'!$A$153,LEN(H$81)+2)=H$81&amp;" ·",ROW('分期持仓明细'!$A$153),0)</x:f>
        <x:v>0</x:v>
      </x:c>
      <x:c r="O234" t="n">
        <x:f>IF(LEFT('分期持仓明细'!$A$153,LEN(I$81)+2)=I$81&amp;" ·",ROW('分期持仓明细'!$A$153),0)</x:f>
        <x:v>0</x:v>
      </x:c>
      <x:c r="P234" t="n">
        <x:f>IF(LEFT('分期持仓明细'!$A$153,LEN(J$81)+2)=J$81&amp;" ·",ROW('分期持仓明细'!$A$153),0)</x:f>
        <x:v>0</x:v>
      </x:c>
      <x:c r="Q234" t="n">
        <x:f>IF(LEFT('分期持仓明细'!$A$153,LEN(K$81)+2)=K$81&amp;" ·",ROW('分期持仓明细'!$A$153),0)</x:f>
        <x:v>0</x:v>
      </x:c>
      <x:c r="R234" t="n">
        <x:f>IF(LEFT('分期持仓明细'!$A$153,LEN(L$81)+2)=L$81&amp;" ·",ROW('分期持仓明细'!$A$153),0)</x:f>
        <x:v>0</x:v>
      </x:c>
    </x:row>
    <x:row r="235">
      <x:c r="M235" t="n">
        <x:f>IF(LEFT('分期持仓明细'!$A$154,LEN(G$81)+2)=G$81&amp;" ·",ROW('分期持仓明细'!$A$154),0)</x:f>
        <x:v>0</x:v>
      </x:c>
      <x:c r="N235" t="n">
        <x:f>IF(LEFT('分期持仓明细'!$A$154,LEN(H$81)+2)=H$81&amp;" ·",ROW('分期持仓明细'!$A$154),0)</x:f>
        <x:v>0</x:v>
      </x:c>
      <x:c r="O235" t="n">
        <x:f>IF(LEFT('分期持仓明细'!$A$154,LEN(I$81)+2)=I$81&amp;" ·",ROW('分期持仓明细'!$A$154),0)</x:f>
        <x:v>0</x:v>
      </x:c>
      <x:c r="P235" t="n">
        <x:f>IF(LEFT('分期持仓明细'!$A$154,LEN(J$81)+2)=J$81&amp;" ·",ROW('分期持仓明细'!$A$154),0)</x:f>
        <x:v>0</x:v>
      </x:c>
      <x:c r="Q235" t="n">
        <x:f>IF(LEFT('分期持仓明细'!$A$154,LEN(K$81)+2)=K$81&amp;" ·",ROW('分期持仓明细'!$A$154),0)</x:f>
        <x:v>0</x:v>
      </x:c>
      <x:c r="R235" t="n">
        <x:f>IF(LEFT('分期持仓明细'!$A$154,LEN(L$81)+2)=L$81&amp;" ·",ROW('分期持仓明细'!$A$154),0)</x:f>
        <x:v>0</x:v>
      </x:c>
    </x:row>
    <x:row r="236">
      <x:c r="M236" t="n">
        <x:f>IF(LEFT('分期持仓明细'!$A$155,LEN(G$81)+2)=G$81&amp;" ·",ROW('分期持仓明细'!$A$155),0)</x:f>
        <x:v>0</x:v>
      </x:c>
      <x:c r="N236" t="n">
        <x:f>IF(LEFT('分期持仓明细'!$A$155,LEN(H$81)+2)=H$81&amp;" ·",ROW('分期持仓明细'!$A$155),0)</x:f>
        <x:v>0</x:v>
      </x:c>
      <x:c r="O236" t="n">
        <x:f>IF(LEFT('分期持仓明细'!$A$155,LEN(I$81)+2)=I$81&amp;" ·",ROW('分期持仓明细'!$A$155),0)</x:f>
        <x:v>0</x:v>
      </x:c>
      <x:c r="P236" t="n">
        <x:f>IF(LEFT('分期持仓明细'!$A$155,LEN(J$81)+2)=J$81&amp;" ·",ROW('分期持仓明细'!$A$155),0)</x:f>
        <x:v>0</x:v>
      </x:c>
      <x:c r="Q236" t="n">
        <x:f>IF(LEFT('分期持仓明细'!$A$155,LEN(K$81)+2)=K$81&amp;" ·",ROW('分期持仓明细'!$A$155),0)</x:f>
        <x:v>0</x:v>
      </x:c>
      <x:c r="R236" t="n">
        <x:f>IF(LEFT('分期持仓明细'!$A$155,LEN(L$81)+2)=L$81&amp;" ·",ROW('分期持仓明细'!$A$155),0)</x:f>
        <x:v>0</x:v>
      </x:c>
    </x:row>
    <x:row r="237">
      <x:c r="M237" t="n">
        <x:f>IF(LEFT('分期持仓明细'!$A$156,LEN(G$81)+2)=G$81&amp;" ·",ROW('分期持仓明细'!$A$156),0)</x:f>
        <x:v>0</x:v>
      </x:c>
      <x:c r="N237" t="n">
        <x:f>IF(LEFT('分期持仓明细'!$A$156,LEN(H$81)+2)=H$81&amp;" ·",ROW('分期持仓明细'!$A$156),0)</x:f>
        <x:v>0</x:v>
      </x:c>
      <x:c r="O237" t="n">
        <x:f>IF(LEFT('分期持仓明细'!$A$156,LEN(I$81)+2)=I$81&amp;" ·",ROW('分期持仓明细'!$A$156),0)</x:f>
        <x:v>0</x:v>
      </x:c>
      <x:c r="P237" t="n">
        <x:f>IF(LEFT('分期持仓明细'!$A$156,LEN(J$81)+2)=J$81&amp;" ·",ROW('分期持仓明细'!$A$156),0)</x:f>
        <x:v>0</x:v>
      </x:c>
      <x:c r="Q237" t="n">
        <x:f>IF(LEFT('分期持仓明细'!$A$156,LEN(K$81)+2)=K$81&amp;" ·",ROW('分期持仓明细'!$A$156),0)</x:f>
        <x:v>0</x:v>
      </x:c>
      <x:c r="R237" t="n">
        <x:f>IF(LEFT('分期持仓明细'!$A$156,LEN(L$81)+2)=L$81&amp;" ·",ROW('分期持仓明细'!$A$156),0)</x:f>
        <x:v>0</x:v>
      </x:c>
    </x:row>
    <x:row r="238">
      <x:c r="M238" t="n">
        <x:f>IF(LEFT('分期持仓明细'!$A$157,LEN(G$81)+2)=G$81&amp;" ·",ROW('分期持仓明细'!$A$157),0)</x:f>
        <x:v>0</x:v>
      </x:c>
      <x:c r="N238" t="n">
        <x:f>IF(LEFT('分期持仓明细'!$A$157,LEN(H$81)+2)=H$81&amp;" ·",ROW('分期持仓明细'!$A$157),0)</x:f>
        <x:v>0</x:v>
      </x:c>
      <x:c r="O238" t="n">
        <x:f>IF(LEFT('分期持仓明细'!$A$157,LEN(I$81)+2)=I$81&amp;" ·",ROW('分期持仓明细'!$A$157),0)</x:f>
        <x:v>0</x:v>
      </x:c>
      <x:c r="P238" t="n">
        <x:f>IF(LEFT('分期持仓明细'!$A$157,LEN(J$81)+2)=J$81&amp;" ·",ROW('分期持仓明细'!$A$157),0)</x:f>
        <x:v>0</x:v>
      </x:c>
      <x:c r="Q238" t="n">
        <x:f>IF(LEFT('分期持仓明细'!$A$157,LEN(K$81)+2)=K$81&amp;" ·",ROW('分期持仓明细'!$A$157),0)</x:f>
        <x:v>0</x:v>
      </x:c>
      <x:c r="R238" t="n">
        <x:f>IF(LEFT('分期持仓明细'!$A$157,LEN(L$81)+2)=L$81&amp;" ·",ROW('分期持仓明细'!$A$157),0)</x:f>
        <x:v>0</x:v>
      </x:c>
    </x:row>
    <x:row r="239">
      <x:c r="M239" t="n">
        <x:f>IF(LEFT('分期持仓明细'!$A$158,LEN(G$81)+2)=G$81&amp;" ·",ROW('分期持仓明细'!$A$158),0)</x:f>
        <x:v>0</x:v>
      </x:c>
      <x:c r="N239" t="n">
        <x:f>IF(LEFT('分期持仓明细'!$A$158,LEN(H$81)+2)=H$81&amp;" ·",ROW('分期持仓明细'!$A$158),0)</x:f>
        <x:v>0</x:v>
      </x:c>
      <x:c r="O239" t="n">
        <x:f>IF(LEFT('分期持仓明细'!$A$158,LEN(I$81)+2)=I$81&amp;" ·",ROW('分期持仓明细'!$A$158),0)</x:f>
        <x:v>0</x:v>
      </x:c>
      <x:c r="P239" t="n">
        <x:f>IF(LEFT('分期持仓明细'!$A$158,LEN(J$81)+2)=J$81&amp;" ·",ROW('分期持仓明细'!$A$158),0)</x:f>
        <x:v>0</x:v>
      </x:c>
      <x:c r="Q239" t="n">
        <x:f>IF(LEFT('分期持仓明细'!$A$158,LEN(K$81)+2)=K$81&amp;" ·",ROW('分期持仓明细'!$A$158),0)</x:f>
        <x:v>0</x:v>
      </x:c>
      <x:c r="R239" t="n">
        <x:f>IF(LEFT('分期持仓明细'!$A$158,LEN(L$81)+2)=L$81&amp;" ·",ROW('分期持仓明细'!$A$158),0)</x:f>
        <x:v>0</x:v>
      </x:c>
    </x:row>
    <x:row r="240">
      <x:c r="M240" t="n">
        <x:f>IF(LEFT('分期持仓明细'!$A$159,LEN(G$81)+2)=G$81&amp;" ·",ROW('分期持仓明细'!$A$159),0)</x:f>
        <x:v>0</x:v>
      </x:c>
      <x:c r="N240" t="n">
        <x:f>IF(LEFT('分期持仓明细'!$A$159,LEN(H$81)+2)=H$81&amp;" ·",ROW('分期持仓明细'!$A$159),0)</x:f>
        <x:v>0</x:v>
      </x:c>
      <x:c r="O240" t="n">
        <x:f>IF(LEFT('分期持仓明细'!$A$159,LEN(I$81)+2)=I$81&amp;" ·",ROW('分期持仓明细'!$A$159),0)</x:f>
        <x:v>0</x:v>
      </x:c>
      <x:c r="P240" t="n">
        <x:f>IF(LEFT('分期持仓明细'!$A$159,LEN(J$81)+2)=J$81&amp;" ·",ROW('分期持仓明细'!$A$159),0)</x:f>
        <x:v>0</x:v>
      </x:c>
      <x:c r="Q240" t="n">
        <x:f>IF(LEFT('分期持仓明细'!$A$159,LEN(K$81)+2)=K$81&amp;" ·",ROW('分期持仓明细'!$A$159),0)</x:f>
        <x:v>0</x:v>
      </x:c>
      <x:c r="R240" t="n">
        <x:f>IF(LEFT('分期持仓明细'!$A$159,LEN(L$81)+2)=L$81&amp;" ·",ROW('分期持仓明细'!$A$159),0)</x:f>
        <x:v>0</x:v>
      </x:c>
    </x:row>
    <x:row r="241">
      <x:c r="M241" t="n">
        <x:f>IF(LEFT('分期持仓明细'!$A$160,LEN(G$81)+2)=G$81&amp;" ·",ROW('分期持仓明细'!$A$160),0)</x:f>
        <x:v>0</x:v>
      </x:c>
      <x:c r="N241" t="n">
        <x:f>IF(LEFT('分期持仓明细'!$A$160,LEN(H$81)+2)=H$81&amp;" ·",ROW('分期持仓明细'!$A$160),0)</x:f>
        <x:v>0</x:v>
      </x:c>
      <x:c r="O241" t="n">
        <x:f>IF(LEFT('分期持仓明细'!$A$160,LEN(I$81)+2)=I$81&amp;" ·",ROW('分期持仓明细'!$A$160),0)</x:f>
        <x:v>0</x:v>
      </x:c>
      <x:c r="P241" t="n">
        <x:f>IF(LEFT('分期持仓明细'!$A$160,LEN(J$81)+2)=J$81&amp;" ·",ROW('分期持仓明细'!$A$160),0)</x:f>
        <x:v>0</x:v>
      </x:c>
      <x:c r="Q241" t="n">
        <x:f>IF(LEFT('分期持仓明细'!$A$160,LEN(K$81)+2)=K$81&amp;" ·",ROW('分期持仓明细'!$A$160),0)</x:f>
        <x:v>0</x:v>
      </x:c>
      <x:c r="R241" t="n">
        <x:f>IF(LEFT('分期持仓明细'!$A$160,LEN(L$81)+2)=L$81&amp;" ·",ROW('分期持仓明细'!$A$160),0)</x:f>
        <x:v>0</x:v>
      </x:c>
    </x:row>
    <x:row r="242">
      <x:c r="M242" t="n">
        <x:f>IF(LEFT('分期持仓明细'!$A$161,LEN(G$81)+2)=G$81&amp;" ·",ROW('分期持仓明细'!$A$161),0)</x:f>
        <x:v>0</x:v>
      </x:c>
      <x:c r="N242" t="n">
        <x:f>IF(LEFT('分期持仓明细'!$A$161,LEN(H$81)+2)=H$81&amp;" ·",ROW('分期持仓明细'!$A$161),0)</x:f>
        <x:v>0</x:v>
      </x:c>
      <x:c r="O242" t="n">
        <x:f>IF(LEFT('分期持仓明细'!$A$161,LEN(I$81)+2)=I$81&amp;" ·",ROW('分期持仓明细'!$A$161),0)</x:f>
        <x:v>0</x:v>
      </x:c>
      <x:c r="P242" t="n">
        <x:f>IF(LEFT('分期持仓明细'!$A$161,LEN(J$81)+2)=J$81&amp;" ·",ROW('分期持仓明细'!$A$161),0)</x:f>
        <x:v>0</x:v>
      </x:c>
      <x:c r="Q242" t="n">
        <x:f>IF(LEFT('分期持仓明细'!$A$161,LEN(K$81)+2)=K$81&amp;" ·",ROW('分期持仓明细'!$A$161),0)</x:f>
        <x:v>0</x:v>
      </x:c>
      <x:c r="R242" t="n">
        <x:f>IF(LEFT('分期持仓明细'!$A$161,LEN(L$81)+2)=L$81&amp;" ·",ROW('分期持仓明细'!$A$161),0)</x:f>
        <x:v>0</x:v>
      </x:c>
    </x:row>
    <x:row r="243">
      <x:c r="M243" t="n">
        <x:f>IF(LEFT('分期持仓明细'!$A$162,LEN(G$81)+2)=G$81&amp;" ·",ROW('分期持仓明细'!$A$162),0)</x:f>
        <x:v>0</x:v>
      </x:c>
      <x:c r="N243" t="n">
        <x:f>IF(LEFT('分期持仓明细'!$A$162,LEN(H$81)+2)=H$81&amp;" ·",ROW('分期持仓明细'!$A$162),0)</x:f>
        <x:v>0</x:v>
      </x:c>
      <x:c r="O243" t="n">
        <x:f>IF(LEFT('分期持仓明细'!$A$162,LEN(I$81)+2)=I$81&amp;" ·",ROW('分期持仓明细'!$A$162),0)</x:f>
        <x:v>0</x:v>
      </x:c>
      <x:c r="P243" t="n">
        <x:f>IF(LEFT('分期持仓明细'!$A$162,LEN(J$81)+2)=J$81&amp;" ·",ROW('分期持仓明细'!$A$162),0)</x:f>
        <x:v>0</x:v>
      </x:c>
      <x:c r="Q243" t="n">
        <x:f>IF(LEFT('分期持仓明细'!$A$162,LEN(K$81)+2)=K$81&amp;" ·",ROW('分期持仓明细'!$A$162),0)</x:f>
        <x:v>0</x:v>
      </x:c>
      <x:c r="R243" t="n">
        <x:f>IF(LEFT('分期持仓明细'!$A$162,LEN(L$81)+2)=L$81&amp;" ·",ROW('分期持仓明细'!$A$162),0)</x:f>
        <x:v>0</x:v>
      </x:c>
    </x:row>
    <x:row r="244">
      <x:c r="M244" t="n">
        <x:f>IF(LEFT('分期持仓明细'!$A$163,LEN(G$81)+2)=G$81&amp;" ·",ROW('分期持仓明细'!$A$163),0)</x:f>
        <x:v>0</x:v>
      </x:c>
      <x:c r="N244" t="n">
        <x:f>IF(LEFT('分期持仓明细'!$A$163,LEN(H$81)+2)=H$81&amp;" ·",ROW('分期持仓明细'!$A$163),0)</x:f>
        <x:v>0</x:v>
      </x:c>
      <x:c r="O244" t="n">
        <x:f>IF(LEFT('分期持仓明细'!$A$163,LEN(I$81)+2)=I$81&amp;" ·",ROW('分期持仓明细'!$A$163),0)</x:f>
        <x:v>0</x:v>
      </x:c>
      <x:c r="P244" t="n">
        <x:f>IF(LEFT('分期持仓明细'!$A$163,LEN(J$81)+2)=J$81&amp;" ·",ROW('分期持仓明细'!$A$163),0)</x:f>
        <x:v>0</x:v>
      </x:c>
      <x:c r="Q244" t="n">
        <x:f>IF(LEFT('分期持仓明细'!$A$163,LEN(K$81)+2)=K$81&amp;" ·",ROW('分期持仓明细'!$A$163),0)</x:f>
        <x:v>0</x:v>
      </x:c>
      <x:c r="R244" t="n">
        <x:f>IF(LEFT('分期持仓明细'!$A$163,LEN(L$81)+2)=L$81&amp;" ·",ROW('分期持仓明细'!$A$163),0)</x:f>
        <x:v>0</x:v>
      </x:c>
    </x:row>
    <x:row r="245">
      <x:c r="M245" t="n">
        <x:f>IF(LEFT('分期持仓明细'!$A$164,LEN(G$81)+2)=G$81&amp;" ·",ROW('分期持仓明细'!$A$164),0)</x:f>
        <x:v>0</x:v>
      </x:c>
      <x:c r="N245" t="n">
        <x:f>IF(LEFT('分期持仓明细'!$A$164,LEN(H$81)+2)=H$81&amp;" ·",ROW('分期持仓明细'!$A$164),0)</x:f>
        <x:v>0</x:v>
      </x:c>
      <x:c r="O245" t="n">
        <x:f>IF(LEFT('分期持仓明细'!$A$164,LEN(I$81)+2)=I$81&amp;" ·",ROW('分期持仓明细'!$A$164),0)</x:f>
        <x:v>0</x:v>
      </x:c>
      <x:c r="P245" t="n">
        <x:f>IF(LEFT('分期持仓明细'!$A$164,LEN(J$81)+2)=J$81&amp;" ·",ROW('分期持仓明细'!$A$164),0)</x:f>
        <x:v>0</x:v>
      </x:c>
      <x:c r="Q245" t="n">
        <x:f>IF(LEFT('分期持仓明细'!$A$164,LEN(K$81)+2)=K$81&amp;" ·",ROW('分期持仓明细'!$A$164),0)</x:f>
        <x:v>0</x:v>
      </x:c>
      <x:c r="R245" t="n">
        <x:f>IF(LEFT('分期持仓明细'!$A$164,LEN(L$81)+2)=L$81&amp;" ·",ROW('分期持仓明细'!$A$164),0)</x:f>
        <x:v>0</x:v>
      </x:c>
    </x:row>
    <x:row r="246">
      <x:c r="M246" t="n">
        <x:f>IF(LEFT('分期持仓明细'!$A$165,LEN(G$81)+2)=G$81&amp;" ·",ROW('分期持仓明细'!$A$165),0)</x:f>
        <x:v>0</x:v>
      </x:c>
      <x:c r="N246" t="n">
        <x:f>IF(LEFT('分期持仓明细'!$A$165,LEN(H$81)+2)=H$81&amp;" ·",ROW('分期持仓明细'!$A$165),0)</x:f>
        <x:v>0</x:v>
      </x:c>
      <x:c r="O246" t="n">
        <x:f>IF(LEFT('分期持仓明细'!$A$165,LEN(I$81)+2)=I$81&amp;" ·",ROW('分期持仓明细'!$A$165),0)</x:f>
        <x:v>0</x:v>
      </x:c>
      <x:c r="P246" t="n">
        <x:f>IF(LEFT('分期持仓明细'!$A$165,LEN(J$81)+2)=J$81&amp;" ·",ROW('分期持仓明细'!$A$165),0)</x:f>
        <x:v>0</x:v>
      </x:c>
      <x:c r="Q246" t="n">
        <x:f>IF(LEFT('分期持仓明细'!$A$165,LEN(K$81)+2)=K$81&amp;" ·",ROW('分期持仓明细'!$A$165),0)</x:f>
        <x:v>0</x:v>
      </x:c>
      <x:c r="R246" t="n">
        <x:f>IF(LEFT('分期持仓明细'!$A$165,LEN(L$81)+2)=L$81&amp;" ·",ROW('分期持仓明细'!$A$165),0)</x:f>
        <x:v>0</x:v>
      </x:c>
    </x:row>
    <x:row r="247">
      <x:c r="M247" t="n">
        <x:f>IF(LEFT('分期持仓明细'!$A$166,LEN(G$81)+2)=G$81&amp;" ·",ROW('分期持仓明细'!$A$166),0)</x:f>
        <x:v>0</x:v>
      </x:c>
      <x:c r="N247" t="n">
        <x:f>IF(LEFT('分期持仓明细'!$A$166,LEN(H$81)+2)=H$81&amp;" ·",ROW('分期持仓明细'!$A$166),0)</x:f>
        <x:v>0</x:v>
      </x:c>
      <x:c r="O247" t="n">
        <x:f>IF(LEFT('分期持仓明细'!$A$166,LEN(I$81)+2)=I$81&amp;" ·",ROW('分期持仓明细'!$A$166),0)</x:f>
        <x:v>0</x:v>
      </x:c>
      <x:c r="P247" t="n">
        <x:f>IF(LEFT('分期持仓明细'!$A$166,LEN(J$81)+2)=J$81&amp;" ·",ROW('分期持仓明细'!$A$166),0)</x:f>
        <x:v>0</x:v>
      </x:c>
      <x:c r="Q247" t="n">
        <x:f>IF(LEFT('分期持仓明细'!$A$166,LEN(K$81)+2)=K$81&amp;" ·",ROW('分期持仓明细'!$A$166),0)</x:f>
        <x:v>0</x:v>
      </x:c>
      <x:c r="R247" t="n">
        <x:f>IF(LEFT('分期持仓明细'!$A$166,LEN(L$81)+2)=L$81&amp;" ·",ROW('分期持仓明细'!$A$166),0)</x:f>
        <x:v>0</x:v>
      </x:c>
    </x:row>
    <x:row r="248">
      <x:c r="M248" t="n">
        <x:f>IF(LEFT('分期持仓明细'!$A$167,LEN(G$81)+2)=G$81&amp;" ·",ROW('分期持仓明细'!$A$167),0)</x:f>
        <x:v>0</x:v>
      </x:c>
      <x:c r="N248" t="n">
        <x:f>IF(LEFT('分期持仓明细'!$A$167,LEN(H$81)+2)=H$81&amp;" ·",ROW('分期持仓明细'!$A$167),0)</x:f>
        <x:v>0</x:v>
      </x:c>
      <x:c r="O248" t="n">
        <x:f>IF(LEFT('分期持仓明细'!$A$167,LEN(I$81)+2)=I$81&amp;" ·",ROW('分期持仓明细'!$A$167),0)</x:f>
        <x:v>0</x:v>
      </x:c>
      <x:c r="P248" t="n">
        <x:f>IF(LEFT('分期持仓明细'!$A$167,LEN(J$81)+2)=J$81&amp;" ·",ROW('分期持仓明细'!$A$167),0)</x:f>
        <x:v>0</x:v>
      </x:c>
      <x:c r="Q248" t="n">
        <x:f>IF(LEFT('分期持仓明细'!$A$167,LEN(K$81)+2)=K$81&amp;" ·",ROW('分期持仓明细'!$A$167),0)</x:f>
        <x:v>0</x:v>
      </x:c>
      <x:c r="R248" t="n">
        <x:f>IF(LEFT('分期持仓明细'!$A$167,LEN(L$81)+2)=L$81&amp;" ·",ROW('分期持仓明细'!$A$167),0)</x:f>
        <x:v>0</x:v>
      </x:c>
    </x:row>
    <x:row r="249">
      <x:c r="M249" t="n">
        <x:f>IF(LEFT('分期持仓明细'!$A$168,LEN(G$81)+2)=G$81&amp;" ·",ROW('分期持仓明细'!$A$168),0)</x:f>
        <x:v>0</x:v>
      </x:c>
      <x:c r="N249" t="n">
        <x:f>IF(LEFT('分期持仓明细'!$A$168,LEN(H$81)+2)=H$81&amp;" ·",ROW('分期持仓明细'!$A$168),0)</x:f>
        <x:v>0</x:v>
      </x:c>
      <x:c r="O249" t="n">
        <x:f>IF(LEFT('分期持仓明细'!$A$168,LEN(I$81)+2)=I$81&amp;" ·",ROW('分期持仓明细'!$A$168),0)</x:f>
        <x:v>0</x:v>
      </x:c>
      <x:c r="P249" t="n">
        <x:f>IF(LEFT('分期持仓明细'!$A$168,LEN(J$81)+2)=J$81&amp;" ·",ROW('分期持仓明细'!$A$168),0)</x:f>
        <x:v>0</x:v>
      </x:c>
      <x:c r="Q249" t="n">
        <x:f>IF(LEFT('分期持仓明细'!$A$168,LEN(K$81)+2)=K$81&amp;" ·",ROW('分期持仓明细'!$A$168),0)</x:f>
        <x:v>0</x:v>
      </x:c>
      <x:c r="R249" t="n">
        <x:f>IF(LEFT('分期持仓明细'!$A$168,LEN(L$81)+2)=L$81&amp;" ·",ROW('分期持仓明细'!$A$168),0)</x:f>
        <x:v>0</x:v>
      </x:c>
    </x:row>
    <x:row r="250">
      <x:c r="M250" t="n">
        <x:f>IF(LEFT('分期持仓明细'!$A$169,LEN(G$81)+2)=G$81&amp;" ·",ROW('分期持仓明细'!$A$169),0)</x:f>
        <x:v>0</x:v>
      </x:c>
      <x:c r="N250" t="n">
        <x:f>IF(LEFT('分期持仓明细'!$A$169,LEN(H$81)+2)=H$81&amp;" ·",ROW('分期持仓明细'!$A$169),0)</x:f>
        <x:v>0</x:v>
      </x:c>
      <x:c r="O250" t="n">
        <x:f>IF(LEFT('分期持仓明细'!$A$169,LEN(I$81)+2)=I$81&amp;" ·",ROW('分期持仓明细'!$A$169),0)</x:f>
        <x:v>0</x:v>
      </x:c>
      <x:c r="P250" t="n">
        <x:f>IF(LEFT('分期持仓明细'!$A$169,LEN(J$81)+2)=J$81&amp;" ·",ROW('分期持仓明细'!$A$169),0)</x:f>
        <x:v>0</x:v>
      </x:c>
      <x:c r="Q250" t="n">
        <x:f>IF(LEFT('分期持仓明细'!$A$169,LEN(K$81)+2)=K$81&amp;" ·",ROW('分期持仓明细'!$A$169),0)</x:f>
        <x:v>0</x:v>
      </x:c>
      <x:c r="R250" t="n">
        <x:f>IF(LEFT('分期持仓明细'!$A$169,LEN(L$81)+2)=L$81&amp;" ·",ROW('分期持仓明细'!$A$169),0)</x:f>
        <x:v>0</x:v>
      </x:c>
    </x:row>
    <x:row r="251">
      <x:c r="M251" t="n">
        <x:f>IF(LEFT('分期持仓明细'!$A$170,LEN(G$81)+2)=G$81&amp;" ·",ROW('分期持仓明细'!$A$170),0)</x:f>
        <x:v>0</x:v>
      </x:c>
      <x:c r="N251" t="n">
        <x:f>IF(LEFT('分期持仓明细'!$A$170,LEN(H$81)+2)=H$81&amp;" ·",ROW('分期持仓明细'!$A$170),0)</x:f>
        <x:v>0</x:v>
      </x:c>
      <x:c r="O251" t="n">
        <x:f>IF(LEFT('分期持仓明细'!$A$170,LEN(I$81)+2)=I$81&amp;" ·",ROW('分期持仓明细'!$A$170),0)</x:f>
        <x:v>0</x:v>
      </x:c>
      <x:c r="P251" t="n">
        <x:f>IF(LEFT('分期持仓明细'!$A$170,LEN(J$81)+2)=J$81&amp;" ·",ROW('分期持仓明细'!$A$170),0)</x:f>
        <x:v>0</x:v>
      </x:c>
      <x:c r="Q251" t="n">
        <x:f>IF(LEFT('分期持仓明细'!$A$170,LEN(K$81)+2)=K$81&amp;" ·",ROW('分期持仓明细'!$A$170),0)</x:f>
        <x:v>0</x:v>
      </x:c>
      <x:c r="R251" t="n">
        <x:f>IF(LEFT('分期持仓明细'!$A$170,LEN(L$81)+2)=L$81&amp;" ·",ROW('分期持仓明细'!$A$170),0)</x:f>
        <x:v>0</x:v>
      </x:c>
    </x:row>
    <x:row r="252">
      <x:c r="M252" t="n">
        <x:f>IF(LEFT('分期持仓明细'!$A$171,LEN(G$81)+2)=G$81&amp;" ·",ROW('分期持仓明细'!$A$171),0)</x:f>
        <x:v>0</x:v>
      </x:c>
      <x:c r="N252" t="n">
        <x:f>IF(LEFT('分期持仓明细'!$A$171,LEN(H$81)+2)=H$81&amp;" ·",ROW('分期持仓明细'!$A$171),0)</x:f>
        <x:v>0</x:v>
      </x:c>
      <x:c r="O252" t="n">
        <x:f>IF(LEFT('分期持仓明细'!$A$171,LEN(I$81)+2)=I$81&amp;" ·",ROW('分期持仓明细'!$A$171),0)</x:f>
        <x:v>0</x:v>
      </x:c>
      <x:c r="P252" t="n">
        <x:f>IF(LEFT('分期持仓明细'!$A$171,LEN(J$81)+2)=J$81&amp;" ·",ROW('分期持仓明细'!$A$171),0)</x:f>
        <x:v>0</x:v>
      </x:c>
      <x:c r="Q252" t="n">
        <x:f>IF(LEFT('分期持仓明细'!$A$171,LEN(K$81)+2)=K$81&amp;" ·",ROW('分期持仓明细'!$A$171),0)</x:f>
        <x:v>0</x:v>
      </x:c>
      <x:c r="R252" t="n">
        <x:f>IF(LEFT('分期持仓明细'!$A$171,LEN(L$81)+2)=L$81&amp;" ·",ROW('分期持仓明细'!$A$171),0)</x:f>
        <x:v>0</x:v>
      </x:c>
    </x:row>
    <x:row r="253">
      <x:c r="M253" t="n">
        <x:f>IF(LEFT('分期持仓明细'!$A$172,LEN(G$81)+2)=G$81&amp;" ·",ROW('分期持仓明细'!$A$172),0)</x:f>
        <x:v>0</x:v>
      </x:c>
      <x:c r="N253" t="n">
        <x:f>IF(LEFT('分期持仓明细'!$A$172,LEN(H$81)+2)=H$81&amp;" ·",ROW('分期持仓明细'!$A$172),0)</x:f>
        <x:v>0</x:v>
      </x:c>
      <x:c r="O253" t="n">
        <x:f>IF(LEFT('分期持仓明细'!$A$172,LEN(I$81)+2)=I$81&amp;" ·",ROW('分期持仓明细'!$A$172),0)</x:f>
        <x:v>0</x:v>
      </x:c>
      <x:c r="P253" t="n">
        <x:f>IF(LEFT('分期持仓明细'!$A$172,LEN(J$81)+2)=J$81&amp;" ·",ROW('分期持仓明细'!$A$172),0)</x:f>
        <x:v>0</x:v>
      </x:c>
      <x:c r="Q253" t="n">
        <x:f>IF(LEFT('分期持仓明细'!$A$172,LEN(K$81)+2)=K$81&amp;" ·",ROW('分期持仓明细'!$A$172),0)</x:f>
        <x:v>0</x:v>
      </x:c>
      <x:c r="R253" t="n">
        <x:f>IF(LEFT('分期持仓明细'!$A$172,LEN(L$81)+2)=L$81&amp;" ·",ROW('分期持仓明细'!$A$172),0)</x:f>
        <x:v>0</x:v>
      </x:c>
    </x:row>
    <x:row r="254">
      <x:c r="M254" t="n">
        <x:f>IF(LEFT('分期持仓明细'!$A$173,LEN(G$81)+2)=G$81&amp;" ·",ROW('分期持仓明细'!$A$173),0)</x:f>
        <x:v>0</x:v>
      </x:c>
      <x:c r="N254" t="n">
        <x:f>IF(LEFT('分期持仓明细'!$A$173,LEN(H$81)+2)=H$81&amp;" ·",ROW('分期持仓明细'!$A$173),0)</x:f>
        <x:v>0</x:v>
      </x:c>
      <x:c r="O254" t="n">
        <x:f>IF(LEFT('分期持仓明细'!$A$173,LEN(I$81)+2)=I$81&amp;" ·",ROW('分期持仓明细'!$A$173),0)</x:f>
        <x:v>0</x:v>
      </x:c>
      <x:c r="P254" t="n">
        <x:f>IF(LEFT('分期持仓明细'!$A$173,LEN(J$81)+2)=J$81&amp;" ·",ROW('分期持仓明细'!$A$173),0)</x:f>
        <x:v>0</x:v>
      </x:c>
      <x:c r="Q254" t="n">
        <x:f>IF(LEFT('分期持仓明细'!$A$173,LEN(K$81)+2)=K$81&amp;" ·",ROW('分期持仓明细'!$A$173),0)</x:f>
        <x:v>0</x:v>
      </x:c>
      <x:c r="R254" t="n">
        <x:f>IF(LEFT('分期持仓明细'!$A$173,LEN(L$81)+2)=L$81&amp;" ·",ROW('分期持仓明细'!$A$173),0)</x:f>
        <x:v>0</x:v>
      </x:c>
    </x:row>
    <x:row r="255">
      <x:c r="M255" t="n">
        <x:f>IF(LEFT('分期持仓明细'!$A$174,LEN(G$81)+2)=G$81&amp;" ·",ROW('分期持仓明细'!$A$174),0)</x:f>
        <x:v>0</x:v>
      </x:c>
      <x:c r="N255" t="n">
        <x:f>IF(LEFT('分期持仓明细'!$A$174,LEN(H$81)+2)=H$81&amp;" ·",ROW('分期持仓明细'!$A$174),0)</x:f>
        <x:v>0</x:v>
      </x:c>
      <x:c r="O255" t="n">
        <x:f>IF(LEFT('分期持仓明细'!$A$174,LEN(I$81)+2)=I$81&amp;" ·",ROW('分期持仓明细'!$A$174),0)</x:f>
        <x:v>0</x:v>
      </x:c>
      <x:c r="P255" t="n">
        <x:f>IF(LEFT('分期持仓明细'!$A$174,LEN(J$81)+2)=J$81&amp;" ·",ROW('分期持仓明细'!$A$174),0)</x:f>
        <x:v>0</x:v>
      </x:c>
      <x:c r="Q255" t="n">
        <x:f>IF(LEFT('分期持仓明细'!$A$174,LEN(K$81)+2)=K$81&amp;" ·",ROW('分期持仓明细'!$A$174),0)</x:f>
        <x:v>0</x:v>
      </x:c>
      <x:c r="R255" t="n">
        <x:f>IF(LEFT('分期持仓明细'!$A$174,LEN(L$81)+2)=L$81&amp;" ·",ROW('分期持仓明细'!$A$174),0)</x:f>
        <x:v>0</x:v>
      </x:c>
    </x:row>
    <x:row r="256">
      <x:c r="M256" t="n">
        <x:f>IF(LEFT('分期持仓明细'!$A$175,LEN(G$81)+2)=G$81&amp;" ·",ROW('分期持仓明细'!$A$175),0)</x:f>
        <x:v>0</x:v>
      </x:c>
      <x:c r="N256" t="n">
        <x:f>IF(LEFT('分期持仓明细'!$A$175,LEN(H$81)+2)=H$81&amp;" ·",ROW('分期持仓明细'!$A$175),0)</x:f>
        <x:v>0</x:v>
      </x:c>
      <x:c r="O256" t="n">
        <x:f>IF(LEFT('分期持仓明细'!$A$175,LEN(I$81)+2)=I$81&amp;" ·",ROW('分期持仓明细'!$A$175),0)</x:f>
        <x:v>0</x:v>
      </x:c>
      <x:c r="P256" t="n">
        <x:f>IF(LEFT('分期持仓明细'!$A$175,LEN(J$81)+2)=J$81&amp;" ·",ROW('分期持仓明细'!$A$175),0)</x:f>
        <x:v>0</x:v>
      </x:c>
      <x:c r="Q256" t="n">
        <x:f>IF(LEFT('分期持仓明细'!$A$175,LEN(K$81)+2)=K$81&amp;" ·",ROW('分期持仓明细'!$A$175),0)</x:f>
        <x:v>0</x:v>
      </x:c>
      <x:c r="R256" t="n">
        <x:f>IF(LEFT('分期持仓明细'!$A$175,LEN(L$81)+2)=L$81&amp;" ·",ROW('分期持仓明细'!$A$175),0)</x:f>
        <x:v>0</x:v>
      </x:c>
    </x:row>
    <x:row r="257">
      <x:c r="M257" t="n">
        <x:f>IF(LEFT('分期持仓明细'!$A$176,LEN(G$81)+2)=G$81&amp;" ·",ROW('分期持仓明细'!$A$176),0)</x:f>
        <x:v>0</x:v>
      </x:c>
      <x:c r="N257" t="n">
        <x:f>IF(LEFT('分期持仓明细'!$A$176,LEN(H$81)+2)=H$81&amp;" ·",ROW('分期持仓明细'!$A$176),0)</x:f>
        <x:v>0</x:v>
      </x:c>
      <x:c r="O257" t="n">
        <x:f>IF(LEFT('分期持仓明细'!$A$176,LEN(I$81)+2)=I$81&amp;" ·",ROW('分期持仓明细'!$A$176),0)</x:f>
        <x:v>0</x:v>
      </x:c>
      <x:c r="P257" t="n">
        <x:f>IF(LEFT('分期持仓明细'!$A$176,LEN(J$81)+2)=J$81&amp;" ·",ROW('分期持仓明细'!$A$176),0)</x:f>
        <x:v>0</x:v>
      </x:c>
      <x:c r="Q257" t="n">
        <x:f>IF(LEFT('分期持仓明细'!$A$176,LEN(K$81)+2)=K$81&amp;" ·",ROW('分期持仓明细'!$A$176),0)</x:f>
        <x:v>0</x:v>
      </x:c>
      <x:c r="R257" t="n">
        <x:f>IF(LEFT('分期持仓明细'!$A$176,LEN(L$81)+2)=L$81&amp;" ·",ROW('分期持仓明细'!$A$176),0)</x:f>
        <x:v>0</x:v>
      </x:c>
    </x:row>
    <x:row r="258">
      <x:c r="M258" t="n">
        <x:f>IF(LEFT('分期持仓明细'!$A$177,LEN(G$81)+2)=G$81&amp;" ·",ROW('分期持仓明细'!$A$177),0)</x:f>
        <x:v>0</x:v>
      </x:c>
      <x:c r="N258" t="n">
        <x:f>IF(LEFT('分期持仓明细'!$A$177,LEN(H$81)+2)=H$81&amp;" ·",ROW('分期持仓明细'!$A$177),0)</x:f>
        <x:v>0</x:v>
      </x:c>
      <x:c r="O258" t="n">
        <x:f>IF(LEFT('分期持仓明细'!$A$177,LEN(I$81)+2)=I$81&amp;" ·",ROW('分期持仓明细'!$A$177),0)</x:f>
        <x:v>0</x:v>
      </x:c>
      <x:c r="P258" t="n">
        <x:f>IF(LEFT('分期持仓明细'!$A$177,LEN(J$81)+2)=J$81&amp;" ·",ROW('分期持仓明细'!$A$177),0)</x:f>
        <x:v>0</x:v>
      </x:c>
      <x:c r="Q258" t="n">
        <x:f>IF(LEFT('分期持仓明细'!$A$177,LEN(K$81)+2)=K$81&amp;" ·",ROW('分期持仓明细'!$A$177),0)</x:f>
        <x:v>0</x:v>
      </x:c>
      <x:c r="R258" t="n">
        <x:f>IF(LEFT('分期持仓明细'!$A$177,LEN(L$81)+2)=L$81&amp;" ·",ROW('分期持仓明细'!$A$177),0)</x:f>
        <x:v>0</x:v>
      </x:c>
    </x:row>
    <x:row r="259">
      <x:c r="M259" t="n">
        <x:f>IF(LEFT('分期持仓明细'!$A$178,LEN(G$81)+2)=G$81&amp;" ·",ROW('分期持仓明细'!$A$178),0)</x:f>
        <x:v>0</x:v>
      </x:c>
      <x:c r="N259" t="n">
        <x:f>IF(LEFT('分期持仓明细'!$A$178,LEN(H$81)+2)=H$81&amp;" ·",ROW('分期持仓明细'!$A$178),0)</x:f>
        <x:v>0</x:v>
      </x:c>
      <x:c r="O259" t="n">
        <x:f>IF(LEFT('分期持仓明细'!$A$178,LEN(I$81)+2)=I$81&amp;" ·",ROW('分期持仓明细'!$A$178),0)</x:f>
        <x:v>0</x:v>
      </x:c>
      <x:c r="P259" t="n">
        <x:f>IF(LEFT('分期持仓明细'!$A$178,LEN(J$81)+2)=J$81&amp;" ·",ROW('分期持仓明细'!$A$178),0)</x:f>
        <x:v>0</x:v>
      </x:c>
      <x:c r="Q259" t="n">
        <x:f>IF(LEFT('分期持仓明细'!$A$178,LEN(K$81)+2)=K$81&amp;" ·",ROW('分期持仓明细'!$A$178),0)</x:f>
        <x:v>0</x:v>
      </x:c>
      <x:c r="R259" t="n">
        <x:f>IF(LEFT('分期持仓明细'!$A$178,LEN(L$81)+2)=L$81&amp;" ·",ROW('分期持仓明细'!$A$178),0)</x:f>
        <x:v>0</x:v>
      </x:c>
    </x:row>
    <x:row r="260">
      <x:c r="M260" t="n">
        <x:f>IF(LEFT('分期持仓明细'!$A$179,LEN(G$81)+2)=G$81&amp;" ·",ROW('分期持仓明细'!$A$179),0)</x:f>
        <x:v>0</x:v>
      </x:c>
      <x:c r="N260" t="n">
        <x:f>IF(LEFT('分期持仓明细'!$A$179,LEN(H$81)+2)=H$81&amp;" ·",ROW('分期持仓明细'!$A$179),0)</x:f>
        <x:v>0</x:v>
      </x:c>
      <x:c r="O260" t="n">
        <x:f>IF(LEFT('分期持仓明细'!$A$179,LEN(I$81)+2)=I$81&amp;" ·",ROW('分期持仓明细'!$A$179),0)</x:f>
        <x:v>0</x:v>
      </x:c>
      <x:c r="P260" t="n">
        <x:f>IF(LEFT('分期持仓明细'!$A$179,LEN(J$81)+2)=J$81&amp;" ·",ROW('分期持仓明细'!$A$179),0)</x:f>
        <x:v>0</x:v>
      </x:c>
      <x:c r="Q260" t="n">
        <x:f>IF(LEFT('分期持仓明细'!$A$179,LEN(K$81)+2)=K$81&amp;" ·",ROW('分期持仓明细'!$A$179),0)</x:f>
        <x:v>0</x:v>
      </x:c>
      <x:c r="R260" t="n">
        <x:f>IF(LEFT('分期持仓明细'!$A$179,LEN(L$81)+2)=L$81&amp;" ·",ROW('分期持仓明细'!$A$179),0)</x:f>
        <x:v>0</x:v>
      </x:c>
    </x:row>
    <x:row r="261">
      <x:c r="M261" t="n">
        <x:f>IF(LEFT('分期持仓明细'!$A$180,LEN(G$81)+2)=G$81&amp;" ·",ROW('分期持仓明细'!$A$180),0)</x:f>
        <x:v>0</x:v>
      </x:c>
      <x:c r="N261" t="n">
        <x:f>IF(LEFT('分期持仓明细'!$A$180,LEN(H$81)+2)=H$81&amp;" ·",ROW('分期持仓明细'!$A$180),0)</x:f>
        <x:v>0</x:v>
      </x:c>
      <x:c r="O261" t="n">
        <x:f>IF(LEFT('分期持仓明细'!$A$180,LEN(I$81)+2)=I$81&amp;" ·",ROW('分期持仓明细'!$A$180),0)</x:f>
        <x:v>0</x:v>
      </x:c>
      <x:c r="P261" t="n">
        <x:f>IF(LEFT('分期持仓明细'!$A$180,LEN(J$81)+2)=J$81&amp;" ·",ROW('分期持仓明细'!$A$180),0)</x:f>
        <x:v>0</x:v>
      </x:c>
      <x:c r="Q261" t="n">
        <x:f>IF(LEFT('分期持仓明细'!$A$180,LEN(K$81)+2)=K$81&amp;" ·",ROW('分期持仓明细'!$A$180),0)</x:f>
        <x:v>0</x:v>
      </x:c>
      <x:c r="R261" t="n">
        <x:f>IF(LEFT('分期持仓明细'!$A$180,LEN(L$81)+2)=L$81&amp;" ·",ROW('分期持仓明细'!$A$180),0)</x:f>
        <x:v>0</x:v>
      </x:c>
    </x:row>
    <x:row r="262">
      <x:c r="M262" t="n">
        <x:f>IF(LEFT('分期持仓明细'!$A$181,LEN(G$81)+2)=G$81&amp;" ·",ROW('分期持仓明细'!$A$181),0)</x:f>
        <x:v>0</x:v>
      </x:c>
      <x:c r="N262" t="n">
        <x:f>IF(LEFT('分期持仓明细'!$A$181,LEN(H$81)+2)=H$81&amp;" ·",ROW('分期持仓明细'!$A$181),0)</x:f>
        <x:v>0</x:v>
      </x:c>
      <x:c r="O262" t="n">
        <x:f>IF(LEFT('分期持仓明细'!$A$181,LEN(I$81)+2)=I$81&amp;" ·",ROW('分期持仓明细'!$A$181),0)</x:f>
        <x:v>0</x:v>
      </x:c>
      <x:c r="P262" t="n">
        <x:f>IF(LEFT('分期持仓明细'!$A$181,LEN(J$81)+2)=J$81&amp;" ·",ROW('分期持仓明细'!$A$181),0)</x:f>
        <x:v>0</x:v>
      </x:c>
      <x:c r="Q262" t="n">
        <x:f>IF(LEFT('分期持仓明细'!$A$181,LEN(K$81)+2)=K$81&amp;" ·",ROW('分期持仓明细'!$A$181),0)</x:f>
        <x:v>0</x:v>
      </x:c>
      <x:c r="R262" t="n">
        <x:f>IF(LEFT('分期持仓明细'!$A$181,LEN(L$81)+2)=L$81&amp;" ·",ROW('分期持仓明细'!$A$181),0)</x:f>
        <x:v>0</x:v>
      </x:c>
    </x:row>
    <x:row r="263">
      <x:c r="M263" t="n">
        <x:f>IF(LEFT('分期持仓明细'!$A$182,LEN(G$81)+2)=G$81&amp;" ·",ROW('分期持仓明细'!$A$182),0)</x:f>
        <x:v>0</x:v>
      </x:c>
      <x:c r="N263" t="n">
        <x:f>IF(LEFT('分期持仓明细'!$A$182,LEN(H$81)+2)=H$81&amp;" ·",ROW('分期持仓明细'!$A$182),0)</x:f>
        <x:v>0</x:v>
      </x:c>
      <x:c r="O263" t="n">
        <x:f>IF(LEFT('分期持仓明细'!$A$182,LEN(I$81)+2)=I$81&amp;" ·",ROW('分期持仓明细'!$A$182),0)</x:f>
        <x:v>0</x:v>
      </x:c>
      <x:c r="P263" t="n">
        <x:f>IF(LEFT('分期持仓明细'!$A$182,LEN(J$81)+2)=J$81&amp;" ·",ROW('分期持仓明细'!$A$182),0)</x:f>
        <x:v>0</x:v>
      </x:c>
      <x:c r="Q263" t="n">
        <x:f>IF(LEFT('分期持仓明细'!$A$182,LEN(K$81)+2)=K$81&amp;" ·",ROW('分期持仓明细'!$A$182),0)</x:f>
        <x:v>0</x:v>
      </x:c>
      <x:c r="R263" t="n">
        <x:f>IF(LEFT('分期持仓明细'!$A$182,LEN(L$81)+2)=L$81&amp;" ·",ROW('分期持仓明细'!$A$182),0)</x:f>
        <x:v>0</x:v>
      </x:c>
    </x:row>
    <x:row r="264">
      <x:c r="M264" t="n">
        <x:f>IF(LEFT('分期持仓明细'!$A$183,LEN(G$81)+2)=G$81&amp;" ·",ROW('分期持仓明细'!$A$183),0)</x:f>
        <x:v>0</x:v>
      </x:c>
      <x:c r="N264" t="n">
        <x:f>IF(LEFT('分期持仓明细'!$A$183,LEN(H$81)+2)=H$81&amp;" ·",ROW('分期持仓明细'!$A$183),0)</x:f>
        <x:v>0</x:v>
      </x:c>
      <x:c r="O264" t="n">
        <x:f>IF(LEFT('分期持仓明细'!$A$183,LEN(I$81)+2)=I$81&amp;" ·",ROW('分期持仓明细'!$A$183),0)</x:f>
        <x:v>0</x:v>
      </x:c>
      <x:c r="P264" t="n">
        <x:f>IF(LEFT('分期持仓明细'!$A$183,LEN(J$81)+2)=J$81&amp;" ·",ROW('分期持仓明细'!$A$183),0)</x:f>
        <x:v>0</x:v>
      </x:c>
      <x:c r="Q264" t="n">
        <x:f>IF(LEFT('分期持仓明细'!$A$183,LEN(K$81)+2)=K$81&amp;" ·",ROW('分期持仓明细'!$A$183),0)</x:f>
        <x:v>0</x:v>
      </x:c>
      <x:c r="R264" t="n">
        <x:f>IF(LEFT('分期持仓明细'!$A$183,LEN(L$81)+2)=L$81&amp;" ·",ROW('分期持仓明细'!$A$183),0)</x:f>
        <x:v>0</x:v>
      </x:c>
    </x:row>
    <x:row r="265">
      <x:c r="M265" t="n">
        <x:f>IF(LEFT('分期持仓明细'!$A$184,LEN(G$81)+2)=G$81&amp;" ·",ROW('分期持仓明细'!$A$184),0)</x:f>
        <x:v>0</x:v>
      </x:c>
      <x:c r="N265" t="n">
        <x:f>IF(LEFT('分期持仓明细'!$A$184,LEN(H$81)+2)=H$81&amp;" ·",ROW('分期持仓明细'!$A$184),0)</x:f>
        <x:v>0</x:v>
      </x:c>
      <x:c r="O265" t="n">
        <x:f>IF(LEFT('分期持仓明细'!$A$184,LEN(I$81)+2)=I$81&amp;" ·",ROW('分期持仓明细'!$A$184),0)</x:f>
        <x:v>0</x:v>
      </x:c>
      <x:c r="P265" t="n">
        <x:f>IF(LEFT('分期持仓明细'!$A$184,LEN(J$81)+2)=J$81&amp;" ·",ROW('分期持仓明细'!$A$184),0)</x:f>
        <x:v>0</x:v>
      </x:c>
      <x:c r="Q265" t="n">
        <x:f>IF(LEFT('分期持仓明细'!$A$184,LEN(K$81)+2)=K$81&amp;" ·",ROW('分期持仓明细'!$A$184),0)</x:f>
        <x:v>0</x:v>
      </x:c>
      <x:c r="R265" t="n">
        <x:f>IF(LEFT('分期持仓明细'!$A$184,LEN(L$81)+2)=L$81&amp;" ·",ROW('分期持仓明细'!$A$184),0)</x:f>
        <x:v>0</x:v>
      </x:c>
    </x:row>
    <x:row r="266">
      <x:c r="M266" t="n">
        <x:f>IF(LEFT('分期持仓明细'!$A$185,LEN(G$81)+2)=G$81&amp;" ·",ROW('分期持仓明细'!$A$185),0)</x:f>
        <x:v>0</x:v>
      </x:c>
      <x:c r="N266" t="n">
        <x:f>IF(LEFT('分期持仓明细'!$A$185,LEN(H$81)+2)=H$81&amp;" ·",ROW('分期持仓明细'!$A$185),0)</x:f>
        <x:v>0</x:v>
      </x:c>
      <x:c r="O266" t="n">
        <x:f>IF(LEFT('分期持仓明细'!$A$185,LEN(I$81)+2)=I$81&amp;" ·",ROW('分期持仓明细'!$A$185),0)</x:f>
        <x:v>0</x:v>
      </x:c>
      <x:c r="P266" t="n">
        <x:f>IF(LEFT('分期持仓明细'!$A$185,LEN(J$81)+2)=J$81&amp;" ·",ROW('分期持仓明细'!$A$185),0)</x:f>
        <x:v>0</x:v>
      </x:c>
      <x:c r="Q266" t="n">
        <x:f>IF(LEFT('分期持仓明细'!$A$185,LEN(K$81)+2)=K$81&amp;" ·",ROW('分期持仓明细'!$A$185),0)</x:f>
        <x:v>0</x:v>
      </x:c>
      <x:c r="R266" t="n">
        <x:f>IF(LEFT('分期持仓明细'!$A$185,LEN(L$81)+2)=L$81&amp;" ·",ROW('分期持仓明细'!$A$185),0)</x:f>
        <x:v>0</x:v>
      </x:c>
    </x:row>
    <x:row r="267">
      <x:c r="M267" t="n">
        <x:f>IF(LEFT('分期持仓明细'!$A$186,LEN(G$81)+2)=G$81&amp;" ·",ROW('分期持仓明细'!$A$186),0)</x:f>
        <x:v>0</x:v>
      </x:c>
      <x:c r="N267" t="n">
        <x:f>IF(LEFT('分期持仓明细'!$A$186,LEN(H$81)+2)=H$81&amp;" ·",ROW('分期持仓明细'!$A$186),0)</x:f>
        <x:v>0</x:v>
      </x:c>
      <x:c r="O267" t="n">
        <x:f>IF(LEFT('分期持仓明细'!$A$186,LEN(I$81)+2)=I$81&amp;" ·",ROW('分期持仓明细'!$A$186),0)</x:f>
        <x:v>0</x:v>
      </x:c>
      <x:c r="P267" t="n">
        <x:f>IF(LEFT('分期持仓明细'!$A$186,LEN(J$81)+2)=J$81&amp;" ·",ROW('分期持仓明细'!$A$186),0)</x:f>
        <x:v>0</x:v>
      </x:c>
      <x:c r="Q267" t="n">
        <x:f>IF(LEFT('分期持仓明细'!$A$186,LEN(K$81)+2)=K$81&amp;" ·",ROW('分期持仓明细'!$A$186),0)</x:f>
        <x:v>0</x:v>
      </x:c>
      <x:c r="R267" t="n">
        <x:f>IF(LEFT('分期持仓明细'!$A$186,LEN(L$81)+2)=L$81&amp;" ·",ROW('分期持仓明细'!$A$186),0)</x:f>
        <x:v>0</x:v>
      </x:c>
    </x:row>
    <x:row r="268">
      <x:c r="M268" t="n">
        <x:f>IF(LEFT('分期持仓明细'!$A$187,LEN(G$81)+2)=G$81&amp;" ·",ROW('分期持仓明细'!$A$187),0)</x:f>
        <x:v>0</x:v>
      </x:c>
      <x:c r="N268" t="n">
        <x:f>IF(LEFT('分期持仓明细'!$A$187,LEN(H$81)+2)=H$81&amp;" ·",ROW('分期持仓明细'!$A$187),0)</x:f>
        <x:v>0</x:v>
      </x:c>
      <x:c r="O268" t="n">
        <x:f>IF(LEFT('分期持仓明细'!$A$187,LEN(I$81)+2)=I$81&amp;" ·",ROW('分期持仓明细'!$A$187),0)</x:f>
        <x:v>0</x:v>
      </x:c>
      <x:c r="P268" t="n">
        <x:f>IF(LEFT('分期持仓明细'!$A$187,LEN(J$81)+2)=J$81&amp;" ·",ROW('分期持仓明细'!$A$187),0)</x:f>
        <x:v>0</x:v>
      </x:c>
      <x:c r="Q268" t="n">
        <x:f>IF(LEFT('分期持仓明细'!$A$187,LEN(K$81)+2)=K$81&amp;" ·",ROW('分期持仓明细'!$A$187),0)</x:f>
        <x:v>0</x:v>
      </x:c>
      <x:c r="R268" t="n">
        <x:f>IF(LEFT('分期持仓明细'!$A$187,LEN(L$81)+2)=L$81&amp;" ·",ROW('分期持仓明细'!$A$187),0)</x:f>
        <x:v>0</x:v>
      </x:c>
    </x:row>
    <x:row r="269">
      <x:c r="M269" t="n">
        <x:f>IF(LEFT('分期持仓明细'!$A$188,LEN(G$81)+2)=G$81&amp;" ·",ROW('分期持仓明细'!$A$188),0)</x:f>
        <x:v>0</x:v>
      </x:c>
      <x:c r="N269" t="n">
        <x:f>IF(LEFT('分期持仓明细'!$A$188,LEN(H$81)+2)=H$81&amp;" ·",ROW('分期持仓明细'!$A$188),0)</x:f>
        <x:v>0</x:v>
      </x:c>
      <x:c r="O269" t="n">
        <x:f>IF(LEFT('分期持仓明细'!$A$188,LEN(I$81)+2)=I$81&amp;" ·",ROW('分期持仓明细'!$A$188),0)</x:f>
        <x:v>0</x:v>
      </x:c>
      <x:c r="P269" t="n">
        <x:f>IF(LEFT('分期持仓明细'!$A$188,LEN(J$81)+2)=J$81&amp;" ·",ROW('分期持仓明细'!$A$188),0)</x:f>
        <x:v>0</x:v>
      </x:c>
      <x:c r="Q269" t="n">
        <x:f>IF(LEFT('分期持仓明细'!$A$188,LEN(K$81)+2)=K$81&amp;" ·",ROW('分期持仓明细'!$A$188),0)</x:f>
        <x:v>0</x:v>
      </x:c>
      <x:c r="R269" t="n">
        <x:f>IF(LEFT('分期持仓明细'!$A$188,LEN(L$81)+2)=L$81&amp;" ·",ROW('分期持仓明细'!$A$188),0)</x:f>
        <x:v>0</x:v>
      </x:c>
    </x:row>
    <x:row r="270">
      <x:c r="M270" t="n">
        <x:f>IF(LEFT('分期持仓明细'!$A$189,LEN(G$81)+2)=G$81&amp;" ·",ROW('分期持仓明细'!$A$189),0)</x:f>
        <x:v>0</x:v>
      </x:c>
      <x:c r="N270" t="n">
        <x:f>IF(LEFT('分期持仓明细'!$A$189,LEN(H$81)+2)=H$81&amp;" ·",ROW('分期持仓明细'!$A$189),0)</x:f>
        <x:v>0</x:v>
      </x:c>
      <x:c r="O270" t="n">
        <x:f>IF(LEFT('分期持仓明细'!$A$189,LEN(I$81)+2)=I$81&amp;" ·",ROW('分期持仓明细'!$A$189),0)</x:f>
        <x:v>0</x:v>
      </x:c>
      <x:c r="P270" t="n">
        <x:f>IF(LEFT('分期持仓明细'!$A$189,LEN(J$81)+2)=J$81&amp;" ·",ROW('分期持仓明细'!$A$189),0)</x:f>
        <x:v>0</x:v>
      </x:c>
      <x:c r="Q270" t="n">
        <x:f>IF(LEFT('分期持仓明细'!$A$189,LEN(K$81)+2)=K$81&amp;" ·",ROW('分期持仓明细'!$A$189),0)</x:f>
        <x:v>0</x:v>
      </x:c>
      <x:c r="R270" t="n">
        <x:f>IF(LEFT('分期持仓明细'!$A$189,LEN(L$81)+2)=L$81&amp;" ·",ROW('分期持仓明细'!$A$189),0)</x:f>
        <x:v>0</x:v>
      </x:c>
    </x:row>
    <x:row r="271">
      <x:c r="M271" t="n">
        <x:f>IF(LEFT('分期持仓明细'!$A$190,LEN(G$81)+2)=G$81&amp;" ·",ROW('分期持仓明细'!$A$190),0)</x:f>
        <x:v>0</x:v>
      </x:c>
      <x:c r="N271" t="n">
        <x:f>IF(LEFT('分期持仓明细'!$A$190,LEN(H$81)+2)=H$81&amp;" ·",ROW('分期持仓明细'!$A$190),0)</x:f>
        <x:v>0</x:v>
      </x:c>
      <x:c r="O271" t="n">
        <x:f>IF(LEFT('分期持仓明细'!$A$190,LEN(I$81)+2)=I$81&amp;" ·",ROW('分期持仓明细'!$A$190),0)</x:f>
        <x:v>0</x:v>
      </x:c>
      <x:c r="P271" t="n">
        <x:f>IF(LEFT('分期持仓明细'!$A$190,LEN(J$81)+2)=J$81&amp;" ·",ROW('分期持仓明细'!$A$190),0)</x:f>
        <x:v>0</x:v>
      </x:c>
      <x:c r="Q271" t="n">
        <x:f>IF(LEFT('分期持仓明细'!$A$190,LEN(K$81)+2)=K$81&amp;" ·",ROW('分期持仓明细'!$A$190),0)</x:f>
        <x:v>0</x:v>
      </x:c>
      <x:c r="R271" t="n">
        <x:f>IF(LEFT('分期持仓明细'!$A$190,LEN(L$81)+2)=L$81&amp;" ·",ROW('分期持仓明细'!$A$190),0)</x:f>
        <x:v>0</x:v>
      </x:c>
    </x:row>
    <x:row r="272">
      <x:c r="M272" t="n">
        <x:f>IF(LEFT('分期持仓明细'!$A$191,LEN(G$81)+2)=G$81&amp;" ·",ROW('分期持仓明细'!$A$191),0)</x:f>
        <x:v>0</x:v>
      </x:c>
      <x:c r="N272" t="n">
        <x:f>IF(LEFT('分期持仓明细'!$A$191,LEN(H$81)+2)=H$81&amp;" ·",ROW('分期持仓明细'!$A$191),0)</x:f>
        <x:v>0</x:v>
      </x:c>
      <x:c r="O272" t="n">
        <x:f>IF(LEFT('分期持仓明细'!$A$191,LEN(I$81)+2)=I$81&amp;" ·",ROW('分期持仓明细'!$A$191),0)</x:f>
        <x:v>0</x:v>
      </x:c>
      <x:c r="P272" t="n">
        <x:f>IF(LEFT('分期持仓明细'!$A$191,LEN(J$81)+2)=J$81&amp;" ·",ROW('分期持仓明细'!$A$191),0)</x:f>
        <x:v>0</x:v>
      </x:c>
      <x:c r="Q272" t="n">
        <x:f>IF(LEFT('分期持仓明细'!$A$191,LEN(K$81)+2)=K$81&amp;" ·",ROW('分期持仓明细'!$A$191),0)</x:f>
        <x:v>0</x:v>
      </x:c>
      <x:c r="R272" t="n">
        <x:f>IF(LEFT('分期持仓明细'!$A$191,LEN(L$81)+2)=L$81&amp;" ·",ROW('分期持仓明细'!$A$191),0)</x:f>
        <x:v>0</x:v>
      </x:c>
    </x:row>
    <x:row r="273">
      <x:c r="M273" t="n">
        <x:f>IF(LEFT('分期持仓明细'!$A$192,LEN(G$81)+2)=G$81&amp;" ·",ROW('分期持仓明细'!$A$192),0)</x:f>
        <x:v>0</x:v>
      </x:c>
      <x:c r="N273" t="n">
        <x:f>IF(LEFT('分期持仓明细'!$A$192,LEN(H$81)+2)=H$81&amp;" ·",ROW('分期持仓明细'!$A$192),0)</x:f>
        <x:v>0</x:v>
      </x:c>
      <x:c r="O273" t="n">
        <x:f>IF(LEFT('分期持仓明细'!$A$192,LEN(I$81)+2)=I$81&amp;" ·",ROW('分期持仓明细'!$A$192),0)</x:f>
        <x:v>0</x:v>
      </x:c>
      <x:c r="P273" t="n">
        <x:f>IF(LEFT('分期持仓明细'!$A$192,LEN(J$81)+2)=J$81&amp;" ·",ROW('分期持仓明细'!$A$192),0)</x:f>
        <x:v>0</x:v>
      </x:c>
      <x:c r="Q273" t="n">
        <x:f>IF(LEFT('分期持仓明细'!$A$192,LEN(K$81)+2)=K$81&amp;" ·",ROW('分期持仓明细'!$A$192),0)</x:f>
        <x:v>0</x:v>
      </x:c>
      <x:c r="R273" t="n">
        <x:f>IF(LEFT('分期持仓明细'!$A$192,LEN(L$81)+2)=L$81&amp;" ·",ROW('分期持仓明细'!$A$192),0)</x:f>
        <x:v>0</x:v>
      </x:c>
    </x:row>
    <x:row r="274">
      <x:c r="M274" t="n">
        <x:f>IF(LEFT('分期持仓明细'!$A$193,LEN(G$81)+2)=G$81&amp;" ·",ROW('分期持仓明细'!$A$193),0)</x:f>
        <x:v>0</x:v>
      </x:c>
      <x:c r="N274" t="n">
        <x:f>IF(LEFT('分期持仓明细'!$A$193,LEN(H$81)+2)=H$81&amp;" ·",ROW('分期持仓明细'!$A$193),0)</x:f>
        <x:v>0</x:v>
      </x:c>
      <x:c r="O274" t="n">
        <x:f>IF(LEFT('分期持仓明细'!$A$193,LEN(I$81)+2)=I$81&amp;" ·",ROW('分期持仓明细'!$A$193),0)</x:f>
        <x:v>0</x:v>
      </x:c>
      <x:c r="P274" t="n">
        <x:f>IF(LEFT('分期持仓明细'!$A$193,LEN(J$81)+2)=J$81&amp;" ·",ROW('分期持仓明细'!$A$193),0)</x:f>
        <x:v>0</x:v>
      </x:c>
      <x:c r="Q274" t="n">
        <x:f>IF(LEFT('分期持仓明细'!$A$193,LEN(K$81)+2)=K$81&amp;" ·",ROW('分期持仓明细'!$A$193),0)</x:f>
        <x:v>0</x:v>
      </x:c>
      <x:c r="R274" t="n">
        <x:f>IF(LEFT('分期持仓明细'!$A$193,LEN(L$81)+2)=L$81&amp;" ·",ROW('分期持仓明细'!$A$193),0)</x:f>
        <x:v>0</x:v>
      </x:c>
    </x:row>
    <x:row r="275">
      <x:c r="M275" t="n">
        <x:f>IF(LEFT('分期持仓明细'!$A$194,LEN(G$81)+2)=G$81&amp;" ·",ROW('分期持仓明细'!$A$194),0)</x:f>
        <x:v>0</x:v>
      </x:c>
      <x:c r="N275" t="n">
        <x:f>IF(LEFT('分期持仓明细'!$A$194,LEN(H$81)+2)=H$81&amp;" ·",ROW('分期持仓明细'!$A$194),0)</x:f>
        <x:v>0</x:v>
      </x:c>
      <x:c r="O275" t="n">
        <x:f>IF(LEFT('分期持仓明细'!$A$194,LEN(I$81)+2)=I$81&amp;" ·",ROW('分期持仓明细'!$A$194),0)</x:f>
        <x:v>0</x:v>
      </x:c>
      <x:c r="P275" t="n">
        <x:f>IF(LEFT('分期持仓明细'!$A$194,LEN(J$81)+2)=J$81&amp;" ·",ROW('分期持仓明细'!$A$194),0)</x:f>
        <x:v>0</x:v>
      </x:c>
      <x:c r="Q275" t="n">
        <x:f>IF(LEFT('分期持仓明细'!$A$194,LEN(K$81)+2)=K$81&amp;" ·",ROW('分期持仓明细'!$A$194),0)</x:f>
        <x:v>0</x:v>
      </x:c>
      <x:c r="R275" t="n">
        <x:f>IF(LEFT('分期持仓明细'!$A$194,LEN(L$81)+2)=L$81&amp;" ·",ROW('分期持仓明细'!$A$194),0)</x:f>
        <x:v>0</x:v>
      </x:c>
    </x:row>
    <x:row r="276">
      <x:c r="M276" t="n">
        <x:f>IF(LEFT('分期持仓明细'!$A$195,LEN(G$81)+2)=G$81&amp;" ·",ROW('分期持仓明细'!$A$195),0)</x:f>
        <x:v>0</x:v>
      </x:c>
      <x:c r="N276" t="n">
        <x:f>IF(LEFT('分期持仓明细'!$A$195,LEN(H$81)+2)=H$81&amp;" ·",ROW('分期持仓明细'!$A$195),0)</x:f>
        <x:v>0</x:v>
      </x:c>
      <x:c r="O276" t="n">
        <x:f>IF(LEFT('分期持仓明细'!$A$195,LEN(I$81)+2)=I$81&amp;" ·",ROW('分期持仓明细'!$A$195),0)</x:f>
        <x:v>0</x:v>
      </x:c>
      <x:c r="P276" t="n">
        <x:f>IF(LEFT('分期持仓明细'!$A$195,LEN(J$81)+2)=J$81&amp;" ·",ROW('分期持仓明细'!$A$195),0)</x:f>
        <x:v>0</x:v>
      </x:c>
      <x:c r="Q276" t="n">
        <x:f>IF(LEFT('分期持仓明细'!$A$195,LEN(K$81)+2)=K$81&amp;" ·",ROW('分期持仓明细'!$A$195),0)</x:f>
        <x:v>0</x:v>
      </x:c>
      <x:c r="R276" t="n">
        <x:f>IF(LEFT('分期持仓明细'!$A$195,LEN(L$81)+2)=L$81&amp;" ·",ROW('分期持仓明细'!$A$195),0)</x:f>
        <x:v>0</x:v>
      </x:c>
    </x:row>
    <x:row r="277">
      <x:c r="M277" t="n">
        <x:f>IF(LEFT('分期持仓明细'!$A$196,LEN(G$81)+2)=G$81&amp;" ·",ROW('分期持仓明细'!$A$196),0)</x:f>
        <x:v>0</x:v>
      </x:c>
      <x:c r="N277" t="n">
        <x:f>IF(LEFT('分期持仓明细'!$A$196,LEN(H$81)+2)=H$81&amp;" ·",ROW('分期持仓明细'!$A$196),0)</x:f>
        <x:v>0</x:v>
      </x:c>
      <x:c r="O277" t="n">
        <x:f>IF(LEFT('分期持仓明细'!$A$196,LEN(I$81)+2)=I$81&amp;" ·",ROW('分期持仓明细'!$A$196),0)</x:f>
        <x:v>0</x:v>
      </x:c>
      <x:c r="P277" t="n">
        <x:f>IF(LEFT('分期持仓明细'!$A$196,LEN(J$81)+2)=J$81&amp;" ·",ROW('分期持仓明细'!$A$196),0)</x:f>
        <x:v>0</x:v>
      </x:c>
      <x:c r="Q277" t="n">
        <x:f>IF(LEFT('分期持仓明细'!$A$196,LEN(K$81)+2)=K$81&amp;" ·",ROW('分期持仓明细'!$A$196),0)</x:f>
        <x:v>0</x:v>
      </x:c>
      <x:c r="R277" t="n">
        <x:f>IF(LEFT('分期持仓明细'!$A$196,LEN(L$81)+2)=L$81&amp;" ·",ROW('分期持仓明细'!$A$196),0)</x:f>
        <x:v>0</x:v>
      </x:c>
    </x:row>
    <x:row r="278">
      <x:c r="M278" t="n">
        <x:f>IF(LEFT('分期持仓明细'!$A$197,LEN(G$81)+2)=G$81&amp;" ·",ROW('分期持仓明细'!$A$197),0)</x:f>
        <x:v>0</x:v>
      </x:c>
      <x:c r="N278" t="n">
        <x:f>IF(LEFT('分期持仓明细'!$A$197,LEN(H$81)+2)=H$81&amp;" ·",ROW('分期持仓明细'!$A$197),0)</x:f>
        <x:v>0</x:v>
      </x:c>
      <x:c r="O278" t="n">
        <x:f>IF(LEFT('分期持仓明细'!$A$197,LEN(I$81)+2)=I$81&amp;" ·",ROW('分期持仓明细'!$A$197),0)</x:f>
        <x:v>0</x:v>
      </x:c>
      <x:c r="P278" t="n">
        <x:f>IF(LEFT('分期持仓明细'!$A$197,LEN(J$81)+2)=J$81&amp;" ·",ROW('分期持仓明细'!$A$197),0)</x:f>
        <x:v>0</x:v>
      </x:c>
      <x:c r="Q278" t="n">
        <x:f>IF(LEFT('分期持仓明细'!$A$197,LEN(K$81)+2)=K$81&amp;" ·",ROW('分期持仓明细'!$A$197),0)</x:f>
        <x:v>0</x:v>
      </x:c>
      <x:c r="R278" t="n">
        <x:f>IF(LEFT('分期持仓明细'!$A$197,LEN(L$81)+2)=L$81&amp;" ·",ROW('分期持仓明细'!$A$197),0)</x:f>
        <x:v>0</x:v>
      </x:c>
    </x:row>
    <x:row r="279">
      <x:c r="M279" t="n">
        <x:f>IF(LEFT('分期持仓明细'!$A$198,LEN(G$81)+2)=G$81&amp;" ·",ROW('分期持仓明细'!$A$198),0)</x:f>
        <x:v>0</x:v>
      </x:c>
      <x:c r="N279" t="n">
        <x:f>IF(LEFT('分期持仓明细'!$A$198,LEN(H$81)+2)=H$81&amp;" ·",ROW('分期持仓明细'!$A$198),0)</x:f>
        <x:v>0</x:v>
      </x:c>
      <x:c r="O279" t="n">
        <x:f>IF(LEFT('分期持仓明细'!$A$198,LEN(I$81)+2)=I$81&amp;" ·",ROW('分期持仓明细'!$A$198),0)</x:f>
        <x:v>0</x:v>
      </x:c>
      <x:c r="P279" t="n">
        <x:f>IF(LEFT('分期持仓明细'!$A$198,LEN(J$81)+2)=J$81&amp;" ·",ROW('分期持仓明细'!$A$198),0)</x:f>
        <x:v>0</x:v>
      </x:c>
      <x:c r="Q279" t="n">
        <x:f>IF(LEFT('分期持仓明细'!$A$198,LEN(K$81)+2)=K$81&amp;" ·",ROW('分期持仓明细'!$A$198),0)</x:f>
        <x:v>0</x:v>
      </x:c>
      <x:c r="R279" t="n">
        <x:f>IF(LEFT('分期持仓明细'!$A$198,LEN(L$81)+2)=L$81&amp;" ·",ROW('分期持仓明细'!$A$198),0)</x:f>
        <x:v>0</x:v>
      </x:c>
    </x:row>
    <x:row r="280">
      <x:c r="M280" t="n">
        <x:f>IF(LEFT('分期持仓明细'!$A$199,LEN(G$81)+2)=G$81&amp;" ·",ROW('分期持仓明细'!$A$199),0)</x:f>
        <x:v>0</x:v>
      </x:c>
      <x:c r="N280" t="n">
        <x:f>IF(LEFT('分期持仓明细'!$A$199,LEN(H$81)+2)=H$81&amp;" ·",ROW('分期持仓明细'!$A$199),0)</x:f>
        <x:v>0</x:v>
      </x:c>
      <x:c r="O280" t="n">
        <x:f>IF(LEFT('分期持仓明细'!$A$199,LEN(I$81)+2)=I$81&amp;" ·",ROW('分期持仓明细'!$A$199),0)</x:f>
        <x:v>0</x:v>
      </x:c>
      <x:c r="P280" t="n">
        <x:f>IF(LEFT('分期持仓明细'!$A$199,LEN(J$81)+2)=J$81&amp;" ·",ROW('分期持仓明细'!$A$199),0)</x:f>
        <x:v>0</x:v>
      </x:c>
      <x:c r="Q280" t="n">
        <x:f>IF(LEFT('分期持仓明细'!$A$199,LEN(K$81)+2)=K$81&amp;" ·",ROW('分期持仓明细'!$A$199),0)</x:f>
        <x:v>0</x:v>
      </x:c>
      <x:c r="R280" t="n">
        <x:f>IF(LEFT('分期持仓明细'!$A$199,LEN(L$81)+2)=L$81&amp;" ·",ROW('分期持仓明细'!$A$199),0)</x:f>
        <x:v>0</x:v>
      </x:c>
    </x:row>
    <x:row r="281">
      <x:c r="M281" t="n">
        <x:f>IF(LEFT('分期持仓明细'!$A$200,LEN(G$81)+2)=G$81&amp;" ·",ROW('分期持仓明细'!$A$200),0)</x:f>
        <x:v>0</x:v>
      </x:c>
      <x:c r="N281" t="n">
        <x:f>IF(LEFT('分期持仓明细'!$A$200,LEN(H$81)+2)=H$81&amp;" ·",ROW('分期持仓明细'!$A$200),0)</x:f>
        <x:v>0</x:v>
      </x:c>
      <x:c r="O281" t="n">
        <x:f>IF(LEFT('分期持仓明细'!$A$200,LEN(I$81)+2)=I$81&amp;" ·",ROW('分期持仓明细'!$A$200),0)</x:f>
        <x:v>0</x:v>
      </x:c>
      <x:c r="P281" t="n">
        <x:f>IF(LEFT('分期持仓明细'!$A$200,LEN(J$81)+2)=J$81&amp;" ·",ROW('分期持仓明细'!$A$200),0)</x:f>
        <x:v>0</x:v>
      </x:c>
      <x:c r="Q281" t="n">
        <x:f>IF(LEFT('分期持仓明细'!$A$200,LEN(K$81)+2)=K$81&amp;" ·",ROW('分期持仓明细'!$A$200),0)</x:f>
        <x:v>0</x:v>
      </x:c>
      <x:c r="R281" t="n">
        <x:f>IF(LEFT('分期持仓明细'!$A$200,LEN(L$81)+2)=L$81&amp;" ·",ROW('分期持仓明细'!$A$200),0)</x:f>
        <x:v>0</x:v>
      </x:c>
    </x:row>
  </x:sheetData>
  <x:mergeCells>
    <x:mergeCell ref="A1:L1"/>
    <x:mergeCell ref="D2:H2"/>
    <x:mergeCell ref="A3:L3"/>
    <x:mergeCell ref="A5:E5"/>
    <x:mergeCell ref="A31:G31"/>
    <x:mergeCell ref="A33:F33"/>
    <x:mergeCell ref="A38:H38"/>
    <x:mergeCell ref="A40:C40"/>
    <x:mergeCell ref="A45:E45"/>
    <x:mergeCell ref="A47:H47"/>
    <x:mergeCell ref="A50:L50"/>
    <x:mergeCell ref="A51:L51"/>
    <x:mergeCell ref="A80:L80"/>
    <x:mergeCell ref="A88:F88"/>
  </x:mergeCells>
  <x:conditionalFormatting sqref="A7:G30">
    <x:cfRule type="expression" dxfId="1" priority="1">
      <x:formula>AND($D7="主动",$E7&gt;$L$2)</x:formula>
    </x:cfRule>
  </x:conditionalFormatting>
  <x:conditionalFormatting sqref="F7:F30">
    <x:cfRule type="containsText" dxfId="2" priority="2" operator="containsText" text="正常"/>
  </x:conditionalFormatting>
  <x:conditionalFormatting sqref="D35:D37">
    <x:cfRule type="expression" dxfId="3" priority="3">
      <x:formula>ABS(D35)&gt;$J$2</x:formula>
    </x:cfRule>
  </x:conditionalFormatting>
  <x:conditionalFormatting sqref="G35:G37">
    <x:cfRule type="expression" dxfId="4" priority="4">
      <x:formula>ABS(G35)&gt;$J$2</x:formula>
    </x:cfRule>
  </x:conditionalFormatting>
  <x:dataValidations count="3">
    <x:dataValidation type="list" sqref="C53:C76">
      <x:formula1>"增值,生息"</x:formula1>
    </x:dataValidation>
    <x:dataValidation type="list" sqref="D53:D76">
      <x:formula1>"产业趋势,指增,-"</x:formula1>
    </x:dataValidation>
    <x:dataValidation type="list" sqref="E53:E76">
      <x:formula1>"主动,指数,指增,货币,债券,保障"</x:formula1>
    </x:dataValidation>
  </x:dataValidations>
  <x:pageMargins left="0.7" right="0.7" top="0.75" bottom="0.75" header="0.3" footer="0.3"/>
</x:worksheet>
</file>