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-110" yWindow="-110" windowWidth="21820" windowHeight="14020" tabRatio="924" activeTab="11"/>
  </bookViews>
  <sheets>
    <sheet name="日期页" sheetId="24" r:id="rId1"/>
    <sheet name="每日组合" sheetId="13" r:id="rId2"/>
    <sheet name="每日1090" sheetId="16" r:id="rId3"/>
    <sheet name="每日2080" sheetId="28" r:id="rId4"/>
    <sheet name="每日3070" sheetId="17" r:id="rId5"/>
    <sheet name="每日产业趋势" sheetId="19" r:id="rId6"/>
    <sheet name="vs固收+" sheetId="21" r:id="rId7"/>
    <sheet name="vs红利固收+" sheetId="27" r:id="rId8"/>
    <sheet name="vs招行" sheetId="20" r:id="rId9"/>
    <sheet name="vs固收+对比" sheetId="26" r:id="rId10"/>
    <sheet name="1090系统数据" sheetId="23" r:id="rId11"/>
    <sheet name="实盘组合净值" sheetId="3" r:id="rId12"/>
    <sheet name="实盘净值数据(iFinD公式)" sheetId="2" r:id="rId13"/>
    <sheet name="数据更新监控" sheetId="25" r:id="rId14"/>
    <sheet name="实盘持仓配置" sheetId="1" r:id="rId15"/>
    <sheet name="分期持仓明细" sheetId="4" r:id="rId16"/>
    <sheet name="说明" sheetId="11" r:id="rId17"/>
  </sheets>
  <externalReferences>
    <externalReference r:id="rId18"/>
  </externalReferences>
  <definedNames>
    <definedName name="_ChartDates">实盘组合净值!$A$7:INDEX(实盘组合净值!$A$7:$A$1000,MATCH(9.99999999999999E+307,实盘组合净值!$A$7:$A$1000))</definedName>
    <definedName name="_ChartValues">实盘组合净值!$H$7:INDEX(实盘组合净值!$H$7:$H$1000,MATCH(9.99999999999999E+307,实盘组合净值!$A$7:$A$1000))</definedName>
  </definedNames>
  <calcPr calcId="15251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0" i="1" l="1"/>
  <c r="AL9" i="1"/>
  <c r="K13" i="27" l="1"/>
  <c r="J13" i="27"/>
  <c r="B13" i="27"/>
  <c r="I1" i="28" l="1"/>
  <c r="B21" i="16"/>
  <c r="B30" i="16"/>
  <c r="B15" i="16"/>
  <c r="B19" i="17"/>
  <c r="B36" i="16"/>
  <c r="B11" i="17"/>
  <c r="B29" i="16"/>
  <c r="B12" i="16"/>
  <c r="B14" i="17"/>
  <c r="B18" i="16"/>
  <c r="B20" i="17"/>
  <c r="B37" i="16"/>
  <c r="B13" i="17"/>
  <c r="B25" i="16"/>
  <c r="B11" i="16"/>
  <c r="B17" i="17"/>
  <c r="B27" i="16"/>
  <c r="B21" i="17"/>
  <c r="B15" i="17"/>
  <c r="B19" i="16"/>
  <c r="B17" i="16"/>
  <c r="B20" i="16"/>
  <c r="B26" i="16"/>
  <c r="B14" i="16"/>
  <c r="B33" i="16"/>
  <c r="B9" i="16"/>
  <c r="B34" i="16"/>
  <c r="B10" i="17"/>
  <c r="B22" i="16"/>
  <c r="B32" i="16"/>
  <c r="B24" i="16"/>
  <c r="B35" i="16"/>
  <c r="B16" i="16"/>
  <c r="B28" i="16"/>
  <c r="B13" i="16"/>
  <c r="B31" i="16"/>
  <c r="B8" i="17"/>
  <c r="B18" i="17"/>
  <c r="B9" i="17"/>
  <c r="B10" i="16"/>
  <c r="B12" i="17"/>
  <c r="B16" i="17"/>
  <c r="F5" i="28" l="1"/>
  <c r="T227" i="3"/>
  <c r="V227" i="3" s="1"/>
  <c r="T226" i="3"/>
  <c r="T225" i="3"/>
  <c r="T224" i="3"/>
  <c r="V224" i="3" s="1"/>
  <c r="T223" i="3"/>
  <c r="T222" i="3"/>
  <c r="V222" i="3" s="1"/>
  <c r="T221" i="3"/>
  <c r="T220" i="3"/>
  <c r="V220" i="3" s="1"/>
  <c r="T219" i="3"/>
  <c r="V219" i="3" s="1"/>
  <c r="T218" i="3"/>
  <c r="T217" i="3"/>
  <c r="V217" i="3" s="1"/>
  <c r="T216" i="3"/>
  <c r="V216" i="3" s="1"/>
  <c r="T215" i="3"/>
  <c r="H4" i="28"/>
  <c r="H3" i="28"/>
  <c r="H2" i="28"/>
  <c r="J1" i="28"/>
  <c r="H1" i="28"/>
  <c r="B16" i="28"/>
  <c r="B19" i="28"/>
  <c r="B24" i="28"/>
  <c r="B12" i="28"/>
  <c r="B10" i="28"/>
  <c r="B22" i="28"/>
  <c r="B23" i="28"/>
  <c r="B25" i="28"/>
  <c r="B9" i="28"/>
  <c r="B15" i="28"/>
  <c r="B11" i="28"/>
  <c r="B17" i="28"/>
  <c r="B20" i="28"/>
  <c r="B8" i="28"/>
  <c r="B14" i="28"/>
  <c r="B18" i="28"/>
  <c r="B13" i="28"/>
  <c r="B21" i="28"/>
  <c r="U226" i="3" l="1"/>
  <c r="U227" i="3"/>
  <c r="U218" i="3"/>
  <c r="U221" i="3"/>
  <c r="U219" i="3"/>
  <c r="U220" i="3"/>
  <c r="V225" i="3"/>
  <c r="U222" i="3"/>
  <c r="U224" i="3"/>
  <c r="U223" i="3"/>
  <c r="V223" i="3"/>
  <c r="U216" i="3"/>
  <c r="V215" i="3"/>
  <c r="U217" i="3"/>
  <c r="U225" i="3"/>
  <c r="V218" i="3"/>
  <c r="V226" i="3"/>
  <c r="V221" i="3"/>
  <c r="K11" i="27" l="1"/>
  <c r="J11" i="27"/>
  <c r="J12" i="27"/>
  <c r="B8" i="27"/>
  <c r="B12" i="27"/>
  <c r="B11" i="27"/>
  <c r="K10" i="27"/>
  <c r="B9" i="27"/>
  <c r="K12" i="27"/>
  <c r="J10" i="27"/>
  <c r="K8" i="27"/>
  <c r="J8" i="27"/>
  <c r="J9" i="27"/>
  <c r="K9" i="27"/>
  <c r="B10" i="27"/>
  <c r="A70" i="3" l="1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B215" i="3"/>
  <c r="D215" i="3" s="1"/>
  <c r="E215" i="3"/>
  <c r="G215" i="3" s="1"/>
  <c r="H215" i="3"/>
  <c r="J215" i="3" s="1"/>
  <c r="K215" i="3"/>
  <c r="M215" i="3" s="1"/>
  <c r="N215" i="3"/>
  <c r="P215" i="3" s="1"/>
  <c r="Q215" i="3"/>
  <c r="S215" i="3" s="1"/>
  <c r="A216" i="3"/>
  <c r="B216" i="3"/>
  <c r="E216" i="3"/>
  <c r="G216" i="3" s="1"/>
  <c r="H216" i="3"/>
  <c r="J216" i="3" s="1"/>
  <c r="K216" i="3"/>
  <c r="M216" i="3" s="1"/>
  <c r="N216" i="3"/>
  <c r="Q216" i="3"/>
  <c r="S216" i="3" s="1"/>
  <c r="A217" i="3"/>
  <c r="B217" i="3"/>
  <c r="D217" i="3" s="1"/>
  <c r="E217" i="3"/>
  <c r="H217" i="3"/>
  <c r="K217" i="3"/>
  <c r="M217" i="3" s="1"/>
  <c r="N217" i="3"/>
  <c r="P217" i="3" s="1"/>
  <c r="Q217" i="3"/>
  <c r="A218" i="3"/>
  <c r="B218" i="3"/>
  <c r="D218" i="3" s="1"/>
  <c r="E218" i="3"/>
  <c r="H218" i="3"/>
  <c r="J218" i="3" s="1"/>
  <c r="K218" i="3"/>
  <c r="M218" i="3" s="1"/>
  <c r="N218" i="3"/>
  <c r="P218" i="3" s="1"/>
  <c r="Q218" i="3"/>
  <c r="S218" i="3" s="1"/>
  <c r="A219" i="3"/>
  <c r="B219" i="3"/>
  <c r="E219" i="3"/>
  <c r="G219" i="3" s="1"/>
  <c r="H219" i="3"/>
  <c r="J219" i="3" s="1"/>
  <c r="K219" i="3"/>
  <c r="M219" i="3" s="1"/>
  <c r="N219" i="3"/>
  <c r="P219" i="3" s="1"/>
  <c r="Q219" i="3"/>
  <c r="S219" i="3" s="1"/>
  <c r="A220" i="3"/>
  <c r="B220" i="3"/>
  <c r="D220" i="3" s="1"/>
  <c r="E220" i="3"/>
  <c r="G220" i="3" s="1"/>
  <c r="H220" i="3"/>
  <c r="J220" i="3" s="1"/>
  <c r="K220" i="3"/>
  <c r="M220" i="3" s="1"/>
  <c r="N220" i="3"/>
  <c r="P220" i="3" s="1"/>
  <c r="Q220" i="3"/>
  <c r="S220" i="3" s="1"/>
  <c r="A221" i="3"/>
  <c r="B221" i="3"/>
  <c r="D221" i="3" s="1"/>
  <c r="E221" i="3"/>
  <c r="G221" i="3" s="1"/>
  <c r="H221" i="3"/>
  <c r="J221" i="3" s="1"/>
  <c r="K221" i="3"/>
  <c r="M221" i="3" s="1"/>
  <c r="N221" i="3"/>
  <c r="P221" i="3" s="1"/>
  <c r="Q221" i="3"/>
  <c r="S221" i="3" s="1"/>
  <c r="A222" i="3"/>
  <c r="B222" i="3"/>
  <c r="E222" i="3"/>
  <c r="G222" i="3" s="1"/>
  <c r="H222" i="3"/>
  <c r="K222" i="3"/>
  <c r="M222" i="3" s="1"/>
  <c r="N222" i="3"/>
  <c r="P222" i="3" s="1"/>
  <c r="Q222" i="3"/>
  <c r="A223" i="3"/>
  <c r="B223" i="3"/>
  <c r="D223" i="3" s="1"/>
  <c r="E223" i="3"/>
  <c r="G223" i="3" s="1"/>
  <c r="H223" i="3"/>
  <c r="J223" i="3" s="1"/>
  <c r="K223" i="3"/>
  <c r="N223" i="3"/>
  <c r="Q223" i="3"/>
  <c r="S223" i="3" s="1"/>
  <c r="A224" i="3"/>
  <c r="B224" i="3"/>
  <c r="E224" i="3"/>
  <c r="G224" i="3" s="1"/>
  <c r="H224" i="3"/>
  <c r="K224" i="3"/>
  <c r="N224" i="3"/>
  <c r="P224" i="3" s="1"/>
  <c r="Q224" i="3"/>
  <c r="S224" i="3" s="1"/>
  <c r="A225" i="3"/>
  <c r="B225" i="3"/>
  <c r="D225" i="3" s="1"/>
  <c r="E225" i="3"/>
  <c r="G225" i="3" s="1"/>
  <c r="H225" i="3"/>
  <c r="K225" i="3"/>
  <c r="M225" i="3" s="1"/>
  <c r="N225" i="3"/>
  <c r="P225" i="3" s="1"/>
  <c r="Q225" i="3"/>
  <c r="A226" i="3"/>
  <c r="B226" i="3"/>
  <c r="E226" i="3"/>
  <c r="H226" i="3"/>
  <c r="J226" i="3" s="1"/>
  <c r="K226" i="3"/>
  <c r="M226" i="3" s="1"/>
  <c r="N226" i="3"/>
  <c r="Q226" i="3"/>
  <c r="S226" i="3" s="1"/>
  <c r="A227" i="3"/>
  <c r="B227" i="3"/>
  <c r="D227" i="3" s="1"/>
  <c r="E227" i="3"/>
  <c r="G227" i="3" s="1"/>
  <c r="H227" i="3"/>
  <c r="J227" i="3" s="1"/>
  <c r="K227" i="3"/>
  <c r="M227" i="3" s="1"/>
  <c r="N227" i="3"/>
  <c r="P227" i="3" s="1"/>
  <c r="Q227" i="3"/>
  <c r="C224" i="3" l="1"/>
  <c r="C219" i="3"/>
  <c r="R227" i="3"/>
  <c r="C217" i="3"/>
  <c r="R222" i="3"/>
  <c r="L225" i="3"/>
  <c r="D224" i="3"/>
  <c r="O216" i="3"/>
  <c r="R221" i="3"/>
  <c r="I225" i="3"/>
  <c r="I222" i="3"/>
  <c r="C216" i="3"/>
  <c r="C227" i="3"/>
  <c r="R226" i="3"/>
  <c r="O223" i="3"/>
  <c r="R223" i="3"/>
  <c r="C223" i="3"/>
  <c r="L216" i="3"/>
  <c r="O227" i="3"/>
  <c r="I218" i="3"/>
  <c r="F219" i="3"/>
  <c r="F218" i="3"/>
  <c r="L222" i="3"/>
  <c r="C220" i="3"/>
  <c r="J222" i="3"/>
  <c r="R219" i="3"/>
  <c r="R218" i="3"/>
  <c r="L224" i="3"/>
  <c r="S227" i="3"/>
  <c r="F226" i="3"/>
  <c r="C225" i="3"/>
  <c r="J224" i="3"/>
  <c r="O222" i="3"/>
  <c r="D222" i="3"/>
  <c r="I221" i="3"/>
  <c r="J217" i="3"/>
  <c r="F216" i="3"/>
  <c r="F227" i="3"/>
  <c r="O226" i="3"/>
  <c r="I224" i="3"/>
  <c r="F223" i="3"/>
  <c r="L221" i="3"/>
  <c r="R220" i="3"/>
  <c r="L220" i="3"/>
  <c r="I217" i="3"/>
  <c r="D226" i="3"/>
  <c r="O219" i="3"/>
  <c r="O224" i="3"/>
  <c r="P226" i="3"/>
  <c r="C226" i="3"/>
  <c r="F224" i="3"/>
  <c r="M223" i="3"/>
  <c r="S217" i="3"/>
  <c r="G217" i="3"/>
  <c r="I226" i="3"/>
  <c r="R225" i="3"/>
  <c r="L223" i="3"/>
  <c r="O220" i="3"/>
  <c r="F222" i="3"/>
  <c r="L217" i="3"/>
  <c r="L227" i="3"/>
  <c r="S225" i="3"/>
  <c r="F225" i="3"/>
  <c r="I223" i="3"/>
  <c r="O221" i="3"/>
  <c r="G226" i="3"/>
  <c r="J225" i="3"/>
  <c r="M224" i="3"/>
  <c r="P223" i="3"/>
  <c r="S222" i="3"/>
  <c r="C222" i="3"/>
  <c r="F221" i="3"/>
  <c r="I220" i="3"/>
  <c r="L219" i="3"/>
  <c r="D219" i="3"/>
  <c r="O218" i="3"/>
  <c r="G218" i="3"/>
  <c r="R217" i="3"/>
  <c r="D216" i="3"/>
  <c r="L226" i="3"/>
  <c r="O225" i="3"/>
  <c r="R224" i="3"/>
  <c r="C221" i="3"/>
  <c r="F220" i="3"/>
  <c r="I219" i="3"/>
  <c r="L218" i="3"/>
  <c r="O217" i="3"/>
  <c r="R216" i="3"/>
  <c r="C218" i="3"/>
  <c r="F217" i="3"/>
  <c r="I216" i="3"/>
  <c r="I227" i="3"/>
  <c r="P216" i="3"/>
  <c r="A60" i="3"/>
  <c r="A61" i="3"/>
  <c r="A62" i="3"/>
  <c r="A63" i="3"/>
  <c r="A64" i="3"/>
  <c r="A65" i="3"/>
  <c r="A66" i="3"/>
  <c r="A67" i="3"/>
  <c r="A68" i="3"/>
  <c r="A69" i="3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C38" i="26"/>
  <c r="C23" i="26"/>
  <c r="H22" i="26"/>
  <c r="H37" i="26" s="1"/>
  <c r="H52" i="26" s="1"/>
  <c r="G22" i="26"/>
  <c r="G37" i="26" s="1"/>
  <c r="G52" i="26" s="1"/>
  <c r="F22" i="26"/>
  <c r="F37" i="26" s="1"/>
  <c r="F52" i="26" s="1"/>
  <c r="E22" i="26"/>
  <c r="E37" i="26" s="1"/>
  <c r="E52" i="26" s="1"/>
  <c r="D22" i="26"/>
  <c r="C22" i="26"/>
  <c r="C37" i="26" s="1"/>
  <c r="C52" i="26" s="1"/>
  <c r="B22" i="26"/>
  <c r="B37" i="26" s="1"/>
  <c r="B52" i="26" s="1"/>
  <c r="A22" i="26"/>
  <c r="A37" i="26" s="1"/>
  <c r="A52" i="26" s="1"/>
  <c r="Y90" i="2"/>
  <c r="F28" i="26"/>
  <c r="Y80" i="2"/>
  <c r="F16" i="26"/>
  <c r="Y82" i="2"/>
  <c r="Y71" i="2"/>
  <c r="F58" i="26"/>
  <c r="F30" i="26"/>
  <c r="F26" i="26"/>
  <c r="Y69" i="2"/>
  <c r="F46" i="26"/>
  <c r="Y68" i="2"/>
  <c r="F60" i="26"/>
  <c r="Y61" i="2"/>
  <c r="F9" i="26"/>
  <c r="Y62" i="2"/>
  <c r="Y75" i="2"/>
  <c r="F42" i="26"/>
  <c r="F45" i="26"/>
  <c r="F40" i="26"/>
  <c r="F47" i="26"/>
  <c r="F48" i="26"/>
  <c r="F59" i="26"/>
  <c r="Y70" i="2"/>
  <c r="Y65" i="2"/>
  <c r="F54" i="26"/>
  <c r="F10" i="26"/>
  <c r="F18" i="26"/>
  <c r="Y76" i="2"/>
  <c r="Y79" i="2"/>
  <c r="F15" i="26"/>
  <c r="F56" i="26"/>
  <c r="Y83" i="2"/>
  <c r="Y86" i="2"/>
  <c r="F41" i="26"/>
  <c r="F57" i="26"/>
  <c r="Y88" i="2"/>
  <c r="Y81" i="2"/>
  <c r="Y77" i="2"/>
  <c r="F39" i="26"/>
  <c r="Y85" i="2"/>
  <c r="Y72" i="2"/>
  <c r="F43" i="26"/>
  <c r="Y78" i="2"/>
  <c r="F44" i="26"/>
  <c r="F31" i="26"/>
  <c r="Y60" i="2"/>
  <c r="Y73" i="2"/>
  <c r="F24" i="26"/>
  <c r="F25" i="26"/>
  <c r="Y84" i="2"/>
  <c r="Y67" i="2"/>
  <c r="F27" i="26"/>
  <c r="F12" i="26"/>
  <c r="F29" i="26"/>
  <c r="Y74" i="2"/>
  <c r="F55" i="26"/>
  <c r="Y63" i="2"/>
  <c r="Y87" i="2"/>
  <c r="Y66" i="2"/>
  <c r="F62" i="26"/>
  <c r="Y64" i="2"/>
  <c r="F11" i="26"/>
  <c r="Y89" i="2"/>
  <c r="F61" i="26"/>
  <c r="F17" i="26"/>
  <c r="F14" i="26"/>
  <c r="F32" i="26"/>
  <c r="F13" i="26"/>
  <c r="F33" i="26"/>
  <c r="F63" i="26"/>
  <c r="H199" i="3" l="1"/>
  <c r="B199" i="3"/>
  <c r="E199" i="3"/>
  <c r="H191" i="3"/>
  <c r="B191" i="3"/>
  <c r="E191" i="3"/>
  <c r="H103" i="3"/>
  <c r="B103" i="3"/>
  <c r="E103" i="3"/>
  <c r="H205" i="3"/>
  <c r="B205" i="3"/>
  <c r="E205" i="3"/>
  <c r="E214" i="3"/>
  <c r="H214" i="3"/>
  <c r="B214" i="3"/>
  <c r="E206" i="3"/>
  <c r="H206" i="3"/>
  <c r="B206" i="3"/>
  <c r="E198" i="3"/>
  <c r="H198" i="3"/>
  <c r="B198" i="3"/>
  <c r="E190" i="3"/>
  <c r="H190" i="3"/>
  <c r="B190" i="3"/>
  <c r="E182" i="3"/>
  <c r="H182" i="3"/>
  <c r="B182" i="3"/>
  <c r="E174" i="3"/>
  <c r="H174" i="3"/>
  <c r="B174" i="3"/>
  <c r="E166" i="3"/>
  <c r="H166" i="3"/>
  <c r="B166" i="3"/>
  <c r="E158" i="3"/>
  <c r="H158" i="3"/>
  <c r="B158" i="3"/>
  <c r="E150" i="3"/>
  <c r="H150" i="3"/>
  <c r="B150" i="3"/>
  <c r="E142" i="3"/>
  <c r="H142" i="3"/>
  <c r="B142" i="3"/>
  <c r="B134" i="3"/>
  <c r="E134" i="3"/>
  <c r="H134" i="3"/>
  <c r="B126" i="3"/>
  <c r="E126" i="3"/>
  <c r="H126" i="3"/>
  <c r="B118" i="3"/>
  <c r="E118" i="3"/>
  <c r="H118" i="3"/>
  <c r="B110" i="3"/>
  <c r="E110" i="3"/>
  <c r="H110" i="3"/>
  <c r="B102" i="3"/>
  <c r="E102" i="3"/>
  <c r="H102" i="3"/>
  <c r="B94" i="3"/>
  <c r="E94" i="3"/>
  <c r="H94" i="3"/>
  <c r="B159" i="3"/>
  <c r="E159" i="3"/>
  <c r="H159" i="3"/>
  <c r="H111" i="3"/>
  <c r="B111" i="3"/>
  <c r="E111" i="3"/>
  <c r="H208" i="3"/>
  <c r="B208" i="3"/>
  <c r="E208" i="3"/>
  <c r="E200" i="3"/>
  <c r="H200" i="3"/>
  <c r="B200" i="3"/>
  <c r="E192" i="3"/>
  <c r="H192" i="3"/>
  <c r="B192" i="3"/>
  <c r="E184" i="3"/>
  <c r="H184" i="3"/>
  <c r="B184" i="3"/>
  <c r="E176" i="3"/>
  <c r="H176" i="3"/>
  <c r="B176" i="3"/>
  <c r="H168" i="3"/>
  <c r="B168" i="3"/>
  <c r="E168" i="3"/>
  <c r="H160" i="3"/>
  <c r="B160" i="3"/>
  <c r="E160" i="3"/>
  <c r="H152" i="3"/>
  <c r="B152" i="3"/>
  <c r="E152" i="3"/>
  <c r="H144" i="3"/>
  <c r="B144" i="3"/>
  <c r="E144" i="3"/>
  <c r="E136" i="3"/>
  <c r="H136" i="3"/>
  <c r="B136" i="3"/>
  <c r="E128" i="3"/>
  <c r="H128" i="3"/>
  <c r="B128" i="3"/>
  <c r="E120" i="3"/>
  <c r="H120" i="3"/>
  <c r="B120" i="3"/>
  <c r="E112" i="3"/>
  <c r="H112" i="3"/>
  <c r="B112" i="3"/>
  <c r="E104" i="3"/>
  <c r="H104" i="3"/>
  <c r="B104" i="3"/>
  <c r="E96" i="3"/>
  <c r="H96" i="3"/>
  <c r="B96" i="3"/>
  <c r="B143" i="3"/>
  <c r="E143" i="3"/>
  <c r="H143" i="3"/>
  <c r="H119" i="3"/>
  <c r="B119" i="3"/>
  <c r="E119" i="3"/>
  <c r="B177" i="3"/>
  <c r="E177" i="3"/>
  <c r="H177" i="3"/>
  <c r="E169" i="3"/>
  <c r="H169" i="3"/>
  <c r="B169" i="3"/>
  <c r="E161" i="3"/>
  <c r="H161" i="3"/>
  <c r="B161" i="3"/>
  <c r="E153" i="3"/>
  <c r="H153" i="3"/>
  <c r="B153" i="3"/>
  <c r="E145" i="3"/>
  <c r="H145" i="3"/>
  <c r="B145" i="3"/>
  <c r="H137" i="3"/>
  <c r="B137" i="3"/>
  <c r="E137" i="3"/>
  <c r="H129" i="3"/>
  <c r="B129" i="3"/>
  <c r="E129" i="3"/>
  <c r="H121" i="3"/>
  <c r="B121" i="3"/>
  <c r="E121" i="3"/>
  <c r="H113" i="3"/>
  <c r="B113" i="3"/>
  <c r="E113" i="3"/>
  <c r="H105" i="3"/>
  <c r="B105" i="3"/>
  <c r="E105" i="3"/>
  <c r="H97" i="3"/>
  <c r="B97" i="3"/>
  <c r="E97" i="3"/>
  <c r="B210" i="3"/>
  <c r="E210" i="3"/>
  <c r="H210" i="3"/>
  <c r="H202" i="3"/>
  <c r="B202" i="3"/>
  <c r="E202" i="3"/>
  <c r="H194" i="3"/>
  <c r="B194" i="3"/>
  <c r="E194" i="3"/>
  <c r="H186" i="3"/>
  <c r="B186" i="3"/>
  <c r="E186" i="3"/>
  <c r="H178" i="3"/>
  <c r="B178" i="3"/>
  <c r="E178" i="3"/>
  <c r="B170" i="3"/>
  <c r="E170" i="3"/>
  <c r="H170" i="3"/>
  <c r="B162" i="3"/>
  <c r="E162" i="3"/>
  <c r="H162" i="3"/>
  <c r="B154" i="3"/>
  <c r="E154" i="3"/>
  <c r="H154" i="3"/>
  <c r="B146" i="3"/>
  <c r="E146" i="3"/>
  <c r="H146" i="3"/>
  <c r="E138" i="3"/>
  <c r="H138" i="3"/>
  <c r="B138" i="3"/>
  <c r="E130" i="3"/>
  <c r="H130" i="3"/>
  <c r="B130" i="3"/>
  <c r="E122" i="3"/>
  <c r="H122" i="3"/>
  <c r="B122" i="3"/>
  <c r="E114" i="3"/>
  <c r="H114" i="3"/>
  <c r="B114" i="3"/>
  <c r="E106" i="3"/>
  <c r="H106" i="3"/>
  <c r="B106" i="3"/>
  <c r="E98" i="3"/>
  <c r="H98" i="3"/>
  <c r="B98" i="3"/>
  <c r="B207" i="3"/>
  <c r="E207" i="3"/>
  <c r="H207" i="3"/>
  <c r="B167" i="3"/>
  <c r="E167" i="3"/>
  <c r="H167" i="3"/>
  <c r="H135" i="3"/>
  <c r="B135" i="3"/>
  <c r="E135" i="3"/>
  <c r="H95" i="3"/>
  <c r="B95" i="3"/>
  <c r="E95" i="3"/>
  <c r="E209" i="3"/>
  <c r="H209" i="3"/>
  <c r="B209" i="3"/>
  <c r="B201" i="3"/>
  <c r="E201" i="3"/>
  <c r="H201" i="3"/>
  <c r="E211" i="3"/>
  <c r="H211" i="3"/>
  <c r="B211" i="3"/>
  <c r="E203" i="3"/>
  <c r="H203" i="3"/>
  <c r="B203" i="3"/>
  <c r="E195" i="3"/>
  <c r="H195" i="3"/>
  <c r="B195" i="3"/>
  <c r="E187" i="3"/>
  <c r="H187" i="3"/>
  <c r="B187" i="3"/>
  <c r="E179" i="3"/>
  <c r="H179" i="3"/>
  <c r="B179" i="3"/>
  <c r="H171" i="3"/>
  <c r="B171" i="3"/>
  <c r="E171" i="3"/>
  <c r="H163" i="3"/>
  <c r="B163" i="3"/>
  <c r="E163" i="3"/>
  <c r="H155" i="3"/>
  <c r="B155" i="3"/>
  <c r="E155" i="3"/>
  <c r="H147" i="3"/>
  <c r="B147" i="3"/>
  <c r="E147" i="3"/>
  <c r="B139" i="3"/>
  <c r="E139" i="3"/>
  <c r="H139" i="3"/>
  <c r="B131" i="3"/>
  <c r="E131" i="3"/>
  <c r="H131" i="3"/>
  <c r="B123" i="3"/>
  <c r="E123" i="3"/>
  <c r="H123" i="3"/>
  <c r="B115" i="3"/>
  <c r="E115" i="3"/>
  <c r="H115" i="3"/>
  <c r="B107" i="3"/>
  <c r="E107" i="3"/>
  <c r="H107" i="3"/>
  <c r="B99" i="3"/>
  <c r="E99" i="3"/>
  <c r="H99" i="3"/>
  <c r="B91" i="3"/>
  <c r="E91" i="3"/>
  <c r="H91" i="3"/>
  <c r="H175" i="3"/>
  <c r="B175" i="3"/>
  <c r="E175" i="3"/>
  <c r="E212" i="3"/>
  <c r="B212" i="3"/>
  <c r="H212" i="3"/>
  <c r="B204" i="3"/>
  <c r="E204" i="3"/>
  <c r="H204" i="3"/>
  <c r="B196" i="3"/>
  <c r="E196" i="3"/>
  <c r="H196" i="3"/>
  <c r="B188" i="3"/>
  <c r="E188" i="3"/>
  <c r="H188" i="3"/>
  <c r="B180" i="3"/>
  <c r="E180" i="3"/>
  <c r="H180" i="3"/>
  <c r="E172" i="3"/>
  <c r="H172" i="3"/>
  <c r="B172" i="3"/>
  <c r="E164" i="3"/>
  <c r="H164" i="3"/>
  <c r="B164" i="3"/>
  <c r="E156" i="3"/>
  <c r="H156" i="3"/>
  <c r="B156" i="3"/>
  <c r="E148" i="3"/>
  <c r="H148" i="3"/>
  <c r="B148" i="3"/>
  <c r="B140" i="3"/>
  <c r="E140" i="3"/>
  <c r="H140" i="3"/>
  <c r="H132" i="3"/>
  <c r="B132" i="3"/>
  <c r="E132" i="3"/>
  <c r="H124" i="3"/>
  <c r="B124" i="3"/>
  <c r="E124" i="3"/>
  <c r="H116" i="3"/>
  <c r="B116" i="3"/>
  <c r="E116" i="3"/>
  <c r="H108" i="3"/>
  <c r="B108" i="3"/>
  <c r="E108" i="3"/>
  <c r="H100" i="3"/>
  <c r="B100" i="3"/>
  <c r="E100" i="3"/>
  <c r="H92" i="3"/>
  <c r="B92" i="3"/>
  <c r="E92" i="3"/>
  <c r="H183" i="3"/>
  <c r="B183" i="3"/>
  <c r="E183" i="3"/>
  <c r="B151" i="3"/>
  <c r="E151" i="3"/>
  <c r="H151" i="3"/>
  <c r="H127" i="3"/>
  <c r="B127" i="3"/>
  <c r="E127" i="3"/>
  <c r="B193" i="3"/>
  <c r="E193" i="3"/>
  <c r="H193" i="3"/>
  <c r="B185" i="3"/>
  <c r="E185" i="3"/>
  <c r="H185" i="3"/>
  <c r="H213" i="3"/>
  <c r="B213" i="3"/>
  <c r="E213" i="3"/>
  <c r="H197" i="3"/>
  <c r="B197" i="3"/>
  <c r="E197" i="3"/>
  <c r="H189" i="3"/>
  <c r="B189" i="3"/>
  <c r="E189" i="3"/>
  <c r="H181" i="3"/>
  <c r="B181" i="3"/>
  <c r="E181" i="3"/>
  <c r="E173" i="3"/>
  <c r="H173" i="3"/>
  <c r="B173" i="3"/>
  <c r="H165" i="3"/>
  <c r="B165" i="3"/>
  <c r="E165" i="3"/>
  <c r="H157" i="3"/>
  <c r="B157" i="3"/>
  <c r="E157" i="3"/>
  <c r="H149" i="3"/>
  <c r="B149" i="3"/>
  <c r="E149" i="3"/>
  <c r="H141" i="3"/>
  <c r="B141" i="3"/>
  <c r="E141" i="3"/>
  <c r="E133" i="3"/>
  <c r="H133" i="3"/>
  <c r="B133" i="3"/>
  <c r="E125" i="3"/>
  <c r="H125" i="3"/>
  <c r="B125" i="3"/>
  <c r="E117" i="3"/>
  <c r="H117" i="3"/>
  <c r="B117" i="3"/>
  <c r="E109" i="3"/>
  <c r="H109" i="3"/>
  <c r="B109" i="3"/>
  <c r="E101" i="3"/>
  <c r="H101" i="3"/>
  <c r="B101" i="3"/>
  <c r="E93" i="3"/>
  <c r="H93" i="3"/>
  <c r="B93" i="3"/>
  <c r="K17" i="21"/>
  <c r="J17" i="21"/>
  <c r="K14" i="21"/>
  <c r="J14" i="21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H1" i="13"/>
  <c r="E2" i="24"/>
  <c r="C2" i="24" s="1"/>
  <c r="D17" i="19"/>
  <c r="C17" i="19"/>
  <c r="Q24" i="23"/>
  <c r="Q23" i="23"/>
  <c r="I23" i="23"/>
  <c r="F23" i="23"/>
  <c r="G23" i="23" s="1"/>
  <c r="Q22" i="23"/>
  <c r="F22" i="23"/>
  <c r="G22" i="23" s="1"/>
  <c r="Q21" i="23"/>
  <c r="F21" i="23"/>
  <c r="G21" i="23" s="1"/>
  <c r="Q20" i="23"/>
  <c r="F20" i="23"/>
  <c r="G20" i="23" s="1"/>
  <c r="Q19" i="23"/>
  <c r="F19" i="23"/>
  <c r="G19" i="23" s="1"/>
  <c r="Q18" i="23"/>
  <c r="F18" i="23"/>
  <c r="G18" i="23" s="1"/>
  <c r="Q17" i="23"/>
  <c r="F17" i="23"/>
  <c r="G17" i="23" s="1"/>
  <c r="Q16" i="23"/>
  <c r="F16" i="23"/>
  <c r="G16" i="23" s="1"/>
  <c r="Q15" i="23"/>
  <c r="F15" i="23"/>
  <c r="G15" i="23" s="1"/>
  <c r="Q14" i="23"/>
  <c r="F14" i="23"/>
  <c r="G14" i="23" s="1"/>
  <c r="Q13" i="23"/>
  <c r="F13" i="23"/>
  <c r="G13" i="23" s="1"/>
  <c r="Q12" i="23"/>
  <c r="F12" i="23"/>
  <c r="G12" i="23" s="1"/>
  <c r="Q11" i="23"/>
  <c r="F11" i="23"/>
  <c r="G11" i="23" s="1"/>
  <c r="Q10" i="23"/>
  <c r="F10" i="23"/>
  <c r="G10" i="23" s="1"/>
  <c r="Q9" i="23"/>
  <c r="F9" i="23"/>
  <c r="G9" i="23" s="1"/>
  <c r="Q8" i="23"/>
  <c r="F8" i="23"/>
  <c r="G8" i="23" s="1"/>
  <c r="Q7" i="23"/>
  <c r="F7" i="23"/>
  <c r="G7" i="23" s="1"/>
  <c r="Q6" i="23"/>
  <c r="F6" i="23"/>
  <c r="G6" i="23" s="1"/>
  <c r="Q5" i="23"/>
  <c r="F5" i="23"/>
  <c r="G5" i="23" s="1"/>
  <c r="Q4" i="23"/>
  <c r="F4" i="23"/>
  <c r="G4" i="23" s="1"/>
  <c r="Q3" i="23"/>
  <c r="E1" i="23"/>
  <c r="K20" i="21"/>
  <c r="J20" i="21"/>
  <c r="K11" i="21"/>
  <c r="J11" i="21"/>
  <c r="F6" i="16"/>
  <c r="F5" i="16"/>
  <c r="F5" i="17"/>
  <c r="H4" i="17"/>
  <c r="H3" i="17"/>
  <c r="H2" i="17"/>
  <c r="J1" i="17"/>
  <c r="H1" i="17"/>
  <c r="F7" i="19"/>
  <c r="F6" i="19"/>
  <c r="F5" i="19"/>
  <c r="E17" i="19"/>
  <c r="H4" i="19"/>
  <c r="H3" i="19"/>
  <c r="H2" i="19"/>
  <c r="J1" i="19"/>
  <c r="H1" i="19"/>
  <c r="H2" i="16"/>
  <c r="H3" i="16"/>
  <c r="H4" i="16"/>
  <c r="J1" i="16"/>
  <c r="H1" i="16"/>
  <c r="E23" i="16"/>
  <c r="D23" i="16"/>
  <c r="Z22" i="4"/>
  <c r="Z21" i="4"/>
  <c r="Z20" i="4"/>
  <c r="Z19" i="4"/>
  <c r="Z18" i="4"/>
  <c r="Z17" i="4"/>
  <c r="Z16" i="4"/>
  <c r="Z15" i="4"/>
  <c r="Z14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AL8" i="1"/>
  <c r="AL7" i="1"/>
  <c r="AL6" i="1"/>
  <c r="AL5" i="1"/>
  <c r="AL4" i="1"/>
  <c r="A2" i="23"/>
  <c r="A4" i="2"/>
  <c r="R90" i="2"/>
  <c r="J90" i="2"/>
  <c r="B90" i="2"/>
  <c r="Q90" i="2"/>
  <c r="I90" i="2"/>
  <c r="X90" i="2"/>
  <c r="P90" i="2"/>
  <c r="H90" i="2"/>
  <c r="W90" i="2"/>
  <c r="O90" i="2"/>
  <c r="G90" i="2"/>
  <c r="V90" i="2"/>
  <c r="N90" i="2"/>
  <c r="F90" i="2"/>
  <c r="U90" i="2"/>
  <c r="M90" i="2"/>
  <c r="E90" i="2"/>
  <c r="C90" i="2"/>
  <c r="T90" i="2"/>
  <c r="L90" i="2"/>
  <c r="D90" i="2"/>
  <c r="S90" i="2"/>
  <c r="K90" i="2"/>
  <c r="R71" i="2"/>
  <c r="J71" i="2"/>
  <c r="M86" i="2"/>
  <c r="M72" i="2"/>
  <c r="L83" i="2"/>
  <c r="G75" i="2"/>
  <c r="D79" i="2"/>
  <c r="L75" i="2"/>
  <c r="T81" i="2"/>
  <c r="U88" i="2"/>
  <c r="L76" i="2"/>
  <c r="I87" i="2"/>
  <c r="R78" i="2"/>
  <c r="F88" i="2"/>
  <c r="S75" i="2"/>
  <c r="S77" i="2"/>
  <c r="K87" i="2"/>
  <c r="T76" i="2"/>
  <c r="M81" i="2"/>
  <c r="U84" i="2"/>
  <c r="P76" i="2"/>
  <c r="P78" i="2"/>
  <c r="E87" i="2"/>
  <c r="C74" i="2"/>
  <c r="G87" i="2"/>
  <c r="N85" i="2"/>
  <c r="Q72" i="2"/>
  <c r="B87" i="2"/>
  <c r="B80" i="2"/>
  <c r="L88" i="2"/>
  <c r="N80" i="2"/>
  <c r="S83" i="2"/>
  <c r="X75" i="2"/>
  <c r="P84" i="2"/>
  <c r="M88" i="2"/>
  <c r="E80" i="2"/>
  <c r="T80" i="2"/>
  <c r="P81" i="2"/>
  <c r="L74" i="2"/>
  <c r="R73" i="2"/>
  <c r="E76" i="2"/>
  <c r="I89" i="2"/>
  <c r="B75" i="2"/>
  <c r="T84" i="2"/>
  <c r="Q87" i="2"/>
  <c r="V84" i="2"/>
  <c r="K83" i="2"/>
  <c r="T87" i="2"/>
  <c r="P86" i="2"/>
  <c r="G86" i="2"/>
  <c r="W86" i="2"/>
  <c r="Q80" i="2"/>
  <c r="K89" i="2"/>
  <c r="O77" i="2"/>
  <c r="R84" i="2"/>
  <c r="U80" i="2"/>
  <c r="C84" i="2"/>
  <c r="Q86" i="2"/>
  <c r="Q78" i="2"/>
  <c r="M73" i="2"/>
  <c r="D74" i="2"/>
  <c r="T82" i="2"/>
  <c r="X78" i="2"/>
  <c r="L77" i="2"/>
  <c r="S80" i="2"/>
  <c r="W75" i="2"/>
  <c r="K72" i="2"/>
  <c r="F80" i="2"/>
  <c r="N76" i="2"/>
  <c r="J77" i="2"/>
  <c r="B88" i="2"/>
  <c r="I86" i="2"/>
  <c r="C73" i="2"/>
  <c r="R86" i="2"/>
  <c r="C88" i="2"/>
  <c r="K88" i="2"/>
  <c r="U86" i="2"/>
  <c r="L80" i="2"/>
  <c r="S85" i="2"/>
  <c r="W74" i="2"/>
  <c r="D84" i="2"/>
  <c r="B79" i="2"/>
  <c r="N83" i="2"/>
  <c r="J81" i="2"/>
  <c r="P80" i="2"/>
  <c r="C82" i="2"/>
  <c r="O81" i="2"/>
  <c r="H77" i="2"/>
  <c r="E73" i="2"/>
  <c r="D81" i="2"/>
  <c r="R79" i="2"/>
  <c r="M82" i="2"/>
  <c r="V72" i="2"/>
  <c r="H84" i="2"/>
  <c r="B89" i="2"/>
  <c r="E82" i="2"/>
  <c r="C76" i="2"/>
  <c r="B78" i="2"/>
  <c r="I82" i="2"/>
  <c r="T85" i="2"/>
  <c r="N79" i="2"/>
  <c r="P77" i="2"/>
  <c r="L87" i="2"/>
  <c r="O78" i="2"/>
  <c r="O82" i="2"/>
  <c r="W76" i="2"/>
  <c r="H89" i="2"/>
  <c r="S72" i="2"/>
  <c r="M75" i="2"/>
  <c r="C87" i="2"/>
  <c r="N77" i="2"/>
  <c r="L81" i="2"/>
  <c r="T74" i="2"/>
  <c r="J80" i="2"/>
  <c r="E89" i="2"/>
  <c r="H79" i="2"/>
  <c r="I72" i="2"/>
  <c r="F72" i="2"/>
  <c r="E78" i="2"/>
  <c r="F84" i="2"/>
  <c r="U79" i="2"/>
  <c r="Q79" i="2"/>
  <c r="B84" i="2"/>
  <c r="D72" i="2"/>
  <c r="Q85" i="2"/>
  <c r="P71" i="2"/>
  <c r="M80" i="2"/>
  <c r="O83" i="2"/>
  <c r="W87" i="2"/>
  <c r="W77" i="2"/>
  <c r="R72" i="2"/>
  <c r="H82" i="2"/>
  <c r="T83" i="2"/>
  <c r="F85" i="2"/>
  <c r="T72" i="2"/>
  <c r="D80" i="2"/>
  <c r="R83" i="2"/>
  <c r="P74" i="2"/>
  <c r="G77" i="2"/>
  <c r="D89" i="2"/>
  <c r="N87" i="2"/>
  <c r="K78" i="2"/>
  <c r="Q73" i="2"/>
  <c r="U71" i="2"/>
  <c r="M87" i="2"/>
  <c r="R77" i="2"/>
  <c r="G81" i="2"/>
  <c r="V73" i="2"/>
  <c r="M89" i="2"/>
  <c r="K85" i="2"/>
  <c r="H75" i="2"/>
  <c r="V88" i="2"/>
  <c r="H88" i="2"/>
  <c r="S89" i="2"/>
  <c r="R82" i="2"/>
  <c r="S78" i="2"/>
  <c r="O73" i="2"/>
  <c r="D78" i="2"/>
  <c r="M83" i="2"/>
  <c r="T79" i="2"/>
  <c r="V74" i="2"/>
  <c r="W88" i="2"/>
  <c r="E77" i="2"/>
  <c r="F78" i="2"/>
  <c r="E72" i="2"/>
  <c r="L85" i="2"/>
  <c r="D76" i="2"/>
  <c r="J85" i="2"/>
  <c r="S84" i="2"/>
  <c r="H85" i="2"/>
  <c r="X82" i="2"/>
  <c r="F83" i="2"/>
  <c r="O80" i="2"/>
  <c r="S81" i="2"/>
  <c r="T77" i="2"/>
  <c r="C71" i="2"/>
  <c r="S86" i="2"/>
  <c r="I77" i="2"/>
  <c r="S82" i="2"/>
  <c r="S87" i="2"/>
  <c r="X79" i="2"/>
  <c r="H72" i="2"/>
  <c r="D88" i="2"/>
  <c r="K73" i="2"/>
  <c r="F76" i="2"/>
  <c r="E74" i="2"/>
  <c r="C75" i="2"/>
  <c r="B73" i="2"/>
  <c r="O88" i="2"/>
  <c r="B83" i="2"/>
  <c r="R76" i="2"/>
  <c r="W73" i="2"/>
  <c r="D85" i="2"/>
  <c r="C79" i="2"/>
  <c r="J89" i="2"/>
  <c r="G78" i="2"/>
  <c r="C81" i="2"/>
  <c r="O71" i="2"/>
  <c r="B86" i="2"/>
  <c r="W85" i="2"/>
  <c r="B71" i="2"/>
  <c r="T86" i="2"/>
  <c r="C78" i="2"/>
  <c r="G85" i="2"/>
  <c r="X84" i="2"/>
  <c r="X81" i="2"/>
  <c r="X83" i="2"/>
  <c r="U72" i="2"/>
  <c r="P89" i="2"/>
  <c r="G74" i="2"/>
  <c r="C83" i="2"/>
  <c r="X77" i="2"/>
  <c r="V86" i="2"/>
  <c r="O84" i="2"/>
  <c r="I85" i="2"/>
  <c r="C85" i="2"/>
  <c r="U83" i="2"/>
  <c r="K74" i="2"/>
  <c r="V71" i="2"/>
  <c r="X73" i="2"/>
  <c r="O87" i="2"/>
  <c r="F75" i="2"/>
  <c r="K75" i="2"/>
  <c r="T75" i="2"/>
  <c r="K84" i="2"/>
  <c r="U85" i="2"/>
  <c r="Q81" i="2"/>
  <c r="P87" i="2"/>
  <c r="E71" i="2"/>
  <c r="F87" i="2"/>
  <c r="J86" i="2"/>
  <c r="N74" i="2"/>
  <c r="T89" i="2"/>
  <c r="N81" i="2"/>
  <c r="X76" i="2"/>
  <c r="O75" i="2"/>
  <c r="P75" i="2"/>
  <c r="H80" i="2"/>
  <c r="P79" i="2"/>
  <c r="X85" i="2"/>
  <c r="R74" i="2"/>
  <c r="D75" i="2"/>
  <c r="N84" i="2"/>
  <c r="O79" i="2"/>
  <c r="C86" i="2"/>
  <c r="L84" i="2"/>
  <c r="V80" i="2"/>
  <c r="B74" i="2"/>
  <c r="W81" i="2"/>
  <c r="F89" i="2"/>
  <c r="U87" i="2"/>
  <c r="J79" i="2"/>
  <c r="H86" i="2"/>
  <c r="J82" i="2"/>
  <c r="T78" i="2"/>
  <c r="K77" i="2"/>
  <c r="E85" i="2"/>
  <c r="U82" i="2"/>
  <c r="E75" i="2"/>
  <c r="V77" i="2"/>
  <c r="S74" i="2"/>
  <c r="U76" i="2"/>
  <c r="L72" i="2"/>
  <c r="G89" i="2"/>
  <c r="S73" i="2"/>
  <c r="J75" i="2"/>
  <c r="P73" i="2"/>
  <c r="C77" i="2"/>
  <c r="G73" i="2"/>
  <c r="B77" i="2"/>
  <c r="L71" i="2"/>
  <c r="S76" i="2"/>
  <c r="X71" i="2"/>
  <c r="R81" i="2"/>
  <c r="N73" i="2"/>
  <c r="U77" i="2"/>
  <c r="U74" i="2"/>
  <c r="H74" i="2"/>
  <c r="V78" i="2"/>
  <c r="J78" i="2"/>
  <c r="V75" i="2"/>
  <c r="F86" i="2"/>
  <c r="U89" i="2"/>
  <c r="W84" i="2"/>
  <c r="J76" i="2"/>
  <c r="M84" i="2"/>
  <c r="X88" i="2"/>
  <c r="E86" i="2"/>
  <c r="I80" i="2"/>
  <c r="Q89" i="2"/>
  <c r="P72" i="2"/>
  <c r="V81" i="2"/>
  <c r="L73" i="2"/>
  <c r="U75" i="2"/>
  <c r="D73" i="2"/>
  <c r="C72" i="2"/>
  <c r="E81" i="2"/>
  <c r="I81" i="2"/>
  <c r="L89" i="2"/>
  <c r="S71" i="2"/>
  <c r="V83" i="2"/>
  <c r="L86" i="2"/>
  <c r="M76" i="2"/>
  <c r="J72" i="2"/>
  <c r="V87" i="2"/>
  <c r="T88" i="2"/>
  <c r="I73" i="2"/>
  <c r="X87" i="2"/>
  <c r="G79" i="2"/>
  <c r="K79" i="2"/>
  <c r="O74" i="2"/>
  <c r="N71" i="2"/>
  <c r="P82" i="2"/>
  <c r="W71" i="2"/>
  <c r="H71" i="2"/>
  <c r="D71" i="2"/>
  <c r="K82" i="2"/>
  <c r="E88" i="2"/>
  <c r="M85" i="2"/>
  <c r="X89" i="2"/>
  <c r="B76" i="2"/>
  <c r="D86" i="2"/>
  <c r="P83" i="2"/>
  <c r="X86" i="2"/>
  <c r="L82" i="2"/>
  <c r="O86" i="2"/>
  <c r="W78" i="2"/>
  <c r="B85" i="2"/>
  <c r="X80" i="2"/>
  <c r="I79" i="2"/>
  <c r="M77" i="2"/>
  <c r="H87" i="2"/>
  <c r="G80" i="2"/>
  <c r="H76" i="2"/>
  <c r="Q71" i="2"/>
  <c r="H83" i="2"/>
  <c r="C89" i="2"/>
  <c r="F73" i="2"/>
  <c r="N78" i="2"/>
  <c r="Q74" i="2"/>
  <c r="V85" i="2"/>
  <c r="W79" i="2"/>
  <c r="V79" i="2"/>
  <c r="V89" i="2"/>
  <c r="B81" i="2"/>
  <c r="D83" i="2"/>
  <c r="O76" i="2"/>
  <c r="P85" i="2"/>
  <c r="V76" i="2"/>
  <c r="B82" i="2"/>
  <c r="S79" i="2"/>
  <c r="W89" i="2"/>
  <c r="R89" i="2"/>
  <c r="H81" i="2"/>
  <c r="K71" i="2"/>
  <c r="R85" i="2"/>
  <c r="U78" i="2"/>
  <c r="G72" i="2"/>
  <c r="D82" i="2"/>
  <c r="M71" i="2"/>
  <c r="G84" i="2"/>
  <c r="N75" i="2"/>
  <c r="J73" i="2"/>
  <c r="R87" i="2"/>
  <c r="I71" i="2"/>
  <c r="E83" i="2"/>
  <c r="V82" i="2"/>
  <c r="T73" i="2"/>
  <c r="F74" i="2"/>
  <c r="D77" i="2"/>
  <c r="R88" i="2"/>
  <c r="Q77" i="2"/>
  <c r="X72" i="2"/>
  <c r="Q83" i="2"/>
  <c r="K86" i="2"/>
  <c r="I83" i="2"/>
  <c r="J83" i="2"/>
  <c r="U81" i="2"/>
  <c r="C80" i="2"/>
  <c r="J84" i="2"/>
  <c r="J74" i="2"/>
  <c r="D87" i="2"/>
  <c r="R75" i="2"/>
  <c r="Q84" i="2"/>
  <c r="P88" i="2"/>
  <c r="F71" i="2"/>
  <c r="E84" i="2"/>
  <c r="H73" i="2"/>
  <c r="I75" i="2"/>
  <c r="O89" i="2"/>
  <c r="J87" i="2"/>
  <c r="N72" i="2"/>
  <c r="O72" i="2"/>
  <c r="F79" i="2"/>
  <c r="F77" i="2"/>
  <c r="E79" i="2"/>
  <c r="I88" i="2"/>
  <c r="M79" i="2"/>
  <c r="G76" i="2"/>
  <c r="F82" i="2"/>
  <c r="N88" i="2"/>
  <c r="U73" i="2"/>
  <c r="G71" i="2"/>
  <c r="N86" i="2"/>
  <c r="I76" i="2"/>
  <c r="N89" i="2"/>
  <c r="K76" i="2"/>
  <c r="W83" i="2"/>
  <c r="W72" i="2"/>
  <c r="I78" i="2"/>
  <c r="Q88" i="2"/>
  <c r="K80" i="2"/>
  <c r="O85" i="2"/>
  <c r="F81" i="2"/>
  <c r="G82" i="2"/>
  <c r="G88" i="2"/>
  <c r="I84" i="2"/>
  <c r="B72" i="2"/>
  <c r="S88" i="2"/>
  <c r="W82" i="2"/>
  <c r="T71" i="2"/>
  <c r="R80" i="2"/>
  <c r="Q75" i="2"/>
  <c r="I74" i="2"/>
  <c r="L79" i="2"/>
  <c r="M78" i="2"/>
  <c r="J88" i="2"/>
  <c r="X74" i="2"/>
  <c r="H78" i="2"/>
  <c r="W80" i="2"/>
  <c r="L78" i="2"/>
  <c r="Q76" i="2"/>
  <c r="G83" i="2"/>
  <c r="Q82" i="2"/>
  <c r="N82" i="2"/>
  <c r="K81" i="2"/>
  <c r="M74" i="2"/>
  <c r="I1" i="16" l="1"/>
  <c r="F4" i="27"/>
  <c r="F150" i="3"/>
  <c r="G149" i="3"/>
  <c r="G193" i="3"/>
  <c r="F194" i="3"/>
  <c r="D195" i="3"/>
  <c r="C196" i="3"/>
  <c r="C99" i="3"/>
  <c r="D98" i="3"/>
  <c r="G114" i="3"/>
  <c r="F115" i="3"/>
  <c r="J138" i="3"/>
  <c r="I139" i="3"/>
  <c r="F106" i="3"/>
  <c r="G105" i="3"/>
  <c r="J121" i="3"/>
  <c r="I122" i="3"/>
  <c r="G101" i="3"/>
  <c r="F102" i="3"/>
  <c r="J151" i="3"/>
  <c r="I152" i="3"/>
  <c r="D100" i="3"/>
  <c r="C101" i="3"/>
  <c r="G124" i="3"/>
  <c r="F125" i="3"/>
  <c r="C141" i="3"/>
  <c r="D140" i="3"/>
  <c r="J165" i="3"/>
  <c r="I166" i="3"/>
  <c r="J178" i="3"/>
  <c r="I179" i="3"/>
  <c r="D202" i="3"/>
  <c r="C203" i="3"/>
  <c r="I126" i="3"/>
  <c r="J125" i="3"/>
  <c r="J185" i="3"/>
  <c r="I186" i="3"/>
  <c r="F176" i="3"/>
  <c r="G175" i="3"/>
  <c r="G179" i="3"/>
  <c r="F180" i="3"/>
  <c r="I204" i="3"/>
  <c r="J203" i="3"/>
  <c r="J106" i="3"/>
  <c r="I107" i="3"/>
  <c r="C131" i="3"/>
  <c r="D130" i="3"/>
  <c r="D113" i="3"/>
  <c r="C114" i="3"/>
  <c r="F138" i="3"/>
  <c r="G137" i="3"/>
  <c r="G153" i="3"/>
  <c r="F154" i="3"/>
  <c r="I94" i="3"/>
  <c r="J93" i="3"/>
  <c r="D117" i="3"/>
  <c r="C118" i="3"/>
  <c r="G133" i="3"/>
  <c r="F134" i="3"/>
  <c r="D157" i="3"/>
  <c r="C158" i="3"/>
  <c r="D183" i="3"/>
  <c r="C184" i="3"/>
  <c r="G107" i="3"/>
  <c r="F108" i="3"/>
  <c r="J131" i="3"/>
  <c r="I132" i="3"/>
  <c r="D209" i="3"/>
  <c r="C210" i="3"/>
  <c r="G139" i="3"/>
  <c r="F140" i="3"/>
  <c r="J108" i="3"/>
  <c r="I109" i="3"/>
  <c r="D132" i="3"/>
  <c r="C133" i="3"/>
  <c r="D115" i="3"/>
  <c r="C116" i="3"/>
  <c r="G194" i="3"/>
  <c r="F195" i="3"/>
  <c r="D169" i="3"/>
  <c r="C170" i="3"/>
  <c r="D144" i="3"/>
  <c r="C145" i="3"/>
  <c r="C159" i="3"/>
  <c r="D158" i="3"/>
  <c r="G181" i="3"/>
  <c r="F182" i="3"/>
  <c r="C190" i="3"/>
  <c r="D189" i="3"/>
  <c r="J197" i="3"/>
  <c r="I198" i="3"/>
  <c r="G92" i="3"/>
  <c r="F93" i="3"/>
  <c r="D156" i="3"/>
  <c r="C157" i="3"/>
  <c r="I165" i="3"/>
  <c r="J164" i="3"/>
  <c r="G172" i="3"/>
  <c r="F173" i="3"/>
  <c r="J188" i="3"/>
  <c r="I189" i="3"/>
  <c r="F197" i="3"/>
  <c r="G196" i="3"/>
  <c r="D204" i="3"/>
  <c r="C205" i="3"/>
  <c r="J99" i="3"/>
  <c r="I100" i="3"/>
  <c r="J147" i="3"/>
  <c r="I148" i="3"/>
  <c r="G163" i="3"/>
  <c r="F164" i="3"/>
  <c r="C172" i="3"/>
  <c r="D171" i="3"/>
  <c r="D203" i="3"/>
  <c r="C204" i="3"/>
  <c r="G211" i="3"/>
  <c r="F212" i="3"/>
  <c r="C96" i="3"/>
  <c r="D95" i="3"/>
  <c r="J135" i="3"/>
  <c r="I136" i="3"/>
  <c r="J207" i="3"/>
  <c r="I208" i="3"/>
  <c r="D146" i="3"/>
  <c r="C147" i="3"/>
  <c r="J162" i="3"/>
  <c r="I163" i="3"/>
  <c r="F171" i="3"/>
  <c r="G170" i="3"/>
  <c r="D210" i="3"/>
  <c r="C211" i="3"/>
  <c r="J119" i="3"/>
  <c r="I120" i="3"/>
  <c r="I113" i="3"/>
  <c r="J112" i="3"/>
  <c r="G120" i="3"/>
  <c r="F121" i="3"/>
  <c r="D136" i="3"/>
  <c r="C137" i="3"/>
  <c r="C209" i="3"/>
  <c r="D208" i="3"/>
  <c r="J94" i="3"/>
  <c r="I95" i="3"/>
  <c r="F103" i="3"/>
  <c r="G102" i="3"/>
  <c r="D110" i="3"/>
  <c r="C111" i="3"/>
  <c r="J126" i="3"/>
  <c r="I127" i="3"/>
  <c r="F135" i="3"/>
  <c r="G134" i="3"/>
  <c r="G174" i="3"/>
  <c r="F175" i="3"/>
  <c r="D190" i="3"/>
  <c r="C191" i="3"/>
  <c r="I199" i="3"/>
  <c r="J198" i="3"/>
  <c r="G205" i="3"/>
  <c r="F206" i="3"/>
  <c r="C104" i="3"/>
  <c r="D103" i="3"/>
  <c r="I146" i="3"/>
  <c r="J145" i="3"/>
  <c r="J152" i="3"/>
  <c r="I153" i="3"/>
  <c r="G142" i="3"/>
  <c r="F143" i="3"/>
  <c r="C182" i="3"/>
  <c r="D181" i="3"/>
  <c r="J189" i="3"/>
  <c r="I190" i="3"/>
  <c r="G127" i="3"/>
  <c r="F128" i="3"/>
  <c r="D148" i="3"/>
  <c r="C149" i="3"/>
  <c r="I157" i="3"/>
  <c r="J156" i="3"/>
  <c r="G164" i="3"/>
  <c r="F165" i="3"/>
  <c r="J180" i="3"/>
  <c r="I181" i="3"/>
  <c r="F189" i="3"/>
  <c r="G188" i="3"/>
  <c r="D196" i="3"/>
  <c r="C197" i="3"/>
  <c r="J91" i="3"/>
  <c r="I92" i="3"/>
  <c r="G155" i="3"/>
  <c r="F156" i="3"/>
  <c r="C164" i="3"/>
  <c r="D163" i="3"/>
  <c r="J171" i="3"/>
  <c r="I172" i="3"/>
  <c r="J95" i="3"/>
  <c r="I96" i="3"/>
  <c r="J154" i="3"/>
  <c r="I155" i="3"/>
  <c r="F163" i="3"/>
  <c r="G162" i="3"/>
  <c r="D170" i="3"/>
  <c r="C171" i="3"/>
  <c r="I105" i="3"/>
  <c r="J104" i="3"/>
  <c r="G112" i="3"/>
  <c r="F113" i="3"/>
  <c r="D128" i="3"/>
  <c r="C129" i="3"/>
  <c r="I137" i="3"/>
  <c r="J136" i="3"/>
  <c r="G111" i="3"/>
  <c r="F112" i="3"/>
  <c r="F95" i="3"/>
  <c r="G94" i="3"/>
  <c r="D102" i="3"/>
  <c r="C103" i="3"/>
  <c r="J118" i="3"/>
  <c r="I119" i="3"/>
  <c r="F127" i="3"/>
  <c r="G126" i="3"/>
  <c r="D134" i="3"/>
  <c r="C135" i="3"/>
  <c r="D182" i="3"/>
  <c r="C183" i="3"/>
  <c r="I191" i="3"/>
  <c r="J190" i="3"/>
  <c r="G198" i="3"/>
  <c r="F199" i="3"/>
  <c r="J103" i="3"/>
  <c r="I104" i="3"/>
  <c r="D104" i="3"/>
  <c r="C105" i="3"/>
  <c r="J176" i="3"/>
  <c r="I177" i="3"/>
  <c r="J191" i="3"/>
  <c r="I192" i="3"/>
  <c r="G93" i="3"/>
  <c r="F94" i="3"/>
  <c r="D109" i="3"/>
  <c r="C110" i="3"/>
  <c r="I118" i="3"/>
  <c r="J117" i="3"/>
  <c r="G125" i="3"/>
  <c r="F126" i="3"/>
  <c r="F142" i="3"/>
  <c r="G141" i="3"/>
  <c r="D149" i="3"/>
  <c r="C150" i="3"/>
  <c r="J157" i="3"/>
  <c r="I158" i="3"/>
  <c r="C174" i="3"/>
  <c r="D173" i="3"/>
  <c r="F214" i="3"/>
  <c r="G213" i="3"/>
  <c r="G185" i="3"/>
  <c r="F186" i="3"/>
  <c r="D193" i="3"/>
  <c r="C194" i="3"/>
  <c r="G151" i="3"/>
  <c r="F152" i="3"/>
  <c r="J183" i="3"/>
  <c r="I184" i="3"/>
  <c r="D92" i="3"/>
  <c r="C93" i="3"/>
  <c r="J100" i="3"/>
  <c r="I101" i="3"/>
  <c r="G116" i="3"/>
  <c r="F117" i="3"/>
  <c r="D124" i="3"/>
  <c r="C125" i="3"/>
  <c r="J132" i="3"/>
  <c r="I133" i="3"/>
  <c r="I213" i="3"/>
  <c r="J212" i="3"/>
  <c r="D175" i="3"/>
  <c r="C176" i="3"/>
  <c r="G99" i="3"/>
  <c r="F100" i="3"/>
  <c r="D107" i="3"/>
  <c r="C108" i="3"/>
  <c r="J123" i="3"/>
  <c r="I124" i="3"/>
  <c r="G131" i="3"/>
  <c r="F132" i="3"/>
  <c r="D139" i="3"/>
  <c r="C140" i="3"/>
  <c r="D187" i="3"/>
  <c r="C188" i="3"/>
  <c r="I196" i="3"/>
  <c r="J195" i="3"/>
  <c r="G203" i="3"/>
  <c r="F204" i="3"/>
  <c r="J201" i="3"/>
  <c r="I202" i="3"/>
  <c r="I210" i="3"/>
  <c r="J209" i="3"/>
  <c r="J167" i="3"/>
  <c r="I168" i="3"/>
  <c r="F208" i="3"/>
  <c r="G207" i="3"/>
  <c r="J98" i="3"/>
  <c r="I99" i="3"/>
  <c r="G106" i="3"/>
  <c r="F107" i="3"/>
  <c r="C123" i="3"/>
  <c r="D122" i="3"/>
  <c r="J130" i="3"/>
  <c r="I131" i="3"/>
  <c r="G138" i="3"/>
  <c r="F139" i="3"/>
  <c r="G186" i="3"/>
  <c r="F187" i="3"/>
  <c r="D194" i="3"/>
  <c r="C195" i="3"/>
  <c r="J202" i="3"/>
  <c r="I203" i="3"/>
  <c r="F98" i="3"/>
  <c r="G97" i="3"/>
  <c r="D105" i="3"/>
  <c r="C106" i="3"/>
  <c r="J113" i="3"/>
  <c r="I114" i="3"/>
  <c r="F130" i="3"/>
  <c r="G129" i="3"/>
  <c r="D137" i="3"/>
  <c r="C138" i="3"/>
  <c r="G145" i="3"/>
  <c r="F146" i="3"/>
  <c r="D161" i="3"/>
  <c r="C162" i="3"/>
  <c r="I170" i="3"/>
  <c r="J169" i="3"/>
  <c r="D177" i="3"/>
  <c r="C178" i="3"/>
  <c r="J143" i="3"/>
  <c r="I144" i="3"/>
  <c r="D96" i="3"/>
  <c r="C97" i="3"/>
  <c r="J144" i="3"/>
  <c r="I145" i="3"/>
  <c r="G160" i="3"/>
  <c r="F161" i="3"/>
  <c r="D168" i="3"/>
  <c r="C169" i="3"/>
  <c r="G176" i="3"/>
  <c r="F177" i="3"/>
  <c r="C193" i="3"/>
  <c r="D192" i="3"/>
  <c r="J200" i="3"/>
  <c r="I201" i="3"/>
  <c r="J208" i="3"/>
  <c r="I209" i="3"/>
  <c r="G159" i="3"/>
  <c r="F160" i="3"/>
  <c r="C151" i="3"/>
  <c r="D150" i="3"/>
  <c r="J158" i="3"/>
  <c r="I159" i="3"/>
  <c r="G166" i="3"/>
  <c r="F167" i="3"/>
  <c r="C215" i="3"/>
  <c r="D214" i="3"/>
  <c r="F200" i="3"/>
  <c r="G199" i="3"/>
  <c r="G184" i="3"/>
  <c r="F185" i="3"/>
  <c r="J166" i="3"/>
  <c r="I167" i="3"/>
  <c r="D101" i="3"/>
  <c r="C102" i="3"/>
  <c r="J181" i="3"/>
  <c r="I182" i="3"/>
  <c r="G197" i="3"/>
  <c r="F198" i="3"/>
  <c r="C128" i="3"/>
  <c r="D127" i="3"/>
  <c r="I149" i="3"/>
  <c r="J148" i="3"/>
  <c r="G156" i="3"/>
  <c r="F157" i="3"/>
  <c r="D172" i="3"/>
  <c r="C173" i="3"/>
  <c r="F181" i="3"/>
  <c r="G180" i="3"/>
  <c r="D188" i="3"/>
  <c r="C189" i="3"/>
  <c r="D212" i="3"/>
  <c r="C213" i="3"/>
  <c r="G147" i="3"/>
  <c r="F148" i="3"/>
  <c r="C156" i="3"/>
  <c r="D155" i="3"/>
  <c r="J163" i="3"/>
  <c r="I164" i="3"/>
  <c r="G135" i="3"/>
  <c r="F136" i="3"/>
  <c r="J146" i="3"/>
  <c r="I147" i="3"/>
  <c r="F155" i="3"/>
  <c r="G154" i="3"/>
  <c r="D162" i="3"/>
  <c r="C163" i="3"/>
  <c r="J210" i="3"/>
  <c r="I211" i="3"/>
  <c r="G119" i="3"/>
  <c r="F120" i="3"/>
  <c r="I97" i="3"/>
  <c r="J96" i="3"/>
  <c r="G104" i="3"/>
  <c r="F105" i="3"/>
  <c r="D120" i="3"/>
  <c r="C121" i="3"/>
  <c r="I129" i="3"/>
  <c r="J128" i="3"/>
  <c r="G136" i="3"/>
  <c r="F137" i="3"/>
  <c r="C112" i="3"/>
  <c r="D111" i="3"/>
  <c r="D94" i="3"/>
  <c r="C95" i="3"/>
  <c r="J110" i="3"/>
  <c r="I111" i="3"/>
  <c r="F119" i="3"/>
  <c r="G118" i="3"/>
  <c r="D126" i="3"/>
  <c r="C127" i="3"/>
  <c r="D174" i="3"/>
  <c r="C175" i="3"/>
  <c r="I183" i="3"/>
  <c r="J182" i="3"/>
  <c r="G190" i="3"/>
  <c r="F191" i="3"/>
  <c r="D205" i="3"/>
  <c r="C206" i="3"/>
  <c r="G177" i="3"/>
  <c r="F178" i="3"/>
  <c r="G168" i="3"/>
  <c r="F169" i="3"/>
  <c r="G206" i="3"/>
  <c r="F207" i="3"/>
  <c r="I110" i="3"/>
  <c r="J109" i="3"/>
  <c r="G117" i="3"/>
  <c r="F118" i="3"/>
  <c r="D133" i="3"/>
  <c r="C134" i="3"/>
  <c r="D141" i="3"/>
  <c r="C142" i="3"/>
  <c r="J149" i="3"/>
  <c r="I150" i="3"/>
  <c r="F166" i="3"/>
  <c r="G165" i="3"/>
  <c r="J173" i="3"/>
  <c r="I174" i="3"/>
  <c r="D213" i="3"/>
  <c r="C214" i="3"/>
  <c r="D185" i="3"/>
  <c r="C186" i="3"/>
  <c r="D151" i="3"/>
  <c r="C152" i="3"/>
  <c r="J92" i="3"/>
  <c r="I93" i="3"/>
  <c r="G108" i="3"/>
  <c r="F109" i="3"/>
  <c r="D116" i="3"/>
  <c r="C117" i="3"/>
  <c r="J124" i="3"/>
  <c r="I125" i="3"/>
  <c r="J140" i="3"/>
  <c r="I141" i="3"/>
  <c r="J204" i="3"/>
  <c r="I205" i="3"/>
  <c r="J175" i="3"/>
  <c r="I176" i="3"/>
  <c r="G91" i="3"/>
  <c r="F92" i="3"/>
  <c r="D99" i="3"/>
  <c r="C100" i="3"/>
  <c r="J115" i="3"/>
  <c r="I116" i="3"/>
  <c r="G123" i="3"/>
  <c r="F124" i="3"/>
  <c r="D131" i="3"/>
  <c r="C132" i="3"/>
  <c r="D179" i="3"/>
  <c r="C180" i="3"/>
  <c r="I188" i="3"/>
  <c r="J187" i="3"/>
  <c r="G195" i="3"/>
  <c r="F196" i="3"/>
  <c r="C212" i="3"/>
  <c r="D211" i="3"/>
  <c r="G201" i="3"/>
  <c r="F202" i="3"/>
  <c r="G209" i="3"/>
  <c r="F210" i="3"/>
  <c r="G167" i="3"/>
  <c r="F168" i="3"/>
  <c r="D207" i="3"/>
  <c r="C208" i="3"/>
  <c r="G98" i="3"/>
  <c r="F99" i="3"/>
  <c r="C115" i="3"/>
  <c r="D114" i="3"/>
  <c r="J122" i="3"/>
  <c r="I123" i="3"/>
  <c r="G130" i="3"/>
  <c r="F131" i="3"/>
  <c r="G178" i="3"/>
  <c r="F179" i="3"/>
  <c r="D186" i="3"/>
  <c r="C187" i="3"/>
  <c r="J194" i="3"/>
  <c r="I195" i="3"/>
  <c r="D97" i="3"/>
  <c r="C98" i="3"/>
  <c r="J105" i="3"/>
  <c r="I106" i="3"/>
  <c r="F122" i="3"/>
  <c r="G121" i="3"/>
  <c r="D129" i="3"/>
  <c r="C130" i="3"/>
  <c r="J137" i="3"/>
  <c r="I138" i="3"/>
  <c r="D153" i="3"/>
  <c r="C154" i="3"/>
  <c r="I162" i="3"/>
  <c r="J161" i="3"/>
  <c r="G169" i="3"/>
  <c r="F170" i="3"/>
  <c r="G143" i="3"/>
  <c r="F144" i="3"/>
  <c r="G152" i="3"/>
  <c r="F153" i="3"/>
  <c r="D160" i="3"/>
  <c r="C161" i="3"/>
  <c r="J168" i="3"/>
  <c r="I169" i="3"/>
  <c r="C185" i="3"/>
  <c r="D184" i="3"/>
  <c r="J192" i="3"/>
  <c r="I193" i="3"/>
  <c r="G200" i="3"/>
  <c r="F201" i="3"/>
  <c r="D159" i="3"/>
  <c r="C160" i="3"/>
  <c r="C143" i="3"/>
  <c r="D142" i="3"/>
  <c r="J150" i="3"/>
  <c r="I151" i="3"/>
  <c r="G158" i="3"/>
  <c r="F159" i="3"/>
  <c r="C207" i="3"/>
  <c r="D206" i="3"/>
  <c r="I215" i="3"/>
  <c r="J214" i="3"/>
  <c r="J205" i="3"/>
  <c r="I206" i="3"/>
  <c r="F192" i="3"/>
  <c r="G191" i="3"/>
  <c r="D199" i="3"/>
  <c r="C200" i="3"/>
  <c r="C201" i="3"/>
  <c r="D200" i="3"/>
  <c r="D93" i="3"/>
  <c r="C94" i="3"/>
  <c r="G189" i="3"/>
  <c r="F190" i="3"/>
  <c r="C198" i="3"/>
  <c r="D197" i="3"/>
  <c r="J127" i="3"/>
  <c r="I128" i="3"/>
  <c r="G100" i="3"/>
  <c r="F101" i="3"/>
  <c r="G148" i="3"/>
  <c r="F149" i="3"/>
  <c r="D164" i="3"/>
  <c r="C165" i="3"/>
  <c r="J172" i="3"/>
  <c r="I173" i="3"/>
  <c r="D180" i="3"/>
  <c r="C181" i="3"/>
  <c r="J196" i="3"/>
  <c r="I197" i="3"/>
  <c r="F205" i="3"/>
  <c r="G204" i="3"/>
  <c r="G212" i="3"/>
  <c r="F213" i="3"/>
  <c r="C148" i="3"/>
  <c r="D147" i="3"/>
  <c r="J155" i="3"/>
  <c r="I156" i="3"/>
  <c r="G171" i="3"/>
  <c r="F172" i="3"/>
  <c r="G95" i="3"/>
  <c r="F96" i="3"/>
  <c r="C136" i="3"/>
  <c r="D135" i="3"/>
  <c r="F147" i="3"/>
  <c r="G146" i="3"/>
  <c r="D154" i="3"/>
  <c r="C155" i="3"/>
  <c r="J170" i="3"/>
  <c r="I171" i="3"/>
  <c r="F211" i="3"/>
  <c r="G210" i="3"/>
  <c r="C120" i="3"/>
  <c r="D119" i="3"/>
  <c r="G96" i="3"/>
  <c r="F97" i="3"/>
  <c r="D112" i="3"/>
  <c r="C113" i="3"/>
  <c r="I121" i="3"/>
  <c r="J120" i="3"/>
  <c r="G128" i="3"/>
  <c r="F129" i="3"/>
  <c r="G208" i="3"/>
  <c r="F209" i="3"/>
  <c r="J111" i="3"/>
  <c r="I112" i="3"/>
  <c r="J102" i="3"/>
  <c r="I103" i="3"/>
  <c r="F111" i="3"/>
  <c r="G110" i="3"/>
  <c r="D118" i="3"/>
  <c r="C119" i="3"/>
  <c r="J134" i="3"/>
  <c r="I135" i="3"/>
  <c r="I175" i="3"/>
  <c r="J174" i="3"/>
  <c r="G182" i="3"/>
  <c r="F183" i="3"/>
  <c r="D198" i="3"/>
  <c r="C199" i="3"/>
  <c r="G103" i="3"/>
  <c r="F104" i="3"/>
  <c r="J159" i="3"/>
  <c r="I160" i="3"/>
  <c r="I102" i="3"/>
  <c r="J101" i="3"/>
  <c r="G109" i="3"/>
  <c r="F110" i="3"/>
  <c r="D125" i="3"/>
  <c r="C126" i="3"/>
  <c r="I134" i="3"/>
  <c r="J133" i="3"/>
  <c r="J141" i="3"/>
  <c r="I142" i="3"/>
  <c r="F158" i="3"/>
  <c r="G157" i="3"/>
  <c r="D165" i="3"/>
  <c r="C166" i="3"/>
  <c r="G173" i="3"/>
  <c r="F174" i="3"/>
  <c r="J213" i="3"/>
  <c r="I214" i="3"/>
  <c r="J193" i="3"/>
  <c r="I194" i="3"/>
  <c r="F184" i="3"/>
  <c r="G183" i="3"/>
  <c r="D108" i="3"/>
  <c r="C109" i="3"/>
  <c r="J116" i="3"/>
  <c r="I117" i="3"/>
  <c r="G132" i="3"/>
  <c r="F133" i="3"/>
  <c r="G140" i="3"/>
  <c r="F141" i="3"/>
  <c r="D91" i="3"/>
  <c r="C92" i="3"/>
  <c r="J107" i="3"/>
  <c r="I108" i="3"/>
  <c r="G115" i="3"/>
  <c r="F116" i="3"/>
  <c r="D123" i="3"/>
  <c r="C124" i="3"/>
  <c r="J139" i="3"/>
  <c r="I140" i="3"/>
  <c r="I180" i="3"/>
  <c r="J179" i="3"/>
  <c r="G187" i="3"/>
  <c r="F188" i="3"/>
  <c r="J211" i="3"/>
  <c r="I212" i="3"/>
  <c r="D201" i="3"/>
  <c r="C202" i="3"/>
  <c r="D167" i="3"/>
  <c r="C168" i="3"/>
  <c r="C107" i="3"/>
  <c r="D106" i="3"/>
  <c r="J114" i="3"/>
  <c r="I115" i="3"/>
  <c r="G122" i="3"/>
  <c r="F123" i="3"/>
  <c r="C139" i="3"/>
  <c r="D138" i="3"/>
  <c r="D178" i="3"/>
  <c r="C179" i="3"/>
  <c r="J186" i="3"/>
  <c r="I187" i="3"/>
  <c r="G202" i="3"/>
  <c r="F203" i="3"/>
  <c r="J97" i="3"/>
  <c r="I98" i="3"/>
  <c r="F114" i="3"/>
  <c r="G113" i="3"/>
  <c r="D121" i="3"/>
  <c r="C122" i="3"/>
  <c r="J129" i="3"/>
  <c r="I130" i="3"/>
  <c r="D145" i="3"/>
  <c r="C146" i="3"/>
  <c r="I154" i="3"/>
  <c r="J153" i="3"/>
  <c r="G161" i="3"/>
  <c r="F162" i="3"/>
  <c r="J177" i="3"/>
  <c r="I178" i="3"/>
  <c r="D143" i="3"/>
  <c r="C144" i="3"/>
  <c r="G144" i="3"/>
  <c r="F145" i="3"/>
  <c r="D152" i="3"/>
  <c r="C153" i="3"/>
  <c r="J160" i="3"/>
  <c r="I161" i="3"/>
  <c r="C177" i="3"/>
  <c r="D176" i="3"/>
  <c r="J184" i="3"/>
  <c r="I185" i="3"/>
  <c r="G192" i="3"/>
  <c r="F193" i="3"/>
  <c r="J142" i="3"/>
  <c r="I143" i="3"/>
  <c r="G150" i="3"/>
  <c r="F151" i="3"/>
  <c r="C167" i="3"/>
  <c r="D166" i="3"/>
  <c r="I207" i="3"/>
  <c r="J206" i="3"/>
  <c r="G214" i="3"/>
  <c r="F215" i="3"/>
  <c r="D191" i="3"/>
  <c r="C192" i="3"/>
  <c r="J199" i="3"/>
  <c r="I200" i="3"/>
  <c r="R24" i="23"/>
  <c r="S24" i="23" s="1"/>
  <c r="I1" i="19"/>
  <c r="I1" i="17"/>
  <c r="R10" i="23"/>
  <c r="S10" i="23" s="1"/>
  <c r="R11" i="23"/>
  <c r="S11" i="23" s="1"/>
  <c r="R15" i="23"/>
  <c r="S15" i="23" s="1"/>
  <c r="R14" i="23"/>
  <c r="S14" i="23" s="1"/>
  <c r="R13" i="23"/>
  <c r="S13" i="23" s="1"/>
  <c r="R12" i="23"/>
  <c r="S12" i="23" s="1"/>
  <c r="R23" i="23"/>
  <c r="S23" i="23" s="1"/>
  <c r="R22" i="23"/>
  <c r="S22" i="23" s="1"/>
  <c r="R21" i="23"/>
  <c r="S21" i="23" s="1"/>
  <c r="R9" i="23"/>
  <c r="S9" i="23" s="1"/>
  <c r="R20" i="23"/>
  <c r="S20" i="23" s="1"/>
  <c r="R8" i="23"/>
  <c r="S8" i="23" s="1"/>
  <c r="R19" i="23"/>
  <c r="S19" i="23" s="1"/>
  <c r="R7" i="23"/>
  <c r="S7" i="23" s="1"/>
  <c r="R18" i="23"/>
  <c r="S18" i="23" s="1"/>
  <c r="R6" i="23"/>
  <c r="S6" i="23" s="1"/>
  <c r="R17" i="23"/>
  <c r="S17" i="23" s="1"/>
  <c r="R5" i="23"/>
  <c r="S5" i="23" s="1"/>
  <c r="R16" i="23"/>
  <c r="S16" i="23" s="1"/>
  <c r="R4" i="23"/>
  <c r="S4" i="23" s="1"/>
  <c r="R3" i="23"/>
  <c r="S3" i="23" s="1"/>
  <c r="Z6" i="4"/>
  <c r="Z5" i="4"/>
  <c r="Z7" i="4"/>
  <c r="Z8" i="4"/>
  <c r="Z12" i="4"/>
  <c r="Z10" i="4"/>
  <c r="R2" i="23" l="1"/>
  <c r="Z25" i="4" l="1"/>
  <c r="Z24" i="4"/>
  <c r="Z23" i="4"/>
  <c r="AA214" i="2"/>
  <c r="Z214" i="2"/>
  <c r="AA213" i="2"/>
  <c r="Z213" i="2"/>
  <c r="AA212" i="2"/>
  <c r="Z212" i="2"/>
  <c r="AA211" i="2"/>
  <c r="Z211" i="2"/>
  <c r="AA210" i="2"/>
  <c r="Z210" i="2"/>
  <c r="AA209" i="2"/>
  <c r="Z209" i="2"/>
  <c r="AA208" i="2"/>
  <c r="Z208" i="2"/>
  <c r="AA207" i="2"/>
  <c r="Z207" i="2"/>
  <c r="AA206" i="2"/>
  <c r="Z206" i="2"/>
  <c r="AA205" i="2"/>
  <c r="Z205" i="2"/>
  <c r="AA204" i="2"/>
  <c r="Z204" i="2"/>
  <c r="AA203" i="2"/>
  <c r="Z203" i="2"/>
  <c r="AA202" i="2"/>
  <c r="Z202" i="2"/>
  <c r="AA201" i="2"/>
  <c r="Z201" i="2"/>
  <c r="AA200" i="2"/>
  <c r="Z200" i="2"/>
  <c r="AA199" i="2"/>
  <c r="Z199" i="2"/>
  <c r="AA198" i="2"/>
  <c r="Z198" i="2"/>
  <c r="AA197" i="2"/>
  <c r="Z197" i="2"/>
  <c r="AA196" i="2"/>
  <c r="Z196" i="2"/>
  <c r="AA195" i="2"/>
  <c r="Z195" i="2"/>
  <c r="AA194" i="2"/>
  <c r="Z194" i="2"/>
  <c r="AA193" i="2"/>
  <c r="Z193" i="2"/>
  <c r="AA192" i="2"/>
  <c r="Z192" i="2"/>
  <c r="AA191" i="2"/>
  <c r="Z191" i="2"/>
  <c r="AA190" i="2"/>
  <c r="Z190" i="2"/>
  <c r="AA189" i="2"/>
  <c r="Z189" i="2"/>
  <c r="AA188" i="2"/>
  <c r="Z188" i="2"/>
  <c r="AA187" i="2"/>
  <c r="Z187" i="2"/>
  <c r="AA186" i="2"/>
  <c r="Z186" i="2"/>
  <c r="AA185" i="2"/>
  <c r="Z185" i="2"/>
  <c r="AA184" i="2"/>
  <c r="Z184" i="2"/>
  <c r="AA183" i="2"/>
  <c r="Z183" i="2"/>
  <c r="AA182" i="2"/>
  <c r="Z182" i="2"/>
  <c r="AA181" i="2"/>
  <c r="Z181" i="2"/>
  <c r="AA180" i="2"/>
  <c r="Z180" i="2"/>
  <c r="AA179" i="2"/>
  <c r="Z179" i="2"/>
  <c r="AA178" i="2"/>
  <c r="Z178" i="2"/>
  <c r="AA177" i="2"/>
  <c r="Z177" i="2"/>
  <c r="AA176" i="2"/>
  <c r="Z176" i="2"/>
  <c r="AA175" i="2"/>
  <c r="Z175" i="2"/>
  <c r="AA174" i="2"/>
  <c r="Z174" i="2"/>
  <c r="AA173" i="2"/>
  <c r="Z173" i="2"/>
  <c r="AA172" i="2"/>
  <c r="Z172" i="2"/>
  <c r="AA171" i="2"/>
  <c r="Z171" i="2"/>
  <c r="AA170" i="2"/>
  <c r="Z170" i="2"/>
  <c r="AA169" i="2"/>
  <c r="Z169" i="2"/>
  <c r="AA168" i="2"/>
  <c r="Z168" i="2"/>
  <c r="AA167" i="2"/>
  <c r="Z167" i="2"/>
  <c r="AA166" i="2"/>
  <c r="Z166" i="2"/>
  <c r="AA165" i="2"/>
  <c r="Z165" i="2"/>
  <c r="AA164" i="2"/>
  <c r="Z164" i="2"/>
  <c r="AA163" i="2"/>
  <c r="Z163" i="2"/>
  <c r="AA162" i="2"/>
  <c r="Z162" i="2"/>
  <c r="AA161" i="2"/>
  <c r="Z161" i="2"/>
  <c r="AA160" i="2"/>
  <c r="Z160" i="2"/>
  <c r="AA159" i="2"/>
  <c r="Z159" i="2"/>
  <c r="AA158" i="2"/>
  <c r="Z158" i="2"/>
  <c r="AA157" i="2"/>
  <c r="Z157" i="2"/>
  <c r="AA156" i="2"/>
  <c r="Z156" i="2"/>
  <c r="AA155" i="2"/>
  <c r="Z155" i="2"/>
  <c r="AA154" i="2"/>
  <c r="Z154" i="2"/>
  <c r="AA153" i="2"/>
  <c r="Z153" i="2"/>
  <c r="AA152" i="2"/>
  <c r="Z152" i="2"/>
  <c r="AA151" i="2"/>
  <c r="Z151" i="2"/>
  <c r="AA150" i="2"/>
  <c r="Z150" i="2"/>
  <c r="AA149" i="2"/>
  <c r="Z149" i="2"/>
  <c r="AA148" i="2"/>
  <c r="Z148" i="2"/>
  <c r="AA147" i="2"/>
  <c r="Z147" i="2"/>
  <c r="AA146" i="2"/>
  <c r="Z146" i="2"/>
  <c r="AA145" i="2"/>
  <c r="Z145" i="2"/>
  <c r="AA144" i="2"/>
  <c r="Z144" i="2"/>
  <c r="AA143" i="2"/>
  <c r="Z143" i="2"/>
  <c r="AA142" i="2"/>
  <c r="Z142" i="2"/>
  <c r="AA141" i="2"/>
  <c r="Z141" i="2"/>
  <c r="AA140" i="2"/>
  <c r="Z140" i="2"/>
  <c r="AA139" i="2"/>
  <c r="Z139" i="2"/>
  <c r="AA138" i="2"/>
  <c r="Z138" i="2"/>
  <c r="AA137" i="2"/>
  <c r="Z137" i="2"/>
  <c r="AA136" i="2"/>
  <c r="Z136" i="2"/>
  <c r="AA135" i="2"/>
  <c r="Z135" i="2"/>
  <c r="AA134" i="2"/>
  <c r="Z134" i="2"/>
  <c r="AA133" i="2"/>
  <c r="Z133" i="2"/>
  <c r="AA132" i="2"/>
  <c r="Z132" i="2"/>
  <c r="AA131" i="2"/>
  <c r="Z131" i="2"/>
  <c r="AA130" i="2"/>
  <c r="Z130" i="2"/>
  <c r="AA129" i="2"/>
  <c r="Z129" i="2"/>
  <c r="AA128" i="2"/>
  <c r="Z128" i="2"/>
  <c r="AA127" i="2"/>
  <c r="Z127" i="2"/>
  <c r="AA126" i="2"/>
  <c r="Z126" i="2"/>
  <c r="AA125" i="2"/>
  <c r="Z125" i="2"/>
  <c r="AA124" i="2"/>
  <c r="Z124" i="2"/>
  <c r="AA123" i="2"/>
  <c r="Z123" i="2"/>
  <c r="AA122" i="2"/>
  <c r="Z122" i="2"/>
  <c r="AA121" i="2"/>
  <c r="Z121" i="2"/>
  <c r="AA120" i="2"/>
  <c r="Z120" i="2"/>
  <c r="AA119" i="2"/>
  <c r="Z119" i="2"/>
  <c r="AA118" i="2"/>
  <c r="Z118" i="2"/>
  <c r="AA117" i="2"/>
  <c r="Z117" i="2"/>
  <c r="AA116" i="2"/>
  <c r="Z116" i="2"/>
  <c r="AA115" i="2"/>
  <c r="Z115" i="2"/>
  <c r="AA114" i="2"/>
  <c r="Z114" i="2"/>
  <c r="AA113" i="2"/>
  <c r="Z113" i="2"/>
  <c r="AA112" i="2"/>
  <c r="Z112" i="2"/>
  <c r="AA111" i="2"/>
  <c r="Z111" i="2"/>
  <c r="AA110" i="2"/>
  <c r="Z110" i="2"/>
  <c r="AA109" i="2"/>
  <c r="Z109" i="2"/>
  <c r="AA108" i="2"/>
  <c r="Z108" i="2"/>
  <c r="AA107" i="2"/>
  <c r="Z107" i="2"/>
  <c r="AA106" i="2"/>
  <c r="Z106" i="2"/>
  <c r="AA105" i="2"/>
  <c r="Z105" i="2"/>
  <c r="AA104" i="2"/>
  <c r="Z104" i="2"/>
  <c r="AA103" i="2"/>
  <c r="Z103" i="2"/>
  <c r="AA102" i="2"/>
  <c r="Z102" i="2"/>
  <c r="AA101" i="2"/>
  <c r="Z101" i="2"/>
  <c r="AA100" i="2"/>
  <c r="Z100" i="2"/>
  <c r="AA99" i="2"/>
  <c r="Z99" i="2"/>
  <c r="AA98" i="2"/>
  <c r="Z98" i="2"/>
  <c r="AA97" i="2"/>
  <c r="Z97" i="2"/>
  <c r="AA96" i="2"/>
  <c r="Z96" i="2"/>
  <c r="AA95" i="2"/>
  <c r="Z95" i="2"/>
  <c r="AA94" i="2"/>
  <c r="Z94" i="2"/>
  <c r="AA93" i="2"/>
  <c r="Z93" i="2"/>
  <c r="AA92" i="2"/>
  <c r="Z92" i="2"/>
  <c r="AA91" i="2"/>
  <c r="Z91" i="2"/>
  <c r="AA90" i="2"/>
  <c r="Z90" i="2"/>
  <c r="Z87" i="2"/>
  <c r="Z80" i="2"/>
  <c r="AA81" i="2"/>
  <c r="AA74" i="2"/>
  <c r="AA79" i="2"/>
  <c r="AA75" i="2"/>
  <c r="AA82" i="2"/>
  <c r="AA83" i="2"/>
  <c r="Z74" i="2"/>
  <c r="AA84" i="2"/>
  <c r="AA89" i="2"/>
  <c r="Z75" i="2"/>
  <c r="AA78" i="2"/>
  <c r="Z86" i="2"/>
  <c r="Z89" i="2"/>
  <c r="Z84" i="2"/>
  <c r="AA85" i="2"/>
  <c r="Z78" i="2"/>
  <c r="Z82" i="2"/>
  <c r="AA80" i="2"/>
  <c r="Z79" i="2"/>
  <c r="AA77" i="2"/>
  <c r="AA76" i="2"/>
  <c r="Z77" i="2"/>
  <c r="Z83" i="2"/>
  <c r="AA86" i="2"/>
  <c r="Z81" i="2"/>
  <c r="Z88" i="2"/>
  <c r="AA87" i="2"/>
  <c r="Z85" i="2"/>
  <c r="Z76" i="2"/>
  <c r="AA88" i="2"/>
  <c r="K93" i="3" l="1"/>
  <c r="N93" i="3"/>
  <c r="Q93" i="3"/>
  <c r="Q101" i="3"/>
  <c r="K101" i="3"/>
  <c r="N101" i="3"/>
  <c r="Q105" i="3"/>
  <c r="K105" i="3"/>
  <c r="N105" i="3"/>
  <c r="N109" i="3"/>
  <c r="Q109" i="3"/>
  <c r="K109" i="3"/>
  <c r="N113" i="3"/>
  <c r="Q113" i="3"/>
  <c r="K113" i="3"/>
  <c r="N117" i="3"/>
  <c r="Q117" i="3"/>
  <c r="K117" i="3"/>
  <c r="K121" i="3"/>
  <c r="N121" i="3"/>
  <c r="Q121" i="3"/>
  <c r="K125" i="3"/>
  <c r="N125" i="3"/>
  <c r="Q125" i="3"/>
  <c r="Q129" i="3"/>
  <c r="K129" i="3"/>
  <c r="N129" i="3"/>
  <c r="Q133" i="3"/>
  <c r="K133" i="3"/>
  <c r="N133" i="3"/>
  <c r="Q137" i="3"/>
  <c r="K137" i="3"/>
  <c r="N137" i="3"/>
  <c r="Q141" i="3"/>
  <c r="K141" i="3"/>
  <c r="N141" i="3"/>
  <c r="K145" i="3"/>
  <c r="N145" i="3"/>
  <c r="Q145" i="3"/>
  <c r="Q149" i="3"/>
  <c r="K149" i="3"/>
  <c r="N149" i="3"/>
  <c r="Q153" i="3"/>
  <c r="K153" i="3"/>
  <c r="N153" i="3"/>
  <c r="N157" i="3"/>
  <c r="Q157" i="3"/>
  <c r="K157" i="3"/>
  <c r="N161" i="3"/>
  <c r="Q161" i="3"/>
  <c r="K161" i="3"/>
  <c r="K165" i="3"/>
  <c r="N165" i="3"/>
  <c r="Q165" i="3"/>
  <c r="N169" i="3"/>
  <c r="Q169" i="3"/>
  <c r="K169" i="3"/>
  <c r="N173" i="3"/>
  <c r="Q173" i="3"/>
  <c r="K173" i="3"/>
  <c r="Q177" i="3"/>
  <c r="K177" i="3"/>
  <c r="N177" i="3"/>
  <c r="N181" i="3"/>
  <c r="Q181" i="3"/>
  <c r="K181" i="3"/>
  <c r="K185" i="3"/>
  <c r="N185" i="3"/>
  <c r="Q185" i="3"/>
  <c r="K189" i="3"/>
  <c r="N189" i="3"/>
  <c r="Q189" i="3"/>
  <c r="Q193" i="3"/>
  <c r="K193" i="3"/>
  <c r="N193" i="3"/>
  <c r="Q197" i="3"/>
  <c r="K197" i="3"/>
  <c r="N197" i="3"/>
  <c r="K201" i="3"/>
  <c r="N201" i="3"/>
  <c r="Q201" i="3"/>
  <c r="Q205" i="3"/>
  <c r="K205" i="3"/>
  <c r="N205" i="3"/>
  <c r="N209" i="3"/>
  <c r="Q209" i="3"/>
  <c r="K209" i="3"/>
  <c r="Q213" i="3"/>
  <c r="K213" i="3"/>
  <c r="N213" i="3"/>
  <c r="Q97" i="3"/>
  <c r="K97" i="3"/>
  <c r="N97" i="3"/>
  <c r="N98" i="3"/>
  <c r="Q98" i="3"/>
  <c r="K98" i="3"/>
  <c r="K110" i="3"/>
  <c r="Q110" i="3"/>
  <c r="N110" i="3"/>
  <c r="N126" i="3"/>
  <c r="Q126" i="3"/>
  <c r="K126" i="3"/>
  <c r="K138" i="3"/>
  <c r="N138" i="3"/>
  <c r="Q138" i="3"/>
  <c r="Q154" i="3"/>
  <c r="K154" i="3"/>
  <c r="N154" i="3"/>
  <c r="N170" i="3"/>
  <c r="Q170" i="3"/>
  <c r="K170" i="3"/>
  <c r="Q186" i="3"/>
  <c r="K186" i="3"/>
  <c r="N186" i="3"/>
  <c r="Q198" i="3"/>
  <c r="N198" i="3"/>
  <c r="K198" i="3"/>
  <c r="N214" i="3"/>
  <c r="Q214" i="3"/>
  <c r="K214" i="3"/>
  <c r="K106" i="3"/>
  <c r="N106" i="3"/>
  <c r="Q106" i="3"/>
  <c r="N122" i="3"/>
  <c r="Q122" i="3"/>
  <c r="K122" i="3"/>
  <c r="Q142" i="3"/>
  <c r="K142" i="3"/>
  <c r="N142" i="3"/>
  <c r="N158" i="3"/>
  <c r="Q158" i="3"/>
  <c r="K158" i="3"/>
  <c r="N174" i="3"/>
  <c r="Q174" i="3"/>
  <c r="K174" i="3"/>
  <c r="K190" i="3"/>
  <c r="Q190" i="3"/>
  <c r="N190" i="3"/>
  <c r="N202" i="3"/>
  <c r="Q202" i="3"/>
  <c r="K202" i="3"/>
  <c r="K91" i="3"/>
  <c r="N91" i="3"/>
  <c r="Q91" i="3"/>
  <c r="K95" i="3"/>
  <c r="N95" i="3"/>
  <c r="Q95" i="3"/>
  <c r="K99" i="3"/>
  <c r="N99" i="3"/>
  <c r="Q99" i="3"/>
  <c r="K103" i="3"/>
  <c r="Q103" i="3"/>
  <c r="N103" i="3"/>
  <c r="Q107" i="3"/>
  <c r="K107" i="3"/>
  <c r="N107" i="3"/>
  <c r="N111" i="3"/>
  <c r="Q111" i="3"/>
  <c r="K111" i="3"/>
  <c r="N115" i="3"/>
  <c r="Q115" i="3"/>
  <c r="K115" i="3"/>
  <c r="Q119" i="3"/>
  <c r="N119" i="3"/>
  <c r="K119" i="3"/>
  <c r="K123" i="3"/>
  <c r="N123" i="3"/>
  <c r="Q123" i="3"/>
  <c r="N127" i="3"/>
  <c r="Q127" i="3"/>
  <c r="K127" i="3"/>
  <c r="K131" i="3"/>
  <c r="N131" i="3"/>
  <c r="Q131" i="3"/>
  <c r="Q135" i="3"/>
  <c r="K135" i="3"/>
  <c r="N135" i="3"/>
  <c r="Q139" i="3"/>
  <c r="K139" i="3"/>
  <c r="N139" i="3"/>
  <c r="K143" i="3"/>
  <c r="N143" i="3"/>
  <c r="Q143" i="3"/>
  <c r="Q147" i="3"/>
  <c r="K147" i="3"/>
  <c r="N147" i="3"/>
  <c r="K151" i="3"/>
  <c r="N151" i="3"/>
  <c r="Q151" i="3"/>
  <c r="N155" i="3"/>
  <c r="Q155" i="3"/>
  <c r="K155" i="3"/>
  <c r="K159" i="3"/>
  <c r="N159" i="3"/>
  <c r="Q159" i="3"/>
  <c r="N163" i="3"/>
  <c r="Q163" i="3"/>
  <c r="K163" i="3"/>
  <c r="K167" i="3"/>
  <c r="N167" i="3"/>
  <c r="Q167" i="3"/>
  <c r="K171" i="3"/>
  <c r="N171" i="3"/>
  <c r="Q171" i="3"/>
  <c r="Q175" i="3"/>
  <c r="K175" i="3"/>
  <c r="N175" i="3"/>
  <c r="Q179" i="3"/>
  <c r="K179" i="3"/>
  <c r="N179" i="3"/>
  <c r="N183" i="3"/>
  <c r="Q183" i="3"/>
  <c r="K183" i="3"/>
  <c r="N187" i="3"/>
  <c r="Q187" i="3"/>
  <c r="K187" i="3"/>
  <c r="K191" i="3"/>
  <c r="N191" i="3"/>
  <c r="Q191" i="3"/>
  <c r="N195" i="3"/>
  <c r="Q195" i="3"/>
  <c r="K195" i="3"/>
  <c r="Q199" i="3"/>
  <c r="K199" i="3"/>
  <c r="N199" i="3"/>
  <c r="K203" i="3"/>
  <c r="Q203" i="3"/>
  <c r="N203" i="3"/>
  <c r="K207" i="3"/>
  <c r="Q207" i="3"/>
  <c r="N207" i="3"/>
  <c r="Q211" i="3"/>
  <c r="K211" i="3"/>
  <c r="N211" i="3"/>
  <c r="Q94" i="3"/>
  <c r="N94" i="3"/>
  <c r="K94" i="3"/>
  <c r="Q114" i="3"/>
  <c r="K114" i="3"/>
  <c r="N114" i="3"/>
  <c r="N130" i="3"/>
  <c r="Q130" i="3"/>
  <c r="K130" i="3"/>
  <c r="K146" i="3"/>
  <c r="N146" i="3"/>
  <c r="Q146" i="3"/>
  <c r="Q162" i="3"/>
  <c r="K162" i="3"/>
  <c r="N162" i="3"/>
  <c r="K182" i="3"/>
  <c r="N182" i="3"/>
  <c r="Q182" i="3"/>
  <c r="K210" i="3"/>
  <c r="N210" i="3"/>
  <c r="Q210" i="3"/>
  <c r="N102" i="3"/>
  <c r="Q102" i="3"/>
  <c r="K102" i="3"/>
  <c r="Q118" i="3"/>
  <c r="K118" i="3"/>
  <c r="N118" i="3"/>
  <c r="N134" i="3"/>
  <c r="K134" i="3"/>
  <c r="Q134" i="3"/>
  <c r="N150" i="3"/>
  <c r="Q150" i="3"/>
  <c r="K150" i="3"/>
  <c r="K166" i="3"/>
  <c r="N166" i="3"/>
  <c r="Q166" i="3"/>
  <c r="K178" i="3"/>
  <c r="N178" i="3"/>
  <c r="Q178" i="3"/>
  <c r="Q194" i="3"/>
  <c r="K194" i="3"/>
  <c r="N194" i="3"/>
  <c r="Q206" i="3"/>
  <c r="K206" i="3"/>
  <c r="N206" i="3"/>
  <c r="Q92" i="3"/>
  <c r="K92" i="3"/>
  <c r="N92" i="3"/>
  <c r="K96" i="3"/>
  <c r="N96" i="3"/>
  <c r="Q96" i="3"/>
  <c r="N100" i="3"/>
  <c r="Q100" i="3"/>
  <c r="K100" i="3"/>
  <c r="K104" i="3"/>
  <c r="N104" i="3"/>
  <c r="Q104" i="3"/>
  <c r="K108" i="3"/>
  <c r="N108" i="3"/>
  <c r="Q108" i="3"/>
  <c r="Q112" i="3"/>
  <c r="N112" i="3"/>
  <c r="K112" i="3"/>
  <c r="Q116" i="3"/>
  <c r="K116" i="3"/>
  <c r="N116" i="3"/>
  <c r="N120" i="3"/>
  <c r="K120" i="3"/>
  <c r="Q120" i="3"/>
  <c r="Q124" i="3"/>
  <c r="K124" i="3"/>
  <c r="N124" i="3"/>
  <c r="K128" i="3"/>
  <c r="N128" i="3"/>
  <c r="Q128" i="3"/>
  <c r="N132" i="3"/>
  <c r="Q132" i="3"/>
  <c r="K132" i="3"/>
  <c r="Q136" i="3"/>
  <c r="K136" i="3"/>
  <c r="N136" i="3"/>
  <c r="N140" i="3"/>
  <c r="Q140" i="3"/>
  <c r="K140" i="3"/>
  <c r="N144" i="3"/>
  <c r="Q144" i="3"/>
  <c r="K144" i="3"/>
  <c r="K148" i="3"/>
  <c r="N148" i="3"/>
  <c r="Q148" i="3"/>
  <c r="K152" i="3"/>
  <c r="N152" i="3"/>
  <c r="Q152" i="3"/>
  <c r="K156" i="3"/>
  <c r="N156" i="3"/>
  <c r="Q156" i="3"/>
  <c r="Q160" i="3"/>
  <c r="K160" i="3"/>
  <c r="N160" i="3"/>
  <c r="Q164" i="3"/>
  <c r="K164" i="3"/>
  <c r="N164" i="3"/>
  <c r="Q168" i="3"/>
  <c r="K168" i="3"/>
  <c r="N168" i="3"/>
  <c r="N172" i="3"/>
  <c r="Q172" i="3"/>
  <c r="K172" i="3"/>
  <c r="K176" i="3"/>
  <c r="N176" i="3"/>
  <c r="Q176" i="3"/>
  <c r="Q180" i="3"/>
  <c r="K180" i="3"/>
  <c r="N180" i="3"/>
  <c r="Q184" i="3"/>
  <c r="K184" i="3"/>
  <c r="N184" i="3"/>
  <c r="Q188" i="3"/>
  <c r="K188" i="3"/>
  <c r="N188" i="3"/>
  <c r="N192" i="3"/>
  <c r="Q192" i="3"/>
  <c r="K192" i="3"/>
  <c r="N196" i="3"/>
  <c r="Q196" i="3"/>
  <c r="K196" i="3"/>
  <c r="N200" i="3"/>
  <c r="Q200" i="3"/>
  <c r="K200" i="3"/>
  <c r="K204" i="3"/>
  <c r="N204" i="3"/>
  <c r="Q204" i="3"/>
  <c r="K208" i="3"/>
  <c r="N208" i="3"/>
  <c r="Q208" i="3"/>
  <c r="K212" i="3"/>
  <c r="N212" i="3"/>
  <c r="Q212" i="3"/>
  <c r="S188" i="3" l="1"/>
  <c r="R189" i="3"/>
  <c r="S208" i="3"/>
  <c r="R209" i="3"/>
  <c r="P200" i="3"/>
  <c r="O201" i="3"/>
  <c r="M188" i="3"/>
  <c r="L189" i="3"/>
  <c r="R177" i="3"/>
  <c r="S176" i="3"/>
  <c r="S168" i="3"/>
  <c r="R169" i="3"/>
  <c r="P156" i="3"/>
  <c r="O157" i="3"/>
  <c r="L145" i="3"/>
  <c r="M144" i="3"/>
  <c r="S136" i="3"/>
  <c r="R137" i="3"/>
  <c r="L125" i="3"/>
  <c r="M124" i="3"/>
  <c r="M112" i="3"/>
  <c r="L113" i="3"/>
  <c r="M104" i="3"/>
  <c r="L105" i="3"/>
  <c r="L93" i="3"/>
  <c r="M92" i="3"/>
  <c r="P178" i="3"/>
  <c r="O179" i="3"/>
  <c r="S134" i="3"/>
  <c r="R135" i="3"/>
  <c r="O103" i="3"/>
  <c r="P102" i="3"/>
  <c r="O211" i="3"/>
  <c r="P210" i="3"/>
  <c r="S146" i="3"/>
  <c r="R147" i="3"/>
  <c r="R115" i="3"/>
  <c r="S114" i="3"/>
  <c r="L212" i="3"/>
  <c r="M211" i="3"/>
  <c r="P199" i="3"/>
  <c r="O200" i="3"/>
  <c r="M191" i="3"/>
  <c r="L192" i="3"/>
  <c r="M179" i="3"/>
  <c r="L180" i="3"/>
  <c r="S167" i="3"/>
  <c r="R168" i="3"/>
  <c r="M159" i="3"/>
  <c r="L160" i="3"/>
  <c r="L148" i="3"/>
  <c r="M147" i="3"/>
  <c r="P135" i="3"/>
  <c r="O136" i="3"/>
  <c r="P127" i="3"/>
  <c r="O128" i="3"/>
  <c r="S115" i="3"/>
  <c r="R116" i="3"/>
  <c r="P103" i="3"/>
  <c r="O104" i="3"/>
  <c r="L96" i="3"/>
  <c r="M95" i="3"/>
  <c r="M190" i="3"/>
  <c r="L191" i="3"/>
  <c r="M142" i="3"/>
  <c r="L143" i="3"/>
  <c r="P214" i="3"/>
  <c r="O215" i="3"/>
  <c r="S170" i="3"/>
  <c r="R171" i="3"/>
  <c r="M126" i="3"/>
  <c r="L127" i="3"/>
  <c r="P98" i="3"/>
  <c r="O99" i="3"/>
  <c r="M209" i="3"/>
  <c r="L210" i="3"/>
  <c r="M201" i="3"/>
  <c r="L202" i="3"/>
  <c r="P189" i="3"/>
  <c r="O190" i="3"/>
  <c r="O178" i="3"/>
  <c r="P177" i="3"/>
  <c r="P169" i="3"/>
  <c r="O170" i="3"/>
  <c r="S157" i="3"/>
  <c r="R158" i="3"/>
  <c r="R146" i="3"/>
  <c r="S145" i="3"/>
  <c r="S137" i="3"/>
  <c r="R138" i="3"/>
  <c r="P125" i="3"/>
  <c r="O126" i="3"/>
  <c r="M113" i="3"/>
  <c r="L114" i="3"/>
  <c r="S105" i="3"/>
  <c r="R106" i="3"/>
  <c r="P164" i="3"/>
  <c r="O165" i="3"/>
  <c r="P112" i="3"/>
  <c r="O113" i="3"/>
  <c r="M199" i="3"/>
  <c r="L200" i="3"/>
  <c r="O168" i="3"/>
  <c r="P167" i="3"/>
  <c r="S147" i="3"/>
  <c r="R148" i="3"/>
  <c r="L136" i="3"/>
  <c r="M135" i="3"/>
  <c r="S123" i="3"/>
  <c r="R124" i="3"/>
  <c r="O116" i="3"/>
  <c r="P115" i="3"/>
  <c r="M174" i="3"/>
  <c r="L175" i="3"/>
  <c r="R143" i="3"/>
  <c r="S142" i="3"/>
  <c r="M198" i="3"/>
  <c r="L199" i="3"/>
  <c r="O171" i="3"/>
  <c r="P170" i="3"/>
  <c r="S126" i="3"/>
  <c r="R127" i="3"/>
  <c r="S209" i="3"/>
  <c r="R210" i="3"/>
  <c r="P197" i="3"/>
  <c r="O198" i="3"/>
  <c r="L190" i="3"/>
  <c r="M189" i="3"/>
  <c r="M177" i="3"/>
  <c r="L178" i="3"/>
  <c r="S165" i="3"/>
  <c r="R166" i="3"/>
  <c r="P157" i="3"/>
  <c r="O158" i="3"/>
  <c r="P145" i="3"/>
  <c r="O146" i="3"/>
  <c r="P133" i="3"/>
  <c r="O134" i="3"/>
  <c r="M125" i="3"/>
  <c r="L126" i="3"/>
  <c r="S113" i="3"/>
  <c r="R114" i="3"/>
  <c r="P101" i="3"/>
  <c r="O102" i="3"/>
  <c r="P176" i="3"/>
  <c r="O177" i="3"/>
  <c r="S124" i="3"/>
  <c r="R125" i="3"/>
  <c r="P206" i="3"/>
  <c r="O207" i="3"/>
  <c r="M94" i="3"/>
  <c r="L95" i="3"/>
  <c r="R180" i="3"/>
  <c r="S179" i="3"/>
  <c r="L156" i="3"/>
  <c r="M155" i="3"/>
  <c r="S103" i="3"/>
  <c r="R104" i="3"/>
  <c r="L209" i="3"/>
  <c r="M208" i="3"/>
  <c r="S196" i="3"/>
  <c r="R197" i="3"/>
  <c r="P184" i="3"/>
  <c r="O185" i="3"/>
  <c r="M176" i="3"/>
  <c r="L177" i="3"/>
  <c r="M164" i="3"/>
  <c r="L165" i="3"/>
  <c r="S152" i="3"/>
  <c r="R153" i="3"/>
  <c r="P144" i="3"/>
  <c r="O145" i="3"/>
  <c r="S132" i="3"/>
  <c r="R133" i="3"/>
  <c r="S120" i="3"/>
  <c r="R121" i="3"/>
  <c r="S112" i="3"/>
  <c r="R113" i="3"/>
  <c r="S100" i="3"/>
  <c r="R101" i="3"/>
  <c r="M206" i="3"/>
  <c r="L207" i="3"/>
  <c r="R167" i="3"/>
  <c r="S166" i="3"/>
  <c r="O135" i="3"/>
  <c r="P134" i="3"/>
  <c r="S182" i="3"/>
  <c r="R183" i="3"/>
  <c r="M146" i="3"/>
  <c r="L147" i="3"/>
  <c r="O95" i="3"/>
  <c r="P94" i="3"/>
  <c r="O208" i="3"/>
  <c r="P207" i="3"/>
  <c r="S199" i="3"/>
  <c r="R200" i="3"/>
  <c r="R188" i="3"/>
  <c r="S187" i="3"/>
  <c r="P175" i="3"/>
  <c r="O176" i="3"/>
  <c r="M167" i="3"/>
  <c r="L168" i="3"/>
  <c r="S155" i="3"/>
  <c r="R156" i="3"/>
  <c r="S143" i="3"/>
  <c r="R144" i="3"/>
  <c r="S135" i="3"/>
  <c r="R136" i="3"/>
  <c r="O124" i="3"/>
  <c r="P123" i="3"/>
  <c r="L112" i="3"/>
  <c r="M111" i="3"/>
  <c r="L104" i="3"/>
  <c r="M103" i="3"/>
  <c r="O92" i="3"/>
  <c r="P91" i="3"/>
  <c r="S174" i="3"/>
  <c r="R175" i="3"/>
  <c r="M122" i="3"/>
  <c r="L123" i="3"/>
  <c r="P198" i="3"/>
  <c r="O199" i="3"/>
  <c r="O155" i="3"/>
  <c r="P154" i="3"/>
  <c r="O127" i="3"/>
  <c r="P126" i="3"/>
  <c r="P209" i="3"/>
  <c r="O210" i="3"/>
  <c r="L198" i="3"/>
  <c r="M197" i="3"/>
  <c r="S185" i="3"/>
  <c r="R186" i="3"/>
  <c r="S177" i="3"/>
  <c r="R178" i="3"/>
  <c r="P165" i="3"/>
  <c r="O166" i="3"/>
  <c r="P153" i="3"/>
  <c r="O154" i="3"/>
  <c r="M145" i="3"/>
  <c r="L146" i="3"/>
  <c r="M133" i="3"/>
  <c r="L134" i="3"/>
  <c r="S121" i="3"/>
  <c r="R122" i="3"/>
  <c r="P113" i="3"/>
  <c r="O114" i="3"/>
  <c r="M101" i="3"/>
  <c r="L102" i="3"/>
  <c r="M196" i="3"/>
  <c r="L197" i="3"/>
  <c r="L133" i="3"/>
  <c r="M132" i="3"/>
  <c r="S92" i="3"/>
  <c r="R93" i="3"/>
  <c r="M134" i="3"/>
  <c r="L135" i="3"/>
  <c r="M187" i="3"/>
  <c r="L188" i="3"/>
  <c r="S91" i="3"/>
  <c r="R92" i="3"/>
  <c r="S204" i="3"/>
  <c r="R205" i="3"/>
  <c r="O197" i="3"/>
  <c r="P196" i="3"/>
  <c r="M184" i="3"/>
  <c r="L185" i="3"/>
  <c r="M172" i="3"/>
  <c r="L173" i="3"/>
  <c r="S164" i="3"/>
  <c r="R165" i="3"/>
  <c r="P152" i="3"/>
  <c r="O153" i="3"/>
  <c r="M140" i="3"/>
  <c r="L141" i="3"/>
  <c r="P132" i="3"/>
  <c r="O133" i="3"/>
  <c r="M120" i="3"/>
  <c r="L121" i="3"/>
  <c r="S108" i="3"/>
  <c r="R109" i="3"/>
  <c r="P100" i="3"/>
  <c r="O101" i="3"/>
  <c r="R207" i="3"/>
  <c r="S206" i="3"/>
  <c r="P166" i="3"/>
  <c r="O167" i="3"/>
  <c r="O119" i="3"/>
  <c r="P118" i="3"/>
  <c r="P182" i="3"/>
  <c r="O183" i="3"/>
  <c r="M130" i="3"/>
  <c r="L131" i="3"/>
  <c r="S94" i="3"/>
  <c r="R95" i="3"/>
  <c r="S207" i="3"/>
  <c r="R208" i="3"/>
  <c r="M195" i="3"/>
  <c r="L196" i="3"/>
  <c r="P187" i="3"/>
  <c r="O188" i="3"/>
  <c r="M175" i="3"/>
  <c r="L176" i="3"/>
  <c r="L164" i="3"/>
  <c r="M163" i="3"/>
  <c r="P155" i="3"/>
  <c r="O156" i="3"/>
  <c r="O144" i="3"/>
  <c r="P143" i="3"/>
  <c r="S131" i="3"/>
  <c r="R132" i="3"/>
  <c r="M123" i="3"/>
  <c r="L124" i="3"/>
  <c r="S111" i="3"/>
  <c r="R112" i="3"/>
  <c r="S99" i="3"/>
  <c r="R100" i="3"/>
  <c r="M91" i="3"/>
  <c r="L92" i="3"/>
  <c r="L203" i="3"/>
  <c r="M202" i="3"/>
  <c r="P174" i="3"/>
  <c r="O175" i="3"/>
  <c r="R123" i="3"/>
  <c r="S122" i="3"/>
  <c r="S198" i="3"/>
  <c r="R199" i="3"/>
  <c r="M154" i="3"/>
  <c r="L155" i="3"/>
  <c r="O111" i="3"/>
  <c r="P110" i="3"/>
  <c r="P205" i="3"/>
  <c r="O206" i="3"/>
  <c r="S197" i="3"/>
  <c r="R198" i="3"/>
  <c r="O186" i="3"/>
  <c r="P185" i="3"/>
  <c r="L174" i="3"/>
  <c r="M173" i="3"/>
  <c r="M165" i="3"/>
  <c r="L166" i="3"/>
  <c r="M153" i="3"/>
  <c r="L154" i="3"/>
  <c r="P141" i="3"/>
  <c r="O142" i="3"/>
  <c r="R134" i="3"/>
  <c r="S133" i="3"/>
  <c r="P121" i="3"/>
  <c r="O122" i="3"/>
  <c r="M109" i="3"/>
  <c r="L110" i="3"/>
  <c r="R102" i="3"/>
  <c r="S101" i="3"/>
  <c r="P208" i="3"/>
  <c r="O209" i="3"/>
  <c r="O147" i="3"/>
  <c r="P146" i="3"/>
  <c r="P204" i="3"/>
  <c r="O205" i="3"/>
  <c r="M192" i="3"/>
  <c r="L193" i="3"/>
  <c r="R185" i="3"/>
  <c r="S184" i="3"/>
  <c r="S172" i="3"/>
  <c r="R173" i="3"/>
  <c r="P160" i="3"/>
  <c r="O161" i="3"/>
  <c r="L153" i="3"/>
  <c r="M152" i="3"/>
  <c r="S140" i="3"/>
  <c r="R141" i="3"/>
  <c r="S128" i="3"/>
  <c r="R129" i="3"/>
  <c r="P120" i="3"/>
  <c r="O121" i="3"/>
  <c r="P108" i="3"/>
  <c r="O109" i="3"/>
  <c r="S96" i="3"/>
  <c r="R97" i="3"/>
  <c r="P194" i="3"/>
  <c r="O195" i="3"/>
  <c r="M166" i="3"/>
  <c r="L167" i="3"/>
  <c r="M118" i="3"/>
  <c r="L119" i="3"/>
  <c r="M182" i="3"/>
  <c r="L183" i="3"/>
  <c r="R131" i="3"/>
  <c r="S130" i="3"/>
  <c r="M207" i="3"/>
  <c r="L208" i="3"/>
  <c r="R196" i="3"/>
  <c r="S195" i="3"/>
  <c r="M183" i="3"/>
  <c r="L184" i="3"/>
  <c r="S175" i="3"/>
  <c r="R176" i="3"/>
  <c r="S163" i="3"/>
  <c r="R164" i="3"/>
  <c r="S151" i="3"/>
  <c r="R152" i="3"/>
  <c r="M143" i="3"/>
  <c r="L144" i="3"/>
  <c r="O132" i="3"/>
  <c r="P131" i="3"/>
  <c r="L120" i="3"/>
  <c r="M119" i="3"/>
  <c r="P111" i="3"/>
  <c r="O112" i="3"/>
  <c r="O100" i="3"/>
  <c r="P99" i="3"/>
  <c r="S202" i="3"/>
  <c r="R203" i="3"/>
  <c r="M158" i="3"/>
  <c r="L159" i="3"/>
  <c r="P122" i="3"/>
  <c r="O123" i="3"/>
  <c r="P186" i="3"/>
  <c r="O187" i="3"/>
  <c r="S154" i="3"/>
  <c r="R155" i="3"/>
  <c r="S110" i="3"/>
  <c r="R111" i="3"/>
  <c r="P97" i="3"/>
  <c r="O98" i="3"/>
  <c r="L206" i="3"/>
  <c r="M205" i="3"/>
  <c r="O194" i="3"/>
  <c r="P193" i="3"/>
  <c r="M185" i="3"/>
  <c r="L186" i="3"/>
  <c r="S173" i="3"/>
  <c r="R174" i="3"/>
  <c r="M161" i="3"/>
  <c r="L162" i="3"/>
  <c r="R154" i="3"/>
  <c r="S153" i="3"/>
  <c r="M141" i="3"/>
  <c r="L142" i="3"/>
  <c r="P129" i="3"/>
  <c r="O130" i="3"/>
  <c r="M121" i="3"/>
  <c r="L122" i="3"/>
  <c r="R110" i="3"/>
  <c r="S109" i="3"/>
  <c r="R94" i="3"/>
  <c r="S93" i="3"/>
  <c r="S144" i="3"/>
  <c r="R145" i="3"/>
  <c r="L179" i="3"/>
  <c r="M178" i="3"/>
  <c r="S212" i="3"/>
  <c r="R213" i="3"/>
  <c r="M204" i="3"/>
  <c r="L205" i="3"/>
  <c r="R193" i="3"/>
  <c r="S192" i="3"/>
  <c r="O181" i="3"/>
  <c r="P180" i="3"/>
  <c r="O173" i="3"/>
  <c r="P172" i="3"/>
  <c r="L161" i="3"/>
  <c r="M160" i="3"/>
  <c r="S148" i="3"/>
  <c r="R149" i="3"/>
  <c r="P140" i="3"/>
  <c r="O141" i="3"/>
  <c r="P128" i="3"/>
  <c r="O129" i="3"/>
  <c r="P116" i="3"/>
  <c r="O117" i="3"/>
  <c r="L109" i="3"/>
  <c r="M108" i="3"/>
  <c r="P96" i="3"/>
  <c r="O97" i="3"/>
  <c r="L195" i="3"/>
  <c r="M194" i="3"/>
  <c r="M150" i="3"/>
  <c r="L151" i="3"/>
  <c r="S118" i="3"/>
  <c r="R119" i="3"/>
  <c r="O163" i="3"/>
  <c r="P162" i="3"/>
  <c r="P130" i="3"/>
  <c r="O131" i="3"/>
  <c r="P203" i="3"/>
  <c r="O204" i="3"/>
  <c r="P195" i="3"/>
  <c r="O196" i="3"/>
  <c r="S183" i="3"/>
  <c r="R184" i="3"/>
  <c r="S171" i="3"/>
  <c r="R172" i="3"/>
  <c r="P163" i="3"/>
  <c r="O164" i="3"/>
  <c r="O152" i="3"/>
  <c r="P151" i="3"/>
  <c r="P139" i="3"/>
  <c r="O140" i="3"/>
  <c r="M131" i="3"/>
  <c r="L132" i="3"/>
  <c r="P119" i="3"/>
  <c r="O120" i="3"/>
  <c r="O108" i="3"/>
  <c r="P107" i="3"/>
  <c r="M99" i="3"/>
  <c r="L100" i="3"/>
  <c r="P202" i="3"/>
  <c r="O203" i="3"/>
  <c r="R159" i="3"/>
  <c r="S158" i="3"/>
  <c r="R107" i="3"/>
  <c r="S106" i="3"/>
  <c r="L187" i="3"/>
  <c r="M186" i="3"/>
  <c r="R139" i="3"/>
  <c r="S138" i="3"/>
  <c r="M110" i="3"/>
  <c r="L111" i="3"/>
  <c r="M97" i="3"/>
  <c r="L98" i="3"/>
  <c r="P213" i="3"/>
  <c r="O214" i="3"/>
  <c r="S205" i="3"/>
  <c r="R206" i="3"/>
  <c r="M193" i="3"/>
  <c r="L194" i="3"/>
  <c r="L182" i="3"/>
  <c r="M181" i="3"/>
  <c r="P173" i="3"/>
  <c r="O174" i="3"/>
  <c r="R162" i="3"/>
  <c r="S161" i="3"/>
  <c r="P149" i="3"/>
  <c r="O150" i="3"/>
  <c r="S141" i="3"/>
  <c r="R142" i="3"/>
  <c r="M129" i="3"/>
  <c r="L130" i="3"/>
  <c r="M117" i="3"/>
  <c r="L118" i="3"/>
  <c r="P109" i="3"/>
  <c r="O110" i="3"/>
  <c r="P93" i="3"/>
  <c r="O94" i="3"/>
  <c r="M210" i="3"/>
  <c r="L211" i="3"/>
  <c r="O213" i="3"/>
  <c r="P212" i="3"/>
  <c r="M200" i="3"/>
  <c r="L201" i="3"/>
  <c r="P192" i="3"/>
  <c r="O193" i="3"/>
  <c r="M180" i="3"/>
  <c r="L181" i="3"/>
  <c r="P168" i="3"/>
  <c r="O169" i="3"/>
  <c r="S160" i="3"/>
  <c r="R161" i="3"/>
  <c r="P148" i="3"/>
  <c r="O149" i="3"/>
  <c r="P136" i="3"/>
  <c r="O137" i="3"/>
  <c r="M128" i="3"/>
  <c r="L129" i="3"/>
  <c r="L117" i="3"/>
  <c r="M116" i="3"/>
  <c r="S104" i="3"/>
  <c r="R105" i="3"/>
  <c r="M96" i="3"/>
  <c r="L97" i="3"/>
  <c r="S194" i="3"/>
  <c r="R195" i="3"/>
  <c r="R151" i="3"/>
  <c r="S150" i="3"/>
  <c r="M102" i="3"/>
  <c r="L103" i="3"/>
  <c r="M162" i="3"/>
  <c r="L163" i="3"/>
  <c r="P114" i="3"/>
  <c r="O115" i="3"/>
  <c r="R204" i="3"/>
  <c r="S203" i="3"/>
  <c r="S191" i="3"/>
  <c r="R192" i="3"/>
  <c r="P183" i="3"/>
  <c r="O184" i="3"/>
  <c r="P171" i="3"/>
  <c r="O172" i="3"/>
  <c r="S159" i="3"/>
  <c r="R160" i="3"/>
  <c r="M151" i="3"/>
  <c r="L152" i="3"/>
  <c r="M139" i="3"/>
  <c r="L140" i="3"/>
  <c r="L128" i="3"/>
  <c r="M127" i="3"/>
  <c r="S119" i="3"/>
  <c r="R120" i="3"/>
  <c r="M107" i="3"/>
  <c r="L108" i="3"/>
  <c r="S95" i="3"/>
  <c r="R96" i="3"/>
  <c r="P190" i="3"/>
  <c r="O191" i="3"/>
  <c r="P158" i="3"/>
  <c r="O159" i="3"/>
  <c r="P106" i="3"/>
  <c r="O107" i="3"/>
  <c r="M214" i="3"/>
  <c r="L215" i="3"/>
  <c r="S186" i="3"/>
  <c r="R187" i="3"/>
  <c r="P138" i="3"/>
  <c r="O139" i="3"/>
  <c r="M98" i="3"/>
  <c r="L99" i="3"/>
  <c r="S97" i="3"/>
  <c r="R98" i="3"/>
  <c r="L214" i="3"/>
  <c r="M213" i="3"/>
  <c r="S201" i="3"/>
  <c r="R202" i="3"/>
  <c r="S193" i="3"/>
  <c r="R194" i="3"/>
  <c r="S181" i="3"/>
  <c r="R182" i="3"/>
  <c r="M169" i="3"/>
  <c r="L170" i="3"/>
  <c r="P161" i="3"/>
  <c r="O162" i="3"/>
  <c r="M149" i="3"/>
  <c r="L150" i="3"/>
  <c r="P137" i="3"/>
  <c r="O138" i="3"/>
  <c r="S129" i="3"/>
  <c r="R130" i="3"/>
  <c r="R118" i="3"/>
  <c r="S117" i="3"/>
  <c r="P105" i="3"/>
  <c r="O106" i="3"/>
  <c r="M93" i="3"/>
  <c r="L94" i="3"/>
  <c r="M156" i="3"/>
  <c r="L157" i="3"/>
  <c r="L101" i="3"/>
  <c r="M100" i="3"/>
  <c r="R212" i="3"/>
  <c r="S211" i="3"/>
  <c r="M212" i="3"/>
  <c r="L213" i="3"/>
  <c r="R201" i="3"/>
  <c r="S200" i="3"/>
  <c r="O189" i="3"/>
  <c r="P188" i="3"/>
  <c r="S180" i="3"/>
  <c r="R181" i="3"/>
  <c r="L169" i="3"/>
  <c r="M168" i="3"/>
  <c r="S156" i="3"/>
  <c r="R157" i="3"/>
  <c r="M148" i="3"/>
  <c r="L149" i="3"/>
  <c r="M136" i="3"/>
  <c r="L137" i="3"/>
  <c r="P124" i="3"/>
  <c r="O125" i="3"/>
  <c r="S116" i="3"/>
  <c r="R117" i="3"/>
  <c r="P104" i="3"/>
  <c r="O105" i="3"/>
  <c r="P92" i="3"/>
  <c r="O93" i="3"/>
  <c r="S178" i="3"/>
  <c r="R179" i="3"/>
  <c r="P150" i="3"/>
  <c r="O151" i="3"/>
  <c r="S102" i="3"/>
  <c r="R103" i="3"/>
  <c r="S210" i="3"/>
  <c r="R211" i="3"/>
  <c r="S162" i="3"/>
  <c r="R163" i="3"/>
  <c r="M114" i="3"/>
  <c r="L115" i="3"/>
  <c r="P211" i="3"/>
  <c r="O212" i="3"/>
  <c r="M203" i="3"/>
  <c r="L204" i="3"/>
  <c r="P191" i="3"/>
  <c r="O192" i="3"/>
  <c r="P179" i="3"/>
  <c r="O180" i="3"/>
  <c r="L172" i="3"/>
  <c r="M171" i="3"/>
  <c r="O160" i="3"/>
  <c r="P159" i="3"/>
  <c r="P147" i="3"/>
  <c r="O148" i="3"/>
  <c r="S139" i="3"/>
  <c r="R140" i="3"/>
  <c r="S127" i="3"/>
  <c r="R128" i="3"/>
  <c r="M115" i="3"/>
  <c r="L116" i="3"/>
  <c r="S107" i="3"/>
  <c r="R108" i="3"/>
  <c r="P95" i="3"/>
  <c r="O96" i="3"/>
  <c r="S190" i="3"/>
  <c r="R191" i="3"/>
  <c r="P142" i="3"/>
  <c r="O143" i="3"/>
  <c r="M106" i="3"/>
  <c r="L107" i="3"/>
  <c r="R215" i="3"/>
  <c r="S214" i="3"/>
  <c r="M170" i="3"/>
  <c r="L171" i="3"/>
  <c r="M138" i="3"/>
  <c r="L139" i="3"/>
  <c r="R99" i="3"/>
  <c r="S98" i="3"/>
  <c r="S213" i="3"/>
  <c r="R214" i="3"/>
  <c r="O202" i="3"/>
  <c r="P201" i="3"/>
  <c r="S189" i="3"/>
  <c r="R190" i="3"/>
  <c r="P181" i="3"/>
  <c r="O182" i="3"/>
  <c r="R170" i="3"/>
  <c r="S169" i="3"/>
  <c r="M157" i="3"/>
  <c r="L158" i="3"/>
  <c r="S149" i="3"/>
  <c r="R150" i="3"/>
  <c r="M137" i="3"/>
  <c r="L138" i="3"/>
  <c r="R126" i="3"/>
  <c r="S125" i="3"/>
  <c r="P117" i="3"/>
  <c r="O118" i="3"/>
  <c r="M105" i="3"/>
  <c r="L106" i="3"/>
  <c r="Z26" i="4" l="1"/>
  <c r="AL3" i="25"/>
  <c r="AK3" i="25"/>
  <c r="AJ3" i="25"/>
  <c r="AI3" i="25"/>
  <c r="AH3" i="25"/>
  <c r="AG3" i="25"/>
  <c r="AF3" i="25"/>
  <c r="AE3" i="25"/>
  <c r="AD3" i="25"/>
  <c r="AC3" i="25"/>
  <c r="AB3" i="25"/>
  <c r="AL214" i="2"/>
  <c r="AK214" i="2"/>
  <c r="AJ214" i="2"/>
  <c r="AI214" i="2"/>
  <c r="AH214" i="2"/>
  <c r="AG214" i="2"/>
  <c r="AF214" i="2"/>
  <c r="AE214" i="2"/>
  <c r="AD214" i="2"/>
  <c r="AC214" i="2"/>
  <c r="AB214" i="2"/>
  <c r="AL213" i="2"/>
  <c r="AK213" i="2"/>
  <c r="AJ213" i="2"/>
  <c r="AI213" i="2"/>
  <c r="AH213" i="2"/>
  <c r="AG213" i="2"/>
  <c r="AF213" i="2"/>
  <c r="AE213" i="2"/>
  <c r="AD213" i="2"/>
  <c r="AC213" i="2"/>
  <c r="AB213" i="2"/>
  <c r="AL212" i="2"/>
  <c r="AK212" i="2"/>
  <c r="AJ212" i="2"/>
  <c r="AI212" i="2"/>
  <c r="AH212" i="2"/>
  <c r="AG212" i="2"/>
  <c r="AF212" i="2"/>
  <c r="AE212" i="2"/>
  <c r="AD212" i="2"/>
  <c r="AC212" i="2"/>
  <c r="AB212" i="2"/>
  <c r="AL211" i="2"/>
  <c r="AK211" i="2"/>
  <c r="AJ211" i="2"/>
  <c r="AI211" i="2"/>
  <c r="AH211" i="2"/>
  <c r="AG211" i="2"/>
  <c r="AF211" i="2"/>
  <c r="AE211" i="2"/>
  <c r="AD211" i="2"/>
  <c r="AC211" i="2"/>
  <c r="AB211" i="2"/>
  <c r="AL210" i="2"/>
  <c r="AK210" i="2"/>
  <c r="AJ210" i="2"/>
  <c r="AI210" i="2"/>
  <c r="AH210" i="2"/>
  <c r="AG210" i="2"/>
  <c r="AF210" i="2"/>
  <c r="AE210" i="2"/>
  <c r="AD210" i="2"/>
  <c r="AC210" i="2"/>
  <c r="AB210" i="2"/>
  <c r="AL209" i="2"/>
  <c r="AK209" i="2"/>
  <c r="AJ209" i="2"/>
  <c r="AI209" i="2"/>
  <c r="AH209" i="2"/>
  <c r="AG209" i="2"/>
  <c r="AF209" i="2"/>
  <c r="AE209" i="2"/>
  <c r="AD209" i="2"/>
  <c r="AC209" i="2"/>
  <c r="AB209" i="2"/>
  <c r="AL208" i="2"/>
  <c r="AK208" i="2"/>
  <c r="AJ208" i="2"/>
  <c r="AI208" i="2"/>
  <c r="AH208" i="2"/>
  <c r="AG208" i="2"/>
  <c r="AF208" i="2"/>
  <c r="AE208" i="2"/>
  <c r="AD208" i="2"/>
  <c r="AC208" i="2"/>
  <c r="AB208" i="2"/>
  <c r="AL207" i="2"/>
  <c r="AK207" i="2"/>
  <c r="AJ207" i="2"/>
  <c r="AI207" i="2"/>
  <c r="AH207" i="2"/>
  <c r="AG207" i="2"/>
  <c r="AF207" i="2"/>
  <c r="AE207" i="2"/>
  <c r="AD207" i="2"/>
  <c r="AC207" i="2"/>
  <c r="AB207" i="2"/>
  <c r="AL206" i="2"/>
  <c r="AK206" i="2"/>
  <c r="AJ206" i="2"/>
  <c r="AI206" i="2"/>
  <c r="AH206" i="2"/>
  <c r="AG206" i="2"/>
  <c r="AF206" i="2"/>
  <c r="AE206" i="2"/>
  <c r="AD206" i="2"/>
  <c r="AC206" i="2"/>
  <c r="AB206" i="2"/>
  <c r="AL205" i="2"/>
  <c r="AK205" i="2"/>
  <c r="AJ205" i="2"/>
  <c r="AI205" i="2"/>
  <c r="AH205" i="2"/>
  <c r="AG205" i="2"/>
  <c r="AF205" i="2"/>
  <c r="AE205" i="2"/>
  <c r="AD205" i="2"/>
  <c r="AC205" i="2"/>
  <c r="AB205" i="2"/>
  <c r="AL204" i="2"/>
  <c r="AK204" i="2"/>
  <c r="AJ204" i="2"/>
  <c r="AI204" i="2"/>
  <c r="AH204" i="2"/>
  <c r="AG204" i="2"/>
  <c r="AF204" i="2"/>
  <c r="AE204" i="2"/>
  <c r="AD204" i="2"/>
  <c r="AC204" i="2"/>
  <c r="AB204" i="2"/>
  <c r="AL203" i="2"/>
  <c r="AK203" i="2"/>
  <c r="AJ203" i="2"/>
  <c r="AI203" i="2"/>
  <c r="AH203" i="2"/>
  <c r="AG203" i="2"/>
  <c r="AF203" i="2"/>
  <c r="AE203" i="2"/>
  <c r="AD203" i="2"/>
  <c r="AC203" i="2"/>
  <c r="AB203" i="2"/>
  <c r="AL202" i="2"/>
  <c r="AK202" i="2"/>
  <c r="AJ202" i="2"/>
  <c r="AI202" i="2"/>
  <c r="AH202" i="2"/>
  <c r="AG202" i="2"/>
  <c r="AF202" i="2"/>
  <c r="AE202" i="2"/>
  <c r="AD202" i="2"/>
  <c r="AC202" i="2"/>
  <c r="AB202" i="2"/>
  <c r="AL201" i="2"/>
  <c r="AK201" i="2"/>
  <c r="AJ201" i="2"/>
  <c r="AI201" i="2"/>
  <c r="AH201" i="2"/>
  <c r="AG201" i="2"/>
  <c r="AF201" i="2"/>
  <c r="AE201" i="2"/>
  <c r="AD201" i="2"/>
  <c r="AC201" i="2"/>
  <c r="AB201" i="2"/>
  <c r="AL200" i="2"/>
  <c r="AK200" i="2"/>
  <c r="AJ200" i="2"/>
  <c r="AI200" i="2"/>
  <c r="AH200" i="2"/>
  <c r="AG200" i="2"/>
  <c r="AF200" i="2"/>
  <c r="AE200" i="2"/>
  <c r="AD200" i="2"/>
  <c r="AC200" i="2"/>
  <c r="AB200" i="2"/>
  <c r="AL199" i="2"/>
  <c r="AK199" i="2"/>
  <c r="AJ199" i="2"/>
  <c r="AI199" i="2"/>
  <c r="AH199" i="2"/>
  <c r="AG199" i="2"/>
  <c r="AF199" i="2"/>
  <c r="AE199" i="2"/>
  <c r="AD199" i="2"/>
  <c r="AC199" i="2"/>
  <c r="AB199" i="2"/>
  <c r="AL198" i="2"/>
  <c r="AK198" i="2"/>
  <c r="AJ198" i="2"/>
  <c r="AI198" i="2"/>
  <c r="AH198" i="2"/>
  <c r="AG198" i="2"/>
  <c r="AF198" i="2"/>
  <c r="AE198" i="2"/>
  <c r="AD198" i="2"/>
  <c r="AC198" i="2"/>
  <c r="AB198" i="2"/>
  <c r="AL197" i="2"/>
  <c r="AK197" i="2"/>
  <c r="AJ197" i="2"/>
  <c r="AI197" i="2"/>
  <c r="AH197" i="2"/>
  <c r="AG197" i="2"/>
  <c r="AF197" i="2"/>
  <c r="AE197" i="2"/>
  <c r="AD197" i="2"/>
  <c r="AC197" i="2"/>
  <c r="AB197" i="2"/>
  <c r="AL196" i="2"/>
  <c r="AK196" i="2"/>
  <c r="AJ196" i="2"/>
  <c r="AI196" i="2"/>
  <c r="AH196" i="2"/>
  <c r="AG196" i="2"/>
  <c r="AF196" i="2"/>
  <c r="AE196" i="2"/>
  <c r="AD196" i="2"/>
  <c r="AC196" i="2"/>
  <c r="AB196" i="2"/>
  <c r="AL195" i="2"/>
  <c r="AK195" i="2"/>
  <c r="AJ195" i="2"/>
  <c r="AI195" i="2"/>
  <c r="AH195" i="2"/>
  <c r="AG195" i="2"/>
  <c r="AF195" i="2"/>
  <c r="AE195" i="2"/>
  <c r="AD195" i="2"/>
  <c r="AC195" i="2"/>
  <c r="AB195" i="2"/>
  <c r="AL194" i="2"/>
  <c r="AK194" i="2"/>
  <c r="AJ194" i="2"/>
  <c r="AI194" i="2"/>
  <c r="AH194" i="2"/>
  <c r="AG194" i="2"/>
  <c r="AF194" i="2"/>
  <c r="AE194" i="2"/>
  <c r="AD194" i="2"/>
  <c r="AC194" i="2"/>
  <c r="AB194" i="2"/>
  <c r="AL193" i="2"/>
  <c r="AK193" i="2"/>
  <c r="AJ193" i="2"/>
  <c r="AI193" i="2"/>
  <c r="AH193" i="2"/>
  <c r="AG193" i="2"/>
  <c r="AF193" i="2"/>
  <c r="AE193" i="2"/>
  <c r="AD193" i="2"/>
  <c r="AC193" i="2"/>
  <c r="AB193" i="2"/>
  <c r="AL192" i="2"/>
  <c r="AK192" i="2"/>
  <c r="AJ192" i="2"/>
  <c r="AI192" i="2"/>
  <c r="AH192" i="2"/>
  <c r="AG192" i="2"/>
  <c r="AF192" i="2"/>
  <c r="AE192" i="2"/>
  <c r="AD192" i="2"/>
  <c r="AC192" i="2"/>
  <c r="AB192" i="2"/>
  <c r="AL191" i="2"/>
  <c r="AK191" i="2"/>
  <c r="AJ191" i="2"/>
  <c r="AI191" i="2"/>
  <c r="AH191" i="2"/>
  <c r="AG191" i="2"/>
  <c r="AF191" i="2"/>
  <c r="AE191" i="2"/>
  <c r="AD191" i="2"/>
  <c r="AC191" i="2"/>
  <c r="AB191" i="2"/>
  <c r="AL190" i="2"/>
  <c r="AK190" i="2"/>
  <c r="AJ190" i="2"/>
  <c r="AI190" i="2"/>
  <c r="AH190" i="2"/>
  <c r="AG190" i="2"/>
  <c r="AF190" i="2"/>
  <c r="AE190" i="2"/>
  <c r="AD190" i="2"/>
  <c r="AC190" i="2"/>
  <c r="AB190" i="2"/>
  <c r="AL189" i="2"/>
  <c r="AK189" i="2"/>
  <c r="AJ189" i="2"/>
  <c r="AI189" i="2"/>
  <c r="AH189" i="2"/>
  <c r="AG189" i="2"/>
  <c r="AF189" i="2"/>
  <c r="AE189" i="2"/>
  <c r="AD189" i="2"/>
  <c r="AC189" i="2"/>
  <c r="AB189" i="2"/>
  <c r="AL188" i="2"/>
  <c r="AK188" i="2"/>
  <c r="AJ188" i="2"/>
  <c r="AI188" i="2"/>
  <c r="AH188" i="2"/>
  <c r="AG188" i="2"/>
  <c r="AF188" i="2"/>
  <c r="AE188" i="2"/>
  <c r="AD188" i="2"/>
  <c r="AC188" i="2"/>
  <c r="AB188" i="2"/>
  <c r="AL187" i="2"/>
  <c r="AK187" i="2"/>
  <c r="AJ187" i="2"/>
  <c r="AI187" i="2"/>
  <c r="AH187" i="2"/>
  <c r="AG187" i="2"/>
  <c r="AF187" i="2"/>
  <c r="AE187" i="2"/>
  <c r="AD187" i="2"/>
  <c r="AC187" i="2"/>
  <c r="AB187" i="2"/>
  <c r="AL186" i="2"/>
  <c r="AK186" i="2"/>
  <c r="AJ186" i="2"/>
  <c r="AI186" i="2"/>
  <c r="AH186" i="2"/>
  <c r="AG186" i="2"/>
  <c r="AF186" i="2"/>
  <c r="AE186" i="2"/>
  <c r="AD186" i="2"/>
  <c r="AC186" i="2"/>
  <c r="AB186" i="2"/>
  <c r="AL185" i="2"/>
  <c r="AK185" i="2"/>
  <c r="AJ185" i="2"/>
  <c r="AI185" i="2"/>
  <c r="AH185" i="2"/>
  <c r="AG185" i="2"/>
  <c r="AF185" i="2"/>
  <c r="AE185" i="2"/>
  <c r="AD185" i="2"/>
  <c r="AC185" i="2"/>
  <c r="AB185" i="2"/>
  <c r="AL184" i="2"/>
  <c r="AK184" i="2"/>
  <c r="AJ184" i="2"/>
  <c r="AI184" i="2"/>
  <c r="AH184" i="2"/>
  <c r="AG184" i="2"/>
  <c r="AF184" i="2"/>
  <c r="AE184" i="2"/>
  <c r="AD184" i="2"/>
  <c r="AC184" i="2"/>
  <c r="AB184" i="2"/>
  <c r="AL183" i="2"/>
  <c r="AK183" i="2"/>
  <c r="AJ183" i="2"/>
  <c r="AI183" i="2"/>
  <c r="AH183" i="2"/>
  <c r="AG183" i="2"/>
  <c r="AF183" i="2"/>
  <c r="AE183" i="2"/>
  <c r="AD183" i="2"/>
  <c r="AC183" i="2"/>
  <c r="AB183" i="2"/>
  <c r="AL182" i="2"/>
  <c r="AK182" i="2"/>
  <c r="AJ182" i="2"/>
  <c r="AI182" i="2"/>
  <c r="AH182" i="2"/>
  <c r="AG182" i="2"/>
  <c r="AF182" i="2"/>
  <c r="AE182" i="2"/>
  <c r="AD182" i="2"/>
  <c r="AC182" i="2"/>
  <c r="AB182" i="2"/>
  <c r="AL181" i="2"/>
  <c r="AK181" i="2"/>
  <c r="AJ181" i="2"/>
  <c r="AI181" i="2"/>
  <c r="AH181" i="2"/>
  <c r="AG181" i="2"/>
  <c r="AF181" i="2"/>
  <c r="AE181" i="2"/>
  <c r="AD181" i="2"/>
  <c r="AC181" i="2"/>
  <c r="AB181" i="2"/>
  <c r="AL180" i="2"/>
  <c r="AK180" i="2"/>
  <c r="AJ180" i="2"/>
  <c r="AI180" i="2"/>
  <c r="AH180" i="2"/>
  <c r="AG180" i="2"/>
  <c r="AF180" i="2"/>
  <c r="AE180" i="2"/>
  <c r="AD180" i="2"/>
  <c r="AC180" i="2"/>
  <c r="AB180" i="2"/>
  <c r="AL179" i="2"/>
  <c r="AK179" i="2"/>
  <c r="AJ179" i="2"/>
  <c r="AI179" i="2"/>
  <c r="AH179" i="2"/>
  <c r="AG179" i="2"/>
  <c r="AF179" i="2"/>
  <c r="AE179" i="2"/>
  <c r="AD179" i="2"/>
  <c r="AC179" i="2"/>
  <c r="AB179" i="2"/>
  <c r="AL178" i="2"/>
  <c r="AK178" i="2"/>
  <c r="AJ178" i="2"/>
  <c r="AI178" i="2"/>
  <c r="AH178" i="2"/>
  <c r="AG178" i="2"/>
  <c r="AF178" i="2"/>
  <c r="AE178" i="2"/>
  <c r="AD178" i="2"/>
  <c r="AC178" i="2"/>
  <c r="AB178" i="2"/>
  <c r="AL177" i="2"/>
  <c r="AK177" i="2"/>
  <c r="AJ177" i="2"/>
  <c r="AI177" i="2"/>
  <c r="AH177" i="2"/>
  <c r="AG177" i="2"/>
  <c r="AF177" i="2"/>
  <c r="AE177" i="2"/>
  <c r="AD177" i="2"/>
  <c r="AC177" i="2"/>
  <c r="AB177" i="2"/>
  <c r="AL176" i="2"/>
  <c r="AK176" i="2"/>
  <c r="AJ176" i="2"/>
  <c r="AI176" i="2"/>
  <c r="AH176" i="2"/>
  <c r="AG176" i="2"/>
  <c r="AF176" i="2"/>
  <c r="AE176" i="2"/>
  <c r="AD176" i="2"/>
  <c r="AC176" i="2"/>
  <c r="AB176" i="2"/>
  <c r="AL175" i="2"/>
  <c r="AK175" i="2"/>
  <c r="AJ175" i="2"/>
  <c r="AI175" i="2"/>
  <c r="AH175" i="2"/>
  <c r="AG175" i="2"/>
  <c r="AF175" i="2"/>
  <c r="AE175" i="2"/>
  <c r="AD175" i="2"/>
  <c r="AC175" i="2"/>
  <c r="AB175" i="2"/>
  <c r="AL174" i="2"/>
  <c r="AK174" i="2"/>
  <c r="AJ174" i="2"/>
  <c r="AI174" i="2"/>
  <c r="AH174" i="2"/>
  <c r="AG174" i="2"/>
  <c r="AF174" i="2"/>
  <c r="AE174" i="2"/>
  <c r="AD174" i="2"/>
  <c r="AC174" i="2"/>
  <c r="AB174" i="2"/>
  <c r="AL173" i="2"/>
  <c r="AK173" i="2"/>
  <c r="AJ173" i="2"/>
  <c r="AI173" i="2"/>
  <c r="AH173" i="2"/>
  <c r="AG173" i="2"/>
  <c r="AF173" i="2"/>
  <c r="AE173" i="2"/>
  <c r="AD173" i="2"/>
  <c r="AC173" i="2"/>
  <c r="AB173" i="2"/>
  <c r="AL172" i="2"/>
  <c r="AK172" i="2"/>
  <c r="AJ172" i="2"/>
  <c r="AI172" i="2"/>
  <c r="AH172" i="2"/>
  <c r="AG172" i="2"/>
  <c r="AF172" i="2"/>
  <c r="AE172" i="2"/>
  <c r="AD172" i="2"/>
  <c r="AC172" i="2"/>
  <c r="AB172" i="2"/>
  <c r="AL171" i="2"/>
  <c r="AK171" i="2"/>
  <c r="AJ171" i="2"/>
  <c r="AI171" i="2"/>
  <c r="AH171" i="2"/>
  <c r="AG171" i="2"/>
  <c r="AF171" i="2"/>
  <c r="AE171" i="2"/>
  <c r="AD171" i="2"/>
  <c r="AC171" i="2"/>
  <c r="AB171" i="2"/>
  <c r="AL170" i="2"/>
  <c r="AK170" i="2"/>
  <c r="AJ170" i="2"/>
  <c r="AI170" i="2"/>
  <c r="AH170" i="2"/>
  <c r="AG170" i="2"/>
  <c r="AF170" i="2"/>
  <c r="AE170" i="2"/>
  <c r="AD170" i="2"/>
  <c r="AC170" i="2"/>
  <c r="AB170" i="2"/>
  <c r="AL169" i="2"/>
  <c r="AK169" i="2"/>
  <c r="AJ169" i="2"/>
  <c r="AI169" i="2"/>
  <c r="AH169" i="2"/>
  <c r="AG169" i="2"/>
  <c r="AF169" i="2"/>
  <c r="AE169" i="2"/>
  <c r="AD169" i="2"/>
  <c r="AC169" i="2"/>
  <c r="AB169" i="2"/>
  <c r="AL168" i="2"/>
  <c r="AK168" i="2"/>
  <c r="AJ168" i="2"/>
  <c r="AI168" i="2"/>
  <c r="AH168" i="2"/>
  <c r="AG168" i="2"/>
  <c r="AF168" i="2"/>
  <c r="AE168" i="2"/>
  <c r="AD168" i="2"/>
  <c r="AC168" i="2"/>
  <c r="AB168" i="2"/>
  <c r="AL167" i="2"/>
  <c r="AK167" i="2"/>
  <c r="AJ167" i="2"/>
  <c r="AI167" i="2"/>
  <c r="AH167" i="2"/>
  <c r="AG167" i="2"/>
  <c r="AF167" i="2"/>
  <c r="AE167" i="2"/>
  <c r="AD167" i="2"/>
  <c r="AC167" i="2"/>
  <c r="AB167" i="2"/>
  <c r="AL166" i="2"/>
  <c r="AK166" i="2"/>
  <c r="AJ166" i="2"/>
  <c r="AI166" i="2"/>
  <c r="AH166" i="2"/>
  <c r="AG166" i="2"/>
  <c r="AF166" i="2"/>
  <c r="AE166" i="2"/>
  <c r="AD166" i="2"/>
  <c r="AC166" i="2"/>
  <c r="AB166" i="2"/>
  <c r="AL165" i="2"/>
  <c r="AK165" i="2"/>
  <c r="AJ165" i="2"/>
  <c r="AI165" i="2"/>
  <c r="AH165" i="2"/>
  <c r="AG165" i="2"/>
  <c r="AF165" i="2"/>
  <c r="AE165" i="2"/>
  <c r="AD165" i="2"/>
  <c r="AC165" i="2"/>
  <c r="AB165" i="2"/>
  <c r="AL164" i="2"/>
  <c r="AK164" i="2"/>
  <c r="AJ164" i="2"/>
  <c r="AI164" i="2"/>
  <c r="AH164" i="2"/>
  <c r="AG164" i="2"/>
  <c r="AF164" i="2"/>
  <c r="AE164" i="2"/>
  <c r="AD164" i="2"/>
  <c r="AC164" i="2"/>
  <c r="AB164" i="2"/>
  <c r="AL163" i="2"/>
  <c r="AK163" i="2"/>
  <c r="AJ163" i="2"/>
  <c r="AI163" i="2"/>
  <c r="AH163" i="2"/>
  <c r="AG163" i="2"/>
  <c r="AF163" i="2"/>
  <c r="AE163" i="2"/>
  <c r="AD163" i="2"/>
  <c r="AC163" i="2"/>
  <c r="AB163" i="2"/>
  <c r="AL162" i="2"/>
  <c r="AK162" i="2"/>
  <c r="AJ162" i="2"/>
  <c r="AI162" i="2"/>
  <c r="AH162" i="2"/>
  <c r="AG162" i="2"/>
  <c r="AF162" i="2"/>
  <c r="AE162" i="2"/>
  <c r="AD162" i="2"/>
  <c r="AC162" i="2"/>
  <c r="AB162" i="2"/>
  <c r="AL161" i="2"/>
  <c r="AK161" i="2"/>
  <c r="AJ161" i="2"/>
  <c r="AI161" i="2"/>
  <c r="AH161" i="2"/>
  <c r="AG161" i="2"/>
  <c r="AF161" i="2"/>
  <c r="AE161" i="2"/>
  <c r="AD161" i="2"/>
  <c r="AC161" i="2"/>
  <c r="AB161" i="2"/>
  <c r="AL160" i="2"/>
  <c r="AK160" i="2"/>
  <c r="AJ160" i="2"/>
  <c r="AI160" i="2"/>
  <c r="AH160" i="2"/>
  <c r="AG160" i="2"/>
  <c r="AF160" i="2"/>
  <c r="AE160" i="2"/>
  <c r="AD160" i="2"/>
  <c r="AC160" i="2"/>
  <c r="AB160" i="2"/>
  <c r="AL159" i="2"/>
  <c r="AK159" i="2"/>
  <c r="AJ159" i="2"/>
  <c r="AI159" i="2"/>
  <c r="AH159" i="2"/>
  <c r="AG159" i="2"/>
  <c r="AF159" i="2"/>
  <c r="AE159" i="2"/>
  <c r="AD159" i="2"/>
  <c r="AC159" i="2"/>
  <c r="AB159" i="2"/>
  <c r="AL158" i="2"/>
  <c r="AK158" i="2"/>
  <c r="AJ158" i="2"/>
  <c r="AI158" i="2"/>
  <c r="AH158" i="2"/>
  <c r="AG158" i="2"/>
  <c r="AF158" i="2"/>
  <c r="AE158" i="2"/>
  <c r="AD158" i="2"/>
  <c r="AC158" i="2"/>
  <c r="AB158" i="2"/>
  <c r="AL157" i="2"/>
  <c r="AK157" i="2"/>
  <c r="AJ157" i="2"/>
  <c r="AI157" i="2"/>
  <c r="AH157" i="2"/>
  <c r="AG157" i="2"/>
  <c r="AF157" i="2"/>
  <c r="AE157" i="2"/>
  <c r="AD157" i="2"/>
  <c r="AC157" i="2"/>
  <c r="AB157" i="2"/>
  <c r="AL156" i="2"/>
  <c r="AK156" i="2"/>
  <c r="AJ156" i="2"/>
  <c r="AI156" i="2"/>
  <c r="AH156" i="2"/>
  <c r="AG156" i="2"/>
  <c r="AF156" i="2"/>
  <c r="AE156" i="2"/>
  <c r="AD156" i="2"/>
  <c r="AC156" i="2"/>
  <c r="AB156" i="2"/>
  <c r="AL155" i="2"/>
  <c r="AK155" i="2"/>
  <c r="AJ155" i="2"/>
  <c r="AI155" i="2"/>
  <c r="AH155" i="2"/>
  <c r="AG155" i="2"/>
  <c r="AF155" i="2"/>
  <c r="AE155" i="2"/>
  <c r="AD155" i="2"/>
  <c r="AC155" i="2"/>
  <c r="AB155" i="2"/>
  <c r="AL154" i="2"/>
  <c r="AK154" i="2"/>
  <c r="AJ154" i="2"/>
  <c r="AI154" i="2"/>
  <c r="AH154" i="2"/>
  <c r="AG154" i="2"/>
  <c r="AF154" i="2"/>
  <c r="AE154" i="2"/>
  <c r="AD154" i="2"/>
  <c r="AC154" i="2"/>
  <c r="AB154" i="2"/>
  <c r="AL153" i="2"/>
  <c r="AK153" i="2"/>
  <c r="AJ153" i="2"/>
  <c r="AI153" i="2"/>
  <c r="AH153" i="2"/>
  <c r="AG153" i="2"/>
  <c r="AF153" i="2"/>
  <c r="AE153" i="2"/>
  <c r="AD153" i="2"/>
  <c r="AC153" i="2"/>
  <c r="AB153" i="2"/>
  <c r="AL152" i="2"/>
  <c r="AK152" i="2"/>
  <c r="AJ152" i="2"/>
  <c r="AI152" i="2"/>
  <c r="AH152" i="2"/>
  <c r="AG152" i="2"/>
  <c r="AF152" i="2"/>
  <c r="AE152" i="2"/>
  <c r="AD152" i="2"/>
  <c r="AC152" i="2"/>
  <c r="AB152" i="2"/>
  <c r="AL151" i="2"/>
  <c r="AK151" i="2"/>
  <c r="AJ151" i="2"/>
  <c r="AI151" i="2"/>
  <c r="AH151" i="2"/>
  <c r="AG151" i="2"/>
  <c r="AF151" i="2"/>
  <c r="AE151" i="2"/>
  <c r="AD151" i="2"/>
  <c r="AC151" i="2"/>
  <c r="AB151" i="2"/>
  <c r="AL150" i="2"/>
  <c r="AK150" i="2"/>
  <c r="AJ150" i="2"/>
  <c r="AI150" i="2"/>
  <c r="AH150" i="2"/>
  <c r="AG150" i="2"/>
  <c r="AF150" i="2"/>
  <c r="AE150" i="2"/>
  <c r="AD150" i="2"/>
  <c r="AC150" i="2"/>
  <c r="AB150" i="2"/>
  <c r="AL149" i="2"/>
  <c r="AK149" i="2"/>
  <c r="AJ149" i="2"/>
  <c r="AI149" i="2"/>
  <c r="AH149" i="2"/>
  <c r="AG149" i="2"/>
  <c r="AF149" i="2"/>
  <c r="AE149" i="2"/>
  <c r="AD149" i="2"/>
  <c r="AC149" i="2"/>
  <c r="AB149" i="2"/>
  <c r="AL148" i="2"/>
  <c r="AK148" i="2"/>
  <c r="AJ148" i="2"/>
  <c r="AI148" i="2"/>
  <c r="AH148" i="2"/>
  <c r="AG148" i="2"/>
  <c r="AF148" i="2"/>
  <c r="AE148" i="2"/>
  <c r="AD148" i="2"/>
  <c r="AC148" i="2"/>
  <c r="AB148" i="2"/>
  <c r="AL147" i="2"/>
  <c r="AK147" i="2"/>
  <c r="AJ147" i="2"/>
  <c r="AI147" i="2"/>
  <c r="AH147" i="2"/>
  <c r="AG147" i="2"/>
  <c r="AF147" i="2"/>
  <c r="AE147" i="2"/>
  <c r="AD147" i="2"/>
  <c r="AC147" i="2"/>
  <c r="AB147" i="2"/>
  <c r="AL146" i="2"/>
  <c r="AK146" i="2"/>
  <c r="AJ146" i="2"/>
  <c r="AI146" i="2"/>
  <c r="AH146" i="2"/>
  <c r="AG146" i="2"/>
  <c r="AF146" i="2"/>
  <c r="AE146" i="2"/>
  <c r="AD146" i="2"/>
  <c r="AC146" i="2"/>
  <c r="AB146" i="2"/>
  <c r="AL145" i="2"/>
  <c r="AK145" i="2"/>
  <c r="AJ145" i="2"/>
  <c r="AI145" i="2"/>
  <c r="AH145" i="2"/>
  <c r="AG145" i="2"/>
  <c r="AF145" i="2"/>
  <c r="AE145" i="2"/>
  <c r="AD145" i="2"/>
  <c r="AC145" i="2"/>
  <c r="AB145" i="2"/>
  <c r="AL144" i="2"/>
  <c r="AK144" i="2"/>
  <c r="AJ144" i="2"/>
  <c r="AI144" i="2"/>
  <c r="AH144" i="2"/>
  <c r="AG144" i="2"/>
  <c r="AF144" i="2"/>
  <c r="AE144" i="2"/>
  <c r="AD144" i="2"/>
  <c r="AC144" i="2"/>
  <c r="AB144" i="2"/>
  <c r="AL143" i="2"/>
  <c r="AK143" i="2"/>
  <c r="AJ143" i="2"/>
  <c r="AI143" i="2"/>
  <c r="AH143" i="2"/>
  <c r="AG143" i="2"/>
  <c r="AF143" i="2"/>
  <c r="AE143" i="2"/>
  <c r="AD143" i="2"/>
  <c r="AC143" i="2"/>
  <c r="AB143" i="2"/>
  <c r="AL142" i="2"/>
  <c r="AK142" i="2"/>
  <c r="AJ142" i="2"/>
  <c r="AI142" i="2"/>
  <c r="AH142" i="2"/>
  <c r="AG142" i="2"/>
  <c r="AF142" i="2"/>
  <c r="AE142" i="2"/>
  <c r="AD142" i="2"/>
  <c r="AC142" i="2"/>
  <c r="AB142" i="2"/>
  <c r="AL141" i="2"/>
  <c r="AK141" i="2"/>
  <c r="AJ141" i="2"/>
  <c r="AI141" i="2"/>
  <c r="AH141" i="2"/>
  <c r="AG141" i="2"/>
  <c r="AF141" i="2"/>
  <c r="AE141" i="2"/>
  <c r="AD141" i="2"/>
  <c r="AC141" i="2"/>
  <c r="AB141" i="2"/>
  <c r="AL140" i="2"/>
  <c r="AK140" i="2"/>
  <c r="AJ140" i="2"/>
  <c r="AI140" i="2"/>
  <c r="AH140" i="2"/>
  <c r="AG140" i="2"/>
  <c r="AF140" i="2"/>
  <c r="AE140" i="2"/>
  <c r="AD140" i="2"/>
  <c r="AC140" i="2"/>
  <c r="AB140" i="2"/>
  <c r="AL139" i="2"/>
  <c r="AK139" i="2"/>
  <c r="AJ139" i="2"/>
  <c r="AI139" i="2"/>
  <c r="AH139" i="2"/>
  <c r="AG139" i="2"/>
  <c r="AF139" i="2"/>
  <c r="AE139" i="2"/>
  <c r="AD139" i="2"/>
  <c r="AC139" i="2"/>
  <c r="AB139" i="2"/>
  <c r="AL138" i="2"/>
  <c r="AK138" i="2"/>
  <c r="AJ138" i="2"/>
  <c r="AI138" i="2"/>
  <c r="AH138" i="2"/>
  <c r="AG138" i="2"/>
  <c r="AF138" i="2"/>
  <c r="AE138" i="2"/>
  <c r="AD138" i="2"/>
  <c r="AC138" i="2"/>
  <c r="AB138" i="2"/>
  <c r="AL137" i="2"/>
  <c r="AK137" i="2"/>
  <c r="AJ137" i="2"/>
  <c r="AI137" i="2"/>
  <c r="AH137" i="2"/>
  <c r="AG137" i="2"/>
  <c r="AF137" i="2"/>
  <c r="AE137" i="2"/>
  <c r="AD137" i="2"/>
  <c r="AC137" i="2"/>
  <c r="AB137" i="2"/>
  <c r="AL136" i="2"/>
  <c r="AK136" i="2"/>
  <c r="AJ136" i="2"/>
  <c r="AI136" i="2"/>
  <c r="AH136" i="2"/>
  <c r="AG136" i="2"/>
  <c r="AF136" i="2"/>
  <c r="AE136" i="2"/>
  <c r="AD136" i="2"/>
  <c r="AC136" i="2"/>
  <c r="AB136" i="2"/>
  <c r="AL135" i="2"/>
  <c r="AK135" i="2"/>
  <c r="AJ135" i="2"/>
  <c r="AI135" i="2"/>
  <c r="AH135" i="2"/>
  <c r="AG135" i="2"/>
  <c r="AF135" i="2"/>
  <c r="AE135" i="2"/>
  <c r="AD135" i="2"/>
  <c r="AC135" i="2"/>
  <c r="AB135" i="2"/>
  <c r="AL134" i="2"/>
  <c r="AK134" i="2"/>
  <c r="AJ134" i="2"/>
  <c r="AI134" i="2"/>
  <c r="AH134" i="2"/>
  <c r="AG134" i="2"/>
  <c r="AF134" i="2"/>
  <c r="AE134" i="2"/>
  <c r="AD134" i="2"/>
  <c r="AC134" i="2"/>
  <c r="AB134" i="2"/>
  <c r="AL133" i="2"/>
  <c r="AK133" i="2"/>
  <c r="AJ133" i="2"/>
  <c r="AI133" i="2"/>
  <c r="AH133" i="2"/>
  <c r="AG133" i="2"/>
  <c r="AF133" i="2"/>
  <c r="AE133" i="2"/>
  <c r="AD133" i="2"/>
  <c r="AC133" i="2"/>
  <c r="AB133" i="2"/>
  <c r="AL132" i="2"/>
  <c r="AK132" i="2"/>
  <c r="AJ132" i="2"/>
  <c r="AI132" i="2"/>
  <c r="AH132" i="2"/>
  <c r="AG132" i="2"/>
  <c r="AF132" i="2"/>
  <c r="AE132" i="2"/>
  <c r="AD132" i="2"/>
  <c r="AC132" i="2"/>
  <c r="AB132" i="2"/>
  <c r="AL131" i="2"/>
  <c r="AK131" i="2"/>
  <c r="AJ131" i="2"/>
  <c r="AI131" i="2"/>
  <c r="AH131" i="2"/>
  <c r="AG131" i="2"/>
  <c r="AF131" i="2"/>
  <c r="AE131" i="2"/>
  <c r="AD131" i="2"/>
  <c r="AC131" i="2"/>
  <c r="AB131" i="2"/>
  <c r="AL130" i="2"/>
  <c r="AK130" i="2"/>
  <c r="AJ130" i="2"/>
  <c r="AI130" i="2"/>
  <c r="AH130" i="2"/>
  <c r="AG130" i="2"/>
  <c r="AF130" i="2"/>
  <c r="AE130" i="2"/>
  <c r="AD130" i="2"/>
  <c r="AC130" i="2"/>
  <c r="AB130" i="2"/>
  <c r="AL129" i="2"/>
  <c r="AK129" i="2"/>
  <c r="AJ129" i="2"/>
  <c r="AI129" i="2"/>
  <c r="AH129" i="2"/>
  <c r="AG129" i="2"/>
  <c r="AF129" i="2"/>
  <c r="AE129" i="2"/>
  <c r="AD129" i="2"/>
  <c r="AC129" i="2"/>
  <c r="AB129" i="2"/>
  <c r="AL128" i="2"/>
  <c r="AK128" i="2"/>
  <c r="AJ128" i="2"/>
  <c r="AI128" i="2"/>
  <c r="AH128" i="2"/>
  <c r="AG128" i="2"/>
  <c r="AF128" i="2"/>
  <c r="AE128" i="2"/>
  <c r="AD128" i="2"/>
  <c r="AC128" i="2"/>
  <c r="AB128" i="2"/>
  <c r="AL127" i="2"/>
  <c r="AK127" i="2"/>
  <c r="AJ127" i="2"/>
  <c r="AI127" i="2"/>
  <c r="AH127" i="2"/>
  <c r="AG127" i="2"/>
  <c r="AF127" i="2"/>
  <c r="AE127" i="2"/>
  <c r="AD127" i="2"/>
  <c r="AC127" i="2"/>
  <c r="AB127" i="2"/>
  <c r="AL126" i="2"/>
  <c r="AK126" i="2"/>
  <c r="AJ126" i="2"/>
  <c r="AI126" i="2"/>
  <c r="AH126" i="2"/>
  <c r="AG126" i="2"/>
  <c r="AF126" i="2"/>
  <c r="AE126" i="2"/>
  <c r="AD126" i="2"/>
  <c r="AC126" i="2"/>
  <c r="AB126" i="2"/>
  <c r="AL125" i="2"/>
  <c r="AK125" i="2"/>
  <c r="AJ125" i="2"/>
  <c r="AI125" i="2"/>
  <c r="AH125" i="2"/>
  <c r="AG125" i="2"/>
  <c r="AF125" i="2"/>
  <c r="AE125" i="2"/>
  <c r="AD125" i="2"/>
  <c r="AC125" i="2"/>
  <c r="AB125" i="2"/>
  <c r="AL124" i="2"/>
  <c r="AK124" i="2"/>
  <c r="AJ124" i="2"/>
  <c r="AI124" i="2"/>
  <c r="AH124" i="2"/>
  <c r="AG124" i="2"/>
  <c r="AF124" i="2"/>
  <c r="AE124" i="2"/>
  <c r="AD124" i="2"/>
  <c r="AC124" i="2"/>
  <c r="AB124" i="2"/>
  <c r="AL123" i="2"/>
  <c r="AK123" i="2"/>
  <c r="AJ123" i="2"/>
  <c r="AI123" i="2"/>
  <c r="AH123" i="2"/>
  <c r="AG123" i="2"/>
  <c r="AF123" i="2"/>
  <c r="AE123" i="2"/>
  <c r="AD123" i="2"/>
  <c r="AC123" i="2"/>
  <c r="AB123" i="2"/>
  <c r="AL122" i="2"/>
  <c r="AK122" i="2"/>
  <c r="AJ122" i="2"/>
  <c r="AI122" i="2"/>
  <c r="AH122" i="2"/>
  <c r="AG122" i="2"/>
  <c r="AF122" i="2"/>
  <c r="AE122" i="2"/>
  <c r="AD122" i="2"/>
  <c r="AC122" i="2"/>
  <c r="AB122" i="2"/>
  <c r="AL121" i="2"/>
  <c r="AK121" i="2"/>
  <c r="AJ121" i="2"/>
  <c r="AI121" i="2"/>
  <c r="AH121" i="2"/>
  <c r="AG121" i="2"/>
  <c r="AF121" i="2"/>
  <c r="AE121" i="2"/>
  <c r="AD121" i="2"/>
  <c r="AC121" i="2"/>
  <c r="AB121" i="2"/>
  <c r="AL120" i="2"/>
  <c r="AK120" i="2"/>
  <c r="AJ120" i="2"/>
  <c r="AI120" i="2"/>
  <c r="AH120" i="2"/>
  <c r="AG120" i="2"/>
  <c r="AF120" i="2"/>
  <c r="AE120" i="2"/>
  <c r="AD120" i="2"/>
  <c r="AC120" i="2"/>
  <c r="AB120" i="2"/>
  <c r="AL119" i="2"/>
  <c r="AK119" i="2"/>
  <c r="AJ119" i="2"/>
  <c r="AI119" i="2"/>
  <c r="AH119" i="2"/>
  <c r="AG119" i="2"/>
  <c r="AF119" i="2"/>
  <c r="AE119" i="2"/>
  <c r="AD119" i="2"/>
  <c r="AC119" i="2"/>
  <c r="AB119" i="2"/>
  <c r="AL118" i="2"/>
  <c r="AK118" i="2"/>
  <c r="AJ118" i="2"/>
  <c r="AI118" i="2"/>
  <c r="AH118" i="2"/>
  <c r="AG118" i="2"/>
  <c r="AF118" i="2"/>
  <c r="AE118" i="2"/>
  <c r="AD118" i="2"/>
  <c r="AC118" i="2"/>
  <c r="AB118" i="2"/>
  <c r="AL117" i="2"/>
  <c r="AK117" i="2"/>
  <c r="AJ117" i="2"/>
  <c r="AI117" i="2"/>
  <c r="AH117" i="2"/>
  <c r="AG117" i="2"/>
  <c r="AF117" i="2"/>
  <c r="AE117" i="2"/>
  <c r="AD117" i="2"/>
  <c r="AC117" i="2"/>
  <c r="AB117" i="2"/>
  <c r="AL116" i="2"/>
  <c r="AK116" i="2"/>
  <c r="AJ116" i="2"/>
  <c r="AI116" i="2"/>
  <c r="AH116" i="2"/>
  <c r="AG116" i="2"/>
  <c r="AF116" i="2"/>
  <c r="AE116" i="2"/>
  <c r="AD116" i="2"/>
  <c r="AC116" i="2"/>
  <c r="AB116" i="2"/>
  <c r="AL115" i="2"/>
  <c r="AK115" i="2"/>
  <c r="AJ115" i="2"/>
  <c r="AI115" i="2"/>
  <c r="AH115" i="2"/>
  <c r="AG115" i="2"/>
  <c r="AF115" i="2"/>
  <c r="AE115" i="2"/>
  <c r="AD115" i="2"/>
  <c r="AC115" i="2"/>
  <c r="AB115" i="2"/>
  <c r="AL114" i="2"/>
  <c r="AK114" i="2"/>
  <c r="AJ114" i="2"/>
  <c r="AI114" i="2"/>
  <c r="AH114" i="2"/>
  <c r="AG114" i="2"/>
  <c r="AF114" i="2"/>
  <c r="AE114" i="2"/>
  <c r="AD114" i="2"/>
  <c r="AC114" i="2"/>
  <c r="AB114" i="2"/>
  <c r="AL113" i="2"/>
  <c r="AK113" i="2"/>
  <c r="AJ113" i="2"/>
  <c r="AI113" i="2"/>
  <c r="AH113" i="2"/>
  <c r="AG113" i="2"/>
  <c r="AF113" i="2"/>
  <c r="AE113" i="2"/>
  <c r="AD113" i="2"/>
  <c r="AC113" i="2"/>
  <c r="AB113" i="2"/>
  <c r="AL112" i="2"/>
  <c r="AK112" i="2"/>
  <c r="AJ112" i="2"/>
  <c r="AI112" i="2"/>
  <c r="AH112" i="2"/>
  <c r="AG112" i="2"/>
  <c r="AF112" i="2"/>
  <c r="AE112" i="2"/>
  <c r="AD112" i="2"/>
  <c r="AC112" i="2"/>
  <c r="AB112" i="2"/>
  <c r="AL111" i="2"/>
  <c r="AK111" i="2"/>
  <c r="AJ111" i="2"/>
  <c r="AI111" i="2"/>
  <c r="AH111" i="2"/>
  <c r="AG111" i="2"/>
  <c r="AF111" i="2"/>
  <c r="AE111" i="2"/>
  <c r="AD111" i="2"/>
  <c r="AC111" i="2"/>
  <c r="AB111" i="2"/>
  <c r="AL110" i="2"/>
  <c r="AK110" i="2"/>
  <c r="AJ110" i="2"/>
  <c r="AI110" i="2"/>
  <c r="AH110" i="2"/>
  <c r="AG110" i="2"/>
  <c r="AF110" i="2"/>
  <c r="AE110" i="2"/>
  <c r="AD110" i="2"/>
  <c r="AC110" i="2"/>
  <c r="AB110" i="2"/>
  <c r="AL109" i="2"/>
  <c r="AK109" i="2"/>
  <c r="AJ109" i="2"/>
  <c r="AI109" i="2"/>
  <c r="AH109" i="2"/>
  <c r="AG109" i="2"/>
  <c r="AF109" i="2"/>
  <c r="AE109" i="2"/>
  <c r="AD109" i="2"/>
  <c r="AC109" i="2"/>
  <c r="AB109" i="2"/>
  <c r="AL108" i="2"/>
  <c r="AK108" i="2"/>
  <c r="AJ108" i="2"/>
  <c r="AI108" i="2"/>
  <c r="AH108" i="2"/>
  <c r="AG108" i="2"/>
  <c r="AF108" i="2"/>
  <c r="AE108" i="2"/>
  <c r="AD108" i="2"/>
  <c r="AC108" i="2"/>
  <c r="AB108" i="2"/>
  <c r="AL107" i="2"/>
  <c r="AK107" i="2"/>
  <c r="AJ107" i="2"/>
  <c r="AI107" i="2"/>
  <c r="AH107" i="2"/>
  <c r="AG107" i="2"/>
  <c r="AF107" i="2"/>
  <c r="AE107" i="2"/>
  <c r="AD107" i="2"/>
  <c r="AC107" i="2"/>
  <c r="AB107" i="2"/>
  <c r="AL106" i="2"/>
  <c r="AK106" i="2"/>
  <c r="AJ106" i="2"/>
  <c r="AI106" i="2"/>
  <c r="AH106" i="2"/>
  <c r="AG106" i="2"/>
  <c r="AF106" i="2"/>
  <c r="AE106" i="2"/>
  <c r="AD106" i="2"/>
  <c r="AC106" i="2"/>
  <c r="AB106" i="2"/>
  <c r="AL105" i="2"/>
  <c r="AK105" i="2"/>
  <c r="AJ105" i="2"/>
  <c r="AI105" i="2"/>
  <c r="AH105" i="2"/>
  <c r="AG105" i="2"/>
  <c r="AF105" i="2"/>
  <c r="AE105" i="2"/>
  <c r="AD105" i="2"/>
  <c r="AC105" i="2"/>
  <c r="AB105" i="2"/>
  <c r="AL104" i="2"/>
  <c r="AK104" i="2"/>
  <c r="AJ104" i="2"/>
  <c r="AI104" i="2"/>
  <c r="AH104" i="2"/>
  <c r="AG104" i="2"/>
  <c r="AF104" i="2"/>
  <c r="AE104" i="2"/>
  <c r="AD104" i="2"/>
  <c r="AC104" i="2"/>
  <c r="AB104" i="2"/>
  <c r="AL103" i="2"/>
  <c r="AK103" i="2"/>
  <c r="AJ103" i="2"/>
  <c r="AI103" i="2"/>
  <c r="AH103" i="2"/>
  <c r="AG103" i="2"/>
  <c r="AF103" i="2"/>
  <c r="AE103" i="2"/>
  <c r="AD103" i="2"/>
  <c r="AC103" i="2"/>
  <c r="AB103" i="2"/>
  <c r="AL102" i="2"/>
  <c r="AK102" i="2"/>
  <c r="AJ102" i="2"/>
  <c r="AI102" i="2"/>
  <c r="AH102" i="2"/>
  <c r="AG102" i="2"/>
  <c r="AF102" i="2"/>
  <c r="AE102" i="2"/>
  <c r="AD102" i="2"/>
  <c r="AC102" i="2"/>
  <c r="AB102" i="2"/>
  <c r="AL101" i="2"/>
  <c r="AK101" i="2"/>
  <c r="AJ101" i="2"/>
  <c r="AI101" i="2"/>
  <c r="AH101" i="2"/>
  <c r="AG101" i="2"/>
  <c r="AF101" i="2"/>
  <c r="AE101" i="2"/>
  <c r="AD101" i="2"/>
  <c r="AC101" i="2"/>
  <c r="AB101" i="2"/>
  <c r="AL100" i="2"/>
  <c r="AK100" i="2"/>
  <c r="AJ100" i="2"/>
  <c r="AI100" i="2"/>
  <c r="AH100" i="2"/>
  <c r="AG100" i="2"/>
  <c r="AF100" i="2"/>
  <c r="AE100" i="2"/>
  <c r="AD100" i="2"/>
  <c r="AC100" i="2"/>
  <c r="AB100" i="2"/>
  <c r="AL99" i="2"/>
  <c r="AK99" i="2"/>
  <c r="AJ99" i="2"/>
  <c r="AI99" i="2"/>
  <c r="AH99" i="2"/>
  <c r="AG99" i="2"/>
  <c r="AF99" i="2"/>
  <c r="AE99" i="2"/>
  <c r="AD99" i="2"/>
  <c r="AC99" i="2"/>
  <c r="AB99" i="2"/>
  <c r="AL98" i="2"/>
  <c r="AK98" i="2"/>
  <c r="AJ98" i="2"/>
  <c r="AI98" i="2"/>
  <c r="AH98" i="2"/>
  <c r="AG98" i="2"/>
  <c r="AF98" i="2"/>
  <c r="AE98" i="2"/>
  <c r="AD98" i="2"/>
  <c r="AC98" i="2"/>
  <c r="AB98" i="2"/>
  <c r="AL97" i="2"/>
  <c r="AK97" i="2"/>
  <c r="AJ97" i="2"/>
  <c r="AI97" i="2"/>
  <c r="AH97" i="2"/>
  <c r="AG97" i="2"/>
  <c r="AF97" i="2"/>
  <c r="AE97" i="2"/>
  <c r="AD97" i="2"/>
  <c r="AC97" i="2"/>
  <c r="AB97" i="2"/>
  <c r="AL96" i="2"/>
  <c r="AK96" i="2"/>
  <c r="AJ96" i="2"/>
  <c r="AI96" i="2"/>
  <c r="AH96" i="2"/>
  <c r="AG96" i="2"/>
  <c r="AF96" i="2"/>
  <c r="AE96" i="2"/>
  <c r="AD96" i="2"/>
  <c r="AC96" i="2"/>
  <c r="AB96" i="2"/>
  <c r="AL95" i="2"/>
  <c r="AK95" i="2"/>
  <c r="AJ95" i="2"/>
  <c r="AI95" i="2"/>
  <c r="AH95" i="2"/>
  <c r="AG95" i="2"/>
  <c r="AF95" i="2"/>
  <c r="AE95" i="2"/>
  <c r="AD95" i="2"/>
  <c r="AC95" i="2"/>
  <c r="AB95" i="2"/>
  <c r="AL94" i="2"/>
  <c r="AK94" i="2"/>
  <c r="AJ94" i="2"/>
  <c r="AI94" i="2"/>
  <c r="AH94" i="2"/>
  <c r="AG94" i="2"/>
  <c r="AF94" i="2"/>
  <c r="AE94" i="2"/>
  <c r="AD94" i="2"/>
  <c r="AC94" i="2"/>
  <c r="AB94" i="2"/>
  <c r="AL93" i="2"/>
  <c r="AK93" i="2"/>
  <c r="AJ93" i="2"/>
  <c r="AI93" i="2"/>
  <c r="AH93" i="2"/>
  <c r="AG93" i="2"/>
  <c r="AF93" i="2"/>
  <c r="AE93" i="2"/>
  <c r="AD93" i="2"/>
  <c r="AC93" i="2"/>
  <c r="AB93" i="2"/>
  <c r="AL92" i="2"/>
  <c r="AK92" i="2"/>
  <c r="AJ92" i="2"/>
  <c r="AI92" i="2"/>
  <c r="AH92" i="2"/>
  <c r="AG92" i="2"/>
  <c r="AF92" i="2"/>
  <c r="AE92" i="2"/>
  <c r="AD92" i="2"/>
  <c r="AC92" i="2"/>
  <c r="AB92" i="2"/>
  <c r="AL91" i="2"/>
  <c r="AK91" i="2"/>
  <c r="AJ91" i="2"/>
  <c r="AI91" i="2"/>
  <c r="AH91" i="2"/>
  <c r="AG91" i="2"/>
  <c r="AF91" i="2"/>
  <c r="AE91" i="2"/>
  <c r="AD91" i="2"/>
  <c r="AC91" i="2"/>
  <c r="AB91" i="2"/>
  <c r="AL3" i="2"/>
  <c r="AK3" i="2"/>
  <c r="AJ3" i="2"/>
  <c r="AI3" i="2"/>
  <c r="AH3" i="2"/>
  <c r="AG3" i="2"/>
  <c r="AF3" i="2"/>
  <c r="AE3" i="2"/>
  <c r="AD3" i="2"/>
  <c r="AC3" i="2"/>
  <c r="AB3" i="2"/>
  <c r="V69" i="3"/>
  <c r="U69" i="3"/>
  <c r="AL90" i="2"/>
  <c r="AD90" i="2"/>
  <c r="AB90" i="2"/>
  <c r="AK90" i="2"/>
  <c r="AC90" i="2"/>
  <c r="AJ90" i="2"/>
  <c r="AI90" i="2"/>
  <c r="AH90" i="2"/>
  <c r="AG90" i="2"/>
  <c r="AF90" i="2"/>
  <c r="AE90" i="2"/>
  <c r="AF89" i="2"/>
  <c r="AC81" i="2"/>
  <c r="AB77" i="2"/>
  <c r="AK79" i="2"/>
  <c r="AJ77" i="2"/>
  <c r="AF83" i="2"/>
  <c r="AK87" i="2"/>
  <c r="AJ78" i="2"/>
  <c r="AI82" i="2"/>
  <c r="AL79" i="2"/>
  <c r="AL83" i="2"/>
  <c r="AE87" i="2"/>
  <c r="AJ76" i="2"/>
  <c r="AE80" i="2"/>
  <c r="AC85" i="2"/>
  <c r="AI81" i="2"/>
  <c r="AH88" i="2"/>
  <c r="AE85" i="2"/>
  <c r="AJ84" i="2"/>
  <c r="AL82" i="2"/>
  <c r="AJ81" i="2"/>
  <c r="AH84" i="2"/>
  <c r="AH83" i="2"/>
  <c r="AB79" i="2"/>
  <c r="AL78" i="2"/>
  <c r="AJ86" i="2"/>
  <c r="AC88" i="2"/>
  <c r="AE88" i="2"/>
  <c r="AI89" i="2"/>
  <c r="AL84" i="2"/>
  <c r="AK84" i="2"/>
  <c r="AG78" i="2"/>
  <c r="AC80" i="2"/>
  <c r="AK85" i="2"/>
  <c r="AC84" i="2"/>
  <c r="AJ82" i="2"/>
  <c r="AE83" i="2"/>
  <c r="AC77" i="2"/>
  <c r="AB76" i="2"/>
  <c r="AH78" i="2"/>
  <c r="AE81" i="2"/>
  <c r="AF80" i="2"/>
  <c r="AF85" i="2"/>
  <c r="AB80" i="2"/>
  <c r="AB88" i="2"/>
  <c r="AI78" i="2"/>
  <c r="AE86" i="2"/>
  <c r="AB86" i="2"/>
  <c r="AD79" i="2"/>
  <c r="AL85" i="2"/>
  <c r="AD76" i="2"/>
  <c r="AF79" i="2"/>
  <c r="AK77" i="2"/>
  <c r="AI87" i="2"/>
  <c r="AJ83" i="2"/>
  <c r="AL77" i="2"/>
  <c r="AH86" i="2"/>
  <c r="AG88" i="2"/>
  <c r="AG83" i="2"/>
  <c r="AG85" i="2"/>
  <c r="AG84" i="2"/>
  <c r="AJ89" i="2"/>
  <c r="AF81" i="2"/>
  <c r="AJ87" i="2"/>
  <c r="AK81" i="2"/>
  <c r="AF77" i="2"/>
  <c r="AE89" i="2"/>
  <c r="AI77" i="2"/>
  <c r="AD77" i="2"/>
  <c r="AD78" i="2"/>
  <c r="AI80" i="2"/>
  <c r="AF87" i="2"/>
  <c r="AD83" i="2"/>
  <c r="AB85" i="2"/>
  <c r="AD86" i="2"/>
  <c r="AC79" i="2"/>
  <c r="AI86" i="2"/>
  <c r="AI83" i="2"/>
  <c r="AG77" i="2"/>
  <c r="AL80" i="2"/>
  <c r="AH80" i="2"/>
  <c r="AD80" i="2"/>
  <c r="AI79" i="2"/>
  <c r="AE82" i="2"/>
  <c r="AF86" i="2"/>
  <c r="AH89" i="2"/>
  <c r="AK78" i="2"/>
  <c r="AH82" i="2"/>
  <c r="AB89" i="2"/>
  <c r="AG79" i="2"/>
  <c r="AH77" i="2"/>
  <c r="AB84" i="2"/>
  <c r="AG86" i="2"/>
  <c r="AF84" i="2"/>
  <c r="AB87" i="2"/>
  <c r="AE77" i="2"/>
  <c r="AL88" i="2"/>
  <c r="AK86" i="2"/>
  <c r="AL86" i="2"/>
  <c r="AF82" i="2"/>
  <c r="AC86" i="2"/>
  <c r="AK80" i="2"/>
  <c r="AL89" i="2"/>
  <c r="AD89" i="2"/>
  <c r="AC89" i="2"/>
  <c r="AC78" i="2"/>
  <c r="AE78" i="2"/>
  <c r="AI76" i="2"/>
  <c r="AJ80" i="2"/>
  <c r="AK76" i="2"/>
  <c r="AC87" i="2"/>
  <c r="AH81" i="2"/>
  <c r="AK83" i="2"/>
  <c r="AC82" i="2"/>
  <c r="AF78" i="2"/>
  <c r="AG89" i="2"/>
  <c r="AE76" i="2"/>
  <c r="AE79" i="2"/>
  <c r="AL81" i="2"/>
  <c r="AI85" i="2"/>
  <c r="AJ85" i="2"/>
  <c r="AH87" i="2"/>
  <c r="AB83" i="2"/>
  <c r="AI88" i="2"/>
  <c r="AG82" i="2"/>
  <c r="AK88" i="2"/>
  <c r="AB82" i="2"/>
  <c r="AJ88" i="2"/>
  <c r="AF76" i="2"/>
  <c r="AD81" i="2"/>
  <c r="AG87" i="2"/>
  <c r="AB78" i="2"/>
  <c r="AF88" i="2"/>
  <c r="AG80" i="2"/>
  <c r="AD82" i="2"/>
  <c r="AH79" i="2"/>
  <c r="AH76" i="2"/>
  <c r="AD85" i="2"/>
  <c r="AC76" i="2"/>
  <c r="AG76" i="2"/>
  <c r="AK82" i="2"/>
  <c r="AC83" i="2"/>
  <c r="AJ79" i="2"/>
  <c r="AG81" i="2"/>
  <c r="AL87" i="2"/>
  <c r="AD88" i="2"/>
  <c r="AE84" i="2"/>
  <c r="AB81" i="2"/>
  <c r="AL76" i="2"/>
  <c r="AD84" i="2"/>
  <c r="AH85" i="2"/>
  <c r="AI84" i="2"/>
  <c r="AK89" i="2"/>
  <c r="AD87" i="2"/>
  <c r="T207" i="3" l="1"/>
  <c r="V207" i="3" s="1"/>
  <c r="T204" i="3"/>
  <c r="V204" i="3" s="1"/>
  <c r="T212" i="3"/>
  <c r="V212" i="3" s="1"/>
  <c r="T209" i="3"/>
  <c r="V209" i="3" s="1"/>
  <c r="T154" i="3"/>
  <c r="V154" i="3" s="1"/>
  <c r="T162" i="3"/>
  <c r="V162" i="3" s="1"/>
  <c r="T170" i="3"/>
  <c r="V170" i="3" s="1"/>
  <c r="T186" i="3"/>
  <c r="V186" i="3" s="1"/>
  <c r="T194" i="3"/>
  <c r="V194" i="3" s="1"/>
  <c r="T202" i="3"/>
  <c r="V202" i="3" s="1"/>
  <c r="T214" i="3"/>
  <c r="U215" i="3" s="1"/>
  <c r="T175" i="3"/>
  <c r="V175" i="3" s="1"/>
  <c r="T183" i="3"/>
  <c r="V183" i="3" s="1"/>
  <c r="T191" i="3"/>
  <c r="V191" i="3" s="1"/>
  <c r="T199" i="3"/>
  <c r="V199" i="3" s="1"/>
  <c r="T134" i="3"/>
  <c r="V134" i="3" s="1"/>
  <c r="T142" i="3"/>
  <c r="V142" i="3" s="1"/>
  <c r="T150" i="3"/>
  <c r="V150" i="3" s="1"/>
  <c r="T178" i="3"/>
  <c r="V178" i="3" s="1"/>
  <c r="T97" i="3"/>
  <c r="V97" i="3" s="1"/>
  <c r="T105" i="3"/>
  <c r="V105" i="3" s="1"/>
  <c r="T201" i="3"/>
  <c r="V201" i="3" s="1"/>
  <c r="T158" i="3"/>
  <c r="V158" i="3" s="1"/>
  <c r="T166" i="3"/>
  <c r="V166" i="3" s="1"/>
  <c r="T174" i="3"/>
  <c r="V174" i="3" s="1"/>
  <c r="T182" i="3"/>
  <c r="V182" i="3" s="1"/>
  <c r="T210" i="3"/>
  <c r="V210" i="3" s="1"/>
  <c r="T94" i="3"/>
  <c r="T102" i="3"/>
  <c r="V102" i="3" s="1"/>
  <c r="T110" i="3"/>
  <c r="V110" i="3" s="1"/>
  <c r="T118" i="3"/>
  <c r="V118" i="3" s="1"/>
  <c r="T126" i="3"/>
  <c r="V126" i="3" s="1"/>
  <c r="T190" i="3"/>
  <c r="T113" i="3"/>
  <c r="V113" i="3" s="1"/>
  <c r="T121" i="3"/>
  <c r="V121" i="3" s="1"/>
  <c r="T129" i="3"/>
  <c r="V129" i="3" s="1"/>
  <c r="T137" i="3"/>
  <c r="V137" i="3" s="1"/>
  <c r="T145" i="3"/>
  <c r="V145" i="3" s="1"/>
  <c r="T153" i="3"/>
  <c r="V153" i="3" s="1"/>
  <c r="T161" i="3"/>
  <c r="V161" i="3" s="1"/>
  <c r="T169" i="3"/>
  <c r="T193" i="3"/>
  <c r="V193" i="3" s="1"/>
  <c r="T177" i="3"/>
  <c r="V177" i="3" s="1"/>
  <c r="T185" i="3"/>
  <c r="V185" i="3" s="1"/>
  <c r="T198" i="3"/>
  <c r="T206" i="3"/>
  <c r="V206" i="3" s="1"/>
  <c r="T92" i="3"/>
  <c r="V92" i="3" s="1"/>
  <c r="T100" i="3"/>
  <c r="V100" i="3" s="1"/>
  <c r="T108" i="3"/>
  <c r="V108" i="3" s="1"/>
  <c r="T116" i="3"/>
  <c r="V116" i="3" s="1"/>
  <c r="T124" i="3"/>
  <c r="T132" i="3"/>
  <c r="V132" i="3" s="1"/>
  <c r="T196" i="3"/>
  <c r="V196" i="3" s="1"/>
  <c r="T140" i="3"/>
  <c r="V140" i="3" s="1"/>
  <c r="T148" i="3"/>
  <c r="T156" i="3"/>
  <c r="V156" i="3" s="1"/>
  <c r="T164" i="3"/>
  <c r="V164" i="3" s="1"/>
  <c r="T172" i="3"/>
  <c r="V172" i="3" s="1"/>
  <c r="T180" i="3"/>
  <c r="V180" i="3" s="1"/>
  <c r="T188" i="3"/>
  <c r="V188" i="3" s="1"/>
  <c r="T151" i="3"/>
  <c r="V151" i="3" s="1"/>
  <c r="T159" i="3"/>
  <c r="V159" i="3" s="1"/>
  <c r="T167" i="3"/>
  <c r="V167" i="3" s="1"/>
  <c r="T93" i="3"/>
  <c r="V93" i="3" s="1"/>
  <c r="T101" i="3"/>
  <c r="V101" i="3" s="1"/>
  <c r="T109" i="3"/>
  <c r="T117" i="3"/>
  <c r="T125" i="3"/>
  <c r="V125" i="3" s="1"/>
  <c r="T133" i="3"/>
  <c r="V133" i="3" s="1"/>
  <c r="T141" i="3"/>
  <c r="T149" i="3"/>
  <c r="V149" i="3" s="1"/>
  <c r="T96" i="3"/>
  <c r="T104" i="3"/>
  <c r="V104" i="3" s="1"/>
  <c r="T112" i="3"/>
  <c r="V112" i="3" s="1"/>
  <c r="T91" i="3"/>
  <c r="T99" i="3"/>
  <c r="T107" i="3"/>
  <c r="T115" i="3"/>
  <c r="T123" i="3"/>
  <c r="T131" i="3"/>
  <c r="T139" i="3"/>
  <c r="T147" i="3"/>
  <c r="T155" i="3"/>
  <c r="T163" i="3"/>
  <c r="T171" i="3"/>
  <c r="T179" i="3"/>
  <c r="T187" i="3"/>
  <c r="T195" i="3"/>
  <c r="T203" i="3"/>
  <c r="T211" i="3"/>
  <c r="T95" i="3"/>
  <c r="T103" i="3"/>
  <c r="T111" i="3"/>
  <c r="T119" i="3"/>
  <c r="T127" i="3"/>
  <c r="T135" i="3"/>
  <c r="T143" i="3"/>
  <c r="T98" i="3"/>
  <c r="V98" i="3" s="1"/>
  <c r="T106" i="3"/>
  <c r="V106" i="3" s="1"/>
  <c r="T114" i="3"/>
  <c r="V114" i="3" s="1"/>
  <c r="T122" i="3"/>
  <c r="T130" i="3"/>
  <c r="T138" i="3"/>
  <c r="V138" i="3" s="1"/>
  <c r="T146" i="3"/>
  <c r="T157" i="3"/>
  <c r="T165" i="3"/>
  <c r="T173" i="3"/>
  <c r="T181" i="3"/>
  <c r="T189" i="3"/>
  <c r="T197" i="3"/>
  <c r="T205" i="3"/>
  <c r="T213" i="3"/>
  <c r="T120" i="3"/>
  <c r="T128" i="3"/>
  <c r="T136" i="3"/>
  <c r="T144" i="3"/>
  <c r="T152" i="3"/>
  <c r="T160" i="3"/>
  <c r="T168" i="3"/>
  <c r="T176" i="3"/>
  <c r="T184" i="3"/>
  <c r="T192" i="3"/>
  <c r="T200" i="3"/>
  <c r="T208" i="3"/>
  <c r="U213" i="3" l="1"/>
  <c r="U208" i="3"/>
  <c r="U171" i="3"/>
  <c r="U199" i="3"/>
  <c r="U170" i="3"/>
  <c r="U165" i="3"/>
  <c r="U155" i="3"/>
  <c r="U191" i="3"/>
  <c r="U163" i="3"/>
  <c r="U183" i="3"/>
  <c r="U173" i="3"/>
  <c r="U186" i="3"/>
  <c r="U187" i="3"/>
  <c r="U184" i="3"/>
  <c r="U202" i="3"/>
  <c r="V169" i="3"/>
  <c r="V190" i="3"/>
  <c r="U160" i="3"/>
  <c r="U210" i="3"/>
  <c r="V214" i="3"/>
  <c r="V198" i="3"/>
  <c r="U179" i="3"/>
  <c r="U119" i="3"/>
  <c r="U154" i="3"/>
  <c r="U207" i="3"/>
  <c r="U118" i="3"/>
  <c r="U142" i="3"/>
  <c r="U134" i="3"/>
  <c r="U97" i="3"/>
  <c r="U194" i="3"/>
  <c r="U93" i="3"/>
  <c r="U159" i="3"/>
  <c r="U105" i="3"/>
  <c r="U141" i="3"/>
  <c r="U95" i="3"/>
  <c r="U178" i="3"/>
  <c r="U175" i="3"/>
  <c r="U162" i="3"/>
  <c r="U127" i="3"/>
  <c r="U126" i="3"/>
  <c r="U151" i="3"/>
  <c r="U167" i="3"/>
  <c r="U94" i="3"/>
  <c r="V141" i="3"/>
  <c r="U130" i="3"/>
  <c r="V94" i="3"/>
  <c r="U157" i="3"/>
  <c r="U149" i="3"/>
  <c r="V148" i="3"/>
  <c r="U150" i="3"/>
  <c r="U109" i="3"/>
  <c r="U113" i="3"/>
  <c r="U101" i="3"/>
  <c r="U110" i="3"/>
  <c r="V109" i="3"/>
  <c r="U133" i="3"/>
  <c r="U117" i="3"/>
  <c r="U125" i="3"/>
  <c r="U102" i="3"/>
  <c r="V124" i="3"/>
  <c r="U181" i="3"/>
  <c r="V117" i="3"/>
  <c r="V96" i="3"/>
  <c r="U197" i="3"/>
  <c r="U152" i="3"/>
  <c r="U145" i="3"/>
  <c r="V144" i="3"/>
  <c r="U196" i="3"/>
  <c r="V195" i="3"/>
  <c r="U132" i="3"/>
  <c r="V131" i="3"/>
  <c r="V200" i="3"/>
  <c r="U201" i="3"/>
  <c r="U137" i="3"/>
  <c r="V136" i="3"/>
  <c r="V205" i="3"/>
  <c r="U206" i="3"/>
  <c r="V111" i="3"/>
  <c r="U112" i="3"/>
  <c r="U98" i="3"/>
  <c r="V187" i="3"/>
  <c r="U188" i="3"/>
  <c r="V123" i="3"/>
  <c r="U124" i="3"/>
  <c r="V146" i="3"/>
  <c r="U147" i="3"/>
  <c r="U121" i="3"/>
  <c r="V120" i="3"/>
  <c r="V189" i="3"/>
  <c r="U190" i="3"/>
  <c r="V122" i="3"/>
  <c r="U123" i="3"/>
  <c r="V95" i="3"/>
  <c r="U96" i="3"/>
  <c r="U205" i="3"/>
  <c r="U122" i="3"/>
  <c r="V171" i="3"/>
  <c r="U172" i="3"/>
  <c r="U107" i="3"/>
  <c r="U108" i="3"/>
  <c r="V107" i="3"/>
  <c r="V128" i="3"/>
  <c r="U129" i="3"/>
  <c r="V176" i="3"/>
  <c r="U177" i="3"/>
  <c r="V181" i="3"/>
  <c r="U182" i="3"/>
  <c r="U176" i="3"/>
  <c r="V163" i="3"/>
  <c r="U164" i="3"/>
  <c r="U99" i="3"/>
  <c r="V99" i="3"/>
  <c r="U100" i="3"/>
  <c r="V192" i="3"/>
  <c r="U193" i="3"/>
  <c r="U115" i="3"/>
  <c r="U116" i="3"/>
  <c r="V115" i="3"/>
  <c r="V168" i="3"/>
  <c r="U169" i="3"/>
  <c r="V173" i="3"/>
  <c r="U174" i="3"/>
  <c r="U195" i="3"/>
  <c r="U200" i="3"/>
  <c r="V143" i="3"/>
  <c r="U144" i="3"/>
  <c r="U146" i="3"/>
  <c r="U114" i="3"/>
  <c r="V155" i="3"/>
  <c r="U156" i="3"/>
  <c r="V91" i="3"/>
  <c r="U92" i="3"/>
  <c r="V213" i="3"/>
  <c r="U214" i="3"/>
  <c r="U131" i="3"/>
  <c r="V130" i="3"/>
  <c r="V179" i="3"/>
  <c r="U180" i="3"/>
  <c r="U161" i="3"/>
  <c r="V160" i="3"/>
  <c r="V165" i="3"/>
  <c r="U166" i="3"/>
  <c r="U168" i="3"/>
  <c r="V135" i="3"/>
  <c r="U136" i="3"/>
  <c r="U189" i="3"/>
  <c r="U143" i="3"/>
  <c r="U111" i="3"/>
  <c r="U211" i="3"/>
  <c r="U212" i="3"/>
  <c r="V211" i="3"/>
  <c r="V147" i="3"/>
  <c r="U148" i="3"/>
  <c r="U209" i="3"/>
  <c r="V208" i="3"/>
  <c r="V119" i="3"/>
  <c r="U120" i="3"/>
  <c r="V197" i="3"/>
  <c r="U198" i="3"/>
  <c r="V103" i="3"/>
  <c r="U104" i="3"/>
  <c r="U185" i="3"/>
  <c r="V184" i="3"/>
  <c r="U153" i="3"/>
  <c r="V152" i="3"/>
  <c r="V157" i="3"/>
  <c r="U158" i="3"/>
  <c r="U192" i="3"/>
  <c r="V127" i="3"/>
  <c r="U128" i="3"/>
  <c r="U138" i="3"/>
  <c r="U106" i="3"/>
  <c r="U135" i="3"/>
  <c r="U103" i="3"/>
  <c r="U203" i="3"/>
  <c r="V203" i="3"/>
  <c r="U204" i="3"/>
  <c r="U139" i="3"/>
  <c r="V139" i="3"/>
  <c r="U140" i="3"/>
  <c r="B66" i="2"/>
  <c r="R27" i="2"/>
  <c r="AJ11" i="2"/>
  <c r="E26" i="2"/>
  <c r="I16" i="2"/>
  <c r="V11" i="2"/>
  <c r="C43" i="2"/>
  <c r="E55" i="2"/>
  <c r="M32" i="2"/>
  <c r="AI65" i="2"/>
  <c r="H68" i="2"/>
  <c r="AH68" i="2"/>
  <c r="F29" i="2"/>
  <c r="AC52" i="2"/>
  <c r="K63" i="2"/>
  <c r="AL48" i="2"/>
  <c r="AI55" i="2"/>
  <c r="U28" i="2"/>
  <c r="AD10" i="2"/>
  <c r="AH50" i="2"/>
  <c r="AG52" i="2"/>
  <c r="AC8" i="2"/>
  <c r="AE63" i="2"/>
  <c r="AL26" i="2"/>
  <c r="S27" i="2"/>
  <c r="AK22" i="2"/>
  <c r="I17" i="2"/>
  <c r="S58" i="2"/>
  <c r="AE33" i="2"/>
  <c r="P33" i="2"/>
  <c r="S46" i="2"/>
  <c r="AL22" i="2"/>
  <c r="AB46" i="2"/>
  <c r="W15" i="2"/>
  <c r="AG64" i="2"/>
  <c r="O32" i="2"/>
  <c r="X66" i="2"/>
  <c r="B18" i="2"/>
  <c r="AJ29" i="2"/>
  <c r="AB37" i="2"/>
  <c r="P43" i="2"/>
  <c r="AF75" i="2"/>
  <c r="AI48" i="2"/>
  <c r="AK27" i="2"/>
  <c r="W17" i="2"/>
  <c r="Q66" i="2"/>
  <c r="Q13" i="2"/>
  <c r="AL14" i="2"/>
  <c r="L58" i="2"/>
  <c r="Z42" i="2"/>
  <c r="E33" i="2"/>
  <c r="T61" i="2"/>
  <c r="V9" i="2"/>
  <c r="Q23" i="2"/>
  <c r="N29" i="2"/>
  <c r="I65" i="2"/>
  <c r="G68" i="2"/>
  <c r="R65" i="2"/>
  <c r="L55" i="2"/>
  <c r="AC64" i="2"/>
  <c r="AB39" i="2"/>
  <c r="AH73" i="2"/>
  <c r="AA55" i="2"/>
  <c r="AK8" i="2"/>
  <c r="N67" i="2"/>
  <c r="AG35" i="2"/>
  <c r="AD17" i="2"/>
  <c r="Q61" i="2"/>
  <c r="F51" i="2"/>
  <c r="P5" i="2"/>
  <c r="N15" i="2"/>
  <c r="Z57" i="2"/>
  <c r="D26" i="2"/>
  <c r="U21" i="2"/>
  <c r="AD19" i="2"/>
  <c r="D19" i="2"/>
  <c r="AB22" i="2"/>
  <c r="AD32" i="2"/>
  <c r="AL70" i="2"/>
  <c r="T11" i="2"/>
  <c r="C37" i="2"/>
  <c r="AG42" i="2"/>
  <c r="R37" i="2"/>
  <c r="H41" i="2"/>
  <c r="AI67" i="2"/>
  <c r="Q38" i="2"/>
  <c r="P34" i="2"/>
  <c r="M39" i="2"/>
  <c r="K14" i="2"/>
  <c r="AI64" i="2"/>
  <c r="AC10" i="2"/>
  <c r="E13" i="2"/>
  <c r="I62" i="2"/>
  <c r="W58" i="2"/>
  <c r="AF34" i="2"/>
  <c r="D55" i="2"/>
  <c r="K31" i="2"/>
  <c r="L13" i="2"/>
  <c r="T53" i="2"/>
  <c r="AB55" i="2"/>
  <c r="AJ71" i="2"/>
  <c r="E36" i="2"/>
  <c r="AK35" i="2"/>
  <c r="AI27" i="2"/>
  <c r="U13" i="2"/>
  <c r="P52" i="2"/>
  <c r="AJ44" i="2"/>
  <c r="W59" i="2"/>
  <c r="AD33" i="2"/>
  <c r="Z25" i="2"/>
  <c r="AK57" i="2"/>
  <c r="AG33" i="2"/>
  <c r="I69" i="2"/>
  <c r="AB42" i="2"/>
  <c r="J17" i="2"/>
  <c r="AE40" i="2"/>
  <c r="G56" i="2"/>
  <c r="T58" i="2"/>
  <c r="AK34" i="2"/>
  <c r="S13" i="2"/>
  <c r="J8" i="2"/>
  <c r="U32" i="2"/>
  <c r="AA48" i="2"/>
  <c r="AK49" i="2"/>
  <c r="C44" i="2"/>
  <c r="AK40" i="2"/>
  <c r="R46" i="2"/>
  <c r="AE64" i="2"/>
  <c r="V39" i="2"/>
  <c r="AG56" i="2"/>
  <c r="Z54" i="2"/>
  <c r="U8" i="2"/>
  <c r="AK44" i="2"/>
  <c r="AI13" i="2"/>
  <c r="W20" i="2"/>
  <c r="D45" i="2"/>
  <c r="R38" i="2"/>
  <c r="AA25" i="2"/>
  <c r="Y22" i="2"/>
  <c r="J53" i="2"/>
  <c r="H12" i="2"/>
  <c r="K24" i="2"/>
  <c r="I54" i="2"/>
  <c r="AI52" i="2"/>
  <c r="H47" i="2"/>
  <c r="B60" i="2"/>
  <c r="L15" i="2"/>
  <c r="W66" i="2"/>
  <c r="L65" i="2"/>
  <c r="G9" i="2"/>
  <c r="K36" i="2"/>
  <c r="K25" i="2"/>
  <c r="N7" i="2"/>
  <c r="AC20" i="2"/>
  <c r="AL58" i="2"/>
  <c r="Y54" i="2"/>
  <c r="M35" i="2"/>
  <c r="L56" i="2"/>
  <c r="AG43" i="2"/>
  <c r="G32" i="2"/>
  <c r="F64" i="2"/>
  <c r="AG8" i="2"/>
  <c r="L61" i="2"/>
  <c r="AC46" i="2"/>
  <c r="D5" i="2"/>
  <c r="O13" i="2"/>
  <c r="H66" i="2"/>
  <c r="I38" i="2"/>
  <c r="T36" i="2"/>
  <c r="AK31" i="2"/>
  <c r="AL75" i="2"/>
  <c r="B10" i="2"/>
  <c r="AA5" i="2"/>
  <c r="T47" i="2"/>
  <c r="AB56" i="2"/>
  <c r="AA50" i="2"/>
  <c r="C11" i="2"/>
  <c r="AI50" i="2"/>
  <c r="Q44" i="2"/>
  <c r="Y23" i="2"/>
  <c r="AA67" i="2"/>
  <c r="AK63" i="2"/>
  <c r="AE18" i="2"/>
  <c r="P28" i="2"/>
  <c r="N53" i="2"/>
  <c r="L60" i="2"/>
  <c r="D24" i="2"/>
  <c r="S25" i="2"/>
  <c r="I21" i="2"/>
  <c r="H69" i="2"/>
  <c r="AC43" i="2"/>
  <c r="J56" i="2"/>
  <c r="X37" i="2"/>
  <c r="H28" i="2"/>
  <c r="AD61" i="2"/>
  <c r="U34" i="2"/>
  <c r="AA45" i="2"/>
  <c r="AJ18" i="2"/>
  <c r="J46" i="2"/>
  <c r="C27" i="2"/>
  <c r="S45" i="2"/>
  <c r="Q47" i="2"/>
  <c r="R21" i="2"/>
  <c r="B61" i="2"/>
  <c r="C51" i="2"/>
  <c r="AK24" i="2"/>
  <c r="Y9" i="2"/>
  <c r="AE7" i="2"/>
  <c r="P27" i="2"/>
  <c r="AL32" i="2"/>
  <c r="AA41" i="2"/>
  <c r="M50" i="2"/>
  <c r="G43" i="2"/>
  <c r="W67" i="2"/>
  <c r="K41" i="2"/>
  <c r="P45" i="2"/>
  <c r="AB24" i="2"/>
  <c r="AG16" i="2"/>
  <c r="D42" i="2"/>
  <c r="AI57" i="2"/>
  <c r="X46" i="2"/>
  <c r="AH33" i="2"/>
  <c r="C41" i="2"/>
  <c r="C63" i="2"/>
  <c r="G33" i="2"/>
  <c r="W14" i="2"/>
  <c r="Y19" i="2"/>
  <c r="U59" i="2"/>
  <c r="M28" i="2"/>
  <c r="I5" i="2"/>
  <c r="AB25" i="2"/>
  <c r="I63" i="2"/>
  <c r="AE59" i="2"/>
  <c r="AI36" i="2"/>
  <c r="K57" i="2"/>
  <c r="R19" i="2"/>
  <c r="X36" i="2"/>
  <c r="AG65" i="2"/>
  <c r="I15" i="2"/>
  <c r="AF55" i="2"/>
  <c r="AF63" i="2"/>
  <c r="AH8" i="2"/>
  <c r="E37" i="2"/>
  <c r="N32" i="2"/>
  <c r="AL68" i="2"/>
  <c r="AE6" i="2"/>
  <c r="C7" i="2"/>
  <c r="F12" i="2"/>
  <c r="AC31" i="2"/>
  <c r="B63" i="2"/>
  <c r="W54" i="2"/>
  <c r="W55" i="2"/>
  <c r="AA9" i="2"/>
  <c r="R58" i="2"/>
  <c r="K42" i="2"/>
  <c r="D22" i="2"/>
  <c r="AI9" i="2"/>
  <c r="J28" i="2"/>
  <c r="R40" i="2"/>
  <c r="R22" i="2"/>
  <c r="N41" i="2"/>
  <c r="AI39" i="2"/>
  <c r="W35" i="2"/>
  <c r="AH27" i="2"/>
  <c r="J61" i="2"/>
  <c r="B43" i="2"/>
  <c r="N47" i="2"/>
  <c r="AD49" i="2"/>
  <c r="AH34" i="2"/>
  <c r="C12" i="2"/>
  <c r="F38" i="2"/>
  <c r="E22" i="2"/>
  <c r="G51" i="2"/>
  <c r="Z17" i="2"/>
  <c r="J50" i="2"/>
  <c r="C54" i="2"/>
  <c r="AC29" i="2"/>
  <c r="P39" i="2"/>
  <c r="E60" i="2"/>
  <c r="S6" i="2"/>
  <c r="H67" i="2"/>
  <c r="K34" i="2"/>
  <c r="D33" i="2"/>
  <c r="N33" i="2"/>
  <c r="P41" i="2"/>
  <c r="W45" i="2"/>
  <c r="V55" i="2"/>
  <c r="AL28" i="2"/>
  <c r="N43" i="2"/>
  <c r="E7" i="2"/>
  <c r="W53" i="2"/>
  <c r="F70" i="2"/>
  <c r="F11" i="2"/>
  <c r="AC68" i="2"/>
  <c r="AA12" i="2"/>
  <c r="AB7" i="2"/>
  <c r="J36" i="2"/>
  <c r="AA15" i="2"/>
  <c r="E14" i="2"/>
  <c r="M57" i="2"/>
  <c r="Z45" i="2"/>
  <c r="K19" i="21"/>
  <c r="AJ31" i="2"/>
  <c r="O69" i="2"/>
  <c r="X68" i="2"/>
  <c r="K30" i="2"/>
  <c r="AB72" i="2"/>
  <c r="AF73" i="2"/>
  <c r="AK9" i="2"/>
  <c r="M5" i="2"/>
  <c r="M69" i="2"/>
  <c r="AJ49" i="2"/>
  <c r="G19" i="2"/>
  <c r="F14" i="2"/>
  <c r="U54" i="2"/>
  <c r="AK16" i="2"/>
  <c r="V25" i="2"/>
  <c r="P17" i="2"/>
  <c r="AC7" i="2"/>
  <c r="R28" i="2"/>
  <c r="L32" i="2"/>
  <c r="D53" i="2"/>
  <c r="AL52" i="2"/>
  <c r="AA53" i="2"/>
  <c r="F56" i="2"/>
  <c r="T22" i="2"/>
  <c r="AC38" i="2"/>
  <c r="AI18" i="2"/>
  <c r="N18" i="2"/>
  <c r="AC22" i="2"/>
  <c r="Z10" i="2"/>
  <c r="W9" i="2"/>
  <c r="P49" i="2"/>
  <c r="Z64" i="2"/>
  <c r="J63" i="2"/>
  <c r="AH71" i="2"/>
  <c r="V50" i="2"/>
  <c r="K46" i="2"/>
  <c r="AJ50" i="2"/>
  <c r="AH36" i="2"/>
  <c r="F68" i="2"/>
  <c r="AH69" i="2"/>
  <c r="AC15" i="2"/>
  <c r="V17" i="2"/>
  <c r="AC34" i="2"/>
  <c r="T16" i="2"/>
  <c r="AB17" i="2"/>
  <c r="AA13" i="2"/>
  <c r="D49" i="2"/>
  <c r="L63" i="2"/>
  <c r="Z66" i="2"/>
  <c r="AK28" i="2"/>
  <c r="F53" i="2"/>
  <c r="AJ47" i="2"/>
  <c r="V49" i="2"/>
  <c r="AG19" i="2"/>
  <c r="C23" i="2"/>
  <c r="AG10" i="2"/>
  <c r="U52" i="2"/>
  <c r="V10" i="2"/>
  <c r="F32" i="2"/>
  <c r="G37" i="2"/>
  <c r="M70" i="2"/>
  <c r="AG58" i="2"/>
  <c r="AF33" i="2"/>
  <c r="V61" i="2"/>
  <c r="I45" i="2"/>
  <c r="AL36" i="2"/>
  <c r="K5" i="2"/>
  <c r="S36" i="2"/>
  <c r="AE14" i="2"/>
  <c r="Z49" i="2"/>
  <c r="N26" i="2"/>
  <c r="F26" i="2"/>
  <c r="B30" i="2"/>
  <c r="U16" i="2"/>
  <c r="H7" i="2"/>
  <c r="H55" i="2"/>
  <c r="AH75" i="2"/>
  <c r="N14" i="2"/>
  <c r="Z47" i="2"/>
  <c r="L53" i="2"/>
  <c r="Z18" i="2"/>
  <c r="F60" i="2"/>
  <c r="T37" i="2"/>
  <c r="P35" i="2"/>
  <c r="E56" i="2"/>
  <c r="D46" i="2"/>
  <c r="AK58" i="2"/>
  <c r="D60" i="2"/>
  <c r="AC58" i="2"/>
  <c r="W8" i="2"/>
  <c r="D11" i="2"/>
  <c r="U26" i="2"/>
  <c r="Q70" i="2"/>
  <c r="AL65" i="2"/>
  <c r="D66" i="2"/>
  <c r="W56" i="2"/>
  <c r="AA59" i="2"/>
  <c r="V6" i="2"/>
  <c r="G10" i="2"/>
  <c r="J45" i="2"/>
  <c r="O19" i="2"/>
  <c r="L20" i="2"/>
  <c r="F30" i="2"/>
  <c r="Y49" i="2"/>
  <c r="AG22" i="2"/>
  <c r="H61" i="2"/>
  <c r="Y47" i="2"/>
  <c r="AJ5" i="2"/>
  <c r="C40" i="2"/>
  <c r="F34" i="2"/>
  <c r="AE39" i="2"/>
  <c r="AG74" i="2"/>
  <c r="AD26" i="2"/>
  <c r="S66" i="2"/>
  <c r="Q37" i="2"/>
  <c r="AE30" i="2"/>
  <c r="AJ7" i="2"/>
  <c r="AD74" i="2"/>
  <c r="AJ60" i="2"/>
  <c r="N59" i="2"/>
  <c r="T33" i="2"/>
  <c r="P38" i="2"/>
  <c r="AF50" i="2"/>
  <c r="H13" i="2"/>
  <c r="Z40" i="2"/>
  <c r="L59" i="2"/>
  <c r="AD66" i="2"/>
  <c r="AH28" i="2"/>
  <c r="AI23" i="2"/>
  <c r="AG14" i="2"/>
  <c r="S44" i="2"/>
  <c r="Y56" i="2"/>
  <c r="AF19" i="2"/>
  <c r="AK67" i="2"/>
  <c r="I68" i="2"/>
  <c r="AF11" i="2"/>
  <c r="D21" i="2"/>
  <c r="G45" i="2"/>
  <c r="E17" i="2"/>
  <c r="I7" i="2"/>
  <c r="X15" i="2"/>
  <c r="AJ55" i="2"/>
  <c r="S67" i="2"/>
  <c r="AJ72" i="2"/>
  <c r="AJ25" i="2"/>
  <c r="AI69" i="2"/>
  <c r="D52" i="2"/>
  <c r="AB47" i="2"/>
  <c r="F49" i="2"/>
  <c r="B44" i="2"/>
  <c r="G50" i="2"/>
  <c r="W48" i="2"/>
  <c r="S52" i="2"/>
  <c r="Q58" i="2"/>
  <c r="I25" i="2"/>
  <c r="AH45" i="2"/>
  <c r="W51" i="2"/>
  <c r="D31" i="2"/>
  <c r="AA34" i="2"/>
  <c r="P55" i="2"/>
  <c r="AJ9" i="2"/>
  <c r="W46" i="2"/>
  <c r="B26" i="2"/>
  <c r="AL50" i="2"/>
  <c r="AD54" i="2"/>
  <c r="AH40" i="2"/>
  <c r="AD13" i="2"/>
  <c r="AK75" i="2"/>
  <c r="Q16" i="2"/>
  <c r="AG28" i="2"/>
  <c r="L62" i="2"/>
  <c r="AD22" i="2"/>
  <c r="L18" i="2"/>
  <c r="AC13" i="2"/>
  <c r="AD42" i="2"/>
  <c r="AJ67" i="2"/>
  <c r="W62" i="2"/>
  <c r="R16" i="2"/>
  <c r="AE49" i="2"/>
  <c r="AL43" i="2"/>
  <c r="X29" i="2"/>
  <c r="T68" i="2"/>
  <c r="E43" i="2"/>
  <c r="AI26" i="2"/>
  <c r="AA6" i="2"/>
  <c r="AI14" i="2"/>
  <c r="AB32" i="2"/>
  <c r="R61" i="2"/>
  <c r="Q22" i="2"/>
  <c r="F59" i="2"/>
  <c r="AH18" i="2"/>
  <c r="R69" i="2"/>
  <c r="X58" i="2"/>
  <c r="S40" i="2"/>
  <c r="AD72" i="2"/>
  <c r="AJ8" i="2"/>
  <c r="K53" i="2"/>
  <c r="C13" i="2"/>
  <c r="AK23" i="2"/>
  <c r="X12" i="2"/>
  <c r="G8" i="2"/>
  <c r="AJ13" i="2"/>
  <c r="AD40" i="2"/>
  <c r="AK51" i="2"/>
  <c r="S14" i="2"/>
  <c r="AB35" i="2"/>
  <c r="V31" i="2"/>
  <c r="J58" i="2"/>
  <c r="V28" i="2"/>
  <c r="J47" i="2"/>
  <c r="B32" i="2"/>
  <c r="AE65" i="2"/>
  <c r="AK21" i="2"/>
  <c r="K67" i="2"/>
  <c r="AE25" i="2"/>
  <c r="Z15" i="2"/>
  <c r="K32" i="2"/>
  <c r="H52" i="2"/>
  <c r="Y32" i="2"/>
  <c r="AJ74" i="2"/>
  <c r="AA38" i="2"/>
  <c r="AK15" i="2"/>
  <c r="R43" i="2"/>
  <c r="Z35" i="2"/>
  <c r="AC16" i="2"/>
  <c r="V67" i="2"/>
  <c r="D47" i="2"/>
  <c r="V64" i="2"/>
  <c r="AD39" i="2"/>
  <c r="AC60" i="2"/>
  <c r="B35" i="2"/>
  <c r="AD12" i="2"/>
  <c r="P8" i="2"/>
  <c r="AD34" i="2"/>
  <c r="W7" i="2"/>
  <c r="H70" i="2"/>
  <c r="U35" i="2"/>
  <c r="P29" i="2"/>
  <c r="I49" i="2"/>
  <c r="S39" i="2"/>
  <c r="W18" i="2"/>
  <c r="S60" i="2"/>
  <c r="M42" i="2"/>
  <c r="T26" i="2"/>
  <c r="AK72" i="2"/>
  <c r="V26" i="2"/>
  <c r="AD9" i="2"/>
  <c r="AB30" i="2"/>
  <c r="AA14" i="2"/>
  <c r="AJ66" i="2"/>
  <c r="K13" i="21"/>
  <c r="H53" i="2"/>
  <c r="R6" i="2"/>
  <c r="I43" i="2"/>
  <c r="T5" i="2"/>
  <c r="S24" i="2"/>
  <c r="AJ37" i="2"/>
  <c r="L52" i="2"/>
  <c r="U43" i="2"/>
  <c r="Z52" i="2"/>
  <c r="R50" i="2"/>
  <c r="Z51" i="2"/>
  <c r="C61" i="2"/>
  <c r="AA17" i="2"/>
  <c r="G29" i="2"/>
  <c r="AA27" i="2"/>
  <c r="AA65" i="2"/>
  <c r="Z44" i="2"/>
  <c r="U53" i="2"/>
  <c r="R41" i="2"/>
  <c r="AA63" i="2"/>
  <c r="Q52" i="2"/>
  <c r="X17" i="2"/>
  <c r="AH74" i="2"/>
  <c r="K33" i="2"/>
  <c r="Q55" i="2"/>
  <c r="H30" i="2"/>
  <c r="U37" i="2"/>
  <c r="C45" i="2"/>
  <c r="X39" i="2"/>
  <c r="D43" i="2"/>
  <c r="D58" i="2"/>
  <c r="U58" i="2"/>
  <c r="AE28" i="2"/>
  <c r="B69" i="2"/>
  <c r="AF8" i="2"/>
  <c r="B11" i="2"/>
  <c r="E18" i="2"/>
  <c r="T57" i="2"/>
  <c r="I29" i="2"/>
  <c r="Y27" i="2"/>
  <c r="C56" i="2"/>
  <c r="X59" i="2"/>
  <c r="L50" i="2"/>
  <c r="H39" i="2"/>
  <c r="AA72" i="2"/>
  <c r="AL30" i="2"/>
  <c r="W40" i="2"/>
  <c r="AB49" i="2"/>
  <c r="O12" i="2"/>
  <c r="M15" i="2"/>
  <c r="AC37" i="2"/>
  <c r="AD46" i="2"/>
  <c r="Z41" i="2"/>
  <c r="AF14" i="2"/>
  <c r="E51" i="2"/>
  <c r="N27" i="2"/>
  <c r="AG61" i="2"/>
  <c r="G61" i="2"/>
  <c r="AF20" i="2"/>
  <c r="D62" i="2"/>
  <c r="N63" i="2"/>
  <c r="AG30" i="2"/>
  <c r="J65" i="2"/>
  <c r="H17" i="2"/>
  <c r="AK48" i="2"/>
  <c r="H46" i="2"/>
  <c r="U38" i="2"/>
  <c r="O43" i="2"/>
  <c r="M53" i="2"/>
  <c r="K37" i="2"/>
  <c r="AF9" i="2"/>
  <c r="AA36" i="2"/>
  <c r="K21" i="2"/>
  <c r="G42" i="2"/>
  <c r="E34" i="2"/>
  <c r="C14" i="2"/>
  <c r="AA11" i="2"/>
  <c r="C29" i="2"/>
  <c r="Z58" i="2"/>
  <c r="C55" i="2"/>
  <c r="I36" i="2"/>
  <c r="AA54" i="2"/>
  <c r="J25" i="2"/>
  <c r="K10" i="2"/>
  <c r="Q27" i="2"/>
  <c r="F18" i="2"/>
  <c r="AD71" i="2"/>
  <c r="AK42" i="2"/>
  <c r="AI75" i="2"/>
  <c r="AA66" i="2"/>
  <c r="L37" i="2"/>
  <c r="L39" i="2"/>
  <c r="AK36" i="2"/>
  <c r="M48" i="2"/>
  <c r="AE10" i="2"/>
  <c r="AL24" i="2"/>
  <c r="Y13" i="2"/>
  <c r="AJ68" i="2"/>
  <c r="S43" i="2"/>
  <c r="P64" i="2"/>
  <c r="AI16" i="2"/>
  <c r="J52" i="2"/>
  <c r="R13" i="2"/>
  <c r="O37" i="2"/>
  <c r="AL51" i="2"/>
  <c r="Z9" i="2"/>
  <c r="C35" i="2"/>
  <c r="L24" i="2"/>
  <c r="AH16" i="2"/>
  <c r="T23" i="2"/>
  <c r="AA23" i="2"/>
  <c r="V21" i="2"/>
  <c r="D20" i="2"/>
  <c r="AB14" i="2"/>
  <c r="U20" i="2"/>
  <c r="AA8" i="2"/>
  <c r="Y28" i="2"/>
  <c r="P53" i="2"/>
  <c r="W30" i="2"/>
  <c r="T21" i="2"/>
  <c r="AA61" i="2"/>
  <c r="U24" i="2"/>
  <c r="AE27" i="2"/>
  <c r="AA39" i="2"/>
  <c r="AK37" i="2"/>
  <c r="K12" i="21"/>
  <c r="X62" i="2"/>
  <c r="S41" i="2"/>
  <c r="L30" i="2"/>
  <c r="G62" i="2"/>
  <c r="M14" i="2"/>
  <c r="AE42" i="2"/>
  <c r="C57" i="2"/>
  <c r="H56" i="2"/>
  <c r="Q19" i="2"/>
  <c r="AD47" i="2"/>
  <c r="S8" i="2"/>
  <c r="M64" i="2"/>
  <c r="M7" i="2"/>
  <c r="L6" i="2"/>
  <c r="AE26" i="2"/>
  <c r="AB51" i="2"/>
  <c r="O55" i="2"/>
  <c r="AG41" i="2"/>
  <c r="AA42" i="2"/>
  <c r="AE44" i="2"/>
  <c r="H42" i="2"/>
  <c r="H58" i="2"/>
  <c r="Y50" i="2"/>
  <c r="AA64" i="2"/>
  <c r="N37" i="2"/>
  <c r="V57" i="2"/>
  <c r="AG38" i="2"/>
  <c r="B49" i="2"/>
  <c r="M59" i="2"/>
  <c r="R44" i="2"/>
  <c r="T56" i="2"/>
  <c r="M36" i="2"/>
  <c r="O23" i="2"/>
  <c r="U45" i="2"/>
  <c r="P60" i="2"/>
  <c r="AC9" i="2"/>
  <c r="T28" i="2"/>
  <c r="L21" i="2"/>
  <c r="C60" i="2"/>
  <c r="AK10" i="2"/>
  <c r="AB23" i="2"/>
  <c r="AA58" i="2"/>
  <c r="L23" i="2"/>
  <c r="W28" i="2"/>
  <c r="AE45" i="2"/>
  <c r="AD30" i="2"/>
  <c r="H27" i="2"/>
  <c r="V68" i="2"/>
  <c r="AA68" i="2"/>
  <c r="L43" i="2"/>
  <c r="E19" i="2"/>
  <c r="AD62" i="2"/>
  <c r="Y48" i="2"/>
  <c r="X40" i="2"/>
  <c r="AJ27" i="2"/>
  <c r="G59" i="2"/>
  <c r="AA22" i="2"/>
  <c r="V12" i="2"/>
  <c r="AF57" i="2"/>
  <c r="E35" i="2"/>
  <c r="AK74" i="2"/>
  <c r="D29" i="2"/>
  <c r="N9" i="2"/>
  <c r="AD37" i="2"/>
  <c r="J66" i="2"/>
  <c r="E29" i="2"/>
  <c r="S16" i="2"/>
  <c r="U30" i="2"/>
  <c r="C38" i="2"/>
  <c r="H33" i="2"/>
  <c r="X65" i="2"/>
  <c r="AA49" i="2"/>
  <c r="K56" i="2"/>
  <c r="H11" i="2"/>
  <c r="G54" i="2"/>
  <c r="AJ48" i="2"/>
  <c r="E54" i="2"/>
  <c r="AD21" i="2"/>
  <c r="Z71" i="2"/>
  <c r="AA56" i="2"/>
  <c r="O53" i="2"/>
  <c r="G52" i="2"/>
  <c r="AC57" i="2"/>
  <c r="F41" i="2"/>
  <c r="R64" i="2"/>
  <c r="J30" i="2"/>
  <c r="O20" i="2"/>
  <c r="AL31" i="2"/>
  <c r="R70" i="2"/>
  <c r="AK73" i="2"/>
  <c r="E30" i="2"/>
  <c r="D63" i="2"/>
  <c r="K39" i="2"/>
  <c r="R24" i="2"/>
  <c r="P24" i="2"/>
  <c r="J55" i="2"/>
  <c r="W65" i="2"/>
  <c r="C52" i="2"/>
  <c r="D34" i="2"/>
  <c r="AC11" i="2"/>
  <c r="AI73" i="2"/>
  <c r="K8" i="21"/>
  <c r="AG44" i="2"/>
  <c r="N44" i="2"/>
  <c r="S26" i="2"/>
  <c r="C70" i="2"/>
  <c r="M43" i="2"/>
  <c r="M38" i="2"/>
  <c r="AB50" i="2"/>
  <c r="AE72" i="2"/>
  <c r="AL57" i="2"/>
  <c r="K38" i="2"/>
  <c r="R30" i="2"/>
  <c r="U49" i="2"/>
  <c r="AA33" i="2"/>
  <c r="Z7" i="2"/>
  <c r="AG7" i="2"/>
  <c r="AF17" i="2"/>
  <c r="AD23" i="2"/>
  <c r="AJ70" i="2"/>
  <c r="AD55" i="2"/>
  <c r="Z21" i="2"/>
  <c r="N23" i="2"/>
  <c r="AB70" i="2"/>
  <c r="AA35" i="2"/>
  <c r="N16" i="2"/>
  <c r="C9" i="2"/>
  <c r="AD51" i="2"/>
  <c r="W16" i="2"/>
  <c r="T6" i="2"/>
  <c r="V27" i="2"/>
  <c r="V5" i="2"/>
  <c r="D8" i="2"/>
  <c r="AD59" i="2"/>
  <c r="F63" i="2"/>
  <c r="S19" i="2"/>
  <c r="AH47" i="2"/>
  <c r="R11" i="2"/>
  <c r="R52" i="2"/>
  <c r="H45" i="2"/>
  <c r="V22" i="2"/>
  <c r="T34" i="2"/>
  <c r="E6" i="2"/>
  <c r="AG18" i="2"/>
  <c r="G16" i="2"/>
  <c r="J15" i="21"/>
  <c r="AB20" i="2"/>
  <c r="B21" i="2"/>
  <c r="AL63" i="2"/>
  <c r="AE23" i="2"/>
  <c r="AC51" i="2"/>
  <c r="AJ10" i="2"/>
  <c r="AH44" i="2"/>
  <c r="W22" i="2"/>
  <c r="AI56" i="2"/>
  <c r="X61" i="2"/>
  <c r="AE67" i="2"/>
  <c r="H40" i="2"/>
  <c r="Y26" i="2"/>
  <c r="E9" i="2"/>
  <c r="AD38" i="2"/>
  <c r="AF49" i="2"/>
  <c r="AK59" i="2"/>
  <c r="AJ17" i="2"/>
  <c r="V58" i="2"/>
  <c r="AG69" i="2"/>
  <c r="Z39" i="2"/>
  <c r="AA60" i="2"/>
  <c r="AI37" i="2"/>
  <c r="AJ43" i="2"/>
  <c r="AH56" i="2"/>
  <c r="AA70" i="2"/>
  <c r="R53" i="2"/>
  <c r="M8" i="2"/>
  <c r="C31" i="2"/>
  <c r="AF65" i="2"/>
  <c r="Y14" i="2"/>
  <c r="H10" i="2"/>
  <c r="S35" i="2"/>
  <c r="F39" i="2"/>
  <c r="AL49" i="2"/>
  <c r="V19" i="2"/>
  <c r="AH22" i="2"/>
  <c r="L68" i="2"/>
  <c r="F9" i="2"/>
  <c r="AH66" i="2"/>
  <c r="P18" i="2"/>
  <c r="AJ30" i="2"/>
  <c r="F69" i="2"/>
  <c r="AL10" i="2"/>
  <c r="AC65" i="2"/>
  <c r="AD70" i="2"/>
  <c r="U33" i="2"/>
  <c r="AC69" i="2"/>
  <c r="J10" i="2"/>
  <c r="AD25" i="2"/>
  <c r="V44" i="2"/>
  <c r="P51" i="2"/>
  <c r="AJ61" i="2"/>
  <c r="N35" i="2"/>
  <c r="AB36" i="2"/>
  <c r="O7" i="2"/>
  <c r="V54" i="2"/>
  <c r="R32" i="2"/>
  <c r="Z60" i="2"/>
  <c r="G48" i="2"/>
  <c r="AB10" i="2"/>
  <c r="K6" i="2"/>
  <c r="Z23" i="2"/>
  <c r="F50" i="2"/>
  <c r="AK43" i="2"/>
  <c r="H8" i="2"/>
  <c r="AF45" i="2"/>
  <c r="AE24" i="2"/>
  <c r="X49" i="2"/>
  <c r="AC75" i="2"/>
  <c r="AE38" i="2"/>
  <c r="AJ28" i="2"/>
  <c r="G28" i="2"/>
  <c r="M60" i="2"/>
  <c r="B46" i="2"/>
  <c r="T67" i="2"/>
  <c r="AL62" i="2"/>
  <c r="I60" i="2"/>
  <c r="AC18" i="2"/>
  <c r="P6" i="2"/>
  <c r="Q29" i="2"/>
  <c r="K50" i="2"/>
  <c r="B62" i="2"/>
  <c r="AJ23" i="2"/>
  <c r="Y17" i="2"/>
  <c r="L10" i="2"/>
  <c r="R35" i="2"/>
  <c r="B47" i="2"/>
  <c r="J14" i="2"/>
  <c r="M26" i="2"/>
  <c r="AC19" i="2"/>
  <c r="L57" i="2"/>
  <c r="B67" i="2"/>
  <c r="U17" i="2"/>
  <c r="W57" i="2"/>
  <c r="K12" i="2"/>
  <c r="AC66" i="2"/>
  <c r="V35" i="2"/>
  <c r="AB27" i="2"/>
  <c r="AJ59" i="2"/>
  <c r="W31" i="2"/>
  <c r="X24" i="2"/>
  <c r="W47" i="2"/>
  <c r="AD68" i="2"/>
  <c r="AJ56" i="2"/>
  <c r="AE16" i="2"/>
  <c r="D13" i="20"/>
  <c r="AC49" i="2"/>
  <c r="S30" i="2"/>
  <c r="V7" i="2"/>
  <c r="S54" i="2"/>
  <c r="K18" i="21"/>
  <c r="AD36" i="2"/>
  <c r="Z33" i="2"/>
  <c r="Z70" i="2"/>
  <c r="G58" i="2"/>
  <c r="L46" i="2"/>
  <c r="V52" i="2"/>
  <c r="M68" i="2"/>
  <c r="H31" i="2"/>
  <c r="I50" i="2"/>
  <c r="U63" i="2"/>
  <c r="L49" i="2"/>
  <c r="F21" i="2"/>
  <c r="N8" i="2"/>
  <c r="AG34" i="2"/>
  <c r="AB38" i="2"/>
  <c r="Z59" i="2"/>
  <c r="AF64" i="2"/>
  <c r="E66" i="2"/>
  <c r="AD44" i="2"/>
  <c r="AC23" i="2"/>
  <c r="Y5" i="2"/>
  <c r="I33" i="2"/>
  <c r="AC35" i="2"/>
  <c r="T8" i="2"/>
  <c r="AG26" i="2"/>
  <c r="AD41" i="2"/>
  <c r="X41" i="2"/>
  <c r="U15" i="2"/>
  <c r="O59" i="2"/>
  <c r="W44" i="2"/>
  <c r="C33" i="2"/>
  <c r="G13" i="2"/>
  <c r="V42" i="2"/>
  <c r="C50" i="2"/>
  <c r="V40" i="2"/>
  <c r="AD27" i="2"/>
  <c r="AC54" i="2"/>
  <c r="AE8" i="2"/>
  <c r="AI25" i="2"/>
  <c r="B29" i="2"/>
  <c r="U39" i="2"/>
  <c r="Y6" i="2"/>
  <c r="H44" i="2"/>
  <c r="L16" i="2"/>
  <c r="E32" i="2"/>
  <c r="I44" i="2"/>
  <c r="P23" i="2"/>
  <c r="B42" i="2"/>
  <c r="AE75" i="2"/>
  <c r="I6" i="2"/>
  <c r="Q8" i="2"/>
  <c r="AF46" i="2"/>
  <c r="AE52" i="2"/>
  <c r="T39" i="2"/>
  <c r="I48" i="2"/>
  <c r="AD60" i="2"/>
  <c r="AG57" i="2"/>
  <c r="Y41" i="2"/>
  <c r="R5" i="2"/>
  <c r="AG67" i="2"/>
  <c r="V70" i="2"/>
  <c r="P16" i="2"/>
  <c r="R54" i="2"/>
  <c r="P58" i="2"/>
  <c r="N55" i="2"/>
  <c r="AD5" i="2"/>
  <c r="D7" i="2"/>
  <c r="Z63" i="2"/>
  <c r="B56" i="2"/>
  <c r="AI38" i="2"/>
  <c r="Z50" i="2"/>
  <c r="F10" i="2"/>
  <c r="U69" i="2"/>
  <c r="C36" i="2"/>
  <c r="F62" i="2"/>
  <c r="AC27" i="2"/>
  <c r="AE62" i="2"/>
  <c r="J15" i="2"/>
  <c r="S37" i="2"/>
  <c r="O18" i="2"/>
  <c r="T12" i="2"/>
  <c r="V66" i="2"/>
  <c r="AL29" i="2"/>
  <c r="B57" i="2"/>
  <c r="AK25" i="2"/>
  <c r="W25" i="2"/>
  <c r="T18" i="2"/>
  <c r="P7" i="2"/>
  <c r="O40" i="2"/>
  <c r="I9" i="2"/>
  <c r="AD58" i="2"/>
  <c r="R14" i="2"/>
  <c r="X60" i="2"/>
  <c r="U11" i="2"/>
  <c r="AG13" i="2"/>
  <c r="I24" i="2"/>
  <c r="AB60" i="2"/>
  <c r="V29" i="2"/>
  <c r="G11" i="2"/>
  <c r="B20" i="2"/>
  <c r="F48" i="2"/>
  <c r="AL39" i="2"/>
  <c r="AB75" i="2"/>
  <c r="AJ6" i="2"/>
  <c r="K47" i="2"/>
  <c r="B55" i="2"/>
  <c r="P48" i="2"/>
  <c r="O22" i="2"/>
  <c r="M27" i="2"/>
  <c r="T35" i="2"/>
  <c r="O63" i="2"/>
  <c r="AC50" i="2"/>
  <c r="V62" i="2"/>
  <c r="R26" i="2"/>
  <c r="AE58" i="2"/>
  <c r="AI20" i="2"/>
  <c r="AF42" i="2"/>
  <c r="AC40" i="2"/>
  <c r="I32" i="2"/>
  <c r="AH31" i="2"/>
  <c r="R17" i="2"/>
  <c r="E31" i="2"/>
  <c r="Y10" i="2"/>
  <c r="B36" i="2"/>
  <c r="AL61" i="2"/>
  <c r="AB28" i="2"/>
  <c r="W32" i="2"/>
  <c r="Q9" i="2"/>
  <c r="AJ34" i="2"/>
  <c r="AF59" i="2"/>
  <c r="J16" i="2"/>
  <c r="Z69" i="2"/>
  <c r="Q18" i="2"/>
  <c r="AD52" i="2"/>
  <c r="AI31" i="2"/>
  <c r="AF51" i="2"/>
  <c r="T14" i="2"/>
  <c r="B41" i="2"/>
  <c r="AB54" i="2"/>
  <c r="X30" i="2"/>
  <c r="Q32" i="2"/>
  <c r="S33" i="2"/>
  <c r="AA69" i="2"/>
  <c r="AE19" i="2"/>
  <c r="U29" i="2"/>
  <c r="M13" i="2"/>
  <c r="J39" i="2"/>
  <c r="O54" i="2"/>
  <c r="I51" i="2"/>
  <c r="AD31" i="2"/>
  <c r="H20" i="2"/>
  <c r="J68" i="2"/>
  <c r="T65" i="2"/>
  <c r="AH14" i="2"/>
  <c r="AG20" i="2"/>
  <c r="E20" i="2"/>
  <c r="AA24" i="2"/>
  <c r="S51" i="2"/>
  <c r="AI32" i="2"/>
  <c r="U19" i="2"/>
  <c r="F47" i="2"/>
  <c r="W21" i="2"/>
  <c r="X64" i="2"/>
  <c r="AK55" i="2"/>
  <c r="L70" i="2"/>
  <c r="AF37" i="2"/>
  <c r="B27" i="2"/>
  <c r="N22" i="2"/>
  <c r="O27" i="2"/>
  <c r="AD67" i="2"/>
  <c r="AA16" i="2"/>
  <c r="AB11" i="2"/>
  <c r="AL40" i="2"/>
  <c r="O15" i="2"/>
  <c r="P62" i="2"/>
  <c r="B24" i="2"/>
  <c r="O52" i="2"/>
  <c r="H50" i="2"/>
  <c r="G38" i="2"/>
  <c r="E5" i="2"/>
  <c r="O24" i="2"/>
  <c r="X47" i="2"/>
  <c r="AL44" i="2"/>
  <c r="N51" i="2"/>
  <c r="N36" i="2"/>
  <c r="F67" i="2"/>
  <c r="S62" i="2"/>
  <c r="AJ65" i="2"/>
  <c r="AC28" i="2"/>
  <c r="R42" i="2"/>
  <c r="AG11" i="2"/>
  <c r="AI34" i="2"/>
  <c r="M17" i="2"/>
  <c r="AL33" i="2"/>
  <c r="P12" i="2"/>
  <c r="AG70" i="2"/>
  <c r="AH72" i="2"/>
  <c r="AF28" i="2"/>
  <c r="S61" i="2"/>
  <c r="S42" i="2"/>
  <c r="N69" i="2"/>
  <c r="X70" i="2"/>
  <c r="L7" i="2"/>
  <c r="G69" i="2"/>
  <c r="U70" i="2"/>
  <c r="E39" i="2"/>
  <c r="G66" i="2"/>
  <c r="Y7" i="2"/>
  <c r="AL27" i="2"/>
  <c r="J69" i="2"/>
  <c r="R60" i="2"/>
  <c r="AF18" i="2"/>
  <c r="C24" i="2"/>
  <c r="M18" i="2"/>
  <c r="D57" i="2"/>
  <c r="L26" i="2"/>
  <c r="N61" i="2"/>
  <c r="AG25" i="2"/>
  <c r="Q30" i="2"/>
  <c r="D9" i="2"/>
  <c r="N39" i="2"/>
  <c r="AG24" i="2"/>
  <c r="L64" i="2"/>
  <c r="U68" i="2"/>
  <c r="O38" i="2"/>
  <c r="F16" i="2"/>
  <c r="AI35" i="2"/>
  <c r="I14" i="2"/>
  <c r="F33" i="2"/>
  <c r="M30" i="2"/>
  <c r="AA47" i="2"/>
  <c r="Q54" i="2"/>
  <c r="AK19" i="2"/>
  <c r="U7" i="2"/>
  <c r="AD64" i="2"/>
  <c r="AC42" i="2"/>
  <c r="V33" i="2"/>
  <c r="P20" i="2"/>
  <c r="Z36" i="2"/>
  <c r="AI47" i="2"/>
  <c r="K16" i="2"/>
  <c r="AB66" i="2"/>
  <c r="O35" i="2"/>
  <c r="M65" i="2"/>
  <c r="M51" i="2"/>
  <c r="K20" i="2"/>
  <c r="X20" i="2"/>
  <c r="J6" i="2"/>
  <c r="J23" i="2"/>
  <c r="Z19" i="2"/>
  <c r="AL72" i="2"/>
  <c r="AG71" i="2"/>
  <c r="P11" i="2"/>
  <c r="Y39" i="2"/>
  <c r="B12" i="2"/>
  <c r="J20" i="2"/>
  <c r="K68" i="2"/>
  <c r="M55" i="2"/>
  <c r="R59" i="2"/>
  <c r="AL12" i="2"/>
  <c r="B33" i="2"/>
  <c r="D70" i="2"/>
  <c r="L33" i="2"/>
  <c r="AH58" i="2"/>
  <c r="X25" i="2"/>
  <c r="AG39" i="2"/>
  <c r="AH12" i="2"/>
  <c r="K69" i="2"/>
  <c r="O33" i="2"/>
  <c r="E16" i="2"/>
  <c r="K70" i="2"/>
  <c r="L22" i="2"/>
  <c r="G6" i="2"/>
  <c r="AA43" i="2"/>
  <c r="AA57" i="2"/>
  <c r="AE60" i="2"/>
  <c r="E23" i="2"/>
  <c r="O31" i="2"/>
  <c r="AK26" i="2"/>
  <c r="P66" i="2"/>
  <c r="AA29" i="2"/>
  <c r="J60" i="2"/>
  <c r="R18" i="2"/>
  <c r="F44" i="2"/>
  <c r="D17" i="2"/>
  <c r="AL13" i="2"/>
  <c r="B64" i="2"/>
  <c r="W24" i="2"/>
  <c r="U48" i="2"/>
  <c r="P15" i="2"/>
  <c r="AB16" i="2"/>
  <c r="Z56" i="2"/>
  <c r="AI43" i="2"/>
  <c r="E70" i="2"/>
  <c r="AJ21" i="2"/>
  <c r="S29" i="2"/>
  <c r="AH64" i="2"/>
  <c r="P61" i="2"/>
  <c r="AD14" i="2"/>
  <c r="Z46" i="2"/>
  <c r="AC41" i="2"/>
  <c r="O6" i="2"/>
  <c r="L48" i="2"/>
  <c r="W5" i="2"/>
  <c r="AI54" i="2"/>
  <c r="D30" i="2"/>
  <c r="P70" i="2"/>
  <c r="AA51" i="2"/>
  <c r="AA26" i="2"/>
  <c r="S57" i="2"/>
  <c r="E11" i="2"/>
  <c r="AG55" i="2"/>
  <c r="AL7" i="2"/>
  <c r="AD73" i="2"/>
  <c r="B2" i="24"/>
  <c r="P25" i="2"/>
  <c r="U62" i="2"/>
  <c r="AK17" i="2"/>
  <c r="AA44" i="2"/>
  <c r="AE31" i="2"/>
  <c r="AL55" i="2"/>
  <c r="V24" i="2"/>
  <c r="AK47" i="2"/>
  <c r="AK38" i="2"/>
  <c r="U60" i="2"/>
  <c r="O62" i="2"/>
  <c r="V41" i="2"/>
  <c r="AA19" i="2"/>
  <c r="B6" i="24"/>
  <c r="J70" i="2"/>
  <c r="K19" i="2"/>
  <c r="U14" i="2"/>
  <c r="AK61" i="2"/>
  <c r="E69" i="2"/>
  <c r="AL11" i="2"/>
  <c r="AJ41" i="2"/>
  <c r="AE71" i="2"/>
  <c r="O28" i="2"/>
  <c r="B54" i="2"/>
  <c r="AF7" i="2"/>
  <c r="I10" i="2"/>
  <c r="AF21" i="2"/>
  <c r="AK46" i="2"/>
  <c r="P47" i="2"/>
  <c r="AC21" i="2"/>
  <c r="AG47" i="2"/>
  <c r="V13" i="2"/>
  <c r="X35" i="2"/>
  <c r="F58" i="2"/>
  <c r="N65" i="2"/>
  <c r="N54" i="2"/>
  <c r="G53" i="2"/>
  <c r="N57" i="2"/>
  <c r="AD18" i="2"/>
  <c r="G41" i="2"/>
  <c r="K48" i="2"/>
  <c r="U47" i="2"/>
  <c r="AI30" i="2"/>
  <c r="L40" i="2"/>
  <c r="K35" i="2"/>
  <c r="AK30" i="2"/>
  <c r="E41" i="2"/>
  <c r="W34" i="2"/>
  <c r="Q46" i="2"/>
  <c r="M47" i="2"/>
  <c r="L51" i="2"/>
  <c r="K15" i="2"/>
  <c r="AD48" i="2"/>
  <c r="G27" i="2"/>
  <c r="Y18" i="2"/>
  <c r="U12" i="2"/>
  <c r="M20" i="2"/>
  <c r="AC33" i="2"/>
  <c r="AF52" i="2"/>
  <c r="H62" i="2"/>
  <c r="Q41" i="2"/>
  <c r="B58" i="2"/>
  <c r="H9" i="2"/>
  <c r="G18" i="2"/>
  <c r="E50" i="2"/>
  <c r="T46" i="2"/>
  <c r="C66" i="2"/>
  <c r="T17" i="2"/>
  <c r="J26" i="2"/>
  <c r="U31" i="2"/>
  <c r="AL37" i="2"/>
  <c r="D16" i="2"/>
  <c r="Y21" i="2"/>
  <c r="V36" i="2"/>
  <c r="F43" i="2"/>
  <c r="I30" i="2"/>
  <c r="AC61" i="2"/>
  <c r="AF10" i="2"/>
  <c r="G12" i="2"/>
  <c r="AF58" i="2"/>
  <c r="X14" i="2"/>
  <c r="D12" i="20"/>
  <c r="W12" i="2"/>
  <c r="AL66" i="2"/>
  <c r="L19" i="2"/>
  <c r="F61" i="2"/>
  <c r="X8" i="2"/>
  <c r="Z67" i="2"/>
  <c r="G70" i="2"/>
  <c r="AE74" i="2"/>
  <c r="O34" i="2"/>
  <c r="J12" i="21"/>
  <c r="AB74" i="2"/>
  <c r="W52" i="2"/>
  <c r="AG29" i="2"/>
  <c r="E15" i="2"/>
  <c r="Z27" i="2"/>
  <c r="C6" i="2"/>
  <c r="B48" i="2"/>
  <c r="F55" i="2"/>
  <c r="R55" i="2"/>
  <c r="R34" i="2"/>
  <c r="W60" i="2"/>
  <c r="M31" i="2"/>
  <c r="V60" i="2"/>
  <c r="L34" i="2"/>
  <c r="AI15" i="2"/>
  <c r="B45" i="2"/>
  <c r="AE34" i="2"/>
  <c r="J8" i="21"/>
  <c r="AB33" i="2"/>
  <c r="X13" i="2"/>
  <c r="AF30" i="2"/>
  <c r="AJ62" i="2"/>
  <c r="O25" i="2"/>
  <c r="Q35" i="2"/>
  <c r="J37" i="2"/>
  <c r="T9" i="2"/>
  <c r="S53" i="2"/>
  <c r="AJ40" i="2"/>
  <c r="AG21" i="2"/>
  <c r="E8" i="2"/>
  <c r="AH38" i="2"/>
  <c r="B28" i="2"/>
  <c r="C28" i="2"/>
  <c r="C53" i="2"/>
  <c r="J48" i="2"/>
  <c r="AI42" i="2"/>
  <c r="Z31" i="2"/>
  <c r="AD35" i="2"/>
  <c r="K11" i="2"/>
  <c r="G63" i="2"/>
  <c r="J16" i="21"/>
  <c r="AI5" i="2"/>
  <c r="I11" i="2"/>
  <c r="T40" i="2"/>
  <c r="AE9" i="2"/>
  <c r="AL67" i="2"/>
  <c r="I42" i="2"/>
  <c r="J40" i="2"/>
  <c r="Q57" i="2"/>
  <c r="Q56" i="2"/>
  <c r="H24" i="2"/>
  <c r="I53" i="2"/>
  <c r="AH20" i="2"/>
  <c r="B9" i="2"/>
  <c r="AI61" i="2"/>
  <c r="R68" i="2"/>
  <c r="Q31" i="2"/>
  <c r="AJ33" i="2"/>
  <c r="T43" i="2"/>
  <c r="O41" i="2"/>
  <c r="N68" i="2"/>
  <c r="X10" i="2"/>
  <c r="AL60" i="2"/>
  <c r="Z5" i="2"/>
  <c r="D9" i="20"/>
  <c r="T48" i="2"/>
  <c r="E52" i="2"/>
  <c r="AI49" i="2"/>
  <c r="AB15" i="2"/>
  <c r="I58" i="2"/>
  <c r="N25" i="2"/>
  <c r="AC63" i="2"/>
  <c r="V59" i="2"/>
  <c r="AI28" i="2"/>
  <c r="T60" i="2"/>
  <c r="AL15" i="2"/>
  <c r="AE13" i="2"/>
  <c r="B6" i="2"/>
  <c r="AF43" i="2"/>
  <c r="AI74" i="2"/>
  <c r="S17" i="2"/>
  <c r="AF71" i="2"/>
  <c r="X51" i="2"/>
  <c r="V14" i="2"/>
  <c r="P37" i="2"/>
  <c r="L45" i="2"/>
  <c r="C68" i="2"/>
  <c r="AC6" i="2"/>
  <c r="M29" i="2"/>
  <c r="D6" i="2"/>
  <c r="Q51" i="2"/>
  <c r="AC70" i="2"/>
  <c r="M46" i="2"/>
  <c r="D44" i="2"/>
  <c r="Z6" i="2"/>
  <c r="Q40" i="2"/>
  <c r="S32" i="2"/>
  <c r="AH57" i="2"/>
  <c r="B51" i="2"/>
  <c r="B19" i="2"/>
  <c r="Z65" i="2"/>
  <c r="AE12" i="2"/>
  <c r="J11" i="2"/>
  <c r="M21" i="2"/>
  <c r="F20" i="2"/>
  <c r="B70" i="2"/>
  <c r="R12" i="2"/>
  <c r="AB71" i="2"/>
  <c r="T49" i="2"/>
  <c r="AI12" i="2"/>
  <c r="AK18" i="2"/>
  <c r="AH15" i="2"/>
  <c r="F15" i="2"/>
  <c r="E24" i="2"/>
  <c r="T63" i="2"/>
  <c r="AL59" i="2"/>
  <c r="L67" i="2"/>
  <c r="U50" i="2"/>
  <c r="K13" i="2"/>
  <c r="D35" i="2"/>
  <c r="O17" i="2"/>
  <c r="AB26" i="2"/>
  <c r="J18" i="2"/>
  <c r="AK32" i="2"/>
  <c r="Z11" i="2"/>
  <c r="AE47" i="2"/>
  <c r="D12" i="2"/>
  <c r="AH10" i="2"/>
  <c r="J27" i="2"/>
  <c r="AD69" i="2"/>
  <c r="O66" i="2"/>
  <c r="B8" i="2"/>
  <c r="X53" i="2"/>
  <c r="Z53" i="2"/>
  <c r="M10" i="2"/>
  <c r="AE54" i="2"/>
  <c r="AE70" i="2"/>
  <c r="J57" i="2"/>
  <c r="AI10" i="2"/>
  <c r="J42" i="2"/>
  <c r="H38" i="2"/>
  <c r="W10" i="2"/>
  <c r="Y42" i="2"/>
  <c r="T15" i="2"/>
  <c r="AD50" i="2"/>
  <c r="AE20" i="2"/>
  <c r="AH65" i="2"/>
  <c r="C49" i="2"/>
  <c r="AK29" i="2"/>
  <c r="Q69" i="2"/>
  <c r="AC25" i="2"/>
  <c r="O47" i="2"/>
  <c r="AB58" i="2"/>
  <c r="AF61" i="2"/>
  <c r="O68" i="2"/>
  <c r="Y37" i="2"/>
  <c r="E65" i="2"/>
  <c r="AB45" i="2"/>
  <c r="O58" i="2"/>
  <c r="E61" i="2"/>
  <c r="U67" i="2"/>
  <c r="AA18" i="2"/>
  <c r="E42" i="2"/>
  <c r="N66" i="2"/>
  <c r="L38" i="2"/>
  <c r="AL53" i="2"/>
  <c r="L35" i="2"/>
  <c r="T62" i="2"/>
  <c r="Z43" i="2"/>
  <c r="AI53" i="2"/>
  <c r="AL17" i="2"/>
  <c r="J64" i="2"/>
  <c r="N19" i="2"/>
  <c r="AF29" i="2"/>
  <c r="AG54" i="2"/>
  <c r="AL41" i="2"/>
  <c r="S18" i="2"/>
  <c r="L8" i="2"/>
  <c r="O42" i="2"/>
  <c r="C21" i="2"/>
  <c r="Q24" i="2"/>
  <c r="X5" i="2"/>
  <c r="E62" i="2"/>
  <c r="C30" i="2"/>
  <c r="AF56" i="2"/>
  <c r="L36" i="2"/>
  <c r="T7" i="2"/>
  <c r="C26" i="2"/>
  <c r="N20" i="2"/>
  <c r="L66" i="2"/>
  <c r="G20" i="2"/>
  <c r="AL45" i="2"/>
  <c r="U36" i="2"/>
  <c r="AG9" i="2"/>
  <c r="Q5" i="2"/>
  <c r="AH55" i="2"/>
  <c r="F23" i="2"/>
  <c r="N50" i="2"/>
  <c r="AF35" i="2"/>
  <c r="X26" i="2"/>
  <c r="C65" i="2"/>
  <c r="AH53" i="2"/>
  <c r="S23" i="2"/>
  <c r="P36" i="2"/>
  <c r="AC67" i="2"/>
  <c r="K9" i="2"/>
  <c r="X43" i="2"/>
  <c r="G30" i="2"/>
  <c r="F40" i="2"/>
  <c r="AB59" i="2"/>
  <c r="N31" i="2"/>
  <c r="Y31" i="2"/>
  <c r="AK45" i="2"/>
  <c r="H23" i="2"/>
  <c r="C39" i="2"/>
  <c r="O44" i="2"/>
  <c r="N11" i="2"/>
  <c r="AH42" i="2"/>
  <c r="Q14" i="2"/>
  <c r="E57" i="2"/>
  <c r="F65" i="2"/>
  <c r="S11" i="2"/>
  <c r="AB29" i="2"/>
  <c r="X22" i="2"/>
  <c r="AC30" i="2"/>
  <c r="M63" i="2"/>
  <c r="T50" i="2"/>
  <c r="AG45" i="2"/>
  <c r="G49" i="2"/>
  <c r="W69" i="2"/>
  <c r="AF13" i="2"/>
  <c r="AK53" i="2"/>
  <c r="M40" i="2"/>
  <c r="E59" i="2"/>
  <c r="AI72" i="2"/>
  <c r="B25" i="2"/>
  <c r="X27" i="2"/>
  <c r="X7" i="2"/>
  <c r="AK71" i="2"/>
  <c r="AC71" i="2"/>
  <c r="L44" i="2"/>
  <c r="Z14" i="2"/>
  <c r="AG49" i="2"/>
  <c r="AJ19" i="2"/>
  <c r="AL25" i="2"/>
  <c r="AG40" i="2"/>
  <c r="B50" i="2"/>
  <c r="AK56" i="2"/>
  <c r="Z22" i="2"/>
  <c r="AJ45" i="2"/>
  <c r="K27" i="2"/>
  <c r="O9" i="2"/>
  <c r="AB41" i="2"/>
  <c r="AG31" i="2"/>
  <c r="G47" i="2"/>
  <c r="P44" i="2"/>
  <c r="K40" i="2"/>
  <c r="Y55" i="2"/>
  <c r="O29" i="2"/>
  <c r="AC36" i="2"/>
  <c r="N64" i="2"/>
  <c r="AE57" i="2"/>
  <c r="AH23" i="2"/>
  <c r="AC5" i="2"/>
  <c r="I52" i="2"/>
  <c r="AF60" i="2"/>
  <c r="G34" i="2"/>
  <c r="U10" i="2"/>
  <c r="U57" i="2"/>
  <c r="M41" i="2"/>
  <c r="W19" i="2"/>
  <c r="AA46" i="2"/>
  <c r="AG73" i="2"/>
  <c r="AH19" i="2"/>
  <c r="D56" i="2"/>
  <c r="AC47" i="2"/>
  <c r="H59" i="2"/>
  <c r="Q36" i="2"/>
  <c r="AA30" i="2"/>
  <c r="AB34" i="2"/>
  <c r="D48" i="2"/>
  <c r="T42" i="2"/>
  <c r="I20" i="2"/>
  <c r="V30" i="2"/>
  <c r="AG50" i="2"/>
  <c r="I59" i="2"/>
  <c r="M11" i="2"/>
  <c r="W6" i="2"/>
  <c r="AI46" i="2"/>
  <c r="V38" i="2"/>
  <c r="AI41" i="2"/>
  <c r="E53" i="2"/>
  <c r="AG12" i="2"/>
  <c r="O11" i="2"/>
  <c r="AH29" i="2"/>
  <c r="N10" i="2"/>
  <c r="F46" i="2"/>
  <c r="Q60" i="2"/>
  <c r="Q11" i="2"/>
  <c r="C42" i="2"/>
  <c r="U64" i="2"/>
  <c r="I19" i="2"/>
  <c r="S63" i="2"/>
  <c r="AG66" i="2"/>
  <c r="M66" i="2"/>
  <c r="K18" i="2"/>
  <c r="X31" i="2"/>
  <c r="AD65" i="2"/>
  <c r="AH67" i="2"/>
  <c r="AE36" i="2"/>
  <c r="AA52" i="2"/>
  <c r="AC59" i="2"/>
  <c r="AH54" i="2"/>
  <c r="AJ16" i="2"/>
  <c r="C58" i="2"/>
  <c r="L47" i="2"/>
  <c r="H22" i="2"/>
  <c r="AI51" i="2"/>
  <c r="AJ69" i="2"/>
  <c r="P46" i="2"/>
  <c r="G35" i="2"/>
  <c r="T69" i="2"/>
  <c r="M67" i="2"/>
  <c r="R56" i="2"/>
  <c r="F19" i="2"/>
  <c r="T27" i="2"/>
  <c r="J41" i="2"/>
  <c r="AH61" i="2"/>
  <c r="AI59" i="2"/>
  <c r="AI19" i="2"/>
  <c r="U61" i="2"/>
  <c r="AJ39" i="2"/>
  <c r="L28" i="2"/>
  <c r="I56" i="2"/>
  <c r="N28" i="2"/>
  <c r="R45" i="2"/>
  <c r="W11" i="2"/>
  <c r="S68" i="2"/>
  <c r="AA20" i="2"/>
  <c r="AI21" i="2"/>
  <c r="V23" i="2"/>
  <c r="L27" i="2"/>
  <c r="O48" i="2"/>
  <c r="R33" i="2"/>
  <c r="D41" i="2"/>
  <c r="D25" i="2"/>
  <c r="AK54" i="2"/>
  <c r="AE22" i="2"/>
  <c r="G46" i="2"/>
  <c r="I28" i="2"/>
  <c r="AI17" i="2"/>
  <c r="AK70" i="2"/>
  <c r="N38" i="2"/>
  <c r="M44" i="2"/>
  <c r="E47" i="2"/>
  <c r="H37" i="2"/>
  <c r="Z37" i="2"/>
  <c r="AH49" i="2"/>
  <c r="K26" i="2"/>
  <c r="K61" i="2"/>
  <c r="I61" i="2"/>
  <c r="H15" i="2"/>
  <c r="W64" i="2"/>
  <c r="V65" i="2"/>
  <c r="C59" i="2"/>
  <c r="AJ26" i="2"/>
  <c r="Z20" i="2"/>
  <c r="X32" i="2"/>
  <c r="H6" i="2"/>
  <c r="AB57" i="2"/>
  <c r="Z38" i="2"/>
  <c r="AD45" i="2"/>
  <c r="AJ12" i="2"/>
  <c r="F66" i="2"/>
  <c r="AF47" i="2"/>
  <c r="AH48" i="2"/>
  <c r="AL71" i="2"/>
  <c r="P63" i="2"/>
  <c r="V47" i="2"/>
  <c r="W39" i="2"/>
  <c r="T52" i="2"/>
  <c r="F37" i="2"/>
  <c r="J44" i="2"/>
  <c r="Q48" i="2"/>
  <c r="AD20" i="2"/>
  <c r="K7" i="2"/>
  <c r="Y30" i="2"/>
  <c r="AJ73" i="2"/>
  <c r="V16" i="2"/>
  <c r="G5" i="2"/>
  <c r="T31" i="2"/>
  <c r="X28" i="2"/>
  <c r="Y36" i="2"/>
  <c r="C32" i="2"/>
  <c r="W43" i="2"/>
  <c r="AF54" i="2"/>
  <c r="D64" i="2"/>
  <c r="H65" i="2"/>
  <c r="AH39" i="2"/>
  <c r="H64" i="2"/>
  <c r="H54" i="2"/>
  <c r="AD7" i="2"/>
  <c r="L9" i="2"/>
  <c r="AD75" i="2"/>
  <c r="AJ32" i="2"/>
  <c r="Y11" i="2"/>
  <c r="AL21" i="2"/>
  <c r="S38" i="2"/>
  <c r="H57" i="2"/>
  <c r="E40" i="2"/>
  <c r="P21" i="2"/>
  <c r="F35" i="2"/>
  <c r="N62" i="2"/>
  <c r="X55" i="2"/>
  <c r="AC39" i="2"/>
  <c r="AL64" i="2"/>
  <c r="T44" i="2"/>
  <c r="I31" i="2"/>
  <c r="V69" i="2"/>
  <c r="G21" i="2"/>
  <c r="AK5" i="2"/>
  <c r="AC45" i="2"/>
  <c r="O46" i="2"/>
  <c r="U18" i="2"/>
  <c r="AK41" i="2"/>
  <c r="AH26" i="2"/>
  <c r="V51" i="2"/>
  <c r="D13" i="2"/>
  <c r="M9" i="2"/>
  <c r="B34" i="2"/>
  <c r="U25" i="2"/>
  <c r="J34" i="2"/>
  <c r="Q26" i="2"/>
  <c r="AE15" i="2"/>
  <c r="U22" i="2"/>
  <c r="T45" i="2"/>
  <c r="Y44" i="2"/>
  <c r="W27" i="2"/>
  <c r="AD11" i="2"/>
  <c r="C69" i="2"/>
  <c r="E44" i="2"/>
  <c r="I67" i="2"/>
  <c r="J5" i="2"/>
  <c r="M58" i="2"/>
  <c r="M62" i="2"/>
  <c r="AA40" i="2"/>
  <c r="K44" i="2"/>
  <c r="AJ51" i="2"/>
  <c r="Y29" i="2"/>
  <c r="E21" i="2"/>
  <c r="AG72" i="2"/>
  <c r="S70" i="2"/>
  <c r="AI33" i="2"/>
  <c r="AH37" i="2"/>
  <c r="Z16" i="2"/>
  <c r="X9" i="2"/>
  <c r="AB18" i="2"/>
  <c r="J21" i="2"/>
  <c r="P67" i="2"/>
  <c r="AI40" i="2"/>
  <c r="U42" i="2"/>
  <c r="C19" i="2"/>
  <c r="AL38" i="2"/>
  <c r="R66" i="2"/>
  <c r="AD57" i="2"/>
  <c r="AK65" i="2"/>
  <c r="O10" i="2"/>
  <c r="U44" i="2"/>
  <c r="AC26" i="2"/>
  <c r="L12" i="2"/>
  <c r="Q15" i="2"/>
  <c r="O60" i="2"/>
  <c r="K52" i="2"/>
  <c r="I66" i="2"/>
  <c r="B5" i="2"/>
  <c r="I39" i="2"/>
  <c r="F54" i="2"/>
  <c r="Q64" i="2"/>
  <c r="AG37" i="2"/>
  <c r="AG53" i="2"/>
  <c r="J22" i="21"/>
  <c r="U9" i="2"/>
  <c r="AK14" i="2"/>
  <c r="D36" i="2"/>
  <c r="I23" i="2"/>
  <c r="N34" i="2"/>
  <c r="AB19" i="2"/>
  <c r="AI68" i="2"/>
  <c r="AH5" i="2"/>
  <c r="T24" i="2"/>
  <c r="AI24" i="2"/>
  <c r="O67" i="2"/>
  <c r="N70" i="2"/>
  <c r="H25" i="2"/>
  <c r="O8" i="2"/>
  <c r="D28" i="2"/>
  <c r="U46" i="2"/>
  <c r="AB69" i="2"/>
  <c r="Y45" i="2"/>
  <c r="AE5" i="2"/>
  <c r="L31" i="2"/>
  <c r="H18" i="2"/>
  <c r="G26" i="2"/>
  <c r="AJ24" i="2"/>
  <c r="K28" i="2"/>
  <c r="Q20" i="2"/>
  <c r="P9" i="2"/>
  <c r="X50" i="2"/>
  <c r="AJ64" i="2"/>
  <c r="AG48" i="2"/>
  <c r="Y34" i="2"/>
  <c r="W38" i="2"/>
  <c r="M23" i="2"/>
  <c r="AH70" i="2"/>
  <c r="K10" i="21"/>
  <c r="O39" i="2"/>
  <c r="AL74" i="2"/>
  <c r="L29" i="2"/>
  <c r="J31" i="2"/>
  <c r="C48" i="2"/>
  <c r="Z34" i="2"/>
  <c r="B39" i="2"/>
  <c r="E48" i="2"/>
  <c r="Y40" i="2"/>
  <c r="X18" i="2"/>
  <c r="J21" i="21"/>
  <c r="H51" i="2"/>
  <c r="AF5" i="2"/>
  <c r="K15" i="21"/>
  <c r="Q17" i="2"/>
  <c r="AI71" i="2"/>
  <c r="O56" i="2"/>
  <c r="M54" i="2"/>
  <c r="AG17" i="2"/>
  <c r="AI44" i="2"/>
  <c r="D61" i="2"/>
  <c r="AC74" i="2"/>
  <c r="S28" i="2"/>
  <c r="D27" i="2"/>
  <c r="K49" i="2"/>
  <c r="AJ14" i="2"/>
  <c r="T55" i="2"/>
  <c r="M49" i="2"/>
  <c r="AB61" i="2"/>
  <c r="AB40" i="2"/>
  <c r="S15" i="2"/>
  <c r="C22" i="2"/>
  <c r="AE48" i="2"/>
  <c r="F27" i="2"/>
  <c r="D23" i="2"/>
  <c r="AB73" i="2"/>
  <c r="AL35" i="2"/>
  <c r="V45" i="2"/>
  <c r="AC56" i="2"/>
  <c r="C67" i="2"/>
  <c r="AG23" i="2"/>
  <c r="AL20" i="2"/>
  <c r="T64" i="2"/>
  <c r="AF39" i="2"/>
  <c r="S20" i="2"/>
  <c r="AJ38" i="2"/>
  <c r="AE46" i="2"/>
  <c r="AI7" i="2"/>
  <c r="AE50" i="2"/>
  <c r="AC44" i="2"/>
  <c r="O51" i="2"/>
  <c r="W13" i="2"/>
  <c r="H16" i="2"/>
  <c r="W42" i="2"/>
  <c r="F22" i="2"/>
  <c r="F17" i="2"/>
  <c r="N46" i="2"/>
  <c r="I40" i="2"/>
  <c r="J54" i="2"/>
  <c r="N45" i="2"/>
  <c r="K21" i="21"/>
  <c r="K58" i="2"/>
  <c r="AL46" i="2"/>
  <c r="AI29" i="2"/>
  <c r="AI45" i="2"/>
  <c r="O14" i="2"/>
  <c r="P13" i="2"/>
  <c r="C16" i="2"/>
  <c r="G24" i="2"/>
  <c r="AE32" i="2"/>
  <c r="AH43" i="2"/>
  <c r="AH11" i="2"/>
  <c r="H34" i="2"/>
  <c r="G22" i="2"/>
  <c r="Z32" i="2"/>
  <c r="P68" i="2"/>
  <c r="T13" i="2"/>
  <c r="K62" i="2"/>
  <c r="P54" i="2"/>
  <c r="O61" i="2"/>
  <c r="D59" i="2"/>
  <c r="O64" i="2"/>
  <c r="AH52" i="2"/>
  <c r="AL5" i="2"/>
  <c r="AH35" i="2"/>
  <c r="AH63" i="2"/>
  <c r="Q43" i="2"/>
  <c r="U55" i="2"/>
  <c r="J29" i="2"/>
  <c r="AK6" i="2"/>
  <c r="V43" i="2"/>
  <c r="AF16" i="2"/>
  <c r="R23" i="2"/>
  <c r="V63" i="2"/>
  <c r="C47" i="2"/>
  <c r="B59" i="2"/>
  <c r="K65" i="2"/>
  <c r="D68" i="2"/>
  <c r="AC62" i="2"/>
  <c r="T38" i="2"/>
  <c r="AL9" i="2"/>
  <c r="P40" i="2"/>
  <c r="S69" i="2"/>
  <c r="N5" i="2"/>
  <c r="AB21" i="2"/>
  <c r="AI22" i="2"/>
  <c r="P57" i="2"/>
  <c r="O57" i="2"/>
  <c r="P32" i="2"/>
  <c r="AH17" i="2"/>
  <c r="B53" i="2"/>
  <c r="H29" i="2"/>
  <c r="P31" i="2"/>
  <c r="J13" i="2"/>
  <c r="S64" i="2"/>
  <c r="AF66" i="2"/>
  <c r="AH25" i="2"/>
  <c r="AK60" i="2"/>
  <c r="AA21" i="2"/>
  <c r="W29" i="2"/>
  <c r="V15" i="2"/>
  <c r="G60" i="2"/>
  <c r="AI66" i="2"/>
  <c r="U27" i="2"/>
  <c r="AD63" i="2"/>
  <c r="H5" i="2"/>
  <c r="R62" i="2"/>
  <c r="AE41" i="2"/>
  <c r="G25" i="2"/>
  <c r="M16" i="2"/>
  <c r="AB68" i="2"/>
  <c r="AH46" i="2"/>
  <c r="N60" i="2"/>
  <c r="X34" i="2"/>
  <c r="J9" i="2"/>
  <c r="X54" i="2"/>
  <c r="S10" i="2"/>
  <c r="AE51" i="2"/>
  <c r="Q45" i="2"/>
  <c r="V8" i="2"/>
  <c r="AG62" i="2"/>
  <c r="G40" i="2"/>
  <c r="AF25" i="2"/>
  <c r="AG36" i="2"/>
  <c r="X44" i="2"/>
  <c r="AG6" i="2"/>
  <c r="G15" i="2"/>
  <c r="AE66" i="2"/>
  <c r="AF15" i="2"/>
  <c r="P19" i="2"/>
  <c r="H60" i="2"/>
  <c r="O30" i="2"/>
  <c r="H43" i="2"/>
  <c r="L41" i="2"/>
  <c r="S65" i="2"/>
  <c r="AF74" i="2"/>
  <c r="AG5" i="2"/>
  <c r="AK52" i="2"/>
  <c r="AB12" i="2"/>
  <c r="AA10" i="2"/>
  <c r="W61" i="2"/>
  <c r="P26" i="2"/>
  <c r="AH41" i="2"/>
  <c r="M52" i="2"/>
  <c r="T51" i="2"/>
  <c r="Z62" i="2"/>
  <c r="F7" i="2"/>
  <c r="S5" i="2"/>
  <c r="AA31" i="2"/>
  <c r="AK11" i="2"/>
  <c r="AJ46" i="2"/>
  <c r="K54" i="2"/>
  <c r="I13" i="2"/>
  <c r="AC32" i="2"/>
  <c r="AC12" i="2"/>
  <c r="L17" i="2"/>
  <c r="Q53" i="2"/>
  <c r="B16" i="2"/>
  <c r="AF67" i="2"/>
  <c r="M25" i="2"/>
  <c r="I55" i="2"/>
  <c r="B22" i="2"/>
  <c r="AD56" i="2"/>
  <c r="AF68" i="2"/>
  <c r="AI6" i="2"/>
  <c r="AG15" i="2"/>
  <c r="T20" i="2"/>
  <c r="X11" i="2"/>
  <c r="I26" i="2"/>
  <c r="AC72" i="2"/>
  <c r="C25" i="2"/>
  <c r="G64" i="2"/>
  <c r="W49" i="2"/>
  <c r="AF62" i="2"/>
  <c r="P65" i="2"/>
  <c r="AF72" i="2"/>
  <c r="AJ57" i="2"/>
  <c r="AI58" i="2"/>
  <c r="AB48" i="2"/>
  <c r="AG60" i="2"/>
  <c r="Y52" i="2"/>
  <c r="Y51" i="2"/>
  <c r="AA73" i="2"/>
  <c r="AI8" i="2"/>
  <c r="S21" i="2"/>
  <c r="T66" i="2"/>
  <c r="AL6" i="2"/>
  <c r="B52" i="2"/>
  <c r="AE11" i="2"/>
  <c r="N12" i="2"/>
  <c r="W41" i="2"/>
  <c r="AH9" i="2"/>
  <c r="I37" i="2"/>
  <c r="AE17" i="2"/>
  <c r="I35" i="2"/>
  <c r="U51" i="2"/>
  <c r="R15" i="2"/>
  <c r="S22" i="2"/>
  <c r="Z61" i="2"/>
  <c r="AF32" i="2"/>
  <c r="V53" i="2"/>
  <c r="AC73" i="2"/>
  <c r="E46" i="2"/>
  <c r="K23" i="2"/>
  <c r="AK64" i="2"/>
  <c r="D69" i="2"/>
  <c r="L25" i="2"/>
  <c r="AF26" i="2"/>
  <c r="Q28" i="2"/>
  <c r="AB62" i="2"/>
  <c r="AE35" i="2"/>
  <c r="AD28" i="2"/>
  <c r="G55" i="2"/>
  <c r="N6" i="2"/>
  <c r="E27" i="2"/>
  <c r="AL18" i="2"/>
  <c r="T30" i="2"/>
  <c r="J49" i="2"/>
  <c r="R48" i="2"/>
  <c r="Y58" i="2"/>
  <c r="I34" i="2"/>
  <c r="AE61" i="2"/>
  <c r="S7" i="2"/>
  <c r="J7" i="2"/>
  <c r="G23" i="2"/>
  <c r="I47" i="2"/>
  <c r="U40" i="2"/>
  <c r="AA32" i="2"/>
  <c r="T59" i="2"/>
  <c r="AK39" i="2"/>
  <c r="AH60" i="2"/>
  <c r="AA62" i="2"/>
  <c r="W37" i="2"/>
  <c r="F25" i="2"/>
  <c r="D8" i="20"/>
  <c r="D37" i="2"/>
  <c r="AJ52" i="2"/>
  <c r="Z72" i="2"/>
  <c r="AL54" i="2"/>
  <c r="O70" i="2"/>
  <c r="J67" i="2"/>
  <c r="AF6" i="2"/>
  <c r="G14" i="2"/>
  <c r="AB53" i="2"/>
  <c r="F52" i="2"/>
  <c r="H36" i="2"/>
  <c r="AE68" i="2"/>
  <c r="V56" i="2"/>
  <c r="Q6" i="2"/>
  <c r="H35" i="2"/>
  <c r="AC48" i="2"/>
  <c r="AB31" i="2"/>
  <c r="B15" i="2"/>
  <c r="AA71" i="2"/>
  <c r="AD8" i="2"/>
  <c r="Q63" i="2"/>
  <c r="O5" i="2"/>
  <c r="E38" i="2"/>
  <c r="AE21" i="2"/>
  <c r="S50" i="2"/>
  <c r="P50" i="2"/>
  <c r="AI63" i="2"/>
  <c r="Y46" i="2"/>
  <c r="AH51" i="2"/>
  <c r="P69" i="2"/>
  <c r="E58" i="2"/>
  <c r="Y35" i="2"/>
  <c r="M33" i="2"/>
  <c r="X6" i="2"/>
  <c r="N42" i="2"/>
  <c r="B23" i="2"/>
  <c r="AB63" i="2"/>
  <c r="M61" i="2"/>
  <c r="Y57" i="2"/>
  <c r="N49" i="2"/>
  <c r="R9" i="2"/>
  <c r="W68" i="2"/>
  <c r="Q25" i="2"/>
  <c r="AF27" i="2"/>
  <c r="AL47" i="2"/>
  <c r="M37" i="2"/>
  <c r="T19" i="2"/>
  <c r="K66" i="2"/>
  <c r="D11" i="20"/>
  <c r="AF70" i="2"/>
  <c r="R49" i="2"/>
  <c r="X57" i="2"/>
  <c r="J38" i="2"/>
  <c r="M34" i="2"/>
  <c r="F31" i="2"/>
  <c r="D65" i="2"/>
  <c r="E45" i="2"/>
  <c r="AK50" i="2"/>
  <c r="U65" i="2"/>
  <c r="AF23" i="2"/>
  <c r="AH24" i="2"/>
  <c r="P59" i="2"/>
  <c r="H49" i="2"/>
  <c r="S48" i="2"/>
  <c r="I18" i="2"/>
  <c r="T32" i="2"/>
  <c r="P42" i="2"/>
  <c r="J19" i="21"/>
  <c r="AD29" i="2"/>
  <c r="R39" i="2"/>
  <c r="J51" i="2"/>
  <c r="B14" i="2"/>
  <c r="Y12" i="2"/>
  <c r="Q34" i="2"/>
  <c r="M22" i="2"/>
  <c r="N30" i="2"/>
  <c r="N56" i="2"/>
  <c r="AH7" i="2"/>
  <c r="AL42" i="2"/>
  <c r="AJ54" i="2"/>
  <c r="Q12" i="2"/>
  <c r="X45" i="2"/>
  <c r="I22" i="2"/>
  <c r="AH13" i="2"/>
  <c r="AK69" i="2"/>
  <c r="Y16" i="2"/>
  <c r="Q50" i="2"/>
  <c r="Q59" i="2"/>
  <c r="AG59" i="2"/>
  <c r="Z24" i="2"/>
  <c r="AF44" i="2"/>
  <c r="D18" i="2"/>
  <c r="F28" i="2"/>
  <c r="AH6" i="2"/>
  <c r="AF40" i="2"/>
  <c r="X38" i="2"/>
  <c r="T29" i="2"/>
  <c r="Y59" i="2"/>
  <c r="AD24" i="2"/>
  <c r="R57" i="2"/>
  <c r="AB44" i="2"/>
  <c r="X67" i="2"/>
  <c r="H26" i="2"/>
  <c r="Y24" i="2"/>
  <c r="Q42" i="2"/>
  <c r="AJ53" i="2"/>
  <c r="Z68" i="2"/>
  <c r="K29" i="2"/>
  <c r="AJ63" i="2"/>
  <c r="S55" i="2"/>
  <c r="U5" i="2"/>
  <c r="Y25" i="2"/>
  <c r="AH32" i="2"/>
  <c r="B68" i="2"/>
  <c r="Z55" i="2"/>
  <c r="V48" i="2"/>
  <c r="AE53" i="2"/>
  <c r="W70" i="2"/>
  <c r="AA7" i="2"/>
  <c r="J43" i="2"/>
  <c r="E64" i="2"/>
  <c r="I64" i="2"/>
  <c r="AF36" i="2"/>
  <c r="Z48" i="2"/>
  <c r="S9" i="2"/>
  <c r="P30" i="2"/>
  <c r="N58" i="2"/>
  <c r="M6" i="2"/>
  <c r="K43" i="2"/>
  <c r="AD53" i="2"/>
  <c r="F8" i="2"/>
  <c r="Q33" i="2"/>
  <c r="V37" i="2"/>
  <c r="AB65" i="2"/>
  <c r="N17" i="2"/>
  <c r="F42" i="2"/>
  <c r="AI11" i="2"/>
  <c r="O49" i="2"/>
  <c r="AK33" i="2"/>
  <c r="K64" i="2"/>
  <c r="D40" i="2"/>
  <c r="J13" i="21"/>
  <c r="K17" i="2"/>
  <c r="C8" i="2"/>
  <c r="X16" i="2"/>
  <c r="AK62" i="2"/>
  <c r="L11" i="2"/>
  <c r="K55" i="2"/>
  <c r="F5" i="2"/>
  <c r="AE56" i="2"/>
  <c r="J12" i="2"/>
  <c r="P22" i="2"/>
  <c r="P10" i="2"/>
  <c r="D14" i="2"/>
  <c r="G65" i="2"/>
  <c r="AJ22" i="2"/>
  <c r="C10" i="2"/>
  <c r="J33" i="2"/>
  <c r="E25" i="2"/>
  <c r="O21" i="2"/>
  <c r="Q67" i="2"/>
  <c r="X23" i="2"/>
  <c r="C46" i="2"/>
  <c r="X69" i="2"/>
  <c r="Q39" i="2"/>
  <c r="D38" i="2"/>
  <c r="U23" i="2"/>
  <c r="Q7" i="2"/>
  <c r="J10" i="21"/>
  <c r="Y43" i="2"/>
  <c r="I70" i="2"/>
  <c r="N13" i="2"/>
  <c r="AG51" i="2"/>
  <c r="X19" i="2"/>
  <c r="M12" i="2"/>
  <c r="C20" i="2"/>
  <c r="D51" i="2"/>
  <c r="AG27" i="2"/>
  <c r="E63" i="2"/>
  <c r="K60" i="2"/>
  <c r="AK7" i="2"/>
  <c r="L42" i="2"/>
  <c r="W26" i="2"/>
  <c r="AG46" i="2"/>
  <c r="I27" i="2"/>
  <c r="AI60" i="2"/>
  <c r="Y33" i="2"/>
  <c r="D39" i="2"/>
  <c r="B13" i="2"/>
  <c r="S12" i="2"/>
  <c r="U6" i="2"/>
  <c r="AK13" i="2"/>
  <c r="I57" i="2"/>
  <c r="AF24" i="2"/>
  <c r="AF48" i="2"/>
  <c r="S34" i="2"/>
  <c r="K22" i="21"/>
  <c r="R7" i="2"/>
  <c r="W33" i="2"/>
  <c r="Z26" i="2"/>
  <c r="S47" i="2"/>
  <c r="AJ15" i="2"/>
  <c r="N40" i="2"/>
  <c r="AL34" i="2"/>
  <c r="R20" i="2"/>
  <c r="AD6" i="2"/>
  <c r="AE55" i="2"/>
  <c r="L69" i="2"/>
  <c r="U41" i="2"/>
  <c r="E67" i="2"/>
  <c r="AG63" i="2"/>
  <c r="AK12" i="2"/>
  <c r="Q49" i="2"/>
  <c r="AE43" i="2"/>
  <c r="L5" i="2"/>
  <c r="AF31" i="2"/>
  <c r="D15" i="2"/>
  <c r="T54" i="2"/>
  <c r="Y38" i="2"/>
  <c r="W36" i="2"/>
  <c r="T10" i="2"/>
  <c r="U56" i="2"/>
  <c r="X33" i="2"/>
  <c r="Z8" i="2"/>
  <c r="AJ35" i="2"/>
  <c r="E10" i="2"/>
  <c r="B38" i="2"/>
  <c r="J62" i="2"/>
  <c r="W23" i="2"/>
  <c r="AF53" i="2"/>
  <c r="AB52" i="2"/>
  <c r="H14" i="2"/>
  <c r="C17" i="2"/>
  <c r="C15" i="2"/>
  <c r="K22" i="2"/>
  <c r="L14" i="2"/>
  <c r="V18" i="2"/>
  <c r="AH59" i="2"/>
  <c r="Q68" i="2"/>
  <c r="R8" i="2"/>
  <c r="E28" i="2"/>
  <c r="B65" i="2"/>
  <c r="AB9" i="2"/>
  <c r="AH21" i="2"/>
  <c r="Q62" i="2"/>
  <c r="V20" i="2"/>
  <c r="AB13" i="2"/>
  <c r="H19" i="2"/>
  <c r="S31" i="2"/>
  <c r="E49" i="2"/>
  <c r="F13" i="2"/>
  <c r="AA28" i="2"/>
  <c r="J35" i="2"/>
  <c r="N24" i="2"/>
  <c r="Z13" i="2"/>
  <c r="F57" i="2"/>
  <c r="Y15" i="2"/>
  <c r="X21" i="2"/>
  <c r="K59" i="2"/>
  <c r="B17" i="2"/>
  <c r="AE69" i="2"/>
  <c r="J18" i="21"/>
  <c r="J19" i="2"/>
  <c r="J59" i="2"/>
  <c r="AF12" i="2"/>
  <c r="AC24" i="2"/>
  <c r="G67" i="2"/>
  <c r="AL16" i="2"/>
  <c r="AF22" i="2"/>
  <c r="E68" i="2"/>
  <c r="D10" i="20"/>
  <c r="K9" i="21"/>
  <c r="AB67" i="2"/>
  <c r="AL69" i="2"/>
  <c r="V46" i="2"/>
  <c r="AA37" i="2"/>
  <c r="Y8" i="2"/>
  <c r="H48" i="2"/>
  <c r="Z29" i="2"/>
  <c r="H63" i="2"/>
  <c r="T70" i="2"/>
  <c r="R31" i="2"/>
  <c r="AH62" i="2"/>
  <c r="AD15" i="2"/>
  <c r="AL56" i="2"/>
  <c r="AE37" i="2"/>
  <c r="O45" i="2"/>
  <c r="L54" i="2"/>
  <c r="AJ58" i="2"/>
  <c r="S49" i="2"/>
  <c r="AB6" i="2"/>
  <c r="D54" i="2"/>
  <c r="AD43" i="2"/>
  <c r="AC55" i="2"/>
  <c r="F24" i="2"/>
  <c r="T25" i="2"/>
  <c r="K45" i="2"/>
  <c r="D32" i="2"/>
  <c r="N48" i="2"/>
  <c r="X48" i="2"/>
  <c r="AL19" i="2"/>
  <c r="M56" i="2"/>
  <c r="AC17" i="2"/>
  <c r="O50" i="2"/>
  <c r="O26" i="2"/>
  <c r="T41" i="2"/>
  <c r="G36" i="2"/>
  <c r="AK66" i="2"/>
  <c r="G17" i="2"/>
  <c r="C18" i="2"/>
  <c r="O16" i="2"/>
  <c r="R25" i="2"/>
  <c r="B31" i="2"/>
  <c r="G39" i="2"/>
  <c r="J32" i="2"/>
  <c r="AD16" i="2"/>
  <c r="C62" i="2"/>
  <c r="I12" i="2"/>
  <c r="AL23" i="2"/>
  <c r="R51" i="2"/>
  <c r="D14" i="20"/>
  <c r="F6" i="2"/>
  <c r="C64" i="2"/>
  <c r="AE73" i="2"/>
  <c r="O65" i="2"/>
  <c r="X63" i="2"/>
  <c r="AG32" i="2"/>
  <c r="X52" i="2"/>
  <c r="K16" i="21"/>
  <c r="H32" i="2"/>
  <c r="C5" i="2"/>
  <c r="AG68" i="2"/>
  <c r="N21" i="2"/>
  <c r="R63" i="2"/>
  <c r="AB64" i="2"/>
  <c r="AF41" i="2"/>
  <c r="J22" i="2"/>
  <c r="N52" i="2"/>
  <c r="D67" i="2"/>
  <c r="U66" i="2"/>
  <c r="M45" i="2"/>
  <c r="X42" i="2"/>
  <c r="W50" i="2"/>
  <c r="Z30" i="2"/>
  <c r="D10" i="2"/>
  <c r="AI62" i="2"/>
  <c r="R67" i="2"/>
  <c r="AJ42" i="2"/>
  <c r="D50" i="2"/>
  <c r="P56" i="2"/>
  <c r="G7" i="2"/>
  <c r="W63" i="2"/>
  <c r="AJ75" i="2"/>
  <c r="C34" i="2"/>
  <c r="AC14" i="2"/>
  <c r="AI70" i="2"/>
  <c r="AC53" i="2"/>
  <c r="AF69" i="2"/>
  <c r="H21" i="2"/>
  <c r="R29" i="2"/>
  <c r="I46" i="2"/>
  <c r="I8" i="2"/>
  <c r="AJ36" i="2"/>
  <c r="AG75" i="2"/>
  <c r="Q10" i="2"/>
  <c r="V32" i="2"/>
  <c r="AL73" i="2"/>
  <c r="F45" i="2"/>
  <c r="AL8" i="2"/>
  <c r="K8" i="2"/>
  <c r="Q65" i="2"/>
  <c r="AB5" i="2"/>
  <c r="I41" i="2"/>
  <c r="AH30" i="2"/>
  <c r="G44" i="2"/>
  <c r="B7" i="2"/>
  <c r="S59" i="2"/>
  <c r="O36" i="2"/>
  <c r="R10" i="2"/>
  <c r="B37" i="2"/>
  <c r="Z73" i="2"/>
  <c r="K51" i="2"/>
  <c r="Z12" i="2"/>
  <c r="AJ20" i="2"/>
  <c r="P14" i="2"/>
  <c r="AB43" i="2"/>
  <c r="G57" i="2"/>
  <c r="B40" i="2"/>
  <c r="AE29" i="2"/>
  <c r="Y53" i="2"/>
  <c r="E12" i="2"/>
  <c r="J24" i="2"/>
  <c r="AB8" i="2"/>
  <c r="M24" i="2"/>
  <c r="X56" i="2"/>
  <c r="J9" i="21"/>
  <c r="Z28" i="2"/>
  <c r="AK68" i="2"/>
  <c r="R36" i="2"/>
  <c r="Q21" i="2"/>
  <c r="F36" i="2"/>
  <c r="Y20" i="2"/>
  <c r="S56" i="2"/>
  <c r="AF38" i="2"/>
  <c r="G31" i="2"/>
  <c r="AK20" i="2"/>
  <c r="M19" i="2"/>
  <c r="V34" i="2"/>
  <c r="R47" i="2"/>
  <c r="T90" i="3" l="1"/>
  <c r="T73" i="3"/>
  <c r="K7" i="3"/>
  <c r="E7" i="3"/>
  <c r="N7" i="3"/>
  <c r="Q7" i="3"/>
  <c r="B7" i="3"/>
  <c r="C7" i="3"/>
  <c r="B17" i="3"/>
  <c r="H17" i="3"/>
  <c r="E17" i="3"/>
  <c r="H13" i="3"/>
  <c r="AB13" i="4"/>
  <c r="N13" i="4" s="1"/>
  <c r="B13" i="3"/>
  <c r="E13" i="3"/>
  <c r="AB11" i="4"/>
  <c r="N11" i="4" s="1"/>
  <c r="K13" i="3"/>
  <c r="Q13" i="3"/>
  <c r="N13" i="3"/>
  <c r="AB9" i="4"/>
  <c r="J9" i="4" s="1"/>
  <c r="B14" i="3"/>
  <c r="E14" i="3"/>
  <c r="H14" i="3"/>
  <c r="E15" i="3"/>
  <c r="H15" i="3"/>
  <c r="B15" i="3"/>
  <c r="T72" i="3"/>
  <c r="H16" i="3"/>
  <c r="B16" i="3"/>
  <c r="E16" i="3"/>
  <c r="I9" i="4"/>
  <c r="I13" i="4"/>
  <c r="W9" i="4"/>
  <c r="W13" i="4"/>
  <c r="B5" i="3"/>
  <c r="K5" i="3"/>
  <c r="Q5" i="3"/>
  <c r="H5" i="3"/>
  <c r="E8" i="3"/>
  <c r="I8" i="3"/>
  <c r="B8" i="3"/>
  <c r="H8" i="3"/>
  <c r="N8" i="3"/>
  <c r="K9" i="4"/>
  <c r="T70" i="3"/>
  <c r="E19" i="3"/>
  <c r="H19" i="3"/>
  <c r="B19" i="3"/>
  <c r="F6" i="3"/>
  <c r="E6" i="3"/>
  <c r="H6" i="3"/>
  <c r="O6" i="3"/>
  <c r="Q6" i="3"/>
  <c r="K6" i="3"/>
  <c r="N6" i="3"/>
  <c r="E9" i="3"/>
  <c r="H9" i="3"/>
  <c r="N9" i="3"/>
  <c r="Q9" i="3"/>
  <c r="L9" i="3"/>
  <c r="B9" i="3"/>
  <c r="R9" i="3"/>
  <c r="K9" i="3"/>
  <c r="X9" i="4"/>
  <c r="T74" i="3"/>
  <c r="V9" i="4"/>
  <c r="V13" i="4"/>
  <c r="E4" i="21"/>
  <c r="F4" i="21" s="1"/>
  <c r="G4" i="20"/>
  <c r="H4" i="20" s="1"/>
  <c r="H4" i="13"/>
  <c r="C4" i="24"/>
  <c r="B5" i="21"/>
  <c r="E5" i="26"/>
  <c r="C3" i="24"/>
  <c r="C5" i="24"/>
  <c r="B5" i="27"/>
  <c r="A1" i="25"/>
  <c r="Q12" i="3"/>
  <c r="N12" i="3"/>
  <c r="B12" i="3"/>
  <c r="K12" i="3"/>
  <c r="E12" i="3"/>
  <c r="H12" i="3"/>
  <c r="M13" i="4"/>
  <c r="T75" i="3"/>
  <c r="H20" i="3"/>
  <c r="E20" i="3"/>
  <c r="B20" i="3"/>
  <c r="AB18" i="4"/>
  <c r="E47" i="3" s="1"/>
  <c r="AB17" i="4"/>
  <c r="B26" i="3" s="1"/>
  <c r="AB19" i="4"/>
  <c r="H21" i="3" s="1"/>
  <c r="G9" i="4"/>
  <c r="T71" i="3"/>
  <c r="R9" i="4"/>
  <c r="R13" i="4"/>
  <c r="Y9" i="4"/>
  <c r="Y13" i="4"/>
  <c r="N11" i="3"/>
  <c r="E11" i="3"/>
  <c r="K11" i="3"/>
  <c r="H11" i="3"/>
  <c r="B11" i="3"/>
  <c r="Q11" i="3"/>
  <c r="T88" i="3"/>
  <c r="T79" i="3"/>
  <c r="T83" i="3"/>
  <c r="T77" i="3"/>
  <c r="T81" i="3"/>
  <c r="T84" i="3"/>
  <c r="T82" i="3"/>
  <c r="T78" i="3"/>
  <c r="T85" i="3"/>
  <c r="T80" i="3"/>
  <c r="T89" i="3"/>
  <c r="T86" i="3"/>
  <c r="T87" i="3"/>
  <c r="T76" i="3"/>
  <c r="C9" i="4"/>
  <c r="C13" i="4"/>
  <c r="E26" i="3"/>
  <c r="E44" i="3"/>
  <c r="H9" i="4"/>
  <c r="E61" i="3"/>
  <c r="H10" i="3"/>
  <c r="N10" i="3"/>
  <c r="E10" i="3"/>
  <c r="B10" i="3"/>
  <c r="Q10" i="3"/>
  <c r="K10" i="3"/>
  <c r="O9" i="4"/>
  <c r="O13" i="4"/>
  <c r="E60" i="3"/>
  <c r="S9" i="4"/>
  <c r="U9" i="4"/>
  <c r="L9" i="4"/>
  <c r="L13" i="4"/>
  <c r="E9" i="4"/>
  <c r="E13" i="4"/>
  <c r="Q9" i="4"/>
  <c r="B18" i="3"/>
  <c r="E18" i="3"/>
  <c r="H18" i="3"/>
  <c r="B3" i="24"/>
  <c r="B5" i="24"/>
  <c r="C11" i="27"/>
  <c r="C8" i="27"/>
  <c r="C9" i="27"/>
  <c r="C10" i="27"/>
  <c r="C13" i="27"/>
  <c r="C12" i="27"/>
  <c r="A4" i="25"/>
  <c r="B4" i="24"/>
  <c r="C10" i="21"/>
  <c r="C13" i="21"/>
  <c r="C19" i="21"/>
  <c r="C11" i="21"/>
  <c r="C21" i="21"/>
  <c r="C20" i="21"/>
  <c r="C8" i="21"/>
  <c r="C9" i="21"/>
  <c r="C17" i="21"/>
  <c r="C16" i="21"/>
  <c r="C14" i="21"/>
  <c r="C18" i="21"/>
  <c r="C12" i="21"/>
  <c r="C15" i="21"/>
  <c r="C22" i="21"/>
  <c r="H39" i="26"/>
  <c r="E25" i="26"/>
  <c r="E11" i="26"/>
  <c r="H15" i="26"/>
  <c r="H31" i="26"/>
  <c r="E12" i="26"/>
  <c r="H45" i="26"/>
  <c r="E58" i="26"/>
  <c r="H14" i="26"/>
  <c r="E62" i="26"/>
  <c r="E60" i="26"/>
  <c r="H12" i="26"/>
  <c r="E41" i="26"/>
  <c r="H18" i="26"/>
  <c r="E33" i="26"/>
  <c r="H62" i="26"/>
  <c r="E39" i="26"/>
  <c r="E26" i="26"/>
  <c r="H61" i="26"/>
  <c r="E56" i="26"/>
  <c r="H41" i="26"/>
  <c r="H56" i="26"/>
  <c r="E30" i="26"/>
  <c r="E46" i="26"/>
  <c r="H30" i="26"/>
  <c r="E28" i="26"/>
  <c r="E63" i="26"/>
  <c r="H57" i="26"/>
  <c r="H11" i="26"/>
  <c r="E54" i="26"/>
  <c r="H44" i="26"/>
  <c r="E13" i="26"/>
  <c r="E9" i="26"/>
  <c r="H10" i="26"/>
  <c r="E45" i="26"/>
  <c r="H17" i="26"/>
  <c r="H43" i="26"/>
  <c r="H48" i="26"/>
  <c r="H29" i="26"/>
  <c r="H54" i="26"/>
  <c r="H33" i="26"/>
  <c r="E42" i="26"/>
  <c r="E55" i="26"/>
  <c r="E31" i="26"/>
  <c r="H46" i="26"/>
  <c r="E40" i="26"/>
  <c r="E43" i="26"/>
  <c r="E59" i="26"/>
  <c r="E15" i="26"/>
  <c r="H27" i="26"/>
  <c r="E47" i="26"/>
  <c r="E32" i="26"/>
  <c r="E17" i="26"/>
  <c r="E29" i="26"/>
  <c r="H59" i="26"/>
  <c r="H42" i="26"/>
  <c r="H60" i="26"/>
  <c r="H55" i="26"/>
  <c r="H26" i="26"/>
  <c r="H25" i="26"/>
  <c r="H16" i="26"/>
  <c r="H47" i="26"/>
  <c r="H28" i="26"/>
  <c r="H24" i="26"/>
  <c r="E18" i="26"/>
  <c r="E27" i="26"/>
  <c r="E48" i="26"/>
  <c r="H58" i="26"/>
  <c r="E61" i="26"/>
  <c r="H13" i="26"/>
  <c r="H32" i="26"/>
  <c r="E57" i="26"/>
  <c r="E44" i="26"/>
  <c r="E10" i="26"/>
  <c r="H63" i="26"/>
  <c r="E16" i="26"/>
  <c r="H40" i="26"/>
  <c r="E24" i="26"/>
  <c r="H9" i="26"/>
  <c r="E14" i="26"/>
  <c r="E66" i="3" l="1"/>
  <c r="E43" i="3"/>
  <c r="U13" i="4"/>
  <c r="E30" i="3"/>
  <c r="P9" i="4"/>
  <c r="H30" i="3"/>
  <c r="I31" i="3" s="1"/>
  <c r="G13" i="4"/>
  <c r="D9" i="4"/>
  <c r="T9" i="4"/>
  <c r="H26" i="3"/>
  <c r="Q13" i="4"/>
  <c r="S13" i="4"/>
  <c r="H13" i="4"/>
  <c r="M9" i="4"/>
  <c r="D13" i="4"/>
  <c r="P13" i="4"/>
  <c r="K13" i="4"/>
  <c r="H32" i="3"/>
  <c r="H66" i="3"/>
  <c r="H35" i="3"/>
  <c r="T13" i="4"/>
  <c r="H60" i="3"/>
  <c r="R11" i="4"/>
  <c r="H44" i="3"/>
  <c r="X13" i="4"/>
  <c r="J13" i="4"/>
  <c r="O11" i="4"/>
  <c r="H63" i="3"/>
  <c r="E11" i="4"/>
  <c r="B63" i="3"/>
  <c r="C11" i="4"/>
  <c r="B44" i="3"/>
  <c r="V11" i="4"/>
  <c r="S11" i="4"/>
  <c r="B60" i="3"/>
  <c r="B30" i="3"/>
  <c r="B32" i="3"/>
  <c r="Y11" i="4"/>
  <c r="B35" i="3"/>
  <c r="G11" i="4"/>
  <c r="M11" i="4"/>
  <c r="L11" i="4"/>
  <c r="Q11" i="4"/>
  <c r="B66" i="3"/>
  <c r="U11" i="4"/>
  <c r="B61" i="3"/>
  <c r="H11" i="4"/>
  <c r="X11" i="4"/>
  <c r="E65" i="3"/>
  <c r="E90" i="3"/>
  <c r="E67" i="3"/>
  <c r="P11" i="4"/>
  <c r="E29" i="3"/>
  <c r="E32" i="3"/>
  <c r="E21" i="3"/>
  <c r="H39" i="3"/>
  <c r="H90" i="3"/>
  <c r="B31" i="3"/>
  <c r="B90" i="3"/>
  <c r="U91" i="3"/>
  <c r="V90" i="3"/>
  <c r="I11" i="4"/>
  <c r="H61" i="3"/>
  <c r="B69" i="3"/>
  <c r="H67" i="3"/>
  <c r="I67" i="3" s="1"/>
  <c r="W11" i="4"/>
  <c r="T11" i="4"/>
  <c r="K11" i="4"/>
  <c r="D11" i="4"/>
  <c r="J11" i="4"/>
  <c r="B62" i="3"/>
  <c r="B29" i="3"/>
  <c r="C30" i="3" s="1"/>
  <c r="B47" i="3"/>
  <c r="B42" i="3"/>
  <c r="B55" i="3"/>
  <c r="B41" i="3"/>
  <c r="I2" i="13"/>
  <c r="D4" i="21"/>
  <c r="D4" i="27"/>
  <c r="D2" i="20"/>
  <c r="D3" i="20"/>
  <c r="B3" i="27"/>
  <c r="C3" i="27" s="1"/>
  <c r="H2" i="13"/>
  <c r="B3" i="21"/>
  <c r="B4" i="27"/>
  <c r="C4" i="27" s="1"/>
  <c r="H3" i="13"/>
  <c r="B4" i="21"/>
  <c r="C32" i="3"/>
  <c r="F66" i="3"/>
  <c r="R11" i="3"/>
  <c r="S10" i="3"/>
  <c r="C31" i="3"/>
  <c r="F11" i="3"/>
  <c r="G10" i="3"/>
  <c r="C19" i="3"/>
  <c r="D18" i="3"/>
  <c r="E63" i="3"/>
  <c r="H69" i="3"/>
  <c r="U79" i="3"/>
  <c r="V78" i="3"/>
  <c r="S11" i="3"/>
  <c r="R12" i="3"/>
  <c r="E49" i="3"/>
  <c r="E46" i="3"/>
  <c r="E42" i="3"/>
  <c r="B56" i="3"/>
  <c r="U76" i="3"/>
  <c r="V75" i="3"/>
  <c r="H41" i="3"/>
  <c r="H24" i="3"/>
  <c r="G5" i="26"/>
  <c r="H45" i="3"/>
  <c r="I45" i="3" s="1"/>
  <c r="H28" i="3"/>
  <c r="P9" i="3"/>
  <c r="O10" i="3"/>
  <c r="F7" i="3"/>
  <c r="G6" i="3"/>
  <c r="P8" i="3"/>
  <c r="O9" i="3"/>
  <c r="E25" i="3"/>
  <c r="H50" i="3"/>
  <c r="H34" i="3"/>
  <c r="H59" i="3"/>
  <c r="H53" i="3"/>
  <c r="E22" i="3"/>
  <c r="B52" i="3"/>
  <c r="C16" i="3"/>
  <c r="D15" i="3"/>
  <c r="B23" i="3"/>
  <c r="B9" i="4"/>
  <c r="I14" i="3"/>
  <c r="J13" i="3"/>
  <c r="H31" i="3"/>
  <c r="L8" i="3"/>
  <c r="M7" i="3"/>
  <c r="U82" i="3"/>
  <c r="V81" i="3"/>
  <c r="O11" i="3"/>
  <c r="P10" i="3"/>
  <c r="J10" i="3"/>
  <c r="I11" i="3"/>
  <c r="L11" i="3"/>
  <c r="M10" i="3"/>
  <c r="E35" i="3"/>
  <c r="U83" i="3"/>
  <c r="V82" i="3"/>
  <c r="C12" i="3"/>
  <c r="D11" i="3"/>
  <c r="B49" i="3"/>
  <c r="B21" i="3"/>
  <c r="H46" i="3"/>
  <c r="B67" i="3"/>
  <c r="H42" i="3"/>
  <c r="E41" i="3"/>
  <c r="E27" i="3"/>
  <c r="B24" i="3"/>
  <c r="E64" i="3"/>
  <c r="B6" i="21"/>
  <c r="D5" i="21"/>
  <c r="E5" i="21"/>
  <c r="F5" i="21"/>
  <c r="H54" i="3"/>
  <c r="B48" i="3"/>
  <c r="B45" i="3"/>
  <c r="B28" i="3"/>
  <c r="I10" i="3"/>
  <c r="J9" i="3"/>
  <c r="H70" i="3"/>
  <c r="I9" i="3"/>
  <c r="J8" i="3"/>
  <c r="H25" i="3"/>
  <c r="B34" i="3"/>
  <c r="B59" i="3"/>
  <c r="B22" i="3"/>
  <c r="I16" i="3"/>
  <c r="J15" i="3"/>
  <c r="P13" i="3"/>
  <c r="E31" i="3"/>
  <c r="U85" i="3"/>
  <c r="V84" i="3"/>
  <c r="J11" i="3"/>
  <c r="I12" i="3"/>
  <c r="G21" i="3"/>
  <c r="F22" i="3"/>
  <c r="F30" i="3"/>
  <c r="H65" i="3"/>
  <c r="I66" i="3" s="1"/>
  <c r="H75" i="3"/>
  <c r="H84" i="3"/>
  <c r="H77" i="3"/>
  <c r="H86" i="3"/>
  <c r="H71" i="3"/>
  <c r="H87" i="3"/>
  <c r="H78" i="3"/>
  <c r="H83" i="3"/>
  <c r="H85" i="3"/>
  <c r="H72" i="3"/>
  <c r="H88" i="3"/>
  <c r="H89" i="3"/>
  <c r="H74" i="3"/>
  <c r="H80" i="3"/>
  <c r="H82" i="3"/>
  <c r="H76" i="3"/>
  <c r="H81" i="3"/>
  <c r="H79" i="3"/>
  <c r="H73" i="3"/>
  <c r="E36" i="3"/>
  <c r="H27" i="3"/>
  <c r="I13" i="3"/>
  <c r="J12" i="3"/>
  <c r="H64" i="3"/>
  <c r="E54" i="3"/>
  <c r="H58" i="3"/>
  <c r="H48" i="3"/>
  <c r="E28" i="3"/>
  <c r="F10" i="3"/>
  <c r="G9" i="3"/>
  <c r="E70" i="3"/>
  <c r="C9" i="3"/>
  <c r="D8" i="3"/>
  <c r="B25" i="3"/>
  <c r="I6" i="3"/>
  <c r="J5" i="3"/>
  <c r="J7" i="3"/>
  <c r="B39" i="3"/>
  <c r="E59" i="3"/>
  <c r="G16" i="3"/>
  <c r="F17" i="3"/>
  <c r="H22" i="3"/>
  <c r="F16" i="3"/>
  <c r="G15" i="3"/>
  <c r="B68" i="3"/>
  <c r="S13" i="3"/>
  <c r="B65" i="3"/>
  <c r="F18" i="3"/>
  <c r="G17" i="3"/>
  <c r="V73" i="3"/>
  <c r="U74" i="3"/>
  <c r="F67" i="3"/>
  <c r="U88" i="3"/>
  <c r="V87" i="3"/>
  <c r="L12" i="3"/>
  <c r="M11" i="3"/>
  <c r="J21" i="3"/>
  <c r="I22" i="3"/>
  <c r="B43" i="3"/>
  <c r="B76" i="3"/>
  <c r="B85" i="3"/>
  <c r="B79" i="3"/>
  <c r="B87" i="3"/>
  <c r="B83" i="3"/>
  <c r="B78" i="3"/>
  <c r="B77" i="3"/>
  <c r="B80" i="3"/>
  <c r="B84" i="3"/>
  <c r="B75" i="3"/>
  <c r="B72" i="3"/>
  <c r="B74" i="3"/>
  <c r="B71" i="3"/>
  <c r="B89" i="3"/>
  <c r="B73" i="3"/>
  <c r="B88" i="3"/>
  <c r="B81" i="3"/>
  <c r="B86" i="3"/>
  <c r="B82" i="3"/>
  <c r="B36" i="3"/>
  <c r="B27" i="3"/>
  <c r="G12" i="3"/>
  <c r="F13" i="3"/>
  <c r="H33" i="3"/>
  <c r="B64" i="3"/>
  <c r="C64" i="3" s="1"/>
  <c r="I4" i="19"/>
  <c r="I4" i="16"/>
  <c r="I4" i="28"/>
  <c r="H8" i="13"/>
  <c r="M8" i="13" s="1"/>
  <c r="D8" i="13" s="1"/>
  <c r="E5" i="28" s="1"/>
  <c r="I4" i="17"/>
  <c r="D1" i="13"/>
  <c r="H12" i="13"/>
  <c r="M12" i="13" s="1"/>
  <c r="D12" i="13" s="1"/>
  <c r="E5" i="19" s="1"/>
  <c r="H14" i="13"/>
  <c r="M14" i="13" s="1"/>
  <c r="D14" i="13" s="1"/>
  <c r="E7" i="19" s="1"/>
  <c r="H13" i="13"/>
  <c r="M13" i="13" s="1"/>
  <c r="D13" i="13" s="1"/>
  <c r="E6" i="19" s="1"/>
  <c r="B54" i="3"/>
  <c r="E58" i="3"/>
  <c r="E48" i="3"/>
  <c r="M9" i="3"/>
  <c r="L10" i="3"/>
  <c r="P6" i="3"/>
  <c r="F1" i="26"/>
  <c r="O7" i="3"/>
  <c r="E1" i="26"/>
  <c r="C20" i="3"/>
  <c r="D19" i="3"/>
  <c r="B70" i="3"/>
  <c r="S5" i="3"/>
  <c r="S8" i="3"/>
  <c r="R6" i="3"/>
  <c r="E39" i="3"/>
  <c r="C17" i="3"/>
  <c r="D16" i="3"/>
  <c r="H68" i="3"/>
  <c r="M13" i="3"/>
  <c r="I18" i="3"/>
  <c r="J17" i="3"/>
  <c r="C62" i="3"/>
  <c r="D10" i="3"/>
  <c r="C11" i="3"/>
  <c r="U78" i="3"/>
  <c r="V77" i="3"/>
  <c r="G11" i="3"/>
  <c r="F12" i="3"/>
  <c r="C48" i="3"/>
  <c r="H29" i="3"/>
  <c r="H57" i="3"/>
  <c r="E40" i="3"/>
  <c r="E79" i="3"/>
  <c r="E83" i="3"/>
  <c r="E75" i="3"/>
  <c r="E78" i="3"/>
  <c r="E80" i="3"/>
  <c r="E76" i="3"/>
  <c r="E85" i="3"/>
  <c r="E82" i="3"/>
  <c r="E89" i="3"/>
  <c r="E77" i="3"/>
  <c r="E81" i="3"/>
  <c r="E88" i="3"/>
  <c r="E71" i="3"/>
  <c r="E72" i="3"/>
  <c r="E87" i="3"/>
  <c r="E74" i="3"/>
  <c r="E84" i="3"/>
  <c r="E73" i="3"/>
  <c r="E86" i="3"/>
  <c r="C56" i="3"/>
  <c r="H36" i="3"/>
  <c r="L13" i="3"/>
  <c r="M12" i="3"/>
  <c r="E33" i="3"/>
  <c r="B58" i="3"/>
  <c r="L7" i="3"/>
  <c r="M6" i="3"/>
  <c r="J19" i="3"/>
  <c r="I20" i="3"/>
  <c r="U70" i="3"/>
  <c r="U71" i="3"/>
  <c r="V70" i="3"/>
  <c r="G8" i="3"/>
  <c r="F9" i="3"/>
  <c r="M5" i="3"/>
  <c r="L6" i="3"/>
  <c r="M8" i="3"/>
  <c r="J16" i="3"/>
  <c r="I17" i="3"/>
  <c r="V72" i="3"/>
  <c r="U73" i="3"/>
  <c r="J14" i="3"/>
  <c r="I15" i="3"/>
  <c r="E68" i="3"/>
  <c r="F68" i="3" s="1"/>
  <c r="E38" i="3"/>
  <c r="F13" i="4"/>
  <c r="C18" i="3"/>
  <c r="D17" i="3"/>
  <c r="D7" i="3"/>
  <c r="C8" i="3"/>
  <c r="E37" i="3"/>
  <c r="U87" i="3"/>
  <c r="V86" i="3"/>
  <c r="V89" i="3"/>
  <c r="U90" i="3"/>
  <c r="U84" i="3"/>
  <c r="V83" i="3"/>
  <c r="O12" i="3"/>
  <c r="P11" i="3"/>
  <c r="U72" i="3"/>
  <c r="V71" i="3"/>
  <c r="E62" i="3"/>
  <c r="F62" i="3" s="1"/>
  <c r="H47" i="3"/>
  <c r="B57" i="3"/>
  <c r="D20" i="3"/>
  <c r="C21" i="3"/>
  <c r="H55" i="3"/>
  <c r="C13" i="3"/>
  <c r="D12" i="3"/>
  <c r="B33" i="3"/>
  <c r="E5" i="27"/>
  <c r="C5" i="27"/>
  <c r="D5" i="27"/>
  <c r="F5" i="27"/>
  <c r="B6" i="27"/>
  <c r="V74" i="3"/>
  <c r="U75" i="3"/>
  <c r="C10" i="3"/>
  <c r="D9" i="3"/>
  <c r="S6" i="3"/>
  <c r="R7" i="3"/>
  <c r="H51" i="3"/>
  <c r="G19" i="3"/>
  <c r="F20" i="3"/>
  <c r="C6" i="3"/>
  <c r="D5" i="3"/>
  <c r="D6" i="3"/>
  <c r="F15" i="3"/>
  <c r="G14" i="3"/>
  <c r="F14" i="3"/>
  <c r="G13" i="3"/>
  <c r="B38" i="3"/>
  <c r="F11" i="4"/>
  <c r="S7" i="3"/>
  <c r="R8" i="3"/>
  <c r="H37" i="3"/>
  <c r="V76" i="3"/>
  <c r="U77" i="3"/>
  <c r="I27" i="3"/>
  <c r="F44" i="3"/>
  <c r="U80" i="3"/>
  <c r="V79" i="3"/>
  <c r="H56" i="3"/>
  <c r="E57" i="3"/>
  <c r="G20" i="3"/>
  <c r="F21" i="3"/>
  <c r="E55" i="3"/>
  <c r="P12" i="3"/>
  <c r="O13" i="3"/>
  <c r="E51" i="3"/>
  <c r="B50" i="3"/>
  <c r="E53" i="3"/>
  <c r="H52" i="3"/>
  <c r="H23" i="3"/>
  <c r="C15" i="3"/>
  <c r="D14" i="3"/>
  <c r="N9" i="4"/>
  <c r="D13" i="3"/>
  <c r="C14" i="3"/>
  <c r="H38" i="3"/>
  <c r="F9" i="4"/>
  <c r="P7" i="3"/>
  <c r="O8" i="3"/>
  <c r="B37" i="3"/>
  <c r="H40" i="3"/>
  <c r="F61" i="3"/>
  <c r="C61" i="3"/>
  <c r="C27" i="3"/>
  <c r="D26" i="3"/>
  <c r="I19" i="3"/>
  <c r="J18" i="3"/>
  <c r="V80" i="3"/>
  <c r="U81" i="3"/>
  <c r="G18" i="3"/>
  <c r="F19" i="3"/>
  <c r="H43" i="3"/>
  <c r="E69" i="3"/>
  <c r="U86" i="3"/>
  <c r="V85" i="3"/>
  <c r="V88" i="3"/>
  <c r="U89" i="3"/>
  <c r="H49" i="3"/>
  <c r="B46" i="3"/>
  <c r="H62" i="3"/>
  <c r="E56" i="3"/>
  <c r="J20" i="3"/>
  <c r="I21" i="3"/>
  <c r="E24" i="3"/>
  <c r="R13" i="3"/>
  <c r="S12" i="3"/>
  <c r="E45" i="3"/>
  <c r="R10" i="3"/>
  <c r="S9" i="3"/>
  <c r="I7" i="3"/>
  <c r="J6" i="3"/>
  <c r="B51" i="3"/>
  <c r="E50" i="3"/>
  <c r="E34" i="3"/>
  <c r="B53" i="3"/>
  <c r="E52" i="3"/>
  <c r="E23" i="3"/>
  <c r="B11" i="4"/>
  <c r="B13" i="4"/>
  <c r="G7" i="3"/>
  <c r="F8" i="3"/>
  <c r="B40" i="3"/>
  <c r="F13" i="21"/>
  <c r="F14" i="21"/>
  <c r="F8" i="21"/>
  <c r="F22" i="21"/>
  <c r="F10" i="21"/>
  <c r="F20" i="21"/>
  <c r="F21" i="21"/>
  <c r="F11" i="21"/>
  <c r="F9" i="21"/>
  <c r="F19" i="21"/>
  <c r="F16" i="21"/>
  <c r="F15" i="21"/>
  <c r="F17" i="21"/>
  <c r="F12" i="21"/>
  <c r="F18" i="21"/>
  <c r="G14" i="26"/>
  <c r="G31" i="26"/>
  <c r="G11" i="26"/>
  <c r="G28" i="26"/>
  <c r="G15" i="26"/>
  <c r="G58" i="26"/>
  <c r="G62" i="26"/>
  <c r="G25" i="26"/>
  <c r="G41" i="26"/>
  <c r="G48" i="26"/>
  <c r="G18" i="26"/>
  <c r="G26" i="26"/>
  <c r="G32" i="26"/>
  <c r="G54" i="26"/>
  <c r="G13" i="26"/>
  <c r="G57" i="26"/>
  <c r="G60" i="26"/>
  <c r="G59" i="26"/>
  <c r="G42" i="26"/>
  <c r="G46" i="26"/>
  <c r="G61" i="26"/>
  <c r="G43" i="26"/>
  <c r="G16" i="26"/>
  <c r="G30" i="26"/>
  <c r="G17" i="26"/>
  <c r="G63" i="26"/>
  <c r="G45" i="26"/>
  <c r="G55" i="26"/>
  <c r="G9" i="26"/>
  <c r="G39" i="26"/>
  <c r="G10" i="26"/>
  <c r="G44" i="26"/>
  <c r="G33" i="26"/>
  <c r="G47" i="26"/>
  <c r="G56" i="26"/>
  <c r="G29" i="26"/>
  <c r="G12" i="26"/>
  <c r="G40" i="26"/>
  <c r="G24" i="26"/>
  <c r="G27" i="26"/>
  <c r="B10" i="24"/>
  <c r="C22" i="19"/>
  <c r="E22" i="19"/>
  <c r="E14" i="19"/>
  <c r="C12" i="19"/>
  <c r="E15" i="19"/>
  <c r="C18" i="19"/>
  <c r="C24" i="19"/>
  <c r="C20" i="19"/>
  <c r="C21" i="19"/>
  <c r="E12" i="19"/>
  <c r="C16" i="19"/>
  <c r="C13" i="19"/>
  <c r="E18" i="19"/>
  <c r="E13" i="19"/>
  <c r="C11" i="19"/>
  <c r="E19" i="19"/>
  <c r="E23" i="19"/>
  <c r="E21" i="19"/>
  <c r="E20" i="19"/>
  <c r="E24" i="19"/>
  <c r="C15" i="19"/>
  <c r="C14" i="19"/>
  <c r="C10" i="19"/>
  <c r="C23" i="19"/>
  <c r="C19" i="19"/>
  <c r="E10" i="19"/>
  <c r="E16" i="19"/>
  <c r="E11" i="19"/>
  <c r="E12" i="27"/>
  <c r="E10" i="27"/>
  <c r="E8" i="27"/>
  <c r="E13" i="27"/>
  <c r="E11" i="27"/>
  <c r="E9" i="27"/>
  <c r="E36" i="16"/>
  <c r="E15" i="16"/>
  <c r="E17" i="16"/>
  <c r="E35" i="16"/>
  <c r="E19" i="16"/>
  <c r="C13" i="16"/>
  <c r="E24" i="16"/>
  <c r="C37" i="16"/>
  <c r="C11" i="16"/>
  <c r="C29" i="16"/>
  <c r="C19" i="16"/>
  <c r="C24" i="16"/>
  <c r="E29" i="16"/>
  <c r="C20" i="16"/>
  <c r="E33" i="16"/>
  <c r="E11" i="16"/>
  <c r="C9" i="16"/>
  <c r="C26" i="16"/>
  <c r="E9" i="16"/>
  <c r="E26" i="16"/>
  <c r="C31" i="16"/>
  <c r="E28" i="16"/>
  <c r="C33" i="16"/>
  <c r="E14" i="16"/>
  <c r="C12" i="16"/>
  <c r="C34" i="16"/>
  <c r="C32" i="16"/>
  <c r="E13" i="16"/>
  <c r="E10" i="16"/>
  <c r="C25" i="16"/>
  <c r="C17" i="16"/>
  <c r="C30" i="16"/>
  <c r="E31" i="16"/>
  <c r="E12" i="16"/>
  <c r="E22" i="16"/>
  <c r="C21" i="16"/>
  <c r="E18" i="16"/>
  <c r="E25" i="16"/>
  <c r="E16" i="16"/>
  <c r="C28" i="16"/>
  <c r="E37" i="16"/>
  <c r="E27" i="16"/>
  <c r="E34" i="16"/>
  <c r="C36" i="16"/>
  <c r="E21" i="16"/>
  <c r="C18" i="16"/>
  <c r="C15" i="16"/>
  <c r="C27" i="16"/>
  <c r="C10" i="16"/>
  <c r="E32" i="16"/>
  <c r="C16" i="16"/>
  <c r="E20" i="16"/>
  <c r="C22" i="16"/>
  <c r="C14" i="16"/>
  <c r="E30" i="16"/>
  <c r="C35" i="16"/>
  <c r="E11" i="28"/>
  <c r="C23" i="28"/>
  <c r="E23" i="28"/>
  <c r="E13" i="28"/>
  <c r="C18" i="28"/>
  <c r="E12" i="28"/>
  <c r="C20" i="28"/>
  <c r="E15" i="28"/>
  <c r="E16" i="28"/>
  <c r="E19" i="28"/>
  <c r="C10" i="28"/>
  <c r="C12" i="28"/>
  <c r="C11" i="28"/>
  <c r="C8" i="28"/>
  <c r="E24" i="28"/>
  <c r="C19" i="28"/>
  <c r="E10" i="28"/>
  <c r="E9" i="28"/>
  <c r="C21" i="28"/>
  <c r="E17" i="28"/>
  <c r="E21" i="28"/>
  <c r="E8" i="28"/>
  <c r="C16" i="28"/>
  <c r="C13" i="28"/>
  <c r="C22" i="28"/>
  <c r="C15" i="28"/>
  <c r="E22" i="28"/>
  <c r="E25" i="28"/>
  <c r="E14" i="28"/>
  <c r="C14" i="28"/>
  <c r="C17" i="28"/>
  <c r="C9" i="28"/>
  <c r="C25" i="28"/>
  <c r="C24" i="28"/>
  <c r="E20" i="28"/>
  <c r="E18" i="28"/>
  <c r="D13" i="27"/>
  <c r="D10" i="27"/>
  <c r="D9" i="27"/>
  <c r="D11" i="27"/>
  <c r="D8" i="27"/>
  <c r="D12" i="27"/>
  <c r="D13" i="21"/>
  <c r="D21" i="21"/>
  <c r="D22" i="21"/>
  <c r="D16" i="21"/>
  <c r="D19" i="21"/>
  <c r="D20" i="21"/>
  <c r="D14" i="21"/>
  <c r="D15" i="21"/>
  <c r="D8" i="21"/>
  <c r="D17" i="21"/>
  <c r="D10" i="21"/>
  <c r="D18" i="21"/>
  <c r="D12" i="21"/>
  <c r="D11" i="21"/>
  <c r="D9" i="21"/>
  <c r="F13" i="27"/>
  <c r="F9" i="27"/>
  <c r="F10" i="27"/>
  <c r="F12" i="27"/>
  <c r="F8" i="27"/>
  <c r="F11" i="27"/>
  <c r="E12" i="21"/>
  <c r="E15" i="21"/>
  <c r="E14" i="21"/>
  <c r="E8" i="21"/>
  <c r="E21" i="21"/>
  <c r="E9" i="21"/>
  <c r="E10" i="21"/>
  <c r="E13" i="21"/>
  <c r="E17" i="21"/>
  <c r="E22" i="21"/>
  <c r="E20" i="21"/>
  <c r="E18" i="21"/>
  <c r="E19" i="21"/>
  <c r="E11" i="21"/>
  <c r="E16" i="21"/>
  <c r="C19" i="17"/>
  <c r="E11" i="17"/>
  <c r="E15" i="17"/>
  <c r="E16" i="17"/>
  <c r="E17" i="17"/>
  <c r="C17" i="17"/>
  <c r="E8" i="17"/>
  <c r="C12" i="17"/>
  <c r="C11" i="17"/>
  <c r="E20" i="17"/>
  <c r="C10" i="17"/>
  <c r="C13" i="17"/>
  <c r="C16" i="17"/>
  <c r="E19" i="17"/>
  <c r="E9" i="17"/>
  <c r="C8" i="17"/>
  <c r="E14" i="17"/>
  <c r="C18" i="17"/>
  <c r="C14" i="17"/>
  <c r="E21" i="17"/>
  <c r="C20" i="17"/>
  <c r="C9" i="17"/>
  <c r="E12" i="17"/>
  <c r="C21" i="17"/>
  <c r="C15" i="17"/>
  <c r="E18" i="17"/>
  <c r="E13" i="17"/>
  <c r="E10" i="17"/>
  <c r="C63" i="3" l="1"/>
  <c r="I61" i="3"/>
  <c r="D32" i="3"/>
  <c r="C70" i="3"/>
  <c r="F33" i="3"/>
  <c r="I40" i="3"/>
  <c r="C29" i="3"/>
  <c r="Z9" i="4"/>
  <c r="C42" i="3"/>
  <c r="G44" i="3"/>
  <c r="J26" i="3"/>
  <c r="D90" i="3"/>
  <c r="C91" i="3"/>
  <c r="F91" i="3"/>
  <c r="G90" i="3"/>
  <c r="J90" i="3"/>
  <c r="I91" i="3"/>
  <c r="K15" i="3"/>
  <c r="G30" i="3"/>
  <c r="G61" i="3"/>
  <c r="D61" i="3"/>
  <c r="D69" i="3"/>
  <c r="J32" i="3"/>
  <c r="D5" i="20"/>
  <c r="C41" i="3"/>
  <c r="D40" i="3"/>
  <c r="I63" i="3"/>
  <c r="J62" i="3"/>
  <c r="J43" i="3"/>
  <c r="I44" i="3"/>
  <c r="C37" i="3"/>
  <c r="C38" i="3"/>
  <c r="D37" i="3"/>
  <c r="I56" i="3"/>
  <c r="J55" i="3"/>
  <c r="D44" i="3"/>
  <c r="G86" i="3"/>
  <c r="F87" i="3"/>
  <c r="F82" i="3"/>
  <c r="G81" i="3"/>
  <c r="G75" i="3"/>
  <c r="F76" i="3"/>
  <c r="J68" i="3"/>
  <c r="I69" i="3"/>
  <c r="F49" i="3"/>
  <c r="G48" i="3"/>
  <c r="C90" i="3"/>
  <c r="D89" i="3"/>
  <c r="D78" i="3"/>
  <c r="C79" i="3"/>
  <c r="C26" i="3"/>
  <c r="D25" i="3"/>
  <c r="I59" i="3"/>
  <c r="J58" i="3"/>
  <c r="F37" i="3"/>
  <c r="G36" i="3"/>
  <c r="J89" i="3"/>
  <c r="I90" i="3"/>
  <c r="I87" i="3"/>
  <c r="J86" i="3"/>
  <c r="G29" i="3"/>
  <c r="D67" i="3"/>
  <c r="C68" i="3"/>
  <c r="C67" i="3"/>
  <c r="I54" i="3"/>
  <c r="J53" i="3"/>
  <c r="I42" i="3"/>
  <c r="J41" i="3"/>
  <c r="J66" i="3"/>
  <c r="G65" i="3"/>
  <c r="C54" i="3"/>
  <c r="D53" i="3"/>
  <c r="F56" i="3"/>
  <c r="G55" i="3"/>
  <c r="I52" i="3"/>
  <c r="J51" i="3"/>
  <c r="C59" i="3"/>
  <c r="D58" i="3"/>
  <c r="F74" i="3"/>
  <c r="G73" i="3"/>
  <c r="G77" i="3"/>
  <c r="F78" i="3"/>
  <c r="F84" i="3"/>
  <c r="G83" i="3"/>
  <c r="F59" i="3"/>
  <c r="G58" i="3"/>
  <c r="C28" i="3"/>
  <c r="D27" i="3"/>
  <c r="C72" i="3"/>
  <c r="D71" i="3"/>
  <c r="C84" i="3"/>
  <c r="D83" i="3"/>
  <c r="F55" i="3"/>
  <c r="G54" i="3"/>
  <c r="I74" i="3"/>
  <c r="J73" i="3"/>
  <c r="I89" i="3"/>
  <c r="J88" i="3"/>
  <c r="I78" i="3"/>
  <c r="J77" i="3"/>
  <c r="G67" i="3"/>
  <c r="D35" i="3"/>
  <c r="C23" i="3"/>
  <c r="D22" i="3"/>
  <c r="I47" i="3"/>
  <c r="J46" i="3"/>
  <c r="J63" i="3"/>
  <c r="AB14" i="4"/>
  <c r="I60" i="3"/>
  <c r="J59" i="3"/>
  <c r="I2" i="28"/>
  <c r="I2" i="16"/>
  <c r="I2" i="19"/>
  <c r="I2" i="17"/>
  <c r="J4" i="13"/>
  <c r="Z13" i="4"/>
  <c r="Q15" i="3"/>
  <c r="Q14" i="3"/>
  <c r="Q16" i="3"/>
  <c r="F53" i="3"/>
  <c r="G52" i="3"/>
  <c r="F46" i="3"/>
  <c r="G45" i="3"/>
  <c r="C47" i="3"/>
  <c r="D46" i="3"/>
  <c r="K17" i="3"/>
  <c r="F35" i="3"/>
  <c r="G34" i="3"/>
  <c r="I50" i="3"/>
  <c r="J49" i="3"/>
  <c r="D60" i="3"/>
  <c r="J23" i="3"/>
  <c r="I24" i="3"/>
  <c r="F7" i="27"/>
  <c r="F34" i="3"/>
  <c r="G33" i="3"/>
  <c r="G84" i="3"/>
  <c r="F85" i="3"/>
  <c r="F90" i="3"/>
  <c r="G89" i="3"/>
  <c r="F80" i="3"/>
  <c r="G79" i="3"/>
  <c r="C55" i="3"/>
  <c r="D54" i="3"/>
  <c r="D36" i="3"/>
  <c r="C75" i="3"/>
  <c r="D74" i="3"/>
  <c r="D87" i="3"/>
  <c r="C88" i="3"/>
  <c r="J67" i="3"/>
  <c r="C66" i="3"/>
  <c r="D65" i="3"/>
  <c r="I65" i="3"/>
  <c r="J64" i="3"/>
  <c r="J79" i="3"/>
  <c r="I80" i="3"/>
  <c r="I73" i="3"/>
  <c r="J72" i="3"/>
  <c r="I85" i="3"/>
  <c r="J84" i="3"/>
  <c r="C36" i="3"/>
  <c r="C60" i="3"/>
  <c r="D59" i="3"/>
  <c r="D28" i="3"/>
  <c r="D21" i="3"/>
  <c r="C22" i="3"/>
  <c r="F36" i="3"/>
  <c r="G35" i="3"/>
  <c r="I64" i="3"/>
  <c r="K16" i="3"/>
  <c r="K14" i="3"/>
  <c r="J34" i="3"/>
  <c r="I35" i="3"/>
  <c r="D30" i="3"/>
  <c r="D31" i="3"/>
  <c r="AB16" i="4"/>
  <c r="G50" i="3"/>
  <c r="F51" i="3"/>
  <c r="I53" i="3"/>
  <c r="J52" i="3"/>
  <c r="G43" i="3"/>
  <c r="I38" i="3"/>
  <c r="J37" i="3"/>
  <c r="E7" i="27"/>
  <c r="C7" i="27"/>
  <c r="D7" i="27"/>
  <c r="C58" i="3"/>
  <c r="D57" i="3"/>
  <c r="G32" i="3"/>
  <c r="F75" i="3"/>
  <c r="G74" i="3"/>
  <c r="G82" i="3"/>
  <c r="F83" i="3"/>
  <c r="G40" i="3"/>
  <c r="F40" i="3"/>
  <c r="G39" i="3"/>
  <c r="C83" i="3"/>
  <c r="D82" i="3"/>
  <c r="C73" i="3"/>
  <c r="D72" i="3"/>
  <c r="C80" i="3"/>
  <c r="D79" i="3"/>
  <c r="I68" i="3"/>
  <c r="G59" i="3"/>
  <c r="F60" i="3"/>
  <c r="F71" i="3"/>
  <c r="G70" i="3"/>
  <c r="I82" i="3"/>
  <c r="J81" i="3"/>
  <c r="I86" i="3"/>
  <c r="J85" i="3"/>
  <c r="J75" i="3"/>
  <c r="I76" i="3"/>
  <c r="G31" i="3"/>
  <c r="F32" i="3"/>
  <c r="C35" i="3"/>
  <c r="D34" i="3"/>
  <c r="C45" i="3"/>
  <c r="C46" i="3"/>
  <c r="D45" i="3"/>
  <c r="G64" i="3"/>
  <c r="F65" i="3"/>
  <c r="D49" i="3"/>
  <c r="C50" i="3"/>
  <c r="C24" i="3"/>
  <c r="D23" i="3"/>
  <c r="I51" i="3"/>
  <c r="J50" i="3"/>
  <c r="J28" i="3"/>
  <c r="I29" i="3"/>
  <c r="D56" i="3"/>
  <c r="C57" i="3"/>
  <c r="I70" i="3"/>
  <c r="J69" i="3"/>
  <c r="J44" i="3"/>
  <c r="G24" i="3"/>
  <c r="F25" i="3"/>
  <c r="J38" i="3"/>
  <c r="I39" i="3"/>
  <c r="G53" i="3"/>
  <c r="F54" i="3"/>
  <c r="G57" i="3"/>
  <c r="F58" i="3"/>
  <c r="G60" i="3"/>
  <c r="J47" i="3"/>
  <c r="F88" i="3"/>
  <c r="G87" i="3"/>
  <c r="G85" i="3"/>
  <c r="F86" i="3"/>
  <c r="J57" i="3"/>
  <c r="I58" i="3"/>
  <c r="J30" i="3"/>
  <c r="C87" i="3"/>
  <c r="D86" i="3"/>
  <c r="C76" i="3"/>
  <c r="D75" i="3"/>
  <c r="C86" i="3"/>
  <c r="D85" i="3"/>
  <c r="F48" i="3"/>
  <c r="C69" i="3"/>
  <c r="D68" i="3"/>
  <c r="C40" i="3"/>
  <c r="D39" i="3"/>
  <c r="J76" i="3"/>
  <c r="I77" i="3"/>
  <c r="J83" i="3"/>
  <c r="I84" i="3"/>
  <c r="J65" i="3"/>
  <c r="Q17" i="3"/>
  <c r="J25" i="3"/>
  <c r="I26" i="3"/>
  <c r="D48" i="3"/>
  <c r="C49" i="3"/>
  <c r="C25" i="3"/>
  <c r="D24" i="3"/>
  <c r="D63" i="3"/>
  <c r="F26" i="3"/>
  <c r="G25" i="3"/>
  <c r="J45" i="3"/>
  <c r="I46" i="3"/>
  <c r="F43" i="3"/>
  <c r="G42" i="3"/>
  <c r="G63" i="3"/>
  <c r="F64" i="3"/>
  <c r="F4" i="20"/>
  <c r="AB15" i="4"/>
  <c r="Z11" i="4"/>
  <c r="N15" i="3"/>
  <c r="N14" i="3"/>
  <c r="N16" i="3"/>
  <c r="C51" i="3"/>
  <c r="D50" i="3"/>
  <c r="I57" i="3"/>
  <c r="J56" i="3"/>
  <c r="J61" i="3"/>
  <c r="C34" i="3"/>
  <c r="D33" i="3"/>
  <c r="G62" i="3"/>
  <c r="F63" i="3"/>
  <c r="J60" i="3"/>
  <c r="F39" i="3"/>
  <c r="G38" i="3"/>
  <c r="I37" i="3"/>
  <c r="J36" i="3"/>
  <c r="G72" i="3"/>
  <c r="F73" i="3"/>
  <c r="F77" i="3"/>
  <c r="G76" i="3"/>
  <c r="J29" i="3"/>
  <c r="I30" i="3"/>
  <c r="C65" i="3"/>
  <c r="D64" i="3"/>
  <c r="D81" i="3"/>
  <c r="C82" i="3"/>
  <c r="D84" i="3"/>
  <c r="C85" i="3"/>
  <c r="D76" i="3"/>
  <c r="C77" i="3"/>
  <c r="G47" i="3"/>
  <c r="G66" i="3"/>
  <c r="J27" i="3"/>
  <c r="I28" i="3"/>
  <c r="J82" i="3"/>
  <c r="I83" i="3"/>
  <c r="I79" i="3"/>
  <c r="J78" i="3"/>
  <c r="D42" i="3"/>
  <c r="I55" i="3"/>
  <c r="J54" i="3"/>
  <c r="F27" i="3"/>
  <c r="G27" i="3"/>
  <c r="F28" i="3"/>
  <c r="I32" i="3"/>
  <c r="J31" i="3"/>
  <c r="F47" i="3"/>
  <c r="G46" i="3"/>
  <c r="F31" i="3"/>
  <c r="C52" i="3"/>
  <c r="D51" i="3"/>
  <c r="F24" i="3"/>
  <c r="G23" i="3"/>
  <c r="G26" i="3"/>
  <c r="G51" i="3"/>
  <c r="F52" i="3"/>
  <c r="D62" i="3"/>
  <c r="I62" i="3"/>
  <c r="C33" i="3"/>
  <c r="F69" i="3"/>
  <c r="G68" i="3"/>
  <c r="F72" i="3"/>
  <c r="G71" i="3"/>
  <c r="G80" i="3"/>
  <c r="F81" i="3"/>
  <c r="D47" i="3"/>
  <c r="J35" i="3"/>
  <c r="I34" i="3"/>
  <c r="J33" i="3"/>
  <c r="D88" i="3"/>
  <c r="C89" i="3"/>
  <c r="C81" i="3"/>
  <c r="D80" i="3"/>
  <c r="C44" i="3"/>
  <c r="D43" i="3"/>
  <c r="F29" i="3"/>
  <c r="G28" i="3"/>
  <c r="D41" i="3"/>
  <c r="I81" i="3"/>
  <c r="J80" i="3"/>
  <c r="I88" i="3"/>
  <c r="J87" i="3"/>
  <c r="C43" i="3"/>
  <c r="F41" i="3"/>
  <c r="F42" i="3"/>
  <c r="G41" i="3"/>
  <c r="F45" i="3"/>
  <c r="N17" i="3"/>
  <c r="C53" i="3"/>
  <c r="D52" i="3"/>
  <c r="F50" i="3"/>
  <c r="G49" i="3"/>
  <c r="I3" i="16"/>
  <c r="I4" i="13"/>
  <c r="I3" i="28"/>
  <c r="I3" i="19"/>
  <c r="I3" i="17"/>
  <c r="M15" i="3"/>
  <c r="G56" i="3"/>
  <c r="F57" i="3"/>
  <c r="F70" i="3"/>
  <c r="G69" i="3"/>
  <c r="I41" i="3"/>
  <c r="J40" i="3"/>
  <c r="C39" i="3"/>
  <c r="D38" i="3"/>
  <c r="F38" i="3"/>
  <c r="G37" i="3"/>
  <c r="D55" i="3"/>
  <c r="G88" i="3"/>
  <c r="F89" i="3"/>
  <c r="G78" i="3"/>
  <c r="F79" i="3"/>
  <c r="I36" i="3"/>
  <c r="C71" i="3"/>
  <c r="D70" i="3"/>
  <c r="E1" i="16"/>
  <c r="E1" i="19"/>
  <c r="E1" i="28"/>
  <c r="E1" i="17"/>
  <c r="C74" i="3"/>
  <c r="D73" i="3"/>
  <c r="C78" i="3"/>
  <c r="D77" i="3"/>
  <c r="D29" i="3"/>
  <c r="I23" i="3"/>
  <c r="J22" i="3"/>
  <c r="I48" i="3"/>
  <c r="I49" i="3"/>
  <c r="J48" i="3"/>
  <c r="I75" i="3"/>
  <c r="J74" i="3"/>
  <c r="I72" i="3"/>
  <c r="J71" i="3"/>
  <c r="I71" i="3"/>
  <c r="J70" i="3"/>
  <c r="I43" i="3"/>
  <c r="J42" i="3"/>
  <c r="D66" i="3"/>
  <c r="G22" i="3"/>
  <c r="F23" i="3"/>
  <c r="I25" i="3"/>
  <c r="J24" i="3"/>
  <c r="I33" i="3"/>
  <c r="J39" i="3"/>
  <c r="J2" i="28"/>
  <c r="J2" i="19"/>
  <c r="J2" i="16"/>
  <c r="J2" i="17"/>
  <c r="E14" i="20"/>
  <c r="E11" i="20"/>
  <c r="E10" i="20"/>
  <c r="E12" i="20"/>
  <c r="E8" i="20"/>
  <c r="E13" i="20"/>
  <c r="E9" i="20"/>
  <c r="D25" i="16"/>
  <c r="D37" i="16"/>
  <c r="D21" i="16"/>
  <c r="D16" i="16"/>
  <c r="D14" i="16"/>
  <c r="D19" i="16"/>
  <c r="D24" i="16"/>
  <c r="D34" i="16"/>
  <c r="D20" i="16"/>
  <c r="D28" i="16"/>
  <c r="D33" i="16"/>
  <c r="D32" i="16"/>
  <c r="D29" i="16"/>
  <c r="D9" i="16"/>
  <c r="D26" i="16"/>
  <c r="D11" i="16"/>
  <c r="D22" i="16"/>
  <c r="D17" i="16"/>
  <c r="D18" i="16"/>
  <c r="D13" i="16"/>
  <c r="D30" i="16"/>
  <c r="D36" i="16"/>
  <c r="D12" i="16"/>
  <c r="D27" i="16"/>
  <c r="D31" i="16"/>
  <c r="D10" i="16"/>
  <c r="D15" i="16"/>
  <c r="D35" i="16"/>
  <c r="B9" i="24"/>
  <c r="D9" i="17"/>
  <c r="D15" i="17"/>
  <c r="D18" i="17"/>
  <c r="D11" i="17"/>
  <c r="D14" i="17"/>
  <c r="D17" i="17"/>
  <c r="D20" i="17"/>
  <c r="D13" i="17"/>
  <c r="D19" i="17"/>
  <c r="D21" i="17"/>
  <c r="D10" i="17"/>
  <c r="D12" i="17"/>
  <c r="D16" i="17"/>
  <c r="D8" i="17"/>
  <c r="D11" i="28"/>
  <c r="D18" i="28"/>
  <c r="D12" i="28"/>
  <c r="D16" i="28"/>
  <c r="D22" i="28"/>
  <c r="D10" i="28"/>
  <c r="D14" i="28"/>
  <c r="D23" i="28"/>
  <c r="D9" i="28"/>
  <c r="D21" i="28"/>
  <c r="D20" i="28"/>
  <c r="D17" i="28"/>
  <c r="D8" i="28"/>
  <c r="D19" i="28"/>
  <c r="D25" i="28"/>
  <c r="D13" i="28"/>
  <c r="D24" i="28"/>
  <c r="D15" i="28"/>
  <c r="D24" i="19"/>
  <c r="D20" i="19"/>
  <c r="D23" i="19"/>
  <c r="D18" i="19"/>
  <c r="D19" i="19"/>
  <c r="D11" i="19"/>
  <c r="D21" i="19"/>
  <c r="D15" i="19"/>
  <c r="D13" i="19"/>
  <c r="D12" i="19"/>
  <c r="D14" i="19"/>
  <c r="D22" i="19"/>
  <c r="D10" i="19"/>
  <c r="D16" i="19"/>
  <c r="L16" i="3" l="1"/>
  <c r="S17" i="3"/>
  <c r="M17" i="3"/>
  <c r="D4" i="20"/>
  <c r="O17" i="3"/>
  <c r="P16" i="3"/>
  <c r="R14" i="3"/>
  <c r="R15" i="3"/>
  <c r="S14" i="3"/>
  <c r="P14" i="3"/>
  <c r="O15" i="3"/>
  <c r="O14" i="3"/>
  <c r="R16" i="3"/>
  <c r="S15" i="3"/>
  <c r="P15" i="3"/>
  <c r="O16" i="3"/>
  <c r="AB20" i="4"/>
  <c r="K21" i="3"/>
  <c r="K22" i="3"/>
  <c r="K23" i="3"/>
  <c r="K24" i="3"/>
  <c r="K19" i="3"/>
  <c r="K20" i="3"/>
  <c r="K18" i="3"/>
  <c r="L15" i="3"/>
  <c r="M14" i="3"/>
  <c r="L14" i="3"/>
  <c r="K4" i="19"/>
  <c r="K4" i="16"/>
  <c r="J8" i="13"/>
  <c r="L8" i="13" s="1"/>
  <c r="C8" i="13" s="1"/>
  <c r="D5" i="28" s="1"/>
  <c r="J12" i="13"/>
  <c r="L12" i="13" s="1"/>
  <c r="C12" i="13" s="1"/>
  <c r="D5" i="19" s="1"/>
  <c r="K4" i="28"/>
  <c r="K4" i="17"/>
  <c r="J13" i="13"/>
  <c r="L13" i="13" s="1"/>
  <c r="C13" i="13" s="1"/>
  <c r="D6" i="19" s="1"/>
  <c r="J14" i="13"/>
  <c r="L14" i="13" s="1"/>
  <c r="C14" i="13" s="1"/>
  <c r="D7" i="19" s="1"/>
  <c r="AB21" i="4"/>
  <c r="N22" i="3"/>
  <c r="N20" i="3"/>
  <c r="N18" i="3"/>
  <c r="O18" i="3" s="1"/>
  <c r="N23" i="3"/>
  <c r="N24" i="3"/>
  <c r="N19" i="3"/>
  <c r="N21" i="3"/>
  <c r="L17" i="3"/>
  <c r="M16" i="3"/>
  <c r="P17" i="3"/>
  <c r="J4" i="28"/>
  <c r="J4" i="16"/>
  <c r="J4" i="17"/>
  <c r="I13" i="13"/>
  <c r="K13" i="13" s="1"/>
  <c r="B13" i="13" s="1"/>
  <c r="C6" i="19" s="1"/>
  <c r="I14" i="13"/>
  <c r="K14" i="13" s="1"/>
  <c r="B14" i="13" s="1"/>
  <c r="C7" i="19" s="1"/>
  <c r="I12" i="13"/>
  <c r="K12" i="13" s="1"/>
  <c r="B12" i="13" s="1"/>
  <c r="C5" i="19" s="1"/>
  <c r="J4" i="19"/>
  <c r="I8" i="13"/>
  <c r="K8" i="13" s="1"/>
  <c r="B8" i="13" s="1"/>
  <c r="C5" i="28" s="1"/>
  <c r="AB22" i="4"/>
  <c r="Q24" i="3"/>
  <c r="Q21" i="3"/>
  <c r="Q22" i="3"/>
  <c r="Q18" i="3"/>
  <c r="Q23" i="3"/>
  <c r="Q19" i="3"/>
  <c r="Q20" i="3"/>
  <c r="S16" i="3"/>
  <c r="R17" i="3"/>
  <c r="H5" i="20"/>
  <c r="D6" i="20"/>
  <c r="F5" i="20"/>
  <c r="G5" i="20"/>
  <c r="F10" i="20"/>
  <c r="F14" i="20"/>
  <c r="F11" i="20"/>
  <c r="F13" i="20"/>
  <c r="F9" i="20"/>
  <c r="F8" i="20"/>
  <c r="F12" i="20"/>
  <c r="G10" i="20"/>
  <c r="G9" i="20"/>
  <c r="G13" i="20"/>
  <c r="G12" i="20"/>
  <c r="G8" i="20"/>
  <c r="G11" i="20"/>
  <c r="G14" i="20"/>
  <c r="H12" i="20"/>
  <c r="H11" i="20"/>
  <c r="H9" i="20"/>
  <c r="H8" i="20"/>
  <c r="H10" i="20"/>
  <c r="H13" i="20"/>
  <c r="H14" i="20"/>
  <c r="S24" i="3" l="1"/>
  <c r="O20" i="3"/>
  <c r="P19" i="3"/>
  <c r="L23" i="3"/>
  <c r="M22" i="3"/>
  <c r="AB25" i="4"/>
  <c r="Q90" i="3" s="1"/>
  <c r="Q25" i="3"/>
  <c r="Q58" i="3"/>
  <c r="Q54" i="3"/>
  <c r="Q41" i="3"/>
  <c r="Q63" i="3"/>
  <c r="Q43" i="3"/>
  <c r="Q31" i="3"/>
  <c r="Q59" i="3"/>
  <c r="Q39" i="3"/>
  <c r="Q28" i="3"/>
  <c r="Q64" i="3"/>
  <c r="Q27" i="3"/>
  <c r="Q53" i="3"/>
  <c r="Q42" i="3"/>
  <c r="Q46" i="3"/>
  <c r="Q49" i="3"/>
  <c r="Q40" i="3"/>
  <c r="Q52" i="3"/>
  <c r="Q34" i="3"/>
  <c r="Q51" i="3"/>
  <c r="Q45" i="3"/>
  <c r="Q38" i="3"/>
  <c r="Q50" i="3"/>
  <c r="Q55" i="3"/>
  <c r="Q56" i="3"/>
  <c r="Q44" i="3"/>
  <c r="Q37" i="3"/>
  <c r="Q62" i="3"/>
  <c r="Q57" i="3"/>
  <c r="Q29" i="3"/>
  <c r="Q26" i="3"/>
  <c r="Q48" i="3"/>
  <c r="Q33" i="3"/>
  <c r="Q36" i="3"/>
  <c r="Q47" i="3"/>
  <c r="Q35" i="3"/>
  <c r="Q61" i="3"/>
  <c r="Q60" i="3"/>
  <c r="Q32" i="3"/>
  <c r="Q30" i="3"/>
  <c r="P24" i="3"/>
  <c r="L22" i="3"/>
  <c r="M21" i="3"/>
  <c r="S21" i="3"/>
  <c r="R22" i="3"/>
  <c r="S20" i="3"/>
  <c r="R21" i="3"/>
  <c r="O24" i="3"/>
  <c r="P23" i="3"/>
  <c r="AB23" i="4"/>
  <c r="K90" i="3" s="1"/>
  <c r="K39" i="3"/>
  <c r="K28" i="3"/>
  <c r="K48" i="3"/>
  <c r="K36" i="3"/>
  <c r="K42" i="3"/>
  <c r="K44" i="3"/>
  <c r="K34" i="3"/>
  <c r="K45" i="3"/>
  <c r="K46" i="3"/>
  <c r="K49" i="3"/>
  <c r="K43" i="3"/>
  <c r="K31" i="3"/>
  <c r="K59" i="3"/>
  <c r="K25" i="3"/>
  <c r="L25" i="3" s="1"/>
  <c r="K41" i="3"/>
  <c r="K56" i="3"/>
  <c r="K63" i="3"/>
  <c r="K50" i="3"/>
  <c r="K62" i="3"/>
  <c r="K40" i="3"/>
  <c r="K52" i="3"/>
  <c r="K53" i="3"/>
  <c r="K38" i="3"/>
  <c r="K51" i="3"/>
  <c r="K57" i="3"/>
  <c r="K37" i="3"/>
  <c r="K58" i="3"/>
  <c r="K33" i="3"/>
  <c r="K55" i="3"/>
  <c r="K47" i="3"/>
  <c r="K32" i="3"/>
  <c r="K61" i="3"/>
  <c r="K60" i="3"/>
  <c r="K54" i="3"/>
  <c r="K64" i="3"/>
  <c r="K27" i="3"/>
  <c r="K29" i="3"/>
  <c r="K26" i="3"/>
  <c r="K30" i="3"/>
  <c r="K35" i="3"/>
  <c r="R20" i="3"/>
  <c r="S19" i="3"/>
  <c r="O19" i="3"/>
  <c r="P18" i="3"/>
  <c r="L18" i="3"/>
  <c r="M18" i="3"/>
  <c r="L19" i="3"/>
  <c r="S23" i="3"/>
  <c r="R24" i="3"/>
  <c r="P20" i="3"/>
  <c r="O21" i="3"/>
  <c r="M20" i="3"/>
  <c r="L21" i="3"/>
  <c r="R18" i="3"/>
  <c r="S18" i="3"/>
  <c r="R19" i="3"/>
  <c r="O23" i="3"/>
  <c r="P22" i="3"/>
  <c r="M19" i="3"/>
  <c r="L20" i="3"/>
  <c r="R23" i="3"/>
  <c r="S22" i="3"/>
  <c r="AB24" i="4"/>
  <c r="N90" i="3" s="1"/>
  <c r="N31" i="3"/>
  <c r="N59" i="3"/>
  <c r="N64" i="3"/>
  <c r="N27" i="3"/>
  <c r="N29" i="3"/>
  <c r="N35" i="3"/>
  <c r="N26" i="3"/>
  <c r="N61" i="3"/>
  <c r="N25" i="3"/>
  <c r="N48" i="3"/>
  <c r="N54" i="3"/>
  <c r="N41" i="3"/>
  <c r="N42" i="3"/>
  <c r="N40" i="3"/>
  <c r="N52" i="3"/>
  <c r="N34" i="3"/>
  <c r="N50" i="3"/>
  <c r="N28" i="3"/>
  <c r="N45" i="3"/>
  <c r="N43" i="3"/>
  <c r="N53" i="3"/>
  <c r="N56" i="3"/>
  <c r="N46" i="3"/>
  <c r="N49" i="3"/>
  <c r="N37" i="3"/>
  <c r="N51" i="3"/>
  <c r="N57" i="3"/>
  <c r="N62" i="3"/>
  <c r="N60" i="3"/>
  <c r="N33" i="3"/>
  <c r="N55" i="3"/>
  <c r="N47" i="3"/>
  <c r="N38" i="3"/>
  <c r="N36" i="3"/>
  <c r="N44" i="3"/>
  <c r="N30" i="3"/>
  <c r="N63" i="3"/>
  <c r="N39" i="3"/>
  <c r="N58" i="3"/>
  <c r="N32" i="3"/>
  <c r="M24" i="3"/>
  <c r="P21" i="3"/>
  <c r="O22" i="3"/>
  <c r="M23" i="3"/>
  <c r="L24" i="3"/>
  <c r="R91" i="3" l="1"/>
  <c r="O91" i="3"/>
  <c r="C5" i="21"/>
  <c r="H5" i="13"/>
  <c r="E2" i="20"/>
  <c r="L91" i="3"/>
  <c r="O33" i="3"/>
  <c r="P32" i="3"/>
  <c r="O37" i="3"/>
  <c r="P36" i="3"/>
  <c r="G1" i="26"/>
  <c r="O52" i="3"/>
  <c r="P51" i="3"/>
  <c r="O29" i="3"/>
  <c r="P28" i="3"/>
  <c r="P48" i="3"/>
  <c r="O49" i="3"/>
  <c r="P59" i="3"/>
  <c r="O60" i="3"/>
  <c r="M27" i="3"/>
  <c r="L28" i="3"/>
  <c r="L34" i="3"/>
  <c r="M33" i="3"/>
  <c r="L41" i="3"/>
  <c r="M40" i="3"/>
  <c r="M31" i="3"/>
  <c r="L32" i="3"/>
  <c r="L37" i="3"/>
  <c r="M36" i="3"/>
  <c r="R34" i="3"/>
  <c r="S33" i="3"/>
  <c r="S56" i="3"/>
  <c r="R57" i="3"/>
  <c r="R41" i="3"/>
  <c r="S40" i="3"/>
  <c r="R40" i="3"/>
  <c r="S39" i="3"/>
  <c r="S25" i="3"/>
  <c r="R26" i="3"/>
  <c r="P47" i="3"/>
  <c r="O48" i="3"/>
  <c r="O39" i="3"/>
  <c r="P38" i="3"/>
  <c r="O38" i="3"/>
  <c r="P37" i="3"/>
  <c r="O51" i="3"/>
  <c r="P50" i="3"/>
  <c r="O26" i="3"/>
  <c r="P25" i="3"/>
  <c r="P31" i="3"/>
  <c r="O32" i="3"/>
  <c r="M64" i="3"/>
  <c r="L59" i="3"/>
  <c r="M58" i="3"/>
  <c r="L63" i="3"/>
  <c r="M62" i="3"/>
  <c r="L44" i="3"/>
  <c r="M43" i="3"/>
  <c r="L49" i="3"/>
  <c r="M48" i="3"/>
  <c r="R31" i="3"/>
  <c r="S30" i="3"/>
  <c r="S48" i="3"/>
  <c r="R49" i="3"/>
  <c r="S55" i="3"/>
  <c r="R56" i="3"/>
  <c r="R50" i="3"/>
  <c r="S49" i="3"/>
  <c r="S59" i="3"/>
  <c r="R60" i="3"/>
  <c r="Q89" i="3"/>
  <c r="Q79" i="3"/>
  <c r="Q75" i="3"/>
  <c r="Q77" i="3"/>
  <c r="Q84" i="3"/>
  <c r="Q74" i="3"/>
  <c r="Q85" i="3"/>
  <c r="Q76" i="3"/>
  <c r="Q88" i="3"/>
  <c r="Q78" i="3"/>
  <c r="Q86" i="3"/>
  <c r="Q82" i="3"/>
  <c r="Q81" i="3"/>
  <c r="Q87" i="3"/>
  <c r="Q83" i="3"/>
  <c r="Q80" i="3"/>
  <c r="Q66" i="3"/>
  <c r="Q69" i="3"/>
  <c r="Q71" i="3"/>
  <c r="Q65" i="3"/>
  <c r="Q72" i="3"/>
  <c r="Q73" i="3"/>
  <c r="Q68" i="3"/>
  <c r="Q70" i="3"/>
  <c r="Q67" i="3"/>
  <c r="O50" i="3"/>
  <c r="P49" i="3"/>
  <c r="S32" i="3"/>
  <c r="R33" i="3"/>
  <c r="S26" i="3"/>
  <c r="R27" i="3"/>
  <c r="R51" i="3"/>
  <c r="S50" i="3"/>
  <c r="R47" i="3"/>
  <c r="S46" i="3"/>
  <c r="R32" i="3"/>
  <c r="S31" i="3"/>
  <c r="P61" i="3"/>
  <c r="O62" i="3"/>
  <c r="M37" i="3"/>
  <c r="L38" i="3"/>
  <c r="P58" i="3"/>
  <c r="O59" i="3"/>
  <c r="O56" i="3"/>
  <c r="P55" i="3"/>
  <c r="O47" i="3"/>
  <c r="P46" i="3"/>
  <c r="O53" i="3"/>
  <c r="P52" i="3"/>
  <c r="O27" i="3"/>
  <c r="P26" i="3"/>
  <c r="L61" i="3"/>
  <c r="M60" i="3"/>
  <c r="M57" i="3"/>
  <c r="L58" i="3"/>
  <c r="L64" i="3"/>
  <c r="M63" i="3"/>
  <c r="M46" i="3"/>
  <c r="L47" i="3"/>
  <c r="M39" i="3"/>
  <c r="L40" i="3"/>
  <c r="R61" i="3"/>
  <c r="S60" i="3"/>
  <c r="R30" i="3"/>
  <c r="S29" i="3"/>
  <c r="S38" i="3"/>
  <c r="R39" i="3"/>
  <c r="S42" i="3"/>
  <c r="R43" i="3"/>
  <c r="R44" i="3"/>
  <c r="S43" i="3"/>
  <c r="N85" i="3"/>
  <c r="N84" i="3"/>
  <c r="N76" i="3"/>
  <c r="N86" i="3"/>
  <c r="N78" i="3"/>
  <c r="N82" i="3"/>
  <c r="N75" i="3"/>
  <c r="N87" i="3"/>
  <c r="N88" i="3"/>
  <c r="E5" i="20" s="1"/>
  <c r="G7" i="20" s="1"/>
  <c r="N79" i="3"/>
  <c r="N89" i="3"/>
  <c r="N81" i="3"/>
  <c r="N74" i="3"/>
  <c r="N80" i="3"/>
  <c r="N77" i="3"/>
  <c r="N83" i="3"/>
  <c r="N65" i="3"/>
  <c r="N66" i="3"/>
  <c r="N70" i="3"/>
  <c r="N67" i="3"/>
  <c r="N71" i="3"/>
  <c r="N69" i="3"/>
  <c r="N72" i="3"/>
  <c r="N73" i="3"/>
  <c r="N68" i="3"/>
  <c r="M28" i="3"/>
  <c r="L29" i="3"/>
  <c r="O57" i="3"/>
  <c r="P56" i="3"/>
  <c r="O41" i="3"/>
  <c r="P40" i="3"/>
  <c r="O36" i="3"/>
  <c r="P35" i="3"/>
  <c r="L36" i="3"/>
  <c r="M35" i="3"/>
  <c r="M61" i="3"/>
  <c r="L62" i="3"/>
  <c r="M51" i="3"/>
  <c r="L52" i="3"/>
  <c r="L57" i="3"/>
  <c r="M56" i="3"/>
  <c r="M45" i="3"/>
  <c r="L46" i="3"/>
  <c r="K82" i="3"/>
  <c r="K87" i="3"/>
  <c r="K75" i="3"/>
  <c r="K79" i="3"/>
  <c r="K77" i="3"/>
  <c r="K76" i="3"/>
  <c r="K78" i="3"/>
  <c r="K88" i="3"/>
  <c r="K85" i="3"/>
  <c r="K86" i="3"/>
  <c r="K84" i="3"/>
  <c r="K89" i="3"/>
  <c r="K80" i="3"/>
  <c r="K81" i="3"/>
  <c r="K83" i="3"/>
  <c r="K74" i="3"/>
  <c r="K73" i="3"/>
  <c r="K68" i="3"/>
  <c r="K70" i="3"/>
  <c r="K67" i="3"/>
  <c r="K66" i="3"/>
  <c r="K72" i="3"/>
  <c r="K71" i="3"/>
  <c r="K65" i="3"/>
  <c r="K69" i="3"/>
  <c r="R62" i="3"/>
  <c r="S61" i="3"/>
  <c r="R58" i="3"/>
  <c r="S57" i="3"/>
  <c r="R46" i="3"/>
  <c r="S45" i="3"/>
  <c r="R54" i="3"/>
  <c r="S53" i="3"/>
  <c r="S63" i="3"/>
  <c r="R64" i="3"/>
  <c r="L51" i="3"/>
  <c r="M50" i="3"/>
  <c r="O40" i="3"/>
  <c r="P39" i="3"/>
  <c r="O64" i="3"/>
  <c r="P63" i="3"/>
  <c r="O61" i="3"/>
  <c r="P60" i="3"/>
  <c r="O54" i="3"/>
  <c r="P53" i="3"/>
  <c r="O43" i="3"/>
  <c r="P42" i="3"/>
  <c r="P29" i="3"/>
  <c r="O30" i="3"/>
  <c r="M30" i="3"/>
  <c r="L31" i="3"/>
  <c r="L33" i="3"/>
  <c r="M32" i="3"/>
  <c r="L39" i="3"/>
  <c r="M38" i="3"/>
  <c r="M41" i="3"/>
  <c r="L42" i="3"/>
  <c r="M34" i="3"/>
  <c r="L35" i="3"/>
  <c r="R36" i="3"/>
  <c r="S35" i="3"/>
  <c r="R63" i="3"/>
  <c r="S62" i="3"/>
  <c r="S51" i="3"/>
  <c r="R52" i="3"/>
  <c r="S27" i="3"/>
  <c r="R28" i="3"/>
  <c r="S41" i="3"/>
  <c r="R42" i="3"/>
  <c r="M49" i="3"/>
  <c r="L50" i="3"/>
  <c r="O34" i="3"/>
  <c r="P33" i="3"/>
  <c r="O31" i="3"/>
  <c r="P30" i="3"/>
  <c r="O63" i="3"/>
  <c r="P62" i="3"/>
  <c r="O44" i="3"/>
  <c r="P43" i="3"/>
  <c r="O42" i="3"/>
  <c r="P41" i="3"/>
  <c r="O28" i="3"/>
  <c r="P27" i="3"/>
  <c r="M26" i="3"/>
  <c r="L27" i="3"/>
  <c r="M47" i="3"/>
  <c r="L48" i="3"/>
  <c r="M53" i="3"/>
  <c r="L54" i="3"/>
  <c r="M25" i="3"/>
  <c r="L26" i="3"/>
  <c r="M44" i="3"/>
  <c r="L45" i="3"/>
  <c r="R48" i="3"/>
  <c r="S47" i="3"/>
  <c r="R38" i="3"/>
  <c r="S37" i="3"/>
  <c r="R35" i="3"/>
  <c r="S34" i="3"/>
  <c r="S64" i="3"/>
  <c r="R65" i="3"/>
  <c r="S54" i="3"/>
  <c r="R55" i="3"/>
  <c r="R25" i="3"/>
  <c r="F2" i="26"/>
  <c r="P34" i="3"/>
  <c r="O35" i="3"/>
  <c r="L55" i="3"/>
  <c r="M54" i="3"/>
  <c r="O45" i="3"/>
  <c r="P44" i="3"/>
  <c r="O58" i="3"/>
  <c r="P57" i="3"/>
  <c r="O46" i="3"/>
  <c r="P45" i="3"/>
  <c r="O55" i="3"/>
  <c r="P54" i="3"/>
  <c r="P64" i="3"/>
  <c r="L30" i="3"/>
  <c r="M29" i="3"/>
  <c r="M55" i="3"/>
  <c r="L56" i="3"/>
  <c r="M52" i="3"/>
  <c r="L53" i="3"/>
  <c r="L60" i="3"/>
  <c r="M59" i="3"/>
  <c r="L43" i="3"/>
  <c r="M42" i="3"/>
  <c r="O25" i="3"/>
  <c r="R37" i="3"/>
  <c r="S36" i="3"/>
  <c r="S44" i="3"/>
  <c r="R45" i="3"/>
  <c r="R53" i="3"/>
  <c r="S52" i="3"/>
  <c r="S28" i="3"/>
  <c r="R29" i="3"/>
  <c r="R59" i="3"/>
  <c r="S58" i="3"/>
  <c r="C3" i="21" l="1"/>
  <c r="E3" i="20"/>
  <c r="F7" i="20" s="1"/>
  <c r="C4" i="21"/>
  <c r="C7" i="21" s="1"/>
  <c r="J5" i="13"/>
  <c r="L5" i="13" s="1"/>
  <c r="C5" i="13" s="1"/>
  <c r="D5" i="16" s="1"/>
  <c r="I5" i="13"/>
  <c r="K5" i="13" s="1"/>
  <c r="B5" i="13" s="1"/>
  <c r="C5" i="16" s="1"/>
  <c r="M90" i="3"/>
  <c r="P90" i="3"/>
  <c r="S90" i="3"/>
  <c r="M5" i="13"/>
  <c r="D5" i="13" s="1"/>
  <c r="E5" i="16" s="1"/>
  <c r="E7" i="21"/>
  <c r="D7" i="21"/>
  <c r="L68" i="3"/>
  <c r="M67" i="3"/>
  <c r="H6" i="13"/>
  <c r="M89" i="3"/>
  <c r="L90" i="3"/>
  <c r="M79" i="3"/>
  <c r="L80" i="3"/>
  <c r="P72" i="3"/>
  <c r="O73" i="3"/>
  <c r="O78" i="3"/>
  <c r="P77" i="3"/>
  <c r="P75" i="3"/>
  <c r="O76" i="3"/>
  <c r="R69" i="3"/>
  <c r="S68" i="3"/>
  <c r="R84" i="3"/>
  <c r="S83" i="3"/>
  <c r="R86" i="3"/>
  <c r="S85" i="3"/>
  <c r="J6" i="13"/>
  <c r="L85" i="3"/>
  <c r="M84" i="3"/>
  <c r="O70" i="3"/>
  <c r="P69" i="3"/>
  <c r="O81" i="3"/>
  <c r="P80" i="3"/>
  <c r="O83" i="3"/>
  <c r="P82" i="3"/>
  <c r="R74" i="3"/>
  <c r="S73" i="3"/>
  <c r="S87" i="3"/>
  <c r="R88" i="3"/>
  <c r="S74" i="3"/>
  <c r="R75" i="3"/>
  <c r="L71" i="3"/>
  <c r="M70" i="3"/>
  <c r="M75" i="3"/>
  <c r="L76" i="3"/>
  <c r="L69" i="3"/>
  <c r="M68" i="3"/>
  <c r="L87" i="3"/>
  <c r="M86" i="3"/>
  <c r="L88" i="3"/>
  <c r="M87" i="3"/>
  <c r="O72" i="3"/>
  <c r="P71" i="3"/>
  <c r="P74" i="3"/>
  <c r="O75" i="3"/>
  <c r="P78" i="3"/>
  <c r="O79" i="3"/>
  <c r="R73" i="3"/>
  <c r="S72" i="3"/>
  <c r="R82" i="3"/>
  <c r="S81" i="3"/>
  <c r="J10" i="13"/>
  <c r="S84" i="3"/>
  <c r="R85" i="3"/>
  <c r="S82" i="3"/>
  <c r="R83" i="3"/>
  <c r="R78" i="3"/>
  <c r="S77" i="3"/>
  <c r="F8" i="26"/>
  <c r="F53" i="26"/>
  <c r="F23" i="26"/>
  <c r="F38" i="26"/>
  <c r="L86" i="3"/>
  <c r="M85" i="3"/>
  <c r="E4" i="20"/>
  <c r="E7" i="20" s="1"/>
  <c r="O87" i="3"/>
  <c r="P86" i="3"/>
  <c r="S65" i="3"/>
  <c r="R66" i="3"/>
  <c r="L65" i="3"/>
  <c r="L66" i="3"/>
  <c r="M65" i="3"/>
  <c r="L75" i="3"/>
  <c r="M74" i="3"/>
  <c r="I6" i="13"/>
  <c r="L89" i="3"/>
  <c r="M88" i="3"/>
  <c r="P70" i="3"/>
  <c r="O71" i="3"/>
  <c r="P89" i="3"/>
  <c r="O90" i="3"/>
  <c r="E2" i="26"/>
  <c r="G2" i="26"/>
  <c r="O77" i="3"/>
  <c r="P76" i="3"/>
  <c r="R72" i="3"/>
  <c r="S71" i="3"/>
  <c r="S86" i="3"/>
  <c r="R87" i="3"/>
  <c r="R76" i="3"/>
  <c r="S75" i="3"/>
  <c r="M82" i="3"/>
  <c r="L83" i="3"/>
  <c r="P67" i="3"/>
  <c r="O68" i="3"/>
  <c r="L72" i="3"/>
  <c r="M71" i="3"/>
  <c r="M83" i="3"/>
  <c r="L84" i="3"/>
  <c r="L79" i="3"/>
  <c r="M78" i="3"/>
  <c r="P66" i="3"/>
  <c r="O67" i="3"/>
  <c r="O80" i="3"/>
  <c r="P79" i="3"/>
  <c r="P84" i="3"/>
  <c r="O85" i="3"/>
  <c r="S69" i="3"/>
  <c r="R70" i="3"/>
  <c r="S78" i="3"/>
  <c r="R79" i="3"/>
  <c r="R80" i="3"/>
  <c r="S79" i="3"/>
  <c r="M73" i="3"/>
  <c r="L74" i="3"/>
  <c r="P81" i="3"/>
  <c r="O82" i="3"/>
  <c r="M72" i="3"/>
  <c r="L73" i="3"/>
  <c r="L82" i="3"/>
  <c r="M81" i="3"/>
  <c r="M76" i="3"/>
  <c r="L77" i="3"/>
  <c r="P68" i="3"/>
  <c r="O69" i="3"/>
  <c r="O65" i="3"/>
  <c r="O66" i="3"/>
  <c r="P65" i="3"/>
  <c r="P88" i="3"/>
  <c r="O89" i="3"/>
  <c r="O86" i="3"/>
  <c r="P85" i="3"/>
  <c r="R68" i="3"/>
  <c r="S67" i="3"/>
  <c r="S66" i="3"/>
  <c r="R67" i="3"/>
  <c r="I10" i="13"/>
  <c r="R89" i="3"/>
  <c r="S88" i="3"/>
  <c r="H10" i="13"/>
  <c r="S89" i="3"/>
  <c r="R90" i="3"/>
  <c r="M69" i="3"/>
  <c r="L70" i="3"/>
  <c r="L67" i="3"/>
  <c r="M66" i="3"/>
  <c r="L81" i="3"/>
  <c r="M80" i="3"/>
  <c r="L78" i="3"/>
  <c r="M77" i="3"/>
  <c r="O74" i="3"/>
  <c r="P73" i="3"/>
  <c r="O84" i="3"/>
  <c r="P83" i="3"/>
  <c r="O88" i="3"/>
  <c r="P87" i="3"/>
  <c r="R71" i="3"/>
  <c r="S70" i="3"/>
  <c r="R81" i="3"/>
  <c r="S80" i="3"/>
  <c r="S76" i="3"/>
  <c r="R77" i="3"/>
  <c r="F7" i="21" l="1"/>
  <c r="H23" i="26" s="1"/>
  <c r="E8" i="26"/>
  <c r="E38" i="26"/>
  <c r="E23" i="26"/>
  <c r="E53" i="26"/>
  <c r="M10" i="13"/>
  <c r="D10" i="13" s="1"/>
  <c r="E5" i="17" s="1"/>
  <c r="K10" i="13"/>
  <c r="B10" i="13" s="1"/>
  <c r="C5" i="17" s="1"/>
  <c r="L10" i="13"/>
  <c r="C10" i="13" s="1"/>
  <c r="D5" i="17" s="1"/>
  <c r="G8" i="26"/>
  <c r="G38" i="26"/>
  <c r="G23" i="26"/>
  <c r="G53" i="26"/>
  <c r="M6" i="13"/>
  <c r="D6" i="13" s="1"/>
  <c r="E6" i="16" s="1"/>
  <c r="K6" i="13"/>
  <c r="B6" i="13" s="1"/>
  <c r="C6" i="16" s="1"/>
  <c r="L6" i="13"/>
  <c r="C6" i="13" s="1"/>
  <c r="D6" i="16" s="1"/>
  <c r="H7" i="20"/>
  <c r="H8" i="26" l="1"/>
  <c r="H53" i="26"/>
  <c r="H38" i="26"/>
</calcChain>
</file>

<file path=xl/sharedStrings.xml><?xml version="1.0" encoding="utf-8"?>
<sst xmlns="http://schemas.openxmlformats.org/spreadsheetml/2006/main" count="801" uniqueCount="492">
  <si>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  <charset val="1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</si>
  <si>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</si>
  <si>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</si>
  <si>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</si>
  <si>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</si>
  <si>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</si>
  <si>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</si>
  <si>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</si>
  <si>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</si>
  <si>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</si>
  <si>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</si>
  <si>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</si>
  <si>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</si>
  <si>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</si>
  <si>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</si>
  <si>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</si>
  <si>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</si>
  <si>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</si>
  <si>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</si>
  <si>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</si>
  <si>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</si>
  <si>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</si>
  <si>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</si>
  <si>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</si>
  <si>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  <charset val="1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</si>
  <si>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</si>
  <si>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</si>
  <si>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</si>
  <si>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</si>
  <si>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</si>
  <si>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</si>
  <si>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</si>
  <si>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</si>
  <si>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</si>
  <si>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</si>
  <si>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</si>
  <si>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</si>
  <si>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</si>
  <si>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</si>
  <si>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</si>
  <si>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</si>
  <si>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</si>
  <si>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</si>
  <si>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</si>
  <si>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</si>
  <si>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</si>
  <si>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</si>
  <si>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</si>
  <si>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</si>
  <si>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</si>
  <si>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</si>
  <si>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</si>
  <si>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</si>
  <si>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</si>
  <si>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</si>
  <si>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  <charset val="1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</si>
  <si>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  <charset val="1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</si>
  <si>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  <charset val="1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</si>
  <si>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  <charset val="1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</si>
  <si>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</si>
  <si>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</si>
  <si>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</si>
  <si>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Linux Libertine G"/>
        <family val="2"/>
      </rPr>
      <t>组合净值（实盘）</t>
    </r>
    <r>
      <rPr>
        <b/>
        <sz val="15"/>
        <color rgb="FFFFFFFF"/>
        <rFont val="Arial"/>
        <family val="2"/>
        <charset val="1"/>
      </rPr>
      <t xml:space="preserve">· </t>
    </r>
    <r>
      <rPr>
        <b/>
        <sz val="15"/>
        <color rgb="FFFFFFFF"/>
        <rFont val="Linux Libertine G"/>
        <family val="2"/>
      </rPr>
      <t>各组合自起始日买入持有逐日计算</t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</si>
  <si>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</si>
  <si>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</si>
  <si>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  <charset val="1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</si>
  <si>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</si>
  <si>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</si>
  <si>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30-70</t>
    </r>
  </si>
  <si>
    <t>日期</t>
  </si>
  <si>
    <t>净值</t>
  </si>
  <si>
    <t>日收益</t>
  </si>
  <si>
    <t>回撤</t>
  </si>
  <si>
    <r>
      <rPr>
        <i/>
        <sz val="9"/>
        <color rgb="FF595959"/>
        <rFont val="Linux Libertine G"/>
        <family val="2"/>
      </rPr>
      <t>各组合自其净值起始日起</t>
    </r>
    <r>
      <rPr>
        <i/>
        <sz val="9"/>
        <color rgb="FF595959"/>
        <rFont val="Arial"/>
        <family val="2"/>
        <charset val="1"/>
      </rPr>
      <t>=1.0000</t>
    </r>
    <r>
      <rPr>
        <i/>
        <sz val="9"/>
        <color rgb="FF595959"/>
        <rFont val="Linux Libertine G"/>
        <family val="2"/>
      </rPr>
      <t>；买入持有，权重随涨跌漂移；净值已按各自年化费率折每日扣费。新增日期下拉填充。</t>
    </r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</si>
  <si>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</si>
  <si>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</si>
  <si>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</si>
  <si>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</si>
  <si>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</si>
  <si>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</si>
  <si>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</si>
  <si>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</si>
  <si>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</si>
  <si>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</si>
  <si>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</si>
  <si>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</si>
  <si>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</si>
  <si>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</si>
  <si>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</si>
  <si>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</si>
  <si>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</si>
  <si>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</si>
  <si>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</si>
  <si>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</si>
  <si>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</si>
  <si>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</si>
  <si>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  <charset val="1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</si>
  <si>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</si>
  <si>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  <charset val="1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</si>
  <si>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</si>
  <si>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</si>
  <si>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</si>
  <si>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</si>
  <si>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</si>
  <si>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</si>
  <si>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</si>
  <si>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</si>
  <si>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</si>
  <si>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</si>
  <si>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</si>
  <si>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</si>
  <si>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</si>
  <si>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</si>
  <si>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</si>
  <si>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</si>
  <si>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</si>
  <si>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</si>
  <si>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</si>
  <si>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</si>
  <si>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</si>
  <si>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</si>
  <si>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</si>
  <si>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</si>
  <si>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</si>
  <si>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</si>
  <si>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</si>
  <si>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</si>
  <si>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</si>
  <si>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</si>
  <si>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</si>
  <si>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</si>
  <si>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</si>
  <si>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</si>
  <si>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</si>
  <si>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</si>
  <si>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</si>
  <si>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</si>
  <si>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</si>
  <si>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</si>
  <si>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</si>
  <si>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</si>
  <si>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  <charset val="1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</si>
  <si>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  <charset val="1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  <charset val="1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  <charset val="1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  <charset val="1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  <charset val="1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  <charset val="1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</si>
  <si>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</si>
  <si>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</si>
  <si>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  <charset val="1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  <charset val="1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</si>
  <si>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  <charset val="1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  <charset val="1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</si>
  <si>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</si>
  <si>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</si>
  <si>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</si>
  <si>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  <charset val="1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</si>
  <si>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  <charset val="1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</si>
  <si>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</si>
  <si>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</si>
  <si>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</si>
  <si>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  <charset val="1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</si>
  <si>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  <charset val="1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</si>
  <si>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</si>
  <si>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  <charset val="1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</si>
  <si>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</si>
  <si>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  <charset val="1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  <charset val="1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  <charset val="1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  <charset val="1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</si>
  <si>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  <charset val="1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  <charset val="1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</si>
  <si>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</si>
  <si>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</si>
  <si>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  <charset val="1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</si>
  <si>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  <charset val="1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  <charset val="1"/>
      </rPr>
      <t>)</t>
    </r>
  </si>
  <si>
    <t>组合名称</t>
    <phoneticPr fontId="32" type="noConversion"/>
  </si>
  <si>
    <t>上线日期</t>
    <phoneticPr fontId="32" type="noConversion"/>
  </si>
  <si>
    <t>年费率</t>
    <phoneticPr fontId="32" type="noConversion"/>
  </si>
  <si>
    <t>10/90策略</t>
    <phoneticPr fontId="32" type="noConversion"/>
  </si>
  <si>
    <t>10/90基石</t>
    <phoneticPr fontId="32" type="noConversion"/>
  </si>
  <si>
    <t>10/90</t>
    <phoneticPr fontId="32" type="noConversion"/>
  </si>
  <si>
    <t>30/70策略</t>
    <phoneticPr fontId="32" type="noConversion"/>
  </si>
  <si>
    <t>30/70</t>
    <phoneticPr fontId="32" type="noConversion"/>
  </si>
  <si>
    <t>产业趋势策略</t>
    <phoneticPr fontId="32" type="noConversion"/>
  </si>
  <si>
    <t>产业趋势基石</t>
    <phoneticPr fontId="32" type="noConversion"/>
  </si>
  <si>
    <t>产业趋势</t>
    <phoneticPr fontId="32" type="noConversion"/>
  </si>
  <si>
    <t xml:space="preserve"> 产业趋势2号</t>
    <phoneticPr fontId="32" type="noConversion"/>
  </si>
  <si>
    <t>样板间投顾组合业绩预估</t>
    <phoneticPr fontId="29" type="noConversion"/>
  </si>
  <si>
    <t>日涨跌幅</t>
    <phoneticPr fontId="29" type="noConversion"/>
  </si>
  <si>
    <t>累计涨跌幅</t>
    <phoneticPr fontId="29" type="noConversion"/>
  </si>
  <si>
    <t>一、组合总览</t>
    <phoneticPr fontId="32" type="noConversion"/>
  </si>
  <si>
    <t>二、持仓基金表现</t>
    <phoneticPr fontId="32" type="noConversion"/>
  </si>
  <si>
    <t>宏利领先中小盘</t>
    <phoneticPr fontId="32" type="noConversion"/>
  </si>
  <si>
    <t>162214.OF</t>
    <phoneticPr fontId="32" type="noConversion"/>
  </si>
  <si>
    <t>比例</t>
    <phoneticPr fontId="32" type="noConversion"/>
  </si>
  <si>
    <t>本周以来</t>
    <phoneticPr fontId="32" type="noConversion"/>
  </si>
  <si>
    <t>产业趋势基石/产业趋势</t>
    <phoneticPr fontId="32" type="noConversion"/>
  </si>
  <si>
    <t>嘉实前沿创新</t>
    <phoneticPr fontId="32" type="noConversion"/>
  </si>
  <si>
    <t>产业趋势2号</t>
    <phoneticPr fontId="32" type="noConversion"/>
  </si>
  <si>
    <t>宏利复兴混合C</t>
    <phoneticPr fontId="32" type="noConversion"/>
  </si>
  <si>
    <t>嘉实信息产业C</t>
    <phoneticPr fontId="32" type="noConversion"/>
  </si>
  <si>
    <t>银华集成电路混合C</t>
    <phoneticPr fontId="32" type="noConversion"/>
  </si>
  <si>
    <t>上线以来</t>
    <phoneticPr fontId="32" type="noConversion"/>
  </si>
  <si>
    <t>今日涨跌</t>
    <phoneticPr fontId="29" type="noConversion"/>
  </si>
  <si>
    <t>累计涨跌</t>
    <phoneticPr fontId="32" type="noConversion"/>
  </si>
  <si>
    <t>上线以来</t>
    <phoneticPr fontId="29" type="noConversion"/>
  </si>
  <si>
    <t>本周以来</t>
    <phoneticPr fontId="29" type="noConversion"/>
  </si>
  <si>
    <t>上周五/本周初</t>
    <phoneticPr fontId="32" type="noConversion"/>
  </si>
  <si>
    <t>30/70</t>
  </si>
  <si>
    <t>30/70</t>
    <phoneticPr fontId="29" type="noConversion"/>
  </si>
  <si>
    <t>类型</t>
    <phoneticPr fontId="32" type="noConversion"/>
  </si>
  <si>
    <t>权益中枢
/股票仓位</t>
  </si>
  <si>
    <t>转债仓位</t>
    <phoneticPr fontId="32" type="noConversion"/>
  </si>
  <si>
    <t>最大回撤</t>
    <phoneticPr fontId="32" type="noConversion"/>
  </si>
  <si>
    <t>10/90配置样板间</t>
  </si>
  <si>
    <t>5%黄金</t>
    <phoneticPr fontId="32" type="noConversion"/>
  </si>
  <si>
    <t>10-90基石投顾账户</t>
    <phoneticPr fontId="32" type="noConversion"/>
  </si>
  <si>
    <t>1090账户基石投顾组合</t>
  </si>
  <si>
    <t>策略名称：</t>
  </si>
  <si>
    <t>投资组合(扣除投顾费,申赎费)</t>
  </si>
  <si>
    <t>业绩基准</t>
  </si>
  <si>
    <t>组合每日回撤率</t>
  </si>
  <si>
    <t>组合每日收益</t>
  </si>
  <si>
    <t>组合年化收益率</t>
  </si>
  <si>
    <t>基准日涨跌</t>
  </si>
  <si>
    <t>模拟净值</t>
    <phoneticPr fontId="29" type="noConversion"/>
  </si>
  <si>
    <t>016768.OF</t>
  </si>
  <si>
    <t>025218.OF</t>
    <phoneticPr fontId="32" type="noConversion"/>
  </si>
  <si>
    <t>022978.OF</t>
  </si>
  <si>
    <t>017587.OF</t>
  </si>
  <si>
    <t>026682.OF</t>
  </si>
  <si>
    <t>025822.OF</t>
  </si>
  <si>
    <t>018312.OF</t>
  </si>
  <si>
    <t>权益中枢</t>
  </si>
  <si>
    <t>招行长盈计划-安稳盈</t>
  </si>
  <si>
    <t>≤15%</t>
  </si>
  <si>
    <t>招行长盈计划-安定盈</t>
  </si>
  <si>
    <t>≤25%</t>
  </si>
  <si>
    <t>10/90投顾样板间</t>
    <phoneticPr fontId="29" type="noConversion"/>
  </si>
  <si>
    <t>国泰半导体设备ETF联接A</t>
    <phoneticPr fontId="32" type="noConversion"/>
  </si>
  <si>
    <t>国泰半导体设备ETF联接C</t>
    <phoneticPr fontId="32" type="noConversion"/>
  </si>
  <si>
    <t>日涨跌</t>
    <phoneticPr fontId="29" type="noConversion"/>
  </si>
  <si>
    <t>注：1090基石投顾组合2026/06/18上线，内部数据请勿外发，历史数据仅供参考，不代表未来收益</t>
  </si>
  <si>
    <t>注：1090基石投顾组合2026/06/18上线，内部数据请勿外发，历史数据仅供参考，不代表未来收益</t>
    <phoneticPr fontId="32" type="noConversion"/>
  </si>
  <si>
    <t>10/90投顾组合业绩预估</t>
    <phoneticPr fontId="29" type="noConversion"/>
  </si>
  <si>
    <r>
      <rPr>
        <sz val="9"/>
        <color theme="1"/>
        <rFont val="微软雅黑"/>
        <family val="2"/>
        <charset val="134"/>
      </rPr>
      <t>宏利复兴混合A</t>
    </r>
    <phoneticPr fontId="32" type="noConversion"/>
  </si>
  <si>
    <r>
      <rPr>
        <sz val="9"/>
        <color theme="1"/>
        <rFont val="微软雅黑"/>
        <family val="2"/>
        <charset val="134"/>
      </rPr>
      <t>嘉实信息产业A</t>
    </r>
    <phoneticPr fontId="32" type="noConversion"/>
  </si>
  <si>
    <r>
      <rPr>
        <sz val="9"/>
        <color theme="1"/>
        <rFont val="微软雅黑"/>
        <family val="2"/>
        <charset val="134"/>
      </rPr>
      <t>信澳业绩驱动A</t>
    </r>
    <phoneticPr fontId="32" type="noConversion"/>
  </si>
  <si>
    <r>
      <rPr>
        <sz val="9"/>
        <color theme="1"/>
        <rFont val="微软雅黑"/>
        <family val="2"/>
        <charset val="134"/>
      </rPr>
      <t>银华集成电路混合A</t>
    </r>
    <phoneticPr fontId="32" type="noConversion"/>
  </si>
  <si>
    <r>
      <rPr>
        <sz val="9"/>
        <color theme="1"/>
        <rFont val="微软雅黑"/>
        <family val="2"/>
        <charset val="134"/>
      </rPr>
      <t>嘉实快线货币A</t>
    </r>
    <phoneticPr fontId="32" type="noConversion"/>
  </si>
  <si>
    <t>产业趋势投顾业绩组合预估</t>
    <phoneticPr fontId="29" type="noConversion"/>
  </si>
  <si>
    <t>30/70投顾组合业绩预估</t>
    <phoneticPr fontId="29" type="noConversion"/>
  </si>
  <si>
    <t>10/90基石投顾账户</t>
    <phoneticPr fontId="32" type="noConversion"/>
  </si>
  <si>
    <t>上一个交易日</t>
    <phoneticPr fontId="29" type="noConversion"/>
  </si>
  <si>
    <t>最新交易日</t>
    <phoneticPr fontId="32" type="noConversion"/>
  </si>
  <si>
    <t>今日</t>
    <phoneticPr fontId="29" type="noConversion"/>
  </si>
  <si>
    <t>昨日</t>
    <phoneticPr fontId="29" type="noConversion"/>
  </si>
  <si>
    <t>最新交易日</t>
    <phoneticPr fontId="29" type="noConversion"/>
  </si>
  <si>
    <t>上一交易日</t>
    <phoneticPr fontId="29" type="noConversion"/>
  </si>
  <si>
    <t>本周第一个交易日</t>
    <phoneticPr fontId="29" type="noConversion"/>
  </si>
  <si>
    <t>上周最后一个交易日</t>
    <phoneticPr fontId="29" type="noConversion"/>
  </si>
  <si>
    <t>本周一</t>
    <phoneticPr fontId="29" type="noConversion"/>
  </si>
  <si>
    <t>上周五</t>
    <phoneticPr fontId="29" type="noConversion"/>
  </si>
  <si>
    <t>自然日</t>
    <phoneticPr fontId="29" type="noConversion"/>
  </si>
  <si>
    <t>同花顺交易日</t>
    <phoneticPr fontId="29" type="noConversion"/>
  </si>
  <si>
    <t>上线日</t>
    <phoneticPr fontId="29" type="noConversion"/>
  </si>
  <si>
    <t>上线后第一个交易日</t>
    <phoneticPr fontId="29" type="noConversion"/>
  </si>
  <si>
    <t>上2个交易日</t>
    <phoneticPr fontId="29" type="noConversion"/>
  </si>
  <si>
    <t>前1个交易日</t>
    <phoneticPr fontId="29" type="noConversion"/>
  </si>
  <si>
    <r>
      <t>FOF</t>
    </r>
    <r>
      <rPr>
        <sz val="6"/>
        <rFont val="微软雅黑"/>
        <family val="2"/>
        <charset val="134"/>
      </rPr>
      <t>估值</t>
    </r>
    <phoneticPr fontId="29" type="noConversion"/>
  </si>
  <si>
    <t>110017.OF</t>
  </si>
  <si>
    <t>001316.OF</t>
  </si>
  <si>
    <t>004010.OF</t>
  </si>
  <si>
    <t>009089.OF</t>
  </si>
  <si>
    <t>000385.OF</t>
  </si>
  <si>
    <t>162210.OF</t>
  </si>
  <si>
    <t>018595.OF</t>
  </si>
  <si>
    <t>015931.OF</t>
  </si>
  <si>
    <t>014088.OF</t>
  </si>
  <si>
    <t>002961.OF</t>
  </si>
  <si>
    <t>002969.OF</t>
  </si>
  <si>
    <t>000143.OF</t>
  </si>
  <si>
    <t>470010.OF</t>
  </si>
  <si>
    <t>160718.OF</t>
  </si>
  <si>
    <t>003504.OF</t>
  </si>
  <si>
    <t>易方达增强回报A</t>
  </si>
  <si>
    <t>安信稳健增值A</t>
  </si>
  <si>
    <t>华泰柏瑞鼎利A</t>
  </si>
  <si>
    <t>嘉实稳固收益A</t>
  </si>
  <si>
    <t>景顺长城景颐双利A</t>
  </si>
  <si>
    <t>宏利集利A</t>
  </si>
  <si>
    <t>华商利欣回报A</t>
  </si>
  <si>
    <t>金鹰恒润A</t>
  </si>
  <si>
    <t>永赢稳健增强A</t>
  </si>
  <si>
    <t>中欧双利A</t>
  </si>
  <si>
    <t>易方达丰和A</t>
  </si>
  <si>
    <t>鹏华双债加利A</t>
  </si>
  <si>
    <t>汇添富多元收益A</t>
  </si>
  <si>
    <t>嘉实多利收益A</t>
  </si>
  <si>
    <t>景顺长城景颐丰利A</t>
  </si>
  <si>
    <t>公募固收+规模前十（2026Q2）基金表现</t>
    <phoneticPr fontId="29" type="noConversion"/>
  </si>
  <si>
    <t>序号</t>
  </si>
  <si>
    <t>产品/基金名称</t>
  </si>
  <si>
    <t>26Q2规模（亿元）</t>
    <phoneticPr fontId="29" type="noConversion"/>
  </si>
  <si>
    <t>6/22-7/30</t>
    <phoneticPr fontId="29" type="noConversion"/>
  </si>
  <si>
    <t>7.31至今</t>
    <phoneticPr fontId="29" type="noConversion"/>
  </si>
  <si>
    <t>最大回撤（上线以来）</t>
    <phoneticPr fontId="29" type="noConversion"/>
  </si>
  <si>
    <t>组合</t>
  </si>
  <si>
    <t>10/90基石投顾组合</t>
    <phoneticPr fontId="29" type="noConversion"/>
  </si>
  <si>
    <t>景顺长城景颐丰利债券</t>
  </si>
  <si>
    <t>鹏华双债加利债券</t>
  </si>
  <si>
    <t>景顺长城景颐双利债券</t>
  </si>
  <si>
    <t>002065.OF</t>
  </si>
  <si>
    <t>景顺长城景盛双息收益债券</t>
  </si>
  <si>
    <t>易方达丰和债券</t>
  </si>
  <si>
    <t>永赢稳健增强债券</t>
  </si>
  <si>
    <t>001751.OF</t>
  </si>
  <si>
    <t>华商信用增强债券</t>
  </si>
  <si>
    <t>014846.OF</t>
  </si>
  <si>
    <t>博时恒乐债券</t>
  </si>
  <si>
    <t>000171.OF</t>
  </si>
  <si>
    <t>易方达裕丰回报债券</t>
  </si>
  <si>
    <t>202101.OF</t>
  </si>
  <si>
    <t>南方宝元债券</t>
  </si>
  <si>
    <t>公募固收+Q2规模增长前十基金表现</t>
    <phoneticPr fontId="29" type="noConversion"/>
  </si>
  <si>
    <t>汇添富多元收益债券</t>
  </si>
  <si>
    <t>000406.OF</t>
  </si>
  <si>
    <t>汇添富双利增强债券</t>
  </si>
  <si>
    <t>华商利欣回报债券</t>
  </si>
  <si>
    <t>020218.OF</t>
  </si>
  <si>
    <t>万家锦利债券发起式</t>
  </si>
  <si>
    <t>公司公募固收+保有前十基金表现（2026Q2）</t>
    <phoneticPr fontId="29" type="noConversion"/>
  </si>
  <si>
    <t>公司固收加保有前十（万元）</t>
    <phoneticPr fontId="29" type="noConversion"/>
  </si>
  <si>
    <t>009355.OF</t>
  </si>
  <si>
    <t>宏利泰和稳健养老目标一年持有期混合(FOF)</t>
  </si>
  <si>
    <t>024057.OF</t>
  </si>
  <si>
    <t>宏利鼎森稳健3个月持有期混合(FOF)</t>
  </si>
  <si>
    <t>011168.OF</t>
  </si>
  <si>
    <t>嘉实睿享安久双利18个月持有期债券</t>
  </si>
  <si>
    <t>014738.OF</t>
  </si>
  <si>
    <t>广发恒祥债券</t>
  </si>
  <si>
    <t>006307.OF</t>
  </si>
  <si>
    <t>嘉实养老目标日期2040五年持有期混合(FOF)</t>
  </si>
  <si>
    <t>003458.OF</t>
  </si>
  <si>
    <t>嘉实稳宏债券</t>
  </si>
  <si>
    <t>110027.OF</t>
  </si>
  <si>
    <t>易方达安心回报债券</t>
  </si>
  <si>
    <t>005221.OF</t>
  </si>
  <si>
    <t>宏利全能优选混合(FOF)</t>
  </si>
  <si>
    <t>嘉实多利收益债券</t>
  </si>
  <si>
    <t>说明：基金收益率按复权单位净值计算；1090净值通过公式直接链接实盘净值数据</t>
    <phoneticPr fontId="29" type="noConversion"/>
  </si>
  <si>
    <t>最大回撤按页首“上线以来”起止日计算；日期参数需选择净值明细中存在的日期，否则相应收益率留空。</t>
    <phoneticPr fontId="29" type="noConversion"/>
  </si>
  <si>
    <t>数据源：同花顺 iFinD；基金净值明细覆盖 2026-06-18 至 2026-08-10。</t>
  </si>
  <si>
    <t>10/90基石投顾组合</t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</si>
  <si>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</si>
  <si>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</si>
  <si>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</si>
  <si>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003376.OF</t>
  </si>
  <si>
    <t>008015.OF</t>
  </si>
  <si>
    <t>广发中债7-10年国开债A</t>
  </si>
  <si>
    <t>嘉实中债3-5年国开债A</t>
  </si>
  <si>
    <t>003376</t>
  </si>
  <si>
    <t>008015</t>
  </si>
  <si>
    <t>10-90 · P4(9/11调仓及动平衡后)</t>
  </si>
  <si>
    <t>10-90基石 · P4(9/11调仓及动平衡后)</t>
  </si>
  <si>
    <t>30-70 · P4(9/11调仓及动平衡后)</t>
  </si>
  <si>
    <t>20/80基石投顾账户</t>
    <phoneticPr fontId="32" type="noConversion"/>
  </si>
  <si>
    <t>20/80配置样板间</t>
    <phoneticPr fontId="29" type="noConversion"/>
  </si>
  <si>
    <t>5%黄金</t>
    <phoneticPr fontId="32" type="noConversion"/>
  </si>
  <si>
    <t>002065.OF</t>
    <phoneticPr fontId="29" type="noConversion"/>
  </si>
  <si>
    <t>010011.OF</t>
    <phoneticPr fontId="29" type="noConversion"/>
  </si>
  <si>
    <t>010118.OF</t>
    <phoneticPr fontId="29" type="noConversion"/>
  </si>
  <si>
    <t>002925.OF</t>
    <phoneticPr fontId="29" type="noConversion"/>
  </si>
  <si>
    <t>110008.OF</t>
    <phoneticPr fontId="29" type="noConversion"/>
  </si>
  <si>
    <t>注：2080基石投顾组合2026/09/17上线，内部数据请勿外发，历史数据仅供参考，不代表未来收益</t>
    <phoneticPr fontId="32" type="noConversion"/>
  </si>
  <si>
    <t>20/80策略</t>
    <phoneticPr fontId="32" type="noConversion"/>
  </si>
  <si>
    <t>20/80</t>
    <phoneticPr fontId="32" type="noConversion"/>
  </si>
  <si>
    <r>
      <rPr>
        <b/>
        <sz val="11"/>
        <color rgb="FFFFFFFF"/>
        <rFont val="宋体"/>
        <family val="3"/>
        <charset val="134"/>
      </rPr>
      <t>组合</t>
    </r>
    <r>
      <rPr>
        <b/>
        <sz val="11"/>
        <color rgb="FFFFFFFF"/>
        <rFont val="Linux Libertine G"/>
        <family val="2"/>
      </rPr>
      <t xml:space="preserve"> 20</t>
    </r>
    <r>
      <rPr>
        <b/>
        <sz val="11"/>
        <color rgb="FFFFFFFF"/>
        <rFont val="Arial"/>
        <family val="2"/>
        <charset val="1"/>
      </rPr>
      <t>-80</t>
    </r>
    <phoneticPr fontId="29" type="noConversion"/>
  </si>
  <si>
    <t>20/80</t>
    <phoneticPr fontId="29" type="noConversion"/>
  </si>
  <si>
    <t>20/80投顾组合业绩预估</t>
    <phoneticPr fontId="29" type="noConversion"/>
  </si>
  <si>
    <t>20/80</t>
    <phoneticPr fontId="29" type="noConversion"/>
  </si>
  <si>
    <t>008779.OF</t>
  </si>
  <si>
    <t>006594.OF</t>
  </si>
  <si>
    <t>017954.OF</t>
  </si>
  <si>
    <t>019919.OF</t>
  </si>
  <si>
    <t>070019.OF</t>
  </si>
  <si>
    <t>000884.OF</t>
  </si>
  <si>
    <t>090013.OF</t>
  </si>
  <si>
    <t>121010.OF</t>
  </si>
  <si>
    <t>007466.OF</t>
  </si>
  <si>
    <t>008114.OF</t>
  </si>
  <si>
    <t>016581.OF</t>
  </si>
  <si>
    <t>嘉实中证500指数增强C</t>
  </si>
  <si>
    <t>博道中证500指数增强C</t>
  </si>
  <si>
    <t>汇添富中证1000指数增强C</t>
  </si>
  <si>
    <t>招商中证2000指数增强C</t>
  </si>
  <si>
    <t>嘉实价值优势混合A</t>
  </si>
  <si>
    <t>民生加银优选</t>
  </si>
  <si>
    <t>大成竞争优势混合A</t>
  </si>
  <si>
    <t>国投瑞银瑞源混合A</t>
  </si>
  <si>
    <t>华泰柏瑞红利低波ETF链接A</t>
  </si>
  <si>
    <t>天弘中证红利低波动100ETF联接A</t>
  </si>
  <si>
    <t>嘉实上海金ETF联接A</t>
  </si>
  <si>
    <t>嘉实中债3-5年国开行A</t>
  </si>
  <si>
    <t>广发7-10年国开行A</t>
  </si>
  <si>
    <t>20-80权重</t>
  </si>
  <si>
    <t>008779</t>
  </si>
  <si>
    <t>006594</t>
  </si>
  <si>
    <t>017954</t>
  </si>
  <si>
    <t>019919</t>
  </si>
  <si>
    <t>070019</t>
  </si>
  <si>
    <t>000884</t>
  </si>
  <si>
    <t>090013</t>
  </si>
  <si>
    <t>121010</t>
  </si>
  <si>
    <t>007466</t>
  </si>
  <si>
    <t>008114</t>
  </si>
  <si>
    <t>016581</t>
  </si>
  <si>
    <t>20-80 · P0初始</t>
  </si>
  <si>
    <t>110017.OF</t>
    <phoneticPr fontId="29" type="noConversion"/>
  </si>
  <si>
    <t>嘉实中债3-5年国开债指数A</t>
    <phoneticPr fontId="29" type="noConversion"/>
  </si>
  <si>
    <t>000917.OF</t>
    <phoneticPr fontId="29" type="noConversion"/>
  </si>
  <si>
    <t>007818.OF</t>
    <phoneticPr fontId="29" type="noConversion"/>
  </si>
  <si>
    <t>014201.OF</t>
    <phoneticPr fontId="29" type="noConversion"/>
  </si>
  <si>
    <t>016370.OF</t>
    <phoneticPr fontId="29" type="noConversion"/>
  </si>
  <si>
    <t>019923.OF</t>
    <phoneticPr fontId="29" type="noConversion"/>
  </si>
  <si>
    <t>019924.OF</t>
    <phoneticPr fontId="29" type="noConversion"/>
  </si>
  <si>
    <t>162214.OF</t>
    <phoneticPr fontId="29" type="noConversion"/>
  </si>
  <si>
    <t>003376.OF</t>
    <phoneticPr fontId="29" type="noConversion"/>
  </si>
  <si>
    <t>017954.OF</t>
    <phoneticPr fontId="29" type="noConversion"/>
  </si>
  <si>
    <t>121010.OF</t>
    <phoneticPr fontId="29" type="noConversion"/>
  </si>
  <si>
    <t>007466.OF</t>
    <phoneticPr fontId="29" type="noConversion"/>
  </si>
  <si>
    <t>华安黄金ETF联接A</t>
    <phoneticPr fontId="29" type="noConversion"/>
  </si>
  <si>
    <t>银华集成电路混合A</t>
    <phoneticPr fontId="29" type="noConversion"/>
  </si>
  <si>
    <t>中欧中证500指数增强C</t>
    <phoneticPr fontId="29" type="noConversion"/>
  </si>
  <si>
    <t>宏利复兴混合C</t>
    <phoneticPr fontId="29" type="noConversion"/>
  </si>
  <si>
    <t>国泰中证半导体材料设备主题ETF发起联接C</t>
    <phoneticPr fontId="29" type="noConversion"/>
  </si>
  <si>
    <t>华泰柏瑞中证2000指数增强A</t>
    <phoneticPr fontId="29" type="noConversion"/>
  </si>
  <si>
    <t>华泰柏瑞中证2000指数增强C</t>
    <phoneticPr fontId="29" type="noConversion"/>
  </si>
  <si>
    <t>易方达中债新综指(LOF)A</t>
    <phoneticPr fontId="29" type="noConversion"/>
  </si>
  <si>
    <t>嘉实价值优势混合A</t>
    <phoneticPr fontId="29" type="noConversion"/>
  </si>
  <si>
    <t>民生加银优选股票</t>
    <phoneticPr fontId="29" type="noConversion"/>
  </si>
  <si>
    <t>天弘中证红利低波动100ETF联接A</t>
    <phoneticPr fontId="29" type="noConversion"/>
  </si>
  <si>
    <t>复权单位净值</t>
    <phoneticPr fontId="29" type="noConversion"/>
  </si>
  <si>
    <t>日期</t>
    <phoneticPr fontId="29" type="noConversion"/>
  </si>
  <si>
    <t>天弘中证1000指数增强A</t>
    <phoneticPr fontId="29" type="noConversion"/>
  </si>
  <si>
    <t>复权单位净值</t>
    <phoneticPr fontId="29" type="noConversion"/>
  </si>
  <si>
    <t>090013.OF</t>
    <phoneticPr fontId="29" type="noConversion"/>
  </si>
  <si>
    <t>博道中证500增强C</t>
    <phoneticPr fontId="29" type="noConversion"/>
  </si>
  <si>
    <t>汇添富中证1000指数增强C</t>
    <phoneticPr fontId="29" type="noConversion"/>
  </si>
  <si>
    <t>复权单位净值</t>
    <phoneticPr fontId="29" type="noConversion"/>
  </si>
  <si>
    <t>000884.OF</t>
    <phoneticPr fontId="29" type="noConversion"/>
  </si>
  <si>
    <t>008114.OF</t>
    <phoneticPr fontId="29" type="noConversion"/>
  </si>
  <si>
    <t>广发中债7-10年国开债指数A</t>
    <phoneticPr fontId="29" type="noConversion"/>
  </si>
  <si>
    <t>复权单位净值</t>
    <phoneticPr fontId="29" type="noConversion"/>
  </si>
  <si>
    <t>000216.OF</t>
    <phoneticPr fontId="29" type="noConversion"/>
  </si>
  <si>
    <t>001170.OF</t>
    <phoneticPr fontId="29" type="noConversion"/>
  </si>
  <si>
    <t>007044.OF</t>
    <phoneticPr fontId="29" type="noConversion"/>
  </si>
  <si>
    <t>007045.OF</t>
    <phoneticPr fontId="29" type="noConversion"/>
  </si>
  <si>
    <t>007817.OF</t>
    <phoneticPr fontId="29" type="noConversion"/>
  </si>
  <si>
    <t>009993.OF</t>
    <phoneticPr fontId="29" type="noConversion"/>
  </si>
  <si>
    <t>013840.OF</t>
    <phoneticPr fontId="29" type="noConversion"/>
  </si>
  <si>
    <t>013841.OF</t>
    <phoneticPr fontId="29" type="noConversion"/>
  </si>
  <si>
    <t>014202.OF</t>
    <phoneticPr fontId="29" type="noConversion"/>
  </si>
  <si>
    <t>015453.OF</t>
    <phoneticPr fontId="29" type="noConversion"/>
  </si>
  <si>
    <t>015454.OF</t>
    <phoneticPr fontId="29" type="noConversion"/>
  </si>
  <si>
    <t>017488.OF</t>
    <phoneticPr fontId="29" type="noConversion"/>
  </si>
  <si>
    <t>017489.OF</t>
    <phoneticPr fontId="29" type="noConversion"/>
  </si>
  <si>
    <t>017612.OF</t>
    <phoneticPr fontId="29" type="noConversion"/>
  </si>
  <si>
    <t>019632.OF</t>
    <phoneticPr fontId="29" type="noConversion"/>
  </si>
  <si>
    <t>019633.OF</t>
    <phoneticPr fontId="29" type="noConversion"/>
  </si>
  <si>
    <t>161119.OF</t>
    <phoneticPr fontId="29" type="noConversion"/>
  </si>
  <si>
    <t>008015.OF</t>
    <phoneticPr fontId="29" type="noConversion"/>
  </si>
  <si>
    <t>008779.OF</t>
    <phoneticPr fontId="29" type="noConversion"/>
  </si>
  <si>
    <t>006594.OF</t>
    <phoneticPr fontId="29" type="noConversion"/>
  </si>
  <si>
    <t>019919.OF</t>
    <phoneticPr fontId="29" type="noConversion"/>
  </si>
  <si>
    <t>070019.OF</t>
    <phoneticPr fontId="29" type="noConversion"/>
  </si>
  <si>
    <t>016581.OF</t>
    <phoneticPr fontId="29" type="noConversion"/>
  </si>
  <si>
    <t>嘉实快线货币A</t>
    <phoneticPr fontId="29" type="noConversion"/>
  </si>
  <si>
    <t>宏利复兴混合A</t>
    <phoneticPr fontId="29" type="noConversion"/>
  </si>
  <si>
    <t>博道沪深300增强A</t>
    <phoneticPr fontId="29" type="noConversion"/>
  </si>
  <si>
    <t>博道沪深300增强C</t>
    <phoneticPr fontId="29" type="noConversion"/>
  </si>
  <si>
    <t>国泰中证全指通信设备ETF联接A</t>
    <phoneticPr fontId="29" type="noConversion"/>
  </si>
  <si>
    <t>国泰中证全指通信设备ETF联接C</t>
    <phoneticPr fontId="29" type="noConversion"/>
  </si>
  <si>
    <t>嘉实前沿创新混合</t>
    <phoneticPr fontId="29" type="noConversion"/>
  </si>
  <si>
    <t>银华集成电路混合C</t>
    <phoneticPr fontId="29" type="noConversion"/>
  </si>
  <si>
    <t>天弘中证1000指数增强C</t>
    <phoneticPr fontId="29" type="noConversion"/>
  </si>
  <si>
    <t>中欧中证500指数增强A</t>
    <phoneticPr fontId="29" type="noConversion"/>
  </si>
  <si>
    <t>信澳业绩驱动混合A</t>
    <phoneticPr fontId="29" type="noConversion"/>
  </si>
  <si>
    <t>嘉实信息产业股票发起式A</t>
    <phoneticPr fontId="29" type="noConversion"/>
  </si>
  <si>
    <t>嘉实信息产业股票发起式C</t>
    <phoneticPr fontId="29" type="noConversion"/>
  </si>
  <si>
    <t>国泰中证半导体材料设备主题ETF发起联接A</t>
    <phoneticPr fontId="29" type="noConversion"/>
  </si>
  <si>
    <t>宏利领先中小盘混合</t>
    <phoneticPr fontId="29" type="noConversion"/>
  </si>
  <si>
    <t>嘉实中证500指数增强C</t>
    <phoneticPr fontId="29" type="noConversion"/>
  </si>
  <si>
    <t>招商中证2000指数增强C</t>
    <phoneticPr fontId="29" type="noConversion"/>
  </si>
  <si>
    <t>大成竞争优势混合A</t>
    <phoneticPr fontId="29" type="noConversion"/>
  </si>
  <si>
    <t>国投瑞银瑞源混合A</t>
    <phoneticPr fontId="29" type="noConversion"/>
  </si>
  <si>
    <t>华泰柏瑞中证红利低波ETF联接A</t>
    <phoneticPr fontId="29" type="noConversion"/>
  </si>
  <si>
    <t>嘉实上海金ETF发起联接A</t>
    <phoneticPr fontId="29" type="noConversion"/>
  </si>
  <si>
    <t>复权单位净值</t>
    <phoneticPr fontId="29" type="noConversion"/>
  </si>
  <si>
    <t>复权单位净值</t>
    <phoneticPr fontId="29" type="noConversion"/>
  </si>
  <si>
    <t>复权单位净值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</si>
</sst>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yyyy\-mm\-dd\ h:mm:ss"/>
    <numFmt numFmtId="185" formatCode="0.00_);[Red]\(0.00\)"/>
    <numFmt numFmtId="186" formatCode="0.0"/>
    <numFmt numFmtId="187" formatCode="0.0000%"/>
    <numFmt numFmtId="188" formatCode="#,##0.0000_ "/>
    <numFmt numFmtId="189" formatCode="_ * #,##0_ ;_ * \-#,##0_ ;_ * &quot;-&quot;??_ ;_ @_ "/>
  </numFmts>
  <fonts count="80">
    <font>
      <sz val="10"/>
      <name val="Linux Libertine G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  <charset val="1"/>
    </font>
    <font>
      <b/>
      <sz val="15"/>
      <color rgb="FFFFFFFF"/>
      <name val="Linux Libertine G"/>
      <family val="2"/>
    </font>
    <font>
      <b/>
      <sz val="15"/>
      <color rgb="FFFFFFFF"/>
      <name val="Arial"/>
      <family val="2"/>
      <charset val="1"/>
    </font>
    <font>
      <b/>
      <sz val="10"/>
      <color rgb="FFFFFFFF"/>
      <name val="Linux Libertine G"/>
      <family val="2"/>
    </font>
    <font>
      <b/>
      <sz val="10"/>
      <color rgb="FF000000"/>
      <name val="Linux Libertine G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  <family val="2"/>
    </font>
    <font>
      <i/>
      <sz val="9"/>
      <color rgb="FF595959"/>
      <name val="Arial"/>
      <family val="2"/>
      <charset val="1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  <family val="2"/>
    </font>
    <font>
      <b/>
      <sz val="11"/>
      <color rgb="FFFFFFFF"/>
      <name val="Arial"/>
      <family val="2"/>
      <charset val="1"/>
    </font>
    <font>
      <sz val="10"/>
      <color rgb="FF000000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sz val="11"/>
      <color theme="1"/>
      <name val="宋体"/>
      <family val="2"/>
      <charset val="1"/>
    </font>
    <font>
      <b/>
      <sz val="18"/>
      <color rgb="FF1F3864"/>
      <name val="Linux Libertine G"/>
      <family val="2"/>
    </font>
    <font>
      <b/>
      <sz val="18"/>
      <color rgb="FF1F3864"/>
      <name val="Arial"/>
      <family val="2"/>
      <charset val="1"/>
    </font>
    <font>
      <b/>
      <sz val="12"/>
      <color rgb="FF1F3864"/>
      <name val="Linux Libertine G"/>
      <family val="2"/>
    </font>
    <font>
      <sz val="10"/>
      <color rgb="FF000000"/>
      <name val="微软雅黑"/>
      <family val="2"/>
      <charset val="1"/>
    </font>
    <font>
      <b/>
      <sz val="11"/>
      <color theme="1"/>
      <name val="Linux Libertine G"/>
      <family val="2"/>
    </font>
    <font>
      <sz val="9"/>
      <name val="宋体"/>
      <family val="3"/>
      <charset val="134"/>
    </font>
    <font>
      <sz val="10"/>
      <name val="Linux Libertine G"/>
      <family val="2"/>
    </font>
    <font>
      <b/>
      <sz val="12"/>
      <name val="华文中宋"/>
      <family val="3"/>
      <charset val="134"/>
    </font>
    <font>
      <sz val="9"/>
      <name val="Calibri"/>
      <family val="3"/>
      <charset val="134"/>
      <scheme val="minor"/>
    </font>
    <font>
      <sz val="10"/>
      <color theme="1"/>
      <name val="华文中宋"/>
      <family val="3"/>
      <charset val="134"/>
    </font>
    <font>
      <sz val="10"/>
      <name val="微软雅黑"/>
      <family val="2"/>
      <charset val="134"/>
    </font>
    <font>
      <sz val="10"/>
      <name val="华文中宋"/>
      <family val="3"/>
      <charset val="134"/>
    </font>
    <font>
      <sz val="10"/>
      <color theme="1" tint="0.499984740745262"/>
      <name val="华文中宋"/>
      <family val="3"/>
      <charset val="134"/>
    </font>
    <font>
      <sz val="11"/>
      <color indexed="8"/>
      <name val="Calibri"/>
      <family val="2"/>
      <scheme val="minor"/>
    </font>
    <font>
      <sz val="10"/>
      <color theme="1"/>
      <name val="宋体"/>
      <family val="3"/>
      <charset val="134"/>
    </font>
    <font>
      <sz val="10"/>
      <color theme="1"/>
      <name val="华文中宋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3"/>
      <name val="华文中宋"/>
      <family val="3"/>
      <charset val="134"/>
    </font>
    <font>
      <b/>
      <sz val="11"/>
      <color theme="0"/>
      <name val="华文中宋"/>
      <family val="3"/>
      <charset val="134"/>
    </font>
    <font>
      <sz val="10"/>
      <color theme="1"/>
      <name val="Calibri"/>
      <family val="2"/>
      <scheme val="minor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2"/>
      <color theme="1"/>
      <name val="Calibri"/>
      <family val="2"/>
      <scheme val="minor"/>
    </font>
    <font>
      <b/>
      <sz val="11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7"/>
      <name val="微软雅黑"/>
      <family val="2"/>
      <charset val="134"/>
    </font>
    <font>
      <b/>
      <sz val="11"/>
      <color theme="9"/>
      <name val="微软雅黑"/>
      <family val="2"/>
      <charset val="134"/>
    </font>
    <font>
      <b/>
      <sz val="10"/>
      <color theme="3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 tint="0.499984740745262"/>
      <name val="微软雅黑"/>
      <family val="2"/>
      <charset val="134"/>
    </font>
    <font>
      <b/>
      <sz val="9"/>
      <color theme="3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10"/>
      <name val="华文中宋"/>
      <family val="3"/>
      <charset val="134"/>
    </font>
    <font>
      <b/>
      <sz val="10"/>
      <color theme="3"/>
      <name val="华文中宋"/>
      <family val="3"/>
      <charset val="134"/>
    </font>
    <font>
      <b/>
      <sz val="10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6"/>
      <name val="Linux Libertine G"/>
      <family val="2"/>
    </font>
    <font>
      <sz val="6"/>
      <name val="微软雅黑"/>
      <family val="2"/>
      <charset val="134"/>
    </font>
    <font>
      <b/>
      <sz val="10"/>
      <color rgb="FFFF0000"/>
      <name val="Arial"/>
      <family val="2"/>
    </font>
    <font>
      <sz val="11"/>
      <color rgb="FF000000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FFFFFF"/>
      <name val="宋体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/>
      <diagonal/>
    </border>
  </borders>
  <cellStyleXfs count="12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/>
    <xf numFmtId="9" fontId="3" fillId="0" borderId="0" applyBorder="0" applyAlignment="0" applyProtection="0"/>
    <xf numFmtId="9" fontId="3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52" fillId="0" borderId="0"/>
    <xf numFmtId="43" fontId="30" fillId="0" borderId="0" applyFont="0" applyFill="0" applyBorder="0" applyAlignment="0" applyProtection="0">
      <alignment vertical="center"/>
    </xf>
  </cellStyleXfs>
  <cellXfs count="245">
    <xf numFmtId="0" fontId="0" fillId="0" borderId="0" xfId="0"/>
    <xf numFmtId="0" fontId="7" fillId="3" borderId="2" xfId="5" applyFont="1" applyFill="1" applyBorder="1" applyAlignment="1">
      <alignment horizontal="center" vertical="center" wrapText="1"/>
    </xf>
    <xf numFmtId="0" fontId="14" fillId="0" borderId="0" xfId="5" applyFont="1"/>
    <xf numFmtId="0" fontId="8" fillId="4" borderId="2" xfId="5" applyFont="1" applyFill="1" applyBorder="1" applyAlignment="1">
      <alignment horizontal="center" vertical="center" wrapText="1"/>
    </xf>
    <xf numFmtId="0" fontId="10" fillId="5" borderId="2" xfId="5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10" fontId="11" fillId="0" borderId="2" xfId="5" applyNumberFormat="1" applyFont="1" applyBorder="1" applyAlignment="1">
      <alignment horizontal="center" vertical="center" wrapText="1"/>
    </xf>
    <xf numFmtId="180" fontId="12" fillId="5" borderId="2" xfId="5" applyNumberFormat="1" applyFont="1" applyFill="1" applyBorder="1" applyAlignment="1">
      <alignment horizontal="center" vertical="center" wrapText="1"/>
    </xf>
    <xf numFmtId="180" fontId="13" fillId="6" borderId="2" xfId="5" applyNumberFormat="1" applyFont="1" applyFill="1" applyBorder="1" applyAlignment="1">
      <alignment horizontal="center" vertical="center"/>
    </xf>
    <xf numFmtId="181" fontId="11" fillId="5" borderId="2" xfId="5" applyNumberFormat="1" applyFont="1" applyFill="1" applyBorder="1" applyAlignment="1">
      <alignment horizontal="center" vertical="center" wrapText="1"/>
    </xf>
    <xf numFmtId="0" fontId="9" fillId="4" borderId="2" xfId="5" applyFont="1" applyFill="1" applyBorder="1" applyAlignment="1">
      <alignment horizontal="left" vertical="center"/>
    </xf>
    <xf numFmtId="182" fontId="16" fillId="0" borderId="0" xfId="5" applyNumberFormat="1" applyFont="1"/>
    <xf numFmtId="0" fontId="17" fillId="5" borderId="2" xfId="5" applyFont="1" applyFill="1" applyBorder="1" applyAlignment="1">
      <alignment horizontal="center" vertical="center" wrapText="1"/>
    </xf>
    <xf numFmtId="183" fontId="10" fillId="0" borderId="2" xfId="5" applyNumberFormat="1" applyFont="1" applyBorder="1" applyAlignment="1">
      <alignment horizontal="center" vertical="center" wrapText="1"/>
    </xf>
    <xf numFmtId="0" fontId="18" fillId="3" borderId="2" xfId="5" applyFont="1" applyFill="1" applyBorder="1" applyAlignment="1">
      <alignment horizontal="center" vertical="center" wrapText="1"/>
    </xf>
    <xf numFmtId="181" fontId="17" fillId="5" borderId="2" xfId="5" applyNumberFormat="1" applyFont="1" applyFill="1" applyBorder="1" applyAlignment="1">
      <alignment horizontal="center" vertical="center" wrapText="1"/>
    </xf>
    <xf numFmtId="10" fontId="20" fillId="0" borderId="2" xfId="5" applyNumberFormat="1" applyFont="1" applyBorder="1" applyAlignment="1">
      <alignment horizontal="center" vertical="center" wrapText="1"/>
    </xf>
    <xf numFmtId="0" fontId="21" fillId="0" borderId="0" xfId="0" applyFont="1"/>
    <xf numFmtId="0" fontId="16" fillId="0" borderId="0" xfId="5" applyFont="1"/>
    <xf numFmtId="10" fontId="22" fillId="0" borderId="0" xfId="0" applyNumberFormat="1" applyFont="1"/>
    <xf numFmtId="184" fontId="16" fillId="0" borderId="0" xfId="5" applyNumberFormat="1" applyFont="1"/>
    <xf numFmtId="0" fontId="23" fillId="0" borderId="0" xfId="5" applyFont="1"/>
    <xf numFmtId="0" fontId="22" fillId="0" borderId="0" xfId="0" applyFont="1"/>
    <xf numFmtId="181" fontId="4" fillId="0" borderId="0" xfId="5" applyNumberFormat="1"/>
    <xf numFmtId="0" fontId="24" fillId="0" borderId="0" xfId="5" applyFont="1"/>
    <xf numFmtId="0" fontId="26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21" fillId="0" borderId="0" xfId="5" applyFont="1" applyAlignment="1">
      <alignment vertical="center"/>
    </xf>
    <xf numFmtId="0" fontId="9" fillId="0" borderId="0" xfId="5" applyFont="1" applyAlignment="1">
      <alignment vertical="center"/>
    </xf>
    <xf numFmtId="180" fontId="11" fillId="6" borderId="2" xfId="5" applyNumberFormat="1" applyFont="1" applyFill="1" applyBorder="1"/>
    <xf numFmtId="0" fontId="11" fillId="6" borderId="2" xfId="5" applyFont="1" applyFill="1" applyBorder="1"/>
    <xf numFmtId="0" fontId="33" fillId="7" borderId="0" xfId="0" applyFont="1" applyFill="1" applyAlignment="1">
      <alignment horizontal="left" vertical="center"/>
    </xf>
    <xf numFmtId="181" fontId="31" fillId="11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7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0" fontId="35" fillId="7" borderId="0" xfId="7" applyNumberFormat="1" applyFont="1" applyFill="1" applyBorder="1" applyAlignment="1">
      <alignment horizontal="center" vertical="center" wrapText="1"/>
    </xf>
    <xf numFmtId="180" fontId="35" fillId="7" borderId="0" xfId="7" applyNumberFormat="1" applyFont="1" applyFill="1" applyBorder="1" applyAlignment="1">
      <alignment horizontal="center" vertical="center" wrapText="1"/>
    </xf>
    <xf numFmtId="183" fontId="35" fillId="7" borderId="0" xfId="0" applyNumberFormat="1" applyFont="1" applyFill="1" applyAlignment="1">
      <alignment horizontal="center" vertical="center" wrapText="1"/>
    </xf>
    <xf numFmtId="14" fontId="0" fillId="14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0" xfId="5" applyFont="1" applyAlignment="1">
      <alignment horizontal="center" vertical="center"/>
    </xf>
    <xf numFmtId="183" fontId="39" fillId="7" borderId="0" xfId="0" applyNumberFormat="1" applyFont="1" applyFill="1" applyAlignment="1">
      <alignment horizontal="center" vertical="center" wrapText="1"/>
    </xf>
    <xf numFmtId="0" fontId="38" fillId="0" borderId="0" xfId="5" applyFont="1" applyAlignment="1">
      <alignment horizontal="center" vertical="center"/>
    </xf>
    <xf numFmtId="181" fontId="41" fillId="13" borderId="0" xfId="0" applyNumberFormat="1" applyFont="1" applyFill="1" applyAlignment="1">
      <alignment horizontal="center" vertical="center" wrapText="1"/>
    </xf>
    <xf numFmtId="0" fontId="42" fillId="10" borderId="0" xfId="0" applyFont="1" applyFill="1" applyAlignment="1">
      <alignment horizontal="center" vertical="center" wrapText="1"/>
    </xf>
    <xf numFmtId="14" fontId="0" fillId="15" borderId="0" xfId="0" applyNumberFormat="1" applyFill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7" applyNumberFormat="1">
      <alignment vertical="center"/>
    </xf>
    <xf numFmtId="14" fontId="43" fillId="0" borderId="0" xfId="0" applyNumberFormat="1" applyFont="1"/>
    <xf numFmtId="14" fontId="0" fillId="0" borderId="0" xfId="0" applyNumberFormat="1"/>
    <xf numFmtId="0" fontId="47" fillId="17" borderId="7" xfId="0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10" fontId="49" fillId="0" borderId="7" xfId="0" applyNumberFormat="1" applyFont="1" applyBorder="1" applyAlignment="1">
      <alignment horizontal="center" vertical="center"/>
    </xf>
    <xf numFmtId="10" fontId="49" fillId="17" borderId="7" xfId="0" applyNumberFormat="1" applyFont="1" applyFill="1" applyBorder="1" applyAlignment="1">
      <alignment horizontal="center" vertical="center"/>
    </xf>
    <xf numFmtId="0" fontId="34" fillId="7" borderId="0" xfId="0" applyFont="1" applyFill="1" applyAlignment="1">
      <alignment vertical="top" wrapText="1"/>
    </xf>
    <xf numFmtId="0" fontId="47" fillId="17" borderId="0" xfId="0" applyFont="1" applyFill="1" applyAlignment="1">
      <alignment horizontal="center" vertical="center"/>
    </xf>
    <xf numFmtId="10" fontId="49" fillId="17" borderId="0" xfId="0" applyNumberFormat="1" applyFont="1" applyFill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10" fontId="49" fillId="0" borderId="4" xfId="0" applyNumberFormat="1" applyFont="1" applyBorder="1" applyAlignment="1">
      <alignment horizontal="center" vertical="center"/>
    </xf>
    <xf numFmtId="0" fontId="50" fillId="18" borderId="9" xfId="0" applyFont="1" applyFill="1" applyBorder="1"/>
    <xf numFmtId="185" fontId="50" fillId="18" borderId="0" xfId="9" applyNumberFormat="1" applyFont="1" applyFill="1" applyAlignment="1">
      <alignment horizontal="center" vertical="top"/>
    </xf>
    <xf numFmtId="0" fontId="50" fillId="18" borderId="0" xfId="9" applyFont="1" applyFill="1" applyAlignment="1">
      <alignment horizontal="center" vertical="top"/>
    </xf>
    <xf numFmtId="0" fontId="0" fillId="18" borderId="0" xfId="0" applyFill="1"/>
    <xf numFmtId="0" fontId="51" fillId="18" borderId="9" xfId="0" applyFont="1" applyFill="1" applyBorder="1"/>
    <xf numFmtId="185" fontId="51" fillId="18" borderId="0" xfId="9" applyNumberFormat="1" applyFont="1" applyFill="1" applyAlignment="1">
      <alignment horizontal="center" vertical="top"/>
    </xf>
    <xf numFmtId="0" fontId="51" fillId="18" borderId="0" xfId="9" applyFont="1" applyFill="1" applyAlignment="1">
      <alignment horizontal="center" vertical="top"/>
    </xf>
    <xf numFmtId="0" fontId="44" fillId="0" borderId="0" xfId="0" applyFont="1"/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10" fontId="46" fillId="0" borderId="7" xfId="0" applyNumberFormat="1" applyFont="1" applyBorder="1" applyAlignment="1">
      <alignment horizontal="center" vertical="center"/>
    </xf>
    <xf numFmtId="10" fontId="46" fillId="0" borderId="8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0" fontId="47" fillId="0" borderId="7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10" fontId="47" fillId="0" borderId="0" xfId="0" applyNumberFormat="1" applyFont="1" applyAlignment="1">
      <alignment horizontal="left" vertical="center"/>
    </xf>
    <xf numFmtId="10" fontId="47" fillId="0" borderId="0" xfId="0" applyNumberFormat="1" applyFont="1" applyAlignment="1">
      <alignment horizontal="center" vertical="center"/>
    </xf>
    <xf numFmtId="10" fontId="47" fillId="0" borderId="4" xfId="0" applyNumberFormat="1" applyFont="1" applyBorder="1" applyAlignment="1">
      <alignment horizontal="center" vertical="center"/>
    </xf>
    <xf numFmtId="0" fontId="50" fillId="0" borderId="9" xfId="0" applyFont="1" applyBorder="1"/>
    <xf numFmtId="0" fontId="51" fillId="0" borderId="9" xfId="0" applyFont="1" applyBorder="1"/>
    <xf numFmtId="0" fontId="50" fillId="0" borderId="0" xfId="9" applyFont="1" applyAlignment="1">
      <alignment horizontal="left" vertical="top"/>
    </xf>
    <xf numFmtId="0" fontId="50" fillId="0" borderId="0" xfId="9" applyFont="1" applyAlignment="1">
      <alignment horizontal="center" vertical="top"/>
    </xf>
    <xf numFmtId="186" fontId="0" fillId="0" borderId="0" xfId="0" applyNumberFormat="1"/>
    <xf numFmtId="0" fontId="0" fillId="0" borderId="0" xfId="0" applyAlignment="1">
      <alignment horizontal="left"/>
    </xf>
    <xf numFmtId="181" fontId="0" fillId="0" borderId="0" xfId="0" applyNumberFormat="1"/>
    <xf numFmtId="10" fontId="0" fillId="0" borderId="0" xfId="0" applyNumberFormat="1"/>
    <xf numFmtId="10" fontId="30" fillId="0" borderId="0" xfId="7" applyNumberFormat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37" fillId="0" borderId="0" xfId="8" applyAlignment="1">
      <alignment horizontal="center" vertical="center"/>
    </xf>
    <xf numFmtId="187" fontId="30" fillId="0" borderId="0" xfId="7" applyNumberFormat="1">
      <alignment vertical="center"/>
    </xf>
    <xf numFmtId="0" fontId="52" fillId="0" borderId="0" xfId="10"/>
    <xf numFmtId="10" fontId="52" fillId="0" borderId="0" xfId="10" applyNumberFormat="1"/>
    <xf numFmtId="0" fontId="52" fillId="20" borderId="0" xfId="10" applyFill="1"/>
    <xf numFmtId="187" fontId="0" fillId="20" borderId="0" xfId="7" applyNumberFormat="1" applyFont="1" applyFill="1" applyAlignment="1"/>
    <xf numFmtId="0" fontId="34" fillId="0" borderId="7" xfId="0" applyFont="1" applyBorder="1" applyAlignment="1">
      <alignment vertical="top"/>
    </xf>
    <xf numFmtId="14" fontId="0" fillId="20" borderId="0" xfId="0" applyNumberFormat="1" applyFill="1"/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34" fillId="7" borderId="0" xfId="0" applyFont="1" applyFill="1" applyAlignment="1">
      <alignment horizontal="left" vertical="center" wrapText="1"/>
    </xf>
    <xf numFmtId="0" fontId="53" fillId="22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4" fontId="53" fillId="22" borderId="0" xfId="0" applyNumberFormat="1" applyFont="1" applyFill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9" fontId="46" fillId="21" borderId="0" xfId="0" applyNumberFormat="1" applyFont="1" applyFill="1" applyAlignment="1">
      <alignment horizontal="center" vertical="center"/>
    </xf>
    <xf numFmtId="0" fontId="46" fillId="17" borderId="0" xfId="0" applyFont="1" applyFill="1" applyAlignment="1">
      <alignment horizontal="center" vertical="center"/>
    </xf>
    <xf numFmtId="10" fontId="48" fillId="17" borderId="0" xfId="0" applyNumberFormat="1" applyFont="1" applyFill="1" applyAlignment="1">
      <alignment horizontal="center" vertical="center"/>
    </xf>
    <xf numFmtId="0" fontId="47" fillId="0" borderId="0" xfId="0" applyFont="1" applyAlignment="1">
      <alignment horizontal="left" vertical="center"/>
    </xf>
    <xf numFmtId="10" fontId="47" fillId="0" borderId="0" xfId="7" applyNumberFormat="1" applyFont="1" applyBorder="1" applyAlignment="1">
      <alignment horizontal="center" vertical="center"/>
    </xf>
    <xf numFmtId="0" fontId="47" fillId="21" borderId="0" xfId="0" applyFont="1" applyFill="1" applyAlignment="1">
      <alignment horizontal="left" vertical="center"/>
    </xf>
    <xf numFmtId="10" fontId="47" fillId="21" borderId="0" xfId="7" applyNumberFormat="1" applyFont="1" applyFill="1" applyBorder="1" applyAlignment="1">
      <alignment horizontal="center" vertical="center"/>
    </xf>
    <xf numFmtId="181" fontId="56" fillId="13" borderId="0" xfId="0" applyNumberFormat="1" applyFont="1" applyFill="1" applyAlignment="1">
      <alignment horizontal="center" vertical="center" wrapText="1"/>
    </xf>
    <xf numFmtId="181" fontId="57" fillId="8" borderId="0" xfId="0" applyNumberFormat="1" applyFont="1" applyFill="1" applyAlignment="1">
      <alignment horizontal="center" vertical="center" wrapText="1"/>
    </xf>
    <xf numFmtId="181" fontId="49" fillId="8" borderId="0" xfId="0" applyNumberFormat="1" applyFont="1" applyFill="1" applyAlignment="1">
      <alignment horizontal="center" vertical="center" wrapText="1"/>
    </xf>
    <xf numFmtId="181" fontId="56" fillId="8" borderId="0" xfId="0" applyNumberFormat="1" applyFont="1" applyFill="1" applyAlignment="1">
      <alignment horizontal="center" vertical="center" wrapText="1"/>
    </xf>
    <xf numFmtId="183" fontId="49" fillId="7" borderId="0" xfId="0" applyNumberFormat="1" applyFont="1" applyFill="1" applyAlignment="1">
      <alignment horizontal="right" vertical="center" wrapText="1"/>
    </xf>
    <xf numFmtId="10" fontId="49" fillId="7" borderId="0" xfId="7" applyNumberFormat="1" applyFont="1" applyFill="1" applyBorder="1" applyAlignment="1">
      <alignment horizontal="center" vertical="center" wrapText="1"/>
    </xf>
    <xf numFmtId="14" fontId="49" fillId="7" borderId="0" xfId="0" applyNumberFormat="1" applyFont="1" applyFill="1" applyAlignment="1">
      <alignment horizontal="center" vertical="center" wrapText="1"/>
    </xf>
    <xf numFmtId="180" fontId="49" fillId="7" borderId="0" xfId="7" applyNumberFormat="1" applyFont="1" applyFill="1" applyAlignment="1">
      <alignment horizontal="center" vertical="center" wrapText="1"/>
    </xf>
    <xf numFmtId="183" fontId="49" fillId="7" borderId="0" xfId="0" quotePrefix="1" applyNumberFormat="1" applyFont="1" applyFill="1" applyAlignment="1">
      <alignment horizontal="right" vertical="center" wrapText="1"/>
    </xf>
    <xf numFmtId="180" fontId="49" fillId="7" borderId="0" xfId="7" quotePrefix="1" applyNumberFormat="1" applyFont="1" applyFill="1" applyAlignment="1">
      <alignment horizontal="center" vertical="center" wrapText="1"/>
    </xf>
    <xf numFmtId="181" fontId="58" fillId="9" borderId="0" xfId="0" applyNumberFormat="1" applyFont="1" applyFill="1" applyAlignment="1">
      <alignment horizontal="center" vertical="center" wrapText="1"/>
    </xf>
    <xf numFmtId="10" fontId="49" fillId="9" borderId="0" xfId="7" applyNumberFormat="1" applyFont="1" applyFill="1" applyBorder="1" applyAlignment="1">
      <alignment horizontal="center" vertical="center" wrapText="1"/>
    </xf>
    <xf numFmtId="181" fontId="56" fillId="9" borderId="0" xfId="0" applyNumberFormat="1" applyFont="1" applyFill="1" applyAlignment="1">
      <alignment horizontal="center" vertical="center" wrapText="1"/>
    </xf>
    <xf numFmtId="180" fontId="56" fillId="9" borderId="0" xfId="7" applyNumberFormat="1" applyFont="1" applyFill="1" applyAlignment="1">
      <alignment horizontal="center" vertical="center" wrapText="1"/>
    </xf>
    <xf numFmtId="14" fontId="49" fillId="7" borderId="0" xfId="0" quotePrefix="1" applyNumberFormat="1" applyFont="1" applyFill="1" applyAlignment="1">
      <alignment horizontal="center" vertical="center" wrapText="1"/>
    </xf>
    <xf numFmtId="10" fontId="49" fillId="11" borderId="0" xfId="7" applyNumberFormat="1" applyFont="1" applyFill="1" applyBorder="1" applyAlignment="1">
      <alignment horizontal="center" vertical="center" wrapText="1"/>
    </xf>
    <xf numFmtId="181" fontId="56" fillId="11" borderId="0" xfId="0" applyNumberFormat="1" applyFont="1" applyFill="1" applyAlignment="1">
      <alignment horizontal="center" vertical="center" wrapText="1"/>
    </xf>
    <xf numFmtId="180" fontId="56" fillId="11" borderId="0" xfId="7" applyNumberFormat="1" applyFont="1" applyFill="1" applyAlignment="1">
      <alignment horizontal="center" vertical="center" wrapText="1"/>
    </xf>
    <xf numFmtId="181" fontId="59" fillId="11" borderId="0" xfId="0" applyNumberFormat="1" applyFont="1" applyFill="1" applyAlignment="1">
      <alignment horizontal="center" vertical="center" wrapText="1"/>
    </xf>
    <xf numFmtId="181" fontId="60" fillId="11" borderId="0" xfId="0" applyNumberFormat="1" applyFont="1" applyFill="1" applyAlignment="1">
      <alignment horizontal="center" vertical="center" wrapText="1"/>
    </xf>
    <xf numFmtId="181" fontId="59" fillId="13" borderId="0" xfId="0" applyNumberFormat="1" applyFont="1" applyFill="1" applyAlignment="1">
      <alignment horizontal="center" vertical="center" wrapText="1"/>
    </xf>
    <xf numFmtId="181" fontId="59" fillId="13" borderId="0" xfId="0" quotePrefix="1" applyNumberFormat="1" applyFont="1" applyFill="1" applyAlignment="1">
      <alignment horizontal="center" vertical="center" wrapText="1"/>
    </xf>
    <xf numFmtId="181" fontId="63" fillId="11" borderId="0" xfId="0" applyNumberFormat="1" applyFont="1" applyFill="1" applyAlignment="1">
      <alignment horizontal="center" vertical="center" wrapText="1"/>
    </xf>
    <xf numFmtId="181" fontId="64" fillId="11" borderId="0" xfId="0" applyNumberFormat="1" applyFont="1" applyFill="1" applyAlignment="1">
      <alignment horizontal="center" vertical="center" wrapText="1"/>
    </xf>
    <xf numFmtId="181" fontId="63" fillId="13" borderId="0" xfId="0" applyNumberFormat="1" applyFont="1" applyFill="1" applyAlignment="1">
      <alignment horizontal="center" vertical="center" wrapText="1"/>
    </xf>
    <xf numFmtId="183" fontId="65" fillId="7" borderId="0" xfId="0" applyNumberFormat="1" applyFont="1" applyFill="1" applyAlignment="1">
      <alignment horizontal="center" vertical="center" wrapText="1"/>
    </xf>
    <xf numFmtId="10" fontId="65" fillId="7" borderId="0" xfId="7" applyNumberFormat="1" applyFont="1" applyFill="1" applyBorder="1" applyAlignment="1">
      <alignment horizontal="center" vertical="center" wrapText="1"/>
    </xf>
    <xf numFmtId="14" fontId="65" fillId="7" borderId="0" xfId="7" applyNumberFormat="1" applyFont="1" applyFill="1" applyBorder="1" applyAlignment="1">
      <alignment horizontal="center" vertical="center" wrapText="1"/>
    </xf>
    <xf numFmtId="183" fontId="65" fillId="7" borderId="0" xfId="0" quotePrefix="1" applyNumberFormat="1" applyFont="1" applyFill="1" applyAlignment="1">
      <alignment horizontal="center" vertical="center" wrapText="1"/>
    </xf>
    <xf numFmtId="183" fontId="50" fillId="7" borderId="0" xfId="0" applyNumberFormat="1" applyFont="1" applyFill="1" applyAlignment="1">
      <alignment horizontal="center" vertical="center" wrapText="1"/>
    </xf>
    <xf numFmtId="181" fontId="66" fillId="11" borderId="0" xfId="0" applyNumberFormat="1" applyFont="1" applyFill="1" applyAlignment="1">
      <alignment horizontal="center" vertical="center" wrapText="1"/>
    </xf>
    <xf numFmtId="181" fontId="67" fillId="13" borderId="0" xfId="0" applyNumberFormat="1" applyFont="1" applyFill="1" applyAlignment="1">
      <alignment horizontal="center" vertical="center" wrapText="1"/>
    </xf>
    <xf numFmtId="14" fontId="68" fillId="16" borderId="0" xfId="0" applyNumberFormat="1" applyFont="1" applyFill="1" applyAlignment="1">
      <alignment horizontal="center" vertical="center"/>
    </xf>
    <xf numFmtId="0" fontId="68" fillId="16" borderId="0" xfId="0" applyFont="1" applyFill="1" applyAlignment="1">
      <alignment horizontal="center" vertical="center"/>
    </xf>
    <xf numFmtId="0" fontId="69" fillId="17" borderId="0" xfId="0" applyFont="1" applyFill="1" applyAlignment="1">
      <alignment horizontal="center" vertical="center"/>
    </xf>
    <xf numFmtId="10" fontId="60" fillId="17" borderId="0" xfId="0" applyNumberFormat="1" applyFont="1" applyFill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10" fontId="34" fillId="12" borderId="0" xfId="0" applyNumberFormat="1" applyFont="1" applyFill="1" applyAlignment="1">
      <alignment horizontal="center" vertical="center"/>
    </xf>
    <xf numFmtId="0" fontId="40" fillId="17" borderId="0" xfId="0" applyFont="1" applyFill="1" applyAlignment="1">
      <alignment horizontal="center" vertical="center"/>
    </xf>
    <xf numFmtId="10" fontId="34" fillId="17" borderId="0" xfId="0" applyNumberFormat="1" applyFont="1" applyFill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14" fontId="0" fillId="18" borderId="0" xfId="0" applyNumberFormat="1" applyFill="1"/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right"/>
    </xf>
    <xf numFmtId="0" fontId="0" fillId="23" borderId="0" xfId="0" applyFill="1"/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0" xfId="0" applyFont="1"/>
    <xf numFmtId="14" fontId="70" fillId="0" borderId="0" xfId="0" applyNumberFormat="1" applyFont="1" applyAlignment="1">
      <alignment horizontal="center" vertical="center"/>
    </xf>
    <xf numFmtId="14" fontId="70" fillId="19" borderId="0" xfId="0" applyNumberFormat="1" applyFont="1" applyFill="1" applyAlignment="1">
      <alignment horizontal="center"/>
    </xf>
    <xf numFmtId="0" fontId="70" fillId="23" borderId="0" xfId="0" applyFont="1" applyFill="1"/>
    <xf numFmtId="14" fontId="70" fillId="23" borderId="0" xfId="0" applyNumberFormat="1" applyFont="1" applyFill="1" applyAlignment="1">
      <alignment horizontal="center" vertical="center"/>
    </xf>
    <xf numFmtId="0" fontId="70" fillId="18" borderId="0" xfId="0" applyFont="1" applyFill="1" applyAlignment="1">
      <alignment horizontal="center" vertical="center"/>
    </xf>
    <xf numFmtId="14" fontId="70" fillId="18" borderId="0" xfId="0" applyNumberFormat="1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72" fillId="0" borderId="2" xfId="5" applyFont="1" applyBorder="1" applyAlignment="1">
      <alignment horizontal="center" vertical="center" wrapText="1"/>
    </xf>
    <xf numFmtId="181" fontId="10" fillId="0" borderId="2" xfId="5" applyNumberFormat="1" applyFont="1" applyBorder="1" applyAlignment="1">
      <alignment horizontal="center" vertical="center" wrapText="1"/>
    </xf>
    <xf numFmtId="49" fontId="10" fillId="0" borderId="2" xfId="5" applyNumberFormat="1" applyFont="1" applyBorder="1" applyAlignment="1">
      <alignment horizontal="center" vertical="center" wrapText="1"/>
    </xf>
    <xf numFmtId="188" fontId="10" fillId="0" borderId="2" xfId="5" applyNumberFormat="1" applyFont="1" applyBorder="1" applyAlignment="1">
      <alignment horizontal="center" vertical="center" wrapText="1"/>
    </xf>
    <xf numFmtId="188" fontId="0" fillId="0" borderId="0" xfId="0" applyNumberFormat="1"/>
    <xf numFmtId="49" fontId="17" fillId="5" borderId="2" xfId="5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10" fontId="60" fillId="11" borderId="0" xfId="0" applyNumberFormat="1" applyFont="1" applyFill="1" applyAlignment="1">
      <alignment horizontal="center" vertical="center" wrapText="1"/>
    </xf>
    <xf numFmtId="10" fontId="59" fillId="13" borderId="0" xfId="0" applyNumberFormat="1" applyFont="1" applyFill="1" applyAlignment="1">
      <alignment horizontal="center" vertical="center" wrapText="1"/>
    </xf>
    <xf numFmtId="0" fontId="73" fillId="0" borderId="10" xfId="0" applyFont="1" applyBorder="1" applyAlignment="1">
      <alignment horizontal="center" vertical="center"/>
    </xf>
    <xf numFmtId="0" fontId="55" fillId="12" borderId="0" xfId="0" applyFont="1" applyFill="1" applyAlignment="1">
      <alignment vertical="center" wrapText="1"/>
    </xf>
    <xf numFmtId="0" fontId="53" fillId="10" borderId="0" xfId="0" applyFont="1" applyFill="1" applyAlignment="1">
      <alignment vertical="center" wrapText="1"/>
    </xf>
    <xf numFmtId="185" fontId="0" fillId="0" borderId="0" xfId="0" applyNumberFormat="1"/>
    <xf numFmtId="0" fontId="45" fillId="24" borderId="11" xfId="0" applyFont="1" applyFill="1" applyBorder="1" applyAlignment="1">
      <alignment vertical="center"/>
    </xf>
    <xf numFmtId="0" fontId="45" fillId="25" borderId="12" xfId="0" applyFont="1" applyFill="1" applyBorder="1" applyAlignment="1">
      <alignment horizontal="center" vertical="center" wrapText="1"/>
    </xf>
    <xf numFmtId="0" fontId="45" fillId="25" borderId="12" xfId="0" applyFont="1" applyFill="1" applyBorder="1" applyAlignment="1">
      <alignment horizontal="left" vertical="center"/>
    </xf>
    <xf numFmtId="10" fontId="34" fillId="0" borderId="0" xfId="7" applyNumberFormat="1" applyFont="1" applyBorder="1" applyAlignment="1">
      <alignment horizontal="center" vertical="center"/>
    </xf>
    <xf numFmtId="0" fontId="60" fillId="29" borderId="0" xfId="0" applyFont="1" applyFill="1" applyAlignment="1">
      <alignment horizontal="right" vertical="center" wrapText="1"/>
    </xf>
    <xf numFmtId="0" fontId="34" fillId="29" borderId="0" xfId="0" applyFont="1" applyFill="1" applyAlignment="1">
      <alignment horizontal="right" vertical="center" wrapText="1"/>
    </xf>
    <xf numFmtId="0" fontId="74" fillId="26" borderId="0" xfId="0" applyFont="1" applyFill="1" applyAlignment="1">
      <alignment horizontal="center" vertical="center"/>
    </xf>
    <xf numFmtId="0" fontId="74" fillId="26" borderId="0" xfId="0" applyFont="1" applyFill="1" applyAlignment="1">
      <alignment horizontal="left" vertical="center"/>
    </xf>
    <xf numFmtId="10" fontId="75" fillId="26" borderId="0" xfId="0" applyNumberFormat="1" applyFont="1" applyFill="1" applyAlignment="1">
      <alignment horizontal="center" vertical="center"/>
    </xf>
    <xf numFmtId="0" fontId="47" fillId="27" borderId="0" xfId="0" applyFont="1" applyFill="1" applyAlignment="1">
      <alignment horizontal="center" vertical="center"/>
    </xf>
    <xf numFmtId="0" fontId="47" fillId="27" borderId="0" xfId="0" applyFont="1" applyFill="1" applyAlignment="1">
      <alignment horizontal="left" vertical="center"/>
    </xf>
    <xf numFmtId="10" fontId="40" fillId="27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vertical="center"/>
    </xf>
    <xf numFmtId="0" fontId="45" fillId="25" borderId="0" xfId="0" applyFont="1" applyFill="1" applyAlignment="1">
      <alignment horizontal="center" vertical="center" wrapText="1"/>
    </xf>
    <xf numFmtId="0" fontId="45" fillId="25" borderId="0" xfId="0" applyFont="1" applyFill="1" applyAlignment="1">
      <alignment horizontal="left" vertical="center"/>
    </xf>
    <xf numFmtId="10" fontId="40" fillId="0" borderId="0" xfId="7" applyNumberFormat="1" applyFont="1" applyBorder="1" applyAlignment="1">
      <alignment horizontal="center" vertical="center"/>
    </xf>
    <xf numFmtId="0" fontId="74" fillId="26" borderId="0" xfId="0" applyFont="1" applyFill="1" applyAlignment="1">
      <alignment vertical="center"/>
    </xf>
    <xf numFmtId="10" fontId="75" fillId="26" borderId="0" xfId="0" applyNumberFormat="1" applyFont="1" applyFill="1" applyAlignment="1">
      <alignment vertical="center"/>
    </xf>
    <xf numFmtId="189" fontId="47" fillId="0" borderId="0" xfId="11" applyNumberFormat="1" applyFont="1" applyBorder="1" applyAlignment="1">
      <alignment vertical="center"/>
    </xf>
    <xf numFmtId="10" fontId="40" fillId="0" borderId="0" xfId="7" applyNumberFormat="1" applyFont="1" applyBorder="1" applyAlignment="1">
      <alignment vertical="center"/>
    </xf>
    <xf numFmtId="189" fontId="47" fillId="27" borderId="0" xfId="11" applyNumberFormat="1" applyFont="1" applyFill="1" applyBorder="1" applyAlignment="1">
      <alignment vertical="center"/>
    </xf>
    <xf numFmtId="10" fontId="40" fillId="27" borderId="0" xfId="0" applyNumberFormat="1" applyFont="1" applyFill="1" applyAlignment="1">
      <alignment vertical="center"/>
    </xf>
    <xf numFmtId="10" fontId="40" fillId="0" borderId="0" xfId="7" applyNumberFormat="1" applyFont="1" applyBorder="1" applyAlignment="1">
      <alignment horizontal="right" vertical="center"/>
    </xf>
    <xf numFmtId="10" fontId="40" fillId="27" borderId="0" xfId="0" applyNumberFormat="1" applyFont="1" applyFill="1" applyAlignment="1">
      <alignment horizontal="right" vertical="center"/>
    </xf>
    <xf numFmtId="189" fontId="47" fillId="27" borderId="0" xfId="11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14" fontId="68" fillId="19" borderId="0" xfId="0" applyNumberFormat="1" applyFont="1" applyFill="1" applyAlignment="1">
      <alignment horizontal="center" vertical="center"/>
    </xf>
    <xf numFmtId="0" fontId="68" fillId="19" borderId="0" xfId="0" applyFont="1" applyFill="1" applyAlignment="1">
      <alignment horizontal="center" vertical="center"/>
    </xf>
    <xf numFmtId="0" fontId="69" fillId="7" borderId="0" xfId="0" applyFont="1" applyFill="1" applyAlignment="1">
      <alignment horizontal="center" vertical="center"/>
    </xf>
    <xf numFmtId="10" fontId="60" fillId="7" borderId="0" xfId="0" applyNumberFormat="1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10" fontId="34" fillId="7" borderId="0" xfId="0" applyNumberFormat="1" applyFont="1" applyFill="1" applyAlignment="1">
      <alignment horizontal="center" vertical="center"/>
    </xf>
    <xf numFmtId="10" fontId="49" fillId="30" borderId="0" xfId="7" applyNumberFormat="1" applyFont="1" applyFill="1" applyBorder="1" applyAlignment="1">
      <alignment horizontal="center" vertical="center" wrapText="1"/>
    </xf>
    <xf numFmtId="181" fontId="56" fillId="30" borderId="0" xfId="0" applyNumberFormat="1" applyFont="1" applyFill="1" applyAlignment="1">
      <alignment horizontal="center" vertical="center" wrapText="1"/>
    </xf>
    <xf numFmtId="180" fontId="56" fillId="30" borderId="0" xfId="7" applyNumberFormat="1" applyFont="1" applyFill="1" applyAlignment="1">
      <alignment horizontal="center" vertical="center" wrapText="1"/>
    </xf>
    <xf numFmtId="181" fontId="53" fillId="30" borderId="0" xfId="0" applyNumberFormat="1" applyFont="1" applyFill="1" applyAlignment="1">
      <alignment horizontal="center" vertical="center" wrapText="1"/>
    </xf>
    <xf numFmtId="0" fontId="0" fillId="31" borderId="0" xfId="0" applyFill="1"/>
    <xf numFmtId="14" fontId="34" fillId="0" borderId="0" xfId="0" applyNumberFormat="1" applyFont="1"/>
    <xf numFmtId="0" fontId="78" fillId="12" borderId="0" xfId="0" applyFont="1" applyFill="1" applyAlignment="1">
      <alignment horizontal="center" vertical="center" wrapText="1"/>
    </xf>
    <xf numFmtId="0" fontId="53" fillId="10" borderId="0" xfId="0" applyFont="1" applyFill="1" applyAlignment="1">
      <alignment horizontal="center" vertical="center"/>
    </xf>
    <xf numFmtId="0" fontId="53" fillId="10" borderId="0" xfId="0" applyFont="1" applyFill="1" applyAlignment="1">
      <alignment horizontal="center" vertical="center" wrapText="1"/>
    </xf>
    <xf numFmtId="0" fontId="61" fillId="10" borderId="0" xfId="0" applyFont="1" applyFill="1" applyAlignment="1">
      <alignment horizontal="center" vertical="center" wrapText="1"/>
    </xf>
    <xf numFmtId="0" fontId="77" fillId="12" borderId="0" xfId="0" applyFont="1" applyFill="1" applyAlignment="1">
      <alignment horizontal="center" vertical="center"/>
    </xf>
    <xf numFmtId="0" fontId="62" fillId="1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4" fillId="7" borderId="0" xfId="0" applyFont="1" applyFill="1" applyAlignment="1">
      <alignment horizontal="left" vertical="top" wrapText="1"/>
    </xf>
    <xf numFmtId="0" fontId="47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5" fillId="24" borderId="11" xfId="0" applyFont="1" applyFill="1" applyBorder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76" fillId="28" borderId="0" xfId="0" applyFont="1" applyFill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47" fillId="27" borderId="0" xfId="0" applyFont="1" applyFill="1" applyAlignment="1">
      <alignment horizontal="left" vertical="center"/>
    </xf>
    <xf numFmtId="0" fontId="45" fillId="25" borderId="0" xfId="0" applyFont="1" applyFill="1" applyAlignment="1">
      <alignment horizontal="center" vertical="center" wrapText="1"/>
    </xf>
    <xf numFmtId="0" fontId="5" fillId="2" borderId="0" xfId="5" applyFont="1" applyFill="1" applyAlignment="1">
      <alignment horizontal="center" vertical="center"/>
    </xf>
    <xf numFmtId="0" fontId="5" fillId="2" borderId="0" xfId="5" applyFont="1" applyFill="1" applyAlignment="1">
      <alignment horizontal="center"/>
    </xf>
    <xf numFmtId="0" fontId="5" fillId="2" borderId="1" xfId="5" applyFont="1" applyFill="1" applyBorder="1" applyAlignment="1">
      <alignment horizontal="center"/>
    </xf>
    <xf numFmtId="0" fontId="20" fillId="0" borderId="0" xfId="5" applyFont="1" applyAlignment="1">
      <alignment vertical="center" wrapText="1"/>
    </xf>
    <xf numFmtId="0" fontId="27" fillId="0" borderId="0" xfId="5" applyFont="1" applyAlignment="1">
      <alignment vertical="center" wrapText="1"/>
    </xf>
  </cellXfs>
  <cellStyles count="12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常规 2" xfId="8"/>
    <cellStyle name="常规 2 2 2 2 2" xfId="9"/>
    <cellStyle name="常规 3" xfId="10"/>
    <cellStyle name="千位分隔" xfId="11" builtinId="3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285767</xdr:rowOff>
    </xdr:from>
    <xdr:ext cx="5872645" cy="1060418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 rot="20101640">
          <a:off x="0" y="1771667"/>
          <a:ext cx="5872645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471238</xdr:colOff>
      <xdr:row>8</xdr:row>
      <xdr:rowOff>234299</xdr:rowOff>
    </xdr:from>
    <xdr:ext cx="5792306" cy="1060418"/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 rot="19907762">
          <a:off x="471238" y="2240899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  <xdr:oneCellAnchor>
    <xdr:from>
      <xdr:col>0</xdr:col>
      <xdr:colOff>571498</xdr:colOff>
      <xdr:row>26</xdr:row>
      <xdr:rowOff>215900</xdr:rowOff>
    </xdr:from>
    <xdr:ext cx="5792306" cy="1060418"/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 rot="19907762">
          <a:off x="571498" y="6794500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69849</xdr:colOff>
      <xdr:row>12</xdr:row>
      <xdr:rowOff>1444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19438956">
          <a:off x="679449" y="299229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317498</xdr:colOff>
      <xdr:row>10</xdr:row>
      <xdr:rowOff>71294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 rot="19828942">
          <a:off x="927098" y="255414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24045</xdr:colOff>
      <xdr:row>10</xdr:row>
      <xdr:rowOff>63315</xdr:rowOff>
    </xdr:from>
    <xdr:ext cx="5811557" cy="1060418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/>
      </xdr:nvSpPr>
      <xdr:spPr>
        <a:xfrm rot="20045373">
          <a:off x="633645" y="2577915"/>
          <a:ext cx="5811557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HX_HisQuote"/>
      <definedName name="thsiFin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表3" displayName="表3" ref="A7:H18" totalsRowShown="0" headerRowDxfId="11" dataDxfId="9" headerRowBorderDxfId="10" tableBorderDxfId="8">
  <tableColumns count="8">
    <tableColumn id="1" name="序号" dataDxfId="7"/>
    <tableColumn id="2" name="基金代码" dataDxfId="6"/>
    <tableColumn id="3" name="产品/基金名称" dataDxfId="5"/>
    <tableColumn id="4" name="26Q2规模（亿元）" dataDxfId="4"/>
    <tableColumn id="5" name="上线以来" dataDxfId="3"/>
    <tableColumn id="6" name="6/22-7/30" dataDxfId="2"/>
    <tableColumn id="7" name="7.31至今" dataDxfId="1"/>
    <tableColumn id="8" name="最大回撤（上线以来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10"/>
  <sheetViews>
    <sheetView zoomScale="175" zoomScaleNormal="175" workbookViewId="0">
      <selection activeCell="E9" sqref="E9"/>
    </sheetView>
  </sheetViews>
  <sheetFormatPr defaultRowHeight="12.5"/>
  <cols>
    <col min="1" max="1" width="18.54296875" customWidth="1"/>
    <col min="2" max="2" width="12.7265625" customWidth="1"/>
    <col min="3" max="3" width="11.1796875" style="42" customWidth="1"/>
    <col min="5" max="5" width="14.26953125" customWidth="1"/>
  </cols>
  <sheetData>
    <row r="1" spans="1:5">
      <c r="A1" s="162"/>
      <c r="B1" s="163" t="s">
        <v>255</v>
      </c>
      <c r="C1" s="162" t="s">
        <v>254</v>
      </c>
      <c r="D1" s="162"/>
      <c r="E1" s="164"/>
    </row>
    <row r="2" spans="1:5">
      <c r="A2" s="162" t="s">
        <v>248</v>
      </c>
      <c r="B2" s="165">
        <f ca="1">[1]!thsiFinD("ths_new_forward_nearest_trade_date_func",C2,100)</f>
        <v>46321</v>
      </c>
      <c r="C2" s="165">
        <f ca="1">E2</f>
        <v>46321</v>
      </c>
      <c r="D2" s="162" t="s">
        <v>246</v>
      </c>
      <c r="E2" s="166">
        <f ca="1">TODAY()</f>
        <v>46321</v>
      </c>
    </row>
    <row r="3" spans="1:5">
      <c r="A3" s="165" t="s">
        <v>249</v>
      </c>
      <c r="B3" s="165">
        <f ca="1">[1]!thsiFinD("ths_new_forward_nearest_trade_date_func",C3,100)</f>
        <v>46318</v>
      </c>
      <c r="C3" s="165">
        <f ca="1">B2-1</f>
        <v>46320</v>
      </c>
      <c r="D3" s="162" t="s">
        <v>247</v>
      </c>
      <c r="E3" s="164"/>
    </row>
    <row r="4" spans="1:5">
      <c r="A4" s="162" t="s">
        <v>250</v>
      </c>
      <c r="B4" s="165">
        <f ca="1">[1]!thsiFinD("ths_new_backward_nearest_trade_date_func",C4,100)</f>
        <v>46321</v>
      </c>
      <c r="C4" s="165">
        <f ca="1">B2- WEEKDAY(B2, 2)+1</f>
        <v>46321</v>
      </c>
      <c r="D4" s="163" t="s">
        <v>252</v>
      </c>
      <c r="E4" s="164"/>
    </row>
    <row r="5" spans="1:5" s="161" customFormat="1">
      <c r="A5" s="162" t="s">
        <v>251</v>
      </c>
      <c r="B5" s="165">
        <f ca="1">[1]!thsiFinD("ths_new_forward_nearest_trade_date_func",C5,100)</f>
        <v>46318</v>
      </c>
      <c r="C5" s="165">
        <f ca="1">B2- WEEKDAY(B2, 2) - 2</f>
        <v>46318</v>
      </c>
      <c r="D5" s="162" t="s">
        <v>253</v>
      </c>
      <c r="E5" s="167"/>
    </row>
    <row r="6" spans="1:5">
      <c r="A6" s="162" t="s">
        <v>257</v>
      </c>
      <c r="B6" s="168">
        <f>[1]!thsiFinD("ths_new_backward_nearest_trade_date_func",C6+1,100)</f>
        <v>46195</v>
      </c>
      <c r="C6" s="165">
        <v>46191</v>
      </c>
      <c r="D6" s="162" t="s">
        <v>256</v>
      </c>
      <c r="E6" s="164"/>
    </row>
    <row r="8" spans="1:5">
      <c r="A8" s="162" t="s">
        <v>260</v>
      </c>
    </row>
    <row r="9" spans="1:5">
      <c r="A9" s="169" t="s">
        <v>259</v>
      </c>
      <c r="B9" s="170">
        <f ca="1">[1]!thsiFinD("ths_new_forward_nearest_trade_date_func",B10-1,100)</f>
        <v>46316</v>
      </c>
    </row>
    <row r="10" spans="1:5">
      <c r="A10" s="169" t="s">
        <v>258</v>
      </c>
      <c r="B10" s="170">
        <f ca="1">[1]!thsiFinD("ths_new_forward_nearest_trade_date_func",B3-1,100)</f>
        <v>46317</v>
      </c>
      <c r="C10" s="171"/>
    </row>
  </sheetData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15"/>
  <sheetViews>
    <sheetView workbookViewId="0">
      <selection activeCell="E23" sqref="E23"/>
    </sheetView>
  </sheetViews>
  <sheetFormatPr defaultRowHeight="12.5"/>
  <cols>
    <col min="1" max="1" width="16.81640625" customWidth="1"/>
    <col min="2" max="6" width="15.54296875" customWidth="1"/>
    <col min="7" max="7" width="16.7265625" customWidth="1"/>
    <col min="8" max="8" width="14" customWidth="1"/>
    <col min="9" max="9" width="9.81640625" bestFit="1" customWidth="1"/>
    <col min="10" max="10" width="12.453125" customWidth="1"/>
    <col min="11" max="11" width="9.1796875" customWidth="1"/>
    <col min="12" max="12" width="10.81640625" customWidth="1"/>
    <col min="17" max="17" width="16.1796875" customWidth="1"/>
    <col min="18" max="18" width="26" customWidth="1"/>
  </cols>
  <sheetData>
    <row r="1" spans="1:18" s="34" customFormat="1" ht="26.5" customHeight="1">
      <c r="A1" s="224" t="s">
        <v>178</v>
      </c>
      <c r="B1" s="224"/>
      <c r="C1" s="224"/>
      <c r="D1" s="225" t="str">
        <f ca="1">"更新日期："&amp;TEXT(H4,"yyyy-mm-dd")</f>
        <v>更新日期：2026-10-26</v>
      </c>
      <c r="E1" s="225"/>
      <c r="F1" s="183"/>
      <c r="G1" s="37" t="s">
        <v>196</v>
      </c>
      <c r="H1" s="35">
        <f>日期页!C6</f>
        <v>46191</v>
      </c>
      <c r="I1" s="35">
        <v>46195</v>
      </c>
      <c r="J1" s="35">
        <v>46282</v>
      </c>
      <c r="K1" s="35"/>
      <c r="L1"/>
      <c r="M1"/>
      <c r="Q1" s="159"/>
    </row>
    <row r="2" spans="1:18" ht="15.65" customHeight="1">
      <c r="A2" s="223" t="s">
        <v>345</v>
      </c>
      <c r="B2" s="223"/>
      <c r="C2" s="223"/>
      <c r="D2" s="223"/>
      <c r="E2" s="223"/>
      <c r="F2" s="182"/>
      <c r="G2" s="37" t="s">
        <v>198</v>
      </c>
      <c r="H2" s="35">
        <f ca="1">日期页!B5</f>
        <v>46318</v>
      </c>
      <c r="I2" s="35">
        <f ca="1">日期页!B4</f>
        <v>46321</v>
      </c>
      <c r="J2" s="35"/>
      <c r="Q2" s="91"/>
    </row>
    <row r="3" spans="1:18" ht="25" customHeight="1">
      <c r="A3" s="117" t="s">
        <v>166</v>
      </c>
      <c r="B3" s="117" t="s">
        <v>232</v>
      </c>
      <c r="C3" s="117" t="s">
        <v>197</v>
      </c>
      <c r="D3" s="117" t="s">
        <v>195</v>
      </c>
      <c r="E3" s="117" t="s">
        <v>167</v>
      </c>
      <c r="F3" s="117" t="s">
        <v>168</v>
      </c>
      <c r="G3" s="37" t="s">
        <v>244</v>
      </c>
      <c r="H3" s="35">
        <f ca="1">日期页!B3</f>
        <v>46318</v>
      </c>
      <c r="R3" s="160"/>
    </row>
    <row r="4" spans="1:18" ht="25" customHeight="1">
      <c r="A4" s="118" t="s">
        <v>169</v>
      </c>
      <c r="B4" s="119"/>
      <c r="C4" s="119"/>
      <c r="D4" s="119"/>
      <c r="E4" s="120"/>
      <c r="F4" s="120"/>
      <c r="G4" s="34" t="s">
        <v>245</v>
      </c>
      <c r="H4" s="41">
        <f ca="1">日期页!B2</f>
        <v>46321</v>
      </c>
      <c r="I4" s="41">
        <f ca="1">H3</f>
        <v>46318</v>
      </c>
      <c r="J4" s="41">
        <f ca="1">H2</f>
        <v>46318</v>
      </c>
      <c r="K4" s="37" t="s">
        <v>179</v>
      </c>
      <c r="L4" s="34" t="s">
        <v>197</v>
      </c>
      <c r="M4" s="34" t="s">
        <v>180</v>
      </c>
    </row>
    <row r="5" spans="1:18" ht="25" customHeight="1">
      <c r="A5" s="121" t="s">
        <v>170</v>
      </c>
      <c r="B5" s="122">
        <f ca="1">K5</f>
        <v>-3.7828617754698257E-5</v>
      </c>
      <c r="C5" s="122">
        <f ca="1">L5</f>
        <v>-3.7828617754698257E-5</v>
      </c>
      <c r="D5" s="122">
        <f t="shared" ref="B5:D6" ca="1" si="0">M5</f>
        <v>-2.450737009620152E-2</v>
      </c>
      <c r="E5" s="123">
        <v>46191</v>
      </c>
      <c r="F5" s="124">
        <v>5.0000000000000001E-3</v>
      </c>
      <c r="H5" s="34">
        <f ca="1">VLOOKUP(H$4,实盘组合净值!$A:$S,14,0)</f>
        <v>0.97549262990379848</v>
      </c>
      <c r="I5" s="34">
        <f ca="1">VLOOKUP(I$4,实盘组合净值!$A:$S,14,0)</f>
        <v>0.97552953283760457</v>
      </c>
      <c r="J5" s="34">
        <f ca="1">VLOOKUP(J$4,实盘组合净值!$A:$S,14,0)</f>
        <v>0.97552953283760457</v>
      </c>
      <c r="K5" s="36">
        <f ca="1">H5/I5-1</f>
        <v>-3.7828617754698257E-5</v>
      </c>
      <c r="L5" s="36">
        <f ca="1">H5/J5-1</f>
        <v>-3.7828617754698257E-5</v>
      </c>
      <c r="M5" s="36">
        <f ca="1">H5-1</f>
        <v>-2.450737009620152E-2</v>
      </c>
    </row>
    <row r="6" spans="1:18" ht="25" customHeight="1">
      <c r="A6" s="125" t="s">
        <v>171</v>
      </c>
      <c r="B6" s="122">
        <f t="shared" ca="1" si="0"/>
        <v>-6.2646572616786855E-5</v>
      </c>
      <c r="C6" s="122">
        <f t="shared" ca="1" si="0"/>
        <v>-6.2646572616786855E-5</v>
      </c>
      <c r="D6" s="122">
        <f t="shared" ca="1" si="0"/>
        <v>-2.5321456564169287E-2</v>
      </c>
      <c r="E6" s="123">
        <v>46197</v>
      </c>
      <c r="F6" s="126">
        <v>8.0000000000000002E-3</v>
      </c>
      <c r="H6" s="34">
        <f ca="1">VLOOKUP(H$4,实盘组合净值!$A:$S,11,0)</f>
        <v>0.97467854343583071</v>
      </c>
      <c r="I6" s="34">
        <f ca="1">VLOOKUP(I$4,实盘组合净值!$A:$S,11,0)</f>
        <v>0.9747396075314364</v>
      </c>
      <c r="J6" s="34">
        <f ca="1">VLOOKUP(J$4,实盘组合净值!$A:$S,11,0)</f>
        <v>0.9747396075314364</v>
      </c>
      <c r="K6" s="36">
        <f ca="1">H6/I6-1</f>
        <v>-6.2646572616786855E-5</v>
      </c>
      <c r="L6" s="36">
        <f ca="1">H6/J6-1</f>
        <v>-6.2646572616786855E-5</v>
      </c>
      <c r="M6" s="36">
        <f ca="1">H6-1</f>
        <v>-2.5321456564169287E-2</v>
      </c>
    </row>
    <row r="7" spans="1:18" ht="25" customHeight="1">
      <c r="A7" s="220" t="s">
        <v>366</v>
      </c>
      <c r="B7" s="217"/>
      <c r="C7" s="217"/>
      <c r="D7" s="217"/>
      <c r="E7" s="218"/>
      <c r="F7" s="219"/>
      <c r="H7" s="34"/>
      <c r="I7" s="34"/>
      <c r="J7" s="34"/>
    </row>
    <row r="8" spans="1:18" ht="25" customHeight="1">
      <c r="A8" s="125" t="s">
        <v>367</v>
      </c>
      <c r="B8" s="122">
        <f ca="1">K8</f>
        <v>-6.2668134426457911E-5</v>
      </c>
      <c r="C8" s="122">
        <f ca="1">L8</f>
        <v>-6.2668134426457911E-5</v>
      </c>
      <c r="D8" s="122">
        <f ca="1">M8</f>
        <v>-8.5196480043310263E-3</v>
      </c>
      <c r="E8" s="131">
        <v>46282</v>
      </c>
      <c r="F8" s="126">
        <v>8.0000000000000002E-3</v>
      </c>
      <c r="H8" s="34">
        <f ca="1">VLOOKUP(H$4,实盘组合净值!$A:$V,20,0)</f>
        <v>0.99148035199566897</v>
      </c>
      <c r="I8" s="34">
        <f ca="1">VLOOKUP(I$4,实盘组合净值!$A:$V,20,0)</f>
        <v>0.99154249011372897</v>
      </c>
      <c r="J8" s="34">
        <f ca="1">VLOOKUP(J$4,实盘组合净值!$A:$V,20,0)</f>
        <v>0.99154249011372897</v>
      </c>
      <c r="K8" s="36">
        <f ca="1">H8/I8-1</f>
        <v>-6.2668134426457911E-5</v>
      </c>
      <c r="L8" s="36">
        <f ca="1">H8/J8-1</f>
        <v>-6.2668134426457911E-5</v>
      </c>
      <c r="M8" s="36">
        <f ca="1">H8-1</f>
        <v>-8.5196480043310263E-3</v>
      </c>
    </row>
    <row r="9" spans="1:18" ht="25" customHeight="1">
      <c r="A9" s="127" t="s">
        <v>172</v>
      </c>
      <c r="B9" s="128"/>
      <c r="C9" s="128"/>
      <c r="D9" s="128"/>
      <c r="E9" s="129"/>
      <c r="F9" s="130"/>
      <c r="H9" s="34"/>
      <c r="I9" s="34"/>
      <c r="J9" s="34"/>
    </row>
    <row r="10" spans="1:18" ht="25" customHeight="1">
      <c r="A10" s="125" t="s">
        <v>173</v>
      </c>
      <c r="B10" s="122">
        <f ca="1">K10</f>
        <v>-9.2213893883585918E-5</v>
      </c>
      <c r="C10" s="122">
        <f ca="1">L10</f>
        <v>-9.2213893883585918E-5</v>
      </c>
      <c r="D10" s="122">
        <f ca="1">M10</f>
        <v>-9.7071552463955602E-2</v>
      </c>
      <c r="E10" s="131">
        <v>46197</v>
      </c>
      <c r="F10" s="126">
        <v>1.2E-2</v>
      </c>
      <c r="H10" s="34">
        <f ca="1">VLOOKUP(H$4,实盘组合净值!$A:$S,17,0)</f>
        <v>0.9029284475360444</v>
      </c>
      <c r="I10" s="34">
        <f ca="1">VLOOKUP(I$4,实盘组合净值!$A:$S,17,0)</f>
        <v>0.90301171776276179</v>
      </c>
      <c r="J10" s="34">
        <f ca="1">VLOOKUP(J$4,实盘组合净值!$A:$S,17,0)</f>
        <v>0.90301171776276179</v>
      </c>
      <c r="K10" s="36">
        <f ca="1">H10/I10-1</f>
        <v>-9.2213893883585918E-5</v>
      </c>
      <c r="L10" s="36">
        <f ca="1">H10/J10-1</f>
        <v>-9.2213893883585918E-5</v>
      </c>
      <c r="M10" s="36">
        <f ca="1">H10-1</f>
        <v>-9.7071552463955602E-2</v>
      </c>
    </row>
    <row r="11" spans="1:18" ht="25" customHeight="1">
      <c r="A11" s="133" t="s">
        <v>174</v>
      </c>
      <c r="B11" s="132"/>
      <c r="C11" s="132"/>
      <c r="D11" s="132"/>
      <c r="E11" s="133"/>
      <c r="F11" s="134"/>
      <c r="H11" s="34"/>
      <c r="I11" s="34"/>
      <c r="J11" s="34"/>
    </row>
    <row r="12" spans="1:18" ht="25" customHeight="1">
      <c r="A12" s="121" t="s">
        <v>175</v>
      </c>
      <c r="B12" s="122">
        <f t="shared" ref="B12:D14" ca="1" si="1">K12</f>
        <v>-9.4608924506967007E-5</v>
      </c>
      <c r="C12" s="122">
        <f t="shared" ca="1" si="1"/>
        <v>-9.4608924506967007E-5</v>
      </c>
      <c r="D12" s="122">
        <f t="shared" ca="1" si="1"/>
        <v>-0.36560541385979883</v>
      </c>
      <c r="E12" s="123">
        <v>46191</v>
      </c>
      <c r="F12" s="124">
        <v>1.2E-2</v>
      </c>
      <c r="H12" s="34">
        <f ca="1">VLOOKUP(H$4,实盘组合净值!$A:$S,5,0)</f>
        <v>0.63439458614020117</v>
      </c>
      <c r="I12" s="34">
        <f ca="1">VLOOKUP(I$4,实盘组合净值!$A:$S,5,0)</f>
        <v>0.63445461120861613</v>
      </c>
      <c r="J12" s="34">
        <f ca="1">VLOOKUP(J$4,实盘组合净值!$A:$S,5,0)</f>
        <v>0.63445461120861613</v>
      </c>
      <c r="K12" s="36">
        <f ca="1">H12/I12-1</f>
        <v>-9.4608924506967007E-5</v>
      </c>
      <c r="L12" s="36">
        <f ca="1">H12/J12-1</f>
        <v>-9.4608924506967007E-5</v>
      </c>
      <c r="M12" s="36">
        <f ca="1">H12-1</f>
        <v>-0.36560541385979883</v>
      </c>
    </row>
    <row r="13" spans="1:18" ht="25" customHeight="1">
      <c r="A13" s="121" t="s">
        <v>176</v>
      </c>
      <c r="B13" s="122">
        <f t="shared" ca="1" si="1"/>
        <v>-1.1949838672475899E-4</v>
      </c>
      <c r="C13" s="122">
        <f t="shared" ca="1" si="1"/>
        <v>-1.1949838672475899E-4</v>
      </c>
      <c r="D13" s="122">
        <f t="shared" ca="1" si="1"/>
        <v>-0.3801286317504281</v>
      </c>
      <c r="E13" s="123">
        <v>46195</v>
      </c>
      <c r="F13" s="124">
        <v>1.4999999999999999E-2</v>
      </c>
      <c r="H13" s="34">
        <f ca="1">VLOOKUP(H$4,实盘组合净值!$A:$S,2,0)</f>
        <v>0.6198713682495719</v>
      </c>
      <c r="I13" s="34">
        <f ca="1">VLOOKUP(I$4,实盘组合净值!$A:$S,2,0)</f>
        <v>0.61994545073079155</v>
      </c>
      <c r="J13" s="34">
        <f ca="1">VLOOKUP(J$4,实盘组合净值!$A:$S,2,0)</f>
        <v>0.61994545073079155</v>
      </c>
      <c r="K13" s="36">
        <f ca="1">H13/I13-1</f>
        <v>-1.1949838672475899E-4</v>
      </c>
      <c r="L13" s="36">
        <f ca="1">H13/J13-1</f>
        <v>-1.1949838672475899E-4</v>
      </c>
      <c r="M13" s="36">
        <f ca="1">H13-1</f>
        <v>-0.3801286317504281</v>
      </c>
    </row>
    <row r="14" spans="1:18" ht="25" customHeight="1">
      <c r="A14" s="121" t="s">
        <v>177</v>
      </c>
      <c r="B14" s="122">
        <f t="shared" ca="1" si="1"/>
        <v>-1.1968291216069016E-4</v>
      </c>
      <c r="C14" s="122">
        <f t="shared" ca="1" si="1"/>
        <v>-1.1968291216069016E-4</v>
      </c>
      <c r="D14" s="122">
        <f t="shared" ca="1" si="1"/>
        <v>-0.3637873702670118</v>
      </c>
      <c r="E14" s="123">
        <v>46197</v>
      </c>
      <c r="F14" s="124">
        <v>1.4999999999999999E-2</v>
      </c>
      <c r="H14" s="34">
        <f ca="1">VLOOKUP(H$4,实盘组合净值!$A:$S,8,0)</f>
        <v>0.6362126297329882</v>
      </c>
      <c r="I14" s="34">
        <f ca="1">VLOOKUP(I$4,实盘组合净值!$A:$S,8,0)</f>
        <v>0.63628878262746824</v>
      </c>
      <c r="J14" s="34">
        <f ca="1">VLOOKUP(J$4,实盘组合净值!$A:$S,8,0)</f>
        <v>0.63628878262746824</v>
      </c>
      <c r="K14" s="36">
        <f ca="1">H14/I14-1</f>
        <v>-1.1968291216069016E-4</v>
      </c>
      <c r="L14" s="36">
        <f ca="1">H14/J14-1</f>
        <v>-1.1968291216069016E-4</v>
      </c>
      <c r="M14" s="36">
        <f ca="1">H14-1</f>
        <v>-0.3637873702670118</v>
      </c>
    </row>
    <row r="15" spans="1:18" ht="14">
      <c r="A15" s="32"/>
      <c r="E15" s="32"/>
      <c r="F15" s="32"/>
    </row>
  </sheetData>
  <mergeCells count="3">
    <mergeCell ref="A2:E2"/>
    <mergeCell ref="A1:C1"/>
    <mergeCell ref="D1:E1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4"/>
  <sheetViews>
    <sheetView workbookViewId="0">
      <pane xSplit="9" ySplit="5" topLeftCell="J6" activePane="bottomRight" state="frozen"/>
      <selection activeCell="J26" sqref="J26"/>
      <selection pane="topRight" activeCell="J26" sqref="J26"/>
      <selection pane="bottomLeft" activeCell="J26" sqref="J26"/>
      <selection pane="bottomRight" activeCell="G18" sqref="G18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235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27" t="s">
        <v>346</v>
      </c>
      <c r="C2" s="228"/>
      <c r="D2" s="228"/>
      <c r="E2" s="228"/>
      <c r="F2" s="228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7">
      <c r="A3" s="34"/>
      <c r="B3" s="135" t="s">
        <v>181</v>
      </c>
      <c r="C3" s="140"/>
      <c r="D3" s="140"/>
      <c r="E3" s="140"/>
      <c r="F3" s="140"/>
      <c r="G3" s="33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46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2" t="s">
        <v>170</v>
      </c>
      <c r="C5" s="143">
        <f ca="1">每日组合!B5</f>
        <v>-3.7828617754698257E-5</v>
      </c>
      <c r="D5" s="143">
        <f ca="1">每日组合!C5</f>
        <v>-3.7828617754698257E-5</v>
      </c>
      <c r="E5" s="143">
        <f ca="1">每日组合!D5</f>
        <v>-2.450737009620152E-2</v>
      </c>
      <c r="F5" s="144">
        <f>每日组合!E5</f>
        <v>46191</v>
      </c>
      <c r="G5" s="38"/>
    </row>
    <row r="6" spans="1:11" ht="20.149999999999999" customHeight="1">
      <c r="A6" s="34"/>
      <c r="B6" s="145" t="s">
        <v>171</v>
      </c>
      <c r="C6" s="143">
        <f ca="1">每日组合!B6</f>
        <v>-6.2646572616786855E-5</v>
      </c>
      <c r="D6" s="143">
        <f ca="1">每日组合!C6</f>
        <v>-6.2646572616786855E-5</v>
      </c>
      <c r="E6" s="143">
        <f ca="1">每日组合!D6</f>
        <v>-2.5321456564169287E-2</v>
      </c>
      <c r="F6" s="144">
        <f>每日组合!E6</f>
        <v>46197</v>
      </c>
      <c r="G6" s="38"/>
    </row>
    <row r="7" spans="1:11" ht="20.149999999999999" customHeight="1">
      <c r="A7" s="34"/>
      <c r="B7" s="139" t="s">
        <v>182</v>
      </c>
      <c r="C7" s="140"/>
      <c r="D7" s="140"/>
      <c r="E7" s="140"/>
      <c r="F7" s="140"/>
      <c r="G7" s="33"/>
    </row>
    <row r="8" spans="1:11" ht="20.149999999999999" customHeight="1">
      <c r="A8" s="43" t="s">
        <v>28</v>
      </c>
      <c r="B8" s="141" t="s">
        <v>170</v>
      </c>
      <c r="C8" s="141" t="s">
        <v>194</v>
      </c>
      <c r="D8" s="141" t="s">
        <v>186</v>
      </c>
      <c r="E8" s="141" t="s">
        <v>193</v>
      </c>
      <c r="F8" s="141" t="s">
        <v>185</v>
      </c>
      <c r="G8" s="46"/>
      <c r="H8" s="48">
        <v>46195</v>
      </c>
    </row>
    <row r="9" spans="1:11" ht="20.149999999999999" customHeight="1">
      <c r="A9" s="45" t="s">
        <v>32</v>
      </c>
      <c r="B9" s="146" t="str">
        <f>[1]!thsiFinD("ths_fund_short_name_fund",A9)</f>
        <v>博道沪深300指数增强A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0</v>
      </c>
      <c r="E9" s="143">
        <f ca="1">[1]!thsiFinD("ths_adjustment_nvg_ratio_fund",$A9,$H$8,$I$4,101)/100</f>
        <v>-0.13605305466238002</v>
      </c>
      <c r="F9" s="143">
        <v>1.2500000000000001E-2</v>
      </c>
      <c r="G9" s="39"/>
    </row>
    <row r="10" spans="1:11" ht="20.149999999999999" customHeight="1">
      <c r="A10" s="45" t="s">
        <v>41</v>
      </c>
      <c r="B10" s="146" t="str">
        <f>[1]!thsiFinD("ths_fund_short_name_fund",A10)</f>
        <v>中欧中证500指数增强A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0</v>
      </c>
      <c r="E10" s="143">
        <f ca="1">[1]!thsiFinD("ths_adjustment_nvg_ratio_fund",$A10,$H$8,$I$4,101)/100</f>
        <v>-0.17929339477727002</v>
      </c>
      <c r="F10" s="143">
        <v>1.2500000000000001E-2</v>
      </c>
      <c r="G10" s="39"/>
    </row>
    <row r="11" spans="1:11" ht="20.149999999999999" customHeight="1">
      <c r="A11" s="45" t="s">
        <v>39</v>
      </c>
      <c r="B11" s="146" t="str">
        <f>[1]!thsiFinD("ths_fund_short_name_fund",A11)</f>
        <v>天弘中证1000指数增强A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0</v>
      </c>
      <c r="E11" s="143">
        <f ca="1">[1]!thsiFinD("ths_adjustment_nvg_ratio_fund",$A11,$H$8,$I$4,101)/100</f>
        <v>-0.19148936170212999</v>
      </c>
      <c r="F11" s="143">
        <v>1.2500000000000001E-2</v>
      </c>
      <c r="G11" s="39"/>
    </row>
    <row r="12" spans="1:11" ht="20.149999999999999" customHeight="1">
      <c r="A12" s="45" t="s">
        <v>49</v>
      </c>
      <c r="B12" s="146" t="str">
        <f>[1]!thsiFinD("ths_fund_short_name_fund",A12)</f>
        <v>华泰柏瑞中证2000指数增强A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0</v>
      </c>
      <c r="E12" s="143">
        <f ca="1">[1]!thsiFinD("ths_adjustment_nvg_ratio_fund",$A12,$H$8,$I$4,101)/100</f>
        <v>-0.17749929860657002</v>
      </c>
      <c r="F12" s="143">
        <v>1.2500000000000001E-2</v>
      </c>
      <c r="G12" s="39"/>
    </row>
    <row r="13" spans="1:11" ht="20.149999999999999" customHeight="1">
      <c r="A13" s="45" t="s">
        <v>31</v>
      </c>
      <c r="B13" s="146" t="str">
        <f>[1]!thsiFinD("ths_fund_short_name_fund",A13)</f>
        <v>宏利复兴伟业混合A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0</v>
      </c>
      <c r="E13" s="143">
        <f ca="1">[1]!thsiFinD("ths_adjustment_nvg_ratio_fund",$A13,$H$8,$I$4,101)/100</f>
        <v>-0.45166611679314</v>
      </c>
      <c r="F13" s="143">
        <v>0.01</v>
      </c>
      <c r="G13" s="39"/>
    </row>
    <row r="14" spans="1:11" ht="20.149999999999999" customHeight="1">
      <c r="A14" s="45" t="s">
        <v>37</v>
      </c>
      <c r="B14" s="146" t="str">
        <f>[1]!thsiFinD("ths_fund_short_name_fund",A14)</f>
        <v>银华集成电路混合A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0</v>
      </c>
      <c r="E14" s="143">
        <f ca="1">[1]!thsiFinD("ths_adjustment_nvg_ratio_fund",$A14,$H$8,$I$4,101)/100</f>
        <v>-0.23241923241923002</v>
      </c>
      <c r="F14" s="143">
        <v>0.01</v>
      </c>
      <c r="G14" s="39"/>
    </row>
    <row r="15" spans="1:11" ht="20.149999999999999" customHeight="1">
      <c r="A15" s="45" t="s">
        <v>43</v>
      </c>
      <c r="B15" s="146" t="str">
        <f>[1]!thsiFinD("ths_fund_short_name_fund",A15)</f>
        <v>信澳业绩驱动混合A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0</v>
      </c>
      <c r="E15" s="143">
        <f ca="1">[1]!thsiFinD("ths_adjustment_nvg_ratio_fund",$A15,$H$8,$I$4,101)/100</f>
        <v>-0.42261414208010994</v>
      </c>
      <c r="F15" s="143">
        <v>0.01</v>
      </c>
      <c r="G15" s="39"/>
    </row>
    <row r="16" spans="1:11" ht="20.149999999999999" customHeight="1">
      <c r="A16" s="45" t="s">
        <v>44</v>
      </c>
      <c r="B16" s="146" t="str">
        <f>[1]!thsiFinD("ths_fund_short_name_fund",A16)</f>
        <v>嘉实信息产业股票发起式A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0</v>
      </c>
      <c r="E16" s="143">
        <f ca="1">[1]!thsiFinD("ths_adjustment_nvg_ratio_fund",$A16,$H$8,$I$4,101)/100</f>
        <v>-0.43479846799198002</v>
      </c>
      <c r="F16" s="143">
        <v>0.01</v>
      </c>
      <c r="G16" s="39"/>
    </row>
    <row r="17" spans="1:8" ht="20.149999999999999" customHeight="1">
      <c r="A17" s="45" t="s">
        <v>60</v>
      </c>
      <c r="B17" s="146" t="str">
        <f>[1]!thsiFinD("ths_fund_short_name_fund",A17)</f>
        <v>宏利领先中小盘混合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0</v>
      </c>
      <c r="E17" s="143">
        <f ca="1">[1]!thsiFinD("ths_adjustment_nvg_ratio_fund",$A17,$H$8,$I$4,101)/100</f>
        <v>-0.22217573221757</v>
      </c>
      <c r="F17" s="143">
        <v>0.01</v>
      </c>
      <c r="G17" s="39"/>
    </row>
    <row r="18" spans="1:8" ht="20.149999999999999" customHeight="1">
      <c r="A18" s="45" t="s">
        <v>349</v>
      </c>
      <c r="B18" s="146" t="str">
        <f>[1]!thsiFinD("ths_fund_short_name_fund",A18)</f>
        <v>嘉实中债3-5年国开行债券指数A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0</v>
      </c>
      <c r="E18" s="143">
        <f ca="1">[1]!thsiFinD("ths_adjustment_nvg_ratio_fund",$A18,$H$8,$I$4,101)/100</f>
        <v>1.0746814003317E-2</v>
      </c>
      <c r="F18" s="143">
        <v>0.15</v>
      </c>
      <c r="G18" s="39"/>
    </row>
    <row r="19" spans="1:8" ht="20.149999999999999" customHeight="1">
      <c r="A19" s="45" t="s">
        <v>348</v>
      </c>
      <c r="B19" s="146" t="str">
        <f>[1]!thsiFinD("ths_fund_short_name_fund",A19)</f>
        <v>广发中债7-10年期国开行债券指数A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0</v>
      </c>
      <c r="E19" s="143">
        <f ca="1">[1]!thsiFinD("ths_adjustment_nvg_ratio_fund",$A19,$H$8,$I$4,101)/100</f>
        <v>1.6671520122832999E-2</v>
      </c>
      <c r="F19" s="143">
        <v>0.15</v>
      </c>
      <c r="G19" s="39"/>
    </row>
    <row r="20" spans="1:8" ht="20.149999999999999" customHeight="1">
      <c r="A20" s="45" t="s">
        <v>51</v>
      </c>
      <c r="B20" s="146" t="str">
        <f>[1]!thsiFinD("ths_fund_short_name_fund",A20)</f>
        <v>易方达中债新综合债券指数发起式(LOF)A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0</v>
      </c>
      <c r="E20" s="143">
        <f ca="1">[1]!thsiFinD("ths_adjustment_nvg_ratio_fund",$A20,$H$8,$I$4,101)/100</f>
        <v>1.62292237954E-2</v>
      </c>
      <c r="F20" s="143">
        <v>0.5</v>
      </c>
      <c r="G20" s="39"/>
    </row>
    <row r="21" spans="1:8" ht="20.149999999999999" customHeight="1">
      <c r="A21" s="45" t="s">
        <v>29</v>
      </c>
      <c r="B21" s="146" t="str">
        <f>[1]!thsiFinD("ths_fund_short_name_fund",A21)</f>
        <v>华安易富黄金ETF联接A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0</v>
      </c>
      <c r="E21" s="143">
        <f ca="1">[1]!thsiFinD("ths_adjustment_nvg_ratio_fund",$A21,$H$8,$I$4,101)/100</f>
        <v>-7.9436515520483003E-2</v>
      </c>
      <c r="F21" s="143">
        <v>0.05</v>
      </c>
      <c r="G21" s="39"/>
    </row>
    <row r="22" spans="1:8" ht="20.149999999999999" customHeight="1">
      <c r="A22" s="45" t="s">
        <v>30</v>
      </c>
      <c r="B22" s="146" t="str">
        <f>[1]!thsiFinD("ths_fund_short_name_fund",A22)</f>
        <v>嘉实快线货币A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0</v>
      </c>
      <c r="E22" s="143">
        <f ca="1">[1]!thsiFinD("ths_adjustment_nvg_ratio_fund",$A22,$H$8,$I$4,101)/100</f>
        <v>4.2611612260709999E-3</v>
      </c>
      <c r="F22" s="143">
        <v>0.05</v>
      </c>
      <c r="G22" s="39"/>
    </row>
    <row r="23" spans="1:8" ht="20.149999999999999" customHeight="1">
      <c r="A23" s="43" t="s">
        <v>28</v>
      </c>
      <c r="B23" s="138" t="s">
        <v>171</v>
      </c>
      <c r="C23" s="137" t="s">
        <v>232</v>
      </c>
      <c r="D23" s="137" t="str">
        <f>D8</f>
        <v>本周以来</v>
      </c>
      <c r="E23" s="137" t="str">
        <f>E8</f>
        <v>上线以来</v>
      </c>
      <c r="F23" s="137" t="s">
        <v>185</v>
      </c>
      <c r="G23" s="46"/>
      <c r="H23" s="48">
        <v>46198</v>
      </c>
    </row>
    <row r="24" spans="1:8" ht="20.149999999999999" customHeight="1">
      <c r="A24" s="45" t="s">
        <v>33</v>
      </c>
      <c r="B24" s="146" t="str">
        <f>[1]!thsiFinD("ths_fund_short_name_fund",A24)</f>
        <v>博道沪深300指数增强C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0</v>
      </c>
      <c r="E24" s="143">
        <f ca="1">[1]!thsiFinD("ths_adjustment_nvg_ratio_fund",$A24,$H$23,$I$4,101)/100</f>
        <v>-0.13836542929423001</v>
      </c>
      <c r="F24" s="143">
        <v>1.2500000000000001E-2</v>
      </c>
      <c r="G24" s="39"/>
    </row>
    <row r="25" spans="1:8" ht="20.149999999999999" customHeight="1">
      <c r="A25" s="45" t="s">
        <v>42</v>
      </c>
      <c r="B25" s="146" t="str">
        <f>[1]!thsiFinD("ths_fund_short_name_fund",A25)</f>
        <v>中欧中证500指数增强C</v>
      </c>
      <c r="C25" s="143">
        <f ca="1">[1]!thsiFinD("ths_adjustment_nvg_ratio_fund",$A25,$I$4,$I$4,101)/100</f>
        <v>0</v>
      </c>
      <c r="D25" s="143">
        <f ca="1">[1]!thsiFinD("ths_adjustment_nvg_ratio_fund",$A25,$J$2,$I$4,101)/100</f>
        <v>0</v>
      </c>
      <c r="E25" s="143">
        <f ca="1">[1]!thsiFinD("ths_adjustment_nvg_ratio_fund",$A25,$H$23,$I$4,101)/100</f>
        <v>-0.19791538176883999</v>
      </c>
      <c r="F25" s="143">
        <v>1.2500000000000001E-2</v>
      </c>
      <c r="G25" s="39"/>
    </row>
    <row r="26" spans="1:8" ht="20.149999999999999" customHeight="1">
      <c r="A26" s="45" t="s">
        <v>40</v>
      </c>
      <c r="B26" s="146" t="str">
        <f>[1]!thsiFinD("ths_fund_short_name_fund",A26)</f>
        <v>天弘中证1000指数增强C</v>
      </c>
      <c r="C26" s="143">
        <f ca="1">[1]!thsiFinD("ths_adjustment_nvg_ratio_fund",$A26,$I$4,$I$4,101)/100</f>
        <v>0</v>
      </c>
      <c r="D26" s="143">
        <f ca="1">[1]!thsiFinD("ths_adjustment_nvg_ratio_fund",$A26,$J$2,$I$4,101)/100</f>
        <v>0</v>
      </c>
      <c r="E26" s="143">
        <f ca="1">[1]!thsiFinD("ths_adjustment_nvg_ratio_fund",$A26,$H$23,$I$4,101)/100</f>
        <v>-0.20164851339417</v>
      </c>
      <c r="F26" s="143">
        <v>1.2500000000000001E-2</v>
      </c>
      <c r="G26" s="39"/>
    </row>
    <row r="27" spans="1:8" ht="20.149999999999999" customHeight="1">
      <c r="A27" s="45" t="s">
        <v>50</v>
      </c>
      <c r="B27" s="146" t="str">
        <f>[1]!thsiFinD("ths_fund_short_name_fund",A27)</f>
        <v>华泰柏瑞中证2000指数增强C</v>
      </c>
      <c r="C27" s="143">
        <f ca="1">[1]!thsiFinD("ths_adjustment_nvg_ratio_fund",$A27,$I$4,$I$4,101)/100</f>
        <v>0</v>
      </c>
      <c r="D27" s="143">
        <f ca="1">[1]!thsiFinD("ths_adjustment_nvg_ratio_fund",$A27,$J$2,$I$4,101)/100</f>
        <v>0</v>
      </c>
      <c r="E27" s="143">
        <f ca="1">[1]!thsiFinD("ths_adjustment_nvg_ratio_fund",$A27,$H$23,$I$4,101)/100</f>
        <v>-0.1757710712086</v>
      </c>
      <c r="F27" s="143">
        <v>1.2500000000000001E-2</v>
      </c>
      <c r="G27" s="39"/>
    </row>
    <row r="28" spans="1:8" ht="20.149999999999999" customHeight="1">
      <c r="A28" s="45" t="s">
        <v>46</v>
      </c>
      <c r="B28" s="146" t="str">
        <f>[1]!thsiFinD("ths_fund_short_name_fund",A28)</f>
        <v>宏利复兴伟业混合C</v>
      </c>
      <c r="C28" s="143">
        <f ca="1">[1]!thsiFinD("ths_adjustment_nvg_ratio_fund",$A28,$I$4,$I$4,101)/100</f>
        <v>0</v>
      </c>
      <c r="D28" s="143">
        <f ca="1">[1]!thsiFinD("ths_adjustment_nvg_ratio_fund",$A28,$J$2,$I$4,101)/100</f>
        <v>0</v>
      </c>
      <c r="E28" s="143">
        <f ca="1">[1]!thsiFinD("ths_adjustment_nvg_ratio_fund",$A28,$H$23,$I$4,101)/100</f>
        <v>-0.45678400264418995</v>
      </c>
      <c r="F28" s="143">
        <v>1.2500000000000001E-2</v>
      </c>
      <c r="G28" s="39"/>
    </row>
    <row r="29" spans="1:8" ht="20.149999999999999" customHeight="1">
      <c r="A29" s="45" t="s">
        <v>45</v>
      </c>
      <c r="B29" s="146" t="str">
        <f>[1]!thsiFinD("ths_fund_short_name_fund",A29)</f>
        <v>嘉实信息产业股票发起式C</v>
      </c>
      <c r="C29" s="143">
        <f ca="1">[1]!thsiFinD("ths_adjustment_nvg_ratio_fund",$A29,$I$4,$I$4,101)/100</f>
        <v>0</v>
      </c>
      <c r="D29" s="143">
        <f ca="1">[1]!thsiFinD("ths_adjustment_nvg_ratio_fund",$A29,$J$2,$I$4,101)/100</f>
        <v>0</v>
      </c>
      <c r="E29" s="143">
        <f ca="1">[1]!thsiFinD("ths_adjustment_nvg_ratio_fund",$A29,$H$23,$I$4,101)/100</f>
        <v>-0.45147927654662001</v>
      </c>
      <c r="F29" s="143">
        <v>1.2500000000000001E-2</v>
      </c>
      <c r="G29" s="39"/>
    </row>
    <row r="30" spans="1:8" ht="20.149999999999999" customHeight="1">
      <c r="A30" s="45" t="s">
        <v>36</v>
      </c>
      <c r="B30" s="146" t="str">
        <f>[1]!thsiFinD("ths_fund_short_name_fund",A30)</f>
        <v>嘉实前沿创新混合</v>
      </c>
      <c r="C30" s="143">
        <f ca="1">[1]!thsiFinD("ths_adjustment_nvg_ratio_fund",$A30,$I$4,$I$4,101)/100</f>
        <v>0</v>
      </c>
      <c r="D30" s="143">
        <f ca="1">[1]!thsiFinD("ths_adjustment_nvg_ratio_fund",$A30,$J$2,$I$4,101)/100</f>
        <v>0</v>
      </c>
      <c r="E30" s="143">
        <f ca="1">[1]!thsiFinD("ths_adjustment_nvg_ratio_fund",$A30,$H$23,$I$4,101)/100</f>
        <v>-0.41059320645942998</v>
      </c>
      <c r="F30" s="143">
        <v>0.01</v>
      </c>
      <c r="G30" s="39"/>
    </row>
    <row r="31" spans="1:8" ht="20.149999999999999" customHeight="1">
      <c r="A31" s="45" t="s">
        <v>38</v>
      </c>
      <c r="B31" s="146" t="str">
        <f>[1]!thsiFinD("ths_fund_short_name_fund",A31)</f>
        <v>银华集成电路混合C</v>
      </c>
      <c r="C31" s="143">
        <f ca="1">[1]!thsiFinD("ths_adjustment_nvg_ratio_fund",$A31,$I$4,$I$4,101)/100</f>
        <v>0</v>
      </c>
      <c r="D31" s="143">
        <f ca="1">[1]!thsiFinD("ths_adjustment_nvg_ratio_fund",$A31,$J$2,$I$4,101)/100</f>
        <v>0</v>
      </c>
      <c r="E31" s="143">
        <f ca="1">[1]!thsiFinD("ths_adjustment_nvg_ratio_fund",$A31,$H$23,$I$4,101)/100</f>
        <v>-0.30674772768314001</v>
      </c>
      <c r="F31" s="143">
        <v>7.4999999999999997E-3</v>
      </c>
      <c r="G31" s="39"/>
    </row>
    <row r="32" spans="1:8" ht="20.149999999999999" customHeight="1">
      <c r="A32" s="45" t="s">
        <v>60</v>
      </c>
      <c r="B32" s="146" t="str">
        <f>[1]!thsiFinD("ths_fund_short_name_fund",A32)</f>
        <v>宏利领先中小盘混合</v>
      </c>
      <c r="C32" s="143">
        <f ca="1">[1]!thsiFinD("ths_adjustment_nvg_ratio_fund",$A32,$I$4,$I$4,101)/100</f>
        <v>0</v>
      </c>
      <c r="D32" s="143">
        <f ca="1">[1]!thsiFinD("ths_adjustment_nvg_ratio_fund",$A32,$J$2,$I$4,101)/100</f>
        <v>0</v>
      </c>
      <c r="E32" s="143">
        <f ca="1">[1]!thsiFinD("ths_adjustment_nvg_ratio_fund",$A32,$H$23,$I$4,101)/100</f>
        <v>-0.29396126091909996</v>
      </c>
      <c r="F32" s="143">
        <v>7.4999999999999997E-3</v>
      </c>
      <c r="G32" s="39"/>
    </row>
    <row r="33" spans="1:7" ht="20.149999999999999" customHeight="1">
      <c r="A33" s="45" t="s">
        <v>349</v>
      </c>
      <c r="B33" s="146" t="str">
        <f>[1]!thsiFinD("ths_fund_short_name_fund",A33)</f>
        <v>嘉实中债3-5年国开行债券指数A</v>
      </c>
      <c r="C33" s="143">
        <f ca="1">[1]!thsiFinD("ths_adjustment_nvg_ratio_fund",$A33,$I$4,$I$4,101)/100</f>
        <v>0</v>
      </c>
      <c r="D33" s="143">
        <f ca="1">[1]!thsiFinD("ths_adjustment_nvg_ratio_fund",$A33,$J$2,$I$4,101)/100</f>
        <v>0</v>
      </c>
      <c r="E33" s="143">
        <f ca="1">[1]!thsiFinD("ths_adjustment_nvg_ratio_fund",$A33,$H$23,$I$4,101)/100</f>
        <v>1.0940276879859E-2</v>
      </c>
      <c r="F33" s="143">
        <v>0.15</v>
      </c>
      <c r="G33" s="39"/>
    </row>
    <row r="34" spans="1:7" ht="20.149999999999999" customHeight="1">
      <c r="A34" s="45" t="s">
        <v>348</v>
      </c>
      <c r="B34" s="146" t="str">
        <f>[1]!thsiFinD("ths_fund_short_name_fund",A34)</f>
        <v>广发中债7-10年期国开行债券指数A</v>
      </c>
      <c r="C34" s="143">
        <f ca="1">[1]!thsiFinD("ths_adjustment_nvg_ratio_fund",$A34,$I$4,$I$4,101)/100</f>
        <v>0</v>
      </c>
      <c r="D34" s="143">
        <f ca="1">[1]!thsiFinD("ths_adjustment_nvg_ratio_fund",$A34,$J$2,$I$4,101)/100</f>
        <v>0</v>
      </c>
      <c r="E34" s="143">
        <f ca="1">[1]!thsiFinD("ths_adjustment_nvg_ratio_fund",$A34,$H$23,$I$4,101)/100</f>
        <v>1.748633879514E-2</v>
      </c>
      <c r="F34" s="143">
        <v>0.15</v>
      </c>
      <c r="G34" s="39"/>
    </row>
    <row r="35" spans="1:7" ht="20.149999999999999" customHeight="1">
      <c r="A35" s="45" t="s">
        <v>51</v>
      </c>
      <c r="B35" s="146" t="str">
        <f>[1]!thsiFinD("ths_fund_short_name_fund",A35)</f>
        <v>易方达中债新综合债券指数发起式(LOF)A</v>
      </c>
      <c r="C35" s="143">
        <f ca="1">[1]!thsiFinD("ths_adjustment_nvg_ratio_fund",$A35,$I$4,$I$4,101)/100</f>
        <v>0</v>
      </c>
      <c r="D35" s="143">
        <f ca="1">[1]!thsiFinD("ths_adjustment_nvg_ratio_fund",$A35,$J$2,$I$4,101)/100</f>
        <v>0</v>
      </c>
      <c r="E35" s="143">
        <f ca="1">[1]!thsiFinD("ths_adjustment_nvg_ratio_fund",$A35,$H$23,$I$4,101)/100</f>
        <v>1.6627477326166998E-2</v>
      </c>
      <c r="F35" s="143">
        <v>0.5</v>
      </c>
      <c r="G35" s="39"/>
    </row>
    <row r="36" spans="1:7" ht="20.149999999999999" customHeight="1">
      <c r="A36" s="45" t="s">
        <v>29</v>
      </c>
      <c r="B36" s="146" t="str">
        <f>[1]!thsiFinD("ths_fund_short_name_fund",A36)</f>
        <v>华安易富黄金ETF联接A</v>
      </c>
      <c r="C36" s="143">
        <f ca="1">[1]!thsiFinD("ths_adjustment_nvg_ratio_fund",$A36,$I$4,$I$4,101)/100</f>
        <v>0</v>
      </c>
      <c r="D36" s="143">
        <f ca="1">[1]!thsiFinD("ths_adjustment_nvg_ratio_fund",$A36,$J$2,$I$4,101)/100</f>
        <v>0</v>
      </c>
      <c r="E36" s="143">
        <f ca="1">[1]!thsiFinD("ths_adjustment_nvg_ratio_fund",$A36,$H$23,$I$4,101)/100</f>
        <v>-3.6147689129873005E-2</v>
      </c>
      <c r="F36" s="143">
        <v>0.05</v>
      </c>
      <c r="G36" s="39"/>
    </row>
    <row r="37" spans="1:7" ht="20.149999999999999" customHeight="1">
      <c r="A37" s="45" t="s">
        <v>30</v>
      </c>
      <c r="B37" s="146" t="str">
        <f>[1]!thsiFinD("ths_fund_short_name_fund",A37)</f>
        <v>嘉实快线货币A</v>
      </c>
      <c r="C37" s="143">
        <f ca="1">[1]!thsiFinD("ths_adjustment_nvg_ratio_fund",$A37,$I$4,$I$4,101)/100</f>
        <v>0</v>
      </c>
      <c r="D37" s="143">
        <f ca="1">[1]!thsiFinD("ths_adjustment_nvg_ratio_fund",$A37,$J$2,$I$4,101)/100</f>
        <v>0</v>
      </c>
      <c r="E37" s="143">
        <f ca="1">[1]!thsiFinD("ths_adjustment_nvg_ratio_fund",$A37,$H$23,$I$4,101)/100</f>
        <v>4.1495760096989E-3</v>
      </c>
      <c r="F37" s="143">
        <v>0.05</v>
      </c>
      <c r="G37" s="39"/>
    </row>
    <row r="38" spans="1:7">
      <c r="A38" s="50"/>
      <c r="B38" s="50"/>
      <c r="C38" s="50"/>
      <c r="D38" s="50"/>
      <c r="E38" s="50"/>
      <c r="F38" s="50"/>
      <c r="G38" s="50"/>
    </row>
    <row r="39" spans="1:7">
      <c r="A39" s="50"/>
      <c r="B39" s="50"/>
      <c r="C39" s="50"/>
      <c r="D39" s="50"/>
      <c r="E39" s="50"/>
      <c r="F39" s="50"/>
      <c r="G39" s="50"/>
    </row>
    <row r="40" spans="1:7">
      <c r="A40" s="34"/>
      <c r="B40" s="34"/>
      <c r="C40" s="34"/>
      <c r="D40" s="34"/>
      <c r="E40" s="34"/>
      <c r="F40" s="34"/>
      <c r="G40" s="34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4" spans="1:7">
      <c r="A54" s="50"/>
      <c r="B54" s="50"/>
      <c r="C54" s="50"/>
      <c r="D54" s="50"/>
      <c r="E54" s="50"/>
      <c r="F54" s="50"/>
      <c r="G54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  <row r="68" spans="1:7">
      <c r="A68" s="50"/>
      <c r="B68" s="50"/>
      <c r="C68" s="50"/>
      <c r="D68" s="50"/>
      <c r="E68" s="50"/>
      <c r="F68" s="50"/>
      <c r="G68" s="50"/>
    </row>
    <row r="69" spans="1:7">
      <c r="A69" s="50"/>
      <c r="B69" s="50"/>
      <c r="C69" s="50"/>
      <c r="D69" s="50"/>
      <c r="E69" s="50"/>
      <c r="F69" s="50"/>
      <c r="G69" s="50"/>
    </row>
    <row r="70" spans="1:7">
      <c r="A70" s="50"/>
      <c r="B70" s="50"/>
      <c r="C70" s="50"/>
      <c r="D70" s="50"/>
      <c r="E70" s="50"/>
      <c r="F70" s="50"/>
      <c r="G70" s="50"/>
    </row>
    <row r="71" spans="1:7">
      <c r="A71" s="50"/>
      <c r="B71" s="50"/>
      <c r="C71" s="50"/>
      <c r="D71" s="50"/>
      <c r="E71" s="50"/>
      <c r="F71" s="50"/>
      <c r="G71" s="50"/>
    </row>
    <row r="72" spans="1:7">
      <c r="A72" s="50"/>
      <c r="B72" s="50"/>
      <c r="C72" s="50"/>
      <c r="D72" s="50"/>
      <c r="E72" s="50"/>
      <c r="F72" s="50"/>
      <c r="G72" s="50"/>
    </row>
    <row r="73" spans="1:7">
      <c r="A73" s="50"/>
      <c r="B73" s="50"/>
      <c r="C73" s="50"/>
      <c r="D73" s="50"/>
      <c r="E73" s="50"/>
      <c r="F73" s="50"/>
      <c r="G73" s="50"/>
    </row>
    <row r="74" spans="1:7">
      <c r="A74" s="50"/>
      <c r="B74" s="50"/>
      <c r="C74" s="50"/>
      <c r="D74" s="50"/>
      <c r="E74" s="50"/>
      <c r="F74" s="50"/>
      <c r="G74" s="50"/>
    </row>
  </sheetData>
  <mergeCells count="3">
    <mergeCell ref="B1:D1"/>
    <mergeCell ref="E1:F1"/>
    <mergeCell ref="B2:F2"/>
  </mergeCells>
  <phoneticPr fontId="29" type="noConversion"/>
  <conditionalFormatting sqref="C5:E6 C9:E22 C24:E37">
    <cfRule type="cellIs" dxfId="35" priority="1" operator="greaterThan">
      <formula>0</formula>
    </cfRule>
  </conditionalFormatting>
  <pageMargins left="0.7" right="0.7" top="0.75" bottom="0.75" header="0.3" footer="0.3"/>
  <ignoredErrors>
    <ignoredError sqref="D23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F19" sqref="F19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370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每日组合!J1</f>
        <v>46282</v>
      </c>
      <c r="J1" s="48">
        <f>每日组合!I1</f>
        <v>46195</v>
      </c>
    </row>
    <row r="2" spans="1:11" ht="14">
      <c r="A2" s="34"/>
      <c r="B2" s="227" t="s">
        <v>345</v>
      </c>
      <c r="C2" s="227"/>
      <c r="D2" s="227"/>
      <c r="E2" s="227"/>
      <c r="F2" s="227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4.5">
      <c r="A3" s="34"/>
      <c r="B3" s="135" t="s">
        <v>181</v>
      </c>
      <c r="C3" s="136"/>
      <c r="D3" s="136"/>
      <c r="E3" s="136"/>
      <c r="F3" s="136"/>
      <c r="G3" s="147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148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5" t="s">
        <v>369</v>
      </c>
      <c r="C5" s="143">
        <f ca="1">每日组合!B8</f>
        <v>-6.2668134426457911E-5</v>
      </c>
      <c r="D5" s="143">
        <f ca="1">每日组合!C8</f>
        <v>-6.2668134426457911E-5</v>
      </c>
      <c r="E5" s="143">
        <f ca="1">每日组合!D8</f>
        <v>-8.5196480043310263E-3</v>
      </c>
      <c r="F5" s="144">
        <f>每日组合!E8</f>
        <v>46282</v>
      </c>
      <c r="G5" s="38"/>
    </row>
    <row r="6" spans="1:11" ht="20.149999999999999" customHeight="1">
      <c r="A6" s="34"/>
      <c r="B6" s="135" t="s">
        <v>182</v>
      </c>
      <c r="C6" s="136"/>
      <c r="D6" s="136"/>
      <c r="E6" s="136"/>
      <c r="F6" s="136"/>
      <c r="G6" s="33"/>
    </row>
    <row r="7" spans="1:11" ht="20.149999999999999" customHeight="1">
      <c r="A7" s="43" t="s">
        <v>28</v>
      </c>
      <c r="B7" s="137" t="s">
        <v>371</v>
      </c>
      <c r="C7" s="137" t="s">
        <v>232</v>
      </c>
      <c r="D7" s="137" t="s">
        <v>186</v>
      </c>
      <c r="E7" s="137" t="s">
        <v>193</v>
      </c>
      <c r="F7" s="137" t="s">
        <v>185</v>
      </c>
      <c r="G7" s="46"/>
      <c r="H7" s="48">
        <v>46283</v>
      </c>
    </row>
    <row r="8" spans="1:11" ht="20.149999999999999" customHeight="1">
      <c r="A8" s="45" t="s">
        <v>33</v>
      </c>
      <c r="B8" s="146" t="str">
        <f>[1]!thsiFinD("ths_fund_short_name_fund",A8)</f>
        <v>博道沪深300指数增强C</v>
      </c>
      <c r="C8" s="143">
        <f ca="1">[1]!thsiFinD("ths_adjustment_nvg_ratio_fund",$A8,$I$4,$I$4,101)/100</f>
        <v>0</v>
      </c>
      <c r="D8" s="143">
        <f ca="1">[1]!thsiFinD("ths_adjustment_nvg_ratio_fund",$A8,$J$2,$I$4,101)/100</f>
        <v>0</v>
      </c>
      <c r="E8" s="143">
        <f ca="1">[1]!thsiFinD("ths_adjustment_nvg_ratio_fund",$A8,$H$7,$I$4,101)/100</f>
        <v>-8.1507980187121992E-2</v>
      </c>
      <c r="F8" s="143">
        <v>2.5000000000000001E-2</v>
      </c>
      <c r="G8" s="39"/>
    </row>
    <row r="9" spans="1:11" ht="20.149999999999999" customHeight="1">
      <c r="A9" s="45" t="s">
        <v>372</v>
      </c>
      <c r="B9" s="146" t="str">
        <f>[1]!thsiFinD("ths_fund_short_name_fund",A9)</f>
        <v>嘉实中证500指数增强C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0</v>
      </c>
      <c r="E9" s="143">
        <f ca="1">[1]!thsiFinD("ths_adjustment_nvg_ratio_fund",$A9,$H$7,$I$4,101)/100</f>
        <v>-0.11817632850241999</v>
      </c>
      <c r="F9" s="143">
        <v>1.2500000000000001E-2</v>
      </c>
      <c r="G9" s="39"/>
    </row>
    <row r="10" spans="1:11" ht="20.149999999999999" customHeight="1">
      <c r="A10" s="45" t="s">
        <v>373</v>
      </c>
      <c r="B10" s="146" t="str">
        <f>[1]!thsiFinD("ths_fund_short_name_fund",A10)</f>
        <v>博道中证500指数增强C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0</v>
      </c>
      <c r="E10" s="143">
        <f ca="1">[1]!thsiFinD("ths_adjustment_nvg_ratio_fund",$A10,$H$7,$I$4,101)/100</f>
        <v>-0.10903600092941999</v>
      </c>
      <c r="F10" s="143">
        <v>1.2500000000000001E-2</v>
      </c>
      <c r="G10" s="39"/>
    </row>
    <row r="11" spans="1:11" ht="20.149999999999999" customHeight="1">
      <c r="A11" s="45" t="s">
        <v>374</v>
      </c>
      <c r="B11" s="146" t="str">
        <f>[1]!thsiFinD("ths_fund_short_name_fund",A11)</f>
        <v>汇添富中证1000指数增强C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0</v>
      </c>
      <c r="E11" s="143">
        <f ca="1">[1]!thsiFinD("ths_adjustment_nvg_ratio_fund",$A11,$H$7,$I$4,101)/100</f>
        <v>-9.9163327834080009E-2</v>
      </c>
      <c r="F11" s="143">
        <v>1.2500000000000001E-2</v>
      </c>
      <c r="G11" s="39"/>
    </row>
    <row r="12" spans="1:11" ht="20.149999999999999" customHeight="1">
      <c r="A12" s="45" t="s">
        <v>40</v>
      </c>
      <c r="B12" s="146" t="str">
        <f>[1]!thsiFinD("ths_fund_short_name_fund",A12)</f>
        <v>天弘中证1000指数增强C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0</v>
      </c>
      <c r="E12" s="143">
        <f ca="1">[1]!thsiFinD("ths_adjustment_nvg_ratio_fund",$A12,$H$7,$I$4,101)/100</f>
        <v>-0.10079575596816999</v>
      </c>
      <c r="F12" s="143">
        <v>1.2500000000000001E-2</v>
      </c>
      <c r="G12" s="39"/>
    </row>
    <row r="13" spans="1:11" ht="20.149999999999999" customHeight="1">
      <c r="A13" s="45" t="s">
        <v>50</v>
      </c>
      <c r="B13" s="146" t="str">
        <f>[1]!thsiFinD("ths_fund_short_name_fund",A13)</f>
        <v>华泰柏瑞中证2000指数增强C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0</v>
      </c>
      <c r="E13" s="143">
        <f ca="1">[1]!thsiFinD("ths_adjustment_nvg_ratio_fund",$A13,$H$7,$I$4,101)/100</f>
        <v>-8.3548438076173001E-2</v>
      </c>
      <c r="F13" s="143">
        <v>1.2500000000000001E-2</v>
      </c>
      <c r="G13" s="39"/>
    </row>
    <row r="14" spans="1:11" ht="20.149999999999999" customHeight="1">
      <c r="A14" s="45" t="s">
        <v>375</v>
      </c>
      <c r="B14" s="146" t="str">
        <f>[1]!thsiFinD("ths_fund_short_name_fund",A14)</f>
        <v>招商中证2000指数增强C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0</v>
      </c>
      <c r="E14" s="143">
        <f ca="1">[1]!thsiFinD("ths_adjustment_nvg_ratio_fund",$A14,$H$7,$I$4,101)/100</f>
        <v>-8.8337708255210007E-2</v>
      </c>
      <c r="F14" s="143">
        <v>1.2500000000000001E-2</v>
      </c>
      <c r="G14" s="39"/>
    </row>
    <row r="15" spans="1:11" ht="20.149999999999999" customHeight="1">
      <c r="A15" s="45" t="s">
        <v>376</v>
      </c>
      <c r="B15" s="146" t="str">
        <f>[1]!thsiFinD("ths_fund_short_name_fund",A15)</f>
        <v>嘉实价值优势混合A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0</v>
      </c>
      <c r="E15" s="143">
        <f ca="1">[1]!thsiFinD("ths_adjustment_nvg_ratio_fund",$A15,$H$7,$I$4,101)/100</f>
        <v>-2.4484536068308999E-2</v>
      </c>
      <c r="F15" s="143">
        <v>5.0000000000000001E-3</v>
      </c>
      <c r="G15" s="39"/>
    </row>
    <row r="16" spans="1:11" ht="20.149999999999999" customHeight="1">
      <c r="A16" s="45" t="s">
        <v>377</v>
      </c>
      <c r="B16" s="146" t="str">
        <f>[1]!thsiFinD("ths_fund_short_name_fund",A16)</f>
        <v>民生加银优选股票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0</v>
      </c>
      <c r="E16" s="143">
        <f ca="1">[1]!thsiFinD("ths_adjustment_nvg_ratio_fund",$A16,$H$7,$I$4,101)/100</f>
        <v>-3.0397145659932E-3</v>
      </c>
      <c r="F16" s="143">
        <v>5.0000000000000001E-3</v>
      </c>
      <c r="G16" s="39"/>
    </row>
    <row r="17" spans="1:7" ht="20.149999999999999" customHeight="1">
      <c r="A17" s="45" t="s">
        <v>378</v>
      </c>
      <c r="B17" s="146" t="str">
        <f>[1]!thsiFinD("ths_fund_short_name_fund",A17)</f>
        <v>大成竞争优势混合A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0</v>
      </c>
      <c r="E17" s="143">
        <f ca="1">[1]!thsiFinD("ths_adjustment_nvg_ratio_fund",$A17,$H$7,$I$4,101)/100</f>
        <v>-2.0908295242910001E-2</v>
      </c>
      <c r="F17" s="143">
        <v>5.0000000000000001E-3</v>
      </c>
      <c r="G17" s="39"/>
    </row>
    <row r="18" spans="1:7" ht="20.149999999999999" customHeight="1">
      <c r="A18" s="45" t="s">
        <v>379</v>
      </c>
      <c r="B18" s="146" t="str">
        <f>[1]!thsiFinD("ths_fund_short_name_fund",A18)</f>
        <v>国投瑞银瑞源混合A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0</v>
      </c>
      <c r="E18" s="143">
        <f ca="1">[1]!thsiFinD("ths_adjustment_nvg_ratio_fund",$A18,$H$7,$I$4,101)/100</f>
        <v>-2.6240273018372999E-2</v>
      </c>
      <c r="F18" s="143">
        <v>5.0000000000000001E-3</v>
      </c>
      <c r="G18" s="39"/>
    </row>
    <row r="19" spans="1:7" ht="20.149999999999999" customHeight="1">
      <c r="A19" s="45" t="s">
        <v>380</v>
      </c>
      <c r="B19" s="146" t="str">
        <f>[1]!thsiFinD("ths_fund_short_name_fund",A19)</f>
        <v>华泰柏瑞中证红利低波动ETF联接A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0</v>
      </c>
      <c r="E19" s="143">
        <f ca="1">[1]!thsiFinD("ths_adjustment_nvg_ratio_fund",$A19,$H$7,$I$4,101)/100</f>
        <v>1.0421005380877001E-2</v>
      </c>
      <c r="F19" s="143">
        <v>0.06</v>
      </c>
      <c r="G19" s="39"/>
    </row>
    <row r="20" spans="1:7" ht="20.149999999999999" customHeight="1">
      <c r="A20" s="45" t="s">
        <v>381</v>
      </c>
      <c r="B20" s="146" t="str">
        <f>[1]!thsiFinD("ths_fund_short_name_fund",A20)</f>
        <v>天弘中证红利低波动100ETF联接A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0</v>
      </c>
      <c r="E20" s="143">
        <f ca="1">[1]!thsiFinD("ths_adjustment_nvg_ratio_fund",$A20,$H$7,$I$4,101)/100</f>
        <v>1.4781697691474001E-2</v>
      </c>
      <c r="F20" s="143">
        <v>0.02</v>
      </c>
      <c r="G20" s="39"/>
    </row>
    <row r="21" spans="1:7" ht="20.149999999999999" customHeight="1">
      <c r="A21" s="45" t="s">
        <v>349</v>
      </c>
      <c r="B21" s="146" t="str">
        <f>[1]!thsiFinD("ths_fund_short_name_fund",A21)</f>
        <v>嘉实中债3-5年国开行债券指数A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0</v>
      </c>
      <c r="E21" s="143">
        <f ca="1">[1]!thsiFinD("ths_adjustment_nvg_ratio_fund",$A21,$H$7,$I$4,101)/100</f>
        <v>5.6421535496823001E-3</v>
      </c>
      <c r="F21" s="143">
        <v>0.2</v>
      </c>
      <c r="G21" s="50"/>
    </row>
    <row r="22" spans="1:7" ht="20.149999999999999" customHeight="1">
      <c r="A22" s="45" t="s">
        <v>348</v>
      </c>
      <c r="B22" s="146" t="str">
        <f>[1]!thsiFinD("ths_fund_short_name_fund",A22)</f>
        <v>广发中债7-10年期国开行债券指数A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0</v>
      </c>
      <c r="E22" s="143">
        <f ca="1">[1]!thsiFinD("ths_adjustment_nvg_ratio_fund",$A22,$H$7,$I$4,101)/100</f>
        <v>9.7613882807098991E-3</v>
      </c>
      <c r="F22" s="143">
        <v>0.2</v>
      </c>
      <c r="G22" s="50"/>
    </row>
    <row r="23" spans="1:7" ht="20.149999999999999" customHeight="1">
      <c r="A23" s="45" t="s">
        <v>51</v>
      </c>
      <c r="B23" s="146" t="str">
        <f>[1]!thsiFinD("ths_fund_short_name_fund",A23)</f>
        <v>易方达中债新综合债券指数发起式(LOF)A</v>
      </c>
      <c r="C23" s="143">
        <f ca="1">[1]!thsiFinD("ths_adjustment_nvg_ratio_fund",$A23,$I$4,$I$4,101)/100</f>
        <v>0</v>
      </c>
      <c r="D23" s="143">
        <f ca="1">[1]!thsiFinD("ths_adjustment_nvg_ratio_fund",$A23,$J$2,$I$4,101)/100</f>
        <v>0</v>
      </c>
      <c r="E23" s="143">
        <f ca="1">[1]!thsiFinD("ths_adjustment_nvg_ratio_fund",$A23,$H$7,$I$4,101)/100</f>
        <v>6.5964523281597E-3</v>
      </c>
      <c r="F23" s="143">
        <v>0.3</v>
      </c>
      <c r="G23" s="50"/>
    </row>
    <row r="24" spans="1:7" ht="20.149999999999999" customHeight="1">
      <c r="A24" s="45" t="s">
        <v>382</v>
      </c>
      <c r="B24" s="146" t="str">
        <f>[1]!thsiFinD("ths_fund_short_name_fund",A24)</f>
        <v>嘉实上海金ETF发起式联接A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0</v>
      </c>
      <c r="E24" s="143">
        <f ca="1">[1]!thsiFinD("ths_adjustment_nvg_ratio_fund",$A24,$H$7,$I$4,101)/100</f>
        <v>-7.6269419247211007E-2</v>
      </c>
      <c r="F24" s="143">
        <v>0.05</v>
      </c>
      <c r="G24" s="50"/>
    </row>
    <row r="25" spans="1:7" ht="20.149999999999999" customHeight="1">
      <c r="A25" s="45" t="s">
        <v>30</v>
      </c>
      <c r="B25" s="146" t="str">
        <f>[1]!thsiFinD("ths_fund_short_name_fund",A25)</f>
        <v>嘉实快线货币A</v>
      </c>
      <c r="C25" s="143">
        <f ca="1">[1]!thsiFinD("ths_adjustment_nvg_ratio_fund",$A25,$I$4,$I$4,101)/100</f>
        <v>0</v>
      </c>
      <c r="D25" s="143">
        <f ca="1">[1]!thsiFinD("ths_adjustment_nvg_ratio_fund",$A25,$J$2,$I$4,101)/100</f>
        <v>0</v>
      </c>
      <c r="E25" s="143">
        <f ca="1">[1]!thsiFinD("ths_adjustment_nvg_ratio_fund",$A25,$H$7,$I$4,101)/100</f>
        <v>1.2770633592776E-3</v>
      </c>
      <c r="F25" s="143">
        <v>0.05</v>
      </c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5:E5 C8:E25">
    <cfRule type="cellIs" dxfId="34" priority="1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B9" sqref="B9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242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27" t="s">
        <v>347</v>
      </c>
      <c r="C2" s="227"/>
      <c r="D2" s="227"/>
      <c r="E2" s="227"/>
      <c r="F2" s="227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4.5">
      <c r="A3" s="34"/>
      <c r="B3" s="135" t="s">
        <v>181</v>
      </c>
      <c r="C3" s="136"/>
      <c r="D3" s="136"/>
      <c r="E3" s="136"/>
      <c r="F3" s="136"/>
      <c r="G3" s="147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148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5" t="s">
        <v>200</v>
      </c>
      <c r="C5" s="143">
        <f ca="1">每日组合!B10</f>
        <v>-9.2213893883585918E-5</v>
      </c>
      <c r="D5" s="143">
        <f ca="1">每日组合!C10</f>
        <v>-9.2213893883585918E-5</v>
      </c>
      <c r="E5" s="143">
        <f ca="1">每日组合!D10</f>
        <v>-9.7071552463955602E-2</v>
      </c>
      <c r="F5" s="144">
        <f>每日组合!E10</f>
        <v>46197</v>
      </c>
      <c r="G5" s="38"/>
    </row>
    <row r="6" spans="1:11" ht="20.149999999999999" customHeight="1">
      <c r="A6" s="34"/>
      <c r="B6" s="135" t="s">
        <v>182</v>
      </c>
      <c r="C6" s="136"/>
      <c r="D6" s="136"/>
      <c r="E6" s="136"/>
      <c r="F6" s="136"/>
      <c r="G6" s="33"/>
    </row>
    <row r="7" spans="1:11" ht="20.149999999999999" customHeight="1">
      <c r="A7" s="43" t="s">
        <v>28</v>
      </c>
      <c r="B7" s="137" t="s">
        <v>199</v>
      </c>
      <c r="C7" s="137" t="s">
        <v>232</v>
      </c>
      <c r="D7" s="137" t="s">
        <v>186</v>
      </c>
      <c r="E7" s="137" t="s">
        <v>193</v>
      </c>
      <c r="F7" s="137" t="s">
        <v>185</v>
      </c>
      <c r="G7" s="46"/>
      <c r="H7" s="48">
        <v>46198</v>
      </c>
    </row>
    <row r="8" spans="1:11" ht="20.149999999999999" customHeight="1">
      <c r="A8" s="45" t="s">
        <v>33</v>
      </c>
      <c r="B8" s="146" t="str">
        <f>[1]!thsiFinD("ths_fund_short_name_fund",A8)</f>
        <v>博道沪深300指数增强C</v>
      </c>
      <c r="C8" s="143">
        <f ca="1">[1]!thsiFinD("ths_adjustment_nvg_ratio_fund",$A8,$I$4,$I$4,101)/100</f>
        <v>0</v>
      </c>
      <c r="D8" s="143">
        <f ca="1">[1]!thsiFinD("ths_adjustment_nvg_ratio_fund",$A8,$J$2,$I$4,101)/100</f>
        <v>0</v>
      </c>
      <c r="E8" s="143">
        <f ca="1">[1]!thsiFinD("ths_adjustment_nvg_ratio_fund",$A8,$H$7,$I$4,101)/100</f>
        <v>-0.13836542929423001</v>
      </c>
      <c r="F8" s="143">
        <v>3.7499999999999999E-2</v>
      </c>
      <c r="G8" s="39"/>
    </row>
    <row r="9" spans="1:11" ht="20.149999999999999" customHeight="1">
      <c r="A9" s="45" t="s">
        <v>42</v>
      </c>
      <c r="B9" s="146" t="str">
        <f>[1]!thsiFinD("ths_fund_short_name_fund",A9)</f>
        <v>中欧中证500指数增强C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0</v>
      </c>
      <c r="E9" s="143">
        <f ca="1">[1]!thsiFinD("ths_adjustment_nvg_ratio_fund",$A9,$H$7,$I$4,101)/100</f>
        <v>-0.19791538176883999</v>
      </c>
      <c r="F9" s="143">
        <v>3.7499999999999999E-2</v>
      </c>
      <c r="G9" s="39"/>
    </row>
    <row r="10" spans="1:11" ht="20.149999999999999" customHeight="1">
      <c r="A10" s="45" t="s">
        <v>40</v>
      </c>
      <c r="B10" s="146" t="str">
        <f>[1]!thsiFinD("ths_fund_short_name_fund",A10)</f>
        <v>天弘中证1000指数增强C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0</v>
      </c>
      <c r="E10" s="143">
        <f ca="1">[1]!thsiFinD("ths_adjustment_nvg_ratio_fund",$A10,$H$7,$I$4,101)/100</f>
        <v>-0.20164851339417</v>
      </c>
      <c r="F10" s="143">
        <v>3.7499999999999999E-2</v>
      </c>
      <c r="G10" s="39"/>
    </row>
    <row r="11" spans="1:11" ht="20.149999999999999" customHeight="1">
      <c r="A11" s="45" t="s">
        <v>50</v>
      </c>
      <c r="B11" s="146" t="str">
        <f>[1]!thsiFinD("ths_fund_short_name_fund",A11)</f>
        <v>华泰柏瑞中证2000指数增强C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0</v>
      </c>
      <c r="E11" s="143">
        <f ca="1">[1]!thsiFinD("ths_adjustment_nvg_ratio_fund",$A11,$H$7,$I$4,101)/100</f>
        <v>-0.1757710712086</v>
      </c>
      <c r="F11" s="143">
        <v>3.7499999999999999E-2</v>
      </c>
      <c r="G11" s="39"/>
    </row>
    <row r="12" spans="1:11" ht="20.149999999999999" customHeight="1">
      <c r="A12" s="45" t="s">
        <v>46</v>
      </c>
      <c r="B12" s="146" t="str">
        <f>[1]!thsiFinD("ths_fund_short_name_fund",A12)</f>
        <v>宏利复兴伟业混合C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0</v>
      </c>
      <c r="E12" s="143">
        <f ca="1">[1]!thsiFinD("ths_adjustment_nvg_ratio_fund",$A12,$H$7,$I$4,101)/100</f>
        <v>-0.45678400264418995</v>
      </c>
      <c r="F12" s="143">
        <v>3.5000000000000003E-2</v>
      </c>
      <c r="G12" s="39"/>
    </row>
    <row r="13" spans="1:11" ht="20.149999999999999" customHeight="1">
      <c r="A13" s="45" t="s">
        <v>45</v>
      </c>
      <c r="B13" s="146" t="str">
        <f>[1]!thsiFinD("ths_fund_short_name_fund",A13)</f>
        <v>嘉实信息产业股票发起式C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0</v>
      </c>
      <c r="E13" s="143">
        <f ca="1">[1]!thsiFinD("ths_adjustment_nvg_ratio_fund",$A13,$H$7,$I$4,101)/100</f>
        <v>-0.45147927654662001</v>
      </c>
      <c r="F13" s="143">
        <v>3.5000000000000003E-2</v>
      </c>
      <c r="G13" s="39"/>
    </row>
    <row r="14" spans="1:11" ht="20.149999999999999" customHeight="1">
      <c r="A14" s="45" t="s">
        <v>36</v>
      </c>
      <c r="B14" s="146" t="str">
        <f>[1]!thsiFinD("ths_fund_short_name_fund",A14)</f>
        <v>嘉实前沿创新混合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0</v>
      </c>
      <c r="E14" s="143">
        <f ca="1">[1]!thsiFinD("ths_adjustment_nvg_ratio_fund",$A14,$H$7,$I$4,101)/100</f>
        <v>-0.41059320645942998</v>
      </c>
      <c r="F14" s="143">
        <v>0.03</v>
      </c>
      <c r="G14" s="39"/>
    </row>
    <row r="15" spans="1:11" ht="20.149999999999999" customHeight="1">
      <c r="A15" s="45" t="s">
        <v>38</v>
      </c>
      <c r="B15" s="146" t="str">
        <f>[1]!thsiFinD("ths_fund_short_name_fund",A15)</f>
        <v>银华集成电路混合C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0</v>
      </c>
      <c r="E15" s="143">
        <f ca="1">[1]!thsiFinD("ths_adjustment_nvg_ratio_fund",$A15,$H$7,$I$4,101)/100</f>
        <v>-0.30674772768314001</v>
      </c>
      <c r="F15" s="143">
        <v>2.5000000000000001E-2</v>
      </c>
      <c r="G15" s="39"/>
    </row>
    <row r="16" spans="1:11" ht="20.149999999999999" customHeight="1">
      <c r="A16" s="45" t="s">
        <v>60</v>
      </c>
      <c r="B16" s="146" t="str">
        <f>[1]!thsiFinD("ths_fund_short_name_fund",A16)</f>
        <v>宏利领先中小盘混合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0</v>
      </c>
      <c r="E16" s="143">
        <f ca="1">[1]!thsiFinD("ths_adjustment_nvg_ratio_fund",$A16,$H$7,$I$4,101)/100</f>
        <v>-0.29396126091909996</v>
      </c>
      <c r="F16" s="143">
        <v>2.5000000000000001E-2</v>
      </c>
      <c r="G16" s="39"/>
    </row>
    <row r="17" spans="1:7" ht="20.149999999999999" customHeight="1">
      <c r="A17" s="45" t="s">
        <v>349</v>
      </c>
      <c r="B17" s="146" t="str">
        <f>[1]!thsiFinD("ths_fund_short_name_fund",A17)</f>
        <v>嘉实中债3-5年国开行债券指数A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0</v>
      </c>
      <c r="E17" s="143">
        <f ca="1">[1]!thsiFinD("ths_adjustment_nvg_ratio_fund",$A17,$H$7,$I$4,101)/100</f>
        <v>1.0940276879859E-2</v>
      </c>
      <c r="F17" s="143">
        <v>0.1</v>
      </c>
      <c r="G17" s="39"/>
    </row>
    <row r="18" spans="1:7" ht="20.149999999999999" customHeight="1">
      <c r="A18" s="45" t="s">
        <v>348</v>
      </c>
      <c r="B18" s="146" t="str">
        <f>[1]!thsiFinD("ths_fund_short_name_fund",A18)</f>
        <v>广发中债7-10年期国开行债券指数A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0</v>
      </c>
      <c r="E18" s="143">
        <f ca="1">[1]!thsiFinD("ths_adjustment_nvg_ratio_fund",$A18,$H$7,$I$4,101)/100</f>
        <v>1.748633879514E-2</v>
      </c>
      <c r="F18" s="143">
        <v>0.1</v>
      </c>
      <c r="G18" s="39"/>
    </row>
    <row r="19" spans="1:7" ht="20.149999999999999" customHeight="1">
      <c r="A19" s="45" t="s">
        <v>51</v>
      </c>
      <c r="B19" s="146" t="str">
        <f>[1]!thsiFinD("ths_fund_short_name_fund",A19)</f>
        <v>易方达中债新综合债券指数发起式(LOF)A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0</v>
      </c>
      <c r="E19" s="143">
        <f ca="1">[1]!thsiFinD("ths_adjustment_nvg_ratio_fund",$A19,$H$7,$I$4,101)/100</f>
        <v>1.6627477326166998E-2</v>
      </c>
      <c r="F19" s="143">
        <v>0.3</v>
      </c>
      <c r="G19" s="39"/>
    </row>
    <row r="20" spans="1:7" ht="20.149999999999999" customHeight="1">
      <c r="A20" s="45" t="s">
        <v>29</v>
      </c>
      <c r="B20" s="146" t="str">
        <f>[1]!thsiFinD("ths_fund_short_name_fund",A20)</f>
        <v>华安易富黄金ETF联接A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0</v>
      </c>
      <c r="E20" s="143">
        <f ca="1">[1]!thsiFinD("ths_adjustment_nvg_ratio_fund",$A20,$H$7,$I$4,101)/100</f>
        <v>-3.6147689129873005E-2</v>
      </c>
      <c r="F20" s="143">
        <v>0.1</v>
      </c>
      <c r="G20" s="39"/>
    </row>
    <row r="21" spans="1:7" ht="20.149999999999999" customHeight="1">
      <c r="A21" s="45" t="s">
        <v>30</v>
      </c>
      <c r="B21" s="146" t="str">
        <f>[1]!thsiFinD("ths_fund_short_name_fund",A21)</f>
        <v>嘉实快线货币A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0</v>
      </c>
      <c r="E21" s="143">
        <f ca="1">[1]!thsiFinD("ths_adjustment_nvg_ratio_fund",$A21,$H$7,$I$4,101)/100</f>
        <v>4.1495760096989E-3</v>
      </c>
      <c r="F21" s="143">
        <v>0.1</v>
      </c>
      <c r="G21" s="50"/>
    </row>
    <row r="22" spans="1:7">
      <c r="A22" s="50"/>
      <c r="B22" s="50"/>
      <c r="C22" s="50"/>
      <c r="D22" s="50"/>
      <c r="E22" s="50"/>
      <c r="F22" s="50"/>
      <c r="G22" s="50"/>
    </row>
    <row r="23" spans="1:7">
      <c r="A23" s="50"/>
      <c r="B23" s="50"/>
      <c r="C23" s="50"/>
      <c r="D23" s="50"/>
      <c r="E23" s="50"/>
      <c r="F23" s="50"/>
      <c r="G23" s="50"/>
    </row>
    <row r="24" spans="1:7">
      <c r="A24" s="50"/>
      <c r="B24" s="50"/>
      <c r="C24" s="50"/>
      <c r="D24" s="50"/>
      <c r="E24" s="50"/>
      <c r="F24" s="50"/>
      <c r="G24" s="50"/>
    </row>
    <row r="25" spans="1:7">
      <c r="A25" s="50"/>
      <c r="B25" s="50"/>
      <c r="C25" s="50"/>
      <c r="D25" s="50"/>
      <c r="E25" s="50"/>
      <c r="F25" s="50"/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5:E5 C8:E21">
    <cfRule type="cellIs" dxfId="33" priority="1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7"/>
  <sheetViews>
    <sheetView workbookViewId="0">
      <selection activeCell="H29" sqref="H29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24" t="s">
        <v>241</v>
      </c>
      <c r="C1" s="224"/>
      <c r="D1" s="224"/>
      <c r="E1" s="226" t="str">
        <f ca="1">每日组合!D1</f>
        <v>更新日期：2026-10-26</v>
      </c>
      <c r="F1" s="226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27" t="s">
        <v>346</v>
      </c>
      <c r="C2" s="228"/>
      <c r="D2" s="228"/>
      <c r="E2" s="228"/>
      <c r="F2" s="228"/>
      <c r="G2" s="49"/>
      <c r="H2" s="48" t="str">
        <f>每日组合!G2</f>
        <v>上周五/本周初</v>
      </c>
      <c r="I2" s="48">
        <f ca="1">每日组合!H2</f>
        <v>46318</v>
      </c>
      <c r="J2" s="48">
        <f ca="1">每日组合!I2</f>
        <v>46321</v>
      </c>
    </row>
    <row r="3" spans="1:11" ht="17">
      <c r="A3" s="34"/>
      <c r="B3" s="135" t="s">
        <v>181</v>
      </c>
      <c r="C3" s="136"/>
      <c r="D3" s="136"/>
      <c r="E3" s="136"/>
      <c r="F3" s="136"/>
      <c r="G3" s="33"/>
      <c r="H3" s="48" t="str">
        <f>每日组合!G3</f>
        <v>上一个交易日</v>
      </c>
      <c r="I3" s="48">
        <f ca="1">每日组合!H3</f>
        <v>46318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46"/>
      <c r="H4" s="48" t="str">
        <f>每日组合!G4</f>
        <v>最新交易日</v>
      </c>
      <c r="I4" s="48">
        <f ca="1">每日组合!H4</f>
        <v>46321</v>
      </c>
      <c r="J4" s="48">
        <f ca="1">每日组合!I4</f>
        <v>46318</v>
      </c>
      <c r="K4" s="48">
        <f ca="1">每日组合!J4</f>
        <v>46318</v>
      </c>
    </row>
    <row r="5" spans="1:11" ht="20.149999999999999" customHeight="1">
      <c r="A5" s="34"/>
      <c r="B5" s="142" t="s">
        <v>175</v>
      </c>
      <c r="C5" s="143">
        <f ca="1">每日组合!B12</f>
        <v>-9.4608924506967007E-5</v>
      </c>
      <c r="D5" s="143">
        <f ca="1">每日组合!C12</f>
        <v>-9.4608924506967007E-5</v>
      </c>
      <c r="E5" s="143">
        <f ca="1">每日组合!D12</f>
        <v>-0.36560541385979883</v>
      </c>
      <c r="F5" s="144">
        <f>每日组合!E12</f>
        <v>46191</v>
      </c>
      <c r="G5" s="38"/>
    </row>
    <row r="6" spans="1:11" ht="20.149999999999999" customHeight="1">
      <c r="A6" s="34"/>
      <c r="B6" s="142" t="s">
        <v>176</v>
      </c>
      <c r="C6" s="143">
        <f ca="1">每日组合!B13</f>
        <v>-1.1949838672475899E-4</v>
      </c>
      <c r="D6" s="143">
        <f ca="1">每日组合!C13</f>
        <v>-1.1949838672475899E-4</v>
      </c>
      <c r="E6" s="143">
        <f ca="1">每日组合!D13</f>
        <v>-0.3801286317504281</v>
      </c>
      <c r="F6" s="144">
        <f>每日组合!E13</f>
        <v>46195</v>
      </c>
      <c r="G6" s="38"/>
    </row>
    <row r="7" spans="1:11" ht="20.149999999999999" customHeight="1">
      <c r="A7" s="34"/>
      <c r="B7" s="142" t="s">
        <v>177</v>
      </c>
      <c r="C7" s="143">
        <f ca="1">每日组合!B14</f>
        <v>-1.1968291216069016E-4</v>
      </c>
      <c r="D7" s="143">
        <f ca="1">每日组合!C14</f>
        <v>-1.1968291216069016E-4</v>
      </c>
      <c r="E7" s="143">
        <f ca="1">每日组合!D14</f>
        <v>-0.3637873702670118</v>
      </c>
      <c r="F7" s="144">
        <f>每日组合!E14</f>
        <v>46197</v>
      </c>
      <c r="G7" s="38"/>
    </row>
    <row r="8" spans="1:11" ht="20.149999999999999" customHeight="1">
      <c r="A8" s="34"/>
      <c r="B8" s="135" t="s">
        <v>182</v>
      </c>
      <c r="C8" s="179"/>
      <c r="D8" s="179"/>
      <c r="E8" s="179"/>
      <c r="F8" s="136"/>
      <c r="G8" s="33"/>
    </row>
    <row r="9" spans="1:11" ht="20.149999999999999" customHeight="1">
      <c r="A9" s="43" t="s">
        <v>28</v>
      </c>
      <c r="B9" s="137" t="s">
        <v>187</v>
      </c>
      <c r="C9" s="180" t="s">
        <v>232</v>
      </c>
      <c r="D9" s="180" t="s">
        <v>186</v>
      </c>
      <c r="E9" s="180" t="s">
        <v>193</v>
      </c>
      <c r="F9" s="137" t="s">
        <v>185</v>
      </c>
      <c r="G9" s="46"/>
      <c r="H9" s="48">
        <v>46195</v>
      </c>
    </row>
    <row r="10" spans="1:11" ht="20.149999999999999" customHeight="1">
      <c r="A10" s="45" t="s">
        <v>31</v>
      </c>
      <c r="B10" s="142" t="s">
        <v>236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0</v>
      </c>
      <c r="E10" s="143">
        <f ca="1">[1]!thsiFinD("ths_adjustment_nvg_ratio_fund",$A10,$H$9,$I$4,101)/100</f>
        <v>-0.45166611679314</v>
      </c>
      <c r="F10" s="143">
        <v>0.16609499999999999</v>
      </c>
      <c r="G10" s="39"/>
    </row>
    <row r="11" spans="1:11" ht="20.149999999999999" customHeight="1">
      <c r="A11" s="45" t="s">
        <v>44</v>
      </c>
      <c r="B11" s="142" t="s">
        <v>237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0</v>
      </c>
      <c r="E11" s="143">
        <f ca="1">[1]!thsiFinD("ths_adjustment_nvg_ratio_fund",$A11,$H$9,$I$4,101)/100</f>
        <v>-0.43479846799198002</v>
      </c>
      <c r="F11" s="143">
        <v>0.173431</v>
      </c>
      <c r="G11" s="39"/>
    </row>
    <row r="12" spans="1:11" ht="20.149999999999999" customHeight="1">
      <c r="A12" s="45" t="s">
        <v>43</v>
      </c>
      <c r="B12" s="142" t="s">
        <v>238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0</v>
      </c>
      <c r="E12" s="143">
        <f ca="1">[1]!thsiFinD("ths_adjustment_nvg_ratio_fund",$A12,$H$9,$I$4,101)/100</f>
        <v>-0.42261414208010994</v>
      </c>
      <c r="F12" s="143">
        <v>0.16384899999999999</v>
      </c>
      <c r="G12" s="39"/>
    </row>
    <row r="13" spans="1:11" ht="20.149999999999999" customHeight="1">
      <c r="A13" s="45" t="s">
        <v>37</v>
      </c>
      <c r="B13" s="142" t="s">
        <v>239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0</v>
      </c>
      <c r="E13" s="143">
        <f ca="1">[1]!thsiFinD("ths_adjustment_nvg_ratio_fund",$A13,$H$9,$I$4,101)/100</f>
        <v>-0.23241923241923002</v>
      </c>
      <c r="F13" s="143">
        <v>0.24542900000000001</v>
      </c>
      <c r="G13" s="39"/>
    </row>
    <row r="14" spans="1:11" ht="20.149999999999999" customHeight="1">
      <c r="A14" s="45" t="s">
        <v>184</v>
      </c>
      <c r="B14" s="142" t="s">
        <v>183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0</v>
      </c>
      <c r="E14" s="143">
        <f ca="1">[1]!thsiFinD("ths_adjustment_nvg_ratio_fund",$A14,$H$9,$I$4,101)/100</f>
        <v>-0.22217573221757</v>
      </c>
      <c r="F14" s="143">
        <v>7.0000000000000007E-2</v>
      </c>
      <c r="G14" s="39"/>
    </row>
    <row r="15" spans="1:11" ht="20.149999999999999" customHeight="1">
      <c r="A15" s="45" t="s">
        <v>47</v>
      </c>
      <c r="B15" s="146" t="s">
        <v>230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0</v>
      </c>
      <c r="E15" s="143">
        <f ca="1">[1]!thsiFinD("ths_adjustment_nvg_ratio_fund",$A15,$H$9,$I$4,101)/100</f>
        <v>-0.26014439467879003</v>
      </c>
      <c r="F15" s="143">
        <v>0.135904</v>
      </c>
      <c r="G15" s="39"/>
    </row>
    <row r="16" spans="1:11" ht="20.149999999999999" customHeight="1">
      <c r="A16" s="45" t="s">
        <v>30</v>
      </c>
      <c r="B16" s="142" t="s">
        <v>240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0</v>
      </c>
      <c r="E16" s="143">
        <f ca="1">[1]!thsiFinD("ths_adjustment_nvg_ratio_fund",$A16,$H$9,$I$4,101)/100</f>
        <v>4.2611612260709999E-3</v>
      </c>
      <c r="F16" s="143">
        <v>4.5292000000000006E-2</v>
      </c>
      <c r="G16" s="39"/>
    </row>
    <row r="17" spans="1:8" ht="20.149999999999999" customHeight="1">
      <c r="A17" s="43" t="s">
        <v>28</v>
      </c>
      <c r="B17" s="137" t="s">
        <v>189</v>
      </c>
      <c r="C17" s="180" t="str">
        <f>C9</f>
        <v>日涨跌</v>
      </c>
      <c r="D17" s="180" t="str">
        <f>D9</f>
        <v>本周以来</v>
      </c>
      <c r="E17" s="180" t="str">
        <f>E9</f>
        <v>上线以来</v>
      </c>
      <c r="F17" s="180" t="s">
        <v>185</v>
      </c>
      <c r="G17" s="148"/>
      <c r="H17" s="48">
        <v>46198</v>
      </c>
    </row>
    <row r="18" spans="1:8" ht="20.149999999999999" customHeight="1">
      <c r="A18" s="45" t="s">
        <v>46</v>
      </c>
      <c r="B18" s="146" t="s">
        <v>190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0</v>
      </c>
      <c r="E18" s="143">
        <f ca="1">[1]!thsiFinD("ths_adjustment_nvg_ratio_fund",$A18,$H$17,$I$4,101)/100</f>
        <v>-0.45678400264418995</v>
      </c>
      <c r="F18" s="143">
        <v>0.16403400000000001</v>
      </c>
      <c r="G18" s="39"/>
    </row>
    <row r="19" spans="1:8" ht="20.149999999999999" customHeight="1">
      <c r="A19" s="45" t="s">
        <v>45</v>
      </c>
      <c r="B19" s="146" t="s">
        <v>191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0</v>
      </c>
      <c r="E19" s="143">
        <f ca="1">[1]!thsiFinD("ths_adjustment_nvg_ratio_fund",$A19,$H$17,$I$4,101)/100</f>
        <v>-0.45147927654662001</v>
      </c>
      <c r="F19" s="143">
        <v>0.168764</v>
      </c>
      <c r="G19" s="39"/>
    </row>
    <row r="20" spans="1:8" ht="20.149999999999999" customHeight="1">
      <c r="A20" s="45" t="s">
        <v>36</v>
      </c>
      <c r="B20" s="142" t="s">
        <v>188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0</v>
      </c>
      <c r="E20" s="143">
        <f ca="1">[1]!thsiFinD("ths_adjustment_nvg_ratio_fund",$A20,$H$17,$I$4,101)/100</f>
        <v>-0.41059320645942998</v>
      </c>
      <c r="F20" s="143">
        <v>0.189913</v>
      </c>
      <c r="G20" s="39"/>
    </row>
    <row r="21" spans="1:8" ht="20.149999999999999" customHeight="1">
      <c r="A21" s="45" t="s">
        <v>38</v>
      </c>
      <c r="B21" s="146" t="s">
        <v>192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0</v>
      </c>
      <c r="E21" s="143">
        <f ca="1">[1]!thsiFinD("ths_adjustment_nvg_ratio_fund",$A21,$H$17,$I$4,101)/100</f>
        <v>-0.30674772768314001</v>
      </c>
      <c r="F21" s="143">
        <v>0.23432800000000001</v>
      </c>
      <c r="G21" s="39"/>
    </row>
    <row r="22" spans="1:8" ht="20.149999999999999" customHeight="1">
      <c r="A22" s="45" t="s">
        <v>60</v>
      </c>
      <c r="B22" s="142" t="s">
        <v>183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0</v>
      </c>
      <c r="E22" s="143">
        <f ca="1">[1]!thsiFinD("ths_adjustment_nvg_ratio_fund",$A22,$H$17,$I$4,101)/100</f>
        <v>-0.29396126091909996</v>
      </c>
      <c r="F22" s="143">
        <v>7.0000000000000007E-2</v>
      </c>
      <c r="G22" s="39"/>
    </row>
    <row r="23" spans="1:8" ht="20.149999999999999" customHeight="1">
      <c r="A23" s="45" t="s">
        <v>48</v>
      </c>
      <c r="B23" s="146" t="s">
        <v>231</v>
      </c>
      <c r="C23" s="143">
        <f ca="1">[1]!thsiFinD("ths_adjustment_nvg_ratio_fund",$A23,$I$4,$I$4,101)/100</f>
        <v>0</v>
      </c>
      <c r="D23" s="143">
        <f ca="1">[1]!thsiFinD("ths_adjustment_nvg_ratio_fund",$A23,$J$2,$I$4,101)/100</f>
        <v>0</v>
      </c>
      <c r="E23" s="143">
        <f ca="1">[1]!thsiFinD("ths_adjustment_nvg_ratio_fund",$A23,$H$17,$I$4,101)/100</f>
        <v>-0.31532933013907</v>
      </c>
      <c r="F23" s="143">
        <v>0.129189</v>
      </c>
      <c r="G23" s="39"/>
    </row>
    <row r="24" spans="1:8" ht="20.149999999999999" customHeight="1">
      <c r="A24" s="45" t="s">
        <v>30</v>
      </c>
      <c r="B24" s="142" t="s">
        <v>240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0</v>
      </c>
      <c r="E24" s="143">
        <f ca="1">[1]!thsiFinD("ths_adjustment_nvg_ratio_fund",$A24,$H$17,$I$4,101)/100</f>
        <v>4.1495760096989E-3</v>
      </c>
      <c r="F24" s="143">
        <v>4.3772000000000005E-2</v>
      </c>
      <c r="G24" s="39"/>
    </row>
    <row r="25" spans="1:8" ht="14">
      <c r="A25" s="45"/>
      <c r="B25" s="44"/>
      <c r="C25" s="39"/>
      <c r="D25" s="39"/>
      <c r="E25" s="39"/>
      <c r="F25" s="39"/>
      <c r="G25" s="39"/>
    </row>
    <row r="26" spans="1:8" ht="14">
      <c r="A26" s="45"/>
      <c r="B26" s="44"/>
      <c r="C26" s="39"/>
      <c r="D26" s="39"/>
      <c r="E26" s="39"/>
      <c r="F26" s="39"/>
      <c r="G26" s="39"/>
    </row>
    <row r="27" spans="1:8" ht="14">
      <c r="A27" s="45"/>
      <c r="B27" s="44"/>
      <c r="C27" s="39"/>
      <c r="D27" s="39"/>
      <c r="E27" s="39"/>
      <c r="F27" s="39"/>
      <c r="G27" s="39"/>
    </row>
    <row r="28" spans="1:8" ht="14">
      <c r="A28" s="45"/>
      <c r="B28" s="44"/>
      <c r="C28" s="39"/>
      <c r="D28" s="39"/>
      <c r="E28" s="39"/>
      <c r="F28" s="39"/>
      <c r="G28" s="39"/>
    </row>
    <row r="29" spans="1:8" ht="14">
      <c r="A29" s="45"/>
      <c r="B29" s="44"/>
      <c r="C29" s="39"/>
      <c r="D29" s="39"/>
      <c r="E29" s="39"/>
      <c r="F29" s="39"/>
      <c r="G29" s="39"/>
    </row>
    <row r="30" spans="1:8" ht="14">
      <c r="A30" s="45"/>
      <c r="B30" s="40"/>
      <c r="C30" s="39"/>
      <c r="D30" s="39"/>
      <c r="E30" s="39"/>
      <c r="F30" s="39"/>
      <c r="G30" s="39"/>
    </row>
    <row r="31" spans="1:8">
      <c r="A31" s="50"/>
      <c r="B31" s="50"/>
      <c r="C31" s="50"/>
      <c r="D31" s="50"/>
      <c r="E31" s="50"/>
      <c r="F31" s="50"/>
      <c r="G31" s="50"/>
    </row>
    <row r="32" spans="1:8">
      <c r="A32" s="50"/>
      <c r="B32" s="50"/>
      <c r="C32" s="50"/>
      <c r="D32" s="50"/>
      <c r="E32" s="50"/>
      <c r="F32" s="50"/>
      <c r="G32" s="50"/>
    </row>
    <row r="33" spans="1:7">
      <c r="A33" s="34"/>
      <c r="B33" s="34"/>
      <c r="C33" s="34"/>
      <c r="D33" s="34"/>
      <c r="E33" s="34"/>
      <c r="F33" s="34"/>
      <c r="G33" s="34"/>
    </row>
    <row r="41" spans="1:7">
      <c r="A41" s="50"/>
      <c r="B41" s="50"/>
      <c r="C41" s="50"/>
      <c r="D41" s="50"/>
      <c r="E41" s="50"/>
      <c r="F41" s="50"/>
      <c r="G41" s="50"/>
    </row>
    <row r="42" spans="1:7">
      <c r="A42" s="50"/>
      <c r="B42" s="50"/>
      <c r="C42" s="50"/>
      <c r="D42" s="50"/>
      <c r="E42" s="50"/>
      <c r="F42" s="50"/>
      <c r="G42" s="50"/>
    </row>
    <row r="43" spans="1:7">
      <c r="A43" s="50"/>
      <c r="B43" s="50"/>
      <c r="C43" s="50"/>
      <c r="D43" s="50"/>
      <c r="E43" s="50"/>
      <c r="F43" s="50"/>
      <c r="G43" s="50"/>
    </row>
    <row r="44" spans="1:7">
      <c r="A44" s="50"/>
      <c r="B44" s="50"/>
      <c r="C44" s="50"/>
      <c r="D44" s="50"/>
      <c r="E44" s="50"/>
      <c r="F44" s="50"/>
      <c r="G44" s="50"/>
    </row>
    <row r="45" spans="1:7">
      <c r="A45" s="50"/>
      <c r="B45" s="50"/>
      <c r="C45" s="50"/>
      <c r="D45" s="50"/>
      <c r="E45" s="50"/>
      <c r="F45" s="50"/>
      <c r="G45" s="50"/>
    </row>
    <row r="46" spans="1:7">
      <c r="A46" s="50"/>
      <c r="B46" s="50"/>
      <c r="C46" s="50"/>
      <c r="D46" s="50"/>
      <c r="E46" s="50"/>
      <c r="F46" s="50"/>
      <c r="G46" s="50"/>
    </row>
    <row r="47" spans="1:7">
      <c r="A47" s="50"/>
      <c r="B47" s="50"/>
      <c r="C47" s="50"/>
      <c r="D47" s="50"/>
      <c r="E47" s="50"/>
      <c r="F47" s="50"/>
      <c r="G47" s="50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1" spans="1:7">
      <c r="A61" s="50"/>
      <c r="B61" s="50"/>
      <c r="C61" s="50"/>
      <c r="D61" s="50"/>
      <c r="E61" s="50"/>
      <c r="F61" s="50"/>
      <c r="G61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</sheetData>
  <mergeCells count="3">
    <mergeCell ref="B1:D1"/>
    <mergeCell ref="E1:F1"/>
    <mergeCell ref="B2:F2"/>
  </mergeCells>
  <phoneticPr fontId="29" type="noConversion"/>
  <conditionalFormatting sqref="C5:E7 C10:E16 C18:E24">
    <cfRule type="cellIs" dxfId="32" priority="1" operator="greaterThan">
      <formula>0</formula>
    </cfRule>
  </conditionalFormatting>
  <pageMargins left="0.7" right="0.7" top="0.75" bottom="0.75" header="0.3" footer="0.3"/>
  <ignoredErrors>
    <ignoredError sqref="C17:D17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50"/>
  <sheetViews>
    <sheetView workbookViewId="0">
      <selection activeCell="K21" sqref="K21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46318</v>
      </c>
      <c r="C3" s="51">
        <f ca="1">VLOOKUP(B3,实盘组合净值!$A:$S,14,0)</f>
        <v>0.97552953283760457</v>
      </c>
      <c r="D3" s="52"/>
      <c r="E3" s="53"/>
    </row>
    <row r="4" spans="1:11" ht="14.5">
      <c r="B4" s="53">
        <f ca="1">日期页!B3</f>
        <v>46318</v>
      </c>
      <c r="C4" s="51">
        <f ca="1">VLOOKUP(B4,实盘组合净值!$A:$S,14,0)</f>
        <v>0.97552953283760457</v>
      </c>
      <c r="D4" s="52">
        <f ca="1">日期页!B4</f>
        <v>46321</v>
      </c>
      <c r="E4" s="53">
        <f>日期页!B6</f>
        <v>46195</v>
      </c>
      <c r="F4" s="53">
        <f>E4</f>
        <v>46195</v>
      </c>
      <c r="I4" s="70"/>
      <c r="J4" s="222">
        <v>46203</v>
      </c>
    </row>
    <row r="5" spans="1:11" ht="13">
      <c r="B5" s="53">
        <f ca="1">日期页!B2</f>
        <v>46321</v>
      </c>
      <c r="C5" s="51">
        <f ca="1">VLOOKUP(B5,实盘组合净值!$A:$S,14,0)</f>
        <v>0.97549262990379848</v>
      </c>
      <c r="D5" s="52">
        <f ca="1">B5</f>
        <v>46321</v>
      </c>
      <c r="E5" s="53">
        <f ca="1">B5</f>
        <v>46321</v>
      </c>
      <c r="F5" s="53">
        <f ca="1">B5</f>
        <v>46321</v>
      </c>
    </row>
    <row r="6" spans="1:11" ht="25" customHeight="1">
      <c r="A6" s="74" t="s">
        <v>28</v>
      </c>
      <c r="B6" s="149">
        <f ca="1">B5</f>
        <v>46321</v>
      </c>
      <c r="C6" s="149" t="s">
        <v>232</v>
      </c>
      <c r="D6" s="149" t="s">
        <v>186</v>
      </c>
      <c r="E6" s="150" t="s">
        <v>193</v>
      </c>
      <c r="F6" s="150" t="s">
        <v>204</v>
      </c>
      <c r="I6" s="71" t="s">
        <v>201</v>
      </c>
      <c r="J6" s="72" t="s">
        <v>202</v>
      </c>
      <c r="K6" s="73" t="s">
        <v>203</v>
      </c>
    </row>
    <row r="7" spans="1:11" ht="25" customHeight="1" thickBot="1">
      <c r="A7" s="55"/>
      <c r="B7" s="151" t="s">
        <v>243</v>
      </c>
      <c r="C7" s="152">
        <f ca="1">C5/C4-1</f>
        <v>-3.7828617754698257E-5</v>
      </c>
      <c r="D7" s="152">
        <f ca="1">C5/C3-1</f>
        <v>-3.7828617754698257E-5</v>
      </c>
      <c r="E7" s="152">
        <f ca="1">C5-1</f>
        <v>-2.450737009620152E-2</v>
      </c>
      <c r="F7" s="152">
        <f>MIN(实盘组合净值!P:P)</f>
        <v>-2.8729069309879618E-2</v>
      </c>
      <c r="I7" s="75" t="s">
        <v>205</v>
      </c>
      <c r="J7" s="76">
        <v>0.1</v>
      </c>
      <c r="K7" s="77" t="s">
        <v>206</v>
      </c>
    </row>
    <row r="8" spans="1:11" ht="25" customHeight="1" thickBot="1">
      <c r="A8" s="181" t="s">
        <v>261</v>
      </c>
      <c r="B8" s="153" t="s">
        <v>276</v>
      </c>
      <c r="C8" s="154">
        <f ca="1">[1]!thsiFinD("ths_adjustment_nvg_ratio_fund",$A8,B$5,B$5,101)/100</f>
        <v>0</v>
      </c>
      <c r="D8" s="154">
        <f ca="1">[1]!thsiFinD("ths_adjustment_nvg_ratio_fund",$A8,D$4,D$5,101)/100</f>
        <v>0</v>
      </c>
      <c r="E8" s="154">
        <f ca="1">[1]!thsiFinD("ths_adjustment_nvg_ratio_fund",$A8,E$4,E$5,101)/100</f>
        <v>1.7707910977084001E-2</v>
      </c>
      <c r="F8" s="154">
        <f ca="1">-[1]!thsiFinD("ths_max_retrace_rate_all_fund",$A8,F$4,F$5)/100</f>
        <v>-5.0287356246020995E-3</v>
      </c>
      <c r="I8" s="229"/>
      <c r="J8" s="79">
        <f>[1]!thsiFinD("ths_stock_mv_to_fanv_fund",$A8,$J$4)/100</f>
        <v>0.12115928146318</v>
      </c>
      <c r="K8" s="79">
        <f>[1]!thsiFinD("ths_cb_mv_to_fanv_fund",A8,$J$4)/100</f>
        <v>4.9000000000000002E-2</v>
      </c>
    </row>
    <row r="9" spans="1:11" ht="25" customHeight="1" thickBot="1">
      <c r="A9" s="181" t="s">
        <v>262</v>
      </c>
      <c r="B9" s="155" t="s">
        <v>277</v>
      </c>
      <c r="C9" s="156">
        <f ca="1">[1]!thsiFinD("ths_adjustment_nvg_ratio_fund",$A9,B$5,B$5,101)/100</f>
        <v>0</v>
      </c>
      <c r="D9" s="156">
        <f ca="1">[1]!thsiFinD("ths_adjustment_nvg_ratio_fund",$A9,D$4,D$5,101)/100</f>
        <v>0</v>
      </c>
      <c r="E9" s="156">
        <f ca="1">[1]!thsiFinD("ths_adjustment_nvg_ratio_fund",$A9,E$4,E$5,101)/100</f>
        <v>1.4731224640031999E-2</v>
      </c>
      <c r="F9" s="156">
        <f ca="1">-[1]!thsiFinD("ths_max_retrace_rate_all_fund",$A9,F$4,F$5)/100</f>
        <v>-8.9875173360208001E-3</v>
      </c>
      <c r="I9" s="229"/>
      <c r="J9" s="79">
        <f>[1]!thsiFinD("ths_stock_mv_to_fanv_fund",$A9,$J$4)/100</f>
        <v>0.15757628310713001</v>
      </c>
      <c r="K9" s="79">
        <f>[1]!thsiFinD("ths_cb_mv_to_fanv_fund",A9,$J$4)/100</f>
        <v>1.1000000000000001E-3</v>
      </c>
    </row>
    <row r="10" spans="1:11" ht="25" customHeight="1" thickBot="1">
      <c r="A10" s="181" t="s">
        <v>263</v>
      </c>
      <c r="B10" s="153" t="s">
        <v>278</v>
      </c>
      <c r="C10" s="154">
        <f ca="1">[1]!thsiFinD("ths_adjustment_nvg_ratio_fund",$A10,B$5,B$5,101)/100</f>
        <v>0</v>
      </c>
      <c r="D10" s="154">
        <f ca="1">[1]!thsiFinD("ths_adjustment_nvg_ratio_fund",$A10,D$4,D$5,101)/100</f>
        <v>0</v>
      </c>
      <c r="E10" s="154">
        <f ca="1">[1]!thsiFinD("ths_adjustment_nvg_ratio_fund",$A10,E$4,E$5,101)/100</f>
        <v>-2.3974600136023997E-3</v>
      </c>
      <c r="F10" s="154">
        <f ca="1">-[1]!thsiFinD("ths_max_retrace_rate_all_fund",$A10,F$4,F$5)/100</f>
        <v>-1.5124095144280002E-2</v>
      </c>
      <c r="I10" s="229"/>
      <c r="J10" s="79">
        <f>[1]!thsiFinD("ths_stock_mv_to_fanv_fund",$A10,$J$4)/100</f>
        <v>0.14024614410384001</v>
      </c>
      <c r="K10" s="79">
        <f>[1]!thsiFinD("ths_cb_mv_to_fanv_fund",A10,$J$4)/100</f>
        <v>0</v>
      </c>
    </row>
    <row r="11" spans="1:11" ht="25" customHeight="1" thickBot="1">
      <c r="A11" s="181" t="s">
        <v>264</v>
      </c>
      <c r="B11" s="155" t="s">
        <v>279</v>
      </c>
      <c r="C11" s="156">
        <f ca="1">[1]!thsiFinD("ths_adjustment_nvg_ratio_fund",$A11,B$5,B$5,101)/100</f>
        <v>0</v>
      </c>
      <c r="D11" s="156">
        <f ca="1">[1]!thsiFinD("ths_adjustment_nvg_ratio_fund",$A11,D$4,D$5,101)/100</f>
        <v>0</v>
      </c>
      <c r="E11" s="156">
        <f ca="1">[1]!thsiFinD("ths_adjustment_nvg_ratio_fund",$A11,E$4,E$5,101)/100</f>
        <v>-1.2802739974505E-2</v>
      </c>
      <c r="F11" s="156">
        <f ca="1">-[1]!thsiFinD("ths_max_retrace_rate_all_fund",$A11,F$4,F$5)/100</f>
        <v>-2.6112185726711999E-2</v>
      </c>
      <c r="I11" s="229"/>
      <c r="J11" s="79">
        <f>1794.92740631104%/100</f>
        <v>0.17949274063110399</v>
      </c>
      <c r="K11" s="79">
        <f>632.57851600647%/100</f>
        <v>6.3257851600646994E-2</v>
      </c>
    </row>
    <row r="12" spans="1:11" ht="25" customHeight="1" thickBot="1">
      <c r="A12" s="181" t="s">
        <v>265</v>
      </c>
      <c r="B12" s="153" t="s">
        <v>280</v>
      </c>
      <c r="C12" s="154">
        <f ca="1">[1]!thsiFinD("ths_adjustment_nvg_ratio_fund",$A12,B$5,B$5,101)/100</f>
        <v>0</v>
      </c>
      <c r="D12" s="154">
        <f ca="1">[1]!thsiFinD("ths_adjustment_nvg_ratio_fund",$A12,D$4,D$5,101)/100</f>
        <v>0</v>
      </c>
      <c r="E12" s="154">
        <f ca="1">[1]!thsiFinD("ths_adjustment_nvg_ratio_fund",$A12,E$4,E$5,101)/100</f>
        <v>-2.6743576264891E-2</v>
      </c>
      <c r="F12" s="154">
        <f ca="1">-[1]!thsiFinD("ths_max_retrace_rate_all_fund",$A12,F$4,F$5)/100</f>
        <v>-3.4446764120375999E-2</v>
      </c>
      <c r="I12" s="229"/>
      <c r="J12" s="79">
        <f>[1]!thsiFinD("ths_stock_mv_to_fanv_fund",$A12,$J$4)/100</f>
        <v>0.14695483536465001</v>
      </c>
      <c r="K12" s="79">
        <f>[1]!thsiFinD("ths_cb_mv_to_fanv_fund",A12,$J$4)/100</f>
        <v>5.5199999999999999E-2</v>
      </c>
    </row>
    <row r="13" spans="1:11" ht="25" customHeight="1" thickBot="1">
      <c r="A13" s="181" t="s">
        <v>266</v>
      </c>
      <c r="B13" s="155" t="s">
        <v>281</v>
      </c>
      <c r="C13" s="156">
        <f ca="1">[1]!thsiFinD("ths_adjustment_nvg_ratio_fund",$A13,B$5,B$5,101)/100</f>
        <v>0</v>
      </c>
      <c r="D13" s="156">
        <f ca="1">[1]!thsiFinD("ths_adjustment_nvg_ratio_fund",$A13,D$4,D$5,101)/100</f>
        <v>0</v>
      </c>
      <c r="E13" s="156">
        <f ca="1">[1]!thsiFinD("ths_adjustment_nvg_ratio_fund",$A13,E$4,E$5,101)/100</f>
        <v>-4.1219814676195003E-2</v>
      </c>
      <c r="F13" s="156">
        <f ca="1">-[1]!thsiFinD("ths_max_retrace_rate_all_fund",$A13,F$4,F$5)/100</f>
        <v>-6.1029833625878001E-2</v>
      </c>
      <c r="I13" s="229"/>
      <c r="J13" s="79">
        <f>[1]!thsiFinD("ths_stock_mv_to_fanv_fund",$A13,$J$4)/100</f>
        <v>0.19870188131222</v>
      </c>
      <c r="K13" s="79">
        <f>[1]!thsiFinD("ths_cb_mv_to_fanv_fund",A13,$J$4)/100</f>
        <v>1.77E-2</v>
      </c>
    </row>
    <row r="14" spans="1:11" ht="25" customHeight="1" thickBot="1">
      <c r="A14" s="181" t="s">
        <v>267</v>
      </c>
      <c r="B14" s="153" t="s">
        <v>282</v>
      </c>
      <c r="C14" s="154">
        <f ca="1">[1]!thsiFinD("ths_adjustment_nvg_ratio_fund",$A14,B$5,B$5,101)/100</f>
        <v>0</v>
      </c>
      <c r="D14" s="154">
        <f ca="1">[1]!thsiFinD("ths_adjustment_nvg_ratio_fund",$A14,D$4,D$5,101)/100</f>
        <v>0</v>
      </c>
      <c r="E14" s="154">
        <f ca="1">[1]!thsiFinD("ths_adjustment_nvg_ratio_fund",$A14,E$4,E$5,101)/100</f>
        <v>-3.8351822503961998E-2</v>
      </c>
      <c r="F14" s="154">
        <f ca="1">-[1]!thsiFinD("ths_max_retrace_rate_all_fund",$A14,F$4,F$5)/100</f>
        <v>-6.2727766147165992E-2</v>
      </c>
      <c r="I14" s="229"/>
      <c r="J14" s="79">
        <f>1336.14416122437%/100</f>
        <v>0.13361441612243699</v>
      </c>
      <c r="K14" s="79">
        <f>438.473033905029%/100</f>
        <v>4.3847303390502905E-2</v>
      </c>
    </row>
    <row r="15" spans="1:11" ht="25" customHeight="1" thickBot="1">
      <c r="A15" s="181" t="s">
        <v>268</v>
      </c>
      <c r="B15" s="155" t="s">
        <v>283</v>
      </c>
      <c r="C15" s="156">
        <f ca="1">[1]!thsiFinD("ths_adjustment_nvg_ratio_fund",$A15,B$5,B$5,101)/100</f>
        <v>0</v>
      </c>
      <c r="D15" s="156">
        <f ca="1">[1]!thsiFinD("ths_adjustment_nvg_ratio_fund",$A15,D$4,D$5,101)/100</f>
        <v>0</v>
      </c>
      <c r="E15" s="156">
        <f ca="1">[1]!thsiFinD("ths_adjustment_nvg_ratio_fund",$A15,E$4,E$5,101)/100</f>
        <v>-5.3999153629079998E-2</v>
      </c>
      <c r="F15" s="156">
        <f ca="1">-[1]!thsiFinD("ths_max_retrace_rate_all_fund",$A15,F$4,F$5)/100</f>
        <v>-6.4170227005492991E-2</v>
      </c>
      <c r="I15" s="229"/>
      <c r="J15" s="79">
        <f>[1]!thsiFinD("ths_stock_mv_to_fanv_fund",$A15,$J$4)/100</f>
        <v>0.1798811445537</v>
      </c>
      <c r="K15" s="79">
        <f>[1]!thsiFinD("ths_cb_mv_to_fanv_fund",A15,$J$4)/100</f>
        <v>0</v>
      </c>
    </row>
    <row r="16" spans="1:11" ht="25" customHeight="1" thickBot="1">
      <c r="A16" s="181" t="s">
        <v>269</v>
      </c>
      <c r="B16" s="153" t="s">
        <v>284</v>
      </c>
      <c r="C16" s="154">
        <f ca="1">[1]!thsiFinD("ths_adjustment_nvg_ratio_fund",$A16,B$5,B$5,101)/100</f>
        <v>0</v>
      </c>
      <c r="D16" s="154">
        <f ca="1">[1]!thsiFinD("ths_adjustment_nvg_ratio_fund",$A16,D$4,D$5,101)/100</f>
        <v>0</v>
      </c>
      <c r="E16" s="154">
        <f ca="1">[1]!thsiFinD("ths_adjustment_nvg_ratio_fund",$A16,E$4,E$5,101)/100</f>
        <v>-5.4380906615409001E-2</v>
      </c>
      <c r="F16" s="154">
        <f ca="1">-[1]!thsiFinD("ths_max_retrace_rate_all_fund",$A16,F$4,F$5)/100</f>
        <v>-6.3982174120642998E-2</v>
      </c>
      <c r="I16" s="229"/>
      <c r="J16" s="79">
        <f>[1]!thsiFinD("ths_stock_mv_to_fanv_fund",$A16,$J$4)/100</f>
        <v>0.17522978692032001</v>
      </c>
      <c r="K16" s="79">
        <f>[1]!thsiFinD("ths_cb_mv_to_fanv_fund",A16,$J$4)/100</f>
        <v>0</v>
      </c>
    </row>
    <row r="17" spans="1:11" ht="25" customHeight="1" thickBot="1">
      <c r="A17" s="181" t="s">
        <v>270</v>
      </c>
      <c r="B17" s="155" t="s">
        <v>285</v>
      </c>
      <c r="C17" s="156">
        <f ca="1">[1]!thsiFinD("ths_adjustment_nvg_ratio_fund",$A17,B$5,B$5,101)/100</f>
        <v>0</v>
      </c>
      <c r="D17" s="156">
        <f ca="1">[1]!thsiFinD("ths_adjustment_nvg_ratio_fund",$A17,D$4,D$5,101)/100</f>
        <v>0</v>
      </c>
      <c r="E17" s="156">
        <f ca="1">[1]!thsiFinD("ths_adjustment_nvg_ratio_fund",$A17,E$4,E$5,101)/100</f>
        <v>-7.4963253351712E-2</v>
      </c>
      <c r="F17" s="156">
        <f ca="1">-[1]!thsiFinD("ths_max_retrace_rate_all_fund",$A17,F$4,F$5)/100</f>
        <v>-8.4417696864448999E-2</v>
      </c>
      <c r="I17" s="229"/>
      <c r="J17" s="79">
        <f>15.2221393585205/100</f>
        <v>0.15222139358520501</v>
      </c>
      <c r="K17" s="79">
        <f>0.108927257359028/100</f>
        <v>1.0892725735902799E-3</v>
      </c>
    </row>
    <row r="18" spans="1:11" ht="25" customHeight="1" thickBot="1">
      <c r="A18" s="181" t="s">
        <v>271</v>
      </c>
      <c r="B18" s="153" t="s">
        <v>286</v>
      </c>
      <c r="C18" s="154">
        <f ca="1">[1]!thsiFinD("ths_adjustment_nvg_ratio_fund",$A18,B$5,B$5,101)/100</f>
        <v>0</v>
      </c>
      <c r="D18" s="154">
        <f ca="1">[1]!thsiFinD("ths_adjustment_nvg_ratio_fund",$A18,D$4,D$5,101)/100</f>
        <v>0</v>
      </c>
      <c r="E18" s="154">
        <f ca="1">[1]!thsiFinD("ths_adjustment_nvg_ratio_fund",$A18,E$4,E$5,101)/100</f>
        <v>-6.3701712352774997E-2</v>
      </c>
      <c r="F18" s="154">
        <f ca="1">-[1]!thsiFinD("ths_max_retrace_rate_all_fund",$A18,F$4,F$5)/100</f>
        <v>-8.0306257553408991E-2</v>
      </c>
      <c r="I18" s="229"/>
      <c r="J18" s="79">
        <f>[1]!thsiFinD("ths_stock_mv_to_fanv_fund",$A18,$J$4)/100</f>
        <v>0.16691487926770002</v>
      </c>
      <c r="K18" s="79">
        <f>[1]!thsiFinD("ths_cb_mv_to_fanv_fund",A18,$J$4)/100</f>
        <v>2.12E-2</v>
      </c>
    </row>
    <row r="19" spans="1:11" ht="25" customHeight="1" thickBot="1">
      <c r="A19" s="181" t="s">
        <v>272</v>
      </c>
      <c r="B19" s="155" t="s">
        <v>287</v>
      </c>
      <c r="C19" s="156">
        <f ca="1">[1]!thsiFinD("ths_adjustment_nvg_ratio_fund",$A19,B$5,B$5,101)/100</f>
        <v>0</v>
      </c>
      <c r="D19" s="156">
        <f ca="1">[1]!thsiFinD("ths_adjustment_nvg_ratio_fund",$A19,D$4,D$5,101)/100</f>
        <v>0</v>
      </c>
      <c r="E19" s="156">
        <f ca="1">[1]!thsiFinD("ths_adjustment_nvg_ratio_fund",$A19,E$4,E$5,101)/100</f>
        <v>-6.5373912257124009E-2</v>
      </c>
      <c r="F19" s="156">
        <f ca="1">-[1]!thsiFinD("ths_max_retrace_rate_all_fund",$A19,F$4,F$5)/100</f>
        <v>-7.9369940919479992E-2</v>
      </c>
      <c r="I19" s="229"/>
      <c r="J19" s="79">
        <f>[1]!thsiFinD("ths_stock_mv_to_fanv_fund",$A19,$J$4)/100</f>
        <v>0.18988203005543</v>
      </c>
      <c r="K19" s="79">
        <f>[1]!thsiFinD("ths_cb_mv_to_fanv_fund",A19,$J$4)/100</f>
        <v>6.4399999999999999E-2</v>
      </c>
    </row>
    <row r="20" spans="1:11" ht="25" customHeight="1" thickBot="1">
      <c r="A20" s="181" t="s">
        <v>273</v>
      </c>
      <c r="B20" s="153" t="s">
        <v>288</v>
      </c>
      <c r="C20" s="154">
        <f ca="1">[1]!thsiFinD("ths_adjustment_nvg_ratio_fund",$A20,B$5,B$5,101)/100</f>
        <v>0</v>
      </c>
      <c r="D20" s="154">
        <f ca="1">[1]!thsiFinD("ths_adjustment_nvg_ratio_fund",$A20,D$4,D$5,101)/100</f>
        <v>0</v>
      </c>
      <c r="E20" s="154">
        <f ca="1">[1]!thsiFinD("ths_adjustment_nvg_ratio_fund",$A20,E$4,E$5,101)/100</f>
        <v>-8.4536048603394004E-2</v>
      </c>
      <c r="F20" s="154">
        <f ca="1">-[1]!thsiFinD("ths_max_retrace_rate_all_fund",$A20,F$4,F$5)/100</f>
        <v>-0.10106157454869001</v>
      </c>
      <c r="I20" s="229"/>
      <c r="J20" s="79">
        <f>1336.14416122437%/100</f>
        <v>0.13361441612243699</v>
      </c>
      <c r="K20" s="79">
        <f>438.473033905029%/100</f>
        <v>4.3847303390502905E-2</v>
      </c>
    </row>
    <row r="21" spans="1:11" ht="25" customHeight="1" thickBot="1">
      <c r="A21" s="181" t="s">
        <v>274</v>
      </c>
      <c r="B21" s="155" t="s">
        <v>289</v>
      </c>
      <c r="C21" s="156">
        <f ca="1">[1]!thsiFinD("ths_adjustment_nvg_ratio_fund",$A21,B$5,B$5,101)/100</f>
        <v>0</v>
      </c>
      <c r="D21" s="156">
        <f ca="1">[1]!thsiFinD("ths_adjustment_nvg_ratio_fund",$A21,D$4,D$5,101)/100</f>
        <v>0</v>
      </c>
      <c r="E21" s="156">
        <f ca="1">[1]!thsiFinD("ths_adjustment_nvg_ratio_fund",$A21,E$4,E$5,101)/100</f>
        <v>-9.6920461042309003E-2</v>
      </c>
      <c r="F21" s="156">
        <f ca="1">-[1]!thsiFinD("ths_max_retrace_rate_all_fund",$A21,F$4,F$5)/100</f>
        <v>-0.11047867875278</v>
      </c>
      <c r="I21" s="229"/>
      <c r="J21" s="79">
        <f>[1]!thsiFinD("ths_stock_mv_to_fanv_fund",$A21,$J$4)/100</f>
        <v>0.20038170106765002</v>
      </c>
      <c r="K21" s="79">
        <f>[1]!thsiFinD("ths_cb_mv_to_fanv_fund",A21,$J$4)/100</f>
        <v>0.1094</v>
      </c>
    </row>
    <row r="22" spans="1:11" ht="25" customHeight="1">
      <c r="A22" s="181" t="s">
        <v>275</v>
      </c>
      <c r="B22" s="153" t="s">
        <v>290</v>
      </c>
      <c r="C22" s="154">
        <f ca="1">[1]!thsiFinD("ths_adjustment_nvg_ratio_fund",$A22,B$5,B$5,101)/100</f>
        <v>0</v>
      </c>
      <c r="D22" s="154">
        <f ca="1">[1]!thsiFinD("ths_adjustment_nvg_ratio_fund",$A22,D$4,D$5,101)/100</f>
        <v>0</v>
      </c>
      <c r="E22" s="154">
        <f ca="1">[1]!thsiFinD("ths_adjustment_nvg_ratio_fund",$A22,E$4,E$5,101)/100</f>
        <v>-0.10160583942934</v>
      </c>
      <c r="F22" s="154">
        <f ca="1">-[1]!thsiFinD("ths_max_retrace_rate_all_fund",$A22,F$4,F$5)/100</f>
        <v>-0.11327988848211999</v>
      </c>
      <c r="I22" s="229"/>
      <c r="J22" s="79">
        <f>[1]!thsiFinD("ths_stock_mv_to_fanv_fund",$A22,$J$4)/100</f>
        <v>0.20399724241552</v>
      </c>
      <c r="K22" s="79">
        <f>[1]!thsiFinD("ths_cb_mv_to_fanv_fund",A22,$J$4)/100</f>
        <v>7.7899999999999997E-2</v>
      </c>
    </row>
    <row r="23" spans="1:11" ht="18" customHeight="1">
      <c r="A23" s="80"/>
      <c r="B23" s="230" t="s">
        <v>234</v>
      </c>
      <c r="C23" s="230"/>
      <c r="D23" s="230"/>
      <c r="E23" s="230"/>
      <c r="F23" s="230"/>
      <c r="I23" s="101"/>
      <c r="J23" s="80"/>
      <c r="K23" s="80"/>
    </row>
    <row r="24" spans="1:11" ht="14.5">
      <c r="A24" s="81"/>
      <c r="B24" s="58"/>
      <c r="C24" s="58"/>
      <c r="D24" s="58"/>
      <c r="E24" s="58"/>
      <c r="F24" s="58"/>
      <c r="I24" s="81"/>
      <c r="J24" s="81"/>
      <c r="K24" s="81"/>
    </row>
    <row r="25" spans="1:11" ht="14.5">
      <c r="A25" s="81"/>
      <c r="B25" s="58"/>
      <c r="C25" s="58"/>
      <c r="D25" s="58"/>
      <c r="E25" s="58"/>
      <c r="F25" s="58"/>
      <c r="I25" s="81"/>
      <c r="J25" s="81"/>
      <c r="K25" s="81"/>
    </row>
    <row r="26" spans="1:11" ht="14.5">
      <c r="A26" s="81"/>
      <c r="B26" s="58"/>
      <c r="C26" s="58"/>
      <c r="D26" s="58"/>
      <c r="E26" s="58"/>
      <c r="F26" s="58"/>
      <c r="I26" s="81"/>
      <c r="J26" s="81"/>
      <c r="K26" s="81"/>
    </row>
    <row r="27" spans="1:11" ht="14.5">
      <c r="A27" s="81"/>
      <c r="B27" s="58"/>
      <c r="C27" s="58"/>
      <c r="D27" s="58"/>
      <c r="E27" s="58"/>
      <c r="F27" s="58"/>
      <c r="I27" s="81"/>
      <c r="J27" s="81"/>
      <c r="K27" s="81"/>
    </row>
    <row r="28" spans="1:11" ht="14.5">
      <c r="A28" s="81"/>
      <c r="B28" s="58"/>
      <c r="C28" s="58"/>
      <c r="D28" s="58"/>
      <c r="E28" s="58"/>
      <c r="F28" s="58"/>
      <c r="I28" s="81"/>
      <c r="J28" s="81"/>
      <c r="K28" s="81"/>
    </row>
    <row r="29" spans="1:11" ht="14.5">
      <c r="A29" s="81"/>
      <c r="B29" s="58"/>
      <c r="C29" s="58"/>
      <c r="D29" s="58"/>
      <c r="E29" s="58"/>
      <c r="F29" s="58"/>
      <c r="I29" s="81"/>
      <c r="J29" s="81"/>
      <c r="K29" s="81"/>
    </row>
    <row r="30" spans="1:11" ht="14.5">
      <c r="A30" s="81"/>
      <c r="B30" s="58"/>
      <c r="C30" s="58"/>
      <c r="D30" s="58"/>
      <c r="E30" s="58"/>
      <c r="F30" s="58"/>
      <c r="I30" s="81"/>
      <c r="J30" s="81"/>
      <c r="K30" s="81"/>
    </row>
    <row r="31" spans="1:11" ht="14.5">
      <c r="A31" s="81"/>
      <c r="B31" s="58"/>
      <c r="C31" s="58"/>
      <c r="D31" s="58"/>
      <c r="E31" s="58"/>
      <c r="F31" s="58"/>
      <c r="I31" s="81"/>
      <c r="J31" s="81"/>
      <c r="K31" s="81"/>
    </row>
    <row r="32" spans="1:11" ht="14.5">
      <c r="A32" s="81"/>
      <c r="B32" s="58"/>
      <c r="C32" s="58"/>
      <c r="D32" s="58"/>
      <c r="E32" s="58"/>
      <c r="F32" s="58"/>
      <c r="I32" s="81"/>
      <c r="J32" s="81"/>
      <c r="K32" s="81"/>
    </row>
    <row r="33" spans="1:16368" ht="14.5">
      <c r="A33" s="81"/>
      <c r="B33" s="58"/>
      <c r="C33" s="58"/>
      <c r="D33" s="58"/>
      <c r="E33" s="58"/>
      <c r="F33" s="58"/>
      <c r="I33" s="81"/>
      <c r="J33" s="81"/>
      <c r="K33" s="81"/>
    </row>
    <row r="34" spans="1:16368" ht="16.5">
      <c r="A34" s="78"/>
      <c r="B34" s="59"/>
      <c r="C34" s="60"/>
      <c r="D34" s="60"/>
      <c r="E34" s="60"/>
      <c r="F34" s="60"/>
      <c r="J34" s="82"/>
      <c r="K34" s="83"/>
    </row>
    <row r="35" spans="1:16368" ht="16.5">
      <c r="A35" s="78"/>
      <c r="B35" s="59"/>
      <c r="C35" s="60"/>
      <c r="D35" s="60"/>
      <c r="E35" s="60"/>
      <c r="F35" s="60"/>
      <c r="J35" s="83"/>
      <c r="K35" s="83"/>
    </row>
    <row r="37" spans="1:16368" ht="16.5">
      <c r="A37" s="55"/>
      <c r="B37" s="55"/>
      <c r="C37" s="56"/>
      <c r="D37" s="56"/>
      <c r="E37" s="56"/>
      <c r="F37" s="56"/>
      <c r="J37" s="79"/>
      <c r="K37" s="79"/>
    </row>
    <row r="38" spans="1:16368" ht="16.5">
      <c r="A38" s="61"/>
      <c r="B38" s="61"/>
      <c r="C38" s="62"/>
      <c r="D38" s="62"/>
      <c r="E38" s="62"/>
      <c r="F38" s="62"/>
      <c r="J38" s="84"/>
      <c r="K38" s="84"/>
    </row>
    <row r="39" spans="1:16368" ht="16.5">
      <c r="A39" s="55"/>
      <c r="B39" s="54"/>
      <c r="C39" s="57"/>
      <c r="D39" s="57"/>
      <c r="E39" s="57"/>
      <c r="F39" s="57"/>
      <c r="J39" s="79"/>
      <c r="K39" s="79"/>
    </row>
    <row r="41" spans="1:16368" ht="16.5">
      <c r="A41" s="55"/>
      <c r="B41" s="54"/>
      <c r="C41" s="57"/>
      <c r="D41" s="57"/>
      <c r="E41" s="57"/>
      <c r="F41" s="57"/>
      <c r="J41" s="79"/>
      <c r="K41" s="79"/>
    </row>
    <row r="42" spans="1:16368" ht="16.5">
      <c r="A42" s="55"/>
      <c r="B42" s="55"/>
      <c r="C42" s="56"/>
      <c r="D42" s="56"/>
      <c r="E42" s="56"/>
      <c r="F42" s="56"/>
      <c r="J42" s="79"/>
      <c r="K42" s="79"/>
    </row>
    <row r="48" spans="1:16368" ht="13.5">
      <c r="A48" s="85"/>
      <c r="B48" s="63"/>
      <c r="C48" s="64"/>
      <c r="D48" s="64"/>
      <c r="E48" s="64"/>
      <c r="F48" s="65"/>
      <c r="G48" s="87"/>
      <c r="J48" s="85"/>
      <c r="K48" s="85"/>
      <c r="L48" s="88"/>
      <c r="M48" s="88"/>
      <c r="P48" s="89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  <c r="FM48" s="66"/>
      <c r="FN48" s="66"/>
      <c r="FO48" s="66"/>
      <c r="FP48" s="66"/>
      <c r="FQ48" s="66"/>
      <c r="FR48" s="66"/>
      <c r="FS48" s="66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6"/>
      <c r="GT48" s="66"/>
      <c r="GU48" s="66"/>
      <c r="GV48" s="66"/>
      <c r="GW48" s="66"/>
      <c r="GX48" s="66"/>
      <c r="GY48" s="66"/>
      <c r="GZ48" s="66"/>
      <c r="HA48" s="66"/>
      <c r="HB48" s="66"/>
      <c r="HC48" s="66"/>
      <c r="HD48" s="66"/>
      <c r="HE48" s="66"/>
      <c r="HF48" s="66"/>
      <c r="HG48" s="66"/>
      <c r="HH48" s="66"/>
      <c r="HI48" s="66"/>
      <c r="HJ48" s="66"/>
      <c r="HK48" s="66"/>
      <c r="HL48" s="66"/>
      <c r="HM48" s="66"/>
      <c r="HN48" s="66"/>
      <c r="HO48" s="66"/>
      <c r="HP48" s="66"/>
      <c r="HQ48" s="66"/>
      <c r="HR48" s="66"/>
      <c r="HS48" s="66"/>
      <c r="HT48" s="66"/>
      <c r="HU48" s="66"/>
      <c r="HV48" s="66"/>
      <c r="HW48" s="66"/>
      <c r="HX48" s="66"/>
      <c r="HY48" s="66"/>
      <c r="HZ48" s="66"/>
      <c r="IA48" s="66"/>
      <c r="IB48" s="66"/>
      <c r="IC48" s="66"/>
      <c r="ID48" s="66"/>
      <c r="IE48" s="66"/>
      <c r="IF48" s="66"/>
      <c r="IG48" s="66"/>
      <c r="IH48" s="66"/>
      <c r="II48" s="66"/>
      <c r="IJ48" s="66"/>
      <c r="IK48" s="66"/>
      <c r="IL48" s="66"/>
      <c r="IM48" s="66"/>
      <c r="IN48" s="66"/>
      <c r="IO48" s="66"/>
      <c r="IP48" s="66"/>
      <c r="IQ48" s="66"/>
      <c r="IR48" s="66"/>
      <c r="IS48" s="66"/>
      <c r="IT48" s="66"/>
      <c r="IU48" s="66"/>
      <c r="IV48" s="66"/>
      <c r="IW48" s="66"/>
      <c r="IX48" s="66"/>
      <c r="IY48" s="66"/>
      <c r="IZ48" s="66"/>
      <c r="JA48" s="66"/>
      <c r="JB48" s="66"/>
      <c r="JC48" s="66"/>
      <c r="JD48" s="66"/>
      <c r="JE48" s="66"/>
      <c r="JF48" s="66"/>
      <c r="JG48" s="66"/>
      <c r="JH48" s="66"/>
      <c r="JI48" s="66"/>
      <c r="JJ48" s="66"/>
      <c r="JK48" s="66"/>
      <c r="JL48" s="66"/>
      <c r="JM48" s="66"/>
      <c r="JN48" s="66"/>
      <c r="JO48" s="66"/>
      <c r="JP48" s="66"/>
      <c r="JQ48" s="66"/>
      <c r="JR48" s="66"/>
      <c r="JS48" s="66"/>
      <c r="JT48" s="66"/>
      <c r="JU48" s="66"/>
      <c r="JV48" s="66"/>
      <c r="JW48" s="66"/>
      <c r="JX48" s="66"/>
      <c r="JY48" s="66"/>
      <c r="JZ48" s="66"/>
      <c r="KA48" s="66"/>
      <c r="KB48" s="66"/>
      <c r="KC48" s="66"/>
      <c r="KD48" s="66"/>
      <c r="KE48" s="66"/>
      <c r="KF48" s="66"/>
      <c r="KG48" s="66"/>
      <c r="KH48" s="66"/>
      <c r="KI48" s="66"/>
      <c r="KJ48" s="66"/>
      <c r="KK48" s="66"/>
      <c r="KL48" s="66"/>
      <c r="KM48" s="66"/>
      <c r="KN48" s="66"/>
      <c r="KO48" s="66"/>
      <c r="KP48" s="66"/>
      <c r="KQ48" s="66"/>
      <c r="KR48" s="66"/>
      <c r="KS48" s="66"/>
      <c r="KT48" s="66"/>
      <c r="KU48" s="66"/>
      <c r="KV48" s="66"/>
      <c r="KW48" s="66"/>
      <c r="KX48" s="66"/>
      <c r="KY48" s="66"/>
      <c r="KZ48" s="66"/>
      <c r="LA48" s="66"/>
      <c r="LB48" s="66"/>
      <c r="LC48" s="66"/>
      <c r="LD48" s="66"/>
      <c r="LE48" s="66"/>
      <c r="LF48" s="66"/>
      <c r="LG48" s="66"/>
      <c r="LH48" s="66"/>
      <c r="LI48" s="66"/>
      <c r="LJ48" s="66"/>
      <c r="LK48" s="66"/>
      <c r="LL48" s="66"/>
      <c r="LM48" s="66"/>
      <c r="LN48" s="66"/>
      <c r="LO48" s="66"/>
      <c r="LP48" s="66"/>
      <c r="LQ48" s="66"/>
      <c r="LR48" s="66"/>
      <c r="LS48" s="66"/>
      <c r="LT48" s="66"/>
      <c r="LU48" s="66"/>
      <c r="LV48" s="66"/>
      <c r="LW48" s="66"/>
      <c r="LX48" s="66"/>
      <c r="LY48" s="66"/>
      <c r="LZ48" s="66"/>
      <c r="MA48" s="66"/>
      <c r="MB48" s="66"/>
      <c r="MC48" s="66"/>
      <c r="MD48" s="66"/>
      <c r="ME48" s="66"/>
      <c r="MF48" s="66"/>
      <c r="MG48" s="66"/>
      <c r="MH48" s="66"/>
      <c r="MI48" s="66"/>
      <c r="MJ48" s="66"/>
      <c r="MK48" s="66"/>
      <c r="ML48" s="66"/>
      <c r="MM48" s="66"/>
      <c r="MN48" s="66"/>
      <c r="MO48" s="66"/>
      <c r="MP48" s="66"/>
      <c r="MQ48" s="66"/>
      <c r="MR48" s="66"/>
      <c r="MS48" s="66"/>
      <c r="MT48" s="66"/>
      <c r="MU48" s="66"/>
      <c r="MV48" s="66"/>
      <c r="MW48" s="66"/>
      <c r="MX48" s="66"/>
      <c r="MY48" s="66"/>
      <c r="MZ48" s="66"/>
      <c r="NA48" s="66"/>
      <c r="NB48" s="66"/>
      <c r="NC48" s="66"/>
      <c r="ND48" s="66"/>
      <c r="NE48" s="66"/>
      <c r="NF48" s="66"/>
      <c r="NG48" s="66"/>
      <c r="NH48" s="66"/>
      <c r="NI48" s="66"/>
      <c r="NJ48" s="66"/>
      <c r="NK48" s="66"/>
      <c r="NL48" s="66"/>
      <c r="NM48" s="66"/>
      <c r="NN48" s="66"/>
      <c r="NO48" s="66"/>
      <c r="NP48" s="66"/>
      <c r="NQ48" s="66"/>
      <c r="NR48" s="66"/>
      <c r="NS48" s="66"/>
      <c r="NT48" s="66"/>
      <c r="NU48" s="66"/>
      <c r="NV48" s="66"/>
      <c r="NW48" s="66"/>
      <c r="NX48" s="66"/>
      <c r="NY48" s="66"/>
      <c r="NZ48" s="66"/>
      <c r="OA48" s="66"/>
      <c r="OB48" s="66"/>
      <c r="OC48" s="66"/>
      <c r="OD48" s="66"/>
      <c r="OE48" s="66"/>
      <c r="OF48" s="66"/>
      <c r="OG48" s="66"/>
      <c r="OH48" s="66"/>
      <c r="OI48" s="66"/>
      <c r="OJ48" s="66"/>
      <c r="OK48" s="66"/>
      <c r="OL48" s="66"/>
      <c r="OM48" s="66"/>
      <c r="ON48" s="66"/>
      <c r="OO48" s="66"/>
      <c r="OP48" s="66"/>
      <c r="OQ48" s="66"/>
      <c r="OR48" s="66"/>
      <c r="OS48" s="66"/>
      <c r="OT48" s="66"/>
      <c r="OU48" s="66"/>
      <c r="OV48" s="66"/>
      <c r="OW48" s="66"/>
      <c r="OX48" s="66"/>
      <c r="OY48" s="66"/>
      <c r="OZ48" s="66"/>
      <c r="PA48" s="66"/>
      <c r="PB48" s="66"/>
      <c r="PC48" s="66"/>
      <c r="PD48" s="66"/>
      <c r="PE48" s="66"/>
      <c r="PF48" s="66"/>
      <c r="PG48" s="66"/>
      <c r="PH48" s="66"/>
      <c r="PI48" s="66"/>
      <c r="PJ48" s="66"/>
      <c r="PK48" s="66"/>
      <c r="PL48" s="66"/>
      <c r="PM48" s="66"/>
      <c r="PN48" s="66"/>
      <c r="PO48" s="66"/>
      <c r="PP48" s="66"/>
      <c r="PQ48" s="66"/>
      <c r="PR48" s="66"/>
      <c r="PS48" s="66"/>
      <c r="PT48" s="66"/>
      <c r="PU48" s="66"/>
      <c r="PV48" s="66"/>
      <c r="PW48" s="66"/>
      <c r="PX48" s="66"/>
      <c r="PY48" s="66"/>
      <c r="PZ48" s="66"/>
      <c r="QA48" s="66"/>
      <c r="QB48" s="66"/>
      <c r="QC48" s="66"/>
      <c r="QD48" s="66"/>
      <c r="QE48" s="66"/>
      <c r="QF48" s="66"/>
      <c r="QG48" s="66"/>
      <c r="QH48" s="66"/>
      <c r="QI48" s="66"/>
      <c r="QJ48" s="66"/>
      <c r="QK48" s="66"/>
      <c r="QL48" s="66"/>
      <c r="QM48" s="66"/>
      <c r="QN48" s="66"/>
      <c r="QO48" s="66"/>
      <c r="QP48" s="66"/>
      <c r="QQ48" s="66"/>
      <c r="QR48" s="66"/>
      <c r="QS48" s="66"/>
      <c r="QT48" s="66"/>
      <c r="QU48" s="66"/>
      <c r="QV48" s="66"/>
      <c r="QW48" s="66"/>
      <c r="QX48" s="66"/>
      <c r="QY48" s="66"/>
      <c r="QZ48" s="66"/>
      <c r="RA48" s="66"/>
      <c r="RB48" s="66"/>
      <c r="RC48" s="66"/>
      <c r="RD48" s="66"/>
      <c r="RE48" s="66"/>
      <c r="RF48" s="66"/>
      <c r="RG48" s="66"/>
      <c r="RH48" s="66"/>
      <c r="RI48" s="66"/>
      <c r="RJ48" s="66"/>
      <c r="RK48" s="66"/>
      <c r="RL48" s="66"/>
      <c r="RM48" s="66"/>
      <c r="RN48" s="66"/>
      <c r="RO48" s="66"/>
      <c r="RP48" s="66"/>
      <c r="RQ48" s="66"/>
      <c r="RR48" s="66"/>
      <c r="RS48" s="66"/>
      <c r="RT48" s="66"/>
      <c r="RU48" s="66"/>
      <c r="RV48" s="66"/>
      <c r="RW48" s="66"/>
      <c r="RX48" s="66"/>
      <c r="RY48" s="66"/>
      <c r="RZ48" s="66"/>
      <c r="SA48" s="66"/>
      <c r="SB48" s="66"/>
      <c r="SC48" s="66"/>
      <c r="SD48" s="66"/>
      <c r="SE48" s="66"/>
      <c r="SF48" s="66"/>
      <c r="SG48" s="66"/>
      <c r="SH48" s="66"/>
      <c r="SI48" s="66"/>
      <c r="SJ48" s="66"/>
      <c r="SK48" s="66"/>
      <c r="SL48" s="66"/>
      <c r="SM48" s="66"/>
      <c r="SN48" s="66"/>
      <c r="SO48" s="66"/>
      <c r="SP48" s="66"/>
      <c r="SQ48" s="66"/>
      <c r="SR48" s="66"/>
      <c r="SS48" s="66"/>
      <c r="ST48" s="66"/>
      <c r="SU48" s="66"/>
      <c r="SV48" s="66"/>
      <c r="SW48" s="66"/>
      <c r="SX48" s="66"/>
      <c r="SY48" s="66"/>
      <c r="SZ48" s="66"/>
      <c r="TA48" s="66"/>
      <c r="TB48" s="66"/>
      <c r="TC48" s="66"/>
      <c r="TD48" s="66"/>
      <c r="TE48" s="66"/>
      <c r="TF48" s="66"/>
      <c r="TG48" s="66"/>
      <c r="TH48" s="66"/>
      <c r="TI48" s="66"/>
      <c r="TJ48" s="66"/>
      <c r="TK48" s="66"/>
      <c r="TL48" s="66"/>
      <c r="TM48" s="66"/>
      <c r="TN48" s="66"/>
      <c r="TO48" s="66"/>
      <c r="TP48" s="66"/>
      <c r="TQ48" s="66"/>
      <c r="TR48" s="66"/>
      <c r="TS48" s="66"/>
      <c r="TT48" s="66"/>
      <c r="TU48" s="66"/>
      <c r="TV48" s="66"/>
      <c r="TW48" s="66"/>
      <c r="TX48" s="66"/>
      <c r="TY48" s="66"/>
      <c r="TZ48" s="66"/>
      <c r="UA48" s="66"/>
      <c r="UB48" s="66"/>
      <c r="UC48" s="66"/>
      <c r="UD48" s="66"/>
      <c r="UE48" s="66"/>
      <c r="UF48" s="66"/>
      <c r="UG48" s="66"/>
      <c r="UH48" s="66"/>
      <c r="UI48" s="66"/>
      <c r="UJ48" s="66"/>
      <c r="UK48" s="66"/>
      <c r="UL48" s="66"/>
      <c r="UM48" s="66"/>
      <c r="UN48" s="66"/>
      <c r="UO48" s="66"/>
      <c r="UP48" s="66"/>
      <c r="UQ48" s="66"/>
      <c r="UR48" s="66"/>
      <c r="US48" s="66"/>
      <c r="UT48" s="66"/>
      <c r="UU48" s="66"/>
      <c r="UV48" s="66"/>
      <c r="UW48" s="66"/>
      <c r="UX48" s="66"/>
      <c r="UY48" s="66"/>
      <c r="UZ48" s="66"/>
      <c r="VA48" s="66"/>
      <c r="VB48" s="66"/>
      <c r="VC48" s="66"/>
      <c r="VD48" s="66"/>
      <c r="VE48" s="66"/>
      <c r="VF48" s="66"/>
      <c r="VG48" s="66"/>
      <c r="VH48" s="66"/>
      <c r="VI48" s="66"/>
      <c r="VJ48" s="66"/>
      <c r="VK48" s="66"/>
      <c r="VL48" s="66"/>
      <c r="VM48" s="66"/>
      <c r="VN48" s="66"/>
      <c r="VO48" s="66"/>
      <c r="VP48" s="66"/>
      <c r="VQ48" s="66"/>
      <c r="VR48" s="66"/>
      <c r="VS48" s="66"/>
      <c r="VT48" s="66"/>
      <c r="VU48" s="66"/>
      <c r="VV48" s="66"/>
      <c r="VW48" s="66"/>
      <c r="VX48" s="66"/>
      <c r="VY48" s="66"/>
      <c r="VZ48" s="66"/>
      <c r="WA48" s="66"/>
      <c r="WB48" s="66"/>
      <c r="WC48" s="66"/>
      <c r="WD48" s="66"/>
      <c r="WE48" s="66"/>
      <c r="WF48" s="66"/>
      <c r="WG48" s="66"/>
      <c r="WH48" s="66"/>
      <c r="WI48" s="66"/>
      <c r="WJ48" s="66"/>
      <c r="WK48" s="66"/>
      <c r="WL48" s="66"/>
      <c r="WM48" s="66"/>
      <c r="WN48" s="66"/>
      <c r="WO48" s="66"/>
      <c r="WP48" s="66"/>
      <c r="WQ48" s="66"/>
      <c r="WR48" s="66"/>
      <c r="WS48" s="66"/>
      <c r="WT48" s="66"/>
      <c r="WU48" s="66"/>
      <c r="WV48" s="66"/>
      <c r="WW48" s="66"/>
      <c r="WX48" s="66"/>
      <c r="WY48" s="66"/>
      <c r="WZ48" s="66"/>
      <c r="XA48" s="66"/>
      <c r="XB48" s="66"/>
      <c r="XC48" s="66"/>
      <c r="XD48" s="66"/>
      <c r="XE48" s="66"/>
      <c r="XF48" s="66"/>
      <c r="XG48" s="66"/>
      <c r="XH48" s="66"/>
      <c r="XI48" s="66"/>
      <c r="XJ48" s="66"/>
      <c r="XK48" s="66"/>
      <c r="XL48" s="66"/>
      <c r="XM48" s="66"/>
      <c r="XN48" s="66"/>
      <c r="XO48" s="66"/>
      <c r="XP48" s="66"/>
      <c r="XQ48" s="66"/>
      <c r="XR48" s="66"/>
      <c r="XS48" s="66"/>
      <c r="XT48" s="66"/>
      <c r="XU48" s="66"/>
      <c r="XV48" s="66"/>
      <c r="XW48" s="66"/>
      <c r="XX48" s="66"/>
      <c r="XY48" s="66"/>
      <c r="XZ48" s="66"/>
      <c r="YA48" s="66"/>
      <c r="YB48" s="66"/>
      <c r="YC48" s="66"/>
      <c r="YD48" s="66"/>
      <c r="YE48" s="66"/>
      <c r="YF48" s="66"/>
      <c r="YG48" s="66"/>
      <c r="YH48" s="66"/>
      <c r="YI48" s="66"/>
      <c r="YJ48" s="66"/>
      <c r="YK48" s="66"/>
      <c r="YL48" s="66"/>
      <c r="YM48" s="66"/>
      <c r="YN48" s="66"/>
      <c r="YO48" s="66"/>
      <c r="YP48" s="66"/>
      <c r="YQ48" s="66"/>
      <c r="YR48" s="66"/>
      <c r="YS48" s="66"/>
      <c r="YT48" s="66"/>
      <c r="YU48" s="66"/>
      <c r="YV48" s="66"/>
      <c r="YW48" s="66"/>
      <c r="YX48" s="66"/>
      <c r="YY48" s="66"/>
      <c r="YZ48" s="66"/>
      <c r="ZA48" s="66"/>
      <c r="ZB48" s="66"/>
      <c r="ZC48" s="66"/>
      <c r="ZD48" s="66"/>
      <c r="ZE48" s="66"/>
      <c r="ZF48" s="66"/>
      <c r="ZG48" s="66"/>
      <c r="ZH48" s="66"/>
      <c r="ZI48" s="66"/>
      <c r="ZJ48" s="66"/>
      <c r="ZK48" s="66"/>
      <c r="ZL48" s="66"/>
      <c r="ZM48" s="66"/>
      <c r="ZN48" s="66"/>
      <c r="ZO48" s="66"/>
      <c r="ZP48" s="66"/>
      <c r="ZQ48" s="66"/>
      <c r="ZR48" s="66"/>
      <c r="ZS48" s="66"/>
      <c r="ZT48" s="66"/>
      <c r="ZU48" s="66"/>
      <c r="ZV48" s="66"/>
      <c r="ZW48" s="66"/>
      <c r="ZX48" s="66"/>
      <c r="ZY48" s="66"/>
      <c r="ZZ48" s="66"/>
      <c r="AAA48" s="66"/>
      <c r="AAB48" s="66"/>
      <c r="AAC48" s="66"/>
      <c r="AAD48" s="66"/>
      <c r="AAE48" s="66"/>
      <c r="AAF48" s="66"/>
      <c r="AAG48" s="66"/>
      <c r="AAH48" s="66"/>
      <c r="AAI48" s="66"/>
      <c r="AAJ48" s="66"/>
      <c r="AAK48" s="66"/>
      <c r="AAL48" s="66"/>
      <c r="AAM48" s="66"/>
      <c r="AAN48" s="66"/>
      <c r="AAO48" s="66"/>
      <c r="AAP48" s="66"/>
      <c r="AAQ48" s="66"/>
      <c r="AAR48" s="66"/>
      <c r="AAS48" s="66"/>
      <c r="AAT48" s="66"/>
      <c r="AAU48" s="66"/>
      <c r="AAV48" s="66"/>
      <c r="AAW48" s="66"/>
      <c r="AAX48" s="66"/>
      <c r="AAY48" s="66"/>
      <c r="AAZ48" s="66"/>
      <c r="ABA48" s="66"/>
      <c r="ABB48" s="66"/>
      <c r="ABC48" s="66"/>
      <c r="ABD48" s="66"/>
      <c r="ABE48" s="66"/>
      <c r="ABF48" s="66"/>
      <c r="ABG48" s="66"/>
      <c r="ABH48" s="66"/>
      <c r="ABI48" s="66"/>
      <c r="ABJ48" s="66"/>
      <c r="ABK48" s="66"/>
      <c r="ABL48" s="66"/>
      <c r="ABM48" s="66"/>
      <c r="ABN48" s="66"/>
      <c r="ABO48" s="66"/>
      <c r="ABP48" s="66"/>
      <c r="ABQ48" s="66"/>
      <c r="ABR48" s="66"/>
      <c r="ABS48" s="66"/>
      <c r="ABT48" s="66"/>
      <c r="ABU48" s="66"/>
      <c r="ABV48" s="66"/>
      <c r="ABW48" s="66"/>
      <c r="ABX48" s="66"/>
      <c r="ABY48" s="66"/>
      <c r="ABZ48" s="66"/>
      <c r="ACA48" s="66"/>
      <c r="ACB48" s="66"/>
      <c r="ACC48" s="66"/>
      <c r="ACD48" s="66"/>
      <c r="ACE48" s="66"/>
      <c r="ACF48" s="66"/>
      <c r="ACG48" s="66"/>
      <c r="ACH48" s="66"/>
      <c r="ACI48" s="66"/>
      <c r="ACJ48" s="66"/>
      <c r="ACK48" s="66"/>
      <c r="ACL48" s="66"/>
      <c r="ACM48" s="66"/>
      <c r="ACN48" s="66"/>
      <c r="ACO48" s="66"/>
      <c r="ACP48" s="66"/>
      <c r="ACQ48" s="66"/>
      <c r="ACR48" s="66"/>
      <c r="ACS48" s="66"/>
      <c r="ACT48" s="66"/>
      <c r="ACU48" s="66"/>
      <c r="ACV48" s="66"/>
      <c r="ACW48" s="66"/>
      <c r="ACX48" s="66"/>
      <c r="ACY48" s="66"/>
      <c r="ACZ48" s="66"/>
      <c r="ADA48" s="66"/>
      <c r="ADB48" s="66"/>
      <c r="ADC48" s="66"/>
      <c r="ADD48" s="66"/>
      <c r="ADE48" s="66"/>
      <c r="ADF48" s="66"/>
      <c r="ADG48" s="66"/>
      <c r="ADH48" s="66"/>
      <c r="ADI48" s="66"/>
      <c r="ADJ48" s="66"/>
      <c r="ADK48" s="66"/>
      <c r="ADL48" s="66"/>
      <c r="ADM48" s="66"/>
      <c r="ADN48" s="66"/>
      <c r="ADO48" s="66"/>
      <c r="ADP48" s="66"/>
      <c r="ADQ48" s="66"/>
      <c r="ADR48" s="66"/>
      <c r="ADS48" s="66"/>
      <c r="ADT48" s="66"/>
      <c r="ADU48" s="66"/>
      <c r="ADV48" s="66"/>
      <c r="ADW48" s="66"/>
      <c r="ADX48" s="66"/>
      <c r="ADY48" s="66"/>
      <c r="ADZ48" s="66"/>
      <c r="AEA48" s="66"/>
      <c r="AEB48" s="66"/>
      <c r="AEC48" s="66"/>
      <c r="AED48" s="66"/>
      <c r="AEE48" s="66"/>
      <c r="AEF48" s="66"/>
      <c r="AEG48" s="66"/>
      <c r="AEH48" s="66"/>
      <c r="AEI48" s="66"/>
      <c r="AEJ48" s="66"/>
      <c r="AEK48" s="66"/>
      <c r="AEL48" s="66"/>
      <c r="AEM48" s="66"/>
      <c r="AEN48" s="66"/>
      <c r="AEO48" s="66"/>
      <c r="AEP48" s="66"/>
      <c r="AEQ48" s="66"/>
      <c r="AER48" s="66"/>
      <c r="AES48" s="66"/>
      <c r="AET48" s="66"/>
      <c r="AEU48" s="66"/>
      <c r="AEV48" s="66"/>
      <c r="AEW48" s="66"/>
      <c r="AEX48" s="66"/>
      <c r="AEY48" s="66"/>
      <c r="AEZ48" s="66"/>
      <c r="AFA48" s="66"/>
      <c r="AFB48" s="66"/>
      <c r="AFC48" s="66"/>
      <c r="AFD48" s="66"/>
      <c r="AFE48" s="66"/>
      <c r="AFF48" s="66"/>
      <c r="AFG48" s="66"/>
      <c r="AFH48" s="66"/>
      <c r="AFI48" s="66"/>
      <c r="AFJ48" s="66"/>
      <c r="AFK48" s="66"/>
      <c r="AFL48" s="66"/>
      <c r="AFM48" s="66"/>
      <c r="AFN48" s="66"/>
      <c r="AFO48" s="66"/>
      <c r="AFP48" s="66"/>
      <c r="AFQ48" s="66"/>
      <c r="AFR48" s="66"/>
      <c r="AFS48" s="66"/>
      <c r="AFT48" s="66"/>
      <c r="AFU48" s="66"/>
      <c r="AFV48" s="66"/>
      <c r="AFW48" s="66"/>
      <c r="AFX48" s="66"/>
      <c r="AFY48" s="66"/>
      <c r="AFZ48" s="66"/>
      <c r="AGA48" s="66"/>
      <c r="AGB48" s="66"/>
      <c r="AGC48" s="66"/>
      <c r="AGD48" s="66"/>
      <c r="AGE48" s="66"/>
      <c r="AGF48" s="66"/>
      <c r="AGG48" s="66"/>
      <c r="AGH48" s="66"/>
      <c r="AGI48" s="66"/>
      <c r="AGJ48" s="66"/>
      <c r="AGK48" s="66"/>
      <c r="AGL48" s="66"/>
      <c r="AGM48" s="66"/>
      <c r="AGN48" s="66"/>
      <c r="AGO48" s="66"/>
      <c r="AGP48" s="66"/>
      <c r="AGQ48" s="66"/>
      <c r="AGR48" s="66"/>
      <c r="AGS48" s="66"/>
      <c r="AGT48" s="66"/>
      <c r="AGU48" s="66"/>
      <c r="AGV48" s="66"/>
      <c r="AGW48" s="66"/>
      <c r="AGX48" s="66"/>
      <c r="AGY48" s="66"/>
      <c r="AGZ48" s="66"/>
      <c r="AHA48" s="66"/>
      <c r="AHB48" s="66"/>
      <c r="AHC48" s="66"/>
      <c r="AHD48" s="66"/>
      <c r="AHE48" s="66"/>
      <c r="AHF48" s="66"/>
      <c r="AHG48" s="66"/>
      <c r="AHH48" s="66"/>
      <c r="AHI48" s="66"/>
      <c r="AHJ48" s="66"/>
      <c r="AHK48" s="66"/>
      <c r="AHL48" s="66"/>
      <c r="AHM48" s="66"/>
      <c r="AHN48" s="66"/>
      <c r="AHO48" s="66"/>
      <c r="AHP48" s="66"/>
      <c r="AHQ48" s="66"/>
      <c r="AHR48" s="66"/>
      <c r="AHS48" s="66"/>
      <c r="AHT48" s="66"/>
      <c r="AHU48" s="66"/>
      <c r="AHV48" s="66"/>
      <c r="AHW48" s="66"/>
      <c r="AHX48" s="66"/>
      <c r="AHY48" s="66"/>
      <c r="AHZ48" s="66"/>
      <c r="AIA48" s="66"/>
      <c r="AIB48" s="66"/>
      <c r="AIC48" s="66"/>
      <c r="AID48" s="66"/>
      <c r="AIE48" s="66"/>
      <c r="AIF48" s="66"/>
      <c r="AIG48" s="66"/>
      <c r="AIH48" s="66"/>
      <c r="AII48" s="66"/>
      <c r="AIJ48" s="66"/>
      <c r="AIK48" s="66"/>
      <c r="AIL48" s="66"/>
      <c r="AIM48" s="66"/>
      <c r="AIN48" s="66"/>
      <c r="AIO48" s="66"/>
      <c r="AIP48" s="66"/>
      <c r="AIQ48" s="66"/>
      <c r="AIR48" s="66"/>
      <c r="AIS48" s="66"/>
      <c r="AIT48" s="66"/>
      <c r="AIU48" s="66"/>
      <c r="AIV48" s="66"/>
      <c r="AIW48" s="66"/>
      <c r="AIX48" s="66"/>
      <c r="AIY48" s="66"/>
      <c r="AIZ48" s="66"/>
      <c r="AJA48" s="66"/>
      <c r="AJB48" s="66"/>
      <c r="AJC48" s="66"/>
      <c r="AJD48" s="66"/>
      <c r="AJE48" s="66"/>
      <c r="AJF48" s="66"/>
      <c r="AJG48" s="66"/>
      <c r="AJH48" s="66"/>
      <c r="AJI48" s="66"/>
      <c r="AJJ48" s="66"/>
      <c r="AJK48" s="66"/>
      <c r="AJL48" s="66"/>
      <c r="AJM48" s="66"/>
      <c r="AJN48" s="66"/>
      <c r="AJO48" s="66"/>
      <c r="AJP48" s="66"/>
      <c r="AJQ48" s="66"/>
      <c r="AJR48" s="66"/>
      <c r="AJS48" s="66"/>
      <c r="AJT48" s="66"/>
      <c r="AJU48" s="66"/>
      <c r="AJV48" s="66"/>
      <c r="AJW48" s="66"/>
      <c r="AJX48" s="66"/>
      <c r="AJY48" s="66"/>
      <c r="AJZ48" s="66"/>
      <c r="AKA48" s="66"/>
      <c r="AKB48" s="66"/>
      <c r="AKC48" s="66"/>
      <c r="AKD48" s="66"/>
      <c r="AKE48" s="66"/>
      <c r="AKF48" s="66"/>
      <c r="AKG48" s="66"/>
      <c r="AKH48" s="66"/>
      <c r="AKI48" s="66"/>
      <c r="AKJ48" s="66"/>
      <c r="AKK48" s="66"/>
      <c r="AKL48" s="66"/>
      <c r="AKM48" s="66"/>
      <c r="AKN48" s="66"/>
      <c r="AKO48" s="66"/>
      <c r="AKP48" s="66"/>
      <c r="AKQ48" s="66"/>
      <c r="AKR48" s="66"/>
      <c r="AKS48" s="66"/>
      <c r="AKT48" s="66"/>
      <c r="AKU48" s="66"/>
      <c r="AKV48" s="66"/>
      <c r="AKW48" s="66"/>
      <c r="AKX48" s="66"/>
      <c r="AKY48" s="66"/>
      <c r="AKZ48" s="66"/>
      <c r="ALA48" s="66"/>
      <c r="ALB48" s="66"/>
      <c r="ALC48" s="66"/>
      <c r="ALD48" s="66"/>
      <c r="ALE48" s="66"/>
      <c r="ALF48" s="66"/>
      <c r="ALG48" s="66"/>
      <c r="ALH48" s="66"/>
      <c r="ALI48" s="66"/>
      <c r="ALJ48" s="66"/>
      <c r="ALK48" s="66"/>
      <c r="ALL48" s="66"/>
      <c r="ALM48" s="66"/>
      <c r="ALN48" s="66"/>
      <c r="ALO48" s="66"/>
      <c r="ALP48" s="66"/>
      <c r="ALQ48" s="66"/>
      <c r="ALR48" s="66"/>
      <c r="ALS48" s="66"/>
      <c r="ALT48" s="66"/>
      <c r="ALU48" s="66"/>
      <c r="ALV48" s="66"/>
      <c r="ALW48" s="66"/>
      <c r="ALX48" s="66"/>
      <c r="ALY48" s="66"/>
      <c r="ALZ48" s="66"/>
      <c r="AMA48" s="66"/>
      <c r="AMB48" s="66"/>
      <c r="AMC48" s="66"/>
      <c r="AMD48" s="66"/>
      <c r="AME48" s="66"/>
      <c r="AMF48" s="66"/>
      <c r="AMG48" s="66"/>
      <c r="AMH48" s="66"/>
      <c r="AMI48" s="66"/>
      <c r="AMJ48" s="66"/>
      <c r="AMK48" s="66"/>
      <c r="AML48" s="66"/>
      <c r="AMM48" s="66"/>
      <c r="AMN48" s="66"/>
      <c r="AMO48" s="66"/>
      <c r="AMP48" s="66"/>
      <c r="AMQ48" s="66"/>
      <c r="AMR48" s="66"/>
      <c r="AMS48" s="66"/>
      <c r="AMT48" s="66"/>
      <c r="AMU48" s="66"/>
      <c r="AMV48" s="66"/>
      <c r="AMW48" s="66"/>
      <c r="AMX48" s="66"/>
      <c r="AMY48" s="66"/>
      <c r="AMZ48" s="66"/>
      <c r="ANA48" s="66"/>
      <c r="ANB48" s="66"/>
      <c r="ANC48" s="66"/>
      <c r="AND48" s="66"/>
      <c r="ANE48" s="66"/>
      <c r="ANF48" s="66"/>
      <c r="ANG48" s="66"/>
      <c r="ANH48" s="66"/>
      <c r="ANI48" s="66"/>
      <c r="ANJ48" s="66"/>
      <c r="ANK48" s="66"/>
      <c r="ANL48" s="66"/>
      <c r="ANM48" s="66"/>
      <c r="ANN48" s="66"/>
      <c r="ANO48" s="66"/>
      <c r="ANP48" s="66"/>
      <c r="ANQ48" s="66"/>
      <c r="ANR48" s="66"/>
      <c r="ANS48" s="66"/>
      <c r="ANT48" s="66"/>
      <c r="ANU48" s="66"/>
      <c r="ANV48" s="66"/>
      <c r="ANW48" s="66"/>
      <c r="ANX48" s="66"/>
      <c r="ANY48" s="66"/>
      <c r="ANZ48" s="66"/>
      <c r="AOA48" s="66"/>
      <c r="AOB48" s="66"/>
      <c r="AOC48" s="66"/>
      <c r="AOD48" s="66"/>
      <c r="AOE48" s="66"/>
      <c r="AOF48" s="66"/>
      <c r="AOG48" s="66"/>
      <c r="AOH48" s="66"/>
      <c r="AOI48" s="66"/>
      <c r="AOJ48" s="66"/>
      <c r="AOK48" s="66"/>
      <c r="AOL48" s="66"/>
      <c r="AOM48" s="66"/>
      <c r="AON48" s="66"/>
      <c r="AOO48" s="66"/>
      <c r="AOP48" s="66"/>
      <c r="AOQ48" s="66"/>
      <c r="AOR48" s="66"/>
      <c r="AOS48" s="66"/>
      <c r="AOT48" s="66"/>
      <c r="AOU48" s="66"/>
      <c r="AOV48" s="66"/>
      <c r="AOW48" s="66"/>
      <c r="AOX48" s="66"/>
      <c r="AOY48" s="66"/>
      <c r="AOZ48" s="66"/>
      <c r="APA48" s="66"/>
      <c r="APB48" s="66"/>
      <c r="APC48" s="66"/>
      <c r="APD48" s="66"/>
      <c r="APE48" s="66"/>
      <c r="APF48" s="66"/>
      <c r="APG48" s="66"/>
      <c r="APH48" s="66"/>
      <c r="API48" s="66"/>
      <c r="APJ48" s="66"/>
      <c r="APK48" s="66"/>
      <c r="APL48" s="66"/>
      <c r="APM48" s="66"/>
      <c r="APN48" s="66"/>
      <c r="APO48" s="66"/>
      <c r="APP48" s="66"/>
      <c r="APQ48" s="66"/>
      <c r="APR48" s="66"/>
      <c r="APS48" s="66"/>
      <c r="APT48" s="66"/>
      <c r="APU48" s="66"/>
      <c r="APV48" s="66"/>
      <c r="APW48" s="66"/>
      <c r="APX48" s="66"/>
      <c r="APY48" s="66"/>
      <c r="APZ48" s="66"/>
      <c r="AQA48" s="66"/>
      <c r="AQB48" s="66"/>
      <c r="AQC48" s="66"/>
      <c r="AQD48" s="66"/>
      <c r="AQE48" s="66"/>
      <c r="AQF48" s="66"/>
      <c r="AQG48" s="66"/>
      <c r="AQH48" s="66"/>
      <c r="AQI48" s="66"/>
      <c r="AQJ48" s="66"/>
      <c r="AQK48" s="66"/>
      <c r="AQL48" s="66"/>
      <c r="AQM48" s="66"/>
      <c r="AQN48" s="66"/>
      <c r="AQO48" s="66"/>
      <c r="AQP48" s="66"/>
      <c r="AQQ48" s="66"/>
      <c r="AQR48" s="66"/>
      <c r="AQS48" s="66"/>
      <c r="AQT48" s="66"/>
      <c r="AQU48" s="66"/>
      <c r="AQV48" s="66"/>
      <c r="AQW48" s="66"/>
      <c r="AQX48" s="66"/>
      <c r="AQY48" s="66"/>
      <c r="AQZ48" s="66"/>
      <c r="ARA48" s="66"/>
      <c r="ARB48" s="66"/>
      <c r="ARC48" s="66"/>
      <c r="ARD48" s="66"/>
      <c r="ARE48" s="66"/>
      <c r="ARF48" s="66"/>
      <c r="ARG48" s="66"/>
      <c r="ARH48" s="66"/>
      <c r="ARI48" s="66"/>
      <c r="ARJ48" s="66"/>
      <c r="ARK48" s="66"/>
      <c r="ARL48" s="66"/>
      <c r="ARM48" s="66"/>
      <c r="ARN48" s="66"/>
      <c r="ARO48" s="66"/>
      <c r="ARP48" s="66"/>
      <c r="ARQ48" s="66"/>
      <c r="ARR48" s="66"/>
      <c r="ARS48" s="66"/>
      <c r="ART48" s="66"/>
      <c r="ARU48" s="66"/>
      <c r="ARV48" s="66"/>
      <c r="ARW48" s="66"/>
      <c r="ARX48" s="66"/>
      <c r="ARY48" s="66"/>
      <c r="ARZ48" s="66"/>
      <c r="ASA48" s="66"/>
      <c r="ASB48" s="66"/>
      <c r="ASC48" s="66"/>
      <c r="ASD48" s="66"/>
      <c r="ASE48" s="66"/>
      <c r="ASF48" s="66"/>
      <c r="ASG48" s="66"/>
      <c r="ASH48" s="66"/>
      <c r="ASI48" s="66"/>
      <c r="ASJ48" s="66"/>
      <c r="ASK48" s="66"/>
      <c r="ASL48" s="66"/>
      <c r="ASM48" s="66"/>
      <c r="ASN48" s="66"/>
      <c r="ASO48" s="66"/>
      <c r="ASP48" s="66"/>
      <c r="ASQ48" s="66"/>
      <c r="ASR48" s="66"/>
      <c r="ASS48" s="66"/>
      <c r="AST48" s="66"/>
      <c r="ASU48" s="66"/>
      <c r="ASV48" s="66"/>
      <c r="ASW48" s="66"/>
      <c r="ASX48" s="66"/>
      <c r="ASY48" s="66"/>
      <c r="ASZ48" s="66"/>
      <c r="ATA48" s="66"/>
      <c r="ATB48" s="66"/>
      <c r="ATC48" s="66"/>
      <c r="ATD48" s="66"/>
      <c r="ATE48" s="66"/>
      <c r="ATF48" s="66"/>
      <c r="ATG48" s="66"/>
      <c r="ATH48" s="66"/>
      <c r="ATI48" s="66"/>
      <c r="ATJ48" s="66"/>
      <c r="ATK48" s="66"/>
      <c r="ATL48" s="66"/>
      <c r="ATM48" s="66"/>
      <c r="ATN48" s="66"/>
      <c r="ATO48" s="66"/>
      <c r="ATP48" s="66"/>
      <c r="ATQ48" s="66"/>
      <c r="ATR48" s="66"/>
      <c r="ATS48" s="66"/>
      <c r="ATT48" s="66"/>
      <c r="ATU48" s="66"/>
      <c r="ATV48" s="66"/>
      <c r="ATW48" s="66"/>
      <c r="ATX48" s="66"/>
      <c r="ATY48" s="66"/>
      <c r="ATZ48" s="66"/>
      <c r="AUA48" s="66"/>
      <c r="AUB48" s="66"/>
      <c r="AUC48" s="66"/>
      <c r="AUD48" s="66"/>
      <c r="AUE48" s="66"/>
      <c r="AUF48" s="66"/>
      <c r="AUG48" s="66"/>
      <c r="AUH48" s="66"/>
      <c r="AUI48" s="66"/>
      <c r="AUJ48" s="66"/>
      <c r="AUK48" s="66"/>
      <c r="AUL48" s="66"/>
      <c r="AUM48" s="66"/>
      <c r="AUN48" s="66"/>
      <c r="AUO48" s="66"/>
      <c r="AUP48" s="66"/>
      <c r="AUQ48" s="66"/>
      <c r="AUR48" s="66"/>
      <c r="AUS48" s="66"/>
      <c r="AUT48" s="66"/>
      <c r="AUU48" s="66"/>
      <c r="AUV48" s="66"/>
      <c r="AUW48" s="66"/>
      <c r="AUX48" s="66"/>
      <c r="AUY48" s="66"/>
      <c r="AUZ48" s="66"/>
      <c r="AVA48" s="66"/>
      <c r="AVB48" s="66"/>
      <c r="AVC48" s="66"/>
      <c r="AVD48" s="66"/>
      <c r="AVE48" s="66"/>
      <c r="AVF48" s="66"/>
      <c r="AVG48" s="66"/>
      <c r="AVH48" s="66"/>
      <c r="AVI48" s="66"/>
      <c r="AVJ48" s="66"/>
      <c r="AVK48" s="66"/>
      <c r="AVL48" s="66"/>
      <c r="AVM48" s="66"/>
      <c r="AVN48" s="66"/>
      <c r="AVO48" s="66"/>
      <c r="AVP48" s="66"/>
      <c r="AVQ48" s="66"/>
      <c r="AVR48" s="66"/>
      <c r="AVS48" s="66"/>
      <c r="AVT48" s="66"/>
      <c r="AVU48" s="66"/>
      <c r="AVV48" s="66"/>
      <c r="AVW48" s="66"/>
      <c r="AVX48" s="66"/>
      <c r="AVY48" s="66"/>
      <c r="AVZ48" s="66"/>
      <c r="AWA48" s="66"/>
      <c r="AWB48" s="66"/>
      <c r="AWC48" s="66"/>
      <c r="AWD48" s="66"/>
      <c r="AWE48" s="66"/>
      <c r="AWF48" s="66"/>
      <c r="AWG48" s="66"/>
      <c r="AWH48" s="66"/>
      <c r="AWI48" s="66"/>
      <c r="AWJ48" s="66"/>
      <c r="AWK48" s="66"/>
      <c r="AWL48" s="66"/>
      <c r="AWM48" s="66"/>
      <c r="AWN48" s="66"/>
      <c r="AWO48" s="66"/>
      <c r="AWP48" s="66"/>
      <c r="AWQ48" s="66"/>
      <c r="AWR48" s="66"/>
      <c r="AWS48" s="66"/>
      <c r="AWT48" s="66"/>
      <c r="AWU48" s="66"/>
      <c r="AWV48" s="66"/>
      <c r="AWW48" s="66"/>
      <c r="AWX48" s="66"/>
      <c r="AWY48" s="66"/>
      <c r="AWZ48" s="66"/>
      <c r="AXA48" s="66"/>
      <c r="AXB48" s="66"/>
      <c r="AXC48" s="66"/>
      <c r="AXD48" s="66"/>
      <c r="AXE48" s="66"/>
      <c r="AXF48" s="66"/>
      <c r="AXG48" s="66"/>
      <c r="AXH48" s="66"/>
      <c r="AXI48" s="66"/>
      <c r="AXJ48" s="66"/>
      <c r="AXK48" s="66"/>
      <c r="AXL48" s="66"/>
      <c r="AXM48" s="66"/>
      <c r="AXN48" s="66"/>
      <c r="AXO48" s="66"/>
      <c r="AXP48" s="66"/>
      <c r="AXQ48" s="66"/>
      <c r="AXR48" s="66"/>
      <c r="AXS48" s="66"/>
      <c r="AXT48" s="66"/>
      <c r="AXU48" s="66"/>
      <c r="AXV48" s="66"/>
      <c r="AXW48" s="66"/>
      <c r="AXX48" s="66"/>
      <c r="AXY48" s="66"/>
      <c r="AXZ48" s="66"/>
      <c r="AYA48" s="66"/>
      <c r="AYB48" s="66"/>
      <c r="AYC48" s="66"/>
      <c r="AYD48" s="66"/>
      <c r="AYE48" s="66"/>
      <c r="AYF48" s="66"/>
      <c r="AYG48" s="66"/>
      <c r="AYH48" s="66"/>
      <c r="AYI48" s="66"/>
      <c r="AYJ48" s="66"/>
      <c r="AYK48" s="66"/>
      <c r="AYL48" s="66"/>
      <c r="AYM48" s="66"/>
      <c r="AYN48" s="66"/>
      <c r="AYO48" s="66"/>
      <c r="AYP48" s="66"/>
      <c r="AYQ48" s="66"/>
      <c r="AYR48" s="66"/>
      <c r="AYS48" s="66"/>
      <c r="AYT48" s="66"/>
      <c r="AYU48" s="66"/>
      <c r="AYV48" s="66"/>
      <c r="AYW48" s="66"/>
      <c r="AYX48" s="66"/>
      <c r="AYY48" s="66"/>
      <c r="AYZ48" s="66"/>
      <c r="AZA48" s="66"/>
      <c r="AZB48" s="66"/>
      <c r="AZC48" s="66"/>
      <c r="AZD48" s="66"/>
      <c r="AZE48" s="66"/>
      <c r="AZF48" s="66"/>
      <c r="AZG48" s="66"/>
      <c r="AZH48" s="66"/>
      <c r="AZI48" s="66"/>
      <c r="AZJ48" s="66"/>
      <c r="AZK48" s="66"/>
      <c r="AZL48" s="66"/>
      <c r="AZM48" s="66"/>
      <c r="AZN48" s="66"/>
      <c r="AZO48" s="66"/>
      <c r="AZP48" s="66"/>
      <c r="AZQ48" s="66"/>
      <c r="AZR48" s="66"/>
      <c r="AZS48" s="66"/>
      <c r="AZT48" s="66"/>
      <c r="AZU48" s="66"/>
      <c r="AZV48" s="66"/>
      <c r="AZW48" s="66"/>
      <c r="AZX48" s="66"/>
      <c r="AZY48" s="66"/>
      <c r="AZZ48" s="66"/>
      <c r="BAA48" s="66"/>
      <c r="BAB48" s="66"/>
      <c r="BAC48" s="66"/>
      <c r="BAD48" s="66"/>
      <c r="BAE48" s="66"/>
      <c r="BAF48" s="66"/>
      <c r="BAG48" s="66"/>
      <c r="BAH48" s="66"/>
      <c r="BAI48" s="66"/>
      <c r="BAJ48" s="66"/>
      <c r="BAK48" s="66"/>
      <c r="BAL48" s="66"/>
      <c r="BAM48" s="66"/>
      <c r="BAN48" s="66"/>
      <c r="BAO48" s="66"/>
      <c r="BAP48" s="66"/>
      <c r="BAQ48" s="66"/>
      <c r="BAR48" s="66"/>
      <c r="BAS48" s="66"/>
      <c r="BAT48" s="66"/>
      <c r="BAU48" s="66"/>
      <c r="BAV48" s="66"/>
      <c r="BAW48" s="66"/>
      <c r="BAX48" s="66"/>
      <c r="BAY48" s="66"/>
      <c r="BAZ48" s="66"/>
      <c r="BBA48" s="66"/>
      <c r="BBB48" s="66"/>
      <c r="BBC48" s="66"/>
      <c r="BBD48" s="66"/>
      <c r="BBE48" s="66"/>
      <c r="BBF48" s="66"/>
      <c r="BBG48" s="66"/>
      <c r="BBH48" s="66"/>
      <c r="BBI48" s="66"/>
      <c r="BBJ48" s="66"/>
      <c r="BBK48" s="66"/>
      <c r="BBL48" s="66"/>
      <c r="BBM48" s="66"/>
      <c r="BBN48" s="66"/>
      <c r="BBO48" s="66"/>
      <c r="BBP48" s="66"/>
      <c r="BBQ48" s="66"/>
      <c r="BBR48" s="66"/>
      <c r="BBS48" s="66"/>
      <c r="BBT48" s="66"/>
      <c r="BBU48" s="66"/>
      <c r="BBV48" s="66"/>
      <c r="BBW48" s="66"/>
      <c r="BBX48" s="66"/>
      <c r="BBY48" s="66"/>
      <c r="BBZ48" s="66"/>
      <c r="BCA48" s="66"/>
      <c r="BCB48" s="66"/>
      <c r="BCC48" s="66"/>
      <c r="BCD48" s="66"/>
      <c r="BCE48" s="66"/>
      <c r="BCF48" s="66"/>
      <c r="BCG48" s="66"/>
      <c r="BCH48" s="66"/>
      <c r="BCI48" s="66"/>
      <c r="BCJ48" s="66"/>
      <c r="BCK48" s="66"/>
      <c r="BCL48" s="66"/>
      <c r="BCM48" s="66"/>
      <c r="BCN48" s="66"/>
      <c r="BCO48" s="66"/>
      <c r="BCP48" s="66"/>
      <c r="BCQ48" s="66"/>
      <c r="BCR48" s="66"/>
      <c r="BCS48" s="66"/>
      <c r="BCT48" s="66"/>
      <c r="BCU48" s="66"/>
      <c r="BCV48" s="66"/>
      <c r="BCW48" s="66"/>
      <c r="BCX48" s="66"/>
      <c r="BCY48" s="66"/>
      <c r="BCZ48" s="66"/>
      <c r="BDA48" s="66"/>
      <c r="BDB48" s="66"/>
      <c r="BDC48" s="66"/>
      <c r="BDD48" s="66"/>
      <c r="BDE48" s="66"/>
      <c r="BDF48" s="66"/>
      <c r="BDG48" s="66"/>
      <c r="BDH48" s="66"/>
      <c r="BDI48" s="66"/>
      <c r="BDJ48" s="66"/>
      <c r="BDK48" s="66"/>
      <c r="BDL48" s="66"/>
      <c r="BDM48" s="66"/>
      <c r="BDN48" s="66"/>
      <c r="BDO48" s="66"/>
      <c r="BDP48" s="66"/>
      <c r="BDQ48" s="66"/>
      <c r="BDR48" s="66"/>
      <c r="BDS48" s="66"/>
      <c r="BDT48" s="66"/>
      <c r="BDU48" s="66"/>
      <c r="BDV48" s="66"/>
      <c r="BDW48" s="66"/>
      <c r="BDX48" s="66"/>
      <c r="BDY48" s="66"/>
      <c r="BDZ48" s="66"/>
      <c r="BEA48" s="66"/>
      <c r="BEB48" s="66"/>
      <c r="BEC48" s="66"/>
      <c r="BED48" s="66"/>
      <c r="BEE48" s="66"/>
      <c r="BEF48" s="66"/>
      <c r="BEG48" s="66"/>
      <c r="BEH48" s="66"/>
      <c r="BEI48" s="66"/>
      <c r="BEJ48" s="66"/>
      <c r="BEK48" s="66"/>
      <c r="BEL48" s="66"/>
      <c r="BEM48" s="66"/>
      <c r="BEN48" s="66"/>
      <c r="BEO48" s="66"/>
      <c r="BEP48" s="66"/>
      <c r="BEQ48" s="66"/>
      <c r="BER48" s="66"/>
      <c r="BES48" s="66"/>
      <c r="BET48" s="66"/>
      <c r="BEU48" s="66"/>
      <c r="BEV48" s="66"/>
      <c r="BEW48" s="66"/>
      <c r="BEX48" s="66"/>
      <c r="BEY48" s="66"/>
      <c r="BEZ48" s="66"/>
      <c r="BFA48" s="66"/>
      <c r="BFB48" s="66"/>
      <c r="BFC48" s="66"/>
      <c r="BFD48" s="66"/>
      <c r="BFE48" s="66"/>
      <c r="BFF48" s="66"/>
      <c r="BFG48" s="66"/>
      <c r="BFH48" s="66"/>
      <c r="BFI48" s="66"/>
      <c r="BFJ48" s="66"/>
      <c r="BFK48" s="66"/>
      <c r="BFL48" s="66"/>
      <c r="BFM48" s="66"/>
      <c r="BFN48" s="66"/>
      <c r="BFO48" s="66"/>
      <c r="BFP48" s="66"/>
      <c r="BFQ48" s="66"/>
      <c r="BFR48" s="66"/>
      <c r="BFS48" s="66"/>
      <c r="BFT48" s="66"/>
      <c r="BFU48" s="66"/>
      <c r="BFV48" s="66"/>
      <c r="BFW48" s="66"/>
      <c r="BFX48" s="66"/>
      <c r="BFY48" s="66"/>
      <c r="BFZ48" s="66"/>
      <c r="BGA48" s="66"/>
      <c r="BGB48" s="66"/>
      <c r="BGC48" s="66"/>
      <c r="BGD48" s="66"/>
      <c r="BGE48" s="66"/>
      <c r="BGF48" s="66"/>
      <c r="BGG48" s="66"/>
      <c r="BGH48" s="66"/>
      <c r="BGI48" s="66"/>
      <c r="BGJ48" s="66"/>
      <c r="BGK48" s="66"/>
      <c r="BGL48" s="66"/>
      <c r="BGM48" s="66"/>
      <c r="BGN48" s="66"/>
      <c r="BGO48" s="66"/>
      <c r="BGP48" s="66"/>
      <c r="BGQ48" s="66"/>
      <c r="BGR48" s="66"/>
      <c r="BGS48" s="66"/>
      <c r="BGT48" s="66"/>
      <c r="BGU48" s="66"/>
      <c r="BGV48" s="66"/>
      <c r="BGW48" s="66"/>
      <c r="BGX48" s="66"/>
      <c r="BGY48" s="66"/>
      <c r="BGZ48" s="66"/>
      <c r="BHA48" s="66"/>
      <c r="BHB48" s="66"/>
      <c r="BHC48" s="66"/>
      <c r="BHD48" s="66"/>
      <c r="BHE48" s="66"/>
      <c r="BHF48" s="66"/>
      <c r="BHG48" s="66"/>
      <c r="BHH48" s="66"/>
      <c r="BHI48" s="66"/>
      <c r="BHJ48" s="66"/>
      <c r="BHK48" s="66"/>
      <c r="BHL48" s="66"/>
      <c r="BHM48" s="66"/>
      <c r="BHN48" s="66"/>
      <c r="BHO48" s="66"/>
      <c r="BHP48" s="66"/>
      <c r="BHQ48" s="66"/>
      <c r="BHR48" s="66"/>
      <c r="BHS48" s="66"/>
      <c r="BHT48" s="66"/>
      <c r="BHU48" s="66"/>
      <c r="BHV48" s="66"/>
      <c r="BHW48" s="66"/>
      <c r="BHX48" s="66"/>
      <c r="BHY48" s="66"/>
      <c r="BHZ48" s="66"/>
      <c r="BIA48" s="66"/>
      <c r="BIB48" s="66"/>
      <c r="BIC48" s="66"/>
      <c r="BID48" s="66"/>
      <c r="BIE48" s="66"/>
      <c r="BIF48" s="66"/>
      <c r="BIG48" s="66"/>
      <c r="BIH48" s="66"/>
      <c r="BII48" s="66"/>
      <c r="BIJ48" s="66"/>
      <c r="BIK48" s="66"/>
      <c r="BIL48" s="66"/>
      <c r="BIM48" s="66"/>
      <c r="BIN48" s="66"/>
      <c r="BIO48" s="66"/>
      <c r="BIP48" s="66"/>
      <c r="BIQ48" s="66"/>
      <c r="BIR48" s="66"/>
      <c r="BIS48" s="66"/>
      <c r="BIT48" s="66"/>
      <c r="BIU48" s="66"/>
      <c r="BIV48" s="66"/>
      <c r="BIW48" s="66"/>
      <c r="BIX48" s="66"/>
      <c r="BIY48" s="66"/>
      <c r="BIZ48" s="66"/>
      <c r="BJA48" s="66"/>
      <c r="BJB48" s="66"/>
      <c r="BJC48" s="66"/>
      <c r="BJD48" s="66"/>
      <c r="BJE48" s="66"/>
      <c r="BJF48" s="66"/>
      <c r="BJG48" s="66"/>
      <c r="BJH48" s="66"/>
      <c r="BJI48" s="66"/>
      <c r="BJJ48" s="66"/>
      <c r="BJK48" s="66"/>
      <c r="BJL48" s="66"/>
      <c r="BJM48" s="66"/>
      <c r="BJN48" s="66"/>
      <c r="BJO48" s="66"/>
      <c r="BJP48" s="66"/>
      <c r="BJQ48" s="66"/>
      <c r="BJR48" s="66"/>
      <c r="BJS48" s="66"/>
      <c r="BJT48" s="66"/>
      <c r="BJU48" s="66"/>
      <c r="BJV48" s="66"/>
      <c r="BJW48" s="66"/>
      <c r="BJX48" s="66"/>
      <c r="BJY48" s="66"/>
      <c r="BJZ48" s="66"/>
      <c r="BKA48" s="66"/>
      <c r="BKB48" s="66"/>
      <c r="BKC48" s="66"/>
      <c r="BKD48" s="66"/>
      <c r="BKE48" s="66"/>
      <c r="BKF48" s="66"/>
      <c r="BKG48" s="66"/>
      <c r="BKH48" s="66"/>
      <c r="BKI48" s="66"/>
      <c r="BKJ48" s="66"/>
      <c r="BKK48" s="66"/>
      <c r="BKL48" s="66"/>
      <c r="BKM48" s="66"/>
      <c r="BKN48" s="66"/>
      <c r="BKO48" s="66"/>
      <c r="BKP48" s="66"/>
      <c r="BKQ48" s="66"/>
      <c r="BKR48" s="66"/>
      <c r="BKS48" s="66"/>
      <c r="BKT48" s="66"/>
      <c r="BKU48" s="66"/>
      <c r="BKV48" s="66"/>
      <c r="BKW48" s="66"/>
      <c r="BKX48" s="66"/>
      <c r="BKY48" s="66"/>
      <c r="BKZ48" s="66"/>
      <c r="BLA48" s="66"/>
      <c r="BLB48" s="66"/>
      <c r="BLC48" s="66"/>
      <c r="BLD48" s="66"/>
      <c r="BLE48" s="66"/>
      <c r="BLF48" s="66"/>
      <c r="BLG48" s="66"/>
      <c r="BLH48" s="66"/>
      <c r="BLI48" s="66"/>
      <c r="BLJ48" s="66"/>
      <c r="BLK48" s="66"/>
      <c r="BLL48" s="66"/>
      <c r="BLM48" s="66"/>
      <c r="BLN48" s="66"/>
      <c r="BLO48" s="66"/>
      <c r="BLP48" s="66"/>
      <c r="BLQ48" s="66"/>
      <c r="BLR48" s="66"/>
      <c r="BLS48" s="66"/>
      <c r="BLT48" s="66"/>
      <c r="BLU48" s="66"/>
      <c r="BLV48" s="66"/>
      <c r="BLW48" s="66"/>
      <c r="BLX48" s="66"/>
      <c r="BLY48" s="66"/>
      <c r="BLZ48" s="66"/>
      <c r="BMA48" s="66"/>
      <c r="BMB48" s="66"/>
      <c r="BMC48" s="66"/>
      <c r="BMD48" s="66"/>
      <c r="BME48" s="66"/>
      <c r="BMF48" s="66"/>
      <c r="BMG48" s="66"/>
      <c r="BMH48" s="66"/>
      <c r="BMI48" s="66"/>
      <c r="BMJ48" s="66"/>
      <c r="BMK48" s="66"/>
      <c r="BML48" s="66"/>
      <c r="BMM48" s="66"/>
      <c r="BMN48" s="66"/>
      <c r="BMO48" s="66"/>
      <c r="BMP48" s="66"/>
      <c r="BMQ48" s="66"/>
      <c r="BMR48" s="66"/>
      <c r="BMS48" s="66"/>
      <c r="BMT48" s="66"/>
      <c r="BMU48" s="66"/>
      <c r="BMV48" s="66"/>
      <c r="BMW48" s="66"/>
      <c r="BMX48" s="66"/>
      <c r="BMY48" s="66"/>
      <c r="BMZ48" s="66"/>
      <c r="BNA48" s="66"/>
      <c r="BNB48" s="66"/>
      <c r="BNC48" s="66"/>
      <c r="BND48" s="66"/>
      <c r="BNE48" s="66"/>
      <c r="BNF48" s="66"/>
      <c r="BNG48" s="66"/>
      <c r="BNH48" s="66"/>
      <c r="BNI48" s="66"/>
      <c r="BNJ48" s="66"/>
      <c r="BNK48" s="66"/>
      <c r="BNL48" s="66"/>
      <c r="BNM48" s="66"/>
      <c r="BNN48" s="66"/>
      <c r="BNO48" s="66"/>
      <c r="BNP48" s="66"/>
      <c r="BNQ48" s="66"/>
      <c r="BNR48" s="66"/>
      <c r="BNS48" s="66"/>
      <c r="BNT48" s="66"/>
      <c r="BNU48" s="66"/>
      <c r="BNV48" s="66"/>
      <c r="BNW48" s="66"/>
      <c r="BNX48" s="66"/>
      <c r="BNY48" s="66"/>
      <c r="BNZ48" s="66"/>
      <c r="BOA48" s="66"/>
      <c r="BOB48" s="66"/>
      <c r="BOC48" s="66"/>
      <c r="BOD48" s="66"/>
      <c r="BOE48" s="66"/>
      <c r="BOF48" s="66"/>
      <c r="BOG48" s="66"/>
      <c r="BOH48" s="66"/>
      <c r="BOI48" s="66"/>
      <c r="BOJ48" s="66"/>
      <c r="BOK48" s="66"/>
      <c r="BOL48" s="66"/>
      <c r="BOM48" s="66"/>
      <c r="BON48" s="66"/>
      <c r="BOO48" s="66"/>
      <c r="BOP48" s="66"/>
      <c r="BOQ48" s="66"/>
      <c r="BOR48" s="66"/>
      <c r="BOS48" s="66"/>
      <c r="BOT48" s="66"/>
      <c r="BOU48" s="66"/>
      <c r="BOV48" s="66"/>
      <c r="BOW48" s="66"/>
      <c r="BOX48" s="66"/>
      <c r="BOY48" s="66"/>
      <c r="BOZ48" s="66"/>
      <c r="BPA48" s="66"/>
      <c r="BPB48" s="66"/>
      <c r="BPC48" s="66"/>
      <c r="BPD48" s="66"/>
      <c r="BPE48" s="66"/>
      <c r="BPF48" s="66"/>
      <c r="BPG48" s="66"/>
      <c r="BPH48" s="66"/>
      <c r="BPI48" s="66"/>
      <c r="BPJ48" s="66"/>
      <c r="BPK48" s="66"/>
      <c r="BPL48" s="66"/>
      <c r="BPM48" s="66"/>
      <c r="BPN48" s="66"/>
      <c r="BPO48" s="66"/>
      <c r="BPP48" s="66"/>
      <c r="BPQ48" s="66"/>
      <c r="BPR48" s="66"/>
      <c r="BPS48" s="66"/>
      <c r="BPT48" s="66"/>
      <c r="BPU48" s="66"/>
      <c r="BPV48" s="66"/>
      <c r="BPW48" s="66"/>
      <c r="BPX48" s="66"/>
      <c r="BPY48" s="66"/>
      <c r="BPZ48" s="66"/>
      <c r="BQA48" s="66"/>
      <c r="BQB48" s="66"/>
      <c r="BQC48" s="66"/>
      <c r="BQD48" s="66"/>
      <c r="BQE48" s="66"/>
      <c r="BQF48" s="66"/>
      <c r="BQG48" s="66"/>
      <c r="BQH48" s="66"/>
      <c r="BQI48" s="66"/>
      <c r="BQJ48" s="66"/>
      <c r="BQK48" s="66"/>
      <c r="BQL48" s="66"/>
      <c r="BQM48" s="66"/>
      <c r="BQN48" s="66"/>
      <c r="BQO48" s="66"/>
      <c r="BQP48" s="66"/>
      <c r="BQQ48" s="66"/>
      <c r="BQR48" s="66"/>
      <c r="BQS48" s="66"/>
      <c r="BQT48" s="66"/>
      <c r="BQU48" s="66"/>
      <c r="BQV48" s="66"/>
      <c r="BQW48" s="66"/>
      <c r="BQX48" s="66"/>
      <c r="BQY48" s="66"/>
      <c r="BQZ48" s="66"/>
      <c r="BRA48" s="66"/>
      <c r="BRB48" s="66"/>
      <c r="BRC48" s="66"/>
      <c r="BRD48" s="66"/>
      <c r="BRE48" s="66"/>
      <c r="BRF48" s="66"/>
      <c r="BRG48" s="66"/>
      <c r="BRH48" s="66"/>
      <c r="BRI48" s="66"/>
      <c r="BRJ48" s="66"/>
      <c r="BRK48" s="66"/>
      <c r="BRL48" s="66"/>
      <c r="BRM48" s="66"/>
      <c r="BRN48" s="66"/>
      <c r="BRO48" s="66"/>
      <c r="BRP48" s="66"/>
      <c r="BRQ48" s="66"/>
      <c r="BRR48" s="66"/>
      <c r="BRS48" s="66"/>
      <c r="BRT48" s="66"/>
      <c r="BRU48" s="66"/>
      <c r="BRV48" s="66"/>
      <c r="BRW48" s="66"/>
      <c r="BRX48" s="66"/>
      <c r="BRY48" s="66"/>
      <c r="BRZ48" s="66"/>
      <c r="BSA48" s="66"/>
      <c r="BSB48" s="66"/>
      <c r="BSC48" s="66"/>
      <c r="BSD48" s="66"/>
      <c r="BSE48" s="66"/>
      <c r="BSF48" s="66"/>
      <c r="BSG48" s="66"/>
      <c r="BSH48" s="66"/>
      <c r="BSI48" s="66"/>
      <c r="BSJ48" s="66"/>
      <c r="BSK48" s="66"/>
      <c r="BSL48" s="66"/>
      <c r="BSM48" s="66"/>
      <c r="BSN48" s="66"/>
      <c r="BSO48" s="66"/>
      <c r="BSP48" s="66"/>
      <c r="BSQ48" s="66"/>
      <c r="BSR48" s="66"/>
      <c r="BSS48" s="66"/>
      <c r="BST48" s="66"/>
      <c r="BSU48" s="66"/>
      <c r="BSV48" s="66"/>
      <c r="BSW48" s="66"/>
      <c r="BSX48" s="66"/>
      <c r="BSY48" s="66"/>
      <c r="BSZ48" s="66"/>
      <c r="BTA48" s="66"/>
      <c r="BTB48" s="66"/>
      <c r="BTC48" s="66"/>
      <c r="BTD48" s="66"/>
      <c r="BTE48" s="66"/>
      <c r="BTF48" s="66"/>
      <c r="BTG48" s="66"/>
      <c r="BTH48" s="66"/>
      <c r="BTI48" s="66"/>
      <c r="BTJ48" s="66"/>
      <c r="BTK48" s="66"/>
      <c r="BTL48" s="66"/>
      <c r="BTM48" s="66"/>
      <c r="BTN48" s="66"/>
      <c r="BTO48" s="66"/>
      <c r="BTP48" s="66"/>
      <c r="BTQ48" s="66"/>
      <c r="BTR48" s="66"/>
      <c r="BTS48" s="66"/>
      <c r="BTT48" s="66"/>
      <c r="BTU48" s="66"/>
      <c r="BTV48" s="66"/>
      <c r="BTW48" s="66"/>
      <c r="BTX48" s="66"/>
      <c r="BTY48" s="66"/>
      <c r="BTZ48" s="66"/>
      <c r="BUA48" s="66"/>
      <c r="BUB48" s="66"/>
      <c r="BUC48" s="66"/>
      <c r="BUD48" s="66"/>
      <c r="BUE48" s="66"/>
      <c r="BUF48" s="66"/>
      <c r="BUG48" s="66"/>
      <c r="BUH48" s="66"/>
      <c r="BUI48" s="66"/>
      <c r="BUJ48" s="66"/>
      <c r="BUK48" s="66"/>
      <c r="BUL48" s="66"/>
      <c r="BUM48" s="66"/>
      <c r="BUN48" s="66"/>
      <c r="BUO48" s="66"/>
      <c r="BUP48" s="66"/>
      <c r="BUQ48" s="66"/>
      <c r="BUR48" s="66"/>
      <c r="BUS48" s="66"/>
      <c r="BUT48" s="66"/>
      <c r="BUU48" s="66"/>
      <c r="BUV48" s="66"/>
      <c r="BUW48" s="66"/>
      <c r="BUX48" s="66"/>
      <c r="BUY48" s="66"/>
      <c r="BUZ48" s="66"/>
      <c r="BVA48" s="66"/>
      <c r="BVB48" s="66"/>
      <c r="BVC48" s="66"/>
      <c r="BVD48" s="66"/>
      <c r="BVE48" s="66"/>
      <c r="BVF48" s="66"/>
      <c r="BVG48" s="66"/>
      <c r="BVH48" s="66"/>
      <c r="BVI48" s="66"/>
      <c r="BVJ48" s="66"/>
      <c r="BVK48" s="66"/>
      <c r="BVL48" s="66"/>
      <c r="BVM48" s="66"/>
      <c r="BVN48" s="66"/>
      <c r="BVO48" s="66"/>
      <c r="BVP48" s="66"/>
      <c r="BVQ48" s="66"/>
      <c r="BVR48" s="66"/>
      <c r="BVS48" s="66"/>
      <c r="BVT48" s="66"/>
      <c r="BVU48" s="66"/>
      <c r="BVV48" s="66"/>
      <c r="BVW48" s="66"/>
      <c r="BVX48" s="66"/>
      <c r="BVY48" s="66"/>
      <c r="BVZ48" s="66"/>
      <c r="BWA48" s="66"/>
      <c r="BWB48" s="66"/>
      <c r="BWC48" s="66"/>
      <c r="BWD48" s="66"/>
      <c r="BWE48" s="66"/>
      <c r="BWF48" s="66"/>
      <c r="BWG48" s="66"/>
      <c r="BWH48" s="66"/>
      <c r="BWI48" s="66"/>
      <c r="BWJ48" s="66"/>
      <c r="BWK48" s="66"/>
      <c r="BWL48" s="66"/>
      <c r="BWM48" s="66"/>
      <c r="BWN48" s="66"/>
      <c r="BWO48" s="66"/>
      <c r="BWP48" s="66"/>
      <c r="BWQ48" s="66"/>
      <c r="BWR48" s="66"/>
      <c r="BWS48" s="66"/>
      <c r="BWT48" s="66"/>
      <c r="BWU48" s="66"/>
      <c r="BWV48" s="66"/>
      <c r="BWW48" s="66"/>
      <c r="BWX48" s="66"/>
      <c r="BWY48" s="66"/>
      <c r="BWZ48" s="66"/>
      <c r="BXA48" s="66"/>
      <c r="BXB48" s="66"/>
      <c r="BXC48" s="66"/>
      <c r="BXD48" s="66"/>
      <c r="BXE48" s="66"/>
      <c r="BXF48" s="66"/>
      <c r="BXG48" s="66"/>
      <c r="BXH48" s="66"/>
      <c r="BXI48" s="66"/>
      <c r="BXJ48" s="66"/>
      <c r="BXK48" s="66"/>
      <c r="BXL48" s="66"/>
      <c r="BXM48" s="66"/>
      <c r="BXN48" s="66"/>
      <c r="BXO48" s="66"/>
      <c r="BXP48" s="66"/>
      <c r="BXQ48" s="66"/>
      <c r="BXR48" s="66"/>
      <c r="BXS48" s="66"/>
      <c r="BXT48" s="66"/>
      <c r="BXU48" s="66"/>
      <c r="BXV48" s="66"/>
      <c r="BXW48" s="66"/>
      <c r="BXX48" s="66"/>
      <c r="BXY48" s="66"/>
      <c r="BXZ48" s="66"/>
      <c r="BYA48" s="66"/>
      <c r="BYB48" s="66"/>
      <c r="BYC48" s="66"/>
      <c r="BYD48" s="66"/>
      <c r="BYE48" s="66"/>
      <c r="BYF48" s="66"/>
      <c r="BYG48" s="66"/>
      <c r="BYH48" s="66"/>
      <c r="BYI48" s="66"/>
      <c r="BYJ48" s="66"/>
      <c r="BYK48" s="66"/>
      <c r="BYL48" s="66"/>
      <c r="BYM48" s="66"/>
      <c r="BYN48" s="66"/>
      <c r="BYO48" s="66"/>
      <c r="BYP48" s="66"/>
      <c r="BYQ48" s="66"/>
      <c r="BYR48" s="66"/>
      <c r="BYS48" s="66"/>
      <c r="BYT48" s="66"/>
      <c r="BYU48" s="66"/>
      <c r="BYV48" s="66"/>
      <c r="BYW48" s="66"/>
      <c r="BYX48" s="66"/>
      <c r="BYY48" s="66"/>
      <c r="BYZ48" s="66"/>
      <c r="BZA48" s="66"/>
      <c r="BZB48" s="66"/>
      <c r="BZC48" s="66"/>
      <c r="BZD48" s="66"/>
      <c r="BZE48" s="66"/>
      <c r="BZF48" s="66"/>
      <c r="BZG48" s="66"/>
      <c r="BZH48" s="66"/>
      <c r="BZI48" s="66"/>
      <c r="BZJ48" s="66"/>
      <c r="BZK48" s="66"/>
      <c r="BZL48" s="66"/>
      <c r="BZM48" s="66"/>
      <c r="BZN48" s="66"/>
      <c r="BZO48" s="66"/>
      <c r="BZP48" s="66"/>
      <c r="BZQ48" s="66"/>
      <c r="BZR48" s="66"/>
      <c r="BZS48" s="66"/>
      <c r="BZT48" s="66"/>
      <c r="BZU48" s="66"/>
      <c r="BZV48" s="66"/>
      <c r="BZW48" s="66"/>
      <c r="BZX48" s="66"/>
      <c r="BZY48" s="66"/>
      <c r="BZZ48" s="66"/>
      <c r="CAA48" s="66"/>
      <c r="CAB48" s="66"/>
      <c r="CAC48" s="66"/>
      <c r="CAD48" s="66"/>
      <c r="CAE48" s="66"/>
      <c r="CAF48" s="66"/>
      <c r="CAG48" s="66"/>
      <c r="CAH48" s="66"/>
      <c r="CAI48" s="66"/>
      <c r="CAJ48" s="66"/>
      <c r="CAK48" s="66"/>
      <c r="CAL48" s="66"/>
      <c r="CAM48" s="66"/>
      <c r="CAN48" s="66"/>
      <c r="CAO48" s="66"/>
      <c r="CAP48" s="66"/>
      <c r="CAQ48" s="66"/>
      <c r="CAR48" s="66"/>
      <c r="CAS48" s="66"/>
      <c r="CAT48" s="66"/>
      <c r="CAU48" s="66"/>
      <c r="CAV48" s="66"/>
      <c r="CAW48" s="66"/>
      <c r="CAX48" s="66"/>
      <c r="CAY48" s="66"/>
      <c r="CAZ48" s="66"/>
      <c r="CBA48" s="66"/>
      <c r="CBB48" s="66"/>
      <c r="CBC48" s="66"/>
      <c r="CBD48" s="66"/>
      <c r="CBE48" s="66"/>
      <c r="CBF48" s="66"/>
      <c r="CBG48" s="66"/>
      <c r="CBH48" s="66"/>
      <c r="CBI48" s="66"/>
      <c r="CBJ48" s="66"/>
      <c r="CBK48" s="66"/>
      <c r="CBL48" s="66"/>
      <c r="CBM48" s="66"/>
      <c r="CBN48" s="66"/>
      <c r="CBO48" s="66"/>
      <c r="CBP48" s="66"/>
      <c r="CBQ48" s="66"/>
      <c r="CBR48" s="66"/>
      <c r="CBS48" s="66"/>
      <c r="CBT48" s="66"/>
      <c r="CBU48" s="66"/>
      <c r="CBV48" s="66"/>
      <c r="CBW48" s="66"/>
      <c r="CBX48" s="66"/>
      <c r="CBY48" s="66"/>
      <c r="CBZ48" s="66"/>
      <c r="CCA48" s="66"/>
      <c r="CCB48" s="66"/>
      <c r="CCC48" s="66"/>
      <c r="CCD48" s="66"/>
      <c r="CCE48" s="66"/>
      <c r="CCF48" s="66"/>
      <c r="CCG48" s="66"/>
      <c r="CCH48" s="66"/>
      <c r="CCI48" s="66"/>
      <c r="CCJ48" s="66"/>
      <c r="CCK48" s="66"/>
      <c r="CCL48" s="66"/>
      <c r="CCM48" s="66"/>
      <c r="CCN48" s="66"/>
      <c r="CCO48" s="66"/>
      <c r="CCP48" s="66"/>
      <c r="CCQ48" s="66"/>
      <c r="CCR48" s="66"/>
      <c r="CCS48" s="66"/>
      <c r="CCT48" s="66"/>
      <c r="CCU48" s="66"/>
      <c r="CCV48" s="66"/>
      <c r="CCW48" s="66"/>
      <c r="CCX48" s="66"/>
      <c r="CCY48" s="66"/>
      <c r="CCZ48" s="66"/>
      <c r="CDA48" s="66"/>
      <c r="CDB48" s="66"/>
      <c r="CDC48" s="66"/>
      <c r="CDD48" s="66"/>
      <c r="CDE48" s="66"/>
      <c r="CDF48" s="66"/>
      <c r="CDG48" s="66"/>
      <c r="CDH48" s="66"/>
      <c r="CDI48" s="66"/>
      <c r="CDJ48" s="66"/>
      <c r="CDK48" s="66"/>
      <c r="CDL48" s="66"/>
      <c r="CDM48" s="66"/>
      <c r="CDN48" s="66"/>
      <c r="CDO48" s="66"/>
      <c r="CDP48" s="66"/>
      <c r="CDQ48" s="66"/>
      <c r="CDR48" s="66"/>
      <c r="CDS48" s="66"/>
      <c r="CDT48" s="66"/>
      <c r="CDU48" s="66"/>
      <c r="CDV48" s="66"/>
      <c r="CDW48" s="66"/>
      <c r="CDX48" s="66"/>
      <c r="CDY48" s="66"/>
      <c r="CDZ48" s="66"/>
      <c r="CEA48" s="66"/>
      <c r="CEB48" s="66"/>
      <c r="CEC48" s="66"/>
      <c r="CED48" s="66"/>
      <c r="CEE48" s="66"/>
      <c r="CEF48" s="66"/>
      <c r="CEG48" s="66"/>
      <c r="CEH48" s="66"/>
      <c r="CEI48" s="66"/>
      <c r="CEJ48" s="66"/>
      <c r="CEK48" s="66"/>
      <c r="CEL48" s="66"/>
      <c r="CEM48" s="66"/>
      <c r="CEN48" s="66"/>
      <c r="CEO48" s="66"/>
      <c r="CEP48" s="66"/>
      <c r="CEQ48" s="66"/>
      <c r="CER48" s="66"/>
      <c r="CES48" s="66"/>
      <c r="CET48" s="66"/>
      <c r="CEU48" s="66"/>
      <c r="CEV48" s="66"/>
      <c r="CEW48" s="66"/>
      <c r="CEX48" s="66"/>
      <c r="CEY48" s="66"/>
      <c r="CEZ48" s="66"/>
      <c r="CFA48" s="66"/>
      <c r="CFB48" s="66"/>
      <c r="CFC48" s="66"/>
      <c r="CFD48" s="66"/>
      <c r="CFE48" s="66"/>
      <c r="CFF48" s="66"/>
      <c r="CFG48" s="66"/>
      <c r="CFH48" s="66"/>
      <c r="CFI48" s="66"/>
      <c r="CFJ48" s="66"/>
      <c r="CFK48" s="66"/>
      <c r="CFL48" s="66"/>
      <c r="CFM48" s="66"/>
      <c r="CFN48" s="66"/>
      <c r="CFO48" s="66"/>
      <c r="CFP48" s="66"/>
      <c r="CFQ48" s="66"/>
      <c r="CFR48" s="66"/>
      <c r="CFS48" s="66"/>
      <c r="CFT48" s="66"/>
      <c r="CFU48" s="66"/>
      <c r="CFV48" s="66"/>
      <c r="CFW48" s="66"/>
      <c r="CFX48" s="66"/>
      <c r="CFY48" s="66"/>
      <c r="CFZ48" s="66"/>
      <c r="CGA48" s="66"/>
      <c r="CGB48" s="66"/>
      <c r="CGC48" s="66"/>
      <c r="CGD48" s="66"/>
      <c r="CGE48" s="66"/>
      <c r="CGF48" s="66"/>
      <c r="CGG48" s="66"/>
      <c r="CGH48" s="66"/>
      <c r="CGI48" s="66"/>
      <c r="CGJ48" s="66"/>
      <c r="CGK48" s="66"/>
      <c r="CGL48" s="66"/>
      <c r="CGM48" s="66"/>
      <c r="CGN48" s="66"/>
      <c r="CGO48" s="66"/>
      <c r="CGP48" s="66"/>
      <c r="CGQ48" s="66"/>
      <c r="CGR48" s="66"/>
      <c r="CGS48" s="66"/>
      <c r="CGT48" s="66"/>
      <c r="CGU48" s="66"/>
      <c r="CGV48" s="66"/>
      <c r="CGW48" s="66"/>
      <c r="CGX48" s="66"/>
      <c r="CGY48" s="66"/>
      <c r="CGZ48" s="66"/>
      <c r="CHA48" s="66"/>
      <c r="CHB48" s="66"/>
      <c r="CHC48" s="66"/>
      <c r="CHD48" s="66"/>
      <c r="CHE48" s="66"/>
      <c r="CHF48" s="66"/>
      <c r="CHG48" s="66"/>
      <c r="CHH48" s="66"/>
      <c r="CHI48" s="66"/>
      <c r="CHJ48" s="66"/>
      <c r="CHK48" s="66"/>
      <c r="CHL48" s="66"/>
      <c r="CHM48" s="66"/>
      <c r="CHN48" s="66"/>
      <c r="CHO48" s="66"/>
      <c r="CHP48" s="66"/>
      <c r="CHQ48" s="66"/>
      <c r="CHR48" s="66"/>
      <c r="CHS48" s="66"/>
      <c r="CHT48" s="66"/>
      <c r="CHU48" s="66"/>
      <c r="CHV48" s="66"/>
      <c r="CHW48" s="66"/>
      <c r="CHX48" s="66"/>
      <c r="CHY48" s="66"/>
      <c r="CHZ48" s="66"/>
      <c r="CIA48" s="66"/>
      <c r="CIB48" s="66"/>
      <c r="CIC48" s="66"/>
      <c r="CID48" s="66"/>
      <c r="CIE48" s="66"/>
      <c r="CIF48" s="66"/>
      <c r="CIG48" s="66"/>
      <c r="CIH48" s="66"/>
      <c r="CII48" s="66"/>
      <c r="CIJ48" s="66"/>
      <c r="CIK48" s="66"/>
      <c r="CIL48" s="66"/>
      <c r="CIM48" s="66"/>
      <c r="CIN48" s="66"/>
      <c r="CIO48" s="66"/>
      <c r="CIP48" s="66"/>
      <c r="CIQ48" s="66"/>
      <c r="CIR48" s="66"/>
      <c r="CIS48" s="66"/>
      <c r="CIT48" s="66"/>
      <c r="CIU48" s="66"/>
      <c r="CIV48" s="66"/>
      <c r="CIW48" s="66"/>
      <c r="CIX48" s="66"/>
      <c r="CIY48" s="66"/>
      <c r="CIZ48" s="66"/>
      <c r="CJA48" s="66"/>
      <c r="CJB48" s="66"/>
      <c r="CJC48" s="66"/>
      <c r="CJD48" s="66"/>
      <c r="CJE48" s="66"/>
      <c r="CJF48" s="66"/>
      <c r="CJG48" s="66"/>
      <c r="CJH48" s="66"/>
      <c r="CJI48" s="66"/>
      <c r="CJJ48" s="66"/>
      <c r="CJK48" s="66"/>
      <c r="CJL48" s="66"/>
      <c r="CJM48" s="66"/>
      <c r="CJN48" s="66"/>
      <c r="CJO48" s="66"/>
      <c r="CJP48" s="66"/>
      <c r="CJQ48" s="66"/>
      <c r="CJR48" s="66"/>
      <c r="CJS48" s="66"/>
      <c r="CJT48" s="66"/>
      <c r="CJU48" s="66"/>
      <c r="CJV48" s="66"/>
      <c r="CJW48" s="66"/>
      <c r="CJX48" s="66"/>
      <c r="CJY48" s="66"/>
      <c r="CJZ48" s="66"/>
      <c r="CKA48" s="66"/>
      <c r="CKB48" s="66"/>
      <c r="CKC48" s="66"/>
      <c r="CKD48" s="66"/>
      <c r="CKE48" s="66"/>
      <c r="CKF48" s="66"/>
      <c r="CKG48" s="66"/>
      <c r="CKH48" s="66"/>
      <c r="CKI48" s="66"/>
      <c r="CKJ48" s="66"/>
      <c r="CKK48" s="66"/>
      <c r="CKL48" s="66"/>
      <c r="CKM48" s="66"/>
      <c r="CKN48" s="66"/>
      <c r="CKO48" s="66"/>
      <c r="CKP48" s="66"/>
      <c r="CKQ48" s="66"/>
      <c r="CKR48" s="66"/>
      <c r="CKS48" s="66"/>
      <c r="CKT48" s="66"/>
      <c r="CKU48" s="66"/>
      <c r="CKV48" s="66"/>
      <c r="CKW48" s="66"/>
      <c r="CKX48" s="66"/>
      <c r="CKY48" s="66"/>
      <c r="CKZ48" s="66"/>
      <c r="CLA48" s="66"/>
      <c r="CLB48" s="66"/>
      <c r="CLC48" s="66"/>
      <c r="CLD48" s="66"/>
      <c r="CLE48" s="66"/>
      <c r="CLF48" s="66"/>
      <c r="CLG48" s="66"/>
      <c r="CLH48" s="66"/>
      <c r="CLI48" s="66"/>
      <c r="CLJ48" s="66"/>
      <c r="CLK48" s="66"/>
      <c r="CLL48" s="66"/>
      <c r="CLM48" s="66"/>
      <c r="CLN48" s="66"/>
      <c r="CLO48" s="66"/>
      <c r="CLP48" s="66"/>
      <c r="CLQ48" s="66"/>
      <c r="CLR48" s="66"/>
      <c r="CLS48" s="66"/>
      <c r="CLT48" s="66"/>
      <c r="CLU48" s="66"/>
      <c r="CLV48" s="66"/>
      <c r="CLW48" s="66"/>
      <c r="CLX48" s="66"/>
      <c r="CLY48" s="66"/>
      <c r="CLZ48" s="66"/>
      <c r="CMA48" s="66"/>
      <c r="CMB48" s="66"/>
      <c r="CMC48" s="66"/>
      <c r="CMD48" s="66"/>
      <c r="CME48" s="66"/>
      <c r="CMF48" s="66"/>
      <c r="CMG48" s="66"/>
      <c r="CMH48" s="66"/>
      <c r="CMI48" s="66"/>
      <c r="CMJ48" s="66"/>
      <c r="CMK48" s="66"/>
      <c r="CML48" s="66"/>
      <c r="CMM48" s="66"/>
      <c r="CMN48" s="66"/>
      <c r="CMO48" s="66"/>
      <c r="CMP48" s="66"/>
      <c r="CMQ48" s="66"/>
      <c r="CMR48" s="66"/>
      <c r="CMS48" s="66"/>
      <c r="CMT48" s="66"/>
      <c r="CMU48" s="66"/>
      <c r="CMV48" s="66"/>
      <c r="CMW48" s="66"/>
      <c r="CMX48" s="66"/>
      <c r="CMY48" s="66"/>
      <c r="CMZ48" s="66"/>
      <c r="CNA48" s="66"/>
      <c r="CNB48" s="66"/>
      <c r="CNC48" s="66"/>
      <c r="CND48" s="66"/>
      <c r="CNE48" s="66"/>
      <c r="CNF48" s="66"/>
      <c r="CNG48" s="66"/>
      <c r="CNH48" s="66"/>
      <c r="CNI48" s="66"/>
      <c r="CNJ48" s="66"/>
      <c r="CNK48" s="66"/>
      <c r="CNL48" s="66"/>
      <c r="CNM48" s="66"/>
      <c r="CNN48" s="66"/>
      <c r="CNO48" s="66"/>
      <c r="CNP48" s="66"/>
      <c r="CNQ48" s="66"/>
      <c r="CNR48" s="66"/>
      <c r="CNS48" s="66"/>
      <c r="CNT48" s="66"/>
      <c r="CNU48" s="66"/>
      <c r="CNV48" s="66"/>
      <c r="CNW48" s="66"/>
      <c r="CNX48" s="66"/>
      <c r="CNY48" s="66"/>
      <c r="CNZ48" s="66"/>
      <c r="COA48" s="66"/>
      <c r="COB48" s="66"/>
      <c r="COC48" s="66"/>
      <c r="COD48" s="66"/>
      <c r="COE48" s="66"/>
      <c r="COF48" s="66"/>
      <c r="COG48" s="66"/>
      <c r="COH48" s="66"/>
      <c r="COI48" s="66"/>
      <c r="COJ48" s="66"/>
      <c r="COK48" s="66"/>
      <c r="COL48" s="66"/>
      <c r="COM48" s="66"/>
      <c r="CON48" s="66"/>
      <c r="COO48" s="66"/>
      <c r="COP48" s="66"/>
      <c r="COQ48" s="66"/>
      <c r="COR48" s="66"/>
      <c r="COS48" s="66"/>
      <c r="COT48" s="66"/>
      <c r="COU48" s="66"/>
      <c r="COV48" s="66"/>
      <c r="COW48" s="66"/>
      <c r="COX48" s="66"/>
      <c r="COY48" s="66"/>
      <c r="COZ48" s="66"/>
      <c r="CPA48" s="66"/>
      <c r="CPB48" s="66"/>
      <c r="CPC48" s="66"/>
      <c r="CPD48" s="66"/>
      <c r="CPE48" s="66"/>
      <c r="CPF48" s="66"/>
      <c r="CPG48" s="66"/>
      <c r="CPH48" s="66"/>
      <c r="CPI48" s="66"/>
      <c r="CPJ48" s="66"/>
      <c r="CPK48" s="66"/>
      <c r="CPL48" s="66"/>
      <c r="CPM48" s="66"/>
      <c r="CPN48" s="66"/>
      <c r="CPO48" s="66"/>
      <c r="CPP48" s="66"/>
      <c r="CPQ48" s="66"/>
      <c r="CPR48" s="66"/>
      <c r="CPS48" s="66"/>
      <c r="CPT48" s="66"/>
      <c r="CPU48" s="66"/>
      <c r="CPV48" s="66"/>
      <c r="CPW48" s="66"/>
      <c r="CPX48" s="66"/>
      <c r="CPY48" s="66"/>
      <c r="CPZ48" s="66"/>
      <c r="CQA48" s="66"/>
      <c r="CQB48" s="66"/>
      <c r="CQC48" s="66"/>
      <c r="CQD48" s="66"/>
      <c r="CQE48" s="66"/>
      <c r="CQF48" s="66"/>
      <c r="CQG48" s="66"/>
      <c r="CQH48" s="66"/>
      <c r="CQI48" s="66"/>
      <c r="CQJ48" s="66"/>
      <c r="CQK48" s="66"/>
      <c r="CQL48" s="66"/>
      <c r="CQM48" s="66"/>
      <c r="CQN48" s="66"/>
      <c r="CQO48" s="66"/>
      <c r="CQP48" s="66"/>
      <c r="CQQ48" s="66"/>
      <c r="CQR48" s="66"/>
      <c r="CQS48" s="66"/>
      <c r="CQT48" s="66"/>
      <c r="CQU48" s="66"/>
      <c r="CQV48" s="66"/>
      <c r="CQW48" s="66"/>
      <c r="CQX48" s="66"/>
      <c r="CQY48" s="66"/>
      <c r="CQZ48" s="66"/>
      <c r="CRA48" s="66"/>
      <c r="CRB48" s="66"/>
      <c r="CRC48" s="66"/>
      <c r="CRD48" s="66"/>
      <c r="CRE48" s="66"/>
      <c r="CRF48" s="66"/>
      <c r="CRG48" s="66"/>
      <c r="CRH48" s="66"/>
      <c r="CRI48" s="66"/>
      <c r="CRJ48" s="66"/>
      <c r="CRK48" s="66"/>
      <c r="CRL48" s="66"/>
      <c r="CRM48" s="66"/>
      <c r="CRN48" s="66"/>
      <c r="CRO48" s="66"/>
      <c r="CRP48" s="66"/>
      <c r="CRQ48" s="66"/>
      <c r="CRR48" s="66"/>
      <c r="CRS48" s="66"/>
      <c r="CRT48" s="66"/>
      <c r="CRU48" s="66"/>
      <c r="CRV48" s="66"/>
      <c r="CRW48" s="66"/>
      <c r="CRX48" s="66"/>
      <c r="CRY48" s="66"/>
      <c r="CRZ48" s="66"/>
      <c r="CSA48" s="66"/>
      <c r="CSB48" s="66"/>
      <c r="CSC48" s="66"/>
      <c r="CSD48" s="66"/>
      <c r="CSE48" s="66"/>
      <c r="CSF48" s="66"/>
      <c r="CSG48" s="66"/>
      <c r="CSH48" s="66"/>
      <c r="CSI48" s="66"/>
      <c r="CSJ48" s="66"/>
      <c r="CSK48" s="66"/>
      <c r="CSL48" s="66"/>
      <c r="CSM48" s="66"/>
      <c r="CSN48" s="66"/>
      <c r="CSO48" s="66"/>
      <c r="CSP48" s="66"/>
      <c r="CSQ48" s="66"/>
      <c r="CSR48" s="66"/>
      <c r="CSS48" s="66"/>
      <c r="CST48" s="66"/>
      <c r="CSU48" s="66"/>
      <c r="CSV48" s="66"/>
      <c r="CSW48" s="66"/>
      <c r="CSX48" s="66"/>
      <c r="CSY48" s="66"/>
      <c r="CSZ48" s="66"/>
      <c r="CTA48" s="66"/>
      <c r="CTB48" s="66"/>
      <c r="CTC48" s="66"/>
      <c r="CTD48" s="66"/>
      <c r="CTE48" s="66"/>
      <c r="CTF48" s="66"/>
      <c r="CTG48" s="66"/>
      <c r="CTH48" s="66"/>
      <c r="CTI48" s="66"/>
      <c r="CTJ48" s="66"/>
      <c r="CTK48" s="66"/>
      <c r="CTL48" s="66"/>
      <c r="CTM48" s="66"/>
      <c r="CTN48" s="66"/>
      <c r="CTO48" s="66"/>
      <c r="CTP48" s="66"/>
      <c r="CTQ48" s="66"/>
      <c r="CTR48" s="66"/>
      <c r="CTS48" s="66"/>
      <c r="CTT48" s="66"/>
      <c r="CTU48" s="66"/>
      <c r="CTV48" s="66"/>
      <c r="CTW48" s="66"/>
      <c r="CTX48" s="66"/>
      <c r="CTY48" s="66"/>
      <c r="CTZ48" s="66"/>
      <c r="CUA48" s="66"/>
      <c r="CUB48" s="66"/>
      <c r="CUC48" s="66"/>
      <c r="CUD48" s="66"/>
      <c r="CUE48" s="66"/>
      <c r="CUF48" s="66"/>
      <c r="CUG48" s="66"/>
      <c r="CUH48" s="66"/>
      <c r="CUI48" s="66"/>
      <c r="CUJ48" s="66"/>
      <c r="CUK48" s="66"/>
      <c r="CUL48" s="66"/>
      <c r="CUM48" s="66"/>
      <c r="CUN48" s="66"/>
      <c r="CUO48" s="66"/>
      <c r="CUP48" s="66"/>
      <c r="CUQ48" s="66"/>
      <c r="CUR48" s="66"/>
      <c r="CUS48" s="66"/>
      <c r="CUT48" s="66"/>
      <c r="CUU48" s="66"/>
      <c r="CUV48" s="66"/>
      <c r="CUW48" s="66"/>
      <c r="CUX48" s="66"/>
      <c r="CUY48" s="66"/>
      <c r="CUZ48" s="66"/>
      <c r="CVA48" s="66"/>
      <c r="CVB48" s="66"/>
      <c r="CVC48" s="66"/>
      <c r="CVD48" s="66"/>
      <c r="CVE48" s="66"/>
      <c r="CVF48" s="66"/>
      <c r="CVG48" s="66"/>
      <c r="CVH48" s="66"/>
      <c r="CVI48" s="66"/>
      <c r="CVJ48" s="66"/>
      <c r="CVK48" s="66"/>
      <c r="CVL48" s="66"/>
      <c r="CVM48" s="66"/>
      <c r="CVN48" s="66"/>
      <c r="CVO48" s="66"/>
      <c r="CVP48" s="66"/>
      <c r="CVQ48" s="66"/>
      <c r="CVR48" s="66"/>
      <c r="CVS48" s="66"/>
      <c r="CVT48" s="66"/>
      <c r="CVU48" s="66"/>
      <c r="CVV48" s="66"/>
      <c r="CVW48" s="66"/>
      <c r="CVX48" s="66"/>
      <c r="CVY48" s="66"/>
      <c r="CVZ48" s="66"/>
      <c r="CWA48" s="66"/>
      <c r="CWB48" s="66"/>
      <c r="CWC48" s="66"/>
      <c r="CWD48" s="66"/>
      <c r="CWE48" s="66"/>
      <c r="CWF48" s="66"/>
      <c r="CWG48" s="66"/>
      <c r="CWH48" s="66"/>
      <c r="CWI48" s="66"/>
      <c r="CWJ48" s="66"/>
      <c r="CWK48" s="66"/>
      <c r="CWL48" s="66"/>
      <c r="CWM48" s="66"/>
      <c r="CWN48" s="66"/>
      <c r="CWO48" s="66"/>
      <c r="CWP48" s="66"/>
      <c r="CWQ48" s="66"/>
      <c r="CWR48" s="66"/>
      <c r="CWS48" s="66"/>
      <c r="CWT48" s="66"/>
      <c r="CWU48" s="66"/>
      <c r="CWV48" s="66"/>
      <c r="CWW48" s="66"/>
      <c r="CWX48" s="66"/>
      <c r="CWY48" s="66"/>
      <c r="CWZ48" s="66"/>
      <c r="CXA48" s="66"/>
      <c r="CXB48" s="66"/>
      <c r="CXC48" s="66"/>
      <c r="CXD48" s="66"/>
      <c r="CXE48" s="66"/>
      <c r="CXF48" s="66"/>
      <c r="CXG48" s="66"/>
      <c r="CXH48" s="66"/>
      <c r="CXI48" s="66"/>
      <c r="CXJ48" s="66"/>
      <c r="CXK48" s="66"/>
      <c r="CXL48" s="66"/>
      <c r="CXM48" s="66"/>
      <c r="CXN48" s="66"/>
      <c r="CXO48" s="66"/>
      <c r="CXP48" s="66"/>
      <c r="CXQ48" s="66"/>
      <c r="CXR48" s="66"/>
      <c r="CXS48" s="66"/>
      <c r="CXT48" s="66"/>
      <c r="CXU48" s="66"/>
      <c r="CXV48" s="66"/>
      <c r="CXW48" s="66"/>
      <c r="CXX48" s="66"/>
      <c r="CXY48" s="66"/>
      <c r="CXZ48" s="66"/>
      <c r="CYA48" s="66"/>
      <c r="CYB48" s="66"/>
      <c r="CYC48" s="66"/>
      <c r="CYD48" s="66"/>
      <c r="CYE48" s="66"/>
      <c r="CYF48" s="66"/>
      <c r="CYG48" s="66"/>
      <c r="CYH48" s="66"/>
      <c r="CYI48" s="66"/>
      <c r="CYJ48" s="66"/>
      <c r="CYK48" s="66"/>
      <c r="CYL48" s="66"/>
      <c r="CYM48" s="66"/>
      <c r="CYN48" s="66"/>
      <c r="CYO48" s="66"/>
      <c r="CYP48" s="66"/>
      <c r="CYQ48" s="66"/>
      <c r="CYR48" s="66"/>
      <c r="CYS48" s="66"/>
      <c r="CYT48" s="66"/>
      <c r="CYU48" s="66"/>
      <c r="CYV48" s="66"/>
      <c r="CYW48" s="66"/>
      <c r="CYX48" s="66"/>
      <c r="CYY48" s="66"/>
      <c r="CYZ48" s="66"/>
      <c r="CZA48" s="66"/>
      <c r="CZB48" s="66"/>
      <c r="CZC48" s="66"/>
      <c r="CZD48" s="66"/>
      <c r="CZE48" s="66"/>
      <c r="CZF48" s="66"/>
      <c r="CZG48" s="66"/>
      <c r="CZH48" s="66"/>
      <c r="CZI48" s="66"/>
      <c r="CZJ48" s="66"/>
      <c r="CZK48" s="66"/>
      <c r="CZL48" s="66"/>
      <c r="CZM48" s="66"/>
      <c r="CZN48" s="66"/>
      <c r="CZO48" s="66"/>
      <c r="CZP48" s="66"/>
      <c r="CZQ48" s="66"/>
      <c r="CZR48" s="66"/>
      <c r="CZS48" s="66"/>
      <c r="CZT48" s="66"/>
      <c r="CZU48" s="66"/>
      <c r="CZV48" s="66"/>
      <c r="CZW48" s="66"/>
      <c r="CZX48" s="66"/>
      <c r="CZY48" s="66"/>
      <c r="CZZ48" s="66"/>
      <c r="DAA48" s="66"/>
      <c r="DAB48" s="66"/>
      <c r="DAC48" s="66"/>
      <c r="DAD48" s="66"/>
      <c r="DAE48" s="66"/>
      <c r="DAF48" s="66"/>
      <c r="DAG48" s="66"/>
      <c r="DAH48" s="66"/>
      <c r="DAI48" s="66"/>
      <c r="DAJ48" s="66"/>
      <c r="DAK48" s="66"/>
      <c r="DAL48" s="66"/>
      <c r="DAM48" s="66"/>
      <c r="DAN48" s="66"/>
      <c r="DAO48" s="66"/>
      <c r="DAP48" s="66"/>
      <c r="DAQ48" s="66"/>
      <c r="DAR48" s="66"/>
      <c r="DAS48" s="66"/>
      <c r="DAT48" s="66"/>
      <c r="DAU48" s="66"/>
      <c r="DAV48" s="66"/>
      <c r="DAW48" s="66"/>
      <c r="DAX48" s="66"/>
      <c r="DAY48" s="66"/>
      <c r="DAZ48" s="66"/>
      <c r="DBA48" s="66"/>
      <c r="DBB48" s="66"/>
      <c r="DBC48" s="66"/>
      <c r="DBD48" s="66"/>
      <c r="DBE48" s="66"/>
      <c r="DBF48" s="66"/>
      <c r="DBG48" s="66"/>
      <c r="DBH48" s="66"/>
      <c r="DBI48" s="66"/>
      <c r="DBJ48" s="66"/>
      <c r="DBK48" s="66"/>
      <c r="DBL48" s="66"/>
      <c r="DBM48" s="66"/>
      <c r="DBN48" s="66"/>
      <c r="DBO48" s="66"/>
      <c r="DBP48" s="66"/>
      <c r="DBQ48" s="66"/>
      <c r="DBR48" s="66"/>
      <c r="DBS48" s="66"/>
      <c r="DBT48" s="66"/>
      <c r="DBU48" s="66"/>
      <c r="DBV48" s="66"/>
      <c r="DBW48" s="66"/>
      <c r="DBX48" s="66"/>
      <c r="DBY48" s="66"/>
      <c r="DBZ48" s="66"/>
      <c r="DCA48" s="66"/>
      <c r="DCB48" s="66"/>
      <c r="DCC48" s="66"/>
      <c r="DCD48" s="66"/>
      <c r="DCE48" s="66"/>
      <c r="DCF48" s="66"/>
      <c r="DCG48" s="66"/>
      <c r="DCH48" s="66"/>
      <c r="DCI48" s="66"/>
      <c r="DCJ48" s="66"/>
      <c r="DCK48" s="66"/>
      <c r="DCL48" s="66"/>
      <c r="DCM48" s="66"/>
      <c r="DCN48" s="66"/>
      <c r="DCO48" s="66"/>
      <c r="DCP48" s="66"/>
      <c r="DCQ48" s="66"/>
      <c r="DCR48" s="66"/>
      <c r="DCS48" s="66"/>
      <c r="DCT48" s="66"/>
      <c r="DCU48" s="66"/>
      <c r="DCV48" s="66"/>
      <c r="DCW48" s="66"/>
      <c r="DCX48" s="66"/>
      <c r="DCY48" s="66"/>
      <c r="DCZ48" s="66"/>
      <c r="DDA48" s="66"/>
      <c r="DDB48" s="66"/>
      <c r="DDC48" s="66"/>
      <c r="DDD48" s="66"/>
      <c r="DDE48" s="66"/>
      <c r="DDF48" s="66"/>
      <c r="DDG48" s="66"/>
      <c r="DDH48" s="66"/>
      <c r="DDI48" s="66"/>
      <c r="DDJ48" s="66"/>
      <c r="DDK48" s="66"/>
      <c r="DDL48" s="66"/>
      <c r="DDM48" s="66"/>
      <c r="DDN48" s="66"/>
      <c r="DDO48" s="66"/>
      <c r="DDP48" s="66"/>
      <c r="DDQ48" s="66"/>
      <c r="DDR48" s="66"/>
      <c r="DDS48" s="66"/>
      <c r="DDT48" s="66"/>
      <c r="DDU48" s="66"/>
      <c r="DDV48" s="66"/>
      <c r="DDW48" s="66"/>
      <c r="DDX48" s="66"/>
      <c r="DDY48" s="66"/>
      <c r="DDZ48" s="66"/>
      <c r="DEA48" s="66"/>
      <c r="DEB48" s="66"/>
      <c r="DEC48" s="66"/>
      <c r="DED48" s="66"/>
      <c r="DEE48" s="66"/>
      <c r="DEF48" s="66"/>
      <c r="DEG48" s="66"/>
      <c r="DEH48" s="66"/>
      <c r="DEI48" s="66"/>
      <c r="DEJ48" s="66"/>
      <c r="DEK48" s="66"/>
      <c r="DEL48" s="66"/>
      <c r="DEM48" s="66"/>
      <c r="DEN48" s="66"/>
      <c r="DEO48" s="66"/>
      <c r="DEP48" s="66"/>
      <c r="DEQ48" s="66"/>
      <c r="DER48" s="66"/>
      <c r="DES48" s="66"/>
      <c r="DET48" s="66"/>
      <c r="DEU48" s="66"/>
      <c r="DEV48" s="66"/>
      <c r="DEW48" s="66"/>
      <c r="DEX48" s="66"/>
      <c r="DEY48" s="66"/>
      <c r="DEZ48" s="66"/>
      <c r="DFA48" s="66"/>
      <c r="DFB48" s="66"/>
      <c r="DFC48" s="66"/>
      <c r="DFD48" s="66"/>
      <c r="DFE48" s="66"/>
      <c r="DFF48" s="66"/>
      <c r="DFG48" s="66"/>
      <c r="DFH48" s="66"/>
      <c r="DFI48" s="66"/>
      <c r="DFJ48" s="66"/>
      <c r="DFK48" s="66"/>
      <c r="DFL48" s="66"/>
      <c r="DFM48" s="66"/>
      <c r="DFN48" s="66"/>
      <c r="DFO48" s="66"/>
      <c r="DFP48" s="66"/>
      <c r="DFQ48" s="66"/>
      <c r="DFR48" s="66"/>
      <c r="DFS48" s="66"/>
      <c r="DFT48" s="66"/>
      <c r="DFU48" s="66"/>
      <c r="DFV48" s="66"/>
      <c r="DFW48" s="66"/>
      <c r="DFX48" s="66"/>
      <c r="DFY48" s="66"/>
      <c r="DFZ48" s="66"/>
      <c r="DGA48" s="66"/>
      <c r="DGB48" s="66"/>
      <c r="DGC48" s="66"/>
      <c r="DGD48" s="66"/>
      <c r="DGE48" s="66"/>
      <c r="DGF48" s="66"/>
      <c r="DGG48" s="66"/>
      <c r="DGH48" s="66"/>
      <c r="DGI48" s="66"/>
      <c r="DGJ48" s="66"/>
      <c r="DGK48" s="66"/>
      <c r="DGL48" s="66"/>
      <c r="DGM48" s="66"/>
      <c r="DGN48" s="66"/>
      <c r="DGO48" s="66"/>
      <c r="DGP48" s="66"/>
      <c r="DGQ48" s="66"/>
      <c r="DGR48" s="66"/>
      <c r="DGS48" s="66"/>
      <c r="DGT48" s="66"/>
      <c r="DGU48" s="66"/>
      <c r="DGV48" s="66"/>
      <c r="DGW48" s="66"/>
      <c r="DGX48" s="66"/>
      <c r="DGY48" s="66"/>
      <c r="DGZ48" s="66"/>
      <c r="DHA48" s="66"/>
      <c r="DHB48" s="66"/>
      <c r="DHC48" s="66"/>
      <c r="DHD48" s="66"/>
      <c r="DHE48" s="66"/>
      <c r="DHF48" s="66"/>
      <c r="DHG48" s="66"/>
      <c r="DHH48" s="66"/>
      <c r="DHI48" s="66"/>
      <c r="DHJ48" s="66"/>
      <c r="DHK48" s="66"/>
      <c r="DHL48" s="66"/>
      <c r="DHM48" s="66"/>
      <c r="DHN48" s="66"/>
      <c r="DHO48" s="66"/>
      <c r="DHP48" s="66"/>
      <c r="DHQ48" s="66"/>
      <c r="DHR48" s="66"/>
      <c r="DHS48" s="66"/>
      <c r="DHT48" s="66"/>
      <c r="DHU48" s="66"/>
      <c r="DHV48" s="66"/>
      <c r="DHW48" s="66"/>
      <c r="DHX48" s="66"/>
      <c r="DHY48" s="66"/>
      <c r="DHZ48" s="66"/>
      <c r="DIA48" s="66"/>
      <c r="DIB48" s="66"/>
      <c r="DIC48" s="66"/>
      <c r="DID48" s="66"/>
      <c r="DIE48" s="66"/>
      <c r="DIF48" s="66"/>
      <c r="DIG48" s="66"/>
      <c r="DIH48" s="66"/>
      <c r="DII48" s="66"/>
      <c r="DIJ48" s="66"/>
      <c r="DIK48" s="66"/>
      <c r="DIL48" s="66"/>
      <c r="DIM48" s="66"/>
      <c r="DIN48" s="66"/>
      <c r="DIO48" s="66"/>
      <c r="DIP48" s="66"/>
      <c r="DIQ48" s="66"/>
      <c r="DIR48" s="66"/>
      <c r="DIS48" s="66"/>
      <c r="DIT48" s="66"/>
      <c r="DIU48" s="66"/>
      <c r="DIV48" s="66"/>
      <c r="DIW48" s="66"/>
      <c r="DIX48" s="66"/>
      <c r="DIY48" s="66"/>
      <c r="DIZ48" s="66"/>
      <c r="DJA48" s="66"/>
      <c r="DJB48" s="66"/>
      <c r="DJC48" s="66"/>
      <c r="DJD48" s="66"/>
      <c r="DJE48" s="66"/>
      <c r="DJF48" s="66"/>
      <c r="DJG48" s="66"/>
      <c r="DJH48" s="66"/>
      <c r="DJI48" s="66"/>
      <c r="DJJ48" s="66"/>
      <c r="DJK48" s="66"/>
      <c r="DJL48" s="66"/>
      <c r="DJM48" s="66"/>
      <c r="DJN48" s="66"/>
      <c r="DJO48" s="66"/>
      <c r="DJP48" s="66"/>
      <c r="DJQ48" s="66"/>
      <c r="DJR48" s="66"/>
      <c r="DJS48" s="66"/>
      <c r="DJT48" s="66"/>
      <c r="DJU48" s="66"/>
      <c r="DJV48" s="66"/>
      <c r="DJW48" s="66"/>
      <c r="DJX48" s="66"/>
      <c r="DJY48" s="66"/>
      <c r="DJZ48" s="66"/>
      <c r="DKA48" s="66"/>
      <c r="DKB48" s="66"/>
      <c r="DKC48" s="66"/>
      <c r="DKD48" s="66"/>
      <c r="DKE48" s="66"/>
      <c r="DKF48" s="66"/>
      <c r="DKG48" s="66"/>
      <c r="DKH48" s="66"/>
      <c r="DKI48" s="66"/>
      <c r="DKJ48" s="66"/>
      <c r="DKK48" s="66"/>
      <c r="DKL48" s="66"/>
      <c r="DKM48" s="66"/>
      <c r="DKN48" s="66"/>
      <c r="DKO48" s="66"/>
      <c r="DKP48" s="66"/>
      <c r="DKQ48" s="66"/>
      <c r="DKR48" s="66"/>
      <c r="DKS48" s="66"/>
      <c r="DKT48" s="66"/>
      <c r="DKU48" s="66"/>
      <c r="DKV48" s="66"/>
      <c r="DKW48" s="66"/>
      <c r="DKX48" s="66"/>
      <c r="DKY48" s="66"/>
      <c r="DKZ48" s="66"/>
      <c r="DLA48" s="66"/>
      <c r="DLB48" s="66"/>
      <c r="DLC48" s="66"/>
      <c r="DLD48" s="66"/>
      <c r="DLE48" s="66"/>
      <c r="DLF48" s="66"/>
      <c r="DLG48" s="66"/>
      <c r="DLH48" s="66"/>
      <c r="DLI48" s="66"/>
      <c r="DLJ48" s="66"/>
      <c r="DLK48" s="66"/>
      <c r="DLL48" s="66"/>
      <c r="DLM48" s="66"/>
      <c r="DLN48" s="66"/>
      <c r="DLO48" s="66"/>
      <c r="DLP48" s="66"/>
      <c r="DLQ48" s="66"/>
      <c r="DLR48" s="66"/>
      <c r="DLS48" s="66"/>
      <c r="DLT48" s="66"/>
      <c r="DLU48" s="66"/>
      <c r="DLV48" s="66"/>
      <c r="DLW48" s="66"/>
      <c r="DLX48" s="66"/>
      <c r="DLY48" s="66"/>
      <c r="DLZ48" s="66"/>
      <c r="DMA48" s="66"/>
      <c r="DMB48" s="66"/>
      <c r="DMC48" s="66"/>
      <c r="DMD48" s="66"/>
      <c r="DME48" s="66"/>
      <c r="DMF48" s="66"/>
      <c r="DMG48" s="66"/>
      <c r="DMH48" s="66"/>
      <c r="DMI48" s="66"/>
      <c r="DMJ48" s="66"/>
      <c r="DMK48" s="66"/>
      <c r="DML48" s="66"/>
      <c r="DMM48" s="66"/>
      <c r="DMN48" s="66"/>
      <c r="DMO48" s="66"/>
      <c r="DMP48" s="66"/>
      <c r="DMQ48" s="66"/>
      <c r="DMR48" s="66"/>
      <c r="DMS48" s="66"/>
      <c r="DMT48" s="66"/>
      <c r="DMU48" s="66"/>
      <c r="DMV48" s="66"/>
      <c r="DMW48" s="66"/>
      <c r="DMX48" s="66"/>
      <c r="DMY48" s="66"/>
      <c r="DMZ48" s="66"/>
      <c r="DNA48" s="66"/>
      <c r="DNB48" s="66"/>
      <c r="DNC48" s="66"/>
      <c r="DND48" s="66"/>
      <c r="DNE48" s="66"/>
      <c r="DNF48" s="66"/>
      <c r="DNG48" s="66"/>
      <c r="DNH48" s="66"/>
      <c r="DNI48" s="66"/>
      <c r="DNJ48" s="66"/>
      <c r="DNK48" s="66"/>
      <c r="DNL48" s="66"/>
      <c r="DNM48" s="66"/>
      <c r="DNN48" s="66"/>
      <c r="DNO48" s="66"/>
      <c r="DNP48" s="66"/>
      <c r="DNQ48" s="66"/>
      <c r="DNR48" s="66"/>
      <c r="DNS48" s="66"/>
      <c r="DNT48" s="66"/>
      <c r="DNU48" s="66"/>
      <c r="DNV48" s="66"/>
      <c r="DNW48" s="66"/>
      <c r="DNX48" s="66"/>
      <c r="DNY48" s="66"/>
      <c r="DNZ48" s="66"/>
      <c r="DOA48" s="66"/>
      <c r="DOB48" s="66"/>
      <c r="DOC48" s="66"/>
      <c r="DOD48" s="66"/>
      <c r="DOE48" s="66"/>
      <c r="DOF48" s="66"/>
      <c r="DOG48" s="66"/>
      <c r="DOH48" s="66"/>
      <c r="DOI48" s="66"/>
      <c r="DOJ48" s="66"/>
      <c r="DOK48" s="66"/>
      <c r="DOL48" s="66"/>
      <c r="DOM48" s="66"/>
      <c r="DON48" s="66"/>
      <c r="DOO48" s="66"/>
      <c r="DOP48" s="66"/>
      <c r="DOQ48" s="66"/>
      <c r="DOR48" s="66"/>
      <c r="DOS48" s="66"/>
      <c r="DOT48" s="66"/>
      <c r="DOU48" s="66"/>
      <c r="DOV48" s="66"/>
      <c r="DOW48" s="66"/>
      <c r="DOX48" s="66"/>
      <c r="DOY48" s="66"/>
      <c r="DOZ48" s="66"/>
      <c r="DPA48" s="66"/>
      <c r="DPB48" s="66"/>
      <c r="DPC48" s="66"/>
      <c r="DPD48" s="66"/>
      <c r="DPE48" s="66"/>
      <c r="DPF48" s="66"/>
      <c r="DPG48" s="66"/>
      <c r="DPH48" s="66"/>
      <c r="DPI48" s="66"/>
      <c r="DPJ48" s="66"/>
      <c r="DPK48" s="66"/>
      <c r="DPL48" s="66"/>
      <c r="DPM48" s="66"/>
      <c r="DPN48" s="66"/>
      <c r="DPO48" s="66"/>
      <c r="DPP48" s="66"/>
      <c r="DPQ48" s="66"/>
      <c r="DPR48" s="66"/>
      <c r="DPS48" s="66"/>
      <c r="DPT48" s="66"/>
      <c r="DPU48" s="66"/>
      <c r="DPV48" s="66"/>
      <c r="DPW48" s="66"/>
      <c r="DPX48" s="66"/>
      <c r="DPY48" s="66"/>
      <c r="DPZ48" s="66"/>
      <c r="DQA48" s="66"/>
      <c r="DQB48" s="66"/>
      <c r="DQC48" s="66"/>
      <c r="DQD48" s="66"/>
      <c r="DQE48" s="66"/>
      <c r="DQF48" s="66"/>
      <c r="DQG48" s="66"/>
      <c r="DQH48" s="66"/>
      <c r="DQI48" s="66"/>
      <c r="DQJ48" s="66"/>
      <c r="DQK48" s="66"/>
      <c r="DQL48" s="66"/>
      <c r="DQM48" s="66"/>
      <c r="DQN48" s="66"/>
      <c r="DQO48" s="66"/>
      <c r="DQP48" s="66"/>
      <c r="DQQ48" s="66"/>
      <c r="DQR48" s="66"/>
      <c r="DQS48" s="66"/>
      <c r="DQT48" s="66"/>
      <c r="DQU48" s="66"/>
      <c r="DQV48" s="66"/>
      <c r="DQW48" s="66"/>
      <c r="DQX48" s="66"/>
      <c r="DQY48" s="66"/>
      <c r="DQZ48" s="66"/>
      <c r="DRA48" s="66"/>
      <c r="DRB48" s="66"/>
      <c r="DRC48" s="66"/>
      <c r="DRD48" s="66"/>
      <c r="DRE48" s="66"/>
      <c r="DRF48" s="66"/>
      <c r="DRG48" s="66"/>
      <c r="DRH48" s="66"/>
      <c r="DRI48" s="66"/>
      <c r="DRJ48" s="66"/>
      <c r="DRK48" s="66"/>
      <c r="DRL48" s="66"/>
      <c r="DRM48" s="66"/>
      <c r="DRN48" s="66"/>
      <c r="DRO48" s="66"/>
      <c r="DRP48" s="66"/>
      <c r="DRQ48" s="66"/>
      <c r="DRR48" s="66"/>
      <c r="DRS48" s="66"/>
      <c r="DRT48" s="66"/>
      <c r="DRU48" s="66"/>
      <c r="DRV48" s="66"/>
      <c r="DRW48" s="66"/>
      <c r="DRX48" s="66"/>
      <c r="DRY48" s="66"/>
      <c r="DRZ48" s="66"/>
      <c r="DSA48" s="66"/>
      <c r="DSB48" s="66"/>
      <c r="DSC48" s="66"/>
      <c r="DSD48" s="66"/>
      <c r="DSE48" s="66"/>
      <c r="DSF48" s="66"/>
      <c r="DSG48" s="66"/>
      <c r="DSH48" s="66"/>
      <c r="DSI48" s="66"/>
      <c r="DSJ48" s="66"/>
      <c r="DSK48" s="66"/>
      <c r="DSL48" s="66"/>
      <c r="DSM48" s="66"/>
      <c r="DSN48" s="66"/>
      <c r="DSO48" s="66"/>
      <c r="DSP48" s="66"/>
      <c r="DSQ48" s="66"/>
      <c r="DSR48" s="66"/>
      <c r="DSS48" s="66"/>
      <c r="DST48" s="66"/>
      <c r="DSU48" s="66"/>
      <c r="DSV48" s="66"/>
      <c r="DSW48" s="66"/>
      <c r="DSX48" s="66"/>
      <c r="DSY48" s="66"/>
      <c r="DSZ48" s="66"/>
      <c r="DTA48" s="66"/>
      <c r="DTB48" s="66"/>
      <c r="DTC48" s="66"/>
      <c r="DTD48" s="66"/>
      <c r="DTE48" s="66"/>
      <c r="DTF48" s="66"/>
      <c r="DTG48" s="66"/>
      <c r="DTH48" s="66"/>
      <c r="DTI48" s="66"/>
      <c r="DTJ48" s="66"/>
      <c r="DTK48" s="66"/>
      <c r="DTL48" s="66"/>
      <c r="DTM48" s="66"/>
      <c r="DTN48" s="66"/>
      <c r="DTO48" s="66"/>
      <c r="DTP48" s="66"/>
      <c r="DTQ48" s="66"/>
      <c r="DTR48" s="66"/>
      <c r="DTS48" s="66"/>
      <c r="DTT48" s="66"/>
      <c r="DTU48" s="66"/>
      <c r="DTV48" s="66"/>
      <c r="DTW48" s="66"/>
      <c r="DTX48" s="66"/>
      <c r="DTY48" s="66"/>
      <c r="DTZ48" s="66"/>
      <c r="DUA48" s="66"/>
      <c r="DUB48" s="66"/>
      <c r="DUC48" s="66"/>
      <c r="DUD48" s="66"/>
      <c r="DUE48" s="66"/>
      <c r="DUF48" s="66"/>
      <c r="DUG48" s="66"/>
      <c r="DUH48" s="66"/>
      <c r="DUI48" s="66"/>
      <c r="DUJ48" s="66"/>
      <c r="DUK48" s="66"/>
      <c r="DUL48" s="66"/>
      <c r="DUM48" s="66"/>
      <c r="DUN48" s="66"/>
      <c r="DUO48" s="66"/>
      <c r="DUP48" s="66"/>
      <c r="DUQ48" s="66"/>
      <c r="DUR48" s="66"/>
      <c r="DUS48" s="66"/>
      <c r="DUT48" s="66"/>
      <c r="DUU48" s="66"/>
      <c r="DUV48" s="66"/>
      <c r="DUW48" s="66"/>
      <c r="DUX48" s="66"/>
      <c r="DUY48" s="66"/>
      <c r="DUZ48" s="66"/>
      <c r="DVA48" s="66"/>
      <c r="DVB48" s="66"/>
      <c r="DVC48" s="66"/>
      <c r="DVD48" s="66"/>
      <c r="DVE48" s="66"/>
      <c r="DVF48" s="66"/>
      <c r="DVG48" s="66"/>
      <c r="DVH48" s="66"/>
      <c r="DVI48" s="66"/>
      <c r="DVJ48" s="66"/>
      <c r="DVK48" s="66"/>
      <c r="DVL48" s="66"/>
      <c r="DVM48" s="66"/>
      <c r="DVN48" s="66"/>
      <c r="DVO48" s="66"/>
      <c r="DVP48" s="66"/>
      <c r="DVQ48" s="66"/>
      <c r="DVR48" s="66"/>
      <c r="DVS48" s="66"/>
      <c r="DVT48" s="66"/>
      <c r="DVU48" s="66"/>
      <c r="DVV48" s="66"/>
      <c r="DVW48" s="66"/>
      <c r="DVX48" s="66"/>
      <c r="DVY48" s="66"/>
      <c r="DVZ48" s="66"/>
      <c r="DWA48" s="66"/>
      <c r="DWB48" s="66"/>
      <c r="DWC48" s="66"/>
      <c r="DWD48" s="66"/>
      <c r="DWE48" s="66"/>
      <c r="DWF48" s="66"/>
      <c r="DWG48" s="66"/>
      <c r="DWH48" s="66"/>
      <c r="DWI48" s="66"/>
      <c r="DWJ48" s="66"/>
      <c r="DWK48" s="66"/>
      <c r="DWL48" s="66"/>
      <c r="DWM48" s="66"/>
      <c r="DWN48" s="66"/>
      <c r="DWO48" s="66"/>
      <c r="DWP48" s="66"/>
      <c r="DWQ48" s="66"/>
      <c r="DWR48" s="66"/>
      <c r="DWS48" s="66"/>
      <c r="DWT48" s="66"/>
      <c r="DWU48" s="66"/>
      <c r="DWV48" s="66"/>
      <c r="DWW48" s="66"/>
      <c r="DWX48" s="66"/>
      <c r="DWY48" s="66"/>
      <c r="DWZ48" s="66"/>
      <c r="DXA48" s="66"/>
      <c r="DXB48" s="66"/>
      <c r="DXC48" s="66"/>
      <c r="DXD48" s="66"/>
      <c r="DXE48" s="66"/>
      <c r="DXF48" s="66"/>
      <c r="DXG48" s="66"/>
      <c r="DXH48" s="66"/>
      <c r="DXI48" s="66"/>
      <c r="DXJ48" s="66"/>
      <c r="DXK48" s="66"/>
      <c r="DXL48" s="66"/>
      <c r="DXM48" s="66"/>
      <c r="DXN48" s="66"/>
      <c r="DXO48" s="66"/>
      <c r="DXP48" s="66"/>
      <c r="DXQ48" s="66"/>
      <c r="DXR48" s="66"/>
      <c r="DXS48" s="66"/>
      <c r="DXT48" s="66"/>
      <c r="DXU48" s="66"/>
      <c r="DXV48" s="66"/>
      <c r="DXW48" s="66"/>
      <c r="DXX48" s="66"/>
      <c r="DXY48" s="66"/>
      <c r="DXZ48" s="66"/>
      <c r="DYA48" s="66"/>
      <c r="DYB48" s="66"/>
      <c r="DYC48" s="66"/>
      <c r="DYD48" s="66"/>
      <c r="DYE48" s="66"/>
      <c r="DYF48" s="66"/>
      <c r="DYG48" s="66"/>
      <c r="DYH48" s="66"/>
      <c r="DYI48" s="66"/>
      <c r="DYJ48" s="66"/>
      <c r="DYK48" s="66"/>
      <c r="DYL48" s="66"/>
      <c r="DYM48" s="66"/>
      <c r="DYN48" s="66"/>
      <c r="DYO48" s="66"/>
      <c r="DYP48" s="66"/>
      <c r="DYQ48" s="66"/>
      <c r="DYR48" s="66"/>
      <c r="DYS48" s="66"/>
      <c r="DYT48" s="66"/>
      <c r="DYU48" s="66"/>
      <c r="DYV48" s="66"/>
      <c r="DYW48" s="66"/>
      <c r="DYX48" s="66"/>
      <c r="DYY48" s="66"/>
      <c r="DYZ48" s="66"/>
      <c r="DZA48" s="66"/>
      <c r="DZB48" s="66"/>
      <c r="DZC48" s="66"/>
      <c r="DZD48" s="66"/>
      <c r="DZE48" s="66"/>
      <c r="DZF48" s="66"/>
      <c r="DZG48" s="66"/>
      <c r="DZH48" s="66"/>
      <c r="DZI48" s="66"/>
      <c r="DZJ48" s="66"/>
      <c r="DZK48" s="66"/>
      <c r="DZL48" s="66"/>
      <c r="DZM48" s="66"/>
      <c r="DZN48" s="66"/>
      <c r="DZO48" s="66"/>
      <c r="DZP48" s="66"/>
      <c r="DZQ48" s="66"/>
      <c r="DZR48" s="66"/>
      <c r="DZS48" s="66"/>
      <c r="DZT48" s="66"/>
      <c r="DZU48" s="66"/>
      <c r="DZV48" s="66"/>
      <c r="DZW48" s="66"/>
      <c r="DZX48" s="66"/>
      <c r="DZY48" s="66"/>
      <c r="DZZ48" s="66"/>
      <c r="EAA48" s="66"/>
      <c r="EAB48" s="66"/>
      <c r="EAC48" s="66"/>
      <c r="EAD48" s="66"/>
      <c r="EAE48" s="66"/>
      <c r="EAF48" s="66"/>
      <c r="EAG48" s="66"/>
      <c r="EAH48" s="66"/>
      <c r="EAI48" s="66"/>
      <c r="EAJ48" s="66"/>
      <c r="EAK48" s="66"/>
      <c r="EAL48" s="66"/>
      <c r="EAM48" s="66"/>
      <c r="EAN48" s="66"/>
      <c r="EAO48" s="66"/>
      <c r="EAP48" s="66"/>
      <c r="EAQ48" s="66"/>
      <c r="EAR48" s="66"/>
      <c r="EAS48" s="66"/>
      <c r="EAT48" s="66"/>
      <c r="EAU48" s="66"/>
      <c r="EAV48" s="66"/>
      <c r="EAW48" s="66"/>
      <c r="EAX48" s="66"/>
      <c r="EAY48" s="66"/>
      <c r="EAZ48" s="66"/>
      <c r="EBA48" s="66"/>
      <c r="EBB48" s="66"/>
      <c r="EBC48" s="66"/>
      <c r="EBD48" s="66"/>
      <c r="EBE48" s="66"/>
      <c r="EBF48" s="66"/>
      <c r="EBG48" s="66"/>
      <c r="EBH48" s="66"/>
      <c r="EBI48" s="66"/>
      <c r="EBJ48" s="66"/>
      <c r="EBK48" s="66"/>
      <c r="EBL48" s="66"/>
      <c r="EBM48" s="66"/>
      <c r="EBN48" s="66"/>
      <c r="EBO48" s="66"/>
      <c r="EBP48" s="66"/>
      <c r="EBQ48" s="66"/>
      <c r="EBR48" s="66"/>
      <c r="EBS48" s="66"/>
      <c r="EBT48" s="66"/>
      <c r="EBU48" s="66"/>
      <c r="EBV48" s="66"/>
      <c r="EBW48" s="66"/>
      <c r="EBX48" s="66"/>
      <c r="EBY48" s="66"/>
      <c r="EBZ48" s="66"/>
      <c r="ECA48" s="66"/>
      <c r="ECB48" s="66"/>
      <c r="ECC48" s="66"/>
      <c r="ECD48" s="66"/>
      <c r="ECE48" s="66"/>
      <c r="ECF48" s="66"/>
      <c r="ECG48" s="66"/>
      <c r="ECH48" s="66"/>
      <c r="ECI48" s="66"/>
      <c r="ECJ48" s="66"/>
      <c r="ECK48" s="66"/>
      <c r="ECL48" s="66"/>
      <c r="ECM48" s="66"/>
      <c r="ECN48" s="66"/>
      <c r="ECO48" s="66"/>
      <c r="ECP48" s="66"/>
      <c r="ECQ48" s="66"/>
      <c r="ECR48" s="66"/>
      <c r="ECS48" s="66"/>
      <c r="ECT48" s="66"/>
      <c r="ECU48" s="66"/>
      <c r="ECV48" s="66"/>
      <c r="ECW48" s="66"/>
      <c r="ECX48" s="66"/>
      <c r="ECY48" s="66"/>
      <c r="ECZ48" s="66"/>
      <c r="EDA48" s="66"/>
      <c r="EDB48" s="66"/>
      <c r="EDC48" s="66"/>
      <c r="EDD48" s="66"/>
      <c r="EDE48" s="66"/>
      <c r="EDF48" s="66"/>
      <c r="EDG48" s="66"/>
      <c r="EDH48" s="66"/>
      <c r="EDI48" s="66"/>
      <c r="EDJ48" s="66"/>
      <c r="EDK48" s="66"/>
      <c r="EDL48" s="66"/>
      <c r="EDM48" s="66"/>
      <c r="EDN48" s="66"/>
      <c r="EDO48" s="66"/>
      <c r="EDP48" s="66"/>
      <c r="EDQ48" s="66"/>
      <c r="EDR48" s="66"/>
      <c r="EDS48" s="66"/>
      <c r="EDT48" s="66"/>
      <c r="EDU48" s="66"/>
      <c r="EDV48" s="66"/>
      <c r="EDW48" s="66"/>
      <c r="EDX48" s="66"/>
      <c r="EDY48" s="66"/>
      <c r="EDZ48" s="66"/>
      <c r="EEA48" s="66"/>
      <c r="EEB48" s="66"/>
      <c r="EEC48" s="66"/>
      <c r="EED48" s="66"/>
      <c r="EEE48" s="66"/>
      <c r="EEF48" s="66"/>
      <c r="EEG48" s="66"/>
      <c r="EEH48" s="66"/>
      <c r="EEI48" s="66"/>
      <c r="EEJ48" s="66"/>
      <c r="EEK48" s="66"/>
      <c r="EEL48" s="66"/>
      <c r="EEM48" s="66"/>
      <c r="EEN48" s="66"/>
      <c r="EEO48" s="66"/>
      <c r="EEP48" s="66"/>
      <c r="EEQ48" s="66"/>
      <c r="EER48" s="66"/>
      <c r="EES48" s="66"/>
      <c r="EET48" s="66"/>
      <c r="EEU48" s="66"/>
      <c r="EEV48" s="66"/>
      <c r="EEW48" s="66"/>
      <c r="EEX48" s="66"/>
      <c r="EEY48" s="66"/>
      <c r="EEZ48" s="66"/>
      <c r="EFA48" s="66"/>
      <c r="EFB48" s="66"/>
      <c r="EFC48" s="66"/>
      <c r="EFD48" s="66"/>
      <c r="EFE48" s="66"/>
      <c r="EFF48" s="66"/>
      <c r="EFG48" s="66"/>
      <c r="EFH48" s="66"/>
      <c r="EFI48" s="66"/>
      <c r="EFJ48" s="66"/>
      <c r="EFK48" s="66"/>
      <c r="EFL48" s="66"/>
      <c r="EFM48" s="66"/>
      <c r="EFN48" s="66"/>
      <c r="EFO48" s="66"/>
      <c r="EFP48" s="66"/>
      <c r="EFQ48" s="66"/>
      <c r="EFR48" s="66"/>
      <c r="EFS48" s="66"/>
      <c r="EFT48" s="66"/>
      <c r="EFU48" s="66"/>
      <c r="EFV48" s="66"/>
      <c r="EFW48" s="66"/>
      <c r="EFX48" s="66"/>
      <c r="EFY48" s="66"/>
      <c r="EFZ48" s="66"/>
      <c r="EGA48" s="66"/>
      <c r="EGB48" s="66"/>
      <c r="EGC48" s="66"/>
      <c r="EGD48" s="66"/>
      <c r="EGE48" s="66"/>
      <c r="EGF48" s="66"/>
      <c r="EGG48" s="66"/>
      <c r="EGH48" s="66"/>
      <c r="EGI48" s="66"/>
      <c r="EGJ48" s="66"/>
      <c r="EGK48" s="66"/>
      <c r="EGL48" s="66"/>
      <c r="EGM48" s="66"/>
      <c r="EGN48" s="66"/>
      <c r="EGO48" s="66"/>
      <c r="EGP48" s="66"/>
      <c r="EGQ48" s="66"/>
      <c r="EGR48" s="66"/>
      <c r="EGS48" s="66"/>
      <c r="EGT48" s="66"/>
      <c r="EGU48" s="66"/>
      <c r="EGV48" s="66"/>
      <c r="EGW48" s="66"/>
      <c r="EGX48" s="66"/>
      <c r="EGY48" s="66"/>
      <c r="EGZ48" s="66"/>
      <c r="EHA48" s="66"/>
      <c r="EHB48" s="66"/>
      <c r="EHC48" s="66"/>
      <c r="EHD48" s="66"/>
      <c r="EHE48" s="66"/>
      <c r="EHF48" s="66"/>
      <c r="EHG48" s="66"/>
      <c r="EHH48" s="66"/>
      <c r="EHI48" s="66"/>
      <c r="EHJ48" s="66"/>
      <c r="EHK48" s="66"/>
      <c r="EHL48" s="66"/>
      <c r="EHM48" s="66"/>
      <c r="EHN48" s="66"/>
      <c r="EHO48" s="66"/>
      <c r="EHP48" s="66"/>
      <c r="EHQ48" s="66"/>
      <c r="EHR48" s="66"/>
      <c r="EHS48" s="66"/>
      <c r="EHT48" s="66"/>
      <c r="EHU48" s="66"/>
      <c r="EHV48" s="66"/>
      <c r="EHW48" s="66"/>
      <c r="EHX48" s="66"/>
      <c r="EHY48" s="66"/>
      <c r="EHZ48" s="66"/>
      <c r="EIA48" s="66"/>
      <c r="EIB48" s="66"/>
      <c r="EIC48" s="66"/>
      <c r="EID48" s="66"/>
      <c r="EIE48" s="66"/>
      <c r="EIF48" s="66"/>
      <c r="EIG48" s="66"/>
      <c r="EIH48" s="66"/>
      <c r="EII48" s="66"/>
      <c r="EIJ48" s="66"/>
      <c r="EIK48" s="66"/>
      <c r="EIL48" s="66"/>
      <c r="EIM48" s="66"/>
      <c r="EIN48" s="66"/>
      <c r="EIO48" s="66"/>
      <c r="EIP48" s="66"/>
      <c r="EIQ48" s="66"/>
      <c r="EIR48" s="66"/>
      <c r="EIS48" s="66"/>
      <c r="EIT48" s="66"/>
      <c r="EIU48" s="66"/>
      <c r="EIV48" s="66"/>
      <c r="EIW48" s="66"/>
      <c r="EIX48" s="66"/>
      <c r="EIY48" s="66"/>
      <c r="EIZ48" s="66"/>
      <c r="EJA48" s="66"/>
      <c r="EJB48" s="66"/>
      <c r="EJC48" s="66"/>
      <c r="EJD48" s="66"/>
      <c r="EJE48" s="66"/>
      <c r="EJF48" s="66"/>
      <c r="EJG48" s="66"/>
      <c r="EJH48" s="66"/>
      <c r="EJI48" s="66"/>
      <c r="EJJ48" s="66"/>
      <c r="EJK48" s="66"/>
      <c r="EJL48" s="66"/>
      <c r="EJM48" s="66"/>
      <c r="EJN48" s="66"/>
      <c r="EJO48" s="66"/>
      <c r="EJP48" s="66"/>
      <c r="EJQ48" s="66"/>
      <c r="EJR48" s="66"/>
      <c r="EJS48" s="66"/>
      <c r="EJT48" s="66"/>
      <c r="EJU48" s="66"/>
      <c r="EJV48" s="66"/>
      <c r="EJW48" s="66"/>
      <c r="EJX48" s="66"/>
      <c r="EJY48" s="66"/>
      <c r="EJZ48" s="66"/>
      <c r="EKA48" s="66"/>
      <c r="EKB48" s="66"/>
      <c r="EKC48" s="66"/>
      <c r="EKD48" s="66"/>
      <c r="EKE48" s="66"/>
      <c r="EKF48" s="66"/>
      <c r="EKG48" s="66"/>
      <c r="EKH48" s="66"/>
      <c r="EKI48" s="66"/>
      <c r="EKJ48" s="66"/>
      <c r="EKK48" s="66"/>
      <c r="EKL48" s="66"/>
      <c r="EKM48" s="66"/>
      <c r="EKN48" s="66"/>
      <c r="EKO48" s="66"/>
      <c r="EKP48" s="66"/>
      <c r="EKQ48" s="66"/>
      <c r="EKR48" s="66"/>
      <c r="EKS48" s="66"/>
      <c r="EKT48" s="66"/>
      <c r="EKU48" s="66"/>
      <c r="EKV48" s="66"/>
      <c r="EKW48" s="66"/>
      <c r="EKX48" s="66"/>
      <c r="EKY48" s="66"/>
      <c r="EKZ48" s="66"/>
      <c r="ELA48" s="66"/>
      <c r="ELB48" s="66"/>
      <c r="ELC48" s="66"/>
      <c r="ELD48" s="66"/>
      <c r="ELE48" s="66"/>
      <c r="ELF48" s="66"/>
      <c r="ELG48" s="66"/>
      <c r="ELH48" s="66"/>
      <c r="ELI48" s="66"/>
      <c r="ELJ48" s="66"/>
      <c r="ELK48" s="66"/>
      <c r="ELL48" s="66"/>
      <c r="ELM48" s="66"/>
      <c r="ELN48" s="66"/>
      <c r="ELO48" s="66"/>
      <c r="ELP48" s="66"/>
      <c r="ELQ48" s="66"/>
      <c r="ELR48" s="66"/>
      <c r="ELS48" s="66"/>
      <c r="ELT48" s="66"/>
      <c r="ELU48" s="66"/>
      <c r="ELV48" s="66"/>
      <c r="ELW48" s="66"/>
      <c r="ELX48" s="66"/>
      <c r="ELY48" s="66"/>
      <c r="ELZ48" s="66"/>
      <c r="EMA48" s="66"/>
      <c r="EMB48" s="66"/>
      <c r="EMC48" s="66"/>
      <c r="EMD48" s="66"/>
      <c r="EME48" s="66"/>
      <c r="EMF48" s="66"/>
      <c r="EMG48" s="66"/>
      <c r="EMH48" s="66"/>
      <c r="EMI48" s="66"/>
      <c r="EMJ48" s="66"/>
      <c r="EMK48" s="66"/>
      <c r="EML48" s="66"/>
      <c r="EMM48" s="66"/>
      <c r="EMN48" s="66"/>
      <c r="EMO48" s="66"/>
      <c r="EMP48" s="66"/>
      <c r="EMQ48" s="66"/>
      <c r="EMR48" s="66"/>
      <c r="EMS48" s="66"/>
      <c r="EMT48" s="66"/>
      <c r="EMU48" s="66"/>
      <c r="EMV48" s="66"/>
      <c r="EMW48" s="66"/>
      <c r="EMX48" s="66"/>
      <c r="EMY48" s="66"/>
      <c r="EMZ48" s="66"/>
      <c r="ENA48" s="66"/>
      <c r="ENB48" s="66"/>
      <c r="ENC48" s="66"/>
      <c r="END48" s="66"/>
      <c r="ENE48" s="66"/>
      <c r="ENF48" s="66"/>
      <c r="ENG48" s="66"/>
      <c r="ENH48" s="66"/>
      <c r="ENI48" s="66"/>
      <c r="ENJ48" s="66"/>
      <c r="ENK48" s="66"/>
      <c r="ENL48" s="66"/>
      <c r="ENM48" s="66"/>
      <c r="ENN48" s="66"/>
      <c r="ENO48" s="66"/>
      <c r="ENP48" s="66"/>
      <c r="ENQ48" s="66"/>
      <c r="ENR48" s="66"/>
      <c r="ENS48" s="66"/>
      <c r="ENT48" s="66"/>
      <c r="ENU48" s="66"/>
      <c r="ENV48" s="66"/>
      <c r="ENW48" s="66"/>
      <c r="ENX48" s="66"/>
      <c r="ENY48" s="66"/>
      <c r="ENZ48" s="66"/>
      <c r="EOA48" s="66"/>
      <c r="EOB48" s="66"/>
      <c r="EOC48" s="66"/>
      <c r="EOD48" s="66"/>
      <c r="EOE48" s="66"/>
      <c r="EOF48" s="66"/>
      <c r="EOG48" s="66"/>
      <c r="EOH48" s="66"/>
      <c r="EOI48" s="66"/>
      <c r="EOJ48" s="66"/>
      <c r="EOK48" s="66"/>
      <c r="EOL48" s="66"/>
      <c r="EOM48" s="66"/>
      <c r="EON48" s="66"/>
      <c r="EOO48" s="66"/>
      <c r="EOP48" s="66"/>
      <c r="EOQ48" s="66"/>
      <c r="EOR48" s="66"/>
      <c r="EOS48" s="66"/>
      <c r="EOT48" s="66"/>
      <c r="EOU48" s="66"/>
      <c r="EOV48" s="66"/>
      <c r="EOW48" s="66"/>
      <c r="EOX48" s="66"/>
      <c r="EOY48" s="66"/>
      <c r="EOZ48" s="66"/>
      <c r="EPA48" s="66"/>
      <c r="EPB48" s="66"/>
      <c r="EPC48" s="66"/>
      <c r="EPD48" s="66"/>
      <c r="EPE48" s="66"/>
      <c r="EPF48" s="66"/>
      <c r="EPG48" s="66"/>
      <c r="EPH48" s="66"/>
      <c r="EPI48" s="66"/>
      <c r="EPJ48" s="66"/>
      <c r="EPK48" s="66"/>
      <c r="EPL48" s="66"/>
      <c r="EPM48" s="66"/>
      <c r="EPN48" s="66"/>
      <c r="EPO48" s="66"/>
      <c r="EPP48" s="66"/>
      <c r="EPQ48" s="66"/>
      <c r="EPR48" s="66"/>
      <c r="EPS48" s="66"/>
      <c r="EPT48" s="66"/>
      <c r="EPU48" s="66"/>
      <c r="EPV48" s="66"/>
      <c r="EPW48" s="66"/>
      <c r="EPX48" s="66"/>
      <c r="EPY48" s="66"/>
      <c r="EPZ48" s="66"/>
      <c r="EQA48" s="66"/>
      <c r="EQB48" s="66"/>
      <c r="EQC48" s="66"/>
      <c r="EQD48" s="66"/>
      <c r="EQE48" s="66"/>
      <c r="EQF48" s="66"/>
      <c r="EQG48" s="66"/>
      <c r="EQH48" s="66"/>
      <c r="EQI48" s="66"/>
      <c r="EQJ48" s="66"/>
      <c r="EQK48" s="66"/>
      <c r="EQL48" s="66"/>
      <c r="EQM48" s="66"/>
      <c r="EQN48" s="66"/>
      <c r="EQO48" s="66"/>
      <c r="EQP48" s="66"/>
      <c r="EQQ48" s="66"/>
      <c r="EQR48" s="66"/>
      <c r="EQS48" s="66"/>
      <c r="EQT48" s="66"/>
      <c r="EQU48" s="66"/>
      <c r="EQV48" s="66"/>
      <c r="EQW48" s="66"/>
      <c r="EQX48" s="66"/>
      <c r="EQY48" s="66"/>
      <c r="EQZ48" s="66"/>
      <c r="ERA48" s="66"/>
      <c r="ERB48" s="66"/>
      <c r="ERC48" s="66"/>
      <c r="ERD48" s="66"/>
      <c r="ERE48" s="66"/>
      <c r="ERF48" s="66"/>
      <c r="ERG48" s="66"/>
      <c r="ERH48" s="66"/>
      <c r="ERI48" s="66"/>
      <c r="ERJ48" s="66"/>
      <c r="ERK48" s="66"/>
      <c r="ERL48" s="66"/>
      <c r="ERM48" s="66"/>
      <c r="ERN48" s="66"/>
      <c r="ERO48" s="66"/>
      <c r="ERP48" s="66"/>
      <c r="ERQ48" s="66"/>
      <c r="ERR48" s="66"/>
      <c r="ERS48" s="66"/>
      <c r="ERT48" s="66"/>
      <c r="ERU48" s="66"/>
      <c r="ERV48" s="66"/>
      <c r="ERW48" s="66"/>
      <c r="ERX48" s="66"/>
      <c r="ERY48" s="66"/>
      <c r="ERZ48" s="66"/>
      <c r="ESA48" s="66"/>
      <c r="ESB48" s="66"/>
      <c r="ESC48" s="66"/>
      <c r="ESD48" s="66"/>
      <c r="ESE48" s="66"/>
      <c r="ESF48" s="66"/>
      <c r="ESG48" s="66"/>
      <c r="ESH48" s="66"/>
      <c r="ESI48" s="66"/>
      <c r="ESJ48" s="66"/>
      <c r="ESK48" s="66"/>
      <c r="ESL48" s="66"/>
      <c r="ESM48" s="66"/>
      <c r="ESN48" s="66"/>
      <c r="ESO48" s="66"/>
      <c r="ESP48" s="66"/>
      <c r="ESQ48" s="66"/>
      <c r="ESR48" s="66"/>
      <c r="ESS48" s="66"/>
      <c r="EST48" s="66"/>
      <c r="ESU48" s="66"/>
      <c r="ESV48" s="66"/>
      <c r="ESW48" s="66"/>
      <c r="ESX48" s="66"/>
      <c r="ESY48" s="66"/>
      <c r="ESZ48" s="66"/>
      <c r="ETA48" s="66"/>
      <c r="ETB48" s="66"/>
      <c r="ETC48" s="66"/>
      <c r="ETD48" s="66"/>
      <c r="ETE48" s="66"/>
      <c r="ETF48" s="66"/>
      <c r="ETG48" s="66"/>
      <c r="ETH48" s="66"/>
      <c r="ETI48" s="66"/>
      <c r="ETJ48" s="66"/>
      <c r="ETK48" s="66"/>
      <c r="ETL48" s="66"/>
      <c r="ETM48" s="66"/>
      <c r="ETN48" s="66"/>
      <c r="ETO48" s="66"/>
      <c r="ETP48" s="66"/>
      <c r="ETQ48" s="66"/>
      <c r="ETR48" s="66"/>
      <c r="ETS48" s="66"/>
      <c r="ETT48" s="66"/>
      <c r="ETU48" s="66"/>
      <c r="ETV48" s="66"/>
      <c r="ETW48" s="66"/>
      <c r="ETX48" s="66"/>
      <c r="ETY48" s="66"/>
      <c r="ETZ48" s="66"/>
      <c r="EUA48" s="66"/>
      <c r="EUB48" s="66"/>
      <c r="EUC48" s="66"/>
      <c r="EUD48" s="66"/>
      <c r="EUE48" s="66"/>
      <c r="EUF48" s="66"/>
      <c r="EUG48" s="66"/>
      <c r="EUH48" s="66"/>
      <c r="EUI48" s="66"/>
      <c r="EUJ48" s="66"/>
      <c r="EUK48" s="66"/>
      <c r="EUL48" s="66"/>
      <c r="EUM48" s="66"/>
      <c r="EUN48" s="66"/>
      <c r="EUO48" s="66"/>
      <c r="EUP48" s="66"/>
      <c r="EUQ48" s="66"/>
      <c r="EUR48" s="66"/>
      <c r="EUS48" s="66"/>
      <c r="EUT48" s="66"/>
      <c r="EUU48" s="66"/>
      <c r="EUV48" s="66"/>
      <c r="EUW48" s="66"/>
      <c r="EUX48" s="66"/>
      <c r="EUY48" s="66"/>
      <c r="EUZ48" s="66"/>
      <c r="EVA48" s="66"/>
      <c r="EVB48" s="66"/>
      <c r="EVC48" s="66"/>
      <c r="EVD48" s="66"/>
      <c r="EVE48" s="66"/>
      <c r="EVF48" s="66"/>
      <c r="EVG48" s="66"/>
      <c r="EVH48" s="66"/>
      <c r="EVI48" s="66"/>
      <c r="EVJ48" s="66"/>
      <c r="EVK48" s="66"/>
      <c r="EVL48" s="66"/>
      <c r="EVM48" s="66"/>
      <c r="EVN48" s="66"/>
      <c r="EVO48" s="66"/>
      <c r="EVP48" s="66"/>
      <c r="EVQ48" s="66"/>
      <c r="EVR48" s="66"/>
      <c r="EVS48" s="66"/>
      <c r="EVT48" s="66"/>
      <c r="EVU48" s="66"/>
      <c r="EVV48" s="66"/>
      <c r="EVW48" s="66"/>
      <c r="EVX48" s="66"/>
      <c r="EVY48" s="66"/>
      <c r="EVZ48" s="66"/>
      <c r="EWA48" s="66"/>
      <c r="EWB48" s="66"/>
      <c r="EWC48" s="66"/>
      <c r="EWD48" s="66"/>
      <c r="EWE48" s="66"/>
      <c r="EWF48" s="66"/>
      <c r="EWG48" s="66"/>
      <c r="EWH48" s="66"/>
      <c r="EWI48" s="66"/>
      <c r="EWJ48" s="66"/>
      <c r="EWK48" s="66"/>
      <c r="EWL48" s="66"/>
      <c r="EWM48" s="66"/>
      <c r="EWN48" s="66"/>
      <c r="EWO48" s="66"/>
      <c r="EWP48" s="66"/>
      <c r="EWQ48" s="66"/>
      <c r="EWR48" s="66"/>
      <c r="EWS48" s="66"/>
      <c r="EWT48" s="66"/>
      <c r="EWU48" s="66"/>
      <c r="EWV48" s="66"/>
      <c r="EWW48" s="66"/>
      <c r="EWX48" s="66"/>
      <c r="EWY48" s="66"/>
      <c r="EWZ48" s="66"/>
      <c r="EXA48" s="66"/>
      <c r="EXB48" s="66"/>
      <c r="EXC48" s="66"/>
      <c r="EXD48" s="66"/>
      <c r="EXE48" s="66"/>
      <c r="EXF48" s="66"/>
      <c r="EXG48" s="66"/>
      <c r="EXH48" s="66"/>
      <c r="EXI48" s="66"/>
      <c r="EXJ48" s="66"/>
      <c r="EXK48" s="66"/>
      <c r="EXL48" s="66"/>
      <c r="EXM48" s="66"/>
      <c r="EXN48" s="66"/>
      <c r="EXO48" s="66"/>
      <c r="EXP48" s="66"/>
      <c r="EXQ48" s="66"/>
      <c r="EXR48" s="66"/>
      <c r="EXS48" s="66"/>
      <c r="EXT48" s="66"/>
      <c r="EXU48" s="66"/>
      <c r="EXV48" s="66"/>
      <c r="EXW48" s="66"/>
      <c r="EXX48" s="66"/>
      <c r="EXY48" s="66"/>
      <c r="EXZ48" s="66"/>
      <c r="EYA48" s="66"/>
      <c r="EYB48" s="66"/>
      <c r="EYC48" s="66"/>
      <c r="EYD48" s="66"/>
      <c r="EYE48" s="66"/>
      <c r="EYF48" s="66"/>
      <c r="EYG48" s="66"/>
      <c r="EYH48" s="66"/>
      <c r="EYI48" s="66"/>
      <c r="EYJ48" s="66"/>
      <c r="EYK48" s="66"/>
      <c r="EYL48" s="66"/>
      <c r="EYM48" s="66"/>
      <c r="EYN48" s="66"/>
      <c r="EYO48" s="66"/>
      <c r="EYP48" s="66"/>
      <c r="EYQ48" s="66"/>
      <c r="EYR48" s="66"/>
      <c r="EYS48" s="66"/>
      <c r="EYT48" s="66"/>
      <c r="EYU48" s="66"/>
      <c r="EYV48" s="66"/>
      <c r="EYW48" s="66"/>
      <c r="EYX48" s="66"/>
      <c r="EYY48" s="66"/>
      <c r="EYZ48" s="66"/>
      <c r="EZA48" s="66"/>
      <c r="EZB48" s="66"/>
      <c r="EZC48" s="66"/>
      <c r="EZD48" s="66"/>
      <c r="EZE48" s="66"/>
      <c r="EZF48" s="66"/>
      <c r="EZG48" s="66"/>
      <c r="EZH48" s="66"/>
      <c r="EZI48" s="66"/>
      <c r="EZJ48" s="66"/>
      <c r="EZK48" s="66"/>
      <c r="EZL48" s="66"/>
      <c r="EZM48" s="66"/>
      <c r="EZN48" s="66"/>
      <c r="EZO48" s="66"/>
      <c r="EZP48" s="66"/>
      <c r="EZQ48" s="66"/>
      <c r="EZR48" s="66"/>
      <c r="EZS48" s="66"/>
      <c r="EZT48" s="66"/>
      <c r="EZU48" s="66"/>
      <c r="EZV48" s="66"/>
      <c r="EZW48" s="66"/>
      <c r="EZX48" s="66"/>
      <c r="EZY48" s="66"/>
      <c r="EZZ48" s="66"/>
      <c r="FAA48" s="66"/>
      <c r="FAB48" s="66"/>
      <c r="FAC48" s="66"/>
      <c r="FAD48" s="66"/>
      <c r="FAE48" s="66"/>
      <c r="FAF48" s="66"/>
      <c r="FAG48" s="66"/>
      <c r="FAH48" s="66"/>
      <c r="FAI48" s="66"/>
      <c r="FAJ48" s="66"/>
      <c r="FAK48" s="66"/>
      <c r="FAL48" s="66"/>
      <c r="FAM48" s="66"/>
      <c r="FAN48" s="66"/>
      <c r="FAO48" s="66"/>
      <c r="FAP48" s="66"/>
      <c r="FAQ48" s="66"/>
      <c r="FAR48" s="66"/>
      <c r="FAS48" s="66"/>
      <c r="FAT48" s="66"/>
      <c r="FAU48" s="66"/>
      <c r="FAV48" s="66"/>
      <c r="FAW48" s="66"/>
      <c r="FAX48" s="66"/>
      <c r="FAY48" s="66"/>
      <c r="FAZ48" s="66"/>
      <c r="FBA48" s="66"/>
      <c r="FBB48" s="66"/>
      <c r="FBC48" s="66"/>
      <c r="FBD48" s="66"/>
      <c r="FBE48" s="66"/>
      <c r="FBF48" s="66"/>
      <c r="FBG48" s="66"/>
      <c r="FBH48" s="66"/>
      <c r="FBI48" s="66"/>
      <c r="FBJ48" s="66"/>
      <c r="FBK48" s="66"/>
      <c r="FBL48" s="66"/>
      <c r="FBM48" s="66"/>
      <c r="FBN48" s="66"/>
      <c r="FBO48" s="66"/>
      <c r="FBP48" s="66"/>
      <c r="FBQ48" s="66"/>
      <c r="FBR48" s="66"/>
      <c r="FBS48" s="66"/>
      <c r="FBT48" s="66"/>
      <c r="FBU48" s="66"/>
      <c r="FBV48" s="66"/>
      <c r="FBW48" s="66"/>
      <c r="FBX48" s="66"/>
      <c r="FBY48" s="66"/>
      <c r="FBZ48" s="66"/>
      <c r="FCA48" s="66"/>
      <c r="FCB48" s="66"/>
      <c r="FCC48" s="66"/>
      <c r="FCD48" s="66"/>
      <c r="FCE48" s="66"/>
      <c r="FCF48" s="66"/>
      <c r="FCG48" s="66"/>
      <c r="FCH48" s="66"/>
      <c r="FCI48" s="66"/>
      <c r="FCJ48" s="66"/>
      <c r="FCK48" s="66"/>
      <c r="FCL48" s="66"/>
      <c r="FCM48" s="66"/>
      <c r="FCN48" s="66"/>
      <c r="FCO48" s="66"/>
      <c r="FCP48" s="66"/>
      <c r="FCQ48" s="66"/>
      <c r="FCR48" s="66"/>
      <c r="FCS48" s="66"/>
      <c r="FCT48" s="66"/>
      <c r="FCU48" s="66"/>
      <c r="FCV48" s="66"/>
      <c r="FCW48" s="66"/>
      <c r="FCX48" s="66"/>
      <c r="FCY48" s="66"/>
      <c r="FCZ48" s="66"/>
      <c r="FDA48" s="66"/>
      <c r="FDB48" s="66"/>
      <c r="FDC48" s="66"/>
      <c r="FDD48" s="66"/>
      <c r="FDE48" s="66"/>
      <c r="FDF48" s="66"/>
      <c r="FDG48" s="66"/>
      <c r="FDH48" s="66"/>
      <c r="FDI48" s="66"/>
      <c r="FDJ48" s="66"/>
      <c r="FDK48" s="66"/>
      <c r="FDL48" s="66"/>
      <c r="FDM48" s="66"/>
      <c r="FDN48" s="66"/>
      <c r="FDO48" s="66"/>
      <c r="FDP48" s="66"/>
      <c r="FDQ48" s="66"/>
      <c r="FDR48" s="66"/>
      <c r="FDS48" s="66"/>
      <c r="FDT48" s="66"/>
      <c r="FDU48" s="66"/>
      <c r="FDV48" s="66"/>
      <c r="FDW48" s="66"/>
      <c r="FDX48" s="66"/>
      <c r="FDY48" s="66"/>
      <c r="FDZ48" s="66"/>
      <c r="FEA48" s="66"/>
      <c r="FEB48" s="66"/>
      <c r="FEC48" s="66"/>
      <c r="FED48" s="66"/>
      <c r="FEE48" s="66"/>
      <c r="FEF48" s="66"/>
      <c r="FEG48" s="66"/>
      <c r="FEH48" s="66"/>
      <c r="FEI48" s="66"/>
      <c r="FEJ48" s="66"/>
      <c r="FEK48" s="66"/>
      <c r="FEL48" s="66"/>
      <c r="FEM48" s="66"/>
      <c r="FEN48" s="66"/>
      <c r="FEO48" s="66"/>
      <c r="FEP48" s="66"/>
      <c r="FEQ48" s="66"/>
      <c r="FER48" s="66"/>
      <c r="FES48" s="66"/>
      <c r="FET48" s="66"/>
      <c r="FEU48" s="66"/>
      <c r="FEV48" s="66"/>
      <c r="FEW48" s="66"/>
      <c r="FEX48" s="66"/>
      <c r="FEY48" s="66"/>
      <c r="FEZ48" s="66"/>
      <c r="FFA48" s="66"/>
      <c r="FFB48" s="66"/>
      <c r="FFC48" s="66"/>
      <c r="FFD48" s="66"/>
      <c r="FFE48" s="66"/>
      <c r="FFF48" s="66"/>
      <c r="FFG48" s="66"/>
      <c r="FFH48" s="66"/>
      <c r="FFI48" s="66"/>
      <c r="FFJ48" s="66"/>
      <c r="FFK48" s="66"/>
      <c r="FFL48" s="66"/>
      <c r="FFM48" s="66"/>
      <c r="FFN48" s="66"/>
      <c r="FFO48" s="66"/>
      <c r="FFP48" s="66"/>
      <c r="FFQ48" s="66"/>
      <c r="FFR48" s="66"/>
      <c r="FFS48" s="66"/>
      <c r="FFT48" s="66"/>
      <c r="FFU48" s="66"/>
      <c r="FFV48" s="66"/>
      <c r="FFW48" s="66"/>
      <c r="FFX48" s="66"/>
      <c r="FFY48" s="66"/>
      <c r="FFZ48" s="66"/>
      <c r="FGA48" s="66"/>
      <c r="FGB48" s="66"/>
      <c r="FGC48" s="66"/>
      <c r="FGD48" s="66"/>
      <c r="FGE48" s="66"/>
      <c r="FGF48" s="66"/>
      <c r="FGG48" s="66"/>
      <c r="FGH48" s="66"/>
      <c r="FGI48" s="66"/>
      <c r="FGJ48" s="66"/>
      <c r="FGK48" s="66"/>
      <c r="FGL48" s="66"/>
      <c r="FGM48" s="66"/>
      <c r="FGN48" s="66"/>
      <c r="FGO48" s="66"/>
      <c r="FGP48" s="66"/>
      <c r="FGQ48" s="66"/>
      <c r="FGR48" s="66"/>
      <c r="FGS48" s="66"/>
      <c r="FGT48" s="66"/>
      <c r="FGU48" s="66"/>
      <c r="FGV48" s="66"/>
      <c r="FGW48" s="66"/>
      <c r="FGX48" s="66"/>
      <c r="FGY48" s="66"/>
      <c r="FGZ48" s="66"/>
      <c r="FHA48" s="66"/>
      <c r="FHB48" s="66"/>
      <c r="FHC48" s="66"/>
      <c r="FHD48" s="66"/>
      <c r="FHE48" s="66"/>
      <c r="FHF48" s="66"/>
      <c r="FHG48" s="66"/>
      <c r="FHH48" s="66"/>
      <c r="FHI48" s="66"/>
      <c r="FHJ48" s="66"/>
      <c r="FHK48" s="66"/>
      <c r="FHL48" s="66"/>
      <c r="FHM48" s="66"/>
      <c r="FHN48" s="66"/>
      <c r="FHO48" s="66"/>
      <c r="FHP48" s="66"/>
      <c r="FHQ48" s="66"/>
      <c r="FHR48" s="66"/>
      <c r="FHS48" s="66"/>
      <c r="FHT48" s="66"/>
      <c r="FHU48" s="66"/>
      <c r="FHV48" s="66"/>
      <c r="FHW48" s="66"/>
      <c r="FHX48" s="66"/>
      <c r="FHY48" s="66"/>
      <c r="FHZ48" s="66"/>
      <c r="FIA48" s="66"/>
      <c r="FIB48" s="66"/>
      <c r="FIC48" s="66"/>
      <c r="FID48" s="66"/>
      <c r="FIE48" s="66"/>
      <c r="FIF48" s="66"/>
      <c r="FIG48" s="66"/>
      <c r="FIH48" s="66"/>
      <c r="FII48" s="66"/>
      <c r="FIJ48" s="66"/>
      <c r="FIK48" s="66"/>
      <c r="FIL48" s="66"/>
      <c r="FIM48" s="66"/>
      <c r="FIN48" s="66"/>
      <c r="FIO48" s="66"/>
      <c r="FIP48" s="66"/>
      <c r="FIQ48" s="66"/>
      <c r="FIR48" s="66"/>
      <c r="FIS48" s="66"/>
      <c r="FIT48" s="66"/>
      <c r="FIU48" s="66"/>
      <c r="FIV48" s="66"/>
      <c r="FIW48" s="66"/>
      <c r="FIX48" s="66"/>
      <c r="FIY48" s="66"/>
      <c r="FIZ48" s="66"/>
      <c r="FJA48" s="66"/>
      <c r="FJB48" s="66"/>
      <c r="FJC48" s="66"/>
      <c r="FJD48" s="66"/>
      <c r="FJE48" s="66"/>
      <c r="FJF48" s="66"/>
      <c r="FJG48" s="66"/>
      <c r="FJH48" s="66"/>
      <c r="FJI48" s="66"/>
      <c r="FJJ48" s="66"/>
      <c r="FJK48" s="66"/>
      <c r="FJL48" s="66"/>
      <c r="FJM48" s="66"/>
      <c r="FJN48" s="66"/>
      <c r="FJO48" s="66"/>
      <c r="FJP48" s="66"/>
      <c r="FJQ48" s="66"/>
      <c r="FJR48" s="66"/>
      <c r="FJS48" s="66"/>
      <c r="FJT48" s="66"/>
      <c r="FJU48" s="66"/>
      <c r="FJV48" s="66"/>
      <c r="FJW48" s="66"/>
      <c r="FJX48" s="66"/>
      <c r="FJY48" s="66"/>
      <c r="FJZ48" s="66"/>
      <c r="FKA48" s="66"/>
      <c r="FKB48" s="66"/>
      <c r="FKC48" s="66"/>
      <c r="FKD48" s="66"/>
      <c r="FKE48" s="66"/>
      <c r="FKF48" s="66"/>
      <c r="FKG48" s="66"/>
      <c r="FKH48" s="66"/>
      <c r="FKI48" s="66"/>
      <c r="FKJ48" s="66"/>
      <c r="FKK48" s="66"/>
      <c r="FKL48" s="66"/>
      <c r="FKM48" s="66"/>
      <c r="FKN48" s="66"/>
      <c r="FKO48" s="66"/>
      <c r="FKP48" s="66"/>
      <c r="FKQ48" s="66"/>
      <c r="FKR48" s="66"/>
      <c r="FKS48" s="66"/>
      <c r="FKT48" s="66"/>
      <c r="FKU48" s="66"/>
      <c r="FKV48" s="66"/>
      <c r="FKW48" s="66"/>
      <c r="FKX48" s="66"/>
      <c r="FKY48" s="66"/>
      <c r="FKZ48" s="66"/>
      <c r="FLA48" s="66"/>
      <c r="FLB48" s="66"/>
      <c r="FLC48" s="66"/>
      <c r="FLD48" s="66"/>
      <c r="FLE48" s="66"/>
      <c r="FLF48" s="66"/>
      <c r="FLG48" s="66"/>
      <c r="FLH48" s="66"/>
      <c r="FLI48" s="66"/>
      <c r="FLJ48" s="66"/>
      <c r="FLK48" s="66"/>
      <c r="FLL48" s="66"/>
      <c r="FLM48" s="66"/>
      <c r="FLN48" s="66"/>
      <c r="FLO48" s="66"/>
      <c r="FLP48" s="66"/>
      <c r="FLQ48" s="66"/>
      <c r="FLR48" s="66"/>
      <c r="FLS48" s="66"/>
      <c r="FLT48" s="66"/>
      <c r="FLU48" s="66"/>
      <c r="FLV48" s="66"/>
      <c r="FLW48" s="66"/>
      <c r="FLX48" s="66"/>
      <c r="FLY48" s="66"/>
      <c r="FLZ48" s="66"/>
      <c r="FMA48" s="66"/>
      <c r="FMB48" s="66"/>
      <c r="FMC48" s="66"/>
      <c r="FMD48" s="66"/>
      <c r="FME48" s="66"/>
      <c r="FMF48" s="66"/>
      <c r="FMG48" s="66"/>
      <c r="FMH48" s="66"/>
      <c r="FMI48" s="66"/>
      <c r="FMJ48" s="66"/>
      <c r="FMK48" s="66"/>
      <c r="FML48" s="66"/>
      <c r="FMM48" s="66"/>
      <c r="FMN48" s="66"/>
      <c r="FMO48" s="66"/>
      <c r="FMP48" s="66"/>
      <c r="FMQ48" s="66"/>
      <c r="FMR48" s="66"/>
      <c r="FMS48" s="66"/>
      <c r="FMT48" s="66"/>
      <c r="FMU48" s="66"/>
      <c r="FMV48" s="66"/>
      <c r="FMW48" s="66"/>
      <c r="FMX48" s="66"/>
      <c r="FMY48" s="66"/>
      <c r="FMZ48" s="66"/>
      <c r="FNA48" s="66"/>
      <c r="FNB48" s="66"/>
      <c r="FNC48" s="66"/>
      <c r="FND48" s="66"/>
      <c r="FNE48" s="66"/>
      <c r="FNF48" s="66"/>
      <c r="FNG48" s="66"/>
      <c r="FNH48" s="66"/>
      <c r="FNI48" s="66"/>
      <c r="FNJ48" s="66"/>
      <c r="FNK48" s="66"/>
      <c r="FNL48" s="66"/>
      <c r="FNM48" s="66"/>
      <c r="FNN48" s="66"/>
      <c r="FNO48" s="66"/>
      <c r="FNP48" s="66"/>
      <c r="FNQ48" s="66"/>
      <c r="FNR48" s="66"/>
      <c r="FNS48" s="66"/>
      <c r="FNT48" s="66"/>
      <c r="FNU48" s="66"/>
      <c r="FNV48" s="66"/>
      <c r="FNW48" s="66"/>
      <c r="FNX48" s="66"/>
      <c r="FNY48" s="66"/>
      <c r="FNZ48" s="66"/>
      <c r="FOA48" s="66"/>
      <c r="FOB48" s="66"/>
      <c r="FOC48" s="66"/>
      <c r="FOD48" s="66"/>
      <c r="FOE48" s="66"/>
      <c r="FOF48" s="66"/>
      <c r="FOG48" s="66"/>
      <c r="FOH48" s="66"/>
      <c r="FOI48" s="66"/>
      <c r="FOJ48" s="66"/>
      <c r="FOK48" s="66"/>
      <c r="FOL48" s="66"/>
      <c r="FOM48" s="66"/>
      <c r="FON48" s="66"/>
      <c r="FOO48" s="66"/>
      <c r="FOP48" s="66"/>
      <c r="FOQ48" s="66"/>
      <c r="FOR48" s="66"/>
      <c r="FOS48" s="66"/>
      <c r="FOT48" s="66"/>
      <c r="FOU48" s="66"/>
      <c r="FOV48" s="66"/>
      <c r="FOW48" s="66"/>
      <c r="FOX48" s="66"/>
      <c r="FOY48" s="66"/>
      <c r="FOZ48" s="66"/>
      <c r="FPA48" s="66"/>
      <c r="FPB48" s="66"/>
      <c r="FPC48" s="66"/>
      <c r="FPD48" s="66"/>
      <c r="FPE48" s="66"/>
      <c r="FPF48" s="66"/>
      <c r="FPG48" s="66"/>
      <c r="FPH48" s="66"/>
      <c r="FPI48" s="66"/>
      <c r="FPJ48" s="66"/>
      <c r="FPK48" s="66"/>
      <c r="FPL48" s="66"/>
      <c r="FPM48" s="66"/>
      <c r="FPN48" s="66"/>
      <c r="FPO48" s="66"/>
      <c r="FPP48" s="66"/>
      <c r="FPQ48" s="66"/>
      <c r="FPR48" s="66"/>
      <c r="FPS48" s="66"/>
      <c r="FPT48" s="66"/>
      <c r="FPU48" s="66"/>
      <c r="FPV48" s="66"/>
      <c r="FPW48" s="66"/>
      <c r="FPX48" s="66"/>
      <c r="FPY48" s="66"/>
      <c r="FPZ48" s="66"/>
      <c r="FQA48" s="66"/>
      <c r="FQB48" s="66"/>
      <c r="FQC48" s="66"/>
      <c r="FQD48" s="66"/>
      <c r="FQE48" s="66"/>
      <c r="FQF48" s="66"/>
      <c r="FQG48" s="66"/>
      <c r="FQH48" s="66"/>
      <c r="FQI48" s="66"/>
      <c r="FQJ48" s="66"/>
      <c r="FQK48" s="66"/>
      <c r="FQL48" s="66"/>
      <c r="FQM48" s="66"/>
      <c r="FQN48" s="66"/>
      <c r="FQO48" s="66"/>
      <c r="FQP48" s="66"/>
      <c r="FQQ48" s="66"/>
      <c r="FQR48" s="66"/>
      <c r="FQS48" s="66"/>
      <c r="FQT48" s="66"/>
      <c r="FQU48" s="66"/>
      <c r="FQV48" s="66"/>
      <c r="FQW48" s="66"/>
      <c r="FQX48" s="66"/>
      <c r="FQY48" s="66"/>
      <c r="FQZ48" s="66"/>
      <c r="FRA48" s="66"/>
      <c r="FRB48" s="66"/>
      <c r="FRC48" s="66"/>
      <c r="FRD48" s="66"/>
      <c r="FRE48" s="66"/>
      <c r="FRF48" s="66"/>
      <c r="FRG48" s="66"/>
      <c r="FRH48" s="66"/>
      <c r="FRI48" s="66"/>
      <c r="FRJ48" s="66"/>
      <c r="FRK48" s="66"/>
      <c r="FRL48" s="66"/>
      <c r="FRM48" s="66"/>
      <c r="FRN48" s="66"/>
      <c r="FRO48" s="66"/>
      <c r="FRP48" s="66"/>
      <c r="FRQ48" s="66"/>
      <c r="FRR48" s="66"/>
      <c r="FRS48" s="66"/>
      <c r="FRT48" s="66"/>
      <c r="FRU48" s="66"/>
      <c r="FRV48" s="66"/>
      <c r="FRW48" s="66"/>
      <c r="FRX48" s="66"/>
      <c r="FRY48" s="66"/>
      <c r="FRZ48" s="66"/>
      <c r="FSA48" s="66"/>
      <c r="FSB48" s="66"/>
      <c r="FSC48" s="66"/>
      <c r="FSD48" s="66"/>
      <c r="FSE48" s="66"/>
      <c r="FSF48" s="66"/>
      <c r="FSG48" s="66"/>
      <c r="FSH48" s="66"/>
      <c r="FSI48" s="66"/>
      <c r="FSJ48" s="66"/>
      <c r="FSK48" s="66"/>
      <c r="FSL48" s="66"/>
      <c r="FSM48" s="66"/>
      <c r="FSN48" s="66"/>
      <c r="FSO48" s="66"/>
      <c r="FSP48" s="66"/>
      <c r="FSQ48" s="66"/>
      <c r="FSR48" s="66"/>
      <c r="FSS48" s="66"/>
      <c r="FST48" s="66"/>
      <c r="FSU48" s="66"/>
      <c r="FSV48" s="66"/>
      <c r="FSW48" s="66"/>
      <c r="FSX48" s="66"/>
      <c r="FSY48" s="66"/>
      <c r="FSZ48" s="66"/>
      <c r="FTA48" s="66"/>
      <c r="FTB48" s="66"/>
      <c r="FTC48" s="66"/>
      <c r="FTD48" s="66"/>
      <c r="FTE48" s="66"/>
      <c r="FTF48" s="66"/>
      <c r="FTG48" s="66"/>
      <c r="FTH48" s="66"/>
      <c r="FTI48" s="66"/>
      <c r="FTJ48" s="66"/>
      <c r="FTK48" s="66"/>
      <c r="FTL48" s="66"/>
      <c r="FTM48" s="66"/>
      <c r="FTN48" s="66"/>
      <c r="FTO48" s="66"/>
      <c r="FTP48" s="66"/>
      <c r="FTQ48" s="66"/>
      <c r="FTR48" s="66"/>
      <c r="FTS48" s="66"/>
      <c r="FTT48" s="66"/>
      <c r="FTU48" s="66"/>
      <c r="FTV48" s="66"/>
      <c r="FTW48" s="66"/>
      <c r="FTX48" s="66"/>
      <c r="FTY48" s="66"/>
      <c r="FTZ48" s="66"/>
      <c r="FUA48" s="66"/>
      <c r="FUB48" s="66"/>
      <c r="FUC48" s="66"/>
      <c r="FUD48" s="66"/>
      <c r="FUE48" s="66"/>
      <c r="FUF48" s="66"/>
      <c r="FUG48" s="66"/>
      <c r="FUH48" s="66"/>
      <c r="FUI48" s="66"/>
      <c r="FUJ48" s="66"/>
      <c r="FUK48" s="66"/>
      <c r="FUL48" s="66"/>
      <c r="FUM48" s="66"/>
      <c r="FUN48" s="66"/>
      <c r="FUO48" s="66"/>
      <c r="FUP48" s="66"/>
      <c r="FUQ48" s="66"/>
      <c r="FUR48" s="66"/>
      <c r="FUS48" s="66"/>
      <c r="FUT48" s="66"/>
      <c r="FUU48" s="66"/>
      <c r="FUV48" s="66"/>
      <c r="FUW48" s="66"/>
      <c r="FUX48" s="66"/>
      <c r="FUY48" s="66"/>
      <c r="FUZ48" s="66"/>
      <c r="FVA48" s="66"/>
      <c r="FVB48" s="66"/>
      <c r="FVC48" s="66"/>
      <c r="FVD48" s="66"/>
      <c r="FVE48" s="66"/>
      <c r="FVF48" s="66"/>
      <c r="FVG48" s="66"/>
      <c r="FVH48" s="66"/>
      <c r="FVI48" s="66"/>
      <c r="FVJ48" s="66"/>
      <c r="FVK48" s="66"/>
      <c r="FVL48" s="66"/>
      <c r="FVM48" s="66"/>
      <c r="FVN48" s="66"/>
      <c r="FVO48" s="66"/>
      <c r="FVP48" s="66"/>
      <c r="FVQ48" s="66"/>
      <c r="FVR48" s="66"/>
      <c r="FVS48" s="66"/>
      <c r="FVT48" s="66"/>
      <c r="FVU48" s="66"/>
      <c r="FVV48" s="66"/>
      <c r="FVW48" s="66"/>
      <c r="FVX48" s="66"/>
      <c r="FVY48" s="66"/>
      <c r="FVZ48" s="66"/>
      <c r="FWA48" s="66"/>
      <c r="FWB48" s="66"/>
      <c r="FWC48" s="66"/>
      <c r="FWD48" s="66"/>
      <c r="FWE48" s="66"/>
      <c r="FWF48" s="66"/>
      <c r="FWG48" s="66"/>
      <c r="FWH48" s="66"/>
      <c r="FWI48" s="66"/>
      <c r="FWJ48" s="66"/>
      <c r="FWK48" s="66"/>
      <c r="FWL48" s="66"/>
      <c r="FWM48" s="66"/>
      <c r="FWN48" s="66"/>
      <c r="FWO48" s="66"/>
      <c r="FWP48" s="66"/>
      <c r="FWQ48" s="66"/>
      <c r="FWR48" s="66"/>
      <c r="FWS48" s="66"/>
      <c r="FWT48" s="66"/>
      <c r="FWU48" s="66"/>
      <c r="FWV48" s="66"/>
      <c r="FWW48" s="66"/>
      <c r="FWX48" s="66"/>
      <c r="FWY48" s="66"/>
      <c r="FWZ48" s="66"/>
      <c r="FXA48" s="66"/>
      <c r="FXB48" s="66"/>
      <c r="FXC48" s="66"/>
      <c r="FXD48" s="66"/>
      <c r="FXE48" s="66"/>
      <c r="FXF48" s="66"/>
      <c r="FXG48" s="66"/>
      <c r="FXH48" s="66"/>
      <c r="FXI48" s="66"/>
      <c r="FXJ48" s="66"/>
      <c r="FXK48" s="66"/>
      <c r="FXL48" s="66"/>
      <c r="FXM48" s="66"/>
      <c r="FXN48" s="66"/>
      <c r="FXO48" s="66"/>
      <c r="FXP48" s="66"/>
      <c r="FXQ48" s="66"/>
      <c r="FXR48" s="66"/>
      <c r="FXS48" s="66"/>
      <c r="FXT48" s="66"/>
      <c r="FXU48" s="66"/>
      <c r="FXV48" s="66"/>
      <c r="FXW48" s="66"/>
      <c r="FXX48" s="66"/>
      <c r="FXY48" s="66"/>
      <c r="FXZ48" s="66"/>
      <c r="FYA48" s="66"/>
      <c r="FYB48" s="66"/>
      <c r="FYC48" s="66"/>
      <c r="FYD48" s="66"/>
      <c r="FYE48" s="66"/>
      <c r="FYF48" s="66"/>
      <c r="FYG48" s="66"/>
      <c r="FYH48" s="66"/>
      <c r="FYI48" s="66"/>
      <c r="FYJ48" s="66"/>
      <c r="FYK48" s="66"/>
      <c r="FYL48" s="66"/>
      <c r="FYM48" s="66"/>
      <c r="FYN48" s="66"/>
      <c r="FYO48" s="66"/>
      <c r="FYP48" s="66"/>
      <c r="FYQ48" s="66"/>
      <c r="FYR48" s="66"/>
      <c r="FYS48" s="66"/>
      <c r="FYT48" s="66"/>
      <c r="FYU48" s="66"/>
      <c r="FYV48" s="66"/>
      <c r="FYW48" s="66"/>
      <c r="FYX48" s="66"/>
      <c r="FYY48" s="66"/>
      <c r="FYZ48" s="66"/>
      <c r="FZA48" s="66"/>
      <c r="FZB48" s="66"/>
      <c r="FZC48" s="66"/>
      <c r="FZD48" s="66"/>
      <c r="FZE48" s="66"/>
      <c r="FZF48" s="66"/>
      <c r="FZG48" s="66"/>
      <c r="FZH48" s="66"/>
      <c r="FZI48" s="66"/>
      <c r="FZJ48" s="66"/>
      <c r="FZK48" s="66"/>
      <c r="FZL48" s="66"/>
      <c r="FZM48" s="66"/>
      <c r="FZN48" s="66"/>
      <c r="FZO48" s="66"/>
      <c r="FZP48" s="66"/>
      <c r="FZQ48" s="66"/>
      <c r="FZR48" s="66"/>
      <c r="FZS48" s="66"/>
      <c r="FZT48" s="66"/>
      <c r="FZU48" s="66"/>
      <c r="FZV48" s="66"/>
      <c r="FZW48" s="66"/>
      <c r="FZX48" s="66"/>
      <c r="FZY48" s="66"/>
      <c r="FZZ48" s="66"/>
      <c r="GAA48" s="66"/>
      <c r="GAB48" s="66"/>
      <c r="GAC48" s="66"/>
      <c r="GAD48" s="66"/>
      <c r="GAE48" s="66"/>
      <c r="GAF48" s="66"/>
      <c r="GAG48" s="66"/>
      <c r="GAH48" s="66"/>
      <c r="GAI48" s="66"/>
      <c r="GAJ48" s="66"/>
      <c r="GAK48" s="66"/>
      <c r="GAL48" s="66"/>
      <c r="GAM48" s="66"/>
      <c r="GAN48" s="66"/>
      <c r="GAO48" s="66"/>
      <c r="GAP48" s="66"/>
      <c r="GAQ48" s="66"/>
      <c r="GAR48" s="66"/>
      <c r="GAS48" s="66"/>
      <c r="GAT48" s="66"/>
      <c r="GAU48" s="66"/>
      <c r="GAV48" s="66"/>
      <c r="GAW48" s="66"/>
      <c r="GAX48" s="66"/>
      <c r="GAY48" s="66"/>
      <c r="GAZ48" s="66"/>
      <c r="GBA48" s="66"/>
      <c r="GBB48" s="66"/>
      <c r="GBC48" s="66"/>
      <c r="GBD48" s="66"/>
      <c r="GBE48" s="66"/>
      <c r="GBF48" s="66"/>
      <c r="GBG48" s="66"/>
      <c r="GBH48" s="66"/>
      <c r="GBI48" s="66"/>
      <c r="GBJ48" s="66"/>
      <c r="GBK48" s="66"/>
      <c r="GBL48" s="66"/>
      <c r="GBM48" s="66"/>
      <c r="GBN48" s="66"/>
      <c r="GBO48" s="66"/>
      <c r="GBP48" s="66"/>
      <c r="GBQ48" s="66"/>
      <c r="GBR48" s="66"/>
      <c r="GBS48" s="66"/>
      <c r="GBT48" s="66"/>
      <c r="GBU48" s="66"/>
      <c r="GBV48" s="66"/>
      <c r="GBW48" s="66"/>
      <c r="GBX48" s="66"/>
      <c r="GBY48" s="66"/>
      <c r="GBZ48" s="66"/>
      <c r="GCA48" s="66"/>
      <c r="GCB48" s="66"/>
      <c r="GCC48" s="66"/>
      <c r="GCD48" s="66"/>
      <c r="GCE48" s="66"/>
      <c r="GCF48" s="66"/>
      <c r="GCG48" s="66"/>
      <c r="GCH48" s="66"/>
      <c r="GCI48" s="66"/>
      <c r="GCJ48" s="66"/>
      <c r="GCK48" s="66"/>
      <c r="GCL48" s="66"/>
      <c r="GCM48" s="66"/>
      <c r="GCN48" s="66"/>
      <c r="GCO48" s="66"/>
      <c r="GCP48" s="66"/>
      <c r="GCQ48" s="66"/>
      <c r="GCR48" s="66"/>
      <c r="GCS48" s="66"/>
      <c r="GCT48" s="66"/>
      <c r="GCU48" s="66"/>
      <c r="GCV48" s="66"/>
      <c r="GCW48" s="66"/>
      <c r="GCX48" s="66"/>
      <c r="GCY48" s="66"/>
      <c r="GCZ48" s="66"/>
      <c r="GDA48" s="66"/>
      <c r="GDB48" s="66"/>
      <c r="GDC48" s="66"/>
      <c r="GDD48" s="66"/>
      <c r="GDE48" s="66"/>
      <c r="GDF48" s="66"/>
      <c r="GDG48" s="66"/>
      <c r="GDH48" s="66"/>
      <c r="GDI48" s="66"/>
      <c r="GDJ48" s="66"/>
      <c r="GDK48" s="66"/>
      <c r="GDL48" s="66"/>
      <c r="GDM48" s="66"/>
      <c r="GDN48" s="66"/>
      <c r="GDO48" s="66"/>
      <c r="GDP48" s="66"/>
      <c r="GDQ48" s="66"/>
      <c r="GDR48" s="66"/>
      <c r="GDS48" s="66"/>
      <c r="GDT48" s="66"/>
      <c r="GDU48" s="66"/>
      <c r="GDV48" s="66"/>
      <c r="GDW48" s="66"/>
      <c r="GDX48" s="66"/>
      <c r="GDY48" s="66"/>
      <c r="GDZ48" s="66"/>
      <c r="GEA48" s="66"/>
      <c r="GEB48" s="66"/>
      <c r="GEC48" s="66"/>
      <c r="GED48" s="66"/>
      <c r="GEE48" s="66"/>
      <c r="GEF48" s="66"/>
      <c r="GEG48" s="66"/>
      <c r="GEH48" s="66"/>
      <c r="GEI48" s="66"/>
      <c r="GEJ48" s="66"/>
      <c r="GEK48" s="66"/>
      <c r="GEL48" s="66"/>
      <c r="GEM48" s="66"/>
      <c r="GEN48" s="66"/>
      <c r="GEO48" s="66"/>
      <c r="GEP48" s="66"/>
      <c r="GEQ48" s="66"/>
      <c r="GER48" s="66"/>
      <c r="GES48" s="66"/>
      <c r="GET48" s="66"/>
      <c r="GEU48" s="66"/>
      <c r="GEV48" s="66"/>
      <c r="GEW48" s="66"/>
      <c r="GEX48" s="66"/>
      <c r="GEY48" s="66"/>
      <c r="GEZ48" s="66"/>
      <c r="GFA48" s="66"/>
      <c r="GFB48" s="66"/>
      <c r="GFC48" s="66"/>
      <c r="GFD48" s="66"/>
      <c r="GFE48" s="66"/>
      <c r="GFF48" s="66"/>
      <c r="GFG48" s="66"/>
      <c r="GFH48" s="66"/>
      <c r="GFI48" s="66"/>
      <c r="GFJ48" s="66"/>
      <c r="GFK48" s="66"/>
      <c r="GFL48" s="66"/>
      <c r="GFM48" s="66"/>
      <c r="GFN48" s="66"/>
      <c r="GFO48" s="66"/>
      <c r="GFP48" s="66"/>
      <c r="GFQ48" s="66"/>
      <c r="GFR48" s="66"/>
      <c r="GFS48" s="66"/>
      <c r="GFT48" s="66"/>
      <c r="GFU48" s="66"/>
      <c r="GFV48" s="66"/>
      <c r="GFW48" s="66"/>
      <c r="GFX48" s="66"/>
      <c r="GFY48" s="66"/>
      <c r="GFZ48" s="66"/>
      <c r="GGA48" s="66"/>
      <c r="GGB48" s="66"/>
      <c r="GGC48" s="66"/>
      <c r="GGD48" s="66"/>
      <c r="GGE48" s="66"/>
      <c r="GGF48" s="66"/>
      <c r="GGG48" s="66"/>
      <c r="GGH48" s="66"/>
      <c r="GGI48" s="66"/>
      <c r="GGJ48" s="66"/>
      <c r="GGK48" s="66"/>
      <c r="GGL48" s="66"/>
      <c r="GGM48" s="66"/>
      <c r="GGN48" s="66"/>
      <c r="GGO48" s="66"/>
      <c r="GGP48" s="66"/>
      <c r="GGQ48" s="66"/>
      <c r="GGR48" s="66"/>
      <c r="GGS48" s="66"/>
      <c r="GGT48" s="66"/>
      <c r="GGU48" s="66"/>
      <c r="GGV48" s="66"/>
      <c r="GGW48" s="66"/>
      <c r="GGX48" s="66"/>
      <c r="GGY48" s="66"/>
      <c r="GGZ48" s="66"/>
      <c r="GHA48" s="66"/>
      <c r="GHB48" s="66"/>
      <c r="GHC48" s="66"/>
      <c r="GHD48" s="66"/>
      <c r="GHE48" s="66"/>
      <c r="GHF48" s="66"/>
      <c r="GHG48" s="66"/>
      <c r="GHH48" s="66"/>
      <c r="GHI48" s="66"/>
      <c r="GHJ48" s="66"/>
      <c r="GHK48" s="66"/>
      <c r="GHL48" s="66"/>
      <c r="GHM48" s="66"/>
      <c r="GHN48" s="66"/>
      <c r="GHO48" s="66"/>
      <c r="GHP48" s="66"/>
      <c r="GHQ48" s="66"/>
      <c r="GHR48" s="66"/>
      <c r="GHS48" s="66"/>
      <c r="GHT48" s="66"/>
      <c r="GHU48" s="66"/>
      <c r="GHV48" s="66"/>
      <c r="GHW48" s="66"/>
      <c r="GHX48" s="66"/>
      <c r="GHY48" s="66"/>
      <c r="GHZ48" s="66"/>
      <c r="GIA48" s="66"/>
      <c r="GIB48" s="66"/>
      <c r="GIC48" s="66"/>
      <c r="GID48" s="66"/>
      <c r="GIE48" s="66"/>
      <c r="GIF48" s="66"/>
      <c r="GIG48" s="66"/>
      <c r="GIH48" s="66"/>
      <c r="GII48" s="66"/>
      <c r="GIJ48" s="66"/>
      <c r="GIK48" s="66"/>
      <c r="GIL48" s="66"/>
      <c r="GIM48" s="66"/>
      <c r="GIN48" s="66"/>
      <c r="GIO48" s="66"/>
      <c r="GIP48" s="66"/>
      <c r="GIQ48" s="66"/>
      <c r="GIR48" s="66"/>
      <c r="GIS48" s="66"/>
      <c r="GIT48" s="66"/>
      <c r="GIU48" s="66"/>
      <c r="GIV48" s="66"/>
      <c r="GIW48" s="66"/>
      <c r="GIX48" s="66"/>
      <c r="GIY48" s="66"/>
      <c r="GIZ48" s="66"/>
      <c r="GJA48" s="66"/>
      <c r="GJB48" s="66"/>
      <c r="GJC48" s="66"/>
      <c r="GJD48" s="66"/>
      <c r="GJE48" s="66"/>
      <c r="GJF48" s="66"/>
      <c r="GJG48" s="66"/>
      <c r="GJH48" s="66"/>
      <c r="GJI48" s="66"/>
      <c r="GJJ48" s="66"/>
      <c r="GJK48" s="66"/>
      <c r="GJL48" s="66"/>
      <c r="GJM48" s="66"/>
      <c r="GJN48" s="66"/>
      <c r="GJO48" s="66"/>
      <c r="GJP48" s="66"/>
      <c r="GJQ48" s="66"/>
      <c r="GJR48" s="66"/>
      <c r="GJS48" s="66"/>
      <c r="GJT48" s="66"/>
      <c r="GJU48" s="66"/>
      <c r="GJV48" s="66"/>
      <c r="GJW48" s="66"/>
      <c r="GJX48" s="66"/>
      <c r="GJY48" s="66"/>
      <c r="GJZ48" s="66"/>
      <c r="GKA48" s="66"/>
      <c r="GKB48" s="66"/>
      <c r="GKC48" s="66"/>
      <c r="GKD48" s="66"/>
      <c r="GKE48" s="66"/>
      <c r="GKF48" s="66"/>
      <c r="GKG48" s="66"/>
      <c r="GKH48" s="66"/>
      <c r="GKI48" s="66"/>
      <c r="GKJ48" s="66"/>
      <c r="GKK48" s="66"/>
      <c r="GKL48" s="66"/>
      <c r="GKM48" s="66"/>
      <c r="GKN48" s="66"/>
      <c r="GKO48" s="66"/>
      <c r="GKP48" s="66"/>
      <c r="GKQ48" s="66"/>
      <c r="GKR48" s="66"/>
      <c r="GKS48" s="66"/>
      <c r="GKT48" s="66"/>
      <c r="GKU48" s="66"/>
      <c r="GKV48" s="66"/>
      <c r="GKW48" s="66"/>
      <c r="GKX48" s="66"/>
      <c r="GKY48" s="66"/>
      <c r="GKZ48" s="66"/>
      <c r="GLA48" s="66"/>
      <c r="GLB48" s="66"/>
      <c r="GLC48" s="66"/>
      <c r="GLD48" s="66"/>
      <c r="GLE48" s="66"/>
      <c r="GLF48" s="66"/>
      <c r="GLG48" s="66"/>
      <c r="GLH48" s="66"/>
      <c r="GLI48" s="66"/>
      <c r="GLJ48" s="66"/>
      <c r="GLK48" s="66"/>
      <c r="GLL48" s="66"/>
      <c r="GLM48" s="66"/>
      <c r="GLN48" s="66"/>
      <c r="GLO48" s="66"/>
      <c r="GLP48" s="66"/>
      <c r="GLQ48" s="66"/>
      <c r="GLR48" s="66"/>
      <c r="GLS48" s="66"/>
      <c r="GLT48" s="66"/>
      <c r="GLU48" s="66"/>
      <c r="GLV48" s="66"/>
      <c r="GLW48" s="66"/>
      <c r="GLX48" s="66"/>
      <c r="GLY48" s="66"/>
      <c r="GLZ48" s="66"/>
      <c r="GMA48" s="66"/>
      <c r="GMB48" s="66"/>
      <c r="GMC48" s="66"/>
      <c r="GMD48" s="66"/>
      <c r="GME48" s="66"/>
      <c r="GMF48" s="66"/>
      <c r="GMG48" s="66"/>
      <c r="GMH48" s="66"/>
      <c r="GMI48" s="66"/>
      <c r="GMJ48" s="66"/>
      <c r="GMK48" s="66"/>
      <c r="GML48" s="66"/>
      <c r="GMM48" s="66"/>
      <c r="GMN48" s="66"/>
      <c r="GMO48" s="66"/>
      <c r="GMP48" s="66"/>
      <c r="GMQ48" s="66"/>
      <c r="GMR48" s="66"/>
      <c r="GMS48" s="66"/>
      <c r="GMT48" s="66"/>
      <c r="GMU48" s="66"/>
      <c r="GMV48" s="66"/>
      <c r="GMW48" s="66"/>
      <c r="GMX48" s="66"/>
      <c r="GMY48" s="66"/>
      <c r="GMZ48" s="66"/>
      <c r="GNA48" s="66"/>
      <c r="GNB48" s="66"/>
      <c r="GNC48" s="66"/>
      <c r="GND48" s="66"/>
      <c r="GNE48" s="66"/>
      <c r="GNF48" s="66"/>
      <c r="GNG48" s="66"/>
      <c r="GNH48" s="66"/>
      <c r="GNI48" s="66"/>
      <c r="GNJ48" s="66"/>
      <c r="GNK48" s="66"/>
      <c r="GNL48" s="66"/>
      <c r="GNM48" s="66"/>
      <c r="GNN48" s="66"/>
      <c r="GNO48" s="66"/>
      <c r="GNP48" s="66"/>
      <c r="GNQ48" s="66"/>
      <c r="GNR48" s="66"/>
      <c r="GNS48" s="66"/>
      <c r="GNT48" s="66"/>
      <c r="GNU48" s="66"/>
      <c r="GNV48" s="66"/>
      <c r="GNW48" s="66"/>
      <c r="GNX48" s="66"/>
      <c r="GNY48" s="66"/>
      <c r="GNZ48" s="66"/>
      <c r="GOA48" s="66"/>
      <c r="GOB48" s="66"/>
      <c r="GOC48" s="66"/>
      <c r="GOD48" s="66"/>
      <c r="GOE48" s="66"/>
      <c r="GOF48" s="66"/>
      <c r="GOG48" s="66"/>
      <c r="GOH48" s="66"/>
      <c r="GOI48" s="66"/>
      <c r="GOJ48" s="66"/>
      <c r="GOK48" s="66"/>
      <c r="GOL48" s="66"/>
      <c r="GOM48" s="66"/>
      <c r="GON48" s="66"/>
      <c r="GOO48" s="66"/>
      <c r="GOP48" s="66"/>
      <c r="GOQ48" s="66"/>
      <c r="GOR48" s="66"/>
      <c r="GOS48" s="66"/>
      <c r="GOT48" s="66"/>
      <c r="GOU48" s="66"/>
      <c r="GOV48" s="66"/>
      <c r="GOW48" s="66"/>
      <c r="GOX48" s="66"/>
      <c r="GOY48" s="66"/>
      <c r="GOZ48" s="66"/>
      <c r="GPA48" s="66"/>
      <c r="GPB48" s="66"/>
      <c r="GPC48" s="66"/>
      <c r="GPD48" s="66"/>
      <c r="GPE48" s="66"/>
      <c r="GPF48" s="66"/>
      <c r="GPG48" s="66"/>
      <c r="GPH48" s="66"/>
      <c r="GPI48" s="66"/>
      <c r="GPJ48" s="66"/>
      <c r="GPK48" s="66"/>
      <c r="GPL48" s="66"/>
      <c r="GPM48" s="66"/>
      <c r="GPN48" s="66"/>
      <c r="GPO48" s="66"/>
      <c r="GPP48" s="66"/>
      <c r="GPQ48" s="66"/>
      <c r="GPR48" s="66"/>
      <c r="GPS48" s="66"/>
      <c r="GPT48" s="66"/>
      <c r="GPU48" s="66"/>
      <c r="GPV48" s="66"/>
      <c r="GPW48" s="66"/>
      <c r="GPX48" s="66"/>
      <c r="GPY48" s="66"/>
      <c r="GPZ48" s="66"/>
      <c r="GQA48" s="66"/>
      <c r="GQB48" s="66"/>
      <c r="GQC48" s="66"/>
      <c r="GQD48" s="66"/>
      <c r="GQE48" s="66"/>
      <c r="GQF48" s="66"/>
      <c r="GQG48" s="66"/>
      <c r="GQH48" s="66"/>
      <c r="GQI48" s="66"/>
      <c r="GQJ48" s="66"/>
      <c r="GQK48" s="66"/>
      <c r="GQL48" s="66"/>
      <c r="GQM48" s="66"/>
      <c r="GQN48" s="66"/>
      <c r="GQO48" s="66"/>
      <c r="GQP48" s="66"/>
      <c r="GQQ48" s="66"/>
      <c r="GQR48" s="66"/>
      <c r="GQS48" s="66"/>
      <c r="GQT48" s="66"/>
      <c r="GQU48" s="66"/>
      <c r="GQV48" s="66"/>
      <c r="GQW48" s="66"/>
      <c r="GQX48" s="66"/>
      <c r="GQY48" s="66"/>
      <c r="GQZ48" s="66"/>
      <c r="GRA48" s="66"/>
      <c r="GRB48" s="66"/>
      <c r="GRC48" s="66"/>
      <c r="GRD48" s="66"/>
      <c r="GRE48" s="66"/>
      <c r="GRF48" s="66"/>
      <c r="GRG48" s="66"/>
      <c r="GRH48" s="66"/>
      <c r="GRI48" s="66"/>
      <c r="GRJ48" s="66"/>
      <c r="GRK48" s="66"/>
      <c r="GRL48" s="66"/>
      <c r="GRM48" s="66"/>
      <c r="GRN48" s="66"/>
      <c r="GRO48" s="66"/>
      <c r="GRP48" s="66"/>
      <c r="GRQ48" s="66"/>
      <c r="GRR48" s="66"/>
      <c r="GRS48" s="66"/>
      <c r="GRT48" s="66"/>
      <c r="GRU48" s="66"/>
      <c r="GRV48" s="66"/>
      <c r="GRW48" s="66"/>
      <c r="GRX48" s="66"/>
      <c r="GRY48" s="66"/>
      <c r="GRZ48" s="66"/>
      <c r="GSA48" s="66"/>
      <c r="GSB48" s="66"/>
      <c r="GSC48" s="66"/>
      <c r="GSD48" s="66"/>
      <c r="GSE48" s="66"/>
      <c r="GSF48" s="66"/>
      <c r="GSG48" s="66"/>
      <c r="GSH48" s="66"/>
      <c r="GSI48" s="66"/>
      <c r="GSJ48" s="66"/>
      <c r="GSK48" s="66"/>
      <c r="GSL48" s="66"/>
      <c r="GSM48" s="66"/>
      <c r="GSN48" s="66"/>
      <c r="GSO48" s="66"/>
      <c r="GSP48" s="66"/>
      <c r="GSQ48" s="66"/>
      <c r="GSR48" s="66"/>
      <c r="GSS48" s="66"/>
      <c r="GST48" s="66"/>
      <c r="GSU48" s="66"/>
      <c r="GSV48" s="66"/>
      <c r="GSW48" s="66"/>
      <c r="GSX48" s="66"/>
      <c r="GSY48" s="66"/>
      <c r="GSZ48" s="66"/>
      <c r="GTA48" s="66"/>
      <c r="GTB48" s="66"/>
      <c r="GTC48" s="66"/>
      <c r="GTD48" s="66"/>
      <c r="GTE48" s="66"/>
      <c r="GTF48" s="66"/>
      <c r="GTG48" s="66"/>
      <c r="GTH48" s="66"/>
      <c r="GTI48" s="66"/>
      <c r="GTJ48" s="66"/>
      <c r="GTK48" s="66"/>
      <c r="GTL48" s="66"/>
      <c r="GTM48" s="66"/>
      <c r="GTN48" s="66"/>
      <c r="GTO48" s="66"/>
      <c r="GTP48" s="66"/>
      <c r="GTQ48" s="66"/>
      <c r="GTR48" s="66"/>
      <c r="GTS48" s="66"/>
      <c r="GTT48" s="66"/>
      <c r="GTU48" s="66"/>
      <c r="GTV48" s="66"/>
      <c r="GTW48" s="66"/>
      <c r="GTX48" s="66"/>
      <c r="GTY48" s="66"/>
      <c r="GTZ48" s="66"/>
      <c r="GUA48" s="66"/>
      <c r="GUB48" s="66"/>
      <c r="GUC48" s="66"/>
      <c r="GUD48" s="66"/>
      <c r="GUE48" s="66"/>
      <c r="GUF48" s="66"/>
      <c r="GUG48" s="66"/>
      <c r="GUH48" s="66"/>
      <c r="GUI48" s="66"/>
      <c r="GUJ48" s="66"/>
      <c r="GUK48" s="66"/>
      <c r="GUL48" s="66"/>
      <c r="GUM48" s="66"/>
      <c r="GUN48" s="66"/>
      <c r="GUO48" s="66"/>
      <c r="GUP48" s="66"/>
      <c r="GUQ48" s="66"/>
      <c r="GUR48" s="66"/>
      <c r="GUS48" s="66"/>
      <c r="GUT48" s="66"/>
      <c r="GUU48" s="66"/>
      <c r="GUV48" s="66"/>
      <c r="GUW48" s="66"/>
      <c r="GUX48" s="66"/>
      <c r="GUY48" s="66"/>
      <c r="GUZ48" s="66"/>
      <c r="GVA48" s="66"/>
      <c r="GVB48" s="66"/>
      <c r="GVC48" s="66"/>
      <c r="GVD48" s="66"/>
      <c r="GVE48" s="66"/>
      <c r="GVF48" s="66"/>
      <c r="GVG48" s="66"/>
      <c r="GVH48" s="66"/>
      <c r="GVI48" s="66"/>
      <c r="GVJ48" s="66"/>
      <c r="GVK48" s="66"/>
      <c r="GVL48" s="66"/>
      <c r="GVM48" s="66"/>
      <c r="GVN48" s="66"/>
      <c r="GVO48" s="66"/>
      <c r="GVP48" s="66"/>
      <c r="GVQ48" s="66"/>
      <c r="GVR48" s="66"/>
      <c r="GVS48" s="66"/>
      <c r="GVT48" s="66"/>
      <c r="GVU48" s="66"/>
      <c r="GVV48" s="66"/>
      <c r="GVW48" s="66"/>
      <c r="GVX48" s="66"/>
      <c r="GVY48" s="66"/>
      <c r="GVZ48" s="66"/>
      <c r="GWA48" s="66"/>
      <c r="GWB48" s="66"/>
      <c r="GWC48" s="66"/>
      <c r="GWD48" s="66"/>
      <c r="GWE48" s="66"/>
      <c r="GWF48" s="66"/>
      <c r="GWG48" s="66"/>
      <c r="GWH48" s="66"/>
      <c r="GWI48" s="66"/>
      <c r="GWJ48" s="66"/>
      <c r="GWK48" s="66"/>
      <c r="GWL48" s="66"/>
      <c r="GWM48" s="66"/>
      <c r="GWN48" s="66"/>
      <c r="GWO48" s="66"/>
      <c r="GWP48" s="66"/>
      <c r="GWQ48" s="66"/>
      <c r="GWR48" s="66"/>
      <c r="GWS48" s="66"/>
      <c r="GWT48" s="66"/>
      <c r="GWU48" s="66"/>
      <c r="GWV48" s="66"/>
      <c r="GWW48" s="66"/>
      <c r="GWX48" s="66"/>
      <c r="GWY48" s="66"/>
      <c r="GWZ48" s="66"/>
      <c r="GXA48" s="66"/>
      <c r="GXB48" s="66"/>
      <c r="GXC48" s="66"/>
      <c r="GXD48" s="66"/>
      <c r="GXE48" s="66"/>
      <c r="GXF48" s="66"/>
      <c r="GXG48" s="66"/>
      <c r="GXH48" s="66"/>
      <c r="GXI48" s="66"/>
      <c r="GXJ48" s="66"/>
      <c r="GXK48" s="66"/>
      <c r="GXL48" s="66"/>
      <c r="GXM48" s="66"/>
      <c r="GXN48" s="66"/>
      <c r="GXO48" s="66"/>
      <c r="GXP48" s="66"/>
      <c r="GXQ48" s="66"/>
      <c r="GXR48" s="66"/>
      <c r="GXS48" s="66"/>
      <c r="GXT48" s="66"/>
      <c r="GXU48" s="66"/>
      <c r="GXV48" s="66"/>
      <c r="GXW48" s="66"/>
      <c r="GXX48" s="66"/>
      <c r="GXY48" s="66"/>
      <c r="GXZ48" s="66"/>
      <c r="GYA48" s="66"/>
      <c r="GYB48" s="66"/>
      <c r="GYC48" s="66"/>
      <c r="GYD48" s="66"/>
      <c r="GYE48" s="66"/>
      <c r="GYF48" s="66"/>
      <c r="GYG48" s="66"/>
      <c r="GYH48" s="66"/>
      <c r="GYI48" s="66"/>
      <c r="GYJ48" s="66"/>
      <c r="GYK48" s="66"/>
      <c r="GYL48" s="66"/>
      <c r="GYM48" s="66"/>
      <c r="GYN48" s="66"/>
      <c r="GYO48" s="66"/>
      <c r="GYP48" s="66"/>
      <c r="GYQ48" s="66"/>
      <c r="GYR48" s="66"/>
      <c r="GYS48" s="66"/>
      <c r="GYT48" s="66"/>
      <c r="GYU48" s="66"/>
      <c r="GYV48" s="66"/>
      <c r="GYW48" s="66"/>
      <c r="GYX48" s="66"/>
      <c r="GYY48" s="66"/>
      <c r="GYZ48" s="66"/>
      <c r="GZA48" s="66"/>
      <c r="GZB48" s="66"/>
      <c r="GZC48" s="66"/>
      <c r="GZD48" s="66"/>
      <c r="GZE48" s="66"/>
      <c r="GZF48" s="66"/>
      <c r="GZG48" s="66"/>
      <c r="GZH48" s="66"/>
      <c r="GZI48" s="66"/>
      <c r="GZJ48" s="66"/>
      <c r="GZK48" s="66"/>
      <c r="GZL48" s="66"/>
      <c r="GZM48" s="66"/>
      <c r="GZN48" s="66"/>
      <c r="GZO48" s="66"/>
      <c r="GZP48" s="66"/>
      <c r="GZQ48" s="66"/>
      <c r="GZR48" s="66"/>
      <c r="GZS48" s="66"/>
      <c r="GZT48" s="66"/>
      <c r="GZU48" s="66"/>
      <c r="GZV48" s="66"/>
      <c r="GZW48" s="66"/>
      <c r="GZX48" s="66"/>
      <c r="GZY48" s="66"/>
      <c r="GZZ48" s="66"/>
      <c r="HAA48" s="66"/>
      <c r="HAB48" s="66"/>
      <c r="HAC48" s="66"/>
      <c r="HAD48" s="66"/>
      <c r="HAE48" s="66"/>
      <c r="HAF48" s="66"/>
      <c r="HAG48" s="66"/>
      <c r="HAH48" s="66"/>
      <c r="HAI48" s="66"/>
      <c r="HAJ48" s="66"/>
      <c r="HAK48" s="66"/>
      <c r="HAL48" s="66"/>
      <c r="HAM48" s="66"/>
      <c r="HAN48" s="66"/>
      <c r="HAO48" s="66"/>
      <c r="HAP48" s="66"/>
      <c r="HAQ48" s="66"/>
      <c r="HAR48" s="66"/>
      <c r="HAS48" s="66"/>
      <c r="HAT48" s="66"/>
      <c r="HAU48" s="66"/>
      <c r="HAV48" s="66"/>
      <c r="HAW48" s="66"/>
      <c r="HAX48" s="66"/>
      <c r="HAY48" s="66"/>
      <c r="HAZ48" s="66"/>
      <c r="HBA48" s="66"/>
      <c r="HBB48" s="66"/>
      <c r="HBC48" s="66"/>
      <c r="HBD48" s="66"/>
      <c r="HBE48" s="66"/>
      <c r="HBF48" s="66"/>
      <c r="HBG48" s="66"/>
      <c r="HBH48" s="66"/>
      <c r="HBI48" s="66"/>
      <c r="HBJ48" s="66"/>
      <c r="HBK48" s="66"/>
      <c r="HBL48" s="66"/>
      <c r="HBM48" s="66"/>
      <c r="HBN48" s="66"/>
      <c r="HBO48" s="66"/>
      <c r="HBP48" s="66"/>
      <c r="HBQ48" s="66"/>
      <c r="HBR48" s="66"/>
      <c r="HBS48" s="66"/>
      <c r="HBT48" s="66"/>
      <c r="HBU48" s="66"/>
      <c r="HBV48" s="66"/>
      <c r="HBW48" s="66"/>
      <c r="HBX48" s="66"/>
      <c r="HBY48" s="66"/>
      <c r="HBZ48" s="66"/>
      <c r="HCA48" s="66"/>
      <c r="HCB48" s="66"/>
      <c r="HCC48" s="66"/>
      <c r="HCD48" s="66"/>
      <c r="HCE48" s="66"/>
      <c r="HCF48" s="66"/>
      <c r="HCG48" s="66"/>
      <c r="HCH48" s="66"/>
      <c r="HCI48" s="66"/>
      <c r="HCJ48" s="66"/>
      <c r="HCK48" s="66"/>
      <c r="HCL48" s="66"/>
      <c r="HCM48" s="66"/>
      <c r="HCN48" s="66"/>
      <c r="HCO48" s="66"/>
      <c r="HCP48" s="66"/>
      <c r="HCQ48" s="66"/>
      <c r="HCR48" s="66"/>
      <c r="HCS48" s="66"/>
      <c r="HCT48" s="66"/>
      <c r="HCU48" s="66"/>
      <c r="HCV48" s="66"/>
      <c r="HCW48" s="66"/>
      <c r="HCX48" s="66"/>
      <c r="HCY48" s="66"/>
      <c r="HCZ48" s="66"/>
      <c r="HDA48" s="66"/>
      <c r="HDB48" s="66"/>
      <c r="HDC48" s="66"/>
      <c r="HDD48" s="66"/>
      <c r="HDE48" s="66"/>
      <c r="HDF48" s="66"/>
      <c r="HDG48" s="66"/>
      <c r="HDH48" s="66"/>
      <c r="HDI48" s="66"/>
      <c r="HDJ48" s="66"/>
      <c r="HDK48" s="66"/>
      <c r="HDL48" s="66"/>
      <c r="HDM48" s="66"/>
      <c r="HDN48" s="66"/>
      <c r="HDO48" s="66"/>
      <c r="HDP48" s="66"/>
      <c r="HDQ48" s="66"/>
      <c r="HDR48" s="66"/>
      <c r="HDS48" s="66"/>
      <c r="HDT48" s="66"/>
      <c r="HDU48" s="66"/>
      <c r="HDV48" s="66"/>
      <c r="HDW48" s="66"/>
      <c r="HDX48" s="66"/>
      <c r="HDY48" s="66"/>
      <c r="HDZ48" s="66"/>
      <c r="HEA48" s="66"/>
      <c r="HEB48" s="66"/>
      <c r="HEC48" s="66"/>
      <c r="HED48" s="66"/>
      <c r="HEE48" s="66"/>
      <c r="HEF48" s="66"/>
      <c r="HEG48" s="66"/>
      <c r="HEH48" s="66"/>
      <c r="HEI48" s="66"/>
      <c r="HEJ48" s="66"/>
      <c r="HEK48" s="66"/>
      <c r="HEL48" s="66"/>
      <c r="HEM48" s="66"/>
      <c r="HEN48" s="66"/>
      <c r="HEO48" s="66"/>
      <c r="HEP48" s="66"/>
      <c r="HEQ48" s="66"/>
      <c r="HER48" s="66"/>
      <c r="HES48" s="66"/>
      <c r="HET48" s="66"/>
      <c r="HEU48" s="66"/>
      <c r="HEV48" s="66"/>
      <c r="HEW48" s="66"/>
      <c r="HEX48" s="66"/>
      <c r="HEY48" s="66"/>
      <c r="HEZ48" s="66"/>
      <c r="HFA48" s="66"/>
      <c r="HFB48" s="66"/>
      <c r="HFC48" s="66"/>
      <c r="HFD48" s="66"/>
      <c r="HFE48" s="66"/>
      <c r="HFF48" s="66"/>
      <c r="HFG48" s="66"/>
      <c r="HFH48" s="66"/>
      <c r="HFI48" s="66"/>
      <c r="HFJ48" s="66"/>
      <c r="HFK48" s="66"/>
      <c r="HFL48" s="66"/>
      <c r="HFM48" s="66"/>
      <c r="HFN48" s="66"/>
      <c r="HFO48" s="66"/>
      <c r="HFP48" s="66"/>
      <c r="HFQ48" s="66"/>
      <c r="HFR48" s="66"/>
      <c r="HFS48" s="66"/>
      <c r="HFT48" s="66"/>
      <c r="HFU48" s="66"/>
      <c r="HFV48" s="66"/>
      <c r="HFW48" s="66"/>
      <c r="HFX48" s="66"/>
      <c r="HFY48" s="66"/>
      <c r="HFZ48" s="66"/>
      <c r="HGA48" s="66"/>
      <c r="HGB48" s="66"/>
      <c r="HGC48" s="66"/>
      <c r="HGD48" s="66"/>
      <c r="HGE48" s="66"/>
      <c r="HGF48" s="66"/>
      <c r="HGG48" s="66"/>
      <c r="HGH48" s="66"/>
      <c r="HGI48" s="66"/>
      <c r="HGJ48" s="66"/>
      <c r="HGK48" s="66"/>
      <c r="HGL48" s="66"/>
      <c r="HGM48" s="66"/>
      <c r="HGN48" s="66"/>
      <c r="HGO48" s="66"/>
      <c r="HGP48" s="66"/>
      <c r="HGQ48" s="66"/>
      <c r="HGR48" s="66"/>
      <c r="HGS48" s="66"/>
      <c r="HGT48" s="66"/>
      <c r="HGU48" s="66"/>
      <c r="HGV48" s="66"/>
      <c r="HGW48" s="66"/>
      <c r="HGX48" s="66"/>
      <c r="HGY48" s="66"/>
      <c r="HGZ48" s="66"/>
      <c r="HHA48" s="66"/>
      <c r="HHB48" s="66"/>
      <c r="HHC48" s="66"/>
      <c r="HHD48" s="66"/>
      <c r="HHE48" s="66"/>
      <c r="HHF48" s="66"/>
      <c r="HHG48" s="66"/>
      <c r="HHH48" s="66"/>
      <c r="HHI48" s="66"/>
      <c r="HHJ48" s="66"/>
      <c r="HHK48" s="66"/>
      <c r="HHL48" s="66"/>
      <c r="HHM48" s="66"/>
      <c r="HHN48" s="66"/>
      <c r="HHO48" s="66"/>
      <c r="HHP48" s="66"/>
      <c r="HHQ48" s="66"/>
      <c r="HHR48" s="66"/>
      <c r="HHS48" s="66"/>
      <c r="HHT48" s="66"/>
      <c r="HHU48" s="66"/>
      <c r="HHV48" s="66"/>
      <c r="HHW48" s="66"/>
      <c r="HHX48" s="66"/>
      <c r="HHY48" s="66"/>
      <c r="HHZ48" s="66"/>
      <c r="HIA48" s="66"/>
      <c r="HIB48" s="66"/>
      <c r="HIC48" s="66"/>
      <c r="HID48" s="66"/>
      <c r="HIE48" s="66"/>
      <c r="HIF48" s="66"/>
      <c r="HIG48" s="66"/>
      <c r="HIH48" s="66"/>
      <c r="HII48" s="66"/>
      <c r="HIJ48" s="66"/>
      <c r="HIK48" s="66"/>
      <c r="HIL48" s="66"/>
      <c r="HIM48" s="66"/>
      <c r="HIN48" s="66"/>
      <c r="HIO48" s="66"/>
      <c r="HIP48" s="66"/>
      <c r="HIQ48" s="66"/>
      <c r="HIR48" s="66"/>
      <c r="HIS48" s="66"/>
      <c r="HIT48" s="66"/>
      <c r="HIU48" s="66"/>
      <c r="HIV48" s="66"/>
      <c r="HIW48" s="66"/>
      <c r="HIX48" s="66"/>
      <c r="HIY48" s="66"/>
      <c r="HIZ48" s="66"/>
      <c r="HJA48" s="66"/>
      <c r="HJB48" s="66"/>
      <c r="HJC48" s="66"/>
      <c r="HJD48" s="66"/>
      <c r="HJE48" s="66"/>
      <c r="HJF48" s="66"/>
      <c r="HJG48" s="66"/>
      <c r="HJH48" s="66"/>
      <c r="HJI48" s="66"/>
      <c r="HJJ48" s="66"/>
      <c r="HJK48" s="66"/>
      <c r="HJL48" s="66"/>
      <c r="HJM48" s="66"/>
      <c r="HJN48" s="66"/>
      <c r="HJO48" s="66"/>
      <c r="HJP48" s="66"/>
      <c r="HJQ48" s="66"/>
      <c r="HJR48" s="66"/>
      <c r="HJS48" s="66"/>
      <c r="HJT48" s="66"/>
      <c r="HJU48" s="66"/>
      <c r="HJV48" s="66"/>
      <c r="HJW48" s="66"/>
      <c r="HJX48" s="66"/>
      <c r="HJY48" s="66"/>
      <c r="HJZ48" s="66"/>
      <c r="HKA48" s="66"/>
      <c r="HKB48" s="66"/>
      <c r="HKC48" s="66"/>
      <c r="HKD48" s="66"/>
      <c r="HKE48" s="66"/>
      <c r="HKF48" s="66"/>
      <c r="HKG48" s="66"/>
      <c r="HKH48" s="66"/>
      <c r="HKI48" s="66"/>
      <c r="HKJ48" s="66"/>
      <c r="HKK48" s="66"/>
      <c r="HKL48" s="66"/>
      <c r="HKM48" s="66"/>
      <c r="HKN48" s="66"/>
      <c r="HKO48" s="66"/>
      <c r="HKP48" s="66"/>
      <c r="HKQ48" s="66"/>
      <c r="HKR48" s="66"/>
      <c r="HKS48" s="66"/>
      <c r="HKT48" s="66"/>
      <c r="HKU48" s="66"/>
      <c r="HKV48" s="66"/>
      <c r="HKW48" s="66"/>
      <c r="HKX48" s="66"/>
      <c r="HKY48" s="66"/>
      <c r="HKZ48" s="66"/>
      <c r="HLA48" s="66"/>
      <c r="HLB48" s="66"/>
      <c r="HLC48" s="66"/>
      <c r="HLD48" s="66"/>
      <c r="HLE48" s="66"/>
      <c r="HLF48" s="66"/>
      <c r="HLG48" s="66"/>
      <c r="HLH48" s="66"/>
      <c r="HLI48" s="66"/>
      <c r="HLJ48" s="66"/>
      <c r="HLK48" s="66"/>
      <c r="HLL48" s="66"/>
      <c r="HLM48" s="66"/>
      <c r="HLN48" s="66"/>
      <c r="HLO48" s="66"/>
      <c r="HLP48" s="66"/>
      <c r="HLQ48" s="66"/>
      <c r="HLR48" s="66"/>
      <c r="HLS48" s="66"/>
      <c r="HLT48" s="66"/>
      <c r="HLU48" s="66"/>
      <c r="HLV48" s="66"/>
      <c r="HLW48" s="66"/>
      <c r="HLX48" s="66"/>
      <c r="HLY48" s="66"/>
      <c r="HLZ48" s="66"/>
      <c r="HMA48" s="66"/>
      <c r="HMB48" s="66"/>
      <c r="HMC48" s="66"/>
      <c r="HMD48" s="66"/>
      <c r="HME48" s="66"/>
      <c r="HMF48" s="66"/>
      <c r="HMG48" s="66"/>
      <c r="HMH48" s="66"/>
      <c r="HMI48" s="66"/>
      <c r="HMJ48" s="66"/>
      <c r="HMK48" s="66"/>
      <c r="HML48" s="66"/>
      <c r="HMM48" s="66"/>
      <c r="HMN48" s="66"/>
      <c r="HMO48" s="66"/>
      <c r="HMP48" s="66"/>
      <c r="HMQ48" s="66"/>
      <c r="HMR48" s="66"/>
      <c r="HMS48" s="66"/>
      <c r="HMT48" s="66"/>
      <c r="HMU48" s="66"/>
      <c r="HMV48" s="66"/>
      <c r="HMW48" s="66"/>
      <c r="HMX48" s="66"/>
      <c r="HMY48" s="66"/>
      <c r="HMZ48" s="66"/>
      <c r="HNA48" s="66"/>
      <c r="HNB48" s="66"/>
      <c r="HNC48" s="66"/>
      <c r="HND48" s="66"/>
      <c r="HNE48" s="66"/>
      <c r="HNF48" s="66"/>
      <c r="HNG48" s="66"/>
      <c r="HNH48" s="66"/>
      <c r="HNI48" s="66"/>
      <c r="HNJ48" s="66"/>
      <c r="HNK48" s="66"/>
      <c r="HNL48" s="66"/>
      <c r="HNM48" s="66"/>
      <c r="HNN48" s="66"/>
      <c r="HNO48" s="66"/>
      <c r="HNP48" s="66"/>
      <c r="HNQ48" s="66"/>
      <c r="HNR48" s="66"/>
      <c r="HNS48" s="66"/>
      <c r="HNT48" s="66"/>
      <c r="HNU48" s="66"/>
      <c r="HNV48" s="66"/>
      <c r="HNW48" s="66"/>
      <c r="HNX48" s="66"/>
      <c r="HNY48" s="66"/>
      <c r="HNZ48" s="66"/>
      <c r="HOA48" s="66"/>
      <c r="HOB48" s="66"/>
      <c r="HOC48" s="66"/>
      <c r="HOD48" s="66"/>
      <c r="HOE48" s="66"/>
      <c r="HOF48" s="66"/>
      <c r="HOG48" s="66"/>
      <c r="HOH48" s="66"/>
      <c r="HOI48" s="66"/>
      <c r="HOJ48" s="66"/>
      <c r="HOK48" s="66"/>
      <c r="HOL48" s="66"/>
      <c r="HOM48" s="66"/>
      <c r="HON48" s="66"/>
      <c r="HOO48" s="66"/>
      <c r="HOP48" s="66"/>
      <c r="HOQ48" s="66"/>
      <c r="HOR48" s="66"/>
      <c r="HOS48" s="66"/>
      <c r="HOT48" s="66"/>
      <c r="HOU48" s="66"/>
      <c r="HOV48" s="66"/>
      <c r="HOW48" s="66"/>
      <c r="HOX48" s="66"/>
      <c r="HOY48" s="66"/>
      <c r="HOZ48" s="66"/>
      <c r="HPA48" s="66"/>
      <c r="HPB48" s="66"/>
      <c r="HPC48" s="66"/>
      <c r="HPD48" s="66"/>
      <c r="HPE48" s="66"/>
      <c r="HPF48" s="66"/>
      <c r="HPG48" s="66"/>
      <c r="HPH48" s="66"/>
      <c r="HPI48" s="66"/>
      <c r="HPJ48" s="66"/>
      <c r="HPK48" s="66"/>
      <c r="HPL48" s="66"/>
      <c r="HPM48" s="66"/>
      <c r="HPN48" s="66"/>
      <c r="HPO48" s="66"/>
      <c r="HPP48" s="66"/>
      <c r="HPQ48" s="66"/>
      <c r="HPR48" s="66"/>
      <c r="HPS48" s="66"/>
      <c r="HPT48" s="66"/>
      <c r="HPU48" s="66"/>
      <c r="HPV48" s="66"/>
      <c r="HPW48" s="66"/>
      <c r="HPX48" s="66"/>
      <c r="HPY48" s="66"/>
      <c r="HPZ48" s="66"/>
      <c r="HQA48" s="66"/>
      <c r="HQB48" s="66"/>
      <c r="HQC48" s="66"/>
      <c r="HQD48" s="66"/>
      <c r="HQE48" s="66"/>
      <c r="HQF48" s="66"/>
      <c r="HQG48" s="66"/>
      <c r="HQH48" s="66"/>
      <c r="HQI48" s="66"/>
      <c r="HQJ48" s="66"/>
      <c r="HQK48" s="66"/>
      <c r="HQL48" s="66"/>
      <c r="HQM48" s="66"/>
      <c r="HQN48" s="66"/>
      <c r="HQO48" s="66"/>
      <c r="HQP48" s="66"/>
      <c r="HQQ48" s="66"/>
      <c r="HQR48" s="66"/>
      <c r="HQS48" s="66"/>
      <c r="HQT48" s="66"/>
      <c r="HQU48" s="66"/>
      <c r="HQV48" s="66"/>
      <c r="HQW48" s="66"/>
      <c r="HQX48" s="66"/>
      <c r="HQY48" s="66"/>
      <c r="HQZ48" s="66"/>
      <c r="HRA48" s="66"/>
      <c r="HRB48" s="66"/>
      <c r="HRC48" s="66"/>
      <c r="HRD48" s="66"/>
      <c r="HRE48" s="66"/>
      <c r="HRF48" s="66"/>
      <c r="HRG48" s="66"/>
      <c r="HRH48" s="66"/>
      <c r="HRI48" s="66"/>
      <c r="HRJ48" s="66"/>
      <c r="HRK48" s="66"/>
      <c r="HRL48" s="66"/>
      <c r="HRM48" s="66"/>
      <c r="HRN48" s="66"/>
      <c r="HRO48" s="66"/>
      <c r="HRP48" s="66"/>
      <c r="HRQ48" s="66"/>
      <c r="HRR48" s="66"/>
      <c r="HRS48" s="66"/>
      <c r="HRT48" s="66"/>
      <c r="HRU48" s="66"/>
      <c r="HRV48" s="66"/>
      <c r="HRW48" s="66"/>
      <c r="HRX48" s="66"/>
      <c r="HRY48" s="66"/>
      <c r="HRZ48" s="66"/>
      <c r="HSA48" s="66"/>
      <c r="HSB48" s="66"/>
      <c r="HSC48" s="66"/>
      <c r="HSD48" s="66"/>
      <c r="HSE48" s="66"/>
      <c r="HSF48" s="66"/>
      <c r="HSG48" s="66"/>
      <c r="HSH48" s="66"/>
      <c r="HSI48" s="66"/>
      <c r="HSJ48" s="66"/>
      <c r="HSK48" s="66"/>
      <c r="HSL48" s="66"/>
      <c r="HSM48" s="66"/>
      <c r="HSN48" s="66"/>
      <c r="HSO48" s="66"/>
      <c r="HSP48" s="66"/>
      <c r="HSQ48" s="66"/>
      <c r="HSR48" s="66"/>
      <c r="HSS48" s="66"/>
      <c r="HST48" s="66"/>
      <c r="HSU48" s="66"/>
      <c r="HSV48" s="66"/>
      <c r="HSW48" s="66"/>
      <c r="HSX48" s="66"/>
      <c r="HSY48" s="66"/>
      <c r="HSZ48" s="66"/>
      <c r="HTA48" s="66"/>
      <c r="HTB48" s="66"/>
      <c r="HTC48" s="66"/>
      <c r="HTD48" s="66"/>
      <c r="HTE48" s="66"/>
      <c r="HTF48" s="66"/>
      <c r="HTG48" s="66"/>
      <c r="HTH48" s="66"/>
      <c r="HTI48" s="66"/>
      <c r="HTJ48" s="66"/>
      <c r="HTK48" s="66"/>
      <c r="HTL48" s="66"/>
      <c r="HTM48" s="66"/>
      <c r="HTN48" s="66"/>
      <c r="HTO48" s="66"/>
      <c r="HTP48" s="66"/>
      <c r="HTQ48" s="66"/>
      <c r="HTR48" s="66"/>
      <c r="HTS48" s="66"/>
      <c r="HTT48" s="66"/>
      <c r="HTU48" s="66"/>
      <c r="HTV48" s="66"/>
      <c r="HTW48" s="66"/>
      <c r="HTX48" s="66"/>
      <c r="HTY48" s="66"/>
      <c r="HTZ48" s="66"/>
      <c r="HUA48" s="66"/>
      <c r="HUB48" s="66"/>
      <c r="HUC48" s="66"/>
      <c r="HUD48" s="66"/>
      <c r="HUE48" s="66"/>
      <c r="HUF48" s="66"/>
      <c r="HUG48" s="66"/>
      <c r="HUH48" s="66"/>
      <c r="HUI48" s="66"/>
      <c r="HUJ48" s="66"/>
      <c r="HUK48" s="66"/>
      <c r="HUL48" s="66"/>
      <c r="HUM48" s="66"/>
      <c r="HUN48" s="66"/>
      <c r="HUO48" s="66"/>
      <c r="HUP48" s="66"/>
      <c r="HUQ48" s="66"/>
      <c r="HUR48" s="66"/>
      <c r="HUS48" s="66"/>
      <c r="HUT48" s="66"/>
      <c r="HUU48" s="66"/>
      <c r="HUV48" s="66"/>
      <c r="HUW48" s="66"/>
      <c r="HUX48" s="66"/>
      <c r="HUY48" s="66"/>
      <c r="HUZ48" s="66"/>
      <c r="HVA48" s="66"/>
      <c r="HVB48" s="66"/>
      <c r="HVC48" s="66"/>
      <c r="HVD48" s="66"/>
      <c r="HVE48" s="66"/>
      <c r="HVF48" s="66"/>
      <c r="HVG48" s="66"/>
      <c r="HVH48" s="66"/>
      <c r="HVI48" s="66"/>
      <c r="HVJ48" s="66"/>
      <c r="HVK48" s="66"/>
      <c r="HVL48" s="66"/>
      <c r="HVM48" s="66"/>
      <c r="HVN48" s="66"/>
      <c r="HVO48" s="66"/>
      <c r="HVP48" s="66"/>
      <c r="HVQ48" s="66"/>
      <c r="HVR48" s="66"/>
      <c r="HVS48" s="66"/>
      <c r="HVT48" s="66"/>
      <c r="HVU48" s="66"/>
      <c r="HVV48" s="66"/>
      <c r="HVW48" s="66"/>
      <c r="HVX48" s="66"/>
      <c r="HVY48" s="66"/>
      <c r="HVZ48" s="66"/>
      <c r="HWA48" s="66"/>
      <c r="HWB48" s="66"/>
      <c r="HWC48" s="66"/>
      <c r="HWD48" s="66"/>
      <c r="HWE48" s="66"/>
      <c r="HWF48" s="66"/>
      <c r="HWG48" s="66"/>
      <c r="HWH48" s="66"/>
      <c r="HWI48" s="66"/>
      <c r="HWJ48" s="66"/>
      <c r="HWK48" s="66"/>
      <c r="HWL48" s="66"/>
      <c r="HWM48" s="66"/>
      <c r="HWN48" s="66"/>
      <c r="HWO48" s="66"/>
      <c r="HWP48" s="66"/>
      <c r="HWQ48" s="66"/>
      <c r="HWR48" s="66"/>
      <c r="HWS48" s="66"/>
      <c r="HWT48" s="66"/>
      <c r="HWU48" s="66"/>
      <c r="HWV48" s="66"/>
      <c r="HWW48" s="66"/>
      <c r="HWX48" s="66"/>
      <c r="HWY48" s="66"/>
      <c r="HWZ48" s="66"/>
      <c r="HXA48" s="66"/>
      <c r="HXB48" s="66"/>
      <c r="HXC48" s="66"/>
      <c r="HXD48" s="66"/>
      <c r="HXE48" s="66"/>
      <c r="HXF48" s="66"/>
      <c r="HXG48" s="66"/>
      <c r="HXH48" s="66"/>
      <c r="HXI48" s="66"/>
      <c r="HXJ48" s="66"/>
      <c r="HXK48" s="66"/>
      <c r="HXL48" s="66"/>
      <c r="HXM48" s="66"/>
      <c r="HXN48" s="66"/>
      <c r="HXO48" s="66"/>
      <c r="HXP48" s="66"/>
      <c r="HXQ48" s="66"/>
      <c r="HXR48" s="66"/>
      <c r="HXS48" s="66"/>
      <c r="HXT48" s="66"/>
      <c r="HXU48" s="66"/>
      <c r="HXV48" s="66"/>
      <c r="HXW48" s="66"/>
      <c r="HXX48" s="66"/>
      <c r="HXY48" s="66"/>
      <c r="HXZ48" s="66"/>
      <c r="HYA48" s="66"/>
      <c r="HYB48" s="66"/>
      <c r="HYC48" s="66"/>
      <c r="HYD48" s="66"/>
      <c r="HYE48" s="66"/>
      <c r="HYF48" s="66"/>
      <c r="HYG48" s="66"/>
      <c r="HYH48" s="66"/>
      <c r="HYI48" s="66"/>
      <c r="HYJ48" s="66"/>
      <c r="HYK48" s="66"/>
      <c r="HYL48" s="66"/>
      <c r="HYM48" s="66"/>
      <c r="HYN48" s="66"/>
      <c r="HYO48" s="66"/>
      <c r="HYP48" s="66"/>
      <c r="HYQ48" s="66"/>
      <c r="HYR48" s="66"/>
      <c r="HYS48" s="66"/>
      <c r="HYT48" s="66"/>
      <c r="HYU48" s="66"/>
      <c r="HYV48" s="66"/>
      <c r="HYW48" s="66"/>
      <c r="HYX48" s="66"/>
      <c r="HYY48" s="66"/>
      <c r="HYZ48" s="66"/>
      <c r="HZA48" s="66"/>
      <c r="HZB48" s="66"/>
      <c r="HZC48" s="66"/>
      <c r="HZD48" s="66"/>
      <c r="HZE48" s="66"/>
      <c r="HZF48" s="66"/>
      <c r="HZG48" s="66"/>
      <c r="HZH48" s="66"/>
      <c r="HZI48" s="66"/>
      <c r="HZJ48" s="66"/>
      <c r="HZK48" s="66"/>
      <c r="HZL48" s="66"/>
      <c r="HZM48" s="66"/>
      <c r="HZN48" s="66"/>
      <c r="HZO48" s="66"/>
      <c r="HZP48" s="66"/>
      <c r="HZQ48" s="66"/>
      <c r="HZR48" s="66"/>
      <c r="HZS48" s="66"/>
      <c r="HZT48" s="66"/>
      <c r="HZU48" s="66"/>
      <c r="HZV48" s="66"/>
      <c r="HZW48" s="66"/>
      <c r="HZX48" s="66"/>
      <c r="HZY48" s="66"/>
      <c r="HZZ48" s="66"/>
      <c r="IAA48" s="66"/>
      <c r="IAB48" s="66"/>
      <c r="IAC48" s="66"/>
      <c r="IAD48" s="66"/>
      <c r="IAE48" s="66"/>
      <c r="IAF48" s="66"/>
      <c r="IAG48" s="66"/>
      <c r="IAH48" s="66"/>
      <c r="IAI48" s="66"/>
      <c r="IAJ48" s="66"/>
      <c r="IAK48" s="66"/>
      <c r="IAL48" s="66"/>
      <c r="IAM48" s="66"/>
      <c r="IAN48" s="66"/>
      <c r="IAO48" s="66"/>
      <c r="IAP48" s="66"/>
      <c r="IAQ48" s="66"/>
      <c r="IAR48" s="66"/>
      <c r="IAS48" s="66"/>
      <c r="IAT48" s="66"/>
      <c r="IAU48" s="66"/>
      <c r="IAV48" s="66"/>
      <c r="IAW48" s="66"/>
      <c r="IAX48" s="66"/>
      <c r="IAY48" s="66"/>
      <c r="IAZ48" s="66"/>
      <c r="IBA48" s="66"/>
      <c r="IBB48" s="66"/>
      <c r="IBC48" s="66"/>
      <c r="IBD48" s="66"/>
      <c r="IBE48" s="66"/>
      <c r="IBF48" s="66"/>
      <c r="IBG48" s="66"/>
      <c r="IBH48" s="66"/>
      <c r="IBI48" s="66"/>
      <c r="IBJ48" s="66"/>
      <c r="IBK48" s="66"/>
      <c r="IBL48" s="66"/>
      <c r="IBM48" s="66"/>
      <c r="IBN48" s="66"/>
      <c r="IBO48" s="66"/>
      <c r="IBP48" s="66"/>
      <c r="IBQ48" s="66"/>
      <c r="IBR48" s="66"/>
      <c r="IBS48" s="66"/>
      <c r="IBT48" s="66"/>
      <c r="IBU48" s="66"/>
      <c r="IBV48" s="66"/>
      <c r="IBW48" s="66"/>
      <c r="IBX48" s="66"/>
      <c r="IBY48" s="66"/>
      <c r="IBZ48" s="66"/>
      <c r="ICA48" s="66"/>
      <c r="ICB48" s="66"/>
      <c r="ICC48" s="66"/>
      <c r="ICD48" s="66"/>
      <c r="ICE48" s="66"/>
      <c r="ICF48" s="66"/>
      <c r="ICG48" s="66"/>
      <c r="ICH48" s="66"/>
      <c r="ICI48" s="66"/>
      <c r="ICJ48" s="66"/>
      <c r="ICK48" s="66"/>
      <c r="ICL48" s="66"/>
      <c r="ICM48" s="66"/>
      <c r="ICN48" s="66"/>
      <c r="ICO48" s="66"/>
      <c r="ICP48" s="66"/>
      <c r="ICQ48" s="66"/>
      <c r="ICR48" s="66"/>
      <c r="ICS48" s="66"/>
      <c r="ICT48" s="66"/>
      <c r="ICU48" s="66"/>
      <c r="ICV48" s="66"/>
      <c r="ICW48" s="66"/>
      <c r="ICX48" s="66"/>
      <c r="ICY48" s="66"/>
      <c r="ICZ48" s="66"/>
      <c r="IDA48" s="66"/>
      <c r="IDB48" s="66"/>
      <c r="IDC48" s="66"/>
      <c r="IDD48" s="66"/>
      <c r="IDE48" s="66"/>
      <c r="IDF48" s="66"/>
      <c r="IDG48" s="66"/>
      <c r="IDH48" s="66"/>
      <c r="IDI48" s="66"/>
      <c r="IDJ48" s="66"/>
      <c r="IDK48" s="66"/>
      <c r="IDL48" s="66"/>
      <c r="IDM48" s="66"/>
      <c r="IDN48" s="66"/>
      <c r="IDO48" s="66"/>
      <c r="IDP48" s="66"/>
      <c r="IDQ48" s="66"/>
      <c r="IDR48" s="66"/>
      <c r="IDS48" s="66"/>
      <c r="IDT48" s="66"/>
      <c r="IDU48" s="66"/>
      <c r="IDV48" s="66"/>
      <c r="IDW48" s="66"/>
      <c r="IDX48" s="66"/>
      <c r="IDY48" s="66"/>
      <c r="IDZ48" s="66"/>
      <c r="IEA48" s="66"/>
      <c r="IEB48" s="66"/>
      <c r="IEC48" s="66"/>
      <c r="IED48" s="66"/>
      <c r="IEE48" s="66"/>
      <c r="IEF48" s="66"/>
      <c r="IEG48" s="66"/>
      <c r="IEH48" s="66"/>
      <c r="IEI48" s="66"/>
      <c r="IEJ48" s="66"/>
      <c r="IEK48" s="66"/>
      <c r="IEL48" s="66"/>
      <c r="IEM48" s="66"/>
      <c r="IEN48" s="66"/>
      <c r="IEO48" s="66"/>
      <c r="IEP48" s="66"/>
      <c r="IEQ48" s="66"/>
      <c r="IER48" s="66"/>
      <c r="IES48" s="66"/>
      <c r="IET48" s="66"/>
      <c r="IEU48" s="66"/>
      <c r="IEV48" s="66"/>
      <c r="IEW48" s="66"/>
      <c r="IEX48" s="66"/>
      <c r="IEY48" s="66"/>
      <c r="IEZ48" s="66"/>
      <c r="IFA48" s="66"/>
      <c r="IFB48" s="66"/>
      <c r="IFC48" s="66"/>
      <c r="IFD48" s="66"/>
      <c r="IFE48" s="66"/>
      <c r="IFF48" s="66"/>
      <c r="IFG48" s="66"/>
      <c r="IFH48" s="66"/>
      <c r="IFI48" s="66"/>
      <c r="IFJ48" s="66"/>
      <c r="IFK48" s="66"/>
      <c r="IFL48" s="66"/>
      <c r="IFM48" s="66"/>
      <c r="IFN48" s="66"/>
      <c r="IFO48" s="66"/>
      <c r="IFP48" s="66"/>
      <c r="IFQ48" s="66"/>
      <c r="IFR48" s="66"/>
      <c r="IFS48" s="66"/>
      <c r="IFT48" s="66"/>
      <c r="IFU48" s="66"/>
      <c r="IFV48" s="66"/>
      <c r="IFW48" s="66"/>
      <c r="IFX48" s="66"/>
      <c r="IFY48" s="66"/>
      <c r="IFZ48" s="66"/>
      <c r="IGA48" s="66"/>
      <c r="IGB48" s="66"/>
      <c r="IGC48" s="66"/>
      <c r="IGD48" s="66"/>
      <c r="IGE48" s="66"/>
      <c r="IGF48" s="66"/>
      <c r="IGG48" s="66"/>
      <c r="IGH48" s="66"/>
      <c r="IGI48" s="66"/>
      <c r="IGJ48" s="66"/>
      <c r="IGK48" s="66"/>
      <c r="IGL48" s="66"/>
      <c r="IGM48" s="66"/>
      <c r="IGN48" s="66"/>
      <c r="IGO48" s="66"/>
      <c r="IGP48" s="66"/>
      <c r="IGQ48" s="66"/>
      <c r="IGR48" s="66"/>
      <c r="IGS48" s="66"/>
      <c r="IGT48" s="66"/>
      <c r="IGU48" s="66"/>
      <c r="IGV48" s="66"/>
      <c r="IGW48" s="66"/>
      <c r="IGX48" s="66"/>
      <c r="IGY48" s="66"/>
      <c r="IGZ48" s="66"/>
      <c r="IHA48" s="66"/>
      <c r="IHB48" s="66"/>
      <c r="IHC48" s="66"/>
      <c r="IHD48" s="66"/>
      <c r="IHE48" s="66"/>
      <c r="IHF48" s="66"/>
      <c r="IHG48" s="66"/>
      <c r="IHH48" s="66"/>
      <c r="IHI48" s="66"/>
      <c r="IHJ48" s="66"/>
      <c r="IHK48" s="66"/>
      <c r="IHL48" s="66"/>
      <c r="IHM48" s="66"/>
      <c r="IHN48" s="66"/>
      <c r="IHO48" s="66"/>
      <c r="IHP48" s="66"/>
      <c r="IHQ48" s="66"/>
      <c r="IHR48" s="66"/>
      <c r="IHS48" s="66"/>
      <c r="IHT48" s="66"/>
      <c r="IHU48" s="66"/>
      <c r="IHV48" s="66"/>
      <c r="IHW48" s="66"/>
      <c r="IHX48" s="66"/>
      <c r="IHY48" s="66"/>
      <c r="IHZ48" s="66"/>
      <c r="IIA48" s="66"/>
      <c r="IIB48" s="66"/>
      <c r="IIC48" s="66"/>
      <c r="IID48" s="66"/>
      <c r="IIE48" s="66"/>
      <c r="IIF48" s="66"/>
      <c r="IIG48" s="66"/>
      <c r="IIH48" s="66"/>
      <c r="III48" s="66"/>
      <c r="IIJ48" s="66"/>
      <c r="IIK48" s="66"/>
      <c r="IIL48" s="66"/>
      <c r="IIM48" s="66"/>
      <c r="IIN48" s="66"/>
      <c r="IIO48" s="66"/>
      <c r="IIP48" s="66"/>
      <c r="IIQ48" s="66"/>
      <c r="IIR48" s="66"/>
      <c r="IIS48" s="66"/>
      <c r="IIT48" s="66"/>
      <c r="IIU48" s="66"/>
      <c r="IIV48" s="66"/>
      <c r="IIW48" s="66"/>
      <c r="IIX48" s="66"/>
      <c r="IIY48" s="66"/>
      <c r="IIZ48" s="66"/>
      <c r="IJA48" s="66"/>
      <c r="IJB48" s="66"/>
      <c r="IJC48" s="66"/>
      <c r="IJD48" s="66"/>
      <c r="IJE48" s="66"/>
      <c r="IJF48" s="66"/>
      <c r="IJG48" s="66"/>
      <c r="IJH48" s="66"/>
      <c r="IJI48" s="66"/>
      <c r="IJJ48" s="66"/>
      <c r="IJK48" s="66"/>
      <c r="IJL48" s="66"/>
      <c r="IJM48" s="66"/>
      <c r="IJN48" s="66"/>
      <c r="IJO48" s="66"/>
      <c r="IJP48" s="66"/>
      <c r="IJQ48" s="66"/>
      <c r="IJR48" s="66"/>
      <c r="IJS48" s="66"/>
      <c r="IJT48" s="66"/>
      <c r="IJU48" s="66"/>
      <c r="IJV48" s="66"/>
      <c r="IJW48" s="66"/>
      <c r="IJX48" s="66"/>
      <c r="IJY48" s="66"/>
      <c r="IJZ48" s="66"/>
      <c r="IKA48" s="66"/>
      <c r="IKB48" s="66"/>
      <c r="IKC48" s="66"/>
      <c r="IKD48" s="66"/>
      <c r="IKE48" s="66"/>
      <c r="IKF48" s="66"/>
      <c r="IKG48" s="66"/>
      <c r="IKH48" s="66"/>
      <c r="IKI48" s="66"/>
      <c r="IKJ48" s="66"/>
      <c r="IKK48" s="66"/>
      <c r="IKL48" s="66"/>
      <c r="IKM48" s="66"/>
      <c r="IKN48" s="66"/>
      <c r="IKO48" s="66"/>
      <c r="IKP48" s="66"/>
      <c r="IKQ48" s="66"/>
      <c r="IKR48" s="66"/>
      <c r="IKS48" s="66"/>
      <c r="IKT48" s="66"/>
      <c r="IKU48" s="66"/>
      <c r="IKV48" s="66"/>
      <c r="IKW48" s="66"/>
      <c r="IKX48" s="66"/>
      <c r="IKY48" s="66"/>
      <c r="IKZ48" s="66"/>
      <c r="ILA48" s="66"/>
      <c r="ILB48" s="66"/>
      <c r="ILC48" s="66"/>
      <c r="ILD48" s="66"/>
      <c r="ILE48" s="66"/>
      <c r="ILF48" s="66"/>
      <c r="ILG48" s="66"/>
      <c r="ILH48" s="66"/>
      <c r="ILI48" s="66"/>
      <c r="ILJ48" s="66"/>
      <c r="ILK48" s="66"/>
      <c r="ILL48" s="66"/>
      <c r="ILM48" s="66"/>
      <c r="ILN48" s="66"/>
      <c r="ILO48" s="66"/>
      <c r="ILP48" s="66"/>
      <c r="ILQ48" s="66"/>
      <c r="ILR48" s="66"/>
      <c r="ILS48" s="66"/>
      <c r="ILT48" s="66"/>
      <c r="ILU48" s="66"/>
      <c r="ILV48" s="66"/>
      <c r="ILW48" s="66"/>
      <c r="ILX48" s="66"/>
      <c r="ILY48" s="66"/>
      <c r="ILZ48" s="66"/>
      <c r="IMA48" s="66"/>
      <c r="IMB48" s="66"/>
      <c r="IMC48" s="66"/>
      <c r="IMD48" s="66"/>
      <c r="IME48" s="66"/>
      <c r="IMF48" s="66"/>
      <c r="IMG48" s="66"/>
      <c r="IMH48" s="66"/>
      <c r="IMI48" s="66"/>
      <c r="IMJ48" s="66"/>
      <c r="IMK48" s="66"/>
      <c r="IML48" s="66"/>
      <c r="IMM48" s="66"/>
      <c r="IMN48" s="66"/>
      <c r="IMO48" s="66"/>
      <c r="IMP48" s="66"/>
      <c r="IMQ48" s="66"/>
      <c r="IMR48" s="66"/>
      <c r="IMS48" s="66"/>
      <c r="IMT48" s="66"/>
      <c r="IMU48" s="66"/>
      <c r="IMV48" s="66"/>
      <c r="IMW48" s="66"/>
      <c r="IMX48" s="66"/>
      <c r="IMY48" s="66"/>
      <c r="IMZ48" s="66"/>
      <c r="INA48" s="66"/>
      <c r="INB48" s="66"/>
      <c r="INC48" s="66"/>
      <c r="IND48" s="66"/>
      <c r="INE48" s="66"/>
      <c r="INF48" s="66"/>
      <c r="ING48" s="66"/>
      <c r="INH48" s="66"/>
      <c r="INI48" s="66"/>
      <c r="INJ48" s="66"/>
      <c r="INK48" s="66"/>
      <c r="INL48" s="66"/>
      <c r="INM48" s="66"/>
      <c r="INN48" s="66"/>
      <c r="INO48" s="66"/>
      <c r="INP48" s="66"/>
      <c r="INQ48" s="66"/>
      <c r="INR48" s="66"/>
      <c r="INS48" s="66"/>
      <c r="INT48" s="66"/>
      <c r="INU48" s="66"/>
      <c r="INV48" s="66"/>
      <c r="INW48" s="66"/>
      <c r="INX48" s="66"/>
      <c r="INY48" s="66"/>
      <c r="INZ48" s="66"/>
      <c r="IOA48" s="66"/>
      <c r="IOB48" s="66"/>
      <c r="IOC48" s="66"/>
      <c r="IOD48" s="66"/>
      <c r="IOE48" s="66"/>
      <c r="IOF48" s="66"/>
      <c r="IOG48" s="66"/>
      <c r="IOH48" s="66"/>
      <c r="IOI48" s="66"/>
      <c r="IOJ48" s="66"/>
      <c r="IOK48" s="66"/>
      <c r="IOL48" s="66"/>
      <c r="IOM48" s="66"/>
      <c r="ION48" s="66"/>
      <c r="IOO48" s="66"/>
      <c r="IOP48" s="66"/>
      <c r="IOQ48" s="66"/>
      <c r="IOR48" s="66"/>
      <c r="IOS48" s="66"/>
      <c r="IOT48" s="66"/>
      <c r="IOU48" s="66"/>
      <c r="IOV48" s="66"/>
      <c r="IOW48" s="66"/>
      <c r="IOX48" s="66"/>
      <c r="IOY48" s="66"/>
      <c r="IOZ48" s="66"/>
      <c r="IPA48" s="66"/>
      <c r="IPB48" s="66"/>
      <c r="IPC48" s="66"/>
      <c r="IPD48" s="66"/>
      <c r="IPE48" s="66"/>
      <c r="IPF48" s="66"/>
      <c r="IPG48" s="66"/>
      <c r="IPH48" s="66"/>
      <c r="IPI48" s="66"/>
      <c r="IPJ48" s="66"/>
      <c r="IPK48" s="66"/>
      <c r="IPL48" s="66"/>
      <c r="IPM48" s="66"/>
      <c r="IPN48" s="66"/>
      <c r="IPO48" s="66"/>
      <c r="IPP48" s="66"/>
      <c r="IPQ48" s="66"/>
      <c r="IPR48" s="66"/>
      <c r="IPS48" s="66"/>
      <c r="IPT48" s="66"/>
      <c r="IPU48" s="66"/>
      <c r="IPV48" s="66"/>
      <c r="IPW48" s="66"/>
      <c r="IPX48" s="66"/>
      <c r="IPY48" s="66"/>
      <c r="IPZ48" s="66"/>
      <c r="IQA48" s="66"/>
      <c r="IQB48" s="66"/>
      <c r="IQC48" s="66"/>
      <c r="IQD48" s="66"/>
      <c r="IQE48" s="66"/>
      <c r="IQF48" s="66"/>
      <c r="IQG48" s="66"/>
      <c r="IQH48" s="66"/>
      <c r="IQI48" s="66"/>
      <c r="IQJ48" s="66"/>
      <c r="IQK48" s="66"/>
      <c r="IQL48" s="66"/>
      <c r="IQM48" s="66"/>
      <c r="IQN48" s="66"/>
      <c r="IQO48" s="66"/>
      <c r="IQP48" s="66"/>
      <c r="IQQ48" s="66"/>
      <c r="IQR48" s="66"/>
      <c r="IQS48" s="66"/>
      <c r="IQT48" s="66"/>
      <c r="IQU48" s="66"/>
      <c r="IQV48" s="66"/>
      <c r="IQW48" s="66"/>
      <c r="IQX48" s="66"/>
      <c r="IQY48" s="66"/>
      <c r="IQZ48" s="66"/>
      <c r="IRA48" s="66"/>
      <c r="IRB48" s="66"/>
      <c r="IRC48" s="66"/>
      <c r="IRD48" s="66"/>
      <c r="IRE48" s="66"/>
      <c r="IRF48" s="66"/>
      <c r="IRG48" s="66"/>
      <c r="IRH48" s="66"/>
      <c r="IRI48" s="66"/>
      <c r="IRJ48" s="66"/>
      <c r="IRK48" s="66"/>
      <c r="IRL48" s="66"/>
      <c r="IRM48" s="66"/>
      <c r="IRN48" s="66"/>
      <c r="IRO48" s="66"/>
      <c r="IRP48" s="66"/>
      <c r="IRQ48" s="66"/>
      <c r="IRR48" s="66"/>
      <c r="IRS48" s="66"/>
      <c r="IRT48" s="66"/>
      <c r="IRU48" s="66"/>
      <c r="IRV48" s="66"/>
      <c r="IRW48" s="66"/>
      <c r="IRX48" s="66"/>
      <c r="IRY48" s="66"/>
      <c r="IRZ48" s="66"/>
      <c r="ISA48" s="66"/>
      <c r="ISB48" s="66"/>
      <c r="ISC48" s="66"/>
      <c r="ISD48" s="66"/>
      <c r="ISE48" s="66"/>
      <c r="ISF48" s="66"/>
      <c r="ISG48" s="66"/>
      <c r="ISH48" s="66"/>
      <c r="ISI48" s="66"/>
      <c r="ISJ48" s="66"/>
      <c r="ISK48" s="66"/>
      <c r="ISL48" s="66"/>
      <c r="ISM48" s="66"/>
      <c r="ISN48" s="66"/>
      <c r="ISO48" s="66"/>
      <c r="ISP48" s="66"/>
      <c r="ISQ48" s="66"/>
      <c r="ISR48" s="66"/>
      <c r="ISS48" s="66"/>
      <c r="IST48" s="66"/>
      <c r="ISU48" s="66"/>
      <c r="ISV48" s="66"/>
      <c r="ISW48" s="66"/>
      <c r="ISX48" s="66"/>
      <c r="ISY48" s="66"/>
      <c r="ISZ48" s="66"/>
      <c r="ITA48" s="66"/>
      <c r="ITB48" s="66"/>
      <c r="ITC48" s="66"/>
      <c r="ITD48" s="66"/>
      <c r="ITE48" s="66"/>
      <c r="ITF48" s="66"/>
      <c r="ITG48" s="66"/>
      <c r="ITH48" s="66"/>
      <c r="ITI48" s="66"/>
      <c r="ITJ48" s="66"/>
      <c r="ITK48" s="66"/>
      <c r="ITL48" s="66"/>
      <c r="ITM48" s="66"/>
      <c r="ITN48" s="66"/>
      <c r="ITO48" s="66"/>
      <c r="ITP48" s="66"/>
      <c r="ITQ48" s="66"/>
      <c r="ITR48" s="66"/>
      <c r="ITS48" s="66"/>
      <c r="ITT48" s="66"/>
      <c r="ITU48" s="66"/>
      <c r="ITV48" s="66"/>
      <c r="ITW48" s="66"/>
      <c r="ITX48" s="66"/>
      <c r="ITY48" s="66"/>
      <c r="ITZ48" s="66"/>
      <c r="IUA48" s="66"/>
      <c r="IUB48" s="66"/>
      <c r="IUC48" s="66"/>
      <c r="IUD48" s="66"/>
      <c r="IUE48" s="66"/>
      <c r="IUF48" s="66"/>
      <c r="IUG48" s="66"/>
      <c r="IUH48" s="66"/>
      <c r="IUI48" s="66"/>
      <c r="IUJ48" s="66"/>
      <c r="IUK48" s="66"/>
      <c r="IUL48" s="66"/>
      <c r="IUM48" s="66"/>
      <c r="IUN48" s="66"/>
      <c r="IUO48" s="66"/>
      <c r="IUP48" s="66"/>
      <c r="IUQ48" s="66"/>
      <c r="IUR48" s="66"/>
      <c r="IUS48" s="66"/>
      <c r="IUT48" s="66"/>
      <c r="IUU48" s="66"/>
      <c r="IUV48" s="66"/>
      <c r="IUW48" s="66"/>
      <c r="IUX48" s="66"/>
      <c r="IUY48" s="66"/>
      <c r="IUZ48" s="66"/>
      <c r="IVA48" s="66"/>
      <c r="IVB48" s="66"/>
      <c r="IVC48" s="66"/>
      <c r="IVD48" s="66"/>
      <c r="IVE48" s="66"/>
      <c r="IVF48" s="66"/>
      <c r="IVG48" s="66"/>
      <c r="IVH48" s="66"/>
      <c r="IVI48" s="66"/>
      <c r="IVJ48" s="66"/>
      <c r="IVK48" s="66"/>
      <c r="IVL48" s="66"/>
      <c r="IVM48" s="66"/>
      <c r="IVN48" s="66"/>
      <c r="IVO48" s="66"/>
      <c r="IVP48" s="66"/>
      <c r="IVQ48" s="66"/>
      <c r="IVR48" s="66"/>
      <c r="IVS48" s="66"/>
      <c r="IVT48" s="66"/>
      <c r="IVU48" s="66"/>
      <c r="IVV48" s="66"/>
      <c r="IVW48" s="66"/>
      <c r="IVX48" s="66"/>
      <c r="IVY48" s="66"/>
      <c r="IVZ48" s="66"/>
      <c r="IWA48" s="66"/>
      <c r="IWB48" s="66"/>
      <c r="IWC48" s="66"/>
      <c r="IWD48" s="66"/>
      <c r="IWE48" s="66"/>
      <c r="IWF48" s="66"/>
      <c r="IWG48" s="66"/>
      <c r="IWH48" s="66"/>
      <c r="IWI48" s="66"/>
      <c r="IWJ48" s="66"/>
      <c r="IWK48" s="66"/>
      <c r="IWL48" s="66"/>
      <c r="IWM48" s="66"/>
      <c r="IWN48" s="66"/>
      <c r="IWO48" s="66"/>
      <c r="IWP48" s="66"/>
      <c r="IWQ48" s="66"/>
      <c r="IWR48" s="66"/>
      <c r="IWS48" s="66"/>
      <c r="IWT48" s="66"/>
      <c r="IWU48" s="66"/>
      <c r="IWV48" s="66"/>
      <c r="IWW48" s="66"/>
      <c r="IWX48" s="66"/>
      <c r="IWY48" s="66"/>
      <c r="IWZ48" s="66"/>
      <c r="IXA48" s="66"/>
      <c r="IXB48" s="66"/>
      <c r="IXC48" s="66"/>
      <c r="IXD48" s="66"/>
      <c r="IXE48" s="66"/>
      <c r="IXF48" s="66"/>
      <c r="IXG48" s="66"/>
      <c r="IXH48" s="66"/>
      <c r="IXI48" s="66"/>
      <c r="IXJ48" s="66"/>
      <c r="IXK48" s="66"/>
      <c r="IXL48" s="66"/>
      <c r="IXM48" s="66"/>
      <c r="IXN48" s="66"/>
      <c r="IXO48" s="66"/>
      <c r="IXP48" s="66"/>
      <c r="IXQ48" s="66"/>
      <c r="IXR48" s="66"/>
      <c r="IXS48" s="66"/>
      <c r="IXT48" s="66"/>
      <c r="IXU48" s="66"/>
      <c r="IXV48" s="66"/>
      <c r="IXW48" s="66"/>
      <c r="IXX48" s="66"/>
      <c r="IXY48" s="66"/>
      <c r="IXZ48" s="66"/>
      <c r="IYA48" s="66"/>
      <c r="IYB48" s="66"/>
      <c r="IYC48" s="66"/>
      <c r="IYD48" s="66"/>
      <c r="IYE48" s="66"/>
      <c r="IYF48" s="66"/>
      <c r="IYG48" s="66"/>
      <c r="IYH48" s="66"/>
      <c r="IYI48" s="66"/>
      <c r="IYJ48" s="66"/>
      <c r="IYK48" s="66"/>
      <c r="IYL48" s="66"/>
      <c r="IYM48" s="66"/>
      <c r="IYN48" s="66"/>
      <c r="IYO48" s="66"/>
      <c r="IYP48" s="66"/>
      <c r="IYQ48" s="66"/>
      <c r="IYR48" s="66"/>
      <c r="IYS48" s="66"/>
      <c r="IYT48" s="66"/>
      <c r="IYU48" s="66"/>
      <c r="IYV48" s="66"/>
      <c r="IYW48" s="66"/>
      <c r="IYX48" s="66"/>
      <c r="IYY48" s="66"/>
      <c r="IYZ48" s="66"/>
      <c r="IZA48" s="66"/>
      <c r="IZB48" s="66"/>
      <c r="IZC48" s="66"/>
      <c r="IZD48" s="66"/>
      <c r="IZE48" s="66"/>
      <c r="IZF48" s="66"/>
      <c r="IZG48" s="66"/>
      <c r="IZH48" s="66"/>
      <c r="IZI48" s="66"/>
      <c r="IZJ48" s="66"/>
      <c r="IZK48" s="66"/>
      <c r="IZL48" s="66"/>
      <c r="IZM48" s="66"/>
      <c r="IZN48" s="66"/>
      <c r="IZO48" s="66"/>
      <c r="IZP48" s="66"/>
      <c r="IZQ48" s="66"/>
      <c r="IZR48" s="66"/>
      <c r="IZS48" s="66"/>
      <c r="IZT48" s="66"/>
      <c r="IZU48" s="66"/>
      <c r="IZV48" s="66"/>
      <c r="IZW48" s="66"/>
      <c r="IZX48" s="66"/>
      <c r="IZY48" s="66"/>
      <c r="IZZ48" s="66"/>
      <c r="JAA48" s="66"/>
      <c r="JAB48" s="66"/>
      <c r="JAC48" s="66"/>
      <c r="JAD48" s="66"/>
      <c r="JAE48" s="66"/>
      <c r="JAF48" s="66"/>
      <c r="JAG48" s="66"/>
      <c r="JAH48" s="66"/>
      <c r="JAI48" s="66"/>
      <c r="JAJ48" s="66"/>
      <c r="JAK48" s="66"/>
      <c r="JAL48" s="66"/>
      <c r="JAM48" s="66"/>
      <c r="JAN48" s="66"/>
      <c r="JAO48" s="66"/>
      <c r="JAP48" s="66"/>
      <c r="JAQ48" s="66"/>
      <c r="JAR48" s="66"/>
      <c r="JAS48" s="66"/>
      <c r="JAT48" s="66"/>
      <c r="JAU48" s="66"/>
      <c r="JAV48" s="66"/>
      <c r="JAW48" s="66"/>
      <c r="JAX48" s="66"/>
      <c r="JAY48" s="66"/>
      <c r="JAZ48" s="66"/>
      <c r="JBA48" s="66"/>
      <c r="JBB48" s="66"/>
      <c r="JBC48" s="66"/>
      <c r="JBD48" s="66"/>
      <c r="JBE48" s="66"/>
      <c r="JBF48" s="66"/>
      <c r="JBG48" s="66"/>
      <c r="JBH48" s="66"/>
      <c r="JBI48" s="66"/>
      <c r="JBJ48" s="66"/>
      <c r="JBK48" s="66"/>
      <c r="JBL48" s="66"/>
      <c r="JBM48" s="66"/>
      <c r="JBN48" s="66"/>
      <c r="JBO48" s="66"/>
      <c r="JBP48" s="66"/>
      <c r="JBQ48" s="66"/>
      <c r="JBR48" s="66"/>
      <c r="JBS48" s="66"/>
      <c r="JBT48" s="66"/>
      <c r="JBU48" s="66"/>
      <c r="JBV48" s="66"/>
      <c r="JBW48" s="66"/>
      <c r="JBX48" s="66"/>
      <c r="JBY48" s="66"/>
      <c r="JBZ48" s="66"/>
      <c r="JCA48" s="66"/>
      <c r="JCB48" s="66"/>
      <c r="JCC48" s="66"/>
      <c r="JCD48" s="66"/>
      <c r="JCE48" s="66"/>
      <c r="JCF48" s="66"/>
      <c r="JCG48" s="66"/>
      <c r="JCH48" s="66"/>
      <c r="JCI48" s="66"/>
      <c r="JCJ48" s="66"/>
      <c r="JCK48" s="66"/>
      <c r="JCL48" s="66"/>
      <c r="JCM48" s="66"/>
      <c r="JCN48" s="66"/>
      <c r="JCO48" s="66"/>
      <c r="JCP48" s="66"/>
      <c r="JCQ48" s="66"/>
      <c r="JCR48" s="66"/>
      <c r="JCS48" s="66"/>
      <c r="JCT48" s="66"/>
      <c r="JCU48" s="66"/>
      <c r="JCV48" s="66"/>
      <c r="JCW48" s="66"/>
      <c r="JCX48" s="66"/>
      <c r="JCY48" s="66"/>
      <c r="JCZ48" s="66"/>
      <c r="JDA48" s="66"/>
      <c r="JDB48" s="66"/>
      <c r="JDC48" s="66"/>
      <c r="JDD48" s="66"/>
      <c r="JDE48" s="66"/>
      <c r="JDF48" s="66"/>
      <c r="JDG48" s="66"/>
      <c r="JDH48" s="66"/>
      <c r="JDI48" s="66"/>
      <c r="JDJ48" s="66"/>
      <c r="JDK48" s="66"/>
      <c r="JDL48" s="66"/>
      <c r="JDM48" s="66"/>
      <c r="JDN48" s="66"/>
      <c r="JDO48" s="66"/>
      <c r="JDP48" s="66"/>
      <c r="JDQ48" s="66"/>
      <c r="JDR48" s="66"/>
      <c r="JDS48" s="66"/>
      <c r="JDT48" s="66"/>
      <c r="JDU48" s="66"/>
      <c r="JDV48" s="66"/>
      <c r="JDW48" s="66"/>
      <c r="JDX48" s="66"/>
      <c r="JDY48" s="66"/>
      <c r="JDZ48" s="66"/>
      <c r="JEA48" s="66"/>
      <c r="JEB48" s="66"/>
      <c r="JEC48" s="66"/>
      <c r="JED48" s="66"/>
      <c r="JEE48" s="66"/>
      <c r="JEF48" s="66"/>
      <c r="JEG48" s="66"/>
      <c r="JEH48" s="66"/>
      <c r="JEI48" s="66"/>
      <c r="JEJ48" s="66"/>
      <c r="JEK48" s="66"/>
      <c r="JEL48" s="66"/>
      <c r="JEM48" s="66"/>
      <c r="JEN48" s="66"/>
      <c r="JEO48" s="66"/>
      <c r="JEP48" s="66"/>
      <c r="JEQ48" s="66"/>
      <c r="JER48" s="66"/>
      <c r="JES48" s="66"/>
      <c r="JET48" s="66"/>
      <c r="JEU48" s="66"/>
      <c r="JEV48" s="66"/>
      <c r="JEW48" s="66"/>
      <c r="JEX48" s="66"/>
      <c r="JEY48" s="66"/>
      <c r="JEZ48" s="66"/>
      <c r="JFA48" s="66"/>
      <c r="JFB48" s="66"/>
      <c r="JFC48" s="66"/>
      <c r="JFD48" s="66"/>
      <c r="JFE48" s="66"/>
      <c r="JFF48" s="66"/>
      <c r="JFG48" s="66"/>
      <c r="JFH48" s="66"/>
      <c r="JFI48" s="66"/>
      <c r="JFJ48" s="66"/>
      <c r="JFK48" s="66"/>
      <c r="JFL48" s="66"/>
      <c r="JFM48" s="66"/>
      <c r="JFN48" s="66"/>
      <c r="JFO48" s="66"/>
      <c r="JFP48" s="66"/>
      <c r="JFQ48" s="66"/>
      <c r="JFR48" s="66"/>
      <c r="JFS48" s="66"/>
      <c r="JFT48" s="66"/>
      <c r="JFU48" s="66"/>
      <c r="JFV48" s="66"/>
      <c r="JFW48" s="66"/>
      <c r="JFX48" s="66"/>
      <c r="JFY48" s="66"/>
      <c r="JFZ48" s="66"/>
      <c r="JGA48" s="66"/>
      <c r="JGB48" s="66"/>
      <c r="JGC48" s="66"/>
      <c r="JGD48" s="66"/>
      <c r="JGE48" s="66"/>
      <c r="JGF48" s="66"/>
      <c r="JGG48" s="66"/>
      <c r="JGH48" s="66"/>
      <c r="JGI48" s="66"/>
      <c r="JGJ48" s="66"/>
      <c r="JGK48" s="66"/>
      <c r="JGL48" s="66"/>
      <c r="JGM48" s="66"/>
      <c r="JGN48" s="66"/>
      <c r="JGO48" s="66"/>
      <c r="JGP48" s="66"/>
      <c r="JGQ48" s="66"/>
      <c r="JGR48" s="66"/>
      <c r="JGS48" s="66"/>
      <c r="JGT48" s="66"/>
      <c r="JGU48" s="66"/>
      <c r="JGV48" s="66"/>
      <c r="JGW48" s="66"/>
      <c r="JGX48" s="66"/>
      <c r="JGY48" s="66"/>
      <c r="JGZ48" s="66"/>
      <c r="JHA48" s="66"/>
      <c r="JHB48" s="66"/>
      <c r="JHC48" s="66"/>
      <c r="JHD48" s="66"/>
      <c r="JHE48" s="66"/>
      <c r="JHF48" s="66"/>
      <c r="JHG48" s="66"/>
      <c r="JHH48" s="66"/>
      <c r="JHI48" s="66"/>
      <c r="JHJ48" s="66"/>
      <c r="JHK48" s="66"/>
      <c r="JHL48" s="66"/>
      <c r="JHM48" s="66"/>
      <c r="JHN48" s="66"/>
      <c r="JHO48" s="66"/>
      <c r="JHP48" s="66"/>
      <c r="JHQ48" s="66"/>
      <c r="JHR48" s="66"/>
      <c r="JHS48" s="66"/>
      <c r="JHT48" s="66"/>
      <c r="JHU48" s="66"/>
      <c r="JHV48" s="66"/>
      <c r="JHW48" s="66"/>
      <c r="JHX48" s="66"/>
      <c r="JHY48" s="66"/>
      <c r="JHZ48" s="66"/>
      <c r="JIA48" s="66"/>
      <c r="JIB48" s="66"/>
      <c r="JIC48" s="66"/>
      <c r="JID48" s="66"/>
      <c r="JIE48" s="66"/>
      <c r="JIF48" s="66"/>
      <c r="JIG48" s="66"/>
      <c r="JIH48" s="66"/>
      <c r="JII48" s="66"/>
      <c r="JIJ48" s="66"/>
      <c r="JIK48" s="66"/>
      <c r="JIL48" s="66"/>
      <c r="JIM48" s="66"/>
      <c r="JIN48" s="66"/>
      <c r="JIO48" s="66"/>
      <c r="JIP48" s="66"/>
      <c r="JIQ48" s="66"/>
      <c r="JIR48" s="66"/>
      <c r="JIS48" s="66"/>
      <c r="JIT48" s="66"/>
      <c r="JIU48" s="66"/>
      <c r="JIV48" s="66"/>
      <c r="JIW48" s="66"/>
      <c r="JIX48" s="66"/>
      <c r="JIY48" s="66"/>
      <c r="JIZ48" s="66"/>
      <c r="JJA48" s="66"/>
      <c r="JJB48" s="66"/>
      <c r="JJC48" s="66"/>
      <c r="JJD48" s="66"/>
      <c r="JJE48" s="66"/>
      <c r="JJF48" s="66"/>
      <c r="JJG48" s="66"/>
      <c r="JJH48" s="66"/>
      <c r="JJI48" s="66"/>
      <c r="JJJ48" s="66"/>
      <c r="JJK48" s="66"/>
      <c r="JJL48" s="66"/>
      <c r="JJM48" s="66"/>
      <c r="JJN48" s="66"/>
      <c r="JJO48" s="66"/>
      <c r="JJP48" s="66"/>
      <c r="JJQ48" s="66"/>
      <c r="JJR48" s="66"/>
      <c r="JJS48" s="66"/>
      <c r="JJT48" s="66"/>
      <c r="JJU48" s="66"/>
      <c r="JJV48" s="66"/>
      <c r="JJW48" s="66"/>
      <c r="JJX48" s="66"/>
      <c r="JJY48" s="66"/>
      <c r="JJZ48" s="66"/>
      <c r="JKA48" s="66"/>
      <c r="JKB48" s="66"/>
      <c r="JKC48" s="66"/>
      <c r="JKD48" s="66"/>
      <c r="JKE48" s="66"/>
      <c r="JKF48" s="66"/>
      <c r="JKG48" s="66"/>
      <c r="JKH48" s="66"/>
      <c r="JKI48" s="66"/>
      <c r="JKJ48" s="66"/>
      <c r="JKK48" s="66"/>
      <c r="JKL48" s="66"/>
      <c r="JKM48" s="66"/>
      <c r="JKN48" s="66"/>
      <c r="JKO48" s="66"/>
      <c r="JKP48" s="66"/>
      <c r="JKQ48" s="66"/>
      <c r="JKR48" s="66"/>
      <c r="JKS48" s="66"/>
      <c r="JKT48" s="66"/>
      <c r="JKU48" s="66"/>
      <c r="JKV48" s="66"/>
      <c r="JKW48" s="66"/>
      <c r="JKX48" s="66"/>
      <c r="JKY48" s="66"/>
      <c r="JKZ48" s="66"/>
      <c r="JLA48" s="66"/>
      <c r="JLB48" s="66"/>
      <c r="JLC48" s="66"/>
      <c r="JLD48" s="66"/>
      <c r="JLE48" s="66"/>
      <c r="JLF48" s="66"/>
      <c r="JLG48" s="66"/>
      <c r="JLH48" s="66"/>
      <c r="JLI48" s="66"/>
      <c r="JLJ48" s="66"/>
      <c r="JLK48" s="66"/>
      <c r="JLL48" s="66"/>
      <c r="JLM48" s="66"/>
      <c r="JLN48" s="66"/>
      <c r="JLO48" s="66"/>
      <c r="JLP48" s="66"/>
      <c r="JLQ48" s="66"/>
      <c r="JLR48" s="66"/>
      <c r="JLS48" s="66"/>
      <c r="JLT48" s="66"/>
      <c r="JLU48" s="66"/>
      <c r="JLV48" s="66"/>
      <c r="JLW48" s="66"/>
      <c r="JLX48" s="66"/>
      <c r="JLY48" s="66"/>
      <c r="JLZ48" s="66"/>
      <c r="JMA48" s="66"/>
      <c r="JMB48" s="66"/>
      <c r="JMC48" s="66"/>
      <c r="JMD48" s="66"/>
      <c r="JME48" s="66"/>
      <c r="JMF48" s="66"/>
      <c r="JMG48" s="66"/>
      <c r="JMH48" s="66"/>
      <c r="JMI48" s="66"/>
      <c r="JMJ48" s="66"/>
      <c r="JMK48" s="66"/>
      <c r="JML48" s="66"/>
      <c r="JMM48" s="66"/>
      <c r="JMN48" s="66"/>
      <c r="JMO48" s="66"/>
      <c r="JMP48" s="66"/>
      <c r="JMQ48" s="66"/>
      <c r="JMR48" s="66"/>
      <c r="JMS48" s="66"/>
      <c r="JMT48" s="66"/>
      <c r="JMU48" s="66"/>
      <c r="JMV48" s="66"/>
      <c r="JMW48" s="66"/>
      <c r="JMX48" s="66"/>
      <c r="JMY48" s="66"/>
      <c r="JMZ48" s="66"/>
      <c r="JNA48" s="66"/>
      <c r="JNB48" s="66"/>
      <c r="JNC48" s="66"/>
      <c r="JND48" s="66"/>
      <c r="JNE48" s="66"/>
      <c r="JNF48" s="66"/>
      <c r="JNG48" s="66"/>
      <c r="JNH48" s="66"/>
      <c r="JNI48" s="66"/>
      <c r="JNJ48" s="66"/>
      <c r="JNK48" s="66"/>
      <c r="JNL48" s="66"/>
      <c r="JNM48" s="66"/>
      <c r="JNN48" s="66"/>
      <c r="JNO48" s="66"/>
      <c r="JNP48" s="66"/>
      <c r="JNQ48" s="66"/>
      <c r="JNR48" s="66"/>
      <c r="JNS48" s="66"/>
      <c r="JNT48" s="66"/>
      <c r="JNU48" s="66"/>
      <c r="JNV48" s="66"/>
      <c r="JNW48" s="66"/>
      <c r="JNX48" s="66"/>
      <c r="JNY48" s="66"/>
      <c r="JNZ48" s="66"/>
      <c r="JOA48" s="66"/>
      <c r="JOB48" s="66"/>
      <c r="JOC48" s="66"/>
      <c r="JOD48" s="66"/>
      <c r="JOE48" s="66"/>
      <c r="JOF48" s="66"/>
      <c r="JOG48" s="66"/>
      <c r="JOH48" s="66"/>
      <c r="JOI48" s="66"/>
      <c r="JOJ48" s="66"/>
      <c r="JOK48" s="66"/>
      <c r="JOL48" s="66"/>
      <c r="JOM48" s="66"/>
      <c r="JON48" s="66"/>
      <c r="JOO48" s="66"/>
      <c r="JOP48" s="66"/>
      <c r="JOQ48" s="66"/>
      <c r="JOR48" s="66"/>
      <c r="JOS48" s="66"/>
      <c r="JOT48" s="66"/>
      <c r="JOU48" s="66"/>
      <c r="JOV48" s="66"/>
      <c r="JOW48" s="66"/>
      <c r="JOX48" s="66"/>
      <c r="JOY48" s="66"/>
      <c r="JOZ48" s="66"/>
      <c r="JPA48" s="66"/>
      <c r="JPB48" s="66"/>
      <c r="JPC48" s="66"/>
      <c r="JPD48" s="66"/>
      <c r="JPE48" s="66"/>
      <c r="JPF48" s="66"/>
      <c r="JPG48" s="66"/>
      <c r="JPH48" s="66"/>
      <c r="JPI48" s="66"/>
      <c r="JPJ48" s="66"/>
      <c r="JPK48" s="66"/>
      <c r="JPL48" s="66"/>
      <c r="JPM48" s="66"/>
      <c r="JPN48" s="66"/>
      <c r="JPO48" s="66"/>
      <c r="JPP48" s="66"/>
      <c r="JPQ48" s="66"/>
      <c r="JPR48" s="66"/>
      <c r="JPS48" s="66"/>
      <c r="JPT48" s="66"/>
      <c r="JPU48" s="66"/>
      <c r="JPV48" s="66"/>
      <c r="JPW48" s="66"/>
      <c r="JPX48" s="66"/>
      <c r="JPY48" s="66"/>
      <c r="JPZ48" s="66"/>
      <c r="JQA48" s="66"/>
      <c r="JQB48" s="66"/>
      <c r="JQC48" s="66"/>
      <c r="JQD48" s="66"/>
      <c r="JQE48" s="66"/>
      <c r="JQF48" s="66"/>
      <c r="JQG48" s="66"/>
      <c r="JQH48" s="66"/>
      <c r="JQI48" s="66"/>
      <c r="JQJ48" s="66"/>
      <c r="JQK48" s="66"/>
      <c r="JQL48" s="66"/>
      <c r="JQM48" s="66"/>
      <c r="JQN48" s="66"/>
      <c r="JQO48" s="66"/>
      <c r="JQP48" s="66"/>
      <c r="JQQ48" s="66"/>
      <c r="JQR48" s="66"/>
      <c r="JQS48" s="66"/>
      <c r="JQT48" s="66"/>
      <c r="JQU48" s="66"/>
      <c r="JQV48" s="66"/>
      <c r="JQW48" s="66"/>
      <c r="JQX48" s="66"/>
      <c r="JQY48" s="66"/>
      <c r="JQZ48" s="66"/>
      <c r="JRA48" s="66"/>
      <c r="JRB48" s="66"/>
      <c r="JRC48" s="66"/>
      <c r="JRD48" s="66"/>
      <c r="JRE48" s="66"/>
      <c r="JRF48" s="66"/>
      <c r="JRG48" s="66"/>
      <c r="JRH48" s="66"/>
      <c r="JRI48" s="66"/>
      <c r="JRJ48" s="66"/>
      <c r="JRK48" s="66"/>
      <c r="JRL48" s="66"/>
      <c r="JRM48" s="66"/>
      <c r="JRN48" s="66"/>
      <c r="JRO48" s="66"/>
      <c r="JRP48" s="66"/>
      <c r="JRQ48" s="66"/>
      <c r="JRR48" s="66"/>
      <c r="JRS48" s="66"/>
      <c r="JRT48" s="66"/>
      <c r="JRU48" s="66"/>
      <c r="JRV48" s="66"/>
      <c r="JRW48" s="66"/>
      <c r="JRX48" s="66"/>
      <c r="JRY48" s="66"/>
      <c r="JRZ48" s="66"/>
      <c r="JSA48" s="66"/>
      <c r="JSB48" s="66"/>
      <c r="JSC48" s="66"/>
      <c r="JSD48" s="66"/>
      <c r="JSE48" s="66"/>
      <c r="JSF48" s="66"/>
      <c r="JSG48" s="66"/>
      <c r="JSH48" s="66"/>
      <c r="JSI48" s="66"/>
      <c r="JSJ48" s="66"/>
      <c r="JSK48" s="66"/>
      <c r="JSL48" s="66"/>
      <c r="JSM48" s="66"/>
      <c r="JSN48" s="66"/>
      <c r="JSO48" s="66"/>
      <c r="JSP48" s="66"/>
      <c r="JSQ48" s="66"/>
      <c r="JSR48" s="66"/>
      <c r="JSS48" s="66"/>
      <c r="JST48" s="66"/>
      <c r="JSU48" s="66"/>
      <c r="JSV48" s="66"/>
      <c r="JSW48" s="66"/>
      <c r="JSX48" s="66"/>
      <c r="JSY48" s="66"/>
      <c r="JSZ48" s="66"/>
      <c r="JTA48" s="66"/>
      <c r="JTB48" s="66"/>
      <c r="JTC48" s="66"/>
      <c r="JTD48" s="66"/>
      <c r="JTE48" s="66"/>
      <c r="JTF48" s="66"/>
      <c r="JTG48" s="66"/>
      <c r="JTH48" s="66"/>
      <c r="JTI48" s="66"/>
      <c r="JTJ48" s="66"/>
      <c r="JTK48" s="66"/>
      <c r="JTL48" s="66"/>
      <c r="JTM48" s="66"/>
      <c r="JTN48" s="66"/>
      <c r="JTO48" s="66"/>
      <c r="JTP48" s="66"/>
      <c r="JTQ48" s="66"/>
      <c r="JTR48" s="66"/>
      <c r="JTS48" s="66"/>
      <c r="JTT48" s="66"/>
      <c r="JTU48" s="66"/>
      <c r="JTV48" s="66"/>
      <c r="JTW48" s="66"/>
      <c r="JTX48" s="66"/>
      <c r="JTY48" s="66"/>
      <c r="JTZ48" s="66"/>
      <c r="JUA48" s="66"/>
      <c r="JUB48" s="66"/>
      <c r="JUC48" s="66"/>
      <c r="JUD48" s="66"/>
      <c r="JUE48" s="66"/>
      <c r="JUF48" s="66"/>
      <c r="JUG48" s="66"/>
      <c r="JUH48" s="66"/>
      <c r="JUI48" s="66"/>
      <c r="JUJ48" s="66"/>
      <c r="JUK48" s="66"/>
      <c r="JUL48" s="66"/>
      <c r="JUM48" s="66"/>
      <c r="JUN48" s="66"/>
      <c r="JUO48" s="66"/>
      <c r="JUP48" s="66"/>
      <c r="JUQ48" s="66"/>
      <c r="JUR48" s="66"/>
      <c r="JUS48" s="66"/>
      <c r="JUT48" s="66"/>
      <c r="JUU48" s="66"/>
      <c r="JUV48" s="66"/>
      <c r="JUW48" s="66"/>
      <c r="JUX48" s="66"/>
      <c r="JUY48" s="66"/>
      <c r="JUZ48" s="66"/>
      <c r="JVA48" s="66"/>
      <c r="JVB48" s="66"/>
      <c r="JVC48" s="66"/>
      <c r="JVD48" s="66"/>
      <c r="JVE48" s="66"/>
      <c r="JVF48" s="66"/>
      <c r="JVG48" s="66"/>
      <c r="JVH48" s="66"/>
      <c r="JVI48" s="66"/>
      <c r="JVJ48" s="66"/>
      <c r="JVK48" s="66"/>
      <c r="JVL48" s="66"/>
      <c r="JVM48" s="66"/>
      <c r="JVN48" s="66"/>
      <c r="JVO48" s="66"/>
      <c r="JVP48" s="66"/>
      <c r="JVQ48" s="66"/>
      <c r="JVR48" s="66"/>
      <c r="JVS48" s="66"/>
      <c r="JVT48" s="66"/>
      <c r="JVU48" s="66"/>
      <c r="JVV48" s="66"/>
      <c r="JVW48" s="66"/>
      <c r="JVX48" s="66"/>
      <c r="JVY48" s="66"/>
      <c r="JVZ48" s="66"/>
      <c r="JWA48" s="66"/>
      <c r="JWB48" s="66"/>
      <c r="JWC48" s="66"/>
      <c r="JWD48" s="66"/>
      <c r="JWE48" s="66"/>
      <c r="JWF48" s="66"/>
      <c r="JWG48" s="66"/>
      <c r="JWH48" s="66"/>
      <c r="JWI48" s="66"/>
      <c r="JWJ48" s="66"/>
      <c r="JWK48" s="66"/>
      <c r="JWL48" s="66"/>
      <c r="JWM48" s="66"/>
      <c r="JWN48" s="66"/>
      <c r="JWO48" s="66"/>
      <c r="JWP48" s="66"/>
      <c r="JWQ48" s="66"/>
      <c r="JWR48" s="66"/>
      <c r="JWS48" s="66"/>
      <c r="JWT48" s="66"/>
      <c r="JWU48" s="66"/>
      <c r="JWV48" s="66"/>
      <c r="JWW48" s="66"/>
      <c r="JWX48" s="66"/>
      <c r="JWY48" s="66"/>
      <c r="JWZ48" s="66"/>
      <c r="JXA48" s="66"/>
      <c r="JXB48" s="66"/>
      <c r="JXC48" s="66"/>
      <c r="JXD48" s="66"/>
      <c r="JXE48" s="66"/>
      <c r="JXF48" s="66"/>
      <c r="JXG48" s="66"/>
      <c r="JXH48" s="66"/>
      <c r="JXI48" s="66"/>
      <c r="JXJ48" s="66"/>
      <c r="JXK48" s="66"/>
      <c r="JXL48" s="66"/>
      <c r="JXM48" s="66"/>
      <c r="JXN48" s="66"/>
      <c r="JXO48" s="66"/>
      <c r="JXP48" s="66"/>
      <c r="JXQ48" s="66"/>
      <c r="JXR48" s="66"/>
      <c r="JXS48" s="66"/>
      <c r="JXT48" s="66"/>
      <c r="JXU48" s="66"/>
      <c r="JXV48" s="66"/>
      <c r="JXW48" s="66"/>
      <c r="JXX48" s="66"/>
      <c r="JXY48" s="66"/>
      <c r="JXZ48" s="66"/>
      <c r="JYA48" s="66"/>
      <c r="JYB48" s="66"/>
      <c r="JYC48" s="66"/>
      <c r="JYD48" s="66"/>
      <c r="JYE48" s="66"/>
      <c r="JYF48" s="66"/>
      <c r="JYG48" s="66"/>
      <c r="JYH48" s="66"/>
      <c r="JYI48" s="66"/>
      <c r="JYJ48" s="66"/>
      <c r="JYK48" s="66"/>
      <c r="JYL48" s="66"/>
      <c r="JYM48" s="66"/>
      <c r="JYN48" s="66"/>
      <c r="JYO48" s="66"/>
      <c r="JYP48" s="66"/>
      <c r="JYQ48" s="66"/>
      <c r="JYR48" s="66"/>
      <c r="JYS48" s="66"/>
      <c r="JYT48" s="66"/>
      <c r="JYU48" s="66"/>
      <c r="JYV48" s="66"/>
      <c r="JYW48" s="66"/>
      <c r="JYX48" s="66"/>
      <c r="JYY48" s="66"/>
      <c r="JYZ48" s="66"/>
      <c r="JZA48" s="66"/>
      <c r="JZB48" s="66"/>
      <c r="JZC48" s="66"/>
      <c r="JZD48" s="66"/>
      <c r="JZE48" s="66"/>
      <c r="JZF48" s="66"/>
      <c r="JZG48" s="66"/>
      <c r="JZH48" s="66"/>
      <c r="JZI48" s="66"/>
      <c r="JZJ48" s="66"/>
      <c r="JZK48" s="66"/>
      <c r="JZL48" s="66"/>
      <c r="JZM48" s="66"/>
      <c r="JZN48" s="66"/>
      <c r="JZO48" s="66"/>
      <c r="JZP48" s="66"/>
      <c r="JZQ48" s="66"/>
      <c r="JZR48" s="66"/>
      <c r="JZS48" s="66"/>
      <c r="JZT48" s="66"/>
      <c r="JZU48" s="66"/>
      <c r="JZV48" s="66"/>
      <c r="JZW48" s="66"/>
      <c r="JZX48" s="66"/>
      <c r="JZY48" s="66"/>
      <c r="JZZ48" s="66"/>
      <c r="KAA48" s="66"/>
      <c r="KAB48" s="66"/>
      <c r="KAC48" s="66"/>
      <c r="KAD48" s="66"/>
      <c r="KAE48" s="66"/>
      <c r="KAF48" s="66"/>
      <c r="KAG48" s="66"/>
      <c r="KAH48" s="66"/>
      <c r="KAI48" s="66"/>
      <c r="KAJ48" s="66"/>
      <c r="KAK48" s="66"/>
      <c r="KAL48" s="66"/>
      <c r="KAM48" s="66"/>
      <c r="KAN48" s="66"/>
      <c r="KAO48" s="66"/>
      <c r="KAP48" s="66"/>
      <c r="KAQ48" s="66"/>
      <c r="KAR48" s="66"/>
      <c r="KAS48" s="66"/>
      <c r="KAT48" s="66"/>
      <c r="KAU48" s="66"/>
      <c r="KAV48" s="66"/>
      <c r="KAW48" s="66"/>
      <c r="KAX48" s="66"/>
      <c r="KAY48" s="66"/>
      <c r="KAZ48" s="66"/>
      <c r="KBA48" s="66"/>
      <c r="KBB48" s="66"/>
      <c r="KBC48" s="66"/>
      <c r="KBD48" s="66"/>
      <c r="KBE48" s="66"/>
      <c r="KBF48" s="66"/>
      <c r="KBG48" s="66"/>
      <c r="KBH48" s="66"/>
      <c r="KBI48" s="66"/>
      <c r="KBJ48" s="66"/>
      <c r="KBK48" s="66"/>
      <c r="KBL48" s="66"/>
      <c r="KBM48" s="66"/>
      <c r="KBN48" s="66"/>
      <c r="KBO48" s="66"/>
      <c r="KBP48" s="66"/>
      <c r="KBQ48" s="66"/>
      <c r="KBR48" s="66"/>
      <c r="KBS48" s="66"/>
      <c r="KBT48" s="66"/>
      <c r="KBU48" s="66"/>
      <c r="KBV48" s="66"/>
      <c r="KBW48" s="66"/>
      <c r="KBX48" s="66"/>
      <c r="KBY48" s="66"/>
      <c r="KBZ48" s="66"/>
      <c r="KCA48" s="66"/>
      <c r="KCB48" s="66"/>
      <c r="KCC48" s="66"/>
      <c r="KCD48" s="66"/>
      <c r="KCE48" s="66"/>
      <c r="KCF48" s="66"/>
      <c r="KCG48" s="66"/>
      <c r="KCH48" s="66"/>
      <c r="KCI48" s="66"/>
      <c r="KCJ48" s="66"/>
      <c r="KCK48" s="66"/>
      <c r="KCL48" s="66"/>
      <c r="KCM48" s="66"/>
      <c r="KCN48" s="66"/>
      <c r="KCO48" s="66"/>
      <c r="KCP48" s="66"/>
      <c r="KCQ48" s="66"/>
      <c r="KCR48" s="66"/>
      <c r="KCS48" s="66"/>
      <c r="KCT48" s="66"/>
      <c r="KCU48" s="66"/>
      <c r="KCV48" s="66"/>
      <c r="KCW48" s="66"/>
      <c r="KCX48" s="66"/>
      <c r="KCY48" s="66"/>
      <c r="KCZ48" s="66"/>
      <c r="KDA48" s="66"/>
      <c r="KDB48" s="66"/>
      <c r="KDC48" s="66"/>
      <c r="KDD48" s="66"/>
      <c r="KDE48" s="66"/>
      <c r="KDF48" s="66"/>
      <c r="KDG48" s="66"/>
      <c r="KDH48" s="66"/>
      <c r="KDI48" s="66"/>
      <c r="KDJ48" s="66"/>
      <c r="KDK48" s="66"/>
      <c r="KDL48" s="66"/>
      <c r="KDM48" s="66"/>
      <c r="KDN48" s="66"/>
      <c r="KDO48" s="66"/>
      <c r="KDP48" s="66"/>
      <c r="KDQ48" s="66"/>
      <c r="KDR48" s="66"/>
      <c r="KDS48" s="66"/>
      <c r="KDT48" s="66"/>
      <c r="KDU48" s="66"/>
      <c r="KDV48" s="66"/>
      <c r="KDW48" s="66"/>
      <c r="KDX48" s="66"/>
      <c r="KDY48" s="66"/>
      <c r="KDZ48" s="66"/>
      <c r="KEA48" s="66"/>
      <c r="KEB48" s="66"/>
      <c r="KEC48" s="66"/>
      <c r="KED48" s="66"/>
      <c r="KEE48" s="66"/>
      <c r="KEF48" s="66"/>
      <c r="KEG48" s="66"/>
      <c r="KEH48" s="66"/>
      <c r="KEI48" s="66"/>
      <c r="KEJ48" s="66"/>
      <c r="KEK48" s="66"/>
      <c r="KEL48" s="66"/>
      <c r="KEM48" s="66"/>
      <c r="KEN48" s="66"/>
      <c r="KEO48" s="66"/>
      <c r="KEP48" s="66"/>
      <c r="KEQ48" s="66"/>
      <c r="KER48" s="66"/>
      <c r="KES48" s="66"/>
      <c r="KET48" s="66"/>
      <c r="KEU48" s="66"/>
      <c r="KEV48" s="66"/>
      <c r="KEW48" s="66"/>
      <c r="KEX48" s="66"/>
      <c r="KEY48" s="66"/>
      <c r="KEZ48" s="66"/>
      <c r="KFA48" s="66"/>
      <c r="KFB48" s="66"/>
      <c r="KFC48" s="66"/>
      <c r="KFD48" s="66"/>
      <c r="KFE48" s="66"/>
      <c r="KFF48" s="66"/>
      <c r="KFG48" s="66"/>
      <c r="KFH48" s="66"/>
      <c r="KFI48" s="66"/>
      <c r="KFJ48" s="66"/>
      <c r="KFK48" s="66"/>
      <c r="KFL48" s="66"/>
      <c r="KFM48" s="66"/>
      <c r="KFN48" s="66"/>
      <c r="KFO48" s="66"/>
      <c r="KFP48" s="66"/>
      <c r="KFQ48" s="66"/>
      <c r="KFR48" s="66"/>
      <c r="KFS48" s="66"/>
      <c r="KFT48" s="66"/>
      <c r="KFU48" s="66"/>
      <c r="KFV48" s="66"/>
      <c r="KFW48" s="66"/>
      <c r="KFX48" s="66"/>
      <c r="KFY48" s="66"/>
      <c r="KFZ48" s="66"/>
      <c r="KGA48" s="66"/>
      <c r="KGB48" s="66"/>
      <c r="KGC48" s="66"/>
      <c r="KGD48" s="66"/>
      <c r="KGE48" s="66"/>
      <c r="KGF48" s="66"/>
      <c r="KGG48" s="66"/>
      <c r="KGH48" s="66"/>
      <c r="KGI48" s="66"/>
      <c r="KGJ48" s="66"/>
      <c r="KGK48" s="66"/>
      <c r="KGL48" s="66"/>
      <c r="KGM48" s="66"/>
      <c r="KGN48" s="66"/>
      <c r="KGO48" s="66"/>
      <c r="KGP48" s="66"/>
      <c r="KGQ48" s="66"/>
      <c r="KGR48" s="66"/>
      <c r="KGS48" s="66"/>
      <c r="KGT48" s="66"/>
      <c r="KGU48" s="66"/>
      <c r="KGV48" s="66"/>
      <c r="KGW48" s="66"/>
      <c r="KGX48" s="66"/>
      <c r="KGY48" s="66"/>
      <c r="KGZ48" s="66"/>
      <c r="KHA48" s="66"/>
      <c r="KHB48" s="66"/>
      <c r="KHC48" s="66"/>
      <c r="KHD48" s="66"/>
      <c r="KHE48" s="66"/>
      <c r="KHF48" s="66"/>
      <c r="KHG48" s="66"/>
      <c r="KHH48" s="66"/>
      <c r="KHI48" s="66"/>
      <c r="KHJ48" s="66"/>
      <c r="KHK48" s="66"/>
      <c r="KHL48" s="66"/>
      <c r="KHM48" s="66"/>
      <c r="KHN48" s="66"/>
      <c r="KHO48" s="66"/>
      <c r="KHP48" s="66"/>
      <c r="KHQ48" s="66"/>
      <c r="KHR48" s="66"/>
      <c r="KHS48" s="66"/>
      <c r="KHT48" s="66"/>
      <c r="KHU48" s="66"/>
      <c r="KHV48" s="66"/>
      <c r="KHW48" s="66"/>
      <c r="KHX48" s="66"/>
      <c r="KHY48" s="66"/>
      <c r="KHZ48" s="66"/>
      <c r="KIA48" s="66"/>
      <c r="KIB48" s="66"/>
      <c r="KIC48" s="66"/>
      <c r="KID48" s="66"/>
      <c r="KIE48" s="66"/>
      <c r="KIF48" s="66"/>
      <c r="KIG48" s="66"/>
      <c r="KIH48" s="66"/>
      <c r="KII48" s="66"/>
      <c r="KIJ48" s="66"/>
      <c r="KIK48" s="66"/>
      <c r="KIL48" s="66"/>
      <c r="KIM48" s="66"/>
      <c r="KIN48" s="66"/>
      <c r="KIO48" s="66"/>
      <c r="KIP48" s="66"/>
      <c r="KIQ48" s="66"/>
      <c r="KIR48" s="66"/>
      <c r="KIS48" s="66"/>
      <c r="KIT48" s="66"/>
      <c r="KIU48" s="66"/>
      <c r="KIV48" s="66"/>
      <c r="KIW48" s="66"/>
      <c r="KIX48" s="66"/>
      <c r="KIY48" s="66"/>
      <c r="KIZ48" s="66"/>
      <c r="KJA48" s="66"/>
      <c r="KJB48" s="66"/>
      <c r="KJC48" s="66"/>
      <c r="KJD48" s="66"/>
      <c r="KJE48" s="66"/>
      <c r="KJF48" s="66"/>
      <c r="KJG48" s="66"/>
      <c r="KJH48" s="66"/>
      <c r="KJI48" s="66"/>
      <c r="KJJ48" s="66"/>
      <c r="KJK48" s="66"/>
      <c r="KJL48" s="66"/>
      <c r="KJM48" s="66"/>
      <c r="KJN48" s="66"/>
      <c r="KJO48" s="66"/>
      <c r="KJP48" s="66"/>
      <c r="KJQ48" s="66"/>
      <c r="KJR48" s="66"/>
      <c r="KJS48" s="66"/>
      <c r="KJT48" s="66"/>
      <c r="KJU48" s="66"/>
      <c r="KJV48" s="66"/>
      <c r="KJW48" s="66"/>
      <c r="KJX48" s="66"/>
      <c r="KJY48" s="66"/>
      <c r="KJZ48" s="66"/>
      <c r="KKA48" s="66"/>
      <c r="KKB48" s="66"/>
      <c r="KKC48" s="66"/>
      <c r="KKD48" s="66"/>
      <c r="KKE48" s="66"/>
      <c r="KKF48" s="66"/>
      <c r="KKG48" s="66"/>
      <c r="KKH48" s="66"/>
      <c r="KKI48" s="66"/>
      <c r="KKJ48" s="66"/>
      <c r="KKK48" s="66"/>
      <c r="KKL48" s="66"/>
      <c r="KKM48" s="66"/>
      <c r="KKN48" s="66"/>
      <c r="KKO48" s="66"/>
      <c r="KKP48" s="66"/>
      <c r="KKQ48" s="66"/>
      <c r="KKR48" s="66"/>
      <c r="KKS48" s="66"/>
      <c r="KKT48" s="66"/>
      <c r="KKU48" s="66"/>
      <c r="KKV48" s="66"/>
      <c r="KKW48" s="66"/>
      <c r="KKX48" s="66"/>
      <c r="KKY48" s="66"/>
      <c r="KKZ48" s="66"/>
      <c r="KLA48" s="66"/>
      <c r="KLB48" s="66"/>
      <c r="KLC48" s="66"/>
      <c r="KLD48" s="66"/>
      <c r="KLE48" s="66"/>
      <c r="KLF48" s="66"/>
      <c r="KLG48" s="66"/>
      <c r="KLH48" s="66"/>
      <c r="KLI48" s="66"/>
      <c r="KLJ48" s="66"/>
      <c r="KLK48" s="66"/>
      <c r="KLL48" s="66"/>
      <c r="KLM48" s="66"/>
      <c r="KLN48" s="66"/>
      <c r="KLO48" s="66"/>
      <c r="KLP48" s="66"/>
      <c r="KLQ48" s="66"/>
      <c r="KLR48" s="66"/>
      <c r="KLS48" s="66"/>
      <c r="KLT48" s="66"/>
      <c r="KLU48" s="66"/>
      <c r="KLV48" s="66"/>
      <c r="KLW48" s="66"/>
      <c r="KLX48" s="66"/>
      <c r="KLY48" s="66"/>
      <c r="KLZ48" s="66"/>
      <c r="KMA48" s="66"/>
      <c r="KMB48" s="66"/>
      <c r="KMC48" s="66"/>
      <c r="KMD48" s="66"/>
      <c r="KME48" s="66"/>
      <c r="KMF48" s="66"/>
      <c r="KMG48" s="66"/>
      <c r="KMH48" s="66"/>
      <c r="KMI48" s="66"/>
      <c r="KMJ48" s="66"/>
      <c r="KMK48" s="66"/>
      <c r="KML48" s="66"/>
      <c r="KMM48" s="66"/>
      <c r="KMN48" s="66"/>
      <c r="KMO48" s="66"/>
      <c r="KMP48" s="66"/>
      <c r="KMQ48" s="66"/>
      <c r="KMR48" s="66"/>
      <c r="KMS48" s="66"/>
      <c r="KMT48" s="66"/>
      <c r="KMU48" s="66"/>
      <c r="KMV48" s="66"/>
      <c r="KMW48" s="66"/>
      <c r="KMX48" s="66"/>
      <c r="KMY48" s="66"/>
      <c r="KMZ48" s="66"/>
      <c r="KNA48" s="66"/>
      <c r="KNB48" s="66"/>
      <c r="KNC48" s="66"/>
      <c r="KND48" s="66"/>
      <c r="KNE48" s="66"/>
      <c r="KNF48" s="66"/>
      <c r="KNG48" s="66"/>
      <c r="KNH48" s="66"/>
      <c r="KNI48" s="66"/>
      <c r="KNJ48" s="66"/>
      <c r="KNK48" s="66"/>
      <c r="KNL48" s="66"/>
      <c r="KNM48" s="66"/>
      <c r="KNN48" s="66"/>
      <c r="KNO48" s="66"/>
      <c r="KNP48" s="66"/>
      <c r="KNQ48" s="66"/>
      <c r="KNR48" s="66"/>
      <c r="KNS48" s="66"/>
      <c r="KNT48" s="66"/>
      <c r="KNU48" s="66"/>
      <c r="KNV48" s="66"/>
      <c r="KNW48" s="66"/>
      <c r="KNX48" s="66"/>
      <c r="KNY48" s="66"/>
      <c r="KNZ48" s="66"/>
      <c r="KOA48" s="66"/>
      <c r="KOB48" s="66"/>
      <c r="KOC48" s="66"/>
      <c r="KOD48" s="66"/>
      <c r="KOE48" s="66"/>
      <c r="KOF48" s="66"/>
      <c r="KOG48" s="66"/>
      <c r="KOH48" s="66"/>
      <c r="KOI48" s="66"/>
      <c r="KOJ48" s="66"/>
      <c r="KOK48" s="66"/>
      <c r="KOL48" s="66"/>
      <c r="KOM48" s="66"/>
      <c r="KON48" s="66"/>
      <c r="KOO48" s="66"/>
      <c r="KOP48" s="66"/>
      <c r="KOQ48" s="66"/>
      <c r="KOR48" s="66"/>
      <c r="KOS48" s="66"/>
      <c r="KOT48" s="66"/>
      <c r="KOU48" s="66"/>
      <c r="KOV48" s="66"/>
      <c r="KOW48" s="66"/>
      <c r="KOX48" s="66"/>
      <c r="KOY48" s="66"/>
      <c r="KOZ48" s="66"/>
      <c r="KPA48" s="66"/>
      <c r="KPB48" s="66"/>
      <c r="KPC48" s="66"/>
      <c r="KPD48" s="66"/>
      <c r="KPE48" s="66"/>
      <c r="KPF48" s="66"/>
      <c r="KPG48" s="66"/>
      <c r="KPH48" s="66"/>
      <c r="KPI48" s="66"/>
      <c r="KPJ48" s="66"/>
      <c r="KPK48" s="66"/>
      <c r="KPL48" s="66"/>
      <c r="KPM48" s="66"/>
      <c r="KPN48" s="66"/>
      <c r="KPO48" s="66"/>
      <c r="KPP48" s="66"/>
      <c r="KPQ48" s="66"/>
      <c r="KPR48" s="66"/>
      <c r="KPS48" s="66"/>
      <c r="KPT48" s="66"/>
      <c r="KPU48" s="66"/>
      <c r="KPV48" s="66"/>
      <c r="KPW48" s="66"/>
      <c r="KPX48" s="66"/>
      <c r="KPY48" s="66"/>
      <c r="KPZ48" s="66"/>
      <c r="KQA48" s="66"/>
      <c r="KQB48" s="66"/>
      <c r="KQC48" s="66"/>
      <c r="KQD48" s="66"/>
      <c r="KQE48" s="66"/>
      <c r="KQF48" s="66"/>
      <c r="KQG48" s="66"/>
      <c r="KQH48" s="66"/>
      <c r="KQI48" s="66"/>
      <c r="KQJ48" s="66"/>
      <c r="KQK48" s="66"/>
      <c r="KQL48" s="66"/>
      <c r="KQM48" s="66"/>
      <c r="KQN48" s="66"/>
      <c r="KQO48" s="66"/>
      <c r="KQP48" s="66"/>
      <c r="KQQ48" s="66"/>
      <c r="KQR48" s="66"/>
      <c r="KQS48" s="66"/>
      <c r="KQT48" s="66"/>
      <c r="KQU48" s="66"/>
      <c r="KQV48" s="66"/>
      <c r="KQW48" s="66"/>
      <c r="KQX48" s="66"/>
      <c r="KQY48" s="66"/>
      <c r="KQZ48" s="66"/>
      <c r="KRA48" s="66"/>
      <c r="KRB48" s="66"/>
      <c r="KRC48" s="66"/>
      <c r="KRD48" s="66"/>
      <c r="KRE48" s="66"/>
      <c r="KRF48" s="66"/>
      <c r="KRG48" s="66"/>
      <c r="KRH48" s="66"/>
      <c r="KRI48" s="66"/>
      <c r="KRJ48" s="66"/>
      <c r="KRK48" s="66"/>
      <c r="KRL48" s="66"/>
      <c r="KRM48" s="66"/>
      <c r="KRN48" s="66"/>
      <c r="KRO48" s="66"/>
      <c r="KRP48" s="66"/>
      <c r="KRQ48" s="66"/>
      <c r="KRR48" s="66"/>
      <c r="KRS48" s="66"/>
      <c r="KRT48" s="66"/>
      <c r="KRU48" s="66"/>
      <c r="KRV48" s="66"/>
      <c r="KRW48" s="66"/>
      <c r="KRX48" s="66"/>
      <c r="KRY48" s="66"/>
      <c r="KRZ48" s="66"/>
      <c r="KSA48" s="66"/>
      <c r="KSB48" s="66"/>
      <c r="KSC48" s="66"/>
      <c r="KSD48" s="66"/>
      <c r="KSE48" s="66"/>
      <c r="KSF48" s="66"/>
      <c r="KSG48" s="66"/>
      <c r="KSH48" s="66"/>
      <c r="KSI48" s="66"/>
      <c r="KSJ48" s="66"/>
      <c r="KSK48" s="66"/>
      <c r="KSL48" s="66"/>
      <c r="KSM48" s="66"/>
      <c r="KSN48" s="66"/>
      <c r="KSO48" s="66"/>
      <c r="KSP48" s="66"/>
      <c r="KSQ48" s="66"/>
      <c r="KSR48" s="66"/>
      <c r="KSS48" s="66"/>
      <c r="KST48" s="66"/>
      <c r="KSU48" s="66"/>
      <c r="KSV48" s="66"/>
      <c r="KSW48" s="66"/>
      <c r="KSX48" s="66"/>
      <c r="KSY48" s="66"/>
      <c r="KSZ48" s="66"/>
      <c r="KTA48" s="66"/>
      <c r="KTB48" s="66"/>
      <c r="KTC48" s="66"/>
      <c r="KTD48" s="66"/>
      <c r="KTE48" s="66"/>
      <c r="KTF48" s="66"/>
      <c r="KTG48" s="66"/>
      <c r="KTH48" s="66"/>
      <c r="KTI48" s="66"/>
      <c r="KTJ48" s="66"/>
      <c r="KTK48" s="66"/>
      <c r="KTL48" s="66"/>
      <c r="KTM48" s="66"/>
      <c r="KTN48" s="66"/>
      <c r="KTO48" s="66"/>
      <c r="KTP48" s="66"/>
      <c r="KTQ48" s="66"/>
      <c r="KTR48" s="66"/>
      <c r="KTS48" s="66"/>
      <c r="KTT48" s="66"/>
      <c r="KTU48" s="66"/>
      <c r="KTV48" s="66"/>
      <c r="KTW48" s="66"/>
      <c r="KTX48" s="66"/>
      <c r="KTY48" s="66"/>
      <c r="KTZ48" s="66"/>
      <c r="KUA48" s="66"/>
      <c r="KUB48" s="66"/>
      <c r="KUC48" s="66"/>
      <c r="KUD48" s="66"/>
      <c r="KUE48" s="66"/>
      <c r="KUF48" s="66"/>
      <c r="KUG48" s="66"/>
      <c r="KUH48" s="66"/>
      <c r="KUI48" s="66"/>
      <c r="KUJ48" s="66"/>
      <c r="KUK48" s="66"/>
      <c r="KUL48" s="66"/>
      <c r="KUM48" s="66"/>
      <c r="KUN48" s="66"/>
      <c r="KUO48" s="66"/>
      <c r="KUP48" s="66"/>
      <c r="KUQ48" s="66"/>
      <c r="KUR48" s="66"/>
      <c r="KUS48" s="66"/>
      <c r="KUT48" s="66"/>
      <c r="KUU48" s="66"/>
      <c r="KUV48" s="66"/>
      <c r="KUW48" s="66"/>
      <c r="KUX48" s="66"/>
      <c r="KUY48" s="66"/>
      <c r="KUZ48" s="66"/>
      <c r="KVA48" s="66"/>
      <c r="KVB48" s="66"/>
      <c r="KVC48" s="66"/>
      <c r="KVD48" s="66"/>
      <c r="KVE48" s="66"/>
      <c r="KVF48" s="66"/>
      <c r="KVG48" s="66"/>
      <c r="KVH48" s="66"/>
      <c r="KVI48" s="66"/>
      <c r="KVJ48" s="66"/>
      <c r="KVK48" s="66"/>
      <c r="KVL48" s="66"/>
      <c r="KVM48" s="66"/>
      <c r="KVN48" s="66"/>
      <c r="KVO48" s="66"/>
      <c r="KVP48" s="66"/>
      <c r="KVQ48" s="66"/>
      <c r="KVR48" s="66"/>
      <c r="KVS48" s="66"/>
      <c r="KVT48" s="66"/>
      <c r="KVU48" s="66"/>
      <c r="KVV48" s="66"/>
      <c r="KVW48" s="66"/>
      <c r="KVX48" s="66"/>
      <c r="KVY48" s="66"/>
      <c r="KVZ48" s="66"/>
      <c r="KWA48" s="66"/>
      <c r="KWB48" s="66"/>
      <c r="KWC48" s="66"/>
      <c r="KWD48" s="66"/>
      <c r="KWE48" s="66"/>
      <c r="KWF48" s="66"/>
      <c r="KWG48" s="66"/>
      <c r="KWH48" s="66"/>
      <c r="KWI48" s="66"/>
      <c r="KWJ48" s="66"/>
      <c r="KWK48" s="66"/>
      <c r="KWL48" s="66"/>
      <c r="KWM48" s="66"/>
      <c r="KWN48" s="66"/>
      <c r="KWO48" s="66"/>
      <c r="KWP48" s="66"/>
      <c r="KWQ48" s="66"/>
      <c r="KWR48" s="66"/>
      <c r="KWS48" s="66"/>
      <c r="KWT48" s="66"/>
      <c r="KWU48" s="66"/>
      <c r="KWV48" s="66"/>
      <c r="KWW48" s="66"/>
      <c r="KWX48" s="66"/>
      <c r="KWY48" s="66"/>
      <c r="KWZ48" s="66"/>
      <c r="KXA48" s="66"/>
      <c r="KXB48" s="66"/>
      <c r="KXC48" s="66"/>
      <c r="KXD48" s="66"/>
      <c r="KXE48" s="66"/>
      <c r="KXF48" s="66"/>
      <c r="KXG48" s="66"/>
      <c r="KXH48" s="66"/>
      <c r="KXI48" s="66"/>
      <c r="KXJ48" s="66"/>
      <c r="KXK48" s="66"/>
      <c r="KXL48" s="66"/>
      <c r="KXM48" s="66"/>
      <c r="KXN48" s="66"/>
      <c r="KXO48" s="66"/>
      <c r="KXP48" s="66"/>
      <c r="KXQ48" s="66"/>
      <c r="KXR48" s="66"/>
      <c r="KXS48" s="66"/>
      <c r="KXT48" s="66"/>
      <c r="KXU48" s="66"/>
      <c r="KXV48" s="66"/>
      <c r="KXW48" s="66"/>
      <c r="KXX48" s="66"/>
      <c r="KXY48" s="66"/>
      <c r="KXZ48" s="66"/>
      <c r="KYA48" s="66"/>
      <c r="KYB48" s="66"/>
      <c r="KYC48" s="66"/>
      <c r="KYD48" s="66"/>
      <c r="KYE48" s="66"/>
      <c r="KYF48" s="66"/>
      <c r="KYG48" s="66"/>
      <c r="KYH48" s="66"/>
      <c r="KYI48" s="66"/>
      <c r="KYJ48" s="66"/>
      <c r="KYK48" s="66"/>
      <c r="KYL48" s="66"/>
      <c r="KYM48" s="66"/>
      <c r="KYN48" s="66"/>
      <c r="KYO48" s="66"/>
      <c r="KYP48" s="66"/>
      <c r="KYQ48" s="66"/>
      <c r="KYR48" s="66"/>
      <c r="KYS48" s="66"/>
      <c r="KYT48" s="66"/>
      <c r="KYU48" s="66"/>
      <c r="KYV48" s="66"/>
      <c r="KYW48" s="66"/>
      <c r="KYX48" s="66"/>
      <c r="KYY48" s="66"/>
      <c r="KYZ48" s="66"/>
      <c r="KZA48" s="66"/>
      <c r="KZB48" s="66"/>
      <c r="KZC48" s="66"/>
      <c r="KZD48" s="66"/>
      <c r="KZE48" s="66"/>
      <c r="KZF48" s="66"/>
      <c r="KZG48" s="66"/>
      <c r="KZH48" s="66"/>
      <c r="KZI48" s="66"/>
      <c r="KZJ48" s="66"/>
      <c r="KZK48" s="66"/>
      <c r="KZL48" s="66"/>
      <c r="KZM48" s="66"/>
      <c r="KZN48" s="66"/>
      <c r="KZO48" s="66"/>
      <c r="KZP48" s="66"/>
      <c r="KZQ48" s="66"/>
      <c r="KZR48" s="66"/>
      <c r="KZS48" s="66"/>
      <c r="KZT48" s="66"/>
      <c r="KZU48" s="66"/>
      <c r="KZV48" s="66"/>
      <c r="KZW48" s="66"/>
      <c r="KZX48" s="66"/>
      <c r="KZY48" s="66"/>
      <c r="KZZ48" s="66"/>
      <c r="LAA48" s="66"/>
      <c r="LAB48" s="66"/>
      <c r="LAC48" s="66"/>
      <c r="LAD48" s="66"/>
      <c r="LAE48" s="66"/>
      <c r="LAF48" s="66"/>
      <c r="LAG48" s="66"/>
      <c r="LAH48" s="66"/>
      <c r="LAI48" s="66"/>
      <c r="LAJ48" s="66"/>
      <c r="LAK48" s="66"/>
      <c r="LAL48" s="66"/>
      <c r="LAM48" s="66"/>
      <c r="LAN48" s="66"/>
      <c r="LAO48" s="66"/>
      <c r="LAP48" s="66"/>
      <c r="LAQ48" s="66"/>
      <c r="LAR48" s="66"/>
      <c r="LAS48" s="66"/>
      <c r="LAT48" s="66"/>
      <c r="LAU48" s="66"/>
      <c r="LAV48" s="66"/>
      <c r="LAW48" s="66"/>
      <c r="LAX48" s="66"/>
      <c r="LAY48" s="66"/>
      <c r="LAZ48" s="66"/>
      <c r="LBA48" s="66"/>
      <c r="LBB48" s="66"/>
      <c r="LBC48" s="66"/>
      <c r="LBD48" s="66"/>
      <c r="LBE48" s="66"/>
      <c r="LBF48" s="66"/>
      <c r="LBG48" s="66"/>
      <c r="LBH48" s="66"/>
      <c r="LBI48" s="66"/>
      <c r="LBJ48" s="66"/>
      <c r="LBK48" s="66"/>
      <c r="LBL48" s="66"/>
      <c r="LBM48" s="66"/>
      <c r="LBN48" s="66"/>
      <c r="LBO48" s="66"/>
      <c r="LBP48" s="66"/>
      <c r="LBQ48" s="66"/>
      <c r="LBR48" s="66"/>
      <c r="LBS48" s="66"/>
      <c r="LBT48" s="66"/>
      <c r="LBU48" s="66"/>
      <c r="LBV48" s="66"/>
      <c r="LBW48" s="66"/>
      <c r="LBX48" s="66"/>
      <c r="LBY48" s="66"/>
      <c r="LBZ48" s="66"/>
      <c r="LCA48" s="66"/>
      <c r="LCB48" s="66"/>
      <c r="LCC48" s="66"/>
      <c r="LCD48" s="66"/>
      <c r="LCE48" s="66"/>
      <c r="LCF48" s="66"/>
      <c r="LCG48" s="66"/>
      <c r="LCH48" s="66"/>
      <c r="LCI48" s="66"/>
      <c r="LCJ48" s="66"/>
      <c r="LCK48" s="66"/>
      <c r="LCL48" s="66"/>
      <c r="LCM48" s="66"/>
      <c r="LCN48" s="66"/>
      <c r="LCO48" s="66"/>
      <c r="LCP48" s="66"/>
      <c r="LCQ48" s="66"/>
      <c r="LCR48" s="66"/>
      <c r="LCS48" s="66"/>
      <c r="LCT48" s="66"/>
      <c r="LCU48" s="66"/>
      <c r="LCV48" s="66"/>
      <c r="LCW48" s="66"/>
      <c r="LCX48" s="66"/>
      <c r="LCY48" s="66"/>
      <c r="LCZ48" s="66"/>
      <c r="LDA48" s="66"/>
      <c r="LDB48" s="66"/>
      <c r="LDC48" s="66"/>
      <c r="LDD48" s="66"/>
      <c r="LDE48" s="66"/>
      <c r="LDF48" s="66"/>
      <c r="LDG48" s="66"/>
      <c r="LDH48" s="66"/>
      <c r="LDI48" s="66"/>
      <c r="LDJ48" s="66"/>
      <c r="LDK48" s="66"/>
      <c r="LDL48" s="66"/>
      <c r="LDM48" s="66"/>
      <c r="LDN48" s="66"/>
      <c r="LDO48" s="66"/>
      <c r="LDP48" s="66"/>
      <c r="LDQ48" s="66"/>
      <c r="LDR48" s="66"/>
      <c r="LDS48" s="66"/>
      <c r="LDT48" s="66"/>
      <c r="LDU48" s="66"/>
      <c r="LDV48" s="66"/>
      <c r="LDW48" s="66"/>
      <c r="LDX48" s="66"/>
      <c r="LDY48" s="66"/>
      <c r="LDZ48" s="66"/>
      <c r="LEA48" s="66"/>
      <c r="LEB48" s="66"/>
      <c r="LEC48" s="66"/>
      <c r="LED48" s="66"/>
      <c r="LEE48" s="66"/>
      <c r="LEF48" s="66"/>
      <c r="LEG48" s="66"/>
      <c r="LEH48" s="66"/>
      <c r="LEI48" s="66"/>
      <c r="LEJ48" s="66"/>
      <c r="LEK48" s="66"/>
      <c r="LEL48" s="66"/>
      <c r="LEM48" s="66"/>
      <c r="LEN48" s="66"/>
      <c r="LEO48" s="66"/>
      <c r="LEP48" s="66"/>
      <c r="LEQ48" s="66"/>
      <c r="LER48" s="66"/>
      <c r="LES48" s="66"/>
      <c r="LET48" s="66"/>
      <c r="LEU48" s="66"/>
      <c r="LEV48" s="66"/>
      <c r="LEW48" s="66"/>
      <c r="LEX48" s="66"/>
      <c r="LEY48" s="66"/>
      <c r="LEZ48" s="66"/>
      <c r="LFA48" s="66"/>
      <c r="LFB48" s="66"/>
      <c r="LFC48" s="66"/>
      <c r="LFD48" s="66"/>
      <c r="LFE48" s="66"/>
      <c r="LFF48" s="66"/>
      <c r="LFG48" s="66"/>
      <c r="LFH48" s="66"/>
      <c r="LFI48" s="66"/>
      <c r="LFJ48" s="66"/>
      <c r="LFK48" s="66"/>
      <c r="LFL48" s="66"/>
      <c r="LFM48" s="66"/>
      <c r="LFN48" s="66"/>
      <c r="LFO48" s="66"/>
      <c r="LFP48" s="66"/>
      <c r="LFQ48" s="66"/>
      <c r="LFR48" s="66"/>
      <c r="LFS48" s="66"/>
      <c r="LFT48" s="66"/>
      <c r="LFU48" s="66"/>
      <c r="LFV48" s="66"/>
      <c r="LFW48" s="66"/>
      <c r="LFX48" s="66"/>
      <c r="LFY48" s="66"/>
      <c r="LFZ48" s="66"/>
      <c r="LGA48" s="66"/>
      <c r="LGB48" s="66"/>
      <c r="LGC48" s="66"/>
      <c r="LGD48" s="66"/>
      <c r="LGE48" s="66"/>
      <c r="LGF48" s="66"/>
      <c r="LGG48" s="66"/>
      <c r="LGH48" s="66"/>
      <c r="LGI48" s="66"/>
      <c r="LGJ48" s="66"/>
      <c r="LGK48" s="66"/>
      <c r="LGL48" s="66"/>
      <c r="LGM48" s="66"/>
      <c r="LGN48" s="66"/>
      <c r="LGO48" s="66"/>
      <c r="LGP48" s="66"/>
      <c r="LGQ48" s="66"/>
      <c r="LGR48" s="66"/>
      <c r="LGS48" s="66"/>
      <c r="LGT48" s="66"/>
      <c r="LGU48" s="66"/>
      <c r="LGV48" s="66"/>
      <c r="LGW48" s="66"/>
      <c r="LGX48" s="66"/>
      <c r="LGY48" s="66"/>
      <c r="LGZ48" s="66"/>
      <c r="LHA48" s="66"/>
      <c r="LHB48" s="66"/>
      <c r="LHC48" s="66"/>
      <c r="LHD48" s="66"/>
      <c r="LHE48" s="66"/>
      <c r="LHF48" s="66"/>
      <c r="LHG48" s="66"/>
      <c r="LHH48" s="66"/>
      <c r="LHI48" s="66"/>
      <c r="LHJ48" s="66"/>
      <c r="LHK48" s="66"/>
      <c r="LHL48" s="66"/>
      <c r="LHM48" s="66"/>
      <c r="LHN48" s="66"/>
      <c r="LHO48" s="66"/>
      <c r="LHP48" s="66"/>
      <c r="LHQ48" s="66"/>
      <c r="LHR48" s="66"/>
      <c r="LHS48" s="66"/>
      <c r="LHT48" s="66"/>
      <c r="LHU48" s="66"/>
      <c r="LHV48" s="66"/>
      <c r="LHW48" s="66"/>
      <c r="LHX48" s="66"/>
      <c r="LHY48" s="66"/>
      <c r="LHZ48" s="66"/>
      <c r="LIA48" s="66"/>
      <c r="LIB48" s="66"/>
      <c r="LIC48" s="66"/>
      <c r="LID48" s="66"/>
      <c r="LIE48" s="66"/>
      <c r="LIF48" s="66"/>
      <c r="LIG48" s="66"/>
      <c r="LIH48" s="66"/>
      <c r="LII48" s="66"/>
      <c r="LIJ48" s="66"/>
      <c r="LIK48" s="66"/>
      <c r="LIL48" s="66"/>
      <c r="LIM48" s="66"/>
      <c r="LIN48" s="66"/>
      <c r="LIO48" s="66"/>
      <c r="LIP48" s="66"/>
      <c r="LIQ48" s="66"/>
      <c r="LIR48" s="66"/>
      <c r="LIS48" s="66"/>
      <c r="LIT48" s="66"/>
      <c r="LIU48" s="66"/>
      <c r="LIV48" s="66"/>
      <c r="LIW48" s="66"/>
      <c r="LIX48" s="66"/>
      <c r="LIY48" s="66"/>
      <c r="LIZ48" s="66"/>
      <c r="LJA48" s="66"/>
      <c r="LJB48" s="66"/>
      <c r="LJC48" s="66"/>
      <c r="LJD48" s="66"/>
      <c r="LJE48" s="66"/>
      <c r="LJF48" s="66"/>
      <c r="LJG48" s="66"/>
      <c r="LJH48" s="66"/>
      <c r="LJI48" s="66"/>
      <c r="LJJ48" s="66"/>
      <c r="LJK48" s="66"/>
      <c r="LJL48" s="66"/>
      <c r="LJM48" s="66"/>
      <c r="LJN48" s="66"/>
      <c r="LJO48" s="66"/>
      <c r="LJP48" s="66"/>
      <c r="LJQ48" s="66"/>
      <c r="LJR48" s="66"/>
      <c r="LJS48" s="66"/>
      <c r="LJT48" s="66"/>
      <c r="LJU48" s="66"/>
      <c r="LJV48" s="66"/>
      <c r="LJW48" s="66"/>
      <c r="LJX48" s="66"/>
      <c r="LJY48" s="66"/>
      <c r="LJZ48" s="66"/>
      <c r="LKA48" s="66"/>
      <c r="LKB48" s="66"/>
      <c r="LKC48" s="66"/>
      <c r="LKD48" s="66"/>
      <c r="LKE48" s="66"/>
      <c r="LKF48" s="66"/>
      <c r="LKG48" s="66"/>
      <c r="LKH48" s="66"/>
      <c r="LKI48" s="66"/>
      <c r="LKJ48" s="66"/>
      <c r="LKK48" s="66"/>
      <c r="LKL48" s="66"/>
      <c r="LKM48" s="66"/>
      <c r="LKN48" s="66"/>
      <c r="LKO48" s="66"/>
      <c r="LKP48" s="66"/>
      <c r="LKQ48" s="66"/>
      <c r="LKR48" s="66"/>
      <c r="LKS48" s="66"/>
      <c r="LKT48" s="66"/>
      <c r="LKU48" s="66"/>
      <c r="LKV48" s="66"/>
      <c r="LKW48" s="66"/>
      <c r="LKX48" s="66"/>
      <c r="LKY48" s="66"/>
      <c r="LKZ48" s="66"/>
      <c r="LLA48" s="66"/>
      <c r="LLB48" s="66"/>
      <c r="LLC48" s="66"/>
      <c r="LLD48" s="66"/>
      <c r="LLE48" s="66"/>
      <c r="LLF48" s="66"/>
      <c r="LLG48" s="66"/>
      <c r="LLH48" s="66"/>
      <c r="LLI48" s="66"/>
      <c r="LLJ48" s="66"/>
      <c r="LLK48" s="66"/>
      <c r="LLL48" s="66"/>
      <c r="LLM48" s="66"/>
      <c r="LLN48" s="66"/>
      <c r="LLO48" s="66"/>
      <c r="LLP48" s="66"/>
      <c r="LLQ48" s="66"/>
      <c r="LLR48" s="66"/>
      <c r="LLS48" s="66"/>
      <c r="LLT48" s="66"/>
      <c r="LLU48" s="66"/>
      <c r="LLV48" s="66"/>
      <c r="LLW48" s="66"/>
      <c r="LLX48" s="66"/>
      <c r="LLY48" s="66"/>
      <c r="LLZ48" s="66"/>
      <c r="LMA48" s="66"/>
      <c r="LMB48" s="66"/>
      <c r="LMC48" s="66"/>
      <c r="LMD48" s="66"/>
      <c r="LME48" s="66"/>
      <c r="LMF48" s="66"/>
      <c r="LMG48" s="66"/>
      <c r="LMH48" s="66"/>
      <c r="LMI48" s="66"/>
      <c r="LMJ48" s="66"/>
      <c r="LMK48" s="66"/>
      <c r="LML48" s="66"/>
      <c r="LMM48" s="66"/>
      <c r="LMN48" s="66"/>
      <c r="LMO48" s="66"/>
      <c r="LMP48" s="66"/>
      <c r="LMQ48" s="66"/>
      <c r="LMR48" s="66"/>
      <c r="LMS48" s="66"/>
      <c r="LMT48" s="66"/>
      <c r="LMU48" s="66"/>
      <c r="LMV48" s="66"/>
      <c r="LMW48" s="66"/>
      <c r="LMX48" s="66"/>
      <c r="LMY48" s="66"/>
      <c r="LMZ48" s="66"/>
      <c r="LNA48" s="66"/>
      <c r="LNB48" s="66"/>
      <c r="LNC48" s="66"/>
      <c r="LND48" s="66"/>
      <c r="LNE48" s="66"/>
      <c r="LNF48" s="66"/>
      <c r="LNG48" s="66"/>
      <c r="LNH48" s="66"/>
      <c r="LNI48" s="66"/>
      <c r="LNJ48" s="66"/>
      <c r="LNK48" s="66"/>
      <c r="LNL48" s="66"/>
      <c r="LNM48" s="66"/>
      <c r="LNN48" s="66"/>
      <c r="LNO48" s="66"/>
      <c r="LNP48" s="66"/>
      <c r="LNQ48" s="66"/>
      <c r="LNR48" s="66"/>
      <c r="LNS48" s="66"/>
      <c r="LNT48" s="66"/>
      <c r="LNU48" s="66"/>
      <c r="LNV48" s="66"/>
      <c r="LNW48" s="66"/>
      <c r="LNX48" s="66"/>
      <c r="LNY48" s="66"/>
      <c r="LNZ48" s="66"/>
      <c r="LOA48" s="66"/>
      <c r="LOB48" s="66"/>
      <c r="LOC48" s="66"/>
      <c r="LOD48" s="66"/>
      <c r="LOE48" s="66"/>
      <c r="LOF48" s="66"/>
      <c r="LOG48" s="66"/>
      <c r="LOH48" s="66"/>
      <c r="LOI48" s="66"/>
      <c r="LOJ48" s="66"/>
      <c r="LOK48" s="66"/>
      <c r="LOL48" s="66"/>
      <c r="LOM48" s="66"/>
      <c r="LON48" s="66"/>
      <c r="LOO48" s="66"/>
      <c r="LOP48" s="66"/>
      <c r="LOQ48" s="66"/>
      <c r="LOR48" s="66"/>
      <c r="LOS48" s="66"/>
      <c r="LOT48" s="66"/>
      <c r="LOU48" s="66"/>
      <c r="LOV48" s="66"/>
      <c r="LOW48" s="66"/>
      <c r="LOX48" s="66"/>
      <c r="LOY48" s="66"/>
      <c r="LOZ48" s="66"/>
      <c r="LPA48" s="66"/>
      <c r="LPB48" s="66"/>
      <c r="LPC48" s="66"/>
      <c r="LPD48" s="66"/>
      <c r="LPE48" s="66"/>
      <c r="LPF48" s="66"/>
      <c r="LPG48" s="66"/>
      <c r="LPH48" s="66"/>
      <c r="LPI48" s="66"/>
      <c r="LPJ48" s="66"/>
      <c r="LPK48" s="66"/>
      <c r="LPL48" s="66"/>
      <c r="LPM48" s="66"/>
      <c r="LPN48" s="66"/>
      <c r="LPO48" s="66"/>
      <c r="LPP48" s="66"/>
      <c r="LPQ48" s="66"/>
      <c r="LPR48" s="66"/>
      <c r="LPS48" s="66"/>
      <c r="LPT48" s="66"/>
      <c r="LPU48" s="66"/>
      <c r="LPV48" s="66"/>
      <c r="LPW48" s="66"/>
      <c r="LPX48" s="66"/>
      <c r="LPY48" s="66"/>
      <c r="LPZ48" s="66"/>
      <c r="LQA48" s="66"/>
      <c r="LQB48" s="66"/>
      <c r="LQC48" s="66"/>
      <c r="LQD48" s="66"/>
      <c r="LQE48" s="66"/>
      <c r="LQF48" s="66"/>
      <c r="LQG48" s="66"/>
      <c r="LQH48" s="66"/>
      <c r="LQI48" s="66"/>
      <c r="LQJ48" s="66"/>
      <c r="LQK48" s="66"/>
      <c r="LQL48" s="66"/>
      <c r="LQM48" s="66"/>
      <c r="LQN48" s="66"/>
      <c r="LQO48" s="66"/>
      <c r="LQP48" s="66"/>
      <c r="LQQ48" s="66"/>
      <c r="LQR48" s="66"/>
      <c r="LQS48" s="66"/>
      <c r="LQT48" s="66"/>
      <c r="LQU48" s="66"/>
      <c r="LQV48" s="66"/>
      <c r="LQW48" s="66"/>
      <c r="LQX48" s="66"/>
      <c r="LQY48" s="66"/>
      <c r="LQZ48" s="66"/>
      <c r="LRA48" s="66"/>
      <c r="LRB48" s="66"/>
      <c r="LRC48" s="66"/>
      <c r="LRD48" s="66"/>
      <c r="LRE48" s="66"/>
      <c r="LRF48" s="66"/>
      <c r="LRG48" s="66"/>
      <c r="LRH48" s="66"/>
      <c r="LRI48" s="66"/>
      <c r="LRJ48" s="66"/>
      <c r="LRK48" s="66"/>
      <c r="LRL48" s="66"/>
      <c r="LRM48" s="66"/>
      <c r="LRN48" s="66"/>
      <c r="LRO48" s="66"/>
      <c r="LRP48" s="66"/>
      <c r="LRQ48" s="66"/>
      <c r="LRR48" s="66"/>
      <c r="LRS48" s="66"/>
      <c r="LRT48" s="66"/>
      <c r="LRU48" s="66"/>
      <c r="LRV48" s="66"/>
      <c r="LRW48" s="66"/>
      <c r="LRX48" s="66"/>
      <c r="LRY48" s="66"/>
      <c r="LRZ48" s="66"/>
      <c r="LSA48" s="66"/>
      <c r="LSB48" s="66"/>
      <c r="LSC48" s="66"/>
      <c r="LSD48" s="66"/>
      <c r="LSE48" s="66"/>
      <c r="LSF48" s="66"/>
      <c r="LSG48" s="66"/>
      <c r="LSH48" s="66"/>
      <c r="LSI48" s="66"/>
      <c r="LSJ48" s="66"/>
      <c r="LSK48" s="66"/>
      <c r="LSL48" s="66"/>
      <c r="LSM48" s="66"/>
      <c r="LSN48" s="66"/>
      <c r="LSO48" s="66"/>
      <c r="LSP48" s="66"/>
      <c r="LSQ48" s="66"/>
      <c r="LSR48" s="66"/>
      <c r="LSS48" s="66"/>
      <c r="LST48" s="66"/>
      <c r="LSU48" s="66"/>
      <c r="LSV48" s="66"/>
      <c r="LSW48" s="66"/>
      <c r="LSX48" s="66"/>
      <c r="LSY48" s="66"/>
      <c r="LSZ48" s="66"/>
      <c r="LTA48" s="66"/>
      <c r="LTB48" s="66"/>
      <c r="LTC48" s="66"/>
      <c r="LTD48" s="66"/>
      <c r="LTE48" s="66"/>
      <c r="LTF48" s="66"/>
      <c r="LTG48" s="66"/>
      <c r="LTH48" s="66"/>
      <c r="LTI48" s="66"/>
      <c r="LTJ48" s="66"/>
      <c r="LTK48" s="66"/>
      <c r="LTL48" s="66"/>
      <c r="LTM48" s="66"/>
      <c r="LTN48" s="66"/>
      <c r="LTO48" s="66"/>
      <c r="LTP48" s="66"/>
      <c r="LTQ48" s="66"/>
      <c r="LTR48" s="66"/>
      <c r="LTS48" s="66"/>
      <c r="LTT48" s="66"/>
      <c r="LTU48" s="66"/>
      <c r="LTV48" s="66"/>
      <c r="LTW48" s="66"/>
      <c r="LTX48" s="66"/>
      <c r="LTY48" s="66"/>
      <c r="LTZ48" s="66"/>
      <c r="LUA48" s="66"/>
      <c r="LUB48" s="66"/>
      <c r="LUC48" s="66"/>
      <c r="LUD48" s="66"/>
      <c r="LUE48" s="66"/>
      <c r="LUF48" s="66"/>
      <c r="LUG48" s="66"/>
      <c r="LUH48" s="66"/>
      <c r="LUI48" s="66"/>
      <c r="LUJ48" s="66"/>
      <c r="LUK48" s="66"/>
      <c r="LUL48" s="66"/>
      <c r="LUM48" s="66"/>
      <c r="LUN48" s="66"/>
      <c r="LUO48" s="66"/>
      <c r="LUP48" s="66"/>
      <c r="LUQ48" s="66"/>
      <c r="LUR48" s="66"/>
      <c r="LUS48" s="66"/>
      <c r="LUT48" s="66"/>
      <c r="LUU48" s="66"/>
      <c r="LUV48" s="66"/>
      <c r="LUW48" s="66"/>
      <c r="LUX48" s="66"/>
      <c r="LUY48" s="66"/>
      <c r="LUZ48" s="66"/>
      <c r="LVA48" s="66"/>
      <c r="LVB48" s="66"/>
      <c r="LVC48" s="66"/>
      <c r="LVD48" s="66"/>
      <c r="LVE48" s="66"/>
      <c r="LVF48" s="66"/>
      <c r="LVG48" s="66"/>
      <c r="LVH48" s="66"/>
      <c r="LVI48" s="66"/>
      <c r="LVJ48" s="66"/>
      <c r="LVK48" s="66"/>
      <c r="LVL48" s="66"/>
      <c r="LVM48" s="66"/>
      <c r="LVN48" s="66"/>
      <c r="LVO48" s="66"/>
      <c r="LVP48" s="66"/>
      <c r="LVQ48" s="66"/>
      <c r="LVR48" s="66"/>
      <c r="LVS48" s="66"/>
      <c r="LVT48" s="66"/>
      <c r="LVU48" s="66"/>
      <c r="LVV48" s="66"/>
      <c r="LVW48" s="66"/>
      <c r="LVX48" s="66"/>
      <c r="LVY48" s="66"/>
      <c r="LVZ48" s="66"/>
      <c r="LWA48" s="66"/>
      <c r="LWB48" s="66"/>
      <c r="LWC48" s="66"/>
      <c r="LWD48" s="66"/>
      <c r="LWE48" s="66"/>
      <c r="LWF48" s="66"/>
      <c r="LWG48" s="66"/>
      <c r="LWH48" s="66"/>
      <c r="LWI48" s="66"/>
      <c r="LWJ48" s="66"/>
      <c r="LWK48" s="66"/>
      <c r="LWL48" s="66"/>
      <c r="LWM48" s="66"/>
      <c r="LWN48" s="66"/>
      <c r="LWO48" s="66"/>
      <c r="LWP48" s="66"/>
      <c r="LWQ48" s="66"/>
      <c r="LWR48" s="66"/>
      <c r="LWS48" s="66"/>
      <c r="LWT48" s="66"/>
      <c r="LWU48" s="66"/>
      <c r="LWV48" s="66"/>
      <c r="LWW48" s="66"/>
      <c r="LWX48" s="66"/>
      <c r="LWY48" s="66"/>
      <c r="LWZ48" s="66"/>
      <c r="LXA48" s="66"/>
      <c r="LXB48" s="66"/>
      <c r="LXC48" s="66"/>
      <c r="LXD48" s="66"/>
      <c r="LXE48" s="66"/>
      <c r="LXF48" s="66"/>
      <c r="LXG48" s="66"/>
      <c r="LXH48" s="66"/>
      <c r="LXI48" s="66"/>
      <c r="LXJ48" s="66"/>
      <c r="LXK48" s="66"/>
      <c r="LXL48" s="66"/>
      <c r="LXM48" s="66"/>
      <c r="LXN48" s="66"/>
      <c r="LXO48" s="66"/>
      <c r="LXP48" s="66"/>
      <c r="LXQ48" s="66"/>
      <c r="LXR48" s="66"/>
      <c r="LXS48" s="66"/>
      <c r="LXT48" s="66"/>
      <c r="LXU48" s="66"/>
      <c r="LXV48" s="66"/>
      <c r="LXW48" s="66"/>
      <c r="LXX48" s="66"/>
      <c r="LXY48" s="66"/>
      <c r="LXZ48" s="66"/>
      <c r="LYA48" s="66"/>
      <c r="LYB48" s="66"/>
      <c r="LYC48" s="66"/>
      <c r="LYD48" s="66"/>
      <c r="LYE48" s="66"/>
      <c r="LYF48" s="66"/>
      <c r="LYG48" s="66"/>
      <c r="LYH48" s="66"/>
      <c r="LYI48" s="66"/>
      <c r="LYJ48" s="66"/>
      <c r="LYK48" s="66"/>
      <c r="LYL48" s="66"/>
      <c r="LYM48" s="66"/>
      <c r="LYN48" s="66"/>
      <c r="LYO48" s="66"/>
      <c r="LYP48" s="66"/>
      <c r="LYQ48" s="66"/>
      <c r="LYR48" s="66"/>
      <c r="LYS48" s="66"/>
      <c r="LYT48" s="66"/>
      <c r="LYU48" s="66"/>
      <c r="LYV48" s="66"/>
      <c r="LYW48" s="66"/>
      <c r="LYX48" s="66"/>
      <c r="LYY48" s="66"/>
      <c r="LYZ48" s="66"/>
      <c r="LZA48" s="66"/>
      <c r="LZB48" s="66"/>
      <c r="LZC48" s="66"/>
      <c r="LZD48" s="66"/>
      <c r="LZE48" s="66"/>
      <c r="LZF48" s="66"/>
      <c r="LZG48" s="66"/>
      <c r="LZH48" s="66"/>
      <c r="LZI48" s="66"/>
      <c r="LZJ48" s="66"/>
      <c r="LZK48" s="66"/>
      <c r="LZL48" s="66"/>
      <c r="LZM48" s="66"/>
      <c r="LZN48" s="66"/>
      <c r="LZO48" s="66"/>
      <c r="LZP48" s="66"/>
      <c r="LZQ48" s="66"/>
      <c r="LZR48" s="66"/>
      <c r="LZS48" s="66"/>
      <c r="LZT48" s="66"/>
      <c r="LZU48" s="66"/>
      <c r="LZV48" s="66"/>
      <c r="LZW48" s="66"/>
      <c r="LZX48" s="66"/>
      <c r="LZY48" s="66"/>
      <c r="LZZ48" s="66"/>
      <c r="MAA48" s="66"/>
      <c r="MAB48" s="66"/>
      <c r="MAC48" s="66"/>
      <c r="MAD48" s="66"/>
      <c r="MAE48" s="66"/>
      <c r="MAF48" s="66"/>
      <c r="MAG48" s="66"/>
      <c r="MAH48" s="66"/>
      <c r="MAI48" s="66"/>
      <c r="MAJ48" s="66"/>
      <c r="MAK48" s="66"/>
      <c r="MAL48" s="66"/>
      <c r="MAM48" s="66"/>
      <c r="MAN48" s="66"/>
      <c r="MAO48" s="66"/>
      <c r="MAP48" s="66"/>
      <c r="MAQ48" s="66"/>
      <c r="MAR48" s="66"/>
      <c r="MAS48" s="66"/>
      <c r="MAT48" s="66"/>
      <c r="MAU48" s="66"/>
      <c r="MAV48" s="66"/>
      <c r="MAW48" s="66"/>
      <c r="MAX48" s="66"/>
      <c r="MAY48" s="66"/>
      <c r="MAZ48" s="66"/>
      <c r="MBA48" s="66"/>
      <c r="MBB48" s="66"/>
      <c r="MBC48" s="66"/>
      <c r="MBD48" s="66"/>
      <c r="MBE48" s="66"/>
      <c r="MBF48" s="66"/>
      <c r="MBG48" s="66"/>
      <c r="MBH48" s="66"/>
      <c r="MBI48" s="66"/>
      <c r="MBJ48" s="66"/>
      <c r="MBK48" s="66"/>
      <c r="MBL48" s="66"/>
      <c r="MBM48" s="66"/>
      <c r="MBN48" s="66"/>
      <c r="MBO48" s="66"/>
      <c r="MBP48" s="66"/>
      <c r="MBQ48" s="66"/>
      <c r="MBR48" s="66"/>
      <c r="MBS48" s="66"/>
      <c r="MBT48" s="66"/>
      <c r="MBU48" s="66"/>
      <c r="MBV48" s="66"/>
      <c r="MBW48" s="66"/>
      <c r="MBX48" s="66"/>
      <c r="MBY48" s="66"/>
      <c r="MBZ48" s="66"/>
      <c r="MCA48" s="66"/>
      <c r="MCB48" s="66"/>
      <c r="MCC48" s="66"/>
      <c r="MCD48" s="66"/>
      <c r="MCE48" s="66"/>
      <c r="MCF48" s="66"/>
      <c r="MCG48" s="66"/>
      <c r="MCH48" s="66"/>
      <c r="MCI48" s="66"/>
      <c r="MCJ48" s="66"/>
      <c r="MCK48" s="66"/>
      <c r="MCL48" s="66"/>
      <c r="MCM48" s="66"/>
      <c r="MCN48" s="66"/>
      <c r="MCO48" s="66"/>
      <c r="MCP48" s="66"/>
      <c r="MCQ48" s="66"/>
      <c r="MCR48" s="66"/>
      <c r="MCS48" s="66"/>
      <c r="MCT48" s="66"/>
      <c r="MCU48" s="66"/>
      <c r="MCV48" s="66"/>
      <c r="MCW48" s="66"/>
      <c r="MCX48" s="66"/>
      <c r="MCY48" s="66"/>
      <c r="MCZ48" s="66"/>
      <c r="MDA48" s="66"/>
      <c r="MDB48" s="66"/>
      <c r="MDC48" s="66"/>
      <c r="MDD48" s="66"/>
      <c r="MDE48" s="66"/>
      <c r="MDF48" s="66"/>
      <c r="MDG48" s="66"/>
      <c r="MDH48" s="66"/>
      <c r="MDI48" s="66"/>
      <c r="MDJ48" s="66"/>
      <c r="MDK48" s="66"/>
      <c r="MDL48" s="66"/>
      <c r="MDM48" s="66"/>
      <c r="MDN48" s="66"/>
      <c r="MDO48" s="66"/>
      <c r="MDP48" s="66"/>
      <c r="MDQ48" s="66"/>
      <c r="MDR48" s="66"/>
      <c r="MDS48" s="66"/>
      <c r="MDT48" s="66"/>
      <c r="MDU48" s="66"/>
      <c r="MDV48" s="66"/>
      <c r="MDW48" s="66"/>
      <c r="MDX48" s="66"/>
      <c r="MDY48" s="66"/>
      <c r="MDZ48" s="66"/>
      <c r="MEA48" s="66"/>
      <c r="MEB48" s="66"/>
      <c r="MEC48" s="66"/>
      <c r="MED48" s="66"/>
      <c r="MEE48" s="66"/>
      <c r="MEF48" s="66"/>
      <c r="MEG48" s="66"/>
      <c r="MEH48" s="66"/>
      <c r="MEI48" s="66"/>
      <c r="MEJ48" s="66"/>
      <c r="MEK48" s="66"/>
      <c r="MEL48" s="66"/>
      <c r="MEM48" s="66"/>
      <c r="MEN48" s="66"/>
      <c r="MEO48" s="66"/>
      <c r="MEP48" s="66"/>
      <c r="MEQ48" s="66"/>
      <c r="MER48" s="66"/>
      <c r="MES48" s="66"/>
      <c r="MET48" s="66"/>
      <c r="MEU48" s="66"/>
      <c r="MEV48" s="66"/>
      <c r="MEW48" s="66"/>
      <c r="MEX48" s="66"/>
      <c r="MEY48" s="66"/>
      <c r="MEZ48" s="66"/>
      <c r="MFA48" s="66"/>
      <c r="MFB48" s="66"/>
      <c r="MFC48" s="66"/>
      <c r="MFD48" s="66"/>
      <c r="MFE48" s="66"/>
      <c r="MFF48" s="66"/>
      <c r="MFG48" s="66"/>
      <c r="MFH48" s="66"/>
      <c r="MFI48" s="66"/>
      <c r="MFJ48" s="66"/>
      <c r="MFK48" s="66"/>
      <c r="MFL48" s="66"/>
      <c r="MFM48" s="66"/>
      <c r="MFN48" s="66"/>
      <c r="MFO48" s="66"/>
      <c r="MFP48" s="66"/>
      <c r="MFQ48" s="66"/>
      <c r="MFR48" s="66"/>
      <c r="MFS48" s="66"/>
      <c r="MFT48" s="66"/>
      <c r="MFU48" s="66"/>
      <c r="MFV48" s="66"/>
      <c r="MFW48" s="66"/>
      <c r="MFX48" s="66"/>
      <c r="MFY48" s="66"/>
      <c r="MFZ48" s="66"/>
      <c r="MGA48" s="66"/>
      <c r="MGB48" s="66"/>
      <c r="MGC48" s="66"/>
      <c r="MGD48" s="66"/>
      <c r="MGE48" s="66"/>
      <c r="MGF48" s="66"/>
      <c r="MGG48" s="66"/>
      <c r="MGH48" s="66"/>
      <c r="MGI48" s="66"/>
      <c r="MGJ48" s="66"/>
      <c r="MGK48" s="66"/>
      <c r="MGL48" s="66"/>
      <c r="MGM48" s="66"/>
      <c r="MGN48" s="66"/>
      <c r="MGO48" s="66"/>
      <c r="MGP48" s="66"/>
      <c r="MGQ48" s="66"/>
      <c r="MGR48" s="66"/>
      <c r="MGS48" s="66"/>
      <c r="MGT48" s="66"/>
      <c r="MGU48" s="66"/>
      <c r="MGV48" s="66"/>
      <c r="MGW48" s="66"/>
      <c r="MGX48" s="66"/>
      <c r="MGY48" s="66"/>
      <c r="MGZ48" s="66"/>
      <c r="MHA48" s="66"/>
      <c r="MHB48" s="66"/>
      <c r="MHC48" s="66"/>
      <c r="MHD48" s="66"/>
      <c r="MHE48" s="66"/>
      <c r="MHF48" s="66"/>
      <c r="MHG48" s="66"/>
      <c r="MHH48" s="66"/>
      <c r="MHI48" s="66"/>
      <c r="MHJ48" s="66"/>
      <c r="MHK48" s="66"/>
      <c r="MHL48" s="66"/>
      <c r="MHM48" s="66"/>
      <c r="MHN48" s="66"/>
      <c r="MHO48" s="66"/>
      <c r="MHP48" s="66"/>
      <c r="MHQ48" s="66"/>
      <c r="MHR48" s="66"/>
      <c r="MHS48" s="66"/>
      <c r="MHT48" s="66"/>
      <c r="MHU48" s="66"/>
      <c r="MHV48" s="66"/>
      <c r="MHW48" s="66"/>
      <c r="MHX48" s="66"/>
      <c r="MHY48" s="66"/>
      <c r="MHZ48" s="66"/>
      <c r="MIA48" s="66"/>
      <c r="MIB48" s="66"/>
      <c r="MIC48" s="66"/>
      <c r="MID48" s="66"/>
      <c r="MIE48" s="66"/>
      <c r="MIF48" s="66"/>
      <c r="MIG48" s="66"/>
      <c r="MIH48" s="66"/>
      <c r="MII48" s="66"/>
      <c r="MIJ48" s="66"/>
      <c r="MIK48" s="66"/>
      <c r="MIL48" s="66"/>
      <c r="MIM48" s="66"/>
      <c r="MIN48" s="66"/>
      <c r="MIO48" s="66"/>
      <c r="MIP48" s="66"/>
      <c r="MIQ48" s="66"/>
      <c r="MIR48" s="66"/>
      <c r="MIS48" s="66"/>
      <c r="MIT48" s="66"/>
      <c r="MIU48" s="66"/>
      <c r="MIV48" s="66"/>
      <c r="MIW48" s="66"/>
      <c r="MIX48" s="66"/>
      <c r="MIY48" s="66"/>
      <c r="MIZ48" s="66"/>
      <c r="MJA48" s="66"/>
      <c r="MJB48" s="66"/>
      <c r="MJC48" s="66"/>
      <c r="MJD48" s="66"/>
      <c r="MJE48" s="66"/>
      <c r="MJF48" s="66"/>
      <c r="MJG48" s="66"/>
      <c r="MJH48" s="66"/>
      <c r="MJI48" s="66"/>
      <c r="MJJ48" s="66"/>
      <c r="MJK48" s="66"/>
      <c r="MJL48" s="66"/>
      <c r="MJM48" s="66"/>
      <c r="MJN48" s="66"/>
      <c r="MJO48" s="66"/>
      <c r="MJP48" s="66"/>
      <c r="MJQ48" s="66"/>
      <c r="MJR48" s="66"/>
      <c r="MJS48" s="66"/>
      <c r="MJT48" s="66"/>
      <c r="MJU48" s="66"/>
      <c r="MJV48" s="66"/>
      <c r="MJW48" s="66"/>
      <c r="MJX48" s="66"/>
      <c r="MJY48" s="66"/>
      <c r="MJZ48" s="66"/>
      <c r="MKA48" s="66"/>
      <c r="MKB48" s="66"/>
      <c r="MKC48" s="66"/>
      <c r="MKD48" s="66"/>
      <c r="MKE48" s="66"/>
      <c r="MKF48" s="66"/>
      <c r="MKG48" s="66"/>
      <c r="MKH48" s="66"/>
      <c r="MKI48" s="66"/>
      <c r="MKJ48" s="66"/>
      <c r="MKK48" s="66"/>
      <c r="MKL48" s="66"/>
      <c r="MKM48" s="66"/>
      <c r="MKN48" s="66"/>
      <c r="MKO48" s="66"/>
      <c r="MKP48" s="66"/>
      <c r="MKQ48" s="66"/>
      <c r="MKR48" s="66"/>
      <c r="MKS48" s="66"/>
      <c r="MKT48" s="66"/>
      <c r="MKU48" s="66"/>
      <c r="MKV48" s="66"/>
      <c r="MKW48" s="66"/>
      <c r="MKX48" s="66"/>
      <c r="MKY48" s="66"/>
      <c r="MKZ48" s="66"/>
      <c r="MLA48" s="66"/>
      <c r="MLB48" s="66"/>
      <c r="MLC48" s="66"/>
      <c r="MLD48" s="66"/>
      <c r="MLE48" s="66"/>
      <c r="MLF48" s="66"/>
      <c r="MLG48" s="66"/>
      <c r="MLH48" s="66"/>
      <c r="MLI48" s="66"/>
      <c r="MLJ48" s="66"/>
      <c r="MLK48" s="66"/>
      <c r="MLL48" s="66"/>
      <c r="MLM48" s="66"/>
      <c r="MLN48" s="66"/>
      <c r="MLO48" s="66"/>
      <c r="MLP48" s="66"/>
      <c r="MLQ48" s="66"/>
      <c r="MLR48" s="66"/>
      <c r="MLS48" s="66"/>
      <c r="MLT48" s="66"/>
      <c r="MLU48" s="66"/>
      <c r="MLV48" s="66"/>
      <c r="MLW48" s="66"/>
      <c r="MLX48" s="66"/>
      <c r="MLY48" s="66"/>
      <c r="MLZ48" s="66"/>
      <c r="MMA48" s="66"/>
      <c r="MMB48" s="66"/>
      <c r="MMC48" s="66"/>
      <c r="MMD48" s="66"/>
      <c r="MME48" s="66"/>
      <c r="MMF48" s="66"/>
      <c r="MMG48" s="66"/>
      <c r="MMH48" s="66"/>
      <c r="MMI48" s="66"/>
      <c r="MMJ48" s="66"/>
      <c r="MMK48" s="66"/>
      <c r="MML48" s="66"/>
      <c r="MMM48" s="66"/>
      <c r="MMN48" s="66"/>
      <c r="MMO48" s="66"/>
      <c r="MMP48" s="66"/>
      <c r="MMQ48" s="66"/>
      <c r="MMR48" s="66"/>
      <c r="MMS48" s="66"/>
      <c r="MMT48" s="66"/>
      <c r="MMU48" s="66"/>
      <c r="MMV48" s="66"/>
      <c r="MMW48" s="66"/>
      <c r="MMX48" s="66"/>
      <c r="MMY48" s="66"/>
      <c r="MMZ48" s="66"/>
      <c r="MNA48" s="66"/>
      <c r="MNB48" s="66"/>
      <c r="MNC48" s="66"/>
      <c r="MND48" s="66"/>
      <c r="MNE48" s="66"/>
      <c r="MNF48" s="66"/>
      <c r="MNG48" s="66"/>
      <c r="MNH48" s="66"/>
      <c r="MNI48" s="66"/>
      <c r="MNJ48" s="66"/>
      <c r="MNK48" s="66"/>
      <c r="MNL48" s="66"/>
      <c r="MNM48" s="66"/>
      <c r="MNN48" s="66"/>
      <c r="MNO48" s="66"/>
      <c r="MNP48" s="66"/>
      <c r="MNQ48" s="66"/>
      <c r="MNR48" s="66"/>
      <c r="MNS48" s="66"/>
      <c r="MNT48" s="66"/>
      <c r="MNU48" s="66"/>
      <c r="MNV48" s="66"/>
      <c r="MNW48" s="66"/>
      <c r="MNX48" s="66"/>
      <c r="MNY48" s="66"/>
      <c r="MNZ48" s="66"/>
      <c r="MOA48" s="66"/>
      <c r="MOB48" s="66"/>
      <c r="MOC48" s="66"/>
      <c r="MOD48" s="66"/>
      <c r="MOE48" s="66"/>
      <c r="MOF48" s="66"/>
      <c r="MOG48" s="66"/>
      <c r="MOH48" s="66"/>
      <c r="MOI48" s="66"/>
      <c r="MOJ48" s="66"/>
      <c r="MOK48" s="66"/>
      <c r="MOL48" s="66"/>
      <c r="MOM48" s="66"/>
      <c r="MON48" s="66"/>
      <c r="MOO48" s="66"/>
      <c r="MOP48" s="66"/>
      <c r="MOQ48" s="66"/>
      <c r="MOR48" s="66"/>
      <c r="MOS48" s="66"/>
      <c r="MOT48" s="66"/>
      <c r="MOU48" s="66"/>
      <c r="MOV48" s="66"/>
      <c r="MOW48" s="66"/>
      <c r="MOX48" s="66"/>
      <c r="MOY48" s="66"/>
      <c r="MOZ48" s="66"/>
      <c r="MPA48" s="66"/>
      <c r="MPB48" s="66"/>
      <c r="MPC48" s="66"/>
      <c r="MPD48" s="66"/>
      <c r="MPE48" s="66"/>
      <c r="MPF48" s="66"/>
      <c r="MPG48" s="66"/>
      <c r="MPH48" s="66"/>
      <c r="MPI48" s="66"/>
      <c r="MPJ48" s="66"/>
      <c r="MPK48" s="66"/>
      <c r="MPL48" s="66"/>
      <c r="MPM48" s="66"/>
      <c r="MPN48" s="66"/>
      <c r="MPO48" s="66"/>
      <c r="MPP48" s="66"/>
      <c r="MPQ48" s="66"/>
      <c r="MPR48" s="66"/>
      <c r="MPS48" s="66"/>
      <c r="MPT48" s="66"/>
      <c r="MPU48" s="66"/>
      <c r="MPV48" s="66"/>
      <c r="MPW48" s="66"/>
      <c r="MPX48" s="66"/>
      <c r="MPY48" s="66"/>
      <c r="MPZ48" s="66"/>
      <c r="MQA48" s="66"/>
      <c r="MQB48" s="66"/>
      <c r="MQC48" s="66"/>
      <c r="MQD48" s="66"/>
      <c r="MQE48" s="66"/>
      <c r="MQF48" s="66"/>
      <c r="MQG48" s="66"/>
      <c r="MQH48" s="66"/>
      <c r="MQI48" s="66"/>
      <c r="MQJ48" s="66"/>
      <c r="MQK48" s="66"/>
      <c r="MQL48" s="66"/>
      <c r="MQM48" s="66"/>
      <c r="MQN48" s="66"/>
      <c r="MQO48" s="66"/>
      <c r="MQP48" s="66"/>
      <c r="MQQ48" s="66"/>
      <c r="MQR48" s="66"/>
      <c r="MQS48" s="66"/>
      <c r="MQT48" s="66"/>
      <c r="MQU48" s="66"/>
      <c r="MQV48" s="66"/>
      <c r="MQW48" s="66"/>
      <c r="MQX48" s="66"/>
      <c r="MQY48" s="66"/>
      <c r="MQZ48" s="66"/>
      <c r="MRA48" s="66"/>
      <c r="MRB48" s="66"/>
      <c r="MRC48" s="66"/>
      <c r="MRD48" s="66"/>
      <c r="MRE48" s="66"/>
      <c r="MRF48" s="66"/>
      <c r="MRG48" s="66"/>
      <c r="MRH48" s="66"/>
      <c r="MRI48" s="66"/>
      <c r="MRJ48" s="66"/>
      <c r="MRK48" s="66"/>
      <c r="MRL48" s="66"/>
      <c r="MRM48" s="66"/>
      <c r="MRN48" s="66"/>
      <c r="MRO48" s="66"/>
      <c r="MRP48" s="66"/>
      <c r="MRQ48" s="66"/>
      <c r="MRR48" s="66"/>
      <c r="MRS48" s="66"/>
      <c r="MRT48" s="66"/>
      <c r="MRU48" s="66"/>
      <c r="MRV48" s="66"/>
      <c r="MRW48" s="66"/>
      <c r="MRX48" s="66"/>
      <c r="MRY48" s="66"/>
      <c r="MRZ48" s="66"/>
      <c r="MSA48" s="66"/>
      <c r="MSB48" s="66"/>
      <c r="MSC48" s="66"/>
      <c r="MSD48" s="66"/>
      <c r="MSE48" s="66"/>
      <c r="MSF48" s="66"/>
      <c r="MSG48" s="66"/>
      <c r="MSH48" s="66"/>
      <c r="MSI48" s="66"/>
      <c r="MSJ48" s="66"/>
      <c r="MSK48" s="66"/>
      <c r="MSL48" s="66"/>
      <c r="MSM48" s="66"/>
      <c r="MSN48" s="66"/>
      <c r="MSO48" s="66"/>
      <c r="MSP48" s="66"/>
      <c r="MSQ48" s="66"/>
      <c r="MSR48" s="66"/>
      <c r="MSS48" s="66"/>
      <c r="MST48" s="66"/>
      <c r="MSU48" s="66"/>
      <c r="MSV48" s="66"/>
      <c r="MSW48" s="66"/>
      <c r="MSX48" s="66"/>
      <c r="MSY48" s="66"/>
      <c r="MSZ48" s="66"/>
      <c r="MTA48" s="66"/>
      <c r="MTB48" s="66"/>
      <c r="MTC48" s="66"/>
      <c r="MTD48" s="66"/>
      <c r="MTE48" s="66"/>
      <c r="MTF48" s="66"/>
      <c r="MTG48" s="66"/>
      <c r="MTH48" s="66"/>
      <c r="MTI48" s="66"/>
      <c r="MTJ48" s="66"/>
      <c r="MTK48" s="66"/>
      <c r="MTL48" s="66"/>
      <c r="MTM48" s="66"/>
      <c r="MTN48" s="66"/>
      <c r="MTO48" s="66"/>
      <c r="MTP48" s="66"/>
      <c r="MTQ48" s="66"/>
      <c r="MTR48" s="66"/>
      <c r="MTS48" s="66"/>
      <c r="MTT48" s="66"/>
      <c r="MTU48" s="66"/>
      <c r="MTV48" s="66"/>
      <c r="MTW48" s="66"/>
      <c r="MTX48" s="66"/>
      <c r="MTY48" s="66"/>
      <c r="MTZ48" s="66"/>
      <c r="MUA48" s="66"/>
      <c r="MUB48" s="66"/>
      <c r="MUC48" s="66"/>
      <c r="MUD48" s="66"/>
      <c r="MUE48" s="66"/>
      <c r="MUF48" s="66"/>
      <c r="MUG48" s="66"/>
      <c r="MUH48" s="66"/>
      <c r="MUI48" s="66"/>
      <c r="MUJ48" s="66"/>
      <c r="MUK48" s="66"/>
      <c r="MUL48" s="66"/>
      <c r="MUM48" s="66"/>
      <c r="MUN48" s="66"/>
      <c r="MUO48" s="66"/>
      <c r="MUP48" s="66"/>
      <c r="MUQ48" s="66"/>
      <c r="MUR48" s="66"/>
      <c r="MUS48" s="66"/>
      <c r="MUT48" s="66"/>
      <c r="MUU48" s="66"/>
      <c r="MUV48" s="66"/>
      <c r="MUW48" s="66"/>
      <c r="MUX48" s="66"/>
      <c r="MUY48" s="66"/>
      <c r="MUZ48" s="66"/>
      <c r="MVA48" s="66"/>
      <c r="MVB48" s="66"/>
      <c r="MVC48" s="66"/>
      <c r="MVD48" s="66"/>
      <c r="MVE48" s="66"/>
      <c r="MVF48" s="66"/>
      <c r="MVG48" s="66"/>
      <c r="MVH48" s="66"/>
      <c r="MVI48" s="66"/>
      <c r="MVJ48" s="66"/>
      <c r="MVK48" s="66"/>
      <c r="MVL48" s="66"/>
      <c r="MVM48" s="66"/>
      <c r="MVN48" s="66"/>
      <c r="MVO48" s="66"/>
      <c r="MVP48" s="66"/>
      <c r="MVQ48" s="66"/>
      <c r="MVR48" s="66"/>
      <c r="MVS48" s="66"/>
      <c r="MVT48" s="66"/>
      <c r="MVU48" s="66"/>
      <c r="MVV48" s="66"/>
      <c r="MVW48" s="66"/>
      <c r="MVX48" s="66"/>
      <c r="MVY48" s="66"/>
      <c r="MVZ48" s="66"/>
      <c r="MWA48" s="66"/>
      <c r="MWB48" s="66"/>
      <c r="MWC48" s="66"/>
      <c r="MWD48" s="66"/>
      <c r="MWE48" s="66"/>
      <c r="MWF48" s="66"/>
      <c r="MWG48" s="66"/>
      <c r="MWH48" s="66"/>
      <c r="MWI48" s="66"/>
      <c r="MWJ48" s="66"/>
      <c r="MWK48" s="66"/>
      <c r="MWL48" s="66"/>
      <c r="MWM48" s="66"/>
      <c r="MWN48" s="66"/>
      <c r="MWO48" s="66"/>
      <c r="MWP48" s="66"/>
      <c r="MWQ48" s="66"/>
      <c r="MWR48" s="66"/>
      <c r="MWS48" s="66"/>
      <c r="MWT48" s="66"/>
      <c r="MWU48" s="66"/>
      <c r="MWV48" s="66"/>
      <c r="MWW48" s="66"/>
      <c r="MWX48" s="66"/>
      <c r="MWY48" s="66"/>
      <c r="MWZ48" s="66"/>
      <c r="MXA48" s="66"/>
      <c r="MXB48" s="66"/>
      <c r="MXC48" s="66"/>
      <c r="MXD48" s="66"/>
      <c r="MXE48" s="66"/>
      <c r="MXF48" s="66"/>
      <c r="MXG48" s="66"/>
      <c r="MXH48" s="66"/>
      <c r="MXI48" s="66"/>
      <c r="MXJ48" s="66"/>
      <c r="MXK48" s="66"/>
      <c r="MXL48" s="66"/>
      <c r="MXM48" s="66"/>
      <c r="MXN48" s="66"/>
      <c r="MXO48" s="66"/>
      <c r="MXP48" s="66"/>
      <c r="MXQ48" s="66"/>
      <c r="MXR48" s="66"/>
      <c r="MXS48" s="66"/>
      <c r="MXT48" s="66"/>
      <c r="MXU48" s="66"/>
      <c r="MXV48" s="66"/>
      <c r="MXW48" s="66"/>
      <c r="MXX48" s="66"/>
      <c r="MXY48" s="66"/>
      <c r="MXZ48" s="66"/>
      <c r="MYA48" s="66"/>
      <c r="MYB48" s="66"/>
      <c r="MYC48" s="66"/>
      <c r="MYD48" s="66"/>
      <c r="MYE48" s="66"/>
      <c r="MYF48" s="66"/>
      <c r="MYG48" s="66"/>
      <c r="MYH48" s="66"/>
      <c r="MYI48" s="66"/>
      <c r="MYJ48" s="66"/>
      <c r="MYK48" s="66"/>
      <c r="MYL48" s="66"/>
      <c r="MYM48" s="66"/>
      <c r="MYN48" s="66"/>
      <c r="MYO48" s="66"/>
      <c r="MYP48" s="66"/>
      <c r="MYQ48" s="66"/>
      <c r="MYR48" s="66"/>
      <c r="MYS48" s="66"/>
      <c r="MYT48" s="66"/>
      <c r="MYU48" s="66"/>
      <c r="MYV48" s="66"/>
      <c r="MYW48" s="66"/>
      <c r="MYX48" s="66"/>
      <c r="MYY48" s="66"/>
      <c r="MYZ48" s="66"/>
      <c r="MZA48" s="66"/>
      <c r="MZB48" s="66"/>
      <c r="MZC48" s="66"/>
      <c r="MZD48" s="66"/>
      <c r="MZE48" s="66"/>
      <c r="MZF48" s="66"/>
      <c r="MZG48" s="66"/>
      <c r="MZH48" s="66"/>
      <c r="MZI48" s="66"/>
      <c r="MZJ48" s="66"/>
      <c r="MZK48" s="66"/>
      <c r="MZL48" s="66"/>
      <c r="MZM48" s="66"/>
      <c r="MZN48" s="66"/>
      <c r="MZO48" s="66"/>
      <c r="MZP48" s="66"/>
      <c r="MZQ48" s="66"/>
      <c r="MZR48" s="66"/>
      <c r="MZS48" s="66"/>
      <c r="MZT48" s="66"/>
      <c r="MZU48" s="66"/>
      <c r="MZV48" s="66"/>
      <c r="MZW48" s="66"/>
      <c r="MZX48" s="66"/>
      <c r="MZY48" s="66"/>
      <c r="MZZ48" s="66"/>
      <c r="NAA48" s="66"/>
      <c r="NAB48" s="66"/>
      <c r="NAC48" s="66"/>
      <c r="NAD48" s="66"/>
      <c r="NAE48" s="66"/>
      <c r="NAF48" s="66"/>
      <c r="NAG48" s="66"/>
      <c r="NAH48" s="66"/>
      <c r="NAI48" s="66"/>
      <c r="NAJ48" s="66"/>
      <c r="NAK48" s="66"/>
      <c r="NAL48" s="66"/>
      <c r="NAM48" s="66"/>
      <c r="NAN48" s="66"/>
      <c r="NAO48" s="66"/>
      <c r="NAP48" s="66"/>
      <c r="NAQ48" s="66"/>
      <c r="NAR48" s="66"/>
      <c r="NAS48" s="66"/>
      <c r="NAT48" s="66"/>
      <c r="NAU48" s="66"/>
      <c r="NAV48" s="66"/>
      <c r="NAW48" s="66"/>
      <c r="NAX48" s="66"/>
      <c r="NAY48" s="66"/>
      <c r="NAZ48" s="66"/>
      <c r="NBA48" s="66"/>
      <c r="NBB48" s="66"/>
      <c r="NBC48" s="66"/>
      <c r="NBD48" s="66"/>
      <c r="NBE48" s="66"/>
      <c r="NBF48" s="66"/>
      <c r="NBG48" s="66"/>
      <c r="NBH48" s="66"/>
      <c r="NBI48" s="66"/>
      <c r="NBJ48" s="66"/>
      <c r="NBK48" s="66"/>
      <c r="NBL48" s="66"/>
      <c r="NBM48" s="66"/>
      <c r="NBN48" s="66"/>
      <c r="NBO48" s="66"/>
      <c r="NBP48" s="66"/>
      <c r="NBQ48" s="66"/>
      <c r="NBR48" s="66"/>
      <c r="NBS48" s="66"/>
      <c r="NBT48" s="66"/>
      <c r="NBU48" s="66"/>
      <c r="NBV48" s="66"/>
      <c r="NBW48" s="66"/>
      <c r="NBX48" s="66"/>
      <c r="NBY48" s="66"/>
      <c r="NBZ48" s="66"/>
      <c r="NCA48" s="66"/>
      <c r="NCB48" s="66"/>
      <c r="NCC48" s="66"/>
      <c r="NCD48" s="66"/>
      <c r="NCE48" s="66"/>
      <c r="NCF48" s="66"/>
      <c r="NCG48" s="66"/>
      <c r="NCH48" s="66"/>
      <c r="NCI48" s="66"/>
      <c r="NCJ48" s="66"/>
      <c r="NCK48" s="66"/>
      <c r="NCL48" s="66"/>
      <c r="NCM48" s="66"/>
      <c r="NCN48" s="66"/>
      <c r="NCO48" s="66"/>
      <c r="NCP48" s="66"/>
      <c r="NCQ48" s="66"/>
      <c r="NCR48" s="66"/>
      <c r="NCS48" s="66"/>
      <c r="NCT48" s="66"/>
      <c r="NCU48" s="66"/>
      <c r="NCV48" s="66"/>
      <c r="NCW48" s="66"/>
      <c r="NCX48" s="66"/>
      <c r="NCY48" s="66"/>
      <c r="NCZ48" s="66"/>
      <c r="NDA48" s="66"/>
      <c r="NDB48" s="66"/>
      <c r="NDC48" s="66"/>
      <c r="NDD48" s="66"/>
      <c r="NDE48" s="66"/>
      <c r="NDF48" s="66"/>
      <c r="NDG48" s="66"/>
      <c r="NDH48" s="66"/>
      <c r="NDI48" s="66"/>
      <c r="NDJ48" s="66"/>
      <c r="NDK48" s="66"/>
      <c r="NDL48" s="66"/>
      <c r="NDM48" s="66"/>
      <c r="NDN48" s="66"/>
      <c r="NDO48" s="66"/>
      <c r="NDP48" s="66"/>
      <c r="NDQ48" s="66"/>
      <c r="NDR48" s="66"/>
      <c r="NDS48" s="66"/>
      <c r="NDT48" s="66"/>
      <c r="NDU48" s="66"/>
      <c r="NDV48" s="66"/>
      <c r="NDW48" s="66"/>
      <c r="NDX48" s="66"/>
      <c r="NDY48" s="66"/>
      <c r="NDZ48" s="66"/>
      <c r="NEA48" s="66"/>
      <c r="NEB48" s="66"/>
      <c r="NEC48" s="66"/>
      <c r="NED48" s="66"/>
      <c r="NEE48" s="66"/>
      <c r="NEF48" s="66"/>
      <c r="NEG48" s="66"/>
      <c r="NEH48" s="66"/>
      <c r="NEI48" s="66"/>
      <c r="NEJ48" s="66"/>
      <c r="NEK48" s="66"/>
      <c r="NEL48" s="66"/>
      <c r="NEM48" s="66"/>
      <c r="NEN48" s="66"/>
      <c r="NEO48" s="66"/>
      <c r="NEP48" s="66"/>
      <c r="NEQ48" s="66"/>
      <c r="NER48" s="66"/>
      <c r="NES48" s="66"/>
      <c r="NET48" s="66"/>
      <c r="NEU48" s="66"/>
      <c r="NEV48" s="66"/>
      <c r="NEW48" s="66"/>
      <c r="NEX48" s="66"/>
      <c r="NEY48" s="66"/>
      <c r="NEZ48" s="66"/>
      <c r="NFA48" s="66"/>
      <c r="NFB48" s="66"/>
      <c r="NFC48" s="66"/>
      <c r="NFD48" s="66"/>
      <c r="NFE48" s="66"/>
      <c r="NFF48" s="66"/>
      <c r="NFG48" s="66"/>
      <c r="NFH48" s="66"/>
      <c r="NFI48" s="66"/>
      <c r="NFJ48" s="66"/>
      <c r="NFK48" s="66"/>
      <c r="NFL48" s="66"/>
      <c r="NFM48" s="66"/>
      <c r="NFN48" s="66"/>
      <c r="NFO48" s="66"/>
      <c r="NFP48" s="66"/>
      <c r="NFQ48" s="66"/>
      <c r="NFR48" s="66"/>
      <c r="NFS48" s="66"/>
      <c r="NFT48" s="66"/>
      <c r="NFU48" s="66"/>
      <c r="NFV48" s="66"/>
      <c r="NFW48" s="66"/>
      <c r="NFX48" s="66"/>
      <c r="NFY48" s="66"/>
      <c r="NFZ48" s="66"/>
      <c r="NGA48" s="66"/>
      <c r="NGB48" s="66"/>
      <c r="NGC48" s="66"/>
      <c r="NGD48" s="66"/>
      <c r="NGE48" s="66"/>
      <c r="NGF48" s="66"/>
      <c r="NGG48" s="66"/>
      <c r="NGH48" s="66"/>
      <c r="NGI48" s="66"/>
      <c r="NGJ48" s="66"/>
      <c r="NGK48" s="66"/>
      <c r="NGL48" s="66"/>
      <c r="NGM48" s="66"/>
      <c r="NGN48" s="66"/>
      <c r="NGO48" s="66"/>
      <c r="NGP48" s="66"/>
      <c r="NGQ48" s="66"/>
      <c r="NGR48" s="66"/>
      <c r="NGS48" s="66"/>
      <c r="NGT48" s="66"/>
      <c r="NGU48" s="66"/>
      <c r="NGV48" s="66"/>
      <c r="NGW48" s="66"/>
      <c r="NGX48" s="66"/>
      <c r="NGY48" s="66"/>
      <c r="NGZ48" s="66"/>
      <c r="NHA48" s="66"/>
      <c r="NHB48" s="66"/>
      <c r="NHC48" s="66"/>
      <c r="NHD48" s="66"/>
      <c r="NHE48" s="66"/>
      <c r="NHF48" s="66"/>
      <c r="NHG48" s="66"/>
      <c r="NHH48" s="66"/>
      <c r="NHI48" s="66"/>
      <c r="NHJ48" s="66"/>
      <c r="NHK48" s="66"/>
      <c r="NHL48" s="66"/>
      <c r="NHM48" s="66"/>
      <c r="NHN48" s="66"/>
      <c r="NHO48" s="66"/>
      <c r="NHP48" s="66"/>
      <c r="NHQ48" s="66"/>
      <c r="NHR48" s="66"/>
      <c r="NHS48" s="66"/>
      <c r="NHT48" s="66"/>
      <c r="NHU48" s="66"/>
      <c r="NHV48" s="66"/>
      <c r="NHW48" s="66"/>
      <c r="NHX48" s="66"/>
      <c r="NHY48" s="66"/>
      <c r="NHZ48" s="66"/>
      <c r="NIA48" s="66"/>
      <c r="NIB48" s="66"/>
      <c r="NIC48" s="66"/>
      <c r="NID48" s="66"/>
      <c r="NIE48" s="66"/>
      <c r="NIF48" s="66"/>
      <c r="NIG48" s="66"/>
      <c r="NIH48" s="66"/>
      <c r="NII48" s="66"/>
      <c r="NIJ48" s="66"/>
      <c r="NIK48" s="66"/>
      <c r="NIL48" s="66"/>
      <c r="NIM48" s="66"/>
      <c r="NIN48" s="66"/>
      <c r="NIO48" s="66"/>
      <c r="NIP48" s="66"/>
      <c r="NIQ48" s="66"/>
      <c r="NIR48" s="66"/>
      <c r="NIS48" s="66"/>
      <c r="NIT48" s="66"/>
      <c r="NIU48" s="66"/>
      <c r="NIV48" s="66"/>
      <c r="NIW48" s="66"/>
      <c r="NIX48" s="66"/>
      <c r="NIY48" s="66"/>
      <c r="NIZ48" s="66"/>
      <c r="NJA48" s="66"/>
      <c r="NJB48" s="66"/>
      <c r="NJC48" s="66"/>
      <c r="NJD48" s="66"/>
      <c r="NJE48" s="66"/>
      <c r="NJF48" s="66"/>
      <c r="NJG48" s="66"/>
      <c r="NJH48" s="66"/>
      <c r="NJI48" s="66"/>
      <c r="NJJ48" s="66"/>
      <c r="NJK48" s="66"/>
      <c r="NJL48" s="66"/>
      <c r="NJM48" s="66"/>
      <c r="NJN48" s="66"/>
      <c r="NJO48" s="66"/>
      <c r="NJP48" s="66"/>
      <c r="NJQ48" s="66"/>
      <c r="NJR48" s="66"/>
      <c r="NJS48" s="66"/>
      <c r="NJT48" s="66"/>
      <c r="NJU48" s="66"/>
      <c r="NJV48" s="66"/>
      <c r="NJW48" s="66"/>
      <c r="NJX48" s="66"/>
      <c r="NJY48" s="66"/>
      <c r="NJZ48" s="66"/>
      <c r="NKA48" s="66"/>
      <c r="NKB48" s="66"/>
      <c r="NKC48" s="66"/>
      <c r="NKD48" s="66"/>
      <c r="NKE48" s="66"/>
      <c r="NKF48" s="66"/>
      <c r="NKG48" s="66"/>
      <c r="NKH48" s="66"/>
      <c r="NKI48" s="66"/>
      <c r="NKJ48" s="66"/>
      <c r="NKK48" s="66"/>
      <c r="NKL48" s="66"/>
      <c r="NKM48" s="66"/>
      <c r="NKN48" s="66"/>
      <c r="NKO48" s="66"/>
      <c r="NKP48" s="66"/>
      <c r="NKQ48" s="66"/>
      <c r="NKR48" s="66"/>
      <c r="NKS48" s="66"/>
      <c r="NKT48" s="66"/>
      <c r="NKU48" s="66"/>
      <c r="NKV48" s="66"/>
      <c r="NKW48" s="66"/>
      <c r="NKX48" s="66"/>
      <c r="NKY48" s="66"/>
      <c r="NKZ48" s="66"/>
      <c r="NLA48" s="66"/>
      <c r="NLB48" s="66"/>
      <c r="NLC48" s="66"/>
      <c r="NLD48" s="66"/>
      <c r="NLE48" s="66"/>
      <c r="NLF48" s="66"/>
      <c r="NLG48" s="66"/>
      <c r="NLH48" s="66"/>
      <c r="NLI48" s="66"/>
      <c r="NLJ48" s="66"/>
      <c r="NLK48" s="66"/>
      <c r="NLL48" s="66"/>
      <c r="NLM48" s="66"/>
      <c r="NLN48" s="66"/>
      <c r="NLO48" s="66"/>
      <c r="NLP48" s="66"/>
      <c r="NLQ48" s="66"/>
      <c r="NLR48" s="66"/>
      <c r="NLS48" s="66"/>
      <c r="NLT48" s="66"/>
      <c r="NLU48" s="66"/>
      <c r="NLV48" s="66"/>
      <c r="NLW48" s="66"/>
      <c r="NLX48" s="66"/>
      <c r="NLY48" s="66"/>
      <c r="NLZ48" s="66"/>
      <c r="NMA48" s="66"/>
      <c r="NMB48" s="66"/>
      <c r="NMC48" s="66"/>
      <c r="NMD48" s="66"/>
      <c r="NME48" s="66"/>
      <c r="NMF48" s="66"/>
      <c r="NMG48" s="66"/>
      <c r="NMH48" s="66"/>
      <c r="NMI48" s="66"/>
      <c r="NMJ48" s="66"/>
      <c r="NMK48" s="66"/>
      <c r="NML48" s="66"/>
      <c r="NMM48" s="66"/>
      <c r="NMN48" s="66"/>
      <c r="NMO48" s="66"/>
      <c r="NMP48" s="66"/>
      <c r="NMQ48" s="66"/>
      <c r="NMR48" s="66"/>
      <c r="NMS48" s="66"/>
      <c r="NMT48" s="66"/>
      <c r="NMU48" s="66"/>
      <c r="NMV48" s="66"/>
      <c r="NMW48" s="66"/>
      <c r="NMX48" s="66"/>
      <c r="NMY48" s="66"/>
      <c r="NMZ48" s="66"/>
      <c r="NNA48" s="66"/>
      <c r="NNB48" s="66"/>
      <c r="NNC48" s="66"/>
      <c r="NND48" s="66"/>
      <c r="NNE48" s="66"/>
      <c r="NNF48" s="66"/>
      <c r="NNG48" s="66"/>
      <c r="NNH48" s="66"/>
      <c r="NNI48" s="66"/>
      <c r="NNJ48" s="66"/>
      <c r="NNK48" s="66"/>
      <c r="NNL48" s="66"/>
      <c r="NNM48" s="66"/>
      <c r="NNN48" s="66"/>
      <c r="NNO48" s="66"/>
      <c r="NNP48" s="66"/>
      <c r="NNQ48" s="66"/>
      <c r="NNR48" s="66"/>
      <c r="NNS48" s="66"/>
      <c r="NNT48" s="66"/>
      <c r="NNU48" s="66"/>
      <c r="NNV48" s="66"/>
      <c r="NNW48" s="66"/>
      <c r="NNX48" s="66"/>
      <c r="NNY48" s="66"/>
      <c r="NNZ48" s="66"/>
      <c r="NOA48" s="66"/>
      <c r="NOB48" s="66"/>
      <c r="NOC48" s="66"/>
      <c r="NOD48" s="66"/>
      <c r="NOE48" s="66"/>
      <c r="NOF48" s="66"/>
      <c r="NOG48" s="66"/>
      <c r="NOH48" s="66"/>
      <c r="NOI48" s="66"/>
      <c r="NOJ48" s="66"/>
      <c r="NOK48" s="66"/>
      <c r="NOL48" s="66"/>
      <c r="NOM48" s="66"/>
      <c r="NON48" s="66"/>
      <c r="NOO48" s="66"/>
      <c r="NOP48" s="66"/>
      <c r="NOQ48" s="66"/>
      <c r="NOR48" s="66"/>
      <c r="NOS48" s="66"/>
      <c r="NOT48" s="66"/>
      <c r="NOU48" s="66"/>
      <c r="NOV48" s="66"/>
      <c r="NOW48" s="66"/>
      <c r="NOX48" s="66"/>
      <c r="NOY48" s="66"/>
      <c r="NOZ48" s="66"/>
      <c r="NPA48" s="66"/>
      <c r="NPB48" s="66"/>
      <c r="NPC48" s="66"/>
      <c r="NPD48" s="66"/>
      <c r="NPE48" s="66"/>
      <c r="NPF48" s="66"/>
      <c r="NPG48" s="66"/>
      <c r="NPH48" s="66"/>
      <c r="NPI48" s="66"/>
      <c r="NPJ48" s="66"/>
      <c r="NPK48" s="66"/>
      <c r="NPL48" s="66"/>
      <c r="NPM48" s="66"/>
      <c r="NPN48" s="66"/>
      <c r="NPO48" s="66"/>
      <c r="NPP48" s="66"/>
      <c r="NPQ48" s="66"/>
      <c r="NPR48" s="66"/>
      <c r="NPS48" s="66"/>
      <c r="NPT48" s="66"/>
      <c r="NPU48" s="66"/>
      <c r="NPV48" s="66"/>
      <c r="NPW48" s="66"/>
      <c r="NPX48" s="66"/>
      <c r="NPY48" s="66"/>
      <c r="NPZ48" s="66"/>
      <c r="NQA48" s="66"/>
      <c r="NQB48" s="66"/>
      <c r="NQC48" s="66"/>
      <c r="NQD48" s="66"/>
      <c r="NQE48" s="66"/>
      <c r="NQF48" s="66"/>
      <c r="NQG48" s="66"/>
      <c r="NQH48" s="66"/>
      <c r="NQI48" s="66"/>
      <c r="NQJ48" s="66"/>
      <c r="NQK48" s="66"/>
      <c r="NQL48" s="66"/>
      <c r="NQM48" s="66"/>
      <c r="NQN48" s="66"/>
      <c r="NQO48" s="66"/>
      <c r="NQP48" s="66"/>
      <c r="NQQ48" s="66"/>
      <c r="NQR48" s="66"/>
      <c r="NQS48" s="66"/>
      <c r="NQT48" s="66"/>
      <c r="NQU48" s="66"/>
      <c r="NQV48" s="66"/>
      <c r="NQW48" s="66"/>
      <c r="NQX48" s="66"/>
      <c r="NQY48" s="66"/>
      <c r="NQZ48" s="66"/>
      <c r="NRA48" s="66"/>
      <c r="NRB48" s="66"/>
      <c r="NRC48" s="66"/>
      <c r="NRD48" s="66"/>
      <c r="NRE48" s="66"/>
      <c r="NRF48" s="66"/>
      <c r="NRG48" s="66"/>
      <c r="NRH48" s="66"/>
      <c r="NRI48" s="66"/>
      <c r="NRJ48" s="66"/>
      <c r="NRK48" s="66"/>
      <c r="NRL48" s="66"/>
      <c r="NRM48" s="66"/>
      <c r="NRN48" s="66"/>
      <c r="NRO48" s="66"/>
      <c r="NRP48" s="66"/>
      <c r="NRQ48" s="66"/>
      <c r="NRR48" s="66"/>
      <c r="NRS48" s="66"/>
      <c r="NRT48" s="66"/>
      <c r="NRU48" s="66"/>
      <c r="NRV48" s="66"/>
      <c r="NRW48" s="66"/>
      <c r="NRX48" s="66"/>
      <c r="NRY48" s="66"/>
      <c r="NRZ48" s="66"/>
      <c r="NSA48" s="66"/>
      <c r="NSB48" s="66"/>
      <c r="NSC48" s="66"/>
      <c r="NSD48" s="66"/>
      <c r="NSE48" s="66"/>
      <c r="NSF48" s="66"/>
      <c r="NSG48" s="66"/>
      <c r="NSH48" s="66"/>
      <c r="NSI48" s="66"/>
      <c r="NSJ48" s="66"/>
      <c r="NSK48" s="66"/>
      <c r="NSL48" s="66"/>
      <c r="NSM48" s="66"/>
      <c r="NSN48" s="66"/>
      <c r="NSO48" s="66"/>
      <c r="NSP48" s="66"/>
      <c r="NSQ48" s="66"/>
      <c r="NSR48" s="66"/>
      <c r="NSS48" s="66"/>
      <c r="NST48" s="66"/>
      <c r="NSU48" s="66"/>
      <c r="NSV48" s="66"/>
      <c r="NSW48" s="66"/>
      <c r="NSX48" s="66"/>
      <c r="NSY48" s="66"/>
      <c r="NSZ48" s="66"/>
      <c r="NTA48" s="66"/>
      <c r="NTB48" s="66"/>
      <c r="NTC48" s="66"/>
      <c r="NTD48" s="66"/>
      <c r="NTE48" s="66"/>
      <c r="NTF48" s="66"/>
      <c r="NTG48" s="66"/>
      <c r="NTH48" s="66"/>
      <c r="NTI48" s="66"/>
      <c r="NTJ48" s="66"/>
      <c r="NTK48" s="66"/>
      <c r="NTL48" s="66"/>
      <c r="NTM48" s="66"/>
      <c r="NTN48" s="66"/>
      <c r="NTO48" s="66"/>
      <c r="NTP48" s="66"/>
      <c r="NTQ48" s="66"/>
      <c r="NTR48" s="66"/>
      <c r="NTS48" s="66"/>
      <c r="NTT48" s="66"/>
      <c r="NTU48" s="66"/>
      <c r="NTV48" s="66"/>
      <c r="NTW48" s="66"/>
      <c r="NTX48" s="66"/>
      <c r="NTY48" s="66"/>
      <c r="NTZ48" s="66"/>
      <c r="NUA48" s="66"/>
      <c r="NUB48" s="66"/>
      <c r="NUC48" s="66"/>
      <c r="NUD48" s="66"/>
      <c r="NUE48" s="66"/>
      <c r="NUF48" s="66"/>
      <c r="NUG48" s="66"/>
      <c r="NUH48" s="66"/>
      <c r="NUI48" s="66"/>
      <c r="NUJ48" s="66"/>
      <c r="NUK48" s="66"/>
      <c r="NUL48" s="66"/>
      <c r="NUM48" s="66"/>
      <c r="NUN48" s="66"/>
      <c r="NUO48" s="66"/>
      <c r="NUP48" s="66"/>
      <c r="NUQ48" s="66"/>
      <c r="NUR48" s="66"/>
      <c r="NUS48" s="66"/>
      <c r="NUT48" s="66"/>
      <c r="NUU48" s="66"/>
      <c r="NUV48" s="66"/>
      <c r="NUW48" s="66"/>
      <c r="NUX48" s="66"/>
      <c r="NUY48" s="66"/>
      <c r="NUZ48" s="66"/>
      <c r="NVA48" s="66"/>
      <c r="NVB48" s="66"/>
      <c r="NVC48" s="66"/>
      <c r="NVD48" s="66"/>
      <c r="NVE48" s="66"/>
      <c r="NVF48" s="66"/>
      <c r="NVG48" s="66"/>
      <c r="NVH48" s="66"/>
      <c r="NVI48" s="66"/>
      <c r="NVJ48" s="66"/>
      <c r="NVK48" s="66"/>
      <c r="NVL48" s="66"/>
      <c r="NVM48" s="66"/>
      <c r="NVN48" s="66"/>
      <c r="NVO48" s="66"/>
      <c r="NVP48" s="66"/>
      <c r="NVQ48" s="66"/>
      <c r="NVR48" s="66"/>
      <c r="NVS48" s="66"/>
      <c r="NVT48" s="66"/>
      <c r="NVU48" s="66"/>
      <c r="NVV48" s="66"/>
      <c r="NVW48" s="66"/>
      <c r="NVX48" s="66"/>
      <c r="NVY48" s="66"/>
      <c r="NVZ48" s="66"/>
      <c r="NWA48" s="66"/>
      <c r="NWB48" s="66"/>
      <c r="NWC48" s="66"/>
      <c r="NWD48" s="66"/>
      <c r="NWE48" s="66"/>
      <c r="NWF48" s="66"/>
      <c r="NWG48" s="66"/>
      <c r="NWH48" s="66"/>
      <c r="NWI48" s="66"/>
      <c r="NWJ48" s="66"/>
      <c r="NWK48" s="66"/>
      <c r="NWL48" s="66"/>
      <c r="NWM48" s="66"/>
      <c r="NWN48" s="66"/>
      <c r="NWO48" s="66"/>
      <c r="NWP48" s="66"/>
      <c r="NWQ48" s="66"/>
      <c r="NWR48" s="66"/>
      <c r="NWS48" s="66"/>
      <c r="NWT48" s="66"/>
      <c r="NWU48" s="66"/>
      <c r="NWV48" s="66"/>
      <c r="NWW48" s="66"/>
      <c r="NWX48" s="66"/>
      <c r="NWY48" s="66"/>
      <c r="NWZ48" s="66"/>
      <c r="NXA48" s="66"/>
      <c r="NXB48" s="66"/>
      <c r="NXC48" s="66"/>
      <c r="NXD48" s="66"/>
      <c r="NXE48" s="66"/>
      <c r="NXF48" s="66"/>
      <c r="NXG48" s="66"/>
      <c r="NXH48" s="66"/>
      <c r="NXI48" s="66"/>
      <c r="NXJ48" s="66"/>
      <c r="NXK48" s="66"/>
      <c r="NXL48" s="66"/>
      <c r="NXM48" s="66"/>
      <c r="NXN48" s="66"/>
      <c r="NXO48" s="66"/>
      <c r="NXP48" s="66"/>
      <c r="NXQ48" s="66"/>
      <c r="NXR48" s="66"/>
      <c r="NXS48" s="66"/>
      <c r="NXT48" s="66"/>
      <c r="NXU48" s="66"/>
      <c r="NXV48" s="66"/>
      <c r="NXW48" s="66"/>
      <c r="NXX48" s="66"/>
      <c r="NXY48" s="66"/>
      <c r="NXZ48" s="66"/>
      <c r="NYA48" s="66"/>
      <c r="NYB48" s="66"/>
      <c r="NYC48" s="66"/>
      <c r="NYD48" s="66"/>
      <c r="NYE48" s="66"/>
      <c r="NYF48" s="66"/>
      <c r="NYG48" s="66"/>
      <c r="NYH48" s="66"/>
      <c r="NYI48" s="66"/>
      <c r="NYJ48" s="66"/>
      <c r="NYK48" s="66"/>
      <c r="NYL48" s="66"/>
      <c r="NYM48" s="66"/>
      <c r="NYN48" s="66"/>
      <c r="NYO48" s="66"/>
      <c r="NYP48" s="66"/>
      <c r="NYQ48" s="66"/>
      <c r="NYR48" s="66"/>
      <c r="NYS48" s="66"/>
      <c r="NYT48" s="66"/>
      <c r="NYU48" s="66"/>
      <c r="NYV48" s="66"/>
      <c r="NYW48" s="66"/>
      <c r="NYX48" s="66"/>
      <c r="NYY48" s="66"/>
      <c r="NYZ48" s="66"/>
      <c r="NZA48" s="66"/>
      <c r="NZB48" s="66"/>
      <c r="NZC48" s="66"/>
      <c r="NZD48" s="66"/>
      <c r="NZE48" s="66"/>
      <c r="NZF48" s="66"/>
      <c r="NZG48" s="66"/>
      <c r="NZH48" s="66"/>
      <c r="NZI48" s="66"/>
      <c r="NZJ48" s="66"/>
      <c r="NZK48" s="66"/>
      <c r="NZL48" s="66"/>
      <c r="NZM48" s="66"/>
      <c r="NZN48" s="66"/>
      <c r="NZO48" s="66"/>
      <c r="NZP48" s="66"/>
      <c r="NZQ48" s="66"/>
      <c r="NZR48" s="66"/>
      <c r="NZS48" s="66"/>
      <c r="NZT48" s="66"/>
      <c r="NZU48" s="66"/>
      <c r="NZV48" s="66"/>
      <c r="NZW48" s="66"/>
      <c r="NZX48" s="66"/>
      <c r="NZY48" s="66"/>
      <c r="NZZ48" s="66"/>
      <c r="OAA48" s="66"/>
      <c r="OAB48" s="66"/>
      <c r="OAC48" s="66"/>
      <c r="OAD48" s="66"/>
      <c r="OAE48" s="66"/>
      <c r="OAF48" s="66"/>
      <c r="OAG48" s="66"/>
      <c r="OAH48" s="66"/>
      <c r="OAI48" s="66"/>
      <c r="OAJ48" s="66"/>
      <c r="OAK48" s="66"/>
      <c r="OAL48" s="66"/>
      <c r="OAM48" s="66"/>
      <c r="OAN48" s="66"/>
      <c r="OAO48" s="66"/>
      <c r="OAP48" s="66"/>
      <c r="OAQ48" s="66"/>
      <c r="OAR48" s="66"/>
      <c r="OAS48" s="66"/>
      <c r="OAT48" s="66"/>
      <c r="OAU48" s="66"/>
      <c r="OAV48" s="66"/>
      <c r="OAW48" s="66"/>
      <c r="OAX48" s="66"/>
      <c r="OAY48" s="66"/>
      <c r="OAZ48" s="66"/>
      <c r="OBA48" s="66"/>
      <c r="OBB48" s="66"/>
      <c r="OBC48" s="66"/>
      <c r="OBD48" s="66"/>
      <c r="OBE48" s="66"/>
      <c r="OBF48" s="66"/>
      <c r="OBG48" s="66"/>
      <c r="OBH48" s="66"/>
      <c r="OBI48" s="66"/>
      <c r="OBJ48" s="66"/>
      <c r="OBK48" s="66"/>
      <c r="OBL48" s="66"/>
      <c r="OBM48" s="66"/>
      <c r="OBN48" s="66"/>
      <c r="OBO48" s="66"/>
      <c r="OBP48" s="66"/>
      <c r="OBQ48" s="66"/>
      <c r="OBR48" s="66"/>
      <c r="OBS48" s="66"/>
      <c r="OBT48" s="66"/>
      <c r="OBU48" s="66"/>
      <c r="OBV48" s="66"/>
      <c r="OBW48" s="66"/>
      <c r="OBX48" s="66"/>
      <c r="OBY48" s="66"/>
      <c r="OBZ48" s="66"/>
      <c r="OCA48" s="66"/>
      <c r="OCB48" s="66"/>
      <c r="OCC48" s="66"/>
      <c r="OCD48" s="66"/>
      <c r="OCE48" s="66"/>
      <c r="OCF48" s="66"/>
      <c r="OCG48" s="66"/>
      <c r="OCH48" s="66"/>
      <c r="OCI48" s="66"/>
      <c r="OCJ48" s="66"/>
      <c r="OCK48" s="66"/>
      <c r="OCL48" s="66"/>
      <c r="OCM48" s="66"/>
      <c r="OCN48" s="66"/>
      <c r="OCO48" s="66"/>
      <c r="OCP48" s="66"/>
      <c r="OCQ48" s="66"/>
      <c r="OCR48" s="66"/>
      <c r="OCS48" s="66"/>
      <c r="OCT48" s="66"/>
      <c r="OCU48" s="66"/>
      <c r="OCV48" s="66"/>
      <c r="OCW48" s="66"/>
      <c r="OCX48" s="66"/>
      <c r="OCY48" s="66"/>
      <c r="OCZ48" s="66"/>
      <c r="ODA48" s="66"/>
      <c r="ODB48" s="66"/>
      <c r="ODC48" s="66"/>
      <c r="ODD48" s="66"/>
      <c r="ODE48" s="66"/>
      <c r="ODF48" s="66"/>
      <c r="ODG48" s="66"/>
      <c r="ODH48" s="66"/>
      <c r="ODI48" s="66"/>
      <c r="ODJ48" s="66"/>
      <c r="ODK48" s="66"/>
      <c r="ODL48" s="66"/>
      <c r="ODM48" s="66"/>
      <c r="ODN48" s="66"/>
      <c r="ODO48" s="66"/>
      <c r="ODP48" s="66"/>
      <c r="ODQ48" s="66"/>
      <c r="ODR48" s="66"/>
      <c r="ODS48" s="66"/>
      <c r="ODT48" s="66"/>
      <c r="ODU48" s="66"/>
      <c r="ODV48" s="66"/>
      <c r="ODW48" s="66"/>
      <c r="ODX48" s="66"/>
      <c r="ODY48" s="66"/>
      <c r="ODZ48" s="66"/>
      <c r="OEA48" s="66"/>
      <c r="OEB48" s="66"/>
      <c r="OEC48" s="66"/>
      <c r="OED48" s="66"/>
      <c r="OEE48" s="66"/>
      <c r="OEF48" s="66"/>
      <c r="OEG48" s="66"/>
      <c r="OEH48" s="66"/>
      <c r="OEI48" s="66"/>
      <c r="OEJ48" s="66"/>
      <c r="OEK48" s="66"/>
      <c r="OEL48" s="66"/>
      <c r="OEM48" s="66"/>
      <c r="OEN48" s="66"/>
      <c r="OEO48" s="66"/>
      <c r="OEP48" s="66"/>
      <c r="OEQ48" s="66"/>
      <c r="OER48" s="66"/>
      <c r="OES48" s="66"/>
      <c r="OET48" s="66"/>
      <c r="OEU48" s="66"/>
      <c r="OEV48" s="66"/>
      <c r="OEW48" s="66"/>
      <c r="OEX48" s="66"/>
      <c r="OEY48" s="66"/>
      <c r="OEZ48" s="66"/>
      <c r="OFA48" s="66"/>
      <c r="OFB48" s="66"/>
      <c r="OFC48" s="66"/>
      <c r="OFD48" s="66"/>
      <c r="OFE48" s="66"/>
      <c r="OFF48" s="66"/>
      <c r="OFG48" s="66"/>
      <c r="OFH48" s="66"/>
      <c r="OFI48" s="66"/>
      <c r="OFJ48" s="66"/>
      <c r="OFK48" s="66"/>
      <c r="OFL48" s="66"/>
      <c r="OFM48" s="66"/>
      <c r="OFN48" s="66"/>
      <c r="OFO48" s="66"/>
      <c r="OFP48" s="66"/>
      <c r="OFQ48" s="66"/>
      <c r="OFR48" s="66"/>
      <c r="OFS48" s="66"/>
      <c r="OFT48" s="66"/>
      <c r="OFU48" s="66"/>
      <c r="OFV48" s="66"/>
      <c r="OFW48" s="66"/>
      <c r="OFX48" s="66"/>
      <c r="OFY48" s="66"/>
      <c r="OFZ48" s="66"/>
      <c r="OGA48" s="66"/>
      <c r="OGB48" s="66"/>
      <c r="OGC48" s="66"/>
      <c r="OGD48" s="66"/>
      <c r="OGE48" s="66"/>
      <c r="OGF48" s="66"/>
      <c r="OGG48" s="66"/>
      <c r="OGH48" s="66"/>
      <c r="OGI48" s="66"/>
      <c r="OGJ48" s="66"/>
      <c r="OGK48" s="66"/>
      <c r="OGL48" s="66"/>
      <c r="OGM48" s="66"/>
      <c r="OGN48" s="66"/>
      <c r="OGO48" s="66"/>
      <c r="OGP48" s="66"/>
      <c r="OGQ48" s="66"/>
      <c r="OGR48" s="66"/>
      <c r="OGS48" s="66"/>
      <c r="OGT48" s="66"/>
      <c r="OGU48" s="66"/>
      <c r="OGV48" s="66"/>
      <c r="OGW48" s="66"/>
      <c r="OGX48" s="66"/>
      <c r="OGY48" s="66"/>
      <c r="OGZ48" s="66"/>
      <c r="OHA48" s="66"/>
      <c r="OHB48" s="66"/>
      <c r="OHC48" s="66"/>
      <c r="OHD48" s="66"/>
      <c r="OHE48" s="66"/>
      <c r="OHF48" s="66"/>
      <c r="OHG48" s="66"/>
      <c r="OHH48" s="66"/>
      <c r="OHI48" s="66"/>
      <c r="OHJ48" s="66"/>
      <c r="OHK48" s="66"/>
      <c r="OHL48" s="66"/>
      <c r="OHM48" s="66"/>
      <c r="OHN48" s="66"/>
      <c r="OHO48" s="66"/>
      <c r="OHP48" s="66"/>
      <c r="OHQ48" s="66"/>
      <c r="OHR48" s="66"/>
      <c r="OHS48" s="66"/>
      <c r="OHT48" s="66"/>
      <c r="OHU48" s="66"/>
      <c r="OHV48" s="66"/>
      <c r="OHW48" s="66"/>
      <c r="OHX48" s="66"/>
      <c r="OHY48" s="66"/>
      <c r="OHZ48" s="66"/>
      <c r="OIA48" s="66"/>
      <c r="OIB48" s="66"/>
      <c r="OIC48" s="66"/>
      <c r="OID48" s="66"/>
      <c r="OIE48" s="66"/>
      <c r="OIF48" s="66"/>
      <c r="OIG48" s="66"/>
      <c r="OIH48" s="66"/>
      <c r="OII48" s="66"/>
      <c r="OIJ48" s="66"/>
      <c r="OIK48" s="66"/>
      <c r="OIL48" s="66"/>
      <c r="OIM48" s="66"/>
      <c r="OIN48" s="66"/>
      <c r="OIO48" s="66"/>
      <c r="OIP48" s="66"/>
      <c r="OIQ48" s="66"/>
      <c r="OIR48" s="66"/>
      <c r="OIS48" s="66"/>
      <c r="OIT48" s="66"/>
      <c r="OIU48" s="66"/>
      <c r="OIV48" s="66"/>
      <c r="OIW48" s="66"/>
      <c r="OIX48" s="66"/>
      <c r="OIY48" s="66"/>
      <c r="OIZ48" s="66"/>
      <c r="OJA48" s="66"/>
      <c r="OJB48" s="66"/>
      <c r="OJC48" s="66"/>
      <c r="OJD48" s="66"/>
      <c r="OJE48" s="66"/>
      <c r="OJF48" s="66"/>
      <c r="OJG48" s="66"/>
      <c r="OJH48" s="66"/>
      <c r="OJI48" s="66"/>
      <c r="OJJ48" s="66"/>
      <c r="OJK48" s="66"/>
      <c r="OJL48" s="66"/>
      <c r="OJM48" s="66"/>
      <c r="OJN48" s="66"/>
      <c r="OJO48" s="66"/>
      <c r="OJP48" s="66"/>
      <c r="OJQ48" s="66"/>
      <c r="OJR48" s="66"/>
      <c r="OJS48" s="66"/>
      <c r="OJT48" s="66"/>
      <c r="OJU48" s="66"/>
      <c r="OJV48" s="66"/>
      <c r="OJW48" s="66"/>
      <c r="OJX48" s="66"/>
      <c r="OJY48" s="66"/>
      <c r="OJZ48" s="66"/>
      <c r="OKA48" s="66"/>
      <c r="OKB48" s="66"/>
      <c r="OKC48" s="66"/>
      <c r="OKD48" s="66"/>
      <c r="OKE48" s="66"/>
      <c r="OKF48" s="66"/>
      <c r="OKG48" s="66"/>
      <c r="OKH48" s="66"/>
      <c r="OKI48" s="66"/>
      <c r="OKJ48" s="66"/>
      <c r="OKK48" s="66"/>
      <c r="OKL48" s="66"/>
      <c r="OKM48" s="66"/>
      <c r="OKN48" s="66"/>
      <c r="OKO48" s="66"/>
      <c r="OKP48" s="66"/>
      <c r="OKQ48" s="66"/>
      <c r="OKR48" s="66"/>
      <c r="OKS48" s="66"/>
      <c r="OKT48" s="66"/>
      <c r="OKU48" s="66"/>
      <c r="OKV48" s="66"/>
      <c r="OKW48" s="66"/>
      <c r="OKX48" s="66"/>
      <c r="OKY48" s="66"/>
      <c r="OKZ48" s="66"/>
      <c r="OLA48" s="66"/>
      <c r="OLB48" s="66"/>
      <c r="OLC48" s="66"/>
      <c r="OLD48" s="66"/>
      <c r="OLE48" s="66"/>
      <c r="OLF48" s="66"/>
      <c r="OLG48" s="66"/>
      <c r="OLH48" s="66"/>
      <c r="OLI48" s="66"/>
      <c r="OLJ48" s="66"/>
      <c r="OLK48" s="66"/>
      <c r="OLL48" s="66"/>
      <c r="OLM48" s="66"/>
      <c r="OLN48" s="66"/>
      <c r="OLO48" s="66"/>
      <c r="OLP48" s="66"/>
      <c r="OLQ48" s="66"/>
      <c r="OLR48" s="66"/>
      <c r="OLS48" s="66"/>
      <c r="OLT48" s="66"/>
      <c r="OLU48" s="66"/>
      <c r="OLV48" s="66"/>
      <c r="OLW48" s="66"/>
      <c r="OLX48" s="66"/>
      <c r="OLY48" s="66"/>
      <c r="OLZ48" s="66"/>
      <c r="OMA48" s="66"/>
      <c r="OMB48" s="66"/>
      <c r="OMC48" s="66"/>
      <c r="OMD48" s="66"/>
      <c r="OME48" s="66"/>
      <c r="OMF48" s="66"/>
      <c r="OMG48" s="66"/>
      <c r="OMH48" s="66"/>
      <c r="OMI48" s="66"/>
      <c r="OMJ48" s="66"/>
      <c r="OMK48" s="66"/>
      <c r="OML48" s="66"/>
      <c r="OMM48" s="66"/>
      <c r="OMN48" s="66"/>
      <c r="OMO48" s="66"/>
      <c r="OMP48" s="66"/>
      <c r="OMQ48" s="66"/>
      <c r="OMR48" s="66"/>
      <c r="OMS48" s="66"/>
      <c r="OMT48" s="66"/>
      <c r="OMU48" s="66"/>
      <c r="OMV48" s="66"/>
      <c r="OMW48" s="66"/>
      <c r="OMX48" s="66"/>
      <c r="OMY48" s="66"/>
      <c r="OMZ48" s="66"/>
      <c r="ONA48" s="66"/>
      <c r="ONB48" s="66"/>
      <c r="ONC48" s="66"/>
      <c r="OND48" s="66"/>
      <c r="ONE48" s="66"/>
      <c r="ONF48" s="66"/>
      <c r="ONG48" s="66"/>
      <c r="ONH48" s="66"/>
      <c r="ONI48" s="66"/>
      <c r="ONJ48" s="66"/>
      <c r="ONK48" s="66"/>
      <c r="ONL48" s="66"/>
      <c r="ONM48" s="66"/>
      <c r="ONN48" s="66"/>
      <c r="ONO48" s="66"/>
      <c r="ONP48" s="66"/>
      <c r="ONQ48" s="66"/>
      <c r="ONR48" s="66"/>
      <c r="ONS48" s="66"/>
      <c r="ONT48" s="66"/>
      <c r="ONU48" s="66"/>
      <c r="ONV48" s="66"/>
      <c r="ONW48" s="66"/>
      <c r="ONX48" s="66"/>
      <c r="ONY48" s="66"/>
      <c r="ONZ48" s="66"/>
      <c r="OOA48" s="66"/>
      <c r="OOB48" s="66"/>
      <c r="OOC48" s="66"/>
      <c r="OOD48" s="66"/>
      <c r="OOE48" s="66"/>
      <c r="OOF48" s="66"/>
      <c r="OOG48" s="66"/>
      <c r="OOH48" s="66"/>
      <c r="OOI48" s="66"/>
      <c r="OOJ48" s="66"/>
      <c r="OOK48" s="66"/>
      <c r="OOL48" s="66"/>
      <c r="OOM48" s="66"/>
      <c r="OON48" s="66"/>
      <c r="OOO48" s="66"/>
      <c r="OOP48" s="66"/>
      <c r="OOQ48" s="66"/>
      <c r="OOR48" s="66"/>
      <c r="OOS48" s="66"/>
      <c r="OOT48" s="66"/>
      <c r="OOU48" s="66"/>
      <c r="OOV48" s="66"/>
      <c r="OOW48" s="66"/>
      <c r="OOX48" s="66"/>
      <c r="OOY48" s="66"/>
      <c r="OOZ48" s="66"/>
      <c r="OPA48" s="66"/>
      <c r="OPB48" s="66"/>
      <c r="OPC48" s="66"/>
      <c r="OPD48" s="66"/>
      <c r="OPE48" s="66"/>
      <c r="OPF48" s="66"/>
      <c r="OPG48" s="66"/>
      <c r="OPH48" s="66"/>
      <c r="OPI48" s="66"/>
      <c r="OPJ48" s="66"/>
      <c r="OPK48" s="66"/>
      <c r="OPL48" s="66"/>
      <c r="OPM48" s="66"/>
      <c r="OPN48" s="66"/>
      <c r="OPO48" s="66"/>
      <c r="OPP48" s="66"/>
      <c r="OPQ48" s="66"/>
      <c r="OPR48" s="66"/>
      <c r="OPS48" s="66"/>
      <c r="OPT48" s="66"/>
      <c r="OPU48" s="66"/>
      <c r="OPV48" s="66"/>
      <c r="OPW48" s="66"/>
      <c r="OPX48" s="66"/>
      <c r="OPY48" s="66"/>
      <c r="OPZ48" s="66"/>
      <c r="OQA48" s="66"/>
      <c r="OQB48" s="66"/>
      <c r="OQC48" s="66"/>
      <c r="OQD48" s="66"/>
      <c r="OQE48" s="66"/>
      <c r="OQF48" s="66"/>
      <c r="OQG48" s="66"/>
      <c r="OQH48" s="66"/>
      <c r="OQI48" s="66"/>
      <c r="OQJ48" s="66"/>
      <c r="OQK48" s="66"/>
      <c r="OQL48" s="66"/>
      <c r="OQM48" s="66"/>
      <c r="OQN48" s="66"/>
      <c r="OQO48" s="66"/>
      <c r="OQP48" s="66"/>
      <c r="OQQ48" s="66"/>
      <c r="OQR48" s="66"/>
      <c r="OQS48" s="66"/>
      <c r="OQT48" s="66"/>
      <c r="OQU48" s="66"/>
      <c r="OQV48" s="66"/>
      <c r="OQW48" s="66"/>
      <c r="OQX48" s="66"/>
      <c r="OQY48" s="66"/>
      <c r="OQZ48" s="66"/>
      <c r="ORA48" s="66"/>
      <c r="ORB48" s="66"/>
      <c r="ORC48" s="66"/>
      <c r="ORD48" s="66"/>
      <c r="ORE48" s="66"/>
      <c r="ORF48" s="66"/>
      <c r="ORG48" s="66"/>
      <c r="ORH48" s="66"/>
      <c r="ORI48" s="66"/>
      <c r="ORJ48" s="66"/>
      <c r="ORK48" s="66"/>
      <c r="ORL48" s="66"/>
      <c r="ORM48" s="66"/>
      <c r="ORN48" s="66"/>
      <c r="ORO48" s="66"/>
      <c r="ORP48" s="66"/>
      <c r="ORQ48" s="66"/>
      <c r="ORR48" s="66"/>
      <c r="ORS48" s="66"/>
      <c r="ORT48" s="66"/>
      <c r="ORU48" s="66"/>
      <c r="ORV48" s="66"/>
      <c r="ORW48" s="66"/>
      <c r="ORX48" s="66"/>
      <c r="ORY48" s="66"/>
      <c r="ORZ48" s="66"/>
      <c r="OSA48" s="66"/>
      <c r="OSB48" s="66"/>
      <c r="OSC48" s="66"/>
      <c r="OSD48" s="66"/>
      <c r="OSE48" s="66"/>
      <c r="OSF48" s="66"/>
      <c r="OSG48" s="66"/>
      <c r="OSH48" s="66"/>
      <c r="OSI48" s="66"/>
      <c r="OSJ48" s="66"/>
      <c r="OSK48" s="66"/>
      <c r="OSL48" s="66"/>
      <c r="OSM48" s="66"/>
      <c r="OSN48" s="66"/>
      <c r="OSO48" s="66"/>
      <c r="OSP48" s="66"/>
      <c r="OSQ48" s="66"/>
      <c r="OSR48" s="66"/>
      <c r="OSS48" s="66"/>
      <c r="OST48" s="66"/>
      <c r="OSU48" s="66"/>
      <c r="OSV48" s="66"/>
      <c r="OSW48" s="66"/>
      <c r="OSX48" s="66"/>
      <c r="OSY48" s="66"/>
      <c r="OSZ48" s="66"/>
      <c r="OTA48" s="66"/>
      <c r="OTB48" s="66"/>
      <c r="OTC48" s="66"/>
      <c r="OTD48" s="66"/>
      <c r="OTE48" s="66"/>
      <c r="OTF48" s="66"/>
      <c r="OTG48" s="66"/>
      <c r="OTH48" s="66"/>
      <c r="OTI48" s="66"/>
      <c r="OTJ48" s="66"/>
      <c r="OTK48" s="66"/>
      <c r="OTL48" s="66"/>
      <c r="OTM48" s="66"/>
      <c r="OTN48" s="66"/>
      <c r="OTO48" s="66"/>
      <c r="OTP48" s="66"/>
      <c r="OTQ48" s="66"/>
      <c r="OTR48" s="66"/>
      <c r="OTS48" s="66"/>
      <c r="OTT48" s="66"/>
      <c r="OTU48" s="66"/>
      <c r="OTV48" s="66"/>
      <c r="OTW48" s="66"/>
      <c r="OTX48" s="66"/>
      <c r="OTY48" s="66"/>
      <c r="OTZ48" s="66"/>
      <c r="OUA48" s="66"/>
      <c r="OUB48" s="66"/>
      <c r="OUC48" s="66"/>
      <c r="OUD48" s="66"/>
      <c r="OUE48" s="66"/>
      <c r="OUF48" s="66"/>
      <c r="OUG48" s="66"/>
      <c r="OUH48" s="66"/>
      <c r="OUI48" s="66"/>
      <c r="OUJ48" s="66"/>
      <c r="OUK48" s="66"/>
      <c r="OUL48" s="66"/>
      <c r="OUM48" s="66"/>
      <c r="OUN48" s="66"/>
      <c r="OUO48" s="66"/>
      <c r="OUP48" s="66"/>
      <c r="OUQ48" s="66"/>
      <c r="OUR48" s="66"/>
      <c r="OUS48" s="66"/>
      <c r="OUT48" s="66"/>
      <c r="OUU48" s="66"/>
      <c r="OUV48" s="66"/>
      <c r="OUW48" s="66"/>
      <c r="OUX48" s="66"/>
      <c r="OUY48" s="66"/>
      <c r="OUZ48" s="66"/>
      <c r="OVA48" s="66"/>
      <c r="OVB48" s="66"/>
      <c r="OVC48" s="66"/>
      <c r="OVD48" s="66"/>
      <c r="OVE48" s="66"/>
      <c r="OVF48" s="66"/>
      <c r="OVG48" s="66"/>
      <c r="OVH48" s="66"/>
      <c r="OVI48" s="66"/>
      <c r="OVJ48" s="66"/>
      <c r="OVK48" s="66"/>
      <c r="OVL48" s="66"/>
      <c r="OVM48" s="66"/>
      <c r="OVN48" s="66"/>
      <c r="OVO48" s="66"/>
      <c r="OVP48" s="66"/>
      <c r="OVQ48" s="66"/>
      <c r="OVR48" s="66"/>
      <c r="OVS48" s="66"/>
      <c r="OVT48" s="66"/>
      <c r="OVU48" s="66"/>
      <c r="OVV48" s="66"/>
      <c r="OVW48" s="66"/>
      <c r="OVX48" s="66"/>
      <c r="OVY48" s="66"/>
      <c r="OVZ48" s="66"/>
      <c r="OWA48" s="66"/>
      <c r="OWB48" s="66"/>
      <c r="OWC48" s="66"/>
      <c r="OWD48" s="66"/>
      <c r="OWE48" s="66"/>
      <c r="OWF48" s="66"/>
      <c r="OWG48" s="66"/>
      <c r="OWH48" s="66"/>
      <c r="OWI48" s="66"/>
      <c r="OWJ48" s="66"/>
      <c r="OWK48" s="66"/>
      <c r="OWL48" s="66"/>
      <c r="OWM48" s="66"/>
      <c r="OWN48" s="66"/>
      <c r="OWO48" s="66"/>
      <c r="OWP48" s="66"/>
      <c r="OWQ48" s="66"/>
      <c r="OWR48" s="66"/>
      <c r="OWS48" s="66"/>
      <c r="OWT48" s="66"/>
      <c r="OWU48" s="66"/>
      <c r="OWV48" s="66"/>
      <c r="OWW48" s="66"/>
      <c r="OWX48" s="66"/>
      <c r="OWY48" s="66"/>
      <c r="OWZ48" s="66"/>
      <c r="OXA48" s="66"/>
      <c r="OXB48" s="66"/>
      <c r="OXC48" s="66"/>
      <c r="OXD48" s="66"/>
      <c r="OXE48" s="66"/>
      <c r="OXF48" s="66"/>
      <c r="OXG48" s="66"/>
      <c r="OXH48" s="66"/>
      <c r="OXI48" s="66"/>
      <c r="OXJ48" s="66"/>
      <c r="OXK48" s="66"/>
      <c r="OXL48" s="66"/>
      <c r="OXM48" s="66"/>
      <c r="OXN48" s="66"/>
      <c r="OXO48" s="66"/>
      <c r="OXP48" s="66"/>
      <c r="OXQ48" s="66"/>
      <c r="OXR48" s="66"/>
      <c r="OXS48" s="66"/>
      <c r="OXT48" s="66"/>
      <c r="OXU48" s="66"/>
      <c r="OXV48" s="66"/>
      <c r="OXW48" s="66"/>
      <c r="OXX48" s="66"/>
      <c r="OXY48" s="66"/>
      <c r="OXZ48" s="66"/>
      <c r="OYA48" s="66"/>
      <c r="OYB48" s="66"/>
      <c r="OYC48" s="66"/>
      <c r="OYD48" s="66"/>
      <c r="OYE48" s="66"/>
      <c r="OYF48" s="66"/>
      <c r="OYG48" s="66"/>
      <c r="OYH48" s="66"/>
      <c r="OYI48" s="66"/>
      <c r="OYJ48" s="66"/>
      <c r="OYK48" s="66"/>
      <c r="OYL48" s="66"/>
      <c r="OYM48" s="66"/>
      <c r="OYN48" s="66"/>
      <c r="OYO48" s="66"/>
      <c r="OYP48" s="66"/>
      <c r="OYQ48" s="66"/>
      <c r="OYR48" s="66"/>
      <c r="OYS48" s="66"/>
      <c r="OYT48" s="66"/>
      <c r="OYU48" s="66"/>
      <c r="OYV48" s="66"/>
      <c r="OYW48" s="66"/>
      <c r="OYX48" s="66"/>
      <c r="OYY48" s="66"/>
      <c r="OYZ48" s="66"/>
      <c r="OZA48" s="66"/>
      <c r="OZB48" s="66"/>
      <c r="OZC48" s="66"/>
      <c r="OZD48" s="66"/>
      <c r="OZE48" s="66"/>
      <c r="OZF48" s="66"/>
      <c r="OZG48" s="66"/>
      <c r="OZH48" s="66"/>
      <c r="OZI48" s="66"/>
      <c r="OZJ48" s="66"/>
      <c r="OZK48" s="66"/>
      <c r="OZL48" s="66"/>
      <c r="OZM48" s="66"/>
      <c r="OZN48" s="66"/>
      <c r="OZO48" s="66"/>
      <c r="OZP48" s="66"/>
      <c r="OZQ48" s="66"/>
      <c r="OZR48" s="66"/>
      <c r="OZS48" s="66"/>
      <c r="OZT48" s="66"/>
      <c r="OZU48" s="66"/>
      <c r="OZV48" s="66"/>
      <c r="OZW48" s="66"/>
      <c r="OZX48" s="66"/>
      <c r="OZY48" s="66"/>
      <c r="OZZ48" s="66"/>
      <c r="PAA48" s="66"/>
      <c r="PAB48" s="66"/>
      <c r="PAC48" s="66"/>
      <c r="PAD48" s="66"/>
      <c r="PAE48" s="66"/>
      <c r="PAF48" s="66"/>
      <c r="PAG48" s="66"/>
      <c r="PAH48" s="66"/>
      <c r="PAI48" s="66"/>
      <c r="PAJ48" s="66"/>
      <c r="PAK48" s="66"/>
      <c r="PAL48" s="66"/>
      <c r="PAM48" s="66"/>
      <c r="PAN48" s="66"/>
      <c r="PAO48" s="66"/>
      <c r="PAP48" s="66"/>
      <c r="PAQ48" s="66"/>
      <c r="PAR48" s="66"/>
      <c r="PAS48" s="66"/>
      <c r="PAT48" s="66"/>
      <c r="PAU48" s="66"/>
      <c r="PAV48" s="66"/>
      <c r="PAW48" s="66"/>
      <c r="PAX48" s="66"/>
      <c r="PAY48" s="66"/>
      <c r="PAZ48" s="66"/>
      <c r="PBA48" s="66"/>
      <c r="PBB48" s="66"/>
      <c r="PBC48" s="66"/>
      <c r="PBD48" s="66"/>
      <c r="PBE48" s="66"/>
      <c r="PBF48" s="66"/>
      <c r="PBG48" s="66"/>
      <c r="PBH48" s="66"/>
      <c r="PBI48" s="66"/>
      <c r="PBJ48" s="66"/>
      <c r="PBK48" s="66"/>
      <c r="PBL48" s="66"/>
      <c r="PBM48" s="66"/>
      <c r="PBN48" s="66"/>
      <c r="PBO48" s="66"/>
      <c r="PBP48" s="66"/>
      <c r="PBQ48" s="66"/>
      <c r="PBR48" s="66"/>
      <c r="PBS48" s="66"/>
      <c r="PBT48" s="66"/>
      <c r="PBU48" s="66"/>
      <c r="PBV48" s="66"/>
      <c r="PBW48" s="66"/>
      <c r="PBX48" s="66"/>
      <c r="PBY48" s="66"/>
      <c r="PBZ48" s="66"/>
      <c r="PCA48" s="66"/>
      <c r="PCB48" s="66"/>
      <c r="PCC48" s="66"/>
      <c r="PCD48" s="66"/>
      <c r="PCE48" s="66"/>
      <c r="PCF48" s="66"/>
      <c r="PCG48" s="66"/>
      <c r="PCH48" s="66"/>
      <c r="PCI48" s="66"/>
      <c r="PCJ48" s="66"/>
      <c r="PCK48" s="66"/>
      <c r="PCL48" s="66"/>
      <c r="PCM48" s="66"/>
      <c r="PCN48" s="66"/>
      <c r="PCO48" s="66"/>
      <c r="PCP48" s="66"/>
      <c r="PCQ48" s="66"/>
      <c r="PCR48" s="66"/>
      <c r="PCS48" s="66"/>
      <c r="PCT48" s="66"/>
      <c r="PCU48" s="66"/>
      <c r="PCV48" s="66"/>
      <c r="PCW48" s="66"/>
      <c r="PCX48" s="66"/>
      <c r="PCY48" s="66"/>
      <c r="PCZ48" s="66"/>
      <c r="PDA48" s="66"/>
      <c r="PDB48" s="66"/>
      <c r="PDC48" s="66"/>
      <c r="PDD48" s="66"/>
      <c r="PDE48" s="66"/>
      <c r="PDF48" s="66"/>
      <c r="PDG48" s="66"/>
      <c r="PDH48" s="66"/>
      <c r="PDI48" s="66"/>
      <c r="PDJ48" s="66"/>
      <c r="PDK48" s="66"/>
      <c r="PDL48" s="66"/>
      <c r="PDM48" s="66"/>
      <c r="PDN48" s="66"/>
      <c r="PDO48" s="66"/>
      <c r="PDP48" s="66"/>
      <c r="PDQ48" s="66"/>
      <c r="PDR48" s="66"/>
      <c r="PDS48" s="66"/>
      <c r="PDT48" s="66"/>
      <c r="PDU48" s="66"/>
      <c r="PDV48" s="66"/>
      <c r="PDW48" s="66"/>
      <c r="PDX48" s="66"/>
      <c r="PDY48" s="66"/>
      <c r="PDZ48" s="66"/>
      <c r="PEA48" s="66"/>
      <c r="PEB48" s="66"/>
      <c r="PEC48" s="66"/>
      <c r="PED48" s="66"/>
      <c r="PEE48" s="66"/>
      <c r="PEF48" s="66"/>
      <c r="PEG48" s="66"/>
      <c r="PEH48" s="66"/>
      <c r="PEI48" s="66"/>
      <c r="PEJ48" s="66"/>
      <c r="PEK48" s="66"/>
      <c r="PEL48" s="66"/>
      <c r="PEM48" s="66"/>
      <c r="PEN48" s="66"/>
      <c r="PEO48" s="66"/>
      <c r="PEP48" s="66"/>
      <c r="PEQ48" s="66"/>
      <c r="PER48" s="66"/>
      <c r="PES48" s="66"/>
      <c r="PET48" s="66"/>
      <c r="PEU48" s="66"/>
      <c r="PEV48" s="66"/>
      <c r="PEW48" s="66"/>
      <c r="PEX48" s="66"/>
      <c r="PEY48" s="66"/>
      <c r="PEZ48" s="66"/>
      <c r="PFA48" s="66"/>
      <c r="PFB48" s="66"/>
      <c r="PFC48" s="66"/>
      <c r="PFD48" s="66"/>
      <c r="PFE48" s="66"/>
      <c r="PFF48" s="66"/>
      <c r="PFG48" s="66"/>
      <c r="PFH48" s="66"/>
      <c r="PFI48" s="66"/>
      <c r="PFJ48" s="66"/>
      <c r="PFK48" s="66"/>
      <c r="PFL48" s="66"/>
      <c r="PFM48" s="66"/>
      <c r="PFN48" s="66"/>
      <c r="PFO48" s="66"/>
      <c r="PFP48" s="66"/>
      <c r="PFQ48" s="66"/>
      <c r="PFR48" s="66"/>
      <c r="PFS48" s="66"/>
      <c r="PFT48" s="66"/>
      <c r="PFU48" s="66"/>
      <c r="PFV48" s="66"/>
      <c r="PFW48" s="66"/>
      <c r="PFX48" s="66"/>
      <c r="PFY48" s="66"/>
      <c r="PFZ48" s="66"/>
      <c r="PGA48" s="66"/>
      <c r="PGB48" s="66"/>
      <c r="PGC48" s="66"/>
      <c r="PGD48" s="66"/>
      <c r="PGE48" s="66"/>
      <c r="PGF48" s="66"/>
      <c r="PGG48" s="66"/>
      <c r="PGH48" s="66"/>
      <c r="PGI48" s="66"/>
      <c r="PGJ48" s="66"/>
      <c r="PGK48" s="66"/>
      <c r="PGL48" s="66"/>
      <c r="PGM48" s="66"/>
      <c r="PGN48" s="66"/>
      <c r="PGO48" s="66"/>
      <c r="PGP48" s="66"/>
      <c r="PGQ48" s="66"/>
      <c r="PGR48" s="66"/>
      <c r="PGS48" s="66"/>
      <c r="PGT48" s="66"/>
      <c r="PGU48" s="66"/>
      <c r="PGV48" s="66"/>
      <c r="PGW48" s="66"/>
      <c r="PGX48" s="66"/>
      <c r="PGY48" s="66"/>
      <c r="PGZ48" s="66"/>
      <c r="PHA48" s="66"/>
      <c r="PHB48" s="66"/>
      <c r="PHC48" s="66"/>
      <c r="PHD48" s="66"/>
      <c r="PHE48" s="66"/>
      <c r="PHF48" s="66"/>
      <c r="PHG48" s="66"/>
      <c r="PHH48" s="66"/>
      <c r="PHI48" s="66"/>
      <c r="PHJ48" s="66"/>
      <c r="PHK48" s="66"/>
      <c r="PHL48" s="66"/>
      <c r="PHM48" s="66"/>
      <c r="PHN48" s="66"/>
      <c r="PHO48" s="66"/>
      <c r="PHP48" s="66"/>
      <c r="PHQ48" s="66"/>
      <c r="PHR48" s="66"/>
      <c r="PHS48" s="66"/>
      <c r="PHT48" s="66"/>
      <c r="PHU48" s="66"/>
      <c r="PHV48" s="66"/>
      <c r="PHW48" s="66"/>
      <c r="PHX48" s="66"/>
      <c r="PHY48" s="66"/>
      <c r="PHZ48" s="66"/>
      <c r="PIA48" s="66"/>
      <c r="PIB48" s="66"/>
      <c r="PIC48" s="66"/>
      <c r="PID48" s="66"/>
      <c r="PIE48" s="66"/>
      <c r="PIF48" s="66"/>
      <c r="PIG48" s="66"/>
      <c r="PIH48" s="66"/>
      <c r="PII48" s="66"/>
      <c r="PIJ48" s="66"/>
      <c r="PIK48" s="66"/>
      <c r="PIL48" s="66"/>
      <c r="PIM48" s="66"/>
      <c r="PIN48" s="66"/>
      <c r="PIO48" s="66"/>
      <c r="PIP48" s="66"/>
      <c r="PIQ48" s="66"/>
      <c r="PIR48" s="66"/>
      <c r="PIS48" s="66"/>
      <c r="PIT48" s="66"/>
      <c r="PIU48" s="66"/>
      <c r="PIV48" s="66"/>
      <c r="PIW48" s="66"/>
      <c r="PIX48" s="66"/>
      <c r="PIY48" s="66"/>
      <c r="PIZ48" s="66"/>
      <c r="PJA48" s="66"/>
      <c r="PJB48" s="66"/>
      <c r="PJC48" s="66"/>
      <c r="PJD48" s="66"/>
      <c r="PJE48" s="66"/>
      <c r="PJF48" s="66"/>
      <c r="PJG48" s="66"/>
      <c r="PJH48" s="66"/>
      <c r="PJI48" s="66"/>
      <c r="PJJ48" s="66"/>
      <c r="PJK48" s="66"/>
      <c r="PJL48" s="66"/>
      <c r="PJM48" s="66"/>
      <c r="PJN48" s="66"/>
      <c r="PJO48" s="66"/>
      <c r="PJP48" s="66"/>
      <c r="PJQ48" s="66"/>
      <c r="PJR48" s="66"/>
      <c r="PJS48" s="66"/>
      <c r="PJT48" s="66"/>
      <c r="PJU48" s="66"/>
      <c r="PJV48" s="66"/>
      <c r="PJW48" s="66"/>
      <c r="PJX48" s="66"/>
      <c r="PJY48" s="66"/>
      <c r="PJZ48" s="66"/>
      <c r="PKA48" s="66"/>
      <c r="PKB48" s="66"/>
      <c r="PKC48" s="66"/>
      <c r="PKD48" s="66"/>
      <c r="PKE48" s="66"/>
      <c r="PKF48" s="66"/>
      <c r="PKG48" s="66"/>
      <c r="PKH48" s="66"/>
      <c r="PKI48" s="66"/>
      <c r="PKJ48" s="66"/>
      <c r="PKK48" s="66"/>
      <c r="PKL48" s="66"/>
      <c r="PKM48" s="66"/>
      <c r="PKN48" s="66"/>
      <c r="PKO48" s="66"/>
      <c r="PKP48" s="66"/>
      <c r="PKQ48" s="66"/>
      <c r="PKR48" s="66"/>
      <c r="PKS48" s="66"/>
      <c r="PKT48" s="66"/>
      <c r="PKU48" s="66"/>
      <c r="PKV48" s="66"/>
      <c r="PKW48" s="66"/>
      <c r="PKX48" s="66"/>
      <c r="PKY48" s="66"/>
      <c r="PKZ48" s="66"/>
      <c r="PLA48" s="66"/>
      <c r="PLB48" s="66"/>
      <c r="PLC48" s="66"/>
      <c r="PLD48" s="66"/>
      <c r="PLE48" s="66"/>
      <c r="PLF48" s="66"/>
      <c r="PLG48" s="66"/>
      <c r="PLH48" s="66"/>
      <c r="PLI48" s="66"/>
      <c r="PLJ48" s="66"/>
      <c r="PLK48" s="66"/>
      <c r="PLL48" s="66"/>
      <c r="PLM48" s="66"/>
      <c r="PLN48" s="66"/>
      <c r="PLO48" s="66"/>
      <c r="PLP48" s="66"/>
      <c r="PLQ48" s="66"/>
      <c r="PLR48" s="66"/>
      <c r="PLS48" s="66"/>
      <c r="PLT48" s="66"/>
      <c r="PLU48" s="66"/>
      <c r="PLV48" s="66"/>
      <c r="PLW48" s="66"/>
      <c r="PLX48" s="66"/>
      <c r="PLY48" s="66"/>
      <c r="PLZ48" s="66"/>
      <c r="PMA48" s="66"/>
      <c r="PMB48" s="66"/>
      <c r="PMC48" s="66"/>
      <c r="PMD48" s="66"/>
      <c r="PME48" s="66"/>
      <c r="PMF48" s="66"/>
      <c r="PMG48" s="66"/>
      <c r="PMH48" s="66"/>
      <c r="PMI48" s="66"/>
      <c r="PMJ48" s="66"/>
      <c r="PMK48" s="66"/>
      <c r="PML48" s="66"/>
      <c r="PMM48" s="66"/>
      <c r="PMN48" s="66"/>
      <c r="PMO48" s="66"/>
      <c r="PMP48" s="66"/>
      <c r="PMQ48" s="66"/>
      <c r="PMR48" s="66"/>
      <c r="PMS48" s="66"/>
      <c r="PMT48" s="66"/>
      <c r="PMU48" s="66"/>
      <c r="PMV48" s="66"/>
      <c r="PMW48" s="66"/>
      <c r="PMX48" s="66"/>
      <c r="PMY48" s="66"/>
      <c r="PMZ48" s="66"/>
      <c r="PNA48" s="66"/>
      <c r="PNB48" s="66"/>
      <c r="PNC48" s="66"/>
      <c r="PND48" s="66"/>
      <c r="PNE48" s="66"/>
      <c r="PNF48" s="66"/>
      <c r="PNG48" s="66"/>
      <c r="PNH48" s="66"/>
      <c r="PNI48" s="66"/>
      <c r="PNJ48" s="66"/>
      <c r="PNK48" s="66"/>
      <c r="PNL48" s="66"/>
      <c r="PNM48" s="66"/>
      <c r="PNN48" s="66"/>
      <c r="PNO48" s="66"/>
      <c r="PNP48" s="66"/>
      <c r="PNQ48" s="66"/>
      <c r="PNR48" s="66"/>
      <c r="PNS48" s="66"/>
      <c r="PNT48" s="66"/>
      <c r="PNU48" s="66"/>
      <c r="PNV48" s="66"/>
      <c r="PNW48" s="66"/>
      <c r="PNX48" s="66"/>
      <c r="PNY48" s="66"/>
      <c r="PNZ48" s="66"/>
      <c r="POA48" s="66"/>
      <c r="POB48" s="66"/>
      <c r="POC48" s="66"/>
      <c r="POD48" s="66"/>
      <c r="POE48" s="66"/>
      <c r="POF48" s="66"/>
      <c r="POG48" s="66"/>
      <c r="POH48" s="66"/>
      <c r="POI48" s="66"/>
      <c r="POJ48" s="66"/>
      <c r="POK48" s="66"/>
      <c r="POL48" s="66"/>
      <c r="POM48" s="66"/>
      <c r="PON48" s="66"/>
      <c r="POO48" s="66"/>
      <c r="POP48" s="66"/>
      <c r="POQ48" s="66"/>
      <c r="POR48" s="66"/>
      <c r="POS48" s="66"/>
      <c r="POT48" s="66"/>
      <c r="POU48" s="66"/>
      <c r="POV48" s="66"/>
      <c r="POW48" s="66"/>
      <c r="POX48" s="66"/>
      <c r="POY48" s="66"/>
      <c r="POZ48" s="66"/>
      <c r="PPA48" s="66"/>
      <c r="PPB48" s="66"/>
      <c r="PPC48" s="66"/>
      <c r="PPD48" s="66"/>
      <c r="PPE48" s="66"/>
      <c r="PPF48" s="66"/>
      <c r="PPG48" s="66"/>
      <c r="PPH48" s="66"/>
      <c r="PPI48" s="66"/>
      <c r="PPJ48" s="66"/>
      <c r="PPK48" s="66"/>
      <c r="PPL48" s="66"/>
      <c r="PPM48" s="66"/>
      <c r="PPN48" s="66"/>
      <c r="PPO48" s="66"/>
      <c r="PPP48" s="66"/>
      <c r="PPQ48" s="66"/>
      <c r="PPR48" s="66"/>
      <c r="PPS48" s="66"/>
      <c r="PPT48" s="66"/>
      <c r="PPU48" s="66"/>
      <c r="PPV48" s="66"/>
      <c r="PPW48" s="66"/>
      <c r="PPX48" s="66"/>
      <c r="PPY48" s="66"/>
      <c r="PPZ48" s="66"/>
      <c r="PQA48" s="66"/>
      <c r="PQB48" s="66"/>
      <c r="PQC48" s="66"/>
      <c r="PQD48" s="66"/>
      <c r="PQE48" s="66"/>
      <c r="PQF48" s="66"/>
      <c r="PQG48" s="66"/>
      <c r="PQH48" s="66"/>
      <c r="PQI48" s="66"/>
      <c r="PQJ48" s="66"/>
      <c r="PQK48" s="66"/>
      <c r="PQL48" s="66"/>
      <c r="PQM48" s="66"/>
      <c r="PQN48" s="66"/>
      <c r="PQO48" s="66"/>
      <c r="PQP48" s="66"/>
      <c r="PQQ48" s="66"/>
      <c r="PQR48" s="66"/>
      <c r="PQS48" s="66"/>
      <c r="PQT48" s="66"/>
      <c r="PQU48" s="66"/>
      <c r="PQV48" s="66"/>
      <c r="PQW48" s="66"/>
      <c r="PQX48" s="66"/>
      <c r="PQY48" s="66"/>
      <c r="PQZ48" s="66"/>
      <c r="PRA48" s="66"/>
      <c r="PRB48" s="66"/>
      <c r="PRC48" s="66"/>
      <c r="PRD48" s="66"/>
      <c r="PRE48" s="66"/>
      <c r="PRF48" s="66"/>
      <c r="PRG48" s="66"/>
      <c r="PRH48" s="66"/>
      <c r="PRI48" s="66"/>
      <c r="PRJ48" s="66"/>
      <c r="PRK48" s="66"/>
      <c r="PRL48" s="66"/>
      <c r="PRM48" s="66"/>
      <c r="PRN48" s="66"/>
      <c r="PRO48" s="66"/>
      <c r="PRP48" s="66"/>
      <c r="PRQ48" s="66"/>
      <c r="PRR48" s="66"/>
      <c r="PRS48" s="66"/>
      <c r="PRT48" s="66"/>
      <c r="PRU48" s="66"/>
      <c r="PRV48" s="66"/>
      <c r="PRW48" s="66"/>
      <c r="PRX48" s="66"/>
      <c r="PRY48" s="66"/>
      <c r="PRZ48" s="66"/>
      <c r="PSA48" s="66"/>
      <c r="PSB48" s="66"/>
      <c r="PSC48" s="66"/>
      <c r="PSD48" s="66"/>
      <c r="PSE48" s="66"/>
      <c r="PSF48" s="66"/>
      <c r="PSG48" s="66"/>
      <c r="PSH48" s="66"/>
      <c r="PSI48" s="66"/>
      <c r="PSJ48" s="66"/>
      <c r="PSK48" s="66"/>
      <c r="PSL48" s="66"/>
      <c r="PSM48" s="66"/>
      <c r="PSN48" s="66"/>
      <c r="PSO48" s="66"/>
      <c r="PSP48" s="66"/>
      <c r="PSQ48" s="66"/>
      <c r="PSR48" s="66"/>
      <c r="PSS48" s="66"/>
      <c r="PST48" s="66"/>
      <c r="PSU48" s="66"/>
      <c r="PSV48" s="66"/>
      <c r="PSW48" s="66"/>
      <c r="PSX48" s="66"/>
      <c r="PSY48" s="66"/>
      <c r="PSZ48" s="66"/>
      <c r="PTA48" s="66"/>
      <c r="PTB48" s="66"/>
      <c r="PTC48" s="66"/>
      <c r="PTD48" s="66"/>
      <c r="PTE48" s="66"/>
      <c r="PTF48" s="66"/>
      <c r="PTG48" s="66"/>
      <c r="PTH48" s="66"/>
      <c r="PTI48" s="66"/>
      <c r="PTJ48" s="66"/>
      <c r="PTK48" s="66"/>
      <c r="PTL48" s="66"/>
      <c r="PTM48" s="66"/>
      <c r="PTN48" s="66"/>
      <c r="PTO48" s="66"/>
      <c r="PTP48" s="66"/>
      <c r="PTQ48" s="66"/>
      <c r="PTR48" s="66"/>
      <c r="PTS48" s="66"/>
      <c r="PTT48" s="66"/>
      <c r="PTU48" s="66"/>
      <c r="PTV48" s="66"/>
      <c r="PTW48" s="66"/>
      <c r="PTX48" s="66"/>
      <c r="PTY48" s="66"/>
      <c r="PTZ48" s="66"/>
      <c r="PUA48" s="66"/>
      <c r="PUB48" s="66"/>
      <c r="PUC48" s="66"/>
      <c r="PUD48" s="66"/>
      <c r="PUE48" s="66"/>
      <c r="PUF48" s="66"/>
      <c r="PUG48" s="66"/>
      <c r="PUH48" s="66"/>
      <c r="PUI48" s="66"/>
      <c r="PUJ48" s="66"/>
      <c r="PUK48" s="66"/>
      <c r="PUL48" s="66"/>
      <c r="PUM48" s="66"/>
      <c r="PUN48" s="66"/>
      <c r="PUO48" s="66"/>
      <c r="PUP48" s="66"/>
      <c r="PUQ48" s="66"/>
      <c r="PUR48" s="66"/>
      <c r="PUS48" s="66"/>
      <c r="PUT48" s="66"/>
      <c r="PUU48" s="66"/>
      <c r="PUV48" s="66"/>
      <c r="PUW48" s="66"/>
      <c r="PUX48" s="66"/>
      <c r="PUY48" s="66"/>
      <c r="PUZ48" s="66"/>
      <c r="PVA48" s="66"/>
      <c r="PVB48" s="66"/>
      <c r="PVC48" s="66"/>
      <c r="PVD48" s="66"/>
      <c r="PVE48" s="66"/>
      <c r="PVF48" s="66"/>
      <c r="PVG48" s="66"/>
      <c r="PVH48" s="66"/>
      <c r="PVI48" s="66"/>
      <c r="PVJ48" s="66"/>
      <c r="PVK48" s="66"/>
      <c r="PVL48" s="66"/>
      <c r="PVM48" s="66"/>
      <c r="PVN48" s="66"/>
      <c r="PVO48" s="66"/>
      <c r="PVP48" s="66"/>
      <c r="PVQ48" s="66"/>
      <c r="PVR48" s="66"/>
      <c r="PVS48" s="66"/>
      <c r="PVT48" s="66"/>
      <c r="PVU48" s="66"/>
      <c r="PVV48" s="66"/>
      <c r="PVW48" s="66"/>
      <c r="PVX48" s="66"/>
      <c r="PVY48" s="66"/>
      <c r="PVZ48" s="66"/>
      <c r="PWA48" s="66"/>
      <c r="PWB48" s="66"/>
      <c r="PWC48" s="66"/>
      <c r="PWD48" s="66"/>
      <c r="PWE48" s="66"/>
      <c r="PWF48" s="66"/>
      <c r="PWG48" s="66"/>
      <c r="PWH48" s="66"/>
      <c r="PWI48" s="66"/>
      <c r="PWJ48" s="66"/>
      <c r="PWK48" s="66"/>
      <c r="PWL48" s="66"/>
      <c r="PWM48" s="66"/>
      <c r="PWN48" s="66"/>
      <c r="PWO48" s="66"/>
      <c r="PWP48" s="66"/>
      <c r="PWQ48" s="66"/>
      <c r="PWR48" s="66"/>
      <c r="PWS48" s="66"/>
      <c r="PWT48" s="66"/>
      <c r="PWU48" s="66"/>
      <c r="PWV48" s="66"/>
      <c r="PWW48" s="66"/>
      <c r="PWX48" s="66"/>
      <c r="PWY48" s="66"/>
      <c r="PWZ48" s="66"/>
      <c r="PXA48" s="66"/>
      <c r="PXB48" s="66"/>
      <c r="PXC48" s="66"/>
      <c r="PXD48" s="66"/>
      <c r="PXE48" s="66"/>
      <c r="PXF48" s="66"/>
      <c r="PXG48" s="66"/>
      <c r="PXH48" s="66"/>
      <c r="PXI48" s="66"/>
      <c r="PXJ48" s="66"/>
      <c r="PXK48" s="66"/>
      <c r="PXL48" s="66"/>
      <c r="PXM48" s="66"/>
      <c r="PXN48" s="66"/>
      <c r="PXO48" s="66"/>
      <c r="PXP48" s="66"/>
      <c r="PXQ48" s="66"/>
      <c r="PXR48" s="66"/>
      <c r="PXS48" s="66"/>
      <c r="PXT48" s="66"/>
      <c r="PXU48" s="66"/>
      <c r="PXV48" s="66"/>
      <c r="PXW48" s="66"/>
      <c r="PXX48" s="66"/>
      <c r="PXY48" s="66"/>
      <c r="PXZ48" s="66"/>
      <c r="PYA48" s="66"/>
      <c r="PYB48" s="66"/>
      <c r="PYC48" s="66"/>
      <c r="PYD48" s="66"/>
      <c r="PYE48" s="66"/>
      <c r="PYF48" s="66"/>
      <c r="PYG48" s="66"/>
      <c r="PYH48" s="66"/>
      <c r="PYI48" s="66"/>
      <c r="PYJ48" s="66"/>
      <c r="PYK48" s="66"/>
      <c r="PYL48" s="66"/>
      <c r="PYM48" s="66"/>
      <c r="PYN48" s="66"/>
      <c r="PYO48" s="66"/>
      <c r="PYP48" s="66"/>
      <c r="PYQ48" s="66"/>
      <c r="PYR48" s="66"/>
      <c r="PYS48" s="66"/>
      <c r="PYT48" s="66"/>
      <c r="PYU48" s="66"/>
      <c r="PYV48" s="66"/>
      <c r="PYW48" s="66"/>
      <c r="PYX48" s="66"/>
      <c r="PYY48" s="66"/>
      <c r="PYZ48" s="66"/>
      <c r="PZA48" s="66"/>
      <c r="PZB48" s="66"/>
      <c r="PZC48" s="66"/>
      <c r="PZD48" s="66"/>
      <c r="PZE48" s="66"/>
      <c r="PZF48" s="66"/>
      <c r="PZG48" s="66"/>
      <c r="PZH48" s="66"/>
      <c r="PZI48" s="66"/>
      <c r="PZJ48" s="66"/>
      <c r="PZK48" s="66"/>
      <c r="PZL48" s="66"/>
      <c r="PZM48" s="66"/>
      <c r="PZN48" s="66"/>
      <c r="PZO48" s="66"/>
      <c r="PZP48" s="66"/>
      <c r="PZQ48" s="66"/>
      <c r="PZR48" s="66"/>
      <c r="PZS48" s="66"/>
      <c r="PZT48" s="66"/>
      <c r="PZU48" s="66"/>
      <c r="PZV48" s="66"/>
      <c r="PZW48" s="66"/>
      <c r="PZX48" s="66"/>
      <c r="PZY48" s="66"/>
      <c r="PZZ48" s="66"/>
      <c r="QAA48" s="66"/>
      <c r="QAB48" s="66"/>
      <c r="QAC48" s="66"/>
      <c r="QAD48" s="66"/>
      <c r="QAE48" s="66"/>
      <c r="QAF48" s="66"/>
      <c r="QAG48" s="66"/>
      <c r="QAH48" s="66"/>
      <c r="QAI48" s="66"/>
      <c r="QAJ48" s="66"/>
      <c r="QAK48" s="66"/>
      <c r="QAL48" s="66"/>
      <c r="QAM48" s="66"/>
      <c r="QAN48" s="66"/>
      <c r="QAO48" s="66"/>
      <c r="QAP48" s="66"/>
      <c r="QAQ48" s="66"/>
      <c r="QAR48" s="66"/>
      <c r="QAS48" s="66"/>
      <c r="QAT48" s="66"/>
      <c r="QAU48" s="66"/>
      <c r="QAV48" s="66"/>
      <c r="QAW48" s="66"/>
      <c r="QAX48" s="66"/>
      <c r="QAY48" s="66"/>
      <c r="QAZ48" s="66"/>
      <c r="QBA48" s="66"/>
      <c r="QBB48" s="66"/>
      <c r="QBC48" s="66"/>
      <c r="QBD48" s="66"/>
      <c r="QBE48" s="66"/>
      <c r="QBF48" s="66"/>
      <c r="QBG48" s="66"/>
      <c r="QBH48" s="66"/>
      <c r="QBI48" s="66"/>
      <c r="QBJ48" s="66"/>
      <c r="QBK48" s="66"/>
      <c r="QBL48" s="66"/>
      <c r="QBM48" s="66"/>
      <c r="QBN48" s="66"/>
      <c r="QBO48" s="66"/>
      <c r="QBP48" s="66"/>
      <c r="QBQ48" s="66"/>
      <c r="QBR48" s="66"/>
      <c r="QBS48" s="66"/>
      <c r="QBT48" s="66"/>
      <c r="QBU48" s="66"/>
      <c r="QBV48" s="66"/>
      <c r="QBW48" s="66"/>
      <c r="QBX48" s="66"/>
      <c r="QBY48" s="66"/>
      <c r="QBZ48" s="66"/>
      <c r="QCA48" s="66"/>
      <c r="QCB48" s="66"/>
      <c r="QCC48" s="66"/>
      <c r="QCD48" s="66"/>
      <c r="QCE48" s="66"/>
      <c r="QCF48" s="66"/>
      <c r="QCG48" s="66"/>
      <c r="QCH48" s="66"/>
      <c r="QCI48" s="66"/>
      <c r="QCJ48" s="66"/>
      <c r="QCK48" s="66"/>
      <c r="QCL48" s="66"/>
      <c r="QCM48" s="66"/>
      <c r="QCN48" s="66"/>
      <c r="QCO48" s="66"/>
      <c r="QCP48" s="66"/>
      <c r="QCQ48" s="66"/>
      <c r="QCR48" s="66"/>
      <c r="QCS48" s="66"/>
      <c r="QCT48" s="66"/>
      <c r="QCU48" s="66"/>
      <c r="QCV48" s="66"/>
      <c r="QCW48" s="66"/>
      <c r="QCX48" s="66"/>
      <c r="QCY48" s="66"/>
      <c r="QCZ48" s="66"/>
      <c r="QDA48" s="66"/>
      <c r="QDB48" s="66"/>
      <c r="QDC48" s="66"/>
      <c r="QDD48" s="66"/>
      <c r="QDE48" s="66"/>
      <c r="QDF48" s="66"/>
      <c r="QDG48" s="66"/>
      <c r="QDH48" s="66"/>
      <c r="QDI48" s="66"/>
      <c r="QDJ48" s="66"/>
      <c r="QDK48" s="66"/>
      <c r="QDL48" s="66"/>
      <c r="QDM48" s="66"/>
      <c r="QDN48" s="66"/>
      <c r="QDO48" s="66"/>
      <c r="QDP48" s="66"/>
      <c r="QDQ48" s="66"/>
      <c r="QDR48" s="66"/>
      <c r="QDS48" s="66"/>
      <c r="QDT48" s="66"/>
      <c r="QDU48" s="66"/>
      <c r="QDV48" s="66"/>
      <c r="QDW48" s="66"/>
      <c r="QDX48" s="66"/>
      <c r="QDY48" s="66"/>
      <c r="QDZ48" s="66"/>
      <c r="QEA48" s="66"/>
      <c r="QEB48" s="66"/>
      <c r="QEC48" s="66"/>
      <c r="QED48" s="66"/>
      <c r="QEE48" s="66"/>
      <c r="QEF48" s="66"/>
      <c r="QEG48" s="66"/>
      <c r="QEH48" s="66"/>
      <c r="QEI48" s="66"/>
      <c r="QEJ48" s="66"/>
      <c r="QEK48" s="66"/>
      <c r="QEL48" s="66"/>
      <c r="QEM48" s="66"/>
      <c r="QEN48" s="66"/>
      <c r="QEO48" s="66"/>
      <c r="QEP48" s="66"/>
      <c r="QEQ48" s="66"/>
      <c r="QER48" s="66"/>
      <c r="QES48" s="66"/>
      <c r="QET48" s="66"/>
      <c r="QEU48" s="66"/>
      <c r="QEV48" s="66"/>
      <c r="QEW48" s="66"/>
      <c r="QEX48" s="66"/>
      <c r="QEY48" s="66"/>
      <c r="QEZ48" s="66"/>
      <c r="QFA48" s="66"/>
      <c r="QFB48" s="66"/>
      <c r="QFC48" s="66"/>
      <c r="QFD48" s="66"/>
      <c r="QFE48" s="66"/>
      <c r="QFF48" s="66"/>
      <c r="QFG48" s="66"/>
      <c r="QFH48" s="66"/>
      <c r="QFI48" s="66"/>
      <c r="QFJ48" s="66"/>
      <c r="QFK48" s="66"/>
      <c r="QFL48" s="66"/>
      <c r="QFM48" s="66"/>
      <c r="QFN48" s="66"/>
      <c r="QFO48" s="66"/>
      <c r="QFP48" s="66"/>
      <c r="QFQ48" s="66"/>
      <c r="QFR48" s="66"/>
      <c r="QFS48" s="66"/>
      <c r="QFT48" s="66"/>
      <c r="QFU48" s="66"/>
      <c r="QFV48" s="66"/>
      <c r="QFW48" s="66"/>
      <c r="QFX48" s="66"/>
      <c r="QFY48" s="66"/>
      <c r="QFZ48" s="66"/>
      <c r="QGA48" s="66"/>
      <c r="QGB48" s="66"/>
      <c r="QGC48" s="66"/>
      <c r="QGD48" s="66"/>
      <c r="QGE48" s="66"/>
      <c r="QGF48" s="66"/>
      <c r="QGG48" s="66"/>
      <c r="QGH48" s="66"/>
      <c r="QGI48" s="66"/>
      <c r="QGJ48" s="66"/>
      <c r="QGK48" s="66"/>
      <c r="QGL48" s="66"/>
      <c r="QGM48" s="66"/>
      <c r="QGN48" s="66"/>
      <c r="QGO48" s="66"/>
      <c r="QGP48" s="66"/>
      <c r="QGQ48" s="66"/>
      <c r="QGR48" s="66"/>
      <c r="QGS48" s="66"/>
      <c r="QGT48" s="66"/>
      <c r="QGU48" s="66"/>
      <c r="QGV48" s="66"/>
      <c r="QGW48" s="66"/>
      <c r="QGX48" s="66"/>
      <c r="QGY48" s="66"/>
      <c r="QGZ48" s="66"/>
      <c r="QHA48" s="66"/>
      <c r="QHB48" s="66"/>
      <c r="QHC48" s="66"/>
      <c r="QHD48" s="66"/>
      <c r="QHE48" s="66"/>
      <c r="QHF48" s="66"/>
      <c r="QHG48" s="66"/>
      <c r="QHH48" s="66"/>
      <c r="QHI48" s="66"/>
      <c r="QHJ48" s="66"/>
      <c r="QHK48" s="66"/>
      <c r="QHL48" s="66"/>
      <c r="QHM48" s="66"/>
      <c r="QHN48" s="66"/>
      <c r="QHO48" s="66"/>
      <c r="QHP48" s="66"/>
      <c r="QHQ48" s="66"/>
      <c r="QHR48" s="66"/>
      <c r="QHS48" s="66"/>
      <c r="QHT48" s="66"/>
      <c r="QHU48" s="66"/>
      <c r="QHV48" s="66"/>
      <c r="QHW48" s="66"/>
      <c r="QHX48" s="66"/>
      <c r="QHY48" s="66"/>
      <c r="QHZ48" s="66"/>
      <c r="QIA48" s="66"/>
      <c r="QIB48" s="66"/>
      <c r="QIC48" s="66"/>
      <c r="QID48" s="66"/>
      <c r="QIE48" s="66"/>
      <c r="QIF48" s="66"/>
      <c r="QIG48" s="66"/>
      <c r="QIH48" s="66"/>
      <c r="QII48" s="66"/>
      <c r="QIJ48" s="66"/>
      <c r="QIK48" s="66"/>
      <c r="QIL48" s="66"/>
      <c r="QIM48" s="66"/>
      <c r="QIN48" s="66"/>
      <c r="QIO48" s="66"/>
      <c r="QIP48" s="66"/>
      <c r="QIQ48" s="66"/>
      <c r="QIR48" s="66"/>
      <c r="QIS48" s="66"/>
      <c r="QIT48" s="66"/>
      <c r="QIU48" s="66"/>
      <c r="QIV48" s="66"/>
      <c r="QIW48" s="66"/>
      <c r="QIX48" s="66"/>
      <c r="QIY48" s="66"/>
      <c r="QIZ48" s="66"/>
      <c r="QJA48" s="66"/>
      <c r="QJB48" s="66"/>
      <c r="QJC48" s="66"/>
      <c r="QJD48" s="66"/>
      <c r="QJE48" s="66"/>
      <c r="QJF48" s="66"/>
      <c r="QJG48" s="66"/>
      <c r="QJH48" s="66"/>
      <c r="QJI48" s="66"/>
      <c r="QJJ48" s="66"/>
      <c r="QJK48" s="66"/>
      <c r="QJL48" s="66"/>
      <c r="QJM48" s="66"/>
      <c r="QJN48" s="66"/>
      <c r="QJO48" s="66"/>
      <c r="QJP48" s="66"/>
      <c r="QJQ48" s="66"/>
      <c r="QJR48" s="66"/>
      <c r="QJS48" s="66"/>
      <c r="QJT48" s="66"/>
      <c r="QJU48" s="66"/>
      <c r="QJV48" s="66"/>
      <c r="QJW48" s="66"/>
      <c r="QJX48" s="66"/>
      <c r="QJY48" s="66"/>
      <c r="QJZ48" s="66"/>
      <c r="QKA48" s="66"/>
      <c r="QKB48" s="66"/>
      <c r="QKC48" s="66"/>
      <c r="QKD48" s="66"/>
      <c r="QKE48" s="66"/>
      <c r="QKF48" s="66"/>
      <c r="QKG48" s="66"/>
      <c r="QKH48" s="66"/>
      <c r="QKI48" s="66"/>
      <c r="QKJ48" s="66"/>
      <c r="QKK48" s="66"/>
      <c r="QKL48" s="66"/>
      <c r="QKM48" s="66"/>
      <c r="QKN48" s="66"/>
      <c r="QKO48" s="66"/>
      <c r="QKP48" s="66"/>
      <c r="QKQ48" s="66"/>
      <c r="QKR48" s="66"/>
      <c r="QKS48" s="66"/>
      <c r="QKT48" s="66"/>
      <c r="QKU48" s="66"/>
      <c r="QKV48" s="66"/>
      <c r="QKW48" s="66"/>
      <c r="QKX48" s="66"/>
      <c r="QKY48" s="66"/>
      <c r="QKZ48" s="66"/>
      <c r="QLA48" s="66"/>
      <c r="QLB48" s="66"/>
      <c r="QLC48" s="66"/>
      <c r="QLD48" s="66"/>
      <c r="QLE48" s="66"/>
      <c r="QLF48" s="66"/>
      <c r="QLG48" s="66"/>
      <c r="QLH48" s="66"/>
      <c r="QLI48" s="66"/>
      <c r="QLJ48" s="66"/>
      <c r="QLK48" s="66"/>
      <c r="QLL48" s="66"/>
      <c r="QLM48" s="66"/>
      <c r="QLN48" s="66"/>
      <c r="QLO48" s="66"/>
      <c r="QLP48" s="66"/>
      <c r="QLQ48" s="66"/>
      <c r="QLR48" s="66"/>
      <c r="QLS48" s="66"/>
      <c r="QLT48" s="66"/>
      <c r="QLU48" s="66"/>
      <c r="QLV48" s="66"/>
      <c r="QLW48" s="66"/>
      <c r="QLX48" s="66"/>
      <c r="QLY48" s="66"/>
      <c r="QLZ48" s="66"/>
      <c r="QMA48" s="66"/>
      <c r="QMB48" s="66"/>
      <c r="QMC48" s="66"/>
      <c r="QMD48" s="66"/>
      <c r="QME48" s="66"/>
      <c r="QMF48" s="66"/>
      <c r="QMG48" s="66"/>
      <c r="QMH48" s="66"/>
      <c r="QMI48" s="66"/>
      <c r="QMJ48" s="66"/>
      <c r="QMK48" s="66"/>
      <c r="QML48" s="66"/>
      <c r="QMM48" s="66"/>
      <c r="QMN48" s="66"/>
      <c r="QMO48" s="66"/>
      <c r="QMP48" s="66"/>
      <c r="QMQ48" s="66"/>
      <c r="QMR48" s="66"/>
      <c r="QMS48" s="66"/>
      <c r="QMT48" s="66"/>
      <c r="QMU48" s="66"/>
      <c r="QMV48" s="66"/>
      <c r="QMW48" s="66"/>
      <c r="QMX48" s="66"/>
      <c r="QMY48" s="66"/>
      <c r="QMZ48" s="66"/>
      <c r="QNA48" s="66"/>
      <c r="QNB48" s="66"/>
      <c r="QNC48" s="66"/>
      <c r="QND48" s="66"/>
      <c r="QNE48" s="66"/>
      <c r="QNF48" s="66"/>
      <c r="QNG48" s="66"/>
      <c r="QNH48" s="66"/>
      <c r="QNI48" s="66"/>
      <c r="QNJ48" s="66"/>
      <c r="QNK48" s="66"/>
      <c r="QNL48" s="66"/>
      <c r="QNM48" s="66"/>
      <c r="QNN48" s="66"/>
      <c r="QNO48" s="66"/>
      <c r="QNP48" s="66"/>
      <c r="QNQ48" s="66"/>
      <c r="QNR48" s="66"/>
      <c r="QNS48" s="66"/>
      <c r="QNT48" s="66"/>
      <c r="QNU48" s="66"/>
      <c r="QNV48" s="66"/>
      <c r="QNW48" s="66"/>
      <c r="QNX48" s="66"/>
      <c r="QNY48" s="66"/>
      <c r="QNZ48" s="66"/>
      <c r="QOA48" s="66"/>
      <c r="QOB48" s="66"/>
      <c r="QOC48" s="66"/>
      <c r="QOD48" s="66"/>
      <c r="QOE48" s="66"/>
      <c r="QOF48" s="66"/>
      <c r="QOG48" s="66"/>
      <c r="QOH48" s="66"/>
      <c r="QOI48" s="66"/>
      <c r="QOJ48" s="66"/>
      <c r="QOK48" s="66"/>
      <c r="QOL48" s="66"/>
      <c r="QOM48" s="66"/>
      <c r="QON48" s="66"/>
      <c r="QOO48" s="66"/>
      <c r="QOP48" s="66"/>
      <c r="QOQ48" s="66"/>
      <c r="QOR48" s="66"/>
      <c r="QOS48" s="66"/>
      <c r="QOT48" s="66"/>
      <c r="QOU48" s="66"/>
      <c r="QOV48" s="66"/>
      <c r="QOW48" s="66"/>
      <c r="QOX48" s="66"/>
      <c r="QOY48" s="66"/>
      <c r="QOZ48" s="66"/>
      <c r="QPA48" s="66"/>
      <c r="QPB48" s="66"/>
      <c r="QPC48" s="66"/>
      <c r="QPD48" s="66"/>
      <c r="QPE48" s="66"/>
      <c r="QPF48" s="66"/>
      <c r="QPG48" s="66"/>
      <c r="QPH48" s="66"/>
      <c r="QPI48" s="66"/>
      <c r="QPJ48" s="66"/>
      <c r="QPK48" s="66"/>
      <c r="QPL48" s="66"/>
      <c r="QPM48" s="66"/>
      <c r="QPN48" s="66"/>
      <c r="QPO48" s="66"/>
      <c r="QPP48" s="66"/>
      <c r="QPQ48" s="66"/>
      <c r="QPR48" s="66"/>
      <c r="QPS48" s="66"/>
      <c r="QPT48" s="66"/>
      <c r="QPU48" s="66"/>
      <c r="QPV48" s="66"/>
      <c r="QPW48" s="66"/>
      <c r="QPX48" s="66"/>
      <c r="QPY48" s="66"/>
      <c r="QPZ48" s="66"/>
      <c r="QQA48" s="66"/>
      <c r="QQB48" s="66"/>
      <c r="QQC48" s="66"/>
      <c r="QQD48" s="66"/>
      <c r="QQE48" s="66"/>
      <c r="QQF48" s="66"/>
      <c r="QQG48" s="66"/>
      <c r="QQH48" s="66"/>
      <c r="QQI48" s="66"/>
      <c r="QQJ48" s="66"/>
      <c r="QQK48" s="66"/>
      <c r="QQL48" s="66"/>
      <c r="QQM48" s="66"/>
      <c r="QQN48" s="66"/>
      <c r="QQO48" s="66"/>
      <c r="QQP48" s="66"/>
      <c r="QQQ48" s="66"/>
      <c r="QQR48" s="66"/>
      <c r="QQS48" s="66"/>
      <c r="QQT48" s="66"/>
      <c r="QQU48" s="66"/>
      <c r="QQV48" s="66"/>
      <c r="QQW48" s="66"/>
      <c r="QQX48" s="66"/>
      <c r="QQY48" s="66"/>
      <c r="QQZ48" s="66"/>
      <c r="QRA48" s="66"/>
      <c r="QRB48" s="66"/>
      <c r="QRC48" s="66"/>
      <c r="QRD48" s="66"/>
      <c r="QRE48" s="66"/>
      <c r="QRF48" s="66"/>
      <c r="QRG48" s="66"/>
      <c r="QRH48" s="66"/>
      <c r="QRI48" s="66"/>
      <c r="QRJ48" s="66"/>
      <c r="QRK48" s="66"/>
      <c r="QRL48" s="66"/>
      <c r="QRM48" s="66"/>
      <c r="QRN48" s="66"/>
      <c r="QRO48" s="66"/>
      <c r="QRP48" s="66"/>
      <c r="QRQ48" s="66"/>
      <c r="QRR48" s="66"/>
      <c r="QRS48" s="66"/>
      <c r="QRT48" s="66"/>
      <c r="QRU48" s="66"/>
      <c r="QRV48" s="66"/>
      <c r="QRW48" s="66"/>
      <c r="QRX48" s="66"/>
      <c r="QRY48" s="66"/>
      <c r="QRZ48" s="66"/>
      <c r="QSA48" s="66"/>
      <c r="QSB48" s="66"/>
      <c r="QSC48" s="66"/>
      <c r="QSD48" s="66"/>
      <c r="QSE48" s="66"/>
      <c r="QSF48" s="66"/>
      <c r="QSG48" s="66"/>
      <c r="QSH48" s="66"/>
      <c r="QSI48" s="66"/>
      <c r="QSJ48" s="66"/>
      <c r="QSK48" s="66"/>
      <c r="QSL48" s="66"/>
      <c r="QSM48" s="66"/>
      <c r="QSN48" s="66"/>
      <c r="QSO48" s="66"/>
      <c r="QSP48" s="66"/>
      <c r="QSQ48" s="66"/>
      <c r="QSR48" s="66"/>
      <c r="QSS48" s="66"/>
      <c r="QST48" s="66"/>
      <c r="QSU48" s="66"/>
      <c r="QSV48" s="66"/>
      <c r="QSW48" s="66"/>
      <c r="QSX48" s="66"/>
      <c r="QSY48" s="66"/>
      <c r="QSZ48" s="66"/>
      <c r="QTA48" s="66"/>
      <c r="QTB48" s="66"/>
      <c r="QTC48" s="66"/>
      <c r="QTD48" s="66"/>
      <c r="QTE48" s="66"/>
      <c r="QTF48" s="66"/>
      <c r="QTG48" s="66"/>
      <c r="QTH48" s="66"/>
      <c r="QTI48" s="66"/>
      <c r="QTJ48" s="66"/>
      <c r="QTK48" s="66"/>
      <c r="QTL48" s="66"/>
      <c r="QTM48" s="66"/>
      <c r="QTN48" s="66"/>
      <c r="QTO48" s="66"/>
      <c r="QTP48" s="66"/>
      <c r="QTQ48" s="66"/>
      <c r="QTR48" s="66"/>
      <c r="QTS48" s="66"/>
      <c r="QTT48" s="66"/>
      <c r="QTU48" s="66"/>
      <c r="QTV48" s="66"/>
      <c r="QTW48" s="66"/>
      <c r="QTX48" s="66"/>
      <c r="QTY48" s="66"/>
      <c r="QTZ48" s="66"/>
      <c r="QUA48" s="66"/>
      <c r="QUB48" s="66"/>
      <c r="QUC48" s="66"/>
      <c r="QUD48" s="66"/>
      <c r="QUE48" s="66"/>
      <c r="QUF48" s="66"/>
      <c r="QUG48" s="66"/>
      <c r="QUH48" s="66"/>
      <c r="QUI48" s="66"/>
      <c r="QUJ48" s="66"/>
      <c r="QUK48" s="66"/>
      <c r="QUL48" s="66"/>
      <c r="QUM48" s="66"/>
      <c r="QUN48" s="66"/>
      <c r="QUO48" s="66"/>
      <c r="QUP48" s="66"/>
      <c r="QUQ48" s="66"/>
      <c r="QUR48" s="66"/>
      <c r="QUS48" s="66"/>
      <c r="QUT48" s="66"/>
      <c r="QUU48" s="66"/>
      <c r="QUV48" s="66"/>
      <c r="QUW48" s="66"/>
      <c r="QUX48" s="66"/>
      <c r="QUY48" s="66"/>
      <c r="QUZ48" s="66"/>
      <c r="QVA48" s="66"/>
      <c r="QVB48" s="66"/>
      <c r="QVC48" s="66"/>
      <c r="QVD48" s="66"/>
      <c r="QVE48" s="66"/>
      <c r="QVF48" s="66"/>
      <c r="QVG48" s="66"/>
      <c r="QVH48" s="66"/>
      <c r="QVI48" s="66"/>
      <c r="QVJ48" s="66"/>
      <c r="QVK48" s="66"/>
      <c r="QVL48" s="66"/>
      <c r="QVM48" s="66"/>
      <c r="QVN48" s="66"/>
      <c r="QVO48" s="66"/>
      <c r="QVP48" s="66"/>
      <c r="QVQ48" s="66"/>
      <c r="QVR48" s="66"/>
      <c r="QVS48" s="66"/>
      <c r="QVT48" s="66"/>
      <c r="QVU48" s="66"/>
      <c r="QVV48" s="66"/>
      <c r="QVW48" s="66"/>
      <c r="QVX48" s="66"/>
      <c r="QVY48" s="66"/>
      <c r="QVZ48" s="66"/>
      <c r="QWA48" s="66"/>
      <c r="QWB48" s="66"/>
      <c r="QWC48" s="66"/>
      <c r="QWD48" s="66"/>
      <c r="QWE48" s="66"/>
      <c r="QWF48" s="66"/>
      <c r="QWG48" s="66"/>
      <c r="QWH48" s="66"/>
      <c r="QWI48" s="66"/>
      <c r="QWJ48" s="66"/>
      <c r="QWK48" s="66"/>
      <c r="QWL48" s="66"/>
      <c r="QWM48" s="66"/>
      <c r="QWN48" s="66"/>
      <c r="QWO48" s="66"/>
      <c r="QWP48" s="66"/>
      <c r="QWQ48" s="66"/>
      <c r="QWR48" s="66"/>
      <c r="QWS48" s="66"/>
      <c r="QWT48" s="66"/>
      <c r="QWU48" s="66"/>
      <c r="QWV48" s="66"/>
      <c r="QWW48" s="66"/>
      <c r="QWX48" s="66"/>
      <c r="QWY48" s="66"/>
      <c r="QWZ48" s="66"/>
      <c r="QXA48" s="66"/>
      <c r="QXB48" s="66"/>
      <c r="QXC48" s="66"/>
      <c r="QXD48" s="66"/>
      <c r="QXE48" s="66"/>
      <c r="QXF48" s="66"/>
      <c r="QXG48" s="66"/>
      <c r="QXH48" s="66"/>
      <c r="QXI48" s="66"/>
      <c r="QXJ48" s="66"/>
      <c r="QXK48" s="66"/>
      <c r="QXL48" s="66"/>
      <c r="QXM48" s="66"/>
      <c r="QXN48" s="66"/>
      <c r="QXO48" s="66"/>
      <c r="QXP48" s="66"/>
      <c r="QXQ48" s="66"/>
      <c r="QXR48" s="66"/>
      <c r="QXS48" s="66"/>
      <c r="QXT48" s="66"/>
      <c r="QXU48" s="66"/>
      <c r="QXV48" s="66"/>
      <c r="QXW48" s="66"/>
      <c r="QXX48" s="66"/>
      <c r="QXY48" s="66"/>
      <c r="QXZ48" s="66"/>
      <c r="QYA48" s="66"/>
      <c r="QYB48" s="66"/>
      <c r="QYC48" s="66"/>
      <c r="QYD48" s="66"/>
      <c r="QYE48" s="66"/>
      <c r="QYF48" s="66"/>
      <c r="QYG48" s="66"/>
      <c r="QYH48" s="66"/>
      <c r="QYI48" s="66"/>
      <c r="QYJ48" s="66"/>
      <c r="QYK48" s="66"/>
      <c r="QYL48" s="66"/>
      <c r="QYM48" s="66"/>
      <c r="QYN48" s="66"/>
      <c r="QYO48" s="66"/>
      <c r="QYP48" s="66"/>
      <c r="QYQ48" s="66"/>
      <c r="QYR48" s="66"/>
      <c r="QYS48" s="66"/>
      <c r="QYT48" s="66"/>
      <c r="QYU48" s="66"/>
      <c r="QYV48" s="66"/>
      <c r="QYW48" s="66"/>
      <c r="QYX48" s="66"/>
      <c r="QYY48" s="66"/>
      <c r="QYZ48" s="66"/>
      <c r="QZA48" s="66"/>
      <c r="QZB48" s="66"/>
      <c r="QZC48" s="66"/>
      <c r="QZD48" s="66"/>
      <c r="QZE48" s="66"/>
      <c r="QZF48" s="66"/>
      <c r="QZG48" s="66"/>
      <c r="QZH48" s="66"/>
      <c r="QZI48" s="66"/>
      <c r="QZJ48" s="66"/>
      <c r="QZK48" s="66"/>
      <c r="QZL48" s="66"/>
      <c r="QZM48" s="66"/>
      <c r="QZN48" s="66"/>
      <c r="QZO48" s="66"/>
      <c r="QZP48" s="66"/>
      <c r="QZQ48" s="66"/>
      <c r="QZR48" s="66"/>
      <c r="QZS48" s="66"/>
      <c r="QZT48" s="66"/>
      <c r="QZU48" s="66"/>
      <c r="QZV48" s="66"/>
      <c r="QZW48" s="66"/>
      <c r="QZX48" s="66"/>
      <c r="QZY48" s="66"/>
      <c r="QZZ48" s="66"/>
      <c r="RAA48" s="66"/>
      <c r="RAB48" s="66"/>
      <c r="RAC48" s="66"/>
      <c r="RAD48" s="66"/>
      <c r="RAE48" s="66"/>
      <c r="RAF48" s="66"/>
      <c r="RAG48" s="66"/>
      <c r="RAH48" s="66"/>
      <c r="RAI48" s="66"/>
      <c r="RAJ48" s="66"/>
      <c r="RAK48" s="66"/>
      <c r="RAL48" s="66"/>
      <c r="RAM48" s="66"/>
      <c r="RAN48" s="66"/>
      <c r="RAO48" s="66"/>
      <c r="RAP48" s="66"/>
      <c r="RAQ48" s="66"/>
      <c r="RAR48" s="66"/>
      <c r="RAS48" s="66"/>
      <c r="RAT48" s="66"/>
      <c r="RAU48" s="66"/>
      <c r="RAV48" s="66"/>
      <c r="RAW48" s="66"/>
      <c r="RAX48" s="66"/>
      <c r="RAY48" s="66"/>
      <c r="RAZ48" s="66"/>
      <c r="RBA48" s="66"/>
      <c r="RBB48" s="66"/>
      <c r="RBC48" s="66"/>
      <c r="RBD48" s="66"/>
      <c r="RBE48" s="66"/>
      <c r="RBF48" s="66"/>
      <c r="RBG48" s="66"/>
      <c r="RBH48" s="66"/>
      <c r="RBI48" s="66"/>
      <c r="RBJ48" s="66"/>
      <c r="RBK48" s="66"/>
      <c r="RBL48" s="66"/>
      <c r="RBM48" s="66"/>
      <c r="RBN48" s="66"/>
      <c r="RBO48" s="66"/>
      <c r="RBP48" s="66"/>
      <c r="RBQ48" s="66"/>
      <c r="RBR48" s="66"/>
      <c r="RBS48" s="66"/>
      <c r="RBT48" s="66"/>
      <c r="RBU48" s="66"/>
      <c r="RBV48" s="66"/>
      <c r="RBW48" s="66"/>
      <c r="RBX48" s="66"/>
      <c r="RBY48" s="66"/>
      <c r="RBZ48" s="66"/>
      <c r="RCA48" s="66"/>
      <c r="RCB48" s="66"/>
      <c r="RCC48" s="66"/>
      <c r="RCD48" s="66"/>
      <c r="RCE48" s="66"/>
      <c r="RCF48" s="66"/>
      <c r="RCG48" s="66"/>
      <c r="RCH48" s="66"/>
      <c r="RCI48" s="66"/>
      <c r="RCJ48" s="66"/>
      <c r="RCK48" s="66"/>
      <c r="RCL48" s="66"/>
      <c r="RCM48" s="66"/>
      <c r="RCN48" s="66"/>
      <c r="RCO48" s="66"/>
      <c r="RCP48" s="66"/>
      <c r="RCQ48" s="66"/>
      <c r="RCR48" s="66"/>
      <c r="RCS48" s="66"/>
      <c r="RCT48" s="66"/>
      <c r="RCU48" s="66"/>
      <c r="RCV48" s="66"/>
      <c r="RCW48" s="66"/>
      <c r="RCX48" s="66"/>
      <c r="RCY48" s="66"/>
      <c r="RCZ48" s="66"/>
      <c r="RDA48" s="66"/>
      <c r="RDB48" s="66"/>
      <c r="RDC48" s="66"/>
      <c r="RDD48" s="66"/>
      <c r="RDE48" s="66"/>
      <c r="RDF48" s="66"/>
      <c r="RDG48" s="66"/>
      <c r="RDH48" s="66"/>
      <c r="RDI48" s="66"/>
      <c r="RDJ48" s="66"/>
      <c r="RDK48" s="66"/>
      <c r="RDL48" s="66"/>
      <c r="RDM48" s="66"/>
      <c r="RDN48" s="66"/>
      <c r="RDO48" s="66"/>
      <c r="RDP48" s="66"/>
      <c r="RDQ48" s="66"/>
      <c r="RDR48" s="66"/>
      <c r="RDS48" s="66"/>
      <c r="RDT48" s="66"/>
      <c r="RDU48" s="66"/>
      <c r="RDV48" s="66"/>
      <c r="RDW48" s="66"/>
      <c r="RDX48" s="66"/>
      <c r="RDY48" s="66"/>
      <c r="RDZ48" s="66"/>
      <c r="REA48" s="66"/>
      <c r="REB48" s="66"/>
      <c r="REC48" s="66"/>
      <c r="RED48" s="66"/>
      <c r="REE48" s="66"/>
      <c r="REF48" s="66"/>
      <c r="REG48" s="66"/>
      <c r="REH48" s="66"/>
      <c r="REI48" s="66"/>
      <c r="REJ48" s="66"/>
      <c r="REK48" s="66"/>
      <c r="REL48" s="66"/>
      <c r="REM48" s="66"/>
      <c r="REN48" s="66"/>
      <c r="REO48" s="66"/>
      <c r="REP48" s="66"/>
      <c r="REQ48" s="66"/>
      <c r="RER48" s="66"/>
      <c r="RES48" s="66"/>
      <c r="RET48" s="66"/>
      <c r="REU48" s="66"/>
      <c r="REV48" s="66"/>
      <c r="REW48" s="66"/>
      <c r="REX48" s="66"/>
      <c r="REY48" s="66"/>
      <c r="REZ48" s="66"/>
      <c r="RFA48" s="66"/>
      <c r="RFB48" s="66"/>
      <c r="RFC48" s="66"/>
      <c r="RFD48" s="66"/>
      <c r="RFE48" s="66"/>
      <c r="RFF48" s="66"/>
      <c r="RFG48" s="66"/>
      <c r="RFH48" s="66"/>
      <c r="RFI48" s="66"/>
      <c r="RFJ48" s="66"/>
      <c r="RFK48" s="66"/>
      <c r="RFL48" s="66"/>
      <c r="RFM48" s="66"/>
      <c r="RFN48" s="66"/>
      <c r="RFO48" s="66"/>
      <c r="RFP48" s="66"/>
      <c r="RFQ48" s="66"/>
      <c r="RFR48" s="66"/>
      <c r="RFS48" s="66"/>
      <c r="RFT48" s="66"/>
      <c r="RFU48" s="66"/>
      <c r="RFV48" s="66"/>
      <c r="RFW48" s="66"/>
      <c r="RFX48" s="66"/>
      <c r="RFY48" s="66"/>
      <c r="RFZ48" s="66"/>
      <c r="RGA48" s="66"/>
      <c r="RGB48" s="66"/>
      <c r="RGC48" s="66"/>
      <c r="RGD48" s="66"/>
      <c r="RGE48" s="66"/>
      <c r="RGF48" s="66"/>
      <c r="RGG48" s="66"/>
      <c r="RGH48" s="66"/>
      <c r="RGI48" s="66"/>
      <c r="RGJ48" s="66"/>
      <c r="RGK48" s="66"/>
      <c r="RGL48" s="66"/>
      <c r="RGM48" s="66"/>
      <c r="RGN48" s="66"/>
      <c r="RGO48" s="66"/>
      <c r="RGP48" s="66"/>
      <c r="RGQ48" s="66"/>
      <c r="RGR48" s="66"/>
      <c r="RGS48" s="66"/>
      <c r="RGT48" s="66"/>
      <c r="RGU48" s="66"/>
      <c r="RGV48" s="66"/>
      <c r="RGW48" s="66"/>
      <c r="RGX48" s="66"/>
      <c r="RGY48" s="66"/>
      <c r="RGZ48" s="66"/>
      <c r="RHA48" s="66"/>
      <c r="RHB48" s="66"/>
      <c r="RHC48" s="66"/>
      <c r="RHD48" s="66"/>
      <c r="RHE48" s="66"/>
      <c r="RHF48" s="66"/>
      <c r="RHG48" s="66"/>
      <c r="RHH48" s="66"/>
      <c r="RHI48" s="66"/>
      <c r="RHJ48" s="66"/>
      <c r="RHK48" s="66"/>
      <c r="RHL48" s="66"/>
      <c r="RHM48" s="66"/>
      <c r="RHN48" s="66"/>
      <c r="RHO48" s="66"/>
      <c r="RHP48" s="66"/>
      <c r="RHQ48" s="66"/>
      <c r="RHR48" s="66"/>
      <c r="RHS48" s="66"/>
      <c r="RHT48" s="66"/>
      <c r="RHU48" s="66"/>
      <c r="RHV48" s="66"/>
      <c r="RHW48" s="66"/>
      <c r="RHX48" s="66"/>
      <c r="RHY48" s="66"/>
      <c r="RHZ48" s="66"/>
      <c r="RIA48" s="66"/>
      <c r="RIB48" s="66"/>
      <c r="RIC48" s="66"/>
      <c r="RID48" s="66"/>
      <c r="RIE48" s="66"/>
      <c r="RIF48" s="66"/>
      <c r="RIG48" s="66"/>
      <c r="RIH48" s="66"/>
      <c r="RII48" s="66"/>
      <c r="RIJ48" s="66"/>
      <c r="RIK48" s="66"/>
      <c r="RIL48" s="66"/>
      <c r="RIM48" s="66"/>
      <c r="RIN48" s="66"/>
      <c r="RIO48" s="66"/>
      <c r="RIP48" s="66"/>
      <c r="RIQ48" s="66"/>
      <c r="RIR48" s="66"/>
      <c r="RIS48" s="66"/>
      <c r="RIT48" s="66"/>
      <c r="RIU48" s="66"/>
      <c r="RIV48" s="66"/>
      <c r="RIW48" s="66"/>
      <c r="RIX48" s="66"/>
      <c r="RIY48" s="66"/>
      <c r="RIZ48" s="66"/>
      <c r="RJA48" s="66"/>
      <c r="RJB48" s="66"/>
      <c r="RJC48" s="66"/>
      <c r="RJD48" s="66"/>
      <c r="RJE48" s="66"/>
      <c r="RJF48" s="66"/>
      <c r="RJG48" s="66"/>
      <c r="RJH48" s="66"/>
      <c r="RJI48" s="66"/>
      <c r="RJJ48" s="66"/>
      <c r="RJK48" s="66"/>
      <c r="RJL48" s="66"/>
      <c r="RJM48" s="66"/>
      <c r="RJN48" s="66"/>
      <c r="RJO48" s="66"/>
      <c r="RJP48" s="66"/>
      <c r="RJQ48" s="66"/>
      <c r="RJR48" s="66"/>
      <c r="RJS48" s="66"/>
      <c r="RJT48" s="66"/>
      <c r="RJU48" s="66"/>
      <c r="RJV48" s="66"/>
      <c r="RJW48" s="66"/>
      <c r="RJX48" s="66"/>
      <c r="RJY48" s="66"/>
      <c r="RJZ48" s="66"/>
      <c r="RKA48" s="66"/>
      <c r="RKB48" s="66"/>
      <c r="RKC48" s="66"/>
      <c r="RKD48" s="66"/>
      <c r="RKE48" s="66"/>
      <c r="RKF48" s="66"/>
      <c r="RKG48" s="66"/>
      <c r="RKH48" s="66"/>
      <c r="RKI48" s="66"/>
      <c r="RKJ48" s="66"/>
      <c r="RKK48" s="66"/>
      <c r="RKL48" s="66"/>
      <c r="RKM48" s="66"/>
      <c r="RKN48" s="66"/>
      <c r="RKO48" s="66"/>
      <c r="RKP48" s="66"/>
      <c r="RKQ48" s="66"/>
      <c r="RKR48" s="66"/>
      <c r="RKS48" s="66"/>
      <c r="RKT48" s="66"/>
      <c r="RKU48" s="66"/>
      <c r="RKV48" s="66"/>
      <c r="RKW48" s="66"/>
      <c r="RKX48" s="66"/>
      <c r="RKY48" s="66"/>
      <c r="RKZ48" s="66"/>
      <c r="RLA48" s="66"/>
      <c r="RLB48" s="66"/>
      <c r="RLC48" s="66"/>
      <c r="RLD48" s="66"/>
      <c r="RLE48" s="66"/>
      <c r="RLF48" s="66"/>
      <c r="RLG48" s="66"/>
      <c r="RLH48" s="66"/>
      <c r="RLI48" s="66"/>
      <c r="RLJ48" s="66"/>
      <c r="RLK48" s="66"/>
      <c r="RLL48" s="66"/>
      <c r="RLM48" s="66"/>
      <c r="RLN48" s="66"/>
      <c r="RLO48" s="66"/>
      <c r="RLP48" s="66"/>
      <c r="RLQ48" s="66"/>
      <c r="RLR48" s="66"/>
      <c r="RLS48" s="66"/>
      <c r="RLT48" s="66"/>
      <c r="RLU48" s="66"/>
      <c r="RLV48" s="66"/>
      <c r="RLW48" s="66"/>
      <c r="RLX48" s="66"/>
      <c r="RLY48" s="66"/>
      <c r="RLZ48" s="66"/>
      <c r="RMA48" s="66"/>
      <c r="RMB48" s="66"/>
      <c r="RMC48" s="66"/>
      <c r="RMD48" s="66"/>
      <c r="RME48" s="66"/>
      <c r="RMF48" s="66"/>
      <c r="RMG48" s="66"/>
      <c r="RMH48" s="66"/>
      <c r="RMI48" s="66"/>
      <c r="RMJ48" s="66"/>
      <c r="RMK48" s="66"/>
      <c r="RML48" s="66"/>
      <c r="RMM48" s="66"/>
      <c r="RMN48" s="66"/>
      <c r="RMO48" s="66"/>
      <c r="RMP48" s="66"/>
      <c r="RMQ48" s="66"/>
      <c r="RMR48" s="66"/>
      <c r="RMS48" s="66"/>
      <c r="RMT48" s="66"/>
      <c r="RMU48" s="66"/>
      <c r="RMV48" s="66"/>
      <c r="RMW48" s="66"/>
      <c r="RMX48" s="66"/>
      <c r="RMY48" s="66"/>
      <c r="RMZ48" s="66"/>
      <c r="RNA48" s="66"/>
      <c r="RNB48" s="66"/>
      <c r="RNC48" s="66"/>
      <c r="RND48" s="66"/>
      <c r="RNE48" s="66"/>
      <c r="RNF48" s="66"/>
      <c r="RNG48" s="66"/>
      <c r="RNH48" s="66"/>
      <c r="RNI48" s="66"/>
      <c r="RNJ48" s="66"/>
      <c r="RNK48" s="66"/>
      <c r="RNL48" s="66"/>
      <c r="RNM48" s="66"/>
      <c r="RNN48" s="66"/>
      <c r="RNO48" s="66"/>
      <c r="RNP48" s="66"/>
      <c r="RNQ48" s="66"/>
      <c r="RNR48" s="66"/>
      <c r="RNS48" s="66"/>
      <c r="RNT48" s="66"/>
      <c r="RNU48" s="66"/>
      <c r="RNV48" s="66"/>
      <c r="RNW48" s="66"/>
      <c r="RNX48" s="66"/>
      <c r="RNY48" s="66"/>
      <c r="RNZ48" s="66"/>
      <c r="ROA48" s="66"/>
      <c r="ROB48" s="66"/>
      <c r="ROC48" s="66"/>
      <c r="ROD48" s="66"/>
      <c r="ROE48" s="66"/>
      <c r="ROF48" s="66"/>
      <c r="ROG48" s="66"/>
      <c r="ROH48" s="66"/>
      <c r="ROI48" s="66"/>
      <c r="ROJ48" s="66"/>
      <c r="ROK48" s="66"/>
      <c r="ROL48" s="66"/>
      <c r="ROM48" s="66"/>
      <c r="RON48" s="66"/>
      <c r="ROO48" s="66"/>
      <c r="ROP48" s="66"/>
      <c r="ROQ48" s="66"/>
      <c r="ROR48" s="66"/>
      <c r="ROS48" s="66"/>
      <c r="ROT48" s="66"/>
      <c r="ROU48" s="66"/>
      <c r="ROV48" s="66"/>
      <c r="ROW48" s="66"/>
      <c r="ROX48" s="66"/>
      <c r="ROY48" s="66"/>
      <c r="ROZ48" s="66"/>
      <c r="RPA48" s="66"/>
      <c r="RPB48" s="66"/>
      <c r="RPC48" s="66"/>
      <c r="RPD48" s="66"/>
      <c r="RPE48" s="66"/>
      <c r="RPF48" s="66"/>
      <c r="RPG48" s="66"/>
      <c r="RPH48" s="66"/>
      <c r="RPI48" s="66"/>
      <c r="RPJ48" s="66"/>
      <c r="RPK48" s="66"/>
      <c r="RPL48" s="66"/>
      <c r="RPM48" s="66"/>
      <c r="RPN48" s="66"/>
      <c r="RPO48" s="66"/>
      <c r="RPP48" s="66"/>
      <c r="RPQ48" s="66"/>
      <c r="RPR48" s="66"/>
      <c r="RPS48" s="66"/>
      <c r="RPT48" s="66"/>
      <c r="RPU48" s="66"/>
      <c r="RPV48" s="66"/>
      <c r="RPW48" s="66"/>
      <c r="RPX48" s="66"/>
      <c r="RPY48" s="66"/>
      <c r="RPZ48" s="66"/>
      <c r="RQA48" s="66"/>
      <c r="RQB48" s="66"/>
      <c r="RQC48" s="66"/>
      <c r="RQD48" s="66"/>
      <c r="RQE48" s="66"/>
      <c r="RQF48" s="66"/>
      <c r="RQG48" s="66"/>
      <c r="RQH48" s="66"/>
      <c r="RQI48" s="66"/>
      <c r="RQJ48" s="66"/>
      <c r="RQK48" s="66"/>
      <c r="RQL48" s="66"/>
      <c r="RQM48" s="66"/>
      <c r="RQN48" s="66"/>
      <c r="RQO48" s="66"/>
      <c r="RQP48" s="66"/>
      <c r="RQQ48" s="66"/>
      <c r="RQR48" s="66"/>
      <c r="RQS48" s="66"/>
      <c r="RQT48" s="66"/>
      <c r="RQU48" s="66"/>
      <c r="RQV48" s="66"/>
      <c r="RQW48" s="66"/>
      <c r="RQX48" s="66"/>
      <c r="RQY48" s="66"/>
      <c r="RQZ48" s="66"/>
      <c r="RRA48" s="66"/>
      <c r="RRB48" s="66"/>
      <c r="RRC48" s="66"/>
      <c r="RRD48" s="66"/>
      <c r="RRE48" s="66"/>
      <c r="RRF48" s="66"/>
      <c r="RRG48" s="66"/>
      <c r="RRH48" s="66"/>
      <c r="RRI48" s="66"/>
      <c r="RRJ48" s="66"/>
      <c r="RRK48" s="66"/>
      <c r="RRL48" s="66"/>
      <c r="RRM48" s="66"/>
      <c r="RRN48" s="66"/>
      <c r="RRO48" s="66"/>
      <c r="RRP48" s="66"/>
      <c r="RRQ48" s="66"/>
      <c r="RRR48" s="66"/>
      <c r="RRS48" s="66"/>
      <c r="RRT48" s="66"/>
      <c r="RRU48" s="66"/>
      <c r="RRV48" s="66"/>
      <c r="RRW48" s="66"/>
      <c r="RRX48" s="66"/>
      <c r="RRY48" s="66"/>
      <c r="RRZ48" s="66"/>
      <c r="RSA48" s="66"/>
      <c r="RSB48" s="66"/>
      <c r="RSC48" s="66"/>
      <c r="RSD48" s="66"/>
      <c r="RSE48" s="66"/>
      <c r="RSF48" s="66"/>
      <c r="RSG48" s="66"/>
      <c r="RSH48" s="66"/>
      <c r="RSI48" s="66"/>
      <c r="RSJ48" s="66"/>
      <c r="RSK48" s="66"/>
      <c r="RSL48" s="66"/>
      <c r="RSM48" s="66"/>
      <c r="RSN48" s="66"/>
      <c r="RSO48" s="66"/>
      <c r="RSP48" s="66"/>
      <c r="RSQ48" s="66"/>
      <c r="RSR48" s="66"/>
      <c r="RSS48" s="66"/>
      <c r="RST48" s="66"/>
      <c r="RSU48" s="66"/>
      <c r="RSV48" s="66"/>
      <c r="RSW48" s="66"/>
      <c r="RSX48" s="66"/>
      <c r="RSY48" s="66"/>
      <c r="RSZ48" s="66"/>
      <c r="RTA48" s="66"/>
      <c r="RTB48" s="66"/>
      <c r="RTC48" s="66"/>
      <c r="RTD48" s="66"/>
      <c r="RTE48" s="66"/>
      <c r="RTF48" s="66"/>
      <c r="RTG48" s="66"/>
      <c r="RTH48" s="66"/>
      <c r="RTI48" s="66"/>
      <c r="RTJ48" s="66"/>
      <c r="RTK48" s="66"/>
      <c r="RTL48" s="66"/>
      <c r="RTM48" s="66"/>
      <c r="RTN48" s="66"/>
      <c r="RTO48" s="66"/>
      <c r="RTP48" s="66"/>
      <c r="RTQ48" s="66"/>
      <c r="RTR48" s="66"/>
      <c r="RTS48" s="66"/>
      <c r="RTT48" s="66"/>
      <c r="RTU48" s="66"/>
      <c r="RTV48" s="66"/>
      <c r="RTW48" s="66"/>
      <c r="RTX48" s="66"/>
      <c r="RTY48" s="66"/>
      <c r="RTZ48" s="66"/>
      <c r="RUA48" s="66"/>
      <c r="RUB48" s="66"/>
      <c r="RUC48" s="66"/>
      <c r="RUD48" s="66"/>
      <c r="RUE48" s="66"/>
      <c r="RUF48" s="66"/>
      <c r="RUG48" s="66"/>
      <c r="RUH48" s="66"/>
      <c r="RUI48" s="66"/>
      <c r="RUJ48" s="66"/>
      <c r="RUK48" s="66"/>
      <c r="RUL48" s="66"/>
      <c r="RUM48" s="66"/>
      <c r="RUN48" s="66"/>
      <c r="RUO48" s="66"/>
      <c r="RUP48" s="66"/>
      <c r="RUQ48" s="66"/>
      <c r="RUR48" s="66"/>
      <c r="RUS48" s="66"/>
      <c r="RUT48" s="66"/>
      <c r="RUU48" s="66"/>
      <c r="RUV48" s="66"/>
      <c r="RUW48" s="66"/>
      <c r="RUX48" s="66"/>
      <c r="RUY48" s="66"/>
      <c r="RUZ48" s="66"/>
      <c r="RVA48" s="66"/>
      <c r="RVB48" s="66"/>
      <c r="RVC48" s="66"/>
      <c r="RVD48" s="66"/>
      <c r="RVE48" s="66"/>
      <c r="RVF48" s="66"/>
      <c r="RVG48" s="66"/>
      <c r="RVH48" s="66"/>
      <c r="RVI48" s="66"/>
      <c r="RVJ48" s="66"/>
      <c r="RVK48" s="66"/>
      <c r="RVL48" s="66"/>
      <c r="RVM48" s="66"/>
      <c r="RVN48" s="66"/>
      <c r="RVO48" s="66"/>
      <c r="RVP48" s="66"/>
      <c r="RVQ48" s="66"/>
      <c r="RVR48" s="66"/>
      <c r="RVS48" s="66"/>
      <c r="RVT48" s="66"/>
      <c r="RVU48" s="66"/>
      <c r="RVV48" s="66"/>
      <c r="RVW48" s="66"/>
      <c r="RVX48" s="66"/>
      <c r="RVY48" s="66"/>
      <c r="RVZ48" s="66"/>
      <c r="RWA48" s="66"/>
      <c r="RWB48" s="66"/>
      <c r="RWC48" s="66"/>
      <c r="RWD48" s="66"/>
      <c r="RWE48" s="66"/>
      <c r="RWF48" s="66"/>
      <c r="RWG48" s="66"/>
      <c r="RWH48" s="66"/>
      <c r="RWI48" s="66"/>
      <c r="RWJ48" s="66"/>
      <c r="RWK48" s="66"/>
      <c r="RWL48" s="66"/>
      <c r="RWM48" s="66"/>
      <c r="RWN48" s="66"/>
      <c r="RWO48" s="66"/>
      <c r="RWP48" s="66"/>
      <c r="RWQ48" s="66"/>
      <c r="RWR48" s="66"/>
      <c r="RWS48" s="66"/>
      <c r="RWT48" s="66"/>
      <c r="RWU48" s="66"/>
      <c r="RWV48" s="66"/>
      <c r="RWW48" s="66"/>
      <c r="RWX48" s="66"/>
      <c r="RWY48" s="66"/>
      <c r="RWZ48" s="66"/>
      <c r="RXA48" s="66"/>
      <c r="RXB48" s="66"/>
      <c r="RXC48" s="66"/>
      <c r="RXD48" s="66"/>
      <c r="RXE48" s="66"/>
      <c r="RXF48" s="66"/>
      <c r="RXG48" s="66"/>
      <c r="RXH48" s="66"/>
      <c r="RXI48" s="66"/>
      <c r="RXJ48" s="66"/>
      <c r="RXK48" s="66"/>
      <c r="RXL48" s="66"/>
      <c r="RXM48" s="66"/>
      <c r="RXN48" s="66"/>
      <c r="RXO48" s="66"/>
      <c r="RXP48" s="66"/>
      <c r="RXQ48" s="66"/>
      <c r="RXR48" s="66"/>
      <c r="RXS48" s="66"/>
      <c r="RXT48" s="66"/>
      <c r="RXU48" s="66"/>
      <c r="RXV48" s="66"/>
      <c r="RXW48" s="66"/>
      <c r="RXX48" s="66"/>
      <c r="RXY48" s="66"/>
      <c r="RXZ48" s="66"/>
      <c r="RYA48" s="66"/>
      <c r="RYB48" s="66"/>
      <c r="RYC48" s="66"/>
      <c r="RYD48" s="66"/>
      <c r="RYE48" s="66"/>
      <c r="RYF48" s="66"/>
      <c r="RYG48" s="66"/>
      <c r="RYH48" s="66"/>
      <c r="RYI48" s="66"/>
      <c r="RYJ48" s="66"/>
      <c r="RYK48" s="66"/>
      <c r="RYL48" s="66"/>
      <c r="RYM48" s="66"/>
      <c r="RYN48" s="66"/>
      <c r="RYO48" s="66"/>
      <c r="RYP48" s="66"/>
      <c r="RYQ48" s="66"/>
      <c r="RYR48" s="66"/>
      <c r="RYS48" s="66"/>
      <c r="RYT48" s="66"/>
      <c r="RYU48" s="66"/>
      <c r="RYV48" s="66"/>
      <c r="RYW48" s="66"/>
      <c r="RYX48" s="66"/>
      <c r="RYY48" s="66"/>
      <c r="RYZ48" s="66"/>
      <c r="RZA48" s="66"/>
      <c r="RZB48" s="66"/>
      <c r="RZC48" s="66"/>
      <c r="RZD48" s="66"/>
      <c r="RZE48" s="66"/>
      <c r="RZF48" s="66"/>
      <c r="RZG48" s="66"/>
      <c r="RZH48" s="66"/>
      <c r="RZI48" s="66"/>
      <c r="RZJ48" s="66"/>
      <c r="RZK48" s="66"/>
      <c r="RZL48" s="66"/>
      <c r="RZM48" s="66"/>
      <c r="RZN48" s="66"/>
      <c r="RZO48" s="66"/>
      <c r="RZP48" s="66"/>
      <c r="RZQ48" s="66"/>
      <c r="RZR48" s="66"/>
      <c r="RZS48" s="66"/>
      <c r="RZT48" s="66"/>
      <c r="RZU48" s="66"/>
      <c r="RZV48" s="66"/>
      <c r="RZW48" s="66"/>
      <c r="RZX48" s="66"/>
      <c r="RZY48" s="66"/>
      <c r="RZZ48" s="66"/>
      <c r="SAA48" s="66"/>
      <c r="SAB48" s="66"/>
      <c r="SAC48" s="66"/>
      <c r="SAD48" s="66"/>
      <c r="SAE48" s="66"/>
      <c r="SAF48" s="66"/>
      <c r="SAG48" s="66"/>
      <c r="SAH48" s="66"/>
      <c r="SAI48" s="66"/>
      <c r="SAJ48" s="66"/>
      <c r="SAK48" s="66"/>
      <c r="SAL48" s="66"/>
      <c r="SAM48" s="66"/>
      <c r="SAN48" s="66"/>
      <c r="SAO48" s="66"/>
      <c r="SAP48" s="66"/>
      <c r="SAQ48" s="66"/>
      <c r="SAR48" s="66"/>
      <c r="SAS48" s="66"/>
      <c r="SAT48" s="66"/>
      <c r="SAU48" s="66"/>
      <c r="SAV48" s="66"/>
      <c r="SAW48" s="66"/>
      <c r="SAX48" s="66"/>
      <c r="SAY48" s="66"/>
      <c r="SAZ48" s="66"/>
      <c r="SBA48" s="66"/>
      <c r="SBB48" s="66"/>
      <c r="SBC48" s="66"/>
      <c r="SBD48" s="66"/>
      <c r="SBE48" s="66"/>
      <c r="SBF48" s="66"/>
      <c r="SBG48" s="66"/>
      <c r="SBH48" s="66"/>
      <c r="SBI48" s="66"/>
      <c r="SBJ48" s="66"/>
      <c r="SBK48" s="66"/>
      <c r="SBL48" s="66"/>
      <c r="SBM48" s="66"/>
      <c r="SBN48" s="66"/>
      <c r="SBO48" s="66"/>
      <c r="SBP48" s="66"/>
      <c r="SBQ48" s="66"/>
      <c r="SBR48" s="66"/>
      <c r="SBS48" s="66"/>
      <c r="SBT48" s="66"/>
      <c r="SBU48" s="66"/>
      <c r="SBV48" s="66"/>
      <c r="SBW48" s="66"/>
      <c r="SBX48" s="66"/>
      <c r="SBY48" s="66"/>
      <c r="SBZ48" s="66"/>
      <c r="SCA48" s="66"/>
      <c r="SCB48" s="66"/>
      <c r="SCC48" s="66"/>
      <c r="SCD48" s="66"/>
      <c r="SCE48" s="66"/>
      <c r="SCF48" s="66"/>
      <c r="SCG48" s="66"/>
      <c r="SCH48" s="66"/>
      <c r="SCI48" s="66"/>
      <c r="SCJ48" s="66"/>
      <c r="SCK48" s="66"/>
      <c r="SCL48" s="66"/>
      <c r="SCM48" s="66"/>
      <c r="SCN48" s="66"/>
      <c r="SCO48" s="66"/>
      <c r="SCP48" s="66"/>
      <c r="SCQ48" s="66"/>
      <c r="SCR48" s="66"/>
      <c r="SCS48" s="66"/>
      <c r="SCT48" s="66"/>
      <c r="SCU48" s="66"/>
      <c r="SCV48" s="66"/>
      <c r="SCW48" s="66"/>
      <c r="SCX48" s="66"/>
      <c r="SCY48" s="66"/>
      <c r="SCZ48" s="66"/>
      <c r="SDA48" s="66"/>
      <c r="SDB48" s="66"/>
      <c r="SDC48" s="66"/>
      <c r="SDD48" s="66"/>
      <c r="SDE48" s="66"/>
      <c r="SDF48" s="66"/>
      <c r="SDG48" s="66"/>
      <c r="SDH48" s="66"/>
      <c r="SDI48" s="66"/>
      <c r="SDJ48" s="66"/>
      <c r="SDK48" s="66"/>
      <c r="SDL48" s="66"/>
      <c r="SDM48" s="66"/>
      <c r="SDN48" s="66"/>
      <c r="SDO48" s="66"/>
      <c r="SDP48" s="66"/>
      <c r="SDQ48" s="66"/>
      <c r="SDR48" s="66"/>
      <c r="SDS48" s="66"/>
      <c r="SDT48" s="66"/>
      <c r="SDU48" s="66"/>
      <c r="SDV48" s="66"/>
      <c r="SDW48" s="66"/>
      <c r="SDX48" s="66"/>
      <c r="SDY48" s="66"/>
      <c r="SDZ48" s="66"/>
      <c r="SEA48" s="66"/>
      <c r="SEB48" s="66"/>
      <c r="SEC48" s="66"/>
      <c r="SED48" s="66"/>
      <c r="SEE48" s="66"/>
      <c r="SEF48" s="66"/>
      <c r="SEG48" s="66"/>
      <c r="SEH48" s="66"/>
      <c r="SEI48" s="66"/>
      <c r="SEJ48" s="66"/>
      <c r="SEK48" s="66"/>
      <c r="SEL48" s="66"/>
      <c r="SEM48" s="66"/>
      <c r="SEN48" s="66"/>
      <c r="SEO48" s="66"/>
      <c r="SEP48" s="66"/>
      <c r="SEQ48" s="66"/>
      <c r="SER48" s="66"/>
      <c r="SES48" s="66"/>
      <c r="SET48" s="66"/>
      <c r="SEU48" s="66"/>
      <c r="SEV48" s="66"/>
      <c r="SEW48" s="66"/>
      <c r="SEX48" s="66"/>
      <c r="SEY48" s="66"/>
      <c r="SEZ48" s="66"/>
      <c r="SFA48" s="66"/>
      <c r="SFB48" s="66"/>
      <c r="SFC48" s="66"/>
      <c r="SFD48" s="66"/>
      <c r="SFE48" s="66"/>
      <c r="SFF48" s="66"/>
      <c r="SFG48" s="66"/>
      <c r="SFH48" s="66"/>
      <c r="SFI48" s="66"/>
      <c r="SFJ48" s="66"/>
      <c r="SFK48" s="66"/>
      <c r="SFL48" s="66"/>
      <c r="SFM48" s="66"/>
      <c r="SFN48" s="66"/>
      <c r="SFO48" s="66"/>
      <c r="SFP48" s="66"/>
      <c r="SFQ48" s="66"/>
      <c r="SFR48" s="66"/>
      <c r="SFS48" s="66"/>
      <c r="SFT48" s="66"/>
      <c r="SFU48" s="66"/>
      <c r="SFV48" s="66"/>
      <c r="SFW48" s="66"/>
      <c r="SFX48" s="66"/>
      <c r="SFY48" s="66"/>
      <c r="SFZ48" s="66"/>
      <c r="SGA48" s="66"/>
      <c r="SGB48" s="66"/>
      <c r="SGC48" s="66"/>
      <c r="SGD48" s="66"/>
      <c r="SGE48" s="66"/>
      <c r="SGF48" s="66"/>
      <c r="SGG48" s="66"/>
      <c r="SGH48" s="66"/>
      <c r="SGI48" s="66"/>
      <c r="SGJ48" s="66"/>
      <c r="SGK48" s="66"/>
      <c r="SGL48" s="66"/>
      <c r="SGM48" s="66"/>
      <c r="SGN48" s="66"/>
      <c r="SGO48" s="66"/>
      <c r="SGP48" s="66"/>
      <c r="SGQ48" s="66"/>
      <c r="SGR48" s="66"/>
      <c r="SGS48" s="66"/>
      <c r="SGT48" s="66"/>
      <c r="SGU48" s="66"/>
      <c r="SGV48" s="66"/>
      <c r="SGW48" s="66"/>
      <c r="SGX48" s="66"/>
      <c r="SGY48" s="66"/>
      <c r="SGZ48" s="66"/>
      <c r="SHA48" s="66"/>
      <c r="SHB48" s="66"/>
      <c r="SHC48" s="66"/>
      <c r="SHD48" s="66"/>
      <c r="SHE48" s="66"/>
      <c r="SHF48" s="66"/>
      <c r="SHG48" s="66"/>
      <c r="SHH48" s="66"/>
      <c r="SHI48" s="66"/>
      <c r="SHJ48" s="66"/>
      <c r="SHK48" s="66"/>
      <c r="SHL48" s="66"/>
      <c r="SHM48" s="66"/>
      <c r="SHN48" s="66"/>
      <c r="SHO48" s="66"/>
      <c r="SHP48" s="66"/>
      <c r="SHQ48" s="66"/>
      <c r="SHR48" s="66"/>
      <c r="SHS48" s="66"/>
      <c r="SHT48" s="66"/>
      <c r="SHU48" s="66"/>
      <c r="SHV48" s="66"/>
      <c r="SHW48" s="66"/>
      <c r="SHX48" s="66"/>
      <c r="SHY48" s="66"/>
      <c r="SHZ48" s="66"/>
      <c r="SIA48" s="66"/>
      <c r="SIB48" s="66"/>
      <c r="SIC48" s="66"/>
      <c r="SID48" s="66"/>
      <c r="SIE48" s="66"/>
      <c r="SIF48" s="66"/>
      <c r="SIG48" s="66"/>
      <c r="SIH48" s="66"/>
      <c r="SII48" s="66"/>
      <c r="SIJ48" s="66"/>
      <c r="SIK48" s="66"/>
      <c r="SIL48" s="66"/>
      <c r="SIM48" s="66"/>
      <c r="SIN48" s="66"/>
      <c r="SIO48" s="66"/>
      <c r="SIP48" s="66"/>
      <c r="SIQ48" s="66"/>
      <c r="SIR48" s="66"/>
      <c r="SIS48" s="66"/>
      <c r="SIT48" s="66"/>
      <c r="SIU48" s="66"/>
      <c r="SIV48" s="66"/>
      <c r="SIW48" s="66"/>
      <c r="SIX48" s="66"/>
      <c r="SIY48" s="66"/>
      <c r="SIZ48" s="66"/>
      <c r="SJA48" s="66"/>
      <c r="SJB48" s="66"/>
      <c r="SJC48" s="66"/>
      <c r="SJD48" s="66"/>
      <c r="SJE48" s="66"/>
      <c r="SJF48" s="66"/>
      <c r="SJG48" s="66"/>
      <c r="SJH48" s="66"/>
      <c r="SJI48" s="66"/>
      <c r="SJJ48" s="66"/>
      <c r="SJK48" s="66"/>
      <c r="SJL48" s="66"/>
      <c r="SJM48" s="66"/>
      <c r="SJN48" s="66"/>
      <c r="SJO48" s="66"/>
      <c r="SJP48" s="66"/>
      <c r="SJQ48" s="66"/>
      <c r="SJR48" s="66"/>
      <c r="SJS48" s="66"/>
      <c r="SJT48" s="66"/>
      <c r="SJU48" s="66"/>
      <c r="SJV48" s="66"/>
      <c r="SJW48" s="66"/>
      <c r="SJX48" s="66"/>
      <c r="SJY48" s="66"/>
      <c r="SJZ48" s="66"/>
      <c r="SKA48" s="66"/>
      <c r="SKB48" s="66"/>
      <c r="SKC48" s="66"/>
      <c r="SKD48" s="66"/>
      <c r="SKE48" s="66"/>
      <c r="SKF48" s="66"/>
      <c r="SKG48" s="66"/>
      <c r="SKH48" s="66"/>
      <c r="SKI48" s="66"/>
      <c r="SKJ48" s="66"/>
      <c r="SKK48" s="66"/>
      <c r="SKL48" s="66"/>
      <c r="SKM48" s="66"/>
      <c r="SKN48" s="66"/>
      <c r="SKO48" s="66"/>
      <c r="SKP48" s="66"/>
      <c r="SKQ48" s="66"/>
      <c r="SKR48" s="66"/>
      <c r="SKS48" s="66"/>
      <c r="SKT48" s="66"/>
      <c r="SKU48" s="66"/>
      <c r="SKV48" s="66"/>
      <c r="SKW48" s="66"/>
      <c r="SKX48" s="66"/>
      <c r="SKY48" s="66"/>
      <c r="SKZ48" s="66"/>
      <c r="SLA48" s="66"/>
      <c r="SLB48" s="66"/>
      <c r="SLC48" s="66"/>
      <c r="SLD48" s="66"/>
      <c r="SLE48" s="66"/>
      <c r="SLF48" s="66"/>
      <c r="SLG48" s="66"/>
      <c r="SLH48" s="66"/>
      <c r="SLI48" s="66"/>
      <c r="SLJ48" s="66"/>
      <c r="SLK48" s="66"/>
      <c r="SLL48" s="66"/>
      <c r="SLM48" s="66"/>
      <c r="SLN48" s="66"/>
      <c r="SLO48" s="66"/>
      <c r="SLP48" s="66"/>
      <c r="SLQ48" s="66"/>
      <c r="SLR48" s="66"/>
      <c r="SLS48" s="66"/>
      <c r="SLT48" s="66"/>
      <c r="SLU48" s="66"/>
      <c r="SLV48" s="66"/>
      <c r="SLW48" s="66"/>
      <c r="SLX48" s="66"/>
      <c r="SLY48" s="66"/>
      <c r="SLZ48" s="66"/>
      <c r="SMA48" s="66"/>
      <c r="SMB48" s="66"/>
      <c r="SMC48" s="66"/>
      <c r="SMD48" s="66"/>
      <c r="SME48" s="66"/>
      <c r="SMF48" s="66"/>
      <c r="SMG48" s="66"/>
      <c r="SMH48" s="66"/>
      <c r="SMI48" s="66"/>
      <c r="SMJ48" s="66"/>
      <c r="SMK48" s="66"/>
      <c r="SML48" s="66"/>
      <c r="SMM48" s="66"/>
      <c r="SMN48" s="66"/>
      <c r="SMO48" s="66"/>
      <c r="SMP48" s="66"/>
      <c r="SMQ48" s="66"/>
      <c r="SMR48" s="66"/>
      <c r="SMS48" s="66"/>
      <c r="SMT48" s="66"/>
      <c r="SMU48" s="66"/>
      <c r="SMV48" s="66"/>
      <c r="SMW48" s="66"/>
      <c r="SMX48" s="66"/>
      <c r="SMY48" s="66"/>
      <c r="SMZ48" s="66"/>
      <c r="SNA48" s="66"/>
      <c r="SNB48" s="66"/>
      <c r="SNC48" s="66"/>
      <c r="SND48" s="66"/>
      <c r="SNE48" s="66"/>
      <c r="SNF48" s="66"/>
      <c r="SNG48" s="66"/>
      <c r="SNH48" s="66"/>
      <c r="SNI48" s="66"/>
      <c r="SNJ48" s="66"/>
      <c r="SNK48" s="66"/>
      <c r="SNL48" s="66"/>
      <c r="SNM48" s="66"/>
      <c r="SNN48" s="66"/>
      <c r="SNO48" s="66"/>
      <c r="SNP48" s="66"/>
      <c r="SNQ48" s="66"/>
      <c r="SNR48" s="66"/>
      <c r="SNS48" s="66"/>
      <c r="SNT48" s="66"/>
      <c r="SNU48" s="66"/>
      <c r="SNV48" s="66"/>
      <c r="SNW48" s="66"/>
      <c r="SNX48" s="66"/>
      <c r="SNY48" s="66"/>
      <c r="SNZ48" s="66"/>
      <c r="SOA48" s="66"/>
      <c r="SOB48" s="66"/>
      <c r="SOC48" s="66"/>
      <c r="SOD48" s="66"/>
      <c r="SOE48" s="66"/>
      <c r="SOF48" s="66"/>
      <c r="SOG48" s="66"/>
      <c r="SOH48" s="66"/>
      <c r="SOI48" s="66"/>
      <c r="SOJ48" s="66"/>
      <c r="SOK48" s="66"/>
      <c r="SOL48" s="66"/>
      <c r="SOM48" s="66"/>
      <c r="SON48" s="66"/>
      <c r="SOO48" s="66"/>
      <c r="SOP48" s="66"/>
      <c r="SOQ48" s="66"/>
      <c r="SOR48" s="66"/>
      <c r="SOS48" s="66"/>
      <c r="SOT48" s="66"/>
      <c r="SOU48" s="66"/>
      <c r="SOV48" s="66"/>
      <c r="SOW48" s="66"/>
      <c r="SOX48" s="66"/>
      <c r="SOY48" s="66"/>
      <c r="SOZ48" s="66"/>
      <c r="SPA48" s="66"/>
      <c r="SPB48" s="66"/>
      <c r="SPC48" s="66"/>
      <c r="SPD48" s="66"/>
      <c r="SPE48" s="66"/>
      <c r="SPF48" s="66"/>
      <c r="SPG48" s="66"/>
      <c r="SPH48" s="66"/>
      <c r="SPI48" s="66"/>
      <c r="SPJ48" s="66"/>
      <c r="SPK48" s="66"/>
      <c r="SPL48" s="66"/>
      <c r="SPM48" s="66"/>
      <c r="SPN48" s="66"/>
      <c r="SPO48" s="66"/>
      <c r="SPP48" s="66"/>
      <c r="SPQ48" s="66"/>
      <c r="SPR48" s="66"/>
      <c r="SPS48" s="66"/>
      <c r="SPT48" s="66"/>
      <c r="SPU48" s="66"/>
      <c r="SPV48" s="66"/>
      <c r="SPW48" s="66"/>
      <c r="SPX48" s="66"/>
      <c r="SPY48" s="66"/>
      <c r="SPZ48" s="66"/>
      <c r="SQA48" s="66"/>
      <c r="SQB48" s="66"/>
      <c r="SQC48" s="66"/>
      <c r="SQD48" s="66"/>
      <c r="SQE48" s="66"/>
      <c r="SQF48" s="66"/>
      <c r="SQG48" s="66"/>
      <c r="SQH48" s="66"/>
      <c r="SQI48" s="66"/>
      <c r="SQJ48" s="66"/>
      <c r="SQK48" s="66"/>
      <c r="SQL48" s="66"/>
      <c r="SQM48" s="66"/>
      <c r="SQN48" s="66"/>
      <c r="SQO48" s="66"/>
      <c r="SQP48" s="66"/>
      <c r="SQQ48" s="66"/>
      <c r="SQR48" s="66"/>
      <c r="SQS48" s="66"/>
      <c r="SQT48" s="66"/>
      <c r="SQU48" s="66"/>
      <c r="SQV48" s="66"/>
      <c r="SQW48" s="66"/>
      <c r="SQX48" s="66"/>
      <c r="SQY48" s="66"/>
      <c r="SQZ48" s="66"/>
      <c r="SRA48" s="66"/>
      <c r="SRB48" s="66"/>
      <c r="SRC48" s="66"/>
      <c r="SRD48" s="66"/>
      <c r="SRE48" s="66"/>
      <c r="SRF48" s="66"/>
      <c r="SRG48" s="66"/>
      <c r="SRH48" s="66"/>
      <c r="SRI48" s="66"/>
      <c r="SRJ48" s="66"/>
      <c r="SRK48" s="66"/>
      <c r="SRL48" s="66"/>
      <c r="SRM48" s="66"/>
      <c r="SRN48" s="66"/>
      <c r="SRO48" s="66"/>
      <c r="SRP48" s="66"/>
      <c r="SRQ48" s="66"/>
      <c r="SRR48" s="66"/>
      <c r="SRS48" s="66"/>
      <c r="SRT48" s="66"/>
      <c r="SRU48" s="66"/>
      <c r="SRV48" s="66"/>
      <c r="SRW48" s="66"/>
      <c r="SRX48" s="66"/>
      <c r="SRY48" s="66"/>
      <c r="SRZ48" s="66"/>
      <c r="SSA48" s="66"/>
      <c r="SSB48" s="66"/>
      <c r="SSC48" s="66"/>
      <c r="SSD48" s="66"/>
      <c r="SSE48" s="66"/>
      <c r="SSF48" s="66"/>
      <c r="SSG48" s="66"/>
      <c r="SSH48" s="66"/>
      <c r="SSI48" s="66"/>
      <c r="SSJ48" s="66"/>
      <c r="SSK48" s="66"/>
      <c r="SSL48" s="66"/>
      <c r="SSM48" s="66"/>
      <c r="SSN48" s="66"/>
      <c r="SSO48" s="66"/>
      <c r="SSP48" s="66"/>
      <c r="SSQ48" s="66"/>
      <c r="SSR48" s="66"/>
      <c r="SSS48" s="66"/>
      <c r="SST48" s="66"/>
      <c r="SSU48" s="66"/>
      <c r="SSV48" s="66"/>
      <c r="SSW48" s="66"/>
      <c r="SSX48" s="66"/>
      <c r="SSY48" s="66"/>
      <c r="SSZ48" s="66"/>
      <c r="STA48" s="66"/>
      <c r="STB48" s="66"/>
      <c r="STC48" s="66"/>
      <c r="STD48" s="66"/>
      <c r="STE48" s="66"/>
      <c r="STF48" s="66"/>
      <c r="STG48" s="66"/>
      <c r="STH48" s="66"/>
      <c r="STI48" s="66"/>
      <c r="STJ48" s="66"/>
      <c r="STK48" s="66"/>
      <c r="STL48" s="66"/>
      <c r="STM48" s="66"/>
      <c r="STN48" s="66"/>
      <c r="STO48" s="66"/>
      <c r="STP48" s="66"/>
      <c r="STQ48" s="66"/>
      <c r="STR48" s="66"/>
      <c r="STS48" s="66"/>
      <c r="STT48" s="66"/>
      <c r="STU48" s="66"/>
      <c r="STV48" s="66"/>
      <c r="STW48" s="66"/>
      <c r="STX48" s="66"/>
      <c r="STY48" s="66"/>
      <c r="STZ48" s="66"/>
      <c r="SUA48" s="66"/>
      <c r="SUB48" s="66"/>
      <c r="SUC48" s="66"/>
      <c r="SUD48" s="66"/>
      <c r="SUE48" s="66"/>
      <c r="SUF48" s="66"/>
      <c r="SUG48" s="66"/>
      <c r="SUH48" s="66"/>
      <c r="SUI48" s="66"/>
      <c r="SUJ48" s="66"/>
      <c r="SUK48" s="66"/>
      <c r="SUL48" s="66"/>
      <c r="SUM48" s="66"/>
      <c r="SUN48" s="66"/>
      <c r="SUO48" s="66"/>
      <c r="SUP48" s="66"/>
      <c r="SUQ48" s="66"/>
      <c r="SUR48" s="66"/>
      <c r="SUS48" s="66"/>
      <c r="SUT48" s="66"/>
      <c r="SUU48" s="66"/>
      <c r="SUV48" s="66"/>
      <c r="SUW48" s="66"/>
      <c r="SUX48" s="66"/>
      <c r="SUY48" s="66"/>
      <c r="SUZ48" s="66"/>
      <c r="SVA48" s="66"/>
      <c r="SVB48" s="66"/>
      <c r="SVC48" s="66"/>
      <c r="SVD48" s="66"/>
      <c r="SVE48" s="66"/>
      <c r="SVF48" s="66"/>
      <c r="SVG48" s="66"/>
      <c r="SVH48" s="66"/>
      <c r="SVI48" s="66"/>
      <c r="SVJ48" s="66"/>
      <c r="SVK48" s="66"/>
      <c r="SVL48" s="66"/>
      <c r="SVM48" s="66"/>
      <c r="SVN48" s="66"/>
      <c r="SVO48" s="66"/>
      <c r="SVP48" s="66"/>
      <c r="SVQ48" s="66"/>
      <c r="SVR48" s="66"/>
      <c r="SVS48" s="66"/>
      <c r="SVT48" s="66"/>
      <c r="SVU48" s="66"/>
      <c r="SVV48" s="66"/>
      <c r="SVW48" s="66"/>
      <c r="SVX48" s="66"/>
      <c r="SVY48" s="66"/>
      <c r="SVZ48" s="66"/>
      <c r="SWA48" s="66"/>
      <c r="SWB48" s="66"/>
      <c r="SWC48" s="66"/>
      <c r="SWD48" s="66"/>
      <c r="SWE48" s="66"/>
      <c r="SWF48" s="66"/>
      <c r="SWG48" s="66"/>
      <c r="SWH48" s="66"/>
      <c r="SWI48" s="66"/>
      <c r="SWJ48" s="66"/>
      <c r="SWK48" s="66"/>
      <c r="SWL48" s="66"/>
      <c r="SWM48" s="66"/>
      <c r="SWN48" s="66"/>
      <c r="SWO48" s="66"/>
      <c r="SWP48" s="66"/>
      <c r="SWQ48" s="66"/>
      <c r="SWR48" s="66"/>
      <c r="SWS48" s="66"/>
      <c r="SWT48" s="66"/>
      <c r="SWU48" s="66"/>
      <c r="SWV48" s="66"/>
      <c r="SWW48" s="66"/>
      <c r="SWX48" s="66"/>
      <c r="SWY48" s="66"/>
      <c r="SWZ48" s="66"/>
      <c r="SXA48" s="66"/>
      <c r="SXB48" s="66"/>
      <c r="SXC48" s="66"/>
      <c r="SXD48" s="66"/>
      <c r="SXE48" s="66"/>
      <c r="SXF48" s="66"/>
      <c r="SXG48" s="66"/>
      <c r="SXH48" s="66"/>
      <c r="SXI48" s="66"/>
      <c r="SXJ48" s="66"/>
      <c r="SXK48" s="66"/>
      <c r="SXL48" s="66"/>
      <c r="SXM48" s="66"/>
      <c r="SXN48" s="66"/>
      <c r="SXO48" s="66"/>
      <c r="SXP48" s="66"/>
      <c r="SXQ48" s="66"/>
      <c r="SXR48" s="66"/>
      <c r="SXS48" s="66"/>
      <c r="SXT48" s="66"/>
      <c r="SXU48" s="66"/>
      <c r="SXV48" s="66"/>
      <c r="SXW48" s="66"/>
      <c r="SXX48" s="66"/>
      <c r="SXY48" s="66"/>
      <c r="SXZ48" s="66"/>
      <c r="SYA48" s="66"/>
      <c r="SYB48" s="66"/>
      <c r="SYC48" s="66"/>
      <c r="SYD48" s="66"/>
      <c r="SYE48" s="66"/>
      <c r="SYF48" s="66"/>
      <c r="SYG48" s="66"/>
      <c r="SYH48" s="66"/>
      <c r="SYI48" s="66"/>
      <c r="SYJ48" s="66"/>
      <c r="SYK48" s="66"/>
      <c r="SYL48" s="66"/>
      <c r="SYM48" s="66"/>
      <c r="SYN48" s="66"/>
      <c r="SYO48" s="66"/>
      <c r="SYP48" s="66"/>
      <c r="SYQ48" s="66"/>
      <c r="SYR48" s="66"/>
      <c r="SYS48" s="66"/>
      <c r="SYT48" s="66"/>
      <c r="SYU48" s="66"/>
      <c r="SYV48" s="66"/>
      <c r="SYW48" s="66"/>
      <c r="SYX48" s="66"/>
      <c r="SYY48" s="66"/>
      <c r="SYZ48" s="66"/>
      <c r="SZA48" s="66"/>
      <c r="SZB48" s="66"/>
      <c r="SZC48" s="66"/>
      <c r="SZD48" s="66"/>
      <c r="SZE48" s="66"/>
      <c r="SZF48" s="66"/>
      <c r="SZG48" s="66"/>
      <c r="SZH48" s="66"/>
      <c r="SZI48" s="66"/>
      <c r="SZJ48" s="66"/>
      <c r="SZK48" s="66"/>
      <c r="SZL48" s="66"/>
      <c r="SZM48" s="66"/>
      <c r="SZN48" s="66"/>
      <c r="SZO48" s="66"/>
      <c r="SZP48" s="66"/>
      <c r="SZQ48" s="66"/>
      <c r="SZR48" s="66"/>
      <c r="SZS48" s="66"/>
      <c r="SZT48" s="66"/>
      <c r="SZU48" s="66"/>
      <c r="SZV48" s="66"/>
      <c r="SZW48" s="66"/>
      <c r="SZX48" s="66"/>
      <c r="SZY48" s="66"/>
      <c r="SZZ48" s="66"/>
      <c r="TAA48" s="66"/>
      <c r="TAB48" s="66"/>
      <c r="TAC48" s="66"/>
      <c r="TAD48" s="66"/>
      <c r="TAE48" s="66"/>
      <c r="TAF48" s="66"/>
      <c r="TAG48" s="66"/>
      <c r="TAH48" s="66"/>
      <c r="TAI48" s="66"/>
      <c r="TAJ48" s="66"/>
      <c r="TAK48" s="66"/>
      <c r="TAL48" s="66"/>
      <c r="TAM48" s="66"/>
      <c r="TAN48" s="66"/>
      <c r="TAO48" s="66"/>
      <c r="TAP48" s="66"/>
      <c r="TAQ48" s="66"/>
      <c r="TAR48" s="66"/>
      <c r="TAS48" s="66"/>
      <c r="TAT48" s="66"/>
      <c r="TAU48" s="66"/>
      <c r="TAV48" s="66"/>
      <c r="TAW48" s="66"/>
      <c r="TAX48" s="66"/>
      <c r="TAY48" s="66"/>
      <c r="TAZ48" s="66"/>
      <c r="TBA48" s="66"/>
      <c r="TBB48" s="66"/>
      <c r="TBC48" s="66"/>
      <c r="TBD48" s="66"/>
      <c r="TBE48" s="66"/>
      <c r="TBF48" s="66"/>
      <c r="TBG48" s="66"/>
      <c r="TBH48" s="66"/>
      <c r="TBI48" s="66"/>
      <c r="TBJ48" s="66"/>
      <c r="TBK48" s="66"/>
      <c r="TBL48" s="66"/>
      <c r="TBM48" s="66"/>
      <c r="TBN48" s="66"/>
      <c r="TBO48" s="66"/>
      <c r="TBP48" s="66"/>
      <c r="TBQ48" s="66"/>
      <c r="TBR48" s="66"/>
      <c r="TBS48" s="66"/>
      <c r="TBT48" s="66"/>
      <c r="TBU48" s="66"/>
      <c r="TBV48" s="66"/>
      <c r="TBW48" s="66"/>
      <c r="TBX48" s="66"/>
      <c r="TBY48" s="66"/>
      <c r="TBZ48" s="66"/>
      <c r="TCA48" s="66"/>
      <c r="TCB48" s="66"/>
      <c r="TCC48" s="66"/>
      <c r="TCD48" s="66"/>
      <c r="TCE48" s="66"/>
      <c r="TCF48" s="66"/>
      <c r="TCG48" s="66"/>
      <c r="TCH48" s="66"/>
      <c r="TCI48" s="66"/>
      <c r="TCJ48" s="66"/>
      <c r="TCK48" s="66"/>
      <c r="TCL48" s="66"/>
      <c r="TCM48" s="66"/>
      <c r="TCN48" s="66"/>
      <c r="TCO48" s="66"/>
      <c r="TCP48" s="66"/>
      <c r="TCQ48" s="66"/>
      <c r="TCR48" s="66"/>
      <c r="TCS48" s="66"/>
      <c r="TCT48" s="66"/>
      <c r="TCU48" s="66"/>
      <c r="TCV48" s="66"/>
      <c r="TCW48" s="66"/>
      <c r="TCX48" s="66"/>
      <c r="TCY48" s="66"/>
      <c r="TCZ48" s="66"/>
      <c r="TDA48" s="66"/>
      <c r="TDB48" s="66"/>
      <c r="TDC48" s="66"/>
      <c r="TDD48" s="66"/>
      <c r="TDE48" s="66"/>
      <c r="TDF48" s="66"/>
      <c r="TDG48" s="66"/>
      <c r="TDH48" s="66"/>
      <c r="TDI48" s="66"/>
      <c r="TDJ48" s="66"/>
      <c r="TDK48" s="66"/>
      <c r="TDL48" s="66"/>
      <c r="TDM48" s="66"/>
      <c r="TDN48" s="66"/>
      <c r="TDO48" s="66"/>
      <c r="TDP48" s="66"/>
      <c r="TDQ48" s="66"/>
      <c r="TDR48" s="66"/>
      <c r="TDS48" s="66"/>
      <c r="TDT48" s="66"/>
      <c r="TDU48" s="66"/>
      <c r="TDV48" s="66"/>
      <c r="TDW48" s="66"/>
      <c r="TDX48" s="66"/>
      <c r="TDY48" s="66"/>
      <c r="TDZ48" s="66"/>
      <c r="TEA48" s="66"/>
      <c r="TEB48" s="66"/>
      <c r="TEC48" s="66"/>
      <c r="TED48" s="66"/>
      <c r="TEE48" s="66"/>
      <c r="TEF48" s="66"/>
      <c r="TEG48" s="66"/>
      <c r="TEH48" s="66"/>
      <c r="TEI48" s="66"/>
      <c r="TEJ48" s="66"/>
      <c r="TEK48" s="66"/>
      <c r="TEL48" s="66"/>
      <c r="TEM48" s="66"/>
      <c r="TEN48" s="66"/>
      <c r="TEO48" s="66"/>
      <c r="TEP48" s="66"/>
      <c r="TEQ48" s="66"/>
      <c r="TER48" s="66"/>
      <c r="TES48" s="66"/>
      <c r="TET48" s="66"/>
      <c r="TEU48" s="66"/>
      <c r="TEV48" s="66"/>
      <c r="TEW48" s="66"/>
      <c r="TEX48" s="66"/>
      <c r="TEY48" s="66"/>
      <c r="TEZ48" s="66"/>
      <c r="TFA48" s="66"/>
      <c r="TFB48" s="66"/>
      <c r="TFC48" s="66"/>
      <c r="TFD48" s="66"/>
      <c r="TFE48" s="66"/>
      <c r="TFF48" s="66"/>
      <c r="TFG48" s="66"/>
      <c r="TFH48" s="66"/>
      <c r="TFI48" s="66"/>
      <c r="TFJ48" s="66"/>
      <c r="TFK48" s="66"/>
      <c r="TFL48" s="66"/>
      <c r="TFM48" s="66"/>
      <c r="TFN48" s="66"/>
      <c r="TFO48" s="66"/>
      <c r="TFP48" s="66"/>
      <c r="TFQ48" s="66"/>
      <c r="TFR48" s="66"/>
      <c r="TFS48" s="66"/>
      <c r="TFT48" s="66"/>
      <c r="TFU48" s="66"/>
      <c r="TFV48" s="66"/>
      <c r="TFW48" s="66"/>
      <c r="TFX48" s="66"/>
      <c r="TFY48" s="66"/>
      <c r="TFZ48" s="66"/>
      <c r="TGA48" s="66"/>
      <c r="TGB48" s="66"/>
      <c r="TGC48" s="66"/>
      <c r="TGD48" s="66"/>
      <c r="TGE48" s="66"/>
      <c r="TGF48" s="66"/>
      <c r="TGG48" s="66"/>
      <c r="TGH48" s="66"/>
      <c r="TGI48" s="66"/>
      <c r="TGJ48" s="66"/>
      <c r="TGK48" s="66"/>
      <c r="TGL48" s="66"/>
      <c r="TGM48" s="66"/>
      <c r="TGN48" s="66"/>
      <c r="TGO48" s="66"/>
      <c r="TGP48" s="66"/>
      <c r="TGQ48" s="66"/>
      <c r="TGR48" s="66"/>
      <c r="TGS48" s="66"/>
      <c r="TGT48" s="66"/>
      <c r="TGU48" s="66"/>
      <c r="TGV48" s="66"/>
      <c r="TGW48" s="66"/>
      <c r="TGX48" s="66"/>
      <c r="TGY48" s="66"/>
      <c r="TGZ48" s="66"/>
      <c r="THA48" s="66"/>
      <c r="THB48" s="66"/>
      <c r="THC48" s="66"/>
      <c r="THD48" s="66"/>
      <c r="THE48" s="66"/>
      <c r="THF48" s="66"/>
      <c r="THG48" s="66"/>
      <c r="THH48" s="66"/>
      <c r="THI48" s="66"/>
      <c r="THJ48" s="66"/>
      <c r="THK48" s="66"/>
      <c r="THL48" s="66"/>
      <c r="THM48" s="66"/>
      <c r="THN48" s="66"/>
      <c r="THO48" s="66"/>
      <c r="THP48" s="66"/>
      <c r="THQ48" s="66"/>
      <c r="THR48" s="66"/>
      <c r="THS48" s="66"/>
      <c r="THT48" s="66"/>
      <c r="THU48" s="66"/>
      <c r="THV48" s="66"/>
      <c r="THW48" s="66"/>
      <c r="THX48" s="66"/>
      <c r="THY48" s="66"/>
      <c r="THZ48" s="66"/>
      <c r="TIA48" s="66"/>
      <c r="TIB48" s="66"/>
      <c r="TIC48" s="66"/>
      <c r="TID48" s="66"/>
      <c r="TIE48" s="66"/>
      <c r="TIF48" s="66"/>
      <c r="TIG48" s="66"/>
      <c r="TIH48" s="66"/>
      <c r="TII48" s="66"/>
      <c r="TIJ48" s="66"/>
      <c r="TIK48" s="66"/>
      <c r="TIL48" s="66"/>
      <c r="TIM48" s="66"/>
      <c r="TIN48" s="66"/>
      <c r="TIO48" s="66"/>
      <c r="TIP48" s="66"/>
      <c r="TIQ48" s="66"/>
      <c r="TIR48" s="66"/>
      <c r="TIS48" s="66"/>
      <c r="TIT48" s="66"/>
      <c r="TIU48" s="66"/>
      <c r="TIV48" s="66"/>
      <c r="TIW48" s="66"/>
      <c r="TIX48" s="66"/>
      <c r="TIY48" s="66"/>
      <c r="TIZ48" s="66"/>
      <c r="TJA48" s="66"/>
      <c r="TJB48" s="66"/>
      <c r="TJC48" s="66"/>
      <c r="TJD48" s="66"/>
      <c r="TJE48" s="66"/>
      <c r="TJF48" s="66"/>
      <c r="TJG48" s="66"/>
      <c r="TJH48" s="66"/>
      <c r="TJI48" s="66"/>
      <c r="TJJ48" s="66"/>
      <c r="TJK48" s="66"/>
      <c r="TJL48" s="66"/>
      <c r="TJM48" s="66"/>
      <c r="TJN48" s="66"/>
      <c r="TJO48" s="66"/>
      <c r="TJP48" s="66"/>
      <c r="TJQ48" s="66"/>
      <c r="TJR48" s="66"/>
      <c r="TJS48" s="66"/>
      <c r="TJT48" s="66"/>
      <c r="TJU48" s="66"/>
      <c r="TJV48" s="66"/>
      <c r="TJW48" s="66"/>
      <c r="TJX48" s="66"/>
      <c r="TJY48" s="66"/>
      <c r="TJZ48" s="66"/>
      <c r="TKA48" s="66"/>
      <c r="TKB48" s="66"/>
      <c r="TKC48" s="66"/>
      <c r="TKD48" s="66"/>
      <c r="TKE48" s="66"/>
      <c r="TKF48" s="66"/>
      <c r="TKG48" s="66"/>
      <c r="TKH48" s="66"/>
      <c r="TKI48" s="66"/>
      <c r="TKJ48" s="66"/>
      <c r="TKK48" s="66"/>
      <c r="TKL48" s="66"/>
      <c r="TKM48" s="66"/>
      <c r="TKN48" s="66"/>
      <c r="TKO48" s="66"/>
      <c r="TKP48" s="66"/>
      <c r="TKQ48" s="66"/>
      <c r="TKR48" s="66"/>
      <c r="TKS48" s="66"/>
      <c r="TKT48" s="66"/>
      <c r="TKU48" s="66"/>
      <c r="TKV48" s="66"/>
      <c r="TKW48" s="66"/>
      <c r="TKX48" s="66"/>
      <c r="TKY48" s="66"/>
      <c r="TKZ48" s="66"/>
      <c r="TLA48" s="66"/>
      <c r="TLB48" s="66"/>
      <c r="TLC48" s="66"/>
      <c r="TLD48" s="66"/>
      <c r="TLE48" s="66"/>
      <c r="TLF48" s="66"/>
      <c r="TLG48" s="66"/>
      <c r="TLH48" s="66"/>
      <c r="TLI48" s="66"/>
      <c r="TLJ48" s="66"/>
      <c r="TLK48" s="66"/>
      <c r="TLL48" s="66"/>
      <c r="TLM48" s="66"/>
      <c r="TLN48" s="66"/>
      <c r="TLO48" s="66"/>
      <c r="TLP48" s="66"/>
      <c r="TLQ48" s="66"/>
      <c r="TLR48" s="66"/>
      <c r="TLS48" s="66"/>
      <c r="TLT48" s="66"/>
      <c r="TLU48" s="66"/>
      <c r="TLV48" s="66"/>
      <c r="TLW48" s="66"/>
      <c r="TLX48" s="66"/>
      <c r="TLY48" s="66"/>
      <c r="TLZ48" s="66"/>
      <c r="TMA48" s="66"/>
      <c r="TMB48" s="66"/>
      <c r="TMC48" s="66"/>
      <c r="TMD48" s="66"/>
      <c r="TME48" s="66"/>
      <c r="TMF48" s="66"/>
      <c r="TMG48" s="66"/>
      <c r="TMH48" s="66"/>
      <c r="TMI48" s="66"/>
      <c r="TMJ48" s="66"/>
      <c r="TMK48" s="66"/>
      <c r="TML48" s="66"/>
      <c r="TMM48" s="66"/>
      <c r="TMN48" s="66"/>
      <c r="TMO48" s="66"/>
      <c r="TMP48" s="66"/>
      <c r="TMQ48" s="66"/>
      <c r="TMR48" s="66"/>
      <c r="TMS48" s="66"/>
      <c r="TMT48" s="66"/>
      <c r="TMU48" s="66"/>
      <c r="TMV48" s="66"/>
      <c r="TMW48" s="66"/>
      <c r="TMX48" s="66"/>
      <c r="TMY48" s="66"/>
      <c r="TMZ48" s="66"/>
      <c r="TNA48" s="66"/>
      <c r="TNB48" s="66"/>
      <c r="TNC48" s="66"/>
      <c r="TND48" s="66"/>
      <c r="TNE48" s="66"/>
      <c r="TNF48" s="66"/>
      <c r="TNG48" s="66"/>
      <c r="TNH48" s="66"/>
      <c r="TNI48" s="66"/>
      <c r="TNJ48" s="66"/>
      <c r="TNK48" s="66"/>
      <c r="TNL48" s="66"/>
      <c r="TNM48" s="66"/>
      <c r="TNN48" s="66"/>
      <c r="TNO48" s="66"/>
      <c r="TNP48" s="66"/>
      <c r="TNQ48" s="66"/>
      <c r="TNR48" s="66"/>
      <c r="TNS48" s="66"/>
      <c r="TNT48" s="66"/>
      <c r="TNU48" s="66"/>
      <c r="TNV48" s="66"/>
      <c r="TNW48" s="66"/>
      <c r="TNX48" s="66"/>
      <c r="TNY48" s="66"/>
      <c r="TNZ48" s="66"/>
      <c r="TOA48" s="66"/>
      <c r="TOB48" s="66"/>
      <c r="TOC48" s="66"/>
      <c r="TOD48" s="66"/>
      <c r="TOE48" s="66"/>
      <c r="TOF48" s="66"/>
      <c r="TOG48" s="66"/>
      <c r="TOH48" s="66"/>
      <c r="TOI48" s="66"/>
      <c r="TOJ48" s="66"/>
      <c r="TOK48" s="66"/>
      <c r="TOL48" s="66"/>
      <c r="TOM48" s="66"/>
      <c r="TON48" s="66"/>
      <c r="TOO48" s="66"/>
      <c r="TOP48" s="66"/>
      <c r="TOQ48" s="66"/>
      <c r="TOR48" s="66"/>
      <c r="TOS48" s="66"/>
      <c r="TOT48" s="66"/>
      <c r="TOU48" s="66"/>
      <c r="TOV48" s="66"/>
      <c r="TOW48" s="66"/>
      <c r="TOX48" s="66"/>
      <c r="TOY48" s="66"/>
      <c r="TOZ48" s="66"/>
      <c r="TPA48" s="66"/>
      <c r="TPB48" s="66"/>
      <c r="TPC48" s="66"/>
      <c r="TPD48" s="66"/>
      <c r="TPE48" s="66"/>
      <c r="TPF48" s="66"/>
      <c r="TPG48" s="66"/>
      <c r="TPH48" s="66"/>
      <c r="TPI48" s="66"/>
      <c r="TPJ48" s="66"/>
      <c r="TPK48" s="66"/>
      <c r="TPL48" s="66"/>
      <c r="TPM48" s="66"/>
      <c r="TPN48" s="66"/>
      <c r="TPO48" s="66"/>
      <c r="TPP48" s="66"/>
      <c r="TPQ48" s="66"/>
      <c r="TPR48" s="66"/>
      <c r="TPS48" s="66"/>
      <c r="TPT48" s="66"/>
      <c r="TPU48" s="66"/>
      <c r="TPV48" s="66"/>
      <c r="TPW48" s="66"/>
      <c r="TPX48" s="66"/>
      <c r="TPY48" s="66"/>
      <c r="TPZ48" s="66"/>
      <c r="TQA48" s="66"/>
      <c r="TQB48" s="66"/>
      <c r="TQC48" s="66"/>
      <c r="TQD48" s="66"/>
      <c r="TQE48" s="66"/>
      <c r="TQF48" s="66"/>
      <c r="TQG48" s="66"/>
      <c r="TQH48" s="66"/>
      <c r="TQI48" s="66"/>
      <c r="TQJ48" s="66"/>
      <c r="TQK48" s="66"/>
      <c r="TQL48" s="66"/>
      <c r="TQM48" s="66"/>
      <c r="TQN48" s="66"/>
      <c r="TQO48" s="66"/>
      <c r="TQP48" s="66"/>
      <c r="TQQ48" s="66"/>
      <c r="TQR48" s="66"/>
      <c r="TQS48" s="66"/>
      <c r="TQT48" s="66"/>
      <c r="TQU48" s="66"/>
      <c r="TQV48" s="66"/>
      <c r="TQW48" s="66"/>
      <c r="TQX48" s="66"/>
      <c r="TQY48" s="66"/>
      <c r="TQZ48" s="66"/>
      <c r="TRA48" s="66"/>
      <c r="TRB48" s="66"/>
      <c r="TRC48" s="66"/>
      <c r="TRD48" s="66"/>
      <c r="TRE48" s="66"/>
      <c r="TRF48" s="66"/>
      <c r="TRG48" s="66"/>
      <c r="TRH48" s="66"/>
      <c r="TRI48" s="66"/>
      <c r="TRJ48" s="66"/>
      <c r="TRK48" s="66"/>
      <c r="TRL48" s="66"/>
      <c r="TRM48" s="66"/>
      <c r="TRN48" s="66"/>
      <c r="TRO48" s="66"/>
      <c r="TRP48" s="66"/>
      <c r="TRQ48" s="66"/>
      <c r="TRR48" s="66"/>
      <c r="TRS48" s="66"/>
      <c r="TRT48" s="66"/>
      <c r="TRU48" s="66"/>
      <c r="TRV48" s="66"/>
      <c r="TRW48" s="66"/>
      <c r="TRX48" s="66"/>
      <c r="TRY48" s="66"/>
      <c r="TRZ48" s="66"/>
      <c r="TSA48" s="66"/>
      <c r="TSB48" s="66"/>
      <c r="TSC48" s="66"/>
      <c r="TSD48" s="66"/>
      <c r="TSE48" s="66"/>
      <c r="TSF48" s="66"/>
      <c r="TSG48" s="66"/>
      <c r="TSH48" s="66"/>
      <c r="TSI48" s="66"/>
      <c r="TSJ48" s="66"/>
      <c r="TSK48" s="66"/>
      <c r="TSL48" s="66"/>
      <c r="TSM48" s="66"/>
      <c r="TSN48" s="66"/>
      <c r="TSO48" s="66"/>
      <c r="TSP48" s="66"/>
      <c r="TSQ48" s="66"/>
      <c r="TSR48" s="66"/>
      <c r="TSS48" s="66"/>
      <c r="TST48" s="66"/>
      <c r="TSU48" s="66"/>
      <c r="TSV48" s="66"/>
      <c r="TSW48" s="66"/>
      <c r="TSX48" s="66"/>
      <c r="TSY48" s="66"/>
      <c r="TSZ48" s="66"/>
      <c r="TTA48" s="66"/>
      <c r="TTB48" s="66"/>
      <c r="TTC48" s="66"/>
      <c r="TTD48" s="66"/>
      <c r="TTE48" s="66"/>
      <c r="TTF48" s="66"/>
      <c r="TTG48" s="66"/>
      <c r="TTH48" s="66"/>
      <c r="TTI48" s="66"/>
      <c r="TTJ48" s="66"/>
      <c r="TTK48" s="66"/>
      <c r="TTL48" s="66"/>
      <c r="TTM48" s="66"/>
      <c r="TTN48" s="66"/>
      <c r="TTO48" s="66"/>
      <c r="TTP48" s="66"/>
      <c r="TTQ48" s="66"/>
      <c r="TTR48" s="66"/>
      <c r="TTS48" s="66"/>
      <c r="TTT48" s="66"/>
      <c r="TTU48" s="66"/>
      <c r="TTV48" s="66"/>
      <c r="TTW48" s="66"/>
      <c r="TTX48" s="66"/>
      <c r="TTY48" s="66"/>
      <c r="TTZ48" s="66"/>
      <c r="TUA48" s="66"/>
      <c r="TUB48" s="66"/>
      <c r="TUC48" s="66"/>
      <c r="TUD48" s="66"/>
      <c r="TUE48" s="66"/>
      <c r="TUF48" s="66"/>
      <c r="TUG48" s="66"/>
      <c r="TUH48" s="66"/>
      <c r="TUI48" s="66"/>
      <c r="TUJ48" s="66"/>
      <c r="TUK48" s="66"/>
      <c r="TUL48" s="66"/>
      <c r="TUM48" s="66"/>
      <c r="TUN48" s="66"/>
      <c r="TUO48" s="66"/>
      <c r="TUP48" s="66"/>
      <c r="TUQ48" s="66"/>
      <c r="TUR48" s="66"/>
      <c r="TUS48" s="66"/>
      <c r="TUT48" s="66"/>
      <c r="TUU48" s="66"/>
      <c r="TUV48" s="66"/>
      <c r="TUW48" s="66"/>
      <c r="TUX48" s="66"/>
      <c r="TUY48" s="66"/>
      <c r="TUZ48" s="66"/>
      <c r="TVA48" s="66"/>
      <c r="TVB48" s="66"/>
      <c r="TVC48" s="66"/>
      <c r="TVD48" s="66"/>
      <c r="TVE48" s="66"/>
      <c r="TVF48" s="66"/>
      <c r="TVG48" s="66"/>
      <c r="TVH48" s="66"/>
      <c r="TVI48" s="66"/>
      <c r="TVJ48" s="66"/>
      <c r="TVK48" s="66"/>
      <c r="TVL48" s="66"/>
      <c r="TVM48" s="66"/>
      <c r="TVN48" s="66"/>
      <c r="TVO48" s="66"/>
      <c r="TVP48" s="66"/>
      <c r="TVQ48" s="66"/>
      <c r="TVR48" s="66"/>
      <c r="TVS48" s="66"/>
      <c r="TVT48" s="66"/>
      <c r="TVU48" s="66"/>
      <c r="TVV48" s="66"/>
      <c r="TVW48" s="66"/>
      <c r="TVX48" s="66"/>
      <c r="TVY48" s="66"/>
      <c r="TVZ48" s="66"/>
      <c r="TWA48" s="66"/>
      <c r="TWB48" s="66"/>
      <c r="TWC48" s="66"/>
      <c r="TWD48" s="66"/>
      <c r="TWE48" s="66"/>
      <c r="TWF48" s="66"/>
      <c r="TWG48" s="66"/>
      <c r="TWH48" s="66"/>
      <c r="TWI48" s="66"/>
      <c r="TWJ48" s="66"/>
      <c r="TWK48" s="66"/>
      <c r="TWL48" s="66"/>
      <c r="TWM48" s="66"/>
      <c r="TWN48" s="66"/>
      <c r="TWO48" s="66"/>
      <c r="TWP48" s="66"/>
      <c r="TWQ48" s="66"/>
      <c r="TWR48" s="66"/>
      <c r="TWS48" s="66"/>
      <c r="TWT48" s="66"/>
      <c r="TWU48" s="66"/>
      <c r="TWV48" s="66"/>
      <c r="TWW48" s="66"/>
      <c r="TWX48" s="66"/>
      <c r="TWY48" s="66"/>
      <c r="TWZ48" s="66"/>
      <c r="TXA48" s="66"/>
      <c r="TXB48" s="66"/>
      <c r="TXC48" s="66"/>
      <c r="TXD48" s="66"/>
      <c r="TXE48" s="66"/>
      <c r="TXF48" s="66"/>
      <c r="TXG48" s="66"/>
      <c r="TXH48" s="66"/>
      <c r="TXI48" s="66"/>
      <c r="TXJ48" s="66"/>
      <c r="TXK48" s="66"/>
      <c r="TXL48" s="66"/>
      <c r="TXM48" s="66"/>
      <c r="TXN48" s="66"/>
      <c r="TXO48" s="66"/>
      <c r="TXP48" s="66"/>
      <c r="TXQ48" s="66"/>
      <c r="TXR48" s="66"/>
      <c r="TXS48" s="66"/>
      <c r="TXT48" s="66"/>
      <c r="TXU48" s="66"/>
      <c r="TXV48" s="66"/>
      <c r="TXW48" s="66"/>
      <c r="TXX48" s="66"/>
      <c r="TXY48" s="66"/>
      <c r="TXZ48" s="66"/>
      <c r="TYA48" s="66"/>
      <c r="TYB48" s="66"/>
      <c r="TYC48" s="66"/>
      <c r="TYD48" s="66"/>
      <c r="TYE48" s="66"/>
      <c r="TYF48" s="66"/>
      <c r="TYG48" s="66"/>
      <c r="TYH48" s="66"/>
      <c r="TYI48" s="66"/>
      <c r="TYJ48" s="66"/>
      <c r="TYK48" s="66"/>
      <c r="TYL48" s="66"/>
      <c r="TYM48" s="66"/>
      <c r="TYN48" s="66"/>
      <c r="TYO48" s="66"/>
      <c r="TYP48" s="66"/>
      <c r="TYQ48" s="66"/>
      <c r="TYR48" s="66"/>
      <c r="TYS48" s="66"/>
      <c r="TYT48" s="66"/>
      <c r="TYU48" s="66"/>
      <c r="TYV48" s="66"/>
      <c r="TYW48" s="66"/>
      <c r="TYX48" s="66"/>
      <c r="TYY48" s="66"/>
      <c r="TYZ48" s="66"/>
      <c r="TZA48" s="66"/>
      <c r="TZB48" s="66"/>
      <c r="TZC48" s="66"/>
      <c r="TZD48" s="66"/>
      <c r="TZE48" s="66"/>
      <c r="TZF48" s="66"/>
      <c r="TZG48" s="66"/>
      <c r="TZH48" s="66"/>
      <c r="TZI48" s="66"/>
      <c r="TZJ48" s="66"/>
      <c r="TZK48" s="66"/>
      <c r="TZL48" s="66"/>
      <c r="TZM48" s="66"/>
      <c r="TZN48" s="66"/>
      <c r="TZO48" s="66"/>
      <c r="TZP48" s="66"/>
      <c r="TZQ48" s="66"/>
      <c r="TZR48" s="66"/>
      <c r="TZS48" s="66"/>
      <c r="TZT48" s="66"/>
      <c r="TZU48" s="66"/>
      <c r="TZV48" s="66"/>
      <c r="TZW48" s="66"/>
      <c r="TZX48" s="66"/>
      <c r="TZY48" s="66"/>
      <c r="TZZ48" s="66"/>
      <c r="UAA48" s="66"/>
      <c r="UAB48" s="66"/>
      <c r="UAC48" s="66"/>
      <c r="UAD48" s="66"/>
      <c r="UAE48" s="66"/>
      <c r="UAF48" s="66"/>
      <c r="UAG48" s="66"/>
      <c r="UAH48" s="66"/>
      <c r="UAI48" s="66"/>
      <c r="UAJ48" s="66"/>
      <c r="UAK48" s="66"/>
      <c r="UAL48" s="66"/>
      <c r="UAM48" s="66"/>
      <c r="UAN48" s="66"/>
      <c r="UAO48" s="66"/>
      <c r="UAP48" s="66"/>
      <c r="UAQ48" s="66"/>
      <c r="UAR48" s="66"/>
      <c r="UAS48" s="66"/>
      <c r="UAT48" s="66"/>
      <c r="UAU48" s="66"/>
      <c r="UAV48" s="66"/>
      <c r="UAW48" s="66"/>
      <c r="UAX48" s="66"/>
      <c r="UAY48" s="66"/>
      <c r="UAZ48" s="66"/>
      <c r="UBA48" s="66"/>
      <c r="UBB48" s="66"/>
      <c r="UBC48" s="66"/>
      <c r="UBD48" s="66"/>
      <c r="UBE48" s="66"/>
      <c r="UBF48" s="66"/>
      <c r="UBG48" s="66"/>
      <c r="UBH48" s="66"/>
      <c r="UBI48" s="66"/>
      <c r="UBJ48" s="66"/>
      <c r="UBK48" s="66"/>
      <c r="UBL48" s="66"/>
      <c r="UBM48" s="66"/>
      <c r="UBN48" s="66"/>
      <c r="UBO48" s="66"/>
      <c r="UBP48" s="66"/>
      <c r="UBQ48" s="66"/>
      <c r="UBR48" s="66"/>
      <c r="UBS48" s="66"/>
      <c r="UBT48" s="66"/>
      <c r="UBU48" s="66"/>
      <c r="UBV48" s="66"/>
      <c r="UBW48" s="66"/>
      <c r="UBX48" s="66"/>
      <c r="UBY48" s="66"/>
      <c r="UBZ48" s="66"/>
      <c r="UCA48" s="66"/>
      <c r="UCB48" s="66"/>
      <c r="UCC48" s="66"/>
      <c r="UCD48" s="66"/>
      <c r="UCE48" s="66"/>
      <c r="UCF48" s="66"/>
      <c r="UCG48" s="66"/>
      <c r="UCH48" s="66"/>
      <c r="UCI48" s="66"/>
      <c r="UCJ48" s="66"/>
      <c r="UCK48" s="66"/>
      <c r="UCL48" s="66"/>
      <c r="UCM48" s="66"/>
      <c r="UCN48" s="66"/>
      <c r="UCO48" s="66"/>
      <c r="UCP48" s="66"/>
      <c r="UCQ48" s="66"/>
      <c r="UCR48" s="66"/>
      <c r="UCS48" s="66"/>
      <c r="UCT48" s="66"/>
      <c r="UCU48" s="66"/>
      <c r="UCV48" s="66"/>
      <c r="UCW48" s="66"/>
      <c r="UCX48" s="66"/>
      <c r="UCY48" s="66"/>
      <c r="UCZ48" s="66"/>
      <c r="UDA48" s="66"/>
      <c r="UDB48" s="66"/>
      <c r="UDC48" s="66"/>
      <c r="UDD48" s="66"/>
      <c r="UDE48" s="66"/>
      <c r="UDF48" s="66"/>
      <c r="UDG48" s="66"/>
      <c r="UDH48" s="66"/>
      <c r="UDI48" s="66"/>
      <c r="UDJ48" s="66"/>
      <c r="UDK48" s="66"/>
      <c r="UDL48" s="66"/>
      <c r="UDM48" s="66"/>
      <c r="UDN48" s="66"/>
      <c r="UDO48" s="66"/>
      <c r="UDP48" s="66"/>
      <c r="UDQ48" s="66"/>
      <c r="UDR48" s="66"/>
      <c r="UDS48" s="66"/>
      <c r="UDT48" s="66"/>
      <c r="UDU48" s="66"/>
      <c r="UDV48" s="66"/>
      <c r="UDW48" s="66"/>
      <c r="UDX48" s="66"/>
      <c r="UDY48" s="66"/>
      <c r="UDZ48" s="66"/>
      <c r="UEA48" s="66"/>
      <c r="UEB48" s="66"/>
      <c r="UEC48" s="66"/>
      <c r="UED48" s="66"/>
      <c r="UEE48" s="66"/>
      <c r="UEF48" s="66"/>
      <c r="UEG48" s="66"/>
      <c r="UEH48" s="66"/>
      <c r="UEI48" s="66"/>
      <c r="UEJ48" s="66"/>
      <c r="UEK48" s="66"/>
      <c r="UEL48" s="66"/>
      <c r="UEM48" s="66"/>
      <c r="UEN48" s="66"/>
      <c r="UEO48" s="66"/>
      <c r="UEP48" s="66"/>
      <c r="UEQ48" s="66"/>
      <c r="UER48" s="66"/>
      <c r="UES48" s="66"/>
      <c r="UET48" s="66"/>
      <c r="UEU48" s="66"/>
      <c r="UEV48" s="66"/>
      <c r="UEW48" s="66"/>
      <c r="UEX48" s="66"/>
      <c r="UEY48" s="66"/>
      <c r="UEZ48" s="66"/>
      <c r="UFA48" s="66"/>
      <c r="UFB48" s="66"/>
      <c r="UFC48" s="66"/>
      <c r="UFD48" s="66"/>
      <c r="UFE48" s="66"/>
      <c r="UFF48" s="66"/>
      <c r="UFG48" s="66"/>
      <c r="UFH48" s="66"/>
      <c r="UFI48" s="66"/>
      <c r="UFJ48" s="66"/>
      <c r="UFK48" s="66"/>
      <c r="UFL48" s="66"/>
      <c r="UFM48" s="66"/>
      <c r="UFN48" s="66"/>
      <c r="UFO48" s="66"/>
      <c r="UFP48" s="66"/>
      <c r="UFQ48" s="66"/>
      <c r="UFR48" s="66"/>
      <c r="UFS48" s="66"/>
      <c r="UFT48" s="66"/>
      <c r="UFU48" s="66"/>
      <c r="UFV48" s="66"/>
      <c r="UFW48" s="66"/>
      <c r="UFX48" s="66"/>
      <c r="UFY48" s="66"/>
      <c r="UFZ48" s="66"/>
      <c r="UGA48" s="66"/>
      <c r="UGB48" s="66"/>
      <c r="UGC48" s="66"/>
      <c r="UGD48" s="66"/>
      <c r="UGE48" s="66"/>
      <c r="UGF48" s="66"/>
      <c r="UGG48" s="66"/>
      <c r="UGH48" s="66"/>
      <c r="UGI48" s="66"/>
      <c r="UGJ48" s="66"/>
      <c r="UGK48" s="66"/>
      <c r="UGL48" s="66"/>
      <c r="UGM48" s="66"/>
      <c r="UGN48" s="66"/>
      <c r="UGO48" s="66"/>
      <c r="UGP48" s="66"/>
      <c r="UGQ48" s="66"/>
      <c r="UGR48" s="66"/>
      <c r="UGS48" s="66"/>
      <c r="UGT48" s="66"/>
      <c r="UGU48" s="66"/>
      <c r="UGV48" s="66"/>
      <c r="UGW48" s="66"/>
      <c r="UGX48" s="66"/>
      <c r="UGY48" s="66"/>
      <c r="UGZ48" s="66"/>
      <c r="UHA48" s="66"/>
      <c r="UHB48" s="66"/>
      <c r="UHC48" s="66"/>
      <c r="UHD48" s="66"/>
      <c r="UHE48" s="66"/>
      <c r="UHF48" s="66"/>
      <c r="UHG48" s="66"/>
      <c r="UHH48" s="66"/>
      <c r="UHI48" s="66"/>
      <c r="UHJ48" s="66"/>
      <c r="UHK48" s="66"/>
      <c r="UHL48" s="66"/>
      <c r="UHM48" s="66"/>
      <c r="UHN48" s="66"/>
      <c r="UHO48" s="66"/>
      <c r="UHP48" s="66"/>
      <c r="UHQ48" s="66"/>
      <c r="UHR48" s="66"/>
      <c r="UHS48" s="66"/>
      <c r="UHT48" s="66"/>
      <c r="UHU48" s="66"/>
      <c r="UHV48" s="66"/>
      <c r="UHW48" s="66"/>
      <c r="UHX48" s="66"/>
      <c r="UHY48" s="66"/>
      <c r="UHZ48" s="66"/>
      <c r="UIA48" s="66"/>
      <c r="UIB48" s="66"/>
      <c r="UIC48" s="66"/>
      <c r="UID48" s="66"/>
      <c r="UIE48" s="66"/>
      <c r="UIF48" s="66"/>
      <c r="UIG48" s="66"/>
      <c r="UIH48" s="66"/>
      <c r="UII48" s="66"/>
      <c r="UIJ48" s="66"/>
      <c r="UIK48" s="66"/>
      <c r="UIL48" s="66"/>
      <c r="UIM48" s="66"/>
      <c r="UIN48" s="66"/>
      <c r="UIO48" s="66"/>
      <c r="UIP48" s="66"/>
      <c r="UIQ48" s="66"/>
      <c r="UIR48" s="66"/>
      <c r="UIS48" s="66"/>
      <c r="UIT48" s="66"/>
      <c r="UIU48" s="66"/>
      <c r="UIV48" s="66"/>
      <c r="UIW48" s="66"/>
      <c r="UIX48" s="66"/>
      <c r="UIY48" s="66"/>
      <c r="UIZ48" s="66"/>
      <c r="UJA48" s="66"/>
      <c r="UJB48" s="66"/>
      <c r="UJC48" s="66"/>
      <c r="UJD48" s="66"/>
      <c r="UJE48" s="66"/>
      <c r="UJF48" s="66"/>
      <c r="UJG48" s="66"/>
      <c r="UJH48" s="66"/>
      <c r="UJI48" s="66"/>
      <c r="UJJ48" s="66"/>
      <c r="UJK48" s="66"/>
      <c r="UJL48" s="66"/>
      <c r="UJM48" s="66"/>
      <c r="UJN48" s="66"/>
      <c r="UJO48" s="66"/>
      <c r="UJP48" s="66"/>
      <c r="UJQ48" s="66"/>
      <c r="UJR48" s="66"/>
      <c r="UJS48" s="66"/>
      <c r="UJT48" s="66"/>
      <c r="UJU48" s="66"/>
      <c r="UJV48" s="66"/>
      <c r="UJW48" s="66"/>
      <c r="UJX48" s="66"/>
      <c r="UJY48" s="66"/>
      <c r="UJZ48" s="66"/>
      <c r="UKA48" s="66"/>
      <c r="UKB48" s="66"/>
      <c r="UKC48" s="66"/>
      <c r="UKD48" s="66"/>
      <c r="UKE48" s="66"/>
      <c r="UKF48" s="66"/>
      <c r="UKG48" s="66"/>
      <c r="UKH48" s="66"/>
      <c r="UKI48" s="66"/>
      <c r="UKJ48" s="66"/>
      <c r="UKK48" s="66"/>
      <c r="UKL48" s="66"/>
      <c r="UKM48" s="66"/>
      <c r="UKN48" s="66"/>
      <c r="UKO48" s="66"/>
      <c r="UKP48" s="66"/>
      <c r="UKQ48" s="66"/>
      <c r="UKR48" s="66"/>
      <c r="UKS48" s="66"/>
      <c r="UKT48" s="66"/>
      <c r="UKU48" s="66"/>
      <c r="UKV48" s="66"/>
      <c r="UKW48" s="66"/>
      <c r="UKX48" s="66"/>
      <c r="UKY48" s="66"/>
      <c r="UKZ48" s="66"/>
      <c r="ULA48" s="66"/>
      <c r="ULB48" s="66"/>
      <c r="ULC48" s="66"/>
      <c r="ULD48" s="66"/>
      <c r="ULE48" s="66"/>
      <c r="ULF48" s="66"/>
      <c r="ULG48" s="66"/>
      <c r="ULH48" s="66"/>
      <c r="ULI48" s="66"/>
      <c r="ULJ48" s="66"/>
      <c r="ULK48" s="66"/>
      <c r="ULL48" s="66"/>
      <c r="ULM48" s="66"/>
      <c r="ULN48" s="66"/>
      <c r="ULO48" s="66"/>
      <c r="ULP48" s="66"/>
      <c r="ULQ48" s="66"/>
      <c r="ULR48" s="66"/>
      <c r="ULS48" s="66"/>
      <c r="ULT48" s="66"/>
      <c r="ULU48" s="66"/>
      <c r="ULV48" s="66"/>
      <c r="ULW48" s="66"/>
      <c r="ULX48" s="66"/>
      <c r="ULY48" s="66"/>
      <c r="ULZ48" s="66"/>
      <c r="UMA48" s="66"/>
      <c r="UMB48" s="66"/>
      <c r="UMC48" s="66"/>
      <c r="UMD48" s="66"/>
      <c r="UME48" s="66"/>
      <c r="UMF48" s="66"/>
      <c r="UMG48" s="66"/>
      <c r="UMH48" s="66"/>
      <c r="UMI48" s="66"/>
      <c r="UMJ48" s="66"/>
      <c r="UMK48" s="66"/>
      <c r="UML48" s="66"/>
      <c r="UMM48" s="66"/>
      <c r="UMN48" s="66"/>
      <c r="UMO48" s="66"/>
      <c r="UMP48" s="66"/>
      <c r="UMQ48" s="66"/>
      <c r="UMR48" s="66"/>
      <c r="UMS48" s="66"/>
      <c r="UMT48" s="66"/>
      <c r="UMU48" s="66"/>
      <c r="UMV48" s="66"/>
      <c r="UMW48" s="66"/>
      <c r="UMX48" s="66"/>
      <c r="UMY48" s="66"/>
      <c r="UMZ48" s="66"/>
      <c r="UNA48" s="66"/>
      <c r="UNB48" s="66"/>
      <c r="UNC48" s="66"/>
      <c r="UND48" s="66"/>
      <c r="UNE48" s="66"/>
      <c r="UNF48" s="66"/>
      <c r="UNG48" s="66"/>
      <c r="UNH48" s="66"/>
      <c r="UNI48" s="66"/>
      <c r="UNJ48" s="66"/>
      <c r="UNK48" s="66"/>
      <c r="UNL48" s="66"/>
      <c r="UNM48" s="66"/>
      <c r="UNN48" s="66"/>
      <c r="UNO48" s="66"/>
      <c r="UNP48" s="66"/>
      <c r="UNQ48" s="66"/>
      <c r="UNR48" s="66"/>
      <c r="UNS48" s="66"/>
      <c r="UNT48" s="66"/>
      <c r="UNU48" s="66"/>
      <c r="UNV48" s="66"/>
      <c r="UNW48" s="66"/>
      <c r="UNX48" s="66"/>
      <c r="UNY48" s="66"/>
      <c r="UNZ48" s="66"/>
      <c r="UOA48" s="66"/>
      <c r="UOB48" s="66"/>
      <c r="UOC48" s="66"/>
      <c r="UOD48" s="66"/>
      <c r="UOE48" s="66"/>
      <c r="UOF48" s="66"/>
      <c r="UOG48" s="66"/>
      <c r="UOH48" s="66"/>
      <c r="UOI48" s="66"/>
      <c r="UOJ48" s="66"/>
      <c r="UOK48" s="66"/>
      <c r="UOL48" s="66"/>
      <c r="UOM48" s="66"/>
      <c r="UON48" s="66"/>
      <c r="UOO48" s="66"/>
      <c r="UOP48" s="66"/>
      <c r="UOQ48" s="66"/>
      <c r="UOR48" s="66"/>
      <c r="UOS48" s="66"/>
      <c r="UOT48" s="66"/>
      <c r="UOU48" s="66"/>
      <c r="UOV48" s="66"/>
      <c r="UOW48" s="66"/>
      <c r="UOX48" s="66"/>
      <c r="UOY48" s="66"/>
      <c r="UOZ48" s="66"/>
      <c r="UPA48" s="66"/>
      <c r="UPB48" s="66"/>
      <c r="UPC48" s="66"/>
      <c r="UPD48" s="66"/>
      <c r="UPE48" s="66"/>
      <c r="UPF48" s="66"/>
      <c r="UPG48" s="66"/>
      <c r="UPH48" s="66"/>
      <c r="UPI48" s="66"/>
      <c r="UPJ48" s="66"/>
      <c r="UPK48" s="66"/>
      <c r="UPL48" s="66"/>
      <c r="UPM48" s="66"/>
      <c r="UPN48" s="66"/>
      <c r="UPO48" s="66"/>
      <c r="UPP48" s="66"/>
      <c r="UPQ48" s="66"/>
      <c r="UPR48" s="66"/>
      <c r="UPS48" s="66"/>
      <c r="UPT48" s="66"/>
      <c r="UPU48" s="66"/>
      <c r="UPV48" s="66"/>
      <c r="UPW48" s="66"/>
      <c r="UPX48" s="66"/>
      <c r="UPY48" s="66"/>
      <c r="UPZ48" s="66"/>
      <c r="UQA48" s="66"/>
      <c r="UQB48" s="66"/>
      <c r="UQC48" s="66"/>
      <c r="UQD48" s="66"/>
      <c r="UQE48" s="66"/>
      <c r="UQF48" s="66"/>
      <c r="UQG48" s="66"/>
      <c r="UQH48" s="66"/>
      <c r="UQI48" s="66"/>
      <c r="UQJ48" s="66"/>
      <c r="UQK48" s="66"/>
      <c r="UQL48" s="66"/>
      <c r="UQM48" s="66"/>
      <c r="UQN48" s="66"/>
      <c r="UQO48" s="66"/>
      <c r="UQP48" s="66"/>
      <c r="UQQ48" s="66"/>
      <c r="UQR48" s="66"/>
      <c r="UQS48" s="66"/>
      <c r="UQT48" s="66"/>
      <c r="UQU48" s="66"/>
      <c r="UQV48" s="66"/>
      <c r="UQW48" s="66"/>
      <c r="UQX48" s="66"/>
      <c r="UQY48" s="66"/>
      <c r="UQZ48" s="66"/>
      <c r="URA48" s="66"/>
      <c r="URB48" s="66"/>
      <c r="URC48" s="66"/>
      <c r="URD48" s="66"/>
      <c r="URE48" s="66"/>
      <c r="URF48" s="66"/>
      <c r="URG48" s="66"/>
      <c r="URH48" s="66"/>
      <c r="URI48" s="66"/>
      <c r="URJ48" s="66"/>
      <c r="URK48" s="66"/>
      <c r="URL48" s="66"/>
      <c r="URM48" s="66"/>
      <c r="URN48" s="66"/>
      <c r="URO48" s="66"/>
      <c r="URP48" s="66"/>
      <c r="URQ48" s="66"/>
      <c r="URR48" s="66"/>
      <c r="URS48" s="66"/>
      <c r="URT48" s="66"/>
      <c r="URU48" s="66"/>
      <c r="URV48" s="66"/>
      <c r="URW48" s="66"/>
      <c r="URX48" s="66"/>
      <c r="URY48" s="66"/>
      <c r="URZ48" s="66"/>
      <c r="USA48" s="66"/>
      <c r="USB48" s="66"/>
      <c r="USC48" s="66"/>
      <c r="USD48" s="66"/>
      <c r="USE48" s="66"/>
      <c r="USF48" s="66"/>
      <c r="USG48" s="66"/>
      <c r="USH48" s="66"/>
      <c r="USI48" s="66"/>
      <c r="USJ48" s="66"/>
      <c r="USK48" s="66"/>
      <c r="USL48" s="66"/>
      <c r="USM48" s="66"/>
      <c r="USN48" s="66"/>
      <c r="USO48" s="66"/>
      <c r="USP48" s="66"/>
      <c r="USQ48" s="66"/>
      <c r="USR48" s="66"/>
      <c r="USS48" s="66"/>
      <c r="UST48" s="66"/>
      <c r="USU48" s="66"/>
      <c r="USV48" s="66"/>
      <c r="USW48" s="66"/>
      <c r="USX48" s="66"/>
      <c r="USY48" s="66"/>
      <c r="USZ48" s="66"/>
      <c r="UTA48" s="66"/>
      <c r="UTB48" s="66"/>
      <c r="UTC48" s="66"/>
      <c r="UTD48" s="66"/>
      <c r="UTE48" s="66"/>
      <c r="UTF48" s="66"/>
      <c r="UTG48" s="66"/>
      <c r="UTH48" s="66"/>
      <c r="UTI48" s="66"/>
      <c r="UTJ48" s="66"/>
      <c r="UTK48" s="66"/>
      <c r="UTL48" s="66"/>
      <c r="UTM48" s="66"/>
      <c r="UTN48" s="66"/>
      <c r="UTO48" s="66"/>
      <c r="UTP48" s="66"/>
      <c r="UTQ48" s="66"/>
      <c r="UTR48" s="66"/>
      <c r="UTS48" s="66"/>
      <c r="UTT48" s="66"/>
      <c r="UTU48" s="66"/>
      <c r="UTV48" s="66"/>
      <c r="UTW48" s="66"/>
      <c r="UTX48" s="66"/>
      <c r="UTY48" s="66"/>
      <c r="UTZ48" s="66"/>
      <c r="UUA48" s="66"/>
      <c r="UUB48" s="66"/>
      <c r="UUC48" s="66"/>
      <c r="UUD48" s="66"/>
      <c r="UUE48" s="66"/>
      <c r="UUF48" s="66"/>
      <c r="UUG48" s="66"/>
      <c r="UUH48" s="66"/>
      <c r="UUI48" s="66"/>
      <c r="UUJ48" s="66"/>
      <c r="UUK48" s="66"/>
      <c r="UUL48" s="66"/>
      <c r="UUM48" s="66"/>
      <c r="UUN48" s="66"/>
      <c r="UUO48" s="66"/>
      <c r="UUP48" s="66"/>
      <c r="UUQ48" s="66"/>
      <c r="UUR48" s="66"/>
      <c r="UUS48" s="66"/>
      <c r="UUT48" s="66"/>
      <c r="UUU48" s="66"/>
      <c r="UUV48" s="66"/>
      <c r="UUW48" s="66"/>
      <c r="UUX48" s="66"/>
      <c r="UUY48" s="66"/>
      <c r="UUZ48" s="66"/>
      <c r="UVA48" s="66"/>
      <c r="UVB48" s="66"/>
      <c r="UVC48" s="66"/>
      <c r="UVD48" s="66"/>
      <c r="UVE48" s="66"/>
      <c r="UVF48" s="66"/>
      <c r="UVG48" s="66"/>
      <c r="UVH48" s="66"/>
      <c r="UVI48" s="66"/>
      <c r="UVJ48" s="66"/>
      <c r="UVK48" s="66"/>
      <c r="UVL48" s="66"/>
      <c r="UVM48" s="66"/>
      <c r="UVN48" s="66"/>
      <c r="UVO48" s="66"/>
      <c r="UVP48" s="66"/>
      <c r="UVQ48" s="66"/>
      <c r="UVR48" s="66"/>
      <c r="UVS48" s="66"/>
      <c r="UVT48" s="66"/>
      <c r="UVU48" s="66"/>
      <c r="UVV48" s="66"/>
      <c r="UVW48" s="66"/>
      <c r="UVX48" s="66"/>
      <c r="UVY48" s="66"/>
      <c r="UVZ48" s="66"/>
      <c r="UWA48" s="66"/>
      <c r="UWB48" s="66"/>
      <c r="UWC48" s="66"/>
      <c r="UWD48" s="66"/>
      <c r="UWE48" s="66"/>
      <c r="UWF48" s="66"/>
      <c r="UWG48" s="66"/>
      <c r="UWH48" s="66"/>
      <c r="UWI48" s="66"/>
      <c r="UWJ48" s="66"/>
      <c r="UWK48" s="66"/>
      <c r="UWL48" s="66"/>
      <c r="UWM48" s="66"/>
      <c r="UWN48" s="66"/>
      <c r="UWO48" s="66"/>
      <c r="UWP48" s="66"/>
      <c r="UWQ48" s="66"/>
      <c r="UWR48" s="66"/>
      <c r="UWS48" s="66"/>
      <c r="UWT48" s="66"/>
      <c r="UWU48" s="66"/>
      <c r="UWV48" s="66"/>
      <c r="UWW48" s="66"/>
      <c r="UWX48" s="66"/>
      <c r="UWY48" s="66"/>
      <c r="UWZ48" s="66"/>
      <c r="UXA48" s="66"/>
      <c r="UXB48" s="66"/>
      <c r="UXC48" s="66"/>
      <c r="UXD48" s="66"/>
      <c r="UXE48" s="66"/>
      <c r="UXF48" s="66"/>
      <c r="UXG48" s="66"/>
      <c r="UXH48" s="66"/>
      <c r="UXI48" s="66"/>
      <c r="UXJ48" s="66"/>
      <c r="UXK48" s="66"/>
      <c r="UXL48" s="66"/>
      <c r="UXM48" s="66"/>
      <c r="UXN48" s="66"/>
      <c r="UXO48" s="66"/>
      <c r="UXP48" s="66"/>
      <c r="UXQ48" s="66"/>
      <c r="UXR48" s="66"/>
      <c r="UXS48" s="66"/>
      <c r="UXT48" s="66"/>
      <c r="UXU48" s="66"/>
      <c r="UXV48" s="66"/>
      <c r="UXW48" s="66"/>
      <c r="UXX48" s="66"/>
      <c r="UXY48" s="66"/>
      <c r="UXZ48" s="66"/>
      <c r="UYA48" s="66"/>
      <c r="UYB48" s="66"/>
      <c r="UYC48" s="66"/>
      <c r="UYD48" s="66"/>
      <c r="UYE48" s="66"/>
      <c r="UYF48" s="66"/>
      <c r="UYG48" s="66"/>
      <c r="UYH48" s="66"/>
      <c r="UYI48" s="66"/>
      <c r="UYJ48" s="66"/>
      <c r="UYK48" s="66"/>
      <c r="UYL48" s="66"/>
      <c r="UYM48" s="66"/>
      <c r="UYN48" s="66"/>
      <c r="UYO48" s="66"/>
      <c r="UYP48" s="66"/>
      <c r="UYQ48" s="66"/>
      <c r="UYR48" s="66"/>
      <c r="UYS48" s="66"/>
      <c r="UYT48" s="66"/>
      <c r="UYU48" s="66"/>
      <c r="UYV48" s="66"/>
      <c r="UYW48" s="66"/>
      <c r="UYX48" s="66"/>
      <c r="UYY48" s="66"/>
      <c r="UYZ48" s="66"/>
      <c r="UZA48" s="66"/>
      <c r="UZB48" s="66"/>
      <c r="UZC48" s="66"/>
      <c r="UZD48" s="66"/>
      <c r="UZE48" s="66"/>
      <c r="UZF48" s="66"/>
      <c r="UZG48" s="66"/>
      <c r="UZH48" s="66"/>
      <c r="UZI48" s="66"/>
      <c r="UZJ48" s="66"/>
      <c r="UZK48" s="66"/>
      <c r="UZL48" s="66"/>
      <c r="UZM48" s="66"/>
      <c r="UZN48" s="66"/>
      <c r="UZO48" s="66"/>
      <c r="UZP48" s="66"/>
      <c r="UZQ48" s="66"/>
      <c r="UZR48" s="66"/>
      <c r="UZS48" s="66"/>
      <c r="UZT48" s="66"/>
      <c r="UZU48" s="66"/>
      <c r="UZV48" s="66"/>
      <c r="UZW48" s="66"/>
      <c r="UZX48" s="66"/>
      <c r="UZY48" s="66"/>
      <c r="UZZ48" s="66"/>
      <c r="VAA48" s="66"/>
      <c r="VAB48" s="66"/>
      <c r="VAC48" s="66"/>
      <c r="VAD48" s="66"/>
      <c r="VAE48" s="66"/>
      <c r="VAF48" s="66"/>
      <c r="VAG48" s="66"/>
      <c r="VAH48" s="66"/>
      <c r="VAI48" s="66"/>
      <c r="VAJ48" s="66"/>
      <c r="VAK48" s="66"/>
      <c r="VAL48" s="66"/>
      <c r="VAM48" s="66"/>
      <c r="VAN48" s="66"/>
      <c r="VAO48" s="66"/>
      <c r="VAP48" s="66"/>
      <c r="VAQ48" s="66"/>
      <c r="VAR48" s="66"/>
      <c r="VAS48" s="66"/>
      <c r="VAT48" s="66"/>
      <c r="VAU48" s="66"/>
      <c r="VAV48" s="66"/>
      <c r="VAW48" s="66"/>
      <c r="VAX48" s="66"/>
      <c r="VAY48" s="66"/>
      <c r="VAZ48" s="66"/>
      <c r="VBA48" s="66"/>
      <c r="VBB48" s="66"/>
      <c r="VBC48" s="66"/>
      <c r="VBD48" s="66"/>
      <c r="VBE48" s="66"/>
      <c r="VBF48" s="66"/>
      <c r="VBG48" s="66"/>
      <c r="VBH48" s="66"/>
      <c r="VBI48" s="66"/>
      <c r="VBJ48" s="66"/>
      <c r="VBK48" s="66"/>
      <c r="VBL48" s="66"/>
      <c r="VBM48" s="66"/>
      <c r="VBN48" s="66"/>
      <c r="VBO48" s="66"/>
      <c r="VBP48" s="66"/>
      <c r="VBQ48" s="66"/>
      <c r="VBR48" s="66"/>
      <c r="VBS48" s="66"/>
      <c r="VBT48" s="66"/>
      <c r="VBU48" s="66"/>
      <c r="VBV48" s="66"/>
      <c r="VBW48" s="66"/>
      <c r="VBX48" s="66"/>
      <c r="VBY48" s="66"/>
      <c r="VBZ48" s="66"/>
      <c r="VCA48" s="66"/>
      <c r="VCB48" s="66"/>
      <c r="VCC48" s="66"/>
      <c r="VCD48" s="66"/>
      <c r="VCE48" s="66"/>
      <c r="VCF48" s="66"/>
      <c r="VCG48" s="66"/>
      <c r="VCH48" s="66"/>
      <c r="VCI48" s="66"/>
      <c r="VCJ48" s="66"/>
      <c r="VCK48" s="66"/>
      <c r="VCL48" s="66"/>
      <c r="VCM48" s="66"/>
      <c r="VCN48" s="66"/>
      <c r="VCO48" s="66"/>
      <c r="VCP48" s="66"/>
      <c r="VCQ48" s="66"/>
      <c r="VCR48" s="66"/>
      <c r="VCS48" s="66"/>
      <c r="VCT48" s="66"/>
      <c r="VCU48" s="66"/>
      <c r="VCV48" s="66"/>
      <c r="VCW48" s="66"/>
      <c r="VCX48" s="66"/>
      <c r="VCY48" s="66"/>
      <c r="VCZ48" s="66"/>
      <c r="VDA48" s="66"/>
      <c r="VDB48" s="66"/>
      <c r="VDC48" s="66"/>
      <c r="VDD48" s="66"/>
      <c r="VDE48" s="66"/>
      <c r="VDF48" s="66"/>
      <c r="VDG48" s="66"/>
      <c r="VDH48" s="66"/>
      <c r="VDI48" s="66"/>
      <c r="VDJ48" s="66"/>
      <c r="VDK48" s="66"/>
      <c r="VDL48" s="66"/>
      <c r="VDM48" s="66"/>
      <c r="VDN48" s="66"/>
      <c r="VDO48" s="66"/>
      <c r="VDP48" s="66"/>
      <c r="VDQ48" s="66"/>
      <c r="VDR48" s="66"/>
      <c r="VDS48" s="66"/>
      <c r="VDT48" s="66"/>
      <c r="VDU48" s="66"/>
      <c r="VDV48" s="66"/>
      <c r="VDW48" s="66"/>
      <c r="VDX48" s="66"/>
      <c r="VDY48" s="66"/>
      <c r="VDZ48" s="66"/>
      <c r="VEA48" s="66"/>
      <c r="VEB48" s="66"/>
      <c r="VEC48" s="66"/>
      <c r="VED48" s="66"/>
      <c r="VEE48" s="66"/>
      <c r="VEF48" s="66"/>
      <c r="VEG48" s="66"/>
      <c r="VEH48" s="66"/>
      <c r="VEI48" s="66"/>
      <c r="VEJ48" s="66"/>
      <c r="VEK48" s="66"/>
      <c r="VEL48" s="66"/>
      <c r="VEM48" s="66"/>
      <c r="VEN48" s="66"/>
      <c r="VEO48" s="66"/>
      <c r="VEP48" s="66"/>
      <c r="VEQ48" s="66"/>
      <c r="VER48" s="66"/>
      <c r="VES48" s="66"/>
      <c r="VET48" s="66"/>
      <c r="VEU48" s="66"/>
      <c r="VEV48" s="66"/>
      <c r="VEW48" s="66"/>
      <c r="VEX48" s="66"/>
      <c r="VEY48" s="66"/>
      <c r="VEZ48" s="66"/>
      <c r="VFA48" s="66"/>
      <c r="VFB48" s="66"/>
      <c r="VFC48" s="66"/>
      <c r="VFD48" s="66"/>
      <c r="VFE48" s="66"/>
      <c r="VFF48" s="66"/>
      <c r="VFG48" s="66"/>
      <c r="VFH48" s="66"/>
      <c r="VFI48" s="66"/>
      <c r="VFJ48" s="66"/>
      <c r="VFK48" s="66"/>
      <c r="VFL48" s="66"/>
      <c r="VFM48" s="66"/>
      <c r="VFN48" s="66"/>
      <c r="VFO48" s="66"/>
      <c r="VFP48" s="66"/>
      <c r="VFQ48" s="66"/>
      <c r="VFR48" s="66"/>
      <c r="VFS48" s="66"/>
      <c r="VFT48" s="66"/>
      <c r="VFU48" s="66"/>
      <c r="VFV48" s="66"/>
      <c r="VFW48" s="66"/>
      <c r="VFX48" s="66"/>
      <c r="VFY48" s="66"/>
      <c r="VFZ48" s="66"/>
      <c r="VGA48" s="66"/>
      <c r="VGB48" s="66"/>
      <c r="VGC48" s="66"/>
      <c r="VGD48" s="66"/>
      <c r="VGE48" s="66"/>
      <c r="VGF48" s="66"/>
      <c r="VGG48" s="66"/>
      <c r="VGH48" s="66"/>
      <c r="VGI48" s="66"/>
      <c r="VGJ48" s="66"/>
      <c r="VGK48" s="66"/>
      <c r="VGL48" s="66"/>
      <c r="VGM48" s="66"/>
      <c r="VGN48" s="66"/>
      <c r="VGO48" s="66"/>
      <c r="VGP48" s="66"/>
      <c r="VGQ48" s="66"/>
      <c r="VGR48" s="66"/>
      <c r="VGS48" s="66"/>
      <c r="VGT48" s="66"/>
      <c r="VGU48" s="66"/>
      <c r="VGV48" s="66"/>
      <c r="VGW48" s="66"/>
      <c r="VGX48" s="66"/>
      <c r="VGY48" s="66"/>
      <c r="VGZ48" s="66"/>
      <c r="VHA48" s="66"/>
      <c r="VHB48" s="66"/>
      <c r="VHC48" s="66"/>
      <c r="VHD48" s="66"/>
      <c r="VHE48" s="66"/>
      <c r="VHF48" s="66"/>
      <c r="VHG48" s="66"/>
      <c r="VHH48" s="66"/>
      <c r="VHI48" s="66"/>
      <c r="VHJ48" s="66"/>
      <c r="VHK48" s="66"/>
      <c r="VHL48" s="66"/>
      <c r="VHM48" s="66"/>
      <c r="VHN48" s="66"/>
      <c r="VHO48" s="66"/>
      <c r="VHP48" s="66"/>
      <c r="VHQ48" s="66"/>
      <c r="VHR48" s="66"/>
      <c r="VHS48" s="66"/>
      <c r="VHT48" s="66"/>
      <c r="VHU48" s="66"/>
      <c r="VHV48" s="66"/>
      <c r="VHW48" s="66"/>
      <c r="VHX48" s="66"/>
      <c r="VHY48" s="66"/>
      <c r="VHZ48" s="66"/>
      <c r="VIA48" s="66"/>
      <c r="VIB48" s="66"/>
      <c r="VIC48" s="66"/>
      <c r="VID48" s="66"/>
      <c r="VIE48" s="66"/>
      <c r="VIF48" s="66"/>
      <c r="VIG48" s="66"/>
      <c r="VIH48" s="66"/>
      <c r="VII48" s="66"/>
      <c r="VIJ48" s="66"/>
      <c r="VIK48" s="66"/>
      <c r="VIL48" s="66"/>
      <c r="VIM48" s="66"/>
      <c r="VIN48" s="66"/>
      <c r="VIO48" s="66"/>
      <c r="VIP48" s="66"/>
      <c r="VIQ48" s="66"/>
      <c r="VIR48" s="66"/>
      <c r="VIS48" s="66"/>
      <c r="VIT48" s="66"/>
      <c r="VIU48" s="66"/>
      <c r="VIV48" s="66"/>
      <c r="VIW48" s="66"/>
      <c r="VIX48" s="66"/>
      <c r="VIY48" s="66"/>
      <c r="VIZ48" s="66"/>
      <c r="VJA48" s="66"/>
      <c r="VJB48" s="66"/>
      <c r="VJC48" s="66"/>
      <c r="VJD48" s="66"/>
      <c r="VJE48" s="66"/>
      <c r="VJF48" s="66"/>
      <c r="VJG48" s="66"/>
      <c r="VJH48" s="66"/>
      <c r="VJI48" s="66"/>
      <c r="VJJ48" s="66"/>
      <c r="VJK48" s="66"/>
      <c r="VJL48" s="66"/>
      <c r="VJM48" s="66"/>
      <c r="VJN48" s="66"/>
      <c r="VJO48" s="66"/>
      <c r="VJP48" s="66"/>
      <c r="VJQ48" s="66"/>
      <c r="VJR48" s="66"/>
      <c r="VJS48" s="66"/>
      <c r="VJT48" s="66"/>
      <c r="VJU48" s="66"/>
      <c r="VJV48" s="66"/>
      <c r="VJW48" s="66"/>
      <c r="VJX48" s="66"/>
      <c r="VJY48" s="66"/>
      <c r="VJZ48" s="66"/>
      <c r="VKA48" s="66"/>
      <c r="VKB48" s="66"/>
      <c r="VKC48" s="66"/>
      <c r="VKD48" s="66"/>
      <c r="VKE48" s="66"/>
      <c r="VKF48" s="66"/>
      <c r="VKG48" s="66"/>
      <c r="VKH48" s="66"/>
      <c r="VKI48" s="66"/>
      <c r="VKJ48" s="66"/>
      <c r="VKK48" s="66"/>
      <c r="VKL48" s="66"/>
      <c r="VKM48" s="66"/>
      <c r="VKN48" s="66"/>
      <c r="VKO48" s="66"/>
      <c r="VKP48" s="66"/>
      <c r="VKQ48" s="66"/>
      <c r="VKR48" s="66"/>
      <c r="VKS48" s="66"/>
      <c r="VKT48" s="66"/>
      <c r="VKU48" s="66"/>
      <c r="VKV48" s="66"/>
      <c r="VKW48" s="66"/>
      <c r="VKX48" s="66"/>
      <c r="VKY48" s="66"/>
      <c r="VKZ48" s="66"/>
      <c r="VLA48" s="66"/>
      <c r="VLB48" s="66"/>
      <c r="VLC48" s="66"/>
      <c r="VLD48" s="66"/>
      <c r="VLE48" s="66"/>
      <c r="VLF48" s="66"/>
      <c r="VLG48" s="66"/>
      <c r="VLH48" s="66"/>
      <c r="VLI48" s="66"/>
      <c r="VLJ48" s="66"/>
      <c r="VLK48" s="66"/>
      <c r="VLL48" s="66"/>
      <c r="VLM48" s="66"/>
      <c r="VLN48" s="66"/>
      <c r="VLO48" s="66"/>
      <c r="VLP48" s="66"/>
      <c r="VLQ48" s="66"/>
      <c r="VLR48" s="66"/>
      <c r="VLS48" s="66"/>
      <c r="VLT48" s="66"/>
      <c r="VLU48" s="66"/>
      <c r="VLV48" s="66"/>
      <c r="VLW48" s="66"/>
      <c r="VLX48" s="66"/>
      <c r="VLY48" s="66"/>
      <c r="VLZ48" s="66"/>
      <c r="VMA48" s="66"/>
      <c r="VMB48" s="66"/>
      <c r="VMC48" s="66"/>
      <c r="VMD48" s="66"/>
      <c r="VME48" s="66"/>
      <c r="VMF48" s="66"/>
      <c r="VMG48" s="66"/>
      <c r="VMH48" s="66"/>
      <c r="VMI48" s="66"/>
      <c r="VMJ48" s="66"/>
      <c r="VMK48" s="66"/>
      <c r="VML48" s="66"/>
      <c r="VMM48" s="66"/>
      <c r="VMN48" s="66"/>
      <c r="VMO48" s="66"/>
      <c r="VMP48" s="66"/>
      <c r="VMQ48" s="66"/>
      <c r="VMR48" s="66"/>
      <c r="VMS48" s="66"/>
      <c r="VMT48" s="66"/>
      <c r="VMU48" s="66"/>
      <c r="VMV48" s="66"/>
      <c r="VMW48" s="66"/>
      <c r="VMX48" s="66"/>
      <c r="VMY48" s="66"/>
      <c r="VMZ48" s="66"/>
      <c r="VNA48" s="66"/>
      <c r="VNB48" s="66"/>
      <c r="VNC48" s="66"/>
      <c r="VND48" s="66"/>
      <c r="VNE48" s="66"/>
      <c r="VNF48" s="66"/>
      <c r="VNG48" s="66"/>
      <c r="VNH48" s="66"/>
      <c r="VNI48" s="66"/>
      <c r="VNJ48" s="66"/>
      <c r="VNK48" s="66"/>
      <c r="VNL48" s="66"/>
      <c r="VNM48" s="66"/>
      <c r="VNN48" s="66"/>
      <c r="VNO48" s="66"/>
      <c r="VNP48" s="66"/>
      <c r="VNQ48" s="66"/>
      <c r="VNR48" s="66"/>
      <c r="VNS48" s="66"/>
      <c r="VNT48" s="66"/>
      <c r="VNU48" s="66"/>
      <c r="VNV48" s="66"/>
      <c r="VNW48" s="66"/>
      <c r="VNX48" s="66"/>
      <c r="VNY48" s="66"/>
      <c r="VNZ48" s="66"/>
      <c r="VOA48" s="66"/>
      <c r="VOB48" s="66"/>
      <c r="VOC48" s="66"/>
      <c r="VOD48" s="66"/>
      <c r="VOE48" s="66"/>
      <c r="VOF48" s="66"/>
      <c r="VOG48" s="66"/>
      <c r="VOH48" s="66"/>
      <c r="VOI48" s="66"/>
      <c r="VOJ48" s="66"/>
      <c r="VOK48" s="66"/>
      <c r="VOL48" s="66"/>
      <c r="VOM48" s="66"/>
      <c r="VON48" s="66"/>
      <c r="VOO48" s="66"/>
      <c r="VOP48" s="66"/>
      <c r="VOQ48" s="66"/>
      <c r="VOR48" s="66"/>
      <c r="VOS48" s="66"/>
      <c r="VOT48" s="66"/>
      <c r="VOU48" s="66"/>
      <c r="VOV48" s="66"/>
      <c r="VOW48" s="66"/>
      <c r="VOX48" s="66"/>
      <c r="VOY48" s="66"/>
      <c r="VOZ48" s="66"/>
      <c r="VPA48" s="66"/>
      <c r="VPB48" s="66"/>
      <c r="VPC48" s="66"/>
      <c r="VPD48" s="66"/>
      <c r="VPE48" s="66"/>
      <c r="VPF48" s="66"/>
      <c r="VPG48" s="66"/>
      <c r="VPH48" s="66"/>
      <c r="VPI48" s="66"/>
      <c r="VPJ48" s="66"/>
      <c r="VPK48" s="66"/>
      <c r="VPL48" s="66"/>
      <c r="VPM48" s="66"/>
      <c r="VPN48" s="66"/>
      <c r="VPO48" s="66"/>
      <c r="VPP48" s="66"/>
      <c r="VPQ48" s="66"/>
      <c r="VPR48" s="66"/>
      <c r="VPS48" s="66"/>
      <c r="VPT48" s="66"/>
      <c r="VPU48" s="66"/>
      <c r="VPV48" s="66"/>
      <c r="VPW48" s="66"/>
      <c r="VPX48" s="66"/>
      <c r="VPY48" s="66"/>
      <c r="VPZ48" s="66"/>
      <c r="VQA48" s="66"/>
      <c r="VQB48" s="66"/>
      <c r="VQC48" s="66"/>
      <c r="VQD48" s="66"/>
      <c r="VQE48" s="66"/>
      <c r="VQF48" s="66"/>
      <c r="VQG48" s="66"/>
      <c r="VQH48" s="66"/>
      <c r="VQI48" s="66"/>
      <c r="VQJ48" s="66"/>
      <c r="VQK48" s="66"/>
      <c r="VQL48" s="66"/>
      <c r="VQM48" s="66"/>
      <c r="VQN48" s="66"/>
      <c r="VQO48" s="66"/>
      <c r="VQP48" s="66"/>
      <c r="VQQ48" s="66"/>
      <c r="VQR48" s="66"/>
      <c r="VQS48" s="66"/>
      <c r="VQT48" s="66"/>
      <c r="VQU48" s="66"/>
      <c r="VQV48" s="66"/>
      <c r="VQW48" s="66"/>
      <c r="VQX48" s="66"/>
      <c r="VQY48" s="66"/>
      <c r="VQZ48" s="66"/>
      <c r="VRA48" s="66"/>
      <c r="VRB48" s="66"/>
      <c r="VRC48" s="66"/>
      <c r="VRD48" s="66"/>
      <c r="VRE48" s="66"/>
      <c r="VRF48" s="66"/>
      <c r="VRG48" s="66"/>
      <c r="VRH48" s="66"/>
      <c r="VRI48" s="66"/>
      <c r="VRJ48" s="66"/>
      <c r="VRK48" s="66"/>
      <c r="VRL48" s="66"/>
      <c r="VRM48" s="66"/>
      <c r="VRN48" s="66"/>
      <c r="VRO48" s="66"/>
      <c r="VRP48" s="66"/>
      <c r="VRQ48" s="66"/>
      <c r="VRR48" s="66"/>
      <c r="VRS48" s="66"/>
      <c r="VRT48" s="66"/>
      <c r="VRU48" s="66"/>
      <c r="VRV48" s="66"/>
      <c r="VRW48" s="66"/>
      <c r="VRX48" s="66"/>
      <c r="VRY48" s="66"/>
      <c r="VRZ48" s="66"/>
      <c r="VSA48" s="66"/>
      <c r="VSB48" s="66"/>
      <c r="VSC48" s="66"/>
      <c r="VSD48" s="66"/>
      <c r="VSE48" s="66"/>
      <c r="VSF48" s="66"/>
      <c r="VSG48" s="66"/>
      <c r="VSH48" s="66"/>
      <c r="VSI48" s="66"/>
      <c r="VSJ48" s="66"/>
      <c r="VSK48" s="66"/>
      <c r="VSL48" s="66"/>
      <c r="VSM48" s="66"/>
      <c r="VSN48" s="66"/>
      <c r="VSO48" s="66"/>
      <c r="VSP48" s="66"/>
      <c r="VSQ48" s="66"/>
      <c r="VSR48" s="66"/>
      <c r="VSS48" s="66"/>
      <c r="VST48" s="66"/>
      <c r="VSU48" s="66"/>
      <c r="VSV48" s="66"/>
      <c r="VSW48" s="66"/>
      <c r="VSX48" s="66"/>
      <c r="VSY48" s="66"/>
      <c r="VSZ48" s="66"/>
      <c r="VTA48" s="66"/>
      <c r="VTB48" s="66"/>
      <c r="VTC48" s="66"/>
      <c r="VTD48" s="66"/>
      <c r="VTE48" s="66"/>
      <c r="VTF48" s="66"/>
      <c r="VTG48" s="66"/>
      <c r="VTH48" s="66"/>
      <c r="VTI48" s="66"/>
      <c r="VTJ48" s="66"/>
      <c r="VTK48" s="66"/>
      <c r="VTL48" s="66"/>
      <c r="VTM48" s="66"/>
      <c r="VTN48" s="66"/>
      <c r="VTO48" s="66"/>
      <c r="VTP48" s="66"/>
      <c r="VTQ48" s="66"/>
      <c r="VTR48" s="66"/>
      <c r="VTS48" s="66"/>
      <c r="VTT48" s="66"/>
      <c r="VTU48" s="66"/>
      <c r="VTV48" s="66"/>
      <c r="VTW48" s="66"/>
      <c r="VTX48" s="66"/>
      <c r="VTY48" s="66"/>
      <c r="VTZ48" s="66"/>
      <c r="VUA48" s="66"/>
      <c r="VUB48" s="66"/>
      <c r="VUC48" s="66"/>
      <c r="VUD48" s="66"/>
      <c r="VUE48" s="66"/>
      <c r="VUF48" s="66"/>
      <c r="VUG48" s="66"/>
      <c r="VUH48" s="66"/>
      <c r="VUI48" s="66"/>
      <c r="VUJ48" s="66"/>
      <c r="VUK48" s="66"/>
      <c r="VUL48" s="66"/>
      <c r="VUM48" s="66"/>
      <c r="VUN48" s="66"/>
      <c r="VUO48" s="66"/>
      <c r="VUP48" s="66"/>
      <c r="VUQ48" s="66"/>
      <c r="VUR48" s="66"/>
      <c r="VUS48" s="66"/>
      <c r="VUT48" s="66"/>
      <c r="VUU48" s="66"/>
      <c r="VUV48" s="66"/>
      <c r="VUW48" s="66"/>
      <c r="VUX48" s="66"/>
      <c r="VUY48" s="66"/>
      <c r="VUZ48" s="66"/>
      <c r="VVA48" s="66"/>
      <c r="VVB48" s="66"/>
      <c r="VVC48" s="66"/>
      <c r="VVD48" s="66"/>
      <c r="VVE48" s="66"/>
      <c r="VVF48" s="66"/>
      <c r="VVG48" s="66"/>
      <c r="VVH48" s="66"/>
      <c r="VVI48" s="66"/>
      <c r="VVJ48" s="66"/>
      <c r="VVK48" s="66"/>
      <c r="VVL48" s="66"/>
      <c r="VVM48" s="66"/>
      <c r="VVN48" s="66"/>
      <c r="VVO48" s="66"/>
      <c r="VVP48" s="66"/>
      <c r="VVQ48" s="66"/>
      <c r="VVR48" s="66"/>
      <c r="VVS48" s="66"/>
      <c r="VVT48" s="66"/>
      <c r="VVU48" s="66"/>
      <c r="VVV48" s="66"/>
      <c r="VVW48" s="66"/>
      <c r="VVX48" s="66"/>
      <c r="VVY48" s="66"/>
      <c r="VVZ48" s="66"/>
      <c r="VWA48" s="66"/>
      <c r="VWB48" s="66"/>
      <c r="VWC48" s="66"/>
      <c r="VWD48" s="66"/>
      <c r="VWE48" s="66"/>
      <c r="VWF48" s="66"/>
      <c r="VWG48" s="66"/>
      <c r="VWH48" s="66"/>
      <c r="VWI48" s="66"/>
      <c r="VWJ48" s="66"/>
      <c r="VWK48" s="66"/>
      <c r="VWL48" s="66"/>
      <c r="VWM48" s="66"/>
      <c r="VWN48" s="66"/>
      <c r="VWO48" s="66"/>
      <c r="VWP48" s="66"/>
      <c r="VWQ48" s="66"/>
      <c r="VWR48" s="66"/>
      <c r="VWS48" s="66"/>
      <c r="VWT48" s="66"/>
      <c r="VWU48" s="66"/>
      <c r="VWV48" s="66"/>
      <c r="VWW48" s="66"/>
      <c r="VWX48" s="66"/>
      <c r="VWY48" s="66"/>
      <c r="VWZ48" s="66"/>
      <c r="VXA48" s="66"/>
      <c r="VXB48" s="66"/>
      <c r="VXC48" s="66"/>
      <c r="VXD48" s="66"/>
      <c r="VXE48" s="66"/>
      <c r="VXF48" s="66"/>
      <c r="VXG48" s="66"/>
      <c r="VXH48" s="66"/>
      <c r="VXI48" s="66"/>
      <c r="VXJ48" s="66"/>
      <c r="VXK48" s="66"/>
      <c r="VXL48" s="66"/>
      <c r="VXM48" s="66"/>
      <c r="VXN48" s="66"/>
      <c r="VXO48" s="66"/>
      <c r="VXP48" s="66"/>
      <c r="VXQ48" s="66"/>
      <c r="VXR48" s="66"/>
      <c r="VXS48" s="66"/>
      <c r="VXT48" s="66"/>
      <c r="VXU48" s="66"/>
      <c r="VXV48" s="66"/>
      <c r="VXW48" s="66"/>
      <c r="VXX48" s="66"/>
      <c r="VXY48" s="66"/>
      <c r="VXZ48" s="66"/>
      <c r="VYA48" s="66"/>
      <c r="VYB48" s="66"/>
      <c r="VYC48" s="66"/>
      <c r="VYD48" s="66"/>
      <c r="VYE48" s="66"/>
      <c r="VYF48" s="66"/>
      <c r="VYG48" s="66"/>
      <c r="VYH48" s="66"/>
      <c r="VYI48" s="66"/>
      <c r="VYJ48" s="66"/>
      <c r="VYK48" s="66"/>
      <c r="VYL48" s="66"/>
      <c r="VYM48" s="66"/>
      <c r="VYN48" s="66"/>
      <c r="VYO48" s="66"/>
      <c r="VYP48" s="66"/>
      <c r="VYQ48" s="66"/>
      <c r="VYR48" s="66"/>
      <c r="VYS48" s="66"/>
      <c r="VYT48" s="66"/>
      <c r="VYU48" s="66"/>
      <c r="VYV48" s="66"/>
      <c r="VYW48" s="66"/>
      <c r="VYX48" s="66"/>
      <c r="VYY48" s="66"/>
      <c r="VYZ48" s="66"/>
      <c r="VZA48" s="66"/>
      <c r="VZB48" s="66"/>
      <c r="VZC48" s="66"/>
      <c r="VZD48" s="66"/>
      <c r="VZE48" s="66"/>
      <c r="VZF48" s="66"/>
      <c r="VZG48" s="66"/>
      <c r="VZH48" s="66"/>
      <c r="VZI48" s="66"/>
      <c r="VZJ48" s="66"/>
      <c r="VZK48" s="66"/>
      <c r="VZL48" s="66"/>
      <c r="VZM48" s="66"/>
      <c r="VZN48" s="66"/>
      <c r="VZO48" s="66"/>
      <c r="VZP48" s="66"/>
      <c r="VZQ48" s="66"/>
      <c r="VZR48" s="66"/>
      <c r="VZS48" s="66"/>
      <c r="VZT48" s="66"/>
      <c r="VZU48" s="66"/>
      <c r="VZV48" s="66"/>
      <c r="VZW48" s="66"/>
      <c r="VZX48" s="66"/>
      <c r="VZY48" s="66"/>
      <c r="VZZ48" s="66"/>
      <c r="WAA48" s="66"/>
      <c r="WAB48" s="66"/>
      <c r="WAC48" s="66"/>
      <c r="WAD48" s="66"/>
      <c r="WAE48" s="66"/>
      <c r="WAF48" s="66"/>
      <c r="WAG48" s="66"/>
      <c r="WAH48" s="66"/>
      <c r="WAI48" s="66"/>
      <c r="WAJ48" s="66"/>
      <c r="WAK48" s="66"/>
      <c r="WAL48" s="66"/>
      <c r="WAM48" s="66"/>
      <c r="WAN48" s="66"/>
      <c r="WAO48" s="66"/>
      <c r="WAP48" s="66"/>
      <c r="WAQ48" s="66"/>
      <c r="WAR48" s="66"/>
      <c r="WAS48" s="66"/>
      <c r="WAT48" s="66"/>
      <c r="WAU48" s="66"/>
      <c r="WAV48" s="66"/>
      <c r="WAW48" s="66"/>
      <c r="WAX48" s="66"/>
      <c r="WAY48" s="66"/>
      <c r="WAZ48" s="66"/>
      <c r="WBA48" s="66"/>
      <c r="WBB48" s="66"/>
      <c r="WBC48" s="66"/>
      <c r="WBD48" s="66"/>
      <c r="WBE48" s="66"/>
      <c r="WBF48" s="66"/>
      <c r="WBG48" s="66"/>
      <c r="WBH48" s="66"/>
      <c r="WBI48" s="66"/>
      <c r="WBJ48" s="66"/>
      <c r="WBK48" s="66"/>
      <c r="WBL48" s="66"/>
      <c r="WBM48" s="66"/>
      <c r="WBN48" s="66"/>
      <c r="WBO48" s="66"/>
      <c r="WBP48" s="66"/>
      <c r="WBQ48" s="66"/>
      <c r="WBR48" s="66"/>
      <c r="WBS48" s="66"/>
      <c r="WBT48" s="66"/>
      <c r="WBU48" s="66"/>
      <c r="WBV48" s="66"/>
      <c r="WBW48" s="66"/>
      <c r="WBX48" s="66"/>
      <c r="WBY48" s="66"/>
      <c r="WBZ48" s="66"/>
      <c r="WCA48" s="66"/>
      <c r="WCB48" s="66"/>
      <c r="WCC48" s="66"/>
      <c r="WCD48" s="66"/>
      <c r="WCE48" s="66"/>
      <c r="WCF48" s="66"/>
      <c r="WCG48" s="66"/>
      <c r="WCH48" s="66"/>
      <c r="WCI48" s="66"/>
      <c r="WCJ48" s="66"/>
      <c r="WCK48" s="66"/>
      <c r="WCL48" s="66"/>
      <c r="WCM48" s="66"/>
      <c r="WCN48" s="66"/>
      <c r="WCO48" s="66"/>
      <c r="WCP48" s="66"/>
      <c r="WCQ48" s="66"/>
      <c r="WCR48" s="66"/>
      <c r="WCS48" s="66"/>
      <c r="WCT48" s="66"/>
      <c r="WCU48" s="66"/>
      <c r="WCV48" s="66"/>
      <c r="WCW48" s="66"/>
      <c r="WCX48" s="66"/>
      <c r="WCY48" s="66"/>
      <c r="WCZ48" s="66"/>
      <c r="WDA48" s="66"/>
      <c r="WDB48" s="66"/>
      <c r="WDC48" s="66"/>
      <c r="WDD48" s="66"/>
      <c r="WDE48" s="66"/>
      <c r="WDF48" s="66"/>
      <c r="WDG48" s="66"/>
      <c r="WDH48" s="66"/>
      <c r="WDI48" s="66"/>
      <c r="WDJ48" s="66"/>
      <c r="WDK48" s="66"/>
      <c r="WDL48" s="66"/>
      <c r="WDM48" s="66"/>
      <c r="WDN48" s="66"/>
      <c r="WDO48" s="66"/>
      <c r="WDP48" s="66"/>
      <c r="WDQ48" s="66"/>
      <c r="WDR48" s="66"/>
      <c r="WDS48" s="66"/>
      <c r="WDT48" s="66"/>
      <c r="WDU48" s="66"/>
      <c r="WDV48" s="66"/>
      <c r="WDW48" s="66"/>
      <c r="WDX48" s="66"/>
      <c r="WDY48" s="66"/>
      <c r="WDZ48" s="66"/>
      <c r="WEA48" s="66"/>
      <c r="WEB48" s="66"/>
      <c r="WEC48" s="66"/>
      <c r="WED48" s="66"/>
      <c r="WEE48" s="66"/>
      <c r="WEF48" s="66"/>
      <c r="WEG48" s="66"/>
      <c r="WEH48" s="66"/>
      <c r="WEI48" s="66"/>
      <c r="WEJ48" s="66"/>
      <c r="WEK48" s="66"/>
      <c r="WEL48" s="66"/>
      <c r="WEM48" s="66"/>
      <c r="WEN48" s="66"/>
      <c r="WEO48" s="66"/>
      <c r="WEP48" s="66"/>
      <c r="WEQ48" s="66"/>
      <c r="WER48" s="66"/>
      <c r="WES48" s="66"/>
      <c r="WET48" s="66"/>
      <c r="WEU48" s="66"/>
      <c r="WEV48" s="66"/>
      <c r="WEW48" s="66"/>
      <c r="WEX48" s="66"/>
      <c r="WEY48" s="66"/>
      <c r="WEZ48" s="66"/>
      <c r="WFA48" s="66"/>
      <c r="WFB48" s="66"/>
      <c r="WFC48" s="66"/>
      <c r="WFD48" s="66"/>
      <c r="WFE48" s="66"/>
      <c r="WFF48" s="66"/>
      <c r="WFG48" s="66"/>
      <c r="WFH48" s="66"/>
      <c r="WFI48" s="66"/>
      <c r="WFJ48" s="66"/>
      <c r="WFK48" s="66"/>
      <c r="WFL48" s="66"/>
      <c r="WFM48" s="66"/>
      <c r="WFN48" s="66"/>
      <c r="WFO48" s="66"/>
      <c r="WFP48" s="66"/>
      <c r="WFQ48" s="66"/>
      <c r="WFR48" s="66"/>
      <c r="WFS48" s="66"/>
      <c r="WFT48" s="66"/>
      <c r="WFU48" s="66"/>
      <c r="WFV48" s="66"/>
      <c r="WFW48" s="66"/>
      <c r="WFX48" s="66"/>
      <c r="WFY48" s="66"/>
      <c r="WFZ48" s="66"/>
      <c r="WGA48" s="66"/>
      <c r="WGB48" s="66"/>
      <c r="WGC48" s="66"/>
      <c r="WGD48" s="66"/>
      <c r="WGE48" s="66"/>
      <c r="WGF48" s="66"/>
      <c r="WGG48" s="66"/>
      <c r="WGH48" s="66"/>
      <c r="WGI48" s="66"/>
      <c r="WGJ48" s="66"/>
      <c r="WGK48" s="66"/>
      <c r="WGL48" s="66"/>
      <c r="WGM48" s="66"/>
      <c r="WGN48" s="66"/>
      <c r="WGO48" s="66"/>
      <c r="WGP48" s="66"/>
      <c r="WGQ48" s="66"/>
      <c r="WGR48" s="66"/>
      <c r="WGS48" s="66"/>
      <c r="WGT48" s="66"/>
      <c r="WGU48" s="66"/>
      <c r="WGV48" s="66"/>
      <c r="WGW48" s="66"/>
      <c r="WGX48" s="66"/>
      <c r="WGY48" s="66"/>
      <c r="WGZ48" s="66"/>
      <c r="WHA48" s="66"/>
      <c r="WHB48" s="66"/>
      <c r="WHC48" s="66"/>
      <c r="WHD48" s="66"/>
      <c r="WHE48" s="66"/>
      <c r="WHF48" s="66"/>
      <c r="WHG48" s="66"/>
      <c r="WHH48" s="66"/>
      <c r="WHI48" s="66"/>
      <c r="WHJ48" s="66"/>
      <c r="WHK48" s="66"/>
      <c r="WHL48" s="66"/>
      <c r="WHM48" s="66"/>
      <c r="WHN48" s="66"/>
      <c r="WHO48" s="66"/>
      <c r="WHP48" s="66"/>
      <c r="WHQ48" s="66"/>
      <c r="WHR48" s="66"/>
      <c r="WHS48" s="66"/>
      <c r="WHT48" s="66"/>
      <c r="WHU48" s="66"/>
      <c r="WHV48" s="66"/>
      <c r="WHW48" s="66"/>
      <c r="WHX48" s="66"/>
      <c r="WHY48" s="66"/>
      <c r="WHZ48" s="66"/>
      <c r="WIA48" s="66"/>
      <c r="WIB48" s="66"/>
      <c r="WIC48" s="66"/>
      <c r="WID48" s="66"/>
      <c r="WIE48" s="66"/>
      <c r="WIF48" s="66"/>
      <c r="WIG48" s="66"/>
      <c r="WIH48" s="66"/>
      <c r="WII48" s="66"/>
      <c r="WIJ48" s="66"/>
      <c r="WIK48" s="66"/>
      <c r="WIL48" s="66"/>
      <c r="WIM48" s="66"/>
      <c r="WIN48" s="66"/>
      <c r="WIO48" s="66"/>
      <c r="WIP48" s="66"/>
      <c r="WIQ48" s="66"/>
      <c r="WIR48" s="66"/>
      <c r="WIS48" s="66"/>
      <c r="WIT48" s="66"/>
      <c r="WIU48" s="66"/>
      <c r="WIV48" s="66"/>
      <c r="WIW48" s="66"/>
      <c r="WIX48" s="66"/>
      <c r="WIY48" s="66"/>
      <c r="WIZ48" s="66"/>
      <c r="WJA48" s="66"/>
      <c r="WJB48" s="66"/>
      <c r="WJC48" s="66"/>
      <c r="WJD48" s="66"/>
      <c r="WJE48" s="66"/>
      <c r="WJF48" s="66"/>
      <c r="WJG48" s="66"/>
      <c r="WJH48" s="66"/>
      <c r="WJI48" s="66"/>
      <c r="WJJ48" s="66"/>
      <c r="WJK48" s="66"/>
      <c r="WJL48" s="66"/>
      <c r="WJM48" s="66"/>
      <c r="WJN48" s="66"/>
      <c r="WJO48" s="66"/>
      <c r="WJP48" s="66"/>
      <c r="WJQ48" s="66"/>
      <c r="WJR48" s="66"/>
      <c r="WJS48" s="66"/>
      <c r="WJT48" s="66"/>
      <c r="WJU48" s="66"/>
      <c r="WJV48" s="66"/>
      <c r="WJW48" s="66"/>
      <c r="WJX48" s="66"/>
      <c r="WJY48" s="66"/>
      <c r="WJZ48" s="66"/>
      <c r="WKA48" s="66"/>
      <c r="WKB48" s="66"/>
      <c r="WKC48" s="66"/>
      <c r="WKD48" s="66"/>
      <c r="WKE48" s="66"/>
      <c r="WKF48" s="66"/>
      <c r="WKG48" s="66"/>
      <c r="WKH48" s="66"/>
      <c r="WKI48" s="66"/>
      <c r="WKJ48" s="66"/>
      <c r="WKK48" s="66"/>
      <c r="WKL48" s="66"/>
      <c r="WKM48" s="66"/>
      <c r="WKN48" s="66"/>
      <c r="WKO48" s="66"/>
      <c r="WKP48" s="66"/>
      <c r="WKQ48" s="66"/>
      <c r="WKR48" s="66"/>
      <c r="WKS48" s="66"/>
      <c r="WKT48" s="66"/>
      <c r="WKU48" s="66"/>
      <c r="WKV48" s="66"/>
      <c r="WKW48" s="66"/>
      <c r="WKX48" s="66"/>
      <c r="WKY48" s="66"/>
      <c r="WKZ48" s="66"/>
      <c r="WLA48" s="66"/>
      <c r="WLB48" s="66"/>
      <c r="WLC48" s="66"/>
      <c r="WLD48" s="66"/>
      <c r="WLE48" s="66"/>
      <c r="WLF48" s="66"/>
      <c r="WLG48" s="66"/>
      <c r="WLH48" s="66"/>
      <c r="WLI48" s="66"/>
      <c r="WLJ48" s="66"/>
      <c r="WLK48" s="66"/>
      <c r="WLL48" s="66"/>
      <c r="WLM48" s="66"/>
      <c r="WLN48" s="66"/>
      <c r="WLO48" s="66"/>
      <c r="WLP48" s="66"/>
      <c r="WLQ48" s="66"/>
      <c r="WLR48" s="66"/>
      <c r="WLS48" s="66"/>
      <c r="WLT48" s="66"/>
      <c r="WLU48" s="66"/>
      <c r="WLV48" s="66"/>
      <c r="WLW48" s="66"/>
      <c r="WLX48" s="66"/>
      <c r="WLY48" s="66"/>
      <c r="WLZ48" s="66"/>
      <c r="WMA48" s="66"/>
      <c r="WMB48" s="66"/>
      <c r="WMC48" s="66"/>
      <c r="WMD48" s="66"/>
      <c r="WME48" s="66"/>
      <c r="WMF48" s="66"/>
      <c r="WMG48" s="66"/>
      <c r="WMH48" s="66"/>
      <c r="WMI48" s="66"/>
      <c r="WMJ48" s="66"/>
      <c r="WMK48" s="66"/>
      <c r="WML48" s="66"/>
      <c r="WMM48" s="66"/>
      <c r="WMN48" s="66"/>
      <c r="WMO48" s="66"/>
      <c r="WMP48" s="66"/>
      <c r="WMQ48" s="66"/>
      <c r="WMR48" s="66"/>
      <c r="WMS48" s="66"/>
      <c r="WMT48" s="66"/>
      <c r="WMU48" s="66"/>
      <c r="WMV48" s="66"/>
      <c r="WMW48" s="66"/>
      <c r="WMX48" s="66"/>
      <c r="WMY48" s="66"/>
      <c r="WMZ48" s="66"/>
      <c r="WNA48" s="66"/>
      <c r="WNB48" s="66"/>
      <c r="WNC48" s="66"/>
      <c r="WND48" s="66"/>
      <c r="WNE48" s="66"/>
      <c r="WNF48" s="66"/>
      <c r="WNG48" s="66"/>
      <c r="WNH48" s="66"/>
      <c r="WNI48" s="66"/>
      <c r="WNJ48" s="66"/>
      <c r="WNK48" s="66"/>
      <c r="WNL48" s="66"/>
      <c r="WNM48" s="66"/>
      <c r="WNN48" s="66"/>
      <c r="WNO48" s="66"/>
      <c r="WNP48" s="66"/>
      <c r="WNQ48" s="66"/>
      <c r="WNR48" s="66"/>
      <c r="WNS48" s="66"/>
      <c r="WNT48" s="66"/>
      <c r="WNU48" s="66"/>
      <c r="WNV48" s="66"/>
      <c r="WNW48" s="66"/>
      <c r="WNX48" s="66"/>
      <c r="WNY48" s="66"/>
      <c r="WNZ48" s="66"/>
      <c r="WOA48" s="66"/>
      <c r="WOB48" s="66"/>
      <c r="WOC48" s="66"/>
      <c r="WOD48" s="66"/>
      <c r="WOE48" s="66"/>
      <c r="WOF48" s="66"/>
      <c r="WOG48" s="66"/>
      <c r="WOH48" s="66"/>
      <c r="WOI48" s="66"/>
      <c r="WOJ48" s="66"/>
      <c r="WOK48" s="66"/>
      <c r="WOL48" s="66"/>
      <c r="WOM48" s="66"/>
      <c r="WON48" s="66"/>
      <c r="WOO48" s="66"/>
      <c r="WOP48" s="66"/>
      <c r="WOQ48" s="66"/>
      <c r="WOR48" s="66"/>
      <c r="WOS48" s="66"/>
      <c r="WOT48" s="66"/>
      <c r="WOU48" s="66"/>
      <c r="WOV48" s="66"/>
      <c r="WOW48" s="66"/>
      <c r="WOX48" s="66"/>
      <c r="WOY48" s="66"/>
      <c r="WOZ48" s="66"/>
      <c r="WPA48" s="66"/>
      <c r="WPB48" s="66"/>
      <c r="WPC48" s="66"/>
      <c r="WPD48" s="66"/>
      <c r="WPE48" s="66"/>
      <c r="WPF48" s="66"/>
      <c r="WPG48" s="66"/>
      <c r="WPH48" s="66"/>
      <c r="WPI48" s="66"/>
      <c r="WPJ48" s="66"/>
      <c r="WPK48" s="66"/>
      <c r="WPL48" s="66"/>
      <c r="WPM48" s="66"/>
      <c r="WPN48" s="66"/>
      <c r="WPO48" s="66"/>
      <c r="WPP48" s="66"/>
      <c r="WPQ48" s="66"/>
      <c r="WPR48" s="66"/>
      <c r="WPS48" s="66"/>
      <c r="WPT48" s="66"/>
      <c r="WPU48" s="66"/>
      <c r="WPV48" s="66"/>
      <c r="WPW48" s="66"/>
      <c r="WPX48" s="66"/>
      <c r="WPY48" s="66"/>
      <c r="WPZ48" s="66"/>
      <c r="WQA48" s="66"/>
      <c r="WQB48" s="66"/>
      <c r="WQC48" s="66"/>
      <c r="WQD48" s="66"/>
      <c r="WQE48" s="66"/>
      <c r="WQF48" s="66"/>
      <c r="WQG48" s="66"/>
      <c r="WQH48" s="66"/>
      <c r="WQI48" s="66"/>
      <c r="WQJ48" s="66"/>
      <c r="WQK48" s="66"/>
      <c r="WQL48" s="66"/>
      <c r="WQM48" s="66"/>
      <c r="WQN48" s="66"/>
      <c r="WQO48" s="66"/>
      <c r="WQP48" s="66"/>
      <c r="WQQ48" s="66"/>
      <c r="WQR48" s="66"/>
      <c r="WQS48" s="66"/>
      <c r="WQT48" s="66"/>
      <c r="WQU48" s="66"/>
      <c r="WQV48" s="66"/>
      <c r="WQW48" s="66"/>
      <c r="WQX48" s="66"/>
      <c r="WQY48" s="66"/>
      <c r="WQZ48" s="66"/>
      <c r="WRA48" s="66"/>
      <c r="WRB48" s="66"/>
      <c r="WRC48" s="66"/>
      <c r="WRD48" s="66"/>
      <c r="WRE48" s="66"/>
      <c r="WRF48" s="66"/>
      <c r="WRG48" s="66"/>
      <c r="WRH48" s="66"/>
      <c r="WRI48" s="66"/>
      <c r="WRJ48" s="66"/>
      <c r="WRK48" s="66"/>
      <c r="WRL48" s="66"/>
      <c r="WRM48" s="66"/>
      <c r="WRN48" s="66"/>
      <c r="WRO48" s="66"/>
      <c r="WRP48" s="66"/>
      <c r="WRQ48" s="66"/>
      <c r="WRR48" s="66"/>
      <c r="WRS48" s="66"/>
      <c r="WRT48" s="66"/>
      <c r="WRU48" s="66"/>
      <c r="WRV48" s="66"/>
      <c r="WRW48" s="66"/>
      <c r="WRX48" s="66"/>
      <c r="WRY48" s="66"/>
      <c r="WRZ48" s="66"/>
      <c r="WSA48" s="66"/>
      <c r="WSB48" s="66"/>
      <c r="WSC48" s="66"/>
      <c r="WSD48" s="66"/>
      <c r="WSE48" s="66"/>
      <c r="WSF48" s="66"/>
      <c r="WSG48" s="66"/>
      <c r="WSH48" s="66"/>
      <c r="WSI48" s="66"/>
      <c r="WSJ48" s="66"/>
      <c r="WSK48" s="66"/>
      <c r="WSL48" s="66"/>
      <c r="WSM48" s="66"/>
      <c r="WSN48" s="66"/>
      <c r="WSO48" s="66"/>
      <c r="WSP48" s="66"/>
      <c r="WSQ48" s="66"/>
      <c r="WSR48" s="66"/>
      <c r="WSS48" s="66"/>
      <c r="WST48" s="66"/>
      <c r="WSU48" s="66"/>
      <c r="WSV48" s="66"/>
      <c r="WSW48" s="66"/>
      <c r="WSX48" s="66"/>
      <c r="WSY48" s="66"/>
      <c r="WSZ48" s="66"/>
      <c r="WTA48" s="66"/>
      <c r="WTB48" s="66"/>
      <c r="WTC48" s="66"/>
      <c r="WTD48" s="66"/>
      <c r="WTE48" s="66"/>
      <c r="WTF48" s="66"/>
      <c r="WTG48" s="66"/>
      <c r="WTH48" s="66"/>
      <c r="WTI48" s="66"/>
      <c r="WTJ48" s="66"/>
      <c r="WTK48" s="66"/>
      <c r="WTL48" s="66"/>
      <c r="WTM48" s="66"/>
      <c r="WTN48" s="66"/>
      <c r="WTO48" s="66"/>
      <c r="WTP48" s="66"/>
      <c r="WTQ48" s="66"/>
      <c r="WTR48" s="66"/>
      <c r="WTS48" s="66"/>
      <c r="WTT48" s="66"/>
      <c r="WTU48" s="66"/>
      <c r="WTV48" s="66"/>
      <c r="WTW48" s="66"/>
      <c r="WTX48" s="66"/>
      <c r="WTY48" s="66"/>
      <c r="WTZ48" s="66"/>
      <c r="WUA48" s="66"/>
      <c r="WUB48" s="66"/>
      <c r="WUC48" s="66"/>
      <c r="WUD48" s="66"/>
      <c r="WUE48" s="66"/>
      <c r="WUF48" s="66"/>
      <c r="WUG48" s="66"/>
      <c r="WUH48" s="66"/>
      <c r="WUI48" s="66"/>
      <c r="WUJ48" s="66"/>
      <c r="WUK48" s="66"/>
      <c r="WUL48" s="66"/>
      <c r="WUM48" s="66"/>
      <c r="WUN48" s="66"/>
      <c r="WUO48" s="66"/>
      <c r="WUP48" s="66"/>
      <c r="WUQ48" s="66"/>
      <c r="WUR48" s="66"/>
      <c r="WUS48" s="66"/>
      <c r="WUT48" s="66"/>
      <c r="WUU48" s="66"/>
      <c r="WUV48" s="66"/>
      <c r="WUW48" s="66"/>
      <c r="WUX48" s="66"/>
      <c r="WUY48" s="66"/>
      <c r="WUZ48" s="66"/>
      <c r="WVA48" s="66"/>
      <c r="WVB48" s="66"/>
      <c r="WVC48" s="66"/>
      <c r="WVD48" s="66"/>
      <c r="WVE48" s="66"/>
      <c r="WVF48" s="66"/>
      <c r="WVG48" s="66"/>
      <c r="WVH48" s="66"/>
      <c r="WVI48" s="66"/>
      <c r="WVJ48" s="66"/>
      <c r="WVK48" s="66"/>
      <c r="WVL48" s="66"/>
      <c r="WVM48" s="66"/>
      <c r="WVN48" s="66"/>
      <c r="WVO48" s="66"/>
      <c r="WVP48" s="66"/>
      <c r="WVQ48" s="66"/>
      <c r="WVR48" s="66"/>
      <c r="WVS48" s="66"/>
      <c r="WVT48" s="66"/>
      <c r="WVU48" s="66"/>
      <c r="WVV48" s="66"/>
      <c r="WVW48" s="66"/>
      <c r="WVX48" s="66"/>
      <c r="WVY48" s="66"/>
      <c r="WVZ48" s="66"/>
      <c r="WWA48" s="66"/>
      <c r="WWB48" s="66"/>
      <c r="WWC48" s="66"/>
      <c r="WWD48" s="66"/>
      <c r="WWE48" s="66"/>
      <c r="WWF48" s="66"/>
      <c r="WWG48" s="66"/>
      <c r="WWH48" s="66"/>
      <c r="WWI48" s="66"/>
      <c r="WWJ48" s="66"/>
      <c r="WWK48" s="66"/>
      <c r="WWL48" s="66"/>
      <c r="WWM48" s="66"/>
      <c r="WWN48" s="66"/>
      <c r="WWO48" s="66"/>
      <c r="WWP48" s="66"/>
      <c r="WWQ48" s="66"/>
      <c r="WWR48" s="66"/>
      <c r="WWS48" s="66"/>
      <c r="WWT48" s="66"/>
      <c r="WWU48" s="66"/>
      <c r="WWV48" s="66"/>
      <c r="WWW48" s="66"/>
      <c r="WWX48" s="66"/>
      <c r="WWY48" s="66"/>
      <c r="WWZ48" s="66"/>
      <c r="WXA48" s="66"/>
      <c r="WXB48" s="66"/>
      <c r="WXC48" s="66"/>
      <c r="WXD48" s="66"/>
      <c r="WXE48" s="66"/>
      <c r="WXF48" s="66"/>
      <c r="WXG48" s="66"/>
      <c r="WXH48" s="66"/>
      <c r="WXI48" s="66"/>
      <c r="WXJ48" s="66"/>
      <c r="WXK48" s="66"/>
      <c r="WXL48" s="66"/>
      <c r="WXM48" s="66"/>
      <c r="WXN48" s="66"/>
      <c r="WXO48" s="66"/>
      <c r="WXP48" s="66"/>
      <c r="WXQ48" s="66"/>
      <c r="WXR48" s="66"/>
      <c r="WXS48" s="66"/>
      <c r="WXT48" s="66"/>
      <c r="WXU48" s="66"/>
      <c r="WXV48" s="66"/>
      <c r="WXW48" s="66"/>
      <c r="WXX48" s="66"/>
      <c r="WXY48" s="66"/>
      <c r="WXZ48" s="66"/>
      <c r="WYA48" s="66"/>
      <c r="WYB48" s="66"/>
      <c r="WYC48" s="66"/>
      <c r="WYD48" s="66"/>
      <c r="WYE48" s="66"/>
      <c r="WYF48" s="66"/>
      <c r="WYG48" s="66"/>
      <c r="WYH48" s="66"/>
      <c r="WYI48" s="66"/>
      <c r="WYJ48" s="66"/>
      <c r="WYK48" s="66"/>
      <c r="WYL48" s="66"/>
      <c r="WYM48" s="66"/>
      <c r="WYN48" s="66"/>
      <c r="WYO48" s="66"/>
      <c r="WYP48" s="66"/>
      <c r="WYQ48" s="66"/>
      <c r="WYR48" s="66"/>
      <c r="WYS48" s="66"/>
      <c r="WYT48" s="66"/>
      <c r="WYU48" s="66"/>
      <c r="WYV48" s="66"/>
      <c r="WYW48" s="66"/>
      <c r="WYX48" s="66"/>
      <c r="WYY48" s="66"/>
      <c r="WYZ48" s="66"/>
      <c r="WZA48" s="66"/>
      <c r="WZB48" s="66"/>
      <c r="WZC48" s="66"/>
      <c r="WZD48" s="66"/>
      <c r="WZE48" s="66"/>
      <c r="WZF48" s="66"/>
      <c r="WZG48" s="66"/>
      <c r="WZH48" s="66"/>
      <c r="WZI48" s="66"/>
      <c r="WZJ48" s="66"/>
      <c r="WZK48" s="66"/>
      <c r="WZL48" s="66"/>
      <c r="WZM48" s="66"/>
      <c r="WZN48" s="66"/>
      <c r="WZO48" s="66"/>
      <c r="WZP48" s="66"/>
      <c r="WZQ48" s="66"/>
      <c r="WZR48" s="66"/>
      <c r="WZS48" s="66"/>
      <c r="WZT48" s="66"/>
      <c r="WZU48" s="66"/>
      <c r="WZV48" s="66"/>
      <c r="WZW48" s="66"/>
      <c r="WZX48" s="66"/>
      <c r="WZY48" s="66"/>
      <c r="WZZ48" s="66"/>
      <c r="XAA48" s="66"/>
      <c r="XAB48" s="66"/>
      <c r="XAC48" s="66"/>
      <c r="XAD48" s="66"/>
      <c r="XAE48" s="66"/>
      <c r="XAF48" s="66"/>
      <c r="XAG48" s="66"/>
      <c r="XAH48" s="66"/>
      <c r="XAI48" s="66"/>
      <c r="XAJ48" s="66"/>
      <c r="XAK48" s="66"/>
      <c r="XAL48" s="66"/>
      <c r="XAM48" s="66"/>
      <c r="XAN48" s="66"/>
      <c r="XAO48" s="66"/>
      <c r="XAP48" s="66"/>
      <c r="XAQ48" s="66"/>
      <c r="XAR48" s="66"/>
      <c r="XAS48" s="66"/>
      <c r="XAT48" s="66"/>
      <c r="XAU48" s="66"/>
      <c r="XAV48" s="66"/>
      <c r="XAW48" s="66"/>
      <c r="XAX48" s="66"/>
      <c r="XAY48" s="66"/>
      <c r="XAZ48" s="66"/>
      <c r="XBA48" s="66"/>
      <c r="XBB48" s="66"/>
      <c r="XBC48" s="66"/>
      <c r="XBD48" s="66"/>
      <c r="XBE48" s="66"/>
      <c r="XBF48" s="66"/>
      <c r="XBG48" s="66"/>
      <c r="XBH48" s="66"/>
      <c r="XBI48" s="66"/>
      <c r="XBJ48" s="66"/>
      <c r="XBK48" s="66"/>
      <c r="XBL48" s="66"/>
      <c r="XBM48" s="66"/>
      <c r="XBN48" s="66"/>
      <c r="XBO48" s="66"/>
      <c r="XBP48" s="66"/>
      <c r="XBQ48" s="66"/>
      <c r="XBR48" s="66"/>
      <c r="XBS48" s="66"/>
      <c r="XBT48" s="66"/>
      <c r="XBU48" s="66"/>
      <c r="XBV48" s="66"/>
      <c r="XBW48" s="66"/>
      <c r="XBX48" s="66"/>
      <c r="XBY48" s="66"/>
      <c r="XBZ48" s="66"/>
      <c r="XCA48" s="66"/>
      <c r="XCB48" s="66"/>
      <c r="XCC48" s="66"/>
      <c r="XCD48" s="66"/>
      <c r="XCE48" s="66"/>
      <c r="XCF48" s="66"/>
      <c r="XCG48" s="66"/>
      <c r="XCH48" s="66"/>
      <c r="XCI48" s="66"/>
      <c r="XCJ48" s="66"/>
      <c r="XCK48" s="66"/>
      <c r="XCL48" s="66"/>
      <c r="XCM48" s="66"/>
      <c r="XCN48" s="66"/>
      <c r="XCO48" s="66"/>
      <c r="XCP48" s="66"/>
      <c r="XCQ48" s="66"/>
      <c r="XCR48" s="66"/>
      <c r="XCS48" s="66"/>
      <c r="XCT48" s="66"/>
      <c r="XCU48" s="66"/>
      <c r="XCV48" s="66"/>
      <c r="XCW48" s="66"/>
      <c r="XCX48" s="66"/>
      <c r="XCY48" s="66"/>
      <c r="XCZ48" s="66"/>
      <c r="XDA48" s="66"/>
      <c r="XDB48" s="66"/>
      <c r="XDC48" s="66"/>
      <c r="XDD48" s="66"/>
      <c r="XDE48" s="66"/>
      <c r="XDF48" s="66"/>
      <c r="XDG48" s="66"/>
      <c r="XDH48" s="66"/>
      <c r="XDI48" s="66"/>
      <c r="XDJ48" s="66"/>
      <c r="XDK48" s="66"/>
      <c r="XDL48" s="66"/>
      <c r="XDM48" s="66"/>
      <c r="XDN48" s="66"/>
      <c r="XDO48" s="66"/>
      <c r="XDP48" s="66"/>
      <c r="XDQ48" s="66"/>
      <c r="XDR48" s="66"/>
      <c r="XDS48" s="66"/>
      <c r="XDT48" s="66"/>
      <c r="XDU48" s="66"/>
      <c r="XDV48" s="66"/>
      <c r="XDW48" s="66"/>
      <c r="XDX48" s="66"/>
      <c r="XDY48" s="66"/>
      <c r="XDZ48" s="66"/>
      <c r="XEA48" s="66"/>
      <c r="XEB48" s="66"/>
      <c r="XEC48" s="66"/>
      <c r="XED48" s="66"/>
      <c r="XEE48" s="66"/>
      <c r="XEF48" s="66"/>
      <c r="XEG48" s="66"/>
      <c r="XEH48" s="66"/>
      <c r="XEI48" s="66"/>
      <c r="XEJ48" s="66"/>
      <c r="XEK48" s="66"/>
      <c r="XEL48" s="66"/>
      <c r="XEM48" s="66"/>
      <c r="XEN48" s="66"/>
    </row>
    <row r="49" spans="1:16368" ht="13.5">
      <c r="A49" s="85"/>
      <c r="B49" s="63"/>
      <c r="C49" s="64"/>
      <c r="D49" s="64"/>
      <c r="E49" s="64"/>
      <c r="F49" s="65"/>
      <c r="G49" s="87"/>
      <c r="J49" s="85"/>
      <c r="K49" s="85"/>
      <c r="L49" s="88"/>
      <c r="M49" s="88"/>
      <c r="P49" s="89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  <c r="FM49" s="66"/>
      <c r="FN49" s="66"/>
      <c r="FO49" s="66"/>
      <c r="FP49" s="66"/>
      <c r="FQ49" s="66"/>
      <c r="FR49" s="66"/>
      <c r="FS49" s="66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6"/>
      <c r="GT49" s="66"/>
      <c r="GU49" s="66"/>
      <c r="GV49" s="66"/>
      <c r="GW49" s="66"/>
      <c r="GX49" s="66"/>
      <c r="GY49" s="66"/>
      <c r="GZ49" s="66"/>
      <c r="HA49" s="66"/>
      <c r="HB49" s="66"/>
      <c r="HC49" s="66"/>
      <c r="HD49" s="66"/>
      <c r="HE49" s="66"/>
      <c r="HF49" s="66"/>
      <c r="HG49" s="66"/>
      <c r="HH49" s="66"/>
      <c r="HI49" s="66"/>
      <c r="HJ49" s="66"/>
      <c r="HK49" s="66"/>
      <c r="HL49" s="66"/>
      <c r="HM49" s="66"/>
      <c r="HN49" s="66"/>
      <c r="HO49" s="66"/>
      <c r="HP49" s="66"/>
      <c r="HQ49" s="66"/>
      <c r="HR49" s="66"/>
      <c r="HS49" s="66"/>
      <c r="HT49" s="66"/>
      <c r="HU49" s="66"/>
      <c r="HV49" s="66"/>
      <c r="HW49" s="66"/>
      <c r="HX49" s="66"/>
      <c r="HY49" s="66"/>
      <c r="HZ49" s="66"/>
      <c r="IA49" s="66"/>
      <c r="IB49" s="66"/>
      <c r="IC49" s="66"/>
      <c r="ID49" s="66"/>
      <c r="IE49" s="66"/>
      <c r="IF49" s="66"/>
      <c r="IG49" s="66"/>
      <c r="IH49" s="66"/>
      <c r="II49" s="66"/>
      <c r="IJ49" s="66"/>
      <c r="IK49" s="66"/>
      <c r="IL49" s="66"/>
      <c r="IM49" s="66"/>
      <c r="IN49" s="66"/>
      <c r="IO49" s="66"/>
      <c r="IP49" s="66"/>
      <c r="IQ49" s="66"/>
      <c r="IR49" s="66"/>
      <c r="IS49" s="66"/>
      <c r="IT49" s="66"/>
      <c r="IU49" s="66"/>
      <c r="IV49" s="66"/>
      <c r="IW49" s="66"/>
      <c r="IX49" s="66"/>
      <c r="IY49" s="66"/>
      <c r="IZ49" s="66"/>
      <c r="JA49" s="66"/>
      <c r="JB49" s="66"/>
      <c r="JC49" s="66"/>
      <c r="JD49" s="66"/>
      <c r="JE49" s="66"/>
      <c r="JF49" s="66"/>
      <c r="JG49" s="66"/>
      <c r="JH49" s="66"/>
      <c r="JI49" s="66"/>
      <c r="JJ49" s="66"/>
      <c r="JK49" s="66"/>
      <c r="JL49" s="66"/>
      <c r="JM49" s="66"/>
      <c r="JN49" s="66"/>
      <c r="JO49" s="66"/>
      <c r="JP49" s="66"/>
      <c r="JQ49" s="66"/>
      <c r="JR49" s="66"/>
      <c r="JS49" s="66"/>
      <c r="JT49" s="66"/>
      <c r="JU49" s="66"/>
      <c r="JV49" s="66"/>
      <c r="JW49" s="66"/>
      <c r="JX49" s="66"/>
      <c r="JY49" s="66"/>
      <c r="JZ49" s="66"/>
      <c r="KA49" s="66"/>
      <c r="KB49" s="66"/>
      <c r="KC49" s="66"/>
      <c r="KD49" s="66"/>
      <c r="KE49" s="66"/>
      <c r="KF49" s="66"/>
      <c r="KG49" s="66"/>
      <c r="KH49" s="66"/>
      <c r="KI49" s="66"/>
      <c r="KJ49" s="66"/>
      <c r="KK49" s="66"/>
      <c r="KL49" s="66"/>
      <c r="KM49" s="66"/>
      <c r="KN49" s="66"/>
      <c r="KO49" s="66"/>
      <c r="KP49" s="66"/>
      <c r="KQ49" s="66"/>
      <c r="KR49" s="66"/>
      <c r="KS49" s="66"/>
      <c r="KT49" s="66"/>
      <c r="KU49" s="66"/>
      <c r="KV49" s="66"/>
      <c r="KW49" s="66"/>
      <c r="KX49" s="66"/>
      <c r="KY49" s="66"/>
      <c r="KZ49" s="66"/>
      <c r="LA49" s="66"/>
      <c r="LB49" s="66"/>
      <c r="LC49" s="66"/>
      <c r="LD49" s="66"/>
      <c r="LE49" s="66"/>
      <c r="LF49" s="66"/>
      <c r="LG49" s="66"/>
      <c r="LH49" s="66"/>
      <c r="LI49" s="66"/>
      <c r="LJ49" s="66"/>
      <c r="LK49" s="66"/>
      <c r="LL49" s="66"/>
      <c r="LM49" s="66"/>
      <c r="LN49" s="66"/>
      <c r="LO49" s="66"/>
      <c r="LP49" s="66"/>
      <c r="LQ49" s="66"/>
      <c r="LR49" s="66"/>
      <c r="LS49" s="66"/>
      <c r="LT49" s="66"/>
      <c r="LU49" s="66"/>
      <c r="LV49" s="66"/>
      <c r="LW49" s="66"/>
      <c r="LX49" s="66"/>
      <c r="LY49" s="66"/>
      <c r="LZ49" s="66"/>
      <c r="MA49" s="66"/>
      <c r="MB49" s="66"/>
      <c r="MC49" s="66"/>
      <c r="MD49" s="66"/>
      <c r="ME49" s="66"/>
      <c r="MF49" s="66"/>
      <c r="MG49" s="66"/>
      <c r="MH49" s="66"/>
      <c r="MI49" s="66"/>
      <c r="MJ49" s="66"/>
      <c r="MK49" s="66"/>
      <c r="ML49" s="66"/>
      <c r="MM49" s="66"/>
      <c r="MN49" s="66"/>
      <c r="MO49" s="66"/>
      <c r="MP49" s="66"/>
      <c r="MQ49" s="66"/>
      <c r="MR49" s="66"/>
      <c r="MS49" s="66"/>
      <c r="MT49" s="66"/>
      <c r="MU49" s="66"/>
      <c r="MV49" s="66"/>
      <c r="MW49" s="66"/>
      <c r="MX49" s="66"/>
      <c r="MY49" s="66"/>
      <c r="MZ49" s="66"/>
      <c r="NA49" s="66"/>
      <c r="NB49" s="66"/>
      <c r="NC49" s="66"/>
      <c r="ND49" s="66"/>
      <c r="NE49" s="66"/>
      <c r="NF49" s="66"/>
      <c r="NG49" s="66"/>
      <c r="NH49" s="66"/>
      <c r="NI49" s="66"/>
      <c r="NJ49" s="66"/>
      <c r="NK49" s="66"/>
      <c r="NL49" s="66"/>
      <c r="NM49" s="66"/>
      <c r="NN49" s="66"/>
      <c r="NO49" s="66"/>
      <c r="NP49" s="66"/>
      <c r="NQ49" s="66"/>
      <c r="NR49" s="66"/>
      <c r="NS49" s="66"/>
      <c r="NT49" s="66"/>
      <c r="NU49" s="66"/>
      <c r="NV49" s="66"/>
      <c r="NW49" s="66"/>
      <c r="NX49" s="66"/>
      <c r="NY49" s="66"/>
      <c r="NZ49" s="66"/>
      <c r="OA49" s="66"/>
      <c r="OB49" s="66"/>
      <c r="OC49" s="66"/>
      <c r="OD49" s="66"/>
      <c r="OE49" s="66"/>
      <c r="OF49" s="66"/>
      <c r="OG49" s="66"/>
      <c r="OH49" s="66"/>
      <c r="OI49" s="66"/>
      <c r="OJ49" s="66"/>
      <c r="OK49" s="66"/>
      <c r="OL49" s="66"/>
      <c r="OM49" s="66"/>
      <c r="ON49" s="66"/>
      <c r="OO49" s="66"/>
      <c r="OP49" s="66"/>
      <c r="OQ49" s="66"/>
      <c r="OR49" s="66"/>
      <c r="OS49" s="66"/>
      <c r="OT49" s="66"/>
      <c r="OU49" s="66"/>
      <c r="OV49" s="66"/>
      <c r="OW49" s="66"/>
      <c r="OX49" s="66"/>
      <c r="OY49" s="66"/>
      <c r="OZ49" s="66"/>
      <c r="PA49" s="66"/>
      <c r="PB49" s="66"/>
      <c r="PC49" s="66"/>
      <c r="PD49" s="66"/>
      <c r="PE49" s="66"/>
      <c r="PF49" s="66"/>
      <c r="PG49" s="66"/>
      <c r="PH49" s="66"/>
      <c r="PI49" s="66"/>
      <c r="PJ49" s="66"/>
      <c r="PK49" s="66"/>
      <c r="PL49" s="66"/>
      <c r="PM49" s="66"/>
      <c r="PN49" s="66"/>
      <c r="PO49" s="66"/>
      <c r="PP49" s="66"/>
      <c r="PQ49" s="66"/>
      <c r="PR49" s="66"/>
      <c r="PS49" s="66"/>
      <c r="PT49" s="66"/>
      <c r="PU49" s="66"/>
      <c r="PV49" s="66"/>
      <c r="PW49" s="66"/>
      <c r="PX49" s="66"/>
      <c r="PY49" s="66"/>
      <c r="PZ49" s="66"/>
      <c r="QA49" s="66"/>
      <c r="QB49" s="66"/>
      <c r="QC49" s="66"/>
      <c r="QD49" s="66"/>
      <c r="QE49" s="66"/>
      <c r="QF49" s="66"/>
      <c r="QG49" s="66"/>
      <c r="QH49" s="66"/>
      <c r="QI49" s="66"/>
      <c r="QJ49" s="66"/>
      <c r="QK49" s="66"/>
      <c r="QL49" s="66"/>
      <c r="QM49" s="66"/>
      <c r="QN49" s="66"/>
      <c r="QO49" s="66"/>
      <c r="QP49" s="66"/>
      <c r="QQ49" s="66"/>
      <c r="QR49" s="66"/>
      <c r="QS49" s="66"/>
      <c r="QT49" s="66"/>
      <c r="QU49" s="66"/>
      <c r="QV49" s="66"/>
      <c r="QW49" s="66"/>
      <c r="QX49" s="66"/>
      <c r="QY49" s="66"/>
      <c r="QZ49" s="66"/>
      <c r="RA49" s="66"/>
      <c r="RB49" s="66"/>
      <c r="RC49" s="66"/>
      <c r="RD49" s="66"/>
      <c r="RE49" s="66"/>
      <c r="RF49" s="66"/>
      <c r="RG49" s="66"/>
      <c r="RH49" s="66"/>
      <c r="RI49" s="66"/>
      <c r="RJ49" s="66"/>
      <c r="RK49" s="66"/>
      <c r="RL49" s="66"/>
      <c r="RM49" s="66"/>
      <c r="RN49" s="66"/>
      <c r="RO49" s="66"/>
      <c r="RP49" s="66"/>
      <c r="RQ49" s="66"/>
      <c r="RR49" s="66"/>
      <c r="RS49" s="66"/>
      <c r="RT49" s="66"/>
      <c r="RU49" s="66"/>
      <c r="RV49" s="66"/>
      <c r="RW49" s="66"/>
      <c r="RX49" s="66"/>
      <c r="RY49" s="66"/>
      <c r="RZ49" s="66"/>
      <c r="SA49" s="66"/>
      <c r="SB49" s="66"/>
      <c r="SC49" s="66"/>
      <c r="SD49" s="66"/>
      <c r="SE49" s="66"/>
      <c r="SF49" s="66"/>
      <c r="SG49" s="66"/>
      <c r="SH49" s="66"/>
      <c r="SI49" s="66"/>
      <c r="SJ49" s="66"/>
      <c r="SK49" s="66"/>
      <c r="SL49" s="66"/>
      <c r="SM49" s="66"/>
      <c r="SN49" s="66"/>
      <c r="SO49" s="66"/>
      <c r="SP49" s="66"/>
      <c r="SQ49" s="66"/>
      <c r="SR49" s="66"/>
      <c r="SS49" s="66"/>
      <c r="ST49" s="66"/>
      <c r="SU49" s="66"/>
      <c r="SV49" s="66"/>
      <c r="SW49" s="66"/>
      <c r="SX49" s="66"/>
      <c r="SY49" s="66"/>
      <c r="SZ49" s="66"/>
      <c r="TA49" s="66"/>
      <c r="TB49" s="66"/>
      <c r="TC49" s="66"/>
      <c r="TD49" s="66"/>
      <c r="TE49" s="66"/>
      <c r="TF49" s="66"/>
      <c r="TG49" s="66"/>
      <c r="TH49" s="66"/>
      <c r="TI49" s="66"/>
      <c r="TJ49" s="66"/>
      <c r="TK49" s="66"/>
      <c r="TL49" s="66"/>
      <c r="TM49" s="66"/>
      <c r="TN49" s="66"/>
      <c r="TO49" s="66"/>
      <c r="TP49" s="66"/>
      <c r="TQ49" s="66"/>
      <c r="TR49" s="66"/>
      <c r="TS49" s="66"/>
      <c r="TT49" s="66"/>
      <c r="TU49" s="66"/>
      <c r="TV49" s="66"/>
      <c r="TW49" s="66"/>
      <c r="TX49" s="66"/>
      <c r="TY49" s="66"/>
      <c r="TZ49" s="66"/>
      <c r="UA49" s="66"/>
      <c r="UB49" s="66"/>
      <c r="UC49" s="66"/>
      <c r="UD49" s="66"/>
      <c r="UE49" s="66"/>
      <c r="UF49" s="66"/>
      <c r="UG49" s="66"/>
      <c r="UH49" s="66"/>
      <c r="UI49" s="66"/>
      <c r="UJ49" s="66"/>
      <c r="UK49" s="66"/>
      <c r="UL49" s="66"/>
      <c r="UM49" s="66"/>
      <c r="UN49" s="66"/>
      <c r="UO49" s="66"/>
      <c r="UP49" s="66"/>
      <c r="UQ49" s="66"/>
      <c r="UR49" s="66"/>
      <c r="US49" s="66"/>
      <c r="UT49" s="66"/>
      <c r="UU49" s="66"/>
      <c r="UV49" s="66"/>
      <c r="UW49" s="66"/>
      <c r="UX49" s="66"/>
      <c r="UY49" s="66"/>
      <c r="UZ49" s="66"/>
      <c r="VA49" s="66"/>
      <c r="VB49" s="66"/>
      <c r="VC49" s="66"/>
      <c r="VD49" s="66"/>
      <c r="VE49" s="66"/>
      <c r="VF49" s="66"/>
      <c r="VG49" s="66"/>
      <c r="VH49" s="66"/>
      <c r="VI49" s="66"/>
      <c r="VJ49" s="66"/>
      <c r="VK49" s="66"/>
      <c r="VL49" s="66"/>
      <c r="VM49" s="66"/>
      <c r="VN49" s="66"/>
      <c r="VO49" s="66"/>
      <c r="VP49" s="66"/>
      <c r="VQ49" s="66"/>
      <c r="VR49" s="66"/>
      <c r="VS49" s="66"/>
      <c r="VT49" s="66"/>
      <c r="VU49" s="66"/>
      <c r="VV49" s="66"/>
      <c r="VW49" s="66"/>
      <c r="VX49" s="66"/>
      <c r="VY49" s="66"/>
      <c r="VZ49" s="66"/>
      <c r="WA49" s="66"/>
      <c r="WB49" s="66"/>
      <c r="WC49" s="66"/>
      <c r="WD49" s="66"/>
      <c r="WE49" s="66"/>
      <c r="WF49" s="66"/>
      <c r="WG49" s="66"/>
      <c r="WH49" s="66"/>
      <c r="WI49" s="66"/>
      <c r="WJ49" s="66"/>
      <c r="WK49" s="66"/>
      <c r="WL49" s="66"/>
      <c r="WM49" s="66"/>
      <c r="WN49" s="66"/>
      <c r="WO49" s="66"/>
      <c r="WP49" s="66"/>
      <c r="WQ49" s="66"/>
      <c r="WR49" s="66"/>
      <c r="WS49" s="66"/>
      <c r="WT49" s="66"/>
      <c r="WU49" s="66"/>
      <c r="WV49" s="66"/>
      <c r="WW49" s="66"/>
      <c r="WX49" s="66"/>
      <c r="WY49" s="66"/>
      <c r="WZ49" s="66"/>
      <c r="XA49" s="66"/>
      <c r="XB49" s="66"/>
      <c r="XC49" s="66"/>
      <c r="XD49" s="66"/>
      <c r="XE49" s="66"/>
      <c r="XF49" s="66"/>
      <c r="XG49" s="66"/>
      <c r="XH49" s="66"/>
      <c r="XI49" s="66"/>
      <c r="XJ49" s="66"/>
      <c r="XK49" s="66"/>
      <c r="XL49" s="66"/>
      <c r="XM49" s="66"/>
      <c r="XN49" s="66"/>
      <c r="XO49" s="66"/>
      <c r="XP49" s="66"/>
      <c r="XQ49" s="66"/>
      <c r="XR49" s="66"/>
      <c r="XS49" s="66"/>
      <c r="XT49" s="66"/>
      <c r="XU49" s="66"/>
      <c r="XV49" s="66"/>
      <c r="XW49" s="66"/>
      <c r="XX49" s="66"/>
      <c r="XY49" s="66"/>
      <c r="XZ49" s="66"/>
      <c r="YA49" s="66"/>
      <c r="YB49" s="66"/>
      <c r="YC49" s="66"/>
      <c r="YD49" s="66"/>
      <c r="YE49" s="66"/>
      <c r="YF49" s="66"/>
      <c r="YG49" s="66"/>
      <c r="YH49" s="66"/>
      <c r="YI49" s="66"/>
      <c r="YJ49" s="66"/>
      <c r="YK49" s="66"/>
      <c r="YL49" s="66"/>
      <c r="YM49" s="66"/>
      <c r="YN49" s="66"/>
      <c r="YO49" s="66"/>
      <c r="YP49" s="66"/>
      <c r="YQ49" s="66"/>
      <c r="YR49" s="66"/>
      <c r="YS49" s="66"/>
      <c r="YT49" s="66"/>
      <c r="YU49" s="66"/>
      <c r="YV49" s="66"/>
      <c r="YW49" s="66"/>
      <c r="YX49" s="66"/>
      <c r="YY49" s="66"/>
      <c r="YZ49" s="66"/>
      <c r="ZA49" s="66"/>
      <c r="ZB49" s="66"/>
      <c r="ZC49" s="66"/>
      <c r="ZD49" s="66"/>
      <c r="ZE49" s="66"/>
      <c r="ZF49" s="66"/>
      <c r="ZG49" s="66"/>
      <c r="ZH49" s="66"/>
      <c r="ZI49" s="66"/>
      <c r="ZJ49" s="66"/>
      <c r="ZK49" s="66"/>
      <c r="ZL49" s="66"/>
      <c r="ZM49" s="66"/>
      <c r="ZN49" s="66"/>
      <c r="ZO49" s="66"/>
      <c r="ZP49" s="66"/>
      <c r="ZQ49" s="66"/>
      <c r="ZR49" s="66"/>
      <c r="ZS49" s="66"/>
      <c r="ZT49" s="66"/>
      <c r="ZU49" s="66"/>
      <c r="ZV49" s="66"/>
      <c r="ZW49" s="66"/>
      <c r="ZX49" s="66"/>
      <c r="ZY49" s="66"/>
      <c r="ZZ49" s="66"/>
      <c r="AAA49" s="66"/>
      <c r="AAB49" s="66"/>
      <c r="AAC49" s="66"/>
      <c r="AAD49" s="66"/>
      <c r="AAE49" s="66"/>
      <c r="AAF49" s="66"/>
      <c r="AAG49" s="66"/>
      <c r="AAH49" s="66"/>
      <c r="AAI49" s="66"/>
      <c r="AAJ49" s="66"/>
      <c r="AAK49" s="66"/>
      <c r="AAL49" s="66"/>
      <c r="AAM49" s="66"/>
      <c r="AAN49" s="66"/>
      <c r="AAO49" s="66"/>
      <c r="AAP49" s="66"/>
      <c r="AAQ49" s="66"/>
      <c r="AAR49" s="66"/>
      <c r="AAS49" s="66"/>
      <c r="AAT49" s="66"/>
      <c r="AAU49" s="66"/>
      <c r="AAV49" s="66"/>
      <c r="AAW49" s="66"/>
      <c r="AAX49" s="66"/>
      <c r="AAY49" s="66"/>
      <c r="AAZ49" s="66"/>
      <c r="ABA49" s="66"/>
      <c r="ABB49" s="66"/>
      <c r="ABC49" s="66"/>
      <c r="ABD49" s="66"/>
      <c r="ABE49" s="66"/>
      <c r="ABF49" s="66"/>
      <c r="ABG49" s="66"/>
      <c r="ABH49" s="66"/>
      <c r="ABI49" s="66"/>
      <c r="ABJ49" s="66"/>
      <c r="ABK49" s="66"/>
      <c r="ABL49" s="66"/>
      <c r="ABM49" s="66"/>
      <c r="ABN49" s="66"/>
      <c r="ABO49" s="66"/>
      <c r="ABP49" s="66"/>
      <c r="ABQ49" s="66"/>
      <c r="ABR49" s="66"/>
      <c r="ABS49" s="66"/>
      <c r="ABT49" s="66"/>
      <c r="ABU49" s="66"/>
      <c r="ABV49" s="66"/>
      <c r="ABW49" s="66"/>
      <c r="ABX49" s="66"/>
      <c r="ABY49" s="66"/>
      <c r="ABZ49" s="66"/>
      <c r="ACA49" s="66"/>
      <c r="ACB49" s="66"/>
      <c r="ACC49" s="66"/>
      <c r="ACD49" s="66"/>
      <c r="ACE49" s="66"/>
      <c r="ACF49" s="66"/>
      <c r="ACG49" s="66"/>
      <c r="ACH49" s="66"/>
      <c r="ACI49" s="66"/>
      <c r="ACJ49" s="66"/>
      <c r="ACK49" s="66"/>
      <c r="ACL49" s="66"/>
      <c r="ACM49" s="66"/>
      <c r="ACN49" s="66"/>
      <c r="ACO49" s="66"/>
      <c r="ACP49" s="66"/>
      <c r="ACQ49" s="66"/>
      <c r="ACR49" s="66"/>
      <c r="ACS49" s="66"/>
      <c r="ACT49" s="66"/>
      <c r="ACU49" s="66"/>
      <c r="ACV49" s="66"/>
      <c r="ACW49" s="66"/>
      <c r="ACX49" s="66"/>
      <c r="ACY49" s="66"/>
      <c r="ACZ49" s="66"/>
      <c r="ADA49" s="66"/>
      <c r="ADB49" s="66"/>
      <c r="ADC49" s="66"/>
      <c r="ADD49" s="66"/>
      <c r="ADE49" s="66"/>
      <c r="ADF49" s="66"/>
      <c r="ADG49" s="66"/>
      <c r="ADH49" s="66"/>
      <c r="ADI49" s="66"/>
      <c r="ADJ49" s="66"/>
      <c r="ADK49" s="66"/>
      <c r="ADL49" s="66"/>
      <c r="ADM49" s="66"/>
      <c r="ADN49" s="66"/>
      <c r="ADO49" s="66"/>
      <c r="ADP49" s="66"/>
      <c r="ADQ49" s="66"/>
      <c r="ADR49" s="66"/>
      <c r="ADS49" s="66"/>
      <c r="ADT49" s="66"/>
      <c r="ADU49" s="66"/>
      <c r="ADV49" s="66"/>
      <c r="ADW49" s="66"/>
      <c r="ADX49" s="66"/>
      <c r="ADY49" s="66"/>
      <c r="ADZ49" s="66"/>
      <c r="AEA49" s="66"/>
      <c r="AEB49" s="66"/>
      <c r="AEC49" s="66"/>
      <c r="AED49" s="66"/>
      <c r="AEE49" s="66"/>
      <c r="AEF49" s="66"/>
      <c r="AEG49" s="66"/>
      <c r="AEH49" s="66"/>
      <c r="AEI49" s="66"/>
      <c r="AEJ49" s="66"/>
      <c r="AEK49" s="66"/>
      <c r="AEL49" s="66"/>
      <c r="AEM49" s="66"/>
      <c r="AEN49" s="66"/>
      <c r="AEO49" s="66"/>
      <c r="AEP49" s="66"/>
      <c r="AEQ49" s="66"/>
      <c r="AER49" s="66"/>
      <c r="AES49" s="66"/>
      <c r="AET49" s="66"/>
      <c r="AEU49" s="66"/>
      <c r="AEV49" s="66"/>
      <c r="AEW49" s="66"/>
      <c r="AEX49" s="66"/>
      <c r="AEY49" s="66"/>
      <c r="AEZ49" s="66"/>
      <c r="AFA49" s="66"/>
      <c r="AFB49" s="66"/>
      <c r="AFC49" s="66"/>
      <c r="AFD49" s="66"/>
      <c r="AFE49" s="66"/>
      <c r="AFF49" s="66"/>
      <c r="AFG49" s="66"/>
      <c r="AFH49" s="66"/>
      <c r="AFI49" s="66"/>
      <c r="AFJ49" s="66"/>
      <c r="AFK49" s="66"/>
      <c r="AFL49" s="66"/>
      <c r="AFM49" s="66"/>
      <c r="AFN49" s="66"/>
      <c r="AFO49" s="66"/>
      <c r="AFP49" s="66"/>
      <c r="AFQ49" s="66"/>
      <c r="AFR49" s="66"/>
      <c r="AFS49" s="66"/>
      <c r="AFT49" s="66"/>
      <c r="AFU49" s="66"/>
      <c r="AFV49" s="66"/>
      <c r="AFW49" s="66"/>
      <c r="AFX49" s="66"/>
      <c r="AFY49" s="66"/>
      <c r="AFZ49" s="66"/>
      <c r="AGA49" s="66"/>
      <c r="AGB49" s="66"/>
      <c r="AGC49" s="66"/>
      <c r="AGD49" s="66"/>
      <c r="AGE49" s="66"/>
      <c r="AGF49" s="66"/>
      <c r="AGG49" s="66"/>
      <c r="AGH49" s="66"/>
      <c r="AGI49" s="66"/>
      <c r="AGJ49" s="66"/>
      <c r="AGK49" s="66"/>
      <c r="AGL49" s="66"/>
      <c r="AGM49" s="66"/>
      <c r="AGN49" s="66"/>
      <c r="AGO49" s="66"/>
      <c r="AGP49" s="66"/>
      <c r="AGQ49" s="66"/>
      <c r="AGR49" s="66"/>
      <c r="AGS49" s="66"/>
      <c r="AGT49" s="66"/>
      <c r="AGU49" s="66"/>
      <c r="AGV49" s="66"/>
      <c r="AGW49" s="66"/>
      <c r="AGX49" s="66"/>
      <c r="AGY49" s="66"/>
      <c r="AGZ49" s="66"/>
      <c r="AHA49" s="66"/>
      <c r="AHB49" s="66"/>
      <c r="AHC49" s="66"/>
      <c r="AHD49" s="66"/>
      <c r="AHE49" s="66"/>
      <c r="AHF49" s="66"/>
      <c r="AHG49" s="66"/>
      <c r="AHH49" s="66"/>
      <c r="AHI49" s="66"/>
      <c r="AHJ49" s="66"/>
      <c r="AHK49" s="66"/>
      <c r="AHL49" s="66"/>
      <c r="AHM49" s="66"/>
      <c r="AHN49" s="66"/>
      <c r="AHO49" s="66"/>
      <c r="AHP49" s="66"/>
      <c r="AHQ49" s="66"/>
      <c r="AHR49" s="66"/>
      <c r="AHS49" s="66"/>
      <c r="AHT49" s="66"/>
      <c r="AHU49" s="66"/>
      <c r="AHV49" s="66"/>
      <c r="AHW49" s="66"/>
      <c r="AHX49" s="66"/>
      <c r="AHY49" s="66"/>
      <c r="AHZ49" s="66"/>
      <c r="AIA49" s="66"/>
      <c r="AIB49" s="66"/>
      <c r="AIC49" s="66"/>
      <c r="AID49" s="66"/>
      <c r="AIE49" s="66"/>
      <c r="AIF49" s="66"/>
      <c r="AIG49" s="66"/>
      <c r="AIH49" s="66"/>
      <c r="AII49" s="66"/>
      <c r="AIJ49" s="66"/>
      <c r="AIK49" s="66"/>
      <c r="AIL49" s="66"/>
      <c r="AIM49" s="66"/>
      <c r="AIN49" s="66"/>
      <c r="AIO49" s="66"/>
      <c r="AIP49" s="66"/>
      <c r="AIQ49" s="66"/>
      <c r="AIR49" s="66"/>
      <c r="AIS49" s="66"/>
      <c r="AIT49" s="66"/>
      <c r="AIU49" s="66"/>
      <c r="AIV49" s="66"/>
      <c r="AIW49" s="66"/>
      <c r="AIX49" s="66"/>
      <c r="AIY49" s="66"/>
      <c r="AIZ49" s="66"/>
      <c r="AJA49" s="66"/>
      <c r="AJB49" s="66"/>
      <c r="AJC49" s="66"/>
      <c r="AJD49" s="66"/>
      <c r="AJE49" s="66"/>
      <c r="AJF49" s="66"/>
      <c r="AJG49" s="66"/>
      <c r="AJH49" s="66"/>
      <c r="AJI49" s="66"/>
      <c r="AJJ49" s="66"/>
      <c r="AJK49" s="66"/>
      <c r="AJL49" s="66"/>
      <c r="AJM49" s="66"/>
      <c r="AJN49" s="66"/>
      <c r="AJO49" s="66"/>
      <c r="AJP49" s="66"/>
      <c r="AJQ49" s="66"/>
      <c r="AJR49" s="66"/>
      <c r="AJS49" s="66"/>
      <c r="AJT49" s="66"/>
      <c r="AJU49" s="66"/>
      <c r="AJV49" s="66"/>
      <c r="AJW49" s="66"/>
      <c r="AJX49" s="66"/>
      <c r="AJY49" s="66"/>
      <c r="AJZ49" s="66"/>
      <c r="AKA49" s="66"/>
      <c r="AKB49" s="66"/>
      <c r="AKC49" s="66"/>
      <c r="AKD49" s="66"/>
      <c r="AKE49" s="66"/>
      <c r="AKF49" s="66"/>
      <c r="AKG49" s="66"/>
      <c r="AKH49" s="66"/>
      <c r="AKI49" s="66"/>
      <c r="AKJ49" s="66"/>
      <c r="AKK49" s="66"/>
      <c r="AKL49" s="66"/>
      <c r="AKM49" s="66"/>
      <c r="AKN49" s="66"/>
      <c r="AKO49" s="66"/>
      <c r="AKP49" s="66"/>
      <c r="AKQ49" s="66"/>
      <c r="AKR49" s="66"/>
      <c r="AKS49" s="66"/>
      <c r="AKT49" s="66"/>
      <c r="AKU49" s="66"/>
      <c r="AKV49" s="66"/>
      <c r="AKW49" s="66"/>
      <c r="AKX49" s="66"/>
      <c r="AKY49" s="66"/>
      <c r="AKZ49" s="66"/>
      <c r="ALA49" s="66"/>
      <c r="ALB49" s="66"/>
      <c r="ALC49" s="66"/>
      <c r="ALD49" s="66"/>
      <c r="ALE49" s="66"/>
      <c r="ALF49" s="66"/>
      <c r="ALG49" s="66"/>
      <c r="ALH49" s="66"/>
      <c r="ALI49" s="66"/>
      <c r="ALJ49" s="66"/>
      <c r="ALK49" s="66"/>
      <c r="ALL49" s="66"/>
      <c r="ALM49" s="66"/>
      <c r="ALN49" s="66"/>
      <c r="ALO49" s="66"/>
      <c r="ALP49" s="66"/>
      <c r="ALQ49" s="66"/>
      <c r="ALR49" s="66"/>
      <c r="ALS49" s="66"/>
      <c r="ALT49" s="66"/>
      <c r="ALU49" s="66"/>
      <c r="ALV49" s="66"/>
      <c r="ALW49" s="66"/>
      <c r="ALX49" s="66"/>
      <c r="ALY49" s="66"/>
      <c r="ALZ49" s="66"/>
      <c r="AMA49" s="66"/>
      <c r="AMB49" s="66"/>
      <c r="AMC49" s="66"/>
      <c r="AMD49" s="66"/>
      <c r="AME49" s="66"/>
      <c r="AMF49" s="66"/>
      <c r="AMG49" s="66"/>
      <c r="AMH49" s="66"/>
      <c r="AMI49" s="66"/>
      <c r="AMJ49" s="66"/>
      <c r="AMK49" s="66"/>
      <c r="AML49" s="66"/>
      <c r="AMM49" s="66"/>
      <c r="AMN49" s="66"/>
      <c r="AMO49" s="66"/>
      <c r="AMP49" s="66"/>
      <c r="AMQ49" s="66"/>
      <c r="AMR49" s="66"/>
      <c r="AMS49" s="66"/>
      <c r="AMT49" s="66"/>
      <c r="AMU49" s="66"/>
      <c r="AMV49" s="66"/>
      <c r="AMW49" s="66"/>
      <c r="AMX49" s="66"/>
      <c r="AMY49" s="66"/>
      <c r="AMZ49" s="66"/>
      <c r="ANA49" s="66"/>
      <c r="ANB49" s="66"/>
      <c r="ANC49" s="66"/>
      <c r="AND49" s="66"/>
      <c r="ANE49" s="66"/>
      <c r="ANF49" s="66"/>
      <c r="ANG49" s="66"/>
      <c r="ANH49" s="66"/>
      <c r="ANI49" s="66"/>
      <c r="ANJ49" s="66"/>
      <c r="ANK49" s="66"/>
      <c r="ANL49" s="66"/>
      <c r="ANM49" s="66"/>
      <c r="ANN49" s="66"/>
      <c r="ANO49" s="66"/>
      <c r="ANP49" s="66"/>
      <c r="ANQ49" s="66"/>
      <c r="ANR49" s="66"/>
      <c r="ANS49" s="66"/>
      <c r="ANT49" s="66"/>
      <c r="ANU49" s="66"/>
      <c r="ANV49" s="66"/>
      <c r="ANW49" s="66"/>
      <c r="ANX49" s="66"/>
      <c r="ANY49" s="66"/>
      <c r="ANZ49" s="66"/>
      <c r="AOA49" s="66"/>
      <c r="AOB49" s="66"/>
      <c r="AOC49" s="66"/>
      <c r="AOD49" s="66"/>
      <c r="AOE49" s="66"/>
      <c r="AOF49" s="66"/>
      <c r="AOG49" s="66"/>
      <c r="AOH49" s="66"/>
      <c r="AOI49" s="66"/>
      <c r="AOJ49" s="66"/>
      <c r="AOK49" s="66"/>
      <c r="AOL49" s="66"/>
      <c r="AOM49" s="66"/>
      <c r="AON49" s="66"/>
      <c r="AOO49" s="66"/>
      <c r="AOP49" s="66"/>
      <c r="AOQ49" s="66"/>
      <c r="AOR49" s="66"/>
      <c r="AOS49" s="66"/>
      <c r="AOT49" s="66"/>
      <c r="AOU49" s="66"/>
      <c r="AOV49" s="66"/>
      <c r="AOW49" s="66"/>
      <c r="AOX49" s="66"/>
      <c r="AOY49" s="66"/>
      <c r="AOZ49" s="66"/>
      <c r="APA49" s="66"/>
      <c r="APB49" s="66"/>
      <c r="APC49" s="66"/>
      <c r="APD49" s="66"/>
      <c r="APE49" s="66"/>
      <c r="APF49" s="66"/>
      <c r="APG49" s="66"/>
      <c r="APH49" s="66"/>
      <c r="API49" s="66"/>
      <c r="APJ49" s="66"/>
      <c r="APK49" s="66"/>
      <c r="APL49" s="66"/>
      <c r="APM49" s="66"/>
      <c r="APN49" s="66"/>
      <c r="APO49" s="66"/>
      <c r="APP49" s="66"/>
      <c r="APQ49" s="66"/>
      <c r="APR49" s="66"/>
      <c r="APS49" s="66"/>
      <c r="APT49" s="66"/>
      <c r="APU49" s="66"/>
      <c r="APV49" s="66"/>
      <c r="APW49" s="66"/>
      <c r="APX49" s="66"/>
      <c r="APY49" s="66"/>
      <c r="APZ49" s="66"/>
      <c r="AQA49" s="66"/>
      <c r="AQB49" s="66"/>
      <c r="AQC49" s="66"/>
      <c r="AQD49" s="66"/>
      <c r="AQE49" s="66"/>
      <c r="AQF49" s="66"/>
      <c r="AQG49" s="66"/>
      <c r="AQH49" s="66"/>
      <c r="AQI49" s="66"/>
      <c r="AQJ49" s="66"/>
      <c r="AQK49" s="66"/>
      <c r="AQL49" s="66"/>
      <c r="AQM49" s="66"/>
      <c r="AQN49" s="66"/>
      <c r="AQO49" s="66"/>
      <c r="AQP49" s="66"/>
      <c r="AQQ49" s="66"/>
      <c r="AQR49" s="66"/>
      <c r="AQS49" s="66"/>
      <c r="AQT49" s="66"/>
      <c r="AQU49" s="66"/>
      <c r="AQV49" s="66"/>
      <c r="AQW49" s="66"/>
      <c r="AQX49" s="66"/>
      <c r="AQY49" s="66"/>
      <c r="AQZ49" s="66"/>
      <c r="ARA49" s="66"/>
      <c r="ARB49" s="66"/>
      <c r="ARC49" s="66"/>
      <c r="ARD49" s="66"/>
      <c r="ARE49" s="66"/>
      <c r="ARF49" s="66"/>
      <c r="ARG49" s="66"/>
      <c r="ARH49" s="66"/>
      <c r="ARI49" s="66"/>
      <c r="ARJ49" s="66"/>
      <c r="ARK49" s="66"/>
      <c r="ARL49" s="66"/>
      <c r="ARM49" s="66"/>
      <c r="ARN49" s="66"/>
      <c r="ARO49" s="66"/>
      <c r="ARP49" s="66"/>
      <c r="ARQ49" s="66"/>
      <c r="ARR49" s="66"/>
      <c r="ARS49" s="66"/>
      <c r="ART49" s="66"/>
      <c r="ARU49" s="66"/>
      <c r="ARV49" s="66"/>
      <c r="ARW49" s="66"/>
      <c r="ARX49" s="66"/>
      <c r="ARY49" s="66"/>
      <c r="ARZ49" s="66"/>
      <c r="ASA49" s="66"/>
      <c r="ASB49" s="66"/>
      <c r="ASC49" s="66"/>
      <c r="ASD49" s="66"/>
      <c r="ASE49" s="66"/>
      <c r="ASF49" s="66"/>
      <c r="ASG49" s="66"/>
      <c r="ASH49" s="66"/>
      <c r="ASI49" s="66"/>
      <c r="ASJ49" s="66"/>
      <c r="ASK49" s="66"/>
      <c r="ASL49" s="66"/>
      <c r="ASM49" s="66"/>
      <c r="ASN49" s="66"/>
      <c r="ASO49" s="66"/>
      <c r="ASP49" s="66"/>
      <c r="ASQ49" s="66"/>
      <c r="ASR49" s="66"/>
      <c r="ASS49" s="66"/>
      <c r="AST49" s="66"/>
      <c r="ASU49" s="66"/>
      <c r="ASV49" s="66"/>
      <c r="ASW49" s="66"/>
      <c r="ASX49" s="66"/>
      <c r="ASY49" s="66"/>
      <c r="ASZ49" s="66"/>
      <c r="ATA49" s="66"/>
      <c r="ATB49" s="66"/>
      <c r="ATC49" s="66"/>
      <c r="ATD49" s="66"/>
      <c r="ATE49" s="66"/>
      <c r="ATF49" s="66"/>
      <c r="ATG49" s="66"/>
      <c r="ATH49" s="66"/>
      <c r="ATI49" s="66"/>
      <c r="ATJ49" s="66"/>
      <c r="ATK49" s="66"/>
      <c r="ATL49" s="66"/>
      <c r="ATM49" s="66"/>
      <c r="ATN49" s="66"/>
      <c r="ATO49" s="66"/>
      <c r="ATP49" s="66"/>
      <c r="ATQ49" s="66"/>
      <c r="ATR49" s="66"/>
      <c r="ATS49" s="66"/>
      <c r="ATT49" s="66"/>
      <c r="ATU49" s="66"/>
      <c r="ATV49" s="66"/>
      <c r="ATW49" s="66"/>
      <c r="ATX49" s="66"/>
      <c r="ATY49" s="66"/>
      <c r="ATZ49" s="66"/>
      <c r="AUA49" s="66"/>
      <c r="AUB49" s="66"/>
      <c r="AUC49" s="66"/>
      <c r="AUD49" s="66"/>
      <c r="AUE49" s="66"/>
      <c r="AUF49" s="66"/>
      <c r="AUG49" s="66"/>
      <c r="AUH49" s="66"/>
      <c r="AUI49" s="66"/>
      <c r="AUJ49" s="66"/>
      <c r="AUK49" s="66"/>
      <c r="AUL49" s="66"/>
      <c r="AUM49" s="66"/>
      <c r="AUN49" s="66"/>
      <c r="AUO49" s="66"/>
      <c r="AUP49" s="66"/>
      <c r="AUQ49" s="66"/>
      <c r="AUR49" s="66"/>
      <c r="AUS49" s="66"/>
      <c r="AUT49" s="66"/>
      <c r="AUU49" s="66"/>
      <c r="AUV49" s="66"/>
      <c r="AUW49" s="66"/>
      <c r="AUX49" s="66"/>
      <c r="AUY49" s="66"/>
      <c r="AUZ49" s="66"/>
      <c r="AVA49" s="66"/>
      <c r="AVB49" s="66"/>
      <c r="AVC49" s="66"/>
      <c r="AVD49" s="66"/>
      <c r="AVE49" s="66"/>
      <c r="AVF49" s="66"/>
      <c r="AVG49" s="66"/>
      <c r="AVH49" s="66"/>
      <c r="AVI49" s="66"/>
      <c r="AVJ49" s="66"/>
      <c r="AVK49" s="66"/>
      <c r="AVL49" s="66"/>
      <c r="AVM49" s="66"/>
      <c r="AVN49" s="66"/>
      <c r="AVO49" s="66"/>
      <c r="AVP49" s="66"/>
      <c r="AVQ49" s="66"/>
      <c r="AVR49" s="66"/>
      <c r="AVS49" s="66"/>
      <c r="AVT49" s="66"/>
      <c r="AVU49" s="66"/>
      <c r="AVV49" s="66"/>
      <c r="AVW49" s="66"/>
      <c r="AVX49" s="66"/>
      <c r="AVY49" s="66"/>
      <c r="AVZ49" s="66"/>
      <c r="AWA49" s="66"/>
      <c r="AWB49" s="66"/>
      <c r="AWC49" s="66"/>
      <c r="AWD49" s="66"/>
      <c r="AWE49" s="66"/>
      <c r="AWF49" s="66"/>
      <c r="AWG49" s="66"/>
      <c r="AWH49" s="66"/>
      <c r="AWI49" s="66"/>
      <c r="AWJ49" s="66"/>
      <c r="AWK49" s="66"/>
      <c r="AWL49" s="66"/>
      <c r="AWM49" s="66"/>
      <c r="AWN49" s="66"/>
      <c r="AWO49" s="66"/>
      <c r="AWP49" s="66"/>
      <c r="AWQ49" s="66"/>
      <c r="AWR49" s="66"/>
      <c r="AWS49" s="66"/>
      <c r="AWT49" s="66"/>
      <c r="AWU49" s="66"/>
      <c r="AWV49" s="66"/>
      <c r="AWW49" s="66"/>
      <c r="AWX49" s="66"/>
      <c r="AWY49" s="66"/>
      <c r="AWZ49" s="66"/>
      <c r="AXA49" s="66"/>
      <c r="AXB49" s="66"/>
      <c r="AXC49" s="66"/>
      <c r="AXD49" s="66"/>
      <c r="AXE49" s="66"/>
      <c r="AXF49" s="66"/>
      <c r="AXG49" s="66"/>
      <c r="AXH49" s="66"/>
      <c r="AXI49" s="66"/>
      <c r="AXJ49" s="66"/>
      <c r="AXK49" s="66"/>
      <c r="AXL49" s="66"/>
      <c r="AXM49" s="66"/>
      <c r="AXN49" s="66"/>
      <c r="AXO49" s="66"/>
      <c r="AXP49" s="66"/>
      <c r="AXQ49" s="66"/>
      <c r="AXR49" s="66"/>
      <c r="AXS49" s="66"/>
      <c r="AXT49" s="66"/>
      <c r="AXU49" s="66"/>
      <c r="AXV49" s="66"/>
      <c r="AXW49" s="66"/>
      <c r="AXX49" s="66"/>
      <c r="AXY49" s="66"/>
      <c r="AXZ49" s="66"/>
      <c r="AYA49" s="66"/>
      <c r="AYB49" s="66"/>
      <c r="AYC49" s="66"/>
      <c r="AYD49" s="66"/>
      <c r="AYE49" s="66"/>
      <c r="AYF49" s="66"/>
      <c r="AYG49" s="66"/>
      <c r="AYH49" s="66"/>
      <c r="AYI49" s="66"/>
      <c r="AYJ49" s="66"/>
      <c r="AYK49" s="66"/>
      <c r="AYL49" s="66"/>
      <c r="AYM49" s="66"/>
      <c r="AYN49" s="66"/>
      <c r="AYO49" s="66"/>
      <c r="AYP49" s="66"/>
      <c r="AYQ49" s="66"/>
      <c r="AYR49" s="66"/>
      <c r="AYS49" s="66"/>
      <c r="AYT49" s="66"/>
      <c r="AYU49" s="66"/>
      <c r="AYV49" s="66"/>
      <c r="AYW49" s="66"/>
      <c r="AYX49" s="66"/>
      <c r="AYY49" s="66"/>
      <c r="AYZ49" s="66"/>
      <c r="AZA49" s="66"/>
      <c r="AZB49" s="66"/>
      <c r="AZC49" s="66"/>
      <c r="AZD49" s="66"/>
      <c r="AZE49" s="66"/>
      <c r="AZF49" s="66"/>
      <c r="AZG49" s="66"/>
      <c r="AZH49" s="66"/>
      <c r="AZI49" s="66"/>
      <c r="AZJ49" s="66"/>
      <c r="AZK49" s="66"/>
      <c r="AZL49" s="66"/>
      <c r="AZM49" s="66"/>
      <c r="AZN49" s="66"/>
      <c r="AZO49" s="66"/>
      <c r="AZP49" s="66"/>
      <c r="AZQ49" s="66"/>
      <c r="AZR49" s="66"/>
      <c r="AZS49" s="66"/>
      <c r="AZT49" s="66"/>
      <c r="AZU49" s="66"/>
      <c r="AZV49" s="66"/>
      <c r="AZW49" s="66"/>
      <c r="AZX49" s="66"/>
      <c r="AZY49" s="66"/>
      <c r="AZZ49" s="66"/>
      <c r="BAA49" s="66"/>
      <c r="BAB49" s="66"/>
      <c r="BAC49" s="66"/>
      <c r="BAD49" s="66"/>
      <c r="BAE49" s="66"/>
      <c r="BAF49" s="66"/>
      <c r="BAG49" s="66"/>
      <c r="BAH49" s="66"/>
      <c r="BAI49" s="66"/>
      <c r="BAJ49" s="66"/>
      <c r="BAK49" s="66"/>
      <c r="BAL49" s="66"/>
      <c r="BAM49" s="66"/>
      <c r="BAN49" s="66"/>
      <c r="BAO49" s="66"/>
      <c r="BAP49" s="66"/>
      <c r="BAQ49" s="66"/>
      <c r="BAR49" s="66"/>
      <c r="BAS49" s="66"/>
      <c r="BAT49" s="66"/>
      <c r="BAU49" s="66"/>
      <c r="BAV49" s="66"/>
      <c r="BAW49" s="66"/>
      <c r="BAX49" s="66"/>
      <c r="BAY49" s="66"/>
      <c r="BAZ49" s="66"/>
      <c r="BBA49" s="66"/>
      <c r="BBB49" s="66"/>
      <c r="BBC49" s="66"/>
      <c r="BBD49" s="66"/>
      <c r="BBE49" s="66"/>
      <c r="BBF49" s="66"/>
      <c r="BBG49" s="66"/>
      <c r="BBH49" s="66"/>
      <c r="BBI49" s="66"/>
      <c r="BBJ49" s="66"/>
      <c r="BBK49" s="66"/>
      <c r="BBL49" s="66"/>
      <c r="BBM49" s="66"/>
      <c r="BBN49" s="66"/>
      <c r="BBO49" s="66"/>
      <c r="BBP49" s="66"/>
      <c r="BBQ49" s="66"/>
      <c r="BBR49" s="66"/>
      <c r="BBS49" s="66"/>
      <c r="BBT49" s="66"/>
      <c r="BBU49" s="66"/>
      <c r="BBV49" s="66"/>
      <c r="BBW49" s="66"/>
      <c r="BBX49" s="66"/>
      <c r="BBY49" s="66"/>
      <c r="BBZ49" s="66"/>
      <c r="BCA49" s="66"/>
      <c r="BCB49" s="66"/>
      <c r="BCC49" s="66"/>
      <c r="BCD49" s="66"/>
      <c r="BCE49" s="66"/>
      <c r="BCF49" s="66"/>
      <c r="BCG49" s="66"/>
      <c r="BCH49" s="66"/>
      <c r="BCI49" s="66"/>
      <c r="BCJ49" s="66"/>
      <c r="BCK49" s="66"/>
      <c r="BCL49" s="66"/>
      <c r="BCM49" s="66"/>
      <c r="BCN49" s="66"/>
      <c r="BCO49" s="66"/>
      <c r="BCP49" s="66"/>
      <c r="BCQ49" s="66"/>
      <c r="BCR49" s="66"/>
      <c r="BCS49" s="66"/>
      <c r="BCT49" s="66"/>
      <c r="BCU49" s="66"/>
      <c r="BCV49" s="66"/>
      <c r="BCW49" s="66"/>
      <c r="BCX49" s="66"/>
      <c r="BCY49" s="66"/>
      <c r="BCZ49" s="66"/>
      <c r="BDA49" s="66"/>
      <c r="BDB49" s="66"/>
      <c r="BDC49" s="66"/>
      <c r="BDD49" s="66"/>
      <c r="BDE49" s="66"/>
      <c r="BDF49" s="66"/>
      <c r="BDG49" s="66"/>
      <c r="BDH49" s="66"/>
      <c r="BDI49" s="66"/>
      <c r="BDJ49" s="66"/>
      <c r="BDK49" s="66"/>
      <c r="BDL49" s="66"/>
      <c r="BDM49" s="66"/>
      <c r="BDN49" s="66"/>
      <c r="BDO49" s="66"/>
      <c r="BDP49" s="66"/>
      <c r="BDQ49" s="66"/>
      <c r="BDR49" s="66"/>
      <c r="BDS49" s="66"/>
      <c r="BDT49" s="66"/>
      <c r="BDU49" s="66"/>
      <c r="BDV49" s="66"/>
      <c r="BDW49" s="66"/>
      <c r="BDX49" s="66"/>
      <c r="BDY49" s="66"/>
      <c r="BDZ49" s="66"/>
      <c r="BEA49" s="66"/>
      <c r="BEB49" s="66"/>
      <c r="BEC49" s="66"/>
      <c r="BED49" s="66"/>
      <c r="BEE49" s="66"/>
      <c r="BEF49" s="66"/>
      <c r="BEG49" s="66"/>
      <c r="BEH49" s="66"/>
      <c r="BEI49" s="66"/>
      <c r="BEJ49" s="66"/>
      <c r="BEK49" s="66"/>
      <c r="BEL49" s="66"/>
      <c r="BEM49" s="66"/>
      <c r="BEN49" s="66"/>
      <c r="BEO49" s="66"/>
      <c r="BEP49" s="66"/>
      <c r="BEQ49" s="66"/>
      <c r="BER49" s="66"/>
      <c r="BES49" s="66"/>
      <c r="BET49" s="66"/>
      <c r="BEU49" s="66"/>
      <c r="BEV49" s="66"/>
      <c r="BEW49" s="66"/>
      <c r="BEX49" s="66"/>
      <c r="BEY49" s="66"/>
      <c r="BEZ49" s="66"/>
      <c r="BFA49" s="66"/>
      <c r="BFB49" s="66"/>
      <c r="BFC49" s="66"/>
      <c r="BFD49" s="66"/>
      <c r="BFE49" s="66"/>
      <c r="BFF49" s="66"/>
      <c r="BFG49" s="66"/>
      <c r="BFH49" s="66"/>
      <c r="BFI49" s="66"/>
      <c r="BFJ49" s="66"/>
      <c r="BFK49" s="66"/>
      <c r="BFL49" s="66"/>
      <c r="BFM49" s="66"/>
      <c r="BFN49" s="66"/>
      <c r="BFO49" s="66"/>
      <c r="BFP49" s="66"/>
      <c r="BFQ49" s="66"/>
      <c r="BFR49" s="66"/>
      <c r="BFS49" s="66"/>
      <c r="BFT49" s="66"/>
      <c r="BFU49" s="66"/>
      <c r="BFV49" s="66"/>
      <c r="BFW49" s="66"/>
      <c r="BFX49" s="66"/>
      <c r="BFY49" s="66"/>
      <c r="BFZ49" s="66"/>
      <c r="BGA49" s="66"/>
      <c r="BGB49" s="66"/>
      <c r="BGC49" s="66"/>
      <c r="BGD49" s="66"/>
      <c r="BGE49" s="66"/>
      <c r="BGF49" s="66"/>
      <c r="BGG49" s="66"/>
      <c r="BGH49" s="66"/>
      <c r="BGI49" s="66"/>
      <c r="BGJ49" s="66"/>
      <c r="BGK49" s="66"/>
      <c r="BGL49" s="66"/>
      <c r="BGM49" s="66"/>
      <c r="BGN49" s="66"/>
      <c r="BGO49" s="66"/>
      <c r="BGP49" s="66"/>
      <c r="BGQ49" s="66"/>
      <c r="BGR49" s="66"/>
      <c r="BGS49" s="66"/>
      <c r="BGT49" s="66"/>
      <c r="BGU49" s="66"/>
      <c r="BGV49" s="66"/>
      <c r="BGW49" s="66"/>
      <c r="BGX49" s="66"/>
      <c r="BGY49" s="66"/>
      <c r="BGZ49" s="66"/>
      <c r="BHA49" s="66"/>
      <c r="BHB49" s="66"/>
      <c r="BHC49" s="66"/>
      <c r="BHD49" s="66"/>
      <c r="BHE49" s="66"/>
      <c r="BHF49" s="66"/>
      <c r="BHG49" s="66"/>
      <c r="BHH49" s="66"/>
      <c r="BHI49" s="66"/>
      <c r="BHJ49" s="66"/>
      <c r="BHK49" s="66"/>
      <c r="BHL49" s="66"/>
      <c r="BHM49" s="66"/>
      <c r="BHN49" s="66"/>
      <c r="BHO49" s="66"/>
      <c r="BHP49" s="66"/>
      <c r="BHQ49" s="66"/>
      <c r="BHR49" s="66"/>
      <c r="BHS49" s="66"/>
      <c r="BHT49" s="66"/>
      <c r="BHU49" s="66"/>
      <c r="BHV49" s="66"/>
      <c r="BHW49" s="66"/>
      <c r="BHX49" s="66"/>
      <c r="BHY49" s="66"/>
      <c r="BHZ49" s="66"/>
      <c r="BIA49" s="66"/>
      <c r="BIB49" s="66"/>
      <c r="BIC49" s="66"/>
      <c r="BID49" s="66"/>
      <c r="BIE49" s="66"/>
      <c r="BIF49" s="66"/>
      <c r="BIG49" s="66"/>
      <c r="BIH49" s="66"/>
      <c r="BII49" s="66"/>
      <c r="BIJ49" s="66"/>
      <c r="BIK49" s="66"/>
      <c r="BIL49" s="66"/>
      <c r="BIM49" s="66"/>
      <c r="BIN49" s="66"/>
      <c r="BIO49" s="66"/>
      <c r="BIP49" s="66"/>
      <c r="BIQ49" s="66"/>
      <c r="BIR49" s="66"/>
      <c r="BIS49" s="66"/>
      <c r="BIT49" s="66"/>
      <c r="BIU49" s="66"/>
      <c r="BIV49" s="66"/>
      <c r="BIW49" s="66"/>
      <c r="BIX49" s="66"/>
      <c r="BIY49" s="66"/>
      <c r="BIZ49" s="66"/>
      <c r="BJA49" s="66"/>
      <c r="BJB49" s="66"/>
      <c r="BJC49" s="66"/>
      <c r="BJD49" s="66"/>
      <c r="BJE49" s="66"/>
      <c r="BJF49" s="66"/>
      <c r="BJG49" s="66"/>
      <c r="BJH49" s="66"/>
      <c r="BJI49" s="66"/>
      <c r="BJJ49" s="66"/>
      <c r="BJK49" s="66"/>
      <c r="BJL49" s="66"/>
      <c r="BJM49" s="66"/>
      <c r="BJN49" s="66"/>
      <c r="BJO49" s="66"/>
      <c r="BJP49" s="66"/>
      <c r="BJQ49" s="66"/>
      <c r="BJR49" s="66"/>
      <c r="BJS49" s="66"/>
      <c r="BJT49" s="66"/>
      <c r="BJU49" s="66"/>
      <c r="BJV49" s="66"/>
      <c r="BJW49" s="66"/>
      <c r="BJX49" s="66"/>
      <c r="BJY49" s="66"/>
      <c r="BJZ49" s="66"/>
      <c r="BKA49" s="66"/>
      <c r="BKB49" s="66"/>
      <c r="BKC49" s="66"/>
      <c r="BKD49" s="66"/>
      <c r="BKE49" s="66"/>
      <c r="BKF49" s="66"/>
      <c r="BKG49" s="66"/>
      <c r="BKH49" s="66"/>
      <c r="BKI49" s="66"/>
      <c r="BKJ49" s="66"/>
      <c r="BKK49" s="66"/>
      <c r="BKL49" s="66"/>
      <c r="BKM49" s="66"/>
      <c r="BKN49" s="66"/>
      <c r="BKO49" s="66"/>
      <c r="BKP49" s="66"/>
      <c r="BKQ49" s="66"/>
      <c r="BKR49" s="66"/>
      <c r="BKS49" s="66"/>
      <c r="BKT49" s="66"/>
      <c r="BKU49" s="66"/>
      <c r="BKV49" s="66"/>
      <c r="BKW49" s="66"/>
      <c r="BKX49" s="66"/>
      <c r="BKY49" s="66"/>
      <c r="BKZ49" s="66"/>
      <c r="BLA49" s="66"/>
      <c r="BLB49" s="66"/>
      <c r="BLC49" s="66"/>
      <c r="BLD49" s="66"/>
      <c r="BLE49" s="66"/>
      <c r="BLF49" s="66"/>
      <c r="BLG49" s="66"/>
      <c r="BLH49" s="66"/>
      <c r="BLI49" s="66"/>
      <c r="BLJ49" s="66"/>
      <c r="BLK49" s="66"/>
      <c r="BLL49" s="66"/>
      <c r="BLM49" s="66"/>
      <c r="BLN49" s="66"/>
      <c r="BLO49" s="66"/>
      <c r="BLP49" s="66"/>
      <c r="BLQ49" s="66"/>
      <c r="BLR49" s="66"/>
      <c r="BLS49" s="66"/>
      <c r="BLT49" s="66"/>
      <c r="BLU49" s="66"/>
      <c r="BLV49" s="66"/>
      <c r="BLW49" s="66"/>
      <c r="BLX49" s="66"/>
      <c r="BLY49" s="66"/>
      <c r="BLZ49" s="66"/>
      <c r="BMA49" s="66"/>
      <c r="BMB49" s="66"/>
      <c r="BMC49" s="66"/>
      <c r="BMD49" s="66"/>
      <c r="BME49" s="66"/>
      <c r="BMF49" s="66"/>
      <c r="BMG49" s="66"/>
      <c r="BMH49" s="66"/>
      <c r="BMI49" s="66"/>
      <c r="BMJ49" s="66"/>
      <c r="BMK49" s="66"/>
      <c r="BML49" s="66"/>
      <c r="BMM49" s="66"/>
      <c r="BMN49" s="66"/>
      <c r="BMO49" s="66"/>
      <c r="BMP49" s="66"/>
      <c r="BMQ49" s="66"/>
      <c r="BMR49" s="66"/>
      <c r="BMS49" s="66"/>
      <c r="BMT49" s="66"/>
      <c r="BMU49" s="66"/>
      <c r="BMV49" s="66"/>
      <c r="BMW49" s="66"/>
      <c r="BMX49" s="66"/>
      <c r="BMY49" s="66"/>
      <c r="BMZ49" s="66"/>
      <c r="BNA49" s="66"/>
      <c r="BNB49" s="66"/>
      <c r="BNC49" s="66"/>
      <c r="BND49" s="66"/>
      <c r="BNE49" s="66"/>
      <c r="BNF49" s="66"/>
      <c r="BNG49" s="66"/>
      <c r="BNH49" s="66"/>
      <c r="BNI49" s="66"/>
      <c r="BNJ49" s="66"/>
      <c r="BNK49" s="66"/>
      <c r="BNL49" s="66"/>
      <c r="BNM49" s="66"/>
      <c r="BNN49" s="66"/>
      <c r="BNO49" s="66"/>
      <c r="BNP49" s="66"/>
      <c r="BNQ49" s="66"/>
      <c r="BNR49" s="66"/>
      <c r="BNS49" s="66"/>
      <c r="BNT49" s="66"/>
      <c r="BNU49" s="66"/>
      <c r="BNV49" s="66"/>
      <c r="BNW49" s="66"/>
      <c r="BNX49" s="66"/>
      <c r="BNY49" s="66"/>
      <c r="BNZ49" s="66"/>
      <c r="BOA49" s="66"/>
      <c r="BOB49" s="66"/>
      <c r="BOC49" s="66"/>
      <c r="BOD49" s="66"/>
      <c r="BOE49" s="66"/>
      <c r="BOF49" s="66"/>
      <c r="BOG49" s="66"/>
      <c r="BOH49" s="66"/>
      <c r="BOI49" s="66"/>
      <c r="BOJ49" s="66"/>
      <c r="BOK49" s="66"/>
      <c r="BOL49" s="66"/>
      <c r="BOM49" s="66"/>
      <c r="BON49" s="66"/>
      <c r="BOO49" s="66"/>
      <c r="BOP49" s="66"/>
      <c r="BOQ49" s="66"/>
      <c r="BOR49" s="66"/>
      <c r="BOS49" s="66"/>
      <c r="BOT49" s="66"/>
      <c r="BOU49" s="66"/>
      <c r="BOV49" s="66"/>
      <c r="BOW49" s="66"/>
      <c r="BOX49" s="66"/>
      <c r="BOY49" s="66"/>
      <c r="BOZ49" s="66"/>
      <c r="BPA49" s="66"/>
      <c r="BPB49" s="66"/>
      <c r="BPC49" s="66"/>
      <c r="BPD49" s="66"/>
      <c r="BPE49" s="66"/>
      <c r="BPF49" s="66"/>
      <c r="BPG49" s="66"/>
      <c r="BPH49" s="66"/>
      <c r="BPI49" s="66"/>
      <c r="BPJ49" s="66"/>
      <c r="BPK49" s="66"/>
      <c r="BPL49" s="66"/>
      <c r="BPM49" s="66"/>
      <c r="BPN49" s="66"/>
      <c r="BPO49" s="66"/>
      <c r="BPP49" s="66"/>
      <c r="BPQ49" s="66"/>
      <c r="BPR49" s="66"/>
      <c r="BPS49" s="66"/>
      <c r="BPT49" s="66"/>
      <c r="BPU49" s="66"/>
      <c r="BPV49" s="66"/>
      <c r="BPW49" s="66"/>
      <c r="BPX49" s="66"/>
      <c r="BPY49" s="66"/>
      <c r="BPZ49" s="66"/>
      <c r="BQA49" s="66"/>
      <c r="BQB49" s="66"/>
      <c r="BQC49" s="66"/>
      <c r="BQD49" s="66"/>
      <c r="BQE49" s="66"/>
      <c r="BQF49" s="66"/>
      <c r="BQG49" s="66"/>
      <c r="BQH49" s="66"/>
      <c r="BQI49" s="66"/>
      <c r="BQJ49" s="66"/>
      <c r="BQK49" s="66"/>
      <c r="BQL49" s="66"/>
      <c r="BQM49" s="66"/>
      <c r="BQN49" s="66"/>
      <c r="BQO49" s="66"/>
      <c r="BQP49" s="66"/>
      <c r="BQQ49" s="66"/>
      <c r="BQR49" s="66"/>
      <c r="BQS49" s="66"/>
      <c r="BQT49" s="66"/>
      <c r="BQU49" s="66"/>
      <c r="BQV49" s="66"/>
      <c r="BQW49" s="66"/>
      <c r="BQX49" s="66"/>
      <c r="BQY49" s="66"/>
      <c r="BQZ49" s="66"/>
      <c r="BRA49" s="66"/>
      <c r="BRB49" s="66"/>
      <c r="BRC49" s="66"/>
      <c r="BRD49" s="66"/>
      <c r="BRE49" s="66"/>
      <c r="BRF49" s="66"/>
      <c r="BRG49" s="66"/>
      <c r="BRH49" s="66"/>
      <c r="BRI49" s="66"/>
      <c r="BRJ49" s="66"/>
      <c r="BRK49" s="66"/>
      <c r="BRL49" s="66"/>
      <c r="BRM49" s="66"/>
      <c r="BRN49" s="66"/>
      <c r="BRO49" s="66"/>
      <c r="BRP49" s="66"/>
      <c r="BRQ49" s="66"/>
      <c r="BRR49" s="66"/>
      <c r="BRS49" s="66"/>
      <c r="BRT49" s="66"/>
      <c r="BRU49" s="66"/>
      <c r="BRV49" s="66"/>
      <c r="BRW49" s="66"/>
      <c r="BRX49" s="66"/>
      <c r="BRY49" s="66"/>
      <c r="BRZ49" s="66"/>
      <c r="BSA49" s="66"/>
      <c r="BSB49" s="66"/>
      <c r="BSC49" s="66"/>
      <c r="BSD49" s="66"/>
      <c r="BSE49" s="66"/>
      <c r="BSF49" s="66"/>
      <c r="BSG49" s="66"/>
      <c r="BSH49" s="66"/>
      <c r="BSI49" s="66"/>
      <c r="BSJ49" s="66"/>
      <c r="BSK49" s="66"/>
      <c r="BSL49" s="66"/>
      <c r="BSM49" s="66"/>
      <c r="BSN49" s="66"/>
      <c r="BSO49" s="66"/>
      <c r="BSP49" s="66"/>
      <c r="BSQ49" s="66"/>
      <c r="BSR49" s="66"/>
      <c r="BSS49" s="66"/>
      <c r="BST49" s="66"/>
      <c r="BSU49" s="66"/>
      <c r="BSV49" s="66"/>
      <c r="BSW49" s="66"/>
      <c r="BSX49" s="66"/>
      <c r="BSY49" s="66"/>
      <c r="BSZ49" s="66"/>
      <c r="BTA49" s="66"/>
      <c r="BTB49" s="66"/>
      <c r="BTC49" s="66"/>
      <c r="BTD49" s="66"/>
      <c r="BTE49" s="66"/>
      <c r="BTF49" s="66"/>
      <c r="BTG49" s="66"/>
      <c r="BTH49" s="66"/>
      <c r="BTI49" s="66"/>
      <c r="BTJ49" s="66"/>
      <c r="BTK49" s="66"/>
      <c r="BTL49" s="66"/>
      <c r="BTM49" s="66"/>
      <c r="BTN49" s="66"/>
      <c r="BTO49" s="66"/>
      <c r="BTP49" s="66"/>
      <c r="BTQ49" s="66"/>
      <c r="BTR49" s="66"/>
      <c r="BTS49" s="66"/>
      <c r="BTT49" s="66"/>
      <c r="BTU49" s="66"/>
      <c r="BTV49" s="66"/>
      <c r="BTW49" s="66"/>
      <c r="BTX49" s="66"/>
      <c r="BTY49" s="66"/>
      <c r="BTZ49" s="66"/>
      <c r="BUA49" s="66"/>
      <c r="BUB49" s="66"/>
      <c r="BUC49" s="66"/>
      <c r="BUD49" s="66"/>
      <c r="BUE49" s="66"/>
      <c r="BUF49" s="66"/>
      <c r="BUG49" s="66"/>
      <c r="BUH49" s="66"/>
      <c r="BUI49" s="66"/>
      <c r="BUJ49" s="66"/>
      <c r="BUK49" s="66"/>
      <c r="BUL49" s="66"/>
      <c r="BUM49" s="66"/>
      <c r="BUN49" s="66"/>
      <c r="BUO49" s="66"/>
      <c r="BUP49" s="66"/>
      <c r="BUQ49" s="66"/>
      <c r="BUR49" s="66"/>
      <c r="BUS49" s="66"/>
      <c r="BUT49" s="66"/>
      <c r="BUU49" s="66"/>
      <c r="BUV49" s="66"/>
      <c r="BUW49" s="66"/>
      <c r="BUX49" s="66"/>
      <c r="BUY49" s="66"/>
      <c r="BUZ49" s="66"/>
      <c r="BVA49" s="66"/>
      <c r="BVB49" s="66"/>
      <c r="BVC49" s="66"/>
      <c r="BVD49" s="66"/>
      <c r="BVE49" s="66"/>
      <c r="BVF49" s="66"/>
      <c r="BVG49" s="66"/>
      <c r="BVH49" s="66"/>
      <c r="BVI49" s="66"/>
      <c r="BVJ49" s="66"/>
      <c r="BVK49" s="66"/>
      <c r="BVL49" s="66"/>
      <c r="BVM49" s="66"/>
      <c r="BVN49" s="66"/>
      <c r="BVO49" s="66"/>
      <c r="BVP49" s="66"/>
      <c r="BVQ49" s="66"/>
      <c r="BVR49" s="66"/>
      <c r="BVS49" s="66"/>
      <c r="BVT49" s="66"/>
      <c r="BVU49" s="66"/>
      <c r="BVV49" s="66"/>
      <c r="BVW49" s="66"/>
      <c r="BVX49" s="66"/>
      <c r="BVY49" s="66"/>
      <c r="BVZ49" s="66"/>
      <c r="BWA49" s="66"/>
      <c r="BWB49" s="66"/>
      <c r="BWC49" s="66"/>
      <c r="BWD49" s="66"/>
      <c r="BWE49" s="66"/>
      <c r="BWF49" s="66"/>
      <c r="BWG49" s="66"/>
      <c r="BWH49" s="66"/>
      <c r="BWI49" s="66"/>
      <c r="BWJ49" s="66"/>
      <c r="BWK49" s="66"/>
      <c r="BWL49" s="66"/>
      <c r="BWM49" s="66"/>
      <c r="BWN49" s="66"/>
      <c r="BWO49" s="66"/>
      <c r="BWP49" s="66"/>
      <c r="BWQ49" s="66"/>
      <c r="BWR49" s="66"/>
      <c r="BWS49" s="66"/>
      <c r="BWT49" s="66"/>
      <c r="BWU49" s="66"/>
      <c r="BWV49" s="66"/>
      <c r="BWW49" s="66"/>
      <c r="BWX49" s="66"/>
      <c r="BWY49" s="66"/>
      <c r="BWZ49" s="66"/>
      <c r="BXA49" s="66"/>
      <c r="BXB49" s="66"/>
      <c r="BXC49" s="66"/>
      <c r="BXD49" s="66"/>
      <c r="BXE49" s="66"/>
      <c r="BXF49" s="66"/>
      <c r="BXG49" s="66"/>
      <c r="BXH49" s="66"/>
      <c r="BXI49" s="66"/>
      <c r="BXJ49" s="66"/>
      <c r="BXK49" s="66"/>
      <c r="BXL49" s="66"/>
      <c r="BXM49" s="66"/>
      <c r="BXN49" s="66"/>
      <c r="BXO49" s="66"/>
      <c r="BXP49" s="66"/>
      <c r="BXQ49" s="66"/>
      <c r="BXR49" s="66"/>
      <c r="BXS49" s="66"/>
      <c r="BXT49" s="66"/>
      <c r="BXU49" s="66"/>
      <c r="BXV49" s="66"/>
      <c r="BXW49" s="66"/>
      <c r="BXX49" s="66"/>
      <c r="BXY49" s="66"/>
      <c r="BXZ49" s="66"/>
      <c r="BYA49" s="66"/>
      <c r="BYB49" s="66"/>
      <c r="BYC49" s="66"/>
      <c r="BYD49" s="66"/>
      <c r="BYE49" s="66"/>
      <c r="BYF49" s="66"/>
      <c r="BYG49" s="66"/>
      <c r="BYH49" s="66"/>
      <c r="BYI49" s="66"/>
      <c r="BYJ49" s="66"/>
      <c r="BYK49" s="66"/>
      <c r="BYL49" s="66"/>
      <c r="BYM49" s="66"/>
      <c r="BYN49" s="66"/>
      <c r="BYO49" s="66"/>
      <c r="BYP49" s="66"/>
      <c r="BYQ49" s="66"/>
      <c r="BYR49" s="66"/>
      <c r="BYS49" s="66"/>
      <c r="BYT49" s="66"/>
      <c r="BYU49" s="66"/>
      <c r="BYV49" s="66"/>
      <c r="BYW49" s="66"/>
      <c r="BYX49" s="66"/>
      <c r="BYY49" s="66"/>
      <c r="BYZ49" s="66"/>
      <c r="BZA49" s="66"/>
      <c r="BZB49" s="66"/>
      <c r="BZC49" s="66"/>
      <c r="BZD49" s="66"/>
      <c r="BZE49" s="66"/>
      <c r="BZF49" s="66"/>
      <c r="BZG49" s="66"/>
      <c r="BZH49" s="66"/>
      <c r="BZI49" s="66"/>
      <c r="BZJ49" s="66"/>
      <c r="BZK49" s="66"/>
      <c r="BZL49" s="66"/>
      <c r="BZM49" s="66"/>
      <c r="BZN49" s="66"/>
      <c r="BZO49" s="66"/>
      <c r="BZP49" s="66"/>
      <c r="BZQ49" s="66"/>
      <c r="BZR49" s="66"/>
      <c r="BZS49" s="66"/>
      <c r="BZT49" s="66"/>
      <c r="BZU49" s="66"/>
      <c r="BZV49" s="66"/>
      <c r="BZW49" s="66"/>
      <c r="BZX49" s="66"/>
      <c r="BZY49" s="66"/>
      <c r="BZZ49" s="66"/>
      <c r="CAA49" s="66"/>
      <c r="CAB49" s="66"/>
      <c r="CAC49" s="66"/>
      <c r="CAD49" s="66"/>
      <c r="CAE49" s="66"/>
      <c r="CAF49" s="66"/>
      <c r="CAG49" s="66"/>
      <c r="CAH49" s="66"/>
      <c r="CAI49" s="66"/>
      <c r="CAJ49" s="66"/>
      <c r="CAK49" s="66"/>
      <c r="CAL49" s="66"/>
      <c r="CAM49" s="66"/>
      <c r="CAN49" s="66"/>
      <c r="CAO49" s="66"/>
      <c r="CAP49" s="66"/>
      <c r="CAQ49" s="66"/>
      <c r="CAR49" s="66"/>
      <c r="CAS49" s="66"/>
      <c r="CAT49" s="66"/>
      <c r="CAU49" s="66"/>
      <c r="CAV49" s="66"/>
      <c r="CAW49" s="66"/>
      <c r="CAX49" s="66"/>
      <c r="CAY49" s="66"/>
      <c r="CAZ49" s="66"/>
      <c r="CBA49" s="66"/>
      <c r="CBB49" s="66"/>
      <c r="CBC49" s="66"/>
      <c r="CBD49" s="66"/>
      <c r="CBE49" s="66"/>
      <c r="CBF49" s="66"/>
      <c r="CBG49" s="66"/>
      <c r="CBH49" s="66"/>
      <c r="CBI49" s="66"/>
      <c r="CBJ49" s="66"/>
      <c r="CBK49" s="66"/>
      <c r="CBL49" s="66"/>
      <c r="CBM49" s="66"/>
      <c r="CBN49" s="66"/>
      <c r="CBO49" s="66"/>
      <c r="CBP49" s="66"/>
      <c r="CBQ49" s="66"/>
      <c r="CBR49" s="66"/>
      <c r="CBS49" s="66"/>
      <c r="CBT49" s="66"/>
      <c r="CBU49" s="66"/>
      <c r="CBV49" s="66"/>
      <c r="CBW49" s="66"/>
      <c r="CBX49" s="66"/>
      <c r="CBY49" s="66"/>
      <c r="CBZ49" s="66"/>
      <c r="CCA49" s="66"/>
      <c r="CCB49" s="66"/>
      <c r="CCC49" s="66"/>
      <c r="CCD49" s="66"/>
      <c r="CCE49" s="66"/>
      <c r="CCF49" s="66"/>
      <c r="CCG49" s="66"/>
      <c r="CCH49" s="66"/>
      <c r="CCI49" s="66"/>
      <c r="CCJ49" s="66"/>
      <c r="CCK49" s="66"/>
      <c r="CCL49" s="66"/>
      <c r="CCM49" s="66"/>
      <c r="CCN49" s="66"/>
      <c r="CCO49" s="66"/>
      <c r="CCP49" s="66"/>
      <c r="CCQ49" s="66"/>
      <c r="CCR49" s="66"/>
      <c r="CCS49" s="66"/>
      <c r="CCT49" s="66"/>
      <c r="CCU49" s="66"/>
      <c r="CCV49" s="66"/>
      <c r="CCW49" s="66"/>
      <c r="CCX49" s="66"/>
      <c r="CCY49" s="66"/>
      <c r="CCZ49" s="66"/>
      <c r="CDA49" s="66"/>
      <c r="CDB49" s="66"/>
      <c r="CDC49" s="66"/>
      <c r="CDD49" s="66"/>
      <c r="CDE49" s="66"/>
      <c r="CDF49" s="66"/>
      <c r="CDG49" s="66"/>
      <c r="CDH49" s="66"/>
      <c r="CDI49" s="66"/>
      <c r="CDJ49" s="66"/>
      <c r="CDK49" s="66"/>
      <c r="CDL49" s="66"/>
      <c r="CDM49" s="66"/>
      <c r="CDN49" s="66"/>
      <c r="CDO49" s="66"/>
      <c r="CDP49" s="66"/>
      <c r="CDQ49" s="66"/>
      <c r="CDR49" s="66"/>
      <c r="CDS49" s="66"/>
      <c r="CDT49" s="66"/>
      <c r="CDU49" s="66"/>
      <c r="CDV49" s="66"/>
      <c r="CDW49" s="66"/>
      <c r="CDX49" s="66"/>
      <c r="CDY49" s="66"/>
      <c r="CDZ49" s="66"/>
      <c r="CEA49" s="66"/>
      <c r="CEB49" s="66"/>
      <c r="CEC49" s="66"/>
      <c r="CED49" s="66"/>
      <c r="CEE49" s="66"/>
      <c r="CEF49" s="66"/>
      <c r="CEG49" s="66"/>
      <c r="CEH49" s="66"/>
      <c r="CEI49" s="66"/>
      <c r="CEJ49" s="66"/>
      <c r="CEK49" s="66"/>
      <c r="CEL49" s="66"/>
      <c r="CEM49" s="66"/>
      <c r="CEN49" s="66"/>
      <c r="CEO49" s="66"/>
      <c r="CEP49" s="66"/>
      <c r="CEQ49" s="66"/>
      <c r="CER49" s="66"/>
      <c r="CES49" s="66"/>
      <c r="CET49" s="66"/>
      <c r="CEU49" s="66"/>
      <c r="CEV49" s="66"/>
      <c r="CEW49" s="66"/>
      <c r="CEX49" s="66"/>
      <c r="CEY49" s="66"/>
      <c r="CEZ49" s="66"/>
      <c r="CFA49" s="66"/>
      <c r="CFB49" s="66"/>
      <c r="CFC49" s="66"/>
      <c r="CFD49" s="66"/>
      <c r="CFE49" s="66"/>
      <c r="CFF49" s="66"/>
      <c r="CFG49" s="66"/>
      <c r="CFH49" s="66"/>
      <c r="CFI49" s="66"/>
      <c r="CFJ49" s="66"/>
      <c r="CFK49" s="66"/>
      <c r="CFL49" s="66"/>
      <c r="CFM49" s="66"/>
      <c r="CFN49" s="66"/>
      <c r="CFO49" s="66"/>
      <c r="CFP49" s="66"/>
      <c r="CFQ49" s="66"/>
      <c r="CFR49" s="66"/>
      <c r="CFS49" s="66"/>
      <c r="CFT49" s="66"/>
      <c r="CFU49" s="66"/>
      <c r="CFV49" s="66"/>
      <c r="CFW49" s="66"/>
      <c r="CFX49" s="66"/>
      <c r="CFY49" s="66"/>
      <c r="CFZ49" s="66"/>
      <c r="CGA49" s="66"/>
      <c r="CGB49" s="66"/>
      <c r="CGC49" s="66"/>
      <c r="CGD49" s="66"/>
      <c r="CGE49" s="66"/>
      <c r="CGF49" s="66"/>
      <c r="CGG49" s="66"/>
      <c r="CGH49" s="66"/>
      <c r="CGI49" s="66"/>
      <c r="CGJ49" s="66"/>
      <c r="CGK49" s="66"/>
      <c r="CGL49" s="66"/>
      <c r="CGM49" s="66"/>
      <c r="CGN49" s="66"/>
      <c r="CGO49" s="66"/>
      <c r="CGP49" s="66"/>
      <c r="CGQ49" s="66"/>
      <c r="CGR49" s="66"/>
      <c r="CGS49" s="66"/>
      <c r="CGT49" s="66"/>
      <c r="CGU49" s="66"/>
      <c r="CGV49" s="66"/>
      <c r="CGW49" s="66"/>
      <c r="CGX49" s="66"/>
      <c r="CGY49" s="66"/>
      <c r="CGZ49" s="66"/>
      <c r="CHA49" s="66"/>
      <c r="CHB49" s="66"/>
      <c r="CHC49" s="66"/>
      <c r="CHD49" s="66"/>
      <c r="CHE49" s="66"/>
      <c r="CHF49" s="66"/>
      <c r="CHG49" s="66"/>
      <c r="CHH49" s="66"/>
      <c r="CHI49" s="66"/>
      <c r="CHJ49" s="66"/>
      <c r="CHK49" s="66"/>
      <c r="CHL49" s="66"/>
      <c r="CHM49" s="66"/>
      <c r="CHN49" s="66"/>
      <c r="CHO49" s="66"/>
      <c r="CHP49" s="66"/>
      <c r="CHQ49" s="66"/>
      <c r="CHR49" s="66"/>
      <c r="CHS49" s="66"/>
      <c r="CHT49" s="66"/>
      <c r="CHU49" s="66"/>
      <c r="CHV49" s="66"/>
      <c r="CHW49" s="66"/>
      <c r="CHX49" s="66"/>
      <c r="CHY49" s="66"/>
      <c r="CHZ49" s="66"/>
      <c r="CIA49" s="66"/>
      <c r="CIB49" s="66"/>
      <c r="CIC49" s="66"/>
      <c r="CID49" s="66"/>
      <c r="CIE49" s="66"/>
      <c r="CIF49" s="66"/>
      <c r="CIG49" s="66"/>
      <c r="CIH49" s="66"/>
      <c r="CII49" s="66"/>
      <c r="CIJ49" s="66"/>
      <c r="CIK49" s="66"/>
      <c r="CIL49" s="66"/>
      <c r="CIM49" s="66"/>
      <c r="CIN49" s="66"/>
      <c r="CIO49" s="66"/>
      <c r="CIP49" s="66"/>
      <c r="CIQ49" s="66"/>
      <c r="CIR49" s="66"/>
      <c r="CIS49" s="66"/>
      <c r="CIT49" s="66"/>
      <c r="CIU49" s="66"/>
      <c r="CIV49" s="66"/>
      <c r="CIW49" s="66"/>
      <c r="CIX49" s="66"/>
      <c r="CIY49" s="66"/>
      <c r="CIZ49" s="66"/>
      <c r="CJA49" s="66"/>
      <c r="CJB49" s="66"/>
      <c r="CJC49" s="66"/>
      <c r="CJD49" s="66"/>
      <c r="CJE49" s="66"/>
      <c r="CJF49" s="66"/>
      <c r="CJG49" s="66"/>
      <c r="CJH49" s="66"/>
      <c r="CJI49" s="66"/>
      <c r="CJJ49" s="66"/>
      <c r="CJK49" s="66"/>
      <c r="CJL49" s="66"/>
      <c r="CJM49" s="66"/>
      <c r="CJN49" s="66"/>
      <c r="CJO49" s="66"/>
      <c r="CJP49" s="66"/>
      <c r="CJQ49" s="66"/>
      <c r="CJR49" s="66"/>
      <c r="CJS49" s="66"/>
      <c r="CJT49" s="66"/>
      <c r="CJU49" s="66"/>
      <c r="CJV49" s="66"/>
      <c r="CJW49" s="66"/>
      <c r="CJX49" s="66"/>
      <c r="CJY49" s="66"/>
      <c r="CJZ49" s="66"/>
      <c r="CKA49" s="66"/>
      <c r="CKB49" s="66"/>
      <c r="CKC49" s="66"/>
      <c r="CKD49" s="66"/>
      <c r="CKE49" s="66"/>
      <c r="CKF49" s="66"/>
      <c r="CKG49" s="66"/>
      <c r="CKH49" s="66"/>
      <c r="CKI49" s="66"/>
      <c r="CKJ49" s="66"/>
      <c r="CKK49" s="66"/>
      <c r="CKL49" s="66"/>
      <c r="CKM49" s="66"/>
      <c r="CKN49" s="66"/>
      <c r="CKO49" s="66"/>
      <c r="CKP49" s="66"/>
      <c r="CKQ49" s="66"/>
      <c r="CKR49" s="66"/>
      <c r="CKS49" s="66"/>
      <c r="CKT49" s="66"/>
      <c r="CKU49" s="66"/>
      <c r="CKV49" s="66"/>
      <c r="CKW49" s="66"/>
      <c r="CKX49" s="66"/>
      <c r="CKY49" s="66"/>
      <c r="CKZ49" s="66"/>
      <c r="CLA49" s="66"/>
      <c r="CLB49" s="66"/>
      <c r="CLC49" s="66"/>
      <c r="CLD49" s="66"/>
      <c r="CLE49" s="66"/>
      <c r="CLF49" s="66"/>
      <c r="CLG49" s="66"/>
      <c r="CLH49" s="66"/>
      <c r="CLI49" s="66"/>
      <c r="CLJ49" s="66"/>
      <c r="CLK49" s="66"/>
      <c r="CLL49" s="66"/>
      <c r="CLM49" s="66"/>
      <c r="CLN49" s="66"/>
      <c r="CLO49" s="66"/>
      <c r="CLP49" s="66"/>
      <c r="CLQ49" s="66"/>
      <c r="CLR49" s="66"/>
      <c r="CLS49" s="66"/>
      <c r="CLT49" s="66"/>
      <c r="CLU49" s="66"/>
      <c r="CLV49" s="66"/>
      <c r="CLW49" s="66"/>
      <c r="CLX49" s="66"/>
      <c r="CLY49" s="66"/>
      <c r="CLZ49" s="66"/>
      <c r="CMA49" s="66"/>
      <c r="CMB49" s="66"/>
      <c r="CMC49" s="66"/>
      <c r="CMD49" s="66"/>
      <c r="CME49" s="66"/>
      <c r="CMF49" s="66"/>
      <c r="CMG49" s="66"/>
      <c r="CMH49" s="66"/>
      <c r="CMI49" s="66"/>
      <c r="CMJ49" s="66"/>
      <c r="CMK49" s="66"/>
      <c r="CML49" s="66"/>
      <c r="CMM49" s="66"/>
      <c r="CMN49" s="66"/>
      <c r="CMO49" s="66"/>
      <c r="CMP49" s="66"/>
      <c r="CMQ49" s="66"/>
      <c r="CMR49" s="66"/>
      <c r="CMS49" s="66"/>
      <c r="CMT49" s="66"/>
      <c r="CMU49" s="66"/>
      <c r="CMV49" s="66"/>
      <c r="CMW49" s="66"/>
      <c r="CMX49" s="66"/>
      <c r="CMY49" s="66"/>
      <c r="CMZ49" s="66"/>
      <c r="CNA49" s="66"/>
      <c r="CNB49" s="66"/>
      <c r="CNC49" s="66"/>
      <c r="CND49" s="66"/>
      <c r="CNE49" s="66"/>
      <c r="CNF49" s="66"/>
      <c r="CNG49" s="66"/>
      <c r="CNH49" s="66"/>
      <c r="CNI49" s="66"/>
      <c r="CNJ49" s="66"/>
      <c r="CNK49" s="66"/>
      <c r="CNL49" s="66"/>
      <c r="CNM49" s="66"/>
      <c r="CNN49" s="66"/>
      <c r="CNO49" s="66"/>
      <c r="CNP49" s="66"/>
      <c r="CNQ49" s="66"/>
      <c r="CNR49" s="66"/>
      <c r="CNS49" s="66"/>
      <c r="CNT49" s="66"/>
      <c r="CNU49" s="66"/>
      <c r="CNV49" s="66"/>
      <c r="CNW49" s="66"/>
      <c r="CNX49" s="66"/>
      <c r="CNY49" s="66"/>
      <c r="CNZ49" s="66"/>
      <c r="COA49" s="66"/>
      <c r="COB49" s="66"/>
      <c r="COC49" s="66"/>
      <c r="COD49" s="66"/>
      <c r="COE49" s="66"/>
      <c r="COF49" s="66"/>
      <c r="COG49" s="66"/>
      <c r="COH49" s="66"/>
      <c r="COI49" s="66"/>
      <c r="COJ49" s="66"/>
      <c r="COK49" s="66"/>
      <c r="COL49" s="66"/>
      <c r="COM49" s="66"/>
      <c r="CON49" s="66"/>
      <c r="COO49" s="66"/>
      <c r="COP49" s="66"/>
      <c r="COQ49" s="66"/>
      <c r="COR49" s="66"/>
      <c r="COS49" s="66"/>
      <c r="COT49" s="66"/>
      <c r="COU49" s="66"/>
      <c r="COV49" s="66"/>
      <c r="COW49" s="66"/>
      <c r="COX49" s="66"/>
      <c r="COY49" s="66"/>
      <c r="COZ49" s="66"/>
      <c r="CPA49" s="66"/>
      <c r="CPB49" s="66"/>
      <c r="CPC49" s="66"/>
      <c r="CPD49" s="66"/>
      <c r="CPE49" s="66"/>
      <c r="CPF49" s="66"/>
      <c r="CPG49" s="66"/>
      <c r="CPH49" s="66"/>
      <c r="CPI49" s="66"/>
      <c r="CPJ49" s="66"/>
      <c r="CPK49" s="66"/>
      <c r="CPL49" s="66"/>
      <c r="CPM49" s="66"/>
      <c r="CPN49" s="66"/>
      <c r="CPO49" s="66"/>
      <c r="CPP49" s="66"/>
      <c r="CPQ49" s="66"/>
      <c r="CPR49" s="66"/>
      <c r="CPS49" s="66"/>
      <c r="CPT49" s="66"/>
      <c r="CPU49" s="66"/>
      <c r="CPV49" s="66"/>
      <c r="CPW49" s="66"/>
      <c r="CPX49" s="66"/>
      <c r="CPY49" s="66"/>
      <c r="CPZ49" s="66"/>
      <c r="CQA49" s="66"/>
      <c r="CQB49" s="66"/>
      <c r="CQC49" s="66"/>
      <c r="CQD49" s="66"/>
      <c r="CQE49" s="66"/>
      <c r="CQF49" s="66"/>
      <c r="CQG49" s="66"/>
      <c r="CQH49" s="66"/>
      <c r="CQI49" s="66"/>
      <c r="CQJ49" s="66"/>
      <c r="CQK49" s="66"/>
      <c r="CQL49" s="66"/>
      <c r="CQM49" s="66"/>
      <c r="CQN49" s="66"/>
      <c r="CQO49" s="66"/>
      <c r="CQP49" s="66"/>
      <c r="CQQ49" s="66"/>
      <c r="CQR49" s="66"/>
      <c r="CQS49" s="66"/>
      <c r="CQT49" s="66"/>
      <c r="CQU49" s="66"/>
      <c r="CQV49" s="66"/>
      <c r="CQW49" s="66"/>
      <c r="CQX49" s="66"/>
      <c r="CQY49" s="66"/>
      <c r="CQZ49" s="66"/>
      <c r="CRA49" s="66"/>
      <c r="CRB49" s="66"/>
      <c r="CRC49" s="66"/>
      <c r="CRD49" s="66"/>
      <c r="CRE49" s="66"/>
      <c r="CRF49" s="66"/>
      <c r="CRG49" s="66"/>
      <c r="CRH49" s="66"/>
      <c r="CRI49" s="66"/>
      <c r="CRJ49" s="66"/>
      <c r="CRK49" s="66"/>
      <c r="CRL49" s="66"/>
      <c r="CRM49" s="66"/>
      <c r="CRN49" s="66"/>
      <c r="CRO49" s="66"/>
      <c r="CRP49" s="66"/>
      <c r="CRQ49" s="66"/>
      <c r="CRR49" s="66"/>
      <c r="CRS49" s="66"/>
      <c r="CRT49" s="66"/>
      <c r="CRU49" s="66"/>
      <c r="CRV49" s="66"/>
      <c r="CRW49" s="66"/>
      <c r="CRX49" s="66"/>
      <c r="CRY49" s="66"/>
      <c r="CRZ49" s="66"/>
      <c r="CSA49" s="66"/>
      <c r="CSB49" s="66"/>
      <c r="CSC49" s="66"/>
      <c r="CSD49" s="66"/>
      <c r="CSE49" s="66"/>
      <c r="CSF49" s="66"/>
      <c r="CSG49" s="66"/>
      <c r="CSH49" s="66"/>
      <c r="CSI49" s="66"/>
      <c r="CSJ49" s="66"/>
      <c r="CSK49" s="66"/>
      <c r="CSL49" s="66"/>
      <c r="CSM49" s="66"/>
      <c r="CSN49" s="66"/>
      <c r="CSO49" s="66"/>
      <c r="CSP49" s="66"/>
      <c r="CSQ49" s="66"/>
      <c r="CSR49" s="66"/>
      <c r="CSS49" s="66"/>
      <c r="CST49" s="66"/>
      <c r="CSU49" s="66"/>
      <c r="CSV49" s="66"/>
      <c r="CSW49" s="66"/>
      <c r="CSX49" s="66"/>
      <c r="CSY49" s="66"/>
      <c r="CSZ49" s="66"/>
      <c r="CTA49" s="66"/>
      <c r="CTB49" s="66"/>
      <c r="CTC49" s="66"/>
      <c r="CTD49" s="66"/>
      <c r="CTE49" s="66"/>
      <c r="CTF49" s="66"/>
      <c r="CTG49" s="66"/>
      <c r="CTH49" s="66"/>
      <c r="CTI49" s="66"/>
      <c r="CTJ49" s="66"/>
      <c r="CTK49" s="66"/>
      <c r="CTL49" s="66"/>
      <c r="CTM49" s="66"/>
      <c r="CTN49" s="66"/>
      <c r="CTO49" s="66"/>
      <c r="CTP49" s="66"/>
      <c r="CTQ49" s="66"/>
      <c r="CTR49" s="66"/>
      <c r="CTS49" s="66"/>
      <c r="CTT49" s="66"/>
      <c r="CTU49" s="66"/>
      <c r="CTV49" s="66"/>
      <c r="CTW49" s="66"/>
      <c r="CTX49" s="66"/>
      <c r="CTY49" s="66"/>
      <c r="CTZ49" s="66"/>
      <c r="CUA49" s="66"/>
      <c r="CUB49" s="66"/>
      <c r="CUC49" s="66"/>
      <c r="CUD49" s="66"/>
      <c r="CUE49" s="66"/>
      <c r="CUF49" s="66"/>
      <c r="CUG49" s="66"/>
      <c r="CUH49" s="66"/>
      <c r="CUI49" s="66"/>
      <c r="CUJ49" s="66"/>
      <c r="CUK49" s="66"/>
      <c r="CUL49" s="66"/>
      <c r="CUM49" s="66"/>
      <c r="CUN49" s="66"/>
      <c r="CUO49" s="66"/>
      <c r="CUP49" s="66"/>
      <c r="CUQ49" s="66"/>
      <c r="CUR49" s="66"/>
      <c r="CUS49" s="66"/>
      <c r="CUT49" s="66"/>
      <c r="CUU49" s="66"/>
      <c r="CUV49" s="66"/>
      <c r="CUW49" s="66"/>
      <c r="CUX49" s="66"/>
      <c r="CUY49" s="66"/>
      <c r="CUZ49" s="66"/>
      <c r="CVA49" s="66"/>
      <c r="CVB49" s="66"/>
      <c r="CVC49" s="66"/>
      <c r="CVD49" s="66"/>
      <c r="CVE49" s="66"/>
      <c r="CVF49" s="66"/>
      <c r="CVG49" s="66"/>
      <c r="CVH49" s="66"/>
      <c r="CVI49" s="66"/>
      <c r="CVJ49" s="66"/>
      <c r="CVK49" s="66"/>
      <c r="CVL49" s="66"/>
      <c r="CVM49" s="66"/>
      <c r="CVN49" s="66"/>
      <c r="CVO49" s="66"/>
      <c r="CVP49" s="66"/>
      <c r="CVQ49" s="66"/>
      <c r="CVR49" s="66"/>
      <c r="CVS49" s="66"/>
      <c r="CVT49" s="66"/>
      <c r="CVU49" s="66"/>
      <c r="CVV49" s="66"/>
      <c r="CVW49" s="66"/>
      <c r="CVX49" s="66"/>
      <c r="CVY49" s="66"/>
      <c r="CVZ49" s="66"/>
      <c r="CWA49" s="66"/>
      <c r="CWB49" s="66"/>
      <c r="CWC49" s="66"/>
      <c r="CWD49" s="66"/>
      <c r="CWE49" s="66"/>
      <c r="CWF49" s="66"/>
      <c r="CWG49" s="66"/>
      <c r="CWH49" s="66"/>
      <c r="CWI49" s="66"/>
      <c r="CWJ49" s="66"/>
      <c r="CWK49" s="66"/>
      <c r="CWL49" s="66"/>
      <c r="CWM49" s="66"/>
      <c r="CWN49" s="66"/>
      <c r="CWO49" s="66"/>
      <c r="CWP49" s="66"/>
      <c r="CWQ49" s="66"/>
      <c r="CWR49" s="66"/>
      <c r="CWS49" s="66"/>
      <c r="CWT49" s="66"/>
      <c r="CWU49" s="66"/>
      <c r="CWV49" s="66"/>
      <c r="CWW49" s="66"/>
      <c r="CWX49" s="66"/>
      <c r="CWY49" s="66"/>
      <c r="CWZ49" s="66"/>
      <c r="CXA49" s="66"/>
      <c r="CXB49" s="66"/>
      <c r="CXC49" s="66"/>
      <c r="CXD49" s="66"/>
      <c r="CXE49" s="66"/>
      <c r="CXF49" s="66"/>
      <c r="CXG49" s="66"/>
      <c r="CXH49" s="66"/>
      <c r="CXI49" s="66"/>
      <c r="CXJ49" s="66"/>
      <c r="CXK49" s="66"/>
      <c r="CXL49" s="66"/>
      <c r="CXM49" s="66"/>
      <c r="CXN49" s="66"/>
      <c r="CXO49" s="66"/>
      <c r="CXP49" s="66"/>
      <c r="CXQ49" s="66"/>
      <c r="CXR49" s="66"/>
      <c r="CXS49" s="66"/>
      <c r="CXT49" s="66"/>
      <c r="CXU49" s="66"/>
      <c r="CXV49" s="66"/>
      <c r="CXW49" s="66"/>
      <c r="CXX49" s="66"/>
      <c r="CXY49" s="66"/>
      <c r="CXZ49" s="66"/>
      <c r="CYA49" s="66"/>
      <c r="CYB49" s="66"/>
      <c r="CYC49" s="66"/>
      <c r="CYD49" s="66"/>
      <c r="CYE49" s="66"/>
      <c r="CYF49" s="66"/>
      <c r="CYG49" s="66"/>
      <c r="CYH49" s="66"/>
      <c r="CYI49" s="66"/>
      <c r="CYJ49" s="66"/>
      <c r="CYK49" s="66"/>
      <c r="CYL49" s="66"/>
      <c r="CYM49" s="66"/>
      <c r="CYN49" s="66"/>
      <c r="CYO49" s="66"/>
      <c r="CYP49" s="66"/>
      <c r="CYQ49" s="66"/>
      <c r="CYR49" s="66"/>
      <c r="CYS49" s="66"/>
      <c r="CYT49" s="66"/>
      <c r="CYU49" s="66"/>
      <c r="CYV49" s="66"/>
      <c r="CYW49" s="66"/>
      <c r="CYX49" s="66"/>
      <c r="CYY49" s="66"/>
      <c r="CYZ49" s="66"/>
      <c r="CZA49" s="66"/>
      <c r="CZB49" s="66"/>
      <c r="CZC49" s="66"/>
      <c r="CZD49" s="66"/>
      <c r="CZE49" s="66"/>
      <c r="CZF49" s="66"/>
      <c r="CZG49" s="66"/>
      <c r="CZH49" s="66"/>
      <c r="CZI49" s="66"/>
      <c r="CZJ49" s="66"/>
      <c r="CZK49" s="66"/>
      <c r="CZL49" s="66"/>
      <c r="CZM49" s="66"/>
      <c r="CZN49" s="66"/>
      <c r="CZO49" s="66"/>
      <c r="CZP49" s="66"/>
      <c r="CZQ49" s="66"/>
      <c r="CZR49" s="66"/>
      <c r="CZS49" s="66"/>
      <c r="CZT49" s="66"/>
      <c r="CZU49" s="66"/>
      <c r="CZV49" s="66"/>
      <c r="CZW49" s="66"/>
      <c r="CZX49" s="66"/>
      <c r="CZY49" s="66"/>
      <c r="CZZ49" s="66"/>
      <c r="DAA49" s="66"/>
      <c r="DAB49" s="66"/>
      <c r="DAC49" s="66"/>
      <c r="DAD49" s="66"/>
      <c r="DAE49" s="66"/>
      <c r="DAF49" s="66"/>
      <c r="DAG49" s="66"/>
      <c r="DAH49" s="66"/>
      <c r="DAI49" s="66"/>
      <c r="DAJ49" s="66"/>
      <c r="DAK49" s="66"/>
      <c r="DAL49" s="66"/>
      <c r="DAM49" s="66"/>
      <c r="DAN49" s="66"/>
      <c r="DAO49" s="66"/>
      <c r="DAP49" s="66"/>
      <c r="DAQ49" s="66"/>
      <c r="DAR49" s="66"/>
      <c r="DAS49" s="66"/>
      <c r="DAT49" s="66"/>
      <c r="DAU49" s="66"/>
      <c r="DAV49" s="66"/>
      <c r="DAW49" s="66"/>
      <c r="DAX49" s="66"/>
      <c r="DAY49" s="66"/>
      <c r="DAZ49" s="66"/>
      <c r="DBA49" s="66"/>
      <c r="DBB49" s="66"/>
      <c r="DBC49" s="66"/>
      <c r="DBD49" s="66"/>
      <c r="DBE49" s="66"/>
      <c r="DBF49" s="66"/>
      <c r="DBG49" s="66"/>
      <c r="DBH49" s="66"/>
      <c r="DBI49" s="66"/>
      <c r="DBJ49" s="66"/>
      <c r="DBK49" s="66"/>
      <c r="DBL49" s="66"/>
      <c r="DBM49" s="66"/>
      <c r="DBN49" s="66"/>
      <c r="DBO49" s="66"/>
      <c r="DBP49" s="66"/>
      <c r="DBQ49" s="66"/>
      <c r="DBR49" s="66"/>
      <c r="DBS49" s="66"/>
      <c r="DBT49" s="66"/>
      <c r="DBU49" s="66"/>
      <c r="DBV49" s="66"/>
      <c r="DBW49" s="66"/>
      <c r="DBX49" s="66"/>
      <c r="DBY49" s="66"/>
      <c r="DBZ49" s="66"/>
      <c r="DCA49" s="66"/>
      <c r="DCB49" s="66"/>
      <c r="DCC49" s="66"/>
      <c r="DCD49" s="66"/>
      <c r="DCE49" s="66"/>
      <c r="DCF49" s="66"/>
      <c r="DCG49" s="66"/>
      <c r="DCH49" s="66"/>
      <c r="DCI49" s="66"/>
      <c r="DCJ49" s="66"/>
      <c r="DCK49" s="66"/>
      <c r="DCL49" s="66"/>
      <c r="DCM49" s="66"/>
      <c r="DCN49" s="66"/>
      <c r="DCO49" s="66"/>
      <c r="DCP49" s="66"/>
      <c r="DCQ49" s="66"/>
      <c r="DCR49" s="66"/>
      <c r="DCS49" s="66"/>
      <c r="DCT49" s="66"/>
      <c r="DCU49" s="66"/>
      <c r="DCV49" s="66"/>
      <c r="DCW49" s="66"/>
      <c r="DCX49" s="66"/>
      <c r="DCY49" s="66"/>
      <c r="DCZ49" s="66"/>
      <c r="DDA49" s="66"/>
      <c r="DDB49" s="66"/>
      <c r="DDC49" s="66"/>
      <c r="DDD49" s="66"/>
      <c r="DDE49" s="66"/>
      <c r="DDF49" s="66"/>
      <c r="DDG49" s="66"/>
      <c r="DDH49" s="66"/>
      <c r="DDI49" s="66"/>
      <c r="DDJ49" s="66"/>
      <c r="DDK49" s="66"/>
      <c r="DDL49" s="66"/>
      <c r="DDM49" s="66"/>
      <c r="DDN49" s="66"/>
      <c r="DDO49" s="66"/>
      <c r="DDP49" s="66"/>
      <c r="DDQ49" s="66"/>
      <c r="DDR49" s="66"/>
      <c r="DDS49" s="66"/>
      <c r="DDT49" s="66"/>
      <c r="DDU49" s="66"/>
      <c r="DDV49" s="66"/>
      <c r="DDW49" s="66"/>
      <c r="DDX49" s="66"/>
      <c r="DDY49" s="66"/>
      <c r="DDZ49" s="66"/>
      <c r="DEA49" s="66"/>
      <c r="DEB49" s="66"/>
      <c r="DEC49" s="66"/>
      <c r="DED49" s="66"/>
      <c r="DEE49" s="66"/>
      <c r="DEF49" s="66"/>
      <c r="DEG49" s="66"/>
      <c r="DEH49" s="66"/>
      <c r="DEI49" s="66"/>
      <c r="DEJ49" s="66"/>
      <c r="DEK49" s="66"/>
      <c r="DEL49" s="66"/>
      <c r="DEM49" s="66"/>
      <c r="DEN49" s="66"/>
      <c r="DEO49" s="66"/>
      <c r="DEP49" s="66"/>
      <c r="DEQ49" s="66"/>
      <c r="DER49" s="66"/>
      <c r="DES49" s="66"/>
      <c r="DET49" s="66"/>
      <c r="DEU49" s="66"/>
      <c r="DEV49" s="66"/>
      <c r="DEW49" s="66"/>
      <c r="DEX49" s="66"/>
      <c r="DEY49" s="66"/>
      <c r="DEZ49" s="66"/>
      <c r="DFA49" s="66"/>
      <c r="DFB49" s="66"/>
      <c r="DFC49" s="66"/>
      <c r="DFD49" s="66"/>
      <c r="DFE49" s="66"/>
      <c r="DFF49" s="66"/>
      <c r="DFG49" s="66"/>
      <c r="DFH49" s="66"/>
      <c r="DFI49" s="66"/>
      <c r="DFJ49" s="66"/>
      <c r="DFK49" s="66"/>
      <c r="DFL49" s="66"/>
      <c r="DFM49" s="66"/>
      <c r="DFN49" s="66"/>
      <c r="DFO49" s="66"/>
      <c r="DFP49" s="66"/>
      <c r="DFQ49" s="66"/>
      <c r="DFR49" s="66"/>
      <c r="DFS49" s="66"/>
      <c r="DFT49" s="66"/>
      <c r="DFU49" s="66"/>
      <c r="DFV49" s="66"/>
      <c r="DFW49" s="66"/>
      <c r="DFX49" s="66"/>
      <c r="DFY49" s="66"/>
      <c r="DFZ49" s="66"/>
      <c r="DGA49" s="66"/>
      <c r="DGB49" s="66"/>
      <c r="DGC49" s="66"/>
      <c r="DGD49" s="66"/>
      <c r="DGE49" s="66"/>
      <c r="DGF49" s="66"/>
      <c r="DGG49" s="66"/>
      <c r="DGH49" s="66"/>
      <c r="DGI49" s="66"/>
      <c r="DGJ49" s="66"/>
      <c r="DGK49" s="66"/>
      <c r="DGL49" s="66"/>
      <c r="DGM49" s="66"/>
      <c r="DGN49" s="66"/>
      <c r="DGO49" s="66"/>
      <c r="DGP49" s="66"/>
      <c r="DGQ49" s="66"/>
      <c r="DGR49" s="66"/>
      <c r="DGS49" s="66"/>
      <c r="DGT49" s="66"/>
      <c r="DGU49" s="66"/>
      <c r="DGV49" s="66"/>
      <c r="DGW49" s="66"/>
      <c r="DGX49" s="66"/>
      <c r="DGY49" s="66"/>
      <c r="DGZ49" s="66"/>
      <c r="DHA49" s="66"/>
      <c r="DHB49" s="66"/>
      <c r="DHC49" s="66"/>
      <c r="DHD49" s="66"/>
      <c r="DHE49" s="66"/>
      <c r="DHF49" s="66"/>
      <c r="DHG49" s="66"/>
      <c r="DHH49" s="66"/>
      <c r="DHI49" s="66"/>
      <c r="DHJ49" s="66"/>
      <c r="DHK49" s="66"/>
      <c r="DHL49" s="66"/>
      <c r="DHM49" s="66"/>
      <c r="DHN49" s="66"/>
      <c r="DHO49" s="66"/>
      <c r="DHP49" s="66"/>
      <c r="DHQ49" s="66"/>
      <c r="DHR49" s="66"/>
      <c r="DHS49" s="66"/>
      <c r="DHT49" s="66"/>
      <c r="DHU49" s="66"/>
      <c r="DHV49" s="66"/>
      <c r="DHW49" s="66"/>
      <c r="DHX49" s="66"/>
      <c r="DHY49" s="66"/>
      <c r="DHZ49" s="66"/>
      <c r="DIA49" s="66"/>
      <c r="DIB49" s="66"/>
      <c r="DIC49" s="66"/>
      <c r="DID49" s="66"/>
      <c r="DIE49" s="66"/>
      <c r="DIF49" s="66"/>
      <c r="DIG49" s="66"/>
      <c r="DIH49" s="66"/>
      <c r="DII49" s="66"/>
      <c r="DIJ49" s="66"/>
      <c r="DIK49" s="66"/>
      <c r="DIL49" s="66"/>
      <c r="DIM49" s="66"/>
      <c r="DIN49" s="66"/>
      <c r="DIO49" s="66"/>
      <c r="DIP49" s="66"/>
      <c r="DIQ49" s="66"/>
      <c r="DIR49" s="66"/>
      <c r="DIS49" s="66"/>
      <c r="DIT49" s="66"/>
      <c r="DIU49" s="66"/>
      <c r="DIV49" s="66"/>
      <c r="DIW49" s="66"/>
      <c r="DIX49" s="66"/>
      <c r="DIY49" s="66"/>
      <c r="DIZ49" s="66"/>
      <c r="DJA49" s="66"/>
      <c r="DJB49" s="66"/>
      <c r="DJC49" s="66"/>
      <c r="DJD49" s="66"/>
      <c r="DJE49" s="66"/>
      <c r="DJF49" s="66"/>
      <c r="DJG49" s="66"/>
      <c r="DJH49" s="66"/>
      <c r="DJI49" s="66"/>
      <c r="DJJ49" s="66"/>
      <c r="DJK49" s="66"/>
      <c r="DJL49" s="66"/>
      <c r="DJM49" s="66"/>
      <c r="DJN49" s="66"/>
      <c r="DJO49" s="66"/>
      <c r="DJP49" s="66"/>
      <c r="DJQ49" s="66"/>
      <c r="DJR49" s="66"/>
      <c r="DJS49" s="66"/>
      <c r="DJT49" s="66"/>
      <c r="DJU49" s="66"/>
      <c r="DJV49" s="66"/>
      <c r="DJW49" s="66"/>
      <c r="DJX49" s="66"/>
      <c r="DJY49" s="66"/>
      <c r="DJZ49" s="66"/>
      <c r="DKA49" s="66"/>
      <c r="DKB49" s="66"/>
      <c r="DKC49" s="66"/>
      <c r="DKD49" s="66"/>
      <c r="DKE49" s="66"/>
      <c r="DKF49" s="66"/>
      <c r="DKG49" s="66"/>
      <c r="DKH49" s="66"/>
      <c r="DKI49" s="66"/>
      <c r="DKJ49" s="66"/>
      <c r="DKK49" s="66"/>
      <c r="DKL49" s="66"/>
      <c r="DKM49" s="66"/>
      <c r="DKN49" s="66"/>
      <c r="DKO49" s="66"/>
      <c r="DKP49" s="66"/>
      <c r="DKQ49" s="66"/>
      <c r="DKR49" s="66"/>
      <c r="DKS49" s="66"/>
      <c r="DKT49" s="66"/>
      <c r="DKU49" s="66"/>
      <c r="DKV49" s="66"/>
      <c r="DKW49" s="66"/>
      <c r="DKX49" s="66"/>
      <c r="DKY49" s="66"/>
      <c r="DKZ49" s="66"/>
      <c r="DLA49" s="66"/>
      <c r="DLB49" s="66"/>
      <c r="DLC49" s="66"/>
      <c r="DLD49" s="66"/>
      <c r="DLE49" s="66"/>
      <c r="DLF49" s="66"/>
      <c r="DLG49" s="66"/>
      <c r="DLH49" s="66"/>
      <c r="DLI49" s="66"/>
      <c r="DLJ49" s="66"/>
      <c r="DLK49" s="66"/>
      <c r="DLL49" s="66"/>
      <c r="DLM49" s="66"/>
      <c r="DLN49" s="66"/>
      <c r="DLO49" s="66"/>
      <c r="DLP49" s="66"/>
      <c r="DLQ49" s="66"/>
      <c r="DLR49" s="66"/>
      <c r="DLS49" s="66"/>
      <c r="DLT49" s="66"/>
      <c r="DLU49" s="66"/>
      <c r="DLV49" s="66"/>
      <c r="DLW49" s="66"/>
      <c r="DLX49" s="66"/>
      <c r="DLY49" s="66"/>
      <c r="DLZ49" s="66"/>
      <c r="DMA49" s="66"/>
      <c r="DMB49" s="66"/>
      <c r="DMC49" s="66"/>
      <c r="DMD49" s="66"/>
      <c r="DME49" s="66"/>
      <c r="DMF49" s="66"/>
      <c r="DMG49" s="66"/>
      <c r="DMH49" s="66"/>
      <c r="DMI49" s="66"/>
      <c r="DMJ49" s="66"/>
      <c r="DMK49" s="66"/>
      <c r="DML49" s="66"/>
      <c r="DMM49" s="66"/>
      <c r="DMN49" s="66"/>
      <c r="DMO49" s="66"/>
      <c r="DMP49" s="66"/>
      <c r="DMQ49" s="66"/>
      <c r="DMR49" s="66"/>
      <c r="DMS49" s="66"/>
      <c r="DMT49" s="66"/>
      <c r="DMU49" s="66"/>
      <c r="DMV49" s="66"/>
      <c r="DMW49" s="66"/>
      <c r="DMX49" s="66"/>
      <c r="DMY49" s="66"/>
      <c r="DMZ49" s="66"/>
      <c r="DNA49" s="66"/>
      <c r="DNB49" s="66"/>
      <c r="DNC49" s="66"/>
      <c r="DND49" s="66"/>
      <c r="DNE49" s="66"/>
      <c r="DNF49" s="66"/>
      <c r="DNG49" s="66"/>
      <c r="DNH49" s="66"/>
      <c r="DNI49" s="66"/>
      <c r="DNJ49" s="66"/>
      <c r="DNK49" s="66"/>
      <c r="DNL49" s="66"/>
      <c r="DNM49" s="66"/>
      <c r="DNN49" s="66"/>
      <c r="DNO49" s="66"/>
      <c r="DNP49" s="66"/>
      <c r="DNQ49" s="66"/>
      <c r="DNR49" s="66"/>
      <c r="DNS49" s="66"/>
      <c r="DNT49" s="66"/>
      <c r="DNU49" s="66"/>
      <c r="DNV49" s="66"/>
      <c r="DNW49" s="66"/>
      <c r="DNX49" s="66"/>
      <c r="DNY49" s="66"/>
      <c r="DNZ49" s="66"/>
      <c r="DOA49" s="66"/>
      <c r="DOB49" s="66"/>
      <c r="DOC49" s="66"/>
      <c r="DOD49" s="66"/>
      <c r="DOE49" s="66"/>
      <c r="DOF49" s="66"/>
      <c r="DOG49" s="66"/>
      <c r="DOH49" s="66"/>
      <c r="DOI49" s="66"/>
      <c r="DOJ49" s="66"/>
      <c r="DOK49" s="66"/>
      <c r="DOL49" s="66"/>
      <c r="DOM49" s="66"/>
      <c r="DON49" s="66"/>
      <c r="DOO49" s="66"/>
      <c r="DOP49" s="66"/>
      <c r="DOQ49" s="66"/>
      <c r="DOR49" s="66"/>
      <c r="DOS49" s="66"/>
      <c r="DOT49" s="66"/>
      <c r="DOU49" s="66"/>
      <c r="DOV49" s="66"/>
      <c r="DOW49" s="66"/>
      <c r="DOX49" s="66"/>
      <c r="DOY49" s="66"/>
      <c r="DOZ49" s="66"/>
      <c r="DPA49" s="66"/>
      <c r="DPB49" s="66"/>
      <c r="DPC49" s="66"/>
      <c r="DPD49" s="66"/>
      <c r="DPE49" s="66"/>
      <c r="DPF49" s="66"/>
      <c r="DPG49" s="66"/>
      <c r="DPH49" s="66"/>
      <c r="DPI49" s="66"/>
      <c r="DPJ49" s="66"/>
      <c r="DPK49" s="66"/>
      <c r="DPL49" s="66"/>
      <c r="DPM49" s="66"/>
      <c r="DPN49" s="66"/>
      <c r="DPO49" s="66"/>
      <c r="DPP49" s="66"/>
      <c r="DPQ49" s="66"/>
      <c r="DPR49" s="66"/>
      <c r="DPS49" s="66"/>
      <c r="DPT49" s="66"/>
      <c r="DPU49" s="66"/>
      <c r="DPV49" s="66"/>
      <c r="DPW49" s="66"/>
      <c r="DPX49" s="66"/>
      <c r="DPY49" s="66"/>
      <c r="DPZ49" s="66"/>
      <c r="DQA49" s="66"/>
      <c r="DQB49" s="66"/>
      <c r="DQC49" s="66"/>
      <c r="DQD49" s="66"/>
      <c r="DQE49" s="66"/>
      <c r="DQF49" s="66"/>
      <c r="DQG49" s="66"/>
      <c r="DQH49" s="66"/>
      <c r="DQI49" s="66"/>
      <c r="DQJ49" s="66"/>
      <c r="DQK49" s="66"/>
      <c r="DQL49" s="66"/>
      <c r="DQM49" s="66"/>
      <c r="DQN49" s="66"/>
      <c r="DQO49" s="66"/>
      <c r="DQP49" s="66"/>
      <c r="DQQ49" s="66"/>
      <c r="DQR49" s="66"/>
      <c r="DQS49" s="66"/>
      <c r="DQT49" s="66"/>
      <c r="DQU49" s="66"/>
      <c r="DQV49" s="66"/>
      <c r="DQW49" s="66"/>
      <c r="DQX49" s="66"/>
      <c r="DQY49" s="66"/>
      <c r="DQZ49" s="66"/>
      <c r="DRA49" s="66"/>
      <c r="DRB49" s="66"/>
      <c r="DRC49" s="66"/>
      <c r="DRD49" s="66"/>
      <c r="DRE49" s="66"/>
      <c r="DRF49" s="66"/>
      <c r="DRG49" s="66"/>
      <c r="DRH49" s="66"/>
      <c r="DRI49" s="66"/>
      <c r="DRJ49" s="66"/>
      <c r="DRK49" s="66"/>
      <c r="DRL49" s="66"/>
      <c r="DRM49" s="66"/>
      <c r="DRN49" s="66"/>
      <c r="DRO49" s="66"/>
      <c r="DRP49" s="66"/>
      <c r="DRQ49" s="66"/>
      <c r="DRR49" s="66"/>
      <c r="DRS49" s="66"/>
      <c r="DRT49" s="66"/>
      <c r="DRU49" s="66"/>
      <c r="DRV49" s="66"/>
      <c r="DRW49" s="66"/>
      <c r="DRX49" s="66"/>
      <c r="DRY49" s="66"/>
      <c r="DRZ49" s="66"/>
      <c r="DSA49" s="66"/>
      <c r="DSB49" s="66"/>
      <c r="DSC49" s="66"/>
      <c r="DSD49" s="66"/>
      <c r="DSE49" s="66"/>
      <c r="DSF49" s="66"/>
      <c r="DSG49" s="66"/>
      <c r="DSH49" s="66"/>
      <c r="DSI49" s="66"/>
      <c r="DSJ49" s="66"/>
      <c r="DSK49" s="66"/>
      <c r="DSL49" s="66"/>
      <c r="DSM49" s="66"/>
      <c r="DSN49" s="66"/>
      <c r="DSO49" s="66"/>
      <c r="DSP49" s="66"/>
      <c r="DSQ49" s="66"/>
      <c r="DSR49" s="66"/>
      <c r="DSS49" s="66"/>
      <c r="DST49" s="66"/>
      <c r="DSU49" s="66"/>
      <c r="DSV49" s="66"/>
      <c r="DSW49" s="66"/>
      <c r="DSX49" s="66"/>
      <c r="DSY49" s="66"/>
      <c r="DSZ49" s="66"/>
      <c r="DTA49" s="66"/>
      <c r="DTB49" s="66"/>
      <c r="DTC49" s="66"/>
      <c r="DTD49" s="66"/>
      <c r="DTE49" s="66"/>
      <c r="DTF49" s="66"/>
      <c r="DTG49" s="66"/>
      <c r="DTH49" s="66"/>
      <c r="DTI49" s="66"/>
      <c r="DTJ49" s="66"/>
      <c r="DTK49" s="66"/>
      <c r="DTL49" s="66"/>
      <c r="DTM49" s="66"/>
      <c r="DTN49" s="66"/>
      <c r="DTO49" s="66"/>
      <c r="DTP49" s="66"/>
      <c r="DTQ49" s="66"/>
      <c r="DTR49" s="66"/>
      <c r="DTS49" s="66"/>
      <c r="DTT49" s="66"/>
      <c r="DTU49" s="66"/>
      <c r="DTV49" s="66"/>
      <c r="DTW49" s="66"/>
      <c r="DTX49" s="66"/>
      <c r="DTY49" s="66"/>
      <c r="DTZ49" s="66"/>
      <c r="DUA49" s="66"/>
      <c r="DUB49" s="66"/>
      <c r="DUC49" s="66"/>
      <c r="DUD49" s="66"/>
      <c r="DUE49" s="66"/>
      <c r="DUF49" s="66"/>
      <c r="DUG49" s="66"/>
      <c r="DUH49" s="66"/>
      <c r="DUI49" s="66"/>
      <c r="DUJ49" s="66"/>
      <c r="DUK49" s="66"/>
      <c r="DUL49" s="66"/>
      <c r="DUM49" s="66"/>
      <c r="DUN49" s="66"/>
      <c r="DUO49" s="66"/>
      <c r="DUP49" s="66"/>
      <c r="DUQ49" s="66"/>
      <c r="DUR49" s="66"/>
      <c r="DUS49" s="66"/>
      <c r="DUT49" s="66"/>
      <c r="DUU49" s="66"/>
      <c r="DUV49" s="66"/>
      <c r="DUW49" s="66"/>
      <c r="DUX49" s="66"/>
      <c r="DUY49" s="66"/>
      <c r="DUZ49" s="66"/>
      <c r="DVA49" s="66"/>
      <c r="DVB49" s="66"/>
      <c r="DVC49" s="66"/>
      <c r="DVD49" s="66"/>
      <c r="DVE49" s="66"/>
      <c r="DVF49" s="66"/>
      <c r="DVG49" s="66"/>
      <c r="DVH49" s="66"/>
      <c r="DVI49" s="66"/>
      <c r="DVJ49" s="66"/>
      <c r="DVK49" s="66"/>
      <c r="DVL49" s="66"/>
      <c r="DVM49" s="66"/>
      <c r="DVN49" s="66"/>
      <c r="DVO49" s="66"/>
      <c r="DVP49" s="66"/>
      <c r="DVQ49" s="66"/>
      <c r="DVR49" s="66"/>
      <c r="DVS49" s="66"/>
      <c r="DVT49" s="66"/>
      <c r="DVU49" s="66"/>
      <c r="DVV49" s="66"/>
      <c r="DVW49" s="66"/>
      <c r="DVX49" s="66"/>
      <c r="DVY49" s="66"/>
      <c r="DVZ49" s="66"/>
      <c r="DWA49" s="66"/>
      <c r="DWB49" s="66"/>
      <c r="DWC49" s="66"/>
      <c r="DWD49" s="66"/>
      <c r="DWE49" s="66"/>
      <c r="DWF49" s="66"/>
      <c r="DWG49" s="66"/>
      <c r="DWH49" s="66"/>
      <c r="DWI49" s="66"/>
      <c r="DWJ49" s="66"/>
      <c r="DWK49" s="66"/>
      <c r="DWL49" s="66"/>
      <c r="DWM49" s="66"/>
      <c r="DWN49" s="66"/>
      <c r="DWO49" s="66"/>
      <c r="DWP49" s="66"/>
      <c r="DWQ49" s="66"/>
      <c r="DWR49" s="66"/>
      <c r="DWS49" s="66"/>
      <c r="DWT49" s="66"/>
      <c r="DWU49" s="66"/>
      <c r="DWV49" s="66"/>
      <c r="DWW49" s="66"/>
      <c r="DWX49" s="66"/>
      <c r="DWY49" s="66"/>
      <c r="DWZ49" s="66"/>
      <c r="DXA49" s="66"/>
      <c r="DXB49" s="66"/>
      <c r="DXC49" s="66"/>
      <c r="DXD49" s="66"/>
      <c r="DXE49" s="66"/>
      <c r="DXF49" s="66"/>
      <c r="DXG49" s="66"/>
      <c r="DXH49" s="66"/>
      <c r="DXI49" s="66"/>
      <c r="DXJ49" s="66"/>
      <c r="DXK49" s="66"/>
      <c r="DXL49" s="66"/>
      <c r="DXM49" s="66"/>
      <c r="DXN49" s="66"/>
      <c r="DXO49" s="66"/>
      <c r="DXP49" s="66"/>
      <c r="DXQ49" s="66"/>
      <c r="DXR49" s="66"/>
      <c r="DXS49" s="66"/>
      <c r="DXT49" s="66"/>
      <c r="DXU49" s="66"/>
      <c r="DXV49" s="66"/>
      <c r="DXW49" s="66"/>
      <c r="DXX49" s="66"/>
      <c r="DXY49" s="66"/>
      <c r="DXZ49" s="66"/>
      <c r="DYA49" s="66"/>
      <c r="DYB49" s="66"/>
      <c r="DYC49" s="66"/>
      <c r="DYD49" s="66"/>
      <c r="DYE49" s="66"/>
      <c r="DYF49" s="66"/>
      <c r="DYG49" s="66"/>
      <c r="DYH49" s="66"/>
      <c r="DYI49" s="66"/>
      <c r="DYJ49" s="66"/>
      <c r="DYK49" s="66"/>
      <c r="DYL49" s="66"/>
      <c r="DYM49" s="66"/>
      <c r="DYN49" s="66"/>
      <c r="DYO49" s="66"/>
      <c r="DYP49" s="66"/>
      <c r="DYQ49" s="66"/>
      <c r="DYR49" s="66"/>
      <c r="DYS49" s="66"/>
      <c r="DYT49" s="66"/>
      <c r="DYU49" s="66"/>
      <c r="DYV49" s="66"/>
      <c r="DYW49" s="66"/>
      <c r="DYX49" s="66"/>
      <c r="DYY49" s="66"/>
      <c r="DYZ49" s="66"/>
      <c r="DZA49" s="66"/>
      <c r="DZB49" s="66"/>
      <c r="DZC49" s="66"/>
      <c r="DZD49" s="66"/>
      <c r="DZE49" s="66"/>
      <c r="DZF49" s="66"/>
      <c r="DZG49" s="66"/>
      <c r="DZH49" s="66"/>
      <c r="DZI49" s="66"/>
      <c r="DZJ49" s="66"/>
      <c r="DZK49" s="66"/>
      <c r="DZL49" s="66"/>
      <c r="DZM49" s="66"/>
      <c r="DZN49" s="66"/>
      <c r="DZO49" s="66"/>
      <c r="DZP49" s="66"/>
      <c r="DZQ49" s="66"/>
      <c r="DZR49" s="66"/>
      <c r="DZS49" s="66"/>
      <c r="DZT49" s="66"/>
      <c r="DZU49" s="66"/>
      <c r="DZV49" s="66"/>
      <c r="DZW49" s="66"/>
      <c r="DZX49" s="66"/>
      <c r="DZY49" s="66"/>
      <c r="DZZ49" s="66"/>
      <c r="EAA49" s="66"/>
      <c r="EAB49" s="66"/>
      <c r="EAC49" s="66"/>
      <c r="EAD49" s="66"/>
      <c r="EAE49" s="66"/>
      <c r="EAF49" s="66"/>
      <c r="EAG49" s="66"/>
      <c r="EAH49" s="66"/>
      <c r="EAI49" s="66"/>
      <c r="EAJ49" s="66"/>
      <c r="EAK49" s="66"/>
      <c r="EAL49" s="66"/>
      <c r="EAM49" s="66"/>
      <c r="EAN49" s="66"/>
      <c r="EAO49" s="66"/>
      <c r="EAP49" s="66"/>
      <c r="EAQ49" s="66"/>
      <c r="EAR49" s="66"/>
      <c r="EAS49" s="66"/>
      <c r="EAT49" s="66"/>
      <c r="EAU49" s="66"/>
      <c r="EAV49" s="66"/>
      <c r="EAW49" s="66"/>
      <c r="EAX49" s="66"/>
      <c r="EAY49" s="66"/>
      <c r="EAZ49" s="66"/>
      <c r="EBA49" s="66"/>
      <c r="EBB49" s="66"/>
      <c r="EBC49" s="66"/>
      <c r="EBD49" s="66"/>
      <c r="EBE49" s="66"/>
      <c r="EBF49" s="66"/>
      <c r="EBG49" s="66"/>
      <c r="EBH49" s="66"/>
      <c r="EBI49" s="66"/>
      <c r="EBJ49" s="66"/>
      <c r="EBK49" s="66"/>
      <c r="EBL49" s="66"/>
      <c r="EBM49" s="66"/>
      <c r="EBN49" s="66"/>
      <c r="EBO49" s="66"/>
      <c r="EBP49" s="66"/>
      <c r="EBQ49" s="66"/>
      <c r="EBR49" s="66"/>
      <c r="EBS49" s="66"/>
      <c r="EBT49" s="66"/>
      <c r="EBU49" s="66"/>
      <c r="EBV49" s="66"/>
      <c r="EBW49" s="66"/>
      <c r="EBX49" s="66"/>
      <c r="EBY49" s="66"/>
      <c r="EBZ49" s="66"/>
      <c r="ECA49" s="66"/>
      <c r="ECB49" s="66"/>
      <c r="ECC49" s="66"/>
      <c r="ECD49" s="66"/>
      <c r="ECE49" s="66"/>
      <c r="ECF49" s="66"/>
      <c r="ECG49" s="66"/>
      <c r="ECH49" s="66"/>
      <c r="ECI49" s="66"/>
      <c r="ECJ49" s="66"/>
      <c r="ECK49" s="66"/>
      <c r="ECL49" s="66"/>
      <c r="ECM49" s="66"/>
      <c r="ECN49" s="66"/>
      <c r="ECO49" s="66"/>
      <c r="ECP49" s="66"/>
      <c r="ECQ49" s="66"/>
      <c r="ECR49" s="66"/>
      <c r="ECS49" s="66"/>
      <c r="ECT49" s="66"/>
      <c r="ECU49" s="66"/>
      <c r="ECV49" s="66"/>
      <c r="ECW49" s="66"/>
      <c r="ECX49" s="66"/>
      <c r="ECY49" s="66"/>
      <c r="ECZ49" s="66"/>
      <c r="EDA49" s="66"/>
      <c r="EDB49" s="66"/>
      <c r="EDC49" s="66"/>
      <c r="EDD49" s="66"/>
      <c r="EDE49" s="66"/>
      <c r="EDF49" s="66"/>
      <c r="EDG49" s="66"/>
      <c r="EDH49" s="66"/>
      <c r="EDI49" s="66"/>
      <c r="EDJ49" s="66"/>
      <c r="EDK49" s="66"/>
      <c r="EDL49" s="66"/>
      <c r="EDM49" s="66"/>
      <c r="EDN49" s="66"/>
      <c r="EDO49" s="66"/>
      <c r="EDP49" s="66"/>
      <c r="EDQ49" s="66"/>
      <c r="EDR49" s="66"/>
      <c r="EDS49" s="66"/>
      <c r="EDT49" s="66"/>
      <c r="EDU49" s="66"/>
      <c r="EDV49" s="66"/>
      <c r="EDW49" s="66"/>
      <c r="EDX49" s="66"/>
      <c r="EDY49" s="66"/>
      <c r="EDZ49" s="66"/>
      <c r="EEA49" s="66"/>
      <c r="EEB49" s="66"/>
      <c r="EEC49" s="66"/>
      <c r="EED49" s="66"/>
      <c r="EEE49" s="66"/>
      <c r="EEF49" s="66"/>
      <c r="EEG49" s="66"/>
      <c r="EEH49" s="66"/>
      <c r="EEI49" s="66"/>
      <c r="EEJ49" s="66"/>
      <c r="EEK49" s="66"/>
      <c r="EEL49" s="66"/>
      <c r="EEM49" s="66"/>
      <c r="EEN49" s="66"/>
      <c r="EEO49" s="66"/>
      <c r="EEP49" s="66"/>
      <c r="EEQ49" s="66"/>
      <c r="EER49" s="66"/>
      <c r="EES49" s="66"/>
      <c r="EET49" s="66"/>
      <c r="EEU49" s="66"/>
      <c r="EEV49" s="66"/>
      <c r="EEW49" s="66"/>
      <c r="EEX49" s="66"/>
      <c r="EEY49" s="66"/>
      <c r="EEZ49" s="66"/>
      <c r="EFA49" s="66"/>
      <c r="EFB49" s="66"/>
      <c r="EFC49" s="66"/>
      <c r="EFD49" s="66"/>
      <c r="EFE49" s="66"/>
      <c r="EFF49" s="66"/>
      <c r="EFG49" s="66"/>
      <c r="EFH49" s="66"/>
      <c r="EFI49" s="66"/>
      <c r="EFJ49" s="66"/>
      <c r="EFK49" s="66"/>
      <c r="EFL49" s="66"/>
      <c r="EFM49" s="66"/>
      <c r="EFN49" s="66"/>
      <c r="EFO49" s="66"/>
      <c r="EFP49" s="66"/>
      <c r="EFQ49" s="66"/>
      <c r="EFR49" s="66"/>
      <c r="EFS49" s="66"/>
      <c r="EFT49" s="66"/>
      <c r="EFU49" s="66"/>
      <c r="EFV49" s="66"/>
      <c r="EFW49" s="66"/>
      <c r="EFX49" s="66"/>
      <c r="EFY49" s="66"/>
      <c r="EFZ49" s="66"/>
      <c r="EGA49" s="66"/>
      <c r="EGB49" s="66"/>
      <c r="EGC49" s="66"/>
      <c r="EGD49" s="66"/>
      <c r="EGE49" s="66"/>
      <c r="EGF49" s="66"/>
      <c r="EGG49" s="66"/>
      <c r="EGH49" s="66"/>
      <c r="EGI49" s="66"/>
      <c r="EGJ49" s="66"/>
      <c r="EGK49" s="66"/>
      <c r="EGL49" s="66"/>
      <c r="EGM49" s="66"/>
      <c r="EGN49" s="66"/>
      <c r="EGO49" s="66"/>
      <c r="EGP49" s="66"/>
      <c r="EGQ49" s="66"/>
      <c r="EGR49" s="66"/>
      <c r="EGS49" s="66"/>
      <c r="EGT49" s="66"/>
      <c r="EGU49" s="66"/>
      <c r="EGV49" s="66"/>
      <c r="EGW49" s="66"/>
      <c r="EGX49" s="66"/>
      <c r="EGY49" s="66"/>
      <c r="EGZ49" s="66"/>
      <c r="EHA49" s="66"/>
      <c r="EHB49" s="66"/>
      <c r="EHC49" s="66"/>
      <c r="EHD49" s="66"/>
      <c r="EHE49" s="66"/>
      <c r="EHF49" s="66"/>
      <c r="EHG49" s="66"/>
      <c r="EHH49" s="66"/>
      <c r="EHI49" s="66"/>
      <c r="EHJ49" s="66"/>
      <c r="EHK49" s="66"/>
      <c r="EHL49" s="66"/>
      <c r="EHM49" s="66"/>
      <c r="EHN49" s="66"/>
      <c r="EHO49" s="66"/>
      <c r="EHP49" s="66"/>
      <c r="EHQ49" s="66"/>
      <c r="EHR49" s="66"/>
      <c r="EHS49" s="66"/>
      <c r="EHT49" s="66"/>
      <c r="EHU49" s="66"/>
      <c r="EHV49" s="66"/>
      <c r="EHW49" s="66"/>
      <c r="EHX49" s="66"/>
      <c r="EHY49" s="66"/>
      <c r="EHZ49" s="66"/>
      <c r="EIA49" s="66"/>
      <c r="EIB49" s="66"/>
      <c r="EIC49" s="66"/>
      <c r="EID49" s="66"/>
      <c r="EIE49" s="66"/>
      <c r="EIF49" s="66"/>
      <c r="EIG49" s="66"/>
      <c r="EIH49" s="66"/>
      <c r="EII49" s="66"/>
      <c r="EIJ49" s="66"/>
      <c r="EIK49" s="66"/>
      <c r="EIL49" s="66"/>
      <c r="EIM49" s="66"/>
      <c r="EIN49" s="66"/>
      <c r="EIO49" s="66"/>
      <c r="EIP49" s="66"/>
      <c r="EIQ49" s="66"/>
      <c r="EIR49" s="66"/>
      <c r="EIS49" s="66"/>
      <c r="EIT49" s="66"/>
      <c r="EIU49" s="66"/>
      <c r="EIV49" s="66"/>
      <c r="EIW49" s="66"/>
      <c r="EIX49" s="66"/>
      <c r="EIY49" s="66"/>
      <c r="EIZ49" s="66"/>
      <c r="EJA49" s="66"/>
      <c r="EJB49" s="66"/>
      <c r="EJC49" s="66"/>
      <c r="EJD49" s="66"/>
      <c r="EJE49" s="66"/>
      <c r="EJF49" s="66"/>
      <c r="EJG49" s="66"/>
      <c r="EJH49" s="66"/>
      <c r="EJI49" s="66"/>
      <c r="EJJ49" s="66"/>
      <c r="EJK49" s="66"/>
      <c r="EJL49" s="66"/>
      <c r="EJM49" s="66"/>
      <c r="EJN49" s="66"/>
      <c r="EJO49" s="66"/>
      <c r="EJP49" s="66"/>
      <c r="EJQ49" s="66"/>
      <c r="EJR49" s="66"/>
      <c r="EJS49" s="66"/>
      <c r="EJT49" s="66"/>
      <c r="EJU49" s="66"/>
      <c r="EJV49" s="66"/>
      <c r="EJW49" s="66"/>
      <c r="EJX49" s="66"/>
      <c r="EJY49" s="66"/>
      <c r="EJZ49" s="66"/>
      <c r="EKA49" s="66"/>
      <c r="EKB49" s="66"/>
      <c r="EKC49" s="66"/>
      <c r="EKD49" s="66"/>
      <c r="EKE49" s="66"/>
      <c r="EKF49" s="66"/>
      <c r="EKG49" s="66"/>
      <c r="EKH49" s="66"/>
      <c r="EKI49" s="66"/>
      <c r="EKJ49" s="66"/>
      <c r="EKK49" s="66"/>
      <c r="EKL49" s="66"/>
      <c r="EKM49" s="66"/>
      <c r="EKN49" s="66"/>
      <c r="EKO49" s="66"/>
      <c r="EKP49" s="66"/>
      <c r="EKQ49" s="66"/>
      <c r="EKR49" s="66"/>
      <c r="EKS49" s="66"/>
      <c r="EKT49" s="66"/>
      <c r="EKU49" s="66"/>
      <c r="EKV49" s="66"/>
      <c r="EKW49" s="66"/>
      <c r="EKX49" s="66"/>
      <c r="EKY49" s="66"/>
      <c r="EKZ49" s="66"/>
      <c r="ELA49" s="66"/>
      <c r="ELB49" s="66"/>
      <c r="ELC49" s="66"/>
      <c r="ELD49" s="66"/>
      <c r="ELE49" s="66"/>
      <c r="ELF49" s="66"/>
      <c r="ELG49" s="66"/>
      <c r="ELH49" s="66"/>
      <c r="ELI49" s="66"/>
      <c r="ELJ49" s="66"/>
      <c r="ELK49" s="66"/>
      <c r="ELL49" s="66"/>
      <c r="ELM49" s="66"/>
      <c r="ELN49" s="66"/>
      <c r="ELO49" s="66"/>
      <c r="ELP49" s="66"/>
      <c r="ELQ49" s="66"/>
      <c r="ELR49" s="66"/>
      <c r="ELS49" s="66"/>
      <c r="ELT49" s="66"/>
      <c r="ELU49" s="66"/>
      <c r="ELV49" s="66"/>
      <c r="ELW49" s="66"/>
      <c r="ELX49" s="66"/>
      <c r="ELY49" s="66"/>
      <c r="ELZ49" s="66"/>
      <c r="EMA49" s="66"/>
      <c r="EMB49" s="66"/>
      <c r="EMC49" s="66"/>
      <c r="EMD49" s="66"/>
      <c r="EME49" s="66"/>
      <c r="EMF49" s="66"/>
      <c r="EMG49" s="66"/>
      <c r="EMH49" s="66"/>
      <c r="EMI49" s="66"/>
      <c r="EMJ49" s="66"/>
      <c r="EMK49" s="66"/>
      <c r="EML49" s="66"/>
      <c r="EMM49" s="66"/>
      <c r="EMN49" s="66"/>
      <c r="EMO49" s="66"/>
      <c r="EMP49" s="66"/>
      <c r="EMQ49" s="66"/>
      <c r="EMR49" s="66"/>
      <c r="EMS49" s="66"/>
      <c r="EMT49" s="66"/>
      <c r="EMU49" s="66"/>
      <c r="EMV49" s="66"/>
      <c r="EMW49" s="66"/>
      <c r="EMX49" s="66"/>
      <c r="EMY49" s="66"/>
      <c r="EMZ49" s="66"/>
      <c r="ENA49" s="66"/>
      <c r="ENB49" s="66"/>
      <c r="ENC49" s="66"/>
      <c r="END49" s="66"/>
      <c r="ENE49" s="66"/>
      <c r="ENF49" s="66"/>
      <c r="ENG49" s="66"/>
      <c r="ENH49" s="66"/>
      <c r="ENI49" s="66"/>
      <c r="ENJ49" s="66"/>
      <c r="ENK49" s="66"/>
      <c r="ENL49" s="66"/>
      <c r="ENM49" s="66"/>
      <c r="ENN49" s="66"/>
      <c r="ENO49" s="66"/>
      <c r="ENP49" s="66"/>
      <c r="ENQ49" s="66"/>
      <c r="ENR49" s="66"/>
      <c r="ENS49" s="66"/>
      <c r="ENT49" s="66"/>
      <c r="ENU49" s="66"/>
      <c r="ENV49" s="66"/>
      <c r="ENW49" s="66"/>
      <c r="ENX49" s="66"/>
      <c r="ENY49" s="66"/>
      <c r="ENZ49" s="66"/>
      <c r="EOA49" s="66"/>
      <c r="EOB49" s="66"/>
      <c r="EOC49" s="66"/>
      <c r="EOD49" s="66"/>
      <c r="EOE49" s="66"/>
      <c r="EOF49" s="66"/>
      <c r="EOG49" s="66"/>
      <c r="EOH49" s="66"/>
      <c r="EOI49" s="66"/>
      <c r="EOJ49" s="66"/>
      <c r="EOK49" s="66"/>
      <c r="EOL49" s="66"/>
      <c r="EOM49" s="66"/>
      <c r="EON49" s="66"/>
      <c r="EOO49" s="66"/>
      <c r="EOP49" s="66"/>
      <c r="EOQ49" s="66"/>
      <c r="EOR49" s="66"/>
      <c r="EOS49" s="66"/>
      <c r="EOT49" s="66"/>
      <c r="EOU49" s="66"/>
      <c r="EOV49" s="66"/>
      <c r="EOW49" s="66"/>
      <c r="EOX49" s="66"/>
      <c r="EOY49" s="66"/>
      <c r="EOZ49" s="66"/>
      <c r="EPA49" s="66"/>
      <c r="EPB49" s="66"/>
      <c r="EPC49" s="66"/>
      <c r="EPD49" s="66"/>
      <c r="EPE49" s="66"/>
      <c r="EPF49" s="66"/>
      <c r="EPG49" s="66"/>
      <c r="EPH49" s="66"/>
      <c r="EPI49" s="66"/>
      <c r="EPJ49" s="66"/>
      <c r="EPK49" s="66"/>
      <c r="EPL49" s="66"/>
      <c r="EPM49" s="66"/>
      <c r="EPN49" s="66"/>
      <c r="EPO49" s="66"/>
      <c r="EPP49" s="66"/>
      <c r="EPQ49" s="66"/>
      <c r="EPR49" s="66"/>
      <c r="EPS49" s="66"/>
      <c r="EPT49" s="66"/>
      <c r="EPU49" s="66"/>
      <c r="EPV49" s="66"/>
      <c r="EPW49" s="66"/>
      <c r="EPX49" s="66"/>
      <c r="EPY49" s="66"/>
      <c r="EPZ49" s="66"/>
      <c r="EQA49" s="66"/>
      <c r="EQB49" s="66"/>
      <c r="EQC49" s="66"/>
      <c r="EQD49" s="66"/>
      <c r="EQE49" s="66"/>
      <c r="EQF49" s="66"/>
      <c r="EQG49" s="66"/>
      <c r="EQH49" s="66"/>
      <c r="EQI49" s="66"/>
      <c r="EQJ49" s="66"/>
      <c r="EQK49" s="66"/>
      <c r="EQL49" s="66"/>
      <c r="EQM49" s="66"/>
      <c r="EQN49" s="66"/>
      <c r="EQO49" s="66"/>
      <c r="EQP49" s="66"/>
      <c r="EQQ49" s="66"/>
      <c r="EQR49" s="66"/>
      <c r="EQS49" s="66"/>
      <c r="EQT49" s="66"/>
      <c r="EQU49" s="66"/>
      <c r="EQV49" s="66"/>
      <c r="EQW49" s="66"/>
      <c r="EQX49" s="66"/>
      <c r="EQY49" s="66"/>
      <c r="EQZ49" s="66"/>
      <c r="ERA49" s="66"/>
      <c r="ERB49" s="66"/>
      <c r="ERC49" s="66"/>
      <c r="ERD49" s="66"/>
      <c r="ERE49" s="66"/>
      <c r="ERF49" s="66"/>
      <c r="ERG49" s="66"/>
      <c r="ERH49" s="66"/>
      <c r="ERI49" s="66"/>
      <c r="ERJ49" s="66"/>
      <c r="ERK49" s="66"/>
      <c r="ERL49" s="66"/>
      <c r="ERM49" s="66"/>
      <c r="ERN49" s="66"/>
      <c r="ERO49" s="66"/>
      <c r="ERP49" s="66"/>
      <c r="ERQ49" s="66"/>
      <c r="ERR49" s="66"/>
      <c r="ERS49" s="66"/>
      <c r="ERT49" s="66"/>
      <c r="ERU49" s="66"/>
      <c r="ERV49" s="66"/>
      <c r="ERW49" s="66"/>
      <c r="ERX49" s="66"/>
      <c r="ERY49" s="66"/>
      <c r="ERZ49" s="66"/>
      <c r="ESA49" s="66"/>
      <c r="ESB49" s="66"/>
      <c r="ESC49" s="66"/>
      <c r="ESD49" s="66"/>
      <c r="ESE49" s="66"/>
      <c r="ESF49" s="66"/>
      <c r="ESG49" s="66"/>
      <c r="ESH49" s="66"/>
      <c r="ESI49" s="66"/>
      <c r="ESJ49" s="66"/>
      <c r="ESK49" s="66"/>
      <c r="ESL49" s="66"/>
      <c r="ESM49" s="66"/>
      <c r="ESN49" s="66"/>
      <c r="ESO49" s="66"/>
      <c r="ESP49" s="66"/>
      <c r="ESQ49" s="66"/>
      <c r="ESR49" s="66"/>
      <c r="ESS49" s="66"/>
      <c r="EST49" s="66"/>
      <c r="ESU49" s="66"/>
      <c r="ESV49" s="66"/>
      <c r="ESW49" s="66"/>
      <c r="ESX49" s="66"/>
      <c r="ESY49" s="66"/>
      <c r="ESZ49" s="66"/>
      <c r="ETA49" s="66"/>
      <c r="ETB49" s="66"/>
      <c r="ETC49" s="66"/>
      <c r="ETD49" s="66"/>
      <c r="ETE49" s="66"/>
      <c r="ETF49" s="66"/>
      <c r="ETG49" s="66"/>
      <c r="ETH49" s="66"/>
      <c r="ETI49" s="66"/>
      <c r="ETJ49" s="66"/>
      <c r="ETK49" s="66"/>
      <c r="ETL49" s="66"/>
      <c r="ETM49" s="66"/>
      <c r="ETN49" s="66"/>
      <c r="ETO49" s="66"/>
      <c r="ETP49" s="66"/>
      <c r="ETQ49" s="66"/>
      <c r="ETR49" s="66"/>
      <c r="ETS49" s="66"/>
      <c r="ETT49" s="66"/>
      <c r="ETU49" s="66"/>
      <c r="ETV49" s="66"/>
      <c r="ETW49" s="66"/>
      <c r="ETX49" s="66"/>
      <c r="ETY49" s="66"/>
      <c r="ETZ49" s="66"/>
      <c r="EUA49" s="66"/>
      <c r="EUB49" s="66"/>
      <c r="EUC49" s="66"/>
      <c r="EUD49" s="66"/>
      <c r="EUE49" s="66"/>
      <c r="EUF49" s="66"/>
      <c r="EUG49" s="66"/>
      <c r="EUH49" s="66"/>
      <c r="EUI49" s="66"/>
      <c r="EUJ49" s="66"/>
      <c r="EUK49" s="66"/>
      <c r="EUL49" s="66"/>
      <c r="EUM49" s="66"/>
      <c r="EUN49" s="66"/>
      <c r="EUO49" s="66"/>
      <c r="EUP49" s="66"/>
      <c r="EUQ49" s="66"/>
      <c r="EUR49" s="66"/>
      <c r="EUS49" s="66"/>
      <c r="EUT49" s="66"/>
      <c r="EUU49" s="66"/>
      <c r="EUV49" s="66"/>
      <c r="EUW49" s="66"/>
      <c r="EUX49" s="66"/>
      <c r="EUY49" s="66"/>
      <c r="EUZ49" s="66"/>
      <c r="EVA49" s="66"/>
      <c r="EVB49" s="66"/>
      <c r="EVC49" s="66"/>
      <c r="EVD49" s="66"/>
      <c r="EVE49" s="66"/>
      <c r="EVF49" s="66"/>
      <c r="EVG49" s="66"/>
      <c r="EVH49" s="66"/>
      <c r="EVI49" s="66"/>
      <c r="EVJ49" s="66"/>
      <c r="EVK49" s="66"/>
      <c r="EVL49" s="66"/>
      <c r="EVM49" s="66"/>
      <c r="EVN49" s="66"/>
      <c r="EVO49" s="66"/>
      <c r="EVP49" s="66"/>
      <c r="EVQ49" s="66"/>
      <c r="EVR49" s="66"/>
      <c r="EVS49" s="66"/>
      <c r="EVT49" s="66"/>
      <c r="EVU49" s="66"/>
      <c r="EVV49" s="66"/>
      <c r="EVW49" s="66"/>
      <c r="EVX49" s="66"/>
      <c r="EVY49" s="66"/>
      <c r="EVZ49" s="66"/>
      <c r="EWA49" s="66"/>
      <c r="EWB49" s="66"/>
      <c r="EWC49" s="66"/>
      <c r="EWD49" s="66"/>
      <c r="EWE49" s="66"/>
      <c r="EWF49" s="66"/>
      <c r="EWG49" s="66"/>
      <c r="EWH49" s="66"/>
      <c r="EWI49" s="66"/>
      <c r="EWJ49" s="66"/>
      <c r="EWK49" s="66"/>
      <c r="EWL49" s="66"/>
      <c r="EWM49" s="66"/>
      <c r="EWN49" s="66"/>
      <c r="EWO49" s="66"/>
      <c r="EWP49" s="66"/>
      <c r="EWQ49" s="66"/>
      <c r="EWR49" s="66"/>
      <c r="EWS49" s="66"/>
      <c r="EWT49" s="66"/>
      <c r="EWU49" s="66"/>
      <c r="EWV49" s="66"/>
      <c r="EWW49" s="66"/>
      <c r="EWX49" s="66"/>
      <c r="EWY49" s="66"/>
      <c r="EWZ49" s="66"/>
      <c r="EXA49" s="66"/>
      <c r="EXB49" s="66"/>
      <c r="EXC49" s="66"/>
      <c r="EXD49" s="66"/>
      <c r="EXE49" s="66"/>
      <c r="EXF49" s="66"/>
      <c r="EXG49" s="66"/>
      <c r="EXH49" s="66"/>
      <c r="EXI49" s="66"/>
      <c r="EXJ49" s="66"/>
      <c r="EXK49" s="66"/>
      <c r="EXL49" s="66"/>
      <c r="EXM49" s="66"/>
      <c r="EXN49" s="66"/>
      <c r="EXO49" s="66"/>
      <c r="EXP49" s="66"/>
      <c r="EXQ49" s="66"/>
      <c r="EXR49" s="66"/>
      <c r="EXS49" s="66"/>
      <c r="EXT49" s="66"/>
      <c r="EXU49" s="66"/>
      <c r="EXV49" s="66"/>
      <c r="EXW49" s="66"/>
      <c r="EXX49" s="66"/>
      <c r="EXY49" s="66"/>
      <c r="EXZ49" s="66"/>
      <c r="EYA49" s="66"/>
      <c r="EYB49" s="66"/>
      <c r="EYC49" s="66"/>
      <c r="EYD49" s="66"/>
      <c r="EYE49" s="66"/>
      <c r="EYF49" s="66"/>
      <c r="EYG49" s="66"/>
      <c r="EYH49" s="66"/>
      <c r="EYI49" s="66"/>
      <c r="EYJ49" s="66"/>
      <c r="EYK49" s="66"/>
      <c r="EYL49" s="66"/>
      <c r="EYM49" s="66"/>
      <c r="EYN49" s="66"/>
      <c r="EYO49" s="66"/>
      <c r="EYP49" s="66"/>
      <c r="EYQ49" s="66"/>
      <c r="EYR49" s="66"/>
      <c r="EYS49" s="66"/>
      <c r="EYT49" s="66"/>
      <c r="EYU49" s="66"/>
      <c r="EYV49" s="66"/>
      <c r="EYW49" s="66"/>
      <c r="EYX49" s="66"/>
      <c r="EYY49" s="66"/>
      <c r="EYZ49" s="66"/>
      <c r="EZA49" s="66"/>
      <c r="EZB49" s="66"/>
      <c r="EZC49" s="66"/>
      <c r="EZD49" s="66"/>
      <c r="EZE49" s="66"/>
      <c r="EZF49" s="66"/>
      <c r="EZG49" s="66"/>
      <c r="EZH49" s="66"/>
      <c r="EZI49" s="66"/>
      <c r="EZJ49" s="66"/>
      <c r="EZK49" s="66"/>
      <c r="EZL49" s="66"/>
      <c r="EZM49" s="66"/>
      <c r="EZN49" s="66"/>
      <c r="EZO49" s="66"/>
      <c r="EZP49" s="66"/>
      <c r="EZQ49" s="66"/>
      <c r="EZR49" s="66"/>
      <c r="EZS49" s="66"/>
      <c r="EZT49" s="66"/>
      <c r="EZU49" s="66"/>
      <c r="EZV49" s="66"/>
      <c r="EZW49" s="66"/>
      <c r="EZX49" s="66"/>
      <c r="EZY49" s="66"/>
      <c r="EZZ49" s="66"/>
      <c r="FAA49" s="66"/>
      <c r="FAB49" s="66"/>
      <c r="FAC49" s="66"/>
      <c r="FAD49" s="66"/>
      <c r="FAE49" s="66"/>
      <c r="FAF49" s="66"/>
      <c r="FAG49" s="66"/>
      <c r="FAH49" s="66"/>
      <c r="FAI49" s="66"/>
      <c r="FAJ49" s="66"/>
      <c r="FAK49" s="66"/>
      <c r="FAL49" s="66"/>
      <c r="FAM49" s="66"/>
      <c r="FAN49" s="66"/>
      <c r="FAO49" s="66"/>
      <c r="FAP49" s="66"/>
      <c r="FAQ49" s="66"/>
      <c r="FAR49" s="66"/>
      <c r="FAS49" s="66"/>
      <c r="FAT49" s="66"/>
      <c r="FAU49" s="66"/>
      <c r="FAV49" s="66"/>
      <c r="FAW49" s="66"/>
      <c r="FAX49" s="66"/>
      <c r="FAY49" s="66"/>
      <c r="FAZ49" s="66"/>
      <c r="FBA49" s="66"/>
      <c r="FBB49" s="66"/>
      <c r="FBC49" s="66"/>
      <c r="FBD49" s="66"/>
      <c r="FBE49" s="66"/>
      <c r="FBF49" s="66"/>
      <c r="FBG49" s="66"/>
      <c r="FBH49" s="66"/>
      <c r="FBI49" s="66"/>
      <c r="FBJ49" s="66"/>
      <c r="FBK49" s="66"/>
      <c r="FBL49" s="66"/>
      <c r="FBM49" s="66"/>
      <c r="FBN49" s="66"/>
      <c r="FBO49" s="66"/>
      <c r="FBP49" s="66"/>
      <c r="FBQ49" s="66"/>
      <c r="FBR49" s="66"/>
      <c r="FBS49" s="66"/>
      <c r="FBT49" s="66"/>
      <c r="FBU49" s="66"/>
      <c r="FBV49" s="66"/>
      <c r="FBW49" s="66"/>
      <c r="FBX49" s="66"/>
      <c r="FBY49" s="66"/>
      <c r="FBZ49" s="66"/>
      <c r="FCA49" s="66"/>
      <c r="FCB49" s="66"/>
      <c r="FCC49" s="66"/>
      <c r="FCD49" s="66"/>
      <c r="FCE49" s="66"/>
      <c r="FCF49" s="66"/>
      <c r="FCG49" s="66"/>
      <c r="FCH49" s="66"/>
      <c r="FCI49" s="66"/>
      <c r="FCJ49" s="66"/>
      <c r="FCK49" s="66"/>
      <c r="FCL49" s="66"/>
      <c r="FCM49" s="66"/>
      <c r="FCN49" s="66"/>
      <c r="FCO49" s="66"/>
      <c r="FCP49" s="66"/>
      <c r="FCQ49" s="66"/>
      <c r="FCR49" s="66"/>
      <c r="FCS49" s="66"/>
      <c r="FCT49" s="66"/>
      <c r="FCU49" s="66"/>
      <c r="FCV49" s="66"/>
      <c r="FCW49" s="66"/>
      <c r="FCX49" s="66"/>
      <c r="FCY49" s="66"/>
      <c r="FCZ49" s="66"/>
      <c r="FDA49" s="66"/>
      <c r="FDB49" s="66"/>
      <c r="FDC49" s="66"/>
      <c r="FDD49" s="66"/>
      <c r="FDE49" s="66"/>
      <c r="FDF49" s="66"/>
      <c r="FDG49" s="66"/>
      <c r="FDH49" s="66"/>
      <c r="FDI49" s="66"/>
      <c r="FDJ49" s="66"/>
      <c r="FDK49" s="66"/>
      <c r="FDL49" s="66"/>
      <c r="FDM49" s="66"/>
      <c r="FDN49" s="66"/>
      <c r="FDO49" s="66"/>
      <c r="FDP49" s="66"/>
      <c r="FDQ49" s="66"/>
      <c r="FDR49" s="66"/>
      <c r="FDS49" s="66"/>
      <c r="FDT49" s="66"/>
      <c r="FDU49" s="66"/>
      <c r="FDV49" s="66"/>
      <c r="FDW49" s="66"/>
      <c r="FDX49" s="66"/>
      <c r="FDY49" s="66"/>
      <c r="FDZ49" s="66"/>
      <c r="FEA49" s="66"/>
      <c r="FEB49" s="66"/>
      <c r="FEC49" s="66"/>
      <c r="FED49" s="66"/>
      <c r="FEE49" s="66"/>
      <c r="FEF49" s="66"/>
      <c r="FEG49" s="66"/>
      <c r="FEH49" s="66"/>
      <c r="FEI49" s="66"/>
      <c r="FEJ49" s="66"/>
      <c r="FEK49" s="66"/>
      <c r="FEL49" s="66"/>
      <c r="FEM49" s="66"/>
      <c r="FEN49" s="66"/>
      <c r="FEO49" s="66"/>
      <c r="FEP49" s="66"/>
      <c r="FEQ49" s="66"/>
      <c r="FER49" s="66"/>
      <c r="FES49" s="66"/>
      <c r="FET49" s="66"/>
      <c r="FEU49" s="66"/>
      <c r="FEV49" s="66"/>
      <c r="FEW49" s="66"/>
      <c r="FEX49" s="66"/>
      <c r="FEY49" s="66"/>
      <c r="FEZ49" s="66"/>
      <c r="FFA49" s="66"/>
      <c r="FFB49" s="66"/>
      <c r="FFC49" s="66"/>
      <c r="FFD49" s="66"/>
      <c r="FFE49" s="66"/>
      <c r="FFF49" s="66"/>
      <c r="FFG49" s="66"/>
      <c r="FFH49" s="66"/>
      <c r="FFI49" s="66"/>
      <c r="FFJ49" s="66"/>
      <c r="FFK49" s="66"/>
      <c r="FFL49" s="66"/>
      <c r="FFM49" s="66"/>
      <c r="FFN49" s="66"/>
      <c r="FFO49" s="66"/>
      <c r="FFP49" s="66"/>
      <c r="FFQ49" s="66"/>
      <c r="FFR49" s="66"/>
      <c r="FFS49" s="66"/>
      <c r="FFT49" s="66"/>
      <c r="FFU49" s="66"/>
      <c r="FFV49" s="66"/>
      <c r="FFW49" s="66"/>
      <c r="FFX49" s="66"/>
      <c r="FFY49" s="66"/>
      <c r="FFZ49" s="66"/>
      <c r="FGA49" s="66"/>
      <c r="FGB49" s="66"/>
      <c r="FGC49" s="66"/>
      <c r="FGD49" s="66"/>
      <c r="FGE49" s="66"/>
      <c r="FGF49" s="66"/>
      <c r="FGG49" s="66"/>
      <c r="FGH49" s="66"/>
      <c r="FGI49" s="66"/>
      <c r="FGJ49" s="66"/>
      <c r="FGK49" s="66"/>
      <c r="FGL49" s="66"/>
      <c r="FGM49" s="66"/>
      <c r="FGN49" s="66"/>
      <c r="FGO49" s="66"/>
      <c r="FGP49" s="66"/>
      <c r="FGQ49" s="66"/>
      <c r="FGR49" s="66"/>
      <c r="FGS49" s="66"/>
      <c r="FGT49" s="66"/>
      <c r="FGU49" s="66"/>
      <c r="FGV49" s="66"/>
      <c r="FGW49" s="66"/>
      <c r="FGX49" s="66"/>
      <c r="FGY49" s="66"/>
      <c r="FGZ49" s="66"/>
      <c r="FHA49" s="66"/>
      <c r="FHB49" s="66"/>
      <c r="FHC49" s="66"/>
      <c r="FHD49" s="66"/>
      <c r="FHE49" s="66"/>
      <c r="FHF49" s="66"/>
      <c r="FHG49" s="66"/>
      <c r="FHH49" s="66"/>
      <c r="FHI49" s="66"/>
      <c r="FHJ49" s="66"/>
      <c r="FHK49" s="66"/>
      <c r="FHL49" s="66"/>
      <c r="FHM49" s="66"/>
      <c r="FHN49" s="66"/>
      <c r="FHO49" s="66"/>
      <c r="FHP49" s="66"/>
      <c r="FHQ49" s="66"/>
      <c r="FHR49" s="66"/>
      <c r="FHS49" s="66"/>
      <c r="FHT49" s="66"/>
      <c r="FHU49" s="66"/>
      <c r="FHV49" s="66"/>
      <c r="FHW49" s="66"/>
      <c r="FHX49" s="66"/>
      <c r="FHY49" s="66"/>
      <c r="FHZ49" s="66"/>
      <c r="FIA49" s="66"/>
      <c r="FIB49" s="66"/>
      <c r="FIC49" s="66"/>
      <c r="FID49" s="66"/>
      <c r="FIE49" s="66"/>
      <c r="FIF49" s="66"/>
      <c r="FIG49" s="66"/>
      <c r="FIH49" s="66"/>
      <c r="FII49" s="66"/>
      <c r="FIJ49" s="66"/>
      <c r="FIK49" s="66"/>
      <c r="FIL49" s="66"/>
      <c r="FIM49" s="66"/>
      <c r="FIN49" s="66"/>
      <c r="FIO49" s="66"/>
      <c r="FIP49" s="66"/>
      <c r="FIQ49" s="66"/>
      <c r="FIR49" s="66"/>
      <c r="FIS49" s="66"/>
      <c r="FIT49" s="66"/>
      <c r="FIU49" s="66"/>
      <c r="FIV49" s="66"/>
      <c r="FIW49" s="66"/>
      <c r="FIX49" s="66"/>
      <c r="FIY49" s="66"/>
      <c r="FIZ49" s="66"/>
      <c r="FJA49" s="66"/>
      <c r="FJB49" s="66"/>
      <c r="FJC49" s="66"/>
      <c r="FJD49" s="66"/>
      <c r="FJE49" s="66"/>
      <c r="FJF49" s="66"/>
      <c r="FJG49" s="66"/>
      <c r="FJH49" s="66"/>
      <c r="FJI49" s="66"/>
      <c r="FJJ49" s="66"/>
      <c r="FJK49" s="66"/>
      <c r="FJL49" s="66"/>
      <c r="FJM49" s="66"/>
      <c r="FJN49" s="66"/>
      <c r="FJO49" s="66"/>
      <c r="FJP49" s="66"/>
      <c r="FJQ49" s="66"/>
      <c r="FJR49" s="66"/>
      <c r="FJS49" s="66"/>
      <c r="FJT49" s="66"/>
      <c r="FJU49" s="66"/>
      <c r="FJV49" s="66"/>
      <c r="FJW49" s="66"/>
      <c r="FJX49" s="66"/>
      <c r="FJY49" s="66"/>
      <c r="FJZ49" s="66"/>
      <c r="FKA49" s="66"/>
      <c r="FKB49" s="66"/>
      <c r="FKC49" s="66"/>
      <c r="FKD49" s="66"/>
      <c r="FKE49" s="66"/>
      <c r="FKF49" s="66"/>
      <c r="FKG49" s="66"/>
      <c r="FKH49" s="66"/>
      <c r="FKI49" s="66"/>
      <c r="FKJ49" s="66"/>
      <c r="FKK49" s="66"/>
      <c r="FKL49" s="66"/>
      <c r="FKM49" s="66"/>
      <c r="FKN49" s="66"/>
      <c r="FKO49" s="66"/>
      <c r="FKP49" s="66"/>
      <c r="FKQ49" s="66"/>
      <c r="FKR49" s="66"/>
      <c r="FKS49" s="66"/>
      <c r="FKT49" s="66"/>
      <c r="FKU49" s="66"/>
      <c r="FKV49" s="66"/>
      <c r="FKW49" s="66"/>
      <c r="FKX49" s="66"/>
      <c r="FKY49" s="66"/>
      <c r="FKZ49" s="66"/>
      <c r="FLA49" s="66"/>
      <c r="FLB49" s="66"/>
      <c r="FLC49" s="66"/>
      <c r="FLD49" s="66"/>
      <c r="FLE49" s="66"/>
      <c r="FLF49" s="66"/>
      <c r="FLG49" s="66"/>
      <c r="FLH49" s="66"/>
      <c r="FLI49" s="66"/>
      <c r="FLJ49" s="66"/>
      <c r="FLK49" s="66"/>
      <c r="FLL49" s="66"/>
      <c r="FLM49" s="66"/>
      <c r="FLN49" s="66"/>
      <c r="FLO49" s="66"/>
      <c r="FLP49" s="66"/>
      <c r="FLQ49" s="66"/>
      <c r="FLR49" s="66"/>
      <c r="FLS49" s="66"/>
      <c r="FLT49" s="66"/>
      <c r="FLU49" s="66"/>
      <c r="FLV49" s="66"/>
      <c r="FLW49" s="66"/>
      <c r="FLX49" s="66"/>
      <c r="FLY49" s="66"/>
      <c r="FLZ49" s="66"/>
      <c r="FMA49" s="66"/>
      <c r="FMB49" s="66"/>
      <c r="FMC49" s="66"/>
      <c r="FMD49" s="66"/>
      <c r="FME49" s="66"/>
      <c r="FMF49" s="66"/>
      <c r="FMG49" s="66"/>
      <c r="FMH49" s="66"/>
      <c r="FMI49" s="66"/>
      <c r="FMJ49" s="66"/>
      <c r="FMK49" s="66"/>
      <c r="FML49" s="66"/>
      <c r="FMM49" s="66"/>
      <c r="FMN49" s="66"/>
      <c r="FMO49" s="66"/>
      <c r="FMP49" s="66"/>
      <c r="FMQ49" s="66"/>
      <c r="FMR49" s="66"/>
      <c r="FMS49" s="66"/>
      <c r="FMT49" s="66"/>
      <c r="FMU49" s="66"/>
      <c r="FMV49" s="66"/>
      <c r="FMW49" s="66"/>
      <c r="FMX49" s="66"/>
      <c r="FMY49" s="66"/>
      <c r="FMZ49" s="66"/>
      <c r="FNA49" s="66"/>
      <c r="FNB49" s="66"/>
      <c r="FNC49" s="66"/>
      <c r="FND49" s="66"/>
      <c r="FNE49" s="66"/>
      <c r="FNF49" s="66"/>
      <c r="FNG49" s="66"/>
      <c r="FNH49" s="66"/>
      <c r="FNI49" s="66"/>
      <c r="FNJ49" s="66"/>
      <c r="FNK49" s="66"/>
      <c r="FNL49" s="66"/>
      <c r="FNM49" s="66"/>
      <c r="FNN49" s="66"/>
      <c r="FNO49" s="66"/>
      <c r="FNP49" s="66"/>
      <c r="FNQ49" s="66"/>
      <c r="FNR49" s="66"/>
      <c r="FNS49" s="66"/>
      <c r="FNT49" s="66"/>
      <c r="FNU49" s="66"/>
      <c r="FNV49" s="66"/>
      <c r="FNW49" s="66"/>
      <c r="FNX49" s="66"/>
      <c r="FNY49" s="66"/>
      <c r="FNZ49" s="66"/>
      <c r="FOA49" s="66"/>
      <c r="FOB49" s="66"/>
      <c r="FOC49" s="66"/>
      <c r="FOD49" s="66"/>
      <c r="FOE49" s="66"/>
      <c r="FOF49" s="66"/>
      <c r="FOG49" s="66"/>
      <c r="FOH49" s="66"/>
      <c r="FOI49" s="66"/>
      <c r="FOJ49" s="66"/>
      <c r="FOK49" s="66"/>
      <c r="FOL49" s="66"/>
      <c r="FOM49" s="66"/>
      <c r="FON49" s="66"/>
      <c r="FOO49" s="66"/>
      <c r="FOP49" s="66"/>
      <c r="FOQ49" s="66"/>
      <c r="FOR49" s="66"/>
      <c r="FOS49" s="66"/>
      <c r="FOT49" s="66"/>
      <c r="FOU49" s="66"/>
      <c r="FOV49" s="66"/>
      <c r="FOW49" s="66"/>
      <c r="FOX49" s="66"/>
      <c r="FOY49" s="66"/>
      <c r="FOZ49" s="66"/>
      <c r="FPA49" s="66"/>
      <c r="FPB49" s="66"/>
      <c r="FPC49" s="66"/>
      <c r="FPD49" s="66"/>
      <c r="FPE49" s="66"/>
      <c r="FPF49" s="66"/>
      <c r="FPG49" s="66"/>
      <c r="FPH49" s="66"/>
      <c r="FPI49" s="66"/>
      <c r="FPJ49" s="66"/>
      <c r="FPK49" s="66"/>
      <c r="FPL49" s="66"/>
      <c r="FPM49" s="66"/>
      <c r="FPN49" s="66"/>
      <c r="FPO49" s="66"/>
      <c r="FPP49" s="66"/>
      <c r="FPQ49" s="66"/>
      <c r="FPR49" s="66"/>
      <c r="FPS49" s="66"/>
      <c r="FPT49" s="66"/>
      <c r="FPU49" s="66"/>
      <c r="FPV49" s="66"/>
      <c r="FPW49" s="66"/>
      <c r="FPX49" s="66"/>
      <c r="FPY49" s="66"/>
      <c r="FPZ49" s="66"/>
      <c r="FQA49" s="66"/>
      <c r="FQB49" s="66"/>
      <c r="FQC49" s="66"/>
      <c r="FQD49" s="66"/>
      <c r="FQE49" s="66"/>
      <c r="FQF49" s="66"/>
      <c r="FQG49" s="66"/>
      <c r="FQH49" s="66"/>
      <c r="FQI49" s="66"/>
      <c r="FQJ49" s="66"/>
      <c r="FQK49" s="66"/>
      <c r="FQL49" s="66"/>
      <c r="FQM49" s="66"/>
      <c r="FQN49" s="66"/>
      <c r="FQO49" s="66"/>
      <c r="FQP49" s="66"/>
      <c r="FQQ49" s="66"/>
      <c r="FQR49" s="66"/>
      <c r="FQS49" s="66"/>
      <c r="FQT49" s="66"/>
      <c r="FQU49" s="66"/>
      <c r="FQV49" s="66"/>
      <c r="FQW49" s="66"/>
      <c r="FQX49" s="66"/>
      <c r="FQY49" s="66"/>
      <c r="FQZ49" s="66"/>
      <c r="FRA49" s="66"/>
      <c r="FRB49" s="66"/>
      <c r="FRC49" s="66"/>
      <c r="FRD49" s="66"/>
      <c r="FRE49" s="66"/>
      <c r="FRF49" s="66"/>
      <c r="FRG49" s="66"/>
      <c r="FRH49" s="66"/>
      <c r="FRI49" s="66"/>
      <c r="FRJ49" s="66"/>
      <c r="FRK49" s="66"/>
      <c r="FRL49" s="66"/>
      <c r="FRM49" s="66"/>
      <c r="FRN49" s="66"/>
      <c r="FRO49" s="66"/>
      <c r="FRP49" s="66"/>
      <c r="FRQ49" s="66"/>
      <c r="FRR49" s="66"/>
      <c r="FRS49" s="66"/>
      <c r="FRT49" s="66"/>
      <c r="FRU49" s="66"/>
      <c r="FRV49" s="66"/>
      <c r="FRW49" s="66"/>
      <c r="FRX49" s="66"/>
      <c r="FRY49" s="66"/>
      <c r="FRZ49" s="66"/>
      <c r="FSA49" s="66"/>
      <c r="FSB49" s="66"/>
      <c r="FSC49" s="66"/>
      <c r="FSD49" s="66"/>
      <c r="FSE49" s="66"/>
      <c r="FSF49" s="66"/>
      <c r="FSG49" s="66"/>
      <c r="FSH49" s="66"/>
      <c r="FSI49" s="66"/>
      <c r="FSJ49" s="66"/>
      <c r="FSK49" s="66"/>
      <c r="FSL49" s="66"/>
      <c r="FSM49" s="66"/>
      <c r="FSN49" s="66"/>
      <c r="FSO49" s="66"/>
      <c r="FSP49" s="66"/>
      <c r="FSQ49" s="66"/>
      <c r="FSR49" s="66"/>
      <c r="FSS49" s="66"/>
      <c r="FST49" s="66"/>
      <c r="FSU49" s="66"/>
      <c r="FSV49" s="66"/>
      <c r="FSW49" s="66"/>
      <c r="FSX49" s="66"/>
      <c r="FSY49" s="66"/>
      <c r="FSZ49" s="66"/>
      <c r="FTA49" s="66"/>
      <c r="FTB49" s="66"/>
      <c r="FTC49" s="66"/>
      <c r="FTD49" s="66"/>
      <c r="FTE49" s="66"/>
      <c r="FTF49" s="66"/>
      <c r="FTG49" s="66"/>
      <c r="FTH49" s="66"/>
      <c r="FTI49" s="66"/>
      <c r="FTJ49" s="66"/>
      <c r="FTK49" s="66"/>
      <c r="FTL49" s="66"/>
      <c r="FTM49" s="66"/>
      <c r="FTN49" s="66"/>
      <c r="FTO49" s="66"/>
      <c r="FTP49" s="66"/>
      <c r="FTQ49" s="66"/>
      <c r="FTR49" s="66"/>
      <c r="FTS49" s="66"/>
      <c r="FTT49" s="66"/>
      <c r="FTU49" s="66"/>
      <c r="FTV49" s="66"/>
      <c r="FTW49" s="66"/>
      <c r="FTX49" s="66"/>
      <c r="FTY49" s="66"/>
      <c r="FTZ49" s="66"/>
      <c r="FUA49" s="66"/>
      <c r="FUB49" s="66"/>
      <c r="FUC49" s="66"/>
      <c r="FUD49" s="66"/>
      <c r="FUE49" s="66"/>
      <c r="FUF49" s="66"/>
      <c r="FUG49" s="66"/>
      <c r="FUH49" s="66"/>
      <c r="FUI49" s="66"/>
      <c r="FUJ49" s="66"/>
      <c r="FUK49" s="66"/>
      <c r="FUL49" s="66"/>
      <c r="FUM49" s="66"/>
      <c r="FUN49" s="66"/>
      <c r="FUO49" s="66"/>
      <c r="FUP49" s="66"/>
      <c r="FUQ49" s="66"/>
      <c r="FUR49" s="66"/>
      <c r="FUS49" s="66"/>
      <c r="FUT49" s="66"/>
      <c r="FUU49" s="66"/>
      <c r="FUV49" s="66"/>
      <c r="FUW49" s="66"/>
      <c r="FUX49" s="66"/>
      <c r="FUY49" s="66"/>
      <c r="FUZ49" s="66"/>
      <c r="FVA49" s="66"/>
      <c r="FVB49" s="66"/>
      <c r="FVC49" s="66"/>
      <c r="FVD49" s="66"/>
      <c r="FVE49" s="66"/>
      <c r="FVF49" s="66"/>
      <c r="FVG49" s="66"/>
      <c r="FVH49" s="66"/>
      <c r="FVI49" s="66"/>
      <c r="FVJ49" s="66"/>
      <c r="FVK49" s="66"/>
      <c r="FVL49" s="66"/>
      <c r="FVM49" s="66"/>
      <c r="FVN49" s="66"/>
      <c r="FVO49" s="66"/>
      <c r="FVP49" s="66"/>
      <c r="FVQ49" s="66"/>
      <c r="FVR49" s="66"/>
      <c r="FVS49" s="66"/>
      <c r="FVT49" s="66"/>
      <c r="FVU49" s="66"/>
      <c r="FVV49" s="66"/>
      <c r="FVW49" s="66"/>
      <c r="FVX49" s="66"/>
      <c r="FVY49" s="66"/>
      <c r="FVZ49" s="66"/>
      <c r="FWA49" s="66"/>
      <c r="FWB49" s="66"/>
      <c r="FWC49" s="66"/>
      <c r="FWD49" s="66"/>
      <c r="FWE49" s="66"/>
      <c r="FWF49" s="66"/>
      <c r="FWG49" s="66"/>
      <c r="FWH49" s="66"/>
      <c r="FWI49" s="66"/>
      <c r="FWJ49" s="66"/>
      <c r="FWK49" s="66"/>
      <c r="FWL49" s="66"/>
      <c r="FWM49" s="66"/>
      <c r="FWN49" s="66"/>
      <c r="FWO49" s="66"/>
      <c r="FWP49" s="66"/>
      <c r="FWQ49" s="66"/>
      <c r="FWR49" s="66"/>
      <c r="FWS49" s="66"/>
      <c r="FWT49" s="66"/>
      <c r="FWU49" s="66"/>
      <c r="FWV49" s="66"/>
      <c r="FWW49" s="66"/>
      <c r="FWX49" s="66"/>
      <c r="FWY49" s="66"/>
      <c r="FWZ49" s="66"/>
      <c r="FXA49" s="66"/>
      <c r="FXB49" s="66"/>
      <c r="FXC49" s="66"/>
      <c r="FXD49" s="66"/>
      <c r="FXE49" s="66"/>
      <c r="FXF49" s="66"/>
      <c r="FXG49" s="66"/>
      <c r="FXH49" s="66"/>
      <c r="FXI49" s="66"/>
      <c r="FXJ49" s="66"/>
      <c r="FXK49" s="66"/>
      <c r="FXL49" s="66"/>
      <c r="FXM49" s="66"/>
      <c r="FXN49" s="66"/>
      <c r="FXO49" s="66"/>
      <c r="FXP49" s="66"/>
      <c r="FXQ49" s="66"/>
      <c r="FXR49" s="66"/>
      <c r="FXS49" s="66"/>
      <c r="FXT49" s="66"/>
      <c r="FXU49" s="66"/>
      <c r="FXV49" s="66"/>
      <c r="FXW49" s="66"/>
      <c r="FXX49" s="66"/>
      <c r="FXY49" s="66"/>
      <c r="FXZ49" s="66"/>
      <c r="FYA49" s="66"/>
      <c r="FYB49" s="66"/>
      <c r="FYC49" s="66"/>
      <c r="FYD49" s="66"/>
      <c r="FYE49" s="66"/>
      <c r="FYF49" s="66"/>
      <c r="FYG49" s="66"/>
      <c r="FYH49" s="66"/>
      <c r="FYI49" s="66"/>
      <c r="FYJ49" s="66"/>
      <c r="FYK49" s="66"/>
      <c r="FYL49" s="66"/>
      <c r="FYM49" s="66"/>
      <c r="FYN49" s="66"/>
      <c r="FYO49" s="66"/>
      <c r="FYP49" s="66"/>
      <c r="FYQ49" s="66"/>
      <c r="FYR49" s="66"/>
      <c r="FYS49" s="66"/>
      <c r="FYT49" s="66"/>
      <c r="FYU49" s="66"/>
      <c r="FYV49" s="66"/>
      <c r="FYW49" s="66"/>
      <c r="FYX49" s="66"/>
      <c r="FYY49" s="66"/>
      <c r="FYZ49" s="66"/>
      <c r="FZA49" s="66"/>
      <c r="FZB49" s="66"/>
      <c r="FZC49" s="66"/>
      <c r="FZD49" s="66"/>
      <c r="FZE49" s="66"/>
      <c r="FZF49" s="66"/>
      <c r="FZG49" s="66"/>
      <c r="FZH49" s="66"/>
      <c r="FZI49" s="66"/>
      <c r="FZJ49" s="66"/>
      <c r="FZK49" s="66"/>
      <c r="FZL49" s="66"/>
      <c r="FZM49" s="66"/>
      <c r="FZN49" s="66"/>
      <c r="FZO49" s="66"/>
      <c r="FZP49" s="66"/>
      <c r="FZQ49" s="66"/>
      <c r="FZR49" s="66"/>
      <c r="FZS49" s="66"/>
      <c r="FZT49" s="66"/>
      <c r="FZU49" s="66"/>
      <c r="FZV49" s="66"/>
      <c r="FZW49" s="66"/>
      <c r="FZX49" s="66"/>
      <c r="FZY49" s="66"/>
      <c r="FZZ49" s="66"/>
      <c r="GAA49" s="66"/>
      <c r="GAB49" s="66"/>
      <c r="GAC49" s="66"/>
      <c r="GAD49" s="66"/>
      <c r="GAE49" s="66"/>
      <c r="GAF49" s="66"/>
      <c r="GAG49" s="66"/>
      <c r="GAH49" s="66"/>
      <c r="GAI49" s="66"/>
      <c r="GAJ49" s="66"/>
      <c r="GAK49" s="66"/>
      <c r="GAL49" s="66"/>
      <c r="GAM49" s="66"/>
      <c r="GAN49" s="66"/>
      <c r="GAO49" s="66"/>
      <c r="GAP49" s="66"/>
      <c r="GAQ49" s="66"/>
      <c r="GAR49" s="66"/>
      <c r="GAS49" s="66"/>
      <c r="GAT49" s="66"/>
      <c r="GAU49" s="66"/>
      <c r="GAV49" s="66"/>
      <c r="GAW49" s="66"/>
      <c r="GAX49" s="66"/>
      <c r="GAY49" s="66"/>
      <c r="GAZ49" s="66"/>
      <c r="GBA49" s="66"/>
      <c r="GBB49" s="66"/>
      <c r="GBC49" s="66"/>
      <c r="GBD49" s="66"/>
      <c r="GBE49" s="66"/>
      <c r="GBF49" s="66"/>
      <c r="GBG49" s="66"/>
      <c r="GBH49" s="66"/>
      <c r="GBI49" s="66"/>
      <c r="GBJ49" s="66"/>
      <c r="GBK49" s="66"/>
      <c r="GBL49" s="66"/>
      <c r="GBM49" s="66"/>
      <c r="GBN49" s="66"/>
      <c r="GBO49" s="66"/>
      <c r="GBP49" s="66"/>
      <c r="GBQ49" s="66"/>
      <c r="GBR49" s="66"/>
      <c r="GBS49" s="66"/>
      <c r="GBT49" s="66"/>
      <c r="GBU49" s="66"/>
      <c r="GBV49" s="66"/>
      <c r="GBW49" s="66"/>
      <c r="GBX49" s="66"/>
      <c r="GBY49" s="66"/>
      <c r="GBZ49" s="66"/>
      <c r="GCA49" s="66"/>
      <c r="GCB49" s="66"/>
      <c r="GCC49" s="66"/>
      <c r="GCD49" s="66"/>
      <c r="GCE49" s="66"/>
      <c r="GCF49" s="66"/>
      <c r="GCG49" s="66"/>
      <c r="GCH49" s="66"/>
      <c r="GCI49" s="66"/>
      <c r="GCJ49" s="66"/>
      <c r="GCK49" s="66"/>
      <c r="GCL49" s="66"/>
      <c r="GCM49" s="66"/>
      <c r="GCN49" s="66"/>
      <c r="GCO49" s="66"/>
      <c r="GCP49" s="66"/>
      <c r="GCQ49" s="66"/>
      <c r="GCR49" s="66"/>
      <c r="GCS49" s="66"/>
      <c r="GCT49" s="66"/>
      <c r="GCU49" s="66"/>
      <c r="GCV49" s="66"/>
      <c r="GCW49" s="66"/>
      <c r="GCX49" s="66"/>
      <c r="GCY49" s="66"/>
      <c r="GCZ49" s="66"/>
      <c r="GDA49" s="66"/>
      <c r="GDB49" s="66"/>
      <c r="GDC49" s="66"/>
      <c r="GDD49" s="66"/>
      <c r="GDE49" s="66"/>
      <c r="GDF49" s="66"/>
      <c r="GDG49" s="66"/>
      <c r="GDH49" s="66"/>
      <c r="GDI49" s="66"/>
      <c r="GDJ49" s="66"/>
      <c r="GDK49" s="66"/>
      <c r="GDL49" s="66"/>
      <c r="GDM49" s="66"/>
      <c r="GDN49" s="66"/>
      <c r="GDO49" s="66"/>
      <c r="GDP49" s="66"/>
      <c r="GDQ49" s="66"/>
      <c r="GDR49" s="66"/>
      <c r="GDS49" s="66"/>
      <c r="GDT49" s="66"/>
      <c r="GDU49" s="66"/>
      <c r="GDV49" s="66"/>
      <c r="GDW49" s="66"/>
      <c r="GDX49" s="66"/>
      <c r="GDY49" s="66"/>
      <c r="GDZ49" s="66"/>
      <c r="GEA49" s="66"/>
      <c r="GEB49" s="66"/>
      <c r="GEC49" s="66"/>
      <c r="GED49" s="66"/>
      <c r="GEE49" s="66"/>
      <c r="GEF49" s="66"/>
      <c r="GEG49" s="66"/>
      <c r="GEH49" s="66"/>
      <c r="GEI49" s="66"/>
      <c r="GEJ49" s="66"/>
      <c r="GEK49" s="66"/>
      <c r="GEL49" s="66"/>
      <c r="GEM49" s="66"/>
      <c r="GEN49" s="66"/>
      <c r="GEO49" s="66"/>
      <c r="GEP49" s="66"/>
      <c r="GEQ49" s="66"/>
      <c r="GER49" s="66"/>
      <c r="GES49" s="66"/>
      <c r="GET49" s="66"/>
      <c r="GEU49" s="66"/>
      <c r="GEV49" s="66"/>
      <c r="GEW49" s="66"/>
      <c r="GEX49" s="66"/>
      <c r="GEY49" s="66"/>
      <c r="GEZ49" s="66"/>
      <c r="GFA49" s="66"/>
      <c r="GFB49" s="66"/>
      <c r="GFC49" s="66"/>
      <c r="GFD49" s="66"/>
      <c r="GFE49" s="66"/>
      <c r="GFF49" s="66"/>
      <c r="GFG49" s="66"/>
      <c r="GFH49" s="66"/>
      <c r="GFI49" s="66"/>
      <c r="GFJ49" s="66"/>
      <c r="GFK49" s="66"/>
      <c r="GFL49" s="66"/>
      <c r="GFM49" s="66"/>
      <c r="GFN49" s="66"/>
      <c r="GFO49" s="66"/>
      <c r="GFP49" s="66"/>
      <c r="GFQ49" s="66"/>
      <c r="GFR49" s="66"/>
      <c r="GFS49" s="66"/>
      <c r="GFT49" s="66"/>
      <c r="GFU49" s="66"/>
      <c r="GFV49" s="66"/>
      <c r="GFW49" s="66"/>
      <c r="GFX49" s="66"/>
      <c r="GFY49" s="66"/>
      <c r="GFZ49" s="66"/>
      <c r="GGA49" s="66"/>
      <c r="GGB49" s="66"/>
      <c r="GGC49" s="66"/>
      <c r="GGD49" s="66"/>
      <c r="GGE49" s="66"/>
      <c r="GGF49" s="66"/>
      <c r="GGG49" s="66"/>
      <c r="GGH49" s="66"/>
      <c r="GGI49" s="66"/>
      <c r="GGJ49" s="66"/>
      <c r="GGK49" s="66"/>
      <c r="GGL49" s="66"/>
      <c r="GGM49" s="66"/>
      <c r="GGN49" s="66"/>
      <c r="GGO49" s="66"/>
      <c r="GGP49" s="66"/>
      <c r="GGQ49" s="66"/>
      <c r="GGR49" s="66"/>
      <c r="GGS49" s="66"/>
      <c r="GGT49" s="66"/>
      <c r="GGU49" s="66"/>
      <c r="GGV49" s="66"/>
      <c r="GGW49" s="66"/>
      <c r="GGX49" s="66"/>
      <c r="GGY49" s="66"/>
      <c r="GGZ49" s="66"/>
      <c r="GHA49" s="66"/>
      <c r="GHB49" s="66"/>
      <c r="GHC49" s="66"/>
      <c r="GHD49" s="66"/>
      <c r="GHE49" s="66"/>
      <c r="GHF49" s="66"/>
      <c r="GHG49" s="66"/>
      <c r="GHH49" s="66"/>
      <c r="GHI49" s="66"/>
      <c r="GHJ49" s="66"/>
      <c r="GHK49" s="66"/>
      <c r="GHL49" s="66"/>
      <c r="GHM49" s="66"/>
      <c r="GHN49" s="66"/>
      <c r="GHO49" s="66"/>
      <c r="GHP49" s="66"/>
      <c r="GHQ49" s="66"/>
      <c r="GHR49" s="66"/>
      <c r="GHS49" s="66"/>
      <c r="GHT49" s="66"/>
      <c r="GHU49" s="66"/>
      <c r="GHV49" s="66"/>
      <c r="GHW49" s="66"/>
      <c r="GHX49" s="66"/>
      <c r="GHY49" s="66"/>
      <c r="GHZ49" s="66"/>
      <c r="GIA49" s="66"/>
      <c r="GIB49" s="66"/>
      <c r="GIC49" s="66"/>
      <c r="GID49" s="66"/>
      <c r="GIE49" s="66"/>
      <c r="GIF49" s="66"/>
      <c r="GIG49" s="66"/>
      <c r="GIH49" s="66"/>
      <c r="GII49" s="66"/>
      <c r="GIJ49" s="66"/>
      <c r="GIK49" s="66"/>
      <c r="GIL49" s="66"/>
      <c r="GIM49" s="66"/>
      <c r="GIN49" s="66"/>
      <c r="GIO49" s="66"/>
      <c r="GIP49" s="66"/>
      <c r="GIQ49" s="66"/>
      <c r="GIR49" s="66"/>
      <c r="GIS49" s="66"/>
      <c r="GIT49" s="66"/>
      <c r="GIU49" s="66"/>
      <c r="GIV49" s="66"/>
      <c r="GIW49" s="66"/>
      <c r="GIX49" s="66"/>
      <c r="GIY49" s="66"/>
      <c r="GIZ49" s="66"/>
      <c r="GJA49" s="66"/>
      <c r="GJB49" s="66"/>
      <c r="GJC49" s="66"/>
      <c r="GJD49" s="66"/>
      <c r="GJE49" s="66"/>
      <c r="GJF49" s="66"/>
      <c r="GJG49" s="66"/>
      <c r="GJH49" s="66"/>
      <c r="GJI49" s="66"/>
      <c r="GJJ49" s="66"/>
      <c r="GJK49" s="66"/>
      <c r="GJL49" s="66"/>
      <c r="GJM49" s="66"/>
      <c r="GJN49" s="66"/>
      <c r="GJO49" s="66"/>
      <c r="GJP49" s="66"/>
      <c r="GJQ49" s="66"/>
      <c r="GJR49" s="66"/>
      <c r="GJS49" s="66"/>
      <c r="GJT49" s="66"/>
      <c r="GJU49" s="66"/>
      <c r="GJV49" s="66"/>
      <c r="GJW49" s="66"/>
      <c r="GJX49" s="66"/>
      <c r="GJY49" s="66"/>
      <c r="GJZ49" s="66"/>
      <c r="GKA49" s="66"/>
      <c r="GKB49" s="66"/>
      <c r="GKC49" s="66"/>
      <c r="GKD49" s="66"/>
      <c r="GKE49" s="66"/>
      <c r="GKF49" s="66"/>
      <c r="GKG49" s="66"/>
      <c r="GKH49" s="66"/>
      <c r="GKI49" s="66"/>
      <c r="GKJ49" s="66"/>
      <c r="GKK49" s="66"/>
      <c r="GKL49" s="66"/>
      <c r="GKM49" s="66"/>
      <c r="GKN49" s="66"/>
      <c r="GKO49" s="66"/>
      <c r="GKP49" s="66"/>
      <c r="GKQ49" s="66"/>
      <c r="GKR49" s="66"/>
      <c r="GKS49" s="66"/>
      <c r="GKT49" s="66"/>
      <c r="GKU49" s="66"/>
      <c r="GKV49" s="66"/>
      <c r="GKW49" s="66"/>
      <c r="GKX49" s="66"/>
      <c r="GKY49" s="66"/>
      <c r="GKZ49" s="66"/>
      <c r="GLA49" s="66"/>
      <c r="GLB49" s="66"/>
      <c r="GLC49" s="66"/>
      <c r="GLD49" s="66"/>
      <c r="GLE49" s="66"/>
      <c r="GLF49" s="66"/>
      <c r="GLG49" s="66"/>
      <c r="GLH49" s="66"/>
      <c r="GLI49" s="66"/>
      <c r="GLJ49" s="66"/>
      <c r="GLK49" s="66"/>
      <c r="GLL49" s="66"/>
      <c r="GLM49" s="66"/>
      <c r="GLN49" s="66"/>
      <c r="GLO49" s="66"/>
      <c r="GLP49" s="66"/>
      <c r="GLQ49" s="66"/>
      <c r="GLR49" s="66"/>
      <c r="GLS49" s="66"/>
      <c r="GLT49" s="66"/>
      <c r="GLU49" s="66"/>
      <c r="GLV49" s="66"/>
      <c r="GLW49" s="66"/>
      <c r="GLX49" s="66"/>
      <c r="GLY49" s="66"/>
      <c r="GLZ49" s="66"/>
      <c r="GMA49" s="66"/>
      <c r="GMB49" s="66"/>
      <c r="GMC49" s="66"/>
      <c r="GMD49" s="66"/>
      <c r="GME49" s="66"/>
      <c r="GMF49" s="66"/>
      <c r="GMG49" s="66"/>
      <c r="GMH49" s="66"/>
      <c r="GMI49" s="66"/>
      <c r="GMJ49" s="66"/>
      <c r="GMK49" s="66"/>
      <c r="GML49" s="66"/>
      <c r="GMM49" s="66"/>
      <c r="GMN49" s="66"/>
      <c r="GMO49" s="66"/>
      <c r="GMP49" s="66"/>
      <c r="GMQ49" s="66"/>
      <c r="GMR49" s="66"/>
      <c r="GMS49" s="66"/>
      <c r="GMT49" s="66"/>
      <c r="GMU49" s="66"/>
      <c r="GMV49" s="66"/>
      <c r="GMW49" s="66"/>
      <c r="GMX49" s="66"/>
      <c r="GMY49" s="66"/>
      <c r="GMZ49" s="66"/>
      <c r="GNA49" s="66"/>
      <c r="GNB49" s="66"/>
      <c r="GNC49" s="66"/>
      <c r="GND49" s="66"/>
      <c r="GNE49" s="66"/>
      <c r="GNF49" s="66"/>
      <c r="GNG49" s="66"/>
      <c r="GNH49" s="66"/>
      <c r="GNI49" s="66"/>
      <c r="GNJ49" s="66"/>
      <c r="GNK49" s="66"/>
      <c r="GNL49" s="66"/>
      <c r="GNM49" s="66"/>
      <c r="GNN49" s="66"/>
      <c r="GNO49" s="66"/>
      <c r="GNP49" s="66"/>
      <c r="GNQ49" s="66"/>
      <c r="GNR49" s="66"/>
      <c r="GNS49" s="66"/>
      <c r="GNT49" s="66"/>
      <c r="GNU49" s="66"/>
      <c r="GNV49" s="66"/>
      <c r="GNW49" s="66"/>
      <c r="GNX49" s="66"/>
      <c r="GNY49" s="66"/>
      <c r="GNZ49" s="66"/>
      <c r="GOA49" s="66"/>
      <c r="GOB49" s="66"/>
      <c r="GOC49" s="66"/>
      <c r="GOD49" s="66"/>
      <c r="GOE49" s="66"/>
      <c r="GOF49" s="66"/>
      <c r="GOG49" s="66"/>
      <c r="GOH49" s="66"/>
      <c r="GOI49" s="66"/>
      <c r="GOJ49" s="66"/>
      <c r="GOK49" s="66"/>
      <c r="GOL49" s="66"/>
      <c r="GOM49" s="66"/>
      <c r="GON49" s="66"/>
      <c r="GOO49" s="66"/>
      <c r="GOP49" s="66"/>
      <c r="GOQ49" s="66"/>
      <c r="GOR49" s="66"/>
      <c r="GOS49" s="66"/>
      <c r="GOT49" s="66"/>
      <c r="GOU49" s="66"/>
      <c r="GOV49" s="66"/>
      <c r="GOW49" s="66"/>
      <c r="GOX49" s="66"/>
      <c r="GOY49" s="66"/>
      <c r="GOZ49" s="66"/>
      <c r="GPA49" s="66"/>
      <c r="GPB49" s="66"/>
      <c r="GPC49" s="66"/>
      <c r="GPD49" s="66"/>
      <c r="GPE49" s="66"/>
      <c r="GPF49" s="66"/>
      <c r="GPG49" s="66"/>
      <c r="GPH49" s="66"/>
      <c r="GPI49" s="66"/>
      <c r="GPJ49" s="66"/>
      <c r="GPK49" s="66"/>
      <c r="GPL49" s="66"/>
      <c r="GPM49" s="66"/>
      <c r="GPN49" s="66"/>
      <c r="GPO49" s="66"/>
      <c r="GPP49" s="66"/>
      <c r="GPQ49" s="66"/>
      <c r="GPR49" s="66"/>
      <c r="GPS49" s="66"/>
      <c r="GPT49" s="66"/>
      <c r="GPU49" s="66"/>
      <c r="GPV49" s="66"/>
      <c r="GPW49" s="66"/>
      <c r="GPX49" s="66"/>
      <c r="GPY49" s="66"/>
      <c r="GPZ49" s="66"/>
      <c r="GQA49" s="66"/>
      <c r="GQB49" s="66"/>
      <c r="GQC49" s="66"/>
      <c r="GQD49" s="66"/>
      <c r="GQE49" s="66"/>
      <c r="GQF49" s="66"/>
      <c r="GQG49" s="66"/>
      <c r="GQH49" s="66"/>
      <c r="GQI49" s="66"/>
      <c r="GQJ49" s="66"/>
      <c r="GQK49" s="66"/>
      <c r="GQL49" s="66"/>
      <c r="GQM49" s="66"/>
      <c r="GQN49" s="66"/>
      <c r="GQO49" s="66"/>
      <c r="GQP49" s="66"/>
      <c r="GQQ49" s="66"/>
      <c r="GQR49" s="66"/>
      <c r="GQS49" s="66"/>
      <c r="GQT49" s="66"/>
      <c r="GQU49" s="66"/>
      <c r="GQV49" s="66"/>
      <c r="GQW49" s="66"/>
      <c r="GQX49" s="66"/>
      <c r="GQY49" s="66"/>
      <c r="GQZ49" s="66"/>
      <c r="GRA49" s="66"/>
      <c r="GRB49" s="66"/>
      <c r="GRC49" s="66"/>
      <c r="GRD49" s="66"/>
      <c r="GRE49" s="66"/>
      <c r="GRF49" s="66"/>
      <c r="GRG49" s="66"/>
      <c r="GRH49" s="66"/>
      <c r="GRI49" s="66"/>
      <c r="GRJ49" s="66"/>
      <c r="GRK49" s="66"/>
      <c r="GRL49" s="66"/>
      <c r="GRM49" s="66"/>
      <c r="GRN49" s="66"/>
      <c r="GRO49" s="66"/>
      <c r="GRP49" s="66"/>
      <c r="GRQ49" s="66"/>
      <c r="GRR49" s="66"/>
      <c r="GRS49" s="66"/>
      <c r="GRT49" s="66"/>
      <c r="GRU49" s="66"/>
      <c r="GRV49" s="66"/>
      <c r="GRW49" s="66"/>
      <c r="GRX49" s="66"/>
      <c r="GRY49" s="66"/>
      <c r="GRZ49" s="66"/>
      <c r="GSA49" s="66"/>
      <c r="GSB49" s="66"/>
      <c r="GSC49" s="66"/>
      <c r="GSD49" s="66"/>
      <c r="GSE49" s="66"/>
      <c r="GSF49" s="66"/>
      <c r="GSG49" s="66"/>
      <c r="GSH49" s="66"/>
      <c r="GSI49" s="66"/>
      <c r="GSJ49" s="66"/>
      <c r="GSK49" s="66"/>
      <c r="GSL49" s="66"/>
      <c r="GSM49" s="66"/>
      <c r="GSN49" s="66"/>
      <c r="GSO49" s="66"/>
      <c r="GSP49" s="66"/>
      <c r="GSQ49" s="66"/>
      <c r="GSR49" s="66"/>
      <c r="GSS49" s="66"/>
      <c r="GST49" s="66"/>
      <c r="GSU49" s="66"/>
      <c r="GSV49" s="66"/>
      <c r="GSW49" s="66"/>
      <c r="GSX49" s="66"/>
      <c r="GSY49" s="66"/>
      <c r="GSZ49" s="66"/>
      <c r="GTA49" s="66"/>
      <c r="GTB49" s="66"/>
      <c r="GTC49" s="66"/>
      <c r="GTD49" s="66"/>
      <c r="GTE49" s="66"/>
      <c r="GTF49" s="66"/>
      <c r="GTG49" s="66"/>
      <c r="GTH49" s="66"/>
      <c r="GTI49" s="66"/>
      <c r="GTJ49" s="66"/>
      <c r="GTK49" s="66"/>
      <c r="GTL49" s="66"/>
      <c r="GTM49" s="66"/>
      <c r="GTN49" s="66"/>
      <c r="GTO49" s="66"/>
      <c r="GTP49" s="66"/>
      <c r="GTQ49" s="66"/>
      <c r="GTR49" s="66"/>
      <c r="GTS49" s="66"/>
      <c r="GTT49" s="66"/>
      <c r="GTU49" s="66"/>
      <c r="GTV49" s="66"/>
      <c r="GTW49" s="66"/>
      <c r="GTX49" s="66"/>
      <c r="GTY49" s="66"/>
      <c r="GTZ49" s="66"/>
      <c r="GUA49" s="66"/>
      <c r="GUB49" s="66"/>
      <c r="GUC49" s="66"/>
      <c r="GUD49" s="66"/>
      <c r="GUE49" s="66"/>
      <c r="GUF49" s="66"/>
      <c r="GUG49" s="66"/>
      <c r="GUH49" s="66"/>
      <c r="GUI49" s="66"/>
      <c r="GUJ49" s="66"/>
      <c r="GUK49" s="66"/>
      <c r="GUL49" s="66"/>
      <c r="GUM49" s="66"/>
      <c r="GUN49" s="66"/>
      <c r="GUO49" s="66"/>
      <c r="GUP49" s="66"/>
      <c r="GUQ49" s="66"/>
      <c r="GUR49" s="66"/>
      <c r="GUS49" s="66"/>
      <c r="GUT49" s="66"/>
      <c r="GUU49" s="66"/>
      <c r="GUV49" s="66"/>
      <c r="GUW49" s="66"/>
      <c r="GUX49" s="66"/>
      <c r="GUY49" s="66"/>
      <c r="GUZ49" s="66"/>
      <c r="GVA49" s="66"/>
      <c r="GVB49" s="66"/>
      <c r="GVC49" s="66"/>
      <c r="GVD49" s="66"/>
      <c r="GVE49" s="66"/>
      <c r="GVF49" s="66"/>
      <c r="GVG49" s="66"/>
      <c r="GVH49" s="66"/>
      <c r="GVI49" s="66"/>
      <c r="GVJ49" s="66"/>
      <c r="GVK49" s="66"/>
      <c r="GVL49" s="66"/>
      <c r="GVM49" s="66"/>
      <c r="GVN49" s="66"/>
      <c r="GVO49" s="66"/>
      <c r="GVP49" s="66"/>
      <c r="GVQ49" s="66"/>
      <c r="GVR49" s="66"/>
      <c r="GVS49" s="66"/>
      <c r="GVT49" s="66"/>
      <c r="GVU49" s="66"/>
      <c r="GVV49" s="66"/>
      <c r="GVW49" s="66"/>
      <c r="GVX49" s="66"/>
      <c r="GVY49" s="66"/>
      <c r="GVZ49" s="66"/>
      <c r="GWA49" s="66"/>
      <c r="GWB49" s="66"/>
      <c r="GWC49" s="66"/>
      <c r="GWD49" s="66"/>
      <c r="GWE49" s="66"/>
      <c r="GWF49" s="66"/>
      <c r="GWG49" s="66"/>
      <c r="GWH49" s="66"/>
      <c r="GWI49" s="66"/>
      <c r="GWJ49" s="66"/>
      <c r="GWK49" s="66"/>
      <c r="GWL49" s="66"/>
      <c r="GWM49" s="66"/>
      <c r="GWN49" s="66"/>
      <c r="GWO49" s="66"/>
      <c r="GWP49" s="66"/>
      <c r="GWQ49" s="66"/>
      <c r="GWR49" s="66"/>
      <c r="GWS49" s="66"/>
      <c r="GWT49" s="66"/>
      <c r="GWU49" s="66"/>
      <c r="GWV49" s="66"/>
      <c r="GWW49" s="66"/>
      <c r="GWX49" s="66"/>
      <c r="GWY49" s="66"/>
      <c r="GWZ49" s="66"/>
      <c r="GXA49" s="66"/>
      <c r="GXB49" s="66"/>
      <c r="GXC49" s="66"/>
      <c r="GXD49" s="66"/>
      <c r="GXE49" s="66"/>
      <c r="GXF49" s="66"/>
      <c r="GXG49" s="66"/>
      <c r="GXH49" s="66"/>
      <c r="GXI49" s="66"/>
      <c r="GXJ49" s="66"/>
      <c r="GXK49" s="66"/>
      <c r="GXL49" s="66"/>
      <c r="GXM49" s="66"/>
      <c r="GXN49" s="66"/>
      <c r="GXO49" s="66"/>
      <c r="GXP49" s="66"/>
      <c r="GXQ49" s="66"/>
      <c r="GXR49" s="66"/>
      <c r="GXS49" s="66"/>
      <c r="GXT49" s="66"/>
      <c r="GXU49" s="66"/>
      <c r="GXV49" s="66"/>
      <c r="GXW49" s="66"/>
      <c r="GXX49" s="66"/>
      <c r="GXY49" s="66"/>
      <c r="GXZ49" s="66"/>
      <c r="GYA49" s="66"/>
      <c r="GYB49" s="66"/>
      <c r="GYC49" s="66"/>
      <c r="GYD49" s="66"/>
      <c r="GYE49" s="66"/>
      <c r="GYF49" s="66"/>
      <c r="GYG49" s="66"/>
      <c r="GYH49" s="66"/>
      <c r="GYI49" s="66"/>
      <c r="GYJ49" s="66"/>
      <c r="GYK49" s="66"/>
      <c r="GYL49" s="66"/>
      <c r="GYM49" s="66"/>
      <c r="GYN49" s="66"/>
      <c r="GYO49" s="66"/>
      <c r="GYP49" s="66"/>
      <c r="GYQ49" s="66"/>
      <c r="GYR49" s="66"/>
      <c r="GYS49" s="66"/>
      <c r="GYT49" s="66"/>
      <c r="GYU49" s="66"/>
      <c r="GYV49" s="66"/>
      <c r="GYW49" s="66"/>
      <c r="GYX49" s="66"/>
      <c r="GYY49" s="66"/>
      <c r="GYZ49" s="66"/>
      <c r="GZA49" s="66"/>
      <c r="GZB49" s="66"/>
      <c r="GZC49" s="66"/>
      <c r="GZD49" s="66"/>
      <c r="GZE49" s="66"/>
      <c r="GZF49" s="66"/>
      <c r="GZG49" s="66"/>
      <c r="GZH49" s="66"/>
      <c r="GZI49" s="66"/>
      <c r="GZJ49" s="66"/>
      <c r="GZK49" s="66"/>
      <c r="GZL49" s="66"/>
      <c r="GZM49" s="66"/>
      <c r="GZN49" s="66"/>
      <c r="GZO49" s="66"/>
      <c r="GZP49" s="66"/>
      <c r="GZQ49" s="66"/>
      <c r="GZR49" s="66"/>
      <c r="GZS49" s="66"/>
      <c r="GZT49" s="66"/>
      <c r="GZU49" s="66"/>
      <c r="GZV49" s="66"/>
      <c r="GZW49" s="66"/>
      <c r="GZX49" s="66"/>
      <c r="GZY49" s="66"/>
      <c r="GZZ49" s="66"/>
      <c r="HAA49" s="66"/>
      <c r="HAB49" s="66"/>
      <c r="HAC49" s="66"/>
      <c r="HAD49" s="66"/>
      <c r="HAE49" s="66"/>
      <c r="HAF49" s="66"/>
      <c r="HAG49" s="66"/>
      <c r="HAH49" s="66"/>
      <c r="HAI49" s="66"/>
      <c r="HAJ49" s="66"/>
      <c r="HAK49" s="66"/>
      <c r="HAL49" s="66"/>
      <c r="HAM49" s="66"/>
      <c r="HAN49" s="66"/>
      <c r="HAO49" s="66"/>
      <c r="HAP49" s="66"/>
      <c r="HAQ49" s="66"/>
      <c r="HAR49" s="66"/>
      <c r="HAS49" s="66"/>
      <c r="HAT49" s="66"/>
      <c r="HAU49" s="66"/>
      <c r="HAV49" s="66"/>
      <c r="HAW49" s="66"/>
      <c r="HAX49" s="66"/>
      <c r="HAY49" s="66"/>
      <c r="HAZ49" s="66"/>
      <c r="HBA49" s="66"/>
      <c r="HBB49" s="66"/>
      <c r="HBC49" s="66"/>
      <c r="HBD49" s="66"/>
      <c r="HBE49" s="66"/>
      <c r="HBF49" s="66"/>
      <c r="HBG49" s="66"/>
      <c r="HBH49" s="66"/>
      <c r="HBI49" s="66"/>
      <c r="HBJ49" s="66"/>
      <c r="HBK49" s="66"/>
      <c r="HBL49" s="66"/>
      <c r="HBM49" s="66"/>
      <c r="HBN49" s="66"/>
      <c r="HBO49" s="66"/>
      <c r="HBP49" s="66"/>
      <c r="HBQ49" s="66"/>
      <c r="HBR49" s="66"/>
      <c r="HBS49" s="66"/>
      <c r="HBT49" s="66"/>
      <c r="HBU49" s="66"/>
      <c r="HBV49" s="66"/>
      <c r="HBW49" s="66"/>
      <c r="HBX49" s="66"/>
      <c r="HBY49" s="66"/>
      <c r="HBZ49" s="66"/>
      <c r="HCA49" s="66"/>
      <c r="HCB49" s="66"/>
      <c r="HCC49" s="66"/>
      <c r="HCD49" s="66"/>
      <c r="HCE49" s="66"/>
      <c r="HCF49" s="66"/>
      <c r="HCG49" s="66"/>
      <c r="HCH49" s="66"/>
      <c r="HCI49" s="66"/>
      <c r="HCJ49" s="66"/>
      <c r="HCK49" s="66"/>
      <c r="HCL49" s="66"/>
      <c r="HCM49" s="66"/>
      <c r="HCN49" s="66"/>
      <c r="HCO49" s="66"/>
      <c r="HCP49" s="66"/>
      <c r="HCQ49" s="66"/>
      <c r="HCR49" s="66"/>
      <c r="HCS49" s="66"/>
      <c r="HCT49" s="66"/>
      <c r="HCU49" s="66"/>
      <c r="HCV49" s="66"/>
      <c r="HCW49" s="66"/>
      <c r="HCX49" s="66"/>
      <c r="HCY49" s="66"/>
      <c r="HCZ49" s="66"/>
      <c r="HDA49" s="66"/>
      <c r="HDB49" s="66"/>
      <c r="HDC49" s="66"/>
      <c r="HDD49" s="66"/>
      <c r="HDE49" s="66"/>
      <c r="HDF49" s="66"/>
      <c r="HDG49" s="66"/>
      <c r="HDH49" s="66"/>
      <c r="HDI49" s="66"/>
      <c r="HDJ49" s="66"/>
      <c r="HDK49" s="66"/>
      <c r="HDL49" s="66"/>
      <c r="HDM49" s="66"/>
      <c r="HDN49" s="66"/>
      <c r="HDO49" s="66"/>
      <c r="HDP49" s="66"/>
      <c r="HDQ49" s="66"/>
      <c r="HDR49" s="66"/>
      <c r="HDS49" s="66"/>
      <c r="HDT49" s="66"/>
      <c r="HDU49" s="66"/>
      <c r="HDV49" s="66"/>
      <c r="HDW49" s="66"/>
      <c r="HDX49" s="66"/>
      <c r="HDY49" s="66"/>
      <c r="HDZ49" s="66"/>
      <c r="HEA49" s="66"/>
      <c r="HEB49" s="66"/>
      <c r="HEC49" s="66"/>
      <c r="HED49" s="66"/>
      <c r="HEE49" s="66"/>
      <c r="HEF49" s="66"/>
      <c r="HEG49" s="66"/>
      <c r="HEH49" s="66"/>
      <c r="HEI49" s="66"/>
      <c r="HEJ49" s="66"/>
      <c r="HEK49" s="66"/>
      <c r="HEL49" s="66"/>
      <c r="HEM49" s="66"/>
      <c r="HEN49" s="66"/>
      <c r="HEO49" s="66"/>
      <c r="HEP49" s="66"/>
      <c r="HEQ49" s="66"/>
      <c r="HER49" s="66"/>
      <c r="HES49" s="66"/>
      <c r="HET49" s="66"/>
      <c r="HEU49" s="66"/>
      <c r="HEV49" s="66"/>
      <c r="HEW49" s="66"/>
      <c r="HEX49" s="66"/>
      <c r="HEY49" s="66"/>
      <c r="HEZ49" s="66"/>
      <c r="HFA49" s="66"/>
      <c r="HFB49" s="66"/>
      <c r="HFC49" s="66"/>
      <c r="HFD49" s="66"/>
      <c r="HFE49" s="66"/>
      <c r="HFF49" s="66"/>
      <c r="HFG49" s="66"/>
      <c r="HFH49" s="66"/>
      <c r="HFI49" s="66"/>
      <c r="HFJ49" s="66"/>
      <c r="HFK49" s="66"/>
      <c r="HFL49" s="66"/>
      <c r="HFM49" s="66"/>
      <c r="HFN49" s="66"/>
      <c r="HFO49" s="66"/>
      <c r="HFP49" s="66"/>
      <c r="HFQ49" s="66"/>
      <c r="HFR49" s="66"/>
      <c r="HFS49" s="66"/>
      <c r="HFT49" s="66"/>
      <c r="HFU49" s="66"/>
      <c r="HFV49" s="66"/>
      <c r="HFW49" s="66"/>
      <c r="HFX49" s="66"/>
      <c r="HFY49" s="66"/>
      <c r="HFZ49" s="66"/>
      <c r="HGA49" s="66"/>
      <c r="HGB49" s="66"/>
      <c r="HGC49" s="66"/>
      <c r="HGD49" s="66"/>
      <c r="HGE49" s="66"/>
      <c r="HGF49" s="66"/>
      <c r="HGG49" s="66"/>
      <c r="HGH49" s="66"/>
      <c r="HGI49" s="66"/>
      <c r="HGJ49" s="66"/>
      <c r="HGK49" s="66"/>
      <c r="HGL49" s="66"/>
      <c r="HGM49" s="66"/>
      <c r="HGN49" s="66"/>
      <c r="HGO49" s="66"/>
      <c r="HGP49" s="66"/>
      <c r="HGQ49" s="66"/>
      <c r="HGR49" s="66"/>
      <c r="HGS49" s="66"/>
      <c r="HGT49" s="66"/>
      <c r="HGU49" s="66"/>
      <c r="HGV49" s="66"/>
      <c r="HGW49" s="66"/>
      <c r="HGX49" s="66"/>
      <c r="HGY49" s="66"/>
      <c r="HGZ49" s="66"/>
      <c r="HHA49" s="66"/>
      <c r="HHB49" s="66"/>
      <c r="HHC49" s="66"/>
      <c r="HHD49" s="66"/>
      <c r="HHE49" s="66"/>
      <c r="HHF49" s="66"/>
      <c r="HHG49" s="66"/>
      <c r="HHH49" s="66"/>
      <c r="HHI49" s="66"/>
      <c r="HHJ49" s="66"/>
      <c r="HHK49" s="66"/>
      <c r="HHL49" s="66"/>
      <c r="HHM49" s="66"/>
      <c r="HHN49" s="66"/>
      <c r="HHO49" s="66"/>
      <c r="HHP49" s="66"/>
      <c r="HHQ49" s="66"/>
      <c r="HHR49" s="66"/>
      <c r="HHS49" s="66"/>
      <c r="HHT49" s="66"/>
      <c r="HHU49" s="66"/>
      <c r="HHV49" s="66"/>
      <c r="HHW49" s="66"/>
      <c r="HHX49" s="66"/>
      <c r="HHY49" s="66"/>
      <c r="HHZ49" s="66"/>
      <c r="HIA49" s="66"/>
      <c r="HIB49" s="66"/>
      <c r="HIC49" s="66"/>
      <c r="HID49" s="66"/>
      <c r="HIE49" s="66"/>
      <c r="HIF49" s="66"/>
      <c r="HIG49" s="66"/>
      <c r="HIH49" s="66"/>
      <c r="HII49" s="66"/>
      <c r="HIJ49" s="66"/>
      <c r="HIK49" s="66"/>
      <c r="HIL49" s="66"/>
      <c r="HIM49" s="66"/>
      <c r="HIN49" s="66"/>
      <c r="HIO49" s="66"/>
      <c r="HIP49" s="66"/>
      <c r="HIQ49" s="66"/>
      <c r="HIR49" s="66"/>
      <c r="HIS49" s="66"/>
      <c r="HIT49" s="66"/>
      <c r="HIU49" s="66"/>
      <c r="HIV49" s="66"/>
      <c r="HIW49" s="66"/>
      <c r="HIX49" s="66"/>
      <c r="HIY49" s="66"/>
      <c r="HIZ49" s="66"/>
      <c r="HJA49" s="66"/>
      <c r="HJB49" s="66"/>
      <c r="HJC49" s="66"/>
      <c r="HJD49" s="66"/>
      <c r="HJE49" s="66"/>
      <c r="HJF49" s="66"/>
      <c r="HJG49" s="66"/>
      <c r="HJH49" s="66"/>
      <c r="HJI49" s="66"/>
      <c r="HJJ49" s="66"/>
      <c r="HJK49" s="66"/>
      <c r="HJL49" s="66"/>
      <c r="HJM49" s="66"/>
      <c r="HJN49" s="66"/>
      <c r="HJO49" s="66"/>
      <c r="HJP49" s="66"/>
      <c r="HJQ49" s="66"/>
      <c r="HJR49" s="66"/>
      <c r="HJS49" s="66"/>
      <c r="HJT49" s="66"/>
      <c r="HJU49" s="66"/>
      <c r="HJV49" s="66"/>
      <c r="HJW49" s="66"/>
      <c r="HJX49" s="66"/>
      <c r="HJY49" s="66"/>
      <c r="HJZ49" s="66"/>
      <c r="HKA49" s="66"/>
      <c r="HKB49" s="66"/>
      <c r="HKC49" s="66"/>
      <c r="HKD49" s="66"/>
      <c r="HKE49" s="66"/>
      <c r="HKF49" s="66"/>
      <c r="HKG49" s="66"/>
      <c r="HKH49" s="66"/>
      <c r="HKI49" s="66"/>
      <c r="HKJ49" s="66"/>
      <c r="HKK49" s="66"/>
      <c r="HKL49" s="66"/>
      <c r="HKM49" s="66"/>
      <c r="HKN49" s="66"/>
      <c r="HKO49" s="66"/>
      <c r="HKP49" s="66"/>
      <c r="HKQ49" s="66"/>
      <c r="HKR49" s="66"/>
      <c r="HKS49" s="66"/>
      <c r="HKT49" s="66"/>
      <c r="HKU49" s="66"/>
      <c r="HKV49" s="66"/>
      <c r="HKW49" s="66"/>
      <c r="HKX49" s="66"/>
      <c r="HKY49" s="66"/>
      <c r="HKZ49" s="66"/>
      <c r="HLA49" s="66"/>
      <c r="HLB49" s="66"/>
      <c r="HLC49" s="66"/>
      <c r="HLD49" s="66"/>
      <c r="HLE49" s="66"/>
      <c r="HLF49" s="66"/>
      <c r="HLG49" s="66"/>
      <c r="HLH49" s="66"/>
      <c r="HLI49" s="66"/>
      <c r="HLJ49" s="66"/>
      <c r="HLK49" s="66"/>
      <c r="HLL49" s="66"/>
      <c r="HLM49" s="66"/>
      <c r="HLN49" s="66"/>
      <c r="HLO49" s="66"/>
      <c r="HLP49" s="66"/>
      <c r="HLQ49" s="66"/>
      <c r="HLR49" s="66"/>
      <c r="HLS49" s="66"/>
      <c r="HLT49" s="66"/>
      <c r="HLU49" s="66"/>
      <c r="HLV49" s="66"/>
      <c r="HLW49" s="66"/>
      <c r="HLX49" s="66"/>
      <c r="HLY49" s="66"/>
      <c r="HLZ49" s="66"/>
      <c r="HMA49" s="66"/>
      <c r="HMB49" s="66"/>
      <c r="HMC49" s="66"/>
      <c r="HMD49" s="66"/>
      <c r="HME49" s="66"/>
      <c r="HMF49" s="66"/>
      <c r="HMG49" s="66"/>
      <c r="HMH49" s="66"/>
      <c r="HMI49" s="66"/>
      <c r="HMJ49" s="66"/>
      <c r="HMK49" s="66"/>
      <c r="HML49" s="66"/>
      <c r="HMM49" s="66"/>
      <c r="HMN49" s="66"/>
      <c r="HMO49" s="66"/>
      <c r="HMP49" s="66"/>
      <c r="HMQ49" s="66"/>
      <c r="HMR49" s="66"/>
      <c r="HMS49" s="66"/>
      <c r="HMT49" s="66"/>
      <c r="HMU49" s="66"/>
      <c r="HMV49" s="66"/>
      <c r="HMW49" s="66"/>
      <c r="HMX49" s="66"/>
      <c r="HMY49" s="66"/>
      <c r="HMZ49" s="66"/>
      <c r="HNA49" s="66"/>
      <c r="HNB49" s="66"/>
      <c r="HNC49" s="66"/>
      <c r="HND49" s="66"/>
      <c r="HNE49" s="66"/>
      <c r="HNF49" s="66"/>
      <c r="HNG49" s="66"/>
      <c r="HNH49" s="66"/>
      <c r="HNI49" s="66"/>
      <c r="HNJ49" s="66"/>
      <c r="HNK49" s="66"/>
      <c r="HNL49" s="66"/>
      <c r="HNM49" s="66"/>
      <c r="HNN49" s="66"/>
      <c r="HNO49" s="66"/>
      <c r="HNP49" s="66"/>
      <c r="HNQ49" s="66"/>
      <c r="HNR49" s="66"/>
      <c r="HNS49" s="66"/>
      <c r="HNT49" s="66"/>
      <c r="HNU49" s="66"/>
      <c r="HNV49" s="66"/>
      <c r="HNW49" s="66"/>
      <c r="HNX49" s="66"/>
      <c r="HNY49" s="66"/>
      <c r="HNZ49" s="66"/>
      <c r="HOA49" s="66"/>
      <c r="HOB49" s="66"/>
      <c r="HOC49" s="66"/>
      <c r="HOD49" s="66"/>
      <c r="HOE49" s="66"/>
      <c r="HOF49" s="66"/>
      <c r="HOG49" s="66"/>
      <c r="HOH49" s="66"/>
      <c r="HOI49" s="66"/>
      <c r="HOJ49" s="66"/>
      <c r="HOK49" s="66"/>
      <c r="HOL49" s="66"/>
      <c r="HOM49" s="66"/>
      <c r="HON49" s="66"/>
      <c r="HOO49" s="66"/>
      <c r="HOP49" s="66"/>
      <c r="HOQ49" s="66"/>
      <c r="HOR49" s="66"/>
      <c r="HOS49" s="66"/>
      <c r="HOT49" s="66"/>
      <c r="HOU49" s="66"/>
      <c r="HOV49" s="66"/>
      <c r="HOW49" s="66"/>
      <c r="HOX49" s="66"/>
      <c r="HOY49" s="66"/>
      <c r="HOZ49" s="66"/>
      <c r="HPA49" s="66"/>
      <c r="HPB49" s="66"/>
      <c r="HPC49" s="66"/>
      <c r="HPD49" s="66"/>
      <c r="HPE49" s="66"/>
      <c r="HPF49" s="66"/>
      <c r="HPG49" s="66"/>
      <c r="HPH49" s="66"/>
      <c r="HPI49" s="66"/>
      <c r="HPJ49" s="66"/>
      <c r="HPK49" s="66"/>
      <c r="HPL49" s="66"/>
      <c r="HPM49" s="66"/>
      <c r="HPN49" s="66"/>
      <c r="HPO49" s="66"/>
      <c r="HPP49" s="66"/>
      <c r="HPQ49" s="66"/>
      <c r="HPR49" s="66"/>
      <c r="HPS49" s="66"/>
      <c r="HPT49" s="66"/>
      <c r="HPU49" s="66"/>
      <c r="HPV49" s="66"/>
      <c r="HPW49" s="66"/>
      <c r="HPX49" s="66"/>
      <c r="HPY49" s="66"/>
      <c r="HPZ49" s="66"/>
      <c r="HQA49" s="66"/>
      <c r="HQB49" s="66"/>
      <c r="HQC49" s="66"/>
      <c r="HQD49" s="66"/>
      <c r="HQE49" s="66"/>
      <c r="HQF49" s="66"/>
      <c r="HQG49" s="66"/>
      <c r="HQH49" s="66"/>
      <c r="HQI49" s="66"/>
      <c r="HQJ49" s="66"/>
      <c r="HQK49" s="66"/>
      <c r="HQL49" s="66"/>
      <c r="HQM49" s="66"/>
      <c r="HQN49" s="66"/>
      <c r="HQO49" s="66"/>
      <c r="HQP49" s="66"/>
      <c r="HQQ49" s="66"/>
      <c r="HQR49" s="66"/>
      <c r="HQS49" s="66"/>
      <c r="HQT49" s="66"/>
      <c r="HQU49" s="66"/>
      <c r="HQV49" s="66"/>
      <c r="HQW49" s="66"/>
      <c r="HQX49" s="66"/>
      <c r="HQY49" s="66"/>
      <c r="HQZ49" s="66"/>
      <c r="HRA49" s="66"/>
      <c r="HRB49" s="66"/>
      <c r="HRC49" s="66"/>
      <c r="HRD49" s="66"/>
      <c r="HRE49" s="66"/>
      <c r="HRF49" s="66"/>
      <c r="HRG49" s="66"/>
      <c r="HRH49" s="66"/>
      <c r="HRI49" s="66"/>
      <c r="HRJ49" s="66"/>
      <c r="HRK49" s="66"/>
      <c r="HRL49" s="66"/>
      <c r="HRM49" s="66"/>
      <c r="HRN49" s="66"/>
      <c r="HRO49" s="66"/>
      <c r="HRP49" s="66"/>
      <c r="HRQ49" s="66"/>
      <c r="HRR49" s="66"/>
      <c r="HRS49" s="66"/>
      <c r="HRT49" s="66"/>
      <c r="HRU49" s="66"/>
      <c r="HRV49" s="66"/>
      <c r="HRW49" s="66"/>
      <c r="HRX49" s="66"/>
      <c r="HRY49" s="66"/>
      <c r="HRZ49" s="66"/>
      <c r="HSA49" s="66"/>
      <c r="HSB49" s="66"/>
      <c r="HSC49" s="66"/>
      <c r="HSD49" s="66"/>
      <c r="HSE49" s="66"/>
      <c r="HSF49" s="66"/>
      <c r="HSG49" s="66"/>
      <c r="HSH49" s="66"/>
      <c r="HSI49" s="66"/>
      <c r="HSJ49" s="66"/>
      <c r="HSK49" s="66"/>
      <c r="HSL49" s="66"/>
      <c r="HSM49" s="66"/>
      <c r="HSN49" s="66"/>
      <c r="HSO49" s="66"/>
      <c r="HSP49" s="66"/>
      <c r="HSQ49" s="66"/>
      <c r="HSR49" s="66"/>
      <c r="HSS49" s="66"/>
      <c r="HST49" s="66"/>
      <c r="HSU49" s="66"/>
      <c r="HSV49" s="66"/>
      <c r="HSW49" s="66"/>
      <c r="HSX49" s="66"/>
      <c r="HSY49" s="66"/>
      <c r="HSZ49" s="66"/>
      <c r="HTA49" s="66"/>
      <c r="HTB49" s="66"/>
      <c r="HTC49" s="66"/>
      <c r="HTD49" s="66"/>
      <c r="HTE49" s="66"/>
      <c r="HTF49" s="66"/>
      <c r="HTG49" s="66"/>
      <c r="HTH49" s="66"/>
      <c r="HTI49" s="66"/>
      <c r="HTJ49" s="66"/>
      <c r="HTK49" s="66"/>
      <c r="HTL49" s="66"/>
      <c r="HTM49" s="66"/>
      <c r="HTN49" s="66"/>
      <c r="HTO49" s="66"/>
      <c r="HTP49" s="66"/>
      <c r="HTQ49" s="66"/>
      <c r="HTR49" s="66"/>
      <c r="HTS49" s="66"/>
      <c r="HTT49" s="66"/>
      <c r="HTU49" s="66"/>
      <c r="HTV49" s="66"/>
      <c r="HTW49" s="66"/>
      <c r="HTX49" s="66"/>
      <c r="HTY49" s="66"/>
      <c r="HTZ49" s="66"/>
      <c r="HUA49" s="66"/>
      <c r="HUB49" s="66"/>
      <c r="HUC49" s="66"/>
      <c r="HUD49" s="66"/>
      <c r="HUE49" s="66"/>
      <c r="HUF49" s="66"/>
      <c r="HUG49" s="66"/>
      <c r="HUH49" s="66"/>
      <c r="HUI49" s="66"/>
      <c r="HUJ49" s="66"/>
      <c r="HUK49" s="66"/>
      <c r="HUL49" s="66"/>
      <c r="HUM49" s="66"/>
      <c r="HUN49" s="66"/>
      <c r="HUO49" s="66"/>
      <c r="HUP49" s="66"/>
      <c r="HUQ49" s="66"/>
      <c r="HUR49" s="66"/>
      <c r="HUS49" s="66"/>
      <c r="HUT49" s="66"/>
      <c r="HUU49" s="66"/>
      <c r="HUV49" s="66"/>
      <c r="HUW49" s="66"/>
      <c r="HUX49" s="66"/>
      <c r="HUY49" s="66"/>
      <c r="HUZ49" s="66"/>
      <c r="HVA49" s="66"/>
      <c r="HVB49" s="66"/>
      <c r="HVC49" s="66"/>
      <c r="HVD49" s="66"/>
      <c r="HVE49" s="66"/>
      <c r="HVF49" s="66"/>
      <c r="HVG49" s="66"/>
      <c r="HVH49" s="66"/>
      <c r="HVI49" s="66"/>
      <c r="HVJ49" s="66"/>
      <c r="HVK49" s="66"/>
      <c r="HVL49" s="66"/>
      <c r="HVM49" s="66"/>
      <c r="HVN49" s="66"/>
      <c r="HVO49" s="66"/>
      <c r="HVP49" s="66"/>
      <c r="HVQ49" s="66"/>
      <c r="HVR49" s="66"/>
      <c r="HVS49" s="66"/>
      <c r="HVT49" s="66"/>
      <c r="HVU49" s="66"/>
      <c r="HVV49" s="66"/>
      <c r="HVW49" s="66"/>
      <c r="HVX49" s="66"/>
      <c r="HVY49" s="66"/>
      <c r="HVZ49" s="66"/>
      <c r="HWA49" s="66"/>
      <c r="HWB49" s="66"/>
      <c r="HWC49" s="66"/>
      <c r="HWD49" s="66"/>
      <c r="HWE49" s="66"/>
      <c r="HWF49" s="66"/>
      <c r="HWG49" s="66"/>
      <c r="HWH49" s="66"/>
      <c r="HWI49" s="66"/>
      <c r="HWJ49" s="66"/>
      <c r="HWK49" s="66"/>
      <c r="HWL49" s="66"/>
      <c r="HWM49" s="66"/>
      <c r="HWN49" s="66"/>
      <c r="HWO49" s="66"/>
      <c r="HWP49" s="66"/>
      <c r="HWQ49" s="66"/>
      <c r="HWR49" s="66"/>
      <c r="HWS49" s="66"/>
      <c r="HWT49" s="66"/>
      <c r="HWU49" s="66"/>
      <c r="HWV49" s="66"/>
      <c r="HWW49" s="66"/>
      <c r="HWX49" s="66"/>
      <c r="HWY49" s="66"/>
      <c r="HWZ49" s="66"/>
      <c r="HXA49" s="66"/>
      <c r="HXB49" s="66"/>
      <c r="HXC49" s="66"/>
      <c r="HXD49" s="66"/>
      <c r="HXE49" s="66"/>
      <c r="HXF49" s="66"/>
      <c r="HXG49" s="66"/>
      <c r="HXH49" s="66"/>
      <c r="HXI49" s="66"/>
      <c r="HXJ49" s="66"/>
      <c r="HXK49" s="66"/>
      <c r="HXL49" s="66"/>
      <c r="HXM49" s="66"/>
      <c r="HXN49" s="66"/>
      <c r="HXO49" s="66"/>
      <c r="HXP49" s="66"/>
      <c r="HXQ49" s="66"/>
      <c r="HXR49" s="66"/>
      <c r="HXS49" s="66"/>
      <c r="HXT49" s="66"/>
      <c r="HXU49" s="66"/>
      <c r="HXV49" s="66"/>
      <c r="HXW49" s="66"/>
      <c r="HXX49" s="66"/>
      <c r="HXY49" s="66"/>
      <c r="HXZ49" s="66"/>
      <c r="HYA49" s="66"/>
      <c r="HYB49" s="66"/>
      <c r="HYC49" s="66"/>
      <c r="HYD49" s="66"/>
      <c r="HYE49" s="66"/>
      <c r="HYF49" s="66"/>
      <c r="HYG49" s="66"/>
      <c r="HYH49" s="66"/>
      <c r="HYI49" s="66"/>
      <c r="HYJ49" s="66"/>
      <c r="HYK49" s="66"/>
      <c r="HYL49" s="66"/>
      <c r="HYM49" s="66"/>
      <c r="HYN49" s="66"/>
      <c r="HYO49" s="66"/>
      <c r="HYP49" s="66"/>
      <c r="HYQ49" s="66"/>
      <c r="HYR49" s="66"/>
      <c r="HYS49" s="66"/>
      <c r="HYT49" s="66"/>
      <c r="HYU49" s="66"/>
      <c r="HYV49" s="66"/>
      <c r="HYW49" s="66"/>
      <c r="HYX49" s="66"/>
      <c r="HYY49" s="66"/>
      <c r="HYZ49" s="66"/>
      <c r="HZA49" s="66"/>
      <c r="HZB49" s="66"/>
      <c r="HZC49" s="66"/>
      <c r="HZD49" s="66"/>
      <c r="HZE49" s="66"/>
      <c r="HZF49" s="66"/>
      <c r="HZG49" s="66"/>
      <c r="HZH49" s="66"/>
      <c r="HZI49" s="66"/>
      <c r="HZJ49" s="66"/>
      <c r="HZK49" s="66"/>
      <c r="HZL49" s="66"/>
      <c r="HZM49" s="66"/>
      <c r="HZN49" s="66"/>
      <c r="HZO49" s="66"/>
      <c r="HZP49" s="66"/>
      <c r="HZQ49" s="66"/>
      <c r="HZR49" s="66"/>
      <c r="HZS49" s="66"/>
      <c r="HZT49" s="66"/>
      <c r="HZU49" s="66"/>
      <c r="HZV49" s="66"/>
      <c r="HZW49" s="66"/>
      <c r="HZX49" s="66"/>
      <c r="HZY49" s="66"/>
      <c r="HZZ49" s="66"/>
      <c r="IAA49" s="66"/>
      <c r="IAB49" s="66"/>
      <c r="IAC49" s="66"/>
      <c r="IAD49" s="66"/>
      <c r="IAE49" s="66"/>
      <c r="IAF49" s="66"/>
      <c r="IAG49" s="66"/>
      <c r="IAH49" s="66"/>
      <c r="IAI49" s="66"/>
      <c r="IAJ49" s="66"/>
      <c r="IAK49" s="66"/>
      <c r="IAL49" s="66"/>
      <c r="IAM49" s="66"/>
      <c r="IAN49" s="66"/>
      <c r="IAO49" s="66"/>
      <c r="IAP49" s="66"/>
      <c r="IAQ49" s="66"/>
      <c r="IAR49" s="66"/>
      <c r="IAS49" s="66"/>
      <c r="IAT49" s="66"/>
      <c r="IAU49" s="66"/>
      <c r="IAV49" s="66"/>
      <c r="IAW49" s="66"/>
      <c r="IAX49" s="66"/>
      <c r="IAY49" s="66"/>
      <c r="IAZ49" s="66"/>
      <c r="IBA49" s="66"/>
      <c r="IBB49" s="66"/>
      <c r="IBC49" s="66"/>
      <c r="IBD49" s="66"/>
      <c r="IBE49" s="66"/>
      <c r="IBF49" s="66"/>
      <c r="IBG49" s="66"/>
      <c r="IBH49" s="66"/>
      <c r="IBI49" s="66"/>
      <c r="IBJ49" s="66"/>
      <c r="IBK49" s="66"/>
      <c r="IBL49" s="66"/>
      <c r="IBM49" s="66"/>
      <c r="IBN49" s="66"/>
      <c r="IBO49" s="66"/>
      <c r="IBP49" s="66"/>
      <c r="IBQ49" s="66"/>
      <c r="IBR49" s="66"/>
      <c r="IBS49" s="66"/>
      <c r="IBT49" s="66"/>
      <c r="IBU49" s="66"/>
      <c r="IBV49" s="66"/>
      <c r="IBW49" s="66"/>
      <c r="IBX49" s="66"/>
      <c r="IBY49" s="66"/>
      <c r="IBZ49" s="66"/>
      <c r="ICA49" s="66"/>
      <c r="ICB49" s="66"/>
      <c r="ICC49" s="66"/>
      <c r="ICD49" s="66"/>
      <c r="ICE49" s="66"/>
      <c r="ICF49" s="66"/>
      <c r="ICG49" s="66"/>
      <c r="ICH49" s="66"/>
      <c r="ICI49" s="66"/>
      <c r="ICJ49" s="66"/>
      <c r="ICK49" s="66"/>
      <c r="ICL49" s="66"/>
      <c r="ICM49" s="66"/>
      <c r="ICN49" s="66"/>
      <c r="ICO49" s="66"/>
      <c r="ICP49" s="66"/>
      <c r="ICQ49" s="66"/>
      <c r="ICR49" s="66"/>
      <c r="ICS49" s="66"/>
      <c r="ICT49" s="66"/>
      <c r="ICU49" s="66"/>
      <c r="ICV49" s="66"/>
      <c r="ICW49" s="66"/>
      <c r="ICX49" s="66"/>
      <c r="ICY49" s="66"/>
      <c r="ICZ49" s="66"/>
      <c r="IDA49" s="66"/>
      <c r="IDB49" s="66"/>
      <c r="IDC49" s="66"/>
      <c r="IDD49" s="66"/>
      <c r="IDE49" s="66"/>
      <c r="IDF49" s="66"/>
      <c r="IDG49" s="66"/>
      <c r="IDH49" s="66"/>
      <c r="IDI49" s="66"/>
      <c r="IDJ49" s="66"/>
      <c r="IDK49" s="66"/>
      <c r="IDL49" s="66"/>
      <c r="IDM49" s="66"/>
      <c r="IDN49" s="66"/>
      <c r="IDO49" s="66"/>
      <c r="IDP49" s="66"/>
      <c r="IDQ49" s="66"/>
      <c r="IDR49" s="66"/>
      <c r="IDS49" s="66"/>
      <c r="IDT49" s="66"/>
      <c r="IDU49" s="66"/>
      <c r="IDV49" s="66"/>
      <c r="IDW49" s="66"/>
      <c r="IDX49" s="66"/>
      <c r="IDY49" s="66"/>
      <c r="IDZ49" s="66"/>
      <c r="IEA49" s="66"/>
      <c r="IEB49" s="66"/>
      <c r="IEC49" s="66"/>
      <c r="IED49" s="66"/>
      <c r="IEE49" s="66"/>
      <c r="IEF49" s="66"/>
      <c r="IEG49" s="66"/>
      <c r="IEH49" s="66"/>
      <c r="IEI49" s="66"/>
      <c r="IEJ49" s="66"/>
      <c r="IEK49" s="66"/>
      <c r="IEL49" s="66"/>
      <c r="IEM49" s="66"/>
      <c r="IEN49" s="66"/>
      <c r="IEO49" s="66"/>
      <c r="IEP49" s="66"/>
      <c r="IEQ49" s="66"/>
      <c r="IER49" s="66"/>
      <c r="IES49" s="66"/>
      <c r="IET49" s="66"/>
      <c r="IEU49" s="66"/>
      <c r="IEV49" s="66"/>
      <c r="IEW49" s="66"/>
      <c r="IEX49" s="66"/>
      <c r="IEY49" s="66"/>
      <c r="IEZ49" s="66"/>
      <c r="IFA49" s="66"/>
      <c r="IFB49" s="66"/>
      <c r="IFC49" s="66"/>
      <c r="IFD49" s="66"/>
      <c r="IFE49" s="66"/>
      <c r="IFF49" s="66"/>
      <c r="IFG49" s="66"/>
      <c r="IFH49" s="66"/>
      <c r="IFI49" s="66"/>
      <c r="IFJ49" s="66"/>
      <c r="IFK49" s="66"/>
      <c r="IFL49" s="66"/>
      <c r="IFM49" s="66"/>
      <c r="IFN49" s="66"/>
      <c r="IFO49" s="66"/>
      <c r="IFP49" s="66"/>
      <c r="IFQ49" s="66"/>
      <c r="IFR49" s="66"/>
      <c r="IFS49" s="66"/>
      <c r="IFT49" s="66"/>
      <c r="IFU49" s="66"/>
      <c r="IFV49" s="66"/>
      <c r="IFW49" s="66"/>
      <c r="IFX49" s="66"/>
      <c r="IFY49" s="66"/>
      <c r="IFZ49" s="66"/>
      <c r="IGA49" s="66"/>
      <c r="IGB49" s="66"/>
      <c r="IGC49" s="66"/>
      <c r="IGD49" s="66"/>
      <c r="IGE49" s="66"/>
      <c r="IGF49" s="66"/>
      <c r="IGG49" s="66"/>
      <c r="IGH49" s="66"/>
      <c r="IGI49" s="66"/>
      <c r="IGJ49" s="66"/>
      <c r="IGK49" s="66"/>
      <c r="IGL49" s="66"/>
      <c r="IGM49" s="66"/>
      <c r="IGN49" s="66"/>
      <c r="IGO49" s="66"/>
      <c r="IGP49" s="66"/>
      <c r="IGQ49" s="66"/>
      <c r="IGR49" s="66"/>
      <c r="IGS49" s="66"/>
      <c r="IGT49" s="66"/>
      <c r="IGU49" s="66"/>
      <c r="IGV49" s="66"/>
      <c r="IGW49" s="66"/>
      <c r="IGX49" s="66"/>
      <c r="IGY49" s="66"/>
      <c r="IGZ49" s="66"/>
      <c r="IHA49" s="66"/>
      <c r="IHB49" s="66"/>
      <c r="IHC49" s="66"/>
      <c r="IHD49" s="66"/>
      <c r="IHE49" s="66"/>
      <c r="IHF49" s="66"/>
      <c r="IHG49" s="66"/>
      <c r="IHH49" s="66"/>
      <c r="IHI49" s="66"/>
      <c r="IHJ49" s="66"/>
      <c r="IHK49" s="66"/>
      <c r="IHL49" s="66"/>
      <c r="IHM49" s="66"/>
      <c r="IHN49" s="66"/>
      <c r="IHO49" s="66"/>
      <c r="IHP49" s="66"/>
      <c r="IHQ49" s="66"/>
      <c r="IHR49" s="66"/>
      <c r="IHS49" s="66"/>
      <c r="IHT49" s="66"/>
      <c r="IHU49" s="66"/>
      <c r="IHV49" s="66"/>
      <c r="IHW49" s="66"/>
      <c r="IHX49" s="66"/>
      <c r="IHY49" s="66"/>
      <c r="IHZ49" s="66"/>
      <c r="IIA49" s="66"/>
      <c r="IIB49" s="66"/>
      <c r="IIC49" s="66"/>
      <c r="IID49" s="66"/>
      <c r="IIE49" s="66"/>
      <c r="IIF49" s="66"/>
      <c r="IIG49" s="66"/>
      <c r="IIH49" s="66"/>
      <c r="III49" s="66"/>
      <c r="IIJ49" s="66"/>
      <c r="IIK49" s="66"/>
      <c r="IIL49" s="66"/>
      <c r="IIM49" s="66"/>
      <c r="IIN49" s="66"/>
      <c r="IIO49" s="66"/>
      <c r="IIP49" s="66"/>
      <c r="IIQ49" s="66"/>
      <c r="IIR49" s="66"/>
      <c r="IIS49" s="66"/>
      <c r="IIT49" s="66"/>
      <c r="IIU49" s="66"/>
      <c r="IIV49" s="66"/>
      <c r="IIW49" s="66"/>
      <c r="IIX49" s="66"/>
      <c r="IIY49" s="66"/>
      <c r="IIZ49" s="66"/>
      <c r="IJA49" s="66"/>
      <c r="IJB49" s="66"/>
      <c r="IJC49" s="66"/>
      <c r="IJD49" s="66"/>
      <c r="IJE49" s="66"/>
      <c r="IJF49" s="66"/>
      <c r="IJG49" s="66"/>
      <c r="IJH49" s="66"/>
      <c r="IJI49" s="66"/>
      <c r="IJJ49" s="66"/>
      <c r="IJK49" s="66"/>
      <c r="IJL49" s="66"/>
      <c r="IJM49" s="66"/>
      <c r="IJN49" s="66"/>
      <c r="IJO49" s="66"/>
      <c r="IJP49" s="66"/>
      <c r="IJQ49" s="66"/>
      <c r="IJR49" s="66"/>
      <c r="IJS49" s="66"/>
      <c r="IJT49" s="66"/>
      <c r="IJU49" s="66"/>
      <c r="IJV49" s="66"/>
      <c r="IJW49" s="66"/>
      <c r="IJX49" s="66"/>
      <c r="IJY49" s="66"/>
      <c r="IJZ49" s="66"/>
      <c r="IKA49" s="66"/>
      <c r="IKB49" s="66"/>
      <c r="IKC49" s="66"/>
      <c r="IKD49" s="66"/>
      <c r="IKE49" s="66"/>
      <c r="IKF49" s="66"/>
      <c r="IKG49" s="66"/>
      <c r="IKH49" s="66"/>
      <c r="IKI49" s="66"/>
      <c r="IKJ49" s="66"/>
      <c r="IKK49" s="66"/>
      <c r="IKL49" s="66"/>
      <c r="IKM49" s="66"/>
      <c r="IKN49" s="66"/>
      <c r="IKO49" s="66"/>
      <c r="IKP49" s="66"/>
      <c r="IKQ49" s="66"/>
      <c r="IKR49" s="66"/>
      <c r="IKS49" s="66"/>
      <c r="IKT49" s="66"/>
      <c r="IKU49" s="66"/>
      <c r="IKV49" s="66"/>
      <c r="IKW49" s="66"/>
      <c r="IKX49" s="66"/>
      <c r="IKY49" s="66"/>
      <c r="IKZ49" s="66"/>
      <c r="ILA49" s="66"/>
      <c r="ILB49" s="66"/>
      <c r="ILC49" s="66"/>
      <c r="ILD49" s="66"/>
      <c r="ILE49" s="66"/>
      <c r="ILF49" s="66"/>
      <c r="ILG49" s="66"/>
      <c r="ILH49" s="66"/>
      <c r="ILI49" s="66"/>
      <c r="ILJ49" s="66"/>
      <c r="ILK49" s="66"/>
      <c r="ILL49" s="66"/>
      <c r="ILM49" s="66"/>
      <c r="ILN49" s="66"/>
      <c r="ILO49" s="66"/>
      <c r="ILP49" s="66"/>
      <c r="ILQ49" s="66"/>
      <c r="ILR49" s="66"/>
      <c r="ILS49" s="66"/>
      <c r="ILT49" s="66"/>
      <c r="ILU49" s="66"/>
      <c r="ILV49" s="66"/>
      <c r="ILW49" s="66"/>
      <c r="ILX49" s="66"/>
      <c r="ILY49" s="66"/>
      <c r="ILZ49" s="66"/>
      <c r="IMA49" s="66"/>
      <c r="IMB49" s="66"/>
      <c r="IMC49" s="66"/>
      <c r="IMD49" s="66"/>
      <c r="IME49" s="66"/>
      <c r="IMF49" s="66"/>
      <c r="IMG49" s="66"/>
      <c r="IMH49" s="66"/>
      <c r="IMI49" s="66"/>
      <c r="IMJ49" s="66"/>
      <c r="IMK49" s="66"/>
      <c r="IML49" s="66"/>
      <c r="IMM49" s="66"/>
      <c r="IMN49" s="66"/>
      <c r="IMO49" s="66"/>
      <c r="IMP49" s="66"/>
      <c r="IMQ49" s="66"/>
      <c r="IMR49" s="66"/>
      <c r="IMS49" s="66"/>
      <c r="IMT49" s="66"/>
      <c r="IMU49" s="66"/>
      <c r="IMV49" s="66"/>
      <c r="IMW49" s="66"/>
      <c r="IMX49" s="66"/>
      <c r="IMY49" s="66"/>
      <c r="IMZ49" s="66"/>
      <c r="INA49" s="66"/>
      <c r="INB49" s="66"/>
      <c r="INC49" s="66"/>
      <c r="IND49" s="66"/>
      <c r="INE49" s="66"/>
      <c r="INF49" s="66"/>
      <c r="ING49" s="66"/>
      <c r="INH49" s="66"/>
      <c r="INI49" s="66"/>
      <c r="INJ49" s="66"/>
      <c r="INK49" s="66"/>
      <c r="INL49" s="66"/>
      <c r="INM49" s="66"/>
      <c r="INN49" s="66"/>
      <c r="INO49" s="66"/>
      <c r="INP49" s="66"/>
      <c r="INQ49" s="66"/>
      <c r="INR49" s="66"/>
      <c r="INS49" s="66"/>
      <c r="INT49" s="66"/>
      <c r="INU49" s="66"/>
      <c r="INV49" s="66"/>
      <c r="INW49" s="66"/>
      <c r="INX49" s="66"/>
      <c r="INY49" s="66"/>
      <c r="INZ49" s="66"/>
      <c r="IOA49" s="66"/>
      <c r="IOB49" s="66"/>
      <c r="IOC49" s="66"/>
      <c r="IOD49" s="66"/>
      <c r="IOE49" s="66"/>
      <c r="IOF49" s="66"/>
      <c r="IOG49" s="66"/>
      <c r="IOH49" s="66"/>
      <c r="IOI49" s="66"/>
      <c r="IOJ49" s="66"/>
      <c r="IOK49" s="66"/>
      <c r="IOL49" s="66"/>
      <c r="IOM49" s="66"/>
      <c r="ION49" s="66"/>
      <c r="IOO49" s="66"/>
      <c r="IOP49" s="66"/>
      <c r="IOQ49" s="66"/>
      <c r="IOR49" s="66"/>
      <c r="IOS49" s="66"/>
      <c r="IOT49" s="66"/>
      <c r="IOU49" s="66"/>
      <c r="IOV49" s="66"/>
      <c r="IOW49" s="66"/>
      <c r="IOX49" s="66"/>
      <c r="IOY49" s="66"/>
      <c r="IOZ49" s="66"/>
      <c r="IPA49" s="66"/>
      <c r="IPB49" s="66"/>
      <c r="IPC49" s="66"/>
      <c r="IPD49" s="66"/>
      <c r="IPE49" s="66"/>
      <c r="IPF49" s="66"/>
      <c r="IPG49" s="66"/>
      <c r="IPH49" s="66"/>
      <c r="IPI49" s="66"/>
      <c r="IPJ49" s="66"/>
      <c r="IPK49" s="66"/>
      <c r="IPL49" s="66"/>
      <c r="IPM49" s="66"/>
      <c r="IPN49" s="66"/>
      <c r="IPO49" s="66"/>
      <c r="IPP49" s="66"/>
      <c r="IPQ49" s="66"/>
      <c r="IPR49" s="66"/>
      <c r="IPS49" s="66"/>
      <c r="IPT49" s="66"/>
      <c r="IPU49" s="66"/>
      <c r="IPV49" s="66"/>
      <c r="IPW49" s="66"/>
      <c r="IPX49" s="66"/>
      <c r="IPY49" s="66"/>
      <c r="IPZ49" s="66"/>
      <c r="IQA49" s="66"/>
      <c r="IQB49" s="66"/>
      <c r="IQC49" s="66"/>
      <c r="IQD49" s="66"/>
      <c r="IQE49" s="66"/>
      <c r="IQF49" s="66"/>
      <c r="IQG49" s="66"/>
      <c r="IQH49" s="66"/>
      <c r="IQI49" s="66"/>
      <c r="IQJ49" s="66"/>
      <c r="IQK49" s="66"/>
      <c r="IQL49" s="66"/>
      <c r="IQM49" s="66"/>
      <c r="IQN49" s="66"/>
      <c r="IQO49" s="66"/>
      <c r="IQP49" s="66"/>
      <c r="IQQ49" s="66"/>
      <c r="IQR49" s="66"/>
      <c r="IQS49" s="66"/>
      <c r="IQT49" s="66"/>
      <c r="IQU49" s="66"/>
      <c r="IQV49" s="66"/>
      <c r="IQW49" s="66"/>
      <c r="IQX49" s="66"/>
      <c r="IQY49" s="66"/>
      <c r="IQZ49" s="66"/>
      <c r="IRA49" s="66"/>
      <c r="IRB49" s="66"/>
      <c r="IRC49" s="66"/>
      <c r="IRD49" s="66"/>
      <c r="IRE49" s="66"/>
      <c r="IRF49" s="66"/>
      <c r="IRG49" s="66"/>
      <c r="IRH49" s="66"/>
      <c r="IRI49" s="66"/>
      <c r="IRJ49" s="66"/>
      <c r="IRK49" s="66"/>
      <c r="IRL49" s="66"/>
      <c r="IRM49" s="66"/>
      <c r="IRN49" s="66"/>
      <c r="IRO49" s="66"/>
      <c r="IRP49" s="66"/>
      <c r="IRQ49" s="66"/>
      <c r="IRR49" s="66"/>
      <c r="IRS49" s="66"/>
      <c r="IRT49" s="66"/>
      <c r="IRU49" s="66"/>
      <c r="IRV49" s="66"/>
      <c r="IRW49" s="66"/>
      <c r="IRX49" s="66"/>
      <c r="IRY49" s="66"/>
      <c r="IRZ49" s="66"/>
      <c r="ISA49" s="66"/>
      <c r="ISB49" s="66"/>
      <c r="ISC49" s="66"/>
      <c r="ISD49" s="66"/>
      <c r="ISE49" s="66"/>
      <c r="ISF49" s="66"/>
      <c r="ISG49" s="66"/>
      <c r="ISH49" s="66"/>
      <c r="ISI49" s="66"/>
      <c r="ISJ49" s="66"/>
      <c r="ISK49" s="66"/>
      <c r="ISL49" s="66"/>
      <c r="ISM49" s="66"/>
      <c r="ISN49" s="66"/>
      <c r="ISO49" s="66"/>
      <c r="ISP49" s="66"/>
      <c r="ISQ49" s="66"/>
      <c r="ISR49" s="66"/>
      <c r="ISS49" s="66"/>
      <c r="IST49" s="66"/>
      <c r="ISU49" s="66"/>
      <c r="ISV49" s="66"/>
      <c r="ISW49" s="66"/>
      <c r="ISX49" s="66"/>
      <c r="ISY49" s="66"/>
      <c r="ISZ49" s="66"/>
      <c r="ITA49" s="66"/>
      <c r="ITB49" s="66"/>
      <c r="ITC49" s="66"/>
      <c r="ITD49" s="66"/>
      <c r="ITE49" s="66"/>
      <c r="ITF49" s="66"/>
      <c r="ITG49" s="66"/>
      <c r="ITH49" s="66"/>
      <c r="ITI49" s="66"/>
      <c r="ITJ49" s="66"/>
      <c r="ITK49" s="66"/>
      <c r="ITL49" s="66"/>
      <c r="ITM49" s="66"/>
      <c r="ITN49" s="66"/>
      <c r="ITO49" s="66"/>
      <c r="ITP49" s="66"/>
      <c r="ITQ49" s="66"/>
      <c r="ITR49" s="66"/>
      <c r="ITS49" s="66"/>
      <c r="ITT49" s="66"/>
      <c r="ITU49" s="66"/>
      <c r="ITV49" s="66"/>
      <c r="ITW49" s="66"/>
      <c r="ITX49" s="66"/>
      <c r="ITY49" s="66"/>
      <c r="ITZ49" s="66"/>
      <c r="IUA49" s="66"/>
      <c r="IUB49" s="66"/>
      <c r="IUC49" s="66"/>
      <c r="IUD49" s="66"/>
      <c r="IUE49" s="66"/>
      <c r="IUF49" s="66"/>
      <c r="IUG49" s="66"/>
      <c r="IUH49" s="66"/>
      <c r="IUI49" s="66"/>
      <c r="IUJ49" s="66"/>
      <c r="IUK49" s="66"/>
      <c r="IUL49" s="66"/>
      <c r="IUM49" s="66"/>
      <c r="IUN49" s="66"/>
      <c r="IUO49" s="66"/>
      <c r="IUP49" s="66"/>
      <c r="IUQ49" s="66"/>
      <c r="IUR49" s="66"/>
      <c r="IUS49" s="66"/>
      <c r="IUT49" s="66"/>
      <c r="IUU49" s="66"/>
      <c r="IUV49" s="66"/>
      <c r="IUW49" s="66"/>
      <c r="IUX49" s="66"/>
      <c r="IUY49" s="66"/>
      <c r="IUZ49" s="66"/>
      <c r="IVA49" s="66"/>
      <c r="IVB49" s="66"/>
      <c r="IVC49" s="66"/>
      <c r="IVD49" s="66"/>
      <c r="IVE49" s="66"/>
      <c r="IVF49" s="66"/>
      <c r="IVG49" s="66"/>
      <c r="IVH49" s="66"/>
      <c r="IVI49" s="66"/>
      <c r="IVJ49" s="66"/>
      <c r="IVK49" s="66"/>
      <c r="IVL49" s="66"/>
      <c r="IVM49" s="66"/>
      <c r="IVN49" s="66"/>
      <c r="IVO49" s="66"/>
      <c r="IVP49" s="66"/>
      <c r="IVQ49" s="66"/>
      <c r="IVR49" s="66"/>
      <c r="IVS49" s="66"/>
      <c r="IVT49" s="66"/>
      <c r="IVU49" s="66"/>
      <c r="IVV49" s="66"/>
      <c r="IVW49" s="66"/>
      <c r="IVX49" s="66"/>
      <c r="IVY49" s="66"/>
      <c r="IVZ49" s="66"/>
      <c r="IWA49" s="66"/>
      <c r="IWB49" s="66"/>
      <c r="IWC49" s="66"/>
      <c r="IWD49" s="66"/>
      <c r="IWE49" s="66"/>
      <c r="IWF49" s="66"/>
      <c r="IWG49" s="66"/>
      <c r="IWH49" s="66"/>
      <c r="IWI49" s="66"/>
      <c r="IWJ49" s="66"/>
      <c r="IWK49" s="66"/>
      <c r="IWL49" s="66"/>
      <c r="IWM49" s="66"/>
      <c r="IWN49" s="66"/>
      <c r="IWO49" s="66"/>
      <c r="IWP49" s="66"/>
      <c r="IWQ49" s="66"/>
      <c r="IWR49" s="66"/>
      <c r="IWS49" s="66"/>
      <c r="IWT49" s="66"/>
      <c r="IWU49" s="66"/>
      <c r="IWV49" s="66"/>
      <c r="IWW49" s="66"/>
      <c r="IWX49" s="66"/>
      <c r="IWY49" s="66"/>
      <c r="IWZ49" s="66"/>
      <c r="IXA49" s="66"/>
      <c r="IXB49" s="66"/>
      <c r="IXC49" s="66"/>
      <c r="IXD49" s="66"/>
      <c r="IXE49" s="66"/>
      <c r="IXF49" s="66"/>
      <c r="IXG49" s="66"/>
      <c r="IXH49" s="66"/>
      <c r="IXI49" s="66"/>
      <c r="IXJ49" s="66"/>
      <c r="IXK49" s="66"/>
      <c r="IXL49" s="66"/>
      <c r="IXM49" s="66"/>
      <c r="IXN49" s="66"/>
      <c r="IXO49" s="66"/>
      <c r="IXP49" s="66"/>
      <c r="IXQ49" s="66"/>
      <c r="IXR49" s="66"/>
      <c r="IXS49" s="66"/>
      <c r="IXT49" s="66"/>
      <c r="IXU49" s="66"/>
      <c r="IXV49" s="66"/>
      <c r="IXW49" s="66"/>
      <c r="IXX49" s="66"/>
      <c r="IXY49" s="66"/>
      <c r="IXZ49" s="66"/>
      <c r="IYA49" s="66"/>
      <c r="IYB49" s="66"/>
      <c r="IYC49" s="66"/>
      <c r="IYD49" s="66"/>
      <c r="IYE49" s="66"/>
      <c r="IYF49" s="66"/>
      <c r="IYG49" s="66"/>
      <c r="IYH49" s="66"/>
      <c r="IYI49" s="66"/>
      <c r="IYJ49" s="66"/>
      <c r="IYK49" s="66"/>
      <c r="IYL49" s="66"/>
      <c r="IYM49" s="66"/>
      <c r="IYN49" s="66"/>
      <c r="IYO49" s="66"/>
      <c r="IYP49" s="66"/>
      <c r="IYQ49" s="66"/>
      <c r="IYR49" s="66"/>
      <c r="IYS49" s="66"/>
      <c r="IYT49" s="66"/>
      <c r="IYU49" s="66"/>
      <c r="IYV49" s="66"/>
      <c r="IYW49" s="66"/>
      <c r="IYX49" s="66"/>
      <c r="IYY49" s="66"/>
      <c r="IYZ49" s="66"/>
      <c r="IZA49" s="66"/>
      <c r="IZB49" s="66"/>
      <c r="IZC49" s="66"/>
      <c r="IZD49" s="66"/>
      <c r="IZE49" s="66"/>
      <c r="IZF49" s="66"/>
      <c r="IZG49" s="66"/>
      <c r="IZH49" s="66"/>
      <c r="IZI49" s="66"/>
      <c r="IZJ49" s="66"/>
      <c r="IZK49" s="66"/>
      <c r="IZL49" s="66"/>
      <c r="IZM49" s="66"/>
      <c r="IZN49" s="66"/>
      <c r="IZO49" s="66"/>
      <c r="IZP49" s="66"/>
      <c r="IZQ49" s="66"/>
      <c r="IZR49" s="66"/>
      <c r="IZS49" s="66"/>
      <c r="IZT49" s="66"/>
      <c r="IZU49" s="66"/>
      <c r="IZV49" s="66"/>
      <c r="IZW49" s="66"/>
      <c r="IZX49" s="66"/>
      <c r="IZY49" s="66"/>
      <c r="IZZ49" s="66"/>
      <c r="JAA49" s="66"/>
      <c r="JAB49" s="66"/>
      <c r="JAC49" s="66"/>
      <c r="JAD49" s="66"/>
      <c r="JAE49" s="66"/>
      <c r="JAF49" s="66"/>
      <c r="JAG49" s="66"/>
      <c r="JAH49" s="66"/>
      <c r="JAI49" s="66"/>
      <c r="JAJ49" s="66"/>
      <c r="JAK49" s="66"/>
      <c r="JAL49" s="66"/>
      <c r="JAM49" s="66"/>
      <c r="JAN49" s="66"/>
      <c r="JAO49" s="66"/>
      <c r="JAP49" s="66"/>
      <c r="JAQ49" s="66"/>
      <c r="JAR49" s="66"/>
      <c r="JAS49" s="66"/>
      <c r="JAT49" s="66"/>
      <c r="JAU49" s="66"/>
      <c r="JAV49" s="66"/>
      <c r="JAW49" s="66"/>
      <c r="JAX49" s="66"/>
      <c r="JAY49" s="66"/>
      <c r="JAZ49" s="66"/>
      <c r="JBA49" s="66"/>
      <c r="JBB49" s="66"/>
      <c r="JBC49" s="66"/>
      <c r="JBD49" s="66"/>
      <c r="JBE49" s="66"/>
      <c r="JBF49" s="66"/>
      <c r="JBG49" s="66"/>
      <c r="JBH49" s="66"/>
      <c r="JBI49" s="66"/>
      <c r="JBJ49" s="66"/>
      <c r="JBK49" s="66"/>
      <c r="JBL49" s="66"/>
      <c r="JBM49" s="66"/>
      <c r="JBN49" s="66"/>
      <c r="JBO49" s="66"/>
      <c r="JBP49" s="66"/>
      <c r="JBQ49" s="66"/>
      <c r="JBR49" s="66"/>
      <c r="JBS49" s="66"/>
      <c r="JBT49" s="66"/>
      <c r="JBU49" s="66"/>
      <c r="JBV49" s="66"/>
      <c r="JBW49" s="66"/>
      <c r="JBX49" s="66"/>
      <c r="JBY49" s="66"/>
      <c r="JBZ49" s="66"/>
      <c r="JCA49" s="66"/>
      <c r="JCB49" s="66"/>
      <c r="JCC49" s="66"/>
      <c r="JCD49" s="66"/>
      <c r="JCE49" s="66"/>
      <c r="JCF49" s="66"/>
      <c r="JCG49" s="66"/>
      <c r="JCH49" s="66"/>
      <c r="JCI49" s="66"/>
      <c r="JCJ49" s="66"/>
      <c r="JCK49" s="66"/>
      <c r="JCL49" s="66"/>
      <c r="JCM49" s="66"/>
      <c r="JCN49" s="66"/>
      <c r="JCO49" s="66"/>
      <c r="JCP49" s="66"/>
      <c r="JCQ49" s="66"/>
      <c r="JCR49" s="66"/>
      <c r="JCS49" s="66"/>
      <c r="JCT49" s="66"/>
      <c r="JCU49" s="66"/>
      <c r="JCV49" s="66"/>
      <c r="JCW49" s="66"/>
      <c r="JCX49" s="66"/>
      <c r="JCY49" s="66"/>
      <c r="JCZ49" s="66"/>
      <c r="JDA49" s="66"/>
      <c r="JDB49" s="66"/>
      <c r="JDC49" s="66"/>
      <c r="JDD49" s="66"/>
      <c r="JDE49" s="66"/>
      <c r="JDF49" s="66"/>
      <c r="JDG49" s="66"/>
      <c r="JDH49" s="66"/>
      <c r="JDI49" s="66"/>
      <c r="JDJ49" s="66"/>
      <c r="JDK49" s="66"/>
      <c r="JDL49" s="66"/>
      <c r="JDM49" s="66"/>
      <c r="JDN49" s="66"/>
      <c r="JDO49" s="66"/>
      <c r="JDP49" s="66"/>
      <c r="JDQ49" s="66"/>
      <c r="JDR49" s="66"/>
      <c r="JDS49" s="66"/>
      <c r="JDT49" s="66"/>
      <c r="JDU49" s="66"/>
      <c r="JDV49" s="66"/>
      <c r="JDW49" s="66"/>
      <c r="JDX49" s="66"/>
      <c r="JDY49" s="66"/>
      <c r="JDZ49" s="66"/>
      <c r="JEA49" s="66"/>
      <c r="JEB49" s="66"/>
      <c r="JEC49" s="66"/>
      <c r="JED49" s="66"/>
      <c r="JEE49" s="66"/>
      <c r="JEF49" s="66"/>
      <c r="JEG49" s="66"/>
      <c r="JEH49" s="66"/>
      <c r="JEI49" s="66"/>
      <c r="JEJ49" s="66"/>
      <c r="JEK49" s="66"/>
      <c r="JEL49" s="66"/>
      <c r="JEM49" s="66"/>
      <c r="JEN49" s="66"/>
      <c r="JEO49" s="66"/>
      <c r="JEP49" s="66"/>
      <c r="JEQ49" s="66"/>
      <c r="JER49" s="66"/>
      <c r="JES49" s="66"/>
      <c r="JET49" s="66"/>
      <c r="JEU49" s="66"/>
      <c r="JEV49" s="66"/>
      <c r="JEW49" s="66"/>
      <c r="JEX49" s="66"/>
      <c r="JEY49" s="66"/>
      <c r="JEZ49" s="66"/>
      <c r="JFA49" s="66"/>
      <c r="JFB49" s="66"/>
      <c r="JFC49" s="66"/>
      <c r="JFD49" s="66"/>
      <c r="JFE49" s="66"/>
      <c r="JFF49" s="66"/>
      <c r="JFG49" s="66"/>
      <c r="JFH49" s="66"/>
      <c r="JFI49" s="66"/>
      <c r="JFJ49" s="66"/>
      <c r="JFK49" s="66"/>
      <c r="JFL49" s="66"/>
      <c r="JFM49" s="66"/>
      <c r="JFN49" s="66"/>
      <c r="JFO49" s="66"/>
      <c r="JFP49" s="66"/>
      <c r="JFQ49" s="66"/>
      <c r="JFR49" s="66"/>
      <c r="JFS49" s="66"/>
      <c r="JFT49" s="66"/>
      <c r="JFU49" s="66"/>
      <c r="JFV49" s="66"/>
      <c r="JFW49" s="66"/>
      <c r="JFX49" s="66"/>
      <c r="JFY49" s="66"/>
      <c r="JFZ49" s="66"/>
      <c r="JGA49" s="66"/>
      <c r="JGB49" s="66"/>
      <c r="JGC49" s="66"/>
      <c r="JGD49" s="66"/>
      <c r="JGE49" s="66"/>
      <c r="JGF49" s="66"/>
      <c r="JGG49" s="66"/>
      <c r="JGH49" s="66"/>
      <c r="JGI49" s="66"/>
      <c r="JGJ49" s="66"/>
      <c r="JGK49" s="66"/>
      <c r="JGL49" s="66"/>
      <c r="JGM49" s="66"/>
      <c r="JGN49" s="66"/>
      <c r="JGO49" s="66"/>
      <c r="JGP49" s="66"/>
      <c r="JGQ49" s="66"/>
      <c r="JGR49" s="66"/>
      <c r="JGS49" s="66"/>
      <c r="JGT49" s="66"/>
      <c r="JGU49" s="66"/>
      <c r="JGV49" s="66"/>
      <c r="JGW49" s="66"/>
      <c r="JGX49" s="66"/>
      <c r="JGY49" s="66"/>
      <c r="JGZ49" s="66"/>
      <c r="JHA49" s="66"/>
      <c r="JHB49" s="66"/>
      <c r="JHC49" s="66"/>
      <c r="JHD49" s="66"/>
      <c r="JHE49" s="66"/>
      <c r="JHF49" s="66"/>
      <c r="JHG49" s="66"/>
      <c r="JHH49" s="66"/>
      <c r="JHI49" s="66"/>
      <c r="JHJ49" s="66"/>
      <c r="JHK49" s="66"/>
      <c r="JHL49" s="66"/>
      <c r="JHM49" s="66"/>
      <c r="JHN49" s="66"/>
      <c r="JHO49" s="66"/>
      <c r="JHP49" s="66"/>
      <c r="JHQ49" s="66"/>
      <c r="JHR49" s="66"/>
      <c r="JHS49" s="66"/>
      <c r="JHT49" s="66"/>
      <c r="JHU49" s="66"/>
      <c r="JHV49" s="66"/>
      <c r="JHW49" s="66"/>
      <c r="JHX49" s="66"/>
      <c r="JHY49" s="66"/>
      <c r="JHZ49" s="66"/>
      <c r="JIA49" s="66"/>
      <c r="JIB49" s="66"/>
      <c r="JIC49" s="66"/>
      <c r="JID49" s="66"/>
      <c r="JIE49" s="66"/>
      <c r="JIF49" s="66"/>
      <c r="JIG49" s="66"/>
      <c r="JIH49" s="66"/>
      <c r="JII49" s="66"/>
      <c r="JIJ49" s="66"/>
      <c r="JIK49" s="66"/>
      <c r="JIL49" s="66"/>
      <c r="JIM49" s="66"/>
      <c r="JIN49" s="66"/>
      <c r="JIO49" s="66"/>
      <c r="JIP49" s="66"/>
      <c r="JIQ49" s="66"/>
      <c r="JIR49" s="66"/>
      <c r="JIS49" s="66"/>
      <c r="JIT49" s="66"/>
      <c r="JIU49" s="66"/>
      <c r="JIV49" s="66"/>
      <c r="JIW49" s="66"/>
      <c r="JIX49" s="66"/>
      <c r="JIY49" s="66"/>
      <c r="JIZ49" s="66"/>
      <c r="JJA49" s="66"/>
      <c r="JJB49" s="66"/>
      <c r="JJC49" s="66"/>
      <c r="JJD49" s="66"/>
      <c r="JJE49" s="66"/>
      <c r="JJF49" s="66"/>
      <c r="JJG49" s="66"/>
      <c r="JJH49" s="66"/>
      <c r="JJI49" s="66"/>
      <c r="JJJ49" s="66"/>
      <c r="JJK49" s="66"/>
      <c r="JJL49" s="66"/>
      <c r="JJM49" s="66"/>
      <c r="JJN49" s="66"/>
      <c r="JJO49" s="66"/>
      <c r="JJP49" s="66"/>
      <c r="JJQ49" s="66"/>
      <c r="JJR49" s="66"/>
      <c r="JJS49" s="66"/>
      <c r="JJT49" s="66"/>
      <c r="JJU49" s="66"/>
      <c r="JJV49" s="66"/>
      <c r="JJW49" s="66"/>
      <c r="JJX49" s="66"/>
      <c r="JJY49" s="66"/>
      <c r="JJZ49" s="66"/>
      <c r="JKA49" s="66"/>
      <c r="JKB49" s="66"/>
      <c r="JKC49" s="66"/>
      <c r="JKD49" s="66"/>
      <c r="JKE49" s="66"/>
      <c r="JKF49" s="66"/>
      <c r="JKG49" s="66"/>
      <c r="JKH49" s="66"/>
      <c r="JKI49" s="66"/>
      <c r="JKJ49" s="66"/>
      <c r="JKK49" s="66"/>
      <c r="JKL49" s="66"/>
      <c r="JKM49" s="66"/>
      <c r="JKN49" s="66"/>
      <c r="JKO49" s="66"/>
      <c r="JKP49" s="66"/>
      <c r="JKQ49" s="66"/>
      <c r="JKR49" s="66"/>
      <c r="JKS49" s="66"/>
      <c r="JKT49" s="66"/>
      <c r="JKU49" s="66"/>
      <c r="JKV49" s="66"/>
      <c r="JKW49" s="66"/>
      <c r="JKX49" s="66"/>
      <c r="JKY49" s="66"/>
      <c r="JKZ49" s="66"/>
      <c r="JLA49" s="66"/>
      <c r="JLB49" s="66"/>
      <c r="JLC49" s="66"/>
      <c r="JLD49" s="66"/>
      <c r="JLE49" s="66"/>
      <c r="JLF49" s="66"/>
      <c r="JLG49" s="66"/>
      <c r="JLH49" s="66"/>
      <c r="JLI49" s="66"/>
      <c r="JLJ49" s="66"/>
      <c r="JLK49" s="66"/>
      <c r="JLL49" s="66"/>
      <c r="JLM49" s="66"/>
      <c r="JLN49" s="66"/>
      <c r="JLO49" s="66"/>
      <c r="JLP49" s="66"/>
      <c r="JLQ49" s="66"/>
      <c r="JLR49" s="66"/>
      <c r="JLS49" s="66"/>
      <c r="JLT49" s="66"/>
      <c r="JLU49" s="66"/>
      <c r="JLV49" s="66"/>
      <c r="JLW49" s="66"/>
      <c r="JLX49" s="66"/>
      <c r="JLY49" s="66"/>
      <c r="JLZ49" s="66"/>
      <c r="JMA49" s="66"/>
      <c r="JMB49" s="66"/>
      <c r="JMC49" s="66"/>
      <c r="JMD49" s="66"/>
      <c r="JME49" s="66"/>
      <c r="JMF49" s="66"/>
      <c r="JMG49" s="66"/>
      <c r="JMH49" s="66"/>
      <c r="JMI49" s="66"/>
      <c r="JMJ49" s="66"/>
      <c r="JMK49" s="66"/>
      <c r="JML49" s="66"/>
      <c r="JMM49" s="66"/>
      <c r="JMN49" s="66"/>
      <c r="JMO49" s="66"/>
      <c r="JMP49" s="66"/>
      <c r="JMQ49" s="66"/>
      <c r="JMR49" s="66"/>
      <c r="JMS49" s="66"/>
      <c r="JMT49" s="66"/>
      <c r="JMU49" s="66"/>
      <c r="JMV49" s="66"/>
      <c r="JMW49" s="66"/>
      <c r="JMX49" s="66"/>
      <c r="JMY49" s="66"/>
      <c r="JMZ49" s="66"/>
      <c r="JNA49" s="66"/>
      <c r="JNB49" s="66"/>
      <c r="JNC49" s="66"/>
      <c r="JND49" s="66"/>
      <c r="JNE49" s="66"/>
      <c r="JNF49" s="66"/>
      <c r="JNG49" s="66"/>
      <c r="JNH49" s="66"/>
      <c r="JNI49" s="66"/>
      <c r="JNJ49" s="66"/>
      <c r="JNK49" s="66"/>
      <c r="JNL49" s="66"/>
      <c r="JNM49" s="66"/>
      <c r="JNN49" s="66"/>
      <c r="JNO49" s="66"/>
      <c r="JNP49" s="66"/>
      <c r="JNQ49" s="66"/>
      <c r="JNR49" s="66"/>
      <c r="JNS49" s="66"/>
      <c r="JNT49" s="66"/>
      <c r="JNU49" s="66"/>
      <c r="JNV49" s="66"/>
      <c r="JNW49" s="66"/>
      <c r="JNX49" s="66"/>
      <c r="JNY49" s="66"/>
      <c r="JNZ49" s="66"/>
      <c r="JOA49" s="66"/>
      <c r="JOB49" s="66"/>
      <c r="JOC49" s="66"/>
      <c r="JOD49" s="66"/>
      <c r="JOE49" s="66"/>
      <c r="JOF49" s="66"/>
      <c r="JOG49" s="66"/>
      <c r="JOH49" s="66"/>
      <c r="JOI49" s="66"/>
      <c r="JOJ49" s="66"/>
      <c r="JOK49" s="66"/>
      <c r="JOL49" s="66"/>
      <c r="JOM49" s="66"/>
      <c r="JON49" s="66"/>
      <c r="JOO49" s="66"/>
      <c r="JOP49" s="66"/>
      <c r="JOQ49" s="66"/>
      <c r="JOR49" s="66"/>
      <c r="JOS49" s="66"/>
      <c r="JOT49" s="66"/>
      <c r="JOU49" s="66"/>
      <c r="JOV49" s="66"/>
      <c r="JOW49" s="66"/>
      <c r="JOX49" s="66"/>
      <c r="JOY49" s="66"/>
      <c r="JOZ49" s="66"/>
      <c r="JPA49" s="66"/>
      <c r="JPB49" s="66"/>
      <c r="JPC49" s="66"/>
      <c r="JPD49" s="66"/>
      <c r="JPE49" s="66"/>
      <c r="JPF49" s="66"/>
      <c r="JPG49" s="66"/>
      <c r="JPH49" s="66"/>
      <c r="JPI49" s="66"/>
      <c r="JPJ49" s="66"/>
      <c r="JPK49" s="66"/>
      <c r="JPL49" s="66"/>
      <c r="JPM49" s="66"/>
      <c r="JPN49" s="66"/>
      <c r="JPO49" s="66"/>
      <c r="JPP49" s="66"/>
      <c r="JPQ49" s="66"/>
      <c r="JPR49" s="66"/>
      <c r="JPS49" s="66"/>
      <c r="JPT49" s="66"/>
      <c r="JPU49" s="66"/>
      <c r="JPV49" s="66"/>
      <c r="JPW49" s="66"/>
      <c r="JPX49" s="66"/>
      <c r="JPY49" s="66"/>
      <c r="JPZ49" s="66"/>
      <c r="JQA49" s="66"/>
      <c r="JQB49" s="66"/>
      <c r="JQC49" s="66"/>
      <c r="JQD49" s="66"/>
      <c r="JQE49" s="66"/>
      <c r="JQF49" s="66"/>
      <c r="JQG49" s="66"/>
      <c r="JQH49" s="66"/>
      <c r="JQI49" s="66"/>
      <c r="JQJ49" s="66"/>
      <c r="JQK49" s="66"/>
      <c r="JQL49" s="66"/>
      <c r="JQM49" s="66"/>
      <c r="JQN49" s="66"/>
      <c r="JQO49" s="66"/>
      <c r="JQP49" s="66"/>
      <c r="JQQ49" s="66"/>
      <c r="JQR49" s="66"/>
      <c r="JQS49" s="66"/>
      <c r="JQT49" s="66"/>
      <c r="JQU49" s="66"/>
      <c r="JQV49" s="66"/>
      <c r="JQW49" s="66"/>
      <c r="JQX49" s="66"/>
      <c r="JQY49" s="66"/>
      <c r="JQZ49" s="66"/>
      <c r="JRA49" s="66"/>
      <c r="JRB49" s="66"/>
      <c r="JRC49" s="66"/>
      <c r="JRD49" s="66"/>
      <c r="JRE49" s="66"/>
      <c r="JRF49" s="66"/>
      <c r="JRG49" s="66"/>
      <c r="JRH49" s="66"/>
      <c r="JRI49" s="66"/>
      <c r="JRJ49" s="66"/>
      <c r="JRK49" s="66"/>
      <c r="JRL49" s="66"/>
      <c r="JRM49" s="66"/>
      <c r="JRN49" s="66"/>
      <c r="JRO49" s="66"/>
      <c r="JRP49" s="66"/>
      <c r="JRQ49" s="66"/>
      <c r="JRR49" s="66"/>
      <c r="JRS49" s="66"/>
      <c r="JRT49" s="66"/>
      <c r="JRU49" s="66"/>
      <c r="JRV49" s="66"/>
      <c r="JRW49" s="66"/>
      <c r="JRX49" s="66"/>
      <c r="JRY49" s="66"/>
      <c r="JRZ49" s="66"/>
      <c r="JSA49" s="66"/>
      <c r="JSB49" s="66"/>
      <c r="JSC49" s="66"/>
      <c r="JSD49" s="66"/>
      <c r="JSE49" s="66"/>
      <c r="JSF49" s="66"/>
      <c r="JSG49" s="66"/>
      <c r="JSH49" s="66"/>
      <c r="JSI49" s="66"/>
      <c r="JSJ49" s="66"/>
      <c r="JSK49" s="66"/>
      <c r="JSL49" s="66"/>
      <c r="JSM49" s="66"/>
      <c r="JSN49" s="66"/>
      <c r="JSO49" s="66"/>
      <c r="JSP49" s="66"/>
      <c r="JSQ49" s="66"/>
      <c r="JSR49" s="66"/>
      <c r="JSS49" s="66"/>
      <c r="JST49" s="66"/>
      <c r="JSU49" s="66"/>
      <c r="JSV49" s="66"/>
      <c r="JSW49" s="66"/>
      <c r="JSX49" s="66"/>
      <c r="JSY49" s="66"/>
      <c r="JSZ49" s="66"/>
      <c r="JTA49" s="66"/>
      <c r="JTB49" s="66"/>
      <c r="JTC49" s="66"/>
      <c r="JTD49" s="66"/>
      <c r="JTE49" s="66"/>
      <c r="JTF49" s="66"/>
      <c r="JTG49" s="66"/>
      <c r="JTH49" s="66"/>
      <c r="JTI49" s="66"/>
      <c r="JTJ49" s="66"/>
      <c r="JTK49" s="66"/>
      <c r="JTL49" s="66"/>
      <c r="JTM49" s="66"/>
      <c r="JTN49" s="66"/>
      <c r="JTO49" s="66"/>
      <c r="JTP49" s="66"/>
      <c r="JTQ49" s="66"/>
      <c r="JTR49" s="66"/>
      <c r="JTS49" s="66"/>
      <c r="JTT49" s="66"/>
      <c r="JTU49" s="66"/>
      <c r="JTV49" s="66"/>
      <c r="JTW49" s="66"/>
      <c r="JTX49" s="66"/>
      <c r="JTY49" s="66"/>
      <c r="JTZ49" s="66"/>
      <c r="JUA49" s="66"/>
      <c r="JUB49" s="66"/>
      <c r="JUC49" s="66"/>
      <c r="JUD49" s="66"/>
      <c r="JUE49" s="66"/>
      <c r="JUF49" s="66"/>
      <c r="JUG49" s="66"/>
      <c r="JUH49" s="66"/>
      <c r="JUI49" s="66"/>
      <c r="JUJ49" s="66"/>
      <c r="JUK49" s="66"/>
      <c r="JUL49" s="66"/>
      <c r="JUM49" s="66"/>
      <c r="JUN49" s="66"/>
      <c r="JUO49" s="66"/>
      <c r="JUP49" s="66"/>
      <c r="JUQ49" s="66"/>
      <c r="JUR49" s="66"/>
      <c r="JUS49" s="66"/>
      <c r="JUT49" s="66"/>
      <c r="JUU49" s="66"/>
      <c r="JUV49" s="66"/>
      <c r="JUW49" s="66"/>
      <c r="JUX49" s="66"/>
      <c r="JUY49" s="66"/>
      <c r="JUZ49" s="66"/>
      <c r="JVA49" s="66"/>
      <c r="JVB49" s="66"/>
      <c r="JVC49" s="66"/>
      <c r="JVD49" s="66"/>
      <c r="JVE49" s="66"/>
      <c r="JVF49" s="66"/>
      <c r="JVG49" s="66"/>
      <c r="JVH49" s="66"/>
      <c r="JVI49" s="66"/>
      <c r="JVJ49" s="66"/>
      <c r="JVK49" s="66"/>
      <c r="JVL49" s="66"/>
      <c r="JVM49" s="66"/>
      <c r="JVN49" s="66"/>
      <c r="JVO49" s="66"/>
      <c r="JVP49" s="66"/>
      <c r="JVQ49" s="66"/>
      <c r="JVR49" s="66"/>
      <c r="JVS49" s="66"/>
      <c r="JVT49" s="66"/>
      <c r="JVU49" s="66"/>
      <c r="JVV49" s="66"/>
      <c r="JVW49" s="66"/>
      <c r="JVX49" s="66"/>
      <c r="JVY49" s="66"/>
      <c r="JVZ49" s="66"/>
      <c r="JWA49" s="66"/>
      <c r="JWB49" s="66"/>
      <c r="JWC49" s="66"/>
      <c r="JWD49" s="66"/>
      <c r="JWE49" s="66"/>
      <c r="JWF49" s="66"/>
      <c r="JWG49" s="66"/>
      <c r="JWH49" s="66"/>
      <c r="JWI49" s="66"/>
      <c r="JWJ49" s="66"/>
      <c r="JWK49" s="66"/>
      <c r="JWL49" s="66"/>
      <c r="JWM49" s="66"/>
      <c r="JWN49" s="66"/>
      <c r="JWO49" s="66"/>
      <c r="JWP49" s="66"/>
      <c r="JWQ49" s="66"/>
      <c r="JWR49" s="66"/>
      <c r="JWS49" s="66"/>
      <c r="JWT49" s="66"/>
      <c r="JWU49" s="66"/>
      <c r="JWV49" s="66"/>
      <c r="JWW49" s="66"/>
      <c r="JWX49" s="66"/>
      <c r="JWY49" s="66"/>
      <c r="JWZ49" s="66"/>
      <c r="JXA49" s="66"/>
      <c r="JXB49" s="66"/>
      <c r="JXC49" s="66"/>
      <c r="JXD49" s="66"/>
      <c r="JXE49" s="66"/>
      <c r="JXF49" s="66"/>
      <c r="JXG49" s="66"/>
      <c r="JXH49" s="66"/>
      <c r="JXI49" s="66"/>
      <c r="JXJ49" s="66"/>
      <c r="JXK49" s="66"/>
      <c r="JXL49" s="66"/>
      <c r="JXM49" s="66"/>
      <c r="JXN49" s="66"/>
      <c r="JXO49" s="66"/>
      <c r="JXP49" s="66"/>
      <c r="JXQ49" s="66"/>
      <c r="JXR49" s="66"/>
      <c r="JXS49" s="66"/>
      <c r="JXT49" s="66"/>
      <c r="JXU49" s="66"/>
      <c r="JXV49" s="66"/>
      <c r="JXW49" s="66"/>
      <c r="JXX49" s="66"/>
      <c r="JXY49" s="66"/>
      <c r="JXZ49" s="66"/>
      <c r="JYA49" s="66"/>
      <c r="JYB49" s="66"/>
      <c r="JYC49" s="66"/>
      <c r="JYD49" s="66"/>
      <c r="JYE49" s="66"/>
      <c r="JYF49" s="66"/>
      <c r="JYG49" s="66"/>
      <c r="JYH49" s="66"/>
      <c r="JYI49" s="66"/>
      <c r="JYJ49" s="66"/>
      <c r="JYK49" s="66"/>
      <c r="JYL49" s="66"/>
      <c r="JYM49" s="66"/>
      <c r="JYN49" s="66"/>
      <c r="JYO49" s="66"/>
      <c r="JYP49" s="66"/>
      <c r="JYQ49" s="66"/>
      <c r="JYR49" s="66"/>
      <c r="JYS49" s="66"/>
      <c r="JYT49" s="66"/>
      <c r="JYU49" s="66"/>
      <c r="JYV49" s="66"/>
      <c r="JYW49" s="66"/>
      <c r="JYX49" s="66"/>
      <c r="JYY49" s="66"/>
      <c r="JYZ49" s="66"/>
      <c r="JZA49" s="66"/>
      <c r="JZB49" s="66"/>
      <c r="JZC49" s="66"/>
      <c r="JZD49" s="66"/>
      <c r="JZE49" s="66"/>
      <c r="JZF49" s="66"/>
      <c r="JZG49" s="66"/>
      <c r="JZH49" s="66"/>
      <c r="JZI49" s="66"/>
      <c r="JZJ49" s="66"/>
      <c r="JZK49" s="66"/>
      <c r="JZL49" s="66"/>
      <c r="JZM49" s="66"/>
      <c r="JZN49" s="66"/>
      <c r="JZO49" s="66"/>
      <c r="JZP49" s="66"/>
      <c r="JZQ49" s="66"/>
      <c r="JZR49" s="66"/>
      <c r="JZS49" s="66"/>
      <c r="JZT49" s="66"/>
      <c r="JZU49" s="66"/>
      <c r="JZV49" s="66"/>
      <c r="JZW49" s="66"/>
      <c r="JZX49" s="66"/>
      <c r="JZY49" s="66"/>
      <c r="JZZ49" s="66"/>
      <c r="KAA49" s="66"/>
      <c r="KAB49" s="66"/>
      <c r="KAC49" s="66"/>
      <c r="KAD49" s="66"/>
      <c r="KAE49" s="66"/>
      <c r="KAF49" s="66"/>
      <c r="KAG49" s="66"/>
      <c r="KAH49" s="66"/>
      <c r="KAI49" s="66"/>
      <c r="KAJ49" s="66"/>
      <c r="KAK49" s="66"/>
      <c r="KAL49" s="66"/>
      <c r="KAM49" s="66"/>
      <c r="KAN49" s="66"/>
      <c r="KAO49" s="66"/>
      <c r="KAP49" s="66"/>
      <c r="KAQ49" s="66"/>
      <c r="KAR49" s="66"/>
      <c r="KAS49" s="66"/>
      <c r="KAT49" s="66"/>
      <c r="KAU49" s="66"/>
      <c r="KAV49" s="66"/>
      <c r="KAW49" s="66"/>
      <c r="KAX49" s="66"/>
      <c r="KAY49" s="66"/>
      <c r="KAZ49" s="66"/>
      <c r="KBA49" s="66"/>
      <c r="KBB49" s="66"/>
      <c r="KBC49" s="66"/>
      <c r="KBD49" s="66"/>
      <c r="KBE49" s="66"/>
      <c r="KBF49" s="66"/>
      <c r="KBG49" s="66"/>
      <c r="KBH49" s="66"/>
      <c r="KBI49" s="66"/>
      <c r="KBJ49" s="66"/>
      <c r="KBK49" s="66"/>
      <c r="KBL49" s="66"/>
      <c r="KBM49" s="66"/>
      <c r="KBN49" s="66"/>
      <c r="KBO49" s="66"/>
      <c r="KBP49" s="66"/>
      <c r="KBQ49" s="66"/>
      <c r="KBR49" s="66"/>
      <c r="KBS49" s="66"/>
      <c r="KBT49" s="66"/>
      <c r="KBU49" s="66"/>
      <c r="KBV49" s="66"/>
      <c r="KBW49" s="66"/>
      <c r="KBX49" s="66"/>
      <c r="KBY49" s="66"/>
      <c r="KBZ49" s="66"/>
      <c r="KCA49" s="66"/>
      <c r="KCB49" s="66"/>
      <c r="KCC49" s="66"/>
      <c r="KCD49" s="66"/>
      <c r="KCE49" s="66"/>
      <c r="KCF49" s="66"/>
      <c r="KCG49" s="66"/>
      <c r="KCH49" s="66"/>
      <c r="KCI49" s="66"/>
      <c r="KCJ49" s="66"/>
      <c r="KCK49" s="66"/>
      <c r="KCL49" s="66"/>
      <c r="KCM49" s="66"/>
      <c r="KCN49" s="66"/>
      <c r="KCO49" s="66"/>
      <c r="KCP49" s="66"/>
      <c r="KCQ49" s="66"/>
      <c r="KCR49" s="66"/>
      <c r="KCS49" s="66"/>
      <c r="KCT49" s="66"/>
      <c r="KCU49" s="66"/>
      <c r="KCV49" s="66"/>
      <c r="KCW49" s="66"/>
      <c r="KCX49" s="66"/>
      <c r="KCY49" s="66"/>
      <c r="KCZ49" s="66"/>
      <c r="KDA49" s="66"/>
      <c r="KDB49" s="66"/>
      <c r="KDC49" s="66"/>
      <c r="KDD49" s="66"/>
      <c r="KDE49" s="66"/>
      <c r="KDF49" s="66"/>
      <c r="KDG49" s="66"/>
      <c r="KDH49" s="66"/>
      <c r="KDI49" s="66"/>
      <c r="KDJ49" s="66"/>
      <c r="KDK49" s="66"/>
      <c r="KDL49" s="66"/>
      <c r="KDM49" s="66"/>
      <c r="KDN49" s="66"/>
      <c r="KDO49" s="66"/>
      <c r="KDP49" s="66"/>
      <c r="KDQ49" s="66"/>
      <c r="KDR49" s="66"/>
      <c r="KDS49" s="66"/>
      <c r="KDT49" s="66"/>
      <c r="KDU49" s="66"/>
      <c r="KDV49" s="66"/>
      <c r="KDW49" s="66"/>
      <c r="KDX49" s="66"/>
      <c r="KDY49" s="66"/>
      <c r="KDZ49" s="66"/>
      <c r="KEA49" s="66"/>
      <c r="KEB49" s="66"/>
      <c r="KEC49" s="66"/>
      <c r="KED49" s="66"/>
      <c r="KEE49" s="66"/>
      <c r="KEF49" s="66"/>
      <c r="KEG49" s="66"/>
      <c r="KEH49" s="66"/>
      <c r="KEI49" s="66"/>
      <c r="KEJ49" s="66"/>
      <c r="KEK49" s="66"/>
      <c r="KEL49" s="66"/>
      <c r="KEM49" s="66"/>
      <c r="KEN49" s="66"/>
      <c r="KEO49" s="66"/>
      <c r="KEP49" s="66"/>
      <c r="KEQ49" s="66"/>
      <c r="KER49" s="66"/>
      <c r="KES49" s="66"/>
      <c r="KET49" s="66"/>
      <c r="KEU49" s="66"/>
      <c r="KEV49" s="66"/>
      <c r="KEW49" s="66"/>
      <c r="KEX49" s="66"/>
      <c r="KEY49" s="66"/>
      <c r="KEZ49" s="66"/>
      <c r="KFA49" s="66"/>
      <c r="KFB49" s="66"/>
      <c r="KFC49" s="66"/>
      <c r="KFD49" s="66"/>
      <c r="KFE49" s="66"/>
      <c r="KFF49" s="66"/>
      <c r="KFG49" s="66"/>
      <c r="KFH49" s="66"/>
      <c r="KFI49" s="66"/>
      <c r="KFJ49" s="66"/>
      <c r="KFK49" s="66"/>
      <c r="KFL49" s="66"/>
      <c r="KFM49" s="66"/>
      <c r="KFN49" s="66"/>
      <c r="KFO49" s="66"/>
      <c r="KFP49" s="66"/>
      <c r="KFQ49" s="66"/>
      <c r="KFR49" s="66"/>
      <c r="KFS49" s="66"/>
      <c r="KFT49" s="66"/>
      <c r="KFU49" s="66"/>
      <c r="KFV49" s="66"/>
      <c r="KFW49" s="66"/>
      <c r="KFX49" s="66"/>
      <c r="KFY49" s="66"/>
      <c r="KFZ49" s="66"/>
      <c r="KGA49" s="66"/>
      <c r="KGB49" s="66"/>
      <c r="KGC49" s="66"/>
      <c r="KGD49" s="66"/>
      <c r="KGE49" s="66"/>
      <c r="KGF49" s="66"/>
      <c r="KGG49" s="66"/>
      <c r="KGH49" s="66"/>
      <c r="KGI49" s="66"/>
      <c r="KGJ49" s="66"/>
      <c r="KGK49" s="66"/>
      <c r="KGL49" s="66"/>
      <c r="KGM49" s="66"/>
      <c r="KGN49" s="66"/>
      <c r="KGO49" s="66"/>
      <c r="KGP49" s="66"/>
      <c r="KGQ49" s="66"/>
      <c r="KGR49" s="66"/>
      <c r="KGS49" s="66"/>
      <c r="KGT49" s="66"/>
      <c r="KGU49" s="66"/>
      <c r="KGV49" s="66"/>
      <c r="KGW49" s="66"/>
      <c r="KGX49" s="66"/>
      <c r="KGY49" s="66"/>
      <c r="KGZ49" s="66"/>
      <c r="KHA49" s="66"/>
      <c r="KHB49" s="66"/>
      <c r="KHC49" s="66"/>
      <c r="KHD49" s="66"/>
      <c r="KHE49" s="66"/>
      <c r="KHF49" s="66"/>
      <c r="KHG49" s="66"/>
      <c r="KHH49" s="66"/>
      <c r="KHI49" s="66"/>
      <c r="KHJ49" s="66"/>
      <c r="KHK49" s="66"/>
      <c r="KHL49" s="66"/>
      <c r="KHM49" s="66"/>
      <c r="KHN49" s="66"/>
      <c r="KHO49" s="66"/>
      <c r="KHP49" s="66"/>
      <c r="KHQ49" s="66"/>
      <c r="KHR49" s="66"/>
      <c r="KHS49" s="66"/>
      <c r="KHT49" s="66"/>
      <c r="KHU49" s="66"/>
      <c r="KHV49" s="66"/>
      <c r="KHW49" s="66"/>
      <c r="KHX49" s="66"/>
      <c r="KHY49" s="66"/>
      <c r="KHZ49" s="66"/>
      <c r="KIA49" s="66"/>
      <c r="KIB49" s="66"/>
      <c r="KIC49" s="66"/>
      <c r="KID49" s="66"/>
      <c r="KIE49" s="66"/>
      <c r="KIF49" s="66"/>
      <c r="KIG49" s="66"/>
      <c r="KIH49" s="66"/>
      <c r="KII49" s="66"/>
      <c r="KIJ49" s="66"/>
      <c r="KIK49" s="66"/>
      <c r="KIL49" s="66"/>
      <c r="KIM49" s="66"/>
      <c r="KIN49" s="66"/>
      <c r="KIO49" s="66"/>
      <c r="KIP49" s="66"/>
      <c r="KIQ49" s="66"/>
      <c r="KIR49" s="66"/>
      <c r="KIS49" s="66"/>
      <c r="KIT49" s="66"/>
      <c r="KIU49" s="66"/>
      <c r="KIV49" s="66"/>
      <c r="KIW49" s="66"/>
      <c r="KIX49" s="66"/>
      <c r="KIY49" s="66"/>
      <c r="KIZ49" s="66"/>
      <c r="KJA49" s="66"/>
      <c r="KJB49" s="66"/>
      <c r="KJC49" s="66"/>
      <c r="KJD49" s="66"/>
      <c r="KJE49" s="66"/>
      <c r="KJF49" s="66"/>
      <c r="KJG49" s="66"/>
      <c r="KJH49" s="66"/>
      <c r="KJI49" s="66"/>
      <c r="KJJ49" s="66"/>
      <c r="KJK49" s="66"/>
      <c r="KJL49" s="66"/>
      <c r="KJM49" s="66"/>
      <c r="KJN49" s="66"/>
      <c r="KJO49" s="66"/>
      <c r="KJP49" s="66"/>
      <c r="KJQ49" s="66"/>
      <c r="KJR49" s="66"/>
      <c r="KJS49" s="66"/>
      <c r="KJT49" s="66"/>
      <c r="KJU49" s="66"/>
      <c r="KJV49" s="66"/>
      <c r="KJW49" s="66"/>
      <c r="KJX49" s="66"/>
      <c r="KJY49" s="66"/>
      <c r="KJZ49" s="66"/>
      <c r="KKA49" s="66"/>
      <c r="KKB49" s="66"/>
      <c r="KKC49" s="66"/>
      <c r="KKD49" s="66"/>
      <c r="KKE49" s="66"/>
      <c r="KKF49" s="66"/>
      <c r="KKG49" s="66"/>
      <c r="KKH49" s="66"/>
      <c r="KKI49" s="66"/>
      <c r="KKJ49" s="66"/>
      <c r="KKK49" s="66"/>
      <c r="KKL49" s="66"/>
      <c r="KKM49" s="66"/>
      <c r="KKN49" s="66"/>
      <c r="KKO49" s="66"/>
      <c r="KKP49" s="66"/>
      <c r="KKQ49" s="66"/>
      <c r="KKR49" s="66"/>
      <c r="KKS49" s="66"/>
      <c r="KKT49" s="66"/>
      <c r="KKU49" s="66"/>
      <c r="KKV49" s="66"/>
      <c r="KKW49" s="66"/>
      <c r="KKX49" s="66"/>
      <c r="KKY49" s="66"/>
      <c r="KKZ49" s="66"/>
      <c r="KLA49" s="66"/>
      <c r="KLB49" s="66"/>
      <c r="KLC49" s="66"/>
      <c r="KLD49" s="66"/>
      <c r="KLE49" s="66"/>
      <c r="KLF49" s="66"/>
      <c r="KLG49" s="66"/>
      <c r="KLH49" s="66"/>
      <c r="KLI49" s="66"/>
      <c r="KLJ49" s="66"/>
      <c r="KLK49" s="66"/>
      <c r="KLL49" s="66"/>
      <c r="KLM49" s="66"/>
      <c r="KLN49" s="66"/>
      <c r="KLO49" s="66"/>
      <c r="KLP49" s="66"/>
      <c r="KLQ49" s="66"/>
      <c r="KLR49" s="66"/>
      <c r="KLS49" s="66"/>
      <c r="KLT49" s="66"/>
      <c r="KLU49" s="66"/>
      <c r="KLV49" s="66"/>
      <c r="KLW49" s="66"/>
      <c r="KLX49" s="66"/>
      <c r="KLY49" s="66"/>
      <c r="KLZ49" s="66"/>
      <c r="KMA49" s="66"/>
      <c r="KMB49" s="66"/>
      <c r="KMC49" s="66"/>
      <c r="KMD49" s="66"/>
      <c r="KME49" s="66"/>
      <c r="KMF49" s="66"/>
      <c r="KMG49" s="66"/>
      <c r="KMH49" s="66"/>
      <c r="KMI49" s="66"/>
      <c r="KMJ49" s="66"/>
      <c r="KMK49" s="66"/>
      <c r="KML49" s="66"/>
      <c r="KMM49" s="66"/>
      <c r="KMN49" s="66"/>
      <c r="KMO49" s="66"/>
      <c r="KMP49" s="66"/>
      <c r="KMQ49" s="66"/>
      <c r="KMR49" s="66"/>
      <c r="KMS49" s="66"/>
      <c r="KMT49" s="66"/>
      <c r="KMU49" s="66"/>
      <c r="KMV49" s="66"/>
      <c r="KMW49" s="66"/>
      <c r="KMX49" s="66"/>
      <c r="KMY49" s="66"/>
      <c r="KMZ49" s="66"/>
      <c r="KNA49" s="66"/>
      <c r="KNB49" s="66"/>
      <c r="KNC49" s="66"/>
      <c r="KND49" s="66"/>
      <c r="KNE49" s="66"/>
      <c r="KNF49" s="66"/>
      <c r="KNG49" s="66"/>
      <c r="KNH49" s="66"/>
      <c r="KNI49" s="66"/>
      <c r="KNJ49" s="66"/>
      <c r="KNK49" s="66"/>
      <c r="KNL49" s="66"/>
      <c r="KNM49" s="66"/>
      <c r="KNN49" s="66"/>
      <c r="KNO49" s="66"/>
      <c r="KNP49" s="66"/>
      <c r="KNQ49" s="66"/>
      <c r="KNR49" s="66"/>
      <c r="KNS49" s="66"/>
      <c r="KNT49" s="66"/>
      <c r="KNU49" s="66"/>
      <c r="KNV49" s="66"/>
      <c r="KNW49" s="66"/>
      <c r="KNX49" s="66"/>
      <c r="KNY49" s="66"/>
      <c r="KNZ49" s="66"/>
      <c r="KOA49" s="66"/>
      <c r="KOB49" s="66"/>
      <c r="KOC49" s="66"/>
      <c r="KOD49" s="66"/>
      <c r="KOE49" s="66"/>
      <c r="KOF49" s="66"/>
      <c r="KOG49" s="66"/>
      <c r="KOH49" s="66"/>
      <c r="KOI49" s="66"/>
      <c r="KOJ49" s="66"/>
      <c r="KOK49" s="66"/>
      <c r="KOL49" s="66"/>
      <c r="KOM49" s="66"/>
      <c r="KON49" s="66"/>
      <c r="KOO49" s="66"/>
      <c r="KOP49" s="66"/>
      <c r="KOQ49" s="66"/>
      <c r="KOR49" s="66"/>
      <c r="KOS49" s="66"/>
      <c r="KOT49" s="66"/>
      <c r="KOU49" s="66"/>
      <c r="KOV49" s="66"/>
      <c r="KOW49" s="66"/>
      <c r="KOX49" s="66"/>
      <c r="KOY49" s="66"/>
      <c r="KOZ49" s="66"/>
      <c r="KPA49" s="66"/>
      <c r="KPB49" s="66"/>
      <c r="KPC49" s="66"/>
      <c r="KPD49" s="66"/>
      <c r="KPE49" s="66"/>
      <c r="KPF49" s="66"/>
      <c r="KPG49" s="66"/>
      <c r="KPH49" s="66"/>
      <c r="KPI49" s="66"/>
      <c r="KPJ49" s="66"/>
      <c r="KPK49" s="66"/>
      <c r="KPL49" s="66"/>
      <c r="KPM49" s="66"/>
      <c r="KPN49" s="66"/>
      <c r="KPO49" s="66"/>
      <c r="KPP49" s="66"/>
      <c r="KPQ49" s="66"/>
      <c r="KPR49" s="66"/>
      <c r="KPS49" s="66"/>
      <c r="KPT49" s="66"/>
      <c r="KPU49" s="66"/>
      <c r="KPV49" s="66"/>
      <c r="KPW49" s="66"/>
      <c r="KPX49" s="66"/>
      <c r="KPY49" s="66"/>
      <c r="KPZ49" s="66"/>
      <c r="KQA49" s="66"/>
      <c r="KQB49" s="66"/>
      <c r="KQC49" s="66"/>
      <c r="KQD49" s="66"/>
      <c r="KQE49" s="66"/>
      <c r="KQF49" s="66"/>
      <c r="KQG49" s="66"/>
      <c r="KQH49" s="66"/>
      <c r="KQI49" s="66"/>
      <c r="KQJ49" s="66"/>
      <c r="KQK49" s="66"/>
      <c r="KQL49" s="66"/>
      <c r="KQM49" s="66"/>
      <c r="KQN49" s="66"/>
      <c r="KQO49" s="66"/>
      <c r="KQP49" s="66"/>
      <c r="KQQ49" s="66"/>
      <c r="KQR49" s="66"/>
      <c r="KQS49" s="66"/>
      <c r="KQT49" s="66"/>
      <c r="KQU49" s="66"/>
      <c r="KQV49" s="66"/>
      <c r="KQW49" s="66"/>
      <c r="KQX49" s="66"/>
      <c r="KQY49" s="66"/>
      <c r="KQZ49" s="66"/>
      <c r="KRA49" s="66"/>
      <c r="KRB49" s="66"/>
      <c r="KRC49" s="66"/>
      <c r="KRD49" s="66"/>
      <c r="KRE49" s="66"/>
      <c r="KRF49" s="66"/>
      <c r="KRG49" s="66"/>
      <c r="KRH49" s="66"/>
      <c r="KRI49" s="66"/>
      <c r="KRJ49" s="66"/>
      <c r="KRK49" s="66"/>
      <c r="KRL49" s="66"/>
      <c r="KRM49" s="66"/>
      <c r="KRN49" s="66"/>
      <c r="KRO49" s="66"/>
      <c r="KRP49" s="66"/>
      <c r="KRQ49" s="66"/>
      <c r="KRR49" s="66"/>
      <c r="KRS49" s="66"/>
      <c r="KRT49" s="66"/>
      <c r="KRU49" s="66"/>
      <c r="KRV49" s="66"/>
      <c r="KRW49" s="66"/>
      <c r="KRX49" s="66"/>
      <c r="KRY49" s="66"/>
      <c r="KRZ49" s="66"/>
      <c r="KSA49" s="66"/>
      <c r="KSB49" s="66"/>
      <c r="KSC49" s="66"/>
      <c r="KSD49" s="66"/>
      <c r="KSE49" s="66"/>
      <c r="KSF49" s="66"/>
      <c r="KSG49" s="66"/>
      <c r="KSH49" s="66"/>
      <c r="KSI49" s="66"/>
      <c r="KSJ49" s="66"/>
      <c r="KSK49" s="66"/>
      <c r="KSL49" s="66"/>
      <c r="KSM49" s="66"/>
      <c r="KSN49" s="66"/>
      <c r="KSO49" s="66"/>
      <c r="KSP49" s="66"/>
      <c r="KSQ49" s="66"/>
      <c r="KSR49" s="66"/>
      <c r="KSS49" s="66"/>
      <c r="KST49" s="66"/>
      <c r="KSU49" s="66"/>
      <c r="KSV49" s="66"/>
      <c r="KSW49" s="66"/>
      <c r="KSX49" s="66"/>
      <c r="KSY49" s="66"/>
      <c r="KSZ49" s="66"/>
      <c r="KTA49" s="66"/>
      <c r="KTB49" s="66"/>
      <c r="KTC49" s="66"/>
      <c r="KTD49" s="66"/>
      <c r="KTE49" s="66"/>
      <c r="KTF49" s="66"/>
      <c r="KTG49" s="66"/>
      <c r="KTH49" s="66"/>
      <c r="KTI49" s="66"/>
      <c r="KTJ49" s="66"/>
      <c r="KTK49" s="66"/>
      <c r="KTL49" s="66"/>
      <c r="KTM49" s="66"/>
      <c r="KTN49" s="66"/>
      <c r="KTO49" s="66"/>
      <c r="KTP49" s="66"/>
      <c r="KTQ49" s="66"/>
      <c r="KTR49" s="66"/>
      <c r="KTS49" s="66"/>
      <c r="KTT49" s="66"/>
      <c r="KTU49" s="66"/>
      <c r="KTV49" s="66"/>
      <c r="KTW49" s="66"/>
      <c r="KTX49" s="66"/>
      <c r="KTY49" s="66"/>
      <c r="KTZ49" s="66"/>
      <c r="KUA49" s="66"/>
      <c r="KUB49" s="66"/>
      <c r="KUC49" s="66"/>
      <c r="KUD49" s="66"/>
      <c r="KUE49" s="66"/>
      <c r="KUF49" s="66"/>
      <c r="KUG49" s="66"/>
      <c r="KUH49" s="66"/>
      <c r="KUI49" s="66"/>
      <c r="KUJ49" s="66"/>
      <c r="KUK49" s="66"/>
      <c r="KUL49" s="66"/>
      <c r="KUM49" s="66"/>
      <c r="KUN49" s="66"/>
      <c r="KUO49" s="66"/>
      <c r="KUP49" s="66"/>
      <c r="KUQ49" s="66"/>
      <c r="KUR49" s="66"/>
      <c r="KUS49" s="66"/>
      <c r="KUT49" s="66"/>
      <c r="KUU49" s="66"/>
      <c r="KUV49" s="66"/>
      <c r="KUW49" s="66"/>
      <c r="KUX49" s="66"/>
      <c r="KUY49" s="66"/>
      <c r="KUZ49" s="66"/>
      <c r="KVA49" s="66"/>
      <c r="KVB49" s="66"/>
      <c r="KVC49" s="66"/>
      <c r="KVD49" s="66"/>
      <c r="KVE49" s="66"/>
      <c r="KVF49" s="66"/>
      <c r="KVG49" s="66"/>
      <c r="KVH49" s="66"/>
      <c r="KVI49" s="66"/>
      <c r="KVJ49" s="66"/>
      <c r="KVK49" s="66"/>
      <c r="KVL49" s="66"/>
      <c r="KVM49" s="66"/>
      <c r="KVN49" s="66"/>
      <c r="KVO49" s="66"/>
      <c r="KVP49" s="66"/>
      <c r="KVQ49" s="66"/>
      <c r="KVR49" s="66"/>
      <c r="KVS49" s="66"/>
      <c r="KVT49" s="66"/>
      <c r="KVU49" s="66"/>
      <c r="KVV49" s="66"/>
      <c r="KVW49" s="66"/>
      <c r="KVX49" s="66"/>
      <c r="KVY49" s="66"/>
      <c r="KVZ49" s="66"/>
      <c r="KWA49" s="66"/>
      <c r="KWB49" s="66"/>
      <c r="KWC49" s="66"/>
      <c r="KWD49" s="66"/>
      <c r="KWE49" s="66"/>
      <c r="KWF49" s="66"/>
      <c r="KWG49" s="66"/>
      <c r="KWH49" s="66"/>
      <c r="KWI49" s="66"/>
      <c r="KWJ49" s="66"/>
      <c r="KWK49" s="66"/>
      <c r="KWL49" s="66"/>
      <c r="KWM49" s="66"/>
      <c r="KWN49" s="66"/>
      <c r="KWO49" s="66"/>
      <c r="KWP49" s="66"/>
      <c r="KWQ49" s="66"/>
      <c r="KWR49" s="66"/>
      <c r="KWS49" s="66"/>
      <c r="KWT49" s="66"/>
      <c r="KWU49" s="66"/>
      <c r="KWV49" s="66"/>
      <c r="KWW49" s="66"/>
      <c r="KWX49" s="66"/>
      <c r="KWY49" s="66"/>
      <c r="KWZ49" s="66"/>
      <c r="KXA49" s="66"/>
      <c r="KXB49" s="66"/>
      <c r="KXC49" s="66"/>
      <c r="KXD49" s="66"/>
      <c r="KXE49" s="66"/>
      <c r="KXF49" s="66"/>
      <c r="KXG49" s="66"/>
      <c r="KXH49" s="66"/>
      <c r="KXI49" s="66"/>
      <c r="KXJ49" s="66"/>
      <c r="KXK49" s="66"/>
      <c r="KXL49" s="66"/>
      <c r="KXM49" s="66"/>
      <c r="KXN49" s="66"/>
      <c r="KXO49" s="66"/>
      <c r="KXP49" s="66"/>
      <c r="KXQ49" s="66"/>
      <c r="KXR49" s="66"/>
      <c r="KXS49" s="66"/>
      <c r="KXT49" s="66"/>
      <c r="KXU49" s="66"/>
      <c r="KXV49" s="66"/>
      <c r="KXW49" s="66"/>
      <c r="KXX49" s="66"/>
      <c r="KXY49" s="66"/>
      <c r="KXZ49" s="66"/>
      <c r="KYA49" s="66"/>
      <c r="KYB49" s="66"/>
      <c r="KYC49" s="66"/>
      <c r="KYD49" s="66"/>
      <c r="KYE49" s="66"/>
      <c r="KYF49" s="66"/>
      <c r="KYG49" s="66"/>
      <c r="KYH49" s="66"/>
      <c r="KYI49" s="66"/>
      <c r="KYJ49" s="66"/>
      <c r="KYK49" s="66"/>
      <c r="KYL49" s="66"/>
      <c r="KYM49" s="66"/>
      <c r="KYN49" s="66"/>
      <c r="KYO49" s="66"/>
      <c r="KYP49" s="66"/>
      <c r="KYQ49" s="66"/>
      <c r="KYR49" s="66"/>
      <c r="KYS49" s="66"/>
      <c r="KYT49" s="66"/>
      <c r="KYU49" s="66"/>
      <c r="KYV49" s="66"/>
      <c r="KYW49" s="66"/>
      <c r="KYX49" s="66"/>
      <c r="KYY49" s="66"/>
      <c r="KYZ49" s="66"/>
      <c r="KZA49" s="66"/>
      <c r="KZB49" s="66"/>
      <c r="KZC49" s="66"/>
      <c r="KZD49" s="66"/>
      <c r="KZE49" s="66"/>
      <c r="KZF49" s="66"/>
      <c r="KZG49" s="66"/>
      <c r="KZH49" s="66"/>
      <c r="KZI49" s="66"/>
      <c r="KZJ49" s="66"/>
      <c r="KZK49" s="66"/>
      <c r="KZL49" s="66"/>
      <c r="KZM49" s="66"/>
      <c r="KZN49" s="66"/>
      <c r="KZO49" s="66"/>
      <c r="KZP49" s="66"/>
      <c r="KZQ49" s="66"/>
      <c r="KZR49" s="66"/>
      <c r="KZS49" s="66"/>
      <c r="KZT49" s="66"/>
      <c r="KZU49" s="66"/>
      <c r="KZV49" s="66"/>
      <c r="KZW49" s="66"/>
      <c r="KZX49" s="66"/>
      <c r="KZY49" s="66"/>
      <c r="KZZ49" s="66"/>
      <c r="LAA49" s="66"/>
      <c r="LAB49" s="66"/>
      <c r="LAC49" s="66"/>
      <c r="LAD49" s="66"/>
      <c r="LAE49" s="66"/>
      <c r="LAF49" s="66"/>
      <c r="LAG49" s="66"/>
      <c r="LAH49" s="66"/>
      <c r="LAI49" s="66"/>
      <c r="LAJ49" s="66"/>
      <c r="LAK49" s="66"/>
      <c r="LAL49" s="66"/>
      <c r="LAM49" s="66"/>
      <c r="LAN49" s="66"/>
      <c r="LAO49" s="66"/>
      <c r="LAP49" s="66"/>
      <c r="LAQ49" s="66"/>
      <c r="LAR49" s="66"/>
      <c r="LAS49" s="66"/>
      <c r="LAT49" s="66"/>
      <c r="LAU49" s="66"/>
      <c r="LAV49" s="66"/>
      <c r="LAW49" s="66"/>
      <c r="LAX49" s="66"/>
      <c r="LAY49" s="66"/>
      <c r="LAZ49" s="66"/>
      <c r="LBA49" s="66"/>
      <c r="LBB49" s="66"/>
      <c r="LBC49" s="66"/>
      <c r="LBD49" s="66"/>
      <c r="LBE49" s="66"/>
      <c r="LBF49" s="66"/>
      <c r="LBG49" s="66"/>
      <c r="LBH49" s="66"/>
      <c r="LBI49" s="66"/>
      <c r="LBJ49" s="66"/>
      <c r="LBK49" s="66"/>
      <c r="LBL49" s="66"/>
      <c r="LBM49" s="66"/>
      <c r="LBN49" s="66"/>
      <c r="LBO49" s="66"/>
      <c r="LBP49" s="66"/>
      <c r="LBQ49" s="66"/>
      <c r="LBR49" s="66"/>
      <c r="LBS49" s="66"/>
      <c r="LBT49" s="66"/>
      <c r="LBU49" s="66"/>
      <c r="LBV49" s="66"/>
      <c r="LBW49" s="66"/>
      <c r="LBX49" s="66"/>
      <c r="LBY49" s="66"/>
      <c r="LBZ49" s="66"/>
      <c r="LCA49" s="66"/>
      <c r="LCB49" s="66"/>
      <c r="LCC49" s="66"/>
      <c r="LCD49" s="66"/>
      <c r="LCE49" s="66"/>
      <c r="LCF49" s="66"/>
      <c r="LCG49" s="66"/>
      <c r="LCH49" s="66"/>
      <c r="LCI49" s="66"/>
      <c r="LCJ49" s="66"/>
      <c r="LCK49" s="66"/>
      <c r="LCL49" s="66"/>
      <c r="LCM49" s="66"/>
      <c r="LCN49" s="66"/>
      <c r="LCO49" s="66"/>
      <c r="LCP49" s="66"/>
      <c r="LCQ49" s="66"/>
      <c r="LCR49" s="66"/>
      <c r="LCS49" s="66"/>
      <c r="LCT49" s="66"/>
      <c r="LCU49" s="66"/>
      <c r="LCV49" s="66"/>
      <c r="LCW49" s="66"/>
      <c r="LCX49" s="66"/>
      <c r="LCY49" s="66"/>
      <c r="LCZ49" s="66"/>
      <c r="LDA49" s="66"/>
      <c r="LDB49" s="66"/>
      <c r="LDC49" s="66"/>
      <c r="LDD49" s="66"/>
      <c r="LDE49" s="66"/>
      <c r="LDF49" s="66"/>
      <c r="LDG49" s="66"/>
      <c r="LDH49" s="66"/>
      <c r="LDI49" s="66"/>
      <c r="LDJ49" s="66"/>
      <c r="LDK49" s="66"/>
      <c r="LDL49" s="66"/>
      <c r="LDM49" s="66"/>
      <c r="LDN49" s="66"/>
      <c r="LDO49" s="66"/>
      <c r="LDP49" s="66"/>
      <c r="LDQ49" s="66"/>
      <c r="LDR49" s="66"/>
      <c r="LDS49" s="66"/>
      <c r="LDT49" s="66"/>
      <c r="LDU49" s="66"/>
      <c r="LDV49" s="66"/>
      <c r="LDW49" s="66"/>
      <c r="LDX49" s="66"/>
      <c r="LDY49" s="66"/>
      <c r="LDZ49" s="66"/>
      <c r="LEA49" s="66"/>
      <c r="LEB49" s="66"/>
      <c r="LEC49" s="66"/>
      <c r="LED49" s="66"/>
      <c r="LEE49" s="66"/>
      <c r="LEF49" s="66"/>
      <c r="LEG49" s="66"/>
      <c r="LEH49" s="66"/>
      <c r="LEI49" s="66"/>
      <c r="LEJ49" s="66"/>
      <c r="LEK49" s="66"/>
      <c r="LEL49" s="66"/>
      <c r="LEM49" s="66"/>
      <c r="LEN49" s="66"/>
      <c r="LEO49" s="66"/>
      <c r="LEP49" s="66"/>
      <c r="LEQ49" s="66"/>
      <c r="LER49" s="66"/>
      <c r="LES49" s="66"/>
      <c r="LET49" s="66"/>
      <c r="LEU49" s="66"/>
      <c r="LEV49" s="66"/>
      <c r="LEW49" s="66"/>
      <c r="LEX49" s="66"/>
      <c r="LEY49" s="66"/>
      <c r="LEZ49" s="66"/>
      <c r="LFA49" s="66"/>
      <c r="LFB49" s="66"/>
      <c r="LFC49" s="66"/>
      <c r="LFD49" s="66"/>
      <c r="LFE49" s="66"/>
      <c r="LFF49" s="66"/>
      <c r="LFG49" s="66"/>
      <c r="LFH49" s="66"/>
      <c r="LFI49" s="66"/>
      <c r="LFJ49" s="66"/>
      <c r="LFK49" s="66"/>
      <c r="LFL49" s="66"/>
      <c r="LFM49" s="66"/>
      <c r="LFN49" s="66"/>
      <c r="LFO49" s="66"/>
      <c r="LFP49" s="66"/>
      <c r="LFQ49" s="66"/>
      <c r="LFR49" s="66"/>
      <c r="LFS49" s="66"/>
      <c r="LFT49" s="66"/>
      <c r="LFU49" s="66"/>
      <c r="LFV49" s="66"/>
      <c r="LFW49" s="66"/>
      <c r="LFX49" s="66"/>
      <c r="LFY49" s="66"/>
      <c r="LFZ49" s="66"/>
      <c r="LGA49" s="66"/>
      <c r="LGB49" s="66"/>
      <c r="LGC49" s="66"/>
      <c r="LGD49" s="66"/>
      <c r="LGE49" s="66"/>
      <c r="LGF49" s="66"/>
      <c r="LGG49" s="66"/>
      <c r="LGH49" s="66"/>
      <c r="LGI49" s="66"/>
      <c r="LGJ49" s="66"/>
      <c r="LGK49" s="66"/>
      <c r="LGL49" s="66"/>
      <c r="LGM49" s="66"/>
      <c r="LGN49" s="66"/>
      <c r="LGO49" s="66"/>
      <c r="LGP49" s="66"/>
      <c r="LGQ49" s="66"/>
      <c r="LGR49" s="66"/>
      <c r="LGS49" s="66"/>
      <c r="LGT49" s="66"/>
      <c r="LGU49" s="66"/>
      <c r="LGV49" s="66"/>
      <c r="LGW49" s="66"/>
      <c r="LGX49" s="66"/>
      <c r="LGY49" s="66"/>
      <c r="LGZ49" s="66"/>
      <c r="LHA49" s="66"/>
      <c r="LHB49" s="66"/>
      <c r="LHC49" s="66"/>
      <c r="LHD49" s="66"/>
      <c r="LHE49" s="66"/>
      <c r="LHF49" s="66"/>
      <c r="LHG49" s="66"/>
      <c r="LHH49" s="66"/>
      <c r="LHI49" s="66"/>
      <c r="LHJ49" s="66"/>
      <c r="LHK49" s="66"/>
      <c r="LHL49" s="66"/>
      <c r="LHM49" s="66"/>
      <c r="LHN49" s="66"/>
      <c r="LHO49" s="66"/>
      <c r="LHP49" s="66"/>
      <c r="LHQ49" s="66"/>
      <c r="LHR49" s="66"/>
      <c r="LHS49" s="66"/>
      <c r="LHT49" s="66"/>
      <c r="LHU49" s="66"/>
      <c r="LHV49" s="66"/>
      <c r="LHW49" s="66"/>
      <c r="LHX49" s="66"/>
      <c r="LHY49" s="66"/>
      <c r="LHZ49" s="66"/>
      <c r="LIA49" s="66"/>
      <c r="LIB49" s="66"/>
      <c r="LIC49" s="66"/>
      <c r="LID49" s="66"/>
      <c r="LIE49" s="66"/>
      <c r="LIF49" s="66"/>
      <c r="LIG49" s="66"/>
      <c r="LIH49" s="66"/>
      <c r="LII49" s="66"/>
      <c r="LIJ49" s="66"/>
      <c r="LIK49" s="66"/>
      <c r="LIL49" s="66"/>
      <c r="LIM49" s="66"/>
      <c r="LIN49" s="66"/>
      <c r="LIO49" s="66"/>
      <c r="LIP49" s="66"/>
      <c r="LIQ49" s="66"/>
      <c r="LIR49" s="66"/>
      <c r="LIS49" s="66"/>
      <c r="LIT49" s="66"/>
      <c r="LIU49" s="66"/>
      <c r="LIV49" s="66"/>
      <c r="LIW49" s="66"/>
      <c r="LIX49" s="66"/>
      <c r="LIY49" s="66"/>
      <c r="LIZ49" s="66"/>
      <c r="LJA49" s="66"/>
      <c r="LJB49" s="66"/>
      <c r="LJC49" s="66"/>
      <c r="LJD49" s="66"/>
      <c r="LJE49" s="66"/>
      <c r="LJF49" s="66"/>
      <c r="LJG49" s="66"/>
      <c r="LJH49" s="66"/>
      <c r="LJI49" s="66"/>
      <c r="LJJ49" s="66"/>
      <c r="LJK49" s="66"/>
      <c r="LJL49" s="66"/>
      <c r="LJM49" s="66"/>
      <c r="LJN49" s="66"/>
      <c r="LJO49" s="66"/>
      <c r="LJP49" s="66"/>
      <c r="LJQ49" s="66"/>
      <c r="LJR49" s="66"/>
      <c r="LJS49" s="66"/>
      <c r="LJT49" s="66"/>
      <c r="LJU49" s="66"/>
      <c r="LJV49" s="66"/>
      <c r="LJW49" s="66"/>
      <c r="LJX49" s="66"/>
      <c r="LJY49" s="66"/>
      <c r="LJZ49" s="66"/>
      <c r="LKA49" s="66"/>
      <c r="LKB49" s="66"/>
      <c r="LKC49" s="66"/>
      <c r="LKD49" s="66"/>
      <c r="LKE49" s="66"/>
      <c r="LKF49" s="66"/>
      <c r="LKG49" s="66"/>
      <c r="LKH49" s="66"/>
      <c r="LKI49" s="66"/>
      <c r="LKJ49" s="66"/>
      <c r="LKK49" s="66"/>
      <c r="LKL49" s="66"/>
      <c r="LKM49" s="66"/>
      <c r="LKN49" s="66"/>
      <c r="LKO49" s="66"/>
      <c r="LKP49" s="66"/>
      <c r="LKQ49" s="66"/>
      <c r="LKR49" s="66"/>
      <c r="LKS49" s="66"/>
      <c r="LKT49" s="66"/>
      <c r="LKU49" s="66"/>
      <c r="LKV49" s="66"/>
      <c r="LKW49" s="66"/>
      <c r="LKX49" s="66"/>
      <c r="LKY49" s="66"/>
      <c r="LKZ49" s="66"/>
      <c r="LLA49" s="66"/>
      <c r="LLB49" s="66"/>
      <c r="LLC49" s="66"/>
      <c r="LLD49" s="66"/>
      <c r="LLE49" s="66"/>
      <c r="LLF49" s="66"/>
      <c r="LLG49" s="66"/>
      <c r="LLH49" s="66"/>
      <c r="LLI49" s="66"/>
      <c r="LLJ49" s="66"/>
      <c r="LLK49" s="66"/>
      <c r="LLL49" s="66"/>
      <c r="LLM49" s="66"/>
      <c r="LLN49" s="66"/>
      <c r="LLO49" s="66"/>
      <c r="LLP49" s="66"/>
      <c r="LLQ49" s="66"/>
      <c r="LLR49" s="66"/>
      <c r="LLS49" s="66"/>
      <c r="LLT49" s="66"/>
      <c r="LLU49" s="66"/>
      <c r="LLV49" s="66"/>
      <c r="LLW49" s="66"/>
      <c r="LLX49" s="66"/>
      <c r="LLY49" s="66"/>
      <c r="LLZ49" s="66"/>
      <c r="LMA49" s="66"/>
      <c r="LMB49" s="66"/>
      <c r="LMC49" s="66"/>
      <c r="LMD49" s="66"/>
      <c r="LME49" s="66"/>
      <c r="LMF49" s="66"/>
      <c r="LMG49" s="66"/>
      <c r="LMH49" s="66"/>
      <c r="LMI49" s="66"/>
      <c r="LMJ49" s="66"/>
      <c r="LMK49" s="66"/>
      <c r="LML49" s="66"/>
      <c r="LMM49" s="66"/>
      <c r="LMN49" s="66"/>
      <c r="LMO49" s="66"/>
      <c r="LMP49" s="66"/>
      <c r="LMQ49" s="66"/>
      <c r="LMR49" s="66"/>
      <c r="LMS49" s="66"/>
      <c r="LMT49" s="66"/>
      <c r="LMU49" s="66"/>
      <c r="LMV49" s="66"/>
      <c r="LMW49" s="66"/>
      <c r="LMX49" s="66"/>
      <c r="LMY49" s="66"/>
      <c r="LMZ49" s="66"/>
      <c r="LNA49" s="66"/>
      <c r="LNB49" s="66"/>
      <c r="LNC49" s="66"/>
      <c r="LND49" s="66"/>
      <c r="LNE49" s="66"/>
      <c r="LNF49" s="66"/>
      <c r="LNG49" s="66"/>
      <c r="LNH49" s="66"/>
      <c r="LNI49" s="66"/>
      <c r="LNJ49" s="66"/>
      <c r="LNK49" s="66"/>
      <c r="LNL49" s="66"/>
      <c r="LNM49" s="66"/>
      <c r="LNN49" s="66"/>
      <c r="LNO49" s="66"/>
      <c r="LNP49" s="66"/>
      <c r="LNQ49" s="66"/>
      <c r="LNR49" s="66"/>
      <c r="LNS49" s="66"/>
      <c r="LNT49" s="66"/>
      <c r="LNU49" s="66"/>
      <c r="LNV49" s="66"/>
      <c r="LNW49" s="66"/>
      <c r="LNX49" s="66"/>
      <c r="LNY49" s="66"/>
      <c r="LNZ49" s="66"/>
      <c r="LOA49" s="66"/>
      <c r="LOB49" s="66"/>
      <c r="LOC49" s="66"/>
      <c r="LOD49" s="66"/>
      <c r="LOE49" s="66"/>
      <c r="LOF49" s="66"/>
      <c r="LOG49" s="66"/>
      <c r="LOH49" s="66"/>
      <c r="LOI49" s="66"/>
      <c r="LOJ49" s="66"/>
      <c r="LOK49" s="66"/>
      <c r="LOL49" s="66"/>
      <c r="LOM49" s="66"/>
      <c r="LON49" s="66"/>
      <c r="LOO49" s="66"/>
      <c r="LOP49" s="66"/>
      <c r="LOQ49" s="66"/>
      <c r="LOR49" s="66"/>
      <c r="LOS49" s="66"/>
      <c r="LOT49" s="66"/>
      <c r="LOU49" s="66"/>
      <c r="LOV49" s="66"/>
      <c r="LOW49" s="66"/>
      <c r="LOX49" s="66"/>
      <c r="LOY49" s="66"/>
      <c r="LOZ49" s="66"/>
      <c r="LPA49" s="66"/>
      <c r="LPB49" s="66"/>
      <c r="LPC49" s="66"/>
      <c r="LPD49" s="66"/>
      <c r="LPE49" s="66"/>
      <c r="LPF49" s="66"/>
      <c r="LPG49" s="66"/>
      <c r="LPH49" s="66"/>
      <c r="LPI49" s="66"/>
      <c r="LPJ49" s="66"/>
      <c r="LPK49" s="66"/>
      <c r="LPL49" s="66"/>
      <c r="LPM49" s="66"/>
      <c r="LPN49" s="66"/>
      <c r="LPO49" s="66"/>
      <c r="LPP49" s="66"/>
      <c r="LPQ49" s="66"/>
      <c r="LPR49" s="66"/>
      <c r="LPS49" s="66"/>
      <c r="LPT49" s="66"/>
      <c r="LPU49" s="66"/>
      <c r="LPV49" s="66"/>
      <c r="LPW49" s="66"/>
      <c r="LPX49" s="66"/>
      <c r="LPY49" s="66"/>
      <c r="LPZ49" s="66"/>
      <c r="LQA49" s="66"/>
      <c r="LQB49" s="66"/>
      <c r="LQC49" s="66"/>
      <c r="LQD49" s="66"/>
      <c r="LQE49" s="66"/>
      <c r="LQF49" s="66"/>
      <c r="LQG49" s="66"/>
      <c r="LQH49" s="66"/>
      <c r="LQI49" s="66"/>
      <c r="LQJ49" s="66"/>
      <c r="LQK49" s="66"/>
      <c r="LQL49" s="66"/>
      <c r="LQM49" s="66"/>
      <c r="LQN49" s="66"/>
      <c r="LQO49" s="66"/>
      <c r="LQP49" s="66"/>
      <c r="LQQ49" s="66"/>
      <c r="LQR49" s="66"/>
      <c r="LQS49" s="66"/>
      <c r="LQT49" s="66"/>
      <c r="LQU49" s="66"/>
      <c r="LQV49" s="66"/>
      <c r="LQW49" s="66"/>
      <c r="LQX49" s="66"/>
      <c r="LQY49" s="66"/>
      <c r="LQZ49" s="66"/>
      <c r="LRA49" s="66"/>
      <c r="LRB49" s="66"/>
      <c r="LRC49" s="66"/>
      <c r="LRD49" s="66"/>
      <c r="LRE49" s="66"/>
      <c r="LRF49" s="66"/>
      <c r="LRG49" s="66"/>
      <c r="LRH49" s="66"/>
      <c r="LRI49" s="66"/>
      <c r="LRJ49" s="66"/>
      <c r="LRK49" s="66"/>
      <c r="LRL49" s="66"/>
      <c r="LRM49" s="66"/>
      <c r="LRN49" s="66"/>
      <c r="LRO49" s="66"/>
      <c r="LRP49" s="66"/>
      <c r="LRQ49" s="66"/>
      <c r="LRR49" s="66"/>
      <c r="LRS49" s="66"/>
      <c r="LRT49" s="66"/>
      <c r="LRU49" s="66"/>
      <c r="LRV49" s="66"/>
      <c r="LRW49" s="66"/>
      <c r="LRX49" s="66"/>
      <c r="LRY49" s="66"/>
      <c r="LRZ49" s="66"/>
      <c r="LSA49" s="66"/>
      <c r="LSB49" s="66"/>
      <c r="LSC49" s="66"/>
      <c r="LSD49" s="66"/>
      <c r="LSE49" s="66"/>
      <c r="LSF49" s="66"/>
      <c r="LSG49" s="66"/>
      <c r="LSH49" s="66"/>
      <c r="LSI49" s="66"/>
      <c r="LSJ49" s="66"/>
      <c r="LSK49" s="66"/>
      <c r="LSL49" s="66"/>
      <c r="LSM49" s="66"/>
      <c r="LSN49" s="66"/>
      <c r="LSO49" s="66"/>
      <c r="LSP49" s="66"/>
      <c r="LSQ49" s="66"/>
      <c r="LSR49" s="66"/>
      <c r="LSS49" s="66"/>
      <c r="LST49" s="66"/>
      <c r="LSU49" s="66"/>
      <c r="LSV49" s="66"/>
      <c r="LSW49" s="66"/>
      <c r="LSX49" s="66"/>
      <c r="LSY49" s="66"/>
      <c r="LSZ49" s="66"/>
      <c r="LTA49" s="66"/>
      <c r="LTB49" s="66"/>
      <c r="LTC49" s="66"/>
      <c r="LTD49" s="66"/>
      <c r="LTE49" s="66"/>
      <c r="LTF49" s="66"/>
      <c r="LTG49" s="66"/>
      <c r="LTH49" s="66"/>
      <c r="LTI49" s="66"/>
      <c r="LTJ49" s="66"/>
      <c r="LTK49" s="66"/>
      <c r="LTL49" s="66"/>
      <c r="LTM49" s="66"/>
      <c r="LTN49" s="66"/>
      <c r="LTO49" s="66"/>
      <c r="LTP49" s="66"/>
      <c r="LTQ49" s="66"/>
      <c r="LTR49" s="66"/>
      <c r="LTS49" s="66"/>
      <c r="LTT49" s="66"/>
      <c r="LTU49" s="66"/>
      <c r="LTV49" s="66"/>
      <c r="LTW49" s="66"/>
      <c r="LTX49" s="66"/>
      <c r="LTY49" s="66"/>
      <c r="LTZ49" s="66"/>
      <c r="LUA49" s="66"/>
      <c r="LUB49" s="66"/>
      <c r="LUC49" s="66"/>
      <c r="LUD49" s="66"/>
      <c r="LUE49" s="66"/>
      <c r="LUF49" s="66"/>
      <c r="LUG49" s="66"/>
      <c r="LUH49" s="66"/>
      <c r="LUI49" s="66"/>
      <c r="LUJ49" s="66"/>
      <c r="LUK49" s="66"/>
      <c r="LUL49" s="66"/>
      <c r="LUM49" s="66"/>
      <c r="LUN49" s="66"/>
      <c r="LUO49" s="66"/>
      <c r="LUP49" s="66"/>
      <c r="LUQ49" s="66"/>
      <c r="LUR49" s="66"/>
      <c r="LUS49" s="66"/>
      <c r="LUT49" s="66"/>
      <c r="LUU49" s="66"/>
      <c r="LUV49" s="66"/>
      <c r="LUW49" s="66"/>
      <c r="LUX49" s="66"/>
      <c r="LUY49" s="66"/>
      <c r="LUZ49" s="66"/>
      <c r="LVA49" s="66"/>
      <c r="LVB49" s="66"/>
      <c r="LVC49" s="66"/>
      <c r="LVD49" s="66"/>
      <c r="LVE49" s="66"/>
      <c r="LVF49" s="66"/>
      <c r="LVG49" s="66"/>
      <c r="LVH49" s="66"/>
      <c r="LVI49" s="66"/>
      <c r="LVJ49" s="66"/>
      <c r="LVK49" s="66"/>
      <c r="LVL49" s="66"/>
      <c r="LVM49" s="66"/>
      <c r="LVN49" s="66"/>
      <c r="LVO49" s="66"/>
      <c r="LVP49" s="66"/>
      <c r="LVQ49" s="66"/>
      <c r="LVR49" s="66"/>
      <c r="LVS49" s="66"/>
      <c r="LVT49" s="66"/>
      <c r="LVU49" s="66"/>
      <c r="LVV49" s="66"/>
      <c r="LVW49" s="66"/>
      <c r="LVX49" s="66"/>
      <c r="LVY49" s="66"/>
      <c r="LVZ49" s="66"/>
      <c r="LWA49" s="66"/>
      <c r="LWB49" s="66"/>
      <c r="LWC49" s="66"/>
      <c r="LWD49" s="66"/>
      <c r="LWE49" s="66"/>
      <c r="LWF49" s="66"/>
      <c r="LWG49" s="66"/>
      <c r="LWH49" s="66"/>
      <c r="LWI49" s="66"/>
      <c r="LWJ49" s="66"/>
      <c r="LWK49" s="66"/>
      <c r="LWL49" s="66"/>
      <c r="LWM49" s="66"/>
      <c r="LWN49" s="66"/>
      <c r="LWO49" s="66"/>
      <c r="LWP49" s="66"/>
      <c r="LWQ49" s="66"/>
      <c r="LWR49" s="66"/>
      <c r="LWS49" s="66"/>
      <c r="LWT49" s="66"/>
      <c r="LWU49" s="66"/>
      <c r="LWV49" s="66"/>
      <c r="LWW49" s="66"/>
      <c r="LWX49" s="66"/>
      <c r="LWY49" s="66"/>
      <c r="LWZ49" s="66"/>
      <c r="LXA49" s="66"/>
      <c r="LXB49" s="66"/>
      <c r="LXC49" s="66"/>
      <c r="LXD49" s="66"/>
      <c r="LXE49" s="66"/>
      <c r="LXF49" s="66"/>
      <c r="LXG49" s="66"/>
      <c r="LXH49" s="66"/>
      <c r="LXI49" s="66"/>
      <c r="LXJ49" s="66"/>
      <c r="LXK49" s="66"/>
      <c r="LXL49" s="66"/>
      <c r="LXM49" s="66"/>
      <c r="LXN49" s="66"/>
      <c r="LXO49" s="66"/>
      <c r="LXP49" s="66"/>
      <c r="LXQ49" s="66"/>
      <c r="LXR49" s="66"/>
      <c r="LXS49" s="66"/>
      <c r="LXT49" s="66"/>
      <c r="LXU49" s="66"/>
      <c r="LXV49" s="66"/>
      <c r="LXW49" s="66"/>
      <c r="LXX49" s="66"/>
      <c r="LXY49" s="66"/>
      <c r="LXZ49" s="66"/>
      <c r="LYA49" s="66"/>
      <c r="LYB49" s="66"/>
      <c r="LYC49" s="66"/>
      <c r="LYD49" s="66"/>
      <c r="LYE49" s="66"/>
      <c r="LYF49" s="66"/>
      <c r="LYG49" s="66"/>
      <c r="LYH49" s="66"/>
      <c r="LYI49" s="66"/>
      <c r="LYJ49" s="66"/>
      <c r="LYK49" s="66"/>
      <c r="LYL49" s="66"/>
      <c r="LYM49" s="66"/>
      <c r="LYN49" s="66"/>
      <c r="LYO49" s="66"/>
      <c r="LYP49" s="66"/>
      <c r="LYQ49" s="66"/>
      <c r="LYR49" s="66"/>
      <c r="LYS49" s="66"/>
      <c r="LYT49" s="66"/>
      <c r="LYU49" s="66"/>
      <c r="LYV49" s="66"/>
      <c r="LYW49" s="66"/>
      <c r="LYX49" s="66"/>
      <c r="LYY49" s="66"/>
      <c r="LYZ49" s="66"/>
      <c r="LZA49" s="66"/>
      <c r="LZB49" s="66"/>
      <c r="LZC49" s="66"/>
      <c r="LZD49" s="66"/>
      <c r="LZE49" s="66"/>
      <c r="LZF49" s="66"/>
      <c r="LZG49" s="66"/>
      <c r="LZH49" s="66"/>
      <c r="LZI49" s="66"/>
      <c r="LZJ49" s="66"/>
      <c r="LZK49" s="66"/>
      <c r="LZL49" s="66"/>
      <c r="LZM49" s="66"/>
      <c r="LZN49" s="66"/>
      <c r="LZO49" s="66"/>
      <c r="LZP49" s="66"/>
      <c r="LZQ49" s="66"/>
      <c r="LZR49" s="66"/>
      <c r="LZS49" s="66"/>
      <c r="LZT49" s="66"/>
      <c r="LZU49" s="66"/>
      <c r="LZV49" s="66"/>
      <c r="LZW49" s="66"/>
      <c r="LZX49" s="66"/>
      <c r="LZY49" s="66"/>
      <c r="LZZ49" s="66"/>
      <c r="MAA49" s="66"/>
      <c r="MAB49" s="66"/>
      <c r="MAC49" s="66"/>
      <c r="MAD49" s="66"/>
      <c r="MAE49" s="66"/>
      <c r="MAF49" s="66"/>
      <c r="MAG49" s="66"/>
      <c r="MAH49" s="66"/>
      <c r="MAI49" s="66"/>
      <c r="MAJ49" s="66"/>
      <c r="MAK49" s="66"/>
      <c r="MAL49" s="66"/>
      <c r="MAM49" s="66"/>
      <c r="MAN49" s="66"/>
      <c r="MAO49" s="66"/>
      <c r="MAP49" s="66"/>
      <c r="MAQ49" s="66"/>
      <c r="MAR49" s="66"/>
      <c r="MAS49" s="66"/>
      <c r="MAT49" s="66"/>
      <c r="MAU49" s="66"/>
      <c r="MAV49" s="66"/>
      <c r="MAW49" s="66"/>
      <c r="MAX49" s="66"/>
      <c r="MAY49" s="66"/>
      <c r="MAZ49" s="66"/>
      <c r="MBA49" s="66"/>
      <c r="MBB49" s="66"/>
      <c r="MBC49" s="66"/>
      <c r="MBD49" s="66"/>
      <c r="MBE49" s="66"/>
      <c r="MBF49" s="66"/>
      <c r="MBG49" s="66"/>
      <c r="MBH49" s="66"/>
      <c r="MBI49" s="66"/>
      <c r="MBJ49" s="66"/>
      <c r="MBK49" s="66"/>
      <c r="MBL49" s="66"/>
      <c r="MBM49" s="66"/>
      <c r="MBN49" s="66"/>
      <c r="MBO49" s="66"/>
      <c r="MBP49" s="66"/>
      <c r="MBQ49" s="66"/>
      <c r="MBR49" s="66"/>
      <c r="MBS49" s="66"/>
      <c r="MBT49" s="66"/>
      <c r="MBU49" s="66"/>
      <c r="MBV49" s="66"/>
      <c r="MBW49" s="66"/>
      <c r="MBX49" s="66"/>
      <c r="MBY49" s="66"/>
      <c r="MBZ49" s="66"/>
      <c r="MCA49" s="66"/>
      <c r="MCB49" s="66"/>
      <c r="MCC49" s="66"/>
      <c r="MCD49" s="66"/>
      <c r="MCE49" s="66"/>
      <c r="MCF49" s="66"/>
      <c r="MCG49" s="66"/>
      <c r="MCH49" s="66"/>
      <c r="MCI49" s="66"/>
      <c r="MCJ49" s="66"/>
      <c r="MCK49" s="66"/>
      <c r="MCL49" s="66"/>
      <c r="MCM49" s="66"/>
      <c r="MCN49" s="66"/>
      <c r="MCO49" s="66"/>
      <c r="MCP49" s="66"/>
      <c r="MCQ49" s="66"/>
      <c r="MCR49" s="66"/>
      <c r="MCS49" s="66"/>
      <c r="MCT49" s="66"/>
      <c r="MCU49" s="66"/>
      <c r="MCV49" s="66"/>
      <c r="MCW49" s="66"/>
      <c r="MCX49" s="66"/>
      <c r="MCY49" s="66"/>
      <c r="MCZ49" s="66"/>
      <c r="MDA49" s="66"/>
      <c r="MDB49" s="66"/>
      <c r="MDC49" s="66"/>
      <c r="MDD49" s="66"/>
      <c r="MDE49" s="66"/>
      <c r="MDF49" s="66"/>
      <c r="MDG49" s="66"/>
      <c r="MDH49" s="66"/>
      <c r="MDI49" s="66"/>
      <c r="MDJ49" s="66"/>
      <c r="MDK49" s="66"/>
      <c r="MDL49" s="66"/>
      <c r="MDM49" s="66"/>
      <c r="MDN49" s="66"/>
      <c r="MDO49" s="66"/>
      <c r="MDP49" s="66"/>
      <c r="MDQ49" s="66"/>
      <c r="MDR49" s="66"/>
      <c r="MDS49" s="66"/>
      <c r="MDT49" s="66"/>
      <c r="MDU49" s="66"/>
      <c r="MDV49" s="66"/>
      <c r="MDW49" s="66"/>
      <c r="MDX49" s="66"/>
      <c r="MDY49" s="66"/>
      <c r="MDZ49" s="66"/>
      <c r="MEA49" s="66"/>
      <c r="MEB49" s="66"/>
      <c r="MEC49" s="66"/>
      <c r="MED49" s="66"/>
      <c r="MEE49" s="66"/>
      <c r="MEF49" s="66"/>
      <c r="MEG49" s="66"/>
      <c r="MEH49" s="66"/>
      <c r="MEI49" s="66"/>
      <c r="MEJ49" s="66"/>
      <c r="MEK49" s="66"/>
      <c r="MEL49" s="66"/>
      <c r="MEM49" s="66"/>
      <c r="MEN49" s="66"/>
      <c r="MEO49" s="66"/>
      <c r="MEP49" s="66"/>
      <c r="MEQ49" s="66"/>
      <c r="MER49" s="66"/>
      <c r="MES49" s="66"/>
      <c r="MET49" s="66"/>
      <c r="MEU49" s="66"/>
      <c r="MEV49" s="66"/>
      <c r="MEW49" s="66"/>
      <c r="MEX49" s="66"/>
      <c r="MEY49" s="66"/>
      <c r="MEZ49" s="66"/>
      <c r="MFA49" s="66"/>
      <c r="MFB49" s="66"/>
      <c r="MFC49" s="66"/>
      <c r="MFD49" s="66"/>
      <c r="MFE49" s="66"/>
      <c r="MFF49" s="66"/>
      <c r="MFG49" s="66"/>
      <c r="MFH49" s="66"/>
      <c r="MFI49" s="66"/>
      <c r="MFJ49" s="66"/>
      <c r="MFK49" s="66"/>
      <c r="MFL49" s="66"/>
      <c r="MFM49" s="66"/>
      <c r="MFN49" s="66"/>
      <c r="MFO49" s="66"/>
      <c r="MFP49" s="66"/>
      <c r="MFQ49" s="66"/>
      <c r="MFR49" s="66"/>
      <c r="MFS49" s="66"/>
      <c r="MFT49" s="66"/>
      <c r="MFU49" s="66"/>
      <c r="MFV49" s="66"/>
      <c r="MFW49" s="66"/>
      <c r="MFX49" s="66"/>
      <c r="MFY49" s="66"/>
      <c r="MFZ49" s="66"/>
      <c r="MGA49" s="66"/>
      <c r="MGB49" s="66"/>
      <c r="MGC49" s="66"/>
      <c r="MGD49" s="66"/>
      <c r="MGE49" s="66"/>
      <c r="MGF49" s="66"/>
      <c r="MGG49" s="66"/>
      <c r="MGH49" s="66"/>
      <c r="MGI49" s="66"/>
      <c r="MGJ49" s="66"/>
      <c r="MGK49" s="66"/>
      <c r="MGL49" s="66"/>
      <c r="MGM49" s="66"/>
      <c r="MGN49" s="66"/>
      <c r="MGO49" s="66"/>
      <c r="MGP49" s="66"/>
      <c r="MGQ49" s="66"/>
      <c r="MGR49" s="66"/>
      <c r="MGS49" s="66"/>
      <c r="MGT49" s="66"/>
      <c r="MGU49" s="66"/>
      <c r="MGV49" s="66"/>
      <c r="MGW49" s="66"/>
      <c r="MGX49" s="66"/>
      <c r="MGY49" s="66"/>
      <c r="MGZ49" s="66"/>
      <c r="MHA49" s="66"/>
      <c r="MHB49" s="66"/>
      <c r="MHC49" s="66"/>
      <c r="MHD49" s="66"/>
      <c r="MHE49" s="66"/>
      <c r="MHF49" s="66"/>
      <c r="MHG49" s="66"/>
      <c r="MHH49" s="66"/>
      <c r="MHI49" s="66"/>
      <c r="MHJ49" s="66"/>
      <c r="MHK49" s="66"/>
      <c r="MHL49" s="66"/>
      <c r="MHM49" s="66"/>
      <c r="MHN49" s="66"/>
      <c r="MHO49" s="66"/>
      <c r="MHP49" s="66"/>
      <c r="MHQ49" s="66"/>
      <c r="MHR49" s="66"/>
      <c r="MHS49" s="66"/>
      <c r="MHT49" s="66"/>
      <c r="MHU49" s="66"/>
      <c r="MHV49" s="66"/>
      <c r="MHW49" s="66"/>
      <c r="MHX49" s="66"/>
      <c r="MHY49" s="66"/>
      <c r="MHZ49" s="66"/>
      <c r="MIA49" s="66"/>
      <c r="MIB49" s="66"/>
      <c r="MIC49" s="66"/>
      <c r="MID49" s="66"/>
      <c r="MIE49" s="66"/>
      <c r="MIF49" s="66"/>
      <c r="MIG49" s="66"/>
      <c r="MIH49" s="66"/>
      <c r="MII49" s="66"/>
      <c r="MIJ49" s="66"/>
      <c r="MIK49" s="66"/>
      <c r="MIL49" s="66"/>
      <c r="MIM49" s="66"/>
      <c r="MIN49" s="66"/>
      <c r="MIO49" s="66"/>
      <c r="MIP49" s="66"/>
      <c r="MIQ49" s="66"/>
      <c r="MIR49" s="66"/>
      <c r="MIS49" s="66"/>
      <c r="MIT49" s="66"/>
      <c r="MIU49" s="66"/>
      <c r="MIV49" s="66"/>
      <c r="MIW49" s="66"/>
      <c r="MIX49" s="66"/>
      <c r="MIY49" s="66"/>
      <c r="MIZ49" s="66"/>
      <c r="MJA49" s="66"/>
      <c r="MJB49" s="66"/>
      <c r="MJC49" s="66"/>
      <c r="MJD49" s="66"/>
      <c r="MJE49" s="66"/>
      <c r="MJF49" s="66"/>
      <c r="MJG49" s="66"/>
      <c r="MJH49" s="66"/>
      <c r="MJI49" s="66"/>
      <c r="MJJ49" s="66"/>
      <c r="MJK49" s="66"/>
      <c r="MJL49" s="66"/>
      <c r="MJM49" s="66"/>
      <c r="MJN49" s="66"/>
      <c r="MJO49" s="66"/>
      <c r="MJP49" s="66"/>
      <c r="MJQ49" s="66"/>
      <c r="MJR49" s="66"/>
      <c r="MJS49" s="66"/>
      <c r="MJT49" s="66"/>
      <c r="MJU49" s="66"/>
      <c r="MJV49" s="66"/>
      <c r="MJW49" s="66"/>
      <c r="MJX49" s="66"/>
      <c r="MJY49" s="66"/>
      <c r="MJZ49" s="66"/>
      <c r="MKA49" s="66"/>
      <c r="MKB49" s="66"/>
      <c r="MKC49" s="66"/>
      <c r="MKD49" s="66"/>
      <c r="MKE49" s="66"/>
      <c r="MKF49" s="66"/>
      <c r="MKG49" s="66"/>
      <c r="MKH49" s="66"/>
      <c r="MKI49" s="66"/>
      <c r="MKJ49" s="66"/>
      <c r="MKK49" s="66"/>
      <c r="MKL49" s="66"/>
      <c r="MKM49" s="66"/>
      <c r="MKN49" s="66"/>
      <c r="MKO49" s="66"/>
      <c r="MKP49" s="66"/>
      <c r="MKQ49" s="66"/>
      <c r="MKR49" s="66"/>
      <c r="MKS49" s="66"/>
      <c r="MKT49" s="66"/>
      <c r="MKU49" s="66"/>
      <c r="MKV49" s="66"/>
      <c r="MKW49" s="66"/>
      <c r="MKX49" s="66"/>
      <c r="MKY49" s="66"/>
      <c r="MKZ49" s="66"/>
      <c r="MLA49" s="66"/>
      <c r="MLB49" s="66"/>
      <c r="MLC49" s="66"/>
      <c r="MLD49" s="66"/>
      <c r="MLE49" s="66"/>
      <c r="MLF49" s="66"/>
      <c r="MLG49" s="66"/>
      <c r="MLH49" s="66"/>
      <c r="MLI49" s="66"/>
      <c r="MLJ49" s="66"/>
      <c r="MLK49" s="66"/>
      <c r="MLL49" s="66"/>
      <c r="MLM49" s="66"/>
      <c r="MLN49" s="66"/>
      <c r="MLO49" s="66"/>
      <c r="MLP49" s="66"/>
      <c r="MLQ49" s="66"/>
      <c r="MLR49" s="66"/>
      <c r="MLS49" s="66"/>
      <c r="MLT49" s="66"/>
      <c r="MLU49" s="66"/>
      <c r="MLV49" s="66"/>
      <c r="MLW49" s="66"/>
      <c r="MLX49" s="66"/>
      <c r="MLY49" s="66"/>
      <c r="MLZ49" s="66"/>
      <c r="MMA49" s="66"/>
      <c r="MMB49" s="66"/>
      <c r="MMC49" s="66"/>
      <c r="MMD49" s="66"/>
      <c r="MME49" s="66"/>
      <c r="MMF49" s="66"/>
      <c r="MMG49" s="66"/>
      <c r="MMH49" s="66"/>
      <c r="MMI49" s="66"/>
      <c r="MMJ49" s="66"/>
      <c r="MMK49" s="66"/>
      <c r="MML49" s="66"/>
      <c r="MMM49" s="66"/>
      <c r="MMN49" s="66"/>
      <c r="MMO49" s="66"/>
      <c r="MMP49" s="66"/>
      <c r="MMQ49" s="66"/>
      <c r="MMR49" s="66"/>
      <c r="MMS49" s="66"/>
      <c r="MMT49" s="66"/>
      <c r="MMU49" s="66"/>
      <c r="MMV49" s="66"/>
      <c r="MMW49" s="66"/>
      <c r="MMX49" s="66"/>
      <c r="MMY49" s="66"/>
      <c r="MMZ49" s="66"/>
      <c r="MNA49" s="66"/>
      <c r="MNB49" s="66"/>
      <c r="MNC49" s="66"/>
      <c r="MND49" s="66"/>
      <c r="MNE49" s="66"/>
      <c r="MNF49" s="66"/>
      <c r="MNG49" s="66"/>
      <c r="MNH49" s="66"/>
      <c r="MNI49" s="66"/>
      <c r="MNJ49" s="66"/>
      <c r="MNK49" s="66"/>
      <c r="MNL49" s="66"/>
      <c r="MNM49" s="66"/>
      <c r="MNN49" s="66"/>
      <c r="MNO49" s="66"/>
      <c r="MNP49" s="66"/>
      <c r="MNQ49" s="66"/>
      <c r="MNR49" s="66"/>
      <c r="MNS49" s="66"/>
      <c r="MNT49" s="66"/>
      <c r="MNU49" s="66"/>
      <c r="MNV49" s="66"/>
      <c r="MNW49" s="66"/>
      <c r="MNX49" s="66"/>
      <c r="MNY49" s="66"/>
      <c r="MNZ49" s="66"/>
      <c r="MOA49" s="66"/>
      <c r="MOB49" s="66"/>
      <c r="MOC49" s="66"/>
      <c r="MOD49" s="66"/>
      <c r="MOE49" s="66"/>
      <c r="MOF49" s="66"/>
      <c r="MOG49" s="66"/>
      <c r="MOH49" s="66"/>
      <c r="MOI49" s="66"/>
      <c r="MOJ49" s="66"/>
      <c r="MOK49" s="66"/>
      <c r="MOL49" s="66"/>
      <c r="MOM49" s="66"/>
      <c r="MON49" s="66"/>
      <c r="MOO49" s="66"/>
      <c r="MOP49" s="66"/>
      <c r="MOQ49" s="66"/>
      <c r="MOR49" s="66"/>
      <c r="MOS49" s="66"/>
      <c r="MOT49" s="66"/>
      <c r="MOU49" s="66"/>
      <c r="MOV49" s="66"/>
      <c r="MOW49" s="66"/>
      <c r="MOX49" s="66"/>
      <c r="MOY49" s="66"/>
      <c r="MOZ49" s="66"/>
      <c r="MPA49" s="66"/>
      <c r="MPB49" s="66"/>
      <c r="MPC49" s="66"/>
      <c r="MPD49" s="66"/>
      <c r="MPE49" s="66"/>
      <c r="MPF49" s="66"/>
      <c r="MPG49" s="66"/>
      <c r="MPH49" s="66"/>
      <c r="MPI49" s="66"/>
      <c r="MPJ49" s="66"/>
      <c r="MPK49" s="66"/>
      <c r="MPL49" s="66"/>
      <c r="MPM49" s="66"/>
      <c r="MPN49" s="66"/>
      <c r="MPO49" s="66"/>
      <c r="MPP49" s="66"/>
      <c r="MPQ49" s="66"/>
      <c r="MPR49" s="66"/>
      <c r="MPS49" s="66"/>
      <c r="MPT49" s="66"/>
      <c r="MPU49" s="66"/>
      <c r="MPV49" s="66"/>
      <c r="MPW49" s="66"/>
      <c r="MPX49" s="66"/>
      <c r="MPY49" s="66"/>
      <c r="MPZ49" s="66"/>
      <c r="MQA49" s="66"/>
      <c r="MQB49" s="66"/>
      <c r="MQC49" s="66"/>
      <c r="MQD49" s="66"/>
      <c r="MQE49" s="66"/>
      <c r="MQF49" s="66"/>
      <c r="MQG49" s="66"/>
      <c r="MQH49" s="66"/>
      <c r="MQI49" s="66"/>
      <c r="MQJ49" s="66"/>
      <c r="MQK49" s="66"/>
      <c r="MQL49" s="66"/>
      <c r="MQM49" s="66"/>
      <c r="MQN49" s="66"/>
      <c r="MQO49" s="66"/>
      <c r="MQP49" s="66"/>
      <c r="MQQ49" s="66"/>
      <c r="MQR49" s="66"/>
      <c r="MQS49" s="66"/>
      <c r="MQT49" s="66"/>
      <c r="MQU49" s="66"/>
      <c r="MQV49" s="66"/>
      <c r="MQW49" s="66"/>
      <c r="MQX49" s="66"/>
      <c r="MQY49" s="66"/>
      <c r="MQZ49" s="66"/>
      <c r="MRA49" s="66"/>
      <c r="MRB49" s="66"/>
      <c r="MRC49" s="66"/>
      <c r="MRD49" s="66"/>
      <c r="MRE49" s="66"/>
      <c r="MRF49" s="66"/>
      <c r="MRG49" s="66"/>
      <c r="MRH49" s="66"/>
      <c r="MRI49" s="66"/>
      <c r="MRJ49" s="66"/>
      <c r="MRK49" s="66"/>
      <c r="MRL49" s="66"/>
      <c r="MRM49" s="66"/>
      <c r="MRN49" s="66"/>
      <c r="MRO49" s="66"/>
      <c r="MRP49" s="66"/>
      <c r="MRQ49" s="66"/>
      <c r="MRR49" s="66"/>
      <c r="MRS49" s="66"/>
      <c r="MRT49" s="66"/>
      <c r="MRU49" s="66"/>
      <c r="MRV49" s="66"/>
      <c r="MRW49" s="66"/>
      <c r="MRX49" s="66"/>
      <c r="MRY49" s="66"/>
      <c r="MRZ49" s="66"/>
      <c r="MSA49" s="66"/>
      <c r="MSB49" s="66"/>
      <c r="MSC49" s="66"/>
      <c r="MSD49" s="66"/>
      <c r="MSE49" s="66"/>
      <c r="MSF49" s="66"/>
      <c r="MSG49" s="66"/>
      <c r="MSH49" s="66"/>
      <c r="MSI49" s="66"/>
      <c r="MSJ49" s="66"/>
      <c r="MSK49" s="66"/>
      <c r="MSL49" s="66"/>
      <c r="MSM49" s="66"/>
      <c r="MSN49" s="66"/>
      <c r="MSO49" s="66"/>
      <c r="MSP49" s="66"/>
      <c r="MSQ49" s="66"/>
      <c r="MSR49" s="66"/>
      <c r="MSS49" s="66"/>
      <c r="MST49" s="66"/>
      <c r="MSU49" s="66"/>
      <c r="MSV49" s="66"/>
      <c r="MSW49" s="66"/>
      <c r="MSX49" s="66"/>
      <c r="MSY49" s="66"/>
      <c r="MSZ49" s="66"/>
      <c r="MTA49" s="66"/>
      <c r="MTB49" s="66"/>
      <c r="MTC49" s="66"/>
      <c r="MTD49" s="66"/>
      <c r="MTE49" s="66"/>
      <c r="MTF49" s="66"/>
      <c r="MTG49" s="66"/>
      <c r="MTH49" s="66"/>
      <c r="MTI49" s="66"/>
      <c r="MTJ49" s="66"/>
      <c r="MTK49" s="66"/>
      <c r="MTL49" s="66"/>
      <c r="MTM49" s="66"/>
      <c r="MTN49" s="66"/>
      <c r="MTO49" s="66"/>
      <c r="MTP49" s="66"/>
      <c r="MTQ49" s="66"/>
      <c r="MTR49" s="66"/>
      <c r="MTS49" s="66"/>
      <c r="MTT49" s="66"/>
      <c r="MTU49" s="66"/>
      <c r="MTV49" s="66"/>
      <c r="MTW49" s="66"/>
      <c r="MTX49" s="66"/>
      <c r="MTY49" s="66"/>
      <c r="MTZ49" s="66"/>
      <c r="MUA49" s="66"/>
      <c r="MUB49" s="66"/>
      <c r="MUC49" s="66"/>
      <c r="MUD49" s="66"/>
      <c r="MUE49" s="66"/>
      <c r="MUF49" s="66"/>
      <c r="MUG49" s="66"/>
      <c r="MUH49" s="66"/>
      <c r="MUI49" s="66"/>
      <c r="MUJ49" s="66"/>
      <c r="MUK49" s="66"/>
      <c r="MUL49" s="66"/>
      <c r="MUM49" s="66"/>
      <c r="MUN49" s="66"/>
      <c r="MUO49" s="66"/>
      <c r="MUP49" s="66"/>
      <c r="MUQ49" s="66"/>
      <c r="MUR49" s="66"/>
      <c r="MUS49" s="66"/>
      <c r="MUT49" s="66"/>
      <c r="MUU49" s="66"/>
      <c r="MUV49" s="66"/>
      <c r="MUW49" s="66"/>
      <c r="MUX49" s="66"/>
      <c r="MUY49" s="66"/>
      <c r="MUZ49" s="66"/>
      <c r="MVA49" s="66"/>
      <c r="MVB49" s="66"/>
      <c r="MVC49" s="66"/>
      <c r="MVD49" s="66"/>
      <c r="MVE49" s="66"/>
      <c r="MVF49" s="66"/>
      <c r="MVG49" s="66"/>
      <c r="MVH49" s="66"/>
      <c r="MVI49" s="66"/>
      <c r="MVJ49" s="66"/>
      <c r="MVK49" s="66"/>
      <c r="MVL49" s="66"/>
      <c r="MVM49" s="66"/>
      <c r="MVN49" s="66"/>
      <c r="MVO49" s="66"/>
      <c r="MVP49" s="66"/>
      <c r="MVQ49" s="66"/>
      <c r="MVR49" s="66"/>
      <c r="MVS49" s="66"/>
      <c r="MVT49" s="66"/>
      <c r="MVU49" s="66"/>
      <c r="MVV49" s="66"/>
      <c r="MVW49" s="66"/>
      <c r="MVX49" s="66"/>
      <c r="MVY49" s="66"/>
      <c r="MVZ49" s="66"/>
      <c r="MWA49" s="66"/>
      <c r="MWB49" s="66"/>
      <c r="MWC49" s="66"/>
      <c r="MWD49" s="66"/>
      <c r="MWE49" s="66"/>
      <c r="MWF49" s="66"/>
      <c r="MWG49" s="66"/>
      <c r="MWH49" s="66"/>
      <c r="MWI49" s="66"/>
      <c r="MWJ49" s="66"/>
      <c r="MWK49" s="66"/>
      <c r="MWL49" s="66"/>
      <c r="MWM49" s="66"/>
      <c r="MWN49" s="66"/>
      <c r="MWO49" s="66"/>
      <c r="MWP49" s="66"/>
      <c r="MWQ49" s="66"/>
      <c r="MWR49" s="66"/>
      <c r="MWS49" s="66"/>
      <c r="MWT49" s="66"/>
      <c r="MWU49" s="66"/>
      <c r="MWV49" s="66"/>
      <c r="MWW49" s="66"/>
      <c r="MWX49" s="66"/>
      <c r="MWY49" s="66"/>
      <c r="MWZ49" s="66"/>
      <c r="MXA49" s="66"/>
      <c r="MXB49" s="66"/>
      <c r="MXC49" s="66"/>
      <c r="MXD49" s="66"/>
      <c r="MXE49" s="66"/>
      <c r="MXF49" s="66"/>
      <c r="MXG49" s="66"/>
      <c r="MXH49" s="66"/>
      <c r="MXI49" s="66"/>
      <c r="MXJ49" s="66"/>
      <c r="MXK49" s="66"/>
      <c r="MXL49" s="66"/>
      <c r="MXM49" s="66"/>
      <c r="MXN49" s="66"/>
      <c r="MXO49" s="66"/>
      <c r="MXP49" s="66"/>
      <c r="MXQ49" s="66"/>
      <c r="MXR49" s="66"/>
      <c r="MXS49" s="66"/>
      <c r="MXT49" s="66"/>
      <c r="MXU49" s="66"/>
      <c r="MXV49" s="66"/>
      <c r="MXW49" s="66"/>
      <c r="MXX49" s="66"/>
      <c r="MXY49" s="66"/>
      <c r="MXZ49" s="66"/>
      <c r="MYA49" s="66"/>
      <c r="MYB49" s="66"/>
      <c r="MYC49" s="66"/>
      <c r="MYD49" s="66"/>
      <c r="MYE49" s="66"/>
      <c r="MYF49" s="66"/>
      <c r="MYG49" s="66"/>
      <c r="MYH49" s="66"/>
      <c r="MYI49" s="66"/>
      <c r="MYJ49" s="66"/>
      <c r="MYK49" s="66"/>
      <c r="MYL49" s="66"/>
      <c r="MYM49" s="66"/>
      <c r="MYN49" s="66"/>
      <c r="MYO49" s="66"/>
      <c r="MYP49" s="66"/>
      <c r="MYQ49" s="66"/>
      <c r="MYR49" s="66"/>
      <c r="MYS49" s="66"/>
      <c r="MYT49" s="66"/>
      <c r="MYU49" s="66"/>
      <c r="MYV49" s="66"/>
      <c r="MYW49" s="66"/>
      <c r="MYX49" s="66"/>
      <c r="MYY49" s="66"/>
      <c r="MYZ49" s="66"/>
      <c r="MZA49" s="66"/>
      <c r="MZB49" s="66"/>
      <c r="MZC49" s="66"/>
      <c r="MZD49" s="66"/>
      <c r="MZE49" s="66"/>
      <c r="MZF49" s="66"/>
      <c r="MZG49" s="66"/>
      <c r="MZH49" s="66"/>
      <c r="MZI49" s="66"/>
      <c r="MZJ49" s="66"/>
      <c r="MZK49" s="66"/>
      <c r="MZL49" s="66"/>
      <c r="MZM49" s="66"/>
      <c r="MZN49" s="66"/>
      <c r="MZO49" s="66"/>
      <c r="MZP49" s="66"/>
      <c r="MZQ49" s="66"/>
      <c r="MZR49" s="66"/>
      <c r="MZS49" s="66"/>
      <c r="MZT49" s="66"/>
      <c r="MZU49" s="66"/>
      <c r="MZV49" s="66"/>
      <c r="MZW49" s="66"/>
      <c r="MZX49" s="66"/>
      <c r="MZY49" s="66"/>
      <c r="MZZ49" s="66"/>
      <c r="NAA49" s="66"/>
      <c r="NAB49" s="66"/>
      <c r="NAC49" s="66"/>
      <c r="NAD49" s="66"/>
      <c r="NAE49" s="66"/>
      <c r="NAF49" s="66"/>
      <c r="NAG49" s="66"/>
      <c r="NAH49" s="66"/>
      <c r="NAI49" s="66"/>
      <c r="NAJ49" s="66"/>
      <c r="NAK49" s="66"/>
      <c r="NAL49" s="66"/>
      <c r="NAM49" s="66"/>
      <c r="NAN49" s="66"/>
      <c r="NAO49" s="66"/>
      <c r="NAP49" s="66"/>
      <c r="NAQ49" s="66"/>
      <c r="NAR49" s="66"/>
      <c r="NAS49" s="66"/>
      <c r="NAT49" s="66"/>
      <c r="NAU49" s="66"/>
      <c r="NAV49" s="66"/>
      <c r="NAW49" s="66"/>
      <c r="NAX49" s="66"/>
      <c r="NAY49" s="66"/>
      <c r="NAZ49" s="66"/>
      <c r="NBA49" s="66"/>
      <c r="NBB49" s="66"/>
      <c r="NBC49" s="66"/>
      <c r="NBD49" s="66"/>
      <c r="NBE49" s="66"/>
      <c r="NBF49" s="66"/>
      <c r="NBG49" s="66"/>
      <c r="NBH49" s="66"/>
      <c r="NBI49" s="66"/>
      <c r="NBJ49" s="66"/>
      <c r="NBK49" s="66"/>
      <c r="NBL49" s="66"/>
      <c r="NBM49" s="66"/>
      <c r="NBN49" s="66"/>
      <c r="NBO49" s="66"/>
      <c r="NBP49" s="66"/>
      <c r="NBQ49" s="66"/>
      <c r="NBR49" s="66"/>
      <c r="NBS49" s="66"/>
      <c r="NBT49" s="66"/>
      <c r="NBU49" s="66"/>
      <c r="NBV49" s="66"/>
      <c r="NBW49" s="66"/>
      <c r="NBX49" s="66"/>
      <c r="NBY49" s="66"/>
      <c r="NBZ49" s="66"/>
      <c r="NCA49" s="66"/>
      <c r="NCB49" s="66"/>
      <c r="NCC49" s="66"/>
      <c r="NCD49" s="66"/>
      <c r="NCE49" s="66"/>
      <c r="NCF49" s="66"/>
      <c r="NCG49" s="66"/>
      <c r="NCH49" s="66"/>
      <c r="NCI49" s="66"/>
      <c r="NCJ49" s="66"/>
      <c r="NCK49" s="66"/>
      <c r="NCL49" s="66"/>
      <c r="NCM49" s="66"/>
      <c r="NCN49" s="66"/>
      <c r="NCO49" s="66"/>
      <c r="NCP49" s="66"/>
      <c r="NCQ49" s="66"/>
      <c r="NCR49" s="66"/>
      <c r="NCS49" s="66"/>
      <c r="NCT49" s="66"/>
      <c r="NCU49" s="66"/>
      <c r="NCV49" s="66"/>
      <c r="NCW49" s="66"/>
      <c r="NCX49" s="66"/>
      <c r="NCY49" s="66"/>
      <c r="NCZ49" s="66"/>
      <c r="NDA49" s="66"/>
      <c r="NDB49" s="66"/>
      <c r="NDC49" s="66"/>
      <c r="NDD49" s="66"/>
      <c r="NDE49" s="66"/>
      <c r="NDF49" s="66"/>
      <c r="NDG49" s="66"/>
      <c r="NDH49" s="66"/>
      <c r="NDI49" s="66"/>
      <c r="NDJ49" s="66"/>
      <c r="NDK49" s="66"/>
      <c r="NDL49" s="66"/>
      <c r="NDM49" s="66"/>
      <c r="NDN49" s="66"/>
      <c r="NDO49" s="66"/>
      <c r="NDP49" s="66"/>
      <c r="NDQ49" s="66"/>
      <c r="NDR49" s="66"/>
      <c r="NDS49" s="66"/>
      <c r="NDT49" s="66"/>
      <c r="NDU49" s="66"/>
      <c r="NDV49" s="66"/>
      <c r="NDW49" s="66"/>
      <c r="NDX49" s="66"/>
      <c r="NDY49" s="66"/>
      <c r="NDZ49" s="66"/>
      <c r="NEA49" s="66"/>
      <c r="NEB49" s="66"/>
      <c r="NEC49" s="66"/>
      <c r="NED49" s="66"/>
      <c r="NEE49" s="66"/>
      <c r="NEF49" s="66"/>
      <c r="NEG49" s="66"/>
      <c r="NEH49" s="66"/>
      <c r="NEI49" s="66"/>
      <c r="NEJ49" s="66"/>
      <c r="NEK49" s="66"/>
      <c r="NEL49" s="66"/>
      <c r="NEM49" s="66"/>
      <c r="NEN49" s="66"/>
      <c r="NEO49" s="66"/>
      <c r="NEP49" s="66"/>
      <c r="NEQ49" s="66"/>
      <c r="NER49" s="66"/>
      <c r="NES49" s="66"/>
      <c r="NET49" s="66"/>
      <c r="NEU49" s="66"/>
      <c r="NEV49" s="66"/>
      <c r="NEW49" s="66"/>
      <c r="NEX49" s="66"/>
      <c r="NEY49" s="66"/>
      <c r="NEZ49" s="66"/>
      <c r="NFA49" s="66"/>
      <c r="NFB49" s="66"/>
      <c r="NFC49" s="66"/>
      <c r="NFD49" s="66"/>
      <c r="NFE49" s="66"/>
      <c r="NFF49" s="66"/>
      <c r="NFG49" s="66"/>
      <c r="NFH49" s="66"/>
      <c r="NFI49" s="66"/>
      <c r="NFJ49" s="66"/>
      <c r="NFK49" s="66"/>
      <c r="NFL49" s="66"/>
      <c r="NFM49" s="66"/>
      <c r="NFN49" s="66"/>
      <c r="NFO49" s="66"/>
      <c r="NFP49" s="66"/>
      <c r="NFQ49" s="66"/>
      <c r="NFR49" s="66"/>
      <c r="NFS49" s="66"/>
      <c r="NFT49" s="66"/>
      <c r="NFU49" s="66"/>
      <c r="NFV49" s="66"/>
      <c r="NFW49" s="66"/>
      <c r="NFX49" s="66"/>
      <c r="NFY49" s="66"/>
      <c r="NFZ49" s="66"/>
      <c r="NGA49" s="66"/>
      <c r="NGB49" s="66"/>
      <c r="NGC49" s="66"/>
      <c r="NGD49" s="66"/>
      <c r="NGE49" s="66"/>
      <c r="NGF49" s="66"/>
      <c r="NGG49" s="66"/>
      <c r="NGH49" s="66"/>
      <c r="NGI49" s="66"/>
      <c r="NGJ49" s="66"/>
      <c r="NGK49" s="66"/>
      <c r="NGL49" s="66"/>
      <c r="NGM49" s="66"/>
      <c r="NGN49" s="66"/>
      <c r="NGO49" s="66"/>
      <c r="NGP49" s="66"/>
      <c r="NGQ49" s="66"/>
      <c r="NGR49" s="66"/>
      <c r="NGS49" s="66"/>
      <c r="NGT49" s="66"/>
      <c r="NGU49" s="66"/>
      <c r="NGV49" s="66"/>
      <c r="NGW49" s="66"/>
      <c r="NGX49" s="66"/>
      <c r="NGY49" s="66"/>
      <c r="NGZ49" s="66"/>
      <c r="NHA49" s="66"/>
      <c r="NHB49" s="66"/>
      <c r="NHC49" s="66"/>
      <c r="NHD49" s="66"/>
      <c r="NHE49" s="66"/>
      <c r="NHF49" s="66"/>
      <c r="NHG49" s="66"/>
      <c r="NHH49" s="66"/>
      <c r="NHI49" s="66"/>
      <c r="NHJ49" s="66"/>
      <c r="NHK49" s="66"/>
      <c r="NHL49" s="66"/>
      <c r="NHM49" s="66"/>
      <c r="NHN49" s="66"/>
      <c r="NHO49" s="66"/>
      <c r="NHP49" s="66"/>
      <c r="NHQ49" s="66"/>
      <c r="NHR49" s="66"/>
      <c r="NHS49" s="66"/>
      <c r="NHT49" s="66"/>
      <c r="NHU49" s="66"/>
      <c r="NHV49" s="66"/>
      <c r="NHW49" s="66"/>
      <c r="NHX49" s="66"/>
      <c r="NHY49" s="66"/>
      <c r="NHZ49" s="66"/>
      <c r="NIA49" s="66"/>
      <c r="NIB49" s="66"/>
      <c r="NIC49" s="66"/>
      <c r="NID49" s="66"/>
      <c r="NIE49" s="66"/>
      <c r="NIF49" s="66"/>
      <c r="NIG49" s="66"/>
      <c r="NIH49" s="66"/>
      <c r="NII49" s="66"/>
      <c r="NIJ49" s="66"/>
      <c r="NIK49" s="66"/>
      <c r="NIL49" s="66"/>
      <c r="NIM49" s="66"/>
      <c r="NIN49" s="66"/>
      <c r="NIO49" s="66"/>
      <c r="NIP49" s="66"/>
      <c r="NIQ49" s="66"/>
      <c r="NIR49" s="66"/>
      <c r="NIS49" s="66"/>
      <c r="NIT49" s="66"/>
      <c r="NIU49" s="66"/>
      <c r="NIV49" s="66"/>
      <c r="NIW49" s="66"/>
      <c r="NIX49" s="66"/>
      <c r="NIY49" s="66"/>
      <c r="NIZ49" s="66"/>
      <c r="NJA49" s="66"/>
      <c r="NJB49" s="66"/>
      <c r="NJC49" s="66"/>
      <c r="NJD49" s="66"/>
      <c r="NJE49" s="66"/>
      <c r="NJF49" s="66"/>
      <c r="NJG49" s="66"/>
      <c r="NJH49" s="66"/>
      <c r="NJI49" s="66"/>
      <c r="NJJ49" s="66"/>
      <c r="NJK49" s="66"/>
      <c r="NJL49" s="66"/>
      <c r="NJM49" s="66"/>
      <c r="NJN49" s="66"/>
      <c r="NJO49" s="66"/>
      <c r="NJP49" s="66"/>
      <c r="NJQ49" s="66"/>
      <c r="NJR49" s="66"/>
      <c r="NJS49" s="66"/>
      <c r="NJT49" s="66"/>
      <c r="NJU49" s="66"/>
      <c r="NJV49" s="66"/>
      <c r="NJW49" s="66"/>
      <c r="NJX49" s="66"/>
      <c r="NJY49" s="66"/>
      <c r="NJZ49" s="66"/>
      <c r="NKA49" s="66"/>
      <c r="NKB49" s="66"/>
      <c r="NKC49" s="66"/>
      <c r="NKD49" s="66"/>
      <c r="NKE49" s="66"/>
      <c r="NKF49" s="66"/>
      <c r="NKG49" s="66"/>
      <c r="NKH49" s="66"/>
      <c r="NKI49" s="66"/>
      <c r="NKJ49" s="66"/>
      <c r="NKK49" s="66"/>
      <c r="NKL49" s="66"/>
      <c r="NKM49" s="66"/>
      <c r="NKN49" s="66"/>
      <c r="NKO49" s="66"/>
      <c r="NKP49" s="66"/>
      <c r="NKQ49" s="66"/>
      <c r="NKR49" s="66"/>
      <c r="NKS49" s="66"/>
      <c r="NKT49" s="66"/>
      <c r="NKU49" s="66"/>
      <c r="NKV49" s="66"/>
      <c r="NKW49" s="66"/>
      <c r="NKX49" s="66"/>
      <c r="NKY49" s="66"/>
      <c r="NKZ49" s="66"/>
      <c r="NLA49" s="66"/>
      <c r="NLB49" s="66"/>
      <c r="NLC49" s="66"/>
      <c r="NLD49" s="66"/>
      <c r="NLE49" s="66"/>
      <c r="NLF49" s="66"/>
      <c r="NLG49" s="66"/>
      <c r="NLH49" s="66"/>
      <c r="NLI49" s="66"/>
      <c r="NLJ49" s="66"/>
      <c r="NLK49" s="66"/>
      <c r="NLL49" s="66"/>
      <c r="NLM49" s="66"/>
      <c r="NLN49" s="66"/>
      <c r="NLO49" s="66"/>
      <c r="NLP49" s="66"/>
      <c r="NLQ49" s="66"/>
      <c r="NLR49" s="66"/>
      <c r="NLS49" s="66"/>
      <c r="NLT49" s="66"/>
      <c r="NLU49" s="66"/>
      <c r="NLV49" s="66"/>
      <c r="NLW49" s="66"/>
      <c r="NLX49" s="66"/>
      <c r="NLY49" s="66"/>
      <c r="NLZ49" s="66"/>
      <c r="NMA49" s="66"/>
      <c r="NMB49" s="66"/>
      <c r="NMC49" s="66"/>
      <c r="NMD49" s="66"/>
      <c r="NME49" s="66"/>
      <c r="NMF49" s="66"/>
      <c r="NMG49" s="66"/>
      <c r="NMH49" s="66"/>
      <c r="NMI49" s="66"/>
      <c r="NMJ49" s="66"/>
      <c r="NMK49" s="66"/>
      <c r="NML49" s="66"/>
      <c r="NMM49" s="66"/>
      <c r="NMN49" s="66"/>
      <c r="NMO49" s="66"/>
      <c r="NMP49" s="66"/>
      <c r="NMQ49" s="66"/>
      <c r="NMR49" s="66"/>
      <c r="NMS49" s="66"/>
      <c r="NMT49" s="66"/>
      <c r="NMU49" s="66"/>
      <c r="NMV49" s="66"/>
      <c r="NMW49" s="66"/>
      <c r="NMX49" s="66"/>
      <c r="NMY49" s="66"/>
      <c r="NMZ49" s="66"/>
      <c r="NNA49" s="66"/>
      <c r="NNB49" s="66"/>
      <c r="NNC49" s="66"/>
      <c r="NND49" s="66"/>
      <c r="NNE49" s="66"/>
      <c r="NNF49" s="66"/>
      <c r="NNG49" s="66"/>
      <c r="NNH49" s="66"/>
      <c r="NNI49" s="66"/>
      <c r="NNJ49" s="66"/>
      <c r="NNK49" s="66"/>
      <c r="NNL49" s="66"/>
      <c r="NNM49" s="66"/>
      <c r="NNN49" s="66"/>
      <c r="NNO49" s="66"/>
      <c r="NNP49" s="66"/>
      <c r="NNQ49" s="66"/>
      <c r="NNR49" s="66"/>
      <c r="NNS49" s="66"/>
      <c r="NNT49" s="66"/>
      <c r="NNU49" s="66"/>
      <c r="NNV49" s="66"/>
      <c r="NNW49" s="66"/>
      <c r="NNX49" s="66"/>
      <c r="NNY49" s="66"/>
      <c r="NNZ49" s="66"/>
      <c r="NOA49" s="66"/>
      <c r="NOB49" s="66"/>
      <c r="NOC49" s="66"/>
      <c r="NOD49" s="66"/>
      <c r="NOE49" s="66"/>
      <c r="NOF49" s="66"/>
      <c r="NOG49" s="66"/>
      <c r="NOH49" s="66"/>
      <c r="NOI49" s="66"/>
      <c r="NOJ49" s="66"/>
      <c r="NOK49" s="66"/>
      <c r="NOL49" s="66"/>
      <c r="NOM49" s="66"/>
      <c r="NON49" s="66"/>
      <c r="NOO49" s="66"/>
      <c r="NOP49" s="66"/>
      <c r="NOQ49" s="66"/>
      <c r="NOR49" s="66"/>
      <c r="NOS49" s="66"/>
      <c r="NOT49" s="66"/>
      <c r="NOU49" s="66"/>
      <c r="NOV49" s="66"/>
      <c r="NOW49" s="66"/>
      <c r="NOX49" s="66"/>
      <c r="NOY49" s="66"/>
      <c r="NOZ49" s="66"/>
      <c r="NPA49" s="66"/>
      <c r="NPB49" s="66"/>
      <c r="NPC49" s="66"/>
      <c r="NPD49" s="66"/>
      <c r="NPE49" s="66"/>
      <c r="NPF49" s="66"/>
      <c r="NPG49" s="66"/>
      <c r="NPH49" s="66"/>
      <c r="NPI49" s="66"/>
      <c r="NPJ49" s="66"/>
      <c r="NPK49" s="66"/>
      <c r="NPL49" s="66"/>
      <c r="NPM49" s="66"/>
      <c r="NPN49" s="66"/>
      <c r="NPO49" s="66"/>
      <c r="NPP49" s="66"/>
      <c r="NPQ49" s="66"/>
      <c r="NPR49" s="66"/>
      <c r="NPS49" s="66"/>
      <c r="NPT49" s="66"/>
      <c r="NPU49" s="66"/>
      <c r="NPV49" s="66"/>
      <c r="NPW49" s="66"/>
      <c r="NPX49" s="66"/>
      <c r="NPY49" s="66"/>
      <c r="NPZ49" s="66"/>
      <c r="NQA49" s="66"/>
      <c r="NQB49" s="66"/>
      <c r="NQC49" s="66"/>
      <c r="NQD49" s="66"/>
      <c r="NQE49" s="66"/>
      <c r="NQF49" s="66"/>
      <c r="NQG49" s="66"/>
      <c r="NQH49" s="66"/>
      <c r="NQI49" s="66"/>
      <c r="NQJ49" s="66"/>
      <c r="NQK49" s="66"/>
      <c r="NQL49" s="66"/>
      <c r="NQM49" s="66"/>
      <c r="NQN49" s="66"/>
      <c r="NQO49" s="66"/>
      <c r="NQP49" s="66"/>
      <c r="NQQ49" s="66"/>
      <c r="NQR49" s="66"/>
      <c r="NQS49" s="66"/>
      <c r="NQT49" s="66"/>
      <c r="NQU49" s="66"/>
      <c r="NQV49" s="66"/>
      <c r="NQW49" s="66"/>
      <c r="NQX49" s="66"/>
      <c r="NQY49" s="66"/>
      <c r="NQZ49" s="66"/>
      <c r="NRA49" s="66"/>
      <c r="NRB49" s="66"/>
      <c r="NRC49" s="66"/>
      <c r="NRD49" s="66"/>
      <c r="NRE49" s="66"/>
      <c r="NRF49" s="66"/>
      <c r="NRG49" s="66"/>
      <c r="NRH49" s="66"/>
      <c r="NRI49" s="66"/>
      <c r="NRJ49" s="66"/>
      <c r="NRK49" s="66"/>
      <c r="NRL49" s="66"/>
      <c r="NRM49" s="66"/>
      <c r="NRN49" s="66"/>
      <c r="NRO49" s="66"/>
      <c r="NRP49" s="66"/>
      <c r="NRQ49" s="66"/>
      <c r="NRR49" s="66"/>
      <c r="NRS49" s="66"/>
      <c r="NRT49" s="66"/>
      <c r="NRU49" s="66"/>
      <c r="NRV49" s="66"/>
      <c r="NRW49" s="66"/>
      <c r="NRX49" s="66"/>
      <c r="NRY49" s="66"/>
      <c r="NRZ49" s="66"/>
      <c r="NSA49" s="66"/>
      <c r="NSB49" s="66"/>
      <c r="NSC49" s="66"/>
      <c r="NSD49" s="66"/>
      <c r="NSE49" s="66"/>
      <c r="NSF49" s="66"/>
      <c r="NSG49" s="66"/>
      <c r="NSH49" s="66"/>
      <c r="NSI49" s="66"/>
      <c r="NSJ49" s="66"/>
      <c r="NSK49" s="66"/>
      <c r="NSL49" s="66"/>
      <c r="NSM49" s="66"/>
      <c r="NSN49" s="66"/>
      <c r="NSO49" s="66"/>
      <c r="NSP49" s="66"/>
      <c r="NSQ49" s="66"/>
      <c r="NSR49" s="66"/>
      <c r="NSS49" s="66"/>
      <c r="NST49" s="66"/>
      <c r="NSU49" s="66"/>
      <c r="NSV49" s="66"/>
      <c r="NSW49" s="66"/>
      <c r="NSX49" s="66"/>
      <c r="NSY49" s="66"/>
      <c r="NSZ49" s="66"/>
      <c r="NTA49" s="66"/>
      <c r="NTB49" s="66"/>
      <c r="NTC49" s="66"/>
      <c r="NTD49" s="66"/>
      <c r="NTE49" s="66"/>
      <c r="NTF49" s="66"/>
      <c r="NTG49" s="66"/>
      <c r="NTH49" s="66"/>
      <c r="NTI49" s="66"/>
      <c r="NTJ49" s="66"/>
      <c r="NTK49" s="66"/>
      <c r="NTL49" s="66"/>
      <c r="NTM49" s="66"/>
      <c r="NTN49" s="66"/>
      <c r="NTO49" s="66"/>
      <c r="NTP49" s="66"/>
      <c r="NTQ49" s="66"/>
      <c r="NTR49" s="66"/>
      <c r="NTS49" s="66"/>
      <c r="NTT49" s="66"/>
      <c r="NTU49" s="66"/>
      <c r="NTV49" s="66"/>
      <c r="NTW49" s="66"/>
      <c r="NTX49" s="66"/>
      <c r="NTY49" s="66"/>
      <c r="NTZ49" s="66"/>
      <c r="NUA49" s="66"/>
      <c r="NUB49" s="66"/>
      <c r="NUC49" s="66"/>
      <c r="NUD49" s="66"/>
      <c r="NUE49" s="66"/>
      <c r="NUF49" s="66"/>
      <c r="NUG49" s="66"/>
      <c r="NUH49" s="66"/>
      <c r="NUI49" s="66"/>
      <c r="NUJ49" s="66"/>
      <c r="NUK49" s="66"/>
      <c r="NUL49" s="66"/>
      <c r="NUM49" s="66"/>
      <c r="NUN49" s="66"/>
      <c r="NUO49" s="66"/>
      <c r="NUP49" s="66"/>
      <c r="NUQ49" s="66"/>
      <c r="NUR49" s="66"/>
      <c r="NUS49" s="66"/>
      <c r="NUT49" s="66"/>
      <c r="NUU49" s="66"/>
      <c r="NUV49" s="66"/>
      <c r="NUW49" s="66"/>
      <c r="NUX49" s="66"/>
      <c r="NUY49" s="66"/>
      <c r="NUZ49" s="66"/>
      <c r="NVA49" s="66"/>
      <c r="NVB49" s="66"/>
      <c r="NVC49" s="66"/>
      <c r="NVD49" s="66"/>
      <c r="NVE49" s="66"/>
      <c r="NVF49" s="66"/>
      <c r="NVG49" s="66"/>
      <c r="NVH49" s="66"/>
      <c r="NVI49" s="66"/>
      <c r="NVJ49" s="66"/>
      <c r="NVK49" s="66"/>
      <c r="NVL49" s="66"/>
      <c r="NVM49" s="66"/>
      <c r="NVN49" s="66"/>
      <c r="NVO49" s="66"/>
      <c r="NVP49" s="66"/>
      <c r="NVQ49" s="66"/>
      <c r="NVR49" s="66"/>
      <c r="NVS49" s="66"/>
      <c r="NVT49" s="66"/>
      <c r="NVU49" s="66"/>
      <c r="NVV49" s="66"/>
      <c r="NVW49" s="66"/>
      <c r="NVX49" s="66"/>
      <c r="NVY49" s="66"/>
      <c r="NVZ49" s="66"/>
      <c r="NWA49" s="66"/>
      <c r="NWB49" s="66"/>
      <c r="NWC49" s="66"/>
      <c r="NWD49" s="66"/>
      <c r="NWE49" s="66"/>
      <c r="NWF49" s="66"/>
      <c r="NWG49" s="66"/>
      <c r="NWH49" s="66"/>
      <c r="NWI49" s="66"/>
      <c r="NWJ49" s="66"/>
      <c r="NWK49" s="66"/>
      <c r="NWL49" s="66"/>
      <c r="NWM49" s="66"/>
      <c r="NWN49" s="66"/>
      <c r="NWO49" s="66"/>
      <c r="NWP49" s="66"/>
      <c r="NWQ49" s="66"/>
      <c r="NWR49" s="66"/>
      <c r="NWS49" s="66"/>
      <c r="NWT49" s="66"/>
      <c r="NWU49" s="66"/>
      <c r="NWV49" s="66"/>
      <c r="NWW49" s="66"/>
      <c r="NWX49" s="66"/>
      <c r="NWY49" s="66"/>
      <c r="NWZ49" s="66"/>
      <c r="NXA49" s="66"/>
      <c r="NXB49" s="66"/>
      <c r="NXC49" s="66"/>
      <c r="NXD49" s="66"/>
      <c r="NXE49" s="66"/>
      <c r="NXF49" s="66"/>
      <c r="NXG49" s="66"/>
      <c r="NXH49" s="66"/>
      <c r="NXI49" s="66"/>
      <c r="NXJ49" s="66"/>
      <c r="NXK49" s="66"/>
      <c r="NXL49" s="66"/>
      <c r="NXM49" s="66"/>
      <c r="NXN49" s="66"/>
      <c r="NXO49" s="66"/>
      <c r="NXP49" s="66"/>
      <c r="NXQ49" s="66"/>
      <c r="NXR49" s="66"/>
      <c r="NXS49" s="66"/>
      <c r="NXT49" s="66"/>
      <c r="NXU49" s="66"/>
      <c r="NXV49" s="66"/>
      <c r="NXW49" s="66"/>
      <c r="NXX49" s="66"/>
      <c r="NXY49" s="66"/>
      <c r="NXZ49" s="66"/>
      <c r="NYA49" s="66"/>
      <c r="NYB49" s="66"/>
      <c r="NYC49" s="66"/>
      <c r="NYD49" s="66"/>
      <c r="NYE49" s="66"/>
      <c r="NYF49" s="66"/>
      <c r="NYG49" s="66"/>
      <c r="NYH49" s="66"/>
      <c r="NYI49" s="66"/>
      <c r="NYJ49" s="66"/>
      <c r="NYK49" s="66"/>
      <c r="NYL49" s="66"/>
      <c r="NYM49" s="66"/>
      <c r="NYN49" s="66"/>
      <c r="NYO49" s="66"/>
      <c r="NYP49" s="66"/>
      <c r="NYQ49" s="66"/>
      <c r="NYR49" s="66"/>
      <c r="NYS49" s="66"/>
      <c r="NYT49" s="66"/>
      <c r="NYU49" s="66"/>
      <c r="NYV49" s="66"/>
      <c r="NYW49" s="66"/>
      <c r="NYX49" s="66"/>
      <c r="NYY49" s="66"/>
      <c r="NYZ49" s="66"/>
      <c r="NZA49" s="66"/>
      <c r="NZB49" s="66"/>
      <c r="NZC49" s="66"/>
      <c r="NZD49" s="66"/>
      <c r="NZE49" s="66"/>
      <c r="NZF49" s="66"/>
      <c r="NZG49" s="66"/>
      <c r="NZH49" s="66"/>
      <c r="NZI49" s="66"/>
      <c r="NZJ49" s="66"/>
      <c r="NZK49" s="66"/>
      <c r="NZL49" s="66"/>
      <c r="NZM49" s="66"/>
      <c r="NZN49" s="66"/>
      <c r="NZO49" s="66"/>
      <c r="NZP49" s="66"/>
      <c r="NZQ49" s="66"/>
      <c r="NZR49" s="66"/>
      <c r="NZS49" s="66"/>
      <c r="NZT49" s="66"/>
      <c r="NZU49" s="66"/>
      <c r="NZV49" s="66"/>
      <c r="NZW49" s="66"/>
      <c r="NZX49" s="66"/>
      <c r="NZY49" s="66"/>
      <c r="NZZ49" s="66"/>
      <c r="OAA49" s="66"/>
      <c r="OAB49" s="66"/>
      <c r="OAC49" s="66"/>
      <c r="OAD49" s="66"/>
      <c r="OAE49" s="66"/>
      <c r="OAF49" s="66"/>
      <c r="OAG49" s="66"/>
      <c r="OAH49" s="66"/>
      <c r="OAI49" s="66"/>
      <c r="OAJ49" s="66"/>
      <c r="OAK49" s="66"/>
      <c r="OAL49" s="66"/>
      <c r="OAM49" s="66"/>
      <c r="OAN49" s="66"/>
      <c r="OAO49" s="66"/>
      <c r="OAP49" s="66"/>
      <c r="OAQ49" s="66"/>
      <c r="OAR49" s="66"/>
      <c r="OAS49" s="66"/>
      <c r="OAT49" s="66"/>
      <c r="OAU49" s="66"/>
      <c r="OAV49" s="66"/>
      <c r="OAW49" s="66"/>
      <c r="OAX49" s="66"/>
      <c r="OAY49" s="66"/>
      <c r="OAZ49" s="66"/>
      <c r="OBA49" s="66"/>
      <c r="OBB49" s="66"/>
      <c r="OBC49" s="66"/>
      <c r="OBD49" s="66"/>
      <c r="OBE49" s="66"/>
      <c r="OBF49" s="66"/>
      <c r="OBG49" s="66"/>
      <c r="OBH49" s="66"/>
      <c r="OBI49" s="66"/>
      <c r="OBJ49" s="66"/>
      <c r="OBK49" s="66"/>
      <c r="OBL49" s="66"/>
      <c r="OBM49" s="66"/>
      <c r="OBN49" s="66"/>
      <c r="OBO49" s="66"/>
      <c r="OBP49" s="66"/>
      <c r="OBQ49" s="66"/>
      <c r="OBR49" s="66"/>
      <c r="OBS49" s="66"/>
      <c r="OBT49" s="66"/>
      <c r="OBU49" s="66"/>
      <c r="OBV49" s="66"/>
      <c r="OBW49" s="66"/>
      <c r="OBX49" s="66"/>
      <c r="OBY49" s="66"/>
      <c r="OBZ49" s="66"/>
      <c r="OCA49" s="66"/>
      <c r="OCB49" s="66"/>
      <c r="OCC49" s="66"/>
      <c r="OCD49" s="66"/>
      <c r="OCE49" s="66"/>
      <c r="OCF49" s="66"/>
      <c r="OCG49" s="66"/>
      <c r="OCH49" s="66"/>
      <c r="OCI49" s="66"/>
      <c r="OCJ49" s="66"/>
      <c r="OCK49" s="66"/>
      <c r="OCL49" s="66"/>
      <c r="OCM49" s="66"/>
      <c r="OCN49" s="66"/>
      <c r="OCO49" s="66"/>
      <c r="OCP49" s="66"/>
      <c r="OCQ49" s="66"/>
      <c r="OCR49" s="66"/>
      <c r="OCS49" s="66"/>
      <c r="OCT49" s="66"/>
      <c r="OCU49" s="66"/>
      <c r="OCV49" s="66"/>
      <c r="OCW49" s="66"/>
      <c r="OCX49" s="66"/>
      <c r="OCY49" s="66"/>
      <c r="OCZ49" s="66"/>
      <c r="ODA49" s="66"/>
      <c r="ODB49" s="66"/>
      <c r="ODC49" s="66"/>
      <c r="ODD49" s="66"/>
      <c r="ODE49" s="66"/>
      <c r="ODF49" s="66"/>
      <c r="ODG49" s="66"/>
      <c r="ODH49" s="66"/>
      <c r="ODI49" s="66"/>
      <c r="ODJ49" s="66"/>
      <c r="ODK49" s="66"/>
      <c r="ODL49" s="66"/>
      <c r="ODM49" s="66"/>
      <c r="ODN49" s="66"/>
      <c r="ODO49" s="66"/>
      <c r="ODP49" s="66"/>
      <c r="ODQ49" s="66"/>
      <c r="ODR49" s="66"/>
      <c r="ODS49" s="66"/>
      <c r="ODT49" s="66"/>
      <c r="ODU49" s="66"/>
      <c r="ODV49" s="66"/>
      <c r="ODW49" s="66"/>
      <c r="ODX49" s="66"/>
      <c r="ODY49" s="66"/>
      <c r="ODZ49" s="66"/>
      <c r="OEA49" s="66"/>
      <c r="OEB49" s="66"/>
      <c r="OEC49" s="66"/>
      <c r="OED49" s="66"/>
      <c r="OEE49" s="66"/>
      <c r="OEF49" s="66"/>
      <c r="OEG49" s="66"/>
      <c r="OEH49" s="66"/>
      <c r="OEI49" s="66"/>
      <c r="OEJ49" s="66"/>
      <c r="OEK49" s="66"/>
      <c r="OEL49" s="66"/>
      <c r="OEM49" s="66"/>
      <c r="OEN49" s="66"/>
      <c r="OEO49" s="66"/>
      <c r="OEP49" s="66"/>
      <c r="OEQ49" s="66"/>
      <c r="OER49" s="66"/>
      <c r="OES49" s="66"/>
      <c r="OET49" s="66"/>
      <c r="OEU49" s="66"/>
      <c r="OEV49" s="66"/>
      <c r="OEW49" s="66"/>
      <c r="OEX49" s="66"/>
      <c r="OEY49" s="66"/>
      <c r="OEZ49" s="66"/>
      <c r="OFA49" s="66"/>
      <c r="OFB49" s="66"/>
      <c r="OFC49" s="66"/>
      <c r="OFD49" s="66"/>
      <c r="OFE49" s="66"/>
      <c r="OFF49" s="66"/>
      <c r="OFG49" s="66"/>
      <c r="OFH49" s="66"/>
      <c r="OFI49" s="66"/>
      <c r="OFJ49" s="66"/>
      <c r="OFK49" s="66"/>
      <c r="OFL49" s="66"/>
      <c r="OFM49" s="66"/>
      <c r="OFN49" s="66"/>
      <c r="OFO49" s="66"/>
      <c r="OFP49" s="66"/>
      <c r="OFQ49" s="66"/>
      <c r="OFR49" s="66"/>
      <c r="OFS49" s="66"/>
      <c r="OFT49" s="66"/>
      <c r="OFU49" s="66"/>
      <c r="OFV49" s="66"/>
      <c r="OFW49" s="66"/>
      <c r="OFX49" s="66"/>
      <c r="OFY49" s="66"/>
      <c r="OFZ49" s="66"/>
      <c r="OGA49" s="66"/>
      <c r="OGB49" s="66"/>
      <c r="OGC49" s="66"/>
      <c r="OGD49" s="66"/>
      <c r="OGE49" s="66"/>
      <c r="OGF49" s="66"/>
      <c r="OGG49" s="66"/>
      <c r="OGH49" s="66"/>
      <c r="OGI49" s="66"/>
      <c r="OGJ49" s="66"/>
      <c r="OGK49" s="66"/>
      <c r="OGL49" s="66"/>
      <c r="OGM49" s="66"/>
      <c r="OGN49" s="66"/>
      <c r="OGO49" s="66"/>
      <c r="OGP49" s="66"/>
      <c r="OGQ49" s="66"/>
      <c r="OGR49" s="66"/>
      <c r="OGS49" s="66"/>
      <c r="OGT49" s="66"/>
      <c r="OGU49" s="66"/>
      <c r="OGV49" s="66"/>
      <c r="OGW49" s="66"/>
      <c r="OGX49" s="66"/>
      <c r="OGY49" s="66"/>
      <c r="OGZ49" s="66"/>
      <c r="OHA49" s="66"/>
      <c r="OHB49" s="66"/>
      <c r="OHC49" s="66"/>
      <c r="OHD49" s="66"/>
      <c r="OHE49" s="66"/>
      <c r="OHF49" s="66"/>
      <c r="OHG49" s="66"/>
      <c r="OHH49" s="66"/>
      <c r="OHI49" s="66"/>
      <c r="OHJ49" s="66"/>
      <c r="OHK49" s="66"/>
      <c r="OHL49" s="66"/>
      <c r="OHM49" s="66"/>
      <c r="OHN49" s="66"/>
      <c r="OHO49" s="66"/>
      <c r="OHP49" s="66"/>
      <c r="OHQ49" s="66"/>
      <c r="OHR49" s="66"/>
      <c r="OHS49" s="66"/>
      <c r="OHT49" s="66"/>
      <c r="OHU49" s="66"/>
      <c r="OHV49" s="66"/>
      <c r="OHW49" s="66"/>
      <c r="OHX49" s="66"/>
      <c r="OHY49" s="66"/>
      <c r="OHZ49" s="66"/>
      <c r="OIA49" s="66"/>
      <c r="OIB49" s="66"/>
      <c r="OIC49" s="66"/>
      <c r="OID49" s="66"/>
      <c r="OIE49" s="66"/>
      <c r="OIF49" s="66"/>
      <c r="OIG49" s="66"/>
      <c r="OIH49" s="66"/>
      <c r="OII49" s="66"/>
      <c r="OIJ49" s="66"/>
      <c r="OIK49" s="66"/>
      <c r="OIL49" s="66"/>
      <c r="OIM49" s="66"/>
      <c r="OIN49" s="66"/>
      <c r="OIO49" s="66"/>
      <c r="OIP49" s="66"/>
      <c r="OIQ49" s="66"/>
      <c r="OIR49" s="66"/>
      <c r="OIS49" s="66"/>
      <c r="OIT49" s="66"/>
      <c r="OIU49" s="66"/>
      <c r="OIV49" s="66"/>
      <c r="OIW49" s="66"/>
      <c r="OIX49" s="66"/>
      <c r="OIY49" s="66"/>
      <c r="OIZ49" s="66"/>
      <c r="OJA49" s="66"/>
      <c r="OJB49" s="66"/>
      <c r="OJC49" s="66"/>
      <c r="OJD49" s="66"/>
      <c r="OJE49" s="66"/>
      <c r="OJF49" s="66"/>
      <c r="OJG49" s="66"/>
      <c r="OJH49" s="66"/>
      <c r="OJI49" s="66"/>
      <c r="OJJ49" s="66"/>
      <c r="OJK49" s="66"/>
      <c r="OJL49" s="66"/>
      <c r="OJM49" s="66"/>
      <c r="OJN49" s="66"/>
      <c r="OJO49" s="66"/>
      <c r="OJP49" s="66"/>
      <c r="OJQ49" s="66"/>
      <c r="OJR49" s="66"/>
      <c r="OJS49" s="66"/>
      <c r="OJT49" s="66"/>
      <c r="OJU49" s="66"/>
      <c r="OJV49" s="66"/>
      <c r="OJW49" s="66"/>
      <c r="OJX49" s="66"/>
      <c r="OJY49" s="66"/>
      <c r="OJZ49" s="66"/>
      <c r="OKA49" s="66"/>
      <c r="OKB49" s="66"/>
      <c r="OKC49" s="66"/>
      <c r="OKD49" s="66"/>
      <c r="OKE49" s="66"/>
      <c r="OKF49" s="66"/>
      <c r="OKG49" s="66"/>
      <c r="OKH49" s="66"/>
      <c r="OKI49" s="66"/>
      <c r="OKJ49" s="66"/>
      <c r="OKK49" s="66"/>
      <c r="OKL49" s="66"/>
      <c r="OKM49" s="66"/>
      <c r="OKN49" s="66"/>
      <c r="OKO49" s="66"/>
      <c r="OKP49" s="66"/>
      <c r="OKQ49" s="66"/>
      <c r="OKR49" s="66"/>
      <c r="OKS49" s="66"/>
      <c r="OKT49" s="66"/>
      <c r="OKU49" s="66"/>
      <c r="OKV49" s="66"/>
      <c r="OKW49" s="66"/>
      <c r="OKX49" s="66"/>
      <c r="OKY49" s="66"/>
      <c r="OKZ49" s="66"/>
      <c r="OLA49" s="66"/>
      <c r="OLB49" s="66"/>
      <c r="OLC49" s="66"/>
      <c r="OLD49" s="66"/>
      <c r="OLE49" s="66"/>
      <c r="OLF49" s="66"/>
      <c r="OLG49" s="66"/>
      <c r="OLH49" s="66"/>
      <c r="OLI49" s="66"/>
      <c r="OLJ49" s="66"/>
      <c r="OLK49" s="66"/>
      <c r="OLL49" s="66"/>
      <c r="OLM49" s="66"/>
      <c r="OLN49" s="66"/>
      <c r="OLO49" s="66"/>
      <c r="OLP49" s="66"/>
      <c r="OLQ49" s="66"/>
      <c r="OLR49" s="66"/>
      <c r="OLS49" s="66"/>
      <c r="OLT49" s="66"/>
      <c r="OLU49" s="66"/>
      <c r="OLV49" s="66"/>
      <c r="OLW49" s="66"/>
      <c r="OLX49" s="66"/>
      <c r="OLY49" s="66"/>
      <c r="OLZ49" s="66"/>
      <c r="OMA49" s="66"/>
      <c r="OMB49" s="66"/>
      <c r="OMC49" s="66"/>
      <c r="OMD49" s="66"/>
      <c r="OME49" s="66"/>
      <c r="OMF49" s="66"/>
      <c r="OMG49" s="66"/>
      <c r="OMH49" s="66"/>
      <c r="OMI49" s="66"/>
      <c r="OMJ49" s="66"/>
      <c r="OMK49" s="66"/>
      <c r="OML49" s="66"/>
      <c r="OMM49" s="66"/>
      <c r="OMN49" s="66"/>
      <c r="OMO49" s="66"/>
      <c r="OMP49" s="66"/>
      <c r="OMQ49" s="66"/>
      <c r="OMR49" s="66"/>
      <c r="OMS49" s="66"/>
      <c r="OMT49" s="66"/>
      <c r="OMU49" s="66"/>
      <c r="OMV49" s="66"/>
      <c r="OMW49" s="66"/>
      <c r="OMX49" s="66"/>
      <c r="OMY49" s="66"/>
      <c r="OMZ49" s="66"/>
      <c r="ONA49" s="66"/>
      <c r="ONB49" s="66"/>
      <c r="ONC49" s="66"/>
      <c r="OND49" s="66"/>
      <c r="ONE49" s="66"/>
      <c r="ONF49" s="66"/>
      <c r="ONG49" s="66"/>
      <c r="ONH49" s="66"/>
      <c r="ONI49" s="66"/>
      <c r="ONJ49" s="66"/>
      <c r="ONK49" s="66"/>
      <c r="ONL49" s="66"/>
      <c r="ONM49" s="66"/>
      <c r="ONN49" s="66"/>
      <c r="ONO49" s="66"/>
      <c r="ONP49" s="66"/>
      <c r="ONQ49" s="66"/>
      <c r="ONR49" s="66"/>
      <c r="ONS49" s="66"/>
      <c r="ONT49" s="66"/>
      <c r="ONU49" s="66"/>
      <c r="ONV49" s="66"/>
      <c r="ONW49" s="66"/>
      <c r="ONX49" s="66"/>
      <c r="ONY49" s="66"/>
      <c r="ONZ49" s="66"/>
      <c r="OOA49" s="66"/>
      <c r="OOB49" s="66"/>
      <c r="OOC49" s="66"/>
      <c r="OOD49" s="66"/>
      <c r="OOE49" s="66"/>
      <c r="OOF49" s="66"/>
      <c r="OOG49" s="66"/>
      <c r="OOH49" s="66"/>
      <c r="OOI49" s="66"/>
      <c r="OOJ49" s="66"/>
      <c r="OOK49" s="66"/>
      <c r="OOL49" s="66"/>
      <c r="OOM49" s="66"/>
      <c r="OON49" s="66"/>
      <c r="OOO49" s="66"/>
      <c r="OOP49" s="66"/>
      <c r="OOQ49" s="66"/>
      <c r="OOR49" s="66"/>
      <c r="OOS49" s="66"/>
      <c r="OOT49" s="66"/>
      <c r="OOU49" s="66"/>
      <c r="OOV49" s="66"/>
      <c r="OOW49" s="66"/>
      <c r="OOX49" s="66"/>
      <c r="OOY49" s="66"/>
      <c r="OOZ49" s="66"/>
      <c r="OPA49" s="66"/>
      <c r="OPB49" s="66"/>
      <c r="OPC49" s="66"/>
      <c r="OPD49" s="66"/>
      <c r="OPE49" s="66"/>
      <c r="OPF49" s="66"/>
      <c r="OPG49" s="66"/>
      <c r="OPH49" s="66"/>
      <c r="OPI49" s="66"/>
      <c r="OPJ49" s="66"/>
      <c r="OPK49" s="66"/>
      <c r="OPL49" s="66"/>
      <c r="OPM49" s="66"/>
      <c r="OPN49" s="66"/>
      <c r="OPO49" s="66"/>
      <c r="OPP49" s="66"/>
      <c r="OPQ49" s="66"/>
      <c r="OPR49" s="66"/>
      <c r="OPS49" s="66"/>
      <c r="OPT49" s="66"/>
      <c r="OPU49" s="66"/>
      <c r="OPV49" s="66"/>
      <c r="OPW49" s="66"/>
      <c r="OPX49" s="66"/>
      <c r="OPY49" s="66"/>
      <c r="OPZ49" s="66"/>
      <c r="OQA49" s="66"/>
      <c r="OQB49" s="66"/>
      <c r="OQC49" s="66"/>
      <c r="OQD49" s="66"/>
      <c r="OQE49" s="66"/>
      <c r="OQF49" s="66"/>
      <c r="OQG49" s="66"/>
      <c r="OQH49" s="66"/>
      <c r="OQI49" s="66"/>
      <c r="OQJ49" s="66"/>
      <c r="OQK49" s="66"/>
      <c r="OQL49" s="66"/>
      <c r="OQM49" s="66"/>
      <c r="OQN49" s="66"/>
      <c r="OQO49" s="66"/>
      <c r="OQP49" s="66"/>
      <c r="OQQ49" s="66"/>
      <c r="OQR49" s="66"/>
      <c r="OQS49" s="66"/>
      <c r="OQT49" s="66"/>
      <c r="OQU49" s="66"/>
      <c r="OQV49" s="66"/>
      <c r="OQW49" s="66"/>
      <c r="OQX49" s="66"/>
      <c r="OQY49" s="66"/>
      <c r="OQZ49" s="66"/>
      <c r="ORA49" s="66"/>
      <c r="ORB49" s="66"/>
      <c r="ORC49" s="66"/>
      <c r="ORD49" s="66"/>
      <c r="ORE49" s="66"/>
      <c r="ORF49" s="66"/>
      <c r="ORG49" s="66"/>
      <c r="ORH49" s="66"/>
      <c r="ORI49" s="66"/>
      <c r="ORJ49" s="66"/>
      <c r="ORK49" s="66"/>
      <c r="ORL49" s="66"/>
      <c r="ORM49" s="66"/>
      <c r="ORN49" s="66"/>
      <c r="ORO49" s="66"/>
      <c r="ORP49" s="66"/>
      <c r="ORQ49" s="66"/>
      <c r="ORR49" s="66"/>
      <c r="ORS49" s="66"/>
      <c r="ORT49" s="66"/>
      <c r="ORU49" s="66"/>
      <c r="ORV49" s="66"/>
      <c r="ORW49" s="66"/>
      <c r="ORX49" s="66"/>
      <c r="ORY49" s="66"/>
      <c r="ORZ49" s="66"/>
      <c r="OSA49" s="66"/>
      <c r="OSB49" s="66"/>
      <c r="OSC49" s="66"/>
      <c r="OSD49" s="66"/>
      <c r="OSE49" s="66"/>
      <c r="OSF49" s="66"/>
      <c r="OSG49" s="66"/>
      <c r="OSH49" s="66"/>
      <c r="OSI49" s="66"/>
      <c r="OSJ49" s="66"/>
      <c r="OSK49" s="66"/>
      <c r="OSL49" s="66"/>
      <c r="OSM49" s="66"/>
      <c r="OSN49" s="66"/>
      <c r="OSO49" s="66"/>
      <c r="OSP49" s="66"/>
      <c r="OSQ49" s="66"/>
      <c r="OSR49" s="66"/>
      <c r="OSS49" s="66"/>
      <c r="OST49" s="66"/>
      <c r="OSU49" s="66"/>
      <c r="OSV49" s="66"/>
      <c r="OSW49" s="66"/>
      <c r="OSX49" s="66"/>
      <c r="OSY49" s="66"/>
      <c r="OSZ49" s="66"/>
      <c r="OTA49" s="66"/>
      <c r="OTB49" s="66"/>
      <c r="OTC49" s="66"/>
      <c r="OTD49" s="66"/>
      <c r="OTE49" s="66"/>
      <c r="OTF49" s="66"/>
      <c r="OTG49" s="66"/>
      <c r="OTH49" s="66"/>
      <c r="OTI49" s="66"/>
      <c r="OTJ49" s="66"/>
      <c r="OTK49" s="66"/>
      <c r="OTL49" s="66"/>
      <c r="OTM49" s="66"/>
      <c r="OTN49" s="66"/>
      <c r="OTO49" s="66"/>
      <c r="OTP49" s="66"/>
      <c r="OTQ49" s="66"/>
      <c r="OTR49" s="66"/>
      <c r="OTS49" s="66"/>
      <c r="OTT49" s="66"/>
      <c r="OTU49" s="66"/>
      <c r="OTV49" s="66"/>
      <c r="OTW49" s="66"/>
      <c r="OTX49" s="66"/>
      <c r="OTY49" s="66"/>
      <c r="OTZ49" s="66"/>
      <c r="OUA49" s="66"/>
      <c r="OUB49" s="66"/>
      <c r="OUC49" s="66"/>
      <c r="OUD49" s="66"/>
      <c r="OUE49" s="66"/>
      <c r="OUF49" s="66"/>
      <c r="OUG49" s="66"/>
      <c r="OUH49" s="66"/>
      <c r="OUI49" s="66"/>
      <c r="OUJ49" s="66"/>
      <c r="OUK49" s="66"/>
      <c r="OUL49" s="66"/>
      <c r="OUM49" s="66"/>
      <c r="OUN49" s="66"/>
      <c r="OUO49" s="66"/>
      <c r="OUP49" s="66"/>
      <c r="OUQ49" s="66"/>
      <c r="OUR49" s="66"/>
      <c r="OUS49" s="66"/>
      <c r="OUT49" s="66"/>
      <c r="OUU49" s="66"/>
      <c r="OUV49" s="66"/>
      <c r="OUW49" s="66"/>
      <c r="OUX49" s="66"/>
      <c r="OUY49" s="66"/>
      <c r="OUZ49" s="66"/>
      <c r="OVA49" s="66"/>
      <c r="OVB49" s="66"/>
      <c r="OVC49" s="66"/>
      <c r="OVD49" s="66"/>
      <c r="OVE49" s="66"/>
      <c r="OVF49" s="66"/>
      <c r="OVG49" s="66"/>
      <c r="OVH49" s="66"/>
      <c r="OVI49" s="66"/>
      <c r="OVJ49" s="66"/>
      <c r="OVK49" s="66"/>
      <c r="OVL49" s="66"/>
      <c r="OVM49" s="66"/>
      <c r="OVN49" s="66"/>
      <c r="OVO49" s="66"/>
      <c r="OVP49" s="66"/>
      <c r="OVQ49" s="66"/>
      <c r="OVR49" s="66"/>
      <c r="OVS49" s="66"/>
      <c r="OVT49" s="66"/>
      <c r="OVU49" s="66"/>
      <c r="OVV49" s="66"/>
      <c r="OVW49" s="66"/>
      <c r="OVX49" s="66"/>
      <c r="OVY49" s="66"/>
      <c r="OVZ49" s="66"/>
      <c r="OWA49" s="66"/>
      <c r="OWB49" s="66"/>
      <c r="OWC49" s="66"/>
      <c r="OWD49" s="66"/>
      <c r="OWE49" s="66"/>
      <c r="OWF49" s="66"/>
      <c r="OWG49" s="66"/>
      <c r="OWH49" s="66"/>
      <c r="OWI49" s="66"/>
      <c r="OWJ49" s="66"/>
      <c r="OWK49" s="66"/>
      <c r="OWL49" s="66"/>
      <c r="OWM49" s="66"/>
      <c r="OWN49" s="66"/>
      <c r="OWO49" s="66"/>
      <c r="OWP49" s="66"/>
      <c r="OWQ49" s="66"/>
      <c r="OWR49" s="66"/>
      <c r="OWS49" s="66"/>
      <c r="OWT49" s="66"/>
      <c r="OWU49" s="66"/>
      <c r="OWV49" s="66"/>
      <c r="OWW49" s="66"/>
      <c r="OWX49" s="66"/>
      <c r="OWY49" s="66"/>
      <c r="OWZ49" s="66"/>
      <c r="OXA49" s="66"/>
      <c r="OXB49" s="66"/>
      <c r="OXC49" s="66"/>
      <c r="OXD49" s="66"/>
      <c r="OXE49" s="66"/>
      <c r="OXF49" s="66"/>
      <c r="OXG49" s="66"/>
      <c r="OXH49" s="66"/>
      <c r="OXI49" s="66"/>
      <c r="OXJ49" s="66"/>
      <c r="OXK49" s="66"/>
      <c r="OXL49" s="66"/>
      <c r="OXM49" s="66"/>
      <c r="OXN49" s="66"/>
      <c r="OXO49" s="66"/>
      <c r="OXP49" s="66"/>
      <c r="OXQ49" s="66"/>
      <c r="OXR49" s="66"/>
      <c r="OXS49" s="66"/>
      <c r="OXT49" s="66"/>
      <c r="OXU49" s="66"/>
      <c r="OXV49" s="66"/>
      <c r="OXW49" s="66"/>
      <c r="OXX49" s="66"/>
      <c r="OXY49" s="66"/>
      <c r="OXZ49" s="66"/>
      <c r="OYA49" s="66"/>
      <c r="OYB49" s="66"/>
      <c r="OYC49" s="66"/>
      <c r="OYD49" s="66"/>
      <c r="OYE49" s="66"/>
      <c r="OYF49" s="66"/>
      <c r="OYG49" s="66"/>
      <c r="OYH49" s="66"/>
      <c r="OYI49" s="66"/>
      <c r="OYJ49" s="66"/>
      <c r="OYK49" s="66"/>
      <c r="OYL49" s="66"/>
      <c r="OYM49" s="66"/>
      <c r="OYN49" s="66"/>
      <c r="OYO49" s="66"/>
      <c r="OYP49" s="66"/>
      <c r="OYQ49" s="66"/>
      <c r="OYR49" s="66"/>
      <c r="OYS49" s="66"/>
      <c r="OYT49" s="66"/>
      <c r="OYU49" s="66"/>
      <c r="OYV49" s="66"/>
      <c r="OYW49" s="66"/>
      <c r="OYX49" s="66"/>
      <c r="OYY49" s="66"/>
      <c r="OYZ49" s="66"/>
      <c r="OZA49" s="66"/>
      <c r="OZB49" s="66"/>
      <c r="OZC49" s="66"/>
      <c r="OZD49" s="66"/>
      <c r="OZE49" s="66"/>
      <c r="OZF49" s="66"/>
      <c r="OZG49" s="66"/>
      <c r="OZH49" s="66"/>
      <c r="OZI49" s="66"/>
      <c r="OZJ49" s="66"/>
      <c r="OZK49" s="66"/>
      <c r="OZL49" s="66"/>
      <c r="OZM49" s="66"/>
      <c r="OZN49" s="66"/>
      <c r="OZO49" s="66"/>
      <c r="OZP49" s="66"/>
      <c r="OZQ49" s="66"/>
      <c r="OZR49" s="66"/>
      <c r="OZS49" s="66"/>
      <c r="OZT49" s="66"/>
      <c r="OZU49" s="66"/>
      <c r="OZV49" s="66"/>
      <c r="OZW49" s="66"/>
      <c r="OZX49" s="66"/>
      <c r="OZY49" s="66"/>
      <c r="OZZ49" s="66"/>
      <c r="PAA49" s="66"/>
      <c r="PAB49" s="66"/>
      <c r="PAC49" s="66"/>
      <c r="PAD49" s="66"/>
      <c r="PAE49" s="66"/>
      <c r="PAF49" s="66"/>
      <c r="PAG49" s="66"/>
      <c r="PAH49" s="66"/>
      <c r="PAI49" s="66"/>
      <c r="PAJ49" s="66"/>
      <c r="PAK49" s="66"/>
      <c r="PAL49" s="66"/>
      <c r="PAM49" s="66"/>
      <c r="PAN49" s="66"/>
      <c r="PAO49" s="66"/>
      <c r="PAP49" s="66"/>
      <c r="PAQ49" s="66"/>
      <c r="PAR49" s="66"/>
      <c r="PAS49" s="66"/>
      <c r="PAT49" s="66"/>
      <c r="PAU49" s="66"/>
      <c r="PAV49" s="66"/>
      <c r="PAW49" s="66"/>
      <c r="PAX49" s="66"/>
      <c r="PAY49" s="66"/>
      <c r="PAZ49" s="66"/>
      <c r="PBA49" s="66"/>
      <c r="PBB49" s="66"/>
      <c r="PBC49" s="66"/>
      <c r="PBD49" s="66"/>
      <c r="PBE49" s="66"/>
      <c r="PBF49" s="66"/>
      <c r="PBG49" s="66"/>
      <c r="PBH49" s="66"/>
      <c r="PBI49" s="66"/>
      <c r="PBJ49" s="66"/>
      <c r="PBK49" s="66"/>
      <c r="PBL49" s="66"/>
      <c r="PBM49" s="66"/>
      <c r="PBN49" s="66"/>
      <c r="PBO49" s="66"/>
      <c r="PBP49" s="66"/>
      <c r="PBQ49" s="66"/>
      <c r="PBR49" s="66"/>
      <c r="PBS49" s="66"/>
      <c r="PBT49" s="66"/>
      <c r="PBU49" s="66"/>
      <c r="PBV49" s="66"/>
      <c r="PBW49" s="66"/>
      <c r="PBX49" s="66"/>
      <c r="PBY49" s="66"/>
      <c r="PBZ49" s="66"/>
      <c r="PCA49" s="66"/>
      <c r="PCB49" s="66"/>
      <c r="PCC49" s="66"/>
      <c r="PCD49" s="66"/>
      <c r="PCE49" s="66"/>
      <c r="PCF49" s="66"/>
      <c r="PCG49" s="66"/>
      <c r="PCH49" s="66"/>
      <c r="PCI49" s="66"/>
      <c r="PCJ49" s="66"/>
      <c r="PCK49" s="66"/>
      <c r="PCL49" s="66"/>
      <c r="PCM49" s="66"/>
      <c r="PCN49" s="66"/>
      <c r="PCO49" s="66"/>
      <c r="PCP49" s="66"/>
      <c r="PCQ49" s="66"/>
      <c r="PCR49" s="66"/>
      <c r="PCS49" s="66"/>
      <c r="PCT49" s="66"/>
      <c r="PCU49" s="66"/>
      <c r="PCV49" s="66"/>
      <c r="PCW49" s="66"/>
      <c r="PCX49" s="66"/>
      <c r="PCY49" s="66"/>
      <c r="PCZ49" s="66"/>
      <c r="PDA49" s="66"/>
      <c r="PDB49" s="66"/>
      <c r="PDC49" s="66"/>
      <c r="PDD49" s="66"/>
      <c r="PDE49" s="66"/>
      <c r="PDF49" s="66"/>
      <c r="PDG49" s="66"/>
      <c r="PDH49" s="66"/>
      <c r="PDI49" s="66"/>
      <c r="PDJ49" s="66"/>
      <c r="PDK49" s="66"/>
      <c r="PDL49" s="66"/>
      <c r="PDM49" s="66"/>
      <c r="PDN49" s="66"/>
      <c r="PDO49" s="66"/>
      <c r="PDP49" s="66"/>
      <c r="PDQ49" s="66"/>
      <c r="PDR49" s="66"/>
      <c r="PDS49" s="66"/>
      <c r="PDT49" s="66"/>
      <c r="PDU49" s="66"/>
      <c r="PDV49" s="66"/>
      <c r="PDW49" s="66"/>
      <c r="PDX49" s="66"/>
      <c r="PDY49" s="66"/>
      <c r="PDZ49" s="66"/>
      <c r="PEA49" s="66"/>
      <c r="PEB49" s="66"/>
      <c r="PEC49" s="66"/>
      <c r="PED49" s="66"/>
      <c r="PEE49" s="66"/>
      <c r="PEF49" s="66"/>
      <c r="PEG49" s="66"/>
      <c r="PEH49" s="66"/>
      <c r="PEI49" s="66"/>
      <c r="PEJ49" s="66"/>
      <c r="PEK49" s="66"/>
      <c r="PEL49" s="66"/>
      <c r="PEM49" s="66"/>
      <c r="PEN49" s="66"/>
      <c r="PEO49" s="66"/>
      <c r="PEP49" s="66"/>
      <c r="PEQ49" s="66"/>
      <c r="PER49" s="66"/>
      <c r="PES49" s="66"/>
      <c r="PET49" s="66"/>
      <c r="PEU49" s="66"/>
      <c r="PEV49" s="66"/>
      <c r="PEW49" s="66"/>
      <c r="PEX49" s="66"/>
      <c r="PEY49" s="66"/>
      <c r="PEZ49" s="66"/>
      <c r="PFA49" s="66"/>
      <c r="PFB49" s="66"/>
      <c r="PFC49" s="66"/>
      <c r="PFD49" s="66"/>
      <c r="PFE49" s="66"/>
      <c r="PFF49" s="66"/>
      <c r="PFG49" s="66"/>
      <c r="PFH49" s="66"/>
      <c r="PFI49" s="66"/>
      <c r="PFJ49" s="66"/>
      <c r="PFK49" s="66"/>
      <c r="PFL49" s="66"/>
      <c r="PFM49" s="66"/>
      <c r="PFN49" s="66"/>
      <c r="PFO49" s="66"/>
      <c r="PFP49" s="66"/>
      <c r="PFQ49" s="66"/>
      <c r="PFR49" s="66"/>
      <c r="PFS49" s="66"/>
      <c r="PFT49" s="66"/>
      <c r="PFU49" s="66"/>
      <c r="PFV49" s="66"/>
      <c r="PFW49" s="66"/>
      <c r="PFX49" s="66"/>
      <c r="PFY49" s="66"/>
      <c r="PFZ49" s="66"/>
      <c r="PGA49" s="66"/>
      <c r="PGB49" s="66"/>
      <c r="PGC49" s="66"/>
      <c r="PGD49" s="66"/>
      <c r="PGE49" s="66"/>
      <c r="PGF49" s="66"/>
      <c r="PGG49" s="66"/>
      <c r="PGH49" s="66"/>
      <c r="PGI49" s="66"/>
      <c r="PGJ49" s="66"/>
      <c r="PGK49" s="66"/>
      <c r="PGL49" s="66"/>
      <c r="PGM49" s="66"/>
      <c r="PGN49" s="66"/>
      <c r="PGO49" s="66"/>
      <c r="PGP49" s="66"/>
      <c r="PGQ49" s="66"/>
      <c r="PGR49" s="66"/>
      <c r="PGS49" s="66"/>
      <c r="PGT49" s="66"/>
      <c r="PGU49" s="66"/>
      <c r="PGV49" s="66"/>
      <c r="PGW49" s="66"/>
      <c r="PGX49" s="66"/>
      <c r="PGY49" s="66"/>
      <c r="PGZ49" s="66"/>
      <c r="PHA49" s="66"/>
      <c r="PHB49" s="66"/>
      <c r="PHC49" s="66"/>
      <c r="PHD49" s="66"/>
      <c r="PHE49" s="66"/>
      <c r="PHF49" s="66"/>
      <c r="PHG49" s="66"/>
      <c r="PHH49" s="66"/>
      <c r="PHI49" s="66"/>
      <c r="PHJ49" s="66"/>
      <c r="PHK49" s="66"/>
      <c r="PHL49" s="66"/>
      <c r="PHM49" s="66"/>
      <c r="PHN49" s="66"/>
      <c r="PHO49" s="66"/>
      <c r="PHP49" s="66"/>
      <c r="PHQ49" s="66"/>
      <c r="PHR49" s="66"/>
      <c r="PHS49" s="66"/>
      <c r="PHT49" s="66"/>
      <c r="PHU49" s="66"/>
      <c r="PHV49" s="66"/>
      <c r="PHW49" s="66"/>
      <c r="PHX49" s="66"/>
      <c r="PHY49" s="66"/>
      <c r="PHZ49" s="66"/>
      <c r="PIA49" s="66"/>
      <c r="PIB49" s="66"/>
      <c r="PIC49" s="66"/>
      <c r="PID49" s="66"/>
      <c r="PIE49" s="66"/>
      <c r="PIF49" s="66"/>
      <c r="PIG49" s="66"/>
      <c r="PIH49" s="66"/>
      <c r="PII49" s="66"/>
      <c r="PIJ49" s="66"/>
      <c r="PIK49" s="66"/>
      <c r="PIL49" s="66"/>
      <c r="PIM49" s="66"/>
      <c r="PIN49" s="66"/>
      <c r="PIO49" s="66"/>
      <c r="PIP49" s="66"/>
      <c r="PIQ49" s="66"/>
      <c r="PIR49" s="66"/>
      <c r="PIS49" s="66"/>
      <c r="PIT49" s="66"/>
      <c r="PIU49" s="66"/>
      <c r="PIV49" s="66"/>
      <c r="PIW49" s="66"/>
      <c r="PIX49" s="66"/>
      <c r="PIY49" s="66"/>
      <c r="PIZ49" s="66"/>
      <c r="PJA49" s="66"/>
      <c r="PJB49" s="66"/>
      <c r="PJC49" s="66"/>
      <c r="PJD49" s="66"/>
      <c r="PJE49" s="66"/>
      <c r="PJF49" s="66"/>
      <c r="PJG49" s="66"/>
      <c r="PJH49" s="66"/>
      <c r="PJI49" s="66"/>
      <c r="PJJ49" s="66"/>
      <c r="PJK49" s="66"/>
      <c r="PJL49" s="66"/>
      <c r="PJM49" s="66"/>
      <c r="PJN49" s="66"/>
      <c r="PJO49" s="66"/>
      <c r="PJP49" s="66"/>
      <c r="PJQ49" s="66"/>
      <c r="PJR49" s="66"/>
      <c r="PJS49" s="66"/>
      <c r="PJT49" s="66"/>
      <c r="PJU49" s="66"/>
      <c r="PJV49" s="66"/>
      <c r="PJW49" s="66"/>
      <c r="PJX49" s="66"/>
      <c r="PJY49" s="66"/>
      <c r="PJZ49" s="66"/>
      <c r="PKA49" s="66"/>
      <c r="PKB49" s="66"/>
      <c r="PKC49" s="66"/>
      <c r="PKD49" s="66"/>
      <c r="PKE49" s="66"/>
      <c r="PKF49" s="66"/>
      <c r="PKG49" s="66"/>
      <c r="PKH49" s="66"/>
      <c r="PKI49" s="66"/>
      <c r="PKJ49" s="66"/>
      <c r="PKK49" s="66"/>
      <c r="PKL49" s="66"/>
      <c r="PKM49" s="66"/>
      <c r="PKN49" s="66"/>
      <c r="PKO49" s="66"/>
      <c r="PKP49" s="66"/>
      <c r="PKQ49" s="66"/>
      <c r="PKR49" s="66"/>
      <c r="PKS49" s="66"/>
      <c r="PKT49" s="66"/>
      <c r="PKU49" s="66"/>
      <c r="PKV49" s="66"/>
      <c r="PKW49" s="66"/>
      <c r="PKX49" s="66"/>
      <c r="PKY49" s="66"/>
      <c r="PKZ49" s="66"/>
      <c r="PLA49" s="66"/>
      <c r="PLB49" s="66"/>
      <c r="PLC49" s="66"/>
      <c r="PLD49" s="66"/>
      <c r="PLE49" s="66"/>
      <c r="PLF49" s="66"/>
      <c r="PLG49" s="66"/>
      <c r="PLH49" s="66"/>
      <c r="PLI49" s="66"/>
      <c r="PLJ49" s="66"/>
      <c r="PLK49" s="66"/>
      <c r="PLL49" s="66"/>
      <c r="PLM49" s="66"/>
      <c r="PLN49" s="66"/>
      <c r="PLO49" s="66"/>
      <c r="PLP49" s="66"/>
      <c r="PLQ49" s="66"/>
      <c r="PLR49" s="66"/>
      <c r="PLS49" s="66"/>
      <c r="PLT49" s="66"/>
      <c r="PLU49" s="66"/>
      <c r="PLV49" s="66"/>
      <c r="PLW49" s="66"/>
      <c r="PLX49" s="66"/>
      <c r="PLY49" s="66"/>
      <c r="PLZ49" s="66"/>
      <c r="PMA49" s="66"/>
      <c r="PMB49" s="66"/>
      <c r="PMC49" s="66"/>
      <c r="PMD49" s="66"/>
      <c r="PME49" s="66"/>
      <c r="PMF49" s="66"/>
      <c r="PMG49" s="66"/>
      <c r="PMH49" s="66"/>
      <c r="PMI49" s="66"/>
      <c r="PMJ49" s="66"/>
      <c r="PMK49" s="66"/>
      <c r="PML49" s="66"/>
      <c r="PMM49" s="66"/>
      <c r="PMN49" s="66"/>
      <c r="PMO49" s="66"/>
      <c r="PMP49" s="66"/>
      <c r="PMQ49" s="66"/>
      <c r="PMR49" s="66"/>
      <c r="PMS49" s="66"/>
      <c r="PMT49" s="66"/>
      <c r="PMU49" s="66"/>
      <c r="PMV49" s="66"/>
      <c r="PMW49" s="66"/>
      <c r="PMX49" s="66"/>
      <c r="PMY49" s="66"/>
      <c r="PMZ49" s="66"/>
      <c r="PNA49" s="66"/>
      <c r="PNB49" s="66"/>
      <c r="PNC49" s="66"/>
      <c r="PND49" s="66"/>
      <c r="PNE49" s="66"/>
      <c r="PNF49" s="66"/>
      <c r="PNG49" s="66"/>
      <c r="PNH49" s="66"/>
      <c r="PNI49" s="66"/>
      <c r="PNJ49" s="66"/>
      <c r="PNK49" s="66"/>
      <c r="PNL49" s="66"/>
      <c r="PNM49" s="66"/>
      <c r="PNN49" s="66"/>
      <c r="PNO49" s="66"/>
      <c r="PNP49" s="66"/>
      <c r="PNQ49" s="66"/>
      <c r="PNR49" s="66"/>
      <c r="PNS49" s="66"/>
      <c r="PNT49" s="66"/>
      <c r="PNU49" s="66"/>
      <c r="PNV49" s="66"/>
      <c r="PNW49" s="66"/>
      <c r="PNX49" s="66"/>
      <c r="PNY49" s="66"/>
      <c r="PNZ49" s="66"/>
      <c r="POA49" s="66"/>
      <c r="POB49" s="66"/>
      <c r="POC49" s="66"/>
      <c r="POD49" s="66"/>
      <c r="POE49" s="66"/>
      <c r="POF49" s="66"/>
      <c r="POG49" s="66"/>
      <c r="POH49" s="66"/>
      <c r="POI49" s="66"/>
      <c r="POJ49" s="66"/>
      <c r="POK49" s="66"/>
      <c r="POL49" s="66"/>
      <c r="POM49" s="66"/>
      <c r="PON49" s="66"/>
      <c r="POO49" s="66"/>
      <c r="POP49" s="66"/>
      <c r="POQ49" s="66"/>
      <c r="POR49" s="66"/>
      <c r="POS49" s="66"/>
      <c r="POT49" s="66"/>
      <c r="POU49" s="66"/>
      <c r="POV49" s="66"/>
      <c r="POW49" s="66"/>
      <c r="POX49" s="66"/>
      <c r="POY49" s="66"/>
      <c r="POZ49" s="66"/>
      <c r="PPA49" s="66"/>
      <c r="PPB49" s="66"/>
      <c r="PPC49" s="66"/>
      <c r="PPD49" s="66"/>
      <c r="PPE49" s="66"/>
      <c r="PPF49" s="66"/>
      <c r="PPG49" s="66"/>
      <c r="PPH49" s="66"/>
      <c r="PPI49" s="66"/>
      <c r="PPJ49" s="66"/>
      <c r="PPK49" s="66"/>
      <c r="PPL49" s="66"/>
      <c r="PPM49" s="66"/>
      <c r="PPN49" s="66"/>
      <c r="PPO49" s="66"/>
      <c r="PPP49" s="66"/>
      <c r="PPQ49" s="66"/>
      <c r="PPR49" s="66"/>
      <c r="PPS49" s="66"/>
      <c r="PPT49" s="66"/>
      <c r="PPU49" s="66"/>
      <c r="PPV49" s="66"/>
      <c r="PPW49" s="66"/>
      <c r="PPX49" s="66"/>
      <c r="PPY49" s="66"/>
      <c r="PPZ49" s="66"/>
      <c r="PQA49" s="66"/>
      <c r="PQB49" s="66"/>
      <c r="PQC49" s="66"/>
      <c r="PQD49" s="66"/>
      <c r="PQE49" s="66"/>
      <c r="PQF49" s="66"/>
      <c r="PQG49" s="66"/>
      <c r="PQH49" s="66"/>
      <c r="PQI49" s="66"/>
      <c r="PQJ49" s="66"/>
      <c r="PQK49" s="66"/>
      <c r="PQL49" s="66"/>
      <c r="PQM49" s="66"/>
      <c r="PQN49" s="66"/>
      <c r="PQO49" s="66"/>
      <c r="PQP49" s="66"/>
      <c r="PQQ49" s="66"/>
      <c r="PQR49" s="66"/>
      <c r="PQS49" s="66"/>
      <c r="PQT49" s="66"/>
      <c r="PQU49" s="66"/>
      <c r="PQV49" s="66"/>
      <c r="PQW49" s="66"/>
      <c r="PQX49" s="66"/>
      <c r="PQY49" s="66"/>
      <c r="PQZ49" s="66"/>
      <c r="PRA49" s="66"/>
      <c r="PRB49" s="66"/>
      <c r="PRC49" s="66"/>
      <c r="PRD49" s="66"/>
      <c r="PRE49" s="66"/>
      <c r="PRF49" s="66"/>
      <c r="PRG49" s="66"/>
      <c r="PRH49" s="66"/>
      <c r="PRI49" s="66"/>
      <c r="PRJ49" s="66"/>
      <c r="PRK49" s="66"/>
      <c r="PRL49" s="66"/>
      <c r="PRM49" s="66"/>
      <c r="PRN49" s="66"/>
      <c r="PRO49" s="66"/>
      <c r="PRP49" s="66"/>
      <c r="PRQ49" s="66"/>
      <c r="PRR49" s="66"/>
      <c r="PRS49" s="66"/>
      <c r="PRT49" s="66"/>
      <c r="PRU49" s="66"/>
      <c r="PRV49" s="66"/>
      <c r="PRW49" s="66"/>
      <c r="PRX49" s="66"/>
      <c r="PRY49" s="66"/>
      <c r="PRZ49" s="66"/>
      <c r="PSA49" s="66"/>
      <c r="PSB49" s="66"/>
      <c r="PSC49" s="66"/>
      <c r="PSD49" s="66"/>
      <c r="PSE49" s="66"/>
      <c r="PSF49" s="66"/>
      <c r="PSG49" s="66"/>
      <c r="PSH49" s="66"/>
      <c r="PSI49" s="66"/>
      <c r="PSJ49" s="66"/>
      <c r="PSK49" s="66"/>
      <c r="PSL49" s="66"/>
      <c r="PSM49" s="66"/>
      <c r="PSN49" s="66"/>
      <c r="PSO49" s="66"/>
      <c r="PSP49" s="66"/>
      <c r="PSQ49" s="66"/>
      <c r="PSR49" s="66"/>
      <c r="PSS49" s="66"/>
      <c r="PST49" s="66"/>
      <c r="PSU49" s="66"/>
      <c r="PSV49" s="66"/>
      <c r="PSW49" s="66"/>
      <c r="PSX49" s="66"/>
      <c r="PSY49" s="66"/>
      <c r="PSZ49" s="66"/>
      <c r="PTA49" s="66"/>
      <c r="PTB49" s="66"/>
      <c r="PTC49" s="66"/>
      <c r="PTD49" s="66"/>
      <c r="PTE49" s="66"/>
      <c r="PTF49" s="66"/>
      <c r="PTG49" s="66"/>
      <c r="PTH49" s="66"/>
      <c r="PTI49" s="66"/>
      <c r="PTJ49" s="66"/>
      <c r="PTK49" s="66"/>
      <c r="PTL49" s="66"/>
      <c r="PTM49" s="66"/>
      <c r="PTN49" s="66"/>
      <c r="PTO49" s="66"/>
      <c r="PTP49" s="66"/>
      <c r="PTQ49" s="66"/>
      <c r="PTR49" s="66"/>
      <c r="PTS49" s="66"/>
      <c r="PTT49" s="66"/>
      <c r="PTU49" s="66"/>
      <c r="PTV49" s="66"/>
      <c r="PTW49" s="66"/>
      <c r="PTX49" s="66"/>
      <c r="PTY49" s="66"/>
      <c r="PTZ49" s="66"/>
      <c r="PUA49" s="66"/>
      <c r="PUB49" s="66"/>
      <c r="PUC49" s="66"/>
      <c r="PUD49" s="66"/>
      <c r="PUE49" s="66"/>
      <c r="PUF49" s="66"/>
      <c r="PUG49" s="66"/>
      <c r="PUH49" s="66"/>
      <c r="PUI49" s="66"/>
      <c r="PUJ49" s="66"/>
      <c r="PUK49" s="66"/>
      <c r="PUL49" s="66"/>
      <c r="PUM49" s="66"/>
      <c r="PUN49" s="66"/>
      <c r="PUO49" s="66"/>
      <c r="PUP49" s="66"/>
      <c r="PUQ49" s="66"/>
      <c r="PUR49" s="66"/>
      <c r="PUS49" s="66"/>
      <c r="PUT49" s="66"/>
      <c r="PUU49" s="66"/>
      <c r="PUV49" s="66"/>
      <c r="PUW49" s="66"/>
      <c r="PUX49" s="66"/>
      <c r="PUY49" s="66"/>
      <c r="PUZ49" s="66"/>
      <c r="PVA49" s="66"/>
      <c r="PVB49" s="66"/>
      <c r="PVC49" s="66"/>
      <c r="PVD49" s="66"/>
      <c r="PVE49" s="66"/>
      <c r="PVF49" s="66"/>
      <c r="PVG49" s="66"/>
      <c r="PVH49" s="66"/>
      <c r="PVI49" s="66"/>
      <c r="PVJ49" s="66"/>
      <c r="PVK49" s="66"/>
      <c r="PVL49" s="66"/>
      <c r="PVM49" s="66"/>
      <c r="PVN49" s="66"/>
      <c r="PVO49" s="66"/>
      <c r="PVP49" s="66"/>
      <c r="PVQ49" s="66"/>
      <c r="PVR49" s="66"/>
      <c r="PVS49" s="66"/>
      <c r="PVT49" s="66"/>
      <c r="PVU49" s="66"/>
      <c r="PVV49" s="66"/>
      <c r="PVW49" s="66"/>
      <c r="PVX49" s="66"/>
      <c r="PVY49" s="66"/>
      <c r="PVZ49" s="66"/>
      <c r="PWA49" s="66"/>
      <c r="PWB49" s="66"/>
      <c r="PWC49" s="66"/>
      <c r="PWD49" s="66"/>
      <c r="PWE49" s="66"/>
      <c r="PWF49" s="66"/>
      <c r="PWG49" s="66"/>
      <c r="PWH49" s="66"/>
      <c r="PWI49" s="66"/>
      <c r="PWJ49" s="66"/>
      <c r="PWK49" s="66"/>
      <c r="PWL49" s="66"/>
      <c r="PWM49" s="66"/>
      <c r="PWN49" s="66"/>
      <c r="PWO49" s="66"/>
      <c r="PWP49" s="66"/>
      <c r="PWQ49" s="66"/>
      <c r="PWR49" s="66"/>
      <c r="PWS49" s="66"/>
      <c r="PWT49" s="66"/>
      <c r="PWU49" s="66"/>
      <c r="PWV49" s="66"/>
      <c r="PWW49" s="66"/>
      <c r="PWX49" s="66"/>
      <c r="PWY49" s="66"/>
      <c r="PWZ49" s="66"/>
      <c r="PXA49" s="66"/>
      <c r="PXB49" s="66"/>
      <c r="PXC49" s="66"/>
      <c r="PXD49" s="66"/>
      <c r="PXE49" s="66"/>
      <c r="PXF49" s="66"/>
      <c r="PXG49" s="66"/>
      <c r="PXH49" s="66"/>
      <c r="PXI49" s="66"/>
      <c r="PXJ49" s="66"/>
      <c r="PXK49" s="66"/>
      <c r="PXL49" s="66"/>
      <c r="PXM49" s="66"/>
      <c r="PXN49" s="66"/>
      <c r="PXO49" s="66"/>
      <c r="PXP49" s="66"/>
      <c r="PXQ49" s="66"/>
      <c r="PXR49" s="66"/>
      <c r="PXS49" s="66"/>
      <c r="PXT49" s="66"/>
      <c r="PXU49" s="66"/>
      <c r="PXV49" s="66"/>
      <c r="PXW49" s="66"/>
      <c r="PXX49" s="66"/>
      <c r="PXY49" s="66"/>
      <c r="PXZ49" s="66"/>
      <c r="PYA49" s="66"/>
      <c r="PYB49" s="66"/>
      <c r="PYC49" s="66"/>
      <c r="PYD49" s="66"/>
      <c r="PYE49" s="66"/>
      <c r="PYF49" s="66"/>
      <c r="PYG49" s="66"/>
      <c r="PYH49" s="66"/>
      <c r="PYI49" s="66"/>
      <c r="PYJ49" s="66"/>
      <c r="PYK49" s="66"/>
      <c r="PYL49" s="66"/>
      <c r="PYM49" s="66"/>
      <c r="PYN49" s="66"/>
      <c r="PYO49" s="66"/>
      <c r="PYP49" s="66"/>
      <c r="PYQ49" s="66"/>
      <c r="PYR49" s="66"/>
      <c r="PYS49" s="66"/>
      <c r="PYT49" s="66"/>
      <c r="PYU49" s="66"/>
      <c r="PYV49" s="66"/>
      <c r="PYW49" s="66"/>
      <c r="PYX49" s="66"/>
      <c r="PYY49" s="66"/>
      <c r="PYZ49" s="66"/>
      <c r="PZA49" s="66"/>
      <c r="PZB49" s="66"/>
      <c r="PZC49" s="66"/>
      <c r="PZD49" s="66"/>
      <c r="PZE49" s="66"/>
      <c r="PZF49" s="66"/>
      <c r="PZG49" s="66"/>
      <c r="PZH49" s="66"/>
      <c r="PZI49" s="66"/>
      <c r="PZJ49" s="66"/>
      <c r="PZK49" s="66"/>
      <c r="PZL49" s="66"/>
      <c r="PZM49" s="66"/>
      <c r="PZN49" s="66"/>
      <c r="PZO49" s="66"/>
      <c r="PZP49" s="66"/>
      <c r="PZQ49" s="66"/>
      <c r="PZR49" s="66"/>
      <c r="PZS49" s="66"/>
      <c r="PZT49" s="66"/>
      <c r="PZU49" s="66"/>
      <c r="PZV49" s="66"/>
      <c r="PZW49" s="66"/>
      <c r="PZX49" s="66"/>
      <c r="PZY49" s="66"/>
      <c r="PZZ49" s="66"/>
      <c r="QAA49" s="66"/>
      <c r="QAB49" s="66"/>
      <c r="QAC49" s="66"/>
      <c r="QAD49" s="66"/>
      <c r="QAE49" s="66"/>
      <c r="QAF49" s="66"/>
      <c r="QAG49" s="66"/>
      <c r="QAH49" s="66"/>
      <c r="QAI49" s="66"/>
      <c r="QAJ49" s="66"/>
      <c r="QAK49" s="66"/>
      <c r="QAL49" s="66"/>
      <c r="QAM49" s="66"/>
      <c r="QAN49" s="66"/>
      <c r="QAO49" s="66"/>
      <c r="QAP49" s="66"/>
      <c r="QAQ49" s="66"/>
      <c r="QAR49" s="66"/>
      <c r="QAS49" s="66"/>
      <c r="QAT49" s="66"/>
      <c r="QAU49" s="66"/>
      <c r="QAV49" s="66"/>
      <c r="QAW49" s="66"/>
      <c r="QAX49" s="66"/>
      <c r="QAY49" s="66"/>
      <c r="QAZ49" s="66"/>
      <c r="QBA49" s="66"/>
      <c r="QBB49" s="66"/>
      <c r="QBC49" s="66"/>
      <c r="QBD49" s="66"/>
      <c r="QBE49" s="66"/>
      <c r="QBF49" s="66"/>
      <c r="QBG49" s="66"/>
      <c r="QBH49" s="66"/>
      <c r="QBI49" s="66"/>
      <c r="QBJ49" s="66"/>
      <c r="QBK49" s="66"/>
      <c r="QBL49" s="66"/>
      <c r="QBM49" s="66"/>
      <c r="QBN49" s="66"/>
      <c r="QBO49" s="66"/>
      <c r="QBP49" s="66"/>
      <c r="QBQ49" s="66"/>
      <c r="QBR49" s="66"/>
      <c r="QBS49" s="66"/>
      <c r="QBT49" s="66"/>
      <c r="QBU49" s="66"/>
      <c r="QBV49" s="66"/>
      <c r="QBW49" s="66"/>
      <c r="QBX49" s="66"/>
      <c r="QBY49" s="66"/>
      <c r="QBZ49" s="66"/>
      <c r="QCA49" s="66"/>
      <c r="QCB49" s="66"/>
      <c r="QCC49" s="66"/>
      <c r="QCD49" s="66"/>
      <c r="QCE49" s="66"/>
      <c r="QCF49" s="66"/>
      <c r="QCG49" s="66"/>
      <c r="QCH49" s="66"/>
      <c r="QCI49" s="66"/>
      <c r="QCJ49" s="66"/>
      <c r="QCK49" s="66"/>
      <c r="QCL49" s="66"/>
      <c r="QCM49" s="66"/>
      <c r="QCN49" s="66"/>
      <c r="QCO49" s="66"/>
      <c r="QCP49" s="66"/>
      <c r="QCQ49" s="66"/>
      <c r="QCR49" s="66"/>
      <c r="QCS49" s="66"/>
      <c r="QCT49" s="66"/>
      <c r="QCU49" s="66"/>
      <c r="QCV49" s="66"/>
      <c r="QCW49" s="66"/>
      <c r="QCX49" s="66"/>
      <c r="QCY49" s="66"/>
      <c r="QCZ49" s="66"/>
      <c r="QDA49" s="66"/>
      <c r="QDB49" s="66"/>
      <c r="QDC49" s="66"/>
      <c r="QDD49" s="66"/>
      <c r="QDE49" s="66"/>
      <c r="QDF49" s="66"/>
      <c r="QDG49" s="66"/>
      <c r="QDH49" s="66"/>
      <c r="QDI49" s="66"/>
      <c r="QDJ49" s="66"/>
      <c r="QDK49" s="66"/>
      <c r="QDL49" s="66"/>
      <c r="QDM49" s="66"/>
      <c r="QDN49" s="66"/>
      <c r="QDO49" s="66"/>
      <c r="QDP49" s="66"/>
      <c r="QDQ49" s="66"/>
      <c r="QDR49" s="66"/>
      <c r="QDS49" s="66"/>
      <c r="QDT49" s="66"/>
      <c r="QDU49" s="66"/>
      <c r="QDV49" s="66"/>
      <c r="QDW49" s="66"/>
      <c r="QDX49" s="66"/>
      <c r="QDY49" s="66"/>
      <c r="QDZ49" s="66"/>
      <c r="QEA49" s="66"/>
      <c r="QEB49" s="66"/>
      <c r="QEC49" s="66"/>
      <c r="QED49" s="66"/>
      <c r="QEE49" s="66"/>
      <c r="QEF49" s="66"/>
      <c r="QEG49" s="66"/>
      <c r="QEH49" s="66"/>
      <c r="QEI49" s="66"/>
      <c r="QEJ49" s="66"/>
      <c r="QEK49" s="66"/>
      <c r="QEL49" s="66"/>
      <c r="QEM49" s="66"/>
      <c r="QEN49" s="66"/>
      <c r="QEO49" s="66"/>
      <c r="QEP49" s="66"/>
      <c r="QEQ49" s="66"/>
      <c r="QER49" s="66"/>
      <c r="QES49" s="66"/>
      <c r="QET49" s="66"/>
      <c r="QEU49" s="66"/>
      <c r="QEV49" s="66"/>
      <c r="QEW49" s="66"/>
      <c r="QEX49" s="66"/>
      <c r="QEY49" s="66"/>
      <c r="QEZ49" s="66"/>
      <c r="QFA49" s="66"/>
      <c r="QFB49" s="66"/>
      <c r="QFC49" s="66"/>
      <c r="QFD49" s="66"/>
      <c r="QFE49" s="66"/>
      <c r="QFF49" s="66"/>
      <c r="QFG49" s="66"/>
      <c r="QFH49" s="66"/>
      <c r="QFI49" s="66"/>
      <c r="QFJ49" s="66"/>
      <c r="QFK49" s="66"/>
      <c r="QFL49" s="66"/>
      <c r="QFM49" s="66"/>
      <c r="QFN49" s="66"/>
      <c r="QFO49" s="66"/>
      <c r="QFP49" s="66"/>
      <c r="QFQ49" s="66"/>
      <c r="QFR49" s="66"/>
      <c r="QFS49" s="66"/>
      <c r="QFT49" s="66"/>
      <c r="QFU49" s="66"/>
      <c r="QFV49" s="66"/>
      <c r="QFW49" s="66"/>
      <c r="QFX49" s="66"/>
      <c r="QFY49" s="66"/>
      <c r="QFZ49" s="66"/>
      <c r="QGA49" s="66"/>
      <c r="QGB49" s="66"/>
      <c r="QGC49" s="66"/>
      <c r="QGD49" s="66"/>
      <c r="QGE49" s="66"/>
      <c r="QGF49" s="66"/>
      <c r="QGG49" s="66"/>
      <c r="QGH49" s="66"/>
      <c r="QGI49" s="66"/>
      <c r="QGJ49" s="66"/>
      <c r="QGK49" s="66"/>
      <c r="QGL49" s="66"/>
      <c r="QGM49" s="66"/>
      <c r="QGN49" s="66"/>
      <c r="QGO49" s="66"/>
      <c r="QGP49" s="66"/>
      <c r="QGQ49" s="66"/>
      <c r="QGR49" s="66"/>
      <c r="QGS49" s="66"/>
      <c r="QGT49" s="66"/>
      <c r="QGU49" s="66"/>
      <c r="QGV49" s="66"/>
      <c r="QGW49" s="66"/>
      <c r="QGX49" s="66"/>
      <c r="QGY49" s="66"/>
      <c r="QGZ49" s="66"/>
      <c r="QHA49" s="66"/>
      <c r="QHB49" s="66"/>
      <c r="QHC49" s="66"/>
      <c r="QHD49" s="66"/>
      <c r="QHE49" s="66"/>
      <c r="QHF49" s="66"/>
      <c r="QHG49" s="66"/>
      <c r="QHH49" s="66"/>
      <c r="QHI49" s="66"/>
      <c r="QHJ49" s="66"/>
      <c r="QHK49" s="66"/>
      <c r="QHL49" s="66"/>
      <c r="QHM49" s="66"/>
      <c r="QHN49" s="66"/>
      <c r="QHO49" s="66"/>
      <c r="QHP49" s="66"/>
      <c r="QHQ49" s="66"/>
      <c r="QHR49" s="66"/>
      <c r="QHS49" s="66"/>
      <c r="QHT49" s="66"/>
      <c r="QHU49" s="66"/>
      <c r="QHV49" s="66"/>
      <c r="QHW49" s="66"/>
      <c r="QHX49" s="66"/>
      <c r="QHY49" s="66"/>
      <c r="QHZ49" s="66"/>
      <c r="QIA49" s="66"/>
      <c r="QIB49" s="66"/>
      <c r="QIC49" s="66"/>
      <c r="QID49" s="66"/>
      <c r="QIE49" s="66"/>
      <c r="QIF49" s="66"/>
      <c r="QIG49" s="66"/>
      <c r="QIH49" s="66"/>
      <c r="QII49" s="66"/>
      <c r="QIJ49" s="66"/>
      <c r="QIK49" s="66"/>
      <c r="QIL49" s="66"/>
      <c r="QIM49" s="66"/>
      <c r="QIN49" s="66"/>
      <c r="QIO49" s="66"/>
      <c r="QIP49" s="66"/>
      <c r="QIQ49" s="66"/>
      <c r="QIR49" s="66"/>
      <c r="QIS49" s="66"/>
      <c r="QIT49" s="66"/>
      <c r="QIU49" s="66"/>
      <c r="QIV49" s="66"/>
      <c r="QIW49" s="66"/>
      <c r="QIX49" s="66"/>
      <c r="QIY49" s="66"/>
      <c r="QIZ49" s="66"/>
      <c r="QJA49" s="66"/>
      <c r="QJB49" s="66"/>
      <c r="QJC49" s="66"/>
      <c r="QJD49" s="66"/>
      <c r="QJE49" s="66"/>
      <c r="QJF49" s="66"/>
      <c r="QJG49" s="66"/>
      <c r="QJH49" s="66"/>
      <c r="QJI49" s="66"/>
      <c r="QJJ49" s="66"/>
      <c r="QJK49" s="66"/>
      <c r="QJL49" s="66"/>
      <c r="QJM49" s="66"/>
      <c r="QJN49" s="66"/>
      <c r="QJO49" s="66"/>
      <c r="QJP49" s="66"/>
      <c r="QJQ49" s="66"/>
      <c r="QJR49" s="66"/>
      <c r="QJS49" s="66"/>
      <c r="QJT49" s="66"/>
      <c r="QJU49" s="66"/>
      <c r="QJV49" s="66"/>
      <c r="QJW49" s="66"/>
      <c r="QJX49" s="66"/>
      <c r="QJY49" s="66"/>
      <c r="QJZ49" s="66"/>
      <c r="QKA49" s="66"/>
      <c r="QKB49" s="66"/>
      <c r="QKC49" s="66"/>
      <c r="QKD49" s="66"/>
      <c r="QKE49" s="66"/>
      <c r="QKF49" s="66"/>
      <c r="QKG49" s="66"/>
      <c r="QKH49" s="66"/>
      <c r="QKI49" s="66"/>
      <c r="QKJ49" s="66"/>
      <c r="QKK49" s="66"/>
      <c r="QKL49" s="66"/>
      <c r="QKM49" s="66"/>
      <c r="QKN49" s="66"/>
      <c r="QKO49" s="66"/>
      <c r="QKP49" s="66"/>
      <c r="QKQ49" s="66"/>
      <c r="QKR49" s="66"/>
      <c r="QKS49" s="66"/>
      <c r="QKT49" s="66"/>
      <c r="QKU49" s="66"/>
      <c r="QKV49" s="66"/>
      <c r="QKW49" s="66"/>
      <c r="QKX49" s="66"/>
      <c r="QKY49" s="66"/>
      <c r="QKZ49" s="66"/>
      <c r="QLA49" s="66"/>
      <c r="QLB49" s="66"/>
      <c r="QLC49" s="66"/>
      <c r="QLD49" s="66"/>
      <c r="QLE49" s="66"/>
      <c r="QLF49" s="66"/>
      <c r="QLG49" s="66"/>
      <c r="QLH49" s="66"/>
      <c r="QLI49" s="66"/>
      <c r="QLJ49" s="66"/>
      <c r="QLK49" s="66"/>
      <c r="QLL49" s="66"/>
      <c r="QLM49" s="66"/>
      <c r="QLN49" s="66"/>
      <c r="QLO49" s="66"/>
      <c r="QLP49" s="66"/>
      <c r="QLQ49" s="66"/>
      <c r="QLR49" s="66"/>
      <c r="QLS49" s="66"/>
      <c r="QLT49" s="66"/>
      <c r="QLU49" s="66"/>
      <c r="QLV49" s="66"/>
      <c r="QLW49" s="66"/>
      <c r="QLX49" s="66"/>
      <c r="QLY49" s="66"/>
      <c r="QLZ49" s="66"/>
      <c r="QMA49" s="66"/>
      <c r="QMB49" s="66"/>
      <c r="QMC49" s="66"/>
      <c r="QMD49" s="66"/>
      <c r="QME49" s="66"/>
      <c r="QMF49" s="66"/>
      <c r="QMG49" s="66"/>
      <c r="QMH49" s="66"/>
      <c r="QMI49" s="66"/>
      <c r="QMJ49" s="66"/>
      <c r="QMK49" s="66"/>
      <c r="QML49" s="66"/>
      <c r="QMM49" s="66"/>
      <c r="QMN49" s="66"/>
      <c r="QMO49" s="66"/>
      <c r="QMP49" s="66"/>
      <c r="QMQ49" s="66"/>
      <c r="QMR49" s="66"/>
      <c r="QMS49" s="66"/>
      <c r="QMT49" s="66"/>
      <c r="QMU49" s="66"/>
      <c r="QMV49" s="66"/>
      <c r="QMW49" s="66"/>
      <c r="QMX49" s="66"/>
      <c r="QMY49" s="66"/>
      <c r="QMZ49" s="66"/>
      <c r="QNA49" s="66"/>
      <c r="QNB49" s="66"/>
      <c r="QNC49" s="66"/>
      <c r="QND49" s="66"/>
      <c r="QNE49" s="66"/>
      <c r="QNF49" s="66"/>
      <c r="QNG49" s="66"/>
      <c r="QNH49" s="66"/>
      <c r="QNI49" s="66"/>
      <c r="QNJ49" s="66"/>
      <c r="QNK49" s="66"/>
      <c r="QNL49" s="66"/>
      <c r="QNM49" s="66"/>
      <c r="QNN49" s="66"/>
      <c r="QNO49" s="66"/>
      <c r="QNP49" s="66"/>
      <c r="QNQ49" s="66"/>
      <c r="QNR49" s="66"/>
      <c r="QNS49" s="66"/>
      <c r="QNT49" s="66"/>
      <c r="QNU49" s="66"/>
      <c r="QNV49" s="66"/>
      <c r="QNW49" s="66"/>
      <c r="QNX49" s="66"/>
      <c r="QNY49" s="66"/>
      <c r="QNZ49" s="66"/>
      <c r="QOA49" s="66"/>
      <c r="QOB49" s="66"/>
      <c r="QOC49" s="66"/>
      <c r="QOD49" s="66"/>
      <c r="QOE49" s="66"/>
      <c r="QOF49" s="66"/>
      <c r="QOG49" s="66"/>
      <c r="QOH49" s="66"/>
      <c r="QOI49" s="66"/>
      <c r="QOJ49" s="66"/>
      <c r="QOK49" s="66"/>
      <c r="QOL49" s="66"/>
      <c r="QOM49" s="66"/>
      <c r="QON49" s="66"/>
      <c r="QOO49" s="66"/>
      <c r="QOP49" s="66"/>
      <c r="QOQ49" s="66"/>
      <c r="QOR49" s="66"/>
      <c r="QOS49" s="66"/>
      <c r="QOT49" s="66"/>
      <c r="QOU49" s="66"/>
      <c r="QOV49" s="66"/>
      <c r="QOW49" s="66"/>
      <c r="QOX49" s="66"/>
      <c r="QOY49" s="66"/>
      <c r="QOZ49" s="66"/>
      <c r="QPA49" s="66"/>
      <c r="QPB49" s="66"/>
      <c r="QPC49" s="66"/>
      <c r="QPD49" s="66"/>
      <c r="QPE49" s="66"/>
      <c r="QPF49" s="66"/>
      <c r="QPG49" s="66"/>
      <c r="QPH49" s="66"/>
      <c r="QPI49" s="66"/>
      <c r="QPJ49" s="66"/>
      <c r="QPK49" s="66"/>
      <c r="QPL49" s="66"/>
      <c r="QPM49" s="66"/>
      <c r="QPN49" s="66"/>
      <c r="QPO49" s="66"/>
      <c r="QPP49" s="66"/>
      <c r="QPQ49" s="66"/>
      <c r="QPR49" s="66"/>
      <c r="QPS49" s="66"/>
      <c r="QPT49" s="66"/>
      <c r="QPU49" s="66"/>
      <c r="QPV49" s="66"/>
      <c r="QPW49" s="66"/>
      <c r="QPX49" s="66"/>
      <c r="QPY49" s="66"/>
      <c r="QPZ49" s="66"/>
      <c r="QQA49" s="66"/>
      <c r="QQB49" s="66"/>
      <c r="QQC49" s="66"/>
      <c r="QQD49" s="66"/>
      <c r="QQE49" s="66"/>
      <c r="QQF49" s="66"/>
      <c r="QQG49" s="66"/>
      <c r="QQH49" s="66"/>
      <c r="QQI49" s="66"/>
      <c r="QQJ49" s="66"/>
      <c r="QQK49" s="66"/>
      <c r="QQL49" s="66"/>
      <c r="QQM49" s="66"/>
      <c r="QQN49" s="66"/>
      <c r="QQO49" s="66"/>
      <c r="QQP49" s="66"/>
      <c r="QQQ49" s="66"/>
      <c r="QQR49" s="66"/>
      <c r="QQS49" s="66"/>
      <c r="QQT49" s="66"/>
      <c r="QQU49" s="66"/>
      <c r="QQV49" s="66"/>
      <c r="QQW49" s="66"/>
      <c r="QQX49" s="66"/>
      <c r="QQY49" s="66"/>
      <c r="QQZ49" s="66"/>
      <c r="QRA49" s="66"/>
      <c r="QRB49" s="66"/>
      <c r="QRC49" s="66"/>
      <c r="QRD49" s="66"/>
      <c r="QRE49" s="66"/>
      <c r="QRF49" s="66"/>
      <c r="QRG49" s="66"/>
      <c r="QRH49" s="66"/>
      <c r="QRI49" s="66"/>
      <c r="QRJ49" s="66"/>
      <c r="QRK49" s="66"/>
      <c r="QRL49" s="66"/>
      <c r="QRM49" s="66"/>
      <c r="QRN49" s="66"/>
      <c r="QRO49" s="66"/>
      <c r="QRP49" s="66"/>
      <c r="QRQ49" s="66"/>
      <c r="QRR49" s="66"/>
      <c r="QRS49" s="66"/>
      <c r="QRT49" s="66"/>
      <c r="QRU49" s="66"/>
      <c r="QRV49" s="66"/>
      <c r="QRW49" s="66"/>
      <c r="QRX49" s="66"/>
      <c r="QRY49" s="66"/>
      <c r="QRZ49" s="66"/>
      <c r="QSA49" s="66"/>
      <c r="QSB49" s="66"/>
      <c r="QSC49" s="66"/>
      <c r="QSD49" s="66"/>
      <c r="QSE49" s="66"/>
      <c r="QSF49" s="66"/>
      <c r="QSG49" s="66"/>
      <c r="QSH49" s="66"/>
      <c r="QSI49" s="66"/>
      <c r="QSJ49" s="66"/>
      <c r="QSK49" s="66"/>
      <c r="QSL49" s="66"/>
      <c r="QSM49" s="66"/>
      <c r="QSN49" s="66"/>
      <c r="QSO49" s="66"/>
      <c r="QSP49" s="66"/>
      <c r="QSQ49" s="66"/>
      <c r="QSR49" s="66"/>
      <c r="QSS49" s="66"/>
      <c r="QST49" s="66"/>
      <c r="QSU49" s="66"/>
      <c r="QSV49" s="66"/>
      <c r="QSW49" s="66"/>
      <c r="QSX49" s="66"/>
      <c r="QSY49" s="66"/>
      <c r="QSZ49" s="66"/>
      <c r="QTA49" s="66"/>
      <c r="QTB49" s="66"/>
      <c r="QTC49" s="66"/>
      <c r="QTD49" s="66"/>
      <c r="QTE49" s="66"/>
      <c r="QTF49" s="66"/>
      <c r="QTG49" s="66"/>
      <c r="QTH49" s="66"/>
      <c r="QTI49" s="66"/>
      <c r="QTJ49" s="66"/>
      <c r="QTK49" s="66"/>
      <c r="QTL49" s="66"/>
      <c r="QTM49" s="66"/>
      <c r="QTN49" s="66"/>
      <c r="QTO49" s="66"/>
      <c r="QTP49" s="66"/>
      <c r="QTQ49" s="66"/>
      <c r="QTR49" s="66"/>
      <c r="QTS49" s="66"/>
      <c r="QTT49" s="66"/>
      <c r="QTU49" s="66"/>
      <c r="QTV49" s="66"/>
      <c r="QTW49" s="66"/>
      <c r="QTX49" s="66"/>
      <c r="QTY49" s="66"/>
      <c r="QTZ49" s="66"/>
      <c r="QUA49" s="66"/>
      <c r="QUB49" s="66"/>
      <c r="QUC49" s="66"/>
      <c r="QUD49" s="66"/>
      <c r="QUE49" s="66"/>
      <c r="QUF49" s="66"/>
      <c r="QUG49" s="66"/>
      <c r="QUH49" s="66"/>
      <c r="QUI49" s="66"/>
      <c r="QUJ49" s="66"/>
      <c r="QUK49" s="66"/>
      <c r="QUL49" s="66"/>
      <c r="QUM49" s="66"/>
      <c r="QUN49" s="66"/>
      <c r="QUO49" s="66"/>
      <c r="QUP49" s="66"/>
      <c r="QUQ49" s="66"/>
      <c r="QUR49" s="66"/>
      <c r="QUS49" s="66"/>
      <c r="QUT49" s="66"/>
      <c r="QUU49" s="66"/>
      <c r="QUV49" s="66"/>
      <c r="QUW49" s="66"/>
      <c r="QUX49" s="66"/>
      <c r="QUY49" s="66"/>
      <c r="QUZ49" s="66"/>
      <c r="QVA49" s="66"/>
      <c r="QVB49" s="66"/>
      <c r="QVC49" s="66"/>
      <c r="QVD49" s="66"/>
      <c r="QVE49" s="66"/>
      <c r="QVF49" s="66"/>
      <c r="QVG49" s="66"/>
      <c r="QVH49" s="66"/>
      <c r="QVI49" s="66"/>
      <c r="QVJ49" s="66"/>
      <c r="QVK49" s="66"/>
      <c r="QVL49" s="66"/>
      <c r="QVM49" s="66"/>
      <c r="QVN49" s="66"/>
      <c r="QVO49" s="66"/>
      <c r="QVP49" s="66"/>
      <c r="QVQ49" s="66"/>
      <c r="QVR49" s="66"/>
      <c r="QVS49" s="66"/>
      <c r="QVT49" s="66"/>
      <c r="QVU49" s="66"/>
      <c r="QVV49" s="66"/>
      <c r="QVW49" s="66"/>
      <c r="QVX49" s="66"/>
      <c r="QVY49" s="66"/>
      <c r="QVZ49" s="66"/>
      <c r="QWA49" s="66"/>
      <c r="QWB49" s="66"/>
      <c r="QWC49" s="66"/>
      <c r="QWD49" s="66"/>
      <c r="QWE49" s="66"/>
      <c r="QWF49" s="66"/>
      <c r="QWG49" s="66"/>
      <c r="QWH49" s="66"/>
      <c r="QWI49" s="66"/>
      <c r="QWJ49" s="66"/>
      <c r="QWK49" s="66"/>
      <c r="QWL49" s="66"/>
      <c r="QWM49" s="66"/>
      <c r="QWN49" s="66"/>
      <c r="QWO49" s="66"/>
      <c r="QWP49" s="66"/>
      <c r="QWQ49" s="66"/>
      <c r="QWR49" s="66"/>
      <c r="QWS49" s="66"/>
      <c r="QWT49" s="66"/>
      <c r="QWU49" s="66"/>
      <c r="QWV49" s="66"/>
      <c r="QWW49" s="66"/>
      <c r="QWX49" s="66"/>
      <c r="QWY49" s="66"/>
      <c r="QWZ49" s="66"/>
      <c r="QXA49" s="66"/>
      <c r="QXB49" s="66"/>
      <c r="QXC49" s="66"/>
      <c r="QXD49" s="66"/>
      <c r="QXE49" s="66"/>
      <c r="QXF49" s="66"/>
      <c r="QXG49" s="66"/>
      <c r="QXH49" s="66"/>
      <c r="QXI49" s="66"/>
      <c r="QXJ49" s="66"/>
      <c r="QXK49" s="66"/>
      <c r="QXL49" s="66"/>
      <c r="QXM49" s="66"/>
      <c r="QXN49" s="66"/>
      <c r="QXO49" s="66"/>
      <c r="QXP49" s="66"/>
      <c r="QXQ49" s="66"/>
      <c r="QXR49" s="66"/>
      <c r="QXS49" s="66"/>
      <c r="QXT49" s="66"/>
      <c r="QXU49" s="66"/>
      <c r="QXV49" s="66"/>
      <c r="QXW49" s="66"/>
      <c r="QXX49" s="66"/>
      <c r="QXY49" s="66"/>
      <c r="QXZ49" s="66"/>
      <c r="QYA49" s="66"/>
      <c r="QYB49" s="66"/>
      <c r="QYC49" s="66"/>
      <c r="QYD49" s="66"/>
      <c r="QYE49" s="66"/>
      <c r="QYF49" s="66"/>
      <c r="QYG49" s="66"/>
      <c r="QYH49" s="66"/>
      <c r="QYI49" s="66"/>
      <c r="QYJ49" s="66"/>
      <c r="QYK49" s="66"/>
      <c r="QYL49" s="66"/>
      <c r="QYM49" s="66"/>
      <c r="QYN49" s="66"/>
      <c r="QYO49" s="66"/>
      <c r="QYP49" s="66"/>
      <c r="QYQ49" s="66"/>
      <c r="QYR49" s="66"/>
      <c r="QYS49" s="66"/>
      <c r="QYT49" s="66"/>
      <c r="QYU49" s="66"/>
      <c r="QYV49" s="66"/>
      <c r="QYW49" s="66"/>
      <c r="QYX49" s="66"/>
      <c r="QYY49" s="66"/>
      <c r="QYZ49" s="66"/>
      <c r="QZA49" s="66"/>
      <c r="QZB49" s="66"/>
      <c r="QZC49" s="66"/>
      <c r="QZD49" s="66"/>
      <c r="QZE49" s="66"/>
      <c r="QZF49" s="66"/>
      <c r="QZG49" s="66"/>
      <c r="QZH49" s="66"/>
      <c r="QZI49" s="66"/>
      <c r="QZJ49" s="66"/>
      <c r="QZK49" s="66"/>
      <c r="QZL49" s="66"/>
      <c r="QZM49" s="66"/>
      <c r="QZN49" s="66"/>
      <c r="QZO49" s="66"/>
      <c r="QZP49" s="66"/>
      <c r="QZQ49" s="66"/>
      <c r="QZR49" s="66"/>
      <c r="QZS49" s="66"/>
      <c r="QZT49" s="66"/>
      <c r="QZU49" s="66"/>
      <c r="QZV49" s="66"/>
      <c r="QZW49" s="66"/>
      <c r="QZX49" s="66"/>
      <c r="QZY49" s="66"/>
      <c r="QZZ49" s="66"/>
      <c r="RAA49" s="66"/>
      <c r="RAB49" s="66"/>
      <c r="RAC49" s="66"/>
      <c r="RAD49" s="66"/>
      <c r="RAE49" s="66"/>
      <c r="RAF49" s="66"/>
      <c r="RAG49" s="66"/>
      <c r="RAH49" s="66"/>
      <c r="RAI49" s="66"/>
      <c r="RAJ49" s="66"/>
      <c r="RAK49" s="66"/>
      <c r="RAL49" s="66"/>
      <c r="RAM49" s="66"/>
      <c r="RAN49" s="66"/>
      <c r="RAO49" s="66"/>
      <c r="RAP49" s="66"/>
      <c r="RAQ49" s="66"/>
      <c r="RAR49" s="66"/>
      <c r="RAS49" s="66"/>
      <c r="RAT49" s="66"/>
      <c r="RAU49" s="66"/>
      <c r="RAV49" s="66"/>
      <c r="RAW49" s="66"/>
      <c r="RAX49" s="66"/>
      <c r="RAY49" s="66"/>
      <c r="RAZ49" s="66"/>
      <c r="RBA49" s="66"/>
      <c r="RBB49" s="66"/>
      <c r="RBC49" s="66"/>
      <c r="RBD49" s="66"/>
      <c r="RBE49" s="66"/>
      <c r="RBF49" s="66"/>
      <c r="RBG49" s="66"/>
      <c r="RBH49" s="66"/>
      <c r="RBI49" s="66"/>
      <c r="RBJ49" s="66"/>
      <c r="RBK49" s="66"/>
      <c r="RBL49" s="66"/>
      <c r="RBM49" s="66"/>
      <c r="RBN49" s="66"/>
      <c r="RBO49" s="66"/>
      <c r="RBP49" s="66"/>
      <c r="RBQ49" s="66"/>
      <c r="RBR49" s="66"/>
      <c r="RBS49" s="66"/>
      <c r="RBT49" s="66"/>
      <c r="RBU49" s="66"/>
      <c r="RBV49" s="66"/>
      <c r="RBW49" s="66"/>
      <c r="RBX49" s="66"/>
      <c r="RBY49" s="66"/>
      <c r="RBZ49" s="66"/>
      <c r="RCA49" s="66"/>
      <c r="RCB49" s="66"/>
      <c r="RCC49" s="66"/>
      <c r="RCD49" s="66"/>
      <c r="RCE49" s="66"/>
      <c r="RCF49" s="66"/>
      <c r="RCG49" s="66"/>
      <c r="RCH49" s="66"/>
      <c r="RCI49" s="66"/>
      <c r="RCJ49" s="66"/>
      <c r="RCK49" s="66"/>
      <c r="RCL49" s="66"/>
      <c r="RCM49" s="66"/>
      <c r="RCN49" s="66"/>
      <c r="RCO49" s="66"/>
      <c r="RCP49" s="66"/>
      <c r="RCQ49" s="66"/>
      <c r="RCR49" s="66"/>
      <c r="RCS49" s="66"/>
      <c r="RCT49" s="66"/>
      <c r="RCU49" s="66"/>
      <c r="RCV49" s="66"/>
      <c r="RCW49" s="66"/>
      <c r="RCX49" s="66"/>
      <c r="RCY49" s="66"/>
      <c r="RCZ49" s="66"/>
      <c r="RDA49" s="66"/>
      <c r="RDB49" s="66"/>
      <c r="RDC49" s="66"/>
      <c r="RDD49" s="66"/>
      <c r="RDE49" s="66"/>
      <c r="RDF49" s="66"/>
      <c r="RDG49" s="66"/>
      <c r="RDH49" s="66"/>
      <c r="RDI49" s="66"/>
      <c r="RDJ49" s="66"/>
      <c r="RDK49" s="66"/>
      <c r="RDL49" s="66"/>
      <c r="RDM49" s="66"/>
      <c r="RDN49" s="66"/>
      <c r="RDO49" s="66"/>
      <c r="RDP49" s="66"/>
      <c r="RDQ49" s="66"/>
      <c r="RDR49" s="66"/>
      <c r="RDS49" s="66"/>
      <c r="RDT49" s="66"/>
      <c r="RDU49" s="66"/>
      <c r="RDV49" s="66"/>
      <c r="RDW49" s="66"/>
      <c r="RDX49" s="66"/>
      <c r="RDY49" s="66"/>
      <c r="RDZ49" s="66"/>
      <c r="REA49" s="66"/>
      <c r="REB49" s="66"/>
      <c r="REC49" s="66"/>
      <c r="RED49" s="66"/>
      <c r="REE49" s="66"/>
      <c r="REF49" s="66"/>
      <c r="REG49" s="66"/>
      <c r="REH49" s="66"/>
      <c r="REI49" s="66"/>
      <c r="REJ49" s="66"/>
      <c r="REK49" s="66"/>
      <c r="REL49" s="66"/>
      <c r="REM49" s="66"/>
      <c r="REN49" s="66"/>
      <c r="REO49" s="66"/>
      <c r="REP49" s="66"/>
      <c r="REQ49" s="66"/>
      <c r="RER49" s="66"/>
      <c r="RES49" s="66"/>
      <c r="RET49" s="66"/>
      <c r="REU49" s="66"/>
      <c r="REV49" s="66"/>
      <c r="REW49" s="66"/>
      <c r="REX49" s="66"/>
      <c r="REY49" s="66"/>
      <c r="REZ49" s="66"/>
      <c r="RFA49" s="66"/>
      <c r="RFB49" s="66"/>
      <c r="RFC49" s="66"/>
      <c r="RFD49" s="66"/>
      <c r="RFE49" s="66"/>
      <c r="RFF49" s="66"/>
      <c r="RFG49" s="66"/>
      <c r="RFH49" s="66"/>
      <c r="RFI49" s="66"/>
      <c r="RFJ49" s="66"/>
      <c r="RFK49" s="66"/>
      <c r="RFL49" s="66"/>
      <c r="RFM49" s="66"/>
      <c r="RFN49" s="66"/>
      <c r="RFO49" s="66"/>
      <c r="RFP49" s="66"/>
      <c r="RFQ49" s="66"/>
      <c r="RFR49" s="66"/>
      <c r="RFS49" s="66"/>
      <c r="RFT49" s="66"/>
      <c r="RFU49" s="66"/>
      <c r="RFV49" s="66"/>
      <c r="RFW49" s="66"/>
      <c r="RFX49" s="66"/>
      <c r="RFY49" s="66"/>
      <c r="RFZ49" s="66"/>
      <c r="RGA49" s="66"/>
      <c r="RGB49" s="66"/>
      <c r="RGC49" s="66"/>
      <c r="RGD49" s="66"/>
      <c r="RGE49" s="66"/>
      <c r="RGF49" s="66"/>
      <c r="RGG49" s="66"/>
      <c r="RGH49" s="66"/>
      <c r="RGI49" s="66"/>
      <c r="RGJ49" s="66"/>
      <c r="RGK49" s="66"/>
      <c r="RGL49" s="66"/>
      <c r="RGM49" s="66"/>
      <c r="RGN49" s="66"/>
      <c r="RGO49" s="66"/>
      <c r="RGP49" s="66"/>
      <c r="RGQ49" s="66"/>
      <c r="RGR49" s="66"/>
      <c r="RGS49" s="66"/>
      <c r="RGT49" s="66"/>
      <c r="RGU49" s="66"/>
      <c r="RGV49" s="66"/>
      <c r="RGW49" s="66"/>
      <c r="RGX49" s="66"/>
      <c r="RGY49" s="66"/>
      <c r="RGZ49" s="66"/>
      <c r="RHA49" s="66"/>
      <c r="RHB49" s="66"/>
      <c r="RHC49" s="66"/>
      <c r="RHD49" s="66"/>
      <c r="RHE49" s="66"/>
      <c r="RHF49" s="66"/>
      <c r="RHG49" s="66"/>
      <c r="RHH49" s="66"/>
      <c r="RHI49" s="66"/>
      <c r="RHJ49" s="66"/>
      <c r="RHK49" s="66"/>
      <c r="RHL49" s="66"/>
      <c r="RHM49" s="66"/>
      <c r="RHN49" s="66"/>
      <c r="RHO49" s="66"/>
      <c r="RHP49" s="66"/>
      <c r="RHQ49" s="66"/>
      <c r="RHR49" s="66"/>
      <c r="RHS49" s="66"/>
      <c r="RHT49" s="66"/>
      <c r="RHU49" s="66"/>
      <c r="RHV49" s="66"/>
      <c r="RHW49" s="66"/>
      <c r="RHX49" s="66"/>
      <c r="RHY49" s="66"/>
      <c r="RHZ49" s="66"/>
      <c r="RIA49" s="66"/>
      <c r="RIB49" s="66"/>
      <c r="RIC49" s="66"/>
      <c r="RID49" s="66"/>
      <c r="RIE49" s="66"/>
      <c r="RIF49" s="66"/>
      <c r="RIG49" s="66"/>
      <c r="RIH49" s="66"/>
      <c r="RII49" s="66"/>
      <c r="RIJ49" s="66"/>
      <c r="RIK49" s="66"/>
      <c r="RIL49" s="66"/>
      <c r="RIM49" s="66"/>
      <c r="RIN49" s="66"/>
      <c r="RIO49" s="66"/>
      <c r="RIP49" s="66"/>
      <c r="RIQ49" s="66"/>
      <c r="RIR49" s="66"/>
      <c r="RIS49" s="66"/>
      <c r="RIT49" s="66"/>
      <c r="RIU49" s="66"/>
      <c r="RIV49" s="66"/>
      <c r="RIW49" s="66"/>
      <c r="RIX49" s="66"/>
      <c r="RIY49" s="66"/>
      <c r="RIZ49" s="66"/>
      <c r="RJA49" s="66"/>
      <c r="RJB49" s="66"/>
      <c r="RJC49" s="66"/>
      <c r="RJD49" s="66"/>
      <c r="RJE49" s="66"/>
      <c r="RJF49" s="66"/>
      <c r="RJG49" s="66"/>
      <c r="RJH49" s="66"/>
      <c r="RJI49" s="66"/>
      <c r="RJJ49" s="66"/>
      <c r="RJK49" s="66"/>
      <c r="RJL49" s="66"/>
      <c r="RJM49" s="66"/>
      <c r="RJN49" s="66"/>
      <c r="RJO49" s="66"/>
      <c r="RJP49" s="66"/>
      <c r="RJQ49" s="66"/>
      <c r="RJR49" s="66"/>
      <c r="RJS49" s="66"/>
      <c r="RJT49" s="66"/>
      <c r="RJU49" s="66"/>
      <c r="RJV49" s="66"/>
      <c r="RJW49" s="66"/>
      <c r="RJX49" s="66"/>
      <c r="RJY49" s="66"/>
      <c r="RJZ49" s="66"/>
      <c r="RKA49" s="66"/>
      <c r="RKB49" s="66"/>
      <c r="RKC49" s="66"/>
      <c r="RKD49" s="66"/>
      <c r="RKE49" s="66"/>
      <c r="RKF49" s="66"/>
      <c r="RKG49" s="66"/>
      <c r="RKH49" s="66"/>
      <c r="RKI49" s="66"/>
      <c r="RKJ49" s="66"/>
      <c r="RKK49" s="66"/>
      <c r="RKL49" s="66"/>
      <c r="RKM49" s="66"/>
      <c r="RKN49" s="66"/>
      <c r="RKO49" s="66"/>
      <c r="RKP49" s="66"/>
      <c r="RKQ49" s="66"/>
      <c r="RKR49" s="66"/>
      <c r="RKS49" s="66"/>
      <c r="RKT49" s="66"/>
      <c r="RKU49" s="66"/>
      <c r="RKV49" s="66"/>
      <c r="RKW49" s="66"/>
      <c r="RKX49" s="66"/>
      <c r="RKY49" s="66"/>
      <c r="RKZ49" s="66"/>
      <c r="RLA49" s="66"/>
      <c r="RLB49" s="66"/>
      <c r="RLC49" s="66"/>
      <c r="RLD49" s="66"/>
      <c r="RLE49" s="66"/>
      <c r="RLF49" s="66"/>
      <c r="RLG49" s="66"/>
      <c r="RLH49" s="66"/>
      <c r="RLI49" s="66"/>
      <c r="RLJ49" s="66"/>
      <c r="RLK49" s="66"/>
      <c r="RLL49" s="66"/>
      <c r="RLM49" s="66"/>
      <c r="RLN49" s="66"/>
      <c r="RLO49" s="66"/>
      <c r="RLP49" s="66"/>
      <c r="RLQ49" s="66"/>
      <c r="RLR49" s="66"/>
      <c r="RLS49" s="66"/>
      <c r="RLT49" s="66"/>
      <c r="RLU49" s="66"/>
      <c r="RLV49" s="66"/>
      <c r="RLW49" s="66"/>
      <c r="RLX49" s="66"/>
      <c r="RLY49" s="66"/>
      <c r="RLZ49" s="66"/>
      <c r="RMA49" s="66"/>
      <c r="RMB49" s="66"/>
      <c r="RMC49" s="66"/>
      <c r="RMD49" s="66"/>
      <c r="RME49" s="66"/>
      <c r="RMF49" s="66"/>
      <c r="RMG49" s="66"/>
      <c r="RMH49" s="66"/>
      <c r="RMI49" s="66"/>
      <c r="RMJ49" s="66"/>
      <c r="RMK49" s="66"/>
      <c r="RML49" s="66"/>
      <c r="RMM49" s="66"/>
      <c r="RMN49" s="66"/>
      <c r="RMO49" s="66"/>
      <c r="RMP49" s="66"/>
      <c r="RMQ49" s="66"/>
      <c r="RMR49" s="66"/>
      <c r="RMS49" s="66"/>
      <c r="RMT49" s="66"/>
      <c r="RMU49" s="66"/>
      <c r="RMV49" s="66"/>
      <c r="RMW49" s="66"/>
      <c r="RMX49" s="66"/>
      <c r="RMY49" s="66"/>
      <c r="RMZ49" s="66"/>
      <c r="RNA49" s="66"/>
      <c r="RNB49" s="66"/>
      <c r="RNC49" s="66"/>
      <c r="RND49" s="66"/>
      <c r="RNE49" s="66"/>
      <c r="RNF49" s="66"/>
      <c r="RNG49" s="66"/>
      <c r="RNH49" s="66"/>
      <c r="RNI49" s="66"/>
      <c r="RNJ49" s="66"/>
      <c r="RNK49" s="66"/>
      <c r="RNL49" s="66"/>
      <c r="RNM49" s="66"/>
      <c r="RNN49" s="66"/>
      <c r="RNO49" s="66"/>
      <c r="RNP49" s="66"/>
      <c r="RNQ49" s="66"/>
      <c r="RNR49" s="66"/>
      <c r="RNS49" s="66"/>
      <c r="RNT49" s="66"/>
      <c r="RNU49" s="66"/>
      <c r="RNV49" s="66"/>
      <c r="RNW49" s="66"/>
      <c r="RNX49" s="66"/>
      <c r="RNY49" s="66"/>
      <c r="RNZ49" s="66"/>
      <c r="ROA49" s="66"/>
      <c r="ROB49" s="66"/>
      <c r="ROC49" s="66"/>
      <c r="ROD49" s="66"/>
      <c r="ROE49" s="66"/>
      <c r="ROF49" s="66"/>
      <c r="ROG49" s="66"/>
      <c r="ROH49" s="66"/>
      <c r="ROI49" s="66"/>
      <c r="ROJ49" s="66"/>
      <c r="ROK49" s="66"/>
      <c r="ROL49" s="66"/>
      <c r="ROM49" s="66"/>
      <c r="RON49" s="66"/>
      <c r="ROO49" s="66"/>
      <c r="ROP49" s="66"/>
      <c r="ROQ49" s="66"/>
      <c r="ROR49" s="66"/>
      <c r="ROS49" s="66"/>
      <c r="ROT49" s="66"/>
      <c r="ROU49" s="66"/>
      <c r="ROV49" s="66"/>
      <c r="ROW49" s="66"/>
      <c r="ROX49" s="66"/>
      <c r="ROY49" s="66"/>
      <c r="ROZ49" s="66"/>
      <c r="RPA49" s="66"/>
      <c r="RPB49" s="66"/>
      <c r="RPC49" s="66"/>
      <c r="RPD49" s="66"/>
      <c r="RPE49" s="66"/>
      <c r="RPF49" s="66"/>
      <c r="RPG49" s="66"/>
      <c r="RPH49" s="66"/>
      <c r="RPI49" s="66"/>
      <c r="RPJ49" s="66"/>
      <c r="RPK49" s="66"/>
      <c r="RPL49" s="66"/>
      <c r="RPM49" s="66"/>
      <c r="RPN49" s="66"/>
      <c r="RPO49" s="66"/>
      <c r="RPP49" s="66"/>
      <c r="RPQ49" s="66"/>
      <c r="RPR49" s="66"/>
      <c r="RPS49" s="66"/>
      <c r="RPT49" s="66"/>
      <c r="RPU49" s="66"/>
      <c r="RPV49" s="66"/>
      <c r="RPW49" s="66"/>
      <c r="RPX49" s="66"/>
      <c r="RPY49" s="66"/>
      <c r="RPZ49" s="66"/>
      <c r="RQA49" s="66"/>
      <c r="RQB49" s="66"/>
      <c r="RQC49" s="66"/>
      <c r="RQD49" s="66"/>
      <c r="RQE49" s="66"/>
      <c r="RQF49" s="66"/>
      <c r="RQG49" s="66"/>
      <c r="RQH49" s="66"/>
      <c r="RQI49" s="66"/>
      <c r="RQJ49" s="66"/>
      <c r="RQK49" s="66"/>
      <c r="RQL49" s="66"/>
      <c r="RQM49" s="66"/>
      <c r="RQN49" s="66"/>
      <c r="RQO49" s="66"/>
      <c r="RQP49" s="66"/>
      <c r="RQQ49" s="66"/>
      <c r="RQR49" s="66"/>
      <c r="RQS49" s="66"/>
      <c r="RQT49" s="66"/>
      <c r="RQU49" s="66"/>
      <c r="RQV49" s="66"/>
      <c r="RQW49" s="66"/>
      <c r="RQX49" s="66"/>
      <c r="RQY49" s="66"/>
      <c r="RQZ49" s="66"/>
      <c r="RRA49" s="66"/>
      <c r="RRB49" s="66"/>
      <c r="RRC49" s="66"/>
      <c r="RRD49" s="66"/>
      <c r="RRE49" s="66"/>
      <c r="RRF49" s="66"/>
      <c r="RRG49" s="66"/>
      <c r="RRH49" s="66"/>
      <c r="RRI49" s="66"/>
      <c r="RRJ49" s="66"/>
      <c r="RRK49" s="66"/>
      <c r="RRL49" s="66"/>
      <c r="RRM49" s="66"/>
      <c r="RRN49" s="66"/>
      <c r="RRO49" s="66"/>
      <c r="RRP49" s="66"/>
      <c r="RRQ49" s="66"/>
      <c r="RRR49" s="66"/>
      <c r="RRS49" s="66"/>
      <c r="RRT49" s="66"/>
      <c r="RRU49" s="66"/>
      <c r="RRV49" s="66"/>
      <c r="RRW49" s="66"/>
      <c r="RRX49" s="66"/>
      <c r="RRY49" s="66"/>
      <c r="RRZ49" s="66"/>
      <c r="RSA49" s="66"/>
      <c r="RSB49" s="66"/>
      <c r="RSC49" s="66"/>
      <c r="RSD49" s="66"/>
      <c r="RSE49" s="66"/>
      <c r="RSF49" s="66"/>
      <c r="RSG49" s="66"/>
      <c r="RSH49" s="66"/>
      <c r="RSI49" s="66"/>
      <c r="RSJ49" s="66"/>
      <c r="RSK49" s="66"/>
      <c r="RSL49" s="66"/>
      <c r="RSM49" s="66"/>
      <c r="RSN49" s="66"/>
      <c r="RSO49" s="66"/>
      <c r="RSP49" s="66"/>
      <c r="RSQ49" s="66"/>
      <c r="RSR49" s="66"/>
      <c r="RSS49" s="66"/>
      <c r="RST49" s="66"/>
      <c r="RSU49" s="66"/>
      <c r="RSV49" s="66"/>
      <c r="RSW49" s="66"/>
      <c r="RSX49" s="66"/>
      <c r="RSY49" s="66"/>
      <c r="RSZ49" s="66"/>
      <c r="RTA49" s="66"/>
      <c r="RTB49" s="66"/>
      <c r="RTC49" s="66"/>
      <c r="RTD49" s="66"/>
      <c r="RTE49" s="66"/>
      <c r="RTF49" s="66"/>
      <c r="RTG49" s="66"/>
      <c r="RTH49" s="66"/>
      <c r="RTI49" s="66"/>
      <c r="RTJ49" s="66"/>
      <c r="RTK49" s="66"/>
      <c r="RTL49" s="66"/>
      <c r="RTM49" s="66"/>
      <c r="RTN49" s="66"/>
      <c r="RTO49" s="66"/>
      <c r="RTP49" s="66"/>
      <c r="RTQ49" s="66"/>
      <c r="RTR49" s="66"/>
      <c r="RTS49" s="66"/>
      <c r="RTT49" s="66"/>
      <c r="RTU49" s="66"/>
      <c r="RTV49" s="66"/>
      <c r="RTW49" s="66"/>
      <c r="RTX49" s="66"/>
      <c r="RTY49" s="66"/>
      <c r="RTZ49" s="66"/>
      <c r="RUA49" s="66"/>
      <c r="RUB49" s="66"/>
      <c r="RUC49" s="66"/>
      <c r="RUD49" s="66"/>
      <c r="RUE49" s="66"/>
      <c r="RUF49" s="66"/>
      <c r="RUG49" s="66"/>
      <c r="RUH49" s="66"/>
      <c r="RUI49" s="66"/>
      <c r="RUJ49" s="66"/>
      <c r="RUK49" s="66"/>
      <c r="RUL49" s="66"/>
      <c r="RUM49" s="66"/>
      <c r="RUN49" s="66"/>
      <c r="RUO49" s="66"/>
      <c r="RUP49" s="66"/>
      <c r="RUQ49" s="66"/>
      <c r="RUR49" s="66"/>
      <c r="RUS49" s="66"/>
      <c r="RUT49" s="66"/>
      <c r="RUU49" s="66"/>
      <c r="RUV49" s="66"/>
      <c r="RUW49" s="66"/>
      <c r="RUX49" s="66"/>
      <c r="RUY49" s="66"/>
      <c r="RUZ49" s="66"/>
      <c r="RVA49" s="66"/>
      <c r="RVB49" s="66"/>
      <c r="RVC49" s="66"/>
      <c r="RVD49" s="66"/>
      <c r="RVE49" s="66"/>
      <c r="RVF49" s="66"/>
      <c r="RVG49" s="66"/>
      <c r="RVH49" s="66"/>
      <c r="RVI49" s="66"/>
      <c r="RVJ49" s="66"/>
      <c r="RVK49" s="66"/>
      <c r="RVL49" s="66"/>
      <c r="RVM49" s="66"/>
      <c r="RVN49" s="66"/>
      <c r="RVO49" s="66"/>
      <c r="RVP49" s="66"/>
      <c r="RVQ49" s="66"/>
      <c r="RVR49" s="66"/>
      <c r="RVS49" s="66"/>
      <c r="RVT49" s="66"/>
      <c r="RVU49" s="66"/>
      <c r="RVV49" s="66"/>
      <c r="RVW49" s="66"/>
      <c r="RVX49" s="66"/>
      <c r="RVY49" s="66"/>
      <c r="RVZ49" s="66"/>
      <c r="RWA49" s="66"/>
      <c r="RWB49" s="66"/>
      <c r="RWC49" s="66"/>
      <c r="RWD49" s="66"/>
      <c r="RWE49" s="66"/>
      <c r="RWF49" s="66"/>
      <c r="RWG49" s="66"/>
      <c r="RWH49" s="66"/>
      <c r="RWI49" s="66"/>
      <c r="RWJ49" s="66"/>
      <c r="RWK49" s="66"/>
      <c r="RWL49" s="66"/>
      <c r="RWM49" s="66"/>
      <c r="RWN49" s="66"/>
      <c r="RWO49" s="66"/>
      <c r="RWP49" s="66"/>
      <c r="RWQ49" s="66"/>
      <c r="RWR49" s="66"/>
      <c r="RWS49" s="66"/>
      <c r="RWT49" s="66"/>
      <c r="RWU49" s="66"/>
      <c r="RWV49" s="66"/>
      <c r="RWW49" s="66"/>
      <c r="RWX49" s="66"/>
      <c r="RWY49" s="66"/>
      <c r="RWZ49" s="66"/>
      <c r="RXA49" s="66"/>
      <c r="RXB49" s="66"/>
      <c r="RXC49" s="66"/>
      <c r="RXD49" s="66"/>
      <c r="RXE49" s="66"/>
      <c r="RXF49" s="66"/>
      <c r="RXG49" s="66"/>
      <c r="RXH49" s="66"/>
      <c r="RXI49" s="66"/>
      <c r="RXJ49" s="66"/>
      <c r="RXK49" s="66"/>
      <c r="RXL49" s="66"/>
      <c r="RXM49" s="66"/>
      <c r="RXN49" s="66"/>
      <c r="RXO49" s="66"/>
      <c r="RXP49" s="66"/>
      <c r="RXQ49" s="66"/>
      <c r="RXR49" s="66"/>
      <c r="RXS49" s="66"/>
      <c r="RXT49" s="66"/>
      <c r="RXU49" s="66"/>
      <c r="RXV49" s="66"/>
      <c r="RXW49" s="66"/>
      <c r="RXX49" s="66"/>
      <c r="RXY49" s="66"/>
      <c r="RXZ49" s="66"/>
      <c r="RYA49" s="66"/>
      <c r="RYB49" s="66"/>
      <c r="RYC49" s="66"/>
      <c r="RYD49" s="66"/>
      <c r="RYE49" s="66"/>
      <c r="RYF49" s="66"/>
      <c r="RYG49" s="66"/>
      <c r="RYH49" s="66"/>
      <c r="RYI49" s="66"/>
      <c r="RYJ49" s="66"/>
      <c r="RYK49" s="66"/>
      <c r="RYL49" s="66"/>
      <c r="RYM49" s="66"/>
      <c r="RYN49" s="66"/>
      <c r="RYO49" s="66"/>
      <c r="RYP49" s="66"/>
      <c r="RYQ49" s="66"/>
      <c r="RYR49" s="66"/>
      <c r="RYS49" s="66"/>
      <c r="RYT49" s="66"/>
      <c r="RYU49" s="66"/>
      <c r="RYV49" s="66"/>
      <c r="RYW49" s="66"/>
      <c r="RYX49" s="66"/>
      <c r="RYY49" s="66"/>
      <c r="RYZ49" s="66"/>
      <c r="RZA49" s="66"/>
      <c r="RZB49" s="66"/>
      <c r="RZC49" s="66"/>
      <c r="RZD49" s="66"/>
      <c r="RZE49" s="66"/>
      <c r="RZF49" s="66"/>
      <c r="RZG49" s="66"/>
      <c r="RZH49" s="66"/>
      <c r="RZI49" s="66"/>
      <c r="RZJ49" s="66"/>
      <c r="RZK49" s="66"/>
      <c r="RZL49" s="66"/>
      <c r="RZM49" s="66"/>
      <c r="RZN49" s="66"/>
      <c r="RZO49" s="66"/>
      <c r="RZP49" s="66"/>
      <c r="RZQ49" s="66"/>
      <c r="RZR49" s="66"/>
      <c r="RZS49" s="66"/>
      <c r="RZT49" s="66"/>
      <c r="RZU49" s="66"/>
      <c r="RZV49" s="66"/>
      <c r="RZW49" s="66"/>
      <c r="RZX49" s="66"/>
      <c r="RZY49" s="66"/>
      <c r="RZZ49" s="66"/>
      <c r="SAA49" s="66"/>
      <c r="SAB49" s="66"/>
      <c r="SAC49" s="66"/>
      <c r="SAD49" s="66"/>
      <c r="SAE49" s="66"/>
      <c r="SAF49" s="66"/>
      <c r="SAG49" s="66"/>
      <c r="SAH49" s="66"/>
      <c r="SAI49" s="66"/>
      <c r="SAJ49" s="66"/>
      <c r="SAK49" s="66"/>
      <c r="SAL49" s="66"/>
      <c r="SAM49" s="66"/>
      <c r="SAN49" s="66"/>
      <c r="SAO49" s="66"/>
      <c r="SAP49" s="66"/>
      <c r="SAQ49" s="66"/>
      <c r="SAR49" s="66"/>
      <c r="SAS49" s="66"/>
      <c r="SAT49" s="66"/>
      <c r="SAU49" s="66"/>
      <c r="SAV49" s="66"/>
      <c r="SAW49" s="66"/>
      <c r="SAX49" s="66"/>
      <c r="SAY49" s="66"/>
      <c r="SAZ49" s="66"/>
      <c r="SBA49" s="66"/>
      <c r="SBB49" s="66"/>
      <c r="SBC49" s="66"/>
      <c r="SBD49" s="66"/>
      <c r="SBE49" s="66"/>
      <c r="SBF49" s="66"/>
      <c r="SBG49" s="66"/>
      <c r="SBH49" s="66"/>
      <c r="SBI49" s="66"/>
      <c r="SBJ49" s="66"/>
      <c r="SBK49" s="66"/>
      <c r="SBL49" s="66"/>
      <c r="SBM49" s="66"/>
      <c r="SBN49" s="66"/>
      <c r="SBO49" s="66"/>
      <c r="SBP49" s="66"/>
      <c r="SBQ49" s="66"/>
      <c r="SBR49" s="66"/>
      <c r="SBS49" s="66"/>
      <c r="SBT49" s="66"/>
      <c r="SBU49" s="66"/>
      <c r="SBV49" s="66"/>
      <c r="SBW49" s="66"/>
      <c r="SBX49" s="66"/>
      <c r="SBY49" s="66"/>
      <c r="SBZ49" s="66"/>
      <c r="SCA49" s="66"/>
      <c r="SCB49" s="66"/>
      <c r="SCC49" s="66"/>
      <c r="SCD49" s="66"/>
      <c r="SCE49" s="66"/>
      <c r="SCF49" s="66"/>
      <c r="SCG49" s="66"/>
      <c r="SCH49" s="66"/>
      <c r="SCI49" s="66"/>
      <c r="SCJ49" s="66"/>
      <c r="SCK49" s="66"/>
      <c r="SCL49" s="66"/>
      <c r="SCM49" s="66"/>
      <c r="SCN49" s="66"/>
      <c r="SCO49" s="66"/>
      <c r="SCP49" s="66"/>
      <c r="SCQ49" s="66"/>
      <c r="SCR49" s="66"/>
      <c r="SCS49" s="66"/>
      <c r="SCT49" s="66"/>
      <c r="SCU49" s="66"/>
      <c r="SCV49" s="66"/>
      <c r="SCW49" s="66"/>
      <c r="SCX49" s="66"/>
      <c r="SCY49" s="66"/>
      <c r="SCZ49" s="66"/>
      <c r="SDA49" s="66"/>
      <c r="SDB49" s="66"/>
      <c r="SDC49" s="66"/>
      <c r="SDD49" s="66"/>
      <c r="SDE49" s="66"/>
      <c r="SDF49" s="66"/>
      <c r="SDG49" s="66"/>
      <c r="SDH49" s="66"/>
      <c r="SDI49" s="66"/>
      <c r="SDJ49" s="66"/>
      <c r="SDK49" s="66"/>
      <c r="SDL49" s="66"/>
      <c r="SDM49" s="66"/>
      <c r="SDN49" s="66"/>
      <c r="SDO49" s="66"/>
      <c r="SDP49" s="66"/>
      <c r="SDQ49" s="66"/>
      <c r="SDR49" s="66"/>
      <c r="SDS49" s="66"/>
      <c r="SDT49" s="66"/>
      <c r="SDU49" s="66"/>
      <c r="SDV49" s="66"/>
      <c r="SDW49" s="66"/>
      <c r="SDX49" s="66"/>
      <c r="SDY49" s="66"/>
      <c r="SDZ49" s="66"/>
      <c r="SEA49" s="66"/>
      <c r="SEB49" s="66"/>
      <c r="SEC49" s="66"/>
      <c r="SED49" s="66"/>
      <c r="SEE49" s="66"/>
      <c r="SEF49" s="66"/>
      <c r="SEG49" s="66"/>
      <c r="SEH49" s="66"/>
      <c r="SEI49" s="66"/>
      <c r="SEJ49" s="66"/>
      <c r="SEK49" s="66"/>
      <c r="SEL49" s="66"/>
      <c r="SEM49" s="66"/>
      <c r="SEN49" s="66"/>
      <c r="SEO49" s="66"/>
      <c r="SEP49" s="66"/>
      <c r="SEQ49" s="66"/>
      <c r="SER49" s="66"/>
      <c r="SES49" s="66"/>
      <c r="SET49" s="66"/>
      <c r="SEU49" s="66"/>
      <c r="SEV49" s="66"/>
      <c r="SEW49" s="66"/>
      <c r="SEX49" s="66"/>
      <c r="SEY49" s="66"/>
      <c r="SEZ49" s="66"/>
      <c r="SFA49" s="66"/>
      <c r="SFB49" s="66"/>
      <c r="SFC49" s="66"/>
      <c r="SFD49" s="66"/>
      <c r="SFE49" s="66"/>
      <c r="SFF49" s="66"/>
      <c r="SFG49" s="66"/>
      <c r="SFH49" s="66"/>
      <c r="SFI49" s="66"/>
      <c r="SFJ49" s="66"/>
      <c r="SFK49" s="66"/>
      <c r="SFL49" s="66"/>
      <c r="SFM49" s="66"/>
      <c r="SFN49" s="66"/>
      <c r="SFO49" s="66"/>
      <c r="SFP49" s="66"/>
      <c r="SFQ49" s="66"/>
      <c r="SFR49" s="66"/>
      <c r="SFS49" s="66"/>
      <c r="SFT49" s="66"/>
      <c r="SFU49" s="66"/>
      <c r="SFV49" s="66"/>
      <c r="SFW49" s="66"/>
      <c r="SFX49" s="66"/>
      <c r="SFY49" s="66"/>
      <c r="SFZ49" s="66"/>
      <c r="SGA49" s="66"/>
      <c r="SGB49" s="66"/>
      <c r="SGC49" s="66"/>
      <c r="SGD49" s="66"/>
      <c r="SGE49" s="66"/>
      <c r="SGF49" s="66"/>
      <c r="SGG49" s="66"/>
      <c r="SGH49" s="66"/>
      <c r="SGI49" s="66"/>
      <c r="SGJ49" s="66"/>
      <c r="SGK49" s="66"/>
      <c r="SGL49" s="66"/>
      <c r="SGM49" s="66"/>
      <c r="SGN49" s="66"/>
      <c r="SGO49" s="66"/>
      <c r="SGP49" s="66"/>
      <c r="SGQ49" s="66"/>
      <c r="SGR49" s="66"/>
      <c r="SGS49" s="66"/>
      <c r="SGT49" s="66"/>
      <c r="SGU49" s="66"/>
      <c r="SGV49" s="66"/>
      <c r="SGW49" s="66"/>
      <c r="SGX49" s="66"/>
      <c r="SGY49" s="66"/>
      <c r="SGZ49" s="66"/>
      <c r="SHA49" s="66"/>
      <c r="SHB49" s="66"/>
      <c r="SHC49" s="66"/>
      <c r="SHD49" s="66"/>
      <c r="SHE49" s="66"/>
      <c r="SHF49" s="66"/>
      <c r="SHG49" s="66"/>
      <c r="SHH49" s="66"/>
      <c r="SHI49" s="66"/>
      <c r="SHJ49" s="66"/>
      <c r="SHK49" s="66"/>
      <c r="SHL49" s="66"/>
      <c r="SHM49" s="66"/>
      <c r="SHN49" s="66"/>
      <c r="SHO49" s="66"/>
      <c r="SHP49" s="66"/>
      <c r="SHQ49" s="66"/>
      <c r="SHR49" s="66"/>
      <c r="SHS49" s="66"/>
      <c r="SHT49" s="66"/>
      <c r="SHU49" s="66"/>
      <c r="SHV49" s="66"/>
      <c r="SHW49" s="66"/>
      <c r="SHX49" s="66"/>
      <c r="SHY49" s="66"/>
      <c r="SHZ49" s="66"/>
      <c r="SIA49" s="66"/>
      <c r="SIB49" s="66"/>
      <c r="SIC49" s="66"/>
      <c r="SID49" s="66"/>
      <c r="SIE49" s="66"/>
      <c r="SIF49" s="66"/>
      <c r="SIG49" s="66"/>
      <c r="SIH49" s="66"/>
      <c r="SII49" s="66"/>
      <c r="SIJ49" s="66"/>
      <c r="SIK49" s="66"/>
      <c r="SIL49" s="66"/>
      <c r="SIM49" s="66"/>
      <c r="SIN49" s="66"/>
      <c r="SIO49" s="66"/>
      <c r="SIP49" s="66"/>
      <c r="SIQ49" s="66"/>
      <c r="SIR49" s="66"/>
      <c r="SIS49" s="66"/>
      <c r="SIT49" s="66"/>
      <c r="SIU49" s="66"/>
      <c r="SIV49" s="66"/>
      <c r="SIW49" s="66"/>
      <c r="SIX49" s="66"/>
      <c r="SIY49" s="66"/>
      <c r="SIZ49" s="66"/>
      <c r="SJA49" s="66"/>
      <c r="SJB49" s="66"/>
      <c r="SJC49" s="66"/>
      <c r="SJD49" s="66"/>
      <c r="SJE49" s="66"/>
      <c r="SJF49" s="66"/>
      <c r="SJG49" s="66"/>
      <c r="SJH49" s="66"/>
      <c r="SJI49" s="66"/>
      <c r="SJJ49" s="66"/>
      <c r="SJK49" s="66"/>
      <c r="SJL49" s="66"/>
      <c r="SJM49" s="66"/>
      <c r="SJN49" s="66"/>
      <c r="SJO49" s="66"/>
      <c r="SJP49" s="66"/>
      <c r="SJQ49" s="66"/>
      <c r="SJR49" s="66"/>
      <c r="SJS49" s="66"/>
      <c r="SJT49" s="66"/>
      <c r="SJU49" s="66"/>
      <c r="SJV49" s="66"/>
      <c r="SJW49" s="66"/>
      <c r="SJX49" s="66"/>
      <c r="SJY49" s="66"/>
      <c r="SJZ49" s="66"/>
      <c r="SKA49" s="66"/>
      <c r="SKB49" s="66"/>
      <c r="SKC49" s="66"/>
      <c r="SKD49" s="66"/>
      <c r="SKE49" s="66"/>
      <c r="SKF49" s="66"/>
      <c r="SKG49" s="66"/>
      <c r="SKH49" s="66"/>
      <c r="SKI49" s="66"/>
      <c r="SKJ49" s="66"/>
      <c r="SKK49" s="66"/>
      <c r="SKL49" s="66"/>
      <c r="SKM49" s="66"/>
      <c r="SKN49" s="66"/>
      <c r="SKO49" s="66"/>
      <c r="SKP49" s="66"/>
      <c r="SKQ49" s="66"/>
      <c r="SKR49" s="66"/>
      <c r="SKS49" s="66"/>
      <c r="SKT49" s="66"/>
      <c r="SKU49" s="66"/>
      <c r="SKV49" s="66"/>
      <c r="SKW49" s="66"/>
      <c r="SKX49" s="66"/>
      <c r="SKY49" s="66"/>
      <c r="SKZ49" s="66"/>
      <c r="SLA49" s="66"/>
      <c r="SLB49" s="66"/>
      <c r="SLC49" s="66"/>
      <c r="SLD49" s="66"/>
      <c r="SLE49" s="66"/>
      <c r="SLF49" s="66"/>
      <c r="SLG49" s="66"/>
      <c r="SLH49" s="66"/>
      <c r="SLI49" s="66"/>
      <c r="SLJ49" s="66"/>
      <c r="SLK49" s="66"/>
      <c r="SLL49" s="66"/>
      <c r="SLM49" s="66"/>
      <c r="SLN49" s="66"/>
      <c r="SLO49" s="66"/>
      <c r="SLP49" s="66"/>
      <c r="SLQ49" s="66"/>
      <c r="SLR49" s="66"/>
      <c r="SLS49" s="66"/>
      <c r="SLT49" s="66"/>
      <c r="SLU49" s="66"/>
      <c r="SLV49" s="66"/>
      <c r="SLW49" s="66"/>
      <c r="SLX49" s="66"/>
      <c r="SLY49" s="66"/>
      <c r="SLZ49" s="66"/>
      <c r="SMA49" s="66"/>
      <c r="SMB49" s="66"/>
      <c r="SMC49" s="66"/>
      <c r="SMD49" s="66"/>
      <c r="SME49" s="66"/>
      <c r="SMF49" s="66"/>
      <c r="SMG49" s="66"/>
      <c r="SMH49" s="66"/>
      <c r="SMI49" s="66"/>
      <c r="SMJ49" s="66"/>
      <c r="SMK49" s="66"/>
      <c r="SML49" s="66"/>
      <c r="SMM49" s="66"/>
      <c r="SMN49" s="66"/>
      <c r="SMO49" s="66"/>
      <c r="SMP49" s="66"/>
      <c r="SMQ49" s="66"/>
      <c r="SMR49" s="66"/>
      <c r="SMS49" s="66"/>
      <c r="SMT49" s="66"/>
      <c r="SMU49" s="66"/>
      <c r="SMV49" s="66"/>
      <c r="SMW49" s="66"/>
      <c r="SMX49" s="66"/>
      <c r="SMY49" s="66"/>
      <c r="SMZ49" s="66"/>
      <c r="SNA49" s="66"/>
      <c r="SNB49" s="66"/>
      <c r="SNC49" s="66"/>
      <c r="SND49" s="66"/>
      <c r="SNE49" s="66"/>
      <c r="SNF49" s="66"/>
      <c r="SNG49" s="66"/>
      <c r="SNH49" s="66"/>
      <c r="SNI49" s="66"/>
      <c r="SNJ49" s="66"/>
      <c r="SNK49" s="66"/>
      <c r="SNL49" s="66"/>
      <c r="SNM49" s="66"/>
      <c r="SNN49" s="66"/>
      <c r="SNO49" s="66"/>
      <c r="SNP49" s="66"/>
      <c r="SNQ49" s="66"/>
      <c r="SNR49" s="66"/>
      <c r="SNS49" s="66"/>
      <c r="SNT49" s="66"/>
      <c r="SNU49" s="66"/>
      <c r="SNV49" s="66"/>
      <c r="SNW49" s="66"/>
      <c r="SNX49" s="66"/>
      <c r="SNY49" s="66"/>
      <c r="SNZ49" s="66"/>
      <c r="SOA49" s="66"/>
      <c r="SOB49" s="66"/>
      <c r="SOC49" s="66"/>
      <c r="SOD49" s="66"/>
      <c r="SOE49" s="66"/>
      <c r="SOF49" s="66"/>
      <c r="SOG49" s="66"/>
      <c r="SOH49" s="66"/>
      <c r="SOI49" s="66"/>
      <c r="SOJ49" s="66"/>
      <c r="SOK49" s="66"/>
      <c r="SOL49" s="66"/>
      <c r="SOM49" s="66"/>
      <c r="SON49" s="66"/>
      <c r="SOO49" s="66"/>
      <c r="SOP49" s="66"/>
      <c r="SOQ49" s="66"/>
      <c r="SOR49" s="66"/>
      <c r="SOS49" s="66"/>
      <c r="SOT49" s="66"/>
      <c r="SOU49" s="66"/>
      <c r="SOV49" s="66"/>
      <c r="SOW49" s="66"/>
      <c r="SOX49" s="66"/>
      <c r="SOY49" s="66"/>
      <c r="SOZ49" s="66"/>
      <c r="SPA49" s="66"/>
      <c r="SPB49" s="66"/>
      <c r="SPC49" s="66"/>
      <c r="SPD49" s="66"/>
      <c r="SPE49" s="66"/>
      <c r="SPF49" s="66"/>
      <c r="SPG49" s="66"/>
      <c r="SPH49" s="66"/>
      <c r="SPI49" s="66"/>
      <c r="SPJ49" s="66"/>
      <c r="SPK49" s="66"/>
      <c r="SPL49" s="66"/>
      <c r="SPM49" s="66"/>
      <c r="SPN49" s="66"/>
      <c r="SPO49" s="66"/>
      <c r="SPP49" s="66"/>
      <c r="SPQ49" s="66"/>
      <c r="SPR49" s="66"/>
      <c r="SPS49" s="66"/>
      <c r="SPT49" s="66"/>
      <c r="SPU49" s="66"/>
      <c r="SPV49" s="66"/>
      <c r="SPW49" s="66"/>
      <c r="SPX49" s="66"/>
      <c r="SPY49" s="66"/>
      <c r="SPZ49" s="66"/>
      <c r="SQA49" s="66"/>
      <c r="SQB49" s="66"/>
      <c r="SQC49" s="66"/>
      <c r="SQD49" s="66"/>
      <c r="SQE49" s="66"/>
      <c r="SQF49" s="66"/>
      <c r="SQG49" s="66"/>
      <c r="SQH49" s="66"/>
      <c r="SQI49" s="66"/>
      <c r="SQJ49" s="66"/>
      <c r="SQK49" s="66"/>
      <c r="SQL49" s="66"/>
      <c r="SQM49" s="66"/>
      <c r="SQN49" s="66"/>
      <c r="SQO49" s="66"/>
      <c r="SQP49" s="66"/>
      <c r="SQQ49" s="66"/>
      <c r="SQR49" s="66"/>
      <c r="SQS49" s="66"/>
      <c r="SQT49" s="66"/>
      <c r="SQU49" s="66"/>
      <c r="SQV49" s="66"/>
      <c r="SQW49" s="66"/>
      <c r="SQX49" s="66"/>
      <c r="SQY49" s="66"/>
      <c r="SQZ49" s="66"/>
      <c r="SRA49" s="66"/>
      <c r="SRB49" s="66"/>
      <c r="SRC49" s="66"/>
      <c r="SRD49" s="66"/>
      <c r="SRE49" s="66"/>
      <c r="SRF49" s="66"/>
      <c r="SRG49" s="66"/>
      <c r="SRH49" s="66"/>
      <c r="SRI49" s="66"/>
      <c r="SRJ49" s="66"/>
      <c r="SRK49" s="66"/>
      <c r="SRL49" s="66"/>
      <c r="SRM49" s="66"/>
      <c r="SRN49" s="66"/>
      <c r="SRO49" s="66"/>
      <c r="SRP49" s="66"/>
      <c r="SRQ49" s="66"/>
      <c r="SRR49" s="66"/>
      <c r="SRS49" s="66"/>
      <c r="SRT49" s="66"/>
      <c r="SRU49" s="66"/>
      <c r="SRV49" s="66"/>
      <c r="SRW49" s="66"/>
      <c r="SRX49" s="66"/>
      <c r="SRY49" s="66"/>
      <c r="SRZ49" s="66"/>
      <c r="SSA49" s="66"/>
      <c r="SSB49" s="66"/>
      <c r="SSC49" s="66"/>
      <c r="SSD49" s="66"/>
      <c r="SSE49" s="66"/>
      <c r="SSF49" s="66"/>
      <c r="SSG49" s="66"/>
      <c r="SSH49" s="66"/>
      <c r="SSI49" s="66"/>
      <c r="SSJ49" s="66"/>
      <c r="SSK49" s="66"/>
      <c r="SSL49" s="66"/>
      <c r="SSM49" s="66"/>
      <c r="SSN49" s="66"/>
      <c r="SSO49" s="66"/>
      <c r="SSP49" s="66"/>
      <c r="SSQ49" s="66"/>
      <c r="SSR49" s="66"/>
      <c r="SSS49" s="66"/>
      <c r="SST49" s="66"/>
      <c r="SSU49" s="66"/>
      <c r="SSV49" s="66"/>
      <c r="SSW49" s="66"/>
      <c r="SSX49" s="66"/>
      <c r="SSY49" s="66"/>
      <c r="SSZ49" s="66"/>
      <c r="STA49" s="66"/>
      <c r="STB49" s="66"/>
      <c r="STC49" s="66"/>
      <c r="STD49" s="66"/>
      <c r="STE49" s="66"/>
      <c r="STF49" s="66"/>
      <c r="STG49" s="66"/>
      <c r="STH49" s="66"/>
      <c r="STI49" s="66"/>
      <c r="STJ49" s="66"/>
      <c r="STK49" s="66"/>
      <c r="STL49" s="66"/>
      <c r="STM49" s="66"/>
      <c r="STN49" s="66"/>
      <c r="STO49" s="66"/>
      <c r="STP49" s="66"/>
      <c r="STQ49" s="66"/>
      <c r="STR49" s="66"/>
      <c r="STS49" s="66"/>
      <c r="STT49" s="66"/>
      <c r="STU49" s="66"/>
      <c r="STV49" s="66"/>
      <c r="STW49" s="66"/>
      <c r="STX49" s="66"/>
      <c r="STY49" s="66"/>
      <c r="STZ49" s="66"/>
      <c r="SUA49" s="66"/>
      <c r="SUB49" s="66"/>
      <c r="SUC49" s="66"/>
      <c r="SUD49" s="66"/>
      <c r="SUE49" s="66"/>
      <c r="SUF49" s="66"/>
      <c r="SUG49" s="66"/>
      <c r="SUH49" s="66"/>
      <c r="SUI49" s="66"/>
      <c r="SUJ49" s="66"/>
      <c r="SUK49" s="66"/>
      <c r="SUL49" s="66"/>
      <c r="SUM49" s="66"/>
      <c r="SUN49" s="66"/>
      <c r="SUO49" s="66"/>
      <c r="SUP49" s="66"/>
      <c r="SUQ49" s="66"/>
      <c r="SUR49" s="66"/>
      <c r="SUS49" s="66"/>
      <c r="SUT49" s="66"/>
      <c r="SUU49" s="66"/>
      <c r="SUV49" s="66"/>
      <c r="SUW49" s="66"/>
      <c r="SUX49" s="66"/>
      <c r="SUY49" s="66"/>
      <c r="SUZ49" s="66"/>
      <c r="SVA49" s="66"/>
      <c r="SVB49" s="66"/>
      <c r="SVC49" s="66"/>
      <c r="SVD49" s="66"/>
      <c r="SVE49" s="66"/>
      <c r="SVF49" s="66"/>
      <c r="SVG49" s="66"/>
      <c r="SVH49" s="66"/>
      <c r="SVI49" s="66"/>
      <c r="SVJ49" s="66"/>
      <c r="SVK49" s="66"/>
      <c r="SVL49" s="66"/>
      <c r="SVM49" s="66"/>
      <c r="SVN49" s="66"/>
      <c r="SVO49" s="66"/>
      <c r="SVP49" s="66"/>
      <c r="SVQ49" s="66"/>
      <c r="SVR49" s="66"/>
      <c r="SVS49" s="66"/>
      <c r="SVT49" s="66"/>
      <c r="SVU49" s="66"/>
      <c r="SVV49" s="66"/>
      <c r="SVW49" s="66"/>
      <c r="SVX49" s="66"/>
      <c r="SVY49" s="66"/>
      <c r="SVZ49" s="66"/>
      <c r="SWA49" s="66"/>
      <c r="SWB49" s="66"/>
      <c r="SWC49" s="66"/>
      <c r="SWD49" s="66"/>
      <c r="SWE49" s="66"/>
      <c r="SWF49" s="66"/>
      <c r="SWG49" s="66"/>
      <c r="SWH49" s="66"/>
      <c r="SWI49" s="66"/>
      <c r="SWJ49" s="66"/>
      <c r="SWK49" s="66"/>
      <c r="SWL49" s="66"/>
      <c r="SWM49" s="66"/>
      <c r="SWN49" s="66"/>
      <c r="SWO49" s="66"/>
      <c r="SWP49" s="66"/>
      <c r="SWQ49" s="66"/>
      <c r="SWR49" s="66"/>
      <c r="SWS49" s="66"/>
      <c r="SWT49" s="66"/>
      <c r="SWU49" s="66"/>
      <c r="SWV49" s="66"/>
      <c r="SWW49" s="66"/>
      <c r="SWX49" s="66"/>
      <c r="SWY49" s="66"/>
      <c r="SWZ49" s="66"/>
      <c r="SXA49" s="66"/>
      <c r="SXB49" s="66"/>
      <c r="SXC49" s="66"/>
      <c r="SXD49" s="66"/>
      <c r="SXE49" s="66"/>
      <c r="SXF49" s="66"/>
      <c r="SXG49" s="66"/>
      <c r="SXH49" s="66"/>
      <c r="SXI49" s="66"/>
      <c r="SXJ49" s="66"/>
      <c r="SXK49" s="66"/>
      <c r="SXL49" s="66"/>
      <c r="SXM49" s="66"/>
      <c r="SXN49" s="66"/>
      <c r="SXO49" s="66"/>
      <c r="SXP49" s="66"/>
      <c r="SXQ49" s="66"/>
      <c r="SXR49" s="66"/>
      <c r="SXS49" s="66"/>
      <c r="SXT49" s="66"/>
      <c r="SXU49" s="66"/>
      <c r="SXV49" s="66"/>
      <c r="SXW49" s="66"/>
      <c r="SXX49" s="66"/>
      <c r="SXY49" s="66"/>
      <c r="SXZ49" s="66"/>
      <c r="SYA49" s="66"/>
      <c r="SYB49" s="66"/>
      <c r="SYC49" s="66"/>
      <c r="SYD49" s="66"/>
      <c r="SYE49" s="66"/>
      <c r="SYF49" s="66"/>
      <c r="SYG49" s="66"/>
      <c r="SYH49" s="66"/>
      <c r="SYI49" s="66"/>
      <c r="SYJ49" s="66"/>
      <c r="SYK49" s="66"/>
      <c r="SYL49" s="66"/>
      <c r="SYM49" s="66"/>
      <c r="SYN49" s="66"/>
      <c r="SYO49" s="66"/>
      <c r="SYP49" s="66"/>
      <c r="SYQ49" s="66"/>
      <c r="SYR49" s="66"/>
      <c r="SYS49" s="66"/>
      <c r="SYT49" s="66"/>
      <c r="SYU49" s="66"/>
      <c r="SYV49" s="66"/>
      <c r="SYW49" s="66"/>
      <c r="SYX49" s="66"/>
      <c r="SYY49" s="66"/>
      <c r="SYZ49" s="66"/>
      <c r="SZA49" s="66"/>
      <c r="SZB49" s="66"/>
      <c r="SZC49" s="66"/>
      <c r="SZD49" s="66"/>
      <c r="SZE49" s="66"/>
      <c r="SZF49" s="66"/>
      <c r="SZG49" s="66"/>
      <c r="SZH49" s="66"/>
      <c r="SZI49" s="66"/>
      <c r="SZJ49" s="66"/>
      <c r="SZK49" s="66"/>
      <c r="SZL49" s="66"/>
      <c r="SZM49" s="66"/>
      <c r="SZN49" s="66"/>
      <c r="SZO49" s="66"/>
      <c r="SZP49" s="66"/>
      <c r="SZQ49" s="66"/>
      <c r="SZR49" s="66"/>
      <c r="SZS49" s="66"/>
      <c r="SZT49" s="66"/>
      <c r="SZU49" s="66"/>
      <c r="SZV49" s="66"/>
      <c r="SZW49" s="66"/>
      <c r="SZX49" s="66"/>
      <c r="SZY49" s="66"/>
      <c r="SZZ49" s="66"/>
      <c r="TAA49" s="66"/>
      <c r="TAB49" s="66"/>
      <c r="TAC49" s="66"/>
      <c r="TAD49" s="66"/>
      <c r="TAE49" s="66"/>
      <c r="TAF49" s="66"/>
      <c r="TAG49" s="66"/>
      <c r="TAH49" s="66"/>
      <c r="TAI49" s="66"/>
      <c r="TAJ49" s="66"/>
      <c r="TAK49" s="66"/>
      <c r="TAL49" s="66"/>
      <c r="TAM49" s="66"/>
      <c r="TAN49" s="66"/>
      <c r="TAO49" s="66"/>
      <c r="TAP49" s="66"/>
      <c r="TAQ49" s="66"/>
      <c r="TAR49" s="66"/>
      <c r="TAS49" s="66"/>
      <c r="TAT49" s="66"/>
      <c r="TAU49" s="66"/>
      <c r="TAV49" s="66"/>
      <c r="TAW49" s="66"/>
      <c r="TAX49" s="66"/>
      <c r="TAY49" s="66"/>
      <c r="TAZ49" s="66"/>
      <c r="TBA49" s="66"/>
      <c r="TBB49" s="66"/>
      <c r="TBC49" s="66"/>
      <c r="TBD49" s="66"/>
      <c r="TBE49" s="66"/>
      <c r="TBF49" s="66"/>
      <c r="TBG49" s="66"/>
      <c r="TBH49" s="66"/>
      <c r="TBI49" s="66"/>
      <c r="TBJ49" s="66"/>
      <c r="TBK49" s="66"/>
      <c r="TBL49" s="66"/>
      <c r="TBM49" s="66"/>
      <c r="TBN49" s="66"/>
      <c r="TBO49" s="66"/>
      <c r="TBP49" s="66"/>
      <c r="TBQ49" s="66"/>
      <c r="TBR49" s="66"/>
      <c r="TBS49" s="66"/>
      <c r="TBT49" s="66"/>
      <c r="TBU49" s="66"/>
      <c r="TBV49" s="66"/>
      <c r="TBW49" s="66"/>
      <c r="TBX49" s="66"/>
      <c r="TBY49" s="66"/>
      <c r="TBZ49" s="66"/>
      <c r="TCA49" s="66"/>
      <c r="TCB49" s="66"/>
      <c r="TCC49" s="66"/>
      <c r="TCD49" s="66"/>
      <c r="TCE49" s="66"/>
      <c r="TCF49" s="66"/>
      <c r="TCG49" s="66"/>
      <c r="TCH49" s="66"/>
      <c r="TCI49" s="66"/>
      <c r="TCJ49" s="66"/>
      <c r="TCK49" s="66"/>
      <c r="TCL49" s="66"/>
      <c r="TCM49" s="66"/>
      <c r="TCN49" s="66"/>
      <c r="TCO49" s="66"/>
      <c r="TCP49" s="66"/>
      <c r="TCQ49" s="66"/>
      <c r="TCR49" s="66"/>
      <c r="TCS49" s="66"/>
      <c r="TCT49" s="66"/>
      <c r="TCU49" s="66"/>
      <c r="TCV49" s="66"/>
      <c r="TCW49" s="66"/>
      <c r="TCX49" s="66"/>
      <c r="TCY49" s="66"/>
      <c r="TCZ49" s="66"/>
      <c r="TDA49" s="66"/>
      <c r="TDB49" s="66"/>
      <c r="TDC49" s="66"/>
      <c r="TDD49" s="66"/>
      <c r="TDE49" s="66"/>
      <c r="TDF49" s="66"/>
      <c r="TDG49" s="66"/>
      <c r="TDH49" s="66"/>
      <c r="TDI49" s="66"/>
      <c r="TDJ49" s="66"/>
      <c r="TDK49" s="66"/>
      <c r="TDL49" s="66"/>
      <c r="TDM49" s="66"/>
      <c r="TDN49" s="66"/>
      <c r="TDO49" s="66"/>
      <c r="TDP49" s="66"/>
      <c r="TDQ49" s="66"/>
      <c r="TDR49" s="66"/>
      <c r="TDS49" s="66"/>
      <c r="TDT49" s="66"/>
      <c r="TDU49" s="66"/>
      <c r="TDV49" s="66"/>
      <c r="TDW49" s="66"/>
      <c r="TDX49" s="66"/>
      <c r="TDY49" s="66"/>
      <c r="TDZ49" s="66"/>
      <c r="TEA49" s="66"/>
      <c r="TEB49" s="66"/>
      <c r="TEC49" s="66"/>
      <c r="TED49" s="66"/>
      <c r="TEE49" s="66"/>
      <c r="TEF49" s="66"/>
      <c r="TEG49" s="66"/>
      <c r="TEH49" s="66"/>
      <c r="TEI49" s="66"/>
      <c r="TEJ49" s="66"/>
      <c r="TEK49" s="66"/>
      <c r="TEL49" s="66"/>
      <c r="TEM49" s="66"/>
      <c r="TEN49" s="66"/>
      <c r="TEO49" s="66"/>
      <c r="TEP49" s="66"/>
      <c r="TEQ49" s="66"/>
      <c r="TER49" s="66"/>
      <c r="TES49" s="66"/>
      <c r="TET49" s="66"/>
      <c r="TEU49" s="66"/>
      <c r="TEV49" s="66"/>
      <c r="TEW49" s="66"/>
      <c r="TEX49" s="66"/>
      <c r="TEY49" s="66"/>
      <c r="TEZ49" s="66"/>
      <c r="TFA49" s="66"/>
      <c r="TFB49" s="66"/>
      <c r="TFC49" s="66"/>
      <c r="TFD49" s="66"/>
      <c r="TFE49" s="66"/>
      <c r="TFF49" s="66"/>
      <c r="TFG49" s="66"/>
      <c r="TFH49" s="66"/>
      <c r="TFI49" s="66"/>
      <c r="TFJ49" s="66"/>
      <c r="TFK49" s="66"/>
      <c r="TFL49" s="66"/>
      <c r="TFM49" s="66"/>
      <c r="TFN49" s="66"/>
      <c r="TFO49" s="66"/>
      <c r="TFP49" s="66"/>
      <c r="TFQ49" s="66"/>
      <c r="TFR49" s="66"/>
      <c r="TFS49" s="66"/>
      <c r="TFT49" s="66"/>
      <c r="TFU49" s="66"/>
      <c r="TFV49" s="66"/>
      <c r="TFW49" s="66"/>
      <c r="TFX49" s="66"/>
      <c r="TFY49" s="66"/>
      <c r="TFZ49" s="66"/>
      <c r="TGA49" s="66"/>
      <c r="TGB49" s="66"/>
      <c r="TGC49" s="66"/>
      <c r="TGD49" s="66"/>
      <c r="TGE49" s="66"/>
      <c r="TGF49" s="66"/>
      <c r="TGG49" s="66"/>
      <c r="TGH49" s="66"/>
      <c r="TGI49" s="66"/>
      <c r="TGJ49" s="66"/>
      <c r="TGK49" s="66"/>
      <c r="TGL49" s="66"/>
      <c r="TGM49" s="66"/>
      <c r="TGN49" s="66"/>
      <c r="TGO49" s="66"/>
      <c r="TGP49" s="66"/>
      <c r="TGQ49" s="66"/>
      <c r="TGR49" s="66"/>
      <c r="TGS49" s="66"/>
      <c r="TGT49" s="66"/>
      <c r="TGU49" s="66"/>
      <c r="TGV49" s="66"/>
      <c r="TGW49" s="66"/>
      <c r="TGX49" s="66"/>
      <c r="TGY49" s="66"/>
      <c r="TGZ49" s="66"/>
      <c r="THA49" s="66"/>
      <c r="THB49" s="66"/>
      <c r="THC49" s="66"/>
      <c r="THD49" s="66"/>
      <c r="THE49" s="66"/>
      <c r="THF49" s="66"/>
      <c r="THG49" s="66"/>
      <c r="THH49" s="66"/>
      <c r="THI49" s="66"/>
      <c r="THJ49" s="66"/>
      <c r="THK49" s="66"/>
      <c r="THL49" s="66"/>
      <c r="THM49" s="66"/>
      <c r="THN49" s="66"/>
      <c r="THO49" s="66"/>
      <c r="THP49" s="66"/>
      <c r="THQ49" s="66"/>
      <c r="THR49" s="66"/>
      <c r="THS49" s="66"/>
      <c r="THT49" s="66"/>
      <c r="THU49" s="66"/>
      <c r="THV49" s="66"/>
      <c r="THW49" s="66"/>
      <c r="THX49" s="66"/>
      <c r="THY49" s="66"/>
      <c r="THZ49" s="66"/>
      <c r="TIA49" s="66"/>
      <c r="TIB49" s="66"/>
      <c r="TIC49" s="66"/>
      <c r="TID49" s="66"/>
      <c r="TIE49" s="66"/>
      <c r="TIF49" s="66"/>
      <c r="TIG49" s="66"/>
      <c r="TIH49" s="66"/>
      <c r="TII49" s="66"/>
      <c r="TIJ49" s="66"/>
      <c r="TIK49" s="66"/>
      <c r="TIL49" s="66"/>
      <c r="TIM49" s="66"/>
      <c r="TIN49" s="66"/>
      <c r="TIO49" s="66"/>
      <c r="TIP49" s="66"/>
      <c r="TIQ49" s="66"/>
      <c r="TIR49" s="66"/>
      <c r="TIS49" s="66"/>
      <c r="TIT49" s="66"/>
      <c r="TIU49" s="66"/>
      <c r="TIV49" s="66"/>
      <c r="TIW49" s="66"/>
      <c r="TIX49" s="66"/>
      <c r="TIY49" s="66"/>
      <c r="TIZ49" s="66"/>
      <c r="TJA49" s="66"/>
      <c r="TJB49" s="66"/>
      <c r="TJC49" s="66"/>
      <c r="TJD49" s="66"/>
      <c r="TJE49" s="66"/>
      <c r="TJF49" s="66"/>
      <c r="TJG49" s="66"/>
      <c r="TJH49" s="66"/>
      <c r="TJI49" s="66"/>
      <c r="TJJ49" s="66"/>
      <c r="TJK49" s="66"/>
      <c r="TJL49" s="66"/>
      <c r="TJM49" s="66"/>
      <c r="TJN49" s="66"/>
      <c r="TJO49" s="66"/>
      <c r="TJP49" s="66"/>
      <c r="TJQ49" s="66"/>
      <c r="TJR49" s="66"/>
      <c r="TJS49" s="66"/>
      <c r="TJT49" s="66"/>
      <c r="TJU49" s="66"/>
      <c r="TJV49" s="66"/>
      <c r="TJW49" s="66"/>
      <c r="TJX49" s="66"/>
      <c r="TJY49" s="66"/>
      <c r="TJZ49" s="66"/>
      <c r="TKA49" s="66"/>
      <c r="TKB49" s="66"/>
      <c r="TKC49" s="66"/>
      <c r="TKD49" s="66"/>
      <c r="TKE49" s="66"/>
      <c r="TKF49" s="66"/>
      <c r="TKG49" s="66"/>
      <c r="TKH49" s="66"/>
      <c r="TKI49" s="66"/>
      <c r="TKJ49" s="66"/>
      <c r="TKK49" s="66"/>
      <c r="TKL49" s="66"/>
      <c r="TKM49" s="66"/>
      <c r="TKN49" s="66"/>
      <c r="TKO49" s="66"/>
      <c r="TKP49" s="66"/>
      <c r="TKQ49" s="66"/>
      <c r="TKR49" s="66"/>
      <c r="TKS49" s="66"/>
      <c r="TKT49" s="66"/>
      <c r="TKU49" s="66"/>
      <c r="TKV49" s="66"/>
      <c r="TKW49" s="66"/>
      <c r="TKX49" s="66"/>
      <c r="TKY49" s="66"/>
      <c r="TKZ49" s="66"/>
      <c r="TLA49" s="66"/>
      <c r="TLB49" s="66"/>
      <c r="TLC49" s="66"/>
      <c r="TLD49" s="66"/>
      <c r="TLE49" s="66"/>
      <c r="TLF49" s="66"/>
      <c r="TLG49" s="66"/>
      <c r="TLH49" s="66"/>
      <c r="TLI49" s="66"/>
      <c r="TLJ49" s="66"/>
      <c r="TLK49" s="66"/>
      <c r="TLL49" s="66"/>
      <c r="TLM49" s="66"/>
      <c r="TLN49" s="66"/>
      <c r="TLO49" s="66"/>
      <c r="TLP49" s="66"/>
      <c r="TLQ49" s="66"/>
      <c r="TLR49" s="66"/>
      <c r="TLS49" s="66"/>
      <c r="TLT49" s="66"/>
      <c r="TLU49" s="66"/>
      <c r="TLV49" s="66"/>
      <c r="TLW49" s="66"/>
      <c r="TLX49" s="66"/>
      <c r="TLY49" s="66"/>
      <c r="TLZ49" s="66"/>
      <c r="TMA49" s="66"/>
      <c r="TMB49" s="66"/>
      <c r="TMC49" s="66"/>
      <c r="TMD49" s="66"/>
      <c r="TME49" s="66"/>
      <c r="TMF49" s="66"/>
      <c r="TMG49" s="66"/>
      <c r="TMH49" s="66"/>
      <c r="TMI49" s="66"/>
      <c r="TMJ49" s="66"/>
      <c r="TMK49" s="66"/>
      <c r="TML49" s="66"/>
      <c r="TMM49" s="66"/>
      <c r="TMN49" s="66"/>
      <c r="TMO49" s="66"/>
      <c r="TMP49" s="66"/>
      <c r="TMQ49" s="66"/>
      <c r="TMR49" s="66"/>
      <c r="TMS49" s="66"/>
      <c r="TMT49" s="66"/>
      <c r="TMU49" s="66"/>
      <c r="TMV49" s="66"/>
      <c r="TMW49" s="66"/>
      <c r="TMX49" s="66"/>
      <c r="TMY49" s="66"/>
      <c r="TMZ49" s="66"/>
      <c r="TNA49" s="66"/>
      <c r="TNB49" s="66"/>
      <c r="TNC49" s="66"/>
      <c r="TND49" s="66"/>
      <c r="TNE49" s="66"/>
      <c r="TNF49" s="66"/>
      <c r="TNG49" s="66"/>
      <c r="TNH49" s="66"/>
      <c r="TNI49" s="66"/>
      <c r="TNJ49" s="66"/>
      <c r="TNK49" s="66"/>
      <c r="TNL49" s="66"/>
      <c r="TNM49" s="66"/>
      <c r="TNN49" s="66"/>
      <c r="TNO49" s="66"/>
      <c r="TNP49" s="66"/>
      <c r="TNQ49" s="66"/>
      <c r="TNR49" s="66"/>
      <c r="TNS49" s="66"/>
      <c r="TNT49" s="66"/>
      <c r="TNU49" s="66"/>
      <c r="TNV49" s="66"/>
      <c r="TNW49" s="66"/>
      <c r="TNX49" s="66"/>
      <c r="TNY49" s="66"/>
      <c r="TNZ49" s="66"/>
      <c r="TOA49" s="66"/>
      <c r="TOB49" s="66"/>
      <c r="TOC49" s="66"/>
      <c r="TOD49" s="66"/>
      <c r="TOE49" s="66"/>
      <c r="TOF49" s="66"/>
      <c r="TOG49" s="66"/>
      <c r="TOH49" s="66"/>
      <c r="TOI49" s="66"/>
      <c r="TOJ49" s="66"/>
      <c r="TOK49" s="66"/>
      <c r="TOL49" s="66"/>
      <c r="TOM49" s="66"/>
      <c r="TON49" s="66"/>
      <c r="TOO49" s="66"/>
      <c r="TOP49" s="66"/>
      <c r="TOQ49" s="66"/>
      <c r="TOR49" s="66"/>
      <c r="TOS49" s="66"/>
      <c r="TOT49" s="66"/>
      <c r="TOU49" s="66"/>
      <c r="TOV49" s="66"/>
      <c r="TOW49" s="66"/>
      <c r="TOX49" s="66"/>
      <c r="TOY49" s="66"/>
      <c r="TOZ49" s="66"/>
      <c r="TPA49" s="66"/>
      <c r="TPB49" s="66"/>
      <c r="TPC49" s="66"/>
      <c r="TPD49" s="66"/>
      <c r="TPE49" s="66"/>
      <c r="TPF49" s="66"/>
      <c r="TPG49" s="66"/>
      <c r="TPH49" s="66"/>
      <c r="TPI49" s="66"/>
      <c r="TPJ49" s="66"/>
      <c r="TPK49" s="66"/>
      <c r="TPL49" s="66"/>
      <c r="TPM49" s="66"/>
      <c r="TPN49" s="66"/>
      <c r="TPO49" s="66"/>
      <c r="TPP49" s="66"/>
      <c r="TPQ49" s="66"/>
      <c r="TPR49" s="66"/>
      <c r="TPS49" s="66"/>
      <c r="TPT49" s="66"/>
      <c r="TPU49" s="66"/>
      <c r="TPV49" s="66"/>
      <c r="TPW49" s="66"/>
      <c r="TPX49" s="66"/>
      <c r="TPY49" s="66"/>
      <c r="TPZ49" s="66"/>
      <c r="TQA49" s="66"/>
      <c r="TQB49" s="66"/>
      <c r="TQC49" s="66"/>
      <c r="TQD49" s="66"/>
      <c r="TQE49" s="66"/>
      <c r="TQF49" s="66"/>
      <c r="TQG49" s="66"/>
      <c r="TQH49" s="66"/>
      <c r="TQI49" s="66"/>
      <c r="TQJ49" s="66"/>
      <c r="TQK49" s="66"/>
      <c r="TQL49" s="66"/>
      <c r="TQM49" s="66"/>
      <c r="TQN49" s="66"/>
      <c r="TQO49" s="66"/>
      <c r="TQP49" s="66"/>
      <c r="TQQ49" s="66"/>
      <c r="TQR49" s="66"/>
      <c r="TQS49" s="66"/>
      <c r="TQT49" s="66"/>
      <c r="TQU49" s="66"/>
      <c r="TQV49" s="66"/>
      <c r="TQW49" s="66"/>
      <c r="TQX49" s="66"/>
      <c r="TQY49" s="66"/>
      <c r="TQZ49" s="66"/>
      <c r="TRA49" s="66"/>
      <c r="TRB49" s="66"/>
      <c r="TRC49" s="66"/>
      <c r="TRD49" s="66"/>
      <c r="TRE49" s="66"/>
      <c r="TRF49" s="66"/>
      <c r="TRG49" s="66"/>
      <c r="TRH49" s="66"/>
      <c r="TRI49" s="66"/>
      <c r="TRJ49" s="66"/>
      <c r="TRK49" s="66"/>
      <c r="TRL49" s="66"/>
      <c r="TRM49" s="66"/>
      <c r="TRN49" s="66"/>
      <c r="TRO49" s="66"/>
      <c r="TRP49" s="66"/>
      <c r="TRQ49" s="66"/>
      <c r="TRR49" s="66"/>
      <c r="TRS49" s="66"/>
      <c r="TRT49" s="66"/>
      <c r="TRU49" s="66"/>
      <c r="TRV49" s="66"/>
      <c r="TRW49" s="66"/>
      <c r="TRX49" s="66"/>
      <c r="TRY49" s="66"/>
      <c r="TRZ49" s="66"/>
      <c r="TSA49" s="66"/>
      <c r="TSB49" s="66"/>
      <c r="TSC49" s="66"/>
      <c r="TSD49" s="66"/>
      <c r="TSE49" s="66"/>
      <c r="TSF49" s="66"/>
      <c r="TSG49" s="66"/>
      <c r="TSH49" s="66"/>
      <c r="TSI49" s="66"/>
      <c r="TSJ49" s="66"/>
      <c r="TSK49" s="66"/>
      <c r="TSL49" s="66"/>
      <c r="TSM49" s="66"/>
      <c r="TSN49" s="66"/>
      <c r="TSO49" s="66"/>
      <c r="TSP49" s="66"/>
      <c r="TSQ49" s="66"/>
      <c r="TSR49" s="66"/>
      <c r="TSS49" s="66"/>
      <c r="TST49" s="66"/>
      <c r="TSU49" s="66"/>
      <c r="TSV49" s="66"/>
      <c r="TSW49" s="66"/>
      <c r="TSX49" s="66"/>
      <c r="TSY49" s="66"/>
      <c r="TSZ49" s="66"/>
      <c r="TTA49" s="66"/>
      <c r="TTB49" s="66"/>
      <c r="TTC49" s="66"/>
      <c r="TTD49" s="66"/>
      <c r="TTE49" s="66"/>
      <c r="TTF49" s="66"/>
      <c r="TTG49" s="66"/>
      <c r="TTH49" s="66"/>
      <c r="TTI49" s="66"/>
      <c r="TTJ49" s="66"/>
      <c r="TTK49" s="66"/>
      <c r="TTL49" s="66"/>
      <c r="TTM49" s="66"/>
      <c r="TTN49" s="66"/>
      <c r="TTO49" s="66"/>
      <c r="TTP49" s="66"/>
      <c r="TTQ49" s="66"/>
      <c r="TTR49" s="66"/>
      <c r="TTS49" s="66"/>
      <c r="TTT49" s="66"/>
      <c r="TTU49" s="66"/>
      <c r="TTV49" s="66"/>
      <c r="TTW49" s="66"/>
      <c r="TTX49" s="66"/>
      <c r="TTY49" s="66"/>
      <c r="TTZ49" s="66"/>
      <c r="TUA49" s="66"/>
      <c r="TUB49" s="66"/>
      <c r="TUC49" s="66"/>
      <c r="TUD49" s="66"/>
      <c r="TUE49" s="66"/>
      <c r="TUF49" s="66"/>
      <c r="TUG49" s="66"/>
      <c r="TUH49" s="66"/>
      <c r="TUI49" s="66"/>
      <c r="TUJ49" s="66"/>
      <c r="TUK49" s="66"/>
      <c r="TUL49" s="66"/>
      <c r="TUM49" s="66"/>
      <c r="TUN49" s="66"/>
      <c r="TUO49" s="66"/>
      <c r="TUP49" s="66"/>
      <c r="TUQ49" s="66"/>
      <c r="TUR49" s="66"/>
      <c r="TUS49" s="66"/>
      <c r="TUT49" s="66"/>
      <c r="TUU49" s="66"/>
      <c r="TUV49" s="66"/>
      <c r="TUW49" s="66"/>
      <c r="TUX49" s="66"/>
      <c r="TUY49" s="66"/>
      <c r="TUZ49" s="66"/>
      <c r="TVA49" s="66"/>
      <c r="TVB49" s="66"/>
      <c r="TVC49" s="66"/>
      <c r="TVD49" s="66"/>
      <c r="TVE49" s="66"/>
      <c r="TVF49" s="66"/>
      <c r="TVG49" s="66"/>
      <c r="TVH49" s="66"/>
      <c r="TVI49" s="66"/>
      <c r="TVJ49" s="66"/>
      <c r="TVK49" s="66"/>
      <c r="TVL49" s="66"/>
      <c r="TVM49" s="66"/>
      <c r="TVN49" s="66"/>
      <c r="TVO49" s="66"/>
      <c r="TVP49" s="66"/>
      <c r="TVQ49" s="66"/>
      <c r="TVR49" s="66"/>
      <c r="TVS49" s="66"/>
      <c r="TVT49" s="66"/>
      <c r="TVU49" s="66"/>
      <c r="TVV49" s="66"/>
      <c r="TVW49" s="66"/>
      <c r="TVX49" s="66"/>
      <c r="TVY49" s="66"/>
      <c r="TVZ49" s="66"/>
      <c r="TWA49" s="66"/>
      <c r="TWB49" s="66"/>
      <c r="TWC49" s="66"/>
      <c r="TWD49" s="66"/>
      <c r="TWE49" s="66"/>
      <c r="TWF49" s="66"/>
      <c r="TWG49" s="66"/>
      <c r="TWH49" s="66"/>
      <c r="TWI49" s="66"/>
      <c r="TWJ49" s="66"/>
      <c r="TWK49" s="66"/>
      <c r="TWL49" s="66"/>
      <c r="TWM49" s="66"/>
      <c r="TWN49" s="66"/>
      <c r="TWO49" s="66"/>
      <c r="TWP49" s="66"/>
      <c r="TWQ49" s="66"/>
      <c r="TWR49" s="66"/>
      <c r="TWS49" s="66"/>
      <c r="TWT49" s="66"/>
      <c r="TWU49" s="66"/>
      <c r="TWV49" s="66"/>
      <c r="TWW49" s="66"/>
      <c r="TWX49" s="66"/>
      <c r="TWY49" s="66"/>
      <c r="TWZ49" s="66"/>
      <c r="TXA49" s="66"/>
      <c r="TXB49" s="66"/>
      <c r="TXC49" s="66"/>
      <c r="TXD49" s="66"/>
      <c r="TXE49" s="66"/>
      <c r="TXF49" s="66"/>
      <c r="TXG49" s="66"/>
      <c r="TXH49" s="66"/>
      <c r="TXI49" s="66"/>
      <c r="TXJ49" s="66"/>
      <c r="TXK49" s="66"/>
      <c r="TXL49" s="66"/>
      <c r="TXM49" s="66"/>
      <c r="TXN49" s="66"/>
      <c r="TXO49" s="66"/>
      <c r="TXP49" s="66"/>
      <c r="TXQ49" s="66"/>
      <c r="TXR49" s="66"/>
      <c r="TXS49" s="66"/>
      <c r="TXT49" s="66"/>
      <c r="TXU49" s="66"/>
      <c r="TXV49" s="66"/>
      <c r="TXW49" s="66"/>
      <c r="TXX49" s="66"/>
      <c r="TXY49" s="66"/>
      <c r="TXZ49" s="66"/>
      <c r="TYA49" s="66"/>
      <c r="TYB49" s="66"/>
      <c r="TYC49" s="66"/>
      <c r="TYD49" s="66"/>
      <c r="TYE49" s="66"/>
      <c r="TYF49" s="66"/>
      <c r="TYG49" s="66"/>
      <c r="TYH49" s="66"/>
      <c r="TYI49" s="66"/>
      <c r="TYJ49" s="66"/>
      <c r="TYK49" s="66"/>
      <c r="TYL49" s="66"/>
      <c r="TYM49" s="66"/>
      <c r="TYN49" s="66"/>
      <c r="TYO49" s="66"/>
      <c r="TYP49" s="66"/>
      <c r="TYQ49" s="66"/>
      <c r="TYR49" s="66"/>
      <c r="TYS49" s="66"/>
      <c r="TYT49" s="66"/>
      <c r="TYU49" s="66"/>
      <c r="TYV49" s="66"/>
      <c r="TYW49" s="66"/>
      <c r="TYX49" s="66"/>
      <c r="TYY49" s="66"/>
      <c r="TYZ49" s="66"/>
      <c r="TZA49" s="66"/>
      <c r="TZB49" s="66"/>
      <c r="TZC49" s="66"/>
      <c r="TZD49" s="66"/>
      <c r="TZE49" s="66"/>
      <c r="TZF49" s="66"/>
      <c r="TZG49" s="66"/>
      <c r="TZH49" s="66"/>
      <c r="TZI49" s="66"/>
      <c r="TZJ49" s="66"/>
      <c r="TZK49" s="66"/>
      <c r="TZL49" s="66"/>
      <c r="TZM49" s="66"/>
      <c r="TZN49" s="66"/>
      <c r="TZO49" s="66"/>
      <c r="TZP49" s="66"/>
      <c r="TZQ49" s="66"/>
      <c r="TZR49" s="66"/>
      <c r="TZS49" s="66"/>
      <c r="TZT49" s="66"/>
      <c r="TZU49" s="66"/>
      <c r="TZV49" s="66"/>
      <c r="TZW49" s="66"/>
      <c r="TZX49" s="66"/>
      <c r="TZY49" s="66"/>
      <c r="TZZ49" s="66"/>
      <c r="UAA49" s="66"/>
      <c r="UAB49" s="66"/>
      <c r="UAC49" s="66"/>
      <c r="UAD49" s="66"/>
      <c r="UAE49" s="66"/>
      <c r="UAF49" s="66"/>
      <c r="UAG49" s="66"/>
      <c r="UAH49" s="66"/>
      <c r="UAI49" s="66"/>
      <c r="UAJ49" s="66"/>
      <c r="UAK49" s="66"/>
      <c r="UAL49" s="66"/>
      <c r="UAM49" s="66"/>
      <c r="UAN49" s="66"/>
      <c r="UAO49" s="66"/>
      <c r="UAP49" s="66"/>
      <c r="UAQ49" s="66"/>
      <c r="UAR49" s="66"/>
      <c r="UAS49" s="66"/>
      <c r="UAT49" s="66"/>
      <c r="UAU49" s="66"/>
      <c r="UAV49" s="66"/>
      <c r="UAW49" s="66"/>
      <c r="UAX49" s="66"/>
      <c r="UAY49" s="66"/>
      <c r="UAZ49" s="66"/>
      <c r="UBA49" s="66"/>
      <c r="UBB49" s="66"/>
      <c r="UBC49" s="66"/>
      <c r="UBD49" s="66"/>
      <c r="UBE49" s="66"/>
      <c r="UBF49" s="66"/>
      <c r="UBG49" s="66"/>
      <c r="UBH49" s="66"/>
      <c r="UBI49" s="66"/>
      <c r="UBJ49" s="66"/>
      <c r="UBK49" s="66"/>
      <c r="UBL49" s="66"/>
      <c r="UBM49" s="66"/>
      <c r="UBN49" s="66"/>
      <c r="UBO49" s="66"/>
      <c r="UBP49" s="66"/>
      <c r="UBQ49" s="66"/>
      <c r="UBR49" s="66"/>
      <c r="UBS49" s="66"/>
      <c r="UBT49" s="66"/>
      <c r="UBU49" s="66"/>
      <c r="UBV49" s="66"/>
      <c r="UBW49" s="66"/>
      <c r="UBX49" s="66"/>
      <c r="UBY49" s="66"/>
      <c r="UBZ49" s="66"/>
      <c r="UCA49" s="66"/>
      <c r="UCB49" s="66"/>
      <c r="UCC49" s="66"/>
      <c r="UCD49" s="66"/>
      <c r="UCE49" s="66"/>
      <c r="UCF49" s="66"/>
      <c r="UCG49" s="66"/>
      <c r="UCH49" s="66"/>
      <c r="UCI49" s="66"/>
      <c r="UCJ49" s="66"/>
      <c r="UCK49" s="66"/>
      <c r="UCL49" s="66"/>
      <c r="UCM49" s="66"/>
      <c r="UCN49" s="66"/>
      <c r="UCO49" s="66"/>
      <c r="UCP49" s="66"/>
      <c r="UCQ49" s="66"/>
      <c r="UCR49" s="66"/>
      <c r="UCS49" s="66"/>
      <c r="UCT49" s="66"/>
      <c r="UCU49" s="66"/>
      <c r="UCV49" s="66"/>
      <c r="UCW49" s="66"/>
      <c r="UCX49" s="66"/>
      <c r="UCY49" s="66"/>
      <c r="UCZ49" s="66"/>
      <c r="UDA49" s="66"/>
      <c r="UDB49" s="66"/>
      <c r="UDC49" s="66"/>
      <c r="UDD49" s="66"/>
      <c r="UDE49" s="66"/>
      <c r="UDF49" s="66"/>
      <c r="UDG49" s="66"/>
      <c r="UDH49" s="66"/>
      <c r="UDI49" s="66"/>
      <c r="UDJ49" s="66"/>
      <c r="UDK49" s="66"/>
      <c r="UDL49" s="66"/>
      <c r="UDM49" s="66"/>
      <c r="UDN49" s="66"/>
      <c r="UDO49" s="66"/>
      <c r="UDP49" s="66"/>
      <c r="UDQ49" s="66"/>
      <c r="UDR49" s="66"/>
      <c r="UDS49" s="66"/>
      <c r="UDT49" s="66"/>
      <c r="UDU49" s="66"/>
      <c r="UDV49" s="66"/>
      <c r="UDW49" s="66"/>
      <c r="UDX49" s="66"/>
      <c r="UDY49" s="66"/>
      <c r="UDZ49" s="66"/>
      <c r="UEA49" s="66"/>
      <c r="UEB49" s="66"/>
      <c r="UEC49" s="66"/>
      <c r="UED49" s="66"/>
      <c r="UEE49" s="66"/>
      <c r="UEF49" s="66"/>
      <c r="UEG49" s="66"/>
      <c r="UEH49" s="66"/>
      <c r="UEI49" s="66"/>
      <c r="UEJ49" s="66"/>
      <c r="UEK49" s="66"/>
      <c r="UEL49" s="66"/>
      <c r="UEM49" s="66"/>
      <c r="UEN49" s="66"/>
      <c r="UEO49" s="66"/>
      <c r="UEP49" s="66"/>
      <c r="UEQ49" s="66"/>
      <c r="UER49" s="66"/>
      <c r="UES49" s="66"/>
      <c r="UET49" s="66"/>
      <c r="UEU49" s="66"/>
      <c r="UEV49" s="66"/>
      <c r="UEW49" s="66"/>
      <c r="UEX49" s="66"/>
      <c r="UEY49" s="66"/>
      <c r="UEZ49" s="66"/>
      <c r="UFA49" s="66"/>
      <c r="UFB49" s="66"/>
      <c r="UFC49" s="66"/>
      <c r="UFD49" s="66"/>
      <c r="UFE49" s="66"/>
      <c r="UFF49" s="66"/>
      <c r="UFG49" s="66"/>
      <c r="UFH49" s="66"/>
      <c r="UFI49" s="66"/>
      <c r="UFJ49" s="66"/>
      <c r="UFK49" s="66"/>
      <c r="UFL49" s="66"/>
      <c r="UFM49" s="66"/>
      <c r="UFN49" s="66"/>
      <c r="UFO49" s="66"/>
      <c r="UFP49" s="66"/>
      <c r="UFQ49" s="66"/>
      <c r="UFR49" s="66"/>
      <c r="UFS49" s="66"/>
      <c r="UFT49" s="66"/>
      <c r="UFU49" s="66"/>
      <c r="UFV49" s="66"/>
      <c r="UFW49" s="66"/>
      <c r="UFX49" s="66"/>
      <c r="UFY49" s="66"/>
      <c r="UFZ49" s="66"/>
      <c r="UGA49" s="66"/>
      <c r="UGB49" s="66"/>
      <c r="UGC49" s="66"/>
      <c r="UGD49" s="66"/>
      <c r="UGE49" s="66"/>
      <c r="UGF49" s="66"/>
      <c r="UGG49" s="66"/>
      <c r="UGH49" s="66"/>
      <c r="UGI49" s="66"/>
      <c r="UGJ49" s="66"/>
      <c r="UGK49" s="66"/>
      <c r="UGL49" s="66"/>
      <c r="UGM49" s="66"/>
      <c r="UGN49" s="66"/>
      <c r="UGO49" s="66"/>
      <c r="UGP49" s="66"/>
      <c r="UGQ49" s="66"/>
      <c r="UGR49" s="66"/>
      <c r="UGS49" s="66"/>
      <c r="UGT49" s="66"/>
      <c r="UGU49" s="66"/>
      <c r="UGV49" s="66"/>
      <c r="UGW49" s="66"/>
      <c r="UGX49" s="66"/>
      <c r="UGY49" s="66"/>
      <c r="UGZ49" s="66"/>
      <c r="UHA49" s="66"/>
      <c r="UHB49" s="66"/>
      <c r="UHC49" s="66"/>
      <c r="UHD49" s="66"/>
      <c r="UHE49" s="66"/>
      <c r="UHF49" s="66"/>
      <c r="UHG49" s="66"/>
      <c r="UHH49" s="66"/>
      <c r="UHI49" s="66"/>
      <c r="UHJ49" s="66"/>
      <c r="UHK49" s="66"/>
      <c r="UHL49" s="66"/>
      <c r="UHM49" s="66"/>
      <c r="UHN49" s="66"/>
      <c r="UHO49" s="66"/>
      <c r="UHP49" s="66"/>
      <c r="UHQ49" s="66"/>
      <c r="UHR49" s="66"/>
      <c r="UHS49" s="66"/>
      <c r="UHT49" s="66"/>
      <c r="UHU49" s="66"/>
      <c r="UHV49" s="66"/>
      <c r="UHW49" s="66"/>
      <c r="UHX49" s="66"/>
      <c r="UHY49" s="66"/>
      <c r="UHZ49" s="66"/>
      <c r="UIA49" s="66"/>
      <c r="UIB49" s="66"/>
      <c r="UIC49" s="66"/>
      <c r="UID49" s="66"/>
      <c r="UIE49" s="66"/>
      <c r="UIF49" s="66"/>
      <c r="UIG49" s="66"/>
      <c r="UIH49" s="66"/>
      <c r="UII49" s="66"/>
      <c r="UIJ49" s="66"/>
      <c r="UIK49" s="66"/>
      <c r="UIL49" s="66"/>
      <c r="UIM49" s="66"/>
      <c r="UIN49" s="66"/>
      <c r="UIO49" s="66"/>
      <c r="UIP49" s="66"/>
      <c r="UIQ49" s="66"/>
      <c r="UIR49" s="66"/>
      <c r="UIS49" s="66"/>
      <c r="UIT49" s="66"/>
      <c r="UIU49" s="66"/>
      <c r="UIV49" s="66"/>
      <c r="UIW49" s="66"/>
      <c r="UIX49" s="66"/>
      <c r="UIY49" s="66"/>
      <c r="UIZ49" s="66"/>
      <c r="UJA49" s="66"/>
      <c r="UJB49" s="66"/>
      <c r="UJC49" s="66"/>
      <c r="UJD49" s="66"/>
      <c r="UJE49" s="66"/>
      <c r="UJF49" s="66"/>
      <c r="UJG49" s="66"/>
      <c r="UJH49" s="66"/>
      <c r="UJI49" s="66"/>
      <c r="UJJ49" s="66"/>
      <c r="UJK49" s="66"/>
      <c r="UJL49" s="66"/>
      <c r="UJM49" s="66"/>
      <c r="UJN49" s="66"/>
      <c r="UJO49" s="66"/>
      <c r="UJP49" s="66"/>
      <c r="UJQ49" s="66"/>
      <c r="UJR49" s="66"/>
      <c r="UJS49" s="66"/>
      <c r="UJT49" s="66"/>
      <c r="UJU49" s="66"/>
      <c r="UJV49" s="66"/>
      <c r="UJW49" s="66"/>
      <c r="UJX49" s="66"/>
      <c r="UJY49" s="66"/>
      <c r="UJZ49" s="66"/>
      <c r="UKA49" s="66"/>
      <c r="UKB49" s="66"/>
      <c r="UKC49" s="66"/>
      <c r="UKD49" s="66"/>
      <c r="UKE49" s="66"/>
      <c r="UKF49" s="66"/>
      <c r="UKG49" s="66"/>
      <c r="UKH49" s="66"/>
      <c r="UKI49" s="66"/>
      <c r="UKJ49" s="66"/>
      <c r="UKK49" s="66"/>
      <c r="UKL49" s="66"/>
      <c r="UKM49" s="66"/>
      <c r="UKN49" s="66"/>
      <c r="UKO49" s="66"/>
      <c r="UKP49" s="66"/>
      <c r="UKQ49" s="66"/>
      <c r="UKR49" s="66"/>
      <c r="UKS49" s="66"/>
      <c r="UKT49" s="66"/>
      <c r="UKU49" s="66"/>
      <c r="UKV49" s="66"/>
      <c r="UKW49" s="66"/>
      <c r="UKX49" s="66"/>
      <c r="UKY49" s="66"/>
      <c r="UKZ49" s="66"/>
      <c r="ULA49" s="66"/>
      <c r="ULB49" s="66"/>
      <c r="ULC49" s="66"/>
      <c r="ULD49" s="66"/>
      <c r="ULE49" s="66"/>
      <c r="ULF49" s="66"/>
      <c r="ULG49" s="66"/>
      <c r="ULH49" s="66"/>
      <c r="ULI49" s="66"/>
      <c r="ULJ49" s="66"/>
      <c r="ULK49" s="66"/>
      <c r="ULL49" s="66"/>
      <c r="ULM49" s="66"/>
      <c r="ULN49" s="66"/>
      <c r="ULO49" s="66"/>
      <c r="ULP49" s="66"/>
      <c r="ULQ49" s="66"/>
      <c r="ULR49" s="66"/>
      <c r="ULS49" s="66"/>
      <c r="ULT49" s="66"/>
      <c r="ULU49" s="66"/>
      <c r="ULV49" s="66"/>
      <c r="ULW49" s="66"/>
      <c r="ULX49" s="66"/>
      <c r="ULY49" s="66"/>
      <c r="ULZ49" s="66"/>
      <c r="UMA49" s="66"/>
      <c r="UMB49" s="66"/>
      <c r="UMC49" s="66"/>
      <c r="UMD49" s="66"/>
      <c r="UME49" s="66"/>
      <c r="UMF49" s="66"/>
      <c r="UMG49" s="66"/>
      <c r="UMH49" s="66"/>
      <c r="UMI49" s="66"/>
      <c r="UMJ49" s="66"/>
      <c r="UMK49" s="66"/>
      <c r="UML49" s="66"/>
      <c r="UMM49" s="66"/>
      <c r="UMN49" s="66"/>
      <c r="UMO49" s="66"/>
      <c r="UMP49" s="66"/>
      <c r="UMQ49" s="66"/>
      <c r="UMR49" s="66"/>
      <c r="UMS49" s="66"/>
      <c r="UMT49" s="66"/>
      <c r="UMU49" s="66"/>
      <c r="UMV49" s="66"/>
      <c r="UMW49" s="66"/>
      <c r="UMX49" s="66"/>
      <c r="UMY49" s="66"/>
      <c r="UMZ49" s="66"/>
      <c r="UNA49" s="66"/>
      <c r="UNB49" s="66"/>
      <c r="UNC49" s="66"/>
      <c r="UND49" s="66"/>
      <c r="UNE49" s="66"/>
      <c r="UNF49" s="66"/>
      <c r="UNG49" s="66"/>
      <c r="UNH49" s="66"/>
      <c r="UNI49" s="66"/>
      <c r="UNJ49" s="66"/>
      <c r="UNK49" s="66"/>
      <c r="UNL49" s="66"/>
      <c r="UNM49" s="66"/>
      <c r="UNN49" s="66"/>
      <c r="UNO49" s="66"/>
      <c r="UNP49" s="66"/>
      <c r="UNQ49" s="66"/>
      <c r="UNR49" s="66"/>
      <c r="UNS49" s="66"/>
      <c r="UNT49" s="66"/>
      <c r="UNU49" s="66"/>
      <c r="UNV49" s="66"/>
      <c r="UNW49" s="66"/>
      <c r="UNX49" s="66"/>
      <c r="UNY49" s="66"/>
      <c r="UNZ49" s="66"/>
      <c r="UOA49" s="66"/>
      <c r="UOB49" s="66"/>
      <c r="UOC49" s="66"/>
      <c r="UOD49" s="66"/>
      <c r="UOE49" s="66"/>
      <c r="UOF49" s="66"/>
      <c r="UOG49" s="66"/>
      <c r="UOH49" s="66"/>
      <c r="UOI49" s="66"/>
      <c r="UOJ49" s="66"/>
      <c r="UOK49" s="66"/>
      <c r="UOL49" s="66"/>
      <c r="UOM49" s="66"/>
      <c r="UON49" s="66"/>
      <c r="UOO49" s="66"/>
      <c r="UOP49" s="66"/>
      <c r="UOQ49" s="66"/>
      <c r="UOR49" s="66"/>
      <c r="UOS49" s="66"/>
      <c r="UOT49" s="66"/>
      <c r="UOU49" s="66"/>
      <c r="UOV49" s="66"/>
      <c r="UOW49" s="66"/>
      <c r="UOX49" s="66"/>
      <c r="UOY49" s="66"/>
      <c r="UOZ49" s="66"/>
      <c r="UPA49" s="66"/>
      <c r="UPB49" s="66"/>
      <c r="UPC49" s="66"/>
      <c r="UPD49" s="66"/>
      <c r="UPE49" s="66"/>
      <c r="UPF49" s="66"/>
      <c r="UPG49" s="66"/>
      <c r="UPH49" s="66"/>
      <c r="UPI49" s="66"/>
      <c r="UPJ49" s="66"/>
      <c r="UPK49" s="66"/>
      <c r="UPL49" s="66"/>
      <c r="UPM49" s="66"/>
      <c r="UPN49" s="66"/>
      <c r="UPO49" s="66"/>
      <c r="UPP49" s="66"/>
      <c r="UPQ49" s="66"/>
      <c r="UPR49" s="66"/>
      <c r="UPS49" s="66"/>
      <c r="UPT49" s="66"/>
      <c r="UPU49" s="66"/>
      <c r="UPV49" s="66"/>
      <c r="UPW49" s="66"/>
      <c r="UPX49" s="66"/>
      <c r="UPY49" s="66"/>
      <c r="UPZ49" s="66"/>
      <c r="UQA49" s="66"/>
      <c r="UQB49" s="66"/>
      <c r="UQC49" s="66"/>
      <c r="UQD49" s="66"/>
      <c r="UQE49" s="66"/>
      <c r="UQF49" s="66"/>
      <c r="UQG49" s="66"/>
      <c r="UQH49" s="66"/>
      <c r="UQI49" s="66"/>
      <c r="UQJ49" s="66"/>
      <c r="UQK49" s="66"/>
      <c r="UQL49" s="66"/>
      <c r="UQM49" s="66"/>
      <c r="UQN49" s="66"/>
      <c r="UQO49" s="66"/>
      <c r="UQP49" s="66"/>
      <c r="UQQ49" s="66"/>
      <c r="UQR49" s="66"/>
      <c r="UQS49" s="66"/>
      <c r="UQT49" s="66"/>
      <c r="UQU49" s="66"/>
      <c r="UQV49" s="66"/>
      <c r="UQW49" s="66"/>
      <c r="UQX49" s="66"/>
      <c r="UQY49" s="66"/>
      <c r="UQZ49" s="66"/>
      <c r="URA49" s="66"/>
      <c r="URB49" s="66"/>
      <c r="URC49" s="66"/>
      <c r="URD49" s="66"/>
      <c r="URE49" s="66"/>
      <c r="URF49" s="66"/>
      <c r="URG49" s="66"/>
      <c r="URH49" s="66"/>
      <c r="URI49" s="66"/>
      <c r="URJ49" s="66"/>
      <c r="URK49" s="66"/>
      <c r="URL49" s="66"/>
      <c r="URM49" s="66"/>
      <c r="URN49" s="66"/>
      <c r="URO49" s="66"/>
      <c r="URP49" s="66"/>
      <c r="URQ49" s="66"/>
      <c r="URR49" s="66"/>
      <c r="URS49" s="66"/>
      <c r="URT49" s="66"/>
      <c r="URU49" s="66"/>
      <c r="URV49" s="66"/>
      <c r="URW49" s="66"/>
      <c r="URX49" s="66"/>
      <c r="URY49" s="66"/>
      <c r="URZ49" s="66"/>
      <c r="USA49" s="66"/>
      <c r="USB49" s="66"/>
      <c r="USC49" s="66"/>
      <c r="USD49" s="66"/>
      <c r="USE49" s="66"/>
      <c r="USF49" s="66"/>
      <c r="USG49" s="66"/>
      <c r="USH49" s="66"/>
      <c r="USI49" s="66"/>
      <c r="USJ49" s="66"/>
      <c r="USK49" s="66"/>
      <c r="USL49" s="66"/>
      <c r="USM49" s="66"/>
      <c r="USN49" s="66"/>
      <c r="USO49" s="66"/>
      <c r="USP49" s="66"/>
      <c r="USQ49" s="66"/>
      <c r="USR49" s="66"/>
      <c r="USS49" s="66"/>
      <c r="UST49" s="66"/>
      <c r="USU49" s="66"/>
      <c r="USV49" s="66"/>
      <c r="USW49" s="66"/>
      <c r="USX49" s="66"/>
      <c r="USY49" s="66"/>
      <c r="USZ49" s="66"/>
      <c r="UTA49" s="66"/>
      <c r="UTB49" s="66"/>
      <c r="UTC49" s="66"/>
      <c r="UTD49" s="66"/>
      <c r="UTE49" s="66"/>
      <c r="UTF49" s="66"/>
      <c r="UTG49" s="66"/>
      <c r="UTH49" s="66"/>
      <c r="UTI49" s="66"/>
      <c r="UTJ49" s="66"/>
      <c r="UTK49" s="66"/>
      <c r="UTL49" s="66"/>
      <c r="UTM49" s="66"/>
      <c r="UTN49" s="66"/>
      <c r="UTO49" s="66"/>
      <c r="UTP49" s="66"/>
      <c r="UTQ49" s="66"/>
      <c r="UTR49" s="66"/>
      <c r="UTS49" s="66"/>
      <c r="UTT49" s="66"/>
      <c r="UTU49" s="66"/>
      <c r="UTV49" s="66"/>
      <c r="UTW49" s="66"/>
      <c r="UTX49" s="66"/>
      <c r="UTY49" s="66"/>
      <c r="UTZ49" s="66"/>
      <c r="UUA49" s="66"/>
      <c r="UUB49" s="66"/>
      <c r="UUC49" s="66"/>
      <c r="UUD49" s="66"/>
      <c r="UUE49" s="66"/>
      <c r="UUF49" s="66"/>
      <c r="UUG49" s="66"/>
      <c r="UUH49" s="66"/>
      <c r="UUI49" s="66"/>
      <c r="UUJ49" s="66"/>
      <c r="UUK49" s="66"/>
      <c r="UUL49" s="66"/>
      <c r="UUM49" s="66"/>
      <c r="UUN49" s="66"/>
      <c r="UUO49" s="66"/>
      <c r="UUP49" s="66"/>
      <c r="UUQ49" s="66"/>
      <c r="UUR49" s="66"/>
      <c r="UUS49" s="66"/>
      <c r="UUT49" s="66"/>
      <c r="UUU49" s="66"/>
      <c r="UUV49" s="66"/>
      <c r="UUW49" s="66"/>
      <c r="UUX49" s="66"/>
      <c r="UUY49" s="66"/>
      <c r="UUZ49" s="66"/>
      <c r="UVA49" s="66"/>
      <c r="UVB49" s="66"/>
      <c r="UVC49" s="66"/>
      <c r="UVD49" s="66"/>
      <c r="UVE49" s="66"/>
      <c r="UVF49" s="66"/>
      <c r="UVG49" s="66"/>
      <c r="UVH49" s="66"/>
      <c r="UVI49" s="66"/>
      <c r="UVJ49" s="66"/>
      <c r="UVK49" s="66"/>
      <c r="UVL49" s="66"/>
      <c r="UVM49" s="66"/>
      <c r="UVN49" s="66"/>
      <c r="UVO49" s="66"/>
      <c r="UVP49" s="66"/>
      <c r="UVQ49" s="66"/>
      <c r="UVR49" s="66"/>
      <c r="UVS49" s="66"/>
      <c r="UVT49" s="66"/>
      <c r="UVU49" s="66"/>
      <c r="UVV49" s="66"/>
      <c r="UVW49" s="66"/>
      <c r="UVX49" s="66"/>
      <c r="UVY49" s="66"/>
      <c r="UVZ49" s="66"/>
      <c r="UWA49" s="66"/>
      <c r="UWB49" s="66"/>
      <c r="UWC49" s="66"/>
      <c r="UWD49" s="66"/>
      <c r="UWE49" s="66"/>
      <c r="UWF49" s="66"/>
      <c r="UWG49" s="66"/>
      <c r="UWH49" s="66"/>
      <c r="UWI49" s="66"/>
      <c r="UWJ49" s="66"/>
      <c r="UWK49" s="66"/>
      <c r="UWL49" s="66"/>
      <c r="UWM49" s="66"/>
      <c r="UWN49" s="66"/>
      <c r="UWO49" s="66"/>
      <c r="UWP49" s="66"/>
      <c r="UWQ49" s="66"/>
      <c r="UWR49" s="66"/>
      <c r="UWS49" s="66"/>
      <c r="UWT49" s="66"/>
      <c r="UWU49" s="66"/>
      <c r="UWV49" s="66"/>
      <c r="UWW49" s="66"/>
      <c r="UWX49" s="66"/>
      <c r="UWY49" s="66"/>
      <c r="UWZ49" s="66"/>
      <c r="UXA49" s="66"/>
      <c r="UXB49" s="66"/>
      <c r="UXC49" s="66"/>
      <c r="UXD49" s="66"/>
      <c r="UXE49" s="66"/>
      <c r="UXF49" s="66"/>
      <c r="UXG49" s="66"/>
      <c r="UXH49" s="66"/>
      <c r="UXI49" s="66"/>
      <c r="UXJ49" s="66"/>
      <c r="UXK49" s="66"/>
      <c r="UXL49" s="66"/>
      <c r="UXM49" s="66"/>
      <c r="UXN49" s="66"/>
      <c r="UXO49" s="66"/>
      <c r="UXP49" s="66"/>
      <c r="UXQ49" s="66"/>
      <c r="UXR49" s="66"/>
      <c r="UXS49" s="66"/>
      <c r="UXT49" s="66"/>
      <c r="UXU49" s="66"/>
      <c r="UXV49" s="66"/>
      <c r="UXW49" s="66"/>
      <c r="UXX49" s="66"/>
      <c r="UXY49" s="66"/>
      <c r="UXZ49" s="66"/>
      <c r="UYA49" s="66"/>
      <c r="UYB49" s="66"/>
      <c r="UYC49" s="66"/>
      <c r="UYD49" s="66"/>
      <c r="UYE49" s="66"/>
      <c r="UYF49" s="66"/>
      <c r="UYG49" s="66"/>
      <c r="UYH49" s="66"/>
      <c r="UYI49" s="66"/>
      <c r="UYJ49" s="66"/>
      <c r="UYK49" s="66"/>
      <c r="UYL49" s="66"/>
      <c r="UYM49" s="66"/>
      <c r="UYN49" s="66"/>
      <c r="UYO49" s="66"/>
      <c r="UYP49" s="66"/>
      <c r="UYQ49" s="66"/>
      <c r="UYR49" s="66"/>
      <c r="UYS49" s="66"/>
      <c r="UYT49" s="66"/>
      <c r="UYU49" s="66"/>
      <c r="UYV49" s="66"/>
      <c r="UYW49" s="66"/>
      <c r="UYX49" s="66"/>
      <c r="UYY49" s="66"/>
      <c r="UYZ49" s="66"/>
      <c r="UZA49" s="66"/>
      <c r="UZB49" s="66"/>
      <c r="UZC49" s="66"/>
      <c r="UZD49" s="66"/>
      <c r="UZE49" s="66"/>
      <c r="UZF49" s="66"/>
      <c r="UZG49" s="66"/>
      <c r="UZH49" s="66"/>
      <c r="UZI49" s="66"/>
      <c r="UZJ49" s="66"/>
      <c r="UZK49" s="66"/>
      <c r="UZL49" s="66"/>
      <c r="UZM49" s="66"/>
      <c r="UZN49" s="66"/>
      <c r="UZO49" s="66"/>
      <c r="UZP49" s="66"/>
      <c r="UZQ49" s="66"/>
      <c r="UZR49" s="66"/>
      <c r="UZS49" s="66"/>
      <c r="UZT49" s="66"/>
      <c r="UZU49" s="66"/>
      <c r="UZV49" s="66"/>
      <c r="UZW49" s="66"/>
      <c r="UZX49" s="66"/>
      <c r="UZY49" s="66"/>
      <c r="UZZ49" s="66"/>
      <c r="VAA49" s="66"/>
      <c r="VAB49" s="66"/>
      <c r="VAC49" s="66"/>
      <c r="VAD49" s="66"/>
      <c r="VAE49" s="66"/>
      <c r="VAF49" s="66"/>
      <c r="VAG49" s="66"/>
      <c r="VAH49" s="66"/>
      <c r="VAI49" s="66"/>
      <c r="VAJ49" s="66"/>
      <c r="VAK49" s="66"/>
      <c r="VAL49" s="66"/>
      <c r="VAM49" s="66"/>
      <c r="VAN49" s="66"/>
      <c r="VAO49" s="66"/>
      <c r="VAP49" s="66"/>
      <c r="VAQ49" s="66"/>
      <c r="VAR49" s="66"/>
      <c r="VAS49" s="66"/>
      <c r="VAT49" s="66"/>
      <c r="VAU49" s="66"/>
      <c r="VAV49" s="66"/>
      <c r="VAW49" s="66"/>
      <c r="VAX49" s="66"/>
      <c r="VAY49" s="66"/>
      <c r="VAZ49" s="66"/>
      <c r="VBA49" s="66"/>
      <c r="VBB49" s="66"/>
      <c r="VBC49" s="66"/>
      <c r="VBD49" s="66"/>
      <c r="VBE49" s="66"/>
      <c r="VBF49" s="66"/>
      <c r="VBG49" s="66"/>
      <c r="VBH49" s="66"/>
      <c r="VBI49" s="66"/>
      <c r="VBJ49" s="66"/>
      <c r="VBK49" s="66"/>
      <c r="VBL49" s="66"/>
      <c r="VBM49" s="66"/>
      <c r="VBN49" s="66"/>
      <c r="VBO49" s="66"/>
      <c r="VBP49" s="66"/>
      <c r="VBQ49" s="66"/>
      <c r="VBR49" s="66"/>
      <c r="VBS49" s="66"/>
      <c r="VBT49" s="66"/>
      <c r="VBU49" s="66"/>
      <c r="VBV49" s="66"/>
      <c r="VBW49" s="66"/>
      <c r="VBX49" s="66"/>
      <c r="VBY49" s="66"/>
      <c r="VBZ49" s="66"/>
      <c r="VCA49" s="66"/>
      <c r="VCB49" s="66"/>
      <c r="VCC49" s="66"/>
      <c r="VCD49" s="66"/>
      <c r="VCE49" s="66"/>
      <c r="VCF49" s="66"/>
      <c r="VCG49" s="66"/>
      <c r="VCH49" s="66"/>
      <c r="VCI49" s="66"/>
      <c r="VCJ49" s="66"/>
      <c r="VCK49" s="66"/>
      <c r="VCL49" s="66"/>
      <c r="VCM49" s="66"/>
      <c r="VCN49" s="66"/>
      <c r="VCO49" s="66"/>
      <c r="VCP49" s="66"/>
      <c r="VCQ49" s="66"/>
      <c r="VCR49" s="66"/>
      <c r="VCS49" s="66"/>
      <c r="VCT49" s="66"/>
      <c r="VCU49" s="66"/>
      <c r="VCV49" s="66"/>
      <c r="VCW49" s="66"/>
      <c r="VCX49" s="66"/>
      <c r="VCY49" s="66"/>
      <c r="VCZ49" s="66"/>
      <c r="VDA49" s="66"/>
      <c r="VDB49" s="66"/>
      <c r="VDC49" s="66"/>
      <c r="VDD49" s="66"/>
      <c r="VDE49" s="66"/>
      <c r="VDF49" s="66"/>
      <c r="VDG49" s="66"/>
      <c r="VDH49" s="66"/>
      <c r="VDI49" s="66"/>
      <c r="VDJ49" s="66"/>
      <c r="VDK49" s="66"/>
      <c r="VDL49" s="66"/>
      <c r="VDM49" s="66"/>
      <c r="VDN49" s="66"/>
      <c r="VDO49" s="66"/>
      <c r="VDP49" s="66"/>
      <c r="VDQ49" s="66"/>
      <c r="VDR49" s="66"/>
      <c r="VDS49" s="66"/>
      <c r="VDT49" s="66"/>
      <c r="VDU49" s="66"/>
      <c r="VDV49" s="66"/>
      <c r="VDW49" s="66"/>
      <c r="VDX49" s="66"/>
      <c r="VDY49" s="66"/>
      <c r="VDZ49" s="66"/>
      <c r="VEA49" s="66"/>
      <c r="VEB49" s="66"/>
      <c r="VEC49" s="66"/>
      <c r="VED49" s="66"/>
      <c r="VEE49" s="66"/>
      <c r="VEF49" s="66"/>
      <c r="VEG49" s="66"/>
      <c r="VEH49" s="66"/>
      <c r="VEI49" s="66"/>
      <c r="VEJ49" s="66"/>
      <c r="VEK49" s="66"/>
      <c r="VEL49" s="66"/>
      <c r="VEM49" s="66"/>
      <c r="VEN49" s="66"/>
      <c r="VEO49" s="66"/>
      <c r="VEP49" s="66"/>
      <c r="VEQ49" s="66"/>
      <c r="VER49" s="66"/>
      <c r="VES49" s="66"/>
      <c r="VET49" s="66"/>
      <c r="VEU49" s="66"/>
      <c r="VEV49" s="66"/>
      <c r="VEW49" s="66"/>
      <c r="VEX49" s="66"/>
      <c r="VEY49" s="66"/>
      <c r="VEZ49" s="66"/>
      <c r="VFA49" s="66"/>
      <c r="VFB49" s="66"/>
      <c r="VFC49" s="66"/>
      <c r="VFD49" s="66"/>
      <c r="VFE49" s="66"/>
      <c r="VFF49" s="66"/>
      <c r="VFG49" s="66"/>
      <c r="VFH49" s="66"/>
      <c r="VFI49" s="66"/>
      <c r="VFJ49" s="66"/>
      <c r="VFK49" s="66"/>
      <c r="VFL49" s="66"/>
      <c r="VFM49" s="66"/>
      <c r="VFN49" s="66"/>
      <c r="VFO49" s="66"/>
      <c r="VFP49" s="66"/>
      <c r="VFQ49" s="66"/>
      <c r="VFR49" s="66"/>
      <c r="VFS49" s="66"/>
      <c r="VFT49" s="66"/>
      <c r="VFU49" s="66"/>
      <c r="VFV49" s="66"/>
      <c r="VFW49" s="66"/>
      <c r="VFX49" s="66"/>
      <c r="VFY49" s="66"/>
      <c r="VFZ49" s="66"/>
      <c r="VGA49" s="66"/>
      <c r="VGB49" s="66"/>
      <c r="VGC49" s="66"/>
      <c r="VGD49" s="66"/>
      <c r="VGE49" s="66"/>
      <c r="VGF49" s="66"/>
      <c r="VGG49" s="66"/>
      <c r="VGH49" s="66"/>
      <c r="VGI49" s="66"/>
      <c r="VGJ49" s="66"/>
      <c r="VGK49" s="66"/>
      <c r="VGL49" s="66"/>
      <c r="VGM49" s="66"/>
      <c r="VGN49" s="66"/>
      <c r="VGO49" s="66"/>
      <c r="VGP49" s="66"/>
      <c r="VGQ49" s="66"/>
      <c r="VGR49" s="66"/>
      <c r="VGS49" s="66"/>
      <c r="VGT49" s="66"/>
      <c r="VGU49" s="66"/>
      <c r="VGV49" s="66"/>
      <c r="VGW49" s="66"/>
      <c r="VGX49" s="66"/>
      <c r="VGY49" s="66"/>
      <c r="VGZ49" s="66"/>
      <c r="VHA49" s="66"/>
      <c r="VHB49" s="66"/>
      <c r="VHC49" s="66"/>
      <c r="VHD49" s="66"/>
      <c r="VHE49" s="66"/>
      <c r="VHF49" s="66"/>
      <c r="VHG49" s="66"/>
      <c r="VHH49" s="66"/>
      <c r="VHI49" s="66"/>
      <c r="VHJ49" s="66"/>
      <c r="VHK49" s="66"/>
      <c r="VHL49" s="66"/>
      <c r="VHM49" s="66"/>
      <c r="VHN49" s="66"/>
      <c r="VHO49" s="66"/>
      <c r="VHP49" s="66"/>
      <c r="VHQ49" s="66"/>
      <c r="VHR49" s="66"/>
      <c r="VHS49" s="66"/>
      <c r="VHT49" s="66"/>
      <c r="VHU49" s="66"/>
      <c r="VHV49" s="66"/>
      <c r="VHW49" s="66"/>
      <c r="VHX49" s="66"/>
      <c r="VHY49" s="66"/>
      <c r="VHZ49" s="66"/>
      <c r="VIA49" s="66"/>
      <c r="VIB49" s="66"/>
      <c r="VIC49" s="66"/>
      <c r="VID49" s="66"/>
      <c r="VIE49" s="66"/>
      <c r="VIF49" s="66"/>
      <c r="VIG49" s="66"/>
      <c r="VIH49" s="66"/>
      <c r="VII49" s="66"/>
      <c r="VIJ49" s="66"/>
      <c r="VIK49" s="66"/>
      <c r="VIL49" s="66"/>
      <c r="VIM49" s="66"/>
      <c r="VIN49" s="66"/>
      <c r="VIO49" s="66"/>
      <c r="VIP49" s="66"/>
      <c r="VIQ49" s="66"/>
      <c r="VIR49" s="66"/>
      <c r="VIS49" s="66"/>
      <c r="VIT49" s="66"/>
      <c r="VIU49" s="66"/>
      <c r="VIV49" s="66"/>
      <c r="VIW49" s="66"/>
      <c r="VIX49" s="66"/>
      <c r="VIY49" s="66"/>
      <c r="VIZ49" s="66"/>
      <c r="VJA49" s="66"/>
      <c r="VJB49" s="66"/>
      <c r="VJC49" s="66"/>
      <c r="VJD49" s="66"/>
      <c r="VJE49" s="66"/>
      <c r="VJF49" s="66"/>
      <c r="VJG49" s="66"/>
      <c r="VJH49" s="66"/>
      <c r="VJI49" s="66"/>
      <c r="VJJ49" s="66"/>
      <c r="VJK49" s="66"/>
      <c r="VJL49" s="66"/>
      <c r="VJM49" s="66"/>
      <c r="VJN49" s="66"/>
      <c r="VJO49" s="66"/>
      <c r="VJP49" s="66"/>
      <c r="VJQ49" s="66"/>
      <c r="VJR49" s="66"/>
      <c r="VJS49" s="66"/>
      <c r="VJT49" s="66"/>
      <c r="VJU49" s="66"/>
      <c r="VJV49" s="66"/>
      <c r="VJW49" s="66"/>
      <c r="VJX49" s="66"/>
      <c r="VJY49" s="66"/>
      <c r="VJZ49" s="66"/>
      <c r="VKA49" s="66"/>
      <c r="VKB49" s="66"/>
      <c r="VKC49" s="66"/>
      <c r="VKD49" s="66"/>
      <c r="VKE49" s="66"/>
      <c r="VKF49" s="66"/>
      <c r="VKG49" s="66"/>
      <c r="VKH49" s="66"/>
      <c r="VKI49" s="66"/>
      <c r="VKJ49" s="66"/>
      <c r="VKK49" s="66"/>
      <c r="VKL49" s="66"/>
      <c r="VKM49" s="66"/>
      <c r="VKN49" s="66"/>
      <c r="VKO49" s="66"/>
      <c r="VKP49" s="66"/>
      <c r="VKQ49" s="66"/>
      <c r="VKR49" s="66"/>
      <c r="VKS49" s="66"/>
      <c r="VKT49" s="66"/>
      <c r="VKU49" s="66"/>
      <c r="VKV49" s="66"/>
      <c r="VKW49" s="66"/>
      <c r="VKX49" s="66"/>
      <c r="VKY49" s="66"/>
      <c r="VKZ49" s="66"/>
      <c r="VLA49" s="66"/>
      <c r="VLB49" s="66"/>
      <c r="VLC49" s="66"/>
      <c r="VLD49" s="66"/>
      <c r="VLE49" s="66"/>
      <c r="VLF49" s="66"/>
      <c r="VLG49" s="66"/>
      <c r="VLH49" s="66"/>
      <c r="VLI49" s="66"/>
      <c r="VLJ49" s="66"/>
      <c r="VLK49" s="66"/>
      <c r="VLL49" s="66"/>
      <c r="VLM49" s="66"/>
      <c r="VLN49" s="66"/>
      <c r="VLO49" s="66"/>
      <c r="VLP49" s="66"/>
      <c r="VLQ49" s="66"/>
      <c r="VLR49" s="66"/>
      <c r="VLS49" s="66"/>
      <c r="VLT49" s="66"/>
      <c r="VLU49" s="66"/>
      <c r="VLV49" s="66"/>
      <c r="VLW49" s="66"/>
      <c r="VLX49" s="66"/>
      <c r="VLY49" s="66"/>
      <c r="VLZ49" s="66"/>
      <c r="VMA49" s="66"/>
      <c r="VMB49" s="66"/>
      <c r="VMC49" s="66"/>
      <c r="VMD49" s="66"/>
      <c r="VME49" s="66"/>
      <c r="VMF49" s="66"/>
      <c r="VMG49" s="66"/>
      <c r="VMH49" s="66"/>
      <c r="VMI49" s="66"/>
      <c r="VMJ49" s="66"/>
      <c r="VMK49" s="66"/>
      <c r="VML49" s="66"/>
      <c r="VMM49" s="66"/>
      <c r="VMN49" s="66"/>
      <c r="VMO49" s="66"/>
      <c r="VMP49" s="66"/>
      <c r="VMQ49" s="66"/>
      <c r="VMR49" s="66"/>
      <c r="VMS49" s="66"/>
      <c r="VMT49" s="66"/>
      <c r="VMU49" s="66"/>
      <c r="VMV49" s="66"/>
      <c r="VMW49" s="66"/>
      <c r="VMX49" s="66"/>
      <c r="VMY49" s="66"/>
      <c r="VMZ49" s="66"/>
      <c r="VNA49" s="66"/>
      <c r="VNB49" s="66"/>
      <c r="VNC49" s="66"/>
      <c r="VND49" s="66"/>
      <c r="VNE49" s="66"/>
      <c r="VNF49" s="66"/>
      <c r="VNG49" s="66"/>
      <c r="VNH49" s="66"/>
      <c r="VNI49" s="66"/>
      <c r="VNJ49" s="66"/>
      <c r="VNK49" s="66"/>
      <c r="VNL49" s="66"/>
      <c r="VNM49" s="66"/>
      <c r="VNN49" s="66"/>
      <c r="VNO49" s="66"/>
      <c r="VNP49" s="66"/>
      <c r="VNQ49" s="66"/>
      <c r="VNR49" s="66"/>
      <c r="VNS49" s="66"/>
      <c r="VNT49" s="66"/>
      <c r="VNU49" s="66"/>
      <c r="VNV49" s="66"/>
      <c r="VNW49" s="66"/>
      <c r="VNX49" s="66"/>
      <c r="VNY49" s="66"/>
      <c r="VNZ49" s="66"/>
      <c r="VOA49" s="66"/>
      <c r="VOB49" s="66"/>
      <c r="VOC49" s="66"/>
      <c r="VOD49" s="66"/>
      <c r="VOE49" s="66"/>
      <c r="VOF49" s="66"/>
      <c r="VOG49" s="66"/>
      <c r="VOH49" s="66"/>
      <c r="VOI49" s="66"/>
      <c r="VOJ49" s="66"/>
      <c r="VOK49" s="66"/>
      <c r="VOL49" s="66"/>
      <c r="VOM49" s="66"/>
      <c r="VON49" s="66"/>
      <c r="VOO49" s="66"/>
      <c r="VOP49" s="66"/>
      <c r="VOQ49" s="66"/>
      <c r="VOR49" s="66"/>
      <c r="VOS49" s="66"/>
      <c r="VOT49" s="66"/>
      <c r="VOU49" s="66"/>
      <c r="VOV49" s="66"/>
      <c r="VOW49" s="66"/>
      <c r="VOX49" s="66"/>
      <c r="VOY49" s="66"/>
      <c r="VOZ49" s="66"/>
      <c r="VPA49" s="66"/>
      <c r="VPB49" s="66"/>
      <c r="VPC49" s="66"/>
      <c r="VPD49" s="66"/>
      <c r="VPE49" s="66"/>
      <c r="VPF49" s="66"/>
      <c r="VPG49" s="66"/>
      <c r="VPH49" s="66"/>
      <c r="VPI49" s="66"/>
      <c r="VPJ49" s="66"/>
      <c r="VPK49" s="66"/>
      <c r="VPL49" s="66"/>
      <c r="VPM49" s="66"/>
      <c r="VPN49" s="66"/>
      <c r="VPO49" s="66"/>
      <c r="VPP49" s="66"/>
      <c r="VPQ49" s="66"/>
      <c r="VPR49" s="66"/>
      <c r="VPS49" s="66"/>
      <c r="VPT49" s="66"/>
      <c r="VPU49" s="66"/>
      <c r="VPV49" s="66"/>
      <c r="VPW49" s="66"/>
      <c r="VPX49" s="66"/>
      <c r="VPY49" s="66"/>
      <c r="VPZ49" s="66"/>
      <c r="VQA49" s="66"/>
      <c r="VQB49" s="66"/>
      <c r="VQC49" s="66"/>
      <c r="VQD49" s="66"/>
      <c r="VQE49" s="66"/>
      <c r="VQF49" s="66"/>
      <c r="VQG49" s="66"/>
      <c r="VQH49" s="66"/>
      <c r="VQI49" s="66"/>
      <c r="VQJ49" s="66"/>
      <c r="VQK49" s="66"/>
      <c r="VQL49" s="66"/>
      <c r="VQM49" s="66"/>
      <c r="VQN49" s="66"/>
      <c r="VQO49" s="66"/>
      <c r="VQP49" s="66"/>
      <c r="VQQ49" s="66"/>
      <c r="VQR49" s="66"/>
      <c r="VQS49" s="66"/>
      <c r="VQT49" s="66"/>
      <c r="VQU49" s="66"/>
      <c r="VQV49" s="66"/>
      <c r="VQW49" s="66"/>
      <c r="VQX49" s="66"/>
      <c r="VQY49" s="66"/>
      <c r="VQZ49" s="66"/>
      <c r="VRA49" s="66"/>
      <c r="VRB49" s="66"/>
      <c r="VRC49" s="66"/>
      <c r="VRD49" s="66"/>
      <c r="VRE49" s="66"/>
      <c r="VRF49" s="66"/>
      <c r="VRG49" s="66"/>
      <c r="VRH49" s="66"/>
      <c r="VRI49" s="66"/>
      <c r="VRJ49" s="66"/>
      <c r="VRK49" s="66"/>
      <c r="VRL49" s="66"/>
      <c r="VRM49" s="66"/>
      <c r="VRN49" s="66"/>
      <c r="VRO49" s="66"/>
      <c r="VRP49" s="66"/>
      <c r="VRQ49" s="66"/>
      <c r="VRR49" s="66"/>
      <c r="VRS49" s="66"/>
      <c r="VRT49" s="66"/>
      <c r="VRU49" s="66"/>
      <c r="VRV49" s="66"/>
      <c r="VRW49" s="66"/>
      <c r="VRX49" s="66"/>
      <c r="VRY49" s="66"/>
      <c r="VRZ49" s="66"/>
      <c r="VSA49" s="66"/>
      <c r="VSB49" s="66"/>
      <c r="VSC49" s="66"/>
      <c r="VSD49" s="66"/>
      <c r="VSE49" s="66"/>
      <c r="VSF49" s="66"/>
      <c r="VSG49" s="66"/>
      <c r="VSH49" s="66"/>
      <c r="VSI49" s="66"/>
      <c r="VSJ49" s="66"/>
      <c r="VSK49" s="66"/>
      <c r="VSL49" s="66"/>
      <c r="VSM49" s="66"/>
      <c r="VSN49" s="66"/>
      <c r="VSO49" s="66"/>
      <c r="VSP49" s="66"/>
      <c r="VSQ49" s="66"/>
      <c r="VSR49" s="66"/>
      <c r="VSS49" s="66"/>
      <c r="VST49" s="66"/>
      <c r="VSU49" s="66"/>
      <c r="VSV49" s="66"/>
      <c r="VSW49" s="66"/>
      <c r="VSX49" s="66"/>
      <c r="VSY49" s="66"/>
      <c r="VSZ49" s="66"/>
      <c r="VTA49" s="66"/>
      <c r="VTB49" s="66"/>
      <c r="VTC49" s="66"/>
      <c r="VTD49" s="66"/>
      <c r="VTE49" s="66"/>
      <c r="VTF49" s="66"/>
      <c r="VTG49" s="66"/>
      <c r="VTH49" s="66"/>
      <c r="VTI49" s="66"/>
      <c r="VTJ49" s="66"/>
      <c r="VTK49" s="66"/>
      <c r="VTL49" s="66"/>
      <c r="VTM49" s="66"/>
      <c r="VTN49" s="66"/>
      <c r="VTO49" s="66"/>
      <c r="VTP49" s="66"/>
      <c r="VTQ49" s="66"/>
      <c r="VTR49" s="66"/>
      <c r="VTS49" s="66"/>
      <c r="VTT49" s="66"/>
      <c r="VTU49" s="66"/>
      <c r="VTV49" s="66"/>
      <c r="VTW49" s="66"/>
      <c r="VTX49" s="66"/>
      <c r="VTY49" s="66"/>
      <c r="VTZ49" s="66"/>
      <c r="VUA49" s="66"/>
      <c r="VUB49" s="66"/>
      <c r="VUC49" s="66"/>
      <c r="VUD49" s="66"/>
      <c r="VUE49" s="66"/>
      <c r="VUF49" s="66"/>
      <c r="VUG49" s="66"/>
      <c r="VUH49" s="66"/>
      <c r="VUI49" s="66"/>
      <c r="VUJ49" s="66"/>
      <c r="VUK49" s="66"/>
      <c r="VUL49" s="66"/>
      <c r="VUM49" s="66"/>
      <c r="VUN49" s="66"/>
      <c r="VUO49" s="66"/>
      <c r="VUP49" s="66"/>
      <c r="VUQ49" s="66"/>
      <c r="VUR49" s="66"/>
      <c r="VUS49" s="66"/>
      <c r="VUT49" s="66"/>
      <c r="VUU49" s="66"/>
      <c r="VUV49" s="66"/>
      <c r="VUW49" s="66"/>
      <c r="VUX49" s="66"/>
      <c r="VUY49" s="66"/>
      <c r="VUZ49" s="66"/>
      <c r="VVA49" s="66"/>
      <c r="VVB49" s="66"/>
      <c r="VVC49" s="66"/>
      <c r="VVD49" s="66"/>
      <c r="VVE49" s="66"/>
      <c r="VVF49" s="66"/>
      <c r="VVG49" s="66"/>
      <c r="VVH49" s="66"/>
      <c r="VVI49" s="66"/>
      <c r="VVJ49" s="66"/>
      <c r="VVK49" s="66"/>
      <c r="VVL49" s="66"/>
      <c r="VVM49" s="66"/>
      <c r="VVN49" s="66"/>
      <c r="VVO49" s="66"/>
      <c r="VVP49" s="66"/>
      <c r="VVQ49" s="66"/>
      <c r="VVR49" s="66"/>
      <c r="VVS49" s="66"/>
      <c r="VVT49" s="66"/>
      <c r="VVU49" s="66"/>
      <c r="VVV49" s="66"/>
      <c r="VVW49" s="66"/>
      <c r="VVX49" s="66"/>
      <c r="VVY49" s="66"/>
      <c r="VVZ49" s="66"/>
      <c r="VWA49" s="66"/>
      <c r="VWB49" s="66"/>
      <c r="VWC49" s="66"/>
      <c r="VWD49" s="66"/>
      <c r="VWE49" s="66"/>
      <c r="VWF49" s="66"/>
      <c r="VWG49" s="66"/>
      <c r="VWH49" s="66"/>
      <c r="VWI49" s="66"/>
      <c r="VWJ49" s="66"/>
      <c r="VWK49" s="66"/>
      <c r="VWL49" s="66"/>
      <c r="VWM49" s="66"/>
      <c r="VWN49" s="66"/>
      <c r="VWO49" s="66"/>
      <c r="VWP49" s="66"/>
      <c r="VWQ49" s="66"/>
      <c r="VWR49" s="66"/>
      <c r="VWS49" s="66"/>
      <c r="VWT49" s="66"/>
      <c r="VWU49" s="66"/>
      <c r="VWV49" s="66"/>
      <c r="VWW49" s="66"/>
      <c r="VWX49" s="66"/>
      <c r="VWY49" s="66"/>
      <c r="VWZ49" s="66"/>
      <c r="VXA49" s="66"/>
      <c r="VXB49" s="66"/>
      <c r="VXC49" s="66"/>
      <c r="VXD49" s="66"/>
      <c r="VXE49" s="66"/>
      <c r="VXF49" s="66"/>
      <c r="VXG49" s="66"/>
      <c r="VXH49" s="66"/>
      <c r="VXI49" s="66"/>
      <c r="VXJ49" s="66"/>
      <c r="VXK49" s="66"/>
      <c r="VXL49" s="66"/>
      <c r="VXM49" s="66"/>
      <c r="VXN49" s="66"/>
      <c r="VXO49" s="66"/>
      <c r="VXP49" s="66"/>
      <c r="VXQ49" s="66"/>
      <c r="VXR49" s="66"/>
      <c r="VXS49" s="66"/>
      <c r="VXT49" s="66"/>
      <c r="VXU49" s="66"/>
      <c r="VXV49" s="66"/>
      <c r="VXW49" s="66"/>
      <c r="VXX49" s="66"/>
      <c r="VXY49" s="66"/>
      <c r="VXZ49" s="66"/>
      <c r="VYA49" s="66"/>
      <c r="VYB49" s="66"/>
      <c r="VYC49" s="66"/>
      <c r="VYD49" s="66"/>
      <c r="VYE49" s="66"/>
      <c r="VYF49" s="66"/>
      <c r="VYG49" s="66"/>
      <c r="VYH49" s="66"/>
      <c r="VYI49" s="66"/>
      <c r="VYJ49" s="66"/>
      <c r="VYK49" s="66"/>
      <c r="VYL49" s="66"/>
      <c r="VYM49" s="66"/>
      <c r="VYN49" s="66"/>
      <c r="VYO49" s="66"/>
      <c r="VYP49" s="66"/>
      <c r="VYQ49" s="66"/>
      <c r="VYR49" s="66"/>
      <c r="VYS49" s="66"/>
      <c r="VYT49" s="66"/>
      <c r="VYU49" s="66"/>
      <c r="VYV49" s="66"/>
      <c r="VYW49" s="66"/>
      <c r="VYX49" s="66"/>
      <c r="VYY49" s="66"/>
      <c r="VYZ49" s="66"/>
      <c r="VZA49" s="66"/>
      <c r="VZB49" s="66"/>
      <c r="VZC49" s="66"/>
      <c r="VZD49" s="66"/>
      <c r="VZE49" s="66"/>
      <c r="VZF49" s="66"/>
      <c r="VZG49" s="66"/>
      <c r="VZH49" s="66"/>
      <c r="VZI49" s="66"/>
      <c r="VZJ49" s="66"/>
      <c r="VZK49" s="66"/>
      <c r="VZL49" s="66"/>
      <c r="VZM49" s="66"/>
      <c r="VZN49" s="66"/>
      <c r="VZO49" s="66"/>
      <c r="VZP49" s="66"/>
      <c r="VZQ49" s="66"/>
      <c r="VZR49" s="66"/>
      <c r="VZS49" s="66"/>
      <c r="VZT49" s="66"/>
      <c r="VZU49" s="66"/>
      <c r="VZV49" s="66"/>
      <c r="VZW49" s="66"/>
      <c r="VZX49" s="66"/>
      <c r="VZY49" s="66"/>
      <c r="VZZ49" s="66"/>
      <c r="WAA49" s="66"/>
      <c r="WAB49" s="66"/>
      <c r="WAC49" s="66"/>
      <c r="WAD49" s="66"/>
      <c r="WAE49" s="66"/>
      <c r="WAF49" s="66"/>
      <c r="WAG49" s="66"/>
      <c r="WAH49" s="66"/>
      <c r="WAI49" s="66"/>
      <c r="WAJ49" s="66"/>
      <c r="WAK49" s="66"/>
      <c r="WAL49" s="66"/>
      <c r="WAM49" s="66"/>
      <c r="WAN49" s="66"/>
      <c r="WAO49" s="66"/>
      <c r="WAP49" s="66"/>
      <c r="WAQ49" s="66"/>
      <c r="WAR49" s="66"/>
      <c r="WAS49" s="66"/>
      <c r="WAT49" s="66"/>
      <c r="WAU49" s="66"/>
      <c r="WAV49" s="66"/>
      <c r="WAW49" s="66"/>
      <c r="WAX49" s="66"/>
      <c r="WAY49" s="66"/>
      <c r="WAZ49" s="66"/>
      <c r="WBA49" s="66"/>
      <c r="WBB49" s="66"/>
      <c r="WBC49" s="66"/>
      <c r="WBD49" s="66"/>
      <c r="WBE49" s="66"/>
      <c r="WBF49" s="66"/>
      <c r="WBG49" s="66"/>
      <c r="WBH49" s="66"/>
      <c r="WBI49" s="66"/>
      <c r="WBJ49" s="66"/>
      <c r="WBK49" s="66"/>
      <c r="WBL49" s="66"/>
      <c r="WBM49" s="66"/>
      <c r="WBN49" s="66"/>
      <c r="WBO49" s="66"/>
      <c r="WBP49" s="66"/>
      <c r="WBQ49" s="66"/>
      <c r="WBR49" s="66"/>
      <c r="WBS49" s="66"/>
      <c r="WBT49" s="66"/>
      <c r="WBU49" s="66"/>
      <c r="WBV49" s="66"/>
      <c r="WBW49" s="66"/>
      <c r="WBX49" s="66"/>
      <c r="WBY49" s="66"/>
      <c r="WBZ49" s="66"/>
      <c r="WCA49" s="66"/>
      <c r="WCB49" s="66"/>
      <c r="WCC49" s="66"/>
      <c r="WCD49" s="66"/>
      <c r="WCE49" s="66"/>
      <c r="WCF49" s="66"/>
      <c r="WCG49" s="66"/>
      <c r="WCH49" s="66"/>
      <c r="WCI49" s="66"/>
      <c r="WCJ49" s="66"/>
      <c r="WCK49" s="66"/>
      <c r="WCL49" s="66"/>
      <c r="WCM49" s="66"/>
      <c r="WCN49" s="66"/>
      <c r="WCO49" s="66"/>
      <c r="WCP49" s="66"/>
      <c r="WCQ49" s="66"/>
      <c r="WCR49" s="66"/>
      <c r="WCS49" s="66"/>
      <c r="WCT49" s="66"/>
      <c r="WCU49" s="66"/>
      <c r="WCV49" s="66"/>
      <c r="WCW49" s="66"/>
      <c r="WCX49" s="66"/>
      <c r="WCY49" s="66"/>
      <c r="WCZ49" s="66"/>
      <c r="WDA49" s="66"/>
      <c r="WDB49" s="66"/>
      <c r="WDC49" s="66"/>
      <c r="WDD49" s="66"/>
      <c r="WDE49" s="66"/>
      <c r="WDF49" s="66"/>
      <c r="WDG49" s="66"/>
      <c r="WDH49" s="66"/>
      <c r="WDI49" s="66"/>
      <c r="WDJ49" s="66"/>
      <c r="WDK49" s="66"/>
      <c r="WDL49" s="66"/>
      <c r="WDM49" s="66"/>
      <c r="WDN49" s="66"/>
      <c r="WDO49" s="66"/>
      <c r="WDP49" s="66"/>
      <c r="WDQ49" s="66"/>
      <c r="WDR49" s="66"/>
      <c r="WDS49" s="66"/>
      <c r="WDT49" s="66"/>
      <c r="WDU49" s="66"/>
      <c r="WDV49" s="66"/>
      <c r="WDW49" s="66"/>
      <c r="WDX49" s="66"/>
      <c r="WDY49" s="66"/>
      <c r="WDZ49" s="66"/>
      <c r="WEA49" s="66"/>
      <c r="WEB49" s="66"/>
      <c r="WEC49" s="66"/>
      <c r="WED49" s="66"/>
      <c r="WEE49" s="66"/>
      <c r="WEF49" s="66"/>
      <c r="WEG49" s="66"/>
      <c r="WEH49" s="66"/>
      <c r="WEI49" s="66"/>
      <c r="WEJ49" s="66"/>
      <c r="WEK49" s="66"/>
      <c r="WEL49" s="66"/>
      <c r="WEM49" s="66"/>
      <c r="WEN49" s="66"/>
      <c r="WEO49" s="66"/>
      <c r="WEP49" s="66"/>
      <c r="WEQ49" s="66"/>
      <c r="WER49" s="66"/>
      <c r="WES49" s="66"/>
      <c r="WET49" s="66"/>
      <c r="WEU49" s="66"/>
      <c r="WEV49" s="66"/>
      <c r="WEW49" s="66"/>
      <c r="WEX49" s="66"/>
      <c r="WEY49" s="66"/>
      <c r="WEZ49" s="66"/>
      <c r="WFA49" s="66"/>
      <c r="WFB49" s="66"/>
      <c r="WFC49" s="66"/>
      <c r="WFD49" s="66"/>
      <c r="WFE49" s="66"/>
      <c r="WFF49" s="66"/>
      <c r="WFG49" s="66"/>
      <c r="WFH49" s="66"/>
      <c r="WFI49" s="66"/>
      <c r="WFJ49" s="66"/>
      <c r="WFK49" s="66"/>
      <c r="WFL49" s="66"/>
      <c r="WFM49" s="66"/>
      <c r="WFN49" s="66"/>
      <c r="WFO49" s="66"/>
      <c r="WFP49" s="66"/>
      <c r="WFQ49" s="66"/>
      <c r="WFR49" s="66"/>
      <c r="WFS49" s="66"/>
      <c r="WFT49" s="66"/>
      <c r="WFU49" s="66"/>
      <c r="WFV49" s="66"/>
      <c r="WFW49" s="66"/>
      <c r="WFX49" s="66"/>
      <c r="WFY49" s="66"/>
      <c r="WFZ49" s="66"/>
      <c r="WGA49" s="66"/>
      <c r="WGB49" s="66"/>
      <c r="WGC49" s="66"/>
      <c r="WGD49" s="66"/>
      <c r="WGE49" s="66"/>
      <c r="WGF49" s="66"/>
      <c r="WGG49" s="66"/>
      <c r="WGH49" s="66"/>
      <c r="WGI49" s="66"/>
      <c r="WGJ49" s="66"/>
      <c r="WGK49" s="66"/>
      <c r="WGL49" s="66"/>
      <c r="WGM49" s="66"/>
      <c r="WGN49" s="66"/>
      <c r="WGO49" s="66"/>
      <c r="WGP49" s="66"/>
      <c r="WGQ49" s="66"/>
      <c r="WGR49" s="66"/>
      <c r="WGS49" s="66"/>
      <c r="WGT49" s="66"/>
      <c r="WGU49" s="66"/>
      <c r="WGV49" s="66"/>
      <c r="WGW49" s="66"/>
      <c r="WGX49" s="66"/>
      <c r="WGY49" s="66"/>
      <c r="WGZ49" s="66"/>
      <c r="WHA49" s="66"/>
      <c r="WHB49" s="66"/>
      <c r="WHC49" s="66"/>
      <c r="WHD49" s="66"/>
      <c r="WHE49" s="66"/>
      <c r="WHF49" s="66"/>
      <c r="WHG49" s="66"/>
      <c r="WHH49" s="66"/>
      <c r="WHI49" s="66"/>
      <c r="WHJ49" s="66"/>
      <c r="WHK49" s="66"/>
      <c r="WHL49" s="66"/>
      <c r="WHM49" s="66"/>
      <c r="WHN49" s="66"/>
      <c r="WHO49" s="66"/>
      <c r="WHP49" s="66"/>
      <c r="WHQ49" s="66"/>
      <c r="WHR49" s="66"/>
      <c r="WHS49" s="66"/>
      <c r="WHT49" s="66"/>
      <c r="WHU49" s="66"/>
      <c r="WHV49" s="66"/>
      <c r="WHW49" s="66"/>
      <c r="WHX49" s="66"/>
      <c r="WHY49" s="66"/>
      <c r="WHZ49" s="66"/>
      <c r="WIA49" s="66"/>
      <c r="WIB49" s="66"/>
      <c r="WIC49" s="66"/>
      <c r="WID49" s="66"/>
      <c r="WIE49" s="66"/>
      <c r="WIF49" s="66"/>
      <c r="WIG49" s="66"/>
      <c r="WIH49" s="66"/>
      <c r="WII49" s="66"/>
      <c r="WIJ49" s="66"/>
      <c r="WIK49" s="66"/>
      <c r="WIL49" s="66"/>
      <c r="WIM49" s="66"/>
      <c r="WIN49" s="66"/>
      <c r="WIO49" s="66"/>
      <c r="WIP49" s="66"/>
      <c r="WIQ49" s="66"/>
      <c r="WIR49" s="66"/>
      <c r="WIS49" s="66"/>
      <c r="WIT49" s="66"/>
      <c r="WIU49" s="66"/>
      <c r="WIV49" s="66"/>
      <c r="WIW49" s="66"/>
      <c r="WIX49" s="66"/>
      <c r="WIY49" s="66"/>
      <c r="WIZ49" s="66"/>
      <c r="WJA49" s="66"/>
      <c r="WJB49" s="66"/>
      <c r="WJC49" s="66"/>
      <c r="WJD49" s="66"/>
      <c r="WJE49" s="66"/>
      <c r="WJF49" s="66"/>
      <c r="WJG49" s="66"/>
      <c r="WJH49" s="66"/>
      <c r="WJI49" s="66"/>
      <c r="WJJ49" s="66"/>
      <c r="WJK49" s="66"/>
      <c r="WJL49" s="66"/>
      <c r="WJM49" s="66"/>
      <c r="WJN49" s="66"/>
      <c r="WJO49" s="66"/>
      <c r="WJP49" s="66"/>
      <c r="WJQ49" s="66"/>
      <c r="WJR49" s="66"/>
      <c r="WJS49" s="66"/>
      <c r="WJT49" s="66"/>
      <c r="WJU49" s="66"/>
      <c r="WJV49" s="66"/>
      <c r="WJW49" s="66"/>
      <c r="WJX49" s="66"/>
      <c r="WJY49" s="66"/>
      <c r="WJZ49" s="66"/>
      <c r="WKA49" s="66"/>
      <c r="WKB49" s="66"/>
      <c r="WKC49" s="66"/>
      <c r="WKD49" s="66"/>
      <c r="WKE49" s="66"/>
      <c r="WKF49" s="66"/>
      <c r="WKG49" s="66"/>
      <c r="WKH49" s="66"/>
      <c r="WKI49" s="66"/>
      <c r="WKJ49" s="66"/>
      <c r="WKK49" s="66"/>
      <c r="WKL49" s="66"/>
      <c r="WKM49" s="66"/>
      <c r="WKN49" s="66"/>
      <c r="WKO49" s="66"/>
      <c r="WKP49" s="66"/>
      <c r="WKQ49" s="66"/>
      <c r="WKR49" s="66"/>
      <c r="WKS49" s="66"/>
      <c r="WKT49" s="66"/>
      <c r="WKU49" s="66"/>
      <c r="WKV49" s="66"/>
      <c r="WKW49" s="66"/>
      <c r="WKX49" s="66"/>
      <c r="WKY49" s="66"/>
      <c r="WKZ49" s="66"/>
      <c r="WLA49" s="66"/>
      <c r="WLB49" s="66"/>
      <c r="WLC49" s="66"/>
      <c r="WLD49" s="66"/>
      <c r="WLE49" s="66"/>
      <c r="WLF49" s="66"/>
      <c r="WLG49" s="66"/>
      <c r="WLH49" s="66"/>
      <c r="WLI49" s="66"/>
      <c r="WLJ49" s="66"/>
      <c r="WLK49" s="66"/>
      <c r="WLL49" s="66"/>
      <c r="WLM49" s="66"/>
      <c r="WLN49" s="66"/>
      <c r="WLO49" s="66"/>
      <c r="WLP49" s="66"/>
      <c r="WLQ49" s="66"/>
      <c r="WLR49" s="66"/>
      <c r="WLS49" s="66"/>
      <c r="WLT49" s="66"/>
      <c r="WLU49" s="66"/>
      <c r="WLV49" s="66"/>
      <c r="WLW49" s="66"/>
      <c r="WLX49" s="66"/>
      <c r="WLY49" s="66"/>
      <c r="WLZ49" s="66"/>
      <c r="WMA49" s="66"/>
      <c r="WMB49" s="66"/>
      <c r="WMC49" s="66"/>
      <c r="WMD49" s="66"/>
      <c r="WME49" s="66"/>
      <c r="WMF49" s="66"/>
      <c r="WMG49" s="66"/>
      <c r="WMH49" s="66"/>
      <c r="WMI49" s="66"/>
      <c r="WMJ49" s="66"/>
      <c r="WMK49" s="66"/>
      <c r="WML49" s="66"/>
      <c r="WMM49" s="66"/>
      <c r="WMN49" s="66"/>
      <c r="WMO49" s="66"/>
      <c r="WMP49" s="66"/>
      <c r="WMQ49" s="66"/>
      <c r="WMR49" s="66"/>
      <c r="WMS49" s="66"/>
      <c r="WMT49" s="66"/>
      <c r="WMU49" s="66"/>
      <c r="WMV49" s="66"/>
      <c r="WMW49" s="66"/>
      <c r="WMX49" s="66"/>
      <c r="WMY49" s="66"/>
      <c r="WMZ49" s="66"/>
      <c r="WNA49" s="66"/>
      <c r="WNB49" s="66"/>
      <c r="WNC49" s="66"/>
      <c r="WND49" s="66"/>
      <c r="WNE49" s="66"/>
      <c r="WNF49" s="66"/>
      <c r="WNG49" s="66"/>
      <c r="WNH49" s="66"/>
      <c r="WNI49" s="66"/>
      <c r="WNJ49" s="66"/>
      <c r="WNK49" s="66"/>
      <c r="WNL49" s="66"/>
      <c r="WNM49" s="66"/>
      <c r="WNN49" s="66"/>
      <c r="WNO49" s="66"/>
      <c r="WNP49" s="66"/>
      <c r="WNQ49" s="66"/>
      <c r="WNR49" s="66"/>
      <c r="WNS49" s="66"/>
      <c r="WNT49" s="66"/>
      <c r="WNU49" s="66"/>
      <c r="WNV49" s="66"/>
      <c r="WNW49" s="66"/>
      <c r="WNX49" s="66"/>
      <c r="WNY49" s="66"/>
      <c r="WNZ49" s="66"/>
      <c r="WOA49" s="66"/>
      <c r="WOB49" s="66"/>
      <c r="WOC49" s="66"/>
      <c r="WOD49" s="66"/>
      <c r="WOE49" s="66"/>
      <c r="WOF49" s="66"/>
      <c r="WOG49" s="66"/>
      <c r="WOH49" s="66"/>
      <c r="WOI49" s="66"/>
      <c r="WOJ49" s="66"/>
      <c r="WOK49" s="66"/>
      <c r="WOL49" s="66"/>
      <c r="WOM49" s="66"/>
      <c r="WON49" s="66"/>
      <c r="WOO49" s="66"/>
      <c r="WOP49" s="66"/>
      <c r="WOQ49" s="66"/>
      <c r="WOR49" s="66"/>
      <c r="WOS49" s="66"/>
      <c r="WOT49" s="66"/>
      <c r="WOU49" s="66"/>
      <c r="WOV49" s="66"/>
      <c r="WOW49" s="66"/>
      <c r="WOX49" s="66"/>
      <c r="WOY49" s="66"/>
      <c r="WOZ49" s="66"/>
      <c r="WPA49" s="66"/>
      <c r="WPB49" s="66"/>
      <c r="WPC49" s="66"/>
      <c r="WPD49" s="66"/>
      <c r="WPE49" s="66"/>
      <c r="WPF49" s="66"/>
      <c r="WPG49" s="66"/>
      <c r="WPH49" s="66"/>
      <c r="WPI49" s="66"/>
      <c r="WPJ49" s="66"/>
      <c r="WPK49" s="66"/>
      <c r="WPL49" s="66"/>
      <c r="WPM49" s="66"/>
      <c r="WPN49" s="66"/>
      <c r="WPO49" s="66"/>
      <c r="WPP49" s="66"/>
      <c r="WPQ49" s="66"/>
      <c r="WPR49" s="66"/>
      <c r="WPS49" s="66"/>
      <c r="WPT49" s="66"/>
      <c r="WPU49" s="66"/>
      <c r="WPV49" s="66"/>
      <c r="WPW49" s="66"/>
      <c r="WPX49" s="66"/>
      <c r="WPY49" s="66"/>
      <c r="WPZ49" s="66"/>
      <c r="WQA49" s="66"/>
      <c r="WQB49" s="66"/>
      <c r="WQC49" s="66"/>
      <c r="WQD49" s="66"/>
      <c r="WQE49" s="66"/>
      <c r="WQF49" s="66"/>
      <c r="WQG49" s="66"/>
      <c r="WQH49" s="66"/>
      <c r="WQI49" s="66"/>
      <c r="WQJ49" s="66"/>
      <c r="WQK49" s="66"/>
      <c r="WQL49" s="66"/>
      <c r="WQM49" s="66"/>
      <c r="WQN49" s="66"/>
      <c r="WQO49" s="66"/>
      <c r="WQP49" s="66"/>
      <c r="WQQ49" s="66"/>
      <c r="WQR49" s="66"/>
      <c r="WQS49" s="66"/>
      <c r="WQT49" s="66"/>
      <c r="WQU49" s="66"/>
      <c r="WQV49" s="66"/>
      <c r="WQW49" s="66"/>
      <c r="WQX49" s="66"/>
      <c r="WQY49" s="66"/>
      <c r="WQZ49" s="66"/>
      <c r="WRA49" s="66"/>
      <c r="WRB49" s="66"/>
      <c r="WRC49" s="66"/>
      <c r="WRD49" s="66"/>
      <c r="WRE49" s="66"/>
      <c r="WRF49" s="66"/>
      <c r="WRG49" s="66"/>
      <c r="WRH49" s="66"/>
      <c r="WRI49" s="66"/>
      <c r="WRJ49" s="66"/>
      <c r="WRK49" s="66"/>
      <c r="WRL49" s="66"/>
      <c r="WRM49" s="66"/>
      <c r="WRN49" s="66"/>
      <c r="WRO49" s="66"/>
      <c r="WRP49" s="66"/>
      <c r="WRQ49" s="66"/>
      <c r="WRR49" s="66"/>
      <c r="WRS49" s="66"/>
      <c r="WRT49" s="66"/>
      <c r="WRU49" s="66"/>
      <c r="WRV49" s="66"/>
      <c r="WRW49" s="66"/>
      <c r="WRX49" s="66"/>
      <c r="WRY49" s="66"/>
      <c r="WRZ49" s="66"/>
      <c r="WSA49" s="66"/>
      <c r="WSB49" s="66"/>
      <c r="WSC49" s="66"/>
      <c r="WSD49" s="66"/>
      <c r="WSE49" s="66"/>
      <c r="WSF49" s="66"/>
      <c r="WSG49" s="66"/>
      <c r="WSH49" s="66"/>
      <c r="WSI49" s="66"/>
      <c r="WSJ49" s="66"/>
      <c r="WSK49" s="66"/>
      <c r="WSL49" s="66"/>
      <c r="WSM49" s="66"/>
      <c r="WSN49" s="66"/>
      <c r="WSO49" s="66"/>
      <c r="WSP49" s="66"/>
      <c r="WSQ49" s="66"/>
      <c r="WSR49" s="66"/>
      <c r="WSS49" s="66"/>
      <c r="WST49" s="66"/>
      <c r="WSU49" s="66"/>
      <c r="WSV49" s="66"/>
      <c r="WSW49" s="66"/>
      <c r="WSX49" s="66"/>
      <c r="WSY49" s="66"/>
      <c r="WSZ49" s="66"/>
      <c r="WTA49" s="66"/>
      <c r="WTB49" s="66"/>
      <c r="WTC49" s="66"/>
      <c r="WTD49" s="66"/>
      <c r="WTE49" s="66"/>
      <c r="WTF49" s="66"/>
      <c r="WTG49" s="66"/>
      <c r="WTH49" s="66"/>
      <c r="WTI49" s="66"/>
      <c r="WTJ49" s="66"/>
      <c r="WTK49" s="66"/>
      <c r="WTL49" s="66"/>
      <c r="WTM49" s="66"/>
      <c r="WTN49" s="66"/>
      <c r="WTO49" s="66"/>
      <c r="WTP49" s="66"/>
      <c r="WTQ49" s="66"/>
      <c r="WTR49" s="66"/>
      <c r="WTS49" s="66"/>
      <c r="WTT49" s="66"/>
      <c r="WTU49" s="66"/>
      <c r="WTV49" s="66"/>
      <c r="WTW49" s="66"/>
      <c r="WTX49" s="66"/>
      <c r="WTY49" s="66"/>
      <c r="WTZ49" s="66"/>
      <c r="WUA49" s="66"/>
      <c r="WUB49" s="66"/>
      <c r="WUC49" s="66"/>
      <c r="WUD49" s="66"/>
      <c r="WUE49" s="66"/>
      <c r="WUF49" s="66"/>
      <c r="WUG49" s="66"/>
      <c r="WUH49" s="66"/>
      <c r="WUI49" s="66"/>
      <c r="WUJ49" s="66"/>
      <c r="WUK49" s="66"/>
      <c r="WUL49" s="66"/>
      <c r="WUM49" s="66"/>
      <c r="WUN49" s="66"/>
      <c r="WUO49" s="66"/>
      <c r="WUP49" s="66"/>
      <c r="WUQ49" s="66"/>
      <c r="WUR49" s="66"/>
      <c r="WUS49" s="66"/>
      <c r="WUT49" s="66"/>
      <c r="WUU49" s="66"/>
      <c r="WUV49" s="66"/>
      <c r="WUW49" s="66"/>
      <c r="WUX49" s="66"/>
      <c r="WUY49" s="66"/>
      <c r="WUZ49" s="66"/>
      <c r="WVA49" s="66"/>
      <c r="WVB49" s="66"/>
      <c r="WVC49" s="66"/>
      <c r="WVD49" s="66"/>
      <c r="WVE49" s="66"/>
      <c r="WVF49" s="66"/>
      <c r="WVG49" s="66"/>
      <c r="WVH49" s="66"/>
      <c r="WVI49" s="66"/>
      <c r="WVJ49" s="66"/>
      <c r="WVK49" s="66"/>
      <c r="WVL49" s="66"/>
      <c r="WVM49" s="66"/>
      <c r="WVN49" s="66"/>
      <c r="WVO49" s="66"/>
      <c r="WVP49" s="66"/>
      <c r="WVQ49" s="66"/>
      <c r="WVR49" s="66"/>
      <c r="WVS49" s="66"/>
      <c r="WVT49" s="66"/>
      <c r="WVU49" s="66"/>
      <c r="WVV49" s="66"/>
      <c r="WVW49" s="66"/>
      <c r="WVX49" s="66"/>
      <c r="WVY49" s="66"/>
      <c r="WVZ49" s="66"/>
      <c r="WWA49" s="66"/>
      <c r="WWB49" s="66"/>
      <c r="WWC49" s="66"/>
      <c r="WWD49" s="66"/>
      <c r="WWE49" s="66"/>
      <c r="WWF49" s="66"/>
      <c r="WWG49" s="66"/>
      <c r="WWH49" s="66"/>
      <c r="WWI49" s="66"/>
      <c r="WWJ49" s="66"/>
      <c r="WWK49" s="66"/>
      <c r="WWL49" s="66"/>
      <c r="WWM49" s="66"/>
      <c r="WWN49" s="66"/>
      <c r="WWO49" s="66"/>
      <c r="WWP49" s="66"/>
      <c r="WWQ49" s="66"/>
      <c r="WWR49" s="66"/>
      <c r="WWS49" s="66"/>
      <c r="WWT49" s="66"/>
      <c r="WWU49" s="66"/>
      <c r="WWV49" s="66"/>
      <c r="WWW49" s="66"/>
      <c r="WWX49" s="66"/>
      <c r="WWY49" s="66"/>
      <c r="WWZ49" s="66"/>
      <c r="WXA49" s="66"/>
      <c r="WXB49" s="66"/>
      <c r="WXC49" s="66"/>
      <c r="WXD49" s="66"/>
      <c r="WXE49" s="66"/>
      <c r="WXF49" s="66"/>
      <c r="WXG49" s="66"/>
      <c r="WXH49" s="66"/>
      <c r="WXI49" s="66"/>
      <c r="WXJ49" s="66"/>
      <c r="WXK49" s="66"/>
      <c r="WXL49" s="66"/>
      <c r="WXM49" s="66"/>
      <c r="WXN49" s="66"/>
      <c r="WXO49" s="66"/>
      <c r="WXP49" s="66"/>
      <c r="WXQ49" s="66"/>
      <c r="WXR49" s="66"/>
      <c r="WXS49" s="66"/>
      <c r="WXT49" s="66"/>
      <c r="WXU49" s="66"/>
      <c r="WXV49" s="66"/>
      <c r="WXW49" s="66"/>
      <c r="WXX49" s="66"/>
      <c r="WXY49" s="66"/>
      <c r="WXZ49" s="66"/>
      <c r="WYA49" s="66"/>
      <c r="WYB49" s="66"/>
      <c r="WYC49" s="66"/>
      <c r="WYD49" s="66"/>
      <c r="WYE49" s="66"/>
      <c r="WYF49" s="66"/>
      <c r="WYG49" s="66"/>
      <c r="WYH49" s="66"/>
      <c r="WYI49" s="66"/>
      <c r="WYJ49" s="66"/>
      <c r="WYK49" s="66"/>
      <c r="WYL49" s="66"/>
      <c r="WYM49" s="66"/>
      <c r="WYN49" s="66"/>
      <c r="WYO49" s="66"/>
      <c r="WYP49" s="66"/>
      <c r="WYQ49" s="66"/>
      <c r="WYR49" s="66"/>
      <c r="WYS49" s="66"/>
      <c r="WYT49" s="66"/>
      <c r="WYU49" s="66"/>
      <c r="WYV49" s="66"/>
      <c r="WYW49" s="66"/>
      <c r="WYX49" s="66"/>
      <c r="WYY49" s="66"/>
      <c r="WYZ49" s="66"/>
      <c r="WZA49" s="66"/>
      <c r="WZB49" s="66"/>
      <c r="WZC49" s="66"/>
      <c r="WZD49" s="66"/>
      <c r="WZE49" s="66"/>
      <c r="WZF49" s="66"/>
      <c r="WZG49" s="66"/>
      <c r="WZH49" s="66"/>
      <c r="WZI49" s="66"/>
      <c r="WZJ49" s="66"/>
      <c r="WZK49" s="66"/>
      <c r="WZL49" s="66"/>
      <c r="WZM49" s="66"/>
      <c r="WZN49" s="66"/>
      <c r="WZO49" s="66"/>
      <c r="WZP49" s="66"/>
      <c r="WZQ49" s="66"/>
      <c r="WZR49" s="66"/>
      <c r="WZS49" s="66"/>
      <c r="WZT49" s="66"/>
      <c r="WZU49" s="66"/>
      <c r="WZV49" s="66"/>
      <c r="WZW49" s="66"/>
      <c r="WZX49" s="66"/>
      <c r="WZY49" s="66"/>
      <c r="WZZ49" s="66"/>
      <c r="XAA49" s="66"/>
      <c r="XAB49" s="66"/>
      <c r="XAC49" s="66"/>
      <c r="XAD49" s="66"/>
      <c r="XAE49" s="66"/>
      <c r="XAF49" s="66"/>
      <c r="XAG49" s="66"/>
      <c r="XAH49" s="66"/>
      <c r="XAI49" s="66"/>
      <c r="XAJ49" s="66"/>
      <c r="XAK49" s="66"/>
      <c r="XAL49" s="66"/>
      <c r="XAM49" s="66"/>
      <c r="XAN49" s="66"/>
      <c r="XAO49" s="66"/>
      <c r="XAP49" s="66"/>
      <c r="XAQ49" s="66"/>
      <c r="XAR49" s="66"/>
      <c r="XAS49" s="66"/>
      <c r="XAT49" s="66"/>
      <c r="XAU49" s="66"/>
      <c r="XAV49" s="66"/>
      <c r="XAW49" s="66"/>
      <c r="XAX49" s="66"/>
      <c r="XAY49" s="66"/>
      <c r="XAZ49" s="66"/>
      <c r="XBA49" s="66"/>
      <c r="XBB49" s="66"/>
      <c r="XBC49" s="66"/>
      <c r="XBD49" s="66"/>
      <c r="XBE49" s="66"/>
      <c r="XBF49" s="66"/>
      <c r="XBG49" s="66"/>
      <c r="XBH49" s="66"/>
      <c r="XBI49" s="66"/>
      <c r="XBJ49" s="66"/>
      <c r="XBK49" s="66"/>
      <c r="XBL49" s="66"/>
      <c r="XBM49" s="66"/>
      <c r="XBN49" s="66"/>
      <c r="XBO49" s="66"/>
      <c r="XBP49" s="66"/>
      <c r="XBQ49" s="66"/>
      <c r="XBR49" s="66"/>
      <c r="XBS49" s="66"/>
      <c r="XBT49" s="66"/>
      <c r="XBU49" s="66"/>
      <c r="XBV49" s="66"/>
      <c r="XBW49" s="66"/>
      <c r="XBX49" s="66"/>
      <c r="XBY49" s="66"/>
      <c r="XBZ49" s="66"/>
      <c r="XCA49" s="66"/>
      <c r="XCB49" s="66"/>
      <c r="XCC49" s="66"/>
      <c r="XCD49" s="66"/>
      <c r="XCE49" s="66"/>
      <c r="XCF49" s="66"/>
      <c r="XCG49" s="66"/>
      <c r="XCH49" s="66"/>
      <c r="XCI49" s="66"/>
      <c r="XCJ49" s="66"/>
      <c r="XCK49" s="66"/>
      <c r="XCL49" s="66"/>
      <c r="XCM49" s="66"/>
      <c r="XCN49" s="66"/>
      <c r="XCO49" s="66"/>
      <c r="XCP49" s="66"/>
      <c r="XCQ49" s="66"/>
      <c r="XCR49" s="66"/>
      <c r="XCS49" s="66"/>
      <c r="XCT49" s="66"/>
      <c r="XCU49" s="66"/>
      <c r="XCV49" s="66"/>
      <c r="XCW49" s="66"/>
      <c r="XCX49" s="66"/>
      <c r="XCY49" s="66"/>
      <c r="XCZ49" s="66"/>
      <c r="XDA49" s="66"/>
      <c r="XDB49" s="66"/>
      <c r="XDC49" s="66"/>
      <c r="XDD49" s="66"/>
      <c r="XDE49" s="66"/>
      <c r="XDF49" s="66"/>
      <c r="XDG49" s="66"/>
      <c r="XDH49" s="66"/>
      <c r="XDI49" s="66"/>
      <c r="XDJ49" s="66"/>
      <c r="XDK49" s="66"/>
      <c r="XDL49" s="66"/>
      <c r="XDM49" s="66"/>
      <c r="XDN49" s="66"/>
      <c r="XDO49" s="66"/>
      <c r="XDP49" s="66"/>
      <c r="XDQ49" s="66"/>
      <c r="XDR49" s="66"/>
      <c r="XDS49" s="66"/>
      <c r="XDT49" s="66"/>
      <c r="XDU49" s="66"/>
      <c r="XDV49" s="66"/>
      <c r="XDW49" s="66"/>
      <c r="XDX49" s="66"/>
      <c r="XDY49" s="66"/>
      <c r="XDZ49" s="66"/>
      <c r="XEA49" s="66"/>
      <c r="XEB49" s="66"/>
      <c r="XEC49" s="66"/>
      <c r="XED49" s="66"/>
      <c r="XEE49" s="66"/>
      <c r="XEF49" s="66"/>
      <c r="XEG49" s="66"/>
      <c r="XEH49" s="66"/>
      <c r="XEI49" s="66"/>
      <c r="XEJ49" s="66"/>
      <c r="XEK49" s="66"/>
      <c r="XEL49" s="66"/>
      <c r="XEM49" s="66"/>
      <c r="XEN49" s="66"/>
    </row>
    <row r="50" spans="1:16368" ht="13.5">
      <c r="A50" s="86"/>
      <c r="B50" s="67"/>
      <c r="C50" s="68"/>
      <c r="D50" s="68"/>
      <c r="E50" s="68"/>
      <c r="F50" s="69"/>
      <c r="J50" s="86"/>
      <c r="K50" s="86"/>
      <c r="P50" s="89"/>
    </row>
  </sheetData>
  <sortState ref="A8:F22">
    <sortCondition ref="C8:C22"/>
  </sortState>
  <mergeCells count="2">
    <mergeCell ref="I8:I22"/>
    <mergeCell ref="B23:F23"/>
  </mergeCells>
  <phoneticPr fontId="32" type="noConversion"/>
  <conditionalFormatting sqref="C7:E22">
    <cfRule type="cellIs" dxfId="31" priority="1" operator="greaterThan">
      <formula>0</formula>
    </cfRule>
  </conditionalFormatting>
  <conditionalFormatting sqref="C8:F22">
    <cfRule type="cellIs" dxfId="30" priority="2" operator="lessThan">
      <formula>0</formula>
    </cfRule>
  </conditionalFormatting>
  <conditionalFormatting sqref="C34:F35 C37:F39 C41:F42">
    <cfRule type="cellIs" dxfId="29" priority="8" operator="greaterThan">
      <formula>C$7</formula>
    </cfRule>
  </conditionalFormatting>
  <conditionalFormatting sqref="D48:D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8:E5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41"/>
  <sheetViews>
    <sheetView workbookViewId="0">
      <selection activeCell="F13" sqref="F13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46318</v>
      </c>
      <c r="C3" s="51">
        <f ca="1">VLOOKUP(B3,实盘组合净值!$A:$V,20,0)</f>
        <v>0.99154249011372897</v>
      </c>
      <c r="D3" s="52"/>
      <c r="E3" s="53"/>
    </row>
    <row r="4" spans="1:11" ht="14.5">
      <c r="B4" s="53">
        <f ca="1">日期页!B3</f>
        <v>46318</v>
      </c>
      <c r="C4" s="51">
        <f ca="1">VLOOKUP(B4,实盘组合净值!$A:$V,20,0)</f>
        <v>0.99154249011372897</v>
      </c>
      <c r="D4" s="52">
        <f ca="1">日期页!B4</f>
        <v>46321</v>
      </c>
      <c r="E4" s="53">
        <v>46282</v>
      </c>
      <c r="F4" s="53">
        <f>E4</f>
        <v>46282</v>
      </c>
      <c r="I4" s="70"/>
      <c r="J4" s="222">
        <v>46203</v>
      </c>
    </row>
    <row r="5" spans="1:11" ht="13">
      <c r="B5" s="53">
        <f ca="1">日期页!B2</f>
        <v>46321</v>
      </c>
      <c r="C5" s="51">
        <f ca="1">VLOOKUP(B5,实盘组合净值!$A:$V,20,0)</f>
        <v>0.99148035199566897</v>
      </c>
      <c r="D5" s="52">
        <f ca="1">B5</f>
        <v>46321</v>
      </c>
      <c r="E5" s="53">
        <f ca="1">B5</f>
        <v>46321</v>
      </c>
      <c r="F5" s="53">
        <f ca="1">B5</f>
        <v>46321</v>
      </c>
    </row>
    <row r="6" spans="1:11" ht="25" customHeight="1">
      <c r="A6" s="74" t="s">
        <v>28</v>
      </c>
      <c r="B6" s="211">
        <f ca="1">B5</f>
        <v>46321</v>
      </c>
      <c r="C6" s="211" t="s">
        <v>232</v>
      </c>
      <c r="D6" s="211" t="s">
        <v>186</v>
      </c>
      <c r="E6" s="212" t="s">
        <v>193</v>
      </c>
      <c r="F6" s="212" t="s">
        <v>204</v>
      </c>
      <c r="I6" s="71" t="s">
        <v>201</v>
      </c>
      <c r="J6" s="72" t="s">
        <v>202</v>
      </c>
      <c r="K6" s="73" t="s">
        <v>203</v>
      </c>
    </row>
    <row r="7" spans="1:11" ht="25" customHeight="1" thickBot="1">
      <c r="A7" s="55"/>
      <c r="B7" s="213" t="s">
        <v>357</v>
      </c>
      <c r="C7" s="214">
        <f ca="1">C5/C4-1</f>
        <v>-6.2668134426457911E-5</v>
      </c>
      <c r="D7" s="214">
        <f ca="1">C5/C3-1</f>
        <v>-6.2668134426457911E-5</v>
      </c>
      <c r="E7" s="214">
        <f ca="1">C5-1</f>
        <v>-8.5196480043310263E-3</v>
      </c>
      <c r="F7" s="214">
        <f>MIN(实盘组合净值!V:V)</f>
        <v>-1.3072154813948078E-2</v>
      </c>
      <c r="I7" s="75" t="s">
        <v>358</v>
      </c>
      <c r="J7" s="76">
        <v>0.2</v>
      </c>
      <c r="K7" s="77" t="s">
        <v>359</v>
      </c>
    </row>
    <row r="8" spans="1:11" ht="25" customHeight="1" thickBot="1">
      <c r="A8" s="181" t="s">
        <v>360</v>
      </c>
      <c r="B8" s="153" t="str">
        <f>[1]!thsiFinD("ths_fund_short_name_fund",A8)</f>
        <v>景顺长城景盛双息收益债券A</v>
      </c>
      <c r="C8" s="154">
        <f ca="1">[1]!thsiFinD("ths_adjustment_nvg_ratio_fund",$A8,B$5,B$5,101)/100</f>
        <v>0</v>
      </c>
      <c r="D8" s="154">
        <f ca="1">[1]!thsiFinD("ths_adjustment_nvg_ratio_fund",$A8,D$4,D$5,101)/100</f>
        <v>0</v>
      </c>
      <c r="E8" s="154">
        <f ca="1">[1]!thsiFinD("ths_adjustment_nvg_ratio_fund",$A8,E$4,E$5,101)/100</f>
        <v>-1.0946051605203001E-2</v>
      </c>
      <c r="F8" s="154">
        <f ca="1">-[1]!thsiFinD("ths_max_retrace_rate_all_fund",$A8,F$4,F$5)/100</f>
        <v>-1.5612802511431999E-2</v>
      </c>
      <c r="I8" s="229"/>
      <c r="J8" s="79">
        <f>[1]!thsiFinD("ths_stock_mv_to_fanv_fund",$A8,$J$4)/100</f>
        <v>0.1366676005585</v>
      </c>
      <c r="K8" s="79">
        <f>[1]!thsiFinD("ths_cb_mv_to_fanv_fund",A8,$J$4)/100</f>
        <v>5.6399999999999999E-2</v>
      </c>
    </row>
    <row r="9" spans="1:11" ht="25" customHeight="1" thickBot="1">
      <c r="A9" s="181" t="s">
        <v>361</v>
      </c>
      <c r="B9" s="215" t="str">
        <f>[1]!thsiFinD("ths_fund_short_name_fund",A9)</f>
        <v>景顺长城景颐招利6个月持有期债券A</v>
      </c>
      <c r="C9" s="216">
        <f ca="1">[1]!thsiFinD("ths_adjustment_nvg_ratio_fund",$A9,B$5,B$5,101)/100</f>
        <v>0</v>
      </c>
      <c r="D9" s="216">
        <f ca="1">[1]!thsiFinD("ths_adjustment_nvg_ratio_fund",$A9,D$4,D$5,101)/100</f>
        <v>0</v>
      </c>
      <c r="E9" s="216">
        <f ca="1">[1]!thsiFinD("ths_adjustment_nvg_ratio_fund",$A9,E$4,E$5,101)/100</f>
        <v>-5.0814526434642005E-3</v>
      </c>
      <c r="F9" s="216">
        <f ca="1">-[1]!thsiFinD("ths_max_retrace_rate_all_fund",$A9,F$4,F$5)/100</f>
        <v>-9.4790267421610997E-3</v>
      </c>
      <c r="I9" s="229"/>
      <c r="J9" s="79">
        <f>[1]!thsiFinD("ths_stock_mv_to_fanv_fund",$A9,$J$4)/100</f>
        <v>0.13889672536209</v>
      </c>
      <c r="K9" s="79">
        <f>[1]!thsiFinD("ths_cb_mv_to_fanv_fund",A9,$J$4)/100</f>
        <v>4.5400000000000003E-2</v>
      </c>
    </row>
    <row r="10" spans="1:11" ht="25" customHeight="1" thickBot="1">
      <c r="A10" s="181" t="s">
        <v>362</v>
      </c>
      <c r="B10" s="153" t="str">
        <f>[1]!thsiFinD("ths_fund_short_name_fund",A10)</f>
        <v>天弘多元收益债券A</v>
      </c>
      <c r="C10" s="154">
        <f ca="1">[1]!thsiFinD("ths_adjustment_nvg_ratio_fund",$A10,B$5,B$5,101)/100</f>
        <v>0</v>
      </c>
      <c r="D10" s="154">
        <f ca="1">[1]!thsiFinD("ths_adjustment_nvg_ratio_fund",$A10,D$4,D$5,101)/100</f>
        <v>0</v>
      </c>
      <c r="E10" s="154">
        <f ca="1">[1]!thsiFinD("ths_adjustment_nvg_ratio_fund",$A10,E$4,E$5,101)/100</f>
        <v>-3.7617999858045995E-3</v>
      </c>
      <c r="F10" s="154">
        <f ca="1">-[1]!thsiFinD("ths_max_retrace_rate_all_fund",$A10,F$4,F$5)/100</f>
        <v>-1.1782136305912001E-2</v>
      </c>
      <c r="I10" s="229"/>
      <c r="J10" s="79">
        <f>[1]!thsiFinD("ths_stock_mv_to_fanv_fund",$A10,$J$4)/100</f>
        <v>0.19775964518313</v>
      </c>
      <c r="K10" s="79">
        <f>[1]!thsiFinD("ths_cb_mv_to_fanv_fund",A10,$J$4)/100</f>
        <v>0.18629999999999999</v>
      </c>
    </row>
    <row r="11" spans="1:11" ht="25" customHeight="1" thickBot="1">
      <c r="A11" s="181" t="s">
        <v>363</v>
      </c>
      <c r="B11" s="215" t="str">
        <f>[1]!thsiFinD("ths_fund_short_name_fund",A11)</f>
        <v>广发集源债券A</v>
      </c>
      <c r="C11" s="216">
        <f ca="1">[1]!thsiFinD("ths_adjustment_nvg_ratio_fund",$A11,B$5,B$5,101)/100</f>
        <v>0</v>
      </c>
      <c r="D11" s="216">
        <f ca="1">[1]!thsiFinD("ths_adjustment_nvg_ratio_fund",$A11,D$4,D$5,101)/100</f>
        <v>0</v>
      </c>
      <c r="E11" s="216">
        <f ca="1">[1]!thsiFinD("ths_adjustment_nvg_ratio_fund",$A11,E$4,E$5,101)/100</f>
        <v>8.389966796741401E-5</v>
      </c>
      <c r="F11" s="216">
        <f ca="1">-[1]!thsiFinD("ths_max_retrace_rate_all_fund",$A11,F$4,F$5)/100</f>
        <v>-6.2688064612272994E-3</v>
      </c>
      <c r="I11" s="229"/>
      <c r="J11" s="79">
        <f>1794.92740631104%/100</f>
        <v>0.17949274063110399</v>
      </c>
      <c r="K11" s="79">
        <f>632.57851600647%/100</f>
        <v>6.3257851600646994E-2</v>
      </c>
    </row>
    <row r="12" spans="1:11" ht="25" customHeight="1" thickBot="1">
      <c r="A12" s="181" t="s">
        <v>364</v>
      </c>
      <c r="B12" s="153" t="str">
        <f>[1]!thsiFinD("ths_fund_short_name_fund",A12)</f>
        <v>易方达稳健收益债券B</v>
      </c>
      <c r="C12" s="154">
        <f ca="1">[1]!thsiFinD("ths_adjustment_nvg_ratio_fund",$A12,B$5,B$5,101)/100</f>
        <v>0</v>
      </c>
      <c r="D12" s="154">
        <f ca="1">[1]!thsiFinD("ths_adjustment_nvg_ratio_fund",$A12,D$4,D$5,101)/100</f>
        <v>0</v>
      </c>
      <c r="E12" s="154">
        <f ca="1">[1]!thsiFinD("ths_adjustment_nvg_ratio_fund",$A12,E$4,E$5,101)/100</f>
        <v>3.3192090285562E-3</v>
      </c>
      <c r="F12" s="154">
        <f ca="1">-[1]!thsiFinD("ths_max_retrace_rate_all_fund",$A12,F$4,F$5)/100</f>
        <v>-7.1573924774020999E-3</v>
      </c>
      <c r="I12" s="229"/>
      <c r="J12" s="79">
        <f>[1]!thsiFinD("ths_stock_mv_to_fanv_fund",$A12,$J$4)/100</f>
        <v>0.19788435517076</v>
      </c>
      <c r="K12" s="79">
        <f>[1]!thsiFinD("ths_cb_mv_to_fanv_fund",A12,$J$4)/100</f>
        <v>3.9300000000000002E-2</v>
      </c>
    </row>
    <row r="13" spans="1:11" ht="25" customHeight="1">
      <c r="A13" s="181" t="s">
        <v>409</v>
      </c>
      <c r="B13" s="215" t="str">
        <f>[1]!thsiFinD("ths_fund_short_name_fund",A13)</f>
        <v>易方达增强回报债券A</v>
      </c>
      <c r="C13" s="216">
        <f ca="1">[1]!thsiFinD("ths_adjustment_nvg_ratio_fund",$A13,B$5,B$5,101)/100</f>
        <v>0</v>
      </c>
      <c r="D13" s="216">
        <f ca="1">[1]!thsiFinD("ths_adjustment_nvg_ratio_fund",$A13,D$4,D$5,101)/100</f>
        <v>0</v>
      </c>
      <c r="E13" s="216">
        <f ca="1">[1]!thsiFinD("ths_adjustment_nvg_ratio_fund",$A13,E$4,E$5,101)/100</f>
        <v>2.5769506066360996E-3</v>
      </c>
      <c r="F13" s="216">
        <f ca="1">-[1]!thsiFinD("ths_max_retrace_rate_all_fund",$A13,F$4,F$5)/100</f>
        <v>-3.3490095444630003E-3</v>
      </c>
      <c r="I13" s="78"/>
      <c r="J13" s="79">
        <f>1794.92740631104%/100</f>
        <v>0.17949274063110399</v>
      </c>
      <c r="K13" s="79">
        <f>632.57851600647%/100</f>
        <v>6.3257851600646994E-2</v>
      </c>
    </row>
    <row r="14" spans="1:11" ht="18" customHeight="1">
      <c r="A14" s="80"/>
      <c r="B14" s="230" t="s">
        <v>365</v>
      </c>
      <c r="C14" s="230"/>
      <c r="D14" s="230"/>
      <c r="E14" s="230"/>
      <c r="F14" s="230"/>
      <c r="I14" s="101"/>
      <c r="J14" s="80"/>
      <c r="K14" s="80"/>
    </row>
    <row r="15" spans="1:11" ht="14.5">
      <c r="A15" s="81"/>
      <c r="B15" s="58"/>
      <c r="C15" s="58"/>
      <c r="D15" s="58"/>
      <c r="E15" s="58"/>
      <c r="F15" s="58"/>
      <c r="I15" s="81"/>
      <c r="J15" s="81"/>
      <c r="K15" s="81"/>
    </row>
    <row r="16" spans="1:11" ht="14.5">
      <c r="A16" s="81"/>
      <c r="B16" s="58"/>
      <c r="C16" s="58"/>
      <c r="D16" s="58"/>
      <c r="E16" s="58"/>
      <c r="F16" s="58"/>
      <c r="I16" s="81"/>
      <c r="J16" s="81"/>
      <c r="K16" s="81"/>
    </row>
    <row r="17" spans="1:11" ht="14.5">
      <c r="A17" s="81"/>
      <c r="B17" s="58"/>
      <c r="C17" s="58"/>
      <c r="D17" s="58"/>
      <c r="E17" s="58"/>
      <c r="F17" s="58"/>
      <c r="I17" s="81"/>
      <c r="J17" s="81"/>
      <c r="K17" s="81"/>
    </row>
    <row r="18" spans="1:11" ht="14.5">
      <c r="A18" s="81"/>
      <c r="B18" s="58"/>
      <c r="C18" s="58"/>
      <c r="D18" s="58"/>
      <c r="E18" s="58"/>
      <c r="F18" s="58"/>
      <c r="I18" s="81"/>
      <c r="J18" s="81"/>
      <c r="K18" s="81"/>
    </row>
    <row r="19" spans="1:11" ht="14.5">
      <c r="A19" s="81"/>
      <c r="B19" s="58"/>
      <c r="C19" s="58"/>
      <c r="D19" s="58"/>
      <c r="E19" s="58"/>
      <c r="F19" s="58"/>
      <c r="I19" s="81"/>
      <c r="J19" s="81"/>
      <c r="K19" s="81"/>
    </row>
    <row r="20" spans="1:11" ht="14.5">
      <c r="A20" s="81"/>
      <c r="B20" s="58"/>
      <c r="C20" s="58"/>
      <c r="D20" s="58"/>
      <c r="E20" s="58"/>
      <c r="F20" s="58"/>
      <c r="I20" s="81"/>
      <c r="J20" s="81"/>
      <c r="K20" s="81"/>
    </row>
    <row r="21" spans="1:11" ht="14.5">
      <c r="A21" s="81"/>
      <c r="B21" s="58"/>
      <c r="C21" s="58"/>
      <c r="D21" s="58"/>
      <c r="E21" s="58"/>
      <c r="F21" s="58"/>
      <c r="I21" s="81"/>
      <c r="J21" s="81"/>
      <c r="K21" s="81"/>
    </row>
    <row r="22" spans="1:11" ht="14.5">
      <c r="A22" s="81"/>
      <c r="B22" s="58"/>
      <c r="C22" s="58"/>
      <c r="D22" s="58"/>
      <c r="E22" s="58"/>
      <c r="F22" s="58"/>
      <c r="I22" s="81"/>
      <c r="J22" s="81"/>
      <c r="K22" s="81"/>
    </row>
    <row r="23" spans="1:11" ht="14.5">
      <c r="A23" s="81"/>
      <c r="B23" s="58"/>
      <c r="C23" s="58"/>
      <c r="D23" s="58"/>
      <c r="E23" s="58"/>
      <c r="F23" s="58"/>
      <c r="I23" s="81"/>
      <c r="J23" s="81"/>
      <c r="K23" s="81"/>
    </row>
    <row r="24" spans="1:11" ht="14.5">
      <c r="A24" s="81"/>
      <c r="B24" s="58"/>
      <c r="C24" s="58"/>
      <c r="D24" s="58"/>
      <c r="E24" s="58"/>
      <c r="F24" s="58"/>
      <c r="I24" s="81"/>
      <c r="J24" s="81"/>
      <c r="K24" s="81"/>
    </row>
    <row r="25" spans="1:11" ht="16.5">
      <c r="A25" s="78"/>
      <c r="B25" s="59"/>
      <c r="C25" s="60"/>
      <c r="D25" s="60"/>
      <c r="E25" s="60"/>
      <c r="F25" s="60"/>
      <c r="J25" s="82"/>
      <c r="K25" s="83"/>
    </row>
    <row r="26" spans="1:11" ht="16.5">
      <c r="A26" s="78"/>
      <c r="B26" s="59"/>
      <c r="C26" s="60"/>
      <c r="D26" s="60"/>
      <c r="E26" s="60"/>
      <c r="F26" s="60"/>
      <c r="J26" s="83"/>
      <c r="K26" s="83"/>
    </row>
    <row r="28" spans="1:11" ht="16.5">
      <c r="A28" s="55"/>
      <c r="B28" s="55"/>
      <c r="C28" s="56"/>
      <c r="D28" s="56"/>
      <c r="E28" s="56"/>
      <c r="F28" s="56"/>
      <c r="J28" s="79"/>
      <c r="K28" s="79"/>
    </row>
    <row r="29" spans="1:11" ht="16.5">
      <c r="A29" s="61"/>
      <c r="B29" s="61"/>
      <c r="C29" s="62"/>
      <c r="D29" s="62"/>
      <c r="E29" s="62"/>
      <c r="F29" s="62"/>
      <c r="J29" s="84"/>
      <c r="K29" s="84"/>
    </row>
    <row r="30" spans="1:11" ht="16.5">
      <c r="A30" s="55"/>
      <c r="B30" s="54"/>
      <c r="C30" s="57"/>
      <c r="D30" s="57"/>
      <c r="E30" s="57"/>
      <c r="F30" s="57"/>
      <c r="J30" s="79"/>
      <c r="K30" s="79"/>
    </row>
    <row r="32" spans="1:11" ht="16.5">
      <c r="A32" s="55"/>
      <c r="B32" s="54"/>
      <c r="C32" s="57"/>
      <c r="D32" s="57"/>
      <c r="E32" s="57"/>
      <c r="F32" s="57"/>
      <c r="J32" s="79"/>
      <c r="K32" s="79"/>
    </row>
    <row r="33" spans="1:16368" ht="16.5">
      <c r="A33" s="55"/>
      <c r="B33" s="55"/>
      <c r="C33" s="56"/>
      <c r="D33" s="56"/>
      <c r="E33" s="56"/>
      <c r="F33" s="56"/>
      <c r="J33" s="79"/>
      <c r="K33" s="79"/>
    </row>
    <row r="39" spans="1:16368" ht="13.5">
      <c r="A39" s="85"/>
      <c r="B39" s="63"/>
      <c r="C39" s="64"/>
      <c r="D39" s="64"/>
      <c r="E39" s="64"/>
      <c r="F39" s="65"/>
      <c r="G39" s="87"/>
      <c r="J39" s="85"/>
      <c r="K39" s="85"/>
      <c r="L39" s="88"/>
      <c r="M39" s="88"/>
      <c r="P39" s="89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  <c r="FM39" s="66"/>
      <c r="FN39" s="66"/>
      <c r="FO39" s="66"/>
      <c r="FP39" s="66"/>
      <c r="FQ39" s="66"/>
      <c r="FR39" s="66"/>
      <c r="FS39" s="66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6"/>
      <c r="GT39" s="66"/>
      <c r="GU39" s="66"/>
      <c r="GV39" s="66"/>
      <c r="GW39" s="66"/>
      <c r="GX39" s="66"/>
      <c r="GY39" s="66"/>
      <c r="GZ39" s="66"/>
      <c r="HA39" s="66"/>
      <c r="HB39" s="66"/>
      <c r="HC39" s="66"/>
      <c r="HD39" s="66"/>
      <c r="HE39" s="66"/>
      <c r="HF39" s="66"/>
      <c r="HG39" s="66"/>
      <c r="HH39" s="66"/>
      <c r="HI39" s="66"/>
      <c r="HJ39" s="66"/>
      <c r="HK39" s="66"/>
      <c r="HL39" s="66"/>
      <c r="HM39" s="66"/>
      <c r="HN39" s="66"/>
      <c r="HO39" s="66"/>
      <c r="HP39" s="66"/>
      <c r="HQ39" s="66"/>
      <c r="HR39" s="66"/>
      <c r="HS39" s="66"/>
      <c r="HT39" s="66"/>
      <c r="HU39" s="66"/>
      <c r="HV39" s="66"/>
      <c r="HW39" s="66"/>
      <c r="HX39" s="66"/>
      <c r="HY39" s="66"/>
      <c r="HZ39" s="66"/>
      <c r="IA39" s="66"/>
      <c r="IB39" s="66"/>
      <c r="IC39" s="66"/>
      <c r="ID39" s="66"/>
      <c r="IE39" s="66"/>
      <c r="IF39" s="66"/>
      <c r="IG39" s="66"/>
      <c r="IH39" s="66"/>
      <c r="II39" s="66"/>
      <c r="IJ39" s="66"/>
      <c r="IK39" s="66"/>
      <c r="IL39" s="66"/>
      <c r="IM39" s="66"/>
      <c r="IN39" s="66"/>
      <c r="IO39" s="66"/>
      <c r="IP39" s="66"/>
      <c r="IQ39" s="66"/>
      <c r="IR39" s="66"/>
      <c r="IS39" s="66"/>
      <c r="IT39" s="66"/>
      <c r="IU39" s="66"/>
      <c r="IV39" s="66"/>
      <c r="IW39" s="66"/>
      <c r="IX39" s="66"/>
      <c r="IY39" s="66"/>
      <c r="IZ39" s="66"/>
      <c r="JA39" s="66"/>
      <c r="JB39" s="66"/>
      <c r="JC39" s="66"/>
      <c r="JD39" s="66"/>
      <c r="JE39" s="66"/>
      <c r="JF39" s="66"/>
      <c r="JG39" s="66"/>
      <c r="JH39" s="66"/>
      <c r="JI39" s="66"/>
      <c r="JJ39" s="66"/>
      <c r="JK39" s="66"/>
      <c r="JL39" s="66"/>
      <c r="JM39" s="66"/>
      <c r="JN39" s="66"/>
      <c r="JO39" s="66"/>
      <c r="JP39" s="66"/>
      <c r="JQ39" s="66"/>
      <c r="JR39" s="66"/>
      <c r="JS39" s="66"/>
      <c r="JT39" s="66"/>
      <c r="JU39" s="66"/>
      <c r="JV39" s="66"/>
      <c r="JW39" s="66"/>
      <c r="JX39" s="66"/>
      <c r="JY39" s="66"/>
      <c r="JZ39" s="66"/>
      <c r="KA39" s="66"/>
      <c r="KB39" s="66"/>
      <c r="KC39" s="66"/>
      <c r="KD39" s="66"/>
      <c r="KE39" s="66"/>
      <c r="KF39" s="66"/>
      <c r="KG39" s="66"/>
      <c r="KH39" s="66"/>
      <c r="KI39" s="66"/>
      <c r="KJ39" s="66"/>
      <c r="KK39" s="66"/>
      <c r="KL39" s="66"/>
      <c r="KM39" s="66"/>
      <c r="KN39" s="66"/>
      <c r="KO39" s="66"/>
      <c r="KP39" s="66"/>
      <c r="KQ39" s="66"/>
      <c r="KR39" s="66"/>
      <c r="KS39" s="66"/>
      <c r="KT39" s="66"/>
      <c r="KU39" s="66"/>
      <c r="KV39" s="66"/>
      <c r="KW39" s="66"/>
      <c r="KX39" s="66"/>
      <c r="KY39" s="66"/>
      <c r="KZ39" s="66"/>
      <c r="LA39" s="66"/>
      <c r="LB39" s="66"/>
      <c r="LC39" s="66"/>
      <c r="LD39" s="66"/>
      <c r="LE39" s="66"/>
      <c r="LF39" s="66"/>
      <c r="LG39" s="66"/>
      <c r="LH39" s="66"/>
      <c r="LI39" s="66"/>
      <c r="LJ39" s="66"/>
      <c r="LK39" s="66"/>
      <c r="LL39" s="66"/>
      <c r="LM39" s="66"/>
      <c r="LN39" s="66"/>
      <c r="LO39" s="66"/>
      <c r="LP39" s="66"/>
      <c r="LQ39" s="66"/>
      <c r="LR39" s="66"/>
      <c r="LS39" s="66"/>
      <c r="LT39" s="66"/>
      <c r="LU39" s="66"/>
      <c r="LV39" s="66"/>
      <c r="LW39" s="66"/>
      <c r="LX39" s="66"/>
      <c r="LY39" s="66"/>
      <c r="LZ39" s="66"/>
      <c r="MA39" s="66"/>
      <c r="MB39" s="66"/>
      <c r="MC39" s="66"/>
      <c r="MD39" s="66"/>
      <c r="ME39" s="66"/>
      <c r="MF39" s="66"/>
      <c r="MG39" s="66"/>
      <c r="MH39" s="66"/>
      <c r="MI39" s="66"/>
      <c r="MJ39" s="66"/>
      <c r="MK39" s="66"/>
      <c r="ML39" s="66"/>
      <c r="MM39" s="66"/>
      <c r="MN39" s="66"/>
      <c r="MO39" s="66"/>
      <c r="MP39" s="66"/>
      <c r="MQ39" s="66"/>
      <c r="MR39" s="66"/>
      <c r="MS39" s="66"/>
      <c r="MT39" s="66"/>
      <c r="MU39" s="66"/>
      <c r="MV39" s="66"/>
      <c r="MW39" s="66"/>
      <c r="MX39" s="66"/>
      <c r="MY39" s="66"/>
      <c r="MZ39" s="66"/>
      <c r="NA39" s="66"/>
      <c r="NB39" s="66"/>
      <c r="NC39" s="66"/>
      <c r="ND39" s="66"/>
      <c r="NE39" s="66"/>
      <c r="NF39" s="66"/>
      <c r="NG39" s="66"/>
      <c r="NH39" s="66"/>
      <c r="NI39" s="66"/>
      <c r="NJ39" s="66"/>
      <c r="NK39" s="66"/>
      <c r="NL39" s="66"/>
      <c r="NM39" s="66"/>
      <c r="NN39" s="66"/>
      <c r="NO39" s="66"/>
      <c r="NP39" s="66"/>
      <c r="NQ39" s="66"/>
      <c r="NR39" s="66"/>
      <c r="NS39" s="66"/>
      <c r="NT39" s="66"/>
      <c r="NU39" s="66"/>
      <c r="NV39" s="66"/>
      <c r="NW39" s="66"/>
      <c r="NX39" s="66"/>
      <c r="NY39" s="66"/>
      <c r="NZ39" s="66"/>
      <c r="OA39" s="66"/>
      <c r="OB39" s="66"/>
      <c r="OC39" s="66"/>
      <c r="OD39" s="66"/>
      <c r="OE39" s="66"/>
      <c r="OF39" s="66"/>
      <c r="OG39" s="66"/>
      <c r="OH39" s="66"/>
      <c r="OI39" s="66"/>
      <c r="OJ39" s="66"/>
      <c r="OK39" s="66"/>
      <c r="OL39" s="66"/>
      <c r="OM39" s="66"/>
      <c r="ON39" s="66"/>
      <c r="OO39" s="66"/>
      <c r="OP39" s="66"/>
      <c r="OQ39" s="66"/>
      <c r="OR39" s="66"/>
      <c r="OS39" s="66"/>
      <c r="OT39" s="66"/>
      <c r="OU39" s="66"/>
      <c r="OV39" s="66"/>
      <c r="OW39" s="66"/>
      <c r="OX39" s="66"/>
      <c r="OY39" s="66"/>
      <c r="OZ39" s="66"/>
      <c r="PA39" s="66"/>
      <c r="PB39" s="66"/>
      <c r="PC39" s="66"/>
      <c r="PD39" s="66"/>
      <c r="PE39" s="66"/>
      <c r="PF39" s="66"/>
      <c r="PG39" s="66"/>
      <c r="PH39" s="66"/>
      <c r="PI39" s="66"/>
      <c r="PJ39" s="66"/>
      <c r="PK39" s="66"/>
      <c r="PL39" s="66"/>
      <c r="PM39" s="66"/>
      <c r="PN39" s="66"/>
      <c r="PO39" s="66"/>
      <c r="PP39" s="66"/>
      <c r="PQ39" s="66"/>
      <c r="PR39" s="66"/>
      <c r="PS39" s="66"/>
      <c r="PT39" s="66"/>
      <c r="PU39" s="66"/>
      <c r="PV39" s="66"/>
      <c r="PW39" s="66"/>
      <c r="PX39" s="66"/>
      <c r="PY39" s="66"/>
      <c r="PZ39" s="66"/>
      <c r="QA39" s="66"/>
      <c r="QB39" s="66"/>
      <c r="QC39" s="66"/>
      <c r="QD39" s="66"/>
      <c r="QE39" s="66"/>
      <c r="QF39" s="66"/>
      <c r="QG39" s="66"/>
      <c r="QH39" s="66"/>
      <c r="QI39" s="66"/>
      <c r="QJ39" s="66"/>
      <c r="QK39" s="66"/>
      <c r="QL39" s="66"/>
      <c r="QM39" s="66"/>
      <c r="QN39" s="66"/>
      <c r="QO39" s="66"/>
      <c r="QP39" s="66"/>
      <c r="QQ39" s="66"/>
      <c r="QR39" s="66"/>
      <c r="QS39" s="66"/>
      <c r="QT39" s="66"/>
      <c r="QU39" s="66"/>
      <c r="QV39" s="66"/>
      <c r="QW39" s="66"/>
      <c r="QX39" s="66"/>
      <c r="QY39" s="66"/>
      <c r="QZ39" s="66"/>
      <c r="RA39" s="66"/>
      <c r="RB39" s="66"/>
      <c r="RC39" s="66"/>
      <c r="RD39" s="66"/>
      <c r="RE39" s="66"/>
      <c r="RF39" s="66"/>
      <c r="RG39" s="66"/>
      <c r="RH39" s="66"/>
      <c r="RI39" s="66"/>
      <c r="RJ39" s="66"/>
      <c r="RK39" s="66"/>
      <c r="RL39" s="66"/>
      <c r="RM39" s="66"/>
      <c r="RN39" s="66"/>
      <c r="RO39" s="66"/>
      <c r="RP39" s="66"/>
      <c r="RQ39" s="66"/>
      <c r="RR39" s="66"/>
      <c r="RS39" s="66"/>
      <c r="RT39" s="66"/>
      <c r="RU39" s="66"/>
      <c r="RV39" s="66"/>
      <c r="RW39" s="66"/>
      <c r="RX39" s="66"/>
      <c r="RY39" s="66"/>
      <c r="RZ39" s="66"/>
      <c r="SA39" s="66"/>
      <c r="SB39" s="66"/>
      <c r="SC39" s="66"/>
      <c r="SD39" s="66"/>
      <c r="SE39" s="66"/>
      <c r="SF39" s="66"/>
      <c r="SG39" s="66"/>
      <c r="SH39" s="66"/>
      <c r="SI39" s="66"/>
      <c r="SJ39" s="66"/>
      <c r="SK39" s="66"/>
      <c r="SL39" s="66"/>
      <c r="SM39" s="66"/>
      <c r="SN39" s="66"/>
      <c r="SO39" s="66"/>
      <c r="SP39" s="66"/>
      <c r="SQ39" s="66"/>
      <c r="SR39" s="66"/>
      <c r="SS39" s="66"/>
      <c r="ST39" s="66"/>
      <c r="SU39" s="66"/>
      <c r="SV39" s="66"/>
      <c r="SW39" s="66"/>
      <c r="SX39" s="66"/>
      <c r="SY39" s="66"/>
      <c r="SZ39" s="66"/>
      <c r="TA39" s="66"/>
      <c r="TB39" s="66"/>
      <c r="TC39" s="66"/>
      <c r="TD39" s="66"/>
      <c r="TE39" s="66"/>
      <c r="TF39" s="66"/>
      <c r="TG39" s="66"/>
      <c r="TH39" s="66"/>
      <c r="TI39" s="66"/>
      <c r="TJ39" s="66"/>
      <c r="TK39" s="66"/>
      <c r="TL39" s="66"/>
      <c r="TM39" s="66"/>
      <c r="TN39" s="66"/>
      <c r="TO39" s="66"/>
      <c r="TP39" s="66"/>
      <c r="TQ39" s="66"/>
      <c r="TR39" s="66"/>
      <c r="TS39" s="66"/>
      <c r="TT39" s="66"/>
      <c r="TU39" s="66"/>
      <c r="TV39" s="66"/>
      <c r="TW39" s="66"/>
      <c r="TX39" s="66"/>
      <c r="TY39" s="66"/>
      <c r="TZ39" s="66"/>
      <c r="UA39" s="66"/>
      <c r="UB39" s="66"/>
      <c r="UC39" s="66"/>
      <c r="UD39" s="66"/>
      <c r="UE39" s="66"/>
      <c r="UF39" s="66"/>
      <c r="UG39" s="66"/>
      <c r="UH39" s="66"/>
      <c r="UI39" s="66"/>
      <c r="UJ39" s="66"/>
      <c r="UK39" s="66"/>
      <c r="UL39" s="66"/>
      <c r="UM39" s="66"/>
      <c r="UN39" s="66"/>
      <c r="UO39" s="66"/>
      <c r="UP39" s="66"/>
      <c r="UQ39" s="66"/>
      <c r="UR39" s="66"/>
      <c r="US39" s="66"/>
      <c r="UT39" s="66"/>
      <c r="UU39" s="66"/>
      <c r="UV39" s="66"/>
      <c r="UW39" s="66"/>
      <c r="UX39" s="66"/>
      <c r="UY39" s="66"/>
      <c r="UZ39" s="66"/>
      <c r="VA39" s="66"/>
      <c r="VB39" s="66"/>
      <c r="VC39" s="66"/>
      <c r="VD39" s="66"/>
      <c r="VE39" s="66"/>
      <c r="VF39" s="66"/>
      <c r="VG39" s="66"/>
      <c r="VH39" s="66"/>
      <c r="VI39" s="66"/>
      <c r="VJ39" s="66"/>
      <c r="VK39" s="66"/>
      <c r="VL39" s="66"/>
      <c r="VM39" s="66"/>
      <c r="VN39" s="66"/>
      <c r="VO39" s="66"/>
      <c r="VP39" s="66"/>
      <c r="VQ39" s="66"/>
      <c r="VR39" s="66"/>
      <c r="VS39" s="66"/>
      <c r="VT39" s="66"/>
      <c r="VU39" s="66"/>
      <c r="VV39" s="66"/>
      <c r="VW39" s="66"/>
      <c r="VX39" s="66"/>
      <c r="VY39" s="66"/>
      <c r="VZ39" s="66"/>
      <c r="WA39" s="66"/>
      <c r="WB39" s="66"/>
      <c r="WC39" s="66"/>
      <c r="WD39" s="66"/>
      <c r="WE39" s="66"/>
      <c r="WF39" s="66"/>
      <c r="WG39" s="66"/>
      <c r="WH39" s="66"/>
      <c r="WI39" s="66"/>
      <c r="WJ39" s="66"/>
      <c r="WK39" s="66"/>
      <c r="WL39" s="66"/>
      <c r="WM39" s="66"/>
      <c r="WN39" s="66"/>
      <c r="WO39" s="66"/>
      <c r="WP39" s="66"/>
      <c r="WQ39" s="66"/>
      <c r="WR39" s="66"/>
      <c r="WS39" s="66"/>
      <c r="WT39" s="66"/>
      <c r="WU39" s="66"/>
      <c r="WV39" s="66"/>
      <c r="WW39" s="66"/>
      <c r="WX39" s="66"/>
      <c r="WY39" s="66"/>
      <c r="WZ39" s="66"/>
      <c r="XA39" s="66"/>
      <c r="XB39" s="66"/>
      <c r="XC39" s="66"/>
      <c r="XD39" s="66"/>
      <c r="XE39" s="66"/>
      <c r="XF39" s="66"/>
      <c r="XG39" s="66"/>
      <c r="XH39" s="66"/>
      <c r="XI39" s="66"/>
      <c r="XJ39" s="66"/>
      <c r="XK39" s="66"/>
      <c r="XL39" s="66"/>
      <c r="XM39" s="66"/>
      <c r="XN39" s="66"/>
      <c r="XO39" s="66"/>
      <c r="XP39" s="66"/>
      <c r="XQ39" s="66"/>
      <c r="XR39" s="66"/>
      <c r="XS39" s="66"/>
      <c r="XT39" s="66"/>
      <c r="XU39" s="66"/>
      <c r="XV39" s="66"/>
      <c r="XW39" s="66"/>
      <c r="XX39" s="66"/>
      <c r="XY39" s="66"/>
      <c r="XZ39" s="66"/>
      <c r="YA39" s="66"/>
      <c r="YB39" s="66"/>
      <c r="YC39" s="66"/>
      <c r="YD39" s="66"/>
      <c r="YE39" s="66"/>
      <c r="YF39" s="66"/>
      <c r="YG39" s="66"/>
      <c r="YH39" s="66"/>
      <c r="YI39" s="66"/>
      <c r="YJ39" s="66"/>
      <c r="YK39" s="66"/>
      <c r="YL39" s="66"/>
      <c r="YM39" s="66"/>
      <c r="YN39" s="66"/>
      <c r="YO39" s="66"/>
      <c r="YP39" s="66"/>
      <c r="YQ39" s="66"/>
      <c r="YR39" s="66"/>
      <c r="YS39" s="66"/>
      <c r="YT39" s="66"/>
      <c r="YU39" s="66"/>
      <c r="YV39" s="66"/>
      <c r="YW39" s="66"/>
      <c r="YX39" s="66"/>
      <c r="YY39" s="66"/>
      <c r="YZ39" s="66"/>
      <c r="ZA39" s="66"/>
      <c r="ZB39" s="66"/>
      <c r="ZC39" s="66"/>
      <c r="ZD39" s="66"/>
      <c r="ZE39" s="66"/>
      <c r="ZF39" s="66"/>
      <c r="ZG39" s="66"/>
      <c r="ZH39" s="66"/>
      <c r="ZI39" s="66"/>
      <c r="ZJ39" s="66"/>
      <c r="ZK39" s="66"/>
      <c r="ZL39" s="66"/>
      <c r="ZM39" s="66"/>
      <c r="ZN39" s="66"/>
      <c r="ZO39" s="66"/>
      <c r="ZP39" s="66"/>
      <c r="ZQ39" s="66"/>
      <c r="ZR39" s="66"/>
      <c r="ZS39" s="66"/>
      <c r="ZT39" s="66"/>
      <c r="ZU39" s="66"/>
      <c r="ZV39" s="66"/>
      <c r="ZW39" s="66"/>
      <c r="ZX39" s="66"/>
      <c r="ZY39" s="66"/>
      <c r="ZZ39" s="66"/>
      <c r="AAA39" s="66"/>
      <c r="AAB39" s="66"/>
      <c r="AAC39" s="66"/>
      <c r="AAD39" s="66"/>
      <c r="AAE39" s="66"/>
      <c r="AAF39" s="66"/>
      <c r="AAG39" s="66"/>
      <c r="AAH39" s="66"/>
      <c r="AAI39" s="66"/>
      <c r="AAJ39" s="66"/>
      <c r="AAK39" s="66"/>
      <c r="AAL39" s="66"/>
      <c r="AAM39" s="66"/>
      <c r="AAN39" s="66"/>
      <c r="AAO39" s="66"/>
      <c r="AAP39" s="66"/>
      <c r="AAQ39" s="66"/>
      <c r="AAR39" s="66"/>
      <c r="AAS39" s="66"/>
      <c r="AAT39" s="66"/>
      <c r="AAU39" s="66"/>
      <c r="AAV39" s="66"/>
      <c r="AAW39" s="66"/>
      <c r="AAX39" s="66"/>
      <c r="AAY39" s="66"/>
      <c r="AAZ39" s="66"/>
      <c r="ABA39" s="66"/>
      <c r="ABB39" s="66"/>
      <c r="ABC39" s="66"/>
      <c r="ABD39" s="66"/>
      <c r="ABE39" s="66"/>
      <c r="ABF39" s="66"/>
      <c r="ABG39" s="66"/>
      <c r="ABH39" s="66"/>
      <c r="ABI39" s="66"/>
      <c r="ABJ39" s="66"/>
      <c r="ABK39" s="66"/>
      <c r="ABL39" s="66"/>
      <c r="ABM39" s="66"/>
      <c r="ABN39" s="66"/>
      <c r="ABO39" s="66"/>
      <c r="ABP39" s="66"/>
      <c r="ABQ39" s="66"/>
      <c r="ABR39" s="66"/>
      <c r="ABS39" s="66"/>
      <c r="ABT39" s="66"/>
      <c r="ABU39" s="66"/>
      <c r="ABV39" s="66"/>
      <c r="ABW39" s="66"/>
      <c r="ABX39" s="66"/>
      <c r="ABY39" s="66"/>
      <c r="ABZ39" s="66"/>
      <c r="ACA39" s="66"/>
      <c r="ACB39" s="66"/>
      <c r="ACC39" s="66"/>
      <c r="ACD39" s="66"/>
      <c r="ACE39" s="66"/>
      <c r="ACF39" s="66"/>
      <c r="ACG39" s="66"/>
      <c r="ACH39" s="66"/>
      <c r="ACI39" s="66"/>
      <c r="ACJ39" s="66"/>
      <c r="ACK39" s="66"/>
      <c r="ACL39" s="66"/>
      <c r="ACM39" s="66"/>
      <c r="ACN39" s="66"/>
      <c r="ACO39" s="66"/>
      <c r="ACP39" s="66"/>
      <c r="ACQ39" s="66"/>
      <c r="ACR39" s="66"/>
      <c r="ACS39" s="66"/>
      <c r="ACT39" s="66"/>
      <c r="ACU39" s="66"/>
      <c r="ACV39" s="66"/>
      <c r="ACW39" s="66"/>
      <c r="ACX39" s="66"/>
      <c r="ACY39" s="66"/>
      <c r="ACZ39" s="66"/>
      <c r="ADA39" s="66"/>
      <c r="ADB39" s="66"/>
      <c r="ADC39" s="66"/>
      <c r="ADD39" s="66"/>
      <c r="ADE39" s="66"/>
      <c r="ADF39" s="66"/>
      <c r="ADG39" s="66"/>
      <c r="ADH39" s="66"/>
      <c r="ADI39" s="66"/>
      <c r="ADJ39" s="66"/>
      <c r="ADK39" s="66"/>
      <c r="ADL39" s="66"/>
      <c r="ADM39" s="66"/>
      <c r="ADN39" s="66"/>
      <c r="ADO39" s="66"/>
      <c r="ADP39" s="66"/>
      <c r="ADQ39" s="66"/>
      <c r="ADR39" s="66"/>
      <c r="ADS39" s="66"/>
      <c r="ADT39" s="66"/>
      <c r="ADU39" s="66"/>
      <c r="ADV39" s="66"/>
      <c r="ADW39" s="66"/>
      <c r="ADX39" s="66"/>
      <c r="ADY39" s="66"/>
      <c r="ADZ39" s="66"/>
      <c r="AEA39" s="66"/>
      <c r="AEB39" s="66"/>
      <c r="AEC39" s="66"/>
      <c r="AED39" s="66"/>
      <c r="AEE39" s="66"/>
      <c r="AEF39" s="66"/>
      <c r="AEG39" s="66"/>
      <c r="AEH39" s="66"/>
      <c r="AEI39" s="66"/>
      <c r="AEJ39" s="66"/>
      <c r="AEK39" s="66"/>
      <c r="AEL39" s="66"/>
      <c r="AEM39" s="66"/>
      <c r="AEN39" s="66"/>
      <c r="AEO39" s="66"/>
      <c r="AEP39" s="66"/>
      <c r="AEQ39" s="66"/>
      <c r="AER39" s="66"/>
      <c r="AES39" s="66"/>
      <c r="AET39" s="66"/>
      <c r="AEU39" s="66"/>
      <c r="AEV39" s="66"/>
      <c r="AEW39" s="66"/>
      <c r="AEX39" s="66"/>
      <c r="AEY39" s="66"/>
      <c r="AEZ39" s="66"/>
      <c r="AFA39" s="66"/>
      <c r="AFB39" s="66"/>
      <c r="AFC39" s="66"/>
      <c r="AFD39" s="66"/>
      <c r="AFE39" s="66"/>
      <c r="AFF39" s="66"/>
      <c r="AFG39" s="66"/>
      <c r="AFH39" s="66"/>
      <c r="AFI39" s="66"/>
      <c r="AFJ39" s="66"/>
      <c r="AFK39" s="66"/>
      <c r="AFL39" s="66"/>
      <c r="AFM39" s="66"/>
      <c r="AFN39" s="66"/>
      <c r="AFO39" s="66"/>
      <c r="AFP39" s="66"/>
      <c r="AFQ39" s="66"/>
      <c r="AFR39" s="66"/>
      <c r="AFS39" s="66"/>
      <c r="AFT39" s="66"/>
      <c r="AFU39" s="66"/>
      <c r="AFV39" s="66"/>
      <c r="AFW39" s="66"/>
      <c r="AFX39" s="66"/>
      <c r="AFY39" s="66"/>
      <c r="AFZ39" s="66"/>
      <c r="AGA39" s="66"/>
      <c r="AGB39" s="66"/>
      <c r="AGC39" s="66"/>
      <c r="AGD39" s="66"/>
      <c r="AGE39" s="66"/>
      <c r="AGF39" s="66"/>
      <c r="AGG39" s="66"/>
      <c r="AGH39" s="66"/>
      <c r="AGI39" s="66"/>
      <c r="AGJ39" s="66"/>
      <c r="AGK39" s="66"/>
      <c r="AGL39" s="66"/>
      <c r="AGM39" s="66"/>
      <c r="AGN39" s="66"/>
      <c r="AGO39" s="66"/>
      <c r="AGP39" s="66"/>
      <c r="AGQ39" s="66"/>
      <c r="AGR39" s="66"/>
      <c r="AGS39" s="66"/>
      <c r="AGT39" s="66"/>
      <c r="AGU39" s="66"/>
      <c r="AGV39" s="66"/>
      <c r="AGW39" s="66"/>
      <c r="AGX39" s="66"/>
      <c r="AGY39" s="66"/>
      <c r="AGZ39" s="66"/>
      <c r="AHA39" s="66"/>
      <c r="AHB39" s="66"/>
      <c r="AHC39" s="66"/>
      <c r="AHD39" s="66"/>
      <c r="AHE39" s="66"/>
      <c r="AHF39" s="66"/>
      <c r="AHG39" s="66"/>
      <c r="AHH39" s="66"/>
      <c r="AHI39" s="66"/>
      <c r="AHJ39" s="66"/>
      <c r="AHK39" s="66"/>
      <c r="AHL39" s="66"/>
      <c r="AHM39" s="66"/>
      <c r="AHN39" s="66"/>
      <c r="AHO39" s="66"/>
      <c r="AHP39" s="66"/>
      <c r="AHQ39" s="66"/>
      <c r="AHR39" s="66"/>
      <c r="AHS39" s="66"/>
      <c r="AHT39" s="66"/>
      <c r="AHU39" s="66"/>
      <c r="AHV39" s="66"/>
      <c r="AHW39" s="66"/>
      <c r="AHX39" s="66"/>
      <c r="AHY39" s="66"/>
      <c r="AHZ39" s="66"/>
      <c r="AIA39" s="66"/>
      <c r="AIB39" s="66"/>
      <c r="AIC39" s="66"/>
      <c r="AID39" s="66"/>
      <c r="AIE39" s="66"/>
      <c r="AIF39" s="66"/>
      <c r="AIG39" s="66"/>
      <c r="AIH39" s="66"/>
      <c r="AII39" s="66"/>
      <c r="AIJ39" s="66"/>
      <c r="AIK39" s="66"/>
      <c r="AIL39" s="66"/>
      <c r="AIM39" s="66"/>
      <c r="AIN39" s="66"/>
      <c r="AIO39" s="66"/>
      <c r="AIP39" s="66"/>
      <c r="AIQ39" s="66"/>
      <c r="AIR39" s="66"/>
      <c r="AIS39" s="66"/>
      <c r="AIT39" s="66"/>
      <c r="AIU39" s="66"/>
      <c r="AIV39" s="66"/>
      <c r="AIW39" s="66"/>
      <c r="AIX39" s="66"/>
      <c r="AIY39" s="66"/>
      <c r="AIZ39" s="66"/>
      <c r="AJA39" s="66"/>
      <c r="AJB39" s="66"/>
      <c r="AJC39" s="66"/>
      <c r="AJD39" s="66"/>
      <c r="AJE39" s="66"/>
      <c r="AJF39" s="66"/>
      <c r="AJG39" s="66"/>
      <c r="AJH39" s="66"/>
      <c r="AJI39" s="66"/>
      <c r="AJJ39" s="66"/>
      <c r="AJK39" s="66"/>
      <c r="AJL39" s="66"/>
      <c r="AJM39" s="66"/>
      <c r="AJN39" s="66"/>
      <c r="AJO39" s="66"/>
      <c r="AJP39" s="66"/>
      <c r="AJQ39" s="66"/>
      <c r="AJR39" s="66"/>
      <c r="AJS39" s="66"/>
      <c r="AJT39" s="66"/>
      <c r="AJU39" s="66"/>
      <c r="AJV39" s="66"/>
      <c r="AJW39" s="66"/>
      <c r="AJX39" s="66"/>
      <c r="AJY39" s="66"/>
      <c r="AJZ39" s="66"/>
      <c r="AKA39" s="66"/>
      <c r="AKB39" s="66"/>
      <c r="AKC39" s="66"/>
      <c r="AKD39" s="66"/>
      <c r="AKE39" s="66"/>
      <c r="AKF39" s="66"/>
      <c r="AKG39" s="66"/>
      <c r="AKH39" s="66"/>
      <c r="AKI39" s="66"/>
      <c r="AKJ39" s="66"/>
      <c r="AKK39" s="66"/>
      <c r="AKL39" s="66"/>
      <c r="AKM39" s="66"/>
      <c r="AKN39" s="66"/>
      <c r="AKO39" s="66"/>
      <c r="AKP39" s="66"/>
      <c r="AKQ39" s="66"/>
      <c r="AKR39" s="66"/>
      <c r="AKS39" s="66"/>
      <c r="AKT39" s="66"/>
      <c r="AKU39" s="66"/>
      <c r="AKV39" s="66"/>
      <c r="AKW39" s="66"/>
      <c r="AKX39" s="66"/>
      <c r="AKY39" s="66"/>
      <c r="AKZ39" s="66"/>
      <c r="ALA39" s="66"/>
      <c r="ALB39" s="66"/>
      <c r="ALC39" s="66"/>
      <c r="ALD39" s="66"/>
      <c r="ALE39" s="66"/>
      <c r="ALF39" s="66"/>
      <c r="ALG39" s="66"/>
      <c r="ALH39" s="66"/>
      <c r="ALI39" s="66"/>
      <c r="ALJ39" s="66"/>
      <c r="ALK39" s="66"/>
      <c r="ALL39" s="66"/>
      <c r="ALM39" s="66"/>
      <c r="ALN39" s="66"/>
      <c r="ALO39" s="66"/>
      <c r="ALP39" s="66"/>
      <c r="ALQ39" s="66"/>
      <c r="ALR39" s="66"/>
      <c r="ALS39" s="66"/>
      <c r="ALT39" s="66"/>
      <c r="ALU39" s="66"/>
      <c r="ALV39" s="66"/>
      <c r="ALW39" s="66"/>
      <c r="ALX39" s="66"/>
      <c r="ALY39" s="66"/>
      <c r="ALZ39" s="66"/>
      <c r="AMA39" s="66"/>
      <c r="AMB39" s="66"/>
      <c r="AMC39" s="66"/>
      <c r="AMD39" s="66"/>
      <c r="AME39" s="66"/>
      <c r="AMF39" s="66"/>
      <c r="AMG39" s="66"/>
      <c r="AMH39" s="66"/>
      <c r="AMI39" s="66"/>
      <c r="AMJ39" s="66"/>
      <c r="AMK39" s="66"/>
      <c r="AML39" s="66"/>
      <c r="AMM39" s="66"/>
      <c r="AMN39" s="66"/>
      <c r="AMO39" s="66"/>
      <c r="AMP39" s="66"/>
      <c r="AMQ39" s="66"/>
      <c r="AMR39" s="66"/>
      <c r="AMS39" s="66"/>
      <c r="AMT39" s="66"/>
      <c r="AMU39" s="66"/>
      <c r="AMV39" s="66"/>
      <c r="AMW39" s="66"/>
      <c r="AMX39" s="66"/>
      <c r="AMY39" s="66"/>
      <c r="AMZ39" s="66"/>
      <c r="ANA39" s="66"/>
      <c r="ANB39" s="66"/>
      <c r="ANC39" s="66"/>
      <c r="AND39" s="66"/>
      <c r="ANE39" s="66"/>
      <c r="ANF39" s="66"/>
      <c r="ANG39" s="66"/>
      <c r="ANH39" s="66"/>
      <c r="ANI39" s="66"/>
      <c r="ANJ39" s="66"/>
      <c r="ANK39" s="66"/>
      <c r="ANL39" s="66"/>
      <c r="ANM39" s="66"/>
      <c r="ANN39" s="66"/>
      <c r="ANO39" s="66"/>
      <c r="ANP39" s="66"/>
      <c r="ANQ39" s="66"/>
      <c r="ANR39" s="66"/>
      <c r="ANS39" s="66"/>
      <c r="ANT39" s="66"/>
      <c r="ANU39" s="66"/>
      <c r="ANV39" s="66"/>
      <c r="ANW39" s="66"/>
      <c r="ANX39" s="66"/>
      <c r="ANY39" s="66"/>
      <c r="ANZ39" s="66"/>
      <c r="AOA39" s="66"/>
      <c r="AOB39" s="66"/>
      <c r="AOC39" s="66"/>
      <c r="AOD39" s="66"/>
      <c r="AOE39" s="66"/>
      <c r="AOF39" s="66"/>
      <c r="AOG39" s="66"/>
      <c r="AOH39" s="66"/>
      <c r="AOI39" s="66"/>
      <c r="AOJ39" s="66"/>
      <c r="AOK39" s="66"/>
      <c r="AOL39" s="66"/>
      <c r="AOM39" s="66"/>
      <c r="AON39" s="66"/>
      <c r="AOO39" s="66"/>
      <c r="AOP39" s="66"/>
      <c r="AOQ39" s="66"/>
      <c r="AOR39" s="66"/>
      <c r="AOS39" s="66"/>
      <c r="AOT39" s="66"/>
      <c r="AOU39" s="66"/>
      <c r="AOV39" s="66"/>
      <c r="AOW39" s="66"/>
      <c r="AOX39" s="66"/>
      <c r="AOY39" s="66"/>
      <c r="AOZ39" s="66"/>
      <c r="APA39" s="66"/>
      <c r="APB39" s="66"/>
      <c r="APC39" s="66"/>
      <c r="APD39" s="66"/>
      <c r="APE39" s="66"/>
      <c r="APF39" s="66"/>
      <c r="APG39" s="66"/>
      <c r="APH39" s="66"/>
      <c r="API39" s="66"/>
      <c r="APJ39" s="66"/>
      <c r="APK39" s="66"/>
      <c r="APL39" s="66"/>
      <c r="APM39" s="66"/>
      <c r="APN39" s="66"/>
      <c r="APO39" s="66"/>
      <c r="APP39" s="66"/>
      <c r="APQ39" s="66"/>
      <c r="APR39" s="66"/>
      <c r="APS39" s="66"/>
      <c r="APT39" s="66"/>
      <c r="APU39" s="66"/>
      <c r="APV39" s="66"/>
      <c r="APW39" s="66"/>
      <c r="APX39" s="66"/>
      <c r="APY39" s="66"/>
      <c r="APZ39" s="66"/>
      <c r="AQA39" s="66"/>
      <c r="AQB39" s="66"/>
      <c r="AQC39" s="66"/>
      <c r="AQD39" s="66"/>
      <c r="AQE39" s="66"/>
      <c r="AQF39" s="66"/>
      <c r="AQG39" s="66"/>
      <c r="AQH39" s="66"/>
      <c r="AQI39" s="66"/>
      <c r="AQJ39" s="66"/>
      <c r="AQK39" s="66"/>
      <c r="AQL39" s="66"/>
      <c r="AQM39" s="66"/>
      <c r="AQN39" s="66"/>
      <c r="AQO39" s="66"/>
      <c r="AQP39" s="66"/>
      <c r="AQQ39" s="66"/>
      <c r="AQR39" s="66"/>
      <c r="AQS39" s="66"/>
      <c r="AQT39" s="66"/>
      <c r="AQU39" s="66"/>
      <c r="AQV39" s="66"/>
      <c r="AQW39" s="66"/>
      <c r="AQX39" s="66"/>
      <c r="AQY39" s="66"/>
      <c r="AQZ39" s="66"/>
      <c r="ARA39" s="66"/>
      <c r="ARB39" s="66"/>
      <c r="ARC39" s="66"/>
      <c r="ARD39" s="66"/>
      <c r="ARE39" s="66"/>
      <c r="ARF39" s="66"/>
      <c r="ARG39" s="66"/>
      <c r="ARH39" s="66"/>
      <c r="ARI39" s="66"/>
      <c r="ARJ39" s="66"/>
      <c r="ARK39" s="66"/>
      <c r="ARL39" s="66"/>
      <c r="ARM39" s="66"/>
      <c r="ARN39" s="66"/>
      <c r="ARO39" s="66"/>
      <c r="ARP39" s="66"/>
      <c r="ARQ39" s="66"/>
      <c r="ARR39" s="66"/>
      <c r="ARS39" s="66"/>
      <c r="ART39" s="66"/>
      <c r="ARU39" s="66"/>
      <c r="ARV39" s="66"/>
      <c r="ARW39" s="66"/>
      <c r="ARX39" s="66"/>
      <c r="ARY39" s="66"/>
      <c r="ARZ39" s="66"/>
      <c r="ASA39" s="66"/>
      <c r="ASB39" s="66"/>
      <c r="ASC39" s="66"/>
      <c r="ASD39" s="66"/>
      <c r="ASE39" s="66"/>
      <c r="ASF39" s="66"/>
      <c r="ASG39" s="66"/>
      <c r="ASH39" s="66"/>
      <c r="ASI39" s="66"/>
      <c r="ASJ39" s="66"/>
      <c r="ASK39" s="66"/>
      <c r="ASL39" s="66"/>
      <c r="ASM39" s="66"/>
      <c r="ASN39" s="66"/>
      <c r="ASO39" s="66"/>
      <c r="ASP39" s="66"/>
      <c r="ASQ39" s="66"/>
      <c r="ASR39" s="66"/>
      <c r="ASS39" s="66"/>
      <c r="AST39" s="66"/>
      <c r="ASU39" s="66"/>
      <c r="ASV39" s="66"/>
      <c r="ASW39" s="66"/>
      <c r="ASX39" s="66"/>
      <c r="ASY39" s="66"/>
      <c r="ASZ39" s="66"/>
      <c r="ATA39" s="66"/>
      <c r="ATB39" s="66"/>
      <c r="ATC39" s="66"/>
      <c r="ATD39" s="66"/>
      <c r="ATE39" s="66"/>
      <c r="ATF39" s="66"/>
      <c r="ATG39" s="66"/>
      <c r="ATH39" s="66"/>
      <c r="ATI39" s="66"/>
      <c r="ATJ39" s="66"/>
      <c r="ATK39" s="66"/>
      <c r="ATL39" s="66"/>
      <c r="ATM39" s="66"/>
      <c r="ATN39" s="66"/>
      <c r="ATO39" s="66"/>
      <c r="ATP39" s="66"/>
      <c r="ATQ39" s="66"/>
      <c r="ATR39" s="66"/>
      <c r="ATS39" s="66"/>
      <c r="ATT39" s="66"/>
      <c r="ATU39" s="66"/>
      <c r="ATV39" s="66"/>
      <c r="ATW39" s="66"/>
      <c r="ATX39" s="66"/>
      <c r="ATY39" s="66"/>
      <c r="ATZ39" s="66"/>
      <c r="AUA39" s="66"/>
      <c r="AUB39" s="66"/>
      <c r="AUC39" s="66"/>
      <c r="AUD39" s="66"/>
      <c r="AUE39" s="66"/>
      <c r="AUF39" s="66"/>
      <c r="AUG39" s="66"/>
      <c r="AUH39" s="66"/>
      <c r="AUI39" s="66"/>
      <c r="AUJ39" s="66"/>
      <c r="AUK39" s="66"/>
      <c r="AUL39" s="66"/>
      <c r="AUM39" s="66"/>
      <c r="AUN39" s="66"/>
      <c r="AUO39" s="66"/>
      <c r="AUP39" s="66"/>
      <c r="AUQ39" s="66"/>
      <c r="AUR39" s="66"/>
      <c r="AUS39" s="66"/>
      <c r="AUT39" s="66"/>
      <c r="AUU39" s="66"/>
      <c r="AUV39" s="66"/>
      <c r="AUW39" s="66"/>
      <c r="AUX39" s="66"/>
      <c r="AUY39" s="66"/>
      <c r="AUZ39" s="66"/>
      <c r="AVA39" s="66"/>
      <c r="AVB39" s="66"/>
      <c r="AVC39" s="66"/>
      <c r="AVD39" s="66"/>
      <c r="AVE39" s="66"/>
      <c r="AVF39" s="66"/>
      <c r="AVG39" s="66"/>
      <c r="AVH39" s="66"/>
      <c r="AVI39" s="66"/>
      <c r="AVJ39" s="66"/>
      <c r="AVK39" s="66"/>
      <c r="AVL39" s="66"/>
      <c r="AVM39" s="66"/>
      <c r="AVN39" s="66"/>
      <c r="AVO39" s="66"/>
      <c r="AVP39" s="66"/>
      <c r="AVQ39" s="66"/>
      <c r="AVR39" s="66"/>
      <c r="AVS39" s="66"/>
      <c r="AVT39" s="66"/>
      <c r="AVU39" s="66"/>
      <c r="AVV39" s="66"/>
      <c r="AVW39" s="66"/>
      <c r="AVX39" s="66"/>
      <c r="AVY39" s="66"/>
      <c r="AVZ39" s="66"/>
      <c r="AWA39" s="66"/>
      <c r="AWB39" s="66"/>
      <c r="AWC39" s="66"/>
      <c r="AWD39" s="66"/>
      <c r="AWE39" s="66"/>
      <c r="AWF39" s="66"/>
      <c r="AWG39" s="66"/>
      <c r="AWH39" s="66"/>
      <c r="AWI39" s="66"/>
      <c r="AWJ39" s="66"/>
      <c r="AWK39" s="66"/>
      <c r="AWL39" s="66"/>
      <c r="AWM39" s="66"/>
      <c r="AWN39" s="66"/>
      <c r="AWO39" s="66"/>
      <c r="AWP39" s="66"/>
      <c r="AWQ39" s="66"/>
      <c r="AWR39" s="66"/>
      <c r="AWS39" s="66"/>
      <c r="AWT39" s="66"/>
      <c r="AWU39" s="66"/>
      <c r="AWV39" s="66"/>
      <c r="AWW39" s="66"/>
      <c r="AWX39" s="66"/>
      <c r="AWY39" s="66"/>
      <c r="AWZ39" s="66"/>
      <c r="AXA39" s="66"/>
      <c r="AXB39" s="66"/>
      <c r="AXC39" s="66"/>
      <c r="AXD39" s="66"/>
      <c r="AXE39" s="66"/>
      <c r="AXF39" s="66"/>
      <c r="AXG39" s="66"/>
      <c r="AXH39" s="66"/>
      <c r="AXI39" s="66"/>
      <c r="AXJ39" s="66"/>
      <c r="AXK39" s="66"/>
      <c r="AXL39" s="66"/>
      <c r="AXM39" s="66"/>
      <c r="AXN39" s="66"/>
      <c r="AXO39" s="66"/>
      <c r="AXP39" s="66"/>
      <c r="AXQ39" s="66"/>
      <c r="AXR39" s="66"/>
      <c r="AXS39" s="66"/>
      <c r="AXT39" s="66"/>
      <c r="AXU39" s="66"/>
      <c r="AXV39" s="66"/>
      <c r="AXW39" s="66"/>
      <c r="AXX39" s="66"/>
      <c r="AXY39" s="66"/>
      <c r="AXZ39" s="66"/>
      <c r="AYA39" s="66"/>
      <c r="AYB39" s="66"/>
      <c r="AYC39" s="66"/>
      <c r="AYD39" s="66"/>
      <c r="AYE39" s="66"/>
      <c r="AYF39" s="66"/>
      <c r="AYG39" s="66"/>
      <c r="AYH39" s="66"/>
      <c r="AYI39" s="66"/>
      <c r="AYJ39" s="66"/>
      <c r="AYK39" s="66"/>
      <c r="AYL39" s="66"/>
      <c r="AYM39" s="66"/>
      <c r="AYN39" s="66"/>
      <c r="AYO39" s="66"/>
      <c r="AYP39" s="66"/>
      <c r="AYQ39" s="66"/>
      <c r="AYR39" s="66"/>
      <c r="AYS39" s="66"/>
      <c r="AYT39" s="66"/>
      <c r="AYU39" s="66"/>
      <c r="AYV39" s="66"/>
      <c r="AYW39" s="66"/>
      <c r="AYX39" s="66"/>
      <c r="AYY39" s="66"/>
      <c r="AYZ39" s="66"/>
      <c r="AZA39" s="66"/>
      <c r="AZB39" s="66"/>
      <c r="AZC39" s="66"/>
      <c r="AZD39" s="66"/>
      <c r="AZE39" s="66"/>
      <c r="AZF39" s="66"/>
      <c r="AZG39" s="66"/>
      <c r="AZH39" s="66"/>
      <c r="AZI39" s="66"/>
      <c r="AZJ39" s="66"/>
      <c r="AZK39" s="66"/>
      <c r="AZL39" s="66"/>
      <c r="AZM39" s="66"/>
      <c r="AZN39" s="66"/>
      <c r="AZO39" s="66"/>
      <c r="AZP39" s="66"/>
      <c r="AZQ39" s="66"/>
      <c r="AZR39" s="66"/>
      <c r="AZS39" s="66"/>
      <c r="AZT39" s="66"/>
      <c r="AZU39" s="66"/>
      <c r="AZV39" s="66"/>
      <c r="AZW39" s="66"/>
      <c r="AZX39" s="66"/>
      <c r="AZY39" s="66"/>
      <c r="AZZ39" s="66"/>
      <c r="BAA39" s="66"/>
      <c r="BAB39" s="66"/>
      <c r="BAC39" s="66"/>
      <c r="BAD39" s="66"/>
      <c r="BAE39" s="66"/>
      <c r="BAF39" s="66"/>
      <c r="BAG39" s="66"/>
      <c r="BAH39" s="66"/>
      <c r="BAI39" s="66"/>
      <c r="BAJ39" s="66"/>
      <c r="BAK39" s="66"/>
      <c r="BAL39" s="66"/>
      <c r="BAM39" s="66"/>
      <c r="BAN39" s="66"/>
      <c r="BAO39" s="66"/>
      <c r="BAP39" s="66"/>
      <c r="BAQ39" s="66"/>
      <c r="BAR39" s="66"/>
      <c r="BAS39" s="66"/>
      <c r="BAT39" s="66"/>
      <c r="BAU39" s="66"/>
      <c r="BAV39" s="66"/>
      <c r="BAW39" s="66"/>
      <c r="BAX39" s="66"/>
      <c r="BAY39" s="66"/>
      <c r="BAZ39" s="66"/>
      <c r="BBA39" s="66"/>
      <c r="BBB39" s="66"/>
      <c r="BBC39" s="66"/>
      <c r="BBD39" s="66"/>
      <c r="BBE39" s="66"/>
      <c r="BBF39" s="66"/>
      <c r="BBG39" s="66"/>
      <c r="BBH39" s="66"/>
      <c r="BBI39" s="66"/>
      <c r="BBJ39" s="66"/>
      <c r="BBK39" s="66"/>
      <c r="BBL39" s="66"/>
      <c r="BBM39" s="66"/>
      <c r="BBN39" s="66"/>
      <c r="BBO39" s="66"/>
      <c r="BBP39" s="66"/>
      <c r="BBQ39" s="66"/>
      <c r="BBR39" s="66"/>
      <c r="BBS39" s="66"/>
      <c r="BBT39" s="66"/>
      <c r="BBU39" s="66"/>
      <c r="BBV39" s="66"/>
      <c r="BBW39" s="66"/>
      <c r="BBX39" s="66"/>
      <c r="BBY39" s="66"/>
      <c r="BBZ39" s="66"/>
      <c r="BCA39" s="66"/>
      <c r="BCB39" s="66"/>
      <c r="BCC39" s="66"/>
      <c r="BCD39" s="66"/>
      <c r="BCE39" s="66"/>
      <c r="BCF39" s="66"/>
      <c r="BCG39" s="66"/>
      <c r="BCH39" s="66"/>
      <c r="BCI39" s="66"/>
      <c r="BCJ39" s="66"/>
      <c r="BCK39" s="66"/>
      <c r="BCL39" s="66"/>
      <c r="BCM39" s="66"/>
      <c r="BCN39" s="66"/>
      <c r="BCO39" s="66"/>
      <c r="BCP39" s="66"/>
      <c r="BCQ39" s="66"/>
      <c r="BCR39" s="66"/>
      <c r="BCS39" s="66"/>
      <c r="BCT39" s="66"/>
      <c r="BCU39" s="66"/>
      <c r="BCV39" s="66"/>
      <c r="BCW39" s="66"/>
      <c r="BCX39" s="66"/>
      <c r="BCY39" s="66"/>
      <c r="BCZ39" s="66"/>
      <c r="BDA39" s="66"/>
      <c r="BDB39" s="66"/>
      <c r="BDC39" s="66"/>
      <c r="BDD39" s="66"/>
      <c r="BDE39" s="66"/>
      <c r="BDF39" s="66"/>
      <c r="BDG39" s="66"/>
      <c r="BDH39" s="66"/>
      <c r="BDI39" s="66"/>
      <c r="BDJ39" s="66"/>
      <c r="BDK39" s="66"/>
      <c r="BDL39" s="66"/>
      <c r="BDM39" s="66"/>
      <c r="BDN39" s="66"/>
      <c r="BDO39" s="66"/>
      <c r="BDP39" s="66"/>
      <c r="BDQ39" s="66"/>
      <c r="BDR39" s="66"/>
      <c r="BDS39" s="66"/>
      <c r="BDT39" s="66"/>
      <c r="BDU39" s="66"/>
      <c r="BDV39" s="66"/>
      <c r="BDW39" s="66"/>
      <c r="BDX39" s="66"/>
      <c r="BDY39" s="66"/>
      <c r="BDZ39" s="66"/>
      <c r="BEA39" s="66"/>
      <c r="BEB39" s="66"/>
      <c r="BEC39" s="66"/>
      <c r="BED39" s="66"/>
      <c r="BEE39" s="66"/>
      <c r="BEF39" s="66"/>
      <c r="BEG39" s="66"/>
      <c r="BEH39" s="66"/>
      <c r="BEI39" s="66"/>
      <c r="BEJ39" s="66"/>
      <c r="BEK39" s="66"/>
      <c r="BEL39" s="66"/>
      <c r="BEM39" s="66"/>
      <c r="BEN39" s="66"/>
      <c r="BEO39" s="66"/>
      <c r="BEP39" s="66"/>
      <c r="BEQ39" s="66"/>
      <c r="BER39" s="66"/>
      <c r="BES39" s="66"/>
      <c r="BET39" s="66"/>
      <c r="BEU39" s="66"/>
      <c r="BEV39" s="66"/>
      <c r="BEW39" s="66"/>
      <c r="BEX39" s="66"/>
      <c r="BEY39" s="66"/>
      <c r="BEZ39" s="66"/>
      <c r="BFA39" s="66"/>
      <c r="BFB39" s="66"/>
      <c r="BFC39" s="66"/>
      <c r="BFD39" s="66"/>
      <c r="BFE39" s="66"/>
      <c r="BFF39" s="66"/>
      <c r="BFG39" s="66"/>
      <c r="BFH39" s="66"/>
      <c r="BFI39" s="66"/>
      <c r="BFJ39" s="66"/>
      <c r="BFK39" s="66"/>
      <c r="BFL39" s="66"/>
      <c r="BFM39" s="66"/>
      <c r="BFN39" s="66"/>
      <c r="BFO39" s="66"/>
      <c r="BFP39" s="66"/>
      <c r="BFQ39" s="66"/>
      <c r="BFR39" s="66"/>
      <c r="BFS39" s="66"/>
      <c r="BFT39" s="66"/>
      <c r="BFU39" s="66"/>
      <c r="BFV39" s="66"/>
      <c r="BFW39" s="66"/>
      <c r="BFX39" s="66"/>
      <c r="BFY39" s="66"/>
      <c r="BFZ39" s="66"/>
      <c r="BGA39" s="66"/>
      <c r="BGB39" s="66"/>
      <c r="BGC39" s="66"/>
      <c r="BGD39" s="66"/>
      <c r="BGE39" s="66"/>
      <c r="BGF39" s="66"/>
      <c r="BGG39" s="66"/>
      <c r="BGH39" s="66"/>
      <c r="BGI39" s="66"/>
      <c r="BGJ39" s="66"/>
      <c r="BGK39" s="66"/>
      <c r="BGL39" s="66"/>
      <c r="BGM39" s="66"/>
      <c r="BGN39" s="66"/>
      <c r="BGO39" s="66"/>
      <c r="BGP39" s="66"/>
      <c r="BGQ39" s="66"/>
      <c r="BGR39" s="66"/>
      <c r="BGS39" s="66"/>
      <c r="BGT39" s="66"/>
      <c r="BGU39" s="66"/>
      <c r="BGV39" s="66"/>
      <c r="BGW39" s="66"/>
      <c r="BGX39" s="66"/>
      <c r="BGY39" s="66"/>
      <c r="BGZ39" s="66"/>
      <c r="BHA39" s="66"/>
      <c r="BHB39" s="66"/>
      <c r="BHC39" s="66"/>
      <c r="BHD39" s="66"/>
      <c r="BHE39" s="66"/>
      <c r="BHF39" s="66"/>
      <c r="BHG39" s="66"/>
      <c r="BHH39" s="66"/>
      <c r="BHI39" s="66"/>
      <c r="BHJ39" s="66"/>
      <c r="BHK39" s="66"/>
      <c r="BHL39" s="66"/>
      <c r="BHM39" s="66"/>
      <c r="BHN39" s="66"/>
      <c r="BHO39" s="66"/>
      <c r="BHP39" s="66"/>
      <c r="BHQ39" s="66"/>
      <c r="BHR39" s="66"/>
      <c r="BHS39" s="66"/>
      <c r="BHT39" s="66"/>
      <c r="BHU39" s="66"/>
      <c r="BHV39" s="66"/>
      <c r="BHW39" s="66"/>
      <c r="BHX39" s="66"/>
      <c r="BHY39" s="66"/>
      <c r="BHZ39" s="66"/>
      <c r="BIA39" s="66"/>
      <c r="BIB39" s="66"/>
      <c r="BIC39" s="66"/>
      <c r="BID39" s="66"/>
      <c r="BIE39" s="66"/>
      <c r="BIF39" s="66"/>
      <c r="BIG39" s="66"/>
      <c r="BIH39" s="66"/>
      <c r="BII39" s="66"/>
      <c r="BIJ39" s="66"/>
      <c r="BIK39" s="66"/>
      <c r="BIL39" s="66"/>
      <c r="BIM39" s="66"/>
      <c r="BIN39" s="66"/>
      <c r="BIO39" s="66"/>
      <c r="BIP39" s="66"/>
      <c r="BIQ39" s="66"/>
      <c r="BIR39" s="66"/>
      <c r="BIS39" s="66"/>
      <c r="BIT39" s="66"/>
      <c r="BIU39" s="66"/>
      <c r="BIV39" s="66"/>
      <c r="BIW39" s="66"/>
      <c r="BIX39" s="66"/>
      <c r="BIY39" s="66"/>
      <c r="BIZ39" s="66"/>
      <c r="BJA39" s="66"/>
      <c r="BJB39" s="66"/>
      <c r="BJC39" s="66"/>
      <c r="BJD39" s="66"/>
      <c r="BJE39" s="66"/>
      <c r="BJF39" s="66"/>
      <c r="BJG39" s="66"/>
      <c r="BJH39" s="66"/>
      <c r="BJI39" s="66"/>
      <c r="BJJ39" s="66"/>
      <c r="BJK39" s="66"/>
      <c r="BJL39" s="66"/>
      <c r="BJM39" s="66"/>
      <c r="BJN39" s="66"/>
      <c r="BJO39" s="66"/>
      <c r="BJP39" s="66"/>
      <c r="BJQ39" s="66"/>
      <c r="BJR39" s="66"/>
      <c r="BJS39" s="66"/>
      <c r="BJT39" s="66"/>
      <c r="BJU39" s="66"/>
      <c r="BJV39" s="66"/>
      <c r="BJW39" s="66"/>
      <c r="BJX39" s="66"/>
      <c r="BJY39" s="66"/>
      <c r="BJZ39" s="66"/>
      <c r="BKA39" s="66"/>
      <c r="BKB39" s="66"/>
      <c r="BKC39" s="66"/>
      <c r="BKD39" s="66"/>
      <c r="BKE39" s="66"/>
      <c r="BKF39" s="66"/>
      <c r="BKG39" s="66"/>
      <c r="BKH39" s="66"/>
      <c r="BKI39" s="66"/>
      <c r="BKJ39" s="66"/>
      <c r="BKK39" s="66"/>
      <c r="BKL39" s="66"/>
      <c r="BKM39" s="66"/>
      <c r="BKN39" s="66"/>
      <c r="BKO39" s="66"/>
      <c r="BKP39" s="66"/>
      <c r="BKQ39" s="66"/>
      <c r="BKR39" s="66"/>
      <c r="BKS39" s="66"/>
      <c r="BKT39" s="66"/>
      <c r="BKU39" s="66"/>
      <c r="BKV39" s="66"/>
      <c r="BKW39" s="66"/>
      <c r="BKX39" s="66"/>
      <c r="BKY39" s="66"/>
      <c r="BKZ39" s="66"/>
      <c r="BLA39" s="66"/>
      <c r="BLB39" s="66"/>
      <c r="BLC39" s="66"/>
      <c r="BLD39" s="66"/>
      <c r="BLE39" s="66"/>
      <c r="BLF39" s="66"/>
      <c r="BLG39" s="66"/>
      <c r="BLH39" s="66"/>
      <c r="BLI39" s="66"/>
      <c r="BLJ39" s="66"/>
      <c r="BLK39" s="66"/>
      <c r="BLL39" s="66"/>
      <c r="BLM39" s="66"/>
      <c r="BLN39" s="66"/>
      <c r="BLO39" s="66"/>
      <c r="BLP39" s="66"/>
      <c r="BLQ39" s="66"/>
      <c r="BLR39" s="66"/>
      <c r="BLS39" s="66"/>
      <c r="BLT39" s="66"/>
      <c r="BLU39" s="66"/>
      <c r="BLV39" s="66"/>
      <c r="BLW39" s="66"/>
      <c r="BLX39" s="66"/>
      <c r="BLY39" s="66"/>
      <c r="BLZ39" s="66"/>
      <c r="BMA39" s="66"/>
      <c r="BMB39" s="66"/>
      <c r="BMC39" s="66"/>
      <c r="BMD39" s="66"/>
      <c r="BME39" s="66"/>
      <c r="BMF39" s="66"/>
      <c r="BMG39" s="66"/>
      <c r="BMH39" s="66"/>
      <c r="BMI39" s="66"/>
      <c r="BMJ39" s="66"/>
      <c r="BMK39" s="66"/>
      <c r="BML39" s="66"/>
      <c r="BMM39" s="66"/>
      <c r="BMN39" s="66"/>
      <c r="BMO39" s="66"/>
      <c r="BMP39" s="66"/>
      <c r="BMQ39" s="66"/>
      <c r="BMR39" s="66"/>
      <c r="BMS39" s="66"/>
      <c r="BMT39" s="66"/>
      <c r="BMU39" s="66"/>
      <c r="BMV39" s="66"/>
      <c r="BMW39" s="66"/>
      <c r="BMX39" s="66"/>
      <c r="BMY39" s="66"/>
      <c r="BMZ39" s="66"/>
      <c r="BNA39" s="66"/>
      <c r="BNB39" s="66"/>
      <c r="BNC39" s="66"/>
      <c r="BND39" s="66"/>
      <c r="BNE39" s="66"/>
      <c r="BNF39" s="66"/>
      <c r="BNG39" s="66"/>
      <c r="BNH39" s="66"/>
      <c r="BNI39" s="66"/>
      <c r="BNJ39" s="66"/>
      <c r="BNK39" s="66"/>
      <c r="BNL39" s="66"/>
      <c r="BNM39" s="66"/>
      <c r="BNN39" s="66"/>
      <c r="BNO39" s="66"/>
      <c r="BNP39" s="66"/>
      <c r="BNQ39" s="66"/>
      <c r="BNR39" s="66"/>
      <c r="BNS39" s="66"/>
      <c r="BNT39" s="66"/>
      <c r="BNU39" s="66"/>
      <c r="BNV39" s="66"/>
      <c r="BNW39" s="66"/>
      <c r="BNX39" s="66"/>
      <c r="BNY39" s="66"/>
      <c r="BNZ39" s="66"/>
      <c r="BOA39" s="66"/>
      <c r="BOB39" s="66"/>
      <c r="BOC39" s="66"/>
      <c r="BOD39" s="66"/>
      <c r="BOE39" s="66"/>
      <c r="BOF39" s="66"/>
      <c r="BOG39" s="66"/>
      <c r="BOH39" s="66"/>
      <c r="BOI39" s="66"/>
      <c r="BOJ39" s="66"/>
      <c r="BOK39" s="66"/>
      <c r="BOL39" s="66"/>
      <c r="BOM39" s="66"/>
      <c r="BON39" s="66"/>
      <c r="BOO39" s="66"/>
      <c r="BOP39" s="66"/>
      <c r="BOQ39" s="66"/>
      <c r="BOR39" s="66"/>
      <c r="BOS39" s="66"/>
      <c r="BOT39" s="66"/>
      <c r="BOU39" s="66"/>
      <c r="BOV39" s="66"/>
      <c r="BOW39" s="66"/>
      <c r="BOX39" s="66"/>
      <c r="BOY39" s="66"/>
      <c r="BOZ39" s="66"/>
      <c r="BPA39" s="66"/>
      <c r="BPB39" s="66"/>
      <c r="BPC39" s="66"/>
      <c r="BPD39" s="66"/>
      <c r="BPE39" s="66"/>
      <c r="BPF39" s="66"/>
      <c r="BPG39" s="66"/>
      <c r="BPH39" s="66"/>
      <c r="BPI39" s="66"/>
      <c r="BPJ39" s="66"/>
      <c r="BPK39" s="66"/>
      <c r="BPL39" s="66"/>
      <c r="BPM39" s="66"/>
      <c r="BPN39" s="66"/>
      <c r="BPO39" s="66"/>
      <c r="BPP39" s="66"/>
      <c r="BPQ39" s="66"/>
      <c r="BPR39" s="66"/>
      <c r="BPS39" s="66"/>
      <c r="BPT39" s="66"/>
      <c r="BPU39" s="66"/>
      <c r="BPV39" s="66"/>
      <c r="BPW39" s="66"/>
      <c r="BPX39" s="66"/>
      <c r="BPY39" s="66"/>
      <c r="BPZ39" s="66"/>
      <c r="BQA39" s="66"/>
      <c r="BQB39" s="66"/>
      <c r="BQC39" s="66"/>
      <c r="BQD39" s="66"/>
      <c r="BQE39" s="66"/>
      <c r="BQF39" s="66"/>
      <c r="BQG39" s="66"/>
      <c r="BQH39" s="66"/>
      <c r="BQI39" s="66"/>
      <c r="BQJ39" s="66"/>
      <c r="BQK39" s="66"/>
      <c r="BQL39" s="66"/>
      <c r="BQM39" s="66"/>
      <c r="BQN39" s="66"/>
      <c r="BQO39" s="66"/>
      <c r="BQP39" s="66"/>
      <c r="BQQ39" s="66"/>
      <c r="BQR39" s="66"/>
      <c r="BQS39" s="66"/>
      <c r="BQT39" s="66"/>
      <c r="BQU39" s="66"/>
      <c r="BQV39" s="66"/>
      <c r="BQW39" s="66"/>
      <c r="BQX39" s="66"/>
      <c r="BQY39" s="66"/>
      <c r="BQZ39" s="66"/>
      <c r="BRA39" s="66"/>
      <c r="BRB39" s="66"/>
      <c r="BRC39" s="66"/>
      <c r="BRD39" s="66"/>
      <c r="BRE39" s="66"/>
      <c r="BRF39" s="66"/>
      <c r="BRG39" s="66"/>
      <c r="BRH39" s="66"/>
      <c r="BRI39" s="66"/>
      <c r="BRJ39" s="66"/>
      <c r="BRK39" s="66"/>
      <c r="BRL39" s="66"/>
      <c r="BRM39" s="66"/>
      <c r="BRN39" s="66"/>
      <c r="BRO39" s="66"/>
      <c r="BRP39" s="66"/>
      <c r="BRQ39" s="66"/>
      <c r="BRR39" s="66"/>
      <c r="BRS39" s="66"/>
      <c r="BRT39" s="66"/>
      <c r="BRU39" s="66"/>
      <c r="BRV39" s="66"/>
      <c r="BRW39" s="66"/>
      <c r="BRX39" s="66"/>
      <c r="BRY39" s="66"/>
      <c r="BRZ39" s="66"/>
      <c r="BSA39" s="66"/>
      <c r="BSB39" s="66"/>
      <c r="BSC39" s="66"/>
      <c r="BSD39" s="66"/>
      <c r="BSE39" s="66"/>
      <c r="BSF39" s="66"/>
      <c r="BSG39" s="66"/>
      <c r="BSH39" s="66"/>
      <c r="BSI39" s="66"/>
      <c r="BSJ39" s="66"/>
      <c r="BSK39" s="66"/>
      <c r="BSL39" s="66"/>
      <c r="BSM39" s="66"/>
      <c r="BSN39" s="66"/>
      <c r="BSO39" s="66"/>
      <c r="BSP39" s="66"/>
      <c r="BSQ39" s="66"/>
      <c r="BSR39" s="66"/>
      <c r="BSS39" s="66"/>
      <c r="BST39" s="66"/>
      <c r="BSU39" s="66"/>
      <c r="BSV39" s="66"/>
      <c r="BSW39" s="66"/>
      <c r="BSX39" s="66"/>
      <c r="BSY39" s="66"/>
      <c r="BSZ39" s="66"/>
      <c r="BTA39" s="66"/>
      <c r="BTB39" s="66"/>
      <c r="BTC39" s="66"/>
      <c r="BTD39" s="66"/>
      <c r="BTE39" s="66"/>
      <c r="BTF39" s="66"/>
      <c r="BTG39" s="66"/>
      <c r="BTH39" s="66"/>
      <c r="BTI39" s="66"/>
      <c r="BTJ39" s="66"/>
      <c r="BTK39" s="66"/>
      <c r="BTL39" s="66"/>
      <c r="BTM39" s="66"/>
      <c r="BTN39" s="66"/>
      <c r="BTO39" s="66"/>
      <c r="BTP39" s="66"/>
      <c r="BTQ39" s="66"/>
      <c r="BTR39" s="66"/>
      <c r="BTS39" s="66"/>
      <c r="BTT39" s="66"/>
      <c r="BTU39" s="66"/>
      <c r="BTV39" s="66"/>
      <c r="BTW39" s="66"/>
      <c r="BTX39" s="66"/>
      <c r="BTY39" s="66"/>
      <c r="BTZ39" s="66"/>
      <c r="BUA39" s="66"/>
      <c r="BUB39" s="66"/>
      <c r="BUC39" s="66"/>
      <c r="BUD39" s="66"/>
      <c r="BUE39" s="66"/>
      <c r="BUF39" s="66"/>
      <c r="BUG39" s="66"/>
      <c r="BUH39" s="66"/>
      <c r="BUI39" s="66"/>
      <c r="BUJ39" s="66"/>
      <c r="BUK39" s="66"/>
      <c r="BUL39" s="66"/>
      <c r="BUM39" s="66"/>
      <c r="BUN39" s="66"/>
      <c r="BUO39" s="66"/>
      <c r="BUP39" s="66"/>
      <c r="BUQ39" s="66"/>
      <c r="BUR39" s="66"/>
      <c r="BUS39" s="66"/>
      <c r="BUT39" s="66"/>
      <c r="BUU39" s="66"/>
      <c r="BUV39" s="66"/>
      <c r="BUW39" s="66"/>
      <c r="BUX39" s="66"/>
      <c r="BUY39" s="66"/>
      <c r="BUZ39" s="66"/>
      <c r="BVA39" s="66"/>
      <c r="BVB39" s="66"/>
      <c r="BVC39" s="66"/>
      <c r="BVD39" s="66"/>
      <c r="BVE39" s="66"/>
      <c r="BVF39" s="66"/>
      <c r="BVG39" s="66"/>
      <c r="BVH39" s="66"/>
      <c r="BVI39" s="66"/>
      <c r="BVJ39" s="66"/>
      <c r="BVK39" s="66"/>
      <c r="BVL39" s="66"/>
      <c r="BVM39" s="66"/>
      <c r="BVN39" s="66"/>
      <c r="BVO39" s="66"/>
      <c r="BVP39" s="66"/>
      <c r="BVQ39" s="66"/>
      <c r="BVR39" s="66"/>
      <c r="BVS39" s="66"/>
      <c r="BVT39" s="66"/>
      <c r="BVU39" s="66"/>
      <c r="BVV39" s="66"/>
      <c r="BVW39" s="66"/>
      <c r="BVX39" s="66"/>
      <c r="BVY39" s="66"/>
      <c r="BVZ39" s="66"/>
      <c r="BWA39" s="66"/>
      <c r="BWB39" s="66"/>
      <c r="BWC39" s="66"/>
      <c r="BWD39" s="66"/>
      <c r="BWE39" s="66"/>
      <c r="BWF39" s="66"/>
      <c r="BWG39" s="66"/>
      <c r="BWH39" s="66"/>
      <c r="BWI39" s="66"/>
      <c r="BWJ39" s="66"/>
      <c r="BWK39" s="66"/>
      <c r="BWL39" s="66"/>
      <c r="BWM39" s="66"/>
      <c r="BWN39" s="66"/>
      <c r="BWO39" s="66"/>
      <c r="BWP39" s="66"/>
      <c r="BWQ39" s="66"/>
      <c r="BWR39" s="66"/>
      <c r="BWS39" s="66"/>
      <c r="BWT39" s="66"/>
      <c r="BWU39" s="66"/>
      <c r="BWV39" s="66"/>
      <c r="BWW39" s="66"/>
      <c r="BWX39" s="66"/>
      <c r="BWY39" s="66"/>
      <c r="BWZ39" s="66"/>
      <c r="BXA39" s="66"/>
      <c r="BXB39" s="66"/>
      <c r="BXC39" s="66"/>
      <c r="BXD39" s="66"/>
      <c r="BXE39" s="66"/>
      <c r="BXF39" s="66"/>
      <c r="BXG39" s="66"/>
      <c r="BXH39" s="66"/>
      <c r="BXI39" s="66"/>
      <c r="BXJ39" s="66"/>
      <c r="BXK39" s="66"/>
      <c r="BXL39" s="66"/>
      <c r="BXM39" s="66"/>
      <c r="BXN39" s="66"/>
      <c r="BXO39" s="66"/>
      <c r="BXP39" s="66"/>
      <c r="BXQ39" s="66"/>
      <c r="BXR39" s="66"/>
      <c r="BXS39" s="66"/>
      <c r="BXT39" s="66"/>
      <c r="BXU39" s="66"/>
      <c r="BXV39" s="66"/>
      <c r="BXW39" s="66"/>
      <c r="BXX39" s="66"/>
      <c r="BXY39" s="66"/>
      <c r="BXZ39" s="66"/>
      <c r="BYA39" s="66"/>
      <c r="BYB39" s="66"/>
      <c r="BYC39" s="66"/>
      <c r="BYD39" s="66"/>
      <c r="BYE39" s="66"/>
      <c r="BYF39" s="66"/>
      <c r="BYG39" s="66"/>
      <c r="BYH39" s="66"/>
      <c r="BYI39" s="66"/>
      <c r="BYJ39" s="66"/>
      <c r="BYK39" s="66"/>
      <c r="BYL39" s="66"/>
      <c r="BYM39" s="66"/>
      <c r="BYN39" s="66"/>
      <c r="BYO39" s="66"/>
      <c r="BYP39" s="66"/>
      <c r="BYQ39" s="66"/>
      <c r="BYR39" s="66"/>
      <c r="BYS39" s="66"/>
      <c r="BYT39" s="66"/>
      <c r="BYU39" s="66"/>
      <c r="BYV39" s="66"/>
      <c r="BYW39" s="66"/>
      <c r="BYX39" s="66"/>
      <c r="BYY39" s="66"/>
      <c r="BYZ39" s="66"/>
      <c r="BZA39" s="66"/>
      <c r="BZB39" s="66"/>
      <c r="BZC39" s="66"/>
      <c r="BZD39" s="66"/>
      <c r="BZE39" s="66"/>
      <c r="BZF39" s="66"/>
      <c r="BZG39" s="66"/>
      <c r="BZH39" s="66"/>
      <c r="BZI39" s="66"/>
      <c r="BZJ39" s="66"/>
      <c r="BZK39" s="66"/>
      <c r="BZL39" s="66"/>
      <c r="BZM39" s="66"/>
      <c r="BZN39" s="66"/>
      <c r="BZO39" s="66"/>
      <c r="BZP39" s="66"/>
      <c r="BZQ39" s="66"/>
      <c r="BZR39" s="66"/>
      <c r="BZS39" s="66"/>
      <c r="BZT39" s="66"/>
      <c r="BZU39" s="66"/>
      <c r="BZV39" s="66"/>
      <c r="BZW39" s="66"/>
      <c r="BZX39" s="66"/>
      <c r="BZY39" s="66"/>
      <c r="BZZ39" s="66"/>
      <c r="CAA39" s="66"/>
      <c r="CAB39" s="66"/>
      <c r="CAC39" s="66"/>
      <c r="CAD39" s="66"/>
      <c r="CAE39" s="66"/>
      <c r="CAF39" s="66"/>
      <c r="CAG39" s="66"/>
      <c r="CAH39" s="66"/>
      <c r="CAI39" s="66"/>
      <c r="CAJ39" s="66"/>
      <c r="CAK39" s="66"/>
      <c r="CAL39" s="66"/>
      <c r="CAM39" s="66"/>
      <c r="CAN39" s="66"/>
      <c r="CAO39" s="66"/>
      <c r="CAP39" s="66"/>
      <c r="CAQ39" s="66"/>
      <c r="CAR39" s="66"/>
      <c r="CAS39" s="66"/>
      <c r="CAT39" s="66"/>
      <c r="CAU39" s="66"/>
      <c r="CAV39" s="66"/>
      <c r="CAW39" s="66"/>
      <c r="CAX39" s="66"/>
      <c r="CAY39" s="66"/>
      <c r="CAZ39" s="66"/>
      <c r="CBA39" s="66"/>
      <c r="CBB39" s="66"/>
      <c r="CBC39" s="66"/>
      <c r="CBD39" s="66"/>
      <c r="CBE39" s="66"/>
      <c r="CBF39" s="66"/>
      <c r="CBG39" s="66"/>
      <c r="CBH39" s="66"/>
      <c r="CBI39" s="66"/>
      <c r="CBJ39" s="66"/>
      <c r="CBK39" s="66"/>
      <c r="CBL39" s="66"/>
      <c r="CBM39" s="66"/>
      <c r="CBN39" s="66"/>
      <c r="CBO39" s="66"/>
      <c r="CBP39" s="66"/>
      <c r="CBQ39" s="66"/>
      <c r="CBR39" s="66"/>
      <c r="CBS39" s="66"/>
      <c r="CBT39" s="66"/>
      <c r="CBU39" s="66"/>
      <c r="CBV39" s="66"/>
      <c r="CBW39" s="66"/>
      <c r="CBX39" s="66"/>
      <c r="CBY39" s="66"/>
      <c r="CBZ39" s="66"/>
      <c r="CCA39" s="66"/>
      <c r="CCB39" s="66"/>
      <c r="CCC39" s="66"/>
      <c r="CCD39" s="66"/>
      <c r="CCE39" s="66"/>
      <c r="CCF39" s="66"/>
      <c r="CCG39" s="66"/>
      <c r="CCH39" s="66"/>
      <c r="CCI39" s="66"/>
      <c r="CCJ39" s="66"/>
      <c r="CCK39" s="66"/>
      <c r="CCL39" s="66"/>
      <c r="CCM39" s="66"/>
      <c r="CCN39" s="66"/>
      <c r="CCO39" s="66"/>
      <c r="CCP39" s="66"/>
      <c r="CCQ39" s="66"/>
      <c r="CCR39" s="66"/>
      <c r="CCS39" s="66"/>
      <c r="CCT39" s="66"/>
      <c r="CCU39" s="66"/>
      <c r="CCV39" s="66"/>
      <c r="CCW39" s="66"/>
      <c r="CCX39" s="66"/>
      <c r="CCY39" s="66"/>
      <c r="CCZ39" s="66"/>
      <c r="CDA39" s="66"/>
      <c r="CDB39" s="66"/>
      <c r="CDC39" s="66"/>
      <c r="CDD39" s="66"/>
      <c r="CDE39" s="66"/>
      <c r="CDF39" s="66"/>
      <c r="CDG39" s="66"/>
      <c r="CDH39" s="66"/>
      <c r="CDI39" s="66"/>
      <c r="CDJ39" s="66"/>
      <c r="CDK39" s="66"/>
      <c r="CDL39" s="66"/>
      <c r="CDM39" s="66"/>
      <c r="CDN39" s="66"/>
      <c r="CDO39" s="66"/>
      <c r="CDP39" s="66"/>
      <c r="CDQ39" s="66"/>
      <c r="CDR39" s="66"/>
      <c r="CDS39" s="66"/>
      <c r="CDT39" s="66"/>
      <c r="CDU39" s="66"/>
      <c r="CDV39" s="66"/>
      <c r="CDW39" s="66"/>
      <c r="CDX39" s="66"/>
      <c r="CDY39" s="66"/>
      <c r="CDZ39" s="66"/>
      <c r="CEA39" s="66"/>
      <c r="CEB39" s="66"/>
      <c r="CEC39" s="66"/>
      <c r="CED39" s="66"/>
      <c r="CEE39" s="66"/>
      <c r="CEF39" s="66"/>
      <c r="CEG39" s="66"/>
      <c r="CEH39" s="66"/>
      <c r="CEI39" s="66"/>
      <c r="CEJ39" s="66"/>
      <c r="CEK39" s="66"/>
      <c r="CEL39" s="66"/>
      <c r="CEM39" s="66"/>
      <c r="CEN39" s="66"/>
      <c r="CEO39" s="66"/>
      <c r="CEP39" s="66"/>
      <c r="CEQ39" s="66"/>
      <c r="CER39" s="66"/>
      <c r="CES39" s="66"/>
      <c r="CET39" s="66"/>
      <c r="CEU39" s="66"/>
      <c r="CEV39" s="66"/>
      <c r="CEW39" s="66"/>
      <c r="CEX39" s="66"/>
      <c r="CEY39" s="66"/>
      <c r="CEZ39" s="66"/>
      <c r="CFA39" s="66"/>
      <c r="CFB39" s="66"/>
      <c r="CFC39" s="66"/>
      <c r="CFD39" s="66"/>
      <c r="CFE39" s="66"/>
      <c r="CFF39" s="66"/>
      <c r="CFG39" s="66"/>
      <c r="CFH39" s="66"/>
      <c r="CFI39" s="66"/>
      <c r="CFJ39" s="66"/>
      <c r="CFK39" s="66"/>
      <c r="CFL39" s="66"/>
      <c r="CFM39" s="66"/>
      <c r="CFN39" s="66"/>
      <c r="CFO39" s="66"/>
      <c r="CFP39" s="66"/>
      <c r="CFQ39" s="66"/>
      <c r="CFR39" s="66"/>
      <c r="CFS39" s="66"/>
      <c r="CFT39" s="66"/>
      <c r="CFU39" s="66"/>
      <c r="CFV39" s="66"/>
      <c r="CFW39" s="66"/>
      <c r="CFX39" s="66"/>
      <c r="CFY39" s="66"/>
      <c r="CFZ39" s="66"/>
      <c r="CGA39" s="66"/>
      <c r="CGB39" s="66"/>
      <c r="CGC39" s="66"/>
      <c r="CGD39" s="66"/>
      <c r="CGE39" s="66"/>
      <c r="CGF39" s="66"/>
      <c r="CGG39" s="66"/>
      <c r="CGH39" s="66"/>
      <c r="CGI39" s="66"/>
      <c r="CGJ39" s="66"/>
      <c r="CGK39" s="66"/>
      <c r="CGL39" s="66"/>
      <c r="CGM39" s="66"/>
      <c r="CGN39" s="66"/>
      <c r="CGO39" s="66"/>
      <c r="CGP39" s="66"/>
      <c r="CGQ39" s="66"/>
      <c r="CGR39" s="66"/>
      <c r="CGS39" s="66"/>
      <c r="CGT39" s="66"/>
      <c r="CGU39" s="66"/>
      <c r="CGV39" s="66"/>
      <c r="CGW39" s="66"/>
      <c r="CGX39" s="66"/>
      <c r="CGY39" s="66"/>
      <c r="CGZ39" s="66"/>
      <c r="CHA39" s="66"/>
      <c r="CHB39" s="66"/>
      <c r="CHC39" s="66"/>
      <c r="CHD39" s="66"/>
      <c r="CHE39" s="66"/>
      <c r="CHF39" s="66"/>
      <c r="CHG39" s="66"/>
      <c r="CHH39" s="66"/>
      <c r="CHI39" s="66"/>
      <c r="CHJ39" s="66"/>
      <c r="CHK39" s="66"/>
      <c r="CHL39" s="66"/>
      <c r="CHM39" s="66"/>
      <c r="CHN39" s="66"/>
      <c r="CHO39" s="66"/>
      <c r="CHP39" s="66"/>
      <c r="CHQ39" s="66"/>
      <c r="CHR39" s="66"/>
      <c r="CHS39" s="66"/>
      <c r="CHT39" s="66"/>
      <c r="CHU39" s="66"/>
      <c r="CHV39" s="66"/>
      <c r="CHW39" s="66"/>
      <c r="CHX39" s="66"/>
      <c r="CHY39" s="66"/>
      <c r="CHZ39" s="66"/>
      <c r="CIA39" s="66"/>
      <c r="CIB39" s="66"/>
      <c r="CIC39" s="66"/>
      <c r="CID39" s="66"/>
      <c r="CIE39" s="66"/>
      <c r="CIF39" s="66"/>
      <c r="CIG39" s="66"/>
      <c r="CIH39" s="66"/>
      <c r="CII39" s="66"/>
      <c r="CIJ39" s="66"/>
      <c r="CIK39" s="66"/>
      <c r="CIL39" s="66"/>
      <c r="CIM39" s="66"/>
      <c r="CIN39" s="66"/>
      <c r="CIO39" s="66"/>
      <c r="CIP39" s="66"/>
      <c r="CIQ39" s="66"/>
      <c r="CIR39" s="66"/>
      <c r="CIS39" s="66"/>
      <c r="CIT39" s="66"/>
      <c r="CIU39" s="66"/>
      <c r="CIV39" s="66"/>
      <c r="CIW39" s="66"/>
      <c r="CIX39" s="66"/>
      <c r="CIY39" s="66"/>
      <c r="CIZ39" s="66"/>
      <c r="CJA39" s="66"/>
      <c r="CJB39" s="66"/>
      <c r="CJC39" s="66"/>
      <c r="CJD39" s="66"/>
      <c r="CJE39" s="66"/>
      <c r="CJF39" s="66"/>
      <c r="CJG39" s="66"/>
      <c r="CJH39" s="66"/>
      <c r="CJI39" s="66"/>
      <c r="CJJ39" s="66"/>
      <c r="CJK39" s="66"/>
      <c r="CJL39" s="66"/>
      <c r="CJM39" s="66"/>
      <c r="CJN39" s="66"/>
      <c r="CJO39" s="66"/>
      <c r="CJP39" s="66"/>
      <c r="CJQ39" s="66"/>
      <c r="CJR39" s="66"/>
      <c r="CJS39" s="66"/>
      <c r="CJT39" s="66"/>
      <c r="CJU39" s="66"/>
      <c r="CJV39" s="66"/>
      <c r="CJW39" s="66"/>
      <c r="CJX39" s="66"/>
      <c r="CJY39" s="66"/>
      <c r="CJZ39" s="66"/>
      <c r="CKA39" s="66"/>
      <c r="CKB39" s="66"/>
      <c r="CKC39" s="66"/>
      <c r="CKD39" s="66"/>
      <c r="CKE39" s="66"/>
      <c r="CKF39" s="66"/>
      <c r="CKG39" s="66"/>
      <c r="CKH39" s="66"/>
      <c r="CKI39" s="66"/>
      <c r="CKJ39" s="66"/>
      <c r="CKK39" s="66"/>
      <c r="CKL39" s="66"/>
      <c r="CKM39" s="66"/>
      <c r="CKN39" s="66"/>
      <c r="CKO39" s="66"/>
      <c r="CKP39" s="66"/>
      <c r="CKQ39" s="66"/>
      <c r="CKR39" s="66"/>
      <c r="CKS39" s="66"/>
      <c r="CKT39" s="66"/>
      <c r="CKU39" s="66"/>
      <c r="CKV39" s="66"/>
      <c r="CKW39" s="66"/>
      <c r="CKX39" s="66"/>
      <c r="CKY39" s="66"/>
      <c r="CKZ39" s="66"/>
      <c r="CLA39" s="66"/>
      <c r="CLB39" s="66"/>
      <c r="CLC39" s="66"/>
      <c r="CLD39" s="66"/>
      <c r="CLE39" s="66"/>
      <c r="CLF39" s="66"/>
      <c r="CLG39" s="66"/>
      <c r="CLH39" s="66"/>
      <c r="CLI39" s="66"/>
      <c r="CLJ39" s="66"/>
      <c r="CLK39" s="66"/>
      <c r="CLL39" s="66"/>
      <c r="CLM39" s="66"/>
      <c r="CLN39" s="66"/>
      <c r="CLO39" s="66"/>
      <c r="CLP39" s="66"/>
      <c r="CLQ39" s="66"/>
      <c r="CLR39" s="66"/>
      <c r="CLS39" s="66"/>
      <c r="CLT39" s="66"/>
      <c r="CLU39" s="66"/>
      <c r="CLV39" s="66"/>
      <c r="CLW39" s="66"/>
      <c r="CLX39" s="66"/>
      <c r="CLY39" s="66"/>
      <c r="CLZ39" s="66"/>
      <c r="CMA39" s="66"/>
      <c r="CMB39" s="66"/>
      <c r="CMC39" s="66"/>
      <c r="CMD39" s="66"/>
      <c r="CME39" s="66"/>
      <c r="CMF39" s="66"/>
      <c r="CMG39" s="66"/>
      <c r="CMH39" s="66"/>
      <c r="CMI39" s="66"/>
      <c r="CMJ39" s="66"/>
      <c r="CMK39" s="66"/>
      <c r="CML39" s="66"/>
      <c r="CMM39" s="66"/>
      <c r="CMN39" s="66"/>
      <c r="CMO39" s="66"/>
      <c r="CMP39" s="66"/>
      <c r="CMQ39" s="66"/>
      <c r="CMR39" s="66"/>
      <c r="CMS39" s="66"/>
      <c r="CMT39" s="66"/>
      <c r="CMU39" s="66"/>
      <c r="CMV39" s="66"/>
      <c r="CMW39" s="66"/>
      <c r="CMX39" s="66"/>
      <c r="CMY39" s="66"/>
      <c r="CMZ39" s="66"/>
      <c r="CNA39" s="66"/>
      <c r="CNB39" s="66"/>
      <c r="CNC39" s="66"/>
      <c r="CND39" s="66"/>
      <c r="CNE39" s="66"/>
      <c r="CNF39" s="66"/>
      <c r="CNG39" s="66"/>
      <c r="CNH39" s="66"/>
      <c r="CNI39" s="66"/>
      <c r="CNJ39" s="66"/>
      <c r="CNK39" s="66"/>
      <c r="CNL39" s="66"/>
      <c r="CNM39" s="66"/>
      <c r="CNN39" s="66"/>
      <c r="CNO39" s="66"/>
      <c r="CNP39" s="66"/>
      <c r="CNQ39" s="66"/>
      <c r="CNR39" s="66"/>
      <c r="CNS39" s="66"/>
      <c r="CNT39" s="66"/>
      <c r="CNU39" s="66"/>
      <c r="CNV39" s="66"/>
      <c r="CNW39" s="66"/>
      <c r="CNX39" s="66"/>
      <c r="CNY39" s="66"/>
      <c r="CNZ39" s="66"/>
      <c r="COA39" s="66"/>
      <c r="COB39" s="66"/>
      <c r="COC39" s="66"/>
      <c r="COD39" s="66"/>
      <c r="COE39" s="66"/>
      <c r="COF39" s="66"/>
      <c r="COG39" s="66"/>
      <c r="COH39" s="66"/>
      <c r="COI39" s="66"/>
      <c r="COJ39" s="66"/>
      <c r="COK39" s="66"/>
      <c r="COL39" s="66"/>
      <c r="COM39" s="66"/>
      <c r="CON39" s="66"/>
      <c r="COO39" s="66"/>
      <c r="COP39" s="66"/>
      <c r="COQ39" s="66"/>
      <c r="COR39" s="66"/>
      <c r="COS39" s="66"/>
      <c r="COT39" s="66"/>
      <c r="COU39" s="66"/>
      <c r="COV39" s="66"/>
      <c r="COW39" s="66"/>
      <c r="COX39" s="66"/>
      <c r="COY39" s="66"/>
      <c r="COZ39" s="66"/>
      <c r="CPA39" s="66"/>
      <c r="CPB39" s="66"/>
      <c r="CPC39" s="66"/>
      <c r="CPD39" s="66"/>
      <c r="CPE39" s="66"/>
      <c r="CPF39" s="66"/>
      <c r="CPG39" s="66"/>
      <c r="CPH39" s="66"/>
      <c r="CPI39" s="66"/>
      <c r="CPJ39" s="66"/>
      <c r="CPK39" s="66"/>
      <c r="CPL39" s="66"/>
      <c r="CPM39" s="66"/>
      <c r="CPN39" s="66"/>
      <c r="CPO39" s="66"/>
      <c r="CPP39" s="66"/>
      <c r="CPQ39" s="66"/>
      <c r="CPR39" s="66"/>
      <c r="CPS39" s="66"/>
      <c r="CPT39" s="66"/>
      <c r="CPU39" s="66"/>
      <c r="CPV39" s="66"/>
      <c r="CPW39" s="66"/>
      <c r="CPX39" s="66"/>
      <c r="CPY39" s="66"/>
      <c r="CPZ39" s="66"/>
      <c r="CQA39" s="66"/>
      <c r="CQB39" s="66"/>
      <c r="CQC39" s="66"/>
      <c r="CQD39" s="66"/>
      <c r="CQE39" s="66"/>
      <c r="CQF39" s="66"/>
      <c r="CQG39" s="66"/>
      <c r="CQH39" s="66"/>
      <c r="CQI39" s="66"/>
      <c r="CQJ39" s="66"/>
      <c r="CQK39" s="66"/>
      <c r="CQL39" s="66"/>
      <c r="CQM39" s="66"/>
      <c r="CQN39" s="66"/>
      <c r="CQO39" s="66"/>
      <c r="CQP39" s="66"/>
      <c r="CQQ39" s="66"/>
      <c r="CQR39" s="66"/>
      <c r="CQS39" s="66"/>
      <c r="CQT39" s="66"/>
      <c r="CQU39" s="66"/>
      <c r="CQV39" s="66"/>
      <c r="CQW39" s="66"/>
      <c r="CQX39" s="66"/>
      <c r="CQY39" s="66"/>
      <c r="CQZ39" s="66"/>
      <c r="CRA39" s="66"/>
      <c r="CRB39" s="66"/>
      <c r="CRC39" s="66"/>
      <c r="CRD39" s="66"/>
      <c r="CRE39" s="66"/>
      <c r="CRF39" s="66"/>
      <c r="CRG39" s="66"/>
      <c r="CRH39" s="66"/>
      <c r="CRI39" s="66"/>
      <c r="CRJ39" s="66"/>
      <c r="CRK39" s="66"/>
      <c r="CRL39" s="66"/>
      <c r="CRM39" s="66"/>
      <c r="CRN39" s="66"/>
      <c r="CRO39" s="66"/>
      <c r="CRP39" s="66"/>
      <c r="CRQ39" s="66"/>
      <c r="CRR39" s="66"/>
      <c r="CRS39" s="66"/>
      <c r="CRT39" s="66"/>
      <c r="CRU39" s="66"/>
      <c r="CRV39" s="66"/>
      <c r="CRW39" s="66"/>
      <c r="CRX39" s="66"/>
      <c r="CRY39" s="66"/>
      <c r="CRZ39" s="66"/>
      <c r="CSA39" s="66"/>
      <c r="CSB39" s="66"/>
      <c r="CSC39" s="66"/>
      <c r="CSD39" s="66"/>
      <c r="CSE39" s="66"/>
      <c r="CSF39" s="66"/>
      <c r="CSG39" s="66"/>
      <c r="CSH39" s="66"/>
      <c r="CSI39" s="66"/>
      <c r="CSJ39" s="66"/>
      <c r="CSK39" s="66"/>
      <c r="CSL39" s="66"/>
      <c r="CSM39" s="66"/>
      <c r="CSN39" s="66"/>
      <c r="CSO39" s="66"/>
      <c r="CSP39" s="66"/>
      <c r="CSQ39" s="66"/>
      <c r="CSR39" s="66"/>
      <c r="CSS39" s="66"/>
      <c r="CST39" s="66"/>
      <c r="CSU39" s="66"/>
      <c r="CSV39" s="66"/>
      <c r="CSW39" s="66"/>
      <c r="CSX39" s="66"/>
      <c r="CSY39" s="66"/>
      <c r="CSZ39" s="66"/>
      <c r="CTA39" s="66"/>
      <c r="CTB39" s="66"/>
      <c r="CTC39" s="66"/>
      <c r="CTD39" s="66"/>
      <c r="CTE39" s="66"/>
      <c r="CTF39" s="66"/>
      <c r="CTG39" s="66"/>
      <c r="CTH39" s="66"/>
      <c r="CTI39" s="66"/>
      <c r="CTJ39" s="66"/>
      <c r="CTK39" s="66"/>
      <c r="CTL39" s="66"/>
      <c r="CTM39" s="66"/>
      <c r="CTN39" s="66"/>
      <c r="CTO39" s="66"/>
      <c r="CTP39" s="66"/>
      <c r="CTQ39" s="66"/>
      <c r="CTR39" s="66"/>
      <c r="CTS39" s="66"/>
      <c r="CTT39" s="66"/>
      <c r="CTU39" s="66"/>
      <c r="CTV39" s="66"/>
      <c r="CTW39" s="66"/>
      <c r="CTX39" s="66"/>
      <c r="CTY39" s="66"/>
      <c r="CTZ39" s="66"/>
      <c r="CUA39" s="66"/>
      <c r="CUB39" s="66"/>
      <c r="CUC39" s="66"/>
      <c r="CUD39" s="66"/>
      <c r="CUE39" s="66"/>
      <c r="CUF39" s="66"/>
      <c r="CUG39" s="66"/>
      <c r="CUH39" s="66"/>
      <c r="CUI39" s="66"/>
      <c r="CUJ39" s="66"/>
      <c r="CUK39" s="66"/>
      <c r="CUL39" s="66"/>
      <c r="CUM39" s="66"/>
      <c r="CUN39" s="66"/>
      <c r="CUO39" s="66"/>
      <c r="CUP39" s="66"/>
      <c r="CUQ39" s="66"/>
      <c r="CUR39" s="66"/>
      <c r="CUS39" s="66"/>
      <c r="CUT39" s="66"/>
      <c r="CUU39" s="66"/>
      <c r="CUV39" s="66"/>
      <c r="CUW39" s="66"/>
      <c r="CUX39" s="66"/>
      <c r="CUY39" s="66"/>
      <c r="CUZ39" s="66"/>
      <c r="CVA39" s="66"/>
      <c r="CVB39" s="66"/>
      <c r="CVC39" s="66"/>
      <c r="CVD39" s="66"/>
      <c r="CVE39" s="66"/>
      <c r="CVF39" s="66"/>
      <c r="CVG39" s="66"/>
      <c r="CVH39" s="66"/>
      <c r="CVI39" s="66"/>
      <c r="CVJ39" s="66"/>
      <c r="CVK39" s="66"/>
      <c r="CVL39" s="66"/>
      <c r="CVM39" s="66"/>
      <c r="CVN39" s="66"/>
      <c r="CVO39" s="66"/>
      <c r="CVP39" s="66"/>
      <c r="CVQ39" s="66"/>
      <c r="CVR39" s="66"/>
      <c r="CVS39" s="66"/>
      <c r="CVT39" s="66"/>
      <c r="CVU39" s="66"/>
      <c r="CVV39" s="66"/>
      <c r="CVW39" s="66"/>
      <c r="CVX39" s="66"/>
      <c r="CVY39" s="66"/>
      <c r="CVZ39" s="66"/>
      <c r="CWA39" s="66"/>
      <c r="CWB39" s="66"/>
      <c r="CWC39" s="66"/>
      <c r="CWD39" s="66"/>
      <c r="CWE39" s="66"/>
      <c r="CWF39" s="66"/>
      <c r="CWG39" s="66"/>
      <c r="CWH39" s="66"/>
      <c r="CWI39" s="66"/>
      <c r="CWJ39" s="66"/>
      <c r="CWK39" s="66"/>
      <c r="CWL39" s="66"/>
      <c r="CWM39" s="66"/>
      <c r="CWN39" s="66"/>
      <c r="CWO39" s="66"/>
      <c r="CWP39" s="66"/>
      <c r="CWQ39" s="66"/>
      <c r="CWR39" s="66"/>
      <c r="CWS39" s="66"/>
      <c r="CWT39" s="66"/>
      <c r="CWU39" s="66"/>
      <c r="CWV39" s="66"/>
      <c r="CWW39" s="66"/>
      <c r="CWX39" s="66"/>
      <c r="CWY39" s="66"/>
      <c r="CWZ39" s="66"/>
      <c r="CXA39" s="66"/>
      <c r="CXB39" s="66"/>
      <c r="CXC39" s="66"/>
      <c r="CXD39" s="66"/>
      <c r="CXE39" s="66"/>
      <c r="CXF39" s="66"/>
      <c r="CXG39" s="66"/>
      <c r="CXH39" s="66"/>
      <c r="CXI39" s="66"/>
      <c r="CXJ39" s="66"/>
      <c r="CXK39" s="66"/>
      <c r="CXL39" s="66"/>
      <c r="CXM39" s="66"/>
      <c r="CXN39" s="66"/>
      <c r="CXO39" s="66"/>
      <c r="CXP39" s="66"/>
      <c r="CXQ39" s="66"/>
      <c r="CXR39" s="66"/>
      <c r="CXS39" s="66"/>
      <c r="CXT39" s="66"/>
      <c r="CXU39" s="66"/>
      <c r="CXV39" s="66"/>
      <c r="CXW39" s="66"/>
      <c r="CXX39" s="66"/>
      <c r="CXY39" s="66"/>
      <c r="CXZ39" s="66"/>
      <c r="CYA39" s="66"/>
      <c r="CYB39" s="66"/>
      <c r="CYC39" s="66"/>
      <c r="CYD39" s="66"/>
      <c r="CYE39" s="66"/>
      <c r="CYF39" s="66"/>
      <c r="CYG39" s="66"/>
      <c r="CYH39" s="66"/>
      <c r="CYI39" s="66"/>
      <c r="CYJ39" s="66"/>
      <c r="CYK39" s="66"/>
      <c r="CYL39" s="66"/>
      <c r="CYM39" s="66"/>
      <c r="CYN39" s="66"/>
      <c r="CYO39" s="66"/>
      <c r="CYP39" s="66"/>
      <c r="CYQ39" s="66"/>
      <c r="CYR39" s="66"/>
      <c r="CYS39" s="66"/>
      <c r="CYT39" s="66"/>
      <c r="CYU39" s="66"/>
      <c r="CYV39" s="66"/>
      <c r="CYW39" s="66"/>
      <c r="CYX39" s="66"/>
      <c r="CYY39" s="66"/>
      <c r="CYZ39" s="66"/>
      <c r="CZA39" s="66"/>
      <c r="CZB39" s="66"/>
      <c r="CZC39" s="66"/>
      <c r="CZD39" s="66"/>
      <c r="CZE39" s="66"/>
      <c r="CZF39" s="66"/>
      <c r="CZG39" s="66"/>
      <c r="CZH39" s="66"/>
      <c r="CZI39" s="66"/>
      <c r="CZJ39" s="66"/>
      <c r="CZK39" s="66"/>
      <c r="CZL39" s="66"/>
      <c r="CZM39" s="66"/>
      <c r="CZN39" s="66"/>
      <c r="CZO39" s="66"/>
      <c r="CZP39" s="66"/>
      <c r="CZQ39" s="66"/>
      <c r="CZR39" s="66"/>
      <c r="CZS39" s="66"/>
      <c r="CZT39" s="66"/>
      <c r="CZU39" s="66"/>
      <c r="CZV39" s="66"/>
      <c r="CZW39" s="66"/>
      <c r="CZX39" s="66"/>
      <c r="CZY39" s="66"/>
      <c r="CZZ39" s="66"/>
      <c r="DAA39" s="66"/>
      <c r="DAB39" s="66"/>
      <c r="DAC39" s="66"/>
      <c r="DAD39" s="66"/>
      <c r="DAE39" s="66"/>
      <c r="DAF39" s="66"/>
      <c r="DAG39" s="66"/>
      <c r="DAH39" s="66"/>
      <c r="DAI39" s="66"/>
      <c r="DAJ39" s="66"/>
      <c r="DAK39" s="66"/>
      <c r="DAL39" s="66"/>
      <c r="DAM39" s="66"/>
      <c r="DAN39" s="66"/>
      <c r="DAO39" s="66"/>
      <c r="DAP39" s="66"/>
      <c r="DAQ39" s="66"/>
      <c r="DAR39" s="66"/>
      <c r="DAS39" s="66"/>
      <c r="DAT39" s="66"/>
      <c r="DAU39" s="66"/>
      <c r="DAV39" s="66"/>
      <c r="DAW39" s="66"/>
      <c r="DAX39" s="66"/>
      <c r="DAY39" s="66"/>
      <c r="DAZ39" s="66"/>
      <c r="DBA39" s="66"/>
      <c r="DBB39" s="66"/>
      <c r="DBC39" s="66"/>
      <c r="DBD39" s="66"/>
      <c r="DBE39" s="66"/>
      <c r="DBF39" s="66"/>
      <c r="DBG39" s="66"/>
      <c r="DBH39" s="66"/>
      <c r="DBI39" s="66"/>
      <c r="DBJ39" s="66"/>
      <c r="DBK39" s="66"/>
      <c r="DBL39" s="66"/>
      <c r="DBM39" s="66"/>
      <c r="DBN39" s="66"/>
      <c r="DBO39" s="66"/>
      <c r="DBP39" s="66"/>
      <c r="DBQ39" s="66"/>
      <c r="DBR39" s="66"/>
      <c r="DBS39" s="66"/>
      <c r="DBT39" s="66"/>
      <c r="DBU39" s="66"/>
      <c r="DBV39" s="66"/>
      <c r="DBW39" s="66"/>
      <c r="DBX39" s="66"/>
      <c r="DBY39" s="66"/>
      <c r="DBZ39" s="66"/>
      <c r="DCA39" s="66"/>
      <c r="DCB39" s="66"/>
      <c r="DCC39" s="66"/>
      <c r="DCD39" s="66"/>
      <c r="DCE39" s="66"/>
      <c r="DCF39" s="66"/>
      <c r="DCG39" s="66"/>
      <c r="DCH39" s="66"/>
      <c r="DCI39" s="66"/>
      <c r="DCJ39" s="66"/>
      <c r="DCK39" s="66"/>
      <c r="DCL39" s="66"/>
      <c r="DCM39" s="66"/>
      <c r="DCN39" s="66"/>
      <c r="DCO39" s="66"/>
      <c r="DCP39" s="66"/>
      <c r="DCQ39" s="66"/>
      <c r="DCR39" s="66"/>
      <c r="DCS39" s="66"/>
      <c r="DCT39" s="66"/>
      <c r="DCU39" s="66"/>
      <c r="DCV39" s="66"/>
      <c r="DCW39" s="66"/>
      <c r="DCX39" s="66"/>
      <c r="DCY39" s="66"/>
      <c r="DCZ39" s="66"/>
      <c r="DDA39" s="66"/>
      <c r="DDB39" s="66"/>
      <c r="DDC39" s="66"/>
      <c r="DDD39" s="66"/>
      <c r="DDE39" s="66"/>
      <c r="DDF39" s="66"/>
      <c r="DDG39" s="66"/>
      <c r="DDH39" s="66"/>
      <c r="DDI39" s="66"/>
      <c r="DDJ39" s="66"/>
      <c r="DDK39" s="66"/>
      <c r="DDL39" s="66"/>
      <c r="DDM39" s="66"/>
      <c r="DDN39" s="66"/>
      <c r="DDO39" s="66"/>
      <c r="DDP39" s="66"/>
      <c r="DDQ39" s="66"/>
      <c r="DDR39" s="66"/>
      <c r="DDS39" s="66"/>
      <c r="DDT39" s="66"/>
      <c r="DDU39" s="66"/>
      <c r="DDV39" s="66"/>
      <c r="DDW39" s="66"/>
      <c r="DDX39" s="66"/>
      <c r="DDY39" s="66"/>
      <c r="DDZ39" s="66"/>
      <c r="DEA39" s="66"/>
      <c r="DEB39" s="66"/>
      <c r="DEC39" s="66"/>
      <c r="DED39" s="66"/>
      <c r="DEE39" s="66"/>
      <c r="DEF39" s="66"/>
      <c r="DEG39" s="66"/>
      <c r="DEH39" s="66"/>
      <c r="DEI39" s="66"/>
      <c r="DEJ39" s="66"/>
      <c r="DEK39" s="66"/>
      <c r="DEL39" s="66"/>
      <c r="DEM39" s="66"/>
      <c r="DEN39" s="66"/>
      <c r="DEO39" s="66"/>
      <c r="DEP39" s="66"/>
      <c r="DEQ39" s="66"/>
      <c r="DER39" s="66"/>
      <c r="DES39" s="66"/>
      <c r="DET39" s="66"/>
      <c r="DEU39" s="66"/>
      <c r="DEV39" s="66"/>
      <c r="DEW39" s="66"/>
      <c r="DEX39" s="66"/>
      <c r="DEY39" s="66"/>
      <c r="DEZ39" s="66"/>
      <c r="DFA39" s="66"/>
      <c r="DFB39" s="66"/>
      <c r="DFC39" s="66"/>
      <c r="DFD39" s="66"/>
      <c r="DFE39" s="66"/>
      <c r="DFF39" s="66"/>
      <c r="DFG39" s="66"/>
      <c r="DFH39" s="66"/>
      <c r="DFI39" s="66"/>
      <c r="DFJ39" s="66"/>
      <c r="DFK39" s="66"/>
      <c r="DFL39" s="66"/>
      <c r="DFM39" s="66"/>
      <c r="DFN39" s="66"/>
      <c r="DFO39" s="66"/>
      <c r="DFP39" s="66"/>
      <c r="DFQ39" s="66"/>
      <c r="DFR39" s="66"/>
      <c r="DFS39" s="66"/>
      <c r="DFT39" s="66"/>
      <c r="DFU39" s="66"/>
      <c r="DFV39" s="66"/>
      <c r="DFW39" s="66"/>
      <c r="DFX39" s="66"/>
      <c r="DFY39" s="66"/>
      <c r="DFZ39" s="66"/>
      <c r="DGA39" s="66"/>
      <c r="DGB39" s="66"/>
      <c r="DGC39" s="66"/>
      <c r="DGD39" s="66"/>
      <c r="DGE39" s="66"/>
      <c r="DGF39" s="66"/>
      <c r="DGG39" s="66"/>
      <c r="DGH39" s="66"/>
      <c r="DGI39" s="66"/>
      <c r="DGJ39" s="66"/>
      <c r="DGK39" s="66"/>
      <c r="DGL39" s="66"/>
      <c r="DGM39" s="66"/>
      <c r="DGN39" s="66"/>
      <c r="DGO39" s="66"/>
      <c r="DGP39" s="66"/>
      <c r="DGQ39" s="66"/>
      <c r="DGR39" s="66"/>
      <c r="DGS39" s="66"/>
      <c r="DGT39" s="66"/>
      <c r="DGU39" s="66"/>
      <c r="DGV39" s="66"/>
      <c r="DGW39" s="66"/>
      <c r="DGX39" s="66"/>
      <c r="DGY39" s="66"/>
      <c r="DGZ39" s="66"/>
      <c r="DHA39" s="66"/>
      <c r="DHB39" s="66"/>
      <c r="DHC39" s="66"/>
      <c r="DHD39" s="66"/>
      <c r="DHE39" s="66"/>
      <c r="DHF39" s="66"/>
      <c r="DHG39" s="66"/>
      <c r="DHH39" s="66"/>
      <c r="DHI39" s="66"/>
      <c r="DHJ39" s="66"/>
      <c r="DHK39" s="66"/>
      <c r="DHL39" s="66"/>
      <c r="DHM39" s="66"/>
      <c r="DHN39" s="66"/>
      <c r="DHO39" s="66"/>
      <c r="DHP39" s="66"/>
      <c r="DHQ39" s="66"/>
      <c r="DHR39" s="66"/>
      <c r="DHS39" s="66"/>
      <c r="DHT39" s="66"/>
      <c r="DHU39" s="66"/>
      <c r="DHV39" s="66"/>
      <c r="DHW39" s="66"/>
      <c r="DHX39" s="66"/>
      <c r="DHY39" s="66"/>
      <c r="DHZ39" s="66"/>
      <c r="DIA39" s="66"/>
      <c r="DIB39" s="66"/>
      <c r="DIC39" s="66"/>
      <c r="DID39" s="66"/>
      <c r="DIE39" s="66"/>
      <c r="DIF39" s="66"/>
      <c r="DIG39" s="66"/>
      <c r="DIH39" s="66"/>
      <c r="DII39" s="66"/>
      <c r="DIJ39" s="66"/>
      <c r="DIK39" s="66"/>
      <c r="DIL39" s="66"/>
      <c r="DIM39" s="66"/>
      <c r="DIN39" s="66"/>
      <c r="DIO39" s="66"/>
      <c r="DIP39" s="66"/>
      <c r="DIQ39" s="66"/>
      <c r="DIR39" s="66"/>
      <c r="DIS39" s="66"/>
      <c r="DIT39" s="66"/>
      <c r="DIU39" s="66"/>
      <c r="DIV39" s="66"/>
      <c r="DIW39" s="66"/>
      <c r="DIX39" s="66"/>
      <c r="DIY39" s="66"/>
      <c r="DIZ39" s="66"/>
      <c r="DJA39" s="66"/>
      <c r="DJB39" s="66"/>
      <c r="DJC39" s="66"/>
      <c r="DJD39" s="66"/>
      <c r="DJE39" s="66"/>
      <c r="DJF39" s="66"/>
      <c r="DJG39" s="66"/>
      <c r="DJH39" s="66"/>
      <c r="DJI39" s="66"/>
      <c r="DJJ39" s="66"/>
      <c r="DJK39" s="66"/>
      <c r="DJL39" s="66"/>
      <c r="DJM39" s="66"/>
      <c r="DJN39" s="66"/>
      <c r="DJO39" s="66"/>
      <c r="DJP39" s="66"/>
      <c r="DJQ39" s="66"/>
      <c r="DJR39" s="66"/>
      <c r="DJS39" s="66"/>
      <c r="DJT39" s="66"/>
      <c r="DJU39" s="66"/>
      <c r="DJV39" s="66"/>
      <c r="DJW39" s="66"/>
      <c r="DJX39" s="66"/>
      <c r="DJY39" s="66"/>
      <c r="DJZ39" s="66"/>
      <c r="DKA39" s="66"/>
      <c r="DKB39" s="66"/>
      <c r="DKC39" s="66"/>
      <c r="DKD39" s="66"/>
      <c r="DKE39" s="66"/>
      <c r="DKF39" s="66"/>
      <c r="DKG39" s="66"/>
      <c r="DKH39" s="66"/>
      <c r="DKI39" s="66"/>
      <c r="DKJ39" s="66"/>
      <c r="DKK39" s="66"/>
      <c r="DKL39" s="66"/>
      <c r="DKM39" s="66"/>
      <c r="DKN39" s="66"/>
      <c r="DKO39" s="66"/>
      <c r="DKP39" s="66"/>
      <c r="DKQ39" s="66"/>
      <c r="DKR39" s="66"/>
      <c r="DKS39" s="66"/>
      <c r="DKT39" s="66"/>
      <c r="DKU39" s="66"/>
      <c r="DKV39" s="66"/>
      <c r="DKW39" s="66"/>
      <c r="DKX39" s="66"/>
      <c r="DKY39" s="66"/>
      <c r="DKZ39" s="66"/>
      <c r="DLA39" s="66"/>
      <c r="DLB39" s="66"/>
      <c r="DLC39" s="66"/>
      <c r="DLD39" s="66"/>
      <c r="DLE39" s="66"/>
      <c r="DLF39" s="66"/>
      <c r="DLG39" s="66"/>
      <c r="DLH39" s="66"/>
      <c r="DLI39" s="66"/>
      <c r="DLJ39" s="66"/>
      <c r="DLK39" s="66"/>
      <c r="DLL39" s="66"/>
      <c r="DLM39" s="66"/>
      <c r="DLN39" s="66"/>
      <c r="DLO39" s="66"/>
      <c r="DLP39" s="66"/>
      <c r="DLQ39" s="66"/>
      <c r="DLR39" s="66"/>
      <c r="DLS39" s="66"/>
      <c r="DLT39" s="66"/>
      <c r="DLU39" s="66"/>
      <c r="DLV39" s="66"/>
      <c r="DLW39" s="66"/>
      <c r="DLX39" s="66"/>
      <c r="DLY39" s="66"/>
      <c r="DLZ39" s="66"/>
      <c r="DMA39" s="66"/>
      <c r="DMB39" s="66"/>
      <c r="DMC39" s="66"/>
      <c r="DMD39" s="66"/>
      <c r="DME39" s="66"/>
      <c r="DMF39" s="66"/>
      <c r="DMG39" s="66"/>
      <c r="DMH39" s="66"/>
      <c r="DMI39" s="66"/>
      <c r="DMJ39" s="66"/>
      <c r="DMK39" s="66"/>
      <c r="DML39" s="66"/>
      <c r="DMM39" s="66"/>
      <c r="DMN39" s="66"/>
      <c r="DMO39" s="66"/>
      <c r="DMP39" s="66"/>
      <c r="DMQ39" s="66"/>
      <c r="DMR39" s="66"/>
      <c r="DMS39" s="66"/>
      <c r="DMT39" s="66"/>
      <c r="DMU39" s="66"/>
      <c r="DMV39" s="66"/>
      <c r="DMW39" s="66"/>
      <c r="DMX39" s="66"/>
      <c r="DMY39" s="66"/>
      <c r="DMZ39" s="66"/>
      <c r="DNA39" s="66"/>
      <c r="DNB39" s="66"/>
      <c r="DNC39" s="66"/>
      <c r="DND39" s="66"/>
      <c r="DNE39" s="66"/>
      <c r="DNF39" s="66"/>
      <c r="DNG39" s="66"/>
      <c r="DNH39" s="66"/>
      <c r="DNI39" s="66"/>
      <c r="DNJ39" s="66"/>
      <c r="DNK39" s="66"/>
      <c r="DNL39" s="66"/>
      <c r="DNM39" s="66"/>
      <c r="DNN39" s="66"/>
      <c r="DNO39" s="66"/>
      <c r="DNP39" s="66"/>
      <c r="DNQ39" s="66"/>
      <c r="DNR39" s="66"/>
      <c r="DNS39" s="66"/>
      <c r="DNT39" s="66"/>
      <c r="DNU39" s="66"/>
      <c r="DNV39" s="66"/>
      <c r="DNW39" s="66"/>
      <c r="DNX39" s="66"/>
      <c r="DNY39" s="66"/>
      <c r="DNZ39" s="66"/>
      <c r="DOA39" s="66"/>
      <c r="DOB39" s="66"/>
      <c r="DOC39" s="66"/>
      <c r="DOD39" s="66"/>
      <c r="DOE39" s="66"/>
      <c r="DOF39" s="66"/>
      <c r="DOG39" s="66"/>
      <c r="DOH39" s="66"/>
      <c r="DOI39" s="66"/>
      <c r="DOJ39" s="66"/>
      <c r="DOK39" s="66"/>
      <c r="DOL39" s="66"/>
      <c r="DOM39" s="66"/>
      <c r="DON39" s="66"/>
      <c r="DOO39" s="66"/>
      <c r="DOP39" s="66"/>
      <c r="DOQ39" s="66"/>
      <c r="DOR39" s="66"/>
      <c r="DOS39" s="66"/>
      <c r="DOT39" s="66"/>
      <c r="DOU39" s="66"/>
      <c r="DOV39" s="66"/>
      <c r="DOW39" s="66"/>
      <c r="DOX39" s="66"/>
      <c r="DOY39" s="66"/>
      <c r="DOZ39" s="66"/>
      <c r="DPA39" s="66"/>
      <c r="DPB39" s="66"/>
      <c r="DPC39" s="66"/>
      <c r="DPD39" s="66"/>
      <c r="DPE39" s="66"/>
      <c r="DPF39" s="66"/>
      <c r="DPG39" s="66"/>
      <c r="DPH39" s="66"/>
      <c r="DPI39" s="66"/>
      <c r="DPJ39" s="66"/>
      <c r="DPK39" s="66"/>
      <c r="DPL39" s="66"/>
      <c r="DPM39" s="66"/>
      <c r="DPN39" s="66"/>
      <c r="DPO39" s="66"/>
      <c r="DPP39" s="66"/>
      <c r="DPQ39" s="66"/>
      <c r="DPR39" s="66"/>
      <c r="DPS39" s="66"/>
      <c r="DPT39" s="66"/>
      <c r="DPU39" s="66"/>
      <c r="DPV39" s="66"/>
      <c r="DPW39" s="66"/>
      <c r="DPX39" s="66"/>
      <c r="DPY39" s="66"/>
      <c r="DPZ39" s="66"/>
      <c r="DQA39" s="66"/>
      <c r="DQB39" s="66"/>
      <c r="DQC39" s="66"/>
      <c r="DQD39" s="66"/>
      <c r="DQE39" s="66"/>
      <c r="DQF39" s="66"/>
      <c r="DQG39" s="66"/>
      <c r="DQH39" s="66"/>
      <c r="DQI39" s="66"/>
      <c r="DQJ39" s="66"/>
      <c r="DQK39" s="66"/>
      <c r="DQL39" s="66"/>
      <c r="DQM39" s="66"/>
      <c r="DQN39" s="66"/>
      <c r="DQO39" s="66"/>
      <c r="DQP39" s="66"/>
      <c r="DQQ39" s="66"/>
      <c r="DQR39" s="66"/>
      <c r="DQS39" s="66"/>
      <c r="DQT39" s="66"/>
      <c r="DQU39" s="66"/>
      <c r="DQV39" s="66"/>
      <c r="DQW39" s="66"/>
      <c r="DQX39" s="66"/>
      <c r="DQY39" s="66"/>
      <c r="DQZ39" s="66"/>
      <c r="DRA39" s="66"/>
      <c r="DRB39" s="66"/>
      <c r="DRC39" s="66"/>
      <c r="DRD39" s="66"/>
      <c r="DRE39" s="66"/>
      <c r="DRF39" s="66"/>
      <c r="DRG39" s="66"/>
      <c r="DRH39" s="66"/>
      <c r="DRI39" s="66"/>
      <c r="DRJ39" s="66"/>
      <c r="DRK39" s="66"/>
      <c r="DRL39" s="66"/>
      <c r="DRM39" s="66"/>
      <c r="DRN39" s="66"/>
      <c r="DRO39" s="66"/>
      <c r="DRP39" s="66"/>
      <c r="DRQ39" s="66"/>
      <c r="DRR39" s="66"/>
      <c r="DRS39" s="66"/>
      <c r="DRT39" s="66"/>
      <c r="DRU39" s="66"/>
      <c r="DRV39" s="66"/>
      <c r="DRW39" s="66"/>
      <c r="DRX39" s="66"/>
      <c r="DRY39" s="66"/>
      <c r="DRZ39" s="66"/>
      <c r="DSA39" s="66"/>
      <c r="DSB39" s="66"/>
      <c r="DSC39" s="66"/>
      <c r="DSD39" s="66"/>
      <c r="DSE39" s="66"/>
      <c r="DSF39" s="66"/>
      <c r="DSG39" s="66"/>
      <c r="DSH39" s="66"/>
      <c r="DSI39" s="66"/>
      <c r="DSJ39" s="66"/>
      <c r="DSK39" s="66"/>
      <c r="DSL39" s="66"/>
      <c r="DSM39" s="66"/>
      <c r="DSN39" s="66"/>
      <c r="DSO39" s="66"/>
      <c r="DSP39" s="66"/>
      <c r="DSQ39" s="66"/>
      <c r="DSR39" s="66"/>
      <c r="DSS39" s="66"/>
      <c r="DST39" s="66"/>
      <c r="DSU39" s="66"/>
      <c r="DSV39" s="66"/>
      <c r="DSW39" s="66"/>
      <c r="DSX39" s="66"/>
      <c r="DSY39" s="66"/>
      <c r="DSZ39" s="66"/>
      <c r="DTA39" s="66"/>
      <c r="DTB39" s="66"/>
      <c r="DTC39" s="66"/>
      <c r="DTD39" s="66"/>
      <c r="DTE39" s="66"/>
      <c r="DTF39" s="66"/>
      <c r="DTG39" s="66"/>
      <c r="DTH39" s="66"/>
      <c r="DTI39" s="66"/>
      <c r="DTJ39" s="66"/>
      <c r="DTK39" s="66"/>
      <c r="DTL39" s="66"/>
      <c r="DTM39" s="66"/>
      <c r="DTN39" s="66"/>
      <c r="DTO39" s="66"/>
      <c r="DTP39" s="66"/>
      <c r="DTQ39" s="66"/>
      <c r="DTR39" s="66"/>
      <c r="DTS39" s="66"/>
      <c r="DTT39" s="66"/>
      <c r="DTU39" s="66"/>
      <c r="DTV39" s="66"/>
      <c r="DTW39" s="66"/>
      <c r="DTX39" s="66"/>
      <c r="DTY39" s="66"/>
      <c r="DTZ39" s="66"/>
      <c r="DUA39" s="66"/>
      <c r="DUB39" s="66"/>
      <c r="DUC39" s="66"/>
      <c r="DUD39" s="66"/>
      <c r="DUE39" s="66"/>
      <c r="DUF39" s="66"/>
      <c r="DUG39" s="66"/>
      <c r="DUH39" s="66"/>
      <c r="DUI39" s="66"/>
      <c r="DUJ39" s="66"/>
      <c r="DUK39" s="66"/>
      <c r="DUL39" s="66"/>
      <c r="DUM39" s="66"/>
      <c r="DUN39" s="66"/>
      <c r="DUO39" s="66"/>
      <c r="DUP39" s="66"/>
      <c r="DUQ39" s="66"/>
      <c r="DUR39" s="66"/>
      <c r="DUS39" s="66"/>
      <c r="DUT39" s="66"/>
      <c r="DUU39" s="66"/>
      <c r="DUV39" s="66"/>
      <c r="DUW39" s="66"/>
      <c r="DUX39" s="66"/>
      <c r="DUY39" s="66"/>
      <c r="DUZ39" s="66"/>
      <c r="DVA39" s="66"/>
      <c r="DVB39" s="66"/>
      <c r="DVC39" s="66"/>
      <c r="DVD39" s="66"/>
      <c r="DVE39" s="66"/>
      <c r="DVF39" s="66"/>
      <c r="DVG39" s="66"/>
      <c r="DVH39" s="66"/>
      <c r="DVI39" s="66"/>
      <c r="DVJ39" s="66"/>
      <c r="DVK39" s="66"/>
      <c r="DVL39" s="66"/>
      <c r="DVM39" s="66"/>
      <c r="DVN39" s="66"/>
      <c r="DVO39" s="66"/>
      <c r="DVP39" s="66"/>
      <c r="DVQ39" s="66"/>
      <c r="DVR39" s="66"/>
      <c r="DVS39" s="66"/>
      <c r="DVT39" s="66"/>
      <c r="DVU39" s="66"/>
      <c r="DVV39" s="66"/>
      <c r="DVW39" s="66"/>
      <c r="DVX39" s="66"/>
      <c r="DVY39" s="66"/>
      <c r="DVZ39" s="66"/>
      <c r="DWA39" s="66"/>
      <c r="DWB39" s="66"/>
      <c r="DWC39" s="66"/>
      <c r="DWD39" s="66"/>
      <c r="DWE39" s="66"/>
      <c r="DWF39" s="66"/>
      <c r="DWG39" s="66"/>
      <c r="DWH39" s="66"/>
      <c r="DWI39" s="66"/>
      <c r="DWJ39" s="66"/>
      <c r="DWK39" s="66"/>
      <c r="DWL39" s="66"/>
      <c r="DWM39" s="66"/>
      <c r="DWN39" s="66"/>
      <c r="DWO39" s="66"/>
      <c r="DWP39" s="66"/>
      <c r="DWQ39" s="66"/>
      <c r="DWR39" s="66"/>
      <c r="DWS39" s="66"/>
      <c r="DWT39" s="66"/>
      <c r="DWU39" s="66"/>
      <c r="DWV39" s="66"/>
      <c r="DWW39" s="66"/>
      <c r="DWX39" s="66"/>
      <c r="DWY39" s="66"/>
      <c r="DWZ39" s="66"/>
      <c r="DXA39" s="66"/>
      <c r="DXB39" s="66"/>
      <c r="DXC39" s="66"/>
      <c r="DXD39" s="66"/>
      <c r="DXE39" s="66"/>
      <c r="DXF39" s="66"/>
      <c r="DXG39" s="66"/>
      <c r="DXH39" s="66"/>
      <c r="DXI39" s="66"/>
      <c r="DXJ39" s="66"/>
      <c r="DXK39" s="66"/>
      <c r="DXL39" s="66"/>
      <c r="DXM39" s="66"/>
      <c r="DXN39" s="66"/>
      <c r="DXO39" s="66"/>
      <c r="DXP39" s="66"/>
      <c r="DXQ39" s="66"/>
      <c r="DXR39" s="66"/>
      <c r="DXS39" s="66"/>
      <c r="DXT39" s="66"/>
      <c r="DXU39" s="66"/>
      <c r="DXV39" s="66"/>
      <c r="DXW39" s="66"/>
      <c r="DXX39" s="66"/>
      <c r="DXY39" s="66"/>
      <c r="DXZ39" s="66"/>
      <c r="DYA39" s="66"/>
      <c r="DYB39" s="66"/>
      <c r="DYC39" s="66"/>
      <c r="DYD39" s="66"/>
      <c r="DYE39" s="66"/>
      <c r="DYF39" s="66"/>
      <c r="DYG39" s="66"/>
      <c r="DYH39" s="66"/>
      <c r="DYI39" s="66"/>
      <c r="DYJ39" s="66"/>
      <c r="DYK39" s="66"/>
      <c r="DYL39" s="66"/>
      <c r="DYM39" s="66"/>
      <c r="DYN39" s="66"/>
      <c r="DYO39" s="66"/>
      <c r="DYP39" s="66"/>
      <c r="DYQ39" s="66"/>
      <c r="DYR39" s="66"/>
      <c r="DYS39" s="66"/>
      <c r="DYT39" s="66"/>
      <c r="DYU39" s="66"/>
      <c r="DYV39" s="66"/>
      <c r="DYW39" s="66"/>
      <c r="DYX39" s="66"/>
      <c r="DYY39" s="66"/>
      <c r="DYZ39" s="66"/>
      <c r="DZA39" s="66"/>
      <c r="DZB39" s="66"/>
      <c r="DZC39" s="66"/>
      <c r="DZD39" s="66"/>
      <c r="DZE39" s="66"/>
      <c r="DZF39" s="66"/>
      <c r="DZG39" s="66"/>
      <c r="DZH39" s="66"/>
      <c r="DZI39" s="66"/>
      <c r="DZJ39" s="66"/>
      <c r="DZK39" s="66"/>
      <c r="DZL39" s="66"/>
      <c r="DZM39" s="66"/>
      <c r="DZN39" s="66"/>
      <c r="DZO39" s="66"/>
      <c r="DZP39" s="66"/>
      <c r="DZQ39" s="66"/>
      <c r="DZR39" s="66"/>
      <c r="DZS39" s="66"/>
      <c r="DZT39" s="66"/>
      <c r="DZU39" s="66"/>
      <c r="DZV39" s="66"/>
      <c r="DZW39" s="66"/>
      <c r="DZX39" s="66"/>
      <c r="DZY39" s="66"/>
      <c r="DZZ39" s="66"/>
      <c r="EAA39" s="66"/>
      <c r="EAB39" s="66"/>
      <c r="EAC39" s="66"/>
      <c r="EAD39" s="66"/>
      <c r="EAE39" s="66"/>
      <c r="EAF39" s="66"/>
      <c r="EAG39" s="66"/>
      <c r="EAH39" s="66"/>
      <c r="EAI39" s="66"/>
      <c r="EAJ39" s="66"/>
      <c r="EAK39" s="66"/>
      <c r="EAL39" s="66"/>
      <c r="EAM39" s="66"/>
      <c r="EAN39" s="66"/>
      <c r="EAO39" s="66"/>
      <c r="EAP39" s="66"/>
      <c r="EAQ39" s="66"/>
      <c r="EAR39" s="66"/>
      <c r="EAS39" s="66"/>
      <c r="EAT39" s="66"/>
      <c r="EAU39" s="66"/>
      <c r="EAV39" s="66"/>
      <c r="EAW39" s="66"/>
      <c r="EAX39" s="66"/>
      <c r="EAY39" s="66"/>
      <c r="EAZ39" s="66"/>
      <c r="EBA39" s="66"/>
      <c r="EBB39" s="66"/>
      <c r="EBC39" s="66"/>
      <c r="EBD39" s="66"/>
      <c r="EBE39" s="66"/>
      <c r="EBF39" s="66"/>
      <c r="EBG39" s="66"/>
      <c r="EBH39" s="66"/>
      <c r="EBI39" s="66"/>
      <c r="EBJ39" s="66"/>
      <c r="EBK39" s="66"/>
      <c r="EBL39" s="66"/>
      <c r="EBM39" s="66"/>
      <c r="EBN39" s="66"/>
      <c r="EBO39" s="66"/>
      <c r="EBP39" s="66"/>
      <c r="EBQ39" s="66"/>
      <c r="EBR39" s="66"/>
      <c r="EBS39" s="66"/>
      <c r="EBT39" s="66"/>
      <c r="EBU39" s="66"/>
      <c r="EBV39" s="66"/>
      <c r="EBW39" s="66"/>
      <c r="EBX39" s="66"/>
      <c r="EBY39" s="66"/>
      <c r="EBZ39" s="66"/>
      <c r="ECA39" s="66"/>
      <c r="ECB39" s="66"/>
      <c r="ECC39" s="66"/>
      <c r="ECD39" s="66"/>
      <c r="ECE39" s="66"/>
      <c r="ECF39" s="66"/>
      <c r="ECG39" s="66"/>
      <c r="ECH39" s="66"/>
      <c r="ECI39" s="66"/>
      <c r="ECJ39" s="66"/>
      <c r="ECK39" s="66"/>
      <c r="ECL39" s="66"/>
      <c r="ECM39" s="66"/>
      <c r="ECN39" s="66"/>
      <c r="ECO39" s="66"/>
      <c r="ECP39" s="66"/>
      <c r="ECQ39" s="66"/>
      <c r="ECR39" s="66"/>
      <c r="ECS39" s="66"/>
      <c r="ECT39" s="66"/>
      <c r="ECU39" s="66"/>
      <c r="ECV39" s="66"/>
      <c r="ECW39" s="66"/>
      <c r="ECX39" s="66"/>
      <c r="ECY39" s="66"/>
      <c r="ECZ39" s="66"/>
      <c r="EDA39" s="66"/>
      <c r="EDB39" s="66"/>
      <c r="EDC39" s="66"/>
      <c r="EDD39" s="66"/>
      <c r="EDE39" s="66"/>
      <c r="EDF39" s="66"/>
      <c r="EDG39" s="66"/>
      <c r="EDH39" s="66"/>
      <c r="EDI39" s="66"/>
      <c r="EDJ39" s="66"/>
      <c r="EDK39" s="66"/>
      <c r="EDL39" s="66"/>
      <c r="EDM39" s="66"/>
      <c r="EDN39" s="66"/>
      <c r="EDO39" s="66"/>
      <c r="EDP39" s="66"/>
      <c r="EDQ39" s="66"/>
      <c r="EDR39" s="66"/>
      <c r="EDS39" s="66"/>
      <c r="EDT39" s="66"/>
      <c r="EDU39" s="66"/>
      <c r="EDV39" s="66"/>
      <c r="EDW39" s="66"/>
      <c r="EDX39" s="66"/>
      <c r="EDY39" s="66"/>
      <c r="EDZ39" s="66"/>
      <c r="EEA39" s="66"/>
      <c r="EEB39" s="66"/>
      <c r="EEC39" s="66"/>
      <c r="EED39" s="66"/>
      <c r="EEE39" s="66"/>
      <c r="EEF39" s="66"/>
      <c r="EEG39" s="66"/>
      <c r="EEH39" s="66"/>
      <c r="EEI39" s="66"/>
      <c r="EEJ39" s="66"/>
      <c r="EEK39" s="66"/>
      <c r="EEL39" s="66"/>
      <c r="EEM39" s="66"/>
      <c r="EEN39" s="66"/>
      <c r="EEO39" s="66"/>
      <c r="EEP39" s="66"/>
      <c r="EEQ39" s="66"/>
      <c r="EER39" s="66"/>
      <c r="EES39" s="66"/>
      <c r="EET39" s="66"/>
      <c r="EEU39" s="66"/>
      <c r="EEV39" s="66"/>
      <c r="EEW39" s="66"/>
      <c r="EEX39" s="66"/>
      <c r="EEY39" s="66"/>
      <c r="EEZ39" s="66"/>
      <c r="EFA39" s="66"/>
      <c r="EFB39" s="66"/>
      <c r="EFC39" s="66"/>
      <c r="EFD39" s="66"/>
      <c r="EFE39" s="66"/>
      <c r="EFF39" s="66"/>
      <c r="EFG39" s="66"/>
      <c r="EFH39" s="66"/>
      <c r="EFI39" s="66"/>
      <c r="EFJ39" s="66"/>
      <c r="EFK39" s="66"/>
      <c r="EFL39" s="66"/>
      <c r="EFM39" s="66"/>
      <c r="EFN39" s="66"/>
      <c r="EFO39" s="66"/>
      <c r="EFP39" s="66"/>
      <c r="EFQ39" s="66"/>
      <c r="EFR39" s="66"/>
      <c r="EFS39" s="66"/>
      <c r="EFT39" s="66"/>
      <c r="EFU39" s="66"/>
      <c r="EFV39" s="66"/>
      <c r="EFW39" s="66"/>
      <c r="EFX39" s="66"/>
      <c r="EFY39" s="66"/>
      <c r="EFZ39" s="66"/>
      <c r="EGA39" s="66"/>
      <c r="EGB39" s="66"/>
      <c r="EGC39" s="66"/>
      <c r="EGD39" s="66"/>
      <c r="EGE39" s="66"/>
      <c r="EGF39" s="66"/>
      <c r="EGG39" s="66"/>
      <c r="EGH39" s="66"/>
      <c r="EGI39" s="66"/>
      <c r="EGJ39" s="66"/>
      <c r="EGK39" s="66"/>
      <c r="EGL39" s="66"/>
      <c r="EGM39" s="66"/>
      <c r="EGN39" s="66"/>
      <c r="EGO39" s="66"/>
      <c r="EGP39" s="66"/>
      <c r="EGQ39" s="66"/>
      <c r="EGR39" s="66"/>
      <c r="EGS39" s="66"/>
      <c r="EGT39" s="66"/>
      <c r="EGU39" s="66"/>
      <c r="EGV39" s="66"/>
      <c r="EGW39" s="66"/>
      <c r="EGX39" s="66"/>
      <c r="EGY39" s="66"/>
      <c r="EGZ39" s="66"/>
      <c r="EHA39" s="66"/>
      <c r="EHB39" s="66"/>
      <c r="EHC39" s="66"/>
      <c r="EHD39" s="66"/>
      <c r="EHE39" s="66"/>
      <c r="EHF39" s="66"/>
      <c r="EHG39" s="66"/>
      <c r="EHH39" s="66"/>
      <c r="EHI39" s="66"/>
      <c r="EHJ39" s="66"/>
      <c r="EHK39" s="66"/>
      <c r="EHL39" s="66"/>
      <c r="EHM39" s="66"/>
      <c r="EHN39" s="66"/>
      <c r="EHO39" s="66"/>
      <c r="EHP39" s="66"/>
      <c r="EHQ39" s="66"/>
      <c r="EHR39" s="66"/>
      <c r="EHS39" s="66"/>
      <c r="EHT39" s="66"/>
      <c r="EHU39" s="66"/>
      <c r="EHV39" s="66"/>
      <c r="EHW39" s="66"/>
      <c r="EHX39" s="66"/>
      <c r="EHY39" s="66"/>
      <c r="EHZ39" s="66"/>
      <c r="EIA39" s="66"/>
      <c r="EIB39" s="66"/>
      <c r="EIC39" s="66"/>
      <c r="EID39" s="66"/>
      <c r="EIE39" s="66"/>
      <c r="EIF39" s="66"/>
      <c r="EIG39" s="66"/>
      <c r="EIH39" s="66"/>
      <c r="EII39" s="66"/>
      <c r="EIJ39" s="66"/>
      <c r="EIK39" s="66"/>
      <c r="EIL39" s="66"/>
      <c r="EIM39" s="66"/>
      <c r="EIN39" s="66"/>
      <c r="EIO39" s="66"/>
      <c r="EIP39" s="66"/>
      <c r="EIQ39" s="66"/>
      <c r="EIR39" s="66"/>
      <c r="EIS39" s="66"/>
      <c r="EIT39" s="66"/>
      <c r="EIU39" s="66"/>
      <c r="EIV39" s="66"/>
      <c r="EIW39" s="66"/>
      <c r="EIX39" s="66"/>
      <c r="EIY39" s="66"/>
      <c r="EIZ39" s="66"/>
      <c r="EJA39" s="66"/>
      <c r="EJB39" s="66"/>
      <c r="EJC39" s="66"/>
      <c r="EJD39" s="66"/>
      <c r="EJE39" s="66"/>
      <c r="EJF39" s="66"/>
      <c r="EJG39" s="66"/>
      <c r="EJH39" s="66"/>
      <c r="EJI39" s="66"/>
      <c r="EJJ39" s="66"/>
      <c r="EJK39" s="66"/>
      <c r="EJL39" s="66"/>
      <c r="EJM39" s="66"/>
      <c r="EJN39" s="66"/>
      <c r="EJO39" s="66"/>
      <c r="EJP39" s="66"/>
      <c r="EJQ39" s="66"/>
      <c r="EJR39" s="66"/>
      <c r="EJS39" s="66"/>
      <c r="EJT39" s="66"/>
      <c r="EJU39" s="66"/>
      <c r="EJV39" s="66"/>
      <c r="EJW39" s="66"/>
      <c r="EJX39" s="66"/>
      <c r="EJY39" s="66"/>
      <c r="EJZ39" s="66"/>
      <c r="EKA39" s="66"/>
      <c r="EKB39" s="66"/>
      <c r="EKC39" s="66"/>
      <c r="EKD39" s="66"/>
      <c r="EKE39" s="66"/>
      <c r="EKF39" s="66"/>
      <c r="EKG39" s="66"/>
      <c r="EKH39" s="66"/>
      <c r="EKI39" s="66"/>
      <c r="EKJ39" s="66"/>
      <c r="EKK39" s="66"/>
      <c r="EKL39" s="66"/>
      <c r="EKM39" s="66"/>
      <c r="EKN39" s="66"/>
      <c r="EKO39" s="66"/>
      <c r="EKP39" s="66"/>
      <c r="EKQ39" s="66"/>
      <c r="EKR39" s="66"/>
      <c r="EKS39" s="66"/>
      <c r="EKT39" s="66"/>
      <c r="EKU39" s="66"/>
      <c r="EKV39" s="66"/>
      <c r="EKW39" s="66"/>
      <c r="EKX39" s="66"/>
      <c r="EKY39" s="66"/>
      <c r="EKZ39" s="66"/>
      <c r="ELA39" s="66"/>
      <c r="ELB39" s="66"/>
      <c r="ELC39" s="66"/>
      <c r="ELD39" s="66"/>
      <c r="ELE39" s="66"/>
      <c r="ELF39" s="66"/>
      <c r="ELG39" s="66"/>
      <c r="ELH39" s="66"/>
      <c r="ELI39" s="66"/>
      <c r="ELJ39" s="66"/>
      <c r="ELK39" s="66"/>
      <c r="ELL39" s="66"/>
      <c r="ELM39" s="66"/>
      <c r="ELN39" s="66"/>
      <c r="ELO39" s="66"/>
      <c r="ELP39" s="66"/>
      <c r="ELQ39" s="66"/>
      <c r="ELR39" s="66"/>
      <c r="ELS39" s="66"/>
      <c r="ELT39" s="66"/>
      <c r="ELU39" s="66"/>
      <c r="ELV39" s="66"/>
      <c r="ELW39" s="66"/>
      <c r="ELX39" s="66"/>
      <c r="ELY39" s="66"/>
      <c r="ELZ39" s="66"/>
      <c r="EMA39" s="66"/>
      <c r="EMB39" s="66"/>
      <c r="EMC39" s="66"/>
      <c r="EMD39" s="66"/>
      <c r="EME39" s="66"/>
      <c r="EMF39" s="66"/>
      <c r="EMG39" s="66"/>
      <c r="EMH39" s="66"/>
      <c r="EMI39" s="66"/>
      <c r="EMJ39" s="66"/>
      <c r="EMK39" s="66"/>
      <c r="EML39" s="66"/>
      <c r="EMM39" s="66"/>
      <c r="EMN39" s="66"/>
      <c r="EMO39" s="66"/>
      <c r="EMP39" s="66"/>
      <c r="EMQ39" s="66"/>
      <c r="EMR39" s="66"/>
      <c r="EMS39" s="66"/>
      <c r="EMT39" s="66"/>
      <c r="EMU39" s="66"/>
      <c r="EMV39" s="66"/>
      <c r="EMW39" s="66"/>
      <c r="EMX39" s="66"/>
      <c r="EMY39" s="66"/>
      <c r="EMZ39" s="66"/>
      <c r="ENA39" s="66"/>
      <c r="ENB39" s="66"/>
      <c r="ENC39" s="66"/>
      <c r="END39" s="66"/>
      <c r="ENE39" s="66"/>
      <c r="ENF39" s="66"/>
      <c r="ENG39" s="66"/>
      <c r="ENH39" s="66"/>
      <c r="ENI39" s="66"/>
      <c r="ENJ39" s="66"/>
      <c r="ENK39" s="66"/>
      <c r="ENL39" s="66"/>
      <c r="ENM39" s="66"/>
      <c r="ENN39" s="66"/>
      <c r="ENO39" s="66"/>
      <c r="ENP39" s="66"/>
      <c r="ENQ39" s="66"/>
      <c r="ENR39" s="66"/>
      <c r="ENS39" s="66"/>
      <c r="ENT39" s="66"/>
      <c r="ENU39" s="66"/>
      <c r="ENV39" s="66"/>
      <c r="ENW39" s="66"/>
      <c r="ENX39" s="66"/>
      <c r="ENY39" s="66"/>
      <c r="ENZ39" s="66"/>
      <c r="EOA39" s="66"/>
      <c r="EOB39" s="66"/>
      <c r="EOC39" s="66"/>
      <c r="EOD39" s="66"/>
      <c r="EOE39" s="66"/>
      <c r="EOF39" s="66"/>
      <c r="EOG39" s="66"/>
      <c r="EOH39" s="66"/>
      <c r="EOI39" s="66"/>
      <c r="EOJ39" s="66"/>
      <c r="EOK39" s="66"/>
      <c r="EOL39" s="66"/>
      <c r="EOM39" s="66"/>
      <c r="EON39" s="66"/>
      <c r="EOO39" s="66"/>
      <c r="EOP39" s="66"/>
      <c r="EOQ39" s="66"/>
      <c r="EOR39" s="66"/>
      <c r="EOS39" s="66"/>
      <c r="EOT39" s="66"/>
      <c r="EOU39" s="66"/>
      <c r="EOV39" s="66"/>
      <c r="EOW39" s="66"/>
      <c r="EOX39" s="66"/>
      <c r="EOY39" s="66"/>
      <c r="EOZ39" s="66"/>
      <c r="EPA39" s="66"/>
      <c r="EPB39" s="66"/>
      <c r="EPC39" s="66"/>
      <c r="EPD39" s="66"/>
      <c r="EPE39" s="66"/>
      <c r="EPF39" s="66"/>
      <c r="EPG39" s="66"/>
      <c r="EPH39" s="66"/>
      <c r="EPI39" s="66"/>
      <c r="EPJ39" s="66"/>
      <c r="EPK39" s="66"/>
      <c r="EPL39" s="66"/>
      <c r="EPM39" s="66"/>
      <c r="EPN39" s="66"/>
      <c r="EPO39" s="66"/>
      <c r="EPP39" s="66"/>
      <c r="EPQ39" s="66"/>
      <c r="EPR39" s="66"/>
      <c r="EPS39" s="66"/>
      <c r="EPT39" s="66"/>
      <c r="EPU39" s="66"/>
      <c r="EPV39" s="66"/>
      <c r="EPW39" s="66"/>
      <c r="EPX39" s="66"/>
      <c r="EPY39" s="66"/>
      <c r="EPZ39" s="66"/>
      <c r="EQA39" s="66"/>
      <c r="EQB39" s="66"/>
      <c r="EQC39" s="66"/>
      <c r="EQD39" s="66"/>
      <c r="EQE39" s="66"/>
      <c r="EQF39" s="66"/>
      <c r="EQG39" s="66"/>
      <c r="EQH39" s="66"/>
      <c r="EQI39" s="66"/>
      <c r="EQJ39" s="66"/>
      <c r="EQK39" s="66"/>
      <c r="EQL39" s="66"/>
      <c r="EQM39" s="66"/>
      <c r="EQN39" s="66"/>
      <c r="EQO39" s="66"/>
      <c r="EQP39" s="66"/>
      <c r="EQQ39" s="66"/>
      <c r="EQR39" s="66"/>
      <c r="EQS39" s="66"/>
      <c r="EQT39" s="66"/>
      <c r="EQU39" s="66"/>
      <c r="EQV39" s="66"/>
      <c r="EQW39" s="66"/>
      <c r="EQX39" s="66"/>
      <c r="EQY39" s="66"/>
      <c r="EQZ39" s="66"/>
      <c r="ERA39" s="66"/>
      <c r="ERB39" s="66"/>
      <c r="ERC39" s="66"/>
      <c r="ERD39" s="66"/>
      <c r="ERE39" s="66"/>
      <c r="ERF39" s="66"/>
      <c r="ERG39" s="66"/>
      <c r="ERH39" s="66"/>
      <c r="ERI39" s="66"/>
      <c r="ERJ39" s="66"/>
      <c r="ERK39" s="66"/>
      <c r="ERL39" s="66"/>
      <c r="ERM39" s="66"/>
      <c r="ERN39" s="66"/>
      <c r="ERO39" s="66"/>
      <c r="ERP39" s="66"/>
      <c r="ERQ39" s="66"/>
      <c r="ERR39" s="66"/>
      <c r="ERS39" s="66"/>
      <c r="ERT39" s="66"/>
      <c r="ERU39" s="66"/>
      <c r="ERV39" s="66"/>
      <c r="ERW39" s="66"/>
      <c r="ERX39" s="66"/>
      <c r="ERY39" s="66"/>
      <c r="ERZ39" s="66"/>
      <c r="ESA39" s="66"/>
      <c r="ESB39" s="66"/>
      <c r="ESC39" s="66"/>
      <c r="ESD39" s="66"/>
      <c r="ESE39" s="66"/>
      <c r="ESF39" s="66"/>
      <c r="ESG39" s="66"/>
      <c r="ESH39" s="66"/>
      <c r="ESI39" s="66"/>
      <c r="ESJ39" s="66"/>
      <c r="ESK39" s="66"/>
      <c r="ESL39" s="66"/>
      <c r="ESM39" s="66"/>
      <c r="ESN39" s="66"/>
      <c r="ESO39" s="66"/>
      <c r="ESP39" s="66"/>
      <c r="ESQ39" s="66"/>
      <c r="ESR39" s="66"/>
      <c r="ESS39" s="66"/>
      <c r="EST39" s="66"/>
      <c r="ESU39" s="66"/>
      <c r="ESV39" s="66"/>
      <c r="ESW39" s="66"/>
      <c r="ESX39" s="66"/>
      <c r="ESY39" s="66"/>
      <c r="ESZ39" s="66"/>
      <c r="ETA39" s="66"/>
      <c r="ETB39" s="66"/>
      <c r="ETC39" s="66"/>
      <c r="ETD39" s="66"/>
      <c r="ETE39" s="66"/>
      <c r="ETF39" s="66"/>
      <c r="ETG39" s="66"/>
      <c r="ETH39" s="66"/>
      <c r="ETI39" s="66"/>
      <c r="ETJ39" s="66"/>
      <c r="ETK39" s="66"/>
      <c r="ETL39" s="66"/>
      <c r="ETM39" s="66"/>
      <c r="ETN39" s="66"/>
      <c r="ETO39" s="66"/>
      <c r="ETP39" s="66"/>
      <c r="ETQ39" s="66"/>
      <c r="ETR39" s="66"/>
      <c r="ETS39" s="66"/>
      <c r="ETT39" s="66"/>
      <c r="ETU39" s="66"/>
      <c r="ETV39" s="66"/>
      <c r="ETW39" s="66"/>
      <c r="ETX39" s="66"/>
      <c r="ETY39" s="66"/>
      <c r="ETZ39" s="66"/>
      <c r="EUA39" s="66"/>
      <c r="EUB39" s="66"/>
      <c r="EUC39" s="66"/>
      <c r="EUD39" s="66"/>
      <c r="EUE39" s="66"/>
      <c r="EUF39" s="66"/>
      <c r="EUG39" s="66"/>
      <c r="EUH39" s="66"/>
      <c r="EUI39" s="66"/>
      <c r="EUJ39" s="66"/>
      <c r="EUK39" s="66"/>
      <c r="EUL39" s="66"/>
      <c r="EUM39" s="66"/>
      <c r="EUN39" s="66"/>
      <c r="EUO39" s="66"/>
      <c r="EUP39" s="66"/>
      <c r="EUQ39" s="66"/>
      <c r="EUR39" s="66"/>
      <c r="EUS39" s="66"/>
      <c r="EUT39" s="66"/>
      <c r="EUU39" s="66"/>
      <c r="EUV39" s="66"/>
      <c r="EUW39" s="66"/>
      <c r="EUX39" s="66"/>
      <c r="EUY39" s="66"/>
      <c r="EUZ39" s="66"/>
      <c r="EVA39" s="66"/>
      <c r="EVB39" s="66"/>
      <c r="EVC39" s="66"/>
      <c r="EVD39" s="66"/>
      <c r="EVE39" s="66"/>
      <c r="EVF39" s="66"/>
      <c r="EVG39" s="66"/>
      <c r="EVH39" s="66"/>
      <c r="EVI39" s="66"/>
      <c r="EVJ39" s="66"/>
      <c r="EVK39" s="66"/>
      <c r="EVL39" s="66"/>
      <c r="EVM39" s="66"/>
      <c r="EVN39" s="66"/>
      <c r="EVO39" s="66"/>
      <c r="EVP39" s="66"/>
      <c r="EVQ39" s="66"/>
      <c r="EVR39" s="66"/>
      <c r="EVS39" s="66"/>
      <c r="EVT39" s="66"/>
      <c r="EVU39" s="66"/>
      <c r="EVV39" s="66"/>
      <c r="EVW39" s="66"/>
      <c r="EVX39" s="66"/>
      <c r="EVY39" s="66"/>
      <c r="EVZ39" s="66"/>
      <c r="EWA39" s="66"/>
      <c r="EWB39" s="66"/>
      <c r="EWC39" s="66"/>
      <c r="EWD39" s="66"/>
      <c r="EWE39" s="66"/>
      <c r="EWF39" s="66"/>
      <c r="EWG39" s="66"/>
      <c r="EWH39" s="66"/>
      <c r="EWI39" s="66"/>
      <c r="EWJ39" s="66"/>
      <c r="EWK39" s="66"/>
      <c r="EWL39" s="66"/>
      <c r="EWM39" s="66"/>
      <c r="EWN39" s="66"/>
      <c r="EWO39" s="66"/>
      <c r="EWP39" s="66"/>
      <c r="EWQ39" s="66"/>
      <c r="EWR39" s="66"/>
      <c r="EWS39" s="66"/>
      <c r="EWT39" s="66"/>
      <c r="EWU39" s="66"/>
      <c r="EWV39" s="66"/>
      <c r="EWW39" s="66"/>
      <c r="EWX39" s="66"/>
      <c r="EWY39" s="66"/>
      <c r="EWZ39" s="66"/>
      <c r="EXA39" s="66"/>
      <c r="EXB39" s="66"/>
      <c r="EXC39" s="66"/>
      <c r="EXD39" s="66"/>
      <c r="EXE39" s="66"/>
      <c r="EXF39" s="66"/>
      <c r="EXG39" s="66"/>
      <c r="EXH39" s="66"/>
      <c r="EXI39" s="66"/>
      <c r="EXJ39" s="66"/>
      <c r="EXK39" s="66"/>
      <c r="EXL39" s="66"/>
      <c r="EXM39" s="66"/>
      <c r="EXN39" s="66"/>
      <c r="EXO39" s="66"/>
      <c r="EXP39" s="66"/>
      <c r="EXQ39" s="66"/>
      <c r="EXR39" s="66"/>
      <c r="EXS39" s="66"/>
      <c r="EXT39" s="66"/>
      <c r="EXU39" s="66"/>
      <c r="EXV39" s="66"/>
      <c r="EXW39" s="66"/>
      <c r="EXX39" s="66"/>
      <c r="EXY39" s="66"/>
      <c r="EXZ39" s="66"/>
      <c r="EYA39" s="66"/>
      <c r="EYB39" s="66"/>
      <c r="EYC39" s="66"/>
      <c r="EYD39" s="66"/>
      <c r="EYE39" s="66"/>
      <c r="EYF39" s="66"/>
      <c r="EYG39" s="66"/>
      <c r="EYH39" s="66"/>
      <c r="EYI39" s="66"/>
      <c r="EYJ39" s="66"/>
      <c r="EYK39" s="66"/>
      <c r="EYL39" s="66"/>
      <c r="EYM39" s="66"/>
      <c r="EYN39" s="66"/>
      <c r="EYO39" s="66"/>
      <c r="EYP39" s="66"/>
      <c r="EYQ39" s="66"/>
      <c r="EYR39" s="66"/>
      <c r="EYS39" s="66"/>
      <c r="EYT39" s="66"/>
      <c r="EYU39" s="66"/>
      <c r="EYV39" s="66"/>
      <c r="EYW39" s="66"/>
      <c r="EYX39" s="66"/>
      <c r="EYY39" s="66"/>
      <c r="EYZ39" s="66"/>
      <c r="EZA39" s="66"/>
      <c r="EZB39" s="66"/>
      <c r="EZC39" s="66"/>
      <c r="EZD39" s="66"/>
      <c r="EZE39" s="66"/>
      <c r="EZF39" s="66"/>
      <c r="EZG39" s="66"/>
      <c r="EZH39" s="66"/>
      <c r="EZI39" s="66"/>
      <c r="EZJ39" s="66"/>
      <c r="EZK39" s="66"/>
      <c r="EZL39" s="66"/>
      <c r="EZM39" s="66"/>
      <c r="EZN39" s="66"/>
      <c r="EZO39" s="66"/>
      <c r="EZP39" s="66"/>
      <c r="EZQ39" s="66"/>
      <c r="EZR39" s="66"/>
      <c r="EZS39" s="66"/>
      <c r="EZT39" s="66"/>
      <c r="EZU39" s="66"/>
      <c r="EZV39" s="66"/>
      <c r="EZW39" s="66"/>
      <c r="EZX39" s="66"/>
      <c r="EZY39" s="66"/>
      <c r="EZZ39" s="66"/>
      <c r="FAA39" s="66"/>
      <c r="FAB39" s="66"/>
      <c r="FAC39" s="66"/>
      <c r="FAD39" s="66"/>
      <c r="FAE39" s="66"/>
      <c r="FAF39" s="66"/>
      <c r="FAG39" s="66"/>
      <c r="FAH39" s="66"/>
      <c r="FAI39" s="66"/>
      <c r="FAJ39" s="66"/>
      <c r="FAK39" s="66"/>
      <c r="FAL39" s="66"/>
      <c r="FAM39" s="66"/>
      <c r="FAN39" s="66"/>
      <c r="FAO39" s="66"/>
      <c r="FAP39" s="66"/>
      <c r="FAQ39" s="66"/>
      <c r="FAR39" s="66"/>
      <c r="FAS39" s="66"/>
      <c r="FAT39" s="66"/>
      <c r="FAU39" s="66"/>
      <c r="FAV39" s="66"/>
      <c r="FAW39" s="66"/>
      <c r="FAX39" s="66"/>
      <c r="FAY39" s="66"/>
      <c r="FAZ39" s="66"/>
      <c r="FBA39" s="66"/>
      <c r="FBB39" s="66"/>
      <c r="FBC39" s="66"/>
      <c r="FBD39" s="66"/>
      <c r="FBE39" s="66"/>
      <c r="FBF39" s="66"/>
      <c r="FBG39" s="66"/>
      <c r="FBH39" s="66"/>
      <c r="FBI39" s="66"/>
      <c r="FBJ39" s="66"/>
      <c r="FBK39" s="66"/>
      <c r="FBL39" s="66"/>
      <c r="FBM39" s="66"/>
      <c r="FBN39" s="66"/>
      <c r="FBO39" s="66"/>
      <c r="FBP39" s="66"/>
      <c r="FBQ39" s="66"/>
      <c r="FBR39" s="66"/>
      <c r="FBS39" s="66"/>
      <c r="FBT39" s="66"/>
      <c r="FBU39" s="66"/>
      <c r="FBV39" s="66"/>
      <c r="FBW39" s="66"/>
      <c r="FBX39" s="66"/>
      <c r="FBY39" s="66"/>
      <c r="FBZ39" s="66"/>
      <c r="FCA39" s="66"/>
      <c r="FCB39" s="66"/>
      <c r="FCC39" s="66"/>
      <c r="FCD39" s="66"/>
      <c r="FCE39" s="66"/>
      <c r="FCF39" s="66"/>
      <c r="FCG39" s="66"/>
      <c r="FCH39" s="66"/>
      <c r="FCI39" s="66"/>
      <c r="FCJ39" s="66"/>
      <c r="FCK39" s="66"/>
      <c r="FCL39" s="66"/>
      <c r="FCM39" s="66"/>
      <c r="FCN39" s="66"/>
      <c r="FCO39" s="66"/>
      <c r="FCP39" s="66"/>
      <c r="FCQ39" s="66"/>
      <c r="FCR39" s="66"/>
      <c r="FCS39" s="66"/>
      <c r="FCT39" s="66"/>
      <c r="FCU39" s="66"/>
      <c r="FCV39" s="66"/>
      <c r="FCW39" s="66"/>
      <c r="FCX39" s="66"/>
      <c r="FCY39" s="66"/>
      <c r="FCZ39" s="66"/>
      <c r="FDA39" s="66"/>
      <c r="FDB39" s="66"/>
      <c r="FDC39" s="66"/>
      <c r="FDD39" s="66"/>
      <c r="FDE39" s="66"/>
      <c r="FDF39" s="66"/>
      <c r="FDG39" s="66"/>
      <c r="FDH39" s="66"/>
      <c r="FDI39" s="66"/>
      <c r="FDJ39" s="66"/>
      <c r="FDK39" s="66"/>
      <c r="FDL39" s="66"/>
      <c r="FDM39" s="66"/>
      <c r="FDN39" s="66"/>
      <c r="FDO39" s="66"/>
      <c r="FDP39" s="66"/>
      <c r="FDQ39" s="66"/>
      <c r="FDR39" s="66"/>
      <c r="FDS39" s="66"/>
      <c r="FDT39" s="66"/>
      <c r="FDU39" s="66"/>
      <c r="FDV39" s="66"/>
      <c r="FDW39" s="66"/>
      <c r="FDX39" s="66"/>
      <c r="FDY39" s="66"/>
      <c r="FDZ39" s="66"/>
      <c r="FEA39" s="66"/>
      <c r="FEB39" s="66"/>
      <c r="FEC39" s="66"/>
      <c r="FED39" s="66"/>
      <c r="FEE39" s="66"/>
      <c r="FEF39" s="66"/>
      <c r="FEG39" s="66"/>
      <c r="FEH39" s="66"/>
      <c r="FEI39" s="66"/>
      <c r="FEJ39" s="66"/>
      <c r="FEK39" s="66"/>
      <c r="FEL39" s="66"/>
      <c r="FEM39" s="66"/>
      <c r="FEN39" s="66"/>
      <c r="FEO39" s="66"/>
      <c r="FEP39" s="66"/>
      <c r="FEQ39" s="66"/>
      <c r="FER39" s="66"/>
      <c r="FES39" s="66"/>
      <c r="FET39" s="66"/>
      <c r="FEU39" s="66"/>
      <c r="FEV39" s="66"/>
      <c r="FEW39" s="66"/>
      <c r="FEX39" s="66"/>
      <c r="FEY39" s="66"/>
      <c r="FEZ39" s="66"/>
      <c r="FFA39" s="66"/>
      <c r="FFB39" s="66"/>
      <c r="FFC39" s="66"/>
      <c r="FFD39" s="66"/>
      <c r="FFE39" s="66"/>
      <c r="FFF39" s="66"/>
      <c r="FFG39" s="66"/>
      <c r="FFH39" s="66"/>
      <c r="FFI39" s="66"/>
      <c r="FFJ39" s="66"/>
      <c r="FFK39" s="66"/>
      <c r="FFL39" s="66"/>
      <c r="FFM39" s="66"/>
      <c r="FFN39" s="66"/>
      <c r="FFO39" s="66"/>
      <c r="FFP39" s="66"/>
      <c r="FFQ39" s="66"/>
      <c r="FFR39" s="66"/>
      <c r="FFS39" s="66"/>
      <c r="FFT39" s="66"/>
      <c r="FFU39" s="66"/>
      <c r="FFV39" s="66"/>
      <c r="FFW39" s="66"/>
      <c r="FFX39" s="66"/>
      <c r="FFY39" s="66"/>
      <c r="FFZ39" s="66"/>
      <c r="FGA39" s="66"/>
      <c r="FGB39" s="66"/>
      <c r="FGC39" s="66"/>
      <c r="FGD39" s="66"/>
      <c r="FGE39" s="66"/>
      <c r="FGF39" s="66"/>
      <c r="FGG39" s="66"/>
      <c r="FGH39" s="66"/>
      <c r="FGI39" s="66"/>
      <c r="FGJ39" s="66"/>
      <c r="FGK39" s="66"/>
      <c r="FGL39" s="66"/>
      <c r="FGM39" s="66"/>
      <c r="FGN39" s="66"/>
      <c r="FGO39" s="66"/>
      <c r="FGP39" s="66"/>
      <c r="FGQ39" s="66"/>
      <c r="FGR39" s="66"/>
      <c r="FGS39" s="66"/>
      <c r="FGT39" s="66"/>
      <c r="FGU39" s="66"/>
      <c r="FGV39" s="66"/>
      <c r="FGW39" s="66"/>
      <c r="FGX39" s="66"/>
      <c r="FGY39" s="66"/>
      <c r="FGZ39" s="66"/>
      <c r="FHA39" s="66"/>
      <c r="FHB39" s="66"/>
      <c r="FHC39" s="66"/>
      <c r="FHD39" s="66"/>
      <c r="FHE39" s="66"/>
      <c r="FHF39" s="66"/>
      <c r="FHG39" s="66"/>
      <c r="FHH39" s="66"/>
      <c r="FHI39" s="66"/>
      <c r="FHJ39" s="66"/>
      <c r="FHK39" s="66"/>
      <c r="FHL39" s="66"/>
      <c r="FHM39" s="66"/>
      <c r="FHN39" s="66"/>
      <c r="FHO39" s="66"/>
      <c r="FHP39" s="66"/>
      <c r="FHQ39" s="66"/>
      <c r="FHR39" s="66"/>
      <c r="FHS39" s="66"/>
      <c r="FHT39" s="66"/>
      <c r="FHU39" s="66"/>
      <c r="FHV39" s="66"/>
      <c r="FHW39" s="66"/>
      <c r="FHX39" s="66"/>
      <c r="FHY39" s="66"/>
      <c r="FHZ39" s="66"/>
      <c r="FIA39" s="66"/>
      <c r="FIB39" s="66"/>
      <c r="FIC39" s="66"/>
      <c r="FID39" s="66"/>
      <c r="FIE39" s="66"/>
      <c r="FIF39" s="66"/>
      <c r="FIG39" s="66"/>
      <c r="FIH39" s="66"/>
      <c r="FII39" s="66"/>
      <c r="FIJ39" s="66"/>
      <c r="FIK39" s="66"/>
      <c r="FIL39" s="66"/>
      <c r="FIM39" s="66"/>
      <c r="FIN39" s="66"/>
      <c r="FIO39" s="66"/>
      <c r="FIP39" s="66"/>
      <c r="FIQ39" s="66"/>
      <c r="FIR39" s="66"/>
      <c r="FIS39" s="66"/>
      <c r="FIT39" s="66"/>
      <c r="FIU39" s="66"/>
      <c r="FIV39" s="66"/>
      <c r="FIW39" s="66"/>
      <c r="FIX39" s="66"/>
      <c r="FIY39" s="66"/>
      <c r="FIZ39" s="66"/>
      <c r="FJA39" s="66"/>
      <c r="FJB39" s="66"/>
      <c r="FJC39" s="66"/>
      <c r="FJD39" s="66"/>
      <c r="FJE39" s="66"/>
      <c r="FJF39" s="66"/>
      <c r="FJG39" s="66"/>
      <c r="FJH39" s="66"/>
      <c r="FJI39" s="66"/>
      <c r="FJJ39" s="66"/>
      <c r="FJK39" s="66"/>
      <c r="FJL39" s="66"/>
      <c r="FJM39" s="66"/>
      <c r="FJN39" s="66"/>
      <c r="FJO39" s="66"/>
      <c r="FJP39" s="66"/>
      <c r="FJQ39" s="66"/>
      <c r="FJR39" s="66"/>
      <c r="FJS39" s="66"/>
      <c r="FJT39" s="66"/>
      <c r="FJU39" s="66"/>
      <c r="FJV39" s="66"/>
      <c r="FJW39" s="66"/>
      <c r="FJX39" s="66"/>
      <c r="FJY39" s="66"/>
      <c r="FJZ39" s="66"/>
      <c r="FKA39" s="66"/>
      <c r="FKB39" s="66"/>
      <c r="FKC39" s="66"/>
      <c r="FKD39" s="66"/>
      <c r="FKE39" s="66"/>
      <c r="FKF39" s="66"/>
      <c r="FKG39" s="66"/>
      <c r="FKH39" s="66"/>
      <c r="FKI39" s="66"/>
      <c r="FKJ39" s="66"/>
      <c r="FKK39" s="66"/>
      <c r="FKL39" s="66"/>
      <c r="FKM39" s="66"/>
      <c r="FKN39" s="66"/>
      <c r="FKO39" s="66"/>
      <c r="FKP39" s="66"/>
      <c r="FKQ39" s="66"/>
      <c r="FKR39" s="66"/>
      <c r="FKS39" s="66"/>
      <c r="FKT39" s="66"/>
      <c r="FKU39" s="66"/>
      <c r="FKV39" s="66"/>
      <c r="FKW39" s="66"/>
      <c r="FKX39" s="66"/>
      <c r="FKY39" s="66"/>
      <c r="FKZ39" s="66"/>
      <c r="FLA39" s="66"/>
      <c r="FLB39" s="66"/>
      <c r="FLC39" s="66"/>
      <c r="FLD39" s="66"/>
      <c r="FLE39" s="66"/>
      <c r="FLF39" s="66"/>
      <c r="FLG39" s="66"/>
      <c r="FLH39" s="66"/>
      <c r="FLI39" s="66"/>
      <c r="FLJ39" s="66"/>
      <c r="FLK39" s="66"/>
      <c r="FLL39" s="66"/>
      <c r="FLM39" s="66"/>
      <c r="FLN39" s="66"/>
      <c r="FLO39" s="66"/>
      <c r="FLP39" s="66"/>
      <c r="FLQ39" s="66"/>
      <c r="FLR39" s="66"/>
      <c r="FLS39" s="66"/>
      <c r="FLT39" s="66"/>
      <c r="FLU39" s="66"/>
      <c r="FLV39" s="66"/>
      <c r="FLW39" s="66"/>
      <c r="FLX39" s="66"/>
      <c r="FLY39" s="66"/>
      <c r="FLZ39" s="66"/>
      <c r="FMA39" s="66"/>
      <c r="FMB39" s="66"/>
      <c r="FMC39" s="66"/>
      <c r="FMD39" s="66"/>
      <c r="FME39" s="66"/>
      <c r="FMF39" s="66"/>
      <c r="FMG39" s="66"/>
      <c r="FMH39" s="66"/>
      <c r="FMI39" s="66"/>
      <c r="FMJ39" s="66"/>
      <c r="FMK39" s="66"/>
      <c r="FML39" s="66"/>
      <c r="FMM39" s="66"/>
      <c r="FMN39" s="66"/>
      <c r="FMO39" s="66"/>
      <c r="FMP39" s="66"/>
      <c r="FMQ39" s="66"/>
      <c r="FMR39" s="66"/>
      <c r="FMS39" s="66"/>
      <c r="FMT39" s="66"/>
      <c r="FMU39" s="66"/>
      <c r="FMV39" s="66"/>
      <c r="FMW39" s="66"/>
      <c r="FMX39" s="66"/>
      <c r="FMY39" s="66"/>
      <c r="FMZ39" s="66"/>
      <c r="FNA39" s="66"/>
      <c r="FNB39" s="66"/>
      <c r="FNC39" s="66"/>
      <c r="FND39" s="66"/>
      <c r="FNE39" s="66"/>
      <c r="FNF39" s="66"/>
      <c r="FNG39" s="66"/>
      <c r="FNH39" s="66"/>
      <c r="FNI39" s="66"/>
      <c r="FNJ39" s="66"/>
      <c r="FNK39" s="66"/>
      <c r="FNL39" s="66"/>
      <c r="FNM39" s="66"/>
      <c r="FNN39" s="66"/>
      <c r="FNO39" s="66"/>
      <c r="FNP39" s="66"/>
      <c r="FNQ39" s="66"/>
      <c r="FNR39" s="66"/>
      <c r="FNS39" s="66"/>
      <c r="FNT39" s="66"/>
      <c r="FNU39" s="66"/>
      <c r="FNV39" s="66"/>
      <c r="FNW39" s="66"/>
      <c r="FNX39" s="66"/>
      <c r="FNY39" s="66"/>
      <c r="FNZ39" s="66"/>
      <c r="FOA39" s="66"/>
      <c r="FOB39" s="66"/>
      <c r="FOC39" s="66"/>
      <c r="FOD39" s="66"/>
      <c r="FOE39" s="66"/>
      <c r="FOF39" s="66"/>
      <c r="FOG39" s="66"/>
      <c r="FOH39" s="66"/>
      <c r="FOI39" s="66"/>
      <c r="FOJ39" s="66"/>
      <c r="FOK39" s="66"/>
      <c r="FOL39" s="66"/>
      <c r="FOM39" s="66"/>
      <c r="FON39" s="66"/>
      <c r="FOO39" s="66"/>
      <c r="FOP39" s="66"/>
      <c r="FOQ39" s="66"/>
      <c r="FOR39" s="66"/>
      <c r="FOS39" s="66"/>
      <c r="FOT39" s="66"/>
      <c r="FOU39" s="66"/>
      <c r="FOV39" s="66"/>
      <c r="FOW39" s="66"/>
      <c r="FOX39" s="66"/>
      <c r="FOY39" s="66"/>
      <c r="FOZ39" s="66"/>
      <c r="FPA39" s="66"/>
      <c r="FPB39" s="66"/>
      <c r="FPC39" s="66"/>
      <c r="FPD39" s="66"/>
      <c r="FPE39" s="66"/>
      <c r="FPF39" s="66"/>
      <c r="FPG39" s="66"/>
      <c r="FPH39" s="66"/>
      <c r="FPI39" s="66"/>
      <c r="FPJ39" s="66"/>
      <c r="FPK39" s="66"/>
      <c r="FPL39" s="66"/>
      <c r="FPM39" s="66"/>
      <c r="FPN39" s="66"/>
      <c r="FPO39" s="66"/>
      <c r="FPP39" s="66"/>
      <c r="FPQ39" s="66"/>
      <c r="FPR39" s="66"/>
      <c r="FPS39" s="66"/>
      <c r="FPT39" s="66"/>
      <c r="FPU39" s="66"/>
      <c r="FPV39" s="66"/>
      <c r="FPW39" s="66"/>
      <c r="FPX39" s="66"/>
      <c r="FPY39" s="66"/>
      <c r="FPZ39" s="66"/>
      <c r="FQA39" s="66"/>
      <c r="FQB39" s="66"/>
      <c r="FQC39" s="66"/>
      <c r="FQD39" s="66"/>
      <c r="FQE39" s="66"/>
      <c r="FQF39" s="66"/>
      <c r="FQG39" s="66"/>
      <c r="FQH39" s="66"/>
      <c r="FQI39" s="66"/>
      <c r="FQJ39" s="66"/>
      <c r="FQK39" s="66"/>
      <c r="FQL39" s="66"/>
      <c r="FQM39" s="66"/>
      <c r="FQN39" s="66"/>
      <c r="FQO39" s="66"/>
      <c r="FQP39" s="66"/>
      <c r="FQQ39" s="66"/>
      <c r="FQR39" s="66"/>
      <c r="FQS39" s="66"/>
      <c r="FQT39" s="66"/>
      <c r="FQU39" s="66"/>
      <c r="FQV39" s="66"/>
      <c r="FQW39" s="66"/>
      <c r="FQX39" s="66"/>
      <c r="FQY39" s="66"/>
      <c r="FQZ39" s="66"/>
      <c r="FRA39" s="66"/>
      <c r="FRB39" s="66"/>
      <c r="FRC39" s="66"/>
      <c r="FRD39" s="66"/>
      <c r="FRE39" s="66"/>
      <c r="FRF39" s="66"/>
      <c r="FRG39" s="66"/>
      <c r="FRH39" s="66"/>
      <c r="FRI39" s="66"/>
      <c r="FRJ39" s="66"/>
      <c r="FRK39" s="66"/>
      <c r="FRL39" s="66"/>
      <c r="FRM39" s="66"/>
      <c r="FRN39" s="66"/>
      <c r="FRO39" s="66"/>
      <c r="FRP39" s="66"/>
      <c r="FRQ39" s="66"/>
      <c r="FRR39" s="66"/>
      <c r="FRS39" s="66"/>
      <c r="FRT39" s="66"/>
      <c r="FRU39" s="66"/>
      <c r="FRV39" s="66"/>
      <c r="FRW39" s="66"/>
      <c r="FRX39" s="66"/>
      <c r="FRY39" s="66"/>
      <c r="FRZ39" s="66"/>
      <c r="FSA39" s="66"/>
      <c r="FSB39" s="66"/>
      <c r="FSC39" s="66"/>
      <c r="FSD39" s="66"/>
      <c r="FSE39" s="66"/>
      <c r="FSF39" s="66"/>
      <c r="FSG39" s="66"/>
      <c r="FSH39" s="66"/>
      <c r="FSI39" s="66"/>
      <c r="FSJ39" s="66"/>
      <c r="FSK39" s="66"/>
      <c r="FSL39" s="66"/>
      <c r="FSM39" s="66"/>
      <c r="FSN39" s="66"/>
      <c r="FSO39" s="66"/>
      <c r="FSP39" s="66"/>
      <c r="FSQ39" s="66"/>
      <c r="FSR39" s="66"/>
      <c r="FSS39" s="66"/>
      <c r="FST39" s="66"/>
      <c r="FSU39" s="66"/>
      <c r="FSV39" s="66"/>
      <c r="FSW39" s="66"/>
      <c r="FSX39" s="66"/>
      <c r="FSY39" s="66"/>
      <c r="FSZ39" s="66"/>
      <c r="FTA39" s="66"/>
      <c r="FTB39" s="66"/>
      <c r="FTC39" s="66"/>
      <c r="FTD39" s="66"/>
      <c r="FTE39" s="66"/>
      <c r="FTF39" s="66"/>
      <c r="FTG39" s="66"/>
      <c r="FTH39" s="66"/>
      <c r="FTI39" s="66"/>
      <c r="FTJ39" s="66"/>
      <c r="FTK39" s="66"/>
      <c r="FTL39" s="66"/>
      <c r="FTM39" s="66"/>
      <c r="FTN39" s="66"/>
      <c r="FTO39" s="66"/>
      <c r="FTP39" s="66"/>
      <c r="FTQ39" s="66"/>
      <c r="FTR39" s="66"/>
      <c r="FTS39" s="66"/>
      <c r="FTT39" s="66"/>
      <c r="FTU39" s="66"/>
      <c r="FTV39" s="66"/>
      <c r="FTW39" s="66"/>
      <c r="FTX39" s="66"/>
      <c r="FTY39" s="66"/>
      <c r="FTZ39" s="66"/>
      <c r="FUA39" s="66"/>
      <c r="FUB39" s="66"/>
      <c r="FUC39" s="66"/>
      <c r="FUD39" s="66"/>
      <c r="FUE39" s="66"/>
      <c r="FUF39" s="66"/>
      <c r="FUG39" s="66"/>
      <c r="FUH39" s="66"/>
      <c r="FUI39" s="66"/>
      <c r="FUJ39" s="66"/>
      <c r="FUK39" s="66"/>
      <c r="FUL39" s="66"/>
      <c r="FUM39" s="66"/>
      <c r="FUN39" s="66"/>
      <c r="FUO39" s="66"/>
      <c r="FUP39" s="66"/>
      <c r="FUQ39" s="66"/>
      <c r="FUR39" s="66"/>
      <c r="FUS39" s="66"/>
      <c r="FUT39" s="66"/>
      <c r="FUU39" s="66"/>
      <c r="FUV39" s="66"/>
      <c r="FUW39" s="66"/>
      <c r="FUX39" s="66"/>
      <c r="FUY39" s="66"/>
      <c r="FUZ39" s="66"/>
      <c r="FVA39" s="66"/>
      <c r="FVB39" s="66"/>
      <c r="FVC39" s="66"/>
      <c r="FVD39" s="66"/>
      <c r="FVE39" s="66"/>
      <c r="FVF39" s="66"/>
      <c r="FVG39" s="66"/>
      <c r="FVH39" s="66"/>
      <c r="FVI39" s="66"/>
      <c r="FVJ39" s="66"/>
      <c r="FVK39" s="66"/>
      <c r="FVL39" s="66"/>
      <c r="FVM39" s="66"/>
      <c r="FVN39" s="66"/>
      <c r="FVO39" s="66"/>
      <c r="FVP39" s="66"/>
      <c r="FVQ39" s="66"/>
      <c r="FVR39" s="66"/>
      <c r="FVS39" s="66"/>
      <c r="FVT39" s="66"/>
      <c r="FVU39" s="66"/>
      <c r="FVV39" s="66"/>
      <c r="FVW39" s="66"/>
      <c r="FVX39" s="66"/>
      <c r="FVY39" s="66"/>
      <c r="FVZ39" s="66"/>
      <c r="FWA39" s="66"/>
      <c r="FWB39" s="66"/>
      <c r="FWC39" s="66"/>
      <c r="FWD39" s="66"/>
      <c r="FWE39" s="66"/>
      <c r="FWF39" s="66"/>
      <c r="FWG39" s="66"/>
      <c r="FWH39" s="66"/>
      <c r="FWI39" s="66"/>
      <c r="FWJ39" s="66"/>
      <c r="FWK39" s="66"/>
      <c r="FWL39" s="66"/>
      <c r="FWM39" s="66"/>
      <c r="FWN39" s="66"/>
      <c r="FWO39" s="66"/>
      <c r="FWP39" s="66"/>
      <c r="FWQ39" s="66"/>
      <c r="FWR39" s="66"/>
      <c r="FWS39" s="66"/>
      <c r="FWT39" s="66"/>
      <c r="FWU39" s="66"/>
      <c r="FWV39" s="66"/>
      <c r="FWW39" s="66"/>
      <c r="FWX39" s="66"/>
      <c r="FWY39" s="66"/>
      <c r="FWZ39" s="66"/>
      <c r="FXA39" s="66"/>
      <c r="FXB39" s="66"/>
      <c r="FXC39" s="66"/>
      <c r="FXD39" s="66"/>
      <c r="FXE39" s="66"/>
      <c r="FXF39" s="66"/>
      <c r="FXG39" s="66"/>
      <c r="FXH39" s="66"/>
      <c r="FXI39" s="66"/>
      <c r="FXJ39" s="66"/>
      <c r="FXK39" s="66"/>
      <c r="FXL39" s="66"/>
      <c r="FXM39" s="66"/>
      <c r="FXN39" s="66"/>
      <c r="FXO39" s="66"/>
      <c r="FXP39" s="66"/>
      <c r="FXQ39" s="66"/>
      <c r="FXR39" s="66"/>
      <c r="FXS39" s="66"/>
      <c r="FXT39" s="66"/>
      <c r="FXU39" s="66"/>
      <c r="FXV39" s="66"/>
      <c r="FXW39" s="66"/>
      <c r="FXX39" s="66"/>
      <c r="FXY39" s="66"/>
      <c r="FXZ39" s="66"/>
      <c r="FYA39" s="66"/>
      <c r="FYB39" s="66"/>
      <c r="FYC39" s="66"/>
      <c r="FYD39" s="66"/>
      <c r="FYE39" s="66"/>
      <c r="FYF39" s="66"/>
      <c r="FYG39" s="66"/>
      <c r="FYH39" s="66"/>
      <c r="FYI39" s="66"/>
      <c r="FYJ39" s="66"/>
      <c r="FYK39" s="66"/>
      <c r="FYL39" s="66"/>
      <c r="FYM39" s="66"/>
      <c r="FYN39" s="66"/>
      <c r="FYO39" s="66"/>
      <c r="FYP39" s="66"/>
      <c r="FYQ39" s="66"/>
      <c r="FYR39" s="66"/>
      <c r="FYS39" s="66"/>
      <c r="FYT39" s="66"/>
      <c r="FYU39" s="66"/>
      <c r="FYV39" s="66"/>
      <c r="FYW39" s="66"/>
      <c r="FYX39" s="66"/>
      <c r="FYY39" s="66"/>
      <c r="FYZ39" s="66"/>
      <c r="FZA39" s="66"/>
      <c r="FZB39" s="66"/>
      <c r="FZC39" s="66"/>
      <c r="FZD39" s="66"/>
      <c r="FZE39" s="66"/>
      <c r="FZF39" s="66"/>
      <c r="FZG39" s="66"/>
      <c r="FZH39" s="66"/>
      <c r="FZI39" s="66"/>
      <c r="FZJ39" s="66"/>
      <c r="FZK39" s="66"/>
      <c r="FZL39" s="66"/>
      <c r="FZM39" s="66"/>
      <c r="FZN39" s="66"/>
      <c r="FZO39" s="66"/>
      <c r="FZP39" s="66"/>
      <c r="FZQ39" s="66"/>
      <c r="FZR39" s="66"/>
      <c r="FZS39" s="66"/>
      <c r="FZT39" s="66"/>
      <c r="FZU39" s="66"/>
      <c r="FZV39" s="66"/>
      <c r="FZW39" s="66"/>
      <c r="FZX39" s="66"/>
      <c r="FZY39" s="66"/>
      <c r="FZZ39" s="66"/>
      <c r="GAA39" s="66"/>
      <c r="GAB39" s="66"/>
      <c r="GAC39" s="66"/>
      <c r="GAD39" s="66"/>
      <c r="GAE39" s="66"/>
      <c r="GAF39" s="66"/>
      <c r="GAG39" s="66"/>
      <c r="GAH39" s="66"/>
      <c r="GAI39" s="66"/>
      <c r="GAJ39" s="66"/>
      <c r="GAK39" s="66"/>
      <c r="GAL39" s="66"/>
      <c r="GAM39" s="66"/>
      <c r="GAN39" s="66"/>
      <c r="GAO39" s="66"/>
      <c r="GAP39" s="66"/>
      <c r="GAQ39" s="66"/>
      <c r="GAR39" s="66"/>
      <c r="GAS39" s="66"/>
      <c r="GAT39" s="66"/>
      <c r="GAU39" s="66"/>
      <c r="GAV39" s="66"/>
      <c r="GAW39" s="66"/>
      <c r="GAX39" s="66"/>
      <c r="GAY39" s="66"/>
      <c r="GAZ39" s="66"/>
      <c r="GBA39" s="66"/>
      <c r="GBB39" s="66"/>
      <c r="GBC39" s="66"/>
      <c r="GBD39" s="66"/>
      <c r="GBE39" s="66"/>
      <c r="GBF39" s="66"/>
      <c r="GBG39" s="66"/>
      <c r="GBH39" s="66"/>
      <c r="GBI39" s="66"/>
      <c r="GBJ39" s="66"/>
      <c r="GBK39" s="66"/>
      <c r="GBL39" s="66"/>
      <c r="GBM39" s="66"/>
      <c r="GBN39" s="66"/>
      <c r="GBO39" s="66"/>
      <c r="GBP39" s="66"/>
      <c r="GBQ39" s="66"/>
      <c r="GBR39" s="66"/>
      <c r="GBS39" s="66"/>
      <c r="GBT39" s="66"/>
      <c r="GBU39" s="66"/>
      <c r="GBV39" s="66"/>
      <c r="GBW39" s="66"/>
      <c r="GBX39" s="66"/>
      <c r="GBY39" s="66"/>
      <c r="GBZ39" s="66"/>
      <c r="GCA39" s="66"/>
      <c r="GCB39" s="66"/>
      <c r="GCC39" s="66"/>
      <c r="GCD39" s="66"/>
      <c r="GCE39" s="66"/>
      <c r="GCF39" s="66"/>
      <c r="GCG39" s="66"/>
      <c r="GCH39" s="66"/>
      <c r="GCI39" s="66"/>
      <c r="GCJ39" s="66"/>
      <c r="GCK39" s="66"/>
      <c r="GCL39" s="66"/>
      <c r="GCM39" s="66"/>
      <c r="GCN39" s="66"/>
      <c r="GCO39" s="66"/>
      <c r="GCP39" s="66"/>
      <c r="GCQ39" s="66"/>
      <c r="GCR39" s="66"/>
      <c r="GCS39" s="66"/>
      <c r="GCT39" s="66"/>
      <c r="GCU39" s="66"/>
      <c r="GCV39" s="66"/>
      <c r="GCW39" s="66"/>
      <c r="GCX39" s="66"/>
      <c r="GCY39" s="66"/>
      <c r="GCZ39" s="66"/>
      <c r="GDA39" s="66"/>
      <c r="GDB39" s="66"/>
      <c r="GDC39" s="66"/>
      <c r="GDD39" s="66"/>
      <c r="GDE39" s="66"/>
      <c r="GDF39" s="66"/>
      <c r="GDG39" s="66"/>
      <c r="GDH39" s="66"/>
      <c r="GDI39" s="66"/>
      <c r="GDJ39" s="66"/>
      <c r="GDK39" s="66"/>
      <c r="GDL39" s="66"/>
      <c r="GDM39" s="66"/>
      <c r="GDN39" s="66"/>
      <c r="GDO39" s="66"/>
      <c r="GDP39" s="66"/>
      <c r="GDQ39" s="66"/>
      <c r="GDR39" s="66"/>
      <c r="GDS39" s="66"/>
      <c r="GDT39" s="66"/>
      <c r="GDU39" s="66"/>
      <c r="GDV39" s="66"/>
      <c r="GDW39" s="66"/>
      <c r="GDX39" s="66"/>
      <c r="GDY39" s="66"/>
      <c r="GDZ39" s="66"/>
      <c r="GEA39" s="66"/>
      <c r="GEB39" s="66"/>
      <c r="GEC39" s="66"/>
      <c r="GED39" s="66"/>
      <c r="GEE39" s="66"/>
      <c r="GEF39" s="66"/>
      <c r="GEG39" s="66"/>
      <c r="GEH39" s="66"/>
      <c r="GEI39" s="66"/>
      <c r="GEJ39" s="66"/>
      <c r="GEK39" s="66"/>
      <c r="GEL39" s="66"/>
      <c r="GEM39" s="66"/>
      <c r="GEN39" s="66"/>
      <c r="GEO39" s="66"/>
      <c r="GEP39" s="66"/>
      <c r="GEQ39" s="66"/>
      <c r="GER39" s="66"/>
      <c r="GES39" s="66"/>
      <c r="GET39" s="66"/>
      <c r="GEU39" s="66"/>
      <c r="GEV39" s="66"/>
      <c r="GEW39" s="66"/>
      <c r="GEX39" s="66"/>
      <c r="GEY39" s="66"/>
      <c r="GEZ39" s="66"/>
      <c r="GFA39" s="66"/>
      <c r="GFB39" s="66"/>
      <c r="GFC39" s="66"/>
      <c r="GFD39" s="66"/>
      <c r="GFE39" s="66"/>
      <c r="GFF39" s="66"/>
      <c r="GFG39" s="66"/>
      <c r="GFH39" s="66"/>
      <c r="GFI39" s="66"/>
      <c r="GFJ39" s="66"/>
      <c r="GFK39" s="66"/>
      <c r="GFL39" s="66"/>
      <c r="GFM39" s="66"/>
      <c r="GFN39" s="66"/>
      <c r="GFO39" s="66"/>
      <c r="GFP39" s="66"/>
      <c r="GFQ39" s="66"/>
      <c r="GFR39" s="66"/>
      <c r="GFS39" s="66"/>
      <c r="GFT39" s="66"/>
      <c r="GFU39" s="66"/>
      <c r="GFV39" s="66"/>
      <c r="GFW39" s="66"/>
      <c r="GFX39" s="66"/>
      <c r="GFY39" s="66"/>
      <c r="GFZ39" s="66"/>
      <c r="GGA39" s="66"/>
      <c r="GGB39" s="66"/>
      <c r="GGC39" s="66"/>
      <c r="GGD39" s="66"/>
      <c r="GGE39" s="66"/>
      <c r="GGF39" s="66"/>
      <c r="GGG39" s="66"/>
      <c r="GGH39" s="66"/>
      <c r="GGI39" s="66"/>
      <c r="GGJ39" s="66"/>
      <c r="GGK39" s="66"/>
      <c r="GGL39" s="66"/>
      <c r="GGM39" s="66"/>
      <c r="GGN39" s="66"/>
      <c r="GGO39" s="66"/>
      <c r="GGP39" s="66"/>
      <c r="GGQ39" s="66"/>
      <c r="GGR39" s="66"/>
      <c r="GGS39" s="66"/>
      <c r="GGT39" s="66"/>
      <c r="GGU39" s="66"/>
      <c r="GGV39" s="66"/>
      <c r="GGW39" s="66"/>
      <c r="GGX39" s="66"/>
      <c r="GGY39" s="66"/>
      <c r="GGZ39" s="66"/>
      <c r="GHA39" s="66"/>
      <c r="GHB39" s="66"/>
      <c r="GHC39" s="66"/>
      <c r="GHD39" s="66"/>
      <c r="GHE39" s="66"/>
      <c r="GHF39" s="66"/>
      <c r="GHG39" s="66"/>
      <c r="GHH39" s="66"/>
      <c r="GHI39" s="66"/>
      <c r="GHJ39" s="66"/>
      <c r="GHK39" s="66"/>
      <c r="GHL39" s="66"/>
      <c r="GHM39" s="66"/>
      <c r="GHN39" s="66"/>
      <c r="GHO39" s="66"/>
      <c r="GHP39" s="66"/>
      <c r="GHQ39" s="66"/>
      <c r="GHR39" s="66"/>
      <c r="GHS39" s="66"/>
      <c r="GHT39" s="66"/>
      <c r="GHU39" s="66"/>
      <c r="GHV39" s="66"/>
      <c r="GHW39" s="66"/>
      <c r="GHX39" s="66"/>
      <c r="GHY39" s="66"/>
      <c r="GHZ39" s="66"/>
      <c r="GIA39" s="66"/>
      <c r="GIB39" s="66"/>
      <c r="GIC39" s="66"/>
      <c r="GID39" s="66"/>
      <c r="GIE39" s="66"/>
      <c r="GIF39" s="66"/>
      <c r="GIG39" s="66"/>
      <c r="GIH39" s="66"/>
      <c r="GII39" s="66"/>
      <c r="GIJ39" s="66"/>
      <c r="GIK39" s="66"/>
      <c r="GIL39" s="66"/>
      <c r="GIM39" s="66"/>
      <c r="GIN39" s="66"/>
      <c r="GIO39" s="66"/>
      <c r="GIP39" s="66"/>
      <c r="GIQ39" s="66"/>
      <c r="GIR39" s="66"/>
      <c r="GIS39" s="66"/>
      <c r="GIT39" s="66"/>
      <c r="GIU39" s="66"/>
      <c r="GIV39" s="66"/>
      <c r="GIW39" s="66"/>
      <c r="GIX39" s="66"/>
      <c r="GIY39" s="66"/>
      <c r="GIZ39" s="66"/>
      <c r="GJA39" s="66"/>
      <c r="GJB39" s="66"/>
      <c r="GJC39" s="66"/>
      <c r="GJD39" s="66"/>
      <c r="GJE39" s="66"/>
      <c r="GJF39" s="66"/>
      <c r="GJG39" s="66"/>
      <c r="GJH39" s="66"/>
      <c r="GJI39" s="66"/>
      <c r="GJJ39" s="66"/>
      <c r="GJK39" s="66"/>
      <c r="GJL39" s="66"/>
      <c r="GJM39" s="66"/>
      <c r="GJN39" s="66"/>
      <c r="GJO39" s="66"/>
      <c r="GJP39" s="66"/>
      <c r="GJQ39" s="66"/>
      <c r="GJR39" s="66"/>
      <c r="GJS39" s="66"/>
      <c r="GJT39" s="66"/>
      <c r="GJU39" s="66"/>
      <c r="GJV39" s="66"/>
      <c r="GJW39" s="66"/>
      <c r="GJX39" s="66"/>
      <c r="GJY39" s="66"/>
      <c r="GJZ39" s="66"/>
      <c r="GKA39" s="66"/>
      <c r="GKB39" s="66"/>
      <c r="GKC39" s="66"/>
      <c r="GKD39" s="66"/>
      <c r="GKE39" s="66"/>
      <c r="GKF39" s="66"/>
      <c r="GKG39" s="66"/>
      <c r="GKH39" s="66"/>
      <c r="GKI39" s="66"/>
      <c r="GKJ39" s="66"/>
      <c r="GKK39" s="66"/>
      <c r="GKL39" s="66"/>
      <c r="GKM39" s="66"/>
      <c r="GKN39" s="66"/>
      <c r="GKO39" s="66"/>
      <c r="GKP39" s="66"/>
      <c r="GKQ39" s="66"/>
      <c r="GKR39" s="66"/>
      <c r="GKS39" s="66"/>
      <c r="GKT39" s="66"/>
      <c r="GKU39" s="66"/>
      <c r="GKV39" s="66"/>
      <c r="GKW39" s="66"/>
      <c r="GKX39" s="66"/>
      <c r="GKY39" s="66"/>
      <c r="GKZ39" s="66"/>
      <c r="GLA39" s="66"/>
      <c r="GLB39" s="66"/>
      <c r="GLC39" s="66"/>
      <c r="GLD39" s="66"/>
      <c r="GLE39" s="66"/>
      <c r="GLF39" s="66"/>
      <c r="GLG39" s="66"/>
      <c r="GLH39" s="66"/>
      <c r="GLI39" s="66"/>
      <c r="GLJ39" s="66"/>
      <c r="GLK39" s="66"/>
      <c r="GLL39" s="66"/>
      <c r="GLM39" s="66"/>
      <c r="GLN39" s="66"/>
      <c r="GLO39" s="66"/>
      <c r="GLP39" s="66"/>
      <c r="GLQ39" s="66"/>
      <c r="GLR39" s="66"/>
      <c r="GLS39" s="66"/>
      <c r="GLT39" s="66"/>
      <c r="GLU39" s="66"/>
      <c r="GLV39" s="66"/>
      <c r="GLW39" s="66"/>
      <c r="GLX39" s="66"/>
      <c r="GLY39" s="66"/>
      <c r="GLZ39" s="66"/>
      <c r="GMA39" s="66"/>
      <c r="GMB39" s="66"/>
      <c r="GMC39" s="66"/>
      <c r="GMD39" s="66"/>
      <c r="GME39" s="66"/>
      <c r="GMF39" s="66"/>
      <c r="GMG39" s="66"/>
      <c r="GMH39" s="66"/>
      <c r="GMI39" s="66"/>
      <c r="GMJ39" s="66"/>
      <c r="GMK39" s="66"/>
      <c r="GML39" s="66"/>
      <c r="GMM39" s="66"/>
      <c r="GMN39" s="66"/>
      <c r="GMO39" s="66"/>
      <c r="GMP39" s="66"/>
      <c r="GMQ39" s="66"/>
      <c r="GMR39" s="66"/>
      <c r="GMS39" s="66"/>
      <c r="GMT39" s="66"/>
      <c r="GMU39" s="66"/>
      <c r="GMV39" s="66"/>
      <c r="GMW39" s="66"/>
      <c r="GMX39" s="66"/>
      <c r="GMY39" s="66"/>
      <c r="GMZ39" s="66"/>
      <c r="GNA39" s="66"/>
      <c r="GNB39" s="66"/>
      <c r="GNC39" s="66"/>
      <c r="GND39" s="66"/>
      <c r="GNE39" s="66"/>
      <c r="GNF39" s="66"/>
      <c r="GNG39" s="66"/>
      <c r="GNH39" s="66"/>
      <c r="GNI39" s="66"/>
      <c r="GNJ39" s="66"/>
      <c r="GNK39" s="66"/>
      <c r="GNL39" s="66"/>
      <c r="GNM39" s="66"/>
      <c r="GNN39" s="66"/>
      <c r="GNO39" s="66"/>
      <c r="GNP39" s="66"/>
      <c r="GNQ39" s="66"/>
      <c r="GNR39" s="66"/>
      <c r="GNS39" s="66"/>
      <c r="GNT39" s="66"/>
      <c r="GNU39" s="66"/>
      <c r="GNV39" s="66"/>
      <c r="GNW39" s="66"/>
      <c r="GNX39" s="66"/>
      <c r="GNY39" s="66"/>
      <c r="GNZ39" s="66"/>
      <c r="GOA39" s="66"/>
      <c r="GOB39" s="66"/>
      <c r="GOC39" s="66"/>
      <c r="GOD39" s="66"/>
      <c r="GOE39" s="66"/>
      <c r="GOF39" s="66"/>
      <c r="GOG39" s="66"/>
      <c r="GOH39" s="66"/>
      <c r="GOI39" s="66"/>
      <c r="GOJ39" s="66"/>
      <c r="GOK39" s="66"/>
      <c r="GOL39" s="66"/>
      <c r="GOM39" s="66"/>
      <c r="GON39" s="66"/>
      <c r="GOO39" s="66"/>
      <c r="GOP39" s="66"/>
      <c r="GOQ39" s="66"/>
      <c r="GOR39" s="66"/>
      <c r="GOS39" s="66"/>
      <c r="GOT39" s="66"/>
      <c r="GOU39" s="66"/>
      <c r="GOV39" s="66"/>
      <c r="GOW39" s="66"/>
      <c r="GOX39" s="66"/>
      <c r="GOY39" s="66"/>
      <c r="GOZ39" s="66"/>
      <c r="GPA39" s="66"/>
      <c r="GPB39" s="66"/>
      <c r="GPC39" s="66"/>
      <c r="GPD39" s="66"/>
      <c r="GPE39" s="66"/>
      <c r="GPF39" s="66"/>
      <c r="GPG39" s="66"/>
      <c r="GPH39" s="66"/>
      <c r="GPI39" s="66"/>
      <c r="GPJ39" s="66"/>
      <c r="GPK39" s="66"/>
      <c r="GPL39" s="66"/>
      <c r="GPM39" s="66"/>
      <c r="GPN39" s="66"/>
      <c r="GPO39" s="66"/>
      <c r="GPP39" s="66"/>
      <c r="GPQ39" s="66"/>
      <c r="GPR39" s="66"/>
      <c r="GPS39" s="66"/>
      <c r="GPT39" s="66"/>
      <c r="GPU39" s="66"/>
      <c r="GPV39" s="66"/>
      <c r="GPW39" s="66"/>
      <c r="GPX39" s="66"/>
      <c r="GPY39" s="66"/>
      <c r="GPZ39" s="66"/>
      <c r="GQA39" s="66"/>
      <c r="GQB39" s="66"/>
      <c r="GQC39" s="66"/>
      <c r="GQD39" s="66"/>
      <c r="GQE39" s="66"/>
      <c r="GQF39" s="66"/>
      <c r="GQG39" s="66"/>
      <c r="GQH39" s="66"/>
      <c r="GQI39" s="66"/>
      <c r="GQJ39" s="66"/>
      <c r="GQK39" s="66"/>
      <c r="GQL39" s="66"/>
      <c r="GQM39" s="66"/>
      <c r="GQN39" s="66"/>
      <c r="GQO39" s="66"/>
      <c r="GQP39" s="66"/>
      <c r="GQQ39" s="66"/>
      <c r="GQR39" s="66"/>
      <c r="GQS39" s="66"/>
      <c r="GQT39" s="66"/>
      <c r="GQU39" s="66"/>
      <c r="GQV39" s="66"/>
      <c r="GQW39" s="66"/>
      <c r="GQX39" s="66"/>
      <c r="GQY39" s="66"/>
      <c r="GQZ39" s="66"/>
      <c r="GRA39" s="66"/>
      <c r="GRB39" s="66"/>
      <c r="GRC39" s="66"/>
      <c r="GRD39" s="66"/>
      <c r="GRE39" s="66"/>
      <c r="GRF39" s="66"/>
      <c r="GRG39" s="66"/>
      <c r="GRH39" s="66"/>
      <c r="GRI39" s="66"/>
      <c r="GRJ39" s="66"/>
      <c r="GRK39" s="66"/>
      <c r="GRL39" s="66"/>
      <c r="GRM39" s="66"/>
      <c r="GRN39" s="66"/>
      <c r="GRO39" s="66"/>
      <c r="GRP39" s="66"/>
      <c r="GRQ39" s="66"/>
      <c r="GRR39" s="66"/>
      <c r="GRS39" s="66"/>
      <c r="GRT39" s="66"/>
      <c r="GRU39" s="66"/>
      <c r="GRV39" s="66"/>
      <c r="GRW39" s="66"/>
      <c r="GRX39" s="66"/>
      <c r="GRY39" s="66"/>
      <c r="GRZ39" s="66"/>
      <c r="GSA39" s="66"/>
      <c r="GSB39" s="66"/>
      <c r="GSC39" s="66"/>
      <c r="GSD39" s="66"/>
      <c r="GSE39" s="66"/>
      <c r="GSF39" s="66"/>
      <c r="GSG39" s="66"/>
      <c r="GSH39" s="66"/>
      <c r="GSI39" s="66"/>
      <c r="GSJ39" s="66"/>
      <c r="GSK39" s="66"/>
      <c r="GSL39" s="66"/>
      <c r="GSM39" s="66"/>
      <c r="GSN39" s="66"/>
      <c r="GSO39" s="66"/>
      <c r="GSP39" s="66"/>
      <c r="GSQ39" s="66"/>
      <c r="GSR39" s="66"/>
      <c r="GSS39" s="66"/>
      <c r="GST39" s="66"/>
      <c r="GSU39" s="66"/>
      <c r="GSV39" s="66"/>
      <c r="GSW39" s="66"/>
      <c r="GSX39" s="66"/>
      <c r="GSY39" s="66"/>
      <c r="GSZ39" s="66"/>
      <c r="GTA39" s="66"/>
      <c r="GTB39" s="66"/>
      <c r="GTC39" s="66"/>
      <c r="GTD39" s="66"/>
      <c r="GTE39" s="66"/>
      <c r="GTF39" s="66"/>
      <c r="GTG39" s="66"/>
      <c r="GTH39" s="66"/>
      <c r="GTI39" s="66"/>
      <c r="GTJ39" s="66"/>
      <c r="GTK39" s="66"/>
      <c r="GTL39" s="66"/>
      <c r="GTM39" s="66"/>
      <c r="GTN39" s="66"/>
      <c r="GTO39" s="66"/>
      <c r="GTP39" s="66"/>
      <c r="GTQ39" s="66"/>
      <c r="GTR39" s="66"/>
      <c r="GTS39" s="66"/>
      <c r="GTT39" s="66"/>
      <c r="GTU39" s="66"/>
      <c r="GTV39" s="66"/>
      <c r="GTW39" s="66"/>
      <c r="GTX39" s="66"/>
      <c r="GTY39" s="66"/>
      <c r="GTZ39" s="66"/>
      <c r="GUA39" s="66"/>
      <c r="GUB39" s="66"/>
      <c r="GUC39" s="66"/>
      <c r="GUD39" s="66"/>
      <c r="GUE39" s="66"/>
      <c r="GUF39" s="66"/>
      <c r="GUG39" s="66"/>
      <c r="GUH39" s="66"/>
      <c r="GUI39" s="66"/>
      <c r="GUJ39" s="66"/>
      <c r="GUK39" s="66"/>
      <c r="GUL39" s="66"/>
      <c r="GUM39" s="66"/>
      <c r="GUN39" s="66"/>
      <c r="GUO39" s="66"/>
      <c r="GUP39" s="66"/>
      <c r="GUQ39" s="66"/>
      <c r="GUR39" s="66"/>
      <c r="GUS39" s="66"/>
      <c r="GUT39" s="66"/>
      <c r="GUU39" s="66"/>
      <c r="GUV39" s="66"/>
      <c r="GUW39" s="66"/>
      <c r="GUX39" s="66"/>
      <c r="GUY39" s="66"/>
      <c r="GUZ39" s="66"/>
      <c r="GVA39" s="66"/>
      <c r="GVB39" s="66"/>
      <c r="GVC39" s="66"/>
      <c r="GVD39" s="66"/>
      <c r="GVE39" s="66"/>
      <c r="GVF39" s="66"/>
      <c r="GVG39" s="66"/>
      <c r="GVH39" s="66"/>
      <c r="GVI39" s="66"/>
      <c r="GVJ39" s="66"/>
      <c r="GVK39" s="66"/>
      <c r="GVL39" s="66"/>
      <c r="GVM39" s="66"/>
      <c r="GVN39" s="66"/>
      <c r="GVO39" s="66"/>
      <c r="GVP39" s="66"/>
      <c r="GVQ39" s="66"/>
      <c r="GVR39" s="66"/>
      <c r="GVS39" s="66"/>
      <c r="GVT39" s="66"/>
      <c r="GVU39" s="66"/>
      <c r="GVV39" s="66"/>
      <c r="GVW39" s="66"/>
      <c r="GVX39" s="66"/>
      <c r="GVY39" s="66"/>
      <c r="GVZ39" s="66"/>
      <c r="GWA39" s="66"/>
      <c r="GWB39" s="66"/>
      <c r="GWC39" s="66"/>
      <c r="GWD39" s="66"/>
      <c r="GWE39" s="66"/>
      <c r="GWF39" s="66"/>
      <c r="GWG39" s="66"/>
      <c r="GWH39" s="66"/>
      <c r="GWI39" s="66"/>
      <c r="GWJ39" s="66"/>
      <c r="GWK39" s="66"/>
      <c r="GWL39" s="66"/>
      <c r="GWM39" s="66"/>
      <c r="GWN39" s="66"/>
      <c r="GWO39" s="66"/>
      <c r="GWP39" s="66"/>
      <c r="GWQ39" s="66"/>
      <c r="GWR39" s="66"/>
      <c r="GWS39" s="66"/>
      <c r="GWT39" s="66"/>
      <c r="GWU39" s="66"/>
      <c r="GWV39" s="66"/>
      <c r="GWW39" s="66"/>
      <c r="GWX39" s="66"/>
      <c r="GWY39" s="66"/>
      <c r="GWZ39" s="66"/>
      <c r="GXA39" s="66"/>
      <c r="GXB39" s="66"/>
      <c r="GXC39" s="66"/>
      <c r="GXD39" s="66"/>
      <c r="GXE39" s="66"/>
      <c r="GXF39" s="66"/>
      <c r="GXG39" s="66"/>
      <c r="GXH39" s="66"/>
      <c r="GXI39" s="66"/>
      <c r="GXJ39" s="66"/>
      <c r="GXK39" s="66"/>
      <c r="GXL39" s="66"/>
      <c r="GXM39" s="66"/>
      <c r="GXN39" s="66"/>
      <c r="GXO39" s="66"/>
      <c r="GXP39" s="66"/>
      <c r="GXQ39" s="66"/>
      <c r="GXR39" s="66"/>
      <c r="GXS39" s="66"/>
      <c r="GXT39" s="66"/>
      <c r="GXU39" s="66"/>
      <c r="GXV39" s="66"/>
      <c r="GXW39" s="66"/>
      <c r="GXX39" s="66"/>
      <c r="GXY39" s="66"/>
      <c r="GXZ39" s="66"/>
      <c r="GYA39" s="66"/>
      <c r="GYB39" s="66"/>
      <c r="GYC39" s="66"/>
      <c r="GYD39" s="66"/>
      <c r="GYE39" s="66"/>
      <c r="GYF39" s="66"/>
      <c r="GYG39" s="66"/>
      <c r="GYH39" s="66"/>
      <c r="GYI39" s="66"/>
      <c r="GYJ39" s="66"/>
      <c r="GYK39" s="66"/>
      <c r="GYL39" s="66"/>
      <c r="GYM39" s="66"/>
      <c r="GYN39" s="66"/>
      <c r="GYO39" s="66"/>
      <c r="GYP39" s="66"/>
      <c r="GYQ39" s="66"/>
      <c r="GYR39" s="66"/>
      <c r="GYS39" s="66"/>
      <c r="GYT39" s="66"/>
      <c r="GYU39" s="66"/>
      <c r="GYV39" s="66"/>
      <c r="GYW39" s="66"/>
      <c r="GYX39" s="66"/>
      <c r="GYY39" s="66"/>
      <c r="GYZ39" s="66"/>
      <c r="GZA39" s="66"/>
      <c r="GZB39" s="66"/>
      <c r="GZC39" s="66"/>
      <c r="GZD39" s="66"/>
      <c r="GZE39" s="66"/>
      <c r="GZF39" s="66"/>
      <c r="GZG39" s="66"/>
      <c r="GZH39" s="66"/>
      <c r="GZI39" s="66"/>
      <c r="GZJ39" s="66"/>
      <c r="GZK39" s="66"/>
      <c r="GZL39" s="66"/>
      <c r="GZM39" s="66"/>
      <c r="GZN39" s="66"/>
      <c r="GZO39" s="66"/>
      <c r="GZP39" s="66"/>
      <c r="GZQ39" s="66"/>
      <c r="GZR39" s="66"/>
      <c r="GZS39" s="66"/>
      <c r="GZT39" s="66"/>
      <c r="GZU39" s="66"/>
      <c r="GZV39" s="66"/>
      <c r="GZW39" s="66"/>
      <c r="GZX39" s="66"/>
      <c r="GZY39" s="66"/>
      <c r="GZZ39" s="66"/>
      <c r="HAA39" s="66"/>
      <c r="HAB39" s="66"/>
      <c r="HAC39" s="66"/>
      <c r="HAD39" s="66"/>
      <c r="HAE39" s="66"/>
      <c r="HAF39" s="66"/>
      <c r="HAG39" s="66"/>
      <c r="HAH39" s="66"/>
      <c r="HAI39" s="66"/>
      <c r="HAJ39" s="66"/>
      <c r="HAK39" s="66"/>
      <c r="HAL39" s="66"/>
      <c r="HAM39" s="66"/>
      <c r="HAN39" s="66"/>
      <c r="HAO39" s="66"/>
      <c r="HAP39" s="66"/>
      <c r="HAQ39" s="66"/>
      <c r="HAR39" s="66"/>
      <c r="HAS39" s="66"/>
      <c r="HAT39" s="66"/>
      <c r="HAU39" s="66"/>
      <c r="HAV39" s="66"/>
      <c r="HAW39" s="66"/>
      <c r="HAX39" s="66"/>
      <c r="HAY39" s="66"/>
      <c r="HAZ39" s="66"/>
      <c r="HBA39" s="66"/>
      <c r="HBB39" s="66"/>
      <c r="HBC39" s="66"/>
      <c r="HBD39" s="66"/>
      <c r="HBE39" s="66"/>
      <c r="HBF39" s="66"/>
      <c r="HBG39" s="66"/>
      <c r="HBH39" s="66"/>
      <c r="HBI39" s="66"/>
      <c r="HBJ39" s="66"/>
      <c r="HBK39" s="66"/>
      <c r="HBL39" s="66"/>
      <c r="HBM39" s="66"/>
      <c r="HBN39" s="66"/>
      <c r="HBO39" s="66"/>
      <c r="HBP39" s="66"/>
      <c r="HBQ39" s="66"/>
      <c r="HBR39" s="66"/>
      <c r="HBS39" s="66"/>
      <c r="HBT39" s="66"/>
      <c r="HBU39" s="66"/>
      <c r="HBV39" s="66"/>
      <c r="HBW39" s="66"/>
      <c r="HBX39" s="66"/>
      <c r="HBY39" s="66"/>
      <c r="HBZ39" s="66"/>
      <c r="HCA39" s="66"/>
      <c r="HCB39" s="66"/>
      <c r="HCC39" s="66"/>
      <c r="HCD39" s="66"/>
      <c r="HCE39" s="66"/>
      <c r="HCF39" s="66"/>
      <c r="HCG39" s="66"/>
      <c r="HCH39" s="66"/>
      <c r="HCI39" s="66"/>
      <c r="HCJ39" s="66"/>
      <c r="HCK39" s="66"/>
      <c r="HCL39" s="66"/>
      <c r="HCM39" s="66"/>
      <c r="HCN39" s="66"/>
      <c r="HCO39" s="66"/>
      <c r="HCP39" s="66"/>
      <c r="HCQ39" s="66"/>
      <c r="HCR39" s="66"/>
      <c r="HCS39" s="66"/>
      <c r="HCT39" s="66"/>
      <c r="HCU39" s="66"/>
      <c r="HCV39" s="66"/>
      <c r="HCW39" s="66"/>
      <c r="HCX39" s="66"/>
      <c r="HCY39" s="66"/>
      <c r="HCZ39" s="66"/>
      <c r="HDA39" s="66"/>
      <c r="HDB39" s="66"/>
      <c r="HDC39" s="66"/>
      <c r="HDD39" s="66"/>
      <c r="HDE39" s="66"/>
      <c r="HDF39" s="66"/>
      <c r="HDG39" s="66"/>
      <c r="HDH39" s="66"/>
      <c r="HDI39" s="66"/>
      <c r="HDJ39" s="66"/>
      <c r="HDK39" s="66"/>
      <c r="HDL39" s="66"/>
      <c r="HDM39" s="66"/>
      <c r="HDN39" s="66"/>
      <c r="HDO39" s="66"/>
      <c r="HDP39" s="66"/>
      <c r="HDQ39" s="66"/>
      <c r="HDR39" s="66"/>
      <c r="HDS39" s="66"/>
      <c r="HDT39" s="66"/>
      <c r="HDU39" s="66"/>
      <c r="HDV39" s="66"/>
      <c r="HDW39" s="66"/>
      <c r="HDX39" s="66"/>
      <c r="HDY39" s="66"/>
      <c r="HDZ39" s="66"/>
      <c r="HEA39" s="66"/>
      <c r="HEB39" s="66"/>
      <c r="HEC39" s="66"/>
      <c r="HED39" s="66"/>
      <c r="HEE39" s="66"/>
      <c r="HEF39" s="66"/>
      <c r="HEG39" s="66"/>
      <c r="HEH39" s="66"/>
      <c r="HEI39" s="66"/>
      <c r="HEJ39" s="66"/>
      <c r="HEK39" s="66"/>
      <c r="HEL39" s="66"/>
      <c r="HEM39" s="66"/>
      <c r="HEN39" s="66"/>
      <c r="HEO39" s="66"/>
      <c r="HEP39" s="66"/>
      <c r="HEQ39" s="66"/>
      <c r="HER39" s="66"/>
      <c r="HES39" s="66"/>
      <c r="HET39" s="66"/>
      <c r="HEU39" s="66"/>
      <c r="HEV39" s="66"/>
      <c r="HEW39" s="66"/>
      <c r="HEX39" s="66"/>
      <c r="HEY39" s="66"/>
      <c r="HEZ39" s="66"/>
      <c r="HFA39" s="66"/>
      <c r="HFB39" s="66"/>
      <c r="HFC39" s="66"/>
      <c r="HFD39" s="66"/>
      <c r="HFE39" s="66"/>
      <c r="HFF39" s="66"/>
      <c r="HFG39" s="66"/>
      <c r="HFH39" s="66"/>
      <c r="HFI39" s="66"/>
      <c r="HFJ39" s="66"/>
      <c r="HFK39" s="66"/>
      <c r="HFL39" s="66"/>
      <c r="HFM39" s="66"/>
      <c r="HFN39" s="66"/>
      <c r="HFO39" s="66"/>
      <c r="HFP39" s="66"/>
      <c r="HFQ39" s="66"/>
      <c r="HFR39" s="66"/>
      <c r="HFS39" s="66"/>
      <c r="HFT39" s="66"/>
      <c r="HFU39" s="66"/>
      <c r="HFV39" s="66"/>
      <c r="HFW39" s="66"/>
      <c r="HFX39" s="66"/>
      <c r="HFY39" s="66"/>
      <c r="HFZ39" s="66"/>
      <c r="HGA39" s="66"/>
      <c r="HGB39" s="66"/>
      <c r="HGC39" s="66"/>
      <c r="HGD39" s="66"/>
      <c r="HGE39" s="66"/>
      <c r="HGF39" s="66"/>
      <c r="HGG39" s="66"/>
      <c r="HGH39" s="66"/>
      <c r="HGI39" s="66"/>
      <c r="HGJ39" s="66"/>
      <c r="HGK39" s="66"/>
      <c r="HGL39" s="66"/>
      <c r="HGM39" s="66"/>
      <c r="HGN39" s="66"/>
      <c r="HGO39" s="66"/>
      <c r="HGP39" s="66"/>
      <c r="HGQ39" s="66"/>
      <c r="HGR39" s="66"/>
      <c r="HGS39" s="66"/>
      <c r="HGT39" s="66"/>
      <c r="HGU39" s="66"/>
      <c r="HGV39" s="66"/>
      <c r="HGW39" s="66"/>
      <c r="HGX39" s="66"/>
      <c r="HGY39" s="66"/>
      <c r="HGZ39" s="66"/>
      <c r="HHA39" s="66"/>
      <c r="HHB39" s="66"/>
      <c r="HHC39" s="66"/>
      <c r="HHD39" s="66"/>
      <c r="HHE39" s="66"/>
      <c r="HHF39" s="66"/>
      <c r="HHG39" s="66"/>
      <c r="HHH39" s="66"/>
      <c r="HHI39" s="66"/>
      <c r="HHJ39" s="66"/>
      <c r="HHK39" s="66"/>
      <c r="HHL39" s="66"/>
      <c r="HHM39" s="66"/>
      <c r="HHN39" s="66"/>
      <c r="HHO39" s="66"/>
      <c r="HHP39" s="66"/>
      <c r="HHQ39" s="66"/>
      <c r="HHR39" s="66"/>
      <c r="HHS39" s="66"/>
      <c r="HHT39" s="66"/>
      <c r="HHU39" s="66"/>
      <c r="HHV39" s="66"/>
      <c r="HHW39" s="66"/>
      <c r="HHX39" s="66"/>
      <c r="HHY39" s="66"/>
      <c r="HHZ39" s="66"/>
      <c r="HIA39" s="66"/>
      <c r="HIB39" s="66"/>
      <c r="HIC39" s="66"/>
      <c r="HID39" s="66"/>
      <c r="HIE39" s="66"/>
      <c r="HIF39" s="66"/>
      <c r="HIG39" s="66"/>
      <c r="HIH39" s="66"/>
      <c r="HII39" s="66"/>
      <c r="HIJ39" s="66"/>
      <c r="HIK39" s="66"/>
      <c r="HIL39" s="66"/>
      <c r="HIM39" s="66"/>
      <c r="HIN39" s="66"/>
      <c r="HIO39" s="66"/>
      <c r="HIP39" s="66"/>
      <c r="HIQ39" s="66"/>
      <c r="HIR39" s="66"/>
      <c r="HIS39" s="66"/>
      <c r="HIT39" s="66"/>
      <c r="HIU39" s="66"/>
      <c r="HIV39" s="66"/>
      <c r="HIW39" s="66"/>
      <c r="HIX39" s="66"/>
      <c r="HIY39" s="66"/>
      <c r="HIZ39" s="66"/>
      <c r="HJA39" s="66"/>
      <c r="HJB39" s="66"/>
      <c r="HJC39" s="66"/>
      <c r="HJD39" s="66"/>
      <c r="HJE39" s="66"/>
      <c r="HJF39" s="66"/>
      <c r="HJG39" s="66"/>
      <c r="HJH39" s="66"/>
      <c r="HJI39" s="66"/>
      <c r="HJJ39" s="66"/>
      <c r="HJK39" s="66"/>
      <c r="HJL39" s="66"/>
      <c r="HJM39" s="66"/>
      <c r="HJN39" s="66"/>
      <c r="HJO39" s="66"/>
      <c r="HJP39" s="66"/>
      <c r="HJQ39" s="66"/>
      <c r="HJR39" s="66"/>
      <c r="HJS39" s="66"/>
      <c r="HJT39" s="66"/>
      <c r="HJU39" s="66"/>
      <c r="HJV39" s="66"/>
      <c r="HJW39" s="66"/>
      <c r="HJX39" s="66"/>
      <c r="HJY39" s="66"/>
      <c r="HJZ39" s="66"/>
      <c r="HKA39" s="66"/>
      <c r="HKB39" s="66"/>
      <c r="HKC39" s="66"/>
      <c r="HKD39" s="66"/>
      <c r="HKE39" s="66"/>
      <c r="HKF39" s="66"/>
      <c r="HKG39" s="66"/>
      <c r="HKH39" s="66"/>
      <c r="HKI39" s="66"/>
      <c r="HKJ39" s="66"/>
      <c r="HKK39" s="66"/>
      <c r="HKL39" s="66"/>
      <c r="HKM39" s="66"/>
      <c r="HKN39" s="66"/>
      <c r="HKO39" s="66"/>
      <c r="HKP39" s="66"/>
      <c r="HKQ39" s="66"/>
      <c r="HKR39" s="66"/>
      <c r="HKS39" s="66"/>
      <c r="HKT39" s="66"/>
      <c r="HKU39" s="66"/>
      <c r="HKV39" s="66"/>
      <c r="HKW39" s="66"/>
      <c r="HKX39" s="66"/>
      <c r="HKY39" s="66"/>
      <c r="HKZ39" s="66"/>
      <c r="HLA39" s="66"/>
      <c r="HLB39" s="66"/>
      <c r="HLC39" s="66"/>
      <c r="HLD39" s="66"/>
      <c r="HLE39" s="66"/>
      <c r="HLF39" s="66"/>
      <c r="HLG39" s="66"/>
      <c r="HLH39" s="66"/>
      <c r="HLI39" s="66"/>
      <c r="HLJ39" s="66"/>
      <c r="HLK39" s="66"/>
      <c r="HLL39" s="66"/>
      <c r="HLM39" s="66"/>
      <c r="HLN39" s="66"/>
      <c r="HLO39" s="66"/>
      <c r="HLP39" s="66"/>
      <c r="HLQ39" s="66"/>
      <c r="HLR39" s="66"/>
      <c r="HLS39" s="66"/>
      <c r="HLT39" s="66"/>
      <c r="HLU39" s="66"/>
      <c r="HLV39" s="66"/>
      <c r="HLW39" s="66"/>
      <c r="HLX39" s="66"/>
      <c r="HLY39" s="66"/>
      <c r="HLZ39" s="66"/>
      <c r="HMA39" s="66"/>
      <c r="HMB39" s="66"/>
      <c r="HMC39" s="66"/>
      <c r="HMD39" s="66"/>
      <c r="HME39" s="66"/>
      <c r="HMF39" s="66"/>
      <c r="HMG39" s="66"/>
      <c r="HMH39" s="66"/>
      <c r="HMI39" s="66"/>
      <c r="HMJ39" s="66"/>
      <c r="HMK39" s="66"/>
      <c r="HML39" s="66"/>
      <c r="HMM39" s="66"/>
      <c r="HMN39" s="66"/>
      <c r="HMO39" s="66"/>
      <c r="HMP39" s="66"/>
      <c r="HMQ39" s="66"/>
      <c r="HMR39" s="66"/>
      <c r="HMS39" s="66"/>
      <c r="HMT39" s="66"/>
      <c r="HMU39" s="66"/>
      <c r="HMV39" s="66"/>
      <c r="HMW39" s="66"/>
      <c r="HMX39" s="66"/>
      <c r="HMY39" s="66"/>
      <c r="HMZ39" s="66"/>
      <c r="HNA39" s="66"/>
      <c r="HNB39" s="66"/>
      <c r="HNC39" s="66"/>
      <c r="HND39" s="66"/>
      <c r="HNE39" s="66"/>
      <c r="HNF39" s="66"/>
      <c r="HNG39" s="66"/>
      <c r="HNH39" s="66"/>
      <c r="HNI39" s="66"/>
      <c r="HNJ39" s="66"/>
      <c r="HNK39" s="66"/>
      <c r="HNL39" s="66"/>
      <c r="HNM39" s="66"/>
      <c r="HNN39" s="66"/>
      <c r="HNO39" s="66"/>
      <c r="HNP39" s="66"/>
      <c r="HNQ39" s="66"/>
      <c r="HNR39" s="66"/>
      <c r="HNS39" s="66"/>
      <c r="HNT39" s="66"/>
      <c r="HNU39" s="66"/>
      <c r="HNV39" s="66"/>
      <c r="HNW39" s="66"/>
      <c r="HNX39" s="66"/>
      <c r="HNY39" s="66"/>
      <c r="HNZ39" s="66"/>
      <c r="HOA39" s="66"/>
      <c r="HOB39" s="66"/>
      <c r="HOC39" s="66"/>
      <c r="HOD39" s="66"/>
      <c r="HOE39" s="66"/>
      <c r="HOF39" s="66"/>
      <c r="HOG39" s="66"/>
      <c r="HOH39" s="66"/>
      <c r="HOI39" s="66"/>
      <c r="HOJ39" s="66"/>
      <c r="HOK39" s="66"/>
      <c r="HOL39" s="66"/>
      <c r="HOM39" s="66"/>
      <c r="HON39" s="66"/>
      <c r="HOO39" s="66"/>
      <c r="HOP39" s="66"/>
      <c r="HOQ39" s="66"/>
      <c r="HOR39" s="66"/>
      <c r="HOS39" s="66"/>
      <c r="HOT39" s="66"/>
      <c r="HOU39" s="66"/>
      <c r="HOV39" s="66"/>
      <c r="HOW39" s="66"/>
      <c r="HOX39" s="66"/>
      <c r="HOY39" s="66"/>
      <c r="HOZ39" s="66"/>
      <c r="HPA39" s="66"/>
      <c r="HPB39" s="66"/>
      <c r="HPC39" s="66"/>
      <c r="HPD39" s="66"/>
      <c r="HPE39" s="66"/>
      <c r="HPF39" s="66"/>
      <c r="HPG39" s="66"/>
      <c r="HPH39" s="66"/>
      <c r="HPI39" s="66"/>
      <c r="HPJ39" s="66"/>
      <c r="HPK39" s="66"/>
      <c r="HPL39" s="66"/>
      <c r="HPM39" s="66"/>
      <c r="HPN39" s="66"/>
      <c r="HPO39" s="66"/>
      <c r="HPP39" s="66"/>
      <c r="HPQ39" s="66"/>
      <c r="HPR39" s="66"/>
      <c r="HPS39" s="66"/>
      <c r="HPT39" s="66"/>
      <c r="HPU39" s="66"/>
      <c r="HPV39" s="66"/>
      <c r="HPW39" s="66"/>
      <c r="HPX39" s="66"/>
      <c r="HPY39" s="66"/>
      <c r="HPZ39" s="66"/>
      <c r="HQA39" s="66"/>
      <c r="HQB39" s="66"/>
      <c r="HQC39" s="66"/>
      <c r="HQD39" s="66"/>
      <c r="HQE39" s="66"/>
      <c r="HQF39" s="66"/>
      <c r="HQG39" s="66"/>
      <c r="HQH39" s="66"/>
      <c r="HQI39" s="66"/>
      <c r="HQJ39" s="66"/>
      <c r="HQK39" s="66"/>
      <c r="HQL39" s="66"/>
      <c r="HQM39" s="66"/>
      <c r="HQN39" s="66"/>
      <c r="HQO39" s="66"/>
      <c r="HQP39" s="66"/>
      <c r="HQQ39" s="66"/>
      <c r="HQR39" s="66"/>
      <c r="HQS39" s="66"/>
      <c r="HQT39" s="66"/>
      <c r="HQU39" s="66"/>
      <c r="HQV39" s="66"/>
      <c r="HQW39" s="66"/>
      <c r="HQX39" s="66"/>
      <c r="HQY39" s="66"/>
      <c r="HQZ39" s="66"/>
      <c r="HRA39" s="66"/>
      <c r="HRB39" s="66"/>
      <c r="HRC39" s="66"/>
      <c r="HRD39" s="66"/>
      <c r="HRE39" s="66"/>
      <c r="HRF39" s="66"/>
      <c r="HRG39" s="66"/>
      <c r="HRH39" s="66"/>
      <c r="HRI39" s="66"/>
      <c r="HRJ39" s="66"/>
      <c r="HRK39" s="66"/>
      <c r="HRL39" s="66"/>
      <c r="HRM39" s="66"/>
      <c r="HRN39" s="66"/>
      <c r="HRO39" s="66"/>
      <c r="HRP39" s="66"/>
      <c r="HRQ39" s="66"/>
      <c r="HRR39" s="66"/>
      <c r="HRS39" s="66"/>
      <c r="HRT39" s="66"/>
      <c r="HRU39" s="66"/>
      <c r="HRV39" s="66"/>
      <c r="HRW39" s="66"/>
      <c r="HRX39" s="66"/>
      <c r="HRY39" s="66"/>
      <c r="HRZ39" s="66"/>
      <c r="HSA39" s="66"/>
      <c r="HSB39" s="66"/>
      <c r="HSC39" s="66"/>
      <c r="HSD39" s="66"/>
      <c r="HSE39" s="66"/>
      <c r="HSF39" s="66"/>
      <c r="HSG39" s="66"/>
      <c r="HSH39" s="66"/>
      <c r="HSI39" s="66"/>
      <c r="HSJ39" s="66"/>
      <c r="HSK39" s="66"/>
      <c r="HSL39" s="66"/>
      <c r="HSM39" s="66"/>
      <c r="HSN39" s="66"/>
      <c r="HSO39" s="66"/>
      <c r="HSP39" s="66"/>
      <c r="HSQ39" s="66"/>
      <c r="HSR39" s="66"/>
      <c r="HSS39" s="66"/>
      <c r="HST39" s="66"/>
      <c r="HSU39" s="66"/>
      <c r="HSV39" s="66"/>
      <c r="HSW39" s="66"/>
      <c r="HSX39" s="66"/>
      <c r="HSY39" s="66"/>
      <c r="HSZ39" s="66"/>
      <c r="HTA39" s="66"/>
      <c r="HTB39" s="66"/>
      <c r="HTC39" s="66"/>
      <c r="HTD39" s="66"/>
      <c r="HTE39" s="66"/>
      <c r="HTF39" s="66"/>
      <c r="HTG39" s="66"/>
      <c r="HTH39" s="66"/>
      <c r="HTI39" s="66"/>
      <c r="HTJ39" s="66"/>
      <c r="HTK39" s="66"/>
      <c r="HTL39" s="66"/>
      <c r="HTM39" s="66"/>
      <c r="HTN39" s="66"/>
      <c r="HTO39" s="66"/>
      <c r="HTP39" s="66"/>
      <c r="HTQ39" s="66"/>
      <c r="HTR39" s="66"/>
      <c r="HTS39" s="66"/>
      <c r="HTT39" s="66"/>
      <c r="HTU39" s="66"/>
      <c r="HTV39" s="66"/>
      <c r="HTW39" s="66"/>
      <c r="HTX39" s="66"/>
      <c r="HTY39" s="66"/>
      <c r="HTZ39" s="66"/>
      <c r="HUA39" s="66"/>
      <c r="HUB39" s="66"/>
      <c r="HUC39" s="66"/>
      <c r="HUD39" s="66"/>
      <c r="HUE39" s="66"/>
      <c r="HUF39" s="66"/>
      <c r="HUG39" s="66"/>
      <c r="HUH39" s="66"/>
      <c r="HUI39" s="66"/>
      <c r="HUJ39" s="66"/>
      <c r="HUK39" s="66"/>
      <c r="HUL39" s="66"/>
      <c r="HUM39" s="66"/>
      <c r="HUN39" s="66"/>
      <c r="HUO39" s="66"/>
      <c r="HUP39" s="66"/>
      <c r="HUQ39" s="66"/>
      <c r="HUR39" s="66"/>
      <c r="HUS39" s="66"/>
      <c r="HUT39" s="66"/>
      <c r="HUU39" s="66"/>
      <c r="HUV39" s="66"/>
      <c r="HUW39" s="66"/>
      <c r="HUX39" s="66"/>
      <c r="HUY39" s="66"/>
      <c r="HUZ39" s="66"/>
      <c r="HVA39" s="66"/>
      <c r="HVB39" s="66"/>
      <c r="HVC39" s="66"/>
      <c r="HVD39" s="66"/>
      <c r="HVE39" s="66"/>
      <c r="HVF39" s="66"/>
      <c r="HVG39" s="66"/>
      <c r="HVH39" s="66"/>
      <c r="HVI39" s="66"/>
      <c r="HVJ39" s="66"/>
      <c r="HVK39" s="66"/>
      <c r="HVL39" s="66"/>
      <c r="HVM39" s="66"/>
      <c r="HVN39" s="66"/>
      <c r="HVO39" s="66"/>
      <c r="HVP39" s="66"/>
      <c r="HVQ39" s="66"/>
      <c r="HVR39" s="66"/>
      <c r="HVS39" s="66"/>
      <c r="HVT39" s="66"/>
      <c r="HVU39" s="66"/>
      <c r="HVV39" s="66"/>
      <c r="HVW39" s="66"/>
      <c r="HVX39" s="66"/>
      <c r="HVY39" s="66"/>
      <c r="HVZ39" s="66"/>
      <c r="HWA39" s="66"/>
      <c r="HWB39" s="66"/>
      <c r="HWC39" s="66"/>
      <c r="HWD39" s="66"/>
      <c r="HWE39" s="66"/>
      <c r="HWF39" s="66"/>
      <c r="HWG39" s="66"/>
      <c r="HWH39" s="66"/>
      <c r="HWI39" s="66"/>
      <c r="HWJ39" s="66"/>
      <c r="HWK39" s="66"/>
      <c r="HWL39" s="66"/>
      <c r="HWM39" s="66"/>
      <c r="HWN39" s="66"/>
      <c r="HWO39" s="66"/>
      <c r="HWP39" s="66"/>
      <c r="HWQ39" s="66"/>
      <c r="HWR39" s="66"/>
      <c r="HWS39" s="66"/>
      <c r="HWT39" s="66"/>
      <c r="HWU39" s="66"/>
      <c r="HWV39" s="66"/>
      <c r="HWW39" s="66"/>
      <c r="HWX39" s="66"/>
      <c r="HWY39" s="66"/>
      <c r="HWZ39" s="66"/>
      <c r="HXA39" s="66"/>
      <c r="HXB39" s="66"/>
      <c r="HXC39" s="66"/>
      <c r="HXD39" s="66"/>
      <c r="HXE39" s="66"/>
      <c r="HXF39" s="66"/>
      <c r="HXG39" s="66"/>
      <c r="HXH39" s="66"/>
      <c r="HXI39" s="66"/>
      <c r="HXJ39" s="66"/>
      <c r="HXK39" s="66"/>
      <c r="HXL39" s="66"/>
      <c r="HXM39" s="66"/>
      <c r="HXN39" s="66"/>
      <c r="HXO39" s="66"/>
      <c r="HXP39" s="66"/>
      <c r="HXQ39" s="66"/>
      <c r="HXR39" s="66"/>
      <c r="HXS39" s="66"/>
      <c r="HXT39" s="66"/>
      <c r="HXU39" s="66"/>
      <c r="HXV39" s="66"/>
      <c r="HXW39" s="66"/>
      <c r="HXX39" s="66"/>
      <c r="HXY39" s="66"/>
      <c r="HXZ39" s="66"/>
      <c r="HYA39" s="66"/>
      <c r="HYB39" s="66"/>
      <c r="HYC39" s="66"/>
      <c r="HYD39" s="66"/>
      <c r="HYE39" s="66"/>
      <c r="HYF39" s="66"/>
      <c r="HYG39" s="66"/>
      <c r="HYH39" s="66"/>
      <c r="HYI39" s="66"/>
      <c r="HYJ39" s="66"/>
      <c r="HYK39" s="66"/>
      <c r="HYL39" s="66"/>
      <c r="HYM39" s="66"/>
      <c r="HYN39" s="66"/>
      <c r="HYO39" s="66"/>
      <c r="HYP39" s="66"/>
      <c r="HYQ39" s="66"/>
      <c r="HYR39" s="66"/>
      <c r="HYS39" s="66"/>
      <c r="HYT39" s="66"/>
      <c r="HYU39" s="66"/>
      <c r="HYV39" s="66"/>
      <c r="HYW39" s="66"/>
      <c r="HYX39" s="66"/>
      <c r="HYY39" s="66"/>
      <c r="HYZ39" s="66"/>
      <c r="HZA39" s="66"/>
      <c r="HZB39" s="66"/>
      <c r="HZC39" s="66"/>
      <c r="HZD39" s="66"/>
      <c r="HZE39" s="66"/>
      <c r="HZF39" s="66"/>
      <c r="HZG39" s="66"/>
      <c r="HZH39" s="66"/>
      <c r="HZI39" s="66"/>
      <c r="HZJ39" s="66"/>
      <c r="HZK39" s="66"/>
      <c r="HZL39" s="66"/>
      <c r="HZM39" s="66"/>
      <c r="HZN39" s="66"/>
      <c r="HZO39" s="66"/>
      <c r="HZP39" s="66"/>
      <c r="HZQ39" s="66"/>
      <c r="HZR39" s="66"/>
      <c r="HZS39" s="66"/>
      <c r="HZT39" s="66"/>
      <c r="HZU39" s="66"/>
      <c r="HZV39" s="66"/>
      <c r="HZW39" s="66"/>
      <c r="HZX39" s="66"/>
      <c r="HZY39" s="66"/>
      <c r="HZZ39" s="66"/>
      <c r="IAA39" s="66"/>
      <c r="IAB39" s="66"/>
      <c r="IAC39" s="66"/>
      <c r="IAD39" s="66"/>
      <c r="IAE39" s="66"/>
      <c r="IAF39" s="66"/>
      <c r="IAG39" s="66"/>
      <c r="IAH39" s="66"/>
      <c r="IAI39" s="66"/>
      <c r="IAJ39" s="66"/>
      <c r="IAK39" s="66"/>
      <c r="IAL39" s="66"/>
      <c r="IAM39" s="66"/>
      <c r="IAN39" s="66"/>
      <c r="IAO39" s="66"/>
      <c r="IAP39" s="66"/>
      <c r="IAQ39" s="66"/>
      <c r="IAR39" s="66"/>
      <c r="IAS39" s="66"/>
      <c r="IAT39" s="66"/>
      <c r="IAU39" s="66"/>
      <c r="IAV39" s="66"/>
      <c r="IAW39" s="66"/>
      <c r="IAX39" s="66"/>
      <c r="IAY39" s="66"/>
      <c r="IAZ39" s="66"/>
      <c r="IBA39" s="66"/>
      <c r="IBB39" s="66"/>
      <c r="IBC39" s="66"/>
      <c r="IBD39" s="66"/>
      <c r="IBE39" s="66"/>
      <c r="IBF39" s="66"/>
      <c r="IBG39" s="66"/>
      <c r="IBH39" s="66"/>
      <c r="IBI39" s="66"/>
      <c r="IBJ39" s="66"/>
      <c r="IBK39" s="66"/>
      <c r="IBL39" s="66"/>
      <c r="IBM39" s="66"/>
      <c r="IBN39" s="66"/>
      <c r="IBO39" s="66"/>
      <c r="IBP39" s="66"/>
      <c r="IBQ39" s="66"/>
      <c r="IBR39" s="66"/>
      <c r="IBS39" s="66"/>
      <c r="IBT39" s="66"/>
      <c r="IBU39" s="66"/>
      <c r="IBV39" s="66"/>
      <c r="IBW39" s="66"/>
      <c r="IBX39" s="66"/>
      <c r="IBY39" s="66"/>
      <c r="IBZ39" s="66"/>
      <c r="ICA39" s="66"/>
      <c r="ICB39" s="66"/>
      <c r="ICC39" s="66"/>
      <c r="ICD39" s="66"/>
      <c r="ICE39" s="66"/>
      <c r="ICF39" s="66"/>
      <c r="ICG39" s="66"/>
      <c r="ICH39" s="66"/>
      <c r="ICI39" s="66"/>
      <c r="ICJ39" s="66"/>
      <c r="ICK39" s="66"/>
      <c r="ICL39" s="66"/>
      <c r="ICM39" s="66"/>
      <c r="ICN39" s="66"/>
      <c r="ICO39" s="66"/>
      <c r="ICP39" s="66"/>
      <c r="ICQ39" s="66"/>
      <c r="ICR39" s="66"/>
      <c r="ICS39" s="66"/>
      <c r="ICT39" s="66"/>
      <c r="ICU39" s="66"/>
      <c r="ICV39" s="66"/>
      <c r="ICW39" s="66"/>
      <c r="ICX39" s="66"/>
      <c r="ICY39" s="66"/>
      <c r="ICZ39" s="66"/>
      <c r="IDA39" s="66"/>
      <c r="IDB39" s="66"/>
      <c r="IDC39" s="66"/>
      <c r="IDD39" s="66"/>
      <c r="IDE39" s="66"/>
      <c r="IDF39" s="66"/>
      <c r="IDG39" s="66"/>
      <c r="IDH39" s="66"/>
      <c r="IDI39" s="66"/>
      <c r="IDJ39" s="66"/>
      <c r="IDK39" s="66"/>
      <c r="IDL39" s="66"/>
      <c r="IDM39" s="66"/>
      <c r="IDN39" s="66"/>
      <c r="IDO39" s="66"/>
      <c r="IDP39" s="66"/>
      <c r="IDQ39" s="66"/>
      <c r="IDR39" s="66"/>
      <c r="IDS39" s="66"/>
      <c r="IDT39" s="66"/>
      <c r="IDU39" s="66"/>
      <c r="IDV39" s="66"/>
      <c r="IDW39" s="66"/>
      <c r="IDX39" s="66"/>
      <c r="IDY39" s="66"/>
      <c r="IDZ39" s="66"/>
      <c r="IEA39" s="66"/>
      <c r="IEB39" s="66"/>
      <c r="IEC39" s="66"/>
      <c r="IED39" s="66"/>
      <c r="IEE39" s="66"/>
      <c r="IEF39" s="66"/>
      <c r="IEG39" s="66"/>
      <c r="IEH39" s="66"/>
      <c r="IEI39" s="66"/>
      <c r="IEJ39" s="66"/>
      <c r="IEK39" s="66"/>
      <c r="IEL39" s="66"/>
      <c r="IEM39" s="66"/>
      <c r="IEN39" s="66"/>
      <c r="IEO39" s="66"/>
      <c r="IEP39" s="66"/>
      <c r="IEQ39" s="66"/>
      <c r="IER39" s="66"/>
      <c r="IES39" s="66"/>
      <c r="IET39" s="66"/>
      <c r="IEU39" s="66"/>
      <c r="IEV39" s="66"/>
      <c r="IEW39" s="66"/>
      <c r="IEX39" s="66"/>
      <c r="IEY39" s="66"/>
      <c r="IEZ39" s="66"/>
      <c r="IFA39" s="66"/>
      <c r="IFB39" s="66"/>
      <c r="IFC39" s="66"/>
      <c r="IFD39" s="66"/>
      <c r="IFE39" s="66"/>
      <c r="IFF39" s="66"/>
      <c r="IFG39" s="66"/>
      <c r="IFH39" s="66"/>
      <c r="IFI39" s="66"/>
      <c r="IFJ39" s="66"/>
      <c r="IFK39" s="66"/>
      <c r="IFL39" s="66"/>
      <c r="IFM39" s="66"/>
      <c r="IFN39" s="66"/>
      <c r="IFO39" s="66"/>
      <c r="IFP39" s="66"/>
      <c r="IFQ39" s="66"/>
      <c r="IFR39" s="66"/>
      <c r="IFS39" s="66"/>
      <c r="IFT39" s="66"/>
      <c r="IFU39" s="66"/>
      <c r="IFV39" s="66"/>
      <c r="IFW39" s="66"/>
      <c r="IFX39" s="66"/>
      <c r="IFY39" s="66"/>
      <c r="IFZ39" s="66"/>
      <c r="IGA39" s="66"/>
      <c r="IGB39" s="66"/>
      <c r="IGC39" s="66"/>
      <c r="IGD39" s="66"/>
      <c r="IGE39" s="66"/>
      <c r="IGF39" s="66"/>
      <c r="IGG39" s="66"/>
      <c r="IGH39" s="66"/>
      <c r="IGI39" s="66"/>
      <c r="IGJ39" s="66"/>
      <c r="IGK39" s="66"/>
      <c r="IGL39" s="66"/>
      <c r="IGM39" s="66"/>
      <c r="IGN39" s="66"/>
      <c r="IGO39" s="66"/>
      <c r="IGP39" s="66"/>
      <c r="IGQ39" s="66"/>
      <c r="IGR39" s="66"/>
      <c r="IGS39" s="66"/>
      <c r="IGT39" s="66"/>
      <c r="IGU39" s="66"/>
      <c r="IGV39" s="66"/>
      <c r="IGW39" s="66"/>
      <c r="IGX39" s="66"/>
      <c r="IGY39" s="66"/>
      <c r="IGZ39" s="66"/>
      <c r="IHA39" s="66"/>
      <c r="IHB39" s="66"/>
      <c r="IHC39" s="66"/>
      <c r="IHD39" s="66"/>
      <c r="IHE39" s="66"/>
      <c r="IHF39" s="66"/>
      <c r="IHG39" s="66"/>
      <c r="IHH39" s="66"/>
      <c r="IHI39" s="66"/>
      <c r="IHJ39" s="66"/>
      <c r="IHK39" s="66"/>
      <c r="IHL39" s="66"/>
      <c r="IHM39" s="66"/>
      <c r="IHN39" s="66"/>
      <c r="IHO39" s="66"/>
      <c r="IHP39" s="66"/>
      <c r="IHQ39" s="66"/>
      <c r="IHR39" s="66"/>
      <c r="IHS39" s="66"/>
      <c r="IHT39" s="66"/>
      <c r="IHU39" s="66"/>
      <c r="IHV39" s="66"/>
      <c r="IHW39" s="66"/>
      <c r="IHX39" s="66"/>
      <c r="IHY39" s="66"/>
      <c r="IHZ39" s="66"/>
      <c r="IIA39" s="66"/>
      <c r="IIB39" s="66"/>
      <c r="IIC39" s="66"/>
      <c r="IID39" s="66"/>
      <c r="IIE39" s="66"/>
      <c r="IIF39" s="66"/>
      <c r="IIG39" s="66"/>
      <c r="IIH39" s="66"/>
      <c r="III39" s="66"/>
      <c r="IIJ39" s="66"/>
      <c r="IIK39" s="66"/>
      <c r="IIL39" s="66"/>
      <c r="IIM39" s="66"/>
      <c r="IIN39" s="66"/>
      <c r="IIO39" s="66"/>
      <c r="IIP39" s="66"/>
      <c r="IIQ39" s="66"/>
      <c r="IIR39" s="66"/>
      <c r="IIS39" s="66"/>
      <c r="IIT39" s="66"/>
      <c r="IIU39" s="66"/>
      <c r="IIV39" s="66"/>
      <c r="IIW39" s="66"/>
      <c r="IIX39" s="66"/>
      <c r="IIY39" s="66"/>
      <c r="IIZ39" s="66"/>
      <c r="IJA39" s="66"/>
      <c r="IJB39" s="66"/>
      <c r="IJC39" s="66"/>
      <c r="IJD39" s="66"/>
      <c r="IJE39" s="66"/>
      <c r="IJF39" s="66"/>
      <c r="IJG39" s="66"/>
      <c r="IJH39" s="66"/>
      <c r="IJI39" s="66"/>
      <c r="IJJ39" s="66"/>
      <c r="IJK39" s="66"/>
      <c r="IJL39" s="66"/>
      <c r="IJM39" s="66"/>
      <c r="IJN39" s="66"/>
      <c r="IJO39" s="66"/>
      <c r="IJP39" s="66"/>
      <c r="IJQ39" s="66"/>
      <c r="IJR39" s="66"/>
      <c r="IJS39" s="66"/>
      <c r="IJT39" s="66"/>
      <c r="IJU39" s="66"/>
      <c r="IJV39" s="66"/>
      <c r="IJW39" s="66"/>
      <c r="IJX39" s="66"/>
      <c r="IJY39" s="66"/>
      <c r="IJZ39" s="66"/>
      <c r="IKA39" s="66"/>
      <c r="IKB39" s="66"/>
      <c r="IKC39" s="66"/>
      <c r="IKD39" s="66"/>
      <c r="IKE39" s="66"/>
      <c r="IKF39" s="66"/>
      <c r="IKG39" s="66"/>
      <c r="IKH39" s="66"/>
      <c r="IKI39" s="66"/>
      <c r="IKJ39" s="66"/>
      <c r="IKK39" s="66"/>
      <c r="IKL39" s="66"/>
      <c r="IKM39" s="66"/>
      <c r="IKN39" s="66"/>
      <c r="IKO39" s="66"/>
      <c r="IKP39" s="66"/>
      <c r="IKQ39" s="66"/>
      <c r="IKR39" s="66"/>
      <c r="IKS39" s="66"/>
      <c r="IKT39" s="66"/>
      <c r="IKU39" s="66"/>
      <c r="IKV39" s="66"/>
      <c r="IKW39" s="66"/>
      <c r="IKX39" s="66"/>
      <c r="IKY39" s="66"/>
      <c r="IKZ39" s="66"/>
      <c r="ILA39" s="66"/>
      <c r="ILB39" s="66"/>
      <c r="ILC39" s="66"/>
      <c r="ILD39" s="66"/>
      <c r="ILE39" s="66"/>
      <c r="ILF39" s="66"/>
      <c r="ILG39" s="66"/>
      <c r="ILH39" s="66"/>
      <c r="ILI39" s="66"/>
      <c r="ILJ39" s="66"/>
      <c r="ILK39" s="66"/>
      <c r="ILL39" s="66"/>
      <c r="ILM39" s="66"/>
      <c r="ILN39" s="66"/>
      <c r="ILO39" s="66"/>
      <c r="ILP39" s="66"/>
      <c r="ILQ39" s="66"/>
      <c r="ILR39" s="66"/>
      <c r="ILS39" s="66"/>
      <c r="ILT39" s="66"/>
      <c r="ILU39" s="66"/>
      <c r="ILV39" s="66"/>
      <c r="ILW39" s="66"/>
      <c r="ILX39" s="66"/>
      <c r="ILY39" s="66"/>
      <c r="ILZ39" s="66"/>
      <c r="IMA39" s="66"/>
      <c r="IMB39" s="66"/>
      <c r="IMC39" s="66"/>
      <c r="IMD39" s="66"/>
      <c r="IME39" s="66"/>
      <c r="IMF39" s="66"/>
      <c r="IMG39" s="66"/>
      <c r="IMH39" s="66"/>
      <c r="IMI39" s="66"/>
      <c r="IMJ39" s="66"/>
      <c r="IMK39" s="66"/>
      <c r="IML39" s="66"/>
      <c r="IMM39" s="66"/>
      <c r="IMN39" s="66"/>
      <c r="IMO39" s="66"/>
      <c r="IMP39" s="66"/>
      <c r="IMQ39" s="66"/>
      <c r="IMR39" s="66"/>
      <c r="IMS39" s="66"/>
      <c r="IMT39" s="66"/>
      <c r="IMU39" s="66"/>
      <c r="IMV39" s="66"/>
      <c r="IMW39" s="66"/>
      <c r="IMX39" s="66"/>
      <c r="IMY39" s="66"/>
      <c r="IMZ39" s="66"/>
      <c r="INA39" s="66"/>
      <c r="INB39" s="66"/>
      <c r="INC39" s="66"/>
      <c r="IND39" s="66"/>
      <c r="INE39" s="66"/>
      <c r="INF39" s="66"/>
      <c r="ING39" s="66"/>
      <c r="INH39" s="66"/>
      <c r="INI39" s="66"/>
      <c r="INJ39" s="66"/>
      <c r="INK39" s="66"/>
      <c r="INL39" s="66"/>
      <c r="INM39" s="66"/>
      <c r="INN39" s="66"/>
      <c r="INO39" s="66"/>
      <c r="INP39" s="66"/>
      <c r="INQ39" s="66"/>
      <c r="INR39" s="66"/>
      <c r="INS39" s="66"/>
      <c r="INT39" s="66"/>
      <c r="INU39" s="66"/>
      <c r="INV39" s="66"/>
      <c r="INW39" s="66"/>
      <c r="INX39" s="66"/>
      <c r="INY39" s="66"/>
      <c r="INZ39" s="66"/>
      <c r="IOA39" s="66"/>
      <c r="IOB39" s="66"/>
      <c r="IOC39" s="66"/>
      <c r="IOD39" s="66"/>
      <c r="IOE39" s="66"/>
      <c r="IOF39" s="66"/>
      <c r="IOG39" s="66"/>
      <c r="IOH39" s="66"/>
      <c r="IOI39" s="66"/>
      <c r="IOJ39" s="66"/>
      <c r="IOK39" s="66"/>
      <c r="IOL39" s="66"/>
      <c r="IOM39" s="66"/>
      <c r="ION39" s="66"/>
      <c r="IOO39" s="66"/>
      <c r="IOP39" s="66"/>
      <c r="IOQ39" s="66"/>
      <c r="IOR39" s="66"/>
      <c r="IOS39" s="66"/>
      <c r="IOT39" s="66"/>
      <c r="IOU39" s="66"/>
      <c r="IOV39" s="66"/>
      <c r="IOW39" s="66"/>
      <c r="IOX39" s="66"/>
      <c r="IOY39" s="66"/>
      <c r="IOZ39" s="66"/>
      <c r="IPA39" s="66"/>
      <c r="IPB39" s="66"/>
      <c r="IPC39" s="66"/>
      <c r="IPD39" s="66"/>
      <c r="IPE39" s="66"/>
      <c r="IPF39" s="66"/>
      <c r="IPG39" s="66"/>
      <c r="IPH39" s="66"/>
      <c r="IPI39" s="66"/>
      <c r="IPJ39" s="66"/>
      <c r="IPK39" s="66"/>
      <c r="IPL39" s="66"/>
      <c r="IPM39" s="66"/>
      <c r="IPN39" s="66"/>
      <c r="IPO39" s="66"/>
      <c r="IPP39" s="66"/>
      <c r="IPQ39" s="66"/>
      <c r="IPR39" s="66"/>
      <c r="IPS39" s="66"/>
      <c r="IPT39" s="66"/>
      <c r="IPU39" s="66"/>
      <c r="IPV39" s="66"/>
      <c r="IPW39" s="66"/>
      <c r="IPX39" s="66"/>
      <c r="IPY39" s="66"/>
      <c r="IPZ39" s="66"/>
      <c r="IQA39" s="66"/>
      <c r="IQB39" s="66"/>
      <c r="IQC39" s="66"/>
      <c r="IQD39" s="66"/>
      <c r="IQE39" s="66"/>
      <c r="IQF39" s="66"/>
      <c r="IQG39" s="66"/>
      <c r="IQH39" s="66"/>
      <c r="IQI39" s="66"/>
      <c r="IQJ39" s="66"/>
      <c r="IQK39" s="66"/>
      <c r="IQL39" s="66"/>
      <c r="IQM39" s="66"/>
      <c r="IQN39" s="66"/>
      <c r="IQO39" s="66"/>
      <c r="IQP39" s="66"/>
      <c r="IQQ39" s="66"/>
      <c r="IQR39" s="66"/>
      <c r="IQS39" s="66"/>
      <c r="IQT39" s="66"/>
      <c r="IQU39" s="66"/>
      <c r="IQV39" s="66"/>
      <c r="IQW39" s="66"/>
      <c r="IQX39" s="66"/>
      <c r="IQY39" s="66"/>
      <c r="IQZ39" s="66"/>
      <c r="IRA39" s="66"/>
      <c r="IRB39" s="66"/>
      <c r="IRC39" s="66"/>
      <c r="IRD39" s="66"/>
      <c r="IRE39" s="66"/>
      <c r="IRF39" s="66"/>
      <c r="IRG39" s="66"/>
      <c r="IRH39" s="66"/>
      <c r="IRI39" s="66"/>
      <c r="IRJ39" s="66"/>
      <c r="IRK39" s="66"/>
      <c r="IRL39" s="66"/>
      <c r="IRM39" s="66"/>
      <c r="IRN39" s="66"/>
      <c r="IRO39" s="66"/>
      <c r="IRP39" s="66"/>
      <c r="IRQ39" s="66"/>
      <c r="IRR39" s="66"/>
      <c r="IRS39" s="66"/>
      <c r="IRT39" s="66"/>
      <c r="IRU39" s="66"/>
      <c r="IRV39" s="66"/>
      <c r="IRW39" s="66"/>
      <c r="IRX39" s="66"/>
      <c r="IRY39" s="66"/>
      <c r="IRZ39" s="66"/>
      <c r="ISA39" s="66"/>
      <c r="ISB39" s="66"/>
      <c r="ISC39" s="66"/>
      <c r="ISD39" s="66"/>
      <c r="ISE39" s="66"/>
      <c r="ISF39" s="66"/>
      <c r="ISG39" s="66"/>
      <c r="ISH39" s="66"/>
      <c r="ISI39" s="66"/>
      <c r="ISJ39" s="66"/>
      <c r="ISK39" s="66"/>
      <c r="ISL39" s="66"/>
      <c r="ISM39" s="66"/>
      <c r="ISN39" s="66"/>
      <c r="ISO39" s="66"/>
      <c r="ISP39" s="66"/>
      <c r="ISQ39" s="66"/>
      <c r="ISR39" s="66"/>
      <c r="ISS39" s="66"/>
      <c r="IST39" s="66"/>
      <c r="ISU39" s="66"/>
      <c r="ISV39" s="66"/>
      <c r="ISW39" s="66"/>
      <c r="ISX39" s="66"/>
      <c r="ISY39" s="66"/>
      <c r="ISZ39" s="66"/>
      <c r="ITA39" s="66"/>
      <c r="ITB39" s="66"/>
      <c r="ITC39" s="66"/>
      <c r="ITD39" s="66"/>
      <c r="ITE39" s="66"/>
      <c r="ITF39" s="66"/>
      <c r="ITG39" s="66"/>
      <c r="ITH39" s="66"/>
      <c r="ITI39" s="66"/>
      <c r="ITJ39" s="66"/>
      <c r="ITK39" s="66"/>
      <c r="ITL39" s="66"/>
      <c r="ITM39" s="66"/>
      <c r="ITN39" s="66"/>
      <c r="ITO39" s="66"/>
      <c r="ITP39" s="66"/>
      <c r="ITQ39" s="66"/>
      <c r="ITR39" s="66"/>
      <c r="ITS39" s="66"/>
      <c r="ITT39" s="66"/>
      <c r="ITU39" s="66"/>
      <c r="ITV39" s="66"/>
      <c r="ITW39" s="66"/>
      <c r="ITX39" s="66"/>
      <c r="ITY39" s="66"/>
      <c r="ITZ39" s="66"/>
      <c r="IUA39" s="66"/>
      <c r="IUB39" s="66"/>
      <c r="IUC39" s="66"/>
      <c r="IUD39" s="66"/>
      <c r="IUE39" s="66"/>
      <c r="IUF39" s="66"/>
      <c r="IUG39" s="66"/>
      <c r="IUH39" s="66"/>
      <c r="IUI39" s="66"/>
      <c r="IUJ39" s="66"/>
      <c r="IUK39" s="66"/>
      <c r="IUL39" s="66"/>
      <c r="IUM39" s="66"/>
      <c r="IUN39" s="66"/>
      <c r="IUO39" s="66"/>
      <c r="IUP39" s="66"/>
      <c r="IUQ39" s="66"/>
      <c r="IUR39" s="66"/>
      <c r="IUS39" s="66"/>
      <c r="IUT39" s="66"/>
      <c r="IUU39" s="66"/>
      <c r="IUV39" s="66"/>
      <c r="IUW39" s="66"/>
      <c r="IUX39" s="66"/>
      <c r="IUY39" s="66"/>
      <c r="IUZ39" s="66"/>
      <c r="IVA39" s="66"/>
      <c r="IVB39" s="66"/>
      <c r="IVC39" s="66"/>
      <c r="IVD39" s="66"/>
      <c r="IVE39" s="66"/>
      <c r="IVF39" s="66"/>
      <c r="IVG39" s="66"/>
      <c r="IVH39" s="66"/>
      <c r="IVI39" s="66"/>
      <c r="IVJ39" s="66"/>
      <c r="IVK39" s="66"/>
      <c r="IVL39" s="66"/>
      <c r="IVM39" s="66"/>
      <c r="IVN39" s="66"/>
      <c r="IVO39" s="66"/>
      <c r="IVP39" s="66"/>
      <c r="IVQ39" s="66"/>
      <c r="IVR39" s="66"/>
      <c r="IVS39" s="66"/>
      <c r="IVT39" s="66"/>
      <c r="IVU39" s="66"/>
      <c r="IVV39" s="66"/>
      <c r="IVW39" s="66"/>
      <c r="IVX39" s="66"/>
      <c r="IVY39" s="66"/>
      <c r="IVZ39" s="66"/>
      <c r="IWA39" s="66"/>
      <c r="IWB39" s="66"/>
      <c r="IWC39" s="66"/>
      <c r="IWD39" s="66"/>
      <c r="IWE39" s="66"/>
      <c r="IWF39" s="66"/>
      <c r="IWG39" s="66"/>
      <c r="IWH39" s="66"/>
      <c r="IWI39" s="66"/>
      <c r="IWJ39" s="66"/>
      <c r="IWK39" s="66"/>
      <c r="IWL39" s="66"/>
      <c r="IWM39" s="66"/>
      <c r="IWN39" s="66"/>
      <c r="IWO39" s="66"/>
      <c r="IWP39" s="66"/>
      <c r="IWQ39" s="66"/>
      <c r="IWR39" s="66"/>
      <c r="IWS39" s="66"/>
      <c r="IWT39" s="66"/>
      <c r="IWU39" s="66"/>
      <c r="IWV39" s="66"/>
      <c r="IWW39" s="66"/>
      <c r="IWX39" s="66"/>
      <c r="IWY39" s="66"/>
      <c r="IWZ39" s="66"/>
      <c r="IXA39" s="66"/>
      <c r="IXB39" s="66"/>
      <c r="IXC39" s="66"/>
      <c r="IXD39" s="66"/>
      <c r="IXE39" s="66"/>
      <c r="IXF39" s="66"/>
      <c r="IXG39" s="66"/>
      <c r="IXH39" s="66"/>
      <c r="IXI39" s="66"/>
      <c r="IXJ39" s="66"/>
      <c r="IXK39" s="66"/>
      <c r="IXL39" s="66"/>
      <c r="IXM39" s="66"/>
      <c r="IXN39" s="66"/>
      <c r="IXO39" s="66"/>
      <c r="IXP39" s="66"/>
      <c r="IXQ39" s="66"/>
      <c r="IXR39" s="66"/>
      <c r="IXS39" s="66"/>
      <c r="IXT39" s="66"/>
      <c r="IXU39" s="66"/>
      <c r="IXV39" s="66"/>
      <c r="IXW39" s="66"/>
      <c r="IXX39" s="66"/>
      <c r="IXY39" s="66"/>
      <c r="IXZ39" s="66"/>
      <c r="IYA39" s="66"/>
      <c r="IYB39" s="66"/>
      <c r="IYC39" s="66"/>
      <c r="IYD39" s="66"/>
      <c r="IYE39" s="66"/>
      <c r="IYF39" s="66"/>
      <c r="IYG39" s="66"/>
      <c r="IYH39" s="66"/>
      <c r="IYI39" s="66"/>
      <c r="IYJ39" s="66"/>
      <c r="IYK39" s="66"/>
      <c r="IYL39" s="66"/>
      <c r="IYM39" s="66"/>
      <c r="IYN39" s="66"/>
      <c r="IYO39" s="66"/>
      <c r="IYP39" s="66"/>
      <c r="IYQ39" s="66"/>
      <c r="IYR39" s="66"/>
      <c r="IYS39" s="66"/>
      <c r="IYT39" s="66"/>
      <c r="IYU39" s="66"/>
      <c r="IYV39" s="66"/>
      <c r="IYW39" s="66"/>
      <c r="IYX39" s="66"/>
      <c r="IYY39" s="66"/>
      <c r="IYZ39" s="66"/>
      <c r="IZA39" s="66"/>
      <c r="IZB39" s="66"/>
      <c r="IZC39" s="66"/>
      <c r="IZD39" s="66"/>
      <c r="IZE39" s="66"/>
      <c r="IZF39" s="66"/>
      <c r="IZG39" s="66"/>
      <c r="IZH39" s="66"/>
      <c r="IZI39" s="66"/>
      <c r="IZJ39" s="66"/>
      <c r="IZK39" s="66"/>
      <c r="IZL39" s="66"/>
      <c r="IZM39" s="66"/>
      <c r="IZN39" s="66"/>
      <c r="IZO39" s="66"/>
      <c r="IZP39" s="66"/>
      <c r="IZQ39" s="66"/>
      <c r="IZR39" s="66"/>
      <c r="IZS39" s="66"/>
      <c r="IZT39" s="66"/>
      <c r="IZU39" s="66"/>
      <c r="IZV39" s="66"/>
      <c r="IZW39" s="66"/>
      <c r="IZX39" s="66"/>
      <c r="IZY39" s="66"/>
      <c r="IZZ39" s="66"/>
      <c r="JAA39" s="66"/>
      <c r="JAB39" s="66"/>
      <c r="JAC39" s="66"/>
      <c r="JAD39" s="66"/>
      <c r="JAE39" s="66"/>
      <c r="JAF39" s="66"/>
      <c r="JAG39" s="66"/>
      <c r="JAH39" s="66"/>
      <c r="JAI39" s="66"/>
      <c r="JAJ39" s="66"/>
      <c r="JAK39" s="66"/>
      <c r="JAL39" s="66"/>
      <c r="JAM39" s="66"/>
      <c r="JAN39" s="66"/>
      <c r="JAO39" s="66"/>
      <c r="JAP39" s="66"/>
      <c r="JAQ39" s="66"/>
      <c r="JAR39" s="66"/>
      <c r="JAS39" s="66"/>
      <c r="JAT39" s="66"/>
      <c r="JAU39" s="66"/>
      <c r="JAV39" s="66"/>
      <c r="JAW39" s="66"/>
      <c r="JAX39" s="66"/>
      <c r="JAY39" s="66"/>
      <c r="JAZ39" s="66"/>
      <c r="JBA39" s="66"/>
      <c r="JBB39" s="66"/>
      <c r="JBC39" s="66"/>
      <c r="JBD39" s="66"/>
      <c r="JBE39" s="66"/>
      <c r="JBF39" s="66"/>
      <c r="JBG39" s="66"/>
      <c r="JBH39" s="66"/>
      <c r="JBI39" s="66"/>
      <c r="JBJ39" s="66"/>
      <c r="JBK39" s="66"/>
      <c r="JBL39" s="66"/>
      <c r="JBM39" s="66"/>
      <c r="JBN39" s="66"/>
      <c r="JBO39" s="66"/>
      <c r="JBP39" s="66"/>
      <c r="JBQ39" s="66"/>
      <c r="JBR39" s="66"/>
      <c r="JBS39" s="66"/>
      <c r="JBT39" s="66"/>
      <c r="JBU39" s="66"/>
      <c r="JBV39" s="66"/>
      <c r="JBW39" s="66"/>
      <c r="JBX39" s="66"/>
      <c r="JBY39" s="66"/>
      <c r="JBZ39" s="66"/>
      <c r="JCA39" s="66"/>
      <c r="JCB39" s="66"/>
      <c r="JCC39" s="66"/>
      <c r="JCD39" s="66"/>
      <c r="JCE39" s="66"/>
      <c r="JCF39" s="66"/>
      <c r="JCG39" s="66"/>
      <c r="JCH39" s="66"/>
      <c r="JCI39" s="66"/>
      <c r="JCJ39" s="66"/>
      <c r="JCK39" s="66"/>
      <c r="JCL39" s="66"/>
      <c r="JCM39" s="66"/>
      <c r="JCN39" s="66"/>
      <c r="JCO39" s="66"/>
      <c r="JCP39" s="66"/>
      <c r="JCQ39" s="66"/>
      <c r="JCR39" s="66"/>
      <c r="JCS39" s="66"/>
      <c r="JCT39" s="66"/>
      <c r="JCU39" s="66"/>
      <c r="JCV39" s="66"/>
      <c r="JCW39" s="66"/>
      <c r="JCX39" s="66"/>
      <c r="JCY39" s="66"/>
      <c r="JCZ39" s="66"/>
      <c r="JDA39" s="66"/>
      <c r="JDB39" s="66"/>
      <c r="JDC39" s="66"/>
      <c r="JDD39" s="66"/>
      <c r="JDE39" s="66"/>
      <c r="JDF39" s="66"/>
      <c r="JDG39" s="66"/>
      <c r="JDH39" s="66"/>
      <c r="JDI39" s="66"/>
      <c r="JDJ39" s="66"/>
      <c r="JDK39" s="66"/>
      <c r="JDL39" s="66"/>
      <c r="JDM39" s="66"/>
      <c r="JDN39" s="66"/>
      <c r="JDO39" s="66"/>
      <c r="JDP39" s="66"/>
      <c r="JDQ39" s="66"/>
      <c r="JDR39" s="66"/>
      <c r="JDS39" s="66"/>
      <c r="JDT39" s="66"/>
      <c r="JDU39" s="66"/>
      <c r="JDV39" s="66"/>
      <c r="JDW39" s="66"/>
      <c r="JDX39" s="66"/>
      <c r="JDY39" s="66"/>
      <c r="JDZ39" s="66"/>
      <c r="JEA39" s="66"/>
      <c r="JEB39" s="66"/>
      <c r="JEC39" s="66"/>
      <c r="JED39" s="66"/>
      <c r="JEE39" s="66"/>
      <c r="JEF39" s="66"/>
      <c r="JEG39" s="66"/>
      <c r="JEH39" s="66"/>
      <c r="JEI39" s="66"/>
      <c r="JEJ39" s="66"/>
      <c r="JEK39" s="66"/>
      <c r="JEL39" s="66"/>
      <c r="JEM39" s="66"/>
      <c r="JEN39" s="66"/>
      <c r="JEO39" s="66"/>
      <c r="JEP39" s="66"/>
      <c r="JEQ39" s="66"/>
      <c r="JER39" s="66"/>
      <c r="JES39" s="66"/>
      <c r="JET39" s="66"/>
      <c r="JEU39" s="66"/>
      <c r="JEV39" s="66"/>
      <c r="JEW39" s="66"/>
      <c r="JEX39" s="66"/>
      <c r="JEY39" s="66"/>
      <c r="JEZ39" s="66"/>
      <c r="JFA39" s="66"/>
      <c r="JFB39" s="66"/>
      <c r="JFC39" s="66"/>
      <c r="JFD39" s="66"/>
      <c r="JFE39" s="66"/>
      <c r="JFF39" s="66"/>
      <c r="JFG39" s="66"/>
      <c r="JFH39" s="66"/>
      <c r="JFI39" s="66"/>
      <c r="JFJ39" s="66"/>
      <c r="JFK39" s="66"/>
      <c r="JFL39" s="66"/>
      <c r="JFM39" s="66"/>
      <c r="JFN39" s="66"/>
      <c r="JFO39" s="66"/>
      <c r="JFP39" s="66"/>
      <c r="JFQ39" s="66"/>
      <c r="JFR39" s="66"/>
      <c r="JFS39" s="66"/>
      <c r="JFT39" s="66"/>
      <c r="JFU39" s="66"/>
      <c r="JFV39" s="66"/>
      <c r="JFW39" s="66"/>
      <c r="JFX39" s="66"/>
      <c r="JFY39" s="66"/>
      <c r="JFZ39" s="66"/>
      <c r="JGA39" s="66"/>
      <c r="JGB39" s="66"/>
      <c r="JGC39" s="66"/>
      <c r="JGD39" s="66"/>
      <c r="JGE39" s="66"/>
      <c r="JGF39" s="66"/>
      <c r="JGG39" s="66"/>
      <c r="JGH39" s="66"/>
      <c r="JGI39" s="66"/>
      <c r="JGJ39" s="66"/>
      <c r="JGK39" s="66"/>
      <c r="JGL39" s="66"/>
      <c r="JGM39" s="66"/>
      <c r="JGN39" s="66"/>
      <c r="JGO39" s="66"/>
      <c r="JGP39" s="66"/>
      <c r="JGQ39" s="66"/>
      <c r="JGR39" s="66"/>
      <c r="JGS39" s="66"/>
      <c r="JGT39" s="66"/>
      <c r="JGU39" s="66"/>
      <c r="JGV39" s="66"/>
      <c r="JGW39" s="66"/>
      <c r="JGX39" s="66"/>
      <c r="JGY39" s="66"/>
      <c r="JGZ39" s="66"/>
      <c r="JHA39" s="66"/>
      <c r="JHB39" s="66"/>
      <c r="JHC39" s="66"/>
      <c r="JHD39" s="66"/>
      <c r="JHE39" s="66"/>
      <c r="JHF39" s="66"/>
      <c r="JHG39" s="66"/>
      <c r="JHH39" s="66"/>
      <c r="JHI39" s="66"/>
      <c r="JHJ39" s="66"/>
      <c r="JHK39" s="66"/>
      <c r="JHL39" s="66"/>
      <c r="JHM39" s="66"/>
      <c r="JHN39" s="66"/>
      <c r="JHO39" s="66"/>
      <c r="JHP39" s="66"/>
      <c r="JHQ39" s="66"/>
      <c r="JHR39" s="66"/>
      <c r="JHS39" s="66"/>
      <c r="JHT39" s="66"/>
      <c r="JHU39" s="66"/>
      <c r="JHV39" s="66"/>
      <c r="JHW39" s="66"/>
      <c r="JHX39" s="66"/>
      <c r="JHY39" s="66"/>
      <c r="JHZ39" s="66"/>
      <c r="JIA39" s="66"/>
      <c r="JIB39" s="66"/>
      <c r="JIC39" s="66"/>
      <c r="JID39" s="66"/>
      <c r="JIE39" s="66"/>
      <c r="JIF39" s="66"/>
      <c r="JIG39" s="66"/>
      <c r="JIH39" s="66"/>
      <c r="JII39" s="66"/>
      <c r="JIJ39" s="66"/>
      <c r="JIK39" s="66"/>
      <c r="JIL39" s="66"/>
      <c r="JIM39" s="66"/>
      <c r="JIN39" s="66"/>
      <c r="JIO39" s="66"/>
      <c r="JIP39" s="66"/>
      <c r="JIQ39" s="66"/>
      <c r="JIR39" s="66"/>
      <c r="JIS39" s="66"/>
      <c r="JIT39" s="66"/>
      <c r="JIU39" s="66"/>
      <c r="JIV39" s="66"/>
      <c r="JIW39" s="66"/>
      <c r="JIX39" s="66"/>
      <c r="JIY39" s="66"/>
      <c r="JIZ39" s="66"/>
      <c r="JJA39" s="66"/>
      <c r="JJB39" s="66"/>
      <c r="JJC39" s="66"/>
      <c r="JJD39" s="66"/>
      <c r="JJE39" s="66"/>
      <c r="JJF39" s="66"/>
      <c r="JJG39" s="66"/>
      <c r="JJH39" s="66"/>
      <c r="JJI39" s="66"/>
      <c r="JJJ39" s="66"/>
      <c r="JJK39" s="66"/>
      <c r="JJL39" s="66"/>
      <c r="JJM39" s="66"/>
      <c r="JJN39" s="66"/>
      <c r="JJO39" s="66"/>
      <c r="JJP39" s="66"/>
      <c r="JJQ39" s="66"/>
      <c r="JJR39" s="66"/>
      <c r="JJS39" s="66"/>
      <c r="JJT39" s="66"/>
      <c r="JJU39" s="66"/>
      <c r="JJV39" s="66"/>
      <c r="JJW39" s="66"/>
      <c r="JJX39" s="66"/>
      <c r="JJY39" s="66"/>
      <c r="JJZ39" s="66"/>
      <c r="JKA39" s="66"/>
      <c r="JKB39" s="66"/>
      <c r="JKC39" s="66"/>
      <c r="JKD39" s="66"/>
      <c r="JKE39" s="66"/>
      <c r="JKF39" s="66"/>
      <c r="JKG39" s="66"/>
      <c r="JKH39" s="66"/>
      <c r="JKI39" s="66"/>
      <c r="JKJ39" s="66"/>
      <c r="JKK39" s="66"/>
      <c r="JKL39" s="66"/>
      <c r="JKM39" s="66"/>
      <c r="JKN39" s="66"/>
      <c r="JKO39" s="66"/>
      <c r="JKP39" s="66"/>
      <c r="JKQ39" s="66"/>
      <c r="JKR39" s="66"/>
      <c r="JKS39" s="66"/>
      <c r="JKT39" s="66"/>
      <c r="JKU39" s="66"/>
      <c r="JKV39" s="66"/>
      <c r="JKW39" s="66"/>
      <c r="JKX39" s="66"/>
      <c r="JKY39" s="66"/>
      <c r="JKZ39" s="66"/>
      <c r="JLA39" s="66"/>
      <c r="JLB39" s="66"/>
      <c r="JLC39" s="66"/>
      <c r="JLD39" s="66"/>
      <c r="JLE39" s="66"/>
      <c r="JLF39" s="66"/>
      <c r="JLG39" s="66"/>
      <c r="JLH39" s="66"/>
      <c r="JLI39" s="66"/>
      <c r="JLJ39" s="66"/>
      <c r="JLK39" s="66"/>
      <c r="JLL39" s="66"/>
      <c r="JLM39" s="66"/>
      <c r="JLN39" s="66"/>
      <c r="JLO39" s="66"/>
      <c r="JLP39" s="66"/>
      <c r="JLQ39" s="66"/>
      <c r="JLR39" s="66"/>
      <c r="JLS39" s="66"/>
      <c r="JLT39" s="66"/>
      <c r="JLU39" s="66"/>
      <c r="JLV39" s="66"/>
      <c r="JLW39" s="66"/>
      <c r="JLX39" s="66"/>
      <c r="JLY39" s="66"/>
      <c r="JLZ39" s="66"/>
      <c r="JMA39" s="66"/>
      <c r="JMB39" s="66"/>
      <c r="JMC39" s="66"/>
      <c r="JMD39" s="66"/>
      <c r="JME39" s="66"/>
      <c r="JMF39" s="66"/>
      <c r="JMG39" s="66"/>
      <c r="JMH39" s="66"/>
      <c r="JMI39" s="66"/>
      <c r="JMJ39" s="66"/>
      <c r="JMK39" s="66"/>
      <c r="JML39" s="66"/>
      <c r="JMM39" s="66"/>
      <c r="JMN39" s="66"/>
      <c r="JMO39" s="66"/>
      <c r="JMP39" s="66"/>
      <c r="JMQ39" s="66"/>
      <c r="JMR39" s="66"/>
      <c r="JMS39" s="66"/>
      <c r="JMT39" s="66"/>
      <c r="JMU39" s="66"/>
      <c r="JMV39" s="66"/>
      <c r="JMW39" s="66"/>
      <c r="JMX39" s="66"/>
      <c r="JMY39" s="66"/>
      <c r="JMZ39" s="66"/>
      <c r="JNA39" s="66"/>
      <c r="JNB39" s="66"/>
      <c r="JNC39" s="66"/>
      <c r="JND39" s="66"/>
      <c r="JNE39" s="66"/>
      <c r="JNF39" s="66"/>
      <c r="JNG39" s="66"/>
      <c r="JNH39" s="66"/>
      <c r="JNI39" s="66"/>
      <c r="JNJ39" s="66"/>
      <c r="JNK39" s="66"/>
      <c r="JNL39" s="66"/>
      <c r="JNM39" s="66"/>
      <c r="JNN39" s="66"/>
      <c r="JNO39" s="66"/>
      <c r="JNP39" s="66"/>
      <c r="JNQ39" s="66"/>
      <c r="JNR39" s="66"/>
      <c r="JNS39" s="66"/>
      <c r="JNT39" s="66"/>
      <c r="JNU39" s="66"/>
      <c r="JNV39" s="66"/>
      <c r="JNW39" s="66"/>
      <c r="JNX39" s="66"/>
      <c r="JNY39" s="66"/>
      <c r="JNZ39" s="66"/>
      <c r="JOA39" s="66"/>
      <c r="JOB39" s="66"/>
      <c r="JOC39" s="66"/>
      <c r="JOD39" s="66"/>
      <c r="JOE39" s="66"/>
      <c r="JOF39" s="66"/>
      <c r="JOG39" s="66"/>
      <c r="JOH39" s="66"/>
      <c r="JOI39" s="66"/>
      <c r="JOJ39" s="66"/>
      <c r="JOK39" s="66"/>
      <c r="JOL39" s="66"/>
      <c r="JOM39" s="66"/>
      <c r="JON39" s="66"/>
      <c r="JOO39" s="66"/>
      <c r="JOP39" s="66"/>
      <c r="JOQ39" s="66"/>
      <c r="JOR39" s="66"/>
      <c r="JOS39" s="66"/>
      <c r="JOT39" s="66"/>
      <c r="JOU39" s="66"/>
      <c r="JOV39" s="66"/>
      <c r="JOW39" s="66"/>
      <c r="JOX39" s="66"/>
      <c r="JOY39" s="66"/>
      <c r="JOZ39" s="66"/>
      <c r="JPA39" s="66"/>
      <c r="JPB39" s="66"/>
      <c r="JPC39" s="66"/>
      <c r="JPD39" s="66"/>
      <c r="JPE39" s="66"/>
      <c r="JPF39" s="66"/>
      <c r="JPG39" s="66"/>
      <c r="JPH39" s="66"/>
      <c r="JPI39" s="66"/>
      <c r="JPJ39" s="66"/>
      <c r="JPK39" s="66"/>
      <c r="JPL39" s="66"/>
      <c r="JPM39" s="66"/>
      <c r="JPN39" s="66"/>
      <c r="JPO39" s="66"/>
      <c r="JPP39" s="66"/>
      <c r="JPQ39" s="66"/>
      <c r="JPR39" s="66"/>
      <c r="JPS39" s="66"/>
      <c r="JPT39" s="66"/>
      <c r="JPU39" s="66"/>
      <c r="JPV39" s="66"/>
      <c r="JPW39" s="66"/>
      <c r="JPX39" s="66"/>
      <c r="JPY39" s="66"/>
      <c r="JPZ39" s="66"/>
      <c r="JQA39" s="66"/>
      <c r="JQB39" s="66"/>
      <c r="JQC39" s="66"/>
      <c r="JQD39" s="66"/>
      <c r="JQE39" s="66"/>
      <c r="JQF39" s="66"/>
      <c r="JQG39" s="66"/>
      <c r="JQH39" s="66"/>
      <c r="JQI39" s="66"/>
      <c r="JQJ39" s="66"/>
      <c r="JQK39" s="66"/>
      <c r="JQL39" s="66"/>
      <c r="JQM39" s="66"/>
      <c r="JQN39" s="66"/>
      <c r="JQO39" s="66"/>
      <c r="JQP39" s="66"/>
      <c r="JQQ39" s="66"/>
      <c r="JQR39" s="66"/>
      <c r="JQS39" s="66"/>
      <c r="JQT39" s="66"/>
      <c r="JQU39" s="66"/>
      <c r="JQV39" s="66"/>
      <c r="JQW39" s="66"/>
      <c r="JQX39" s="66"/>
      <c r="JQY39" s="66"/>
      <c r="JQZ39" s="66"/>
      <c r="JRA39" s="66"/>
      <c r="JRB39" s="66"/>
      <c r="JRC39" s="66"/>
      <c r="JRD39" s="66"/>
      <c r="JRE39" s="66"/>
      <c r="JRF39" s="66"/>
      <c r="JRG39" s="66"/>
      <c r="JRH39" s="66"/>
      <c r="JRI39" s="66"/>
      <c r="JRJ39" s="66"/>
      <c r="JRK39" s="66"/>
      <c r="JRL39" s="66"/>
      <c r="JRM39" s="66"/>
      <c r="JRN39" s="66"/>
      <c r="JRO39" s="66"/>
      <c r="JRP39" s="66"/>
      <c r="JRQ39" s="66"/>
      <c r="JRR39" s="66"/>
      <c r="JRS39" s="66"/>
      <c r="JRT39" s="66"/>
      <c r="JRU39" s="66"/>
      <c r="JRV39" s="66"/>
      <c r="JRW39" s="66"/>
      <c r="JRX39" s="66"/>
      <c r="JRY39" s="66"/>
      <c r="JRZ39" s="66"/>
      <c r="JSA39" s="66"/>
      <c r="JSB39" s="66"/>
      <c r="JSC39" s="66"/>
      <c r="JSD39" s="66"/>
      <c r="JSE39" s="66"/>
      <c r="JSF39" s="66"/>
      <c r="JSG39" s="66"/>
      <c r="JSH39" s="66"/>
      <c r="JSI39" s="66"/>
      <c r="JSJ39" s="66"/>
      <c r="JSK39" s="66"/>
      <c r="JSL39" s="66"/>
      <c r="JSM39" s="66"/>
      <c r="JSN39" s="66"/>
      <c r="JSO39" s="66"/>
      <c r="JSP39" s="66"/>
      <c r="JSQ39" s="66"/>
      <c r="JSR39" s="66"/>
      <c r="JSS39" s="66"/>
      <c r="JST39" s="66"/>
      <c r="JSU39" s="66"/>
      <c r="JSV39" s="66"/>
      <c r="JSW39" s="66"/>
      <c r="JSX39" s="66"/>
      <c r="JSY39" s="66"/>
      <c r="JSZ39" s="66"/>
      <c r="JTA39" s="66"/>
      <c r="JTB39" s="66"/>
      <c r="JTC39" s="66"/>
      <c r="JTD39" s="66"/>
      <c r="JTE39" s="66"/>
      <c r="JTF39" s="66"/>
      <c r="JTG39" s="66"/>
      <c r="JTH39" s="66"/>
      <c r="JTI39" s="66"/>
      <c r="JTJ39" s="66"/>
      <c r="JTK39" s="66"/>
      <c r="JTL39" s="66"/>
      <c r="JTM39" s="66"/>
      <c r="JTN39" s="66"/>
      <c r="JTO39" s="66"/>
      <c r="JTP39" s="66"/>
      <c r="JTQ39" s="66"/>
      <c r="JTR39" s="66"/>
      <c r="JTS39" s="66"/>
      <c r="JTT39" s="66"/>
      <c r="JTU39" s="66"/>
      <c r="JTV39" s="66"/>
      <c r="JTW39" s="66"/>
      <c r="JTX39" s="66"/>
      <c r="JTY39" s="66"/>
      <c r="JTZ39" s="66"/>
      <c r="JUA39" s="66"/>
      <c r="JUB39" s="66"/>
      <c r="JUC39" s="66"/>
      <c r="JUD39" s="66"/>
      <c r="JUE39" s="66"/>
      <c r="JUF39" s="66"/>
      <c r="JUG39" s="66"/>
      <c r="JUH39" s="66"/>
      <c r="JUI39" s="66"/>
      <c r="JUJ39" s="66"/>
      <c r="JUK39" s="66"/>
      <c r="JUL39" s="66"/>
      <c r="JUM39" s="66"/>
      <c r="JUN39" s="66"/>
      <c r="JUO39" s="66"/>
      <c r="JUP39" s="66"/>
      <c r="JUQ39" s="66"/>
      <c r="JUR39" s="66"/>
      <c r="JUS39" s="66"/>
      <c r="JUT39" s="66"/>
      <c r="JUU39" s="66"/>
      <c r="JUV39" s="66"/>
      <c r="JUW39" s="66"/>
      <c r="JUX39" s="66"/>
      <c r="JUY39" s="66"/>
      <c r="JUZ39" s="66"/>
      <c r="JVA39" s="66"/>
      <c r="JVB39" s="66"/>
      <c r="JVC39" s="66"/>
      <c r="JVD39" s="66"/>
      <c r="JVE39" s="66"/>
      <c r="JVF39" s="66"/>
      <c r="JVG39" s="66"/>
      <c r="JVH39" s="66"/>
      <c r="JVI39" s="66"/>
      <c r="JVJ39" s="66"/>
      <c r="JVK39" s="66"/>
      <c r="JVL39" s="66"/>
      <c r="JVM39" s="66"/>
      <c r="JVN39" s="66"/>
      <c r="JVO39" s="66"/>
      <c r="JVP39" s="66"/>
      <c r="JVQ39" s="66"/>
      <c r="JVR39" s="66"/>
      <c r="JVS39" s="66"/>
      <c r="JVT39" s="66"/>
      <c r="JVU39" s="66"/>
      <c r="JVV39" s="66"/>
      <c r="JVW39" s="66"/>
      <c r="JVX39" s="66"/>
      <c r="JVY39" s="66"/>
      <c r="JVZ39" s="66"/>
      <c r="JWA39" s="66"/>
      <c r="JWB39" s="66"/>
      <c r="JWC39" s="66"/>
      <c r="JWD39" s="66"/>
      <c r="JWE39" s="66"/>
      <c r="JWF39" s="66"/>
      <c r="JWG39" s="66"/>
      <c r="JWH39" s="66"/>
      <c r="JWI39" s="66"/>
      <c r="JWJ39" s="66"/>
      <c r="JWK39" s="66"/>
      <c r="JWL39" s="66"/>
      <c r="JWM39" s="66"/>
      <c r="JWN39" s="66"/>
      <c r="JWO39" s="66"/>
      <c r="JWP39" s="66"/>
      <c r="JWQ39" s="66"/>
      <c r="JWR39" s="66"/>
      <c r="JWS39" s="66"/>
      <c r="JWT39" s="66"/>
      <c r="JWU39" s="66"/>
      <c r="JWV39" s="66"/>
      <c r="JWW39" s="66"/>
      <c r="JWX39" s="66"/>
      <c r="JWY39" s="66"/>
      <c r="JWZ39" s="66"/>
      <c r="JXA39" s="66"/>
      <c r="JXB39" s="66"/>
      <c r="JXC39" s="66"/>
      <c r="JXD39" s="66"/>
      <c r="JXE39" s="66"/>
      <c r="JXF39" s="66"/>
      <c r="JXG39" s="66"/>
      <c r="JXH39" s="66"/>
      <c r="JXI39" s="66"/>
      <c r="JXJ39" s="66"/>
      <c r="JXK39" s="66"/>
      <c r="JXL39" s="66"/>
      <c r="JXM39" s="66"/>
      <c r="JXN39" s="66"/>
      <c r="JXO39" s="66"/>
      <c r="JXP39" s="66"/>
      <c r="JXQ39" s="66"/>
      <c r="JXR39" s="66"/>
      <c r="JXS39" s="66"/>
      <c r="JXT39" s="66"/>
      <c r="JXU39" s="66"/>
      <c r="JXV39" s="66"/>
      <c r="JXW39" s="66"/>
      <c r="JXX39" s="66"/>
      <c r="JXY39" s="66"/>
      <c r="JXZ39" s="66"/>
      <c r="JYA39" s="66"/>
      <c r="JYB39" s="66"/>
      <c r="JYC39" s="66"/>
      <c r="JYD39" s="66"/>
      <c r="JYE39" s="66"/>
      <c r="JYF39" s="66"/>
      <c r="JYG39" s="66"/>
      <c r="JYH39" s="66"/>
      <c r="JYI39" s="66"/>
      <c r="JYJ39" s="66"/>
      <c r="JYK39" s="66"/>
      <c r="JYL39" s="66"/>
      <c r="JYM39" s="66"/>
      <c r="JYN39" s="66"/>
      <c r="JYO39" s="66"/>
      <c r="JYP39" s="66"/>
      <c r="JYQ39" s="66"/>
      <c r="JYR39" s="66"/>
      <c r="JYS39" s="66"/>
      <c r="JYT39" s="66"/>
      <c r="JYU39" s="66"/>
      <c r="JYV39" s="66"/>
      <c r="JYW39" s="66"/>
      <c r="JYX39" s="66"/>
      <c r="JYY39" s="66"/>
      <c r="JYZ39" s="66"/>
      <c r="JZA39" s="66"/>
      <c r="JZB39" s="66"/>
      <c r="JZC39" s="66"/>
      <c r="JZD39" s="66"/>
      <c r="JZE39" s="66"/>
      <c r="JZF39" s="66"/>
      <c r="JZG39" s="66"/>
      <c r="JZH39" s="66"/>
      <c r="JZI39" s="66"/>
      <c r="JZJ39" s="66"/>
      <c r="JZK39" s="66"/>
      <c r="JZL39" s="66"/>
      <c r="JZM39" s="66"/>
      <c r="JZN39" s="66"/>
      <c r="JZO39" s="66"/>
      <c r="JZP39" s="66"/>
      <c r="JZQ39" s="66"/>
      <c r="JZR39" s="66"/>
      <c r="JZS39" s="66"/>
      <c r="JZT39" s="66"/>
      <c r="JZU39" s="66"/>
      <c r="JZV39" s="66"/>
      <c r="JZW39" s="66"/>
      <c r="JZX39" s="66"/>
      <c r="JZY39" s="66"/>
      <c r="JZZ39" s="66"/>
      <c r="KAA39" s="66"/>
      <c r="KAB39" s="66"/>
      <c r="KAC39" s="66"/>
      <c r="KAD39" s="66"/>
      <c r="KAE39" s="66"/>
      <c r="KAF39" s="66"/>
      <c r="KAG39" s="66"/>
      <c r="KAH39" s="66"/>
      <c r="KAI39" s="66"/>
      <c r="KAJ39" s="66"/>
      <c r="KAK39" s="66"/>
      <c r="KAL39" s="66"/>
      <c r="KAM39" s="66"/>
      <c r="KAN39" s="66"/>
      <c r="KAO39" s="66"/>
      <c r="KAP39" s="66"/>
      <c r="KAQ39" s="66"/>
      <c r="KAR39" s="66"/>
      <c r="KAS39" s="66"/>
      <c r="KAT39" s="66"/>
      <c r="KAU39" s="66"/>
      <c r="KAV39" s="66"/>
      <c r="KAW39" s="66"/>
      <c r="KAX39" s="66"/>
      <c r="KAY39" s="66"/>
      <c r="KAZ39" s="66"/>
      <c r="KBA39" s="66"/>
      <c r="KBB39" s="66"/>
      <c r="KBC39" s="66"/>
      <c r="KBD39" s="66"/>
      <c r="KBE39" s="66"/>
      <c r="KBF39" s="66"/>
      <c r="KBG39" s="66"/>
      <c r="KBH39" s="66"/>
      <c r="KBI39" s="66"/>
      <c r="KBJ39" s="66"/>
      <c r="KBK39" s="66"/>
      <c r="KBL39" s="66"/>
      <c r="KBM39" s="66"/>
      <c r="KBN39" s="66"/>
      <c r="KBO39" s="66"/>
      <c r="KBP39" s="66"/>
      <c r="KBQ39" s="66"/>
      <c r="KBR39" s="66"/>
      <c r="KBS39" s="66"/>
      <c r="KBT39" s="66"/>
      <c r="KBU39" s="66"/>
      <c r="KBV39" s="66"/>
      <c r="KBW39" s="66"/>
      <c r="KBX39" s="66"/>
      <c r="KBY39" s="66"/>
      <c r="KBZ39" s="66"/>
      <c r="KCA39" s="66"/>
      <c r="KCB39" s="66"/>
      <c r="KCC39" s="66"/>
      <c r="KCD39" s="66"/>
      <c r="KCE39" s="66"/>
      <c r="KCF39" s="66"/>
      <c r="KCG39" s="66"/>
      <c r="KCH39" s="66"/>
      <c r="KCI39" s="66"/>
      <c r="KCJ39" s="66"/>
      <c r="KCK39" s="66"/>
      <c r="KCL39" s="66"/>
      <c r="KCM39" s="66"/>
      <c r="KCN39" s="66"/>
      <c r="KCO39" s="66"/>
      <c r="KCP39" s="66"/>
      <c r="KCQ39" s="66"/>
      <c r="KCR39" s="66"/>
      <c r="KCS39" s="66"/>
      <c r="KCT39" s="66"/>
      <c r="KCU39" s="66"/>
      <c r="KCV39" s="66"/>
      <c r="KCW39" s="66"/>
      <c r="KCX39" s="66"/>
      <c r="KCY39" s="66"/>
      <c r="KCZ39" s="66"/>
      <c r="KDA39" s="66"/>
      <c r="KDB39" s="66"/>
      <c r="KDC39" s="66"/>
      <c r="KDD39" s="66"/>
      <c r="KDE39" s="66"/>
      <c r="KDF39" s="66"/>
      <c r="KDG39" s="66"/>
      <c r="KDH39" s="66"/>
      <c r="KDI39" s="66"/>
      <c r="KDJ39" s="66"/>
      <c r="KDK39" s="66"/>
      <c r="KDL39" s="66"/>
      <c r="KDM39" s="66"/>
      <c r="KDN39" s="66"/>
      <c r="KDO39" s="66"/>
      <c r="KDP39" s="66"/>
      <c r="KDQ39" s="66"/>
      <c r="KDR39" s="66"/>
      <c r="KDS39" s="66"/>
      <c r="KDT39" s="66"/>
      <c r="KDU39" s="66"/>
      <c r="KDV39" s="66"/>
      <c r="KDW39" s="66"/>
      <c r="KDX39" s="66"/>
      <c r="KDY39" s="66"/>
      <c r="KDZ39" s="66"/>
      <c r="KEA39" s="66"/>
      <c r="KEB39" s="66"/>
      <c r="KEC39" s="66"/>
      <c r="KED39" s="66"/>
      <c r="KEE39" s="66"/>
      <c r="KEF39" s="66"/>
      <c r="KEG39" s="66"/>
      <c r="KEH39" s="66"/>
      <c r="KEI39" s="66"/>
      <c r="KEJ39" s="66"/>
      <c r="KEK39" s="66"/>
      <c r="KEL39" s="66"/>
      <c r="KEM39" s="66"/>
      <c r="KEN39" s="66"/>
      <c r="KEO39" s="66"/>
      <c r="KEP39" s="66"/>
      <c r="KEQ39" s="66"/>
      <c r="KER39" s="66"/>
      <c r="KES39" s="66"/>
      <c r="KET39" s="66"/>
      <c r="KEU39" s="66"/>
      <c r="KEV39" s="66"/>
      <c r="KEW39" s="66"/>
      <c r="KEX39" s="66"/>
      <c r="KEY39" s="66"/>
      <c r="KEZ39" s="66"/>
      <c r="KFA39" s="66"/>
      <c r="KFB39" s="66"/>
      <c r="KFC39" s="66"/>
      <c r="KFD39" s="66"/>
      <c r="KFE39" s="66"/>
      <c r="KFF39" s="66"/>
      <c r="KFG39" s="66"/>
      <c r="KFH39" s="66"/>
      <c r="KFI39" s="66"/>
      <c r="KFJ39" s="66"/>
      <c r="KFK39" s="66"/>
      <c r="KFL39" s="66"/>
      <c r="KFM39" s="66"/>
      <c r="KFN39" s="66"/>
      <c r="KFO39" s="66"/>
      <c r="KFP39" s="66"/>
      <c r="KFQ39" s="66"/>
      <c r="KFR39" s="66"/>
      <c r="KFS39" s="66"/>
      <c r="KFT39" s="66"/>
      <c r="KFU39" s="66"/>
      <c r="KFV39" s="66"/>
      <c r="KFW39" s="66"/>
      <c r="KFX39" s="66"/>
      <c r="KFY39" s="66"/>
      <c r="KFZ39" s="66"/>
      <c r="KGA39" s="66"/>
      <c r="KGB39" s="66"/>
      <c r="KGC39" s="66"/>
      <c r="KGD39" s="66"/>
      <c r="KGE39" s="66"/>
      <c r="KGF39" s="66"/>
      <c r="KGG39" s="66"/>
      <c r="KGH39" s="66"/>
      <c r="KGI39" s="66"/>
      <c r="KGJ39" s="66"/>
      <c r="KGK39" s="66"/>
      <c r="KGL39" s="66"/>
      <c r="KGM39" s="66"/>
      <c r="KGN39" s="66"/>
      <c r="KGO39" s="66"/>
      <c r="KGP39" s="66"/>
      <c r="KGQ39" s="66"/>
      <c r="KGR39" s="66"/>
      <c r="KGS39" s="66"/>
      <c r="KGT39" s="66"/>
      <c r="KGU39" s="66"/>
      <c r="KGV39" s="66"/>
      <c r="KGW39" s="66"/>
      <c r="KGX39" s="66"/>
      <c r="KGY39" s="66"/>
      <c r="KGZ39" s="66"/>
      <c r="KHA39" s="66"/>
      <c r="KHB39" s="66"/>
      <c r="KHC39" s="66"/>
      <c r="KHD39" s="66"/>
      <c r="KHE39" s="66"/>
      <c r="KHF39" s="66"/>
      <c r="KHG39" s="66"/>
      <c r="KHH39" s="66"/>
      <c r="KHI39" s="66"/>
      <c r="KHJ39" s="66"/>
      <c r="KHK39" s="66"/>
      <c r="KHL39" s="66"/>
      <c r="KHM39" s="66"/>
      <c r="KHN39" s="66"/>
      <c r="KHO39" s="66"/>
      <c r="KHP39" s="66"/>
      <c r="KHQ39" s="66"/>
      <c r="KHR39" s="66"/>
      <c r="KHS39" s="66"/>
      <c r="KHT39" s="66"/>
      <c r="KHU39" s="66"/>
      <c r="KHV39" s="66"/>
      <c r="KHW39" s="66"/>
      <c r="KHX39" s="66"/>
      <c r="KHY39" s="66"/>
      <c r="KHZ39" s="66"/>
      <c r="KIA39" s="66"/>
      <c r="KIB39" s="66"/>
      <c r="KIC39" s="66"/>
      <c r="KID39" s="66"/>
      <c r="KIE39" s="66"/>
      <c r="KIF39" s="66"/>
      <c r="KIG39" s="66"/>
      <c r="KIH39" s="66"/>
      <c r="KII39" s="66"/>
      <c r="KIJ39" s="66"/>
      <c r="KIK39" s="66"/>
      <c r="KIL39" s="66"/>
      <c r="KIM39" s="66"/>
      <c r="KIN39" s="66"/>
      <c r="KIO39" s="66"/>
      <c r="KIP39" s="66"/>
      <c r="KIQ39" s="66"/>
      <c r="KIR39" s="66"/>
      <c r="KIS39" s="66"/>
      <c r="KIT39" s="66"/>
      <c r="KIU39" s="66"/>
      <c r="KIV39" s="66"/>
      <c r="KIW39" s="66"/>
      <c r="KIX39" s="66"/>
      <c r="KIY39" s="66"/>
      <c r="KIZ39" s="66"/>
      <c r="KJA39" s="66"/>
      <c r="KJB39" s="66"/>
      <c r="KJC39" s="66"/>
      <c r="KJD39" s="66"/>
      <c r="KJE39" s="66"/>
      <c r="KJF39" s="66"/>
      <c r="KJG39" s="66"/>
      <c r="KJH39" s="66"/>
      <c r="KJI39" s="66"/>
      <c r="KJJ39" s="66"/>
      <c r="KJK39" s="66"/>
      <c r="KJL39" s="66"/>
      <c r="KJM39" s="66"/>
      <c r="KJN39" s="66"/>
      <c r="KJO39" s="66"/>
      <c r="KJP39" s="66"/>
      <c r="KJQ39" s="66"/>
      <c r="KJR39" s="66"/>
      <c r="KJS39" s="66"/>
      <c r="KJT39" s="66"/>
      <c r="KJU39" s="66"/>
      <c r="KJV39" s="66"/>
      <c r="KJW39" s="66"/>
      <c r="KJX39" s="66"/>
      <c r="KJY39" s="66"/>
      <c r="KJZ39" s="66"/>
      <c r="KKA39" s="66"/>
      <c r="KKB39" s="66"/>
      <c r="KKC39" s="66"/>
      <c r="KKD39" s="66"/>
      <c r="KKE39" s="66"/>
      <c r="KKF39" s="66"/>
      <c r="KKG39" s="66"/>
      <c r="KKH39" s="66"/>
      <c r="KKI39" s="66"/>
      <c r="KKJ39" s="66"/>
      <c r="KKK39" s="66"/>
      <c r="KKL39" s="66"/>
      <c r="KKM39" s="66"/>
      <c r="KKN39" s="66"/>
      <c r="KKO39" s="66"/>
      <c r="KKP39" s="66"/>
      <c r="KKQ39" s="66"/>
      <c r="KKR39" s="66"/>
      <c r="KKS39" s="66"/>
      <c r="KKT39" s="66"/>
      <c r="KKU39" s="66"/>
      <c r="KKV39" s="66"/>
      <c r="KKW39" s="66"/>
      <c r="KKX39" s="66"/>
      <c r="KKY39" s="66"/>
      <c r="KKZ39" s="66"/>
      <c r="KLA39" s="66"/>
      <c r="KLB39" s="66"/>
      <c r="KLC39" s="66"/>
      <c r="KLD39" s="66"/>
      <c r="KLE39" s="66"/>
      <c r="KLF39" s="66"/>
      <c r="KLG39" s="66"/>
      <c r="KLH39" s="66"/>
      <c r="KLI39" s="66"/>
      <c r="KLJ39" s="66"/>
      <c r="KLK39" s="66"/>
      <c r="KLL39" s="66"/>
      <c r="KLM39" s="66"/>
      <c r="KLN39" s="66"/>
      <c r="KLO39" s="66"/>
      <c r="KLP39" s="66"/>
      <c r="KLQ39" s="66"/>
      <c r="KLR39" s="66"/>
      <c r="KLS39" s="66"/>
      <c r="KLT39" s="66"/>
      <c r="KLU39" s="66"/>
      <c r="KLV39" s="66"/>
      <c r="KLW39" s="66"/>
      <c r="KLX39" s="66"/>
      <c r="KLY39" s="66"/>
      <c r="KLZ39" s="66"/>
      <c r="KMA39" s="66"/>
      <c r="KMB39" s="66"/>
      <c r="KMC39" s="66"/>
      <c r="KMD39" s="66"/>
      <c r="KME39" s="66"/>
      <c r="KMF39" s="66"/>
      <c r="KMG39" s="66"/>
      <c r="KMH39" s="66"/>
      <c r="KMI39" s="66"/>
      <c r="KMJ39" s="66"/>
      <c r="KMK39" s="66"/>
      <c r="KML39" s="66"/>
      <c r="KMM39" s="66"/>
      <c r="KMN39" s="66"/>
      <c r="KMO39" s="66"/>
      <c r="KMP39" s="66"/>
      <c r="KMQ39" s="66"/>
      <c r="KMR39" s="66"/>
      <c r="KMS39" s="66"/>
      <c r="KMT39" s="66"/>
      <c r="KMU39" s="66"/>
      <c r="KMV39" s="66"/>
      <c r="KMW39" s="66"/>
      <c r="KMX39" s="66"/>
      <c r="KMY39" s="66"/>
      <c r="KMZ39" s="66"/>
      <c r="KNA39" s="66"/>
      <c r="KNB39" s="66"/>
      <c r="KNC39" s="66"/>
      <c r="KND39" s="66"/>
      <c r="KNE39" s="66"/>
      <c r="KNF39" s="66"/>
      <c r="KNG39" s="66"/>
      <c r="KNH39" s="66"/>
      <c r="KNI39" s="66"/>
      <c r="KNJ39" s="66"/>
      <c r="KNK39" s="66"/>
      <c r="KNL39" s="66"/>
      <c r="KNM39" s="66"/>
      <c r="KNN39" s="66"/>
      <c r="KNO39" s="66"/>
      <c r="KNP39" s="66"/>
      <c r="KNQ39" s="66"/>
      <c r="KNR39" s="66"/>
      <c r="KNS39" s="66"/>
      <c r="KNT39" s="66"/>
      <c r="KNU39" s="66"/>
      <c r="KNV39" s="66"/>
      <c r="KNW39" s="66"/>
      <c r="KNX39" s="66"/>
      <c r="KNY39" s="66"/>
      <c r="KNZ39" s="66"/>
      <c r="KOA39" s="66"/>
      <c r="KOB39" s="66"/>
      <c r="KOC39" s="66"/>
      <c r="KOD39" s="66"/>
      <c r="KOE39" s="66"/>
      <c r="KOF39" s="66"/>
      <c r="KOG39" s="66"/>
      <c r="KOH39" s="66"/>
      <c r="KOI39" s="66"/>
      <c r="KOJ39" s="66"/>
      <c r="KOK39" s="66"/>
      <c r="KOL39" s="66"/>
      <c r="KOM39" s="66"/>
      <c r="KON39" s="66"/>
      <c r="KOO39" s="66"/>
      <c r="KOP39" s="66"/>
      <c r="KOQ39" s="66"/>
      <c r="KOR39" s="66"/>
      <c r="KOS39" s="66"/>
      <c r="KOT39" s="66"/>
      <c r="KOU39" s="66"/>
      <c r="KOV39" s="66"/>
      <c r="KOW39" s="66"/>
      <c r="KOX39" s="66"/>
      <c r="KOY39" s="66"/>
      <c r="KOZ39" s="66"/>
      <c r="KPA39" s="66"/>
      <c r="KPB39" s="66"/>
      <c r="KPC39" s="66"/>
      <c r="KPD39" s="66"/>
      <c r="KPE39" s="66"/>
      <c r="KPF39" s="66"/>
      <c r="KPG39" s="66"/>
      <c r="KPH39" s="66"/>
      <c r="KPI39" s="66"/>
      <c r="KPJ39" s="66"/>
      <c r="KPK39" s="66"/>
      <c r="KPL39" s="66"/>
      <c r="KPM39" s="66"/>
      <c r="KPN39" s="66"/>
      <c r="KPO39" s="66"/>
      <c r="KPP39" s="66"/>
      <c r="KPQ39" s="66"/>
      <c r="KPR39" s="66"/>
      <c r="KPS39" s="66"/>
      <c r="KPT39" s="66"/>
      <c r="KPU39" s="66"/>
      <c r="KPV39" s="66"/>
      <c r="KPW39" s="66"/>
      <c r="KPX39" s="66"/>
      <c r="KPY39" s="66"/>
      <c r="KPZ39" s="66"/>
      <c r="KQA39" s="66"/>
      <c r="KQB39" s="66"/>
      <c r="KQC39" s="66"/>
      <c r="KQD39" s="66"/>
      <c r="KQE39" s="66"/>
      <c r="KQF39" s="66"/>
      <c r="KQG39" s="66"/>
      <c r="KQH39" s="66"/>
      <c r="KQI39" s="66"/>
      <c r="KQJ39" s="66"/>
      <c r="KQK39" s="66"/>
      <c r="KQL39" s="66"/>
      <c r="KQM39" s="66"/>
      <c r="KQN39" s="66"/>
      <c r="KQO39" s="66"/>
      <c r="KQP39" s="66"/>
      <c r="KQQ39" s="66"/>
      <c r="KQR39" s="66"/>
      <c r="KQS39" s="66"/>
      <c r="KQT39" s="66"/>
      <c r="KQU39" s="66"/>
      <c r="KQV39" s="66"/>
      <c r="KQW39" s="66"/>
      <c r="KQX39" s="66"/>
      <c r="KQY39" s="66"/>
      <c r="KQZ39" s="66"/>
      <c r="KRA39" s="66"/>
      <c r="KRB39" s="66"/>
      <c r="KRC39" s="66"/>
      <c r="KRD39" s="66"/>
      <c r="KRE39" s="66"/>
      <c r="KRF39" s="66"/>
      <c r="KRG39" s="66"/>
      <c r="KRH39" s="66"/>
      <c r="KRI39" s="66"/>
      <c r="KRJ39" s="66"/>
      <c r="KRK39" s="66"/>
      <c r="KRL39" s="66"/>
      <c r="KRM39" s="66"/>
      <c r="KRN39" s="66"/>
      <c r="KRO39" s="66"/>
      <c r="KRP39" s="66"/>
      <c r="KRQ39" s="66"/>
      <c r="KRR39" s="66"/>
      <c r="KRS39" s="66"/>
      <c r="KRT39" s="66"/>
      <c r="KRU39" s="66"/>
      <c r="KRV39" s="66"/>
      <c r="KRW39" s="66"/>
      <c r="KRX39" s="66"/>
      <c r="KRY39" s="66"/>
      <c r="KRZ39" s="66"/>
      <c r="KSA39" s="66"/>
      <c r="KSB39" s="66"/>
      <c r="KSC39" s="66"/>
      <c r="KSD39" s="66"/>
      <c r="KSE39" s="66"/>
      <c r="KSF39" s="66"/>
      <c r="KSG39" s="66"/>
      <c r="KSH39" s="66"/>
      <c r="KSI39" s="66"/>
      <c r="KSJ39" s="66"/>
      <c r="KSK39" s="66"/>
      <c r="KSL39" s="66"/>
      <c r="KSM39" s="66"/>
      <c r="KSN39" s="66"/>
      <c r="KSO39" s="66"/>
      <c r="KSP39" s="66"/>
      <c r="KSQ39" s="66"/>
      <c r="KSR39" s="66"/>
      <c r="KSS39" s="66"/>
      <c r="KST39" s="66"/>
      <c r="KSU39" s="66"/>
      <c r="KSV39" s="66"/>
      <c r="KSW39" s="66"/>
      <c r="KSX39" s="66"/>
      <c r="KSY39" s="66"/>
      <c r="KSZ39" s="66"/>
      <c r="KTA39" s="66"/>
      <c r="KTB39" s="66"/>
      <c r="KTC39" s="66"/>
      <c r="KTD39" s="66"/>
      <c r="KTE39" s="66"/>
      <c r="KTF39" s="66"/>
      <c r="KTG39" s="66"/>
      <c r="KTH39" s="66"/>
      <c r="KTI39" s="66"/>
      <c r="KTJ39" s="66"/>
      <c r="KTK39" s="66"/>
      <c r="KTL39" s="66"/>
      <c r="KTM39" s="66"/>
      <c r="KTN39" s="66"/>
      <c r="KTO39" s="66"/>
      <c r="KTP39" s="66"/>
      <c r="KTQ39" s="66"/>
      <c r="KTR39" s="66"/>
      <c r="KTS39" s="66"/>
      <c r="KTT39" s="66"/>
      <c r="KTU39" s="66"/>
      <c r="KTV39" s="66"/>
      <c r="KTW39" s="66"/>
      <c r="KTX39" s="66"/>
      <c r="KTY39" s="66"/>
      <c r="KTZ39" s="66"/>
      <c r="KUA39" s="66"/>
      <c r="KUB39" s="66"/>
      <c r="KUC39" s="66"/>
      <c r="KUD39" s="66"/>
      <c r="KUE39" s="66"/>
      <c r="KUF39" s="66"/>
      <c r="KUG39" s="66"/>
      <c r="KUH39" s="66"/>
      <c r="KUI39" s="66"/>
      <c r="KUJ39" s="66"/>
      <c r="KUK39" s="66"/>
      <c r="KUL39" s="66"/>
      <c r="KUM39" s="66"/>
      <c r="KUN39" s="66"/>
      <c r="KUO39" s="66"/>
      <c r="KUP39" s="66"/>
      <c r="KUQ39" s="66"/>
      <c r="KUR39" s="66"/>
      <c r="KUS39" s="66"/>
      <c r="KUT39" s="66"/>
      <c r="KUU39" s="66"/>
      <c r="KUV39" s="66"/>
      <c r="KUW39" s="66"/>
      <c r="KUX39" s="66"/>
      <c r="KUY39" s="66"/>
      <c r="KUZ39" s="66"/>
      <c r="KVA39" s="66"/>
      <c r="KVB39" s="66"/>
      <c r="KVC39" s="66"/>
      <c r="KVD39" s="66"/>
      <c r="KVE39" s="66"/>
      <c r="KVF39" s="66"/>
      <c r="KVG39" s="66"/>
      <c r="KVH39" s="66"/>
      <c r="KVI39" s="66"/>
      <c r="KVJ39" s="66"/>
      <c r="KVK39" s="66"/>
      <c r="KVL39" s="66"/>
      <c r="KVM39" s="66"/>
      <c r="KVN39" s="66"/>
      <c r="KVO39" s="66"/>
      <c r="KVP39" s="66"/>
      <c r="KVQ39" s="66"/>
      <c r="KVR39" s="66"/>
      <c r="KVS39" s="66"/>
      <c r="KVT39" s="66"/>
      <c r="KVU39" s="66"/>
      <c r="KVV39" s="66"/>
      <c r="KVW39" s="66"/>
      <c r="KVX39" s="66"/>
      <c r="KVY39" s="66"/>
      <c r="KVZ39" s="66"/>
      <c r="KWA39" s="66"/>
      <c r="KWB39" s="66"/>
      <c r="KWC39" s="66"/>
      <c r="KWD39" s="66"/>
      <c r="KWE39" s="66"/>
      <c r="KWF39" s="66"/>
      <c r="KWG39" s="66"/>
      <c r="KWH39" s="66"/>
      <c r="KWI39" s="66"/>
      <c r="KWJ39" s="66"/>
      <c r="KWK39" s="66"/>
      <c r="KWL39" s="66"/>
      <c r="KWM39" s="66"/>
      <c r="KWN39" s="66"/>
      <c r="KWO39" s="66"/>
      <c r="KWP39" s="66"/>
      <c r="KWQ39" s="66"/>
      <c r="KWR39" s="66"/>
      <c r="KWS39" s="66"/>
      <c r="KWT39" s="66"/>
      <c r="KWU39" s="66"/>
      <c r="KWV39" s="66"/>
      <c r="KWW39" s="66"/>
      <c r="KWX39" s="66"/>
      <c r="KWY39" s="66"/>
      <c r="KWZ39" s="66"/>
      <c r="KXA39" s="66"/>
      <c r="KXB39" s="66"/>
      <c r="KXC39" s="66"/>
      <c r="KXD39" s="66"/>
      <c r="KXE39" s="66"/>
      <c r="KXF39" s="66"/>
      <c r="KXG39" s="66"/>
      <c r="KXH39" s="66"/>
      <c r="KXI39" s="66"/>
      <c r="KXJ39" s="66"/>
      <c r="KXK39" s="66"/>
      <c r="KXL39" s="66"/>
      <c r="KXM39" s="66"/>
      <c r="KXN39" s="66"/>
      <c r="KXO39" s="66"/>
      <c r="KXP39" s="66"/>
      <c r="KXQ39" s="66"/>
      <c r="KXR39" s="66"/>
      <c r="KXS39" s="66"/>
      <c r="KXT39" s="66"/>
      <c r="KXU39" s="66"/>
      <c r="KXV39" s="66"/>
      <c r="KXW39" s="66"/>
      <c r="KXX39" s="66"/>
      <c r="KXY39" s="66"/>
      <c r="KXZ39" s="66"/>
      <c r="KYA39" s="66"/>
      <c r="KYB39" s="66"/>
      <c r="KYC39" s="66"/>
      <c r="KYD39" s="66"/>
      <c r="KYE39" s="66"/>
      <c r="KYF39" s="66"/>
      <c r="KYG39" s="66"/>
      <c r="KYH39" s="66"/>
      <c r="KYI39" s="66"/>
      <c r="KYJ39" s="66"/>
      <c r="KYK39" s="66"/>
      <c r="KYL39" s="66"/>
      <c r="KYM39" s="66"/>
      <c r="KYN39" s="66"/>
      <c r="KYO39" s="66"/>
      <c r="KYP39" s="66"/>
      <c r="KYQ39" s="66"/>
      <c r="KYR39" s="66"/>
      <c r="KYS39" s="66"/>
      <c r="KYT39" s="66"/>
      <c r="KYU39" s="66"/>
      <c r="KYV39" s="66"/>
      <c r="KYW39" s="66"/>
      <c r="KYX39" s="66"/>
      <c r="KYY39" s="66"/>
      <c r="KYZ39" s="66"/>
      <c r="KZA39" s="66"/>
      <c r="KZB39" s="66"/>
      <c r="KZC39" s="66"/>
      <c r="KZD39" s="66"/>
      <c r="KZE39" s="66"/>
      <c r="KZF39" s="66"/>
      <c r="KZG39" s="66"/>
      <c r="KZH39" s="66"/>
      <c r="KZI39" s="66"/>
      <c r="KZJ39" s="66"/>
      <c r="KZK39" s="66"/>
      <c r="KZL39" s="66"/>
      <c r="KZM39" s="66"/>
      <c r="KZN39" s="66"/>
      <c r="KZO39" s="66"/>
      <c r="KZP39" s="66"/>
      <c r="KZQ39" s="66"/>
      <c r="KZR39" s="66"/>
      <c r="KZS39" s="66"/>
      <c r="KZT39" s="66"/>
      <c r="KZU39" s="66"/>
      <c r="KZV39" s="66"/>
      <c r="KZW39" s="66"/>
      <c r="KZX39" s="66"/>
      <c r="KZY39" s="66"/>
      <c r="KZZ39" s="66"/>
      <c r="LAA39" s="66"/>
      <c r="LAB39" s="66"/>
      <c r="LAC39" s="66"/>
      <c r="LAD39" s="66"/>
      <c r="LAE39" s="66"/>
      <c r="LAF39" s="66"/>
      <c r="LAG39" s="66"/>
      <c r="LAH39" s="66"/>
      <c r="LAI39" s="66"/>
      <c r="LAJ39" s="66"/>
      <c r="LAK39" s="66"/>
      <c r="LAL39" s="66"/>
      <c r="LAM39" s="66"/>
      <c r="LAN39" s="66"/>
      <c r="LAO39" s="66"/>
      <c r="LAP39" s="66"/>
      <c r="LAQ39" s="66"/>
      <c r="LAR39" s="66"/>
      <c r="LAS39" s="66"/>
      <c r="LAT39" s="66"/>
      <c r="LAU39" s="66"/>
      <c r="LAV39" s="66"/>
      <c r="LAW39" s="66"/>
      <c r="LAX39" s="66"/>
      <c r="LAY39" s="66"/>
      <c r="LAZ39" s="66"/>
      <c r="LBA39" s="66"/>
      <c r="LBB39" s="66"/>
      <c r="LBC39" s="66"/>
      <c r="LBD39" s="66"/>
      <c r="LBE39" s="66"/>
      <c r="LBF39" s="66"/>
      <c r="LBG39" s="66"/>
      <c r="LBH39" s="66"/>
      <c r="LBI39" s="66"/>
      <c r="LBJ39" s="66"/>
      <c r="LBK39" s="66"/>
      <c r="LBL39" s="66"/>
      <c r="LBM39" s="66"/>
      <c r="LBN39" s="66"/>
      <c r="LBO39" s="66"/>
      <c r="LBP39" s="66"/>
      <c r="LBQ39" s="66"/>
      <c r="LBR39" s="66"/>
      <c r="LBS39" s="66"/>
      <c r="LBT39" s="66"/>
      <c r="LBU39" s="66"/>
      <c r="LBV39" s="66"/>
      <c r="LBW39" s="66"/>
      <c r="LBX39" s="66"/>
      <c r="LBY39" s="66"/>
      <c r="LBZ39" s="66"/>
      <c r="LCA39" s="66"/>
      <c r="LCB39" s="66"/>
      <c r="LCC39" s="66"/>
      <c r="LCD39" s="66"/>
      <c r="LCE39" s="66"/>
      <c r="LCF39" s="66"/>
      <c r="LCG39" s="66"/>
      <c r="LCH39" s="66"/>
      <c r="LCI39" s="66"/>
      <c r="LCJ39" s="66"/>
      <c r="LCK39" s="66"/>
      <c r="LCL39" s="66"/>
      <c r="LCM39" s="66"/>
      <c r="LCN39" s="66"/>
      <c r="LCO39" s="66"/>
      <c r="LCP39" s="66"/>
      <c r="LCQ39" s="66"/>
      <c r="LCR39" s="66"/>
      <c r="LCS39" s="66"/>
      <c r="LCT39" s="66"/>
      <c r="LCU39" s="66"/>
      <c r="LCV39" s="66"/>
      <c r="LCW39" s="66"/>
      <c r="LCX39" s="66"/>
      <c r="LCY39" s="66"/>
      <c r="LCZ39" s="66"/>
      <c r="LDA39" s="66"/>
      <c r="LDB39" s="66"/>
      <c r="LDC39" s="66"/>
      <c r="LDD39" s="66"/>
      <c r="LDE39" s="66"/>
      <c r="LDF39" s="66"/>
      <c r="LDG39" s="66"/>
      <c r="LDH39" s="66"/>
      <c r="LDI39" s="66"/>
      <c r="LDJ39" s="66"/>
      <c r="LDK39" s="66"/>
      <c r="LDL39" s="66"/>
      <c r="LDM39" s="66"/>
      <c r="LDN39" s="66"/>
      <c r="LDO39" s="66"/>
      <c r="LDP39" s="66"/>
      <c r="LDQ39" s="66"/>
      <c r="LDR39" s="66"/>
      <c r="LDS39" s="66"/>
      <c r="LDT39" s="66"/>
      <c r="LDU39" s="66"/>
      <c r="LDV39" s="66"/>
      <c r="LDW39" s="66"/>
      <c r="LDX39" s="66"/>
      <c r="LDY39" s="66"/>
      <c r="LDZ39" s="66"/>
      <c r="LEA39" s="66"/>
      <c r="LEB39" s="66"/>
      <c r="LEC39" s="66"/>
      <c r="LED39" s="66"/>
      <c r="LEE39" s="66"/>
      <c r="LEF39" s="66"/>
      <c r="LEG39" s="66"/>
      <c r="LEH39" s="66"/>
      <c r="LEI39" s="66"/>
      <c r="LEJ39" s="66"/>
      <c r="LEK39" s="66"/>
      <c r="LEL39" s="66"/>
      <c r="LEM39" s="66"/>
      <c r="LEN39" s="66"/>
      <c r="LEO39" s="66"/>
      <c r="LEP39" s="66"/>
      <c r="LEQ39" s="66"/>
      <c r="LER39" s="66"/>
      <c r="LES39" s="66"/>
      <c r="LET39" s="66"/>
      <c r="LEU39" s="66"/>
      <c r="LEV39" s="66"/>
      <c r="LEW39" s="66"/>
      <c r="LEX39" s="66"/>
      <c r="LEY39" s="66"/>
      <c r="LEZ39" s="66"/>
      <c r="LFA39" s="66"/>
      <c r="LFB39" s="66"/>
      <c r="LFC39" s="66"/>
      <c r="LFD39" s="66"/>
      <c r="LFE39" s="66"/>
      <c r="LFF39" s="66"/>
      <c r="LFG39" s="66"/>
      <c r="LFH39" s="66"/>
      <c r="LFI39" s="66"/>
      <c r="LFJ39" s="66"/>
      <c r="LFK39" s="66"/>
      <c r="LFL39" s="66"/>
      <c r="LFM39" s="66"/>
      <c r="LFN39" s="66"/>
      <c r="LFO39" s="66"/>
      <c r="LFP39" s="66"/>
      <c r="LFQ39" s="66"/>
      <c r="LFR39" s="66"/>
      <c r="LFS39" s="66"/>
      <c r="LFT39" s="66"/>
      <c r="LFU39" s="66"/>
      <c r="LFV39" s="66"/>
      <c r="LFW39" s="66"/>
      <c r="LFX39" s="66"/>
      <c r="LFY39" s="66"/>
      <c r="LFZ39" s="66"/>
      <c r="LGA39" s="66"/>
      <c r="LGB39" s="66"/>
      <c r="LGC39" s="66"/>
      <c r="LGD39" s="66"/>
      <c r="LGE39" s="66"/>
      <c r="LGF39" s="66"/>
      <c r="LGG39" s="66"/>
      <c r="LGH39" s="66"/>
      <c r="LGI39" s="66"/>
      <c r="LGJ39" s="66"/>
      <c r="LGK39" s="66"/>
      <c r="LGL39" s="66"/>
      <c r="LGM39" s="66"/>
      <c r="LGN39" s="66"/>
      <c r="LGO39" s="66"/>
      <c r="LGP39" s="66"/>
      <c r="LGQ39" s="66"/>
      <c r="LGR39" s="66"/>
      <c r="LGS39" s="66"/>
      <c r="LGT39" s="66"/>
      <c r="LGU39" s="66"/>
      <c r="LGV39" s="66"/>
      <c r="LGW39" s="66"/>
      <c r="LGX39" s="66"/>
      <c r="LGY39" s="66"/>
      <c r="LGZ39" s="66"/>
      <c r="LHA39" s="66"/>
      <c r="LHB39" s="66"/>
      <c r="LHC39" s="66"/>
      <c r="LHD39" s="66"/>
      <c r="LHE39" s="66"/>
      <c r="LHF39" s="66"/>
      <c r="LHG39" s="66"/>
      <c r="LHH39" s="66"/>
      <c r="LHI39" s="66"/>
      <c r="LHJ39" s="66"/>
      <c r="LHK39" s="66"/>
      <c r="LHL39" s="66"/>
      <c r="LHM39" s="66"/>
      <c r="LHN39" s="66"/>
      <c r="LHO39" s="66"/>
      <c r="LHP39" s="66"/>
      <c r="LHQ39" s="66"/>
      <c r="LHR39" s="66"/>
      <c r="LHS39" s="66"/>
      <c r="LHT39" s="66"/>
      <c r="LHU39" s="66"/>
      <c r="LHV39" s="66"/>
      <c r="LHW39" s="66"/>
      <c r="LHX39" s="66"/>
      <c r="LHY39" s="66"/>
      <c r="LHZ39" s="66"/>
      <c r="LIA39" s="66"/>
      <c r="LIB39" s="66"/>
      <c r="LIC39" s="66"/>
      <c r="LID39" s="66"/>
      <c r="LIE39" s="66"/>
      <c r="LIF39" s="66"/>
      <c r="LIG39" s="66"/>
      <c r="LIH39" s="66"/>
      <c r="LII39" s="66"/>
      <c r="LIJ39" s="66"/>
      <c r="LIK39" s="66"/>
      <c r="LIL39" s="66"/>
      <c r="LIM39" s="66"/>
      <c r="LIN39" s="66"/>
      <c r="LIO39" s="66"/>
      <c r="LIP39" s="66"/>
      <c r="LIQ39" s="66"/>
      <c r="LIR39" s="66"/>
      <c r="LIS39" s="66"/>
      <c r="LIT39" s="66"/>
      <c r="LIU39" s="66"/>
      <c r="LIV39" s="66"/>
      <c r="LIW39" s="66"/>
      <c r="LIX39" s="66"/>
      <c r="LIY39" s="66"/>
      <c r="LIZ39" s="66"/>
      <c r="LJA39" s="66"/>
      <c r="LJB39" s="66"/>
      <c r="LJC39" s="66"/>
      <c r="LJD39" s="66"/>
      <c r="LJE39" s="66"/>
      <c r="LJF39" s="66"/>
      <c r="LJG39" s="66"/>
      <c r="LJH39" s="66"/>
      <c r="LJI39" s="66"/>
      <c r="LJJ39" s="66"/>
      <c r="LJK39" s="66"/>
      <c r="LJL39" s="66"/>
      <c r="LJM39" s="66"/>
      <c r="LJN39" s="66"/>
      <c r="LJO39" s="66"/>
      <c r="LJP39" s="66"/>
      <c r="LJQ39" s="66"/>
      <c r="LJR39" s="66"/>
      <c r="LJS39" s="66"/>
      <c r="LJT39" s="66"/>
      <c r="LJU39" s="66"/>
      <c r="LJV39" s="66"/>
      <c r="LJW39" s="66"/>
      <c r="LJX39" s="66"/>
      <c r="LJY39" s="66"/>
      <c r="LJZ39" s="66"/>
      <c r="LKA39" s="66"/>
      <c r="LKB39" s="66"/>
      <c r="LKC39" s="66"/>
      <c r="LKD39" s="66"/>
      <c r="LKE39" s="66"/>
      <c r="LKF39" s="66"/>
      <c r="LKG39" s="66"/>
      <c r="LKH39" s="66"/>
      <c r="LKI39" s="66"/>
      <c r="LKJ39" s="66"/>
      <c r="LKK39" s="66"/>
      <c r="LKL39" s="66"/>
      <c r="LKM39" s="66"/>
      <c r="LKN39" s="66"/>
      <c r="LKO39" s="66"/>
      <c r="LKP39" s="66"/>
      <c r="LKQ39" s="66"/>
      <c r="LKR39" s="66"/>
      <c r="LKS39" s="66"/>
      <c r="LKT39" s="66"/>
      <c r="LKU39" s="66"/>
      <c r="LKV39" s="66"/>
      <c r="LKW39" s="66"/>
      <c r="LKX39" s="66"/>
      <c r="LKY39" s="66"/>
      <c r="LKZ39" s="66"/>
      <c r="LLA39" s="66"/>
      <c r="LLB39" s="66"/>
      <c r="LLC39" s="66"/>
      <c r="LLD39" s="66"/>
      <c r="LLE39" s="66"/>
      <c r="LLF39" s="66"/>
      <c r="LLG39" s="66"/>
      <c r="LLH39" s="66"/>
      <c r="LLI39" s="66"/>
      <c r="LLJ39" s="66"/>
      <c r="LLK39" s="66"/>
      <c r="LLL39" s="66"/>
      <c r="LLM39" s="66"/>
      <c r="LLN39" s="66"/>
      <c r="LLO39" s="66"/>
      <c r="LLP39" s="66"/>
      <c r="LLQ39" s="66"/>
      <c r="LLR39" s="66"/>
      <c r="LLS39" s="66"/>
      <c r="LLT39" s="66"/>
      <c r="LLU39" s="66"/>
      <c r="LLV39" s="66"/>
      <c r="LLW39" s="66"/>
      <c r="LLX39" s="66"/>
      <c r="LLY39" s="66"/>
      <c r="LLZ39" s="66"/>
      <c r="LMA39" s="66"/>
      <c r="LMB39" s="66"/>
      <c r="LMC39" s="66"/>
      <c r="LMD39" s="66"/>
      <c r="LME39" s="66"/>
      <c r="LMF39" s="66"/>
      <c r="LMG39" s="66"/>
      <c r="LMH39" s="66"/>
      <c r="LMI39" s="66"/>
      <c r="LMJ39" s="66"/>
      <c r="LMK39" s="66"/>
      <c r="LML39" s="66"/>
      <c r="LMM39" s="66"/>
      <c r="LMN39" s="66"/>
      <c r="LMO39" s="66"/>
      <c r="LMP39" s="66"/>
      <c r="LMQ39" s="66"/>
      <c r="LMR39" s="66"/>
      <c r="LMS39" s="66"/>
      <c r="LMT39" s="66"/>
      <c r="LMU39" s="66"/>
      <c r="LMV39" s="66"/>
      <c r="LMW39" s="66"/>
      <c r="LMX39" s="66"/>
      <c r="LMY39" s="66"/>
      <c r="LMZ39" s="66"/>
      <c r="LNA39" s="66"/>
      <c r="LNB39" s="66"/>
      <c r="LNC39" s="66"/>
      <c r="LND39" s="66"/>
      <c r="LNE39" s="66"/>
      <c r="LNF39" s="66"/>
      <c r="LNG39" s="66"/>
      <c r="LNH39" s="66"/>
      <c r="LNI39" s="66"/>
      <c r="LNJ39" s="66"/>
      <c r="LNK39" s="66"/>
      <c r="LNL39" s="66"/>
      <c r="LNM39" s="66"/>
      <c r="LNN39" s="66"/>
      <c r="LNO39" s="66"/>
      <c r="LNP39" s="66"/>
      <c r="LNQ39" s="66"/>
      <c r="LNR39" s="66"/>
      <c r="LNS39" s="66"/>
      <c r="LNT39" s="66"/>
      <c r="LNU39" s="66"/>
      <c r="LNV39" s="66"/>
      <c r="LNW39" s="66"/>
      <c r="LNX39" s="66"/>
      <c r="LNY39" s="66"/>
      <c r="LNZ39" s="66"/>
      <c r="LOA39" s="66"/>
      <c r="LOB39" s="66"/>
      <c r="LOC39" s="66"/>
      <c r="LOD39" s="66"/>
      <c r="LOE39" s="66"/>
      <c r="LOF39" s="66"/>
      <c r="LOG39" s="66"/>
      <c r="LOH39" s="66"/>
      <c r="LOI39" s="66"/>
      <c r="LOJ39" s="66"/>
      <c r="LOK39" s="66"/>
      <c r="LOL39" s="66"/>
      <c r="LOM39" s="66"/>
      <c r="LON39" s="66"/>
      <c r="LOO39" s="66"/>
      <c r="LOP39" s="66"/>
      <c r="LOQ39" s="66"/>
      <c r="LOR39" s="66"/>
      <c r="LOS39" s="66"/>
      <c r="LOT39" s="66"/>
      <c r="LOU39" s="66"/>
      <c r="LOV39" s="66"/>
      <c r="LOW39" s="66"/>
      <c r="LOX39" s="66"/>
      <c r="LOY39" s="66"/>
      <c r="LOZ39" s="66"/>
      <c r="LPA39" s="66"/>
      <c r="LPB39" s="66"/>
      <c r="LPC39" s="66"/>
      <c r="LPD39" s="66"/>
      <c r="LPE39" s="66"/>
      <c r="LPF39" s="66"/>
      <c r="LPG39" s="66"/>
      <c r="LPH39" s="66"/>
      <c r="LPI39" s="66"/>
      <c r="LPJ39" s="66"/>
      <c r="LPK39" s="66"/>
      <c r="LPL39" s="66"/>
      <c r="LPM39" s="66"/>
      <c r="LPN39" s="66"/>
      <c r="LPO39" s="66"/>
      <c r="LPP39" s="66"/>
      <c r="LPQ39" s="66"/>
      <c r="LPR39" s="66"/>
      <c r="LPS39" s="66"/>
      <c r="LPT39" s="66"/>
      <c r="LPU39" s="66"/>
      <c r="LPV39" s="66"/>
      <c r="LPW39" s="66"/>
      <c r="LPX39" s="66"/>
      <c r="LPY39" s="66"/>
      <c r="LPZ39" s="66"/>
      <c r="LQA39" s="66"/>
      <c r="LQB39" s="66"/>
      <c r="LQC39" s="66"/>
      <c r="LQD39" s="66"/>
      <c r="LQE39" s="66"/>
      <c r="LQF39" s="66"/>
      <c r="LQG39" s="66"/>
      <c r="LQH39" s="66"/>
      <c r="LQI39" s="66"/>
      <c r="LQJ39" s="66"/>
      <c r="LQK39" s="66"/>
      <c r="LQL39" s="66"/>
      <c r="LQM39" s="66"/>
      <c r="LQN39" s="66"/>
      <c r="LQO39" s="66"/>
      <c r="LQP39" s="66"/>
      <c r="LQQ39" s="66"/>
      <c r="LQR39" s="66"/>
      <c r="LQS39" s="66"/>
      <c r="LQT39" s="66"/>
      <c r="LQU39" s="66"/>
      <c r="LQV39" s="66"/>
      <c r="LQW39" s="66"/>
      <c r="LQX39" s="66"/>
      <c r="LQY39" s="66"/>
      <c r="LQZ39" s="66"/>
      <c r="LRA39" s="66"/>
      <c r="LRB39" s="66"/>
      <c r="LRC39" s="66"/>
      <c r="LRD39" s="66"/>
      <c r="LRE39" s="66"/>
      <c r="LRF39" s="66"/>
      <c r="LRG39" s="66"/>
      <c r="LRH39" s="66"/>
      <c r="LRI39" s="66"/>
      <c r="LRJ39" s="66"/>
      <c r="LRK39" s="66"/>
      <c r="LRL39" s="66"/>
      <c r="LRM39" s="66"/>
      <c r="LRN39" s="66"/>
      <c r="LRO39" s="66"/>
      <c r="LRP39" s="66"/>
      <c r="LRQ39" s="66"/>
      <c r="LRR39" s="66"/>
      <c r="LRS39" s="66"/>
      <c r="LRT39" s="66"/>
      <c r="LRU39" s="66"/>
      <c r="LRV39" s="66"/>
      <c r="LRW39" s="66"/>
      <c r="LRX39" s="66"/>
      <c r="LRY39" s="66"/>
      <c r="LRZ39" s="66"/>
      <c r="LSA39" s="66"/>
      <c r="LSB39" s="66"/>
      <c r="LSC39" s="66"/>
      <c r="LSD39" s="66"/>
      <c r="LSE39" s="66"/>
      <c r="LSF39" s="66"/>
      <c r="LSG39" s="66"/>
      <c r="LSH39" s="66"/>
      <c r="LSI39" s="66"/>
      <c r="LSJ39" s="66"/>
      <c r="LSK39" s="66"/>
      <c r="LSL39" s="66"/>
      <c r="LSM39" s="66"/>
      <c r="LSN39" s="66"/>
      <c r="LSO39" s="66"/>
      <c r="LSP39" s="66"/>
      <c r="LSQ39" s="66"/>
      <c r="LSR39" s="66"/>
      <c r="LSS39" s="66"/>
      <c r="LST39" s="66"/>
      <c r="LSU39" s="66"/>
      <c r="LSV39" s="66"/>
      <c r="LSW39" s="66"/>
      <c r="LSX39" s="66"/>
      <c r="LSY39" s="66"/>
      <c r="LSZ39" s="66"/>
      <c r="LTA39" s="66"/>
      <c r="LTB39" s="66"/>
      <c r="LTC39" s="66"/>
      <c r="LTD39" s="66"/>
      <c r="LTE39" s="66"/>
      <c r="LTF39" s="66"/>
      <c r="LTG39" s="66"/>
      <c r="LTH39" s="66"/>
      <c r="LTI39" s="66"/>
      <c r="LTJ39" s="66"/>
      <c r="LTK39" s="66"/>
      <c r="LTL39" s="66"/>
      <c r="LTM39" s="66"/>
      <c r="LTN39" s="66"/>
      <c r="LTO39" s="66"/>
      <c r="LTP39" s="66"/>
      <c r="LTQ39" s="66"/>
      <c r="LTR39" s="66"/>
      <c r="LTS39" s="66"/>
      <c r="LTT39" s="66"/>
      <c r="LTU39" s="66"/>
      <c r="LTV39" s="66"/>
      <c r="LTW39" s="66"/>
      <c r="LTX39" s="66"/>
      <c r="LTY39" s="66"/>
      <c r="LTZ39" s="66"/>
      <c r="LUA39" s="66"/>
      <c r="LUB39" s="66"/>
      <c r="LUC39" s="66"/>
      <c r="LUD39" s="66"/>
      <c r="LUE39" s="66"/>
      <c r="LUF39" s="66"/>
      <c r="LUG39" s="66"/>
      <c r="LUH39" s="66"/>
      <c r="LUI39" s="66"/>
      <c r="LUJ39" s="66"/>
      <c r="LUK39" s="66"/>
      <c r="LUL39" s="66"/>
      <c r="LUM39" s="66"/>
      <c r="LUN39" s="66"/>
      <c r="LUO39" s="66"/>
      <c r="LUP39" s="66"/>
      <c r="LUQ39" s="66"/>
      <c r="LUR39" s="66"/>
      <c r="LUS39" s="66"/>
      <c r="LUT39" s="66"/>
      <c r="LUU39" s="66"/>
      <c r="LUV39" s="66"/>
      <c r="LUW39" s="66"/>
      <c r="LUX39" s="66"/>
      <c r="LUY39" s="66"/>
      <c r="LUZ39" s="66"/>
      <c r="LVA39" s="66"/>
      <c r="LVB39" s="66"/>
      <c r="LVC39" s="66"/>
      <c r="LVD39" s="66"/>
      <c r="LVE39" s="66"/>
      <c r="LVF39" s="66"/>
      <c r="LVG39" s="66"/>
      <c r="LVH39" s="66"/>
      <c r="LVI39" s="66"/>
      <c r="LVJ39" s="66"/>
      <c r="LVK39" s="66"/>
      <c r="LVL39" s="66"/>
      <c r="LVM39" s="66"/>
      <c r="LVN39" s="66"/>
      <c r="LVO39" s="66"/>
      <c r="LVP39" s="66"/>
      <c r="LVQ39" s="66"/>
      <c r="LVR39" s="66"/>
      <c r="LVS39" s="66"/>
      <c r="LVT39" s="66"/>
      <c r="LVU39" s="66"/>
      <c r="LVV39" s="66"/>
      <c r="LVW39" s="66"/>
      <c r="LVX39" s="66"/>
      <c r="LVY39" s="66"/>
      <c r="LVZ39" s="66"/>
      <c r="LWA39" s="66"/>
      <c r="LWB39" s="66"/>
      <c r="LWC39" s="66"/>
      <c r="LWD39" s="66"/>
      <c r="LWE39" s="66"/>
      <c r="LWF39" s="66"/>
      <c r="LWG39" s="66"/>
      <c r="LWH39" s="66"/>
      <c r="LWI39" s="66"/>
      <c r="LWJ39" s="66"/>
      <c r="LWK39" s="66"/>
      <c r="LWL39" s="66"/>
      <c r="LWM39" s="66"/>
      <c r="LWN39" s="66"/>
      <c r="LWO39" s="66"/>
      <c r="LWP39" s="66"/>
      <c r="LWQ39" s="66"/>
      <c r="LWR39" s="66"/>
      <c r="LWS39" s="66"/>
      <c r="LWT39" s="66"/>
      <c r="LWU39" s="66"/>
      <c r="LWV39" s="66"/>
      <c r="LWW39" s="66"/>
      <c r="LWX39" s="66"/>
      <c r="LWY39" s="66"/>
      <c r="LWZ39" s="66"/>
      <c r="LXA39" s="66"/>
      <c r="LXB39" s="66"/>
      <c r="LXC39" s="66"/>
      <c r="LXD39" s="66"/>
      <c r="LXE39" s="66"/>
      <c r="LXF39" s="66"/>
      <c r="LXG39" s="66"/>
      <c r="LXH39" s="66"/>
      <c r="LXI39" s="66"/>
      <c r="LXJ39" s="66"/>
      <c r="LXK39" s="66"/>
      <c r="LXL39" s="66"/>
      <c r="LXM39" s="66"/>
      <c r="LXN39" s="66"/>
      <c r="LXO39" s="66"/>
      <c r="LXP39" s="66"/>
      <c r="LXQ39" s="66"/>
      <c r="LXR39" s="66"/>
      <c r="LXS39" s="66"/>
      <c r="LXT39" s="66"/>
      <c r="LXU39" s="66"/>
      <c r="LXV39" s="66"/>
      <c r="LXW39" s="66"/>
      <c r="LXX39" s="66"/>
      <c r="LXY39" s="66"/>
      <c r="LXZ39" s="66"/>
      <c r="LYA39" s="66"/>
      <c r="LYB39" s="66"/>
      <c r="LYC39" s="66"/>
      <c r="LYD39" s="66"/>
      <c r="LYE39" s="66"/>
      <c r="LYF39" s="66"/>
      <c r="LYG39" s="66"/>
      <c r="LYH39" s="66"/>
      <c r="LYI39" s="66"/>
      <c r="LYJ39" s="66"/>
      <c r="LYK39" s="66"/>
      <c r="LYL39" s="66"/>
      <c r="LYM39" s="66"/>
      <c r="LYN39" s="66"/>
      <c r="LYO39" s="66"/>
      <c r="LYP39" s="66"/>
      <c r="LYQ39" s="66"/>
      <c r="LYR39" s="66"/>
      <c r="LYS39" s="66"/>
      <c r="LYT39" s="66"/>
      <c r="LYU39" s="66"/>
      <c r="LYV39" s="66"/>
      <c r="LYW39" s="66"/>
      <c r="LYX39" s="66"/>
      <c r="LYY39" s="66"/>
      <c r="LYZ39" s="66"/>
      <c r="LZA39" s="66"/>
      <c r="LZB39" s="66"/>
      <c r="LZC39" s="66"/>
      <c r="LZD39" s="66"/>
      <c r="LZE39" s="66"/>
      <c r="LZF39" s="66"/>
      <c r="LZG39" s="66"/>
      <c r="LZH39" s="66"/>
      <c r="LZI39" s="66"/>
      <c r="LZJ39" s="66"/>
      <c r="LZK39" s="66"/>
      <c r="LZL39" s="66"/>
      <c r="LZM39" s="66"/>
      <c r="LZN39" s="66"/>
      <c r="LZO39" s="66"/>
      <c r="LZP39" s="66"/>
      <c r="LZQ39" s="66"/>
      <c r="LZR39" s="66"/>
      <c r="LZS39" s="66"/>
      <c r="LZT39" s="66"/>
      <c r="LZU39" s="66"/>
      <c r="LZV39" s="66"/>
      <c r="LZW39" s="66"/>
      <c r="LZX39" s="66"/>
      <c r="LZY39" s="66"/>
      <c r="LZZ39" s="66"/>
      <c r="MAA39" s="66"/>
      <c r="MAB39" s="66"/>
      <c r="MAC39" s="66"/>
      <c r="MAD39" s="66"/>
      <c r="MAE39" s="66"/>
      <c r="MAF39" s="66"/>
      <c r="MAG39" s="66"/>
      <c r="MAH39" s="66"/>
      <c r="MAI39" s="66"/>
      <c r="MAJ39" s="66"/>
      <c r="MAK39" s="66"/>
      <c r="MAL39" s="66"/>
      <c r="MAM39" s="66"/>
      <c r="MAN39" s="66"/>
      <c r="MAO39" s="66"/>
      <c r="MAP39" s="66"/>
      <c r="MAQ39" s="66"/>
      <c r="MAR39" s="66"/>
      <c r="MAS39" s="66"/>
      <c r="MAT39" s="66"/>
      <c r="MAU39" s="66"/>
      <c r="MAV39" s="66"/>
      <c r="MAW39" s="66"/>
      <c r="MAX39" s="66"/>
      <c r="MAY39" s="66"/>
      <c r="MAZ39" s="66"/>
      <c r="MBA39" s="66"/>
      <c r="MBB39" s="66"/>
      <c r="MBC39" s="66"/>
      <c r="MBD39" s="66"/>
      <c r="MBE39" s="66"/>
      <c r="MBF39" s="66"/>
      <c r="MBG39" s="66"/>
      <c r="MBH39" s="66"/>
      <c r="MBI39" s="66"/>
      <c r="MBJ39" s="66"/>
      <c r="MBK39" s="66"/>
      <c r="MBL39" s="66"/>
      <c r="MBM39" s="66"/>
      <c r="MBN39" s="66"/>
      <c r="MBO39" s="66"/>
      <c r="MBP39" s="66"/>
      <c r="MBQ39" s="66"/>
      <c r="MBR39" s="66"/>
      <c r="MBS39" s="66"/>
      <c r="MBT39" s="66"/>
      <c r="MBU39" s="66"/>
      <c r="MBV39" s="66"/>
      <c r="MBW39" s="66"/>
      <c r="MBX39" s="66"/>
      <c r="MBY39" s="66"/>
      <c r="MBZ39" s="66"/>
      <c r="MCA39" s="66"/>
      <c r="MCB39" s="66"/>
      <c r="MCC39" s="66"/>
      <c r="MCD39" s="66"/>
      <c r="MCE39" s="66"/>
      <c r="MCF39" s="66"/>
      <c r="MCG39" s="66"/>
      <c r="MCH39" s="66"/>
      <c r="MCI39" s="66"/>
      <c r="MCJ39" s="66"/>
      <c r="MCK39" s="66"/>
      <c r="MCL39" s="66"/>
      <c r="MCM39" s="66"/>
      <c r="MCN39" s="66"/>
      <c r="MCO39" s="66"/>
      <c r="MCP39" s="66"/>
      <c r="MCQ39" s="66"/>
      <c r="MCR39" s="66"/>
      <c r="MCS39" s="66"/>
      <c r="MCT39" s="66"/>
      <c r="MCU39" s="66"/>
      <c r="MCV39" s="66"/>
      <c r="MCW39" s="66"/>
      <c r="MCX39" s="66"/>
      <c r="MCY39" s="66"/>
      <c r="MCZ39" s="66"/>
      <c r="MDA39" s="66"/>
      <c r="MDB39" s="66"/>
      <c r="MDC39" s="66"/>
      <c r="MDD39" s="66"/>
      <c r="MDE39" s="66"/>
      <c r="MDF39" s="66"/>
      <c r="MDG39" s="66"/>
      <c r="MDH39" s="66"/>
      <c r="MDI39" s="66"/>
      <c r="MDJ39" s="66"/>
      <c r="MDK39" s="66"/>
      <c r="MDL39" s="66"/>
      <c r="MDM39" s="66"/>
      <c r="MDN39" s="66"/>
      <c r="MDO39" s="66"/>
      <c r="MDP39" s="66"/>
      <c r="MDQ39" s="66"/>
      <c r="MDR39" s="66"/>
      <c r="MDS39" s="66"/>
      <c r="MDT39" s="66"/>
      <c r="MDU39" s="66"/>
      <c r="MDV39" s="66"/>
      <c r="MDW39" s="66"/>
      <c r="MDX39" s="66"/>
      <c r="MDY39" s="66"/>
      <c r="MDZ39" s="66"/>
      <c r="MEA39" s="66"/>
      <c r="MEB39" s="66"/>
      <c r="MEC39" s="66"/>
      <c r="MED39" s="66"/>
      <c r="MEE39" s="66"/>
      <c r="MEF39" s="66"/>
      <c r="MEG39" s="66"/>
      <c r="MEH39" s="66"/>
      <c r="MEI39" s="66"/>
      <c r="MEJ39" s="66"/>
      <c r="MEK39" s="66"/>
      <c r="MEL39" s="66"/>
      <c r="MEM39" s="66"/>
      <c r="MEN39" s="66"/>
      <c r="MEO39" s="66"/>
      <c r="MEP39" s="66"/>
      <c r="MEQ39" s="66"/>
      <c r="MER39" s="66"/>
      <c r="MES39" s="66"/>
      <c r="MET39" s="66"/>
      <c r="MEU39" s="66"/>
      <c r="MEV39" s="66"/>
      <c r="MEW39" s="66"/>
      <c r="MEX39" s="66"/>
      <c r="MEY39" s="66"/>
      <c r="MEZ39" s="66"/>
      <c r="MFA39" s="66"/>
      <c r="MFB39" s="66"/>
      <c r="MFC39" s="66"/>
      <c r="MFD39" s="66"/>
      <c r="MFE39" s="66"/>
      <c r="MFF39" s="66"/>
      <c r="MFG39" s="66"/>
      <c r="MFH39" s="66"/>
      <c r="MFI39" s="66"/>
      <c r="MFJ39" s="66"/>
      <c r="MFK39" s="66"/>
      <c r="MFL39" s="66"/>
      <c r="MFM39" s="66"/>
      <c r="MFN39" s="66"/>
      <c r="MFO39" s="66"/>
      <c r="MFP39" s="66"/>
      <c r="MFQ39" s="66"/>
      <c r="MFR39" s="66"/>
      <c r="MFS39" s="66"/>
      <c r="MFT39" s="66"/>
      <c r="MFU39" s="66"/>
      <c r="MFV39" s="66"/>
      <c r="MFW39" s="66"/>
      <c r="MFX39" s="66"/>
      <c r="MFY39" s="66"/>
      <c r="MFZ39" s="66"/>
      <c r="MGA39" s="66"/>
      <c r="MGB39" s="66"/>
      <c r="MGC39" s="66"/>
      <c r="MGD39" s="66"/>
      <c r="MGE39" s="66"/>
      <c r="MGF39" s="66"/>
      <c r="MGG39" s="66"/>
      <c r="MGH39" s="66"/>
      <c r="MGI39" s="66"/>
      <c r="MGJ39" s="66"/>
      <c r="MGK39" s="66"/>
      <c r="MGL39" s="66"/>
      <c r="MGM39" s="66"/>
      <c r="MGN39" s="66"/>
      <c r="MGO39" s="66"/>
      <c r="MGP39" s="66"/>
      <c r="MGQ39" s="66"/>
      <c r="MGR39" s="66"/>
      <c r="MGS39" s="66"/>
      <c r="MGT39" s="66"/>
      <c r="MGU39" s="66"/>
      <c r="MGV39" s="66"/>
      <c r="MGW39" s="66"/>
      <c r="MGX39" s="66"/>
      <c r="MGY39" s="66"/>
      <c r="MGZ39" s="66"/>
      <c r="MHA39" s="66"/>
      <c r="MHB39" s="66"/>
      <c r="MHC39" s="66"/>
      <c r="MHD39" s="66"/>
      <c r="MHE39" s="66"/>
      <c r="MHF39" s="66"/>
      <c r="MHG39" s="66"/>
      <c r="MHH39" s="66"/>
      <c r="MHI39" s="66"/>
      <c r="MHJ39" s="66"/>
      <c r="MHK39" s="66"/>
      <c r="MHL39" s="66"/>
      <c r="MHM39" s="66"/>
      <c r="MHN39" s="66"/>
      <c r="MHO39" s="66"/>
      <c r="MHP39" s="66"/>
      <c r="MHQ39" s="66"/>
      <c r="MHR39" s="66"/>
      <c r="MHS39" s="66"/>
      <c r="MHT39" s="66"/>
      <c r="MHU39" s="66"/>
      <c r="MHV39" s="66"/>
      <c r="MHW39" s="66"/>
      <c r="MHX39" s="66"/>
      <c r="MHY39" s="66"/>
      <c r="MHZ39" s="66"/>
      <c r="MIA39" s="66"/>
      <c r="MIB39" s="66"/>
      <c r="MIC39" s="66"/>
      <c r="MID39" s="66"/>
      <c r="MIE39" s="66"/>
      <c r="MIF39" s="66"/>
      <c r="MIG39" s="66"/>
      <c r="MIH39" s="66"/>
      <c r="MII39" s="66"/>
      <c r="MIJ39" s="66"/>
      <c r="MIK39" s="66"/>
      <c r="MIL39" s="66"/>
      <c r="MIM39" s="66"/>
      <c r="MIN39" s="66"/>
      <c r="MIO39" s="66"/>
      <c r="MIP39" s="66"/>
      <c r="MIQ39" s="66"/>
      <c r="MIR39" s="66"/>
      <c r="MIS39" s="66"/>
      <c r="MIT39" s="66"/>
      <c r="MIU39" s="66"/>
      <c r="MIV39" s="66"/>
      <c r="MIW39" s="66"/>
      <c r="MIX39" s="66"/>
      <c r="MIY39" s="66"/>
      <c r="MIZ39" s="66"/>
      <c r="MJA39" s="66"/>
      <c r="MJB39" s="66"/>
      <c r="MJC39" s="66"/>
      <c r="MJD39" s="66"/>
      <c r="MJE39" s="66"/>
      <c r="MJF39" s="66"/>
      <c r="MJG39" s="66"/>
      <c r="MJH39" s="66"/>
      <c r="MJI39" s="66"/>
      <c r="MJJ39" s="66"/>
      <c r="MJK39" s="66"/>
      <c r="MJL39" s="66"/>
      <c r="MJM39" s="66"/>
      <c r="MJN39" s="66"/>
      <c r="MJO39" s="66"/>
      <c r="MJP39" s="66"/>
      <c r="MJQ39" s="66"/>
      <c r="MJR39" s="66"/>
      <c r="MJS39" s="66"/>
      <c r="MJT39" s="66"/>
      <c r="MJU39" s="66"/>
      <c r="MJV39" s="66"/>
      <c r="MJW39" s="66"/>
      <c r="MJX39" s="66"/>
      <c r="MJY39" s="66"/>
      <c r="MJZ39" s="66"/>
      <c r="MKA39" s="66"/>
      <c r="MKB39" s="66"/>
      <c r="MKC39" s="66"/>
      <c r="MKD39" s="66"/>
      <c r="MKE39" s="66"/>
      <c r="MKF39" s="66"/>
      <c r="MKG39" s="66"/>
      <c r="MKH39" s="66"/>
      <c r="MKI39" s="66"/>
      <c r="MKJ39" s="66"/>
      <c r="MKK39" s="66"/>
      <c r="MKL39" s="66"/>
      <c r="MKM39" s="66"/>
      <c r="MKN39" s="66"/>
      <c r="MKO39" s="66"/>
      <c r="MKP39" s="66"/>
      <c r="MKQ39" s="66"/>
      <c r="MKR39" s="66"/>
      <c r="MKS39" s="66"/>
      <c r="MKT39" s="66"/>
      <c r="MKU39" s="66"/>
      <c r="MKV39" s="66"/>
      <c r="MKW39" s="66"/>
      <c r="MKX39" s="66"/>
      <c r="MKY39" s="66"/>
      <c r="MKZ39" s="66"/>
      <c r="MLA39" s="66"/>
      <c r="MLB39" s="66"/>
      <c r="MLC39" s="66"/>
      <c r="MLD39" s="66"/>
      <c r="MLE39" s="66"/>
      <c r="MLF39" s="66"/>
      <c r="MLG39" s="66"/>
      <c r="MLH39" s="66"/>
      <c r="MLI39" s="66"/>
      <c r="MLJ39" s="66"/>
      <c r="MLK39" s="66"/>
      <c r="MLL39" s="66"/>
      <c r="MLM39" s="66"/>
      <c r="MLN39" s="66"/>
      <c r="MLO39" s="66"/>
      <c r="MLP39" s="66"/>
      <c r="MLQ39" s="66"/>
      <c r="MLR39" s="66"/>
      <c r="MLS39" s="66"/>
      <c r="MLT39" s="66"/>
      <c r="MLU39" s="66"/>
      <c r="MLV39" s="66"/>
      <c r="MLW39" s="66"/>
      <c r="MLX39" s="66"/>
      <c r="MLY39" s="66"/>
      <c r="MLZ39" s="66"/>
      <c r="MMA39" s="66"/>
      <c r="MMB39" s="66"/>
      <c r="MMC39" s="66"/>
      <c r="MMD39" s="66"/>
      <c r="MME39" s="66"/>
      <c r="MMF39" s="66"/>
      <c r="MMG39" s="66"/>
      <c r="MMH39" s="66"/>
      <c r="MMI39" s="66"/>
      <c r="MMJ39" s="66"/>
      <c r="MMK39" s="66"/>
      <c r="MML39" s="66"/>
      <c r="MMM39" s="66"/>
      <c r="MMN39" s="66"/>
      <c r="MMO39" s="66"/>
      <c r="MMP39" s="66"/>
      <c r="MMQ39" s="66"/>
      <c r="MMR39" s="66"/>
      <c r="MMS39" s="66"/>
      <c r="MMT39" s="66"/>
      <c r="MMU39" s="66"/>
      <c r="MMV39" s="66"/>
      <c r="MMW39" s="66"/>
      <c r="MMX39" s="66"/>
      <c r="MMY39" s="66"/>
      <c r="MMZ39" s="66"/>
      <c r="MNA39" s="66"/>
      <c r="MNB39" s="66"/>
      <c r="MNC39" s="66"/>
      <c r="MND39" s="66"/>
      <c r="MNE39" s="66"/>
      <c r="MNF39" s="66"/>
      <c r="MNG39" s="66"/>
      <c r="MNH39" s="66"/>
      <c r="MNI39" s="66"/>
      <c r="MNJ39" s="66"/>
      <c r="MNK39" s="66"/>
      <c r="MNL39" s="66"/>
      <c r="MNM39" s="66"/>
      <c r="MNN39" s="66"/>
      <c r="MNO39" s="66"/>
      <c r="MNP39" s="66"/>
      <c r="MNQ39" s="66"/>
      <c r="MNR39" s="66"/>
      <c r="MNS39" s="66"/>
      <c r="MNT39" s="66"/>
      <c r="MNU39" s="66"/>
      <c r="MNV39" s="66"/>
      <c r="MNW39" s="66"/>
      <c r="MNX39" s="66"/>
      <c r="MNY39" s="66"/>
      <c r="MNZ39" s="66"/>
      <c r="MOA39" s="66"/>
      <c r="MOB39" s="66"/>
      <c r="MOC39" s="66"/>
      <c r="MOD39" s="66"/>
      <c r="MOE39" s="66"/>
      <c r="MOF39" s="66"/>
      <c r="MOG39" s="66"/>
      <c r="MOH39" s="66"/>
      <c r="MOI39" s="66"/>
      <c r="MOJ39" s="66"/>
      <c r="MOK39" s="66"/>
      <c r="MOL39" s="66"/>
      <c r="MOM39" s="66"/>
      <c r="MON39" s="66"/>
      <c r="MOO39" s="66"/>
      <c r="MOP39" s="66"/>
      <c r="MOQ39" s="66"/>
      <c r="MOR39" s="66"/>
      <c r="MOS39" s="66"/>
      <c r="MOT39" s="66"/>
      <c r="MOU39" s="66"/>
      <c r="MOV39" s="66"/>
      <c r="MOW39" s="66"/>
      <c r="MOX39" s="66"/>
      <c r="MOY39" s="66"/>
      <c r="MOZ39" s="66"/>
      <c r="MPA39" s="66"/>
      <c r="MPB39" s="66"/>
      <c r="MPC39" s="66"/>
      <c r="MPD39" s="66"/>
      <c r="MPE39" s="66"/>
      <c r="MPF39" s="66"/>
      <c r="MPG39" s="66"/>
      <c r="MPH39" s="66"/>
      <c r="MPI39" s="66"/>
      <c r="MPJ39" s="66"/>
      <c r="MPK39" s="66"/>
      <c r="MPL39" s="66"/>
      <c r="MPM39" s="66"/>
      <c r="MPN39" s="66"/>
      <c r="MPO39" s="66"/>
      <c r="MPP39" s="66"/>
      <c r="MPQ39" s="66"/>
      <c r="MPR39" s="66"/>
      <c r="MPS39" s="66"/>
      <c r="MPT39" s="66"/>
      <c r="MPU39" s="66"/>
      <c r="MPV39" s="66"/>
      <c r="MPW39" s="66"/>
      <c r="MPX39" s="66"/>
      <c r="MPY39" s="66"/>
      <c r="MPZ39" s="66"/>
      <c r="MQA39" s="66"/>
      <c r="MQB39" s="66"/>
      <c r="MQC39" s="66"/>
      <c r="MQD39" s="66"/>
      <c r="MQE39" s="66"/>
      <c r="MQF39" s="66"/>
      <c r="MQG39" s="66"/>
      <c r="MQH39" s="66"/>
      <c r="MQI39" s="66"/>
      <c r="MQJ39" s="66"/>
      <c r="MQK39" s="66"/>
      <c r="MQL39" s="66"/>
      <c r="MQM39" s="66"/>
      <c r="MQN39" s="66"/>
      <c r="MQO39" s="66"/>
      <c r="MQP39" s="66"/>
      <c r="MQQ39" s="66"/>
      <c r="MQR39" s="66"/>
      <c r="MQS39" s="66"/>
      <c r="MQT39" s="66"/>
      <c r="MQU39" s="66"/>
      <c r="MQV39" s="66"/>
      <c r="MQW39" s="66"/>
      <c r="MQX39" s="66"/>
      <c r="MQY39" s="66"/>
      <c r="MQZ39" s="66"/>
      <c r="MRA39" s="66"/>
      <c r="MRB39" s="66"/>
      <c r="MRC39" s="66"/>
      <c r="MRD39" s="66"/>
      <c r="MRE39" s="66"/>
      <c r="MRF39" s="66"/>
      <c r="MRG39" s="66"/>
      <c r="MRH39" s="66"/>
      <c r="MRI39" s="66"/>
      <c r="MRJ39" s="66"/>
      <c r="MRK39" s="66"/>
      <c r="MRL39" s="66"/>
      <c r="MRM39" s="66"/>
      <c r="MRN39" s="66"/>
      <c r="MRO39" s="66"/>
      <c r="MRP39" s="66"/>
      <c r="MRQ39" s="66"/>
      <c r="MRR39" s="66"/>
      <c r="MRS39" s="66"/>
      <c r="MRT39" s="66"/>
      <c r="MRU39" s="66"/>
      <c r="MRV39" s="66"/>
      <c r="MRW39" s="66"/>
      <c r="MRX39" s="66"/>
      <c r="MRY39" s="66"/>
      <c r="MRZ39" s="66"/>
      <c r="MSA39" s="66"/>
      <c r="MSB39" s="66"/>
      <c r="MSC39" s="66"/>
      <c r="MSD39" s="66"/>
      <c r="MSE39" s="66"/>
      <c r="MSF39" s="66"/>
      <c r="MSG39" s="66"/>
      <c r="MSH39" s="66"/>
      <c r="MSI39" s="66"/>
      <c r="MSJ39" s="66"/>
      <c r="MSK39" s="66"/>
      <c r="MSL39" s="66"/>
      <c r="MSM39" s="66"/>
      <c r="MSN39" s="66"/>
      <c r="MSO39" s="66"/>
      <c r="MSP39" s="66"/>
      <c r="MSQ39" s="66"/>
      <c r="MSR39" s="66"/>
      <c r="MSS39" s="66"/>
      <c r="MST39" s="66"/>
      <c r="MSU39" s="66"/>
      <c r="MSV39" s="66"/>
      <c r="MSW39" s="66"/>
      <c r="MSX39" s="66"/>
      <c r="MSY39" s="66"/>
      <c r="MSZ39" s="66"/>
      <c r="MTA39" s="66"/>
      <c r="MTB39" s="66"/>
      <c r="MTC39" s="66"/>
      <c r="MTD39" s="66"/>
      <c r="MTE39" s="66"/>
      <c r="MTF39" s="66"/>
      <c r="MTG39" s="66"/>
      <c r="MTH39" s="66"/>
      <c r="MTI39" s="66"/>
      <c r="MTJ39" s="66"/>
      <c r="MTK39" s="66"/>
      <c r="MTL39" s="66"/>
      <c r="MTM39" s="66"/>
      <c r="MTN39" s="66"/>
      <c r="MTO39" s="66"/>
      <c r="MTP39" s="66"/>
      <c r="MTQ39" s="66"/>
      <c r="MTR39" s="66"/>
      <c r="MTS39" s="66"/>
      <c r="MTT39" s="66"/>
      <c r="MTU39" s="66"/>
      <c r="MTV39" s="66"/>
      <c r="MTW39" s="66"/>
      <c r="MTX39" s="66"/>
      <c r="MTY39" s="66"/>
      <c r="MTZ39" s="66"/>
      <c r="MUA39" s="66"/>
      <c r="MUB39" s="66"/>
      <c r="MUC39" s="66"/>
      <c r="MUD39" s="66"/>
      <c r="MUE39" s="66"/>
      <c r="MUF39" s="66"/>
      <c r="MUG39" s="66"/>
      <c r="MUH39" s="66"/>
      <c r="MUI39" s="66"/>
      <c r="MUJ39" s="66"/>
      <c r="MUK39" s="66"/>
      <c r="MUL39" s="66"/>
      <c r="MUM39" s="66"/>
      <c r="MUN39" s="66"/>
      <c r="MUO39" s="66"/>
      <c r="MUP39" s="66"/>
      <c r="MUQ39" s="66"/>
      <c r="MUR39" s="66"/>
      <c r="MUS39" s="66"/>
      <c r="MUT39" s="66"/>
      <c r="MUU39" s="66"/>
      <c r="MUV39" s="66"/>
      <c r="MUW39" s="66"/>
      <c r="MUX39" s="66"/>
      <c r="MUY39" s="66"/>
      <c r="MUZ39" s="66"/>
      <c r="MVA39" s="66"/>
      <c r="MVB39" s="66"/>
      <c r="MVC39" s="66"/>
      <c r="MVD39" s="66"/>
      <c r="MVE39" s="66"/>
      <c r="MVF39" s="66"/>
      <c r="MVG39" s="66"/>
      <c r="MVH39" s="66"/>
      <c r="MVI39" s="66"/>
      <c r="MVJ39" s="66"/>
      <c r="MVK39" s="66"/>
      <c r="MVL39" s="66"/>
      <c r="MVM39" s="66"/>
      <c r="MVN39" s="66"/>
      <c r="MVO39" s="66"/>
      <c r="MVP39" s="66"/>
      <c r="MVQ39" s="66"/>
      <c r="MVR39" s="66"/>
      <c r="MVS39" s="66"/>
      <c r="MVT39" s="66"/>
      <c r="MVU39" s="66"/>
      <c r="MVV39" s="66"/>
      <c r="MVW39" s="66"/>
      <c r="MVX39" s="66"/>
      <c r="MVY39" s="66"/>
      <c r="MVZ39" s="66"/>
      <c r="MWA39" s="66"/>
      <c r="MWB39" s="66"/>
      <c r="MWC39" s="66"/>
      <c r="MWD39" s="66"/>
      <c r="MWE39" s="66"/>
      <c r="MWF39" s="66"/>
      <c r="MWG39" s="66"/>
      <c r="MWH39" s="66"/>
      <c r="MWI39" s="66"/>
      <c r="MWJ39" s="66"/>
      <c r="MWK39" s="66"/>
      <c r="MWL39" s="66"/>
      <c r="MWM39" s="66"/>
      <c r="MWN39" s="66"/>
      <c r="MWO39" s="66"/>
      <c r="MWP39" s="66"/>
      <c r="MWQ39" s="66"/>
      <c r="MWR39" s="66"/>
      <c r="MWS39" s="66"/>
      <c r="MWT39" s="66"/>
      <c r="MWU39" s="66"/>
      <c r="MWV39" s="66"/>
      <c r="MWW39" s="66"/>
      <c r="MWX39" s="66"/>
      <c r="MWY39" s="66"/>
      <c r="MWZ39" s="66"/>
      <c r="MXA39" s="66"/>
      <c r="MXB39" s="66"/>
      <c r="MXC39" s="66"/>
      <c r="MXD39" s="66"/>
      <c r="MXE39" s="66"/>
      <c r="MXF39" s="66"/>
      <c r="MXG39" s="66"/>
      <c r="MXH39" s="66"/>
      <c r="MXI39" s="66"/>
      <c r="MXJ39" s="66"/>
      <c r="MXK39" s="66"/>
      <c r="MXL39" s="66"/>
      <c r="MXM39" s="66"/>
      <c r="MXN39" s="66"/>
      <c r="MXO39" s="66"/>
      <c r="MXP39" s="66"/>
      <c r="MXQ39" s="66"/>
      <c r="MXR39" s="66"/>
      <c r="MXS39" s="66"/>
      <c r="MXT39" s="66"/>
      <c r="MXU39" s="66"/>
      <c r="MXV39" s="66"/>
      <c r="MXW39" s="66"/>
      <c r="MXX39" s="66"/>
      <c r="MXY39" s="66"/>
      <c r="MXZ39" s="66"/>
      <c r="MYA39" s="66"/>
      <c r="MYB39" s="66"/>
      <c r="MYC39" s="66"/>
      <c r="MYD39" s="66"/>
      <c r="MYE39" s="66"/>
      <c r="MYF39" s="66"/>
      <c r="MYG39" s="66"/>
      <c r="MYH39" s="66"/>
      <c r="MYI39" s="66"/>
      <c r="MYJ39" s="66"/>
      <c r="MYK39" s="66"/>
      <c r="MYL39" s="66"/>
      <c r="MYM39" s="66"/>
      <c r="MYN39" s="66"/>
      <c r="MYO39" s="66"/>
      <c r="MYP39" s="66"/>
      <c r="MYQ39" s="66"/>
      <c r="MYR39" s="66"/>
      <c r="MYS39" s="66"/>
      <c r="MYT39" s="66"/>
      <c r="MYU39" s="66"/>
      <c r="MYV39" s="66"/>
      <c r="MYW39" s="66"/>
      <c r="MYX39" s="66"/>
      <c r="MYY39" s="66"/>
      <c r="MYZ39" s="66"/>
      <c r="MZA39" s="66"/>
      <c r="MZB39" s="66"/>
      <c r="MZC39" s="66"/>
      <c r="MZD39" s="66"/>
      <c r="MZE39" s="66"/>
      <c r="MZF39" s="66"/>
      <c r="MZG39" s="66"/>
      <c r="MZH39" s="66"/>
      <c r="MZI39" s="66"/>
      <c r="MZJ39" s="66"/>
      <c r="MZK39" s="66"/>
      <c r="MZL39" s="66"/>
      <c r="MZM39" s="66"/>
      <c r="MZN39" s="66"/>
      <c r="MZO39" s="66"/>
      <c r="MZP39" s="66"/>
      <c r="MZQ39" s="66"/>
      <c r="MZR39" s="66"/>
      <c r="MZS39" s="66"/>
      <c r="MZT39" s="66"/>
      <c r="MZU39" s="66"/>
      <c r="MZV39" s="66"/>
      <c r="MZW39" s="66"/>
      <c r="MZX39" s="66"/>
      <c r="MZY39" s="66"/>
      <c r="MZZ39" s="66"/>
      <c r="NAA39" s="66"/>
      <c r="NAB39" s="66"/>
      <c r="NAC39" s="66"/>
      <c r="NAD39" s="66"/>
      <c r="NAE39" s="66"/>
      <c r="NAF39" s="66"/>
      <c r="NAG39" s="66"/>
      <c r="NAH39" s="66"/>
      <c r="NAI39" s="66"/>
      <c r="NAJ39" s="66"/>
      <c r="NAK39" s="66"/>
      <c r="NAL39" s="66"/>
      <c r="NAM39" s="66"/>
      <c r="NAN39" s="66"/>
      <c r="NAO39" s="66"/>
      <c r="NAP39" s="66"/>
      <c r="NAQ39" s="66"/>
      <c r="NAR39" s="66"/>
      <c r="NAS39" s="66"/>
      <c r="NAT39" s="66"/>
      <c r="NAU39" s="66"/>
      <c r="NAV39" s="66"/>
      <c r="NAW39" s="66"/>
      <c r="NAX39" s="66"/>
      <c r="NAY39" s="66"/>
      <c r="NAZ39" s="66"/>
      <c r="NBA39" s="66"/>
      <c r="NBB39" s="66"/>
      <c r="NBC39" s="66"/>
      <c r="NBD39" s="66"/>
      <c r="NBE39" s="66"/>
      <c r="NBF39" s="66"/>
      <c r="NBG39" s="66"/>
      <c r="NBH39" s="66"/>
      <c r="NBI39" s="66"/>
      <c r="NBJ39" s="66"/>
      <c r="NBK39" s="66"/>
      <c r="NBL39" s="66"/>
      <c r="NBM39" s="66"/>
      <c r="NBN39" s="66"/>
      <c r="NBO39" s="66"/>
      <c r="NBP39" s="66"/>
      <c r="NBQ39" s="66"/>
      <c r="NBR39" s="66"/>
      <c r="NBS39" s="66"/>
      <c r="NBT39" s="66"/>
      <c r="NBU39" s="66"/>
      <c r="NBV39" s="66"/>
      <c r="NBW39" s="66"/>
      <c r="NBX39" s="66"/>
      <c r="NBY39" s="66"/>
      <c r="NBZ39" s="66"/>
      <c r="NCA39" s="66"/>
      <c r="NCB39" s="66"/>
      <c r="NCC39" s="66"/>
      <c r="NCD39" s="66"/>
      <c r="NCE39" s="66"/>
      <c r="NCF39" s="66"/>
      <c r="NCG39" s="66"/>
      <c r="NCH39" s="66"/>
      <c r="NCI39" s="66"/>
      <c r="NCJ39" s="66"/>
      <c r="NCK39" s="66"/>
      <c r="NCL39" s="66"/>
      <c r="NCM39" s="66"/>
      <c r="NCN39" s="66"/>
      <c r="NCO39" s="66"/>
      <c r="NCP39" s="66"/>
      <c r="NCQ39" s="66"/>
      <c r="NCR39" s="66"/>
      <c r="NCS39" s="66"/>
      <c r="NCT39" s="66"/>
      <c r="NCU39" s="66"/>
      <c r="NCV39" s="66"/>
      <c r="NCW39" s="66"/>
      <c r="NCX39" s="66"/>
      <c r="NCY39" s="66"/>
      <c r="NCZ39" s="66"/>
      <c r="NDA39" s="66"/>
      <c r="NDB39" s="66"/>
      <c r="NDC39" s="66"/>
      <c r="NDD39" s="66"/>
      <c r="NDE39" s="66"/>
      <c r="NDF39" s="66"/>
      <c r="NDG39" s="66"/>
      <c r="NDH39" s="66"/>
      <c r="NDI39" s="66"/>
      <c r="NDJ39" s="66"/>
      <c r="NDK39" s="66"/>
      <c r="NDL39" s="66"/>
      <c r="NDM39" s="66"/>
      <c r="NDN39" s="66"/>
      <c r="NDO39" s="66"/>
      <c r="NDP39" s="66"/>
      <c r="NDQ39" s="66"/>
      <c r="NDR39" s="66"/>
      <c r="NDS39" s="66"/>
      <c r="NDT39" s="66"/>
      <c r="NDU39" s="66"/>
      <c r="NDV39" s="66"/>
      <c r="NDW39" s="66"/>
      <c r="NDX39" s="66"/>
      <c r="NDY39" s="66"/>
      <c r="NDZ39" s="66"/>
      <c r="NEA39" s="66"/>
      <c r="NEB39" s="66"/>
      <c r="NEC39" s="66"/>
      <c r="NED39" s="66"/>
      <c r="NEE39" s="66"/>
      <c r="NEF39" s="66"/>
      <c r="NEG39" s="66"/>
      <c r="NEH39" s="66"/>
      <c r="NEI39" s="66"/>
      <c r="NEJ39" s="66"/>
      <c r="NEK39" s="66"/>
      <c r="NEL39" s="66"/>
      <c r="NEM39" s="66"/>
      <c r="NEN39" s="66"/>
      <c r="NEO39" s="66"/>
      <c r="NEP39" s="66"/>
      <c r="NEQ39" s="66"/>
      <c r="NER39" s="66"/>
      <c r="NES39" s="66"/>
      <c r="NET39" s="66"/>
      <c r="NEU39" s="66"/>
      <c r="NEV39" s="66"/>
      <c r="NEW39" s="66"/>
      <c r="NEX39" s="66"/>
      <c r="NEY39" s="66"/>
      <c r="NEZ39" s="66"/>
      <c r="NFA39" s="66"/>
      <c r="NFB39" s="66"/>
      <c r="NFC39" s="66"/>
      <c r="NFD39" s="66"/>
      <c r="NFE39" s="66"/>
      <c r="NFF39" s="66"/>
      <c r="NFG39" s="66"/>
      <c r="NFH39" s="66"/>
      <c r="NFI39" s="66"/>
      <c r="NFJ39" s="66"/>
      <c r="NFK39" s="66"/>
      <c r="NFL39" s="66"/>
      <c r="NFM39" s="66"/>
      <c r="NFN39" s="66"/>
      <c r="NFO39" s="66"/>
      <c r="NFP39" s="66"/>
      <c r="NFQ39" s="66"/>
      <c r="NFR39" s="66"/>
      <c r="NFS39" s="66"/>
      <c r="NFT39" s="66"/>
      <c r="NFU39" s="66"/>
      <c r="NFV39" s="66"/>
      <c r="NFW39" s="66"/>
      <c r="NFX39" s="66"/>
      <c r="NFY39" s="66"/>
      <c r="NFZ39" s="66"/>
      <c r="NGA39" s="66"/>
      <c r="NGB39" s="66"/>
      <c r="NGC39" s="66"/>
      <c r="NGD39" s="66"/>
      <c r="NGE39" s="66"/>
      <c r="NGF39" s="66"/>
      <c r="NGG39" s="66"/>
      <c r="NGH39" s="66"/>
      <c r="NGI39" s="66"/>
      <c r="NGJ39" s="66"/>
      <c r="NGK39" s="66"/>
      <c r="NGL39" s="66"/>
      <c r="NGM39" s="66"/>
      <c r="NGN39" s="66"/>
      <c r="NGO39" s="66"/>
      <c r="NGP39" s="66"/>
      <c r="NGQ39" s="66"/>
      <c r="NGR39" s="66"/>
      <c r="NGS39" s="66"/>
      <c r="NGT39" s="66"/>
      <c r="NGU39" s="66"/>
      <c r="NGV39" s="66"/>
      <c r="NGW39" s="66"/>
      <c r="NGX39" s="66"/>
      <c r="NGY39" s="66"/>
      <c r="NGZ39" s="66"/>
      <c r="NHA39" s="66"/>
      <c r="NHB39" s="66"/>
      <c r="NHC39" s="66"/>
      <c r="NHD39" s="66"/>
      <c r="NHE39" s="66"/>
      <c r="NHF39" s="66"/>
      <c r="NHG39" s="66"/>
      <c r="NHH39" s="66"/>
      <c r="NHI39" s="66"/>
      <c r="NHJ39" s="66"/>
      <c r="NHK39" s="66"/>
      <c r="NHL39" s="66"/>
      <c r="NHM39" s="66"/>
      <c r="NHN39" s="66"/>
      <c r="NHO39" s="66"/>
      <c r="NHP39" s="66"/>
      <c r="NHQ39" s="66"/>
      <c r="NHR39" s="66"/>
      <c r="NHS39" s="66"/>
      <c r="NHT39" s="66"/>
      <c r="NHU39" s="66"/>
      <c r="NHV39" s="66"/>
      <c r="NHW39" s="66"/>
      <c r="NHX39" s="66"/>
      <c r="NHY39" s="66"/>
      <c r="NHZ39" s="66"/>
      <c r="NIA39" s="66"/>
      <c r="NIB39" s="66"/>
      <c r="NIC39" s="66"/>
      <c r="NID39" s="66"/>
      <c r="NIE39" s="66"/>
      <c r="NIF39" s="66"/>
      <c r="NIG39" s="66"/>
      <c r="NIH39" s="66"/>
      <c r="NII39" s="66"/>
      <c r="NIJ39" s="66"/>
      <c r="NIK39" s="66"/>
      <c r="NIL39" s="66"/>
      <c r="NIM39" s="66"/>
      <c r="NIN39" s="66"/>
      <c r="NIO39" s="66"/>
      <c r="NIP39" s="66"/>
      <c r="NIQ39" s="66"/>
      <c r="NIR39" s="66"/>
      <c r="NIS39" s="66"/>
      <c r="NIT39" s="66"/>
      <c r="NIU39" s="66"/>
      <c r="NIV39" s="66"/>
      <c r="NIW39" s="66"/>
      <c r="NIX39" s="66"/>
      <c r="NIY39" s="66"/>
      <c r="NIZ39" s="66"/>
      <c r="NJA39" s="66"/>
      <c r="NJB39" s="66"/>
      <c r="NJC39" s="66"/>
      <c r="NJD39" s="66"/>
      <c r="NJE39" s="66"/>
      <c r="NJF39" s="66"/>
      <c r="NJG39" s="66"/>
      <c r="NJH39" s="66"/>
      <c r="NJI39" s="66"/>
      <c r="NJJ39" s="66"/>
      <c r="NJK39" s="66"/>
      <c r="NJL39" s="66"/>
      <c r="NJM39" s="66"/>
      <c r="NJN39" s="66"/>
      <c r="NJO39" s="66"/>
      <c r="NJP39" s="66"/>
      <c r="NJQ39" s="66"/>
      <c r="NJR39" s="66"/>
      <c r="NJS39" s="66"/>
      <c r="NJT39" s="66"/>
      <c r="NJU39" s="66"/>
      <c r="NJV39" s="66"/>
      <c r="NJW39" s="66"/>
      <c r="NJX39" s="66"/>
      <c r="NJY39" s="66"/>
      <c r="NJZ39" s="66"/>
      <c r="NKA39" s="66"/>
      <c r="NKB39" s="66"/>
      <c r="NKC39" s="66"/>
      <c r="NKD39" s="66"/>
      <c r="NKE39" s="66"/>
      <c r="NKF39" s="66"/>
      <c r="NKG39" s="66"/>
      <c r="NKH39" s="66"/>
      <c r="NKI39" s="66"/>
      <c r="NKJ39" s="66"/>
      <c r="NKK39" s="66"/>
      <c r="NKL39" s="66"/>
      <c r="NKM39" s="66"/>
      <c r="NKN39" s="66"/>
      <c r="NKO39" s="66"/>
      <c r="NKP39" s="66"/>
      <c r="NKQ39" s="66"/>
      <c r="NKR39" s="66"/>
      <c r="NKS39" s="66"/>
      <c r="NKT39" s="66"/>
      <c r="NKU39" s="66"/>
      <c r="NKV39" s="66"/>
      <c r="NKW39" s="66"/>
      <c r="NKX39" s="66"/>
      <c r="NKY39" s="66"/>
      <c r="NKZ39" s="66"/>
      <c r="NLA39" s="66"/>
      <c r="NLB39" s="66"/>
      <c r="NLC39" s="66"/>
      <c r="NLD39" s="66"/>
      <c r="NLE39" s="66"/>
      <c r="NLF39" s="66"/>
      <c r="NLG39" s="66"/>
      <c r="NLH39" s="66"/>
      <c r="NLI39" s="66"/>
      <c r="NLJ39" s="66"/>
      <c r="NLK39" s="66"/>
      <c r="NLL39" s="66"/>
      <c r="NLM39" s="66"/>
      <c r="NLN39" s="66"/>
      <c r="NLO39" s="66"/>
      <c r="NLP39" s="66"/>
      <c r="NLQ39" s="66"/>
      <c r="NLR39" s="66"/>
      <c r="NLS39" s="66"/>
      <c r="NLT39" s="66"/>
      <c r="NLU39" s="66"/>
      <c r="NLV39" s="66"/>
      <c r="NLW39" s="66"/>
      <c r="NLX39" s="66"/>
      <c r="NLY39" s="66"/>
      <c r="NLZ39" s="66"/>
      <c r="NMA39" s="66"/>
      <c r="NMB39" s="66"/>
      <c r="NMC39" s="66"/>
      <c r="NMD39" s="66"/>
      <c r="NME39" s="66"/>
      <c r="NMF39" s="66"/>
      <c r="NMG39" s="66"/>
      <c r="NMH39" s="66"/>
      <c r="NMI39" s="66"/>
      <c r="NMJ39" s="66"/>
      <c r="NMK39" s="66"/>
      <c r="NML39" s="66"/>
      <c r="NMM39" s="66"/>
      <c r="NMN39" s="66"/>
      <c r="NMO39" s="66"/>
      <c r="NMP39" s="66"/>
      <c r="NMQ39" s="66"/>
      <c r="NMR39" s="66"/>
      <c r="NMS39" s="66"/>
      <c r="NMT39" s="66"/>
      <c r="NMU39" s="66"/>
      <c r="NMV39" s="66"/>
      <c r="NMW39" s="66"/>
      <c r="NMX39" s="66"/>
      <c r="NMY39" s="66"/>
      <c r="NMZ39" s="66"/>
      <c r="NNA39" s="66"/>
      <c r="NNB39" s="66"/>
      <c r="NNC39" s="66"/>
      <c r="NND39" s="66"/>
      <c r="NNE39" s="66"/>
      <c r="NNF39" s="66"/>
      <c r="NNG39" s="66"/>
      <c r="NNH39" s="66"/>
      <c r="NNI39" s="66"/>
      <c r="NNJ39" s="66"/>
      <c r="NNK39" s="66"/>
      <c r="NNL39" s="66"/>
      <c r="NNM39" s="66"/>
      <c r="NNN39" s="66"/>
      <c r="NNO39" s="66"/>
      <c r="NNP39" s="66"/>
      <c r="NNQ39" s="66"/>
      <c r="NNR39" s="66"/>
      <c r="NNS39" s="66"/>
      <c r="NNT39" s="66"/>
      <c r="NNU39" s="66"/>
      <c r="NNV39" s="66"/>
      <c r="NNW39" s="66"/>
      <c r="NNX39" s="66"/>
      <c r="NNY39" s="66"/>
      <c r="NNZ39" s="66"/>
      <c r="NOA39" s="66"/>
      <c r="NOB39" s="66"/>
      <c r="NOC39" s="66"/>
      <c r="NOD39" s="66"/>
      <c r="NOE39" s="66"/>
      <c r="NOF39" s="66"/>
      <c r="NOG39" s="66"/>
      <c r="NOH39" s="66"/>
      <c r="NOI39" s="66"/>
      <c r="NOJ39" s="66"/>
      <c r="NOK39" s="66"/>
      <c r="NOL39" s="66"/>
      <c r="NOM39" s="66"/>
      <c r="NON39" s="66"/>
      <c r="NOO39" s="66"/>
      <c r="NOP39" s="66"/>
      <c r="NOQ39" s="66"/>
      <c r="NOR39" s="66"/>
      <c r="NOS39" s="66"/>
      <c r="NOT39" s="66"/>
      <c r="NOU39" s="66"/>
      <c r="NOV39" s="66"/>
      <c r="NOW39" s="66"/>
      <c r="NOX39" s="66"/>
      <c r="NOY39" s="66"/>
      <c r="NOZ39" s="66"/>
      <c r="NPA39" s="66"/>
      <c r="NPB39" s="66"/>
      <c r="NPC39" s="66"/>
      <c r="NPD39" s="66"/>
      <c r="NPE39" s="66"/>
      <c r="NPF39" s="66"/>
      <c r="NPG39" s="66"/>
      <c r="NPH39" s="66"/>
      <c r="NPI39" s="66"/>
      <c r="NPJ39" s="66"/>
      <c r="NPK39" s="66"/>
      <c r="NPL39" s="66"/>
      <c r="NPM39" s="66"/>
      <c r="NPN39" s="66"/>
      <c r="NPO39" s="66"/>
      <c r="NPP39" s="66"/>
      <c r="NPQ39" s="66"/>
      <c r="NPR39" s="66"/>
      <c r="NPS39" s="66"/>
      <c r="NPT39" s="66"/>
      <c r="NPU39" s="66"/>
      <c r="NPV39" s="66"/>
      <c r="NPW39" s="66"/>
      <c r="NPX39" s="66"/>
      <c r="NPY39" s="66"/>
      <c r="NPZ39" s="66"/>
      <c r="NQA39" s="66"/>
      <c r="NQB39" s="66"/>
      <c r="NQC39" s="66"/>
      <c r="NQD39" s="66"/>
      <c r="NQE39" s="66"/>
      <c r="NQF39" s="66"/>
      <c r="NQG39" s="66"/>
      <c r="NQH39" s="66"/>
      <c r="NQI39" s="66"/>
      <c r="NQJ39" s="66"/>
      <c r="NQK39" s="66"/>
      <c r="NQL39" s="66"/>
      <c r="NQM39" s="66"/>
      <c r="NQN39" s="66"/>
      <c r="NQO39" s="66"/>
      <c r="NQP39" s="66"/>
      <c r="NQQ39" s="66"/>
      <c r="NQR39" s="66"/>
      <c r="NQS39" s="66"/>
      <c r="NQT39" s="66"/>
      <c r="NQU39" s="66"/>
      <c r="NQV39" s="66"/>
      <c r="NQW39" s="66"/>
      <c r="NQX39" s="66"/>
      <c r="NQY39" s="66"/>
      <c r="NQZ39" s="66"/>
      <c r="NRA39" s="66"/>
      <c r="NRB39" s="66"/>
      <c r="NRC39" s="66"/>
      <c r="NRD39" s="66"/>
      <c r="NRE39" s="66"/>
      <c r="NRF39" s="66"/>
      <c r="NRG39" s="66"/>
      <c r="NRH39" s="66"/>
      <c r="NRI39" s="66"/>
      <c r="NRJ39" s="66"/>
      <c r="NRK39" s="66"/>
      <c r="NRL39" s="66"/>
      <c r="NRM39" s="66"/>
      <c r="NRN39" s="66"/>
      <c r="NRO39" s="66"/>
      <c r="NRP39" s="66"/>
      <c r="NRQ39" s="66"/>
      <c r="NRR39" s="66"/>
      <c r="NRS39" s="66"/>
      <c r="NRT39" s="66"/>
      <c r="NRU39" s="66"/>
      <c r="NRV39" s="66"/>
      <c r="NRW39" s="66"/>
      <c r="NRX39" s="66"/>
      <c r="NRY39" s="66"/>
      <c r="NRZ39" s="66"/>
      <c r="NSA39" s="66"/>
      <c r="NSB39" s="66"/>
      <c r="NSC39" s="66"/>
      <c r="NSD39" s="66"/>
      <c r="NSE39" s="66"/>
      <c r="NSF39" s="66"/>
      <c r="NSG39" s="66"/>
      <c r="NSH39" s="66"/>
      <c r="NSI39" s="66"/>
      <c r="NSJ39" s="66"/>
      <c r="NSK39" s="66"/>
      <c r="NSL39" s="66"/>
      <c r="NSM39" s="66"/>
      <c r="NSN39" s="66"/>
      <c r="NSO39" s="66"/>
      <c r="NSP39" s="66"/>
      <c r="NSQ39" s="66"/>
      <c r="NSR39" s="66"/>
      <c r="NSS39" s="66"/>
      <c r="NST39" s="66"/>
      <c r="NSU39" s="66"/>
      <c r="NSV39" s="66"/>
      <c r="NSW39" s="66"/>
      <c r="NSX39" s="66"/>
      <c r="NSY39" s="66"/>
      <c r="NSZ39" s="66"/>
      <c r="NTA39" s="66"/>
      <c r="NTB39" s="66"/>
      <c r="NTC39" s="66"/>
      <c r="NTD39" s="66"/>
      <c r="NTE39" s="66"/>
      <c r="NTF39" s="66"/>
      <c r="NTG39" s="66"/>
      <c r="NTH39" s="66"/>
      <c r="NTI39" s="66"/>
      <c r="NTJ39" s="66"/>
      <c r="NTK39" s="66"/>
      <c r="NTL39" s="66"/>
      <c r="NTM39" s="66"/>
      <c r="NTN39" s="66"/>
      <c r="NTO39" s="66"/>
      <c r="NTP39" s="66"/>
      <c r="NTQ39" s="66"/>
      <c r="NTR39" s="66"/>
      <c r="NTS39" s="66"/>
      <c r="NTT39" s="66"/>
      <c r="NTU39" s="66"/>
      <c r="NTV39" s="66"/>
      <c r="NTW39" s="66"/>
      <c r="NTX39" s="66"/>
      <c r="NTY39" s="66"/>
      <c r="NTZ39" s="66"/>
      <c r="NUA39" s="66"/>
      <c r="NUB39" s="66"/>
      <c r="NUC39" s="66"/>
      <c r="NUD39" s="66"/>
      <c r="NUE39" s="66"/>
      <c r="NUF39" s="66"/>
      <c r="NUG39" s="66"/>
      <c r="NUH39" s="66"/>
      <c r="NUI39" s="66"/>
      <c r="NUJ39" s="66"/>
      <c r="NUK39" s="66"/>
      <c r="NUL39" s="66"/>
      <c r="NUM39" s="66"/>
      <c r="NUN39" s="66"/>
      <c r="NUO39" s="66"/>
      <c r="NUP39" s="66"/>
      <c r="NUQ39" s="66"/>
      <c r="NUR39" s="66"/>
      <c r="NUS39" s="66"/>
      <c r="NUT39" s="66"/>
      <c r="NUU39" s="66"/>
      <c r="NUV39" s="66"/>
      <c r="NUW39" s="66"/>
      <c r="NUX39" s="66"/>
      <c r="NUY39" s="66"/>
      <c r="NUZ39" s="66"/>
      <c r="NVA39" s="66"/>
      <c r="NVB39" s="66"/>
      <c r="NVC39" s="66"/>
      <c r="NVD39" s="66"/>
      <c r="NVE39" s="66"/>
      <c r="NVF39" s="66"/>
      <c r="NVG39" s="66"/>
      <c r="NVH39" s="66"/>
      <c r="NVI39" s="66"/>
      <c r="NVJ39" s="66"/>
      <c r="NVK39" s="66"/>
      <c r="NVL39" s="66"/>
      <c r="NVM39" s="66"/>
      <c r="NVN39" s="66"/>
      <c r="NVO39" s="66"/>
      <c r="NVP39" s="66"/>
      <c r="NVQ39" s="66"/>
      <c r="NVR39" s="66"/>
      <c r="NVS39" s="66"/>
      <c r="NVT39" s="66"/>
      <c r="NVU39" s="66"/>
      <c r="NVV39" s="66"/>
      <c r="NVW39" s="66"/>
      <c r="NVX39" s="66"/>
      <c r="NVY39" s="66"/>
      <c r="NVZ39" s="66"/>
      <c r="NWA39" s="66"/>
      <c r="NWB39" s="66"/>
      <c r="NWC39" s="66"/>
      <c r="NWD39" s="66"/>
      <c r="NWE39" s="66"/>
      <c r="NWF39" s="66"/>
      <c r="NWG39" s="66"/>
      <c r="NWH39" s="66"/>
      <c r="NWI39" s="66"/>
      <c r="NWJ39" s="66"/>
      <c r="NWK39" s="66"/>
      <c r="NWL39" s="66"/>
      <c r="NWM39" s="66"/>
      <c r="NWN39" s="66"/>
      <c r="NWO39" s="66"/>
      <c r="NWP39" s="66"/>
      <c r="NWQ39" s="66"/>
      <c r="NWR39" s="66"/>
      <c r="NWS39" s="66"/>
      <c r="NWT39" s="66"/>
      <c r="NWU39" s="66"/>
      <c r="NWV39" s="66"/>
      <c r="NWW39" s="66"/>
      <c r="NWX39" s="66"/>
      <c r="NWY39" s="66"/>
      <c r="NWZ39" s="66"/>
      <c r="NXA39" s="66"/>
      <c r="NXB39" s="66"/>
      <c r="NXC39" s="66"/>
      <c r="NXD39" s="66"/>
      <c r="NXE39" s="66"/>
      <c r="NXF39" s="66"/>
      <c r="NXG39" s="66"/>
      <c r="NXH39" s="66"/>
      <c r="NXI39" s="66"/>
      <c r="NXJ39" s="66"/>
      <c r="NXK39" s="66"/>
      <c r="NXL39" s="66"/>
      <c r="NXM39" s="66"/>
      <c r="NXN39" s="66"/>
      <c r="NXO39" s="66"/>
      <c r="NXP39" s="66"/>
      <c r="NXQ39" s="66"/>
      <c r="NXR39" s="66"/>
      <c r="NXS39" s="66"/>
      <c r="NXT39" s="66"/>
      <c r="NXU39" s="66"/>
      <c r="NXV39" s="66"/>
      <c r="NXW39" s="66"/>
      <c r="NXX39" s="66"/>
      <c r="NXY39" s="66"/>
      <c r="NXZ39" s="66"/>
      <c r="NYA39" s="66"/>
      <c r="NYB39" s="66"/>
      <c r="NYC39" s="66"/>
      <c r="NYD39" s="66"/>
      <c r="NYE39" s="66"/>
      <c r="NYF39" s="66"/>
      <c r="NYG39" s="66"/>
      <c r="NYH39" s="66"/>
      <c r="NYI39" s="66"/>
      <c r="NYJ39" s="66"/>
      <c r="NYK39" s="66"/>
      <c r="NYL39" s="66"/>
      <c r="NYM39" s="66"/>
      <c r="NYN39" s="66"/>
      <c r="NYO39" s="66"/>
      <c r="NYP39" s="66"/>
      <c r="NYQ39" s="66"/>
      <c r="NYR39" s="66"/>
      <c r="NYS39" s="66"/>
      <c r="NYT39" s="66"/>
      <c r="NYU39" s="66"/>
      <c r="NYV39" s="66"/>
      <c r="NYW39" s="66"/>
      <c r="NYX39" s="66"/>
      <c r="NYY39" s="66"/>
      <c r="NYZ39" s="66"/>
      <c r="NZA39" s="66"/>
      <c r="NZB39" s="66"/>
      <c r="NZC39" s="66"/>
      <c r="NZD39" s="66"/>
      <c r="NZE39" s="66"/>
      <c r="NZF39" s="66"/>
      <c r="NZG39" s="66"/>
      <c r="NZH39" s="66"/>
      <c r="NZI39" s="66"/>
      <c r="NZJ39" s="66"/>
      <c r="NZK39" s="66"/>
      <c r="NZL39" s="66"/>
      <c r="NZM39" s="66"/>
      <c r="NZN39" s="66"/>
      <c r="NZO39" s="66"/>
      <c r="NZP39" s="66"/>
      <c r="NZQ39" s="66"/>
      <c r="NZR39" s="66"/>
      <c r="NZS39" s="66"/>
      <c r="NZT39" s="66"/>
      <c r="NZU39" s="66"/>
      <c r="NZV39" s="66"/>
      <c r="NZW39" s="66"/>
      <c r="NZX39" s="66"/>
      <c r="NZY39" s="66"/>
      <c r="NZZ39" s="66"/>
      <c r="OAA39" s="66"/>
      <c r="OAB39" s="66"/>
      <c r="OAC39" s="66"/>
      <c r="OAD39" s="66"/>
      <c r="OAE39" s="66"/>
      <c r="OAF39" s="66"/>
      <c r="OAG39" s="66"/>
      <c r="OAH39" s="66"/>
      <c r="OAI39" s="66"/>
      <c r="OAJ39" s="66"/>
      <c r="OAK39" s="66"/>
      <c r="OAL39" s="66"/>
      <c r="OAM39" s="66"/>
      <c r="OAN39" s="66"/>
      <c r="OAO39" s="66"/>
      <c r="OAP39" s="66"/>
      <c r="OAQ39" s="66"/>
      <c r="OAR39" s="66"/>
      <c r="OAS39" s="66"/>
      <c r="OAT39" s="66"/>
      <c r="OAU39" s="66"/>
      <c r="OAV39" s="66"/>
      <c r="OAW39" s="66"/>
      <c r="OAX39" s="66"/>
      <c r="OAY39" s="66"/>
      <c r="OAZ39" s="66"/>
      <c r="OBA39" s="66"/>
      <c r="OBB39" s="66"/>
      <c r="OBC39" s="66"/>
      <c r="OBD39" s="66"/>
      <c r="OBE39" s="66"/>
      <c r="OBF39" s="66"/>
      <c r="OBG39" s="66"/>
      <c r="OBH39" s="66"/>
      <c r="OBI39" s="66"/>
      <c r="OBJ39" s="66"/>
      <c r="OBK39" s="66"/>
      <c r="OBL39" s="66"/>
      <c r="OBM39" s="66"/>
      <c r="OBN39" s="66"/>
      <c r="OBO39" s="66"/>
      <c r="OBP39" s="66"/>
      <c r="OBQ39" s="66"/>
      <c r="OBR39" s="66"/>
      <c r="OBS39" s="66"/>
      <c r="OBT39" s="66"/>
      <c r="OBU39" s="66"/>
      <c r="OBV39" s="66"/>
      <c r="OBW39" s="66"/>
      <c r="OBX39" s="66"/>
      <c r="OBY39" s="66"/>
      <c r="OBZ39" s="66"/>
      <c r="OCA39" s="66"/>
      <c r="OCB39" s="66"/>
      <c r="OCC39" s="66"/>
      <c r="OCD39" s="66"/>
      <c r="OCE39" s="66"/>
      <c r="OCF39" s="66"/>
      <c r="OCG39" s="66"/>
      <c r="OCH39" s="66"/>
      <c r="OCI39" s="66"/>
      <c r="OCJ39" s="66"/>
      <c r="OCK39" s="66"/>
      <c r="OCL39" s="66"/>
      <c r="OCM39" s="66"/>
      <c r="OCN39" s="66"/>
      <c r="OCO39" s="66"/>
      <c r="OCP39" s="66"/>
      <c r="OCQ39" s="66"/>
      <c r="OCR39" s="66"/>
      <c r="OCS39" s="66"/>
      <c r="OCT39" s="66"/>
      <c r="OCU39" s="66"/>
      <c r="OCV39" s="66"/>
      <c r="OCW39" s="66"/>
      <c r="OCX39" s="66"/>
      <c r="OCY39" s="66"/>
      <c r="OCZ39" s="66"/>
      <c r="ODA39" s="66"/>
      <c r="ODB39" s="66"/>
      <c r="ODC39" s="66"/>
      <c r="ODD39" s="66"/>
      <c r="ODE39" s="66"/>
      <c r="ODF39" s="66"/>
      <c r="ODG39" s="66"/>
      <c r="ODH39" s="66"/>
      <c r="ODI39" s="66"/>
      <c r="ODJ39" s="66"/>
      <c r="ODK39" s="66"/>
      <c r="ODL39" s="66"/>
      <c r="ODM39" s="66"/>
      <c r="ODN39" s="66"/>
      <c r="ODO39" s="66"/>
      <c r="ODP39" s="66"/>
      <c r="ODQ39" s="66"/>
      <c r="ODR39" s="66"/>
      <c r="ODS39" s="66"/>
      <c r="ODT39" s="66"/>
      <c r="ODU39" s="66"/>
      <c r="ODV39" s="66"/>
      <c r="ODW39" s="66"/>
      <c r="ODX39" s="66"/>
      <c r="ODY39" s="66"/>
      <c r="ODZ39" s="66"/>
      <c r="OEA39" s="66"/>
      <c r="OEB39" s="66"/>
      <c r="OEC39" s="66"/>
      <c r="OED39" s="66"/>
      <c r="OEE39" s="66"/>
      <c r="OEF39" s="66"/>
      <c r="OEG39" s="66"/>
      <c r="OEH39" s="66"/>
      <c r="OEI39" s="66"/>
      <c r="OEJ39" s="66"/>
      <c r="OEK39" s="66"/>
      <c r="OEL39" s="66"/>
      <c r="OEM39" s="66"/>
      <c r="OEN39" s="66"/>
      <c r="OEO39" s="66"/>
      <c r="OEP39" s="66"/>
      <c r="OEQ39" s="66"/>
      <c r="OER39" s="66"/>
      <c r="OES39" s="66"/>
      <c r="OET39" s="66"/>
      <c r="OEU39" s="66"/>
      <c r="OEV39" s="66"/>
      <c r="OEW39" s="66"/>
      <c r="OEX39" s="66"/>
      <c r="OEY39" s="66"/>
      <c r="OEZ39" s="66"/>
      <c r="OFA39" s="66"/>
      <c r="OFB39" s="66"/>
      <c r="OFC39" s="66"/>
      <c r="OFD39" s="66"/>
      <c r="OFE39" s="66"/>
      <c r="OFF39" s="66"/>
      <c r="OFG39" s="66"/>
      <c r="OFH39" s="66"/>
      <c r="OFI39" s="66"/>
      <c r="OFJ39" s="66"/>
      <c r="OFK39" s="66"/>
      <c r="OFL39" s="66"/>
      <c r="OFM39" s="66"/>
      <c r="OFN39" s="66"/>
      <c r="OFO39" s="66"/>
      <c r="OFP39" s="66"/>
      <c r="OFQ39" s="66"/>
      <c r="OFR39" s="66"/>
      <c r="OFS39" s="66"/>
      <c r="OFT39" s="66"/>
      <c r="OFU39" s="66"/>
      <c r="OFV39" s="66"/>
      <c r="OFW39" s="66"/>
      <c r="OFX39" s="66"/>
      <c r="OFY39" s="66"/>
      <c r="OFZ39" s="66"/>
      <c r="OGA39" s="66"/>
      <c r="OGB39" s="66"/>
      <c r="OGC39" s="66"/>
      <c r="OGD39" s="66"/>
      <c r="OGE39" s="66"/>
      <c r="OGF39" s="66"/>
      <c r="OGG39" s="66"/>
      <c r="OGH39" s="66"/>
      <c r="OGI39" s="66"/>
      <c r="OGJ39" s="66"/>
      <c r="OGK39" s="66"/>
      <c r="OGL39" s="66"/>
      <c r="OGM39" s="66"/>
      <c r="OGN39" s="66"/>
      <c r="OGO39" s="66"/>
      <c r="OGP39" s="66"/>
      <c r="OGQ39" s="66"/>
      <c r="OGR39" s="66"/>
      <c r="OGS39" s="66"/>
      <c r="OGT39" s="66"/>
      <c r="OGU39" s="66"/>
      <c r="OGV39" s="66"/>
      <c r="OGW39" s="66"/>
      <c r="OGX39" s="66"/>
      <c r="OGY39" s="66"/>
      <c r="OGZ39" s="66"/>
      <c r="OHA39" s="66"/>
      <c r="OHB39" s="66"/>
      <c r="OHC39" s="66"/>
      <c r="OHD39" s="66"/>
      <c r="OHE39" s="66"/>
      <c r="OHF39" s="66"/>
      <c r="OHG39" s="66"/>
      <c r="OHH39" s="66"/>
      <c r="OHI39" s="66"/>
      <c r="OHJ39" s="66"/>
      <c r="OHK39" s="66"/>
      <c r="OHL39" s="66"/>
      <c r="OHM39" s="66"/>
      <c r="OHN39" s="66"/>
      <c r="OHO39" s="66"/>
      <c r="OHP39" s="66"/>
      <c r="OHQ39" s="66"/>
      <c r="OHR39" s="66"/>
      <c r="OHS39" s="66"/>
      <c r="OHT39" s="66"/>
      <c r="OHU39" s="66"/>
      <c r="OHV39" s="66"/>
      <c r="OHW39" s="66"/>
      <c r="OHX39" s="66"/>
      <c r="OHY39" s="66"/>
      <c r="OHZ39" s="66"/>
      <c r="OIA39" s="66"/>
      <c r="OIB39" s="66"/>
      <c r="OIC39" s="66"/>
      <c r="OID39" s="66"/>
      <c r="OIE39" s="66"/>
      <c r="OIF39" s="66"/>
      <c r="OIG39" s="66"/>
      <c r="OIH39" s="66"/>
      <c r="OII39" s="66"/>
      <c r="OIJ39" s="66"/>
      <c r="OIK39" s="66"/>
      <c r="OIL39" s="66"/>
      <c r="OIM39" s="66"/>
      <c r="OIN39" s="66"/>
      <c r="OIO39" s="66"/>
      <c r="OIP39" s="66"/>
      <c r="OIQ39" s="66"/>
      <c r="OIR39" s="66"/>
      <c r="OIS39" s="66"/>
      <c r="OIT39" s="66"/>
      <c r="OIU39" s="66"/>
      <c r="OIV39" s="66"/>
      <c r="OIW39" s="66"/>
      <c r="OIX39" s="66"/>
      <c r="OIY39" s="66"/>
      <c r="OIZ39" s="66"/>
      <c r="OJA39" s="66"/>
      <c r="OJB39" s="66"/>
      <c r="OJC39" s="66"/>
      <c r="OJD39" s="66"/>
      <c r="OJE39" s="66"/>
      <c r="OJF39" s="66"/>
      <c r="OJG39" s="66"/>
      <c r="OJH39" s="66"/>
      <c r="OJI39" s="66"/>
      <c r="OJJ39" s="66"/>
      <c r="OJK39" s="66"/>
      <c r="OJL39" s="66"/>
      <c r="OJM39" s="66"/>
      <c r="OJN39" s="66"/>
      <c r="OJO39" s="66"/>
      <c r="OJP39" s="66"/>
      <c r="OJQ39" s="66"/>
      <c r="OJR39" s="66"/>
      <c r="OJS39" s="66"/>
      <c r="OJT39" s="66"/>
      <c r="OJU39" s="66"/>
      <c r="OJV39" s="66"/>
      <c r="OJW39" s="66"/>
      <c r="OJX39" s="66"/>
      <c r="OJY39" s="66"/>
      <c r="OJZ39" s="66"/>
      <c r="OKA39" s="66"/>
      <c r="OKB39" s="66"/>
      <c r="OKC39" s="66"/>
      <c r="OKD39" s="66"/>
      <c r="OKE39" s="66"/>
      <c r="OKF39" s="66"/>
      <c r="OKG39" s="66"/>
      <c r="OKH39" s="66"/>
      <c r="OKI39" s="66"/>
      <c r="OKJ39" s="66"/>
      <c r="OKK39" s="66"/>
      <c r="OKL39" s="66"/>
      <c r="OKM39" s="66"/>
      <c r="OKN39" s="66"/>
      <c r="OKO39" s="66"/>
      <c r="OKP39" s="66"/>
      <c r="OKQ39" s="66"/>
      <c r="OKR39" s="66"/>
      <c r="OKS39" s="66"/>
      <c r="OKT39" s="66"/>
      <c r="OKU39" s="66"/>
      <c r="OKV39" s="66"/>
      <c r="OKW39" s="66"/>
      <c r="OKX39" s="66"/>
      <c r="OKY39" s="66"/>
      <c r="OKZ39" s="66"/>
      <c r="OLA39" s="66"/>
      <c r="OLB39" s="66"/>
      <c r="OLC39" s="66"/>
      <c r="OLD39" s="66"/>
      <c r="OLE39" s="66"/>
      <c r="OLF39" s="66"/>
      <c r="OLG39" s="66"/>
      <c r="OLH39" s="66"/>
      <c r="OLI39" s="66"/>
      <c r="OLJ39" s="66"/>
      <c r="OLK39" s="66"/>
      <c r="OLL39" s="66"/>
      <c r="OLM39" s="66"/>
      <c r="OLN39" s="66"/>
      <c r="OLO39" s="66"/>
      <c r="OLP39" s="66"/>
      <c r="OLQ39" s="66"/>
      <c r="OLR39" s="66"/>
      <c r="OLS39" s="66"/>
      <c r="OLT39" s="66"/>
      <c r="OLU39" s="66"/>
      <c r="OLV39" s="66"/>
      <c r="OLW39" s="66"/>
      <c r="OLX39" s="66"/>
      <c r="OLY39" s="66"/>
      <c r="OLZ39" s="66"/>
      <c r="OMA39" s="66"/>
      <c r="OMB39" s="66"/>
      <c r="OMC39" s="66"/>
      <c r="OMD39" s="66"/>
      <c r="OME39" s="66"/>
      <c r="OMF39" s="66"/>
      <c r="OMG39" s="66"/>
      <c r="OMH39" s="66"/>
      <c r="OMI39" s="66"/>
      <c r="OMJ39" s="66"/>
      <c r="OMK39" s="66"/>
      <c r="OML39" s="66"/>
      <c r="OMM39" s="66"/>
      <c r="OMN39" s="66"/>
      <c r="OMO39" s="66"/>
      <c r="OMP39" s="66"/>
      <c r="OMQ39" s="66"/>
      <c r="OMR39" s="66"/>
      <c r="OMS39" s="66"/>
      <c r="OMT39" s="66"/>
      <c r="OMU39" s="66"/>
      <c r="OMV39" s="66"/>
      <c r="OMW39" s="66"/>
      <c r="OMX39" s="66"/>
      <c r="OMY39" s="66"/>
      <c r="OMZ39" s="66"/>
      <c r="ONA39" s="66"/>
      <c r="ONB39" s="66"/>
      <c r="ONC39" s="66"/>
      <c r="OND39" s="66"/>
      <c r="ONE39" s="66"/>
      <c r="ONF39" s="66"/>
      <c r="ONG39" s="66"/>
      <c r="ONH39" s="66"/>
      <c r="ONI39" s="66"/>
      <c r="ONJ39" s="66"/>
      <c r="ONK39" s="66"/>
      <c r="ONL39" s="66"/>
      <c r="ONM39" s="66"/>
      <c r="ONN39" s="66"/>
      <c r="ONO39" s="66"/>
      <c r="ONP39" s="66"/>
      <c r="ONQ39" s="66"/>
      <c r="ONR39" s="66"/>
      <c r="ONS39" s="66"/>
      <c r="ONT39" s="66"/>
      <c r="ONU39" s="66"/>
      <c r="ONV39" s="66"/>
      <c r="ONW39" s="66"/>
      <c r="ONX39" s="66"/>
      <c r="ONY39" s="66"/>
      <c r="ONZ39" s="66"/>
      <c r="OOA39" s="66"/>
      <c r="OOB39" s="66"/>
      <c r="OOC39" s="66"/>
      <c r="OOD39" s="66"/>
      <c r="OOE39" s="66"/>
      <c r="OOF39" s="66"/>
      <c r="OOG39" s="66"/>
      <c r="OOH39" s="66"/>
      <c r="OOI39" s="66"/>
      <c r="OOJ39" s="66"/>
      <c r="OOK39" s="66"/>
      <c r="OOL39" s="66"/>
      <c r="OOM39" s="66"/>
      <c r="OON39" s="66"/>
      <c r="OOO39" s="66"/>
      <c r="OOP39" s="66"/>
      <c r="OOQ39" s="66"/>
      <c r="OOR39" s="66"/>
      <c r="OOS39" s="66"/>
      <c r="OOT39" s="66"/>
      <c r="OOU39" s="66"/>
      <c r="OOV39" s="66"/>
      <c r="OOW39" s="66"/>
      <c r="OOX39" s="66"/>
      <c r="OOY39" s="66"/>
      <c r="OOZ39" s="66"/>
      <c r="OPA39" s="66"/>
      <c r="OPB39" s="66"/>
      <c r="OPC39" s="66"/>
      <c r="OPD39" s="66"/>
      <c r="OPE39" s="66"/>
      <c r="OPF39" s="66"/>
      <c r="OPG39" s="66"/>
      <c r="OPH39" s="66"/>
      <c r="OPI39" s="66"/>
      <c r="OPJ39" s="66"/>
      <c r="OPK39" s="66"/>
      <c r="OPL39" s="66"/>
      <c r="OPM39" s="66"/>
      <c r="OPN39" s="66"/>
      <c r="OPO39" s="66"/>
      <c r="OPP39" s="66"/>
      <c r="OPQ39" s="66"/>
      <c r="OPR39" s="66"/>
      <c r="OPS39" s="66"/>
      <c r="OPT39" s="66"/>
      <c r="OPU39" s="66"/>
      <c r="OPV39" s="66"/>
      <c r="OPW39" s="66"/>
      <c r="OPX39" s="66"/>
      <c r="OPY39" s="66"/>
      <c r="OPZ39" s="66"/>
      <c r="OQA39" s="66"/>
      <c r="OQB39" s="66"/>
      <c r="OQC39" s="66"/>
      <c r="OQD39" s="66"/>
      <c r="OQE39" s="66"/>
      <c r="OQF39" s="66"/>
      <c r="OQG39" s="66"/>
      <c r="OQH39" s="66"/>
      <c r="OQI39" s="66"/>
      <c r="OQJ39" s="66"/>
      <c r="OQK39" s="66"/>
      <c r="OQL39" s="66"/>
      <c r="OQM39" s="66"/>
      <c r="OQN39" s="66"/>
      <c r="OQO39" s="66"/>
      <c r="OQP39" s="66"/>
      <c r="OQQ39" s="66"/>
      <c r="OQR39" s="66"/>
      <c r="OQS39" s="66"/>
      <c r="OQT39" s="66"/>
      <c r="OQU39" s="66"/>
      <c r="OQV39" s="66"/>
      <c r="OQW39" s="66"/>
      <c r="OQX39" s="66"/>
      <c r="OQY39" s="66"/>
      <c r="OQZ39" s="66"/>
      <c r="ORA39" s="66"/>
      <c r="ORB39" s="66"/>
      <c r="ORC39" s="66"/>
      <c r="ORD39" s="66"/>
      <c r="ORE39" s="66"/>
      <c r="ORF39" s="66"/>
      <c r="ORG39" s="66"/>
      <c r="ORH39" s="66"/>
      <c r="ORI39" s="66"/>
      <c r="ORJ39" s="66"/>
      <c r="ORK39" s="66"/>
      <c r="ORL39" s="66"/>
      <c r="ORM39" s="66"/>
      <c r="ORN39" s="66"/>
      <c r="ORO39" s="66"/>
      <c r="ORP39" s="66"/>
      <c r="ORQ39" s="66"/>
      <c r="ORR39" s="66"/>
      <c r="ORS39" s="66"/>
      <c r="ORT39" s="66"/>
      <c r="ORU39" s="66"/>
      <c r="ORV39" s="66"/>
      <c r="ORW39" s="66"/>
      <c r="ORX39" s="66"/>
      <c r="ORY39" s="66"/>
      <c r="ORZ39" s="66"/>
      <c r="OSA39" s="66"/>
      <c r="OSB39" s="66"/>
      <c r="OSC39" s="66"/>
      <c r="OSD39" s="66"/>
      <c r="OSE39" s="66"/>
      <c r="OSF39" s="66"/>
      <c r="OSG39" s="66"/>
      <c r="OSH39" s="66"/>
      <c r="OSI39" s="66"/>
      <c r="OSJ39" s="66"/>
      <c r="OSK39" s="66"/>
      <c r="OSL39" s="66"/>
      <c r="OSM39" s="66"/>
      <c r="OSN39" s="66"/>
      <c r="OSO39" s="66"/>
      <c r="OSP39" s="66"/>
      <c r="OSQ39" s="66"/>
      <c r="OSR39" s="66"/>
      <c r="OSS39" s="66"/>
      <c r="OST39" s="66"/>
      <c r="OSU39" s="66"/>
      <c r="OSV39" s="66"/>
      <c r="OSW39" s="66"/>
      <c r="OSX39" s="66"/>
      <c r="OSY39" s="66"/>
      <c r="OSZ39" s="66"/>
      <c r="OTA39" s="66"/>
      <c r="OTB39" s="66"/>
      <c r="OTC39" s="66"/>
      <c r="OTD39" s="66"/>
      <c r="OTE39" s="66"/>
      <c r="OTF39" s="66"/>
      <c r="OTG39" s="66"/>
      <c r="OTH39" s="66"/>
      <c r="OTI39" s="66"/>
      <c r="OTJ39" s="66"/>
      <c r="OTK39" s="66"/>
      <c r="OTL39" s="66"/>
      <c r="OTM39" s="66"/>
      <c r="OTN39" s="66"/>
      <c r="OTO39" s="66"/>
      <c r="OTP39" s="66"/>
      <c r="OTQ39" s="66"/>
      <c r="OTR39" s="66"/>
      <c r="OTS39" s="66"/>
      <c r="OTT39" s="66"/>
      <c r="OTU39" s="66"/>
      <c r="OTV39" s="66"/>
      <c r="OTW39" s="66"/>
      <c r="OTX39" s="66"/>
      <c r="OTY39" s="66"/>
      <c r="OTZ39" s="66"/>
      <c r="OUA39" s="66"/>
      <c r="OUB39" s="66"/>
      <c r="OUC39" s="66"/>
      <c r="OUD39" s="66"/>
      <c r="OUE39" s="66"/>
      <c r="OUF39" s="66"/>
      <c r="OUG39" s="66"/>
      <c r="OUH39" s="66"/>
      <c r="OUI39" s="66"/>
      <c r="OUJ39" s="66"/>
      <c r="OUK39" s="66"/>
      <c r="OUL39" s="66"/>
      <c r="OUM39" s="66"/>
      <c r="OUN39" s="66"/>
      <c r="OUO39" s="66"/>
      <c r="OUP39" s="66"/>
      <c r="OUQ39" s="66"/>
      <c r="OUR39" s="66"/>
      <c r="OUS39" s="66"/>
      <c r="OUT39" s="66"/>
      <c r="OUU39" s="66"/>
      <c r="OUV39" s="66"/>
      <c r="OUW39" s="66"/>
      <c r="OUX39" s="66"/>
      <c r="OUY39" s="66"/>
      <c r="OUZ39" s="66"/>
      <c r="OVA39" s="66"/>
      <c r="OVB39" s="66"/>
      <c r="OVC39" s="66"/>
      <c r="OVD39" s="66"/>
      <c r="OVE39" s="66"/>
      <c r="OVF39" s="66"/>
      <c r="OVG39" s="66"/>
      <c r="OVH39" s="66"/>
      <c r="OVI39" s="66"/>
      <c r="OVJ39" s="66"/>
      <c r="OVK39" s="66"/>
      <c r="OVL39" s="66"/>
      <c r="OVM39" s="66"/>
      <c r="OVN39" s="66"/>
      <c r="OVO39" s="66"/>
      <c r="OVP39" s="66"/>
      <c r="OVQ39" s="66"/>
      <c r="OVR39" s="66"/>
      <c r="OVS39" s="66"/>
      <c r="OVT39" s="66"/>
      <c r="OVU39" s="66"/>
      <c r="OVV39" s="66"/>
      <c r="OVW39" s="66"/>
      <c r="OVX39" s="66"/>
      <c r="OVY39" s="66"/>
      <c r="OVZ39" s="66"/>
      <c r="OWA39" s="66"/>
      <c r="OWB39" s="66"/>
      <c r="OWC39" s="66"/>
      <c r="OWD39" s="66"/>
      <c r="OWE39" s="66"/>
      <c r="OWF39" s="66"/>
      <c r="OWG39" s="66"/>
      <c r="OWH39" s="66"/>
      <c r="OWI39" s="66"/>
      <c r="OWJ39" s="66"/>
      <c r="OWK39" s="66"/>
      <c r="OWL39" s="66"/>
      <c r="OWM39" s="66"/>
      <c r="OWN39" s="66"/>
      <c r="OWO39" s="66"/>
      <c r="OWP39" s="66"/>
      <c r="OWQ39" s="66"/>
      <c r="OWR39" s="66"/>
      <c r="OWS39" s="66"/>
      <c r="OWT39" s="66"/>
      <c r="OWU39" s="66"/>
      <c r="OWV39" s="66"/>
      <c r="OWW39" s="66"/>
      <c r="OWX39" s="66"/>
      <c r="OWY39" s="66"/>
      <c r="OWZ39" s="66"/>
      <c r="OXA39" s="66"/>
      <c r="OXB39" s="66"/>
      <c r="OXC39" s="66"/>
      <c r="OXD39" s="66"/>
      <c r="OXE39" s="66"/>
      <c r="OXF39" s="66"/>
      <c r="OXG39" s="66"/>
      <c r="OXH39" s="66"/>
      <c r="OXI39" s="66"/>
      <c r="OXJ39" s="66"/>
      <c r="OXK39" s="66"/>
      <c r="OXL39" s="66"/>
      <c r="OXM39" s="66"/>
      <c r="OXN39" s="66"/>
      <c r="OXO39" s="66"/>
      <c r="OXP39" s="66"/>
      <c r="OXQ39" s="66"/>
      <c r="OXR39" s="66"/>
      <c r="OXS39" s="66"/>
      <c r="OXT39" s="66"/>
      <c r="OXU39" s="66"/>
      <c r="OXV39" s="66"/>
      <c r="OXW39" s="66"/>
      <c r="OXX39" s="66"/>
      <c r="OXY39" s="66"/>
      <c r="OXZ39" s="66"/>
      <c r="OYA39" s="66"/>
      <c r="OYB39" s="66"/>
      <c r="OYC39" s="66"/>
      <c r="OYD39" s="66"/>
      <c r="OYE39" s="66"/>
      <c r="OYF39" s="66"/>
      <c r="OYG39" s="66"/>
      <c r="OYH39" s="66"/>
      <c r="OYI39" s="66"/>
      <c r="OYJ39" s="66"/>
      <c r="OYK39" s="66"/>
      <c r="OYL39" s="66"/>
      <c r="OYM39" s="66"/>
      <c r="OYN39" s="66"/>
      <c r="OYO39" s="66"/>
      <c r="OYP39" s="66"/>
      <c r="OYQ39" s="66"/>
      <c r="OYR39" s="66"/>
      <c r="OYS39" s="66"/>
      <c r="OYT39" s="66"/>
      <c r="OYU39" s="66"/>
      <c r="OYV39" s="66"/>
      <c r="OYW39" s="66"/>
      <c r="OYX39" s="66"/>
      <c r="OYY39" s="66"/>
      <c r="OYZ39" s="66"/>
      <c r="OZA39" s="66"/>
      <c r="OZB39" s="66"/>
      <c r="OZC39" s="66"/>
      <c r="OZD39" s="66"/>
      <c r="OZE39" s="66"/>
      <c r="OZF39" s="66"/>
      <c r="OZG39" s="66"/>
      <c r="OZH39" s="66"/>
      <c r="OZI39" s="66"/>
      <c r="OZJ39" s="66"/>
      <c r="OZK39" s="66"/>
      <c r="OZL39" s="66"/>
      <c r="OZM39" s="66"/>
      <c r="OZN39" s="66"/>
      <c r="OZO39" s="66"/>
      <c r="OZP39" s="66"/>
      <c r="OZQ39" s="66"/>
      <c r="OZR39" s="66"/>
      <c r="OZS39" s="66"/>
      <c r="OZT39" s="66"/>
      <c r="OZU39" s="66"/>
      <c r="OZV39" s="66"/>
      <c r="OZW39" s="66"/>
      <c r="OZX39" s="66"/>
      <c r="OZY39" s="66"/>
      <c r="OZZ39" s="66"/>
      <c r="PAA39" s="66"/>
      <c r="PAB39" s="66"/>
      <c r="PAC39" s="66"/>
      <c r="PAD39" s="66"/>
      <c r="PAE39" s="66"/>
      <c r="PAF39" s="66"/>
      <c r="PAG39" s="66"/>
      <c r="PAH39" s="66"/>
      <c r="PAI39" s="66"/>
      <c r="PAJ39" s="66"/>
      <c r="PAK39" s="66"/>
      <c r="PAL39" s="66"/>
      <c r="PAM39" s="66"/>
      <c r="PAN39" s="66"/>
      <c r="PAO39" s="66"/>
      <c r="PAP39" s="66"/>
      <c r="PAQ39" s="66"/>
      <c r="PAR39" s="66"/>
      <c r="PAS39" s="66"/>
      <c r="PAT39" s="66"/>
      <c r="PAU39" s="66"/>
      <c r="PAV39" s="66"/>
      <c r="PAW39" s="66"/>
      <c r="PAX39" s="66"/>
      <c r="PAY39" s="66"/>
      <c r="PAZ39" s="66"/>
      <c r="PBA39" s="66"/>
      <c r="PBB39" s="66"/>
      <c r="PBC39" s="66"/>
      <c r="PBD39" s="66"/>
      <c r="PBE39" s="66"/>
      <c r="PBF39" s="66"/>
      <c r="PBG39" s="66"/>
      <c r="PBH39" s="66"/>
      <c r="PBI39" s="66"/>
      <c r="PBJ39" s="66"/>
      <c r="PBK39" s="66"/>
      <c r="PBL39" s="66"/>
      <c r="PBM39" s="66"/>
      <c r="PBN39" s="66"/>
      <c r="PBO39" s="66"/>
      <c r="PBP39" s="66"/>
      <c r="PBQ39" s="66"/>
      <c r="PBR39" s="66"/>
      <c r="PBS39" s="66"/>
      <c r="PBT39" s="66"/>
      <c r="PBU39" s="66"/>
      <c r="PBV39" s="66"/>
      <c r="PBW39" s="66"/>
      <c r="PBX39" s="66"/>
      <c r="PBY39" s="66"/>
      <c r="PBZ39" s="66"/>
      <c r="PCA39" s="66"/>
      <c r="PCB39" s="66"/>
      <c r="PCC39" s="66"/>
      <c r="PCD39" s="66"/>
      <c r="PCE39" s="66"/>
      <c r="PCF39" s="66"/>
      <c r="PCG39" s="66"/>
      <c r="PCH39" s="66"/>
      <c r="PCI39" s="66"/>
      <c r="PCJ39" s="66"/>
      <c r="PCK39" s="66"/>
      <c r="PCL39" s="66"/>
      <c r="PCM39" s="66"/>
      <c r="PCN39" s="66"/>
      <c r="PCO39" s="66"/>
      <c r="PCP39" s="66"/>
      <c r="PCQ39" s="66"/>
      <c r="PCR39" s="66"/>
      <c r="PCS39" s="66"/>
      <c r="PCT39" s="66"/>
      <c r="PCU39" s="66"/>
      <c r="PCV39" s="66"/>
      <c r="PCW39" s="66"/>
      <c r="PCX39" s="66"/>
      <c r="PCY39" s="66"/>
      <c r="PCZ39" s="66"/>
      <c r="PDA39" s="66"/>
      <c r="PDB39" s="66"/>
      <c r="PDC39" s="66"/>
      <c r="PDD39" s="66"/>
      <c r="PDE39" s="66"/>
      <c r="PDF39" s="66"/>
      <c r="PDG39" s="66"/>
      <c r="PDH39" s="66"/>
      <c r="PDI39" s="66"/>
      <c r="PDJ39" s="66"/>
      <c r="PDK39" s="66"/>
      <c r="PDL39" s="66"/>
      <c r="PDM39" s="66"/>
      <c r="PDN39" s="66"/>
      <c r="PDO39" s="66"/>
      <c r="PDP39" s="66"/>
      <c r="PDQ39" s="66"/>
      <c r="PDR39" s="66"/>
      <c r="PDS39" s="66"/>
      <c r="PDT39" s="66"/>
      <c r="PDU39" s="66"/>
      <c r="PDV39" s="66"/>
      <c r="PDW39" s="66"/>
      <c r="PDX39" s="66"/>
      <c r="PDY39" s="66"/>
      <c r="PDZ39" s="66"/>
      <c r="PEA39" s="66"/>
      <c r="PEB39" s="66"/>
      <c r="PEC39" s="66"/>
      <c r="PED39" s="66"/>
      <c r="PEE39" s="66"/>
      <c r="PEF39" s="66"/>
      <c r="PEG39" s="66"/>
      <c r="PEH39" s="66"/>
      <c r="PEI39" s="66"/>
      <c r="PEJ39" s="66"/>
      <c r="PEK39" s="66"/>
      <c r="PEL39" s="66"/>
      <c r="PEM39" s="66"/>
      <c r="PEN39" s="66"/>
      <c r="PEO39" s="66"/>
      <c r="PEP39" s="66"/>
      <c r="PEQ39" s="66"/>
      <c r="PER39" s="66"/>
      <c r="PES39" s="66"/>
      <c r="PET39" s="66"/>
      <c r="PEU39" s="66"/>
      <c r="PEV39" s="66"/>
      <c r="PEW39" s="66"/>
      <c r="PEX39" s="66"/>
      <c r="PEY39" s="66"/>
      <c r="PEZ39" s="66"/>
      <c r="PFA39" s="66"/>
      <c r="PFB39" s="66"/>
      <c r="PFC39" s="66"/>
      <c r="PFD39" s="66"/>
      <c r="PFE39" s="66"/>
      <c r="PFF39" s="66"/>
      <c r="PFG39" s="66"/>
      <c r="PFH39" s="66"/>
      <c r="PFI39" s="66"/>
      <c r="PFJ39" s="66"/>
      <c r="PFK39" s="66"/>
      <c r="PFL39" s="66"/>
      <c r="PFM39" s="66"/>
      <c r="PFN39" s="66"/>
      <c r="PFO39" s="66"/>
      <c r="PFP39" s="66"/>
      <c r="PFQ39" s="66"/>
      <c r="PFR39" s="66"/>
      <c r="PFS39" s="66"/>
      <c r="PFT39" s="66"/>
      <c r="PFU39" s="66"/>
      <c r="PFV39" s="66"/>
      <c r="PFW39" s="66"/>
      <c r="PFX39" s="66"/>
      <c r="PFY39" s="66"/>
      <c r="PFZ39" s="66"/>
      <c r="PGA39" s="66"/>
      <c r="PGB39" s="66"/>
      <c r="PGC39" s="66"/>
      <c r="PGD39" s="66"/>
      <c r="PGE39" s="66"/>
      <c r="PGF39" s="66"/>
      <c r="PGG39" s="66"/>
      <c r="PGH39" s="66"/>
      <c r="PGI39" s="66"/>
      <c r="PGJ39" s="66"/>
      <c r="PGK39" s="66"/>
      <c r="PGL39" s="66"/>
      <c r="PGM39" s="66"/>
      <c r="PGN39" s="66"/>
      <c r="PGO39" s="66"/>
      <c r="PGP39" s="66"/>
      <c r="PGQ39" s="66"/>
      <c r="PGR39" s="66"/>
      <c r="PGS39" s="66"/>
      <c r="PGT39" s="66"/>
      <c r="PGU39" s="66"/>
      <c r="PGV39" s="66"/>
      <c r="PGW39" s="66"/>
      <c r="PGX39" s="66"/>
      <c r="PGY39" s="66"/>
      <c r="PGZ39" s="66"/>
      <c r="PHA39" s="66"/>
      <c r="PHB39" s="66"/>
      <c r="PHC39" s="66"/>
      <c r="PHD39" s="66"/>
      <c r="PHE39" s="66"/>
      <c r="PHF39" s="66"/>
      <c r="PHG39" s="66"/>
      <c r="PHH39" s="66"/>
      <c r="PHI39" s="66"/>
      <c r="PHJ39" s="66"/>
      <c r="PHK39" s="66"/>
      <c r="PHL39" s="66"/>
      <c r="PHM39" s="66"/>
      <c r="PHN39" s="66"/>
      <c r="PHO39" s="66"/>
      <c r="PHP39" s="66"/>
      <c r="PHQ39" s="66"/>
      <c r="PHR39" s="66"/>
      <c r="PHS39" s="66"/>
      <c r="PHT39" s="66"/>
      <c r="PHU39" s="66"/>
      <c r="PHV39" s="66"/>
      <c r="PHW39" s="66"/>
      <c r="PHX39" s="66"/>
      <c r="PHY39" s="66"/>
      <c r="PHZ39" s="66"/>
      <c r="PIA39" s="66"/>
      <c r="PIB39" s="66"/>
      <c r="PIC39" s="66"/>
      <c r="PID39" s="66"/>
      <c r="PIE39" s="66"/>
      <c r="PIF39" s="66"/>
      <c r="PIG39" s="66"/>
      <c r="PIH39" s="66"/>
      <c r="PII39" s="66"/>
      <c r="PIJ39" s="66"/>
      <c r="PIK39" s="66"/>
      <c r="PIL39" s="66"/>
      <c r="PIM39" s="66"/>
      <c r="PIN39" s="66"/>
      <c r="PIO39" s="66"/>
      <c r="PIP39" s="66"/>
      <c r="PIQ39" s="66"/>
      <c r="PIR39" s="66"/>
      <c r="PIS39" s="66"/>
      <c r="PIT39" s="66"/>
      <c r="PIU39" s="66"/>
      <c r="PIV39" s="66"/>
      <c r="PIW39" s="66"/>
      <c r="PIX39" s="66"/>
      <c r="PIY39" s="66"/>
      <c r="PIZ39" s="66"/>
      <c r="PJA39" s="66"/>
      <c r="PJB39" s="66"/>
      <c r="PJC39" s="66"/>
      <c r="PJD39" s="66"/>
      <c r="PJE39" s="66"/>
      <c r="PJF39" s="66"/>
      <c r="PJG39" s="66"/>
      <c r="PJH39" s="66"/>
      <c r="PJI39" s="66"/>
      <c r="PJJ39" s="66"/>
      <c r="PJK39" s="66"/>
      <c r="PJL39" s="66"/>
      <c r="PJM39" s="66"/>
      <c r="PJN39" s="66"/>
      <c r="PJO39" s="66"/>
      <c r="PJP39" s="66"/>
      <c r="PJQ39" s="66"/>
      <c r="PJR39" s="66"/>
      <c r="PJS39" s="66"/>
      <c r="PJT39" s="66"/>
      <c r="PJU39" s="66"/>
      <c r="PJV39" s="66"/>
      <c r="PJW39" s="66"/>
      <c r="PJX39" s="66"/>
      <c r="PJY39" s="66"/>
      <c r="PJZ39" s="66"/>
      <c r="PKA39" s="66"/>
      <c r="PKB39" s="66"/>
      <c r="PKC39" s="66"/>
      <c r="PKD39" s="66"/>
      <c r="PKE39" s="66"/>
      <c r="PKF39" s="66"/>
      <c r="PKG39" s="66"/>
      <c r="PKH39" s="66"/>
      <c r="PKI39" s="66"/>
      <c r="PKJ39" s="66"/>
      <c r="PKK39" s="66"/>
      <c r="PKL39" s="66"/>
      <c r="PKM39" s="66"/>
      <c r="PKN39" s="66"/>
      <c r="PKO39" s="66"/>
      <c r="PKP39" s="66"/>
      <c r="PKQ39" s="66"/>
      <c r="PKR39" s="66"/>
      <c r="PKS39" s="66"/>
      <c r="PKT39" s="66"/>
      <c r="PKU39" s="66"/>
      <c r="PKV39" s="66"/>
      <c r="PKW39" s="66"/>
      <c r="PKX39" s="66"/>
      <c r="PKY39" s="66"/>
      <c r="PKZ39" s="66"/>
      <c r="PLA39" s="66"/>
      <c r="PLB39" s="66"/>
      <c r="PLC39" s="66"/>
      <c r="PLD39" s="66"/>
      <c r="PLE39" s="66"/>
      <c r="PLF39" s="66"/>
      <c r="PLG39" s="66"/>
      <c r="PLH39" s="66"/>
      <c r="PLI39" s="66"/>
      <c r="PLJ39" s="66"/>
      <c r="PLK39" s="66"/>
      <c r="PLL39" s="66"/>
      <c r="PLM39" s="66"/>
      <c r="PLN39" s="66"/>
      <c r="PLO39" s="66"/>
      <c r="PLP39" s="66"/>
      <c r="PLQ39" s="66"/>
      <c r="PLR39" s="66"/>
      <c r="PLS39" s="66"/>
      <c r="PLT39" s="66"/>
      <c r="PLU39" s="66"/>
      <c r="PLV39" s="66"/>
      <c r="PLW39" s="66"/>
      <c r="PLX39" s="66"/>
      <c r="PLY39" s="66"/>
      <c r="PLZ39" s="66"/>
      <c r="PMA39" s="66"/>
      <c r="PMB39" s="66"/>
      <c r="PMC39" s="66"/>
      <c r="PMD39" s="66"/>
      <c r="PME39" s="66"/>
      <c r="PMF39" s="66"/>
      <c r="PMG39" s="66"/>
      <c r="PMH39" s="66"/>
      <c r="PMI39" s="66"/>
      <c r="PMJ39" s="66"/>
      <c r="PMK39" s="66"/>
      <c r="PML39" s="66"/>
      <c r="PMM39" s="66"/>
      <c r="PMN39" s="66"/>
      <c r="PMO39" s="66"/>
      <c r="PMP39" s="66"/>
      <c r="PMQ39" s="66"/>
      <c r="PMR39" s="66"/>
      <c r="PMS39" s="66"/>
      <c r="PMT39" s="66"/>
      <c r="PMU39" s="66"/>
      <c r="PMV39" s="66"/>
      <c r="PMW39" s="66"/>
      <c r="PMX39" s="66"/>
      <c r="PMY39" s="66"/>
      <c r="PMZ39" s="66"/>
      <c r="PNA39" s="66"/>
      <c r="PNB39" s="66"/>
      <c r="PNC39" s="66"/>
      <c r="PND39" s="66"/>
      <c r="PNE39" s="66"/>
      <c r="PNF39" s="66"/>
      <c r="PNG39" s="66"/>
      <c r="PNH39" s="66"/>
      <c r="PNI39" s="66"/>
      <c r="PNJ39" s="66"/>
      <c r="PNK39" s="66"/>
      <c r="PNL39" s="66"/>
      <c r="PNM39" s="66"/>
      <c r="PNN39" s="66"/>
      <c r="PNO39" s="66"/>
      <c r="PNP39" s="66"/>
      <c r="PNQ39" s="66"/>
      <c r="PNR39" s="66"/>
      <c r="PNS39" s="66"/>
      <c r="PNT39" s="66"/>
      <c r="PNU39" s="66"/>
      <c r="PNV39" s="66"/>
      <c r="PNW39" s="66"/>
      <c r="PNX39" s="66"/>
      <c r="PNY39" s="66"/>
      <c r="PNZ39" s="66"/>
      <c r="POA39" s="66"/>
      <c r="POB39" s="66"/>
      <c r="POC39" s="66"/>
      <c r="POD39" s="66"/>
      <c r="POE39" s="66"/>
      <c r="POF39" s="66"/>
      <c r="POG39" s="66"/>
      <c r="POH39" s="66"/>
      <c r="POI39" s="66"/>
      <c r="POJ39" s="66"/>
      <c r="POK39" s="66"/>
      <c r="POL39" s="66"/>
      <c r="POM39" s="66"/>
      <c r="PON39" s="66"/>
      <c r="POO39" s="66"/>
      <c r="POP39" s="66"/>
      <c r="POQ39" s="66"/>
      <c r="POR39" s="66"/>
      <c r="POS39" s="66"/>
      <c r="POT39" s="66"/>
      <c r="POU39" s="66"/>
      <c r="POV39" s="66"/>
      <c r="POW39" s="66"/>
      <c r="POX39" s="66"/>
      <c r="POY39" s="66"/>
      <c r="POZ39" s="66"/>
      <c r="PPA39" s="66"/>
      <c r="PPB39" s="66"/>
      <c r="PPC39" s="66"/>
      <c r="PPD39" s="66"/>
      <c r="PPE39" s="66"/>
      <c r="PPF39" s="66"/>
      <c r="PPG39" s="66"/>
      <c r="PPH39" s="66"/>
      <c r="PPI39" s="66"/>
      <c r="PPJ39" s="66"/>
      <c r="PPK39" s="66"/>
      <c r="PPL39" s="66"/>
      <c r="PPM39" s="66"/>
      <c r="PPN39" s="66"/>
      <c r="PPO39" s="66"/>
      <c r="PPP39" s="66"/>
      <c r="PPQ39" s="66"/>
      <c r="PPR39" s="66"/>
      <c r="PPS39" s="66"/>
      <c r="PPT39" s="66"/>
      <c r="PPU39" s="66"/>
      <c r="PPV39" s="66"/>
      <c r="PPW39" s="66"/>
      <c r="PPX39" s="66"/>
      <c r="PPY39" s="66"/>
      <c r="PPZ39" s="66"/>
      <c r="PQA39" s="66"/>
      <c r="PQB39" s="66"/>
      <c r="PQC39" s="66"/>
      <c r="PQD39" s="66"/>
      <c r="PQE39" s="66"/>
      <c r="PQF39" s="66"/>
      <c r="PQG39" s="66"/>
      <c r="PQH39" s="66"/>
      <c r="PQI39" s="66"/>
      <c r="PQJ39" s="66"/>
      <c r="PQK39" s="66"/>
      <c r="PQL39" s="66"/>
      <c r="PQM39" s="66"/>
      <c r="PQN39" s="66"/>
      <c r="PQO39" s="66"/>
      <c r="PQP39" s="66"/>
      <c r="PQQ39" s="66"/>
      <c r="PQR39" s="66"/>
      <c r="PQS39" s="66"/>
      <c r="PQT39" s="66"/>
      <c r="PQU39" s="66"/>
      <c r="PQV39" s="66"/>
      <c r="PQW39" s="66"/>
      <c r="PQX39" s="66"/>
      <c r="PQY39" s="66"/>
      <c r="PQZ39" s="66"/>
      <c r="PRA39" s="66"/>
      <c r="PRB39" s="66"/>
      <c r="PRC39" s="66"/>
      <c r="PRD39" s="66"/>
      <c r="PRE39" s="66"/>
      <c r="PRF39" s="66"/>
      <c r="PRG39" s="66"/>
      <c r="PRH39" s="66"/>
      <c r="PRI39" s="66"/>
      <c r="PRJ39" s="66"/>
      <c r="PRK39" s="66"/>
      <c r="PRL39" s="66"/>
      <c r="PRM39" s="66"/>
      <c r="PRN39" s="66"/>
      <c r="PRO39" s="66"/>
      <c r="PRP39" s="66"/>
      <c r="PRQ39" s="66"/>
      <c r="PRR39" s="66"/>
      <c r="PRS39" s="66"/>
      <c r="PRT39" s="66"/>
      <c r="PRU39" s="66"/>
      <c r="PRV39" s="66"/>
      <c r="PRW39" s="66"/>
      <c r="PRX39" s="66"/>
      <c r="PRY39" s="66"/>
      <c r="PRZ39" s="66"/>
      <c r="PSA39" s="66"/>
      <c r="PSB39" s="66"/>
      <c r="PSC39" s="66"/>
      <c r="PSD39" s="66"/>
      <c r="PSE39" s="66"/>
      <c r="PSF39" s="66"/>
      <c r="PSG39" s="66"/>
      <c r="PSH39" s="66"/>
      <c r="PSI39" s="66"/>
      <c r="PSJ39" s="66"/>
      <c r="PSK39" s="66"/>
      <c r="PSL39" s="66"/>
      <c r="PSM39" s="66"/>
      <c r="PSN39" s="66"/>
      <c r="PSO39" s="66"/>
      <c r="PSP39" s="66"/>
      <c r="PSQ39" s="66"/>
      <c r="PSR39" s="66"/>
      <c r="PSS39" s="66"/>
      <c r="PST39" s="66"/>
      <c r="PSU39" s="66"/>
      <c r="PSV39" s="66"/>
      <c r="PSW39" s="66"/>
      <c r="PSX39" s="66"/>
      <c r="PSY39" s="66"/>
      <c r="PSZ39" s="66"/>
      <c r="PTA39" s="66"/>
      <c r="PTB39" s="66"/>
      <c r="PTC39" s="66"/>
      <c r="PTD39" s="66"/>
      <c r="PTE39" s="66"/>
      <c r="PTF39" s="66"/>
      <c r="PTG39" s="66"/>
      <c r="PTH39" s="66"/>
      <c r="PTI39" s="66"/>
      <c r="PTJ39" s="66"/>
      <c r="PTK39" s="66"/>
      <c r="PTL39" s="66"/>
      <c r="PTM39" s="66"/>
      <c r="PTN39" s="66"/>
      <c r="PTO39" s="66"/>
      <c r="PTP39" s="66"/>
      <c r="PTQ39" s="66"/>
      <c r="PTR39" s="66"/>
      <c r="PTS39" s="66"/>
      <c r="PTT39" s="66"/>
      <c r="PTU39" s="66"/>
      <c r="PTV39" s="66"/>
      <c r="PTW39" s="66"/>
      <c r="PTX39" s="66"/>
      <c r="PTY39" s="66"/>
      <c r="PTZ39" s="66"/>
      <c r="PUA39" s="66"/>
      <c r="PUB39" s="66"/>
      <c r="PUC39" s="66"/>
      <c r="PUD39" s="66"/>
      <c r="PUE39" s="66"/>
      <c r="PUF39" s="66"/>
      <c r="PUG39" s="66"/>
      <c r="PUH39" s="66"/>
      <c r="PUI39" s="66"/>
      <c r="PUJ39" s="66"/>
      <c r="PUK39" s="66"/>
      <c r="PUL39" s="66"/>
      <c r="PUM39" s="66"/>
      <c r="PUN39" s="66"/>
      <c r="PUO39" s="66"/>
      <c r="PUP39" s="66"/>
      <c r="PUQ39" s="66"/>
      <c r="PUR39" s="66"/>
      <c r="PUS39" s="66"/>
      <c r="PUT39" s="66"/>
      <c r="PUU39" s="66"/>
      <c r="PUV39" s="66"/>
      <c r="PUW39" s="66"/>
      <c r="PUX39" s="66"/>
      <c r="PUY39" s="66"/>
      <c r="PUZ39" s="66"/>
      <c r="PVA39" s="66"/>
      <c r="PVB39" s="66"/>
      <c r="PVC39" s="66"/>
      <c r="PVD39" s="66"/>
      <c r="PVE39" s="66"/>
      <c r="PVF39" s="66"/>
      <c r="PVG39" s="66"/>
      <c r="PVH39" s="66"/>
      <c r="PVI39" s="66"/>
      <c r="PVJ39" s="66"/>
      <c r="PVK39" s="66"/>
      <c r="PVL39" s="66"/>
      <c r="PVM39" s="66"/>
      <c r="PVN39" s="66"/>
      <c r="PVO39" s="66"/>
      <c r="PVP39" s="66"/>
      <c r="PVQ39" s="66"/>
      <c r="PVR39" s="66"/>
      <c r="PVS39" s="66"/>
      <c r="PVT39" s="66"/>
      <c r="PVU39" s="66"/>
      <c r="PVV39" s="66"/>
      <c r="PVW39" s="66"/>
      <c r="PVX39" s="66"/>
      <c r="PVY39" s="66"/>
      <c r="PVZ39" s="66"/>
      <c r="PWA39" s="66"/>
      <c r="PWB39" s="66"/>
      <c r="PWC39" s="66"/>
      <c r="PWD39" s="66"/>
      <c r="PWE39" s="66"/>
      <c r="PWF39" s="66"/>
      <c r="PWG39" s="66"/>
      <c r="PWH39" s="66"/>
      <c r="PWI39" s="66"/>
      <c r="PWJ39" s="66"/>
      <c r="PWK39" s="66"/>
      <c r="PWL39" s="66"/>
      <c r="PWM39" s="66"/>
      <c r="PWN39" s="66"/>
      <c r="PWO39" s="66"/>
      <c r="PWP39" s="66"/>
      <c r="PWQ39" s="66"/>
      <c r="PWR39" s="66"/>
      <c r="PWS39" s="66"/>
      <c r="PWT39" s="66"/>
      <c r="PWU39" s="66"/>
      <c r="PWV39" s="66"/>
      <c r="PWW39" s="66"/>
      <c r="PWX39" s="66"/>
      <c r="PWY39" s="66"/>
      <c r="PWZ39" s="66"/>
      <c r="PXA39" s="66"/>
      <c r="PXB39" s="66"/>
      <c r="PXC39" s="66"/>
      <c r="PXD39" s="66"/>
      <c r="PXE39" s="66"/>
      <c r="PXF39" s="66"/>
      <c r="PXG39" s="66"/>
      <c r="PXH39" s="66"/>
      <c r="PXI39" s="66"/>
      <c r="PXJ39" s="66"/>
      <c r="PXK39" s="66"/>
      <c r="PXL39" s="66"/>
      <c r="PXM39" s="66"/>
      <c r="PXN39" s="66"/>
      <c r="PXO39" s="66"/>
      <c r="PXP39" s="66"/>
      <c r="PXQ39" s="66"/>
      <c r="PXR39" s="66"/>
      <c r="PXS39" s="66"/>
      <c r="PXT39" s="66"/>
      <c r="PXU39" s="66"/>
      <c r="PXV39" s="66"/>
      <c r="PXW39" s="66"/>
      <c r="PXX39" s="66"/>
      <c r="PXY39" s="66"/>
      <c r="PXZ39" s="66"/>
      <c r="PYA39" s="66"/>
      <c r="PYB39" s="66"/>
      <c r="PYC39" s="66"/>
      <c r="PYD39" s="66"/>
      <c r="PYE39" s="66"/>
      <c r="PYF39" s="66"/>
      <c r="PYG39" s="66"/>
      <c r="PYH39" s="66"/>
      <c r="PYI39" s="66"/>
      <c r="PYJ39" s="66"/>
      <c r="PYK39" s="66"/>
      <c r="PYL39" s="66"/>
      <c r="PYM39" s="66"/>
      <c r="PYN39" s="66"/>
      <c r="PYO39" s="66"/>
      <c r="PYP39" s="66"/>
      <c r="PYQ39" s="66"/>
      <c r="PYR39" s="66"/>
      <c r="PYS39" s="66"/>
      <c r="PYT39" s="66"/>
      <c r="PYU39" s="66"/>
      <c r="PYV39" s="66"/>
      <c r="PYW39" s="66"/>
      <c r="PYX39" s="66"/>
      <c r="PYY39" s="66"/>
      <c r="PYZ39" s="66"/>
      <c r="PZA39" s="66"/>
      <c r="PZB39" s="66"/>
      <c r="PZC39" s="66"/>
      <c r="PZD39" s="66"/>
      <c r="PZE39" s="66"/>
      <c r="PZF39" s="66"/>
      <c r="PZG39" s="66"/>
      <c r="PZH39" s="66"/>
      <c r="PZI39" s="66"/>
      <c r="PZJ39" s="66"/>
      <c r="PZK39" s="66"/>
      <c r="PZL39" s="66"/>
      <c r="PZM39" s="66"/>
      <c r="PZN39" s="66"/>
      <c r="PZO39" s="66"/>
      <c r="PZP39" s="66"/>
      <c r="PZQ39" s="66"/>
      <c r="PZR39" s="66"/>
      <c r="PZS39" s="66"/>
      <c r="PZT39" s="66"/>
      <c r="PZU39" s="66"/>
      <c r="PZV39" s="66"/>
      <c r="PZW39" s="66"/>
      <c r="PZX39" s="66"/>
      <c r="PZY39" s="66"/>
      <c r="PZZ39" s="66"/>
      <c r="QAA39" s="66"/>
      <c r="QAB39" s="66"/>
      <c r="QAC39" s="66"/>
      <c r="QAD39" s="66"/>
      <c r="QAE39" s="66"/>
      <c r="QAF39" s="66"/>
      <c r="QAG39" s="66"/>
      <c r="QAH39" s="66"/>
      <c r="QAI39" s="66"/>
      <c r="QAJ39" s="66"/>
      <c r="QAK39" s="66"/>
      <c r="QAL39" s="66"/>
      <c r="QAM39" s="66"/>
      <c r="QAN39" s="66"/>
      <c r="QAO39" s="66"/>
      <c r="QAP39" s="66"/>
      <c r="QAQ39" s="66"/>
      <c r="QAR39" s="66"/>
      <c r="QAS39" s="66"/>
      <c r="QAT39" s="66"/>
      <c r="QAU39" s="66"/>
      <c r="QAV39" s="66"/>
      <c r="QAW39" s="66"/>
      <c r="QAX39" s="66"/>
      <c r="QAY39" s="66"/>
      <c r="QAZ39" s="66"/>
      <c r="QBA39" s="66"/>
      <c r="QBB39" s="66"/>
      <c r="QBC39" s="66"/>
      <c r="QBD39" s="66"/>
      <c r="QBE39" s="66"/>
      <c r="QBF39" s="66"/>
      <c r="QBG39" s="66"/>
      <c r="QBH39" s="66"/>
      <c r="QBI39" s="66"/>
      <c r="QBJ39" s="66"/>
      <c r="QBK39" s="66"/>
      <c r="QBL39" s="66"/>
      <c r="QBM39" s="66"/>
      <c r="QBN39" s="66"/>
      <c r="QBO39" s="66"/>
      <c r="QBP39" s="66"/>
      <c r="QBQ39" s="66"/>
      <c r="QBR39" s="66"/>
      <c r="QBS39" s="66"/>
      <c r="QBT39" s="66"/>
      <c r="QBU39" s="66"/>
      <c r="QBV39" s="66"/>
      <c r="QBW39" s="66"/>
      <c r="QBX39" s="66"/>
      <c r="QBY39" s="66"/>
      <c r="QBZ39" s="66"/>
      <c r="QCA39" s="66"/>
      <c r="QCB39" s="66"/>
      <c r="QCC39" s="66"/>
      <c r="QCD39" s="66"/>
      <c r="QCE39" s="66"/>
      <c r="QCF39" s="66"/>
      <c r="QCG39" s="66"/>
      <c r="QCH39" s="66"/>
      <c r="QCI39" s="66"/>
      <c r="QCJ39" s="66"/>
      <c r="QCK39" s="66"/>
      <c r="QCL39" s="66"/>
      <c r="QCM39" s="66"/>
      <c r="QCN39" s="66"/>
      <c r="QCO39" s="66"/>
      <c r="QCP39" s="66"/>
      <c r="QCQ39" s="66"/>
      <c r="QCR39" s="66"/>
      <c r="QCS39" s="66"/>
      <c r="QCT39" s="66"/>
      <c r="QCU39" s="66"/>
      <c r="QCV39" s="66"/>
      <c r="QCW39" s="66"/>
      <c r="QCX39" s="66"/>
      <c r="QCY39" s="66"/>
      <c r="QCZ39" s="66"/>
      <c r="QDA39" s="66"/>
      <c r="QDB39" s="66"/>
      <c r="QDC39" s="66"/>
      <c r="QDD39" s="66"/>
      <c r="QDE39" s="66"/>
      <c r="QDF39" s="66"/>
      <c r="QDG39" s="66"/>
      <c r="QDH39" s="66"/>
      <c r="QDI39" s="66"/>
      <c r="QDJ39" s="66"/>
      <c r="QDK39" s="66"/>
      <c r="QDL39" s="66"/>
      <c r="QDM39" s="66"/>
      <c r="QDN39" s="66"/>
      <c r="QDO39" s="66"/>
      <c r="QDP39" s="66"/>
      <c r="QDQ39" s="66"/>
      <c r="QDR39" s="66"/>
      <c r="QDS39" s="66"/>
      <c r="QDT39" s="66"/>
      <c r="QDU39" s="66"/>
      <c r="QDV39" s="66"/>
      <c r="QDW39" s="66"/>
      <c r="QDX39" s="66"/>
      <c r="QDY39" s="66"/>
      <c r="QDZ39" s="66"/>
      <c r="QEA39" s="66"/>
      <c r="QEB39" s="66"/>
      <c r="QEC39" s="66"/>
      <c r="QED39" s="66"/>
      <c r="QEE39" s="66"/>
      <c r="QEF39" s="66"/>
      <c r="QEG39" s="66"/>
      <c r="QEH39" s="66"/>
      <c r="QEI39" s="66"/>
      <c r="QEJ39" s="66"/>
      <c r="QEK39" s="66"/>
      <c r="QEL39" s="66"/>
      <c r="QEM39" s="66"/>
      <c r="QEN39" s="66"/>
      <c r="QEO39" s="66"/>
      <c r="QEP39" s="66"/>
      <c r="QEQ39" s="66"/>
      <c r="QER39" s="66"/>
      <c r="QES39" s="66"/>
      <c r="QET39" s="66"/>
      <c r="QEU39" s="66"/>
      <c r="QEV39" s="66"/>
      <c r="QEW39" s="66"/>
      <c r="QEX39" s="66"/>
      <c r="QEY39" s="66"/>
      <c r="QEZ39" s="66"/>
      <c r="QFA39" s="66"/>
      <c r="QFB39" s="66"/>
      <c r="QFC39" s="66"/>
      <c r="QFD39" s="66"/>
      <c r="QFE39" s="66"/>
      <c r="QFF39" s="66"/>
      <c r="QFG39" s="66"/>
      <c r="QFH39" s="66"/>
      <c r="QFI39" s="66"/>
      <c r="QFJ39" s="66"/>
      <c r="QFK39" s="66"/>
      <c r="QFL39" s="66"/>
      <c r="QFM39" s="66"/>
      <c r="QFN39" s="66"/>
      <c r="QFO39" s="66"/>
      <c r="QFP39" s="66"/>
      <c r="QFQ39" s="66"/>
      <c r="QFR39" s="66"/>
      <c r="QFS39" s="66"/>
      <c r="QFT39" s="66"/>
      <c r="QFU39" s="66"/>
      <c r="QFV39" s="66"/>
      <c r="QFW39" s="66"/>
      <c r="QFX39" s="66"/>
      <c r="QFY39" s="66"/>
      <c r="QFZ39" s="66"/>
      <c r="QGA39" s="66"/>
      <c r="QGB39" s="66"/>
      <c r="QGC39" s="66"/>
      <c r="QGD39" s="66"/>
      <c r="QGE39" s="66"/>
      <c r="QGF39" s="66"/>
      <c r="QGG39" s="66"/>
      <c r="QGH39" s="66"/>
      <c r="QGI39" s="66"/>
      <c r="QGJ39" s="66"/>
      <c r="QGK39" s="66"/>
      <c r="QGL39" s="66"/>
      <c r="QGM39" s="66"/>
      <c r="QGN39" s="66"/>
      <c r="QGO39" s="66"/>
      <c r="QGP39" s="66"/>
      <c r="QGQ39" s="66"/>
      <c r="QGR39" s="66"/>
      <c r="QGS39" s="66"/>
      <c r="QGT39" s="66"/>
      <c r="QGU39" s="66"/>
      <c r="QGV39" s="66"/>
      <c r="QGW39" s="66"/>
      <c r="QGX39" s="66"/>
      <c r="QGY39" s="66"/>
      <c r="QGZ39" s="66"/>
      <c r="QHA39" s="66"/>
      <c r="QHB39" s="66"/>
      <c r="QHC39" s="66"/>
      <c r="QHD39" s="66"/>
      <c r="QHE39" s="66"/>
      <c r="QHF39" s="66"/>
      <c r="QHG39" s="66"/>
      <c r="QHH39" s="66"/>
      <c r="QHI39" s="66"/>
      <c r="QHJ39" s="66"/>
      <c r="QHK39" s="66"/>
      <c r="QHL39" s="66"/>
      <c r="QHM39" s="66"/>
      <c r="QHN39" s="66"/>
      <c r="QHO39" s="66"/>
      <c r="QHP39" s="66"/>
      <c r="QHQ39" s="66"/>
      <c r="QHR39" s="66"/>
      <c r="QHS39" s="66"/>
      <c r="QHT39" s="66"/>
      <c r="QHU39" s="66"/>
      <c r="QHV39" s="66"/>
      <c r="QHW39" s="66"/>
      <c r="QHX39" s="66"/>
      <c r="QHY39" s="66"/>
      <c r="QHZ39" s="66"/>
      <c r="QIA39" s="66"/>
      <c r="QIB39" s="66"/>
      <c r="QIC39" s="66"/>
      <c r="QID39" s="66"/>
      <c r="QIE39" s="66"/>
      <c r="QIF39" s="66"/>
      <c r="QIG39" s="66"/>
      <c r="QIH39" s="66"/>
      <c r="QII39" s="66"/>
      <c r="QIJ39" s="66"/>
      <c r="QIK39" s="66"/>
      <c r="QIL39" s="66"/>
      <c r="QIM39" s="66"/>
      <c r="QIN39" s="66"/>
      <c r="QIO39" s="66"/>
      <c r="QIP39" s="66"/>
      <c r="QIQ39" s="66"/>
      <c r="QIR39" s="66"/>
      <c r="QIS39" s="66"/>
      <c r="QIT39" s="66"/>
      <c r="QIU39" s="66"/>
      <c r="QIV39" s="66"/>
      <c r="QIW39" s="66"/>
      <c r="QIX39" s="66"/>
      <c r="QIY39" s="66"/>
      <c r="QIZ39" s="66"/>
      <c r="QJA39" s="66"/>
      <c r="QJB39" s="66"/>
      <c r="QJC39" s="66"/>
      <c r="QJD39" s="66"/>
      <c r="QJE39" s="66"/>
      <c r="QJF39" s="66"/>
      <c r="QJG39" s="66"/>
      <c r="QJH39" s="66"/>
      <c r="QJI39" s="66"/>
      <c r="QJJ39" s="66"/>
      <c r="QJK39" s="66"/>
      <c r="QJL39" s="66"/>
      <c r="QJM39" s="66"/>
      <c r="QJN39" s="66"/>
      <c r="QJO39" s="66"/>
      <c r="QJP39" s="66"/>
      <c r="QJQ39" s="66"/>
      <c r="QJR39" s="66"/>
      <c r="QJS39" s="66"/>
      <c r="QJT39" s="66"/>
      <c r="QJU39" s="66"/>
      <c r="QJV39" s="66"/>
      <c r="QJW39" s="66"/>
      <c r="QJX39" s="66"/>
      <c r="QJY39" s="66"/>
      <c r="QJZ39" s="66"/>
      <c r="QKA39" s="66"/>
      <c r="QKB39" s="66"/>
      <c r="QKC39" s="66"/>
      <c r="QKD39" s="66"/>
      <c r="QKE39" s="66"/>
      <c r="QKF39" s="66"/>
      <c r="QKG39" s="66"/>
      <c r="QKH39" s="66"/>
      <c r="QKI39" s="66"/>
      <c r="QKJ39" s="66"/>
      <c r="QKK39" s="66"/>
      <c r="QKL39" s="66"/>
      <c r="QKM39" s="66"/>
      <c r="QKN39" s="66"/>
      <c r="QKO39" s="66"/>
      <c r="QKP39" s="66"/>
      <c r="QKQ39" s="66"/>
      <c r="QKR39" s="66"/>
      <c r="QKS39" s="66"/>
      <c r="QKT39" s="66"/>
      <c r="QKU39" s="66"/>
      <c r="QKV39" s="66"/>
      <c r="QKW39" s="66"/>
      <c r="QKX39" s="66"/>
      <c r="QKY39" s="66"/>
      <c r="QKZ39" s="66"/>
      <c r="QLA39" s="66"/>
      <c r="QLB39" s="66"/>
      <c r="QLC39" s="66"/>
      <c r="QLD39" s="66"/>
      <c r="QLE39" s="66"/>
      <c r="QLF39" s="66"/>
      <c r="QLG39" s="66"/>
      <c r="QLH39" s="66"/>
      <c r="QLI39" s="66"/>
      <c r="QLJ39" s="66"/>
      <c r="QLK39" s="66"/>
      <c r="QLL39" s="66"/>
      <c r="QLM39" s="66"/>
      <c r="QLN39" s="66"/>
      <c r="QLO39" s="66"/>
      <c r="QLP39" s="66"/>
      <c r="QLQ39" s="66"/>
      <c r="QLR39" s="66"/>
      <c r="QLS39" s="66"/>
      <c r="QLT39" s="66"/>
      <c r="QLU39" s="66"/>
      <c r="QLV39" s="66"/>
      <c r="QLW39" s="66"/>
      <c r="QLX39" s="66"/>
      <c r="QLY39" s="66"/>
      <c r="QLZ39" s="66"/>
      <c r="QMA39" s="66"/>
      <c r="QMB39" s="66"/>
      <c r="QMC39" s="66"/>
      <c r="QMD39" s="66"/>
      <c r="QME39" s="66"/>
      <c r="QMF39" s="66"/>
      <c r="QMG39" s="66"/>
      <c r="QMH39" s="66"/>
      <c r="QMI39" s="66"/>
      <c r="QMJ39" s="66"/>
      <c r="QMK39" s="66"/>
      <c r="QML39" s="66"/>
      <c r="QMM39" s="66"/>
      <c r="QMN39" s="66"/>
      <c r="QMO39" s="66"/>
      <c r="QMP39" s="66"/>
      <c r="QMQ39" s="66"/>
      <c r="QMR39" s="66"/>
      <c r="QMS39" s="66"/>
      <c r="QMT39" s="66"/>
      <c r="QMU39" s="66"/>
      <c r="QMV39" s="66"/>
      <c r="QMW39" s="66"/>
      <c r="QMX39" s="66"/>
      <c r="QMY39" s="66"/>
      <c r="QMZ39" s="66"/>
      <c r="QNA39" s="66"/>
      <c r="QNB39" s="66"/>
      <c r="QNC39" s="66"/>
      <c r="QND39" s="66"/>
      <c r="QNE39" s="66"/>
      <c r="QNF39" s="66"/>
      <c r="QNG39" s="66"/>
      <c r="QNH39" s="66"/>
      <c r="QNI39" s="66"/>
      <c r="QNJ39" s="66"/>
      <c r="QNK39" s="66"/>
      <c r="QNL39" s="66"/>
      <c r="QNM39" s="66"/>
      <c r="QNN39" s="66"/>
      <c r="QNO39" s="66"/>
      <c r="QNP39" s="66"/>
      <c r="QNQ39" s="66"/>
      <c r="QNR39" s="66"/>
      <c r="QNS39" s="66"/>
      <c r="QNT39" s="66"/>
      <c r="QNU39" s="66"/>
      <c r="QNV39" s="66"/>
      <c r="QNW39" s="66"/>
      <c r="QNX39" s="66"/>
      <c r="QNY39" s="66"/>
      <c r="QNZ39" s="66"/>
      <c r="QOA39" s="66"/>
      <c r="QOB39" s="66"/>
      <c r="QOC39" s="66"/>
      <c r="QOD39" s="66"/>
      <c r="QOE39" s="66"/>
      <c r="QOF39" s="66"/>
      <c r="QOG39" s="66"/>
      <c r="QOH39" s="66"/>
      <c r="QOI39" s="66"/>
      <c r="QOJ39" s="66"/>
      <c r="QOK39" s="66"/>
      <c r="QOL39" s="66"/>
      <c r="QOM39" s="66"/>
      <c r="QON39" s="66"/>
      <c r="QOO39" s="66"/>
      <c r="QOP39" s="66"/>
      <c r="QOQ39" s="66"/>
      <c r="QOR39" s="66"/>
      <c r="QOS39" s="66"/>
      <c r="QOT39" s="66"/>
      <c r="QOU39" s="66"/>
      <c r="QOV39" s="66"/>
      <c r="QOW39" s="66"/>
      <c r="QOX39" s="66"/>
      <c r="QOY39" s="66"/>
      <c r="QOZ39" s="66"/>
      <c r="QPA39" s="66"/>
      <c r="QPB39" s="66"/>
      <c r="QPC39" s="66"/>
      <c r="QPD39" s="66"/>
      <c r="QPE39" s="66"/>
      <c r="QPF39" s="66"/>
      <c r="QPG39" s="66"/>
      <c r="QPH39" s="66"/>
      <c r="QPI39" s="66"/>
      <c r="QPJ39" s="66"/>
      <c r="QPK39" s="66"/>
      <c r="QPL39" s="66"/>
      <c r="QPM39" s="66"/>
      <c r="QPN39" s="66"/>
      <c r="QPO39" s="66"/>
      <c r="QPP39" s="66"/>
      <c r="QPQ39" s="66"/>
      <c r="QPR39" s="66"/>
      <c r="QPS39" s="66"/>
      <c r="QPT39" s="66"/>
      <c r="QPU39" s="66"/>
      <c r="QPV39" s="66"/>
      <c r="QPW39" s="66"/>
      <c r="QPX39" s="66"/>
      <c r="QPY39" s="66"/>
      <c r="QPZ39" s="66"/>
      <c r="QQA39" s="66"/>
      <c r="QQB39" s="66"/>
      <c r="QQC39" s="66"/>
      <c r="QQD39" s="66"/>
      <c r="QQE39" s="66"/>
      <c r="QQF39" s="66"/>
      <c r="QQG39" s="66"/>
      <c r="QQH39" s="66"/>
      <c r="QQI39" s="66"/>
      <c r="QQJ39" s="66"/>
      <c r="QQK39" s="66"/>
      <c r="QQL39" s="66"/>
      <c r="QQM39" s="66"/>
      <c r="QQN39" s="66"/>
      <c r="QQO39" s="66"/>
      <c r="QQP39" s="66"/>
      <c r="QQQ39" s="66"/>
      <c r="QQR39" s="66"/>
      <c r="QQS39" s="66"/>
      <c r="QQT39" s="66"/>
      <c r="QQU39" s="66"/>
      <c r="QQV39" s="66"/>
      <c r="QQW39" s="66"/>
      <c r="QQX39" s="66"/>
      <c r="QQY39" s="66"/>
      <c r="QQZ39" s="66"/>
      <c r="QRA39" s="66"/>
      <c r="QRB39" s="66"/>
      <c r="QRC39" s="66"/>
      <c r="QRD39" s="66"/>
      <c r="QRE39" s="66"/>
      <c r="QRF39" s="66"/>
      <c r="QRG39" s="66"/>
      <c r="QRH39" s="66"/>
      <c r="QRI39" s="66"/>
      <c r="QRJ39" s="66"/>
      <c r="QRK39" s="66"/>
      <c r="QRL39" s="66"/>
      <c r="QRM39" s="66"/>
      <c r="QRN39" s="66"/>
      <c r="QRO39" s="66"/>
      <c r="QRP39" s="66"/>
      <c r="QRQ39" s="66"/>
      <c r="QRR39" s="66"/>
      <c r="QRS39" s="66"/>
      <c r="QRT39" s="66"/>
      <c r="QRU39" s="66"/>
      <c r="QRV39" s="66"/>
      <c r="QRW39" s="66"/>
      <c r="QRX39" s="66"/>
      <c r="QRY39" s="66"/>
      <c r="QRZ39" s="66"/>
      <c r="QSA39" s="66"/>
      <c r="QSB39" s="66"/>
      <c r="QSC39" s="66"/>
      <c r="QSD39" s="66"/>
      <c r="QSE39" s="66"/>
      <c r="QSF39" s="66"/>
      <c r="QSG39" s="66"/>
      <c r="QSH39" s="66"/>
      <c r="QSI39" s="66"/>
      <c r="QSJ39" s="66"/>
      <c r="QSK39" s="66"/>
      <c r="QSL39" s="66"/>
      <c r="QSM39" s="66"/>
      <c r="QSN39" s="66"/>
      <c r="QSO39" s="66"/>
      <c r="QSP39" s="66"/>
      <c r="QSQ39" s="66"/>
      <c r="QSR39" s="66"/>
      <c r="QSS39" s="66"/>
      <c r="QST39" s="66"/>
      <c r="QSU39" s="66"/>
      <c r="QSV39" s="66"/>
      <c r="QSW39" s="66"/>
      <c r="QSX39" s="66"/>
      <c r="QSY39" s="66"/>
      <c r="QSZ39" s="66"/>
      <c r="QTA39" s="66"/>
      <c r="QTB39" s="66"/>
      <c r="QTC39" s="66"/>
      <c r="QTD39" s="66"/>
      <c r="QTE39" s="66"/>
      <c r="QTF39" s="66"/>
      <c r="QTG39" s="66"/>
      <c r="QTH39" s="66"/>
      <c r="QTI39" s="66"/>
      <c r="QTJ39" s="66"/>
      <c r="QTK39" s="66"/>
      <c r="QTL39" s="66"/>
      <c r="QTM39" s="66"/>
      <c r="QTN39" s="66"/>
      <c r="QTO39" s="66"/>
      <c r="QTP39" s="66"/>
      <c r="QTQ39" s="66"/>
      <c r="QTR39" s="66"/>
      <c r="QTS39" s="66"/>
      <c r="QTT39" s="66"/>
      <c r="QTU39" s="66"/>
      <c r="QTV39" s="66"/>
      <c r="QTW39" s="66"/>
      <c r="QTX39" s="66"/>
      <c r="QTY39" s="66"/>
      <c r="QTZ39" s="66"/>
      <c r="QUA39" s="66"/>
      <c r="QUB39" s="66"/>
      <c r="QUC39" s="66"/>
      <c r="QUD39" s="66"/>
      <c r="QUE39" s="66"/>
      <c r="QUF39" s="66"/>
      <c r="QUG39" s="66"/>
      <c r="QUH39" s="66"/>
      <c r="QUI39" s="66"/>
      <c r="QUJ39" s="66"/>
      <c r="QUK39" s="66"/>
      <c r="QUL39" s="66"/>
      <c r="QUM39" s="66"/>
      <c r="QUN39" s="66"/>
      <c r="QUO39" s="66"/>
      <c r="QUP39" s="66"/>
      <c r="QUQ39" s="66"/>
      <c r="QUR39" s="66"/>
      <c r="QUS39" s="66"/>
      <c r="QUT39" s="66"/>
      <c r="QUU39" s="66"/>
      <c r="QUV39" s="66"/>
      <c r="QUW39" s="66"/>
      <c r="QUX39" s="66"/>
      <c r="QUY39" s="66"/>
      <c r="QUZ39" s="66"/>
      <c r="QVA39" s="66"/>
      <c r="QVB39" s="66"/>
      <c r="QVC39" s="66"/>
      <c r="QVD39" s="66"/>
      <c r="QVE39" s="66"/>
      <c r="QVF39" s="66"/>
      <c r="QVG39" s="66"/>
      <c r="QVH39" s="66"/>
      <c r="QVI39" s="66"/>
      <c r="QVJ39" s="66"/>
      <c r="QVK39" s="66"/>
      <c r="QVL39" s="66"/>
      <c r="QVM39" s="66"/>
      <c r="QVN39" s="66"/>
      <c r="QVO39" s="66"/>
      <c r="QVP39" s="66"/>
      <c r="QVQ39" s="66"/>
      <c r="QVR39" s="66"/>
      <c r="QVS39" s="66"/>
      <c r="QVT39" s="66"/>
      <c r="QVU39" s="66"/>
      <c r="QVV39" s="66"/>
      <c r="QVW39" s="66"/>
      <c r="QVX39" s="66"/>
      <c r="QVY39" s="66"/>
      <c r="QVZ39" s="66"/>
      <c r="QWA39" s="66"/>
      <c r="QWB39" s="66"/>
      <c r="QWC39" s="66"/>
      <c r="QWD39" s="66"/>
      <c r="QWE39" s="66"/>
      <c r="QWF39" s="66"/>
      <c r="QWG39" s="66"/>
      <c r="QWH39" s="66"/>
      <c r="QWI39" s="66"/>
      <c r="QWJ39" s="66"/>
      <c r="QWK39" s="66"/>
      <c r="QWL39" s="66"/>
      <c r="QWM39" s="66"/>
      <c r="QWN39" s="66"/>
      <c r="QWO39" s="66"/>
      <c r="QWP39" s="66"/>
      <c r="QWQ39" s="66"/>
      <c r="QWR39" s="66"/>
      <c r="QWS39" s="66"/>
      <c r="QWT39" s="66"/>
      <c r="QWU39" s="66"/>
      <c r="QWV39" s="66"/>
      <c r="QWW39" s="66"/>
      <c r="QWX39" s="66"/>
      <c r="QWY39" s="66"/>
      <c r="QWZ39" s="66"/>
      <c r="QXA39" s="66"/>
      <c r="QXB39" s="66"/>
      <c r="QXC39" s="66"/>
      <c r="QXD39" s="66"/>
      <c r="QXE39" s="66"/>
      <c r="QXF39" s="66"/>
      <c r="QXG39" s="66"/>
      <c r="QXH39" s="66"/>
      <c r="QXI39" s="66"/>
      <c r="QXJ39" s="66"/>
      <c r="QXK39" s="66"/>
      <c r="QXL39" s="66"/>
      <c r="QXM39" s="66"/>
      <c r="QXN39" s="66"/>
      <c r="QXO39" s="66"/>
      <c r="QXP39" s="66"/>
      <c r="QXQ39" s="66"/>
      <c r="QXR39" s="66"/>
      <c r="QXS39" s="66"/>
      <c r="QXT39" s="66"/>
      <c r="QXU39" s="66"/>
      <c r="QXV39" s="66"/>
      <c r="QXW39" s="66"/>
      <c r="QXX39" s="66"/>
      <c r="QXY39" s="66"/>
      <c r="QXZ39" s="66"/>
      <c r="QYA39" s="66"/>
      <c r="QYB39" s="66"/>
      <c r="QYC39" s="66"/>
      <c r="QYD39" s="66"/>
      <c r="QYE39" s="66"/>
      <c r="QYF39" s="66"/>
      <c r="QYG39" s="66"/>
      <c r="QYH39" s="66"/>
      <c r="QYI39" s="66"/>
      <c r="QYJ39" s="66"/>
      <c r="QYK39" s="66"/>
      <c r="QYL39" s="66"/>
      <c r="QYM39" s="66"/>
      <c r="QYN39" s="66"/>
      <c r="QYO39" s="66"/>
      <c r="QYP39" s="66"/>
      <c r="QYQ39" s="66"/>
      <c r="QYR39" s="66"/>
      <c r="QYS39" s="66"/>
      <c r="QYT39" s="66"/>
      <c r="QYU39" s="66"/>
      <c r="QYV39" s="66"/>
      <c r="QYW39" s="66"/>
      <c r="QYX39" s="66"/>
      <c r="QYY39" s="66"/>
      <c r="QYZ39" s="66"/>
      <c r="QZA39" s="66"/>
      <c r="QZB39" s="66"/>
      <c r="QZC39" s="66"/>
      <c r="QZD39" s="66"/>
      <c r="QZE39" s="66"/>
      <c r="QZF39" s="66"/>
      <c r="QZG39" s="66"/>
      <c r="QZH39" s="66"/>
      <c r="QZI39" s="66"/>
      <c r="QZJ39" s="66"/>
      <c r="QZK39" s="66"/>
      <c r="QZL39" s="66"/>
      <c r="QZM39" s="66"/>
      <c r="QZN39" s="66"/>
      <c r="QZO39" s="66"/>
      <c r="QZP39" s="66"/>
      <c r="QZQ39" s="66"/>
      <c r="QZR39" s="66"/>
      <c r="QZS39" s="66"/>
      <c r="QZT39" s="66"/>
      <c r="QZU39" s="66"/>
      <c r="QZV39" s="66"/>
      <c r="QZW39" s="66"/>
      <c r="QZX39" s="66"/>
      <c r="QZY39" s="66"/>
      <c r="QZZ39" s="66"/>
      <c r="RAA39" s="66"/>
      <c r="RAB39" s="66"/>
      <c r="RAC39" s="66"/>
      <c r="RAD39" s="66"/>
      <c r="RAE39" s="66"/>
      <c r="RAF39" s="66"/>
      <c r="RAG39" s="66"/>
      <c r="RAH39" s="66"/>
      <c r="RAI39" s="66"/>
      <c r="RAJ39" s="66"/>
      <c r="RAK39" s="66"/>
      <c r="RAL39" s="66"/>
      <c r="RAM39" s="66"/>
      <c r="RAN39" s="66"/>
      <c r="RAO39" s="66"/>
      <c r="RAP39" s="66"/>
      <c r="RAQ39" s="66"/>
      <c r="RAR39" s="66"/>
      <c r="RAS39" s="66"/>
      <c r="RAT39" s="66"/>
      <c r="RAU39" s="66"/>
      <c r="RAV39" s="66"/>
      <c r="RAW39" s="66"/>
      <c r="RAX39" s="66"/>
      <c r="RAY39" s="66"/>
      <c r="RAZ39" s="66"/>
      <c r="RBA39" s="66"/>
      <c r="RBB39" s="66"/>
      <c r="RBC39" s="66"/>
      <c r="RBD39" s="66"/>
      <c r="RBE39" s="66"/>
      <c r="RBF39" s="66"/>
      <c r="RBG39" s="66"/>
      <c r="RBH39" s="66"/>
      <c r="RBI39" s="66"/>
      <c r="RBJ39" s="66"/>
      <c r="RBK39" s="66"/>
      <c r="RBL39" s="66"/>
      <c r="RBM39" s="66"/>
      <c r="RBN39" s="66"/>
      <c r="RBO39" s="66"/>
      <c r="RBP39" s="66"/>
      <c r="RBQ39" s="66"/>
      <c r="RBR39" s="66"/>
      <c r="RBS39" s="66"/>
      <c r="RBT39" s="66"/>
      <c r="RBU39" s="66"/>
      <c r="RBV39" s="66"/>
      <c r="RBW39" s="66"/>
      <c r="RBX39" s="66"/>
      <c r="RBY39" s="66"/>
      <c r="RBZ39" s="66"/>
      <c r="RCA39" s="66"/>
      <c r="RCB39" s="66"/>
      <c r="RCC39" s="66"/>
      <c r="RCD39" s="66"/>
      <c r="RCE39" s="66"/>
      <c r="RCF39" s="66"/>
      <c r="RCG39" s="66"/>
      <c r="RCH39" s="66"/>
      <c r="RCI39" s="66"/>
      <c r="RCJ39" s="66"/>
      <c r="RCK39" s="66"/>
      <c r="RCL39" s="66"/>
      <c r="RCM39" s="66"/>
      <c r="RCN39" s="66"/>
      <c r="RCO39" s="66"/>
      <c r="RCP39" s="66"/>
      <c r="RCQ39" s="66"/>
      <c r="RCR39" s="66"/>
      <c r="RCS39" s="66"/>
      <c r="RCT39" s="66"/>
      <c r="RCU39" s="66"/>
      <c r="RCV39" s="66"/>
      <c r="RCW39" s="66"/>
      <c r="RCX39" s="66"/>
      <c r="RCY39" s="66"/>
      <c r="RCZ39" s="66"/>
      <c r="RDA39" s="66"/>
      <c r="RDB39" s="66"/>
      <c r="RDC39" s="66"/>
      <c r="RDD39" s="66"/>
      <c r="RDE39" s="66"/>
      <c r="RDF39" s="66"/>
      <c r="RDG39" s="66"/>
      <c r="RDH39" s="66"/>
      <c r="RDI39" s="66"/>
      <c r="RDJ39" s="66"/>
      <c r="RDK39" s="66"/>
      <c r="RDL39" s="66"/>
      <c r="RDM39" s="66"/>
      <c r="RDN39" s="66"/>
      <c r="RDO39" s="66"/>
      <c r="RDP39" s="66"/>
      <c r="RDQ39" s="66"/>
      <c r="RDR39" s="66"/>
      <c r="RDS39" s="66"/>
      <c r="RDT39" s="66"/>
      <c r="RDU39" s="66"/>
      <c r="RDV39" s="66"/>
      <c r="RDW39" s="66"/>
      <c r="RDX39" s="66"/>
      <c r="RDY39" s="66"/>
      <c r="RDZ39" s="66"/>
      <c r="REA39" s="66"/>
      <c r="REB39" s="66"/>
      <c r="REC39" s="66"/>
      <c r="RED39" s="66"/>
      <c r="REE39" s="66"/>
      <c r="REF39" s="66"/>
      <c r="REG39" s="66"/>
      <c r="REH39" s="66"/>
      <c r="REI39" s="66"/>
      <c r="REJ39" s="66"/>
      <c r="REK39" s="66"/>
      <c r="REL39" s="66"/>
      <c r="REM39" s="66"/>
      <c r="REN39" s="66"/>
      <c r="REO39" s="66"/>
      <c r="REP39" s="66"/>
      <c r="REQ39" s="66"/>
      <c r="RER39" s="66"/>
      <c r="RES39" s="66"/>
      <c r="RET39" s="66"/>
      <c r="REU39" s="66"/>
      <c r="REV39" s="66"/>
      <c r="REW39" s="66"/>
      <c r="REX39" s="66"/>
      <c r="REY39" s="66"/>
      <c r="REZ39" s="66"/>
      <c r="RFA39" s="66"/>
      <c r="RFB39" s="66"/>
      <c r="RFC39" s="66"/>
      <c r="RFD39" s="66"/>
      <c r="RFE39" s="66"/>
      <c r="RFF39" s="66"/>
      <c r="RFG39" s="66"/>
      <c r="RFH39" s="66"/>
      <c r="RFI39" s="66"/>
      <c r="RFJ39" s="66"/>
      <c r="RFK39" s="66"/>
      <c r="RFL39" s="66"/>
      <c r="RFM39" s="66"/>
      <c r="RFN39" s="66"/>
      <c r="RFO39" s="66"/>
      <c r="RFP39" s="66"/>
      <c r="RFQ39" s="66"/>
      <c r="RFR39" s="66"/>
      <c r="RFS39" s="66"/>
      <c r="RFT39" s="66"/>
      <c r="RFU39" s="66"/>
      <c r="RFV39" s="66"/>
      <c r="RFW39" s="66"/>
      <c r="RFX39" s="66"/>
      <c r="RFY39" s="66"/>
      <c r="RFZ39" s="66"/>
      <c r="RGA39" s="66"/>
      <c r="RGB39" s="66"/>
      <c r="RGC39" s="66"/>
      <c r="RGD39" s="66"/>
      <c r="RGE39" s="66"/>
      <c r="RGF39" s="66"/>
      <c r="RGG39" s="66"/>
      <c r="RGH39" s="66"/>
      <c r="RGI39" s="66"/>
      <c r="RGJ39" s="66"/>
      <c r="RGK39" s="66"/>
      <c r="RGL39" s="66"/>
      <c r="RGM39" s="66"/>
      <c r="RGN39" s="66"/>
      <c r="RGO39" s="66"/>
      <c r="RGP39" s="66"/>
      <c r="RGQ39" s="66"/>
      <c r="RGR39" s="66"/>
      <c r="RGS39" s="66"/>
      <c r="RGT39" s="66"/>
      <c r="RGU39" s="66"/>
      <c r="RGV39" s="66"/>
      <c r="RGW39" s="66"/>
      <c r="RGX39" s="66"/>
      <c r="RGY39" s="66"/>
      <c r="RGZ39" s="66"/>
      <c r="RHA39" s="66"/>
      <c r="RHB39" s="66"/>
      <c r="RHC39" s="66"/>
      <c r="RHD39" s="66"/>
      <c r="RHE39" s="66"/>
      <c r="RHF39" s="66"/>
      <c r="RHG39" s="66"/>
      <c r="RHH39" s="66"/>
      <c r="RHI39" s="66"/>
      <c r="RHJ39" s="66"/>
      <c r="RHK39" s="66"/>
      <c r="RHL39" s="66"/>
      <c r="RHM39" s="66"/>
      <c r="RHN39" s="66"/>
      <c r="RHO39" s="66"/>
      <c r="RHP39" s="66"/>
      <c r="RHQ39" s="66"/>
      <c r="RHR39" s="66"/>
      <c r="RHS39" s="66"/>
      <c r="RHT39" s="66"/>
      <c r="RHU39" s="66"/>
      <c r="RHV39" s="66"/>
      <c r="RHW39" s="66"/>
      <c r="RHX39" s="66"/>
      <c r="RHY39" s="66"/>
      <c r="RHZ39" s="66"/>
      <c r="RIA39" s="66"/>
      <c r="RIB39" s="66"/>
      <c r="RIC39" s="66"/>
      <c r="RID39" s="66"/>
      <c r="RIE39" s="66"/>
      <c r="RIF39" s="66"/>
      <c r="RIG39" s="66"/>
      <c r="RIH39" s="66"/>
      <c r="RII39" s="66"/>
      <c r="RIJ39" s="66"/>
      <c r="RIK39" s="66"/>
      <c r="RIL39" s="66"/>
      <c r="RIM39" s="66"/>
      <c r="RIN39" s="66"/>
      <c r="RIO39" s="66"/>
      <c r="RIP39" s="66"/>
      <c r="RIQ39" s="66"/>
      <c r="RIR39" s="66"/>
      <c r="RIS39" s="66"/>
      <c r="RIT39" s="66"/>
      <c r="RIU39" s="66"/>
      <c r="RIV39" s="66"/>
      <c r="RIW39" s="66"/>
      <c r="RIX39" s="66"/>
      <c r="RIY39" s="66"/>
      <c r="RIZ39" s="66"/>
      <c r="RJA39" s="66"/>
      <c r="RJB39" s="66"/>
      <c r="RJC39" s="66"/>
      <c r="RJD39" s="66"/>
      <c r="RJE39" s="66"/>
      <c r="RJF39" s="66"/>
      <c r="RJG39" s="66"/>
      <c r="RJH39" s="66"/>
      <c r="RJI39" s="66"/>
      <c r="RJJ39" s="66"/>
      <c r="RJK39" s="66"/>
      <c r="RJL39" s="66"/>
      <c r="RJM39" s="66"/>
      <c r="RJN39" s="66"/>
      <c r="RJO39" s="66"/>
      <c r="RJP39" s="66"/>
      <c r="RJQ39" s="66"/>
      <c r="RJR39" s="66"/>
      <c r="RJS39" s="66"/>
      <c r="RJT39" s="66"/>
      <c r="RJU39" s="66"/>
      <c r="RJV39" s="66"/>
      <c r="RJW39" s="66"/>
      <c r="RJX39" s="66"/>
      <c r="RJY39" s="66"/>
      <c r="RJZ39" s="66"/>
      <c r="RKA39" s="66"/>
      <c r="RKB39" s="66"/>
      <c r="RKC39" s="66"/>
      <c r="RKD39" s="66"/>
      <c r="RKE39" s="66"/>
      <c r="RKF39" s="66"/>
      <c r="RKG39" s="66"/>
      <c r="RKH39" s="66"/>
      <c r="RKI39" s="66"/>
      <c r="RKJ39" s="66"/>
      <c r="RKK39" s="66"/>
      <c r="RKL39" s="66"/>
      <c r="RKM39" s="66"/>
      <c r="RKN39" s="66"/>
      <c r="RKO39" s="66"/>
      <c r="RKP39" s="66"/>
      <c r="RKQ39" s="66"/>
      <c r="RKR39" s="66"/>
      <c r="RKS39" s="66"/>
      <c r="RKT39" s="66"/>
      <c r="RKU39" s="66"/>
      <c r="RKV39" s="66"/>
      <c r="RKW39" s="66"/>
      <c r="RKX39" s="66"/>
      <c r="RKY39" s="66"/>
      <c r="RKZ39" s="66"/>
      <c r="RLA39" s="66"/>
      <c r="RLB39" s="66"/>
      <c r="RLC39" s="66"/>
      <c r="RLD39" s="66"/>
      <c r="RLE39" s="66"/>
      <c r="RLF39" s="66"/>
      <c r="RLG39" s="66"/>
      <c r="RLH39" s="66"/>
      <c r="RLI39" s="66"/>
      <c r="RLJ39" s="66"/>
      <c r="RLK39" s="66"/>
      <c r="RLL39" s="66"/>
      <c r="RLM39" s="66"/>
      <c r="RLN39" s="66"/>
      <c r="RLO39" s="66"/>
      <c r="RLP39" s="66"/>
      <c r="RLQ39" s="66"/>
      <c r="RLR39" s="66"/>
      <c r="RLS39" s="66"/>
      <c r="RLT39" s="66"/>
      <c r="RLU39" s="66"/>
      <c r="RLV39" s="66"/>
      <c r="RLW39" s="66"/>
      <c r="RLX39" s="66"/>
      <c r="RLY39" s="66"/>
      <c r="RLZ39" s="66"/>
      <c r="RMA39" s="66"/>
      <c r="RMB39" s="66"/>
      <c r="RMC39" s="66"/>
      <c r="RMD39" s="66"/>
      <c r="RME39" s="66"/>
      <c r="RMF39" s="66"/>
      <c r="RMG39" s="66"/>
      <c r="RMH39" s="66"/>
      <c r="RMI39" s="66"/>
      <c r="RMJ39" s="66"/>
      <c r="RMK39" s="66"/>
      <c r="RML39" s="66"/>
      <c r="RMM39" s="66"/>
      <c r="RMN39" s="66"/>
      <c r="RMO39" s="66"/>
      <c r="RMP39" s="66"/>
      <c r="RMQ39" s="66"/>
      <c r="RMR39" s="66"/>
      <c r="RMS39" s="66"/>
      <c r="RMT39" s="66"/>
      <c r="RMU39" s="66"/>
      <c r="RMV39" s="66"/>
      <c r="RMW39" s="66"/>
      <c r="RMX39" s="66"/>
      <c r="RMY39" s="66"/>
      <c r="RMZ39" s="66"/>
      <c r="RNA39" s="66"/>
      <c r="RNB39" s="66"/>
      <c r="RNC39" s="66"/>
      <c r="RND39" s="66"/>
      <c r="RNE39" s="66"/>
      <c r="RNF39" s="66"/>
      <c r="RNG39" s="66"/>
      <c r="RNH39" s="66"/>
      <c r="RNI39" s="66"/>
      <c r="RNJ39" s="66"/>
      <c r="RNK39" s="66"/>
      <c r="RNL39" s="66"/>
      <c r="RNM39" s="66"/>
      <c r="RNN39" s="66"/>
      <c r="RNO39" s="66"/>
      <c r="RNP39" s="66"/>
      <c r="RNQ39" s="66"/>
      <c r="RNR39" s="66"/>
      <c r="RNS39" s="66"/>
      <c r="RNT39" s="66"/>
      <c r="RNU39" s="66"/>
      <c r="RNV39" s="66"/>
      <c r="RNW39" s="66"/>
      <c r="RNX39" s="66"/>
      <c r="RNY39" s="66"/>
      <c r="RNZ39" s="66"/>
      <c r="ROA39" s="66"/>
      <c r="ROB39" s="66"/>
      <c r="ROC39" s="66"/>
      <c r="ROD39" s="66"/>
      <c r="ROE39" s="66"/>
      <c r="ROF39" s="66"/>
      <c r="ROG39" s="66"/>
      <c r="ROH39" s="66"/>
      <c r="ROI39" s="66"/>
      <c r="ROJ39" s="66"/>
      <c r="ROK39" s="66"/>
      <c r="ROL39" s="66"/>
      <c r="ROM39" s="66"/>
      <c r="RON39" s="66"/>
      <c r="ROO39" s="66"/>
      <c r="ROP39" s="66"/>
      <c r="ROQ39" s="66"/>
      <c r="ROR39" s="66"/>
      <c r="ROS39" s="66"/>
      <c r="ROT39" s="66"/>
      <c r="ROU39" s="66"/>
      <c r="ROV39" s="66"/>
      <c r="ROW39" s="66"/>
      <c r="ROX39" s="66"/>
      <c r="ROY39" s="66"/>
      <c r="ROZ39" s="66"/>
      <c r="RPA39" s="66"/>
      <c r="RPB39" s="66"/>
      <c r="RPC39" s="66"/>
      <c r="RPD39" s="66"/>
      <c r="RPE39" s="66"/>
      <c r="RPF39" s="66"/>
      <c r="RPG39" s="66"/>
      <c r="RPH39" s="66"/>
      <c r="RPI39" s="66"/>
      <c r="RPJ39" s="66"/>
      <c r="RPK39" s="66"/>
      <c r="RPL39" s="66"/>
      <c r="RPM39" s="66"/>
      <c r="RPN39" s="66"/>
      <c r="RPO39" s="66"/>
      <c r="RPP39" s="66"/>
      <c r="RPQ39" s="66"/>
      <c r="RPR39" s="66"/>
      <c r="RPS39" s="66"/>
      <c r="RPT39" s="66"/>
      <c r="RPU39" s="66"/>
      <c r="RPV39" s="66"/>
      <c r="RPW39" s="66"/>
      <c r="RPX39" s="66"/>
      <c r="RPY39" s="66"/>
      <c r="RPZ39" s="66"/>
      <c r="RQA39" s="66"/>
      <c r="RQB39" s="66"/>
      <c r="RQC39" s="66"/>
      <c r="RQD39" s="66"/>
      <c r="RQE39" s="66"/>
      <c r="RQF39" s="66"/>
      <c r="RQG39" s="66"/>
      <c r="RQH39" s="66"/>
      <c r="RQI39" s="66"/>
      <c r="RQJ39" s="66"/>
      <c r="RQK39" s="66"/>
      <c r="RQL39" s="66"/>
      <c r="RQM39" s="66"/>
      <c r="RQN39" s="66"/>
      <c r="RQO39" s="66"/>
      <c r="RQP39" s="66"/>
      <c r="RQQ39" s="66"/>
      <c r="RQR39" s="66"/>
      <c r="RQS39" s="66"/>
      <c r="RQT39" s="66"/>
      <c r="RQU39" s="66"/>
      <c r="RQV39" s="66"/>
      <c r="RQW39" s="66"/>
      <c r="RQX39" s="66"/>
      <c r="RQY39" s="66"/>
      <c r="RQZ39" s="66"/>
      <c r="RRA39" s="66"/>
      <c r="RRB39" s="66"/>
      <c r="RRC39" s="66"/>
      <c r="RRD39" s="66"/>
      <c r="RRE39" s="66"/>
      <c r="RRF39" s="66"/>
      <c r="RRG39" s="66"/>
      <c r="RRH39" s="66"/>
      <c r="RRI39" s="66"/>
      <c r="RRJ39" s="66"/>
      <c r="RRK39" s="66"/>
      <c r="RRL39" s="66"/>
      <c r="RRM39" s="66"/>
      <c r="RRN39" s="66"/>
      <c r="RRO39" s="66"/>
      <c r="RRP39" s="66"/>
      <c r="RRQ39" s="66"/>
      <c r="RRR39" s="66"/>
      <c r="RRS39" s="66"/>
      <c r="RRT39" s="66"/>
      <c r="RRU39" s="66"/>
      <c r="RRV39" s="66"/>
      <c r="RRW39" s="66"/>
      <c r="RRX39" s="66"/>
      <c r="RRY39" s="66"/>
      <c r="RRZ39" s="66"/>
      <c r="RSA39" s="66"/>
      <c r="RSB39" s="66"/>
      <c r="RSC39" s="66"/>
      <c r="RSD39" s="66"/>
      <c r="RSE39" s="66"/>
      <c r="RSF39" s="66"/>
      <c r="RSG39" s="66"/>
      <c r="RSH39" s="66"/>
      <c r="RSI39" s="66"/>
      <c r="RSJ39" s="66"/>
      <c r="RSK39" s="66"/>
      <c r="RSL39" s="66"/>
      <c r="RSM39" s="66"/>
      <c r="RSN39" s="66"/>
      <c r="RSO39" s="66"/>
      <c r="RSP39" s="66"/>
      <c r="RSQ39" s="66"/>
      <c r="RSR39" s="66"/>
      <c r="RSS39" s="66"/>
      <c r="RST39" s="66"/>
      <c r="RSU39" s="66"/>
      <c r="RSV39" s="66"/>
      <c r="RSW39" s="66"/>
      <c r="RSX39" s="66"/>
      <c r="RSY39" s="66"/>
      <c r="RSZ39" s="66"/>
      <c r="RTA39" s="66"/>
      <c r="RTB39" s="66"/>
      <c r="RTC39" s="66"/>
      <c r="RTD39" s="66"/>
      <c r="RTE39" s="66"/>
      <c r="RTF39" s="66"/>
      <c r="RTG39" s="66"/>
      <c r="RTH39" s="66"/>
      <c r="RTI39" s="66"/>
      <c r="RTJ39" s="66"/>
      <c r="RTK39" s="66"/>
      <c r="RTL39" s="66"/>
      <c r="RTM39" s="66"/>
      <c r="RTN39" s="66"/>
      <c r="RTO39" s="66"/>
      <c r="RTP39" s="66"/>
      <c r="RTQ39" s="66"/>
      <c r="RTR39" s="66"/>
      <c r="RTS39" s="66"/>
      <c r="RTT39" s="66"/>
      <c r="RTU39" s="66"/>
      <c r="RTV39" s="66"/>
      <c r="RTW39" s="66"/>
      <c r="RTX39" s="66"/>
      <c r="RTY39" s="66"/>
      <c r="RTZ39" s="66"/>
      <c r="RUA39" s="66"/>
      <c r="RUB39" s="66"/>
      <c r="RUC39" s="66"/>
      <c r="RUD39" s="66"/>
      <c r="RUE39" s="66"/>
      <c r="RUF39" s="66"/>
      <c r="RUG39" s="66"/>
      <c r="RUH39" s="66"/>
      <c r="RUI39" s="66"/>
      <c r="RUJ39" s="66"/>
      <c r="RUK39" s="66"/>
      <c r="RUL39" s="66"/>
      <c r="RUM39" s="66"/>
      <c r="RUN39" s="66"/>
      <c r="RUO39" s="66"/>
      <c r="RUP39" s="66"/>
      <c r="RUQ39" s="66"/>
      <c r="RUR39" s="66"/>
      <c r="RUS39" s="66"/>
      <c r="RUT39" s="66"/>
      <c r="RUU39" s="66"/>
      <c r="RUV39" s="66"/>
      <c r="RUW39" s="66"/>
      <c r="RUX39" s="66"/>
      <c r="RUY39" s="66"/>
      <c r="RUZ39" s="66"/>
      <c r="RVA39" s="66"/>
      <c r="RVB39" s="66"/>
      <c r="RVC39" s="66"/>
      <c r="RVD39" s="66"/>
      <c r="RVE39" s="66"/>
      <c r="RVF39" s="66"/>
      <c r="RVG39" s="66"/>
      <c r="RVH39" s="66"/>
      <c r="RVI39" s="66"/>
      <c r="RVJ39" s="66"/>
      <c r="RVK39" s="66"/>
      <c r="RVL39" s="66"/>
      <c r="RVM39" s="66"/>
      <c r="RVN39" s="66"/>
      <c r="RVO39" s="66"/>
      <c r="RVP39" s="66"/>
      <c r="RVQ39" s="66"/>
      <c r="RVR39" s="66"/>
      <c r="RVS39" s="66"/>
      <c r="RVT39" s="66"/>
      <c r="RVU39" s="66"/>
      <c r="RVV39" s="66"/>
      <c r="RVW39" s="66"/>
      <c r="RVX39" s="66"/>
      <c r="RVY39" s="66"/>
      <c r="RVZ39" s="66"/>
      <c r="RWA39" s="66"/>
      <c r="RWB39" s="66"/>
      <c r="RWC39" s="66"/>
      <c r="RWD39" s="66"/>
      <c r="RWE39" s="66"/>
      <c r="RWF39" s="66"/>
      <c r="RWG39" s="66"/>
      <c r="RWH39" s="66"/>
      <c r="RWI39" s="66"/>
      <c r="RWJ39" s="66"/>
      <c r="RWK39" s="66"/>
      <c r="RWL39" s="66"/>
      <c r="RWM39" s="66"/>
      <c r="RWN39" s="66"/>
      <c r="RWO39" s="66"/>
      <c r="RWP39" s="66"/>
      <c r="RWQ39" s="66"/>
      <c r="RWR39" s="66"/>
      <c r="RWS39" s="66"/>
      <c r="RWT39" s="66"/>
      <c r="RWU39" s="66"/>
      <c r="RWV39" s="66"/>
      <c r="RWW39" s="66"/>
      <c r="RWX39" s="66"/>
      <c r="RWY39" s="66"/>
      <c r="RWZ39" s="66"/>
      <c r="RXA39" s="66"/>
      <c r="RXB39" s="66"/>
      <c r="RXC39" s="66"/>
      <c r="RXD39" s="66"/>
      <c r="RXE39" s="66"/>
      <c r="RXF39" s="66"/>
      <c r="RXG39" s="66"/>
      <c r="RXH39" s="66"/>
      <c r="RXI39" s="66"/>
      <c r="RXJ39" s="66"/>
      <c r="RXK39" s="66"/>
      <c r="RXL39" s="66"/>
      <c r="RXM39" s="66"/>
      <c r="RXN39" s="66"/>
      <c r="RXO39" s="66"/>
      <c r="RXP39" s="66"/>
      <c r="RXQ39" s="66"/>
      <c r="RXR39" s="66"/>
      <c r="RXS39" s="66"/>
      <c r="RXT39" s="66"/>
      <c r="RXU39" s="66"/>
      <c r="RXV39" s="66"/>
      <c r="RXW39" s="66"/>
      <c r="RXX39" s="66"/>
      <c r="RXY39" s="66"/>
      <c r="RXZ39" s="66"/>
      <c r="RYA39" s="66"/>
      <c r="RYB39" s="66"/>
      <c r="RYC39" s="66"/>
      <c r="RYD39" s="66"/>
      <c r="RYE39" s="66"/>
      <c r="RYF39" s="66"/>
      <c r="RYG39" s="66"/>
      <c r="RYH39" s="66"/>
      <c r="RYI39" s="66"/>
      <c r="RYJ39" s="66"/>
      <c r="RYK39" s="66"/>
      <c r="RYL39" s="66"/>
      <c r="RYM39" s="66"/>
      <c r="RYN39" s="66"/>
      <c r="RYO39" s="66"/>
      <c r="RYP39" s="66"/>
      <c r="RYQ39" s="66"/>
      <c r="RYR39" s="66"/>
      <c r="RYS39" s="66"/>
      <c r="RYT39" s="66"/>
      <c r="RYU39" s="66"/>
      <c r="RYV39" s="66"/>
      <c r="RYW39" s="66"/>
      <c r="RYX39" s="66"/>
      <c r="RYY39" s="66"/>
      <c r="RYZ39" s="66"/>
      <c r="RZA39" s="66"/>
      <c r="RZB39" s="66"/>
      <c r="RZC39" s="66"/>
      <c r="RZD39" s="66"/>
      <c r="RZE39" s="66"/>
      <c r="RZF39" s="66"/>
      <c r="RZG39" s="66"/>
      <c r="RZH39" s="66"/>
      <c r="RZI39" s="66"/>
      <c r="RZJ39" s="66"/>
      <c r="RZK39" s="66"/>
      <c r="RZL39" s="66"/>
      <c r="RZM39" s="66"/>
      <c r="RZN39" s="66"/>
      <c r="RZO39" s="66"/>
      <c r="RZP39" s="66"/>
      <c r="RZQ39" s="66"/>
      <c r="RZR39" s="66"/>
      <c r="RZS39" s="66"/>
      <c r="RZT39" s="66"/>
      <c r="RZU39" s="66"/>
      <c r="RZV39" s="66"/>
      <c r="RZW39" s="66"/>
      <c r="RZX39" s="66"/>
      <c r="RZY39" s="66"/>
      <c r="RZZ39" s="66"/>
      <c r="SAA39" s="66"/>
      <c r="SAB39" s="66"/>
      <c r="SAC39" s="66"/>
      <c r="SAD39" s="66"/>
      <c r="SAE39" s="66"/>
      <c r="SAF39" s="66"/>
      <c r="SAG39" s="66"/>
      <c r="SAH39" s="66"/>
      <c r="SAI39" s="66"/>
      <c r="SAJ39" s="66"/>
      <c r="SAK39" s="66"/>
      <c r="SAL39" s="66"/>
      <c r="SAM39" s="66"/>
      <c r="SAN39" s="66"/>
      <c r="SAO39" s="66"/>
      <c r="SAP39" s="66"/>
      <c r="SAQ39" s="66"/>
      <c r="SAR39" s="66"/>
      <c r="SAS39" s="66"/>
      <c r="SAT39" s="66"/>
      <c r="SAU39" s="66"/>
      <c r="SAV39" s="66"/>
      <c r="SAW39" s="66"/>
      <c r="SAX39" s="66"/>
      <c r="SAY39" s="66"/>
      <c r="SAZ39" s="66"/>
      <c r="SBA39" s="66"/>
      <c r="SBB39" s="66"/>
      <c r="SBC39" s="66"/>
      <c r="SBD39" s="66"/>
      <c r="SBE39" s="66"/>
      <c r="SBF39" s="66"/>
      <c r="SBG39" s="66"/>
      <c r="SBH39" s="66"/>
      <c r="SBI39" s="66"/>
      <c r="SBJ39" s="66"/>
      <c r="SBK39" s="66"/>
      <c r="SBL39" s="66"/>
      <c r="SBM39" s="66"/>
      <c r="SBN39" s="66"/>
      <c r="SBO39" s="66"/>
      <c r="SBP39" s="66"/>
      <c r="SBQ39" s="66"/>
      <c r="SBR39" s="66"/>
      <c r="SBS39" s="66"/>
      <c r="SBT39" s="66"/>
      <c r="SBU39" s="66"/>
      <c r="SBV39" s="66"/>
      <c r="SBW39" s="66"/>
      <c r="SBX39" s="66"/>
      <c r="SBY39" s="66"/>
      <c r="SBZ39" s="66"/>
      <c r="SCA39" s="66"/>
      <c r="SCB39" s="66"/>
      <c r="SCC39" s="66"/>
      <c r="SCD39" s="66"/>
      <c r="SCE39" s="66"/>
      <c r="SCF39" s="66"/>
      <c r="SCG39" s="66"/>
      <c r="SCH39" s="66"/>
      <c r="SCI39" s="66"/>
      <c r="SCJ39" s="66"/>
      <c r="SCK39" s="66"/>
      <c r="SCL39" s="66"/>
      <c r="SCM39" s="66"/>
      <c r="SCN39" s="66"/>
      <c r="SCO39" s="66"/>
      <c r="SCP39" s="66"/>
      <c r="SCQ39" s="66"/>
      <c r="SCR39" s="66"/>
      <c r="SCS39" s="66"/>
      <c r="SCT39" s="66"/>
      <c r="SCU39" s="66"/>
      <c r="SCV39" s="66"/>
      <c r="SCW39" s="66"/>
      <c r="SCX39" s="66"/>
      <c r="SCY39" s="66"/>
      <c r="SCZ39" s="66"/>
      <c r="SDA39" s="66"/>
      <c r="SDB39" s="66"/>
      <c r="SDC39" s="66"/>
      <c r="SDD39" s="66"/>
      <c r="SDE39" s="66"/>
      <c r="SDF39" s="66"/>
      <c r="SDG39" s="66"/>
      <c r="SDH39" s="66"/>
      <c r="SDI39" s="66"/>
      <c r="SDJ39" s="66"/>
      <c r="SDK39" s="66"/>
      <c r="SDL39" s="66"/>
      <c r="SDM39" s="66"/>
      <c r="SDN39" s="66"/>
      <c r="SDO39" s="66"/>
      <c r="SDP39" s="66"/>
      <c r="SDQ39" s="66"/>
      <c r="SDR39" s="66"/>
      <c r="SDS39" s="66"/>
      <c r="SDT39" s="66"/>
      <c r="SDU39" s="66"/>
      <c r="SDV39" s="66"/>
      <c r="SDW39" s="66"/>
      <c r="SDX39" s="66"/>
      <c r="SDY39" s="66"/>
      <c r="SDZ39" s="66"/>
      <c r="SEA39" s="66"/>
      <c r="SEB39" s="66"/>
      <c r="SEC39" s="66"/>
      <c r="SED39" s="66"/>
      <c r="SEE39" s="66"/>
      <c r="SEF39" s="66"/>
      <c r="SEG39" s="66"/>
      <c r="SEH39" s="66"/>
      <c r="SEI39" s="66"/>
      <c r="SEJ39" s="66"/>
      <c r="SEK39" s="66"/>
      <c r="SEL39" s="66"/>
      <c r="SEM39" s="66"/>
      <c r="SEN39" s="66"/>
      <c r="SEO39" s="66"/>
      <c r="SEP39" s="66"/>
      <c r="SEQ39" s="66"/>
      <c r="SER39" s="66"/>
      <c r="SES39" s="66"/>
      <c r="SET39" s="66"/>
      <c r="SEU39" s="66"/>
      <c r="SEV39" s="66"/>
      <c r="SEW39" s="66"/>
      <c r="SEX39" s="66"/>
      <c r="SEY39" s="66"/>
      <c r="SEZ39" s="66"/>
      <c r="SFA39" s="66"/>
      <c r="SFB39" s="66"/>
      <c r="SFC39" s="66"/>
      <c r="SFD39" s="66"/>
      <c r="SFE39" s="66"/>
      <c r="SFF39" s="66"/>
      <c r="SFG39" s="66"/>
      <c r="SFH39" s="66"/>
      <c r="SFI39" s="66"/>
      <c r="SFJ39" s="66"/>
      <c r="SFK39" s="66"/>
      <c r="SFL39" s="66"/>
      <c r="SFM39" s="66"/>
      <c r="SFN39" s="66"/>
      <c r="SFO39" s="66"/>
      <c r="SFP39" s="66"/>
      <c r="SFQ39" s="66"/>
      <c r="SFR39" s="66"/>
      <c r="SFS39" s="66"/>
      <c r="SFT39" s="66"/>
      <c r="SFU39" s="66"/>
      <c r="SFV39" s="66"/>
      <c r="SFW39" s="66"/>
      <c r="SFX39" s="66"/>
      <c r="SFY39" s="66"/>
      <c r="SFZ39" s="66"/>
      <c r="SGA39" s="66"/>
      <c r="SGB39" s="66"/>
      <c r="SGC39" s="66"/>
      <c r="SGD39" s="66"/>
      <c r="SGE39" s="66"/>
      <c r="SGF39" s="66"/>
      <c r="SGG39" s="66"/>
      <c r="SGH39" s="66"/>
      <c r="SGI39" s="66"/>
      <c r="SGJ39" s="66"/>
      <c r="SGK39" s="66"/>
      <c r="SGL39" s="66"/>
      <c r="SGM39" s="66"/>
      <c r="SGN39" s="66"/>
      <c r="SGO39" s="66"/>
      <c r="SGP39" s="66"/>
      <c r="SGQ39" s="66"/>
      <c r="SGR39" s="66"/>
      <c r="SGS39" s="66"/>
      <c r="SGT39" s="66"/>
      <c r="SGU39" s="66"/>
      <c r="SGV39" s="66"/>
      <c r="SGW39" s="66"/>
      <c r="SGX39" s="66"/>
      <c r="SGY39" s="66"/>
      <c r="SGZ39" s="66"/>
      <c r="SHA39" s="66"/>
      <c r="SHB39" s="66"/>
      <c r="SHC39" s="66"/>
      <c r="SHD39" s="66"/>
      <c r="SHE39" s="66"/>
      <c r="SHF39" s="66"/>
      <c r="SHG39" s="66"/>
      <c r="SHH39" s="66"/>
      <c r="SHI39" s="66"/>
      <c r="SHJ39" s="66"/>
      <c r="SHK39" s="66"/>
      <c r="SHL39" s="66"/>
      <c r="SHM39" s="66"/>
      <c r="SHN39" s="66"/>
      <c r="SHO39" s="66"/>
      <c r="SHP39" s="66"/>
      <c r="SHQ39" s="66"/>
      <c r="SHR39" s="66"/>
      <c r="SHS39" s="66"/>
      <c r="SHT39" s="66"/>
      <c r="SHU39" s="66"/>
      <c r="SHV39" s="66"/>
      <c r="SHW39" s="66"/>
      <c r="SHX39" s="66"/>
      <c r="SHY39" s="66"/>
      <c r="SHZ39" s="66"/>
      <c r="SIA39" s="66"/>
      <c r="SIB39" s="66"/>
      <c r="SIC39" s="66"/>
      <c r="SID39" s="66"/>
      <c r="SIE39" s="66"/>
      <c r="SIF39" s="66"/>
      <c r="SIG39" s="66"/>
      <c r="SIH39" s="66"/>
      <c r="SII39" s="66"/>
      <c r="SIJ39" s="66"/>
      <c r="SIK39" s="66"/>
      <c r="SIL39" s="66"/>
      <c r="SIM39" s="66"/>
      <c r="SIN39" s="66"/>
      <c r="SIO39" s="66"/>
      <c r="SIP39" s="66"/>
      <c r="SIQ39" s="66"/>
      <c r="SIR39" s="66"/>
      <c r="SIS39" s="66"/>
      <c r="SIT39" s="66"/>
      <c r="SIU39" s="66"/>
      <c r="SIV39" s="66"/>
      <c r="SIW39" s="66"/>
      <c r="SIX39" s="66"/>
      <c r="SIY39" s="66"/>
      <c r="SIZ39" s="66"/>
      <c r="SJA39" s="66"/>
      <c r="SJB39" s="66"/>
      <c r="SJC39" s="66"/>
      <c r="SJD39" s="66"/>
      <c r="SJE39" s="66"/>
      <c r="SJF39" s="66"/>
      <c r="SJG39" s="66"/>
      <c r="SJH39" s="66"/>
      <c r="SJI39" s="66"/>
      <c r="SJJ39" s="66"/>
      <c r="SJK39" s="66"/>
      <c r="SJL39" s="66"/>
      <c r="SJM39" s="66"/>
      <c r="SJN39" s="66"/>
      <c r="SJO39" s="66"/>
      <c r="SJP39" s="66"/>
      <c r="SJQ39" s="66"/>
      <c r="SJR39" s="66"/>
      <c r="SJS39" s="66"/>
      <c r="SJT39" s="66"/>
      <c r="SJU39" s="66"/>
      <c r="SJV39" s="66"/>
      <c r="SJW39" s="66"/>
      <c r="SJX39" s="66"/>
      <c r="SJY39" s="66"/>
      <c r="SJZ39" s="66"/>
      <c r="SKA39" s="66"/>
      <c r="SKB39" s="66"/>
      <c r="SKC39" s="66"/>
      <c r="SKD39" s="66"/>
      <c r="SKE39" s="66"/>
      <c r="SKF39" s="66"/>
      <c r="SKG39" s="66"/>
      <c r="SKH39" s="66"/>
      <c r="SKI39" s="66"/>
      <c r="SKJ39" s="66"/>
      <c r="SKK39" s="66"/>
      <c r="SKL39" s="66"/>
      <c r="SKM39" s="66"/>
      <c r="SKN39" s="66"/>
      <c r="SKO39" s="66"/>
      <c r="SKP39" s="66"/>
      <c r="SKQ39" s="66"/>
      <c r="SKR39" s="66"/>
      <c r="SKS39" s="66"/>
      <c r="SKT39" s="66"/>
      <c r="SKU39" s="66"/>
      <c r="SKV39" s="66"/>
      <c r="SKW39" s="66"/>
      <c r="SKX39" s="66"/>
      <c r="SKY39" s="66"/>
      <c r="SKZ39" s="66"/>
      <c r="SLA39" s="66"/>
      <c r="SLB39" s="66"/>
      <c r="SLC39" s="66"/>
      <c r="SLD39" s="66"/>
      <c r="SLE39" s="66"/>
      <c r="SLF39" s="66"/>
      <c r="SLG39" s="66"/>
      <c r="SLH39" s="66"/>
      <c r="SLI39" s="66"/>
      <c r="SLJ39" s="66"/>
      <c r="SLK39" s="66"/>
      <c r="SLL39" s="66"/>
      <c r="SLM39" s="66"/>
      <c r="SLN39" s="66"/>
      <c r="SLO39" s="66"/>
      <c r="SLP39" s="66"/>
      <c r="SLQ39" s="66"/>
      <c r="SLR39" s="66"/>
      <c r="SLS39" s="66"/>
      <c r="SLT39" s="66"/>
      <c r="SLU39" s="66"/>
      <c r="SLV39" s="66"/>
      <c r="SLW39" s="66"/>
      <c r="SLX39" s="66"/>
      <c r="SLY39" s="66"/>
      <c r="SLZ39" s="66"/>
      <c r="SMA39" s="66"/>
      <c r="SMB39" s="66"/>
      <c r="SMC39" s="66"/>
      <c r="SMD39" s="66"/>
      <c r="SME39" s="66"/>
      <c r="SMF39" s="66"/>
      <c r="SMG39" s="66"/>
      <c r="SMH39" s="66"/>
      <c r="SMI39" s="66"/>
      <c r="SMJ39" s="66"/>
      <c r="SMK39" s="66"/>
      <c r="SML39" s="66"/>
      <c r="SMM39" s="66"/>
      <c r="SMN39" s="66"/>
      <c r="SMO39" s="66"/>
      <c r="SMP39" s="66"/>
      <c r="SMQ39" s="66"/>
      <c r="SMR39" s="66"/>
      <c r="SMS39" s="66"/>
      <c r="SMT39" s="66"/>
      <c r="SMU39" s="66"/>
      <c r="SMV39" s="66"/>
      <c r="SMW39" s="66"/>
      <c r="SMX39" s="66"/>
      <c r="SMY39" s="66"/>
      <c r="SMZ39" s="66"/>
      <c r="SNA39" s="66"/>
      <c r="SNB39" s="66"/>
      <c r="SNC39" s="66"/>
      <c r="SND39" s="66"/>
      <c r="SNE39" s="66"/>
      <c r="SNF39" s="66"/>
      <c r="SNG39" s="66"/>
      <c r="SNH39" s="66"/>
      <c r="SNI39" s="66"/>
      <c r="SNJ39" s="66"/>
      <c r="SNK39" s="66"/>
      <c r="SNL39" s="66"/>
      <c r="SNM39" s="66"/>
      <c r="SNN39" s="66"/>
      <c r="SNO39" s="66"/>
      <c r="SNP39" s="66"/>
      <c r="SNQ39" s="66"/>
      <c r="SNR39" s="66"/>
      <c r="SNS39" s="66"/>
      <c r="SNT39" s="66"/>
      <c r="SNU39" s="66"/>
      <c r="SNV39" s="66"/>
      <c r="SNW39" s="66"/>
      <c r="SNX39" s="66"/>
      <c r="SNY39" s="66"/>
      <c r="SNZ39" s="66"/>
      <c r="SOA39" s="66"/>
      <c r="SOB39" s="66"/>
      <c r="SOC39" s="66"/>
      <c r="SOD39" s="66"/>
      <c r="SOE39" s="66"/>
      <c r="SOF39" s="66"/>
      <c r="SOG39" s="66"/>
      <c r="SOH39" s="66"/>
      <c r="SOI39" s="66"/>
      <c r="SOJ39" s="66"/>
      <c r="SOK39" s="66"/>
      <c r="SOL39" s="66"/>
      <c r="SOM39" s="66"/>
      <c r="SON39" s="66"/>
      <c r="SOO39" s="66"/>
      <c r="SOP39" s="66"/>
      <c r="SOQ39" s="66"/>
      <c r="SOR39" s="66"/>
      <c r="SOS39" s="66"/>
      <c r="SOT39" s="66"/>
      <c r="SOU39" s="66"/>
      <c r="SOV39" s="66"/>
      <c r="SOW39" s="66"/>
      <c r="SOX39" s="66"/>
      <c r="SOY39" s="66"/>
      <c r="SOZ39" s="66"/>
      <c r="SPA39" s="66"/>
      <c r="SPB39" s="66"/>
      <c r="SPC39" s="66"/>
      <c r="SPD39" s="66"/>
      <c r="SPE39" s="66"/>
      <c r="SPF39" s="66"/>
      <c r="SPG39" s="66"/>
      <c r="SPH39" s="66"/>
      <c r="SPI39" s="66"/>
      <c r="SPJ39" s="66"/>
      <c r="SPK39" s="66"/>
      <c r="SPL39" s="66"/>
      <c r="SPM39" s="66"/>
      <c r="SPN39" s="66"/>
      <c r="SPO39" s="66"/>
      <c r="SPP39" s="66"/>
      <c r="SPQ39" s="66"/>
      <c r="SPR39" s="66"/>
      <c r="SPS39" s="66"/>
      <c r="SPT39" s="66"/>
      <c r="SPU39" s="66"/>
      <c r="SPV39" s="66"/>
      <c r="SPW39" s="66"/>
      <c r="SPX39" s="66"/>
      <c r="SPY39" s="66"/>
      <c r="SPZ39" s="66"/>
      <c r="SQA39" s="66"/>
      <c r="SQB39" s="66"/>
      <c r="SQC39" s="66"/>
      <c r="SQD39" s="66"/>
      <c r="SQE39" s="66"/>
      <c r="SQF39" s="66"/>
      <c r="SQG39" s="66"/>
      <c r="SQH39" s="66"/>
      <c r="SQI39" s="66"/>
      <c r="SQJ39" s="66"/>
      <c r="SQK39" s="66"/>
      <c r="SQL39" s="66"/>
      <c r="SQM39" s="66"/>
      <c r="SQN39" s="66"/>
      <c r="SQO39" s="66"/>
      <c r="SQP39" s="66"/>
      <c r="SQQ39" s="66"/>
      <c r="SQR39" s="66"/>
      <c r="SQS39" s="66"/>
      <c r="SQT39" s="66"/>
      <c r="SQU39" s="66"/>
      <c r="SQV39" s="66"/>
      <c r="SQW39" s="66"/>
      <c r="SQX39" s="66"/>
      <c r="SQY39" s="66"/>
      <c r="SQZ39" s="66"/>
      <c r="SRA39" s="66"/>
      <c r="SRB39" s="66"/>
      <c r="SRC39" s="66"/>
      <c r="SRD39" s="66"/>
      <c r="SRE39" s="66"/>
      <c r="SRF39" s="66"/>
      <c r="SRG39" s="66"/>
      <c r="SRH39" s="66"/>
      <c r="SRI39" s="66"/>
      <c r="SRJ39" s="66"/>
      <c r="SRK39" s="66"/>
      <c r="SRL39" s="66"/>
      <c r="SRM39" s="66"/>
      <c r="SRN39" s="66"/>
      <c r="SRO39" s="66"/>
      <c r="SRP39" s="66"/>
      <c r="SRQ39" s="66"/>
      <c r="SRR39" s="66"/>
      <c r="SRS39" s="66"/>
      <c r="SRT39" s="66"/>
      <c r="SRU39" s="66"/>
      <c r="SRV39" s="66"/>
      <c r="SRW39" s="66"/>
      <c r="SRX39" s="66"/>
      <c r="SRY39" s="66"/>
      <c r="SRZ39" s="66"/>
      <c r="SSA39" s="66"/>
      <c r="SSB39" s="66"/>
      <c r="SSC39" s="66"/>
      <c r="SSD39" s="66"/>
      <c r="SSE39" s="66"/>
      <c r="SSF39" s="66"/>
      <c r="SSG39" s="66"/>
      <c r="SSH39" s="66"/>
      <c r="SSI39" s="66"/>
      <c r="SSJ39" s="66"/>
      <c r="SSK39" s="66"/>
      <c r="SSL39" s="66"/>
      <c r="SSM39" s="66"/>
      <c r="SSN39" s="66"/>
      <c r="SSO39" s="66"/>
      <c r="SSP39" s="66"/>
      <c r="SSQ39" s="66"/>
      <c r="SSR39" s="66"/>
      <c r="SSS39" s="66"/>
      <c r="SST39" s="66"/>
      <c r="SSU39" s="66"/>
      <c r="SSV39" s="66"/>
      <c r="SSW39" s="66"/>
      <c r="SSX39" s="66"/>
      <c r="SSY39" s="66"/>
      <c r="SSZ39" s="66"/>
      <c r="STA39" s="66"/>
      <c r="STB39" s="66"/>
      <c r="STC39" s="66"/>
      <c r="STD39" s="66"/>
      <c r="STE39" s="66"/>
      <c r="STF39" s="66"/>
      <c r="STG39" s="66"/>
      <c r="STH39" s="66"/>
      <c r="STI39" s="66"/>
      <c r="STJ39" s="66"/>
      <c r="STK39" s="66"/>
      <c r="STL39" s="66"/>
      <c r="STM39" s="66"/>
      <c r="STN39" s="66"/>
      <c r="STO39" s="66"/>
      <c r="STP39" s="66"/>
      <c r="STQ39" s="66"/>
      <c r="STR39" s="66"/>
      <c r="STS39" s="66"/>
      <c r="STT39" s="66"/>
      <c r="STU39" s="66"/>
      <c r="STV39" s="66"/>
      <c r="STW39" s="66"/>
      <c r="STX39" s="66"/>
      <c r="STY39" s="66"/>
      <c r="STZ39" s="66"/>
      <c r="SUA39" s="66"/>
      <c r="SUB39" s="66"/>
      <c r="SUC39" s="66"/>
      <c r="SUD39" s="66"/>
      <c r="SUE39" s="66"/>
      <c r="SUF39" s="66"/>
      <c r="SUG39" s="66"/>
      <c r="SUH39" s="66"/>
      <c r="SUI39" s="66"/>
      <c r="SUJ39" s="66"/>
      <c r="SUK39" s="66"/>
      <c r="SUL39" s="66"/>
      <c r="SUM39" s="66"/>
      <c r="SUN39" s="66"/>
      <c r="SUO39" s="66"/>
      <c r="SUP39" s="66"/>
      <c r="SUQ39" s="66"/>
      <c r="SUR39" s="66"/>
      <c r="SUS39" s="66"/>
      <c r="SUT39" s="66"/>
      <c r="SUU39" s="66"/>
      <c r="SUV39" s="66"/>
      <c r="SUW39" s="66"/>
      <c r="SUX39" s="66"/>
      <c r="SUY39" s="66"/>
      <c r="SUZ39" s="66"/>
      <c r="SVA39" s="66"/>
      <c r="SVB39" s="66"/>
      <c r="SVC39" s="66"/>
      <c r="SVD39" s="66"/>
      <c r="SVE39" s="66"/>
      <c r="SVF39" s="66"/>
      <c r="SVG39" s="66"/>
      <c r="SVH39" s="66"/>
      <c r="SVI39" s="66"/>
      <c r="SVJ39" s="66"/>
      <c r="SVK39" s="66"/>
      <c r="SVL39" s="66"/>
      <c r="SVM39" s="66"/>
      <c r="SVN39" s="66"/>
      <c r="SVO39" s="66"/>
      <c r="SVP39" s="66"/>
      <c r="SVQ39" s="66"/>
      <c r="SVR39" s="66"/>
      <c r="SVS39" s="66"/>
      <c r="SVT39" s="66"/>
      <c r="SVU39" s="66"/>
      <c r="SVV39" s="66"/>
      <c r="SVW39" s="66"/>
      <c r="SVX39" s="66"/>
      <c r="SVY39" s="66"/>
      <c r="SVZ39" s="66"/>
      <c r="SWA39" s="66"/>
      <c r="SWB39" s="66"/>
      <c r="SWC39" s="66"/>
      <c r="SWD39" s="66"/>
      <c r="SWE39" s="66"/>
      <c r="SWF39" s="66"/>
      <c r="SWG39" s="66"/>
      <c r="SWH39" s="66"/>
      <c r="SWI39" s="66"/>
      <c r="SWJ39" s="66"/>
      <c r="SWK39" s="66"/>
      <c r="SWL39" s="66"/>
      <c r="SWM39" s="66"/>
      <c r="SWN39" s="66"/>
      <c r="SWO39" s="66"/>
      <c r="SWP39" s="66"/>
      <c r="SWQ39" s="66"/>
      <c r="SWR39" s="66"/>
      <c r="SWS39" s="66"/>
      <c r="SWT39" s="66"/>
      <c r="SWU39" s="66"/>
      <c r="SWV39" s="66"/>
      <c r="SWW39" s="66"/>
      <c r="SWX39" s="66"/>
      <c r="SWY39" s="66"/>
      <c r="SWZ39" s="66"/>
      <c r="SXA39" s="66"/>
      <c r="SXB39" s="66"/>
      <c r="SXC39" s="66"/>
      <c r="SXD39" s="66"/>
      <c r="SXE39" s="66"/>
      <c r="SXF39" s="66"/>
      <c r="SXG39" s="66"/>
      <c r="SXH39" s="66"/>
      <c r="SXI39" s="66"/>
      <c r="SXJ39" s="66"/>
      <c r="SXK39" s="66"/>
      <c r="SXL39" s="66"/>
      <c r="SXM39" s="66"/>
      <c r="SXN39" s="66"/>
      <c r="SXO39" s="66"/>
      <c r="SXP39" s="66"/>
      <c r="SXQ39" s="66"/>
      <c r="SXR39" s="66"/>
      <c r="SXS39" s="66"/>
      <c r="SXT39" s="66"/>
      <c r="SXU39" s="66"/>
      <c r="SXV39" s="66"/>
      <c r="SXW39" s="66"/>
      <c r="SXX39" s="66"/>
      <c r="SXY39" s="66"/>
      <c r="SXZ39" s="66"/>
      <c r="SYA39" s="66"/>
      <c r="SYB39" s="66"/>
      <c r="SYC39" s="66"/>
      <c r="SYD39" s="66"/>
      <c r="SYE39" s="66"/>
      <c r="SYF39" s="66"/>
      <c r="SYG39" s="66"/>
      <c r="SYH39" s="66"/>
      <c r="SYI39" s="66"/>
      <c r="SYJ39" s="66"/>
      <c r="SYK39" s="66"/>
      <c r="SYL39" s="66"/>
      <c r="SYM39" s="66"/>
      <c r="SYN39" s="66"/>
      <c r="SYO39" s="66"/>
      <c r="SYP39" s="66"/>
      <c r="SYQ39" s="66"/>
      <c r="SYR39" s="66"/>
      <c r="SYS39" s="66"/>
      <c r="SYT39" s="66"/>
      <c r="SYU39" s="66"/>
      <c r="SYV39" s="66"/>
      <c r="SYW39" s="66"/>
      <c r="SYX39" s="66"/>
      <c r="SYY39" s="66"/>
      <c r="SYZ39" s="66"/>
      <c r="SZA39" s="66"/>
      <c r="SZB39" s="66"/>
      <c r="SZC39" s="66"/>
      <c r="SZD39" s="66"/>
      <c r="SZE39" s="66"/>
      <c r="SZF39" s="66"/>
      <c r="SZG39" s="66"/>
      <c r="SZH39" s="66"/>
      <c r="SZI39" s="66"/>
      <c r="SZJ39" s="66"/>
      <c r="SZK39" s="66"/>
      <c r="SZL39" s="66"/>
      <c r="SZM39" s="66"/>
      <c r="SZN39" s="66"/>
      <c r="SZO39" s="66"/>
      <c r="SZP39" s="66"/>
      <c r="SZQ39" s="66"/>
      <c r="SZR39" s="66"/>
      <c r="SZS39" s="66"/>
      <c r="SZT39" s="66"/>
      <c r="SZU39" s="66"/>
      <c r="SZV39" s="66"/>
      <c r="SZW39" s="66"/>
      <c r="SZX39" s="66"/>
      <c r="SZY39" s="66"/>
      <c r="SZZ39" s="66"/>
      <c r="TAA39" s="66"/>
      <c r="TAB39" s="66"/>
      <c r="TAC39" s="66"/>
      <c r="TAD39" s="66"/>
      <c r="TAE39" s="66"/>
      <c r="TAF39" s="66"/>
      <c r="TAG39" s="66"/>
      <c r="TAH39" s="66"/>
      <c r="TAI39" s="66"/>
      <c r="TAJ39" s="66"/>
      <c r="TAK39" s="66"/>
      <c r="TAL39" s="66"/>
      <c r="TAM39" s="66"/>
      <c r="TAN39" s="66"/>
      <c r="TAO39" s="66"/>
      <c r="TAP39" s="66"/>
      <c r="TAQ39" s="66"/>
      <c r="TAR39" s="66"/>
      <c r="TAS39" s="66"/>
      <c r="TAT39" s="66"/>
      <c r="TAU39" s="66"/>
      <c r="TAV39" s="66"/>
      <c r="TAW39" s="66"/>
      <c r="TAX39" s="66"/>
      <c r="TAY39" s="66"/>
      <c r="TAZ39" s="66"/>
      <c r="TBA39" s="66"/>
      <c r="TBB39" s="66"/>
      <c r="TBC39" s="66"/>
      <c r="TBD39" s="66"/>
      <c r="TBE39" s="66"/>
      <c r="TBF39" s="66"/>
      <c r="TBG39" s="66"/>
      <c r="TBH39" s="66"/>
      <c r="TBI39" s="66"/>
      <c r="TBJ39" s="66"/>
      <c r="TBK39" s="66"/>
      <c r="TBL39" s="66"/>
      <c r="TBM39" s="66"/>
      <c r="TBN39" s="66"/>
      <c r="TBO39" s="66"/>
      <c r="TBP39" s="66"/>
      <c r="TBQ39" s="66"/>
      <c r="TBR39" s="66"/>
      <c r="TBS39" s="66"/>
      <c r="TBT39" s="66"/>
      <c r="TBU39" s="66"/>
      <c r="TBV39" s="66"/>
      <c r="TBW39" s="66"/>
      <c r="TBX39" s="66"/>
      <c r="TBY39" s="66"/>
      <c r="TBZ39" s="66"/>
      <c r="TCA39" s="66"/>
      <c r="TCB39" s="66"/>
      <c r="TCC39" s="66"/>
      <c r="TCD39" s="66"/>
      <c r="TCE39" s="66"/>
      <c r="TCF39" s="66"/>
      <c r="TCG39" s="66"/>
      <c r="TCH39" s="66"/>
      <c r="TCI39" s="66"/>
      <c r="TCJ39" s="66"/>
      <c r="TCK39" s="66"/>
      <c r="TCL39" s="66"/>
      <c r="TCM39" s="66"/>
      <c r="TCN39" s="66"/>
      <c r="TCO39" s="66"/>
      <c r="TCP39" s="66"/>
      <c r="TCQ39" s="66"/>
      <c r="TCR39" s="66"/>
      <c r="TCS39" s="66"/>
      <c r="TCT39" s="66"/>
      <c r="TCU39" s="66"/>
      <c r="TCV39" s="66"/>
      <c r="TCW39" s="66"/>
      <c r="TCX39" s="66"/>
      <c r="TCY39" s="66"/>
      <c r="TCZ39" s="66"/>
      <c r="TDA39" s="66"/>
      <c r="TDB39" s="66"/>
      <c r="TDC39" s="66"/>
      <c r="TDD39" s="66"/>
      <c r="TDE39" s="66"/>
      <c r="TDF39" s="66"/>
      <c r="TDG39" s="66"/>
      <c r="TDH39" s="66"/>
      <c r="TDI39" s="66"/>
      <c r="TDJ39" s="66"/>
      <c r="TDK39" s="66"/>
      <c r="TDL39" s="66"/>
      <c r="TDM39" s="66"/>
      <c r="TDN39" s="66"/>
      <c r="TDO39" s="66"/>
      <c r="TDP39" s="66"/>
      <c r="TDQ39" s="66"/>
      <c r="TDR39" s="66"/>
      <c r="TDS39" s="66"/>
      <c r="TDT39" s="66"/>
      <c r="TDU39" s="66"/>
      <c r="TDV39" s="66"/>
      <c r="TDW39" s="66"/>
      <c r="TDX39" s="66"/>
      <c r="TDY39" s="66"/>
      <c r="TDZ39" s="66"/>
      <c r="TEA39" s="66"/>
      <c r="TEB39" s="66"/>
      <c r="TEC39" s="66"/>
      <c r="TED39" s="66"/>
      <c r="TEE39" s="66"/>
      <c r="TEF39" s="66"/>
      <c r="TEG39" s="66"/>
      <c r="TEH39" s="66"/>
      <c r="TEI39" s="66"/>
      <c r="TEJ39" s="66"/>
      <c r="TEK39" s="66"/>
      <c r="TEL39" s="66"/>
      <c r="TEM39" s="66"/>
      <c r="TEN39" s="66"/>
      <c r="TEO39" s="66"/>
      <c r="TEP39" s="66"/>
      <c r="TEQ39" s="66"/>
      <c r="TER39" s="66"/>
      <c r="TES39" s="66"/>
      <c r="TET39" s="66"/>
      <c r="TEU39" s="66"/>
      <c r="TEV39" s="66"/>
      <c r="TEW39" s="66"/>
      <c r="TEX39" s="66"/>
      <c r="TEY39" s="66"/>
      <c r="TEZ39" s="66"/>
      <c r="TFA39" s="66"/>
      <c r="TFB39" s="66"/>
      <c r="TFC39" s="66"/>
      <c r="TFD39" s="66"/>
      <c r="TFE39" s="66"/>
      <c r="TFF39" s="66"/>
      <c r="TFG39" s="66"/>
      <c r="TFH39" s="66"/>
      <c r="TFI39" s="66"/>
      <c r="TFJ39" s="66"/>
      <c r="TFK39" s="66"/>
      <c r="TFL39" s="66"/>
      <c r="TFM39" s="66"/>
      <c r="TFN39" s="66"/>
      <c r="TFO39" s="66"/>
      <c r="TFP39" s="66"/>
      <c r="TFQ39" s="66"/>
      <c r="TFR39" s="66"/>
      <c r="TFS39" s="66"/>
      <c r="TFT39" s="66"/>
      <c r="TFU39" s="66"/>
      <c r="TFV39" s="66"/>
      <c r="TFW39" s="66"/>
      <c r="TFX39" s="66"/>
      <c r="TFY39" s="66"/>
      <c r="TFZ39" s="66"/>
      <c r="TGA39" s="66"/>
      <c r="TGB39" s="66"/>
      <c r="TGC39" s="66"/>
      <c r="TGD39" s="66"/>
      <c r="TGE39" s="66"/>
      <c r="TGF39" s="66"/>
      <c r="TGG39" s="66"/>
      <c r="TGH39" s="66"/>
      <c r="TGI39" s="66"/>
      <c r="TGJ39" s="66"/>
      <c r="TGK39" s="66"/>
      <c r="TGL39" s="66"/>
      <c r="TGM39" s="66"/>
      <c r="TGN39" s="66"/>
      <c r="TGO39" s="66"/>
      <c r="TGP39" s="66"/>
      <c r="TGQ39" s="66"/>
      <c r="TGR39" s="66"/>
      <c r="TGS39" s="66"/>
      <c r="TGT39" s="66"/>
      <c r="TGU39" s="66"/>
      <c r="TGV39" s="66"/>
      <c r="TGW39" s="66"/>
      <c r="TGX39" s="66"/>
      <c r="TGY39" s="66"/>
      <c r="TGZ39" s="66"/>
      <c r="THA39" s="66"/>
      <c r="THB39" s="66"/>
      <c r="THC39" s="66"/>
      <c r="THD39" s="66"/>
      <c r="THE39" s="66"/>
      <c r="THF39" s="66"/>
      <c r="THG39" s="66"/>
      <c r="THH39" s="66"/>
      <c r="THI39" s="66"/>
      <c r="THJ39" s="66"/>
      <c r="THK39" s="66"/>
      <c r="THL39" s="66"/>
      <c r="THM39" s="66"/>
      <c r="THN39" s="66"/>
      <c r="THO39" s="66"/>
      <c r="THP39" s="66"/>
      <c r="THQ39" s="66"/>
      <c r="THR39" s="66"/>
      <c r="THS39" s="66"/>
      <c r="THT39" s="66"/>
      <c r="THU39" s="66"/>
      <c r="THV39" s="66"/>
      <c r="THW39" s="66"/>
      <c r="THX39" s="66"/>
      <c r="THY39" s="66"/>
      <c r="THZ39" s="66"/>
      <c r="TIA39" s="66"/>
      <c r="TIB39" s="66"/>
      <c r="TIC39" s="66"/>
      <c r="TID39" s="66"/>
      <c r="TIE39" s="66"/>
      <c r="TIF39" s="66"/>
      <c r="TIG39" s="66"/>
      <c r="TIH39" s="66"/>
      <c r="TII39" s="66"/>
      <c r="TIJ39" s="66"/>
      <c r="TIK39" s="66"/>
      <c r="TIL39" s="66"/>
      <c r="TIM39" s="66"/>
      <c r="TIN39" s="66"/>
      <c r="TIO39" s="66"/>
      <c r="TIP39" s="66"/>
      <c r="TIQ39" s="66"/>
      <c r="TIR39" s="66"/>
      <c r="TIS39" s="66"/>
      <c r="TIT39" s="66"/>
      <c r="TIU39" s="66"/>
      <c r="TIV39" s="66"/>
      <c r="TIW39" s="66"/>
      <c r="TIX39" s="66"/>
      <c r="TIY39" s="66"/>
      <c r="TIZ39" s="66"/>
      <c r="TJA39" s="66"/>
      <c r="TJB39" s="66"/>
      <c r="TJC39" s="66"/>
      <c r="TJD39" s="66"/>
      <c r="TJE39" s="66"/>
      <c r="TJF39" s="66"/>
      <c r="TJG39" s="66"/>
      <c r="TJH39" s="66"/>
      <c r="TJI39" s="66"/>
      <c r="TJJ39" s="66"/>
      <c r="TJK39" s="66"/>
      <c r="TJL39" s="66"/>
      <c r="TJM39" s="66"/>
      <c r="TJN39" s="66"/>
      <c r="TJO39" s="66"/>
      <c r="TJP39" s="66"/>
      <c r="TJQ39" s="66"/>
      <c r="TJR39" s="66"/>
      <c r="TJS39" s="66"/>
      <c r="TJT39" s="66"/>
      <c r="TJU39" s="66"/>
      <c r="TJV39" s="66"/>
      <c r="TJW39" s="66"/>
      <c r="TJX39" s="66"/>
      <c r="TJY39" s="66"/>
      <c r="TJZ39" s="66"/>
      <c r="TKA39" s="66"/>
      <c r="TKB39" s="66"/>
      <c r="TKC39" s="66"/>
      <c r="TKD39" s="66"/>
      <c r="TKE39" s="66"/>
      <c r="TKF39" s="66"/>
      <c r="TKG39" s="66"/>
      <c r="TKH39" s="66"/>
      <c r="TKI39" s="66"/>
      <c r="TKJ39" s="66"/>
      <c r="TKK39" s="66"/>
      <c r="TKL39" s="66"/>
      <c r="TKM39" s="66"/>
      <c r="TKN39" s="66"/>
      <c r="TKO39" s="66"/>
      <c r="TKP39" s="66"/>
      <c r="TKQ39" s="66"/>
      <c r="TKR39" s="66"/>
      <c r="TKS39" s="66"/>
      <c r="TKT39" s="66"/>
      <c r="TKU39" s="66"/>
      <c r="TKV39" s="66"/>
      <c r="TKW39" s="66"/>
      <c r="TKX39" s="66"/>
      <c r="TKY39" s="66"/>
      <c r="TKZ39" s="66"/>
      <c r="TLA39" s="66"/>
      <c r="TLB39" s="66"/>
      <c r="TLC39" s="66"/>
      <c r="TLD39" s="66"/>
      <c r="TLE39" s="66"/>
      <c r="TLF39" s="66"/>
      <c r="TLG39" s="66"/>
      <c r="TLH39" s="66"/>
      <c r="TLI39" s="66"/>
      <c r="TLJ39" s="66"/>
      <c r="TLK39" s="66"/>
      <c r="TLL39" s="66"/>
      <c r="TLM39" s="66"/>
      <c r="TLN39" s="66"/>
      <c r="TLO39" s="66"/>
      <c r="TLP39" s="66"/>
      <c r="TLQ39" s="66"/>
      <c r="TLR39" s="66"/>
      <c r="TLS39" s="66"/>
      <c r="TLT39" s="66"/>
      <c r="TLU39" s="66"/>
      <c r="TLV39" s="66"/>
      <c r="TLW39" s="66"/>
      <c r="TLX39" s="66"/>
      <c r="TLY39" s="66"/>
      <c r="TLZ39" s="66"/>
      <c r="TMA39" s="66"/>
      <c r="TMB39" s="66"/>
      <c r="TMC39" s="66"/>
      <c r="TMD39" s="66"/>
      <c r="TME39" s="66"/>
      <c r="TMF39" s="66"/>
      <c r="TMG39" s="66"/>
      <c r="TMH39" s="66"/>
      <c r="TMI39" s="66"/>
      <c r="TMJ39" s="66"/>
      <c r="TMK39" s="66"/>
      <c r="TML39" s="66"/>
      <c r="TMM39" s="66"/>
      <c r="TMN39" s="66"/>
      <c r="TMO39" s="66"/>
      <c r="TMP39" s="66"/>
      <c r="TMQ39" s="66"/>
      <c r="TMR39" s="66"/>
      <c r="TMS39" s="66"/>
      <c r="TMT39" s="66"/>
      <c r="TMU39" s="66"/>
      <c r="TMV39" s="66"/>
      <c r="TMW39" s="66"/>
      <c r="TMX39" s="66"/>
      <c r="TMY39" s="66"/>
      <c r="TMZ39" s="66"/>
      <c r="TNA39" s="66"/>
      <c r="TNB39" s="66"/>
      <c r="TNC39" s="66"/>
      <c r="TND39" s="66"/>
      <c r="TNE39" s="66"/>
      <c r="TNF39" s="66"/>
      <c r="TNG39" s="66"/>
      <c r="TNH39" s="66"/>
      <c r="TNI39" s="66"/>
      <c r="TNJ39" s="66"/>
      <c r="TNK39" s="66"/>
      <c r="TNL39" s="66"/>
      <c r="TNM39" s="66"/>
      <c r="TNN39" s="66"/>
      <c r="TNO39" s="66"/>
      <c r="TNP39" s="66"/>
      <c r="TNQ39" s="66"/>
      <c r="TNR39" s="66"/>
      <c r="TNS39" s="66"/>
      <c r="TNT39" s="66"/>
      <c r="TNU39" s="66"/>
      <c r="TNV39" s="66"/>
      <c r="TNW39" s="66"/>
      <c r="TNX39" s="66"/>
      <c r="TNY39" s="66"/>
      <c r="TNZ39" s="66"/>
      <c r="TOA39" s="66"/>
      <c r="TOB39" s="66"/>
      <c r="TOC39" s="66"/>
      <c r="TOD39" s="66"/>
      <c r="TOE39" s="66"/>
      <c r="TOF39" s="66"/>
      <c r="TOG39" s="66"/>
      <c r="TOH39" s="66"/>
      <c r="TOI39" s="66"/>
      <c r="TOJ39" s="66"/>
      <c r="TOK39" s="66"/>
      <c r="TOL39" s="66"/>
      <c r="TOM39" s="66"/>
      <c r="TON39" s="66"/>
      <c r="TOO39" s="66"/>
      <c r="TOP39" s="66"/>
      <c r="TOQ39" s="66"/>
      <c r="TOR39" s="66"/>
      <c r="TOS39" s="66"/>
      <c r="TOT39" s="66"/>
      <c r="TOU39" s="66"/>
      <c r="TOV39" s="66"/>
      <c r="TOW39" s="66"/>
      <c r="TOX39" s="66"/>
      <c r="TOY39" s="66"/>
      <c r="TOZ39" s="66"/>
      <c r="TPA39" s="66"/>
      <c r="TPB39" s="66"/>
      <c r="TPC39" s="66"/>
      <c r="TPD39" s="66"/>
      <c r="TPE39" s="66"/>
      <c r="TPF39" s="66"/>
      <c r="TPG39" s="66"/>
      <c r="TPH39" s="66"/>
      <c r="TPI39" s="66"/>
      <c r="TPJ39" s="66"/>
      <c r="TPK39" s="66"/>
      <c r="TPL39" s="66"/>
      <c r="TPM39" s="66"/>
      <c r="TPN39" s="66"/>
      <c r="TPO39" s="66"/>
      <c r="TPP39" s="66"/>
      <c r="TPQ39" s="66"/>
      <c r="TPR39" s="66"/>
      <c r="TPS39" s="66"/>
      <c r="TPT39" s="66"/>
      <c r="TPU39" s="66"/>
      <c r="TPV39" s="66"/>
      <c r="TPW39" s="66"/>
      <c r="TPX39" s="66"/>
      <c r="TPY39" s="66"/>
      <c r="TPZ39" s="66"/>
      <c r="TQA39" s="66"/>
      <c r="TQB39" s="66"/>
      <c r="TQC39" s="66"/>
      <c r="TQD39" s="66"/>
      <c r="TQE39" s="66"/>
      <c r="TQF39" s="66"/>
      <c r="TQG39" s="66"/>
      <c r="TQH39" s="66"/>
      <c r="TQI39" s="66"/>
      <c r="TQJ39" s="66"/>
      <c r="TQK39" s="66"/>
      <c r="TQL39" s="66"/>
      <c r="TQM39" s="66"/>
      <c r="TQN39" s="66"/>
      <c r="TQO39" s="66"/>
      <c r="TQP39" s="66"/>
      <c r="TQQ39" s="66"/>
      <c r="TQR39" s="66"/>
      <c r="TQS39" s="66"/>
      <c r="TQT39" s="66"/>
      <c r="TQU39" s="66"/>
      <c r="TQV39" s="66"/>
      <c r="TQW39" s="66"/>
      <c r="TQX39" s="66"/>
      <c r="TQY39" s="66"/>
      <c r="TQZ39" s="66"/>
      <c r="TRA39" s="66"/>
      <c r="TRB39" s="66"/>
      <c r="TRC39" s="66"/>
      <c r="TRD39" s="66"/>
      <c r="TRE39" s="66"/>
      <c r="TRF39" s="66"/>
      <c r="TRG39" s="66"/>
      <c r="TRH39" s="66"/>
      <c r="TRI39" s="66"/>
      <c r="TRJ39" s="66"/>
      <c r="TRK39" s="66"/>
      <c r="TRL39" s="66"/>
      <c r="TRM39" s="66"/>
      <c r="TRN39" s="66"/>
      <c r="TRO39" s="66"/>
      <c r="TRP39" s="66"/>
      <c r="TRQ39" s="66"/>
      <c r="TRR39" s="66"/>
      <c r="TRS39" s="66"/>
      <c r="TRT39" s="66"/>
      <c r="TRU39" s="66"/>
      <c r="TRV39" s="66"/>
      <c r="TRW39" s="66"/>
      <c r="TRX39" s="66"/>
      <c r="TRY39" s="66"/>
      <c r="TRZ39" s="66"/>
      <c r="TSA39" s="66"/>
      <c r="TSB39" s="66"/>
      <c r="TSC39" s="66"/>
      <c r="TSD39" s="66"/>
      <c r="TSE39" s="66"/>
      <c r="TSF39" s="66"/>
      <c r="TSG39" s="66"/>
      <c r="TSH39" s="66"/>
      <c r="TSI39" s="66"/>
      <c r="TSJ39" s="66"/>
      <c r="TSK39" s="66"/>
      <c r="TSL39" s="66"/>
      <c r="TSM39" s="66"/>
      <c r="TSN39" s="66"/>
      <c r="TSO39" s="66"/>
      <c r="TSP39" s="66"/>
      <c r="TSQ39" s="66"/>
      <c r="TSR39" s="66"/>
      <c r="TSS39" s="66"/>
      <c r="TST39" s="66"/>
      <c r="TSU39" s="66"/>
      <c r="TSV39" s="66"/>
      <c r="TSW39" s="66"/>
      <c r="TSX39" s="66"/>
      <c r="TSY39" s="66"/>
      <c r="TSZ39" s="66"/>
      <c r="TTA39" s="66"/>
      <c r="TTB39" s="66"/>
      <c r="TTC39" s="66"/>
      <c r="TTD39" s="66"/>
      <c r="TTE39" s="66"/>
      <c r="TTF39" s="66"/>
      <c r="TTG39" s="66"/>
      <c r="TTH39" s="66"/>
      <c r="TTI39" s="66"/>
      <c r="TTJ39" s="66"/>
      <c r="TTK39" s="66"/>
      <c r="TTL39" s="66"/>
      <c r="TTM39" s="66"/>
      <c r="TTN39" s="66"/>
      <c r="TTO39" s="66"/>
      <c r="TTP39" s="66"/>
      <c r="TTQ39" s="66"/>
      <c r="TTR39" s="66"/>
      <c r="TTS39" s="66"/>
      <c r="TTT39" s="66"/>
      <c r="TTU39" s="66"/>
      <c r="TTV39" s="66"/>
      <c r="TTW39" s="66"/>
      <c r="TTX39" s="66"/>
      <c r="TTY39" s="66"/>
      <c r="TTZ39" s="66"/>
      <c r="TUA39" s="66"/>
      <c r="TUB39" s="66"/>
      <c r="TUC39" s="66"/>
      <c r="TUD39" s="66"/>
      <c r="TUE39" s="66"/>
      <c r="TUF39" s="66"/>
      <c r="TUG39" s="66"/>
      <c r="TUH39" s="66"/>
      <c r="TUI39" s="66"/>
      <c r="TUJ39" s="66"/>
      <c r="TUK39" s="66"/>
      <c r="TUL39" s="66"/>
      <c r="TUM39" s="66"/>
      <c r="TUN39" s="66"/>
      <c r="TUO39" s="66"/>
      <c r="TUP39" s="66"/>
      <c r="TUQ39" s="66"/>
      <c r="TUR39" s="66"/>
      <c r="TUS39" s="66"/>
      <c r="TUT39" s="66"/>
      <c r="TUU39" s="66"/>
      <c r="TUV39" s="66"/>
      <c r="TUW39" s="66"/>
      <c r="TUX39" s="66"/>
      <c r="TUY39" s="66"/>
      <c r="TUZ39" s="66"/>
      <c r="TVA39" s="66"/>
      <c r="TVB39" s="66"/>
      <c r="TVC39" s="66"/>
      <c r="TVD39" s="66"/>
      <c r="TVE39" s="66"/>
      <c r="TVF39" s="66"/>
      <c r="TVG39" s="66"/>
      <c r="TVH39" s="66"/>
      <c r="TVI39" s="66"/>
      <c r="TVJ39" s="66"/>
      <c r="TVK39" s="66"/>
      <c r="TVL39" s="66"/>
      <c r="TVM39" s="66"/>
      <c r="TVN39" s="66"/>
      <c r="TVO39" s="66"/>
      <c r="TVP39" s="66"/>
      <c r="TVQ39" s="66"/>
      <c r="TVR39" s="66"/>
      <c r="TVS39" s="66"/>
      <c r="TVT39" s="66"/>
      <c r="TVU39" s="66"/>
      <c r="TVV39" s="66"/>
      <c r="TVW39" s="66"/>
      <c r="TVX39" s="66"/>
      <c r="TVY39" s="66"/>
      <c r="TVZ39" s="66"/>
      <c r="TWA39" s="66"/>
      <c r="TWB39" s="66"/>
      <c r="TWC39" s="66"/>
      <c r="TWD39" s="66"/>
      <c r="TWE39" s="66"/>
      <c r="TWF39" s="66"/>
      <c r="TWG39" s="66"/>
      <c r="TWH39" s="66"/>
      <c r="TWI39" s="66"/>
      <c r="TWJ39" s="66"/>
      <c r="TWK39" s="66"/>
      <c r="TWL39" s="66"/>
      <c r="TWM39" s="66"/>
      <c r="TWN39" s="66"/>
      <c r="TWO39" s="66"/>
      <c r="TWP39" s="66"/>
      <c r="TWQ39" s="66"/>
      <c r="TWR39" s="66"/>
      <c r="TWS39" s="66"/>
      <c r="TWT39" s="66"/>
      <c r="TWU39" s="66"/>
      <c r="TWV39" s="66"/>
      <c r="TWW39" s="66"/>
      <c r="TWX39" s="66"/>
      <c r="TWY39" s="66"/>
      <c r="TWZ39" s="66"/>
      <c r="TXA39" s="66"/>
      <c r="TXB39" s="66"/>
      <c r="TXC39" s="66"/>
      <c r="TXD39" s="66"/>
      <c r="TXE39" s="66"/>
      <c r="TXF39" s="66"/>
      <c r="TXG39" s="66"/>
      <c r="TXH39" s="66"/>
      <c r="TXI39" s="66"/>
      <c r="TXJ39" s="66"/>
      <c r="TXK39" s="66"/>
      <c r="TXL39" s="66"/>
      <c r="TXM39" s="66"/>
      <c r="TXN39" s="66"/>
      <c r="TXO39" s="66"/>
      <c r="TXP39" s="66"/>
      <c r="TXQ39" s="66"/>
      <c r="TXR39" s="66"/>
      <c r="TXS39" s="66"/>
      <c r="TXT39" s="66"/>
      <c r="TXU39" s="66"/>
      <c r="TXV39" s="66"/>
      <c r="TXW39" s="66"/>
      <c r="TXX39" s="66"/>
      <c r="TXY39" s="66"/>
      <c r="TXZ39" s="66"/>
      <c r="TYA39" s="66"/>
      <c r="TYB39" s="66"/>
      <c r="TYC39" s="66"/>
      <c r="TYD39" s="66"/>
      <c r="TYE39" s="66"/>
      <c r="TYF39" s="66"/>
      <c r="TYG39" s="66"/>
      <c r="TYH39" s="66"/>
      <c r="TYI39" s="66"/>
      <c r="TYJ39" s="66"/>
      <c r="TYK39" s="66"/>
      <c r="TYL39" s="66"/>
      <c r="TYM39" s="66"/>
      <c r="TYN39" s="66"/>
      <c r="TYO39" s="66"/>
      <c r="TYP39" s="66"/>
      <c r="TYQ39" s="66"/>
      <c r="TYR39" s="66"/>
      <c r="TYS39" s="66"/>
      <c r="TYT39" s="66"/>
      <c r="TYU39" s="66"/>
      <c r="TYV39" s="66"/>
      <c r="TYW39" s="66"/>
      <c r="TYX39" s="66"/>
      <c r="TYY39" s="66"/>
      <c r="TYZ39" s="66"/>
      <c r="TZA39" s="66"/>
      <c r="TZB39" s="66"/>
      <c r="TZC39" s="66"/>
      <c r="TZD39" s="66"/>
      <c r="TZE39" s="66"/>
      <c r="TZF39" s="66"/>
      <c r="TZG39" s="66"/>
      <c r="TZH39" s="66"/>
      <c r="TZI39" s="66"/>
      <c r="TZJ39" s="66"/>
      <c r="TZK39" s="66"/>
      <c r="TZL39" s="66"/>
      <c r="TZM39" s="66"/>
      <c r="TZN39" s="66"/>
      <c r="TZO39" s="66"/>
      <c r="TZP39" s="66"/>
      <c r="TZQ39" s="66"/>
      <c r="TZR39" s="66"/>
      <c r="TZS39" s="66"/>
      <c r="TZT39" s="66"/>
      <c r="TZU39" s="66"/>
      <c r="TZV39" s="66"/>
      <c r="TZW39" s="66"/>
      <c r="TZX39" s="66"/>
      <c r="TZY39" s="66"/>
      <c r="TZZ39" s="66"/>
      <c r="UAA39" s="66"/>
      <c r="UAB39" s="66"/>
      <c r="UAC39" s="66"/>
      <c r="UAD39" s="66"/>
      <c r="UAE39" s="66"/>
      <c r="UAF39" s="66"/>
      <c r="UAG39" s="66"/>
      <c r="UAH39" s="66"/>
      <c r="UAI39" s="66"/>
      <c r="UAJ39" s="66"/>
      <c r="UAK39" s="66"/>
      <c r="UAL39" s="66"/>
      <c r="UAM39" s="66"/>
      <c r="UAN39" s="66"/>
      <c r="UAO39" s="66"/>
      <c r="UAP39" s="66"/>
      <c r="UAQ39" s="66"/>
      <c r="UAR39" s="66"/>
      <c r="UAS39" s="66"/>
      <c r="UAT39" s="66"/>
      <c r="UAU39" s="66"/>
      <c r="UAV39" s="66"/>
      <c r="UAW39" s="66"/>
      <c r="UAX39" s="66"/>
      <c r="UAY39" s="66"/>
      <c r="UAZ39" s="66"/>
      <c r="UBA39" s="66"/>
      <c r="UBB39" s="66"/>
      <c r="UBC39" s="66"/>
      <c r="UBD39" s="66"/>
      <c r="UBE39" s="66"/>
      <c r="UBF39" s="66"/>
      <c r="UBG39" s="66"/>
      <c r="UBH39" s="66"/>
      <c r="UBI39" s="66"/>
      <c r="UBJ39" s="66"/>
      <c r="UBK39" s="66"/>
      <c r="UBL39" s="66"/>
      <c r="UBM39" s="66"/>
      <c r="UBN39" s="66"/>
      <c r="UBO39" s="66"/>
      <c r="UBP39" s="66"/>
      <c r="UBQ39" s="66"/>
      <c r="UBR39" s="66"/>
      <c r="UBS39" s="66"/>
      <c r="UBT39" s="66"/>
      <c r="UBU39" s="66"/>
      <c r="UBV39" s="66"/>
      <c r="UBW39" s="66"/>
      <c r="UBX39" s="66"/>
      <c r="UBY39" s="66"/>
      <c r="UBZ39" s="66"/>
      <c r="UCA39" s="66"/>
      <c r="UCB39" s="66"/>
      <c r="UCC39" s="66"/>
      <c r="UCD39" s="66"/>
      <c r="UCE39" s="66"/>
      <c r="UCF39" s="66"/>
      <c r="UCG39" s="66"/>
      <c r="UCH39" s="66"/>
      <c r="UCI39" s="66"/>
      <c r="UCJ39" s="66"/>
      <c r="UCK39" s="66"/>
      <c r="UCL39" s="66"/>
      <c r="UCM39" s="66"/>
      <c r="UCN39" s="66"/>
      <c r="UCO39" s="66"/>
      <c r="UCP39" s="66"/>
      <c r="UCQ39" s="66"/>
      <c r="UCR39" s="66"/>
      <c r="UCS39" s="66"/>
      <c r="UCT39" s="66"/>
      <c r="UCU39" s="66"/>
      <c r="UCV39" s="66"/>
      <c r="UCW39" s="66"/>
      <c r="UCX39" s="66"/>
      <c r="UCY39" s="66"/>
      <c r="UCZ39" s="66"/>
      <c r="UDA39" s="66"/>
      <c r="UDB39" s="66"/>
      <c r="UDC39" s="66"/>
      <c r="UDD39" s="66"/>
      <c r="UDE39" s="66"/>
      <c r="UDF39" s="66"/>
      <c r="UDG39" s="66"/>
      <c r="UDH39" s="66"/>
      <c r="UDI39" s="66"/>
      <c r="UDJ39" s="66"/>
      <c r="UDK39" s="66"/>
      <c r="UDL39" s="66"/>
      <c r="UDM39" s="66"/>
      <c r="UDN39" s="66"/>
      <c r="UDO39" s="66"/>
      <c r="UDP39" s="66"/>
      <c r="UDQ39" s="66"/>
      <c r="UDR39" s="66"/>
      <c r="UDS39" s="66"/>
      <c r="UDT39" s="66"/>
      <c r="UDU39" s="66"/>
      <c r="UDV39" s="66"/>
      <c r="UDW39" s="66"/>
      <c r="UDX39" s="66"/>
      <c r="UDY39" s="66"/>
      <c r="UDZ39" s="66"/>
      <c r="UEA39" s="66"/>
      <c r="UEB39" s="66"/>
      <c r="UEC39" s="66"/>
      <c r="UED39" s="66"/>
      <c r="UEE39" s="66"/>
      <c r="UEF39" s="66"/>
      <c r="UEG39" s="66"/>
      <c r="UEH39" s="66"/>
      <c r="UEI39" s="66"/>
      <c r="UEJ39" s="66"/>
      <c r="UEK39" s="66"/>
      <c r="UEL39" s="66"/>
      <c r="UEM39" s="66"/>
      <c r="UEN39" s="66"/>
      <c r="UEO39" s="66"/>
      <c r="UEP39" s="66"/>
      <c r="UEQ39" s="66"/>
      <c r="UER39" s="66"/>
      <c r="UES39" s="66"/>
      <c r="UET39" s="66"/>
      <c r="UEU39" s="66"/>
      <c r="UEV39" s="66"/>
      <c r="UEW39" s="66"/>
      <c r="UEX39" s="66"/>
      <c r="UEY39" s="66"/>
      <c r="UEZ39" s="66"/>
      <c r="UFA39" s="66"/>
      <c r="UFB39" s="66"/>
      <c r="UFC39" s="66"/>
      <c r="UFD39" s="66"/>
      <c r="UFE39" s="66"/>
      <c r="UFF39" s="66"/>
      <c r="UFG39" s="66"/>
      <c r="UFH39" s="66"/>
      <c r="UFI39" s="66"/>
      <c r="UFJ39" s="66"/>
      <c r="UFK39" s="66"/>
      <c r="UFL39" s="66"/>
      <c r="UFM39" s="66"/>
      <c r="UFN39" s="66"/>
      <c r="UFO39" s="66"/>
      <c r="UFP39" s="66"/>
      <c r="UFQ39" s="66"/>
      <c r="UFR39" s="66"/>
      <c r="UFS39" s="66"/>
      <c r="UFT39" s="66"/>
      <c r="UFU39" s="66"/>
      <c r="UFV39" s="66"/>
      <c r="UFW39" s="66"/>
      <c r="UFX39" s="66"/>
      <c r="UFY39" s="66"/>
      <c r="UFZ39" s="66"/>
      <c r="UGA39" s="66"/>
      <c r="UGB39" s="66"/>
      <c r="UGC39" s="66"/>
      <c r="UGD39" s="66"/>
      <c r="UGE39" s="66"/>
      <c r="UGF39" s="66"/>
      <c r="UGG39" s="66"/>
      <c r="UGH39" s="66"/>
      <c r="UGI39" s="66"/>
      <c r="UGJ39" s="66"/>
      <c r="UGK39" s="66"/>
      <c r="UGL39" s="66"/>
      <c r="UGM39" s="66"/>
      <c r="UGN39" s="66"/>
      <c r="UGO39" s="66"/>
      <c r="UGP39" s="66"/>
      <c r="UGQ39" s="66"/>
      <c r="UGR39" s="66"/>
      <c r="UGS39" s="66"/>
      <c r="UGT39" s="66"/>
      <c r="UGU39" s="66"/>
      <c r="UGV39" s="66"/>
      <c r="UGW39" s="66"/>
      <c r="UGX39" s="66"/>
      <c r="UGY39" s="66"/>
      <c r="UGZ39" s="66"/>
      <c r="UHA39" s="66"/>
      <c r="UHB39" s="66"/>
      <c r="UHC39" s="66"/>
      <c r="UHD39" s="66"/>
      <c r="UHE39" s="66"/>
      <c r="UHF39" s="66"/>
      <c r="UHG39" s="66"/>
      <c r="UHH39" s="66"/>
      <c r="UHI39" s="66"/>
      <c r="UHJ39" s="66"/>
      <c r="UHK39" s="66"/>
      <c r="UHL39" s="66"/>
      <c r="UHM39" s="66"/>
      <c r="UHN39" s="66"/>
      <c r="UHO39" s="66"/>
      <c r="UHP39" s="66"/>
      <c r="UHQ39" s="66"/>
      <c r="UHR39" s="66"/>
      <c r="UHS39" s="66"/>
      <c r="UHT39" s="66"/>
      <c r="UHU39" s="66"/>
      <c r="UHV39" s="66"/>
      <c r="UHW39" s="66"/>
      <c r="UHX39" s="66"/>
      <c r="UHY39" s="66"/>
      <c r="UHZ39" s="66"/>
      <c r="UIA39" s="66"/>
      <c r="UIB39" s="66"/>
      <c r="UIC39" s="66"/>
      <c r="UID39" s="66"/>
      <c r="UIE39" s="66"/>
      <c r="UIF39" s="66"/>
      <c r="UIG39" s="66"/>
      <c r="UIH39" s="66"/>
      <c r="UII39" s="66"/>
      <c r="UIJ39" s="66"/>
      <c r="UIK39" s="66"/>
      <c r="UIL39" s="66"/>
      <c r="UIM39" s="66"/>
      <c r="UIN39" s="66"/>
      <c r="UIO39" s="66"/>
      <c r="UIP39" s="66"/>
      <c r="UIQ39" s="66"/>
      <c r="UIR39" s="66"/>
      <c r="UIS39" s="66"/>
      <c r="UIT39" s="66"/>
      <c r="UIU39" s="66"/>
      <c r="UIV39" s="66"/>
      <c r="UIW39" s="66"/>
      <c r="UIX39" s="66"/>
      <c r="UIY39" s="66"/>
      <c r="UIZ39" s="66"/>
      <c r="UJA39" s="66"/>
      <c r="UJB39" s="66"/>
      <c r="UJC39" s="66"/>
      <c r="UJD39" s="66"/>
      <c r="UJE39" s="66"/>
      <c r="UJF39" s="66"/>
      <c r="UJG39" s="66"/>
      <c r="UJH39" s="66"/>
      <c r="UJI39" s="66"/>
      <c r="UJJ39" s="66"/>
      <c r="UJK39" s="66"/>
      <c r="UJL39" s="66"/>
      <c r="UJM39" s="66"/>
      <c r="UJN39" s="66"/>
      <c r="UJO39" s="66"/>
      <c r="UJP39" s="66"/>
      <c r="UJQ39" s="66"/>
      <c r="UJR39" s="66"/>
      <c r="UJS39" s="66"/>
      <c r="UJT39" s="66"/>
      <c r="UJU39" s="66"/>
      <c r="UJV39" s="66"/>
      <c r="UJW39" s="66"/>
      <c r="UJX39" s="66"/>
      <c r="UJY39" s="66"/>
      <c r="UJZ39" s="66"/>
      <c r="UKA39" s="66"/>
      <c r="UKB39" s="66"/>
      <c r="UKC39" s="66"/>
      <c r="UKD39" s="66"/>
      <c r="UKE39" s="66"/>
      <c r="UKF39" s="66"/>
      <c r="UKG39" s="66"/>
      <c r="UKH39" s="66"/>
      <c r="UKI39" s="66"/>
      <c r="UKJ39" s="66"/>
      <c r="UKK39" s="66"/>
      <c r="UKL39" s="66"/>
      <c r="UKM39" s="66"/>
      <c r="UKN39" s="66"/>
      <c r="UKO39" s="66"/>
      <c r="UKP39" s="66"/>
      <c r="UKQ39" s="66"/>
      <c r="UKR39" s="66"/>
      <c r="UKS39" s="66"/>
      <c r="UKT39" s="66"/>
      <c r="UKU39" s="66"/>
      <c r="UKV39" s="66"/>
      <c r="UKW39" s="66"/>
      <c r="UKX39" s="66"/>
      <c r="UKY39" s="66"/>
      <c r="UKZ39" s="66"/>
      <c r="ULA39" s="66"/>
      <c r="ULB39" s="66"/>
      <c r="ULC39" s="66"/>
      <c r="ULD39" s="66"/>
      <c r="ULE39" s="66"/>
      <c r="ULF39" s="66"/>
      <c r="ULG39" s="66"/>
      <c r="ULH39" s="66"/>
      <c r="ULI39" s="66"/>
      <c r="ULJ39" s="66"/>
      <c r="ULK39" s="66"/>
      <c r="ULL39" s="66"/>
      <c r="ULM39" s="66"/>
      <c r="ULN39" s="66"/>
      <c r="ULO39" s="66"/>
      <c r="ULP39" s="66"/>
      <c r="ULQ39" s="66"/>
      <c r="ULR39" s="66"/>
      <c r="ULS39" s="66"/>
      <c r="ULT39" s="66"/>
      <c r="ULU39" s="66"/>
      <c r="ULV39" s="66"/>
      <c r="ULW39" s="66"/>
      <c r="ULX39" s="66"/>
      <c r="ULY39" s="66"/>
      <c r="ULZ39" s="66"/>
      <c r="UMA39" s="66"/>
      <c r="UMB39" s="66"/>
      <c r="UMC39" s="66"/>
      <c r="UMD39" s="66"/>
      <c r="UME39" s="66"/>
      <c r="UMF39" s="66"/>
      <c r="UMG39" s="66"/>
      <c r="UMH39" s="66"/>
      <c r="UMI39" s="66"/>
      <c r="UMJ39" s="66"/>
      <c r="UMK39" s="66"/>
      <c r="UML39" s="66"/>
      <c r="UMM39" s="66"/>
      <c r="UMN39" s="66"/>
      <c r="UMO39" s="66"/>
      <c r="UMP39" s="66"/>
      <c r="UMQ39" s="66"/>
      <c r="UMR39" s="66"/>
      <c r="UMS39" s="66"/>
      <c r="UMT39" s="66"/>
      <c r="UMU39" s="66"/>
      <c r="UMV39" s="66"/>
      <c r="UMW39" s="66"/>
      <c r="UMX39" s="66"/>
      <c r="UMY39" s="66"/>
      <c r="UMZ39" s="66"/>
      <c r="UNA39" s="66"/>
      <c r="UNB39" s="66"/>
      <c r="UNC39" s="66"/>
      <c r="UND39" s="66"/>
      <c r="UNE39" s="66"/>
      <c r="UNF39" s="66"/>
      <c r="UNG39" s="66"/>
      <c r="UNH39" s="66"/>
      <c r="UNI39" s="66"/>
      <c r="UNJ39" s="66"/>
      <c r="UNK39" s="66"/>
      <c r="UNL39" s="66"/>
      <c r="UNM39" s="66"/>
      <c r="UNN39" s="66"/>
      <c r="UNO39" s="66"/>
      <c r="UNP39" s="66"/>
      <c r="UNQ39" s="66"/>
      <c r="UNR39" s="66"/>
      <c r="UNS39" s="66"/>
      <c r="UNT39" s="66"/>
      <c r="UNU39" s="66"/>
      <c r="UNV39" s="66"/>
      <c r="UNW39" s="66"/>
      <c r="UNX39" s="66"/>
      <c r="UNY39" s="66"/>
      <c r="UNZ39" s="66"/>
      <c r="UOA39" s="66"/>
      <c r="UOB39" s="66"/>
      <c r="UOC39" s="66"/>
      <c r="UOD39" s="66"/>
      <c r="UOE39" s="66"/>
      <c r="UOF39" s="66"/>
      <c r="UOG39" s="66"/>
      <c r="UOH39" s="66"/>
      <c r="UOI39" s="66"/>
      <c r="UOJ39" s="66"/>
      <c r="UOK39" s="66"/>
      <c r="UOL39" s="66"/>
      <c r="UOM39" s="66"/>
      <c r="UON39" s="66"/>
      <c r="UOO39" s="66"/>
      <c r="UOP39" s="66"/>
      <c r="UOQ39" s="66"/>
      <c r="UOR39" s="66"/>
      <c r="UOS39" s="66"/>
      <c r="UOT39" s="66"/>
      <c r="UOU39" s="66"/>
      <c r="UOV39" s="66"/>
      <c r="UOW39" s="66"/>
      <c r="UOX39" s="66"/>
      <c r="UOY39" s="66"/>
      <c r="UOZ39" s="66"/>
      <c r="UPA39" s="66"/>
      <c r="UPB39" s="66"/>
      <c r="UPC39" s="66"/>
      <c r="UPD39" s="66"/>
      <c r="UPE39" s="66"/>
      <c r="UPF39" s="66"/>
      <c r="UPG39" s="66"/>
      <c r="UPH39" s="66"/>
      <c r="UPI39" s="66"/>
      <c r="UPJ39" s="66"/>
      <c r="UPK39" s="66"/>
      <c r="UPL39" s="66"/>
      <c r="UPM39" s="66"/>
      <c r="UPN39" s="66"/>
      <c r="UPO39" s="66"/>
      <c r="UPP39" s="66"/>
      <c r="UPQ39" s="66"/>
      <c r="UPR39" s="66"/>
      <c r="UPS39" s="66"/>
      <c r="UPT39" s="66"/>
      <c r="UPU39" s="66"/>
      <c r="UPV39" s="66"/>
      <c r="UPW39" s="66"/>
      <c r="UPX39" s="66"/>
      <c r="UPY39" s="66"/>
      <c r="UPZ39" s="66"/>
      <c r="UQA39" s="66"/>
      <c r="UQB39" s="66"/>
      <c r="UQC39" s="66"/>
      <c r="UQD39" s="66"/>
      <c r="UQE39" s="66"/>
      <c r="UQF39" s="66"/>
      <c r="UQG39" s="66"/>
      <c r="UQH39" s="66"/>
      <c r="UQI39" s="66"/>
      <c r="UQJ39" s="66"/>
      <c r="UQK39" s="66"/>
      <c r="UQL39" s="66"/>
      <c r="UQM39" s="66"/>
      <c r="UQN39" s="66"/>
      <c r="UQO39" s="66"/>
      <c r="UQP39" s="66"/>
      <c r="UQQ39" s="66"/>
      <c r="UQR39" s="66"/>
      <c r="UQS39" s="66"/>
      <c r="UQT39" s="66"/>
      <c r="UQU39" s="66"/>
      <c r="UQV39" s="66"/>
      <c r="UQW39" s="66"/>
      <c r="UQX39" s="66"/>
      <c r="UQY39" s="66"/>
      <c r="UQZ39" s="66"/>
      <c r="URA39" s="66"/>
      <c r="URB39" s="66"/>
      <c r="URC39" s="66"/>
      <c r="URD39" s="66"/>
      <c r="URE39" s="66"/>
      <c r="URF39" s="66"/>
      <c r="URG39" s="66"/>
      <c r="URH39" s="66"/>
      <c r="URI39" s="66"/>
      <c r="URJ39" s="66"/>
      <c r="URK39" s="66"/>
      <c r="URL39" s="66"/>
      <c r="URM39" s="66"/>
      <c r="URN39" s="66"/>
      <c r="URO39" s="66"/>
      <c r="URP39" s="66"/>
      <c r="URQ39" s="66"/>
      <c r="URR39" s="66"/>
      <c r="URS39" s="66"/>
      <c r="URT39" s="66"/>
      <c r="URU39" s="66"/>
      <c r="URV39" s="66"/>
      <c r="URW39" s="66"/>
      <c r="URX39" s="66"/>
      <c r="URY39" s="66"/>
      <c r="URZ39" s="66"/>
      <c r="USA39" s="66"/>
      <c r="USB39" s="66"/>
      <c r="USC39" s="66"/>
      <c r="USD39" s="66"/>
      <c r="USE39" s="66"/>
      <c r="USF39" s="66"/>
      <c r="USG39" s="66"/>
      <c r="USH39" s="66"/>
      <c r="USI39" s="66"/>
      <c r="USJ39" s="66"/>
      <c r="USK39" s="66"/>
      <c r="USL39" s="66"/>
      <c r="USM39" s="66"/>
      <c r="USN39" s="66"/>
      <c r="USO39" s="66"/>
      <c r="USP39" s="66"/>
      <c r="USQ39" s="66"/>
      <c r="USR39" s="66"/>
      <c r="USS39" s="66"/>
      <c r="UST39" s="66"/>
      <c r="USU39" s="66"/>
      <c r="USV39" s="66"/>
      <c r="USW39" s="66"/>
      <c r="USX39" s="66"/>
      <c r="USY39" s="66"/>
      <c r="USZ39" s="66"/>
      <c r="UTA39" s="66"/>
      <c r="UTB39" s="66"/>
      <c r="UTC39" s="66"/>
      <c r="UTD39" s="66"/>
      <c r="UTE39" s="66"/>
      <c r="UTF39" s="66"/>
      <c r="UTG39" s="66"/>
      <c r="UTH39" s="66"/>
      <c r="UTI39" s="66"/>
      <c r="UTJ39" s="66"/>
      <c r="UTK39" s="66"/>
      <c r="UTL39" s="66"/>
      <c r="UTM39" s="66"/>
      <c r="UTN39" s="66"/>
      <c r="UTO39" s="66"/>
      <c r="UTP39" s="66"/>
      <c r="UTQ39" s="66"/>
      <c r="UTR39" s="66"/>
      <c r="UTS39" s="66"/>
      <c r="UTT39" s="66"/>
      <c r="UTU39" s="66"/>
      <c r="UTV39" s="66"/>
      <c r="UTW39" s="66"/>
      <c r="UTX39" s="66"/>
      <c r="UTY39" s="66"/>
      <c r="UTZ39" s="66"/>
      <c r="UUA39" s="66"/>
      <c r="UUB39" s="66"/>
      <c r="UUC39" s="66"/>
      <c r="UUD39" s="66"/>
      <c r="UUE39" s="66"/>
      <c r="UUF39" s="66"/>
      <c r="UUG39" s="66"/>
      <c r="UUH39" s="66"/>
      <c r="UUI39" s="66"/>
      <c r="UUJ39" s="66"/>
      <c r="UUK39" s="66"/>
      <c r="UUL39" s="66"/>
      <c r="UUM39" s="66"/>
      <c r="UUN39" s="66"/>
      <c r="UUO39" s="66"/>
      <c r="UUP39" s="66"/>
      <c r="UUQ39" s="66"/>
      <c r="UUR39" s="66"/>
      <c r="UUS39" s="66"/>
      <c r="UUT39" s="66"/>
      <c r="UUU39" s="66"/>
      <c r="UUV39" s="66"/>
      <c r="UUW39" s="66"/>
      <c r="UUX39" s="66"/>
      <c r="UUY39" s="66"/>
      <c r="UUZ39" s="66"/>
      <c r="UVA39" s="66"/>
      <c r="UVB39" s="66"/>
      <c r="UVC39" s="66"/>
      <c r="UVD39" s="66"/>
      <c r="UVE39" s="66"/>
      <c r="UVF39" s="66"/>
      <c r="UVG39" s="66"/>
      <c r="UVH39" s="66"/>
      <c r="UVI39" s="66"/>
      <c r="UVJ39" s="66"/>
      <c r="UVK39" s="66"/>
      <c r="UVL39" s="66"/>
      <c r="UVM39" s="66"/>
      <c r="UVN39" s="66"/>
      <c r="UVO39" s="66"/>
      <c r="UVP39" s="66"/>
      <c r="UVQ39" s="66"/>
      <c r="UVR39" s="66"/>
      <c r="UVS39" s="66"/>
      <c r="UVT39" s="66"/>
      <c r="UVU39" s="66"/>
      <c r="UVV39" s="66"/>
      <c r="UVW39" s="66"/>
      <c r="UVX39" s="66"/>
      <c r="UVY39" s="66"/>
      <c r="UVZ39" s="66"/>
      <c r="UWA39" s="66"/>
      <c r="UWB39" s="66"/>
      <c r="UWC39" s="66"/>
      <c r="UWD39" s="66"/>
      <c r="UWE39" s="66"/>
      <c r="UWF39" s="66"/>
      <c r="UWG39" s="66"/>
      <c r="UWH39" s="66"/>
      <c r="UWI39" s="66"/>
      <c r="UWJ39" s="66"/>
      <c r="UWK39" s="66"/>
      <c r="UWL39" s="66"/>
      <c r="UWM39" s="66"/>
      <c r="UWN39" s="66"/>
      <c r="UWO39" s="66"/>
      <c r="UWP39" s="66"/>
      <c r="UWQ39" s="66"/>
      <c r="UWR39" s="66"/>
      <c r="UWS39" s="66"/>
      <c r="UWT39" s="66"/>
      <c r="UWU39" s="66"/>
      <c r="UWV39" s="66"/>
      <c r="UWW39" s="66"/>
      <c r="UWX39" s="66"/>
      <c r="UWY39" s="66"/>
      <c r="UWZ39" s="66"/>
      <c r="UXA39" s="66"/>
      <c r="UXB39" s="66"/>
      <c r="UXC39" s="66"/>
      <c r="UXD39" s="66"/>
      <c r="UXE39" s="66"/>
      <c r="UXF39" s="66"/>
      <c r="UXG39" s="66"/>
      <c r="UXH39" s="66"/>
      <c r="UXI39" s="66"/>
      <c r="UXJ39" s="66"/>
      <c r="UXK39" s="66"/>
      <c r="UXL39" s="66"/>
      <c r="UXM39" s="66"/>
      <c r="UXN39" s="66"/>
      <c r="UXO39" s="66"/>
      <c r="UXP39" s="66"/>
      <c r="UXQ39" s="66"/>
      <c r="UXR39" s="66"/>
      <c r="UXS39" s="66"/>
      <c r="UXT39" s="66"/>
      <c r="UXU39" s="66"/>
      <c r="UXV39" s="66"/>
      <c r="UXW39" s="66"/>
      <c r="UXX39" s="66"/>
      <c r="UXY39" s="66"/>
      <c r="UXZ39" s="66"/>
      <c r="UYA39" s="66"/>
      <c r="UYB39" s="66"/>
      <c r="UYC39" s="66"/>
      <c r="UYD39" s="66"/>
      <c r="UYE39" s="66"/>
      <c r="UYF39" s="66"/>
      <c r="UYG39" s="66"/>
      <c r="UYH39" s="66"/>
      <c r="UYI39" s="66"/>
      <c r="UYJ39" s="66"/>
      <c r="UYK39" s="66"/>
      <c r="UYL39" s="66"/>
      <c r="UYM39" s="66"/>
      <c r="UYN39" s="66"/>
      <c r="UYO39" s="66"/>
      <c r="UYP39" s="66"/>
      <c r="UYQ39" s="66"/>
      <c r="UYR39" s="66"/>
      <c r="UYS39" s="66"/>
      <c r="UYT39" s="66"/>
      <c r="UYU39" s="66"/>
      <c r="UYV39" s="66"/>
      <c r="UYW39" s="66"/>
      <c r="UYX39" s="66"/>
      <c r="UYY39" s="66"/>
      <c r="UYZ39" s="66"/>
      <c r="UZA39" s="66"/>
      <c r="UZB39" s="66"/>
      <c r="UZC39" s="66"/>
      <c r="UZD39" s="66"/>
      <c r="UZE39" s="66"/>
      <c r="UZF39" s="66"/>
      <c r="UZG39" s="66"/>
      <c r="UZH39" s="66"/>
      <c r="UZI39" s="66"/>
      <c r="UZJ39" s="66"/>
      <c r="UZK39" s="66"/>
      <c r="UZL39" s="66"/>
      <c r="UZM39" s="66"/>
      <c r="UZN39" s="66"/>
      <c r="UZO39" s="66"/>
      <c r="UZP39" s="66"/>
      <c r="UZQ39" s="66"/>
      <c r="UZR39" s="66"/>
      <c r="UZS39" s="66"/>
      <c r="UZT39" s="66"/>
      <c r="UZU39" s="66"/>
      <c r="UZV39" s="66"/>
      <c r="UZW39" s="66"/>
      <c r="UZX39" s="66"/>
      <c r="UZY39" s="66"/>
      <c r="UZZ39" s="66"/>
      <c r="VAA39" s="66"/>
      <c r="VAB39" s="66"/>
      <c r="VAC39" s="66"/>
      <c r="VAD39" s="66"/>
      <c r="VAE39" s="66"/>
      <c r="VAF39" s="66"/>
      <c r="VAG39" s="66"/>
      <c r="VAH39" s="66"/>
      <c r="VAI39" s="66"/>
      <c r="VAJ39" s="66"/>
      <c r="VAK39" s="66"/>
      <c r="VAL39" s="66"/>
      <c r="VAM39" s="66"/>
      <c r="VAN39" s="66"/>
      <c r="VAO39" s="66"/>
      <c r="VAP39" s="66"/>
      <c r="VAQ39" s="66"/>
      <c r="VAR39" s="66"/>
      <c r="VAS39" s="66"/>
      <c r="VAT39" s="66"/>
      <c r="VAU39" s="66"/>
      <c r="VAV39" s="66"/>
      <c r="VAW39" s="66"/>
      <c r="VAX39" s="66"/>
      <c r="VAY39" s="66"/>
      <c r="VAZ39" s="66"/>
      <c r="VBA39" s="66"/>
      <c r="VBB39" s="66"/>
      <c r="VBC39" s="66"/>
      <c r="VBD39" s="66"/>
      <c r="VBE39" s="66"/>
      <c r="VBF39" s="66"/>
      <c r="VBG39" s="66"/>
      <c r="VBH39" s="66"/>
      <c r="VBI39" s="66"/>
      <c r="VBJ39" s="66"/>
      <c r="VBK39" s="66"/>
      <c r="VBL39" s="66"/>
      <c r="VBM39" s="66"/>
      <c r="VBN39" s="66"/>
      <c r="VBO39" s="66"/>
      <c r="VBP39" s="66"/>
      <c r="VBQ39" s="66"/>
      <c r="VBR39" s="66"/>
      <c r="VBS39" s="66"/>
      <c r="VBT39" s="66"/>
      <c r="VBU39" s="66"/>
      <c r="VBV39" s="66"/>
      <c r="VBW39" s="66"/>
      <c r="VBX39" s="66"/>
      <c r="VBY39" s="66"/>
      <c r="VBZ39" s="66"/>
      <c r="VCA39" s="66"/>
      <c r="VCB39" s="66"/>
      <c r="VCC39" s="66"/>
      <c r="VCD39" s="66"/>
      <c r="VCE39" s="66"/>
      <c r="VCF39" s="66"/>
      <c r="VCG39" s="66"/>
      <c r="VCH39" s="66"/>
      <c r="VCI39" s="66"/>
      <c r="VCJ39" s="66"/>
      <c r="VCK39" s="66"/>
      <c r="VCL39" s="66"/>
      <c r="VCM39" s="66"/>
      <c r="VCN39" s="66"/>
      <c r="VCO39" s="66"/>
      <c r="VCP39" s="66"/>
      <c r="VCQ39" s="66"/>
      <c r="VCR39" s="66"/>
      <c r="VCS39" s="66"/>
      <c r="VCT39" s="66"/>
      <c r="VCU39" s="66"/>
      <c r="VCV39" s="66"/>
      <c r="VCW39" s="66"/>
      <c r="VCX39" s="66"/>
      <c r="VCY39" s="66"/>
      <c r="VCZ39" s="66"/>
      <c r="VDA39" s="66"/>
      <c r="VDB39" s="66"/>
      <c r="VDC39" s="66"/>
      <c r="VDD39" s="66"/>
      <c r="VDE39" s="66"/>
      <c r="VDF39" s="66"/>
      <c r="VDG39" s="66"/>
      <c r="VDH39" s="66"/>
      <c r="VDI39" s="66"/>
      <c r="VDJ39" s="66"/>
      <c r="VDK39" s="66"/>
      <c r="VDL39" s="66"/>
      <c r="VDM39" s="66"/>
      <c r="VDN39" s="66"/>
      <c r="VDO39" s="66"/>
      <c r="VDP39" s="66"/>
      <c r="VDQ39" s="66"/>
      <c r="VDR39" s="66"/>
      <c r="VDS39" s="66"/>
      <c r="VDT39" s="66"/>
      <c r="VDU39" s="66"/>
      <c r="VDV39" s="66"/>
      <c r="VDW39" s="66"/>
      <c r="VDX39" s="66"/>
      <c r="VDY39" s="66"/>
      <c r="VDZ39" s="66"/>
      <c r="VEA39" s="66"/>
      <c r="VEB39" s="66"/>
      <c r="VEC39" s="66"/>
      <c r="VED39" s="66"/>
      <c r="VEE39" s="66"/>
      <c r="VEF39" s="66"/>
      <c r="VEG39" s="66"/>
      <c r="VEH39" s="66"/>
      <c r="VEI39" s="66"/>
      <c r="VEJ39" s="66"/>
      <c r="VEK39" s="66"/>
      <c r="VEL39" s="66"/>
      <c r="VEM39" s="66"/>
      <c r="VEN39" s="66"/>
      <c r="VEO39" s="66"/>
      <c r="VEP39" s="66"/>
      <c r="VEQ39" s="66"/>
      <c r="VER39" s="66"/>
      <c r="VES39" s="66"/>
      <c r="VET39" s="66"/>
      <c r="VEU39" s="66"/>
      <c r="VEV39" s="66"/>
      <c r="VEW39" s="66"/>
      <c r="VEX39" s="66"/>
      <c r="VEY39" s="66"/>
      <c r="VEZ39" s="66"/>
      <c r="VFA39" s="66"/>
      <c r="VFB39" s="66"/>
      <c r="VFC39" s="66"/>
      <c r="VFD39" s="66"/>
      <c r="VFE39" s="66"/>
      <c r="VFF39" s="66"/>
      <c r="VFG39" s="66"/>
      <c r="VFH39" s="66"/>
      <c r="VFI39" s="66"/>
      <c r="VFJ39" s="66"/>
      <c r="VFK39" s="66"/>
      <c r="VFL39" s="66"/>
      <c r="VFM39" s="66"/>
      <c r="VFN39" s="66"/>
      <c r="VFO39" s="66"/>
      <c r="VFP39" s="66"/>
      <c r="VFQ39" s="66"/>
      <c r="VFR39" s="66"/>
      <c r="VFS39" s="66"/>
      <c r="VFT39" s="66"/>
      <c r="VFU39" s="66"/>
      <c r="VFV39" s="66"/>
      <c r="VFW39" s="66"/>
      <c r="VFX39" s="66"/>
      <c r="VFY39" s="66"/>
      <c r="VFZ39" s="66"/>
      <c r="VGA39" s="66"/>
      <c r="VGB39" s="66"/>
      <c r="VGC39" s="66"/>
      <c r="VGD39" s="66"/>
      <c r="VGE39" s="66"/>
      <c r="VGF39" s="66"/>
      <c r="VGG39" s="66"/>
      <c r="VGH39" s="66"/>
      <c r="VGI39" s="66"/>
      <c r="VGJ39" s="66"/>
      <c r="VGK39" s="66"/>
      <c r="VGL39" s="66"/>
      <c r="VGM39" s="66"/>
      <c r="VGN39" s="66"/>
      <c r="VGO39" s="66"/>
      <c r="VGP39" s="66"/>
      <c r="VGQ39" s="66"/>
      <c r="VGR39" s="66"/>
      <c r="VGS39" s="66"/>
      <c r="VGT39" s="66"/>
      <c r="VGU39" s="66"/>
      <c r="VGV39" s="66"/>
      <c r="VGW39" s="66"/>
      <c r="VGX39" s="66"/>
      <c r="VGY39" s="66"/>
      <c r="VGZ39" s="66"/>
      <c r="VHA39" s="66"/>
      <c r="VHB39" s="66"/>
      <c r="VHC39" s="66"/>
      <c r="VHD39" s="66"/>
      <c r="VHE39" s="66"/>
      <c r="VHF39" s="66"/>
      <c r="VHG39" s="66"/>
      <c r="VHH39" s="66"/>
      <c r="VHI39" s="66"/>
      <c r="VHJ39" s="66"/>
      <c r="VHK39" s="66"/>
      <c r="VHL39" s="66"/>
      <c r="VHM39" s="66"/>
      <c r="VHN39" s="66"/>
      <c r="VHO39" s="66"/>
      <c r="VHP39" s="66"/>
      <c r="VHQ39" s="66"/>
      <c r="VHR39" s="66"/>
      <c r="VHS39" s="66"/>
      <c r="VHT39" s="66"/>
      <c r="VHU39" s="66"/>
      <c r="VHV39" s="66"/>
      <c r="VHW39" s="66"/>
      <c r="VHX39" s="66"/>
      <c r="VHY39" s="66"/>
      <c r="VHZ39" s="66"/>
      <c r="VIA39" s="66"/>
      <c r="VIB39" s="66"/>
      <c r="VIC39" s="66"/>
      <c r="VID39" s="66"/>
      <c r="VIE39" s="66"/>
      <c r="VIF39" s="66"/>
      <c r="VIG39" s="66"/>
      <c r="VIH39" s="66"/>
      <c r="VII39" s="66"/>
      <c r="VIJ39" s="66"/>
      <c r="VIK39" s="66"/>
      <c r="VIL39" s="66"/>
      <c r="VIM39" s="66"/>
      <c r="VIN39" s="66"/>
      <c r="VIO39" s="66"/>
      <c r="VIP39" s="66"/>
      <c r="VIQ39" s="66"/>
      <c r="VIR39" s="66"/>
      <c r="VIS39" s="66"/>
      <c r="VIT39" s="66"/>
      <c r="VIU39" s="66"/>
      <c r="VIV39" s="66"/>
      <c r="VIW39" s="66"/>
      <c r="VIX39" s="66"/>
      <c r="VIY39" s="66"/>
      <c r="VIZ39" s="66"/>
      <c r="VJA39" s="66"/>
      <c r="VJB39" s="66"/>
      <c r="VJC39" s="66"/>
      <c r="VJD39" s="66"/>
      <c r="VJE39" s="66"/>
      <c r="VJF39" s="66"/>
      <c r="VJG39" s="66"/>
      <c r="VJH39" s="66"/>
      <c r="VJI39" s="66"/>
      <c r="VJJ39" s="66"/>
      <c r="VJK39" s="66"/>
      <c r="VJL39" s="66"/>
      <c r="VJM39" s="66"/>
      <c r="VJN39" s="66"/>
      <c r="VJO39" s="66"/>
      <c r="VJP39" s="66"/>
      <c r="VJQ39" s="66"/>
      <c r="VJR39" s="66"/>
      <c r="VJS39" s="66"/>
      <c r="VJT39" s="66"/>
      <c r="VJU39" s="66"/>
      <c r="VJV39" s="66"/>
      <c r="VJW39" s="66"/>
      <c r="VJX39" s="66"/>
      <c r="VJY39" s="66"/>
      <c r="VJZ39" s="66"/>
      <c r="VKA39" s="66"/>
      <c r="VKB39" s="66"/>
      <c r="VKC39" s="66"/>
      <c r="VKD39" s="66"/>
      <c r="VKE39" s="66"/>
      <c r="VKF39" s="66"/>
      <c r="VKG39" s="66"/>
      <c r="VKH39" s="66"/>
      <c r="VKI39" s="66"/>
      <c r="VKJ39" s="66"/>
      <c r="VKK39" s="66"/>
      <c r="VKL39" s="66"/>
      <c r="VKM39" s="66"/>
      <c r="VKN39" s="66"/>
      <c r="VKO39" s="66"/>
      <c r="VKP39" s="66"/>
      <c r="VKQ39" s="66"/>
      <c r="VKR39" s="66"/>
      <c r="VKS39" s="66"/>
      <c r="VKT39" s="66"/>
      <c r="VKU39" s="66"/>
      <c r="VKV39" s="66"/>
      <c r="VKW39" s="66"/>
      <c r="VKX39" s="66"/>
      <c r="VKY39" s="66"/>
      <c r="VKZ39" s="66"/>
      <c r="VLA39" s="66"/>
      <c r="VLB39" s="66"/>
      <c r="VLC39" s="66"/>
      <c r="VLD39" s="66"/>
      <c r="VLE39" s="66"/>
      <c r="VLF39" s="66"/>
      <c r="VLG39" s="66"/>
      <c r="VLH39" s="66"/>
      <c r="VLI39" s="66"/>
      <c r="VLJ39" s="66"/>
      <c r="VLK39" s="66"/>
      <c r="VLL39" s="66"/>
      <c r="VLM39" s="66"/>
      <c r="VLN39" s="66"/>
      <c r="VLO39" s="66"/>
      <c r="VLP39" s="66"/>
      <c r="VLQ39" s="66"/>
      <c r="VLR39" s="66"/>
      <c r="VLS39" s="66"/>
      <c r="VLT39" s="66"/>
      <c r="VLU39" s="66"/>
      <c r="VLV39" s="66"/>
      <c r="VLW39" s="66"/>
      <c r="VLX39" s="66"/>
      <c r="VLY39" s="66"/>
      <c r="VLZ39" s="66"/>
      <c r="VMA39" s="66"/>
      <c r="VMB39" s="66"/>
      <c r="VMC39" s="66"/>
      <c r="VMD39" s="66"/>
      <c r="VME39" s="66"/>
      <c r="VMF39" s="66"/>
      <c r="VMG39" s="66"/>
      <c r="VMH39" s="66"/>
      <c r="VMI39" s="66"/>
      <c r="VMJ39" s="66"/>
      <c r="VMK39" s="66"/>
      <c r="VML39" s="66"/>
      <c r="VMM39" s="66"/>
      <c r="VMN39" s="66"/>
      <c r="VMO39" s="66"/>
      <c r="VMP39" s="66"/>
      <c r="VMQ39" s="66"/>
      <c r="VMR39" s="66"/>
      <c r="VMS39" s="66"/>
      <c r="VMT39" s="66"/>
      <c r="VMU39" s="66"/>
      <c r="VMV39" s="66"/>
      <c r="VMW39" s="66"/>
      <c r="VMX39" s="66"/>
      <c r="VMY39" s="66"/>
      <c r="VMZ39" s="66"/>
      <c r="VNA39" s="66"/>
      <c r="VNB39" s="66"/>
      <c r="VNC39" s="66"/>
      <c r="VND39" s="66"/>
      <c r="VNE39" s="66"/>
      <c r="VNF39" s="66"/>
      <c r="VNG39" s="66"/>
      <c r="VNH39" s="66"/>
      <c r="VNI39" s="66"/>
      <c r="VNJ39" s="66"/>
      <c r="VNK39" s="66"/>
      <c r="VNL39" s="66"/>
      <c r="VNM39" s="66"/>
      <c r="VNN39" s="66"/>
      <c r="VNO39" s="66"/>
      <c r="VNP39" s="66"/>
      <c r="VNQ39" s="66"/>
      <c r="VNR39" s="66"/>
      <c r="VNS39" s="66"/>
      <c r="VNT39" s="66"/>
      <c r="VNU39" s="66"/>
      <c r="VNV39" s="66"/>
      <c r="VNW39" s="66"/>
      <c r="VNX39" s="66"/>
      <c r="VNY39" s="66"/>
      <c r="VNZ39" s="66"/>
      <c r="VOA39" s="66"/>
      <c r="VOB39" s="66"/>
      <c r="VOC39" s="66"/>
      <c r="VOD39" s="66"/>
      <c r="VOE39" s="66"/>
      <c r="VOF39" s="66"/>
      <c r="VOG39" s="66"/>
      <c r="VOH39" s="66"/>
      <c r="VOI39" s="66"/>
      <c r="VOJ39" s="66"/>
      <c r="VOK39" s="66"/>
      <c r="VOL39" s="66"/>
      <c r="VOM39" s="66"/>
      <c r="VON39" s="66"/>
      <c r="VOO39" s="66"/>
      <c r="VOP39" s="66"/>
      <c r="VOQ39" s="66"/>
      <c r="VOR39" s="66"/>
      <c r="VOS39" s="66"/>
      <c r="VOT39" s="66"/>
      <c r="VOU39" s="66"/>
      <c r="VOV39" s="66"/>
      <c r="VOW39" s="66"/>
      <c r="VOX39" s="66"/>
      <c r="VOY39" s="66"/>
      <c r="VOZ39" s="66"/>
      <c r="VPA39" s="66"/>
      <c r="VPB39" s="66"/>
      <c r="VPC39" s="66"/>
      <c r="VPD39" s="66"/>
      <c r="VPE39" s="66"/>
      <c r="VPF39" s="66"/>
      <c r="VPG39" s="66"/>
      <c r="VPH39" s="66"/>
      <c r="VPI39" s="66"/>
      <c r="VPJ39" s="66"/>
      <c r="VPK39" s="66"/>
      <c r="VPL39" s="66"/>
      <c r="VPM39" s="66"/>
      <c r="VPN39" s="66"/>
      <c r="VPO39" s="66"/>
      <c r="VPP39" s="66"/>
      <c r="VPQ39" s="66"/>
      <c r="VPR39" s="66"/>
      <c r="VPS39" s="66"/>
      <c r="VPT39" s="66"/>
      <c r="VPU39" s="66"/>
      <c r="VPV39" s="66"/>
      <c r="VPW39" s="66"/>
      <c r="VPX39" s="66"/>
      <c r="VPY39" s="66"/>
      <c r="VPZ39" s="66"/>
      <c r="VQA39" s="66"/>
      <c r="VQB39" s="66"/>
      <c r="VQC39" s="66"/>
      <c r="VQD39" s="66"/>
      <c r="VQE39" s="66"/>
      <c r="VQF39" s="66"/>
      <c r="VQG39" s="66"/>
      <c r="VQH39" s="66"/>
      <c r="VQI39" s="66"/>
      <c r="VQJ39" s="66"/>
      <c r="VQK39" s="66"/>
      <c r="VQL39" s="66"/>
      <c r="VQM39" s="66"/>
      <c r="VQN39" s="66"/>
      <c r="VQO39" s="66"/>
      <c r="VQP39" s="66"/>
      <c r="VQQ39" s="66"/>
      <c r="VQR39" s="66"/>
      <c r="VQS39" s="66"/>
      <c r="VQT39" s="66"/>
      <c r="VQU39" s="66"/>
      <c r="VQV39" s="66"/>
      <c r="VQW39" s="66"/>
      <c r="VQX39" s="66"/>
      <c r="VQY39" s="66"/>
      <c r="VQZ39" s="66"/>
      <c r="VRA39" s="66"/>
      <c r="VRB39" s="66"/>
      <c r="VRC39" s="66"/>
      <c r="VRD39" s="66"/>
      <c r="VRE39" s="66"/>
      <c r="VRF39" s="66"/>
      <c r="VRG39" s="66"/>
      <c r="VRH39" s="66"/>
      <c r="VRI39" s="66"/>
      <c r="VRJ39" s="66"/>
      <c r="VRK39" s="66"/>
      <c r="VRL39" s="66"/>
      <c r="VRM39" s="66"/>
      <c r="VRN39" s="66"/>
      <c r="VRO39" s="66"/>
      <c r="VRP39" s="66"/>
      <c r="VRQ39" s="66"/>
      <c r="VRR39" s="66"/>
      <c r="VRS39" s="66"/>
      <c r="VRT39" s="66"/>
      <c r="VRU39" s="66"/>
      <c r="VRV39" s="66"/>
      <c r="VRW39" s="66"/>
      <c r="VRX39" s="66"/>
      <c r="VRY39" s="66"/>
      <c r="VRZ39" s="66"/>
      <c r="VSA39" s="66"/>
      <c r="VSB39" s="66"/>
      <c r="VSC39" s="66"/>
      <c r="VSD39" s="66"/>
      <c r="VSE39" s="66"/>
      <c r="VSF39" s="66"/>
      <c r="VSG39" s="66"/>
      <c r="VSH39" s="66"/>
      <c r="VSI39" s="66"/>
      <c r="VSJ39" s="66"/>
      <c r="VSK39" s="66"/>
      <c r="VSL39" s="66"/>
      <c r="VSM39" s="66"/>
      <c r="VSN39" s="66"/>
      <c r="VSO39" s="66"/>
      <c r="VSP39" s="66"/>
      <c r="VSQ39" s="66"/>
      <c r="VSR39" s="66"/>
      <c r="VSS39" s="66"/>
      <c r="VST39" s="66"/>
      <c r="VSU39" s="66"/>
      <c r="VSV39" s="66"/>
      <c r="VSW39" s="66"/>
      <c r="VSX39" s="66"/>
      <c r="VSY39" s="66"/>
      <c r="VSZ39" s="66"/>
      <c r="VTA39" s="66"/>
      <c r="VTB39" s="66"/>
      <c r="VTC39" s="66"/>
      <c r="VTD39" s="66"/>
      <c r="VTE39" s="66"/>
      <c r="VTF39" s="66"/>
      <c r="VTG39" s="66"/>
      <c r="VTH39" s="66"/>
      <c r="VTI39" s="66"/>
      <c r="VTJ39" s="66"/>
      <c r="VTK39" s="66"/>
      <c r="VTL39" s="66"/>
      <c r="VTM39" s="66"/>
      <c r="VTN39" s="66"/>
      <c r="VTO39" s="66"/>
      <c r="VTP39" s="66"/>
      <c r="VTQ39" s="66"/>
      <c r="VTR39" s="66"/>
      <c r="VTS39" s="66"/>
      <c r="VTT39" s="66"/>
      <c r="VTU39" s="66"/>
      <c r="VTV39" s="66"/>
      <c r="VTW39" s="66"/>
      <c r="VTX39" s="66"/>
      <c r="VTY39" s="66"/>
      <c r="VTZ39" s="66"/>
      <c r="VUA39" s="66"/>
      <c r="VUB39" s="66"/>
      <c r="VUC39" s="66"/>
      <c r="VUD39" s="66"/>
      <c r="VUE39" s="66"/>
      <c r="VUF39" s="66"/>
      <c r="VUG39" s="66"/>
      <c r="VUH39" s="66"/>
      <c r="VUI39" s="66"/>
      <c r="VUJ39" s="66"/>
      <c r="VUK39" s="66"/>
      <c r="VUL39" s="66"/>
      <c r="VUM39" s="66"/>
      <c r="VUN39" s="66"/>
      <c r="VUO39" s="66"/>
      <c r="VUP39" s="66"/>
      <c r="VUQ39" s="66"/>
      <c r="VUR39" s="66"/>
      <c r="VUS39" s="66"/>
      <c r="VUT39" s="66"/>
      <c r="VUU39" s="66"/>
      <c r="VUV39" s="66"/>
      <c r="VUW39" s="66"/>
      <c r="VUX39" s="66"/>
      <c r="VUY39" s="66"/>
      <c r="VUZ39" s="66"/>
      <c r="VVA39" s="66"/>
      <c r="VVB39" s="66"/>
      <c r="VVC39" s="66"/>
      <c r="VVD39" s="66"/>
      <c r="VVE39" s="66"/>
      <c r="VVF39" s="66"/>
      <c r="VVG39" s="66"/>
      <c r="VVH39" s="66"/>
      <c r="VVI39" s="66"/>
      <c r="VVJ39" s="66"/>
      <c r="VVK39" s="66"/>
      <c r="VVL39" s="66"/>
      <c r="VVM39" s="66"/>
      <c r="VVN39" s="66"/>
      <c r="VVO39" s="66"/>
      <c r="VVP39" s="66"/>
      <c r="VVQ39" s="66"/>
      <c r="VVR39" s="66"/>
      <c r="VVS39" s="66"/>
      <c r="VVT39" s="66"/>
      <c r="VVU39" s="66"/>
      <c r="VVV39" s="66"/>
      <c r="VVW39" s="66"/>
      <c r="VVX39" s="66"/>
      <c r="VVY39" s="66"/>
      <c r="VVZ39" s="66"/>
      <c r="VWA39" s="66"/>
      <c r="VWB39" s="66"/>
      <c r="VWC39" s="66"/>
      <c r="VWD39" s="66"/>
      <c r="VWE39" s="66"/>
      <c r="VWF39" s="66"/>
      <c r="VWG39" s="66"/>
      <c r="VWH39" s="66"/>
      <c r="VWI39" s="66"/>
      <c r="VWJ39" s="66"/>
      <c r="VWK39" s="66"/>
      <c r="VWL39" s="66"/>
      <c r="VWM39" s="66"/>
      <c r="VWN39" s="66"/>
      <c r="VWO39" s="66"/>
      <c r="VWP39" s="66"/>
      <c r="VWQ39" s="66"/>
      <c r="VWR39" s="66"/>
      <c r="VWS39" s="66"/>
      <c r="VWT39" s="66"/>
      <c r="VWU39" s="66"/>
      <c r="VWV39" s="66"/>
      <c r="VWW39" s="66"/>
      <c r="VWX39" s="66"/>
      <c r="VWY39" s="66"/>
      <c r="VWZ39" s="66"/>
      <c r="VXA39" s="66"/>
      <c r="VXB39" s="66"/>
      <c r="VXC39" s="66"/>
      <c r="VXD39" s="66"/>
      <c r="VXE39" s="66"/>
      <c r="VXF39" s="66"/>
      <c r="VXG39" s="66"/>
      <c r="VXH39" s="66"/>
      <c r="VXI39" s="66"/>
      <c r="VXJ39" s="66"/>
      <c r="VXK39" s="66"/>
      <c r="VXL39" s="66"/>
      <c r="VXM39" s="66"/>
      <c r="VXN39" s="66"/>
      <c r="VXO39" s="66"/>
      <c r="VXP39" s="66"/>
      <c r="VXQ39" s="66"/>
      <c r="VXR39" s="66"/>
      <c r="VXS39" s="66"/>
      <c r="VXT39" s="66"/>
      <c r="VXU39" s="66"/>
      <c r="VXV39" s="66"/>
      <c r="VXW39" s="66"/>
      <c r="VXX39" s="66"/>
      <c r="VXY39" s="66"/>
      <c r="VXZ39" s="66"/>
      <c r="VYA39" s="66"/>
      <c r="VYB39" s="66"/>
      <c r="VYC39" s="66"/>
      <c r="VYD39" s="66"/>
      <c r="VYE39" s="66"/>
      <c r="VYF39" s="66"/>
      <c r="VYG39" s="66"/>
      <c r="VYH39" s="66"/>
      <c r="VYI39" s="66"/>
      <c r="VYJ39" s="66"/>
      <c r="VYK39" s="66"/>
      <c r="VYL39" s="66"/>
      <c r="VYM39" s="66"/>
      <c r="VYN39" s="66"/>
      <c r="VYO39" s="66"/>
      <c r="VYP39" s="66"/>
      <c r="VYQ39" s="66"/>
      <c r="VYR39" s="66"/>
      <c r="VYS39" s="66"/>
      <c r="VYT39" s="66"/>
      <c r="VYU39" s="66"/>
      <c r="VYV39" s="66"/>
      <c r="VYW39" s="66"/>
      <c r="VYX39" s="66"/>
      <c r="VYY39" s="66"/>
      <c r="VYZ39" s="66"/>
      <c r="VZA39" s="66"/>
      <c r="VZB39" s="66"/>
      <c r="VZC39" s="66"/>
      <c r="VZD39" s="66"/>
      <c r="VZE39" s="66"/>
      <c r="VZF39" s="66"/>
      <c r="VZG39" s="66"/>
      <c r="VZH39" s="66"/>
      <c r="VZI39" s="66"/>
      <c r="VZJ39" s="66"/>
      <c r="VZK39" s="66"/>
      <c r="VZL39" s="66"/>
      <c r="VZM39" s="66"/>
      <c r="VZN39" s="66"/>
      <c r="VZO39" s="66"/>
      <c r="VZP39" s="66"/>
      <c r="VZQ39" s="66"/>
      <c r="VZR39" s="66"/>
      <c r="VZS39" s="66"/>
      <c r="VZT39" s="66"/>
      <c r="VZU39" s="66"/>
      <c r="VZV39" s="66"/>
      <c r="VZW39" s="66"/>
      <c r="VZX39" s="66"/>
      <c r="VZY39" s="66"/>
      <c r="VZZ39" s="66"/>
      <c r="WAA39" s="66"/>
      <c r="WAB39" s="66"/>
      <c r="WAC39" s="66"/>
      <c r="WAD39" s="66"/>
      <c r="WAE39" s="66"/>
      <c r="WAF39" s="66"/>
      <c r="WAG39" s="66"/>
      <c r="WAH39" s="66"/>
      <c r="WAI39" s="66"/>
      <c r="WAJ39" s="66"/>
      <c r="WAK39" s="66"/>
      <c r="WAL39" s="66"/>
      <c r="WAM39" s="66"/>
      <c r="WAN39" s="66"/>
      <c r="WAO39" s="66"/>
      <c r="WAP39" s="66"/>
      <c r="WAQ39" s="66"/>
      <c r="WAR39" s="66"/>
      <c r="WAS39" s="66"/>
      <c r="WAT39" s="66"/>
      <c r="WAU39" s="66"/>
      <c r="WAV39" s="66"/>
      <c r="WAW39" s="66"/>
      <c r="WAX39" s="66"/>
      <c r="WAY39" s="66"/>
      <c r="WAZ39" s="66"/>
      <c r="WBA39" s="66"/>
      <c r="WBB39" s="66"/>
      <c r="WBC39" s="66"/>
      <c r="WBD39" s="66"/>
      <c r="WBE39" s="66"/>
      <c r="WBF39" s="66"/>
      <c r="WBG39" s="66"/>
      <c r="WBH39" s="66"/>
      <c r="WBI39" s="66"/>
      <c r="WBJ39" s="66"/>
      <c r="WBK39" s="66"/>
      <c r="WBL39" s="66"/>
      <c r="WBM39" s="66"/>
      <c r="WBN39" s="66"/>
      <c r="WBO39" s="66"/>
      <c r="WBP39" s="66"/>
      <c r="WBQ39" s="66"/>
      <c r="WBR39" s="66"/>
      <c r="WBS39" s="66"/>
      <c r="WBT39" s="66"/>
      <c r="WBU39" s="66"/>
      <c r="WBV39" s="66"/>
      <c r="WBW39" s="66"/>
      <c r="WBX39" s="66"/>
      <c r="WBY39" s="66"/>
      <c r="WBZ39" s="66"/>
      <c r="WCA39" s="66"/>
      <c r="WCB39" s="66"/>
      <c r="WCC39" s="66"/>
      <c r="WCD39" s="66"/>
      <c r="WCE39" s="66"/>
      <c r="WCF39" s="66"/>
      <c r="WCG39" s="66"/>
      <c r="WCH39" s="66"/>
      <c r="WCI39" s="66"/>
      <c r="WCJ39" s="66"/>
      <c r="WCK39" s="66"/>
      <c r="WCL39" s="66"/>
      <c r="WCM39" s="66"/>
      <c r="WCN39" s="66"/>
      <c r="WCO39" s="66"/>
      <c r="WCP39" s="66"/>
      <c r="WCQ39" s="66"/>
      <c r="WCR39" s="66"/>
      <c r="WCS39" s="66"/>
      <c r="WCT39" s="66"/>
      <c r="WCU39" s="66"/>
      <c r="WCV39" s="66"/>
      <c r="WCW39" s="66"/>
      <c r="WCX39" s="66"/>
      <c r="WCY39" s="66"/>
      <c r="WCZ39" s="66"/>
      <c r="WDA39" s="66"/>
      <c r="WDB39" s="66"/>
      <c r="WDC39" s="66"/>
      <c r="WDD39" s="66"/>
      <c r="WDE39" s="66"/>
      <c r="WDF39" s="66"/>
      <c r="WDG39" s="66"/>
      <c r="WDH39" s="66"/>
      <c r="WDI39" s="66"/>
      <c r="WDJ39" s="66"/>
      <c r="WDK39" s="66"/>
      <c r="WDL39" s="66"/>
      <c r="WDM39" s="66"/>
      <c r="WDN39" s="66"/>
      <c r="WDO39" s="66"/>
      <c r="WDP39" s="66"/>
      <c r="WDQ39" s="66"/>
      <c r="WDR39" s="66"/>
      <c r="WDS39" s="66"/>
      <c r="WDT39" s="66"/>
      <c r="WDU39" s="66"/>
      <c r="WDV39" s="66"/>
      <c r="WDW39" s="66"/>
      <c r="WDX39" s="66"/>
      <c r="WDY39" s="66"/>
      <c r="WDZ39" s="66"/>
      <c r="WEA39" s="66"/>
      <c r="WEB39" s="66"/>
      <c r="WEC39" s="66"/>
      <c r="WED39" s="66"/>
      <c r="WEE39" s="66"/>
      <c r="WEF39" s="66"/>
      <c r="WEG39" s="66"/>
      <c r="WEH39" s="66"/>
      <c r="WEI39" s="66"/>
      <c r="WEJ39" s="66"/>
      <c r="WEK39" s="66"/>
      <c r="WEL39" s="66"/>
      <c r="WEM39" s="66"/>
      <c r="WEN39" s="66"/>
      <c r="WEO39" s="66"/>
      <c r="WEP39" s="66"/>
      <c r="WEQ39" s="66"/>
      <c r="WER39" s="66"/>
      <c r="WES39" s="66"/>
      <c r="WET39" s="66"/>
      <c r="WEU39" s="66"/>
      <c r="WEV39" s="66"/>
      <c r="WEW39" s="66"/>
      <c r="WEX39" s="66"/>
      <c r="WEY39" s="66"/>
      <c r="WEZ39" s="66"/>
      <c r="WFA39" s="66"/>
      <c r="WFB39" s="66"/>
      <c r="WFC39" s="66"/>
      <c r="WFD39" s="66"/>
      <c r="WFE39" s="66"/>
      <c r="WFF39" s="66"/>
      <c r="WFG39" s="66"/>
      <c r="WFH39" s="66"/>
      <c r="WFI39" s="66"/>
      <c r="WFJ39" s="66"/>
      <c r="WFK39" s="66"/>
      <c r="WFL39" s="66"/>
      <c r="WFM39" s="66"/>
      <c r="WFN39" s="66"/>
      <c r="WFO39" s="66"/>
      <c r="WFP39" s="66"/>
      <c r="WFQ39" s="66"/>
      <c r="WFR39" s="66"/>
      <c r="WFS39" s="66"/>
      <c r="WFT39" s="66"/>
      <c r="WFU39" s="66"/>
      <c r="WFV39" s="66"/>
      <c r="WFW39" s="66"/>
      <c r="WFX39" s="66"/>
      <c r="WFY39" s="66"/>
      <c r="WFZ39" s="66"/>
      <c r="WGA39" s="66"/>
      <c r="WGB39" s="66"/>
      <c r="WGC39" s="66"/>
      <c r="WGD39" s="66"/>
      <c r="WGE39" s="66"/>
      <c r="WGF39" s="66"/>
      <c r="WGG39" s="66"/>
      <c r="WGH39" s="66"/>
      <c r="WGI39" s="66"/>
      <c r="WGJ39" s="66"/>
      <c r="WGK39" s="66"/>
      <c r="WGL39" s="66"/>
      <c r="WGM39" s="66"/>
      <c r="WGN39" s="66"/>
      <c r="WGO39" s="66"/>
      <c r="WGP39" s="66"/>
      <c r="WGQ39" s="66"/>
      <c r="WGR39" s="66"/>
      <c r="WGS39" s="66"/>
      <c r="WGT39" s="66"/>
      <c r="WGU39" s="66"/>
      <c r="WGV39" s="66"/>
      <c r="WGW39" s="66"/>
      <c r="WGX39" s="66"/>
      <c r="WGY39" s="66"/>
      <c r="WGZ39" s="66"/>
      <c r="WHA39" s="66"/>
      <c r="WHB39" s="66"/>
      <c r="WHC39" s="66"/>
      <c r="WHD39" s="66"/>
      <c r="WHE39" s="66"/>
      <c r="WHF39" s="66"/>
      <c r="WHG39" s="66"/>
      <c r="WHH39" s="66"/>
      <c r="WHI39" s="66"/>
      <c r="WHJ39" s="66"/>
      <c r="WHK39" s="66"/>
      <c r="WHL39" s="66"/>
      <c r="WHM39" s="66"/>
      <c r="WHN39" s="66"/>
      <c r="WHO39" s="66"/>
      <c r="WHP39" s="66"/>
      <c r="WHQ39" s="66"/>
      <c r="WHR39" s="66"/>
      <c r="WHS39" s="66"/>
      <c r="WHT39" s="66"/>
      <c r="WHU39" s="66"/>
      <c r="WHV39" s="66"/>
      <c r="WHW39" s="66"/>
      <c r="WHX39" s="66"/>
      <c r="WHY39" s="66"/>
      <c r="WHZ39" s="66"/>
      <c r="WIA39" s="66"/>
      <c r="WIB39" s="66"/>
      <c r="WIC39" s="66"/>
      <c r="WID39" s="66"/>
      <c r="WIE39" s="66"/>
      <c r="WIF39" s="66"/>
      <c r="WIG39" s="66"/>
      <c r="WIH39" s="66"/>
      <c r="WII39" s="66"/>
      <c r="WIJ39" s="66"/>
      <c r="WIK39" s="66"/>
      <c r="WIL39" s="66"/>
      <c r="WIM39" s="66"/>
      <c r="WIN39" s="66"/>
      <c r="WIO39" s="66"/>
      <c r="WIP39" s="66"/>
      <c r="WIQ39" s="66"/>
      <c r="WIR39" s="66"/>
      <c r="WIS39" s="66"/>
      <c r="WIT39" s="66"/>
      <c r="WIU39" s="66"/>
      <c r="WIV39" s="66"/>
      <c r="WIW39" s="66"/>
      <c r="WIX39" s="66"/>
      <c r="WIY39" s="66"/>
      <c r="WIZ39" s="66"/>
      <c r="WJA39" s="66"/>
      <c r="WJB39" s="66"/>
      <c r="WJC39" s="66"/>
      <c r="WJD39" s="66"/>
      <c r="WJE39" s="66"/>
      <c r="WJF39" s="66"/>
      <c r="WJG39" s="66"/>
      <c r="WJH39" s="66"/>
      <c r="WJI39" s="66"/>
      <c r="WJJ39" s="66"/>
      <c r="WJK39" s="66"/>
      <c r="WJL39" s="66"/>
      <c r="WJM39" s="66"/>
      <c r="WJN39" s="66"/>
      <c r="WJO39" s="66"/>
      <c r="WJP39" s="66"/>
      <c r="WJQ39" s="66"/>
      <c r="WJR39" s="66"/>
      <c r="WJS39" s="66"/>
      <c r="WJT39" s="66"/>
      <c r="WJU39" s="66"/>
      <c r="WJV39" s="66"/>
      <c r="WJW39" s="66"/>
      <c r="WJX39" s="66"/>
      <c r="WJY39" s="66"/>
      <c r="WJZ39" s="66"/>
      <c r="WKA39" s="66"/>
      <c r="WKB39" s="66"/>
      <c r="WKC39" s="66"/>
      <c r="WKD39" s="66"/>
      <c r="WKE39" s="66"/>
      <c r="WKF39" s="66"/>
      <c r="WKG39" s="66"/>
      <c r="WKH39" s="66"/>
      <c r="WKI39" s="66"/>
      <c r="WKJ39" s="66"/>
      <c r="WKK39" s="66"/>
      <c r="WKL39" s="66"/>
      <c r="WKM39" s="66"/>
      <c r="WKN39" s="66"/>
      <c r="WKO39" s="66"/>
      <c r="WKP39" s="66"/>
      <c r="WKQ39" s="66"/>
      <c r="WKR39" s="66"/>
      <c r="WKS39" s="66"/>
      <c r="WKT39" s="66"/>
      <c r="WKU39" s="66"/>
      <c r="WKV39" s="66"/>
      <c r="WKW39" s="66"/>
      <c r="WKX39" s="66"/>
      <c r="WKY39" s="66"/>
      <c r="WKZ39" s="66"/>
      <c r="WLA39" s="66"/>
      <c r="WLB39" s="66"/>
      <c r="WLC39" s="66"/>
      <c r="WLD39" s="66"/>
      <c r="WLE39" s="66"/>
      <c r="WLF39" s="66"/>
      <c r="WLG39" s="66"/>
      <c r="WLH39" s="66"/>
      <c r="WLI39" s="66"/>
      <c r="WLJ39" s="66"/>
      <c r="WLK39" s="66"/>
      <c r="WLL39" s="66"/>
      <c r="WLM39" s="66"/>
      <c r="WLN39" s="66"/>
      <c r="WLO39" s="66"/>
      <c r="WLP39" s="66"/>
      <c r="WLQ39" s="66"/>
      <c r="WLR39" s="66"/>
      <c r="WLS39" s="66"/>
      <c r="WLT39" s="66"/>
      <c r="WLU39" s="66"/>
      <c r="WLV39" s="66"/>
      <c r="WLW39" s="66"/>
      <c r="WLX39" s="66"/>
      <c r="WLY39" s="66"/>
      <c r="WLZ39" s="66"/>
      <c r="WMA39" s="66"/>
      <c r="WMB39" s="66"/>
      <c r="WMC39" s="66"/>
      <c r="WMD39" s="66"/>
      <c r="WME39" s="66"/>
      <c r="WMF39" s="66"/>
      <c r="WMG39" s="66"/>
      <c r="WMH39" s="66"/>
      <c r="WMI39" s="66"/>
      <c r="WMJ39" s="66"/>
      <c r="WMK39" s="66"/>
      <c r="WML39" s="66"/>
      <c r="WMM39" s="66"/>
      <c r="WMN39" s="66"/>
      <c r="WMO39" s="66"/>
      <c r="WMP39" s="66"/>
      <c r="WMQ39" s="66"/>
      <c r="WMR39" s="66"/>
      <c r="WMS39" s="66"/>
      <c r="WMT39" s="66"/>
      <c r="WMU39" s="66"/>
      <c r="WMV39" s="66"/>
      <c r="WMW39" s="66"/>
      <c r="WMX39" s="66"/>
      <c r="WMY39" s="66"/>
      <c r="WMZ39" s="66"/>
      <c r="WNA39" s="66"/>
      <c r="WNB39" s="66"/>
      <c r="WNC39" s="66"/>
      <c r="WND39" s="66"/>
      <c r="WNE39" s="66"/>
      <c r="WNF39" s="66"/>
      <c r="WNG39" s="66"/>
      <c r="WNH39" s="66"/>
      <c r="WNI39" s="66"/>
      <c r="WNJ39" s="66"/>
      <c r="WNK39" s="66"/>
      <c r="WNL39" s="66"/>
      <c r="WNM39" s="66"/>
      <c r="WNN39" s="66"/>
      <c r="WNO39" s="66"/>
      <c r="WNP39" s="66"/>
      <c r="WNQ39" s="66"/>
      <c r="WNR39" s="66"/>
      <c r="WNS39" s="66"/>
      <c r="WNT39" s="66"/>
      <c r="WNU39" s="66"/>
      <c r="WNV39" s="66"/>
      <c r="WNW39" s="66"/>
      <c r="WNX39" s="66"/>
      <c r="WNY39" s="66"/>
      <c r="WNZ39" s="66"/>
      <c r="WOA39" s="66"/>
      <c r="WOB39" s="66"/>
      <c r="WOC39" s="66"/>
      <c r="WOD39" s="66"/>
      <c r="WOE39" s="66"/>
      <c r="WOF39" s="66"/>
      <c r="WOG39" s="66"/>
      <c r="WOH39" s="66"/>
      <c r="WOI39" s="66"/>
      <c r="WOJ39" s="66"/>
      <c r="WOK39" s="66"/>
      <c r="WOL39" s="66"/>
      <c r="WOM39" s="66"/>
      <c r="WON39" s="66"/>
      <c r="WOO39" s="66"/>
      <c r="WOP39" s="66"/>
      <c r="WOQ39" s="66"/>
      <c r="WOR39" s="66"/>
      <c r="WOS39" s="66"/>
      <c r="WOT39" s="66"/>
      <c r="WOU39" s="66"/>
      <c r="WOV39" s="66"/>
      <c r="WOW39" s="66"/>
      <c r="WOX39" s="66"/>
      <c r="WOY39" s="66"/>
      <c r="WOZ39" s="66"/>
      <c r="WPA39" s="66"/>
      <c r="WPB39" s="66"/>
      <c r="WPC39" s="66"/>
      <c r="WPD39" s="66"/>
      <c r="WPE39" s="66"/>
      <c r="WPF39" s="66"/>
      <c r="WPG39" s="66"/>
      <c r="WPH39" s="66"/>
      <c r="WPI39" s="66"/>
      <c r="WPJ39" s="66"/>
      <c r="WPK39" s="66"/>
      <c r="WPL39" s="66"/>
      <c r="WPM39" s="66"/>
      <c r="WPN39" s="66"/>
      <c r="WPO39" s="66"/>
      <c r="WPP39" s="66"/>
      <c r="WPQ39" s="66"/>
      <c r="WPR39" s="66"/>
      <c r="WPS39" s="66"/>
      <c r="WPT39" s="66"/>
      <c r="WPU39" s="66"/>
      <c r="WPV39" s="66"/>
      <c r="WPW39" s="66"/>
      <c r="WPX39" s="66"/>
      <c r="WPY39" s="66"/>
      <c r="WPZ39" s="66"/>
      <c r="WQA39" s="66"/>
      <c r="WQB39" s="66"/>
      <c r="WQC39" s="66"/>
      <c r="WQD39" s="66"/>
      <c r="WQE39" s="66"/>
      <c r="WQF39" s="66"/>
      <c r="WQG39" s="66"/>
      <c r="WQH39" s="66"/>
      <c r="WQI39" s="66"/>
      <c r="WQJ39" s="66"/>
      <c r="WQK39" s="66"/>
      <c r="WQL39" s="66"/>
      <c r="WQM39" s="66"/>
      <c r="WQN39" s="66"/>
      <c r="WQO39" s="66"/>
      <c r="WQP39" s="66"/>
      <c r="WQQ39" s="66"/>
      <c r="WQR39" s="66"/>
      <c r="WQS39" s="66"/>
      <c r="WQT39" s="66"/>
      <c r="WQU39" s="66"/>
      <c r="WQV39" s="66"/>
      <c r="WQW39" s="66"/>
      <c r="WQX39" s="66"/>
      <c r="WQY39" s="66"/>
      <c r="WQZ39" s="66"/>
      <c r="WRA39" s="66"/>
      <c r="WRB39" s="66"/>
      <c r="WRC39" s="66"/>
      <c r="WRD39" s="66"/>
      <c r="WRE39" s="66"/>
      <c r="WRF39" s="66"/>
      <c r="WRG39" s="66"/>
      <c r="WRH39" s="66"/>
      <c r="WRI39" s="66"/>
      <c r="WRJ39" s="66"/>
      <c r="WRK39" s="66"/>
      <c r="WRL39" s="66"/>
      <c r="WRM39" s="66"/>
      <c r="WRN39" s="66"/>
      <c r="WRO39" s="66"/>
      <c r="WRP39" s="66"/>
      <c r="WRQ39" s="66"/>
      <c r="WRR39" s="66"/>
      <c r="WRS39" s="66"/>
      <c r="WRT39" s="66"/>
      <c r="WRU39" s="66"/>
      <c r="WRV39" s="66"/>
      <c r="WRW39" s="66"/>
      <c r="WRX39" s="66"/>
      <c r="WRY39" s="66"/>
      <c r="WRZ39" s="66"/>
      <c r="WSA39" s="66"/>
      <c r="WSB39" s="66"/>
      <c r="WSC39" s="66"/>
      <c r="WSD39" s="66"/>
      <c r="WSE39" s="66"/>
      <c r="WSF39" s="66"/>
      <c r="WSG39" s="66"/>
      <c r="WSH39" s="66"/>
      <c r="WSI39" s="66"/>
      <c r="WSJ39" s="66"/>
      <c r="WSK39" s="66"/>
      <c r="WSL39" s="66"/>
      <c r="WSM39" s="66"/>
      <c r="WSN39" s="66"/>
      <c r="WSO39" s="66"/>
      <c r="WSP39" s="66"/>
      <c r="WSQ39" s="66"/>
      <c r="WSR39" s="66"/>
      <c r="WSS39" s="66"/>
      <c r="WST39" s="66"/>
      <c r="WSU39" s="66"/>
      <c r="WSV39" s="66"/>
      <c r="WSW39" s="66"/>
      <c r="WSX39" s="66"/>
      <c r="WSY39" s="66"/>
      <c r="WSZ39" s="66"/>
      <c r="WTA39" s="66"/>
      <c r="WTB39" s="66"/>
      <c r="WTC39" s="66"/>
      <c r="WTD39" s="66"/>
      <c r="WTE39" s="66"/>
      <c r="WTF39" s="66"/>
      <c r="WTG39" s="66"/>
      <c r="WTH39" s="66"/>
      <c r="WTI39" s="66"/>
      <c r="WTJ39" s="66"/>
      <c r="WTK39" s="66"/>
      <c r="WTL39" s="66"/>
      <c r="WTM39" s="66"/>
      <c r="WTN39" s="66"/>
      <c r="WTO39" s="66"/>
      <c r="WTP39" s="66"/>
      <c r="WTQ39" s="66"/>
      <c r="WTR39" s="66"/>
      <c r="WTS39" s="66"/>
      <c r="WTT39" s="66"/>
      <c r="WTU39" s="66"/>
      <c r="WTV39" s="66"/>
      <c r="WTW39" s="66"/>
      <c r="WTX39" s="66"/>
      <c r="WTY39" s="66"/>
      <c r="WTZ39" s="66"/>
      <c r="WUA39" s="66"/>
      <c r="WUB39" s="66"/>
      <c r="WUC39" s="66"/>
      <c r="WUD39" s="66"/>
      <c r="WUE39" s="66"/>
      <c r="WUF39" s="66"/>
      <c r="WUG39" s="66"/>
      <c r="WUH39" s="66"/>
      <c r="WUI39" s="66"/>
      <c r="WUJ39" s="66"/>
      <c r="WUK39" s="66"/>
      <c r="WUL39" s="66"/>
      <c r="WUM39" s="66"/>
      <c r="WUN39" s="66"/>
      <c r="WUO39" s="66"/>
      <c r="WUP39" s="66"/>
      <c r="WUQ39" s="66"/>
      <c r="WUR39" s="66"/>
      <c r="WUS39" s="66"/>
      <c r="WUT39" s="66"/>
      <c r="WUU39" s="66"/>
      <c r="WUV39" s="66"/>
      <c r="WUW39" s="66"/>
      <c r="WUX39" s="66"/>
      <c r="WUY39" s="66"/>
      <c r="WUZ39" s="66"/>
      <c r="WVA39" s="66"/>
      <c r="WVB39" s="66"/>
      <c r="WVC39" s="66"/>
      <c r="WVD39" s="66"/>
      <c r="WVE39" s="66"/>
      <c r="WVF39" s="66"/>
      <c r="WVG39" s="66"/>
      <c r="WVH39" s="66"/>
      <c r="WVI39" s="66"/>
      <c r="WVJ39" s="66"/>
      <c r="WVK39" s="66"/>
      <c r="WVL39" s="66"/>
      <c r="WVM39" s="66"/>
      <c r="WVN39" s="66"/>
      <c r="WVO39" s="66"/>
      <c r="WVP39" s="66"/>
      <c r="WVQ39" s="66"/>
      <c r="WVR39" s="66"/>
      <c r="WVS39" s="66"/>
      <c r="WVT39" s="66"/>
      <c r="WVU39" s="66"/>
      <c r="WVV39" s="66"/>
      <c r="WVW39" s="66"/>
      <c r="WVX39" s="66"/>
      <c r="WVY39" s="66"/>
      <c r="WVZ39" s="66"/>
      <c r="WWA39" s="66"/>
      <c r="WWB39" s="66"/>
      <c r="WWC39" s="66"/>
      <c r="WWD39" s="66"/>
      <c r="WWE39" s="66"/>
      <c r="WWF39" s="66"/>
      <c r="WWG39" s="66"/>
      <c r="WWH39" s="66"/>
      <c r="WWI39" s="66"/>
      <c r="WWJ39" s="66"/>
      <c r="WWK39" s="66"/>
      <c r="WWL39" s="66"/>
      <c r="WWM39" s="66"/>
      <c r="WWN39" s="66"/>
      <c r="WWO39" s="66"/>
      <c r="WWP39" s="66"/>
      <c r="WWQ39" s="66"/>
      <c r="WWR39" s="66"/>
      <c r="WWS39" s="66"/>
      <c r="WWT39" s="66"/>
      <c r="WWU39" s="66"/>
      <c r="WWV39" s="66"/>
      <c r="WWW39" s="66"/>
      <c r="WWX39" s="66"/>
      <c r="WWY39" s="66"/>
      <c r="WWZ39" s="66"/>
      <c r="WXA39" s="66"/>
      <c r="WXB39" s="66"/>
      <c r="WXC39" s="66"/>
      <c r="WXD39" s="66"/>
      <c r="WXE39" s="66"/>
      <c r="WXF39" s="66"/>
      <c r="WXG39" s="66"/>
      <c r="WXH39" s="66"/>
      <c r="WXI39" s="66"/>
      <c r="WXJ39" s="66"/>
      <c r="WXK39" s="66"/>
      <c r="WXL39" s="66"/>
      <c r="WXM39" s="66"/>
      <c r="WXN39" s="66"/>
      <c r="WXO39" s="66"/>
      <c r="WXP39" s="66"/>
      <c r="WXQ39" s="66"/>
      <c r="WXR39" s="66"/>
      <c r="WXS39" s="66"/>
      <c r="WXT39" s="66"/>
      <c r="WXU39" s="66"/>
      <c r="WXV39" s="66"/>
      <c r="WXW39" s="66"/>
      <c r="WXX39" s="66"/>
      <c r="WXY39" s="66"/>
      <c r="WXZ39" s="66"/>
      <c r="WYA39" s="66"/>
      <c r="WYB39" s="66"/>
      <c r="WYC39" s="66"/>
      <c r="WYD39" s="66"/>
      <c r="WYE39" s="66"/>
      <c r="WYF39" s="66"/>
      <c r="WYG39" s="66"/>
      <c r="WYH39" s="66"/>
      <c r="WYI39" s="66"/>
      <c r="WYJ39" s="66"/>
      <c r="WYK39" s="66"/>
      <c r="WYL39" s="66"/>
      <c r="WYM39" s="66"/>
      <c r="WYN39" s="66"/>
      <c r="WYO39" s="66"/>
      <c r="WYP39" s="66"/>
      <c r="WYQ39" s="66"/>
      <c r="WYR39" s="66"/>
      <c r="WYS39" s="66"/>
      <c r="WYT39" s="66"/>
      <c r="WYU39" s="66"/>
      <c r="WYV39" s="66"/>
      <c r="WYW39" s="66"/>
      <c r="WYX39" s="66"/>
      <c r="WYY39" s="66"/>
      <c r="WYZ39" s="66"/>
      <c r="WZA39" s="66"/>
      <c r="WZB39" s="66"/>
      <c r="WZC39" s="66"/>
      <c r="WZD39" s="66"/>
      <c r="WZE39" s="66"/>
      <c r="WZF39" s="66"/>
      <c r="WZG39" s="66"/>
      <c r="WZH39" s="66"/>
      <c r="WZI39" s="66"/>
      <c r="WZJ39" s="66"/>
      <c r="WZK39" s="66"/>
      <c r="WZL39" s="66"/>
      <c r="WZM39" s="66"/>
      <c r="WZN39" s="66"/>
      <c r="WZO39" s="66"/>
      <c r="WZP39" s="66"/>
      <c r="WZQ39" s="66"/>
      <c r="WZR39" s="66"/>
      <c r="WZS39" s="66"/>
      <c r="WZT39" s="66"/>
      <c r="WZU39" s="66"/>
      <c r="WZV39" s="66"/>
      <c r="WZW39" s="66"/>
      <c r="WZX39" s="66"/>
      <c r="WZY39" s="66"/>
      <c r="WZZ39" s="66"/>
      <c r="XAA39" s="66"/>
      <c r="XAB39" s="66"/>
      <c r="XAC39" s="66"/>
      <c r="XAD39" s="66"/>
      <c r="XAE39" s="66"/>
      <c r="XAF39" s="66"/>
      <c r="XAG39" s="66"/>
      <c r="XAH39" s="66"/>
      <c r="XAI39" s="66"/>
      <c r="XAJ39" s="66"/>
      <c r="XAK39" s="66"/>
      <c r="XAL39" s="66"/>
      <c r="XAM39" s="66"/>
      <c r="XAN39" s="66"/>
      <c r="XAO39" s="66"/>
      <c r="XAP39" s="66"/>
      <c r="XAQ39" s="66"/>
      <c r="XAR39" s="66"/>
      <c r="XAS39" s="66"/>
      <c r="XAT39" s="66"/>
      <c r="XAU39" s="66"/>
      <c r="XAV39" s="66"/>
      <c r="XAW39" s="66"/>
      <c r="XAX39" s="66"/>
      <c r="XAY39" s="66"/>
      <c r="XAZ39" s="66"/>
      <c r="XBA39" s="66"/>
      <c r="XBB39" s="66"/>
      <c r="XBC39" s="66"/>
      <c r="XBD39" s="66"/>
      <c r="XBE39" s="66"/>
      <c r="XBF39" s="66"/>
      <c r="XBG39" s="66"/>
      <c r="XBH39" s="66"/>
      <c r="XBI39" s="66"/>
      <c r="XBJ39" s="66"/>
      <c r="XBK39" s="66"/>
      <c r="XBL39" s="66"/>
      <c r="XBM39" s="66"/>
      <c r="XBN39" s="66"/>
      <c r="XBO39" s="66"/>
      <c r="XBP39" s="66"/>
      <c r="XBQ39" s="66"/>
      <c r="XBR39" s="66"/>
      <c r="XBS39" s="66"/>
      <c r="XBT39" s="66"/>
      <c r="XBU39" s="66"/>
      <c r="XBV39" s="66"/>
      <c r="XBW39" s="66"/>
      <c r="XBX39" s="66"/>
      <c r="XBY39" s="66"/>
      <c r="XBZ39" s="66"/>
      <c r="XCA39" s="66"/>
      <c r="XCB39" s="66"/>
      <c r="XCC39" s="66"/>
      <c r="XCD39" s="66"/>
      <c r="XCE39" s="66"/>
      <c r="XCF39" s="66"/>
      <c r="XCG39" s="66"/>
      <c r="XCH39" s="66"/>
      <c r="XCI39" s="66"/>
      <c r="XCJ39" s="66"/>
      <c r="XCK39" s="66"/>
      <c r="XCL39" s="66"/>
      <c r="XCM39" s="66"/>
      <c r="XCN39" s="66"/>
      <c r="XCO39" s="66"/>
      <c r="XCP39" s="66"/>
      <c r="XCQ39" s="66"/>
      <c r="XCR39" s="66"/>
      <c r="XCS39" s="66"/>
      <c r="XCT39" s="66"/>
      <c r="XCU39" s="66"/>
      <c r="XCV39" s="66"/>
      <c r="XCW39" s="66"/>
      <c r="XCX39" s="66"/>
      <c r="XCY39" s="66"/>
      <c r="XCZ39" s="66"/>
      <c r="XDA39" s="66"/>
      <c r="XDB39" s="66"/>
      <c r="XDC39" s="66"/>
      <c r="XDD39" s="66"/>
      <c r="XDE39" s="66"/>
      <c r="XDF39" s="66"/>
      <c r="XDG39" s="66"/>
      <c r="XDH39" s="66"/>
      <c r="XDI39" s="66"/>
      <c r="XDJ39" s="66"/>
      <c r="XDK39" s="66"/>
      <c r="XDL39" s="66"/>
      <c r="XDM39" s="66"/>
      <c r="XDN39" s="66"/>
      <c r="XDO39" s="66"/>
      <c r="XDP39" s="66"/>
      <c r="XDQ39" s="66"/>
      <c r="XDR39" s="66"/>
      <c r="XDS39" s="66"/>
      <c r="XDT39" s="66"/>
      <c r="XDU39" s="66"/>
      <c r="XDV39" s="66"/>
      <c r="XDW39" s="66"/>
      <c r="XDX39" s="66"/>
      <c r="XDY39" s="66"/>
      <c r="XDZ39" s="66"/>
      <c r="XEA39" s="66"/>
      <c r="XEB39" s="66"/>
      <c r="XEC39" s="66"/>
      <c r="XED39" s="66"/>
      <c r="XEE39" s="66"/>
      <c r="XEF39" s="66"/>
      <c r="XEG39" s="66"/>
      <c r="XEH39" s="66"/>
      <c r="XEI39" s="66"/>
      <c r="XEJ39" s="66"/>
      <c r="XEK39" s="66"/>
      <c r="XEL39" s="66"/>
      <c r="XEM39" s="66"/>
      <c r="XEN39" s="66"/>
    </row>
    <row r="40" spans="1:16368" ht="13.5">
      <c r="A40" s="85"/>
      <c r="B40" s="63"/>
      <c r="C40" s="64"/>
      <c r="D40" s="64"/>
      <c r="E40" s="64"/>
      <c r="F40" s="65"/>
      <c r="G40" s="87"/>
      <c r="J40" s="85"/>
      <c r="K40" s="85"/>
      <c r="L40" s="88"/>
      <c r="M40" s="88"/>
      <c r="P40" s="89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66"/>
      <c r="FM40" s="66"/>
      <c r="FN40" s="66"/>
      <c r="FO40" s="66"/>
      <c r="FP40" s="66"/>
      <c r="FQ40" s="66"/>
      <c r="FR40" s="66"/>
      <c r="FS40" s="66"/>
      <c r="FT40" s="66"/>
      <c r="FU40" s="66"/>
      <c r="FV40" s="66"/>
      <c r="FW40" s="66"/>
      <c r="FX40" s="66"/>
      <c r="FY40" s="66"/>
      <c r="FZ40" s="66"/>
      <c r="GA40" s="66"/>
      <c r="GB40" s="66"/>
      <c r="GC40" s="66"/>
      <c r="GD40" s="66"/>
      <c r="GE40" s="66"/>
      <c r="GF40" s="66"/>
      <c r="GG40" s="66"/>
      <c r="GH40" s="66"/>
      <c r="GI40" s="66"/>
      <c r="GJ40" s="66"/>
      <c r="GK40" s="66"/>
      <c r="GL40" s="66"/>
      <c r="GM40" s="66"/>
      <c r="GN40" s="66"/>
      <c r="GO40" s="66"/>
      <c r="GP40" s="66"/>
      <c r="GQ40" s="66"/>
      <c r="GR40" s="66"/>
      <c r="GS40" s="66"/>
      <c r="GT40" s="66"/>
      <c r="GU40" s="66"/>
      <c r="GV40" s="66"/>
      <c r="GW40" s="66"/>
      <c r="GX40" s="66"/>
      <c r="GY40" s="66"/>
      <c r="GZ40" s="66"/>
      <c r="HA40" s="66"/>
      <c r="HB40" s="66"/>
      <c r="HC40" s="66"/>
      <c r="HD40" s="66"/>
      <c r="HE40" s="66"/>
      <c r="HF40" s="66"/>
      <c r="HG40" s="66"/>
      <c r="HH40" s="66"/>
      <c r="HI40" s="66"/>
      <c r="HJ40" s="66"/>
      <c r="HK40" s="66"/>
      <c r="HL40" s="66"/>
      <c r="HM40" s="66"/>
      <c r="HN40" s="66"/>
      <c r="HO40" s="66"/>
      <c r="HP40" s="66"/>
      <c r="HQ40" s="66"/>
      <c r="HR40" s="66"/>
      <c r="HS40" s="66"/>
      <c r="HT40" s="66"/>
      <c r="HU40" s="66"/>
      <c r="HV40" s="66"/>
      <c r="HW40" s="66"/>
      <c r="HX40" s="66"/>
      <c r="HY40" s="66"/>
      <c r="HZ40" s="66"/>
      <c r="IA40" s="66"/>
      <c r="IB40" s="66"/>
      <c r="IC40" s="66"/>
      <c r="ID40" s="66"/>
      <c r="IE40" s="66"/>
      <c r="IF40" s="66"/>
      <c r="IG40" s="66"/>
      <c r="IH40" s="66"/>
      <c r="II40" s="66"/>
      <c r="IJ40" s="66"/>
      <c r="IK40" s="66"/>
      <c r="IL40" s="66"/>
      <c r="IM40" s="66"/>
      <c r="IN40" s="66"/>
      <c r="IO40" s="66"/>
      <c r="IP40" s="66"/>
      <c r="IQ40" s="66"/>
      <c r="IR40" s="66"/>
      <c r="IS40" s="66"/>
      <c r="IT40" s="66"/>
      <c r="IU40" s="66"/>
      <c r="IV40" s="66"/>
      <c r="IW40" s="66"/>
      <c r="IX40" s="66"/>
      <c r="IY40" s="66"/>
      <c r="IZ40" s="66"/>
      <c r="JA40" s="66"/>
      <c r="JB40" s="66"/>
      <c r="JC40" s="66"/>
      <c r="JD40" s="66"/>
      <c r="JE40" s="66"/>
      <c r="JF40" s="66"/>
      <c r="JG40" s="66"/>
      <c r="JH40" s="66"/>
      <c r="JI40" s="66"/>
      <c r="JJ40" s="66"/>
      <c r="JK40" s="66"/>
      <c r="JL40" s="66"/>
      <c r="JM40" s="66"/>
      <c r="JN40" s="66"/>
      <c r="JO40" s="66"/>
      <c r="JP40" s="66"/>
      <c r="JQ40" s="66"/>
      <c r="JR40" s="66"/>
      <c r="JS40" s="66"/>
      <c r="JT40" s="66"/>
      <c r="JU40" s="66"/>
      <c r="JV40" s="66"/>
      <c r="JW40" s="66"/>
      <c r="JX40" s="66"/>
      <c r="JY40" s="66"/>
      <c r="JZ40" s="66"/>
      <c r="KA40" s="66"/>
      <c r="KB40" s="66"/>
      <c r="KC40" s="66"/>
      <c r="KD40" s="66"/>
      <c r="KE40" s="66"/>
      <c r="KF40" s="66"/>
      <c r="KG40" s="66"/>
      <c r="KH40" s="66"/>
      <c r="KI40" s="66"/>
      <c r="KJ40" s="66"/>
      <c r="KK40" s="66"/>
      <c r="KL40" s="66"/>
      <c r="KM40" s="66"/>
      <c r="KN40" s="66"/>
      <c r="KO40" s="66"/>
      <c r="KP40" s="66"/>
      <c r="KQ40" s="66"/>
      <c r="KR40" s="66"/>
      <c r="KS40" s="66"/>
      <c r="KT40" s="66"/>
      <c r="KU40" s="66"/>
      <c r="KV40" s="66"/>
      <c r="KW40" s="66"/>
      <c r="KX40" s="66"/>
      <c r="KY40" s="66"/>
      <c r="KZ40" s="66"/>
      <c r="LA40" s="66"/>
      <c r="LB40" s="66"/>
      <c r="LC40" s="66"/>
      <c r="LD40" s="66"/>
      <c r="LE40" s="66"/>
      <c r="LF40" s="66"/>
      <c r="LG40" s="66"/>
      <c r="LH40" s="66"/>
      <c r="LI40" s="66"/>
      <c r="LJ40" s="66"/>
      <c r="LK40" s="66"/>
      <c r="LL40" s="66"/>
      <c r="LM40" s="66"/>
      <c r="LN40" s="66"/>
      <c r="LO40" s="66"/>
      <c r="LP40" s="66"/>
      <c r="LQ40" s="66"/>
      <c r="LR40" s="66"/>
      <c r="LS40" s="66"/>
      <c r="LT40" s="66"/>
      <c r="LU40" s="66"/>
      <c r="LV40" s="66"/>
      <c r="LW40" s="66"/>
      <c r="LX40" s="66"/>
      <c r="LY40" s="66"/>
      <c r="LZ40" s="66"/>
      <c r="MA40" s="66"/>
      <c r="MB40" s="66"/>
      <c r="MC40" s="66"/>
      <c r="MD40" s="66"/>
      <c r="ME40" s="66"/>
      <c r="MF40" s="66"/>
      <c r="MG40" s="66"/>
      <c r="MH40" s="66"/>
      <c r="MI40" s="66"/>
      <c r="MJ40" s="66"/>
      <c r="MK40" s="66"/>
      <c r="ML40" s="66"/>
      <c r="MM40" s="66"/>
      <c r="MN40" s="66"/>
      <c r="MO40" s="66"/>
      <c r="MP40" s="66"/>
      <c r="MQ40" s="66"/>
      <c r="MR40" s="66"/>
      <c r="MS40" s="66"/>
      <c r="MT40" s="66"/>
      <c r="MU40" s="66"/>
      <c r="MV40" s="66"/>
      <c r="MW40" s="66"/>
      <c r="MX40" s="66"/>
      <c r="MY40" s="66"/>
      <c r="MZ40" s="66"/>
      <c r="NA40" s="66"/>
      <c r="NB40" s="66"/>
      <c r="NC40" s="66"/>
      <c r="ND40" s="66"/>
      <c r="NE40" s="66"/>
      <c r="NF40" s="66"/>
      <c r="NG40" s="66"/>
      <c r="NH40" s="66"/>
      <c r="NI40" s="66"/>
      <c r="NJ40" s="66"/>
      <c r="NK40" s="66"/>
      <c r="NL40" s="66"/>
      <c r="NM40" s="66"/>
      <c r="NN40" s="66"/>
      <c r="NO40" s="66"/>
      <c r="NP40" s="66"/>
      <c r="NQ40" s="66"/>
      <c r="NR40" s="66"/>
      <c r="NS40" s="66"/>
      <c r="NT40" s="66"/>
      <c r="NU40" s="66"/>
      <c r="NV40" s="66"/>
      <c r="NW40" s="66"/>
      <c r="NX40" s="66"/>
      <c r="NY40" s="66"/>
      <c r="NZ40" s="66"/>
      <c r="OA40" s="66"/>
      <c r="OB40" s="66"/>
      <c r="OC40" s="66"/>
      <c r="OD40" s="66"/>
      <c r="OE40" s="66"/>
      <c r="OF40" s="66"/>
      <c r="OG40" s="66"/>
      <c r="OH40" s="66"/>
      <c r="OI40" s="66"/>
      <c r="OJ40" s="66"/>
      <c r="OK40" s="66"/>
      <c r="OL40" s="66"/>
      <c r="OM40" s="66"/>
      <c r="ON40" s="66"/>
      <c r="OO40" s="66"/>
      <c r="OP40" s="66"/>
      <c r="OQ40" s="66"/>
      <c r="OR40" s="66"/>
      <c r="OS40" s="66"/>
      <c r="OT40" s="66"/>
      <c r="OU40" s="66"/>
      <c r="OV40" s="66"/>
      <c r="OW40" s="66"/>
      <c r="OX40" s="66"/>
      <c r="OY40" s="66"/>
      <c r="OZ40" s="66"/>
      <c r="PA40" s="66"/>
      <c r="PB40" s="66"/>
      <c r="PC40" s="66"/>
      <c r="PD40" s="66"/>
      <c r="PE40" s="66"/>
      <c r="PF40" s="66"/>
      <c r="PG40" s="66"/>
      <c r="PH40" s="66"/>
      <c r="PI40" s="66"/>
      <c r="PJ40" s="66"/>
      <c r="PK40" s="66"/>
      <c r="PL40" s="66"/>
      <c r="PM40" s="66"/>
      <c r="PN40" s="66"/>
      <c r="PO40" s="66"/>
      <c r="PP40" s="66"/>
      <c r="PQ40" s="66"/>
      <c r="PR40" s="66"/>
      <c r="PS40" s="66"/>
      <c r="PT40" s="66"/>
      <c r="PU40" s="66"/>
      <c r="PV40" s="66"/>
      <c r="PW40" s="66"/>
      <c r="PX40" s="66"/>
      <c r="PY40" s="66"/>
      <c r="PZ40" s="66"/>
      <c r="QA40" s="66"/>
      <c r="QB40" s="66"/>
      <c r="QC40" s="66"/>
      <c r="QD40" s="66"/>
      <c r="QE40" s="66"/>
      <c r="QF40" s="66"/>
      <c r="QG40" s="66"/>
      <c r="QH40" s="66"/>
      <c r="QI40" s="66"/>
      <c r="QJ40" s="66"/>
      <c r="QK40" s="66"/>
      <c r="QL40" s="66"/>
      <c r="QM40" s="66"/>
      <c r="QN40" s="66"/>
      <c r="QO40" s="66"/>
      <c r="QP40" s="66"/>
      <c r="QQ40" s="66"/>
      <c r="QR40" s="66"/>
      <c r="QS40" s="66"/>
      <c r="QT40" s="66"/>
      <c r="QU40" s="66"/>
      <c r="QV40" s="66"/>
      <c r="QW40" s="66"/>
      <c r="QX40" s="66"/>
      <c r="QY40" s="66"/>
      <c r="QZ40" s="66"/>
      <c r="RA40" s="66"/>
      <c r="RB40" s="66"/>
      <c r="RC40" s="66"/>
      <c r="RD40" s="66"/>
      <c r="RE40" s="66"/>
      <c r="RF40" s="66"/>
      <c r="RG40" s="66"/>
      <c r="RH40" s="66"/>
      <c r="RI40" s="66"/>
      <c r="RJ40" s="66"/>
      <c r="RK40" s="66"/>
      <c r="RL40" s="66"/>
      <c r="RM40" s="66"/>
      <c r="RN40" s="66"/>
      <c r="RO40" s="66"/>
      <c r="RP40" s="66"/>
      <c r="RQ40" s="66"/>
      <c r="RR40" s="66"/>
      <c r="RS40" s="66"/>
      <c r="RT40" s="66"/>
      <c r="RU40" s="66"/>
      <c r="RV40" s="66"/>
      <c r="RW40" s="66"/>
      <c r="RX40" s="66"/>
      <c r="RY40" s="66"/>
      <c r="RZ40" s="66"/>
      <c r="SA40" s="66"/>
      <c r="SB40" s="66"/>
      <c r="SC40" s="66"/>
      <c r="SD40" s="66"/>
      <c r="SE40" s="66"/>
      <c r="SF40" s="66"/>
      <c r="SG40" s="66"/>
      <c r="SH40" s="66"/>
      <c r="SI40" s="66"/>
      <c r="SJ40" s="66"/>
      <c r="SK40" s="66"/>
      <c r="SL40" s="66"/>
      <c r="SM40" s="66"/>
      <c r="SN40" s="66"/>
      <c r="SO40" s="66"/>
      <c r="SP40" s="66"/>
      <c r="SQ40" s="66"/>
      <c r="SR40" s="66"/>
      <c r="SS40" s="66"/>
      <c r="ST40" s="66"/>
      <c r="SU40" s="66"/>
      <c r="SV40" s="66"/>
      <c r="SW40" s="66"/>
      <c r="SX40" s="66"/>
      <c r="SY40" s="66"/>
      <c r="SZ40" s="66"/>
      <c r="TA40" s="66"/>
      <c r="TB40" s="66"/>
      <c r="TC40" s="66"/>
      <c r="TD40" s="66"/>
      <c r="TE40" s="66"/>
      <c r="TF40" s="66"/>
      <c r="TG40" s="66"/>
      <c r="TH40" s="66"/>
      <c r="TI40" s="66"/>
      <c r="TJ40" s="66"/>
      <c r="TK40" s="66"/>
      <c r="TL40" s="66"/>
      <c r="TM40" s="66"/>
      <c r="TN40" s="66"/>
      <c r="TO40" s="66"/>
      <c r="TP40" s="66"/>
      <c r="TQ40" s="66"/>
      <c r="TR40" s="66"/>
      <c r="TS40" s="66"/>
      <c r="TT40" s="66"/>
      <c r="TU40" s="66"/>
      <c r="TV40" s="66"/>
      <c r="TW40" s="66"/>
      <c r="TX40" s="66"/>
      <c r="TY40" s="66"/>
      <c r="TZ40" s="66"/>
      <c r="UA40" s="66"/>
      <c r="UB40" s="66"/>
      <c r="UC40" s="66"/>
      <c r="UD40" s="66"/>
      <c r="UE40" s="66"/>
      <c r="UF40" s="66"/>
      <c r="UG40" s="66"/>
      <c r="UH40" s="66"/>
      <c r="UI40" s="66"/>
      <c r="UJ40" s="66"/>
      <c r="UK40" s="66"/>
      <c r="UL40" s="66"/>
      <c r="UM40" s="66"/>
      <c r="UN40" s="66"/>
      <c r="UO40" s="66"/>
      <c r="UP40" s="66"/>
      <c r="UQ40" s="66"/>
      <c r="UR40" s="66"/>
      <c r="US40" s="66"/>
      <c r="UT40" s="66"/>
      <c r="UU40" s="66"/>
      <c r="UV40" s="66"/>
      <c r="UW40" s="66"/>
      <c r="UX40" s="66"/>
      <c r="UY40" s="66"/>
      <c r="UZ40" s="66"/>
      <c r="VA40" s="66"/>
      <c r="VB40" s="66"/>
      <c r="VC40" s="66"/>
      <c r="VD40" s="66"/>
      <c r="VE40" s="66"/>
      <c r="VF40" s="66"/>
      <c r="VG40" s="66"/>
      <c r="VH40" s="66"/>
      <c r="VI40" s="66"/>
      <c r="VJ40" s="66"/>
      <c r="VK40" s="66"/>
      <c r="VL40" s="66"/>
      <c r="VM40" s="66"/>
      <c r="VN40" s="66"/>
      <c r="VO40" s="66"/>
      <c r="VP40" s="66"/>
      <c r="VQ40" s="66"/>
      <c r="VR40" s="66"/>
      <c r="VS40" s="66"/>
      <c r="VT40" s="66"/>
      <c r="VU40" s="66"/>
      <c r="VV40" s="66"/>
      <c r="VW40" s="66"/>
      <c r="VX40" s="66"/>
      <c r="VY40" s="66"/>
      <c r="VZ40" s="66"/>
      <c r="WA40" s="66"/>
      <c r="WB40" s="66"/>
      <c r="WC40" s="66"/>
      <c r="WD40" s="66"/>
      <c r="WE40" s="66"/>
      <c r="WF40" s="66"/>
      <c r="WG40" s="66"/>
      <c r="WH40" s="66"/>
      <c r="WI40" s="66"/>
      <c r="WJ40" s="66"/>
      <c r="WK40" s="66"/>
      <c r="WL40" s="66"/>
      <c r="WM40" s="66"/>
      <c r="WN40" s="66"/>
      <c r="WO40" s="66"/>
      <c r="WP40" s="66"/>
      <c r="WQ40" s="66"/>
      <c r="WR40" s="66"/>
      <c r="WS40" s="66"/>
      <c r="WT40" s="66"/>
      <c r="WU40" s="66"/>
      <c r="WV40" s="66"/>
      <c r="WW40" s="66"/>
      <c r="WX40" s="66"/>
      <c r="WY40" s="66"/>
      <c r="WZ40" s="66"/>
      <c r="XA40" s="66"/>
      <c r="XB40" s="66"/>
      <c r="XC40" s="66"/>
      <c r="XD40" s="66"/>
      <c r="XE40" s="66"/>
      <c r="XF40" s="66"/>
      <c r="XG40" s="66"/>
      <c r="XH40" s="66"/>
      <c r="XI40" s="66"/>
      <c r="XJ40" s="66"/>
      <c r="XK40" s="66"/>
      <c r="XL40" s="66"/>
      <c r="XM40" s="66"/>
      <c r="XN40" s="66"/>
      <c r="XO40" s="66"/>
      <c r="XP40" s="66"/>
      <c r="XQ40" s="66"/>
      <c r="XR40" s="66"/>
      <c r="XS40" s="66"/>
      <c r="XT40" s="66"/>
      <c r="XU40" s="66"/>
      <c r="XV40" s="66"/>
      <c r="XW40" s="66"/>
      <c r="XX40" s="66"/>
      <c r="XY40" s="66"/>
      <c r="XZ40" s="66"/>
      <c r="YA40" s="66"/>
      <c r="YB40" s="66"/>
      <c r="YC40" s="66"/>
      <c r="YD40" s="66"/>
      <c r="YE40" s="66"/>
      <c r="YF40" s="66"/>
      <c r="YG40" s="66"/>
      <c r="YH40" s="66"/>
      <c r="YI40" s="66"/>
      <c r="YJ40" s="66"/>
      <c r="YK40" s="66"/>
      <c r="YL40" s="66"/>
      <c r="YM40" s="66"/>
      <c r="YN40" s="66"/>
      <c r="YO40" s="66"/>
      <c r="YP40" s="66"/>
      <c r="YQ40" s="66"/>
      <c r="YR40" s="66"/>
      <c r="YS40" s="66"/>
      <c r="YT40" s="66"/>
      <c r="YU40" s="66"/>
      <c r="YV40" s="66"/>
      <c r="YW40" s="66"/>
      <c r="YX40" s="66"/>
      <c r="YY40" s="66"/>
      <c r="YZ40" s="66"/>
      <c r="ZA40" s="66"/>
      <c r="ZB40" s="66"/>
      <c r="ZC40" s="66"/>
      <c r="ZD40" s="66"/>
      <c r="ZE40" s="66"/>
      <c r="ZF40" s="66"/>
      <c r="ZG40" s="66"/>
      <c r="ZH40" s="66"/>
      <c r="ZI40" s="66"/>
      <c r="ZJ40" s="66"/>
      <c r="ZK40" s="66"/>
      <c r="ZL40" s="66"/>
      <c r="ZM40" s="66"/>
      <c r="ZN40" s="66"/>
      <c r="ZO40" s="66"/>
      <c r="ZP40" s="66"/>
      <c r="ZQ40" s="66"/>
      <c r="ZR40" s="66"/>
      <c r="ZS40" s="66"/>
      <c r="ZT40" s="66"/>
      <c r="ZU40" s="66"/>
      <c r="ZV40" s="66"/>
      <c r="ZW40" s="66"/>
      <c r="ZX40" s="66"/>
      <c r="ZY40" s="66"/>
      <c r="ZZ40" s="66"/>
      <c r="AAA40" s="66"/>
      <c r="AAB40" s="66"/>
      <c r="AAC40" s="66"/>
      <c r="AAD40" s="66"/>
      <c r="AAE40" s="66"/>
      <c r="AAF40" s="66"/>
      <c r="AAG40" s="66"/>
      <c r="AAH40" s="66"/>
      <c r="AAI40" s="66"/>
      <c r="AAJ40" s="66"/>
      <c r="AAK40" s="66"/>
      <c r="AAL40" s="66"/>
      <c r="AAM40" s="66"/>
      <c r="AAN40" s="66"/>
      <c r="AAO40" s="66"/>
      <c r="AAP40" s="66"/>
      <c r="AAQ40" s="66"/>
      <c r="AAR40" s="66"/>
      <c r="AAS40" s="66"/>
      <c r="AAT40" s="66"/>
      <c r="AAU40" s="66"/>
      <c r="AAV40" s="66"/>
      <c r="AAW40" s="66"/>
      <c r="AAX40" s="66"/>
      <c r="AAY40" s="66"/>
      <c r="AAZ40" s="66"/>
      <c r="ABA40" s="66"/>
      <c r="ABB40" s="66"/>
      <c r="ABC40" s="66"/>
      <c r="ABD40" s="66"/>
      <c r="ABE40" s="66"/>
      <c r="ABF40" s="66"/>
      <c r="ABG40" s="66"/>
      <c r="ABH40" s="66"/>
      <c r="ABI40" s="66"/>
      <c r="ABJ40" s="66"/>
      <c r="ABK40" s="66"/>
      <c r="ABL40" s="66"/>
      <c r="ABM40" s="66"/>
      <c r="ABN40" s="66"/>
      <c r="ABO40" s="66"/>
      <c r="ABP40" s="66"/>
      <c r="ABQ40" s="66"/>
      <c r="ABR40" s="66"/>
      <c r="ABS40" s="66"/>
      <c r="ABT40" s="66"/>
      <c r="ABU40" s="66"/>
      <c r="ABV40" s="66"/>
      <c r="ABW40" s="66"/>
      <c r="ABX40" s="66"/>
      <c r="ABY40" s="66"/>
      <c r="ABZ40" s="66"/>
      <c r="ACA40" s="66"/>
      <c r="ACB40" s="66"/>
      <c r="ACC40" s="66"/>
      <c r="ACD40" s="66"/>
      <c r="ACE40" s="66"/>
      <c r="ACF40" s="66"/>
      <c r="ACG40" s="66"/>
      <c r="ACH40" s="66"/>
      <c r="ACI40" s="66"/>
      <c r="ACJ40" s="66"/>
      <c r="ACK40" s="66"/>
      <c r="ACL40" s="66"/>
      <c r="ACM40" s="66"/>
      <c r="ACN40" s="66"/>
      <c r="ACO40" s="66"/>
      <c r="ACP40" s="66"/>
      <c r="ACQ40" s="66"/>
      <c r="ACR40" s="66"/>
      <c r="ACS40" s="66"/>
      <c r="ACT40" s="66"/>
      <c r="ACU40" s="66"/>
      <c r="ACV40" s="66"/>
      <c r="ACW40" s="66"/>
      <c r="ACX40" s="66"/>
      <c r="ACY40" s="66"/>
      <c r="ACZ40" s="66"/>
      <c r="ADA40" s="66"/>
      <c r="ADB40" s="66"/>
      <c r="ADC40" s="66"/>
      <c r="ADD40" s="66"/>
      <c r="ADE40" s="66"/>
      <c r="ADF40" s="66"/>
      <c r="ADG40" s="66"/>
      <c r="ADH40" s="66"/>
      <c r="ADI40" s="66"/>
      <c r="ADJ40" s="66"/>
      <c r="ADK40" s="66"/>
      <c r="ADL40" s="66"/>
      <c r="ADM40" s="66"/>
      <c r="ADN40" s="66"/>
      <c r="ADO40" s="66"/>
      <c r="ADP40" s="66"/>
      <c r="ADQ40" s="66"/>
      <c r="ADR40" s="66"/>
      <c r="ADS40" s="66"/>
      <c r="ADT40" s="66"/>
      <c r="ADU40" s="66"/>
      <c r="ADV40" s="66"/>
      <c r="ADW40" s="66"/>
      <c r="ADX40" s="66"/>
      <c r="ADY40" s="66"/>
      <c r="ADZ40" s="66"/>
      <c r="AEA40" s="66"/>
      <c r="AEB40" s="66"/>
      <c r="AEC40" s="66"/>
      <c r="AED40" s="66"/>
      <c r="AEE40" s="66"/>
      <c r="AEF40" s="66"/>
      <c r="AEG40" s="66"/>
      <c r="AEH40" s="66"/>
      <c r="AEI40" s="66"/>
      <c r="AEJ40" s="66"/>
      <c r="AEK40" s="66"/>
      <c r="AEL40" s="66"/>
      <c r="AEM40" s="66"/>
      <c r="AEN40" s="66"/>
      <c r="AEO40" s="66"/>
      <c r="AEP40" s="66"/>
      <c r="AEQ40" s="66"/>
      <c r="AER40" s="66"/>
      <c r="AES40" s="66"/>
      <c r="AET40" s="66"/>
      <c r="AEU40" s="66"/>
      <c r="AEV40" s="66"/>
      <c r="AEW40" s="66"/>
      <c r="AEX40" s="66"/>
      <c r="AEY40" s="66"/>
      <c r="AEZ40" s="66"/>
      <c r="AFA40" s="66"/>
      <c r="AFB40" s="66"/>
      <c r="AFC40" s="66"/>
      <c r="AFD40" s="66"/>
      <c r="AFE40" s="66"/>
      <c r="AFF40" s="66"/>
      <c r="AFG40" s="66"/>
      <c r="AFH40" s="66"/>
      <c r="AFI40" s="66"/>
      <c r="AFJ40" s="66"/>
      <c r="AFK40" s="66"/>
      <c r="AFL40" s="66"/>
      <c r="AFM40" s="66"/>
      <c r="AFN40" s="66"/>
      <c r="AFO40" s="66"/>
      <c r="AFP40" s="66"/>
      <c r="AFQ40" s="66"/>
      <c r="AFR40" s="66"/>
      <c r="AFS40" s="66"/>
      <c r="AFT40" s="66"/>
      <c r="AFU40" s="66"/>
      <c r="AFV40" s="66"/>
      <c r="AFW40" s="66"/>
      <c r="AFX40" s="66"/>
      <c r="AFY40" s="66"/>
      <c r="AFZ40" s="66"/>
      <c r="AGA40" s="66"/>
      <c r="AGB40" s="66"/>
      <c r="AGC40" s="66"/>
      <c r="AGD40" s="66"/>
      <c r="AGE40" s="66"/>
      <c r="AGF40" s="66"/>
      <c r="AGG40" s="66"/>
      <c r="AGH40" s="66"/>
      <c r="AGI40" s="66"/>
      <c r="AGJ40" s="66"/>
      <c r="AGK40" s="66"/>
      <c r="AGL40" s="66"/>
      <c r="AGM40" s="66"/>
      <c r="AGN40" s="66"/>
      <c r="AGO40" s="66"/>
      <c r="AGP40" s="66"/>
      <c r="AGQ40" s="66"/>
      <c r="AGR40" s="66"/>
      <c r="AGS40" s="66"/>
      <c r="AGT40" s="66"/>
      <c r="AGU40" s="66"/>
      <c r="AGV40" s="66"/>
      <c r="AGW40" s="66"/>
      <c r="AGX40" s="66"/>
      <c r="AGY40" s="66"/>
      <c r="AGZ40" s="66"/>
      <c r="AHA40" s="66"/>
      <c r="AHB40" s="66"/>
      <c r="AHC40" s="66"/>
      <c r="AHD40" s="66"/>
      <c r="AHE40" s="66"/>
      <c r="AHF40" s="66"/>
      <c r="AHG40" s="66"/>
      <c r="AHH40" s="66"/>
      <c r="AHI40" s="66"/>
      <c r="AHJ40" s="66"/>
      <c r="AHK40" s="66"/>
      <c r="AHL40" s="66"/>
      <c r="AHM40" s="66"/>
      <c r="AHN40" s="66"/>
      <c r="AHO40" s="66"/>
      <c r="AHP40" s="66"/>
      <c r="AHQ40" s="66"/>
      <c r="AHR40" s="66"/>
      <c r="AHS40" s="66"/>
      <c r="AHT40" s="66"/>
      <c r="AHU40" s="66"/>
      <c r="AHV40" s="66"/>
      <c r="AHW40" s="66"/>
      <c r="AHX40" s="66"/>
      <c r="AHY40" s="66"/>
      <c r="AHZ40" s="66"/>
      <c r="AIA40" s="66"/>
      <c r="AIB40" s="66"/>
      <c r="AIC40" s="66"/>
      <c r="AID40" s="66"/>
      <c r="AIE40" s="66"/>
      <c r="AIF40" s="66"/>
      <c r="AIG40" s="66"/>
      <c r="AIH40" s="66"/>
      <c r="AII40" s="66"/>
      <c r="AIJ40" s="66"/>
      <c r="AIK40" s="66"/>
      <c r="AIL40" s="66"/>
      <c r="AIM40" s="66"/>
      <c r="AIN40" s="66"/>
      <c r="AIO40" s="66"/>
      <c r="AIP40" s="66"/>
      <c r="AIQ40" s="66"/>
      <c r="AIR40" s="66"/>
      <c r="AIS40" s="66"/>
      <c r="AIT40" s="66"/>
      <c r="AIU40" s="66"/>
      <c r="AIV40" s="66"/>
      <c r="AIW40" s="66"/>
      <c r="AIX40" s="66"/>
      <c r="AIY40" s="66"/>
      <c r="AIZ40" s="66"/>
      <c r="AJA40" s="66"/>
      <c r="AJB40" s="66"/>
      <c r="AJC40" s="66"/>
      <c r="AJD40" s="66"/>
      <c r="AJE40" s="66"/>
      <c r="AJF40" s="66"/>
      <c r="AJG40" s="66"/>
      <c r="AJH40" s="66"/>
      <c r="AJI40" s="66"/>
      <c r="AJJ40" s="66"/>
      <c r="AJK40" s="66"/>
      <c r="AJL40" s="66"/>
      <c r="AJM40" s="66"/>
      <c r="AJN40" s="66"/>
      <c r="AJO40" s="66"/>
      <c r="AJP40" s="66"/>
      <c r="AJQ40" s="66"/>
      <c r="AJR40" s="66"/>
      <c r="AJS40" s="66"/>
      <c r="AJT40" s="66"/>
      <c r="AJU40" s="66"/>
      <c r="AJV40" s="66"/>
      <c r="AJW40" s="66"/>
      <c r="AJX40" s="66"/>
      <c r="AJY40" s="66"/>
      <c r="AJZ40" s="66"/>
      <c r="AKA40" s="66"/>
      <c r="AKB40" s="66"/>
      <c r="AKC40" s="66"/>
      <c r="AKD40" s="66"/>
      <c r="AKE40" s="66"/>
      <c r="AKF40" s="66"/>
      <c r="AKG40" s="66"/>
      <c r="AKH40" s="66"/>
      <c r="AKI40" s="66"/>
      <c r="AKJ40" s="66"/>
      <c r="AKK40" s="66"/>
      <c r="AKL40" s="66"/>
      <c r="AKM40" s="66"/>
      <c r="AKN40" s="66"/>
      <c r="AKO40" s="66"/>
      <c r="AKP40" s="66"/>
      <c r="AKQ40" s="66"/>
      <c r="AKR40" s="66"/>
      <c r="AKS40" s="66"/>
      <c r="AKT40" s="66"/>
      <c r="AKU40" s="66"/>
      <c r="AKV40" s="66"/>
      <c r="AKW40" s="66"/>
      <c r="AKX40" s="66"/>
      <c r="AKY40" s="66"/>
      <c r="AKZ40" s="66"/>
      <c r="ALA40" s="66"/>
      <c r="ALB40" s="66"/>
      <c r="ALC40" s="66"/>
      <c r="ALD40" s="66"/>
      <c r="ALE40" s="66"/>
      <c r="ALF40" s="66"/>
      <c r="ALG40" s="66"/>
      <c r="ALH40" s="66"/>
      <c r="ALI40" s="66"/>
      <c r="ALJ40" s="66"/>
      <c r="ALK40" s="66"/>
      <c r="ALL40" s="66"/>
      <c r="ALM40" s="66"/>
      <c r="ALN40" s="66"/>
      <c r="ALO40" s="66"/>
      <c r="ALP40" s="66"/>
      <c r="ALQ40" s="66"/>
      <c r="ALR40" s="66"/>
      <c r="ALS40" s="66"/>
      <c r="ALT40" s="66"/>
      <c r="ALU40" s="66"/>
      <c r="ALV40" s="66"/>
      <c r="ALW40" s="66"/>
      <c r="ALX40" s="66"/>
      <c r="ALY40" s="66"/>
      <c r="ALZ40" s="66"/>
      <c r="AMA40" s="66"/>
      <c r="AMB40" s="66"/>
      <c r="AMC40" s="66"/>
      <c r="AMD40" s="66"/>
      <c r="AME40" s="66"/>
      <c r="AMF40" s="66"/>
      <c r="AMG40" s="66"/>
      <c r="AMH40" s="66"/>
      <c r="AMI40" s="66"/>
      <c r="AMJ40" s="66"/>
      <c r="AMK40" s="66"/>
      <c r="AML40" s="66"/>
      <c r="AMM40" s="66"/>
      <c r="AMN40" s="66"/>
      <c r="AMO40" s="66"/>
      <c r="AMP40" s="66"/>
      <c r="AMQ40" s="66"/>
      <c r="AMR40" s="66"/>
      <c r="AMS40" s="66"/>
      <c r="AMT40" s="66"/>
      <c r="AMU40" s="66"/>
      <c r="AMV40" s="66"/>
      <c r="AMW40" s="66"/>
      <c r="AMX40" s="66"/>
      <c r="AMY40" s="66"/>
      <c r="AMZ40" s="66"/>
      <c r="ANA40" s="66"/>
      <c r="ANB40" s="66"/>
      <c r="ANC40" s="66"/>
      <c r="AND40" s="66"/>
      <c r="ANE40" s="66"/>
      <c r="ANF40" s="66"/>
      <c r="ANG40" s="66"/>
      <c r="ANH40" s="66"/>
      <c r="ANI40" s="66"/>
      <c r="ANJ40" s="66"/>
      <c r="ANK40" s="66"/>
      <c r="ANL40" s="66"/>
      <c r="ANM40" s="66"/>
      <c r="ANN40" s="66"/>
      <c r="ANO40" s="66"/>
      <c r="ANP40" s="66"/>
      <c r="ANQ40" s="66"/>
      <c r="ANR40" s="66"/>
      <c r="ANS40" s="66"/>
      <c r="ANT40" s="66"/>
      <c r="ANU40" s="66"/>
      <c r="ANV40" s="66"/>
      <c r="ANW40" s="66"/>
      <c r="ANX40" s="66"/>
      <c r="ANY40" s="66"/>
      <c r="ANZ40" s="66"/>
      <c r="AOA40" s="66"/>
      <c r="AOB40" s="66"/>
      <c r="AOC40" s="66"/>
      <c r="AOD40" s="66"/>
      <c r="AOE40" s="66"/>
      <c r="AOF40" s="66"/>
      <c r="AOG40" s="66"/>
      <c r="AOH40" s="66"/>
      <c r="AOI40" s="66"/>
      <c r="AOJ40" s="66"/>
      <c r="AOK40" s="66"/>
      <c r="AOL40" s="66"/>
      <c r="AOM40" s="66"/>
      <c r="AON40" s="66"/>
      <c r="AOO40" s="66"/>
      <c r="AOP40" s="66"/>
      <c r="AOQ40" s="66"/>
      <c r="AOR40" s="66"/>
      <c r="AOS40" s="66"/>
      <c r="AOT40" s="66"/>
      <c r="AOU40" s="66"/>
      <c r="AOV40" s="66"/>
      <c r="AOW40" s="66"/>
      <c r="AOX40" s="66"/>
      <c r="AOY40" s="66"/>
      <c r="AOZ40" s="66"/>
      <c r="APA40" s="66"/>
      <c r="APB40" s="66"/>
      <c r="APC40" s="66"/>
      <c r="APD40" s="66"/>
      <c r="APE40" s="66"/>
      <c r="APF40" s="66"/>
      <c r="APG40" s="66"/>
      <c r="APH40" s="66"/>
      <c r="API40" s="66"/>
      <c r="APJ40" s="66"/>
      <c r="APK40" s="66"/>
      <c r="APL40" s="66"/>
      <c r="APM40" s="66"/>
      <c r="APN40" s="66"/>
      <c r="APO40" s="66"/>
      <c r="APP40" s="66"/>
      <c r="APQ40" s="66"/>
      <c r="APR40" s="66"/>
      <c r="APS40" s="66"/>
      <c r="APT40" s="66"/>
      <c r="APU40" s="66"/>
      <c r="APV40" s="66"/>
      <c r="APW40" s="66"/>
      <c r="APX40" s="66"/>
      <c r="APY40" s="66"/>
      <c r="APZ40" s="66"/>
      <c r="AQA40" s="66"/>
      <c r="AQB40" s="66"/>
      <c r="AQC40" s="66"/>
      <c r="AQD40" s="66"/>
      <c r="AQE40" s="66"/>
      <c r="AQF40" s="66"/>
      <c r="AQG40" s="66"/>
      <c r="AQH40" s="66"/>
      <c r="AQI40" s="66"/>
      <c r="AQJ40" s="66"/>
      <c r="AQK40" s="66"/>
      <c r="AQL40" s="66"/>
      <c r="AQM40" s="66"/>
      <c r="AQN40" s="66"/>
      <c r="AQO40" s="66"/>
      <c r="AQP40" s="66"/>
      <c r="AQQ40" s="66"/>
      <c r="AQR40" s="66"/>
      <c r="AQS40" s="66"/>
      <c r="AQT40" s="66"/>
      <c r="AQU40" s="66"/>
      <c r="AQV40" s="66"/>
      <c r="AQW40" s="66"/>
      <c r="AQX40" s="66"/>
      <c r="AQY40" s="66"/>
      <c r="AQZ40" s="66"/>
      <c r="ARA40" s="66"/>
      <c r="ARB40" s="66"/>
      <c r="ARC40" s="66"/>
      <c r="ARD40" s="66"/>
      <c r="ARE40" s="66"/>
      <c r="ARF40" s="66"/>
      <c r="ARG40" s="66"/>
      <c r="ARH40" s="66"/>
      <c r="ARI40" s="66"/>
      <c r="ARJ40" s="66"/>
      <c r="ARK40" s="66"/>
      <c r="ARL40" s="66"/>
      <c r="ARM40" s="66"/>
      <c r="ARN40" s="66"/>
      <c r="ARO40" s="66"/>
      <c r="ARP40" s="66"/>
      <c r="ARQ40" s="66"/>
      <c r="ARR40" s="66"/>
      <c r="ARS40" s="66"/>
      <c r="ART40" s="66"/>
      <c r="ARU40" s="66"/>
      <c r="ARV40" s="66"/>
      <c r="ARW40" s="66"/>
      <c r="ARX40" s="66"/>
      <c r="ARY40" s="66"/>
      <c r="ARZ40" s="66"/>
      <c r="ASA40" s="66"/>
      <c r="ASB40" s="66"/>
      <c r="ASC40" s="66"/>
      <c r="ASD40" s="66"/>
      <c r="ASE40" s="66"/>
      <c r="ASF40" s="66"/>
      <c r="ASG40" s="66"/>
      <c r="ASH40" s="66"/>
      <c r="ASI40" s="66"/>
      <c r="ASJ40" s="66"/>
      <c r="ASK40" s="66"/>
      <c r="ASL40" s="66"/>
      <c r="ASM40" s="66"/>
      <c r="ASN40" s="66"/>
      <c r="ASO40" s="66"/>
      <c r="ASP40" s="66"/>
      <c r="ASQ40" s="66"/>
      <c r="ASR40" s="66"/>
      <c r="ASS40" s="66"/>
      <c r="AST40" s="66"/>
      <c r="ASU40" s="66"/>
      <c r="ASV40" s="66"/>
      <c r="ASW40" s="66"/>
      <c r="ASX40" s="66"/>
      <c r="ASY40" s="66"/>
      <c r="ASZ40" s="66"/>
      <c r="ATA40" s="66"/>
      <c r="ATB40" s="66"/>
      <c r="ATC40" s="66"/>
      <c r="ATD40" s="66"/>
      <c r="ATE40" s="66"/>
      <c r="ATF40" s="66"/>
      <c r="ATG40" s="66"/>
      <c r="ATH40" s="66"/>
      <c r="ATI40" s="66"/>
      <c r="ATJ40" s="66"/>
      <c r="ATK40" s="66"/>
      <c r="ATL40" s="66"/>
      <c r="ATM40" s="66"/>
      <c r="ATN40" s="66"/>
      <c r="ATO40" s="66"/>
      <c r="ATP40" s="66"/>
      <c r="ATQ40" s="66"/>
      <c r="ATR40" s="66"/>
      <c r="ATS40" s="66"/>
      <c r="ATT40" s="66"/>
      <c r="ATU40" s="66"/>
      <c r="ATV40" s="66"/>
      <c r="ATW40" s="66"/>
      <c r="ATX40" s="66"/>
      <c r="ATY40" s="66"/>
      <c r="ATZ40" s="66"/>
      <c r="AUA40" s="66"/>
      <c r="AUB40" s="66"/>
      <c r="AUC40" s="66"/>
      <c r="AUD40" s="66"/>
      <c r="AUE40" s="66"/>
      <c r="AUF40" s="66"/>
      <c r="AUG40" s="66"/>
      <c r="AUH40" s="66"/>
      <c r="AUI40" s="66"/>
      <c r="AUJ40" s="66"/>
      <c r="AUK40" s="66"/>
      <c r="AUL40" s="66"/>
      <c r="AUM40" s="66"/>
      <c r="AUN40" s="66"/>
      <c r="AUO40" s="66"/>
      <c r="AUP40" s="66"/>
      <c r="AUQ40" s="66"/>
      <c r="AUR40" s="66"/>
      <c r="AUS40" s="66"/>
      <c r="AUT40" s="66"/>
      <c r="AUU40" s="66"/>
      <c r="AUV40" s="66"/>
      <c r="AUW40" s="66"/>
      <c r="AUX40" s="66"/>
      <c r="AUY40" s="66"/>
      <c r="AUZ40" s="66"/>
      <c r="AVA40" s="66"/>
      <c r="AVB40" s="66"/>
      <c r="AVC40" s="66"/>
      <c r="AVD40" s="66"/>
      <c r="AVE40" s="66"/>
      <c r="AVF40" s="66"/>
      <c r="AVG40" s="66"/>
      <c r="AVH40" s="66"/>
      <c r="AVI40" s="66"/>
      <c r="AVJ40" s="66"/>
      <c r="AVK40" s="66"/>
      <c r="AVL40" s="66"/>
      <c r="AVM40" s="66"/>
      <c r="AVN40" s="66"/>
      <c r="AVO40" s="66"/>
      <c r="AVP40" s="66"/>
      <c r="AVQ40" s="66"/>
      <c r="AVR40" s="66"/>
      <c r="AVS40" s="66"/>
      <c r="AVT40" s="66"/>
      <c r="AVU40" s="66"/>
      <c r="AVV40" s="66"/>
      <c r="AVW40" s="66"/>
      <c r="AVX40" s="66"/>
      <c r="AVY40" s="66"/>
      <c r="AVZ40" s="66"/>
      <c r="AWA40" s="66"/>
      <c r="AWB40" s="66"/>
      <c r="AWC40" s="66"/>
      <c r="AWD40" s="66"/>
      <c r="AWE40" s="66"/>
      <c r="AWF40" s="66"/>
      <c r="AWG40" s="66"/>
      <c r="AWH40" s="66"/>
      <c r="AWI40" s="66"/>
      <c r="AWJ40" s="66"/>
      <c r="AWK40" s="66"/>
      <c r="AWL40" s="66"/>
      <c r="AWM40" s="66"/>
      <c r="AWN40" s="66"/>
      <c r="AWO40" s="66"/>
      <c r="AWP40" s="66"/>
      <c r="AWQ40" s="66"/>
      <c r="AWR40" s="66"/>
      <c r="AWS40" s="66"/>
      <c r="AWT40" s="66"/>
      <c r="AWU40" s="66"/>
      <c r="AWV40" s="66"/>
      <c r="AWW40" s="66"/>
      <c r="AWX40" s="66"/>
      <c r="AWY40" s="66"/>
      <c r="AWZ40" s="66"/>
      <c r="AXA40" s="66"/>
      <c r="AXB40" s="66"/>
      <c r="AXC40" s="66"/>
      <c r="AXD40" s="66"/>
      <c r="AXE40" s="66"/>
      <c r="AXF40" s="66"/>
      <c r="AXG40" s="66"/>
      <c r="AXH40" s="66"/>
      <c r="AXI40" s="66"/>
      <c r="AXJ40" s="66"/>
      <c r="AXK40" s="66"/>
      <c r="AXL40" s="66"/>
      <c r="AXM40" s="66"/>
      <c r="AXN40" s="66"/>
      <c r="AXO40" s="66"/>
      <c r="AXP40" s="66"/>
      <c r="AXQ40" s="66"/>
      <c r="AXR40" s="66"/>
      <c r="AXS40" s="66"/>
      <c r="AXT40" s="66"/>
      <c r="AXU40" s="66"/>
      <c r="AXV40" s="66"/>
      <c r="AXW40" s="66"/>
      <c r="AXX40" s="66"/>
      <c r="AXY40" s="66"/>
      <c r="AXZ40" s="66"/>
      <c r="AYA40" s="66"/>
      <c r="AYB40" s="66"/>
      <c r="AYC40" s="66"/>
      <c r="AYD40" s="66"/>
      <c r="AYE40" s="66"/>
      <c r="AYF40" s="66"/>
      <c r="AYG40" s="66"/>
      <c r="AYH40" s="66"/>
      <c r="AYI40" s="66"/>
      <c r="AYJ40" s="66"/>
      <c r="AYK40" s="66"/>
      <c r="AYL40" s="66"/>
      <c r="AYM40" s="66"/>
      <c r="AYN40" s="66"/>
      <c r="AYO40" s="66"/>
      <c r="AYP40" s="66"/>
      <c r="AYQ40" s="66"/>
      <c r="AYR40" s="66"/>
      <c r="AYS40" s="66"/>
      <c r="AYT40" s="66"/>
      <c r="AYU40" s="66"/>
      <c r="AYV40" s="66"/>
      <c r="AYW40" s="66"/>
      <c r="AYX40" s="66"/>
      <c r="AYY40" s="66"/>
      <c r="AYZ40" s="66"/>
      <c r="AZA40" s="66"/>
      <c r="AZB40" s="66"/>
      <c r="AZC40" s="66"/>
      <c r="AZD40" s="66"/>
      <c r="AZE40" s="66"/>
      <c r="AZF40" s="66"/>
      <c r="AZG40" s="66"/>
      <c r="AZH40" s="66"/>
      <c r="AZI40" s="66"/>
      <c r="AZJ40" s="66"/>
      <c r="AZK40" s="66"/>
      <c r="AZL40" s="66"/>
      <c r="AZM40" s="66"/>
      <c r="AZN40" s="66"/>
      <c r="AZO40" s="66"/>
      <c r="AZP40" s="66"/>
      <c r="AZQ40" s="66"/>
      <c r="AZR40" s="66"/>
      <c r="AZS40" s="66"/>
      <c r="AZT40" s="66"/>
      <c r="AZU40" s="66"/>
      <c r="AZV40" s="66"/>
      <c r="AZW40" s="66"/>
      <c r="AZX40" s="66"/>
      <c r="AZY40" s="66"/>
      <c r="AZZ40" s="66"/>
      <c r="BAA40" s="66"/>
      <c r="BAB40" s="66"/>
      <c r="BAC40" s="66"/>
      <c r="BAD40" s="66"/>
      <c r="BAE40" s="66"/>
      <c r="BAF40" s="66"/>
      <c r="BAG40" s="66"/>
      <c r="BAH40" s="66"/>
      <c r="BAI40" s="66"/>
      <c r="BAJ40" s="66"/>
      <c r="BAK40" s="66"/>
      <c r="BAL40" s="66"/>
      <c r="BAM40" s="66"/>
      <c r="BAN40" s="66"/>
      <c r="BAO40" s="66"/>
      <c r="BAP40" s="66"/>
      <c r="BAQ40" s="66"/>
      <c r="BAR40" s="66"/>
      <c r="BAS40" s="66"/>
      <c r="BAT40" s="66"/>
      <c r="BAU40" s="66"/>
      <c r="BAV40" s="66"/>
      <c r="BAW40" s="66"/>
      <c r="BAX40" s="66"/>
      <c r="BAY40" s="66"/>
      <c r="BAZ40" s="66"/>
      <c r="BBA40" s="66"/>
      <c r="BBB40" s="66"/>
      <c r="BBC40" s="66"/>
      <c r="BBD40" s="66"/>
      <c r="BBE40" s="66"/>
      <c r="BBF40" s="66"/>
      <c r="BBG40" s="66"/>
      <c r="BBH40" s="66"/>
      <c r="BBI40" s="66"/>
      <c r="BBJ40" s="66"/>
      <c r="BBK40" s="66"/>
      <c r="BBL40" s="66"/>
      <c r="BBM40" s="66"/>
      <c r="BBN40" s="66"/>
      <c r="BBO40" s="66"/>
      <c r="BBP40" s="66"/>
      <c r="BBQ40" s="66"/>
      <c r="BBR40" s="66"/>
      <c r="BBS40" s="66"/>
      <c r="BBT40" s="66"/>
      <c r="BBU40" s="66"/>
      <c r="BBV40" s="66"/>
      <c r="BBW40" s="66"/>
      <c r="BBX40" s="66"/>
      <c r="BBY40" s="66"/>
      <c r="BBZ40" s="66"/>
      <c r="BCA40" s="66"/>
      <c r="BCB40" s="66"/>
      <c r="BCC40" s="66"/>
      <c r="BCD40" s="66"/>
      <c r="BCE40" s="66"/>
      <c r="BCF40" s="66"/>
      <c r="BCG40" s="66"/>
      <c r="BCH40" s="66"/>
      <c r="BCI40" s="66"/>
      <c r="BCJ40" s="66"/>
      <c r="BCK40" s="66"/>
      <c r="BCL40" s="66"/>
      <c r="BCM40" s="66"/>
      <c r="BCN40" s="66"/>
      <c r="BCO40" s="66"/>
      <c r="BCP40" s="66"/>
      <c r="BCQ40" s="66"/>
      <c r="BCR40" s="66"/>
      <c r="BCS40" s="66"/>
      <c r="BCT40" s="66"/>
      <c r="BCU40" s="66"/>
      <c r="BCV40" s="66"/>
      <c r="BCW40" s="66"/>
      <c r="BCX40" s="66"/>
      <c r="BCY40" s="66"/>
      <c r="BCZ40" s="66"/>
      <c r="BDA40" s="66"/>
      <c r="BDB40" s="66"/>
      <c r="BDC40" s="66"/>
      <c r="BDD40" s="66"/>
      <c r="BDE40" s="66"/>
      <c r="BDF40" s="66"/>
      <c r="BDG40" s="66"/>
      <c r="BDH40" s="66"/>
      <c r="BDI40" s="66"/>
      <c r="BDJ40" s="66"/>
      <c r="BDK40" s="66"/>
      <c r="BDL40" s="66"/>
      <c r="BDM40" s="66"/>
      <c r="BDN40" s="66"/>
      <c r="BDO40" s="66"/>
      <c r="BDP40" s="66"/>
      <c r="BDQ40" s="66"/>
      <c r="BDR40" s="66"/>
      <c r="BDS40" s="66"/>
      <c r="BDT40" s="66"/>
      <c r="BDU40" s="66"/>
      <c r="BDV40" s="66"/>
      <c r="BDW40" s="66"/>
      <c r="BDX40" s="66"/>
      <c r="BDY40" s="66"/>
      <c r="BDZ40" s="66"/>
      <c r="BEA40" s="66"/>
      <c r="BEB40" s="66"/>
      <c r="BEC40" s="66"/>
      <c r="BED40" s="66"/>
      <c r="BEE40" s="66"/>
      <c r="BEF40" s="66"/>
      <c r="BEG40" s="66"/>
      <c r="BEH40" s="66"/>
      <c r="BEI40" s="66"/>
      <c r="BEJ40" s="66"/>
      <c r="BEK40" s="66"/>
      <c r="BEL40" s="66"/>
      <c r="BEM40" s="66"/>
      <c r="BEN40" s="66"/>
      <c r="BEO40" s="66"/>
      <c r="BEP40" s="66"/>
      <c r="BEQ40" s="66"/>
      <c r="BER40" s="66"/>
      <c r="BES40" s="66"/>
      <c r="BET40" s="66"/>
      <c r="BEU40" s="66"/>
      <c r="BEV40" s="66"/>
      <c r="BEW40" s="66"/>
      <c r="BEX40" s="66"/>
      <c r="BEY40" s="66"/>
      <c r="BEZ40" s="66"/>
      <c r="BFA40" s="66"/>
      <c r="BFB40" s="66"/>
      <c r="BFC40" s="66"/>
      <c r="BFD40" s="66"/>
      <c r="BFE40" s="66"/>
      <c r="BFF40" s="66"/>
      <c r="BFG40" s="66"/>
      <c r="BFH40" s="66"/>
      <c r="BFI40" s="66"/>
      <c r="BFJ40" s="66"/>
      <c r="BFK40" s="66"/>
      <c r="BFL40" s="66"/>
      <c r="BFM40" s="66"/>
      <c r="BFN40" s="66"/>
      <c r="BFO40" s="66"/>
      <c r="BFP40" s="66"/>
      <c r="BFQ40" s="66"/>
      <c r="BFR40" s="66"/>
      <c r="BFS40" s="66"/>
      <c r="BFT40" s="66"/>
      <c r="BFU40" s="66"/>
      <c r="BFV40" s="66"/>
      <c r="BFW40" s="66"/>
      <c r="BFX40" s="66"/>
      <c r="BFY40" s="66"/>
      <c r="BFZ40" s="66"/>
      <c r="BGA40" s="66"/>
      <c r="BGB40" s="66"/>
      <c r="BGC40" s="66"/>
      <c r="BGD40" s="66"/>
      <c r="BGE40" s="66"/>
      <c r="BGF40" s="66"/>
      <c r="BGG40" s="66"/>
      <c r="BGH40" s="66"/>
      <c r="BGI40" s="66"/>
      <c r="BGJ40" s="66"/>
      <c r="BGK40" s="66"/>
      <c r="BGL40" s="66"/>
      <c r="BGM40" s="66"/>
      <c r="BGN40" s="66"/>
      <c r="BGO40" s="66"/>
      <c r="BGP40" s="66"/>
      <c r="BGQ40" s="66"/>
      <c r="BGR40" s="66"/>
      <c r="BGS40" s="66"/>
      <c r="BGT40" s="66"/>
      <c r="BGU40" s="66"/>
      <c r="BGV40" s="66"/>
      <c r="BGW40" s="66"/>
      <c r="BGX40" s="66"/>
      <c r="BGY40" s="66"/>
      <c r="BGZ40" s="66"/>
      <c r="BHA40" s="66"/>
      <c r="BHB40" s="66"/>
      <c r="BHC40" s="66"/>
      <c r="BHD40" s="66"/>
      <c r="BHE40" s="66"/>
      <c r="BHF40" s="66"/>
      <c r="BHG40" s="66"/>
      <c r="BHH40" s="66"/>
      <c r="BHI40" s="66"/>
      <c r="BHJ40" s="66"/>
      <c r="BHK40" s="66"/>
      <c r="BHL40" s="66"/>
      <c r="BHM40" s="66"/>
      <c r="BHN40" s="66"/>
      <c r="BHO40" s="66"/>
      <c r="BHP40" s="66"/>
      <c r="BHQ40" s="66"/>
      <c r="BHR40" s="66"/>
      <c r="BHS40" s="66"/>
      <c r="BHT40" s="66"/>
      <c r="BHU40" s="66"/>
      <c r="BHV40" s="66"/>
      <c r="BHW40" s="66"/>
      <c r="BHX40" s="66"/>
      <c r="BHY40" s="66"/>
      <c r="BHZ40" s="66"/>
      <c r="BIA40" s="66"/>
      <c r="BIB40" s="66"/>
      <c r="BIC40" s="66"/>
      <c r="BID40" s="66"/>
      <c r="BIE40" s="66"/>
      <c r="BIF40" s="66"/>
      <c r="BIG40" s="66"/>
      <c r="BIH40" s="66"/>
      <c r="BII40" s="66"/>
      <c r="BIJ40" s="66"/>
      <c r="BIK40" s="66"/>
      <c r="BIL40" s="66"/>
      <c r="BIM40" s="66"/>
      <c r="BIN40" s="66"/>
      <c r="BIO40" s="66"/>
      <c r="BIP40" s="66"/>
      <c r="BIQ40" s="66"/>
      <c r="BIR40" s="66"/>
      <c r="BIS40" s="66"/>
      <c r="BIT40" s="66"/>
      <c r="BIU40" s="66"/>
      <c r="BIV40" s="66"/>
      <c r="BIW40" s="66"/>
      <c r="BIX40" s="66"/>
      <c r="BIY40" s="66"/>
      <c r="BIZ40" s="66"/>
      <c r="BJA40" s="66"/>
      <c r="BJB40" s="66"/>
      <c r="BJC40" s="66"/>
      <c r="BJD40" s="66"/>
      <c r="BJE40" s="66"/>
      <c r="BJF40" s="66"/>
      <c r="BJG40" s="66"/>
      <c r="BJH40" s="66"/>
      <c r="BJI40" s="66"/>
      <c r="BJJ40" s="66"/>
      <c r="BJK40" s="66"/>
      <c r="BJL40" s="66"/>
      <c r="BJM40" s="66"/>
      <c r="BJN40" s="66"/>
      <c r="BJO40" s="66"/>
      <c r="BJP40" s="66"/>
      <c r="BJQ40" s="66"/>
      <c r="BJR40" s="66"/>
      <c r="BJS40" s="66"/>
      <c r="BJT40" s="66"/>
      <c r="BJU40" s="66"/>
      <c r="BJV40" s="66"/>
      <c r="BJW40" s="66"/>
      <c r="BJX40" s="66"/>
      <c r="BJY40" s="66"/>
      <c r="BJZ40" s="66"/>
      <c r="BKA40" s="66"/>
      <c r="BKB40" s="66"/>
      <c r="BKC40" s="66"/>
      <c r="BKD40" s="66"/>
      <c r="BKE40" s="66"/>
      <c r="BKF40" s="66"/>
      <c r="BKG40" s="66"/>
      <c r="BKH40" s="66"/>
      <c r="BKI40" s="66"/>
      <c r="BKJ40" s="66"/>
      <c r="BKK40" s="66"/>
      <c r="BKL40" s="66"/>
      <c r="BKM40" s="66"/>
      <c r="BKN40" s="66"/>
      <c r="BKO40" s="66"/>
      <c r="BKP40" s="66"/>
      <c r="BKQ40" s="66"/>
      <c r="BKR40" s="66"/>
      <c r="BKS40" s="66"/>
      <c r="BKT40" s="66"/>
      <c r="BKU40" s="66"/>
      <c r="BKV40" s="66"/>
      <c r="BKW40" s="66"/>
      <c r="BKX40" s="66"/>
      <c r="BKY40" s="66"/>
      <c r="BKZ40" s="66"/>
      <c r="BLA40" s="66"/>
      <c r="BLB40" s="66"/>
      <c r="BLC40" s="66"/>
      <c r="BLD40" s="66"/>
      <c r="BLE40" s="66"/>
      <c r="BLF40" s="66"/>
      <c r="BLG40" s="66"/>
      <c r="BLH40" s="66"/>
      <c r="BLI40" s="66"/>
      <c r="BLJ40" s="66"/>
      <c r="BLK40" s="66"/>
      <c r="BLL40" s="66"/>
      <c r="BLM40" s="66"/>
      <c r="BLN40" s="66"/>
      <c r="BLO40" s="66"/>
      <c r="BLP40" s="66"/>
      <c r="BLQ40" s="66"/>
      <c r="BLR40" s="66"/>
      <c r="BLS40" s="66"/>
      <c r="BLT40" s="66"/>
      <c r="BLU40" s="66"/>
      <c r="BLV40" s="66"/>
      <c r="BLW40" s="66"/>
      <c r="BLX40" s="66"/>
      <c r="BLY40" s="66"/>
      <c r="BLZ40" s="66"/>
      <c r="BMA40" s="66"/>
      <c r="BMB40" s="66"/>
      <c r="BMC40" s="66"/>
      <c r="BMD40" s="66"/>
      <c r="BME40" s="66"/>
      <c r="BMF40" s="66"/>
      <c r="BMG40" s="66"/>
      <c r="BMH40" s="66"/>
      <c r="BMI40" s="66"/>
      <c r="BMJ40" s="66"/>
      <c r="BMK40" s="66"/>
      <c r="BML40" s="66"/>
      <c r="BMM40" s="66"/>
      <c r="BMN40" s="66"/>
      <c r="BMO40" s="66"/>
      <c r="BMP40" s="66"/>
      <c r="BMQ40" s="66"/>
      <c r="BMR40" s="66"/>
      <c r="BMS40" s="66"/>
      <c r="BMT40" s="66"/>
      <c r="BMU40" s="66"/>
      <c r="BMV40" s="66"/>
      <c r="BMW40" s="66"/>
      <c r="BMX40" s="66"/>
      <c r="BMY40" s="66"/>
      <c r="BMZ40" s="66"/>
      <c r="BNA40" s="66"/>
      <c r="BNB40" s="66"/>
      <c r="BNC40" s="66"/>
      <c r="BND40" s="66"/>
      <c r="BNE40" s="66"/>
      <c r="BNF40" s="66"/>
      <c r="BNG40" s="66"/>
      <c r="BNH40" s="66"/>
      <c r="BNI40" s="66"/>
      <c r="BNJ40" s="66"/>
      <c r="BNK40" s="66"/>
      <c r="BNL40" s="66"/>
      <c r="BNM40" s="66"/>
      <c r="BNN40" s="66"/>
      <c r="BNO40" s="66"/>
      <c r="BNP40" s="66"/>
      <c r="BNQ40" s="66"/>
      <c r="BNR40" s="66"/>
      <c r="BNS40" s="66"/>
      <c r="BNT40" s="66"/>
      <c r="BNU40" s="66"/>
      <c r="BNV40" s="66"/>
      <c r="BNW40" s="66"/>
      <c r="BNX40" s="66"/>
      <c r="BNY40" s="66"/>
      <c r="BNZ40" s="66"/>
      <c r="BOA40" s="66"/>
      <c r="BOB40" s="66"/>
      <c r="BOC40" s="66"/>
      <c r="BOD40" s="66"/>
      <c r="BOE40" s="66"/>
      <c r="BOF40" s="66"/>
      <c r="BOG40" s="66"/>
      <c r="BOH40" s="66"/>
      <c r="BOI40" s="66"/>
      <c r="BOJ40" s="66"/>
      <c r="BOK40" s="66"/>
      <c r="BOL40" s="66"/>
      <c r="BOM40" s="66"/>
      <c r="BON40" s="66"/>
      <c r="BOO40" s="66"/>
      <c r="BOP40" s="66"/>
      <c r="BOQ40" s="66"/>
      <c r="BOR40" s="66"/>
      <c r="BOS40" s="66"/>
      <c r="BOT40" s="66"/>
      <c r="BOU40" s="66"/>
      <c r="BOV40" s="66"/>
      <c r="BOW40" s="66"/>
      <c r="BOX40" s="66"/>
      <c r="BOY40" s="66"/>
      <c r="BOZ40" s="66"/>
      <c r="BPA40" s="66"/>
      <c r="BPB40" s="66"/>
      <c r="BPC40" s="66"/>
      <c r="BPD40" s="66"/>
      <c r="BPE40" s="66"/>
      <c r="BPF40" s="66"/>
      <c r="BPG40" s="66"/>
      <c r="BPH40" s="66"/>
      <c r="BPI40" s="66"/>
      <c r="BPJ40" s="66"/>
      <c r="BPK40" s="66"/>
      <c r="BPL40" s="66"/>
      <c r="BPM40" s="66"/>
      <c r="BPN40" s="66"/>
      <c r="BPO40" s="66"/>
      <c r="BPP40" s="66"/>
      <c r="BPQ40" s="66"/>
      <c r="BPR40" s="66"/>
      <c r="BPS40" s="66"/>
      <c r="BPT40" s="66"/>
      <c r="BPU40" s="66"/>
      <c r="BPV40" s="66"/>
      <c r="BPW40" s="66"/>
      <c r="BPX40" s="66"/>
      <c r="BPY40" s="66"/>
      <c r="BPZ40" s="66"/>
      <c r="BQA40" s="66"/>
      <c r="BQB40" s="66"/>
      <c r="BQC40" s="66"/>
      <c r="BQD40" s="66"/>
      <c r="BQE40" s="66"/>
      <c r="BQF40" s="66"/>
      <c r="BQG40" s="66"/>
      <c r="BQH40" s="66"/>
      <c r="BQI40" s="66"/>
      <c r="BQJ40" s="66"/>
      <c r="BQK40" s="66"/>
      <c r="BQL40" s="66"/>
      <c r="BQM40" s="66"/>
      <c r="BQN40" s="66"/>
      <c r="BQO40" s="66"/>
      <c r="BQP40" s="66"/>
      <c r="BQQ40" s="66"/>
      <c r="BQR40" s="66"/>
      <c r="BQS40" s="66"/>
      <c r="BQT40" s="66"/>
      <c r="BQU40" s="66"/>
      <c r="BQV40" s="66"/>
      <c r="BQW40" s="66"/>
      <c r="BQX40" s="66"/>
      <c r="BQY40" s="66"/>
      <c r="BQZ40" s="66"/>
      <c r="BRA40" s="66"/>
      <c r="BRB40" s="66"/>
      <c r="BRC40" s="66"/>
      <c r="BRD40" s="66"/>
      <c r="BRE40" s="66"/>
      <c r="BRF40" s="66"/>
      <c r="BRG40" s="66"/>
      <c r="BRH40" s="66"/>
      <c r="BRI40" s="66"/>
      <c r="BRJ40" s="66"/>
      <c r="BRK40" s="66"/>
      <c r="BRL40" s="66"/>
      <c r="BRM40" s="66"/>
      <c r="BRN40" s="66"/>
      <c r="BRO40" s="66"/>
      <c r="BRP40" s="66"/>
      <c r="BRQ40" s="66"/>
      <c r="BRR40" s="66"/>
      <c r="BRS40" s="66"/>
      <c r="BRT40" s="66"/>
      <c r="BRU40" s="66"/>
      <c r="BRV40" s="66"/>
      <c r="BRW40" s="66"/>
      <c r="BRX40" s="66"/>
      <c r="BRY40" s="66"/>
      <c r="BRZ40" s="66"/>
      <c r="BSA40" s="66"/>
      <c r="BSB40" s="66"/>
      <c r="BSC40" s="66"/>
      <c r="BSD40" s="66"/>
      <c r="BSE40" s="66"/>
      <c r="BSF40" s="66"/>
      <c r="BSG40" s="66"/>
      <c r="BSH40" s="66"/>
      <c r="BSI40" s="66"/>
      <c r="BSJ40" s="66"/>
      <c r="BSK40" s="66"/>
      <c r="BSL40" s="66"/>
      <c r="BSM40" s="66"/>
      <c r="BSN40" s="66"/>
      <c r="BSO40" s="66"/>
      <c r="BSP40" s="66"/>
      <c r="BSQ40" s="66"/>
      <c r="BSR40" s="66"/>
      <c r="BSS40" s="66"/>
      <c r="BST40" s="66"/>
      <c r="BSU40" s="66"/>
      <c r="BSV40" s="66"/>
      <c r="BSW40" s="66"/>
      <c r="BSX40" s="66"/>
      <c r="BSY40" s="66"/>
      <c r="BSZ40" s="66"/>
      <c r="BTA40" s="66"/>
      <c r="BTB40" s="66"/>
      <c r="BTC40" s="66"/>
      <c r="BTD40" s="66"/>
      <c r="BTE40" s="66"/>
      <c r="BTF40" s="66"/>
      <c r="BTG40" s="66"/>
      <c r="BTH40" s="66"/>
      <c r="BTI40" s="66"/>
      <c r="BTJ40" s="66"/>
      <c r="BTK40" s="66"/>
      <c r="BTL40" s="66"/>
      <c r="BTM40" s="66"/>
      <c r="BTN40" s="66"/>
      <c r="BTO40" s="66"/>
      <c r="BTP40" s="66"/>
      <c r="BTQ40" s="66"/>
      <c r="BTR40" s="66"/>
      <c r="BTS40" s="66"/>
      <c r="BTT40" s="66"/>
      <c r="BTU40" s="66"/>
      <c r="BTV40" s="66"/>
      <c r="BTW40" s="66"/>
      <c r="BTX40" s="66"/>
      <c r="BTY40" s="66"/>
      <c r="BTZ40" s="66"/>
      <c r="BUA40" s="66"/>
      <c r="BUB40" s="66"/>
      <c r="BUC40" s="66"/>
      <c r="BUD40" s="66"/>
      <c r="BUE40" s="66"/>
      <c r="BUF40" s="66"/>
      <c r="BUG40" s="66"/>
      <c r="BUH40" s="66"/>
      <c r="BUI40" s="66"/>
      <c r="BUJ40" s="66"/>
      <c r="BUK40" s="66"/>
      <c r="BUL40" s="66"/>
      <c r="BUM40" s="66"/>
      <c r="BUN40" s="66"/>
      <c r="BUO40" s="66"/>
      <c r="BUP40" s="66"/>
      <c r="BUQ40" s="66"/>
      <c r="BUR40" s="66"/>
      <c r="BUS40" s="66"/>
      <c r="BUT40" s="66"/>
      <c r="BUU40" s="66"/>
      <c r="BUV40" s="66"/>
      <c r="BUW40" s="66"/>
      <c r="BUX40" s="66"/>
      <c r="BUY40" s="66"/>
      <c r="BUZ40" s="66"/>
      <c r="BVA40" s="66"/>
      <c r="BVB40" s="66"/>
      <c r="BVC40" s="66"/>
      <c r="BVD40" s="66"/>
      <c r="BVE40" s="66"/>
      <c r="BVF40" s="66"/>
      <c r="BVG40" s="66"/>
      <c r="BVH40" s="66"/>
      <c r="BVI40" s="66"/>
      <c r="BVJ40" s="66"/>
      <c r="BVK40" s="66"/>
      <c r="BVL40" s="66"/>
      <c r="BVM40" s="66"/>
      <c r="BVN40" s="66"/>
      <c r="BVO40" s="66"/>
      <c r="BVP40" s="66"/>
      <c r="BVQ40" s="66"/>
      <c r="BVR40" s="66"/>
      <c r="BVS40" s="66"/>
      <c r="BVT40" s="66"/>
      <c r="BVU40" s="66"/>
      <c r="BVV40" s="66"/>
      <c r="BVW40" s="66"/>
      <c r="BVX40" s="66"/>
      <c r="BVY40" s="66"/>
      <c r="BVZ40" s="66"/>
      <c r="BWA40" s="66"/>
      <c r="BWB40" s="66"/>
      <c r="BWC40" s="66"/>
      <c r="BWD40" s="66"/>
      <c r="BWE40" s="66"/>
      <c r="BWF40" s="66"/>
      <c r="BWG40" s="66"/>
      <c r="BWH40" s="66"/>
      <c r="BWI40" s="66"/>
      <c r="BWJ40" s="66"/>
      <c r="BWK40" s="66"/>
      <c r="BWL40" s="66"/>
      <c r="BWM40" s="66"/>
      <c r="BWN40" s="66"/>
      <c r="BWO40" s="66"/>
      <c r="BWP40" s="66"/>
      <c r="BWQ40" s="66"/>
      <c r="BWR40" s="66"/>
      <c r="BWS40" s="66"/>
      <c r="BWT40" s="66"/>
      <c r="BWU40" s="66"/>
      <c r="BWV40" s="66"/>
      <c r="BWW40" s="66"/>
      <c r="BWX40" s="66"/>
      <c r="BWY40" s="66"/>
      <c r="BWZ40" s="66"/>
      <c r="BXA40" s="66"/>
      <c r="BXB40" s="66"/>
      <c r="BXC40" s="66"/>
      <c r="BXD40" s="66"/>
      <c r="BXE40" s="66"/>
      <c r="BXF40" s="66"/>
      <c r="BXG40" s="66"/>
      <c r="BXH40" s="66"/>
      <c r="BXI40" s="66"/>
      <c r="BXJ40" s="66"/>
      <c r="BXK40" s="66"/>
      <c r="BXL40" s="66"/>
      <c r="BXM40" s="66"/>
      <c r="BXN40" s="66"/>
      <c r="BXO40" s="66"/>
      <c r="BXP40" s="66"/>
      <c r="BXQ40" s="66"/>
      <c r="BXR40" s="66"/>
      <c r="BXS40" s="66"/>
      <c r="BXT40" s="66"/>
      <c r="BXU40" s="66"/>
      <c r="BXV40" s="66"/>
      <c r="BXW40" s="66"/>
      <c r="BXX40" s="66"/>
      <c r="BXY40" s="66"/>
      <c r="BXZ40" s="66"/>
      <c r="BYA40" s="66"/>
      <c r="BYB40" s="66"/>
      <c r="BYC40" s="66"/>
      <c r="BYD40" s="66"/>
      <c r="BYE40" s="66"/>
      <c r="BYF40" s="66"/>
      <c r="BYG40" s="66"/>
      <c r="BYH40" s="66"/>
      <c r="BYI40" s="66"/>
      <c r="BYJ40" s="66"/>
      <c r="BYK40" s="66"/>
      <c r="BYL40" s="66"/>
      <c r="BYM40" s="66"/>
      <c r="BYN40" s="66"/>
      <c r="BYO40" s="66"/>
      <c r="BYP40" s="66"/>
      <c r="BYQ40" s="66"/>
      <c r="BYR40" s="66"/>
      <c r="BYS40" s="66"/>
      <c r="BYT40" s="66"/>
      <c r="BYU40" s="66"/>
      <c r="BYV40" s="66"/>
      <c r="BYW40" s="66"/>
      <c r="BYX40" s="66"/>
      <c r="BYY40" s="66"/>
      <c r="BYZ40" s="66"/>
      <c r="BZA40" s="66"/>
      <c r="BZB40" s="66"/>
      <c r="BZC40" s="66"/>
      <c r="BZD40" s="66"/>
      <c r="BZE40" s="66"/>
      <c r="BZF40" s="66"/>
      <c r="BZG40" s="66"/>
      <c r="BZH40" s="66"/>
      <c r="BZI40" s="66"/>
      <c r="BZJ40" s="66"/>
      <c r="BZK40" s="66"/>
      <c r="BZL40" s="66"/>
      <c r="BZM40" s="66"/>
      <c r="BZN40" s="66"/>
      <c r="BZO40" s="66"/>
      <c r="BZP40" s="66"/>
      <c r="BZQ40" s="66"/>
      <c r="BZR40" s="66"/>
      <c r="BZS40" s="66"/>
      <c r="BZT40" s="66"/>
      <c r="BZU40" s="66"/>
      <c r="BZV40" s="66"/>
      <c r="BZW40" s="66"/>
      <c r="BZX40" s="66"/>
      <c r="BZY40" s="66"/>
      <c r="BZZ40" s="66"/>
      <c r="CAA40" s="66"/>
      <c r="CAB40" s="66"/>
      <c r="CAC40" s="66"/>
      <c r="CAD40" s="66"/>
      <c r="CAE40" s="66"/>
      <c r="CAF40" s="66"/>
      <c r="CAG40" s="66"/>
      <c r="CAH40" s="66"/>
      <c r="CAI40" s="66"/>
      <c r="CAJ40" s="66"/>
      <c r="CAK40" s="66"/>
      <c r="CAL40" s="66"/>
      <c r="CAM40" s="66"/>
      <c r="CAN40" s="66"/>
      <c r="CAO40" s="66"/>
      <c r="CAP40" s="66"/>
      <c r="CAQ40" s="66"/>
      <c r="CAR40" s="66"/>
      <c r="CAS40" s="66"/>
      <c r="CAT40" s="66"/>
      <c r="CAU40" s="66"/>
      <c r="CAV40" s="66"/>
      <c r="CAW40" s="66"/>
      <c r="CAX40" s="66"/>
      <c r="CAY40" s="66"/>
      <c r="CAZ40" s="66"/>
      <c r="CBA40" s="66"/>
      <c r="CBB40" s="66"/>
      <c r="CBC40" s="66"/>
      <c r="CBD40" s="66"/>
      <c r="CBE40" s="66"/>
      <c r="CBF40" s="66"/>
      <c r="CBG40" s="66"/>
      <c r="CBH40" s="66"/>
      <c r="CBI40" s="66"/>
      <c r="CBJ40" s="66"/>
      <c r="CBK40" s="66"/>
      <c r="CBL40" s="66"/>
      <c r="CBM40" s="66"/>
      <c r="CBN40" s="66"/>
      <c r="CBO40" s="66"/>
      <c r="CBP40" s="66"/>
      <c r="CBQ40" s="66"/>
      <c r="CBR40" s="66"/>
      <c r="CBS40" s="66"/>
      <c r="CBT40" s="66"/>
      <c r="CBU40" s="66"/>
      <c r="CBV40" s="66"/>
      <c r="CBW40" s="66"/>
      <c r="CBX40" s="66"/>
      <c r="CBY40" s="66"/>
      <c r="CBZ40" s="66"/>
      <c r="CCA40" s="66"/>
      <c r="CCB40" s="66"/>
      <c r="CCC40" s="66"/>
      <c r="CCD40" s="66"/>
      <c r="CCE40" s="66"/>
      <c r="CCF40" s="66"/>
      <c r="CCG40" s="66"/>
      <c r="CCH40" s="66"/>
      <c r="CCI40" s="66"/>
      <c r="CCJ40" s="66"/>
      <c r="CCK40" s="66"/>
      <c r="CCL40" s="66"/>
      <c r="CCM40" s="66"/>
      <c r="CCN40" s="66"/>
      <c r="CCO40" s="66"/>
      <c r="CCP40" s="66"/>
      <c r="CCQ40" s="66"/>
      <c r="CCR40" s="66"/>
      <c r="CCS40" s="66"/>
      <c r="CCT40" s="66"/>
      <c r="CCU40" s="66"/>
      <c r="CCV40" s="66"/>
      <c r="CCW40" s="66"/>
      <c r="CCX40" s="66"/>
      <c r="CCY40" s="66"/>
      <c r="CCZ40" s="66"/>
      <c r="CDA40" s="66"/>
      <c r="CDB40" s="66"/>
      <c r="CDC40" s="66"/>
      <c r="CDD40" s="66"/>
      <c r="CDE40" s="66"/>
      <c r="CDF40" s="66"/>
      <c r="CDG40" s="66"/>
      <c r="CDH40" s="66"/>
      <c r="CDI40" s="66"/>
      <c r="CDJ40" s="66"/>
      <c r="CDK40" s="66"/>
      <c r="CDL40" s="66"/>
      <c r="CDM40" s="66"/>
      <c r="CDN40" s="66"/>
      <c r="CDO40" s="66"/>
      <c r="CDP40" s="66"/>
      <c r="CDQ40" s="66"/>
      <c r="CDR40" s="66"/>
      <c r="CDS40" s="66"/>
      <c r="CDT40" s="66"/>
      <c r="CDU40" s="66"/>
      <c r="CDV40" s="66"/>
      <c r="CDW40" s="66"/>
      <c r="CDX40" s="66"/>
      <c r="CDY40" s="66"/>
      <c r="CDZ40" s="66"/>
      <c r="CEA40" s="66"/>
      <c r="CEB40" s="66"/>
      <c r="CEC40" s="66"/>
      <c r="CED40" s="66"/>
      <c r="CEE40" s="66"/>
      <c r="CEF40" s="66"/>
      <c r="CEG40" s="66"/>
      <c r="CEH40" s="66"/>
      <c r="CEI40" s="66"/>
      <c r="CEJ40" s="66"/>
      <c r="CEK40" s="66"/>
      <c r="CEL40" s="66"/>
      <c r="CEM40" s="66"/>
      <c r="CEN40" s="66"/>
      <c r="CEO40" s="66"/>
      <c r="CEP40" s="66"/>
      <c r="CEQ40" s="66"/>
      <c r="CER40" s="66"/>
      <c r="CES40" s="66"/>
      <c r="CET40" s="66"/>
      <c r="CEU40" s="66"/>
      <c r="CEV40" s="66"/>
      <c r="CEW40" s="66"/>
      <c r="CEX40" s="66"/>
      <c r="CEY40" s="66"/>
      <c r="CEZ40" s="66"/>
      <c r="CFA40" s="66"/>
      <c r="CFB40" s="66"/>
      <c r="CFC40" s="66"/>
      <c r="CFD40" s="66"/>
      <c r="CFE40" s="66"/>
      <c r="CFF40" s="66"/>
      <c r="CFG40" s="66"/>
      <c r="CFH40" s="66"/>
      <c r="CFI40" s="66"/>
      <c r="CFJ40" s="66"/>
      <c r="CFK40" s="66"/>
      <c r="CFL40" s="66"/>
      <c r="CFM40" s="66"/>
      <c r="CFN40" s="66"/>
      <c r="CFO40" s="66"/>
      <c r="CFP40" s="66"/>
      <c r="CFQ40" s="66"/>
      <c r="CFR40" s="66"/>
      <c r="CFS40" s="66"/>
      <c r="CFT40" s="66"/>
      <c r="CFU40" s="66"/>
      <c r="CFV40" s="66"/>
      <c r="CFW40" s="66"/>
      <c r="CFX40" s="66"/>
      <c r="CFY40" s="66"/>
      <c r="CFZ40" s="66"/>
      <c r="CGA40" s="66"/>
      <c r="CGB40" s="66"/>
      <c r="CGC40" s="66"/>
      <c r="CGD40" s="66"/>
      <c r="CGE40" s="66"/>
      <c r="CGF40" s="66"/>
      <c r="CGG40" s="66"/>
      <c r="CGH40" s="66"/>
      <c r="CGI40" s="66"/>
      <c r="CGJ40" s="66"/>
      <c r="CGK40" s="66"/>
      <c r="CGL40" s="66"/>
      <c r="CGM40" s="66"/>
      <c r="CGN40" s="66"/>
      <c r="CGO40" s="66"/>
      <c r="CGP40" s="66"/>
      <c r="CGQ40" s="66"/>
      <c r="CGR40" s="66"/>
      <c r="CGS40" s="66"/>
      <c r="CGT40" s="66"/>
      <c r="CGU40" s="66"/>
      <c r="CGV40" s="66"/>
      <c r="CGW40" s="66"/>
      <c r="CGX40" s="66"/>
      <c r="CGY40" s="66"/>
      <c r="CGZ40" s="66"/>
      <c r="CHA40" s="66"/>
      <c r="CHB40" s="66"/>
      <c r="CHC40" s="66"/>
      <c r="CHD40" s="66"/>
      <c r="CHE40" s="66"/>
      <c r="CHF40" s="66"/>
      <c r="CHG40" s="66"/>
      <c r="CHH40" s="66"/>
      <c r="CHI40" s="66"/>
      <c r="CHJ40" s="66"/>
      <c r="CHK40" s="66"/>
      <c r="CHL40" s="66"/>
      <c r="CHM40" s="66"/>
      <c r="CHN40" s="66"/>
      <c r="CHO40" s="66"/>
      <c r="CHP40" s="66"/>
      <c r="CHQ40" s="66"/>
      <c r="CHR40" s="66"/>
      <c r="CHS40" s="66"/>
      <c r="CHT40" s="66"/>
      <c r="CHU40" s="66"/>
      <c r="CHV40" s="66"/>
      <c r="CHW40" s="66"/>
      <c r="CHX40" s="66"/>
      <c r="CHY40" s="66"/>
      <c r="CHZ40" s="66"/>
      <c r="CIA40" s="66"/>
      <c r="CIB40" s="66"/>
      <c r="CIC40" s="66"/>
      <c r="CID40" s="66"/>
      <c r="CIE40" s="66"/>
      <c r="CIF40" s="66"/>
      <c r="CIG40" s="66"/>
      <c r="CIH40" s="66"/>
      <c r="CII40" s="66"/>
      <c r="CIJ40" s="66"/>
      <c r="CIK40" s="66"/>
      <c r="CIL40" s="66"/>
      <c r="CIM40" s="66"/>
      <c r="CIN40" s="66"/>
      <c r="CIO40" s="66"/>
      <c r="CIP40" s="66"/>
      <c r="CIQ40" s="66"/>
      <c r="CIR40" s="66"/>
      <c r="CIS40" s="66"/>
      <c r="CIT40" s="66"/>
      <c r="CIU40" s="66"/>
      <c r="CIV40" s="66"/>
      <c r="CIW40" s="66"/>
      <c r="CIX40" s="66"/>
      <c r="CIY40" s="66"/>
      <c r="CIZ40" s="66"/>
      <c r="CJA40" s="66"/>
      <c r="CJB40" s="66"/>
      <c r="CJC40" s="66"/>
      <c r="CJD40" s="66"/>
      <c r="CJE40" s="66"/>
      <c r="CJF40" s="66"/>
      <c r="CJG40" s="66"/>
      <c r="CJH40" s="66"/>
      <c r="CJI40" s="66"/>
      <c r="CJJ40" s="66"/>
      <c r="CJK40" s="66"/>
      <c r="CJL40" s="66"/>
      <c r="CJM40" s="66"/>
      <c r="CJN40" s="66"/>
      <c r="CJO40" s="66"/>
      <c r="CJP40" s="66"/>
      <c r="CJQ40" s="66"/>
      <c r="CJR40" s="66"/>
      <c r="CJS40" s="66"/>
      <c r="CJT40" s="66"/>
      <c r="CJU40" s="66"/>
      <c r="CJV40" s="66"/>
      <c r="CJW40" s="66"/>
      <c r="CJX40" s="66"/>
      <c r="CJY40" s="66"/>
      <c r="CJZ40" s="66"/>
      <c r="CKA40" s="66"/>
      <c r="CKB40" s="66"/>
      <c r="CKC40" s="66"/>
      <c r="CKD40" s="66"/>
      <c r="CKE40" s="66"/>
      <c r="CKF40" s="66"/>
      <c r="CKG40" s="66"/>
      <c r="CKH40" s="66"/>
      <c r="CKI40" s="66"/>
      <c r="CKJ40" s="66"/>
      <c r="CKK40" s="66"/>
      <c r="CKL40" s="66"/>
      <c r="CKM40" s="66"/>
      <c r="CKN40" s="66"/>
      <c r="CKO40" s="66"/>
      <c r="CKP40" s="66"/>
      <c r="CKQ40" s="66"/>
      <c r="CKR40" s="66"/>
      <c r="CKS40" s="66"/>
      <c r="CKT40" s="66"/>
      <c r="CKU40" s="66"/>
      <c r="CKV40" s="66"/>
      <c r="CKW40" s="66"/>
      <c r="CKX40" s="66"/>
      <c r="CKY40" s="66"/>
      <c r="CKZ40" s="66"/>
      <c r="CLA40" s="66"/>
      <c r="CLB40" s="66"/>
      <c r="CLC40" s="66"/>
      <c r="CLD40" s="66"/>
      <c r="CLE40" s="66"/>
      <c r="CLF40" s="66"/>
      <c r="CLG40" s="66"/>
      <c r="CLH40" s="66"/>
      <c r="CLI40" s="66"/>
      <c r="CLJ40" s="66"/>
      <c r="CLK40" s="66"/>
      <c r="CLL40" s="66"/>
      <c r="CLM40" s="66"/>
      <c r="CLN40" s="66"/>
      <c r="CLO40" s="66"/>
      <c r="CLP40" s="66"/>
      <c r="CLQ40" s="66"/>
      <c r="CLR40" s="66"/>
      <c r="CLS40" s="66"/>
      <c r="CLT40" s="66"/>
      <c r="CLU40" s="66"/>
      <c r="CLV40" s="66"/>
      <c r="CLW40" s="66"/>
      <c r="CLX40" s="66"/>
      <c r="CLY40" s="66"/>
      <c r="CLZ40" s="66"/>
      <c r="CMA40" s="66"/>
      <c r="CMB40" s="66"/>
      <c r="CMC40" s="66"/>
      <c r="CMD40" s="66"/>
      <c r="CME40" s="66"/>
      <c r="CMF40" s="66"/>
      <c r="CMG40" s="66"/>
      <c r="CMH40" s="66"/>
      <c r="CMI40" s="66"/>
      <c r="CMJ40" s="66"/>
      <c r="CMK40" s="66"/>
      <c r="CML40" s="66"/>
      <c r="CMM40" s="66"/>
      <c r="CMN40" s="66"/>
      <c r="CMO40" s="66"/>
      <c r="CMP40" s="66"/>
      <c r="CMQ40" s="66"/>
      <c r="CMR40" s="66"/>
      <c r="CMS40" s="66"/>
      <c r="CMT40" s="66"/>
      <c r="CMU40" s="66"/>
      <c r="CMV40" s="66"/>
      <c r="CMW40" s="66"/>
      <c r="CMX40" s="66"/>
      <c r="CMY40" s="66"/>
      <c r="CMZ40" s="66"/>
      <c r="CNA40" s="66"/>
      <c r="CNB40" s="66"/>
      <c r="CNC40" s="66"/>
      <c r="CND40" s="66"/>
      <c r="CNE40" s="66"/>
      <c r="CNF40" s="66"/>
      <c r="CNG40" s="66"/>
      <c r="CNH40" s="66"/>
      <c r="CNI40" s="66"/>
      <c r="CNJ40" s="66"/>
      <c r="CNK40" s="66"/>
      <c r="CNL40" s="66"/>
      <c r="CNM40" s="66"/>
      <c r="CNN40" s="66"/>
      <c r="CNO40" s="66"/>
      <c r="CNP40" s="66"/>
      <c r="CNQ40" s="66"/>
      <c r="CNR40" s="66"/>
      <c r="CNS40" s="66"/>
      <c r="CNT40" s="66"/>
      <c r="CNU40" s="66"/>
      <c r="CNV40" s="66"/>
      <c r="CNW40" s="66"/>
      <c r="CNX40" s="66"/>
      <c r="CNY40" s="66"/>
      <c r="CNZ40" s="66"/>
      <c r="COA40" s="66"/>
      <c r="COB40" s="66"/>
      <c r="COC40" s="66"/>
      <c r="COD40" s="66"/>
      <c r="COE40" s="66"/>
      <c r="COF40" s="66"/>
      <c r="COG40" s="66"/>
      <c r="COH40" s="66"/>
      <c r="COI40" s="66"/>
      <c r="COJ40" s="66"/>
      <c r="COK40" s="66"/>
      <c r="COL40" s="66"/>
      <c r="COM40" s="66"/>
      <c r="CON40" s="66"/>
      <c r="COO40" s="66"/>
      <c r="COP40" s="66"/>
      <c r="COQ40" s="66"/>
      <c r="COR40" s="66"/>
      <c r="COS40" s="66"/>
      <c r="COT40" s="66"/>
      <c r="COU40" s="66"/>
      <c r="COV40" s="66"/>
      <c r="COW40" s="66"/>
      <c r="COX40" s="66"/>
      <c r="COY40" s="66"/>
      <c r="COZ40" s="66"/>
      <c r="CPA40" s="66"/>
      <c r="CPB40" s="66"/>
      <c r="CPC40" s="66"/>
      <c r="CPD40" s="66"/>
      <c r="CPE40" s="66"/>
      <c r="CPF40" s="66"/>
      <c r="CPG40" s="66"/>
      <c r="CPH40" s="66"/>
      <c r="CPI40" s="66"/>
      <c r="CPJ40" s="66"/>
      <c r="CPK40" s="66"/>
      <c r="CPL40" s="66"/>
      <c r="CPM40" s="66"/>
      <c r="CPN40" s="66"/>
      <c r="CPO40" s="66"/>
      <c r="CPP40" s="66"/>
      <c r="CPQ40" s="66"/>
      <c r="CPR40" s="66"/>
      <c r="CPS40" s="66"/>
      <c r="CPT40" s="66"/>
      <c r="CPU40" s="66"/>
      <c r="CPV40" s="66"/>
      <c r="CPW40" s="66"/>
      <c r="CPX40" s="66"/>
      <c r="CPY40" s="66"/>
      <c r="CPZ40" s="66"/>
      <c r="CQA40" s="66"/>
      <c r="CQB40" s="66"/>
      <c r="CQC40" s="66"/>
      <c r="CQD40" s="66"/>
      <c r="CQE40" s="66"/>
      <c r="CQF40" s="66"/>
      <c r="CQG40" s="66"/>
      <c r="CQH40" s="66"/>
      <c r="CQI40" s="66"/>
      <c r="CQJ40" s="66"/>
      <c r="CQK40" s="66"/>
      <c r="CQL40" s="66"/>
      <c r="CQM40" s="66"/>
      <c r="CQN40" s="66"/>
      <c r="CQO40" s="66"/>
      <c r="CQP40" s="66"/>
      <c r="CQQ40" s="66"/>
      <c r="CQR40" s="66"/>
      <c r="CQS40" s="66"/>
      <c r="CQT40" s="66"/>
      <c r="CQU40" s="66"/>
      <c r="CQV40" s="66"/>
      <c r="CQW40" s="66"/>
      <c r="CQX40" s="66"/>
      <c r="CQY40" s="66"/>
      <c r="CQZ40" s="66"/>
      <c r="CRA40" s="66"/>
      <c r="CRB40" s="66"/>
      <c r="CRC40" s="66"/>
      <c r="CRD40" s="66"/>
      <c r="CRE40" s="66"/>
      <c r="CRF40" s="66"/>
      <c r="CRG40" s="66"/>
      <c r="CRH40" s="66"/>
      <c r="CRI40" s="66"/>
      <c r="CRJ40" s="66"/>
      <c r="CRK40" s="66"/>
      <c r="CRL40" s="66"/>
      <c r="CRM40" s="66"/>
      <c r="CRN40" s="66"/>
      <c r="CRO40" s="66"/>
      <c r="CRP40" s="66"/>
      <c r="CRQ40" s="66"/>
      <c r="CRR40" s="66"/>
      <c r="CRS40" s="66"/>
      <c r="CRT40" s="66"/>
      <c r="CRU40" s="66"/>
      <c r="CRV40" s="66"/>
      <c r="CRW40" s="66"/>
      <c r="CRX40" s="66"/>
      <c r="CRY40" s="66"/>
      <c r="CRZ40" s="66"/>
      <c r="CSA40" s="66"/>
      <c r="CSB40" s="66"/>
      <c r="CSC40" s="66"/>
      <c r="CSD40" s="66"/>
      <c r="CSE40" s="66"/>
      <c r="CSF40" s="66"/>
      <c r="CSG40" s="66"/>
      <c r="CSH40" s="66"/>
      <c r="CSI40" s="66"/>
      <c r="CSJ40" s="66"/>
      <c r="CSK40" s="66"/>
      <c r="CSL40" s="66"/>
      <c r="CSM40" s="66"/>
      <c r="CSN40" s="66"/>
      <c r="CSO40" s="66"/>
      <c r="CSP40" s="66"/>
      <c r="CSQ40" s="66"/>
      <c r="CSR40" s="66"/>
      <c r="CSS40" s="66"/>
      <c r="CST40" s="66"/>
      <c r="CSU40" s="66"/>
      <c r="CSV40" s="66"/>
      <c r="CSW40" s="66"/>
      <c r="CSX40" s="66"/>
      <c r="CSY40" s="66"/>
      <c r="CSZ40" s="66"/>
      <c r="CTA40" s="66"/>
      <c r="CTB40" s="66"/>
      <c r="CTC40" s="66"/>
      <c r="CTD40" s="66"/>
      <c r="CTE40" s="66"/>
      <c r="CTF40" s="66"/>
      <c r="CTG40" s="66"/>
      <c r="CTH40" s="66"/>
      <c r="CTI40" s="66"/>
      <c r="CTJ40" s="66"/>
      <c r="CTK40" s="66"/>
      <c r="CTL40" s="66"/>
      <c r="CTM40" s="66"/>
      <c r="CTN40" s="66"/>
      <c r="CTO40" s="66"/>
      <c r="CTP40" s="66"/>
      <c r="CTQ40" s="66"/>
      <c r="CTR40" s="66"/>
      <c r="CTS40" s="66"/>
      <c r="CTT40" s="66"/>
      <c r="CTU40" s="66"/>
      <c r="CTV40" s="66"/>
      <c r="CTW40" s="66"/>
      <c r="CTX40" s="66"/>
      <c r="CTY40" s="66"/>
      <c r="CTZ40" s="66"/>
      <c r="CUA40" s="66"/>
      <c r="CUB40" s="66"/>
      <c r="CUC40" s="66"/>
      <c r="CUD40" s="66"/>
      <c r="CUE40" s="66"/>
      <c r="CUF40" s="66"/>
      <c r="CUG40" s="66"/>
      <c r="CUH40" s="66"/>
      <c r="CUI40" s="66"/>
      <c r="CUJ40" s="66"/>
      <c r="CUK40" s="66"/>
      <c r="CUL40" s="66"/>
      <c r="CUM40" s="66"/>
      <c r="CUN40" s="66"/>
      <c r="CUO40" s="66"/>
      <c r="CUP40" s="66"/>
      <c r="CUQ40" s="66"/>
      <c r="CUR40" s="66"/>
      <c r="CUS40" s="66"/>
      <c r="CUT40" s="66"/>
      <c r="CUU40" s="66"/>
      <c r="CUV40" s="66"/>
      <c r="CUW40" s="66"/>
      <c r="CUX40" s="66"/>
      <c r="CUY40" s="66"/>
      <c r="CUZ40" s="66"/>
      <c r="CVA40" s="66"/>
      <c r="CVB40" s="66"/>
      <c r="CVC40" s="66"/>
      <c r="CVD40" s="66"/>
      <c r="CVE40" s="66"/>
      <c r="CVF40" s="66"/>
      <c r="CVG40" s="66"/>
      <c r="CVH40" s="66"/>
      <c r="CVI40" s="66"/>
      <c r="CVJ40" s="66"/>
      <c r="CVK40" s="66"/>
      <c r="CVL40" s="66"/>
      <c r="CVM40" s="66"/>
      <c r="CVN40" s="66"/>
      <c r="CVO40" s="66"/>
      <c r="CVP40" s="66"/>
      <c r="CVQ40" s="66"/>
      <c r="CVR40" s="66"/>
      <c r="CVS40" s="66"/>
      <c r="CVT40" s="66"/>
      <c r="CVU40" s="66"/>
      <c r="CVV40" s="66"/>
      <c r="CVW40" s="66"/>
      <c r="CVX40" s="66"/>
      <c r="CVY40" s="66"/>
      <c r="CVZ40" s="66"/>
      <c r="CWA40" s="66"/>
      <c r="CWB40" s="66"/>
      <c r="CWC40" s="66"/>
      <c r="CWD40" s="66"/>
      <c r="CWE40" s="66"/>
      <c r="CWF40" s="66"/>
      <c r="CWG40" s="66"/>
      <c r="CWH40" s="66"/>
      <c r="CWI40" s="66"/>
      <c r="CWJ40" s="66"/>
      <c r="CWK40" s="66"/>
      <c r="CWL40" s="66"/>
      <c r="CWM40" s="66"/>
      <c r="CWN40" s="66"/>
      <c r="CWO40" s="66"/>
      <c r="CWP40" s="66"/>
      <c r="CWQ40" s="66"/>
      <c r="CWR40" s="66"/>
      <c r="CWS40" s="66"/>
      <c r="CWT40" s="66"/>
      <c r="CWU40" s="66"/>
      <c r="CWV40" s="66"/>
      <c r="CWW40" s="66"/>
      <c r="CWX40" s="66"/>
      <c r="CWY40" s="66"/>
      <c r="CWZ40" s="66"/>
      <c r="CXA40" s="66"/>
      <c r="CXB40" s="66"/>
      <c r="CXC40" s="66"/>
      <c r="CXD40" s="66"/>
      <c r="CXE40" s="66"/>
      <c r="CXF40" s="66"/>
      <c r="CXG40" s="66"/>
      <c r="CXH40" s="66"/>
      <c r="CXI40" s="66"/>
      <c r="CXJ40" s="66"/>
      <c r="CXK40" s="66"/>
      <c r="CXL40" s="66"/>
      <c r="CXM40" s="66"/>
      <c r="CXN40" s="66"/>
      <c r="CXO40" s="66"/>
      <c r="CXP40" s="66"/>
      <c r="CXQ40" s="66"/>
      <c r="CXR40" s="66"/>
      <c r="CXS40" s="66"/>
      <c r="CXT40" s="66"/>
      <c r="CXU40" s="66"/>
      <c r="CXV40" s="66"/>
      <c r="CXW40" s="66"/>
      <c r="CXX40" s="66"/>
      <c r="CXY40" s="66"/>
      <c r="CXZ40" s="66"/>
      <c r="CYA40" s="66"/>
      <c r="CYB40" s="66"/>
      <c r="CYC40" s="66"/>
      <c r="CYD40" s="66"/>
      <c r="CYE40" s="66"/>
      <c r="CYF40" s="66"/>
      <c r="CYG40" s="66"/>
      <c r="CYH40" s="66"/>
      <c r="CYI40" s="66"/>
      <c r="CYJ40" s="66"/>
      <c r="CYK40" s="66"/>
      <c r="CYL40" s="66"/>
      <c r="CYM40" s="66"/>
      <c r="CYN40" s="66"/>
      <c r="CYO40" s="66"/>
      <c r="CYP40" s="66"/>
      <c r="CYQ40" s="66"/>
      <c r="CYR40" s="66"/>
      <c r="CYS40" s="66"/>
      <c r="CYT40" s="66"/>
      <c r="CYU40" s="66"/>
      <c r="CYV40" s="66"/>
      <c r="CYW40" s="66"/>
      <c r="CYX40" s="66"/>
      <c r="CYY40" s="66"/>
      <c r="CYZ40" s="66"/>
      <c r="CZA40" s="66"/>
      <c r="CZB40" s="66"/>
      <c r="CZC40" s="66"/>
      <c r="CZD40" s="66"/>
      <c r="CZE40" s="66"/>
      <c r="CZF40" s="66"/>
      <c r="CZG40" s="66"/>
      <c r="CZH40" s="66"/>
      <c r="CZI40" s="66"/>
      <c r="CZJ40" s="66"/>
      <c r="CZK40" s="66"/>
      <c r="CZL40" s="66"/>
      <c r="CZM40" s="66"/>
      <c r="CZN40" s="66"/>
      <c r="CZO40" s="66"/>
      <c r="CZP40" s="66"/>
      <c r="CZQ40" s="66"/>
      <c r="CZR40" s="66"/>
      <c r="CZS40" s="66"/>
      <c r="CZT40" s="66"/>
      <c r="CZU40" s="66"/>
      <c r="CZV40" s="66"/>
      <c r="CZW40" s="66"/>
      <c r="CZX40" s="66"/>
      <c r="CZY40" s="66"/>
      <c r="CZZ40" s="66"/>
      <c r="DAA40" s="66"/>
      <c r="DAB40" s="66"/>
      <c r="DAC40" s="66"/>
      <c r="DAD40" s="66"/>
      <c r="DAE40" s="66"/>
      <c r="DAF40" s="66"/>
      <c r="DAG40" s="66"/>
      <c r="DAH40" s="66"/>
      <c r="DAI40" s="66"/>
      <c r="DAJ40" s="66"/>
      <c r="DAK40" s="66"/>
      <c r="DAL40" s="66"/>
      <c r="DAM40" s="66"/>
      <c r="DAN40" s="66"/>
      <c r="DAO40" s="66"/>
      <c r="DAP40" s="66"/>
      <c r="DAQ40" s="66"/>
      <c r="DAR40" s="66"/>
      <c r="DAS40" s="66"/>
      <c r="DAT40" s="66"/>
      <c r="DAU40" s="66"/>
      <c r="DAV40" s="66"/>
      <c r="DAW40" s="66"/>
      <c r="DAX40" s="66"/>
      <c r="DAY40" s="66"/>
      <c r="DAZ40" s="66"/>
      <c r="DBA40" s="66"/>
      <c r="DBB40" s="66"/>
      <c r="DBC40" s="66"/>
      <c r="DBD40" s="66"/>
      <c r="DBE40" s="66"/>
      <c r="DBF40" s="66"/>
      <c r="DBG40" s="66"/>
      <c r="DBH40" s="66"/>
      <c r="DBI40" s="66"/>
      <c r="DBJ40" s="66"/>
      <c r="DBK40" s="66"/>
      <c r="DBL40" s="66"/>
      <c r="DBM40" s="66"/>
      <c r="DBN40" s="66"/>
      <c r="DBO40" s="66"/>
      <c r="DBP40" s="66"/>
      <c r="DBQ40" s="66"/>
      <c r="DBR40" s="66"/>
      <c r="DBS40" s="66"/>
      <c r="DBT40" s="66"/>
      <c r="DBU40" s="66"/>
      <c r="DBV40" s="66"/>
      <c r="DBW40" s="66"/>
      <c r="DBX40" s="66"/>
      <c r="DBY40" s="66"/>
      <c r="DBZ40" s="66"/>
      <c r="DCA40" s="66"/>
      <c r="DCB40" s="66"/>
      <c r="DCC40" s="66"/>
      <c r="DCD40" s="66"/>
      <c r="DCE40" s="66"/>
      <c r="DCF40" s="66"/>
      <c r="DCG40" s="66"/>
      <c r="DCH40" s="66"/>
      <c r="DCI40" s="66"/>
      <c r="DCJ40" s="66"/>
      <c r="DCK40" s="66"/>
      <c r="DCL40" s="66"/>
      <c r="DCM40" s="66"/>
      <c r="DCN40" s="66"/>
      <c r="DCO40" s="66"/>
      <c r="DCP40" s="66"/>
      <c r="DCQ40" s="66"/>
      <c r="DCR40" s="66"/>
      <c r="DCS40" s="66"/>
      <c r="DCT40" s="66"/>
      <c r="DCU40" s="66"/>
      <c r="DCV40" s="66"/>
      <c r="DCW40" s="66"/>
      <c r="DCX40" s="66"/>
      <c r="DCY40" s="66"/>
      <c r="DCZ40" s="66"/>
      <c r="DDA40" s="66"/>
      <c r="DDB40" s="66"/>
      <c r="DDC40" s="66"/>
      <c r="DDD40" s="66"/>
      <c r="DDE40" s="66"/>
      <c r="DDF40" s="66"/>
      <c r="DDG40" s="66"/>
      <c r="DDH40" s="66"/>
      <c r="DDI40" s="66"/>
      <c r="DDJ40" s="66"/>
      <c r="DDK40" s="66"/>
      <c r="DDL40" s="66"/>
      <c r="DDM40" s="66"/>
      <c r="DDN40" s="66"/>
      <c r="DDO40" s="66"/>
      <c r="DDP40" s="66"/>
      <c r="DDQ40" s="66"/>
      <c r="DDR40" s="66"/>
      <c r="DDS40" s="66"/>
      <c r="DDT40" s="66"/>
      <c r="DDU40" s="66"/>
      <c r="DDV40" s="66"/>
      <c r="DDW40" s="66"/>
      <c r="DDX40" s="66"/>
      <c r="DDY40" s="66"/>
      <c r="DDZ40" s="66"/>
      <c r="DEA40" s="66"/>
      <c r="DEB40" s="66"/>
      <c r="DEC40" s="66"/>
      <c r="DED40" s="66"/>
      <c r="DEE40" s="66"/>
      <c r="DEF40" s="66"/>
      <c r="DEG40" s="66"/>
      <c r="DEH40" s="66"/>
      <c r="DEI40" s="66"/>
      <c r="DEJ40" s="66"/>
      <c r="DEK40" s="66"/>
      <c r="DEL40" s="66"/>
      <c r="DEM40" s="66"/>
      <c r="DEN40" s="66"/>
      <c r="DEO40" s="66"/>
      <c r="DEP40" s="66"/>
      <c r="DEQ40" s="66"/>
      <c r="DER40" s="66"/>
      <c r="DES40" s="66"/>
      <c r="DET40" s="66"/>
      <c r="DEU40" s="66"/>
      <c r="DEV40" s="66"/>
      <c r="DEW40" s="66"/>
      <c r="DEX40" s="66"/>
      <c r="DEY40" s="66"/>
      <c r="DEZ40" s="66"/>
      <c r="DFA40" s="66"/>
      <c r="DFB40" s="66"/>
      <c r="DFC40" s="66"/>
      <c r="DFD40" s="66"/>
      <c r="DFE40" s="66"/>
      <c r="DFF40" s="66"/>
      <c r="DFG40" s="66"/>
      <c r="DFH40" s="66"/>
      <c r="DFI40" s="66"/>
      <c r="DFJ40" s="66"/>
      <c r="DFK40" s="66"/>
      <c r="DFL40" s="66"/>
      <c r="DFM40" s="66"/>
      <c r="DFN40" s="66"/>
      <c r="DFO40" s="66"/>
      <c r="DFP40" s="66"/>
      <c r="DFQ40" s="66"/>
      <c r="DFR40" s="66"/>
      <c r="DFS40" s="66"/>
      <c r="DFT40" s="66"/>
      <c r="DFU40" s="66"/>
      <c r="DFV40" s="66"/>
      <c r="DFW40" s="66"/>
      <c r="DFX40" s="66"/>
      <c r="DFY40" s="66"/>
      <c r="DFZ40" s="66"/>
      <c r="DGA40" s="66"/>
      <c r="DGB40" s="66"/>
      <c r="DGC40" s="66"/>
      <c r="DGD40" s="66"/>
      <c r="DGE40" s="66"/>
      <c r="DGF40" s="66"/>
      <c r="DGG40" s="66"/>
      <c r="DGH40" s="66"/>
      <c r="DGI40" s="66"/>
      <c r="DGJ40" s="66"/>
      <c r="DGK40" s="66"/>
      <c r="DGL40" s="66"/>
      <c r="DGM40" s="66"/>
      <c r="DGN40" s="66"/>
      <c r="DGO40" s="66"/>
      <c r="DGP40" s="66"/>
      <c r="DGQ40" s="66"/>
      <c r="DGR40" s="66"/>
      <c r="DGS40" s="66"/>
      <c r="DGT40" s="66"/>
      <c r="DGU40" s="66"/>
      <c r="DGV40" s="66"/>
      <c r="DGW40" s="66"/>
      <c r="DGX40" s="66"/>
      <c r="DGY40" s="66"/>
      <c r="DGZ40" s="66"/>
      <c r="DHA40" s="66"/>
      <c r="DHB40" s="66"/>
      <c r="DHC40" s="66"/>
      <c r="DHD40" s="66"/>
      <c r="DHE40" s="66"/>
      <c r="DHF40" s="66"/>
      <c r="DHG40" s="66"/>
      <c r="DHH40" s="66"/>
      <c r="DHI40" s="66"/>
      <c r="DHJ40" s="66"/>
      <c r="DHK40" s="66"/>
      <c r="DHL40" s="66"/>
      <c r="DHM40" s="66"/>
      <c r="DHN40" s="66"/>
      <c r="DHO40" s="66"/>
      <c r="DHP40" s="66"/>
      <c r="DHQ40" s="66"/>
      <c r="DHR40" s="66"/>
      <c r="DHS40" s="66"/>
      <c r="DHT40" s="66"/>
      <c r="DHU40" s="66"/>
      <c r="DHV40" s="66"/>
      <c r="DHW40" s="66"/>
      <c r="DHX40" s="66"/>
      <c r="DHY40" s="66"/>
      <c r="DHZ40" s="66"/>
      <c r="DIA40" s="66"/>
      <c r="DIB40" s="66"/>
      <c r="DIC40" s="66"/>
      <c r="DID40" s="66"/>
      <c r="DIE40" s="66"/>
      <c r="DIF40" s="66"/>
      <c r="DIG40" s="66"/>
      <c r="DIH40" s="66"/>
      <c r="DII40" s="66"/>
      <c r="DIJ40" s="66"/>
      <c r="DIK40" s="66"/>
      <c r="DIL40" s="66"/>
      <c r="DIM40" s="66"/>
      <c r="DIN40" s="66"/>
      <c r="DIO40" s="66"/>
      <c r="DIP40" s="66"/>
      <c r="DIQ40" s="66"/>
      <c r="DIR40" s="66"/>
      <c r="DIS40" s="66"/>
      <c r="DIT40" s="66"/>
      <c r="DIU40" s="66"/>
      <c r="DIV40" s="66"/>
      <c r="DIW40" s="66"/>
      <c r="DIX40" s="66"/>
      <c r="DIY40" s="66"/>
      <c r="DIZ40" s="66"/>
      <c r="DJA40" s="66"/>
      <c r="DJB40" s="66"/>
      <c r="DJC40" s="66"/>
      <c r="DJD40" s="66"/>
      <c r="DJE40" s="66"/>
      <c r="DJF40" s="66"/>
      <c r="DJG40" s="66"/>
      <c r="DJH40" s="66"/>
      <c r="DJI40" s="66"/>
      <c r="DJJ40" s="66"/>
      <c r="DJK40" s="66"/>
      <c r="DJL40" s="66"/>
      <c r="DJM40" s="66"/>
      <c r="DJN40" s="66"/>
      <c r="DJO40" s="66"/>
      <c r="DJP40" s="66"/>
      <c r="DJQ40" s="66"/>
      <c r="DJR40" s="66"/>
      <c r="DJS40" s="66"/>
      <c r="DJT40" s="66"/>
      <c r="DJU40" s="66"/>
      <c r="DJV40" s="66"/>
      <c r="DJW40" s="66"/>
      <c r="DJX40" s="66"/>
      <c r="DJY40" s="66"/>
      <c r="DJZ40" s="66"/>
      <c r="DKA40" s="66"/>
      <c r="DKB40" s="66"/>
      <c r="DKC40" s="66"/>
      <c r="DKD40" s="66"/>
      <c r="DKE40" s="66"/>
      <c r="DKF40" s="66"/>
      <c r="DKG40" s="66"/>
      <c r="DKH40" s="66"/>
      <c r="DKI40" s="66"/>
      <c r="DKJ40" s="66"/>
      <c r="DKK40" s="66"/>
      <c r="DKL40" s="66"/>
      <c r="DKM40" s="66"/>
      <c r="DKN40" s="66"/>
      <c r="DKO40" s="66"/>
      <c r="DKP40" s="66"/>
      <c r="DKQ40" s="66"/>
      <c r="DKR40" s="66"/>
      <c r="DKS40" s="66"/>
      <c r="DKT40" s="66"/>
      <c r="DKU40" s="66"/>
      <c r="DKV40" s="66"/>
      <c r="DKW40" s="66"/>
      <c r="DKX40" s="66"/>
      <c r="DKY40" s="66"/>
      <c r="DKZ40" s="66"/>
      <c r="DLA40" s="66"/>
      <c r="DLB40" s="66"/>
      <c r="DLC40" s="66"/>
      <c r="DLD40" s="66"/>
      <c r="DLE40" s="66"/>
      <c r="DLF40" s="66"/>
      <c r="DLG40" s="66"/>
      <c r="DLH40" s="66"/>
      <c r="DLI40" s="66"/>
      <c r="DLJ40" s="66"/>
      <c r="DLK40" s="66"/>
      <c r="DLL40" s="66"/>
      <c r="DLM40" s="66"/>
      <c r="DLN40" s="66"/>
      <c r="DLO40" s="66"/>
      <c r="DLP40" s="66"/>
      <c r="DLQ40" s="66"/>
      <c r="DLR40" s="66"/>
      <c r="DLS40" s="66"/>
      <c r="DLT40" s="66"/>
      <c r="DLU40" s="66"/>
      <c r="DLV40" s="66"/>
      <c r="DLW40" s="66"/>
      <c r="DLX40" s="66"/>
      <c r="DLY40" s="66"/>
      <c r="DLZ40" s="66"/>
      <c r="DMA40" s="66"/>
      <c r="DMB40" s="66"/>
      <c r="DMC40" s="66"/>
      <c r="DMD40" s="66"/>
      <c r="DME40" s="66"/>
      <c r="DMF40" s="66"/>
      <c r="DMG40" s="66"/>
      <c r="DMH40" s="66"/>
      <c r="DMI40" s="66"/>
      <c r="DMJ40" s="66"/>
      <c r="DMK40" s="66"/>
      <c r="DML40" s="66"/>
      <c r="DMM40" s="66"/>
      <c r="DMN40" s="66"/>
      <c r="DMO40" s="66"/>
      <c r="DMP40" s="66"/>
      <c r="DMQ40" s="66"/>
      <c r="DMR40" s="66"/>
      <c r="DMS40" s="66"/>
      <c r="DMT40" s="66"/>
      <c r="DMU40" s="66"/>
      <c r="DMV40" s="66"/>
      <c r="DMW40" s="66"/>
      <c r="DMX40" s="66"/>
      <c r="DMY40" s="66"/>
      <c r="DMZ40" s="66"/>
      <c r="DNA40" s="66"/>
      <c r="DNB40" s="66"/>
      <c r="DNC40" s="66"/>
      <c r="DND40" s="66"/>
      <c r="DNE40" s="66"/>
      <c r="DNF40" s="66"/>
      <c r="DNG40" s="66"/>
      <c r="DNH40" s="66"/>
      <c r="DNI40" s="66"/>
      <c r="DNJ40" s="66"/>
      <c r="DNK40" s="66"/>
      <c r="DNL40" s="66"/>
      <c r="DNM40" s="66"/>
      <c r="DNN40" s="66"/>
      <c r="DNO40" s="66"/>
      <c r="DNP40" s="66"/>
      <c r="DNQ40" s="66"/>
      <c r="DNR40" s="66"/>
      <c r="DNS40" s="66"/>
      <c r="DNT40" s="66"/>
      <c r="DNU40" s="66"/>
      <c r="DNV40" s="66"/>
      <c r="DNW40" s="66"/>
      <c r="DNX40" s="66"/>
      <c r="DNY40" s="66"/>
      <c r="DNZ40" s="66"/>
      <c r="DOA40" s="66"/>
      <c r="DOB40" s="66"/>
      <c r="DOC40" s="66"/>
      <c r="DOD40" s="66"/>
      <c r="DOE40" s="66"/>
      <c r="DOF40" s="66"/>
      <c r="DOG40" s="66"/>
      <c r="DOH40" s="66"/>
      <c r="DOI40" s="66"/>
      <c r="DOJ40" s="66"/>
      <c r="DOK40" s="66"/>
      <c r="DOL40" s="66"/>
      <c r="DOM40" s="66"/>
      <c r="DON40" s="66"/>
      <c r="DOO40" s="66"/>
      <c r="DOP40" s="66"/>
      <c r="DOQ40" s="66"/>
      <c r="DOR40" s="66"/>
      <c r="DOS40" s="66"/>
      <c r="DOT40" s="66"/>
      <c r="DOU40" s="66"/>
      <c r="DOV40" s="66"/>
      <c r="DOW40" s="66"/>
      <c r="DOX40" s="66"/>
      <c r="DOY40" s="66"/>
      <c r="DOZ40" s="66"/>
      <c r="DPA40" s="66"/>
      <c r="DPB40" s="66"/>
      <c r="DPC40" s="66"/>
      <c r="DPD40" s="66"/>
      <c r="DPE40" s="66"/>
      <c r="DPF40" s="66"/>
      <c r="DPG40" s="66"/>
      <c r="DPH40" s="66"/>
      <c r="DPI40" s="66"/>
      <c r="DPJ40" s="66"/>
      <c r="DPK40" s="66"/>
      <c r="DPL40" s="66"/>
      <c r="DPM40" s="66"/>
      <c r="DPN40" s="66"/>
      <c r="DPO40" s="66"/>
      <c r="DPP40" s="66"/>
      <c r="DPQ40" s="66"/>
      <c r="DPR40" s="66"/>
      <c r="DPS40" s="66"/>
      <c r="DPT40" s="66"/>
      <c r="DPU40" s="66"/>
      <c r="DPV40" s="66"/>
      <c r="DPW40" s="66"/>
      <c r="DPX40" s="66"/>
      <c r="DPY40" s="66"/>
      <c r="DPZ40" s="66"/>
      <c r="DQA40" s="66"/>
      <c r="DQB40" s="66"/>
      <c r="DQC40" s="66"/>
      <c r="DQD40" s="66"/>
      <c r="DQE40" s="66"/>
      <c r="DQF40" s="66"/>
      <c r="DQG40" s="66"/>
      <c r="DQH40" s="66"/>
      <c r="DQI40" s="66"/>
      <c r="DQJ40" s="66"/>
      <c r="DQK40" s="66"/>
      <c r="DQL40" s="66"/>
      <c r="DQM40" s="66"/>
      <c r="DQN40" s="66"/>
      <c r="DQO40" s="66"/>
      <c r="DQP40" s="66"/>
      <c r="DQQ40" s="66"/>
      <c r="DQR40" s="66"/>
      <c r="DQS40" s="66"/>
      <c r="DQT40" s="66"/>
      <c r="DQU40" s="66"/>
      <c r="DQV40" s="66"/>
      <c r="DQW40" s="66"/>
      <c r="DQX40" s="66"/>
      <c r="DQY40" s="66"/>
      <c r="DQZ40" s="66"/>
      <c r="DRA40" s="66"/>
      <c r="DRB40" s="66"/>
      <c r="DRC40" s="66"/>
      <c r="DRD40" s="66"/>
      <c r="DRE40" s="66"/>
      <c r="DRF40" s="66"/>
      <c r="DRG40" s="66"/>
      <c r="DRH40" s="66"/>
      <c r="DRI40" s="66"/>
      <c r="DRJ40" s="66"/>
      <c r="DRK40" s="66"/>
      <c r="DRL40" s="66"/>
      <c r="DRM40" s="66"/>
      <c r="DRN40" s="66"/>
      <c r="DRO40" s="66"/>
      <c r="DRP40" s="66"/>
      <c r="DRQ40" s="66"/>
      <c r="DRR40" s="66"/>
      <c r="DRS40" s="66"/>
      <c r="DRT40" s="66"/>
      <c r="DRU40" s="66"/>
      <c r="DRV40" s="66"/>
      <c r="DRW40" s="66"/>
      <c r="DRX40" s="66"/>
      <c r="DRY40" s="66"/>
      <c r="DRZ40" s="66"/>
      <c r="DSA40" s="66"/>
      <c r="DSB40" s="66"/>
      <c r="DSC40" s="66"/>
      <c r="DSD40" s="66"/>
      <c r="DSE40" s="66"/>
      <c r="DSF40" s="66"/>
      <c r="DSG40" s="66"/>
      <c r="DSH40" s="66"/>
      <c r="DSI40" s="66"/>
      <c r="DSJ40" s="66"/>
      <c r="DSK40" s="66"/>
      <c r="DSL40" s="66"/>
      <c r="DSM40" s="66"/>
      <c r="DSN40" s="66"/>
      <c r="DSO40" s="66"/>
      <c r="DSP40" s="66"/>
      <c r="DSQ40" s="66"/>
      <c r="DSR40" s="66"/>
      <c r="DSS40" s="66"/>
      <c r="DST40" s="66"/>
      <c r="DSU40" s="66"/>
      <c r="DSV40" s="66"/>
      <c r="DSW40" s="66"/>
      <c r="DSX40" s="66"/>
      <c r="DSY40" s="66"/>
      <c r="DSZ40" s="66"/>
      <c r="DTA40" s="66"/>
      <c r="DTB40" s="66"/>
      <c r="DTC40" s="66"/>
      <c r="DTD40" s="66"/>
      <c r="DTE40" s="66"/>
      <c r="DTF40" s="66"/>
      <c r="DTG40" s="66"/>
      <c r="DTH40" s="66"/>
      <c r="DTI40" s="66"/>
      <c r="DTJ40" s="66"/>
      <c r="DTK40" s="66"/>
      <c r="DTL40" s="66"/>
      <c r="DTM40" s="66"/>
      <c r="DTN40" s="66"/>
      <c r="DTO40" s="66"/>
      <c r="DTP40" s="66"/>
      <c r="DTQ40" s="66"/>
      <c r="DTR40" s="66"/>
      <c r="DTS40" s="66"/>
      <c r="DTT40" s="66"/>
      <c r="DTU40" s="66"/>
      <c r="DTV40" s="66"/>
      <c r="DTW40" s="66"/>
      <c r="DTX40" s="66"/>
      <c r="DTY40" s="66"/>
      <c r="DTZ40" s="66"/>
      <c r="DUA40" s="66"/>
      <c r="DUB40" s="66"/>
      <c r="DUC40" s="66"/>
      <c r="DUD40" s="66"/>
      <c r="DUE40" s="66"/>
      <c r="DUF40" s="66"/>
      <c r="DUG40" s="66"/>
      <c r="DUH40" s="66"/>
      <c r="DUI40" s="66"/>
      <c r="DUJ40" s="66"/>
      <c r="DUK40" s="66"/>
      <c r="DUL40" s="66"/>
      <c r="DUM40" s="66"/>
      <c r="DUN40" s="66"/>
      <c r="DUO40" s="66"/>
      <c r="DUP40" s="66"/>
      <c r="DUQ40" s="66"/>
      <c r="DUR40" s="66"/>
      <c r="DUS40" s="66"/>
      <c r="DUT40" s="66"/>
      <c r="DUU40" s="66"/>
      <c r="DUV40" s="66"/>
      <c r="DUW40" s="66"/>
      <c r="DUX40" s="66"/>
      <c r="DUY40" s="66"/>
      <c r="DUZ40" s="66"/>
      <c r="DVA40" s="66"/>
      <c r="DVB40" s="66"/>
      <c r="DVC40" s="66"/>
      <c r="DVD40" s="66"/>
      <c r="DVE40" s="66"/>
      <c r="DVF40" s="66"/>
      <c r="DVG40" s="66"/>
      <c r="DVH40" s="66"/>
      <c r="DVI40" s="66"/>
      <c r="DVJ40" s="66"/>
      <c r="DVK40" s="66"/>
      <c r="DVL40" s="66"/>
      <c r="DVM40" s="66"/>
      <c r="DVN40" s="66"/>
      <c r="DVO40" s="66"/>
      <c r="DVP40" s="66"/>
      <c r="DVQ40" s="66"/>
      <c r="DVR40" s="66"/>
      <c r="DVS40" s="66"/>
      <c r="DVT40" s="66"/>
      <c r="DVU40" s="66"/>
      <c r="DVV40" s="66"/>
      <c r="DVW40" s="66"/>
      <c r="DVX40" s="66"/>
      <c r="DVY40" s="66"/>
      <c r="DVZ40" s="66"/>
      <c r="DWA40" s="66"/>
      <c r="DWB40" s="66"/>
      <c r="DWC40" s="66"/>
      <c r="DWD40" s="66"/>
      <c r="DWE40" s="66"/>
      <c r="DWF40" s="66"/>
      <c r="DWG40" s="66"/>
      <c r="DWH40" s="66"/>
      <c r="DWI40" s="66"/>
      <c r="DWJ40" s="66"/>
      <c r="DWK40" s="66"/>
      <c r="DWL40" s="66"/>
      <c r="DWM40" s="66"/>
      <c r="DWN40" s="66"/>
      <c r="DWO40" s="66"/>
      <c r="DWP40" s="66"/>
      <c r="DWQ40" s="66"/>
      <c r="DWR40" s="66"/>
      <c r="DWS40" s="66"/>
      <c r="DWT40" s="66"/>
      <c r="DWU40" s="66"/>
      <c r="DWV40" s="66"/>
      <c r="DWW40" s="66"/>
      <c r="DWX40" s="66"/>
      <c r="DWY40" s="66"/>
      <c r="DWZ40" s="66"/>
      <c r="DXA40" s="66"/>
      <c r="DXB40" s="66"/>
      <c r="DXC40" s="66"/>
      <c r="DXD40" s="66"/>
      <c r="DXE40" s="66"/>
      <c r="DXF40" s="66"/>
      <c r="DXG40" s="66"/>
      <c r="DXH40" s="66"/>
      <c r="DXI40" s="66"/>
      <c r="DXJ40" s="66"/>
      <c r="DXK40" s="66"/>
      <c r="DXL40" s="66"/>
      <c r="DXM40" s="66"/>
      <c r="DXN40" s="66"/>
      <c r="DXO40" s="66"/>
      <c r="DXP40" s="66"/>
      <c r="DXQ40" s="66"/>
      <c r="DXR40" s="66"/>
      <c r="DXS40" s="66"/>
      <c r="DXT40" s="66"/>
      <c r="DXU40" s="66"/>
      <c r="DXV40" s="66"/>
      <c r="DXW40" s="66"/>
      <c r="DXX40" s="66"/>
      <c r="DXY40" s="66"/>
      <c r="DXZ40" s="66"/>
      <c r="DYA40" s="66"/>
      <c r="DYB40" s="66"/>
      <c r="DYC40" s="66"/>
      <c r="DYD40" s="66"/>
      <c r="DYE40" s="66"/>
      <c r="DYF40" s="66"/>
      <c r="DYG40" s="66"/>
      <c r="DYH40" s="66"/>
      <c r="DYI40" s="66"/>
      <c r="DYJ40" s="66"/>
      <c r="DYK40" s="66"/>
      <c r="DYL40" s="66"/>
      <c r="DYM40" s="66"/>
      <c r="DYN40" s="66"/>
      <c r="DYO40" s="66"/>
      <c r="DYP40" s="66"/>
      <c r="DYQ40" s="66"/>
      <c r="DYR40" s="66"/>
      <c r="DYS40" s="66"/>
      <c r="DYT40" s="66"/>
      <c r="DYU40" s="66"/>
      <c r="DYV40" s="66"/>
      <c r="DYW40" s="66"/>
      <c r="DYX40" s="66"/>
      <c r="DYY40" s="66"/>
      <c r="DYZ40" s="66"/>
      <c r="DZA40" s="66"/>
      <c r="DZB40" s="66"/>
      <c r="DZC40" s="66"/>
      <c r="DZD40" s="66"/>
      <c r="DZE40" s="66"/>
      <c r="DZF40" s="66"/>
      <c r="DZG40" s="66"/>
      <c r="DZH40" s="66"/>
      <c r="DZI40" s="66"/>
      <c r="DZJ40" s="66"/>
      <c r="DZK40" s="66"/>
      <c r="DZL40" s="66"/>
      <c r="DZM40" s="66"/>
      <c r="DZN40" s="66"/>
      <c r="DZO40" s="66"/>
      <c r="DZP40" s="66"/>
      <c r="DZQ40" s="66"/>
      <c r="DZR40" s="66"/>
      <c r="DZS40" s="66"/>
      <c r="DZT40" s="66"/>
      <c r="DZU40" s="66"/>
      <c r="DZV40" s="66"/>
      <c r="DZW40" s="66"/>
      <c r="DZX40" s="66"/>
      <c r="DZY40" s="66"/>
      <c r="DZZ40" s="66"/>
      <c r="EAA40" s="66"/>
      <c r="EAB40" s="66"/>
      <c r="EAC40" s="66"/>
      <c r="EAD40" s="66"/>
      <c r="EAE40" s="66"/>
      <c r="EAF40" s="66"/>
      <c r="EAG40" s="66"/>
      <c r="EAH40" s="66"/>
      <c r="EAI40" s="66"/>
      <c r="EAJ40" s="66"/>
      <c r="EAK40" s="66"/>
      <c r="EAL40" s="66"/>
      <c r="EAM40" s="66"/>
      <c r="EAN40" s="66"/>
      <c r="EAO40" s="66"/>
      <c r="EAP40" s="66"/>
      <c r="EAQ40" s="66"/>
      <c r="EAR40" s="66"/>
      <c r="EAS40" s="66"/>
      <c r="EAT40" s="66"/>
      <c r="EAU40" s="66"/>
      <c r="EAV40" s="66"/>
      <c r="EAW40" s="66"/>
      <c r="EAX40" s="66"/>
      <c r="EAY40" s="66"/>
      <c r="EAZ40" s="66"/>
      <c r="EBA40" s="66"/>
      <c r="EBB40" s="66"/>
      <c r="EBC40" s="66"/>
      <c r="EBD40" s="66"/>
      <c r="EBE40" s="66"/>
      <c r="EBF40" s="66"/>
      <c r="EBG40" s="66"/>
      <c r="EBH40" s="66"/>
      <c r="EBI40" s="66"/>
      <c r="EBJ40" s="66"/>
      <c r="EBK40" s="66"/>
      <c r="EBL40" s="66"/>
      <c r="EBM40" s="66"/>
      <c r="EBN40" s="66"/>
      <c r="EBO40" s="66"/>
      <c r="EBP40" s="66"/>
      <c r="EBQ40" s="66"/>
      <c r="EBR40" s="66"/>
      <c r="EBS40" s="66"/>
      <c r="EBT40" s="66"/>
      <c r="EBU40" s="66"/>
      <c r="EBV40" s="66"/>
      <c r="EBW40" s="66"/>
      <c r="EBX40" s="66"/>
      <c r="EBY40" s="66"/>
      <c r="EBZ40" s="66"/>
      <c r="ECA40" s="66"/>
      <c r="ECB40" s="66"/>
      <c r="ECC40" s="66"/>
      <c r="ECD40" s="66"/>
      <c r="ECE40" s="66"/>
      <c r="ECF40" s="66"/>
      <c r="ECG40" s="66"/>
      <c r="ECH40" s="66"/>
      <c r="ECI40" s="66"/>
      <c r="ECJ40" s="66"/>
      <c r="ECK40" s="66"/>
      <c r="ECL40" s="66"/>
      <c r="ECM40" s="66"/>
      <c r="ECN40" s="66"/>
      <c r="ECO40" s="66"/>
      <c r="ECP40" s="66"/>
      <c r="ECQ40" s="66"/>
      <c r="ECR40" s="66"/>
      <c r="ECS40" s="66"/>
      <c r="ECT40" s="66"/>
      <c r="ECU40" s="66"/>
      <c r="ECV40" s="66"/>
      <c r="ECW40" s="66"/>
      <c r="ECX40" s="66"/>
      <c r="ECY40" s="66"/>
      <c r="ECZ40" s="66"/>
      <c r="EDA40" s="66"/>
      <c r="EDB40" s="66"/>
      <c r="EDC40" s="66"/>
      <c r="EDD40" s="66"/>
      <c r="EDE40" s="66"/>
      <c r="EDF40" s="66"/>
      <c r="EDG40" s="66"/>
      <c r="EDH40" s="66"/>
      <c r="EDI40" s="66"/>
      <c r="EDJ40" s="66"/>
      <c r="EDK40" s="66"/>
      <c r="EDL40" s="66"/>
      <c r="EDM40" s="66"/>
      <c r="EDN40" s="66"/>
      <c r="EDO40" s="66"/>
      <c r="EDP40" s="66"/>
      <c r="EDQ40" s="66"/>
      <c r="EDR40" s="66"/>
      <c r="EDS40" s="66"/>
      <c r="EDT40" s="66"/>
      <c r="EDU40" s="66"/>
      <c r="EDV40" s="66"/>
      <c r="EDW40" s="66"/>
      <c r="EDX40" s="66"/>
      <c r="EDY40" s="66"/>
      <c r="EDZ40" s="66"/>
      <c r="EEA40" s="66"/>
      <c r="EEB40" s="66"/>
      <c r="EEC40" s="66"/>
      <c r="EED40" s="66"/>
      <c r="EEE40" s="66"/>
      <c r="EEF40" s="66"/>
      <c r="EEG40" s="66"/>
      <c r="EEH40" s="66"/>
      <c r="EEI40" s="66"/>
      <c r="EEJ40" s="66"/>
      <c r="EEK40" s="66"/>
      <c r="EEL40" s="66"/>
      <c r="EEM40" s="66"/>
      <c r="EEN40" s="66"/>
      <c r="EEO40" s="66"/>
      <c r="EEP40" s="66"/>
      <c r="EEQ40" s="66"/>
      <c r="EER40" s="66"/>
      <c r="EES40" s="66"/>
      <c r="EET40" s="66"/>
      <c r="EEU40" s="66"/>
      <c r="EEV40" s="66"/>
      <c r="EEW40" s="66"/>
      <c r="EEX40" s="66"/>
      <c r="EEY40" s="66"/>
      <c r="EEZ40" s="66"/>
      <c r="EFA40" s="66"/>
      <c r="EFB40" s="66"/>
      <c r="EFC40" s="66"/>
      <c r="EFD40" s="66"/>
      <c r="EFE40" s="66"/>
      <c r="EFF40" s="66"/>
      <c r="EFG40" s="66"/>
      <c r="EFH40" s="66"/>
      <c r="EFI40" s="66"/>
      <c r="EFJ40" s="66"/>
      <c r="EFK40" s="66"/>
      <c r="EFL40" s="66"/>
      <c r="EFM40" s="66"/>
      <c r="EFN40" s="66"/>
      <c r="EFO40" s="66"/>
      <c r="EFP40" s="66"/>
      <c r="EFQ40" s="66"/>
      <c r="EFR40" s="66"/>
      <c r="EFS40" s="66"/>
      <c r="EFT40" s="66"/>
      <c r="EFU40" s="66"/>
      <c r="EFV40" s="66"/>
      <c r="EFW40" s="66"/>
      <c r="EFX40" s="66"/>
      <c r="EFY40" s="66"/>
      <c r="EFZ40" s="66"/>
      <c r="EGA40" s="66"/>
      <c r="EGB40" s="66"/>
      <c r="EGC40" s="66"/>
      <c r="EGD40" s="66"/>
      <c r="EGE40" s="66"/>
      <c r="EGF40" s="66"/>
      <c r="EGG40" s="66"/>
      <c r="EGH40" s="66"/>
      <c r="EGI40" s="66"/>
      <c r="EGJ40" s="66"/>
      <c r="EGK40" s="66"/>
      <c r="EGL40" s="66"/>
      <c r="EGM40" s="66"/>
      <c r="EGN40" s="66"/>
      <c r="EGO40" s="66"/>
      <c r="EGP40" s="66"/>
      <c r="EGQ40" s="66"/>
      <c r="EGR40" s="66"/>
      <c r="EGS40" s="66"/>
      <c r="EGT40" s="66"/>
      <c r="EGU40" s="66"/>
      <c r="EGV40" s="66"/>
      <c r="EGW40" s="66"/>
      <c r="EGX40" s="66"/>
      <c r="EGY40" s="66"/>
      <c r="EGZ40" s="66"/>
      <c r="EHA40" s="66"/>
      <c r="EHB40" s="66"/>
      <c r="EHC40" s="66"/>
      <c r="EHD40" s="66"/>
      <c r="EHE40" s="66"/>
      <c r="EHF40" s="66"/>
      <c r="EHG40" s="66"/>
      <c r="EHH40" s="66"/>
      <c r="EHI40" s="66"/>
      <c r="EHJ40" s="66"/>
      <c r="EHK40" s="66"/>
      <c r="EHL40" s="66"/>
      <c r="EHM40" s="66"/>
      <c r="EHN40" s="66"/>
      <c r="EHO40" s="66"/>
      <c r="EHP40" s="66"/>
      <c r="EHQ40" s="66"/>
      <c r="EHR40" s="66"/>
      <c r="EHS40" s="66"/>
      <c r="EHT40" s="66"/>
      <c r="EHU40" s="66"/>
      <c r="EHV40" s="66"/>
      <c r="EHW40" s="66"/>
      <c r="EHX40" s="66"/>
      <c r="EHY40" s="66"/>
      <c r="EHZ40" s="66"/>
      <c r="EIA40" s="66"/>
      <c r="EIB40" s="66"/>
      <c r="EIC40" s="66"/>
      <c r="EID40" s="66"/>
      <c r="EIE40" s="66"/>
      <c r="EIF40" s="66"/>
      <c r="EIG40" s="66"/>
      <c r="EIH40" s="66"/>
      <c r="EII40" s="66"/>
      <c r="EIJ40" s="66"/>
      <c r="EIK40" s="66"/>
      <c r="EIL40" s="66"/>
      <c r="EIM40" s="66"/>
      <c r="EIN40" s="66"/>
      <c r="EIO40" s="66"/>
      <c r="EIP40" s="66"/>
      <c r="EIQ40" s="66"/>
      <c r="EIR40" s="66"/>
      <c r="EIS40" s="66"/>
      <c r="EIT40" s="66"/>
      <c r="EIU40" s="66"/>
      <c r="EIV40" s="66"/>
      <c r="EIW40" s="66"/>
      <c r="EIX40" s="66"/>
      <c r="EIY40" s="66"/>
      <c r="EIZ40" s="66"/>
      <c r="EJA40" s="66"/>
      <c r="EJB40" s="66"/>
      <c r="EJC40" s="66"/>
      <c r="EJD40" s="66"/>
      <c r="EJE40" s="66"/>
      <c r="EJF40" s="66"/>
      <c r="EJG40" s="66"/>
      <c r="EJH40" s="66"/>
      <c r="EJI40" s="66"/>
      <c r="EJJ40" s="66"/>
      <c r="EJK40" s="66"/>
      <c r="EJL40" s="66"/>
      <c r="EJM40" s="66"/>
      <c r="EJN40" s="66"/>
      <c r="EJO40" s="66"/>
      <c r="EJP40" s="66"/>
      <c r="EJQ40" s="66"/>
      <c r="EJR40" s="66"/>
      <c r="EJS40" s="66"/>
      <c r="EJT40" s="66"/>
      <c r="EJU40" s="66"/>
      <c r="EJV40" s="66"/>
      <c r="EJW40" s="66"/>
      <c r="EJX40" s="66"/>
      <c r="EJY40" s="66"/>
      <c r="EJZ40" s="66"/>
      <c r="EKA40" s="66"/>
      <c r="EKB40" s="66"/>
      <c r="EKC40" s="66"/>
      <c r="EKD40" s="66"/>
      <c r="EKE40" s="66"/>
      <c r="EKF40" s="66"/>
      <c r="EKG40" s="66"/>
      <c r="EKH40" s="66"/>
      <c r="EKI40" s="66"/>
      <c r="EKJ40" s="66"/>
      <c r="EKK40" s="66"/>
      <c r="EKL40" s="66"/>
      <c r="EKM40" s="66"/>
      <c r="EKN40" s="66"/>
      <c r="EKO40" s="66"/>
      <c r="EKP40" s="66"/>
      <c r="EKQ40" s="66"/>
      <c r="EKR40" s="66"/>
      <c r="EKS40" s="66"/>
      <c r="EKT40" s="66"/>
      <c r="EKU40" s="66"/>
      <c r="EKV40" s="66"/>
      <c r="EKW40" s="66"/>
      <c r="EKX40" s="66"/>
      <c r="EKY40" s="66"/>
      <c r="EKZ40" s="66"/>
      <c r="ELA40" s="66"/>
      <c r="ELB40" s="66"/>
      <c r="ELC40" s="66"/>
      <c r="ELD40" s="66"/>
      <c r="ELE40" s="66"/>
      <c r="ELF40" s="66"/>
      <c r="ELG40" s="66"/>
      <c r="ELH40" s="66"/>
      <c r="ELI40" s="66"/>
      <c r="ELJ40" s="66"/>
      <c r="ELK40" s="66"/>
      <c r="ELL40" s="66"/>
      <c r="ELM40" s="66"/>
      <c r="ELN40" s="66"/>
      <c r="ELO40" s="66"/>
      <c r="ELP40" s="66"/>
      <c r="ELQ40" s="66"/>
      <c r="ELR40" s="66"/>
      <c r="ELS40" s="66"/>
      <c r="ELT40" s="66"/>
      <c r="ELU40" s="66"/>
      <c r="ELV40" s="66"/>
      <c r="ELW40" s="66"/>
      <c r="ELX40" s="66"/>
      <c r="ELY40" s="66"/>
      <c r="ELZ40" s="66"/>
      <c r="EMA40" s="66"/>
      <c r="EMB40" s="66"/>
      <c r="EMC40" s="66"/>
      <c r="EMD40" s="66"/>
      <c r="EME40" s="66"/>
      <c r="EMF40" s="66"/>
      <c r="EMG40" s="66"/>
      <c r="EMH40" s="66"/>
      <c r="EMI40" s="66"/>
      <c r="EMJ40" s="66"/>
      <c r="EMK40" s="66"/>
      <c r="EML40" s="66"/>
      <c r="EMM40" s="66"/>
      <c r="EMN40" s="66"/>
      <c r="EMO40" s="66"/>
      <c r="EMP40" s="66"/>
      <c r="EMQ40" s="66"/>
      <c r="EMR40" s="66"/>
      <c r="EMS40" s="66"/>
      <c r="EMT40" s="66"/>
      <c r="EMU40" s="66"/>
      <c r="EMV40" s="66"/>
      <c r="EMW40" s="66"/>
      <c r="EMX40" s="66"/>
      <c r="EMY40" s="66"/>
      <c r="EMZ40" s="66"/>
      <c r="ENA40" s="66"/>
      <c r="ENB40" s="66"/>
      <c r="ENC40" s="66"/>
      <c r="END40" s="66"/>
      <c r="ENE40" s="66"/>
      <c r="ENF40" s="66"/>
      <c r="ENG40" s="66"/>
      <c r="ENH40" s="66"/>
      <c r="ENI40" s="66"/>
      <c r="ENJ40" s="66"/>
      <c r="ENK40" s="66"/>
      <c r="ENL40" s="66"/>
      <c r="ENM40" s="66"/>
      <c r="ENN40" s="66"/>
      <c r="ENO40" s="66"/>
      <c r="ENP40" s="66"/>
      <c r="ENQ40" s="66"/>
      <c r="ENR40" s="66"/>
      <c r="ENS40" s="66"/>
      <c r="ENT40" s="66"/>
      <c r="ENU40" s="66"/>
      <c r="ENV40" s="66"/>
      <c r="ENW40" s="66"/>
      <c r="ENX40" s="66"/>
      <c r="ENY40" s="66"/>
      <c r="ENZ40" s="66"/>
      <c r="EOA40" s="66"/>
      <c r="EOB40" s="66"/>
      <c r="EOC40" s="66"/>
      <c r="EOD40" s="66"/>
      <c r="EOE40" s="66"/>
      <c r="EOF40" s="66"/>
      <c r="EOG40" s="66"/>
      <c r="EOH40" s="66"/>
      <c r="EOI40" s="66"/>
      <c r="EOJ40" s="66"/>
      <c r="EOK40" s="66"/>
      <c r="EOL40" s="66"/>
      <c r="EOM40" s="66"/>
      <c r="EON40" s="66"/>
      <c r="EOO40" s="66"/>
      <c r="EOP40" s="66"/>
      <c r="EOQ40" s="66"/>
      <c r="EOR40" s="66"/>
      <c r="EOS40" s="66"/>
      <c r="EOT40" s="66"/>
      <c r="EOU40" s="66"/>
      <c r="EOV40" s="66"/>
      <c r="EOW40" s="66"/>
      <c r="EOX40" s="66"/>
      <c r="EOY40" s="66"/>
      <c r="EOZ40" s="66"/>
      <c r="EPA40" s="66"/>
      <c r="EPB40" s="66"/>
      <c r="EPC40" s="66"/>
      <c r="EPD40" s="66"/>
      <c r="EPE40" s="66"/>
      <c r="EPF40" s="66"/>
      <c r="EPG40" s="66"/>
      <c r="EPH40" s="66"/>
      <c r="EPI40" s="66"/>
      <c r="EPJ40" s="66"/>
      <c r="EPK40" s="66"/>
      <c r="EPL40" s="66"/>
      <c r="EPM40" s="66"/>
      <c r="EPN40" s="66"/>
      <c r="EPO40" s="66"/>
      <c r="EPP40" s="66"/>
      <c r="EPQ40" s="66"/>
      <c r="EPR40" s="66"/>
      <c r="EPS40" s="66"/>
      <c r="EPT40" s="66"/>
      <c r="EPU40" s="66"/>
      <c r="EPV40" s="66"/>
      <c r="EPW40" s="66"/>
      <c r="EPX40" s="66"/>
      <c r="EPY40" s="66"/>
      <c r="EPZ40" s="66"/>
      <c r="EQA40" s="66"/>
      <c r="EQB40" s="66"/>
      <c r="EQC40" s="66"/>
      <c r="EQD40" s="66"/>
      <c r="EQE40" s="66"/>
      <c r="EQF40" s="66"/>
      <c r="EQG40" s="66"/>
      <c r="EQH40" s="66"/>
      <c r="EQI40" s="66"/>
      <c r="EQJ40" s="66"/>
      <c r="EQK40" s="66"/>
      <c r="EQL40" s="66"/>
      <c r="EQM40" s="66"/>
      <c r="EQN40" s="66"/>
      <c r="EQO40" s="66"/>
      <c r="EQP40" s="66"/>
      <c r="EQQ40" s="66"/>
      <c r="EQR40" s="66"/>
      <c r="EQS40" s="66"/>
      <c r="EQT40" s="66"/>
      <c r="EQU40" s="66"/>
      <c r="EQV40" s="66"/>
      <c r="EQW40" s="66"/>
      <c r="EQX40" s="66"/>
      <c r="EQY40" s="66"/>
      <c r="EQZ40" s="66"/>
      <c r="ERA40" s="66"/>
      <c r="ERB40" s="66"/>
      <c r="ERC40" s="66"/>
      <c r="ERD40" s="66"/>
      <c r="ERE40" s="66"/>
      <c r="ERF40" s="66"/>
      <c r="ERG40" s="66"/>
      <c r="ERH40" s="66"/>
      <c r="ERI40" s="66"/>
      <c r="ERJ40" s="66"/>
      <c r="ERK40" s="66"/>
      <c r="ERL40" s="66"/>
      <c r="ERM40" s="66"/>
      <c r="ERN40" s="66"/>
      <c r="ERO40" s="66"/>
      <c r="ERP40" s="66"/>
      <c r="ERQ40" s="66"/>
      <c r="ERR40" s="66"/>
      <c r="ERS40" s="66"/>
      <c r="ERT40" s="66"/>
      <c r="ERU40" s="66"/>
      <c r="ERV40" s="66"/>
      <c r="ERW40" s="66"/>
      <c r="ERX40" s="66"/>
      <c r="ERY40" s="66"/>
      <c r="ERZ40" s="66"/>
      <c r="ESA40" s="66"/>
      <c r="ESB40" s="66"/>
      <c r="ESC40" s="66"/>
      <c r="ESD40" s="66"/>
      <c r="ESE40" s="66"/>
      <c r="ESF40" s="66"/>
      <c r="ESG40" s="66"/>
      <c r="ESH40" s="66"/>
      <c r="ESI40" s="66"/>
      <c r="ESJ40" s="66"/>
      <c r="ESK40" s="66"/>
      <c r="ESL40" s="66"/>
      <c r="ESM40" s="66"/>
      <c r="ESN40" s="66"/>
      <c r="ESO40" s="66"/>
      <c r="ESP40" s="66"/>
      <c r="ESQ40" s="66"/>
      <c r="ESR40" s="66"/>
      <c r="ESS40" s="66"/>
      <c r="EST40" s="66"/>
      <c r="ESU40" s="66"/>
      <c r="ESV40" s="66"/>
      <c r="ESW40" s="66"/>
      <c r="ESX40" s="66"/>
      <c r="ESY40" s="66"/>
      <c r="ESZ40" s="66"/>
      <c r="ETA40" s="66"/>
      <c r="ETB40" s="66"/>
      <c r="ETC40" s="66"/>
      <c r="ETD40" s="66"/>
      <c r="ETE40" s="66"/>
      <c r="ETF40" s="66"/>
      <c r="ETG40" s="66"/>
      <c r="ETH40" s="66"/>
      <c r="ETI40" s="66"/>
      <c r="ETJ40" s="66"/>
      <c r="ETK40" s="66"/>
      <c r="ETL40" s="66"/>
      <c r="ETM40" s="66"/>
      <c r="ETN40" s="66"/>
      <c r="ETO40" s="66"/>
      <c r="ETP40" s="66"/>
      <c r="ETQ40" s="66"/>
      <c r="ETR40" s="66"/>
      <c r="ETS40" s="66"/>
      <c r="ETT40" s="66"/>
      <c r="ETU40" s="66"/>
      <c r="ETV40" s="66"/>
      <c r="ETW40" s="66"/>
      <c r="ETX40" s="66"/>
      <c r="ETY40" s="66"/>
      <c r="ETZ40" s="66"/>
      <c r="EUA40" s="66"/>
      <c r="EUB40" s="66"/>
      <c r="EUC40" s="66"/>
      <c r="EUD40" s="66"/>
      <c r="EUE40" s="66"/>
      <c r="EUF40" s="66"/>
      <c r="EUG40" s="66"/>
      <c r="EUH40" s="66"/>
      <c r="EUI40" s="66"/>
      <c r="EUJ40" s="66"/>
      <c r="EUK40" s="66"/>
      <c r="EUL40" s="66"/>
      <c r="EUM40" s="66"/>
      <c r="EUN40" s="66"/>
      <c r="EUO40" s="66"/>
      <c r="EUP40" s="66"/>
      <c r="EUQ40" s="66"/>
      <c r="EUR40" s="66"/>
      <c r="EUS40" s="66"/>
      <c r="EUT40" s="66"/>
      <c r="EUU40" s="66"/>
      <c r="EUV40" s="66"/>
      <c r="EUW40" s="66"/>
      <c r="EUX40" s="66"/>
      <c r="EUY40" s="66"/>
      <c r="EUZ40" s="66"/>
      <c r="EVA40" s="66"/>
      <c r="EVB40" s="66"/>
      <c r="EVC40" s="66"/>
      <c r="EVD40" s="66"/>
      <c r="EVE40" s="66"/>
      <c r="EVF40" s="66"/>
      <c r="EVG40" s="66"/>
      <c r="EVH40" s="66"/>
      <c r="EVI40" s="66"/>
      <c r="EVJ40" s="66"/>
      <c r="EVK40" s="66"/>
      <c r="EVL40" s="66"/>
      <c r="EVM40" s="66"/>
      <c r="EVN40" s="66"/>
      <c r="EVO40" s="66"/>
      <c r="EVP40" s="66"/>
      <c r="EVQ40" s="66"/>
      <c r="EVR40" s="66"/>
      <c r="EVS40" s="66"/>
      <c r="EVT40" s="66"/>
      <c r="EVU40" s="66"/>
      <c r="EVV40" s="66"/>
      <c r="EVW40" s="66"/>
      <c r="EVX40" s="66"/>
      <c r="EVY40" s="66"/>
      <c r="EVZ40" s="66"/>
      <c r="EWA40" s="66"/>
      <c r="EWB40" s="66"/>
      <c r="EWC40" s="66"/>
      <c r="EWD40" s="66"/>
      <c r="EWE40" s="66"/>
      <c r="EWF40" s="66"/>
      <c r="EWG40" s="66"/>
      <c r="EWH40" s="66"/>
      <c r="EWI40" s="66"/>
      <c r="EWJ40" s="66"/>
      <c r="EWK40" s="66"/>
      <c r="EWL40" s="66"/>
      <c r="EWM40" s="66"/>
      <c r="EWN40" s="66"/>
      <c r="EWO40" s="66"/>
      <c r="EWP40" s="66"/>
      <c r="EWQ40" s="66"/>
      <c r="EWR40" s="66"/>
      <c r="EWS40" s="66"/>
      <c r="EWT40" s="66"/>
      <c r="EWU40" s="66"/>
      <c r="EWV40" s="66"/>
      <c r="EWW40" s="66"/>
      <c r="EWX40" s="66"/>
      <c r="EWY40" s="66"/>
      <c r="EWZ40" s="66"/>
      <c r="EXA40" s="66"/>
      <c r="EXB40" s="66"/>
      <c r="EXC40" s="66"/>
      <c r="EXD40" s="66"/>
      <c r="EXE40" s="66"/>
      <c r="EXF40" s="66"/>
      <c r="EXG40" s="66"/>
      <c r="EXH40" s="66"/>
      <c r="EXI40" s="66"/>
      <c r="EXJ40" s="66"/>
      <c r="EXK40" s="66"/>
      <c r="EXL40" s="66"/>
      <c r="EXM40" s="66"/>
      <c r="EXN40" s="66"/>
      <c r="EXO40" s="66"/>
      <c r="EXP40" s="66"/>
      <c r="EXQ40" s="66"/>
      <c r="EXR40" s="66"/>
      <c r="EXS40" s="66"/>
      <c r="EXT40" s="66"/>
      <c r="EXU40" s="66"/>
      <c r="EXV40" s="66"/>
      <c r="EXW40" s="66"/>
      <c r="EXX40" s="66"/>
      <c r="EXY40" s="66"/>
      <c r="EXZ40" s="66"/>
      <c r="EYA40" s="66"/>
      <c r="EYB40" s="66"/>
      <c r="EYC40" s="66"/>
      <c r="EYD40" s="66"/>
      <c r="EYE40" s="66"/>
      <c r="EYF40" s="66"/>
      <c r="EYG40" s="66"/>
      <c r="EYH40" s="66"/>
      <c r="EYI40" s="66"/>
      <c r="EYJ40" s="66"/>
      <c r="EYK40" s="66"/>
      <c r="EYL40" s="66"/>
      <c r="EYM40" s="66"/>
      <c r="EYN40" s="66"/>
      <c r="EYO40" s="66"/>
      <c r="EYP40" s="66"/>
      <c r="EYQ40" s="66"/>
      <c r="EYR40" s="66"/>
      <c r="EYS40" s="66"/>
      <c r="EYT40" s="66"/>
      <c r="EYU40" s="66"/>
      <c r="EYV40" s="66"/>
      <c r="EYW40" s="66"/>
      <c r="EYX40" s="66"/>
      <c r="EYY40" s="66"/>
      <c r="EYZ40" s="66"/>
      <c r="EZA40" s="66"/>
      <c r="EZB40" s="66"/>
      <c r="EZC40" s="66"/>
      <c r="EZD40" s="66"/>
      <c r="EZE40" s="66"/>
      <c r="EZF40" s="66"/>
      <c r="EZG40" s="66"/>
      <c r="EZH40" s="66"/>
      <c r="EZI40" s="66"/>
      <c r="EZJ40" s="66"/>
      <c r="EZK40" s="66"/>
      <c r="EZL40" s="66"/>
      <c r="EZM40" s="66"/>
      <c r="EZN40" s="66"/>
      <c r="EZO40" s="66"/>
      <c r="EZP40" s="66"/>
      <c r="EZQ40" s="66"/>
      <c r="EZR40" s="66"/>
      <c r="EZS40" s="66"/>
      <c r="EZT40" s="66"/>
      <c r="EZU40" s="66"/>
      <c r="EZV40" s="66"/>
      <c r="EZW40" s="66"/>
      <c r="EZX40" s="66"/>
      <c r="EZY40" s="66"/>
      <c r="EZZ40" s="66"/>
      <c r="FAA40" s="66"/>
      <c r="FAB40" s="66"/>
      <c r="FAC40" s="66"/>
      <c r="FAD40" s="66"/>
      <c r="FAE40" s="66"/>
      <c r="FAF40" s="66"/>
      <c r="FAG40" s="66"/>
      <c r="FAH40" s="66"/>
      <c r="FAI40" s="66"/>
      <c r="FAJ40" s="66"/>
      <c r="FAK40" s="66"/>
      <c r="FAL40" s="66"/>
      <c r="FAM40" s="66"/>
      <c r="FAN40" s="66"/>
      <c r="FAO40" s="66"/>
      <c r="FAP40" s="66"/>
      <c r="FAQ40" s="66"/>
      <c r="FAR40" s="66"/>
      <c r="FAS40" s="66"/>
      <c r="FAT40" s="66"/>
      <c r="FAU40" s="66"/>
      <c r="FAV40" s="66"/>
      <c r="FAW40" s="66"/>
      <c r="FAX40" s="66"/>
      <c r="FAY40" s="66"/>
      <c r="FAZ40" s="66"/>
      <c r="FBA40" s="66"/>
      <c r="FBB40" s="66"/>
      <c r="FBC40" s="66"/>
      <c r="FBD40" s="66"/>
      <c r="FBE40" s="66"/>
      <c r="FBF40" s="66"/>
      <c r="FBG40" s="66"/>
      <c r="FBH40" s="66"/>
      <c r="FBI40" s="66"/>
      <c r="FBJ40" s="66"/>
      <c r="FBK40" s="66"/>
      <c r="FBL40" s="66"/>
      <c r="FBM40" s="66"/>
      <c r="FBN40" s="66"/>
      <c r="FBO40" s="66"/>
      <c r="FBP40" s="66"/>
      <c r="FBQ40" s="66"/>
      <c r="FBR40" s="66"/>
      <c r="FBS40" s="66"/>
      <c r="FBT40" s="66"/>
      <c r="FBU40" s="66"/>
      <c r="FBV40" s="66"/>
      <c r="FBW40" s="66"/>
      <c r="FBX40" s="66"/>
      <c r="FBY40" s="66"/>
      <c r="FBZ40" s="66"/>
      <c r="FCA40" s="66"/>
      <c r="FCB40" s="66"/>
      <c r="FCC40" s="66"/>
      <c r="FCD40" s="66"/>
      <c r="FCE40" s="66"/>
      <c r="FCF40" s="66"/>
      <c r="FCG40" s="66"/>
      <c r="FCH40" s="66"/>
      <c r="FCI40" s="66"/>
      <c r="FCJ40" s="66"/>
      <c r="FCK40" s="66"/>
      <c r="FCL40" s="66"/>
      <c r="FCM40" s="66"/>
      <c r="FCN40" s="66"/>
      <c r="FCO40" s="66"/>
      <c r="FCP40" s="66"/>
      <c r="FCQ40" s="66"/>
      <c r="FCR40" s="66"/>
      <c r="FCS40" s="66"/>
      <c r="FCT40" s="66"/>
      <c r="FCU40" s="66"/>
      <c r="FCV40" s="66"/>
      <c r="FCW40" s="66"/>
      <c r="FCX40" s="66"/>
      <c r="FCY40" s="66"/>
      <c r="FCZ40" s="66"/>
      <c r="FDA40" s="66"/>
      <c r="FDB40" s="66"/>
      <c r="FDC40" s="66"/>
      <c r="FDD40" s="66"/>
      <c r="FDE40" s="66"/>
      <c r="FDF40" s="66"/>
      <c r="FDG40" s="66"/>
      <c r="FDH40" s="66"/>
      <c r="FDI40" s="66"/>
      <c r="FDJ40" s="66"/>
      <c r="FDK40" s="66"/>
      <c r="FDL40" s="66"/>
      <c r="FDM40" s="66"/>
      <c r="FDN40" s="66"/>
      <c r="FDO40" s="66"/>
      <c r="FDP40" s="66"/>
      <c r="FDQ40" s="66"/>
      <c r="FDR40" s="66"/>
      <c r="FDS40" s="66"/>
      <c r="FDT40" s="66"/>
      <c r="FDU40" s="66"/>
      <c r="FDV40" s="66"/>
      <c r="FDW40" s="66"/>
      <c r="FDX40" s="66"/>
      <c r="FDY40" s="66"/>
      <c r="FDZ40" s="66"/>
      <c r="FEA40" s="66"/>
      <c r="FEB40" s="66"/>
      <c r="FEC40" s="66"/>
      <c r="FED40" s="66"/>
      <c r="FEE40" s="66"/>
      <c r="FEF40" s="66"/>
      <c r="FEG40" s="66"/>
      <c r="FEH40" s="66"/>
      <c r="FEI40" s="66"/>
      <c r="FEJ40" s="66"/>
      <c r="FEK40" s="66"/>
      <c r="FEL40" s="66"/>
      <c r="FEM40" s="66"/>
      <c r="FEN40" s="66"/>
      <c r="FEO40" s="66"/>
      <c r="FEP40" s="66"/>
      <c r="FEQ40" s="66"/>
      <c r="FER40" s="66"/>
      <c r="FES40" s="66"/>
      <c r="FET40" s="66"/>
      <c r="FEU40" s="66"/>
      <c r="FEV40" s="66"/>
      <c r="FEW40" s="66"/>
      <c r="FEX40" s="66"/>
      <c r="FEY40" s="66"/>
      <c r="FEZ40" s="66"/>
      <c r="FFA40" s="66"/>
      <c r="FFB40" s="66"/>
      <c r="FFC40" s="66"/>
      <c r="FFD40" s="66"/>
      <c r="FFE40" s="66"/>
      <c r="FFF40" s="66"/>
      <c r="FFG40" s="66"/>
      <c r="FFH40" s="66"/>
      <c r="FFI40" s="66"/>
      <c r="FFJ40" s="66"/>
      <c r="FFK40" s="66"/>
      <c r="FFL40" s="66"/>
      <c r="FFM40" s="66"/>
      <c r="FFN40" s="66"/>
      <c r="FFO40" s="66"/>
      <c r="FFP40" s="66"/>
      <c r="FFQ40" s="66"/>
      <c r="FFR40" s="66"/>
      <c r="FFS40" s="66"/>
      <c r="FFT40" s="66"/>
      <c r="FFU40" s="66"/>
      <c r="FFV40" s="66"/>
      <c r="FFW40" s="66"/>
      <c r="FFX40" s="66"/>
      <c r="FFY40" s="66"/>
      <c r="FFZ40" s="66"/>
      <c r="FGA40" s="66"/>
      <c r="FGB40" s="66"/>
      <c r="FGC40" s="66"/>
      <c r="FGD40" s="66"/>
      <c r="FGE40" s="66"/>
      <c r="FGF40" s="66"/>
      <c r="FGG40" s="66"/>
      <c r="FGH40" s="66"/>
      <c r="FGI40" s="66"/>
      <c r="FGJ40" s="66"/>
      <c r="FGK40" s="66"/>
      <c r="FGL40" s="66"/>
      <c r="FGM40" s="66"/>
      <c r="FGN40" s="66"/>
      <c r="FGO40" s="66"/>
      <c r="FGP40" s="66"/>
      <c r="FGQ40" s="66"/>
      <c r="FGR40" s="66"/>
      <c r="FGS40" s="66"/>
      <c r="FGT40" s="66"/>
      <c r="FGU40" s="66"/>
      <c r="FGV40" s="66"/>
      <c r="FGW40" s="66"/>
      <c r="FGX40" s="66"/>
      <c r="FGY40" s="66"/>
      <c r="FGZ40" s="66"/>
      <c r="FHA40" s="66"/>
      <c r="FHB40" s="66"/>
      <c r="FHC40" s="66"/>
      <c r="FHD40" s="66"/>
      <c r="FHE40" s="66"/>
      <c r="FHF40" s="66"/>
      <c r="FHG40" s="66"/>
      <c r="FHH40" s="66"/>
      <c r="FHI40" s="66"/>
      <c r="FHJ40" s="66"/>
      <c r="FHK40" s="66"/>
      <c r="FHL40" s="66"/>
      <c r="FHM40" s="66"/>
      <c r="FHN40" s="66"/>
      <c r="FHO40" s="66"/>
      <c r="FHP40" s="66"/>
      <c r="FHQ40" s="66"/>
      <c r="FHR40" s="66"/>
      <c r="FHS40" s="66"/>
      <c r="FHT40" s="66"/>
      <c r="FHU40" s="66"/>
      <c r="FHV40" s="66"/>
      <c r="FHW40" s="66"/>
      <c r="FHX40" s="66"/>
      <c r="FHY40" s="66"/>
      <c r="FHZ40" s="66"/>
      <c r="FIA40" s="66"/>
      <c r="FIB40" s="66"/>
      <c r="FIC40" s="66"/>
      <c r="FID40" s="66"/>
      <c r="FIE40" s="66"/>
      <c r="FIF40" s="66"/>
      <c r="FIG40" s="66"/>
      <c r="FIH40" s="66"/>
      <c r="FII40" s="66"/>
      <c r="FIJ40" s="66"/>
      <c r="FIK40" s="66"/>
      <c r="FIL40" s="66"/>
      <c r="FIM40" s="66"/>
      <c r="FIN40" s="66"/>
      <c r="FIO40" s="66"/>
      <c r="FIP40" s="66"/>
      <c r="FIQ40" s="66"/>
      <c r="FIR40" s="66"/>
      <c r="FIS40" s="66"/>
      <c r="FIT40" s="66"/>
      <c r="FIU40" s="66"/>
      <c r="FIV40" s="66"/>
      <c r="FIW40" s="66"/>
      <c r="FIX40" s="66"/>
      <c r="FIY40" s="66"/>
      <c r="FIZ40" s="66"/>
      <c r="FJA40" s="66"/>
      <c r="FJB40" s="66"/>
      <c r="FJC40" s="66"/>
      <c r="FJD40" s="66"/>
      <c r="FJE40" s="66"/>
      <c r="FJF40" s="66"/>
      <c r="FJG40" s="66"/>
      <c r="FJH40" s="66"/>
      <c r="FJI40" s="66"/>
      <c r="FJJ40" s="66"/>
      <c r="FJK40" s="66"/>
      <c r="FJL40" s="66"/>
      <c r="FJM40" s="66"/>
      <c r="FJN40" s="66"/>
      <c r="FJO40" s="66"/>
      <c r="FJP40" s="66"/>
      <c r="FJQ40" s="66"/>
      <c r="FJR40" s="66"/>
      <c r="FJS40" s="66"/>
      <c r="FJT40" s="66"/>
      <c r="FJU40" s="66"/>
      <c r="FJV40" s="66"/>
      <c r="FJW40" s="66"/>
      <c r="FJX40" s="66"/>
      <c r="FJY40" s="66"/>
      <c r="FJZ40" s="66"/>
      <c r="FKA40" s="66"/>
      <c r="FKB40" s="66"/>
      <c r="FKC40" s="66"/>
      <c r="FKD40" s="66"/>
      <c r="FKE40" s="66"/>
      <c r="FKF40" s="66"/>
      <c r="FKG40" s="66"/>
      <c r="FKH40" s="66"/>
      <c r="FKI40" s="66"/>
      <c r="FKJ40" s="66"/>
      <c r="FKK40" s="66"/>
      <c r="FKL40" s="66"/>
      <c r="FKM40" s="66"/>
      <c r="FKN40" s="66"/>
      <c r="FKO40" s="66"/>
      <c r="FKP40" s="66"/>
      <c r="FKQ40" s="66"/>
      <c r="FKR40" s="66"/>
      <c r="FKS40" s="66"/>
      <c r="FKT40" s="66"/>
      <c r="FKU40" s="66"/>
      <c r="FKV40" s="66"/>
      <c r="FKW40" s="66"/>
      <c r="FKX40" s="66"/>
      <c r="FKY40" s="66"/>
      <c r="FKZ40" s="66"/>
      <c r="FLA40" s="66"/>
      <c r="FLB40" s="66"/>
      <c r="FLC40" s="66"/>
      <c r="FLD40" s="66"/>
      <c r="FLE40" s="66"/>
      <c r="FLF40" s="66"/>
      <c r="FLG40" s="66"/>
      <c r="FLH40" s="66"/>
      <c r="FLI40" s="66"/>
      <c r="FLJ40" s="66"/>
      <c r="FLK40" s="66"/>
      <c r="FLL40" s="66"/>
      <c r="FLM40" s="66"/>
      <c r="FLN40" s="66"/>
      <c r="FLO40" s="66"/>
      <c r="FLP40" s="66"/>
      <c r="FLQ40" s="66"/>
      <c r="FLR40" s="66"/>
      <c r="FLS40" s="66"/>
      <c r="FLT40" s="66"/>
      <c r="FLU40" s="66"/>
      <c r="FLV40" s="66"/>
      <c r="FLW40" s="66"/>
      <c r="FLX40" s="66"/>
      <c r="FLY40" s="66"/>
      <c r="FLZ40" s="66"/>
      <c r="FMA40" s="66"/>
      <c r="FMB40" s="66"/>
      <c r="FMC40" s="66"/>
      <c r="FMD40" s="66"/>
      <c r="FME40" s="66"/>
      <c r="FMF40" s="66"/>
      <c r="FMG40" s="66"/>
      <c r="FMH40" s="66"/>
      <c r="FMI40" s="66"/>
      <c r="FMJ40" s="66"/>
      <c r="FMK40" s="66"/>
      <c r="FML40" s="66"/>
      <c r="FMM40" s="66"/>
      <c r="FMN40" s="66"/>
      <c r="FMO40" s="66"/>
      <c r="FMP40" s="66"/>
      <c r="FMQ40" s="66"/>
      <c r="FMR40" s="66"/>
      <c r="FMS40" s="66"/>
      <c r="FMT40" s="66"/>
      <c r="FMU40" s="66"/>
      <c r="FMV40" s="66"/>
      <c r="FMW40" s="66"/>
      <c r="FMX40" s="66"/>
      <c r="FMY40" s="66"/>
      <c r="FMZ40" s="66"/>
      <c r="FNA40" s="66"/>
      <c r="FNB40" s="66"/>
      <c r="FNC40" s="66"/>
      <c r="FND40" s="66"/>
      <c r="FNE40" s="66"/>
      <c r="FNF40" s="66"/>
      <c r="FNG40" s="66"/>
      <c r="FNH40" s="66"/>
      <c r="FNI40" s="66"/>
      <c r="FNJ40" s="66"/>
      <c r="FNK40" s="66"/>
      <c r="FNL40" s="66"/>
      <c r="FNM40" s="66"/>
      <c r="FNN40" s="66"/>
      <c r="FNO40" s="66"/>
      <c r="FNP40" s="66"/>
      <c r="FNQ40" s="66"/>
      <c r="FNR40" s="66"/>
      <c r="FNS40" s="66"/>
      <c r="FNT40" s="66"/>
      <c r="FNU40" s="66"/>
      <c r="FNV40" s="66"/>
      <c r="FNW40" s="66"/>
      <c r="FNX40" s="66"/>
      <c r="FNY40" s="66"/>
      <c r="FNZ40" s="66"/>
      <c r="FOA40" s="66"/>
      <c r="FOB40" s="66"/>
      <c r="FOC40" s="66"/>
      <c r="FOD40" s="66"/>
      <c r="FOE40" s="66"/>
      <c r="FOF40" s="66"/>
      <c r="FOG40" s="66"/>
      <c r="FOH40" s="66"/>
      <c r="FOI40" s="66"/>
      <c r="FOJ40" s="66"/>
      <c r="FOK40" s="66"/>
      <c r="FOL40" s="66"/>
      <c r="FOM40" s="66"/>
      <c r="FON40" s="66"/>
      <c r="FOO40" s="66"/>
      <c r="FOP40" s="66"/>
      <c r="FOQ40" s="66"/>
      <c r="FOR40" s="66"/>
      <c r="FOS40" s="66"/>
      <c r="FOT40" s="66"/>
      <c r="FOU40" s="66"/>
      <c r="FOV40" s="66"/>
      <c r="FOW40" s="66"/>
      <c r="FOX40" s="66"/>
      <c r="FOY40" s="66"/>
      <c r="FOZ40" s="66"/>
      <c r="FPA40" s="66"/>
      <c r="FPB40" s="66"/>
      <c r="FPC40" s="66"/>
      <c r="FPD40" s="66"/>
      <c r="FPE40" s="66"/>
      <c r="FPF40" s="66"/>
      <c r="FPG40" s="66"/>
      <c r="FPH40" s="66"/>
      <c r="FPI40" s="66"/>
      <c r="FPJ40" s="66"/>
      <c r="FPK40" s="66"/>
      <c r="FPL40" s="66"/>
      <c r="FPM40" s="66"/>
      <c r="FPN40" s="66"/>
      <c r="FPO40" s="66"/>
      <c r="FPP40" s="66"/>
      <c r="FPQ40" s="66"/>
      <c r="FPR40" s="66"/>
      <c r="FPS40" s="66"/>
      <c r="FPT40" s="66"/>
      <c r="FPU40" s="66"/>
      <c r="FPV40" s="66"/>
      <c r="FPW40" s="66"/>
      <c r="FPX40" s="66"/>
      <c r="FPY40" s="66"/>
      <c r="FPZ40" s="66"/>
      <c r="FQA40" s="66"/>
      <c r="FQB40" s="66"/>
      <c r="FQC40" s="66"/>
      <c r="FQD40" s="66"/>
      <c r="FQE40" s="66"/>
      <c r="FQF40" s="66"/>
      <c r="FQG40" s="66"/>
      <c r="FQH40" s="66"/>
      <c r="FQI40" s="66"/>
      <c r="FQJ40" s="66"/>
      <c r="FQK40" s="66"/>
      <c r="FQL40" s="66"/>
      <c r="FQM40" s="66"/>
      <c r="FQN40" s="66"/>
      <c r="FQO40" s="66"/>
      <c r="FQP40" s="66"/>
      <c r="FQQ40" s="66"/>
      <c r="FQR40" s="66"/>
      <c r="FQS40" s="66"/>
      <c r="FQT40" s="66"/>
      <c r="FQU40" s="66"/>
      <c r="FQV40" s="66"/>
      <c r="FQW40" s="66"/>
      <c r="FQX40" s="66"/>
      <c r="FQY40" s="66"/>
      <c r="FQZ40" s="66"/>
      <c r="FRA40" s="66"/>
      <c r="FRB40" s="66"/>
      <c r="FRC40" s="66"/>
      <c r="FRD40" s="66"/>
      <c r="FRE40" s="66"/>
      <c r="FRF40" s="66"/>
      <c r="FRG40" s="66"/>
      <c r="FRH40" s="66"/>
      <c r="FRI40" s="66"/>
      <c r="FRJ40" s="66"/>
      <c r="FRK40" s="66"/>
      <c r="FRL40" s="66"/>
      <c r="FRM40" s="66"/>
      <c r="FRN40" s="66"/>
      <c r="FRO40" s="66"/>
      <c r="FRP40" s="66"/>
      <c r="FRQ40" s="66"/>
      <c r="FRR40" s="66"/>
      <c r="FRS40" s="66"/>
      <c r="FRT40" s="66"/>
      <c r="FRU40" s="66"/>
      <c r="FRV40" s="66"/>
      <c r="FRW40" s="66"/>
      <c r="FRX40" s="66"/>
      <c r="FRY40" s="66"/>
      <c r="FRZ40" s="66"/>
      <c r="FSA40" s="66"/>
      <c r="FSB40" s="66"/>
      <c r="FSC40" s="66"/>
      <c r="FSD40" s="66"/>
      <c r="FSE40" s="66"/>
      <c r="FSF40" s="66"/>
      <c r="FSG40" s="66"/>
      <c r="FSH40" s="66"/>
      <c r="FSI40" s="66"/>
      <c r="FSJ40" s="66"/>
      <c r="FSK40" s="66"/>
      <c r="FSL40" s="66"/>
      <c r="FSM40" s="66"/>
      <c r="FSN40" s="66"/>
      <c r="FSO40" s="66"/>
      <c r="FSP40" s="66"/>
      <c r="FSQ40" s="66"/>
      <c r="FSR40" s="66"/>
      <c r="FSS40" s="66"/>
      <c r="FST40" s="66"/>
      <c r="FSU40" s="66"/>
      <c r="FSV40" s="66"/>
      <c r="FSW40" s="66"/>
      <c r="FSX40" s="66"/>
      <c r="FSY40" s="66"/>
      <c r="FSZ40" s="66"/>
      <c r="FTA40" s="66"/>
      <c r="FTB40" s="66"/>
      <c r="FTC40" s="66"/>
      <c r="FTD40" s="66"/>
      <c r="FTE40" s="66"/>
      <c r="FTF40" s="66"/>
      <c r="FTG40" s="66"/>
      <c r="FTH40" s="66"/>
      <c r="FTI40" s="66"/>
      <c r="FTJ40" s="66"/>
      <c r="FTK40" s="66"/>
      <c r="FTL40" s="66"/>
      <c r="FTM40" s="66"/>
      <c r="FTN40" s="66"/>
      <c r="FTO40" s="66"/>
      <c r="FTP40" s="66"/>
      <c r="FTQ40" s="66"/>
      <c r="FTR40" s="66"/>
      <c r="FTS40" s="66"/>
      <c r="FTT40" s="66"/>
      <c r="FTU40" s="66"/>
      <c r="FTV40" s="66"/>
      <c r="FTW40" s="66"/>
      <c r="FTX40" s="66"/>
      <c r="FTY40" s="66"/>
      <c r="FTZ40" s="66"/>
      <c r="FUA40" s="66"/>
      <c r="FUB40" s="66"/>
      <c r="FUC40" s="66"/>
      <c r="FUD40" s="66"/>
      <c r="FUE40" s="66"/>
      <c r="FUF40" s="66"/>
      <c r="FUG40" s="66"/>
      <c r="FUH40" s="66"/>
      <c r="FUI40" s="66"/>
      <c r="FUJ40" s="66"/>
      <c r="FUK40" s="66"/>
      <c r="FUL40" s="66"/>
      <c r="FUM40" s="66"/>
      <c r="FUN40" s="66"/>
      <c r="FUO40" s="66"/>
      <c r="FUP40" s="66"/>
      <c r="FUQ40" s="66"/>
      <c r="FUR40" s="66"/>
      <c r="FUS40" s="66"/>
      <c r="FUT40" s="66"/>
      <c r="FUU40" s="66"/>
      <c r="FUV40" s="66"/>
      <c r="FUW40" s="66"/>
      <c r="FUX40" s="66"/>
      <c r="FUY40" s="66"/>
      <c r="FUZ40" s="66"/>
      <c r="FVA40" s="66"/>
      <c r="FVB40" s="66"/>
      <c r="FVC40" s="66"/>
      <c r="FVD40" s="66"/>
      <c r="FVE40" s="66"/>
      <c r="FVF40" s="66"/>
      <c r="FVG40" s="66"/>
      <c r="FVH40" s="66"/>
      <c r="FVI40" s="66"/>
      <c r="FVJ40" s="66"/>
      <c r="FVK40" s="66"/>
      <c r="FVL40" s="66"/>
      <c r="FVM40" s="66"/>
      <c r="FVN40" s="66"/>
      <c r="FVO40" s="66"/>
      <c r="FVP40" s="66"/>
      <c r="FVQ40" s="66"/>
      <c r="FVR40" s="66"/>
      <c r="FVS40" s="66"/>
      <c r="FVT40" s="66"/>
      <c r="FVU40" s="66"/>
      <c r="FVV40" s="66"/>
      <c r="FVW40" s="66"/>
      <c r="FVX40" s="66"/>
      <c r="FVY40" s="66"/>
      <c r="FVZ40" s="66"/>
      <c r="FWA40" s="66"/>
      <c r="FWB40" s="66"/>
      <c r="FWC40" s="66"/>
      <c r="FWD40" s="66"/>
      <c r="FWE40" s="66"/>
      <c r="FWF40" s="66"/>
      <c r="FWG40" s="66"/>
      <c r="FWH40" s="66"/>
      <c r="FWI40" s="66"/>
      <c r="FWJ40" s="66"/>
      <c r="FWK40" s="66"/>
      <c r="FWL40" s="66"/>
      <c r="FWM40" s="66"/>
      <c r="FWN40" s="66"/>
      <c r="FWO40" s="66"/>
      <c r="FWP40" s="66"/>
      <c r="FWQ40" s="66"/>
      <c r="FWR40" s="66"/>
      <c r="FWS40" s="66"/>
      <c r="FWT40" s="66"/>
      <c r="FWU40" s="66"/>
      <c r="FWV40" s="66"/>
      <c r="FWW40" s="66"/>
      <c r="FWX40" s="66"/>
      <c r="FWY40" s="66"/>
      <c r="FWZ40" s="66"/>
      <c r="FXA40" s="66"/>
      <c r="FXB40" s="66"/>
      <c r="FXC40" s="66"/>
      <c r="FXD40" s="66"/>
      <c r="FXE40" s="66"/>
      <c r="FXF40" s="66"/>
      <c r="FXG40" s="66"/>
      <c r="FXH40" s="66"/>
      <c r="FXI40" s="66"/>
      <c r="FXJ40" s="66"/>
      <c r="FXK40" s="66"/>
      <c r="FXL40" s="66"/>
      <c r="FXM40" s="66"/>
      <c r="FXN40" s="66"/>
      <c r="FXO40" s="66"/>
      <c r="FXP40" s="66"/>
      <c r="FXQ40" s="66"/>
      <c r="FXR40" s="66"/>
      <c r="FXS40" s="66"/>
      <c r="FXT40" s="66"/>
      <c r="FXU40" s="66"/>
      <c r="FXV40" s="66"/>
      <c r="FXW40" s="66"/>
      <c r="FXX40" s="66"/>
      <c r="FXY40" s="66"/>
      <c r="FXZ40" s="66"/>
      <c r="FYA40" s="66"/>
      <c r="FYB40" s="66"/>
      <c r="FYC40" s="66"/>
      <c r="FYD40" s="66"/>
      <c r="FYE40" s="66"/>
      <c r="FYF40" s="66"/>
      <c r="FYG40" s="66"/>
      <c r="FYH40" s="66"/>
      <c r="FYI40" s="66"/>
      <c r="FYJ40" s="66"/>
      <c r="FYK40" s="66"/>
      <c r="FYL40" s="66"/>
      <c r="FYM40" s="66"/>
      <c r="FYN40" s="66"/>
      <c r="FYO40" s="66"/>
      <c r="FYP40" s="66"/>
      <c r="FYQ40" s="66"/>
      <c r="FYR40" s="66"/>
      <c r="FYS40" s="66"/>
      <c r="FYT40" s="66"/>
      <c r="FYU40" s="66"/>
      <c r="FYV40" s="66"/>
      <c r="FYW40" s="66"/>
      <c r="FYX40" s="66"/>
      <c r="FYY40" s="66"/>
      <c r="FYZ40" s="66"/>
      <c r="FZA40" s="66"/>
      <c r="FZB40" s="66"/>
      <c r="FZC40" s="66"/>
      <c r="FZD40" s="66"/>
      <c r="FZE40" s="66"/>
      <c r="FZF40" s="66"/>
      <c r="FZG40" s="66"/>
      <c r="FZH40" s="66"/>
      <c r="FZI40" s="66"/>
      <c r="FZJ40" s="66"/>
      <c r="FZK40" s="66"/>
      <c r="FZL40" s="66"/>
      <c r="FZM40" s="66"/>
      <c r="FZN40" s="66"/>
      <c r="FZO40" s="66"/>
      <c r="FZP40" s="66"/>
      <c r="FZQ40" s="66"/>
      <c r="FZR40" s="66"/>
      <c r="FZS40" s="66"/>
      <c r="FZT40" s="66"/>
      <c r="FZU40" s="66"/>
      <c r="FZV40" s="66"/>
      <c r="FZW40" s="66"/>
      <c r="FZX40" s="66"/>
      <c r="FZY40" s="66"/>
      <c r="FZZ40" s="66"/>
      <c r="GAA40" s="66"/>
      <c r="GAB40" s="66"/>
      <c r="GAC40" s="66"/>
      <c r="GAD40" s="66"/>
      <c r="GAE40" s="66"/>
      <c r="GAF40" s="66"/>
      <c r="GAG40" s="66"/>
      <c r="GAH40" s="66"/>
      <c r="GAI40" s="66"/>
      <c r="GAJ40" s="66"/>
      <c r="GAK40" s="66"/>
      <c r="GAL40" s="66"/>
      <c r="GAM40" s="66"/>
      <c r="GAN40" s="66"/>
      <c r="GAO40" s="66"/>
      <c r="GAP40" s="66"/>
      <c r="GAQ40" s="66"/>
      <c r="GAR40" s="66"/>
      <c r="GAS40" s="66"/>
      <c r="GAT40" s="66"/>
      <c r="GAU40" s="66"/>
      <c r="GAV40" s="66"/>
      <c r="GAW40" s="66"/>
      <c r="GAX40" s="66"/>
      <c r="GAY40" s="66"/>
      <c r="GAZ40" s="66"/>
      <c r="GBA40" s="66"/>
      <c r="GBB40" s="66"/>
      <c r="GBC40" s="66"/>
      <c r="GBD40" s="66"/>
      <c r="GBE40" s="66"/>
      <c r="GBF40" s="66"/>
      <c r="GBG40" s="66"/>
      <c r="GBH40" s="66"/>
      <c r="GBI40" s="66"/>
      <c r="GBJ40" s="66"/>
      <c r="GBK40" s="66"/>
      <c r="GBL40" s="66"/>
      <c r="GBM40" s="66"/>
      <c r="GBN40" s="66"/>
      <c r="GBO40" s="66"/>
      <c r="GBP40" s="66"/>
      <c r="GBQ40" s="66"/>
      <c r="GBR40" s="66"/>
      <c r="GBS40" s="66"/>
      <c r="GBT40" s="66"/>
      <c r="GBU40" s="66"/>
      <c r="GBV40" s="66"/>
      <c r="GBW40" s="66"/>
      <c r="GBX40" s="66"/>
      <c r="GBY40" s="66"/>
      <c r="GBZ40" s="66"/>
      <c r="GCA40" s="66"/>
      <c r="GCB40" s="66"/>
      <c r="GCC40" s="66"/>
      <c r="GCD40" s="66"/>
      <c r="GCE40" s="66"/>
      <c r="GCF40" s="66"/>
      <c r="GCG40" s="66"/>
      <c r="GCH40" s="66"/>
      <c r="GCI40" s="66"/>
      <c r="GCJ40" s="66"/>
      <c r="GCK40" s="66"/>
      <c r="GCL40" s="66"/>
      <c r="GCM40" s="66"/>
      <c r="GCN40" s="66"/>
      <c r="GCO40" s="66"/>
      <c r="GCP40" s="66"/>
      <c r="GCQ40" s="66"/>
      <c r="GCR40" s="66"/>
      <c r="GCS40" s="66"/>
      <c r="GCT40" s="66"/>
      <c r="GCU40" s="66"/>
      <c r="GCV40" s="66"/>
      <c r="GCW40" s="66"/>
      <c r="GCX40" s="66"/>
      <c r="GCY40" s="66"/>
      <c r="GCZ40" s="66"/>
      <c r="GDA40" s="66"/>
      <c r="GDB40" s="66"/>
      <c r="GDC40" s="66"/>
      <c r="GDD40" s="66"/>
      <c r="GDE40" s="66"/>
      <c r="GDF40" s="66"/>
      <c r="GDG40" s="66"/>
      <c r="GDH40" s="66"/>
      <c r="GDI40" s="66"/>
      <c r="GDJ40" s="66"/>
      <c r="GDK40" s="66"/>
      <c r="GDL40" s="66"/>
      <c r="GDM40" s="66"/>
      <c r="GDN40" s="66"/>
      <c r="GDO40" s="66"/>
      <c r="GDP40" s="66"/>
      <c r="GDQ40" s="66"/>
      <c r="GDR40" s="66"/>
      <c r="GDS40" s="66"/>
      <c r="GDT40" s="66"/>
      <c r="GDU40" s="66"/>
      <c r="GDV40" s="66"/>
      <c r="GDW40" s="66"/>
      <c r="GDX40" s="66"/>
      <c r="GDY40" s="66"/>
      <c r="GDZ40" s="66"/>
      <c r="GEA40" s="66"/>
      <c r="GEB40" s="66"/>
      <c r="GEC40" s="66"/>
      <c r="GED40" s="66"/>
      <c r="GEE40" s="66"/>
      <c r="GEF40" s="66"/>
      <c r="GEG40" s="66"/>
      <c r="GEH40" s="66"/>
      <c r="GEI40" s="66"/>
      <c r="GEJ40" s="66"/>
      <c r="GEK40" s="66"/>
      <c r="GEL40" s="66"/>
      <c r="GEM40" s="66"/>
      <c r="GEN40" s="66"/>
      <c r="GEO40" s="66"/>
      <c r="GEP40" s="66"/>
      <c r="GEQ40" s="66"/>
      <c r="GER40" s="66"/>
      <c r="GES40" s="66"/>
      <c r="GET40" s="66"/>
      <c r="GEU40" s="66"/>
      <c r="GEV40" s="66"/>
      <c r="GEW40" s="66"/>
      <c r="GEX40" s="66"/>
      <c r="GEY40" s="66"/>
      <c r="GEZ40" s="66"/>
      <c r="GFA40" s="66"/>
      <c r="GFB40" s="66"/>
      <c r="GFC40" s="66"/>
      <c r="GFD40" s="66"/>
      <c r="GFE40" s="66"/>
      <c r="GFF40" s="66"/>
      <c r="GFG40" s="66"/>
      <c r="GFH40" s="66"/>
      <c r="GFI40" s="66"/>
      <c r="GFJ40" s="66"/>
      <c r="GFK40" s="66"/>
      <c r="GFL40" s="66"/>
      <c r="GFM40" s="66"/>
      <c r="GFN40" s="66"/>
      <c r="GFO40" s="66"/>
      <c r="GFP40" s="66"/>
      <c r="GFQ40" s="66"/>
      <c r="GFR40" s="66"/>
      <c r="GFS40" s="66"/>
      <c r="GFT40" s="66"/>
      <c r="GFU40" s="66"/>
      <c r="GFV40" s="66"/>
      <c r="GFW40" s="66"/>
      <c r="GFX40" s="66"/>
      <c r="GFY40" s="66"/>
      <c r="GFZ40" s="66"/>
      <c r="GGA40" s="66"/>
      <c r="GGB40" s="66"/>
      <c r="GGC40" s="66"/>
      <c r="GGD40" s="66"/>
      <c r="GGE40" s="66"/>
      <c r="GGF40" s="66"/>
      <c r="GGG40" s="66"/>
      <c r="GGH40" s="66"/>
      <c r="GGI40" s="66"/>
      <c r="GGJ40" s="66"/>
      <c r="GGK40" s="66"/>
      <c r="GGL40" s="66"/>
      <c r="GGM40" s="66"/>
      <c r="GGN40" s="66"/>
      <c r="GGO40" s="66"/>
      <c r="GGP40" s="66"/>
      <c r="GGQ40" s="66"/>
      <c r="GGR40" s="66"/>
      <c r="GGS40" s="66"/>
      <c r="GGT40" s="66"/>
      <c r="GGU40" s="66"/>
      <c r="GGV40" s="66"/>
      <c r="GGW40" s="66"/>
      <c r="GGX40" s="66"/>
      <c r="GGY40" s="66"/>
      <c r="GGZ40" s="66"/>
      <c r="GHA40" s="66"/>
      <c r="GHB40" s="66"/>
      <c r="GHC40" s="66"/>
      <c r="GHD40" s="66"/>
      <c r="GHE40" s="66"/>
      <c r="GHF40" s="66"/>
      <c r="GHG40" s="66"/>
      <c r="GHH40" s="66"/>
      <c r="GHI40" s="66"/>
      <c r="GHJ40" s="66"/>
      <c r="GHK40" s="66"/>
      <c r="GHL40" s="66"/>
      <c r="GHM40" s="66"/>
      <c r="GHN40" s="66"/>
      <c r="GHO40" s="66"/>
      <c r="GHP40" s="66"/>
      <c r="GHQ40" s="66"/>
      <c r="GHR40" s="66"/>
      <c r="GHS40" s="66"/>
      <c r="GHT40" s="66"/>
      <c r="GHU40" s="66"/>
      <c r="GHV40" s="66"/>
      <c r="GHW40" s="66"/>
      <c r="GHX40" s="66"/>
      <c r="GHY40" s="66"/>
      <c r="GHZ40" s="66"/>
      <c r="GIA40" s="66"/>
      <c r="GIB40" s="66"/>
      <c r="GIC40" s="66"/>
      <c r="GID40" s="66"/>
      <c r="GIE40" s="66"/>
      <c r="GIF40" s="66"/>
      <c r="GIG40" s="66"/>
      <c r="GIH40" s="66"/>
      <c r="GII40" s="66"/>
      <c r="GIJ40" s="66"/>
      <c r="GIK40" s="66"/>
      <c r="GIL40" s="66"/>
      <c r="GIM40" s="66"/>
      <c r="GIN40" s="66"/>
      <c r="GIO40" s="66"/>
      <c r="GIP40" s="66"/>
      <c r="GIQ40" s="66"/>
      <c r="GIR40" s="66"/>
      <c r="GIS40" s="66"/>
      <c r="GIT40" s="66"/>
      <c r="GIU40" s="66"/>
      <c r="GIV40" s="66"/>
      <c r="GIW40" s="66"/>
      <c r="GIX40" s="66"/>
      <c r="GIY40" s="66"/>
      <c r="GIZ40" s="66"/>
      <c r="GJA40" s="66"/>
      <c r="GJB40" s="66"/>
      <c r="GJC40" s="66"/>
      <c r="GJD40" s="66"/>
      <c r="GJE40" s="66"/>
      <c r="GJF40" s="66"/>
      <c r="GJG40" s="66"/>
      <c r="GJH40" s="66"/>
      <c r="GJI40" s="66"/>
      <c r="GJJ40" s="66"/>
      <c r="GJK40" s="66"/>
      <c r="GJL40" s="66"/>
      <c r="GJM40" s="66"/>
      <c r="GJN40" s="66"/>
      <c r="GJO40" s="66"/>
      <c r="GJP40" s="66"/>
      <c r="GJQ40" s="66"/>
      <c r="GJR40" s="66"/>
      <c r="GJS40" s="66"/>
      <c r="GJT40" s="66"/>
      <c r="GJU40" s="66"/>
      <c r="GJV40" s="66"/>
      <c r="GJW40" s="66"/>
      <c r="GJX40" s="66"/>
      <c r="GJY40" s="66"/>
      <c r="GJZ40" s="66"/>
      <c r="GKA40" s="66"/>
      <c r="GKB40" s="66"/>
      <c r="GKC40" s="66"/>
      <c r="GKD40" s="66"/>
      <c r="GKE40" s="66"/>
      <c r="GKF40" s="66"/>
      <c r="GKG40" s="66"/>
      <c r="GKH40" s="66"/>
      <c r="GKI40" s="66"/>
      <c r="GKJ40" s="66"/>
      <c r="GKK40" s="66"/>
      <c r="GKL40" s="66"/>
      <c r="GKM40" s="66"/>
      <c r="GKN40" s="66"/>
      <c r="GKO40" s="66"/>
      <c r="GKP40" s="66"/>
      <c r="GKQ40" s="66"/>
      <c r="GKR40" s="66"/>
      <c r="GKS40" s="66"/>
      <c r="GKT40" s="66"/>
      <c r="GKU40" s="66"/>
      <c r="GKV40" s="66"/>
      <c r="GKW40" s="66"/>
      <c r="GKX40" s="66"/>
      <c r="GKY40" s="66"/>
      <c r="GKZ40" s="66"/>
      <c r="GLA40" s="66"/>
      <c r="GLB40" s="66"/>
      <c r="GLC40" s="66"/>
      <c r="GLD40" s="66"/>
      <c r="GLE40" s="66"/>
      <c r="GLF40" s="66"/>
      <c r="GLG40" s="66"/>
      <c r="GLH40" s="66"/>
      <c r="GLI40" s="66"/>
      <c r="GLJ40" s="66"/>
      <c r="GLK40" s="66"/>
      <c r="GLL40" s="66"/>
      <c r="GLM40" s="66"/>
      <c r="GLN40" s="66"/>
      <c r="GLO40" s="66"/>
      <c r="GLP40" s="66"/>
      <c r="GLQ40" s="66"/>
      <c r="GLR40" s="66"/>
      <c r="GLS40" s="66"/>
      <c r="GLT40" s="66"/>
      <c r="GLU40" s="66"/>
      <c r="GLV40" s="66"/>
      <c r="GLW40" s="66"/>
      <c r="GLX40" s="66"/>
      <c r="GLY40" s="66"/>
      <c r="GLZ40" s="66"/>
      <c r="GMA40" s="66"/>
      <c r="GMB40" s="66"/>
      <c r="GMC40" s="66"/>
      <c r="GMD40" s="66"/>
      <c r="GME40" s="66"/>
      <c r="GMF40" s="66"/>
      <c r="GMG40" s="66"/>
      <c r="GMH40" s="66"/>
      <c r="GMI40" s="66"/>
      <c r="GMJ40" s="66"/>
      <c r="GMK40" s="66"/>
      <c r="GML40" s="66"/>
      <c r="GMM40" s="66"/>
      <c r="GMN40" s="66"/>
      <c r="GMO40" s="66"/>
      <c r="GMP40" s="66"/>
      <c r="GMQ40" s="66"/>
      <c r="GMR40" s="66"/>
      <c r="GMS40" s="66"/>
      <c r="GMT40" s="66"/>
      <c r="GMU40" s="66"/>
      <c r="GMV40" s="66"/>
      <c r="GMW40" s="66"/>
      <c r="GMX40" s="66"/>
      <c r="GMY40" s="66"/>
      <c r="GMZ40" s="66"/>
      <c r="GNA40" s="66"/>
      <c r="GNB40" s="66"/>
      <c r="GNC40" s="66"/>
      <c r="GND40" s="66"/>
      <c r="GNE40" s="66"/>
      <c r="GNF40" s="66"/>
      <c r="GNG40" s="66"/>
      <c r="GNH40" s="66"/>
      <c r="GNI40" s="66"/>
      <c r="GNJ40" s="66"/>
      <c r="GNK40" s="66"/>
      <c r="GNL40" s="66"/>
      <c r="GNM40" s="66"/>
      <c r="GNN40" s="66"/>
      <c r="GNO40" s="66"/>
      <c r="GNP40" s="66"/>
      <c r="GNQ40" s="66"/>
      <c r="GNR40" s="66"/>
      <c r="GNS40" s="66"/>
      <c r="GNT40" s="66"/>
      <c r="GNU40" s="66"/>
      <c r="GNV40" s="66"/>
      <c r="GNW40" s="66"/>
      <c r="GNX40" s="66"/>
      <c r="GNY40" s="66"/>
      <c r="GNZ40" s="66"/>
      <c r="GOA40" s="66"/>
      <c r="GOB40" s="66"/>
      <c r="GOC40" s="66"/>
      <c r="GOD40" s="66"/>
      <c r="GOE40" s="66"/>
      <c r="GOF40" s="66"/>
      <c r="GOG40" s="66"/>
      <c r="GOH40" s="66"/>
      <c r="GOI40" s="66"/>
      <c r="GOJ40" s="66"/>
      <c r="GOK40" s="66"/>
      <c r="GOL40" s="66"/>
      <c r="GOM40" s="66"/>
      <c r="GON40" s="66"/>
      <c r="GOO40" s="66"/>
      <c r="GOP40" s="66"/>
      <c r="GOQ40" s="66"/>
      <c r="GOR40" s="66"/>
      <c r="GOS40" s="66"/>
      <c r="GOT40" s="66"/>
      <c r="GOU40" s="66"/>
      <c r="GOV40" s="66"/>
      <c r="GOW40" s="66"/>
      <c r="GOX40" s="66"/>
      <c r="GOY40" s="66"/>
      <c r="GOZ40" s="66"/>
      <c r="GPA40" s="66"/>
      <c r="GPB40" s="66"/>
      <c r="GPC40" s="66"/>
      <c r="GPD40" s="66"/>
      <c r="GPE40" s="66"/>
      <c r="GPF40" s="66"/>
      <c r="GPG40" s="66"/>
      <c r="GPH40" s="66"/>
      <c r="GPI40" s="66"/>
      <c r="GPJ40" s="66"/>
      <c r="GPK40" s="66"/>
      <c r="GPL40" s="66"/>
      <c r="GPM40" s="66"/>
      <c r="GPN40" s="66"/>
      <c r="GPO40" s="66"/>
      <c r="GPP40" s="66"/>
      <c r="GPQ40" s="66"/>
      <c r="GPR40" s="66"/>
      <c r="GPS40" s="66"/>
      <c r="GPT40" s="66"/>
      <c r="GPU40" s="66"/>
      <c r="GPV40" s="66"/>
      <c r="GPW40" s="66"/>
      <c r="GPX40" s="66"/>
      <c r="GPY40" s="66"/>
      <c r="GPZ40" s="66"/>
      <c r="GQA40" s="66"/>
      <c r="GQB40" s="66"/>
      <c r="GQC40" s="66"/>
      <c r="GQD40" s="66"/>
      <c r="GQE40" s="66"/>
      <c r="GQF40" s="66"/>
      <c r="GQG40" s="66"/>
      <c r="GQH40" s="66"/>
      <c r="GQI40" s="66"/>
      <c r="GQJ40" s="66"/>
      <c r="GQK40" s="66"/>
      <c r="GQL40" s="66"/>
      <c r="GQM40" s="66"/>
      <c r="GQN40" s="66"/>
      <c r="GQO40" s="66"/>
      <c r="GQP40" s="66"/>
      <c r="GQQ40" s="66"/>
      <c r="GQR40" s="66"/>
      <c r="GQS40" s="66"/>
      <c r="GQT40" s="66"/>
      <c r="GQU40" s="66"/>
      <c r="GQV40" s="66"/>
      <c r="GQW40" s="66"/>
      <c r="GQX40" s="66"/>
      <c r="GQY40" s="66"/>
      <c r="GQZ40" s="66"/>
      <c r="GRA40" s="66"/>
      <c r="GRB40" s="66"/>
      <c r="GRC40" s="66"/>
      <c r="GRD40" s="66"/>
      <c r="GRE40" s="66"/>
      <c r="GRF40" s="66"/>
      <c r="GRG40" s="66"/>
      <c r="GRH40" s="66"/>
      <c r="GRI40" s="66"/>
      <c r="GRJ40" s="66"/>
      <c r="GRK40" s="66"/>
      <c r="GRL40" s="66"/>
      <c r="GRM40" s="66"/>
      <c r="GRN40" s="66"/>
      <c r="GRO40" s="66"/>
      <c r="GRP40" s="66"/>
      <c r="GRQ40" s="66"/>
      <c r="GRR40" s="66"/>
      <c r="GRS40" s="66"/>
      <c r="GRT40" s="66"/>
      <c r="GRU40" s="66"/>
      <c r="GRV40" s="66"/>
      <c r="GRW40" s="66"/>
      <c r="GRX40" s="66"/>
      <c r="GRY40" s="66"/>
      <c r="GRZ40" s="66"/>
      <c r="GSA40" s="66"/>
      <c r="GSB40" s="66"/>
      <c r="GSC40" s="66"/>
      <c r="GSD40" s="66"/>
      <c r="GSE40" s="66"/>
      <c r="GSF40" s="66"/>
      <c r="GSG40" s="66"/>
      <c r="GSH40" s="66"/>
      <c r="GSI40" s="66"/>
      <c r="GSJ40" s="66"/>
      <c r="GSK40" s="66"/>
      <c r="GSL40" s="66"/>
      <c r="GSM40" s="66"/>
      <c r="GSN40" s="66"/>
      <c r="GSO40" s="66"/>
      <c r="GSP40" s="66"/>
      <c r="GSQ40" s="66"/>
      <c r="GSR40" s="66"/>
      <c r="GSS40" s="66"/>
      <c r="GST40" s="66"/>
      <c r="GSU40" s="66"/>
      <c r="GSV40" s="66"/>
      <c r="GSW40" s="66"/>
      <c r="GSX40" s="66"/>
      <c r="GSY40" s="66"/>
      <c r="GSZ40" s="66"/>
      <c r="GTA40" s="66"/>
      <c r="GTB40" s="66"/>
      <c r="GTC40" s="66"/>
      <c r="GTD40" s="66"/>
      <c r="GTE40" s="66"/>
      <c r="GTF40" s="66"/>
      <c r="GTG40" s="66"/>
      <c r="GTH40" s="66"/>
      <c r="GTI40" s="66"/>
      <c r="GTJ40" s="66"/>
      <c r="GTK40" s="66"/>
      <c r="GTL40" s="66"/>
      <c r="GTM40" s="66"/>
      <c r="GTN40" s="66"/>
      <c r="GTO40" s="66"/>
      <c r="GTP40" s="66"/>
      <c r="GTQ40" s="66"/>
      <c r="GTR40" s="66"/>
      <c r="GTS40" s="66"/>
      <c r="GTT40" s="66"/>
      <c r="GTU40" s="66"/>
      <c r="GTV40" s="66"/>
      <c r="GTW40" s="66"/>
      <c r="GTX40" s="66"/>
      <c r="GTY40" s="66"/>
      <c r="GTZ40" s="66"/>
      <c r="GUA40" s="66"/>
      <c r="GUB40" s="66"/>
      <c r="GUC40" s="66"/>
      <c r="GUD40" s="66"/>
      <c r="GUE40" s="66"/>
      <c r="GUF40" s="66"/>
      <c r="GUG40" s="66"/>
      <c r="GUH40" s="66"/>
      <c r="GUI40" s="66"/>
      <c r="GUJ40" s="66"/>
      <c r="GUK40" s="66"/>
      <c r="GUL40" s="66"/>
      <c r="GUM40" s="66"/>
      <c r="GUN40" s="66"/>
      <c r="GUO40" s="66"/>
      <c r="GUP40" s="66"/>
      <c r="GUQ40" s="66"/>
      <c r="GUR40" s="66"/>
      <c r="GUS40" s="66"/>
      <c r="GUT40" s="66"/>
      <c r="GUU40" s="66"/>
      <c r="GUV40" s="66"/>
      <c r="GUW40" s="66"/>
      <c r="GUX40" s="66"/>
      <c r="GUY40" s="66"/>
      <c r="GUZ40" s="66"/>
      <c r="GVA40" s="66"/>
      <c r="GVB40" s="66"/>
      <c r="GVC40" s="66"/>
      <c r="GVD40" s="66"/>
      <c r="GVE40" s="66"/>
      <c r="GVF40" s="66"/>
      <c r="GVG40" s="66"/>
      <c r="GVH40" s="66"/>
      <c r="GVI40" s="66"/>
      <c r="GVJ40" s="66"/>
      <c r="GVK40" s="66"/>
      <c r="GVL40" s="66"/>
      <c r="GVM40" s="66"/>
      <c r="GVN40" s="66"/>
      <c r="GVO40" s="66"/>
      <c r="GVP40" s="66"/>
      <c r="GVQ40" s="66"/>
      <c r="GVR40" s="66"/>
      <c r="GVS40" s="66"/>
      <c r="GVT40" s="66"/>
      <c r="GVU40" s="66"/>
      <c r="GVV40" s="66"/>
      <c r="GVW40" s="66"/>
      <c r="GVX40" s="66"/>
      <c r="GVY40" s="66"/>
      <c r="GVZ40" s="66"/>
      <c r="GWA40" s="66"/>
      <c r="GWB40" s="66"/>
      <c r="GWC40" s="66"/>
      <c r="GWD40" s="66"/>
      <c r="GWE40" s="66"/>
      <c r="GWF40" s="66"/>
      <c r="GWG40" s="66"/>
      <c r="GWH40" s="66"/>
      <c r="GWI40" s="66"/>
      <c r="GWJ40" s="66"/>
      <c r="GWK40" s="66"/>
      <c r="GWL40" s="66"/>
      <c r="GWM40" s="66"/>
      <c r="GWN40" s="66"/>
      <c r="GWO40" s="66"/>
      <c r="GWP40" s="66"/>
      <c r="GWQ40" s="66"/>
      <c r="GWR40" s="66"/>
      <c r="GWS40" s="66"/>
      <c r="GWT40" s="66"/>
      <c r="GWU40" s="66"/>
      <c r="GWV40" s="66"/>
      <c r="GWW40" s="66"/>
      <c r="GWX40" s="66"/>
      <c r="GWY40" s="66"/>
      <c r="GWZ40" s="66"/>
      <c r="GXA40" s="66"/>
      <c r="GXB40" s="66"/>
      <c r="GXC40" s="66"/>
      <c r="GXD40" s="66"/>
      <c r="GXE40" s="66"/>
      <c r="GXF40" s="66"/>
      <c r="GXG40" s="66"/>
      <c r="GXH40" s="66"/>
      <c r="GXI40" s="66"/>
      <c r="GXJ40" s="66"/>
      <c r="GXK40" s="66"/>
      <c r="GXL40" s="66"/>
      <c r="GXM40" s="66"/>
      <c r="GXN40" s="66"/>
      <c r="GXO40" s="66"/>
      <c r="GXP40" s="66"/>
      <c r="GXQ40" s="66"/>
      <c r="GXR40" s="66"/>
      <c r="GXS40" s="66"/>
      <c r="GXT40" s="66"/>
      <c r="GXU40" s="66"/>
      <c r="GXV40" s="66"/>
      <c r="GXW40" s="66"/>
      <c r="GXX40" s="66"/>
      <c r="GXY40" s="66"/>
      <c r="GXZ40" s="66"/>
      <c r="GYA40" s="66"/>
      <c r="GYB40" s="66"/>
      <c r="GYC40" s="66"/>
      <c r="GYD40" s="66"/>
      <c r="GYE40" s="66"/>
      <c r="GYF40" s="66"/>
      <c r="GYG40" s="66"/>
      <c r="GYH40" s="66"/>
      <c r="GYI40" s="66"/>
      <c r="GYJ40" s="66"/>
      <c r="GYK40" s="66"/>
      <c r="GYL40" s="66"/>
      <c r="GYM40" s="66"/>
      <c r="GYN40" s="66"/>
      <c r="GYO40" s="66"/>
      <c r="GYP40" s="66"/>
      <c r="GYQ40" s="66"/>
      <c r="GYR40" s="66"/>
      <c r="GYS40" s="66"/>
      <c r="GYT40" s="66"/>
      <c r="GYU40" s="66"/>
      <c r="GYV40" s="66"/>
      <c r="GYW40" s="66"/>
      <c r="GYX40" s="66"/>
      <c r="GYY40" s="66"/>
      <c r="GYZ40" s="66"/>
      <c r="GZA40" s="66"/>
      <c r="GZB40" s="66"/>
      <c r="GZC40" s="66"/>
      <c r="GZD40" s="66"/>
      <c r="GZE40" s="66"/>
      <c r="GZF40" s="66"/>
      <c r="GZG40" s="66"/>
      <c r="GZH40" s="66"/>
      <c r="GZI40" s="66"/>
      <c r="GZJ40" s="66"/>
      <c r="GZK40" s="66"/>
      <c r="GZL40" s="66"/>
      <c r="GZM40" s="66"/>
      <c r="GZN40" s="66"/>
      <c r="GZO40" s="66"/>
      <c r="GZP40" s="66"/>
      <c r="GZQ40" s="66"/>
      <c r="GZR40" s="66"/>
      <c r="GZS40" s="66"/>
      <c r="GZT40" s="66"/>
      <c r="GZU40" s="66"/>
      <c r="GZV40" s="66"/>
      <c r="GZW40" s="66"/>
      <c r="GZX40" s="66"/>
      <c r="GZY40" s="66"/>
      <c r="GZZ40" s="66"/>
      <c r="HAA40" s="66"/>
      <c r="HAB40" s="66"/>
      <c r="HAC40" s="66"/>
      <c r="HAD40" s="66"/>
      <c r="HAE40" s="66"/>
      <c r="HAF40" s="66"/>
      <c r="HAG40" s="66"/>
      <c r="HAH40" s="66"/>
      <c r="HAI40" s="66"/>
      <c r="HAJ40" s="66"/>
      <c r="HAK40" s="66"/>
      <c r="HAL40" s="66"/>
      <c r="HAM40" s="66"/>
      <c r="HAN40" s="66"/>
      <c r="HAO40" s="66"/>
      <c r="HAP40" s="66"/>
      <c r="HAQ40" s="66"/>
      <c r="HAR40" s="66"/>
      <c r="HAS40" s="66"/>
      <c r="HAT40" s="66"/>
      <c r="HAU40" s="66"/>
      <c r="HAV40" s="66"/>
      <c r="HAW40" s="66"/>
      <c r="HAX40" s="66"/>
      <c r="HAY40" s="66"/>
      <c r="HAZ40" s="66"/>
      <c r="HBA40" s="66"/>
      <c r="HBB40" s="66"/>
      <c r="HBC40" s="66"/>
      <c r="HBD40" s="66"/>
      <c r="HBE40" s="66"/>
      <c r="HBF40" s="66"/>
      <c r="HBG40" s="66"/>
      <c r="HBH40" s="66"/>
      <c r="HBI40" s="66"/>
      <c r="HBJ40" s="66"/>
      <c r="HBK40" s="66"/>
      <c r="HBL40" s="66"/>
      <c r="HBM40" s="66"/>
      <c r="HBN40" s="66"/>
      <c r="HBO40" s="66"/>
      <c r="HBP40" s="66"/>
      <c r="HBQ40" s="66"/>
      <c r="HBR40" s="66"/>
      <c r="HBS40" s="66"/>
      <c r="HBT40" s="66"/>
      <c r="HBU40" s="66"/>
      <c r="HBV40" s="66"/>
      <c r="HBW40" s="66"/>
      <c r="HBX40" s="66"/>
      <c r="HBY40" s="66"/>
      <c r="HBZ40" s="66"/>
      <c r="HCA40" s="66"/>
      <c r="HCB40" s="66"/>
      <c r="HCC40" s="66"/>
      <c r="HCD40" s="66"/>
      <c r="HCE40" s="66"/>
      <c r="HCF40" s="66"/>
      <c r="HCG40" s="66"/>
      <c r="HCH40" s="66"/>
      <c r="HCI40" s="66"/>
      <c r="HCJ40" s="66"/>
      <c r="HCK40" s="66"/>
      <c r="HCL40" s="66"/>
      <c r="HCM40" s="66"/>
      <c r="HCN40" s="66"/>
      <c r="HCO40" s="66"/>
      <c r="HCP40" s="66"/>
      <c r="HCQ40" s="66"/>
      <c r="HCR40" s="66"/>
      <c r="HCS40" s="66"/>
      <c r="HCT40" s="66"/>
      <c r="HCU40" s="66"/>
      <c r="HCV40" s="66"/>
      <c r="HCW40" s="66"/>
      <c r="HCX40" s="66"/>
      <c r="HCY40" s="66"/>
      <c r="HCZ40" s="66"/>
      <c r="HDA40" s="66"/>
      <c r="HDB40" s="66"/>
      <c r="HDC40" s="66"/>
      <c r="HDD40" s="66"/>
      <c r="HDE40" s="66"/>
      <c r="HDF40" s="66"/>
      <c r="HDG40" s="66"/>
      <c r="HDH40" s="66"/>
      <c r="HDI40" s="66"/>
      <c r="HDJ40" s="66"/>
      <c r="HDK40" s="66"/>
      <c r="HDL40" s="66"/>
      <c r="HDM40" s="66"/>
      <c r="HDN40" s="66"/>
      <c r="HDO40" s="66"/>
      <c r="HDP40" s="66"/>
      <c r="HDQ40" s="66"/>
      <c r="HDR40" s="66"/>
      <c r="HDS40" s="66"/>
      <c r="HDT40" s="66"/>
      <c r="HDU40" s="66"/>
      <c r="HDV40" s="66"/>
      <c r="HDW40" s="66"/>
      <c r="HDX40" s="66"/>
      <c r="HDY40" s="66"/>
      <c r="HDZ40" s="66"/>
      <c r="HEA40" s="66"/>
      <c r="HEB40" s="66"/>
      <c r="HEC40" s="66"/>
      <c r="HED40" s="66"/>
      <c r="HEE40" s="66"/>
      <c r="HEF40" s="66"/>
      <c r="HEG40" s="66"/>
      <c r="HEH40" s="66"/>
      <c r="HEI40" s="66"/>
      <c r="HEJ40" s="66"/>
      <c r="HEK40" s="66"/>
      <c r="HEL40" s="66"/>
      <c r="HEM40" s="66"/>
      <c r="HEN40" s="66"/>
      <c r="HEO40" s="66"/>
      <c r="HEP40" s="66"/>
      <c r="HEQ40" s="66"/>
      <c r="HER40" s="66"/>
      <c r="HES40" s="66"/>
      <c r="HET40" s="66"/>
      <c r="HEU40" s="66"/>
      <c r="HEV40" s="66"/>
      <c r="HEW40" s="66"/>
      <c r="HEX40" s="66"/>
      <c r="HEY40" s="66"/>
      <c r="HEZ40" s="66"/>
      <c r="HFA40" s="66"/>
      <c r="HFB40" s="66"/>
      <c r="HFC40" s="66"/>
      <c r="HFD40" s="66"/>
      <c r="HFE40" s="66"/>
      <c r="HFF40" s="66"/>
      <c r="HFG40" s="66"/>
      <c r="HFH40" s="66"/>
      <c r="HFI40" s="66"/>
      <c r="HFJ40" s="66"/>
      <c r="HFK40" s="66"/>
      <c r="HFL40" s="66"/>
      <c r="HFM40" s="66"/>
      <c r="HFN40" s="66"/>
      <c r="HFO40" s="66"/>
      <c r="HFP40" s="66"/>
      <c r="HFQ40" s="66"/>
      <c r="HFR40" s="66"/>
      <c r="HFS40" s="66"/>
      <c r="HFT40" s="66"/>
      <c r="HFU40" s="66"/>
      <c r="HFV40" s="66"/>
      <c r="HFW40" s="66"/>
      <c r="HFX40" s="66"/>
      <c r="HFY40" s="66"/>
      <c r="HFZ40" s="66"/>
      <c r="HGA40" s="66"/>
      <c r="HGB40" s="66"/>
      <c r="HGC40" s="66"/>
      <c r="HGD40" s="66"/>
      <c r="HGE40" s="66"/>
      <c r="HGF40" s="66"/>
      <c r="HGG40" s="66"/>
      <c r="HGH40" s="66"/>
      <c r="HGI40" s="66"/>
      <c r="HGJ40" s="66"/>
      <c r="HGK40" s="66"/>
      <c r="HGL40" s="66"/>
      <c r="HGM40" s="66"/>
      <c r="HGN40" s="66"/>
      <c r="HGO40" s="66"/>
      <c r="HGP40" s="66"/>
      <c r="HGQ40" s="66"/>
      <c r="HGR40" s="66"/>
      <c r="HGS40" s="66"/>
      <c r="HGT40" s="66"/>
      <c r="HGU40" s="66"/>
      <c r="HGV40" s="66"/>
      <c r="HGW40" s="66"/>
      <c r="HGX40" s="66"/>
      <c r="HGY40" s="66"/>
      <c r="HGZ40" s="66"/>
      <c r="HHA40" s="66"/>
      <c r="HHB40" s="66"/>
      <c r="HHC40" s="66"/>
      <c r="HHD40" s="66"/>
      <c r="HHE40" s="66"/>
      <c r="HHF40" s="66"/>
      <c r="HHG40" s="66"/>
      <c r="HHH40" s="66"/>
      <c r="HHI40" s="66"/>
      <c r="HHJ40" s="66"/>
      <c r="HHK40" s="66"/>
      <c r="HHL40" s="66"/>
      <c r="HHM40" s="66"/>
      <c r="HHN40" s="66"/>
      <c r="HHO40" s="66"/>
      <c r="HHP40" s="66"/>
      <c r="HHQ40" s="66"/>
      <c r="HHR40" s="66"/>
      <c r="HHS40" s="66"/>
      <c r="HHT40" s="66"/>
      <c r="HHU40" s="66"/>
      <c r="HHV40" s="66"/>
      <c r="HHW40" s="66"/>
      <c r="HHX40" s="66"/>
      <c r="HHY40" s="66"/>
      <c r="HHZ40" s="66"/>
      <c r="HIA40" s="66"/>
      <c r="HIB40" s="66"/>
      <c r="HIC40" s="66"/>
      <c r="HID40" s="66"/>
      <c r="HIE40" s="66"/>
      <c r="HIF40" s="66"/>
      <c r="HIG40" s="66"/>
      <c r="HIH40" s="66"/>
      <c r="HII40" s="66"/>
      <c r="HIJ40" s="66"/>
      <c r="HIK40" s="66"/>
      <c r="HIL40" s="66"/>
      <c r="HIM40" s="66"/>
      <c r="HIN40" s="66"/>
      <c r="HIO40" s="66"/>
      <c r="HIP40" s="66"/>
      <c r="HIQ40" s="66"/>
      <c r="HIR40" s="66"/>
      <c r="HIS40" s="66"/>
      <c r="HIT40" s="66"/>
      <c r="HIU40" s="66"/>
      <c r="HIV40" s="66"/>
      <c r="HIW40" s="66"/>
      <c r="HIX40" s="66"/>
      <c r="HIY40" s="66"/>
      <c r="HIZ40" s="66"/>
      <c r="HJA40" s="66"/>
      <c r="HJB40" s="66"/>
      <c r="HJC40" s="66"/>
      <c r="HJD40" s="66"/>
      <c r="HJE40" s="66"/>
      <c r="HJF40" s="66"/>
      <c r="HJG40" s="66"/>
      <c r="HJH40" s="66"/>
      <c r="HJI40" s="66"/>
      <c r="HJJ40" s="66"/>
      <c r="HJK40" s="66"/>
      <c r="HJL40" s="66"/>
      <c r="HJM40" s="66"/>
      <c r="HJN40" s="66"/>
      <c r="HJO40" s="66"/>
      <c r="HJP40" s="66"/>
      <c r="HJQ40" s="66"/>
      <c r="HJR40" s="66"/>
      <c r="HJS40" s="66"/>
      <c r="HJT40" s="66"/>
      <c r="HJU40" s="66"/>
      <c r="HJV40" s="66"/>
      <c r="HJW40" s="66"/>
      <c r="HJX40" s="66"/>
      <c r="HJY40" s="66"/>
      <c r="HJZ40" s="66"/>
      <c r="HKA40" s="66"/>
      <c r="HKB40" s="66"/>
      <c r="HKC40" s="66"/>
      <c r="HKD40" s="66"/>
      <c r="HKE40" s="66"/>
      <c r="HKF40" s="66"/>
      <c r="HKG40" s="66"/>
      <c r="HKH40" s="66"/>
      <c r="HKI40" s="66"/>
      <c r="HKJ40" s="66"/>
      <c r="HKK40" s="66"/>
      <c r="HKL40" s="66"/>
      <c r="HKM40" s="66"/>
      <c r="HKN40" s="66"/>
      <c r="HKO40" s="66"/>
      <c r="HKP40" s="66"/>
      <c r="HKQ40" s="66"/>
      <c r="HKR40" s="66"/>
      <c r="HKS40" s="66"/>
      <c r="HKT40" s="66"/>
      <c r="HKU40" s="66"/>
      <c r="HKV40" s="66"/>
      <c r="HKW40" s="66"/>
      <c r="HKX40" s="66"/>
      <c r="HKY40" s="66"/>
      <c r="HKZ40" s="66"/>
      <c r="HLA40" s="66"/>
      <c r="HLB40" s="66"/>
      <c r="HLC40" s="66"/>
      <c r="HLD40" s="66"/>
      <c r="HLE40" s="66"/>
      <c r="HLF40" s="66"/>
      <c r="HLG40" s="66"/>
      <c r="HLH40" s="66"/>
      <c r="HLI40" s="66"/>
      <c r="HLJ40" s="66"/>
      <c r="HLK40" s="66"/>
      <c r="HLL40" s="66"/>
      <c r="HLM40" s="66"/>
      <c r="HLN40" s="66"/>
      <c r="HLO40" s="66"/>
      <c r="HLP40" s="66"/>
      <c r="HLQ40" s="66"/>
      <c r="HLR40" s="66"/>
      <c r="HLS40" s="66"/>
      <c r="HLT40" s="66"/>
      <c r="HLU40" s="66"/>
      <c r="HLV40" s="66"/>
      <c r="HLW40" s="66"/>
      <c r="HLX40" s="66"/>
      <c r="HLY40" s="66"/>
      <c r="HLZ40" s="66"/>
      <c r="HMA40" s="66"/>
      <c r="HMB40" s="66"/>
      <c r="HMC40" s="66"/>
      <c r="HMD40" s="66"/>
      <c r="HME40" s="66"/>
      <c r="HMF40" s="66"/>
      <c r="HMG40" s="66"/>
      <c r="HMH40" s="66"/>
      <c r="HMI40" s="66"/>
      <c r="HMJ40" s="66"/>
      <c r="HMK40" s="66"/>
      <c r="HML40" s="66"/>
      <c r="HMM40" s="66"/>
      <c r="HMN40" s="66"/>
      <c r="HMO40" s="66"/>
      <c r="HMP40" s="66"/>
      <c r="HMQ40" s="66"/>
      <c r="HMR40" s="66"/>
      <c r="HMS40" s="66"/>
      <c r="HMT40" s="66"/>
      <c r="HMU40" s="66"/>
      <c r="HMV40" s="66"/>
      <c r="HMW40" s="66"/>
      <c r="HMX40" s="66"/>
      <c r="HMY40" s="66"/>
      <c r="HMZ40" s="66"/>
      <c r="HNA40" s="66"/>
      <c r="HNB40" s="66"/>
      <c r="HNC40" s="66"/>
      <c r="HND40" s="66"/>
      <c r="HNE40" s="66"/>
      <c r="HNF40" s="66"/>
      <c r="HNG40" s="66"/>
      <c r="HNH40" s="66"/>
      <c r="HNI40" s="66"/>
      <c r="HNJ40" s="66"/>
      <c r="HNK40" s="66"/>
      <c r="HNL40" s="66"/>
      <c r="HNM40" s="66"/>
      <c r="HNN40" s="66"/>
      <c r="HNO40" s="66"/>
      <c r="HNP40" s="66"/>
      <c r="HNQ40" s="66"/>
      <c r="HNR40" s="66"/>
      <c r="HNS40" s="66"/>
      <c r="HNT40" s="66"/>
      <c r="HNU40" s="66"/>
      <c r="HNV40" s="66"/>
      <c r="HNW40" s="66"/>
      <c r="HNX40" s="66"/>
      <c r="HNY40" s="66"/>
      <c r="HNZ40" s="66"/>
      <c r="HOA40" s="66"/>
      <c r="HOB40" s="66"/>
      <c r="HOC40" s="66"/>
      <c r="HOD40" s="66"/>
      <c r="HOE40" s="66"/>
      <c r="HOF40" s="66"/>
      <c r="HOG40" s="66"/>
      <c r="HOH40" s="66"/>
      <c r="HOI40" s="66"/>
      <c r="HOJ40" s="66"/>
      <c r="HOK40" s="66"/>
      <c r="HOL40" s="66"/>
      <c r="HOM40" s="66"/>
      <c r="HON40" s="66"/>
      <c r="HOO40" s="66"/>
      <c r="HOP40" s="66"/>
      <c r="HOQ40" s="66"/>
      <c r="HOR40" s="66"/>
      <c r="HOS40" s="66"/>
      <c r="HOT40" s="66"/>
      <c r="HOU40" s="66"/>
      <c r="HOV40" s="66"/>
      <c r="HOW40" s="66"/>
      <c r="HOX40" s="66"/>
      <c r="HOY40" s="66"/>
      <c r="HOZ40" s="66"/>
      <c r="HPA40" s="66"/>
      <c r="HPB40" s="66"/>
      <c r="HPC40" s="66"/>
      <c r="HPD40" s="66"/>
      <c r="HPE40" s="66"/>
      <c r="HPF40" s="66"/>
      <c r="HPG40" s="66"/>
      <c r="HPH40" s="66"/>
      <c r="HPI40" s="66"/>
      <c r="HPJ40" s="66"/>
      <c r="HPK40" s="66"/>
      <c r="HPL40" s="66"/>
      <c r="HPM40" s="66"/>
      <c r="HPN40" s="66"/>
      <c r="HPO40" s="66"/>
      <c r="HPP40" s="66"/>
      <c r="HPQ40" s="66"/>
      <c r="HPR40" s="66"/>
      <c r="HPS40" s="66"/>
      <c r="HPT40" s="66"/>
      <c r="HPU40" s="66"/>
      <c r="HPV40" s="66"/>
      <c r="HPW40" s="66"/>
      <c r="HPX40" s="66"/>
      <c r="HPY40" s="66"/>
      <c r="HPZ40" s="66"/>
      <c r="HQA40" s="66"/>
      <c r="HQB40" s="66"/>
      <c r="HQC40" s="66"/>
      <c r="HQD40" s="66"/>
      <c r="HQE40" s="66"/>
      <c r="HQF40" s="66"/>
      <c r="HQG40" s="66"/>
      <c r="HQH40" s="66"/>
      <c r="HQI40" s="66"/>
      <c r="HQJ40" s="66"/>
      <c r="HQK40" s="66"/>
      <c r="HQL40" s="66"/>
      <c r="HQM40" s="66"/>
      <c r="HQN40" s="66"/>
      <c r="HQO40" s="66"/>
      <c r="HQP40" s="66"/>
      <c r="HQQ40" s="66"/>
      <c r="HQR40" s="66"/>
      <c r="HQS40" s="66"/>
      <c r="HQT40" s="66"/>
      <c r="HQU40" s="66"/>
      <c r="HQV40" s="66"/>
      <c r="HQW40" s="66"/>
      <c r="HQX40" s="66"/>
      <c r="HQY40" s="66"/>
      <c r="HQZ40" s="66"/>
      <c r="HRA40" s="66"/>
      <c r="HRB40" s="66"/>
      <c r="HRC40" s="66"/>
      <c r="HRD40" s="66"/>
      <c r="HRE40" s="66"/>
      <c r="HRF40" s="66"/>
      <c r="HRG40" s="66"/>
      <c r="HRH40" s="66"/>
      <c r="HRI40" s="66"/>
      <c r="HRJ40" s="66"/>
      <c r="HRK40" s="66"/>
      <c r="HRL40" s="66"/>
      <c r="HRM40" s="66"/>
      <c r="HRN40" s="66"/>
      <c r="HRO40" s="66"/>
      <c r="HRP40" s="66"/>
      <c r="HRQ40" s="66"/>
      <c r="HRR40" s="66"/>
      <c r="HRS40" s="66"/>
      <c r="HRT40" s="66"/>
      <c r="HRU40" s="66"/>
      <c r="HRV40" s="66"/>
      <c r="HRW40" s="66"/>
      <c r="HRX40" s="66"/>
      <c r="HRY40" s="66"/>
      <c r="HRZ40" s="66"/>
      <c r="HSA40" s="66"/>
      <c r="HSB40" s="66"/>
      <c r="HSC40" s="66"/>
      <c r="HSD40" s="66"/>
      <c r="HSE40" s="66"/>
      <c r="HSF40" s="66"/>
      <c r="HSG40" s="66"/>
      <c r="HSH40" s="66"/>
      <c r="HSI40" s="66"/>
      <c r="HSJ40" s="66"/>
      <c r="HSK40" s="66"/>
      <c r="HSL40" s="66"/>
      <c r="HSM40" s="66"/>
      <c r="HSN40" s="66"/>
      <c r="HSO40" s="66"/>
      <c r="HSP40" s="66"/>
      <c r="HSQ40" s="66"/>
      <c r="HSR40" s="66"/>
      <c r="HSS40" s="66"/>
      <c r="HST40" s="66"/>
      <c r="HSU40" s="66"/>
      <c r="HSV40" s="66"/>
      <c r="HSW40" s="66"/>
      <c r="HSX40" s="66"/>
      <c r="HSY40" s="66"/>
      <c r="HSZ40" s="66"/>
      <c r="HTA40" s="66"/>
      <c r="HTB40" s="66"/>
      <c r="HTC40" s="66"/>
      <c r="HTD40" s="66"/>
      <c r="HTE40" s="66"/>
      <c r="HTF40" s="66"/>
      <c r="HTG40" s="66"/>
      <c r="HTH40" s="66"/>
      <c r="HTI40" s="66"/>
      <c r="HTJ40" s="66"/>
      <c r="HTK40" s="66"/>
      <c r="HTL40" s="66"/>
      <c r="HTM40" s="66"/>
      <c r="HTN40" s="66"/>
      <c r="HTO40" s="66"/>
      <c r="HTP40" s="66"/>
      <c r="HTQ40" s="66"/>
      <c r="HTR40" s="66"/>
      <c r="HTS40" s="66"/>
      <c r="HTT40" s="66"/>
      <c r="HTU40" s="66"/>
      <c r="HTV40" s="66"/>
      <c r="HTW40" s="66"/>
      <c r="HTX40" s="66"/>
      <c r="HTY40" s="66"/>
      <c r="HTZ40" s="66"/>
      <c r="HUA40" s="66"/>
      <c r="HUB40" s="66"/>
      <c r="HUC40" s="66"/>
      <c r="HUD40" s="66"/>
      <c r="HUE40" s="66"/>
      <c r="HUF40" s="66"/>
      <c r="HUG40" s="66"/>
      <c r="HUH40" s="66"/>
      <c r="HUI40" s="66"/>
      <c r="HUJ40" s="66"/>
      <c r="HUK40" s="66"/>
      <c r="HUL40" s="66"/>
      <c r="HUM40" s="66"/>
      <c r="HUN40" s="66"/>
      <c r="HUO40" s="66"/>
      <c r="HUP40" s="66"/>
      <c r="HUQ40" s="66"/>
      <c r="HUR40" s="66"/>
      <c r="HUS40" s="66"/>
      <c r="HUT40" s="66"/>
      <c r="HUU40" s="66"/>
      <c r="HUV40" s="66"/>
      <c r="HUW40" s="66"/>
      <c r="HUX40" s="66"/>
      <c r="HUY40" s="66"/>
      <c r="HUZ40" s="66"/>
      <c r="HVA40" s="66"/>
      <c r="HVB40" s="66"/>
      <c r="HVC40" s="66"/>
      <c r="HVD40" s="66"/>
      <c r="HVE40" s="66"/>
      <c r="HVF40" s="66"/>
      <c r="HVG40" s="66"/>
      <c r="HVH40" s="66"/>
      <c r="HVI40" s="66"/>
      <c r="HVJ40" s="66"/>
      <c r="HVK40" s="66"/>
      <c r="HVL40" s="66"/>
      <c r="HVM40" s="66"/>
      <c r="HVN40" s="66"/>
      <c r="HVO40" s="66"/>
      <c r="HVP40" s="66"/>
      <c r="HVQ40" s="66"/>
      <c r="HVR40" s="66"/>
      <c r="HVS40" s="66"/>
      <c r="HVT40" s="66"/>
      <c r="HVU40" s="66"/>
      <c r="HVV40" s="66"/>
      <c r="HVW40" s="66"/>
      <c r="HVX40" s="66"/>
      <c r="HVY40" s="66"/>
      <c r="HVZ40" s="66"/>
      <c r="HWA40" s="66"/>
      <c r="HWB40" s="66"/>
      <c r="HWC40" s="66"/>
      <c r="HWD40" s="66"/>
      <c r="HWE40" s="66"/>
      <c r="HWF40" s="66"/>
      <c r="HWG40" s="66"/>
      <c r="HWH40" s="66"/>
      <c r="HWI40" s="66"/>
      <c r="HWJ40" s="66"/>
      <c r="HWK40" s="66"/>
      <c r="HWL40" s="66"/>
      <c r="HWM40" s="66"/>
      <c r="HWN40" s="66"/>
      <c r="HWO40" s="66"/>
      <c r="HWP40" s="66"/>
      <c r="HWQ40" s="66"/>
      <c r="HWR40" s="66"/>
      <c r="HWS40" s="66"/>
      <c r="HWT40" s="66"/>
      <c r="HWU40" s="66"/>
      <c r="HWV40" s="66"/>
      <c r="HWW40" s="66"/>
      <c r="HWX40" s="66"/>
      <c r="HWY40" s="66"/>
      <c r="HWZ40" s="66"/>
      <c r="HXA40" s="66"/>
      <c r="HXB40" s="66"/>
      <c r="HXC40" s="66"/>
      <c r="HXD40" s="66"/>
      <c r="HXE40" s="66"/>
      <c r="HXF40" s="66"/>
      <c r="HXG40" s="66"/>
      <c r="HXH40" s="66"/>
      <c r="HXI40" s="66"/>
      <c r="HXJ40" s="66"/>
      <c r="HXK40" s="66"/>
      <c r="HXL40" s="66"/>
      <c r="HXM40" s="66"/>
      <c r="HXN40" s="66"/>
      <c r="HXO40" s="66"/>
      <c r="HXP40" s="66"/>
      <c r="HXQ40" s="66"/>
      <c r="HXR40" s="66"/>
      <c r="HXS40" s="66"/>
      <c r="HXT40" s="66"/>
      <c r="HXU40" s="66"/>
      <c r="HXV40" s="66"/>
      <c r="HXW40" s="66"/>
      <c r="HXX40" s="66"/>
      <c r="HXY40" s="66"/>
      <c r="HXZ40" s="66"/>
      <c r="HYA40" s="66"/>
      <c r="HYB40" s="66"/>
      <c r="HYC40" s="66"/>
      <c r="HYD40" s="66"/>
      <c r="HYE40" s="66"/>
      <c r="HYF40" s="66"/>
      <c r="HYG40" s="66"/>
      <c r="HYH40" s="66"/>
      <c r="HYI40" s="66"/>
      <c r="HYJ40" s="66"/>
      <c r="HYK40" s="66"/>
      <c r="HYL40" s="66"/>
      <c r="HYM40" s="66"/>
      <c r="HYN40" s="66"/>
      <c r="HYO40" s="66"/>
      <c r="HYP40" s="66"/>
      <c r="HYQ40" s="66"/>
      <c r="HYR40" s="66"/>
      <c r="HYS40" s="66"/>
      <c r="HYT40" s="66"/>
      <c r="HYU40" s="66"/>
      <c r="HYV40" s="66"/>
      <c r="HYW40" s="66"/>
      <c r="HYX40" s="66"/>
      <c r="HYY40" s="66"/>
      <c r="HYZ40" s="66"/>
      <c r="HZA40" s="66"/>
      <c r="HZB40" s="66"/>
      <c r="HZC40" s="66"/>
      <c r="HZD40" s="66"/>
      <c r="HZE40" s="66"/>
      <c r="HZF40" s="66"/>
      <c r="HZG40" s="66"/>
      <c r="HZH40" s="66"/>
      <c r="HZI40" s="66"/>
      <c r="HZJ40" s="66"/>
      <c r="HZK40" s="66"/>
      <c r="HZL40" s="66"/>
      <c r="HZM40" s="66"/>
      <c r="HZN40" s="66"/>
      <c r="HZO40" s="66"/>
      <c r="HZP40" s="66"/>
      <c r="HZQ40" s="66"/>
      <c r="HZR40" s="66"/>
      <c r="HZS40" s="66"/>
      <c r="HZT40" s="66"/>
      <c r="HZU40" s="66"/>
      <c r="HZV40" s="66"/>
      <c r="HZW40" s="66"/>
      <c r="HZX40" s="66"/>
      <c r="HZY40" s="66"/>
      <c r="HZZ40" s="66"/>
      <c r="IAA40" s="66"/>
      <c r="IAB40" s="66"/>
      <c r="IAC40" s="66"/>
      <c r="IAD40" s="66"/>
      <c r="IAE40" s="66"/>
      <c r="IAF40" s="66"/>
      <c r="IAG40" s="66"/>
      <c r="IAH40" s="66"/>
      <c r="IAI40" s="66"/>
      <c r="IAJ40" s="66"/>
      <c r="IAK40" s="66"/>
      <c r="IAL40" s="66"/>
      <c r="IAM40" s="66"/>
      <c r="IAN40" s="66"/>
      <c r="IAO40" s="66"/>
      <c r="IAP40" s="66"/>
      <c r="IAQ40" s="66"/>
      <c r="IAR40" s="66"/>
      <c r="IAS40" s="66"/>
      <c r="IAT40" s="66"/>
      <c r="IAU40" s="66"/>
      <c r="IAV40" s="66"/>
      <c r="IAW40" s="66"/>
      <c r="IAX40" s="66"/>
      <c r="IAY40" s="66"/>
      <c r="IAZ40" s="66"/>
      <c r="IBA40" s="66"/>
      <c r="IBB40" s="66"/>
      <c r="IBC40" s="66"/>
      <c r="IBD40" s="66"/>
      <c r="IBE40" s="66"/>
      <c r="IBF40" s="66"/>
      <c r="IBG40" s="66"/>
      <c r="IBH40" s="66"/>
      <c r="IBI40" s="66"/>
      <c r="IBJ40" s="66"/>
      <c r="IBK40" s="66"/>
      <c r="IBL40" s="66"/>
      <c r="IBM40" s="66"/>
      <c r="IBN40" s="66"/>
      <c r="IBO40" s="66"/>
      <c r="IBP40" s="66"/>
      <c r="IBQ40" s="66"/>
      <c r="IBR40" s="66"/>
      <c r="IBS40" s="66"/>
      <c r="IBT40" s="66"/>
      <c r="IBU40" s="66"/>
      <c r="IBV40" s="66"/>
      <c r="IBW40" s="66"/>
      <c r="IBX40" s="66"/>
      <c r="IBY40" s="66"/>
      <c r="IBZ40" s="66"/>
      <c r="ICA40" s="66"/>
      <c r="ICB40" s="66"/>
      <c r="ICC40" s="66"/>
      <c r="ICD40" s="66"/>
      <c r="ICE40" s="66"/>
      <c r="ICF40" s="66"/>
      <c r="ICG40" s="66"/>
      <c r="ICH40" s="66"/>
      <c r="ICI40" s="66"/>
      <c r="ICJ40" s="66"/>
      <c r="ICK40" s="66"/>
      <c r="ICL40" s="66"/>
      <c r="ICM40" s="66"/>
      <c r="ICN40" s="66"/>
      <c r="ICO40" s="66"/>
      <c r="ICP40" s="66"/>
      <c r="ICQ40" s="66"/>
      <c r="ICR40" s="66"/>
      <c r="ICS40" s="66"/>
      <c r="ICT40" s="66"/>
      <c r="ICU40" s="66"/>
      <c r="ICV40" s="66"/>
      <c r="ICW40" s="66"/>
      <c r="ICX40" s="66"/>
      <c r="ICY40" s="66"/>
      <c r="ICZ40" s="66"/>
      <c r="IDA40" s="66"/>
      <c r="IDB40" s="66"/>
      <c r="IDC40" s="66"/>
      <c r="IDD40" s="66"/>
      <c r="IDE40" s="66"/>
      <c r="IDF40" s="66"/>
      <c r="IDG40" s="66"/>
      <c r="IDH40" s="66"/>
      <c r="IDI40" s="66"/>
      <c r="IDJ40" s="66"/>
      <c r="IDK40" s="66"/>
      <c r="IDL40" s="66"/>
      <c r="IDM40" s="66"/>
      <c r="IDN40" s="66"/>
      <c r="IDO40" s="66"/>
      <c r="IDP40" s="66"/>
      <c r="IDQ40" s="66"/>
      <c r="IDR40" s="66"/>
      <c r="IDS40" s="66"/>
      <c r="IDT40" s="66"/>
      <c r="IDU40" s="66"/>
      <c r="IDV40" s="66"/>
      <c r="IDW40" s="66"/>
      <c r="IDX40" s="66"/>
      <c r="IDY40" s="66"/>
      <c r="IDZ40" s="66"/>
      <c r="IEA40" s="66"/>
      <c r="IEB40" s="66"/>
      <c r="IEC40" s="66"/>
      <c r="IED40" s="66"/>
      <c r="IEE40" s="66"/>
      <c r="IEF40" s="66"/>
      <c r="IEG40" s="66"/>
      <c r="IEH40" s="66"/>
      <c r="IEI40" s="66"/>
      <c r="IEJ40" s="66"/>
      <c r="IEK40" s="66"/>
      <c r="IEL40" s="66"/>
      <c r="IEM40" s="66"/>
      <c r="IEN40" s="66"/>
      <c r="IEO40" s="66"/>
      <c r="IEP40" s="66"/>
      <c r="IEQ40" s="66"/>
      <c r="IER40" s="66"/>
      <c r="IES40" s="66"/>
      <c r="IET40" s="66"/>
      <c r="IEU40" s="66"/>
      <c r="IEV40" s="66"/>
      <c r="IEW40" s="66"/>
      <c r="IEX40" s="66"/>
      <c r="IEY40" s="66"/>
      <c r="IEZ40" s="66"/>
      <c r="IFA40" s="66"/>
      <c r="IFB40" s="66"/>
      <c r="IFC40" s="66"/>
      <c r="IFD40" s="66"/>
      <c r="IFE40" s="66"/>
      <c r="IFF40" s="66"/>
      <c r="IFG40" s="66"/>
      <c r="IFH40" s="66"/>
      <c r="IFI40" s="66"/>
      <c r="IFJ40" s="66"/>
      <c r="IFK40" s="66"/>
      <c r="IFL40" s="66"/>
      <c r="IFM40" s="66"/>
      <c r="IFN40" s="66"/>
      <c r="IFO40" s="66"/>
      <c r="IFP40" s="66"/>
      <c r="IFQ40" s="66"/>
      <c r="IFR40" s="66"/>
      <c r="IFS40" s="66"/>
      <c r="IFT40" s="66"/>
      <c r="IFU40" s="66"/>
      <c r="IFV40" s="66"/>
      <c r="IFW40" s="66"/>
      <c r="IFX40" s="66"/>
      <c r="IFY40" s="66"/>
      <c r="IFZ40" s="66"/>
      <c r="IGA40" s="66"/>
      <c r="IGB40" s="66"/>
      <c r="IGC40" s="66"/>
      <c r="IGD40" s="66"/>
      <c r="IGE40" s="66"/>
      <c r="IGF40" s="66"/>
      <c r="IGG40" s="66"/>
      <c r="IGH40" s="66"/>
      <c r="IGI40" s="66"/>
      <c r="IGJ40" s="66"/>
      <c r="IGK40" s="66"/>
      <c r="IGL40" s="66"/>
      <c r="IGM40" s="66"/>
      <c r="IGN40" s="66"/>
      <c r="IGO40" s="66"/>
      <c r="IGP40" s="66"/>
      <c r="IGQ40" s="66"/>
      <c r="IGR40" s="66"/>
      <c r="IGS40" s="66"/>
      <c r="IGT40" s="66"/>
      <c r="IGU40" s="66"/>
      <c r="IGV40" s="66"/>
      <c r="IGW40" s="66"/>
      <c r="IGX40" s="66"/>
      <c r="IGY40" s="66"/>
      <c r="IGZ40" s="66"/>
      <c r="IHA40" s="66"/>
      <c r="IHB40" s="66"/>
      <c r="IHC40" s="66"/>
      <c r="IHD40" s="66"/>
      <c r="IHE40" s="66"/>
      <c r="IHF40" s="66"/>
      <c r="IHG40" s="66"/>
      <c r="IHH40" s="66"/>
      <c r="IHI40" s="66"/>
      <c r="IHJ40" s="66"/>
      <c r="IHK40" s="66"/>
      <c r="IHL40" s="66"/>
      <c r="IHM40" s="66"/>
      <c r="IHN40" s="66"/>
      <c r="IHO40" s="66"/>
      <c r="IHP40" s="66"/>
      <c r="IHQ40" s="66"/>
      <c r="IHR40" s="66"/>
      <c r="IHS40" s="66"/>
      <c r="IHT40" s="66"/>
      <c r="IHU40" s="66"/>
      <c r="IHV40" s="66"/>
      <c r="IHW40" s="66"/>
      <c r="IHX40" s="66"/>
      <c r="IHY40" s="66"/>
      <c r="IHZ40" s="66"/>
      <c r="IIA40" s="66"/>
      <c r="IIB40" s="66"/>
      <c r="IIC40" s="66"/>
      <c r="IID40" s="66"/>
      <c r="IIE40" s="66"/>
      <c r="IIF40" s="66"/>
      <c r="IIG40" s="66"/>
      <c r="IIH40" s="66"/>
      <c r="III40" s="66"/>
      <c r="IIJ40" s="66"/>
      <c r="IIK40" s="66"/>
      <c r="IIL40" s="66"/>
      <c r="IIM40" s="66"/>
      <c r="IIN40" s="66"/>
      <c r="IIO40" s="66"/>
      <c r="IIP40" s="66"/>
      <c r="IIQ40" s="66"/>
      <c r="IIR40" s="66"/>
      <c r="IIS40" s="66"/>
      <c r="IIT40" s="66"/>
      <c r="IIU40" s="66"/>
      <c r="IIV40" s="66"/>
      <c r="IIW40" s="66"/>
      <c r="IIX40" s="66"/>
      <c r="IIY40" s="66"/>
      <c r="IIZ40" s="66"/>
      <c r="IJA40" s="66"/>
      <c r="IJB40" s="66"/>
      <c r="IJC40" s="66"/>
      <c r="IJD40" s="66"/>
      <c r="IJE40" s="66"/>
      <c r="IJF40" s="66"/>
      <c r="IJG40" s="66"/>
      <c r="IJH40" s="66"/>
      <c r="IJI40" s="66"/>
      <c r="IJJ40" s="66"/>
      <c r="IJK40" s="66"/>
      <c r="IJL40" s="66"/>
      <c r="IJM40" s="66"/>
      <c r="IJN40" s="66"/>
      <c r="IJO40" s="66"/>
      <c r="IJP40" s="66"/>
      <c r="IJQ40" s="66"/>
      <c r="IJR40" s="66"/>
      <c r="IJS40" s="66"/>
      <c r="IJT40" s="66"/>
      <c r="IJU40" s="66"/>
      <c r="IJV40" s="66"/>
      <c r="IJW40" s="66"/>
      <c r="IJX40" s="66"/>
      <c r="IJY40" s="66"/>
      <c r="IJZ40" s="66"/>
      <c r="IKA40" s="66"/>
      <c r="IKB40" s="66"/>
      <c r="IKC40" s="66"/>
      <c r="IKD40" s="66"/>
      <c r="IKE40" s="66"/>
      <c r="IKF40" s="66"/>
      <c r="IKG40" s="66"/>
      <c r="IKH40" s="66"/>
      <c r="IKI40" s="66"/>
      <c r="IKJ40" s="66"/>
      <c r="IKK40" s="66"/>
      <c r="IKL40" s="66"/>
      <c r="IKM40" s="66"/>
      <c r="IKN40" s="66"/>
      <c r="IKO40" s="66"/>
      <c r="IKP40" s="66"/>
      <c r="IKQ40" s="66"/>
      <c r="IKR40" s="66"/>
      <c r="IKS40" s="66"/>
      <c r="IKT40" s="66"/>
      <c r="IKU40" s="66"/>
      <c r="IKV40" s="66"/>
      <c r="IKW40" s="66"/>
      <c r="IKX40" s="66"/>
      <c r="IKY40" s="66"/>
      <c r="IKZ40" s="66"/>
      <c r="ILA40" s="66"/>
      <c r="ILB40" s="66"/>
      <c r="ILC40" s="66"/>
      <c r="ILD40" s="66"/>
      <c r="ILE40" s="66"/>
      <c r="ILF40" s="66"/>
      <c r="ILG40" s="66"/>
      <c r="ILH40" s="66"/>
      <c r="ILI40" s="66"/>
      <c r="ILJ40" s="66"/>
      <c r="ILK40" s="66"/>
      <c r="ILL40" s="66"/>
      <c r="ILM40" s="66"/>
      <c r="ILN40" s="66"/>
      <c r="ILO40" s="66"/>
      <c r="ILP40" s="66"/>
      <c r="ILQ40" s="66"/>
      <c r="ILR40" s="66"/>
      <c r="ILS40" s="66"/>
      <c r="ILT40" s="66"/>
      <c r="ILU40" s="66"/>
      <c r="ILV40" s="66"/>
      <c r="ILW40" s="66"/>
      <c r="ILX40" s="66"/>
      <c r="ILY40" s="66"/>
      <c r="ILZ40" s="66"/>
      <c r="IMA40" s="66"/>
      <c r="IMB40" s="66"/>
      <c r="IMC40" s="66"/>
      <c r="IMD40" s="66"/>
      <c r="IME40" s="66"/>
      <c r="IMF40" s="66"/>
      <c r="IMG40" s="66"/>
      <c r="IMH40" s="66"/>
      <c r="IMI40" s="66"/>
      <c r="IMJ40" s="66"/>
      <c r="IMK40" s="66"/>
      <c r="IML40" s="66"/>
      <c r="IMM40" s="66"/>
      <c r="IMN40" s="66"/>
      <c r="IMO40" s="66"/>
      <c r="IMP40" s="66"/>
      <c r="IMQ40" s="66"/>
      <c r="IMR40" s="66"/>
      <c r="IMS40" s="66"/>
      <c r="IMT40" s="66"/>
      <c r="IMU40" s="66"/>
      <c r="IMV40" s="66"/>
      <c r="IMW40" s="66"/>
      <c r="IMX40" s="66"/>
      <c r="IMY40" s="66"/>
      <c r="IMZ40" s="66"/>
      <c r="INA40" s="66"/>
      <c r="INB40" s="66"/>
      <c r="INC40" s="66"/>
      <c r="IND40" s="66"/>
      <c r="INE40" s="66"/>
      <c r="INF40" s="66"/>
      <c r="ING40" s="66"/>
      <c r="INH40" s="66"/>
      <c r="INI40" s="66"/>
      <c r="INJ40" s="66"/>
      <c r="INK40" s="66"/>
      <c r="INL40" s="66"/>
      <c r="INM40" s="66"/>
      <c r="INN40" s="66"/>
      <c r="INO40" s="66"/>
      <c r="INP40" s="66"/>
      <c r="INQ40" s="66"/>
      <c r="INR40" s="66"/>
      <c r="INS40" s="66"/>
      <c r="INT40" s="66"/>
      <c r="INU40" s="66"/>
      <c r="INV40" s="66"/>
      <c r="INW40" s="66"/>
      <c r="INX40" s="66"/>
      <c r="INY40" s="66"/>
      <c r="INZ40" s="66"/>
      <c r="IOA40" s="66"/>
      <c r="IOB40" s="66"/>
      <c r="IOC40" s="66"/>
      <c r="IOD40" s="66"/>
      <c r="IOE40" s="66"/>
      <c r="IOF40" s="66"/>
      <c r="IOG40" s="66"/>
      <c r="IOH40" s="66"/>
      <c r="IOI40" s="66"/>
      <c r="IOJ40" s="66"/>
      <c r="IOK40" s="66"/>
      <c r="IOL40" s="66"/>
      <c r="IOM40" s="66"/>
      <c r="ION40" s="66"/>
      <c r="IOO40" s="66"/>
      <c r="IOP40" s="66"/>
      <c r="IOQ40" s="66"/>
      <c r="IOR40" s="66"/>
      <c r="IOS40" s="66"/>
      <c r="IOT40" s="66"/>
      <c r="IOU40" s="66"/>
      <c r="IOV40" s="66"/>
      <c r="IOW40" s="66"/>
      <c r="IOX40" s="66"/>
      <c r="IOY40" s="66"/>
      <c r="IOZ40" s="66"/>
      <c r="IPA40" s="66"/>
      <c r="IPB40" s="66"/>
      <c r="IPC40" s="66"/>
      <c r="IPD40" s="66"/>
      <c r="IPE40" s="66"/>
      <c r="IPF40" s="66"/>
      <c r="IPG40" s="66"/>
      <c r="IPH40" s="66"/>
      <c r="IPI40" s="66"/>
      <c r="IPJ40" s="66"/>
      <c r="IPK40" s="66"/>
      <c r="IPL40" s="66"/>
      <c r="IPM40" s="66"/>
      <c r="IPN40" s="66"/>
      <c r="IPO40" s="66"/>
      <c r="IPP40" s="66"/>
      <c r="IPQ40" s="66"/>
      <c r="IPR40" s="66"/>
      <c r="IPS40" s="66"/>
      <c r="IPT40" s="66"/>
      <c r="IPU40" s="66"/>
      <c r="IPV40" s="66"/>
      <c r="IPW40" s="66"/>
      <c r="IPX40" s="66"/>
      <c r="IPY40" s="66"/>
      <c r="IPZ40" s="66"/>
      <c r="IQA40" s="66"/>
      <c r="IQB40" s="66"/>
      <c r="IQC40" s="66"/>
      <c r="IQD40" s="66"/>
      <c r="IQE40" s="66"/>
      <c r="IQF40" s="66"/>
      <c r="IQG40" s="66"/>
      <c r="IQH40" s="66"/>
      <c r="IQI40" s="66"/>
      <c r="IQJ40" s="66"/>
      <c r="IQK40" s="66"/>
      <c r="IQL40" s="66"/>
      <c r="IQM40" s="66"/>
      <c r="IQN40" s="66"/>
      <c r="IQO40" s="66"/>
      <c r="IQP40" s="66"/>
      <c r="IQQ40" s="66"/>
      <c r="IQR40" s="66"/>
      <c r="IQS40" s="66"/>
      <c r="IQT40" s="66"/>
      <c r="IQU40" s="66"/>
      <c r="IQV40" s="66"/>
      <c r="IQW40" s="66"/>
      <c r="IQX40" s="66"/>
      <c r="IQY40" s="66"/>
      <c r="IQZ40" s="66"/>
      <c r="IRA40" s="66"/>
      <c r="IRB40" s="66"/>
      <c r="IRC40" s="66"/>
      <c r="IRD40" s="66"/>
      <c r="IRE40" s="66"/>
      <c r="IRF40" s="66"/>
      <c r="IRG40" s="66"/>
      <c r="IRH40" s="66"/>
      <c r="IRI40" s="66"/>
      <c r="IRJ40" s="66"/>
      <c r="IRK40" s="66"/>
      <c r="IRL40" s="66"/>
      <c r="IRM40" s="66"/>
      <c r="IRN40" s="66"/>
      <c r="IRO40" s="66"/>
      <c r="IRP40" s="66"/>
      <c r="IRQ40" s="66"/>
      <c r="IRR40" s="66"/>
      <c r="IRS40" s="66"/>
      <c r="IRT40" s="66"/>
      <c r="IRU40" s="66"/>
      <c r="IRV40" s="66"/>
      <c r="IRW40" s="66"/>
      <c r="IRX40" s="66"/>
      <c r="IRY40" s="66"/>
      <c r="IRZ40" s="66"/>
      <c r="ISA40" s="66"/>
      <c r="ISB40" s="66"/>
      <c r="ISC40" s="66"/>
      <c r="ISD40" s="66"/>
      <c r="ISE40" s="66"/>
      <c r="ISF40" s="66"/>
      <c r="ISG40" s="66"/>
      <c r="ISH40" s="66"/>
      <c r="ISI40" s="66"/>
      <c r="ISJ40" s="66"/>
      <c r="ISK40" s="66"/>
      <c r="ISL40" s="66"/>
      <c r="ISM40" s="66"/>
      <c r="ISN40" s="66"/>
      <c r="ISO40" s="66"/>
      <c r="ISP40" s="66"/>
      <c r="ISQ40" s="66"/>
      <c r="ISR40" s="66"/>
      <c r="ISS40" s="66"/>
      <c r="IST40" s="66"/>
      <c r="ISU40" s="66"/>
      <c r="ISV40" s="66"/>
      <c r="ISW40" s="66"/>
      <c r="ISX40" s="66"/>
      <c r="ISY40" s="66"/>
      <c r="ISZ40" s="66"/>
      <c r="ITA40" s="66"/>
      <c r="ITB40" s="66"/>
      <c r="ITC40" s="66"/>
      <c r="ITD40" s="66"/>
      <c r="ITE40" s="66"/>
      <c r="ITF40" s="66"/>
      <c r="ITG40" s="66"/>
      <c r="ITH40" s="66"/>
      <c r="ITI40" s="66"/>
      <c r="ITJ40" s="66"/>
      <c r="ITK40" s="66"/>
      <c r="ITL40" s="66"/>
      <c r="ITM40" s="66"/>
      <c r="ITN40" s="66"/>
      <c r="ITO40" s="66"/>
      <c r="ITP40" s="66"/>
      <c r="ITQ40" s="66"/>
      <c r="ITR40" s="66"/>
      <c r="ITS40" s="66"/>
      <c r="ITT40" s="66"/>
      <c r="ITU40" s="66"/>
      <c r="ITV40" s="66"/>
      <c r="ITW40" s="66"/>
      <c r="ITX40" s="66"/>
      <c r="ITY40" s="66"/>
      <c r="ITZ40" s="66"/>
      <c r="IUA40" s="66"/>
      <c r="IUB40" s="66"/>
      <c r="IUC40" s="66"/>
      <c r="IUD40" s="66"/>
      <c r="IUE40" s="66"/>
      <c r="IUF40" s="66"/>
      <c r="IUG40" s="66"/>
      <c r="IUH40" s="66"/>
      <c r="IUI40" s="66"/>
      <c r="IUJ40" s="66"/>
      <c r="IUK40" s="66"/>
      <c r="IUL40" s="66"/>
      <c r="IUM40" s="66"/>
      <c r="IUN40" s="66"/>
      <c r="IUO40" s="66"/>
      <c r="IUP40" s="66"/>
      <c r="IUQ40" s="66"/>
      <c r="IUR40" s="66"/>
      <c r="IUS40" s="66"/>
      <c r="IUT40" s="66"/>
      <c r="IUU40" s="66"/>
      <c r="IUV40" s="66"/>
      <c r="IUW40" s="66"/>
      <c r="IUX40" s="66"/>
      <c r="IUY40" s="66"/>
      <c r="IUZ40" s="66"/>
      <c r="IVA40" s="66"/>
      <c r="IVB40" s="66"/>
      <c r="IVC40" s="66"/>
      <c r="IVD40" s="66"/>
      <c r="IVE40" s="66"/>
      <c r="IVF40" s="66"/>
      <c r="IVG40" s="66"/>
      <c r="IVH40" s="66"/>
      <c r="IVI40" s="66"/>
      <c r="IVJ40" s="66"/>
      <c r="IVK40" s="66"/>
      <c r="IVL40" s="66"/>
      <c r="IVM40" s="66"/>
      <c r="IVN40" s="66"/>
      <c r="IVO40" s="66"/>
      <c r="IVP40" s="66"/>
      <c r="IVQ40" s="66"/>
      <c r="IVR40" s="66"/>
      <c r="IVS40" s="66"/>
      <c r="IVT40" s="66"/>
      <c r="IVU40" s="66"/>
      <c r="IVV40" s="66"/>
      <c r="IVW40" s="66"/>
      <c r="IVX40" s="66"/>
      <c r="IVY40" s="66"/>
      <c r="IVZ40" s="66"/>
      <c r="IWA40" s="66"/>
      <c r="IWB40" s="66"/>
      <c r="IWC40" s="66"/>
      <c r="IWD40" s="66"/>
      <c r="IWE40" s="66"/>
      <c r="IWF40" s="66"/>
      <c r="IWG40" s="66"/>
      <c r="IWH40" s="66"/>
      <c r="IWI40" s="66"/>
      <c r="IWJ40" s="66"/>
      <c r="IWK40" s="66"/>
      <c r="IWL40" s="66"/>
      <c r="IWM40" s="66"/>
      <c r="IWN40" s="66"/>
      <c r="IWO40" s="66"/>
      <c r="IWP40" s="66"/>
      <c r="IWQ40" s="66"/>
      <c r="IWR40" s="66"/>
      <c r="IWS40" s="66"/>
      <c r="IWT40" s="66"/>
      <c r="IWU40" s="66"/>
      <c r="IWV40" s="66"/>
      <c r="IWW40" s="66"/>
      <c r="IWX40" s="66"/>
      <c r="IWY40" s="66"/>
      <c r="IWZ40" s="66"/>
      <c r="IXA40" s="66"/>
      <c r="IXB40" s="66"/>
      <c r="IXC40" s="66"/>
      <c r="IXD40" s="66"/>
      <c r="IXE40" s="66"/>
      <c r="IXF40" s="66"/>
      <c r="IXG40" s="66"/>
      <c r="IXH40" s="66"/>
      <c r="IXI40" s="66"/>
      <c r="IXJ40" s="66"/>
      <c r="IXK40" s="66"/>
      <c r="IXL40" s="66"/>
      <c r="IXM40" s="66"/>
      <c r="IXN40" s="66"/>
      <c r="IXO40" s="66"/>
      <c r="IXP40" s="66"/>
      <c r="IXQ40" s="66"/>
      <c r="IXR40" s="66"/>
      <c r="IXS40" s="66"/>
      <c r="IXT40" s="66"/>
      <c r="IXU40" s="66"/>
      <c r="IXV40" s="66"/>
      <c r="IXW40" s="66"/>
      <c r="IXX40" s="66"/>
      <c r="IXY40" s="66"/>
      <c r="IXZ40" s="66"/>
      <c r="IYA40" s="66"/>
      <c r="IYB40" s="66"/>
      <c r="IYC40" s="66"/>
      <c r="IYD40" s="66"/>
      <c r="IYE40" s="66"/>
      <c r="IYF40" s="66"/>
      <c r="IYG40" s="66"/>
      <c r="IYH40" s="66"/>
      <c r="IYI40" s="66"/>
      <c r="IYJ40" s="66"/>
      <c r="IYK40" s="66"/>
      <c r="IYL40" s="66"/>
      <c r="IYM40" s="66"/>
      <c r="IYN40" s="66"/>
      <c r="IYO40" s="66"/>
      <c r="IYP40" s="66"/>
      <c r="IYQ40" s="66"/>
      <c r="IYR40" s="66"/>
      <c r="IYS40" s="66"/>
      <c r="IYT40" s="66"/>
      <c r="IYU40" s="66"/>
      <c r="IYV40" s="66"/>
      <c r="IYW40" s="66"/>
      <c r="IYX40" s="66"/>
      <c r="IYY40" s="66"/>
      <c r="IYZ40" s="66"/>
      <c r="IZA40" s="66"/>
      <c r="IZB40" s="66"/>
      <c r="IZC40" s="66"/>
      <c r="IZD40" s="66"/>
      <c r="IZE40" s="66"/>
      <c r="IZF40" s="66"/>
      <c r="IZG40" s="66"/>
      <c r="IZH40" s="66"/>
      <c r="IZI40" s="66"/>
      <c r="IZJ40" s="66"/>
      <c r="IZK40" s="66"/>
      <c r="IZL40" s="66"/>
      <c r="IZM40" s="66"/>
      <c r="IZN40" s="66"/>
      <c r="IZO40" s="66"/>
      <c r="IZP40" s="66"/>
      <c r="IZQ40" s="66"/>
      <c r="IZR40" s="66"/>
      <c r="IZS40" s="66"/>
      <c r="IZT40" s="66"/>
      <c r="IZU40" s="66"/>
      <c r="IZV40" s="66"/>
      <c r="IZW40" s="66"/>
      <c r="IZX40" s="66"/>
      <c r="IZY40" s="66"/>
      <c r="IZZ40" s="66"/>
      <c r="JAA40" s="66"/>
      <c r="JAB40" s="66"/>
      <c r="JAC40" s="66"/>
      <c r="JAD40" s="66"/>
      <c r="JAE40" s="66"/>
      <c r="JAF40" s="66"/>
      <c r="JAG40" s="66"/>
      <c r="JAH40" s="66"/>
      <c r="JAI40" s="66"/>
      <c r="JAJ40" s="66"/>
      <c r="JAK40" s="66"/>
      <c r="JAL40" s="66"/>
      <c r="JAM40" s="66"/>
      <c r="JAN40" s="66"/>
      <c r="JAO40" s="66"/>
      <c r="JAP40" s="66"/>
      <c r="JAQ40" s="66"/>
      <c r="JAR40" s="66"/>
      <c r="JAS40" s="66"/>
      <c r="JAT40" s="66"/>
      <c r="JAU40" s="66"/>
      <c r="JAV40" s="66"/>
      <c r="JAW40" s="66"/>
      <c r="JAX40" s="66"/>
      <c r="JAY40" s="66"/>
      <c r="JAZ40" s="66"/>
      <c r="JBA40" s="66"/>
      <c r="JBB40" s="66"/>
      <c r="JBC40" s="66"/>
      <c r="JBD40" s="66"/>
      <c r="JBE40" s="66"/>
      <c r="JBF40" s="66"/>
      <c r="JBG40" s="66"/>
      <c r="JBH40" s="66"/>
      <c r="JBI40" s="66"/>
      <c r="JBJ40" s="66"/>
      <c r="JBK40" s="66"/>
      <c r="JBL40" s="66"/>
      <c r="JBM40" s="66"/>
      <c r="JBN40" s="66"/>
      <c r="JBO40" s="66"/>
      <c r="JBP40" s="66"/>
      <c r="JBQ40" s="66"/>
      <c r="JBR40" s="66"/>
      <c r="JBS40" s="66"/>
      <c r="JBT40" s="66"/>
      <c r="JBU40" s="66"/>
      <c r="JBV40" s="66"/>
      <c r="JBW40" s="66"/>
      <c r="JBX40" s="66"/>
      <c r="JBY40" s="66"/>
      <c r="JBZ40" s="66"/>
      <c r="JCA40" s="66"/>
      <c r="JCB40" s="66"/>
      <c r="JCC40" s="66"/>
      <c r="JCD40" s="66"/>
      <c r="JCE40" s="66"/>
      <c r="JCF40" s="66"/>
      <c r="JCG40" s="66"/>
      <c r="JCH40" s="66"/>
      <c r="JCI40" s="66"/>
      <c r="JCJ40" s="66"/>
      <c r="JCK40" s="66"/>
      <c r="JCL40" s="66"/>
      <c r="JCM40" s="66"/>
      <c r="JCN40" s="66"/>
      <c r="JCO40" s="66"/>
      <c r="JCP40" s="66"/>
      <c r="JCQ40" s="66"/>
      <c r="JCR40" s="66"/>
      <c r="JCS40" s="66"/>
      <c r="JCT40" s="66"/>
      <c r="JCU40" s="66"/>
      <c r="JCV40" s="66"/>
      <c r="JCW40" s="66"/>
      <c r="JCX40" s="66"/>
      <c r="JCY40" s="66"/>
      <c r="JCZ40" s="66"/>
      <c r="JDA40" s="66"/>
      <c r="JDB40" s="66"/>
      <c r="JDC40" s="66"/>
      <c r="JDD40" s="66"/>
      <c r="JDE40" s="66"/>
      <c r="JDF40" s="66"/>
      <c r="JDG40" s="66"/>
      <c r="JDH40" s="66"/>
      <c r="JDI40" s="66"/>
      <c r="JDJ40" s="66"/>
      <c r="JDK40" s="66"/>
      <c r="JDL40" s="66"/>
      <c r="JDM40" s="66"/>
      <c r="JDN40" s="66"/>
      <c r="JDO40" s="66"/>
      <c r="JDP40" s="66"/>
      <c r="JDQ40" s="66"/>
      <c r="JDR40" s="66"/>
      <c r="JDS40" s="66"/>
      <c r="JDT40" s="66"/>
      <c r="JDU40" s="66"/>
      <c r="JDV40" s="66"/>
      <c r="JDW40" s="66"/>
      <c r="JDX40" s="66"/>
      <c r="JDY40" s="66"/>
      <c r="JDZ40" s="66"/>
      <c r="JEA40" s="66"/>
      <c r="JEB40" s="66"/>
      <c r="JEC40" s="66"/>
      <c r="JED40" s="66"/>
      <c r="JEE40" s="66"/>
      <c r="JEF40" s="66"/>
      <c r="JEG40" s="66"/>
      <c r="JEH40" s="66"/>
      <c r="JEI40" s="66"/>
      <c r="JEJ40" s="66"/>
      <c r="JEK40" s="66"/>
      <c r="JEL40" s="66"/>
      <c r="JEM40" s="66"/>
      <c r="JEN40" s="66"/>
      <c r="JEO40" s="66"/>
      <c r="JEP40" s="66"/>
      <c r="JEQ40" s="66"/>
      <c r="JER40" s="66"/>
      <c r="JES40" s="66"/>
      <c r="JET40" s="66"/>
      <c r="JEU40" s="66"/>
      <c r="JEV40" s="66"/>
      <c r="JEW40" s="66"/>
      <c r="JEX40" s="66"/>
      <c r="JEY40" s="66"/>
      <c r="JEZ40" s="66"/>
      <c r="JFA40" s="66"/>
      <c r="JFB40" s="66"/>
      <c r="JFC40" s="66"/>
      <c r="JFD40" s="66"/>
      <c r="JFE40" s="66"/>
      <c r="JFF40" s="66"/>
      <c r="JFG40" s="66"/>
      <c r="JFH40" s="66"/>
      <c r="JFI40" s="66"/>
      <c r="JFJ40" s="66"/>
      <c r="JFK40" s="66"/>
      <c r="JFL40" s="66"/>
      <c r="JFM40" s="66"/>
      <c r="JFN40" s="66"/>
      <c r="JFO40" s="66"/>
      <c r="JFP40" s="66"/>
      <c r="JFQ40" s="66"/>
      <c r="JFR40" s="66"/>
      <c r="JFS40" s="66"/>
      <c r="JFT40" s="66"/>
      <c r="JFU40" s="66"/>
      <c r="JFV40" s="66"/>
      <c r="JFW40" s="66"/>
      <c r="JFX40" s="66"/>
      <c r="JFY40" s="66"/>
      <c r="JFZ40" s="66"/>
      <c r="JGA40" s="66"/>
      <c r="JGB40" s="66"/>
      <c r="JGC40" s="66"/>
      <c r="JGD40" s="66"/>
      <c r="JGE40" s="66"/>
      <c r="JGF40" s="66"/>
      <c r="JGG40" s="66"/>
      <c r="JGH40" s="66"/>
      <c r="JGI40" s="66"/>
      <c r="JGJ40" s="66"/>
      <c r="JGK40" s="66"/>
      <c r="JGL40" s="66"/>
      <c r="JGM40" s="66"/>
      <c r="JGN40" s="66"/>
      <c r="JGO40" s="66"/>
      <c r="JGP40" s="66"/>
      <c r="JGQ40" s="66"/>
      <c r="JGR40" s="66"/>
      <c r="JGS40" s="66"/>
      <c r="JGT40" s="66"/>
      <c r="JGU40" s="66"/>
      <c r="JGV40" s="66"/>
      <c r="JGW40" s="66"/>
      <c r="JGX40" s="66"/>
      <c r="JGY40" s="66"/>
      <c r="JGZ40" s="66"/>
      <c r="JHA40" s="66"/>
      <c r="JHB40" s="66"/>
      <c r="JHC40" s="66"/>
      <c r="JHD40" s="66"/>
      <c r="JHE40" s="66"/>
      <c r="JHF40" s="66"/>
      <c r="JHG40" s="66"/>
      <c r="JHH40" s="66"/>
      <c r="JHI40" s="66"/>
      <c r="JHJ40" s="66"/>
      <c r="JHK40" s="66"/>
      <c r="JHL40" s="66"/>
      <c r="JHM40" s="66"/>
      <c r="JHN40" s="66"/>
      <c r="JHO40" s="66"/>
      <c r="JHP40" s="66"/>
      <c r="JHQ40" s="66"/>
      <c r="JHR40" s="66"/>
      <c r="JHS40" s="66"/>
      <c r="JHT40" s="66"/>
      <c r="JHU40" s="66"/>
      <c r="JHV40" s="66"/>
      <c r="JHW40" s="66"/>
      <c r="JHX40" s="66"/>
      <c r="JHY40" s="66"/>
      <c r="JHZ40" s="66"/>
      <c r="JIA40" s="66"/>
      <c r="JIB40" s="66"/>
      <c r="JIC40" s="66"/>
      <c r="JID40" s="66"/>
      <c r="JIE40" s="66"/>
      <c r="JIF40" s="66"/>
      <c r="JIG40" s="66"/>
      <c r="JIH40" s="66"/>
      <c r="JII40" s="66"/>
      <c r="JIJ40" s="66"/>
      <c r="JIK40" s="66"/>
      <c r="JIL40" s="66"/>
      <c r="JIM40" s="66"/>
      <c r="JIN40" s="66"/>
      <c r="JIO40" s="66"/>
      <c r="JIP40" s="66"/>
      <c r="JIQ40" s="66"/>
      <c r="JIR40" s="66"/>
      <c r="JIS40" s="66"/>
      <c r="JIT40" s="66"/>
      <c r="JIU40" s="66"/>
      <c r="JIV40" s="66"/>
      <c r="JIW40" s="66"/>
      <c r="JIX40" s="66"/>
      <c r="JIY40" s="66"/>
      <c r="JIZ40" s="66"/>
      <c r="JJA40" s="66"/>
      <c r="JJB40" s="66"/>
      <c r="JJC40" s="66"/>
      <c r="JJD40" s="66"/>
      <c r="JJE40" s="66"/>
      <c r="JJF40" s="66"/>
      <c r="JJG40" s="66"/>
      <c r="JJH40" s="66"/>
      <c r="JJI40" s="66"/>
      <c r="JJJ40" s="66"/>
      <c r="JJK40" s="66"/>
      <c r="JJL40" s="66"/>
      <c r="JJM40" s="66"/>
      <c r="JJN40" s="66"/>
      <c r="JJO40" s="66"/>
      <c r="JJP40" s="66"/>
      <c r="JJQ40" s="66"/>
      <c r="JJR40" s="66"/>
      <c r="JJS40" s="66"/>
      <c r="JJT40" s="66"/>
      <c r="JJU40" s="66"/>
      <c r="JJV40" s="66"/>
      <c r="JJW40" s="66"/>
      <c r="JJX40" s="66"/>
      <c r="JJY40" s="66"/>
      <c r="JJZ40" s="66"/>
      <c r="JKA40" s="66"/>
      <c r="JKB40" s="66"/>
      <c r="JKC40" s="66"/>
      <c r="JKD40" s="66"/>
      <c r="JKE40" s="66"/>
      <c r="JKF40" s="66"/>
      <c r="JKG40" s="66"/>
      <c r="JKH40" s="66"/>
      <c r="JKI40" s="66"/>
      <c r="JKJ40" s="66"/>
      <c r="JKK40" s="66"/>
      <c r="JKL40" s="66"/>
      <c r="JKM40" s="66"/>
      <c r="JKN40" s="66"/>
      <c r="JKO40" s="66"/>
      <c r="JKP40" s="66"/>
      <c r="JKQ40" s="66"/>
      <c r="JKR40" s="66"/>
      <c r="JKS40" s="66"/>
      <c r="JKT40" s="66"/>
      <c r="JKU40" s="66"/>
      <c r="JKV40" s="66"/>
      <c r="JKW40" s="66"/>
      <c r="JKX40" s="66"/>
      <c r="JKY40" s="66"/>
      <c r="JKZ40" s="66"/>
      <c r="JLA40" s="66"/>
      <c r="JLB40" s="66"/>
      <c r="JLC40" s="66"/>
      <c r="JLD40" s="66"/>
      <c r="JLE40" s="66"/>
      <c r="JLF40" s="66"/>
      <c r="JLG40" s="66"/>
      <c r="JLH40" s="66"/>
      <c r="JLI40" s="66"/>
      <c r="JLJ40" s="66"/>
      <c r="JLK40" s="66"/>
      <c r="JLL40" s="66"/>
      <c r="JLM40" s="66"/>
      <c r="JLN40" s="66"/>
      <c r="JLO40" s="66"/>
      <c r="JLP40" s="66"/>
      <c r="JLQ40" s="66"/>
      <c r="JLR40" s="66"/>
      <c r="JLS40" s="66"/>
      <c r="JLT40" s="66"/>
      <c r="JLU40" s="66"/>
      <c r="JLV40" s="66"/>
      <c r="JLW40" s="66"/>
      <c r="JLX40" s="66"/>
      <c r="JLY40" s="66"/>
      <c r="JLZ40" s="66"/>
      <c r="JMA40" s="66"/>
      <c r="JMB40" s="66"/>
      <c r="JMC40" s="66"/>
      <c r="JMD40" s="66"/>
      <c r="JME40" s="66"/>
      <c r="JMF40" s="66"/>
      <c r="JMG40" s="66"/>
      <c r="JMH40" s="66"/>
      <c r="JMI40" s="66"/>
      <c r="JMJ40" s="66"/>
      <c r="JMK40" s="66"/>
      <c r="JML40" s="66"/>
      <c r="JMM40" s="66"/>
      <c r="JMN40" s="66"/>
      <c r="JMO40" s="66"/>
      <c r="JMP40" s="66"/>
      <c r="JMQ40" s="66"/>
      <c r="JMR40" s="66"/>
      <c r="JMS40" s="66"/>
      <c r="JMT40" s="66"/>
      <c r="JMU40" s="66"/>
      <c r="JMV40" s="66"/>
      <c r="JMW40" s="66"/>
      <c r="JMX40" s="66"/>
      <c r="JMY40" s="66"/>
      <c r="JMZ40" s="66"/>
      <c r="JNA40" s="66"/>
      <c r="JNB40" s="66"/>
      <c r="JNC40" s="66"/>
      <c r="JND40" s="66"/>
      <c r="JNE40" s="66"/>
      <c r="JNF40" s="66"/>
      <c r="JNG40" s="66"/>
      <c r="JNH40" s="66"/>
      <c r="JNI40" s="66"/>
      <c r="JNJ40" s="66"/>
      <c r="JNK40" s="66"/>
      <c r="JNL40" s="66"/>
      <c r="JNM40" s="66"/>
      <c r="JNN40" s="66"/>
      <c r="JNO40" s="66"/>
      <c r="JNP40" s="66"/>
      <c r="JNQ40" s="66"/>
      <c r="JNR40" s="66"/>
      <c r="JNS40" s="66"/>
      <c r="JNT40" s="66"/>
      <c r="JNU40" s="66"/>
      <c r="JNV40" s="66"/>
      <c r="JNW40" s="66"/>
      <c r="JNX40" s="66"/>
      <c r="JNY40" s="66"/>
      <c r="JNZ40" s="66"/>
      <c r="JOA40" s="66"/>
      <c r="JOB40" s="66"/>
      <c r="JOC40" s="66"/>
      <c r="JOD40" s="66"/>
      <c r="JOE40" s="66"/>
      <c r="JOF40" s="66"/>
      <c r="JOG40" s="66"/>
      <c r="JOH40" s="66"/>
      <c r="JOI40" s="66"/>
      <c r="JOJ40" s="66"/>
      <c r="JOK40" s="66"/>
      <c r="JOL40" s="66"/>
      <c r="JOM40" s="66"/>
      <c r="JON40" s="66"/>
      <c r="JOO40" s="66"/>
      <c r="JOP40" s="66"/>
      <c r="JOQ40" s="66"/>
      <c r="JOR40" s="66"/>
      <c r="JOS40" s="66"/>
      <c r="JOT40" s="66"/>
      <c r="JOU40" s="66"/>
      <c r="JOV40" s="66"/>
      <c r="JOW40" s="66"/>
      <c r="JOX40" s="66"/>
      <c r="JOY40" s="66"/>
      <c r="JOZ40" s="66"/>
      <c r="JPA40" s="66"/>
      <c r="JPB40" s="66"/>
      <c r="JPC40" s="66"/>
      <c r="JPD40" s="66"/>
      <c r="JPE40" s="66"/>
      <c r="JPF40" s="66"/>
      <c r="JPG40" s="66"/>
      <c r="JPH40" s="66"/>
      <c r="JPI40" s="66"/>
      <c r="JPJ40" s="66"/>
      <c r="JPK40" s="66"/>
      <c r="JPL40" s="66"/>
      <c r="JPM40" s="66"/>
      <c r="JPN40" s="66"/>
      <c r="JPO40" s="66"/>
      <c r="JPP40" s="66"/>
      <c r="JPQ40" s="66"/>
      <c r="JPR40" s="66"/>
      <c r="JPS40" s="66"/>
      <c r="JPT40" s="66"/>
      <c r="JPU40" s="66"/>
      <c r="JPV40" s="66"/>
      <c r="JPW40" s="66"/>
      <c r="JPX40" s="66"/>
      <c r="JPY40" s="66"/>
      <c r="JPZ40" s="66"/>
      <c r="JQA40" s="66"/>
      <c r="JQB40" s="66"/>
      <c r="JQC40" s="66"/>
      <c r="JQD40" s="66"/>
      <c r="JQE40" s="66"/>
      <c r="JQF40" s="66"/>
      <c r="JQG40" s="66"/>
      <c r="JQH40" s="66"/>
      <c r="JQI40" s="66"/>
      <c r="JQJ40" s="66"/>
      <c r="JQK40" s="66"/>
      <c r="JQL40" s="66"/>
      <c r="JQM40" s="66"/>
      <c r="JQN40" s="66"/>
      <c r="JQO40" s="66"/>
      <c r="JQP40" s="66"/>
      <c r="JQQ40" s="66"/>
      <c r="JQR40" s="66"/>
      <c r="JQS40" s="66"/>
      <c r="JQT40" s="66"/>
      <c r="JQU40" s="66"/>
      <c r="JQV40" s="66"/>
      <c r="JQW40" s="66"/>
      <c r="JQX40" s="66"/>
      <c r="JQY40" s="66"/>
      <c r="JQZ40" s="66"/>
      <c r="JRA40" s="66"/>
      <c r="JRB40" s="66"/>
      <c r="JRC40" s="66"/>
      <c r="JRD40" s="66"/>
      <c r="JRE40" s="66"/>
      <c r="JRF40" s="66"/>
      <c r="JRG40" s="66"/>
      <c r="JRH40" s="66"/>
      <c r="JRI40" s="66"/>
      <c r="JRJ40" s="66"/>
      <c r="JRK40" s="66"/>
      <c r="JRL40" s="66"/>
      <c r="JRM40" s="66"/>
      <c r="JRN40" s="66"/>
      <c r="JRO40" s="66"/>
      <c r="JRP40" s="66"/>
      <c r="JRQ40" s="66"/>
      <c r="JRR40" s="66"/>
      <c r="JRS40" s="66"/>
      <c r="JRT40" s="66"/>
      <c r="JRU40" s="66"/>
      <c r="JRV40" s="66"/>
      <c r="JRW40" s="66"/>
      <c r="JRX40" s="66"/>
      <c r="JRY40" s="66"/>
      <c r="JRZ40" s="66"/>
      <c r="JSA40" s="66"/>
      <c r="JSB40" s="66"/>
      <c r="JSC40" s="66"/>
      <c r="JSD40" s="66"/>
      <c r="JSE40" s="66"/>
      <c r="JSF40" s="66"/>
      <c r="JSG40" s="66"/>
      <c r="JSH40" s="66"/>
      <c r="JSI40" s="66"/>
      <c r="JSJ40" s="66"/>
      <c r="JSK40" s="66"/>
      <c r="JSL40" s="66"/>
      <c r="JSM40" s="66"/>
      <c r="JSN40" s="66"/>
      <c r="JSO40" s="66"/>
      <c r="JSP40" s="66"/>
      <c r="JSQ40" s="66"/>
      <c r="JSR40" s="66"/>
      <c r="JSS40" s="66"/>
      <c r="JST40" s="66"/>
      <c r="JSU40" s="66"/>
      <c r="JSV40" s="66"/>
      <c r="JSW40" s="66"/>
      <c r="JSX40" s="66"/>
      <c r="JSY40" s="66"/>
      <c r="JSZ40" s="66"/>
      <c r="JTA40" s="66"/>
      <c r="JTB40" s="66"/>
      <c r="JTC40" s="66"/>
      <c r="JTD40" s="66"/>
      <c r="JTE40" s="66"/>
      <c r="JTF40" s="66"/>
      <c r="JTG40" s="66"/>
      <c r="JTH40" s="66"/>
      <c r="JTI40" s="66"/>
      <c r="JTJ40" s="66"/>
      <c r="JTK40" s="66"/>
      <c r="JTL40" s="66"/>
      <c r="JTM40" s="66"/>
      <c r="JTN40" s="66"/>
      <c r="JTO40" s="66"/>
      <c r="JTP40" s="66"/>
      <c r="JTQ40" s="66"/>
      <c r="JTR40" s="66"/>
      <c r="JTS40" s="66"/>
      <c r="JTT40" s="66"/>
      <c r="JTU40" s="66"/>
      <c r="JTV40" s="66"/>
      <c r="JTW40" s="66"/>
      <c r="JTX40" s="66"/>
      <c r="JTY40" s="66"/>
      <c r="JTZ40" s="66"/>
      <c r="JUA40" s="66"/>
      <c r="JUB40" s="66"/>
      <c r="JUC40" s="66"/>
      <c r="JUD40" s="66"/>
      <c r="JUE40" s="66"/>
      <c r="JUF40" s="66"/>
      <c r="JUG40" s="66"/>
      <c r="JUH40" s="66"/>
      <c r="JUI40" s="66"/>
      <c r="JUJ40" s="66"/>
      <c r="JUK40" s="66"/>
      <c r="JUL40" s="66"/>
      <c r="JUM40" s="66"/>
      <c r="JUN40" s="66"/>
      <c r="JUO40" s="66"/>
      <c r="JUP40" s="66"/>
      <c r="JUQ40" s="66"/>
      <c r="JUR40" s="66"/>
      <c r="JUS40" s="66"/>
      <c r="JUT40" s="66"/>
      <c r="JUU40" s="66"/>
      <c r="JUV40" s="66"/>
      <c r="JUW40" s="66"/>
      <c r="JUX40" s="66"/>
      <c r="JUY40" s="66"/>
      <c r="JUZ40" s="66"/>
      <c r="JVA40" s="66"/>
      <c r="JVB40" s="66"/>
      <c r="JVC40" s="66"/>
      <c r="JVD40" s="66"/>
      <c r="JVE40" s="66"/>
      <c r="JVF40" s="66"/>
      <c r="JVG40" s="66"/>
      <c r="JVH40" s="66"/>
      <c r="JVI40" s="66"/>
      <c r="JVJ40" s="66"/>
      <c r="JVK40" s="66"/>
      <c r="JVL40" s="66"/>
      <c r="JVM40" s="66"/>
      <c r="JVN40" s="66"/>
      <c r="JVO40" s="66"/>
      <c r="JVP40" s="66"/>
      <c r="JVQ40" s="66"/>
      <c r="JVR40" s="66"/>
      <c r="JVS40" s="66"/>
      <c r="JVT40" s="66"/>
      <c r="JVU40" s="66"/>
      <c r="JVV40" s="66"/>
      <c r="JVW40" s="66"/>
      <c r="JVX40" s="66"/>
      <c r="JVY40" s="66"/>
      <c r="JVZ40" s="66"/>
      <c r="JWA40" s="66"/>
      <c r="JWB40" s="66"/>
      <c r="JWC40" s="66"/>
      <c r="JWD40" s="66"/>
      <c r="JWE40" s="66"/>
      <c r="JWF40" s="66"/>
      <c r="JWG40" s="66"/>
      <c r="JWH40" s="66"/>
      <c r="JWI40" s="66"/>
      <c r="JWJ40" s="66"/>
      <c r="JWK40" s="66"/>
      <c r="JWL40" s="66"/>
      <c r="JWM40" s="66"/>
      <c r="JWN40" s="66"/>
      <c r="JWO40" s="66"/>
      <c r="JWP40" s="66"/>
      <c r="JWQ40" s="66"/>
      <c r="JWR40" s="66"/>
      <c r="JWS40" s="66"/>
      <c r="JWT40" s="66"/>
      <c r="JWU40" s="66"/>
      <c r="JWV40" s="66"/>
      <c r="JWW40" s="66"/>
      <c r="JWX40" s="66"/>
      <c r="JWY40" s="66"/>
      <c r="JWZ40" s="66"/>
      <c r="JXA40" s="66"/>
      <c r="JXB40" s="66"/>
      <c r="JXC40" s="66"/>
      <c r="JXD40" s="66"/>
      <c r="JXE40" s="66"/>
      <c r="JXF40" s="66"/>
      <c r="JXG40" s="66"/>
      <c r="JXH40" s="66"/>
      <c r="JXI40" s="66"/>
      <c r="JXJ40" s="66"/>
      <c r="JXK40" s="66"/>
      <c r="JXL40" s="66"/>
      <c r="JXM40" s="66"/>
      <c r="JXN40" s="66"/>
      <c r="JXO40" s="66"/>
      <c r="JXP40" s="66"/>
      <c r="JXQ40" s="66"/>
      <c r="JXR40" s="66"/>
      <c r="JXS40" s="66"/>
      <c r="JXT40" s="66"/>
      <c r="JXU40" s="66"/>
      <c r="JXV40" s="66"/>
      <c r="JXW40" s="66"/>
      <c r="JXX40" s="66"/>
      <c r="JXY40" s="66"/>
      <c r="JXZ40" s="66"/>
      <c r="JYA40" s="66"/>
      <c r="JYB40" s="66"/>
      <c r="JYC40" s="66"/>
      <c r="JYD40" s="66"/>
      <c r="JYE40" s="66"/>
      <c r="JYF40" s="66"/>
      <c r="JYG40" s="66"/>
      <c r="JYH40" s="66"/>
      <c r="JYI40" s="66"/>
      <c r="JYJ40" s="66"/>
      <c r="JYK40" s="66"/>
      <c r="JYL40" s="66"/>
      <c r="JYM40" s="66"/>
      <c r="JYN40" s="66"/>
      <c r="JYO40" s="66"/>
      <c r="JYP40" s="66"/>
      <c r="JYQ40" s="66"/>
      <c r="JYR40" s="66"/>
      <c r="JYS40" s="66"/>
      <c r="JYT40" s="66"/>
      <c r="JYU40" s="66"/>
      <c r="JYV40" s="66"/>
      <c r="JYW40" s="66"/>
      <c r="JYX40" s="66"/>
      <c r="JYY40" s="66"/>
      <c r="JYZ40" s="66"/>
      <c r="JZA40" s="66"/>
      <c r="JZB40" s="66"/>
      <c r="JZC40" s="66"/>
      <c r="JZD40" s="66"/>
      <c r="JZE40" s="66"/>
      <c r="JZF40" s="66"/>
      <c r="JZG40" s="66"/>
      <c r="JZH40" s="66"/>
      <c r="JZI40" s="66"/>
      <c r="JZJ40" s="66"/>
      <c r="JZK40" s="66"/>
      <c r="JZL40" s="66"/>
      <c r="JZM40" s="66"/>
      <c r="JZN40" s="66"/>
      <c r="JZO40" s="66"/>
      <c r="JZP40" s="66"/>
      <c r="JZQ40" s="66"/>
      <c r="JZR40" s="66"/>
      <c r="JZS40" s="66"/>
      <c r="JZT40" s="66"/>
      <c r="JZU40" s="66"/>
      <c r="JZV40" s="66"/>
      <c r="JZW40" s="66"/>
      <c r="JZX40" s="66"/>
      <c r="JZY40" s="66"/>
      <c r="JZZ40" s="66"/>
      <c r="KAA40" s="66"/>
      <c r="KAB40" s="66"/>
      <c r="KAC40" s="66"/>
      <c r="KAD40" s="66"/>
      <c r="KAE40" s="66"/>
      <c r="KAF40" s="66"/>
      <c r="KAG40" s="66"/>
      <c r="KAH40" s="66"/>
      <c r="KAI40" s="66"/>
      <c r="KAJ40" s="66"/>
      <c r="KAK40" s="66"/>
      <c r="KAL40" s="66"/>
      <c r="KAM40" s="66"/>
      <c r="KAN40" s="66"/>
      <c r="KAO40" s="66"/>
      <c r="KAP40" s="66"/>
      <c r="KAQ40" s="66"/>
      <c r="KAR40" s="66"/>
      <c r="KAS40" s="66"/>
      <c r="KAT40" s="66"/>
      <c r="KAU40" s="66"/>
      <c r="KAV40" s="66"/>
      <c r="KAW40" s="66"/>
      <c r="KAX40" s="66"/>
      <c r="KAY40" s="66"/>
      <c r="KAZ40" s="66"/>
      <c r="KBA40" s="66"/>
      <c r="KBB40" s="66"/>
      <c r="KBC40" s="66"/>
      <c r="KBD40" s="66"/>
      <c r="KBE40" s="66"/>
      <c r="KBF40" s="66"/>
      <c r="KBG40" s="66"/>
      <c r="KBH40" s="66"/>
      <c r="KBI40" s="66"/>
      <c r="KBJ40" s="66"/>
      <c r="KBK40" s="66"/>
      <c r="KBL40" s="66"/>
      <c r="KBM40" s="66"/>
      <c r="KBN40" s="66"/>
      <c r="KBO40" s="66"/>
      <c r="KBP40" s="66"/>
      <c r="KBQ40" s="66"/>
      <c r="KBR40" s="66"/>
      <c r="KBS40" s="66"/>
      <c r="KBT40" s="66"/>
      <c r="KBU40" s="66"/>
      <c r="KBV40" s="66"/>
      <c r="KBW40" s="66"/>
      <c r="KBX40" s="66"/>
      <c r="KBY40" s="66"/>
      <c r="KBZ40" s="66"/>
      <c r="KCA40" s="66"/>
      <c r="KCB40" s="66"/>
      <c r="KCC40" s="66"/>
      <c r="KCD40" s="66"/>
      <c r="KCE40" s="66"/>
      <c r="KCF40" s="66"/>
      <c r="KCG40" s="66"/>
      <c r="KCH40" s="66"/>
      <c r="KCI40" s="66"/>
      <c r="KCJ40" s="66"/>
      <c r="KCK40" s="66"/>
      <c r="KCL40" s="66"/>
      <c r="KCM40" s="66"/>
      <c r="KCN40" s="66"/>
      <c r="KCO40" s="66"/>
      <c r="KCP40" s="66"/>
      <c r="KCQ40" s="66"/>
      <c r="KCR40" s="66"/>
      <c r="KCS40" s="66"/>
      <c r="KCT40" s="66"/>
      <c r="KCU40" s="66"/>
      <c r="KCV40" s="66"/>
      <c r="KCW40" s="66"/>
      <c r="KCX40" s="66"/>
      <c r="KCY40" s="66"/>
      <c r="KCZ40" s="66"/>
      <c r="KDA40" s="66"/>
      <c r="KDB40" s="66"/>
      <c r="KDC40" s="66"/>
      <c r="KDD40" s="66"/>
      <c r="KDE40" s="66"/>
      <c r="KDF40" s="66"/>
      <c r="KDG40" s="66"/>
      <c r="KDH40" s="66"/>
      <c r="KDI40" s="66"/>
      <c r="KDJ40" s="66"/>
      <c r="KDK40" s="66"/>
      <c r="KDL40" s="66"/>
      <c r="KDM40" s="66"/>
      <c r="KDN40" s="66"/>
      <c r="KDO40" s="66"/>
      <c r="KDP40" s="66"/>
      <c r="KDQ40" s="66"/>
      <c r="KDR40" s="66"/>
      <c r="KDS40" s="66"/>
      <c r="KDT40" s="66"/>
      <c r="KDU40" s="66"/>
      <c r="KDV40" s="66"/>
      <c r="KDW40" s="66"/>
      <c r="KDX40" s="66"/>
      <c r="KDY40" s="66"/>
      <c r="KDZ40" s="66"/>
      <c r="KEA40" s="66"/>
      <c r="KEB40" s="66"/>
      <c r="KEC40" s="66"/>
      <c r="KED40" s="66"/>
      <c r="KEE40" s="66"/>
      <c r="KEF40" s="66"/>
      <c r="KEG40" s="66"/>
      <c r="KEH40" s="66"/>
      <c r="KEI40" s="66"/>
      <c r="KEJ40" s="66"/>
      <c r="KEK40" s="66"/>
      <c r="KEL40" s="66"/>
      <c r="KEM40" s="66"/>
      <c r="KEN40" s="66"/>
      <c r="KEO40" s="66"/>
      <c r="KEP40" s="66"/>
      <c r="KEQ40" s="66"/>
      <c r="KER40" s="66"/>
      <c r="KES40" s="66"/>
      <c r="KET40" s="66"/>
      <c r="KEU40" s="66"/>
      <c r="KEV40" s="66"/>
      <c r="KEW40" s="66"/>
      <c r="KEX40" s="66"/>
      <c r="KEY40" s="66"/>
      <c r="KEZ40" s="66"/>
      <c r="KFA40" s="66"/>
      <c r="KFB40" s="66"/>
      <c r="KFC40" s="66"/>
      <c r="KFD40" s="66"/>
      <c r="KFE40" s="66"/>
      <c r="KFF40" s="66"/>
      <c r="KFG40" s="66"/>
      <c r="KFH40" s="66"/>
      <c r="KFI40" s="66"/>
      <c r="KFJ40" s="66"/>
      <c r="KFK40" s="66"/>
      <c r="KFL40" s="66"/>
      <c r="KFM40" s="66"/>
      <c r="KFN40" s="66"/>
      <c r="KFO40" s="66"/>
      <c r="KFP40" s="66"/>
      <c r="KFQ40" s="66"/>
      <c r="KFR40" s="66"/>
      <c r="KFS40" s="66"/>
      <c r="KFT40" s="66"/>
      <c r="KFU40" s="66"/>
      <c r="KFV40" s="66"/>
      <c r="KFW40" s="66"/>
      <c r="KFX40" s="66"/>
      <c r="KFY40" s="66"/>
      <c r="KFZ40" s="66"/>
      <c r="KGA40" s="66"/>
      <c r="KGB40" s="66"/>
      <c r="KGC40" s="66"/>
      <c r="KGD40" s="66"/>
      <c r="KGE40" s="66"/>
      <c r="KGF40" s="66"/>
      <c r="KGG40" s="66"/>
      <c r="KGH40" s="66"/>
      <c r="KGI40" s="66"/>
      <c r="KGJ40" s="66"/>
      <c r="KGK40" s="66"/>
      <c r="KGL40" s="66"/>
      <c r="KGM40" s="66"/>
      <c r="KGN40" s="66"/>
      <c r="KGO40" s="66"/>
      <c r="KGP40" s="66"/>
      <c r="KGQ40" s="66"/>
      <c r="KGR40" s="66"/>
      <c r="KGS40" s="66"/>
      <c r="KGT40" s="66"/>
      <c r="KGU40" s="66"/>
      <c r="KGV40" s="66"/>
      <c r="KGW40" s="66"/>
      <c r="KGX40" s="66"/>
      <c r="KGY40" s="66"/>
      <c r="KGZ40" s="66"/>
      <c r="KHA40" s="66"/>
      <c r="KHB40" s="66"/>
      <c r="KHC40" s="66"/>
      <c r="KHD40" s="66"/>
      <c r="KHE40" s="66"/>
      <c r="KHF40" s="66"/>
      <c r="KHG40" s="66"/>
      <c r="KHH40" s="66"/>
      <c r="KHI40" s="66"/>
      <c r="KHJ40" s="66"/>
      <c r="KHK40" s="66"/>
      <c r="KHL40" s="66"/>
      <c r="KHM40" s="66"/>
      <c r="KHN40" s="66"/>
      <c r="KHO40" s="66"/>
      <c r="KHP40" s="66"/>
      <c r="KHQ40" s="66"/>
      <c r="KHR40" s="66"/>
      <c r="KHS40" s="66"/>
      <c r="KHT40" s="66"/>
      <c r="KHU40" s="66"/>
      <c r="KHV40" s="66"/>
      <c r="KHW40" s="66"/>
      <c r="KHX40" s="66"/>
      <c r="KHY40" s="66"/>
      <c r="KHZ40" s="66"/>
      <c r="KIA40" s="66"/>
      <c r="KIB40" s="66"/>
      <c r="KIC40" s="66"/>
      <c r="KID40" s="66"/>
      <c r="KIE40" s="66"/>
      <c r="KIF40" s="66"/>
      <c r="KIG40" s="66"/>
      <c r="KIH40" s="66"/>
      <c r="KII40" s="66"/>
      <c r="KIJ40" s="66"/>
      <c r="KIK40" s="66"/>
      <c r="KIL40" s="66"/>
      <c r="KIM40" s="66"/>
      <c r="KIN40" s="66"/>
      <c r="KIO40" s="66"/>
      <c r="KIP40" s="66"/>
      <c r="KIQ40" s="66"/>
      <c r="KIR40" s="66"/>
      <c r="KIS40" s="66"/>
      <c r="KIT40" s="66"/>
      <c r="KIU40" s="66"/>
      <c r="KIV40" s="66"/>
      <c r="KIW40" s="66"/>
      <c r="KIX40" s="66"/>
      <c r="KIY40" s="66"/>
      <c r="KIZ40" s="66"/>
      <c r="KJA40" s="66"/>
      <c r="KJB40" s="66"/>
      <c r="KJC40" s="66"/>
      <c r="KJD40" s="66"/>
      <c r="KJE40" s="66"/>
      <c r="KJF40" s="66"/>
      <c r="KJG40" s="66"/>
      <c r="KJH40" s="66"/>
      <c r="KJI40" s="66"/>
      <c r="KJJ40" s="66"/>
      <c r="KJK40" s="66"/>
      <c r="KJL40" s="66"/>
      <c r="KJM40" s="66"/>
      <c r="KJN40" s="66"/>
      <c r="KJO40" s="66"/>
      <c r="KJP40" s="66"/>
      <c r="KJQ40" s="66"/>
      <c r="KJR40" s="66"/>
      <c r="KJS40" s="66"/>
      <c r="KJT40" s="66"/>
      <c r="KJU40" s="66"/>
      <c r="KJV40" s="66"/>
      <c r="KJW40" s="66"/>
      <c r="KJX40" s="66"/>
      <c r="KJY40" s="66"/>
      <c r="KJZ40" s="66"/>
      <c r="KKA40" s="66"/>
      <c r="KKB40" s="66"/>
      <c r="KKC40" s="66"/>
      <c r="KKD40" s="66"/>
      <c r="KKE40" s="66"/>
      <c r="KKF40" s="66"/>
      <c r="KKG40" s="66"/>
      <c r="KKH40" s="66"/>
      <c r="KKI40" s="66"/>
      <c r="KKJ40" s="66"/>
      <c r="KKK40" s="66"/>
      <c r="KKL40" s="66"/>
      <c r="KKM40" s="66"/>
      <c r="KKN40" s="66"/>
      <c r="KKO40" s="66"/>
      <c r="KKP40" s="66"/>
      <c r="KKQ40" s="66"/>
      <c r="KKR40" s="66"/>
      <c r="KKS40" s="66"/>
      <c r="KKT40" s="66"/>
      <c r="KKU40" s="66"/>
      <c r="KKV40" s="66"/>
      <c r="KKW40" s="66"/>
      <c r="KKX40" s="66"/>
      <c r="KKY40" s="66"/>
      <c r="KKZ40" s="66"/>
      <c r="KLA40" s="66"/>
      <c r="KLB40" s="66"/>
      <c r="KLC40" s="66"/>
      <c r="KLD40" s="66"/>
      <c r="KLE40" s="66"/>
      <c r="KLF40" s="66"/>
      <c r="KLG40" s="66"/>
      <c r="KLH40" s="66"/>
      <c r="KLI40" s="66"/>
      <c r="KLJ40" s="66"/>
      <c r="KLK40" s="66"/>
      <c r="KLL40" s="66"/>
      <c r="KLM40" s="66"/>
      <c r="KLN40" s="66"/>
      <c r="KLO40" s="66"/>
      <c r="KLP40" s="66"/>
      <c r="KLQ40" s="66"/>
      <c r="KLR40" s="66"/>
      <c r="KLS40" s="66"/>
      <c r="KLT40" s="66"/>
      <c r="KLU40" s="66"/>
      <c r="KLV40" s="66"/>
      <c r="KLW40" s="66"/>
      <c r="KLX40" s="66"/>
      <c r="KLY40" s="66"/>
      <c r="KLZ40" s="66"/>
      <c r="KMA40" s="66"/>
      <c r="KMB40" s="66"/>
      <c r="KMC40" s="66"/>
      <c r="KMD40" s="66"/>
      <c r="KME40" s="66"/>
      <c r="KMF40" s="66"/>
      <c r="KMG40" s="66"/>
      <c r="KMH40" s="66"/>
      <c r="KMI40" s="66"/>
      <c r="KMJ40" s="66"/>
      <c r="KMK40" s="66"/>
      <c r="KML40" s="66"/>
      <c r="KMM40" s="66"/>
      <c r="KMN40" s="66"/>
      <c r="KMO40" s="66"/>
      <c r="KMP40" s="66"/>
      <c r="KMQ40" s="66"/>
      <c r="KMR40" s="66"/>
      <c r="KMS40" s="66"/>
      <c r="KMT40" s="66"/>
      <c r="KMU40" s="66"/>
      <c r="KMV40" s="66"/>
      <c r="KMW40" s="66"/>
      <c r="KMX40" s="66"/>
      <c r="KMY40" s="66"/>
      <c r="KMZ40" s="66"/>
      <c r="KNA40" s="66"/>
      <c r="KNB40" s="66"/>
      <c r="KNC40" s="66"/>
      <c r="KND40" s="66"/>
      <c r="KNE40" s="66"/>
      <c r="KNF40" s="66"/>
      <c r="KNG40" s="66"/>
      <c r="KNH40" s="66"/>
      <c r="KNI40" s="66"/>
      <c r="KNJ40" s="66"/>
      <c r="KNK40" s="66"/>
      <c r="KNL40" s="66"/>
      <c r="KNM40" s="66"/>
      <c r="KNN40" s="66"/>
      <c r="KNO40" s="66"/>
      <c r="KNP40" s="66"/>
      <c r="KNQ40" s="66"/>
      <c r="KNR40" s="66"/>
      <c r="KNS40" s="66"/>
      <c r="KNT40" s="66"/>
      <c r="KNU40" s="66"/>
      <c r="KNV40" s="66"/>
      <c r="KNW40" s="66"/>
      <c r="KNX40" s="66"/>
      <c r="KNY40" s="66"/>
      <c r="KNZ40" s="66"/>
      <c r="KOA40" s="66"/>
      <c r="KOB40" s="66"/>
      <c r="KOC40" s="66"/>
      <c r="KOD40" s="66"/>
      <c r="KOE40" s="66"/>
      <c r="KOF40" s="66"/>
      <c r="KOG40" s="66"/>
      <c r="KOH40" s="66"/>
      <c r="KOI40" s="66"/>
      <c r="KOJ40" s="66"/>
      <c r="KOK40" s="66"/>
      <c r="KOL40" s="66"/>
      <c r="KOM40" s="66"/>
      <c r="KON40" s="66"/>
      <c r="KOO40" s="66"/>
      <c r="KOP40" s="66"/>
      <c r="KOQ40" s="66"/>
      <c r="KOR40" s="66"/>
      <c r="KOS40" s="66"/>
      <c r="KOT40" s="66"/>
      <c r="KOU40" s="66"/>
      <c r="KOV40" s="66"/>
      <c r="KOW40" s="66"/>
      <c r="KOX40" s="66"/>
      <c r="KOY40" s="66"/>
      <c r="KOZ40" s="66"/>
      <c r="KPA40" s="66"/>
      <c r="KPB40" s="66"/>
      <c r="KPC40" s="66"/>
      <c r="KPD40" s="66"/>
      <c r="KPE40" s="66"/>
      <c r="KPF40" s="66"/>
      <c r="KPG40" s="66"/>
      <c r="KPH40" s="66"/>
      <c r="KPI40" s="66"/>
      <c r="KPJ40" s="66"/>
      <c r="KPK40" s="66"/>
      <c r="KPL40" s="66"/>
      <c r="KPM40" s="66"/>
      <c r="KPN40" s="66"/>
      <c r="KPO40" s="66"/>
      <c r="KPP40" s="66"/>
      <c r="KPQ40" s="66"/>
      <c r="KPR40" s="66"/>
      <c r="KPS40" s="66"/>
      <c r="KPT40" s="66"/>
      <c r="KPU40" s="66"/>
      <c r="KPV40" s="66"/>
      <c r="KPW40" s="66"/>
      <c r="KPX40" s="66"/>
      <c r="KPY40" s="66"/>
      <c r="KPZ40" s="66"/>
      <c r="KQA40" s="66"/>
      <c r="KQB40" s="66"/>
      <c r="KQC40" s="66"/>
      <c r="KQD40" s="66"/>
      <c r="KQE40" s="66"/>
      <c r="KQF40" s="66"/>
      <c r="KQG40" s="66"/>
      <c r="KQH40" s="66"/>
      <c r="KQI40" s="66"/>
      <c r="KQJ40" s="66"/>
      <c r="KQK40" s="66"/>
      <c r="KQL40" s="66"/>
      <c r="KQM40" s="66"/>
      <c r="KQN40" s="66"/>
      <c r="KQO40" s="66"/>
      <c r="KQP40" s="66"/>
      <c r="KQQ40" s="66"/>
      <c r="KQR40" s="66"/>
      <c r="KQS40" s="66"/>
      <c r="KQT40" s="66"/>
      <c r="KQU40" s="66"/>
      <c r="KQV40" s="66"/>
      <c r="KQW40" s="66"/>
      <c r="KQX40" s="66"/>
      <c r="KQY40" s="66"/>
      <c r="KQZ40" s="66"/>
      <c r="KRA40" s="66"/>
      <c r="KRB40" s="66"/>
      <c r="KRC40" s="66"/>
      <c r="KRD40" s="66"/>
      <c r="KRE40" s="66"/>
      <c r="KRF40" s="66"/>
      <c r="KRG40" s="66"/>
      <c r="KRH40" s="66"/>
      <c r="KRI40" s="66"/>
      <c r="KRJ40" s="66"/>
      <c r="KRK40" s="66"/>
      <c r="KRL40" s="66"/>
      <c r="KRM40" s="66"/>
      <c r="KRN40" s="66"/>
      <c r="KRO40" s="66"/>
      <c r="KRP40" s="66"/>
      <c r="KRQ40" s="66"/>
      <c r="KRR40" s="66"/>
      <c r="KRS40" s="66"/>
      <c r="KRT40" s="66"/>
      <c r="KRU40" s="66"/>
      <c r="KRV40" s="66"/>
      <c r="KRW40" s="66"/>
      <c r="KRX40" s="66"/>
      <c r="KRY40" s="66"/>
      <c r="KRZ40" s="66"/>
      <c r="KSA40" s="66"/>
      <c r="KSB40" s="66"/>
      <c r="KSC40" s="66"/>
      <c r="KSD40" s="66"/>
      <c r="KSE40" s="66"/>
      <c r="KSF40" s="66"/>
      <c r="KSG40" s="66"/>
      <c r="KSH40" s="66"/>
      <c r="KSI40" s="66"/>
      <c r="KSJ40" s="66"/>
      <c r="KSK40" s="66"/>
      <c r="KSL40" s="66"/>
      <c r="KSM40" s="66"/>
      <c r="KSN40" s="66"/>
      <c r="KSO40" s="66"/>
      <c r="KSP40" s="66"/>
      <c r="KSQ40" s="66"/>
      <c r="KSR40" s="66"/>
      <c r="KSS40" s="66"/>
      <c r="KST40" s="66"/>
      <c r="KSU40" s="66"/>
      <c r="KSV40" s="66"/>
      <c r="KSW40" s="66"/>
      <c r="KSX40" s="66"/>
      <c r="KSY40" s="66"/>
      <c r="KSZ40" s="66"/>
      <c r="KTA40" s="66"/>
      <c r="KTB40" s="66"/>
      <c r="KTC40" s="66"/>
      <c r="KTD40" s="66"/>
      <c r="KTE40" s="66"/>
      <c r="KTF40" s="66"/>
      <c r="KTG40" s="66"/>
      <c r="KTH40" s="66"/>
      <c r="KTI40" s="66"/>
      <c r="KTJ40" s="66"/>
      <c r="KTK40" s="66"/>
      <c r="KTL40" s="66"/>
      <c r="KTM40" s="66"/>
      <c r="KTN40" s="66"/>
      <c r="KTO40" s="66"/>
      <c r="KTP40" s="66"/>
      <c r="KTQ40" s="66"/>
      <c r="KTR40" s="66"/>
      <c r="KTS40" s="66"/>
      <c r="KTT40" s="66"/>
      <c r="KTU40" s="66"/>
      <c r="KTV40" s="66"/>
      <c r="KTW40" s="66"/>
      <c r="KTX40" s="66"/>
      <c r="KTY40" s="66"/>
      <c r="KTZ40" s="66"/>
      <c r="KUA40" s="66"/>
      <c r="KUB40" s="66"/>
      <c r="KUC40" s="66"/>
      <c r="KUD40" s="66"/>
      <c r="KUE40" s="66"/>
      <c r="KUF40" s="66"/>
      <c r="KUG40" s="66"/>
      <c r="KUH40" s="66"/>
      <c r="KUI40" s="66"/>
      <c r="KUJ40" s="66"/>
      <c r="KUK40" s="66"/>
      <c r="KUL40" s="66"/>
      <c r="KUM40" s="66"/>
      <c r="KUN40" s="66"/>
      <c r="KUO40" s="66"/>
      <c r="KUP40" s="66"/>
      <c r="KUQ40" s="66"/>
      <c r="KUR40" s="66"/>
      <c r="KUS40" s="66"/>
      <c r="KUT40" s="66"/>
      <c r="KUU40" s="66"/>
      <c r="KUV40" s="66"/>
      <c r="KUW40" s="66"/>
      <c r="KUX40" s="66"/>
      <c r="KUY40" s="66"/>
      <c r="KUZ40" s="66"/>
      <c r="KVA40" s="66"/>
      <c r="KVB40" s="66"/>
      <c r="KVC40" s="66"/>
      <c r="KVD40" s="66"/>
      <c r="KVE40" s="66"/>
      <c r="KVF40" s="66"/>
      <c r="KVG40" s="66"/>
      <c r="KVH40" s="66"/>
      <c r="KVI40" s="66"/>
      <c r="KVJ40" s="66"/>
      <c r="KVK40" s="66"/>
      <c r="KVL40" s="66"/>
      <c r="KVM40" s="66"/>
      <c r="KVN40" s="66"/>
      <c r="KVO40" s="66"/>
      <c r="KVP40" s="66"/>
      <c r="KVQ40" s="66"/>
      <c r="KVR40" s="66"/>
      <c r="KVS40" s="66"/>
      <c r="KVT40" s="66"/>
      <c r="KVU40" s="66"/>
      <c r="KVV40" s="66"/>
      <c r="KVW40" s="66"/>
      <c r="KVX40" s="66"/>
      <c r="KVY40" s="66"/>
      <c r="KVZ40" s="66"/>
      <c r="KWA40" s="66"/>
      <c r="KWB40" s="66"/>
      <c r="KWC40" s="66"/>
      <c r="KWD40" s="66"/>
      <c r="KWE40" s="66"/>
      <c r="KWF40" s="66"/>
      <c r="KWG40" s="66"/>
      <c r="KWH40" s="66"/>
      <c r="KWI40" s="66"/>
      <c r="KWJ40" s="66"/>
      <c r="KWK40" s="66"/>
      <c r="KWL40" s="66"/>
      <c r="KWM40" s="66"/>
      <c r="KWN40" s="66"/>
      <c r="KWO40" s="66"/>
      <c r="KWP40" s="66"/>
      <c r="KWQ40" s="66"/>
      <c r="KWR40" s="66"/>
      <c r="KWS40" s="66"/>
      <c r="KWT40" s="66"/>
      <c r="KWU40" s="66"/>
      <c r="KWV40" s="66"/>
      <c r="KWW40" s="66"/>
      <c r="KWX40" s="66"/>
      <c r="KWY40" s="66"/>
      <c r="KWZ40" s="66"/>
      <c r="KXA40" s="66"/>
      <c r="KXB40" s="66"/>
      <c r="KXC40" s="66"/>
      <c r="KXD40" s="66"/>
      <c r="KXE40" s="66"/>
      <c r="KXF40" s="66"/>
      <c r="KXG40" s="66"/>
      <c r="KXH40" s="66"/>
      <c r="KXI40" s="66"/>
      <c r="KXJ40" s="66"/>
      <c r="KXK40" s="66"/>
      <c r="KXL40" s="66"/>
      <c r="KXM40" s="66"/>
      <c r="KXN40" s="66"/>
      <c r="KXO40" s="66"/>
      <c r="KXP40" s="66"/>
      <c r="KXQ40" s="66"/>
      <c r="KXR40" s="66"/>
      <c r="KXS40" s="66"/>
      <c r="KXT40" s="66"/>
      <c r="KXU40" s="66"/>
      <c r="KXV40" s="66"/>
      <c r="KXW40" s="66"/>
      <c r="KXX40" s="66"/>
      <c r="KXY40" s="66"/>
      <c r="KXZ40" s="66"/>
      <c r="KYA40" s="66"/>
      <c r="KYB40" s="66"/>
      <c r="KYC40" s="66"/>
      <c r="KYD40" s="66"/>
      <c r="KYE40" s="66"/>
      <c r="KYF40" s="66"/>
      <c r="KYG40" s="66"/>
      <c r="KYH40" s="66"/>
      <c r="KYI40" s="66"/>
      <c r="KYJ40" s="66"/>
      <c r="KYK40" s="66"/>
      <c r="KYL40" s="66"/>
      <c r="KYM40" s="66"/>
      <c r="KYN40" s="66"/>
      <c r="KYO40" s="66"/>
      <c r="KYP40" s="66"/>
      <c r="KYQ40" s="66"/>
      <c r="KYR40" s="66"/>
      <c r="KYS40" s="66"/>
      <c r="KYT40" s="66"/>
      <c r="KYU40" s="66"/>
      <c r="KYV40" s="66"/>
      <c r="KYW40" s="66"/>
      <c r="KYX40" s="66"/>
      <c r="KYY40" s="66"/>
      <c r="KYZ40" s="66"/>
      <c r="KZA40" s="66"/>
      <c r="KZB40" s="66"/>
      <c r="KZC40" s="66"/>
      <c r="KZD40" s="66"/>
      <c r="KZE40" s="66"/>
      <c r="KZF40" s="66"/>
      <c r="KZG40" s="66"/>
      <c r="KZH40" s="66"/>
      <c r="KZI40" s="66"/>
      <c r="KZJ40" s="66"/>
      <c r="KZK40" s="66"/>
      <c r="KZL40" s="66"/>
      <c r="KZM40" s="66"/>
      <c r="KZN40" s="66"/>
      <c r="KZO40" s="66"/>
      <c r="KZP40" s="66"/>
      <c r="KZQ40" s="66"/>
      <c r="KZR40" s="66"/>
      <c r="KZS40" s="66"/>
      <c r="KZT40" s="66"/>
      <c r="KZU40" s="66"/>
      <c r="KZV40" s="66"/>
      <c r="KZW40" s="66"/>
      <c r="KZX40" s="66"/>
      <c r="KZY40" s="66"/>
      <c r="KZZ40" s="66"/>
      <c r="LAA40" s="66"/>
      <c r="LAB40" s="66"/>
      <c r="LAC40" s="66"/>
      <c r="LAD40" s="66"/>
      <c r="LAE40" s="66"/>
      <c r="LAF40" s="66"/>
      <c r="LAG40" s="66"/>
      <c r="LAH40" s="66"/>
      <c r="LAI40" s="66"/>
      <c r="LAJ40" s="66"/>
      <c r="LAK40" s="66"/>
      <c r="LAL40" s="66"/>
      <c r="LAM40" s="66"/>
      <c r="LAN40" s="66"/>
      <c r="LAO40" s="66"/>
      <c r="LAP40" s="66"/>
      <c r="LAQ40" s="66"/>
      <c r="LAR40" s="66"/>
      <c r="LAS40" s="66"/>
      <c r="LAT40" s="66"/>
      <c r="LAU40" s="66"/>
      <c r="LAV40" s="66"/>
      <c r="LAW40" s="66"/>
      <c r="LAX40" s="66"/>
      <c r="LAY40" s="66"/>
      <c r="LAZ40" s="66"/>
      <c r="LBA40" s="66"/>
      <c r="LBB40" s="66"/>
      <c r="LBC40" s="66"/>
      <c r="LBD40" s="66"/>
      <c r="LBE40" s="66"/>
      <c r="LBF40" s="66"/>
      <c r="LBG40" s="66"/>
      <c r="LBH40" s="66"/>
      <c r="LBI40" s="66"/>
      <c r="LBJ40" s="66"/>
      <c r="LBK40" s="66"/>
      <c r="LBL40" s="66"/>
      <c r="LBM40" s="66"/>
      <c r="LBN40" s="66"/>
      <c r="LBO40" s="66"/>
      <c r="LBP40" s="66"/>
      <c r="LBQ40" s="66"/>
      <c r="LBR40" s="66"/>
      <c r="LBS40" s="66"/>
      <c r="LBT40" s="66"/>
      <c r="LBU40" s="66"/>
      <c r="LBV40" s="66"/>
      <c r="LBW40" s="66"/>
      <c r="LBX40" s="66"/>
      <c r="LBY40" s="66"/>
      <c r="LBZ40" s="66"/>
      <c r="LCA40" s="66"/>
      <c r="LCB40" s="66"/>
      <c r="LCC40" s="66"/>
      <c r="LCD40" s="66"/>
      <c r="LCE40" s="66"/>
      <c r="LCF40" s="66"/>
      <c r="LCG40" s="66"/>
      <c r="LCH40" s="66"/>
      <c r="LCI40" s="66"/>
      <c r="LCJ40" s="66"/>
      <c r="LCK40" s="66"/>
      <c r="LCL40" s="66"/>
      <c r="LCM40" s="66"/>
      <c r="LCN40" s="66"/>
      <c r="LCO40" s="66"/>
      <c r="LCP40" s="66"/>
      <c r="LCQ40" s="66"/>
      <c r="LCR40" s="66"/>
      <c r="LCS40" s="66"/>
      <c r="LCT40" s="66"/>
      <c r="LCU40" s="66"/>
      <c r="LCV40" s="66"/>
      <c r="LCW40" s="66"/>
      <c r="LCX40" s="66"/>
      <c r="LCY40" s="66"/>
      <c r="LCZ40" s="66"/>
      <c r="LDA40" s="66"/>
      <c r="LDB40" s="66"/>
      <c r="LDC40" s="66"/>
      <c r="LDD40" s="66"/>
      <c r="LDE40" s="66"/>
      <c r="LDF40" s="66"/>
      <c r="LDG40" s="66"/>
      <c r="LDH40" s="66"/>
      <c r="LDI40" s="66"/>
      <c r="LDJ40" s="66"/>
      <c r="LDK40" s="66"/>
      <c r="LDL40" s="66"/>
      <c r="LDM40" s="66"/>
      <c r="LDN40" s="66"/>
      <c r="LDO40" s="66"/>
      <c r="LDP40" s="66"/>
      <c r="LDQ40" s="66"/>
      <c r="LDR40" s="66"/>
      <c r="LDS40" s="66"/>
      <c r="LDT40" s="66"/>
      <c r="LDU40" s="66"/>
      <c r="LDV40" s="66"/>
      <c r="LDW40" s="66"/>
      <c r="LDX40" s="66"/>
      <c r="LDY40" s="66"/>
      <c r="LDZ40" s="66"/>
      <c r="LEA40" s="66"/>
      <c r="LEB40" s="66"/>
      <c r="LEC40" s="66"/>
      <c r="LED40" s="66"/>
      <c r="LEE40" s="66"/>
      <c r="LEF40" s="66"/>
      <c r="LEG40" s="66"/>
      <c r="LEH40" s="66"/>
      <c r="LEI40" s="66"/>
      <c r="LEJ40" s="66"/>
      <c r="LEK40" s="66"/>
      <c r="LEL40" s="66"/>
      <c r="LEM40" s="66"/>
      <c r="LEN40" s="66"/>
      <c r="LEO40" s="66"/>
      <c r="LEP40" s="66"/>
      <c r="LEQ40" s="66"/>
      <c r="LER40" s="66"/>
      <c r="LES40" s="66"/>
      <c r="LET40" s="66"/>
      <c r="LEU40" s="66"/>
      <c r="LEV40" s="66"/>
      <c r="LEW40" s="66"/>
      <c r="LEX40" s="66"/>
      <c r="LEY40" s="66"/>
      <c r="LEZ40" s="66"/>
      <c r="LFA40" s="66"/>
      <c r="LFB40" s="66"/>
      <c r="LFC40" s="66"/>
      <c r="LFD40" s="66"/>
      <c r="LFE40" s="66"/>
      <c r="LFF40" s="66"/>
      <c r="LFG40" s="66"/>
      <c r="LFH40" s="66"/>
      <c r="LFI40" s="66"/>
      <c r="LFJ40" s="66"/>
      <c r="LFK40" s="66"/>
      <c r="LFL40" s="66"/>
      <c r="LFM40" s="66"/>
      <c r="LFN40" s="66"/>
      <c r="LFO40" s="66"/>
      <c r="LFP40" s="66"/>
      <c r="LFQ40" s="66"/>
      <c r="LFR40" s="66"/>
      <c r="LFS40" s="66"/>
      <c r="LFT40" s="66"/>
      <c r="LFU40" s="66"/>
      <c r="LFV40" s="66"/>
      <c r="LFW40" s="66"/>
      <c r="LFX40" s="66"/>
      <c r="LFY40" s="66"/>
      <c r="LFZ40" s="66"/>
      <c r="LGA40" s="66"/>
      <c r="LGB40" s="66"/>
      <c r="LGC40" s="66"/>
      <c r="LGD40" s="66"/>
      <c r="LGE40" s="66"/>
      <c r="LGF40" s="66"/>
      <c r="LGG40" s="66"/>
      <c r="LGH40" s="66"/>
      <c r="LGI40" s="66"/>
      <c r="LGJ40" s="66"/>
      <c r="LGK40" s="66"/>
      <c r="LGL40" s="66"/>
      <c r="LGM40" s="66"/>
      <c r="LGN40" s="66"/>
      <c r="LGO40" s="66"/>
      <c r="LGP40" s="66"/>
      <c r="LGQ40" s="66"/>
      <c r="LGR40" s="66"/>
      <c r="LGS40" s="66"/>
      <c r="LGT40" s="66"/>
      <c r="LGU40" s="66"/>
      <c r="LGV40" s="66"/>
      <c r="LGW40" s="66"/>
      <c r="LGX40" s="66"/>
      <c r="LGY40" s="66"/>
      <c r="LGZ40" s="66"/>
      <c r="LHA40" s="66"/>
      <c r="LHB40" s="66"/>
      <c r="LHC40" s="66"/>
      <c r="LHD40" s="66"/>
      <c r="LHE40" s="66"/>
      <c r="LHF40" s="66"/>
      <c r="LHG40" s="66"/>
      <c r="LHH40" s="66"/>
      <c r="LHI40" s="66"/>
      <c r="LHJ40" s="66"/>
      <c r="LHK40" s="66"/>
      <c r="LHL40" s="66"/>
      <c r="LHM40" s="66"/>
      <c r="LHN40" s="66"/>
      <c r="LHO40" s="66"/>
      <c r="LHP40" s="66"/>
      <c r="LHQ40" s="66"/>
      <c r="LHR40" s="66"/>
      <c r="LHS40" s="66"/>
      <c r="LHT40" s="66"/>
      <c r="LHU40" s="66"/>
      <c r="LHV40" s="66"/>
      <c r="LHW40" s="66"/>
      <c r="LHX40" s="66"/>
      <c r="LHY40" s="66"/>
      <c r="LHZ40" s="66"/>
      <c r="LIA40" s="66"/>
      <c r="LIB40" s="66"/>
      <c r="LIC40" s="66"/>
      <c r="LID40" s="66"/>
      <c r="LIE40" s="66"/>
      <c r="LIF40" s="66"/>
      <c r="LIG40" s="66"/>
      <c r="LIH40" s="66"/>
      <c r="LII40" s="66"/>
      <c r="LIJ40" s="66"/>
      <c r="LIK40" s="66"/>
      <c r="LIL40" s="66"/>
      <c r="LIM40" s="66"/>
      <c r="LIN40" s="66"/>
      <c r="LIO40" s="66"/>
      <c r="LIP40" s="66"/>
      <c r="LIQ40" s="66"/>
      <c r="LIR40" s="66"/>
      <c r="LIS40" s="66"/>
      <c r="LIT40" s="66"/>
      <c r="LIU40" s="66"/>
      <c r="LIV40" s="66"/>
      <c r="LIW40" s="66"/>
      <c r="LIX40" s="66"/>
      <c r="LIY40" s="66"/>
      <c r="LIZ40" s="66"/>
      <c r="LJA40" s="66"/>
      <c r="LJB40" s="66"/>
      <c r="LJC40" s="66"/>
      <c r="LJD40" s="66"/>
      <c r="LJE40" s="66"/>
      <c r="LJF40" s="66"/>
      <c r="LJG40" s="66"/>
      <c r="LJH40" s="66"/>
      <c r="LJI40" s="66"/>
      <c r="LJJ40" s="66"/>
      <c r="LJK40" s="66"/>
      <c r="LJL40" s="66"/>
      <c r="LJM40" s="66"/>
      <c r="LJN40" s="66"/>
      <c r="LJO40" s="66"/>
      <c r="LJP40" s="66"/>
      <c r="LJQ40" s="66"/>
      <c r="LJR40" s="66"/>
      <c r="LJS40" s="66"/>
      <c r="LJT40" s="66"/>
      <c r="LJU40" s="66"/>
      <c r="LJV40" s="66"/>
      <c r="LJW40" s="66"/>
      <c r="LJX40" s="66"/>
      <c r="LJY40" s="66"/>
      <c r="LJZ40" s="66"/>
      <c r="LKA40" s="66"/>
      <c r="LKB40" s="66"/>
      <c r="LKC40" s="66"/>
      <c r="LKD40" s="66"/>
      <c r="LKE40" s="66"/>
      <c r="LKF40" s="66"/>
      <c r="LKG40" s="66"/>
      <c r="LKH40" s="66"/>
      <c r="LKI40" s="66"/>
      <c r="LKJ40" s="66"/>
      <c r="LKK40" s="66"/>
      <c r="LKL40" s="66"/>
      <c r="LKM40" s="66"/>
      <c r="LKN40" s="66"/>
      <c r="LKO40" s="66"/>
      <c r="LKP40" s="66"/>
      <c r="LKQ40" s="66"/>
      <c r="LKR40" s="66"/>
      <c r="LKS40" s="66"/>
      <c r="LKT40" s="66"/>
      <c r="LKU40" s="66"/>
      <c r="LKV40" s="66"/>
      <c r="LKW40" s="66"/>
      <c r="LKX40" s="66"/>
      <c r="LKY40" s="66"/>
      <c r="LKZ40" s="66"/>
      <c r="LLA40" s="66"/>
      <c r="LLB40" s="66"/>
      <c r="LLC40" s="66"/>
      <c r="LLD40" s="66"/>
      <c r="LLE40" s="66"/>
      <c r="LLF40" s="66"/>
      <c r="LLG40" s="66"/>
      <c r="LLH40" s="66"/>
      <c r="LLI40" s="66"/>
      <c r="LLJ40" s="66"/>
      <c r="LLK40" s="66"/>
      <c r="LLL40" s="66"/>
      <c r="LLM40" s="66"/>
      <c r="LLN40" s="66"/>
      <c r="LLO40" s="66"/>
      <c r="LLP40" s="66"/>
      <c r="LLQ40" s="66"/>
      <c r="LLR40" s="66"/>
      <c r="LLS40" s="66"/>
      <c r="LLT40" s="66"/>
      <c r="LLU40" s="66"/>
      <c r="LLV40" s="66"/>
      <c r="LLW40" s="66"/>
      <c r="LLX40" s="66"/>
      <c r="LLY40" s="66"/>
      <c r="LLZ40" s="66"/>
      <c r="LMA40" s="66"/>
      <c r="LMB40" s="66"/>
      <c r="LMC40" s="66"/>
      <c r="LMD40" s="66"/>
      <c r="LME40" s="66"/>
      <c r="LMF40" s="66"/>
      <c r="LMG40" s="66"/>
      <c r="LMH40" s="66"/>
      <c r="LMI40" s="66"/>
      <c r="LMJ40" s="66"/>
      <c r="LMK40" s="66"/>
      <c r="LML40" s="66"/>
      <c r="LMM40" s="66"/>
      <c r="LMN40" s="66"/>
      <c r="LMO40" s="66"/>
      <c r="LMP40" s="66"/>
      <c r="LMQ40" s="66"/>
      <c r="LMR40" s="66"/>
      <c r="LMS40" s="66"/>
      <c r="LMT40" s="66"/>
      <c r="LMU40" s="66"/>
      <c r="LMV40" s="66"/>
      <c r="LMW40" s="66"/>
      <c r="LMX40" s="66"/>
      <c r="LMY40" s="66"/>
      <c r="LMZ40" s="66"/>
      <c r="LNA40" s="66"/>
      <c r="LNB40" s="66"/>
      <c r="LNC40" s="66"/>
      <c r="LND40" s="66"/>
      <c r="LNE40" s="66"/>
      <c r="LNF40" s="66"/>
      <c r="LNG40" s="66"/>
      <c r="LNH40" s="66"/>
      <c r="LNI40" s="66"/>
      <c r="LNJ40" s="66"/>
      <c r="LNK40" s="66"/>
      <c r="LNL40" s="66"/>
      <c r="LNM40" s="66"/>
      <c r="LNN40" s="66"/>
      <c r="LNO40" s="66"/>
      <c r="LNP40" s="66"/>
      <c r="LNQ40" s="66"/>
      <c r="LNR40" s="66"/>
      <c r="LNS40" s="66"/>
      <c r="LNT40" s="66"/>
      <c r="LNU40" s="66"/>
      <c r="LNV40" s="66"/>
      <c r="LNW40" s="66"/>
      <c r="LNX40" s="66"/>
      <c r="LNY40" s="66"/>
      <c r="LNZ40" s="66"/>
      <c r="LOA40" s="66"/>
      <c r="LOB40" s="66"/>
      <c r="LOC40" s="66"/>
      <c r="LOD40" s="66"/>
      <c r="LOE40" s="66"/>
      <c r="LOF40" s="66"/>
      <c r="LOG40" s="66"/>
      <c r="LOH40" s="66"/>
      <c r="LOI40" s="66"/>
      <c r="LOJ40" s="66"/>
      <c r="LOK40" s="66"/>
      <c r="LOL40" s="66"/>
      <c r="LOM40" s="66"/>
      <c r="LON40" s="66"/>
      <c r="LOO40" s="66"/>
      <c r="LOP40" s="66"/>
      <c r="LOQ40" s="66"/>
      <c r="LOR40" s="66"/>
      <c r="LOS40" s="66"/>
      <c r="LOT40" s="66"/>
      <c r="LOU40" s="66"/>
      <c r="LOV40" s="66"/>
      <c r="LOW40" s="66"/>
      <c r="LOX40" s="66"/>
      <c r="LOY40" s="66"/>
      <c r="LOZ40" s="66"/>
      <c r="LPA40" s="66"/>
      <c r="LPB40" s="66"/>
      <c r="LPC40" s="66"/>
      <c r="LPD40" s="66"/>
      <c r="LPE40" s="66"/>
      <c r="LPF40" s="66"/>
      <c r="LPG40" s="66"/>
      <c r="LPH40" s="66"/>
      <c r="LPI40" s="66"/>
      <c r="LPJ40" s="66"/>
      <c r="LPK40" s="66"/>
      <c r="LPL40" s="66"/>
      <c r="LPM40" s="66"/>
      <c r="LPN40" s="66"/>
      <c r="LPO40" s="66"/>
      <c r="LPP40" s="66"/>
      <c r="LPQ40" s="66"/>
      <c r="LPR40" s="66"/>
      <c r="LPS40" s="66"/>
      <c r="LPT40" s="66"/>
      <c r="LPU40" s="66"/>
      <c r="LPV40" s="66"/>
      <c r="LPW40" s="66"/>
      <c r="LPX40" s="66"/>
      <c r="LPY40" s="66"/>
      <c r="LPZ40" s="66"/>
      <c r="LQA40" s="66"/>
      <c r="LQB40" s="66"/>
      <c r="LQC40" s="66"/>
      <c r="LQD40" s="66"/>
      <c r="LQE40" s="66"/>
      <c r="LQF40" s="66"/>
      <c r="LQG40" s="66"/>
      <c r="LQH40" s="66"/>
      <c r="LQI40" s="66"/>
      <c r="LQJ40" s="66"/>
      <c r="LQK40" s="66"/>
      <c r="LQL40" s="66"/>
      <c r="LQM40" s="66"/>
      <c r="LQN40" s="66"/>
      <c r="LQO40" s="66"/>
      <c r="LQP40" s="66"/>
      <c r="LQQ40" s="66"/>
      <c r="LQR40" s="66"/>
      <c r="LQS40" s="66"/>
      <c r="LQT40" s="66"/>
      <c r="LQU40" s="66"/>
      <c r="LQV40" s="66"/>
      <c r="LQW40" s="66"/>
      <c r="LQX40" s="66"/>
      <c r="LQY40" s="66"/>
      <c r="LQZ40" s="66"/>
      <c r="LRA40" s="66"/>
      <c r="LRB40" s="66"/>
      <c r="LRC40" s="66"/>
      <c r="LRD40" s="66"/>
      <c r="LRE40" s="66"/>
      <c r="LRF40" s="66"/>
      <c r="LRG40" s="66"/>
      <c r="LRH40" s="66"/>
      <c r="LRI40" s="66"/>
      <c r="LRJ40" s="66"/>
      <c r="LRK40" s="66"/>
      <c r="LRL40" s="66"/>
      <c r="LRM40" s="66"/>
      <c r="LRN40" s="66"/>
      <c r="LRO40" s="66"/>
      <c r="LRP40" s="66"/>
      <c r="LRQ40" s="66"/>
      <c r="LRR40" s="66"/>
      <c r="LRS40" s="66"/>
      <c r="LRT40" s="66"/>
      <c r="LRU40" s="66"/>
      <c r="LRV40" s="66"/>
      <c r="LRW40" s="66"/>
      <c r="LRX40" s="66"/>
      <c r="LRY40" s="66"/>
      <c r="LRZ40" s="66"/>
      <c r="LSA40" s="66"/>
      <c r="LSB40" s="66"/>
      <c r="LSC40" s="66"/>
      <c r="LSD40" s="66"/>
      <c r="LSE40" s="66"/>
      <c r="LSF40" s="66"/>
      <c r="LSG40" s="66"/>
      <c r="LSH40" s="66"/>
      <c r="LSI40" s="66"/>
      <c r="LSJ40" s="66"/>
      <c r="LSK40" s="66"/>
      <c r="LSL40" s="66"/>
      <c r="LSM40" s="66"/>
      <c r="LSN40" s="66"/>
      <c r="LSO40" s="66"/>
      <c r="LSP40" s="66"/>
      <c r="LSQ40" s="66"/>
      <c r="LSR40" s="66"/>
      <c r="LSS40" s="66"/>
      <c r="LST40" s="66"/>
      <c r="LSU40" s="66"/>
      <c r="LSV40" s="66"/>
      <c r="LSW40" s="66"/>
      <c r="LSX40" s="66"/>
      <c r="LSY40" s="66"/>
      <c r="LSZ40" s="66"/>
      <c r="LTA40" s="66"/>
      <c r="LTB40" s="66"/>
      <c r="LTC40" s="66"/>
      <c r="LTD40" s="66"/>
      <c r="LTE40" s="66"/>
      <c r="LTF40" s="66"/>
      <c r="LTG40" s="66"/>
      <c r="LTH40" s="66"/>
      <c r="LTI40" s="66"/>
      <c r="LTJ40" s="66"/>
      <c r="LTK40" s="66"/>
      <c r="LTL40" s="66"/>
      <c r="LTM40" s="66"/>
      <c r="LTN40" s="66"/>
      <c r="LTO40" s="66"/>
      <c r="LTP40" s="66"/>
      <c r="LTQ40" s="66"/>
      <c r="LTR40" s="66"/>
      <c r="LTS40" s="66"/>
      <c r="LTT40" s="66"/>
      <c r="LTU40" s="66"/>
      <c r="LTV40" s="66"/>
      <c r="LTW40" s="66"/>
      <c r="LTX40" s="66"/>
      <c r="LTY40" s="66"/>
      <c r="LTZ40" s="66"/>
      <c r="LUA40" s="66"/>
      <c r="LUB40" s="66"/>
      <c r="LUC40" s="66"/>
      <c r="LUD40" s="66"/>
      <c r="LUE40" s="66"/>
      <c r="LUF40" s="66"/>
      <c r="LUG40" s="66"/>
      <c r="LUH40" s="66"/>
      <c r="LUI40" s="66"/>
      <c r="LUJ40" s="66"/>
      <c r="LUK40" s="66"/>
      <c r="LUL40" s="66"/>
      <c r="LUM40" s="66"/>
      <c r="LUN40" s="66"/>
      <c r="LUO40" s="66"/>
      <c r="LUP40" s="66"/>
      <c r="LUQ40" s="66"/>
      <c r="LUR40" s="66"/>
      <c r="LUS40" s="66"/>
      <c r="LUT40" s="66"/>
      <c r="LUU40" s="66"/>
      <c r="LUV40" s="66"/>
      <c r="LUW40" s="66"/>
      <c r="LUX40" s="66"/>
      <c r="LUY40" s="66"/>
      <c r="LUZ40" s="66"/>
      <c r="LVA40" s="66"/>
      <c r="LVB40" s="66"/>
      <c r="LVC40" s="66"/>
      <c r="LVD40" s="66"/>
      <c r="LVE40" s="66"/>
      <c r="LVF40" s="66"/>
      <c r="LVG40" s="66"/>
      <c r="LVH40" s="66"/>
      <c r="LVI40" s="66"/>
      <c r="LVJ40" s="66"/>
      <c r="LVK40" s="66"/>
      <c r="LVL40" s="66"/>
      <c r="LVM40" s="66"/>
      <c r="LVN40" s="66"/>
      <c r="LVO40" s="66"/>
      <c r="LVP40" s="66"/>
      <c r="LVQ40" s="66"/>
      <c r="LVR40" s="66"/>
      <c r="LVS40" s="66"/>
      <c r="LVT40" s="66"/>
      <c r="LVU40" s="66"/>
      <c r="LVV40" s="66"/>
      <c r="LVW40" s="66"/>
      <c r="LVX40" s="66"/>
      <c r="LVY40" s="66"/>
      <c r="LVZ40" s="66"/>
      <c r="LWA40" s="66"/>
      <c r="LWB40" s="66"/>
      <c r="LWC40" s="66"/>
      <c r="LWD40" s="66"/>
      <c r="LWE40" s="66"/>
      <c r="LWF40" s="66"/>
      <c r="LWG40" s="66"/>
      <c r="LWH40" s="66"/>
      <c r="LWI40" s="66"/>
      <c r="LWJ40" s="66"/>
      <c r="LWK40" s="66"/>
      <c r="LWL40" s="66"/>
      <c r="LWM40" s="66"/>
      <c r="LWN40" s="66"/>
      <c r="LWO40" s="66"/>
      <c r="LWP40" s="66"/>
      <c r="LWQ40" s="66"/>
      <c r="LWR40" s="66"/>
      <c r="LWS40" s="66"/>
      <c r="LWT40" s="66"/>
      <c r="LWU40" s="66"/>
      <c r="LWV40" s="66"/>
      <c r="LWW40" s="66"/>
      <c r="LWX40" s="66"/>
      <c r="LWY40" s="66"/>
      <c r="LWZ40" s="66"/>
      <c r="LXA40" s="66"/>
      <c r="LXB40" s="66"/>
      <c r="LXC40" s="66"/>
      <c r="LXD40" s="66"/>
      <c r="LXE40" s="66"/>
      <c r="LXF40" s="66"/>
      <c r="LXG40" s="66"/>
      <c r="LXH40" s="66"/>
      <c r="LXI40" s="66"/>
      <c r="LXJ40" s="66"/>
      <c r="LXK40" s="66"/>
      <c r="LXL40" s="66"/>
      <c r="LXM40" s="66"/>
      <c r="LXN40" s="66"/>
      <c r="LXO40" s="66"/>
      <c r="LXP40" s="66"/>
      <c r="LXQ40" s="66"/>
      <c r="LXR40" s="66"/>
      <c r="LXS40" s="66"/>
      <c r="LXT40" s="66"/>
      <c r="LXU40" s="66"/>
      <c r="LXV40" s="66"/>
      <c r="LXW40" s="66"/>
      <c r="LXX40" s="66"/>
      <c r="LXY40" s="66"/>
      <c r="LXZ40" s="66"/>
      <c r="LYA40" s="66"/>
      <c r="LYB40" s="66"/>
      <c r="LYC40" s="66"/>
      <c r="LYD40" s="66"/>
      <c r="LYE40" s="66"/>
      <c r="LYF40" s="66"/>
      <c r="LYG40" s="66"/>
      <c r="LYH40" s="66"/>
      <c r="LYI40" s="66"/>
      <c r="LYJ40" s="66"/>
      <c r="LYK40" s="66"/>
      <c r="LYL40" s="66"/>
      <c r="LYM40" s="66"/>
      <c r="LYN40" s="66"/>
      <c r="LYO40" s="66"/>
      <c r="LYP40" s="66"/>
      <c r="LYQ40" s="66"/>
      <c r="LYR40" s="66"/>
      <c r="LYS40" s="66"/>
      <c r="LYT40" s="66"/>
      <c r="LYU40" s="66"/>
      <c r="LYV40" s="66"/>
      <c r="LYW40" s="66"/>
      <c r="LYX40" s="66"/>
      <c r="LYY40" s="66"/>
      <c r="LYZ40" s="66"/>
      <c r="LZA40" s="66"/>
      <c r="LZB40" s="66"/>
      <c r="LZC40" s="66"/>
      <c r="LZD40" s="66"/>
      <c r="LZE40" s="66"/>
      <c r="LZF40" s="66"/>
      <c r="LZG40" s="66"/>
      <c r="LZH40" s="66"/>
      <c r="LZI40" s="66"/>
      <c r="LZJ40" s="66"/>
      <c r="LZK40" s="66"/>
      <c r="LZL40" s="66"/>
      <c r="LZM40" s="66"/>
      <c r="LZN40" s="66"/>
      <c r="LZO40" s="66"/>
      <c r="LZP40" s="66"/>
      <c r="LZQ40" s="66"/>
      <c r="LZR40" s="66"/>
      <c r="LZS40" s="66"/>
      <c r="LZT40" s="66"/>
      <c r="LZU40" s="66"/>
      <c r="LZV40" s="66"/>
      <c r="LZW40" s="66"/>
      <c r="LZX40" s="66"/>
      <c r="LZY40" s="66"/>
      <c r="LZZ40" s="66"/>
      <c r="MAA40" s="66"/>
      <c r="MAB40" s="66"/>
      <c r="MAC40" s="66"/>
      <c r="MAD40" s="66"/>
      <c r="MAE40" s="66"/>
      <c r="MAF40" s="66"/>
      <c r="MAG40" s="66"/>
      <c r="MAH40" s="66"/>
      <c r="MAI40" s="66"/>
      <c r="MAJ40" s="66"/>
      <c r="MAK40" s="66"/>
      <c r="MAL40" s="66"/>
      <c r="MAM40" s="66"/>
      <c r="MAN40" s="66"/>
      <c r="MAO40" s="66"/>
      <c r="MAP40" s="66"/>
      <c r="MAQ40" s="66"/>
      <c r="MAR40" s="66"/>
      <c r="MAS40" s="66"/>
      <c r="MAT40" s="66"/>
      <c r="MAU40" s="66"/>
      <c r="MAV40" s="66"/>
      <c r="MAW40" s="66"/>
      <c r="MAX40" s="66"/>
      <c r="MAY40" s="66"/>
      <c r="MAZ40" s="66"/>
      <c r="MBA40" s="66"/>
      <c r="MBB40" s="66"/>
      <c r="MBC40" s="66"/>
      <c r="MBD40" s="66"/>
      <c r="MBE40" s="66"/>
      <c r="MBF40" s="66"/>
      <c r="MBG40" s="66"/>
      <c r="MBH40" s="66"/>
      <c r="MBI40" s="66"/>
      <c r="MBJ40" s="66"/>
      <c r="MBK40" s="66"/>
      <c r="MBL40" s="66"/>
      <c r="MBM40" s="66"/>
      <c r="MBN40" s="66"/>
      <c r="MBO40" s="66"/>
      <c r="MBP40" s="66"/>
      <c r="MBQ40" s="66"/>
      <c r="MBR40" s="66"/>
      <c r="MBS40" s="66"/>
      <c r="MBT40" s="66"/>
      <c r="MBU40" s="66"/>
      <c r="MBV40" s="66"/>
      <c r="MBW40" s="66"/>
      <c r="MBX40" s="66"/>
      <c r="MBY40" s="66"/>
      <c r="MBZ40" s="66"/>
      <c r="MCA40" s="66"/>
      <c r="MCB40" s="66"/>
      <c r="MCC40" s="66"/>
      <c r="MCD40" s="66"/>
      <c r="MCE40" s="66"/>
      <c r="MCF40" s="66"/>
      <c r="MCG40" s="66"/>
      <c r="MCH40" s="66"/>
      <c r="MCI40" s="66"/>
      <c r="MCJ40" s="66"/>
      <c r="MCK40" s="66"/>
      <c r="MCL40" s="66"/>
      <c r="MCM40" s="66"/>
      <c r="MCN40" s="66"/>
      <c r="MCO40" s="66"/>
      <c r="MCP40" s="66"/>
      <c r="MCQ40" s="66"/>
      <c r="MCR40" s="66"/>
      <c r="MCS40" s="66"/>
      <c r="MCT40" s="66"/>
      <c r="MCU40" s="66"/>
      <c r="MCV40" s="66"/>
      <c r="MCW40" s="66"/>
      <c r="MCX40" s="66"/>
      <c r="MCY40" s="66"/>
      <c r="MCZ40" s="66"/>
      <c r="MDA40" s="66"/>
      <c r="MDB40" s="66"/>
      <c r="MDC40" s="66"/>
      <c r="MDD40" s="66"/>
      <c r="MDE40" s="66"/>
      <c r="MDF40" s="66"/>
      <c r="MDG40" s="66"/>
      <c r="MDH40" s="66"/>
      <c r="MDI40" s="66"/>
      <c r="MDJ40" s="66"/>
      <c r="MDK40" s="66"/>
      <c r="MDL40" s="66"/>
      <c r="MDM40" s="66"/>
      <c r="MDN40" s="66"/>
      <c r="MDO40" s="66"/>
      <c r="MDP40" s="66"/>
      <c r="MDQ40" s="66"/>
      <c r="MDR40" s="66"/>
      <c r="MDS40" s="66"/>
      <c r="MDT40" s="66"/>
      <c r="MDU40" s="66"/>
      <c r="MDV40" s="66"/>
      <c r="MDW40" s="66"/>
      <c r="MDX40" s="66"/>
      <c r="MDY40" s="66"/>
      <c r="MDZ40" s="66"/>
      <c r="MEA40" s="66"/>
      <c r="MEB40" s="66"/>
      <c r="MEC40" s="66"/>
      <c r="MED40" s="66"/>
      <c r="MEE40" s="66"/>
      <c r="MEF40" s="66"/>
      <c r="MEG40" s="66"/>
      <c r="MEH40" s="66"/>
      <c r="MEI40" s="66"/>
      <c r="MEJ40" s="66"/>
      <c r="MEK40" s="66"/>
      <c r="MEL40" s="66"/>
      <c r="MEM40" s="66"/>
      <c r="MEN40" s="66"/>
      <c r="MEO40" s="66"/>
      <c r="MEP40" s="66"/>
      <c r="MEQ40" s="66"/>
      <c r="MER40" s="66"/>
      <c r="MES40" s="66"/>
      <c r="MET40" s="66"/>
      <c r="MEU40" s="66"/>
      <c r="MEV40" s="66"/>
      <c r="MEW40" s="66"/>
      <c r="MEX40" s="66"/>
      <c r="MEY40" s="66"/>
      <c r="MEZ40" s="66"/>
      <c r="MFA40" s="66"/>
      <c r="MFB40" s="66"/>
      <c r="MFC40" s="66"/>
      <c r="MFD40" s="66"/>
      <c r="MFE40" s="66"/>
      <c r="MFF40" s="66"/>
      <c r="MFG40" s="66"/>
      <c r="MFH40" s="66"/>
      <c r="MFI40" s="66"/>
      <c r="MFJ40" s="66"/>
      <c r="MFK40" s="66"/>
      <c r="MFL40" s="66"/>
      <c r="MFM40" s="66"/>
      <c r="MFN40" s="66"/>
      <c r="MFO40" s="66"/>
      <c r="MFP40" s="66"/>
      <c r="MFQ40" s="66"/>
      <c r="MFR40" s="66"/>
      <c r="MFS40" s="66"/>
      <c r="MFT40" s="66"/>
      <c r="MFU40" s="66"/>
      <c r="MFV40" s="66"/>
      <c r="MFW40" s="66"/>
      <c r="MFX40" s="66"/>
      <c r="MFY40" s="66"/>
      <c r="MFZ40" s="66"/>
      <c r="MGA40" s="66"/>
      <c r="MGB40" s="66"/>
      <c r="MGC40" s="66"/>
      <c r="MGD40" s="66"/>
      <c r="MGE40" s="66"/>
      <c r="MGF40" s="66"/>
      <c r="MGG40" s="66"/>
      <c r="MGH40" s="66"/>
      <c r="MGI40" s="66"/>
      <c r="MGJ40" s="66"/>
      <c r="MGK40" s="66"/>
      <c r="MGL40" s="66"/>
      <c r="MGM40" s="66"/>
      <c r="MGN40" s="66"/>
      <c r="MGO40" s="66"/>
      <c r="MGP40" s="66"/>
      <c r="MGQ40" s="66"/>
      <c r="MGR40" s="66"/>
      <c r="MGS40" s="66"/>
      <c r="MGT40" s="66"/>
      <c r="MGU40" s="66"/>
      <c r="MGV40" s="66"/>
      <c r="MGW40" s="66"/>
      <c r="MGX40" s="66"/>
      <c r="MGY40" s="66"/>
      <c r="MGZ40" s="66"/>
      <c r="MHA40" s="66"/>
      <c r="MHB40" s="66"/>
      <c r="MHC40" s="66"/>
      <c r="MHD40" s="66"/>
      <c r="MHE40" s="66"/>
      <c r="MHF40" s="66"/>
      <c r="MHG40" s="66"/>
      <c r="MHH40" s="66"/>
      <c r="MHI40" s="66"/>
      <c r="MHJ40" s="66"/>
      <c r="MHK40" s="66"/>
      <c r="MHL40" s="66"/>
      <c r="MHM40" s="66"/>
      <c r="MHN40" s="66"/>
      <c r="MHO40" s="66"/>
      <c r="MHP40" s="66"/>
      <c r="MHQ40" s="66"/>
      <c r="MHR40" s="66"/>
      <c r="MHS40" s="66"/>
      <c r="MHT40" s="66"/>
      <c r="MHU40" s="66"/>
      <c r="MHV40" s="66"/>
      <c r="MHW40" s="66"/>
      <c r="MHX40" s="66"/>
      <c r="MHY40" s="66"/>
      <c r="MHZ40" s="66"/>
      <c r="MIA40" s="66"/>
      <c r="MIB40" s="66"/>
      <c r="MIC40" s="66"/>
      <c r="MID40" s="66"/>
      <c r="MIE40" s="66"/>
      <c r="MIF40" s="66"/>
      <c r="MIG40" s="66"/>
      <c r="MIH40" s="66"/>
      <c r="MII40" s="66"/>
      <c r="MIJ40" s="66"/>
      <c r="MIK40" s="66"/>
      <c r="MIL40" s="66"/>
      <c r="MIM40" s="66"/>
      <c r="MIN40" s="66"/>
      <c r="MIO40" s="66"/>
      <c r="MIP40" s="66"/>
      <c r="MIQ40" s="66"/>
      <c r="MIR40" s="66"/>
      <c r="MIS40" s="66"/>
      <c r="MIT40" s="66"/>
      <c r="MIU40" s="66"/>
      <c r="MIV40" s="66"/>
      <c r="MIW40" s="66"/>
      <c r="MIX40" s="66"/>
      <c r="MIY40" s="66"/>
      <c r="MIZ40" s="66"/>
      <c r="MJA40" s="66"/>
      <c r="MJB40" s="66"/>
      <c r="MJC40" s="66"/>
      <c r="MJD40" s="66"/>
      <c r="MJE40" s="66"/>
      <c r="MJF40" s="66"/>
      <c r="MJG40" s="66"/>
      <c r="MJH40" s="66"/>
      <c r="MJI40" s="66"/>
      <c r="MJJ40" s="66"/>
      <c r="MJK40" s="66"/>
      <c r="MJL40" s="66"/>
      <c r="MJM40" s="66"/>
      <c r="MJN40" s="66"/>
      <c r="MJO40" s="66"/>
      <c r="MJP40" s="66"/>
      <c r="MJQ40" s="66"/>
      <c r="MJR40" s="66"/>
      <c r="MJS40" s="66"/>
      <c r="MJT40" s="66"/>
      <c r="MJU40" s="66"/>
      <c r="MJV40" s="66"/>
      <c r="MJW40" s="66"/>
      <c r="MJX40" s="66"/>
      <c r="MJY40" s="66"/>
      <c r="MJZ40" s="66"/>
      <c r="MKA40" s="66"/>
      <c r="MKB40" s="66"/>
      <c r="MKC40" s="66"/>
      <c r="MKD40" s="66"/>
      <c r="MKE40" s="66"/>
      <c r="MKF40" s="66"/>
      <c r="MKG40" s="66"/>
      <c r="MKH40" s="66"/>
      <c r="MKI40" s="66"/>
      <c r="MKJ40" s="66"/>
      <c r="MKK40" s="66"/>
      <c r="MKL40" s="66"/>
      <c r="MKM40" s="66"/>
      <c r="MKN40" s="66"/>
      <c r="MKO40" s="66"/>
      <c r="MKP40" s="66"/>
      <c r="MKQ40" s="66"/>
      <c r="MKR40" s="66"/>
      <c r="MKS40" s="66"/>
      <c r="MKT40" s="66"/>
      <c r="MKU40" s="66"/>
      <c r="MKV40" s="66"/>
      <c r="MKW40" s="66"/>
      <c r="MKX40" s="66"/>
      <c r="MKY40" s="66"/>
      <c r="MKZ40" s="66"/>
      <c r="MLA40" s="66"/>
      <c r="MLB40" s="66"/>
      <c r="MLC40" s="66"/>
      <c r="MLD40" s="66"/>
      <c r="MLE40" s="66"/>
      <c r="MLF40" s="66"/>
      <c r="MLG40" s="66"/>
      <c r="MLH40" s="66"/>
      <c r="MLI40" s="66"/>
      <c r="MLJ40" s="66"/>
      <c r="MLK40" s="66"/>
      <c r="MLL40" s="66"/>
      <c r="MLM40" s="66"/>
      <c r="MLN40" s="66"/>
      <c r="MLO40" s="66"/>
      <c r="MLP40" s="66"/>
      <c r="MLQ40" s="66"/>
      <c r="MLR40" s="66"/>
      <c r="MLS40" s="66"/>
      <c r="MLT40" s="66"/>
      <c r="MLU40" s="66"/>
      <c r="MLV40" s="66"/>
      <c r="MLW40" s="66"/>
      <c r="MLX40" s="66"/>
      <c r="MLY40" s="66"/>
      <c r="MLZ40" s="66"/>
      <c r="MMA40" s="66"/>
      <c r="MMB40" s="66"/>
      <c r="MMC40" s="66"/>
      <c r="MMD40" s="66"/>
      <c r="MME40" s="66"/>
      <c r="MMF40" s="66"/>
      <c r="MMG40" s="66"/>
      <c r="MMH40" s="66"/>
      <c r="MMI40" s="66"/>
      <c r="MMJ40" s="66"/>
      <c r="MMK40" s="66"/>
      <c r="MML40" s="66"/>
      <c r="MMM40" s="66"/>
      <c r="MMN40" s="66"/>
      <c r="MMO40" s="66"/>
      <c r="MMP40" s="66"/>
      <c r="MMQ40" s="66"/>
      <c r="MMR40" s="66"/>
      <c r="MMS40" s="66"/>
      <c r="MMT40" s="66"/>
      <c r="MMU40" s="66"/>
      <c r="MMV40" s="66"/>
      <c r="MMW40" s="66"/>
      <c r="MMX40" s="66"/>
      <c r="MMY40" s="66"/>
      <c r="MMZ40" s="66"/>
      <c r="MNA40" s="66"/>
      <c r="MNB40" s="66"/>
      <c r="MNC40" s="66"/>
      <c r="MND40" s="66"/>
      <c r="MNE40" s="66"/>
      <c r="MNF40" s="66"/>
      <c r="MNG40" s="66"/>
      <c r="MNH40" s="66"/>
      <c r="MNI40" s="66"/>
      <c r="MNJ40" s="66"/>
      <c r="MNK40" s="66"/>
      <c r="MNL40" s="66"/>
      <c r="MNM40" s="66"/>
      <c r="MNN40" s="66"/>
      <c r="MNO40" s="66"/>
      <c r="MNP40" s="66"/>
      <c r="MNQ40" s="66"/>
      <c r="MNR40" s="66"/>
      <c r="MNS40" s="66"/>
      <c r="MNT40" s="66"/>
      <c r="MNU40" s="66"/>
      <c r="MNV40" s="66"/>
      <c r="MNW40" s="66"/>
      <c r="MNX40" s="66"/>
      <c r="MNY40" s="66"/>
      <c r="MNZ40" s="66"/>
      <c r="MOA40" s="66"/>
      <c r="MOB40" s="66"/>
      <c r="MOC40" s="66"/>
      <c r="MOD40" s="66"/>
      <c r="MOE40" s="66"/>
      <c r="MOF40" s="66"/>
      <c r="MOG40" s="66"/>
      <c r="MOH40" s="66"/>
      <c r="MOI40" s="66"/>
      <c r="MOJ40" s="66"/>
      <c r="MOK40" s="66"/>
      <c r="MOL40" s="66"/>
      <c r="MOM40" s="66"/>
      <c r="MON40" s="66"/>
      <c r="MOO40" s="66"/>
      <c r="MOP40" s="66"/>
      <c r="MOQ40" s="66"/>
      <c r="MOR40" s="66"/>
      <c r="MOS40" s="66"/>
      <c r="MOT40" s="66"/>
      <c r="MOU40" s="66"/>
      <c r="MOV40" s="66"/>
      <c r="MOW40" s="66"/>
      <c r="MOX40" s="66"/>
      <c r="MOY40" s="66"/>
      <c r="MOZ40" s="66"/>
      <c r="MPA40" s="66"/>
      <c r="MPB40" s="66"/>
      <c r="MPC40" s="66"/>
      <c r="MPD40" s="66"/>
      <c r="MPE40" s="66"/>
      <c r="MPF40" s="66"/>
      <c r="MPG40" s="66"/>
      <c r="MPH40" s="66"/>
      <c r="MPI40" s="66"/>
      <c r="MPJ40" s="66"/>
      <c r="MPK40" s="66"/>
      <c r="MPL40" s="66"/>
      <c r="MPM40" s="66"/>
      <c r="MPN40" s="66"/>
      <c r="MPO40" s="66"/>
      <c r="MPP40" s="66"/>
      <c r="MPQ40" s="66"/>
      <c r="MPR40" s="66"/>
      <c r="MPS40" s="66"/>
      <c r="MPT40" s="66"/>
      <c r="MPU40" s="66"/>
      <c r="MPV40" s="66"/>
      <c r="MPW40" s="66"/>
      <c r="MPX40" s="66"/>
      <c r="MPY40" s="66"/>
      <c r="MPZ40" s="66"/>
      <c r="MQA40" s="66"/>
      <c r="MQB40" s="66"/>
      <c r="MQC40" s="66"/>
      <c r="MQD40" s="66"/>
      <c r="MQE40" s="66"/>
      <c r="MQF40" s="66"/>
      <c r="MQG40" s="66"/>
      <c r="MQH40" s="66"/>
      <c r="MQI40" s="66"/>
      <c r="MQJ40" s="66"/>
      <c r="MQK40" s="66"/>
      <c r="MQL40" s="66"/>
      <c r="MQM40" s="66"/>
      <c r="MQN40" s="66"/>
      <c r="MQO40" s="66"/>
      <c r="MQP40" s="66"/>
      <c r="MQQ40" s="66"/>
      <c r="MQR40" s="66"/>
      <c r="MQS40" s="66"/>
      <c r="MQT40" s="66"/>
      <c r="MQU40" s="66"/>
      <c r="MQV40" s="66"/>
      <c r="MQW40" s="66"/>
      <c r="MQX40" s="66"/>
      <c r="MQY40" s="66"/>
      <c r="MQZ40" s="66"/>
      <c r="MRA40" s="66"/>
      <c r="MRB40" s="66"/>
      <c r="MRC40" s="66"/>
      <c r="MRD40" s="66"/>
      <c r="MRE40" s="66"/>
      <c r="MRF40" s="66"/>
      <c r="MRG40" s="66"/>
      <c r="MRH40" s="66"/>
      <c r="MRI40" s="66"/>
      <c r="MRJ40" s="66"/>
      <c r="MRK40" s="66"/>
      <c r="MRL40" s="66"/>
      <c r="MRM40" s="66"/>
      <c r="MRN40" s="66"/>
      <c r="MRO40" s="66"/>
      <c r="MRP40" s="66"/>
      <c r="MRQ40" s="66"/>
      <c r="MRR40" s="66"/>
      <c r="MRS40" s="66"/>
      <c r="MRT40" s="66"/>
      <c r="MRU40" s="66"/>
      <c r="MRV40" s="66"/>
      <c r="MRW40" s="66"/>
      <c r="MRX40" s="66"/>
      <c r="MRY40" s="66"/>
      <c r="MRZ40" s="66"/>
      <c r="MSA40" s="66"/>
      <c r="MSB40" s="66"/>
      <c r="MSC40" s="66"/>
      <c r="MSD40" s="66"/>
      <c r="MSE40" s="66"/>
      <c r="MSF40" s="66"/>
      <c r="MSG40" s="66"/>
      <c r="MSH40" s="66"/>
      <c r="MSI40" s="66"/>
      <c r="MSJ40" s="66"/>
      <c r="MSK40" s="66"/>
      <c r="MSL40" s="66"/>
      <c r="MSM40" s="66"/>
      <c r="MSN40" s="66"/>
      <c r="MSO40" s="66"/>
      <c r="MSP40" s="66"/>
      <c r="MSQ40" s="66"/>
      <c r="MSR40" s="66"/>
      <c r="MSS40" s="66"/>
      <c r="MST40" s="66"/>
      <c r="MSU40" s="66"/>
      <c r="MSV40" s="66"/>
      <c r="MSW40" s="66"/>
      <c r="MSX40" s="66"/>
      <c r="MSY40" s="66"/>
      <c r="MSZ40" s="66"/>
      <c r="MTA40" s="66"/>
      <c r="MTB40" s="66"/>
      <c r="MTC40" s="66"/>
      <c r="MTD40" s="66"/>
      <c r="MTE40" s="66"/>
      <c r="MTF40" s="66"/>
      <c r="MTG40" s="66"/>
      <c r="MTH40" s="66"/>
      <c r="MTI40" s="66"/>
      <c r="MTJ40" s="66"/>
      <c r="MTK40" s="66"/>
      <c r="MTL40" s="66"/>
      <c r="MTM40" s="66"/>
      <c r="MTN40" s="66"/>
      <c r="MTO40" s="66"/>
      <c r="MTP40" s="66"/>
      <c r="MTQ40" s="66"/>
      <c r="MTR40" s="66"/>
      <c r="MTS40" s="66"/>
      <c r="MTT40" s="66"/>
      <c r="MTU40" s="66"/>
      <c r="MTV40" s="66"/>
      <c r="MTW40" s="66"/>
      <c r="MTX40" s="66"/>
      <c r="MTY40" s="66"/>
      <c r="MTZ40" s="66"/>
      <c r="MUA40" s="66"/>
      <c r="MUB40" s="66"/>
      <c r="MUC40" s="66"/>
      <c r="MUD40" s="66"/>
      <c r="MUE40" s="66"/>
      <c r="MUF40" s="66"/>
      <c r="MUG40" s="66"/>
      <c r="MUH40" s="66"/>
      <c r="MUI40" s="66"/>
      <c r="MUJ40" s="66"/>
      <c r="MUK40" s="66"/>
      <c r="MUL40" s="66"/>
      <c r="MUM40" s="66"/>
      <c r="MUN40" s="66"/>
      <c r="MUO40" s="66"/>
      <c r="MUP40" s="66"/>
      <c r="MUQ40" s="66"/>
      <c r="MUR40" s="66"/>
      <c r="MUS40" s="66"/>
      <c r="MUT40" s="66"/>
      <c r="MUU40" s="66"/>
      <c r="MUV40" s="66"/>
      <c r="MUW40" s="66"/>
      <c r="MUX40" s="66"/>
      <c r="MUY40" s="66"/>
      <c r="MUZ40" s="66"/>
      <c r="MVA40" s="66"/>
      <c r="MVB40" s="66"/>
      <c r="MVC40" s="66"/>
      <c r="MVD40" s="66"/>
      <c r="MVE40" s="66"/>
      <c r="MVF40" s="66"/>
      <c r="MVG40" s="66"/>
      <c r="MVH40" s="66"/>
      <c r="MVI40" s="66"/>
      <c r="MVJ40" s="66"/>
      <c r="MVK40" s="66"/>
      <c r="MVL40" s="66"/>
      <c r="MVM40" s="66"/>
      <c r="MVN40" s="66"/>
      <c r="MVO40" s="66"/>
      <c r="MVP40" s="66"/>
      <c r="MVQ40" s="66"/>
      <c r="MVR40" s="66"/>
      <c r="MVS40" s="66"/>
      <c r="MVT40" s="66"/>
      <c r="MVU40" s="66"/>
      <c r="MVV40" s="66"/>
      <c r="MVW40" s="66"/>
      <c r="MVX40" s="66"/>
      <c r="MVY40" s="66"/>
      <c r="MVZ40" s="66"/>
      <c r="MWA40" s="66"/>
      <c r="MWB40" s="66"/>
      <c r="MWC40" s="66"/>
      <c r="MWD40" s="66"/>
      <c r="MWE40" s="66"/>
      <c r="MWF40" s="66"/>
      <c r="MWG40" s="66"/>
      <c r="MWH40" s="66"/>
      <c r="MWI40" s="66"/>
      <c r="MWJ40" s="66"/>
      <c r="MWK40" s="66"/>
      <c r="MWL40" s="66"/>
      <c r="MWM40" s="66"/>
      <c r="MWN40" s="66"/>
      <c r="MWO40" s="66"/>
      <c r="MWP40" s="66"/>
      <c r="MWQ40" s="66"/>
      <c r="MWR40" s="66"/>
      <c r="MWS40" s="66"/>
      <c r="MWT40" s="66"/>
      <c r="MWU40" s="66"/>
      <c r="MWV40" s="66"/>
      <c r="MWW40" s="66"/>
      <c r="MWX40" s="66"/>
      <c r="MWY40" s="66"/>
      <c r="MWZ40" s="66"/>
      <c r="MXA40" s="66"/>
      <c r="MXB40" s="66"/>
      <c r="MXC40" s="66"/>
      <c r="MXD40" s="66"/>
      <c r="MXE40" s="66"/>
      <c r="MXF40" s="66"/>
      <c r="MXG40" s="66"/>
      <c r="MXH40" s="66"/>
      <c r="MXI40" s="66"/>
      <c r="MXJ40" s="66"/>
      <c r="MXK40" s="66"/>
      <c r="MXL40" s="66"/>
      <c r="MXM40" s="66"/>
      <c r="MXN40" s="66"/>
      <c r="MXO40" s="66"/>
      <c r="MXP40" s="66"/>
      <c r="MXQ40" s="66"/>
      <c r="MXR40" s="66"/>
      <c r="MXS40" s="66"/>
      <c r="MXT40" s="66"/>
      <c r="MXU40" s="66"/>
      <c r="MXV40" s="66"/>
      <c r="MXW40" s="66"/>
      <c r="MXX40" s="66"/>
      <c r="MXY40" s="66"/>
      <c r="MXZ40" s="66"/>
      <c r="MYA40" s="66"/>
      <c r="MYB40" s="66"/>
      <c r="MYC40" s="66"/>
      <c r="MYD40" s="66"/>
      <c r="MYE40" s="66"/>
      <c r="MYF40" s="66"/>
      <c r="MYG40" s="66"/>
      <c r="MYH40" s="66"/>
      <c r="MYI40" s="66"/>
      <c r="MYJ40" s="66"/>
      <c r="MYK40" s="66"/>
      <c r="MYL40" s="66"/>
      <c r="MYM40" s="66"/>
      <c r="MYN40" s="66"/>
      <c r="MYO40" s="66"/>
      <c r="MYP40" s="66"/>
      <c r="MYQ40" s="66"/>
      <c r="MYR40" s="66"/>
      <c r="MYS40" s="66"/>
      <c r="MYT40" s="66"/>
      <c r="MYU40" s="66"/>
      <c r="MYV40" s="66"/>
      <c r="MYW40" s="66"/>
      <c r="MYX40" s="66"/>
      <c r="MYY40" s="66"/>
      <c r="MYZ40" s="66"/>
      <c r="MZA40" s="66"/>
      <c r="MZB40" s="66"/>
      <c r="MZC40" s="66"/>
      <c r="MZD40" s="66"/>
      <c r="MZE40" s="66"/>
      <c r="MZF40" s="66"/>
      <c r="MZG40" s="66"/>
      <c r="MZH40" s="66"/>
      <c r="MZI40" s="66"/>
      <c r="MZJ40" s="66"/>
      <c r="MZK40" s="66"/>
      <c r="MZL40" s="66"/>
      <c r="MZM40" s="66"/>
      <c r="MZN40" s="66"/>
      <c r="MZO40" s="66"/>
      <c r="MZP40" s="66"/>
      <c r="MZQ40" s="66"/>
      <c r="MZR40" s="66"/>
      <c r="MZS40" s="66"/>
      <c r="MZT40" s="66"/>
      <c r="MZU40" s="66"/>
      <c r="MZV40" s="66"/>
      <c r="MZW40" s="66"/>
      <c r="MZX40" s="66"/>
      <c r="MZY40" s="66"/>
      <c r="MZZ40" s="66"/>
      <c r="NAA40" s="66"/>
      <c r="NAB40" s="66"/>
      <c r="NAC40" s="66"/>
      <c r="NAD40" s="66"/>
      <c r="NAE40" s="66"/>
      <c r="NAF40" s="66"/>
      <c r="NAG40" s="66"/>
      <c r="NAH40" s="66"/>
      <c r="NAI40" s="66"/>
      <c r="NAJ40" s="66"/>
      <c r="NAK40" s="66"/>
      <c r="NAL40" s="66"/>
      <c r="NAM40" s="66"/>
      <c r="NAN40" s="66"/>
      <c r="NAO40" s="66"/>
      <c r="NAP40" s="66"/>
      <c r="NAQ40" s="66"/>
      <c r="NAR40" s="66"/>
      <c r="NAS40" s="66"/>
      <c r="NAT40" s="66"/>
      <c r="NAU40" s="66"/>
      <c r="NAV40" s="66"/>
      <c r="NAW40" s="66"/>
      <c r="NAX40" s="66"/>
      <c r="NAY40" s="66"/>
      <c r="NAZ40" s="66"/>
      <c r="NBA40" s="66"/>
      <c r="NBB40" s="66"/>
      <c r="NBC40" s="66"/>
      <c r="NBD40" s="66"/>
      <c r="NBE40" s="66"/>
      <c r="NBF40" s="66"/>
      <c r="NBG40" s="66"/>
      <c r="NBH40" s="66"/>
      <c r="NBI40" s="66"/>
      <c r="NBJ40" s="66"/>
      <c r="NBK40" s="66"/>
      <c r="NBL40" s="66"/>
      <c r="NBM40" s="66"/>
      <c r="NBN40" s="66"/>
      <c r="NBO40" s="66"/>
      <c r="NBP40" s="66"/>
      <c r="NBQ40" s="66"/>
      <c r="NBR40" s="66"/>
      <c r="NBS40" s="66"/>
      <c r="NBT40" s="66"/>
      <c r="NBU40" s="66"/>
      <c r="NBV40" s="66"/>
      <c r="NBW40" s="66"/>
      <c r="NBX40" s="66"/>
      <c r="NBY40" s="66"/>
      <c r="NBZ40" s="66"/>
      <c r="NCA40" s="66"/>
      <c r="NCB40" s="66"/>
      <c r="NCC40" s="66"/>
      <c r="NCD40" s="66"/>
      <c r="NCE40" s="66"/>
      <c r="NCF40" s="66"/>
      <c r="NCG40" s="66"/>
      <c r="NCH40" s="66"/>
      <c r="NCI40" s="66"/>
      <c r="NCJ40" s="66"/>
      <c r="NCK40" s="66"/>
      <c r="NCL40" s="66"/>
      <c r="NCM40" s="66"/>
      <c r="NCN40" s="66"/>
      <c r="NCO40" s="66"/>
      <c r="NCP40" s="66"/>
      <c r="NCQ40" s="66"/>
      <c r="NCR40" s="66"/>
      <c r="NCS40" s="66"/>
      <c r="NCT40" s="66"/>
      <c r="NCU40" s="66"/>
      <c r="NCV40" s="66"/>
      <c r="NCW40" s="66"/>
      <c r="NCX40" s="66"/>
      <c r="NCY40" s="66"/>
      <c r="NCZ40" s="66"/>
      <c r="NDA40" s="66"/>
      <c r="NDB40" s="66"/>
      <c r="NDC40" s="66"/>
      <c r="NDD40" s="66"/>
      <c r="NDE40" s="66"/>
      <c r="NDF40" s="66"/>
      <c r="NDG40" s="66"/>
      <c r="NDH40" s="66"/>
      <c r="NDI40" s="66"/>
      <c r="NDJ40" s="66"/>
      <c r="NDK40" s="66"/>
      <c r="NDL40" s="66"/>
      <c r="NDM40" s="66"/>
      <c r="NDN40" s="66"/>
      <c r="NDO40" s="66"/>
      <c r="NDP40" s="66"/>
      <c r="NDQ40" s="66"/>
      <c r="NDR40" s="66"/>
      <c r="NDS40" s="66"/>
      <c r="NDT40" s="66"/>
      <c r="NDU40" s="66"/>
      <c r="NDV40" s="66"/>
      <c r="NDW40" s="66"/>
      <c r="NDX40" s="66"/>
      <c r="NDY40" s="66"/>
      <c r="NDZ40" s="66"/>
      <c r="NEA40" s="66"/>
      <c r="NEB40" s="66"/>
      <c r="NEC40" s="66"/>
      <c r="NED40" s="66"/>
      <c r="NEE40" s="66"/>
      <c r="NEF40" s="66"/>
      <c r="NEG40" s="66"/>
      <c r="NEH40" s="66"/>
      <c r="NEI40" s="66"/>
      <c r="NEJ40" s="66"/>
      <c r="NEK40" s="66"/>
      <c r="NEL40" s="66"/>
      <c r="NEM40" s="66"/>
      <c r="NEN40" s="66"/>
      <c r="NEO40" s="66"/>
      <c r="NEP40" s="66"/>
      <c r="NEQ40" s="66"/>
      <c r="NER40" s="66"/>
      <c r="NES40" s="66"/>
      <c r="NET40" s="66"/>
      <c r="NEU40" s="66"/>
      <c r="NEV40" s="66"/>
      <c r="NEW40" s="66"/>
      <c r="NEX40" s="66"/>
      <c r="NEY40" s="66"/>
      <c r="NEZ40" s="66"/>
      <c r="NFA40" s="66"/>
      <c r="NFB40" s="66"/>
      <c r="NFC40" s="66"/>
      <c r="NFD40" s="66"/>
      <c r="NFE40" s="66"/>
      <c r="NFF40" s="66"/>
      <c r="NFG40" s="66"/>
      <c r="NFH40" s="66"/>
      <c r="NFI40" s="66"/>
      <c r="NFJ40" s="66"/>
      <c r="NFK40" s="66"/>
      <c r="NFL40" s="66"/>
      <c r="NFM40" s="66"/>
      <c r="NFN40" s="66"/>
      <c r="NFO40" s="66"/>
      <c r="NFP40" s="66"/>
      <c r="NFQ40" s="66"/>
      <c r="NFR40" s="66"/>
      <c r="NFS40" s="66"/>
      <c r="NFT40" s="66"/>
      <c r="NFU40" s="66"/>
      <c r="NFV40" s="66"/>
      <c r="NFW40" s="66"/>
      <c r="NFX40" s="66"/>
      <c r="NFY40" s="66"/>
      <c r="NFZ40" s="66"/>
      <c r="NGA40" s="66"/>
      <c r="NGB40" s="66"/>
      <c r="NGC40" s="66"/>
      <c r="NGD40" s="66"/>
      <c r="NGE40" s="66"/>
      <c r="NGF40" s="66"/>
      <c r="NGG40" s="66"/>
      <c r="NGH40" s="66"/>
      <c r="NGI40" s="66"/>
      <c r="NGJ40" s="66"/>
      <c r="NGK40" s="66"/>
      <c r="NGL40" s="66"/>
      <c r="NGM40" s="66"/>
      <c r="NGN40" s="66"/>
      <c r="NGO40" s="66"/>
      <c r="NGP40" s="66"/>
      <c r="NGQ40" s="66"/>
      <c r="NGR40" s="66"/>
      <c r="NGS40" s="66"/>
      <c r="NGT40" s="66"/>
      <c r="NGU40" s="66"/>
      <c r="NGV40" s="66"/>
      <c r="NGW40" s="66"/>
      <c r="NGX40" s="66"/>
      <c r="NGY40" s="66"/>
      <c r="NGZ40" s="66"/>
      <c r="NHA40" s="66"/>
      <c r="NHB40" s="66"/>
      <c r="NHC40" s="66"/>
      <c r="NHD40" s="66"/>
      <c r="NHE40" s="66"/>
      <c r="NHF40" s="66"/>
      <c r="NHG40" s="66"/>
      <c r="NHH40" s="66"/>
      <c r="NHI40" s="66"/>
      <c r="NHJ40" s="66"/>
      <c r="NHK40" s="66"/>
      <c r="NHL40" s="66"/>
      <c r="NHM40" s="66"/>
      <c r="NHN40" s="66"/>
      <c r="NHO40" s="66"/>
      <c r="NHP40" s="66"/>
      <c r="NHQ40" s="66"/>
      <c r="NHR40" s="66"/>
      <c r="NHS40" s="66"/>
      <c r="NHT40" s="66"/>
      <c r="NHU40" s="66"/>
      <c r="NHV40" s="66"/>
      <c r="NHW40" s="66"/>
      <c r="NHX40" s="66"/>
      <c r="NHY40" s="66"/>
      <c r="NHZ40" s="66"/>
      <c r="NIA40" s="66"/>
      <c r="NIB40" s="66"/>
      <c r="NIC40" s="66"/>
      <c r="NID40" s="66"/>
      <c r="NIE40" s="66"/>
      <c r="NIF40" s="66"/>
      <c r="NIG40" s="66"/>
      <c r="NIH40" s="66"/>
      <c r="NII40" s="66"/>
      <c r="NIJ40" s="66"/>
      <c r="NIK40" s="66"/>
      <c r="NIL40" s="66"/>
      <c r="NIM40" s="66"/>
      <c r="NIN40" s="66"/>
      <c r="NIO40" s="66"/>
      <c r="NIP40" s="66"/>
      <c r="NIQ40" s="66"/>
      <c r="NIR40" s="66"/>
      <c r="NIS40" s="66"/>
      <c r="NIT40" s="66"/>
      <c r="NIU40" s="66"/>
      <c r="NIV40" s="66"/>
      <c r="NIW40" s="66"/>
      <c r="NIX40" s="66"/>
      <c r="NIY40" s="66"/>
      <c r="NIZ40" s="66"/>
      <c r="NJA40" s="66"/>
      <c r="NJB40" s="66"/>
      <c r="NJC40" s="66"/>
      <c r="NJD40" s="66"/>
      <c r="NJE40" s="66"/>
      <c r="NJF40" s="66"/>
      <c r="NJG40" s="66"/>
      <c r="NJH40" s="66"/>
      <c r="NJI40" s="66"/>
      <c r="NJJ40" s="66"/>
      <c r="NJK40" s="66"/>
      <c r="NJL40" s="66"/>
      <c r="NJM40" s="66"/>
      <c r="NJN40" s="66"/>
      <c r="NJO40" s="66"/>
      <c r="NJP40" s="66"/>
      <c r="NJQ40" s="66"/>
      <c r="NJR40" s="66"/>
      <c r="NJS40" s="66"/>
      <c r="NJT40" s="66"/>
      <c r="NJU40" s="66"/>
      <c r="NJV40" s="66"/>
      <c r="NJW40" s="66"/>
      <c r="NJX40" s="66"/>
      <c r="NJY40" s="66"/>
      <c r="NJZ40" s="66"/>
      <c r="NKA40" s="66"/>
      <c r="NKB40" s="66"/>
      <c r="NKC40" s="66"/>
      <c r="NKD40" s="66"/>
      <c r="NKE40" s="66"/>
      <c r="NKF40" s="66"/>
      <c r="NKG40" s="66"/>
      <c r="NKH40" s="66"/>
      <c r="NKI40" s="66"/>
      <c r="NKJ40" s="66"/>
      <c r="NKK40" s="66"/>
      <c r="NKL40" s="66"/>
      <c r="NKM40" s="66"/>
      <c r="NKN40" s="66"/>
      <c r="NKO40" s="66"/>
      <c r="NKP40" s="66"/>
      <c r="NKQ40" s="66"/>
      <c r="NKR40" s="66"/>
      <c r="NKS40" s="66"/>
      <c r="NKT40" s="66"/>
      <c r="NKU40" s="66"/>
      <c r="NKV40" s="66"/>
      <c r="NKW40" s="66"/>
      <c r="NKX40" s="66"/>
      <c r="NKY40" s="66"/>
      <c r="NKZ40" s="66"/>
      <c r="NLA40" s="66"/>
      <c r="NLB40" s="66"/>
      <c r="NLC40" s="66"/>
      <c r="NLD40" s="66"/>
      <c r="NLE40" s="66"/>
      <c r="NLF40" s="66"/>
      <c r="NLG40" s="66"/>
      <c r="NLH40" s="66"/>
      <c r="NLI40" s="66"/>
      <c r="NLJ40" s="66"/>
      <c r="NLK40" s="66"/>
      <c r="NLL40" s="66"/>
      <c r="NLM40" s="66"/>
      <c r="NLN40" s="66"/>
      <c r="NLO40" s="66"/>
      <c r="NLP40" s="66"/>
      <c r="NLQ40" s="66"/>
      <c r="NLR40" s="66"/>
      <c r="NLS40" s="66"/>
      <c r="NLT40" s="66"/>
      <c r="NLU40" s="66"/>
      <c r="NLV40" s="66"/>
      <c r="NLW40" s="66"/>
      <c r="NLX40" s="66"/>
      <c r="NLY40" s="66"/>
      <c r="NLZ40" s="66"/>
      <c r="NMA40" s="66"/>
      <c r="NMB40" s="66"/>
      <c r="NMC40" s="66"/>
      <c r="NMD40" s="66"/>
      <c r="NME40" s="66"/>
      <c r="NMF40" s="66"/>
      <c r="NMG40" s="66"/>
      <c r="NMH40" s="66"/>
      <c r="NMI40" s="66"/>
      <c r="NMJ40" s="66"/>
      <c r="NMK40" s="66"/>
      <c r="NML40" s="66"/>
      <c r="NMM40" s="66"/>
      <c r="NMN40" s="66"/>
      <c r="NMO40" s="66"/>
      <c r="NMP40" s="66"/>
      <c r="NMQ40" s="66"/>
      <c r="NMR40" s="66"/>
      <c r="NMS40" s="66"/>
      <c r="NMT40" s="66"/>
      <c r="NMU40" s="66"/>
      <c r="NMV40" s="66"/>
      <c r="NMW40" s="66"/>
      <c r="NMX40" s="66"/>
      <c r="NMY40" s="66"/>
      <c r="NMZ40" s="66"/>
      <c r="NNA40" s="66"/>
      <c r="NNB40" s="66"/>
      <c r="NNC40" s="66"/>
      <c r="NND40" s="66"/>
      <c r="NNE40" s="66"/>
      <c r="NNF40" s="66"/>
      <c r="NNG40" s="66"/>
      <c r="NNH40" s="66"/>
      <c r="NNI40" s="66"/>
      <c r="NNJ40" s="66"/>
      <c r="NNK40" s="66"/>
      <c r="NNL40" s="66"/>
      <c r="NNM40" s="66"/>
      <c r="NNN40" s="66"/>
      <c r="NNO40" s="66"/>
      <c r="NNP40" s="66"/>
      <c r="NNQ40" s="66"/>
      <c r="NNR40" s="66"/>
      <c r="NNS40" s="66"/>
      <c r="NNT40" s="66"/>
      <c r="NNU40" s="66"/>
      <c r="NNV40" s="66"/>
      <c r="NNW40" s="66"/>
      <c r="NNX40" s="66"/>
      <c r="NNY40" s="66"/>
      <c r="NNZ40" s="66"/>
      <c r="NOA40" s="66"/>
      <c r="NOB40" s="66"/>
      <c r="NOC40" s="66"/>
      <c r="NOD40" s="66"/>
      <c r="NOE40" s="66"/>
      <c r="NOF40" s="66"/>
      <c r="NOG40" s="66"/>
      <c r="NOH40" s="66"/>
      <c r="NOI40" s="66"/>
      <c r="NOJ40" s="66"/>
      <c r="NOK40" s="66"/>
      <c r="NOL40" s="66"/>
      <c r="NOM40" s="66"/>
      <c r="NON40" s="66"/>
      <c r="NOO40" s="66"/>
      <c r="NOP40" s="66"/>
      <c r="NOQ40" s="66"/>
      <c r="NOR40" s="66"/>
      <c r="NOS40" s="66"/>
      <c r="NOT40" s="66"/>
      <c r="NOU40" s="66"/>
      <c r="NOV40" s="66"/>
      <c r="NOW40" s="66"/>
      <c r="NOX40" s="66"/>
      <c r="NOY40" s="66"/>
      <c r="NOZ40" s="66"/>
      <c r="NPA40" s="66"/>
      <c r="NPB40" s="66"/>
      <c r="NPC40" s="66"/>
      <c r="NPD40" s="66"/>
      <c r="NPE40" s="66"/>
      <c r="NPF40" s="66"/>
      <c r="NPG40" s="66"/>
      <c r="NPH40" s="66"/>
      <c r="NPI40" s="66"/>
      <c r="NPJ40" s="66"/>
      <c r="NPK40" s="66"/>
      <c r="NPL40" s="66"/>
      <c r="NPM40" s="66"/>
      <c r="NPN40" s="66"/>
      <c r="NPO40" s="66"/>
      <c r="NPP40" s="66"/>
      <c r="NPQ40" s="66"/>
      <c r="NPR40" s="66"/>
      <c r="NPS40" s="66"/>
      <c r="NPT40" s="66"/>
      <c r="NPU40" s="66"/>
      <c r="NPV40" s="66"/>
      <c r="NPW40" s="66"/>
      <c r="NPX40" s="66"/>
      <c r="NPY40" s="66"/>
      <c r="NPZ40" s="66"/>
      <c r="NQA40" s="66"/>
      <c r="NQB40" s="66"/>
      <c r="NQC40" s="66"/>
      <c r="NQD40" s="66"/>
      <c r="NQE40" s="66"/>
      <c r="NQF40" s="66"/>
      <c r="NQG40" s="66"/>
      <c r="NQH40" s="66"/>
      <c r="NQI40" s="66"/>
      <c r="NQJ40" s="66"/>
      <c r="NQK40" s="66"/>
      <c r="NQL40" s="66"/>
      <c r="NQM40" s="66"/>
      <c r="NQN40" s="66"/>
      <c r="NQO40" s="66"/>
      <c r="NQP40" s="66"/>
      <c r="NQQ40" s="66"/>
      <c r="NQR40" s="66"/>
      <c r="NQS40" s="66"/>
      <c r="NQT40" s="66"/>
      <c r="NQU40" s="66"/>
      <c r="NQV40" s="66"/>
      <c r="NQW40" s="66"/>
      <c r="NQX40" s="66"/>
      <c r="NQY40" s="66"/>
      <c r="NQZ40" s="66"/>
      <c r="NRA40" s="66"/>
      <c r="NRB40" s="66"/>
      <c r="NRC40" s="66"/>
      <c r="NRD40" s="66"/>
      <c r="NRE40" s="66"/>
      <c r="NRF40" s="66"/>
      <c r="NRG40" s="66"/>
      <c r="NRH40" s="66"/>
      <c r="NRI40" s="66"/>
      <c r="NRJ40" s="66"/>
      <c r="NRK40" s="66"/>
      <c r="NRL40" s="66"/>
      <c r="NRM40" s="66"/>
      <c r="NRN40" s="66"/>
      <c r="NRO40" s="66"/>
      <c r="NRP40" s="66"/>
      <c r="NRQ40" s="66"/>
      <c r="NRR40" s="66"/>
      <c r="NRS40" s="66"/>
      <c r="NRT40" s="66"/>
      <c r="NRU40" s="66"/>
      <c r="NRV40" s="66"/>
      <c r="NRW40" s="66"/>
      <c r="NRX40" s="66"/>
      <c r="NRY40" s="66"/>
      <c r="NRZ40" s="66"/>
      <c r="NSA40" s="66"/>
      <c r="NSB40" s="66"/>
      <c r="NSC40" s="66"/>
      <c r="NSD40" s="66"/>
      <c r="NSE40" s="66"/>
      <c r="NSF40" s="66"/>
      <c r="NSG40" s="66"/>
      <c r="NSH40" s="66"/>
      <c r="NSI40" s="66"/>
      <c r="NSJ40" s="66"/>
      <c r="NSK40" s="66"/>
      <c r="NSL40" s="66"/>
      <c r="NSM40" s="66"/>
      <c r="NSN40" s="66"/>
      <c r="NSO40" s="66"/>
      <c r="NSP40" s="66"/>
      <c r="NSQ40" s="66"/>
      <c r="NSR40" s="66"/>
      <c r="NSS40" s="66"/>
      <c r="NST40" s="66"/>
      <c r="NSU40" s="66"/>
      <c r="NSV40" s="66"/>
      <c r="NSW40" s="66"/>
      <c r="NSX40" s="66"/>
      <c r="NSY40" s="66"/>
      <c r="NSZ40" s="66"/>
      <c r="NTA40" s="66"/>
      <c r="NTB40" s="66"/>
      <c r="NTC40" s="66"/>
      <c r="NTD40" s="66"/>
      <c r="NTE40" s="66"/>
      <c r="NTF40" s="66"/>
      <c r="NTG40" s="66"/>
      <c r="NTH40" s="66"/>
      <c r="NTI40" s="66"/>
      <c r="NTJ40" s="66"/>
      <c r="NTK40" s="66"/>
      <c r="NTL40" s="66"/>
      <c r="NTM40" s="66"/>
      <c r="NTN40" s="66"/>
      <c r="NTO40" s="66"/>
      <c r="NTP40" s="66"/>
      <c r="NTQ40" s="66"/>
      <c r="NTR40" s="66"/>
      <c r="NTS40" s="66"/>
      <c r="NTT40" s="66"/>
      <c r="NTU40" s="66"/>
      <c r="NTV40" s="66"/>
      <c r="NTW40" s="66"/>
      <c r="NTX40" s="66"/>
      <c r="NTY40" s="66"/>
      <c r="NTZ40" s="66"/>
      <c r="NUA40" s="66"/>
      <c r="NUB40" s="66"/>
      <c r="NUC40" s="66"/>
      <c r="NUD40" s="66"/>
      <c r="NUE40" s="66"/>
      <c r="NUF40" s="66"/>
      <c r="NUG40" s="66"/>
      <c r="NUH40" s="66"/>
      <c r="NUI40" s="66"/>
      <c r="NUJ40" s="66"/>
      <c r="NUK40" s="66"/>
      <c r="NUL40" s="66"/>
      <c r="NUM40" s="66"/>
      <c r="NUN40" s="66"/>
      <c r="NUO40" s="66"/>
      <c r="NUP40" s="66"/>
      <c r="NUQ40" s="66"/>
      <c r="NUR40" s="66"/>
      <c r="NUS40" s="66"/>
      <c r="NUT40" s="66"/>
      <c r="NUU40" s="66"/>
      <c r="NUV40" s="66"/>
      <c r="NUW40" s="66"/>
      <c r="NUX40" s="66"/>
      <c r="NUY40" s="66"/>
      <c r="NUZ40" s="66"/>
      <c r="NVA40" s="66"/>
      <c r="NVB40" s="66"/>
      <c r="NVC40" s="66"/>
      <c r="NVD40" s="66"/>
      <c r="NVE40" s="66"/>
      <c r="NVF40" s="66"/>
      <c r="NVG40" s="66"/>
      <c r="NVH40" s="66"/>
      <c r="NVI40" s="66"/>
      <c r="NVJ40" s="66"/>
      <c r="NVK40" s="66"/>
      <c r="NVL40" s="66"/>
      <c r="NVM40" s="66"/>
      <c r="NVN40" s="66"/>
      <c r="NVO40" s="66"/>
      <c r="NVP40" s="66"/>
      <c r="NVQ40" s="66"/>
      <c r="NVR40" s="66"/>
      <c r="NVS40" s="66"/>
      <c r="NVT40" s="66"/>
      <c r="NVU40" s="66"/>
      <c r="NVV40" s="66"/>
      <c r="NVW40" s="66"/>
      <c r="NVX40" s="66"/>
      <c r="NVY40" s="66"/>
      <c r="NVZ40" s="66"/>
      <c r="NWA40" s="66"/>
      <c r="NWB40" s="66"/>
      <c r="NWC40" s="66"/>
      <c r="NWD40" s="66"/>
      <c r="NWE40" s="66"/>
      <c r="NWF40" s="66"/>
      <c r="NWG40" s="66"/>
      <c r="NWH40" s="66"/>
      <c r="NWI40" s="66"/>
      <c r="NWJ40" s="66"/>
      <c r="NWK40" s="66"/>
      <c r="NWL40" s="66"/>
      <c r="NWM40" s="66"/>
      <c r="NWN40" s="66"/>
      <c r="NWO40" s="66"/>
      <c r="NWP40" s="66"/>
      <c r="NWQ40" s="66"/>
      <c r="NWR40" s="66"/>
      <c r="NWS40" s="66"/>
      <c r="NWT40" s="66"/>
      <c r="NWU40" s="66"/>
      <c r="NWV40" s="66"/>
      <c r="NWW40" s="66"/>
      <c r="NWX40" s="66"/>
      <c r="NWY40" s="66"/>
      <c r="NWZ40" s="66"/>
      <c r="NXA40" s="66"/>
      <c r="NXB40" s="66"/>
      <c r="NXC40" s="66"/>
      <c r="NXD40" s="66"/>
      <c r="NXE40" s="66"/>
      <c r="NXF40" s="66"/>
      <c r="NXG40" s="66"/>
      <c r="NXH40" s="66"/>
      <c r="NXI40" s="66"/>
      <c r="NXJ40" s="66"/>
      <c r="NXK40" s="66"/>
      <c r="NXL40" s="66"/>
      <c r="NXM40" s="66"/>
      <c r="NXN40" s="66"/>
      <c r="NXO40" s="66"/>
      <c r="NXP40" s="66"/>
      <c r="NXQ40" s="66"/>
      <c r="NXR40" s="66"/>
      <c r="NXS40" s="66"/>
      <c r="NXT40" s="66"/>
      <c r="NXU40" s="66"/>
      <c r="NXV40" s="66"/>
      <c r="NXW40" s="66"/>
      <c r="NXX40" s="66"/>
      <c r="NXY40" s="66"/>
      <c r="NXZ40" s="66"/>
      <c r="NYA40" s="66"/>
      <c r="NYB40" s="66"/>
      <c r="NYC40" s="66"/>
      <c r="NYD40" s="66"/>
      <c r="NYE40" s="66"/>
      <c r="NYF40" s="66"/>
      <c r="NYG40" s="66"/>
      <c r="NYH40" s="66"/>
      <c r="NYI40" s="66"/>
      <c r="NYJ40" s="66"/>
      <c r="NYK40" s="66"/>
      <c r="NYL40" s="66"/>
      <c r="NYM40" s="66"/>
      <c r="NYN40" s="66"/>
      <c r="NYO40" s="66"/>
      <c r="NYP40" s="66"/>
      <c r="NYQ40" s="66"/>
      <c r="NYR40" s="66"/>
      <c r="NYS40" s="66"/>
      <c r="NYT40" s="66"/>
      <c r="NYU40" s="66"/>
      <c r="NYV40" s="66"/>
      <c r="NYW40" s="66"/>
      <c r="NYX40" s="66"/>
      <c r="NYY40" s="66"/>
      <c r="NYZ40" s="66"/>
      <c r="NZA40" s="66"/>
      <c r="NZB40" s="66"/>
      <c r="NZC40" s="66"/>
      <c r="NZD40" s="66"/>
      <c r="NZE40" s="66"/>
      <c r="NZF40" s="66"/>
      <c r="NZG40" s="66"/>
      <c r="NZH40" s="66"/>
      <c r="NZI40" s="66"/>
      <c r="NZJ40" s="66"/>
      <c r="NZK40" s="66"/>
      <c r="NZL40" s="66"/>
      <c r="NZM40" s="66"/>
      <c r="NZN40" s="66"/>
      <c r="NZO40" s="66"/>
      <c r="NZP40" s="66"/>
      <c r="NZQ40" s="66"/>
      <c r="NZR40" s="66"/>
      <c r="NZS40" s="66"/>
      <c r="NZT40" s="66"/>
      <c r="NZU40" s="66"/>
      <c r="NZV40" s="66"/>
      <c r="NZW40" s="66"/>
      <c r="NZX40" s="66"/>
      <c r="NZY40" s="66"/>
      <c r="NZZ40" s="66"/>
      <c r="OAA40" s="66"/>
      <c r="OAB40" s="66"/>
      <c r="OAC40" s="66"/>
      <c r="OAD40" s="66"/>
      <c r="OAE40" s="66"/>
      <c r="OAF40" s="66"/>
      <c r="OAG40" s="66"/>
      <c r="OAH40" s="66"/>
      <c r="OAI40" s="66"/>
      <c r="OAJ40" s="66"/>
      <c r="OAK40" s="66"/>
      <c r="OAL40" s="66"/>
      <c r="OAM40" s="66"/>
      <c r="OAN40" s="66"/>
      <c r="OAO40" s="66"/>
      <c r="OAP40" s="66"/>
      <c r="OAQ40" s="66"/>
      <c r="OAR40" s="66"/>
      <c r="OAS40" s="66"/>
      <c r="OAT40" s="66"/>
      <c r="OAU40" s="66"/>
      <c r="OAV40" s="66"/>
      <c r="OAW40" s="66"/>
      <c r="OAX40" s="66"/>
      <c r="OAY40" s="66"/>
      <c r="OAZ40" s="66"/>
      <c r="OBA40" s="66"/>
      <c r="OBB40" s="66"/>
      <c r="OBC40" s="66"/>
      <c r="OBD40" s="66"/>
      <c r="OBE40" s="66"/>
      <c r="OBF40" s="66"/>
      <c r="OBG40" s="66"/>
      <c r="OBH40" s="66"/>
      <c r="OBI40" s="66"/>
      <c r="OBJ40" s="66"/>
      <c r="OBK40" s="66"/>
      <c r="OBL40" s="66"/>
      <c r="OBM40" s="66"/>
      <c r="OBN40" s="66"/>
      <c r="OBO40" s="66"/>
      <c r="OBP40" s="66"/>
      <c r="OBQ40" s="66"/>
      <c r="OBR40" s="66"/>
      <c r="OBS40" s="66"/>
      <c r="OBT40" s="66"/>
      <c r="OBU40" s="66"/>
      <c r="OBV40" s="66"/>
      <c r="OBW40" s="66"/>
      <c r="OBX40" s="66"/>
      <c r="OBY40" s="66"/>
      <c r="OBZ40" s="66"/>
      <c r="OCA40" s="66"/>
      <c r="OCB40" s="66"/>
      <c r="OCC40" s="66"/>
      <c r="OCD40" s="66"/>
      <c r="OCE40" s="66"/>
      <c r="OCF40" s="66"/>
      <c r="OCG40" s="66"/>
      <c r="OCH40" s="66"/>
      <c r="OCI40" s="66"/>
      <c r="OCJ40" s="66"/>
      <c r="OCK40" s="66"/>
      <c r="OCL40" s="66"/>
      <c r="OCM40" s="66"/>
      <c r="OCN40" s="66"/>
      <c r="OCO40" s="66"/>
      <c r="OCP40" s="66"/>
      <c r="OCQ40" s="66"/>
      <c r="OCR40" s="66"/>
      <c r="OCS40" s="66"/>
      <c r="OCT40" s="66"/>
      <c r="OCU40" s="66"/>
      <c r="OCV40" s="66"/>
      <c r="OCW40" s="66"/>
      <c r="OCX40" s="66"/>
      <c r="OCY40" s="66"/>
      <c r="OCZ40" s="66"/>
      <c r="ODA40" s="66"/>
      <c r="ODB40" s="66"/>
      <c r="ODC40" s="66"/>
      <c r="ODD40" s="66"/>
      <c r="ODE40" s="66"/>
      <c r="ODF40" s="66"/>
      <c r="ODG40" s="66"/>
      <c r="ODH40" s="66"/>
      <c r="ODI40" s="66"/>
      <c r="ODJ40" s="66"/>
      <c r="ODK40" s="66"/>
      <c r="ODL40" s="66"/>
      <c r="ODM40" s="66"/>
      <c r="ODN40" s="66"/>
      <c r="ODO40" s="66"/>
      <c r="ODP40" s="66"/>
      <c r="ODQ40" s="66"/>
      <c r="ODR40" s="66"/>
      <c r="ODS40" s="66"/>
      <c r="ODT40" s="66"/>
      <c r="ODU40" s="66"/>
      <c r="ODV40" s="66"/>
      <c r="ODW40" s="66"/>
      <c r="ODX40" s="66"/>
      <c r="ODY40" s="66"/>
      <c r="ODZ40" s="66"/>
      <c r="OEA40" s="66"/>
      <c r="OEB40" s="66"/>
      <c r="OEC40" s="66"/>
      <c r="OED40" s="66"/>
      <c r="OEE40" s="66"/>
      <c r="OEF40" s="66"/>
      <c r="OEG40" s="66"/>
      <c r="OEH40" s="66"/>
      <c r="OEI40" s="66"/>
      <c r="OEJ40" s="66"/>
      <c r="OEK40" s="66"/>
      <c r="OEL40" s="66"/>
      <c r="OEM40" s="66"/>
      <c r="OEN40" s="66"/>
      <c r="OEO40" s="66"/>
      <c r="OEP40" s="66"/>
      <c r="OEQ40" s="66"/>
      <c r="OER40" s="66"/>
      <c r="OES40" s="66"/>
      <c r="OET40" s="66"/>
      <c r="OEU40" s="66"/>
      <c r="OEV40" s="66"/>
      <c r="OEW40" s="66"/>
      <c r="OEX40" s="66"/>
      <c r="OEY40" s="66"/>
      <c r="OEZ40" s="66"/>
      <c r="OFA40" s="66"/>
      <c r="OFB40" s="66"/>
      <c r="OFC40" s="66"/>
      <c r="OFD40" s="66"/>
      <c r="OFE40" s="66"/>
      <c r="OFF40" s="66"/>
      <c r="OFG40" s="66"/>
      <c r="OFH40" s="66"/>
      <c r="OFI40" s="66"/>
      <c r="OFJ40" s="66"/>
      <c r="OFK40" s="66"/>
      <c r="OFL40" s="66"/>
      <c r="OFM40" s="66"/>
      <c r="OFN40" s="66"/>
      <c r="OFO40" s="66"/>
      <c r="OFP40" s="66"/>
      <c r="OFQ40" s="66"/>
      <c r="OFR40" s="66"/>
      <c r="OFS40" s="66"/>
      <c r="OFT40" s="66"/>
      <c r="OFU40" s="66"/>
      <c r="OFV40" s="66"/>
      <c r="OFW40" s="66"/>
      <c r="OFX40" s="66"/>
      <c r="OFY40" s="66"/>
      <c r="OFZ40" s="66"/>
      <c r="OGA40" s="66"/>
      <c r="OGB40" s="66"/>
      <c r="OGC40" s="66"/>
      <c r="OGD40" s="66"/>
      <c r="OGE40" s="66"/>
      <c r="OGF40" s="66"/>
      <c r="OGG40" s="66"/>
      <c r="OGH40" s="66"/>
      <c r="OGI40" s="66"/>
      <c r="OGJ40" s="66"/>
      <c r="OGK40" s="66"/>
      <c r="OGL40" s="66"/>
      <c r="OGM40" s="66"/>
      <c r="OGN40" s="66"/>
      <c r="OGO40" s="66"/>
      <c r="OGP40" s="66"/>
      <c r="OGQ40" s="66"/>
      <c r="OGR40" s="66"/>
      <c r="OGS40" s="66"/>
      <c r="OGT40" s="66"/>
      <c r="OGU40" s="66"/>
      <c r="OGV40" s="66"/>
      <c r="OGW40" s="66"/>
      <c r="OGX40" s="66"/>
      <c r="OGY40" s="66"/>
      <c r="OGZ40" s="66"/>
      <c r="OHA40" s="66"/>
      <c r="OHB40" s="66"/>
      <c r="OHC40" s="66"/>
      <c r="OHD40" s="66"/>
      <c r="OHE40" s="66"/>
      <c r="OHF40" s="66"/>
      <c r="OHG40" s="66"/>
      <c r="OHH40" s="66"/>
      <c r="OHI40" s="66"/>
      <c r="OHJ40" s="66"/>
      <c r="OHK40" s="66"/>
      <c r="OHL40" s="66"/>
      <c r="OHM40" s="66"/>
      <c r="OHN40" s="66"/>
      <c r="OHO40" s="66"/>
      <c r="OHP40" s="66"/>
      <c r="OHQ40" s="66"/>
      <c r="OHR40" s="66"/>
      <c r="OHS40" s="66"/>
      <c r="OHT40" s="66"/>
      <c r="OHU40" s="66"/>
      <c r="OHV40" s="66"/>
      <c r="OHW40" s="66"/>
      <c r="OHX40" s="66"/>
      <c r="OHY40" s="66"/>
      <c r="OHZ40" s="66"/>
      <c r="OIA40" s="66"/>
      <c r="OIB40" s="66"/>
      <c r="OIC40" s="66"/>
      <c r="OID40" s="66"/>
      <c r="OIE40" s="66"/>
      <c r="OIF40" s="66"/>
      <c r="OIG40" s="66"/>
      <c r="OIH40" s="66"/>
      <c r="OII40" s="66"/>
      <c r="OIJ40" s="66"/>
      <c r="OIK40" s="66"/>
      <c r="OIL40" s="66"/>
      <c r="OIM40" s="66"/>
      <c r="OIN40" s="66"/>
      <c r="OIO40" s="66"/>
      <c r="OIP40" s="66"/>
      <c r="OIQ40" s="66"/>
      <c r="OIR40" s="66"/>
      <c r="OIS40" s="66"/>
      <c r="OIT40" s="66"/>
      <c r="OIU40" s="66"/>
      <c r="OIV40" s="66"/>
      <c r="OIW40" s="66"/>
      <c r="OIX40" s="66"/>
      <c r="OIY40" s="66"/>
      <c r="OIZ40" s="66"/>
      <c r="OJA40" s="66"/>
      <c r="OJB40" s="66"/>
      <c r="OJC40" s="66"/>
      <c r="OJD40" s="66"/>
      <c r="OJE40" s="66"/>
      <c r="OJF40" s="66"/>
      <c r="OJG40" s="66"/>
      <c r="OJH40" s="66"/>
      <c r="OJI40" s="66"/>
      <c r="OJJ40" s="66"/>
      <c r="OJK40" s="66"/>
      <c r="OJL40" s="66"/>
      <c r="OJM40" s="66"/>
      <c r="OJN40" s="66"/>
      <c r="OJO40" s="66"/>
      <c r="OJP40" s="66"/>
      <c r="OJQ40" s="66"/>
      <c r="OJR40" s="66"/>
      <c r="OJS40" s="66"/>
      <c r="OJT40" s="66"/>
      <c r="OJU40" s="66"/>
      <c r="OJV40" s="66"/>
      <c r="OJW40" s="66"/>
      <c r="OJX40" s="66"/>
      <c r="OJY40" s="66"/>
      <c r="OJZ40" s="66"/>
      <c r="OKA40" s="66"/>
      <c r="OKB40" s="66"/>
      <c r="OKC40" s="66"/>
      <c r="OKD40" s="66"/>
      <c r="OKE40" s="66"/>
      <c r="OKF40" s="66"/>
      <c r="OKG40" s="66"/>
      <c r="OKH40" s="66"/>
      <c r="OKI40" s="66"/>
      <c r="OKJ40" s="66"/>
      <c r="OKK40" s="66"/>
      <c r="OKL40" s="66"/>
      <c r="OKM40" s="66"/>
      <c r="OKN40" s="66"/>
      <c r="OKO40" s="66"/>
      <c r="OKP40" s="66"/>
      <c r="OKQ40" s="66"/>
      <c r="OKR40" s="66"/>
      <c r="OKS40" s="66"/>
      <c r="OKT40" s="66"/>
      <c r="OKU40" s="66"/>
      <c r="OKV40" s="66"/>
      <c r="OKW40" s="66"/>
      <c r="OKX40" s="66"/>
      <c r="OKY40" s="66"/>
      <c r="OKZ40" s="66"/>
      <c r="OLA40" s="66"/>
      <c r="OLB40" s="66"/>
      <c r="OLC40" s="66"/>
      <c r="OLD40" s="66"/>
      <c r="OLE40" s="66"/>
      <c r="OLF40" s="66"/>
      <c r="OLG40" s="66"/>
      <c r="OLH40" s="66"/>
      <c r="OLI40" s="66"/>
      <c r="OLJ40" s="66"/>
      <c r="OLK40" s="66"/>
      <c r="OLL40" s="66"/>
      <c r="OLM40" s="66"/>
      <c r="OLN40" s="66"/>
      <c r="OLO40" s="66"/>
      <c r="OLP40" s="66"/>
      <c r="OLQ40" s="66"/>
      <c r="OLR40" s="66"/>
      <c r="OLS40" s="66"/>
      <c r="OLT40" s="66"/>
      <c r="OLU40" s="66"/>
      <c r="OLV40" s="66"/>
      <c r="OLW40" s="66"/>
      <c r="OLX40" s="66"/>
      <c r="OLY40" s="66"/>
      <c r="OLZ40" s="66"/>
      <c r="OMA40" s="66"/>
      <c r="OMB40" s="66"/>
      <c r="OMC40" s="66"/>
      <c r="OMD40" s="66"/>
      <c r="OME40" s="66"/>
      <c r="OMF40" s="66"/>
      <c r="OMG40" s="66"/>
      <c r="OMH40" s="66"/>
      <c r="OMI40" s="66"/>
      <c r="OMJ40" s="66"/>
      <c r="OMK40" s="66"/>
      <c r="OML40" s="66"/>
      <c r="OMM40" s="66"/>
      <c r="OMN40" s="66"/>
      <c r="OMO40" s="66"/>
      <c r="OMP40" s="66"/>
      <c r="OMQ40" s="66"/>
      <c r="OMR40" s="66"/>
      <c r="OMS40" s="66"/>
      <c r="OMT40" s="66"/>
      <c r="OMU40" s="66"/>
      <c r="OMV40" s="66"/>
      <c r="OMW40" s="66"/>
      <c r="OMX40" s="66"/>
      <c r="OMY40" s="66"/>
      <c r="OMZ40" s="66"/>
      <c r="ONA40" s="66"/>
      <c r="ONB40" s="66"/>
      <c r="ONC40" s="66"/>
      <c r="OND40" s="66"/>
      <c r="ONE40" s="66"/>
      <c r="ONF40" s="66"/>
      <c r="ONG40" s="66"/>
      <c r="ONH40" s="66"/>
      <c r="ONI40" s="66"/>
      <c r="ONJ40" s="66"/>
      <c r="ONK40" s="66"/>
      <c r="ONL40" s="66"/>
      <c r="ONM40" s="66"/>
      <c r="ONN40" s="66"/>
      <c r="ONO40" s="66"/>
      <c r="ONP40" s="66"/>
      <c r="ONQ40" s="66"/>
      <c r="ONR40" s="66"/>
      <c r="ONS40" s="66"/>
      <c r="ONT40" s="66"/>
      <c r="ONU40" s="66"/>
      <c r="ONV40" s="66"/>
      <c r="ONW40" s="66"/>
      <c r="ONX40" s="66"/>
      <c r="ONY40" s="66"/>
      <c r="ONZ40" s="66"/>
      <c r="OOA40" s="66"/>
      <c r="OOB40" s="66"/>
      <c r="OOC40" s="66"/>
      <c r="OOD40" s="66"/>
      <c r="OOE40" s="66"/>
      <c r="OOF40" s="66"/>
      <c r="OOG40" s="66"/>
      <c r="OOH40" s="66"/>
      <c r="OOI40" s="66"/>
      <c r="OOJ40" s="66"/>
      <c r="OOK40" s="66"/>
      <c r="OOL40" s="66"/>
      <c r="OOM40" s="66"/>
      <c r="OON40" s="66"/>
      <c r="OOO40" s="66"/>
      <c r="OOP40" s="66"/>
      <c r="OOQ40" s="66"/>
      <c r="OOR40" s="66"/>
      <c r="OOS40" s="66"/>
      <c r="OOT40" s="66"/>
      <c r="OOU40" s="66"/>
      <c r="OOV40" s="66"/>
      <c r="OOW40" s="66"/>
      <c r="OOX40" s="66"/>
      <c r="OOY40" s="66"/>
      <c r="OOZ40" s="66"/>
      <c r="OPA40" s="66"/>
      <c r="OPB40" s="66"/>
      <c r="OPC40" s="66"/>
      <c r="OPD40" s="66"/>
      <c r="OPE40" s="66"/>
      <c r="OPF40" s="66"/>
      <c r="OPG40" s="66"/>
      <c r="OPH40" s="66"/>
      <c r="OPI40" s="66"/>
      <c r="OPJ40" s="66"/>
      <c r="OPK40" s="66"/>
      <c r="OPL40" s="66"/>
      <c r="OPM40" s="66"/>
      <c r="OPN40" s="66"/>
      <c r="OPO40" s="66"/>
      <c r="OPP40" s="66"/>
      <c r="OPQ40" s="66"/>
      <c r="OPR40" s="66"/>
      <c r="OPS40" s="66"/>
      <c r="OPT40" s="66"/>
      <c r="OPU40" s="66"/>
      <c r="OPV40" s="66"/>
      <c r="OPW40" s="66"/>
      <c r="OPX40" s="66"/>
      <c r="OPY40" s="66"/>
      <c r="OPZ40" s="66"/>
      <c r="OQA40" s="66"/>
      <c r="OQB40" s="66"/>
      <c r="OQC40" s="66"/>
      <c r="OQD40" s="66"/>
      <c r="OQE40" s="66"/>
      <c r="OQF40" s="66"/>
      <c r="OQG40" s="66"/>
      <c r="OQH40" s="66"/>
      <c r="OQI40" s="66"/>
      <c r="OQJ40" s="66"/>
      <c r="OQK40" s="66"/>
      <c r="OQL40" s="66"/>
      <c r="OQM40" s="66"/>
      <c r="OQN40" s="66"/>
      <c r="OQO40" s="66"/>
      <c r="OQP40" s="66"/>
      <c r="OQQ40" s="66"/>
      <c r="OQR40" s="66"/>
      <c r="OQS40" s="66"/>
      <c r="OQT40" s="66"/>
      <c r="OQU40" s="66"/>
      <c r="OQV40" s="66"/>
      <c r="OQW40" s="66"/>
      <c r="OQX40" s="66"/>
      <c r="OQY40" s="66"/>
      <c r="OQZ40" s="66"/>
      <c r="ORA40" s="66"/>
      <c r="ORB40" s="66"/>
      <c r="ORC40" s="66"/>
      <c r="ORD40" s="66"/>
      <c r="ORE40" s="66"/>
      <c r="ORF40" s="66"/>
      <c r="ORG40" s="66"/>
      <c r="ORH40" s="66"/>
      <c r="ORI40" s="66"/>
      <c r="ORJ40" s="66"/>
      <c r="ORK40" s="66"/>
      <c r="ORL40" s="66"/>
      <c r="ORM40" s="66"/>
      <c r="ORN40" s="66"/>
      <c r="ORO40" s="66"/>
      <c r="ORP40" s="66"/>
      <c r="ORQ40" s="66"/>
      <c r="ORR40" s="66"/>
      <c r="ORS40" s="66"/>
      <c r="ORT40" s="66"/>
      <c r="ORU40" s="66"/>
      <c r="ORV40" s="66"/>
      <c r="ORW40" s="66"/>
      <c r="ORX40" s="66"/>
      <c r="ORY40" s="66"/>
      <c r="ORZ40" s="66"/>
      <c r="OSA40" s="66"/>
      <c r="OSB40" s="66"/>
      <c r="OSC40" s="66"/>
      <c r="OSD40" s="66"/>
      <c r="OSE40" s="66"/>
      <c r="OSF40" s="66"/>
      <c r="OSG40" s="66"/>
      <c r="OSH40" s="66"/>
      <c r="OSI40" s="66"/>
      <c r="OSJ40" s="66"/>
      <c r="OSK40" s="66"/>
      <c r="OSL40" s="66"/>
      <c r="OSM40" s="66"/>
      <c r="OSN40" s="66"/>
      <c r="OSO40" s="66"/>
      <c r="OSP40" s="66"/>
      <c r="OSQ40" s="66"/>
      <c r="OSR40" s="66"/>
      <c r="OSS40" s="66"/>
      <c r="OST40" s="66"/>
      <c r="OSU40" s="66"/>
      <c r="OSV40" s="66"/>
      <c r="OSW40" s="66"/>
      <c r="OSX40" s="66"/>
      <c r="OSY40" s="66"/>
      <c r="OSZ40" s="66"/>
      <c r="OTA40" s="66"/>
      <c r="OTB40" s="66"/>
      <c r="OTC40" s="66"/>
      <c r="OTD40" s="66"/>
      <c r="OTE40" s="66"/>
      <c r="OTF40" s="66"/>
      <c r="OTG40" s="66"/>
      <c r="OTH40" s="66"/>
      <c r="OTI40" s="66"/>
      <c r="OTJ40" s="66"/>
      <c r="OTK40" s="66"/>
      <c r="OTL40" s="66"/>
      <c r="OTM40" s="66"/>
      <c r="OTN40" s="66"/>
      <c r="OTO40" s="66"/>
      <c r="OTP40" s="66"/>
      <c r="OTQ40" s="66"/>
      <c r="OTR40" s="66"/>
      <c r="OTS40" s="66"/>
      <c r="OTT40" s="66"/>
      <c r="OTU40" s="66"/>
      <c r="OTV40" s="66"/>
      <c r="OTW40" s="66"/>
      <c r="OTX40" s="66"/>
      <c r="OTY40" s="66"/>
      <c r="OTZ40" s="66"/>
      <c r="OUA40" s="66"/>
      <c r="OUB40" s="66"/>
      <c r="OUC40" s="66"/>
      <c r="OUD40" s="66"/>
      <c r="OUE40" s="66"/>
      <c r="OUF40" s="66"/>
      <c r="OUG40" s="66"/>
      <c r="OUH40" s="66"/>
      <c r="OUI40" s="66"/>
      <c r="OUJ40" s="66"/>
      <c r="OUK40" s="66"/>
      <c r="OUL40" s="66"/>
      <c r="OUM40" s="66"/>
      <c r="OUN40" s="66"/>
      <c r="OUO40" s="66"/>
      <c r="OUP40" s="66"/>
      <c r="OUQ40" s="66"/>
      <c r="OUR40" s="66"/>
      <c r="OUS40" s="66"/>
      <c r="OUT40" s="66"/>
      <c r="OUU40" s="66"/>
      <c r="OUV40" s="66"/>
      <c r="OUW40" s="66"/>
      <c r="OUX40" s="66"/>
      <c r="OUY40" s="66"/>
      <c r="OUZ40" s="66"/>
      <c r="OVA40" s="66"/>
      <c r="OVB40" s="66"/>
      <c r="OVC40" s="66"/>
      <c r="OVD40" s="66"/>
      <c r="OVE40" s="66"/>
      <c r="OVF40" s="66"/>
      <c r="OVG40" s="66"/>
      <c r="OVH40" s="66"/>
      <c r="OVI40" s="66"/>
      <c r="OVJ40" s="66"/>
      <c r="OVK40" s="66"/>
      <c r="OVL40" s="66"/>
      <c r="OVM40" s="66"/>
      <c r="OVN40" s="66"/>
      <c r="OVO40" s="66"/>
      <c r="OVP40" s="66"/>
      <c r="OVQ40" s="66"/>
      <c r="OVR40" s="66"/>
      <c r="OVS40" s="66"/>
      <c r="OVT40" s="66"/>
      <c r="OVU40" s="66"/>
      <c r="OVV40" s="66"/>
      <c r="OVW40" s="66"/>
      <c r="OVX40" s="66"/>
      <c r="OVY40" s="66"/>
      <c r="OVZ40" s="66"/>
      <c r="OWA40" s="66"/>
      <c r="OWB40" s="66"/>
      <c r="OWC40" s="66"/>
      <c r="OWD40" s="66"/>
      <c r="OWE40" s="66"/>
      <c r="OWF40" s="66"/>
      <c r="OWG40" s="66"/>
      <c r="OWH40" s="66"/>
      <c r="OWI40" s="66"/>
      <c r="OWJ40" s="66"/>
      <c r="OWK40" s="66"/>
      <c r="OWL40" s="66"/>
      <c r="OWM40" s="66"/>
      <c r="OWN40" s="66"/>
      <c r="OWO40" s="66"/>
      <c r="OWP40" s="66"/>
      <c r="OWQ40" s="66"/>
      <c r="OWR40" s="66"/>
      <c r="OWS40" s="66"/>
      <c r="OWT40" s="66"/>
      <c r="OWU40" s="66"/>
      <c r="OWV40" s="66"/>
      <c r="OWW40" s="66"/>
      <c r="OWX40" s="66"/>
      <c r="OWY40" s="66"/>
      <c r="OWZ40" s="66"/>
      <c r="OXA40" s="66"/>
      <c r="OXB40" s="66"/>
      <c r="OXC40" s="66"/>
      <c r="OXD40" s="66"/>
      <c r="OXE40" s="66"/>
      <c r="OXF40" s="66"/>
      <c r="OXG40" s="66"/>
      <c r="OXH40" s="66"/>
      <c r="OXI40" s="66"/>
      <c r="OXJ40" s="66"/>
      <c r="OXK40" s="66"/>
      <c r="OXL40" s="66"/>
      <c r="OXM40" s="66"/>
      <c r="OXN40" s="66"/>
      <c r="OXO40" s="66"/>
      <c r="OXP40" s="66"/>
      <c r="OXQ40" s="66"/>
      <c r="OXR40" s="66"/>
      <c r="OXS40" s="66"/>
      <c r="OXT40" s="66"/>
      <c r="OXU40" s="66"/>
      <c r="OXV40" s="66"/>
      <c r="OXW40" s="66"/>
      <c r="OXX40" s="66"/>
      <c r="OXY40" s="66"/>
      <c r="OXZ40" s="66"/>
      <c r="OYA40" s="66"/>
      <c r="OYB40" s="66"/>
      <c r="OYC40" s="66"/>
      <c r="OYD40" s="66"/>
      <c r="OYE40" s="66"/>
      <c r="OYF40" s="66"/>
      <c r="OYG40" s="66"/>
      <c r="OYH40" s="66"/>
      <c r="OYI40" s="66"/>
      <c r="OYJ40" s="66"/>
      <c r="OYK40" s="66"/>
      <c r="OYL40" s="66"/>
      <c r="OYM40" s="66"/>
      <c r="OYN40" s="66"/>
      <c r="OYO40" s="66"/>
      <c r="OYP40" s="66"/>
      <c r="OYQ40" s="66"/>
      <c r="OYR40" s="66"/>
      <c r="OYS40" s="66"/>
      <c r="OYT40" s="66"/>
      <c r="OYU40" s="66"/>
      <c r="OYV40" s="66"/>
      <c r="OYW40" s="66"/>
      <c r="OYX40" s="66"/>
      <c r="OYY40" s="66"/>
      <c r="OYZ40" s="66"/>
      <c r="OZA40" s="66"/>
      <c r="OZB40" s="66"/>
      <c r="OZC40" s="66"/>
      <c r="OZD40" s="66"/>
      <c r="OZE40" s="66"/>
      <c r="OZF40" s="66"/>
      <c r="OZG40" s="66"/>
      <c r="OZH40" s="66"/>
      <c r="OZI40" s="66"/>
      <c r="OZJ40" s="66"/>
      <c r="OZK40" s="66"/>
      <c r="OZL40" s="66"/>
      <c r="OZM40" s="66"/>
      <c r="OZN40" s="66"/>
      <c r="OZO40" s="66"/>
      <c r="OZP40" s="66"/>
      <c r="OZQ40" s="66"/>
      <c r="OZR40" s="66"/>
      <c r="OZS40" s="66"/>
      <c r="OZT40" s="66"/>
      <c r="OZU40" s="66"/>
      <c r="OZV40" s="66"/>
      <c r="OZW40" s="66"/>
      <c r="OZX40" s="66"/>
      <c r="OZY40" s="66"/>
      <c r="OZZ40" s="66"/>
      <c r="PAA40" s="66"/>
      <c r="PAB40" s="66"/>
      <c r="PAC40" s="66"/>
      <c r="PAD40" s="66"/>
      <c r="PAE40" s="66"/>
      <c r="PAF40" s="66"/>
      <c r="PAG40" s="66"/>
      <c r="PAH40" s="66"/>
      <c r="PAI40" s="66"/>
      <c r="PAJ40" s="66"/>
      <c r="PAK40" s="66"/>
      <c r="PAL40" s="66"/>
      <c r="PAM40" s="66"/>
      <c r="PAN40" s="66"/>
      <c r="PAO40" s="66"/>
      <c r="PAP40" s="66"/>
      <c r="PAQ40" s="66"/>
      <c r="PAR40" s="66"/>
      <c r="PAS40" s="66"/>
      <c r="PAT40" s="66"/>
      <c r="PAU40" s="66"/>
      <c r="PAV40" s="66"/>
      <c r="PAW40" s="66"/>
      <c r="PAX40" s="66"/>
      <c r="PAY40" s="66"/>
      <c r="PAZ40" s="66"/>
      <c r="PBA40" s="66"/>
      <c r="PBB40" s="66"/>
      <c r="PBC40" s="66"/>
      <c r="PBD40" s="66"/>
      <c r="PBE40" s="66"/>
      <c r="PBF40" s="66"/>
      <c r="PBG40" s="66"/>
      <c r="PBH40" s="66"/>
      <c r="PBI40" s="66"/>
      <c r="PBJ40" s="66"/>
      <c r="PBK40" s="66"/>
      <c r="PBL40" s="66"/>
      <c r="PBM40" s="66"/>
      <c r="PBN40" s="66"/>
      <c r="PBO40" s="66"/>
      <c r="PBP40" s="66"/>
      <c r="PBQ40" s="66"/>
      <c r="PBR40" s="66"/>
      <c r="PBS40" s="66"/>
      <c r="PBT40" s="66"/>
      <c r="PBU40" s="66"/>
      <c r="PBV40" s="66"/>
      <c r="PBW40" s="66"/>
      <c r="PBX40" s="66"/>
      <c r="PBY40" s="66"/>
      <c r="PBZ40" s="66"/>
      <c r="PCA40" s="66"/>
      <c r="PCB40" s="66"/>
      <c r="PCC40" s="66"/>
      <c r="PCD40" s="66"/>
      <c r="PCE40" s="66"/>
      <c r="PCF40" s="66"/>
      <c r="PCG40" s="66"/>
      <c r="PCH40" s="66"/>
      <c r="PCI40" s="66"/>
      <c r="PCJ40" s="66"/>
      <c r="PCK40" s="66"/>
      <c r="PCL40" s="66"/>
      <c r="PCM40" s="66"/>
      <c r="PCN40" s="66"/>
      <c r="PCO40" s="66"/>
      <c r="PCP40" s="66"/>
      <c r="PCQ40" s="66"/>
      <c r="PCR40" s="66"/>
      <c r="PCS40" s="66"/>
      <c r="PCT40" s="66"/>
      <c r="PCU40" s="66"/>
      <c r="PCV40" s="66"/>
      <c r="PCW40" s="66"/>
      <c r="PCX40" s="66"/>
      <c r="PCY40" s="66"/>
      <c r="PCZ40" s="66"/>
      <c r="PDA40" s="66"/>
      <c r="PDB40" s="66"/>
      <c r="PDC40" s="66"/>
      <c r="PDD40" s="66"/>
      <c r="PDE40" s="66"/>
      <c r="PDF40" s="66"/>
      <c r="PDG40" s="66"/>
      <c r="PDH40" s="66"/>
      <c r="PDI40" s="66"/>
      <c r="PDJ40" s="66"/>
      <c r="PDK40" s="66"/>
      <c r="PDL40" s="66"/>
      <c r="PDM40" s="66"/>
      <c r="PDN40" s="66"/>
      <c r="PDO40" s="66"/>
      <c r="PDP40" s="66"/>
      <c r="PDQ40" s="66"/>
      <c r="PDR40" s="66"/>
      <c r="PDS40" s="66"/>
      <c r="PDT40" s="66"/>
      <c r="PDU40" s="66"/>
      <c r="PDV40" s="66"/>
      <c r="PDW40" s="66"/>
      <c r="PDX40" s="66"/>
      <c r="PDY40" s="66"/>
      <c r="PDZ40" s="66"/>
      <c r="PEA40" s="66"/>
      <c r="PEB40" s="66"/>
      <c r="PEC40" s="66"/>
      <c r="PED40" s="66"/>
      <c r="PEE40" s="66"/>
      <c r="PEF40" s="66"/>
      <c r="PEG40" s="66"/>
      <c r="PEH40" s="66"/>
      <c r="PEI40" s="66"/>
      <c r="PEJ40" s="66"/>
      <c r="PEK40" s="66"/>
      <c r="PEL40" s="66"/>
      <c r="PEM40" s="66"/>
      <c r="PEN40" s="66"/>
      <c r="PEO40" s="66"/>
      <c r="PEP40" s="66"/>
      <c r="PEQ40" s="66"/>
      <c r="PER40" s="66"/>
      <c r="PES40" s="66"/>
      <c r="PET40" s="66"/>
      <c r="PEU40" s="66"/>
      <c r="PEV40" s="66"/>
      <c r="PEW40" s="66"/>
      <c r="PEX40" s="66"/>
      <c r="PEY40" s="66"/>
      <c r="PEZ40" s="66"/>
      <c r="PFA40" s="66"/>
      <c r="PFB40" s="66"/>
      <c r="PFC40" s="66"/>
      <c r="PFD40" s="66"/>
      <c r="PFE40" s="66"/>
      <c r="PFF40" s="66"/>
      <c r="PFG40" s="66"/>
      <c r="PFH40" s="66"/>
      <c r="PFI40" s="66"/>
      <c r="PFJ40" s="66"/>
      <c r="PFK40" s="66"/>
      <c r="PFL40" s="66"/>
      <c r="PFM40" s="66"/>
      <c r="PFN40" s="66"/>
      <c r="PFO40" s="66"/>
      <c r="PFP40" s="66"/>
      <c r="PFQ40" s="66"/>
      <c r="PFR40" s="66"/>
      <c r="PFS40" s="66"/>
      <c r="PFT40" s="66"/>
      <c r="PFU40" s="66"/>
      <c r="PFV40" s="66"/>
      <c r="PFW40" s="66"/>
      <c r="PFX40" s="66"/>
      <c r="PFY40" s="66"/>
      <c r="PFZ40" s="66"/>
      <c r="PGA40" s="66"/>
      <c r="PGB40" s="66"/>
      <c r="PGC40" s="66"/>
      <c r="PGD40" s="66"/>
      <c r="PGE40" s="66"/>
      <c r="PGF40" s="66"/>
      <c r="PGG40" s="66"/>
      <c r="PGH40" s="66"/>
      <c r="PGI40" s="66"/>
      <c r="PGJ40" s="66"/>
      <c r="PGK40" s="66"/>
      <c r="PGL40" s="66"/>
      <c r="PGM40" s="66"/>
      <c r="PGN40" s="66"/>
      <c r="PGO40" s="66"/>
      <c r="PGP40" s="66"/>
      <c r="PGQ40" s="66"/>
      <c r="PGR40" s="66"/>
      <c r="PGS40" s="66"/>
      <c r="PGT40" s="66"/>
      <c r="PGU40" s="66"/>
      <c r="PGV40" s="66"/>
      <c r="PGW40" s="66"/>
      <c r="PGX40" s="66"/>
      <c r="PGY40" s="66"/>
      <c r="PGZ40" s="66"/>
      <c r="PHA40" s="66"/>
      <c r="PHB40" s="66"/>
      <c r="PHC40" s="66"/>
      <c r="PHD40" s="66"/>
      <c r="PHE40" s="66"/>
      <c r="PHF40" s="66"/>
      <c r="PHG40" s="66"/>
      <c r="PHH40" s="66"/>
      <c r="PHI40" s="66"/>
      <c r="PHJ40" s="66"/>
      <c r="PHK40" s="66"/>
      <c r="PHL40" s="66"/>
      <c r="PHM40" s="66"/>
      <c r="PHN40" s="66"/>
      <c r="PHO40" s="66"/>
      <c r="PHP40" s="66"/>
      <c r="PHQ40" s="66"/>
      <c r="PHR40" s="66"/>
      <c r="PHS40" s="66"/>
      <c r="PHT40" s="66"/>
      <c r="PHU40" s="66"/>
      <c r="PHV40" s="66"/>
      <c r="PHW40" s="66"/>
      <c r="PHX40" s="66"/>
      <c r="PHY40" s="66"/>
      <c r="PHZ40" s="66"/>
      <c r="PIA40" s="66"/>
      <c r="PIB40" s="66"/>
      <c r="PIC40" s="66"/>
      <c r="PID40" s="66"/>
      <c r="PIE40" s="66"/>
      <c r="PIF40" s="66"/>
      <c r="PIG40" s="66"/>
      <c r="PIH40" s="66"/>
      <c r="PII40" s="66"/>
      <c r="PIJ40" s="66"/>
      <c r="PIK40" s="66"/>
      <c r="PIL40" s="66"/>
      <c r="PIM40" s="66"/>
      <c r="PIN40" s="66"/>
      <c r="PIO40" s="66"/>
      <c r="PIP40" s="66"/>
      <c r="PIQ40" s="66"/>
      <c r="PIR40" s="66"/>
      <c r="PIS40" s="66"/>
      <c r="PIT40" s="66"/>
      <c r="PIU40" s="66"/>
      <c r="PIV40" s="66"/>
      <c r="PIW40" s="66"/>
      <c r="PIX40" s="66"/>
      <c r="PIY40" s="66"/>
      <c r="PIZ40" s="66"/>
      <c r="PJA40" s="66"/>
      <c r="PJB40" s="66"/>
      <c r="PJC40" s="66"/>
      <c r="PJD40" s="66"/>
      <c r="PJE40" s="66"/>
      <c r="PJF40" s="66"/>
      <c r="PJG40" s="66"/>
      <c r="PJH40" s="66"/>
      <c r="PJI40" s="66"/>
      <c r="PJJ40" s="66"/>
      <c r="PJK40" s="66"/>
      <c r="PJL40" s="66"/>
      <c r="PJM40" s="66"/>
      <c r="PJN40" s="66"/>
      <c r="PJO40" s="66"/>
      <c r="PJP40" s="66"/>
      <c r="PJQ40" s="66"/>
      <c r="PJR40" s="66"/>
      <c r="PJS40" s="66"/>
      <c r="PJT40" s="66"/>
      <c r="PJU40" s="66"/>
      <c r="PJV40" s="66"/>
      <c r="PJW40" s="66"/>
      <c r="PJX40" s="66"/>
      <c r="PJY40" s="66"/>
      <c r="PJZ40" s="66"/>
      <c r="PKA40" s="66"/>
      <c r="PKB40" s="66"/>
      <c r="PKC40" s="66"/>
      <c r="PKD40" s="66"/>
      <c r="PKE40" s="66"/>
      <c r="PKF40" s="66"/>
      <c r="PKG40" s="66"/>
      <c r="PKH40" s="66"/>
      <c r="PKI40" s="66"/>
      <c r="PKJ40" s="66"/>
      <c r="PKK40" s="66"/>
      <c r="PKL40" s="66"/>
      <c r="PKM40" s="66"/>
      <c r="PKN40" s="66"/>
      <c r="PKO40" s="66"/>
      <c r="PKP40" s="66"/>
      <c r="PKQ40" s="66"/>
      <c r="PKR40" s="66"/>
      <c r="PKS40" s="66"/>
      <c r="PKT40" s="66"/>
      <c r="PKU40" s="66"/>
      <c r="PKV40" s="66"/>
      <c r="PKW40" s="66"/>
      <c r="PKX40" s="66"/>
      <c r="PKY40" s="66"/>
      <c r="PKZ40" s="66"/>
      <c r="PLA40" s="66"/>
      <c r="PLB40" s="66"/>
      <c r="PLC40" s="66"/>
      <c r="PLD40" s="66"/>
      <c r="PLE40" s="66"/>
      <c r="PLF40" s="66"/>
      <c r="PLG40" s="66"/>
      <c r="PLH40" s="66"/>
      <c r="PLI40" s="66"/>
      <c r="PLJ40" s="66"/>
      <c r="PLK40" s="66"/>
      <c r="PLL40" s="66"/>
      <c r="PLM40" s="66"/>
      <c r="PLN40" s="66"/>
      <c r="PLO40" s="66"/>
      <c r="PLP40" s="66"/>
      <c r="PLQ40" s="66"/>
      <c r="PLR40" s="66"/>
      <c r="PLS40" s="66"/>
      <c r="PLT40" s="66"/>
      <c r="PLU40" s="66"/>
      <c r="PLV40" s="66"/>
      <c r="PLW40" s="66"/>
      <c r="PLX40" s="66"/>
      <c r="PLY40" s="66"/>
      <c r="PLZ40" s="66"/>
      <c r="PMA40" s="66"/>
      <c r="PMB40" s="66"/>
      <c r="PMC40" s="66"/>
      <c r="PMD40" s="66"/>
      <c r="PME40" s="66"/>
      <c r="PMF40" s="66"/>
      <c r="PMG40" s="66"/>
      <c r="PMH40" s="66"/>
      <c r="PMI40" s="66"/>
      <c r="PMJ40" s="66"/>
      <c r="PMK40" s="66"/>
      <c r="PML40" s="66"/>
      <c r="PMM40" s="66"/>
      <c r="PMN40" s="66"/>
      <c r="PMO40" s="66"/>
      <c r="PMP40" s="66"/>
      <c r="PMQ40" s="66"/>
      <c r="PMR40" s="66"/>
      <c r="PMS40" s="66"/>
      <c r="PMT40" s="66"/>
      <c r="PMU40" s="66"/>
      <c r="PMV40" s="66"/>
      <c r="PMW40" s="66"/>
      <c r="PMX40" s="66"/>
      <c r="PMY40" s="66"/>
      <c r="PMZ40" s="66"/>
      <c r="PNA40" s="66"/>
      <c r="PNB40" s="66"/>
      <c r="PNC40" s="66"/>
      <c r="PND40" s="66"/>
      <c r="PNE40" s="66"/>
      <c r="PNF40" s="66"/>
      <c r="PNG40" s="66"/>
      <c r="PNH40" s="66"/>
      <c r="PNI40" s="66"/>
      <c r="PNJ40" s="66"/>
      <c r="PNK40" s="66"/>
      <c r="PNL40" s="66"/>
      <c r="PNM40" s="66"/>
      <c r="PNN40" s="66"/>
      <c r="PNO40" s="66"/>
      <c r="PNP40" s="66"/>
      <c r="PNQ40" s="66"/>
      <c r="PNR40" s="66"/>
      <c r="PNS40" s="66"/>
      <c r="PNT40" s="66"/>
      <c r="PNU40" s="66"/>
      <c r="PNV40" s="66"/>
      <c r="PNW40" s="66"/>
      <c r="PNX40" s="66"/>
      <c r="PNY40" s="66"/>
      <c r="PNZ40" s="66"/>
      <c r="POA40" s="66"/>
      <c r="POB40" s="66"/>
      <c r="POC40" s="66"/>
      <c r="POD40" s="66"/>
      <c r="POE40" s="66"/>
      <c r="POF40" s="66"/>
      <c r="POG40" s="66"/>
      <c r="POH40" s="66"/>
      <c r="POI40" s="66"/>
      <c r="POJ40" s="66"/>
      <c r="POK40" s="66"/>
      <c r="POL40" s="66"/>
      <c r="POM40" s="66"/>
      <c r="PON40" s="66"/>
      <c r="POO40" s="66"/>
      <c r="POP40" s="66"/>
      <c r="POQ40" s="66"/>
      <c r="POR40" s="66"/>
      <c r="POS40" s="66"/>
      <c r="POT40" s="66"/>
      <c r="POU40" s="66"/>
      <c r="POV40" s="66"/>
      <c r="POW40" s="66"/>
      <c r="POX40" s="66"/>
      <c r="POY40" s="66"/>
      <c r="POZ40" s="66"/>
      <c r="PPA40" s="66"/>
      <c r="PPB40" s="66"/>
      <c r="PPC40" s="66"/>
      <c r="PPD40" s="66"/>
      <c r="PPE40" s="66"/>
      <c r="PPF40" s="66"/>
      <c r="PPG40" s="66"/>
      <c r="PPH40" s="66"/>
      <c r="PPI40" s="66"/>
      <c r="PPJ40" s="66"/>
      <c r="PPK40" s="66"/>
      <c r="PPL40" s="66"/>
      <c r="PPM40" s="66"/>
      <c r="PPN40" s="66"/>
      <c r="PPO40" s="66"/>
      <c r="PPP40" s="66"/>
      <c r="PPQ40" s="66"/>
      <c r="PPR40" s="66"/>
      <c r="PPS40" s="66"/>
      <c r="PPT40" s="66"/>
      <c r="PPU40" s="66"/>
      <c r="PPV40" s="66"/>
      <c r="PPW40" s="66"/>
      <c r="PPX40" s="66"/>
      <c r="PPY40" s="66"/>
      <c r="PPZ40" s="66"/>
      <c r="PQA40" s="66"/>
      <c r="PQB40" s="66"/>
      <c r="PQC40" s="66"/>
      <c r="PQD40" s="66"/>
      <c r="PQE40" s="66"/>
      <c r="PQF40" s="66"/>
      <c r="PQG40" s="66"/>
      <c r="PQH40" s="66"/>
      <c r="PQI40" s="66"/>
      <c r="PQJ40" s="66"/>
      <c r="PQK40" s="66"/>
      <c r="PQL40" s="66"/>
      <c r="PQM40" s="66"/>
      <c r="PQN40" s="66"/>
      <c r="PQO40" s="66"/>
      <c r="PQP40" s="66"/>
      <c r="PQQ40" s="66"/>
      <c r="PQR40" s="66"/>
      <c r="PQS40" s="66"/>
      <c r="PQT40" s="66"/>
      <c r="PQU40" s="66"/>
      <c r="PQV40" s="66"/>
      <c r="PQW40" s="66"/>
      <c r="PQX40" s="66"/>
      <c r="PQY40" s="66"/>
      <c r="PQZ40" s="66"/>
      <c r="PRA40" s="66"/>
      <c r="PRB40" s="66"/>
      <c r="PRC40" s="66"/>
      <c r="PRD40" s="66"/>
      <c r="PRE40" s="66"/>
      <c r="PRF40" s="66"/>
      <c r="PRG40" s="66"/>
      <c r="PRH40" s="66"/>
      <c r="PRI40" s="66"/>
      <c r="PRJ40" s="66"/>
      <c r="PRK40" s="66"/>
      <c r="PRL40" s="66"/>
      <c r="PRM40" s="66"/>
      <c r="PRN40" s="66"/>
      <c r="PRO40" s="66"/>
      <c r="PRP40" s="66"/>
      <c r="PRQ40" s="66"/>
      <c r="PRR40" s="66"/>
      <c r="PRS40" s="66"/>
      <c r="PRT40" s="66"/>
      <c r="PRU40" s="66"/>
      <c r="PRV40" s="66"/>
      <c r="PRW40" s="66"/>
      <c r="PRX40" s="66"/>
      <c r="PRY40" s="66"/>
      <c r="PRZ40" s="66"/>
      <c r="PSA40" s="66"/>
      <c r="PSB40" s="66"/>
      <c r="PSC40" s="66"/>
      <c r="PSD40" s="66"/>
      <c r="PSE40" s="66"/>
      <c r="PSF40" s="66"/>
      <c r="PSG40" s="66"/>
      <c r="PSH40" s="66"/>
      <c r="PSI40" s="66"/>
      <c r="PSJ40" s="66"/>
      <c r="PSK40" s="66"/>
      <c r="PSL40" s="66"/>
      <c r="PSM40" s="66"/>
      <c r="PSN40" s="66"/>
      <c r="PSO40" s="66"/>
      <c r="PSP40" s="66"/>
      <c r="PSQ40" s="66"/>
      <c r="PSR40" s="66"/>
      <c r="PSS40" s="66"/>
      <c r="PST40" s="66"/>
      <c r="PSU40" s="66"/>
      <c r="PSV40" s="66"/>
      <c r="PSW40" s="66"/>
      <c r="PSX40" s="66"/>
      <c r="PSY40" s="66"/>
      <c r="PSZ40" s="66"/>
      <c r="PTA40" s="66"/>
      <c r="PTB40" s="66"/>
      <c r="PTC40" s="66"/>
      <c r="PTD40" s="66"/>
      <c r="PTE40" s="66"/>
      <c r="PTF40" s="66"/>
      <c r="PTG40" s="66"/>
      <c r="PTH40" s="66"/>
      <c r="PTI40" s="66"/>
      <c r="PTJ40" s="66"/>
      <c r="PTK40" s="66"/>
      <c r="PTL40" s="66"/>
      <c r="PTM40" s="66"/>
      <c r="PTN40" s="66"/>
      <c r="PTO40" s="66"/>
      <c r="PTP40" s="66"/>
      <c r="PTQ40" s="66"/>
      <c r="PTR40" s="66"/>
      <c r="PTS40" s="66"/>
      <c r="PTT40" s="66"/>
      <c r="PTU40" s="66"/>
      <c r="PTV40" s="66"/>
      <c r="PTW40" s="66"/>
      <c r="PTX40" s="66"/>
      <c r="PTY40" s="66"/>
      <c r="PTZ40" s="66"/>
      <c r="PUA40" s="66"/>
      <c r="PUB40" s="66"/>
      <c r="PUC40" s="66"/>
      <c r="PUD40" s="66"/>
      <c r="PUE40" s="66"/>
      <c r="PUF40" s="66"/>
      <c r="PUG40" s="66"/>
      <c r="PUH40" s="66"/>
      <c r="PUI40" s="66"/>
      <c r="PUJ40" s="66"/>
      <c r="PUK40" s="66"/>
      <c r="PUL40" s="66"/>
      <c r="PUM40" s="66"/>
      <c r="PUN40" s="66"/>
      <c r="PUO40" s="66"/>
      <c r="PUP40" s="66"/>
      <c r="PUQ40" s="66"/>
      <c r="PUR40" s="66"/>
      <c r="PUS40" s="66"/>
      <c r="PUT40" s="66"/>
      <c r="PUU40" s="66"/>
      <c r="PUV40" s="66"/>
      <c r="PUW40" s="66"/>
      <c r="PUX40" s="66"/>
      <c r="PUY40" s="66"/>
      <c r="PUZ40" s="66"/>
      <c r="PVA40" s="66"/>
      <c r="PVB40" s="66"/>
      <c r="PVC40" s="66"/>
      <c r="PVD40" s="66"/>
      <c r="PVE40" s="66"/>
      <c r="PVF40" s="66"/>
      <c r="PVG40" s="66"/>
      <c r="PVH40" s="66"/>
      <c r="PVI40" s="66"/>
      <c r="PVJ40" s="66"/>
      <c r="PVK40" s="66"/>
      <c r="PVL40" s="66"/>
      <c r="PVM40" s="66"/>
      <c r="PVN40" s="66"/>
      <c r="PVO40" s="66"/>
      <c r="PVP40" s="66"/>
      <c r="PVQ40" s="66"/>
      <c r="PVR40" s="66"/>
      <c r="PVS40" s="66"/>
      <c r="PVT40" s="66"/>
      <c r="PVU40" s="66"/>
      <c r="PVV40" s="66"/>
      <c r="PVW40" s="66"/>
      <c r="PVX40" s="66"/>
      <c r="PVY40" s="66"/>
      <c r="PVZ40" s="66"/>
      <c r="PWA40" s="66"/>
      <c r="PWB40" s="66"/>
      <c r="PWC40" s="66"/>
      <c r="PWD40" s="66"/>
      <c r="PWE40" s="66"/>
      <c r="PWF40" s="66"/>
      <c r="PWG40" s="66"/>
      <c r="PWH40" s="66"/>
      <c r="PWI40" s="66"/>
      <c r="PWJ40" s="66"/>
      <c r="PWK40" s="66"/>
      <c r="PWL40" s="66"/>
      <c r="PWM40" s="66"/>
      <c r="PWN40" s="66"/>
      <c r="PWO40" s="66"/>
      <c r="PWP40" s="66"/>
      <c r="PWQ40" s="66"/>
      <c r="PWR40" s="66"/>
      <c r="PWS40" s="66"/>
      <c r="PWT40" s="66"/>
      <c r="PWU40" s="66"/>
      <c r="PWV40" s="66"/>
      <c r="PWW40" s="66"/>
      <c r="PWX40" s="66"/>
      <c r="PWY40" s="66"/>
      <c r="PWZ40" s="66"/>
      <c r="PXA40" s="66"/>
      <c r="PXB40" s="66"/>
      <c r="PXC40" s="66"/>
      <c r="PXD40" s="66"/>
      <c r="PXE40" s="66"/>
      <c r="PXF40" s="66"/>
      <c r="PXG40" s="66"/>
      <c r="PXH40" s="66"/>
      <c r="PXI40" s="66"/>
      <c r="PXJ40" s="66"/>
      <c r="PXK40" s="66"/>
      <c r="PXL40" s="66"/>
      <c r="PXM40" s="66"/>
      <c r="PXN40" s="66"/>
      <c r="PXO40" s="66"/>
      <c r="PXP40" s="66"/>
      <c r="PXQ40" s="66"/>
      <c r="PXR40" s="66"/>
      <c r="PXS40" s="66"/>
      <c r="PXT40" s="66"/>
      <c r="PXU40" s="66"/>
      <c r="PXV40" s="66"/>
      <c r="PXW40" s="66"/>
      <c r="PXX40" s="66"/>
      <c r="PXY40" s="66"/>
      <c r="PXZ40" s="66"/>
      <c r="PYA40" s="66"/>
      <c r="PYB40" s="66"/>
      <c r="PYC40" s="66"/>
      <c r="PYD40" s="66"/>
      <c r="PYE40" s="66"/>
      <c r="PYF40" s="66"/>
      <c r="PYG40" s="66"/>
      <c r="PYH40" s="66"/>
      <c r="PYI40" s="66"/>
      <c r="PYJ40" s="66"/>
      <c r="PYK40" s="66"/>
      <c r="PYL40" s="66"/>
      <c r="PYM40" s="66"/>
      <c r="PYN40" s="66"/>
      <c r="PYO40" s="66"/>
      <c r="PYP40" s="66"/>
      <c r="PYQ40" s="66"/>
      <c r="PYR40" s="66"/>
      <c r="PYS40" s="66"/>
      <c r="PYT40" s="66"/>
      <c r="PYU40" s="66"/>
      <c r="PYV40" s="66"/>
      <c r="PYW40" s="66"/>
      <c r="PYX40" s="66"/>
      <c r="PYY40" s="66"/>
      <c r="PYZ40" s="66"/>
      <c r="PZA40" s="66"/>
      <c r="PZB40" s="66"/>
      <c r="PZC40" s="66"/>
      <c r="PZD40" s="66"/>
      <c r="PZE40" s="66"/>
      <c r="PZF40" s="66"/>
      <c r="PZG40" s="66"/>
      <c r="PZH40" s="66"/>
      <c r="PZI40" s="66"/>
      <c r="PZJ40" s="66"/>
      <c r="PZK40" s="66"/>
      <c r="PZL40" s="66"/>
      <c r="PZM40" s="66"/>
      <c r="PZN40" s="66"/>
      <c r="PZO40" s="66"/>
      <c r="PZP40" s="66"/>
      <c r="PZQ40" s="66"/>
      <c r="PZR40" s="66"/>
      <c r="PZS40" s="66"/>
      <c r="PZT40" s="66"/>
      <c r="PZU40" s="66"/>
      <c r="PZV40" s="66"/>
      <c r="PZW40" s="66"/>
      <c r="PZX40" s="66"/>
      <c r="PZY40" s="66"/>
      <c r="PZZ40" s="66"/>
      <c r="QAA40" s="66"/>
      <c r="QAB40" s="66"/>
      <c r="QAC40" s="66"/>
      <c r="QAD40" s="66"/>
      <c r="QAE40" s="66"/>
      <c r="QAF40" s="66"/>
      <c r="QAG40" s="66"/>
      <c r="QAH40" s="66"/>
      <c r="QAI40" s="66"/>
      <c r="QAJ40" s="66"/>
      <c r="QAK40" s="66"/>
      <c r="QAL40" s="66"/>
      <c r="QAM40" s="66"/>
      <c r="QAN40" s="66"/>
      <c r="QAO40" s="66"/>
      <c r="QAP40" s="66"/>
      <c r="QAQ40" s="66"/>
      <c r="QAR40" s="66"/>
      <c r="QAS40" s="66"/>
      <c r="QAT40" s="66"/>
      <c r="QAU40" s="66"/>
      <c r="QAV40" s="66"/>
      <c r="QAW40" s="66"/>
      <c r="QAX40" s="66"/>
      <c r="QAY40" s="66"/>
      <c r="QAZ40" s="66"/>
      <c r="QBA40" s="66"/>
      <c r="QBB40" s="66"/>
      <c r="QBC40" s="66"/>
      <c r="QBD40" s="66"/>
      <c r="QBE40" s="66"/>
      <c r="QBF40" s="66"/>
      <c r="QBG40" s="66"/>
      <c r="QBH40" s="66"/>
      <c r="QBI40" s="66"/>
      <c r="QBJ40" s="66"/>
      <c r="QBK40" s="66"/>
      <c r="QBL40" s="66"/>
      <c r="QBM40" s="66"/>
      <c r="QBN40" s="66"/>
      <c r="QBO40" s="66"/>
      <c r="QBP40" s="66"/>
      <c r="QBQ40" s="66"/>
      <c r="QBR40" s="66"/>
      <c r="QBS40" s="66"/>
      <c r="QBT40" s="66"/>
      <c r="QBU40" s="66"/>
      <c r="QBV40" s="66"/>
      <c r="QBW40" s="66"/>
      <c r="QBX40" s="66"/>
      <c r="QBY40" s="66"/>
      <c r="QBZ40" s="66"/>
      <c r="QCA40" s="66"/>
      <c r="QCB40" s="66"/>
      <c r="QCC40" s="66"/>
      <c r="QCD40" s="66"/>
      <c r="QCE40" s="66"/>
      <c r="QCF40" s="66"/>
      <c r="QCG40" s="66"/>
      <c r="QCH40" s="66"/>
      <c r="QCI40" s="66"/>
      <c r="QCJ40" s="66"/>
      <c r="QCK40" s="66"/>
      <c r="QCL40" s="66"/>
      <c r="QCM40" s="66"/>
      <c r="QCN40" s="66"/>
      <c r="QCO40" s="66"/>
      <c r="QCP40" s="66"/>
      <c r="QCQ40" s="66"/>
      <c r="QCR40" s="66"/>
      <c r="QCS40" s="66"/>
      <c r="QCT40" s="66"/>
      <c r="QCU40" s="66"/>
      <c r="QCV40" s="66"/>
      <c r="QCW40" s="66"/>
      <c r="QCX40" s="66"/>
      <c r="QCY40" s="66"/>
      <c r="QCZ40" s="66"/>
      <c r="QDA40" s="66"/>
      <c r="QDB40" s="66"/>
      <c r="QDC40" s="66"/>
      <c r="QDD40" s="66"/>
      <c r="QDE40" s="66"/>
      <c r="QDF40" s="66"/>
      <c r="QDG40" s="66"/>
      <c r="QDH40" s="66"/>
      <c r="QDI40" s="66"/>
      <c r="QDJ40" s="66"/>
      <c r="QDK40" s="66"/>
      <c r="QDL40" s="66"/>
      <c r="QDM40" s="66"/>
      <c r="QDN40" s="66"/>
      <c r="QDO40" s="66"/>
      <c r="QDP40" s="66"/>
      <c r="QDQ40" s="66"/>
      <c r="QDR40" s="66"/>
      <c r="QDS40" s="66"/>
      <c r="QDT40" s="66"/>
      <c r="QDU40" s="66"/>
      <c r="QDV40" s="66"/>
      <c r="QDW40" s="66"/>
      <c r="QDX40" s="66"/>
      <c r="QDY40" s="66"/>
      <c r="QDZ40" s="66"/>
      <c r="QEA40" s="66"/>
      <c r="QEB40" s="66"/>
      <c r="QEC40" s="66"/>
      <c r="QED40" s="66"/>
      <c r="QEE40" s="66"/>
      <c r="QEF40" s="66"/>
      <c r="QEG40" s="66"/>
      <c r="QEH40" s="66"/>
      <c r="QEI40" s="66"/>
      <c r="QEJ40" s="66"/>
      <c r="QEK40" s="66"/>
      <c r="QEL40" s="66"/>
      <c r="QEM40" s="66"/>
      <c r="QEN40" s="66"/>
      <c r="QEO40" s="66"/>
      <c r="QEP40" s="66"/>
      <c r="QEQ40" s="66"/>
      <c r="QER40" s="66"/>
      <c r="QES40" s="66"/>
      <c r="QET40" s="66"/>
      <c r="QEU40" s="66"/>
      <c r="QEV40" s="66"/>
      <c r="QEW40" s="66"/>
      <c r="QEX40" s="66"/>
      <c r="QEY40" s="66"/>
      <c r="QEZ40" s="66"/>
      <c r="QFA40" s="66"/>
      <c r="QFB40" s="66"/>
      <c r="QFC40" s="66"/>
      <c r="QFD40" s="66"/>
      <c r="QFE40" s="66"/>
      <c r="QFF40" s="66"/>
      <c r="QFG40" s="66"/>
      <c r="QFH40" s="66"/>
      <c r="QFI40" s="66"/>
      <c r="QFJ40" s="66"/>
      <c r="QFK40" s="66"/>
      <c r="QFL40" s="66"/>
      <c r="QFM40" s="66"/>
      <c r="QFN40" s="66"/>
      <c r="QFO40" s="66"/>
      <c r="QFP40" s="66"/>
      <c r="QFQ40" s="66"/>
      <c r="QFR40" s="66"/>
      <c r="QFS40" s="66"/>
      <c r="QFT40" s="66"/>
      <c r="QFU40" s="66"/>
      <c r="QFV40" s="66"/>
      <c r="QFW40" s="66"/>
      <c r="QFX40" s="66"/>
      <c r="QFY40" s="66"/>
      <c r="QFZ40" s="66"/>
      <c r="QGA40" s="66"/>
      <c r="QGB40" s="66"/>
      <c r="QGC40" s="66"/>
      <c r="QGD40" s="66"/>
      <c r="QGE40" s="66"/>
      <c r="QGF40" s="66"/>
      <c r="QGG40" s="66"/>
      <c r="QGH40" s="66"/>
      <c r="QGI40" s="66"/>
      <c r="QGJ40" s="66"/>
      <c r="QGK40" s="66"/>
      <c r="QGL40" s="66"/>
      <c r="QGM40" s="66"/>
      <c r="QGN40" s="66"/>
      <c r="QGO40" s="66"/>
      <c r="QGP40" s="66"/>
      <c r="QGQ40" s="66"/>
      <c r="QGR40" s="66"/>
      <c r="QGS40" s="66"/>
      <c r="QGT40" s="66"/>
      <c r="QGU40" s="66"/>
      <c r="QGV40" s="66"/>
      <c r="QGW40" s="66"/>
      <c r="QGX40" s="66"/>
      <c r="QGY40" s="66"/>
      <c r="QGZ40" s="66"/>
      <c r="QHA40" s="66"/>
      <c r="QHB40" s="66"/>
      <c r="QHC40" s="66"/>
      <c r="QHD40" s="66"/>
      <c r="QHE40" s="66"/>
      <c r="QHF40" s="66"/>
      <c r="QHG40" s="66"/>
      <c r="QHH40" s="66"/>
      <c r="QHI40" s="66"/>
      <c r="QHJ40" s="66"/>
      <c r="QHK40" s="66"/>
      <c r="QHL40" s="66"/>
      <c r="QHM40" s="66"/>
      <c r="QHN40" s="66"/>
      <c r="QHO40" s="66"/>
      <c r="QHP40" s="66"/>
      <c r="QHQ40" s="66"/>
      <c r="QHR40" s="66"/>
      <c r="QHS40" s="66"/>
      <c r="QHT40" s="66"/>
      <c r="QHU40" s="66"/>
      <c r="QHV40" s="66"/>
      <c r="QHW40" s="66"/>
      <c r="QHX40" s="66"/>
      <c r="QHY40" s="66"/>
      <c r="QHZ40" s="66"/>
      <c r="QIA40" s="66"/>
      <c r="QIB40" s="66"/>
      <c r="QIC40" s="66"/>
      <c r="QID40" s="66"/>
      <c r="QIE40" s="66"/>
      <c r="QIF40" s="66"/>
      <c r="QIG40" s="66"/>
      <c r="QIH40" s="66"/>
      <c r="QII40" s="66"/>
      <c r="QIJ40" s="66"/>
      <c r="QIK40" s="66"/>
      <c r="QIL40" s="66"/>
      <c r="QIM40" s="66"/>
      <c r="QIN40" s="66"/>
      <c r="QIO40" s="66"/>
      <c r="QIP40" s="66"/>
      <c r="QIQ40" s="66"/>
      <c r="QIR40" s="66"/>
      <c r="QIS40" s="66"/>
      <c r="QIT40" s="66"/>
      <c r="QIU40" s="66"/>
      <c r="QIV40" s="66"/>
      <c r="QIW40" s="66"/>
      <c r="QIX40" s="66"/>
      <c r="QIY40" s="66"/>
      <c r="QIZ40" s="66"/>
      <c r="QJA40" s="66"/>
      <c r="QJB40" s="66"/>
      <c r="QJC40" s="66"/>
      <c r="QJD40" s="66"/>
      <c r="QJE40" s="66"/>
      <c r="QJF40" s="66"/>
      <c r="QJG40" s="66"/>
      <c r="QJH40" s="66"/>
      <c r="QJI40" s="66"/>
      <c r="QJJ40" s="66"/>
      <c r="QJK40" s="66"/>
      <c r="QJL40" s="66"/>
      <c r="QJM40" s="66"/>
      <c r="QJN40" s="66"/>
      <c r="QJO40" s="66"/>
      <c r="QJP40" s="66"/>
      <c r="QJQ40" s="66"/>
      <c r="QJR40" s="66"/>
      <c r="QJS40" s="66"/>
      <c r="QJT40" s="66"/>
      <c r="QJU40" s="66"/>
      <c r="QJV40" s="66"/>
      <c r="QJW40" s="66"/>
      <c r="QJX40" s="66"/>
      <c r="QJY40" s="66"/>
      <c r="QJZ40" s="66"/>
      <c r="QKA40" s="66"/>
      <c r="QKB40" s="66"/>
      <c r="QKC40" s="66"/>
      <c r="QKD40" s="66"/>
      <c r="QKE40" s="66"/>
      <c r="QKF40" s="66"/>
      <c r="QKG40" s="66"/>
      <c r="QKH40" s="66"/>
      <c r="QKI40" s="66"/>
      <c r="QKJ40" s="66"/>
      <c r="QKK40" s="66"/>
      <c r="QKL40" s="66"/>
      <c r="QKM40" s="66"/>
      <c r="QKN40" s="66"/>
      <c r="QKO40" s="66"/>
      <c r="QKP40" s="66"/>
      <c r="QKQ40" s="66"/>
      <c r="QKR40" s="66"/>
      <c r="QKS40" s="66"/>
      <c r="QKT40" s="66"/>
      <c r="QKU40" s="66"/>
      <c r="QKV40" s="66"/>
      <c r="QKW40" s="66"/>
      <c r="QKX40" s="66"/>
      <c r="QKY40" s="66"/>
      <c r="QKZ40" s="66"/>
      <c r="QLA40" s="66"/>
      <c r="QLB40" s="66"/>
      <c r="QLC40" s="66"/>
      <c r="QLD40" s="66"/>
      <c r="QLE40" s="66"/>
      <c r="QLF40" s="66"/>
      <c r="QLG40" s="66"/>
      <c r="QLH40" s="66"/>
      <c r="QLI40" s="66"/>
      <c r="QLJ40" s="66"/>
      <c r="QLK40" s="66"/>
      <c r="QLL40" s="66"/>
      <c r="QLM40" s="66"/>
      <c r="QLN40" s="66"/>
      <c r="QLO40" s="66"/>
      <c r="QLP40" s="66"/>
      <c r="QLQ40" s="66"/>
      <c r="QLR40" s="66"/>
      <c r="QLS40" s="66"/>
      <c r="QLT40" s="66"/>
      <c r="QLU40" s="66"/>
      <c r="QLV40" s="66"/>
      <c r="QLW40" s="66"/>
      <c r="QLX40" s="66"/>
      <c r="QLY40" s="66"/>
      <c r="QLZ40" s="66"/>
      <c r="QMA40" s="66"/>
      <c r="QMB40" s="66"/>
      <c r="QMC40" s="66"/>
      <c r="QMD40" s="66"/>
      <c r="QME40" s="66"/>
      <c r="QMF40" s="66"/>
      <c r="QMG40" s="66"/>
      <c r="QMH40" s="66"/>
      <c r="QMI40" s="66"/>
      <c r="QMJ40" s="66"/>
      <c r="QMK40" s="66"/>
      <c r="QML40" s="66"/>
      <c r="QMM40" s="66"/>
      <c r="QMN40" s="66"/>
      <c r="QMO40" s="66"/>
      <c r="QMP40" s="66"/>
      <c r="QMQ40" s="66"/>
      <c r="QMR40" s="66"/>
      <c r="QMS40" s="66"/>
      <c r="QMT40" s="66"/>
      <c r="QMU40" s="66"/>
      <c r="QMV40" s="66"/>
      <c r="QMW40" s="66"/>
      <c r="QMX40" s="66"/>
      <c r="QMY40" s="66"/>
      <c r="QMZ40" s="66"/>
      <c r="QNA40" s="66"/>
      <c r="QNB40" s="66"/>
      <c r="QNC40" s="66"/>
      <c r="QND40" s="66"/>
      <c r="QNE40" s="66"/>
      <c r="QNF40" s="66"/>
      <c r="QNG40" s="66"/>
      <c r="QNH40" s="66"/>
      <c r="QNI40" s="66"/>
      <c r="QNJ40" s="66"/>
      <c r="QNK40" s="66"/>
      <c r="QNL40" s="66"/>
      <c r="QNM40" s="66"/>
      <c r="QNN40" s="66"/>
      <c r="QNO40" s="66"/>
      <c r="QNP40" s="66"/>
      <c r="QNQ40" s="66"/>
      <c r="QNR40" s="66"/>
      <c r="QNS40" s="66"/>
      <c r="QNT40" s="66"/>
      <c r="QNU40" s="66"/>
      <c r="QNV40" s="66"/>
      <c r="QNW40" s="66"/>
      <c r="QNX40" s="66"/>
      <c r="QNY40" s="66"/>
      <c r="QNZ40" s="66"/>
      <c r="QOA40" s="66"/>
      <c r="QOB40" s="66"/>
      <c r="QOC40" s="66"/>
      <c r="QOD40" s="66"/>
      <c r="QOE40" s="66"/>
      <c r="QOF40" s="66"/>
      <c r="QOG40" s="66"/>
      <c r="QOH40" s="66"/>
      <c r="QOI40" s="66"/>
      <c r="QOJ40" s="66"/>
      <c r="QOK40" s="66"/>
      <c r="QOL40" s="66"/>
      <c r="QOM40" s="66"/>
      <c r="QON40" s="66"/>
      <c r="QOO40" s="66"/>
      <c r="QOP40" s="66"/>
      <c r="QOQ40" s="66"/>
      <c r="QOR40" s="66"/>
      <c r="QOS40" s="66"/>
      <c r="QOT40" s="66"/>
      <c r="QOU40" s="66"/>
      <c r="QOV40" s="66"/>
      <c r="QOW40" s="66"/>
      <c r="QOX40" s="66"/>
      <c r="QOY40" s="66"/>
      <c r="QOZ40" s="66"/>
      <c r="QPA40" s="66"/>
      <c r="QPB40" s="66"/>
      <c r="QPC40" s="66"/>
      <c r="QPD40" s="66"/>
      <c r="QPE40" s="66"/>
      <c r="QPF40" s="66"/>
      <c r="QPG40" s="66"/>
      <c r="QPH40" s="66"/>
      <c r="QPI40" s="66"/>
      <c r="QPJ40" s="66"/>
      <c r="QPK40" s="66"/>
      <c r="QPL40" s="66"/>
      <c r="QPM40" s="66"/>
      <c r="QPN40" s="66"/>
      <c r="QPO40" s="66"/>
      <c r="QPP40" s="66"/>
      <c r="QPQ40" s="66"/>
      <c r="QPR40" s="66"/>
      <c r="QPS40" s="66"/>
      <c r="QPT40" s="66"/>
      <c r="QPU40" s="66"/>
      <c r="QPV40" s="66"/>
      <c r="QPW40" s="66"/>
      <c r="QPX40" s="66"/>
      <c r="QPY40" s="66"/>
      <c r="QPZ40" s="66"/>
      <c r="QQA40" s="66"/>
      <c r="QQB40" s="66"/>
      <c r="QQC40" s="66"/>
      <c r="QQD40" s="66"/>
      <c r="QQE40" s="66"/>
      <c r="QQF40" s="66"/>
      <c r="QQG40" s="66"/>
      <c r="QQH40" s="66"/>
      <c r="QQI40" s="66"/>
      <c r="QQJ40" s="66"/>
      <c r="QQK40" s="66"/>
      <c r="QQL40" s="66"/>
      <c r="QQM40" s="66"/>
      <c r="QQN40" s="66"/>
      <c r="QQO40" s="66"/>
      <c r="QQP40" s="66"/>
      <c r="QQQ40" s="66"/>
      <c r="QQR40" s="66"/>
      <c r="QQS40" s="66"/>
      <c r="QQT40" s="66"/>
      <c r="QQU40" s="66"/>
      <c r="QQV40" s="66"/>
      <c r="QQW40" s="66"/>
      <c r="QQX40" s="66"/>
      <c r="QQY40" s="66"/>
      <c r="QQZ40" s="66"/>
      <c r="QRA40" s="66"/>
      <c r="QRB40" s="66"/>
      <c r="QRC40" s="66"/>
      <c r="QRD40" s="66"/>
      <c r="QRE40" s="66"/>
      <c r="QRF40" s="66"/>
      <c r="QRG40" s="66"/>
      <c r="QRH40" s="66"/>
      <c r="QRI40" s="66"/>
      <c r="QRJ40" s="66"/>
      <c r="QRK40" s="66"/>
      <c r="QRL40" s="66"/>
      <c r="QRM40" s="66"/>
      <c r="QRN40" s="66"/>
      <c r="QRO40" s="66"/>
      <c r="QRP40" s="66"/>
      <c r="QRQ40" s="66"/>
      <c r="QRR40" s="66"/>
      <c r="QRS40" s="66"/>
      <c r="QRT40" s="66"/>
      <c r="QRU40" s="66"/>
      <c r="QRV40" s="66"/>
      <c r="QRW40" s="66"/>
      <c r="QRX40" s="66"/>
      <c r="QRY40" s="66"/>
      <c r="QRZ40" s="66"/>
      <c r="QSA40" s="66"/>
      <c r="QSB40" s="66"/>
      <c r="QSC40" s="66"/>
      <c r="QSD40" s="66"/>
      <c r="QSE40" s="66"/>
      <c r="QSF40" s="66"/>
      <c r="QSG40" s="66"/>
      <c r="QSH40" s="66"/>
      <c r="QSI40" s="66"/>
      <c r="QSJ40" s="66"/>
      <c r="QSK40" s="66"/>
      <c r="QSL40" s="66"/>
      <c r="QSM40" s="66"/>
      <c r="QSN40" s="66"/>
      <c r="QSO40" s="66"/>
      <c r="QSP40" s="66"/>
      <c r="QSQ40" s="66"/>
      <c r="QSR40" s="66"/>
      <c r="QSS40" s="66"/>
      <c r="QST40" s="66"/>
      <c r="QSU40" s="66"/>
      <c r="QSV40" s="66"/>
      <c r="QSW40" s="66"/>
      <c r="QSX40" s="66"/>
      <c r="QSY40" s="66"/>
      <c r="QSZ40" s="66"/>
      <c r="QTA40" s="66"/>
      <c r="QTB40" s="66"/>
      <c r="QTC40" s="66"/>
      <c r="QTD40" s="66"/>
      <c r="QTE40" s="66"/>
      <c r="QTF40" s="66"/>
      <c r="QTG40" s="66"/>
      <c r="QTH40" s="66"/>
      <c r="QTI40" s="66"/>
      <c r="QTJ40" s="66"/>
      <c r="QTK40" s="66"/>
      <c r="QTL40" s="66"/>
      <c r="QTM40" s="66"/>
      <c r="QTN40" s="66"/>
      <c r="QTO40" s="66"/>
      <c r="QTP40" s="66"/>
      <c r="QTQ40" s="66"/>
      <c r="QTR40" s="66"/>
      <c r="QTS40" s="66"/>
      <c r="QTT40" s="66"/>
      <c r="QTU40" s="66"/>
      <c r="QTV40" s="66"/>
      <c r="QTW40" s="66"/>
      <c r="QTX40" s="66"/>
      <c r="QTY40" s="66"/>
      <c r="QTZ40" s="66"/>
      <c r="QUA40" s="66"/>
      <c r="QUB40" s="66"/>
      <c r="QUC40" s="66"/>
      <c r="QUD40" s="66"/>
      <c r="QUE40" s="66"/>
      <c r="QUF40" s="66"/>
      <c r="QUG40" s="66"/>
      <c r="QUH40" s="66"/>
      <c r="QUI40" s="66"/>
      <c r="QUJ40" s="66"/>
      <c r="QUK40" s="66"/>
      <c r="QUL40" s="66"/>
      <c r="QUM40" s="66"/>
      <c r="QUN40" s="66"/>
      <c r="QUO40" s="66"/>
      <c r="QUP40" s="66"/>
      <c r="QUQ40" s="66"/>
      <c r="QUR40" s="66"/>
      <c r="QUS40" s="66"/>
      <c r="QUT40" s="66"/>
      <c r="QUU40" s="66"/>
      <c r="QUV40" s="66"/>
      <c r="QUW40" s="66"/>
      <c r="QUX40" s="66"/>
      <c r="QUY40" s="66"/>
      <c r="QUZ40" s="66"/>
      <c r="QVA40" s="66"/>
      <c r="QVB40" s="66"/>
      <c r="QVC40" s="66"/>
      <c r="QVD40" s="66"/>
      <c r="QVE40" s="66"/>
      <c r="QVF40" s="66"/>
      <c r="QVG40" s="66"/>
      <c r="QVH40" s="66"/>
      <c r="QVI40" s="66"/>
      <c r="QVJ40" s="66"/>
      <c r="QVK40" s="66"/>
      <c r="QVL40" s="66"/>
      <c r="QVM40" s="66"/>
      <c r="QVN40" s="66"/>
      <c r="QVO40" s="66"/>
      <c r="QVP40" s="66"/>
      <c r="QVQ40" s="66"/>
      <c r="QVR40" s="66"/>
      <c r="QVS40" s="66"/>
      <c r="QVT40" s="66"/>
      <c r="QVU40" s="66"/>
      <c r="QVV40" s="66"/>
      <c r="QVW40" s="66"/>
      <c r="QVX40" s="66"/>
      <c r="QVY40" s="66"/>
      <c r="QVZ40" s="66"/>
      <c r="QWA40" s="66"/>
      <c r="QWB40" s="66"/>
      <c r="QWC40" s="66"/>
      <c r="QWD40" s="66"/>
      <c r="QWE40" s="66"/>
      <c r="QWF40" s="66"/>
      <c r="QWG40" s="66"/>
      <c r="QWH40" s="66"/>
      <c r="QWI40" s="66"/>
      <c r="QWJ40" s="66"/>
      <c r="QWK40" s="66"/>
      <c r="QWL40" s="66"/>
      <c r="QWM40" s="66"/>
      <c r="QWN40" s="66"/>
      <c r="QWO40" s="66"/>
      <c r="QWP40" s="66"/>
      <c r="QWQ40" s="66"/>
      <c r="QWR40" s="66"/>
      <c r="QWS40" s="66"/>
      <c r="QWT40" s="66"/>
      <c r="QWU40" s="66"/>
      <c r="QWV40" s="66"/>
      <c r="QWW40" s="66"/>
      <c r="QWX40" s="66"/>
      <c r="QWY40" s="66"/>
      <c r="QWZ40" s="66"/>
      <c r="QXA40" s="66"/>
      <c r="QXB40" s="66"/>
      <c r="QXC40" s="66"/>
      <c r="QXD40" s="66"/>
      <c r="QXE40" s="66"/>
      <c r="QXF40" s="66"/>
      <c r="QXG40" s="66"/>
      <c r="QXH40" s="66"/>
      <c r="QXI40" s="66"/>
      <c r="QXJ40" s="66"/>
      <c r="QXK40" s="66"/>
      <c r="QXL40" s="66"/>
      <c r="QXM40" s="66"/>
      <c r="QXN40" s="66"/>
      <c r="QXO40" s="66"/>
      <c r="QXP40" s="66"/>
      <c r="QXQ40" s="66"/>
      <c r="QXR40" s="66"/>
      <c r="QXS40" s="66"/>
      <c r="QXT40" s="66"/>
      <c r="QXU40" s="66"/>
      <c r="QXV40" s="66"/>
      <c r="QXW40" s="66"/>
      <c r="QXX40" s="66"/>
      <c r="QXY40" s="66"/>
      <c r="QXZ40" s="66"/>
      <c r="QYA40" s="66"/>
      <c r="QYB40" s="66"/>
      <c r="QYC40" s="66"/>
      <c r="QYD40" s="66"/>
      <c r="QYE40" s="66"/>
      <c r="QYF40" s="66"/>
      <c r="QYG40" s="66"/>
      <c r="QYH40" s="66"/>
      <c r="QYI40" s="66"/>
      <c r="QYJ40" s="66"/>
      <c r="QYK40" s="66"/>
      <c r="QYL40" s="66"/>
      <c r="QYM40" s="66"/>
      <c r="QYN40" s="66"/>
      <c r="QYO40" s="66"/>
      <c r="QYP40" s="66"/>
      <c r="QYQ40" s="66"/>
      <c r="QYR40" s="66"/>
      <c r="QYS40" s="66"/>
      <c r="QYT40" s="66"/>
      <c r="QYU40" s="66"/>
      <c r="QYV40" s="66"/>
      <c r="QYW40" s="66"/>
      <c r="QYX40" s="66"/>
      <c r="QYY40" s="66"/>
      <c r="QYZ40" s="66"/>
      <c r="QZA40" s="66"/>
      <c r="QZB40" s="66"/>
      <c r="QZC40" s="66"/>
      <c r="QZD40" s="66"/>
      <c r="QZE40" s="66"/>
      <c r="QZF40" s="66"/>
      <c r="QZG40" s="66"/>
      <c r="QZH40" s="66"/>
      <c r="QZI40" s="66"/>
      <c r="QZJ40" s="66"/>
      <c r="QZK40" s="66"/>
      <c r="QZL40" s="66"/>
      <c r="QZM40" s="66"/>
      <c r="QZN40" s="66"/>
      <c r="QZO40" s="66"/>
      <c r="QZP40" s="66"/>
      <c r="QZQ40" s="66"/>
      <c r="QZR40" s="66"/>
      <c r="QZS40" s="66"/>
      <c r="QZT40" s="66"/>
      <c r="QZU40" s="66"/>
      <c r="QZV40" s="66"/>
      <c r="QZW40" s="66"/>
      <c r="QZX40" s="66"/>
      <c r="QZY40" s="66"/>
      <c r="QZZ40" s="66"/>
      <c r="RAA40" s="66"/>
      <c r="RAB40" s="66"/>
      <c r="RAC40" s="66"/>
      <c r="RAD40" s="66"/>
      <c r="RAE40" s="66"/>
      <c r="RAF40" s="66"/>
      <c r="RAG40" s="66"/>
      <c r="RAH40" s="66"/>
      <c r="RAI40" s="66"/>
      <c r="RAJ40" s="66"/>
      <c r="RAK40" s="66"/>
      <c r="RAL40" s="66"/>
      <c r="RAM40" s="66"/>
      <c r="RAN40" s="66"/>
      <c r="RAO40" s="66"/>
      <c r="RAP40" s="66"/>
      <c r="RAQ40" s="66"/>
      <c r="RAR40" s="66"/>
      <c r="RAS40" s="66"/>
      <c r="RAT40" s="66"/>
      <c r="RAU40" s="66"/>
      <c r="RAV40" s="66"/>
      <c r="RAW40" s="66"/>
      <c r="RAX40" s="66"/>
      <c r="RAY40" s="66"/>
      <c r="RAZ40" s="66"/>
      <c r="RBA40" s="66"/>
      <c r="RBB40" s="66"/>
      <c r="RBC40" s="66"/>
      <c r="RBD40" s="66"/>
      <c r="RBE40" s="66"/>
      <c r="RBF40" s="66"/>
      <c r="RBG40" s="66"/>
      <c r="RBH40" s="66"/>
      <c r="RBI40" s="66"/>
      <c r="RBJ40" s="66"/>
      <c r="RBK40" s="66"/>
      <c r="RBL40" s="66"/>
      <c r="RBM40" s="66"/>
      <c r="RBN40" s="66"/>
      <c r="RBO40" s="66"/>
      <c r="RBP40" s="66"/>
      <c r="RBQ40" s="66"/>
      <c r="RBR40" s="66"/>
      <c r="RBS40" s="66"/>
      <c r="RBT40" s="66"/>
      <c r="RBU40" s="66"/>
      <c r="RBV40" s="66"/>
      <c r="RBW40" s="66"/>
      <c r="RBX40" s="66"/>
      <c r="RBY40" s="66"/>
      <c r="RBZ40" s="66"/>
      <c r="RCA40" s="66"/>
      <c r="RCB40" s="66"/>
      <c r="RCC40" s="66"/>
      <c r="RCD40" s="66"/>
      <c r="RCE40" s="66"/>
      <c r="RCF40" s="66"/>
      <c r="RCG40" s="66"/>
      <c r="RCH40" s="66"/>
      <c r="RCI40" s="66"/>
      <c r="RCJ40" s="66"/>
      <c r="RCK40" s="66"/>
      <c r="RCL40" s="66"/>
      <c r="RCM40" s="66"/>
      <c r="RCN40" s="66"/>
      <c r="RCO40" s="66"/>
      <c r="RCP40" s="66"/>
      <c r="RCQ40" s="66"/>
      <c r="RCR40" s="66"/>
      <c r="RCS40" s="66"/>
      <c r="RCT40" s="66"/>
      <c r="RCU40" s="66"/>
      <c r="RCV40" s="66"/>
      <c r="RCW40" s="66"/>
      <c r="RCX40" s="66"/>
      <c r="RCY40" s="66"/>
      <c r="RCZ40" s="66"/>
      <c r="RDA40" s="66"/>
      <c r="RDB40" s="66"/>
      <c r="RDC40" s="66"/>
      <c r="RDD40" s="66"/>
      <c r="RDE40" s="66"/>
      <c r="RDF40" s="66"/>
      <c r="RDG40" s="66"/>
      <c r="RDH40" s="66"/>
      <c r="RDI40" s="66"/>
      <c r="RDJ40" s="66"/>
      <c r="RDK40" s="66"/>
      <c r="RDL40" s="66"/>
      <c r="RDM40" s="66"/>
      <c r="RDN40" s="66"/>
      <c r="RDO40" s="66"/>
      <c r="RDP40" s="66"/>
      <c r="RDQ40" s="66"/>
      <c r="RDR40" s="66"/>
      <c r="RDS40" s="66"/>
      <c r="RDT40" s="66"/>
      <c r="RDU40" s="66"/>
      <c r="RDV40" s="66"/>
      <c r="RDW40" s="66"/>
      <c r="RDX40" s="66"/>
      <c r="RDY40" s="66"/>
      <c r="RDZ40" s="66"/>
      <c r="REA40" s="66"/>
      <c r="REB40" s="66"/>
      <c r="REC40" s="66"/>
      <c r="RED40" s="66"/>
      <c r="REE40" s="66"/>
      <c r="REF40" s="66"/>
      <c r="REG40" s="66"/>
      <c r="REH40" s="66"/>
      <c r="REI40" s="66"/>
      <c r="REJ40" s="66"/>
      <c r="REK40" s="66"/>
      <c r="REL40" s="66"/>
      <c r="REM40" s="66"/>
      <c r="REN40" s="66"/>
      <c r="REO40" s="66"/>
      <c r="REP40" s="66"/>
      <c r="REQ40" s="66"/>
      <c r="RER40" s="66"/>
      <c r="RES40" s="66"/>
      <c r="RET40" s="66"/>
      <c r="REU40" s="66"/>
      <c r="REV40" s="66"/>
      <c r="REW40" s="66"/>
      <c r="REX40" s="66"/>
      <c r="REY40" s="66"/>
      <c r="REZ40" s="66"/>
      <c r="RFA40" s="66"/>
      <c r="RFB40" s="66"/>
      <c r="RFC40" s="66"/>
      <c r="RFD40" s="66"/>
      <c r="RFE40" s="66"/>
      <c r="RFF40" s="66"/>
      <c r="RFG40" s="66"/>
      <c r="RFH40" s="66"/>
      <c r="RFI40" s="66"/>
      <c r="RFJ40" s="66"/>
      <c r="RFK40" s="66"/>
      <c r="RFL40" s="66"/>
      <c r="RFM40" s="66"/>
      <c r="RFN40" s="66"/>
      <c r="RFO40" s="66"/>
      <c r="RFP40" s="66"/>
      <c r="RFQ40" s="66"/>
      <c r="RFR40" s="66"/>
      <c r="RFS40" s="66"/>
      <c r="RFT40" s="66"/>
      <c r="RFU40" s="66"/>
      <c r="RFV40" s="66"/>
      <c r="RFW40" s="66"/>
      <c r="RFX40" s="66"/>
      <c r="RFY40" s="66"/>
      <c r="RFZ40" s="66"/>
      <c r="RGA40" s="66"/>
      <c r="RGB40" s="66"/>
      <c r="RGC40" s="66"/>
      <c r="RGD40" s="66"/>
      <c r="RGE40" s="66"/>
      <c r="RGF40" s="66"/>
      <c r="RGG40" s="66"/>
      <c r="RGH40" s="66"/>
      <c r="RGI40" s="66"/>
      <c r="RGJ40" s="66"/>
      <c r="RGK40" s="66"/>
      <c r="RGL40" s="66"/>
      <c r="RGM40" s="66"/>
      <c r="RGN40" s="66"/>
      <c r="RGO40" s="66"/>
      <c r="RGP40" s="66"/>
      <c r="RGQ40" s="66"/>
      <c r="RGR40" s="66"/>
      <c r="RGS40" s="66"/>
      <c r="RGT40" s="66"/>
      <c r="RGU40" s="66"/>
      <c r="RGV40" s="66"/>
      <c r="RGW40" s="66"/>
      <c r="RGX40" s="66"/>
      <c r="RGY40" s="66"/>
      <c r="RGZ40" s="66"/>
      <c r="RHA40" s="66"/>
      <c r="RHB40" s="66"/>
      <c r="RHC40" s="66"/>
      <c r="RHD40" s="66"/>
      <c r="RHE40" s="66"/>
      <c r="RHF40" s="66"/>
      <c r="RHG40" s="66"/>
      <c r="RHH40" s="66"/>
      <c r="RHI40" s="66"/>
      <c r="RHJ40" s="66"/>
      <c r="RHK40" s="66"/>
      <c r="RHL40" s="66"/>
      <c r="RHM40" s="66"/>
      <c r="RHN40" s="66"/>
      <c r="RHO40" s="66"/>
      <c r="RHP40" s="66"/>
      <c r="RHQ40" s="66"/>
      <c r="RHR40" s="66"/>
      <c r="RHS40" s="66"/>
      <c r="RHT40" s="66"/>
      <c r="RHU40" s="66"/>
      <c r="RHV40" s="66"/>
      <c r="RHW40" s="66"/>
      <c r="RHX40" s="66"/>
      <c r="RHY40" s="66"/>
      <c r="RHZ40" s="66"/>
      <c r="RIA40" s="66"/>
      <c r="RIB40" s="66"/>
      <c r="RIC40" s="66"/>
      <c r="RID40" s="66"/>
      <c r="RIE40" s="66"/>
      <c r="RIF40" s="66"/>
      <c r="RIG40" s="66"/>
      <c r="RIH40" s="66"/>
      <c r="RII40" s="66"/>
      <c r="RIJ40" s="66"/>
      <c r="RIK40" s="66"/>
      <c r="RIL40" s="66"/>
      <c r="RIM40" s="66"/>
      <c r="RIN40" s="66"/>
      <c r="RIO40" s="66"/>
      <c r="RIP40" s="66"/>
      <c r="RIQ40" s="66"/>
      <c r="RIR40" s="66"/>
      <c r="RIS40" s="66"/>
      <c r="RIT40" s="66"/>
      <c r="RIU40" s="66"/>
      <c r="RIV40" s="66"/>
      <c r="RIW40" s="66"/>
      <c r="RIX40" s="66"/>
      <c r="RIY40" s="66"/>
      <c r="RIZ40" s="66"/>
      <c r="RJA40" s="66"/>
      <c r="RJB40" s="66"/>
      <c r="RJC40" s="66"/>
      <c r="RJD40" s="66"/>
      <c r="RJE40" s="66"/>
      <c r="RJF40" s="66"/>
      <c r="RJG40" s="66"/>
      <c r="RJH40" s="66"/>
      <c r="RJI40" s="66"/>
      <c r="RJJ40" s="66"/>
      <c r="RJK40" s="66"/>
      <c r="RJL40" s="66"/>
      <c r="RJM40" s="66"/>
      <c r="RJN40" s="66"/>
      <c r="RJO40" s="66"/>
      <c r="RJP40" s="66"/>
      <c r="RJQ40" s="66"/>
      <c r="RJR40" s="66"/>
      <c r="RJS40" s="66"/>
      <c r="RJT40" s="66"/>
      <c r="RJU40" s="66"/>
      <c r="RJV40" s="66"/>
      <c r="RJW40" s="66"/>
      <c r="RJX40" s="66"/>
      <c r="RJY40" s="66"/>
      <c r="RJZ40" s="66"/>
      <c r="RKA40" s="66"/>
      <c r="RKB40" s="66"/>
      <c r="RKC40" s="66"/>
      <c r="RKD40" s="66"/>
      <c r="RKE40" s="66"/>
      <c r="RKF40" s="66"/>
      <c r="RKG40" s="66"/>
      <c r="RKH40" s="66"/>
      <c r="RKI40" s="66"/>
      <c r="RKJ40" s="66"/>
      <c r="RKK40" s="66"/>
      <c r="RKL40" s="66"/>
      <c r="RKM40" s="66"/>
      <c r="RKN40" s="66"/>
      <c r="RKO40" s="66"/>
      <c r="RKP40" s="66"/>
      <c r="RKQ40" s="66"/>
      <c r="RKR40" s="66"/>
      <c r="RKS40" s="66"/>
      <c r="RKT40" s="66"/>
      <c r="RKU40" s="66"/>
      <c r="RKV40" s="66"/>
      <c r="RKW40" s="66"/>
      <c r="RKX40" s="66"/>
      <c r="RKY40" s="66"/>
      <c r="RKZ40" s="66"/>
      <c r="RLA40" s="66"/>
      <c r="RLB40" s="66"/>
      <c r="RLC40" s="66"/>
      <c r="RLD40" s="66"/>
      <c r="RLE40" s="66"/>
      <c r="RLF40" s="66"/>
      <c r="RLG40" s="66"/>
      <c r="RLH40" s="66"/>
      <c r="RLI40" s="66"/>
      <c r="RLJ40" s="66"/>
      <c r="RLK40" s="66"/>
      <c r="RLL40" s="66"/>
      <c r="RLM40" s="66"/>
      <c r="RLN40" s="66"/>
      <c r="RLO40" s="66"/>
      <c r="RLP40" s="66"/>
      <c r="RLQ40" s="66"/>
      <c r="RLR40" s="66"/>
      <c r="RLS40" s="66"/>
      <c r="RLT40" s="66"/>
      <c r="RLU40" s="66"/>
      <c r="RLV40" s="66"/>
      <c r="RLW40" s="66"/>
      <c r="RLX40" s="66"/>
      <c r="RLY40" s="66"/>
      <c r="RLZ40" s="66"/>
      <c r="RMA40" s="66"/>
      <c r="RMB40" s="66"/>
      <c r="RMC40" s="66"/>
      <c r="RMD40" s="66"/>
      <c r="RME40" s="66"/>
      <c r="RMF40" s="66"/>
      <c r="RMG40" s="66"/>
      <c r="RMH40" s="66"/>
      <c r="RMI40" s="66"/>
      <c r="RMJ40" s="66"/>
      <c r="RMK40" s="66"/>
      <c r="RML40" s="66"/>
      <c r="RMM40" s="66"/>
      <c r="RMN40" s="66"/>
      <c r="RMO40" s="66"/>
      <c r="RMP40" s="66"/>
      <c r="RMQ40" s="66"/>
      <c r="RMR40" s="66"/>
      <c r="RMS40" s="66"/>
      <c r="RMT40" s="66"/>
      <c r="RMU40" s="66"/>
      <c r="RMV40" s="66"/>
      <c r="RMW40" s="66"/>
      <c r="RMX40" s="66"/>
      <c r="RMY40" s="66"/>
      <c r="RMZ40" s="66"/>
      <c r="RNA40" s="66"/>
      <c r="RNB40" s="66"/>
      <c r="RNC40" s="66"/>
      <c r="RND40" s="66"/>
      <c r="RNE40" s="66"/>
      <c r="RNF40" s="66"/>
      <c r="RNG40" s="66"/>
      <c r="RNH40" s="66"/>
      <c r="RNI40" s="66"/>
      <c r="RNJ40" s="66"/>
      <c r="RNK40" s="66"/>
      <c r="RNL40" s="66"/>
      <c r="RNM40" s="66"/>
      <c r="RNN40" s="66"/>
      <c r="RNO40" s="66"/>
      <c r="RNP40" s="66"/>
      <c r="RNQ40" s="66"/>
      <c r="RNR40" s="66"/>
      <c r="RNS40" s="66"/>
      <c r="RNT40" s="66"/>
      <c r="RNU40" s="66"/>
      <c r="RNV40" s="66"/>
      <c r="RNW40" s="66"/>
      <c r="RNX40" s="66"/>
      <c r="RNY40" s="66"/>
      <c r="RNZ40" s="66"/>
      <c r="ROA40" s="66"/>
      <c r="ROB40" s="66"/>
      <c r="ROC40" s="66"/>
      <c r="ROD40" s="66"/>
      <c r="ROE40" s="66"/>
      <c r="ROF40" s="66"/>
      <c r="ROG40" s="66"/>
      <c r="ROH40" s="66"/>
      <c r="ROI40" s="66"/>
      <c r="ROJ40" s="66"/>
      <c r="ROK40" s="66"/>
      <c r="ROL40" s="66"/>
      <c r="ROM40" s="66"/>
      <c r="RON40" s="66"/>
      <c r="ROO40" s="66"/>
      <c r="ROP40" s="66"/>
      <c r="ROQ40" s="66"/>
      <c r="ROR40" s="66"/>
      <c r="ROS40" s="66"/>
      <c r="ROT40" s="66"/>
      <c r="ROU40" s="66"/>
      <c r="ROV40" s="66"/>
      <c r="ROW40" s="66"/>
      <c r="ROX40" s="66"/>
      <c r="ROY40" s="66"/>
      <c r="ROZ40" s="66"/>
      <c r="RPA40" s="66"/>
      <c r="RPB40" s="66"/>
      <c r="RPC40" s="66"/>
      <c r="RPD40" s="66"/>
      <c r="RPE40" s="66"/>
      <c r="RPF40" s="66"/>
      <c r="RPG40" s="66"/>
      <c r="RPH40" s="66"/>
      <c r="RPI40" s="66"/>
      <c r="RPJ40" s="66"/>
      <c r="RPK40" s="66"/>
      <c r="RPL40" s="66"/>
      <c r="RPM40" s="66"/>
      <c r="RPN40" s="66"/>
      <c r="RPO40" s="66"/>
      <c r="RPP40" s="66"/>
      <c r="RPQ40" s="66"/>
      <c r="RPR40" s="66"/>
      <c r="RPS40" s="66"/>
      <c r="RPT40" s="66"/>
      <c r="RPU40" s="66"/>
      <c r="RPV40" s="66"/>
      <c r="RPW40" s="66"/>
      <c r="RPX40" s="66"/>
      <c r="RPY40" s="66"/>
      <c r="RPZ40" s="66"/>
      <c r="RQA40" s="66"/>
      <c r="RQB40" s="66"/>
      <c r="RQC40" s="66"/>
      <c r="RQD40" s="66"/>
      <c r="RQE40" s="66"/>
      <c r="RQF40" s="66"/>
      <c r="RQG40" s="66"/>
      <c r="RQH40" s="66"/>
      <c r="RQI40" s="66"/>
      <c r="RQJ40" s="66"/>
      <c r="RQK40" s="66"/>
      <c r="RQL40" s="66"/>
      <c r="RQM40" s="66"/>
      <c r="RQN40" s="66"/>
      <c r="RQO40" s="66"/>
      <c r="RQP40" s="66"/>
      <c r="RQQ40" s="66"/>
      <c r="RQR40" s="66"/>
      <c r="RQS40" s="66"/>
      <c r="RQT40" s="66"/>
      <c r="RQU40" s="66"/>
      <c r="RQV40" s="66"/>
      <c r="RQW40" s="66"/>
      <c r="RQX40" s="66"/>
      <c r="RQY40" s="66"/>
      <c r="RQZ40" s="66"/>
      <c r="RRA40" s="66"/>
      <c r="RRB40" s="66"/>
      <c r="RRC40" s="66"/>
      <c r="RRD40" s="66"/>
      <c r="RRE40" s="66"/>
      <c r="RRF40" s="66"/>
      <c r="RRG40" s="66"/>
      <c r="RRH40" s="66"/>
      <c r="RRI40" s="66"/>
      <c r="RRJ40" s="66"/>
      <c r="RRK40" s="66"/>
      <c r="RRL40" s="66"/>
      <c r="RRM40" s="66"/>
      <c r="RRN40" s="66"/>
      <c r="RRO40" s="66"/>
      <c r="RRP40" s="66"/>
      <c r="RRQ40" s="66"/>
      <c r="RRR40" s="66"/>
      <c r="RRS40" s="66"/>
      <c r="RRT40" s="66"/>
      <c r="RRU40" s="66"/>
      <c r="RRV40" s="66"/>
      <c r="RRW40" s="66"/>
      <c r="RRX40" s="66"/>
      <c r="RRY40" s="66"/>
      <c r="RRZ40" s="66"/>
      <c r="RSA40" s="66"/>
      <c r="RSB40" s="66"/>
      <c r="RSC40" s="66"/>
      <c r="RSD40" s="66"/>
      <c r="RSE40" s="66"/>
      <c r="RSF40" s="66"/>
      <c r="RSG40" s="66"/>
      <c r="RSH40" s="66"/>
      <c r="RSI40" s="66"/>
      <c r="RSJ40" s="66"/>
      <c r="RSK40" s="66"/>
      <c r="RSL40" s="66"/>
      <c r="RSM40" s="66"/>
      <c r="RSN40" s="66"/>
      <c r="RSO40" s="66"/>
      <c r="RSP40" s="66"/>
      <c r="RSQ40" s="66"/>
      <c r="RSR40" s="66"/>
      <c r="RSS40" s="66"/>
      <c r="RST40" s="66"/>
      <c r="RSU40" s="66"/>
      <c r="RSV40" s="66"/>
      <c r="RSW40" s="66"/>
      <c r="RSX40" s="66"/>
      <c r="RSY40" s="66"/>
      <c r="RSZ40" s="66"/>
      <c r="RTA40" s="66"/>
      <c r="RTB40" s="66"/>
      <c r="RTC40" s="66"/>
      <c r="RTD40" s="66"/>
      <c r="RTE40" s="66"/>
      <c r="RTF40" s="66"/>
      <c r="RTG40" s="66"/>
      <c r="RTH40" s="66"/>
      <c r="RTI40" s="66"/>
      <c r="RTJ40" s="66"/>
      <c r="RTK40" s="66"/>
      <c r="RTL40" s="66"/>
      <c r="RTM40" s="66"/>
      <c r="RTN40" s="66"/>
      <c r="RTO40" s="66"/>
      <c r="RTP40" s="66"/>
      <c r="RTQ40" s="66"/>
      <c r="RTR40" s="66"/>
      <c r="RTS40" s="66"/>
      <c r="RTT40" s="66"/>
      <c r="RTU40" s="66"/>
      <c r="RTV40" s="66"/>
      <c r="RTW40" s="66"/>
      <c r="RTX40" s="66"/>
      <c r="RTY40" s="66"/>
      <c r="RTZ40" s="66"/>
      <c r="RUA40" s="66"/>
      <c r="RUB40" s="66"/>
      <c r="RUC40" s="66"/>
      <c r="RUD40" s="66"/>
      <c r="RUE40" s="66"/>
      <c r="RUF40" s="66"/>
      <c r="RUG40" s="66"/>
      <c r="RUH40" s="66"/>
      <c r="RUI40" s="66"/>
      <c r="RUJ40" s="66"/>
      <c r="RUK40" s="66"/>
      <c r="RUL40" s="66"/>
      <c r="RUM40" s="66"/>
      <c r="RUN40" s="66"/>
      <c r="RUO40" s="66"/>
      <c r="RUP40" s="66"/>
      <c r="RUQ40" s="66"/>
      <c r="RUR40" s="66"/>
      <c r="RUS40" s="66"/>
      <c r="RUT40" s="66"/>
      <c r="RUU40" s="66"/>
      <c r="RUV40" s="66"/>
      <c r="RUW40" s="66"/>
      <c r="RUX40" s="66"/>
      <c r="RUY40" s="66"/>
      <c r="RUZ40" s="66"/>
      <c r="RVA40" s="66"/>
      <c r="RVB40" s="66"/>
      <c r="RVC40" s="66"/>
      <c r="RVD40" s="66"/>
      <c r="RVE40" s="66"/>
      <c r="RVF40" s="66"/>
      <c r="RVG40" s="66"/>
      <c r="RVH40" s="66"/>
      <c r="RVI40" s="66"/>
      <c r="RVJ40" s="66"/>
      <c r="RVK40" s="66"/>
      <c r="RVL40" s="66"/>
      <c r="RVM40" s="66"/>
      <c r="RVN40" s="66"/>
      <c r="RVO40" s="66"/>
      <c r="RVP40" s="66"/>
      <c r="RVQ40" s="66"/>
      <c r="RVR40" s="66"/>
      <c r="RVS40" s="66"/>
      <c r="RVT40" s="66"/>
      <c r="RVU40" s="66"/>
      <c r="RVV40" s="66"/>
      <c r="RVW40" s="66"/>
      <c r="RVX40" s="66"/>
      <c r="RVY40" s="66"/>
      <c r="RVZ40" s="66"/>
      <c r="RWA40" s="66"/>
      <c r="RWB40" s="66"/>
      <c r="RWC40" s="66"/>
      <c r="RWD40" s="66"/>
      <c r="RWE40" s="66"/>
      <c r="RWF40" s="66"/>
      <c r="RWG40" s="66"/>
      <c r="RWH40" s="66"/>
      <c r="RWI40" s="66"/>
      <c r="RWJ40" s="66"/>
      <c r="RWK40" s="66"/>
      <c r="RWL40" s="66"/>
      <c r="RWM40" s="66"/>
      <c r="RWN40" s="66"/>
      <c r="RWO40" s="66"/>
      <c r="RWP40" s="66"/>
      <c r="RWQ40" s="66"/>
      <c r="RWR40" s="66"/>
      <c r="RWS40" s="66"/>
      <c r="RWT40" s="66"/>
      <c r="RWU40" s="66"/>
      <c r="RWV40" s="66"/>
      <c r="RWW40" s="66"/>
      <c r="RWX40" s="66"/>
      <c r="RWY40" s="66"/>
      <c r="RWZ40" s="66"/>
      <c r="RXA40" s="66"/>
      <c r="RXB40" s="66"/>
      <c r="RXC40" s="66"/>
      <c r="RXD40" s="66"/>
      <c r="RXE40" s="66"/>
      <c r="RXF40" s="66"/>
      <c r="RXG40" s="66"/>
      <c r="RXH40" s="66"/>
      <c r="RXI40" s="66"/>
      <c r="RXJ40" s="66"/>
      <c r="RXK40" s="66"/>
      <c r="RXL40" s="66"/>
      <c r="RXM40" s="66"/>
      <c r="RXN40" s="66"/>
      <c r="RXO40" s="66"/>
      <c r="RXP40" s="66"/>
      <c r="RXQ40" s="66"/>
      <c r="RXR40" s="66"/>
      <c r="RXS40" s="66"/>
      <c r="RXT40" s="66"/>
      <c r="RXU40" s="66"/>
      <c r="RXV40" s="66"/>
      <c r="RXW40" s="66"/>
      <c r="RXX40" s="66"/>
      <c r="RXY40" s="66"/>
      <c r="RXZ40" s="66"/>
      <c r="RYA40" s="66"/>
      <c r="RYB40" s="66"/>
      <c r="RYC40" s="66"/>
      <c r="RYD40" s="66"/>
      <c r="RYE40" s="66"/>
      <c r="RYF40" s="66"/>
      <c r="RYG40" s="66"/>
      <c r="RYH40" s="66"/>
      <c r="RYI40" s="66"/>
      <c r="RYJ40" s="66"/>
      <c r="RYK40" s="66"/>
      <c r="RYL40" s="66"/>
      <c r="RYM40" s="66"/>
      <c r="RYN40" s="66"/>
      <c r="RYO40" s="66"/>
      <c r="RYP40" s="66"/>
      <c r="RYQ40" s="66"/>
      <c r="RYR40" s="66"/>
      <c r="RYS40" s="66"/>
      <c r="RYT40" s="66"/>
      <c r="RYU40" s="66"/>
      <c r="RYV40" s="66"/>
      <c r="RYW40" s="66"/>
      <c r="RYX40" s="66"/>
      <c r="RYY40" s="66"/>
      <c r="RYZ40" s="66"/>
      <c r="RZA40" s="66"/>
      <c r="RZB40" s="66"/>
      <c r="RZC40" s="66"/>
      <c r="RZD40" s="66"/>
      <c r="RZE40" s="66"/>
      <c r="RZF40" s="66"/>
      <c r="RZG40" s="66"/>
      <c r="RZH40" s="66"/>
      <c r="RZI40" s="66"/>
      <c r="RZJ40" s="66"/>
      <c r="RZK40" s="66"/>
      <c r="RZL40" s="66"/>
      <c r="RZM40" s="66"/>
      <c r="RZN40" s="66"/>
      <c r="RZO40" s="66"/>
      <c r="RZP40" s="66"/>
      <c r="RZQ40" s="66"/>
      <c r="RZR40" s="66"/>
      <c r="RZS40" s="66"/>
      <c r="RZT40" s="66"/>
      <c r="RZU40" s="66"/>
      <c r="RZV40" s="66"/>
      <c r="RZW40" s="66"/>
      <c r="RZX40" s="66"/>
      <c r="RZY40" s="66"/>
      <c r="RZZ40" s="66"/>
      <c r="SAA40" s="66"/>
      <c r="SAB40" s="66"/>
      <c r="SAC40" s="66"/>
      <c r="SAD40" s="66"/>
      <c r="SAE40" s="66"/>
      <c r="SAF40" s="66"/>
      <c r="SAG40" s="66"/>
      <c r="SAH40" s="66"/>
      <c r="SAI40" s="66"/>
      <c r="SAJ40" s="66"/>
      <c r="SAK40" s="66"/>
      <c r="SAL40" s="66"/>
      <c r="SAM40" s="66"/>
      <c r="SAN40" s="66"/>
      <c r="SAO40" s="66"/>
      <c r="SAP40" s="66"/>
      <c r="SAQ40" s="66"/>
      <c r="SAR40" s="66"/>
      <c r="SAS40" s="66"/>
      <c r="SAT40" s="66"/>
      <c r="SAU40" s="66"/>
      <c r="SAV40" s="66"/>
      <c r="SAW40" s="66"/>
      <c r="SAX40" s="66"/>
      <c r="SAY40" s="66"/>
      <c r="SAZ40" s="66"/>
      <c r="SBA40" s="66"/>
      <c r="SBB40" s="66"/>
      <c r="SBC40" s="66"/>
      <c r="SBD40" s="66"/>
      <c r="SBE40" s="66"/>
      <c r="SBF40" s="66"/>
      <c r="SBG40" s="66"/>
      <c r="SBH40" s="66"/>
      <c r="SBI40" s="66"/>
      <c r="SBJ40" s="66"/>
      <c r="SBK40" s="66"/>
      <c r="SBL40" s="66"/>
      <c r="SBM40" s="66"/>
      <c r="SBN40" s="66"/>
      <c r="SBO40" s="66"/>
      <c r="SBP40" s="66"/>
      <c r="SBQ40" s="66"/>
      <c r="SBR40" s="66"/>
      <c r="SBS40" s="66"/>
      <c r="SBT40" s="66"/>
      <c r="SBU40" s="66"/>
      <c r="SBV40" s="66"/>
      <c r="SBW40" s="66"/>
      <c r="SBX40" s="66"/>
      <c r="SBY40" s="66"/>
      <c r="SBZ40" s="66"/>
      <c r="SCA40" s="66"/>
      <c r="SCB40" s="66"/>
      <c r="SCC40" s="66"/>
      <c r="SCD40" s="66"/>
      <c r="SCE40" s="66"/>
      <c r="SCF40" s="66"/>
      <c r="SCG40" s="66"/>
      <c r="SCH40" s="66"/>
      <c r="SCI40" s="66"/>
      <c r="SCJ40" s="66"/>
      <c r="SCK40" s="66"/>
      <c r="SCL40" s="66"/>
      <c r="SCM40" s="66"/>
      <c r="SCN40" s="66"/>
      <c r="SCO40" s="66"/>
      <c r="SCP40" s="66"/>
      <c r="SCQ40" s="66"/>
      <c r="SCR40" s="66"/>
      <c r="SCS40" s="66"/>
      <c r="SCT40" s="66"/>
      <c r="SCU40" s="66"/>
      <c r="SCV40" s="66"/>
      <c r="SCW40" s="66"/>
      <c r="SCX40" s="66"/>
      <c r="SCY40" s="66"/>
      <c r="SCZ40" s="66"/>
      <c r="SDA40" s="66"/>
      <c r="SDB40" s="66"/>
      <c r="SDC40" s="66"/>
      <c r="SDD40" s="66"/>
      <c r="SDE40" s="66"/>
      <c r="SDF40" s="66"/>
      <c r="SDG40" s="66"/>
      <c r="SDH40" s="66"/>
      <c r="SDI40" s="66"/>
      <c r="SDJ40" s="66"/>
      <c r="SDK40" s="66"/>
      <c r="SDL40" s="66"/>
      <c r="SDM40" s="66"/>
      <c r="SDN40" s="66"/>
      <c r="SDO40" s="66"/>
      <c r="SDP40" s="66"/>
      <c r="SDQ40" s="66"/>
      <c r="SDR40" s="66"/>
      <c r="SDS40" s="66"/>
      <c r="SDT40" s="66"/>
      <c r="SDU40" s="66"/>
      <c r="SDV40" s="66"/>
      <c r="SDW40" s="66"/>
      <c r="SDX40" s="66"/>
      <c r="SDY40" s="66"/>
      <c r="SDZ40" s="66"/>
      <c r="SEA40" s="66"/>
      <c r="SEB40" s="66"/>
      <c r="SEC40" s="66"/>
      <c r="SED40" s="66"/>
      <c r="SEE40" s="66"/>
      <c r="SEF40" s="66"/>
      <c r="SEG40" s="66"/>
      <c r="SEH40" s="66"/>
      <c r="SEI40" s="66"/>
      <c r="SEJ40" s="66"/>
      <c r="SEK40" s="66"/>
      <c r="SEL40" s="66"/>
      <c r="SEM40" s="66"/>
      <c r="SEN40" s="66"/>
      <c r="SEO40" s="66"/>
      <c r="SEP40" s="66"/>
      <c r="SEQ40" s="66"/>
      <c r="SER40" s="66"/>
      <c r="SES40" s="66"/>
      <c r="SET40" s="66"/>
      <c r="SEU40" s="66"/>
      <c r="SEV40" s="66"/>
      <c r="SEW40" s="66"/>
      <c r="SEX40" s="66"/>
      <c r="SEY40" s="66"/>
      <c r="SEZ40" s="66"/>
      <c r="SFA40" s="66"/>
      <c r="SFB40" s="66"/>
      <c r="SFC40" s="66"/>
      <c r="SFD40" s="66"/>
      <c r="SFE40" s="66"/>
      <c r="SFF40" s="66"/>
      <c r="SFG40" s="66"/>
      <c r="SFH40" s="66"/>
      <c r="SFI40" s="66"/>
      <c r="SFJ40" s="66"/>
      <c r="SFK40" s="66"/>
      <c r="SFL40" s="66"/>
      <c r="SFM40" s="66"/>
      <c r="SFN40" s="66"/>
      <c r="SFO40" s="66"/>
      <c r="SFP40" s="66"/>
      <c r="SFQ40" s="66"/>
      <c r="SFR40" s="66"/>
      <c r="SFS40" s="66"/>
      <c r="SFT40" s="66"/>
      <c r="SFU40" s="66"/>
      <c r="SFV40" s="66"/>
      <c r="SFW40" s="66"/>
      <c r="SFX40" s="66"/>
      <c r="SFY40" s="66"/>
      <c r="SFZ40" s="66"/>
      <c r="SGA40" s="66"/>
      <c r="SGB40" s="66"/>
      <c r="SGC40" s="66"/>
      <c r="SGD40" s="66"/>
      <c r="SGE40" s="66"/>
      <c r="SGF40" s="66"/>
      <c r="SGG40" s="66"/>
      <c r="SGH40" s="66"/>
      <c r="SGI40" s="66"/>
      <c r="SGJ40" s="66"/>
      <c r="SGK40" s="66"/>
      <c r="SGL40" s="66"/>
      <c r="SGM40" s="66"/>
      <c r="SGN40" s="66"/>
      <c r="SGO40" s="66"/>
      <c r="SGP40" s="66"/>
      <c r="SGQ40" s="66"/>
      <c r="SGR40" s="66"/>
      <c r="SGS40" s="66"/>
      <c r="SGT40" s="66"/>
      <c r="SGU40" s="66"/>
      <c r="SGV40" s="66"/>
      <c r="SGW40" s="66"/>
      <c r="SGX40" s="66"/>
      <c r="SGY40" s="66"/>
      <c r="SGZ40" s="66"/>
      <c r="SHA40" s="66"/>
      <c r="SHB40" s="66"/>
      <c r="SHC40" s="66"/>
      <c r="SHD40" s="66"/>
      <c r="SHE40" s="66"/>
      <c r="SHF40" s="66"/>
      <c r="SHG40" s="66"/>
      <c r="SHH40" s="66"/>
      <c r="SHI40" s="66"/>
      <c r="SHJ40" s="66"/>
      <c r="SHK40" s="66"/>
      <c r="SHL40" s="66"/>
      <c r="SHM40" s="66"/>
      <c r="SHN40" s="66"/>
      <c r="SHO40" s="66"/>
      <c r="SHP40" s="66"/>
      <c r="SHQ40" s="66"/>
      <c r="SHR40" s="66"/>
      <c r="SHS40" s="66"/>
      <c r="SHT40" s="66"/>
      <c r="SHU40" s="66"/>
      <c r="SHV40" s="66"/>
      <c r="SHW40" s="66"/>
      <c r="SHX40" s="66"/>
      <c r="SHY40" s="66"/>
      <c r="SHZ40" s="66"/>
      <c r="SIA40" s="66"/>
      <c r="SIB40" s="66"/>
      <c r="SIC40" s="66"/>
      <c r="SID40" s="66"/>
      <c r="SIE40" s="66"/>
      <c r="SIF40" s="66"/>
      <c r="SIG40" s="66"/>
      <c r="SIH40" s="66"/>
      <c r="SII40" s="66"/>
      <c r="SIJ40" s="66"/>
      <c r="SIK40" s="66"/>
      <c r="SIL40" s="66"/>
      <c r="SIM40" s="66"/>
      <c r="SIN40" s="66"/>
      <c r="SIO40" s="66"/>
      <c r="SIP40" s="66"/>
      <c r="SIQ40" s="66"/>
      <c r="SIR40" s="66"/>
      <c r="SIS40" s="66"/>
      <c r="SIT40" s="66"/>
      <c r="SIU40" s="66"/>
      <c r="SIV40" s="66"/>
      <c r="SIW40" s="66"/>
      <c r="SIX40" s="66"/>
      <c r="SIY40" s="66"/>
      <c r="SIZ40" s="66"/>
      <c r="SJA40" s="66"/>
      <c r="SJB40" s="66"/>
      <c r="SJC40" s="66"/>
      <c r="SJD40" s="66"/>
      <c r="SJE40" s="66"/>
      <c r="SJF40" s="66"/>
      <c r="SJG40" s="66"/>
      <c r="SJH40" s="66"/>
      <c r="SJI40" s="66"/>
      <c r="SJJ40" s="66"/>
      <c r="SJK40" s="66"/>
      <c r="SJL40" s="66"/>
      <c r="SJM40" s="66"/>
      <c r="SJN40" s="66"/>
      <c r="SJO40" s="66"/>
      <c r="SJP40" s="66"/>
      <c r="SJQ40" s="66"/>
      <c r="SJR40" s="66"/>
      <c r="SJS40" s="66"/>
      <c r="SJT40" s="66"/>
      <c r="SJU40" s="66"/>
      <c r="SJV40" s="66"/>
      <c r="SJW40" s="66"/>
      <c r="SJX40" s="66"/>
      <c r="SJY40" s="66"/>
      <c r="SJZ40" s="66"/>
      <c r="SKA40" s="66"/>
      <c r="SKB40" s="66"/>
      <c r="SKC40" s="66"/>
      <c r="SKD40" s="66"/>
      <c r="SKE40" s="66"/>
      <c r="SKF40" s="66"/>
      <c r="SKG40" s="66"/>
      <c r="SKH40" s="66"/>
      <c r="SKI40" s="66"/>
      <c r="SKJ40" s="66"/>
      <c r="SKK40" s="66"/>
      <c r="SKL40" s="66"/>
      <c r="SKM40" s="66"/>
      <c r="SKN40" s="66"/>
      <c r="SKO40" s="66"/>
      <c r="SKP40" s="66"/>
      <c r="SKQ40" s="66"/>
      <c r="SKR40" s="66"/>
      <c r="SKS40" s="66"/>
      <c r="SKT40" s="66"/>
      <c r="SKU40" s="66"/>
      <c r="SKV40" s="66"/>
      <c r="SKW40" s="66"/>
      <c r="SKX40" s="66"/>
      <c r="SKY40" s="66"/>
      <c r="SKZ40" s="66"/>
      <c r="SLA40" s="66"/>
      <c r="SLB40" s="66"/>
      <c r="SLC40" s="66"/>
      <c r="SLD40" s="66"/>
      <c r="SLE40" s="66"/>
      <c r="SLF40" s="66"/>
      <c r="SLG40" s="66"/>
      <c r="SLH40" s="66"/>
      <c r="SLI40" s="66"/>
      <c r="SLJ40" s="66"/>
      <c r="SLK40" s="66"/>
      <c r="SLL40" s="66"/>
      <c r="SLM40" s="66"/>
      <c r="SLN40" s="66"/>
      <c r="SLO40" s="66"/>
      <c r="SLP40" s="66"/>
      <c r="SLQ40" s="66"/>
      <c r="SLR40" s="66"/>
      <c r="SLS40" s="66"/>
      <c r="SLT40" s="66"/>
      <c r="SLU40" s="66"/>
      <c r="SLV40" s="66"/>
      <c r="SLW40" s="66"/>
      <c r="SLX40" s="66"/>
      <c r="SLY40" s="66"/>
      <c r="SLZ40" s="66"/>
      <c r="SMA40" s="66"/>
      <c r="SMB40" s="66"/>
      <c r="SMC40" s="66"/>
      <c r="SMD40" s="66"/>
      <c r="SME40" s="66"/>
      <c r="SMF40" s="66"/>
      <c r="SMG40" s="66"/>
      <c r="SMH40" s="66"/>
      <c r="SMI40" s="66"/>
      <c r="SMJ40" s="66"/>
      <c r="SMK40" s="66"/>
      <c r="SML40" s="66"/>
      <c r="SMM40" s="66"/>
      <c r="SMN40" s="66"/>
      <c r="SMO40" s="66"/>
      <c r="SMP40" s="66"/>
      <c r="SMQ40" s="66"/>
      <c r="SMR40" s="66"/>
      <c r="SMS40" s="66"/>
      <c r="SMT40" s="66"/>
      <c r="SMU40" s="66"/>
      <c r="SMV40" s="66"/>
      <c r="SMW40" s="66"/>
      <c r="SMX40" s="66"/>
      <c r="SMY40" s="66"/>
      <c r="SMZ40" s="66"/>
      <c r="SNA40" s="66"/>
      <c r="SNB40" s="66"/>
      <c r="SNC40" s="66"/>
      <c r="SND40" s="66"/>
      <c r="SNE40" s="66"/>
      <c r="SNF40" s="66"/>
      <c r="SNG40" s="66"/>
      <c r="SNH40" s="66"/>
      <c r="SNI40" s="66"/>
      <c r="SNJ40" s="66"/>
      <c r="SNK40" s="66"/>
      <c r="SNL40" s="66"/>
      <c r="SNM40" s="66"/>
      <c r="SNN40" s="66"/>
      <c r="SNO40" s="66"/>
      <c r="SNP40" s="66"/>
      <c r="SNQ40" s="66"/>
      <c r="SNR40" s="66"/>
      <c r="SNS40" s="66"/>
      <c r="SNT40" s="66"/>
      <c r="SNU40" s="66"/>
      <c r="SNV40" s="66"/>
      <c r="SNW40" s="66"/>
      <c r="SNX40" s="66"/>
      <c r="SNY40" s="66"/>
      <c r="SNZ40" s="66"/>
      <c r="SOA40" s="66"/>
      <c r="SOB40" s="66"/>
      <c r="SOC40" s="66"/>
      <c r="SOD40" s="66"/>
      <c r="SOE40" s="66"/>
      <c r="SOF40" s="66"/>
      <c r="SOG40" s="66"/>
      <c r="SOH40" s="66"/>
      <c r="SOI40" s="66"/>
      <c r="SOJ40" s="66"/>
      <c r="SOK40" s="66"/>
      <c r="SOL40" s="66"/>
      <c r="SOM40" s="66"/>
      <c r="SON40" s="66"/>
      <c r="SOO40" s="66"/>
      <c r="SOP40" s="66"/>
      <c r="SOQ40" s="66"/>
      <c r="SOR40" s="66"/>
      <c r="SOS40" s="66"/>
      <c r="SOT40" s="66"/>
      <c r="SOU40" s="66"/>
      <c r="SOV40" s="66"/>
      <c r="SOW40" s="66"/>
      <c r="SOX40" s="66"/>
      <c r="SOY40" s="66"/>
      <c r="SOZ40" s="66"/>
      <c r="SPA40" s="66"/>
      <c r="SPB40" s="66"/>
      <c r="SPC40" s="66"/>
      <c r="SPD40" s="66"/>
      <c r="SPE40" s="66"/>
      <c r="SPF40" s="66"/>
      <c r="SPG40" s="66"/>
      <c r="SPH40" s="66"/>
      <c r="SPI40" s="66"/>
      <c r="SPJ40" s="66"/>
      <c r="SPK40" s="66"/>
      <c r="SPL40" s="66"/>
      <c r="SPM40" s="66"/>
      <c r="SPN40" s="66"/>
      <c r="SPO40" s="66"/>
      <c r="SPP40" s="66"/>
      <c r="SPQ40" s="66"/>
      <c r="SPR40" s="66"/>
      <c r="SPS40" s="66"/>
      <c r="SPT40" s="66"/>
      <c r="SPU40" s="66"/>
      <c r="SPV40" s="66"/>
      <c r="SPW40" s="66"/>
      <c r="SPX40" s="66"/>
      <c r="SPY40" s="66"/>
      <c r="SPZ40" s="66"/>
      <c r="SQA40" s="66"/>
      <c r="SQB40" s="66"/>
      <c r="SQC40" s="66"/>
      <c r="SQD40" s="66"/>
      <c r="SQE40" s="66"/>
      <c r="SQF40" s="66"/>
      <c r="SQG40" s="66"/>
      <c r="SQH40" s="66"/>
      <c r="SQI40" s="66"/>
      <c r="SQJ40" s="66"/>
      <c r="SQK40" s="66"/>
      <c r="SQL40" s="66"/>
      <c r="SQM40" s="66"/>
      <c r="SQN40" s="66"/>
      <c r="SQO40" s="66"/>
      <c r="SQP40" s="66"/>
      <c r="SQQ40" s="66"/>
      <c r="SQR40" s="66"/>
      <c r="SQS40" s="66"/>
      <c r="SQT40" s="66"/>
      <c r="SQU40" s="66"/>
      <c r="SQV40" s="66"/>
      <c r="SQW40" s="66"/>
      <c r="SQX40" s="66"/>
      <c r="SQY40" s="66"/>
      <c r="SQZ40" s="66"/>
      <c r="SRA40" s="66"/>
      <c r="SRB40" s="66"/>
      <c r="SRC40" s="66"/>
      <c r="SRD40" s="66"/>
      <c r="SRE40" s="66"/>
      <c r="SRF40" s="66"/>
      <c r="SRG40" s="66"/>
      <c r="SRH40" s="66"/>
      <c r="SRI40" s="66"/>
      <c r="SRJ40" s="66"/>
      <c r="SRK40" s="66"/>
      <c r="SRL40" s="66"/>
      <c r="SRM40" s="66"/>
      <c r="SRN40" s="66"/>
      <c r="SRO40" s="66"/>
      <c r="SRP40" s="66"/>
      <c r="SRQ40" s="66"/>
      <c r="SRR40" s="66"/>
      <c r="SRS40" s="66"/>
      <c r="SRT40" s="66"/>
      <c r="SRU40" s="66"/>
      <c r="SRV40" s="66"/>
      <c r="SRW40" s="66"/>
      <c r="SRX40" s="66"/>
      <c r="SRY40" s="66"/>
      <c r="SRZ40" s="66"/>
      <c r="SSA40" s="66"/>
      <c r="SSB40" s="66"/>
      <c r="SSC40" s="66"/>
      <c r="SSD40" s="66"/>
      <c r="SSE40" s="66"/>
      <c r="SSF40" s="66"/>
      <c r="SSG40" s="66"/>
      <c r="SSH40" s="66"/>
      <c r="SSI40" s="66"/>
      <c r="SSJ40" s="66"/>
      <c r="SSK40" s="66"/>
      <c r="SSL40" s="66"/>
      <c r="SSM40" s="66"/>
      <c r="SSN40" s="66"/>
      <c r="SSO40" s="66"/>
      <c r="SSP40" s="66"/>
      <c r="SSQ40" s="66"/>
      <c r="SSR40" s="66"/>
      <c r="SSS40" s="66"/>
      <c r="SST40" s="66"/>
      <c r="SSU40" s="66"/>
      <c r="SSV40" s="66"/>
      <c r="SSW40" s="66"/>
      <c r="SSX40" s="66"/>
      <c r="SSY40" s="66"/>
      <c r="SSZ40" s="66"/>
      <c r="STA40" s="66"/>
      <c r="STB40" s="66"/>
      <c r="STC40" s="66"/>
      <c r="STD40" s="66"/>
      <c r="STE40" s="66"/>
      <c r="STF40" s="66"/>
      <c r="STG40" s="66"/>
      <c r="STH40" s="66"/>
      <c r="STI40" s="66"/>
      <c r="STJ40" s="66"/>
      <c r="STK40" s="66"/>
      <c r="STL40" s="66"/>
      <c r="STM40" s="66"/>
      <c r="STN40" s="66"/>
      <c r="STO40" s="66"/>
      <c r="STP40" s="66"/>
      <c r="STQ40" s="66"/>
      <c r="STR40" s="66"/>
      <c r="STS40" s="66"/>
      <c r="STT40" s="66"/>
      <c r="STU40" s="66"/>
      <c r="STV40" s="66"/>
      <c r="STW40" s="66"/>
      <c r="STX40" s="66"/>
      <c r="STY40" s="66"/>
      <c r="STZ40" s="66"/>
      <c r="SUA40" s="66"/>
      <c r="SUB40" s="66"/>
      <c r="SUC40" s="66"/>
      <c r="SUD40" s="66"/>
      <c r="SUE40" s="66"/>
      <c r="SUF40" s="66"/>
      <c r="SUG40" s="66"/>
      <c r="SUH40" s="66"/>
      <c r="SUI40" s="66"/>
      <c r="SUJ40" s="66"/>
      <c r="SUK40" s="66"/>
      <c r="SUL40" s="66"/>
      <c r="SUM40" s="66"/>
      <c r="SUN40" s="66"/>
      <c r="SUO40" s="66"/>
      <c r="SUP40" s="66"/>
      <c r="SUQ40" s="66"/>
      <c r="SUR40" s="66"/>
      <c r="SUS40" s="66"/>
      <c r="SUT40" s="66"/>
      <c r="SUU40" s="66"/>
      <c r="SUV40" s="66"/>
      <c r="SUW40" s="66"/>
      <c r="SUX40" s="66"/>
      <c r="SUY40" s="66"/>
      <c r="SUZ40" s="66"/>
      <c r="SVA40" s="66"/>
      <c r="SVB40" s="66"/>
      <c r="SVC40" s="66"/>
      <c r="SVD40" s="66"/>
      <c r="SVE40" s="66"/>
      <c r="SVF40" s="66"/>
      <c r="SVG40" s="66"/>
      <c r="SVH40" s="66"/>
      <c r="SVI40" s="66"/>
      <c r="SVJ40" s="66"/>
      <c r="SVK40" s="66"/>
      <c r="SVL40" s="66"/>
      <c r="SVM40" s="66"/>
      <c r="SVN40" s="66"/>
      <c r="SVO40" s="66"/>
      <c r="SVP40" s="66"/>
      <c r="SVQ40" s="66"/>
      <c r="SVR40" s="66"/>
      <c r="SVS40" s="66"/>
      <c r="SVT40" s="66"/>
      <c r="SVU40" s="66"/>
      <c r="SVV40" s="66"/>
      <c r="SVW40" s="66"/>
      <c r="SVX40" s="66"/>
      <c r="SVY40" s="66"/>
      <c r="SVZ40" s="66"/>
      <c r="SWA40" s="66"/>
      <c r="SWB40" s="66"/>
      <c r="SWC40" s="66"/>
      <c r="SWD40" s="66"/>
      <c r="SWE40" s="66"/>
      <c r="SWF40" s="66"/>
      <c r="SWG40" s="66"/>
      <c r="SWH40" s="66"/>
      <c r="SWI40" s="66"/>
      <c r="SWJ40" s="66"/>
      <c r="SWK40" s="66"/>
      <c r="SWL40" s="66"/>
      <c r="SWM40" s="66"/>
      <c r="SWN40" s="66"/>
      <c r="SWO40" s="66"/>
      <c r="SWP40" s="66"/>
      <c r="SWQ40" s="66"/>
      <c r="SWR40" s="66"/>
      <c r="SWS40" s="66"/>
      <c r="SWT40" s="66"/>
      <c r="SWU40" s="66"/>
      <c r="SWV40" s="66"/>
      <c r="SWW40" s="66"/>
      <c r="SWX40" s="66"/>
      <c r="SWY40" s="66"/>
      <c r="SWZ40" s="66"/>
      <c r="SXA40" s="66"/>
      <c r="SXB40" s="66"/>
      <c r="SXC40" s="66"/>
      <c r="SXD40" s="66"/>
      <c r="SXE40" s="66"/>
      <c r="SXF40" s="66"/>
      <c r="SXG40" s="66"/>
      <c r="SXH40" s="66"/>
      <c r="SXI40" s="66"/>
      <c r="SXJ40" s="66"/>
      <c r="SXK40" s="66"/>
      <c r="SXL40" s="66"/>
      <c r="SXM40" s="66"/>
      <c r="SXN40" s="66"/>
      <c r="SXO40" s="66"/>
      <c r="SXP40" s="66"/>
      <c r="SXQ40" s="66"/>
      <c r="SXR40" s="66"/>
      <c r="SXS40" s="66"/>
      <c r="SXT40" s="66"/>
      <c r="SXU40" s="66"/>
      <c r="SXV40" s="66"/>
      <c r="SXW40" s="66"/>
      <c r="SXX40" s="66"/>
      <c r="SXY40" s="66"/>
      <c r="SXZ40" s="66"/>
      <c r="SYA40" s="66"/>
      <c r="SYB40" s="66"/>
      <c r="SYC40" s="66"/>
      <c r="SYD40" s="66"/>
      <c r="SYE40" s="66"/>
      <c r="SYF40" s="66"/>
      <c r="SYG40" s="66"/>
      <c r="SYH40" s="66"/>
      <c r="SYI40" s="66"/>
      <c r="SYJ40" s="66"/>
      <c r="SYK40" s="66"/>
      <c r="SYL40" s="66"/>
      <c r="SYM40" s="66"/>
      <c r="SYN40" s="66"/>
      <c r="SYO40" s="66"/>
      <c r="SYP40" s="66"/>
      <c r="SYQ40" s="66"/>
      <c r="SYR40" s="66"/>
      <c r="SYS40" s="66"/>
      <c r="SYT40" s="66"/>
      <c r="SYU40" s="66"/>
      <c r="SYV40" s="66"/>
      <c r="SYW40" s="66"/>
      <c r="SYX40" s="66"/>
      <c r="SYY40" s="66"/>
      <c r="SYZ40" s="66"/>
      <c r="SZA40" s="66"/>
      <c r="SZB40" s="66"/>
      <c r="SZC40" s="66"/>
      <c r="SZD40" s="66"/>
      <c r="SZE40" s="66"/>
      <c r="SZF40" s="66"/>
      <c r="SZG40" s="66"/>
      <c r="SZH40" s="66"/>
      <c r="SZI40" s="66"/>
      <c r="SZJ40" s="66"/>
      <c r="SZK40" s="66"/>
      <c r="SZL40" s="66"/>
      <c r="SZM40" s="66"/>
      <c r="SZN40" s="66"/>
      <c r="SZO40" s="66"/>
      <c r="SZP40" s="66"/>
      <c r="SZQ40" s="66"/>
      <c r="SZR40" s="66"/>
      <c r="SZS40" s="66"/>
      <c r="SZT40" s="66"/>
      <c r="SZU40" s="66"/>
      <c r="SZV40" s="66"/>
      <c r="SZW40" s="66"/>
      <c r="SZX40" s="66"/>
      <c r="SZY40" s="66"/>
      <c r="SZZ40" s="66"/>
      <c r="TAA40" s="66"/>
      <c r="TAB40" s="66"/>
      <c r="TAC40" s="66"/>
      <c r="TAD40" s="66"/>
      <c r="TAE40" s="66"/>
      <c r="TAF40" s="66"/>
      <c r="TAG40" s="66"/>
      <c r="TAH40" s="66"/>
      <c r="TAI40" s="66"/>
      <c r="TAJ40" s="66"/>
      <c r="TAK40" s="66"/>
      <c r="TAL40" s="66"/>
      <c r="TAM40" s="66"/>
      <c r="TAN40" s="66"/>
      <c r="TAO40" s="66"/>
      <c r="TAP40" s="66"/>
      <c r="TAQ40" s="66"/>
      <c r="TAR40" s="66"/>
      <c r="TAS40" s="66"/>
      <c r="TAT40" s="66"/>
      <c r="TAU40" s="66"/>
      <c r="TAV40" s="66"/>
      <c r="TAW40" s="66"/>
      <c r="TAX40" s="66"/>
      <c r="TAY40" s="66"/>
      <c r="TAZ40" s="66"/>
      <c r="TBA40" s="66"/>
      <c r="TBB40" s="66"/>
      <c r="TBC40" s="66"/>
      <c r="TBD40" s="66"/>
      <c r="TBE40" s="66"/>
      <c r="TBF40" s="66"/>
      <c r="TBG40" s="66"/>
      <c r="TBH40" s="66"/>
      <c r="TBI40" s="66"/>
      <c r="TBJ40" s="66"/>
      <c r="TBK40" s="66"/>
      <c r="TBL40" s="66"/>
      <c r="TBM40" s="66"/>
      <c r="TBN40" s="66"/>
      <c r="TBO40" s="66"/>
      <c r="TBP40" s="66"/>
      <c r="TBQ40" s="66"/>
      <c r="TBR40" s="66"/>
      <c r="TBS40" s="66"/>
      <c r="TBT40" s="66"/>
      <c r="TBU40" s="66"/>
      <c r="TBV40" s="66"/>
      <c r="TBW40" s="66"/>
      <c r="TBX40" s="66"/>
      <c r="TBY40" s="66"/>
      <c r="TBZ40" s="66"/>
      <c r="TCA40" s="66"/>
      <c r="TCB40" s="66"/>
      <c r="TCC40" s="66"/>
      <c r="TCD40" s="66"/>
      <c r="TCE40" s="66"/>
      <c r="TCF40" s="66"/>
      <c r="TCG40" s="66"/>
      <c r="TCH40" s="66"/>
      <c r="TCI40" s="66"/>
      <c r="TCJ40" s="66"/>
      <c r="TCK40" s="66"/>
      <c r="TCL40" s="66"/>
      <c r="TCM40" s="66"/>
      <c r="TCN40" s="66"/>
      <c r="TCO40" s="66"/>
      <c r="TCP40" s="66"/>
      <c r="TCQ40" s="66"/>
      <c r="TCR40" s="66"/>
      <c r="TCS40" s="66"/>
      <c r="TCT40" s="66"/>
      <c r="TCU40" s="66"/>
      <c r="TCV40" s="66"/>
      <c r="TCW40" s="66"/>
      <c r="TCX40" s="66"/>
      <c r="TCY40" s="66"/>
      <c r="TCZ40" s="66"/>
      <c r="TDA40" s="66"/>
      <c r="TDB40" s="66"/>
      <c r="TDC40" s="66"/>
      <c r="TDD40" s="66"/>
      <c r="TDE40" s="66"/>
      <c r="TDF40" s="66"/>
      <c r="TDG40" s="66"/>
      <c r="TDH40" s="66"/>
      <c r="TDI40" s="66"/>
      <c r="TDJ40" s="66"/>
      <c r="TDK40" s="66"/>
      <c r="TDL40" s="66"/>
      <c r="TDM40" s="66"/>
      <c r="TDN40" s="66"/>
      <c r="TDO40" s="66"/>
      <c r="TDP40" s="66"/>
      <c r="TDQ40" s="66"/>
      <c r="TDR40" s="66"/>
      <c r="TDS40" s="66"/>
      <c r="TDT40" s="66"/>
      <c r="TDU40" s="66"/>
      <c r="TDV40" s="66"/>
      <c r="TDW40" s="66"/>
      <c r="TDX40" s="66"/>
      <c r="TDY40" s="66"/>
      <c r="TDZ40" s="66"/>
      <c r="TEA40" s="66"/>
      <c r="TEB40" s="66"/>
      <c r="TEC40" s="66"/>
      <c r="TED40" s="66"/>
      <c r="TEE40" s="66"/>
      <c r="TEF40" s="66"/>
      <c r="TEG40" s="66"/>
      <c r="TEH40" s="66"/>
      <c r="TEI40" s="66"/>
      <c r="TEJ40" s="66"/>
      <c r="TEK40" s="66"/>
      <c r="TEL40" s="66"/>
      <c r="TEM40" s="66"/>
      <c r="TEN40" s="66"/>
      <c r="TEO40" s="66"/>
      <c r="TEP40" s="66"/>
      <c r="TEQ40" s="66"/>
      <c r="TER40" s="66"/>
      <c r="TES40" s="66"/>
      <c r="TET40" s="66"/>
      <c r="TEU40" s="66"/>
      <c r="TEV40" s="66"/>
      <c r="TEW40" s="66"/>
      <c r="TEX40" s="66"/>
      <c r="TEY40" s="66"/>
      <c r="TEZ40" s="66"/>
      <c r="TFA40" s="66"/>
      <c r="TFB40" s="66"/>
      <c r="TFC40" s="66"/>
      <c r="TFD40" s="66"/>
      <c r="TFE40" s="66"/>
      <c r="TFF40" s="66"/>
      <c r="TFG40" s="66"/>
      <c r="TFH40" s="66"/>
      <c r="TFI40" s="66"/>
      <c r="TFJ40" s="66"/>
      <c r="TFK40" s="66"/>
      <c r="TFL40" s="66"/>
      <c r="TFM40" s="66"/>
      <c r="TFN40" s="66"/>
      <c r="TFO40" s="66"/>
      <c r="TFP40" s="66"/>
      <c r="TFQ40" s="66"/>
      <c r="TFR40" s="66"/>
      <c r="TFS40" s="66"/>
      <c r="TFT40" s="66"/>
      <c r="TFU40" s="66"/>
      <c r="TFV40" s="66"/>
      <c r="TFW40" s="66"/>
      <c r="TFX40" s="66"/>
      <c r="TFY40" s="66"/>
      <c r="TFZ40" s="66"/>
      <c r="TGA40" s="66"/>
      <c r="TGB40" s="66"/>
      <c r="TGC40" s="66"/>
      <c r="TGD40" s="66"/>
      <c r="TGE40" s="66"/>
      <c r="TGF40" s="66"/>
      <c r="TGG40" s="66"/>
      <c r="TGH40" s="66"/>
      <c r="TGI40" s="66"/>
      <c r="TGJ40" s="66"/>
      <c r="TGK40" s="66"/>
      <c r="TGL40" s="66"/>
      <c r="TGM40" s="66"/>
      <c r="TGN40" s="66"/>
      <c r="TGO40" s="66"/>
      <c r="TGP40" s="66"/>
      <c r="TGQ40" s="66"/>
      <c r="TGR40" s="66"/>
      <c r="TGS40" s="66"/>
      <c r="TGT40" s="66"/>
      <c r="TGU40" s="66"/>
      <c r="TGV40" s="66"/>
      <c r="TGW40" s="66"/>
      <c r="TGX40" s="66"/>
      <c r="TGY40" s="66"/>
      <c r="TGZ40" s="66"/>
      <c r="THA40" s="66"/>
      <c r="THB40" s="66"/>
      <c r="THC40" s="66"/>
      <c r="THD40" s="66"/>
      <c r="THE40" s="66"/>
      <c r="THF40" s="66"/>
      <c r="THG40" s="66"/>
      <c r="THH40" s="66"/>
      <c r="THI40" s="66"/>
      <c r="THJ40" s="66"/>
      <c r="THK40" s="66"/>
      <c r="THL40" s="66"/>
      <c r="THM40" s="66"/>
      <c r="THN40" s="66"/>
      <c r="THO40" s="66"/>
      <c r="THP40" s="66"/>
      <c r="THQ40" s="66"/>
      <c r="THR40" s="66"/>
      <c r="THS40" s="66"/>
      <c r="THT40" s="66"/>
      <c r="THU40" s="66"/>
      <c r="THV40" s="66"/>
      <c r="THW40" s="66"/>
      <c r="THX40" s="66"/>
      <c r="THY40" s="66"/>
      <c r="THZ40" s="66"/>
      <c r="TIA40" s="66"/>
      <c r="TIB40" s="66"/>
      <c r="TIC40" s="66"/>
      <c r="TID40" s="66"/>
      <c r="TIE40" s="66"/>
      <c r="TIF40" s="66"/>
      <c r="TIG40" s="66"/>
      <c r="TIH40" s="66"/>
      <c r="TII40" s="66"/>
      <c r="TIJ40" s="66"/>
      <c r="TIK40" s="66"/>
      <c r="TIL40" s="66"/>
      <c r="TIM40" s="66"/>
      <c r="TIN40" s="66"/>
      <c r="TIO40" s="66"/>
      <c r="TIP40" s="66"/>
      <c r="TIQ40" s="66"/>
      <c r="TIR40" s="66"/>
      <c r="TIS40" s="66"/>
      <c r="TIT40" s="66"/>
      <c r="TIU40" s="66"/>
      <c r="TIV40" s="66"/>
      <c r="TIW40" s="66"/>
      <c r="TIX40" s="66"/>
      <c r="TIY40" s="66"/>
      <c r="TIZ40" s="66"/>
      <c r="TJA40" s="66"/>
      <c r="TJB40" s="66"/>
      <c r="TJC40" s="66"/>
      <c r="TJD40" s="66"/>
      <c r="TJE40" s="66"/>
      <c r="TJF40" s="66"/>
      <c r="TJG40" s="66"/>
      <c r="TJH40" s="66"/>
      <c r="TJI40" s="66"/>
      <c r="TJJ40" s="66"/>
      <c r="TJK40" s="66"/>
      <c r="TJL40" s="66"/>
      <c r="TJM40" s="66"/>
      <c r="TJN40" s="66"/>
      <c r="TJO40" s="66"/>
      <c r="TJP40" s="66"/>
      <c r="TJQ40" s="66"/>
      <c r="TJR40" s="66"/>
      <c r="TJS40" s="66"/>
      <c r="TJT40" s="66"/>
      <c r="TJU40" s="66"/>
      <c r="TJV40" s="66"/>
      <c r="TJW40" s="66"/>
      <c r="TJX40" s="66"/>
      <c r="TJY40" s="66"/>
      <c r="TJZ40" s="66"/>
      <c r="TKA40" s="66"/>
      <c r="TKB40" s="66"/>
      <c r="TKC40" s="66"/>
      <c r="TKD40" s="66"/>
      <c r="TKE40" s="66"/>
      <c r="TKF40" s="66"/>
      <c r="TKG40" s="66"/>
      <c r="TKH40" s="66"/>
      <c r="TKI40" s="66"/>
      <c r="TKJ40" s="66"/>
      <c r="TKK40" s="66"/>
      <c r="TKL40" s="66"/>
      <c r="TKM40" s="66"/>
      <c r="TKN40" s="66"/>
      <c r="TKO40" s="66"/>
      <c r="TKP40" s="66"/>
      <c r="TKQ40" s="66"/>
      <c r="TKR40" s="66"/>
      <c r="TKS40" s="66"/>
      <c r="TKT40" s="66"/>
      <c r="TKU40" s="66"/>
      <c r="TKV40" s="66"/>
      <c r="TKW40" s="66"/>
      <c r="TKX40" s="66"/>
      <c r="TKY40" s="66"/>
      <c r="TKZ40" s="66"/>
      <c r="TLA40" s="66"/>
      <c r="TLB40" s="66"/>
      <c r="TLC40" s="66"/>
      <c r="TLD40" s="66"/>
      <c r="TLE40" s="66"/>
      <c r="TLF40" s="66"/>
      <c r="TLG40" s="66"/>
      <c r="TLH40" s="66"/>
      <c r="TLI40" s="66"/>
      <c r="TLJ40" s="66"/>
      <c r="TLK40" s="66"/>
      <c r="TLL40" s="66"/>
      <c r="TLM40" s="66"/>
      <c r="TLN40" s="66"/>
      <c r="TLO40" s="66"/>
      <c r="TLP40" s="66"/>
      <c r="TLQ40" s="66"/>
      <c r="TLR40" s="66"/>
      <c r="TLS40" s="66"/>
      <c r="TLT40" s="66"/>
      <c r="TLU40" s="66"/>
      <c r="TLV40" s="66"/>
      <c r="TLW40" s="66"/>
      <c r="TLX40" s="66"/>
      <c r="TLY40" s="66"/>
      <c r="TLZ40" s="66"/>
      <c r="TMA40" s="66"/>
      <c r="TMB40" s="66"/>
      <c r="TMC40" s="66"/>
      <c r="TMD40" s="66"/>
      <c r="TME40" s="66"/>
      <c r="TMF40" s="66"/>
      <c r="TMG40" s="66"/>
      <c r="TMH40" s="66"/>
      <c r="TMI40" s="66"/>
      <c r="TMJ40" s="66"/>
      <c r="TMK40" s="66"/>
      <c r="TML40" s="66"/>
      <c r="TMM40" s="66"/>
      <c r="TMN40" s="66"/>
      <c r="TMO40" s="66"/>
      <c r="TMP40" s="66"/>
      <c r="TMQ40" s="66"/>
      <c r="TMR40" s="66"/>
      <c r="TMS40" s="66"/>
      <c r="TMT40" s="66"/>
      <c r="TMU40" s="66"/>
      <c r="TMV40" s="66"/>
      <c r="TMW40" s="66"/>
      <c r="TMX40" s="66"/>
      <c r="TMY40" s="66"/>
      <c r="TMZ40" s="66"/>
      <c r="TNA40" s="66"/>
      <c r="TNB40" s="66"/>
      <c r="TNC40" s="66"/>
      <c r="TND40" s="66"/>
      <c r="TNE40" s="66"/>
      <c r="TNF40" s="66"/>
      <c r="TNG40" s="66"/>
      <c r="TNH40" s="66"/>
      <c r="TNI40" s="66"/>
      <c r="TNJ40" s="66"/>
      <c r="TNK40" s="66"/>
      <c r="TNL40" s="66"/>
      <c r="TNM40" s="66"/>
      <c r="TNN40" s="66"/>
      <c r="TNO40" s="66"/>
      <c r="TNP40" s="66"/>
      <c r="TNQ40" s="66"/>
      <c r="TNR40" s="66"/>
      <c r="TNS40" s="66"/>
      <c r="TNT40" s="66"/>
      <c r="TNU40" s="66"/>
      <c r="TNV40" s="66"/>
      <c r="TNW40" s="66"/>
      <c r="TNX40" s="66"/>
      <c r="TNY40" s="66"/>
      <c r="TNZ40" s="66"/>
      <c r="TOA40" s="66"/>
      <c r="TOB40" s="66"/>
      <c r="TOC40" s="66"/>
      <c r="TOD40" s="66"/>
      <c r="TOE40" s="66"/>
      <c r="TOF40" s="66"/>
      <c r="TOG40" s="66"/>
      <c r="TOH40" s="66"/>
      <c r="TOI40" s="66"/>
      <c r="TOJ40" s="66"/>
      <c r="TOK40" s="66"/>
      <c r="TOL40" s="66"/>
      <c r="TOM40" s="66"/>
      <c r="TON40" s="66"/>
      <c r="TOO40" s="66"/>
      <c r="TOP40" s="66"/>
      <c r="TOQ40" s="66"/>
      <c r="TOR40" s="66"/>
      <c r="TOS40" s="66"/>
      <c r="TOT40" s="66"/>
      <c r="TOU40" s="66"/>
      <c r="TOV40" s="66"/>
      <c r="TOW40" s="66"/>
      <c r="TOX40" s="66"/>
      <c r="TOY40" s="66"/>
      <c r="TOZ40" s="66"/>
      <c r="TPA40" s="66"/>
      <c r="TPB40" s="66"/>
      <c r="TPC40" s="66"/>
      <c r="TPD40" s="66"/>
      <c r="TPE40" s="66"/>
      <c r="TPF40" s="66"/>
      <c r="TPG40" s="66"/>
      <c r="TPH40" s="66"/>
      <c r="TPI40" s="66"/>
      <c r="TPJ40" s="66"/>
      <c r="TPK40" s="66"/>
      <c r="TPL40" s="66"/>
      <c r="TPM40" s="66"/>
      <c r="TPN40" s="66"/>
      <c r="TPO40" s="66"/>
      <c r="TPP40" s="66"/>
      <c r="TPQ40" s="66"/>
      <c r="TPR40" s="66"/>
      <c r="TPS40" s="66"/>
      <c r="TPT40" s="66"/>
      <c r="TPU40" s="66"/>
      <c r="TPV40" s="66"/>
      <c r="TPW40" s="66"/>
      <c r="TPX40" s="66"/>
      <c r="TPY40" s="66"/>
      <c r="TPZ40" s="66"/>
      <c r="TQA40" s="66"/>
      <c r="TQB40" s="66"/>
      <c r="TQC40" s="66"/>
      <c r="TQD40" s="66"/>
      <c r="TQE40" s="66"/>
      <c r="TQF40" s="66"/>
      <c r="TQG40" s="66"/>
      <c r="TQH40" s="66"/>
      <c r="TQI40" s="66"/>
      <c r="TQJ40" s="66"/>
      <c r="TQK40" s="66"/>
      <c r="TQL40" s="66"/>
      <c r="TQM40" s="66"/>
      <c r="TQN40" s="66"/>
      <c r="TQO40" s="66"/>
      <c r="TQP40" s="66"/>
      <c r="TQQ40" s="66"/>
      <c r="TQR40" s="66"/>
      <c r="TQS40" s="66"/>
      <c r="TQT40" s="66"/>
      <c r="TQU40" s="66"/>
      <c r="TQV40" s="66"/>
      <c r="TQW40" s="66"/>
      <c r="TQX40" s="66"/>
      <c r="TQY40" s="66"/>
      <c r="TQZ40" s="66"/>
      <c r="TRA40" s="66"/>
      <c r="TRB40" s="66"/>
      <c r="TRC40" s="66"/>
      <c r="TRD40" s="66"/>
      <c r="TRE40" s="66"/>
      <c r="TRF40" s="66"/>
      <c r="TRG40" s="66"/>
      <c r="TRH40" s="66"/>
      <c r="TRI40" s="66"/>
      <c r="TRJ40" s="66"/>
      <c r="TRK40" s="66"/>
      <c r="TRL40" s="66"/>
      <c r="TRM40" s="66"/>
      <c r="TRN40" s="66"/>
      <c r="TRO40" s="66"/>
      <c r="TRP40" s="66"/>
      <c r="TRQ40" s="66"/>
      <c r="TRR40" s="66"/>
      <c r="TRS40" s="66"/>
      <c r="TRT40" s="66"/>
      <c r="TRU40" s="66"/>
      <c r="TRV40" s="66"/>
      <c r="TRW40" s="66"/>
      <c r="TRX40" s="66"/>
      <c r="TRY40" s="66"/>
      <c r="TRZ40" s="66"/>
      <c r="TSA40" s="66"/>
      <c r="TSB40" s="66"/>
      <c r="TSC40" s="66"/>
      <c r="TSD40" s="66"/>
      <c r="TSE40" s="66"/>
      <c r="TSF40" s="66"/>
      <c r="TSG40" s="66"/>
      <c r="TSH40" s="66"/>
      <c r="TSI40" s="66"/>
      <c r="TSJ40" s="66"/>
      <c r="TSK40" s="66"/>
      <c r="TSL40" s="66"/>
      <c r="TSM40" s="66"/>
      <c r="TSN40" s="66"/>
      <c r="TSO40" s="66"/>
      <c r="TSP40" s="66"/>
      <c r="TSQ40" s="66"/>
      <c r="TSR40" s="66"/>
      <c r="TSS40" s="66"/>
      <c r="TST40" s="66"/>
      <c r="TSU40" s="66"/>
      <c r="TSV40" s="66"/>
      <c r="TSW40" s="66"/>
      <c r="TSX40" s="66"/>
      <c r="TSY40" s="66"/>
      <c r="TSZ40" s="66"/>
      <c r="TTA40" s="66"/>
      <c r="TTB40" s="66"/>
      <c r="TTC40" s="66"/>
      <c r="TTD40" s="66"/>
      <c r="TTE40" s="66"/>
      <c r="TTF40" s="66"/>
      <c r="TTG40" s="66"/>
      <c r="TTH40" s="66"/>
      <c r="TTI40" s="66"/>
      <c r="TTJ40" s="66"/>
      <c r="TTK40" s="66"/>
      <c r="TTL40" s="66"/>
      <c r="TTM40" s="66"/>
      <c r="TTN40" s="66"/>
      <c r="TTO40" s="66"/>
      <c r="TTP40" s="66"/>
      <c r="TTQ40" s="66"/>
      <c r="TTR40" s="66"/>
      <c r="TTS40" s="66"/>
      <c r="TTT40" s="66"/>
      <c r="TTU40" s="66"/>
      <c r="TTV40" s="66"/>
      <c r="TTW40" s="66"/>
      <c r="TTX40" s="66"/>
      <c r="TTY40" s="66"/>
      <c r="TTZ40" s="66"/>
      <c r="TUA40" s="66"/>
      <c r="TUB40" s="66"/>
      <c r="TUC40" s="66"/>
      <c r="TUD40" s="66"/>
      <c r="TUE40" s="66"/>
      <c r="TUF40" s="66"/>
      <c r="TUG40" s="66"/>
      <c r="TUH40" s="66"/>
      <c r="TUI40" s="66"/>
      <c r="TUJ40" s="66"/>
      <c r="TUK40" s="66"/>
      <c r="TUL40" s="66"/>
      <c r="TUM40" s="66"/>
      <c r="TUN40" s="66"/>
      <c r="TUO40" s="66"/>
      <c r="TUP40" s="66"/>
      <c r="TUQ40" s="66"/>
      <c r="TUR40" s="66"/>
      <c r="TUS40" s="66"/>
      <c r="TUT40" s="66"/>
      <c r="TUU40" s="66"/>
      <c r="TUV40" s="66"/>
      <c r="TUW40" s="66"/>
      <c r="TUX40" s="66"/>
      <c r="TUY40" s="66"/>
      <c r="TUZ40" s="66"/>
      <c r="TVA40" s="66"/>
      <c r="TVB40" s="66"/>
      <c r="TVC40" s="66"/>
      <c r="TVD40" s="66"/>
      <c r="TVE40" s="66"/>
      <c r="TVF40" s="66"/>
      <c r="TVG40" s="66"/>
      <c r="TVH40" s="66"/>
      <c r="TVI40" s="66"/>
      <c r="TVJ40" s="66"/>
      <c r="TVK40" s="66"/>
      <c r="TVL40" s="66"/>
      <c r="TVM40" s="66"/>
      <c r="TVN40" s="66"/>
      <c r="TVO40" s="66"/>
      <c r="TVP40" s="66"/>
      <c r="TVQ40" s="66"/>
      <c r="TVR40" s="66"/>
      <c r="TVS40" s="66"/>
      <c r="TVT40" s="66"/>
      <c r="TVU40" s="66"/>
      <c r="TVV40" s="66"/>
      <c r="TVW40" s="66"/>
      <c r="TVX40" s="66"/>
      <c r="TVY40" s="66"/>
      <c r="TVZ40" s="66"/>
      <c r="TWA40" s="66"/>
      <c r="TWB40" s="66"/>
      <c r="TWC40" s="66"/>
      <c r="TWD40" s="66"/>
      <c r="TWE40" s="66"/>
      <c r="TWF40" s="66"/>
      <c r="TWG40" s="66"/>
      <c r="TWH40" s="66"/>
      <c r="TWI40" s="66"/>
      <c r="TWJ40" s="66"/>
      <c r="TWK40" s="66"/>
      <c r="TWL40" s="66"/>
      <c r="TWM40" s="66"/>
      <c r="TWN40" s="66"/>
      <c r="TWO40" s="66"/>
      <c r="TWP40" s="66"/>
      <c r="TWQ40" s="66"/>
      <c r="TWR40" s="66"/>
      <c r="TWS40" s="66"/>
      <c r="TWT40" s="66"/>
      <c r="TWU40" s="66"/>
      <c r="TWV40" s="66"/>
      <c r="TWW40" s="66"/>
      <c r="TWX40" s="66"/>
      <c r="TWY40" s="66"/>
      <c r="TWZ40" s="66"/>
      <c r="TXA40" s="66"/>
      <c r="TXB40" s="66"/>
      <c r="TXC40" s="66"/>
      <c r="TXD40" s="66"/>
      <c r="TXE40" s="66"/>
      <c r="TXF40" s="66"/>
      <c r="TXG40" s="66"/>
      <c r="TXH40" s="66"/>
      <c r="TXI40" s="66"/>
      <c r="TXJ40" s="66"/>
      <c r="TXK40" s="66"/>
      <c r="TXL40" s="66"/>
      <c r="TXM40" s="66"/>
      <c r="TXN40" s="66"/>
      <c r="TXO40" s="66"/>
      <c r="TXP40" s="66"/>
      <c r="TXQ40" s="66"/>
      <c r="TXR40" s="66"/>
      <c r="TXS40" s="66"/>
      <c r="TXT40" s="66"/>
      <c r="TXU40" s="66"/>
      <c r="TXV40" s="66"/>
      <c r="TXW40" s="66"/>
      <c r="TXX40" s="66"/>
      <c r="TXY40" s="66"/>
      <c r="TXZ40" s="66"/>
      <c r="TYA40" s="66"/>
      <c r="TYB40" s="66"/>
      <c r="TYC40" s="66"/>
      <c r="TYD40" s="66"/>
      <c r="TYE40" s="66"/>
      <c r="TYF40" s="66"/>
      <c r="TYG40" s="66"/>
      <c r="TYH40" s="66"/>
      <c r="TYI40" s="66"/>
      <c r="TYJ40" s="66"/>
      <c r="TYK40" s="66"/>
      <c r="TYL40" s="66"/>
      <c r="TYM40" s="66"/>
      <c r="TYN40" s="66"/>
      <c r="TYO40" s="66"/>
      <c r="TYP40" s="66"/>
      <c r="TYQ40" s="66"/>
      <c r="TYR40" s="66"/>
      <c r="TYS40" s="66"/>
      <c r="TYT40" s="66"/>
      <c r="TYU40" s="66"/>
      <c r="TYV40" s="66"/>
      <c r="TYW40" s="66"/>
      <c r="TYX40" s="66"/>
      <c r="TYY40" s="66"/>
      <c r="TYZ40" s="66"/>
      <c r="TZA40" s="66"/>
      <c r="TZB40" s="66"/>
      <c r="TZC40" s="66"/>
      <c r="TZD40" s="66"/>
      <c r="TZE40" s="66"/>
      <c r="TZF40" s="66"/>
      <c r="TZG40" s="66"/>
      <c r="TZH40" s="66"/>
      <c r="TZI40" s="66"/>
      <c r="TZJ40" s="66"/>
      <c r="TZK40" s="66"/>
      <c r="TZL40" s="66"/>
      <c r="TZM40" s="66"/>
      <c r="TZN40" s="66"/>
      <c r="TZO40" s="66"/>
      <c r="TZP40" s="66"/>
      <c r="TZQ40" s="66"/>
      <c r="TZR40" s="66"/>
      <c r="TZS40" s="66"/>
      <c r="TZT40" s="66"/>
      <c r="TZU40" s="66"/>
      <c r="TZV40" s="66"/>
      <c r="TZW40" s="66"/>
      <c r="TZX40" s="66"/>
      <c r="TZY40" s="66"/>
      <c r="TZZ40" s="66"/>
      <c r="UAA40" s="66"/>
      <c r="UAB40" s="66"/>
      <c r="UAC40" s="66"/>
      <c r="UAD40" s="66"/>
      <c r="UAE40" s="66"/>
      <c r="UAF40" s="66"/>
      <c r="UAG40" s="66"/>
      <c r="UAH40" s="66"/>
      <c r="UAI40" s="66"/>
      <c r="UAJ40" s="66"/>
      <c r="UAK40" s="66"/>
      <c r="UAL40" s="66"/>
      <c r="UAM40" s="66"/>
      <c r="UAN40" s="66"/>
      <c r="UAO40" s="66"/>
      <c r="UAP40" s="66"/>
      <c r="UAQ40" s="66"/>
      <c r="UAR40" s="66"/>
      <c r="UAS40" s="66"/>
      <c r="UAT40" s="66"/>
      <c r="UAU40" s="66"/>
      <c r="UAV40" s="66"/>
      <c r="UAW40" s="66"/>
      <c r="UAX40" s="66"/>
      <c r="UAY40" s="66"/>
      <c r="UAZ40" s="66"/>
      <c r="UBA40" s="66"/>
      <c r="UBB40" s="66"/>
      <c r="UBC40" s="66"/>
      <c r="UBD40" s="66"/>
      <c r="UBE40" s="66"/>
      <c r="UBF40" s="66"/>
      <c r="UBG40" s="66"/>
      <c r="UBH40" s="66"/>
      <c r="UBI40" s="66"/>
      <c r="UBJ40" s="66"/>
      <c r="UBK40" s="66"/>
      <c r="UBL40" s="66"/>
      <c r="UBM40" s="66"/>
      <c r="UBN40" s="66"/>
      <c r="UBO40" s="66"/>
      <c r="UBP40" s="66"/>
      <c r="UBQ40" s="66"/>
      <c r="UBR40" s="66"/>
      <c r="UBS40" s="66"/>
      <c r="UBT40" s="66"/>
      <c r="UBU40" s="66"/>
      <c r="UBV40" s="66"/>
      <c r="UBW40" s="66"/>
      <c r="UBX40" s="66"/>
      <c r="UBY40" s="66"/>
      <c r="UBZ40" s="66"/>
      <c r="UCA40" s="66"/>
      <c r="UCB40" s="66"/>
      <c r="UCC40" s="66"/>
      <c r="UCD40" s="66"/>
      <c r="UCE40" s="66"/>
      <c r="UCF40" s="66"/>
      <c r="UCG40" s="66"/>
      <c r="UCH40" s="66"/>
      <c r="UCI40" s="66"/>
      <c r="UCJ40" s="66"/>
      <c r="UCK40" s="66"/>
      <c r="UCL40" s="66"/>
      <c r="UCM40" s="66"/>
      <c r="UCN40" s="66"/>
      <c r="UCO40" s="66"/>
      <c r="UCP40" s="66"/>
      <c r="UCQ40" s="66"/>
      <c r="UCR40" s="66"/>
      <c r="UCS40" s="66"/>
      <c r="UCT40" s="66"/>
      <c r="UCU40" s="66"/>
      <c r="UCV40" s="66"/>
      <c r="UCW40" s="66"/>
      <c r="UCX40" s="66"/>
      <c r="UCY40" s="66"/>
      <c r="UCZ40" s="66"/>
      <c r="UDA40" s="66"/>
      <c r="UDB40" s="66"/>
      <c r="UDC40" s="66"/>
      <c r="UDD40" s="66"/>
      <c r="UDE40" s="66"/>
      <c r="UDF40" s="66"/>
      <c r="UDG40" s="66"/>
      <c r="UDH40" s="66"/>
      <c r="UDI40" s="66"/>
      <c r="UDJ40" s="66"/>
      <c r="UDK40" s="66"/>
      <c r="UDL40" s="66"/>
      <c r="UDM40" s="66"/>
      <c r="UDN40" s="66"/>
      <c r="UDO40" s="66"/>
      <c r="UDP40" s="66"/>
      <c r="UDQ40" s="66"/>
      <c r="UDR40" s="66"/>
      <c r="UDS40" s="66"/>
      <c r="UDT40" s="66"/>
      <c r="UDU40" s="66"/>
      <c r="UDV40" s="66"/>
      <c r="UDW40" s="66"/>
      <c r="UDX40" s="66"/>
      <c r="UDY40" s="66"/>
      <c r="UDZ40" s="66"/>
      <c r="UEA40" s="66"/>
      <c r="UEB40" s="66"/>
      <c r="UEC40" s="66"/>
      <c r="UED40" s="66"/>
      <c r="UEE40" s="66"/>
      <c r="UEF40" s="66"/>
      <c r="UEG40" s="66"/>
      <c r="UEH40" s="66"/>
      <c r="UEI40" s="66"/>
      <c r="UEJ40" s="66"/>
      <c r="UEK40" s="66"/>
      <c r="UEL40" s="66"/>
      <c r="UEM40" s="66"/>
      <c r="UEN40" s="66"/>
      <c r="UEO40" s="66"/>
      <c r="UEP40" s="66"/>
      <c r="UEQ40" s="66"/>
      <c r="UER40" s="66"/>
      <c r="UES40" s="66"/>
      <c r="UET40" s="66"/>
      <c r="UEU40" s="66"/>
      <c r="UEV40" s="66"/>
      <c r="UEW40" s="66"/>
      <c r="UEX40" s="66"/>
      <c r="UEY40" s="66"/>
      <c r="UEZ40" s="66"/>
      <c r="UFA40" s="66"/>
      <c r="UFB40" s="66"/>
      <c r="UFC40" s="66"/>
      <c r="UFD40" s="66"/>
      <c r="UFE40" s="66"/>
      <c r="UFF40" s="66"/>
      <c r="UFG40" s="66"/>
      <c r="UFH40" s="66"/>
      <c r="UFI40" s="66"/>
      <c r="UFJ40" s="66"/>
      <c r="UFK40" s="66"/>
      <c r="UFL40" s="66"/>
      <c r="UFM40" s="66"/>
      <c r="UFN40" s="66"/>
      <c r="UFO40" s="66"/>
      <c r="UFP40" s="66"/>
      <c r="UFQ40" s="66"/>
      <c r="UFR40" s="66"/>
      <c r="UFS40" s="66"/>
      <c r="UFT40" s="66"/>
      <c r="UFU40" s="66"/>
      <c r="UFV40" s="66"/>
      <c r="UFW40" s="66"/>
      <c r="UFX40" s="66"/>
      <c r="UFY40" s="66"/>
      <c r="UFZ40" s="66"/>
      <c r="UGA40" s="66"/>
      <c r="UGB40" s="66"/>
      <c r="UGC40" s="66"/>
      <c r="UGD40" s="66"/>
      <c r="UGE40" s="66"/>
      <c r="UGF40" s="66"/>
      <c r="UGG40" s="66"/>
      <c r="UGH40" s="66"/>
      <c r="UGI40" s="66"/>
      <c r="UGJ40" s="66"/>
      <c r="UGK40" s="66"/>
      <c r="UGL40" s="66"/>
      <c r="UGM40" s="66"/>
      <c r="UGN40" s="66"/>
      <c r="UGO40" s="66"/>
      <c r="UGP40" s="66"/>
      <c r="UGQ40" s="66"/>
      <c r="UGR40" s="66"/>
      <c r="UGS40" s="66"/>
      <c r="UGT40" s="66"/>
      <c r="UGU40" s="66"/>
      <c r="UGV40" s="66"/>
      <c r="UGW40" s="66"/>
      <c r="UGX40" s="66"/>
      <c r="UGY40" s="66"/>
      <c r="UGZ40" s="66"/>
      <c r="UHA40" s="66"/>
      <c r="UHB40" s="66"/>
      <c r="UHC40" s="66"/>
      <c r="UHD40" s="66"/>
      <c r="UHE40" s="66"/>
      <c r="UHF40" s="66"/>
      <c r="UHG40" s="66"/>
      <c r="UHH40" s="66"/>
      <c r="UHI40" s="66"/>
      <c r="UHJ40" s="66"/>
      <c r="UHK40" s="66"/>
      <c r="UHL40" s="66"/>
      <c r="UHM40" s="66"/>
      <c r="UHN40" s="66"/>
      <c r="UHO40" s="66"/>
      <c r="UHP40" s="66"/>
      <c r="UHQ40" s="66"/>
      <c r="UHR40" s="66"/>
      <c r="UHS40" s="66"/>
      <c r="UHT40" s="66"/>
      <c r="UHU40" s="66"/>
      <c r="UHV40" s="66"/>
      <c r="UHW40" s="66"/>
      <c r="UHX40" s="66"/>
      <c r="UHY40" s="66"/>
      <c r="UHZ40" s="66"/>
      <c r="UIA40" s="66"/>
      <c r="UIB40" s="66"/>
      <c r="UIC40" s="66"/>
      <c r="UID40" s="66"/>
      <c r="UIE40" s="66"/>
      <c r="UIF40" s="66"/>
      <c r="UIG40" s="66"/>
      <c r="UIH40" s="66"/>
      <c r="UII40" s="66"/>
      <c r="UIJ40" s="66"/>
      <c r="UIK40" s="66"/>
      <c r="UIL40" s="66"/>
      <c r="UIM40" s="66"/>
      <c r="UIN40" s="66"/>
      <c r="UIO40" s="66"/>
      <c r="UIP40" s="66"/>
      <c r="UIQ40" s="66"/>
      <c r="UIR40" s="66"/>
      <c r="UIS40" s="66"/>
      <c r="UIT40" s="66"/>
      <c r="UIU40" s="66"/>
      <c r="UIV40" s="66"/>
      <c r="UIW40" s="66"/>
      <c r="UIX40" s="66"/>
      <c r="UIY40" s="66"/>
      <c r="UIZ40" s="66"/>
      <c r="UJA40" s="66"/>
      <c r="UJB40" s="66"/>
      <c r="UJC40" s="66"/>
      <c r="UJD40" s="66"/>
      <c r="UJE40" s="66"/>
      <c r="UJF40" s="66"/>
      <c r="UJG40" s="66"/>
      <c r="UJH40" s="66"/>
      <c r="UJI40" s="66"/>
      <c r="UJJ40" s="66"/>
      <c r="UJK40" s="66"/>
      <c r="UJL40" s="66"/>
      <c r="UJM40" s="66"/>
      <c r="UJN40" s="66"/>
      <c r="UJO40" s="66"/>
      <c r="UJP40" s="66"/>
      <c r="UJQ40" s="66"/>
      <c r="UJR40" s="66"/>
      <c r="UJS40" s="66"/>
      <c r="UJT40" s="66"/>
      <c r="UJU40" s="66"/>
      <c r="UJV40" s="66"/>
      <c r="UJW40" s="66"/>
      <c r="UJX40" s="66"/>
      <c r="UJY40" s="66"/>
      <c r="UJZ40" s="66"/>
      <c r="UKA40" s="66"/>
      <c r="UKB40" s="66"/>
      <c r="UKC40" s="66"/>
      <c r="UKD40" s="66"/>
      <c r="UKE40" s="66"/>
      <c r="UKF40" s="66"/>
      <c r="UKG40" s="66"/>
      <c r="UKH40" s="66"/>
      <c r="UKI40" s="66"/>
      <c r="UKJ40" s="66"/>
      <c r="UKK40" s="66"/>
      <c r="UKL40" s="66"/>
      <c r="UKM40" s="66"/>
      <c r="UKN40" s="66"/>
      <c r="UKO40" s="66"/>
      <c r="UKP40" s="66"/>
      <c r="UKQ40" s="66"/>
      <c r="UKR40" s="66"/>
      <c r="UKS40" s="66"/>
      <c r="UKT40" s="66"/>
      <c r="UKU40" s="66"/>
      <c r="UKV40" s="66"/>
      <c r="UKW40" s="66"/>
      <c r="UKX40" s="66"/>
      <c r="UKY40" s="66"/>
      <c r="UKZ40" s="66"/>
      <c r="ULA40" s="66"/>
      <c r="ULB40" s="66"/>
      <c r="ULC40" s="66"/>
      <c r="ULD40" s="66"/>
      <c r="ULE40" s="66"/>
      <c r="ULF40" s="66"/>
      <c r="ULG40" s="66"/>
      <c r="ULH40" s="66"/>
      <c r="ULI40" s="66"/>
      <c r="ULJ40" s="66"/>
      <c r="ULK40" s="66"/>
      <c r="ULL40" s="66"/>
      <c r="ULM40" s="66"/>
      <c r="ULN40" s="66"/>
      <c r="ULO40" s="66"/>
      <c r="ULP40" s="66"/>
      <c r="ULQ40" s="66"/>
      <c r="ULR40" s="66"/>
      <c r="ULS40" s="66"/>
      <c r="ULT40" s="66"/>
      <c r="ULU40" s="66"/>
      <c r="ULV40" s="66"/>
      <c r="ULW40" s="66"/>
      <c r="ULX40" s="66"/>
      <c r="ULY40" s="66"/>
      <c r="ULZ40" s="66"/>
      <c r="UMA40" s="66"/>
      <c r="UMB40" s="66"/>
      <c r="UMC40" s="66"/>
      <c r="UMD40" s="66"/>
      <c r="UME40" s="66"/>
      <c r="UMF40" s="66"/>
      <c r="UMG40" s="66"/>
      <c r="UMH40" s="66"/>
      <c r="UMI40" s="66"/>
      <c r="UMJ40" s="66"/>
      <c r="UMK40" s="66"/>
      <c r="UML40" s="66"/>
      <c r="UMM40" s="66"/>
      <c r="UMN40" s="66"/>
      <c r="UMO40" s="66"/>
      <c r="UMP40" s="66"/>
      <c r="UMQ40" s="66"/>
      <c r="UMR40" s="66"/>
      <c r="UMS40" s="66"/>
      <c r="UMT40" s="66"/>
      <c r="UMU40" s="66"/>
      <c r="UMV40" s="66"/>
      <c r="UMW40" s="66"/>
      <c r="UMX40" s="66"/>
      <c r="UMY40" s="66"/>
      <c r="UMZ40" s="66"/>
      <c r="UNA40" s="66"/>
      <c r="UNB40" s="66"/>
      <c r="UNC40" s="66"/>
      <c r="UND40" s="66"/>
      <c r="UNE40" s="66"/>
      <c r="UNF40" s="66"/>
      <c r="UNG40" s="66"/>
      <c r="UNH40" s="66"/>
      <c r="UNI40" s="66"/>
      <c r="UNJ40" s="66"/>
      <c r="UNK40" s="66"/>
      <c r="UNL40" s="66"/>
      <c r="UNM40" s="66"/>
      <c r="UNN40" s="66"/>
      <c r="UNO40" s="66"/>
      <c r="UNP40" s="66"/>
      <c r="UNQ40" s="66"/>
      <c r="UNR40" s="66"/>
      <c r="UNS40" s="66"/>
      <c r="UNT40" s="66"/>
      <c r="UNU40" s="66"/>
      <c r="UNV40" s="66"/>
      <c r="UNW40" s="66"/>
      <c r="UNX40" s="66"/>
      <c r="UNY40" s="66"/>
      <c r="UNZ40" s="66"/>
      <c r="UOA40" s="66"/>
      <c r="UOB40" s="66"/>
      <c r="UOC40" s="66"/>
      <c r="UOD40" s="66"/>
      <c r="UOE40" s="66"/>
      <c r="UOF40" s="66"/>
      <c r="UOG40" s="66"/>
      <c r="UOH40" s="66"/>
      <c r="UOI40" s="66"/>
      <c r="UOJ40" s="66"/>
      <c r="UOK40" s="66"/>
      <c r="UOL40" s="66"/>
      <c r="UOM40" s="66"/>
      <c r="UON40" s="66"/>
      <c r="UOO40" s="66"/>
      <c r="UOP40" s="66"/>
      <c r="UOQ40" s="66"/>
      <c r="UOR40" s="66"/>
      <c r="UOS40" s="66"/>
      <c r="UOT40" s="66"/>
      <c r="UOU40" s="66"/>
      <c r="UOV40" s="66"/>
      <c r="UOW40" s="66"/>
      <c r="UOX40" s="66"/>
      <c r="UOY40" s="66"/>
      <c r="UOZ40" s="66"/>
      <c r="UPA40" s="66"/>
      <c r="UPB40" s="66"/>
      <c r="UPC40" s="66"/>
      <c r="UPD40" s="66"/>
      <c r="UPE40" s="66"/>
      <c r="UPF40" s="66"/>
      <c r="UPG40" s="66"/>
      <c r="UPH40" s="66"/>
      <c r="UPI40" s="66"/>
      <c r="UPJ40" s="66"/>
      <c r="UPK40" s="66"/>
      <c r="UPL40" s="66"/>
      <c r="UPM40" s="66"/>
      <c r="UPN40" s="66"/>
      <c r="UPO40" s="66"/>
      <c r="UPP40" s="66"/>
      <c r="UPQ40" s="66"/>
      <c r="UPR40" s="66"/>
      <c r="UPS40" s="66"/>
      <c r="UPT40" s="66"/>
      <c r="UPU40" s="66"/>
      <c r="UPV40" s="66"/>
      <c r="UPW40" s="66"/>
      <c r="UPX40" s="66"/>
      <c r="UPY40" s="66"/>
      <c r="UPZ40" s="66"/>
      <c r="UQA40" s="66"/>
      <c r="UQB40" s="66"/>
      <c r="UQC40" s="66"/>
      <c r="UQD40" s="66"/>
      <c r="UQE40" s="66"/>
      <c r="UQF40" s="66"/>
      <c r="UQG40" s="66"/>
      <c r="UQH40" s="66"/>
      <c r="UQI40" s="66"/>
      <c r="UQJ40" s="66"/>
      <c r="UQK40" s="66"/>
      <c r="UQL40" s="66"/>
      <c r="UQM40" s="66"/>
      <c r="UQN40" s="66"/>
      <c r="UQO40" s="66"/>
      <c r="UQP40" s="66"/>
      <c r="UQQ40" s="66"/>
      <c r="UQR40" s="66"/>
      <c r="UQS40" s="66"/>
      <c r="UQT40" s="66"/>
      <c r="UQU40" s="66"/>
      <c r="UQV40" s="66"/>
      <c r="UQW40" s="66"/>
      <c r="UQX40" s="66"/>
      <c r="UQY40" s="66"/>
      <c r="UQZ40" s="66"/>
      <c r="URA40" s="66"/>
      <c r="URB40" s="66"/>
      <c r="URC40" s="66"/>
      <c r="URD40" s="66"/>
      <c r="URE40" s="66"/>
      <c r="URF40" s="66"/>
      <c r="URG40" s="66"/>
      <c r="URH40" s="66"/>
      <c r="URI40" s="66"/>
      <c r="URJ40" s="66"/>
      <c r="URK40" s="66"/>
      <c r="URL40" s="66"/>
      <c r="URM40" s="66"/>
      <c r="URN40" s="66"/>
      <c r="URO40" s="66"/>
      <c r="URP40" s="66"/>
      <c r="URQ40" s="66"/>
      <c r="URR40" s="66"/>
      <c r="URS40" s="66"/>
      <c r="URT40" s="66"/>
      <c r="URU40" s="66"/>
      <c r="URV40" s="66"/>
      <c r="URW40" s="66"/>
      <c r="URX40" s="66"/>
      <c r="URY40" s="66"/>
      <c r="URZ40" s="66"/>
      <c r="USA40" s="66"/>
      <c r="USB40" s="66"/>
      <c r="USC40" s="66"/>
      <c r="USD40" s="66"/>
      <c r="USE40" s="66"/>
      <c r="USF40" s="66"/>
      <c r="USG40" s="66"/>
      <c r="USH40" s="66"/>
      <c r="USI40" s="66"/>
      <c r="USJ40" s="66"/>
      <c r="USK40" s="66"/>
      <c r="USL40" s="66"/>
      <c r="USM40" s="66"/>
      <c r="USN40" s="66"/>
      <c r="USO40" s="66"/>
      <c r="USP40" s="66"/>
      <c r="USQ40" s="66"/>
      <c r="USR40" s="66"/>
      <c r="USS40" s="66"/>
      <c r="UST40" s="66"/>
      <c r="USU40" s="66"/>
      <c r="USV40" s="66"/>
      <c r="USW40" s="66"/>
      <c r="USX40" s="66"/>
      <c r="USY40" s="66"/>
      <c r="USZ40" s="66"/>
      <c r="UTA40" s="66"/>
      <c r="UTB40" s="66"/>
      <c r="UTC40" s="66"/>
      <c r="UTD40" s="66"/>
      <c r="UTE40" s="66"/>
      <c r="UTF40" s="66"/>
      <c r="UTG40" s="66"/>
      <c r="UTH40" s="66"/>
      <c r="UTI40" s="66"/>
      <c r="UTJ40" s="66"/>
      <c r="UTK40" s="66"/>
      <c r="UTL40" s="66"/>
      <c r="UTM40" s="66"/>
      <c r="UTN40" s="66"/>
      <c r="UTO40" s="66"/>
      <c r="UTP40" s="66"/>
      <c r="UTQ40" s="66"/>
      <c r="UTR40" s="66"/>
      <c r="UTS40" s="66"/>
      <c r="UTT40" s="66"/>
      <c r="UTU40" s="66"/>
      <c r="UTV40" s="66"/>
      <c r="UTW40" s="66"/>
      <c r="UTX40" s="66"/>
      <c r="UTY40" s="66"/>
      <c r="UTZ40" s="66"/>
      <c r="UUA40" s="66"/>
      <c r="UUB40" s="66"/>
      <c r="UUC40" s="66"/>
      <c r="UUD40" s="66"/>
      <c r="UUE40" s="66"/>
      <c r="UUF40" s="66"/>
      <c r="UUG40" s="66"/>
      <c r="UUH40" s="66"/>
      <c r="UUI40" s="66"/>
      <c r="UUJ40" s="66"/>
      <c r="UUK40" s="66"/>
      <c r="UUL40" s="66"/>
      <c r="UUM40" s="66"/>
      <c r="UUN40" s="66"/>
      <c r="UUO40" s="66"/>
      <c r="UUP40" s="66"/>
      <c r="UUQ40" s="66"/>
      <c r="UUR40" s="66"/>
      <c r="UUS40" s="66"/>
      <c r="UUT40" s="66"/>
      <c r="UUU40" s="66"/>
      <c r="UUV40" s="66"/>
      <c r="UUW40" s="66"/>
      <c r="UUX40" s="66"/>
      <c r="UUY40" s="66"/>
      <c r="UUZ40" s="66"/>
      <c r="UVA40" s="66"/>
      <c r="UVB40" s="66"/>
      <c r="UVC40" s="66"/>
      <c r="UVD40" s="66"/>
      <c r="UVE40" s="66"/>
      <c r="UVF40" s="66"/>
      <c r="UVG40" s="66"/>
      <c r="UVH40" s="66"/>
      <c r="UVI40" s="66"/>
      <c r="UVJ40" s="66"/>
      <c r="UVK40" s="66"/>
      <c r="UVL40" s="66"/>
      <c r="UVM40" s="66"/>
      <c r="UVN40" s="66"/>
      <c r="UVO40" s="66"/>
      <c r="UVP40" s="66"/>
      <c r="UVQ40" s="66"/>
      <c r="UVR40" s="66"/>
      <c r="UVS40" s="66"/>
      <c r="UVT40" s="66"/>
      <c r="UVU40" s="66"/>
      <c r="UVV40" s="66"/>
      <c r="UVW40" s="66"/>
      <c r="UVX40" s="66"/>
      <c r="UVY40" s="66"/>
      <c r="UVZ40" s="66"/>
      <c r="UWA40" s="66"/>
      <c r="UWB40" s="66"/>
      <c r="UWC40" s="66"/>
      <c r="UWD40" s="66"/>
      <c r="UWE40" s="66"/>
      <c r="UWF40" s="66"/>
      <c r="UWG40" s="66"/>
      <c r="UWH40" s="66"/>
      <c r="UWI40" s="66"/>
      <c r="UWJ40" s="66"/>
      <c r="UWK40" s="66"/>
      <c r="UWL40" s="66"/>
      <c r="UWM40" s="66"/>
      <c r="UWN40" s="66"/>
      <c r="UWO40" s="66"/>
      <c r="UWP40" s="66"/>
      <c r="UWQ40" s="66"/>
      <c r="UWR40" s="66"/>
      <c r="UWS40" s="66"/>
      <c r="UWT40" s="66"/>
      <c r="UWU40" s="66"/>
      <c r="UWV40" s="66"/>
      <c r="UWW40" s="66"/>
      <c r="UWX40" s="66"/>
      <c r="UWY40" s="66"/>
      <c r="UWZ40" s="66"/>
      <c r="UXA40" s="66"/>
      <c r="UXB40" s="66"/>
      <c r="UXC40" s="66"/>
      <c r="UXD40" s="66"/>
      <c r="UXE40" s="66"/>
      <c r="UXF40" s="66"/>
      <c r="UXG40" s="66"/>
      <c r="UXH40" s="66"/>
      <c r="UXI40" s="66"/>
      <c r="UXJ40" s="66"/>
      <c r="UXK40" s="66"/>
      <c r="UXL40" s="66"/>
      <c r="UXM40" s="66"/>
      <c r="UXN40" s="66"/>
      <c r="UXO40" s="66"/>
      <c r="UXP40" s="66"/>
      <c r="UXQ40" s="66"/>
      <c r="UXR40" s="66"/>
      <c r="UXS40" s="66"/>
      <c r="UXT40" s="66"/>
      <c r="UXU40" s="66"/>
      <c r="UXV40" s="66"/>
      <c r="UXW40" s="66"/>
      <c r="UXX40" s="66"/>
      <c r="UXY40" s="66"/>
      <c r="UXZ40" s="66"/>
      <c r="UYA40" s="66"/>
      <c r="UYB40" s="66"/>
      <c r="UYC40" s="66"/>
      <c r="UYD40" s="66"/>
      <c r="UYE40" s="66"/>
      <c r="UYF40" s="66"/>
      <c r="UYG40" s="66"/>
      <c r="UYH40" s="66"/>
      <c r="UYI40" s="66"/>
      <c r="UYJ40" s="66"/>
      <c r="UYK40" s="66"/>
      <c r="UYL40" s="66"/>
      <c r="UYM40" s="66"/>
      <c r="UYN40" s="66"/>
      <c r="UYO40" s="66"/>
      <c r="UYP40" s="66"/>
      <c r="UYQ40" s="66"/>
      <c r="UYR40" s="66"/>
      <c r="UYS40" s="66"/>
      <c r="UYT40" s="66"/>
      <c r="UYU40" s="66"/>
      <c r="UYV40" s="66"/>
      <c r="UYW40" s="66"/>
      <c r="UYX40" s="66"/>
      <c r="UYY40" s="66"/>
      <c r="UYZ40" s="66"/>
      <c r="UZA40" s="66"/>
      <c r="UZB40" s="66"/>
      <c r="UZC40" s="66"/>
      <c r="UZD40" s="66"/>
      <c r="UZE40" s="66"/>
      <c r="UZF40" s="66"/>
      <c r="UZG40" s="66"/>
      <c r="UZH40" s="66"/>
      <c r="UZI40" s="66"/>
      <c r="UZJ40" s="66"/>
      <c r="UZK40" s="66"/>
      <c r="UZL40" s="66"/>
      <c r="UZM40" s="66"/>
      <c r="UZN40" s="66"/>
      <c r="UZO40" s="66"/>
      <c r="UZP40" s="66"/>
      <c r="UZQ40" s="66"/>
      <c r="UZR40" s="66"/>
      <c r="UZS40" s="66"/>
      <c r="UZT40" s="66"/>
      <c r="UZU40" s="66"/>
      <c r="UZV40" s="66"/>
      <c r="UZW40" s="66"/>
      <c r="UZX40" s="66"/>
      <c r="UZY40" s="66"/>
      <c r="UZZ40" s="66"/>
      <c r="VAA40" s="66"/>
      <c r="VAB40" s="66"/>
      <c r="VAC40" s="66"/>
      <c r="VAD40" s="66"/>
      <c r="VAE40" s="66"/>
      <c r="VAF40" s="66"/>
      <c r="VAG40" s="66"/>
      <c r="VAH40" s="66"/>
      <c r="VAI40" s="66"/>
      <c r="VAJ40" s="66"/>
      <c r="VAK40" s="66"/>
      <c r="VAL40" s="66"/>
      <c r="VAM40" s="66"/>
      <c r="VAN40" s="66"/>
      <c r="VAO40" s="66"/>
      <c r="VAP40" s="66"/>
      <c r="VAQ40" s="66"/>
      <c r="VAR40" s="66"/>
      <c r="VAS40" s="66"/>
      <c r="VAT40" s="66"/>
      <c r="VAU40" s="66"/>
      <c r="VAV40" s="66"/>
      <c r="VAW40" s="66"/>
      <c r="VAX40" s="66"/>
      <c r="VAY40" s="66"/>
      <c r="VAZ40" s="66"/>
      <c r="VBA40" s="66"/>
      <c r="VBB40" s="66"/>
      <c r="VBC40" s="66"/>
      <c r="VBD40" s="66"/>
      <c r="VBE40" s="66"/>
      <c r="VBF40" s="66"/>
      <c r="VBG40" s="66"/>
      <c r="VBH40" s="66"/>
      <c r="VBI40" s="66"/>
      <c r="VBJ40" s="66"/>
      <c r="VBK40" s="66"/>
      <c r="VBL40" s="66"/>
      <c r="VBM40" s="66"/>
      <c r="VBN40" s="66"/>
      <c r="VBO40" s="66"/>
      <c r="VBP40" s="66"/>
      <c r="VBQ40" s="66"/>
      <c r="VBR40" s="66"/>
      <c r="VBS40" s="66"/>
      <c r="VBT40" s="66"/>
      <c r="VBU40" s="66"/>
      <c r="VBV40" s="66"/>
      <c r="VBW40" s="66"/>
      <c r="VBX40" s="66"/>
      <c r="VBY40" s="66"/>
      <c r="VBZ40" s="66"/>
      <c r="VCA40" s="66"/>
      <c r="VCB40" s="66"/>
      <c r="VCC40" s="66"/>
      <c r="VCD40" s="66"/>
      <c r="VCE40" s="66"/>
      <c r="VCF40" s="66"/>
      <c r="VCG40" s="66"/>
      <c r="VCH40" s="66"/>
      <c r="VCI40" s="66"/>
      <c r="VCJ40" s="66"/>
      <c r="VCK40" s="66"/>
      <c r="VCL40" s="66"/>
      <c r="VCM40" s="66"/>
      <c r="VCN40" s="66"/>
      <c r="VCO40" s="66"/>
      <c r="VCP40" s="66"/>
      <c r="VCQ40" s="66"/>
      <c r="VCR40" s="66"/>
      <c r="VCS40" s="66"/>
      <c r="VCT40" s="66"/>
      <c r="VCU40" s="66"/>
      <c r="VCV40" s="66"/>
      <c r="VCW40" s="66"/>
      <c r="VCX40" s="66"/>
      <c r="VCY40" s="66"/>
      <c r="VCZ40" s="66"/>
      <c r="VDA40" s="66"/>
      <c r="VDB40" s="66"/>
      <c r="VDC40" s="66"/>
      <c r="VDD40" s="66"/>
      <c r="VDE40" s="66"/>
      <c r="VDF40" s="66"/>
      <c r="VDG40" s="66"/>
      <c r="VDH40" s="66"/>
      <c r="VDI40" s="66"/>
      <c r="VDJ40" s="66"/>
      <c r="VDK40" s="66"/>
      <c r="VDL40" s="66"/>
      <c r="VDM40" s="66"/>
      <c r="VDN40" s="66"/>
      <c r="VDO40" s="66"/>
      <c r="VDP40" s="66"/>
      <c r="VDQ40" s="66"/>
      <c r="VDR40" s="66"/>
      <c r="VDS40" s="66"/>
      <c r="VDT40" s="66"/>
      <c r="VDU40" s="66"/>
      <c r="VDV40" s="66"/>
      <c r="VDW40" s="66"/>
      <c r="VDX40" s="66"/>
      <c r="VDY40" s="66"/>
      <c r="VDZ40" s="66"/>
      <c r="VEA40" s="66"/>
      <c r="VEB40" s="66"/>
      <c r="VEC40" s="66"/>
      <c r="VED40" s="66"/>
      <c r="VEE40" s="66"/>
      <c r="VEF40" s="66"/>
      <c r="VEG40" s="66"/>
      <c r="VEH40" s="66"/>
      <c r="VEI40" s="66"/>
      <c r="VEJ40" s="66"/>
      <c r="VEK40" s="66"/>
      <c r="VEL40" s="66"/>
      <c r="VEM40" s="66"/>
      <c r="VEN40" s="66"/>
      <c r="VEO40" s="66"/>
      <c r="VEP40" s="66"/>
      <c r="VEQ40" s="66"/>
      <c r="VER40" s="66"/>
      <c r="VES40" s="66"/>
      <c r="VET40" s="66"/>
      <c r="VEU40" s="66"/>
      <c r="VEV40" s="66"/>
      <c r="VEW40" s="66"/>
      <c r="VEX40" s="66"/>
      <c r="VEY40" s="66"/>
      <c r="VEZ40" s="66"/>
      <c r="VFA40" s="66"/>
      <c r="VFB40" s="66"/>
      <c r="VFC40" s="66"/>
      <c r="VFD40" s="66"/>
      <c r="VFE40" s="66"/>
      <c r="VFF40" s="66"/>
      <c r="VFG40" s="66"/>
      <c r="VFH40" s="66"/>
      <c r="VFI40" s="66"/>
      <c r="VFJ40" s="66"/>
      <c r="VFK40" s="66"/>
      <c r="VFL40" s="66"/>
      <c r="VFM40" s="66"/>
      <c r="VFN40" s="66"/>
      <c r="VFO40" s="66"/>
      <c r="VFP40" s="66"/>
      <c r="VFQ40" s="66"/>
      <c r="VFR40" s="66"/>
      <c r="VFS40" s="66"/>
      <c r="VFT40" s="66"/>
      <c r="VFU40" s="66"/>
      <c r="VFV40" s="66"/>
      <c r="VFW40" s="66"/>
      <c r="VFX40" s="66"/>
      <c r="VFY40" s="66"/>
      <c r="VFZ40" s="66"/>
      <c r="VGA40" s="66"/>
      <c r="VGB40" s="66"/>
      <c r="VGC40" s="66"/>
      <c r="VGD40" s="66"/>
      <c r="VGE40" s="66"/>
      <c r="VGF40" s="66"/>
      <c r="VGG40" s="66"/>
      <c r="VGH40" s="66"/>
      <c r="VGI40" s="66"/>
      <c r="VGJ40" s="66"/>
      <c r="VGK40" s="66"/>
      <c r="VGL40" s="66"/>
      <c r="VGM40" s="66"/>
      <c r="VGN40" s="66"/>
      <c r="VGO40" s="66"/>
      <c r="VGP40" s="66"/>
      <c r="VGQ40" s="66"/>
      <c r="VGR40" s="66"/>
      <c r="VGS40" s="66"/>
      <c r="VGT40" s="66"/>
      <c r="VGU40" s="66"/>
      <c r="VGV40" s="66"/>
      <c r="VGW40" s="66"/>
      <c r="VGX40" s="66"/>
      <c r="VGY40" s="66"/>
      <c r="VGZ40" s="66"/>
      <c r="VHA40" s="66"/>
      <c r="VHB40" s="66"/>
      <c r="VHC40" s="66"/>
      <c r="VHD40" s="66"/>
      <c r="VHE40" s="66"/>
      <c r="VHF40" s="66"/>
      <c r="VHG40" s="66"/>
      <c r="VHH40" s="66"/>
      <c r="VHI40" s="66"/>
      <c r="VHJ40" s="66"/>
      <c r="VHK40" s="66"/>
      <c r="VHL40" s="66"/>
      <c r="VHM40" s="66"/>
      <c r="VHN40" s="66"/>
      <c r="VHO40" s="66"/>
      <c r="VHP40" s="66"/>
      <c r="VHQ40" s="66"/>
      <c r="VHR40" s="66"/>
      <c r="VHS40" s="66"/>
      <c r="VHT40" s="66"/>
      <c r="VHU40" s="66"/>
      <c r="VHV40" s="66"/>
      <c r="VHW40" s="66"/>
      <c r="VHX40" s="66"/>
      <c r="VHY40" s="66"/>
      <c r="VHZ40" s="66"/>
      <c r="VIA40" s="66"/>
      <c r="VIB40" s="66"/>
      <c r="VIC40" s="66"/>
      <c r="VID40" s="66"/>
      <c r="VIE40" s="66"/>
      <c r="VIF40" s="66"/>
      <c r="VIG40" s="66"/>
      <c r="VIH40" s="66"/>
      <c r="VII40" s="66"/>
      <c r="VIJ40" s="66"/>
      <c r="VIK40" s="66"/>
      <c r="VIL40" s="66"/>
      <c r="VIM40" s="66"/>
      <c r="VIN40" s="66"/>
      <c r="VIO40" s="66"/>
      <c r="VIP40" s="66"/>
      <c r="VIQ40" s="66"/>
      <c r="VIR40" s="66"/>
      <c r="VIS40" s="66"/>
      <c r="VIT40" s="66"/>
      <c r="VIU40" s="66"/>
      <c r="VIV40" s="66"/>
      <c r="VIW40" s="66"/>
      <c r="VIX40" s="66"/>
      <c r="VIY40" s="66"/>
      <c r="VIZ40" s="66"/>
      <c r="VJA40" s="66"/>
      <c r="VJB40" s="66"/>
      <c r="VJC40" s="66"/>
      <c r="VJD40" s="66"/>
      <c r="VJE40" s="66"/>
      <c r="VJF40" s="66"/>
      <c r="VJG40" s="66"/>
      <c r="VJH40" s="66"/>
      <c r="VJI40" s="66"/>
      <c r="VJJ40" s="66"/>
      <c r="VJK40" s="66"/>
      <c r="VJL40" s="66"/>
      <c r="VJM40" s="66"/>
      <c r="VJN40" s="66"/>
      <c r="VJO40" s="66"/>
      <c r="VJP40" s="66"/>
      <c r="VJQ40" s="66"/>
      <c r="VJR40" s="66"/>
      <c r="VJS40" s="66"/>
      <c r="VJT40" s="66"/>
      <c r="VJU40" s="66"/>
      <c r="VJV40" s="66"/>
      <c r="VJW40" s="66"/>
      <c r="VJX40" s="66"/>
      <c r="VJY40" s="66"/>
      <c r="VJZ40" s="66"/>
      <c r="VKA40" s="66"/>
      <c r="VKB40" s="66"/>
      <c r="VKC40" s="66"/>
      <c r="VKD40" s="66"/>
      <c r="VKE40" s="66"/>
      <c r="VKF40" s="66"/>
      <c r="VKG40" s="66"/>
      <c r="VKH40" s="66"/>
      <c r="VKI40" s="66"/>
      <c r="VKJ40" s="66"/>
      <c r="VKK40" s="66"/>
      <c r="VKL40" s="66"/>
      <c r="VKM40" s="66"/>
      <c r="VKN40" s="66"/>
      <c r="VKO40" s="66"/>
      <c r="VKP40" s="66"/>
      <c r="VKQ40" s="66"/>
      <c r="VKR40" s="66"/>
      <c r="VKS40" s="66"/>
      <c r="VKT40" s="66"/>
      <c r="VKU40" s="66"/>
      <c r="VKV40" s="66"/>
      <c r="VKW40" s="66"/>
      <c r="VKX40" s="66"/>
      <c r="VKY40" s="66"/>
      <c r="VKZ40" s="66"/>
      <c r="VLA40" s="66"/>
      <c r="VLB40" s="66"/>
      <c r="VLC40" s="66"/>
      <c r="VLD40" s="66"/>
      <c r="VLE40" s="66"/>
      <c r="VLF40" s="66"/>
      <c r="VLG40" s="66"/>
      <c r="VLH40" s="66"/>
      <c r="VLI40" s="66"/>
      <c r="VLJ40" s="66"/>
      <c r="VLK40" s="66"/>
      <c r="VLL40" s="66"/>
      <c r="VLM40" s="66"/>
      <c r="VLN40" s="66"/>
      <c r="VLO40" s="66"/>
      <c r="VLP40" s="66"/>
      <c r="VLQ40" s="66"/>
      <c r="VLR40" s="66"/>
      <c r="VLS40" s="66"/>
      <c r="VLT40" s="66"/>
      <c r="VLU40" s="66"/>
      <c r="VLV40" s="66"/>
      <c r="VLW40" s="66"/>
      <c r="VLX40" s="66"/>
      <c r="VLY40" s="66"/>
      <c r="VLZ40" s="66"/>
      <c r="VMA40" s="66"/>
      <c r="VMB40" s="66"/>
      <c r="VMC40" s="66"/>
      <c r="VMD40" s="66"/>
      <c r="VME40" s="66"/>
      <c r="VMF40" s="66"/>
      <c r="VMG40" s="66"/>
      <c r="VMH40" s="66"/>
      <c r="VMI40" s="66"/>
      <c r="VMJ40" s="66"/>
      <c r="VMK40" s="66"/>
      <c r="VML40" s="66"/>
      <c r="VMM40" s="66"/>
      <c r="VMN40" s="66"/>
      <c r="VMO40" s="66"/>
      <c r="VMP40" s="66"/>
      <c r="VMQ40" s="66"/>
      <c r="VMR40" s="66"/>
      <c r="VMS40" s="66"/>
      <c r="VMT40" s="66"/>
      <c r="VMU40" s="66"/>
      <c r="VMV40" s="66"/>
      <c r="VMW40" s="66"/>
      <c r="VMX40" s="66"/>
      <c r="VMY40" s="66"/>
      <c r="VMZ40" s="66"/>
      <c r="VNA40" s="66"/>
      <c r="VNB40" s="66"/>
      <c r="VNC40" s="66"/>
      <c r="VND40" s="66"/>
      <c r="VNE40" s="66"/>
      <c r="VNF40" s="66"/>
      <c r="VNG40" s="66"/>
      <c r="VNH40" s="66"/>
      <c r="VNI40" s="66"/>
      <c r="VNJ40" s="66"/>
      <c r="VNK40" s="66"/>
      <c r="VNL40" s="66"/>
      <c r="VNM40" s="66"/>
      <c r="VNN40" s="66"/>
      <c r="VNO40" s="66"/>
      <c r="VNP40" s="66"/>
      <c r="VNQ40" s="66"/>
      <c r="VNR40" s="66"/>
      <c r="VNS40" s="66"/>
      <c r="VNT40" s="66"/>
      <c r="VNU40" s="66"/>
      <c r="VNV40" s="66"/>
      <c r="VNW40" s="66"/>
      <c r="VNX40" s="66"/>
      <c r="VNY40" s="66"/>
      <c r="VNZ40" s="66"/>
      <c r="VOA40" s="66"/>
      <c r="VOB40" s="66"/>
      <c r="VOC40" s="66"/>
      <c r="VOD40" s="66"/>
      <c r="VOE40" s="66"/>
      <c r="VOF40" s="66"/>
      <c r="VOG40" s="66"/>
      <c r="VOH40" s="66"/>
      <c r="VOI40" s="66"/>
      <c r="VOJ40" s="66"/>
      <c r="VOK40" s="66"/>
      <c r="VOL40" s="66"/>
      <c r="VOM40" s="66"/>
      <c r="VON40" s="66"/>
      <c r="VOO40" s="66"/>
      <c r="VOP40" s="66"/>
      <c r="VOQ40" s="66"/>
      <c r="VOR40" s="66"/>
      <c r="VOS40" s="66"/>
      <c r="VOT40" s="66"/>
      <c r="VOU40" s="66"/>
      <c r="VOV40" s="66"/>
      <c r="VOW40" s="66"/>
      <c r="VOX40" s="66"/>
      <c r="VOY40" s="66"/>
      <c r="VOZ40" s="66"/>
      <c r="VPA40" s="66"/>
      <c r="VPB40" s="66"/>
      <c r="VPC40" s="66"/>
      <c r="VPD40" s="66"/>
      <c r="VPE40" s="66"/>
      <c r="VPF40" s="66"/>
      <c r="VPG40" s="66"/>
      <c r="VPH40" s="66"/>
      <c r="VPI40" s="66"/>
      <c r="VPJ40" s="66"/>
      <c r="VPK40" s="66"/>
      <c r="VPL40" s="66"/>
      <c r="VPM40" s="66"/>
      <c r="VPN40" s="66"/>
      <c r="VPO40" s="66"/>
      <c r="VPP40" s="66"/>
      <c r="VPQ40" s="66"/>
      <c r="VPR40" s="66"/>
      <c r="VPS40" s="66"/>
      <c r="VPT40" s="66"/>
      <c r="VPU40" s="66"/>
      <c r="VPV40" s="66"/>
      <c r="VPW40" s="66"/>
      <c r="VPX40" s="66"/>
      <c r="VPY40" s="66"/>
      <c r="VPZ40" s="66"/>
      <c r="VQA40" s="66"/>
      <c r="VQB40" s="66"/>
      <c r="VQC40" s="66"/>
      <c r="VQD40" s="66"/>
      <c r="VQE40" s="66"/>
      <c r="VQF40" s="66"/>
      <c r="VQG40" s="66"/>
      <c r="VQH40" s="66"/>
      <c r="VQI40" s="66"/>
      <c r="VQJ40" s="66"/>
      <c r="VQK40" s="66"/>
      <c r="VQL40" s="66"/>
      <c r="VQM40" s="66"/>
      <c r="VQN40" s="66"/>
      <c r="VQO40" s="66"/>
      <c r="VQP40" s="66"/>
      <c r="VQQ40" s="66"/>
      <c r="VQR40" s="66"/>
      <c r="VQS40" s="66"/>
      <c r="VQT40" s="66"/>
      <c r="VQU40" s="66"/>
      <c r="VQV40" s="66"/>
      <c r="VQW40" s="66"/>
      <c r="VQX40" s="66"/>
      <c r="VQY40" s="66"/>
      <c r="VQZ40" s="66"/>
      <c r="VRA40" s="66"/>
      <c r="VRB40" s="66"/>
      <c r="VRC40" s="66"/>
      <c r="VRD40" s="66"/>
      <c r="VRE40" s="66"/>
      <c r="VRF40" s="66"/>
      <c r="VRG40" s="66"/>
      <c r="VRH40" s="66"/>
      <c r="VRI40" s="66"/>
      <c r="VRJ40" s="66"/>
      <c r="VRK40" s="66"/>
      <c r="VRL40" s="66"/>
      <c r="VRM40" s="66"/>
      <c r="VRN40" s="66"/>
      <c r="VRO40" s="66"/>
      <c r="VRP40" s="66"/>
      <c r="VRQ40" s="66"/>
      <c r="VRR40" s="66"/>
      <c r="VRS40" s="66"/>
      <c r="VRT40" s="66"/>
      <c r="VRU40" s="66"/>
      <c r="VRV40" s="66"/>
      <c r="VRW40" s="66"/>
      <c r="VRX40" s="66"/>
      <c r="VRY40" s="66"/>
      <c r="VRZ40" s="66"/>
      <c r="VSA40" s="66"/>
      <c r="VSB40" s="66"/>
      <c r="VSC40" s="66"/>
      <c r="VSD40" s="66"/>
      <c r="VSE40" s="66"/>
      <c r="VSF40" s="66"/>
      <c r="VSG40" s="66"/>
      <c r="VSH40" s="66"/>
      <c r="VSI40" s="66"/>
      <c r="VSJ40" s="66"/>
      <c r="VSK40" s="66"/>
      <c r="VSL40" s="66"/>
      <c r="VSM40" s="66"/>
      <c r="VSN40" s="66"/>
      <c r="VSO40" s="66"/>
      <c r="VSP40" s="66"/>
      <c r="VSQ40" s="66"/>
      <c r="VSR40" s="66"/>
      <c r="VSS40" s="66"/>
      <c r="VST40" s="66"/>
      <c r="VSU40" s="66"/>
      <c r="VSV40" s="66"/>
      <c r="VSW40" s="66"/>
      <c r="VSX40" s="66"/>
      <c r="VSY40" s="66"/>
      <c r="VSZ40" s="66"/>
      <c r="VTA40" s="66"/>
      <c r="VTB40" s="66"/>
      <c r="VTC40" s="66"/>
      <c r="VTD40" s="66"/>
      <c r="VTE40" s="66"/>
      <c r="VTF40" s="66"/>
      <c r="VTG40" s="66"/>
      <c r="VTH40" s="66"/>
      <c r="VTI40" s="66"/>
      <c r="VTJ40" s="66"/>
      <c r="VTK40" s="66"/>
      <c r="VTL40" s="66"/>
      <c r="VTM40" s="66"/>
      <c r="VTN40" s="66"/>
      <c r="VTO40" s="66"/>
      <c r="VTP40" s="66"/>
      <c r="VTQ40" s="66"/>
      <c r="VTR40" s="66"/>
      <c r="VTS40" s="66"/>
      <c r="VTT40" s="66"/>
      <c r="VTU40" s="66"/>
      <c r="VTV40" s="66"/>
      <c r="VTW40" s="66"/>
      <c r="VTX40" s="66"/>
      <c r="VTY40" s="66"/>
      <c r="VTZ40" s="66"/>
      <c r="VUA40" s="66"/>
      <c r="VUB40" s="66"/>
      <c r="VUC40" s="66"/>
      <c r="VUD40" s="66"/>
      <c r="VUE40" s="66"/>
      <c r="VUF40" s="66"/>
      <c r="VUG40" s="66"/>
      <c r="VUH40" s="66"/>
      <c r="VUI40" s="66"/>
      <c r="VUJ40" s="66"/>
      <c r="VUK40" s="66"/>
      <c r="VUL40" s="66"/>
      <c r="VUM40" s="66"/>
      <c r="VUN40" s="66"/>
      <c r="VUO40" s="66"/>
      <c r="VUP40" s="66"/>
      <c r="VUQ40" s="66"/>
      <c r="VUR40" s="66"/>
      <c r="VUS40" s="66"/>
      <c r="VUT40" s="66"/>
      <c r="VUU40" s="66"/>
      <c r="VUV40" s="66"/>
      <c r="VUW40" s="66"/>
      <c r="VUX40" s="66"/>
      <c r="VUY40" s="66"/>
      <c r="VUZ40" s="66"/>
      <c r="VVA40" s="66"/>
      <c r="VVB40" s="66"/>
      <c r="VVC40" s="66"/>
      <c r="VVD40" s="66"/>
      <c r="VVE40" s="66"/>
      <c r="VVF40" s="66"/>
      <c r="VVG40" s="66"/>
      <c r="VVH40" s="66"/>
      <c r="VVI40" s="66"/>
      <c r="VVJ40" s="66"/>
      <c r="VVK40" s="66"/>
      <c r="VVL40" s="66"/>
      <c r="VVM40" s="66"/>
      <c r="VVN40" s="66"/>
      <c r="VVO40" s="66"/>
      <c r="VVP40" s="66"/>
      <c r="VVQ40" s="66"/>
      <c r="VVR40" s="66"/>
      <c r="VVS40" s="66"/>
      <c r="VVT40" s="66"/>
      <c r="VVU40" s="66"/>
      <c r="VVV40" s="66"/>
      <c r="VVW40" s="66"/>
      <c r="VVX40" s="66"/>
      <c r="VVY40" s="66"/>
      <c r="VVZ40" s="66"/>
      <c r="VWA40" s="66"/>
      <c r="VWB40" s="66"/>
      <c r="VWC40" s="66"/>
      <c r="VWD40" s="66"/>
      <c r="VWE40" s="66"/>
      <c r="VWF40" s="66"/>
      <c r="VWG40" s="66"/>
      <c r="VWH40" s="66"/>
      <c r="VWI40" s="66"/>
      <c r="VWJ40" s="66"/>
      <c r="VWK40" s="66"/>
      <c r="VWL40" s="66"/>
      <c r="VWM40" s="66"/>
      <c r="VWN40" s="66"/>
      <c r="VWO40" s="66"/>
      <c r="VWP40" s="66"/>
      <c r="VWQ40" s="66"/>
      <c r="VWR40" s="66"/>
      <c r="VWS40" s="66"/>
      <c r="VWT40" s="66"/>
      <c r="VWU40" s="66"/>
      <c r="VWV40" s="66"/>
      <c r="VWW40" s="66"/>
      <c r="VWX40" s="66"/>
      <c r="VWY40" s="66"/>
      <c r="VWZ40" s="66"/>
      <c r="VXA40" s="66"/>
      <c r="VXB40" s="66"/>
      <c r="VXC40" s="66"/>
      <c r="VXD40" s="66"/>
      <c r="VXE40" s="66"/>
      <c r="VXF40" s="66"/>
      <c r="VXG40" s="66"/>
      <c r="VXH40" s="66"/>
      <c r="VXI40" s="66"/>
      <c r="VXJ40" s="66"/>
      <c r="VXK40" s="66"/>
      <c r="VXL40" s="66"/>
      <c r="VXM40" s="66"/>
      <c r="VXN40" s="66"/>
      <c r="VXO40" s="66"/>
      <c r="VXP40" s="66"/>
      <c r="VXQ40" s="66"/>
      <c r="VXR40" s="66"/>
      <c r="VXS40" s="66"/>
      <c r="VXT40" s="66"/>
      <c r="VXU40" s="66"/>
      <c r="VXV40" s="66"/>
      <c r="VXW40" s="66"/>
      <c r="VXX40" s="66"/>
      <c r="VXY40" s="66"/>
      <c r="VXZ40" s="66"/>
      <c r="VYA40" s="66"/>
      <c r="VYB40" s="66"/>
      <c r="VYC40" s="66"/>
      <c r="VYD40" s="66"/>
      <c r="VYE40" s="66"/>
      <c r="VYF40" s="66"/>
      <c r="VYG40" s="66"/>
      <c r="VYH40" s="66"/>
      <c r="VYI40" s="66"/>
      <c r="VYJ40" s="66"/>
      <c r="VYK40" s="66"/>
      <c r="VYL40" s="66"/>
      <c r="VYM40" s="66"/>
      <c r="VYN40" s="66"/>
      <c r="VYO40" s="66"/>
      <c r="VYP40" s="66"/>
      <c r="VYQ40" s="66"/>
      <c r="VYR40" s="66"/>
      <c r="VYS40" s="66"/>
      <c r="VYT40" s="66"/>
      <c r="VYU40" s="66"/>
      <c r="VYV40" s="66"/>
      <c r="VYW40" s="66"/>
      <c r="VYX40" s="66"/>
      <c r="VYY40" s="66"/>
      <c r="VYZ40" s="66"/>
      <c r="VZA40" s="66"/>
      <c r="VZB40" s="66"/>
      <c r="VZC40" s="66"/>
      <c r="VZD40" s="66"/>
      <c r="VZE40" s="66"/>
      <c r="VZF40" s="66"/>
      <c r="VZG40" s="66"/>
      <c r="VZH40" s="66"/>
      <c r="VZI40" s="66"/>
      <c r="VZJ40" s="66"/>
      <c r="VZK40" s="66"/>
      <c r="VZL40" s="66"/>
      <c r="VZM40" s="66"/>
      <c r="VZN40" s="66"/>
      <c r="VZO40" s="66"/>
      <c r="VZP40" s="66"/>
      <c r="VZQ40" s="66"/>
      <c r="VZR40" s="66"/>
      <c r="VZS40" s="66"/>
      <c r="VZT40" s="66"/>
      <c r="VZU40" s="66"/>
      <c r="VZV40" s="66"/>
      <c r="VZW40" s="66"/>
      <c r="VZX40" s="66"/>
      <c r="VZY40" s="66"/>
      <c r="VZZ40" s="66"/>
      <c r="WAA40" s="66"/>
      <c r="WAB40" s="66"/>
      <c r="WAC40" s="66"/>
      <c r="WAD40" s="66"/>
      <c r="WAE40" s="66"/>
      <c r="WAF40" s="66"/>
      <c r="WAG40" s="66"/>
      <c r="WAH40" s="66"/>
      <c r="WAI40" s="66"/>
      <c r="WAJ40" s="66"/>
      <c r="WAK40" s="66"/>
      <c r="WAL40" s="66"/>
      <c r="WAM40" s="66"/>
      <c r="WAN40" s="66"/>
      <c r="WAO40" s="66"/>
      <c r="WAP40" s="66"/>
      <c r="WAQ40" s="66"/>
      <c r="WAR40" s="66"/>
      <c r="WAS40" s="66"/>
      <c r="WAT40" s="66"/>
      <c r="WAU40" s="66"/>
      <c r="WAV40" s="66"/>
      <c r="WAW40" s="66"/>
      <c r="WAX40" s="66"/>
      <c r="WAY40" s="66"/>
      <c r="WAZ40" s="66"/>
      <c r="WBA40" s="66"/>
      <c r="WBB40" s="66"/>
      <c r="WBC40" s="66"/>
      <c r="WBD40" s="66"/>
      <c r="WBE40" s="66"/>
      <c r="WBF40" s="66"/>
      <c r="WBG40" s="66"/>
      <c r="WBH40" s="66"/>
      <c r="WBI40" s="66"/>
      <c r="WBJ40" s="66"/>
      <c r="WBK40" s="66"/>
      <c r="WBL40" s="66"/>
      <c r="WBM40" s="66"/>
      <c r="WBN40" s="66"/>
      <c r="WBO40" s="66"/>
      <c r="WBP40" s="66"/>
      <c r="WBQ40" s="66"/>
      <c r="WBR40" s="66"/>
      <c r="WBS40" s="66"/>
      <c r="WBT40" s="66"/>
      <c r="WBU40" s="66"/>
      <c r="WBV40" s="66"/>
      <c r="WBW40" s="66"/>
      <c r="WBX40" s="66"/>
      <c r="WBY40" s="66"/>
      <c r="WBZ40" s="66"/>
      <c r="WCA40" s="66"/>
      <c r="WCB40" s="66"/>
      <c r="WCC40" s="66"/>
      <c r="WCD40" s="66"/>
      <c r="WCE40" s="66"/>
      <c r="WCF40" s="66"/>
      <c r="WCG40" s="66"/>
      <c r="WCH40" s="66"/>
      <c r="WCI40" s="66"/>
      <c r="WCJ40" s="66"/>
      <c r="WCK40" s="66"/>
      <c r="WCL40" s="66"/>
      <c r="WCM40" s="66"/>
      <c r="WCN40" s="66"/>
      <c r="WCO40" s="66"/>
      <c r="WCP40" s="66"/>
      <c r="WCQ40" s="66"/>
      <c r="WCR40" s="66"/>
      <c r="WCS40" s="66"/>
      <c r="WCT40" s="66"/>
      <c r="WCU40" s="66"/>
      <c r="WCV40" s="66"/>
      <c r="WCW40" s="66"/>
      <c r="WCX40" s="66"/>
      <c r="WCY40" s="66"/>
      <c r="WCZ40" s="66"/>
      <c r="WDA40" s="66"/>
      <c r="WDB40" s="66"/>
      <c r="WDC40" s="66"/>
      <c r="WDD40" s="66"/>
      <c r="WDE40" s="66"/>
      <c r="WDF40" s="66"/>
      <c r="WDG40" s="66"/>
      <c r="WDH40" s="66"/>
      <c r="WDI40" s="66"/>
      <c r="WDJ40" s="66"/>
      <c r="WDK40" s="66"/>
      <c r="WDL40" s="66"/>
      <c r="WDM40" s="66"/>
      <c r="WDN40" s="66"/>
      <c r="WDO40" s="66"/>
      <c r="WDP40" s="66"/>
      <c r="WDQ40" s="66"/>
      <c r="WDR40" s="66"/>
      <c r="WDS40" s="66"/>
      <c r="WDT40" s="66"/>
      <c r="WDU40" s="66"/>
      <c r="WDV40" s="66"/>
      <c r="WDW40" s="66"/>
      <c r="WDX40" s="66"/>
      <c r="WDY40" s="66"/>
      <c r="WDZ40" s="66"/>
      <c r="WEA40" s="66"/>
      <c r="WEB40" s="66"/>
      <c r="WEC40" s="66"/>
      <c r="WED40" s="66"/>
      <c r="WEE40" s="66"/>
      <c r="WEF40" s="66"/>
      <c r="WEG40" s="66"/>
      <c r="WEH40" s="66"/>
      <c r="WEI40" s="66"/>
      <c r="WEJ40" s="66"/>
      <c r="WEK40" s="66"/>
      <c r="WEL40" s="66"/>
      <c r="WEM40" s="66"/>
      <c r="WEN40" s="66"/>
      <c r="WEO40" s="66"/>
      <c r="WEP40" s="66"/>
      <c r="WEQ40" s="66"/>
      <c r="WER40" s="66"/>
      <c r="WES40" s="66"/>
      <c r="WET40" s="66"/>
      <c r="WEU40" s="66"/>
      <c r="WEV40" s="66"/>
      <c r="WEW40" s="66"/>
      <c r="WEX40" s="66"/>
      <c r="WEY40" s="66"/>
      <c r="WEZ40" s="66"/>
      <c r="WFA40" s="66"/>
      <c r="WFB40" s="66"/>
      <c r="WFC40" s="66"/>
      <c r="WFD40" s="66"/>
      <c r="WFE40" s="66"/>
      <c r="WFF40" s="66"/>
      <c r="WFG40" s="66"/>
      <c r="WFH40" s="66"/>
      <c r="WFI40" s="66"/>
      <c r="WFJ40" s="66"/>
      <c r="WFK40" s="66"/>
      <c r="WFL40" s="66"/>
      <c r="WFM40" s="66"/>
      <c r="WFN40" s="66"/>
      <c r="WFO40" s="66"/>
      <c r="WFP40" s="66"/>
      <c r="WFQ40" s="66"/>
      <c r="WFR40" s="66"/>
      <c r="WFS40" s="66"/>
      <c r="WFT40" s="66"/>
      <c r="WFU40" s="66"/>
      <c r="WFV40" s="66"/>
      <c r="WFW40" s="66"/>
      <c r="WFX40" s="66"/>
      <c r="WFY40" s="66"/>
      <c r="WFZ40" s="66"/>
      <c r="WGA40" s="66"/>
      <c r="WGB40" s="66"/>
      <c r="WGC40" s="66"/>
      <c r="WGD40" s="66"/>
      <c r="WGE40" s="66"/>
      <c r="WGF40" s="66"/>
      <c r="WGG40" s="66"/>
      <c r="WGH40" s="66"/>
      <c r="WGI40" s="66"/>
      <c r="WGJ40" s="66"/>
      <c r="WGK40" s="66"/>
      <c r="WGL40" s="66"/>
      <c r="WGM40" s="66"/>
      <c r="WGN40" s="66"/>
      <c r="WGO40" s="66"/>
      <c r="WGP40" s="66"/>
      <c r="WGQ40" s="66"/>
      <c r="WGR40" s="66"/>
      <c r="WGS40" s="66"/>
      <c r="WGT40" s="66"/>
      <c r="WGU40" s="66"/>
      <c r="WGV40" s="66"/>
      <c r="WGW40" s="66"/>
      <c r="WGX40" s="66"/>
      <c r="WGY40" s="66"/>
      <c r="WGZ40" s="66"/>
      <c r="WHA40" s="66"/>
      <c r="WHB40" s="66"/>
      <c r="WHC40" s="66"/>
      <c r="WHD40" s="66"/>
      <c r="WHE40" s="66"/>
      <c r="WHF40" s="66"/>
      <c r="WHG40" s="66"/>
      <c r="WHH40" s="66"/>
      <c r="WHI40" s="66"/>
      <c r="WHJ40" s="66"/>
      <c r="WHK40" s="66"/>
      <c r="WHL40" s="66"/>
      <c r="WHM40" s="66"/>
      <c r="WHN40" s="66"/>
      <c r="WHO40" s="66"/>
      <c r="WHP40" s="66"/>
      <c r="WHQ40" s="66"/>
      <c r="WHR40" s="66"/>
      <c r="WHS40" s="66"/>
      <c r="WHT40" s="66"/>
      <c r="WHU40" s="66"/>
      <c r="WHV40" s="66"/>
      <c r="WHW40" s="66"/>
      <c r="WHX40" s="66"/>
      <c r="WHY40" s="66"/>
      <c r="WHZ40" s="66"/>
      <c r="WIA40" s="66"/>
      <c r="WIB40" s="66"/>
      <c r="WIC40" s="66"/>
      <c r="WID40" s="66"/>
      <c r="WIE40" s="66"/>
      <c r="WIF40" s="66"/>
      <c r="WIG40" s="66"/>
      <c r="WIH40" s="66"/>
      <c r="WII40" s="66"/>
      <c r="WIJ40" s="66"/>
      <c r="WIK40" s="66"/>
      <c r="WIL40" s="66"/>
      <c r="WIM40" s="66"/>
      <c r="WIN40" s="66"/>
      <c r="WIO40" s="66"/>
      <c r="WIP40" s="66"/>
      <c r="WIQ40" s="66"/>
      <c r="WIR40" s="66"/>
      <c r="WIS40" s="66"/>
      <c r="WIT40" s="66"/>
      <c r="WIU40" s="66"/>
      <c r="WIV40" s="66"/>
      <c r="WIW40" s="66"/>
      <c r="WIX40" s="66"/>
      <c r="WIY40" s="66"/>
      <c r="WIZ40" s="66"/>
      <c r="WJA40" s="66"/>
      <c r="WJB40" s="66"/>
      <c r="WJC40" s="66"/>
      <c r="WJD40" s="66"/>
      <c r="WJE40" s="66"/>
      <c r="WJF40" s="66"/>
      <c r="WJG40" s="66"/>
      <c r="WJH40" s="66"/>
      <c r="WJI40" s="66"/>
      <c r="WJJ40" s="66"/>
      <c r="WJK40" s="66"/>
      <c r="WJL40" s="66"/>
      <c r="WJM40" s="66"/>
      <c r="WJN40" s="66"/>
      <c r="WJO40" s="66"/>
      <c r="WJP40" s="66"/>
      <c r="WJQ40" s="66"/>
      <c r="WJR40" s="66"/>
      <c r="WJS40" s="66"/>
      <c r="WJT40" s="66"/>
      <c r="WJU40" s="66"/>
      <c r="WJV40" s="66"/>
      <c r="WJW40" s="66"/>
      <c r="WJX40" s="66"/>
      <c r="WJY40" s="66"/>
      <c r="WJZ40" s="66"/>
      <c r="WKA40" s="66"/>
      <c r="WKB40" s="66"/>
      <c r="WKC40" s="66"/>
      <c r="WKD40" s="66"/>
      <c r="WKE40" s="66"/>
      <c r="WKF40" s="66"/>
      <c r="WKG40" s="66"/>
      <c r="WKH40" s="66"/>
      <c r="WKI40" s="66"/>
      <c r="WKJ40" s="66"/>
      <c r="WKK40" s="66"/>
      <c r="WKL40" s="66"/>
      <c r="WKM40" s="66"/>
      <c r="WKN40" s="66"/>
      <c r="WKO40" s="66"/>
      <c r="WKP40" s="66"/>
      <c r="WKQ40" s="66"/>
      <c r="WKR40" s="66"/>
      <c r="WKS40" s="66"/>
      <c r="WKT40" s="66"/>
      <c r="WKU40" s="66"/>
      <c r="WKV40" s="66"/>
      <c r="WKW40" s="66"/>
      <c r="WKX40" s="66"/>
      <c r="WKY40" s="66"/>
      <c r="WKZ40" s="66"/>
      <c r="WLA40" s="66"/>
      <c r="WLB40" s="66"/>
      <c r="WLC40" s="66"/>
      <c r="WLD40" s="66"/>
      <c r="WLE40" s="66"/>
      <c r="WLF40" s="66"/>
      <c r="WLG40" s="66"/>
      <c r="WLH40" s="66"/>
      <c r="WLI40" s="66"/>
      <c r="WLJ40" s="66"/>
      <c r="WLK40" s="66"/>
      <c r="WLL40" s="66"/>
      <c r="WLM40" s="66"/>
      <c r="WLN40" s="66"/>
      <c r="WLO40" s="66"/>
      <c r="WLP40" s="66"/>
      <c r="WLQ40" s="66"/>
      <c r="WLR40" s="66"/>
      <c r="WLS40" s="66"/>
      <c r="WLT40" s="66"/>
      <c r="WLU40" s="66"/>
      <c r="WLV40" s="66"/>
      <c r="WLW40" s="66"/>
      <c r="WLX40" s="66"/>
      <c r="WLY40" s="66"/>
      <c r="WLZ40" s="66"/>
      <c r="WMA40" s="66"/>
      <c r="WMB40" s="66"/>
      <c r="WMC40" s="66"/>
      <c r="WMD40" s="66"/>
      <c r="WME40" s="66"/>
      <c r="WMF40" s="66"/>
      <c r="WMG40" s="66"/>
      <c r="WMH40" s="66"/>
      <c r="WMI40" s="66"/>
      <c r="WMJ40" s="66"/>
      <c r="WMK40" s="66"/>
      <c r="WML40" s="66"/>
      <c r="WMM40" s="66"/>
      <c r="WMN40" s="66"/>
      <c r="WMO40" s="66"/>
      <c r="WMP40" s="66"/>
      <c r="WMQ40" s="66"/>
      <c r="WMR40" s="66"/>
      <c r="WMS40" s="66"/>
      <c r="WMT40" s="66"/>
      <c r="WMU40" s="66"/>
      <c r="WMV40" s="66"/>
      <c r="WMW40" s="66"/>
      <c r="WMX40" s="66"/>
      <c r="WMY40" s="66"/>
      <c r="WMZ40" s="66"/>
      <c r="WNA40" s="66"/>
      <c r="WNB40" s="66"/>
      <c r="WNC40" s="66"/>
      <c r="WND40" s="66"/>
      <c r="WNE40" s="66"/>
      <c r="WNF40" s="66"/>
      <c r="WNG40" s="66"/>
      <c r="WNH40" s="66"/>
      <c r="WNI40" s="66"/>
      <c r="WNJ40" s="66"/>
      <c r="WNK40" s="66"/>
      <c r="WNL40" s="66"/>
      <c r="WNM40" s="66"/>
      <c r="WNN40" s="66"/>
      <c r="WNO40" s="66"/>
      <c r="WNP40" s="66"/>
      <c r="WNQ40" s="66"/>
      <c r="WNR40" s="66"/>
      <c r="WNS40" s="66"/>
      <c r="WNT40" s="66"/>
      <c r="WNU40" s="66"/>
      <c r="WNV40" s="66"/>
      <c r="WNW40" s="66"/>
      <c r="WNX40" s="66"/>
      <c r="WNY40" s="66"/>
      <c r="WNZ40" s="66"/>
      <c r="WOA40" s="66"/>
      <c r="WOB40" s="66"/>
      <c r="WOC40" s="66"/>
      <c r="WOD40" s="66"/>
      <c r="WOE40" s="66"/>
      <c r="WOF40" s="66"/>
      <c r="WOG40" s="66"/>
      <c r="WOH40" s="66"/>
      <c r="WOI40" s="66"/>
      <c r="WOJ40" s="66"/>
      <c r="WOK40" s="66"/>
      <c r="WOL40" s="66"/>
      <c r="WOM40" s="66"/>
      <c r="WON40" s="66"/>
      <c r="WOO40" s="66"/>
      <c r="WOP40" s="66"/>
      <c r="WOQ40" s="66"/>
      <c r="WOR40" s="66"/>
      <c r="WOS40" s="66"/>
      <c r="WOT40" s="66"/>
      <c r="WOU40" s="66"/>
      <c r="WOV40" s="66"/>
      <c r="WOW40" s="66"/>
      <c r="WOX40" s="66"/>
      <c r="WOY40" s="66"/>
      <c r="WOZ40" s="66"/>
      <c r="WPA40" s="66"/>
      <c r="WPB40" s="66"/>
      <c r="WPC40" s="66"/>
      <c r="WPD40" s="66"/>
      <c r="WPE40" s="66"/>
      <c r="WPF40" s="66"/>
      <c r="WPG40" s="66"/>
      <c r="WPH40" s="66"/>
      <c r="WPI40" s="66"/>
      <c r="WPJ40" s="66"/>
      <c r="WPK40" s="66"/>
      <c r="WPL40" s="66"/>
      <c r="WPM40" s="66"/>
      <c r="WPN40" s="66"/>
      <c r="WPO40" s="66"/>
      <c r="WPP40" s="66"/>
      <c r="WPQ40" s="66"/>
      <c r="WPR40" s="66"/>
      <c r="WPS40" s="66"/>
      <c r="WPT40" s="66"/>
      <c r="WPU40" s="66"/>
      <c r="WPV40" s="66"/>
      <c r="WPW40" s="66"/>
      <c r="WPX40" s="66"/>
      <c r="WPY40" s="66"/>
      <c r="WPZ40" s="66"/>
      <c r="WQA40" s="66"/>
      <c r="WQB40" s="66"/>
      <c r="WQC40" s="66"/>
      <c r="WQD40" s="66"/>
      <c r="WQE40" s="66"/>
      <c r="WQF40" s="66"/>
      <c r="WQG40" s="66"/>
      <c r="WQH40" s="66"/>
      <c r="WQI40" s="66"/>
      <c r="WQJ40" s="66"/>
      <c r="WQK40" s="66"/>
      <c r="WQL40" s="66"/>
      <c r="WQM40" s="66"/>
      <c r="WQN40" s="66"/>
      <c r="WQO40" s="66"/>
      <c r="WQP40" s="66"/>
      <c r="WQQ40" s="66"/>
      <c r="WQR40" s="66"/>
      <c r="WQS40" s="66"/>
      <c r="WQT40" s="66"/>
      <c r="WQU40" s="66"/>
      <c r="WQV40" s="66"/>
      <c r="WQW40" s="66"/>
      <c r="WQX40" s="66"/>
      <c r="WQY40" s="66"/>
      <c r="WQZ40" s="66"/>
      <c r="WRA40" s="66"/>
      <c r="WRB40" s="66"/>
      <c r="WRC40" s="66"/>
      <c r="WRD40" s="66"/>
      <c r="WRE40" s="66"/>
      <c r="WRF40" s="66"/>
      <c r="WRG40" s="66"/>
      <c r="WRH40" s="66"/>
      <c r="WRI40" s="66"/>
      <c r="WRJ40" s="66"/>
      <c r="WRK40" s="66"/>
      <c r="WRL40" s="66"/>
      <c r="WRM40" s="66"/>
      <c r="WRN40" s="66"/>
      <c r="WRO40" s="66"/>
      <c r="WRP40" s="66"/>
      <c r="WRQ40" s="66"/>
      <c r="WRR40" s="66"/>
      <c r="WRS40" s="66"/>
      <c r="WRT40" s="66"/>
      <c r="WRU40" s="66"/>
      <c r="WRV40" s="66"/>
      <c r="WRW40" s="66"/>
      <c r="WRX40" s="66"/>
      <c r="WRY40" s="66"/>
      <c r="WRZ40" s="66"/>
      <c r="WSA40" s="66"/>
      <c r="WSB40" s="66"/>
      <c r="WSC40" s="66"/>
      <c r="WSD40" s="66"/>
      <c r="WSE40" s="66"/>
      <c r="WSF40" s="66"/>
      <c r="WSG40" s="66"/>
      <c r="WSH40" s="66"/>
      <c r="WSI40" s="66"/>
      <c r="WSJ40" s="66"/>
      <c r="WSK40" s="66"/>
      <c r="WSL40" s="66"/>
      <c r="WSM40" s="66"/>
      <c r="WSN40" s="66"/>
      <c r="WSO40" s="66"/>
      <c r="WSP40" s="66"/>
      <c r="WSQ40" s="66"/>
      <c r="WSR40" s="66"/>
      <c r="WSS40" s="66"/>
      <c r="WST40" s="66"/>
      <c r="WSU40" s="66"/>
      <c r="WSV40" s="66"/>
      <c r="WSW40" s="66"/>
      <c r="WSX40" s="66"/>
      <c r="WSY40" s="66"/>
      <c r="WSZ40" s="66"/>
      <c r="WTA40" s="66"/>
      <c r="WTB40" s="66"/>
      <c r="WTC40" s="66"/>
      <c r="WTD40" s="66"/>
      <c r="WTE40" s="66"/>
      <c r="WTF40" s="66"/>
      <c r="WTG40" s="66"/>
      <c r="WTH40" s="66"/>
      <c r="WTI40" s="66"/>
      <c r="WTJ40" s="66"/>
      <c r="WTK40" s="66"/>
      <c r="WTL40" s="66"/>
      <c r="WTM40" s="66"/>
      <c r="WTN40" s="66"/>
      <c r="WTO40" s="66"/>
      <c r="WTP40" s="66"/>
      <c r="WTQ40" s="66"/>
      <c r="WTR40" s="66"/>
      <c r="WTS40" s="66"/>
      <c r="WTT40" s="66"/>
      <c r="WTU40" s="66"/>
      <c r="WTV40" s="66"/>
      <c r="WTW40" s="66"/>
      <c r="WTX40" s="66"/>
      <c r="WTY40" s="66"/>
      <c r="WTZ40" s="66"/>
      <c r="WUA40" s="66"/>
      <c r="WUB40" s="66"/>
      <c r="WUC40" s="66"/>
      <c r="WUD40" s="66"/>
      <c r="WUE40" s="66"/>
      <c r="WUF40" s="66"/>
      <c r="WUG40" s="66"/>
      <c r="WUH40" s="66"/>
      <c r="WUI40" s="66"/>
      <c r="WUJ40" s="66"/>
      <c r="WUK40" s="66"/>
      <c r="WUL40" s="66"/>
      <c r="WUM40" s="66"/>
      <c r="WUN40" s="66"/>
      <c r="WUO40" s="66"/>
      <c r="WUP40" s="66"/>
      <c r="WUQ40" s="66"/>
      <c r="WUR40" s="66"/>
      <c r="WUS40" s="66"/>
      <c r="WUT40" s="66"/>
      <c r="WUU40" s="66"/>
      <c r="WUV40" s="66"/>
      <c r="WUW40" s="66"/>
      <c r="WUX40" s="66"/>
      <c r="WUY40" s="66"/>
      <c r="WUZ40" s="66"/>
      <c r="WVA40" s="66"/>
      <c r="WVB40" s="66"/>
      <c r="WVC40" s="66"/>
      <c r="WVD40" s="66"/>
      <c r="WVE40" s="66"/>
      <c r="WVF40" s="66"/>
      <c r="WVG40" s="66"/>
      <c r="WVH40" s="66"/>
      <c r="WVI40" s="66"/>
      <c r="WVJ40" s="66"/>
      <c r="WVK40" s="66"/>
      <c r="WVL40" s="66"/>
      <c r="WVM40" s="66"/>
      <c r="WVN40" s="66"/>
      <c r="WVO40" s="66"/>
      <c r="WVP40" s="66"/>
      <c r="WVQ40" s="66"/>
      <c r="WVR40" s="66"/>
      <c r="WVS40" s="66"/>
      <c r="WVT40" s="66"/>
      <c r="WVU40" s="66"/>
      <c r="WVV40" s="66"/>
      <c r="WVW40" s="66"/>
      <c r="WVX40" s="66"/>
      <c r="WVY40" s="66"/>
      <c r="WVZ40" s="66"/>
      <c r="WWA40" s="66"/>
      <c r="WWB40" s="66"/>
      <c r="WWC40" s="66"/>
      <c r="WWD40" s="66"/>
      <c r="WWE40" s="66"/>
      <c r="WWF40" s="66"/>
      <c r="WWG40" s="66"/>
      <c r="WWH40" s="66"/>
      <c r="WWI40" s="66"/>
      <c r="WWJ40" s="66"/>
      <c r="WWK40" s="66"/>
      <c r="WWL40" s="66"/>
      <c r="WWM40" s="66"/>
      <c r="WWN40" s="66"/>
      <c r="WWO40" s="66"/>
      <c r="WWP40" s="66"/>
      <c r="WWQ40" s="66"/>
      <c r="WWR40" s="66"/>
      <c r="WWS40" s="66"/>
      <c r="WWT40" s="66"/>
      <c r="WWU40" s="66"/>
      <c r="WWV40" s="66"/>
      <c r="WWW40" s="66"/>
      <c r="WWX40" s="66"/>
      <c r="WWY40" s="66"/>
      <c r="WWZ40" s="66"/>
      <c r="WXA40" s="66"/>
      <c r="WXB40" s="66"/>
      <c r="WXC40" s="66"/>
      <c r="WXD40" s="66"/>
      <c r="WXE40" s="66"/>
      <c r="WXF40" s="66"/>
      <c r="WXG40" s="66"/>
      <c r="WXH40" s="66"/>
      <c r="WXI40" s="66"/>
      <c r="WXJ40" s="66"/>
      <c r="WXK40" s="66"/>
      <c r="WXL40" s="66"/>
      <c r="WXM40" s="66"/>
      <c r="WXN40" s="66"/>
      <c r="WXO40" s="66"/>
      <c r="WXP40" s="66"/>
      <c r="WXQ40" s="66"/>
      <c r="WXR40" s="66"/>
      <c r="WXS40" s="66"/>
      <c r="WXT40" s="66"/>
      <c r="WXU40" s="66"/>
      <c r="WXV40" s="66"/>
      <c r="WXW40" s="66"/>
      <c r="WXX40" s="66"/>
      <c r="WXY40" s="66"/>
      <c r="WXZ40" s="66"/>
      <c r="WYA40" s="66"/>
      <c r="WYB40" s="66"/>
      <c r="WYC40" s="66"/>
      <c r="WYD40" s="66"/>
      <c r="WYE40" s="66"/>
      <c r="WYF40" s="66"/>
      <c r="WYG40" s="66"/>
      <c r="WYH40" s="66"/>
      <c r="WYI40" s="66"/>
      <c r="WYJ40" s="66"/>
      <c r="WYK40" s="66"/>
      <c r="WYL40" s="66"/>
      <c r="WYM40" s="66"/>
      <c r="WYN40" s="66"/>
      <c r="WYO40" s="66"/>
      <c r="WYP40" s="66"/>
      <c r="WYQ40" s="66"/>
      <c r="WYR40" s="66"/>
      <c r="WYS40" s="66"/>
      <c r="WYT40" s="66"/>
      <c r="WYU40" s="66"/>
      <c r="WYV40" s="66"/>
      <c r="WYW40" s="66"/>
      <c r="WYX40" s="66"/>
      <c r="WYY40" s="66"/>
      <c r="WYZ40" s="66"/>
      <c r="WZA40" s="66"/>
      <c r="WZB40" s="66"/>
      <c r="WZC40" s="66"/>
      <c r="WZD40" s="66"/>
      <c r="WZE40" s="66"/>
      <c r="WZF40" s="66"/>
      <c r="WZG40" s="66"/>
      <c r="WZH40" s="66"/>
      <c r="WZI40" s="66"/>
      <c r="WZJ40" s="66"/>
      <c r="WZK40" s="66"/>
      <c r="WZL40" s="66"/>
      <c r="WZM40" s="66"/>
      <c r="WZN40" s="66"/>
      <c r="WZO40" s="66"/>
      <c r="WZP40" s="66"/>
      <c r="WZQ40" s="66"/>
      <c r="WZR40" s="66"/>
      <c r="WZS40" s="66"/>
      <c r="WZT40" s="66"/>
      <c r="WZU40" s="66"/>
      <c r="WZV40" s="66"/>
      <c r="WZW40" s="66"/>
      <c r="WZX40" s="66"/>
      <c r="WZY40" s="66"/>
      <c r="WZZ40" s="66"/>
      <c r="XAA40" s="66"/>
      <c r="XAB40" s="66"/>
      <c r="XAC40" s="66"/>
      <c r="XAD40" s="66"/>
      <c r="XAE40" s="66"/>
      <c r="XAF40" s="66"/>
      <c r="XAG40" s="66"/>
      <c r="XAH40" s="66"/>
      <c r="XAI40" s="66"/>
      <c r="XAJ40" s="66"/>
      <c r="XAK40" s="66"/>
      <c r="XAL40" s="66"/>
      <c r="XAM40" s="66"/>
      <c r="XAN40" s="66"/>
      <c r="XAO40" s="66"/>
      <c r="XAP40" s="66"/>
      <c r="XAQ40" s="66"/>
      <c r="XAR40" s="66"/>
      <c r="XAS40" s="66"/>
      <c r="XAT40" s="66"/>
      <c r="XAU40" s="66"/>
      <c r="XAV40" s="66"/>
      <c r="XAW40" s="66"/>
      <c r="XAX40" s="66"/>
      <c r="XAY40" s="66"/>
      <c r="XAZ40" s="66"/>
      <c r="XBA40" s="66"/>
      <c r="XBB40" s="66"/>
      <c r="XBC40" s="66"/>
      <c r="XBD40" s="66"/>
      <c r="XBE40" s="66"/>
      <c r="XBF40" s="66"/>
      <c r="XBG40" s="66"/>
      <c r="XBH40" s="66"/>
      <c r="XBI40" s="66"/>
      <c r="XBJ40" s="66"/>
      <c r="XBK40" s="66"/>
      <c r="XBL40" s="66"/>
      <c r="XBM40" s="66"/>
      <c r="XBN40" s="66"/>
      <c r="XBO40" s="66"/>
      <c r="XBP40" s="66"/>
      <c r="XBQ40" s="66"/>
      <c r="XBR40" s="66"/>
      <c r="XBS40" s="66"/>
      <c r="XBT40" s="66"/>
      <c r="XBU40" s="66"/>
      <c r="XBV40" s="66"/>
      <c r="XBW40" s="66"/>
      <c r="XBX40" s="66"/>
      <c r="XBY40" s="66"/>
      <c r="XBZ40" s="66"/>
      <c r="XCA40" s="66"/>
      <c r="XCB40" s="66"/>
      <c r="XCC40" s="66"/>
      <c r="XCD40" s="66"/>
      <c r="XCE40" s="66"/>
      <c r="XCF40" s="66"/>
      <c r="XCG40" s="66"/>
      <c r="XCH40" s="66"/>
      <c r="XCI40" s="66"/>
      <c r="XCJ40" s="66"/>
      <c r="XCK40" s="66"/>
      <c r="XCL40" s="66"/>
      <c r="XCM40" s="66"/>
      <c r="XCN40" s="66"/>
      <c r="XCO40" s="66"/>
      <c r="XCP40" s="66"/>
      <c r="XCQ40" s="66"/>
      <c r="XCR40" s="66"/>
      <c r="XCS40" s="66"/>
      <c r="XCT40" s="66"/>
      <c r="XCU40" s="66"/>
      <c r="XCV40" s="66"/>
      <c r="XCW40" s="66"/>
      <c r="XCX40" s="66"/>
      <c r="XCY40" s="66"/>
      <c r="XCZ40" s="66"/>
      <c r="XDA40" s="66"/>
      <c r="XDB40" s="66"/>
      <c r="XDC40" s="66"/>
      <c r="XDD40" s="66"/>
      <c r="XDE40" s="66"/>
      <c r="XDF40" s="66"/>
      <c r="XDG40" s="66"/>
      <c r="XDH40" s="66"/>
      <c r="XDI40" s="66"/>
      <c r="XDJ40" s="66"/>
      <c r="XDK40" s="66"/>
      <c r="XDL40" s="66"/>
      <c r="XDM40" s="66"/>
      <c r="XDN40" s="66"/>
      <c r="XDO40" s="66"/>
      <c r="XDP40" s="66"/>
      <c r="XDQ40" s="66"/>
      <c r="XDR40" s="66"/>
      <c r="XDS40" s="66"/>
      <c r="XDT40" s="66"/>
      <c r="XDU40" s="66"/>
      <c r="XDV40" s="66"/>
      <c r="XDW40" s="66"/>
      <c r="XDX40" s="66"/>
      <c r="XDY40" s="66"/>
      <c r="XDZ40" s="66"/>
      <c r="XEA40" s="66"/>
      <c r="XEB40" s="66"/>
      <c r="XEC40" s="66"/>
      <c r="XED40" s="66"/>
      <c r="XEE40" s="66"/>
      <c r="XEF40" s="66"/>
      <c r="XEG40" s="66"/>
      <c r="XEH40" s="66"/>
      <c r="XEI40" s="66"/>
      <c r="XEJ40" s="66"/>
      <c r="XEK40" s="66"/>
      <c r="XEL40" s="66"/>
      <c r="XEM40" s="66"/>
      <c r="XEN40" s="66"/>
    </row>
    <row r="41" spans="1:16368" ht="13.5">
      <c r="A41" s="86"/>
      <c r="B41" s="67"/>
      <c r="C41" s="68"/>
      <c r="D41" s="68"/>
      <c r="E41" s="68"/>
      <c r="F41" s="69"/>
      <c r="J41" s="86"/>
      <c r="K41" s="86"/>
      <c r="P41" s="89"/>
    </row>
  </sheetData>
  <mergeCells count="2">
    <mergeCell ref="I8:I12"/>
    <mergeCell ref="B14:F14"/>
  </mergeCells>
  <phoneticPr fontId="29" type="noConversion"/>
  <conditionalFormatting sqref="C7:E13">
    <cfRule type="cellIs" dxfId="28" priority="1" operator="greaterThan">
      <formula>0</formula>
    </cfRule>
  </conditionalFormatting>
  <conditionalFormatting sqref="C8:F13">
    <cfRule type="cellIs" dxfId="27" priority="2" operator="lessThan">
      <formula>0</formula>
    </cfRule>
  </conditionalFormatting>
  <conditionalFormatting sqref="C25:F26 C28:F30 C32:F33">
    <cfRule type="cellIs" dxfId="26" priority="7" operator="greaterThan">
      <formula>C$7</formula>
    </cfRule>
  </conditionalFormatting>
  <conditionalFormatting sqref="D39:D4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9:E4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L21" sqref="L21"/>
    </sheetView>
  </sheetViews>
  <sheetFormatPr defaultRowHeight="12.5"/>
  <cols>
    <col min="1" max="1" width="22.81640625" customWidth="1"/>
    <col min="3" max="3" width="12.26953125" hidden="1" customWidth="1"/>
    <col min="4" max="4" width="43.54296875" bestFit="1" customWidth="1"/>
    <col min="5" max="5" width="13.453125" customWidth="1"/>
    <col min="6" max="6" width="11.81640625" customWidth="1"/>
    <col min="7" max="7" width="15.54296875" customWidth="1"/>
    <col min="8" max="8" width="13.81640625" customWidth="1"/>
  </cols>
  <sheetData>
    <row r="2" spans="1:8">
      <c r="B2" t="s">
        <v>252</v>
      </c>
      <c r="D2" s="53">
        <f ca="1">日期页!B4</f>
        <v>46321</v>
      </c>
      <c r="E2" s="51">
        <f ca="1">VLOOKUP(D2,实盘组合净值!$A:$S,14,0)</f>
        <v>0.97549262990379848</v>
      </c>
      <c r="F2" s="51"/>
      <c r="G2" s="51"/>
    </row>
    <row r="3" spans="1:8" ht="13">
      <c r="B3" t="s">
        <v>253</v>
      </c>
      <c r="D3" s="102">
        <f ca="1">日期页!B5</f>
        <v>46318</v>
      </c>
      <c r="E3" s="51">
        <f ca="1">VLOOKUP(D3,实盘组合净值!$A:$S,14,0)</f>
        <v>0.97552953283760457</v>
      </c>
      <c r="F3" s="52"/>
      <c r="G3" s="53"/>
    </row>
    <row r="4" spans="1:8" ht="13">
      <c r="D4" s="53">
        <f ca="1">日期页!B9</f>
        <v>46316</v>
      </c>
      <c r="E4" s="51">
        <f ca="1">VLOOKUP(D4,实盘组合净值!$A:$S,14,0)</f>
        <v>0.9792439907059336</v>
      </c>
      <c r="F4" s="52">
        <f ca="1">D2</f>
        <v>46321</v>
      </c>
      <c r="G4" s="53">
        <f>日期页!B6</f>
        <v>46195</v>
      </c>
      <c r="H4" s="53">
        <f>G4</f>
        <v>46195</v>
      </c>
    </row>
    <row r="5" spans="1:8" ht="13">
      <c r="D5" s="158">
        <f ca="1">日期页!B10</f>
        <v>46317</v>
      </c>
      <c r="E5" s="51">
        <f ca="1">VLOOKUP(D5,实盘组合净值!$A:$S,14,0)</f>
        <v>0.97523795832814941</v>
      </c>
      <c r="F5" s="52">
        <f ca="1">D5</f>
        <v>46317</v>
      </c>
      <c r="G5" s="53">
        <f ca="1">D5</f>
        <v>46317</v>
      </c>
      <c r="H5" s="53">
        <f ca="1">D5</f>
        <v>46317</v>
      </c>
    </row>
    <row r="6" spans="1:8" s="34" customFormat="1" ht="30" customHeight="1">
      <c r="A6" s="106" t="s">
        <v>201</v>
      </c>
      <c r="B6" s="106" t="s">
        <v>224</v>
      </c>
      <c r="C6" s="107" t="s">
        <v>28</v>
      </c>
      <c r="D6" s="108">
        <f ca="1">D5</f>
        <v>46317</v>
      </c>
      <c r="E6" s="106" t="s">
        <v>232</v>
      </c>
      <c r="F6" s="106" t="s">
        <v>186</v>
      </c>
      <c r="G6" s="106" t="s">
        <v>193</v>
      </c>
      <c r="H6" s="106" t="s">
        <v>204</v>
      </c>
    </row>
    <row r="7" spans="1:8" s="34" customFormat="1" ht="30" customHeight="1">
      <c r="A7" s="109" t="s">
        <v>229</v>
      </c>
      <c r="B7" s="110">
        <v>0.1</v>
      </c>
      <c r="C7" s="78"/>
      <c r="D7" s="111" t="s">
        <v>207</v>
      </c>
      <c r="E7" s="112">
        <f ca="1">E5/E4-1</f>
        <v>-4.0909440505182415E-3</v>
      </c>
      <c r="F7" s="112">
        <f ca="1">E5/E3-1</f>
        <v>-2.9888844944248039E-4</v>
      </c>
      <c r="G7" s="112">
        <f ca="1">E5-1</f>
        <v>-2.4762041671850588E-2</v>
      </c>
      <c r="H7" s="112">
        <f>MIN(实盘组合净值!P:P)</f>
        <v>-2.8729069309879618E-2</v>
      </c>
    </row>
    <row r="8" spans="1:8" s="34" customFormat="1" ht="30" customHeight="1">
      <c r="A8" s="231" t="s">
        <v>225</v>
      </c>
      <c r="B8" s="232" t="s">
        <v>226</v>
      </c>
      <c r="C8" s="78" t="s">
        <v>217</v>
      </c>
      <c r="D8" s="113" t="str">
        <f>[1]!thsiFinD("ths_fund_official_short_name_fund",C8)</f>
        <v>华安盈瑞稳健优选6个月持有混合(FOF)A</v>
      </c>
      <c r="E8" s="114">
        <f ca="1">[1]!thsiFinD("ths_adjustment_nvg_rate_fund",C8,$D$5)/100</f>
        <v>-5.5111600002755005E-4</v>
      </c>
      <c r="F8" s="114">
        <f ca="1">[1]!thsiFinD("ths_adjustment_nvg_ratio_fund",$C8,F$4,F$5,101)/100</f>
        <v>0</v>
      </c>
      <c r="G8" s="114">
        <f ca="1">[1]!thsiFinD("ths_adjustment_nvg_ratio_fund",$C8,G$4,G$5,101)/100</f>
        <v>-9.3620282521234E-3</v>
      </c>
      <c r="H8" s="114">
        <f ca="1">-[1]!thsiFinD("ths_max_retrace_rate_all_fund",$C8,H$4,H$5)/100</f>
        <v>-1.1226388556636999E-2</v>
      </c>
    </row>
    <row r="9" spans="1:8" s="34" customFormat="1" ht="30" customHeight="1">
      <c r="A9" s="231"/>
      <c r="B9" s="232"/>
      <c r="C9" s="157" t="s">
        <v>218</v>
      </c>
      <c r="D9" s="115" t="str">
        <f>[1]!thsiFinD("ths_fund_official_short_name_fund",C9)</f>
        <v>中欧盈欣稳健6个月持有混合(FOF)A</v>
      </c>
      <c r="E9" s="116">
        <f ca="1">[1]!thsiFinD("ths_adjustment_nvg_rate_fund",C9,$D$5)/100</f>
        <v>-1.3001300130012E-3</v>
      </c>
      <c r="F9" s="116">
        <f ca="1">[1]!thsiFinD("ths_adjustment_nvg_ratio_fund",$C9,F$4,F$5,101)/100</f>
        <v>0</v>
      </c>
      <c r="G9" s="116">
        <f ca="1">[1]!thsiFinD("ths_adjustment_nvg_ratio_fund",$C9,G$4,G$5,101)/100</f>
        <v>-2.7960854803275995E-3</v>
      </c>
      <c r="H9" s="116">
        <f ca="1">-[1]!thsiFinD("ths_max_retrace_rate_all_fund",$C9,H$4,H$5)/100</f>
        <v>-8.3416087388280998E-3</v>
      </c>
    </row>
    <row r="10" spans="1:8" s="34" customFormat="1" ht="30" customHeight="1">
      <c r="A10" s="231"/>
      <c r="B10" s="232"/>
      <c r="C10" s="78" t="s">
        <v>219</v>
      </c>
      <c r="D10" s="113" t="str">
        <f>[1]!thsiFinD("ths_fund_official_short_name_fund",C10)</f>
        <v>博时臻选楚汇三个月持有债券(FOF)B</v>
      </c>
      <c r="E10" s="114">
        <f ca="1">[1]!thsiFinD("ths_adjustment_nvg_rate_fund",C10,$D$5)/100</f>
        <v>-4.6202185251353997E-4</v>
      </c>
      <c r="F10" s="114">
        <f ca="1">[1]!thsiFinD("ths_adjustment_nvg_ratio_fund",$C10,F$4,F$5,101)/100</f>
        <v>0</v>
      </c>
      <c r="G10" s="114">
        <f ca="1">[1]!thsiFinD("ths_adjustment_nvg_ratio_fund",$C10,G$4,G$5,101)/100</f>
        <v>-1.0632042213040999E-2</v>
      </c>
      <c r="H10" s="114">
        <f ca="1">-[1]!thsiFinD("ths_max_retrace_rate_all_fund",$C10,H$4,H$5)/100</f>
        <v>-1.4762165090935999E-2</v>
      </c>
    </row>
    <row r="11" spans="1:8" s="34" customFormat="1" ht="30" customHeight="1">
      <c r="A11" s="231"/>
      <c r="B11" s="232"/>
      <c r="C11" s="157" t="s">
        <v>220</v>
      </c>
      <c r="D11" s="115" t="str">
        <f>[1]!thsiFinD("ths_fund_official_short_name_fund",C11)</f>
        <v>中欧盈选稳健6个月持有混合发起(FOF)A</v>
      </c>
      <c r="E11" s="116">
        <f ca="1">[1]!thsiFinD("ths_adjustment_nvg_rate_fund",C11,$D$5)/100</f>
        <v>-1.2410501099951001E-3</v>
      </c>
      <c r="F11" s="116">
        <f ca="1">[1]!thsiFinD("ths_adjustment_nvg_ratio_fund",$C11,F$4,F$5,101)/100</f>
        <v>0</v>
      </c>
      <c r="G11" s="116">
        <f ca="1">[1]!thsiFinD("ths_adjustment_nvg_ratio_fund",$C11,G$4,G$5,101)/100</f>
        <v>-2.4825825224551001E-3</v>
      </c>
      <c r="H11" s="116">
        <f ca="1">-[1]!thsiFinD("ths_max_retrace_rate_all_fund",$C11,H$4,H$5)/100</f>
        <v>-8.3412322858000005E-3</v>
      </c>
    </row>
    <row r="12" spans="1:8" s="34" customFormat="1" ht="30" customHeight="1">
      <c r="A12" s="231"/>
      <c r="B12" s="232"/>
      <c r="C12" s="78" t="s">
        <v>221</v>
      </c>
      <c r="D12" s="113" t="str">
        <f>[1]!thsiFinD("ths_fund_official_short_name_fund",C12)</f>
        <v>博时盈泰臻选6个月持有期混合(FOF)A</v>
      </c>
      <c r="E12" s="114">
        <f ca="1">[1]!thsiFinD("ths_adjustment_nvg_rate_fund",C12,$D$5)/100</f>
        <v>-6.0777957860614002E-4</v>
      </c>
      <c r="F12" s="114">
        <f ca="1">[1]!thsiFinD("ths_adjustment_nvg_ratio_fund",$C12,F$4,F$5,101)/100</f>
        <v>0</v>
      </c>
      <c r="G12" s="114">
        <f ca="1">[1]!thsiFinD("ths_adjustment_nvg_ratio_fund",$C12,G$4,G$5,101)/100</f>
        <v>-1.4188649080735001E-2</v>
      </c>
      <c r="H12" s="114">
        <f ca="1">-[1]!thsiFinD("ths_max_retrace_rate_all_fund",$C12,H$4,H$5)/100</f>
        <v>-1.9089282163452001E-2</v>
      </c>
    </row>
    <row r="13" spans="1:8" s="34" customFormat="1" ht="30" customHeight="1">
      <c r="A13" s="231" t="s">
        <v>227</v>
      </c>
      <c r="B13" s="231" t="s">
        <v>228</v>
      </c>
      <c r="C13" s="157" t="s">
        <v>222</v>
      </c>
      <c r="D13" s="115" t="str">
        <f>[1]!thsiFinD("ths_fund_official_short_name_fund",C13)</f>
        <v>易方达如意盈安6个月持有混合发起式(FOF)A</v>
      </c>
      <c r="E13" s="116">
        <f ca="1">[1]!thsiFinD("ths_adjustment_nvg_rate_fund",C13,$D$5)/100</f>
        <v>-1.103088648215E-3</v>
      </c>
      <c r="F13" s="116">
        <f ca="1">[1]!thsiFinD("ths_adjustment_nvg_ratio_fund",$C13,F$4,F$5,101)/100</f>
        <v>0</v>
      </c>
      <c r="G13" s="116">
        <f ca="1">[1]!thsiFinD("ths_adjustment_nvg_ratio_fund",$C13,G$4,G$5,101)/100</f>
        <v>-2.4674434544208E-2</v>
      </c>
      <c r="H13" s="116">
        <f ca="1">-[1]!thsiFinD("ths_max_retrace_rate_all_fund",$C13,H$4,H$5)/100</f>
        <v>-2.8574214940510999E-2</v>
      </c>
    </row>
    <row r="14" spans="1:8" s="34" customFormat="1" ht="30" customHeight="1">
      <c r="A14" s="233"/>
      <c r="B14" s="233"/>
      <c r="C14" s="78" t="s">
        <v>223</v>
      </c>
      <c r="D14" s="113" t="str">
        <f>[1]!thsiFinD("ths_fund_official_short_name_fund",C14)</f>
        <v>易方达如意安诚六个月持有混合(FOF)A</v>
      </c>
      <c r="E14" s="114">
        <f ca="1">[1]!thsiFinD("ths_adjustment_nvg_rate_fund",C14,$D$5)/100</f>
        <v>-1.004107636856E-3</v>
      </c>
      <c r="F14" s="114">
        <f ca="1">[1]!thsiFinD("ths_adjustment_nvg_ratio_fund",$C14,F$4,F$5,101)/100</f>
        <v>0</v>
      </c>
      <c r="G14" s="114">
        <f ca="1">[1]!thsiFinD("ths_adjustment_nvg_ratio_fund",$C14,G$4,G$5,101)/100</f>
        <v>-2.5893849482023001E-2</v>
      </c>
      <c r="H14" s="114">
        <f ca="1">-[1]!thsiFinD("ths_max_retrace_rate_all_fund",$C14,H$4,H$5)/100</f>
        <v>-2.9442505768062999E-2</v>
      </c>
    </row>
    <row r="15" spans="1:8" ht="25" customHeight="1">
      <c r="A15" s="103" t="s">
        <v>233</v>
      </c>
      <c r="B15" s="103"/>
      <c r="C15" s="104"/>
      <c r="D15" s="105"/>
      <c r="E15" s="105"/>
      <c r="F15" s="105"/>
      <c r="G15" s="105"/>
      <c r="H15" s="105"/>
    </row>
  </sheetData>
  <mergeCells count="4">
    <mergeCell ref="A8:A12"/>
    <mergeCell ref="B8:B12"/>
    <mergeCell ref="A13:A14"/>
    <mergeCell ref="B13:B14"/>
  </mergeCells>
  <phoneticPr fontId="29" type="noConversion"/>
  <conditionalFormatting sqref="E7:G14">
    <cfRule type="cellIs" dxfId="25" priority="1" operator="greaterThan">
      <formula>0</formula>
    </cfRule>
  </conditionalFormatting>
  <conditionalFormatting sqref="E8:H14">
    <cfRule type="cellIs" dxfId="24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4" workbookViewId="0">
      <selection activeCell="K21" sqref="K21"/>
    </sheetView>
  </sheetViews>
  <sheetFormatPr defaultRowHeight="12.5"/>
  <cols>
    <col min="1" max="1" width="8" customWidth="1"/>
    <col min="2" max="2" width="16" customWidth="1"/>
    <col min="3" max="3" width="43.7265625" bestFit="1" customWidth="1"/>
    <col min="4" max="4" width="12.54296875" style="42" customWidth="1"/>
    <col min="5" max="5" width="12" customWidth="1"/>
    <col min="6" max="6" width="15.26953125" customWidth="1"/>
    <col min="7" max="7" width="12.54296875" customWidth="1"/>
    <col min="8" max="8" width="21.1796875" customWidth="1"/>
  </cols>
  <sheetData>
    <row r="1" spans="1:8">
      <c r="E1" s="184">
        <f>VLOOKUP(E4,实盘组合净值!$A:$P,14)</f>
        <v>1.0008955316407739</v>
      </c>
      <c r="F1" s="184">
        <f>VLOOKUP(F4,实盘组合净值!$A:$P,14)</f>
        <v>1.0008955316407739</v>
      </c>
      <c r="G1" s="184">
        <f>VLOOKUP(G4,实盘组合净值!$A:$P,14)</f>
        <v>0.97483599855662972</v>
      </c>
    </row>
    <row r="2" spans="1:8">
      <c r="E2" s="184">
        <f ca="1">VLOOKUP(E5,实盘组合净值!$A:$P,14)</f>
        <v>0.97549262990379848</v>
      </c>
      <c r="F2" s="184">
        <f>VLOOKUP(F5,实盘组合净值!$A:$P,14)</f>
        <v>0.97390321005734459</v>
      </c>
      <c r="G2" s="184">
        <f ca="1">VLOOKUP(G5,实盘组合净值!$A:$P,14)</f>
        <v>0.97549262990379848</v>
      </c>
    </row>
    <row r="3" spans="1:8">
      <c r="E3" s="53">
        <v>46191</v>
      </c>
      <c r="F3" s="53">
        <v>46191</v>
      </c>
      <c r="G3" s="53">
        <v>46234</v>
      </c>
    </row>
    <row r="4" spans="1:8">
      <c r="E4" s="53">
        <v>46195</v>
      </c>
      <c r="F4" s="53">
        <v>46195</v>
      </c>
      <c r="G4" s="53">
        <v>46237</v>
      </c>
    </row>
    <row r="5" spans="1:8">
      <c r="E5" s="158">
        <f ca="1">日期页!B2</f>
        <v>46321</v>
      </c>
      <c r="F5" s="53">
        <v>46233</v>
      </c>
      <c r="G5" s="53">
        <f ca="1">E5</f>
        <v>46321</v>
      </c>
    </row>
    <row r="6" spans="1:8" ht="16.5">
      <c r="A6" s="185"/>
      <c r="B6" s="185"/>
      <c r="C6" s="234" t="s">
        <v>291</v>
      </c>
      <c r="D6" s="234"/>
      <c r="E6" s="234"/>
      <c r="F6" s="234"/>
      <c r="G6" s="234"/>
      <c r="H6" s="234"/>
    </row>
    <row r="7" spans="1:8" ht="33">
      <c r="A7" s="186" t="s">
        <v>292</v>
      </c>
      <c r="B7" s="186" t="s">
        <v>28</v>
      </c>
      <c r="C7" s="186" t="s">
        <v>293</v>
      </c>
      <c r="D7" s="186" t="s">
        <v>294</v>
      </c>
      <c r="E7" s="186" t="s">
        <v>196</v>
      </c>
      <c r="F7" s="186" t="s">
        <v>295</v>
      </c>
      <c r="G7" s="186" t="s">
        <v>296</v>
      </c>
      <c r="H7" s="187" t="s">
        <v>297</v>
      </c>
    </row>
    <row r="8" spans="1:8" ht="16.5">
      <c r="A8" s="191" t="s">
        <v>298</v>
      </c>
      <c r="B8" s="191"/>
      <c r="C8" s="192" t="s">
        <v>299</v>
      </c>
      <c r="D8" s="191"/>
      <c r="E8" s="193">
        <f ca="1">E$2/E$1-1</f>
        <v>-2.5380172989015515E-2</v>
      </c>
      <c r="F8" s="193">
        <f t="shared" ref="F8" si="0">F$2/F$1-1</f>
        <v>-2.6968170733243979E-2</v>
      </c>
      <c r="G8" s="193">
        <f ca="1">G$2/G$1-1</f>
        <v>6.7358134921247093E-4</v>
      </c>
      <c r="H8" s="193">
        <f>'vs固收+'!F7</f>
        <v>-2.8729069309879618E-2</v>
      </c>
    </row>
    <row r="9" spans="1:8" ht="16.5">
      <c r="A9" s="78">
        <v>1</v>
      </c>
      <c r="B9" s="78" t="s">
        <v>275</v>
      </c>
      <c r="C9" s="113" t="s">
        <v>300</v>
      </c>
      <c r="D9" s="78">
        <v>712</v>
      </c>
      <c r="E9" s="188">
        <f ca="1">[1]!thsiFinD("ths_adjustment_nvg_ratio_fund",$B9,E$4,E$5,101)/100</f>
        <v>-0.10160583942934</v>
      </c>
      <c r="F9" s="188">
        <f>[1]!thsiFinD("ths_adjustment_nvg_ratio_fund",$B9,F$4,F$5,101)/100</f>
        <v>-7.3401459857001999E-2</v>
      </c>
      <c r="G9" s="188">
        <f ca="1">[1]!thsiFinD("ths_adjustment_nvg_ratio_fund",$B9,G$4,G$5,101)/100</f>
        <v>-3.9458075768116004E-2</v>
      </c>
      <c r="H9" s="188">
        <f ca="1">-[1]!thsiFinD("ths_max_retrace_rate_all_fund",$B9,E$3,E$5)/100</f>
        <v>-0.11327988848211999</v>
      </c>
    </row>
    <row r="10" spans="1:8" ht="16.5">
      <c r="A10" s="194">
        <v>2</v>
      </c>
      <c r="B10" s="194" t="s">
        <v>272</v>
      </c>
      <c r="C10" s="195" t="s">
        <v>301</v>
      </c>
      <c r="D10" s="194">
        <v>584</v>
      </c>
      <c r="E10" s="196">
        <f ca="1">[1]!thsiFinD("ths_adjustment_nvg_ratio_fund",$B10,E$4,E$5,101)/100</f>
        <v>-6.5373912257124009E-2</v>
      </c>
      <c r="F10" s="196">
        <f>[1]!thsiFinD("ths_adjustment_nvg_ratio_fund",$B10,F$4,F$5,101)/100</f>
        <v>-5.1945757323097003E-2</v>
      </c>
      <c r="G10" s="196">
        <f ca="1">[1]!thsiFinD("ths_adjustment_nvg_ratio_fund",$B10,G$4,G$5,101)/100</f>
        <v>-2.1096460780055001E-2</v>
      </c>
      <c r="H10" s="196">
        <f ca="1">-[1]!thsiFinD("ths_max_retrace_rate_all_fund",$B10,E$3,E$5)/100</f>
        <v>-7.9369940919479992E-2</v>
      </c>
    </row>
    <row r="11" spans="1:8" ht="16.5">
      <c r="A11" s="78">
        <v>3</v>
      </c>
      <c r="B11" s="78" t="s">
        <v>265</v>
      </c>
      <c r="C11" s="113" t="s">
        <v>302</v>
      </c>
      <c r="D11" s="78">
        <v>576</v>
      </c>
      <c r="E11" s="188">
        <f ca="1">[1]!thsiFinD("ths_adjustment_nvg_ratio_fund",$B11,E$4,E$5,101)/100</f>
        <v>-2.6743576264891E-2</v>
      </c>
      <c r="F11" s="188">
        <f>[1]!thsiFinD("ths_adjustment_nvg_ratio_fund",$B11,F$4,F$5,101)/100</f>
        <v>-1.3633980067752001E-2</v>
      </c>
      <c r="G11" s="188">
        <f ca="1">[1]!thsiFinD("ths_adjustment_nvg_ratio_fund",$B11,G$4,G$5,101)/100</f>
        <v>-1.486199574714E-2</v>
      </c>
      <c r="H11" s="188">
        <f ca="1">-[1]!thsiFinD("ths_max_retrace_rate_all_fund",$B11,E$3,E$5)/100</f>
        <v>-3.4446764120375999E-2</v>
      </c>
    </row>
    <row r="12" spans="1:8" ht="16.5">
      <c r="A12" s="194">
        <v>4</v>
      </c>
      <c r="B12" s="194" t="s">
        <v>303</v>
      </c>
      <c r="C12" s="195" t="s">
        <v>304</v>
      </c>
      <c r="D12" s="194">
        <v>393</v>
      </c>
      <c r="E12" s="196">
        <f ca="1">[1]!thsiFinD("ths_adjustment_nvg_ratio_fund",$B12,E$4,E$5,101)/100</f>
        <v>9.5770151857235992E-3</v>
      </c>
      <c r="F12" s="196">
        <f>[1]!thsiFinD("ths_adjustment_nvg_ratio_fund",$B12,F$4,F$5,101)/100</f>
        <v>1.5961691953112998E-2</v>
      </c>
      <c r="G12" s="196">
        <f ca="1">[1]!thsiFinD("ths_adjustment_nvg_ratio_fund",$B12,G$4,G$5,101)/100</f>
        <v>-8.6206896522402002E-3</v>
      </c>
      <c r="H12" s="196">
        <f ca="1">-[1]!thsiFinD("ths_max_retrace_rate_all_fund",$B12,E$3,E$5)/100</f>
        <v>-2.5502318384805E-2</v>
      </c>
    </row>
    <row r="13" spans="1:8" ht="16.5">
      <c r="A13" s="78">
        <v>5</v>
      </c>
      <c r="B13" s="78" t="s">
        <v>271</v>
      </c>
      <c r="C13" s="113" t="s">
        <v>305</v>
      </c>
      <c r="D13" s="78">
        <v>391</v>
      </c>
      <c r="E13" s="188">
        <f ca="1">[1]!thsiFinD("ths_adjustment_nvg_ratio_fund",$B13,E$4,E$5,101)/100</f>
        <v>-6.3701712352774997E-2</v>
      </c>
      <c r="F13" s="188">
        <f>[1]!thsiFinD("ths_adjustment_nvg_ratio_fund",$B13,F$4,F$5,101)/100</f>
        <v>-5.6454912032351999E-2</v>
      </c>
      <c r="G13" s="188">
        <f ca="1">[1]!thsiFinD("ths_adjustment_nvg_ratio_fund",$B13,G$4,G$5,101)/100</f>
        <v>-1.6573568203843002E-2</v>
      </c>
      <c r="H13" s="188">
        <f ca="1">-[1]!thsiFinD("ths_max_retrace_rate_all_fund",$B13,E$3,E$5)/100</f>
        <v>-8.0306257553408991E-2</v>
      </c>
    </row>
    <row r="14" spans="1:8" ht="16.5">
      <c r="A14" s="194">
        <v>6</v>
      </c>
      <c r="B14" s="194" t="s">
        <v>269</v>
      </c>
      <c r="C14" s="195" t="s">
        <v>306</v>
      </c>
      <c r="D14" s="194">
        <v>365</v>
      </c>
      <c r="E14" s="196">
        <f ca="1">[1]!thsiFinD("ths_adjustment_nvg_ratio_fund",$B14,E$4,E$5,101)/100</f>
        <v>-5.4380906615409001E-2</v>
      </c>
      <c r="F14" s="196">
        <f>[1]!thsiFinD("ths_adjustment_nvg_ratio_fund",$B14,F$4,F$5,101)/100</f>
        <v>-3.9484222329008001E-2</v>
      </c>
      <c r="G14" s="196">
        <f ca="1">[1]!thsiFinD("ths_adjustment_nvg_ratio_fund",$B14,G$4,G$5,101)/100</f>
        <v>-2.0734842829891E-2</v>
      </c>
      <c r="H14" s="196">
        <f ca="1">-[1]!thsiFinD("ths_max_retrace_rate_all_fund",$B14,E$3,E$5)/100</f>
        <v>-6.3982174120642998E-2</v>
      </c>
    </row>
    <row r="15" spans="1:8" ht="16.5">
      <c r="A15" s="78">
        <v>7</v>
      </c>
      <c r="B15" s="78" t="s">
        <v>307</v>
      </c>
      <c r="C15" s="113" t="s">
        <v>308</v>
      </c>
      <c r="D15" s="78">
        <v>361</v>
      </c>
      <c r="E15" s="188">
        <f ca="1">[1]!thsiFinD("ths_adjustment_nvg_ratio_fund",$B15,E$4,E$5,101)/100</f>
        <v>-6.6699123661148996E-2</v>
      </c>
      <c r="F15" s="188">
        <f>[1]!thsiFinD("ths_adjustment_nvg_ratio_fund",$B15,F$4,F$5,101)/100</f>
        <v>-2.8724440116844999E-2</v>
      </c>
      <c r="G15" s="188">
        <f ca="1">[1]!thsiFinD("ths_adjustment_nvg_ratio_fund",$B15,G$4,G$5,101)/100</f>
        <v>-4.7216699801193002E-2</v>
      </c>
      <c r="H15" s="188">
        <f ca="1">-[1]!thsiFinD("ths_max_retrace_rate_all_fund",$B15,E$3,E$5)/100</f>
        <v>-9.6712720343021003E-2</v>
      </c>
    </row>
    <row r="16" spans="1:8" ht="16.5">
      <c r="A16" s="194">
        <v>8</v>
      </c>
      <c r="B16" s="194" t="s">
        <v>309</v>
      </c>
      <c r="C16" s="195" t="s">
        <v>310</v>
      </c>
      <c r="D16" s="194">
        <v>359</v>
      </c>
      <c r="E16" s="196">
        <f ca="1">[1]!thsiFinD("ths_adjustment_nvg_ratio_fund",$B16,E$4,E$5,101)/100</f>
        <v>-2.3224369639745997E-2</v>
      </c>
      <c r="F16" s="196">
        <f>[1]!thsiFinD("ths_adjustment_nvg_ratio_fund",$B16,F$4,F$5,101)/100</f>
        <v>-1.6463851118404999E-2</v>
      </c>
      <c r="G16" s="196">
        <f ca="1">[1]!thsiFinD("ths_adjustment_nvg_ratio_fund",$B16,G$4,G$5,101)/100</f>
        <v>-7.8364840931516994E-3</v>
      </c>
      <c r="H16" s="196">
        <f ca="1">-[1]!thsiFinD("ths_max_retrace_rate_all_fund",$B16,E$3,E$5)/100</f>
        <v>-3.8087774270593996E-2</v>
      </c>
    </row>
    <row r="17" spans="1:8" ht="16.5">
      <c r="A17" s="78">
        <v>9</v>
      </c>
      <c r="B17" s="78" t="s">
        <v>311</v>
      </c>
      <c r="C17" s="113" t="s">
        <v>312</v>
      </c>
      <c r="D17" s="78">
        <v>342</v>
      </c>
      <c r="E17" s="188">
        <f ca="1">[1]!thsiFinD("ths_adjustment_nvg_ratio_fund",$B17,E$4,E$5,101)/100</f>
        <v>-7.484918792518E-2</v>
      </c>
      <c r="F17" s="188">
        <f>[1]!thsiFinD("ths_adjustment_nvg_ratio_fund",$B17,F$4,F$5,101)/100</f>
        <v>-4.8259860808042995E-2</v>
      </c>
      <c r="G17" s="188">
        <f ca="1">[1]!thsiFinD("ths_adjustment_nvg_ratio_fund",$B17,G$4,G$5,101)/100</f>
        <v>-3.3123181367379996E-2</v>
      </c>
      <c r="H17" s="188">
        <f ca="1">-[1]!thsiFinD("ths_max_retrace_rate_all_fund",$B17,E$3,E$5)/100</f>
        <v>-9.1963470310338996E-2</v>
      </c>
    </row>
    <row r="18" spans="1:8" ht="16.5">
      <c r="A18" s="194">
        <v>10</v>
      </c>
      <c r="B18" s="194" t="s">
        <v>313</v>
      </c>
      <c r="C18" s="195" t="s">
        <v>314</v>
      </c>
      <c r="D18" s="194">
        <v>314</v>
      </c>
      <c r="E18" s="196">
        <f ca="1">[1]!thsiFinD("ths_adjustment_nvg_ratio_fund",$B18,E$4,E$5,101)/100</f>
        <v>-2.4974164664058999E-2</v>
      </c>
      <c r="F18" s="196">
        <f>[1]!thsiFinD("ths_adjustment_nvg_ratio_fund",$B18,F$4,F$5,101)/100</f>
        <v>-7.2338959456968999E-4</v>
      </c>
      <c r="G18" s="196">
        <f ca="1">[1]!thsiFinD("ths_adjustment_nvg_ratio_fund",$B18,G$4,G$5,101)/100</f>
        <v>-2.4638180566924999E-2</v>
      </c>
      <c r="H18" s="196">
        <f ca="1">-[1]!thsiFinD("ths_max_retrace_rate_all_fund",$B18,E$3,E$5)/100</f>
        <v>-4.0846271974159E-2</v>
      </c>
    </row>
    <row r="21" spans="1:8" ht="16.5">
      <c r="A21" s="197"/>
      <c r="B21" s="197"/>
      <c r="C21" s="235" t="s">
        <v>315</v>
      </c>
      <c r="D21" s="235"/>
      <c r="E21" s="235"/>
      <c r="F21" s="235"/>
      <c r="G21" s="235"/>
      <c r="H21" s="235"/>
    </row>
    <row r="22" spans="1:8" ht="33">
      <c r="A22" s="198" t="str">
        <f>表3[[#Headers],[序号]]</f>
        <v>序号</v>
      </c>
      <c r="B22" s="198" t="str">
        <f>表3[[#Headers],[基金代码]]</f>
        <v>基金代码</v>
      </c>
      <c r="C22" s="198" t="str">
        <f>表3[[#Headers],[产品/基金名称]]</f>
        <v>产品/基金名称</v>
      </c>
      <c r="D22" s="198" t="str">
        <f>表3[[#Headers],[26Q2规模（亿元）]]</f>
        <v>26Q2规模（亿元）</v>
      </c>
      <c r="E22" s="198" t="str">
        <f>表3[[#Headers],[上线以来]]</f>
        <v>上线以来</v>
      </c>
      <c r="F22" s="198" t="str">
        <f>表3[[#Headers],[6/22-7/30]]</f>
        <v>6/22-7/30</v>
      </c>
      <c r="G22" s="198" t="str">
        <f>表3[[#Headers],[7.31至今]]</f>
        <v>7.31至今</v>
      </c>
      <c r="H22" s="199" t="str">
        <f>表3[[#Headers],[最大回撤（上线以来）]]</f>
        <v>最大回撤（上线以来）</v>
      </c>
    </row>
    <row r="23" spans="1:8" ht="16.5">
      <c r="A23" s="191" t="s">
        <v>298</v>
      </c>
      <c r="B23" s="191"/>
      <c r="C23" s="192" t="str">
        <f>C8</f>
        <v>10/90基石投顾组合</v>
      </c>
      <c r="D23" s="191"/>
      <c r="E23" s="193">
        <f ca="1">E$2/E$1-1</f>
        <v>-2.5380172989015515E-2</v>
      </c>
      <c r="F23" s="193">
        <f t="shared" ref="F23:G23" si="1">F$2/F$1-1</f>
        <v>-2.6968170733243979E-2</v>
      </c>
      <c r="G23" s="193">
        <f t="shared" ca="1" si="1"/>
        <v>6.7358134921247093E-4</v>
      </c>
      <c r="H23" s="193">
        <f>'vs固收+'!F7</f>
        <v>-2.8729069309879618E-2</v>
      </c>
    </row>
    <row r="24" spans="1:8" ht="16.5">
      <c r="A24" s="78">
        <v>1</v>
      </c>
      <c r="B24" s="78" t="s">
        <v>275</v>
      </c>
      <c r="C24" s="113" t="s">
        <v>300</v>
      </c>
      <c r="D24" s="78">
        <v>391</v>
      </c>
      <c r="E24" s="200">
        <f ca="1">[1]!thsiFinD("ths_adjustment_nvg_ratio_fund",$B24,E$4,E$5,101)/100</f>
        <v>-0.10160583942934</v>
      </c>
      <c r="F24" s="200">
        <f>[1]!thsiFinD("ths_adjustment_nvg_ratio_fund",$B24,F$4,F$5,101)/100</f>
        <v>-7.3401459857001999E-2</v>
      </c>
      <c r="G24" s="200">
        <f ca="1">[1]!thsiFinD("ths_adjustment_nvg_ratio_fund",$B24,G$4,G$5,101)/100</f>
        <v>-3.9458075768116004E-2</v>
      </c>
      <c r="H24" s="200">
        <f ca="1">-[1]!thsiFinD("ths_max_retrace_rate_all_fund",$B24,E$3,E$5)/100</f>
        <v>-0.11327988848211999</v>
      </c>
    </row>
    <row r="25" spans="1:8" ht="16.5">
      <c r="A25" s="194">
        <v>2</v>
      </c>
      <c r="B25" s="194" t="s">
        <v>271</v>
      </c>
      <c r="C25" s="195" t="s">
        <v>305</v>
      </c>
      <c r="D25" s="194">
        <v>347</v>
      </c>
      <c r="E25" s="196">
        <f ca="1">[1]!thsiFinD("ths_adjustment_nvg_ratio_fund",$B25,E$4,E$5,101)/100</f>
        <v>-6.3701712352774997E-2</v>
      </c>
      <c r="F25" s="196">
        <f>[1]!thsiFinD("ths_adjustment_nvg_ratio_fund",$B25,F$4,F$5,101)/100</f>
        <v>-5.6454912032351999E-2</v>
      </c>
      <c r="G25" s="196">
        <f ca="1">[1]!thsiFinD("ths_adjustment_nvg_ratio_fund",$B25,G$4,G$5,101)/100</f>
        <v>-1.6573568203843002E-2</v>
      </c>
      <c r="H25" s="196">
        <f ca="1">-[1]!thsiFinD("ths_max_retrace_rate_all_fund",$B25,E$3,E$5)/100</f>
        <v>-8.0306257553408991E-2</v>
      </c>
    </row>
    <row r="26" spans="1:8" ht="16.5">
      <c r="A26" s="78">
        <v>3</v>
      </c>
      <c r="B26" s="78" t="s">
        <v>273</v>
      </c>
      <c r="C26" s="113" t="s">
        <v>316</v>
      </c>
      <c r="D26" s="78">
        <v>255</v>
      </c>
      <c r="E26" s="200">
        <f ca="1">[1]!thsiFinD("ths_adjustment_nvg_ratio_fund",$B26,E$4,E$5,101)/100</f>
        <v>-8.4536048603394004E-2</v>
      </c>
      <c r="F26" s="200">
        <f>[1]!thsiFinD("ths_adjustment_nvg_ratio_fund",$B26,F$4,F$5,101)/100</f>
        <v>-5.3754484891249996E-2</v>
      </c>
      <c r="G26" s="200">
        <f ca="1">[1]!thsiFinD("ths_adjustment_nvg_ratio_fund",$B26,G$4,G$5,101)/100</f>
        <v>-3.8907556766279001E-2</v>
      </c>
      <c r="H26" s="200">
        <f ca="1">-[1]!thsiFinD("ths_max_retrace_rate_all_fund",$B26,E$3,E$5)/100</f>
        <v>-0.10106157454869001</v>
      </c>
    </row>
    <row r="27" spans="1:8" ht="16.5">
      <c r="A27" s="194">
        <v>4</v>
      </c>
      <c r="B27" s="194" t="s">
        <v>272</v>
      </c>
      <c r="C27" s="195" t="s">
        <v>301</v>
      </c>
      <c r="D27" s="194">
        <v>228</v>
      </c>
      <c r="E27" s="196">
        <f ca="1">[1]!thsiFinD("ths_adjustment_nvg_ratio_fund",$B27,E$4,E$5,101)/100</f>
        <v>-6.5373912257124009E-2</v>
      </c>
      <c r="F27" s="196">
        <f>[1]!thsiFinD("ths_adjustment_nvg_ratio_fund",$B27,F$4,F$5,101)/100</f>
        <v>-5.1945757323097003E-2</v>
      </c>
      <c r="G27" s="196">
        <f ca="1">[1]!thsiFinD("ths_adjustment_nvg_ratio_fund",$B27,G$4,G$5,101)/100</f>
        <v>-2.1096460780055001E-2</v>
      </c>
      <c r="H27" s="196">
        <f ca="1">-[1]!thsiFinD("ths_max_retrace_rate_all_fund",$B27,E$3,E$5)/100</f>
        <v>-7.9369940919479992E-2</v>
      </c>
    </row>
    <row r="28" spans="1:8" ht="16.5">
      <c r="A28" s="78">
        <v>5</v>
      </c>
      <c r="B28" s="78" t="s">
        <v>317</v>
      </c>
      <c r="C28" s="113" t="s">
        <v>318</v>
      </c>
      <c r="D28" s="78">
        <v>172</v>
      </c>
      <c r="E28" s="200">
        <f ca="1">[1]!thsiFinD("ths_adjustment_nvg_ratio_fund",$B28,E$4,E$5,101)/100</f>
        <v>-4.3983822030874004E-2</v>
      </c>
      <c r="F28" s="200">
        <f>[1]!thsiFinD("ths_adjustment_nvg_ratio_fund",$B28,F$4,F$5,101)/100</f>
        <v>-4.0589339891791996E-2</v>
      </c>
      <c r="G28" s="200">
        <f ca="1">[1]!thsiFinD("ths_adjustment_nvg_ratio_fund",$B28,G$4,G$5,101)/100</f>
        <v>-5.2603892425629991E-3</v>
      </c>
      <c r="H28" s="200">
        <f ca="1">-[1]!thsiFinD("ths_max_retrace_rate_all_fund",$B28,E$3,E$5)/100</f>
        <v>-5.2333094034762995E-2</v>
      </c>
    </row>
    <row r="29" spans="1:8" ht="16.5">
      <c r="A29" s="194">
        <v>6</v>
      </c>
      <c r="B29" s="194" t="s">
        <v>311</v>
      </c>
      <c r="C29" s="195" t="s">
        <v>312</v>
      </c>
      <c r="D29" s="194">
        <v>146</v>
      </c>
      <c r="E29" s="196">
        <f ca="1">[1]!thsiFinD("ths_adjustment_nvg_ratio_fund",$B29,E$4,E$5,101)/100</f>
        <v>-7.484918792518E-2</v>
      </c>
      <c r="F29" s="196">
        <f>[1]!thsiFinD("ths_adjustment_nvg_ratio_fund",$B29,F$4,F$5,101)/100</f>
        <v>-4.8259860808042995E-2</v>
      </c>
      <c r="G29" s="196">
        <f ca="1">[1]!thsiFinD("ths_adjustment_nvg_ratio_fund",$B29,G$4,G$5,101)/100</f>
        <v>-3.3123181367379996E-2</v>
      </c>
      <c r="H29" s="196">
        <f ca="1">-[1]!thsiFinD("ths_max_retrace_rate_all_fund",$B29,E$3,E$5)/100</f>
        <v>-9.1963470310338996E-2</v>
      </c>
    </row>
    <row r="30" spans="1:8" ht="16.5">
      <c r="A30" s="78">
        <v>7</v>
      </c>
      <c r="B30" s="78" t="s">
        <v>267</v>
      </c>
      <c r="C30" s="113" t="s">
        <v>319</v>
      </c>
      <c r="D30" s="78">
        <v>130</v>
      </c>
      <c r="E30" s="200">
        <f ca="1">[1]!thsiFinD("ths_adjustment_nvg_ratio_fund",$B30,E$4,E$5,101)/100</f>
        <v>-3.8351822503961998E-2</v>
      </c>
      <c r="F30" s="200">
        <f>[1]!thsiFinD("ths_adjustment_nvg_ratio_fund",$B30,F$4,F$5,101)/100</f>
        <v>-2.2028526148969999E-2</v>
      </c>
      <c r="G30" s="200">
        <f ca="1">[1]!thsiFinD("ths_adjustment_nvg_ratio_fund",$B30,G$4,G$5,101)/100</f>
        <v>-2.3023667686363002E-2</v>
      </c>
      <c r="H30" s="200">
        <f ca="1">-[1]!thsiFinD("ths_max_retrace_rate_all_fund",$B30,E$3,E$5)/100</f>
        <v>-6.2727766147165992E-2</v>
      </c>
    </row>
    <row r="31" spans="1:8" ht="16.5">
      <c r="A31" s="194">
        <v>8</v>
      </c>
      <c r="B31" s="194" t="s">
        <v>307</v>
      </c>
      <c r="C31" s="195" t="s">
        <v>308</v>
      </c>
      <c r="D31" s="194">
        <v>123</v>
      </c>
      <c r="E31" s="196">
        <f ca="1">[1]!thsiFinD("ths_adjustment_nvg_ratio_fund",$B31,E$4,E$5,101)/100</f>
        <v>-6.6699123661148996E-2</v>
      </c>
      <c r="F31" s="196">
        <f>[1]!thsiFinD("ths_adjustment_nvg_ratio_fund",$B31,F$4,F$5,101)/100</f>
        <v>-2.8724440116844999E-2</v>
      </c>
      <c r="G31" s="196">
        <f ca="1">[1]!thsiFinD("ths_adjustment_nvg_ratio_fund",$B31,G$4,G$5,101)/100</f>
        <v>-4.7216699801193002E-2</v>
      </c>
      <c r="H31" s="196">
        <f ca="1">-[1]!thsiFinD("ths_max_retrace_rate_all_fund",$B31,E$3,E$5)/100</f>
        <v>-9.6712720343021003E-2</v>
      </c>
    </row>
    <row r="32" spans="1:8" ht="16.5">
      <c r="A32" s="78">
        <v>9</v>
      </c>
      <c r="B32" s="78" t="s">
        <v>320</v>
      </c>
      <c r="C32" s="113" t="s">
        <v>321</v>
      </c>
      <c r="D32" s="78">
        <v>120</v>
      </c>
      <c r="E32" s="200">
        <f ca="1">[1]!thsiFinD("ths_adjustment_nvg_ratio_fund",$B32,E$4,E$5,101)/100</f>
        <v>-7.0303620717649007E-2</v>
      </c>
      <c r="F32" s="200">
        <f>[1]!thsiFinD("ths_adjustment_nvg_ratio_fund",$B32,F$4,F$5,101)/100</f>
        <v>-4.7978567949341994E-2</v>
      </c>
      <c r="G32" s="200">
        <f ca="1">[1]!thsiFinD("ths_adjustment_nvg_ratio_fund",$B32,G$4,G$5,101)/100</f>
        <v>-2.7348394768133E-2</v>
      </c>
      <c r="H32" s="200">
        <f ca="1">-[1]!thsiFinD("ths_max_retrace_rate_all_fund",$B32,E$3,E$5)/100</f>
        <v>-7.9616808887457993E-2</v>
      </c>
    </row>
    <row r="33" spans="1:8" ht="16.5">
      <c r="A33" s="194">
        <v>10</v>
      </c>
      <c r="B33" s="194" t="s">
        <v>309</v>
      </c>
      <c r="C33" s="195" t="s">
        <v>310</v>
      </c>
      <c r="D33" s="194">
        <v>114</v>
      </c>
      <c r="E33" s="196">
        <f ca="1">[1]!thsiFinD("ths_adjustment_nvg_ratio_fund",$B33,E$4,E$5,101)/100</f>
        <v>-2.3224369639745997E-2</v>
      </c>
      <c r="F33" s="196">
        <f>[1]!thsiFinD("ths_adjustment_nvg_ratio_fund",$B33,F$4,F$5,101)/100</f>
        <v>-1.6463851118404999E-2</v>
      </c>
      <c r="G33" s="196">
        <f ca="1">[1]!thsiFinD("ths_adjustment_nvg_ratio_fund",$B33,G$4,G$5,101)/100</f>
        <v>-7.8364840931516994E-3</v>
      </c>
      <c r="H33" s="196">
        <f ca="1">-[1]!thsiFinD("ths_max_retrace_rate_all_fund",$B33,E$3,E$5)/100</f>
        <v>-3.8087774270593996E-2</v>
      </c>
    </row>
    <row r="36" spans="1:8" ht="16.5">
      <c r="A36" s="197"/>
      <c r="B36" s="197"/>
      <c r="C36" s="235" t="s">
        <v>322</v>
      </c>
      <c r="D36" s="235"/>
      <c r="E36" s="235"/>
      <c r="F36" s="235"/>
      <c r="G36" s="235"/>
      <c r="H36" s="235"/>
    </row>
    <row r="37" spans="1:8" ht="49.5">
      <c r="A37" s="198" t="str">
        <f>A22</f>
        <v>序号</v>
      </c>
      <c r="B37" s="198" t="str">
        <f t="shared" ref="B37:H37" si="2">B22</f>
        <v>基金代码</v>
      </c>
      <c r="C37" s="198" t="str">
        <f t="shared" si="2"/>
        <v>产品/基金名称</v>
      </c>
      <c r="D37" s="198" t="s">
        <v>323</v>
      </c>
      <c r="E37" s="198" t="str">
        <f t="shared" si="2"/>
        <v>上线以来</v>
      </c>
      <c r="F37" s="198" t="str">
        <f t="shared" si="2"/>
        <v>6/22-7/30</v>
      </c>
      <c r="G37" s="198" t="str">
        <f t="shared" si="2"/>
        <v>7.31至今</v>
      </c>
      <c r="H37" s="199" t="str">
        <f t="shared" si="2"/>
        <v>最大回撤（上线以来）</v>
      </c>
    </row>
    <row r="38" spans="1:8" ht="16.5">
      <c r="A38" s="191" t="s">
        <v>298</v>
      </c>
      <c r="B38" s="191"/>
      <c r="C38" s="192" t="str">
        <f>C8</f>
        <v>10/90基石投顾组合</v>
      </c>
      <c r="D38" s="201"/>
      <c r="E38" s="202">
        <f ca="1">E$2/E$1-1</f>
        <v>-2.5380172989015515E-2</v>
      </c>
      <c r="F38" s="193">
        <f t="shared" ref="F38:G38" si="3">F$2/F$1-1</f>
        <v>-2.6968170733243979E-2</v>
      </c>
      <c r="G38" s="193">
        <f t="shared" ca="1" si="3"/>
        <v>6.7358134921247093E-4</v>
      </c>
      <c r="H38" s="193">
        <f>'vs固收+'!F7</f>
        <v>-2.8729069309879618E-2</v>
      </c>
    </row>
    <row r="39" spans="1:8" ht="16.5">
      <c r="A39" s="78">
        <v>1</v>
      </c>
      <c r="B39" s="78" t="s">
        <v>324</v>
      </c>
      <c r="C39" s="113" t="s">
        <v>325</v>
      </c>
      <c r="D39" s="203">
        <v>5265</v>
      </c>
      <c r="E39" s="204">
        <f ca="1">[1]!thsiFinD("ths_adjustment_nvg_ratio_fund",$B39,E$4,E$5,101)/100</f>
        <v>-1.9715882175583E-2</v>
      </c>
      <c r="F39" s="200">
        <f>[1]!thsiFinD("ths_adjustment_nvg_ratio_fund",$B39,F$4,F$5,101)/100</f>
        <v>-1.8110759418334E-2</v>
      </c>
      <c r="G39" s="200">
        <f ca="1">[1]!thsiFinD("ths_adjustment_nvg_ratio_fund",$B39,G$4,G$5,101)/100</f>
        <v>-5.2483937956854E-3</v>
      </c>
      <c r="H39" s="200">
        <f ca="1">-[1]!thsiFinD("ths_max_retrace_rate_all_fund",$B39,E$3,E$5)/100</f>
        <v>-2.0655706274575997E-2</v>
      </c>
    </row>
    <row r="40" spans="1:8" ht="16.5">
      <c r="A40" s="194">
        <v>2</v>
      </c>
      <c r="B40" s="194" t="s">
        <v>326</v>
      </c>
      <c r="C40" s="195" t="s">
        <v>327</v>
      </c>
      <c r="D40" s="205">
        <v>896</v>
      </c>
      <c r="E40" s="206">
        <f ca="1">[1]!thsiFinD("ths_adjustment_nvg_ratio_fund",$B40,E$4,E$5,101)/100</f>
        <v>-4.8214110006887002E-3</v>
      </c>
      <c r="F40" s="196">
        <f>[1]!thsiFinD("ths_adjustment_nvg_ratio_fund",$B40,F$4,F$5,101)/100</f>
        <v>-1.2397914001770999E-2</v>
      </c>
      <c r="G40" s="196">
        <f ca="1">[1]!thsiFinD("ths_adjustment_nvg_ratio_fund",$B40,G$4,G$5,101)/100</f>
        <v>4.6687195788219999E-3</v>
      </c>
      <c r="H40" s="196">
        <f ca="1">-[1]!thsiFinD("ths_max_retrace_rate_all_fund",$B40,E$3,E$5)/100</f>
        <v>-1.3283479287611999E-2</v>
      </c>
    </row>
    <row r="41" spans="1:8" ht="16.5">
      <c r="A41" s="78">
        <v>3</v>
      </c>
      <c r="B41" s="78" t="s">
        <v>328</v>
      </c>
      <c r="C41" s="113" t="s">
        <v>329</v>
      </c>
      <c r="D41" s="203">
        <v>239</v>
      </c>
      <c r="E41" s="204">
        <f ca="1">[1]!thsiFinD("ths_adjustment_nvg_ratio_fund",$B41,E$4,E$5,101)/100</f>
        <v>-4.1565189154083006E-2</v>
      </c>
      <c r="F41" s="200">
        <f>[1]!thsiFinD("ths_adjustment_nvg_ratio_fund",$B41,F$4,F$5,101)/100</f>
        <v>-2.6627699301834999E-2</v>
      </c>
      <c r="G41" s="200">
        <f ca="1">[1]!thsiFinD("ths_adjustment_nvg_ratio_fund",$B41,G$4,G$5,101)/100</f>
        <v>-1.7313134676210998E-2</v>
      </c>
      <c r="H41" s="200">
        <f ca="1">-[1]!thsiFinD("ths_max_retrace_rate_all_fund",$B41,E$3,E$5)/100</f>
        <v>-6.3721595423486002E-2</v>
      </c>
    </row>
    <row r="42" spans="1:8" ht="16.5">
      <c r="A42" s="194">
        <v>4</v>
      </c>
      <c r="B42" s="194" t="s">
        <v>271</v>
      </c>
      <c r="C42" s="195" t="s">
        <v>305</v>
      </c>
      <c r="D42" s="205">
        <v>225</v>
      </c>
      <c r="E42" s="206">
        <f ca="1">[1]!thsiFinD("ths_adjustment_nvg_ratio_fund",$B42,E$4,E$5,101)/100</f>
        <v>-6.3701712352774997E-2</v>
      </c>
      <c r="F42" s="196">
        <f>[1]!thsiFinD("ths_adjustment_nvg_ratio_fund",$B42,F$4,F$5,101)/100</f>
        <v>-5.6454912032351999E-2</v>
      </c>
      <c r="G42" s="196">
        <f ca="1">[1]!thsiFinD("ths_adjustment_nvg_ratio_fund",$B42,G$4,G$5,101)/100</f>
        <v>-1.6573568203843002E-2</v>
      </c>
      <c r="H42" s="196">
        <f ca="1">-[1]!thsiFinD("ths_max_retrace_rate_all_fund",$B42,E$3,E$5)/100</f>
        <v>-8.0306257553408991E-2</v>
      </c>
    </row>
    <row r="43" spans="1:8" ht="16.5">
      <c r="A43" s="78">
        <v>5</v>
      </c>
      <c r="B43" s="78" t="s">
        <v>330</v>
      </c>
      <c r="C43" s="113" t="s">
        <v>331</v>
      </c>
      <c r="D43" s="203">
        <v>205</v>
      </c>
      <c r="E43" s="204">
        <f ca="1">[1]!thsiFinD("ths_adjustment_nvg_ratio_fund",$B43,E$4,E$5,101)/100</f>
        <v>-4.8826613943092997E-2</v>
      </c>
      <c r="F43" s="200">
        <f>[1]!thsiFinD("ths_adjustment_nvg_ratio_fund",$B43,F$4,F$5,101)/100</f>
        <v>-2.9313160835554002E-2</v>
      </c>
      <c r="G43" s="200">
        <f ca="1">[1]!thsiFinD("ths_adjustment_nvg_ratio_fund",$B43,G$4,G$5,101)/100</f>
        <v>-1.8015619453319E-2</v>
      </c>
      <c r="H43" s="200">
        <f ca="1">-[1]!thsiFinD("ths_max_retrace_rate_all_fund",$B43,E$3,E$5)/100</f>
        <v>-7.2489302793858998E-2</v>
      </c>
    </row>
    <row r="44" spans="1:8" ht="16.5">
      <c r="A44" s="194">
        <v>6</v>
      </c>
      <c r="B44" s="194" t="s">
        <v>332</v>
      </c>
      <c r="C44" s="195" t="s">
        <v>333</v>
      </c>
      <c r="D44" s="205">
        <v>190</v>
      </c>
      <c r="E44" s="206">
        <f ca="1">[1]!thsiFinD("ths_adjustment_nvg_ratio_fund",$B44,E$4,E$5,101)/100</f>
        <v>-0.12159122085048001</v>
      </c>
      <c r="F44" s="196">
        <f>[1]!thsiFinD("ths_adjustment_nvg_ratio_fund",$B44,F$4,F$5,101)/100</f>
        <v>-9.3443072702332E-2</v>
      </c>
      <c r="G44" s="196">
        <f ca="1">[1]!thsiFinD("ths_adjustment_nvg_ratio_fund",$B44,G$4,G$5,101)/100</f>
        <v>-4.2294807370183998E-2</v>
      </c>
      <c r="H44" s="196">
        <f ca="1">-[1]!thsiFinD("ths_max_retrace_rate_all_fund",$B44,E$3,E$5)/100</f>
        <v>-0.14477269084887001</v>
      </c>
    </row>
    <row r="45" spans="1:8" ht="16.5">
      <c r="A45" s="78">
        <v>7</v>
      </c>
      <c r="B45" s="78" t="s">
        <v>334</v>
      </c>
      <c r="C45" s="113" t="s">
        <v>335</v>
      </c>
      <c r="D45" s="203">
        <v>189</v>
      </c>
      <c r="E45" s="204">
        <f ca="1">[1]!thsiFinD("ths_adjustment_nvg_ratio_fund",$B45,E$4,E$5,101)/100</f>
        <v>-0.17242757242757001</v>
      </c>
      <c r="F45" s="200">
        <f>[1]!thsiFinD("ths_adjustment_nvg_ratio_fund",$B45,F$4,F$5,101)/100</f>
        <v>-0.12207792207792</v>
      </c>
      <c r="G45" s="200">
        <f ca="1">[1]!thsiFinD("ths_adjustment_nvg_ratio_fund",$B45,G$4,G$5,101)/100</f>
        <v>-6.8218885327034004E-2</v>
      </c>
      <c r="H45" s="200">
        <f ca="1">-[1]!thsiFinD("ths_max_retrace_rate_all_fund",$B45,E$3,E$5)/100</f>
        <v>-0.20459948571150999</v>
      </c>
    </row>
    <row r="46" spans="1:8" ht="16.5">
      <c r="A46" s="194">
        <v>8</v>
      </c>
      <c r="B46" s="194" t="s">
        <v>336</v>
      </c>
      <c r="C46" s="195" t="s">
        <v>337</v>
      </c>
      <c r="D46" s="205">
        <v>184</v>
      </c>
      <c r="E46" s="206">
        <f ca="1">[1]!thsiFinD("ths_adjustment_nvg_ratio_fund",$B46,E$4,E$5,101)/100</f>
        <v>-9.8877066088133E-2</v>
      </c>
      <c r="F46" s="196">
        <f>[1]!thsiFinD("ths_adjustment_nvg_ratio_fund",$B46,F$4,F$5,101)/100</f>
        <v>-4.5842621036721001E-2</v>
      </c>
      <c r="G46" s="196">
        <f ca="1">[1]!thsiFinD("ths_adjustment_nvg_ratio_fund",$B46,G$4,G$5,101)/100</f>
        <v>-6.2237394972929995E-2</v>
      </c>
      <c r="H46" s="196">
        <f ca="1">-[1]!thsiFinD("ths_max_retrace_rate_all_fund",$B46,E$3,E$5)/100</f>
        <v>-0.12460287990195001</v>
      </c>
    </row>
    <row r="47" spans="1:8" ht="16.5">
      <c r="A47" s="78">
        <v>9</v>
      </c>
      <c r="B47" s="78" t="s">
        <v>338</v>
      </c>
      <c r="C47" s="113" t="s">
        <v>339</v>
      </c>
      <c r="D47" s="203">
        <v>174</v>
      </c>
      <c r="E47" s="207">
        <f ca="1">[1]!thsiFinD("ths_adjustment_nvg_ratio_fund",$B47,E$4,E$5,101)/100</f>
        <v>1.5153811183510999E-4</v>
      </c>
      <c r="F47" s="200">
        <f>[1]!thsiFinD("ths_adjustment_nvg_ratio_fund",$B47,F$4,F$5,101)/100</f>
        <v>-2.4246097893620999E-3</v>
      </c>
      <c r="G47" s="200">
        <f ca="1">[1]!thsiFinD("ths_adjustment_nvg_ratio_fund",$B47,G$4,G$5,101)/100</f>
        <v>1.1376564277589E-3</v>
      </c>
      <c r="H47" s="200">
        <f ca="1">-[1]!thsiFinD("ths_max_retrace_rate_all_fund",$B47,E$3,E$5)/100</f>
        <v>-5.1282051282052002E-3</v>
      </c>
    </row>
    <row r="48" spans="1:8" ht="16.5">
      <c r="A48" s="194">
        <v>10</v>
      </c>
      <c r="B48" s="194" t="s">
        <v>274</v>
      </c>
      <c r="C48" s="195" t="s">
        <v>340</v>
      </c>
      <c r="D48" s="205">
        <v>170</v>
      </c>
      <c r="E48" s="208">
        <f ca="1">[1]!thsiFinD("ths_adjustment_nvg_ratio_fund",$B48,E$4,E$5,101)/100</f>
        <v>-9.6920461042309003E-2</v>
      </c>
      <c r="F48" s="196">
        <f>[1]!thsiFinD("ths_adjustment_nvg_ratio_fund",$B48,F$4,F$5,101)/100</f>
        <v>-6.8297751744840998E-2</v>
      </c>
      <c r="G48" s="196">
        <f ca="1">[1]!thsiFinD("ths_adjustment_nvg_ratio_fund",$B48,G$4,G$5,101)/100</f>
        <v>-3.9195979915030002E-2</v>
      </c>
      <c r="H48" s="196">
        <f ca="1">-[1]!thsiFinD("ths_max_retrace_rate_all_fund",$B48,E$3,E$5)/100</f>
        <v>-0.11047867875278</v>
      </c>
    </row>
    <row r="51" spans="1:8" ht="16.5">
      <c r="A51" s="197"/>
      <c r="B51" s="197"/>
      <c r="C51" s="235" t="s">
        <v>322</v>
      </c>
      <c r="D51" s="235"/>
      <c r="E51" s="235"/>
      <c r="F51" s="235"/>
      <c r="G51" s="235"/>
      <c r="H51" s="235"/>
    </row>
    <row r="52" spans="1:8" ht="16.5">
      <c r="A52" s="198" t="str">
        <f>A37</f>
        <v>序号</v>
      </c>
      <c r="B52" s="198" t="str">
        <f t="shared" ref="B52:C52" si="4">B37</f>
        <v>基金代码</v>
      </c>
      <c r="C52" s="239" t="str">
        <f t="shared" si="4"/>
        <v>产品/基金名称</v>
      </c>
      <c r="D52" s="239"/>
      <c r="E52" s="198" t="str">
        <f>E37</f>
        <v>上线以来</v>
      </c>
      <c r="F52" s="198" t="str">
        <f>F37</f>
        <v>6/22-7/30</v>
      </c>
      <c r="G52" s="198" t="str">
        <f>G37</f>
        <v>7.31至今</v>
      </c>
      <c r="H52" s="198" t="str">
        <f>H37</f>
        <v>最大回撤（上线以来）</v>
      </c>
    </row>
    <row r="53" spans="1:8" ht="16.5">
      <c r="A53" s="191" t="s">
        <v>298</v>
      </c>
      <c r="B53" s="191"/>
      <c r="C53" s="192" t="s">
        <v>344</v>
      </c>
      <c r="D53" s="201"/>
      <c r="E53" s="202">
        <f ca="1">E$2/E$1-1</f>
        <v>-2.5380172989015515E-2</v>
      </c>
      <c r="F53" s="193">
        <f t="shared" ref="F53:G53" si="5">F$2/F$1-1</f>
        <v>-2.6968170733243979E-2</v>
      </c>
      <c r="G53" s="193">
        <f t="shared" ca="1" si="5"/>
        <v>6.7358134921247093E-4</v>
      </c>
      <c r="H53" s="193">
        <f>'vs固收+'!F7</f>
        <v>-2.8729069309879618E-2</v>
      </c>
    </row>
    <row r="54" spans="1:8" ht="16.5">
      <c r="A54" s="78">
        <v>1</v>
      </c>
      <c r="B54" s="78" t="s">
        <v>324</v>
      </c>
      <c r="C54" s="237" t="s">
        <v>325</v>
      </c>
      <c r="D54" s="237"/>
      <c r="E54" s="204">
        <f ca="1">[1]!thsiFinD("ths_adjustment_nvg_ratio_fund",$B54,E$4,E$5,101)/100</f>
        <v>-1.9715882175583E-2</v>
      </c>
      <c r="F54" s="200">
        <f>[1]!thsiFinD("ths_adjustment_nvg_ratio_fund",$B54,F$4,F$5,101)/100</f>
        <v>-1.8110759418334E-2</v>
      </c>
      <c r="G54" s="200">
        <f ca="1">[1]!thsiFinD("ths_adjustment_nvg_ratio_fund",$B54,G$4,G$5,101)/100</f>
        <v>-5.2483937956854E-3</v>
      </c>
      <c r="H54" s="200">
        <f ca="1">-[1]!thsiFinD("ths_max_retrace_rate_all_fund",$B54,E$3,E$5)/100</f>
        <v>-2.0655706274575997E-2</v>
      </c>
    </row>
    <row r="55" spans="1:8" ht="16.5">
      <c r="A55" s="194">
        <v>2</v>
      </c>
      <c r="B55" s="194" t="s">
        <v>326</v>
      </c>
      <c r="C55" s="238" t="s">
        <v>327</v>
      </c>
      <c r="D55" s="238"/>
      <c r="E55" s="206">
        <f ca="1">[1]!thsiFinD("ths_adjustment_nvg_ratio_fund",$B55,E$4,E$5,101)/100</f>
        <v>-4.8214110006887002E-3</v>
      </c>
      <c r="F55" s="196">
        <f>[1]!thsiFinD("ths_adjustment_nvg_ratio_fund",$B55,F$4,F$5,101)/100</f>
        <v>-1.2397914001770999E-2</v>
      </c>
      <c r="G55" s="196">
        <f ca="1">[1]!thsiFinD("ths_adjustment_nvg_ratio_fund",$B55,G$4,G$5,101)/100</f>
        <v>4.6687195788219999E-3</v>
      </c>
      <c r="H55" s="196">
        <f ca="1">-[1]!thsiFinD("ths_max_retrace_rate_all_fund",$B55,E$3,E$5)/100</f>
        <v>-1.3283479287611999E-2</v>
      </c>
    </row>
    <row r="56" spans="1:8" ht="16.5">
      <c r="A56" s="78">
        <v>3</v>
      </c>
      <c r="B56" s="78" t="s">
        <v>328</v>
      </c>
      <c r="C56" s="237" t="s">
        <v>329</v>
      </c>
      <c r="D56" s="237"/>
      <c r="E56" s="204">
        <f ca="1">[1]!thsiFinD("ths_adjustment_nvg_ratio_fund",$B56,E$4,E$5,101)/100</f>
        <v>-4.1565189154083006E-2</v>
      </c>
      <c r="F56" s="200">
        <f>[1]!thsiFinD("ths_adjustment_nvg_ratio_fund",$B56,F$4,F$5,101)/100</f>
        <v>-2.6627699301834999E-2</v>
      </c>
      <c r="G56" s="200">
        <f ca="1">[1]!thsiFinD("ths_adjustment_nvg_ratio_fund",$B56,G$4,G$5,101)/100</f>
        <v>-1.7313134676210998E-2</v>
      </c>
      <c r="H56" s="200">
        <f ca="1">-[1]!thsiFinD("ths_max_retrace_rate_all_fund",$B56,E$3,E$5)/100</f>
        <v>-6.3721595423486002E-2</v>
      </c>
    </row>
    <row r="57" spans="1:8" ht="16.5">
      <c r="A57" s="194">
        <v>4</v>
      </c>
      <c r="B57" s="194" t="s">
        <v>271</v>
      </c>
      <c r="C57" s="238" t="s">
        <v>305</v>
      </c>
      <c r="D57" s="238"/>
      <c r="E57" s="206">
        <f ca="1">[1]!thsiFinD("ths_adjustment_nvg_ratio_fund",$B57,E$4,E$5,101)/100</f>
        <v>-6.3701712352774997E-2</v>
      </c>
      <c r="F57" s="196">
        <f>[1]!thsiFinD("ths_adjustment_nvg_ratio_fund",$B57,F$4,F$5,101)/100</f>
        <v>-5.6454912032351999E-2</v>
      </c>
      <c r="G57" s="196">
        <f ca="1">[1]!thsiFinD("ths_adjustment_nvg_ratio_fund",$B57,G$4,G$5,101)/100</f>
        <v>-1.6573568203843002E-2</v>
      </c>
      <c r="H57" s="196">
        <f ca="1">-[1]!thsiFinD("ths_max_retrace_rate_all_fund",$B57,E$3,E$5)/100</f>
        <v>-8.0306257553408991E-2</v>
      </c>
    </row>
    <row r="58" spans="1:8" ht="16.5">
      <c r="A58" s="78">
        <v>5</v>
      </c>
      <c r="B58" s="78" t="s">
        <v>330</v>
      </c>
      <c r="C58" s="237" t="s">
        <v>331</v>
      </c>
      <c r="D58" s="237"/>
      <c r="E58" s="204">
        <f ca="1">[1]!thsiFinD("ths_adjustment_nvg_ratio_fund",$B58,E$4,E$5,101)/100</f>
        <v>-4.8826613943092997E-2</v>
      </c>
      <c r="F58" s="200">
        <f>[1]!thsiFinD("ths_adjustment_nvg_ratio_fund",$B58,F$4,F$5,101)/100</f>
        <v>-2.9313160835554002E-2</v>
      </c>
      <c r="G58" s="200">
        <f ca="1">[1]!thsiFinD("ths_adjustment_nvg_ratio_fund",$B58,G$4,G$5,101)/100</f>
        <v>-1.8015619453319E-2</v>
      </c>
      <c r="H58" s="200">
        <f ca="1">-[1]!thsiFinD("ths_max_retrace_rate_all_fund",$B58,E$3,E$5)/100</f>
        <v>-7.2489302793858998E-2</v>
      </c>
    </row>
    <row r="59" spans="1:8" ht="16.5">
      <c r="A59" s="194">
        <v>6</v>
      </c>
      <c r="B59" s="194" t="s">
        <v>332</v>
      </c>
      <c r="C59" s="195" t="s">
        <v>333</v>
      </c>
      <c r="D59" s="209"/>
      <c r="E59" s="206">
        <f ca="1">[1]!thsiFinD("ths_adjustment_nvg_ratio_fund",$B59,E$4,E$5,101)/100</f>
        <v>-0.12159122085048001</v>
      </c>
      <c r="F59" s="196">
        <f>[1]!thsiFinD("ths_adjustment_nvg_ratio_fund",$B59,F$4,F$5,101)/100</f>
        <v>-9.3443072702332E-2</v>
      </c>
      <c r="G59" s="196">
        <f ca="1">[1]!thsiFinD("ths_adjustment_nvg_ratio_fund",$B59,G$4,G$5,101)/100</f>
        <v>-4.2294807370183998E-2</v>
      </c>
      <c r="H59" s="196">
        <f ca="1">-[1]!thsiFinD("ths_max_retrace_rate_all_fund",$B59,E$3,E$5)/100</f>
        <v>-0.14477269084887001</v>
      </c>
    </row>
    <row r="60" spans="1:8" ht="16.5">
      <c r="A60" s="78">
        <v>7</v>
      </c>
      <c r="B60" s="78" t="s">
        <v>334</v>
      </c>
      <c r="C60" s="237" t="s">
        <v>335</v>
      </c>
      <c r="D60" s="237"/>
      <c r="E60" s="204">
        <f ca="1">[1]!thsiFinD("ths_adjustment_nvg_ratio_fund",$B60,E$4,E$5,101)/100</f>
        <v>-0.17242757242757001</v>
      </c>
      <c r="F60" s="200">
        <f>[1]!thsiFinD("ths_adjustment_nvg_ratio_fund",$B60,F$4,F$5,101)/100</f>
        <v>-0.12207792207792</v>
      </c>
      <c r="G60" s="200">
        <f ca="1">[1]!thsiFinD("ths_adjustment_nvg_ratio_fund",$B60,G$4,G$5,101)/100</f>
        <v>-6.8218885327034004E-2</v>
      </c>
      <c r="H60" s="200">
        <f ca="1">-[1]!thsiFinD("ths_max_retrace_rate_all_fund",$B60,E$3,E$5)/100</f>
        <v>-0.20459948571150999</v>
      </c>
    </row>
    <row r="61" spans="1:8" ht="16.5">
      <c r="A61" s="194">
        <v>8</v>
      </c>
      <c r="B61" s="194" t="s">
        <v>336</v>
      </c>
      <c r="C61" s="238" t="s">
        <v>337</v>
      </c>
      <c r="D61" s="238"/>
      <c r="E61" s="206">
        <f ca="1">[1]!thsiFinD("ths_adjustment_nvg_ratio_fund",$B61,E$4,E$5,101)/100</f>
        <v>-9.8877066088133E-2</v>
      </c>
      <c r="F61" s="196">
        <f>[1]!thsiFinD("ths_adjustment_nvg_ratio_fund",$B61,F$4,F$5,101)/100</f>
        <v>-4.5842621036721001E-2</v>
      </c>
      <c r="G61" s="196">
        <f ca="1">[1]!thsiFinD("ths_adjustment_nvg_ratio_fund",$B61,G$4,G$5,101)/100</f>
        <v>-6.2237394972929995E-2</v>
      </c>
      <c r="H61" s="196">
        <f ca="1">-[1]!thsiFinD("ths_max_retrace_rate_all_fund",$B61,E$3,E$5)/100</f>
        <v>-0.12460287990195001</v>
      </c>
    </row>
    <row r="62" spans="1:8" ht="16.5">
      <c r="A62" s="78">
        <v>9</v>
      </c>
      <c r="B62" s="78" t="s">
        <v>338</v>
      </c>
      <c r="C62" s="237" t="s">
        <v>339</v>
      </c>
      <c r="D62" s="237"/>
      <c r="E62" s="207">
        <f ca="1">[1]!thsiFinD("ths_adjustment_nvg_ratio_fund",$B62,E$4,E$5,101)/100</f>
        <v>1.5153811183510999E-4</v>
      </c>
      <c r="F62" s="200">
        <f>[1]!thsiFinD("ths_adjustment_nvg_ratio_fund",$B62,F$4,F$5,101)/100</f>
        <v>-2.4246097893620999E-3</v>
      </c>
      <c r="G62" s="200">
        <f ca="1">[1]!thsiFinD("ths_adjustment_nvg_ratio_fund",$B62,G$4,G$5,101)/100</f>
        <v>1.1376564277589E-3</v>
      </c>
      <c r="H62" s="200">
        <f ca="1">-[1]!thsiFinD("ths_max_retrace_rate_all_fund",$B62,E$3,E$5)/100</f>
        <v>-5.1282051282052002E-3</v>
      </c>
    </row>
    <row r="63" spans="1:8" ht="16.5">
      <c r="A63" s="194">
        <v>10</v>
      </c>
      <c r="B63" s="194" t="s">
        <v>274</v>
      </c>
      <c r="C63" s="238" t="s">
        <v>340</v>
      </c>
      <c r="D63" s="238"/>
      <c r="E63" s="208">
        <f ca="1">[1]!thsiFinD("ths_adjustment_nvg_ratio_fund",$B63,E$4,E$5,101)/100</f>
        <v>-9.6920461042309003E-2</v>
      </c>
      <c r="F63" s="196">
        <f>[1]!thsiFinD("ths_adjustment_nvg_ratio_fund",$B63,F$4,F$5,101)/100</f>
        <v>-6.8297751744840998E-2</v>
      </c>
      <c r="G63" s="196">
        <f ca="1">[1]!thsiFinD("ths_adjustment_nvg_ratio_fund",$B63,G$4,G$5,101)/100</f>
        <v>-3.9195979915030002E-2</v>
      </c>
      <c r="H63" s="196">
        <f ca="1">-[1]!thsiFinD("ths_max_retrace_rate_all_fund",$B63,E$3,E$5)/100</f>
        <v>-0.11047867875278</v>
      </c>
    </row>
    <row r="65" spans="1:8" ht="16.5">
      <c r="A65" s="236" t="s">
        <v>341</v>
      </c>
      <c r="B65" s="236"/>
      <c r="C65" s="236"/>
      <c r="D65" s="236"/>
      <c r="E65" s="236"/>
      <c r="F65" s="236"/>
      <c r="G65" s="236"/>
      <c r="H65" s="236"/>
    </row>
    <row r="66" spans="1:8" ht="16.5">
      <c r="A66" s="236" t="s">
        <v>342</v>
      </c>
      <c r="B66" s="236"/>
      <c r="C66" s="236"/>
      <c r="D66" s="236"/>
      <c r="E66" s="236"/>
      <c r="F66" s="236"/>
      <c r="G66" s="236"/>
      <c r="H66" s="236"/>
    </row>
    <row r="67" spans="1:8" ht="16.5">
      <c r="A67" s="236" t="s">
        <v>343</v>
      </c>
      <c r="B67" s="236"/>
      <c r="C67" s="236"/>
      <c r="D67" s="236"/>
      <c r="E67" s="236"/>
      <c r="F67" s="236"/>
      <c r="G67" s="236"/>
      <c r="H67" s="236"/>
    </row>
  </sheetData>
  <mergeCells count="17">
    <mergeCell ref="A67:H67"/>
    <mergeCell ref="C55:D55"/>
    <mergeCell ref="C56:D56"/>
    <mergeCell ref="C57:D57"/>
    <mergeCell ref="C58:D58"/>
    <mergeCell ref="C6:H6"/>
    <mergeCell ref="C21:H21"/>
    <mergeCell ref="C36:H36"/>
    <mergeCell ref="A65:H65"/>
    <mergeCell ref="A66:H66"/>
    <mergeCell ref="C60:D60"/>
    <mergeCell ref="C61:D61"/>
    <mergeCell ref="C62:D62"/>
    <mergeCell ref="C63:D63"/>
    <mergeCell ref="C51:H51"/>
    <mergeCell ref="C54:D54"/>
    <mergeCell ref="C52:D52"/>
  </mergeCells>
  <phoneticPr fontId="29" type="noConversion"/>
  <conditionalFormatting sqref="E8:H8">
    <cfRule type="cellIs" dxfId="23" priority="11" operator="greaterThan">
      <formula>0</formula>
    </cfRule>
    <cfRule type="cellIs" dxfId="22" priority="12" operator="lessThan">
      <formula>0</formula>
    </cfRule>
  </conditionalFormatting>
  <conditionalFormatting sqref="E9:H17 E18:G18">
    <cfRule type="cellIs" dxfId="21" priority="10" operator="greaterThan">
      <formula>0</formula>
    </cfRule>
  </conditionalFormatting>
  <conditionalFormatting sqref="E23:H23">
    <cfRule type="cellIs" dxfId="20" priority="8" operator="greaterThan">
      <formula>0</formula>
    </cfRule>
    <cfRule type="cellIs" dxfId="19" priority="9" operator="lessThan">
      <formula>0</formula>
    </cfRule>
  </conditionalFormatting>
  <conditionalFormatting sqref="E24:H33">
    <cfRule type="cellIs" dxfId="18" priority="7" operator="greaterThan">
      <formula>0</formula>
    </cfRule>
  </conditionalFormatting>
  <conditionalFormatting sqref="E38:H38">
    <cfRule type="cellIs" dxfId="17" priority="5" operator="greaterThan">
      <formula>0</formula>
    </cfRule>
    <cfRule type="cellIs" dxfId="16" priority="6" operator="lessThan">
      <formula>0</formula>
    </cfRule>
  </conditionalFormatting>
  <conditionalFormatting sqref="E39:H48 E54:H63">
    <cfRule type="cellIs" dxfId="15" priority="4" operator="greaterThan">
      <formula>0</formula>
    </cfRule>
  </conditionalFormatting>
  <conditionalFormatting sqref="E53:H53">
    <cfRule type="cellIs" dxfId="14" priority="2" operator="greaterThan">
      <formula>0</formula>
    </cfRule>
    <cfRule type="cellIs" dxfId="13" priority="3" operator="lessThan">
      <formula>0</formula>
    </cfRule>
  </conditionalFormatting>
  <conditionalFormatting sqref="H18">
    <cfRule type="cellIs" dxfId="12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"/>
  <sheetViews>
    <sheetView topLeftCell="D1" workbookViewId="0">
      <selection activeCell="O39" sqref="O39"/>
    </sheetView>
  </sheetViews>
  <sheetFormatPr defaultRowHeight="12.5"/>
  <cols>
    <col min="1" max="1" width="11.453125" bestFit="1" customWidth="1"/>
    <col min="2" max="2" width="27.81640625" customWidth="1"/>
    <col min="4" max="4" width="5.54296875" customWidth="1"/>
    <col min="5" max="5" width="11.81640625" customWidth="1"/>
    <col min="10" max="10" width="22.54296875" customWidth="1"/>
    <col min="16" max="16" width="14.54296875" customWidth="1"/>
    <col min="17" max="17" width="14" style="90" customWidth="1"/>
    <col min="18" max="18" width="15.453125" customWidth="1"/>
  </cols>
  <sheetData>
    <row r="1" spans="1:19" ht="15.5">
      <c r="B1" t="s">
        <v>208</v>
      </c>
      <c r="E1" s="53">
        <f ca="1">TODAY()-1</f>
        <v>46320</v>
      </c>
      <c r="J1" s="99" t="s">
        <v>209</v>
      </c>
      <c r="K1" s="99" t="s">
        <v>208</v>
      </c>
      <c r="L1" s="99"/>
      <c r="M1" s="99"/>
      <c r="N1" s="97"/>
      <c r="O1" s="97"/>
      <c r="P1" s="97"/>
    </row>
    <row r="2" spans="1:19" ht="15.5">
      <c r="A2" t="str">
        <f ca="1">[1]!HX_AutoDate(1,"2026-06-18",E1,-1,-1,0,0,0,0,0,"SSE",85,0)</f>
        <v>日期</v>
      </c>
      <c r="B2" t="s">
        <v>210</v>
      </c>
      <c r="C2" t="s">
        <v>211</v>
      </c>
      <c r="J2" s="97" t="s">
        <v>69</v>
      </c>
      <c r="K2" s="97" t="s">
        <v>210</v>
      </c>
      <c r="L2" s="97" t="s">
        <v>211</v>
      </c>
      <c r="M2" s="97" t="s">
        <v>212</v>
      </c>
      <c r="N2" s="97" t="s">
        <v>213</v>
      </c>
      <c r="O2" s="97" t="s">
        <v>214</v>
      </c>
      <c r="P2" s="97" t="s">
        <v>215</v>
      </c>
      <c r="Q2" s="90" t="s">
        <v>216</v>
      </c>
      <c r="R2" s="100">
        <f>MIN(S:S)</f>
        <v>-2.72612639821741E-2</v>
      </c>
    </row>
    <row r="3" spans="1:19" ht="15.5">
      <c r="A3" s="91">
        <v>46191</v>
      </c>
      <c r="B3" s="34">
        <v>1</v>
      </c>
      <c r="C3" s="34">
        <v>1</v>
      </c>
      <c r="D3" s="34"/>
      <c r="E3" s="34"/>
      <c r="F3" s="34"/>
      <c r="G3" s="34"/>
      <c r="J3" s="15">
        <v>46191</v>
      </c>
      <c r="K3" s="98">
        <v>0</v>
      </c>
      <c r="L3" s="98">
        <v>0</v>
      </c>
      <c r="M3" s="98">
        <v>0</v>
      </c>
      <c r="N3" s="98">
        <v>0</v>
      </c>
      <c r="O3" s="98">
        <v>0</v>
      </c>
      <c r="P3" s="98">
        <v>0</v>
      </c>
      <c r="Q3" s="90">
        <f t="shared" ref="Q3:Q24" si="0">1+K3</f>
        <v>1</v>
      </c>
      <c r="R3" s="90">
        <f>MAX(Q$3:Q3)</f>
        <v>1</v>
      </c>
      <c r="S3" s="93">
        <f>Q3/R3-1</f>
        <v>0</v>
      </c>
    </row>
    <row r="4" spans="1:19" ht="15.5">
      <c r="A4" s="91">
        <v>46195</v>
      </c>
      <c r="B4" s="34">
        <v>1.00089571</v>
      </c>
      <c r="C4" s="34">
        <v>1.0017326900000001</v>
      </c>
      <c r="D4" s="34"/>
      <c r="E4" s="34"/>
      <c r="F4" s="34">
        <f>MAX(B$3:B4)</f>
        <v>1.00089571</v>
      </c>
      <c r="G4" s="93">
        <f t="shared" ref="G4:G21" si="1">B4/F4-1</f>
        <v>0</v>
      </c>
      <c r="J4" s="15">
        <v>46195</v>
      </c>
      <c r="K4" s="98">
        <v>8.9570999999999997E-4</v>
      </c>
      <c r="L4" s="98">
        <v>1.7326900000000001E-3</v>
      </c>
      <c r="M4" s="98">
        <v>0</v>
      </c>
      <c r="N4" s="98">
        <v>8.9570999999999997E-4</v>
      </c>
      <c r="O4" s="98">
        <v>6.7540459999999997E-2</v>
      </c>
      <c r="P4" s="98">
        <v>1.7326900000000001E-3</v>
      </c>
      <c r="Q4" s="90">
        <f t="shared" si="0"/>
        <v>1.00089571</v>
      </c>
      <c r="R4" s="90">
        <f>MAX(Q$3:Q4)</f>
        <v>1.00089571</v>
      </c>
      <c r="S4" s="93">
        <f t="shared" ref="S4:S24" si="2">Q4/R4-1</f>
        <v>0</v>
      </c>
    </row>
    <row r="5" spans="1:19" ht="15.5">
      <c r="A5" s="91">
        <v>46196</v>
      </c>
      <c r="B5" s="34">
        <v>0.99782280999999995</v>
      </c>
      <c r="C5" s="34">
        <v>0.99848311999999995</v>
      </c>
      <c r="D5" s="34"/>
      <c r="E5" s="34"/>
      <c r="F5" s="34">
        <f>MAX(B$3:B5)</f>
        <v>1.00089571</v>
      </c>
      <c r="G5" s="93">
        <f t="shared" si="1"/>
        <v>-3.0701500359113787E-3</v>
      </c>
      <c r="J5" s="15">
        <v>46196</v>
      </c>
      <c r="K5" s="98">
        <v>-2.1771899999999999E-3</v>
      </c>
      <c r="L5" s="98">
        <v>-1.51688E-3</v>
      </c>
      <c r="M5" s="98">
        <v>-3.0701499999999998E-3</v>
      </c>
      <c r="N5" s="98">
        <v>-3.0701499999999998E-3</v>
      </c>
      <c r="O5" s="98">
        <v>-0.12417622</v>
      </c>
      <c r="P5" s="98">
        <v>-3.2439499999999998E-3</v>
      </c>
      <c r="Q5" s="90">
        <f t="shared" si="0"/>
        <v>0.99782280999999995</v>
      </c>
      <c r="R5" s="90">
        <f>MAX(Q$3:Q5)</f>
        <v>1.00089571</v>
      </c>
      <c r="S5" s="93">
        <f t="shared" si="2"/>
        <v>-3.0701500359113787E-3</v>
      </c>
    </row>
    <row r="6" spans="1:19" ht="15.5">
      <c r="A6" s="91">
        <v>46197</v>
      </c>
      <c r="B6" s="34">
        <v>0.99977079999999996</v>
      </c>
      <c r="C6" s="34">
        <v>0.99994095999999999</v>
      </c>
      <c r="D6" s="34"/>
      <c r="E6" s="34"/>
      <c r="F6" s="34">
        <f>MAX(B$3:B6)</f>
        <v>1.00089571</v>
      </c>
      <c r="G6" s="93">
        <f t="shared" si="1"/>
        <v>-1.1239033085674865E-3</v>
      </c>
      <c r="J6" s="15">
        <v>46197</v>
      </c>
      <c r="K6" s="98">
        <v>-2.2919999999999999E-4</v>
      </c>
      <c r="L6" s="98">
        <v>-5.9039999999999997E-5</v>
      </c>
      <c r="M6" s="98">
        <v>-1.1238999999999999E-3</v>
      </c>
      <c r="N6" s="98">
        <v>1.9522400000000001E-3</v>
      </c>
      <c r="O6" s="98">
        <v>-1.188148E-2</v>
      </c>
      <c r="P6" s="98">
        <v>1.46006E-3</v>
      </c>
      <c r="Q6" s="90">
        <f t="shared" si="0"/>
        <v>0.99977079999999996</v>
      </c>
      <c r="R6" s="90">
        <f>MAX(Q$3:Q6)</f>
        <v>1.00089571</v>
      </c>
      <c r="S6" s="93">
        <f t="shared" si="2"/>
        <v>-1.1239033085674865E-3</v>
      </c>
    </row>
    <row r="7" spans="1:19" ht="15.5">
      <c r="A7" s="91">
        <v>46198</v>
      </c>
      <c r="B7" s="34">
        <v>1.00127827</v>
      </c>
      <c r="C7" s="34">
        <v>1.00128466</v>
      </c>
      <c r="D7" s="34"/>
      <c r="E7" s="34"/>
      <c r="F7" s="34">
        <f>MAX(B$3:B7)</f>
        <v>1.00127827</v>
      </c>
      <c r="G7" s="93">
        <f t="shared" si="1"/>
        <v>0</v>
      </c>
      <c r="J7" s="15">
        <v>46198</v>
      </c>
      <c r="K7" s="98">
        <v>1.27827E-3</v>
      </c>
      <c r="L7" s="98">
        <v>1.28466E-3</v>
      </c>
      <c r="M7" s="98">
        <v>0</v>
      </c>
      <c r="N7" s="98">
        <v>1.5078100000000001E-3</v>
      </c>
      <c r="O7" s="98">
        <v>6.0015640000000002E-2</v>
      </c>
      <c r="P7" s="98">
        <v>1.3437799999999999E-3</v>
      </c>
      <c r="Q7" s="90">
        <f t="shared" si="0"/>
        <v>1.00127827</v>
      </c>
      <c r="R7" s="90">
        <f>MAX(Q$3:Q7)</f>
        <v>1.00127827</v>
      </c>
      <c r="S7" s="93">
        <f t="shared" si="2"/>
        <v>0</v>
      </c>
    </row>
    <row r="8" spans="1:19" ht="15.5">
      <c r="A8" s="91">
        <v>46199</v>
      </c>
      <c r="B8" s="34">
        <v>0.99893008999999999</v>
      </c>
      <c r="C8" s="34">
        <v>0.99865013999999996</v>
      </c>
      <c r="D8" s="34"/>
      <c r="E8" s="34"/>
      <c r="F8" s="34">
        <f>MAX(B$3:B8)</f>
        <v>1.00127827</v>
      </c>
      <c r="G8" s="93">
        <f t="shared" si="1"/>
        <v>-2.3451822239186626E-3</v>
      </c>
      <c r="J8" s="15">
        <v>46199</v>
      </c>
      <c r="K8" s="98">
        <v>-1.0699100000000001E-3</v>
      </c>
      <c r="L8" s="98">
        <v>-1.34986E-3</v>
      </c>
      <c r="M8" s="98">
        <v>-2.3451800000000001E-3</v>
      </c>
      <c r="N8" s="98">
        <v>-2.3451800000000001E-3</v>
      </c>
      <c r="O8" s="98">
        <v>-4.2485259999999997E-2</v>
      </c>
      <c r="P8" s="98">
        <v>-2.6311400000000001E-3</v>
      </c>
      <c r="Q8" s="90">
        <f t="shared" si="0"/>
        <v>0.99893008999999999</v>
      </c>
      <c r="R8" s="90">
        <f>MAX(Q$3:Q8)</f>
        <v>1.00127827</v>
      </c>
      <c r="S8" s="93">
        <f t="shared" si="2"/>
        <v>-2.3451822239186626E-3</v>
      </c>
    </row>
    <row r="9" spans="1:19" ht="15.5">
      <c r="A9" s="91">
        <v>46202</v>
      </c>
      <c r="B9" s="34">
        <v>1.00052151</v>
      </c>
      <c r="C9" s="34">
        <v>1.0012537500000001</v>
      </c>
      <c r="D9" s="34"/>
      <c r="E9" s="34"/>
      <c r="F9" s="34">
        <f>MAX(B$3:B9)</f>
        <v>1.00127827</v>
      </c>
      <c r="G9" s="93">
        <f t="shared" si="1"/>
        <v>-7.5579389134250441E-4</v>
      </c>
      <c r="J9" s="15">
        <v>46202</v>
      </c>
      <c r="K9" s="98">
        <v>5.2150999999999999E-4</v>
      </c>
      <c r="L9" s="98">
        <v>1.2537500000000001E-3</v>
      </c>
      <c r="M9" s="98">
        <v>-7.5579E-4</v>
      </c>
      <c r="N9" s="98">
        <v>1.59312E-3</v>
      </c>
      <c r="O9" s="98">
        <v>1.5984740000000001E-2</v>
      </c>
      <c r="P9" s="98">
        <v>2.6071200000000001E-3</v>
      </c>
      <c r="Q9" s="90">
        <f t="shared" si="0"/>
        <v>1.00052151</v>
      </c>
      <c r="R9" s="90">
        <f>MAX(Q$3:Q9)</f>
        <v>1.00127827</v>
      </c>
      <c r="S9" s="93">
        <f t="shared" si="2"/>
        <v>-7.5579389134250441E-4</v>
      </c>
    </row>
    <row r="10" spans="1:19" ht="15.5">
      <c r="A10" s="91">
        <v>46203</v>
      </c>
      <c r="B10" s="94">
        <v>1.00271066</v>
      </c>
      <c r="C10" s="34">
        <v>1.0028214600000001</v>
      </c>
      <c r="D10" s="34"/>
      <c r="E10" s="34"/>
      <c r="F10" s="34">
        <f>MAX(B$3:B10)</f>
        <v>1.00271066</v>
      </c>
      <c r="G10" s="93">
        <f t="shared" si="1"/>
        <v>0</v>
      </c>
      <c r="J10" s="15">
        <v>46203</v>
      </c>
      <c r="K10" s="98">
        <v>2.7106600000000002E-3</v>
      </c>
      <c r="L10" s="98">
        <v>2.82146E-3</v>
      </c>
      <c r="M10" s="98">
        <v>0</v>
      </c>
      <c r="N10" s="98">
        <v>2.1880100000000002E-3</v>
      </c>
      <c r="O10" s="98">
        <v>7.8966939999999999E-2</v>
      </c>
      <c r="P10" s="98">
        <v>1.5657500000000001E-3</v>
      </c>
      <c r="Q10" s="90">
        <f t="shared" si="0"/>
        <v>1.00271066</v>
      </c>
      <c r="R10" s="90">
        <f>MAX(Q$3:Q10)</f>
        <v>1.00271066</v>
      </c>
      <c r="S10" s="93">
        <f t="shared" si="2"/>
        <v>0</v>
      </c>
    </row>
    <row r="11" spans="1:19" ht="15.5">
      <c r="A11" s="91">
        <v>46204</v>
      </c>
      <c r="B11" s="34">
        <v>0.99998487999999996</v>
      </c>
      <c r="C11" s="34">
        <v>1.0016915799999999</v>
      </c>
      <c r="D11" s="34"/>
      <c r="E11" s="34"/>
      <c r="F11" s="34">
        <f>MAX(B$3:B11)</f>
        <v>1.00271066</v>
      </c>
      <c r="G11" s="93">
        <f t="shared" si="1"/>
        <v>-2.7184113111952124E-3</v>
      </c>
      <c r="J11" s="15">
        <v>46204</v>
      </c>
      <c r="K11" s="98">
        <v>-1.5119999999999999E-5</v>
      </c>
      <c r="L11" s="98">
        <v>1.69158E-3</v>
      </c>
      <c r="M11" s="98">
        <v>-2.7184100000000001E-3</v>
      </c>
      <c r="N11" s="98">
        <v>-2.7184100000000001E-3</v>
      </c>
      <c r="O11" s="98">
        <v>-3.9400999999999998E-4</v>
      </c>
      <c r="P11" s="98">
        <v>-1.1267E-3</v>
      </c>
      <c r="Q11" s="90">
        <f t="shared" si="0"/>
        <v>0.99998487999999996</v>
      </c>
      <c r="R11" s="90">
        <f>MAX(Q$3:Q11)</f>
        <v>1.00271066</v>
      </c>
      <c r="S11" s="93">
        <f t="shared" si="2"/>
        <v>-2.7184113111952124E-3</v>
      </c>
    </row>
    <row r="12" spans="1:19" ht="15.5">
      <c r="A12" s="91">
        <v>46205</v>
      </c>
      <c r="B12" s="34">
        <v>0.99402933000000004</v>
      </c>
      <c r="C12" s="34">
        <v>0.99936767999999998</v>
      </c>
      <c r="D12" s="34"/>
      <c r="E12" s="34"/>
      <c r="F12" s="34">
        <f>MAX(B$3:B12)</f>
        <v>1.00271066</v>
      </c>
      <c r="G12" s="93">
        <f t="shared" si="1"/>
        <v>-8.6578614811972932E-3</v>
      </c>
      <c r="J12" s="15">
        <v>46205</v>
      </c>
      <c r="K12" s="98">
        <v>-5.97067E-3</v>
      </c>
      <c r="L12" s="98">
        <v>-6.3232000000000002E-4</v>
      </c>
      <c r="M12" s="98">
        <v>-8.6578599999999999E-3</v>
      </c>
      <c r="N12" s="98">
        <v>-5.9556499999999998E-3</v>
      </c>
      <c r="O12" s="98">
        <v>-0.13560188000000001</v>
      </c>
      <c r="P12" s="98">
        <v>-2.3199800000000001E-3</v>
      </c>
      <c r="Q12" s="90">
        <f t="shared" si="0"/>
        <v>0.99402933000000004</v>
      </c>
      <c r="R12" s="90">
        <f>MAX(Q$3:Q12)</f>
        <v>1.00271066</v>
      </c>
      <c r="S12" s="93">
        <f t="shared" si="2"/>
        <v>-8.6578614811972932E-3</v>
      </c>
    </row>
    <row r="13" spans="1:19" ht="15.5">
      <c r="A13" s="91">
        <v>46206</v>
      </c>
      <c r="B13" s="34">
        <v>0.99491236999999999</v>
      </c>
      <c r="C13" s="34">
        <v>1.0007488899999999</v>
      </c>
      <c r="D13" s="34"/>
      <c r="E13" s="34"/>
      <c r="F13" s="34">
        <f>MAX(B$3:B13)</f>
        <v>1.00271066</v>
      </c>
      <c r="G13" s="93">
        <f t="shared" si="1"/>
        <v>-7.7772086316505451E-3</v>
      </c>
      <c r="J13" s="15">
        <v>46206</v>
      </c>
      <c r="K13" s="98">
        <v>-5.0876300000000001E-3</v>
      </c>
      <c r="L13" s="98">
        <v>7.4888999999999999E-4</v>
      </c>
      <c r="M13" s="98">
        <v>-7.7772099999999997E-3</v>
      </c>
      <c r="N13" s="98">
        <v>8.8834000000000005E-4</v>
      </c>
      <c r="O13" s="98">
        <v>-0.10984339999999999</v>
      </c>
      <c r="P13" s="98">
        <v>1.3820799999999999E-3</v>
      </c>
      <c r="Q13" s="90">
        <f t="shared" si="0"/>
        <v>0.99491236999999999</v>
      </c>
      <c r="R13" s="90">
        <f>MAX(Q$3:Q13)</f>
        <v>1.00271066</v>
      </c>
      <c r="S13" s="93">
        <f t="shared" si="2"/>
        <v>-7.7772086316505451E-3</v>
      </c>
    </row>
    <row r="14" spans="1:19" ht="15.5">
      <c r="A14" s="91">
        <v>46209</v>
      </c>
      <c r="B14" s="34">
        <v>0.99396983999999999</v>
      </c>
      <c r="C14" s="34">
        <v>0.99999342000000002</v>
      </c>
      <c r="D14" s="34"/>
      <c r="E14" s="34"/>
      <c r="F14" s="34">
        <f>MAX(B$3:B14)</f>
        <v>1.00271066</v>
      </c>
      <c r="G14" s="93">
        <f t="shared" si="1"/>
        <v>-8.717190659965679E-3</v>
      </c>
      <c r="J14" s="15">
        <v>46209</v>
      </c>
      <c r="K14" s="98">
        <v>-6.0301599999999997E-3</v>
      </c>
      <c r="L14" s="98">
        <v>-6.5799999999999997E-6</v>
      </c>
      <c r="M14" s="98">
        <v>-8.7171899999999997E-3</v>
      </c>
      <c r="N14" s="98">
        <v>-9.4733999999999997E-4</v>
      </c>
      <c r="O14" s="98">
        <v>-0.10969677</v>
      </c>
      <c r="P14" s="98">
        <v>-7.5491000000000002E-4</v>
      </c>
      <c r="Q14" s="90">
        <f t="shared" si="0"/>
        <v>0.99396983999999999</v>
      </c>
      <c r="R14" s="90">
        <f>MAX(Q$3:Q14)</f>
        <v>1.00271066</v>
      </c>
      <c r="S14" s="93">
        <f t="shared" si="2"/>
        <v>-8.717190659965679E-3</v>
      </c>
    </row>
    <row r="15" spans="1:19" ht="15.5">
      <c r="A15" s="91">
        <v>46210</v>
      </c>
      <c r="B15" s="34">
        <v>0.99336488999999994</v>
      </c>
      <c r="C15" s="34">
        <v>0.99843126999999998</v>
      </c>
      <c r="D15" s="34"/>
      <c r="E15" s="34"/>
      <c r="F15" s="34">
        <f>MAX(B$3:B15)</f>
        <v>1.00271066</v>
      </c>
      <c r="G15" s="93">
        <f t="shared" si="1"/>
        <v>-9.3205052791600629E-3</v>
      </c>
      <c r="J15" s="15">
        <v>46210</v>
      </c>
      <c r="K15" s="98">
        <v>-6.6351099999999996E-3</v>
      </c>
      <c r="L15" s="98">
        <v>-1.56873E-3</v>
      </c>
      <c r="M15" s="98">
        <v>-9.3205100000000006E-3</v>
      </c>
      <c r="N15" s="98">
        <v>-6.0862000000000004E-4</v>
      </c>
      <c r="O15" s="98">
        <v>-0.11440387</v>
      </c>
      <c r="P15" s="98">
        <v>-1.56215E-3</v>
      </c>
      <c r="Q15" s="90">
        <f t="shared" si="0"/>
        <v>0.99336489000000006</v>
      </c>
      <c r="R15" s="90">
        <f>MAX(Q$3:Q15)</f>
        <v>1.00271066</v>
      </c>
      <c r="S15" s="93">
        <f t="shared" si="2"/>
        <v>-9.3205052791599519E-3</v>
      </c>
    </row>
    <row r="16" spans="1:19" ht="15.5">
      <c r="A16" s="91">
        <v>46211</v>
      </c>
      <c r="B16" s="34">
        <v>0.99351509000000005</v>
      </c>
      <c r="C16" s="34">
        <v>0.99752964</v>
      </c>
      <c r="D16" s="34"/>
      <c r="E16" s="34"/>
      <c r="F16" s="34">
        <f>MAX(B$3:B16)</f>
        <v>1.00271066</v>
      </c>
      <c r="G16" s="93">
        <f t="shared" si="1"/>
        <v>-9.1707113196541901E-3</v>
      </c>
      <c r="J16" s="15">
        <v>46211</v>
      </c>
      <c r="K16" s="98">
        <v>-6.48491E-3</v>
      </c>
      <c r="L16" s="98">
        <v>-2.47036E-3</v>
      </c>
      <c r="M16" s="98">
        <v>-9.1707100000000003E-3</v>
      </c>
      <c r="N16" s="98">
        <v>1.5119999999999999E-4</v>
      </c>
      <c r="O16" s="98">
        <v>-0.10692168000000001</v>
      </c>
      <c r="P16" s="98">
        <v>-9.0304999999999997E-4</v>
      </c>
      <c r="Q16" s="90">
        <f t="shared" si="0"/>
        <v>0.99351509000000005</v>
      </c>
      <c r="R16" s="90">
        <f>MAX(Q$3:Q16)</f>
        <v>1.00271066</v>
      </c>
      <c r="S16" s="93">
        <f t="shared" si="2"/>
        <v>-9.1707113196541901E-3</v>
      </c>
    </row>
    <row r="17" spans="1:19" ht="15.5">
      <c r="A17" s="91">
        <v>46212</v>
      </c>
      <c r="B17" s="95">
        <v>0.99860981999999998</v>
      </c>
      <c r="C17" s="95">
        <v>1.0010589000000001</v>
      </c>
      <c r="D17" s="34"/>
      <c r="E17" s="34"/>
      <c r="F17" s="34">
        <f>MAX(B$3:B17)</f>
        <v>1.00271066</v>
      </c>
      <c r="G17" s="93">
        <f t="shared" si="1"/>
        <v>-4.0897540672401034E-3</v>
      </c>
      <c r="J17" s="15">
        <v>46212</v>
      </c>
      <c r="K17" s="98">
        <v>-1.39018E-3</v>
      </c>
      <c r="L17" s="98">
        <v>1.0589E-3</v>
      </c>
      <c r="M17" s="98">
        <v>-4.0897599999999996E-3</v>
      </c>
      <c r="N17" s="98">
        <v>5.1279799999999999E-3</v>
      </c>
      <c r="O17" s="98">
        <v>-2.2816110000000001E-2</v>
      </c>
      <c r="P17" s="98">
        <v>3.5379999999999999E-3</v>
      </c>
      <c r="Q17" s="90">
        <f t="shared" si="0"/>
        <v>0.99860981999999998</v>
      </c>
      <c r="R17" s="90">
        <f>MAX(Q$3:Q17)</f>
        <v>1.00271066</v>
      </c>
      <c r="S17" s="93">
        <f t="shared" si="2"/>
        <v>-4.0897540672401034E-3</v>
      </c>
    </row>
    <row r="18" spans="1:19" ht="15.5">
      <c r="A18" s="91">
        <v>46213</v>
      </c>
      <c r="B18" s="34">
        <v>0.99488465999999998</v>
      </c>
      <c r="C18" s="34">
        <v>0.99874636999999999</v>
      </c>
      <c r="D18" s="34"/>
      <c r="E18" s="34"/>
      <c r="F18" s="34">
        <f>MAX(B$3:B18)</f>
        <v>1.00271066</v>
      </c>
      <c r="G18" s="93">
        <f t="shared" si="1"/>
        <v>-7.804843722315713E-3</v>
      </c>
      <c r="J18" s="15">
        <v>46213</v>
      </c>
      <c r="K18" s="98">
        <v>-5.1153400000000003E-3</v>
      </c>
      <c r="L18" s="98">
        <v>-1.2536299999999999E-3</v>
      </c>
      <c r="M18" s="98">
        <v>-7.8048400000000004E-3</v>
      </c>
      <c r="N18" s="98">
        <v>-3.73034E-3</v>
      </c>
      <c r="O18" s="98">
        <v>-7.8162690000000007E-2</v>
      </c>
      <c r="P18" s="98">
        <v>-2.3100899999999999E-3</v>
      </c>
      <c r="Q18" s="90">
        <f t="shared" si="0"/>
        <v>0.99488465999999998</v>
      </c>
      <c r="R18" s="90">
        <f>MAX(Q$3:Q18)</f>
        <v>1.00271066</v>
      </c>
      <c r="S18" s="93">
        <f t="shared" si="2"/>
        <v>-7.804843722315713E-3</v>
      </c>
    </row>
    <row r="19" spans="1:19" ht="15.5">
      <c r="A19" s="91">
        <v>46216</v>
      </c>
      <c r="B19" s="34">
        <v>0.98970133999999998</v>
      </c>
      <c r="C19" s="34">
        <v>0.99494974000000003</v>
      </c>
      <c r="D19" s="34"/>
      <c r="E19" s="34"/>
      <c r="F19" s="34">
        <f>MAX(B$3:B19)</f>
        <v>1.00271066</v>
      </c>
      <c r="G19" s="93">
        <f t="shared" si="1"/>
        <v>-1.2974151486531471E-2</v>
      </c>
      <c r="J19" s="15">
        <v>46216</v>
      </c>
      <c r="K19" s="98">
        <v>-1.0298659999999999E-2</v>
      </c>
      <c r="L19" s="98">
        <v>-5.05026E-3</v>
      </c>
      <c r="M19" s="98">
        <v>-1.297415E-2</v>
      </c>
      <c r="N19" s="98">
        <v>-5.2099700000000004E-3</v>
      </c>
      <c r="O19" s="98">
        <v>-0.13526046</v>
      </c>
      <c r="P19" s="98">
        <v>-3.8013999999999999E-3</v>
      </c>
      <c r="Q19" s="90">
        <f t="shared" si="0"/>
        <v>0.98970133999999998</v>
      </c>
      <c r="R19" s="90">
        <f>MAX(Q$3:Q19)</f>
        <v>1.00271066</v>
      </c>
      <c r="S19" s="93">
        <f t="shared" si="2"/>
        <v>-1.2974151486531471E-2</v>
      </c>
    </row>
    <row r="20" spans="1:19" ht="15.5">
      <c r="A20" s="91">
        <v>46217</v>
      </c>
      <c r="B20" s="34">
        <v>0.99245271000000002</v>
      </c>
      <c r="C20" s="34">
        <v>0.99638576000000001</v>
      </c>
      <c r="D20" s="34"/>
      <c r="E20" s="34"/>
      <c r="F20" s="34">
        <f>MAX(B$3:B20)</f>
        <v>1.00271066</v>
      </c>
      <c r="G20" s="93">
        <f t="shared" si="1"/>
        <v>-1.0230219353606906E-2</v>
      </c>
      <c r="J20" s="15">
        <v>46217</v>
      </c>
      <c r="K20" s="98">
        <v>-7.5472899999999999E-3</v>
      </c>
      <c r="L20" s="98">
        <v>-3.6142399999999999E-3</v>
      </c>
      <c r="M20" s="98">
        <v>-1.023022E-2</v>
      </c>
      <c r="N20" s="98">
        <v>2.7799999999999999E-3</v>
      </c>
      <c r="O20" s="98">
        <v>-9.7345249999999994E-2</v>
      </c>
      <c r="P20" s="98">
        <v>1.4433099999999999E-3</v>
      </c>
      <c r="Q20" s="90">
        <f t="shared" si="0"/>
        <v>0.99245271000000002</v>
      </c>
      <c r="R20" s="90">
        <f>MAX(Q$3:Q20)</f>
        <v>1.00271066</v>
      </c>
      <c r="S20" s="93">
        <f t="shared" si="2"/>
        <v>-1.0230219353606906E-2</v>
      </c>
    </row>
    <row r="21" spans="1:19" ht="15.5">
      <c r="A21" s="91">
        <v>46218</v>
      </c>
      <c r="B21" s="34">
        <v>0.99005834000000004</v>
      </c>
      <c r="C21" s="34">
        <v>0.99574863000000002</v>
      </c>
      <c r="D21" s="34"/>
      <c r="E21" s="34"/>
      <c r="F21" s="34">
        <f>MAX(B$3:B21)</f>
        <v>1.00271066</v>
      </c>
      <c r="G21" s="93">
        <f t="shared" si="1"/>
        <v>-1.2618116576121663E-2</v>
      </c>
      <c r="J21" s="15">
        <v>46218</v>
      </c>
      <c r="K21" s="98">
        <v>-9.9416599999999997E-3</v>
      </c>
      <c r="L21" s="98">
        <v>-4.25137E-3</v>
      </c>
      <c r="M21" s="98">
        <v>-1.261812E-2</v>
      </c>
      <c r="N21" s="98">
        <v>-2.4125800000000001E-3</v>
      </c>
      <c r="O21" s="98">
        <v>-0.12211979000000001</v>
      </c>
      <c r="P21" s="98">
        <v>-6.3944000000000002E-4</v>
      </c>
      <c r="Q21" s="90">
        <f t="shared" si="0"/>
        <v>0.99005834000000004</v>
      </c>
      <c r="R21" s="90">
        <f>MAX(Q$3:Q21)</f>
        <v>1.00271066</v>
      </c>
      <c r="S21" s="93">
        <f t="shared" si="2"/>
        <v>-1.2618116576121663E-2</v>
      </c>
    </row>
    <row r="22" spans="1:19" ht="15.5">
      <c r="A22" s="91">
        <v>46219</v>
      </c>
      <c r="B22" s="34">
        <v>0.98597555999999997</v>
      </c>
      <c r="C22" s="34">
        <v>0.99366668000000002</v>
      </c>
      <c r="D22" s="34"/>
      <c r="E22" s="34"/>
      <c r="F22" s="34">
        <f>MAX(B$3:B22)</f>
        <v>1.00271066</v>
      </c>
      <c r="G22" s="93">
        <f>B22/F22-1</f>
        <v>-1.6689859465541135E-2</v>
      </c>
      <c r="J22" s="15">
        <v>46219</v>
      </c>
      <c r="K22" s="98">
        <v>-1.4024440000000001E-2</v>
      </c>
      <c r="L22" s="98">
        <v>-6.3333199999999999E-3</v>
      </c>
      <c r="M22" s="98">
        <v>-1.6689860000000001E-2</v>
      </c>
      <c r="N22" s="98">
        <v>-4.1237799999999996E-3</v>
      </c>
      <c r="O22" s="98">
        <v>-0.16286004000000001</v>
      </c>
      <c r="P22" s="98">
        <v>-2.09085E-3</v>
      </c>
      <c r="Q22" s="90">
        <f t="shared" si="0"/>
        <v>0.98597555999999997</v>
      </c>
      <c r="R22" s="90">
        <f>MAX(Q$3:Q22)</f>
        <v>1.00271066</v>
      </c>
      <c r="S22" s="93">
        <f t="shared" si="2"/>
        <v>-1.6689859465541135E-2</v>
      </c>
    </row>
    <row r="23" spans="1:19" ht="15.5">
      <c r="A23" s="91">
        <v>46220</v>
      </c>
      <c r="B23" s="34">
        <v>0.97886371999999999</v>
      </c>
      <c r="C23" s="34">
        <v>0.98920828000000005</v>
      </c>
      <c r="D23" s="34"/>
      <c r="E23" s="34"/>
      <c r="F23" s="34">
        <f>MAX(B$3:B23)</f>
        <v>1.00271066</v>
      </c>
      <c r="G23" s="93">
        <f>B23/F23-1</f>
        <v>-2.3782473799570436E-2</v>
      </c>
      <c r="I23" s="92">
        <f>1+L23</f>
        <v>0.98920828000000005</v>
      </c>
      <c r="J23" s="15">
        <v>46220</v>
      </c>
      <c r="K23" s="98">
        <v>-2.113628E-2</v>
      </c>
      <c r="L23" s="98">
        <v>-1.0791719999999999E-2</v>
      </c>
      <c r="M23" s="98">
        <v>-2.378247E-2</v>
      </c>
      <c r="N23" s="98">
        <v>-7.2129899999999999E-3</v>
      </c>
      <c r="O23" s="98">
        <v>-0.22888259</v>
      </c>
      <c r="P23" s="98">
        <v>-4.4868099999999999E-3</v>
      </c>
      <c r="Q23" s="90">
        <f t="shared" si="0"/>
        <v>0.97886371999999999</v>
      </c>
      <c r="R23" s="90">
        <f>MAX(Q$3:Q23)</f>
        <v>1.00271066</v>
      </c>
      <c r="S23" s="93">
        <f t="shared" si="2"/>
        <v>-2.3782473799570436E-2</v>
      </c>
    </row>
    <row r="24" spans="1:19" ht="15.5">
      <c r="A24" s="91">
        <v>46223</v>
      </c>
      <c r="J24" s="15">
        <v>46223</v>
      </c>
      <c r="K24" s="98">
        <v>-2.4624500000000001E-2</v>
      </c>
      <c r="L24" s="98">
        <v>-1.038937E-2</v>
      </c>
      <c r="M24" s="98">
        <v>-2.7261259999999999E-2</v>
      </c>
      <c r="N24" s="98">
        <v>-3.56354E-3</v>
      </c>
      <c r="O24" s="98">
        <v>-0.24101354999999999</v>
      </c>
      <c r="P24" s="98">
        <v>4.0674E-4</v>
      </c>
      <c r="Q24" s="90">
        <f t="shared" si="0"/>
        <v>0.97537549999999995</v>
      </c>
      <c r="R24" s="90">
        <f>MAX(Q$3:Q24)</f>
        <v>1.00271066</v>
      </c>
      <c r="S24" s="93">
        <f t="shared" si="2"/>
        <v>-2.72612639821741E-2</v>
      </c>
    </row>
    <row r="25" spans="1:19">
      <c r="A25" s="91">
        <v>46224</v>
      </c>
    </row>
    <row r="26" spans="1:19">
      <c r="A26" s="91">
        <v>46225</v>
      </c>
    </row>
    <row r="27" spans="1:19">
      <c r="A27" s="91">
        <v>46226</v>
      </c>
      <c r="B27" s="96"/>
    </row>
    <row r="28" spans="1:19">
      <c r="A28" s="91">
        <v>46227</v>
      </c>
    </row>
    <row r="29" spans="1:19">
      <c r="A29" s="91">
        <v>46230</v>
      </c>
    </row>
    <row r="30" spans="1:19">
      <c r="A30" s="91">
        <v>46231</v>
      </c>
    </row>
    <row r="31" spans="1:19">
      <c r="A31" s="91">
        <v>46232</v>
      </c>
    </row>
    <row r="32" spans="1:19">
      <c r="A32" s="91">
        <v>46233</v>
      </c>
    </row>
    <row r="33" spans="1:1">
      <c r="A33" s="91">
        <v>46234</v>
      </c>
    </row>
    <row r="34" spans="1:1">
      <c r="A34" s="91">
        <v>46237</v>
      </c>
    </row>
    <row r="35" spans="1:1">
      <c r="A35" s="91">
        <v>46238</v>
      </c>
    </row>
    <row r="36" spans="1:1">
      <c r="A36" s="91">
        <v>46239</v>
      </c>
    </row>
    <row r="37" spans="1:1">
      <c r="A37" s="91">
        <v>46240</v>
      </c>
    </row>
    <row r="38" spans="1:1">
      <c r="A38" s="91">
        <v>46241</v>
      </c>
    </row>
    <row r="39" spans="1:1">
      <c r="A39" s="91">
        <v>46244</v>
      </c>
    </row>
    <row r="40" spans="1:1">
      <c r="A40" s="91">
        <v>46245</v>
      </c>
    </row>
    <row r="41" spans="1:1">
      <c r="A41" s="91">
        <v>46246</v>
      </c>
    </row>
    <row r="42" spans="1:1">
      <c r="A42" s="91">
        <v>46247</v>
      </c>
    </row>
    <row r="43" spans="1:1">
      <c r="A43" s="91">
        <v>46248</v>
      </c>
    </row>
    <row r="44" spans="1:1">
      <c r="A44" s="91">
        <v>46251</v>
      </c>
    </row>
    <row r="45" spans="1:1">
      <c r="A45" s="91">
        <v>46252</v>
      </c>
    </row>
    <row r="46" spans="1:1">
      <c r="A46" s="91">
        <v>46253</v>
      </c>
    </row>
    <row r="47" spans="1:1">
      <c r="A47" s="91">
        <v>46254</v>
      </c>
    </row>
    <row r="48" spans="1:1">
      <c r="A48" s="91">
        <v>46255</v>
      </c>
    </row>
    <row r="49" spans="1:1">
      <c r="A49" s="91">
        <v>46258</v>
      </c>
    </row>
    <row r="50" spans="1:1">
      <c r="A50" s="91">
        <v>46259</v>
      </c>
    </row>
    <row r="51" spans="1:1">
      <c r="A51" s="91">
        <v>46260</v>
      </c>
    </row>
    <row r="52" spans="1:1">
      <c r="A52" s="91">
        <v>46261</v>
      </c>
    </row>
    <row r="53" spans="1:1">
      <c r="A53" s="91">
        <v>46262</v>
      </c>
    </row>
    <row r="54" spans="1:1">
      <c r="A54" s="91">
        <v>46265</v>
      </c>
    </row>
    <row r="55" spans="1:1">
      <c r="A55" s="91">
        <v>46266</v>
      </c>
    </row>
    <row r="56" spans="1:1">
      <c r="A56" s="91">
        <v>46267</v>
      </c>
    </row>
    <row r="57" spans="1:1">
      <c r="A57" s="91">
        <v>46268</v>
      </c>
    </row>
    <row r="58" spans="1:1">
      <c r="A58" s="91">
        <v>46269</v>
      </c>
    </row>
    <row r="59" spans="1:1">
      <c r="A59" s="91">
        <v>46272</v>
      </c>
    </row>
    <row r="60" spans="1:1">
      <c r="A60" s="91">
        <v>46273</v>
      </c>
    </row>
    <row r="61" spans="1:1">
      <c r="A61" s="91">
        <v>46274</v>
      </c>
    </row>
    <row r="62" spans="1:1">
      <c r="A62" s="91">
        <v>46275</v>
      </c>
    </row>
    <row r="63" spans="1:1">
      <c r="A63" s="91">
        <v>46276</v>
      </c>
    </row>
    <row r="64" spans="1:1">
      <c r="A64" s="91">
        <v>46279</v>
      </c>
    </row>
    <row r="65" spans="1:1">
      <c r="A65" s="91">
        <v>46280</v>
      </c>
    </row>
    <row r="66" spans="1:1">
      <c r="A66" s="91">
        <v>46281</v>
      </c>
    </row>
    <row r="67" spans="1:1">
      <c r="A67" s="91">
        <v>46282</v>
      </c>
    </row>
    <row r="68" spans="1:1">
      <c r="A68" s="91">
        <v>46283</v>
      </c>
    </row>
    <row r="69" spans="1:1">
      <c r="A69" s="91">
        <v>46286</v>
      </c>
    </row>
    <row r="70" spans="1:1">
      <c r="A70" s="91">
        <v>46287</v>
      </c>
    </row>
    <row r="71" spans="1:1">
      <c r="A71" s="91">
        <v>46288</v>
      </c>
    </row>
    <row r="72" spans="1:1">
      <c r="A72" s="91">
        <v>46289</v>
      </c>
    </row>
    <row r="73" spans="1:1">
      <c r="A73" s="91">
        <v>46293</v>
      </c>
    </row>
    <row r="74" spans="1:1">
      <c r="A74" s="91">
        <v>46294</v>
      </c>
    </row>
    <row r="75" spans="1:1">
      <c r="A75" s="91">
        <v>46295</v>
      </c>
    </row>
    <row r="76" spans="1:1">
      <c r="A76" s="91">
        <v>46303</v>
      </c>
    </row>
    <row r="77" spans="1:1">
      <c r="A77" s="91">
        <v>46304</v>
      </c>
    </row>
    <row r="78" spans="1:1">
      <c r="A78" s="91">
        <v>46307</v>
      </c>
    </row>
    <row r="79" spans="1:1">
      <c r="A79" s="91">
        <v>46308</v>
      </c>
    </row>
    <row r="80" spans="1:1">
      <c r="A80" s="91">
        <v>46309</v>
      </c>
    </row>
    <row r="81" spans="1:1">
      <c r="A81" s="91">
        <v>46310</v>
      </c>
    </row>
    <row r="82" spans="1:1">
      <c r="A82" s="91">
        <v>46311</v>
      </c>
    </row>
    <row r="83" spans="1:1">
      <c r="A83" s="91">
        <v>46314</v>
      </c>
    </row>
    <row r="84" spans="1:1">
      <c r="A84" s="91">
        <v>46315</v>
      </c>
    </row>
    <row r="85" spans="1:1">
      <c r="A85" s="91">
        <v>46316</v>
      </c>
    </row>
    <row r="86" spans="1:1">
      <c r="A86" s="91">
        <v>46317</v>
      </c>
    </row>
    <row r="87" spans="1:1">
      <c r="A87" s="91">
        <v>46318</v>
      </c>
    </row>
  </sheetData>
  <phoneticPr fontId="2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7"/>
  <sheetViews>
    <sheetView showGridLines="0" tabSelected="1" zoomScaleNormal="100" workbookViewId="0">
      <pane xSplit="1" ySplit="4" topLeftCell="B59" activePane="bottomRight" state="frozen"/>
      <selection pane="topRight" activeCell="B1" sqref="B1"/>
      <selection pane="bottomLeft" activeCell="A5" sqref="A5"/>
      <selection pane="bottomRight" activeCell="L90" sqref="L90"/>
    </sheetView>
  </sheetViews>
  <sheetFormatPr defaultColWidth="9.54296875" defaultRowHeight="12.5"/>
  <cols>
    <col min="1" max="1" width="13.1796875" customWidth="1"/>
  </cols>
  <sheetData>
    <row r="1" spans="1:22" ht="18.75" customHeight="1">
      <c r="A1" s="240" t="s">
        <v>62</v>
      </c>
      <c r="B1" s="240"/>
      <c r="C1" s="240"/>
      <c r="D1" s="240"/>
      <c r="E1" s="240"/>
      <c r="F1" s="240"/>
      <c r="G1" s="240"/>
      <c r="H1" s="240"/>
      <c r="I1" s="240"/>
      <c r="J1" s="240"/>
      <c r="N1" s="2" t="s">
        <v>73</v>
      </c>
    </row>
    <row r="2" spans="1:22" ht="13.5" customHeight="1">
      <c r="A2" s="240"/>
      <c r="B2" s="240"/>
      <c r="C2" s="240"/>
      <c r="D2" s="240"/>
      <c r="E2" s="240"/>
      <c r="F2" s="240"/>
      <c r="G2" s="240"/>
      <c r="H2" s="240"/>
      <c r="I2" s="240"/>
      <c r="J2" s="240"/>
    </row>
    <row r="3" spans="1:22" ht="42" customHeight="1">
      <c r="B3" s="14" t="s">
        <v>63</v>
      </c>
      <c r="E3" s="14" t="s">
        <v>64</v>
      </c>
      <c r="H3" s="14" t="s">
        <v>65</v>
      </c>
      <c r="K3" s="14" t="s">
        <v>66</v>
      </c>
      <c r="N3" s="14" t="s">
        <v>67</v>
      </c>
      <c r="Q3" s="14" t="s">
        <v>68</v>
      </c>
      <c r="T3" s="14" t="s">
        <v>368</v>
      </c>
    </row>
    <row r="4" spans="1:22" ht="13">
      <c r="A4" s="1" t="s">
        <v>69</v>
      </c>
      <c r="B4" s="1" t="s">
        <v>70</v>
      </c>
      <c r="C4" s="1" t="s">
        <v>71</v>
      </c>
      <c r="D4" s="1" t="s">
        <v>72</v>
      </c>
      <c r="E4" s="1" t="s">
        <v>70</v>
      </c>
      <c r="F4" s="1" t="s">
        <v>71</v>
      </c>
      <c r="G4" s="1" t="s">
        <v>72</v>
      </c>
      <c r="H4" s="1" t="s">
        <v>70</v>
      </c>
      <c r="I4" s="1" t="s">
        <v>71</v>
      </c>
      <c r="J4" s="1" t="s">
        <v>72</v>
      </c>
      <c r="K4" s="1" t="s">
        <v>70</v>
      </c>
      <c r="L4" s="1" t="s">
        <v>71</v>
      </c>
      <c r="M4" s="1" t="s">
        <v>72</v>
      </c>
      <c r="N4" s="1" t="s">
        <v>70</v>
      </c>
      <c r="O4" s="1" t="s">
        <v>71</v>
      </c>
      <c r="P4" s="1" t="s">
        <v>72</v>
      </c>
      <c r="Q4" s="1" t="s">
        <v>70</v>
      </c>
      <c r="R4" s="1" t="s">
        <v>71</v>
      </c>
      <c r="S4" s="1" t="s">
        <v>72</v>
      </c>
      <c r="T4" s="1" t="s">
        <v>70</v>
      </c>
      <c r="U4" s="1" t="s">
        <v>71</v>
      </c>
      <c r="V4" s="1" t="s">
        <v>72</v>
      </c>
    </row>
    <row r="5" spans="1:22">
      <c r="A5" s="15">
        <f>IF('实盘净值数据(iFinD公式)'!A5="","",'实盘净值数据(iFinD公式)'!A5)</f>
        <v>46191</v>
      </c>
      <c r="B5" s="13" t="str">
        <f>IF(OR((ROW()-1)&lt;6,'实盘净值数据(iFinD公式)'!$A5="",'实盘净值数据(iFinD公式)'!$B5=""),"",SUMPRODUCT(实盘持仓配置!$B$4:$X$4,'实盘净值数据(iFinD公式)'!$B5:$X5/'实盘净值数据(iFinD公式)'!$B$6:$X$6)*(1-实盘持仓配置!$AM$4)^(('实盘净值数据(iFinD公式)'!$A5-'实盘净值数据(iFinD公式)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公式)'!$A5="",'实盘净值数据(iFinD公式)'!$B5=""),"",SUMPRODUCT(实盘持仓配置!$B$6:$X$6,'实盘净值数据(iFinD公式)'!$B5:$X5/'实盘净值数据(iFinD公式)'!$B$7:$X$7)*(1-实盘持仓配置!$AM$6)^(('实盘净值数据(iFinD公式)'!$A5-'实盘净值数据(iFinD公式)'!$A$7)/365))</f>
        <v/>
      </c>
      <c r="I5" s="16"/>
      <c r="J5" s="16" t="str">
        <f>IF(H5="","",H5/MAX(H$5:H5)-1)</f>
        <v/>
      </c>
      <c r="K5" s="13" t="str">
        <f>IF(OR((ROW()-1)&lt;8,'实盘净值数据(iFinD公式)'!$A5="",'实盘净值数据(iFinD公式)'!$B5=""),"",SUMPRODUCT(实盘持仓配置!$B$7:$X$7,'实盘净值数据(iFinD公式)'!$B5:$X5/'实盘净值数据(iFinD公式)'!$B$8:$X$8)*(1-实盘持仓配置!$AM$7)^(('实盘净值数据(iFinD公式)'!$A5-'实盘净值数据(iFinD公式)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公式)'!$A5="",'实盘净值数据(iFinD公式)'!$B5=""),"",SUMPRODUCT(实盘持仓配置!$B$9:$X$9,'实盘净值数据(iFinD公式)'!$B5:$X5/'实盘净值数据(iFinD公式)'!$B$8:$X$8)*(1-实盘持仓配置!$AM$9)^(('实盘净值数据(iFinD公式)'!$A5-'实盘净值数据(iFinD公式)'!$A$8)/365))</f>
        <v/>
      </c>
      <c r="R5" s="16"/>
      <c r="S5" s="16" t="str">
        <f>IF(Q5="","",Q5/MAX(Q$5:Q5)-1)</f>
        <v/>
      </c>
      <c r="T5" s="13"/>
      <c r="U5" s="16"/>
      <c r="V5" s="16"/>
    </row>
    <row r="6" spans="1:22">
      <c r="A6" s="15">
        <f>IF('实盘净值数据(iFinD公式)'!A6="","",'实盘净值数据(iFinD公式)'!A6)</f>
        <v>46195</v>
      </c>
      <c r="B6" s="13">
        <v>1</v>
      </c>
      <c r="C6" s="16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AM$4)^(('实盘净值数据(iFinD公式)'!$A6-'实盘净值数据(iFinD公式)'!$A5)/365)-1)</f>
        <v/>
      </c>
      <c r="D6" s="16">
        <f>IF(B6="","",B6/MAX(B$5:B6)-1)</f>
        <v>0</v>
      </c>
      <c r="E6" s="13">
        <f>IF(OR((ROW()-1)&lt;5,'实盘净值数据(iFinD公式)'!$A6="",'实盘净值数据(iFinD公式)'!$B6=""),"",SUMPRODUCT(实盘持仓配置!$B$5:$X$5,'实盘净值数据(iFinD公式)'!$B6:$X6/'实盘净值数据(iFinD公式)'!$B$5:$X$5)*(1-实盘持仓配置!$AM$5)^(('实盘净值数据(iFinD公式)'!$A6-'实盘净值数据(iFinD公式)'!$A$5)/365))</f>
        <v>1.0234374728432394</v>
      </c>
      <c r="F6" s="16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AM$5)^(('实盘净值数据(iFinD公式)'!$A6-'实盘净值数据(iFinD公式)'!$A5)/365)-1)</f>
        <v>2.3437472843239604E-2</v>
      </c>
      <c r="G6" s="16">
        <f>IF(E6="","",E6/MAX(E$5:E6)-1)</f>
        <v>0</v>
      </c>
      <c r="H6" s="13" t="str">
        <f>IF(OR((ROW()-1)&lt;7,'实盘净值数据(iFinD公式)'!$A6="",'实盘净值数据(iFinD公式)'!$B6=""),"",SUMPRODUCT(实盘持仓配置!$B$6:$X$6,'实盘净值数据(iFinD公式)'!$B6:$X6/'实盘净值数据(iFinD公式)'!$B$7:$X$7)*(1-实盘持仓配置!$AM$6)^(('实盘净值数据(iFinD公式)'!$A6-'实盘净值数据(iFinD公式)'!$A$7)/365))</f>
        <v/>
      </c>
      <c r="I6" s="16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AM$6)^(('实盘净值数据(iFinD公式)'!$A6-'实盘净值数据(iFinD公式)'!$A5)/365)-1)</f>
        <v/>
      </c>
      <c r="J6" s="16" t="str">
        <f>IF(H6="","",H6/MAX(H$5:H6)-1)</f>
        <v/>
      </c>
      <c r="K6" s="13" t="str">
        <f>IF(OR((ROW()-1)&lt;8,'实盘净值数据(iFinD公式)'!$A6="",'实盘净值数据(iFinD公式)'!$B6=""),"",SUMPRODUCT(实盘持仓配置!$B$7:$X$7,'实盘净值数据(iFinD公式)'!$B6:$X6/'实盘净值数据(iFinD公式)'!$B$8:$X$8)*(1-实盘持仓配置!$AM$7)^(('实盘净值数据(iFinD公式)'!$A6-'实盘净值数据(iFinD公式)'!$A$8)/365))</f>
        <v/>
      </c>
      <c r="L6" s="16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AM$7)^(('实盘净值数据(iFinD公式)'!$A6-'实盘净值数据(iFinD公式)'!$A5)/365)-1)</f>
        <v/>
      </c>
      <c r="M6" s="16" t="str">
        <f>IF(K6="","",K6/MAX(K$5:K6)-1)</f>
        <v/>
      </c>
      <c r="N6" s="13">
        <f>IF(OR((ROW()-1)&lt;5,'实盘净值数据(iFinD公式)'!$A6="",'实盘净值数据(iFinD公式)'!$B6=""),"",SUMPRODUCT(实盘持仓配置!$B$8:$X$8,'实盘净值数据(iFinD公式)'!$B6:$X6/'实盘净值数据(iFinD公式)'!$B$5:$X$5)*(1-实盘持仓配置!$AM$8)^(('实盘净值数据(iFinD公式)'!$A6-'实盘净值数据(iFinD公式)'!$A$5)/365))</f>
        <v>1.0008955316407739</v>
      </c>
      <c r="O6" s="16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AM$8)^(('实盘净值数据(iFinD公式)'!$A6-'实盘净值数据(iFinD公式)'!$A5)/365)-1)</f>
        <v>8.9553164077393888E-4</v>
      </c>
      <c r="P6" s="16">
        <f>IF(N6="","",N6/MAX(N$5:N6)-1)</f>
        <v>0</v>
      </c>
      <c r="Q6" s="13" t="str">
        <f>IF(OR((ROW()-1)&lt;8,'实盘净值数据(iFinD公式)'!$A6="",'实盘净值数据(iFinD公式)'!$B6=""),"",SUMPRODUCT(实盘持仓配置!$B$9:$X$9,'实盘净值数据(iFinD公式)'!$B6:$X6/'实盘净值数据(iFinD公式)'!$B$8:$X$8)*(1-实盘持仓配置!$AM$9)^(('实盘净值数据(iFinD公式)'!$A6-'实盘净值数据(iFinD公式)'!$A$8)/365))</f>
        <v/>
      </c>
      <c r="R6" s="16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AM$9)^(('实盘净值数据(iFinD公式)'!$A6-'实盘净值数据(iFinD公式)'!$A5)/365)-1)</f>
        <v/>
      </c>
      <c r="S6" s="16" t="str">
        <f>IF(Q6="","",Q6/MAX(Q$5:Q6)-1)</f>
        <v/>
      </c>
      <c r="T6" s="13"/>
      <c r="U6" s="16"/>
      <c r="V6" s="16"/>
    </row>
    <row r="7" spans="1:22">
      <c r="A7" s="15">
        <f>IF('实盘净值数据(iFinD公式)'!A7="","",'实盘净值数据(iFinD公式)'!A7)</f>
        <v>46196</v>
      </c>
      <c r="B7" s="13">
        <f>IF(OR((ROW()-1)&lt;6,'实盘净值数据(iFinD公式)'!$A7="",'实盘净值数据(iFinD公式)'!$B7=""),"",SUMPRODUCT(实盘持仓配置!$B$4:$X$4,'实盘净值数据(iFinD公式)'!$B7:$X7/'实盘净值数据(iFinD公式)'!$B$6:$X$6)*(1-实盘持仓配置!$AM$4)^(('实盘净值数据(iFinD公式)'!$A7-'实盘净值数据(iFinD公式)'!$A$6)/365))</f>
        <v>0.98042318811773688</v>
      </c>
      <c r="C7" s="16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AM$4)^(('实盘净值数据(iFinD公式)'!$A7-'实盘净值数据(iFinD公式)'!$A6)/365)-1)</f>
        <v>-1.9576811882263012E-2</v>
      </c>
      <c r="D7" s="16">
        <f>IF(B7="","",B7/MAX(B$5:B7)-1)</f>
        <v>-1.9576811882263123E-2</v>
      </c>
      <c r="E7" s="13">
        <f>IF(OR((ROW()-1)&lt;5,'实盘净值数据(iFinD公式)'!$A7="",'实盘净值数据(iFinD公式)'!$B7=""),"",SUMPRODUCT(实盘持仓配置!$B$5:$X$5,'实盘净值数据(iFinD公式)'!$B7:$X7/'实盘净值数据(iFinD公式)'!$B$5:$X$5)*(1-实盘持仓配置!$AM$5)^(('实盘净值数据(iFinD公式)'!$A7-'实盘净值数据(iFinD公式)'!$A$5)/365))</f>
        <v>1.0033378905556949</v>
      </c>
      <c r="F7" s="16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AM$5)^(('实盘净值数据(iFinD公式)'!$A7-'实盘净值数据(iFinD公式)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AM$6)^(('实盘净值数据(iFinD公式)'!$A7-'实盘净值数据(iFinD公式)'!$A6)/365)-1)</f>
        <v/>
      </c>
      <c r="J7" s="16">
        <f>IF(H7="","",H7/MAX(H$5:H7)-1)</f>
        <v>0</v>
      </c>
      <c r="K7" s="13" t="str">
        <f>IF(OR((ROW()-1)&lt;8,'实盘净值数据(iFinD公式)'!$A7="",'实盘净值数据(iFinD公式)'!$B7=""),"",SUMPRODUCT(实盘持仓配置!$B$7:$X$7,'实盘净值数据(iFinD公式)'!$B7:$X7/'实盘净值数据(iFinD公式)'!$B$8:$X$8)*(1-实盘持仓配置!$AM$7)^(('实盘净值数据(iFinD公式)'!$A7-'实盘净值数据(iFinD公式)'!$A$8)/365))</f>
        <v/>
      </c>
      <c r="L7" s="16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AM$7)^(('实盘净值数据(iFinD公式)'!$A7-'实盘净值数据(iFinD公式)'!$A6)/365)-1)</f>
        <v/>
      </c>
      <c r="M7" s="16" t="str">
        <f>IF(K7="","",K7/MAX(K$5:K7)-1)</f>
        <v/>
      </c>
      <c r="N7" s="13">
        <f>IF(OR((ROW()-1)&lt;5,'实盘净值数据(iFinD公式)'!$A7="",'实盘净值数据(iFinD公式)'!$B7=""),"",SUMPRODUCT(实盘持仓配置!$B$8:$X$8,'实盘净值数据(iFinD公式)'!$B7:$X7/'实盘净值数据(iFinD公式)'!$B$5:$X$5)*(1-实盘持仓配置!$AM$8)^(('实盘净值数据(iFinD公式)'!$A7-'实盘净值数据(iFinD公式)'!$A$5)/365))</f>
        <v>0.99782263840516405</v>
      </c>
      <c r="O7" s="16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AM$8)^(('实盘净值数据(iFinD公式)'!$A7-'实盘净值数据(iFinD公式)'!$A6)/365)-1)</f>
        <v>-3.0701438246729662E-3</v>
      </c>
      <c r="P7" s="16">
        <f>IF(N7="","",N7/MAX(N$5:N7)-1)</f>
        <v>-3.0701438246731882E-3</v>
      </c>
      <c r="Q7" s="13" t="str">
        <f>IF(OR((ROW()-1)&lt;8,'实盘净值数据(iFinD公式)'!$A7="",'实盘净值数据(iFinD公式)'!$B7=""),"",SUMPRODUCT(实盘持仓配置!$B$9:$X$9,'实盘净值数据(iFinD公式)'!$B7:$X7/'实盘净值数据(iFinD公式)'!$B$8:$X$8)*(1-实盘持仓配置!$AM$9)^(('实盘净值数据(iFinD公式)'!$A7-'实盘净值数据(iFinD公式)'!$A$8)/365))</f>
        <v/>
      </c>
      <c r="R7" s="16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AM$9)^(('实盘净值数据(iFinD公式)'!$A7-'实盘净值数据(iFinD公式)'!$A6)/365)-1)</f>
        <v/>
      </c>
      <c r="S7" s="16" t="str">
        <f>IF(Q7="","",Q7/MAX(Q$5:Q7)-1)</f>
        <v/>
      </c>
      <c r="T7" s="13"/>
      <c r="U7" s="16"/>
      <c r="V7" s="16"/>
    </row>
    <row r="8" spans="1:22">
      <c r="A8" s="15">
        <f>IF('实盘净值数据(iFinD公式)'!A8="","",'实盘净值数据(iFinD公式)'!A8)</f>
        <v>46197</v>
      </c>
      <c r="B8" s="13">
        <f>IF(OR((ROW()-1)&lt;6,'实盘净值数据(iFinD公式)'!$A8="",'实盘净值数据(iFinD公式)'!$B8=""),"",SUMPRODUCT(实盘持仓配置!$B$4:$X$4,'实盘净值数据(iFinD公式)'!$B8:$X8/'实盘净值数据(iFinD公式)'!$B$6:$X$6)*(1-实盘持仓配置!$AM$4)^(('实盘净值数据(iFinD公式)'!$A8-'实盘净值数据(iFinD公式)'!$A$6)/365))</f>
        <v>1.0160197208922743</v>
      </c>
      <c r="C8" s="16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AM$4)^(('实盘净值数据(iFinD公式)'!$A8-'实盘净值数据(iFinD公式)'!$A7)/365)-1)</f>
        <v>3.6307314235271448E-2</v>
      </c>
      <c r="D8" s="16">
        <f>IF(B8="","",B8/MAX(B$5:B8)-1)</f>
        <v>0</v>
      </c>
      <c r="E8" s="13">
        <f>IF(OR((ROW()-1)&lt;5,'实盘净值数据(iFinD公式)'!$A8="",'实盘净值数据(iFinD公式)'!$B8=""),"",SUMPRODUCT(实盘持仓配置!$B$5:$X$5,'实盘净值数据(iFinD公式)'!$B8:$X8/'实盘净值数据(iFinD公式)'!$B$5:$X$5)*(1-实盘持仓配置!$AM$5)^(('实盘净值数据(iFinD公式)'!$A8-'实盘净值数据(iFinD公式)'!$A$5)/365))</f>
        <v>1.0397126768191969</v>
      </c>
      <c r="F8" s="16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AM$5)^(('实盘净值数据(iFinD公式)'!$A8-'实盘净值数据(iFinD公式)'!$A7)/365)-1)</f>
        <v>3.6253775129887478E-2</v>
      </c>
      <c r="G8" s="16">
        <f>IF(E8="","",E8/MAX(E$5:E8)-1)</f>
        <v>0</v>
      </c>
      <c r="H8" s="13">
        <f>IF(OR((ROW()-1)&lt;7,'实盘净值数据(iFinD公式)'!$A8="",'实盘净值数据(iFinD公式)'!$B8=""),"",SUMPRODUCT(实盘持仓配置!$B$6:$X$6,'实盘净值数据(iFinD公式)'!$B8:$X8/'实盘净值数据(iFinD公式)'!$B$7:$X$7)*(1-实盘持仓配置!$AM$6)^(('实盘净值数据(iFinD公式)'!$A8-'实盘净值数据(iFinD公式)'!$A$7)/365))</f>
        <v>1.039202963297934</v>
      </c>
      <c r="I8" s="16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AM$6)^(('实盘净值数据(iFinD公式)'!$A8-'实盘净值数据(iFinD公式)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AM$7)^(('实盘净值数据(iFinD公式)'!$A8-'实盘净值数据(iFinD公式)'!$A7)/365)-1)</f>
        <v/>
      </c>
      <c r="M8" s="16">
        <f>IF(K8="","",K8/MAX(K$5:K8)-1)</f>
        <v>0</v>
      </c>
      <c r="N8" s="13">
        <f>IF(OR((ROW()-1)&lt;5,'实盘净值数据(iFinD公式)'!$A8="",'实盘净值数据(iFinD公式)'!$B8=""),"",SUMPRODUCT(实盘持仓配置!$B$8:$X$8,'实盘净值数据(iFinD公式)'!$B8:$X8/'实盘净值数据(iFinD公式)'!$B$5:$X$5)*(1-实盘持仓配置!$AM$8)^(('实盘净值数据(iFinD公式)'!$A8-'实盘净值数据(iFinD公式)'!$A$5)/365))</f>
        <v>0.99977056884376803</v>
      </c>
      <c r="O8" s="16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AM$8)^(('实盘净值数据(iFinD公式)'!$A8-'实盘净值数据(iFinD公式)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AM$9)^(('实盘净值数据(iFinD公式)'!$A8-'实盘净值数据(iFinD公式)'!$A7)/365)-1)</f>
        <v/>
      </c>
      <c r="S8" s="16">
        <f>IF(Q8="","",Q8/MAX(Q$5:Q8)-1)</f>
        <v>0</v>
      </c>
      <c r="T8" s="13"/>
      <c r="U8" s="16"/>
      <c r="V8" s="16"/>
    </row>
    <row r="9" spans="1:22">
      <c r="A9" s="15">
        <f>IF('实盘净值数据(iFinD公式)'!A9="","",'实盘净值数据(iFinD公式)'!A9)</f>
        <v>46198</v>
      </c>
      <c r="B9" s="13">
        <f>IF(OR((ROW()-1)&lt;6,'实盘净值数据(iFinD公式)'!$A9="",'实盘净值数据(iFinD公式)'!$B9=""),"",SUMPRODUCT(实盘持仓配置!$B$4:$X$4,'实盘净值数据(iFinD公式)'!$B9:$X9/'实盘净值数据(iFinD公式)'!$B$6:$X$6)*(1-实盘持仓配置!$AM$4)^(('实盘净值数据(iFinD公式)'!$A9-'实盘净值数据(iFinD公式)'!$A$6)/365))</f>
        <v>1.0494431551246099</v>
      </c>
      <c r="C9" s="16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AM$4)^(('实盘净值数据(iFinD公式)'!$A9-'实盘净值数据(iFinD公式)'!$A8)/365)-1)</f>
        <v>3.2896442406632698E-2</v>
      </c>
      <c r="D9" s="16">
        <f>IF(B9="","",B9/MAX(B$5:B9)-1)</f>
        <v>0</v>
      </c>
      <c r="E9" s="13">
        <f>IF(OR((ROW()-1)&lt;5,'实盘净值数据(iFinD公式)'!$A9="",'实盘净值数据(iFinD公式)'!$B9=""),"",SUMPRODUCT(实盘持仓配置!$B$5:$X$5,'实盘净值数据(iFinD公式)'!$B9:$X9/'实盘净值数据(iFinD公式)'!$B$5:$X$5)*(1-实盘持仓配置!$AM$5)^(('实盘净值数据(iFinD公式)'!$A9-'实盘净值数据(iFinD公式)'!$A$5)/365))</f>
        <v>1.0739445334901312</v>
      </c>
      <c r="F9" s="16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AM$5)^(('实盘净值数据(iFinD公式)'!$A9-'实盘净值数据(iFinD公式)'!$A8)/365)-1)</f>
        <v>3.2924342882554747E-2</v>
      </c>
      <c r="G9" s="16">
        <f>IF(E9="","",E9/MAX(E$5:E9)-1)</f>
        <v>0</v>
      </c>
      <c r="H9" s="13">
        <f>IF(OR((ROW()-1)&lt;7,'实盘净值数据(iFinD公式)'!$A9="",'实盘净值数据(iFinD公式)'!$B9=""),"",SUMPRODUCT(实盘持仓配置!$B$6:$X$6,'实盘净值数据(iFinD公式)'!$B9:$X9/'实盘净值数据(iFinD公式)'!$B$7:$X$7)*(1-实盘持仓配置!$AM$6)^(('实盘净值数据(iFinD公式)'!$A9-'实盘净值数据(iFinD公式)'!$A$7)/365))</f>
        <v>1.0741076445723305</v>
      </c>
      <c r="I9" s="16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AM$6)^(('实盘净值数据(iFinD公式)'!$A9-'实盘净值数据(iFinD公式)'!$A8)/365)-1)</f>
        <v>3.3587934702982158E-2</v>
      </c>
      <c r="J9" s="16">
        <f>IF(H9="","",H9/MAX(H$5:H9)-1)</f>
        <v>0</v>
      </c>
      <c r="K9" s="13">
        <f>IF(OR((ROW()-1)&lt;8,'实盘净值数据(iFinD公式)'!$A9="",'实盘净值数据(iFinD公式)'!$B9=""),"",SUMPRODUCT(实盘持仓配置!$B$7:$X$7,'实盘净值数据(iFinD公式)'!$B9:$X9/'实盘净值数据(iFinD公式)'!$B$8:$X$8)*(1-实盘持仓配置!$AM$7)^(('实盘净值数据(iFinD公式)'!$A9-'实盘净值数据(iFinD公式)'!$A$8)/365))</f>
        <v>1.0014141946107082</v>
      </c>
      <c r="L9" s="16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AM$7)^(('实盘净值数据(iFinD公式)'!$A9-'实盘净值数据(iFinD公式)'!$A8)/365)-1)</f>
        <v>1.4141946107082415E-3</v>
      </c>
      <c r="M9" s="16">
        <f>IF(K9="","",K9/MAX(K$5:K9)-1)</f>
        <v>0</v>
      </c>
      <c r="N9" s="13">
        <f>IF(OR((ROW()-1)&lt;5,'实盘净值数据(iFinD公式)'!$A9="",'实盘净值数据(iFinD公式)'!$B9=""),"",SUMPRODUCT(实盘持仓配置!$B$8:$X$8,'实盘净值数据(iFinD公式)'!$B9:$X9/'实盘净值数据(iFinD公式)'!$B$5:$X$5)*(1-实盘持仓配置!$AM$8)^(('实盘净值数据(iFinD公式)'!$A9-'实盘净值数据(iFinD公式)'!$A$5)/365))</f>
        <v>1.0012779820956512</v>
      </c>
      <c r="O9" s="16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AM$8)^(('实盘净值数据(iFinD公式)'!$A9-'实盘净值数据(iFinD公式)'!$A8)/365)-1)</f>
        <v>1.5077591788150713E-3</v>
      </c>
      <c r="P9" s="16">
        <f>IF(N9="","",N9/MAX(N$5:N9)-1)</f>
        <v>0</v>
      </c>
      <c r="Q9" s="13">
        <f>IF(OR((ROW()-1)&lt;8,'实盘净值数据(iFinD公式)'!$A9="",'实盘净值数据(iFinD公式)'!$B9=""),"",SUMPRODUCT(实盘持仓配置!$B$9:$X$9,'实盘净值数据(iFinD公式)'!$B9:$X9/'实盘净值数据(iFinD公式)'!$B$8:$X$8)*(1-实盘持仓配置!$AM$9)^(('实盘净值数据(iFinD公式)'!$A9-'实盘净值数据(iFinD公式)'!$A$8)/365))</f>
        <v>1.0039732082294279</v>
      </c>
      <c r="R9" s="16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AM$9)^(('实盘净值数据(iFinD公式)'!$A9-'实盘净值数据(iFinD公式)'!$A8)/365)-1)</f>
        <v>3.973208229428149E-3</v>
      </c>
      <c r="S9" s="16">
        <f>IF(Q9="","",Q9/MAX(Q$5:Q9)-1)</f>
        <v>0</v>
      </c>
      <c r="T9" s="13"/>
      <c r="U9" s="16"/>
      <c r="V9" s="16"/>
    </row>
    <row r="10" spans="1:22">
      <c r="A10" s="15">
        <f>IF('实盘净值数据(iFinD公式)'!A10="","",'实盘净值数据(iFinD公式)'!A10)</f>
        <v>46199</v>
      </c>
      <c r="B10" s="13">
        <f>IF(OR((ROW()-1)&lt;6,'实盘净值数据(iFinD公式)'!$A10="",'实盘净值数据(iFinD公式)'!$B10=""),"",SUMPRODUCT(实盘持仓配置!$B$4:$X$4,'实盘净值数据(iFinD公式)'!$B10:$X10/'实盘净值数据(iFinD公式)'!$B$6:$X$6)*(1-实盘持仓配置!$AM$4)^(('实盘净值数据(iFinD公式)'!$A10-'实盘净值数据(iFinD公式)'!$A$6)/365))</f>
        <v>1.0194457362958647</v>
      </c>
      <c r="C10" s="16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AM$4)^(('实盘净值数据(iFinD公式)'!$A10-'实盘净值数据(iFinD公式)'!$A9)/365)-1)</f>
        <v>-2.8584129290150306E-2</v>
      </c>
      <c r="D10" s="16">
        <f>IF(B10="","",B10/MAX(B$5:B10)-1)</f>
        <v>-2.8584129290150528E-2</v>
      </c>
      <c r="E10" s="13">
        <f>IF(OR((ROW()-1)&lt;5,'实盘净值数据(iFinD公式)'!$A10="",'实盘净值数据(iFinD公式)'!$B10=""),"",SUMPRODUCT(实盘持仓配置!$B$5:$X$5,'实盘净值数据(iFinD公式)'!$B10:$X10/'实盘净值数据(iFinD公式)'!$B$5:$X$5)*(1-实盘持仓配置!$AM$5)^(('实盘净值数据(iFinD公式)'!$A10-'实盘净值数据(iFinD公式)'!$A$5)/365))</f>
        <v>1.0431451846332738</v>
      </c>
      <c r="F10" s="16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AM$5)^(('实盘净值数据(iFinD公式)'!$A10-'实盘净值数据(iFinD公式)'!$A9)/365)-1)</f>
        <v>-2.8678714678834649E-2</v>
      </c>
      <c r="G10" s="16">
        <f>IF(E10="","",E10/MAX(E$5:E10)-1)</f>
        <v>-2.8678714678834427E-2</v>
      </c>
      <c r="H10" s="13">
        <f>IF(OR((ROW()-1)&lt;7,'实盘净值数据(iFinD公式)'!$A10="",'实盘净值数据(iFinD公式)'!$B10=""),"",SUMPRODUCT(实盘持仓配置!$B$6:$X$6,'实盘净值数据(iFinD公式)'!$B10:$X10/'实盘净值数据(iFinD公式)'!$B$7:$X$7)*(1-实盘持仓配置!$AM$6)^(('实盘净值数据(iFinD公式)'!$A10-'实盘净值数据(iFinD公式)'!$A$7)/365))</f>
        <v>1.050645670240649</v>
      </c>
      <c r="I10" s="16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AM$6)^(('实盘净值数据(iFinD公式)'!$A10-'实盘净值数据(iFinD公式)'!$A9)/365)-1)</f>
        <v>-2.1843224420047047E-2</v>
      </c>
      <c r="J10" s="16">
        <f>IF(H10="","",H10/MAX(H$5:H10)-1)</f>
        <v>-2.1843224420047047E-2</v>
      </c>
      <c r="K10" s="13">
        <f>IF(OR((ROW()-1)&lt;8,'实盘净值数据(iFinD公式)'!$A10="",'实盘净值数据(iFinD公式)'!$B10=""),"",SUMPRODUCT(实盘持仓配置!$B$7:$X$7,'实盘净值数据(iFinD公式)'!$B10:$X10/'实盘净值数据(iFinD公式)'!$B$8:$X$8)*(1-实盘持仓配置!$AM$7)^(('实盘净值数据(iFinD公式)'!$A10-'实盘净值数据(iFinD公式)'!$A$8)/365))</f>
        <v>0.999482233533317</v>
      </c>
      <c r="L10" s="16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AM$7)^(('实盘净值数据(iFinD公式)'!$A10-'实盘净值数据(iFinD公式)'!$A9)/365)-1)</f>
        <v>-1.9292327668097853E-3</v>
      </c>
      <c r="M10" s="16">
        <f>IF(K10="","",K10/MAX(K$5:K10)-1)</f>
        <v>-1.9292327668095632E-3</v>
      </c>
      <c r="N10" s="13">
        <f>IF(OR((ROW()-1)&lt;5,'实盘净值数据(iFinD公式)'!$A10="",'实盘净值数据(iFinD公式)'!$B10=""),"",SUMPRODUCT(实盘持仓配置!$B$8:$X$8,'实盘净值数据(iFinD公式)'!$B10:$X10/'实盘净值数据(iFinD公式)'!$B$5:$X$5)*(1-实盘持仓配置!$AM$8)^(('实盘净值数据(iFinD公式)'!$A10-'实盘净值数据(iFinD公式)'!$A$5)/365))</f>
        <v>0.99892980064356218</v>
      </c>
      <c r="O10" s="16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AM$8)^(('实盘净值数据(iFinD公式)'!$A10-'实盘净值数据(iFinD公式)'!$A9)/365)-1)</f>
        <v>-2.3451843484805224E-3</v>
      </c>
      <c r="P10" s="16">
        <f>IF(N10="","",N10/MAX(N$5:N10)-1)</f>
        <v>-2.3451843484806334E-3</v>
      </c>
      <c r="Q10" s="13">
        <f>IF(OR((ROW()-1)&lt;8,'实盘净值数据(iFinD公式)'!$A10="",'实盘净值数据(iFinD公式)'!$B10=""),"",SUMPRODUCT(实盘持仓配置!$B$9:$X$9,'实盘净值数据(iFinD公式)'!$B10:$X10/'实盘净值数据(iFinD公式)'!$B$8:$X$8)*(1-实盘持仓配置!$AM$9)^(('实盘净值数据(iFinD公式)'!$A10-'实盘净值数据(iFinD公式)'!$A$8)/365))</f>
        <v>0.99720804304745392</v>
      </c>
      <c r="R10" s="16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AM$9)^(('实盘净值数据(iFinD公式)'!$A10-'实盘净值数据(iFinD公式)'!$A9)/365)-1)</f>
        <v>-6.7383921468430197E-3</v>
      </c>
      <c r="S10" s="16">
        <f>IF(Q10="","",Q10/MAX(Q$5:Q10)-1)</f>
        <v>-6.7383921468430197E-3</v>
      </c>
      <c r="T10" s="13"/>
      <c r="U10" s="16"/>
      <c r="V10" s="16"/>
    </row>
    <row r="11" spans="1:22">
      <c r="A11" s="15">
        <f>IF('实盘净值数据(iFinD公式)'!A11="","",'实盘净值数据(iFinD公式)'!A11)</f>
        <v>46202</v>
      </c>
      <c r="B11" s="13">
        <f>IF(OR((ROW()-1)&lt;6,'实盘净值数据(iFinD公式)'!$A11="",'实盘净值数据(iFinD公式)'!$B11=""),"",SUMPRODUCT(实盘持仓配置!$B$4:$X$4,'实盘净值数据(iFinD公式)'!$B11:$X11/'实盘净值数据(iFinD公式)'!$B$6:$X$6)*(1-实盘持仓配置!$AM$4)^(('实盘净值数据(iFinD公式)'!$A11-'实盘净值数据(iFinD公式)'!$A$6)/365))</f>
        <v>1.0294386648056562</v>
      </c>
      <c r="C11" s="16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AM$4)^(('实盘净值数据(iFinD公式)'!$A11-'实盘净值数据(iFinD公式)'!$A10)/365)-1)</f>
        <v>9.8023152719246553E-3</v>
      </c>
      <c r="D11" s="16">
        <f>IF(B11="","",B11/MAX(B$5:B11)-1)</f>
        <v>-1.906200466530128E-2</v>
      </c>
      <c r="E11" s="13">
        <f>IF(OR((ROW()-1)&lt;5,'实盘净值数据(iFinD公式)'!$A11="",'实盘净值数据(iFinD公式)'!$B11=""),"",SUMPRODUCT(实盘持仓配置!$B$5:$X$5,'实盘净值数据(iFinD公式)'!$B11:$X11/'实盘净值数据(iFinD公式)'!$B$5:$X$5)*(1-实盘持仓配置!$AM$5)^(('实盘净值数据(iFinD公式)'!$A11-'实盘净值数据(iFinD公式)'!$A$5)/365))</f>
        <v>1.0532583926143868</v>
      </c>
      <c r="F11" s="16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AM$5)^(('实盘净值数据(iFinD公式)'!$A11-'实盘净值数据(iFinD公式)'!$A10)/365)-1)</f>
        <v>9.6949189145405512E-3</v>
      </c>
      <c r="G11" s="16">
        <f>IF(E11="","",E11/MAX(E$5:E11)-1)</f>
        <v>-1.9261833577678411E-2</v>
      </c>
      <c r="H11" s="13">
        <f>IF(OR((ROW()-1)&lt;7,'实盘净值数据(iFinD公式)'!$A11="",'实盘净值数据(iFinD公式)'!$B11=""),"",SUMPRODUCT(实盘持仓配置!$B$6:$X$6,'实盘净值数据(iFinD公式)'!$B11:$X11/'实盘净值数据(iFinD公式)'!$B$7:$X$7)*(1-实盘持仓配置!$AM$6)^(('实盘净值数据(iFinD公式)'!$A11-'实盘净值数据(iFinD公式)'!$A$7)/365))</f>
        <v>1.0685098764526948</v>
      </c>
      <c r="I11" s="16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AM$6)^(('实盘净值数据(iFinD公式)'!$A11-'实盘净值数据(iFinD公式)'!$A10)/365)-1)</f>
        <v>1.7003074126745288E-2</v>
      </c>
      <c r="J11" s="16">
        <f>IF(H11="","",H11/MAX(H$5:H11)-1)</f>
        <v>-5.2115522572828699E-3</v>
      </c>
      <c r="K11" s="13">
        <f>IF(OR((ROW()-1)&lt;8,'实盘净值数据(iFinD公式)'!$A11="",'实盘净值数据(iFinD公式)'!$B11=""),"",SUMPRODUCT(实盘持仓配置!$B$7:$X$7,'实盘净值数据(iFinD公式)'!$B11:$X11/'实盘净值数据(iFinD公式)'!$B$8:$X$8)*(1-实盘持仓配置!$AM$7)^(('实盘净值数据(iFinD公式)'!$A11-'实盘净值数据(iFinD公式)'!$A$8)/365))</f>
        <v>1.0013813603515529</v>
      </c>
      <c r="L11" s="16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AM$7)^(('实盘净值数据(iFinD公式)'!$A11-'实盘净值数据(iFinD公式)'!$A10)/365)-1)</f>
        <v>1.9001106318041749E-3</v>
      </c>
      <c r="M11" s="16">
        <f>IF(K11="","",K11/MAX(K$5:K11)-1)</f>
        <v>-3.2787890697050237E-5</v>
      </c>
      <c r="N11" s="13">
        <f>IF(OR((ROW()-1)&lt;5,'实盘净值数据(iFinD公式)'!$A11="",'实盘净值数据(iFinD公式)'!$B11=""),"",SUMPRODUCT(实盘持仓配置!$B$8:$X$8,'实盘净值数据(iFinD公式)'!$B11:$X11/'实盘净值数据(iFinD公式)'!$B$5:$X$5)*(1-实盘持仓配置!$AM$8)^(('实盘净值数据(iFinD公式)'!$A11-'实盘净值数据(iFinD公式)'!$A$5)/365))</f>
        <v>1.0005210497548791</v>
      </c>
      <c r="O11" s="16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AM$8)^(('实盘净值数据(iFinD公式)'!$A11-'实盘净值数据(iFinD公式)'!$A10)/365)-1)</f>
        <v>1.5929538895442796E-3</v>
      </c>
      <c r="P11" s="16">
        <f>IF(N11="","",N11/MAX(N$5:N11)-1)</f>
        <v>-7.5596622946594305E-4</v>
      </c>
      <c r="Q11" s="13">
        <f>IF(OR((ROW()-1)&lt;8,'实盘净值数据(iFinD公式)'!$A11="",'实盘净值数据(iFinD公式)'!$B11=""),"",SUMPRODUCT(实盘持仓配置!$B$9:$X$9,'实盘净值数据(iFinD公式)'!$B11:$X11/'实盘净值数据(iFinD公式)'!$B$8:$X$8)*(1-实盘持仓配置!$AM$9)^(('实盘净值数据(iFinD公式)'!$A11-'实盘净值数据(iFinD公式)'!$A$8)/365))</f>
        <v>1.0009806053834995</v>
      </c>
      <c r="R11" s="16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AM$9)^(('实盘净值数据(iFinD公式)'!$A11-'实盘净值数据(iFinD公式)'!$A10)/365)-1)</f>
        <v>3.7831246572348487E-3</v>
      </c>
      <c r="S11" s="16">
        <f>IF(Q11="","",Q11/MAX(Q$5:Q11)-1)</f>
        <v>-2.9807596670892167E-3</v>
      </c>
      <c r="T11" s="13"/>
      <c r="U11" s="16"/>
      <c r="V11" s="16"/>
    </row>
    <row r="12" spans="1:22">
      <c r="A12" s="15">
        <f>IF('实盘净值数据(iFinD公式)'!A12="","",'实盘净值数据(iFinD公式)'!A12)</f>
        <v>46203</v>
      </c>
      <c r="B12" s="13">
        <f>IF(OR((ROW()-1)&lt;6,'实盘净值数据(iFinD公式)'!$A12="",'实盘净值数据(iFinD公式)'!$B12=""),"",SUMPRODUCT(实盘持仓配置!$B$4:$X$4,'实盘净值数据(iFinD公式)'!$B12:$X12/'实盘净值数据(iFinD公式)'!$B$6:$X$6)*(1-实盘持仓配置!$AM$4)^(('实盘净值数据(iFinD公式)'!$A12-'实盘净值数据(iFinD公式)'!$A$6)/365))</f>
        <v>1.0748479117145109</v>
      </c>
      <c r="C12" s="16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AM$4)^(('实盘净值数据(iFinD公式)'!$A12-'实盘净值数据(iFinD公式)'!$A11)/365)-1)</f>
        <v>4.4110687174769625E-2</v>
      </c>
      <c r="D12" s="16">
        <f>IF(B12="","",B12/MAX(B$5:B12)-1)</f>
        <v>0</v>
      </c>
      <c r="E12" s="13">
        <f>IF(OR((ROW()-1)&lt;5,'实盘净值数据(iFinD公式)'!$A12="",'实盘净值数据(iFinD公式)'!$B12=""),"",SUMPRODUCT(实盘持仓配置!$B$5:$X$5,'实盘净值数据(iFinD公式)'!$B12:$X12/'实盘净值数据(iFinD公式)'!$B$5:$X$5)*(1-实盘持仓配置!$AM$5)^(('实盘净值数据(iFinD公式)'!$A12-'实盘净值数据(iFinD公式)'!$A$5)/365))</f>
        <v>1.0997368712958928</v>
      </c>
      <c r="F12" s="16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AM$5)^(('实盘净值数据(iFinD公式)'!$A12-'实盘净值数据(iFinD公式)'!$A11)/365)-1)</f>
        <v>4.412827755033355E-2</v>
      </c>
      <c r="G12" s="16">
        <f>IF(E12="","",E12/MAX(E$5:E12)-1)</f>
        <v>0</v>
      </c>
      <c r="H12" s="13">
        <f>IF(OR((ROW()-1)&lt;7,'实盘净值数据(iFinD公式)'!$A12="",'实盘净值数据(iFinD公式)'!$B12=""),"",SUMPRODUCT(实盘持仓配置!$B$6:$X$6,'实盘净值数据(iFinD公式)'!$B12:$X12/'实盘净值数据(iFinD公式)'!$B$7:$X$7)*(1-实盘持仓配置!$AM$6)^(('实盘净值数据(iFinD公式)'!$A12-'实盘净值数据(iFinD公式)'!$A$7)/365))</f>
        <v>1.1117066956825354</v>
      </c>
      <c r="I12" s="16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AM$6)^(('实盘净值数据(iFinD公式)'!$A12-'实盘净值数据(iFinD公式)'!$A11)/365)-1)</f>
        <v>4.042715952542042E-2</v>
      </c>
      <c r="J12" s="16">
        <f>IF(H12="","",H12/MAX(H$5:H12)-1)</f>
        <v>0</v>
      </c>
      <c r="K12" s="13">
        <f>IF(OR((ROW()-1)&lt;8,'实盘净值数据(iFinD公式)'!$A12="",'实盘净值数据(iFinD公式)'!$B12=""),"",SUMPRODUCT(实盘持仓配置!$B$7:$X$7,'实盘净值数据(iFinD公式)'!$B12:$X12/'实盘净值数据(iFinD公式)'!$B$8:$X$8)*(1-实盘持仓配置!$AM$7)^(('实盘净值数据(iFinD公式)'!$A12-'实盘净值数据(iFinD公式)'!$A$8)/365))</f>
        <v>1.0032719936317975</v>
      </c>
      <c r="L12" s="16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AM$7)^(('实盘净值数据(iFinD公式)'!$A12-'实盘净值数据(iFinD公式)'!$A11)/365)-1)</f>
        <v>1.888025237039237E-3</v>
      </c>
      <c r="M12" s="16">
        <f>IF(K12="","",K12/MAX(K$5:K12)-1)</f>
        <v>0</v>
      </c>
      <c r="N12" s="13">
        <f>IF(OR((ROW()-1)&lt;5,'实盘净值数据(iFinD公式)'!$A12="",'实盘净值数据(iFinD公式)'!$B12=""),"",SUMPRODUCT(实盘持仓配置!$B$8:$X$8,'实盘净值数据(iFinD公式)'!$B12:$X12/'实盘净值数据(iFinD公式)'!$B$5:$X$5)*(1-实盘持仓配置!$AM$8)^(('实盘净值数据(iFinD公式)'!$A12-'实盘净值数据(iFinD公式)'!$A$5)/365))</f>
        <v>1.0027101391424882</v>
      </c>
      <c r="O12" s="16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AM$8)^(('实盘净值数据(iFinD公式)'!$A12-'实盘净值数据(iFinD公式)'!$A11)/365)-1)</f>
        <v>2.1879493571328457E-3</v>
      </c>
      <c r="P12" s="16">
        <f>IF(N12="","",N12/MAX(N$5:N12)-1)</f>
        <v>0</v>
      </c>
      <c r="Q12" s="13">
        <f>IF(OR((ROW()-1)&lt;8,'实盘净值数据(iFinD公式)'!$A12="",'实盘净值数据(iFinD公式)'!$B12=""),"",SUMPRODUCT(实盘持仓配置!$B$9:$X$9,'实盘净值数据(iFinD公式)'!$B12:$X12/'实盘净值数据(iFinD公式)'!$B$8:$X$8)*(1-实盘持仓配置!$AM$9)^(('实盘净值数据(iFinD公式)'!$A12-'实盘净值数据(iFinD公式)'!$A$8)/365))</f>
        <v>1.0087618711402628</v>
      </c>
      <c r="R12" s="16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AM$9)^(('实盘净值数据(iFinD公式)'!$A12-'实盘净值数据(iFinD公式)'!$A11)/365)-1)</f>
        <v>7.7736428807049229E-3</v>
      </c>
      <c r="S12" s="16">
        <f>IF(Q12="","",Q12/MAX(Q$5:Q12)-1)</f>
        <v>0</v>
      </c>
      <c r="T12" s="13"/>
      <c r="U12" s="16"/>
      <c r="V12" s="16"/>
    </row>
    <row r="13" spans="1:22">
      <c r="A13" s="15">
        <f>IF('实盘净值数据(iFinD公式)'!A13="","",'实盘净值数据(iFinD公式)'!A13)</f>
        <v>46204</v>
      </c>
      <c r="B13" s="13">
        <f>IF(OR((ROW()-1)&lt;6,'实盘净值数据(iFinD公式)'!$A13="",'实盘净值数据(iFinD公式)'!$B13=""),"",SUMPRODUCT(实盘持仓配置!$B$4:$X$4,'实盘净值数据(iFinD公式)'!$B13:$X13/'实盘净值数据(iFinD公式)'!$B$6:$X$6)*(1-实盘持仓配置!$AM$4)^(('实盘净值数据(iFinD公式)'!$A13-'实盘净值数据(iFinD公式)'!$A$6)/365))</f>
        <v>1.0416673271387726</v>
      </c>
      <c r="C13" s="16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AM$4)^(('实盘净值数据(iFinD公式)'!$A13-'实盘净值数据(iFinD公式)'!$A12)/365)-1)</f>
        <v>-3.0870027483991924E-2</v>
      </c>
      <c r="D13" s="16">
        <f>IF(B13="","",B13/MAX(B$5:B13)-1)</f>
        <v>-3.0870027483991924E-2</v>
      </c>
      <c r="E13" s="13">
        <f>IF(OR((ROW()-1)&lt;5,'实盘净值数据(iFinD公式)'!$A13="",'实盘净值数据(iFinD公式)'!$B13=""),"",SUMPRODUCT(实盘持仓配置!$B$5:$X$5,'实盘净值数据(iFinD公式)'!$B13:$X13/'实盘净值数据(iFinD公式)'!$B$5:$X$5)*(1-实盘持仓配置!$AM$5)^(('实盘净值数据(iFinD公式)'!$A13-'实盘净值数据(iFinD公式)'!$A$5)/365))</f>
        <v>1.0657543280201871</v>
      </c>
      <c r="F13" s="16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AM$5)^(('实盘净值数据(iFinD公式)'!$A13-'实盘净值数据(iFinD公式)'!$A12)/365)-1)</f>
        <v>-3.0900612830832896E-2</v>
      </c>
      <c r="G13" s="16">
        <f>IF(E13="","",E13/MAX(E$5:E13)-1)</f>
        <v>-3.0900612830832785E-2</v>
      </c>
      <c r="H13" s="13">
        <f>IF(OR((ROW()-1)&lt;7,'实盘净值数据(iFinD公式)'!$A13="",'实盘净值数据(iFinD公式)'!$B13=""),"",SUMPRODUCT(实盘持仓配置!$B$6:$X$6,'实盘净值数据(iFinD公式)'!$B13:$X13/'实盘净值数据(iFinD公式)'!$B$7:$X$7)*(1-实盘持仓配置!$AM$6)^(('实盘净值数据(iFinD公式)'!$A13-'实盘净值数据(iFinD公式)'!$A$7)/365))</f>
        <v>1.0836174881519127</v>
      </c>
      <c r="I13" s="16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AM$6)^(('实盘净值数据(iFinD公式)'!$A13-'实盘净值数据(iFinD公式)'!$A12)/365)-1)</f>
        <v>-2.5266743143412818E-2</v>
      </c>
      <c r="J13" s="16">
        <f>IF(H13="","",H13/MAX(H$5:H13)-1)</f>
        <v>-2.5266743143412707E-2</v>
      </c>
      <c r="K13" s="13">
        <f>IF(OR((ROW()-1)&lt;8,'实盘净值数据(iFinD公式)'!$A13="",'实盘净值数据(iFinD公式)'!$B13=""),"",SUMPRODUCT(实盘持仓配置!$B$7:$X$7,'实盘净值数据(iFinD公式)'!$B13:$X13/'实盘净值数据(iFinD公式)'!$B$8:$X$8)*(1-实盘持仓配置!$AM$7)^(('实盘净值数据(iFinD公式)'!$A13-'实盘净值数据(iFinD公式)'!$A$8)/365))</f>
        <v>1.0008642071384042</v>
      </c>
      <c r="L13" s="16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AM$7)^(('实盘净值数据(iFinD公式)'!$A13-'实盘净值数据(iFinD公式)'!$A12)/365)-1)</f>
        <v>-2.3999339248743645E-3</v>
      </c>
      <c r="M13" s="16">
        <f>IF(K13="","",K13/MAX(K$5:K13)-1)</f>
        <v>-2.3999339248744755E-3</v>
      </c>
      <c r="N13" s="13">
        <f>IF(OR((ROW()-1)&lt;5,'实盘净值数据(iFinD公式)'!$A13="",'实盘净值数据(iFinD公式)'!$B13=""),"",SUMPRODUCT(实盘持仓配置!$B$8:$X$8,'实盘净值数据(iFinD公式)'!$B13:$X13/'实盘净值数据(iFinD公式)'!$B$5:$X$5)*(1-实盘持仓配置!$AM$8)^(('实盘净值数据(iFinD公式)'!$A13-'实盘净值数据(iFinD公式)'!$A$5)/365))</f>
        <v>0.99998436731801976</v>
      </c>
      <c r="O13" s="16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AM$8)^(('实盘净值数据(iFinD公式)'!$A13-'实盘净值数据(iFinD公式)'!$A12)/365)-1)</f>
        <v>-2.7184045698385173E-3</v>
      </c>
      <c r="P13" s="16">
        <f>IF(N13="","",N13/MAX(N$5:N13)-1)</f>
        <v>-2.7184045698386283E-3</v>
      </c>
      <c r="Q13" s="13">
        <f>IF(OR((ROW()-1)&lt;8,'实盘净值数据(iFinD公式)'!$A13="",'实盘净值数据(iFinD公式)'!$B13=""),"",SUMPRODUCT(实盘持仓配置!$B$9:$X$9,'实盘净值数据(iFinD公式)'!$B13:$X13/'实盘净值数据(iFinD公式)'!$B$8:$X$8)*(1-实盘持仓配置!$AM$9)^(('实盘净值数据(iFinD公式)'!$A13-'实盘净值数据(iFinD公式)'!$A$8)/365))</f>
        <v>1.0039155476418373</v>
      </c>
      <c r="R13" s="16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AM$9)^(('实盘净值数据(iFinD公式)'!$A13-'实盘净值数据(iFinD公式)'!$A12)/365)-1)</f>
        <v>-4.8042294589777379E-3</v>
      </c>
      <c r="S13" s="16">
        <f>IF(Q13="","",Q13/MAX(Q$5:Q13)-1)</f>
        <v>-4.8042294589777379E-3</v>
      </c>
      <c r="T13" s="13"/>
      <c r="U13" s="16"/>
      <c r="V13" s="16"/>
    </row>
    <row r="14" spans="1:22">
      <c r="A14" s="15">
        <f>IF('实盘净值数据(iFinD公式)'!A14="","",'实盘净值数据(iFinD公式)'!A14)</f>
        <v>46205</v>
      </c>
      <c r="B14" s="13">
        <f>IF(OR((ROW()-1)&lt;6,'实盘净值数据(iFinD公式)'!$A14="",'实盘净值数据(iFinD公式)'!$B14=""),"",SUMPRODUCT(实盘持仓配置!$B$4:$X$4,'实盘净值数据(iFinD公式)'!$B14:$X14/'实盘净值数据(iFinD公式)'!$B$6:$X$6)*(1-实盘持仓配置!$AM$4)^(('实盘净值数据(iFinD公式)'!$A14-'实盘净值数据(iFinD公式)'!$A$6)/365))</f>
        <v>0.9502400516447862</v>
      </c>
      <c r="C14" s="16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AM$4)^(('实盘净值数据(iFinD公式)'!$A14-'实盘净值数据(iFinD公式)'!$A13)/365)-1)</f>
        <v>-8.7770128823294269E-2</v>
      </c>
      <c r="D14" s="16">
        <f>IF(B14="","",B14/MAX(B$5:B14)-1)</f>
        <v>-0.1159306900182373</v>
      </c>
      <c r="E14" s="13">
        <f>IF(OR((ROW()-1)&lt;5,'实盘净值数据(iFinD公式)'!$A14="",'实盘净值数据(iFinD公式)'!$B14=""),"",SUMPRODUCT(实盘持仓配置!$B$5:$X$5,'实盘净值数据(iFinD公式)'!$B14:$X14/'实盘净值数据(iFinD公式)'!$B$5:$X$5)*(1-实盘持仓配置!$AM$5)^(('实盘净值数据(iFinD公式)'!$A14-'实盘净值数据(iFinD公式)'!$A$5)/365))</f>
        <v>0.97222777037242381</v>
      </c>
      <c r="F14" s="16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AM$5)^(('实盘净值数据(iFinD公式)'!$A14-'实盘净值数据(iFinD公式)'!$A13)/365)-1)</f>
        <v>-8.7756207212880244E-2</v>
      </c>
      <c r="G14" s="16">
        <f>IF(E14="","",E14/MAX(E$5:E14)-1)</f>
        <v>-0.1159450994611253</v>
      </c>
      <c r="H14" s="13">
        <f>IF(OR((ROW()-1)&lt;7,'实盘净值数据(iFinD公式)'!$A14="",'实盘净值数据(iFinD公式)'!$B14=""),"",SUMPRODUCT(实盘持仓配置!$B$6:$X$6,'实盘净值数据(iFinD公式)'!$B14:$X14/'实盘净值数据(iFinD公式)'!$B$7:$X$7)*(1-实盘持仓配置!$AM$6)^(('实盘净值数据(iFinD公式)'!$A14-'实盘净值数据(iFinD公式)'!$A$7)/365))</f>
        <v>0.9917522529182049</v>
      </c>
      <c r="I14" s="16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AM$6)^(('实盘净值数据(iFinD公式)'!$A14-'实盘净值数据(iFinD公式)'!$A13)/365)-1)</f>
        <v>-8.477644209155577E-2</v>
      </c>
      <c r="J14" s="16">
        <f>IF(H14="","",H14/MAX(H$5:H14)-1)</f>
        <v>-0.10790116064802879</v>
      </c>
      <c r="K14" s="13">
        <f>IF(OR('实盘净值数据(iFinD公式)'!$A14="",'实盘净值数据(iFinD公式)'!$B14=""),"",分期持仓明细!$AB$9*SUMPRODUCT(分期持仓明细!$B$9:$Y$9,'实盘净值数据(iFinD公式)'!$B14:$Y14/'实盘净值数据(iFinD公式)'!$B$13:$Y$13)*(1-实盘持仓配置!$AM$7)^(('实盘净值数据(iFinD公式)'!$A14-'实盘净值数据(iFinD公式)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配置!$AM$8)^(('实盘净值数据(iFinD公式)'!$A14-'实盘净值数据(iFinD公式)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配置!$AM$9)^(('实盘净值数据(iFinD公式)'!$A14-'实盘净值数据(iFinD公式)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  <c r="T14" s="13"/>
      <c r="U14" s="16"/>
      <c r="V14" s="16"/>
    </row>
    <row r="15" spans="1:22">
      <c r="A15" s="15">
        <f>IF('实盘净值数据(iFinD公式)'!A15="","",'实盘净值数据(iFinD公式)'!A15)</f>
        <v>46206</v>
      </c>
      <c r="B15" s="13">
        <f>IF(OR((ROW()-1)&lt;6,'实盘净值数据(iFinD公式)'!$A15="",'实盘净值数据(iFinD公式)'!$B15=""),"",SUMPRODUCT(实盘持仓配置!$B$4:$X$4,'实盘净值数据(iFinD公式)'!$B15:$X15/'实盘净值数据(iFinD公式)'!$B$6:$X$6)*(1-实盘持仓配置!$AM$4)^(('实盘净值数据(iFinD公式)'!$A15-'实盘净值数据(iFinD公式)'!$A$6)/365))</f>
        <v>0.94321899538470466</v>
      </c>
      <c r="C15" s="16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AM$4)^(('实盘净值数据(iFinD公式)'!$A15-'实盘净值数据(iFinD公式)'!$A14)/365)-1)</f>
        <v>-7.3887185116313647E-3</v>
      </c>
      <c r="D15" s="16">
        <f>IF(B15="","",B15/MAX(B$5:B15)-1)</f>
        <v>-0.12246282929446495</v>
      </c>
      <c r="E15" s="13">
        <f>IF(OR((ROW()-1)&lt;5,'实盘净值数据(iFinD公式)'!$A15="",'实盘净值数据(iFinD公式)'!$B15=""),"",SUMPRODUCT(实盘持仓配置!$B$5:$X$5,'实盘净值数据(iFinD公式)'!$B15:$X15/'实盘净值数据(iFinD公式)'!$B$5:$X$5)*(1-实盘持仓配置!$AM$5)^(('实盘净值数据(iFinD公式)'!$A15-'实盘净值数据(iFinD公式)'!$A$5)/365))</f>
        <v>0.9650764877591137</v>
      </c>
      <c r="F15" s="16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AM$5)^(('实盘净值数据(iFinD公式)'!$A15-'实盘净值数据(iFinD公式)'!$A14)/365)-1)</f>
        <v>-7.3555629979286108E-3</v>
      </c>
      <c r="G15" s="16">
        <f>IF(E15="","",E15/MAX(E$5:E15)-1)</f>
        <v>-0.12244782097566653</v>
      </c>
      <c r="H15" s="13">
        <f>IF(OR((ROW()-1)&lt;7,'实盘净值数据(iFinD公式)'!$A15="",'实盘净值数据(iFinD公式)'!$B15=""),"",SUMPRODUCT(实盘持仓配置!$B$6:$X$6,'实盘净值数据(iFinD公式)'!$B15:$X15/'实盘净值数据(iFinD公式)'!$B$7:$X$7)*(1-实盘持仓配置!$AM$6)^(('实盘净值数据(iFinD公式)'!$A15-'实盘净值数据(iFinD公式)'!$A$7)/365))</f>
        <v>0.98876258967330444</v>
      </c>
      <c r="I15" s="16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AM$6)^(('实盘净值数据(iFinD公式)'!$A15-'实盘净值数据(iFinD公式)'!$A14)/365)-1)</f>
        <v>-3.0145262953558127E-3</v>
      </c>
      <c r="J15" s="16">
        <f>IF(H15="","",H15/MAX(H$5:H15)-1)</f>
        <v>-0.1105904160573119</v>
      </c>
      <c r="K15" s="13">
        <f>IF(OR('实盘净值数据(iFinD公式)'!$A15="",'实盘净值数据(iFinD公式)'!$B15=""),"",分期持仓明细!$AB$9*SUMPRODUCT(分期持仓明细!$B$9:$Y$9,'实盘净值数据(iFinD公式)'!$B15:$Y15/'实盘净值数据(iFinD公式)'!$B$13:$Y$13)*(1-实盘持仓配置!$AM$7)^(('实盘净值数据(iFinD公式)'!$A15-'实盘净值数据(iFinD公式)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配置!$AM$8)^(('实盘净值数据(iFinD公式)'!$A15-'实盘净值数据(iFinD公式)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配置!$AM$9)^(('实盘净值数据(iFinD公式)'!$A15-'实盘净值数据(iFinD公式)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  <c r="T15" s="13"/>
      <c r="U15" s="16"/>
      <c r="V15" s="16"/>
    </row>
    <row r="16" spans="1:22">
      <c r="A16" s="15">
        <f>IF('实盘净值数据(iFinD公式)'!A16="","",'实盘净值数据(iFinD公式)'!A16)</f>
        <v>46209</v>
      </c>
      <c r="B16" s="13">
        <f>IF(OR((ROW()-1)&lt;6,'实盘净值数据(iFinD公式)'!$A16="",'实盘净值数据(iFinD公式)'!$B16=""),"",SUMPRODUCT(实盘持仓配置!$B$4:$X$4,'实盘净值数据(iFinD公式)'!$B16:$X16/'实盘净值数据(iFinD公式)'!$B$6:$X$6)*(1-实盘持仓配置!$AM$4)^(('实盘净值数据(iFinD公式)'!$A16-'实盘净值数据(iFinD公式)'!$A$6)/365))</f>
        <v>0.92459185139429301</v>
      </c>
      <c r="C16" s="16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AM$4)^(('实盘净值数据(iFinD公式)'!$A16-'实盘净值数据(iFinD公式)'!$A15)/365)-1)</f>
        <v>-1.9748482676405832E-2</v>
      </c>
      <c r="D16" s="16">
        <f>IF(B16="","",B16/MAX(B$5:B16)-1)</f>
        <v>-0.13979285690804522</v>
      </c>
      <c r="E16" s="13">
        <f>IF(OR((ROW()-1)&lt;5,'实盘净值数据(iFinD公式)'!$A16="",'实盘净值数据(iFinD公式)'!$B16=""),"",SUMPRODUCT(实盘持仓配置!$B$5:$X$5,'实盘净值数据(iFinD公式)'!$B16:$X16/'实盘净值数据(iFinD公式)'!$B$5:$X$5)*(1-实盘持仓配置!$AM$5)^(('实盘净值数据(iFinD公式)'!$A16-'实盘净值数据(iFinD公式)'!$A$5)/365))</f>
        <v>0.94597775731161959</v>
      </c>
      <c r="F16" s="16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AM$5)^(('实盘净值数据(iFinD公式)'!$A16-'实盘净值数据(iFinD公式)'!$A15)/365)-1)</f>
        <v>-1.9789861932955177E-2</v>
      </c>
      <c r="G16" s="16">
        <f>IF(E16="","",E16/MAX(E$5:E16)-1)</f>
        <v>-0.13981445743752197</v>
      </c>
      <c r="H16" s="13">
        <f>IF(OR((ROW()-1)&lt;7,'实盘净值数据(iFinD公式)'!$A16="",'实盘净值数据(iFinD公式)'!$B16=""),"",SUMPRODUCT(实盘持仓配置!$B$6:$X$6,'实盘净值数据(iFinD公式)'!$B16:$X16/'实盘净值数据(iFinD公式)'!$B$7:$X$7)*(1-实盘持仓配置!$AM$6)^(('实盘净值数据(iFinD公式)'!$A16-'实盘净值数据(iFinD公式)'!$A$7)/365))</f>
        <v>0.97195202442112383</v>
      </c>
      <c r="I16" s="16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AM$6)^(('实盘净值数据(iFinD公式)'!$A16-'实盘净值数据(iFinD公式)'!$A15)/365)-1)</f>
        <v>-1.7001619425887737E-2</v>
      </c>
      <c r="J16" s="16">
        <f>IF(H16="","",H16/MAX(H$5:H16)-1)</f>
        <v>-0.12571181931724251</v>
      </c>
      <c r="K16" s="13">
        <f>IF(OR('实盘净值数据(iFinD公式)'!$A16="",'实盘净值数据(iFinD公式)'!$B16=""),"",分期持仓明细!$AB$9*SUMPRODUCT(分期持仓明细!$B$9:$Y$9,'实盘净值数据(iFinD公式)'!$B16:$Y16/'实盘净值数据(iFinD公式)'!$B$13:$Y$13)*(1-实盘持仓配置!$AM$7)^(('实盘净值数据(iFinD公式)'!$A16-'实盘净值数据(iFinD公式)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配置!$AM$8)^(('实盘净值数据(iFinD公式)'!$A16-'实盘净值数据(iFinD公式)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配置!$AM$9)^(('实盘净值数据(iFinD公式)'!$A16-'实盘净值数据(iFinD公式)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  <c r="T16" s="13"/>
      <c r="U16" s="16"/>
      <c r="V16" s="16"/>
    </row>
    <row r="17" spans="1:22">
      <c r="A17" s="15">
        <f>IF('实盘净值数据(iFinD公式)'!A17="","",'实盘净值数据(iFinD公式)'!A17)</f>
        <v>46210</v>
      </c>
      <c r="B17" s="13">
        <f>IF(OR((ROW()-1)&lt;6,'实盘净值数据(iFinD公式)'!$A17="",'实盘净值数据(iFinD公式)'!$B17=""),"",SUMPRODUCT(实盘持仓配置!$B$4:$X$4,'实盘净值数据(iFinD公式)'!$B17:$X17/'实盘净值数据(iFinD公式)'!$B$6:$X$6)*(1-实盘持仓配置!$AM$4)^(('实盘净值数据(iFinD公式)'!$A17-'实盘净值数据(iFinD公式)'!$A$6)/365))</f>
        <v>0.93094051945631884</v>
      </c>
      <c r="C17" s="16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AM$4)^(('实盘净值数据(iFinD公式)'!$A17-'实盘净值数据(iFinD公式)'!$A16)/365)-1)</f>
        <v>6.8664546983105978E-3</v>
      </c>
      <c r="D17" s="16">
        <f>IF(B17="","",B17/MAX(B$5:B17)-1)</f>
        <v>-0.13388628352884135</v>
      </c>
      <c r="E17" s="13">
        <f>IF(OR((ROW()-1)&lt;5,'实盘净值数据(iFinD公式)'!$A17="",'实盘净值数据(iFinD公式)'!$B17=""),"",SUMPRODUCT(实盘持仓配置!$B$5:$X$5,'实盘净值数据(iFinD公式)'!$B17:$X17/'实盘净值数据(iFinD公式)'!$B$5:$X$5)*(1-实盘持仓配置!$AM$5)^(('实盘净值数据(iFinD公式)'!$A17-'实盘净值数据(iFinD公式)'!$A$5)/365))</f>
        <v>0.95247542928901296</v>
      </c>
      <c r="F17" s="16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AM$5)^(('实盘净值数据(iFinD公式)'!$A17-'实盘净值数据(iFinD公式)'!$A16)/365)-1)</f>
        <v>6.8687365291326685E-3</v>
      </c>
      <c r="G17" s="16">
        <f>IF(E17="","",E17/MAX(E$5:E17)-1)</f>
        <v>-0.13390606957949125</v>
      </c>
      <c r="H17" s="13">
        <f>IF(OR((ROW()-1)&lt;7,'实盘净值数据(iFinD公式)'!$A17="",'实盘净值数据(iFinD公式)'!$B17=""),"",SUMPRODUCT(实盘持仓配置!$B$6:$X$6,'实盘净值数据(iFinD公式)'!$B17:$X17/'实盘净值数据(iFinD公式)'!$B$7:$X$7)*(1-实盘持仓配置!$AM$6)^(('实盘净值数据(iFinD公式)'!$A17-'实盘净值数据(iFinD公式)'!$A$7)/365))</f>
        <v>0.97477427077798739</v>
      </c>
      <c r="I17" s="16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AM$6)^(('实盘净值数据(iFinD公式)'!$A17-'实盘净值数据(iFinD公式)'!$A16)/365)-1)</f>
        <v>2.903688953726391E-3</v>
      </c>
      <c r="J17" s="16">
        <f>IF(H17="","",H17/MAX(H$5:H17)-1)</f>
        <v>-0.12317315838462051</v>
      </c>
      <c r="K17" s="13">
        <f>IF(OR('实盘净值数据(iFinD公式)'!$A17="",'实盘净值数据(iFinD公式)'!$B17=""),"",分期持仓明细!$AB$9*SUMPRODUCT(分期持仓明细!$B$9:$Y$9,'实盘净值数据(iFinD公式)'!$B17:$Y17/'实盘净值数据(iFinD公式)'!$B$13:$Y$13)*(1-实盘持仓配置!$AM$7)^(('实盘净值数据(iFinD公式)'!$A17-'实盘净值数据(iFinD公式)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配置!$AM$8)^(('实盘净值数据(iFinD公式)'!$A17-'实盘净值数据(iFinD公式)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配置!$AM$9)^(('实盘净值数据(iFinD公式)'!$A17-'实盘净值数据(iFinD公式)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  <c r="T17" s="13"/>
      <c r="U17" s="16"/>
      <c r="V17" s="16"/>
    </row>
    <row r="18" spans="1:22">
      <c r="A18" s="15">
        <f>IF('实盘净值数据(iFinD公式)'!A18="","",'实盘净值数据(iFinD公式)'!A18)</f>
        <v>46211</v>
      </c>
      <c r="B18" s="13">
        <f>IF(OR((ROW()-1)&lt;6,'实盘净值数据(iFinD公式)'!$A18="",'实盘净值数据(iFinD公式)'!$B18=""),"",SUMPRODUCT(实盘持仓配置!$B$4:$X$4,'实盘净值数据(iFinD公式)'!$B18:$X18/'实盘净值数据(iFinD公式)'!$B$6:$X$6)*(1-实盘持仓配置!$AM$4)^(('实盘净值数据(iFinD公式)'!$A18-'实盘净值数据(iFinD公式)'!$A$6)/365))</f>
        <v>0.93624162720445936</v>
      </c>
      <c r="C18" s="16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AM$4)^(('实盘净值数据(iFinD公式)'!$A18-'实盘净值数据(iFinD公式)'!$A17)/365)-1)</f>
        <v>5.6943570908660757E-3</v>
      </c>
      <c r="D18" s="16">
        <f>IF(B18="","",B18/MAX(B$5:B18)-1)</f>
        <v>-0.12895432274595753</v>
      </c>
      <c r="E18" s="13">
        <f>IF(OR((ROW()-1)&lt;5,'实盘净值数据(iFinD公式)'!$A18="",'实盘净值数据(iFinD公式)'!$B18=""),"",SUMPRODUCT(实盘持仓配置!$B$5:$X$5,'实盘净值数据(iFinD公式)'!$B18:$X18/'实盘净值数据(iFinD公式)'!$B$5:$X$5)*(1-实盘持仓配置!$AM$5)^(('实盘净值数据(iFinD公式)'!$A18-'实盘净值数据(iFinD公式)'!$A$5)/365))</f>
        <v>0.9578161514912864</v>
      </c>
      <c r="F18" s="16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AM$5)^(('实盘净值数据(iFinD公式)'!$A18-'实盘净值数据(iFinD公式)'!$A17)/365)-1)</f>
        <v>5.6072020737165662E-3</v>
      </c>
      <c r="G18" s="16">
        <f>IF(E18="","",E18/MAX(E$5:E18)-1)</f>
        <v>-0.12904970589680409</v>
      </c>
      <c r="H18" s="13">
        <f>IF(OR((ROW()-1)&lt;7,'实盘净值数据(iFinD公式)'!$A18="",'实盘净值数据(iFinD公式)'!$B18=""),"",SUMPRODUCT(实盘持仓配置!$B$6:$X$6,'实盘净值数据(iFinD公式)'!$B18:$X18/'实盘净值数据(iFinD公式)'!$B$7:$X$7)*(1-实盘持仓配置!$AM$6)^(('实盘净值数据(iFinD公式)'!$A18-'实盘净值数据(iFinD公式)'!$A$7)/365))</f>
        <v>0.98001297325673131</v>
      </c>
      <c r="I18" s="16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AM$6)^(('实盘净值数据(iFinD公式)'!$A18-'实盘净值数据(iFinD公式)'!$A17)/365)-1)</f>
        <v>5.3742724195651181E-3</v>
      </c>
      <c r="J18" s="16">
        <f>IF(H18="","",H18/MAX(H$5:H18)-1)</f>
        <v>-0.11846085207299251</v>
      </c>
      <c r="K18" s="13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配置!$AM$7)^(('实盘净值数据(iFinD公式)'!$A18-'实盘净值数据(iFinD公式)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配置!$AM$8)^(('实盘净值数据(iFinD公式)'!$A18-'实盘净值数据(iFinD公式)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配置!$AM$9)^(('实盘净值数据(iFinD公式)'!$A18-'实盘净值数据(iFinD公式)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  <c r="T18" s="13"/>
      <c r="U18" s="16"/>
      <c r="V18" s="16"/>
    </row>
    <row r="19" spans="1:22">
      <c r="A19" s="15">
        <f>IF('实盘净值数据(iFinD公式)'!A19="","",'实盘净值数据(iFinD公式)'!A19)</f>
        <v>46212</v>
      </c>
      <c r="B19" s="13">
        <f>IF(OR((ROW()-1)&lt;6,'实盘净值数据(iFinD公式)'!$A19="",'实盘净值数据(iFinD公式)'!$B19=""),"",SUMPRODUCT(实盘持仓配置!$B$4:$X$4,'实盘净值数据(iFinD公式)'!$B19:$X19/'实盘净值数据(iFinD公式)'!$B$6:$X$6)*(1-实盘持仓配置!$AM$4)^(('实盘净值数据(iFinD公式)'!$A19-'实盘净值数据(iFinD公式)'!$A$6)/365))</f>
        <v>1.000119640739735</v>
      </c>
      <c r="C19" s="16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AM$4)^(('实盘净值数据(iFinD公式)'!$A19-'实盘净值数据(iFinD公式)'!$A18)/365)-1)</f>
        <v>6.8228127952406625E-2</v>
      </c>
      <c r="D19" s="16">
        <f>IF(B19="","",B19/MAX(B$5:B19)-1)</f>
        <v>-6.952450682587763E-2</v>
      </c>
      <c r="E19" s="13">
        <f>IF(OR((ROW()-1)&lt;5,'实盘净值数据(iFinD公式)'!$A19="",'实盘净值数据(iFinD公式)'!$B19=""),"",SUMPRODUCT(实盘持仓配置!$B$5:$X$5,'实盘净值数据(iFinD公式)'!$B19:$X19/'实盘净值数据(iFinD公式)'!$B$5:$X$5)*(1-实盘持仓配置!$AM$5)^(('实盘净值数据(iFinD公式)'!$A19-'实盘净值数据(iFinD公式)'!$A$5)/365))</f>
        <v>1.0231939223043951</v>
      </c>
      <c r="F19" s="16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AM$5)^(('实盘净值数据(iFinD公式)'!$A19-'实盘净值数据(iFinD公式)'!$A18)/365)-1)</f>
        <v>6.8257118770985281E-2</v>
      </c>
      <c r="G19" s="16">
        <f>IF(E19="","",E19/MAX(E$5:E19)-1)</f>
        <v>-6.9601148228577658E-2</v>
      </c>
      <c r="H19" s="13">
        <f>IF(OR((ROW()-1)&lt;7,'实盘净值数据(iFinD公式)'!$A19="",'实盘净值数据(iFinD公式)'!$B19=""),"",SUMPRODUCT(实盘持仓配置!$B$6:$X$6,'实盘净值数据(iFinD公式)'!$B19:$X19/'实盘净值数据(iFinD公式)'!$B$7:$X$7)*(1-实盘持仓配置!$AM$6)^(('实盘净值数据(iFinD公式)'!$A19-'实盘净值数据(iFinD公式)'!$A$7)/365))</f>
        <v>1.0473336640835054</v>
      </c>
      <c r="I19" s="16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AM$6)^(('实盘净值数据(iFinD公式)'!$A19-'实盘净值数据(iFinD公式)'!$A18)/365)-1)</f>
        <v>6.8693673108282782E-2</v>
      </c>
      <c r="J19" s="16">
        <f>IF(H19="","",H19/MAX(H$5:H19)-1)</f>
        <v>-5.7904690013140581E-2</v>
      </c>
      <c r="K19" s="13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配置!$AM$7)^(('实盘净值数据(iFinD公式)'!$A19-'实盘净值数据(iFinD公式)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配置!$AM$8)^(('实盘净值数据(iFinD公式)'!$A19-'实盘净值数据(iFinD公式)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配置!$AM$9)^(('实盘净值数据(iFinD公式)'!$A19-'实盘净值数据(iFinD公式)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  <c r="T19" s="13"/>
      <c r="U19" s="16"/>
      <c r="V19" s="16"/>
    </row>
    <row r="20" spans="1:22">
      <c r="A20" s="15">
        <f>IF('实盘净值数据(iFinD公式)'!A20="","",'实盘净值数据(iFinD公式)'!A20)</f>
        <v>46213</v>
      </c>
      <c r="B20" s="13">
        <f>IF(OR((ROW()-1)&lt;6,'实盘净值数据(iFinD公式)'!$A20="",'实盘净值数据(iFinD公式)'!$B20=""),"",SUMPRODUCT(实盘持仓配置!$B$4:$X$4,'实盘净值数据(iFinD公式)'!$B20:$X20/'实盘净值数据(iFinD公式)'!$B$6:$X$6)*(1-实盘持仓配置!$AM$4)^(('实盘净值数据(iFinD公式)'!$A20-'实盘净值数据(iFinD公式)'!$A$6)/365))</f>
        <v>0.95179417704073732</v>
      </c>
      <c r="C20" s="16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AM$4)^(('实盘净值数据(iFinD公式)'!$A20-'实盘净值数据(iFinD公式)'!$A19)/365)-1)</f>
        <v>-4.8319682696416288E-2</v>
      </c>
      <c r="D20" s="16">
        <f>IF(B20="","",B20/MAX(B$5:B20)-1)</f>
        <v>-0.11448478741284263</v>
      </c>
      <c r="E20" s="13">
        <f>IF(OR((ROW()-1)&lt;5,'实盘净值数据(iFinD公式)'!$A20="",'实盘净值数据(iFinD公式)'!$B20=""),"",SUMPRODUCT(实盘持仓配置!$B$5:$X$5,'实盘净值数据(iFinD公式)'!$B20:$X20/'实盘净值数据(iFinD公式)'!$B$5:$X$5)*(1-实盘持仓配置!$AM$5)^(('实盘净值数据(iFinD公式)'!$A20-'实盘净值数据(iFinD公式)'!$A$5)/365))</f>
        <v>0.9737422822209042</v>
      </c>
      <c r="F20" s="16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AM$5)^(('实盘净值数据(iFinD公式)'!$A20-'实盘净值数据(iFinD公式)'!$A19)/365)-1)</f>
        <v>-4.833066245362172E-2</v>
      </c>
      <c r="G20" s="16">
        <f>IF(E20="","",E20/MAX(E$5:E20)-1)</f>
        <v>-0.1145679410807795</v>
      </c>
      <c r="H20" s="13">
        <f>IF(OR((ROW()-1)&lt;7,'实盘净值数据(iFinD公式)'!$A20="",'实盘净值数据(iFinD公式)'!$B20=""),"",SUMPRODUCT(实盘持仓配置!$B$6:$X$6,'实盘净值数据(iFinD公式)'!$B20:$X20/'实盘净值数据(iFinD公式)'!$B$7:$X$7)*(1-实盘持仓配置!$AM$6)^(('实盘净值数据(iFinD公式)'!$A20-'实盘净值数据(iFinD公式)'!$A$7)/365))</f>
        <v>0.99344026231902305</v>
      </c>
      <c r="I20" s="16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AM$6)^(('实盘净值数据(iFinD公式)'!$A20-'实盘净值数据(iFinD公式)'!$A19)/365)-1)</f>
        <v>-5.1457719361711729E-2</v>
      </c>
      <c r="J20" s="16">
        <f>IF(H20="","",H20/MAX(H$5:H20)-1)</f>
        <v>-0.10638276608642927</v>
      </c>
      <c r="K20" s="13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配置!$AM$7)^(('实盘净值数据(iFinD公式)'!$A20-'实盘净值数据(iFinD公式)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配置!$AM$8)^(('实盘净值数据(iFinD公式)'!$A20-'实盘净值数据(iFinD公式)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配置!$AM$9)^(('实盘净值数据(iFinD公式)'!$A20-'实盘净值数据(iFinD公式)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  <c r="T20" s="13"/>
      <c r="U20" s="16"/>
      <c r="V20" s="16"/>
    </row>
    <row r="21" spans="1:22">
      <c r="A21" s="15">
        <f>IF('实盘净值数据(iFinD公式)'!A21="","",'实盘净值数据(iFinD公式)'!A21)</f>
        <v>46216</v>
      </c>
      <c r="B21" s="13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配置!$AM$4)^(('实盘净值数据(iFinD公式)'!$A21-'实盘净值数据(iFinD公式)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配置!$AM$5)^(('实盘净值数据(iFinD公式)'!$A21-'实盘净值数据(iFinD公式)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配置!$AM$6)^(('实盘净值数据(iFinD公式)'!$A21-'实盘净值数据(iFinD公式)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配置!$AM$7)^(('实盘净值数据(iFinD公式)'!$A21-'实盘净值数据(iFinD公式)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配置!$AM$8)^(('实盘净值数据(iFinD公式)'!$A21-'实盘净值数据(iFinD公式)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配置!$AM$9)^(('实盘净值数据(iFinD公式)'!$A21-'实盘净值数据(iFinD公式)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  <c r="T21" s="13"/>
      <c r="U21" s="16"/>
      <c r="V21" s="16"/>
    </row>
    <row r="22" spans="1:22">
      <c r="A22" s="15">
        <f>IF('实盘净值数据(iFinD公式)'!A22="","",'实盘净值数据(iFinD公式)'!A22)</f>
        <v>46217</v>
      </c>
      <c r="B22" s="13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配置!$AM$4)^(('实盘净值数据(iFinD公式)'!$A22-'实盘净值数据(iFinD公式)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配置!$AM$5)^(('实盘净值数据(iFinD公式)'!$A22-'实盘净值数据(iFinD公式)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配置!$AM$6)^(('实盘净值数据(iFinD公式)'!$A22-'实盘净值数据(iFinD公式)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配置!$AM$7)^(('实盘净值数据(iFinD公式)'!$A22-'实盘净值数据(iFinD公式)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配置!$AM$8)^(('实盘净值数据(iFinD公式)'!$A22-'实盘净值数据(iFinD公式)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配置!$AM$9)^(('实盘净值数据(iFinD公式)'!$A22-'实盘净值数据(iFinD公式)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  <c r="T22" s="13"/>
      <c r="U22" s="16"/>
      <c r="V22" s="16"/>
    </row>
    <row r="23" spans="1:22">
      <c r="A23" s="15">
        <f>IF('实盘净值数据(iFinD公式)'!A23="","",'实盘净值数据(iFinD公式)'!A23)</f>
        <v>46218</v>
      </c>
      <c r="B23" s="13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配置!$AM$4)^(('实盘净值数据(iFinD公式)'!$A23-'实盘净值数据(iFinD公式)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配置!$AM$5)^(('实盘净值数据(iFinD公式)'!$A23-'实盘净值数据(iFinD公式)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配置!$AM$6)^(('实盘净值数据(iFinD公式)'!$A23-'实盘净值数据(iFinD公式)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配置!$AM$7)^(('实盘净值数据(iFinD公式)'!$A23-'实盘净值数据(iFinD公式)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配置!$AM$8)^(('实盘净值数据(iFinD公式)'!$A23-'实盘净值数据(iFinD公式)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配置!$AM$9)^(('实盘净值数据(iFinD公式)'!$A23-'实盘净值数据(iFinD公式)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  <c r="T23" s="13"/>
      <c r="U23" s="16"/>
      <c r="V23" s="16"/>
    </row>
    <row r="24" spans="1:22">
      <c r="A24" s="15">
        <f>IF('实盘净值数据(iFinD公式)'!A24="","",'实盘净值数据(iFinD公式)'!A24)</f>
        <v>46219</v>
      </c>
      <c r="B24" s="13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配置!$AM$4)^(('实盘净值数据(iFinD公式)'!$A24-'实盘净值数据(iFinD公式)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配置!$AM$5)^(('实盘净值数据(iFinD公式)'!$A24-'实盘净值数据(iFinD公式)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配置!$AM$6)^(('实盘净值数据(iFinD公式)'!$A24-'实盘净值数据(iFinD公式)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配置!$AM$7)^(('实盘净值数据(iFinD公式)'!$A24-'实盘净值数据(iFinD公式)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配置!$AM$8)^(('实盘净值数据(iFinD公式)'!$A24-'实盘净值数据(iFinD公式)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配置!$AM$9)^(('实盘净值数据(iFinD公式)'!$A24-'实盘净值数据(iFinD公式)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  <c r="T24" s="13"/>
      <c r="U24" s="16"/>
      <c r="V24" s="16"/>
    </row>
    <row r="25" spans="1:22">
      <c r="A25" s="15">
        <f>IF('实盘净值数据(iFinD公式)'!A25="","",'实盘净值数据(iFinD公式)'!A25)</f>
        <v>46220</v>
      </c>
      <c r="B25" s="13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配置!$AM$4)^(('实盘净值数据(iFinD公式)'!$A25-'实盘净值数据(iFinD公式)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配置!$AM$5)^(('实盘净值数据(iFinD公式)'!$A25-'实盘净值数据(iFinD公式)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配置!$AM$6)^(('实盘净值数据(iFinD公式)'!$A25-'实盘净值数据(iFinD公式)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公式)'!$A25="",'实盘净值数据(iFinD公式)'!$B25=""),"",分期持仓明细!$AB$20*SUMPRODUCT(分期持仓明细!$B$20:$Y$20,'实盘净值数据(iFinD公式)'!$B25:$Y25/'实盘净值数据(iFinD公式)'!$B$25:$Y$25)*(1-实盘持仓配置!$AM$7)^(('实盘净值数据(iFinD公式)'!$A25-'实盘净值数据(iFinD公式)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公式)'!$A25="",'实盘净值数据(iFinD公式)'!$B25=""),"",分期持仓明细!$AB$21*SUMPRODUCT(分期持仓明细!$B$21:$Y$21,'实盘净值数据(iFinD公式)'!$B25:$Y25/'实盘净值数据(iFinD公式)'!$B$25:$Y$25)*(1-实盘持仓配置!$AM$8)^(('实盘净值数据(iFinD公式)'!$A25-'实盘净值数据(iFinD公式)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公式)'!$A25="",'实盘净值数据(iFinD公式)'!$B25=""),"",分期持仓明细!$AB$22*SUMPRODUCT(分期持仓明细!$B$22:$Y$22,'实盘净值数据(iFinD公式)'!$B25:$Y25/'实盘净值数据(iFinD公式)'!$B$25:$Y$25)*(1-实盘持仓配置!$AM$9)^(('实盘净值数据(iFinD公式)'!$A25-'实盘净值数据(iFinD公式)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  <c r="T25" s="13"/>
      <c r="U25" s="16"/>
      <c r="V25" s="16"/>
    </row>
    <row r="26" spans="1:22">
      <c r="A26" s="15">
        <f>IF('实盘净值数据(iFinD公式)'!A26="","",'实盘净值数据(iFinD公式)'!A26)</f>
        <v>46223</v>
      </c>
      <c r="B26" s="13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配置!$AM$4)^(('实盘净值数据(iFinD公式)'!$A26-'实盘净值数据(iFinD公式)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配置!$AM$5)^(('实盘净值数据(iFinD公式)'!$A26-'实盘净值数据(iFinD公式)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配置!$AM$6)^(('实盘净值数据(iFinD公式)'!$A26-'实盘净值数据(iFinD公式)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公式)'!$A26="",'实盘净值数据(iFinD公式)'!$B26=""),"",分期持仓明细!$AB$20*SUMPRODUCT(分期持仓明细!$B$20:$Y$20,'实盘净值数据(iFinD公式)'!$B26:$Y26/'实盘净值数据(iFinD公式)'!$B$25:$Y$25)*(1-实盘持仓配置!$AM$7)^(('实盘净值数据(iFinD公式)'!$A26-'实盘净值数据(iFinD公式)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公式)'!$A26="",'实盘净值数据(iFinD公式)'!$B26=""),"",分期持仓明细!$AB$21*SUMPRODUCT(分期持仓明细!$B$21:$Y$21,'实盘净值数据(iFinD公式)'!$B26:$Y26/'实盘净值数据(iFinD公式)'!$B$25:$Y$25)*(1-实盘持仓配置!$AM$8)^(('实盘净值数据(iFinD公式)'!$A26-'实盘净值数据(iFinD公式)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公式)'!$A26="",'实盘净值数据(iFinD公式)'!$B26=""),"",分期持仓明细!$AB$22*SUMPRODUCT(分期持仓明细!$B$22:$Y$22,'实盘净值数据(iFinD公式)'!$B26:$Y26/'实盘净值数据(iFinD公式)'!$B$25:$Y$25)*(1-实盘持仓配置!$AM$9)^(('实盘净值数据(iFinD公式)'!$A26-'实盘净值数据(iFinD公式)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  <c r="T26" s="13"/>
      <c r="U26" s="16"/>
      <c r="V26" s="16"/>
    </row>
    <row r="27" spans="1:22">
      <c r="A27" s="15">
        <f>IF('实盘净值数据(iFinD公式)'!A27="","",'实盘净值数据(iFinD公式)'!A27)</f>
        <v>46224</v>
      </c>
      <c r="B27" s="13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配置!$AM$4)^(('实盘净值数据(iFinD公式)'!$A27-'实盘净值数据(iFinD公式)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配置!$AM$5)^(('实盘净值数据(iFinD公式)'!$A27-'实盘净值数据(iFinD公式)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配置!$AM$6)^(('实盘净值数据(iFinD公式)'!$A27-'实盘净值数据(iFinD公式)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公式)'!$A27="",'实盘净值数据(iFinD公式)'!$B27=""),"",分期持仓明细!$AB$20*SUMPRODUCT(分期持仓明细!$B$20:$Y$20,'实盘净值数据(iFinD公式)'!$B27:$Y27/'实盘净值数据(iFinD公式)'!$B$25:$Y$25)*(1-实盘持仓配置!$AM$7)^(('实盘净值数据(iFinD公式)'!$A27-'实盘净值数据(iFinD公式)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公式)'!$A27="",'实盘净值数据(iFinD公式)'!$B27=""),"",分期持仓明细!$AB$21*SUMPRODUCT(分期持仓明细!$B$21:$Y$21,'实盘净值数据(iFinD公式)'!$B27:$Y27/'实盘净值数据(iFinD公式)'!$B$25:$Y$25)*(1-实盘持仓配置!$AM$8)^(('实盘净值数据(iFinD公式)'!$A27-'实盘净值数据(iFinD公式)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公式)'!$A27="",'实盘净值数据(iFinD公式)'!$B27=""),"",分期持仓明细!$AB$22*SUMPRODUCT(分期持仓明细!$B$22:$Y$22,'实盘净值数据(iFinD公式)'!$B27:$Y27/'实盘净值数据(iFinD公式)'!$B$25:$Y$25)*(1-实盘持仓配置!$AM$9)^(('实盘净值数据(iFinD公式)'!$A27-'实盘净值数据(iFinD公式)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  <c r="T27" s="13"/>
      <c r="U27" s="16"/>
      <c r="V27" s="16"/>
    </row>
    <row r="28" spans="1:22">
      <c r="A28" s="15">
        <f>IF('实盘净值数据(iFinD公式)'!A28="","",'实盘净值数据(iFinD公式)'!A28)</f>
        <v>46225</v>
      </c>
      <c r="B28" s="13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配置!$AM$4)^(('实盘净值数据(iFinD公式)'!$A28-'实盘净值数据(iFinD公式)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配置!$AM$5)^(('实盘净值数据(iFinD公式)'!$A28-'实盘净值数据(iFinD公式)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配置!$AM$6)^(('实盘净值数据(iFinD公式)'!$A28-'实盘净值数据(iFinD公式)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公式)'!$A28="",'实盘净值数据(iFinD公式)'!$B28=""),"",分期持仓明细!$AB$20*SUMPRODUCT(分期持仓明细!$B$20:$Y$20,'实盘净值数据(iFinD公式)'!$B28:$Y28/'实盘净值数据(iFinD公式)'!$B$25:$Y$25)*(1-实盘持仓配置!$AM$7)^(('实盘净值数据(iFinD公式)'!$A28-'实盘净值数据(iFinD公式)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公式)'!$A28="",'实盘净值数据(iFinD公式)'!$B28=""),"",分期持仓明细!$AB$21*SUMPRODUCT(分期持仓明细!$B$21:$Y$21,'实盘净值数据(iFinD公式)'!$B28:$Y28/'实盘净值数据(iFinD公式)'!$B$25:$Y$25)*(1-实盘持仓配置!$AM$8)^(('实盘净值数据(iFinD公式)'!$A28-'实盘净值数据(iFinD公式)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公式)'!$A28="",'实盘净值数据(iFinD公式)'!$B28=""),"",分期持仓明细!$AB$22*SUMPRODUCT(分期持仓明细!$B$22:$Y$22,'实盘净值数据(iFinD公式)'!$B28:$Y28/'实盘净值数据(iFinD公式)'!$B$25:$Y$25)*(1-实盘持仓配置!$AM$9)^(('实盘净值数据(iFinD公式)'!$A28-'实盘净值数据(iFinD公式)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  <c r="T28" s="13"/>
      <c r="U28" s="16"/>
      <c r="V28" s="16"/>
    </row>
    <row r="29" spans="1:22">
      <c r="A29" s="15">
        <f>IF('实盘净值数据(iFinD公式)'!A29="","",'实盘净值数据(iFinD公式)'!A29)</f>
        <v>46226</v>
      </c>
      <c r="B29" s="13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配置!$AM$4)^(('实盘净值数据(iFinD公式)'!$A29-'实盘净值数据(iFinD公式)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配置!$AM$5)^(('实盘净值数据(iFinD公式)'!$A29-'实盘净值数据(iFinD公式)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配置!$AM$6)^(('实盘净值数据(iFinD公式)'!$A29-'实盘净值数据(iFinD公式)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公式)'!$A29="",'实盘净值数据(iFinD公式)'!$B29=""),"",分期持仓明细!$AB$20*SUMPRODUCT(分期持仓明细!$B$20:$Y$20,'实盘净值数据(iFinD公式)'!$B29:$Y29/'实盘净值数据(iFinD公式)'!$B$25:$Y$25)*(1-实盘持仓配置!$AM$7)^(('实盘净值数据(iFinD公式)'!$A29-'实盘净值数据(iFinD公式)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公式)'!$A29="",'实盘净值数据(iFinD公式)'!$B29=""),"",分期持仓明细!$AB$21*SUMPRODUCT(分期持仓明细!$B$21:$Y$21,'实盘净值数据(iFinD公式)'!$B29:$Y29/'实盘净值数据(iFinD公式)'!$B$25:$Y$25)*(1-实盘持仓配置!$AM$8)^(('实盘净值数据(iFinD公式)'!$A29-'实盘净值数据(iFinD公式)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公式)'!$A29="",'实盘净值数据(iFinD公式)'!$B29=""),"",分期持仓明细!$AB$22*SUMPRODUCT(分期持仓明细!$B$22:$Y$22,'实盘净值数据(iFinD公式)'!$B29:$Y29/'实盘净值数据(iFinD公式)'!$B$25:$Y$25)*(1-实盘持仓配置!$AM$9)^(('实盘净值数据(iFinD公式)'!$A29-'实盘净值数据(iFinD公式)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  <c r="T29" s="13"/>
      <c r="U29" s="16"/>
      <c r="V29" s="16"/>
    </row>
    <row r="30" spans="1:22">
      <c r="A30" s="15">
        <f>IF('实盘净值数据(iFinD公式)'!A30="","",'实盘净值数据(iFinD公式)'!A30)</f>
        <v>46227</v>
      </c>
      <c r="B30" s="13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配置!$AM$4)^(('实盘净值数据(iFinD公式)'!$A30-'实盘净值数据(iFinD公式)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配置!$AM$5)^(('实盘净值数据(iFinD公式)'!$A30-'实盘净值数据(iFinD公式)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配置!$AM$6)^(('实盘净值数据(iFinD公式)'!$A30-'实盘净值数据(iFinD公式)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公式)'!$A30="",'实盘净值数据(iFinD公式)'!$B30=""),"",分期持仓明细!$AB$20*SUMPRODUCT(分期持仓明细!$B$20:$Y$20,'实盘净值数据(iFinD公式)'!$B30:$Y30/'实盘净值数据(iFinD公式)'!$B$25:$Y$25)*(1-实盘持仓配置!$AM$7)^(('实盘净值数据(iFinD公式)'!$A30-'实盘净值数据(iFinD公式)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公式)'!$A30="",'实盘净值数据(iFinD公式)'!$B30=""),"",分期持仓明细!$AB$21*SUMPRODUCT(分期持仓明细!$B$21:$Y$21,'实盘净值数据(iFinD公式)'!$B30:$Y30/'实盘净值数据(iFinD公式)'!$B$25:$Y$25)*(1-实盘持仓配置!$AM$8)^(('实盘净值数据(iFinD公式)'!$A30-'实盘净值数据(iFinD公式)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公式)'!$A30="",'实盘净值数据(iFinD公式)'!$B30=""),"",分期持仓明细!$AB$22*SUMPRODUCT(分期持仓明细!$B$22:$Y$22,'实盘净值数据(iFinD公式)'!$B30:$Y30/'实盘净值数据(iFinD公式)'!$B$25:$Y$25)*(1-实盘持仓配置!$AM$9)^(('实盘净值数据(iFinD公式)'!$A30-'实盘净值数据(iFinD公式)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  <c r="T30" s="13"/>
      <c r="U30" s="16"/>
      <c r="V30" s="16"/>
    </row>
    <row r="31" spans="1:22">
      <c r="A31" s="15">
        <f>IF('实盘净值数据(iFinD公式)'!A31="","",'实盘净值数据(iFinD公式)'!A31)</f>
        <v>46230</v>
      </c>
      <c r="B31" s="13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配置!$AM$4)^(('实盘净值数据(iFinD公式)'!$A31-'实盘净值数据(iFinD公式)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配置!$AM$5)^(('实盘净值数据(iFinD公式)'!$A31-'实盘净值数据(iFinD公式)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配置!$AM$6)^(('实盘净值数据(iFinD公式)'!$A31-'实盘净值数据(iFinD公式)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公式)'!$A31="",'实盘净值数据(iFinD公式)'!$B31=""),"",分期持仓明细!$AB$20*SUMPRODUCT(分期持仓明细!$B$20:$Y$20,'实盘净值数据(iFinD公式)'!$B31:$Y31/'实盘净值数据(iFinD公式)'!$B$25:$Y$25)*(1-实盘持仓配置!$AM$7)^(('实盘净值数据(iFinD公式)'!$A31-'实盘净值数据(iFinD公式)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公式)'!$A31="",'实盘净值数据(iFinD公式)'!$B31=""),"",分期持仓明细!$AB$21*SUMPRODUCT(分期持仓明细!$B$21:$Y$21,'实盘净值数据(iFinD公式)'!$B31:$Y31/'实盘净值数据(iFinD公式)'!$B$25:$Y$25)*(1-实盘持仓配置!$AM$8)^(('实盘净值数据(iFinD公式)'!$A31-'实盘净值数据(iFinD公式)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公式)'!$A31="",'实盘净值数据(iFinD公式)'!$B31=""),"",分期持仓明细!$AB$22*SUMPRODUCT(分期持仓明细!$B$22:$Y$22,'实盘净值数据(iFinD公式)'!$B31:$Y31/'实盘净值数据(iFinD公式)'!$B$25:$Y$25)*(1-实盘持仓配置!$AM$9)^(('实盘净值数据(iFinD公式)'!$A31-'实盘净值数据(iFinD公式)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  <c r="T31" s="13"/>
      <c r="U31" s="16"/>
      <c r="V31" s="16"/>
    </row>
    <row r="32" spans="1:22">
      <c r="A32" s="15">
        <f>IF('实盘净值数据(iFinD公式)'!A32="","",'实盘净值数据(iFinD公式)'!A32)</f>
        <v>46231</v>
      </c>
      <c r="B32" s="13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配置!$AM$4)^(('实盘净值数据(iFinD公式)'!$A32-'实盘净值数据(iFinD公式)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配置!$AM$5)^(('实盘净值数据(iFinD公式)'!$A32-'实盘净值数据(iFinD公式)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配置!$AM$6)^(('实盘净值数据(iFinD公式)'!$A32-'实盘净值数据(iFinD公式)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公式)'!$A32="",'实盘净值数据(iFinD公式)'!$B32=""),"",分期持仓明细!$AB$20*SUMPRODUCT(分期持仓明细!$B$20:$Y$20,'实盘净值数据(iFinD公式)'!$B32:$Y32/'实盘净值数据(iFinD公式)'!$B$25:$Y$25)*(1-实盘持仓配置!$AM$7)^(('实盘净值数据(iFinD公式)'!$A32-'实盘净值数据(iFinD公式)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公式)'!$A32="",'实盘净值数据(iFinD公式)'!$B32=""),"",分期持仓明细!$AB$21*SUMPRODUCT(分期持仓明细!$B$21:$Y$21,'实盘净值数据(iFinD公式)'!$B32:$Y32/'实盘净值数据(iFinD公式)'!$B$25:$Y$25)*(1-实盘持仓配置!$AM$8)^(('实盘净值数据(iFinD公式)'!$A32-'实盘净值数据(iFinD公式)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公式)'!$A32="",'实盘净值数据(iFinD公式)'!$B32=""),"",分期持仓明细!$AB$22*SUMPRODUCT(分期持仓明细!$B$22:$Y$22,'实盘净值数据(iFinD公式)'!$B32:$Y32/'实盘净值数据(iFinD公式)'!$B$25:$Y$25)*(1-实盘持仓配置!$AM$9)^(('实盘净值数据(iFinD公式)'!$A32-'实盘净值数据(iFinD公式)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  <c r="T32" s="13"/>
      <c r="U32" s="16"/>
      <c r="V32" s="16"/>
    </row>
    <row r="33" spans="1:22">
      <c r="A33" s="15">
        <f>IF('实盘净值数据(iFinD公式)'!A33="","",'实盘净值数据(iFinD公式)'!A33)</f>
        <v>46232</v>
      </c>
      <c r="B33" s="13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配置!$AM$4)^(('实盘净值数据(iFinD公式)'!$A33-'实盘净值数据(iFinD公式)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配置!$AM$5)^(('实盘净值数据(iFinD公式)'!$A33-'实盘净值数据(iFinD公式)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配置!$AM$6)^(('实盘净值数据(iFinD公式)'!$A33-'实盘净值数据(iFinD公式)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公式)'!$A33="",'实盘净值数据(iFinD公式)'!$B33=""),"",分期持仓明细!$AB$20*SUMPRODUCT(分期持仓明细!$B$20:$Y$20,'实盘净值数据(iFinD公式)'!$B33:$Y33/'实盘净值数据(iFinD公式)'!$B$25:$Y$25)*(1-实盘持仓配置!$AM$7)^(('实盘净值数据(iFinD公式)'!$A33-'实盘净值数据(iFinD公式)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公式)'!$A33="",'实盘净值数据(iFinD公式)'!$B33=""),"",分期持仓明细!$AB$21*SUMPRODUCT(分期持仓明细!$B$21:$Y$21,'实盘净值数据(iFinD公式)'!$B33:$Y33/'实盘净值数据(iFinD公式)'!$B$25:$Y$25)*(1-实盘持仓配置!$AM$8)^(('实盘净值数据(iFinD公式)'!$A33-'实盘净值数据(iFinD公式)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公式)'!$A33="",'实盘净值数据(iFinD公式)'!$B33=""),"",分期持仓明细!$AB$22*SUMPRODUCT(分期持仓明细!$B$22:$Y$22,'实盘净值数据(iFinD公式)'!$B33:$Y33/'实盘净值数据(iFinD公式)'!$B$25:$Y$25)*(1-实盘持仓配置!$AM$9)^(('实盘净值数据(iFinD公式)'!$A33-'实盘净值数据(iFinD公式)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  <c r="T33" s="13"/>
      <c r="U33" s="16"/>
      <c r="V33" s="16"/>
    </row>
    <row r="34" spans="1:22">
      <c r="A34" s="15">
        <f>IF('实盘净值数据(iFinD公式)'!A34="","",'实盘净值数据(iFinD公式)'!A34)</f>
        <v>46233</v>
      </c>
      <c r="B34" s="13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配置!$AM$4)^(('实盘净值数据(iFinD公式)'!$A34-'实盘净值数据(iFinD公式)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配置!$AM$5)^(('实盘净值数据(iFinD公式)'!$A34-'实盘净值数据(iFinD公式)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配置!$AM$6)^(('实盘净值数据(iFinD公式)'!$A34-'实盘净值数据(iFinD公式)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公式)'!$A34="",'实盘净值数据(iFinD公式)'!$B34=""),"",分期持仓明细!$AB$20*SUMPRODUCT(分期持仓明细!$B$20:$Y$20,'实盘净值数据(iFinD公式)'!$B34:$Y34/'实盘净值数据(iFinD公式)'!$B$25:$Y$25)*(1-实盘持仓配置!$AM$7)^(('实盘净值数据(iFinD公式)'!$A34-'实盘净值数据(iFinD公式)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公式)'!$A34="",'实盘净值数据(iFinD公式)'!$B34=""),"",分期持仓明细!$AB$21*SUMPRODUCT(分期持仓明细!$B$21:$Y$21,'实盘净值数据(iFinD公式)'!$B34:$Y34/'实盘净值数据(iFinD公式)'!$B$25:$Y$25)*(1-实盘持仓配置!$AM$8)^(('实盘净值数据(iFinD公式)'!$A34-'实盘净值数据(iFinD公式)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公式)'!$A34="",'实盘净值数据(iFinD公式)'!$B34=""),"",分期持仓明细!$AB$22*SUMPRODUCT(分期持仓明细!$B$22:$Y$22,'实盘净值数据(iFinD公式)'!$B34:$Y34/'实盘净值数据(iFinD公式)'!$B$25:$Y$25)*(1-实盘持仓配置!$AM$9)^(('实盘净值数据(iFinD公式)'!$A34-'实盘净值数据(iFinD公式)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  <c r="T34" s="13"/>
      <c r="U34" s="16"/>
      <c r="V34" s="16"/>
    </row>
    <row r="35" spans="1:22">
      <c r="A35" s="15">
        <f>IF('实盘净值数据(iFinD公式)'!A35="","",'实盘净值数据(iFinD公式)'!A35)</f>
        <v>46234</v>
      </c>
      <c r="B35" s="13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配置!$AM$4)^(('实盘净值数据(iFinD公式)'!$A35-'实盘净值数据(iFinD公式)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配置!$AM$5)^(('实盘净值数据(iFinD公式)'!$A35-'实盘净值数据(iFinD公式)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配置!$AM$6)^(('实盘净值数据(iFinD公式)'!$A35-'实盘净值数据(iFinD公式)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公式)'!$A35="",'实盘净值数据(iFinD公式)'!$B35=""),"",分期持仓明细!$AB$20*SUMPRODUCT(分期持仓明细!$B$20:$Y$20,'实盘净值数据(iFinD公式)'!$B35:$Y35/'实盘净值数据(iFinD公式)'!$B$25:$Y$25)*(1-实盘持仓配置!$AM$7)^(('实盘净值数据(iFinD公式)'!$A35-'实盘净值数据(iFinD公式)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公式)'!$A35="",'实盘净值数据(iFinD公式)'!$B35=""),"",分期持仓明细!$AB$21*SUMPRODUCT(分期持仓明细!$B$21:$Y$21,'实盘净值数据(iFinD公式)'!$B35:$Y35/'实盘净值数据(iFinD公式)'!$B$25:$Y$25)*(1-实盘持仓配置!$AM$8)^(('实盘净值数据(iFinD公式)'!$A35-'实盘净值数据(iFinD公式)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公式)'!$A35="",'实盘净值数据(iFinD公式)'!$B35=""),"",分期持仓明细!$AB$22*SUMPRODUCT(分期持仓明细!$B$22:$Y$22,'实盘净值数据(iFinD公式)'!$B35:$Y35/'实盘净值数据(iFinD公式)'!$B$25:$Y$25)*(1-实盘持仓配置!$AM$9)^(('实盘净值数据(iFinD公式)'!$A35-'实盘净值数据(iFinD公式)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  <c r="T35" s="13"/>
      <c r="U35" s="16"/>
      <c r="V35" s="16"/>
    </row>
    <row r="36" spans="1:22">
      <c r="A36" s="15">
        <f>IF('实盘净值数据(iFinD公式)'!A36="","",'实盘净值数据(iFinD公式)'!A36)</f>
        <v>46237</v>
      </c>
      <c r="B36" s="13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配置!$AM$4)^(('实盘净值数据(iFinD公式)'!$A36-'实盘净值数据(iFinD公式)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配置!$AM$5)^(('实盘净值数据(iFinD公式)'!$A36-'实盘净值数据(iFinD公式)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配置!$AM$6)^(('实盘净值数据(iFinD公式)'!$A36-'实盘净值数据(iFinD公式)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公式)'!$A36="",'实盘净值数据(iFinD公式)'!$B36=""),"",分期持仓明细!$AB$20*SUMPRODUCT(分期持仓明细!$B$20:$Y$20,'实盘净值数据(iFinD公式)'!$B36:$Y36/'实盘净值数据(iFinD公式)'!$B$25:$Y$25)*(1-实盘持仓配置!$AM$7)^(('实盘净值数据(iFinD公式)'!$A36-'实盘净值数据(iFinD公式)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公式)'!$A36="",'实盘净值数据(iFinD公式)'!$B36=""),"",分期持仓明细!$AB$21*SUMPRODUCT(分期持仓明细!$B$21:$Y$21,'实盘净值数据(iFinD公式)'!$B36:$Y36/'实盘净值数据(iFinD公式)'!$B$25:$Y$25)*(1-实盘持仓配置!$AM$8)^(('实盘净值数据(iFinD公式)'!$A36-'实盘净值数据(iFinD公式)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公式)'!$A36="",'实盘净值数据(iFinD公式)'!$B36=""),"",分期持仓明细!$AB$22*SUMPRODUCT(分期持仓明细!$B$22:$Y$22,'实盘净值数据(iFinD公式)'!$B36:$Y36/'实盘净值数据(iFinD公式)'!$B$25:$Y$25)*(1-实盘持仓配置!$AM$9)^(('实盘净值数据(iFinD公式)'!$A36-'实盘净值数据(iFinD公式)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  <c r="T36" s="13"/>
      <c r="U36" s="16"/>
      <c r="V36" s="16"/>
    </row>
    <row r="37" spans="1:22">
      <c r="A37" s="15">
        <f>IF('实盘净值数据(iFinD公式)'!A37="","",'实盘净值数据(iFinD公式)'!A37)</f>
        <v>46238</v>
      </c>
      <c r="B37" s="13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配置!$AM$4)^(('实盘净值数据(iFinD公式)'!$A37-'实盘净值数据(iFinD公式)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配置!$AM$5)^(('实盘净值数据(iFinD公式)'!$A37-'实盘净值数据(iFinD公式)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配置!$AM$6)^(('实盘净值数据(iFinD公式)'!$A37-'实盘净值数据(iFinD公式)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公式)'!$A37="",'实盘净值数据(iFinD公式)'!$B37=""),"",分期持仓明细!$AB$20*SUMPRODUCT(分期持仓明细!$B$20:$Y$20,'实盘净值数据(iFinD公式)'!$B37:$Y37/'实盘净值数据(iFinD公式)'!$B$25:$Y$25)*(1-实盘持仓配置!$AM$7)^(('实盘净值数据(iFinD公式)'!$A37-'实盘净值数据(iFinD公式)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公式)'!$A37="",'实盘净值数据(iFinD公式)'!$B37=""),"",分期持仓明细!$AB$21*SUMPRODUCT(分期持仓明细!$B$21:$Y$21,'实盘净值数据(iFinD公式)'!$B37:$Y37/'实盘净值数据(iFinD公式)'!$B$25:$Y$25)*(1-实盘持仓配置!$AM$8)^(('实盘净值数据(iFinD公式)'!$A37-'实盘净值数据(iFinD公式)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公式)'!$A37="",'实盘净值数据(iFinD公式)'!$B37=""),"",分期持仓明细!$AB$22*SUMPRODUCT(分期持仓明细!$B$22:$Y$22,'实盘净值数据(iFinD公式)'!$B37:$Y37/'实盘净值数据(iFinD公式)'!$B$25:$Y$25)*(1-实盘持仓配置!$AM$9)^(('实盘净值数据(iFinD公式)'!$A37-'实盘净值数据(iFinD公式)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  <c r="T37" s="13"/>
      <c r="U37" s="16"/>
      <c r="V37" s="16"/>
    </row>
    <row r="38" spans="1:22">
      <c r="A38" s="15">
        <f>IF('实盘净值数据(iFinD公式)'!A38="","",'实盘净值数据(iFinD公式)'!A38)</f>
        <v>46239</v>
      </c>
      <c r="B38" s="13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配置!$AM$4)^(('实盘净值数据(iFinD公式)'!$A38-'实盘净值数据(iFinD公式)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配置!$AM$5)^(('实盘净值数据(iFinD公式)'!$A38-'实盘净值数据(iFinD公式)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配置!$AM$6)^(('实盘净值数据(iFinD公式)'!$A38-'实盘净值数据(iFinD公式)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公式)'!$A38="",'实盘净值数据(iFinD公式)'!$B38=""),"",分期持仓明细!$AB$20*SUMPRODUCT(分期持仓明细!$B$20:$Y$20,'实盘净值数据(iFinD公式)'!$B38:$Y38/'实盘净值数据(iFinD公式)'!$B$25:$Y$25)*(1-实盘持仓配置!$AM$7)^(('实盘净值数据(iFinD公式)'!$A38-'实盘净值数据(iFinD公式)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公式)'!$A38="",'实盘净值数据(iFinD公式)'!$B38=""),"",分期持仓明细!$AB$21*SUMPRODUCT(分期持仓明细!$B$21:$Y$21,'实盘净值数据(iFinD公式)'!$B38:$Y38/'实盘净值数据(iFinD公式)'!$B$25:$Y$25)*(1-实盘持仓配置!$AM$8)^(('实盘净值数据(iFinD公式)'!$A38-'实盘净值数据(iFinD公式)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公式)'!$A38="",'实盘净值数据(iFinD公式)'!$B38=""),"",分期持仓明细!$AB$22*SUMPRODUCT(分期持仓明细!$B$22:$Y$22,'实盘净值数据(iFinD公式)'!$B38:$Y38/'实盘净值数据(iFinD公式)'!$B$25:$Y$25)*(1-实盘持仓配置!$AM$9)^(('实盘净值数据(iFinD公式)'!$A38-'实盘净值数据(iFinD公式)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  <c r="T38" s="13"/>
      <c r="U38" s="16"/>
      <c r="V38" s="16"/>
    </row>
    <row r="39" spans="1:22">
      <c r="A39" s="15">
        <f>IF('实盘净值数据(iFinD公式)'!A39="","",'实盘净值数据(iFinD公式)'!A39)</f>
        <v>46240</v>
      </c>
      <c r="B39" s="13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配置!$AM$4)^(('实盘净值数据(iFinD公式)'!$A39-'实盘净值数据(iFinD公式)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配置!$AM$5)^(('实盘净值数据(iFinD公式)'!$A39-'实盘净值数据(iFinD公式)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配置!$AM$6)^(('实盘净值数据(iFinD公式)'!$A39-'实盘净值数据(iFinD公式)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公式)'!$A39="",'实盘净值数据(iFinD公式)'!$B39=""),"",分期持仓明细!$AB$20*SUMPRODUCT(分期持仓明细!$B$20:$Y$20,'实盘净值数据(iFinD公式)'!$B39:$Y39/'实盘净值数据(iFinD公式)'!$B$25:$Y$25)*(1-实盘持仓配置!$AM$7)^(('实盘净值数据(iFinD公式)'!$A39-'实盘净值数据(iFinD公式)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公式)'!$A39="",'实盘净值数据(iFinD公式)'!$B39=""),"",分期持仓明细!$AB$21*SUMPRODUCT(分期持仓明细!$B$21:$Y$21,'实盘净值数据(iFinD公式)'!$B39:$Y39/'实盘净值数据(iFinD公式)'!$B$25:$Y$25)*(1-实盘持仓配置!$AM$8)^(('实盘净值数据(iFinD公式)'!$A39-'实盘净值数据(iFinD公式)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公式)'!$A39="",'实盘净值数据(iFinD公式)'!$B39=""),"",分期持仓明细!$AB$22*SUMPRODUCT(分期持仓明细!$B$22:$Y$22,'实盘净值数据(iFinD公式)'!$B39:$Y39/'实盘净值数据(iFinD公式)'!$B$25:$Y$25)*(1-实盘持仓配置!$AM$9)^(('实盘净值数据(iFinD公式)'!$A39-'实盘净值数据(iFinD公式)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  <c r="T39" s="13"/>
      <c r="U39" s="16"/>
      <c r="V39" s="16"/>
    </row>
    <row r="40" spans="1:22">
      <c r="A40" s="15">
        <f>IF('实盘净值数据(iFinD公式)'!A40="","",'实盘净值数据(iFinD公式)'!A40)</f>
        <v>46241</v>
      </c>
      <c r="B40" s="13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配置!$AM$4)^(('实盘净值数据(iFinD公式)'!$A40-'实盘净值数据(iFinD公式)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配置!$AM$5)^(('实盘净值数据(iFinD公式)'!$A40-'实盘净值数据(iFinD公式)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配置!$AM$6)^(('实盘净值数据(iFinD公式)'!$A40-'实盘净值数据(iFinD公式)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公式)'!$A40="",'实盘净值数据(iFinD公式)'!$B40=""),"",分期持仓明细!$AB$20*SUMPRODUCT(分期持仓明细!$B$20:$Y$20,'实盘净值数据(iFinD公式)'!$B40:$Y40/'实盘净值数据(iFinD公式)'!$B$25:$Y$25)*(1-实盘持仓配置!$AM$7)^(('实盘净值数据(iFinD公式)'!$A40-'实盘净值数据(iFinD公式)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公式)'!$A40="",'实盘净值数据(iFinD公式)'!$B40=""),"",分期持仓明细!$AB$21*SUMPRODUCT(分期持仓明细!$B$21:$Y$21,'实盘净值数据(iFinD公式)'!$B40:$Y40/'实盘净值数据(iFinD公式)'!$B$25:$Y$25)*(1-实盘持仓配置!$AM$8)^(('实盘净值数据(iFinD公式)'!$A40-'实盘净值数据(iFinD公式)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公式)'!$A40="",'实盘净值数据(iFinD公式)'!$B40=""),"",分期持仓明细!$AB$22*SUMPRODUCT(分期持仓明细!$B$22:$Y$22,'实盘净值数据(iFinD公式)'!$B40:$Y40/'实盘净值数据(iFinD公式)'!$B$25:$Y$25)*(1-实盘持仓配置!$AM$9)^(('实盘净值数据(iFinD公式)'!$A40-'实盘净值数据(iFinD公式)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  <c r="T40" s="13"/>
      <c r="U40" s="16"/>
      <c r="V40" s="16"/>
    </row>
    <row r="41" spans="1:22">
      <c r="A41" s="15">
        <f>IF('实盘净值数据(iFinD公式)'!A41="","",'实盘净值数据(iFinD公式)'!A41)</f>
        <v>46244</v>
      </c>
      <c r="B41" s="13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配置!$AM$4)^(('实盘净值数据(iFinD公式)'!$A41-'实盘净值数据(iFinD公式)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配置!$AM$5)^(('实盘净值数据(iFinD公式)'!$A41-'实盘净值数据(iFinD公式)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配置!$AM$6)^(('实盘净值数据(iFinD公式)'!$A41-'实盘净值数据(iFinD公式)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公式)'!$A41="",'实盘净值数据(iFinD公式)'!$B41=""),"",分期持仓明细!$AB$20*SUMPRODUCT(分期持仓明细!$B$20:$Y$20,'实盘净值数据(iFinD公式)'!$B41:$Y41/'实盘净值数据(iFinD公式)'!$B$25:$Y$25)*(1-实盘持仓配置!$AM$7)^(('实盘净值数据(iFinD公式)'!$A41-'实盘净值数据(iFinD公式)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公式)'!$A41="",'实盘净值数据(iFinD公式)'!$B41=""),"",分期持仓明细!$AB$21*SUMPRODUCT(分期持仓明细!$B$21:$Y$21,'实盘净值数据(iFinD公式)'!$B41:$Y41/'实盘净值数据(iFinD公式)'!$B$25:$Y$25)*(1-实盘持仓配置!$AM$8)^(('实盘净值数据(iFinD公式)'!$A41-'实盘净值数据(iFinD公式)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公式)'!$A41="",'实盘净值数据(iFinD公式)'!$B41=""),"",分期持仓明细!$AB$22*SUMPRODUCT(分期持仓明细!$B$22:$Y$22,'实盘净值数据(iFinD公式)'!$B41:$Y41/'实盘净值数据(iFinD公式)'!$B$25:$Y$25)*(1-实盘持仓配置!$AM$9)^(('实盘净值数据(iFinD公式)'!$A41-'实盘净值数据(iFinD公式)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  <c r="T41" s="13"/>
      <c r="U41" s="16"/>
      <c r="V41" s="16"/>
    </row>
    <row r="42" spans="1:22">
      <c r="A42" s="15">
        <f>IF('实盘净值数据(iFinD公式)'!A42="","",'实盘净值数据(iFinD公式)'!A42)</f>
        <v>46245</v>
      </c>
      <c r="B42" s="13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配置!$AM$4)^(('实盘净值数据(iFinD公式)'!$A42-'实盘净值数据(iFinD公式)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配置!$AM$5)^(('实盘净值数据(iFinD公式)'!$A42-'实盘净值数据(iFinD公式)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配置!$AM$6)^(('实盘净值数据(iFinD公式)'!$A42-'实盘净值数据(iFinD公式)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公式)'!$A42="",'实盘净值数据(iFinD公式)'!$B42=""),"",分期持仓明细!$AB$20*SUMPRODUCT(分期持仓明细!$B$20:$Y$20,'实盘净值数据(iFinD公式)'!$B42:$Y42/'实盘净值数据(iFinD公式)'!$B$25:$Y$25)*(1-实盘持仓配置!$AM$7)^(('实盘净值数据(iFinD公式)'!$A42-'实盘净值数据(iFinD公式)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公式)'!$A42="",'实盘净值数据(iFinD公式)'!$B42=""),"",分期持仓明细!$AB$21*SUMPRODUCT(分期持仓明细!$B$21:$Y$21,'实盘净值数据(iFinD公式)'!$B42:$Y42/'实盘净值数据(iFinD公式)'!$B$25:$Y$25)*(1-实盘持仓配置!$AM$8)^(('实盘净值数据(iFinD公式)'!$A42-'实盘净值数据(iFinD公式)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公式)'!$A42="",'实盘净值数据(iFinD公式)'!$B42=""),"",分期持仓明细!$AB$22*SUMPRODUCT(分期持仓明细!$B$22:$Y$22,'实盘净值数据(iFinD公式)'!$B42:$Y42/'实盘净值数据(iFinD公式)'!$B$25:$Y$25)*(1-实盘持仓配置!$AM$9)^(('实盘净值数据(iFinD公式)'!$A42-'实盘净值数据(iFinD公式)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  <c r="T42" s="13"/>
      <c r="U42" s="16"/>
      <c r="V42" s="16"/>
    </row>
    <row r="43" spans="1:22">
      <c r="A43" s="15">
        <f>IF('实盘净值数据(iFinD公式)'!A43="","",'实盘净值数据(iFinD公式)'!A43)</f>
        <v>46246</v>
      </c>
      <c r="B43" s="13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配置!$AM$4)^(('实盘净值数据(iFinD公式)'!$A43-'实盘净值数据(iFinD公式)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配置!$AM$5)^(('实盘净值数据(iFinD公式)'!$A43-'实盘净值数据(iFinD公式)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配置!$AM$6)^(('实盘净值数据(iFinD公式)'!$A43-'实盘净值数据(iFinD公式)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公式)'!$A43="",'实盘净值数据(iFinD公式)'!$B43=""),"",分期持仓明细!$AB$20*SUMPRODUCT(分期持仓明细!$B$20:$Y$20,'实盘净值数据(iFinD公式)'!$B43:$Y43/'实盘净值数据(iFinD公式)'!$B$25:$Y$25)*(1-实盘持仓配置!$AM$7)^(('实盘净值数据(iFinD公式)'!$A43-'实盘净值数据(iFinD公式)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公式)'!$A43="",'实盘净值数据(iFinD公式)'!$B43=""),"",分期持仓明细!$AB$21*SUMPRODUCT(分期持仓明细!$B$21:$Y$21,'实盘净值数据(iFinD公式)'!$B43:$Y43/'实盘净值数据(iFinD公式)'!$B$25:$Y$25)*(1-实盘持仓配置!$AM$8)^(('实盘净值数据(iFinD公式)'!$A43-'实盘净值数据(iFinD公式)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公式)'!$A43="",'实盘净值数据(iFinD公式)'!$B43=""),"",分期持仓明细!$AB$22*SUMPRODUCT(分期持仓明细!$B$22:$Y$22,'实盘净值数据(iFinD公式)'!$B43:$Y43/'实盘净值数据(iFinD公式)'!$B$25:$Y$25)*(1-实盘持仓配置!$AM$9)^(('实盘净值数据(iFinD公式)'!$A43-'实盘净值数据(iFinD公式)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  <c r="T43" s="13"/>
      <c r="U43" s="16"/>
      <c r="V43" s="16"/>
    </row>
    <row r="44" spans="1:22">
      <c r="A44" s="15">
        <f>IF('实盘净值数据(iFinD公式)'!A44="","",'实盘净值数据(iFinD公式)'!A44)</f>
        <v>46247</v>
      </c>
      <c r="B44" s="13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配置!$AM$4)^(('实盘净值数据(iFinD公式)'!$A44-'实盘净值数据(iFinD公式)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配置!$AM$5)^(('实盘净值数据(iFinD公式)'!$A44-'实盘净值数据(iFinD公式)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配置!$AM$6)^(('实盘净值数据(iFinD公式)'!$A44-'实盘净值数据(iFinD公式)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公式)'!$A44="",'实盘净值数据(iFinD公式)'!$B44=""),"",分期持仓明细!$AB$20*SUMPRODUCT(分期持仓明细!$B$20:$Y$20,'实盘净值数据(iFinD公式)'!$B44:$Y44/'实盘净值数据(iFinD公式)'!$B$25:$Y$25)*(1-实盘持仓配置!$AM$7)^(('实盘净值数据(iFinD公式)'!$A44-'实盘净值数据(iFinD公式)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公式)'!$A44="",'实盘净值数据(iFinD公式)'!$B44=""),"",分期持仓明细!$AB$21*SUMPRODUCT(分期持仓明细!$B$21:$Y$21,'实盘净值数据(iFinD公式)'!$B44:$Y44/'实盘净值数据(iFinD公式)'!$B$25:$Y$25)*(1-实盘持仓配置!$AM$8)^(('实盘净值数据(iFinD公式)'!$A44-'实盘净值数据(iFinD公式)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公式)'!$A44="",'实盘净值数据(iFinD公式)'!$B44=""),"",分期持仓明细!$AB$22*SUMPRODUCT(分期持仓明细!$B$22:$Y$22,'实盘净值数据(iFinD公式)'!$B44:$Y44/'实盘净值数据(iFinD公式)'!$B$25:$Y$25)*(1-实盘持仓配置!$AM$9)^(('实盘净值数据(iFinD公式)'!$A44-'实盘净值数据(iFinD公式)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  <c r="T44" s="13"/>
      <c r="U44" s="16"/>
      <c r="V44" s="16"/>
    </row>
    <row r="45" spans="1:22">
      <c r="A45" s="15">
        <f>IF('实盘净值数据(iFinD公式)'!A45="","",'实盘净值数据(iFinD公式)'!A45)</f>
        <v>46248</v>
      </c>
      <c r="B45" s="13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配置!$AM$4)^(('实盘净值数据(iFinD公式)'!$A45-'实盘净值数据(iFinD公式)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配置!$AM$5)^(('实盘净值数据(iFinD公式)'!$A45-'实盘净值数据(iFinD公式)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配置!$AM$6)^(('实盘净值数据(iFinD公式)'!$A45-'实盘净值数据(iFinD公式)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公式)'!$A45="",'实盘净值数据(iFinD公式)'!$B45=""),"",分期持仓明细!$AB$20*SUMPRODUCT(分期持仓明细!$B$20:$Y$20,'实盘净值数据(iFinD公式)'!$B45:$Y45/'实盘净值数据(iFinD公式)'!$B$25:$Y$25)*(1-实盘持仓配置!$AM$7)^(('实盘净值数据(iFinD公式)'!$A45-'实盘净值数据(iFinD公式)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公式)'!$A45="",'实盘净值数据(iFinD公式)'!$B45=""),"",分期持仓明细!$AB$21*SUMPRODUCT(分期持仓明细!$B$21:$Y$21,'实盘净值数据(iFinD公式)'!$B45:$Y45/'实盘净值数据(iFinD公式)'!$B$25:$Y$25)*(1-实盘持仓配置!$AM$8)^(('实盘净值数据(iFinD公式)'!$A45-'实盘净值数据(iFinD公式)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公式)'!$A45="",'实盘净值数据(iFinD公式)'!$B45=""),"",分期持仓明细!$AB$22*SUMPRODUCT(分期持仓明细!$B$22:$Y$22,'实盘净值数据(iFinD公式)'!$B45:$Y45/'实盘净值数据(iFinD公式)'!$B$25:$Y$25)*(1-实盘持仓配置!$AM$9)^(('实盘净值数据(iFinD公式)'!$A45-'实盘净值数据(iFinD公式)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  <c r="T45" s="13"/>
      <c r="U45" s="16"/>
      <c r="V45" s="16"/>
    </row>
    <row r="46" spans="1:22">
      <c r="A46" s="15">
        <f>IF('实盘净值数据(iFinD公式)'!A46="","",'实盘净值数据(iFinD公式)'!A46)</f>
        <v>46251</v>
      </c>
      <c r="B46" s="13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配置!$AM$4)^(('实盘净值数据(iFinD公式)'!$A46-'实盘净值数据(iFinD公式)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配置!$AM$5)^(('实盘净值数据(iFinD公式)'!$A46-'实盘净值数据(iFinD公式)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配置!$AM$6)^(('实盘净值数据(iFinD公式)'!$A46-'实盘净值数据(iFinD公式)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公式)'!$A46="",'实盘净值数据(iFinD公式)'!$B46=""),"",分期持仓明细!$AB$20*SUMPRODUCT(分期持仓明细!$B$20:$Y$20,'实盘净值数据(iFinD公式)'!$B46:$Y46/'实盘净值数据(iFinD公式)'!$B$25:$Y$25)*(1-实盘持仓配置!$AM$7)^(('实盘净值数据(iFinD公式)'!$A46-'实盘净值数据(iFinD公式)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公式)'!$A46="",'实盘净值数据(iFinD公式)'!$B46=""),"",分期持仓明细!$AB$21*SUMPRODUCT(分期持仓明细!$B$21:$Y$21,'实盘净值数据(iFinD公式)'!$B46:$Y46/'实盘净值数据(iFinD公式)'!$B$25:$Y$25)*(1-实盘持仓配置!$AM$8)^(('实盘净值数据(iFinD公式)'!$A46-'实盘净值数据(iFinD公式)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公式)'!$A46="",'实盘净值数据(iFinD公式)'!$B46=""),"",分期持仓明细!$AB$22*SUMPRODUCT(分期持仓明细!$B$22:$Y$22,'实盘净值数据(iFinD公式)'!$B46:$Y46/'实盘净值数据(iFinD公式)'!$B$25:$Y$25)*(1-实盘持仓配置!$AM$9)^(('实盘净值数据(iFinD公式)'!$A46-'实盘净值数据(iFinD公式)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  <c r="T46" s="13"/>
      <c r="U46" s="16"/>
      <c r="V46" s="16"/>
    </row>
    <row r="47" spans="1:22">
      <c r="A47" s="15">
        <f>IF('实盘净值数据(iFinD公式)'!A47="","",'实盘净值数据(iFinD公式)'!A47)</f>
        <v>46252</v>
      </c>
      <c r="B47" s="13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配置!$AM$4)^(('实盘净值数据(iFinD公式)'!$A47-'实盘净值数据(iFinD公式)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配置!$AM$5)^(('实盘净值数据(iFinD公式)'!$A47-'实盘净值数据(iFinD公式)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配置!$AM$6)^(('实盘净值数据(iFinD公式)'!$A47-'实盘净值数据(iFinD公式)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公式)'!$A47="",'实盘净值数据(iFinD公式)'!$B47=""),"",分期持仓明细!$AB$20*SUMPRODUCT(分期持仓明细!$B$20:$Y$20,'实盘净值数据(iFinD公式)'!$B47:$Y47/'实盘净值数据(iFinD公式)'!$B$25:$Y$25)*(1-实盘持仓配置!$AM$7)^(('实盘净值数据(iFinD公式)'!$A47-'实盘净值数据(iFinD公式)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公式)'!$A47="",'实盘净值数据(iFinD公式)'!$B47=""),"",分期持仓明细!$AB$21*SUMPRODUCT(分期持仓明细!$B$21:$Y$21,'实盘净值数据(iFinD公式)'!$B47:$Y47/'实盘净值数据(iFinD公式)'!$B$25:$Y$25)*(1-实盘持仓配置!$AM$8)^(('实盘净值数据(iFinD公式)'!$A47-'实盘净值数据(iFinD公式)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公式)'!$A47="",'实盘净值数据(iFinD公式)'!$B47=""),"",分期持仓明细!$AB$22*SUMPRODUCT(分期持仓明细!$B$22:$Y$22,'实盘净值数据(iFinD公式)'!$B47:$Y47/'实盘净值数据(iFinD公式)'!$B$25:$Y$25)*(1-实盘持仓配置!$AM$9)^(('实盘净值数据(iFinD公式)'!$A47-'实盘净值数据(iFinD公式)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  <c r="T47" s="13"/>
      <c r="U47" s="16"/>
      <c r="V47" s="16"/>
    </row>
    <row r="48" spans="1:22">
      <c r="A48" s="15">
        <f>IF('实盘净值数据(iFinD公式)'!A48="","",'实盘净值数据(iFinD公式)'!A48)</f>
        <v>46253</v>
      </c>
      <c r="B48" s="13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配置!$AM$4)^(('实盘净值数据(iFinD公式)'!$A48-'实盘净值数据(iFinD公式)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配置!$AM$5)^(('实盘净值数据(iFinD公式)'!$A48-'实盘净值数据(iFinD公式)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配置!$AM$6)^(('实盘净值数据(iFinD公式)'!$A48-'实盘净值数据(iFinD公式)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公式)'!$A48="",'实盘净值数据(iFinD公式)'!$B48=""),"",分期持仓明细!$AB$20*SUMPRODUCT(分期持仓明细!$B$20:$Y$20,'实盘净值数据(iFinD公式)'!$B48:$Y48/'实盘净值数据(iFinD公式)'!$B$25:$Y$25)*(1-实盘持仓配置!$AM$7)^(('实盘净值数据(iFinD公式)'!$A48-'实盘净值数据(iFinD公式)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公式)'!$A48="",'实盘净值数据(iFinD公式)'!$B48=""),"",分期持仓明细!$AB$21*SUMPRODUCT(分期持仓明细!$B$21:$Y$21,'实盘净值数据(iFinD公式)'!$B48:$Y48/'实盘净值数据(iFinD公式)'!$B$25:$Y$25)*(1-实盘持仓配置!$AM$8)^(('实盘净值数据(iFinD公式)'!$A48-'实盘净值数据(iFinD公式)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公式)'!$A48="",'实盘净值数据(iFinD公式)'!$B48=""),"",分期持仓明细!$AB$22*SUMPRODUCT(分期持仓明细!$B$22:$Y$22,'实盘净值数据(iFinD公式)'!$B48:$Y48/'实盘净值数据(iFinD公式)'!$B$25:$Y$25)*(1-实盘持仓配置!$AM$9)^(('实盘净值数据(iFinD公式)'!$A48-'实盘净值数据(iFinD公式)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  <c r="T48" s="13"/>
      <c r="U48" s="16"/>
      <c r="V48" s="16"/>
    </row>
    <row r="49" spans="1:22">
      <c r="A49" s="15">
        <f>IF('实盘净值数据(iFinD公式)'!A49="","",'实盘净值数据(iFinD公式)'!A49)</f>
        <v>46254</v>
      </c>
      <c r="B49" s="13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配置!$AM$4)^(('实盘净值数据(iFinD公式)'!$A49-'实盘净值数据(iFinD公式)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配置!$AM$5)^(('实盘净值数据(iFinD公式)'!$A49-'实盘净值数据(iFinD公式)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配置!$AM$6)^(('实盘净值数据(iFinD公式)'!$A49-'实盘净值数据(iFinD公式)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公式)'!$A49="",'实盘净值数据(iFinD公式)'!$B49=""),"",分期持仓明细!$AB$20*SUMPRODUCT(分期持仓明细!$B$20:$Y$20,'实盘净值数据(iFinD公式)'!$B49:$Y49/'实盘净值数据(iFinD公式)'!$B$25:$Y$25)*(1-实盘持仓配置!$AM$7)^(('实盘净值数据(iFinD公式)'!$A49-'实盘净值数据(iFinD公式)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公式)'!$A49="",'实盘净值数据(iFinD公式)'!$B49=""),"",分期持仓明细!$AB$21*SUMPRODUCT(分期持仓明细!$B$21:$Y$21,'实盘净值数据(iFinD公式)'!$B49:$Y49/'实盘净值数据(iFinD公式)'!$B$25:$Y$25)*(1-实盘持仓配置!$AM$8)^(('实盘净值数据(iFinD公式)'!$A49-'实盘净值数据(iFinD公式)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公式)'!$A49="",'实盘净值数据(iFinD公式)'!$B49=""),"",分期持仓明细!$AB$22*SUMPRODUCT(分期持仓明细!$B$22:$Y$22,'实盘净值数据(iFinD公式)'!$B49:$Y49/'实盘净值数据(iFinD公式)'!$B$25:$Y$25)*(1-实盘持仓配置!$AM$9)^(('实盘净值数据(iFinD公式)'!$A49-'实盘净值数据(iFinD公式)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  <c r="T49" s="13"/>
      <c r="U49" s="16"/>
      <c r="V49" s="16"/>
    </row>
    <row r="50" spans="1:22">
      <c r="A50" s="15">
        <f>IF('实盘净值数据(iFinD公式)'!A50="","",'实盘净值数据(iFinD公式)'!A50)</f>
        <v>46255</v>
      </c>
      <c r="B50" s="13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配置!$AM$4)^(('实盘净值数据(iFinD公式)'!$A50-'实盘净值数据(iFinD公式)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配置!$AM$5)^(('实盘净值数据(iFinD公式)'!$A50-'实盘净值数据(iFinD公式)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配置!$AM$6)^(('实盘净值数据(iFinD公式)'!$A50-'实盘净值数据(iFinD公式)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公式)'!$A50="",'实盘净值数据(iFinD公式)'!$B50=""),"",分期持仓明细!$AB$20*SUMPRODUCT(分期持仓明细!$B$20:$Y$20,'实盘净值数据(iFinD公式)'!$B50:$Y50/'实盘净值数据(iFinD公式)'!$B$25:$Y$25)*(1-实盘持仓配置!$AM$7)^(('实盘净值数据(iFinD公式)'!$A50-'实盘净值数据(iFinD公式)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公式)'!$A50="",'实盘净值数据(iFinD公式)'!$B50=""),"",分期持仓明细!$AB$21*SUMPRODUCT(分期持仓明细!$B$21:$Y$21,'实盘净值数据(iFinD公式)'!$B50:$Y50/'实盘净值数据(iFinD公式)'!$B$25:$Y$25)*(1-实盘持仓配置!$AM$8)^(('实盘净值数据(iFinD公式)'!$A50-'实盘净值数据(iFinD公式)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公式)'!$A50="",'实盘净值数据(iFinD公式)'!$B50=""),"",分期持仓明细!$AB$22*SUMPRODUCT(分期持仓明细!$B$22:$Y$22,'实盘净值数据(iFinD公式)'!$B50:$Y50/'实盘净值数据(iFinD公式)'!$B$25:$Y$25)*(1-实盘持仓配置!$AM$9)^(('实盘净值数据(iFinD公式)'!$A50-'实盘净值数据(iFinD公式)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  <c r="T50" s="13"/>
      <c r="U50" s="16"/>
      <c r="V50" s="16"/>
    </row>
    <row r="51" spans="1:22">
      <c r="A51" s="15">
        <f>IF('实盘净值数据(iFinD公式)'!A51="","",'实盘净值数据(iFinD公式)'!A51)</f>
        <v>46258</v>
      </c>
      <c r="B51" s="13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配置!$AM$4)^(('实盘净值数据(iFinD公式)'!$A51-'实盘净值数据(iFinD公式)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配置!$AM$5)^(('实盘净值数据(iFinD公式)'!$A51-'实盘净值数据(iFinD公式)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配置!$AM$6)^(('实盘净值数据(iFinD公式)'!$A51-'实盘净值数据(iFinD公式)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公式)'!$A51="",'实盘净值数据(iFinD公式)'!$B51=""),"",分期持仓明细!$AB$20*SUMPRODUCT(分期持仓明细!$B$20:$Y$20,'实盘净值数据(iFinD公式)'!$B51:$Y51/'实盘净值数据(iFinD公式)'!$B$25:$Y$25)*(1-实盘持仓配置!$AM$7)^(('实盘净值数据(iFinD公式)'!$A51-'实盘净值数据(iFinD公式)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公式)'!$A51="",'实盘净值数据(iFinD公式)'!$B51=""),"",分期持仓明细!$AB$21*SUMPRODUCT(分期持仓明细!$B$21:$Y$21,'实盘净值数据(iFinD公式)'!$B51:$Y51/'实盘净值数据(iFinD公式)'!$B$25:$Y$25)*(1-实盘持仓配置!$AM$8)^(('实盘净值数据(iFinD公式)'!$A51-'实盘净值数据(iFinD公式)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公式)'!$A51="",'实盘净值数据(iFinD公式)'!$B51=""),"",分期持仓明细!$AB$22*SUMPRODUCT(分期持仓明细!$B$22:$Y$22,'实盘净值数据(iFinD公式)'!$B51:$Y51/'实盘净值数据(iFinD公式)'!$B$25:$Y$25)*(1-实盘持仓配置!$AM$9)^(('实盘净值数据(iFinD公式)'!$A51-'实盘净值数据(iFinD公式)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  <c r="T51" s="13"/>
      <c r="U51" s="16"/>
      <c r="V51" s="16"/>
    </row>
    <row r="52" spans="1:22">
      <c r="A52" s="15">
        <f>IF('实盘净值数据(iFinD公式)'!A52="","",'实盘净值数据(iFinD公式)'!A52)</f>
        <v>46259</v>
      </c>
      <c r="B52" s="13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配置!$AM$4)^(('实盘净值数据(iFinD公式)'!$A52-'实盘净值数据(iFinD公式)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配置!$AM$5)^(('实盘净值数据(iFinD公式)'!$A52-'实盘净值数据(iFinD公式)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配置!$AM$6)^(('实盘净值数据(iFinD公式)'!$A52-'实盘净值数据(iFinD公式)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公式)'!$A52="",'实盘净值数据(iFinD公式)'!$B52=""),"",分期持仓明细!$AB$20*SUMPRODUCT(分期持仓明细!$B$20:$Y$20,'实盘净值数据(iFinD公式)'!$B52:$Y52/'实盘净值数据(iFinD公式)'!$B$25:$Y$25)*(1-实盘持仓配置!$AM$7)^(('实盘净值数据(iFinD公式)'!$A52-'实盘净值数据(iFinD公式)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公式)'!$A52="",'实盘净值数据(iFinD公式)'!$B52=""),"",分期持仓明细!$AB$21*SUMPRODUCT(分期持仓明细!$B$21:$Y$21,'实盘净值数据(iFinD公式)'!$B52:$Y52/'实盘净值数据(iFinD公式)'!$B$25:$Y$25)*(1-实盘持仓配置!$AM$8)^(('实盘净值数据(iFinD公式)'!$A52-'实盘净值数据(iFinD公式)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公式)'!$A52="",'实盘净值数据(iFinD公式)'!$B52=""),"",分期持仓明细!$AB$22*SUMPRODUCT(分期持仓明细!$B$22:$Y$22,'实盘净值数据(iFinD公式)'!$B52:$Y52/'实盘净值数据(iFinD公式)'!$B$25:$Y$25)*(1-实盘持仓配置!$AM$9)^(('实盘净值数据(iFinD公式)'!$A52-'实盘净值数据(iFinD公式)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  <c r="T52" s="13"/>
      <c r="U52" s="16"/>
      <c r="V52" s="16"/>
    </row>
    <row r="53" spans="1:22">
      <c r="A53" s="15">
        <f>IF('实盘净值数据(iFinD公式)'!A53="","",'实盘净值数据(iFinD公式)'!A53)</f>
        <v>46260</v>
      </c>
      <c r="B53" s="13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配置!$AM$4)^(('实盘净值数据(iFinD公式)'!$A53-'实盘净值数据(iFinD公式)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配置!$AM$5)^(('实盘净值数据(iFinD公式)'!$A53-'实盘净值数据(iFinD公式)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配置!$AM$6)^(('实盘净值数据(iFinD公式)'!$A53-'实盘净值数据(iFinD公式)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公式)'!$A53="",'实盘净值数据(iFinD公式)'!$B53=""),"",分期持仓明细!$AB$20*SUMPRODUCT(分期持仓明细!$B$20:$Y$20,'实盘净值数据(iFinD公式)'!$B53:$Y53/'实盘净值数据(iFinD公式)'!$B$25:$Y$25)*(1-实盘持仓配置!$AM$7)^(('实盘净值数据(iFinD公式)'!$A53-'实盘净值数据(iFinD公式)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公式)'!$A53="",'实盘净值数据(iFinD公式)'!$B53=""),"",分期持仓明细!$AB$21*SUMPRODUCT(分期持仓明细!$B$21:$Y$21,'实盘净值数据(iFinD公式)'!$B53:$Y53/'实盘净值数据(iFinD公式)'!$B$25:$Y$25)*(1-实盘持仓配置!$AM$8)^(('实盘净值数据(iFinD公式)'!$A53-'实盘净值数据(iFinD公式)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公式)'!$A53="",'实盘净值数据(iFinD公式)'!$B53=""),"",分期持仓明细!$AB$22*SUMPRODUCT(分期持仓明细!$B$22:$Y$22,'实盘净值数据(iFinD公式)'!$B53:$Y53/'实盘净值数据(iFinD公式)'!$B$25:$Y$25)*(1-实盘持仓配置!$AM$9)^(('实盘净值数据(iFinD公式)'!$A53-'实盘净值数据(iFinD公式)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  <c r="T53" s="13"/>
      <c r="U53" s="16"/>
      <c r="V53" s="16"/>
    </row>
    <row r="54" spans="1:22">
      <c r="A54" s="15">
        <f>IF('实盘净值数据(iFinD公式)'!A54="","",'实盘净值数据(iFinD公式)'!A54)</f>
        <v>46261</v>
      </c>
      <c r="B54" s="13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配置!$AM$4)^(('实盘净值数据(iFinD公式)'!$A54-'实盘净值数据(iFinD公式)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配置!$AM$5)^(('实盘净值数据(iFinD公式)'!$A54-'实盘净值数据(iFinD公式)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配置!$AM$6)^(('实盘净值数据(iFinD公式)'!$A54-'实盘净值数据(iFinD公式)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公式)'!$A54="",'实盘净值数据(iFinD公式)'!$B54=""),"",分期持仓明细!$AB$20*SUMPRODUCT(分期持仓明细!$B$20:$Y$20,'实盘净值数据(iFinD公式)'!$B54:$Y54/'实盘净值数据(iFinD公式)'!$B$25:$Y$25)*(1-实盘持仓配置!$AM$7)^(('实盘净值数据(iFinD公式)'!$A54-'实盘净值数据(iFinD公式)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公式)'!$A54="",'实盘净值数据(iFinD公式)'!$B54=""),"",分期持仓明细!$AB$21*SUMPRODUCT(分期持仓明细!$B$21:$Y$21,'实盘净值数据(iFinD公式)'!$B54:$Y54/'实盘净值数据(iFinD公式)'!$B$25:$Y$25)*(1-实盘持仓配置!$AM$8)^(('实盘净值数据(iFinD公式)'!$A54-'实盘净值数据(iFinD公式)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公式)'!$A54="",'实盘净值数据(iFinD公式)'!$B54=""),"",分期持仓明细!$AB$22*SUMPRODUCT(分期持仓明细!$B$22:$Y$22,'实盘净值数据(iFinD公式)'!$B54:$Y54/'实盘净值数据(iFinD公式)'!$B$25:$Y$25)*(1-实盘持仓配置!$AM$9)^(('实盘净值数据(iFinD公式)'!$A54-'实盘净值数据(iFinD公式)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  <c r="T54" s="13"/>
      <c r="U54" s="16"/>
      <c r="V54" s="16"/>
    </row>
    <row r="55" spans="1:22">
      <c r="A55" s="15">
        <f>IF('实盘净值数据(iFinD公式)'!A55="","",'实盘净值数据(iFinD公式)'!A55)</f>
        <v>46262</v>
      </c>
      <c r="B55" s="13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配置!$AM$4)^(('实盘净值数据(iFinD公式)'!$A55-'实盘净值数据(iFinD公式)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配置!$AM$5)^(('实盘净值数据(iFinD公式)'!$A55-'实盘净值数据(iFinD公式)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配置!$AM$6)^(('实盘净值数据(iFinD公式)'!$A55-'实盘净值数据(iFinD公式)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公式)'!$A55="",'实盘净值数据(iFinD公式)'!$B55=""),"",分期持仓明细!$AB$20*SUMPRODUCT(分期持仓明细!$B$20:$Y$20,'实盘净值数据(iFinD公式)'!$B55:$Y55/'实盘净值数据(iFinD公式)'!$B$25:$Y$25)*(1-实盘持仓配置!$AM$7)^(('实盘净值数据(iFinD公式)'!$A55-'实盘净值数据(iFinD公式)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公式)'!$A55="",'实盘净值数据(iFinD公式)'!$B55=""),"",分期持仓明细!$AB$21*SUMPRODUCT(分期持仓明细!$B$21:$Y$21,'实盘净值数据(iFinD公式)'!$B55:$Y55/'实盘净值数据(iFinD公式)'!$B$25:$Y$25)*(1-实盘持仓配置!$AM$8)^(('实盘净值数据(iFinD公式)'!$A55-'实盘净值数据(iFinD公式)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公式)'!$A55="",'实盘净值数据(iFinD公式)'!$B55=""),"",分期持仓明细!$AB$22*SUMPRODUCT(分期持仓明细!$B$22:$Y$22,'实盘净值数据(iFinD公式)'!$B55:$Y55/'实盘净值数据(iFinD公式)'!$B$25:$Y$25)*(1-实盘持仓配置!$AM$9)^(('实盘净值数据(iFinD公式)'!$A55-'实盘净值数据(iFinD公式)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  <c r="T55" s="13"/>
      <c r="U55" s="16"/>
      <c r="V55" s="16"/>
    </row>
    <row r="56" spans="1:22">
      <c r="A56" s="15">
        <f>IF('实盘净值数据(iFinD公式)'!A56="","",'实盘净值数据(iFinD公式)'!A56)</f>
        <v>46265</v>
      </c>
      <c r="B56" s="13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配置!$AM$4)^(('实盘净值数据(iFinD公式)'!$A56-'实盘净值数据(iFinD公式)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配置!$AM$5)^(('实盘净值数据(iFinD公式)'!$A56-'实盘净值数据(iFinD公式)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配置!$AM$6)^(('实盘净值数据(iFinD公式)'!$A56-'实盘净值数据(iFinD公式)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公式)'!$A56="",'实盘净值数据(iFinD公式)'!$B56=""),"",分期持仓明细!$AB$20*SUMPRODUCT(分期持仓明细!$B$20:$Y$20,'实盘净值数据(iFinD公式)'!$B56:$Y56/'实盘净值数据(iFinD公式)'!$B$25:$Y$25)*(1-实盘持仓配置!$AM$7)^(('实盘净值数据(iFinD公式)'!$A56-'实盘净值数据(iFinD公式)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公式)'!$A56="",'实盘净值数据(iFinD公式)'!$B56=""),"",分期持仓明细!$AB$21*SUMPRODUCT(分期持仓明细!$B$21:$Y$21,'实盘净值数据(iFinD公式)'!$B56:$Y56/'实盘净值数据(iFinD公式)'!$B$25:$Y$25)*(1-实盘持仓配置!$AM$8)^(('实盘净值数据(iFinD公式)'!$A56-'实盘净值数据(iFinD公式)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公式)'!$A56="",'实盘净值数据(iFinD公式)'!$B56=""),"",分期持仓明细!$AB$22*SUMPRODUCT(分期持仓明细!$B$22:$Y$22,'实盘净值数据(iFinD公式)'!$B56:$Y56/'实盘净值数据(iFinD公式)'!$B$25:$Y$25)*(1-实盘持仓配置!$AM$9)^(('实盘净值数据(iFinD公式)'!$A56-'实盘净值数据(iFinD公式)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  <c r="T56" s="13"/>
      <c r="U56" s="16"/>
      <c r="V56" s="16"/>
    </row>
    <row r="57" spans="1:22">
      <c r="A57" s="15">
        <f>IF('实盘净值数据(iFinD公式)'!A57="","",'实盘净值数据(iFinD公式)'!A57)</f>
        <v>46266</v>
      </c>
      <c r="B57" s="13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配置!$AM$4)^(('实盘净值数据(iFinD公式)'!$A57-'实盘净值数据(iFinD公式)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配置!$AM$5)^(('实盘净值数据(iFinD公式)'!$A57-'实盘净值数据(iFinD公式)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配置!$AM$6)^(('实盘净值数据(iFinD公式)'!$A57-'实盘净值数据(iFinD公式)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公式)'!$A57="",'实盘净值数据(iFinD公式)'!$B57=""),"",分期持仓明细!$AB$20*SUMPRODUCT(分期持仓明细!$B$20:$Y$20,'实盘净值数据(iFinD公式)'!$B57:$Y57/'实盘净值数据(iFinD公式)'!$B$25:$Y$25)*(1-实盘持仓配置!$AM$7)^(('实盘净值数据(iFinD公式)'!$A57-'实盘净值数据(iFinD公式)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公式)'!$A57="",'实盘净值数据(iFinD公式)'!$B57=""),"",分期持仓明细!$AB$21*SUMPRODUCT(分期持仓明细!$B$21:$Y$21,'实盘净值数据(iFinD公式)'!$B57:$Y57/'实盘净值数据(iFinD公式)'!$B$25:$Y$25)*(1-实盘持仓配置!$AM$8)^(('实盘净值数据(iFinD公式)'!$A57-'实盘净值数据(iFinD公式)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公式)'!$A57="",'实盘净值数据(iFinD公式)'!$B57=""),"",分期持仓明细!$AB$22*SUMPRODUCT(分期持仓明细!$B$22:$Y$22,'实盘净值数据(iFinD公式)'!$B57:$Y57/'实盘净值数据(iFinD公式)'!$B$25:$Y$25)*(1-实盘持仓配置!$AM$9)^(('实盘净值数据(iFinD公式)'!$A57-'实盘净值数据(iFinD公式)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  <c r="T57" s="13"/>
      <c r="U57" s="16"/>
      <c r="V57" s="16"/>
    </row>
    <row r="58" spans="1:22">
      <c r="A58" s="15">
        <f>IF('实盘净值数据(iFinD公式)'!A58="","",'实盘净值数据(iFinD公式)'!A58)</f>
        <v>46267</v>
      </c>
      <c r="B58" s="13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配置!$AM$4)^(('实盘净值数据(iFinD公式)'!$A58-'实盘净值数据(iFinD公式)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配置!$AM$5)^(('实盘净值数据(iFinD公式)'!$A58-'实盘净值数据(iFinD公式)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配置!$AM$6)^(('实盘净值数据(iFinD公式)'!$A58-'实盘净值数据(iFinD公式)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公式)'!$A58="",'实盘净值数据(iFinD公式)'!$B58=""),"",分期持仓明细!$AB$20*SUMPRODUCT(分期持仓明细!$B$20:$Y$20,'实盘净值数据(iFinD公式)'!$B58:$Y58/'实盘净值数据(iFinD公式)'!$B$25:$Y$25)*(1-实盘持仓配置!$AM$7)^(('实盘净值数据(iFinD公式)'!$A58-'实盘净值数据(iFinD公式)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公式)'!$A58="",'实盘净值数据(iFinD公式)'!$B58=""),"",分期持仓明细!$AB$21*SUMPRODUCT(分期持仓明细!$B$21:$Y$21,'实盘净值数据(iFinD公式)'!$B58:$Y58/'实盘净值数据(iFinD公式)'!$B$25:$Y$25)*(1-实盘持仓配置!$AM$8)^(('实盘净值数据(iFinD公式)'!$A58-'实盘净值数据(iFinD公式)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公式)'!$A58="",'实盘净值数据(iFinD公式)'!$B58=""),"",分期持仓明细!$AB$22*SUMPRODUCT(分期持仓明细!$B$22:$Y$22,'实盘净值数据(iFinD公式)'!$B58:$Y58/'实盘净值数据(iFinD公式)'!$B$25:$Y$25)*(1-实盘持仓配置!$AM$9)^(('实盘净值数据(iFinD公式)'!$A58-'实盘净值数据(iFinD公式)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  <c r="T58" s="13"/>
      <c r="U58" s="16"/>
      <c r="V58" s="16"/>
    </row>
    <row r="59" spans="1:22">
      <c r="A59" s="15">
        <f>IF('实盘净值数据(iFinD公式)'!A59="","",'实盘净值数据(iFinD公式)'!A59)</f>
        <v>46268</v>
      </c>
      <c r="B59" s="13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配置!$AM$4)^(('实盘净值数据(iFinD公式)'!$A59-'实盘净值数据(iFinD公式)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配置!$AM$5)^(('实盘净值数据(iFinD公式)'!$A59-'实盘净值数据(iFinD公式)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配置!$AM$6)^(('实盘净值数据(iFinD公式)'!$A59-'实盘净值数据(iFinD公式)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公式)'!$A59="",'实盘净值数据(iFinD公式)'!$B59=""),"",分期持仓明细!$AB$20*SUMPRODUCT(分期持仓明细!$B$20:$Y$20,'实盘净值数据(iFinD公式)'!$B59:$Y59/'实盘净值数据(iFinD公式)'!$B$25:$Y$25)*(1-实盘持仓配置!$AM$7)^(('实盘净值数据(iFinD公式)'!$A59-'实盘净值数据(iFinD公式)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公式)'!$A59="",'实盘净值数据(iFinD公式)'!$B59=""),"",分期持仓明细!$AB$21*SUMPRODUCT(分期持仓明细!$B$21:$Y$21,'实盘净值数据(iFinD公式)'!$B59:$Y59/'实盘净值数据(iFinD公式)'!$B$25:$Y$25)*(1-实盘持仓配置!$AM$8)^(('实盘净值数据(iFinD公式)'!$A59-'实盘净值数据(iFinD公式)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公式)'!$A59="",'实盘净值数据(iFinD公式)'!$B59=""),"",分期持仓明细!$AB$22*SUMPRODUCT(分期持仓明细!$B$22:$Y$22,'实盘净值数据(iFinD公式)'!$B59:$Y59/'实盘净值数据(iFinD公式)'!$B$25:$Y$25)*(1-实盘持仓配置!$AM$9)^(('实盘净值数据(iFinD公式)'!$A59-'实盘净值数据(iFinD公式)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  <c r="T59" s="13"/>
      <c r="U59" s="16"/>
      <c r="V59" s="16"/>
    </row>
    <row r="60" spans="1:22">
      <c r="A60" s="15">
        <f>IF('实盘净值数据(iFinD公式)'!A60="","",'实盘净值数据(iFinD公式)'!A60)</f>
        <v>46269</v>
      </c>
      <c r="B60" s="13">
        <f>IF(OR('实盘净值数据(iFinD公式)'!$A60="",'实盘净值数据(iFinD公式)'!$B60=""),"",分期持仓明细!$AB$17*SUMPRODUCT(分期持仓明细!$B$17:$Y$17,'实盘净值数据(iFinD公式)'!$B60:$Y60/'实盘净值数据(iFinD公式)'!$B$20:$Y$20)*(1-实盘持仓配置!$AM$4)^(('实盘净值数据(iFinD公式)'!$A60-'实盘净值数据(iFinD公式)'!$A$6)/365))</f>
        <v>0.76892611058517346</v>
      </c>
      <c r="C60" s="16">
        <f t="shared" ref="C60:C69" si="6">IF(OR(B59="",B60=""),"",B60/B59-1)</f>
        <v>-2.4784346636149701E-2</v>
      </c>
      <c r="D60" s="16">
        <f>IF(B60="","",B60/MAX(B$5:B60)-1)</f>
        <v>-0.28461868678830626</v>
      </c>
      <c r="E60" s="13">
        <f>IF(OR('实盘净值数据(iFinD公式)'!$A60="",'实盘净值数据(iFinD公式)'!$B60=""),"",分期持仓明细!$AB$18*SUMPRODUCT(分期持仓明细!$B$18:$Y$18,'实盘净值数据(iFinD公式)'!$B60:$Y60/'实盘净值数据(iFinD公式)'!$B$20:$Y$20)*(1-实盘持仓配置!$AM$5)^(('实盘净值数据(iFinD公式)'!$A60-'实盘净值数据(iFinD公式)'!$A$5)/365))</f>
        <v>0.78689307916126394</v>
      </c>
      <c r="F60" s="16">
        <f t="shared" ref="F60:F69" si="7">IF(OR(E59="",E60=""),"",E60/E59-1)</f>
        <v>-2.4780898323350731E-2</v>
      </c>
      <c r="G60" s="16">
        <f>IF(E60="","",E60/MAX(E$5:E60)-1)</f>
        <v>-0.28447149522774873</v>
      </c>
      <c r="H60" s="13">
        <f>IF(OR('实盘净值数据(iFinD公式)'!$A60="",'实盘净值数据(iFinD公式)'!$B60=""),"",分期持仓明细!$AB$19*SUMPRODUCT(分期持仓明细!$B$19:$Y$19,'实盘净值数据(iFinD公式)'!$B60:$Y60/'实盘净值数据(iFinD公式)'!$B$20:$Y$20)*(1-实盘持仓配置!$AM$6)^(('实盘净值数据(iFinD公式)'!$A60-'实盘净值数据(iFinD公式)'!$A$7)/365))</f>
        <v>0.78467341959258174</v>
      </c>
      <c r="I60" s="16">
        <f t="shared" ref="I60:I69" si="8">IF(OR(H59="",H60=""),"",H60/H59-1)</f>
        <v>-2.7061315006505104E-2</v>
      </c>
      <c r="J60" s="16">
        <f>IF(H60="","",H60/MAX(H$5:H60)-1)</f>
        <v>-0.29417226446510758</v>
      </c>
      <c r="K60" s="13">
        <f>IF(OR('实盘净值数据(iFinD公式)'!$A60="",'实盘净值数据(iFinD公式)'!$B60=""),"",分期持仓明细!$AB$20*SUMPRODUCT(分期持仓明细!$B$20:$Y$20,'实盘净值数据(iFinD公式)'!$B60:$Y60/'实盘净值数据(iFinD公式)'!$B$25:$Y$25)*(1-实盘持仓配置!$AM$7)^(('实盘净值数据(iFinD公式)'!$A60-'实盘净值数据(iFinD公式)'!$A$8)/365))</f>
        <v>0.98996201248663152</v>
      </c>
      <c r="L60" s="16">
        <f t="shared" ref="L60:L69" si="9">IF(OR(K59="",K60=""),"",K60/K59-1)</f>
        <v>-1.4156228307373731E-3</v>
      </c>
      <c r="M60" s="16">
        <f>IF(K60="","",K60/MAX(K$5:K60)-1)</f>
        <v>-1.3266573002785109E-2</v>
      </c>
      <c r="N60" s="13">
        <f>IF(OR('实盘净值数据(iFinD公式)'!$A60="",'实盘净值数据(iFinD公式)'!$B60=""),"",分期持仓明细!$AB$21*SUMPRODUCT(分期持仓明细!$B$21:$Y$21,'实盘净值数据(iFinD公式)'!$B60:$Y60/'实盘净值数据(iFinD公式)'!$B$25:$Y$25)*(1-实盘持仓配置!$AM$8)^(('实盘净值数据(iFinD公式)'!$A60-'实盘净值数据(iFinD公式)'!$A$5)/365))</f>
        <v>0.98992443341714009</v>
      </c>
      <c r="O60" s="16">
        <f t="shared" ref="O60:O69" si="10">IF(OR(N59="",N60=""),"",N60/N59-1)</f>
        <v>-1.376379221396995E-3</v>
      </c>
      <c r="P60" s="16">
        <f>IF(N60="","",N60/MAX(N$5:N60)-1)</f>
        <v>-1.2751148339122609E-2</v>
      </c>
      <c r="Q60" s="13">
        <f>IF(OR('实盘净值数据(iFinD公式)'!$A60="",'实盘净值数据(iFinD公式)'!$B60=""),"",分期持仓明细!$AB$22*SUMPRODUCT(分期持仓明细!$B$22:$Y$22,'实盘净值数据(iFinD公式)'!$B60:$Y60/'实盘净值数据(iFinD公式)'!$B$25:$Y$25)*(1-实盘持仓配置!$AM$9)^(('实盘净值数据(iFinD公式)'!$A60-'实盘净值数据(iFinD公式)'!$A$8)/365))</f>
        <v>0.95353177722050331</v>
      </c>
      <c r="R60" s="16">
        <f t="shared" ref="R60:R69" si="11">IF(OR(Q59="",Q60=""),"",Q60/Q59-1)</f>
        <v>-5.0361644454975929E-3</v>
      </c>
      <c r="S60" s="16">
        <f>IF(Q60="","",Q60/MAX(Q$5:Q60)-1)</f>
        <v>-5.475037816142847E-2</v>
      </c>
      <c r="T60" s="13"/>
      <c r="U60" s="16"/>
      <c r="V60" s="16"/>
    </row>
    <row r="61" spans="1:22" ht="14.25" customHeight="1">
      <c r="A61" s="15">
        <f>IF('实盘净值数据(iFinD公式)'!A61="","",'实盘净值数据(iFinD公式)'!A61)</f>
        <v>46272</v>
      </c>
      <c r="B61" s="13">
        <f>IF(OR('实盘净值数据(iFinD公式)'!$A61="",'实盘净值数据(iFinD公式)'!$B61=""),"",分期持仓明细!$AB$17*SUMPRODUCT(分期持仓明细!$B$17:$Y$17,'实盘净值数据(iFinD公式)'!$B61:$Y61/'实盘净值数据(iFinD公式)'!$B$20:$Y$20)*(1-实盘持仓配置!$AM$4)^(('实盘净值数据(iFinD公式)'!$A61-'实盘净值数据(iFinD公式)'!$A$6)/365))</f>
        <v>0.81281403528418172</v>
      </c>
      <c r="C61" s="16">
        <f t="shared" si="6"/>
        <v>5.7076907774153085E-2</v>
      </c>
      <c r="D61" s="16">
        <f>IF(B61="","",B61/MAX(B$5:B61)-1)</f>
        <v>-0.24378693355076986</v>
      </c>
      <c r="E61" s="13">
        <f>IF(OR('实盘净值数据(iFinD公式)'!$A61="",'实盘净值数据(iFinD公式)'!$B61=""),"",分期持仓明细!$AB$18*SUMPRODUCT(分期持仓明细!$B$18:$Y$18,'实盘净值数据(iFinD公式)'!$B61:$Y61/'实盘净值数据(iFinD公式)'!$B$20:$Y$20)*(1-实盘持仓配置!$AM$5)^(('实盘净值数据(iFinD公式)'!$A61-'实盘净值数据(iFinD公式)'!$A$5)/365))</f>
        <v>0.83193295898880537</v>
      </c>
      <c r="F61" s="16">
        <f t="shared" si="7"/>
        <v>5.723761082706269E-2</v>
      </c>
      <c r="G61" s="16">
        <f>IF(E61="","",E61/MAX(E$5:E61)-1)</f>
        <v>-0.24351635313592457</v>
      </c>
      <c r="H61" s="13">
        <f>IF(OR('实盘净值数据(iFinD公式)'!$A61="",'实盘净值数据(iFinD公式)'!$B61=""),"",分期持仓明细!$AB$19*SUMPRODUCT(分期持仓明细!$B$19:$Y$19,'实盘净值数据(iFinD公式)'!$B61:$Y61/'实盘净值数据(iFinD公式)'!$B$20:$Y$20)*(1-实盘持仓配置!$AM$6)^(('实盘净值数据(iFinD公式)'!$A61-'实盘净值数据(iFinD公式)'!$A$7)/365))</f>
        <v>0.82687940469607291</v>
      </c>
      <c r="I61" s="16">
        <f t="shared" si="8"/>
        <v>5.3787963310144127E-2</v>
      </c>
      <c r="J61" s="16">
        <f>IF(H61="","",H61/MAX(H$5:H61)-1)</f>
        <v>-0.25620722812287466</v>
      </c>
      <c r="K61" s="13">
        <f>IF(OR('实盘净值数据(iFinD公式)'!$A61="",'实盘净值数据(iFinD公式)'!$B61=""),"",分期持仓明细!$AB$20*SUMPRODUCT(分期持仓明细!$B$20:$Y$20,'实盘净值数据(iFinD公式)'!$B61:$Y61/'实盘净值数据(iFinD公式)'!$B$25:$Y$25)*(1-实盘持仓配置!$AM$7)^(('实盘净值数据(iFinD公式)'!$A61-'实盘净值数据(iFinD公式)'!$A$8)/365))</f>
        <v>0.99258684475046999</v>
      </c>
      <c r="L61" s="16">
        <f t="shared" si="9"/>
        <v>2.6514474603376303E-3</v>
      </c>
      <c r="M61" s="16">
        <f>IF(K61="","",K61/MAX(K$5:K61)-1)</f>
        <v>-1.0650301163743103E-2</v>
      </c>
      <c r="N61" s="13">
        <f>IF(OR('实盘净值数据(iFinD公式)'!$A61="",'实盘净值数据(iFinD公式)'!$B61=""),"",分期持仓明细!$AB$21*SUMPRODUCT(分期持仓明细!$B$21:$Y$21,'实盘净值数据(iFinD公式)'!$B61:$Y61/'实盘净值数据(iFinD公式)'!$B$25:$Y$25)*(1-实盘持仓配置!$AM$8)^(('实盘净值数据(iFinD公式)'!$A61-'实盘净值数据(iFinD公式)'!$A$5)/365))</f>
        <v>0.99288752592822493</v>
      </c>
      <c r="O61" s="16">
        <f t="shared" si="10"/>
        <v>2.9932512129804412E-3</v>
      </c>
      <c r="P61" s="16">
        <f>IF(N61="","",N61/MAX(N$5:N61)-1)</f>
        <v>-9.796064516375047E-3</v>
      </c>
      <c r="Q61" s="13">
        <f>IF(OR('实盘净值数据(iFinD公式)'!$A61="",'实盘净值数据(iFinD公式)'!$B61=""),"",分期持仓明细!$AB$22*SUMPRODUCT(分期持仓明细!$B$22:$Y$22,'实盘净值数据(iFinD公式)'!$B61:$Y61/'实盘净值数据(iFinD公式)'!$B$25:$Y$25)*(1-实盘持仓配置!$AM$9)^(('实盘净值数据(iFinD公式)'!$A61-'实盘净值数据(iFinD公式)'!$A$8)/365))</f>
        <v>0.96164033211582012</v>
      </c>
      <c r="R61" s="16">
        <f t="shared" si="11"/>
        <v>8.5037070489175637E-3</v>
      </c>
      <c r="S61" s="16">
        <f>IF(Q61="","",Q61/MAX(Q$5:Q61)-1)</f>
        <v>-4.6712252289213163E-2</v>
      </c>
      <c r="T61" s="13"/>
      <c r="U61" s="16"/>
      <c r="V61" s="16"/>
    </row>
    <row r="62" spans="1:22">
      <c r="A62" s="15">
        <f>IF('实盘净值数据(iFinD公式)'!A62="","",'实盘净值数据(iFinD公式)'!A62)</f>
        <v>46273</v>
      </c>
      <c r="B62" s="13">
        <f>IF(OR('实盘净值数据(iFinD公式)'!$A62="",'实盘净值数据(iFinD公式)'!$B62=""),"",分期持仓明细!$AB$17*SUMPRODUCT(分期持仓明细!$B$17:$Y$17,'实盘净值数据(iFinD公式)'!$B62:$Y62/'实盘净值数据(iFinD公式)'!$B$20:$Y$20)*(1-实盘持仓配置!$AM$4)^(('实盘净值数据(iFinD公式)'!$A62-'实盘净值数据(iFinD公式)'!$A$6)/365))</f>
        <v>0.80503419454881331</v>
      </c>
      <c r="C62" s="16">
        <f t="shared" si="6"/>
        <v>-9.5714891692887383E-3</v>
      </c>
      <c r="D62" s="16">
        <f>IF(B62="","",B62/MAX(B$5:B62)-1)</f>
        <v>-0.25102501872596328</v>
      </c>
      <c r="E62" s="13">
        <f>IF(OR('实盘净值数据(iFinD公式)'!$A62="",'实盘净值数据(iFinD公式)'!$B62=""),"",分期持仓明细!$AB$18*SUMPRODUCT(分期持仓明细!$B$18:$Y$18,'实盘净值数据(iFinD公式)'!$B62:$Y62/'实盘净值数据(iFinD公式)'!$B$20:$Y$20)*(1-实盘持仓配置!$AM$5)^(('实盘净值数据(iFinD公式)'!$A62-'实盘净值数据(iFinD公式)'!$A$5)/365))</f>
        <v>0.82398386294683612</v>
      </c>
      <c r="F62" s="16">
        <f t="shared" si="7"/>
        <v>-9.5549718953690244E-3</v>
      </c>
      <c r="G62" s="16">
        <f>IF(E62="","",E62/MAX(E$5:E62)-1)</f>
        <v>-0.25074453312101708</v>
      </c>
      <c r="H62" s="13">
        <f>IF(OR('实盘净值数据(iFinD公式)'!$A62="",'实盘净值数据(iFinD公式)'!$B62=""),"",分期持仓明细!$AB$19*SUMPRODUCT(分期持仓明细!$B$19:$Y$19,'实盘净值数据(iFinD公式)'!$B62:$Y62/'实盘净值数据(iFinD公式)'!$B$20:$Y$20)*(1-实盘持仓配置!$AM$6)^(('实盘净值数据(iFinD公式)'!$A62-'实盘净值数据(iFinD公式)'!$A$7)/365))</f>
        <v>0.81827818348174886</v>
      </c>
      <c r="I62" s="16">
        <f t="shared" si="8"/>
        <v>-1.0402026178757628E-2</v>
      </c>
      <c r="J62" s="16">
        <f>IF(H62="","",H62/MAX(H$5:H62)-1)</f>
        <v>-0.26394418000751119</v>
      </c>
      <c r="K62" s="13">
        <f>IF(OR('实盘净值数据(iFinD公式)'!$A62="",'实盘净值数据(iFinD公式)'!$B62=""),"",分期持仓明细!$AB$20*SUMPRODUCT(分期持仓明细!$B$20:$Y$20,'实盘净值数据(iFinD公式)'!$B62:$Y62/'实盘净值数据(iFinD公式)'!$B$25:$Y$25)*(1-实盘持仓配置!$AM$7)^(('实盘净值数据(iFinD公式)'!$A62-'实盘净值数据(iFinD公式)'!$A$8)/365))</f>
        <v>0.99219342573655611</v>
      </c>
      <c r="L62" s="16">
        <f t="shared" si="9"/>
        <v>-3.9635727190479031E-4</v>
      </c>
      <c r="M62" s="16">
        <f>IF(K62="","",K62/MAX(K$5:K62)-1)</f>
        <v>-1.104243711133357E-2</v>
      </c>
      <c r="N62" s="13">
        <f>IF(OR('实盘净值数据(iFinD公式)'!$A62="",'实盘净值数据(iFinD公式)'!$B62=""),"",分期持仓明细!$AB$21*SUMPRODUCT(分期持仓明细!$B$21:$Y$21,'实盘净值数据(iFinD公式)'!$B62:$Y62/'实盘净值数据(iFinD公式)'!$B$25:$Y$25)*(1-实盘持仓配置!$AM$8)^(('实盘净值数据(iFinD公式)'!$A62-'实盘净值数据(iFinD公式)'!$A$5)/365))</f>
        <v>0.99251659085007748</v>
      </c>
      <c r="O62" s="16">
        <f t="shared" si="10"/>
        <v>-3.7359224329125418E-4</v>
      </c>
      <c r="P62" s="16">
        <f>IF(N62="","",N62/MAX(N$5:N62)-1)</f>
        <v>-1.0165997025948226E-2</v>
      </c>
      <c r="Q62" s="13">
        <f>IF(OR('实盘净值数据(iFinD公式)'!$A62="",'实盘净值数据(iFinD公式)'!$B62=""),"",分期持仓明细!$AB$22*SUMPRODUCT(分期持仓明细!$B$22:$Y$22,'实盘净值数据(iFinD公式)'!$B62:$Y62/'实盘净值数据(iFinD公式)'!$B$25:$Y$25)*(1-实盘持仓配置!$AM$9)^(('实盘净值数据(iFinD公式)'!$A62-'实盘净值数据(iFinD公式)'!$A$8)/365))</f>
        <v>0.96048641830304904</v>
      </c>
      <c r="R62" s="16">
        <f t="shared" si="11"/>
        <v>-1.1999432368151597E-3</v>
      </c>
      <c r="S62" s="16">
        <f>IF(Q62="","",Q62/MAX(Q$5:Q62)-1)</f>
        <v>-4.7856143474817481E-2</v>
      </c>
      <c r="T62" s="13"/>
      <c r="U62" s="16"/>
      <c r="V62" s="16"/>
    </row>
    <row r="63" spans="1:22">
      <c r="A63" s="15">
        <f>IF('实盘净值数据(iFinD公式)'!A63="","",'实盘净值数据(iFinD公式)'!A63)</f>
        <v>46274</v>
      </c>
      <c r="B63" s="13">
        <f>IF(OR('实盘净值数据(iFinD公式)'!$A63="",'实盘净值数据(iFinD公式)'!$B63=""),"",分期持仓明细!$AB$17*SUMPRODUCT(分期持仓明细!$B$17:$Y$17,'实盘净值数据(iFinD公式)'!$B63:$Y63/'实盘净值数据(iFinD公式)'!$B$20:$Y$20)*(1-实盘持仓配置!$AM$4)^(('实盘净值数据(iFinD公式)'!$A63-'实盘净值数据(iFinD公式)'!$A$6)/365))</f>
        <v>0.80617970266413785</v>
      </c>
      <c r="C63" s="16">
        <f t="shared" si="6"/>
        <v>1.4229310047713106E-3</v>
      </c>
      <c r="D63" s="16">
        <f>IF(B63="","",B63/MAX(B$5:B63)-1)</f>
        <v>-0.2499592790033105</v>
      </c>
      <c r="E63" s="13">
        <f>IF(OR('实盘净值数据(iFinD公式)'!$A63="",'实盘净值数据(iFinD公式)'!$B63=""),"",分期持仓明细!$AB$18*SUMPRODUCT(分期持仓明细!$B$18:$Y$18,'实盘净值数据(iFinD公式)'!$B63:$Y63/'实盘净值数据(iFinD公式)'!$B$20:$Y$20)*(1-实盘持仓配置!$AM$5)^(('实盘净值数据(iFinD公式)'!$A63-'实盘净值数据(iFinD公式)'!$A$5)/365))</f>
        <v>0.82518255775218696</v>
      </c>
      <c r="F63" s="16">
        <f t="shared" si="7"/>
        <v>1.4547551951611393E-3</v>
      </c>
      <c r="G63" s="16">
        <f>IF(E63="","",E63/MAX(E$5:E63)-1)</f>
        <v>-0.249654549838072</v>
      </c>
      <c r="H63" s="13">
        <f>IF(OR('实盘净值数据(iFinD公式)'!$A63="",'实盘净值数据(iFinD公式)'!$B63=""),"",分期持仓明细!$AB$19*SUMPRODUCT(分期持仓明细!$B$19:$Y$19,'实盘净值数据(iFinD公式)'!$B63:$Y63/'实盘净值数据(iFinD公式)'!$B$20:$Y$20)*(1-实盘持仓配置!$AM$6)^(('实盘净值数据(iFinD公式)'!$A63-'实盘净值数据(iFinD公式)'!$A$7)/365))</f>
        <v>0.81774477209477714</v>
      </c>
      <c r="I63" s="16">
        <f t="shared" si="8"/>
        <v>-6.5187047356196626E-4</v>
      </c>
      <c r="J63" s="16">
        <f>IF(H63="","",H63/MAX(H$5:H63)-1)</f>
        <v>-0.26442399306345776</v>
      </c>
      <c r="K63" s="13">
        <f>IF(OR('实盘净值数据(iFinD公式)'!$A63="",'实盘净值数据(iFinD公式)'!$B63=""),"",分期持仓明细!$AB$20*SUMPRODUCT(分期持仓明细!$B$20:$Y$20,'实盘净值数据(iFinD公式)'!$B63:$Y63/'实盘净值数据(iFinD公式)'!$B$25:$Y$25)*(1-实盘持仓配置!$AM$7)^(('实盘净值数据(iFinD公式)'!$A63-'实盘净值数据(iFinD公式)'!$A$8)/365))</f>
        <v>0.99214494133809417</v>
      </c>
      <c r="L63" s="16">
        <f t="shared" si="9"/>
        <v>-4.8865873532588644E-5</v>
      </c>
      <c r="M63" s="16">
        <f>IF(K63="","",K63/MAX(K$5:K63)-1)</f>
        <v>-1.1090763386530811E-2</v>
      </c>
      <c r="N63" s="13">
        <f>IF(OR('实盘净值数据(iFinD公式)'!$A63="",'实盘净值数据(iFinD公式)'!$B63=""),"",分期持仓明细!$AB$21*SUMPRODUCT(分期持仓明细!$B$21:$Y$21,'实盘净值数据(iFinD公式)'!$B63:$Y63/'实盘净值数据(iFinD公式)'!$B$25:$Y$25)*(1-实盘持仓配置!$AM$8)^(('实盘净值数据(iFinD公式)'!$A63-'实盘净值数据(iFinD公式)'!$A$5)/365))</f>
        <v>0.99258240976083978</v>
      </c>
      <c r="O63" s="16">
        <f t="shared" si="10"/>
        <v>6.6315174344744321E-5</v>
      </c>
      <c r="P63" s="16">
        <f>IF(N63="","",N63/MAX(N$5:N63)-1)</f>
        <v>-1.0100356011468636E-2</v>
      </c>
      <c r="Q63" s="13">
        <f>IF(OR('实盘净值数据(iFinD公式)'!$A63="",'实盘净值数据(iFinD公式)'!$B63=""),"",分期持仓明细!$AB$22*SUMPRODUCT(分期持仓明细!$B$22:$Y$22,'实盘净值数据(iFinD公式)'!$B63:$Y63/'实盘净值数据(iFinD公式)'!$B$25:$Y$25)*(1-实盘持仓配置!$AM$9)^(('实盘净值数据(iFinD公式)'!$A63-'实盘净值数据(iFinD公式)'!$A$8)/365))</f>
        <v>0.96037426203200194</v>
      </c>
      <c r="R63" s="16">
        <f t="shared" si="11"/>
        <v>-1.1677028317091942E-4</v>
      </c>
      <c r="S63" s="16">
        <f>IF(Q63="","",Q63/MAX(Q$5:Q63)-1)</f>
        <v>-4.7967325582563447E-2</v>
      </c>
      <c r="T63" s="13"/>
      <c r="U63" s="16"/>
      <c r="V63" s="16"/>
    </row>
    <row r="64" spans="1:22">
      <c r="A64" s="15">
        <f>IF('实盘净值数据(iFinD公式)'!A64="","",'实盘净值数据(iFinD公式)'!A64)</f>
        <v>46275</v>
      </c>
      <c r="B64" s="13">
        <f>IF(OR('实盘净值数据(iFinD公式)'!$A64="",'实盘净值数据(iFinD公式)'!$B64=""),"",分期持仓明细!$AB$17*SUMPRODUCT(分期持仓明细!$B$17:$Y$17,'实盘净值数据(iFinD公式)'!$B64:$Y64/'实盘净值数据(iFinD公式)'!$B$20:$Y$20)*(1-实盘持仓配置!$AM$4)^(('实盘净值数据(iFinD公式)'!$A64-'实盘净值数据(iFinD公式)'!$A$6)/365))</f>
        <v>0.80517626903228889</v>
      </c>
      <c r="C64" s="16">
        <f t="shared" si="6"/>
        <v>-1.244677369738989E-3</v>
      </c>
      <c r="D64" s="16">
        <f>IF(B64="","",B64/MAX(B$5:B64)-1)</f>
        <v>-0.25089283771511772</v>
      </c>
      <c r="E64" s="13">
        <f>IF(OR('实盘净值数据(iFinD公式)'!$A64="",'实盘净值数据(iFinD公式)'!$B64=""),"",分期持仓明细!$AB$18*SUMPRODUCT(分期持仓明细!$B$18:$Y$18,'实盘净值数据(iFinD公式)'!$B64:$Y64/'实盘净值数据(iFinD公式)'!$B$20:$Y$20)*(1-实盘持仓配置!$AM$5)^(('实盘净值数据(iFinD公式)'!$A64-'实盘净值数据(iFinD公式)'!$A$5)/365))</f>
        <v>0.82415304352344354</v>
      </c>
      <c r="F64" s="16">
        <f t="shared" si="7"/>
        <v>-1.2476199588462578E-3</v>
      </c>
      <c r="G64" s="16">
        <f>IF(E64="","",E64/MAX(E$5:E64)-1)</f>
        <v>-0.25059069579772353</v>
      </c>
      <c r="H64" s="13">
        <f>IF(OR('实盘净值数据(iFinD公式)'!$A64="",'实盘净值数据(iFinD公式)'!$B64=""),"",分期持仓明细!$AB$19*SUMPRODUCT(分期持仓明细!$B$19:$Y$19,'实盘净值数据(iFinD公式)'!$B64:$Y64/'实盘净值数据(iFinD公式)'!$B$20:$Y$20)*(1-实盘持仓配置!$AM$6)^(('实盘净值数据(iFinD公式)'!$A64-'实盘净值数据(iFinD公式)'!$A$7)/365))</f>
        <v>0.81463138321165651</v>
      </c>
      <c r="I64" s="16">
        <f t="shared" si="8"/>
        <v>-3.8072868080161193E-3</v>
      </c>
      <c r="J64" s="16">
        <f>IF(H64="","",H64/MAX(H$5:H64)-1)</f>
        <v>-0.26722454189096045</v>
      </c>
      <c r="K64" s="13">
        <f>IF(OR('实盘净值数据(iFinD公式)'!$A64="",'实盘净值数据(iFinD公式)'!$B64=""),"",分期持仓明细!$AB$20*SUMPRODUCT(分期持仓明细!$B$20:$Y$20,'实盘净值数据(iFinD公式)'!$B64:$Y64/'实盘净值数据(iFinD公式)'!$B$25:$Y$25)*(1-实盘持仓配置!$AM$7)^(('实盘净值数据(iFinD公式)'!$A64-'实盘净值数据(iFinD公式)'!$A$8)/365))</f>
        <v>0.99152316494789294</v>
      </c>
      <c r="L64" s="16">
        <f t="shared" si="9"/>
        <v>-6.2669914877822031E-4</v>
      </c>
      <c r="M64" s="16">
        <f>IF(K64="","",K64/MAX(K$5:K64)-1)</f>
        <v>-1.1710511963335501E-2</v>
      </c>
      <c r="N64" s="13">
        <f>IF(OR('实盘净值数据(iFinD公式)'!$A64="",'实盘净值数据(iFinD公式)'!$B64=""),"",分期持仓明细!$AB$21*SUMPRODUCT(分期持仓明细!$B$21:$Y$21,'实盘净值数据(iFinD公式)'!$B64:$Y64/'实盘净值数据(iFinD公式)'!$B$25:$Y$25)*(1-实盘持仓配置!$AM$8)^(('实盘净值数据(iFinD公式)'!$A64-'实盘净值数据(iFinD公式)'!$A$5)/365))</f>
        <v>0.99208715983738782</v>
      </c>
      <c r="O64" s="16">
        <f t="shared" si="10"/>
        <v>-4.9895093705243365E-4</v>
      </c>
      <c r="P64" s="16">
        <f>IF(N64="","",N64/MAX(N$5:N64)-1)</f>
        <v>-1.0594267366424659E-2</v>
      </c>
      <c r="Q64" s="13">
        <f>IF(OR('实盘净值数据(iFinD公式)'!$A64="",'实盘净值数据(iFinD公式)'!$B64=""),"",分期持仓明细!$AB$22*SUMPRODUCT(分期持仓明细!$B$22:$Y$22,'实盘净值数据(iFinD公式)'!$B64:$Y64/'实盘净值数据(iFinD公式)'!$B$25:$Y$25)*(1-实盘持仓配置!$AM$9)^(('实盘净值数据(iFinD公式)'!$A64-'实盘净值数据(iFinD公式)'!$A$8)/365))</f>
        <v>0.95881996225332244</v>
      </c>
      <c r="R64" s="16">
        <f t="shared" si="11"/>
        <v>-1.6184313138409845E-3</v>
      </c>
      <c r="S64" s="16">
        <f>IF(Q64="","",Q64/MAX(Q$5:Q64)-1)</f>
        <v>-4.9508125074640419E-2</v>
      </c>
      <c r="T64" s="13"/>
      <c r="U64" s="16"/>
      <c r="V64" s="16"/>
    </row>
    <row r="65" spans="1:22">
      <c r="A65" s="15">
        <f>IF('实盘净值数据(iFinD公式)'!A65="","",'实盘净值数据(iFinD公式)'!A65)</f>
        <v>46276</v>
      </c>
      <c r="B65" s="13">
        <f>IF(OR('实盘净值数据(iFinD公式)'!$A65="",'实盘净值数据(iFinD公式)'!$B65=""),"",分期持仓明细!$AB$17*SUMPRODUCT(分期持仓明细!$B$17:$Y$17,'实盘净值数据(iFinD公式)'!$B65:$Y65/'实盘净值数据(iFinD公式)'!$B$20:$Y$20)*(1-实盘持仓配置!$AM$4)^(('实盘净值数据(iFinD公式)'!$A65-'实盘净值数据(iFinD公式)'!$A$6)/365))</f>
        <v>0.80038083972554597</v>
      </c>
      <c r="C65" s="16">
        <f t="shared" si="6"/>
        <v>-5.9557509221009886E-3</v>
      </c>
      <c r="D65" s="16">
        <f>IF(B65="","",B65/MAX(B$5:B65)-1)</f>
        <v>-0.25535433338764846</v>
      </c>
      <c r="E65" s="13">
        <f>IF(OR('实盘净值数据(iFinD公式)'!$A65="",'实盘净值数据(iFinD公式)'!$B65=""),"",分期持仓明细!$AB$18*SUMPRODUCT(分期持仓明细!$B$18:$Y$18,'实盘净值数据(iFinD公式)'!$B65:$Y65/'实盘净值数据(iFinD公式)'!$B$20:$Y$20)*(1-实盘持仓配置!$AM$5)^(('实盘净值数据(iFinD公式)'!$A65-'实盘净值数据(iFinD公式)'!$A$5)/365))</f>
        <v>0.81927586744682934</v>
      </c>
      <c r="F65" s="16">
        <f t="shared" si="7"/>
        <v>-5.9178038774972963E-3</v>
      </c>
      <c r="G65" s="16">
        <f>IF(E65="","",E65/MAX(E$5:E65)-1)</f>
        <v>-0.25502555308396424</v>
      </c>
      <c r="H65" s="13">
        <f>IF(OR('实盘净值数据(iFinD公式)'!$A65="",'实盘净值数据(iFinD公式)'!$B65=""),"",分期持仓明细!$AB$19*SUMPRODUCT(分期持仓明细!$B$19:$Y$19,'实盘净值数据(iFinD公式)'!$B65:$Y65/'实盘净值数据(iFinD公式)'!$B$20:$Y$20)*(1-实盘持仓配置!$AM$6)^(('实盘净值数据(iFinD公式)'!$A65-'实盘净值数据(iFinD公式)'!$A$7)/365))</f>
        <v>0.81020461492280371</v>
      </c>
      <c r="I65" s="16">
        <f t="shared" si="8"/>
        <v>-5.4340753131808528E-3</v>
      </c>
      <c r="J65" s="16">
        <f>IF(H65="","",H65/MAX(H$5:H65)-1)</f>
        <v>-0.27120649891797555</v>
      </c>
      <c r="K65" s="13">
        <f>IF(OR('实盘净值数据(iFinD公式)'!$A65="",'实盘净值数据(iFinD公式)'!$B65="",'实盘净值数据(iFinD公式)'!$Z65="",'实盘净值数据(iFinD公式)'!$AA65=""),"",分期持仓明细!$AB$23*(SUMPRODUCT(分期持仓明细!$B$23:$Y$23,'实盘净值数据(iFinD公式)'!$B65:$Y65/'实盘净值数据(iFinD公式)'!$B$65:$Y$65)+SUMPRODUCT(分期持仓明细!$AC$23:$AD$23,'实盘净值数据(iFinD公式)'!$Z65:$AA65/'实盘净值数据(iFinD公式)'!$Z$65:$AA$65))*(1-实盘持仓配置!$AM$7)^(('实盘净值数据(iFinD公式)'!$A65-'实盘净值数据(iFinD公式)'!$A$8)/365))</f>
        <v>0.98931920629143588</v>
      </c>
      <c r="L65" s="16">
        <f t="shared" si="9"/>
        <v>-2.2228009736644516E-3</v>
      </c>
      <c r="M65" s="16">
        <f>IF(K65="","",K65/MAX(K$5:K65)-1)</f>
        <v>-1.3907282799605736E-2</v>
      </c>
      <c r="N65" s="13">
        <f>IF(OR('实盘净值数据(iFinD公式)'!$A65="",'实盘净值数据(iFinD公式)'!$B65="",'实盘净值数据(iFinD公式)'!$Z65="",'实盘净值数据(iFinD公式)'!$AA65=""),"",分期持仓明细!$AB$24*(SUMPRODUCT(分期持仓明细!$B$24:$Y$24,'实盘净值数据(iFinD公式)'!$B65:$Y65/'实盘净值数据(iFinD公式)'!$B$65:$Y$65)+SUMPRODUCT(分期持仓明细!$AC$24:$AD$24,'实盘净值数据(iFinD公式)'!$Z65:$AA65/'实盘净值数据(iFinD公式)'!$Z$65:$AA$65))*(1-实盘持仓配置!$AM$8)^(('实盘净值数据(iFinD公式)'!$A65-'实盘净值数据(iFinD公式)'!$A$5)/365))</f>
        <v>0.98987275511258466</v>
      </c>
      <c r="O65" s="16">
        <f t="shared" si="10"/>
        <v>-2.2320667119268833E-3</v>
      </c>
      <c r="P65" s="16">
        <f>IF(N65="","",N65/MAX(N$5:N65)-1)</f>
        <v>-1.2802686966825738E-2</v>
      </c>
      <c r="Q65" s="13">
        <f>IF(OR('实盘净值数据(iFinD公式)'!$A65="",'实盘净值数据(iFinD公式)'!$B65="",'实盘净值数据(iFinD公式)'!$Z65="",'实盘净值数据(iFinD公式)'!$AA65=""),"",分期持仓明细!$AB$25*(SUMPRODUCT(分期持仓明细!$B$25:$Y$25,'实盘净值数据(iFinD公式)'!$B65:$Y65/'实盘净值数据(iFinD公式)'!$B$65:$Y$65)+SUMPRODUCT(分期持仓明细!$AC$25:$AD$25,'实盘净值数据(iFinD公式)'!$Z65:$AA65/'实盘净值数据(iFinD公式)'!$Z$65:$AA$65))*(1-实盘持仓配置!$AM$9)^(('实盘净值数据(iFinD公式)'!$A65-'实盘净值数据(iFinD公式)'!$A$8)/365))</f>
        <v>0.95367520054577093</v>
      </c>
      <c r="R65" s="16">
        <f t="shared" si="11"/>
        <v>-5.3657223567402657E-3</v>
      </c>
      <c r="S65" s="16">
        <f>IF(Q65="","",Q65/MAX(Q$5:Q65)-1)</f>
        <v>-5.4608200577827337E-2</v>
      </c>
      <c r="T65" s="13">
        <v>1</v>
      </c>
      <c r="U65" s="16"/>
      <c r="V65" s="16"/>
    </row>
    <row r="66" spans="1:22">
      <c r="A66" s="15">
        <f>IF('实盘净值数据(iFinD公式)'!A66="","",'实盘净值数据(iFinD公式)'!A66)</f>
        <v>46279</v>
      </c>
      <c r="B66" s="13">
        <f>IF(OR('实盘净值数据(iFinD公式)'!$A66="",'实盘净值数据(iFinD公式)'!$B66=""),"",分期持仓明细!$AB$17*SUMPRODUCT(分期持仓明细!$B$17:$Y$17,'实盘净值数据(iFinD公式)'!$B66:$Y66/'实盘净值数据(iFinD公式)'!$B$20:$Y$20)*(1-实盘持仓配置!$AM$4)^(('实盘净值数据(iFinD公式)'!$A66-'实盘净值数据(iFinD公式)'!$A$6)/365))</f>
        <v>0.78748331494314971</v>
      </c>
      <c r="C66" s="16">
        <f t="shared" si="6"/>
        <v>-1.6114234802046101E-2</v>
      </c>
      <c r="D66" s="16">
        <f>IF(B66="","",B66/MAX(B$5:B66)-1)</f>
        <v>-0.26735372850376593</v>
      </c>
      <c r="E66" s="13">
        <f>IF(OR('实盘净值数据(iFinD公式)'!$A66="",'实盘净值数据(iFinD公式)'!$B66=""),"",分期持仓明细!$AB$18*SUMPRODUCT(分期持仓明细!$B$18:$Y$18,'实盘净值数据(iFinD公式)'!$B66:$Y66/'实盘净值数据(iFinD公式)'!$B$20:$Y$20)*(1-实盘持仓配置!$AM$5)^(('实盘净值数据(iFinD公式)'!$A66-'实盘净值数据(iFinD公式)'!$A$5)/365))</f>
        <v>0.80607282528132818</v>
      </c>
      <c r="F66" s="16">
        <f t="shared" si="7"/>
        <v>-1.6115502348002519E-2</v>
      </c>
      <c r="G66" s="16">
        <f>IF(E66="","",E66/MAX(E$5:E66)-1)</f>
        <v>-0.26703119053244151</v>
      </c>
      <c r="H66" s="13">
        <f>IF(OR('实盘净值数据(iFinD公式)'!$A66="",'实盘净值数据(iFinD公式)'!$B66=""),"",分期持仓明细!$AB$19*SUMPRODUCT(分期持仓明细!$B$19:$Y$19,'实盘净值数据(iFinD公式)'!$B66:$Y66/'实盘净值数据(iFinD公式)'!$B$20:$Y$20)*(1-实盘持仓配置!$AM$6)^(('实盘净值数据(iFinD公式)'!$A66-'实盘净值数据(iFinD公式)'!$A$7)/365))</f>
        <v>0.797318385314013</v>
      </c>
      <c r="I66" s="16">
        <f t="shared" si="8"/>
        <v>-1.5904907688064074E-2</v>
      </c>
      <c r="J66" s="16">
        <f>IF(H66="","",H66/MAX(H$5:H66)-1)</f>
        <v>-0.28279789227634622</v>
      </c>
      <c r="K66" s="13">
        <f>IF(OR('实盘净值数据(iFinD公式)'!$A66="",'实盘净值数据(iFinD公式)'!$B66="",'实盘净值数据(iFinD公式)'!$Z66="",'实盘净值数据(iFinD公式)'!$AA66=""),"",分期持仓明细!$AB$23*(SUMPRODUCT(分期持仓明细!$B$23:$Y$23,'实盘净值数据(iFinD公式)'!$B66:$Y66/'实盘净值数据(iFinD公式)'!$B$65:$Y$65)+SUMPRODUCT(分期持仓明细!$AC$23:$AD$23,'实盘净值数据(iFinD公式)'!$Z66:$AA66/'实盘净值数据(iFinD公式)'!$Z$65:$AA$65))*(1-实盘持仓配置!$AM$7)^(('实盘净值数据(iFinD公式)'!$A66-'实盘净值数据(iFinD公式)'!$A$8)/365))</f>
        <v>0.98823166354882208</v>
      </c>
      <c r="L66" s="16">
        <f t="shared" si="9"/>
        <v>-1.0992839679020427E-3</v>
      </c>
      <c r="M66" s="16">
        <f>IF(K66="","",K66/MAX(K$5:K66)-1)</f>
        <v>-1.4991278714489131E-2</v>
      </c>
      <c r="N66" s="13">
        <f>IF(OR('实盘净值数据(iFinD公式)'!$A66="",'实盘净值数据(iFinD公式)'!$B66="",'实盘净值数据(iFinD公式)'!$Z66="",'实盘净值数据(iFinD公式)'!$AA66=""),"",分期持仓明细!$AB$24*(SUMPRODUCT(分期持仓明细!$B$24:$Y$24,'实盘净值数据(iFinD公式)'!$B66:$Y66/'实盘净值数据(iFinD公式)'!$B$65:$Y$65)+SUMPRODUCT(分期持仓明细!$AC$24:$AD$24,'实盘净值数据(iFinD公式)'!$Z66:$AA66/'实盘净值数据(iFinD公式)'!$Z$65:$AA$65))*(1-实盘持仓配置!$AM$8)^(('实盘净值数据(iFinD公式)'!$A66-'实盘净值数据(iFinD公式)'!$A$5)/365))</f>
        <v>0.98883694954010737</v>
      </c>
      <c r="O66" s="16">
        <f t="shared" si="10"/>
        <v>-1.046402749371067E-3</v>
      </c>
      <c r="P66" s="16">
        <f>IF(N66="","",N66/MAX(N$5:N66)-1)</f>
        <v>-1.3835692949355272E-2</v>
      </c>
      <c r="Q66" s="13">
        <f>IF(OR('实盘净值数据(iFinD公式)'!$A66="",'实盘净值数据(iFinD公式)'!$B66="",'实盘净值数据(iFinD公式)'!$Z66="",'实盘净值数据(iFinD公式)'!$AA66=""),"",分期持仓明细!$AB$25*(SUMPRODUCT(分期持仓明细!$B$25:$Y$25,'实盘净值数据(iFinD公式)'!$B66:$Y66/'实盘净值数据(iFinD公式)'!$B$65:$Y$65)+SUMPRODUCT(分期持仓明细!$AC$25:$AD$25,'实盘净值数据(iFinD公式)'!$Z66:$AA66/'实盘净值数据(iFinD公式)'!$Z$65:$AA$65))*(1-实盘持仓配置!$AM$9)^(('实盘净值数据(iFinD公式)'!$A66-'实盘净值数据(iFinD公式)'!$A$8)/365))</f>
        <v>0.95086502536399697</v>
      </c>
      <c r="R66" s="16">
        <f t="shared" si="11"/>
        <v>-2.946679519574058E-3</v>
      </c>
      <c r="S66" s="16">
        <f>IF(Q66="","",Q66/MAX(Q$5:Q66)-1)</f>
        <v>-5.7393967231157972E-2</v>
      </c>
      <c r="T66" s="13"/>
      <c r="U66" s="16"/>
      <c r="V66" s="16"/>
    </row>
    <row r="67" spans="1:22">
      <c r="A67" s="15">
        <f>IF('实盘净值数据(iFinD公式)'!A67="","",'实盘净值数据(iFinD公式)'!A67)</f>
        <v>46280</v>
      </c>
      <c r="B67" s="13">
        <f>IF(OR('实盘净值数据(iFinD公式)'!$A67="",'实盘净值数据(iFinD公式)'!$B67=""),"",分期持仓明细!$AB$17*SUMPRODUCT(分期持仓明细!$B$17:$Y$17,'实盘净值数据(iFinD公式)'!$B67:$Y67/'实盘净值数据(iFinD公式)'!$B$20:$Y$20)*(1-实盘持仓配置!$AM$4)^(('实盘净值数据(iFinD公式)'!$A67-'实盘净值数据(iFinD公式)'!$A$6)/365))</f>
        <v>0.79629168130557926</v>
      </c>
      <c r="C67" s="16">
        <f t="shared" si="6"/>
        <v>1.1185464117503763E-2</v>
      </c>
      <c r="D67" s="16">
        <f>IF(B67="","",B67/MAX(B$5:B67)-1)</f>
        <v>-0.25915873992312188</v>
      </c>
      <c r="E67" s="13">
        <f>IF(OR('实盘净值数据(iFinD公式)'!$A67="",'实盘净值数据(iFinD公式)'!$B67=""),"",分期持仓明细!$AB$18*SUMPRODUCT(分期持仓明细!$B$18:$Y$18,'实盘净值数据(iFinD公式)'!$B67:$Y67/'实盘净值数据(iFinD公式)'!$B$20:$Y$20)*(1-实盘持仓配置!$AM$5)^(('实盘净值数据(iFinD公式)'!$A67-'实盘净值数据(iFinD公式)'!$A$5)/365))</f>
        <v>0.81506942507388946</v>
      </c>
      <c r="F67" s="16">
        <f t="shared" si="7"/>
        <v>1.1161026039330002E-2</v>
      </c>
      <c r="G67" s="16">
        <f>IF(E67="","",E67/MAX(E$5:E67)-1)</f>
        <v>-0.25885050656395725</v>
      </c>
      <c r="H67" s="13">
        <f>IF(OR('实盘净值数据(iFinD公式)'!$A67="",'实盘净值数据(iFinD公式)'!$B67=""),"",分期持仓明细!$AB$19*SUMPRODUCT(分期持仓明细!$B$19:$Y$19,'实盘净值数据(iFinD公式)'!$B67:$Y67/'实盘净值数据(iFinD公式)'!$B$20:$Y$20)*(1-实盘持仓配置!$AM$6)^(('实盘净值数据(iFinD公式)'!$A67-'实盘净值数据(iFinD公式)'!$A$7)/365))</f>
        <v>0.80809182063580631</v>
      </c>
      <c r="I67" s="16">
        <f t="shared" si="8"/>
        <v>1.3512086915630661E-2</v>
      </c>
      <c r="J67" s="16">
        <f>IF(H67="","",H67/MAX(H$5:H67)-1)</f>
        <v>-0.27310699506071057</v>
      </c>
      <c r="K67" s="13">
        <f>IF(OR('实盘净值数据(iFinD公式)'!$A67="",'实盘净值数据(iFinD公式)'!$B67="",'实盘净值数据(iFinD公式)'!$Z67="",'实盘净值数据(iFinD公式)'!$AA67=""),"",分期持仓明细!$AB$23*(SUMPRODUCT(分期持仓明细!$B$23:$Y$23,'实盘净值数据(iFinD公式)'!$B67:$Y67/'实盘净值数据(iFinD公式)'!$B$65:$Y$65)+SUMPRODUCT(分期持仓明细!$AC$23:$AD$23,'实盘净值数据(iFinD公式)'!$Z67:$AA67/'实盘净值数据(iFinD公式)'!$Z$65:$AA$65))*(1-实盘持仓配置!$AM$7)^(('实盘净值数据(iFinD公式)'!$A67-'实盘净值数据(iFinD公式)'!$A$8)/365))</f>
        <v>0.98844991210941446</v>
      </c>
      <c r="L67" s="16">
        <f t="shared" si="9"/>
        <v>2.2084756908991032E-4</v>
      </c>
      <c r="M67" s="16">
        <f>IF(K67="","",K67/MAX(K$5:K67)-1)</f>
        <v>-1.4773741932860962E-2</v>
      </c>
      <c r="N67" s="13">
        <f>IF(OR('实盘净值数据(iFinD公式)'!$A67="",'实盘净值数据(iFinD公式)'!$B67="",'实盘净值数据(iFinD公式)'!$Z67="",'实盘净值数据(iFinD公式)'!$AA67=""),"",分期持仓明细!$AB$24*(SUMPRODUCT(分期持仓明细!$B$24:$Y$24,'实盘净值数据(iFinD公式)'!$B67:$Y67/'实盘净值数据(iFinD公式)'!$B$65:$Y$65)+SUMPRODUCT(分期持仓明细!$AC$24:$AD$24,'实盘净值数据(iFinD公式)'!$Z67:$AA67/'实盘净值数据(iFinD公式)'!$Z$65:$AA$65))*(1-实盘持仓配置!$AM$8)^(('实盘净值数据(iFinD公式)'!$A67-'实盘净值数据(iFinD公式)'!$A$5)/365))</f>
        <v>0.9891021485330691</v>
      </c>
      <c r="O67" s="16">
        <f t="shared" si="10"/>
        <v>2.6819284320334091E-4</v>
      </c>
      <c r="P67" s="16">
        <f>IF(N67="","",N67/MAX(N$5:N67)-1)</f>
        <v>-1.3571210739981687E-2</v>
      </c>
      <c r="Q67" s="13">
        <f>IF(OR('实盘净值数据(iFinD公式)'!$A67="",'实盘净值数据(iFinD公式)'!$B67="",'实盘净值数据(iFinD公式)'!$Z67="",'实盘净值数据(iFinD公式)'!$AA67=""),"",分期持仓明细!$AB$25*(SUMPRODUCT(分期持仓明细!$B$25:$Y$25,'实盘净值数据(iFinD公式)'!$B67:$Y67/'实盘净值数据(iFinD公式)'!$B$65:$Y$65)+SUMPRODUCT(分期持仓明细!$AC$25:$AD$25,'实盘净值数据(iFinD公式)'!$Z67:$AA67/'实盘净值数据(iFinD公式)'!$Z$65:$AA$65))*(1-实盘持仓配置!$AM$9)^(('实盘净值数据(iFinD公式)'!$A67-'实盘净值数据(iFinD公式)'!$A$8)/365))</f>
        <v>0.95140352169494435</v>
      </c>
      <c r="R67" s="16">
        <f t="shared" si="11"/>
        <v>5.6632257637323491E-4</v>
      </c>
      <c r="S67" s="16">
        <f>IF(Q67="","",Q67/MAX(Q$5:Q67)-1)</f>
        <v>-5.6860148154175394E-2</v>
      </c>
      <c r="T67" s="13"/>
      <c r="U67" s="16"/>
      <c r="V67" s="16"/>
    </row>
    <row r="68" spans="1:22">
      <c r="A68" s="15">
        <f>IF('实盘净值数据(iFinD公式)'!A68="","",'实盘净值数据(iFinD公式)'!A68)</f>
        <v>46281</v>
      </c>
      <c r="B68" s="13">
        <f>IF(OR('实盘净值数据(iFinD公式)'!$A68="",'实盘净值数据(iFinD公式)'!$B68=""),"",分期持仓明细!$AB$17*SUMPRODUCT(分期持仓明细!$B$17:$Y$17,'实盘净值数据(iFinD公式)'!$B68:$Y68/'实盘净值数据(iFinD公式)'!$B$20:$Y$20)*(1-实盘持仓配置!$AM$4)^(('实盘净值数据(iFinD公式)'!$A68-'实盘净值数据(iFinD公式)'!$A$6)/365))</f>
        <v>0.83169100485561154</v>
      </c>
      <c r="C68" s="16">
        <f t="shared" si="6"/>
        <v>4.4455222101519976E-2</v>
      </c>
      <c r="D68" s="16">
        <f>IF(B68="","",B68/MAX(B$5:B68)-1)</f>
        <v>-0.22622447716443439</v>
      </c>
      <c r="E68" s="13">
        <f>IF(OR('实盘净值数据(iFinD公式)'!$A68="",'实盘净值数据(iFinD公式)'!$B68=""),"",分期持仓明细!$AB$18*SUMPRODUCT(分期持仓明细!$B$18:$Y$18,'实盘净值数据(iFinD公式)'!$B68:$Y68/'实盘净值数据(iFinD公式)'!$B$20:$Y$20)*(1-实盘持仓配置!$AM$5)^(('实盘净值数据(iFinD公式)'!$A68-'实盘净值数据(iFinD公式)'!$A$5)/365))</f>
        <v>0.85134100942334767</v>
      </c>
      <c r="F68" s="16">
        <f t="shared" si="7"/>
        <v>4.4501220673527353E-2</v>
      </c>
      <c r="G68" s="16">
        <f>IF(E68="","",E68/MAX(E$5:E68)-1)</f>
        <v>-0.22586844940448692</v>
      </c>
      <c r="H68" s="13">
        <f>IF(OR('实盘净值数据(iFinD公式)'!$A68="",'实盘净值数据(iFinD公式)'!$B68=""),"",分期持仓明细!$AB$19*SUMPRODUCT(分期持仓明细!$B$19:$Y$19,'实盘净值数据(iFinD公式)'!$B68:$Y68/'实盘净值数据(iFinD公式)'!$B$20:$Y$20)*(1-实盘持仓配置!$AM$6)^(('实盘净值数据(iFinD公式)'!$A68-'实盘净值数据(iFinD公式)'!$A$7)/365))</f>
        <v>0.84193341491630336</v>
      </c>
      <c r="I68" s="16">
        <f t="shared" si="8"/>
        <v>4.1878402201708242E-2</v>
      </c>
      <c r="J68" s="16">
        <f>IF(H68="","",H68/MAX(H$5:H68)-1)</f>
        <v>-0.24266587744225465</v>
      </c>
      <c r="K68" s="13">
        <f>IF(OR('实盘净值数据(iFinD公式)'!$A68="",'实盘净值数据(iFinD公式)'!$B68="",'实盘净值数据(iFinD公式)'!$Z68="",'实盘净值数据(iFinD公式)'!$AA68=""),"",分期持仓明细!$AB$23*(SUMPRODUCT(分期持仓明细!$B$23:$Y$23,'实盘净值数据(iFinD公式)'!$B68:$Y68/'实盘净值数据(iFinD公式)'!$B$65:$Y$65)+SUMPRODUCT(分期持仓明细!$AC$23:$AD$23,'实盘净值数据(iFinD公式)'!$Z68:$AA68/'实盘净值数据(iFinD公式)'!$Z$65:$AA$65))*(1-实盘持仓配置!$AM$7)^(('实盘净值数据(iFinD公式)'!$A68-'实盘净值数据(iFinD公式)'!$A$8)/365))</f>
        <v>0.99202541693513502</v>
      </c>
      <c r="L68" s="16">
        <f t="shared" si="9"/>
        <v>3.6172847828881416E-3</v>
      </c>
      <c r="M68" s="16">
        <f>IF(K68="","",K68/MAX(K$5:K68)-1)</f>
        <v>-1.120989798185279E-2</v>
      </c>
      <c r="N68" s="13">
        <f>IF(OR('实盘净值数据(iFinD公式)'!$A68="",'实盘净值数据(iFinD公式)'!$B68="",'实盘净值数据(iFinD公式)'!$Z68="",'实盘净值数据(iFinD公式)'!$AA68=""),"",分期持仓明细!$AB$24*(SUMPRODUCT(分期持仓明细!$B$24:$Y$24,'实盘净值数据(iFinD公式)'!$B68:$Y68/'实盘净值数据(iFinD公式)'!$B$65:$Y$65)+SUMPRODUCT(分期持仓明细!$AC$24:$AD$24,'实盘净值数据(iFinD公式)'!$Z68:$AA68/'实盘净值数据(iFinD公式)'!$Z$65:$AA$65))*(1-实盘持仓配置!$AM$8)^(('实盘净值数据(iFinD公式)'!$A68-'实盘净值数据(iFinD公式)'!$A$5)/365))</f>
        <v>0.99285115141066649</v>
      </c>
      <c r="O68" s="16">
        <f t="shared" si="10"/>
        <v>3.7903091032180924E-3</v>
      </c>
      <c r="P68" s="16">
        <f>IF(N68="","",N68/MAX(N$5:N68)-1)</f>
        <v>-9.8323407203730895E-3</v>
      </c>
      <c r="Q68" s="13">
        <f>IF(OR('实盘净值数据(iFinD公式)'!$A68="",'实盘净值数据(iFinD公式)'!$B68="",'实盘净值数据(iFinD公式)'!$Z68="",'实盘净值数据(iFinD公式)'!$AA68=""),"",分期持仓明细!$AB$25*(SUMPRODUCT(分期持仓明细!$B$25:$Y$25,'实盘净值数据(iFinD公式)'!$B68:$Y68/'实盘净值数据(iFinD公式)'!$B$65:$Y$65)+SUMPRODUCT(分期持仓明细!$AC$25:$AD$25,'实盘净值数据(iFinD公式)'!$Z68:$AA68/'实盘净值数据(iFinD公式)'!$Z$65:$AA$65))*(1-实盘持仓配置!$AM$9)^(('实盘净值数据(iFinD公式)'!$A68-'实盘净值数据(iFinD公式)'!$A$8)/365))</f>
        <v>0.9608856821856866</v>
      </c>
      <c r="R68" s="16">
        <f t="shared" si="11"/>
        <v>9.9664971534365598E-3</v>
      </c>
      <c r="S68" s="16">
        <f>IF(Q68="","",Q68/MAX(Q$5:Q68)-1)</f>
        <v>-4.7460347505461242E-2</v>
      </c>
      <c r="T68" s="13"/>
      <c r="U68" s="16"/>
      <c r="V68" s="16"/>
    </row>
    <row r="69" spans="1:22">
      <c r="A69" s="15">
        <f>IF('实盘净值数据(iFinD公式)'!A69="","",'实盘净值数据(iFinD公式)'!A69)</f>
        <v>46282</v>
      </c>
      <c r="B69" s="13">
        <f>IF(OR('实盘净值数据(iFinD公式)'!$A69="",'实盘净值数据(iFinD公式)'!$B69=""),"",分期持仓明细!$AB$17*SUMPRODUCT(分期持仓明细!$B$17:$Y$17,'实盘净值数据(iFinD公式)'!$B69:$Y69/'实盘净值数据(iFinD公式)'!$B$20:$Y$20)*(1-实盘持仓配置!$AM$4)^(('实盘净值数据(iFinD公式)'!$A69-'实盘净值数据(iFinD公式)'!$A$6)/365))</f>
        <v>0.83371509917059772</v>
      </c>
      <c r="C69" s="16">
        <f t="shared" si="6"/>
        <v>2.4337095185218427E-3</v>
      </c>
      <c r="D69" s="16">
        <f>IF(B69="","",B69/MAX(B$5:B69)-1)</f>
        <v>-0.22434133230931019</v>
      </c>
      <c r="E69" s="13">
        <f>IF(OR('实盘净值数据(iFinD公式)'!$A69="",'实盘净值数据(iFinD公式)'!$B69=""),"",分期持仓明细!$AB$18*SUMPRODUCT(分期持仓明细!$B$18:$Y$18,'实盘净值数据(iFinD公式)'!$B69:$Y69/'实盘净值数据(iFinD公式)'!$B$20:$Y$20)*(1-实盘持仓配置!$AM$5)^(('实盘净值数据(iFinD公式)'!$A69-'实盘净值数据(iFinD公式)'!$A$5)/365))</f>
        <v>0.85341019296825349</v>
      </c>
      <c r="F69" s="16">
        <f t="shared" si="7"/>
        <v>2.4304990855630315E-3</v>
      </c>
      <c r="G69" s="16">
        <f>IF(E69="","",E69/MAX(E$5:E69)-1)</f>
        <v>-0.223986923378659</v>
      </c>
      <c r="H69" s="13">
        <f>IF(OR('实盘净值数据(iFinD公式)'!$A69="",'实盘净值数据(iFinD公式)'!$B69=""),"",分期持仓明细!$AB$19*SUMPRODUCT(分期持仓明细!$B$19:$Y$19,'实盘净值数据(iFinD公式)'!$B69:$Y69/'实盘净值数据(iFinD公式)'!$B$20:$Y$20)*(1-实盘持仓配置!$AM$6)^(('实盘净值数据(iFinD公式)'!$A69-'实盘净值数据(iFinD公式)'!$A$7)/365))</f>
        <v>0.84306322011820267</v>
      </c>
      <c r="I69" s="16">
        <f t="shared" si="8"/>
        <v>1.3419175220781288E-3</v>
      </c>
      <c r="J69" s="16">
        <f>IF(H69="","",H69/MAX(H$5:H69)-1)</f>
        <v>-0.24164959751312676</v>
      </c>
      <c r="K69" s="13">
        <f>IF(OR('实盘净值数据(iFinD公式)'!$A69="",'实盘净值数据(iFinD公式)'!$B69="",'实盘净值数据(iFinD公式)'!$Z69="",'实盘净值数据(iFinD公式)'!$AA69=""),"",分期持仓明细!$AB$23*(SUMPRODUCT(分期持仓明细!$B$23:$Y$23,'实盘净值数据(iFinD公式)'!$B69:$Y69/'实盘净值数据(iFinD公式)'!$B$65:$Y$65)+SUMPRODUCT(分期持仓明细!$AC$23:$AD$23,'实盘净值数据(iFinD公式)'!$Z69:$AA69/'实盘净值数据(iFinD公式)'!$Z$65:$AA$65))*(1-实盘持仓配置!$AM$7)^(('实盘净值数据(iFinD公式)'!$A69-'实盘净值数据(iFinD公式)'!$A$8)/365))</f>
        <v>0.9920690677556997</v>
      </c>
      <c r="L69" s="16">
        <f t="shared" si="9"/>
        <v>4.400171590313029E-5</v>
      </c>
      <c r="M69" s="16">
        <f>IF(K69="","",K69/MAX(K$5:K69)-1)</f>
        <v>-1.116638952069593E-2</v>
      </c>
      <c r="N69" s="13">
        <f>IF(OR('实盘净值数据(iFinD公式)'!$A69="",'实盘净值数据(iFinD公式)'!$B69="",'实盘净值数据(iFinD公式)'!$Z69="",'实盘净值数据(iFinD公式)'!$AA69=""),"",分期持仓明细!$AB$24*(SUMPRODUCT(分期持仓明细!$B$24:$Y$24,'实盘净值数据(iFinD公式)'!$B69:$Y69/'实盘净值数据(iFinD公式)'!$B$65:$Y$65)+SUMPRODUCT(分期持仓明细!$AC$24:$AD$24,'实盘净值数据(iFinD公式)'!$Z69:$AA69/'实盘净值数据(iFinD公式)'!$Z$65:$AA$65))*(1-实盘持仓配置!$AM$8)^(('实盘净值数据(iFinD公式)'!$A69-'实盘净值数据(iFinD公式)'!$A$5)/365))</f>
        <v>0.99300440953847791</v>
      </c>
      <c r="O69" s="16">
        <f t="shared" si="10"/>
        <v>1.5436163577353668E-4</v>
      </c>
      <c r="P69" s="16">
        <f>IF(N69="","",N69/MAX(N$5:N69)-1)</f>
        <v>-9.679496820796607E-3</v>
      </c>
      <c r="Q69" s="13">
        <f>IF(OR('实盘净值数据(iFinD公式)'!$A69="",'实盘净值数据(iFinD公式)'!$B69="",'实盘净值数据(iFinD公式)'!$Z69="",'实盘净值数据(iFinD公式)'!$AA69=""),"",分期持仓明细!$AB$25*(SUMPRODUCT(分期持仓明细!$B$25:$Y$25,'实盘净值数据(iFinD公式)'!$B69:$Y69/'实盘净值数据(iFinD公式)'!$B$65:$Y$65)+SUMPRODUCT(分期持仓明细!$AC$25:$AD$25,'实盘净值数据(iFinD公式)'!$Z69:$AA69/'实盘净值数据(iFinD公式)'!$Z$65:$AA$65))*(1-实盘持仓配置!$AM$9)^(('实盘净值数据(iFinD公式)'!$A69-'实盘净值数据(iFinD公式)'!$A$8)/365))</f>
        <v>0.96089764676308576</v>
      </c>
      <c r="R69" s="16">
        <f t="shared" si="11"/>
        <v>1.2451613777830772E-5</v>
      </c>
      <c r="S69" s="16">
        <f>IF(Q69="","",Q69/MAX(Q$5:Q69)-1)</f>
        <v>-4.7448486849600457E-2</v>
      </c>
      <c r="T69" s="13">
        <v>1</v>
      </c>
      <c r="U69" s="16" t="str">
        <f t="shared" ref="U69:U100" si="12">IF(OR(T68="",T69=""),"",T69/T68-1)</f>
        <v/>
      </c>
      <c r="V69" s="16">
        <f>IF(T69="","",T69/MAX(T$5:T69)-1)</f>
        <v>0</v>
      </c>
    </row>
    <row r="70" spans="1:22">
      <c r="A70" s="15">
        <f>IF('实盘净值数据(iFinD公式)'!A70="","",'实盘净值数据(iFinD公式)'!A70)</f>
        <v>46283</v>
      </c>
      <c r="B70" s="13">
        <f>IF(OR('实盘净值数据(iFinD公式)'!$A70="",'实盘净值数据(iFinD公式)'!$B70=""),"",分期持仓明细!$AB$17*SUMPRODUCT(分期持仓明细!$B$17:$Y$17,'实盘净值数据(iFinD公式)'!$B70:$Y70/'实盘净值数据(iFinD公式)'!$B$20:$Y$20)*(1-实盘持仓配置!$AM$4)^(('实盘净值数据(iFinD公式)'!$A70-'实盘净值数据(iFinD公式)'!$A$6)/365))</f>
        <v>0.8580285234359244</v>
      </c>
      <c r="C70" s="16">
        <f t="shared" ref="C70:C133" si="13">IF(OR(B69="",B70=""),"",B70/B69-1)</f>
        <v>2.9162749108795571E-2</v>
      </c>
      <c r="D70" s="16">
        <f>IF(B70="","",B70/MAX(B$5:B70)-1)</f>
        <v>-0.20172099318938397</v>
      </c>
      <c r="E70" s="13">
        <f>IF(OR('实盘净值数据(iFinD公式)'!$A70="",'实盘净值数据(iFinD公式)'!$B70=""),"",分期持仓明细!$AB$18*SUMPRODUCT(分期持仓明细!$B$18:$Y$18,'实盘净值数据(iFinD公式)'!$B70:$Y70/'实盘净值数据(iFinD公式)'!$B$20:$Y$20)*(1-实盘持仓配置!$AM$5)^(('实盘净值数据(iFinD公式)'!$A70-'实盘净值数据(iFinD公式)'!$A$5)/365))</f>
        <v>0.87831302693431956</v>
      </c>
      <c r="F70" s="16">
        <f t="shared" ref="F70:F133" si="14">IF(OR(E69="",E70=""),"",E70/E69-1)</f>
        <v>2.9180380280497076E-2</v>
      </c>
      <c r="G70" s="16">
        <f>IF(E70="","",E70/MAX(E$5:E70)-1)</f>
        <v>-0.20134256670020967</v>
      </c>
      <c r="H70" s="13">
        <f>IF(OR('实盘净值数据(iFinD公式)'!$A70="",'实盘净值数据(iFinD公式)'!$B70=""),"",分期持仓明细!$AB$19*SUMPRODUCT(分期持仓明细!$B$19:$Y$19,'实盘净值数据(iFinD公式)'!$B70:$Y70/'实盘净值数据(iFinD公式)'!$B$20:$Y$20)*(1-实盘持仓配置!$AM$6)^(('实盘净值数据(iFinD公式)'!$A70-'实盘净值数据(iFinD公式)'!$A$7)/365))</f>
        <v>0.86909518292519927</v>
      </c>
      <c r="I70" s="16">
        <f t="shared" ref="I70:I133" si="15">IF(OR(H69="",H70=""),"",H70/H69-1)</f>
        <v>3.0877830020086483E-2</v>
      </c>
      <c r="J70" s="16">
        <f>IF(H70="","",H70/MAX(H$5:H70)-1)</f>
        <v>-0.2182333826894729</v>
      </c>
      <c r="K70" s="13">
        <f>IF(OR('实盘净值数据(iFinD公式)'!$A70="",'实盘净值数据(iFinD公式)'!$B70="",'实盘净值数据(iFinD公式)'!$Z70="",'实盘净值数据(iFinD公式)'!$AA70=""),"",分期持仓明细!$AB$23*(SUMPRODUCT(分期持仓明细!$B$23:$Y$23,'实盘净值数据(iFinD公式)'!$B70:$Y70/'实盘净值数据(iFinD公式)'!$B$65:$Y$65)+SUMPRODUCT(分期持仓明细!$AC$23:$AD$23,'实盘净值数据(iFinD公式)'!$Z70:$AA70/'实盘净值数据(iFinD公式)'!$Z$65:$AA$65))*(1-实盘持仓配置!$AM$7)^(('实盘净值数据(iFinD公式)'!$A70-'实盘净值数据(iFinD公式)'!$A$8)/365))</f>
        <v>0.99564029457706782</v>
      </c>
      <c r="L70" s="16">
        <f t="shared" ref="L70:L133" si="16">IF(OR(K69="",K70=""),"",K70/K69-1)</f>
        <v>3.599776404123789E-3</v>
      </c>
      <c r="M70" s="16">
        <f>IF(K70="","",K70/MAX(K$5:K70)-1)</f>
        <v>-7.6068096220879289E-3</v>
      </c>
      <c r="N70" s="13">
        <f>IF(OR('实盘净值数据(iFinD公式)'!$A70="",'实盘净值数据(iFinD公式)'!$B70="",'实盘净值数据(iFinD公式)'!$Z70="",'实盘净值数据(iFinD公式)'!$AA70=""),"",分期持仓明细!$AB$24*(SUMPRODUCT(分期持仓明细!$B$24:$Y$24,'实盘净值数据(iFinD公式)'!$B70:$Y70/'实盘净值数据(iFinD公式)'!$B$65:$Y$65)+SUMPRODUCT(分期持仓明细!$AC$24:$AD$24,'实盘净值数据(iFinD公式)'!$Z70:$AA70/'实盘净值数据(iFinD公式)'!$Z$65:$AA$65))*(1-实盘持仓配置!$AM$8)^(('实盘净值数据(iFinD公式)'!$A70-'实盘净值数据(iFinD公式)'!$A$5)/365))</f>
        <v>0.99657917386980865</v>
      </c>
      <c r="O70" s="16">
        <f t="shared" ref="O70:O133" si="17">IF(OR(N69="",N70=""),"",N70/N69-1)</f>
        <v>3.5999480938782025E-3</v>
      </c>
      <c r="P70" s="16">
        <f>IF(N70="","",N70/MAX(N$5:N70)-1)</f>
        <v>-6.1143944130481742E-3</v>
      </c>
      <c r="Q70" s="13">
        <f>IF(OR('实盘净值数据(iFinD公式)'!$A70="",'实盘净值数据(iFinD公式)'!$B70="",'实盘净值数据(iFinD公式)'!$Z70="",'实盘净值数据(iFinD公式)'!$AA70=""),"",分期持仓明细!$AB$25*(SUMPRODUCT(分期持仓明细!$B$25:$Y$25,'实盘净值数据(iFinD公式)'!$B70:$Y70/'实盘净值数据(iFinD公式)'!$B$65:$Y$65)+SUMPRODUCT(分期持仓明细!$AC$25:$AD$25,'实盘净值数据(iFinD公式)'!$Z70:$AA70/'实盘净值数据(iFinD公式)'!$Z$65:$AA$65))*(1-实盘持仓配置!$AM$9)^(('实盘净值数据(iFinD公式)'!$A70-'实盘净值数据(iFinD公式)'!$A$8)/365))</f>
        <v>0.96971928915972971</v>
      </c>
      <c r="R70" s="16">
        <f t="shared" ref="R70:R133" si="18">IF(OR(Q69="",Q70=""),"",Q70/Q69-1)</f>
        <v>9.1806264968603557E-3</v>
      </c>
      <c r="S70" s="16">
        <f>IF(Q70="","",Q70/MAX(Q$5:Q70)-1)</f>
        <v>-3.8703467188347385E-2</v>
      </c>
      <c r="T70" s="13">
        <f>IF(OR('实盘净值数据(iFinD公式)'!$A70="",'实盘净值数据(iFinD公式)'!$B70="",'实盘净值数据(iFinD公式)'!$Z70="",'实盘净值数据(iFinD公式)'!$AA70="",'实盘净值数据(iFinD公式)'!$AB70="",'实盘净值数据(iFinD公式)'!$AL70=""),"",(SUMPRODUCT(分期持仓明细!$B$26:$Y$26,'实盘净值数据(iFinD公式)'!$B70:$Y70/'实盘净值数据(iFinD公式)'!$B$69:$Y$69)+SUMPRODUCT(分期持仓明细!$AC$26:$AD$26,'实盘净值数据(iFinD公式)'!$Z70:$AA70/'实盘净值数据(iFinD公式)'!$Z$69:$AA$69)+SUMPRODUCT(分期持仓明细!$AE$26:$AO$26,'实盘净值数据(iFinD公式)'!$AB70:$AL70/'实盘净值数据(iFinD公式)'!$AB$69:$AL$69))*(1-实盘持仓配置!$AM$10)^(('实盘净值数据(iFinD公式)'!$A70-'实盘净值数据(iFinD公式)'!$A$69)/365))</f>
        <v>1.0028197191098192</v>
      </c>
      <c r="U70" s="16">
        <f t="shared" si="12"/>
        <v>2.8197191098191521E-3</v>
      </c>
      <c r="V70" s="16">
        <f>IF(T70="","",T70/MAX(T$5:T70)-1)</f>
        <v>0</v>
      </c>
    </row>
    <row r="71" spans="1:22">
      <c r="A71" s="15">
        <f>IF('实盘净值数据(iFinD公式)'!A71="","",'实盘净值数据(iFinD公式)'!A71)</f>
        <v>46286</v>
      </c>
      <c r="B71" s="13">
        <f>IF(OR('实盘净值数据(iFinD公式)'!$A71="",'实盘净值数据(iFinD公式)'!$B71=""),"",分期持仓明细!$AB$17*SUMPRODUCT(分期持仓明细!$B$17:$Y$17,'实盘净值数据(iFinD公式)'!$B71:$Y71/'实盘净值数据(iFinD公式)'!$B$20:$Y$20)*(1-实盘持仓配置!$AM$4)^(('实盘净值数据(iFinD公式)'!$A71-'实盘净值数据(iFinD公式)'!$A$6)/365))</f>
        <v>0.85764383509009423</v>
      </c>
      <c r="C71" s="16">
        <f t="shared" si="13"/>
        <v>-4.4833981076719542E-4</v>
      </c>
      <c r="D71" s="16">
        <f>IF(B71="","",B71/MAX(B$5:B71)-1)</f>
        <v>-0.20207889344823693</v>
      </c>
      <c r="E71" s="13">
        <f>IF(OR('实盘净值数据(iFinD公式)'!$A71="",'实盘净值数据(iFinD公式)'!$B71=""),"",分期持仓明细!$AB$18*SUMPRODUCT(分期持仓明细!$B$18:$Y$18,'实盘净值数据(iFinD公式)'!$B71:$Y71/'实盘净值数据(iFinD公式)'!$B$20:$Y$20)*(1-实盘持仓配置!$AM$5)^(('实盘净值数据(iFinD公式)'!$A71-'实盘净值数据(iFinD公式)'!$A$5)/365))</f>
        <v>0.87795480907096701</v>
      </c>
      <c r="F71" s="16">
        <f t="shared" si="14"/>
        <v>-4.0784760372147844E-4</v>
      </c>
      <c r="G71" s="16">
        <f>IF(E71="","",E71/MAX(E$5:E71)-1)</f>
        <v>-0.20166829722057544</v>
      </c>
      <c r="H71" s="13">
        <f>IF(OR('实盘净值数据(iFinD公式)'!$A71="",'实盘净值数据(iFinD公式)'!$B71=""),"",分期持仓明细!$AB$19*SUMPRODUCT(分期持仓明细!$B$19:$Y$19,'实盘净值数据(iFinD公式)'!$B71:$Y71/'实盘净值数据(iFinD公式)'!$B$20:$Y$20)*(1-实盘持仓配置!$AM$6)^(('实盘净值数据(iFinD公式)'!$A71-'实盘净值数据(iFinD公式)'!$A$7)/365))</f>
        <v>0.86863658068922478</v>
      </c>
      <c r="I71" s="16">
        <f t="shared" si="15"/>
        <v>-5.276778021378048E-4</v>
      </c>
      <c r="J71" s="16">
        <f>IF(H71="","",H71/MAX(H$5:H71)-1)</f>
        <v>-0.21864590357988001</v>
      </c>
      <c r="K71" s="13">
        <f>IF(OR('实盘净值数据(iFinD公式)'!$A71="",'实盘净值数据(iFinD公式)'!$B71="",'实盘净值数据(iFinD公式)'!$Z71="",'实盘净值数据(iFinD公式)'!$AA71=""),"",分期持仓明细!$AB$23*(SUMPRODUCT(分期持仓明细!$B$23:$Y$23,'实盘净值数据(iFinD公式)'!$B71:$Y71/'实盘净值数据(iFinD公式)'!$B$65:$Y$65)+SUMPRODUCT(分期持仓明细!$AC$23:$AD$23,'实盘净值数据(iFinD公式)'!$Z71:$AA71/'实盘净值数据(iFinD公式)'!$Z$65:$AA$65))*(1-实盘持仓配置!$AM$7)^(('实盘净值数据(iFinD公式)'!$A71-'实盘净值数据(iFinD公式)'!$A$8)/365))</f>
        <v>0.99605292923285249</v>
      </c>
      <c r="L71" s="16">
        <f t="shared" si="16"/>
        <v>4.1444149863378854E-4</v>
      </c>
      <c r="M71" s="16">
        <f>IF(K71="","",K71/MAX(K$5:K71)-1)</f>
        <v>-7.1955207010337974E-3</v>
      </c>
      <c r="N71" s="13">
        <f>IF(OR('实盘净值数据(iFinD公式)'!$A71="",'实盘净值数据(iFinD公式)'!$B71="",'实盘净值数据(iFinD公式)'!$Z71="",'实盘净值数据(iFinD公式)'!$AA71=""),"",分期持仓明细!$AB$24*(SUMPRODUCT(分期持仓明细!$B$24:$Y$24,'实盘净值数据(iFinD公式)'!$B71:$Y71/'实盘净值数据(iFinD公式)'!$B$65:$Y$65)+SUMPRODUCT(分期持仓明细!$AC$24:$AD$24,'实盘净值数据(iFinD公式)'!$Z71:$AA71/'实盘净值数据(iFinD公式)'!$Z$65:$AA$65))*(1-实盘持仓配置!$AM$8)^(('实盘净值数据(iFinD公式)'!$A71-'实盘净值数据(iFinD公式)'!$A$5)/365))</f>
        <v>0.99696346679824355</v>
      </c>
      <c r="O71" s="16">
        <f t="shared" si="17"/>
        <v>3.856120401779517E-4</v>
      </c>
      <c r="P71" s="16">
        <f>IF(N71="","",N71/MAX(N$5:N71)-1)</f>
        <v>-5.7311401569741793E-3</v>
      </c>
      <c r="Q71" s="13">
        <f>IF(OR('实盘净值数据(iFinD公式)'!$A71="",'实盘净值数据(iFinD公式)'!$B71="",'实盘净值数据(iFinD公式)'!$Z71="",'实盘净值数据(iFinD公式)'!$AA71=""),"",分期持仓明细!$AB$25*(SUMPRODUCT(分期持仓明细!$B$25:$Y$25,'实盘净值数据(iFinD公式)'!$B71:$Y71/'实盘净值数据(iFinD公式)'!$B$65:$Y$65)+SUMPRODUCT(分期持仓明细!$AC$25:$AD$25,'实盘净值数据(iFinD公式)'!$Z71:$AA71/'实盘净值数据(iFinD公式)'!$Z$65:$AA$65))*(1-实盘持仓配置!$AM$9)^(('实盘净值数据(iFinD公式)'!$A71-'实盘净值数据(iFinD公式)'!$A$8)/365))</f>
        <v>0.97058693117180483</v>
      </c>
      <c r="R71" s="16">
        <f t="shared" si="18"/>
        <v>8.9473523087990614E-4</v>
      </c>
      <c r="S71" s="16">
        <f>IF(Q71="","",Q71/MAX(Q$5:Q71)-1)</f>
        <v>-3.7843361313118051E-2</v>
      </c>
      <c r="T71" s="13">
        <f>IF(OR('实盘净值数据(iFinD公式)'!$A71="",'实盘净值数据(iFinD公式)'!$B71="",'实盘净值数据(iFinD公式)'!$Z71="",'实盘净值数据(iFinD公式)'!$AA71="",'实盘净值数据(iFinD公式)'!$AB71="",'实盘净值数据(iFinD公式)'!$AL71=""),"",(SUMPRODUCT(分期持仓明细!$B$26:$Y$26,'实盘净值数据(iFinD公式)'!$B71:$Y71/'实盘净值数据(iFinD公式)'!$B$69:$Y$69)+SUMPRODUCT(分期持仓明细!$AC$26:$AD$26,'实盘净值数据(iFinD公式)'!$Z71:$AA71/'实盘净值数据(iFinD公式)'!$Z$69:$AA$69)+SUMPRODUCT(分期持仓明细!$AE$26:$AO$26,'实盘净值数据(iFinD公式)'!$AB71:$AL71/'实盘净值数据(iFinD公式)'!$AB$69:$AL$69))*(1-实盘持仓配置!$AM$10)^(('实盘净值数据(iFinD公式)'!$A71-'实盘净值数据(iFinD公式)'!$A$69)/365))</f>
        <v>1.0039615484163595</v>
      </c>
      <c r="U71" s="16">
        <f t="shared" si="12"/>
        <v>1.1386187215722821E-3</v>
      </c>
      <c r="V71" s="16">
        <f>IF(T71="","",T71/MAX(T$5:T71)-1)</f>
        <v>0</v>
      </c>
    </row>
    <row r="72" spans="1:22">
      <c r="A72" s="15">
        <f>IF('实盘净值数据(iFinD公式)'!A72="","",'实盘净值数据(iFinD公式)'!A72)</f>
        <v>46287</v>
      </c>
      <c r="B72" s="13">
        <f>IF(OR('实盘净值数据(iFinD公式)'!$A72="",'实盘净值数据(iFinD公式)'!$B72=""),"",分期持仓明细!$AB$17*SUMPRODUCT(分期持仓明细!$B$17:$Y$17,'实盘净值数据(iFinD公式)'!$B72:$Y72/'实盘净值数据(iFinD公式)'!$B$20:$Y$20)*(1-实盘持仓配置!$AM$4)^(('实盘净值数据(iFinD公式)'!$A72-'实盘净值数据(iFinD公式)'!$A$6)/365))</f>
        <v>0.84824868544149001</v>
      </c>
      <c r="C72" s="16">
        <f t="shared" si="13"/>
        <v>-1.0954605238452264E-2</v>
      </c>
      <c r="D72" s="16">
        <f>IF(B72="","",B72/MAX(B$5:B72)-1)</f>
        <v>-0.21081980418194046</v>
      </c>
      <c r="E72" s="13">
        <f>IF(OR('实盘净值数据(iFinD公式)'!$A72="",'实盘净值数据(iFinD公式)'!$B72=""),"",分期持仓明细!$AB$18*SUMPRODUCT(分期持仓明细!$B$18:$Y$18,'实盘净值数据(iFinD公式)'!$B72:$Y72/'实盘净值数据(iFinD公式)'!$B$20:$Y$20)*(1-实盘持仓配置!$AM$5)^(('实盘净值数据(iFinD公式)'!$A72-'实盘净值数据(iFinD公式)'!$A$5)/365))</f>
        <v>0.86833244027466672</v>
      </c>
      <c r="F72" s="16">
        <f t="shared" si="14"/>
        <v>-1.0959981877065483E-2</v>
      </c>
      <c r="G72" s="16">
        <f>IF(E72="","",E72/MAX(E$5:E72)-1)</f>
        <v>-0.2104179982149248</v>
      </c>
      <c r="H72" s="13">
        <f>IF(OR('实盘净值数据(iFinD公式)'!$A72="",'实盘净值数据(iFinD公式)'!$B72=""),"",分期持仓明细!$AB$19*SUMPRODUCT(分期持仓明细!$B$19:$Y$19,'实盘净值数据(iFinD公式)'!$B72:$Y72/'实盘净值数据(iFinD公式)'!$B$20:$Y$20)*(1-实盘持仓配置!$AM$6)^(('实盘净值数据(iFinD公式)'!$A72-'实盘净值数据(iFinD公式)'!$A$7)/365))</f>
        <v>0.86059487461776318</v>
      </c>
      <c r="I72" s="16">
        <f t="shared" si="15"/>
        <v>-9.2578487370182927E-3</v>
      </c>
      <c r="J72" s="16">
        <f>IF(H72="","",H72/MAX(H$5:H72)-1)</f>
        <v>-0.22587956161458711</v>
      </c>
      <c r="K72" s="13">
        <f>IF(OR('实盘净值数据(iFinD公式)'!$A72="",'实盘净值数据(iFinD公式)'!$B72="",'实盘净值数据(iFinD公式)'!$Z72="",'实盘净值数据(iFinD公式)'!$AA72=""),"",分期持仓明细!$AB$23*(SUMPRODUCT(分期持仓明细!$B$23:$Y$23,'实盘净值数据(iFinD公式)'!$B72:$Y72/'实盘净值数据(iFinD公式)'!$B$65:$Y$65)+SUMPRODUCT(分期持仓明细!$AC$23:$AD$23,'实盘净值数据(iFinD公式)'!$Z72:$AA72/'实盘净值数据(iFinD公式)'!$Z$65:$AA$65))*(1-实盘持仓配置!$AM$7)^(('实盘净值数据(iFinD公式)'!$A72-'实盘净值数据(iFinD公式)'!$A$8)/365))</f>
        <v>0.99556490786349316</v>
      </c>
      <c r="L72" s="16">
        <f t="shared" si="16"/>
        <v>-4.8995525743311674E-4</v>
      </c>
      <c r="M72" s="16">
        <f>IF(K72="","",K72/MAX(K$5:K72)-1)</f>
        <v>-7.6819504752695389E-3</v>
      </c>
      <c r="N72" s="13">
        <f>IF(OR('实盘净值数据(iFinD公式)'!$A72="",'实盘净值数据(iFinD公式)'!$B72="",'实盘净值数据(iFinD公式)'!$Z72="",'实盘净值数据(iFinD公式)'!$AA72=""),"",分期持仓明细!$AB$24*(SUMPRODUCT(分期持仓明细!$B$24:$Y$24,'实盘净值数据(iFinD公式)'!$B72:$Y72/'实盘净值数据(iFinD公式)'!$B$65:$Y$65)+SUMPRODUCT(分期持仓明细!$AC$24:$AD$24,'实盘净值数据(iFinD公式)'!$Z72:$AA72/'实盘净值数据(iFinD公式)'!$Z$65:$AA$65))*(1-实盘持仓配置!$AM$8)^(('实盘净值数据(iFinD公式)'!$A72-'实盘净值数据(iFinD公式)'!$A$5)/365))</f>
        <v>0.99637448926500849</v>
      </c>
      <c r="O72" s="16">
        <f t="shared" si="17"/>
        <v>-5.9077143029784285E-4</v>
      </c>
      <c r="P72" s="16">
        <f>IF(N72="","",N72/MAX(N$5:N72)-1)</f>
        <v>-6.318525793404195E-3</v>
      </c>
      <c r="Q72" s="13">
        <f>IF(OR('实盘净值数据(iFinD公式)'!$A72="",'实盘净值数据(iFinD公式)'!$B72="",'实盘净值数据(iFinD公式)'!$Z72="",'实盘净值数据(iFinD公式)'!$AA72=""),"",分期持仓明细!$AB$25*(SUMPRODUCT(分期持仓明细!$B$25:$Y$25,'实盘净值数据(iFinD公式)'!$B72:$Y72/'实盘净值数据(iFinD公式)'!$B$65:$Y$65)+SUMPRODUCT(分期持仓明细!$AC$25:$AD$25,'实盘净值数据(iFinD公式)'!$Z72:$AA72/'实盘净值数据(iFinD公式)'!$Z$65:$AA$65))*(1-实盘持仓配置!$AM$9)^(('实盘净值数据(iFinD公式)'!$A72-'实盘净值数据(iFinD公式)'!$A$8)/365))</f>
        <v>0.96860588807840453</v>
      </c>
      <c r="R72" s="16">
        <f t="shared" si="18"/>
        <v>-2.0410774447668922E-3</v>
      </c>
      <c r="S72" s="16">
        <f>IF(Q72="","",Q72/MAX(Q$5:Q72)-1)</f>
        <v>-3.9807197526674609E-2</v>
      </c>
      <c r="T72" s="13">
        <f>IF(OR('实盘净值数据(iFinD公式)'!$A72="",'实盘净值数据(iFinD公式)'!$B72="",'实盘净值数据(iFinD公式)'!$Z72="",'实盘净值数据(iFinD公式)'!$AA72="",'实盘净值数据(iFinD公式)'!$AB72="",'实盘净值数据(iFinD公式)'!$AL72=""),"",(SUMPRODUCT(分期持仓明细!$B$26:$Y$26,'实盘净值数据(iFinD公式)'!$B72:$Y72/'实盘净值数据(iFinD公式)'!$B$69:$Y$69)+SUMPRODUCT(分期持仓明细!$AC$26:$AD$26,'实盘净值数据(iFinD公式)'!$Z72:$AA72/'实盘净值数据(iFinD公式)'!$Z$69:$AA$69)+SUMPRODUCT(分期持仓明细!$AE$26:$AO$26,'实盘净值数据(iFinD公式)'!$AB72:$AL72/'实盘净值数据(iFinD公式)'!$AB$69:$AL$69))*(1-实盘持仓配置!$AM$10)^(('实盘净值数据(iFinD公式)'!$A72-'实盘净值数据(iFinD公式)'!$A$69)/365))</f>
        <v>1.0039107737504707</v>
      </c>
      <c r="U72" s="16">
        <f t="shared" si="12"/>
        <v>-5.057431329813511E-5</v>
      </c>
      <c r="V72" s="16">
        <f>IF(T72="","",T72/MAX(T$5:T72)-1)</f>
        <v>-5.057431329813511E-5</v>
      </c>
    </row>
    <row r="73" spans="1:22">
      <c r="A73" s="15">
        <f>IF('实盘净值数据(iFinD公式)'!A73="","",'实盘净值数据(iFinD公式)'!A73)</f>
        <v>46288</v>
      </c>
      <c r="B73" s="13">
        <f>IF(OR('实盘净值数据(iFinD公式)'!$A73="",'实盘净值数据(iFinD公式)'!$B73=""),"",分期持仓明细!$AB$17*SUMPRODUCT(分期持仓明细!$B$17:$Y$17,'实盘净值数据(iFinD公式)'!$B73:$Y73/'实盘净值数据(iFinD公式)'!$B$20:$Y$20)*(1-实盘持仓配置!$AM$4)^(('实盘净值数据(iFinD公式)'!$A73-'实盘净值数据(iFinD公式)'!$A$6)/365))</f>
        <v>0.84768811171480274</v>
      </c>
      <c r="C73" s="16">
        <f t="shared" si="13"/>
        <v>-6.6086011839261438E-4</v>
      </c>
      <c r="D73" s="16">
        <f>IF(B73="","",B73/MAX(B$5:B73)-1)</f>
        <v>-0.21134134189958198</v>
      </c>
      <c r="E73" s="13">
        <f>IF(OR('实盘净值数据(iFinD公式)'!$A73="",'实盘净值数据(iFinD公式)'!$B73=""),"",分期持仓明细!$AB$18*SUMPRODUCT(分期持仓明细!$B$18:$Y$18,'实盘净值数据(iFinD公式)'!$B73:$Y73/'实盘净值数据(iFinD公式)'!$B$20:$Y$20)*(1-实盘持仓配置!$AM$5)^(('实盘净值数据(iFinD公式)'!$A73-'实盘净值数据(iFinD公式)'!$A$5)/365))</f>
        <v>0.86776578073524202</v>
      </c>
      <c r="F73" s="16">
        <f t="shared" si="14"/>
        <v>-6.525836340347535E-4</v>
      </c>
      <c r="G73" s="16">
        <f>IF(E73="","",E73/MAX(E$5:E73)-1)</f>
        <v>-0.21093326650701805</v>
      </c>
      <c r="H73" s="13">
        <f>IF(OR('实盘净值数据(iFinD公式)'!$A73="",'实盘净值数据(iFinD公式)'!$B73=""),"",分期持仓明细!$AB$19*SUMPRODUCT(分期持仓明细!$B$19:$Y$19,'实盘净值数据(iFinD公式)'!$B73:$Y73/'实盘净值数据(iFinD公式)'!$B$20:$Y$20)*(1-实盘持仓配置!$AM$6)^(('实盘净值数据(iFinD公式)'!$A73-'实盘净值数据(iFinD公式)'!$A$7)/365))</f>
        <v>0.86034575013600456</v>
      </c>
      <c r="I73" s="16">
        <f t="shared" si="15"/>
        <v>-2.8947939280865587E-4</v>
      </c>
      <c r="J73" s="16">
        <f>IF(H73="","",H73/MAX(H$5:H73)-1)</f>
        <v>-0.22610365352905171</v>
      </c>
      <c r="K73" s="13">
        <f>IF(OR('实盘净值数据(iFinD公式)'!$A73="",'实盘净值数据(iFinD公式)'!$B73="",'实盘净值数据(iFinD公式)'!$Z73="",'实盘净值数据(iFinD公式)'!$AA73=""),"",分期持仓明细!$AB$23*(SUMPRODUCT(分期持仓明细!$B$23:$Y$23,'实盘净值数据(iFinD公式)'!$B73:$Y73/'实盘净值数据(iFinD公式)'!$B$65:$Y$65)+SUMPRODUCT(分期持仓明细!$AC$23:$AD$23,'实盘净值数据(iFinD公式)'!$Z73:$AA73/'实盘净值数据(iFinD公式)'!$Z$65:$AA$65))*(1-实盘持仓配置!$AM$7)^(('实盘净值数据(iFinD公式)'!$A73-'实盘净值数据(iFinD公式)'!$A$8)/365))</f>
        <v>0.99552260569273965</v>
      </c>
      <c r="L73" s="16">
        <f t="shared" si="16"/>
        <v>-4.2490620570712068E-5</v>
      </c>
      <c r="M73" s="16">
        <f>IF(K73="","",K73/MAX(K$5:K73)-1)</f>
        <v>-7.7241146849973408E-3</v>
      </c>
      <c r="N73" s="13">
        <f>IF(OR('实盘净值数据(iFinD公式)'!$A73="",'实盘净值数据(iFinD公式)'!$B73="",'实盘净值数据(iFinD公式)'!$Z73="",'实盘净值数据(iFinD公式)'!$AA73=""),"",分期持仓明细!$AB$24*(SUMPRODUCT(分期持仓明细!$B$24:$Y$24,'实盘净值数据(iFinD公式)'!$B73:$Y73/'实盘净值数据(iFinD公式)'!$B$65:$Y$65)+SUMPRODUCT(分期持仓明细!$AC$24:$AD$24,'实盘净值数据(iFinD公式)'!$Z73:$AA73/'实盘净值数据(iFinD公式)'!$Z$65:$AA$65))*(1-实盘持仓配置!$AM$8)^(('实盘净值数据(iFinD公式)'!$A73-'实盘净值数据(iFinD公式)'!$A$5)/365))</f>
        <v>0.99633703836320309</v>
      </c>
      <c r="O73" s="16">
        <f t="shared" si="17"/>
        <v>-3.7587174510078647E-5</v>
      </c>
      <c r="P73" s="16">
        <f>IF(N73="","",N73/MAX(N$5:N73)-1)</f>
        <v>-6.3558754723825883E-3</v>
      </c>
      <c r="Q73" s="13">
        <f>IF(OR('实盘净值数据(iFinD公式)'!$A73="",'实盘净值数据(iFinD公式)'!$B73="",'实盘净值数据(iFinD公式)'!$Z73="",'实盘净值数据(iFinD公式)'!$AA73=""),"",分期持仓明细!$AB$25*(SUMPRODUCT(分期持仓明细!$B$25:$Y$25,'实盘净值数据(iFinD公式)'!$B73:$Y73/'实盘净值数据(iFinD公式)'!$B$65:$Y$65)+SUMPRODUCT(分期持仓明细!$AC$25:$AD$25,'实盘净值数据(iFinD公式)'!$Z73:$AA73/'实盘净值数据(iFinD公式)'!$Z$65:$AA$65))*(1-实盘持仓配置!$AM$9)^(('实盘净值数据(iFinD公式)'!$A73-'实盘净值数据(iFinD公式)'!$A$8)/365))</f>
        <v>0.96829912943841101</v>
      </c>
      <c r="R73" s="16">
        <f t="shared" si="18"/>
        <v>-3.1670119268234487E-4</v>
      </c>
      <c r="S73" s="16">
        <f>IF(Q73="","",Q73/MAX(Q$5:Q73)-1)</f>
        <v>-4.0111291732422893E-2</v>
      </c>
      <c r="T73" s="13">
        <f>IF(OR('实盘净值数据(iFinD公式)'!$A73="",'实盘净值数据(iFinD公式)'!$B73="",'实盘净值数据(iFinD公式)'!$Z73="",'实盘净值数据(iFinD公式)'!$AA73="",'实盘净值数据(iFinD公式)'!$AB73="",'实盘净值数据(iFinD公式)'!$AL73=""),"",(SUMPRODUCT(分期持仓明细!$B$26:$Y$26,'实盘净值数据(iFinD公式)'!$B73:$Y73/'实盘净值数据(iFinD公式)'!$B$69:$Y$69)+SUMPRODUCT(分期持仓明细!$AC$26:$AD$26,'实盘净值数据(iFinD公式)'!$Z73:$AA73/'实盘净值数据(iFinD公式)'!$Z$69:$AA$69)+SUMPRODUCT(分期持仓明细!$AE$26:$AO$26,'实盘净值数据(iFinD公式)'!$AB73:$AL73/'实盘净值数据(iFinD公式)'!$AB$69:$AL$69))*(1-实盘持仓配置!$AM$10)^(('实盘净值数据(iFinD公式)'!$A73-'实盘净值数据(iFinD公式)'!$A$69)/365))</f>
        <v>1.0035343018839322</v>
      </c>
      <c r="U73" s="16">
        <f t="shared" si="12"/>
        <v>-3.7500530563283618E-4</v>
      </c>
      <c r="V73" s="16">
        <f>IF(T73="","",T73/MAX(T$5:T73)-1)</f>
        <v>-4.2556065329524273E-4</v>
      </c>
    </row>
    <row r="74" spans="1:22">
      <c r="A74" s="15">
        <f>IF('实盘净值数据(iFinD公式)'!A74="","",'实盘净值数据(iFinD公式)'!A74)</f>
        <v>46289</v>
      </c>
      <c r="B74" s="13">
        <f>IF(OR('实盘净值数据(iFinD公式)'!$A74="",'实盘净值数据(iFinD公式)'!$B74=""),"",分期持仓明细!$AB$17*SUMPRODUCT(分期持仓明细!$B$17:$Y$17,'实盘净值数据(iFinD公式)'!$B74:$Y74/'实盘净值数据(iFinD公式)'!$B$20:$Y$20)*(1-实盘持仓配置!$AM$4)^(('实盘净值数据(iFinD公式)'!$A74-'实盘净值数据(iFinD公式)'!$A$6)/365))</f>
        <v>0.82538728009305617</v>
      </c>
      <c r="C74" s="16">
        <f t="shared" si="13"/>
        <v>-2.6307826326163575E-2</v>
      </c>
      <c r="D74" s="16">
        <f>IF(B74="","",B74/MAX(B$5:B74)-1)</f>
        <v>-0.23208923690751293</v>
      </c>
      <c r="E74" s="13">
        <f>IF(OR('实盘净值数据(iFinD公式)'!$A74="",'实盘净值数据(iFinD公式)'!$B74=""),"",分期持仓明细!$AB$18*SUMPRODUCT(分期持仓明细!$B$18:$Y$18,'实盘净值数据(iFinD公式)'!$B74:$Y74/'实盘净值数据(iFinD公式)'!$B$20:$Y$20)*(1-实盘持仓配置!$AM$5)^(('实盘净值数据(iFinD公式)'!$A74-'实盘净值数据(iFinD公式)'!$A$5)/365))</f>
        <v>0.84490811776117003</v>
      </c>
      <c r="F74" s="16">
        <f t="shared" si="14"/>
        <v>-2.6340820854568792E-2</v>
      </c>
      <c r="G74" s="16">
        <f>IF(E74="","",E74/MAX(E$5:E74)-1)</f>
        <v>-0.23171793197625645</v>
      </c>
      <c r="H74" s="13">
        <f>IF(OR('实盘净值数据(iFinD公式)'!$A74="",'实盘净值数据(iFinD公式)'!$B74=""),"",分期持仓明细!$AB$19*SUMPRODUCT(分期持仓明细!$B$19:$Y$19,'实盘净值数据(iFinD公式)'!$B74:$Y74/'实盘净值数据(iFinD公式)'!$B$20:$Y$20)*(1-实盘持仓配置!$AM$6)^(('实盘净值数据(iFinD公式)'!$A74-'实盘净值数据(iFinD公式)'!$A$7)/365))</f>
        <v>0.83746582349789678</v>
      </c>
      <c r="I74" s="16">
        <f t="shared" si="15"/>
        <v>-2.6593874188941991E-2</v>
      </c>
      <c r="J74" s="16">
        <f>IF(H74="","",H74/MAX(H$5:H74)-1)</f>
        <v>-0.24668455560238189</v>
      </c>
      <c r="K74" s="13">
        <f>IF(OR('实盘净值数据(iFinD公式)'!$A74="",'实盘净值数据(iFinD公式)'!$B74="",'实盘净值数据(iFinD公式)'!$Z74="",'实盘净值数据(iFinD公式)'!$AA74=""),"",分期持仓明细!$AB$23*(SUMPRODUCT(分期持仓明细!$B$23:$Y$23,'实盘净值数据(iFinD公式)'!$B74:$Y74/'实盘净值数据(iFinD公式)'!$B$65:$Y$65)+SUMPRODUCT(分期持仓明细!$AC$23:$AD$23,'实盘净值数据(iFinD公式)'!$Z74:$AA74/'实盘净值数据(iFinD公式)'!$Z$65:$AA$65))*(1-实盘持仓配置!$AM$7)^(('实盘净值数据(iFinD公式)'!$A74-'实盘净值数据(iFinD公式)'!$A$8)/365))</f>
        <v>0.99340803405582379</v>
      </c>
      <c r="L74" s="16">
        <f t="shared" si="16"/>
        <v>-2.1240819895239627E-3</v>
      </c>
      <c r="M74" s="16">
        <f>IF(K74="","",K74/MAX(K$5:K74)-1)</f>
        <v>-9.8317900216338128E-3</v>
      </c>
      <c r="N74" s="13">
        <f>IF(OR('实盘净值数据(iFinD公式)'!$A74="",'实盘净值数据(iFinD公式)'!$B74="",'实盘净值数据(iFinD公式)'!$Z74="",'实盘净值数据(iFinD公式)'!$AA74=""),"",分期持仓明细!$AB$24*(SUMPRODUCT(分期持仓明细!$B$24:$Y$24,'实盘净值数据(iFinD公式)'!$B74:$Y74/'实盘净值数据(iFinD公式)'!$B$65:$Y$65)+SUMPRODUCT(分期持仓明细!$AC$24:$AD$24,'实盘净值数据(iFinD公式)'!$Z74:$AA74/'实盘净值数据(iFinD公式)'!$Z$65:$AA$65))*(1-实盘持仓配置!$AM$8)^(('实盘净值数据(iFinD公式)'!$A74-'实盘净值数据(iFinD公式)'!$A$5)/365))</f>
        <v>0.99428114831930292</v>
      </c>
      <c r="O74" s="16">
        <f t="shared" si="17"/>
        <v>-2.0634483761414746E-3</v>
      </c>
      <c r="P74" s="16">
        <f>IF(N74="","",N74/MAX(N$5:N74)-1)</f>
        <v>-8.40620882760168E-3</v>
      </c>
      <c r="Q74" s="13">
        <f>IF(OR('实盘净值数据(iFinD公式)'!$A74="",'实盘净值数据(iFinD公式)'!$B74="",'实盘净值数据(iFinD公式)'!$Z74="",'实盘净值数据(iFinD公式)'!$AA74=""),"",分期持仓明细!$AB$25*(SUMPRODUCT(分期持仓明细!$B$25:$Y$25,'实盘净值数据(iFinD公式)'!$B74:$Y74/'实盘净值数据(iFinD公式)'!$B$65:$Y$65)+SUMPRODUCT(分期持仓明细!$AC$25:$AD$25,'实盘净值数据(iFinD公式)'!$Z74:$AA74/'实盘净值数据(iFinD公式)'!$Z$65:$AA$65))*(1-实盘持仓配置!$AM$9)^(('实盘净值数据(iFinD公式)'!$A74-'实盘净值数据(iFinD公式)'!$A$8)/365))</f>
        <v>0.96096484546171013</v>
      </c>
      <c r="R74" s="16">
        <f t="shared" si="18"/>
        <v>-7.5743990196031064E-3</v>
      </c>
      <c r="S74" s="16">
        <f>IF(Q74="","",Q74/MAX(Q$5:Q74)-1)</f>
        <v>-4.738187182325293E-2</v>
      </c>
      <c r="T74" s="13">
        <f>IF(OR('实盘净值数据(iFinD公式)'!$A74="",'实盘净值数据(iFinD公式)'!$B74="",'实盘净值数据(iFinD公式)'!$Z74="",'实盘净值数据(iFinD公式)'!$AA74="",'实盘净值数据(iFinD公式)'!$AB74="",'实盘净值数据(iFinD公式)'!$AL74=""),"",(SUMPRODUCT(分期持仓明细!$B$26:$Y$26,'实盘净值数据(iFinD公式)'!$B74:$Y74/'实盘净值数据(iFinD公式)'!$B$69:$Y$69)+SUMPRODUCT(分期持仓明细!$AC$26:$AD$26,'实盘净值数据(iFinD公式)'!$Z74:$AA74/'实盘净值数据(iFinD公式)'!$Z$69:$AA$69)+SUMPRODUCT(分期持仓明细!$AE$26:$AO$26,'实盘净值数据(iFinD公式)'!$AB74:$AL74/'实盘净值数据(iFinD公式)'!$AB$69:$AL$69))*(1-实盘持仓配置!$AM$10)^(('实盘净值数据(iFinD公式)'!$A74-'实盘净值数据(iFinD公式)'!$A$69)/365))</f>
        <v>1.0016411400320431</v>
      </c>
      <c r="U74" s="16">
        <f t="shared" si="12"/>
        <v>-1.8864944111378623E-3</v>
      </c>
      <c r="V74" s="16">
        <f>IF(T74="","",T74/MAX(T$5:T74)-1)</f>
        <v>-2.3112522466389729E-3</v>
      </c>
    </row>
    <row r="75" spans="1:22">
      <c r="A75" s="15">
        <f>IF('实盘净值数据(iFinD公式)'!A75="","",'实盘净值数据(iFinD公式)'!A75)</f>
        <v>46293</v>
      </c>
      <c r="B75" s="13">
        <f>IF(OR('实盘净值数据(iFinD公式)'!$A75="",'实盘净值数据(iFinD公式)'!$B75=""),"",分期持仓明细!$AB$17*SUMPRODUCT(分期持仓明细!$B$17:$Y$17,'实盘净值数据(iFinD公式)'!$B75:$Y75/'实盘净值数据(iFinD公式)'!$B$20:$Y$20)*(1-实盘持仓配置!$AM$4)^(('实盘净值数据(iFinD公式)'!$A75-'实盘净值数据(iFinD公式)'!$A$6)/365))</f>
        <v>0.77983678575486437</v>
      </c>
      <c r="C75" s="16">
        <f t="shared" si="13"/>
        <v>-5.5186814040866117E-2</v>
      </c>
      <c r="D75" s="16">
        <f>IF(B75="","",B75/MAX(B$5:B75)-1)</f>
        <v>-0.27446778539027772</v>
      </c>
      <c r="E75" s="13">
        <f>IF(OR('实盘净值数据(iFinD公式)'!$A75="",'实盘净值数据(iFinD公式)'!$B75=""),"",分期持仓明细!$AB$18*SUMPRODUCT(分期持仓明细!$B$18:$Y$18,'实盘净值数据(iFinD公式)'!$B75:$Y75/'实盘净值数据(iFinD公式)'!$B$20:$Y$20)*(1-实盘持仓配置!$AM$5)^(('实盘净值数据(iFinD公式)'!$A75-'实盘净值数据(iFinD公式)'!$A$5)/365))</f>
        <v>0.79821565503418213</v>
      </c>
      <c r="F75" s="16">
        <f t="shared" si="14"/>
        <v>-5.5263361477355888E-2</v>
      </c>
      <c r="G75" s="16">
        <f>IF(E75="","",E75/MAX(E$5:E75)-1)</f>
        <v>-0.27417578161802314</v>
      </c>
      <c r="H75" s="13">
        <f>IF(OR('实盘净值数据(iFinD公式)'!$A75="",'实盘净值数据(iFinD公式)'!$B75=""),"",分期持仓明细!$AB$19*SUMPRODUCT(分期持仓明细!$B$19:$Y$19,'实盘净值数据(iFinD公式)'!$B75:$Y75/'实盘净值数据(iFinD公式)'!$B$20:$Y$20)*(1-实盘持仓配置!$AM$6)^(('实盘净值数据(iFinD公式)'!$A75-'实盘净值数据(iFinD公式)'!$A$7)/365))</f>
        <v>0.79461942206026914</v>
      </c>
      <c r="I75" s="16">
        <f t="shared" si="15"/>
        <v>-5.1161970119172562E-2</v>
      </c>
      <c r="J75" s="16">
        <f>IF(H75="","",H75/MAX(H$5:H75)-1)</f>
        <v>-0.28522565785896403</v>
      </c>
      <c r="K75" s="13">
        <f>IF(OR('实盘净值数据(iFinD公式)'!$A75="",'实盘净值数据(iFinD公式)'!$B75="",'实盘净值数据(iFinD公式)'!$Z75="",'实盘净值数据(iFinD公式)'!$AA75=""),"",分期持仓明细!$AB$23*(SUMPRODUCT(分期持仓明细!$B$23:$Y$23,'实盘净值数据(iFinD公式)'!$B75:$Y75/'实盘净值数据(iFinD公式)'!$B$65:$Y$65)+SUMPRODUCT(分期持仓明细!$AC$23:$AD$23,'实盘净值数据(iFinD公式)'!$Z75:$AA75/'实盘净值数据(iFinD公式)'!$Z$65:$AA$65))*(1-实盘持仓配置!$AM$7)^(('实盘净值数据(iFinD公式)'!$A75-'实盘净值数据(iFinD公式)'!$A$8)/365))</f>
        <v>0.98741351223966312</v>
      </c>
      <c r="L75" s="16">
        <f t="shared" si="16"/>
        <v>-6.0342997143747468E-3</v>
      </c>
      <c r="M75" s="16">
        <f>IF(K75="","",K75/MAX(K$5:K75)-1)</f>
        <v>-1.5806761768289213E-2</v>
      </c>
      <c r="N75" s="13">
        <f>IF(OR('实盘净值数据(iFinD公式)'!$A75="",'实盘净值数据(iFinD公式)'!$B75="",'实盘净值数据(iFinD公式)'!$Z75="",'实盘净值数据(iFinD公式)'!$AA75=""),"",分期持仓明细!$AB$24*(SUMPRODUCT(分期持仓明细!$B$24:$Y$24,'实盘净值数据(iFinD公式)'!$B75:$Y75/'实盘净值数据(iFinD公式)'!$B$65:$Y$65)+SUMPRODUCT(分期持仓明细!$AC$24:$AD$24,'实盘净值数据(iFinD公式)'!$Z75:$AA75/'实盘净值数据(iFinD公式)'!$Z$65:$AA$65))*(1-实盘持仓配置!$AM$8)^(('实盘净值数据(iFinD公式)'!$A75-'实盘净值数据(iFinD公式)'!$A$5)/365))</f>
        <v>0.98821135235560031</v>
      </c>
      <c r="O75" s="16">
        <f t="shared" si="17"/>
        <v>-6.1047078826373946E-3</v>
      </c>
      <c r="P75" s="16">
        <f>IF(N75="","",N75/MAX(N$5:N75)-1)</f>
        <v>-1.4459599260946088E-2</v>
      </c>
      <c r="Q75" s="13">
        <f>IF(OR('实盘净值数据(iFinD公式)'!$A75="",'实盘净值数据(iFinD公式)'!$B75="",'实盘净值数据(iFinD公式)'!$Z75="",'实盘净值数据(iFinD公式)'!$AA75=""),"",分期持仓明细!$AB$25*(SUMPRODUCT(分期持仓明细!$B$25:$Y$25,'实盘净值数据(iFinD公式)'!$B75:$Y75/'实盘净值数据(iFinD公式)'!$B$65:$Y$65)+SUMPRODUCT(分期持仓明细!$AC$25:$AD$25,'实盘净值数据(iFinD公式)'!$Z75:$AA75/'实盘净值数据(iFinD公式)'!$Z$65:$AA$65))*(1-实盘持仓配置!$AM$9)^(('实盘净值数据(iFinD公式)'!$A75-'实盘净值数据(iFinD公式)'!$A$8)/365))</f>
        <v>0.94559160796635988</v>
      </c>
      <c r="R75" s="16">
        <f t="shared" si="18"/>
        <v>-1.5997710600915815E-2</v>
      </c>
      <c r="S75" s="16">
        <f>IF(Q75="","",Q75/MAX(Q$5:Q75)-1)</f>
        <v>-6.2621580951010669E-2</v>
      </c>
      <c r="T75" s="13">
        <f>IF(OR('实盘净值数据(iFinD公式)'!$A75="",'实盘净值数据(iFinD公式)'!$B75="",'实盘净值数据(iFinD公式)'!$Z75="",'实盘净值数据(iFinD公式)'!$AA75="",'实盘净值数据(iFinD公式)'!$AB75="",'实盘净值数据(iFinD公式)'!$AL75=""),"",(SUMPRODUCT(分期持仓明细!$B$26:$Y$26,'实盘净值数据(iFinD公式)'!$B75:$Y75/'实盘净值数据(iFinD公式)'!$B$69:$Y$69)+SUMPRODUCT(分期持仓明细!$AC$26:$AD$26,'实盘净值数据(iFinD公式)'!$Z75:$AA75/'实盘净值数据(iFinD公式)'!$Z$69:$AA$69)+SUMPRODUCT(分期持仓明细!$AE$26:$AO$26,'实盘净值数据(iFinD公式)'!$AB75:$AL75/'实盘净值数据(iFinD公式)'!$AB$69:$AL$69))*(1-实盘持仓配置!$AM$10)^(('实盘净值数据(iFinD公式)'!$A75-'实盘净值数据(iFinD公式)'!$A$69)/365))</f>
        <v>0.99706114062990459</v>
      </c>
      <c r="U75" s="16">
        <f t="shared" si="12"/>
        <v>-4.572495297060164E-3</v>
      </c>
      <c r="V75" s="16">
        <f>IF(T75="","",T75/MAX(T$5:T75)-1)</f>
        <v>-6.8731793536710439E-3</v>
      </c>
    </row>
    <row r="76" spans="1:22">
      <c r="A76" s="15">
        <f>IF('实盘净值数据(iFinD公式)'!A76="","",'实盘净值数据(iFinD公式)'!A76)</f>
        <v>46294</v>
      </c>
      <c r="B76" s="13">
        <f>IF(OR('实盘净值数据(iFinD公式)'!$A76="",'实盘净值数据(iFinD公式)'!$B76=""),"",分期持仓明细!$AB$17*SUMPRODUCT(分期持仓明细!$B$17:$Y$17,'实盘净值数据(iFinD公式)'!$B76:$Y76/'实盘净值数据(iFinD公式)'!$B$20:$Y$20)*(1-实盘持仓配置!$AM$4)^(('实盘净值数据(iFinD公式)'!$A76-'实盘净值数据(iFinD公式)'!$A$6)/365))</f>
        <v>0.78577250369523421</v>
      </c>
      <c r="C76" s="16">
        <f t="shared" si="13"/>
        <v>7.6114874917374564E-3</v>
      </c>
      <c r="D76" s="16">
        <f>IF(B76="","",B76/MAX(B$5:B76)-1)</f>
        <v>-0.26894540601392325</v>
      </c>
      <c r="E76" s="13">
        <f>IF(OR('实盘净值数据(iFinD公式)'!$A76="",'实盘净值数据(iFinD公式)'!$B76=""),"",分期持仓明细!$AB$18*SUMPRODUCT(分期持仓明细!$B$18:$Y$18,'实盘净值数据(iFinD公式)'!$B76:$Y76/'实盘净值数据(iFinD公式)'!$B$20:$Y$20)*(1-实盘持仓配置!$AM$5)^(('实盘净值数据(iFinD公式)'!$A76-'实盘净值数据(iFinD公式)'!$A$5)/365))</f>
        <v>0.80431065403616053</v>
      </c>
      <c r="F76" s="16">
        <f t="shared" si="14"/>
        <v>7.6357798341069039E-3</v>
      </c>
      <c r="G76" s="16">
        <f>IF(E76="","",E76/MAX(E$5:E76)-1)</f>
        <v>-0.26863354768819558</v>
      </c>
      <c r="H76" s="13">
        <f>IF(OR('实盘净值数据(iFinD公式)'!$A76="",'实盘净值数据(iFinD公式)'!$B76=""),"",分期持仓明细!$AB$19*SUMPRODUCT(分期持仓明细!$B$19:$Y$19,'实盘净值数据(iFinD公式)'!$B76:$Y76/'实盘净值数据(iFinD公式)'!$B$20:$Y$20)*(1-实盘持仓配置!$AM$6)^(('实盘净值数据(iFinD公式)'!$A76-'实盘净值数据(iFinD公式)'!$A$7)/365))</f>
        <v>0.7989371458291149</v>
      </c>
      <c r="I76" s="16">
        <f t="shared" si="15"/>
        <v>5.4337002708175763E-3</v>
      </c>
      <c r="J76" s="16">
        <f>IF(H76="","",H76/MAX(H$5:H76)-1)</f>
        <v>-0.2813417883224989</v>
      </c>
      <c r="K76" s="13">
        <f>IF(OR('实盘净值数据(iFinD公式)'!$A76="",'实盘净值数据(iFinD公式)'!$B76="",'实盘净值数据(iFinD公式)'!$Z76="",'实盘净值数据(iFinD公式)'!$AA76=""),"",分期持仓明细!$AB$23*(SUMPRODUCT(分期持仓明细!$B$23:$Y$23,'实盘净值数据(iFinD公式)'!$B76:$Y76/'实盘净值数据(iFinD公式)'!$B$65:$Y$65)+SUMPRODUCT(分期持仓明细!$AC$23:$AD$23,'实盘净值数据(iFinD公式)'!$Z76:$AA76/'实盘净值数据(iFinD公式)'!$Z$65:$AA$65))*(1-实盘持仓配置!$AM$7)^(('实盘净值数据(iFinD公式)'!$A76-'实盘净值数据(iFinD公式)'!$A$8)/365))</f>
        <v>0.9886589134542314</v>
      </c>
      <c r="L76" s="16">
        <f t="shared" si="16"/>
        <v>1.2612762526851284E-3</v>
      </c>
      <c r="M76" s="16">
        <f>IF(K76="","",K76/MAX(K$5:K76)-1)</f>
        <v>-1.4565422208854262E-2</v>
      </c>
      <c r="N76" s="13">
        <f>IF(OR('实盘净值数据(iFinD公式)'!$A76="",'实盘净值数据(iFinD公式)'!$B76="",'实盘净值数据(iFinD公式)'!$Z76="",'实盘净值数据(iFinD公式)'!$AA76=""),"",分期持仓明细!$AB$24*(SUMPRODUCT(分期持仓明细!$B$24:$Y$24,'实盘净值数据(iFinD公式)'!$B76:$Y76/'实盘净值数据(iFinD公式)'!$B$65:$Y$65)+SUMPRODUCT(分期持仓明细!$AC$24:$AD$24,'实盘净值数据(iFinD公式)'!$Z76:$AA76/'实盘净值数据(iFinD公式)'!$Z$65:$AA$65))*(1-实盘持仓配置!$AM$8)^(('实盘净值数据(iFinD公式)'!$A76-'实盘净值数据(iFinD公式)'!$A$5)/365))</f>
        <v>0.98955408677117096</v>
      </c>
      <c r="O76" s="16">
        <f t="shared" si="17"/>
        <v>1.3587522672857677E-3</v>
      </c>
      <c r="P76" s="16">
        <f>IF(N76="","",N76/MAX(N$5:N76)-1)</f>
        <v>-1.3120494006940264E-2</v>
      </c>
      <c r="Q76" s="13">
        <f>IF(OR('实盘净值数据(iFinD公式)'!$A76="",'实盘净值数据(iFinD公式)'!$B76="",'实盘净值数据(iFinD公式)'!$Z76="",'实盘净值数据(iFinD公式)'!$AA76=""),"",分期持仓明细!$AB$25*(SUMPRODUCT(分期持仓明细!$B$25:$Y$25,'实盘净值数据(iFinD公式)'!$B76:$Y76/'实盘净值数据(iFinD公式)'!$B$65:$Y$65)+SUMPRODUCT(分期持仓明细!$AC$25:$AD$25,'实盘净值数据(iFinD公式)'!$Z76:$AA76/'实盘净值数据(iFinD公式)'!$Z$65:$AA$65))*(1-实盘持仓配置!$AM$9)^(('实盘净值数据(iFinD公式)'!$A76-'实盘净值数据(iFinD公式)'!$A$8)/365))</f>
        <v>0.94752185852985193</v>
      </c>
      <c r="R76" s="16">
        <f t="shared" si="18"/>
        <v>2.0413152435261317E-3</v>
      </c>
      <c r="S76" s="16">
        <f>IF(Q76="","",Q76/MAX(Q$5:Q76)-1)</f>
        <v>-6.0708096095253627E-2</v>
      </c>
      <c r="T76" s="13">
        <f>IF(OR('实盘净值数据(iFinD公式)'!$A76="",'实盘净值数据(iFinD公式)'!$B76="",'实盘净值数据(iFinD公式)'!$Z76="",'实盘净值数据(iFinD公式)'!$AA76="",'实盘净值数据(iFinD公式)'!$AB76="",'实盘净值数据(iFinD公式)'!$AL76=""),"",(SUMPRODUCT(分期持仓明细!$B$26:$Y$26,'实盘净值数据(iFinD公式)'!$B76:$Y76/'实盘净值数据(iFinD公式)'!$B$69:$Y$69)+SUMPRODUCT(分期持仓明细!$AC$26:$AD$26,'实盘净值数据(iFinD公式)'!$Z76:$AA76/'实盘净值数据(iFinD公式)'!$Z$69:$AA$69)+SUMPRODUCT(分期持仓明细!$AE$26:$AO$26,'实盘净值数据(iFinD公式)'!$AB76:$AL76/'实盘净值数据(iFinD公式)'!$AB$69:$AL$69))*(1-实盘持仓配置!$AM$10)^(('实盘净值数据(iFinD公式)'!$A76-'实盘净值数据(iFinD公式)'!$A$69)/365))</f>
        <v>0.99802594452974192</v>
      </c>
      <c r="U76" s="16">
        <f t="shared" si="12"/>
        <v>9.6764768028956283E-4</v>
      </c>
      <c r="V76" s="16">
        <f>IF(T76="","",T76/MAX(T$5:T76)-1)</f>
        <v>-5.912182489439366E-3</v>
      </c>
    </row>
    <row r="77" spans="1:22">
      <c r="A77" s="15">
        <f>IF('实盘净值数据(iFinD公式)'!A77="","",'实盘净值数据(iFinD公式)'!A77)</f>
        <v>46295</v>
      </c>
      <c r="B77" s="13">
        <f>IF(OR('实盘净值数据(iFinD公式)'!$A77="",'实盘净值数据(iFinD公式)'!$B77=""),"",分期持仓明细!$AB$17*SUMPRODUCT(分期持仓明细!$B$17:$Y$17,'实盘净值数据(iFinD公式)'!$B77:$Y77/'实盘净值数据(iFinD公式)'!$B$20:$Y$20)*(1-实盘持仓配置!$AM$4)^(('实盘净值数据(iFinD公式)'!$A77-'实盘净值数据(iFinD公式)'!$A$6)/365))</f>
        <v>0.77376106754922114</v>
      </c>
      <c r="C77" s="16">
        <f t="shared" si="13"/>
        <v>-1.5286149731031817E-2</v>
      </c>
      <c r="D77" s="16">
        <f>IF(B77="","",B77/MAX(B$5:B77)-1)</f>
        <v>-0.28012041599915305</v>
      </c>
      <c r="E77" s="13">
        <f>IF(OR('实盘净值数据(iFinD公式)'!$A77="",'实盘净值数据(iFinD公式)'!$B77=""),"",分期持仓明细!$AB$18*SUMPRODUCT(分期持仓明细!$B$18:$Y$18,'实盘净值数据(iFinD公式)'!$B77:$Y77/'实盘净值数据(iFinD公式)'!$B$20:$Y$20)*(1-实盘持仓配置!$AM$5)^(('实盘净值数据(iFinD公式)'!$A77-'实盘净值数据(iFinD公式)'!$A$5)/365))</f>
        <v>0.7920239802207002</v>
      </c>
      <c r="F77" s="16">
        <f t="shared" si="14"/>
        <v>-1.5276030167950427E-2</v>
      </c>
      <c r="G77" s="16">
        <f>IF(E77="","",E77/MAX(E$5:E77)-1)</f>
        <v>-0.27980592367753765</v>
      </c>
      <c r="H77" s="13">
        <f>IF(OR('实盘净值数据(iFinD公式)'!$A77="",'实盘净值数据(iFinD公式)'!$B77=""),"",分期持仓明细!$AB$19*SUMPRODUCT(分期持仓明细!$B$19:$Y$19,'实盘净值数据(iFinD公式)'!$B77:$Y77/'实盘净值数据(iFinD公式)'!$B$20:$Y$20)*(1-实盘持仓配置!$AM$6)^(('实盘净值数据(iFinD公式)'!$A77-'实盘净值数据(iFinD公式)'!$A$7)/365))</f>
        <v>0.78373389747065003</v>
      </c>
      <c r="I77" s="16">
        <f t="shared" si="15"/>
        <v>-1.9029342217762757E-2</v>
      </c>
      <c r="J77" s="16">
        <f>IF(H77="","",H77/MAX(H$5:H77)-1)</f>
        <v>-0.29501738137011546</v>
      </c>
      <c r="K77" s="13">
        <f>IF(OR('实盘净值数据(iFinD公式)'!$A77="",'实盘净值数据(iFinD公式)'!$B77="",'实盘净值数据(iFinD公式)'!$Z77="",'实盘净值数据(iFinD公式)'!$AA77=""),"",分期持仓明细!$AB$23*(SUMPRODUCT(分期持仓明细!$B$23:$Y$23,'实盘净值数据(iFinD公式)'!$B77:$Y77/'实盘净值数据(iFinD公式)'!$B$65:$Y$65)+SUMPRODUCT(分期持仓明细!$AC$23:$AD$23,'实盘净值数据(iFinD公式)'!$Z77:$AA77/'实盘净值数据(iFinD公式)'!$Z$65:$AA$65))*(1-实盘持仓配置!$AM$7)^(('实盘净值数据(iFinD公式)'!$A77-'实盘净值数据(iFinD公式)'!$A$8)/365))</f>
        <v>0.98722062084336581</v>
      </c>
      <c r="L77" s="16">
        <f t="shared" si="16"/>
        <v>-1.4547915274848444E-3</v>
      </c>
      <c r="M77" s="16">
        <f>IF(K77="","",K77/MAX(K$5:K77)-1)</f>
        <v>-1.5999024083515501E-2</v>
      </c>
      <c r="N77" s="13">
        <f>IF(OR('实盘净值数据(iFinD公式)'!$A77="",'实盘净值数据(iFinD公式)'!$B77="",'实盘净值数据(iFinD公式)'!$Z77="",'实盘净值数据(iFinD公式)'!$AA77=""),"",分期持仓明细!$AB$24*(SUMPRODUCT(分期持仓明细!$B$24:$Y$24,'实盘净值数据(iFinD公式)'!$B77:$Y77/'实盘净值数据(iFinD公式)'!$B$65:$Y$65)+SUMPRODUCT(分期持仓明细!$AC$24:$AD$24,'实盘净值数据(iFinD公式)'!$Z77:$AA77/'实盘净值数据(iFinD公式)'!$Z$65:$AA$65))*(1-实盘持仓配置!$AM$8)^(('实盘净值数据(iFinD公式)'!$A77-'实盘净值数据(iFinD公式)'!$A$5)/365))</f>
        <v>0.98823707745102929</v>
      </c>
      <c r="O77" s="16">
        <f t="shared" si="17"/>
        <v>-1.3309119104737421E-3</v>
      </c>
      <c r="P77" s="16">
        <f>IF(N77="","",N77/MAX(N$5:N77)-1)</f>
        <v>-1.4433943695668749E-2</v>
      </c>
      <c r="Q77" s="13">
        <f>IF(OR('实盘净值数据(iFinD公式)'!$A77="",'实盘净值数据(iFinD公式)'!$B77="",'实盘净值数据(iFinD公式)'!$Z77="",'实盘净值数据(iFinD公式)'!$AA77=""),"",分期持仓明细!$AB$25*(SUMPRODUCT(分期持仓明细!$B$25:$Y$25,'实盘净值数据(iFinD公式)'!$B77:$Y77/'实盘净值数据(iFinD公式)'!$B$65:$Y$65)+SUMPRODUCT(分期持仓明细!$AC$25:$AD$25,'实盘净值数据(iFinD公式)'!$Z77:$AA77/'实盘净值数据(iFinD公式)'!$Z$65:$AA$65))*(1-实盘持仓配置!$AM$9)^(('实盘净值数据(iFinD公式)'!$A77-'实盘净值数据(iFinD公式)'!$A$8)/365))</f>
        <v>0.94496366717007274</v>
      </c>
      <c r="R77" s="16">
        <f t="shared" si="18"/>
        <v>-2.6998758252906319E-3</v>
      </c>
      <c r="S77" s="16">
        <f>IF(Q77="","",Q77/MAX(Q$5:Q77)-1)</f>
        <v>-6.3244067599497189E-2</v>
      </c>
      <c r="T77" s="13">
        <f>IF(OR('实盘净值数据(iFinD公式)'!$A77="",'实盘净值数据(iFinD公式)'!$B77="",'实盘净值数据(iFinD公式)'!$Z77="",'实盘净值数据(iFinD公式)'!$AA77="",'实盘净值数据(iFinD公式)'!$AB77="",'实盘净值数据(iFinD公式)'!$AL77=""),"",(SUMPRODUCT(分期持仓明细!$B$26:$Y$26,'实盘净值数据(iFinD公式)'!$B77:$Y77/'实盘净值数据(iFinD公式)'!$B$69:$Y$69)+SUMPRODUCT(分期持仓明细!$AC$26:$AD$26,'实盘净值数据(iFinD公式)'!$Z77:$AA77/'实盘净值数据(iFinD公式)'!$Z$69:$AA$69)+SUMPRODUCT(分期持仓明细!$AE$26:$AO$26,'实盘净值数据(iFinD公式)'!$AB77:$AL77/'实盘净值数据(iFinD公式)'!$AB$69:$AL$69))*(1-实盘持仓配置!$AM$10)^(('实盘净值数据(iFinD公式)'!$A77-'实盘净值数据(iFinD公式)'!$A$69)/365))</f>
        <v>0.9987144779146554</v>
      </c>
      <c r="U77" s="16">
        <f t="shared" si="12"/>
        <v>6.8989527645779702E-4</v>
      </c>
      <c r="V77" s="16">
        <f>IF(T77="","",T77/MAX(T$5:T77)-1)</f>
        <v>-5.2263659997544565E-3</v>
      </c>
    </row>
    <row r="78" spans="1:22">
      <c r="A78" s="15">
        <f>IF('实盘净值数据(iFinD公式)'!A78="","",'实盘净值数据(iFinD公式)'!A78)</f>
        <v>46303</v>
      </c>
      <c r="B78" s="13">
        <f>IF(OR('实盘净值数据(iFinD公式)'!$A78="",'实盘净值数据(iFinD公式)'!$B78=""),"",分期持仓明细!$AB$17*SUMPRODUCT(分期持仓明细!$B$17:$Y$17,'实盘净值数据(iFinD公式)'!$B78:$Y78/'实盘净值数据(iFinD公式)'!$B$20:$Y$20)*(1-实盘持仓配置!$AM$4)^(('实盘净值数据(iFinD公式)'!$A78-'实盘净值数据(iFinD公式)'!$A$6)/365))</f>
        <v>0.7336355581964763</v>
      </c>
      <c r="C78" s="16">
        <f t="shared" si="13"/>
        <v>-5.1857751747366509E-2</v>
      </c>
      <c r="D78" s="16">
        <f>IF(B78="","",B78/MAX(B$5:B78)-1)</f>
        <v>-0.31745175275426651</v>
      </c>
      <c r="E78" s="13">
        <f>IF(OR('实盘净值数据(iFinD公式)'!$A78="",'实盘净值数据(iFinD公式)'!$B78=""),"",分期持仓明细!$AB$18*SUMPRODUCT(分期持仓明细!$B$18:$Y$18,'实盘净值数据(iFinD公式)'!$B78:$Y78/'实盘净值数据(iFinD公式)'!$B$20:$Y$20)*(1-实盘持仓配置!$AM$5)^(('实盘净值数据(iFinD公式)'!$A78-'实盘净值数据(iFinD公式)'!$A$5)/365))</f>
        <v>0.75093267166273514</v>
      </c>
      <c r="F78" s="16">
        <f t="shared" si="14"/>
        <v>-5.1881394483175636E-2</v>
      </c>
      <c r="G78" s="16">
        <f>IF(E78="","",E78/MAX(E$5:E78)-1)</f>
        <v>-0.3171705966556696</v>
      </c>
      <c r="H78" s="13">
        <f>IF(OR('实盘净值数据(iFinD公式)'!$A78="",'实盘净值数据(iFinD公式)'!$B78=""),"",分期持仓明细!$AB$19*SUMPRODUCT(分期持仓明细!$B$19:$Y$19,'实盘净值数据(iFinD公式)'!$B78:$Y78/'实盘净值数据(iFinD公式)'!$B$20:$Y$20)*(1-实盘持仓配置!$AM$6)^(('实盘净值数据(iFinD公式)'!$A78-'实盘净值数据(iFinD公式)'!$A$7)/365))</f>
        <v>0.74789594755671329</v>
      </c>
      <c r="I78" s="16">
        <f t="shared" si="15"/>
        <v>-4.5727191371455089E-2</v>
      </c>
      <c r="J78" s="16">
        <f>IF(H78="","",H78/MAX(H$5:H78)-1)</f>
        <v>-0.32725425648575368</v>
      </c>
      <c r="K78" s="13">
        <f>IF(OR('实盘净值数据(iFinD公式)'!$A78="",'实盘净值数据(iFinD公式)'!$B78="",'实盘净值数据(iFinD公式)'!$Z78="",'实盘净值数据(iFinD公式)'!$AA78=""),"",分期持仓明细!$AB$23*(SUMPRODUCT(分期持仓明细!$B$23:$Y$23,'实盘净值数据(iFinD公式)'!$B78:$Y78/'实盘净值数据(iFinD公式)'!$B$65:$Y$65)+SUMPRODUCT(分期持仓明细!$AC$23:$AD$23,'实盘净值数据(iFinD公式)'!$Z78:$AA78/'实盘净值数据(iFinD公式)'!$Z$65:$AA$65))*(1-实盘持仓配置!$AM$7)^(('实盘净值数据(iFinD公式)'!$A78-'实盘净值数据(iFinD公式)'!$A$8)/365))</f>
        <v>0.9829285989950215</v>
      </c>
      <c r="L78" s="16">
        <f t="shared" si="16"/>
        <v>-4.3475812373912071E-3</v>
      </c>
      <c r="M78" s="16">
        <f>IF(K78="","",K78/MAX(K$5:K78)-1)</f>
        <v>-2.0277048263984576E-2</v>
      </c>
      <c r="N78" s="13">
        <f>IF(OR('实盘净值数据(iFinD公式)'!$A78="",'实盘净值数据(iFinD公式)'!$B78="",'实盘净值数据(iFinD公式)'!$Z78="",'实盘净值数据(iFinD公式)'!$AA78=""),"",分期持仓明细!$AB$24*(SUMPRODUCT(分期持仓明细!$B$24:$Y$24,'实盘净值数据(iFinD公式)'!$B78:$Y78/'实盘净值数据(iFinD公式)'!$B$65:$Y$65)+SUMPRODUCT(分期持仓明细!$AC$24:$AD$24,'实盘净值数据(iFinD公式)'!$Z78:$AA78/'实盘净值数据(iFinD公式)'!$Z$65:$AA$65))*(1-实盘持仓配置!$AM$8)^(('实盘净值数据(iFinD公式)'!$A78-'实盘净值数据(iFinD公式)'!$A$5)/365))</f>
        <v>0.98376777680813943</v>
      </c>
      <c r="O78" s="16">
        <f t="shared" si="17"/>
        <v>-4.5224984417884251E-3</v>
      </c>
      <c r="P78" s="16">
        <f>IF(N78="","",N78/MAX(N$5:N78)-1)</f>
        <v>-1.8891164649584735E-2</v>
      </c>
      <c r="Q78" s="13">
        <f>IF(OR('实盘净值数据(iFinD公式)'!$A78="",'实盘净值数据(iFinD公式)'!$B78="",'实盘净值数据(iFinD公式)'!$Z78="",'实盘净值数据(iFinD公式)'!$AA78=""),"",分期持仓明细!$AB$25*(SUMPRODUCT(分期持仓明细!$B$25:$Y$25,'实盘净值数据(iFinD公式)'!$B78:$Y78/'实盘净值数据(iFinD公式)'!$B$65:$Y$65)+SUMPRODUCT(分期持仓明细!$AC$25:$AD$25,'实盘净值数据(iFinD公式)'!$Z78:$AA78/'实盘净值数据(iFinD公式)'!$Z$65:$AA$65))*(1-实盘持仓配置!$AM$9)^(('实盘净值数据(iFinD公式)'!$A78-'实盘净值数据(iFinD公式)'!$A$8)/365))</f>
        <v>0.93375687071902447</v>
      </c>
      <c r="R78" s="16">
        <f t="shared" si="18"/>
        <v>-1.1859499830940368E-2</v>
      </c>
      <c r="S78" s="16">
        <f>IF(Q78="","",Q78/MAX(Q$5:Q78)-1)</f>
        <v>-7.4353524421433392E-2</v>
      </c>
      <c r="T78" s="13">
        <f>IF(OR('实盘净值数据(iFinD公式)'!$A78="",'实盘净值数据(iFinD公式)'!$B78="",'实盘净值数据(iFinD公式)'!$Z78="",'实盘净值数据(iFinD公式)'!$AA78="",'实盘净值数据(iFinD公式)'!$AB78="",'实盘净值数据(iFinD公式)'!$AL78=""),"",(SUMPRODUCT(分期持仓明细!$B$26:$Y$26,'实盘净值数据(iFinD公式)'!$B78:$Y78/'实盘净值数据(iFinD公式)'!$B$69:$Y$69)+SUMPRODUCT(分期持仓明细!$AC$26:$AD$26,'实盘净值数据(iFinD公式)'!$Z78:$AA78/'实盘净值数据(iFinD公式)'!$Z$69:$AA$69)+SUMPRODUCT(分期持仓明细!$AE$26:$AO$26,'实盘净值数据(iFinD公式)'!$AB78:$AL78/'实盘净值数据(iFinD公式)'!$AB$69:$AL$69))*(1-实盘持仓配置!$AM$10)^(('实盘净值数据(iFinD公式)'!$A78-'实盘净值数据(iFinD公式)'!$A$69)/365))</f>
        <v>0.99682886906169466</v>
      </c>
      <c r="U78" s="16">
        <f t="shared" si="12"/>
        <v>-1.8880359648915102E-3</v>
      </c>
      <c r="V78" s="16">
        <f>IF(T78="","",T78/MAX(T$5:T78)-1)</f>
        <v>-7.1045343976727793E-3</v>
      </c>
    </row>
    <row r="79" spans="1:22">
      <c r="A79" s="15">
        <f>IF('实盘净值数据(iFinD公式)'!A79="","",'实盘净值数据(iFinD公式)'!A79)</f>
        <v>46304</v>
      </c>
      <c r="B79" s="13">
        <f>IF(OR('实盘净值数据(iFinD公式)'!$A79="",'实盘净值数据(iFinD公式)'!$B79=""),"",分期持仓明细!$AB$17*SUMPRODUCT(分期持仓明细!$B$17:$Y$17,'实盘净值数据(iFinD公式)'!$B79:$Y79/'实盘净值数据(iFinD公式)'!$B$20:$Y$20)*(1-实盘持仓配置!$AM$4)^(('实盘净值数据(iFinD公式)'!$A79-'实盘净值数据(iFinD公式)'!$A$6)/365))</f>
        <v>0.72467057411852009</v>
      </c>
      <c r="C79" s="16">
        <f t="shared" si="13"/>
        <v>-1.2219942146745377E-2</v>
      </c>
      <c r="D79" s="16">
        <f>IF(B79="","",B79/MAX(B$5:B79)-1)</f>
        <v>-0.32579245284797187</v>
      </c>
      <c r="E79" s="13">
        <f>IF(OR('实盘净值数据(iFinD公式)'!$A79="",'实盘净值数据(iFinD公式)'!$B79=""),"",分期持仓明细!$AB$18*SUMPRODUCT(分期持仓明细!$B$18:$Y$18,'实盘净值数据(iFinD公式)'!$B79:$Y79/'实盘净值数据(iFinD公式)'!$B$20:$Y$20)*(1-实盘持仓配置!$AM$5)^(('实盘净值数据(iFinD公式)'!$A79-'实盘净值数据(iFinD公式)'!$A$5)/365))</f>
        <v>0.74172326653087939</v>
      </c>
      <c r="F79" s="16">
        <f t="shared" si="14"/>
        <v>-1.2263955850348118E-2</v>
      </c>
      <c r="G79" s="16">
        <f>IF(E79="","",E79/MAX(E$5:E79)-1)</f>
        <v>-0.325544786311604</v>
      </c>
      <c r="H79" s="13">
        <f>IF(OR('实盘净值数据(iFinD公式)'!$A79="",'实盘净值数据(iFinD公式)'!$B79=""),"",分期持仓明细!$AB$19*SUMPRODUCT(分期持仓明细!$B$19:$Y$19,'实盘净值数据(iFinD公式)'!$B79:$Y79/'实盘净值数据(iFinD公式)'!$B$20:$Y$20)*(1-实盘持仓配置!$AM$6)^(('实盘净值数据(iFinD公式)'!$A79-'实盘净值数据(iFinD公式)'!$A$7)/365))</f>
        <v>0.73882756542502337</v>
      </c>
      <c r="I79" s="16">
        <f t="shared" si="15"/>
        <v>-1.2125192229367254E-2</v>
      </c>
      <c r="J79" s="16">
        <f>IF(H79="","",H79/MAX(H$5:H79)-1)</f>
        <v>-0.33541142794735246</v>
      </c>
      <c r="K79" s="13">
        <f>IF(OR('实盘净值数据(iFinD公式)'!$A79="",'实盘净值数据(iFinD公式)'!$B79="",'实盘净值数据(iFinD公式)'!$Z79="",'实盘净值数据(iFinD公式)'!$AA79=""),"",分期持仓明细!$AB$23*(SUMPRODUCT(分期持仓明细!$B$23:$Y$23,'实盘净值数据(iFinD公式)'!$B79:$Y79/'实盘净值数据(iFinD公式)'!$B$65:$Y$65)+SUMPRODUCT(分期持仓明细!$AC$23:$AD$23,'实盘净值数据(iFinD公式)'!$Z79:$AA79/'实盘净值数据(iFinD公式)'!$Z$65:$AA$65))*(1-实盘持仓配置!$AM$7)^(('实盘净值数据(iFinD公式)'!$A79-'实盘净值数据(iFinD公式)'!$A$8)/365))</f>
        <v>0.98344507278470372</v>
      </c>
      <c r="L79" s="16">
        <f t="shared" si="16"/>
        <v>5.2544385239206015E-4</v>
      </c>
      <c r="M79" s="16">
        <f>IF(K79="","",K79/MAX(K$5:K79)-1)</f>
        <v>-1.9762258861947601E-2</v>
      </c>
      <c r="N79" s="13">
        <f>IF(OR('实盘净值数据(iFinD公式)'!$A79="",'实盘净值数据(iFinD公式)'!$B79="",'实盘净值数据(iFinD公式)'!$Z79="",'实盘净值数据(iFinD公式)'!$AA79=""),"",分期持仓明细!$AB$24*(SUMPRODUCT(分期持仓明细!$B$24:$Y$24,'实盘净值数据(iFinD公式)'!$B79:$Y79/'实盘净值数据(iFinD公式)'!$B$65:$Y$65)+SUMPRODUCT(分期持仓明细!$AC$24:$AD$24,'实盘净值数据(iFinD公式)'!$Z79:$AA79/'实盘净值数据(iFinD公式)'!$Z$65:$AA$65))*(1-实盘持仓配置!$AM$8)^(('实盘净值数据(iFinD公式)'!$A79-'实盘净值数据(iFinD公式)'!$A$5)/365))</f>
        <v>0.98434797208945735</v>
      </c>
      <c r="O79" s="16">
        <f t="shared" si="17"/>
        <v>5.8976853582293209E-4</v>
      </c>
      <c r="P79" s="16">
        <f>IF(N79="","",N79/MAX(N$5:N79)-1)</f>
        <v>-1.8312537528277217E-2</v>
      </c>
      <c r="Q79" s="13">
        <f>IF(OR('实盘净值数据(iFinD公式)'!$A79="",'实盘净值数据(iFinD公式)'!$B79="",'实盘净值数据(iFinD公式)'!$Z79="",'实盘净值数据(iFinD公式)'!$AA79=""),"",分期持仓明细!$AB$25*(SUMPRODUCT(分期持仓明细!$B$25:$Y$25,'实盘净值数据(iFinD公式)'!$B79:$Y79/'实盘净值数据(iFinD公式)'!$B$65:$Y$65)+SUMPRODUCT(分期持仓明细!$AC$25:$AD$25,'实盘净值数据(iFinD公式)'!$Z79:$AA79/'实盘净值数据(iFinD公式)'!$Z$65:$AA$65))*(1-实盘持仓配置!$AM$9)^(('实盘净值数据(iFinD公式)'!$A79-'实盘净值数据(iFinD公式)'!$A$8)/365))</f>
        <v>0.93355718791850595</v>
      </c>
      <c r="R79" s="16">
        <f t="shared" si="18"/>
        <v>-2.138488152325646E-4</v>
      </c>
      <c r="S79" s="16">
        <f>IF(Q79="","",Q79/MAX(Q$5:Q79)-1)</f>
        <v>-7.4551472823560005E-2</v>
      </c>
      <c r="T79" s="13">
        <f>IF(OR('实盘净值数据(iFinD公式)'!$A79="",'实盘净值数据(iFinD公式)'!$B79="",'实盘净值数据(iFinD公式)'!$Z79="",'实盘净值数据(iFinD公式)'!$AA79="",'实盘净值数据(iFinD公式)'!$AB79="",'实盘净值数据(iFinD公式)'!$AL79=""),"",(SUMPRODUCT(分期持仓明细!$B$26:$Y$26,'实盘净值数据(iFinD公式)'!$B79:$Y79/'实盘净值数据(iFinD公式)'!$B$69:$Y$69)+SUMPRODUCT(分期持仓明细!$AC$26:$AD$26,'实盘净值数据(iFinD公式)'!$Z79:$AA79/'实盘净值数据(iFinD公式)'!$Z$69:$AA$69)+SUMPRODUCT(分期持仓明细!$AE$26:$AO$26,'实盘净值数据(iFinD公式)'!$AB79:$AL79/'实盘净值数据(iFinD公式)'!$AB$69:$AL$69))*(1-实盘持仓配置!$AM$10)^(('实盘净值数据(iFinD公式)'!$A79-'实盘净值数据(iFinD公式)'!$A$69)/365))</f>
        <v>0.9980340771277787</v>
      </c>
      <c r="U79" s="16">
        <f t="shared" si="12"/>
        <v>1.2090420968831062E-3</v>
      </c>
      <c r="V79" s="16">
        <f>IF(T79="","",T79/MAX(T$5:T79)-1)</f>
        <v>-5.9040819819551338E-3</v>
      </c>
    </row>
    <row r="80" spans="1:22">
      <c r="A80" s="15">
        <f>IF('实盘净值数据(iFinD公式)'!A80="","",'实盘净值数据(iFinD公式)'!A80)</f>
        <v>46307</v>
      </c>
      <c r="B80" s="13">
        <f>IF(OR('实盘净值数据(iFinD公式)'!$A80="",'实盘净值数据(iFinD公式)'!$B80=""),"",分期持仓明细!$AB$17*SUMPRODUCT(分期持仓明细!$B$17:$Y$17,'实盘净值数据(iFinD公式)'!$B80:$Y80/'实盘净值数据(iFinD公式)'!$B$20:$Y$20)*(1-实盘持仓配置!$AM$4)^(('实盘净值数据(iFinD公式)'!$A80-'实盘净值数据(iFinD公式)'!$A$6)/365))</f>
        <v>0.70675938576632691</v>
      </c>
      <c r="C80" s="16">
        <f t="shared" si="13"/>
        <v>-2.4716317995911674E-2</v>
      </c>
      <c r="D80" s="16">
        <f>IF(B80="","",B80/MAX(B$5:B80)-1)</f>
        <v>-0.34245638097862496</v>
      </c>
      <c r="E80" s="13">
        <f>IF(OR('实盘净值数据(iFinD公式)'!$A80="",'实盘净值数据(iFinD公式)'!$B80=""),"",分期持仓明细!$AB$18*SUMPRODUCT(分期持仓明细!$B$18:$Y$18,'实盘净值数据(iFinD公式)'!$B80:$Y80/'实盘净值数据(iFinD公式)'!$B$20:$Y$20)*(1-实盘持仓配置!$AM$5)^(('实盘净值数据(iFinD公式)'!$A80-'实盘净值数据(iFinD公式)'!$A$5)/365))</f>
        <v>0.72333184084758118</v>
      </c>
      <c r="F80" s="16">
        <f t="shared" si="14"/>
        <v>-2.4795535630582122E-2</v>
      </c>
      <c r="G80" s="16">
        <f>IF(E80="","",E80/MAX(E$5:E80)-1)</f>
        <v>-0.34226826459384663</v>
      </c>
      <c r="H80" s="13">
        <f>IF(OR('实盘净值数据(iFinD公式)'!$A80="",'实盘净值数据(iFinD公式)'!$B80=""),"",分期持仓明细!$AB$19*SUMPRODUCT(分期持仓明细!$B$19:$Y$19,'实盘净值数据(iFinD公式)'!$B80:$Y80/'实盘净值数据(iFinD公式)'!$B$20:$Y$20)*(1-实盘持仓配置!$AM$6)^(('实盘净值数据(iFinD公式)'!$A80-'实盘净值数据(iFinD公式)'!$A$7)/365))</f>
        <v>0.72365354174175944</v>
      </c>
      <c r="I80" s="16">
        <f t="shared" si="15"/>
        <v>-2.0537977186239398E-2</v>
      </c>
      <c r="J80" s="16">
        <f>IF(H80="","",H80/MAX(H$5:H80)-1)</f>
        <v>-0.34906073287840522</v>
      </c>
      <c r="K80" s="13">
        <f>IF(OR('实盘净值数据(iFinD公式)'!$A80="",'实盘净值数据(iFinD公式)'!$B80="",'实盘净值数据(iFinD公式)'!$Z80="",'实盘净值数据(iFinD公式)'!$AA80=""),"",分期持仓明细!$AB$23*(SUMPRODUCT(分期持仓明细!$B$23:$Y$23,'实盘净值数据(iFinD公式)'!$B80:$Y80/'实盘净值数据(iFinD公式)'!$B$65:$Y$65)+SUMPRODUCT(分期持仓明细!$AC$23:$AD$23,'实盘净值数据(iFinD公式)'!$Z80:$AA80/'实盘净值数据(iFinD公式)'!$Z$65:$AA$65))*(1-实盘持仓配置!$AM$7)^(('实盘净值数据(iFinD公式)'!$A80-'实盘净值数据(iFinD公式)'!$A$8)/365))</f>
        <v>0.98229030099091008</v>
      </c>
      <c r="L80" s="16">
        <f t="shared" si="16"/>
        <v>-1.1742107675865032E-3</v>
      </c>
      <c r="M80" s="16">
        <f>IF(K80="","",K80/MAX(K$5:K80)-1)</f>
        <v>-2.0913264572386514E-2</v>
      </c>
      <c r="N80" s="13">
        <f>IF(OR('实盘净值数据(iFinD公式)'!$A80="",'实盘净值数据(iFinD公式)'!$B80="",'实盘净值数据(iFinD公式)'!$Z80="",'实盘净值数据(iFinD公式)'!$AA80=""),"",分期持仓明细!$AB$24*(SUMPRODUCT(分期持仓明细!$B$24:$Y$24,'实盘净值数据(iFinD公式)'!$B80:$Y80/'实盘净值数据(iFinD公式)'!$B$65:$Y$65)+SUMPRODUCT(分期持仓明细!$AC$24:$AD$24,'实盘净值数据(iFinD公式)'!$Z80:$AA80/'实盘净值数据(iFinD公式)'!$Z$65:$AA$65))*(1-实盘持仓配置!$AM$8)^(('实盘净值数据(iFinD公式)'!$A80-'实盘净值数据(iFinD公式)'!$A$5)/365))</f>
        <v>0.98319509208103051</v>
      </c>
      <c r="O80" s="16">
        <f t="shared" si="17"/>
        <v>-1.1712118489761725E-3</v>
      </c>
      <c r="P80" s="16">
        <f>IF(N80="","",N80/MAX(N$5:N80)-1)</f>
        <v>-1.946230151631545E-2</v>
      </c>
      <c r="Q80" s="13">
        <f>IF(OR('实盘净值数据(iFinD公式)'!$A80="",'实盘净值数据(iFinD公式)'!$B80="",'实盘净值数据(iFinD公式)'!$Z80="",'实盘净值数据(iFinD公式)'!$AA80=""),"",分期持仓明细!$AB$25*(SUMPRODUCT(分期持仓明细!$B$25:$Y$25,'实盘净值数据(iFinD公式)'!$B80:$Y80/'实盘净值数据(iFinD公式)'!$B$65:$Y$65)+SUMPRODUCT(分期持仓明细!$AC$25:$AD$25,'实盘净值数据(iFinD公式)'!$Z80:$AA80/'实盘净值数据(iFinD公式)'!$Z$65:$AA$65))*(1-实盘持仓配置!$AM$9)^(('实盘净值数据(iFinD公式)'!$A80-'实盘净值数据(iFinD公式)'!$A$8)/365))</f>
        <v>0.92820368846801238</v>
      </c>
      <c r="R80" s="16">
        <f t="shared" si="18"/>
        <v>-5.7345168777822586E-3</v>
      </c>
      <c r="S80" s="16">
        <f>IF(Q80="","",Q80/MAX(Q$5:Q80)-1)</f>
        <v>-7.9858473022172083E-2</v>
      </c>
      <c r="T80" s="13">
        <f>IF(OR('实盘净值数据(iFinD公式)'!$A80="",'实盘净值数据(iFinD公式)'!$B80="",'实盘净值数据(iFinD公式)'!$Z80="",'实盘净值数据(iFinD公式)'!$AA80="",'实盘净值数据(iFinD公式)'!$AB80="",'实盘净值数据(iFinD公式)'!$AL80=""),"",(SUMPRODUCT(分期持仓明细!$B$26:$Y$26,'实盘净值数据(iFinD公式)'!$B80:$Y80/'实盘净值数据(iFinD公式)'!$B$69:$Y$69)+SUMPRODUCT(分期持仓明细!$AC$26:$AD$26,'实盘净值数据(iFinD公式)'!$Z80:$AA80/'实盘净值数据(iFinD公式)'!$Z$69:$AA$69)+SUMPRODUCT(分期持仓明细!$AE$26:$AO$26,'实盘净值数据(iFinD公式)'!$AB80:$AL80/'实盘净值数据(iFinD公式)'!$AB$69:$AL$69))*(1-实盘持仓配置!$AM$10)^(('实盘净值数据(iFinD公式)'!$A80-'实盘净值数据(iFinD公式)'!$A$69)/365))</f>
        <v>0.99813074673676905</v>
      </c>
      <c r="U80" s="16">
        <f t="shared" si="12"/>
        <v>9.6860028335532533E-5</v>
      </c>
      <c r="V80" s="16">
        <f>IF(T80="","",T80/MAX(T$5:T80)-1)</f>
        <v>-5.8077938231677617E-3</v>
      </c>
    </row>
    <row r="81" spans="1:22">
      <c r="A81" s="15">
        <f>IF('实盘净值数据(iFinD公式)'!A81="","",'实盘净值数据(iFinD公式)'!A81)</f>
        <v>46308</v>
      </c>
      <c r="B81" s="13">
        <f>IF(OR('实盘净值数据(iFinD公式)'!$A81="",'实盘净值数据(iFinD公式)'!$B81=""),"",分期持仓明细!$AB$17*SUMPRODUCT(分期持仓明细!$B$17:$Y$17,'实盘净值数据(iFinD公式)'!$B81:$Y81/'实盘净值数据(iFinD公式)'!$B$20:$Y$20)*(1-实盘持仓配置!$AM$4)^(('实盘净值数据(iFinD公式)'!$A81-'实盘净值数据(iFinD公式)'!$A$6)/365))</f>
        <v>0.71806714072258337</v>
      </c>
      <c r="C81" s="16">
        <f t="shared" si="13"/>
        <v>1.599944080543847E-2</v>
      </c>
      <c r="D81" s="16">
        <f>IF(B81="","",B81/MAX(B$5:B81)-1)</f>
        <v>-0.3319360507690986</v>
      </c>
      <c r="E81" s="13">
        <f>IF(OR('实盘净值数据(iFinD公式)'!$A81="",'实盘净值数据(iFinD公式)'!$B81=""),"",分期持仓明细!$AB$18*SUMPRODUCT(分期持仓明细!$B$18:$Y$18,'实盘净值数据(iFinD公式)'!$B81:$Y81/'实盘净值数据(iFinD公式)'!$B$20:$Y$20)*(1-实盘持仓配置!$AM$5)^(('实盘净值数据(iFinD公式)'!$A81-'实盘净值数据(iFinD公式)'!$A$5)/365))</f>
        <v>0.73493345707108915</v>
      </c>
      <c r="F81" s="16">
        <f t="shared" si="14"/>
        <v>1.6039133864083066E-2</v>
      </c>
      <c r="G81" s="16">
        <f>IF(E81="","",E81/MAX(E$5:E81)-1)</f>
        <v>-0.33171881724301167</v>
      </c>
      <c r="H81" s="13">
        <f>IF(OR('实盘净值数据(iFinD公式)'!$A81="",'实盘净值数据(iFinD公式)'!$B81=""),"",分期持仓明细!$AB$19*SUMPRODUCT(分期持仓明细!$B$19:$Y$19,'实盘净值数据(iFinD公式)'!$B81:$Y81/'实盘净值数据(iFinD公式)'!$B$20:$Y$20)*(1-实盘持仓配置!$AM$6)^(('实盘净值数据(iFinD公式)'!$A81-'实盘净值数据(iFinD公式)'!$A$7)/365))</f>
        <v>0.73303140840929892</v>
      </c>
      <c r="I81" s="16">
        <f t="shared" si="15"/>
        <v>1.2959055855607193E-2</v>
      </c>
      <c r="J81" s="16">
        <f>IF(H81="","",H81/MAX(H$5:H81)-1)</f>
        <v>-0.34062517455716834</v>
      </c>
      <c r="K81" s="13">
        <f>IF(OR('实盘净值数据(iFinD公式)'!$A81="",'实盘净值数据(iFinD公式)'!$B81="",'实盘净值数据(iFinD公式)'!$Z81="",'实盘净值数据(iFinD公式)'!$AA81=""),"",分期持仓明细!$AB$23*(SUMPRODUCT(分期持仓明细!$B$23:$Y$23,'实盘净值数据(iFinD公式)'!$B81:$Y81/'实盘净值数据(iFinD公式)'!$B$65:$Y$65)+SUMPRODUCT(分期持仓明细!$AC$23:$AD$23,'实盘净值数据(iFinD公式)'!$Z81:$AA81/'实盘净值数据(iFinD公式)'!$Z$65:$AA$65))*(1-实盘持仓配置!$AM$7)^(('实盘净值数据(iFinD公式)'!$A81-'实盘净值数据(iFinD公式)'!$A$8)/365))</f>
        <v>0.98344114831660334</v>
      </c>
      <c r="L81" s="16">
        <f t="shared" si="16"/>
        <v>1.1715959370994788E-3</v>
      </c>
      <c r="M81" s="16">
        <f>IF(K81="","",K81/MAX(K$5:K81)-1)</f>
        <v>-1.976617053109142E-2</v>
      </c>
      <c r="N81" s="13">
        <f>IF(OR('实盘净值数据(iFinD公式)'!$A81="",'实盘净值数据(iFinD公式)'!$B81="",'实盘净值数据(iFinD公式)'!$Z81="",'实盘净值数据(iFinD公式)'!$AA81=""),"",分期持仓明细!$AB$24*(SUMPRODUCT(分期持仓明细!$B$24:$Y$24,'实盘净值数据(iFinD公式)'!$B81:$Y81/'实盘净值数据(iFinD公式)'!$B$65:$Y$65)+SUMPRODUCT(分期持仓明细!$AC$24:$AD$24,'实盘净值数据(iFinD公式)'!$Z81:$AA81/'实盘净值数据(iFinD公式)'!$Z$65:$AA$65))*(1-实盘持仓配置!$AM$8)^(('实盘净值数据(iFinD公式)'!$A81-'实盘净值数据(iFinD公式)'!$A$5)/365))</f>
        <v>0.9844519707927869</v>
      </c>
      <c r="O81" s="16">
        <f t="shared" si="17"/>
        <v>1.2783614583511405E-3</v>
      </c>
      <c r="P81" s="16">
        <f>IF(N81="","",N81/MAX(N$5:N81)-1)</f>
        <v>-1.8208819914113494E-2</v>
      </c>
      <c r="Q81" s="13">
        <f>IF(OR('实盘净值数据(iFinD公式)'!$A81="",'实盘净值数据(iFinD公式)'!$B81="",'实盘净值数据(iFinD公式)'!$Z81="",'实盘净值数据(iFinD公式)'!$AA81=""),"",分期持仓明细!$AB$25*(SUMPRODUCT(分期持仓明细!$B$25:$Y$25,'实盘净值数据(iFinD公式)'!$B81:$Y81/'实盘净值数据(iFinD公式)'!$B$65:$Y$65)+SUMPRODUCT(分期持仓明细!$AC$25:$AD$25,'实盘净值数据(iFinD公式)'!$Z81:$AA81/'实盘净值数据(iFinD公式)'!$Z$65:$AA$65))*(1-实盘持仓配置!$AM$9)^(('实盘净值数据(iFinD公式)'!$A81-'实盘净值数据(iFinD公式)'!$A$8)/365))</f>
        <v>0.93077332521322931</v>
      </c>
      <c r="R81" s="16">
        <f t="shared" si="18"/>
        <v>2.7683974726044891E-3</v>
      </c>
      <c r="S81" s="16">
        <f>IF(Q81="","",Q81/MAX(Q$5:Q81)-1)</f>
        <v>-7.7311155544448229E-2</v>
      </c>
      <c r="T81" s="13">
        <f>IF(OR('实盘净值数据(iFinD公式)'!$A81="",'实盘净值数据(iFinD公式)'!$B81="",'实盘净值数据(iFinD公式)'!$Z81="",'实盘净值数据(iFinD公式)'!$AA81="",'实盘净值数据(iFinD公式)'!$AB81="",'实盘净值数据(iFinD公式)'!$AL81=""),"",(SUMPRODUCT(分期持仓明细!$B$26:$Y$26,'实盘净值数据(iFinD公式)'!$B81:$Y81/'实盘净值数据(iFinD公式)'!$B$69:$Y$69)+SUMPRODUCT(分期持仓明细!$AC$26:$AD$26,'实盘净值数据(iFinD公式)'!$Z81:$AA81/'实盘净值数据(iFinD公式)'!$Z$69:$AA$69)+SUMPRODUCT(分期持仓明细!$AE$26:$AO$26,'实盘净值数据(iFinD公式)'!$AB81:$AL81/'实盘净值数据(iFinD公式)'!$AB$69:$AL$69))*(1-实盘持仓配置!$AM$10)^(('实盘净值数据(iFinD公式)'!$A81-'实盘净值数据(iFinD公式)'!$A$69)/365))</f>
        <v>0.99814173964046149</v>
      </c>
      <c r="U81" s="16">
        <f t="shared" si="12"/>
        <v>1.1013490695876982E-5</v>
      </c>
      <c r="V81" s="16">
        <f>IF(T81="","",T81/MAX(T$5:T81)-1)</f>
        <v>-5.796844296555137E-3</v>
      </c>
    </row>
    <row r="82" spans="1:22">
      <c r="A82" s="15">
        <f>IF('实盘净值数据(iFinD公式)'!A82="","",'实盘净值数据(iFinD公式)'!A82)</f>
        <v>46309</v>
      </c>
      <c r="B82" s="13">
        <f>IF(OR('实盘净值数据(iFinD公式)'!$A82="",'实盘净值数据(iFinD公式)'!$B82=""),"",分期持仓明细!$AB$17*SUMPRODUCT(分期持仓明细!$B$17:$Y$17,'实盘净值数据(iFinD公式)'!$B82:$Y82/'实盘净值数据(iFinD公式)'!$B$20:$Y$20)*(1-实盘持仓配置!$AM$4)^(('实盘净值数据(iFinD公式)'!$A82-'实盘净值数据(iFinD公式)'!$A$6)/365))</f>
        <v>0.69454426900072341</v>
      </c>
      <c r="C82" s="16">
        <f t="shared" si="13"/>
        <v>-3.2758596498635439E-2</v>
      </c>
      <c r="D82" s="16">
        <f>IF(B82="","",B82/MAX(B$5:B82)-1)</f>
        <v>-0.35382088811723855</v>
      </c>
      <c r="E82" s="13">
        <f>IF(OR('实盘净值数据(iFinD公式)'!$A82="",'实盘净值数据(iFinD公式)'!$B82=""),"",分期持仓明细!$AB$18*SUMPRODUCT(分期持仓明细!$B$18:$Y$18,'实盘净值数据(iFinD公式)'!$B82:$Y82/'实盘净值数据(iFinD公式)'!$B$20:$Y$20)*(1-实盘持仓配置!$AM$5)^(('实盘净值数据(iFinD公式)'!$A82-'实盘净值数据(iFinD公式)'!$A$5)/365))</f>
        <v>0.71083243347367908</v>
      </c>
      <c r="F82" s="16">
        <f t="shared" si="14"/>
        <v>-3.2793477240047331E-2</v>
      </c>
      <c r="G82" s="16">
        <f>IF(E82="","",E82/MAX(E$5:E82)-1)</f>
        <v>-0.35363408099970484</v>
      </c>
      <c r="H82" s="13">
        <f>IF(OR('实盘净值数据(iFinD公式)'!$A82="",'实盘净值数据(iFinD公式)'!$B82=""),"",分期持仓明细!$AB$19*SUMPRODUCT(分期持仓明细!$B$19:$Y$19,'实盘净值数据(iFinD公式)'!$B82:$Y82/'实盘净值数据(iFinD公式)'!$B$20:$Y$20)*(1-实盘持仓配置!$AM$6)^(('实盘净值数据(iFinD公式)'!$A82-'实盘净值数据(iFinD公式)'!$A$7)/365))</f>
        <v>0.71019812958305695</v>
      </c>
      <c r="I82" s="16">
        <f t="shared" si="15"/>
        <v>-3.1149113891028035E-2</v>
      </c>
      <c r="J82" s="16">
        <f>IF(H82="","",H82/MAX(H$5:H82)-1)</f>
        <v>-0.36116411609176391</v>
      </c>
      <c r="K82" s="13">
        <f>IF(OR('实盘净值数据(iFinD公式)'!$A82="",'实盘净值数据(iFinD公式)'!$B82="",'实盘净值数据(iFinD公式)'!$Z82="",'实盘净值数据(iFinD公式)'!$AA82=""),"",分期持仓明细!$AB$23*(SUMPRODUCT(分期持仓明细!$B$23:$Y$23,'实盘净值数据(iFinD公式)'!$B82:$Y82/'实盘净值数据(iFinD公式)'!$B$65:$Y$65)+SUMPRODUCT(分期持仓明细!$AC$23:$AD$23,'实盘净值数据(iFinD公式)'!$Z82:$AA82/'实盘净值数据(iFinD公式)'!$Z$65:$AA$65))*(1-实盘持仓配置!$AM$7)^(('实盘净值数据(iFinD公式)'!$A82-'实盘净值数据(iFinD公式)'!$A$8)/365))</f>
        <v>0.98149909905465582</v>
      </c>
      <c r="L82" s="16">
        <f t="shared" si="16"/>
        <v>-1.9747488350185805E-3</v>
      </c>
      <c r="M82" s="16">
        <f>IF(K82="","",K82/MAX(K$5:K82)-1)</f>
        <v>-2.1701886143880911E-2</v>
      </c>
      <c r="N82" s="13">
        <f>IF(OR('实盘净值数据(iFinD公式)'!$A82="",'实盘净值数据(iFinD公式)'!$B82="",'实盘净值数据(iFinD公式)'!$Z82="",'实盘净值数据(iFinD公式)'!$AA82=""),"",分期持仓明细!$AB$24*(SUMPRODUCT(分期持仓明细!$B$24:$Y$24,'实盘净值数据(iFinD公式)'!$B82:$Y82/'实盘净值数据(iFinD公式)'!$B$65:$Y$65)+SUMPRODUCT(分期持仓明细!$AC$24:$AD$24,'实盘净值数据(iFinD公式)'!$Z82:$AA82/'实盘净值数据(iFinD公式)'!$Z$65:$AA$65))*(1-实盘持仓配置!$AM$8)^(('实盘净值数据(iFinD公式)'!$A82-'实盘净值数据(iFinD公式)'!$A$5)/365))</f>
        <v>0.98244015286821251</v>
      </c>
      <c r="O82" s="16">
        <f t="shared" si="17"/>
        <v>-2.0435917487718891E-3</v>
      </c>
      <c r="P82" s="16">
        <f>IF(N82="","",N82/MAX(N$5:N82)-1)</f>
        <v>-2.0215200268754119E-2</v>
      </c>
      <c r="Q82" s="13">
        <f>IF(OR('实盘净值数据(iFinD公式)'!$A82="",'实盘净值数据(iFinD公式)'!$B82="",'实盘净值数据(iFinD公式)'!$Z82="",'实盘净值数据(iFinD公式)'!$AA82=""),"",分期持仓明细!$AB$25*(SUMPRODUCT(分期持仓明细!$B$25:$Y$25,'实盘净值数据(iFinD公式)'!$B82:$Y82/'实盘净值数据(iFinD公式)'!$B$65:$Y$65)+SUMPRODUCT(分期持仓明细!$AC$25:$AD$25,'实盘净值数据(iFinD公式)'!$Z82:$AA82/'实盘净值数据(iFinD公式)'!$Z$65:$AA$65))*(1-实盘持仓配置!$AM$9)^(('实盘净值数据(iFinD公式)'!$A82-'实盘净值数据(iFinD公式)'!$A$8)/365))</f>
        <v>0.92382122090444274</v>
      </c>
      <c r="R82" s="16">
        <f t="shared" si="18"/>
        <v>-7.4691701195819249E-3</v>
      </c>
      <c r="S82" s="16">
        <f>IF(Q82="","",Q82/MAX(Q$5:Q82)-1)</f>
        <v>-8.420287549112726E-2</v>
      </c>
      <c r="T82" s="13">
        <f>IF(OR('实盘净值数据(iFinD公式)'!$A82="",'实盘净值数据(iFinD公式)'!$B82="",'实盘净值数据(iFinD公式)'!$Z82="",'实盘净值数据(iFinD公式)'!$AA82="",'实盘净值数据(iFinD公式)'!$AB82="",'实盘净值数据(iFinD公式)'!$AL82=""),"",(SUMPRODUCT(分期持仓明细!$B$26:$Y$26,'实盘净值数据(iFinD公式)'!$B82:$Y82/'实盘净值数据(iFinD公式)'!$B$69:$Y$69)+SUMPRODUCT(分期持仓明细!$AC$26:$AD$26,'实盘净值数据(iFinD公式)'!$Z82:$AA82/'实盘净值数据(iFinD公式)'!$Z$69:$AA$69)+SUMPRODUCT(分期持仓明细!$AE$26:$AO$26,'实盘净值数据(iFinD公式)'!$AB82:$AL82/'实盘净值数据(iFinD公式)'!$AB$69:$AL$69))*(1-实盘持仓配置!$AM$10)^(('实盘净值数据(iFinD公式)'!$A82-'实盘净值数据(iFinD公式)'!$A$69)/365))</f>
        <v>0.99737887372890444</v>
      </c>
      <c r="U82" s="16">
        <f t="shared" si="12"/>
        <v>-7.6428615422075019E-4</v>
      </c>
      <c r="V82" s="16">
        <f>IF(T82="","",T82/MAX(T$5:T82)-1)</f>
        <v>-6.5567000029419509E-3</v>
      </c>
    </row>
    <row r="83" spans="1:22">
      <c r="A83" s="15">
        <f>IF('实盘净值数据(iFinD公式)'!A83="","",'实盘净值数据(iFinD公式)'!A83)</f>
        <v>46310</v>
      </c>
      <c r="B83" s="13">
        <f>IF(OR('实盘净值数据(iFinD公式)'!$A83="",'实盘净值数据(iFinD公式)'!$B83=""),"",分期持仓明细!$AB$17*SUMPRODUCT(分期持仓明细!$B$17:$Y$17,'实盘净值数据(iFinD公式)'!$B83:$Y83/'实盘净值数据(iFinD公式)'!$B$20:$Y$20)*(1-实盘持仓配置!$AM$4)^(('实盘净值数据(iFinD公式)'!$A83-'实盘净值数据(iFinD公式)'!$A$6)/365))</f>
        <v>0.67705918386575636</v>
      </c>
      <c r="C83" s="16">
        <f t="shared" si="13"/>
        <v>-2.5174903768371393E-2</v>
      </c>
      <c r="D83" s="16">
        <f>IF(B83="","",B83/MAX(B$5:B83)-1)</f>
        <v>-0.37008838507601871</v>
      </c>
      <c r="E83" s="13">
        <f>IF(OR('实盘净值数据(iFinD公式)'!$A83="",'实盘净值数据(iFinD公式)'!$B83=""),"",分期持仓明细!$AB$18*SUMPRODUCT(分期持仓明细!$B$18:$Y$18,'实盘净值数据(iFinD公式)'!$B83:$Y83/'实盘净值数据(iFinD公式)'!$B$20:$Y$20)*(1-实盘持仓配置!$AM$5)^(('实盘净值数据(iFinD公式)'!$A83-'实盘净值数据(iFinD公式)'!$A$5)/365))</f>
        <v>0.69287136673409189</v>
      </c>
      <c r="F83" s="16">
        <f t="shared" si="14"/>
        <v>-2.5267652253591621E-2</v>
      </c>
      <c r="G83" s="16">
        <f>IF(E83="","",E83/MAX(E$5:E83)-1)</f>
        <v>-0.36996623026957742</v>
      </c>
      <c r="H83" s="13">
        <f>IF(OR('实盘净值数据(iFinD公式)'!$A83="",'实盘净值数据(iFinD公式)'!$B83=""),"",分期持仓明细!$AB$19*SUMPRODUCT(分期持仓明细!$B$19:$Y$19,'实盘净值数据(iFinD公式)'!$B83:$Y83/'实盘净值数据(iFinD公式)'!$B$20:$Y$20)*(1-实盘持仓配置!$AM$6)^(('实盘净值数据(iFinD公式)'!$A83-'实盘净值数据(iFinD公式)'!$A$7)/365))</f>
        <v>0.6950614927986396</v>
      </c>
      <c r="I83" s="16">
        <f t="shared" si="15"/>
        <v>-2.1313259151081954E-2</v>
      </c>
      <c r="J83" s="16">
        <f>IF(H83="","",H83/MAX(H$5:H83)-1)</f>
        <v>-0.37477979084051061</v>
      </c>
      <c r="K83" s="13">
        <f>IF(OR('实盘净值数据(iFinD公式)'!$A83="",'实盘净值数据(iFinD公式)'!$B83="",'实盘净值数据(iFinD公式)'!$Z83="",'实盘净值数据(iFinD公式)'!$AA83=""),"",分期持仓明细!$AB$23*(SUMPRODUCT(分期持仓明细!$B$23:$Y$23,'实盘净值数据(iFinD公式)'!$B83:$Y83/'实盘净值数据(iFinD公式)'!$B$65:$Y$65)+SUMPRODUCT(分期持仓明细!$AC$23:$AD$23,'实盘净值数据(iFinD公式)'!$Z83:$AA83/'实盘净值数据(iFinD公式)'!$Z$65:$AA$65))*(1-实盘持仓配置!$AM$7)^(('实盘净值数据(iFinD公式)'!$A83-'实盘净值数据(iFinD公式)'!$A$8)/365))</f>
        <v>0.97874074171808978</v>
      </c>
      <c r="L83" s="16">
        <f t="shared" si="16"/>
        <v>-2.8103513688629844E-3</v>
      </c>
      <c r="M83" s="16">
        <f>IF(K83="","",K83/MAX(K$5:K83)-1)</f>
        <v>-2.4451247587312541E-2</v>
      </c>
      <c r="N83" s="13">
        <f>IF(OR('实盘净值数据(iFinD公式)'!$A83="",'实盘净值数据(iFinD公式)'!$B83="",'实盘净值数据(iFinD公式)'!$Z83="",'实盘净值数据(iFinD公式)'!$AA83=""),"",分期持仓明细!$AB$24*(SUMPRODUCT(分期持仓明细!$B$24:$Y$24,'实盘净值数据(iFinD公式)'!$B83:$Y83/'实盘净值数据(iFinD公式)'!$B$65:$Y$65)+SUMPRODUCT(分期持仓明细!$AC$24:$AD$24,'实盘净值数据(iFinD公式)'!$Z83:$AA83/'实盘净值数据(iFinD公式)'!$Z$65:$AA$65))*(1-实盘持仓配置!$AM$8)^(('实盘净值数据(iFinD公式)'!$A83-'实盘净值数据(iFinD公式)'!$A$5)/365))</f>
        <v>0.97967368292426771</v>
      </c>
      <c r="O83" s="16">
        <f t="shared" si="17"/>
        <v>-2.8159170162865843E-3</v>
      </c>
      <c r="P83" s="16">
        <f>IF(N83="","",N83/MAX(N$5:N83)-1)</f>
        <v>-2.2974192958616246E-2</v>
      </c>
      <c r="Q83" s="13">
        <f>IF(OR('实盘净值数据(iFinD公式)'!$A83="",'实盘净值数据(iFinD公式)'!$B83="",'实盘净值数据(iFinD公式)'!$Z83="",'实盘净值数据(iFinD公式)'!$AA83=""),"",分期持仓明细!$AB$25*(SUMPRODUCT(分期持仓明细!$B$25:$Y$25,'实盘净值数据(iFinD公式)'!$B83:$Y83/'实盘净值数据(iFinD公式)'!$B$65:$Y$65)+SUMPRODUCT(分期持仓明细!$AC$25:$AD$25,'实盘净值数据(iFinD公式)'!$Z83:$AA83/'实盘净值数据(iFinD公式)'!$Z$65:$AA$65))*(1-实盘持仓配置!$AM$9)^(('实盘净值数据(iFinD公式)'!$A83-'实盘净值数据(iFinD公式)'!$A$8)/365))</f>
        <v>0.91638988337912719</v>
      </c>
      <c r="R83" s="16">
        <f t="shared" si="18"/>
        <v>-8.0441294886473003E-3</v>
      </c>
      <c r="S83" s="16">
        <f>IF(Q83="","",Q83/MAX(Q$5:Q83)-1)</f>
        <v>-9.1569666146007478E-2</v>
      </c>
      <c r="T83" s="13">
        <f>IF(OR('实盘净值数据(iFinD公式)'!$A83="",'实盘净值数据(iFinD公式)'!$B83="",'实盘净值数据(iFinD公式)'!$Z83="",'实盘净值数据(iFinD公式)'!$AA83="",'实盘净值数据(iFinD公式)'!$AB83="",'实盘净值数据(iFinD公式)'!$AL83=""),"",(SUMPRODUCT(分期持仓明细!$B$26:$Y$26,'实盘净值数据(iFinD公式)'!$B83:$Y83/'实盘净值数据(iFinD公式)'!$B$69:$Y$69)+SUMPRODUCT(分期持仓明细!$AC$26:$AD$26,'实盘净值数据(iFinD公式)'!$Z83:$AA83/'实盘净值数据(iFinD公式)'!$Z$69:$AA$69)+SUMPRODUCT(分期持仓明细!$AE$26:$AO$26,'实盘净值数据(iFinD公式)'!$AB83:$AL83/'实盘净值数据(iFinD公式)'!$AB$69:$AL$69))*(1-实盘持仓配置!$AM$10)^(('实盘净值数据(iFinD公式)'!$A83-'实盘净值数据(iFinD公式)'!$A$69)/365))</f>
        <v>0.9932794398916176</v>
      </c>
      <c r="U83" s="16">
        <f t="shared" si="12"/>
        <v>-4.1102072093830433E-3</v>
      </c>
      <c r="V83" s="16">
        <f>IF(T83="","",T83/MAX(T$5:T83)-1)</f>
        <v>-1.0639957816703016E-2</v>
      </c>
    </row>
    <row r="84" spans="1:22">
      <c r="A84" s="15">
        <f>IF('实盘净值数据(iFinD公式)'!A84="","",'实盘净值数据(iFinD公式)'!A84)</f>
        <v>46311</v>
      </c>
      <c r="B84" s="13">
        <f>IF(OR('实盘净值数据(iFinD公式)'!$A84="",'实盘净值数据(iFinD公式)'!$B84=""),"",分期持仓明细!$AB$17*SUMPRODUCT(分期持仓明细!$B$17:$Y$17,'实盘净值数据(iFinD公式)'!$B84:$Y84/'实盘净值数据(iFinD公式)'!$B$20:$Y$20)*(1-实盘持仓配置!$AM$4)^(('实盘净值数据(iFinD公式)'!$A84-'实盘净值数据(iFinD公式)'!$A$6)/365))</f>
        <v>0.6719857357743827</v>
      </c>
      <c r="C84" s="16">
        <f t="shared" si="13"/>
        <v>-7.4933598306815563E-3</v>
      </c>
      <c r="D84" s="16">
        <f>IF(B84="","",B84/MAX(B$5:B84)-1)</f>
        <v>-0.37480853946816983</v>
      </c>
      <c r="E84" s="13">
        <f>IF(OR('实盘净值数据(iFinD公式)'!$A84="",'实盘净值数据(iFinD公式)'!$B84=""),"",分期持仓明细!$AB$18*SUMPRODUCT(分期持仓明细!$B$18:$Y$18,'实盘净值数据(iFinD公式)'!$B84:$Y84/'实盘净值数据(iFinD公式)'!$B$20:$Y$20)*(1-实盘持仓配置!$AM$5)^(('实盘净值数据(iFinD公式)'!$A84-'实盘净值数据(iFinD公式)'!$A$5)/365))</f>
        <v>0.68766206515467398</v>
      </c>
      <c r="F84" s="16">
        <f t="shared" si="14"/>
        <v>-7.518425251100247E-3</v>
      </c>
      <c r="G84" s="16">
        <f>IF(E84="","",E84/MAX(E$5:E84)-1)</f>
        <v>-0.37470309207296448</v>
      </c>
      <c r="H84" s="13">
        <f>IF(OR('实盘净值数据(iFinD公式)'!$A84="",'实盘净值数据(iFinD公式)'!$B84=""),"",分期持仓明细!$AB$19*SUMPRODUCT(分期持仓明细!$B$19:$Y$19,'实盘净值数据(iFinD公式)'!$B84:$Y84/'实盘净值数据(iFinD公式)'!$B$20:$Y$20)*(1-实盘持仓配置!$AM$6)^(('实盘净值数据(iFinD公式)'!$A84-'实盘净值数据(iFinD公式)'!$A$7)/365))</f>
        <v>0.69076010880532057</v>
      </c>
      <c r="I84" s="16">
        <f t="shared" si="15"/>
        <v>-6.188494166177505E-3</v>
      </c>
      <c r="J84" s="16">
        <f>IF(H84="","",H84/MAX(H$5:H84)-1)</f>
        <v>-0.37864896245747048</v>
      </c>
      <c r="K84" s="13">
        <f>IF(OR('实盘净值数据(iFinD公式)'!$A84="",'实盘净值数据(iFinD公式)'!$B84="",'实盘净值数据(iFinD公式)'!$Z84="",'实盘净值数据(iFinD公式)'!$AA84=""),"",分期持仓明细!$AB$23*(SUMPRODUCT(分期持仓明细!$B$23:$Y$23,'实盘净值数据(iFinD公式)'!$B84:$Y84/'实盘净值数据(iFinD公式)'!$B$65:$Y$65)+SUMPRODUCT(分期持仓明细!$AC$23:$AD$23,'实盘净值数据(iFinD公式)'!$Z84:$AA84/'实盘净值数据(iFinD公式)'!$Z$65:$AA$65))*(1-实盘持仓配置!$AM$7)^(('实盘净值数据(iFinD公式)'!$A84-'实盘净值数据(iFinD公式)'!$A$8)/365))</f>
        <v>0.97958995059178222</v>
      </c>
      <c r="L84" s="16">
        <f t="shared" si="16"/>
        <v>8.6765456621518133E-4</v>
      </c>
      <c r="M84" s="16">
        <f>IF(K84="","",K84/MAX(K$5:K84)-1)</f>
        <v>-2.360480825771627E-2</v>
      </c>
      <c r="N84" s="13">
        <f>IF(OR('实盘净值数据(iFinD公式)'!$A84="",'实盘净值数据(iFinD公式)'!$B84="",'实盘净值数据(iFinD公式)'!$Z84="",'实盘净值数据(iFinD公式)'!$AA84=""),"",分期持仓明细!$AB$24*(SUMPRODUCT(分期持仓明细!$B$24:$Y$24,'实盘净值数据(iFinD公式)'!$B84:$Y84/'实盘净值数据(iFinD公式)'!$B$65:$Y$65)+SUMPRODUCT(分期持仓明细!$AC$24:$AD$24,'实盘净值数据(iFinD公式)'!$Z84:$AA84/'实盘净值数据(iFinD公式)'!$Z$65:$AA$65))*(1-实盘持仓配置!$AM$8)^(('实盘净值数据(iFinD公式)'!$A84-'实盘净值数据(iFinD公式)'!$A$5)/365))</f>
        <v>0.98052038317217405</v>
      </c>
      <c r="O84" s="16">
        <f t="shared" si="17"/>
        <v>8.6426762570468441E-4</v>
      </c>
      <c r="P84" s="16">
        <f>IF(N84="","",N84/MAX(N$5:N84)-1)</f>
        <v>-2.2129781184112352E-2</v>
      </c>
      <c r="Q84" s="13">
        <f>IF(OR('实盘净值数据(iFinD公式)'!$A84="",'实盘净值数据(iFinD公式)'!$B84="",'实盘净值数据(iFinD公式)'!$Z84="",'实盘净值数据(iFinD公式)'!$AA84=""),"",分期持仓明细!$AB$25*(SUMPRODUCT(分期持仓明细!$B$25:$Y$25,'实盘净值数据(iFinD公式)'!$B84:$Y84/'实盘净值数据(iFinD公式)'!$B$65:$Y$65)+SUMPRODUCT(分期持仓明细!$AC$25:$AD$25,'实盘净值数据(iFinD公式)'!$Z84:$AA84/'实盘净值数据(iFinD公式)'!$Z$65:$AA$65))*(1-实盘持仓配置!$AM$9)^(('实盘净值数据(iFinD公式)'!$A84-'实盘净值数据(iFinD公式)'!$A$8)/365))</f>
        <v>0.9169608230668973</v>
      </c>
      <c r="R84" s="16">
        <f t="shared" si="18"/>
        <v>6.2303141722264144E-4</v>
      </c>
      <c r="S84" s="16">
        <f>IF(Q84="","",Q84/MAX(Q$5:Q84)-1)</f>
        <v>-9.1003685507658472E-2</v>
      </c>
      <c r="T84" s="13">
        <f>IF(OR('实盘净值数据(iFinD公式)'!$A84="",'实盘净值数据(iFinD公式)'!$B84="",'实盘净值数据(iFinD公式)'!$Z84="",'实盘净值数据(iFinD公式)'!$AA84="",'实盘净值数据(iFinD公式)'!$AB84="",'实盘净值数据(iFinD公式)'!$AL84=""),"",(SUMPRODUCT(分期持仓明细!$B$26:$Y$26,'实盘净值数据(iFinD公式)'!$B84:$Y84/'实盘净值数据(iFinD公式)'!$B$69:$Y$69)+SUMPRODUCT(分期持仓明细!$AC$26:$AD$26,'实盘净值数据(iFinD公式)'!$Z84:$AA84/'实盘净值数据(iFinD公式)'!$Z$69:$AA$69)+SUMPRODUCT(分期持仓明细!$AE$26:$AO$26,'实盘净值数据(iFinD公式)'!$AB84:$AL84/'实盘净值数据(iFinD公式)'!$AB$69:$AL$69))*(1-实盘持仓配置!$AM$10)^(('实盘净值数据(iFinD公式)'!$A84-'实盘净值数据(iFinD公式)'!$A$69)/365))</f>
        <v>0.99489676910452829</v>
      </c>
      <c r="U84" s="16">
        <f t="shared" si="12"/>
        <v>1.6282721135223444E-3</v>
      </c>
      <c r="V84" s="16">
        <f>IF(T84="","",T84/MAX(T$5:T84)-1)</f>
        <v>-9.0290104497826595E-3</v>
      </c>
    </row>
    <row r="85" spans="1:22">
      <c r="A85" s="15">
        <f>IF('实盘净值数据(iFinD公式)'!A85="","",'实盘净值数据(iFinD公式)'!A85)</f>
        <v>46314</v>
      </c>
      <c r="B85" s="13">
        <f>IF(OR('实盘净值数据(iFinD公式)'!$A85="",'实盘净值数据(iFinD公式)'!$B85=""),"",分期持仓明细!$AB$17*SUMPRODUCT(分期持仓明细!$B$17:$Y$17,'实盘净值数据(iFinD公式)'!$B85:$Y85/'实盘净值数据(iFinD公式)'!$B$20:$Y$20)*(1-实盘持仓配置!$AM$4)^(('实盘净值数据(iFinD公式)'!$A85-'实盘净值数据(iFinD公式)'!$A$6)/365))</f>
        <v>0.6505317253912577</v>
      </c>
      <c r="C85" s="16">
        <f t="shared" si="13"/>
        <v>-3.1926288373371303E-2</v>
      </c>
      <c r="D85" s="16">
        <f>IF(B85="","",B85/MAX(B$5:B85)-1)</f>
        <v>-0.39476858232567824</v>
      </c>
      <c r="E85" s="13">
        <f>IF(OR('实盘净值数据(iFinD公式)'!$A85="",'实盘净值数据(iFinD公式)'!$B85=""),"",分期持仓明细!$AB$18*SUMPRODUCT(分期持仓明细!$B$18:$Y$18,'实盘净值数据(iFinD公式)'!$B85:$Y85/'实盘净值数据(iFinD公式)'!$B$20:$Y$20)*(1-实盘持仓配置!$AM$5)^(('实盘净值数据(iFinD公式)'!$A85-'实盘净值数据(iFinD公式)'!$A$5)/365))</f>
        <v>0.66574924455568107</v>
      </c>
      <c r="F85" s="16">
        <f t="shared" si="14"/>
        <v>-3.1865681865211104E-2</v>
      </c>
      <c r="G85" s="16">
        <f>IF(E85="","",E85/MAX(E$5:E85)-1)</f>
        <v>-0.39462860441226766</v>
      </c>
      <c r="H85" s="13">
        <f>IF(OR('实盘净值数据(iFinD公式)'!$A85="",'实盘净值数据(iFinD公式)'!$B85=""),"",分期持仓明细!$AB$19*SUMPRODUCT(分期持仓明细!$B$19:$Y$19,'实盘净值数据(iFinD公式)'!$B85:$Y85/'实盘净值数据(iFinD公式)'!$B$20:$Y$20)*(1-实盘持仓配置!$AM$6)^(('实盘净值数据(iFinD公式)'!$A85-'实盘净值数据(iFinD公式)'!$A$7)/365))</f>
        <v>0.66643321456414761</v>
      </c>
      <c r="I85" s="16">
        <f t="shared" si="15"/>
        <v>-3.5217572542292075E-2</v>
      </c>
      <c r="J85" s="16">
        <f>IF(H85="","",H85/MAX(H$5:H85)-1)</f>
        <v>-0.40053143769635291</v>
      </c>
      <c r="K85" s="13">
        <f>IF(OR('实盘净值数据(iFinD公式)'!$A85="",'实盘净值数据(iFinD公式)'!$B85="",'实盘净值数据(iFinD公式)'!$Z85="",'实盘净值数据(iFinD公式)'!$AA85=""),"",分期持仓明细!$AB$23*(SUMPRODUCT(分期持仓明细!$B$23:$Y$23,'实盘净值数据(iFinD公式)'!$B85:$Y85/'实盘净值数据(iFinD公式)'!$B$65:$Y$65)+SUMPRODUCT(分期持仓明细!$AC$23:$AD$23,'实盘净值数据(iFinD公式)'!$Z85:$AA85/'实盘净值数据(iFinD公式)'!$Z$65:$AA$65))*(1-实盘持仓配置!$AM$7)^(('实盘净值数据(iFinD公式)'!$A85-'实盘净值数据(iFinD公式)'!$A$8)/365))</f>
        <v>0.97823460139345275</v>
      </c>
      <c r="L85" s="16">
        <f t="shared" si="16"/>
        <v>-1.3835883039742258E-3</v>
      </c>
      <c r="M85" s="16">
        <f>IF(K85="","",K85/MAX(K$5:K85)-1)</f>
        <v>-2.4955737225067498E-2</v>
      </c>
      <c r="N85" s="13">
        <f>IF(OR('实盘净值数据(iFinD公式)'!$A85="",'实盘净值数据(iFinD公式)'!$B85="",'实盘净值数据(iFinD公式)'!$Z85="",'实盘净值数据(iFinD公式)'!$AA85=""),"",分期持仓明细!$AB$24*(SUMPRODUCT(分期持仓明细!$B$24:$Y$24,'实盘净值数据(iFinD公式)'!$B85:$Y85/'实盘净值数据(iFinD公式)'!$B$65:$Y$65)+SUMPRODUCT(分期持仓明细!$AC$24:$AD$24,'实盘净值数据(iFinD公式)'!$Z85:$AA85/'实盘净值数据(iFinD公式)'!$Z$65:$AA$65))*(1-实盘持仓配置!$AM$8)^(('实盘净值数据(iFinD公式)'!$A85-'实盘净值数据(iFinD公式)'!$A$5)/365))</f>
        <v>0.97914687891430241</v>
      </c>
      <c r="O85" s="16">
        <f t="shared" si="17"/>
        <v>-1.4007911323863365E-3</v>
      </c>
      <c r="P85" s="16">
        <f>IF(N85="","",N85/MAX(N$5:N85)-1)</f>
        <v>-2.3499573115254413E-2</v>
      </c>
      <c r="Q85" s="13">
        <f>IF(OR('实盘净值数据(iFinD公式)'!$A85="",'实盘净值数据(iFinD公式)'!$B85="",'实盘净值数据(iFinD公式)'!$Z85="",'实盘净值数据(iFinD公式)'!$AA85=""),"",分期持仓明细!$AB$25*(SUMPRODUCT(分期持仓明细!$B$25:$Y$25,'实盘净值数据(iFinD公式)'!$B85:$Y85/'实盘净值数据(iFinD公式)'!$B$65:$Y$65)+SUMPRODUCT(分期持仓明细!$AC$25:$AD$25,'实盘净值数据(iFinD公式)'!$Z85:$AA85/'实盘净值数据(iFinD公式)'!$Z$65:$AA$65))*(1-实盘持仓配置!$AM$9)^(('实盘净值数据(iFinD公式)'!$A85-'实盘净值数据(iFinD公式)'!$A$8)/365))</f>
        <v>0.91255727182859403</v>
      </c>
      <c r="R85" s="16">
        <f t="shared" si="18"/>
        <v>-4.8023330196104164E-3</v>
      </c>
      <c r="S85" s="16">
        <f>IF(Q85="","",Q85/MAX(Q$5:Q85)-1)</f>
        <v>-9.5368988523449105E-2</v>
      </c>
      <c r="T85" s="13">
        <f>IF(OR('实盘净值数据(iFinD公式)'!$A85="",'实盘净值数据(iFinD公式)'!$B85="",'实盘净值数据(iFinD公式)'!$Z85="",'实盘净值数据(iFinD公式)'!$AA85="",'实盘净值数据(iFinD公式)'!$AB85="",'实盘净值数据(iFinD公式)'!$AL85=""),"",(SUMPRODUCT(分期持仓明细!$B$26:$Y$26,'实盘净值数据(iFinD公式)'!$B85:$Y85/'实盘净值数据(iFinD公式)'!$B$69:$Y$69)+SUMPRODUCT(分期持仓明细!$AC$26:$AD$26,'实盘净值数据(iFinD公式)'!$Z85:$AA85/'实盘净值数据(iFinD公式)'!$Z$69:$AA$69)+SUMPRODUCT(分期持仓明细!$AE$26:$AO$26,'实盘净值数据(iFinD公式)'!$AB85:$AL85/'实盘净值数据(iFinD公式)'!$AB$69:$AL$69))*(1-实盘持仓配置!$AM$10)^(('实盘净值数据(iFinD公式)'!$A85-'实盘净值数据(iFinD公式)'!$A$69)/365))</f>
        <v>0.99615725976363056</v>
      </c>
      <c r="U85" s="16">
        <f t="shared" si="12"/>
        <v>1.2669562292746406E-3</v>
      </c>
      <c r="V85" s="16">
        <f>IF(T85="","",T85/MAX(T$5:T85)-1)</f>
        <v>-7.7734935815414463E-3</v>
      </c>
    </row>
    <row r="86" spans="1:22">
      <c r="A86" s="15">
        <f>IF('实盘净值数据(iFinD公式)'!A86="","",'实盘净值数据(iFinD公式)'!A86)</f>
        <v>46315</v>
      </c>
      <c r="B86" s="13">
        <f>IF(OR('实盘净值数据(iFinD公式)'!$A86="",'实盘净值数据(iFinD公式)'!$B86=""),"",分期持仓明细!$AB$17*SUMPRODUCT(分期持仓明细!$B$17:$Y$17,'实盘净值数据(iFinD公式)'!$B86:$Y86/'实盘净值数据(iFinD公式)'!$B$20:$Y$20)*(1-实盘持仓配置!$AM$4)^(('实盘净值数据(iFinD公式)'!$A86-'实盘净值数据(iFinD公式)'!$A$6)/365))</f>
        <v>0.64621877963307095</v>
      </c>
      <c r="C86" s="16">
        <f t="shared" si="13"/>
        <v>-6.6298776675230986E-3</v>
      </c>
      <c r="D86" s="16">
        <f>IF(B86="","",B86/MAX(B$5:B86)-1)</f>
        <v>-0.39878119258540057</v>
      </c>
      <c r="E86" s="13">
        <f>IF(OR('实盘净值数据(iFinD公式)'!$A86="",'实盘净值数据(iFinD公式)'!$B86=""),"",分期持仓明细!$AB$18*SUMPRODUCT(分期持仓明细!$B$18:$Y$18,'实盘净值数据(iFinD公式)'!$B86:$Y86/'实盘净值数据(iFinD公式)'!$B$20:$Y$20)*(1-实盘持仓配置!$AM$5)^(('实盘净值数据(iFinD公式)'!$A86-'实盘净值数据(iFinD公式)'!$A$5)/365))</f>
        <v>0.661355184850143</v>
      </c>
      <c r="F86" s="16">
        <f t="shared" si="14"/>
        <v>-6.6001722742782265E-3</v>
      </c>
      <c r="G86" s="16">
        <f>IF(E86="","",E86/MAX(E$5:E86)-1)</f>
        <v>-0.39862415991306688</v>
      </c>
      <c r="H86" s="13">
        <f>IF(OR('实盘净值数据(iFinD公式)'!$A86="",'实盘净值数据(iFinD公式)'!$B86=""),"",分期持仓明细!$AB$19*SUMPRODUCT(分期持仓明细!$B$19:$Y$19,'实盘净值数据(iFinD公式)'!$B86:$Y86/'实盘净值数据(iFinD公式)'!$B$20:$Y$20)*(1-实盘持仓配置!$AM$6)^(('实盘净值数据(iFinD公式)'!$A86-'实盘净值数据(iFinD公式)'!$A$7)/365))</f>
        <v>0.6613687798739003</v>
      </c>
      <c r="I86" s="16">
        <f t="shared" si="15"/>
        <v>-7.5993131488194532E-3</v>
      </c>
      <c r="J86" s="16">
        <f>IF(H86="","",H86/MAX(H$5:H86)-1)</f>
        <v>-0.4050869870241709</v>
      </c>
      <c r="K86" s="13">
        <f>IF(OR('实盘净值数据(iFinD公式)'!$A86="",'实盘净值数据(iFinD公式)'!$B86="",'实盘净值数据(iFinD公式)'!$Z86="",'实盘净值数据(iFinD公式)'!$AA86=""),"",分期持仓明细!$AB$23*(SUMPRODUCT(分期持仓明细!$B$23:$Y$23,'实盘净值数据(iFinD公式)'!$B86:$Y86/'实盘净值数据(iFinD公式)'!$B$65:$Y$65)+SUMPRODUCT(分期持仓明细!$AC$23:$AD$23,'实盘净值数据(iFinD公式)'!$Z86:$AA86/'实盘净值数据(iFinD公式)'!$Z$65:$AA$65))*(1-实盘持仓配置!$AM$7)^(('实盘净值数据(iFinD公式)'!$A86-'实盘净值数据(iFinD公式)'!$A$8)/365))</f>
        <v>0.97864598147145943</v>
      </c>
      <c r="L86" s="16">
        <f t="shared" si="16"/>
        <v>4.2053314963585997E-4</v>
      </c>
      <c r="M86" s="16">
        <f>IF(K86="","",K86/MAX(K$5:K86)-1)</f>
        <v>-2.4545698790208514E-2</v>
      </c>
      <c r="N86" s="13">
        <f>IF(OR('实盘净值数据(iFinD公式)'!$A86="",'实盘净值数据(iFinD公式)'!$B86="",'实盘净值数据(iFinD公式)'!$Z86="",'实盘净值数据(iFinD公式)'!$AA86=""),"",分期持仓明细!$AB$24*(SUMPRODUCT(分期持仓明细!$B$24:$Y$24,'实盘净值数据(iFinD公式)'!$B86:$Y86/'实盘净值数据(iFinD公式)'!$B$65:$Y$65)+SUMPRODUCT(分期持仓明细!$AC$24:$AD$24,'实盘净值数据(iFinD公式)'!$Z86:$AA86/'实盘净值数据(iFinD公式)'!$Z$65:$AA$65))*(1-实盘持仓配置!$AM$8)^(('实盘净值数据(iFinD公式)'!$A86-'实盘净值数据(iFinD公式)'!$A$5)/365))</f>
        <v>0.97955235802389973</v>
      </c>
      <c r="O86" s="16">
        <f t="shared" si="17"/>
        <v>4.141146934431017E-4</v>
      </c>
      <c r="P86" s="16">
        <f>IF(N86="","",N86/MAX(N$5:N86)-1)</f>
        <v>-2.3095189940327998E-2</v>
      </c>
      <c r="Q86" s="13">
        <f>IF(OR('实盘净值数据(iFinD公式)'!$A86="",'实盘净值数据(iFinD公式)'!$B86="",'实盘净值数据(iFinD公式)'!$Z86="",'实盘净值数据(iFinD公式)'!$AA86=""),"",分期持仓明细!$AB$25*(SUMPRODUCT(分期持仓明细!$B$25:$Y$25,'实盘净值数据(iFinD公式)'!$B86:$Y86/'实盘净值数据(iFinD公式)'!$B$65:$Y$65)+SUMPRODUCT(分期持仓明细!$AC$25:$AD$25,'实盘净值数据(iFinD公式)'!$Z86:$AA86/'实盘净值数据(iFinD公式)'!$Z$65:$AA$65))*(1-实盘持仓配置!$AM$9)^(('实盘净值数据(iFinD公式)'!$A86-'实盘净值数据(iFinD公式)'!$A$8)/365))</f>
        <v>0.91204015786127335</v>
      </c>
      <c r="R86" s="16">
        <f t="shared" si="18"/>
        <v>-5.6666467221777594E-4</v>
      </c>
      <c r="S86" s="16">
        <f>IF(Q86="","",Q86/MAX(Q$5:Q86)-1)</f>
        <v>-9.588161095904546E-2</v>
      </c>
      <c r="T86" s="13">
        <f>IF(OR('实盘净值数据(iFinD公式)'!$A86="",'实盘净值数据(iFinD公式)'!$B86="",'实盘净值数据(iFinD公式)'!$Z86="",'实盘净值数据(iFinD公式)'!$AA86="",'实盘净值数据(iFinD公式)'!$AB86="",'实盘净值数据(iFinD公式)'!$AL86=""),"",(SUMPRODUCT(分期持仓明细!$B$26:$Y$26,'实盘净值数据(iFinD公式)'!$B86:$Y86/'实盘净值数据(iFinD公式)'!$B$69:$Y$69)+SUMPRODUCT(分期持仓明细!$AC$26:$AD$26,'实盘净值数据(iFinD公式)'!$Z86:$AA86/'实盘净值数据(iFinD公式)'!$Z$69:$AA$69)+SUMPRODUCT(分期持仓明细!$AE$26:$AO$26,'实盘净值数据(iFinD公式)'!$AB86:$AL86/'实盘净值数据(iFinD公式)'!$AB$69:$AL$69))*(1-实盘持仓配置!$AM$10)^(('实盘净值数据(iFinD公式)'!$A86-'实盘净值数据(iFinD公式)'!$A$69)/365))</f>
        <v>0.99622495749416884</v>
      </c>
      <c r="U86" s="16">
        <f t="shared" si="12"/>
        <v>6.7958878856577698E-5</v>
      </c>
      <c r="V86" s="16">
        <f>IF(T86="","",T86/MAX(T$5:T86)-1)</f>
        <v>-7.7060629805935088E-3</v>
      </c>
    </row>
    <row r="87" spans="1:22">
      <c r="A87" s="15">
        <f>IF('实盘净值数据(iFinD公式)'!A87="","",'实盘净值数据(iFinD公式)'!A87)</f>
        <v>46316</v>
      </c>
      <c r="B87" s="13">
        <f>IF(OR('实盘净值数据(iFinD公式)'!$A87="",'实盘净值数据(iFinD公式)'!$B87=""),"",分期持仓明细!$AB$17*SUMPRODUCT(分期持仓明细!$B$17:$Y$17,'实盘净值数据(iFinD公式)'!$B87:$Y87/'实盘净值数据(iFinD公式)'!$B$20:$Y$20)*(1-实盘持仓配置!$AM$4)^(('实盘净值数据(iFinD公式)'!$A87-'实盘净值数据(iFinD公式)'!$A$6)/365))</f>
        <v>0.64950187064490728</v>
      </c>
      <c r="C87" s="16">
        <f t="shared" si="13"/>
        <v>5.080463637563204E-3</v>
      </c>
      <c r="D87" s="16">
        <f>IF(B87="","",B87/MAX(B$5:B87)-1)</f>
        <v>-0.3957267222961115</v>
      </c>
      <c r="E87" s="13">
        <f>IF(OR('实盘净值数据(iFinD公式)'!$A87="",'实盘净值数据(iFinD公式)'!$B87=""),"",分期持仓明细!$AB$18*SUMPRODUCT(分期持仓明细!$B$18:$Y$18,'实盘净值数据(iFinD公式)'!$B87:$Y87/'实盘净值数据(iFinD公式)'!$B$20:$Y$20)*(1-实盘持仓配置!$AM$5)^(('实盘净值数据(iFinD公式)'!$A87-'实盘净值数据(iFinD公式)'!$A$5)/365))</f>
        <v>0.66474659418770665</v>
      </c>
      <c r="F87" s="16">
        <f t="shared" si="14"/>
        <v>5.1279696829353849E-3</v>
      </c>
      <c r="G87" s="16">
        <f>IF(E87="","",E87/MAX(E$5:E87)-1)</f>
        <v>-0.39554032283705132</v>
      </c>
      <c r="H87" s="13">
        <f>IF(OR('实盘净值数据(iFinD公式)'!$A87="",'实盘净值数据(iFinD公式)'!$B87=""),"",分期持仓明细!$AB$19*SUMPRODUCT(分期持仓明细!$B$19:$Y$19,'实盘净值数据(iFinD公式)'!$B87:$Y87/'实盘净值数据(iFinD公式)'!$B$20:$Y$20)*(1-实盘持仓配置!$AM$6)^(('实盘净值数据(iFinD公式)'!$A87-'实盘净值数据(iFinD公式)'!$A$7)/365))</f>
        <v>0.66193415589702442</v>
      </c>
      <c r="I87" s="16">
        <f t="shared" si="15"/>
        <v>8.5485744161051258E-4</v>
      </c>
      <c r="J87" s="16">
        <f>IF(H87="","",H87/MAX(H$5:H87)-1)</f>
        <v>-0.40457842120791754</v>
      </c>
      <c r="K87" s="13">
        <f>IF(OR('实盘净值数据(iFinD公式)'!$A87="",'实盘净值数据(iFinD公式)'!$B87="",'实盘净值数据(iFinD公式)'!$Z87="",'实盘净值数据(iFinD公式)'!$AA87=""),"",分期持仓明细!$AB$23*(SUMPRODUCT(分期持仓明细!$B$23:$Y$23,'实盘净值数据(iFinD公式)'!$B87:$Y87/'实盘净值数据(iFinD公式)'!$B$65:$Y$65)+SUMPRODUCT(分期持仓明细!$AC$23:$AD$23,'实盘净值数据(iFinD公式)'!$Z87:$AA87/'实盘净值数据(iFinD公式)'!$Z$65:$AA$65))*(1-实盘持仓配置!$AM$7)^(('实盘净值数据(iFinD公式)'!$A87-'实盘净值数据(iFinD公式)'!$A$8)/365))</f>
        <v>0.97822573481328656</v>
      </c>
      <c r="L87" s="16">
        <f t="shared" si="16"/>
        <v>-4.2941642445715189E-4</v>
      </c>
      <c r="M87" s="16">
        <f>IF(K87="","",K87/MAX(K$5:K87)-1)</f>
        <v>-2.4964574888455382E-2</v>
      </c>
      <c r="N87" s="13">
        <f>IF(OR('实盘净值数据(iFinD公式)'!$A87="",'实盘净值数据(iFinD公式)'!$B87="",'实盘净值数据(iFinD公式)'!$Z87="",'实盘净值数据(iFinD公式)'!$AA87=""),"",分期持仓明细!$AB$24*(SUMPRODUCT(分期持仓明细!$B$24:$Y$24,'实盘净值数据(iFinD公式)'!$B87:$Y87/'实盘净值数据(iFinD公式)'!$B$65:$Y$65)+SUMPRODUCT(分期持仓明细!$AC$24:$AD$24,'实盘净值数据(iFinD公式)'!$Z87:$AA87/'实盘净值数据(iFinD公式)'!$Z$65:$AA$65))*(1-实盘持仓配置!$AM$8)^(('实盘净值数据(iFinD公式)'!$A87-'实盘净值数据(iFinD公式)'!$A$5)/365))</f>
        <v>0.9792439907059336</v>
      </c>
      <c r="O87" s="16">
        <f t="shared" si="17"/>
        <v>-3.1480432407737791E-4</v>
      </c>
      <c r="P87" s="16">
        <f>IF(N87="","",N87/MAX(N$5:N87)-1)</f>
        <v>-2.340272379874675E-2</v>
      </c>
      <c r="Q87" s="13">
        <f>IF(OR('实盘净值数据(iFinD公式)'!$A87="",'实盘净值数据(iFinD公式)'!$B87="",'实盘净值数据(iFinD公式)'!$Z87="",'实盘净值数据(iFinD公式)'!$AA87=""),"",分期持仓明细!$AB$25*(SUMPRODUCT(分期持仓明细!$B$25:$Y$25,'实盘净值数据(iFinD公式)'!$B87:$Y87/'实盘净值数据(iFinD公式)'!$B$65:$Y$65)+SUMPRODUCT(分期持仓明细!$AC$25:$AD$25,'实盘净值数据(iFinD公式)'!$Z87:$AA87/'实盘净值数据(iFinD公式)'!$Z$65:$AA$65))*(1-实盘持仓配置!$AM$9)^(('实盘净值数据(iFinD公式)'!$A87-'实盘净值数据(iFinD公式)'!$A$8)/365))</f>
        <v>0.91173848444275163</v>
      </c>
      <c r="R87" s="16">
        <f t="shared" si="18"/>
        <v>-3.3076769254236638E-4</v>
      </c>
      <c r="S87" s="16">
        <f>IF(Q87="","",Q87/MAX(Q$5:Q87)-1)</f>
        <v>-9.6180664112373693E-2</v>
      </c>
      <c r="T87" s="13">
        <f>IF(OR('实盘净值数据(iFinD公式)'!$A87="",'实盘净值数据(iFinD公式)'!$B87="",'实盘净值数据(iFinD公式)'!$Z87="",'实盘净值数据(iFinD公式)'!$AA87="",'实盘净值数据(iFinD公式)'!$AB87="",'实盘净值数据(iFinD公式)'!$AL87=""),"",(SUMPRODUCT(分期持仓明细!$B$26:$Y$26,'实盘净值数据(iFinD公式)'!$B87:$Y87/'实盘净值数据(iFinD公式)'!$B$69:$Y$69)+SUMPRODUCT(分期持仓明细!$AC$26:$AD$26,'实盘净值数据(iFinD公式)'!$Z87:$AA87/'实盘净值数据(iFinD公式)'!$Z$69:$AA$69)+SUMPRODUCT(分期持仓明细!$AE$26:$AO$26,'实盘净值数据(iFinD公式)'!$AB87:$AL87/'实盘净值数据(iFinD公式)'!$AB$69:$AL$69))*(1-实盘持仓配置!$AM$10)^(('实盘净值数据(iFinD公式)'!$A87-'实盘净值数据(iFinD公式)'!$A$69)/365))</f>
        <v>0.99437177461746362</v>
      </c>
      <c r="U87" s="16">
        <f t="shared" si="12"/>
        <v>-1.8602052305199956E-3</v>
      </c>
      <c r="V87" s="16">
        <f>IF(T87="","",T87/MAX(T$5:T87)-1)</f>
        <v>-9.5519333524503036E-3</v>
      </c>
    </row>
    <row r="88" spans="1:22">
      <c r="A88" s="15">
        <f>IF('实盘净值数据(iFinD公式)'!A88="","",'实盘净值数据(iFinD公式)'!A88)</f>
        <v>46317</v>
      </c>
      <c r="B88" s="13">
        <f>IF(OR('实盘净值数据(iFinD公式)'!$A88="",'实盘净值数据(iFinD公式)'!$B88=""),"",分期持仓明细!$AB$17*SUMPRODUCT(分期持仓明细!$B$17:$Y$17,'实盘净值数据(iFinD公式)'!$B88:$Y88/'实盘净值数据(iFinD公式)'!$B$20:$Y$20)*(1-实盘持仓配置!$AM$4)^(('实盘净值数据(iFinD公式)'!$A88-'实盘净值数据(iFinD公式)'!$A$6)/365))</f>
        <v>0.61457042276492513</v>
      </c>
      <c r="C88" s="16">
        <f t="shared" si="13"/>
        <v>-5.3781904962487359E-2</v>
      </c>
      <c r="D88" s="16">
        <f>IF(B88="","",B88/MAX(B$5:B88)-1)</f>
        <v>-0.42822569028895274</v>
      </c>
      <c r="E88" s="13">
        <f>IF(OR('实盘净值数据(iFinD公式)'!$A88="",'实盘净值数据(iFinD公式)'!$B88=""),"",分期持仓明细!$AB$18*SUMPRODUCT(分期持仓明细!$B$18:$Y$18,'实盘净值数据(iFinD公式)'!$B88:$Y88/'实盘净值数据(iFinD公式)'!$B$20:$Y$20)*(1-实盘持仓配置!$AM$5)^(('实盘净值数据(iFinD公式)'!$A88-'实盘净值数据(iFinD公式)'!$A$5)/365))</f>
        <v>0.62893214283940346</v>
      </c>
      <c r="F88" s="16">
        <f t="shared" si="14"/>
        <v>-5.3876848202685457E-2</v>
      </c>
      <c r="G88" s="16">
        <f>IF(E88="","",E88/MAX(E$5:E88)-1)</f>
        <v>-0.4281067051082037</v>
      </c>
      <c r="H88" s="13">
        <f>IF(OR('实盘净值数据(iFinD公式)'!$A88="",'实盘净值数据(iFinD公式)'!$B88=""),"",分期持仓明细!$AB$19*SUMPRODUCT(分期持仓明细!$B$19:$Y$19,'实盘净值数据(iFinD公式)'!$B88:$Y88/'实盘净值数据(iFinD公式)'!$B$20:$Y$20)*(1-实盘持仓配置!$AM$6)^(('实盘净值数据(iFinD公式)'!$A88-'实盘净值数据(iFinD公式)'!$A$7)/365))</f>
        <v>0.62899380124149951</v>
      </c>
      <c r="I88" s="16">
        <f t="shared" si="15"/>
        <v>-4.9763793516419463E-2</v>
      </c>
      <c r="J88" s="16">
        <f>IF(H88="","",H88/MAX(H$5:H88)-1)</f>
        <v>-0.43420885771014717</v>
      </c>
      <c r="K88" s="13">
        <f>IF(OR('实盘净值数据(iFinD公式)'!$A88="",'实盘净值数据(iFinD公式)'!$B88="",'实盘净值数据(iFinD公式)'!$Z88="",'实盘净值数据(iFinD公式)'!$AA88=""),"",分期持仓明细!$AB$23*(SUMPRODUCT(分期持仓明细!$B$23:$Y$23,'实盘净值数据(iFinD公式)'!$B88:$Y88/'实盘净值数据(iFinD公式)'!$B$65:$Y$65)+SUMPRODUCT(分期持仓明细!$AC$23:$AD$23,'实盘净值数据(iFinD公式)'!$Z88:$AA88/'实盘净值数据(iFinD公式)'!$Z$65:$AA$65))*(1-实盘持仓配置!$AM$7)^(('实盘净值数据(iFinD公式)'!$A88-'实盘净值数据(iFinD公式)'!$A$8)/365))</f>
        <v>0.97432260171964857</v>
      </c>
      <c r="L88" s="16">
        <f t="shared" si="16"/>
        <v>-3.990012688004918E-3</v>
      </c>
      <c r="M88" s="16">
        <f>IF(K88="","",K88/MAX(K$5:K88)-1)</f>
        <v>-2.8854978605904802E-2</v>
      </c>
      <c r="N88" s="13">
        <f>IF(OR('实盘净值数据(iFinD公式)'!$A88="",'实盘净值数据(iFinD公式)'!$B88="",'实盘净值数据(iFinD公式)'!$Z88="",'实盘净值数据(iFinD公式)'!$AA88=""),"",分期持仓明细!$AB$24*(SUMPRODUCT(分期持仓明细!$B$24:$Y$24,'实盘净值数据(iFinD公式)'!$B88:$Y88/'实盘净值数据(iFinD公式)'!$B$65:$Y$65)+SUMPRODUCT(分期持仓明细!$AC$24:$AD$24,'实盘净值数据(iFinD公式)'!$Z88:$AA88/'实盘净值数据(iFinD公式)'!$Z$65:$AA$65))*(1-实盘持仓配置!$AM$8)^(('实盘净值数据(iFinD公式)'!$A88-'实盘净值数据(iFinD公式)'!$A$5)/365))</f>
        <v>0.97523795832814941</v>
      </c>
      <c r="O88" s="16">
        <f t="shared" si="17"/>
        <v>-4.0909440505182415E-3</v>
      </c>
      <c r="P88" s="16">
        <f>IF(N88="","",N88/MAX(N$5:N88)-1)</f>
        <v>-2.7397928615574663E-2</v>
      </c>
      <c r="Q88" s="13">
        <f>IF(OR('实盘净值数据(iFinD公式)'!$A88="",'实盘净值数据(iFinD公式)'!$B88="",'实盘净值数据(iFinD公式)'!$Z88="",'实盘净值数据(iFinD公式)'!$AA88=""),"",分期持仓明细!$AB$25*(SUMPRODUCT(分期持仓明细!$B$25:$Y$25,'实盘净值数据(iFinD公式)'!$B88:$Y88/'实盘净值数据(iFinD公式)'!$B$65:$Y$65)+SUMPRODUCT(分期持仓明细!$AC$25:$AD$25,'实盘净值数据(iFinD公式)'!$Z88:$AA88/'实盘净值数据(iFinD公式)'!$Z$65:$AA$65))*(1-实盘持仓配置!$AM$9)^(('实盘净值数据(iFinD公式)'!$A88-'实盘净值数据(iFinD公式)'!$A$8)/365))</f>
        <v>0.90096190297231049</v>
      </c>
      <c r="R88" s="16">
        <f t="shared" si="18"/>
        <v>-1.1819816377530379E-2</v>
      </c>
      <c r="S88" s="16">
        <f>IF(Q88="","",Q88/MAX(Q$5:Q88)-1)</f>
        <v>-0.10686364270102688</v>
      </c>
      <c r="T88" s="13">
        <f>IF(OR('实盘净值数据(iFinD公式)'!$A88="",'实盘净值数据(iFinD公式)'!$B88="",'实盘净值数据(iFinD公式)'!$Z88="",'实盘净值数据(iFinD公式)'!$AA88="",'实盘净值数据(iFinD公式)'!$AB88="",'实盘净值数据(iFinD公式)'!$AL88=""),"",(SUMPRODUCT(分期持仓明细!$B$26:$Y$26,'实盘净值数据(iFinD公式)'!$B88:$Y88/'实盘净值数据(iFinD公式)'!$B$69:$Y$69)+SUMPRODUCT(分期持仓明细!$AC$26:$AD$26,'实盘净值数据(iFinD公式)'!$Z88:$AA88/'实盘净值数据(iFinD公式)'!$Z$69:$AA$69)+SUMPRODUCT(分期持仓明细!$AE$26:$AO$26,'实盘净值数据(iFinD公式)'!$AB88:$AL88/'实盘净值数据(iFinD公式)'!$AB$69:$AL$69))*(1-实盘持仓配置!$AM$10)^(('实盘净值数据(iFinD公式)'!$A88-'实盘净值数据(iFinD公式)'!$A$69)/365))</f>
        <v>0.99083760762820983</v>
      </c>
      <c r="U88" s="16">
        <f t="shared" si="12"/>
        <v>-3.5541706627919556E-3</v>
      </c>
      <c r="V88" s="16">
        <f>IF(T88="","",T88/MAX(T$5:T88)-1)</f>
        <v>-1.3072154813948078E-2</v>
      </c>
    </row>
    <row r="89" spans="1:22">
      <c r="A89" s="15">
        <f>IF('实盘净值数据(iFinD公式)'!A89="","",'实盘净值数据(iFinD公式)'!A89)</f>
        <v>46318</v>
      </c>
      <c r="B89" s="13">
        <f>IF(OR('实盘净值数据(iFinD公式)'!$A89="",'实盘净值数据(iFinD公式)'!$B89=""),"",分期持仓明细!$AB$17*SUMPRODUCT(分期持仓明细!$B$17:$Y$17,'实盘净值数据(iFinD公式)'!$B89:$Y89/'实盘净值数据(iFinD公式)'!$B$20:$Y$20)*(1-实盘持仓配置!$AM$4)^(('实盘净值数据(iFinD公式)'!$A89-'实盘净值数据(iFinD公式)'!$A$6)/365))</f>
        <v>0.61994545073079155</v>
      </c>
      <c r="C89" s="16">
        <f t="shared" si="13"/>
        <v>8.7459919429320188E-3</v>
      </c>
      <c r="D89" s="16">
        <f>IF(B89="","",B89/MAX(B$5:B89)-1)</f>
        <v>-0.42322495678304439</v>
      </c>
      <c r="E89" s="13">
        <f>IF(OR('实盘净值数据(iFinD公式)'!$A89="",'实盘净值数据(iFinD公式)'!$B89=""),"",分期持仓明细!$AB$18*SUMPRODUCT(分期持仓明细!$B$18:$Y$18,'实盘净值数据(iFinD公式)'!$B89:$Y89/'实盘净值数据(iFinD公式)'!$B$20:$Y$20)*(1-实盘持仓配置!$AM$5)^(('实盘净值数据(iFinD公式)'!$A89-'实盘净值数据(iFinD公式)'!$A$5)/365))</f>
        <v>0.63445461120861613</v>
      </c>
      <c r="F89" s="16">
        <f t="shared" si="14"/>
        <v>8.7807062050935247E-3</v>
      </c>
      <c r="G89" s="16">
        <f>IF(E89="","",E89/MAX(E$5:E89)-1)</f>
        <v>-0.42308507810509599</v>
      </c>
      <c r="H89" s="13">
        <f>IF(OR('实盘净值数据(iFinD公式)'!$A89="",'实盘净值数据(iFinD公式)'!$B89=""),"",分期持仓明细!$AB$19*SUMPRODUCT(分期持仓明细!$B$19:$Y$19,'实盘净值数据(iFinD公式)'!$B89:$Y89/'实盘净值数据(iFinD公式)'!$B$20:$Y$20)*(1-实盘持仓配置!$AM$6)^(('实盘净值数据(iFinD公式)'!$A89-'实盘净值数据(iFinD公式)'!$A$7)/365))</f>
        <v>0.63628878262746824</v>
      </c>
      <c r="I89" s="16">
        <f t="shared" si="15"/>
        <v>1.1597858948005468E-2</v>
      </c>
      <c r="J89" s="16">
        <f>IF(H89="","",H89/MAX(H$5:H89)-1)</f>
        <v>-0.42764689184783855</v>
      </c>
      <c r="K89" s="13">
        <f>IF(OR('实盘净值数据(iFinD公式)'!$A89="",'实盘净值数据(iFinD公式)'!$B89="",'实盘净值数据(iFinD公式)'!$Z89="",'实盘净值数据(iFinD公式)'!$AA89=""),"",分期持仓明细!$AB$23*(SUMPRODUCT(分期持仓明细!$B$23:$Y$23,'实盘净值数据(iFinD公式)'!$B89:$Y89/'实盘净值数据(iFinD公式)'!$B$65:$Y$65)+SUMPRODUCT(分期持仓明细!$AC$23:$AD$23,'实盘净值数据(iFinD公式)'!$Z89:$AA89/'实盘净值数据(iFinD公式)'!$Z$65:$AA$65))*(1-实盘持仓配置!$AM$7)^(('实盘净值数据(iFinD公式)'!$A89-'实盘净值数据(iFinD公式)'!$A$8)/365))</f>
        <v>0.9747396075314364</v>
      </c>
      <c r="L89" s="16">
        <f t="shared" si="16"/>
        <v>4.279956259372053E-4</v>
      </c>
      <c r="M89" s="16">
        <f>IF(K89="","",K89/MAX(K$5:K89)-1)</f>
        <v>-2.8439332784597315E-2</v>
      </c>
      <c r="N89" s="13">
        <f>IF(OR('实盘净值数据(iFinD公式)'!$A89="",'实盘净值数据(iFinD公式)'!$B89="",'实盘净值数据(iFinD公式)'!$Z89="",'实盘净值数据(iFinD公式)'!$AA89=""),"",分期持仓明细!$AB$24*(SUMPRODUCT(分期持仓明细!$B$24:$Y$24,'实盘净值数据(iFinD公式)'!$B89:$Y89/'实盘净值数据(iFinD公式)'!$B$65:$Y$65)+SUMPRODUCT(分期持仓明细!$AC$24:$AD$24,'实盘净值数据(iFinD公式)'!$Z89:$AA89/'实盘净值数据(iFinD公式)'!$Z$65:$AA$65))*(1-实盘持仓配置!$AM$8)^(('实盘净值数据(iFinD公式)'!$A89-'实盘净值数据(iFinD公式)'!$A$5)/365))</f>
        <v>0.97552953283760457</v>
      </c>
      <c r="O89" s="16">
        <f t="shared" si="17"/>
        <v>2.9897781045673533E-4</v>
      </c>
      <c r="P89" s="16">
        <f>IF(N89="","",N89/MAX(N$5:N89)-1)</f>
        <v>-2.7107142177826504E-2</v>
      </c>
      <c r="Q89" s="13">
        <f>IF(OR('实盘净值数据(iFinD公式)'!$A89="",'实盘净值数据(iFinD公式)'!$B89="",'实盘净值数据(iFinD公式)'!$Z89="",'实盘净值数据(iFinD公式)'!$AA89=""),"",分期持仓明细!$AB$25*(SUMPRODUCT(分期持仓明细!$B$25:$Y$25,'实盘净值数据(iFinD公式)'!$B89:$Y89/'实盘净值数据(iFinD公式)'!$B$65:$Y$65)+SUMPRODUCT(分期持仓明细!$AC$25:$AD$25,'实盘净值数据(iFinD公式)'!$Z89:$AA89/'实盘净值数据(iFinD公式)'!$Z$65:$AA$65))*(1-实盘持仓配置!$AM$9)^(('实盘净值数据(iFinD公式)'!$A89-'实盘净值数据(iFinD公式)'!$A$8)/365))</f>
        <v>0.90301171776276179</v>
      </c>
      <c r="R89" s="16">
        <f t="shared" si="18"/>
        <v>2.2751403624159394E-3</v>
      </c>
      <c r="S89" s="16">
        <f>IF(Q89="","",Q89/MAX(Q$5:Q89)-1)</f>
        <v>-0.10483163212539492</v>
      </c>
      <c r="T89" s="13">
        <f>IF(OR('实盘净值数据(iFinD公式)'!$A89="",'实盘净值数据(iFinD公式)'!$B89="",'实盘净值数据(iFinD公式)'!$Z89="",'实盘净值数据(iFinD公式)'!$AA89="",'实盘净值数据(iFinD公式)'!$AB89="",'实盘净值数据(iFinD公式)'!$AL89=""),"",(SUMPRODUCT(分期持仓明细!$B$26:$Y$26,'实盘净值数据(iFinD公式)'!$B89:$Y89/'实盘净值数据(iFinD公式)'!$B$69:$Y$69)+SUMPRODUCT(分期持仓明细!$AC$26:$AD$26,'实盘净值数据(iFinD公式)'!$Z89:$AA89/'实盘净值数据(iFinD公式)'!$Z$69:$AA$69)+SUMPRODUCT(分期持仓明细!$AE$26:$AO$26,'实盘净值数据(iFinD公式)'!$AB89:$AL89/'实盘净值数据(iFinD公式)'!$AB$69:$AL$69))*(1-实盘持仓配置!$AM$10)^(('实盘净值数据(iFinD公式)'!$A89-'实盘净值数据(iFinD公式)'!$A$69)/365))</f>
        <v>0.99154249011372897</v>
      </c>
      <c r="U89" s="16">
        <f t="shared" si="12"/>
        <v>7.1140061710650571E-4</v>
      </c>
      <c r="V89" s="16">
        <f>IF(T89="","",T89/MAX(T$5:T89)-1)</f>
        <v>-1.2370053735843101E-2</v>
      </c>
    </row>
    <row r="90" spans="1:22">
      <c r="A90" s="15">
        <f>IF('实盘净值数据(iFinD公式)'!A90="","",'实盘净值数据(iFinD公式)'!A90)</f>
        <v>46321</v>
      </c>
      <c r="B90" s="13">
        <f>IF(OR('实盘净值数据(iFinD公式)'!$A90="",'实盘净值数据(iFinD公式)'!$B90=""),"",分期持仓明细!$AB$17*SUMPRODUCT(分期持仓明细!$B$17:$Y$17,'实盘净值数据(iFinD公式)'!$B90:$Y90/'实盘净值数据(iFinD公式)'!$B$20:$Y$20)*(1-实盘持仓配置!$AM$4)^(('实盘净值数据(iFinD公式)'!$A90-'实盘净值数据(iFinD公式)'!$A$6)/365))</f>
        <v>0.6198713682495719</v>
      </c>
      <c r="C90" s="16">
        <f t="shared" si="13"/>
        <v>-1.1949838672475899E-4</v>
      </c>
      <c r="D90" s="16">
        <f>IF(B90="","",B90/MAX(B$5:B90)-1)</f>
        <v>-0.42329388047021188</v>
      </c>
      <c r="E90" s="13">
        <f>IF(OR('实盘净值数据(iFinD公式)'!$A90="",'实盘净值数据(iFinD公式)'!$B90=""),"",分期持仓明细!$AB$18*SUMPRODUCT(分期持仓明细!$B$18:$Y$18,'实盘净值数据(iFinD公式)'!$B90:$Y90/'实盘净值数据(iFinD公式)'!$B$20:$Y$20)*(1-实盘持仓配置!$AM$5)^(('实盘净值数据(iFinD公式)'!$A90-'实盘净值数据(iFinD公式)'!$A$5)/365))</f>
        <v>0.63439458614020117</v>
      </c>
      <c r="F90" s="16">
        <f t="shared" si="14"/>
        <v>-9.4608924506967007E-5</v>
      </c>
      <c r="G90" s="16">
        <f>IF(E90="","",E90/MAX(E$5:E90)-1)</f>
        <v>-0.42313965940538845</v>
      </c>
      <c r="H90" s="13">
        <f>IF(OR('实盘净值数据(iFinD公式)'!$A90="",'实盘净值数据(iFinD公式)'!$B90=""),"",分期持仓明细!$AB$19*SUMPRODUCT(分期持仓明细!$B$19:$Y$19,'实盘净值数据(iFinD公式)'!$B90:$Y90/'实盘净值数据(iFinD公式)'!$B$20:$Y$20)*(1-实盘持仓配置!$AM$6)^(('实盘净值数据(iFinD公式)'!$A90-'实盘净值数据(iFinD公式)'!$A$7)/365))</f>
        <v>0.6362126297329882</v>
      </c>
      <c r="I90" s="16">
        <f t="shared" si="15"/>
        <v>-1.1968291216069016E-4</v>
      </c>
      <c r="J90" s="16">
        <f>IF(H90="","",H90/MAX(H$5:H90)-1)</f>
        <v>-0.42771539273460646</v>
      </c>
      <c r="K90" s="13">
        <f>IF(OR('实盘净值数据(iFinD公式)'!$A90="",'实盘净值数据(iFinD公式)'!$B90="",'实盘净值数据(iFinD公式)'!$Z90="",'实盘净值数据(iFinD公式)'!$AA90=""),"",分期持仓明细!$AB$23*(SUMPRODUCT(分期持仓明细!$B$23:$Y$23,'实盘净值数据(iFinD公式)'!$B90:$Y90/'实盘净值数据(iFinD公式)'!$B$65:$Y$65)+SUMPRODUCT(分期持仓明细!$AC$23:$AD$23,'实盘净值数据(iFinD公式)'!$Z90:$AA90/'实盘净值数据(iFinD公式)'!$Z$65:$AA$65))*(1-实盘持仓配置!$AM$7)^(('实盘净值数据(iFinD公式)'!$A90-'实盘净值数据(iFinD公式)'!$A$8)/365))</f>
        <v>0.97467854343583071</v>
      </c>
      <c r="L90" s="16">
        <f t="shared" si="16"/>
        <v>-6.2646572616786855E-5</v>
      </c>
      <c r="M90" s="16">
        <f>IF(K90="","",K90/MAX(K$5:K90)-1)</f>
        <v>-2.8500197730487731E-2</v>
      </c>
      <c r="N90" s="13">
        <f>IF(OR('实盘净值数据(iFinD公式)'!$A90="",'实盘净值数据(iFinD公式)'!$B90="",'实盘净值数据(iFinD公式)'!$Z90="",'实盘净值数据(iFinD公式)'!$AA90=""),"",分期持仓明细!$AB$24*(SUMPRODUCT(分期持仓明细!$B$24:$Y$24,'实盘净值数据(iFinD公式)'!$B90:$Y90/'实盘净值数据(iFinD公式)'!$B$65:$Y$65)+SUMPRODUCT(分期持仓明细!$AC$24:$AD$24,'实盘净值数据(iFinD公式)'!$Z90:$AA90/'实盘净值数据(iFinD公式)'!$Z$65:$AA$65))*(1-实盘持仓配置!$AM$8)^(('实盘净值数据(iFinD公式)'!$A90-'实盘净值数据(iFinD公式)'!$A$5)/365))</f>
        <v>0.97549262990379848</v>
      </c>
      <c r="O90" s="16">
        <f t="shared" si="17"/>
        <v>-3.7828617754698257E-5</v>
      </c>
      <c r="P90" s="16">
        <f>IF(N90="","",N90/MAX(N$5:N90)-1)</f>
        <v>-2.7143945369861311E-2</v>
      </c>
      <c r="Q90" s="13">
        <f>IF(OR('实盘净值数据(iFinD公式)'!$A90="",'实盘净值数据(iFinD公式)'!$B90="",'实盘净值数据(iFinD公式)'!$Z90="",'实盘净值数据(iFinD公式)'!$AA90=""),"",分期持仓明细!$AB$25*(SUMPRODUCT(分期持仓明细!$B$25:$Y$25,'实盘净值数据(iFinD公式)'!$B90:$Y90/'实盘净值数据(iFinD公式)'!$B$65:$Y$65)+SUMPRODUCT(分期持仓明细!$AC$25:$AD$25,'实盘净值数据(iFinD公式)'!$Z90:$AA90/'实盘净值数据(iFinD公式)'!$Z$65:$AA$65))*(1-实盘持仓配置!$AM$9)^(('实盘净值数据(iFinD公式)'!$A90-'实盘净值数据(iFinD公式)'!$A$8)/365))</f>
        <v>0.9029284475360444</v>
      </c>
      <c r="R90" s="16">
        <f t="shared" si="18"/>
        <v>-9.2213893883585918E-5</v>
      </c>
      <c r="S90" s="16">
        <f>IF(Q90="","",Q90/MAX(Q$5:Q90)-1)</f>
        <v>-0.10491417908627798</v>
      </c>
      <c r="T90" s="13">
        <f>IF(OR('实盘净值数据(iFinD公式)'!$A90="",'实盘净值数据(iFinD公式)'!$B90="",'实盘净值数据(iFinD公式)'!$Z90="",'实盘净值数据(iFinD公式)'!$AA90="",'实盘净值数据(iFinD公式)'!$AB90="",'实盘净值数据(iFinD公式)'!$AL90=""),"",(SUMPRODUCT(分期持仓明细!$B$26:$Y$26,'实盘净值数据(iFinD公式)'!$B90:$Y90/'实盘净值数据(iFinD公式)'!$B$69:$Y$69)+SUMPRODUCT(分期持仓明细!$AC$26:$AD$26,'实盘净值数据(iFinD公式)'!$Z90:$AA90/'实盘净值数据(iFinD公式)'!$Z$69:$AA$69)+SUMPRODUCT(分期持仓明细!$AE$26:$AO$26,'实盘净值数据(iFinD公式)'!$AB90:$AL90/'实盘净值数据(iFinD公式)'!$AB$69:$AL$69))*(1-实盘持仓配置!$AM$10)^(('实盘净值数据(iFinD公式)'!$A90-'实盘净值数据(iFinD公式)'!$A$69)/365))</f>
        <v>0.99148035199566897</v>
      </c>
      <c r="U90" s="16">
        <f t="shared" si="12"/>
        <v>-6.2668134426457911E-5</v>
      </c>
      <c r="V90" s="16">
        <f>IF(T90="","",T90/MAX(T$5:T90)-1)</f>
        <v>-1.2431946662079141E-2</v>
      </c>
    </row>
    <row r="91" spans="1:22">
      <c r="A91" s="15" t="str">
        <f>IF('实盘净值数据(iFinD公式)'!A91="","",'实盘净值数据(iFinD公式)'!A91)</f>
        <v/>
      </c>
      <c r="B91" s="13" t="str">
        <f>IF(OR('实盘净值数据(iFinD公式)'!$A91="",'实盘净值数据(iFinD公式)'!$B91=""),"",分期持仓明细!$AB$17*SUMPRODUCT(分期持仓明细!$B$17:$Y$17,'实盘净值数据(iFinD公式)'!$B91:$Y91/'实盘净值数据(iFinD公式)'!$B$20:$Y$20)*(1-实盘持仓配置!$AM$4)^(('实盘净值数据(iFinD公式)'!$A91-'实盘净值数据(iFinD公式)'!$A$6)/365))</f>
        <v/>
      </c>
      <c r="C91" s="16" t="str">
        <f t="shared" si="13"/>
        <v/>
      </c>
      <c r="D91" s="16" t="str">
        <f>IF(B91="","",B91/MAX(B$5:B91)-1)</f>
        <v/>
      </c>
      <c r="E91" s="13" t="str">
        <f>IF(OR('实盘净值数据(iFinD公式)'!$A91="",'实盘净值数据(iFinD公式)'!$B91=""),"",分期持仓明细!$AB$18*SUMPRODUCT(分期持仓明细!$B$18:$Y$18,'实盘净值数据(iFinD公式)'!$B91:$Y91/'实盘净值数据(iFinD公式)'!$B$20:$Y$20)*(1-实盘持仓配置!$AM$5)^(('实盘净值数据(iFinD公式)'!$A91-'实盘净值数据(iFinD公式)'!$A$5)/365))</f>
        <v/>
      </c>
      <c r="F91" s="16" t="str">
        <f t="shared" si="14"/>
        <v/>
      </c>
      <c r="G91" s="16" t="str">
        <f>IF(E91="","",E91/MAX(E$5:E91)-1)</f>
        <v/>
      </c>
      <c r="H91" s="13" t="str">
        <f>IF(OR('实盘净值数据(iFinD公式)'!$A91="",'实盘净值数据(iFinD公式)'!$B91=""),"",分期持仓明细!$AB$19*SUMPRODUCT(分期持仓明细!$B$19:$Y$19,'实盘净值数据(iFinD公式)'!$B91:$Y91/'实盘净值数据(iFinD公式)'!$B$20:$Y$20)*(1-实盘持仓配置!$AM$6)^(('实盘净值数据(iFinD公式)'!$A91-'实盘净值数据(iFinD公式)'!$A$7)/365))</f>
        <v/>
      </c>
      <c r="I91" s="16" t="str">
        <f t="shared" si="15"/>
        <v/>
      </c>
      <c r="J91" s="16" t="str">
        <f>IF(H91="","",H91/MAX(H$5:H91)-1)</f>
        <v/>
      </c>
      <c r="K91" s="13" t="str">
        <f>IF(OR('实盘净值数据(iFinD公式)'!$A91="",'实盘净值数据(iFinD公式)'!$B91="",'实盘净值数据(iFinD公式)'!$Z91="",'实盘净值数据(iFinD公式)'!$AA91=""),"",分期持仓明细!$AB$23*(SUMPRODUCT(分期持仓明细!$B$23:$Y$23,'实盘净值数据(iFinD公式)'!$B91:$Y91/'实盘净值数据(iFinD公式)'!$B$65:$Y$65)+SUMPRODUCT(分期持仓明细!$AC$23:$AD$23,'实盘净值数据(iFinD公式)'!$Z91:$AA91/'实盘净值数据(iFinD公式)'!$Z$65:$AA$65))*(1-实盘持仓配置!$AM$7)^(('实盘净值数据(iFinD公式)'!$A91-'实盘净值数据(iFinD公式)'!$A$8)/365))</f>
        <v/>
      </c>
      <c r="L91" s="16" t="str">
        <f t="shared" si="16"/>
        <v/>
      </c>
      <c r="M91" s="16" t="str">
        <f>IF(K91="","",K91/MAX(K$5:K91)-1)</f>
        <v/>
      </c>
      <c r="N91" s="13" t="str">
        <f>IF(OR('实盘净值数据(iFinD公式)'!$A91="",'实盘净值数据(iFinD公式)'!$B91="",'实盘净值数据(iFinD公式)'!$Z91="",'实盘净值数据(iFinD公式)'!$AA91=""),"",分期持仓明细!$AB$24*(SUMPRODUCT(分期持仓明细!$B$24:$Y$24,'实盘净值数据(iFinD公式)'!$B91:$Y91/'实盘净值数据(iFinD公式)'!$B$65:$Y$65)+SUMPRODUCT(分期持仓明细!$AC$24:$AD$24,'实盘净值数据(iFinD公式)'!$Z91:$AA91/'实盘净值数据(iFinD公式)'!$Z$65:$AA$65))*(1-实盘持仓配置!$AM$8)^(('实盘净值数据(iFinD公式)'!$A91-'实盘净值数据(iFinD公式)'!$A$5)/365))</f>
        <v/>
      </c>
      <c r="O91" s="16" t="str">
        <f t="shared" si="17"/>
        <v/>
      </c>
      <c r="P91" s="16" t="str">
        <f>IF(N91="","",N91/MAX(N$5:N91)-1)</f>
        <v/>
      </c>
      <c r="Q91" s="13" t="str">
        <f>IF(OR('实盘净值数据(iFinD公式)'!$A91="",'实盘净值数据(iFinD公式)'!$B91="",'实盘净值数据(iFinD公式)'!$Z91="",'实盘净值数据(iFinD公式)'!$AA91=""),"",分期持仓明细!$AB$25*(SUMPRODUCT(分期持仓明细!$B$25:$Y$25,'实盘净值数据(iFinD公式)'!$B91:$Y91/'实盘净值数据(iFinD公式)'!$B$65:$Y$65)+SUMPRODUCT(分期持仓明细!$AC$25:$AD$25,'实盘净值数据(iFinD公式)'!$Z91:$AA91/'实盘净值数据(iFinD公式)'!$Z$65:$AA$65))*(1-实盘持仓配置!$AM$9)^(('实盘净值数据(iFinD公式)'!$A91-'实盘净值数据(iFinD公式)'!$A$8)/365))</f>
        <v/>
      </c>
      <c r="R91" s="16" t="str">
        <f t="shared" si="18"/>
        <v/>
      </c>
      <c r="S91" s="16" t="str">
        <f>IF(Q91="","",Q91/MAX(Q$5:Q91)-1)</f>
        <v/>
      </c>
      <c r="T91" s="13" t="str">
        <f>IF(OR('实盘净值数据(iFinD公式)'!$A91="",'实盘净值数据(iFinD公式)'!$B91="",'实盘净值数据(iFinD公式)'!$Z91="",'实盘净值数据(iFinD公式)'!$AA91="",'实盘净值数据(iFinD公式)'!$AB91="",'实盘净值数据(iFinD公式)'!$AL91=""),"",(SUMPRODUCT(分期持仓明细!$B$26:$Y$26,'实盘净值数据(iFinD公式)'!$B91:$Y91/'实盘净值数据(iFinD公式)'!$B$69:$Y$69)+SUMPRODUCT(分期持仓明细!$AC$26:$AD$26,'实盘净值数据(iFinD公式)'!$Z91:$AA91/'实盘净值数据(iFinD公式)'!$Z$69:$AA$69)+SUMPRODUCT(分期持仓明细!$AE$26:$AO$26,'实盘净值数据(iFinD公式)'!$AB91:$AL91/'实盘净值数据(iFinD公式)'!$AB$69:$AL$69))*(1-实盘持仓配置!$AM$10)^(('实盘净值数据(iFinD公式)'!$A91-'实盘净值数据(iFinD公式)'!$A$69)/365))</f>
        <v/>
      </c>
      <c r="U91" s="16" t="str">
        <f t="shared" si="12"/>
        <v/>
      </c>
      <c r="V91" s="16" t="str">
        <f>IF(T91="","",T91/MAX(T$5:T91)-1)</f>
        <v/>
      </c>
    </row>
    <row r="92" spans="1:22">
      <c r="A92" s="15" t="str">
        <f>IF('实盘净值数据(iFinD公式)'!A92="","",'实盘净值数据(iFinD公式)'!A92)</f>
        <v/>
      </c>
      <c r="B92" s="13" t="str">
        <f>IF(OR('实盘净值数据(iFinD公式)'!$A92="",'实盘净值数据(iFinD公式)'!$B92=""),"",分期持仓明细!$AB$17*SUMPRODUCT(分期持仓明细!$B$17:$Y$17,'实盘净值数据(iFinD公式)'!$B92:$Y92/'实盘净值数据(iFinD公式)'!$B$20:$Y$20)*(1-实盘持仓配置!$AM$4)^(('实盘净值数据(iFinD公式)'!$A92-'实盘净值数据(iFinD公式)'!$A$6)/365))</f>
        <v/>
      </c>
      <c r="C92" s="16" t="str">
        <f t="shared" si="13"/>
        <v/>
      </c>
      <c r="D92" s="16" t="str">
        <f>IF(B92="","",B92/MAX(B$5:B92)-1)</f>
        <v/>
      </c>
      <c r="E92" s="13" t="str">
        <f>IF(OR('实盘净值数据(iFinD公式)'!$A92="",'实盘净值数据(iFinD公式)'!$B92=""),"",分期持仓明细!$AB$18*SUMPRODUCT(分期持仓明细!$B$18:$Y$18,'实盘净值数据(iFinD公式)'!$B92:$Y92/'实盘净值数据(iFinD公式)'!$B$20:$Y$20)*(1-实盘持仓配置!$AM$5)^(('实盘净值数据(iFinD公式)'!$A92-'实盘净值数据(iFinD公式)'!$A$5)/365))</f>
        <v/>
      </c>
      <c r="F92" s="16" t="str">
        <f t="shared" si="14"/>
        <v/>
      </c>
      <c r="G92" s="16" t="str">
        <f>IF(E92="","",E92/MAX(E$5:E92)-1)</f>
        <v/>
      </c>
      <c r="H92" s="13" t="str">
        <f>IF(OR('实盘净值数据(iFinD公式)'!$A92="",'实盘净值数据(iFinD公式)'!$B92=""),"",分期持仓明细!$AB$19*SUMPRODUCT(分期持仓明细!$B$19:$Y$19,'实盘净值数据(iFinD公式)'!$B92:$Y92/'实盘净值数据(iFinD公式)'!$B$20:$Y$20)*(1-实盘持仓配置!$AM$6)^(('实盘净值数据(iFinD公式)'!$A92-'实盘净值数据(iFinD公式)'!$A$7)/365))</f>
        <v/>
      </c>
      <c r="I92" s="16" t="str">
        <f t="shared" si="15"/>
        <v/>
      </c>
      <c r="J92" s="16" t="str">
        <f>IF(H92="","",H92/MAX(H$5:H92)-1)</f>
        <v/>
      </c>
      <c r="K92" s="13" t="str">
        <f>IF(OR('实盘净值数据(iFinD公式)'!$A92="",'实盘净值数据(iFinD公式)'!$B92="",'实盘净值数据(iFinD公式)'!$Z92="",'实盘净值数据(iFinD公式)'!$AA92=""),"",分期持仓明细!$AB$23*(SUMPRODUCT(分期持仓明细!$B$23:$Y$23,'实盘净值数据(iFinD公式)'!$B92:$Y92/'实盘净值数据(iFinD公式)'!$B$65:$Y$65)+SUMPRODUCT(分期持仓明细!$AC$23:$AD$23,'实盘净值数据(iFinD公式)'!$Z92:$AA92/'实盘净值数据(iFinD公式)'!$Z$65:$AA$65))*(1-实盘持仓配置!$AM$7)^(('实盘净值数据(iFinD公式)'!$A92-'实盘净值数据(iFinD公式)'!$A$8)/365))</f>
        <v/>
      </c>
      <c r="L92" s="16" t="str">
        <f t="shared" si="16"/>
        <v/>
      </c>
      <c r="M92" s="16" t="str">
        <f>IF(K92="","",K92/MAX(K$5:K92)-1)</f>
        <v/>
      </c>
      <c r="N92" s="13" t="str">
        <f>IF(OR('实盘净值数据(iFinD公式)'!$A92="",'实盘净值数据(iFinD公式)'!$B92="",'实盘净值数据(iFinD公式)'!$Z92="",'实盘净值数据(iFinD公式)'!$AA92=""),"",分期持仓明细!$AB$24*(SUMPRODUCT(分期持仓明细!$B$24:$Y$24,'实盘净值数据(iFinD公式)'!$B92:$Y92/'实盘净值数据(iFinD公式)'!$B$65:$Y$65)+SUMPRODUCT(分期持仓明细!$AC$24:$AD$24,'实盘净值数据(iFinD公式)'!$Z92:$AA92/'实盘净值数据(iFinD公式)'!$Z$65:$AA$65))*(1-实盘持仓配置!$AM$8)^(('实盘净值数据(iFinD公式)'!$A92-'实盘净值数据(iFinD公式)'!$A$5)/365))</f>
        <v/>
      </c>
      <c r="O92" s="16" t="str">
        <f t="shared" si="17"/>
        <v/>
      </c>
      <c r="P92" s="16" t="str">
        <f>IF(N92="","",N92/MAX(N$5:N92)-1)</f>
        <v/>
      </c>
      <c r="Q92" s="13" t="str">
        <f>IF(OR('实盘净值数据(iFinD公式)'!$A92="",'实盘净值数据(iFinD公式)'!$B92="",'实盘净值数据(iFinD公式)'!$Z92="",'实盘净值数据(iFinD公式)'!$AA92=""),"",分期持仓明细!$AB$25*(SUMPRODUCT(分期持仓明细!$B$25:$Y$25,'实盘净值数据(iFinD公式)'!$B92:$Y92/'实盘净值数据(iFinD公式)'!$B$65:$Y$65)+SUMPRODUCT(分期持仓明细!$AC$25:$AD$25,'实盘净值数据(iFinD公式)'!$Z92:$AA92/'实盘净值数据(iFinD公式)'!$Z$65:$AA$65))*(1-实盘持仓配置!$AM$9)^(('实盘净值数据(iFinD公式)'!$A92-'实盘净值数据(iFinD公式)'!$A$8)/365))</f>
        <v/>
      </c>
      <c r="R92" s="16" t="str">
        <f t="shared" si="18"/>
        <v/>
      </c>
      <c r="S92" s="16" t="str">
        <f>IF(Q92="","",Q92/MAX(Q$5:Q92)-1)</f>
        <v/>
      </c>
      <c r="T92" s="13" t="str">
        <f>IF(OR('实盘净值数据(iFinD公式)'!$A92="",'实盘净值数据(iFinD公式)'!$B92="",'实盘净值数据(iFinD公式)'!$Z92="",'实盘净值数据(iFinD公式)'!$AA92="",'实盘净值数据(iFinD公式)'!$AB92="",'实盘净值数据(iFinD公式)'!$AL92=""),"",(SUMPRODUCT(分期持仓明细!$B$26:$Y$26,'实盘净值数据(iFinD公式)'!$B92:$Y92/'实盘净值数据(iFinD公式)'!$B$69:$Y$69)+SUMPRODUCT(分期持仓明细!$AC$26:$AD$26,'实盘净值数据(iFinD公式)'!$Z92:$AA92/'实盘净值数据(iFinD公式)'!$Z$69:$AA$69)+SUMPRODUCT(分期持仓明细!$AE$26:$AO$26,'实盘净值数据(iFinD公式)'!$AB92:$AL92/'实盘净值数据(iFinD公式)'!$AB$69:$AL$69))*(1-实盘持仓配置!$AM$10)^(('实盘净值数据(iFinD公式)'!$A92-'实盘净值数据(iFinD公式)'!$A$69)/365))</f>
        <v/>
      </c>
      <c r="U92" s="16" t="str">
        <f t="shared" si="12"/>
        <v/>
      </c>
      <c r="V92" s="16" t="str">
        <f>IF(T92="","",T92/MAX(T$5:T92)-1)</f>
        <v/>
      </c>
    </row>
    <row r="93" spans="1:22">
      <c r="A93" s="15" t="str">
        <f>IF('实盘净值数据(iFinD公式)'!A93="","",'实盘净值数据(iFinD公式)'!A93)</f>
        <v/>
      </c>
      <c r="B93" s="13" t="str">
        <f>IF(OR('实盘净值数据(iFinD公式)'!$A93="",'实盘净值数据(iFinD公式)'!$B93=""),"",分期持仓明细!$AB$17*SUMPRODUCT(分期持仓明细!$B$17:$Y$17,'实盘净值数据(iFinD公式)'!$B93:$Y93/'实盘净值数据(iFinD公式)'!$B$20:$Y$20)*(1-实盘持仓配置!$AM$4)^(('实盘净值数据(iFinD公式)'!$A93-'实盘净值数据(iFinD公式)'!$A$6)/365))</f>
        <v/>
      </c>
      <c r="C93" s="16" t="str">
        <f t="shared" si="13"/>
        <v/>
      </c>
      <c r="D93" s="16" t="str">
        <f>IF(B93="","",B93/MAX(B$5:B93)-1)</f>
        <v/>
      </c>
      <c r="E93" s="13" t="str">
        <f>IF(OR('实盘净值数据(iFinD公式)'!$A93="",'实盘净值数据(iFinD公式)'!$B93=""),"",分期持仓明细!$AB$18*SUMPRODUCT(分期持仓明细!$B$18:$Y$18,'实盘净值数据(iFinD公式)'!$B93:$Y93/'实盘净值数据(iFinD公式)'!$B$20:$Y$20)*(1-实盘持仓配置!$AM$5)^(('实盘净值数据(iFinD公式)'!$A93-'实盘净值数据(iFinD公式)'!$A$5)/365))</f>
        <v/>
      </c>
      <c r="F93" s="16" t="str">
        <f t="shared" si="14"/>
        <v/>
      </c>
      <c r="G93" s="16" t="str">
        <f>IF(E93="","",E93/MAX(E$5:E93)-1)</f>
        <v/>
      </c>
      <c r="H93" s="13" t="str">
        <f>IF(OR('实盘净值数据(iFinD公式)'!$A93="",'实盘净值数据(iFinD公式)'!$B93=""),"",分期持仓明细!$AB$19*SUMPRODUCT(分期持仓明细!$B$19:$Y$19,'实盘净值数据(iFinD公式)'!$B93:$Y93/'实盘净值数据(iFinD公式)'!$B$20:$Y$20)*(1-实盘持仓配置!$AM$6)^(('实盘净值数据(iFinD公式)'!$A93-'实盘净值数据(iFinD公式)'!$A$7)/365))</f>
        <v/>
      </c>
      <c r="I93" s="16" t="str">
        <f t="shared" si="15"/>
        <v/>
      </c>
      <c r="J93" s="16" t="str">
        <f>IF(H93="","",H93/MAX(H$5:H93)-1)</f>
        <v/>
      </c>
      <c r="K93" s="13" t="str">
        <f>IF(OR('实盘净值数据(iFinD公式)'!$A93="",'实盘净值数据(iFinD公式)'!$B93="",'实盘净值数据(iFinD公式)'!$Z93="",'实盘净值数据(iFinD公式)'!$AA93=""),"",分期持仓明细!$AB$23*(SUMPRODUCT(分期持仓明细!$B$23:$Y$23,'实盘净值数据(iFinD公式)'!$B93:$Y93/'实盘净值数据(iFinD公式)'!$B$65:$Y$65)+SUMPRODUCT(分期持仓明细!$AC$23:$AD$23,'实盘净值数据(iFinD公式)'!$Z93:$AA93/'实盘净值数据(iFinD公式)'!$Z$65:$AA$65))*(1-实盘持仓配置!$AM$7)^(('实盘净值数据(iFinD公式)'!$A93-'实盘净值数据(iFinD公式)'!$A$8)/365))</f>
        <v/>
      </c>
      <c r="L93" s="16" t="str">
        <f t="shared" si="16"/>
        <v/>
      </c>
      <c r="M93" s="16" t="str">
        <f>IF(K93="","",K93/MAX(K$5:K93)-1)</f>
        <v/>
      </c>
      <c r="N93" s="13" t="str">
        <f>IF(OR('实盘净值数据(iFinD公式)'!$A93="",'实盘净值数据(iFinD公式)'!$B93="",'实盘净值数据(iFinD公式)'!$Z93="",'实盘净值数据(iFinD公式)'!$AA93=""),"",分期持仓明细!$AB$24*(SUMPRODUCT(分期持仓明细!$B$24:$Y$24,'实盘净值数据(iFinD公式)'!$B93:$Y93/'实盘净值数据(iFinD公式)'!$B$65:$Y$65)+SUMPRODUCT(分期持仓明细!$AC$24:$AD$24,'实盘净值数据(iFinD公式)'!$Z93:$AA93/'实盘净值数据(iFinD公式)'!$Z$65:$AA$65))*(1-实盘持仓配置!$AM$8)^(('实盘净值数据(iFinD公式)'!$A93-'实盘净值数据(iFinD公式)'!$A$5)/365))</f>
        <v/>
      </c>
      <c r="O93" s="16" t="str">
        <f t="shared" si="17"/>
        <v/>
      </c>
      <c r="P93" s="16" t="str">
        <f>IF(N93="","",N93/MAX(N$5:N93)-1)</f>
        <v/>
      </c>
      <c r="Q93" s="13" t="str">
        <f>IF(OR('实盘净值数据(iFinD公式)'!$A93="",'实盘净值数据(iFinD公式)'!$B93="",'实盘净值数据(iFinD公式)'!$Z93="",'实盘净值数据(iFinD公式)'!$AA93=""),"",分期持仓明细!$AB$25*(SUMPRODUCT(分期持仓明细!$B$25:$Y$25,'实盘净值数据(iFinD公式)'!$B93:$Y93/'实盘净值数据(iFinD公式)'!$B$65:$Y$65)+SUMPRODUCT(分期持仓明细!$AC$25:$AD$25,'实盘净值数据(iFinD公式)'!$Z93:$AA93/'实盘净值数据(iFinD公式)'!$Z$65:$AA$65))*(1-实盘持仓配置!$AM$9)^(('实盘净值数据(iFinD公式)'!$A93-'实盘净值数据(iFinD公式)'!$A$8)/365))</f>
        <v/>
      </c>
      <c r="R93" s="16" t="str">
        <f t="shared" si="18"/>
        <v/>
      </c>
      <c r="S93" s="16" t="str">
        <f>IF(Q93="","",Q93/MAX(Q$5:Q93)-1)</f>
        <v/>
      </c>
      <c r="T93" s="13" t="str">
        <f>IF(OR('实盘净值数据(iFinD公式)'!$A93="",'实盘净值数据(iFinD公式)'!$B93="",'实盘净值数据(iFinD公式)'!$Z93="",'实盘净值数据(iFinD公式)'!$AA93="",'实盘净值数据(iFinD公式)'!$AB93="",'实盘净值数据(iFinD公式)'!$AL93=""),"",(SUMPRODUCT(分期持仓明细!$B$26:$Y$26,'实盘净值数据(iFinD公式)'!$B93:$Y93/'实盘净值数据(iFinD公式)'!$B$69:$Y$69)+SUMPRODUCT(分期持仓明细!$AC$26:$AD$26,'实盘净值数据(iFinD公式)'!$Z93:$AA93/'实盘净值数据(iFinD公式)'!$Z$69:$AA$69)+SUMPRODUCT(分期持仓明细!$AE$26:$AO$26,'实盘净值数据(iFinD公式)'!$AB93:$AL93/'实盘净值数据(iFinD公式)'!$AB$69:$AL$69))*(1-实盘持仓配置!$AM$10)^(('实盘净值数据(iFinD公式)'!$A93-'实盘净值数据(iFinD公式)'!$A$69)/365))</f>
        <v/>
      </c>
      <c r="U93" s="16" t="str">
        <f t="shared" si="12"/>
        <v/>
      </c>
      <c r="V93" s="16" t="str">
        <f>IF(T93="","",T93/MAX(T$5:T93)-1)</f>
        <v/>
      </c>
    </row>
    <row r="94" spans="1:22">
      <c r="A94" s="15" t="str">
        <f>IF('实盘净值数据(iFinD公式)'!A94="","",'实盘净值数据(iFinD公式)'!A94)</f>
        <v/>
      </c>
      <c r="B94" s="13" t="str">
        <f>IF(OR('实盘净值数据(iFinD公式)'!$A94="",'实盘净值数据(iFinD公式)'!$B94=""),"",分期持仓明细!$AB$17*SUMPRODUCT(分期持仓明细!$B$17:$Y$17,'实盘净值数据(iFinD公式)'!$B94:$Y94/'实盘净值数据(iFinD公式)'!$B$20:$Y$20)*(1-实盘持仓配置!$AM$4)^(('实盘净值数据(iFinD公式)'!$A94-'实盘净值数据(iFinD公式)'!$A$6)/365))</f>
        <v/>
      </c>
      <c r="C94" s="16" t="str">
        <f t="shared" si="13"/>
        <v/>
      </c>
      <c r="D94" s="16" t="str">
        <f>IF(B94="","",B94/MAX(B$5:B94)-1)</f>
        <v/>
      </c>
      <c r="E94" s="13" t="str">
        <f>IF(OR('实盘净值数据(iFinD公式)'!$A94="",'实盘净值数据(iFinD公式)'!$B94=""),"",分期持仓明细!$AB$18*SUMPRODUCT(分期持仓明细!$B$18:$Y$18,'实盘净值数据(iFinD公式)'!$B94:$Y94/'实盘净值数据(iFinD公式)'!$B$20:$Y$20)*(1-实盘持仓配置!$AM$5)^(('实盘净值数据(iFinD公式)'!$A94-'实盘净值数据(iFinD公式)'!$A$5)/365))</f>
        <v/>
      </c>
      <c r="F94" s="16" t="str">
        <f t="shared" si="14"/>
        <v/>
      </c>
      <c r="G94" s="16" t="str">
        <f>IF(E94="","",E94/MAX(E$5:E94)-1)</f>
        <v/>
      </c>
      <c r="H94" s="13" t="str">
        <f>IF(OR('实盘净值数据(iFinD公式)'!$A94="",'实盘净值数据(iFinD公式)'!$B94=""),"",分期持仓明细!$AB$19*SUMPRODUCT(分期持仓明细!$B$19:$Y$19,'实盘净值数据(iFinD公式)'!$B94:$Y94/'实盘净值数据(iFinD公式)'!$B$20:$Y$20)*(1-实盘持仓配置!$AM$6)^(('实盘净值数据(iFinD公式)'!$A94-'实盘净值数据(iFinD公式)'!$A$7)/365))</f>
        <v/>
      </c>
      <c r="I94" s="16" t="str">
        <f t="shared" si="15"/>
        <v/>
      </c>
      <c r="J94" s="16" t="str">
        <f>IF(H94="","",H94/MAX(H$5:H94)-1)</f>
        <v/>
      </c>
      <c r="K94" s="13" t="str">
        <f>IF(OR('实盘净值数据(iFinD公式)'!$A94="",'实盘净值数据(iFinD公式)'!$B94="",'实盘净值数据(iFinD公式)'!$Z94="",'实盘净值数据(iFinD公式)'!$AA94=""),"",分期持仓明细!$AB$23*(SUMPRODUCT(分期持仓明细!$B$23:$Y$23,'实盘净值数据(iFinD公式)'!$B94:$Y94/'实盘净值数据(iFinD公式)'!$B$65:$Y$65)+SUMPRODUCT(分期持仓明细!$AC$23:$AD$23,'实盘净值数据(iFinD公式)'!$Z94:$AA94/'实盘净值数据(iFinD公式)'!$Z$65:$AA$65))*(1-实盘持仓配置!$AM$7)^(('实盘净值数据(iFinD公式)'!$A94-'实盘净值数据(iFinD公式)'!$A$8)/365))</f>
        <v/>
      </c>
      <c r="L94" s="16" t="str">
        <f t="shared" si="16"/>
        <v/>
      </c>
      <c r="M94" s="16" t="str">
        <f>IF(K94="","",K94/MAX(K$5:K94)-1)</f>
        <v/>
      </c>
      <c r="N94" s="13" t="str">
        <f>IF(OR('实盘净值数据(iFinD公式)'!$A94="",'实盘净值数据(iFinD公式)'!$B94="",'实盘净值数据(iFinD公式)'!$Z94="",'实盘净值数据(iFinD公式)'!$AA94=""),"",分期持仓明细!$AB$24*(SUMPRODUCT(分期持仓明细!$B$24:$Y$24,'实盘净值数据(iFinD公式)'!$B94:$Y94/'实盘净值数据(iFinD公式)'!$B$65:$Y$65)+SUMPRODUCT(分期持仓明细!$AC$24:$AD$24,'实盘净值数据(iFinD公式)'!$Z94:$AA94/'实盘净值数据(iFinD公式)'!$Z$65:$AA$65))*(1-实盘持仓配置!$AM$8)^(('实盘净值数据(iFinD公式)'!$A94-'实盘净值数据(iFinD公式)'!$A$5)/365))</f>
        <v/>
      </c>
      <c r="O94" s="16" t="str">
        <f t="shared" si="17"/>
        <v/>
      </c>
      <c r="P94" s="16" t="str">
        <f>IF(N94="","",N94/MAX(N$5:N94)-1)</f>
        <v/>
      </c>
      <c r="Q94" s="13" t="str">
        <f>IF(OR('实盘净值数据(iFinD公式)'!$A94="",'实盘净值数据(iFinD公式)'!$B94="",'实盘净值数据(iFinD公式)'!$Z94="",'实盘净值数据(iFinD公式)'!$AA94=""),"",分期持仓明细!$AB$25*(SUMPRODUCT(分期持仓明细!$B$25:$Y$25,'实盘净值数据(iFinD公式)'!$B94:$Y94/'实盘净值数据(iFinD公式)'!$B$65:$Y$65)+SUMPRODUCT(分期持仓明细!$AC$25:$AD$25,'实盘净值数据(iFinD公式)'!$Z94:$AA94/'实盘净值数据(iFinD公式)'!$Z$65:$AA$65))*(1-实盘持仓配置!$AM$9)^(('实盘净值数据(iFinD公式)'!$A94-'实盘净值数据(iFinD公式)'!$A$8)/365))</f>
        <v/>
      </c>
      <c r="R94" s="16" t="str">
        <f t="shared" si="18"/>
        <v/>
      </c>
      <c r="S94" s="16" t="str">
        <f>IF(Q94="","",Q94/MAX(Q$5:Q94)-1)</f>
        <v/>
      </c>
      <c r="T94" s="13" t="str">
        <f>IF(OR('实盘净值数据(iFinD公式)'!$A94="",'实盘净值数据(iFinD公式)'!$B94="",'实盘净值数据(iFinD公式)'!$Z94="",'实盘净值数据(iFinD公式)'!$AA94="",'实盘净值数据(iFinD公式)'!$AB94="",'实盘净值数据(iFinD公式)'!$AL94=""),"",(SUMPRODUCT(分期持仓明细!$B$26:$Y$26,'实盘净值数据(iFinD公式)'!$B94:$Y94/'实盘净值数据(iFinD公式)'!$B$69:$Y$69)+SUMPRODUCT(分期持仓明细!$AC$26:$AD$26,'实盘净值数据(iFinD公式)'!$Z94:$AA94/'实盘净值数据(iFinD公式)'!$Z$69:$AA$69)+SUMPRODUCT(分期持仓明细!$AE$26:$AO$26,'实盘净值数据(iFinD公式)'!$AB94:$AL94/'实盘净值数据(iFinD公式)'!$AB$69:$AL$69))*(1-实盘持仓配置!$AM$10)^(('实盘净值数据(iFinD公式)'!$A94-'实盘净值数据(iFinD公式)'!$A$69)/365))</f>
        <v/>
      </c>
      <c r="U94" s="16" t="str">
        <f t="shared" si="12"/>
        <v/>
      </c>
      <c r="V94" s="16" t="str">
        <f>IF(T94="","",T94/MAX(T$5:T94)-1)</f>
        <v/>
      </c>
    </row>
    <row r="95" spans="1:22">
      <c r="A95" s="15" t="str">
        <f>IF('实盘净值数据(iFinD公式)'!A95="","",'实盘净值数据(iFinD公式)'!A95)</f>
        <v/>
      </c>
      <c r="B95" s="13" t="str">
        <f>IF(OR('实盘净值数据(iFinD公式)'!$A95="",'实盘净值数据(iFinD公式)'!$B95=""),"",分期持仓明细!$AB$17*SUMPRODUCT(分期持仓明细!$B$17:$Y$17,'实盘净值数据(iFinD公式)'!$B95:$Y95/'实盘净值数据(iFinD公式)'!$B$20:$Y$20)*(1-实盘持仓配置!$AM$4)^(('实盘净值数据(iFinD公式)'!$A95-'实盘净值数据(iFinD公式)'!$A$6)/365))</f>
        <v/>
      </c>
      <c r="C95" s="16" t="str">
        <f t="shared" si="13"/>
        <v/>
      </c>
      <c r="D95" s="16" t="str">
        <f>IF(B95="","",B95/MAX(B$5:B95)-1)</f>
        <v/>
      </c>
      <c r="E95" s="13" t="str">
        <f>IF(OR('实盘净值数据(iFinD公式)'!$A95="",'实盘净值数据(iFinD公式)'!$B95=""),"",分期持仓明细!$AB$18*SUMPRODUCT(分期持仓明细!$B$18:$Y$18,'实盘净值数据(iFinD公式)'!$B95:$Y95/'实盘净值数据(iFinD公式)'!$B$20:$Y$20)*(1-实盘持仓配置!$AM$5)^(('实盘净值数据(iFinD公式)'!$A95-'实盘净值数据(iFinD公式)'!$A$5)/365))</f>
        <v/>
      </c>
      <c r="F95" s="16" t="str">
        <f t="shared" si="14"/>
        <v/>
      </c>
      <c r="G95" s="16" t="str">
        <f>IF(E95="","",E95/MAX(E$5:E95)-1)</f>
        <v/>
      </c>
      <c r="H95" s="13" t="str">
        <f>IF(OR('实盘净值数据(iFinD公式)'!$A95="",'实盘净值数据(iFinD公式)'!$B95=""),"",分期持仓明细!$AB$19*SUMPRODUCT(分期持仓明细!$B$19:$Y$19,'实盘净值数据(iFinD公式)'!$B95:$Y95/'实盘净值数据(iFinD公式)'!$B$20:$Y$20)*(1-实盘持仓配置!$AM$6)^(('实盘净值数据(iFinD公式)'!$A95-'实盘净值数据(iFinD公式)'!$A$7)/365))</f>
        <v/>
      </c>
      <c r="I95" s="16" t="str">
        <f t="shared" si="15"/>
        <v/>
      </c>
      <c r="J95" s="16" t="str">
        <f>IF(H95="","",H95/MAX(H$5:H95)-1)</f>
        <v/>
      </c>
      <c r="K95" s="13" t="str">
        <f>IF(OR('实盘净值数据(iFinD公式)'!$A95="",'实盘净值数据(iFinD公式)'!$B95="",'实盘净值数据(iFinD公式)'!$Z95="",'实盘净值数据(iFinD公式)'!$AA95=""),"",分期持仓明细!$AB$23*(SUMPRODUCT(分期持仓明细!$B$23:$Y$23,'实盘净值数据(iFinD公式)'!$B95:$Y95/'实盘净值数据(iFinD公式)'!$B$65:$Y$65)+SUMPRODUCT(分期持仓明细!$AC$23:$AD$23,'实盘净值数据(iFinD公式)'!$Z95:$AA95/'实盘净值数据(iFinD公式)'!$Z$65:$AA$65))*(1-实盘持仓配置!$AM$7)^(('实盘净值数据(iFinD公式)'!$A95-'实盘净值数据(iFinD公式)'!$A$8)/365))</f>
        <v/>
      </c>
      <c r="L95" s="16" t="str">
        <f t="shared" si="16"/>
        <v/>
      </c>
      <c r="M95" s="16" t="str">
        <f>IF(K95="","",K95/MAX(K$5:K95)-1)</f>
        <v/>
      </c>
      <c r="N95" s="13" t="str">
        <f>IF(OR('实盘净值数据(iFinD公式)'!$A95="",'实盘净值数据(iFinD公式)'!$B95="",'实盘净值数据(iFinD公式)'!$Z95="",'实盘净值数据(iFinD公式)'!$AA95=""),"",分期持仓明细!$AB$24*(SUMPRODUCT(分期持仓明细!$B$24:$Y$24,'实盘净值数据(iFinD公式)'!$B95:$Y95/'实盘净值数据(iFinD公式)'!$B$65:$Y$65)+SUMPRODUCT(分期持仓明细!$AC$24:$AD$24,'实盘净值数据(iFinD公式)'!$Z95:$AA95/'实盘净值数据(iFinD公式)'!$Z$65:$AA$65))*(1-实盘持仓配置!$AM$8)^(('实盘净值数据(iFinD公式)'!$A95-'实盘净值数据(iFinD公式)'!$A$5)/365))</f>
        <v/>
      </c>
      <c r="O95" s="16" t="str">
        <f t="shared" si="17"/>
        <v/>
      </c>
      <c r="P95" s="16" t="str">
        <f>IF(N95="","",N95/MAX(N$5:N95)-1)</f>
        <v/>
      </c>
      <c r="Q95" s="13" t="str">
        <f>IF(OR('实盘净值数据(iFinD公式)'!$A95="",'实盘净值数据(iFinD公式)'!$B95="",'实盘净值数据(iFinD公式)'!$Z95="",'实盘净值数据(iFinD公式)'!$AA95=""),"",分期持仓明细!$AB$25*(SUMPRODUCT(分期持仓明细!$B$25:$Y$25,'实盘净值数据(iFinD公式)'!$B95:$Y95/'实盘净值数据(iFinD公式)'!$B$65:$Y$65)+SUMPRODUCT(分期持仓明细!$AC$25:$AD$25,'实盘净值数据(iFinD公式)'!$Z95:$AA95/'实盘净值数据(iFinD公式)'!$Z$65:$AA$65))*(1-实盘持仓配置!$AM$9)^(('实盘净值数据(iFinD公式)'!$A95-'实盘净值数据(iFinD公式)'!$A$8)/365))</f>
        <v/>
      </c>
      <c r="R95" s="16" t="str">
        <f t="shared" si="18"/>
        <v/>
      </c>
      <c r="S95" s="16" t="str">
        <f>IF(Q95="","",Q95/MAX(Q$5:Q95)-1)</f>
        <v/>
      </c>
      <c r="T95" s="13" t="str">
        <f>IF(OR('实盘净值数据(iFinD公式)'!$A95="",'实盘净值数据(iFinD公式)'!$B95="",'实盘净值数据(iFinD公式)'!$Z95="",'实盘净值数据(iFinD公式)'!$AA95="",'实盘净值数据(iFinD公式)'!$AB95="",'实盘净值数据(iFinD公式)'!$AL95=""),"",(SUMPRODUCT(分期持仓明细!$B$26:$Y$26,'实盘净值数据(iFinD公式)'!$B95:$Y95/'实盘净值数据(iFinD公式)'!$B$69:$Y$69)+SUMPRODUCT(分期持仓明细!$AC$26:$AD$26,'实盘净值数据(iFinD公式)'!$Z95:$AA95/'实盘净值数据(iFinD公式)'!$Z$69:$AA$69)+SUMPRODUCT(分期持仓明细!$AE$26:$AO$26,'实盘净值数据(iFinD公式)'!$AB95:$AL95/'实盘净值数据(iFinD公式)'!$AB$69:$AL$69))*(1-实盘持仓配置!$AM$10)^(('实盘净值数据(iFinD公式)'!$A95-'实盘净值数据(iFinD公式)'!$A$69)/365))</f>
        <v/>
      </c>
      <c r="U95" s="16" t="str">
        <f t="shared" si="12"/>
        <v/>
      </c>
      <c r="V95" s="16" t="str">
        <f>IF(T95="","",T95/MAX(T$5:T95)-1)</f>
        <v/>
      </c>
    </row>
    <row r="96" spans="1:22">
      <c r="A96" s="15" t="str">
        <f>IF('实盘净值数据(iFinD公式)'!A96="","",'实盘净值数据(iFinD公式)'!A96)</f>
        <v/>
      </c>
      <c r="B96" s="13" t="str">
        <f>IF(OR('实盘净值数据(iFinD公式)'!$A96="",'实盘净值数据(iFinD公式)'!$B96=""),"",分期持仓明细!$AB$17*SUMPRODUCT(分期持仓明细!$B$17:$Y$17,'实盘净值数据(iFinD公式)'!$B96:$Y96/'实盘净值数据(iFinD公式)'!$B$20:$Y$20)*(1-实盘持仓配置!$AM$4)^(('实盘净值数据(iFinD公式)'!$A96-'实盘净值数据(iFinD公式)'!$A$6)/365))</f>
        <v/>
      </c>
      <c r="C96" s="16" t="str">
        <f t="shared" si="13"/>
        <v/>
      </c>
      <c r="D96" s="16" t="str">
        <f>IF(B96="","",B96/MAX(B$5:B96)-1)</f>
        <v/>
      </c>
      <c r="E96" s="13" t="str">
        <f>IF(OR('实盘净值数据(iFinD公式)'!$A96="",'实盘净值数据(iFinD公式)'!$B96=""),"",分期持仓明细!$AB$18*SUMPRODUCT(分期持仓明细!$B$18:$Y$18,'实盘净值数据(iFinD公式)'!$B96:$Y96/'实盘净值数据(iFinD公式)'!$B$20:$Y$20)*(1-实盘持仓配置!$AM$5)^(('实盘净值数据(iFinD公式)'!$A96-'实盘净值数据(iFinD公式)'!$A$5)/365))</f>
        <v/>
      </c>
      <c r="F96" s="16" t="str">
        <f t="shared" si="14"/>
        <v/>
      </c>
      <c r="G96" s="16" t="str">
        <f>IF(E96="","",E96/MAX(E$5:E96)-1)</f>
        <v/>
      </c>
      <c r="H96" s="13" t="str">
        <f>IF(OR('实盘净值数据(iFinD公式)'!$A96="",'实盘净值数据(iFinD公式)'!$B96=""),"",分期持仓明细!$AB$19*SUMPRODUCT(分期持仓明细!$B$19:$Y$19,'实盘净值数据(iFinD公式)'!$B96:$Y96/'实盘净值数据(iFinD公式)'!$B$20:$Y$20)*(1-实盘持仓配置!$AM$6)^(('实盘净值数据(iFinD公式)'!$A96-'实盘净值数据(iFinD公式)'!$A$7)/365))</f>
        <v/>
      </c>
      <c r="I96" s="16" t="str">
        <f t="shared" si="15"/>
        <v/>
      </c>
      <c r="J96" s="16" t="str">
        <f>IF(H96="","",H96/MAX(H$5:H96)-1)</f>
        <v/>
      </c>
      <c r="K96" s="13" t="str">
        <f>IF(OR('实盘净值数据(iFinD公式)'!$A96="",'实盘净值数据(iFinD公式)'!$B96="",'实盘净值数据(iFinD公式)'!$Z96="",'实盘净值数据(iFinD公式)'!$AA96=""),"",分期持仓明细!$AB$23*(SUMPRODUCT(分期持仓明细!$B$23:$Y$23,'实盘净值数据(iFinD公式)'!$B96:$Y96/'实盘净值数据(iFinD公式)'!$B$65:$Y$65)+SUMPRODUCT(分期持仓明细!$AC$23:$AD$23,'实盘净值数据(iFinD公式)'!$Z96:$AA96/'实盘净值数据(iFinD公式)'!$Z$65:$AA$65))*(1-实盘持仓配置!$AM$7)^(('实盘净值数据(iFinD公式)'!$A96-'实盘净值数据(iFinD公式)'!$A$8)/365))</f>
        <v/>
      </c>
      <c r="L96" s="16" t="str">
        <f t="shared" si="16"/>
        <v/>
      </c>
      <c r="M96" s="16" t="str">
        <f>IF(K96="","",K96/MAX(K$5:K96)-1)</f>
        <v/>
      </c>
      <c r="N96" s="13" t="str">
        <f>IF(OR('实盘净值数据(iFinD公式)'!$A96="",'实盘净值数据(iFinD公式)'!$B96="",'实盘净值数据(iFinD公式)'!$Z96="",'实盘净值数据(iFinD公式)'!$AA96=""),"",分期持仓明细!$AB$24*(SUMPRODUCT(分期持仓明细!$B$24:$Y$24,'实盘净值数据(iFinD公式)'!$B96:$Y96/'实盘净值数据(iFinD公式)'!$B$65:$Y$65)+SUMPRODUCT(分期持仓明细!$AC$24:$AD$24,'实盘净值数据(iFinD公式)'!$Z96:$AA96/'实盘净值数据(iFinD公式)'!$Z$65:$AA$65))*(1-实盘持仓配置!$AM$8)^(('实盘净值数据(iFinD公式)'!$A96-'实盘净值数据(iFinD公式)'!$A$5)/365))</f>
        <v/>
      </c>
      <c r="O96" s="16" t="str">
        <f t="shared" si="17"/>
        <v/>
      </c>
      <c r="P96" s="16" t="str">
        <f>IF(N96="","",N96/MAX(N$5:N96)-1)</f>
        <v/>
      </c>
      <c r="Q96" s="13" t="str">
        <f>IF(OR('实盘净值数据(iFinD公式)'!$A96="",'实盘净值数据(iFinD公式)'!$B96="",'实盘净值数据(iFinD公式)'!$Z96="",'实盘净值数据(iFinD公式)'!$AA96=""),"",分期持仓明细!$AB$25*(SUMPRODUCT(分期持仓明细!$B$25:$Y$25,'实盘净值数据(iFinD公式)'!$B96:$Y96/'实盘净值数据(iFinD公式)'!$B$65:$Y$65)+SUMPRODUCT(分期持仓明细!$AC$25:$AD$25,'实盘净值数据(iFinD公式)'!$Z96:$AA96/'实盘净值数据(iFinD公式)'!$Z$65:$AA$65))*(1-实盘持仓配置!$AM$9)^(('实盘净值数据(iFinD公式)'!$A96-'实盘净值数据(iFinD公式)'!$A$8)/365))</f>
        <v/>
      </c>
      <c r="R96" s="16" t="str">
        <f t="shared" si="18"/>
        <v/>
      </c>
      <c r="S96" s="16" t="str">
        <f>IF(Q96="","",Q96/MAX(Q$5:Q96)-1)</f>
        <v/>
      </c>
      <c r="T96" s="13" t="str">
        <f>IF(OR('实盘净值数据(iFinD公式)'!$A96="",'实盘净值数据(iFinD公式)'!$B96="",'实盘净值数据(iFinD公式)'!$Z96="",'实盘净值数据(iFinD公式)'!$AA96="",'实盘净值数据(iFinD公式)'!$AB96="",'实盘净值数据(iFinD公式)'!$AL96=""),"",(SUMPRODUCT(分期持仓明细!$B$26:$Y$26,'实盘净值数据(iFinD公式)'!$B96:$Y96/'实盘净值数据(iFinD公式)'!$B$69:$Y$69)+SUMPRODUCT(分期持仓明细!$AC$26:$AD$26,'实盘净值数据(iFinD公式)'!$Z96:$AA96/'实盘净值数据(iFinD公式)'!$Z$69:$AA$69)+SUMPRODUCT(分期持仓明细!$AE$26:$AO$26,'实盘净值数据(iFinD公式)'!$AB96:$AL96/'实盘净值数据(iFinD公式)'!$AB$69:$AL$69))*(1-实盘持仓配置!$AM$10)^(('实盘净值数据(iFinD公式)'!$A96-'实盘净值数据(iFinD公式)'!$A$69)/365))</f>
        <v/>
      </c>
      <c r="U96" s="16" t="str">
        <f t="shared" si="12"/>
        <v/>
      </c>
      <c r="V96" s="16" t="str">
        <f>IF(T96="","",T96/MAX(T$5:T96)-1)</f>
        <v/>
      </c>
    </row>
    <row r="97" spans="1:22">
      <c r="A97" s="15" t="str">
        <f>IF('实盘净值数据(iFinD公式)'!A97="","",'实盘净值数据(iFinD公式)'!A97)</f>
        <v/>
      </c>
      <c r="B97" s="13" t="str">
        <f>IF(OR('实盘净值数据(iFinD公式)'!$A97="",'实盘净值数据(iFinD公式)'!$B97=""),"",分期持仓明细!$AB$17*SUMPRODUCT(分期持仓明细!$B$17:$Y$17,'实盘净值数据(iFinD公式)'!$B97:$Y97/'实盘净值数据(iFinD公式)'!$B$20:$Y$20)*(1-实盘持仓配置!$AM$4)^(('实盘净值数据(iFinD公式)'!$A97-'实盘净值数据(iFinD公式)'!$A$6)/365))</f>
        <v/>
      </c>
      <c r="C97" s="16" t="str">
        <f t="shared" si="13"/>
        <v/>
      </c>
      <c r="D97" s="16" t="str">
        <f>IF(B97="","",B97/MAX(B$5:B97)-1)</f>
        <v/>
      </c>
      <c r="E97" s="13" t="str">
        <f>IF(OR('实盘净值数据(iFinD公式)'!$A97="",'实盘净值数据(iFinD公式)'!$B97=""),"",分期持仓明细!$AB$18*SUMPRODUCT(分期持仓明细!$B$18:$Y$18,'实盘净值数据(iFinD公式)'!$B97:$Y97/'实盘净值数据(iFinD公式)'!$B$20:$Y$20)*(1-实盘持仓配置!$AM$5)^(('实盘净值数据(iFinD公式)'!$A97-'实盘净值数据(iFinD公式)'!$A$5)/365))</f>
        <v/>
      </c>
      <c r="F97" s="16" t="str">
        <f t="shared" si="14"/>
        <v/>
      </c>
      <c r="G97" s="16" t="str">
        <f>IF(E97="","",E97/MAX(E$5:E97)-1)</f>
        <v/>
      </c>
      <c r="H97" s="13" t="str">
        <f>IF(OR('实盘净值数据(iFinD公式)'!$A97="",'实盘净值数据(iFinD公式)'!$B97=""),"",分期持仓明细!$AB$19*SUMPRODUCT(分期持仓明细!$B$19:$Y$19,'实盘净值数据(iFinD公式)'!$B97:$Y97/'实盘净值数据(iFinD公式)'!$B$20:$Y$20)*(1-实盘持仓配置!$AM$6)^(('实盘净值数据(iFinD公式)'!$A97-'实盘净值数据(iFinD公式)'!$A$7)/365))</f>
        <v/>
      </c>
      <c r="I97" s="16" t="str">
        <f t="shared" si="15"/>
        <v/>
      </c>
      <c r="J97" s="16" t="str">
        <f>IF(H97="","",H97/MAX(H$5:H97)-1)</f>
        <v/>
      </c>
      <c r="K97" s="13" t="str">
        <f>IF(OR('实盘净值数据(iFinD公式)'!$A97="",'实盘净值数据(iFinD公式)'!$B97="",'实盘净值数据(iFinD公式)'!$Z97="",'实盘净值数据(iFinD公式)'!$AA97=""),"",分期持仓明细!$AB$23*(SUMPRODUCT(分期持仓明细!$B$23:$Y$23,'实盘净值数据(iFinD公式)'!$B97:$Y97/'实盘净值数据(iFinD公式)'!$B$65:$Y$65)+SUMPRODUCT(分期持仓明细!$AC$23:$AD$23,'实盘净值数据(iFinD公式)'!$Z97:$AA97/'实盘净值数据(iFinD公式)'!$Z$65:$AA$65))*(1-实盘持仓配置!$AM$7)^(('实盘净值数据(iFinD公式)'!$A97-'实盘净值数据(iFinD公式)'!$A$8)/365))</f>
        <v/>
      </c>
      <c r="L97" s="16" t="str">
        <f t="shared" si="16"/>
        <v/>
      </c>
      <c r="M97" s="16" t="str">
        <f>IF(K97="","",K97/MAX(K$5:K97)-1)</f>
        <v/>
      </c>
      <c r="N97" s="13" t="str">
        <f>IF(OR('实盘净值数据(iFinD公式)'!$A97="",'实盘净值数据(iFinD公式)'!$B97="",'实盘净值数据(iFinD公式)'!$Z97="",'实盘净值数据(iFinD公式)'!$AA97=""),"",分期持仓明细!$AB$24*(SUMPRODUCT(分期持仓明细!$B$24:$Y$24,'实盘净值数据(iFinD公式)'!$B97:$Y97/'实盘净值数据(iFinD公式)'!$B$65:$Y$65)+SUMPRODUCT(分期持仓明细!$AC$24:$AD$24,'实盘净值数据(iFinD公式)'!$Z97:$AA97/'实盘净值数据(iFinD公式)'!$Z$65:$AA$65))*(1-实盘持仓配置!$AM$8)^(('实盘净值数据(iFinD公式)'!$A97-'实盘净值数据(iFinD公式)'!$A$5)/365))</f>
        <v/>
      </c>
      <c r="O97" s="16" t="str">
        <f t="shared" si="17"/>
        <v/>
      </c>
      <c r="P97" s="16" t="str">
        <f>IF(N97="","",N97/MAX(N$5:N97)-1)</f>
        <v/>
      </c>
      <c r="Q97" s="13" t="str">
        <f>IF(OR('实盘净值数据(iFinD公式)'!$A97="",'实盘净值数据(iFinD公式)'!$B97="",'实盘净值数据(iFinD公式)'!$Z97="",'实盘净值数据(iFinD公式)'!$AA97=""),"",分期持仓明细!$AB$25*(SUMPRODUCT(分期持仓明细!$B$25:$Y$25,'实盘净值数据(iFinD公式)'!$B97:$Y97/'实盘净值数据(iFinD公式)'!$B$65:$Y$65)+SUMPRODUCT(分期持仓明细!$AC$25:$AD$25,'实盘净值数据(iFinD公式)'!$Z97:$AA97/'实盘净值数据(iFinD公式)'!$Z$65:$AA$65))*(1-实盘持仓配置!$AM$9)^(('实盘净值数据(iFinD公式)'!$A97-'实盘净值数据(iFinD公式)'!$A$8)/365))</f>
        <v/>
      </c>
      <c r="R97" s="16" t="str">
        <f t="shared" si="18"/>
        <v/>
      </c>
      <c r="S97" s="16" t="str">
        <f>IF(Q97="","",Q97/MAX(Q$5:Q97)-1)</f>
        <v/>
      </c>
      <c r="T97" s="13" t="str">
        <f>IF(OR('实盘净值数据(iFinD公式)'!$A97="",'实盘净值数据(iFinD公式)'!$B97="",'实盘净值数据(iFinD公式)'!$Z97="",'实盘净值数据(iFinD公式)'!$AA97="",'实盘净值数据(iFinD公式)'!$AB97="",'实盘净值数据(iFinD公式)'!$AL97=""),"",(SUMPRODUCT(分期持仓明细!$B$26:$Y$26,'实盘净值数据(iFinD公式)'!$B97:$Y97/'实盘净值数据(iFinD公式)'!$B$69:$Y$69)+SUMPRODUCT(分期持仓明细!$AC$26:$AD$26,'实盘净值数据(iFinD公式)'!$Z97:$AA97/'实盘净值数据(iFinD公式)'!$Z$69:$AA$69)+SUMPRODUCT(分期持仓明细!$AE$26:$AO$26,'实盘净值数据(iFinD公式)'!$AB97:$AL97/'实盘净值数据(iFinD公式)'!$AB$69:$AL$69))*(1-实盘持仓配置!$AM$10)^(('实盘净值数据(iFinD公式)'!$A97-'实盘净值数据(iFinD公式)'!$A$69)/365))</f>
        <v/>
      </c>
      <c r="U97" s="16" t="str">
        <f t="shared" si="12"/>
        <v/>
      </c>
      <c r="V97" s="16" t="str">
        <f>IF(T97="","",T97/MAX(T$5:T97)-1)</f>
        <v/>
      </c>
    </row>
    <row r="98" spans="1:22">
      <c r="A98" s="15" t="str">
        <f>IF('实盘净值数据(iFinD公式)'!A98="","",'实盘净值数据(iFinD公式)'!A98)</f>
        <v/>
      </c>
      <c r="B98" s="13" t="str">
        <f>IF(OR('实盘净值数据(iFinD公式)'!$A98="",'实盘净值数据(iFinD公式)'!$B98=""),"",分期持仓明细!$AB$17*SUMPRODUCT(分期持仓明细!$B$17:$Y$17,'实盘净值数据(iFinD公式)'!$B98:$Y98/'实盘净值数据(iFinD公式)'!$B$20:$Y$20)*(1-实盘持仓配置!$AM$4)^(('实盘净值数据(iFinD公式)'!$A98-'实盘净值数据(iFinD公式)'!$A$6)/365))</f>
        <v/>
      </c>
      <c r="C98" s="16" t="str">
        <f t="shared" si="13"/>
        <v/>
      </c>
      <c r="D98" s="16" t="str">
        <f>IF(B98="","",B98/MAX(B$5:B98)-1)</f>
        <v/>
      </c>
      <c r="E98" s="13" t="str">
        <f>IF(OR('实盘净值数据(iFinD公式)'!$A98="",'实盘净值数据(iFinD公式)'!$B98=""),"",分期持仓明细!$AB$18*SUMPRODUCT(分期持仓明细!$B$18:$Y$18,'实盘净值数据(iFinD公式)'!$B98:$Y98/'实盘净值数据(iFinD公式)'!$B$20:$Y$20)*(1-实盘持仓配置!$AM$5)^(('实盘净值数据(iFinD公式)'!$A98-'实盘净值数据(iFinD公式)'!$A$5)/365))</f>
        <v/>
      </c>
      <c r="F98" s="16" t="str">
        <f t="shared" si="14"/>
        <v/>
      </c>
      <c r="G98" s="16" t="str">
        <f>IF(E98="","",E98/MAX(E$5:E98)-1)</f>
        <v/>
      </c>
      <c r="H98" s="13" t="str">
        <f>IF(OR('实盘净值数据(iFinD公式)'!$A98="",'实盘净值数据(iFinD公式)'!$B98=""),"",分期持仓明细!$AB$19*SUMPRODUCT(分期持仓明细!$B$19:$Y$19,'实盘净值数据(iFinD公式)'!$B98:$Y98/'实盘净值数据(iFinD公式)'!$B$20:$Y$20)*(1-实盘持仓配置!$AM$6)^(('实盘净值数据(iFinD公式)'!$A98-'实盘净值数据(iFinD公式)'!$A$7)/365))</f>
        <v/>
      </c>
      <c r="I98" s="16" t="str">
        <f t="shared" si="15"/>
        <v/>
      </c>
      <c r="J98" s="16" t="str">
        <f>IF(H98="","",H98/MAX(H$5:H98)-1)</f>
        <v/>
      </c>
      <c r="K98" s="13" t="str">
        <f>IF(OR('实盘净值数据(iFinD公式)'!$A98="",'实盘净值数据(iFinD公式)'!$B98="",'实盘净值数据(iFinD公式)'!$Z98="",'实盘净值数据(iFinD公式)'!$AA98=""),"",分期持仓明细!$AB$23*(SUMPRODUCT(分期持仓明细!$B$23:$Y$23,'实盘净值数据(iFinD公式)'!$B98:$Y98/'实盘净值数据(iFinD公式)'!$B$65:$Y$65)+SUMPRODUCT(分期持仓明细!$AC$23:$AD$23,'实盘净值数据(iFinD公式)'!$Z98:$AA98/'实盘净值数据(iFinD公式)'!$Z$65:$AA$65))*(1-实盘持仓配置!$AM$7)^(('实盘净值数据(iFinD公式)'!$A98-'实盘净值数据(iFinD公式)'!$A$8)/365))</f>
        <v/>
      </c>
      <c r="L98" s="16" t="str">
        <f t="shared" si="16"/>
        <v/>
      </c>
      <c r="M98" s="16" t="str">
        <f>IF(K98="","",K98/MAX(K$5:K98)-1)</f>
        <v/>
      </c>
      <c r="N98" s="13" t="str">
        <f>IF(OR('实盘净值数据(iFinD公式)'!$A98="",'实盘净值数据(iFinD公式)'!$B98="",'实盘净值数据(iFinD公式)'!$Z98="",'实盘净值数据(iFinD公式)'!$AA98=""),"",分期持仓明细!$AB$24*(SUMPRODUCT(分期持仓明细!$B$24:$Y$24,'实盘净值数据(iFinD公式)'!$B98:$Y98/'实盘净值数据(iFinD公式)'!$B$65:$Y$65)+SUMPRODUCT(分期持仓明细!$AC$24:$AD$24,'实盘净值数据(iFinD公式)'!$Z98:$AA98/'实盘净值数据(iFinD公式)'!$Z$65:$AA$65))*(1-实盘持仓配置!$AM$8)^(('实盘净值数据(iFinD公式)'!$A98-'实盘净值数据(iFinD公式)'!$A$5)/365))</f>
        <v/>
      </c>
      <c r="O98" s="16" t="str">
        <f t="shared" si="17"/>
        <v/>
      </c>
      <c r="P98" s="16" t="str">
        <f>IF(N98="","",N98/MAX(N$5:N98)-1)</f>
        <v/>
      </c>
      <c r="Q98" s="13" t="str">
        <f>IF(OR('实盘净值数据(iFinD公式)'!$A98="",'实盘净值数据(iFinD公式)'!$B98="",'实盘净值数据(iFinD公式)'!$Z98="",'实盘净值数据(iFinD公式)'!$AA98=""),"",分期持仓明细!$AB$25*(SUMPRODUCT(分期持仓明细!$B$25:$Y$25,'实盘净值数据(iFinD公式)'!$B98:$Y98/'实盘净值数据(iFinD公式)'!$B$65:$Y$65)+SUMPRODUCT(分期持仓明细!$AC$25:$AD$25,'实盘净值数据(iFinD公式)'!$Z98:$AA98/'实盘净值数据(iFinD公式)'!$Z$65:$AA$65))*(1-实盘持仓配置!$AM$9)^(('实盘净值数据(iFinD公式)'!$A98-'实盘净值数据(iFinD公式)'!$A$8)/365))</f>
        <v/>
      </c>
      <c r="R98" s="16" t="str">
        <f t="shared" si="18"/>
        <v/>
      </c>
      <c r="S98" s="16" t="str">
        <f>IF(Q98="","",Q98/MAX(Q$5:Q98)-1)</f>
        <v/>
      </c>
      <c r="T98" s="13" t="str">
        <f>IF(OR('实盘净值数据(iFinD公式)'!$A98="",'实盘净值数据(iFinD公式)'!$B98="",'实盘净值数据(iFinD公式)'!$Z98="",'实盘净值数据(iFinD公式)'!$AA98="",'实盘净值数据(iFinD公式)'!$AB98="",'实盘净值数据(iFinD公式)'!$AL98=""),"",(SUMPRODUCT(分期持仓明细!$B$26:$Y$26,'实盘净值数据(iFinD公式)'!$B98:$Y98/'实盘净值数据(iFinD公式)'!$B$69:$Y$69)+SUMPRODUCT(分期持仓明细!$AC$26:$AD$26,'实盘净值数据(iFinD公式)'!$Z98:$AA98/'实盘净值数据(iFinD公式)'!$Z$69:$AA$69)+SUMPRODUCT(分期持仓明细!$AE$26:$AO$26,'实盘净值数据(iFinD公式)'!$AB98:$AL98/'实盘净值数据(iFinD公式)'!$AB$69:$AL$69))*(1-实盘持仓配置!$AM$10)^(('实盘净值数据(iFinD公式)'!$A98-'实盘净值数据(iFinD公式)'!$A$69)/365))</f>
        <v/>
      </c>
      <c r="U98" s="16" t="str">
        <f t="shared" si="12"/>
        <v/>
      </c>
      <c r="V98" s="16" t="str">
        <f>IF(T98="","",T98/MAX(T$5:T98)-1)</f>
        <v/>
      </c>
    </row>
    <row r="99" spans="1:22">
      <c r="A99" s="15" t="str">
        <f>IF('实盘净值数据(iFinD公式)'!A99="","",'实盘净值数据(iFinD公式)'!A99)</f>
        <v/>
      </c>
      <c r="B99" s="13" t="str">
        <f>IF(OR('实盘净值数据(iFinD公式)'!$A99="",'实盘净值数据(iFinD公式)'!$B99=""),"",分期持仓明细!$AB$17*SUMPRODUCT(分期持仓明细!$B$17:$Y$17,'实盘净值数据(iFinD公式)'!$B99:$Y99/'实盘净值数据(iFinD公式)'!$B$20:$Y$20)*(1-实盘持仓配置!$AM$4)^(('实盘净值数据(iFinD公式)'!$A99-'实盘净值数据(iFinD公式)'!$A$6)/365))</f>
        <v/>
      </c>
      <c r="C99" s="16" t="str">
        <f t="shared" si="13"/>
        <v/>
      </c>
      <c r="D99" s="16" t="str">
        <f>IF(B99="","",B99/MAX(B$5:B99)-1)</f>
        <v/>
      </c>
      <c r="E99" s="13" t="str">
        <f>IF(OR('实盘净值数据(iFinD公式)'!$A99="",'实盘净值数据(iFinD公式)'!$B99=""),"",分期持仓明细!$AB$18*SUMPRODUCT(分期持仓明细!$B$18:$Y$18,'实盘净值数据(iFinD公式)'!$B99:$Y99/'实盘净值数据(iFinD公式)'!$B$20:$Y$20)*(1-实盘持仓配置!$AM$5)^(('实盘净值数据(iFinD公式)'!$A99-'实盘净值数据(iFinD公式)'!$A$5)/365))</f>
        <v/>
      </c>
      <c r="F99" s="16" t="str">
        <f t="shared" si="14"/>
        <v/>
      </c>
      <c r="G99" s="16" t="str">
        <f>IF(E99="","",E99/MAX(E$5:E99)-1)</f>
        <v/>
      </c>
      <c r="H99" s="13" t="str">
        <f>IF(OR('实盘净值数据(iFinD公式)'!$A99="",'实盘净值数据(iFinD公式)'!$B99=""),"",分期持仓明细!$AB$19*SUMPRODUCT(分期持仓明细!$B$19:$Y$19,'实盘净值数据(iFinD公式)'!$B99:$Y99/'实盘净值数据(iFinD公式)'!$B$20:$Y$20)*(1-实盘持仓配置!$AM$6)^(('实盘净值数据(iFinD公式)'!$A99-'实盘净值数据(iFinD公式)'!$A$7)/365))</f>
        <v/>
      </c>
      <c r="I99" s="16" t="str">
        <f t="shared" si="15"/>
        <v/>
      </c>
      <c r="J99" s="16" t="str">
        <f>IF(H99="","",H99/MAX(H$5:H99)-1)</f>
        <v/>
      </c>
      <c r="K99" s="13" t="str">
        <f>IF(OR('实盘净值数据(iFinD公式)'!$A99="",'实盘净值数据(iFinD公式)'!$B99="",'实盘净值数据(iFinD公式)'!$Z99="",'实盘净值数据(iFinD公式)'!$AA99=""),"",分期持仓明细!$AB$23*(SUMPRODUCT(分期持仓明细!$B$23:$Y$23,'实盘净值数据(iFinD公式)'!$B99:$Y99/'实盘净值数据(iFinD公式)'!$B$65:$Y$65)+SUMPRODUCT(分期持仓明细!$AC$23:$AD$23,'实盘净值数据(iFinD公式)'!$Z99:$AA99/'实盘净值数据(iFinD公式)'!$Z$65:$AA$65))*(1-实盘持仓配置!$AM$7)^(('实盘净值数据(iFinD公式)'!$A99-'实盘净值数据(iFinD公式)'!$A$8)/365))</f>
        <v/>
      </c>
      <c r="L99" s="16" t="str">
        <f t="shared" si="16"/>
        <v/>
      </c>
      <c r="M99" s="16" t="str">
        <f>IF(K99="","",K99/MAX(K$5:K99)-1)</f>
        <v/>
      </c>
      <c r="N99" s="13" t="str">
        <f>IF(OR('实盘净值数据(iFinD公式)'!$A99="",'实盘净值数据(iFinD公式)'!$B99="",'实盘净值数据(iFinD公式)'!$Z99="",'实盘净值数据(iFinD公式)'!$AA99=""),"",分期持仓明细!$AB$24*(SUMPRODUCT(分期持仓明细!$B$24:$Y$24,'实盘净值数据(iFinD公式)'!$B99:$Y99/'实盘净值数据(iFinD公式)'!$B$65:$Y$65)+SUMPRODUCT(分期持仓明细!$AC$24:$AD$24,'实盘净值数据(iFinD公式)'!$Z99:$AA99/'实盘净值数据(iFinD公式)'!$Z$65:$AA$65))*(1-实盘持仓配置!$AM$8)^(('实盘净值数据(iFinD公式)'!$A99-'实盘净值数据(iFinD公式)'!$A$5)/365))</f>
        <v/>
      </c>
      <c r="O99" s="16" t="str">
        <f t="shared" si="17"/>
        <v/>
      </c>
      <c r="P99" s="16" t="str">
        <f>IF(N99="","",N99/MAX(N$5:N99)-1)</f>
        <v/>
      </c>
      <c r="Q99" s="13" t="str">
        <f>IF(OR('实盘净值数据(iFinD公式)'!$A99="",'实盘净值数据(iFinD公式)'!$B99="",'实盘净值数据(iFinD公式)'!$Z99="",'实盘净值数据(iFinD公式)'!$AA99=""),"",分期持仓明细!$AB$25*(SUMPRODUCT(分期持仓明细!$B$25:$Y$25,'实盘净值数据(iFinD公式)'!$B99:$Y99/'实盘净值数据(iFinD公式)'!$B$65:$Y$65)+SUMPRODUCT(分期持仓明细!$AC$25:$AD$25,'实盘净值数据(iFinD公式)'!$Z99:$AA99/'实盘净值数据(iFinD公式)'!$Z$65:$AA$65))*(1-实盘持仓配置!$AM$9)^(('实盘净值数据(iFinD公式)'!$A99-'实盘净值数据(iFinD公式)'!$A$8)/365))</f>
        <v/>
      </c>
      <c r="R99" s="16" t="str">
        <f t="shared" si="18"/>
        <v/>
      </c>
      <c r="S99" s="16" t="str">
        <f>IF(Q99="","",Q99/MAX(Q$5:Q99)-1)</f>
        <v/>
      </c>
      <c r="T99" s="13" t="str">
        <f>IF(OR('实盘净值数据(iFinD公式)'!$A99="",'实盘净值数据(iFinD公式)'!$B99="",'实盘净值数据(iFinD公式)'!$Z99="",'实盘净值数据(iFinD公式)'!$AA99="",'实盘净值数据(iFinD公式)'!$AB99="",'实盘净值数据(iFinD公式)'!$AL99=""),"",(SUMPRODUCT(分期持仓明细!$B$26:$Y$26,'实盘净值数据(iFinD公式)'!$B99:$Y99/'实盘净值数据(iFinD公式)'!$B$69:$Y$69)+SUMPRODUCT(分期持仓明细!$AC$26:$AD$26,'实盘净值数据(iFinD公式)'!$Z99:$AA99/'实盘净值数据(iFinD公式)'!$Z$69:$AA$69)+SUMPRODUCT(分期持仓明细!$AE$26:$AO$26,'实盘净值数据(iFinD公式)'!$AB99:$AL99/'实盘净值数据(iFinD公式)'!$AB$69:$AL$69))*(1-实盘持仓配置!$AM$10)^(('实盘净值数据(iFinD公式)'!$A99-'实盘净值数据(iFinD公式)'!$A$69)/365))</f>
        <v/>
      </c>
      <c r="U99" s="16" t="str">
        <f t="shared" si="12"/>
        <v/>
      </c>
      <c r="V99" s="16" t="str">
        <f>IF(T99="","",T99/MAX(T$5:T99)-1)</f>
        <v/>
      </c>
    </row>
    <row r="100" spans="1:22">
      <c r="A100" s="15" t="str">
        <f>IF('实盘净值数据(iFinD公式)'!A100="","",'实盘净值数据(iFinD公式)'!A100)</f>
        <v/>
      </c>
      <c r="B100" s="13" t="str">
        <f>IF(OR('实盘净值数据(iFinD公式)'!$A100="",'实盘净值数据(iFinD公式)'!$B100=""),"",分期持仓明细!$AB$17*SUMPRODUCT(分期持仓明细!$B$17:$Y$17,'实盘净值数据(iFinD公式)'!$B100:$Y100/'实盘净值数据(iFinD公式)'!$B$20:$Y$20)*(1-实盘持仓配置!$AM$4)^(('实盘净值数据(iFinD公式)'!$A100-'实盘净值数据(iFinD公式)'!$A$6)/365))</f>
        <v/>
      </c>
      <c r="C100" s="16" t="str">
        <f t="shared" si="13"/>
        <v/>
      </c>
      <c r="D100" s="16" t="str">
        <f>IF(B100="","",B100/MAX(B$5:B100)-1)</f>
        <v/>
      </c>
      <c r="E100" s="13" t="str">
        <f>IF(OR('实盘净值数据(iFinD公式)'!$A100="",'实盘净值数据(iFinD公式)'!$B100=""),"",分期持仓明细!$AB$18*SUMPRODUCT(分期持仓明细!$B$18:$Y$18,'实盘净值数据(iFinD公式)'!$B100:$Y100/'实盘净值数据(iFinD公式)'!$B$20:$Y$20)*(1-实盘持仓配置!$AM$5)^(('实盘净值数据(iFinD公式)'!$A100-'实盘净值数据(iFinD公式)'!$A$5)/365))</f>
        <v/>
      </c>
      <c r="F100" s="16" t="str">
        <f t="shared" si="14"/>
        <v/>
      </c>
      <c r="G100" s="16" t="str">
        <f>IF(E100="","",E100/MAX(E$5:E100)-1)</f>
        <v/>
      </c>
      <c r="H100" s="13" t="str">
        <f>IF(OR('实盘净值数据(iFinD公式)'!$A100="",'实盘净值数据(iFinD公式)'!$B100=""),"",分期持仓明细!$AB$19*SUMPRODUCT(分期持仓明细!$B$19:$Y$19,'实盘净值数据(iFinD公式)'!$B100:$Y100/'实盘净值数据(iFinD公式)'!$B$20:$Y$20)*(1-实盘持仓配置!$AM$6)^(('实盘净值数据(iFinD公式)'!$A100-'实盘净值数据(iFinD公式)'!$A$7)/365))</f>
        <v/>
      </c>
      <c r="I100" s="16" t="str">
        <f t="shared" si="15"/>
        <v/>
      </c>
      <c r="J100" s="16" t="str">
        <f>IF(H100="","",H100/MAX(H$5:H100)-1)</f>
        <v/>
      </c>
      <c r="K100" s="13" t="str">
        <f>IF(OR('实盘净值数据(iFinD公式)'!$A100="",'实盘净值数据(iFinD公式)'!$B100="",'实盘净值数据(iFinD公式)'!$Z100="",'实盘净值数据(iFinD公式)'!$AA100=""),"",分期持仓明细!$AB$23*(SUMPRODUCT(分期持仓明细!$B$23:$Y$23,'实盘净值数据(iFinD公式)'!$B100:$Y100/'实盘净值数据(iFinD公式)'!$B$65:$Y$65)+SUMPRODUCT(分期持仓明细!$AC$23:$AD$23,'实盘净值数据(iFinD公式)'!$Z100:$AA100/'实盘净值数据(iFinD公式)'!$Z$65:$AA$65))*(1-实盘持仓配置!$AM$7)^(('实盘净值数据(iFinD公式)'!$A100-'实盘净值数据(iFinD公式)'!$A$8)/365))</f>
        <v/>
      </c>
      <c r="L100" s="16" t="str">
        <f t="shared" si="16"/>
        <v/>
      </c>
      <c r="M100" s="16" t="str">
        <f>IF(K100="","",K100/MAX(K$5:K100)-1)</f>
        <v/>
      </c>
      <c r="N100" s="13" t="str">
        <f>IF(OR('实盘净值数据(iFinD公式)'!$A100="",'实盘净值数据(iFinD公式)'!$B100="",'实盘净值数据(iFinD公式)'!$Z100="",'实盘净值数据(iFinD公式)'!$AA100=""),"",分期持仓明细!$AB$24*(SUMPRODUCT(分期持仓明细!$B$24:$Y$24,'实盘净值数据(iFinD公式)'!$B100:$Y100/'实盘净值数据(iFinD公式)'!$B$65:$Y$65)+SUMPRODUCT(分期持仓明细!$AC$24:$AD$24,'实盘净值数据(iFinD公式)'!$Z100:$AA100/'实盘净值数据(iFinD公式)'!$Z$65:$AA$65))*(1-实盘持仓配置!$AM$8)^(('实盘净值数据(iFinD公式)'!$A100-'实盘净值数据(iFinD公式)'!$A$5)/365))</f>
        <v/>
      </c>
      <c r="O100" s="16" t="str">
        <f t="shared" si="17"/>
        <v/>
      </c>
      <c r="P100" s="16" t="str">
        <f>IF(N100="","",N100/MAX(N$5:N100)-1)</f>
        <v/>
      </c>
      <c r="Q100" s="13" t="str">
        <f>IF(OR('实盘净值数据(iFinD公式)'!$A100="",'实盘净值数据(iFinD公式)'!$B100="",'实盘净值数据(iFinD公式)'!$Z100="",'实盘净值数据(iFinD公式)'!$AA100=""),"",分期持仓明细!$AB$25*(SUMPRODUCT(分期持仓明细!$B$25:$Y$25,'实盘净值数据(iFinD公式)'!$B100:$Y100/'实盘净值数据(iFinD公式)'!$B$65:$Y$65)+SUMPRODUCT(分期持仓明细!$AC$25:$AD$25,'实盘净值数据(iFinD公式)'!$Z100:$AA100/'实盘净值数据(iFinD公式)'!$Z$65:$AA$65))*(1-实盘持仓配置!$AM$9)^(('实盘净值数据(iFinD公式)'!$A100-'实盘净值数据(iFinD公式)'!$A$8)/365))</f>
        <v/>
      </c>
      <c r="R100" s="16" t="str">
        <f t="shared" si="18"/>
        <v/>
      </c>
      <c r="S100" s="16" t="str">
        <f>IF(Q100="","",Q100/MAX(Q$5:Q100)-1)</f>
        <v/>
      </c>
      <c r="T100" s="13" t="str">
        <f>IF(OR('实盘净值数据(iFinD公式)'!$A100="",'实盘净值数据(iFinD公式)'!$B100="",'实盘净值数据(iFinD公式)'!$Z100="",'实盘净值数据(iFinD公式)'!$AA100="",'实盘净值数据(iFinD公式)'!$AB100="",'实盘净值数据(iFinD公式)'!$AL100=""),"",(SUMPRODUCT(分期持仓明细!$B$26:$Y$26,'实盘净值数据(iFinD公式)'!$B100:$Y100/'实盘净值数据(iFinD公式)'!$B$69:$Y$69)+SUMPRODUCT(分期持仓明细!$AC$26:$AD$26,'实盘净值数据(iFinD公式)'!$Z100:$AA100/'实盘净值数据(iFinD公式)'!$Z$69:$AA$69)+SUMPRODUCT(分期持仓明细!$AE$26:$AO$26,'实盘净值数据(iFinD公式)'!$AB100:$AL100/'实盘净值数据(iFinD公式)'!$AB$69:$AL$69))*(1-实盘持仓配置!$AM$10)^(('实盘净值数据(iFinD公式)'!$A100-'实盘净值数据(iFinD公式)'!$A$69)/365))</f>
        <v/>
      </c>
      <c r="U100" s="16" t="str">
        <f t="shared" si="12"/>
        <v/>
      </c>
      <c r="V100" s="16" t="str">
        <f>IF(T100="","",T100/MAX(T$5:T100)-1)</f>
        <v/>
      </c>
    </row>
    <row r="101" spans="1:22">
      <c r="A101" s="15" t="str">
        <f>IF('实盘净值数据(iFinD公式)'!A101="","",'实盘净值数据(iFinD公式)'!A101)</f>
        <v/>
      </c>
      <c r="B101" s="13" t="str">
        <f>IF(OR('实盘净值数据(iFinD公式)'!$A101="",'实盘净值数据(iFinD公式)'!$B101=""),"",分期持仓明细!$AB$17*SUMPRODUCT(分期持仓明细!$B$17:$Y$17,'实盘净值数据(iFinD公式)'!$B101:$Y101/'实盘净值数据(iFinD公式)'!$B$20:$Y$20)*(1-实盘持仓配置!$AM$4)^(('实盘净值数据(iFinD公式)'!$A101-'实盘净值数据(iFinD公式)'!$A$6)/365))</f>
        <v/>
      </c>
      <c r="C101" s="16" t="str">
        <f t="shared" si="13"/>
        <v/>
      </c>
      <c r="D101" s="16" t="str">
        <f>IF(B101="","",B101/MAX(B$5:B101)-1)</f>
        <v/>
      </c>
      <c r="E101" s="13" t="str">
        <f>IF(OR('实盘净值数据(iFinD公式)'!$A101="",'实盘净值数据(iFinD公式)'!$B101=""),"",分期持仓明细!$AB$18*SUMPRODUCT(分期持仓明细!$B$18:$Y$18,'实盘净值数据(iFinD公式)'!$B101:$Y101/'实盘净值数据(iFinD公式)'!$B$20:$Y$20)*(1-实盘持仓配置!$AM$5)^(('实盘净值数据(iFinD公式)'!$A101-'实盘净值数据(iFinD公式)'!$A$5)/365))</f>
        <v/>
      </c>
      <c r="F101" s="16" t="str">
        <f t="shared" si="14"/>
        <v/>
      </c>
      <c r="G101" s="16" t="str">
        <f>IF(E101="","",E101/MAX(E$5:E101)-1)</f>
        <v/>
      </c>
      <c r="H101" s="13" t="str">
        <f>IF(OR('实盘净值数据(iFinD公式)'!$A101="",'实盘净值数据(iFinD公式)'!$B101=""),"",分期持仓明细!$AB$19*SUMPRODUCT(分期持仓明细!$B$19:$Y$19,'实盘净值数据(iFinD公式)'!$B101:$Y101/'实盘净值数据(iFinD公式)'!$B$20:$Y$20)*(1-实盘持仓配置!$AM$6)^(('实盘净值数据(iFinD公式)'!$A101-'实盘净值数据(iFinD公式)'!$A$7)/365))</f>
        <v/>
      </c>
      <c r="I101" s="16" t="str">
        <f t="shared" si="15"/>
        <v/>
      </c>
      <c r="J101" s="16" t="str">
        <f>IF(H101="","",H101/MAX(H$5:H101)-1)</f>
        <v/>
      </c>
      <c r="K101" s="13" t="str">
        <f>IF(OR('实盘净值数据(iFinD公式)'!$A101="",'实盘净值数据(iFinD公式)'!$B101="",'实盘净值数据(iFinD公式)'!$Z101="",'实盘净值数据(iFinD公式)'!$AA101=""),"",分期持仓明细!$AB$23*(SUMPRODUCT(分期持仓明细!$B$23:$Y$23,'实盘净值数据(iFinD公式)'!$B101:$Y101/'实盘净值数据(iFinD公式)'!$B$65:$Y$65)+SUMPRODUCT(分期持仓明细!$AC$23:$AD$23,'实盘净值数据(iFinD公式)'!$Z101:$AA101/'实盘净值数据(iFinD公式)'!$Z$65:$AA$65))*(1-实盘持仓配置!$AM$7)^(('实盘净值数据(iFinD公式)'!$A101-'实盘净值数据(iFinD公式)'!$A$8)/365))</f>
        <v/>
      </c>
      <c r="L101" s="16" t="str">
        <f t="shared" si="16"/>
        <v/>
      </c>
      <c r="M101" s="16" t="str">
        <f>IF(K101="","",K101/MAX(K$5:K101)-1)</f>
        <v/>
      </c>
      <c r="N101" s="13" t="str">
        <f>IF(OR('实盘净值数据(iFinD公式)'!$A101="",'实盘净值数据(iFinD公式)'!$B101="",'实盘净值数据(iFinD公式)'!$Z101="",'实盘净值数据(iFinD公式)'!$AA101=""),"",分期持仓明细!$AB$24*(SUMPRODUCT(分期持仓明细!$B$24:$Y$24,'实盘净值数据(iFinD公式)'!$B101:$Y101/'实盘净值数据(iFinD公式)'!$B$65:$Y$65)+SUMPRODUCT(分期持仓明细!$AC$24:$AD$24,'实盘净值数据(iFinD公式)'!$Z101:$AA101/'实盘净值数据(iFinD公式)'!$Z$65:$AA$65))*(1-实盘持仓配置!$AM$8)^(('实盘净值数据(iFinD公式)'!$A101-'实盘净值数据(iFinD公式)'!$A$5)/365))</f>
        <v/>
      </c>
      <c r="O101" s="16" t="str">
        <f t="shared" si="17"/>
        <v/>
      </c>
      <c r="P101" s="16" t="str">
        <f>IF(N101="","",N101/MAX(N$5:N101)-1)</f>
        <v/>
      </c>
      <c r="Q101" s="13" t="str">
        <f>IF(OR('实盘净值数据(iFinD公式)'!$A101="",'实盘净值数据(iFinD公式)'!$B101="",'实盘净值数据(iFinD公式)'!$Z101="",'实盘净值数据(iFinD公式)'!$AA101=""),"",分期持仓明细!$AB$25*(SUMPRODUCT(分期持仓明细!$B$25:$Y$25,'实盘净值数据(iFinD公式)'!$B101:$Y101/'实盘净值数据(iFinD公式)'!$B$65:$Y$65)+SUMPRODUCT(分期持仓明细!$AC$25:$AD$25,'实盘净值数据(iFinD公式)'!$Z101:$AA101/'实盘净值数据(iFinD公式)'!$Z$65:$AA$65))*(1-实盘持仓配置!$AM$9)^(('实盘净值数据(iFinD公式)'!$A101-'实盘净值数据(iFinD公式)'!$A$8)/365))</f>
        <v/>
      </c>
      <c r="R101" s="16" t="str">
        <f t="shared" si="18"/>
        <v/>
      </c>
      <c r="S101" s="16" t="str">
        <f>IF(Q101="","",Q101/MAX(Q$5:Q101)-1)</f>
        <v/>
      </c>
      <c r="T101" s="13" t="str">
        <f>IF(OR('实盘净值数据(iFinD公式)'!$A101="",'实盘净值数据(iFinD公式)'!$B101="",'实盘净值数据(iFinD公式)'!$Z101="",'实盘净值数据(iFinD公式)'!$AA101="",'实盘净值数据(iFinD公式)'!$AB101="",'实盘净值数据(iFinD公式)'!$AL101=""),"",(SUMPRODUCT(分期持仓明细!$B$26:$Y$26,'实盘净值数据(iFinD公式)'!$B101:$Y101/'实盘净值数据(iFinD公式)'!$B$69:$Y$69)+SUMPRODUCT(分期持仓明细!$AC$26:$AD$26,'实盘净值数据(iFinD公式)'!$Z101:$AA101/'实盘净值数据(iFinD公式)'!$Z$69:$AA$69)+SUMPRODUCT(分期持仓明细!$AE$26:$AO$26,'实盘净值数据(iFinD公式)'!$AB101:$AL101/'实盘净值数据(iFinD公式)'!$AB$69:$AL$69))*(1-实盘持仓配置!$AM$10)^(('实盘净值数据(iFinD公式)'!$A101-'实盘净值数据(iFinD公式)'!$A$69)/365))</f>
        <v/>
      </c>
      <c r="U101" s="16" t="str">
        <f t="shared" ref="U101:U132" si="19">IF(OR(T100="",T101=""),"",T101/T100-1)</f>
        <v/>
      </c>
      <c r="V101" s="16" t="str">
        <f>IF(T101="","",T101/MAX(T$5:T101)-1)</f>
        <v/>
      </c>
    </row>
    <row r="102" spans="1:22">
      <c r="A102" s="15" t="str">
        <f>IF('实盘净值数据(iFinD公式)'!A102="","",'实盘净值数据(iFinD公式)'!A102)</f>
        <v/>
      </c>
      <c r="B102" s="13" t="str">
        <f>IF(OR('实盘净值数据(iFinD公式)'!$A102="",'实盘净值数据(iFinD公式)'!$B102=""),"",分期持仓明细!$AB$17*SUMPRODUCT(分期持仓明细!$B$17:$Y$17,'实盘净值数据(iFinD公式)'!$B102:$Y102/'实盘净值数据(iFinD公式)'!$B$20:$Y$20)*(1-实盘持仓配置!$AM$4)^(('实盘净值数据(iFinD公式)'!$A102-'实盘净值数据(iFinD公式)'!$A$6)/365))</f>
        <v/>
      </c>
      <c r="C102" s="16" t="str">
        <f t="shared" si="13"/>
        <v/>
      </c>
      <c r="D102" s="16" t="str">
        <f>IF(B102="","",B102/MAX(B$5:B102)-1)</f>
        <v/>
      </c>
      <c r="E102" s="13" t="str">
        <f>IF(OR('实盘净值数据(iFinD公式)'!$A102="",'实盘净值数据(iFinD公式)'!$B102=""),"",分期持仓明细!$AB$18*SUMPRODUCT(分期持仓明细!$B$18:$Y$18,'实盘净值数据(iFinD公式)'!$B102:$Y102/'实盘净值数据(iFinD公式)'!$B$20:$Y$20)*(1-实盘持仓配置!$AM$5)^(('实盘净值数据(iFinD公式)'!$A102-'实盘净值数据(iFinD公式)'!$A$5)/365))</f>
        <v/>
      </c>
      <c r="F102" s="16" t="str">
        <f t="shared" si="14"/>
        <v/>
      </c>
      <c r="G102" s="16" t="str">
        <f>IF(E102="","",E102/MAX(E$5:E102)-1)</f>
        <v/>
      </c>
      <c r="H102" s="13" t="str">
        <f>IF(OR('实盘净值数据(iFinD公式)'!$A102="",'实盘净值数据(iFinD公式)'!$B102=""),"",分期持仓明细!$AB$19*SUMPRODUCT(分期持仓明细!$B$19:$Y$19,'实盘净值数据(iFinD公式)'!$B102:$Y102/'实盘净值数据(iFinD公式)'!$B$20:$Y$20)*(1-实盘持仓配置!$AM$6)^(('实盘净值数据(iFinD公式)'!$A102-'实盘净值数据(iFinD公式)'!$A$7)/365))</f>
        <v/>
      </c>
      <c r="I102" s="16" t="str">
        <f t="shared" si="15"/>
        <v/>
      </c>
      <c r="J102" s="16" t="str">
        <f>IF(H102="","",H102/MAX(H$5:H102)-1)</f>
        <v/>
      </c>
      <c r="K102" s="13" t="str">
        <f>IF(OR('实盘净值数据(iFinD公式)'!$A102="",'实盘净值数据(iFinD公式)'!$B102="",'实盘净值数据(iFinD公式)'!$Z102="",'实盘净值数据(iFinD公式)'!$AA102=""),"",分期持仓明细!$AB$23*(SUMPRODUCT(分期持仓明细!$B$23:$Y$23,'实盘净值数据(iFinD公式)'!$B102:$Y102/'实盘净值数据(iFinD公式)'!$B$65:$Y$65)+SUMPRODUCT(分期持仓明细!$AC$23:$AD$23,'实盘净值数据(iFinD公式)'!$Z102:$AA102/'实盘净值数据(iFinD公式)'!$Z$65:$AA$65))*(1-实盘持仓配置!$AM$7)^(('实盘净值数据(iFinD公式)'!$A102-'实盘净值数据(iFinD公式)'!$A$8)/365))</f>
        <v/>
      </c>
      <c r="L102" s="16" t="str">
        <f t="shared" si="16"/>
        <v/>
      </c>
      <c r="M102" s="16" t="str">
        <f>IF(K102="","",K102/MAX(K$5:K102)-1)</f>
        <v/>
      </c>
      <c r="N102" s="13" t="str">
        <f>IF(OR('实盘净值数据(iFinD公式)'!$A102="",'实盘净值数据(iFinD公式)'!$B102="",'实盘净值数据(iFinD公式)'!$Z102="",'实盘净值数据(iFinD公式)'!$AA102=""),"",分期持仓明细!$AB$24*(SUMPRODUCT(分期持仓明细!$B$24:$Y$24,'实盘净值数据(iFinD公式)'!$B102:$Y102/'实盘净值数据(iFinD公式)'!$B$65:$Y$65)+SUMPRODUCT(分期持仓明细!$AC$24:$AD$24,'实盘净值数据(iFinD公式)'!$Z102:$AA102/'实盘净值数据(iFinD公式)'!$Z$65:$AA$65))*(1-实盘持仓配置!$AM$8)^(('实盘净值数据(iFinD公式)'!$A102-'实盘净值数据(iFinD公式)'!$A$5)/365))</f>
        <v/>
      </c>
      <c r="O102" s="16" t="str">
        <f t="shared" si="17"/>
        <v/>
      </c>
      <c r="P102" s="16" t="str">
        <f>IF(N102="","",N102/MAX(N$5:N102)-1)</f>
        <v/>
      </c>
      <c r="Q102" s="13" t="str">
        <f>IF(OR('实盘净值数据(iFinD公式)'!$A102="",'实盘净值数据(iFinD公式)'!$B102="",'实盘净值数据(iFinD公式)'!$Z102="",'实盘净值数据(iFinD公式)'!$AA102=""),"",分期持仓明细!$AB$25*(SUMPRODUCT(分期持仓明细!$B$25:$Y$25,'实盘净值数据(iFinD公式)'!$B102:$Y102/'实盘净值数据(iFinD公式)'!$B$65:$Y$65)+SUMPRODUCT(分期持仓明细!$AC$25:$AD$25,'实盘净值数据(iFinD公式)'!$Z102:$AA102/'实盘净值数据(iFinD公式)'!$Z$65:$AA$65))*(1-实盘持仓配置!$AM$9)^(('实盘净值数据(iFinD公式)'!$A102-'实盘净值数据(iFinD公式)'!$A$8)/365))</f>
        <v/>
      </c>
      <c r="R102" s="16" t="str">
        <f t="shared" si="18"/>
        <v/>
      </c>
      <c r="S102" s="16" t="str">
        <f>IF(Q102="","",Q102/MAX(Q$5:Q102)-1)</f>
        <v/>
      </c>
      <c r="T102" s="13" t="str">
        <f>IF(OR('实盘净值数据(iFinD公式)'!$A102="",'实盘净值数据(iFinD公式)'!$B102="",'实盘净值数据(iFinD公式)'!$Z102="",'实盘净值数据(iFinD公式)'!$AA102="",'实盘净值数据(iFinD公式)'!$AB102="",'实盘净值数据(iFinD公式)'!$AL102=""),"",(SUMPRODUCT(分期持仓明细!$B$26:$Y$26,'实盘净值数据(iFinD公式)'!$B102:$Y102/'实盘净值数据(iFinD公式)'!$B$69:$Y$69)+SUMPRODUCT(分期持仓明细!$AC$26:$AD$26,'实盘净值数据(iFinD公式)'!$Z102:$AA102/'实盘净值数据(iFinD公式)'!$Z$69:$AA$69)+SUMPRODUCT(分期持仓明细!$AE$26:$AO$26,'实盘净值数据(iFinD公式)'!$AB102:$AL102/'实盘净值数据(iFinD公式)'!$AB$69:$AL$69))*(1-实盘持仓配置!$AM$10)^(('实盘净值数据(iFinD公式)'!$A102-'实盘净值数据(iFinD公式)'!$A$69)/365))</f>
        <v/>
      </c>
      <c r="U102" s="16" t="str">
        <f t="shared" si="19"/>
        <v/>
      </c>
      <c r="V102" s="16" t="str">
        <f>IF(T102="","",T102/MAX(T$5:T102)-1)</f>
        <v/>
      </c>
    </row>
    <row r="103" spans="1:22">
      <c r="A103" s="15" t="str">
        <f>IF('实盘净值数据(iFinD公式)'!A103="","",'实盘净值数据(iFinD公式)'!A103)</f>
        <v/>
      </c>
      <c r="B103" s="13" t="str">
        <f>IF(OR('实盘净值数据(iFinD公式)'!$A103="",'实盘净值数据(iFinD公式)'!$B103=""),"",分期持仓明细!$AB$17*SUMPRODUCT(分期持仓明细!$B$17:$Y$17,'实盘净值数据(iFinD公式)'!$B103:$Y103/'实盘净值数据(iFinD公式)'!$B$20:$Y$20)*(1-实盘持仓配置!$AM$4)^(('实盘净值数据(iFinD公式)'!$A103-'实盘净值数据(iFinD公式)'!$A$6)/365))</f>
        <v/>
      </c>
      <c r="C103" s="16" t="str">
        <f t="shared" si="13"/>
        <v/>
      </c>
      <c r="D103" s="16" t="str">
        <f>IF(B103="","",B103/MAX(B$5:B103)-1)</f>
        <v/>
      </c>
      <c r="E103" s="13" t="str">
        <f>IF(OR('实盘净值数据(iFinD公式)'!$A103="",'实盘净值数据(iFinD公式)'!$B103=""),"",分期持仓明细!$AB$18*SUMPRODUCT(分期持仓明细!$B$18:$Y$18,'实盘净值数据(iFinD公式)'!$B103:$Y103/'实盘净值数据(iFinD公式)'!$B$20:$Y$20)*(1-实盘持仓配置!$AM$5)^(('实盘净值数据(iFinD公式)'!$A103-'实盘净值数据(iFinD公式)'!$A$5)/365))</f>
        <v/>
      </c>
      <c r="F103" s="16" t="str">
        <f t="shared" si="14"/>
        <v/>
      </c>
      <c r="G103" s="16" t="str">
        <f>IF(E103="","",E103/MAX(E$5:E103)-1)</f>
        <v/>
      </c>
      <c r="H103" s="13" t="str">
        <f>IF(OR('实盘净值数据(iFinD公式)'!$A103="",'实盘净值数据(iFinD公式)'!$B103=""),"",分期持仓明细!$AB$19*SUMPRODUCT(分期持仓明细!$B$19:$Y$19,'实盘净值数据(iFinD公式)'!$B103:$Y103/'实盘净值数据(iFinD公式)'!$B$20:$Y$20)*(1-实盘持仓配置!$AM$6)^(('实盘净值数据(iFinD公式)'!$A103-'实盘净值数据(iFinD公式)'!$A$7)/365))</f>
        <v/>
      </c>
      <c r="I103" s="16" t="str">
        <f t="shared" si="15"/>
        <v/>
      </c>
      <c r="J103" s="16" t="str">
        <f>IF(H103="","",H103/MAX(H$5:H103)-1)</f>
        <v/>
      </c>
      <c r="K103" s="13" t="str">
        <f>IF(OR('实盘净值数据(iFinD公式)'!$A103="",'实盘净值数据(iFinD公式)'!$B103="",'实盘净值数据(iFinD公式)'!$Z103="",'实盘净值数据(iFinD公式)'!$AA103=""),"",分期持仓明细!$AB$23*(SUMPRODUCT(分期持仓明细!$B$23:$Y$23,'实盘净值数据(iFinD公式)'!$B103:$Y103/'实盘净值数据(iFinD公式)'!$B$65:$Y$65)+SUMPRODUCT(分期持仓明细!$AC$23:$AD$23,'实盘净值数据(iFinD公式)'!$Z103:$AA103/'实盘净值数据(iFinD公式)'!$Z$65:$AA$65))*(1-实盘持仓配置!$AM$7)^(('实盘净值数据(iFinD公式)'!$A103-'实盘净值数据(iFinD公式)'!$A$8)/365))</f>
        <v/>
      </c>
      <c r="L103" s="16" t="str">
        <f t="shared" si="16"/>
        <v/>
      </c>
      <c r="M103" s="16" t="str">
        <f>IF(K103="","",K103/MAX(K$5:K103)-1)</f>
        <v/>
      </c>
      <c r="N103" s="13" t="str">
        <f>IF(OR('实盘净值数据(iFinD公式)'!$A103="",'实盘净值数据(iFinD公式)'!$B103="",'实盘净值数据(iFinD公式)'!$Z103="",'实盘净值数据(iFinD公式)'!$AA103=""),"",分期持仓明细!$AB$24*(SUMPRODUCT(分期持仓明细!$B$24:$Y$24,'实盘净值数据(iFinD公式)'!$B103:$Y103/'实盘净值数据(iFinD公式)'!$B$65:$Y$65)+SUMPRODUCT(分期持仓明细!$AC$24:$AD$24,'实盘净值数据(iFinD公式)'!$Z103:$AA103/'实盘净值数据(iFinD公式)'!$Z$65:$AA$65))*(1-实盘持仓配置!$AM$8)^(('实盘净值数据(iFinD公式)'!$A103-'实盘净值数据(iFinD公式)'!$A$5)/365))</f>
        <v/>
      </c>
      <c r="O103" s="16" t="str">
        <f t="shared" si="17"/>
        <v/>
      </c>
      <c r="P103" s="16" t="str">
        <f>IF(N103="","",N103/MAX(N$5:N103)-1)</f>
        <v/>
      </c>
      <c r="Q103" s="13" t="str">
        <f>IF(OR('实盘净值数据(iFinD公式)'!$A103="",'实盘净值数据(iFinD公式)'!$B103="",'实盘净值数据(iFinD公式)'!$Z103="",'实盘净值数据(iFinD公式)'!$AA103=""),"",分期持仓明细!$AB$25*(SUMPRODUCT(分期持仓明细!$B$25:$Y$25,'实盘净值数据(iFinD公式)'!$B103:$Y103/'实盘净值数据(iFinD公式)'!$B$65:$Y$65)+SUMPRODUCT(分期持仓明细!$AC$25:$AD$25,'实盘净值数据(iFinD公式)'!$Z103:$AA103/'实盘净值数据(iFinD公式)'!$Z$65:$AA$65))*(1-实盘持仓配置!$AM$9)^(('实盘净值数据(iFinD公式)'!$A103-'实盘净值数据(iFinD公式)'!$A$8)/365))</f>
        <v/>
      </c>
      <c r="R103" s="16" t="str">
        <f t="shared" si="18"/>
        <v/>
      </c>
      <c r="S103" s="16" t="str">
        <f>IF(Q103="","",Q103/MAX(Q$5:Q103)-1)</f>
        <v/>
      </c>
      <c r="T103" s="13" t="str">
        <f>IF(OR('实盘净值数据(iFinD公式)'!$A103="",'实盘净值数据(iFinD公式)'!$B103="",'实盘净值数据(iFinD公式)'!$Z103="",'实盘净值数据(iFinD公式)'!$AA103="",'实盘净值数据(iFinD公式)'!$AB103="",'实盘净值数据(iFinD公式)'!$AL103=""),"",(SUMPRODUCT(分期持仓明细!$B$26:$Y$26,'实盘净值数据(iFinD公式)'!$B103:$Y103/'实盘净值数据(iFinD公式)'!$B$69:$Y$69)+SUMPRODUCT(分期持仓明细!$AC$26:$AD$26,'实盘净值数据(iFinD公式)'!$Z103:$AA103/'实盘净值数据(iFinD公式)'!$Z$69:$AA$69)+SUMPRODUCT(分期持仓明细!$AE$26:$AO$26,'实盘净值数据(iFinD公式)'!$AB103:$AL103/'实盘净值数据(iFinD公式)'!$AB$69:$AL$69))*(1-实盘持仓配置!$AM$10)^(('实盘净值数据(iFinD公式)'!$A103-'实盘净值数据(iFinD公式)'!$A$69)/365))</f>
        <v/>
      </c>
      <c r="U103" s="16" t="str">
        <f t="shared" si="19"/>
        <v/>
      </c>
      <c r="V103" s="16" t="str">
        <f>IF(T103="","",T103/MAX(T$5:T103)-1)</f>
        <v/>
      </c>
    </row>
    <row r="104" spans="1:22">
      <c r="A104" s="15" t="str">
        <f>IF('实盘净值数据(iFinD公式)'!A104="","",'实盘净值数据(iFinD公式)'!A104)</f>
        <v/>
      </c>
      <c r="B104" s="13" t="str">
        <f>IF(OR('实盘净值数据(iFinD公式)'!$A104="",'实盘净值数据(iFinD公式)'!$B104=""),"",分期持仓明细!$AB$17*SUMPRODUCT(分期持仓明细!$B$17:$Y$17,'实盘净值数据(iFinD公式)'!$B104:$Y104/'实盘净值数据(iFinD公式)'!$B$20:$Y$20)*(1-实盘持仓配置!$AM$4)^(('实盘净值数据(iFinD公式)'!$A104-'实盘净值数据(iFinD公式)'!$A$6)/365))</f>
        <v/>
      </c>
      <c r="C104" s="16" t="str">
        <f t="shared" si="13"/>
        <v/>
      </c>
      <c r="D104" s="16" t="str">
        <f>IF(B104="","",B104/MAX(B$5:B104)-1)</f>
        <v/>
      </c>
      <c r="E104" s="13" t="str">
        <f>IF(OR('实盘净值数据(iFinD公式)'!$A104="",'实盘净值数据(iFinD公式)'!$B104=""),"",分期持仓明细!$AB$18*SUMPRODUCT(分期持仓明细!$B$18:$Y$18,'实盘净值数据(iFinD公式)'!$B104:$Y104/'实盘净值数据(iFinD公式)'!$B$20:$Y$20)*(1-实盘持仓配置!$AM$5)^(('实盘净值数据(iFinD公式)'!$A104-'实盘净值数据(iFinD公式)'!$A$5)/365))</f>
        <v/>
      </c>
      <c r="F104" s="16" t="str">
        <f t="shared" si="14"/>
        <v/>
      </c>
      <c r="G104" s="16" t="str">
        <f>IF(E104="","",E104/MAX(E$5:E104)-1)</f>
        <v/>
      </c>
      <c r="H104" s="13" t="str">
        <f>IF(OR('实盘净值数据(iFinD公式)'!$A104="",'实盘净值数据(iFinD公式)'!$B104=""),"",分期持仓明细!$AB$19*SUMPRODUCT(分期持仓明细!$B$19:$Y$19,'实盘净值数据(iFinD公式)'!$B104:$Y104/'实盘净值数据(iFinD公式)'!$B$20:$Y$20)*(1-实盘持仓配置!$AM$6)^(('实盘净值数据(iFinD公式)'!$A104-'实盘净值数据(iFinD公式)'!$A$7)/365))</f>
        <v/>
      </c>
      <c r="I104" s="16" t="str">
        <f t="shared" si="15"/>
        <v/>
      </c>
      <c r="J104" s="16" t="str">
        <f>IF(H104="","",H104/MAX(H$5:H104)-1)</f>
        <v/>
      </c>
      <c r="K104" s="13" t="str">
        <f>IF(OR('实盘净值数据(iFinD公式)'!$A104="",'实盘净值数据(iFinD公式)'!$B104="",'实盘净值数据(iFinD公式)'!$Z104="",'实盘净值数据(iFinD公式)'!$AA104=""),"",分期持仓明细!$AB$23*(SUMPRODUCT(分期持仓明细!$B$23:$Y$23,'实盘净值数据(iFinD公式)'!$B104:$Y104/'实盘净值数据(iFinD公式)'!$B$65:$Y$65)+SUMPRODUCT(分期持仓明细!$AC$23:$AD$23,'实盘净值数据(iFinD公式)'!$Z104:$AA104/'实盘净值数据(iFinD公式)'!$Z$65:$AA$65))*(1-实盘持仓配置!$AM$7)^(('实盘净值数据(iFinD公式)'!$A104-'实盘净值数据(iFinD公式)'!$A$8)/365))</f>
        <v/>
      </c>
      <c r="L104" s="16" t="str">
        <f t="shared" si="16"/>
        <v/>
      </c>
      <c r="M104" s="16" t="str">
        <f>IF(K104="","",K104/MAX(K$5:K104)-1)</f>
        <v/>
      </c>
      <c r="N104" s="13" t="str">
        <f>IF(OR('实盘净值数据(iFinD公式)'!$A104="",'实盘净值数据(iFinD公式)'!$B104="",'实盘净值数据(iFinD公式)'!$Z104="",'实盘净值数据(iFinD公式)'!$AA104=""),"",分期持仓明细!$AB$24*(SUMPRODUCT(分期持仓明细!$B$24:$Y$24,'实盘净值数据(iFinD公式)'!$B104:$Y104/'实盘净值数据(iFinD公式)'!$B$65:$Y$65)+SUMPRODUCT(分期持仓明细!$AC$24:$AD$24,'实盘净值数据(iFinD公式)'!$Z104:$AA104/'实盘净值数据(iFinD公式)'!$Z$65:$AA$65))*(1-实盘持仓配置!$AM$8)^(('实盘净值数据(iFinD公式)'!$A104-'实盘净值数据(iFinD公式)'!$A$5)/365))</f>
        <v/>
      </c>
      <c r="O104" s="16" t="str">
        <f t="shared" si="17"/>
        <v/>
      </c>
      <c r="P104" s="16" t="str">
        <f>IF(N104="","",N104/MAX(N$5:N104)-1)</f>
        <v/>
      </c>
      <c r="Q104" s="13" t="str">
        <f>IF(OR('实盘净值数据(iFinD公式)'!$A104="",'实盘净值数据(iFinD公式)'!$B104="",'实盘净值数据(iFinD公式)'!$Z104="",'实盘净值数据(iFinD公式)'!$AA104=""),"",分期持仓明细!$AB$25*(SUMPRODUCT(分期持仓明细!$B$25:$Y$25,'实盘净值数据(iFinD公式)'!$B104:$Y104/'实盘净值数据(iFinD公式)'!$B$65:$Y$65)+SUMPRODUCT(分期持仓明细!$AC$25:$AD$25,'实盘净值数据(iFinD公式)'!$Z104:$AA104/'实盘净值数据(iFinD公式)'!$Z$65:$AA$65))*(1-实盘持仓配置!$AM$9)^(('实盘净值数据(iFinD公式)'!$A104-'实盘净值数据(iFinD公式)'!$A$8)/365))</f>
        <v/>
      </c>
      <c r="R104" s="16" t="str">
        <f t="shared" si="18"/>
        <v/>
      </c>
      <c r="S104" s="16" t="str">
        <f>IF(Q104="","",Q104/MAX(Q$5:Q104)-1)</f>
        <v/>
      </c>
      <c r="T104" s="13" t="str">
        <f>IF(OR('实盘净值数据(iFinD公式)'!$A104="",'实盘净值数据(iFinD公式)'!$B104="",'实盘净值数据(iFinD公式)'!$Z104="",'实盘净值数据(iFinD公式)'!$AA104="",'实盘净值数据(iFinD公式)'!$AB104="",'实盘净值数据(iFinD公式)'!$AL104=""),"",(SUMPRODUCT(分期持仓明细!$B$26:$Y$26,'实盘净值数据(iFinD公式)'!$B104:$Y104/'实盘净值数据(iFinD公式)'!$B$69:$Y$69)+SUMPRODUCT(分期持仓明细!$AC$26:$AD$26,'实盘净值数据(iFinD公式)'!$Z104:$AA104/'实盘净值数据(iFinD公式)'!$Z$69:$AA$69)+SUMPRODUCT(分期持仓明细!$AE$26:$AO$26,'实盘净值数据(iFinD公式)'!$AB104:$AL104/'实盘净值数据(iFinD公式)'!$AB$69:$AL$69))*(1-实盘持仓配置!$AM$10)^(('实盘净值数据(iFinD公式)'!$A104-'实盘净值数据(iFinD公式)'!$A$69)/365))</f>
        <v/>
      </c>
      <c r="U104" s="16" t="str">
        <f t="shared" si="19"/>
        <v/>
      </c>
      <c r="V104" s="16" t="str">
        <f>IF(T104="","",T104/MAX(T$5:T104)-1)</f>
        <v/>
      </c>
    </row>
    <row r="105" spans="1:22">
      <c r="A105" s="15" t="str">
        <f>IF('实盘净值数据(iFinD公式)'!A105="","",'实盘净值数据(iFinD公式)'!A105)</f>
        <v/>
      </c>
      <c r="B105" s="13" t="str">
        <f>IF(OR('实盘净值数据(iFinD公式)'!$A105="",'实盘净值数据(iFinD公式)'!$B105=""),"",分期持仓明细!$AB$17*SUMPRODUCT(分期持仓明细!$B$17:$Y$17,'实盘净值数据(iFinD公式)'!$B105:$Y105/'实盘净值数据(iFinD公式)'!$B$20:$Y$20)*(1-实盘持仓配置!$AM$4)^(('实盘净值数据(iFinD公式)'!$A105-'实盘净值数据(iFinD公式)'!$A$6)/365))</f>
        <v/>
      </c>
      <c r="C105" s="16" t="str">
        <f t="shared" si="13"/>
        <v/>
      </c>
      <c r="D105" s="16" t="str">
        <f>IF(B105="","",B105/MAX(B$5:B105)-1)</f>
        <v/>
      </c>
      <c r="E105" s="13" t="str">
        <f>IF(OR('实盘净值数据(iFinD公式)'!$A105="",'实盘净值数据(iFinD公式)'!$B105=""),"",分期持仓明细!$AB$18*SUMPRODUCT(分期持仓明细!$B$18:$Y$18,'实盘净值数据(iFinD公式)'!$B105:$Y105/'实盘净值数据(iFinD公式)'!$B$20:$Y$20)*(1-实盘持仓配置!$AM$5)^(('实盘净值数据(iFinD公式)'!$A105-'实盘净值数据(iFinD公式)'!$A$5)/365))</f>
        <v/>
      </c>
      <c r="F105" s="16" t="str">
        <f t="shared" si="14"/>
        <v/>
      </c>
      <c r="G105" s="16" t="str">
        <f>IF(E105="","",E105/MAX(E$5:E105)-1)</f>
        <v/>
      </c>
      <c r="H105" s="13" t="str">
        <f>IF(OR('实盘净值数据(iFinD公式)'!$A105="",'实盘净值数据(iFinD公式)'!$B105=""),"",分期持仓明细!$AB$19*SUMPRODUCT(分期持仓明细!$B$19:$Y$19,'实盘净值数据(iFinD公式)'!$B105:$Y105/'实盘净值数据(iFinD公式)'!$B$20:$Y$20)*(1-实盘持仓配置!$AM$6)^(('实盘净值数据(iFinD公式)'!$A105-'实盘净值数据(iFinD公式)'!$A$7)/365))</f>
        <v/>
      </c>
      <c r="I105" s="16" t="str">
        <f t="shared" si="15"/>
        <v/>
      </c>
      <c r="J105" s="16" t="str">
        <f>IF(H105="","",H105/MAX(H$5:H105)-1)</f>
        <v/>
      </c>
      <c r="K105" s="13" t="str">
        <f>IF(OR('实盘净值数据(iFinD公式)'!$A105="",'实盘净值数据(iFinD公式)'!$B105="",'实盘净值数据(iFinD公式)'!$Z105="",'实盘净值数据(iFinD公式)'!$AA105=""),"",分期持仓明细!$AB$23*(SUMPRODUCT(分期持仓明细!$B$23:$Y$23,'实盘净值数据(iFinD公式)'!$B105:$Y105/'实盘净值数据(iFinD公式)'!$B$65:$Y$65)+SUMPRODUCT(分期持仓明细!$AC$23:$AD$23,'实盘净值数据(iFinD公式)'!$Z105:$AA105/'实盘净值数据(iFinD公式)'!$Z$65:$AA$65))*(1-实盘持仓配置!$AM$7)^(('实盘净值数据(iFinD公式)'!$A105-'实盘净值数据(iFinD公式)'!$A$8)/365))</f>
        <v/>
      </c>
      <c r="L105" s="16" t="str">
        <f t="shared" si="16"/>
        <v/>
      </c>
      <c r="M105" s="16" t="str">
        <f>IF(K105="","",K105/MAX(K$5:K105)-1)</f>
        <v/>
      </c>
      <c r="N105" s="13" t="str">
        <f>IF(OR('实盘净值数据(iFinD公式)'!$A105="",'实盘净值数据(iFinD公式)'!$B105="",'实盘净值数据(iFinD公式)'!$Z105="",'实盘净值数据(iFinD公式)'!$AA105=""),"",分期持仓明细!$AB$24*(SUMPRODUCT(分期持仓明细!$B$24:$Y$24,'实盘净值数据(iFinD公式)'!$B105:$Y105/'实盘净值数据(iFinD公式)'!$B$65:$Y$65)+SUMPRODUCT(分期持仓明细!$AC$24:$AD$24,'实盘净值数据(iFinD公式)'!$Z105:$AA105/'实盘净值数据(iFinD公式)'!$Z$65:$AA$65))*(1-实盘持仓配置!$AM$8)^(('实盘净值数据(iFinD公式)'!$A105-'实盘净值数据(iFinD公式)'!$A$5)/365))</f>
        <v/>
      </c>
      <c r="O105" s="16" t="str">
        <f t="shared" si="17"/>
        <v/>
      </c>
      <c r="P105" s="16" t="str">
        <f>IF(N105="","",N105/MAX(N$5:N105)-1)</f>
        <v/>
      </c>
      <c r="Q105" s="13" t="str">
        <f>IF(OR('实盘净值数据(iFinD公式)'!$A105="",'实盘净值数据(iFinD公式)'!$B105="",'实盘净值数据(iFinD公式)'!$Z105="",'实盘净值数据(iFinD公式)'!$AA105=""),"",分期持仓明细!$AB$25*(SUMPRODUCT(分期持仓明细!$B$25:$Y$25,'实盘净值数据(iFinD公式)'!$B105:$Y105/'实盘净值数据(iFinD公式)'!$B$65:$Y$65)+SUMPRODUCT(分期持仓明细!$AC$25:$AD$25,'实盘净值数据(iFinD公式)'!$Z105:$AA105/'实盘净值数据(iFinD公式)'!$Z$65:$AA$65))*(1-实盘持仓配置!$AM$9)^(('实盘净值数据(iFinD公式)'!$A105-'实盘净值数据(iFinD公式)'!$A$8)/365))</f>
        <v/>
      </c>
      <c r="R105" s="16" t="str">
        <f t="shared" si="18"/>
        <v/>
      </c>
      <c r="S105" s="16" t="str">
        <f>IF(Q105="","",Q105/MAX(Q$5:Q105)-1)</f>
        <v/>
      </c>
      <c r="T105" s="13" t="str">
        <f>IF(OR('实盘净值数据(iFinD公式)'!$A105="",'实盘净值数据(iFinD公式)'!$B105="",'实盘净值数据(iFinD公式)'!$Z105="",'实盘净值数据(iFinD公式)'!$AA105="",'实盘净值数据(iFinD公式)'!$AB105="",'实盘净值数据(iFinD公式)'!$AL105=""),"",(SUMPRODUCT(分期持仓明细!$B$26:$Y$26,'实盘净值数据(iFinD公式)'!$B105:$Y105/'实盘净值数据(iFinD公式)'!$B$69:$Y$69)+SUMPRODUCT(分期持仓明细!$AC$26:$AD$26,'实盘净值数据(iFinD公式)'!$Z105:$AA105/'实盘净值数据(iFinD公式)'!$Z$69:$AA$69)+SUMPRODUCT(分期持仓明细!$AE$26:$AO$26,'实盘净值数据(iFinD公式)'!$AB105:$AL105/'实盘净值数据(iFinD公式)'!$AB$69:$AL$69))*(1-实盘持仓配置!$AM$10)^(('实盘净值数据(iFinD公式)'!$A105-'实盘净值数据(iFinD公式)'!$A$69)/365))</f>
        <v/>
      </c>
      <c r="U105" s="16" t="str">
        <f t="shared" si="19"/>
        <v/>
      </c>
      <c r="V105" s="16" t="str">
        <f>IF(T105="","",T105/MAX(T$5:T105)-1)</f>
        <v/>
      </c>
    </row>
    <row r="106" spans="1:22">
      <c r="A106" s="15" t="str">
        <f>IF('实盘净值数据(iFinD公式)'!A106="","",'实盘净值数据(iFinD公式)'!A106)</f>
        <v/>
      </c>
      <c r="B106" s="13" t="str">
        <f>IF(OR('实盘净值数据(iFinD公式)'!$A106="",'实盘净值数据(iFinD公式)'!$B106=""),"",分期持仓明细!$AB$17*SUMPRODUCT(分期持仓明细!$B$17:$Y$17,'实盘净值数据(iFinD公式)'!$B106:$Y106/'实盘净值数据(iFinD公式)'!$B$20:$Y$20)*(1-实盘持仓配置!$AM$4)^(('实盘净值数据(iFinD公式)'!$A106-'实盘净值数据(iFinD公式)'!$A$6)/365))</f>
        <v/>
      </c>
      <c r="C106" s="16" t="str">
        <f t="shared" si="13"/>
        <v/>
      </c>
      <c r="D106" s="16" t="str">
        <f>IF(B106="","",B106/MAX(B$5:B106)-1)</f>
        <v/>
      </c>
      <c r="E106" s="13" t="str">
        <f>IF(OR('实盘净值数据(iFinD公式)'!$A106="",'实盘净值数据(iFinD公式)'!$B106=""),"",分期持仓明细!$AB$18*SUMPRODUCT(分期持仓明细!$B$18:$Y$18,'实盘净值数据(iFinD公式)'!$B106:$Y106/'实盘净值数据(iFinD公式)'!$B$20:$Y$20)*(1-实盘持仓配置!$AM$5)^(('实盘净值数据(iFinD公式)'!$A106-'实盘净值数据(iFinD公式)'!$A$5)/365))</f>
        <v/>
      </c>
      <c r="F106" s="16" t="str">
        <f t="shared" si="14"/>
        <v/>
      </c>
      <c r="G106" s="16" t="str">
        <f>IF(E106="","",E106/MAX(E$5:E106)-1)</f>
        <v/>
      </c>
      <c r="H106" s="13" t="str">
        <f>IF(OR('实盘净值数据(iFinD公式)'!$A106="",'实盘净值数据(iFinD公式)'!$B106=""),"",分期持仓明细!$AB$19*SUMPRODUCT(分期持仓明细!$B$19:$Y$19,'实盘净值数据(iFinD公式)'!$B106:$Y106/'实盘净值数据(iFinD公式)'!$B$20:$Y$20)*(1-实盘持仓配置!$AM$6)^(('实盘净值数据(iFinD公式)'!$A106-'实盘净值数据(iFinD公式)'!$A$7)/365))</f>
        <v/>
      </c>
      <c r="I106" s="16" t="str">
        <f t="shared" si="15"/>
        <v/>
      </c>
      <c r="J106" s="16" t="str">
        <f>IF(H106="","",H106/MAX(H$5:H106)-1)</f>
        <v/>
      </c>
      <c r="K106" s="13" t="str">
        <f>IF(OR('实盘净值数据(iFinD公式)'!$A106="",'实盘净值数据(iFinD公式)'!$B106="",'实盘净值数据(iFinD公式)'!$Z106="",'实盘净值数据(iFinD公式)'!$AA106=""),"",分期持仓明细!$AB$23*(SUMPRODUCT(分期持仓明细!$B$23:$Y$23,'实盘净值数据(iFinD公式)'!$B106:$Y106/'实盘净值数据(iFinD公式)'!$B$65:$Y$65)+SUMPRODUCT(分期持仓明细!$AC$23:$AD$23,'实盘净值数据(iFinD公式)'!$Z106:$AA106/'实盘净值数据(iFinD公式)'!$Z$65:$AA$65))*(1-实盘持仓配置!$AM$7)^(('实盘净值数据(iFinD公式)'!$A106-'实盘净值数据(iFinD公式)'!$A$8)/365))</f>
        <v/>
      </c>
      <c r="L106" s="16" t="str">
        <f t="shared" si="16"/>
        <v/>
      </c>
      <c r="M106" s="16" t="str">
        <f>IF(K106="","",K106/MAX(K$5:K106)-1)</f>
        <v/>
      </c>
      <c r="N106" s="13" t="str">
        <f>IF(OR('实盘净值数据(iFinD公式)'!$A106="",'实盘净值数据(iFinD公式)'!$B106="",'实盘净值数据(iFinD公式)'!$Z106="",'实盘净值数据(iFinD公式)'!$AA106=""),"",分期持仓明细!$AB$24*(SUMPRODUCT(分期持仓明细!$B$24:$Y$24,'实盘净值数据(iFinD公式)'!$B106:$Y106/'实盘净值数据(iFinD公式)'!$B$65:$Y$65)+SUMPRODUCT(分期持仓明细!$AC$24:$AD$24,'实盘净值数据(iFinD公式)'!$Z106:$AA106/'实盘净值数据(iFinD公式)'!$Z$65:$AA$65))*(1-实盘持仓配置!$AM$8)^(('实盘净值数据(iFinD公式)'!$A106-'实盘净值数据(iFinD公式)'!$A$5)/365))</f>
        <v/>
      </c>
      <c r="O106" s="16" t="str">
        <f t="shared" si="17"/>
        <v/>
      </c>
      <c r="P106" s="16" t="str">
        <f>IF(N106="","",N106/MAX(N$5:N106)-1)</f>
        <v/>
      </c>
      <c r="Q106" s="13" t="str">
        <f>IF(OR('实盘净值数据(iFinD公式)'!$A106="",'实盘净值数据(iFinD公式)'!$B106="",'实盘净值数据(iFinD公式)'!$Z106="",'实盘净值数据(iFinD公式)'!$AA106=""),"",分期持仓明细!$AB$25*(SUMPRODUCT(分期持仓明细!$B$25:$Y$25,'实盘净值数据(iFinD公式)'!$B106:$Y106/'实盘净值数据(iFinD公式)'!$B$65:$Y$65)+SUMPRODUCT(分期持仓明细!$AC$25:$AD$25,'实盘净值数据(iFinD公式)'!$Z106:$AA106/'实盘净值数据(iFinD公式)'!$Z$65:$AA$65))*(1-实盘持仓配置!$AM$9)^(('实盘净值数据(iFinD公式)'!$A106-'实盘净值数据(iFinD公式)'!$A$8)/365))</f>
        <v/>
      </c>
      <c r="R106" s="16" t="str">
        <f t="shared" si="18"/>
        <v/>
      </c>
      <c r="S106" s="16" t="str">
        <f>IF(Q106="","",Q106/MAX(Q$5:Q106)-1)</f>
        <v/>
      </c>
      <c r="T106" s="13" t="str">
        <f>IF(OR('实盘净值数据(iFinD公式)'!$A106="",'实盘净值数据(iFinD公式)'!$B106="",'实盘净值数据(iFinD公式)'!$Z106="",'实盘净值数据(iFinD公式)'!$AA106="",'实盘净值数据(iFinD公式)'!$AB106="",'实盘净值数据(iFinD公式)'!$AL106=""),"",(SUMPRODUCT(分期持仓明细!$B$26:$Y$26,'实盘净值数据(iFinD公式)'!$B106:$Y106/'实盘净值数据(iFinD公式)'!$B$69:$Y$69)+SUMPRODUCT(分期持仓明细!$AC$26:$AD$26,'实盘净值数据(iFinD公式)'!$Z106:$AA106/'实盘净值数据(iFinD公式)'!$Z$69:$AA$69)+SUMPRODUCT(分期持仓明细!$AE$26:$AO$26,'实盘净值数据(iFinD公式)'!$AB106:$AL106/'实盘净值数据(iFinD公式)'!$AB$69:$AL$69))*(1-实盘持仓配置!$AM$10)^(('实盘净值数据(iFinD公式)'!$A106-'实盘净值数据(iFinD公式)'!$A$69)/365))</f>
        <v/>
      </c>
      <c r="U106" s="16" t="str">
        <f t="shared" si="19"/>
        <v/>
      </c>
      <c r="V106" s="16" t="str">
        <f>IF(T106="","",T106/MAX(T$5:T106)-1)</f>
        <v/>
      </c>
    </row>
    <row r="107" spans="1:22">
      <c r="A107" s="15" t="str">
        <f>IF('实盘净值数据(iFinD公式)'!A107="","",'实盘净值数据(iFinD公式)'!A107)</f>
        <v/>
      </c>
      <c r="B107" s="13" t="str">
        <f>IF(OR('实盘净值数据(iFinD公式)'!$A107="",'实盘净值数据(iFinD公式)'!$B107=""),"",分期持仓明细!$AB$17*SUMPRODUCT(分期持仓明细!$B$17:$Y$17,'实盘净值数据(iFinD公式)'!$B107:$Y107/'实盘净值数据(iFinD公式)'!$B$20:$Y$20)*(1-实盘持仓配置!$AM$4)^(('实盘净值数据(iFinD公式)'!$A107-'实盘净值数据(iFinD公式)'!$A$6)/365))</f>
        <v/>
      </c>
      <c r="C107" s="16" t="str">
        <f t="shared" si="13"/>
        <v/>
      </c>
      <c r="D107" s="16" t="str">
        <f>IF(B107="","",B107/MAX(B$5:B107)-1)</f>
        <v/>
      </c>
      <c r="E107" s="13" t="str">
        <f>IF(OR('实盘净值数据(iFinD公式)'!$A107="",'实盘净值数据(iFinD公式)'!$B107=""),"",分期持仓明细!$AB$18*SUMPRODUCT(分期持仓明细!$B$18:$Y$18,'实盘净值数据(iFinD公式)'!$B107:$Y107/'实盘净值数据(iFinD公式)'!$B$20:$Y$20)*(1-实盘持仓配置!$AM$5)^(('实盘净值数据(iFinD公式)'!$A107-'实盘净值数据(iFinD公式)'!$A$5)/365))</f>
        <v/>
      </c>
      <c r="F107" s="16" t="str">
        <f t="shared" si="14"/>
        <v/>
      </c>
      <c r="G107" s="16" t="str">
        <f>IF(E107="","",E107/MAX(E$5:E107)-1)</f>
        <v/>
      </c>
      <c r="H107" s="13" t="str">
        <f>IF(OR('实盘净值数据(iFinD公式)'!$A107="",'实盘净值数据(iFinD公式)'!$B107=""),"",分期持仓明细!$AB$19*SUMPRODUCT(分期持仓明细!$B$19:$Y$19,'实盘净值数据(iFinD公式)'!$B107:$Y107/'实盘净值数据(iFinD公式)'!$B$20:$Y$20)*(1-实盘持仓配置!$AM$6)^(('实盘净值数据(iFinD公式)'!$A107-'实盘净值数据(iFinD公式)'!$A$7)/365))</f>
        <v/>
      </c>
      <c r="I107" s="16" t="str">
        <f t="shared" si="15"/>
        <v/>
      </c>
      <c r="J107" s="16" t="str">
        <f>IF(H107="","",H107/MAX(H$5:H107)-1)</f>
        <v/>
      </c>
      <c r="K107" s="13" t="str">
        <f>IF(OR('实盘净值数据(iFinD公式)'!$A107="",'实盘净值数据(iFinD公式)'!$B107="",'实盘净值数据(iFinD公式)'!$Z107="",'实盘净值数据(iFinD公式)'!$AA107=""),"",分期持仓明细!$AB$23*(SUMPRODUCT(分期持仓明细!$B$23:$Y$23,'实盘净值数据(iFinD公式)'!$B107:$Y107/'实盘净值数据(iFinD公式)'!$B$65:$Y$65)+SUMPRODUCT(分期持仓明细!$AC$23:$AD$23,'实盘净值数据(iFinD公式)'!$Z107:$AA107/'实盘净值数据(iFinD公式)'!$Z$65:$AA$65))*(1-实盘持仓配置!$AM$7)^(('实盘净值数据(iFinD公式)'!$A107-'实盘净值数据(iFinD公式)'!$A$8)/365))</f>
        <v/>
      </c>
      <c r="L107" s="16" t="str">
        <f t="shared" si="16"/>
        <v/>
      </c>
      <c r="M107" s="16" t="str">
        <f>IF(K107="","",K107/MAX(K$5:K107)-1)</f>
        <v/>
      </c>
      <c r="N107" s="13" t="str">
        <f>IF(OR('实盘净值数据(iFinD公式)'!$A107="",'实盘净值数据(iFinD公式)'!$B107="",'实盘净值数据(iFinD公式)'!$Z107="",'实盘净值数据(iFinD公式)'!$AA107=""),"",分期持仓明细!$AB$24*(SUMPRODUCT(分期持仓明细!$B$24:$Y$24,'实盘净值数据(iFinD公式)'!$B107:$Y107/'实盘净值数据(iFinD公式)'!$B$65:$Y$65)+SUMPRODUCT(分期持仓明细!$AC$24:$AD$24,'实盘净值数据(iFinD公式)'!$Z107:$AA107/'实盘净值数据(iFinD公式)'!$Z$65:$AA$65))*(1-实盘持仓配置!$AM$8)^(('实盘净值数据(iFinD公式)'!$A107-'实盘净值数据(iFinD公式)'!$A$5)/365))</f>
        <v/>
      </c>
      <c r="O107" s="16" t="str">
        <f t="shared" si="17"/>
        <v/>
      </c>
      <c r="P107" s="16" t="str">
        <f>IF(N107="","",N107/MAX(N$5:N107)-1)</f>
        <v/>
      </c>
      <c r="Q107" s="13" t="str">
        <f>IF(OR('实盘净值数据(iFinD公式)'!$A107="",'实盘净值数据(iFinD公式)'!$B107="",'实盘净值数据(iFinD公式)'!$Z107="",'实盘净值数据(iFinD公式)'!$AA107=""),"",分期持仓明细!$AB$25*(SUMPRODUCT(分期持仓明细!$B$25:$Y$25,'实盘净值数据(iFinD公式)'!$B107:$Y107/'实盘净值数据(iFinD公式)'!$B$65:$Y$65)+SUMPRODUCT(分期持仓明细!$AC$25:$AD$25,'实盘净值数据(iFinD公式)'!$Z107:$AA107/'实盘净值数据(iFinD公式)'!$Z$65:$AA$65))*(1-实盘持仓配置!$AM$9)^(('实盘净值数据(iFinD公式)'!$A107-'实盘净值数据(iFinD公式)'!$A$8)/365))</f>
        <v/>
      </c>
      <c r="R107" s="16" t="str">
        <f t="shared" si="18"/>
        <v/>
      </c>
      <c r="S107" s="16" t="str">
        <f>IF(Q107="","",Q107/MAX(Q$5:Q107)-1)</f>
        <v/>
      </c>
      <c r="T107" s="13" t="str">
        <f>IF(OR('实盘净值数据(iFinD公式)'!$A107="",'实盘净值数据(iFinD公式)'!$B107="",'实盘净值数据(iFinD公式)'!$Z107="",'实盘净值数据(iFinD公式)'!$AA107="",'实盘净值数据(iFinD公式)'!$AB107="",'实盘净值数据(iFinD公式)'!$AL107=""),"",(SUMPRODUCT(分期持仓明细!$B$26:$Y$26,'实盘净值数据(iFinD公式)'!$B107:$Y107/'实盘净值数据(iFinD公式)'!$B$69:$Y$69)+SUMPRODUCT(分期持仓明细!$AC$26:$AD$26,'实盘净值数据(iFinD公式)'!$Z107:$AA107/'实盘净值数据(iFinD公式)'!$Z$69:$AA$69)+SUMPRODUCT(分期持仓明细!$AE$26:$AO$26,'实盘净值数据(iFinD公式)'!$AB107:$AL107/'实盘净值数据(iFinD公式)'!$AB$69:$AL$69))*(1-实盘持仓配置!$AM$10)^(('实盘净值数据(iFinD公式)'!$A107-'实盘净值数据(iFinD公式)'!$A$69)/365))</f>
        <v/>
      </c>
      <c r="U107" s="16" t="str">
        <f t="shared" si="19"/>
        <v/>
      </c>
      <c r="V107" s="16" t="str">
        <f>IF(T107="","",T107/MAX(T$5:T107)-1)</f>
        <v/>
      </c>
    </row>
    <row r="108" spans="1:22">
      <c r="A108" s="15" t="str">
        <f>IF('实盘净值数据(iFinD公式)'!A108="","",'实盘净值数据(iFinD公式)'!A108)</f>
        <v/>
      </c>
      <c r="B108" s="13" t="str">
        <f>IF(OR('实盘净值数据(iFinD公式)'!$A108="",'实盘净值数据(iFinD公式)'!$B108=""),"",分期持仓明细!$AB$17*SUMPRODUCT(分期持仓明细!$B$17:$Y$17,'实盘净值数据(iFinD公式)'!$B108:$Y108/'实盘净值数据(iFinD公式)'!$B$20:$Y$20)*(1-实盘持仓配置!$AM$4)^(('实盘净值数据(iFinD公式)'!$A108-'实盘净值数据(iFinD公式)'!$A$6)/365))</f>
        <v/>
      </c>
      <c r="C108" s="16" t="str">
        <f t="shared" si="13"/>
        <v/>
      </c>
      <c r="D108" s="16" t="str">
        <f>IF(B108="","",B108/MAX(B$5:B108)-1)</f>
        <v/>
      </c>
      <c r="E108" s="13" t="str">
        <f>IF(OR('实盘净值数据(iFinD公式)'!$A108="",'实盘净值数据(iFinD公式)'!$B108=""),"",分期持仓明细!$AB$18*SUMPRODUCT(分期持仓明细!$B$18:$Y$18,'实盘净值数据(iFinD公式)'!$B108:$Y108/'实盘净值数据(iFinD公式)'!$B$20:$Y$20)*(1-实盘持仓配置!$AM$5)^(('实盘净值数据(iFinD公式)'!$A108-'实盘净值数据(iFinD公式)'!$A$5)/365))</f>
        <v/>
      </c>
      <c r="F108" s="16" t="str">
        <f t="shared" si="14"/>
        <v/>
      </c>
      <c r="G108" s="16" t="str">
        <f>IF(E108="","",E108/MAX(E$5:E108)-1)</f>
        <v/>
      </c>
      <c r="H108" s="13" t="str">
        <f>IF(OR('实盘净值数据(iFinD公式)'!$A108="",'实盘净值数据(iFinD公式)'!$B108=""),"",分期持仓明细!$AB$19*SUMPRODUCT(分期持仓明细!$B$19:$Y$19,'实盘净值数据(iFinD公式)'!$B108:$Y108/'实盘净值数据(iFinD公式)'!$B$20:$Y$20)*(1-实盘持仓配置!$AM$6)^(('实盘净值数据(iFinD公式)'!$A108-'实盘净值数据(iFinD公式)'!$A$7)/365))</f>
        <v/>
      </c>
      <c r="I108" s="16" t="str">
        <f t="shared" si="15"/>
        <v/>
      </c>
      <c r="J108" s="16" t="str">
        <f>IF(H108="","",H108/MAX(H$5:H108)-1)</f>
        <v/>
      </c>
      <c r="K108" s="13" t="str">
        <f>IF(OR('实盘净值数据(iFinD公式)'!$A108="",'实盘净值数据(iFinD公式)'!$B108="",'实盘净值数据(iFinD公式)'!$Z108="",'实盘净值数据(iFinD公式)'!$AA108=""),"",分期持仓明细!$AB$23*(SUMPRODUCT(分期持仓明细!$B$23:$Y$23,'实盘净值数据(iFinD公式)'!$B108:$Y108/'实盘净值数据(iFinD公式)'!$B$65:$Y$65)+SUMPRODUCT(分期持仓明细!$AC$23:$AD$23,'实盘净值数据(iFinD公式)'!$Z108:$AA108/'实盘净值数据(iFinD公式)'!$Z$65:$AA$65))*(1-实盘持仓配置!$AM$7)^(('实盘净值数据(iFinD公式)'!$A108-'实盘净值数据(iFinD公式)'!$A$8)/365))</f>
        <v/>
      </c>
      <c r="L108" s="16" t="str">
        <f t="shared" si="16"/>
        <v/>
      </c>
      <c r="M108" s="16" t="str">
        <f>IF(K108="","",K108/MAX(K$5:K108)-1)</f>
        <v/>
      </c>
      <c r="N108" s="13" t="str">
        <f>IF(OR('实盘净值数据(iFinD公式)'!$A108="",'实盘净值数据(iFinD公式)'!$B108="",'实盘净值数据(iFinD公式)'!$Z108="",'实盘净值数据(iFinD公式)'!$AA108=""),"",分期持仓明细!$AB$24*(SUMPRODUCT(分期持仓明细!$B$24:$Y$24,'实盘净值数据(iFinD公式)'!$B108:$Y108/'实盘净值数据(iFinD公式)'!$B$65:$Y$65)+SUMPRODUCT(分期持仓明细!$AC$24:$AD$24,'实盘净值数据(iFinD公式)'!$Z108:$AA108/'实盘净值数据(iFinD公式)'!$Z$65:$AA$65))*(1-实盘持仓配置!$AM$8)^(('实盘净值数据(iFinD公式)'!$A108-'实盘净值数据(iFinD公式)'!$A$5)/365))</f>
        <v/>
      </c>
      <c r="O108" s="16" t="str">
        <f t="shared" si="17"/>
        <v/>
      </c>
      <c r="P108" s="16" t="str">
        <f>IF(N108="","",N108/MAX(N$5:N108)-1)</f>
        <v/>
      </c>
      <c r="Q108" s="13" t="str">
        <f>IF(OR('实盘净值数据(iFinD公式)'!$A108="",'实盘净值数据(iFinD公式)'!$B108="",'实盘净值数据(iFinD公式)'!$Z108="",'实盘净值数据(iFinD公式)'!$AA108=""),"",分期持仓明细!$AB$25*(SUMPRODUCT(分期持仓明细!$B$25:$Y$25,'实盘净值数据(iFinD公式)'!$B108:$Y108/'实盘净值数据(iFinD公式)'!$B$65:$Y$65)+SUMPRODUCT(分期持仓明细!$AC$25:$AD$25,'实盘净值数据(iFinD公式)'!$Z108:$AA108/'实盘净值数据(iFinD公式)'!$Z$65:$AA$65))*(1-实盘持仓配置!$AM$9)^(('实盘净值数据(iFinD公式)'!$A108-'实盘净值数据(iFinD公式)'!$A$8)/365))</f>
        <v/>
      </c>
      <c r="R108" s="16" t="str">
        <f t="shared" si="18"/>
        <v/>
      </c>
      <c r="S108" s="16" t="str">
        <f>IF(Q108="","",Q108/MAX(Q$5:Q108)-1)</f>
        <v/>
      </c>
      <c r="T108" s="13" t="str">
        <f>IF(OR('实盘净值数据(iFinD公式)'!$A108="",'实盘净值数据(iFinD公式)'!$B108="",'实盘净值数据(iFinD公式)'!$Z108="",'实盘净值数据(iFinD公式)'!$AA108="",'实盘净值数据(iFinD公式)'!$AB108="",'实盘净值数据(iFinD公式)'!$AL108=""),"",(SUMPRODUCT(分期持仓明细!$B$26:$Y$26,'实盘净值数据(iFinD公式)'!$B108:$Y108/'实盘净值数据(iFinD公式)'!$B$69:$Y$69)+SUMPRODUCT(分期持仓明细!$AC$26:$AD$26,'实盘净值数据(iFinD公式)'!$Z108:$AA108/'实盘净值数据(iFinD公式)'!$Z$69:$AA$69)+SUMPRODUCT(分期持仓明细!$AE$26:$AO$26,'实盘净值数据(iFinD公式)'!$AB108:$AL108/'实盘净值数据(iFinD公式)'!$AB$69:$AL$69))*(1-实盘持仓配置!$AM$10)^(('实盘净值数据(iFinD公式)'!$A108-'实盘净值数据(iFinD公式)'!$A$69)/365))</f>
        <v/>
      </c>
      <c r="U108" s="16" t="str">
        <f t="shared" si="19"/>
        <v/>
      </c>
      <c r="V108" s="16" t="str">
        <f>IF(T108="","",T108/MAX(T$5:T108)-1)</f>
        <v/>
      </c>
    </row>
    <row r="109" spans="1:22">
      <c r="A109" s="15" t="str">
        <f>IF('实盘净值数据(iFinD公式)'!A109="","",'实盘净值数据(iFinD公式)'!A109)</f>
        <v/>
      </c>
      <c r="B109" s="13" t="str">
        <f>IF(OR('实盘净值数据(iFinD公式)'!$A109="",'实盘净值数据(iFinD公式)'!$B109=""),"",分期持仓明细!$AB$17*SUMPRODUCT(分期持仓明细!$B$17:$Y$17,'实盘净值数据(iFinD公式)'!$B109:$Y109/'实盘净值数据(iFinD公式)'!$B$20:$Y$20)*(1-实盘持仓配置!$AM$4)^(('实盘净值数据(iFinD公式)'!$A109-'实盘净值数据(iFinD公式)'!$A$6)/365))</f>
        <v/>
      </c>
      <c r="C109" s="16" t="str">
        <f t="shared" si="13"/>
        <v/>
      </c>
      <c r="D109" s="16" t="str">
        <f>IF(B109="","",B109/MAX(B$5:B109)-1)</f>
        <v/>
      </c>
      <c r="E109" s="13" t="str">
        <f>IF(OR('实盘净值数据(iFinD公式)'!$A109="",'实盘净值数据(iFinD公式)'!$B109=""),"",分期持仓明细!$AB$18*SUMPRODUCT(分期持仓明细!$B$18:$Y$18,'实盘净值数据(iFinD公式)'!$B109:$Y109/'实盘净值数据(iFinD公式)'!$B$20:$Y$20)*(1-实盘持仓配置!$AM$5)^(('实盘净值数据(iFinD公式)'!$A109-'实盘净值数据(iFinD公式)'!$A$5)/365))</f>
        <v/>
      </c>
      <c r="F109" s="16" t="str">
        <f t="shared" si="14"/>
        <v/>
      </c>
      <c r="G109" s="16" t="str">
        <f>IF(E109="","",E109/MAX(E$5:E109)-1)</f>
        <v/>
      </c>
      <c r="H109" s="13" t="str">
        <f>IF(OR('实盘净值数据(iFinD公式)'!$A109="",'实盘净值数据(iFinD公式)'!$B109=""),"",分期持仓明细!$AB$19*SUMPRODUCT(分期持仓明细!$B$19:$Y$19,'实盘净值数据(iFinD公式)'!$B109:$Y109/'实盘净值数据(iFinD公式)'!$B$20:$Y$20)*(1-实盘持仓配置!$AM$6)^(('实盘净值数据(iFinD公式)'!$A109-'实盘净值数据(iFinD公式)'!$A$7)/365))</f>
        <v/>
      </c>
      <c r="I109" s="16" t="str">
        <f t="shared" si="15"/>
        <v/>
      </c>
      <c r="J109" s="16" t="str">
        <f>IF(H109="","",H109/MAX(H$5:H109)-1)</f>
        <v/>
      </c>
      <c r="K109" s="13" t="str">
        <f>IF(OR('实盘净值数据(iFinD公式)'!$A109="",'实盘净值数据(iFinD公式)'!$B109="",'实盘净值数据(iFinD公式)'!$Z109="",'实盘净值数据(iFinD公式)'!$AA109=""),"",分期持仓明细!$AB$23*(SUMPRODUCT(分期持仓明细!$B$23:$Y$23,'实盘净值数据(iFinD公式)'!$B109:$Y109/'实盘净值数据(iFinD公式)'!$B$65:$Y$65)+SUMPRODUCT(分期持仓明细!$AC$23:$AD$23,'实盘净值数据(iFinD公式)'!$Z109:$AA109/'实盘净值数据(iFinD公式)'!$Z$65:$AA$65))*(1-实盘持仓配置!$AM$7)^(('实盘净值数据(iFinD公式)'!$A109-'实盘净值数据(iFinD公式)'!$A$8)/365))</f>
        <v/>
      </c>
      <c r="L109" s="16" t="str">
        <f t="shared" si="16"/>
        <v/>
      </c>
      <c r="M109" s="16" t="str">
        <f>IF(K109="","",K109/MAX(K$5:K109)-1)</f>
        <v/>
      </c>
      <c r="N109" s="13" t="str">
        <f>IF(OR('实盘净值数据(iFinD公式)'!$A109="",'实盘净值数据(iFinD公式)'!$B109="",'实盘净值数据(iFinD公式)'!$Z109="",'实盘净值数据(iFinD公式)'!$AA109=""),"",分期持仓明细!$AB$24*(SUMPRODUCT(分期持仓明细!$B$24:$Y$24,'实盘净值数据(iFinD公式)'!$B109:$Y109/'实盘净值数据(iFinD公式)'!$B$65:$Y$65)+SUMPRODUCT(分期持仓明细!$AC$24:$AD$24,'实盘净值数据(iFinD公式)'!$Z109:$AA109/'实盘净值数据(iFinD公式)'!$Z$65:$AA$65))*(1-实盘持仓配置!$AM$8)^(('实盘净值数据(iFinD公式)'!$A109-'实盘净值数据(iFinD公式)'!$A$5)/365))</f>
        <v/>
      </c>
      <c r="O109" s="16" t="str">
        <f t="shared" si="17"/>
        <v/>
      </c>
      <c r="P109" s="16" t="str">
        <f>IF(N109="","",N109/MAX(N$5:N109)-1)</f>
        <v/>
      </c>
      <c r="Q109" s="13" t="str">
        <f>IF(OR('实盘净值数据(iFinD公式)'!$A109="",'实盘净值数据(iFinD公式)'!$B109="",'实盘净值数据(iFinD公式)'!$Z109="",'实盘净值数据(iFinD公式)'!$AA109=""),"",分期持仓明细!$AB$25*(SUMPRODUCT(分期持仓明细!$B$25:$Y$25,'实盘净值数据(iFinD公式)'!$B109:$Y109/'实盘净值数据(iFinD公式)'!$B$65:$Y$65)+SUMPRODUCT(分期持仓明细!$AC$25:$AD$25,'实盘净值数据(iFinD公式)'!$Z109:$AA109/'实盘净值数据(iFinD公式)'!$Z$65:$AA$65))*(1-实盘持仓配置!$AM$9)^(('实盘净值数据(iFinD公式)'!$A109-'实盘净值数据(iFinD公式)'!$A$8)/365))</f>
        <v/>
      </c>
      <c r="R109" s="16" t="str">
        <f t="shared" si="18"/>
        <v/>
      </c>
      <c r="S109" s="16" t="str">
        <f>IF(Q109="","",Q109/MAX(Q$5:Q109)-1)</f>
        <v/>
      </c>
      <c r="T109" s="13" t="str">
        <f>IF(OR('实盘净值数据(iFinD公式)'!$A109="",'实盘净值数据(iFinD公式)'!$B109="",'实盘净值数据(iFinD公式)'!$Z109="",'实盘净值数据(iFinD公式)'!$AA109="",'实盘净值数据(iFinD公式)'!$AB109="",'实盘净值数据(iFinD公式)'!$AL109=""),"",(SUMPRODUCT(分期持仓明细!$B$26:$Y$26,'实盘净值数据(iFinD公式)'!$B109:$Y109/'实盘净值数据(iFinD公式)'!$B$69:$Y$69)+SUMPRODUCT(分期持仓明细!$AC$26:$AD$26,'实盘净值数据(iFinD公式)'!$Z109:$AA109/'实盘净值数据(iFinD公式)'!$Z$69:$AA$69)+SUMPRODUCT(分期持仓明细!$AE$26:$AO$26,'实盘净值数据(iFinD公式)'!$AB109:$AL109/'实盘净值数据(iFinD公式)'!$AB$69:$AL$69))*(1-实盘持仓配置!$AM$10)^(('实盘净值数据(iFinD公式)'!$A109-'实盘净值数据(iFinD公式)'!$A$69)/365))</f>
        <v/>
      </c>
      <c r="U109" s="16" t="str">
        <f t="shared" si="19"/>
        <v/>
      </c>
      <c r="V109" s="16" t="str">
        <f>IF(T109="","",T109/MAX(T$5:T109)-1)</f>
        <v/>
      </c>
    </row>
    <row r="110" spans="1:22">
      <c r="A110" s="15" t="str">
        <f>IF('实盘净值数据(iFinD公式)'!A110="","",'实盘净值数据(iFinD公式)'!A110)</f>
        <v/>
      </c>
      <c r="B110" s="13" t="str">
        <f>IF(OR('实盘净值数据(iFinD公式)'!$A110="",'实盘净值数据(iFinD公式)'!$B110=""),"",分期持仓明细!$AB$17*SUMPRODUCT(分期持仓明细!$B$17:$Y$17,'实盘净值数据(iFinD公式)'!$B110:$Y110/'实盘净值数据(iFinD公式)'!$B$20:$Y$20)*(1-实盘持仓配置!$AM$4)^(('实盘净值数据(iFinD公式)'!$A110-'实盘净值数据(iFinD公式)'!$A$6)/365))</f>
        <v/>
      </c>
      <c r="C110" s="16" t="str">
        <f t="shared" si="13"/>
        <v/>
      </c>
      <c r="D110" s="16" t="str">
        <f>IF(B110="","",B110/MAX(B$5:B110)-1)</f>
        <v/>
      </c>
      <c r="E110" s="13" t="str">
        <f>IF(OR('实盘净值数据(iFinD公式)'!$A110="",'实盘净值数据(iFinD公式)'!$B110=""),"",分期持仓明细!$AB$18*SUMPRODUCT(分期持仓明细!$B$18:$Y$18,'实盘净值数据(iFinD公式)'!$B110:$Y110/'实盘净值数据(iFinD公式)'!$B$20:$Y$20)*(1-实盘持仓配置!$AM$5)^(('实盘净值数据(iFinD公式)'!$A110-'实盘净值数据(iFinD公式)'!$A$5)/365))</f>
        <v/>
      </c>
      <c r="F110" s="16" t="str">
        <f t="shared" si="14"/>
        <v/>
      </c>
      <c r="G110" s="16" t="str">
        <f>IF(E110="","",E110/MAX(E$5:E110)-1)</f>
        <v/>
      </c>
      <c r="H110" s="13" t="str">
        <f>IF(OR('实盘净值数据(iFinD公式)'!$A110="",'实盘净值数据(iFinD公式)'!$B110=""),"",分期持仓明细!$AB$19*SUMPRODUCT(分期持仓明细!$B$19:$Y$19,'实盘净值数据(iFinD公式)'!$B110:$Y110/'实盘净值数据(iFinD公式)'!$B$20:$Y$20)*(1-实盘持仓配置!$AM$6)^(('实盘净值数据(iFinD公式)'!$A110-'实盘净值数据(iFinD公式)'!$A$7)/365))</f>
        <v/>
      </c>
      <c r="I110" s="16" t="str">
        <f t="shared" si="15"/>
        <v/>
      </c>
      <c r="J110" s="16" t="str">
        <f>IF(H110="","",H110/MAX(H$5:H110)-1)</f>
        <v/>
      </c>
      <c r="K110" s="13" t="str">
        <f>IF(OR('实盘净值数据(iFinD公式)'!$A110="",'实盘净值数据(iFinD公式)'!$B110="",'实盘净值数据(iFinD公式)'!$Z110="",'实盘净值数据(iFinD公式)'!$AA110=""),"",分期持仓明细!$AB$23*(SUMPRODUCT(分期持仓明细!$B$23:$Y$23,'实盘净值数据(iFinD公式)'!$B110:$Y110/'实盘净值数据(iFinD公式)'!$B$65:$Y$65)+SUMPRODUCT(分期持仓明细!$AC$23:$AD$23,'实盘净值数据(iFinD公式)'!$Z110:$AA110/'实盘净值数据(iFinD公式)'!$Z$65:$AA$65))*(1-实盘持仓配置!$AM$7)^(('实盘净值数据(iFinD公式)'!$A110-'实盘净值数据(iFinD公式)'!$A$8)/365))</f>
        <v/>
      </c>
      <c r="L110" s="16" t="str">
        <f t="shared" si="16"/>
        <v/>
      </c>
      <c r="M110" s="16" t="str">
        <f>IF(K110="","",K110/MAX(K$5:K110)-1)</f>
        <v/>
      </c>
      <c r="N110" s="13" t="str">
        <f>IF(OR('实盘净值数据(iFinD公式)'!$A110="",'实盘净值数据(iFinD公式)'!$B110="",'实盘净值数据(iFinD公式)'!$Z110="",'实盘净值数据(iFinD公式)'!$AA110=""),"",分期持仓明细!$AB$24*(SUMPRODUCT(分期持仓明细!$B$24:$Y$24,'实盘净值数据(iFinD公式)'!$B110:$Y110/'实盘净值数据(iFinD公式)'!$B$65:$Y$65)+SUMPRODUCT(分期持仓明细!$AC$24:$AD$24,'实盘净值数据(iFinD公式)'!$Z110:$AA110/'实盘净值数据(iFinD公式)'!$Z$65:$AA$65))*(1-实盘持仓配置!$AM$8)^(('实盘净值数据(iFinD公式)'!$A110-'实盘净值数据(iFinD公式)'!$A$5)/365))</f>
        <v/>
      </c>
      <c r="O110" s="16" t="str">
        <f t="shared" si="17"/>
        <v/>
      </c>
      <c r="P110" s="16" t="str">
        <f>IF(N110="","",N110/MAX(N$5:N110)-1)</f>
        <v/>
      </c>
      <c r="Q110" s="13" t="str">
        <f>IF(OR('实盘净值数据(iFinD公式)'!$A110="",'实盘净值数据(iFinD公式)'!$B110="",'实盘净值数据(iFinD公式)'!$Z110="",'实盘净值数据(iFinD公式)'!$AA110=""),"",分期持仓明细!$AB$25*(SUMPRODUCT(分期持仓明细!$B$25:$Y$25,'实盘净值数据(iFinD公式)'!$B110:$Y110/'实盘净值数据(iFinD公式)'!$B$65:$Y$65)+SUMPRODUCT(分期持仓明细!$AC$25:$AD$25,'实盘净值数据(iFinD公式)'!$Z110:$AA110/'实盘净值数据(iFinD公式)'!$Z$65:$AA$65))*(1-实盘持仓配置!$AM$9)^(('实盘净值数据(iFinD公式)'!$A110-'实盘净值数据(iFinD公式)'!$A$8)/365))</f>
        <v/>
      </c>
      <c r="R110" s="16" t="str">
        <f t="shared" si="18"/>
        <v/>
      </c>
      <c r="S110" s="16" t="str">
        <f>IF(Q110="","",Q110/MAX(Q$5:Q110)-1)</f>
        <v/>
      </c>
      <c r="T110" s="13" t="str">
        <f>IF(OR('实盘净值数据(iFinD公式)'!$A110="",'实盘净值数据(iFinD公式)'!$B110="",'实盘净值数据(iFinD公式)'!$Z110="",'实盘净值数据(iFinD公式)'!$AA110="",'实盘净值数据(iFinD公式)'!$AB110="",'实盘净值数据(iFinD公式)'!$AL110=""),"",(SUMPRODUCT(分期持仓明细!$B$26:$Y$26,'实盘净值数据(iFinD公式)'!$B110:$Y110/'实盘净值数据(iFinD公式)'!$B$69:$Y$69)+SUMPRODUCT(分期持仓明细!$AC$26:$AD$26,'实盘净值数据(iFinD公式)'!$Z110:$AA110/'实盘净值数据(iFinD公式)'!$Z$69:$AA$69)+SUMPRODUCT(分期持仓明细!$AE$26:$AO$26,'实盘净值数据(iFinD公式)'!$AB110:$AL110/'实盘净值数据(iFinD公式)'!$AB$69:$AL$69))*(1-实盘持仓配置!$AM$10)^(('实盘净值数据(iFinD公式)'!$A110-'实盘净值数据(iFinD公式)'!$A$69)/365))</f>
        <v/>
      </c>
      <c r="U110" s="16" t="str">
        <f t="shared" si="19"/>
        <v/>
      </c>
      <c r="V110" s="16" t="str">
        <f>IF(T110="","",T110/MAX(T$5:T110)-1)</f>
        <v/>
      </c>
    </row>
    <row r="111" spans="1:22">
      <c r="A111" s="15" t="str">
        <f>IF('实盘净值数据(iFinD公式)'!A111="","",'实盘净值数据(iFinD公式)'!A111)</f>
        <v/>
      </c>
      <c r="B111" s="13" t="str">
        <f>IF(OR('实盘净值数据(iFinD公式)'!$A111="",'实盘净值数据(iFinD公式)'!$B111=""),"",分期持仓明细!$AB$17*SUMPRODUCT(分期持仓明细!$B$17:$Y$17,'实盘净值数据(iFinD公式)'!$B111:$Y111/'实盘净值数据(iFinD公式)'!$B$20:$Y$20)*(1-实盘持仓配置!$AM$4)^(('实盘净值数据(iFinD公式)'!$A111-'实盘净值数据(iFinD公式)'!$A$6)/365))</f>
        <v/>
      </c>
      <c r="C111" s="16" t="str">
        <f t="shared" si="13"/>
        <v/>
      </c>
      <c r="D111" s="16" t="str">
        <f>IF(B111="","",B111/MAX(B$5:B111)-1)</f>
        <v/>
      </c>
      <c r="E111" s="13" t="str">
        <f>IF(OR('实盘净值数据(iFinD公式)'!$A111="",'实盘净值数据(iFinD公式)'!$B111=""),"",分期持仓明细!$AB$18*SUMPRODUCT(分期持仓明细!$B$18:$Y$18,'实盘净值数据(iFinD公式)'!$B111:$Y111/'实盘净值数据(iFinD公式)'!$B$20:$Y$20)*(1-实盘持仓配置!$AM$5)^(('实盘净值数据(iFinD公式)'!$A111-'实盘净值数据(iFinD公式)'!$A$5)/365))</f>
        <v/>
      </c>
      <c r="F111" s="16" t="str">
        <f t="shared" si="14"/>
        <v/>
      </c>
      <c r="G111" s="16" t="str">
        <f>IF(E111="","",E111/MAX(E$5:E111)-1)</f>
        <v/>
      </c>
      <c r="H111" s="13" t="str">
        <f>IF(OR('实盘净值数据(iFinD公式)'!$A111="",'实盘净值数据(iFinD公式)'!$B111=""),"",分期持仓明细!$AB$19*SUMPRODUCT(分期持仓明细!$B$19:$Y$19,'实盘净值数据(iFinD公式)'!$B111:$Y111/'实盘净值数据(iFinD公式)'!$B$20:$Y$20)*(1-实盘持仓配置!$AM$6)^(('实盘净值数据(iFinD公式)'!$A111-'实盘净值数据(iFinD公式)'!$A$7)/365))</f>
        <v/>
      </c>
      <c r="I111" s="16" t="str">
        <f t="shared" si="15"/>
        <v/>
      </c>
      <c r="J111" s="16" t="str">
        <f>IF(H111="","",H111/MAX(H$5:H111)-1)</f>
        <v/>
      </c>
      <c r="K111" s="13" t="str">
        <f>IF(OR('实盘净值数据(iFinD公式)'!$A111="",'实盘净值数据(iFinD公式)'!$B111="",'实盘净值数据(iFinD公式)'!$Z111="",'实盘净值数据(iFinD公式)'!$AA111=""),"",分期持仓明细!$AB$23*(SUMPRODUCT(分期持仓明细!$B$23:$Y$23,'实盘净值数据(iFinD公式)'!$B111:$Y111/'实盘净值数据(iFinD公式)'!$B$65:$Y$65)+SUMPRODUCT(分期持仓明细!$AC$23:$AD$23,'实盘净值数据(iFinD公式)'!$Z111:$AA111/'实盘净值数据(iFinD公式)'!$Z$65:$AA$65))*(1-实盘持仓配置!$AM$7)^(('实盘净值数据(iFinD公式)'!$A111-'实盘净值数据(iFinD公式)'!$A$8)/365))</f>
        <v/>
      </c>
      <c r="L111" s="16" t="str">
        <f t="shared" si="16"/>
        <v/>
      </c>
      <c r="M111" s="16" t="str">
        <f>IF(K111="","",K111/MAX(K$5:K111)-1)</f>
        <v/>
      </c>
      <c r="N111" s="13" t="str">
        <f>IF(OR('实盘净值数据(iFinD公式)'!$A111="",'实盘净值数据(iFinD公式)'!$B111="",'实盘净值数据(iFinD公式)'!$Z111="",'实盘净值数据(iFinD公式)'!$AA111=""),"",分期持仓明细!$AB$24*(SUMPRODUCT(分期持仓明细!$B$24:$Y$24,'实盘净值数据(iFinD公式)'!$B111:$Y111/'实盘净值数据(iFinD公式)'!$B$65:$Y$65)+SUMPRODUCT(分期持仓明细!$AC$24:$AD$24,'实盘净值数据(iFinD公式)'!$Z111:$AA111/'实盘净值数据(iFinD公式)'!$Z$65:$AA$65))*(1-实盘持仓配置!$AM$8)^(('实盘净值数据(iFinD公式)'!$A111-'实盘净值数据(iFinD公式)'!$A$5)/365))</f>
        <v/>
      </c>
      <c r="O111" s="16" t="str">
        <f t="shared" si="17"/>
        <v/>
      </c>
      <c r="P111" s="16" t="str">
        <f>IF(N111="","",N111/MAX(N$5:N111)-1)</f>
        <v/>
      </c>
      <c r="Q111" s="13" t="str">
        <f>IF(OR('实盘净值数据(iFinD公式)'!$A111="",'实盘净值数据(iFinD公式)'!$B111="",'实盘净值数据(iFinD公式)'!$Z111="",'实盘净值数据(iFinD公式)'!$AA111=""),"",分期持仓明细!$AB$25*(SUMPRODUCT(分期持仓明细!$B$25:$Y$25,'实盘净值数据(iFinD公式)'!$B111:$Y111/'实盘净值数据(iFinD公式)'!$B$65:$Y$65)+SUMPRODUCT(分期持仓明细!$AC$25:$AD$25,'实盘净值数据(iFinD公式)'!$Z111:$AA111/'实盘净值数据(iFinD公式)'!$Z$65:$AA$65))*(1-实盘持仓配置!$AM$9)^(('实盘净值数据(iFinD公式)'!$A111-'实盘净值数据(iFinD公式)'!$A$8)/365))</f>
        <v/>
      </c>
      <c r="R111" s="16" t="str">
        <f t="shared" si="18"/>
        <v/>
      </c>
      <c r="S111" s="16" t="str">
        <f>IF(Q111="","",Q111/MAX(Q$5:Q111)-1)</f>
        <v/>
      </c>
      <c r="T111" s="13" t="str">
        <f>IF(OR('实盘净值数据(iFinD公式)'!$A111="",'实盘净值数据(iFinD公式)'!$B111="",'实盘净值数据(iFinD公式)'!$Z111="",'实盘净值数据(iFinD公式)'!$AA111="",'实盘净值数据(iFinD公式)'!$AB111="",'实盘净值数据(iFinD公式)'!$AL111=""),"",(SUMPRODUCT(分期持仓明细!$B$26:$Y$26,'实盘净值数据(iFinD公式)'!$B111:$Y111/'实盘净值数据(iFinD公式)'!$B$69:$Y$69)+SUMPRODUCT(分期持仓明细!$AC$26:$AD$26,'实盘净值数据(iFinD公式)'!$Z111:$AA111/'实盘净值数据(iFinD公式)'!$Z$69:$AA$69)+SUMPRODUCT(分期持仓明细!$AE$26:$AO$26,'实盘净值数据(iFinD公式)'!$AB111:$AL111/'实盘净值数据(iFinD公式)'!$AB$69:$AL$69))*(1-实盘持仓配置!$AM$10)^(('实盘净值数据(iFinD公式)'!$A111-'实盘净值数据(iFinD公式)'!$A$69)/365))</f>
        <v/>
      </c>
      <c r="U111" s="16" t="str">
        <f t="shared" si="19"/>
        <v/>
      </c>
      <c r="V111" s="16" t="str">
        <f>IF(T111="","",T111/MAX(T$5:T111)-1)</f>
        <v/>
      </c>
    </row>
    <row r="112" spans="1:22">
      <c r="A112" s="15" t="str">
        <f>IF('实盘净值数据(iFinD公式)'!A112="","",'实盘净值数据(iFinD公式)'!A112)</f>
        <v/>
      </c>
      <c r="B112" s="13" t="str">
        <f>IF(OR('实盘净值数据(iFinD公式)'!$A112="",'实盘净值数据(iFinD公式)'!$B112=""),"",分期持仓明细!$AB$17*SUMPRODUCT(分期持仓明细!$B$17:$Y$17,'实盘净值数据(iFinD公式)'!$B112:$Y112/'实盘净值数据(iFinD公式)'!$B$20:$Y$20)*(1-实盘持仓配置!$AM$4)^(('实盘净值数据(iFinD公式)'!$A112-'实盘净值数据(iFinD公式)'!$A$6)/365))</f>
        <v/>
      </c>
      <c r="C112" s="16" t="str">
        <f t="shared" si="13"/>
        <v/>
      </c>
      <c r="D112" s="16" t="str">
        <f>IF(B112="","",B112/MAX(B$5:B112)-1)</f>
        <v/>
      </c>
      <c r="E112" s="13" t="str">
        <f>IF(OR('实盘净值数据(iFinD公式)'!$A112="",'实盘净值数据(iFinD公式)'!$B112=""),"",分期持仓明细!$AB$18*SUMPRODUCT(分期持仓明细!$B$18:$Y$18,'实盘净值数据(iFinD公式)'!$B112:$Y112/'实盘净值数据(iFinD公式)'!$B$20:$Y$20)*(1-实盘持仓配置!$AM$5)^(('实盘净值数据(iFinD公式)'!$A112-'实盘净值数据(iFinD公式)'!$A$5)/365))</f>
        <v/>
      </c>
      <c r="F112" s="16" t="str">
        <f t="shared" si="14"/>
        <v/>
      </c>
      <c r="G112" s="16" t="str">
        <f>IF(E112="","",E112/MAX(E$5:E112)-1)</f>
        <v/>
      </c>
      <c r="H112" s="13" t="str">
        <f>IF(OR('实盘净值数据(iFinD公式)'!$A112="",'实盘净值数据(iFinD公式)'!$B112=""),"",分期持仓明细!$AB$19*SUMPRODUCT(分期持仓明细!$B$19:$Y$19,'实盘净值数据(iFinD公式)'!$B112:$Y112/'实盘净值数据(iFinD公式)'!$B$20:$Y$20)*(1-实盘持仓配置!$AM$6)^(('实盘净值数据(iFinD公式)'!$A112-'实盘净值数据(iFinD公式)'!$A$7)/365))</f>
        <v/>
      </c>
      <c r="I112" s="16" t="str">
        <f t="shared" si="15"/>
        <v/>
      </c>
      <c r="J112" s="16" t="str">
        <f>IF(H112="","",H112/MAX(H$5:H112)-1)</f>
        <v/>
      </c>
      <c r="K112" s="13" t="str">
        <f>IF(OR('实盘净值数据(iFinD公式)'!$A112="",'实盘净值数据(iFinD公式)'!$B112="",'实盘净值数据(iFinD公式)'!$Z112="",'实盘净值数据(iFinD公式)'!$AA112=""),"",分期持仓明细!$AB$23*(SUMPRODUCT(分期持仓明细!$B$23:$Y$23,'实盘净值数据(iFinD公式)'!$B112:$Y112/'实盘净值数据(iFinD公式)'!$B$65:$Y$65)+SUMPRODUCT(分期持仓明细!$AC$23:$AD$23,'实盘净值数据(iFinD公式)'!$Z112:$AA112/'实盘净值数据(iFinD公式)'!$Z$65:$AA$65))*(1-实盘持仓配置!$AM$7)^(('实盘净值数据(iFinD公式)'!$A112-'实盘净值数据(iFinD公式)'!$A$8)/365))</f>
        <v/>
      </c>
      <c r="L112" s="16" t="str">
        <f t="shared" si="16"/>
        <v/>
      </c>
      <c r="M112" s="16" t="str">
        <f>IF(K112="","",K112/MAX(K$5:K112)-1)</f>
        <v/>
      </c>
      <c r="N112" s="13" t="str">
        <f>IF(OR('实盘净值数据(iFinD公式)'!$A112="",'实盘净值数据(iFinD公式)'!$B112="",'实盘净值数据(iFinD公式)'!$Z112="",'实盘净值数据(iFinD公式)'!$AA112=""),"",分期持仓明细!$AB$24*(SUMPRODUCT(分期持仓明细!$B$24:$Y$24,'实盘净值数据(iFinD公式)'!$B112:$Y112/'实盘净值数据(iFinD公式)'!$B$65:$Y$65)+SUMPRODUCT(分期持仓明细!$AC$24:$AD$24,'实盘净值数据(iFinD公式)'!$Z112:$AA112/'实盘净值数据(iFinD公式)'!$Z$65:$AA$65))*(1-实盘持仓配置!$AM$8)^(('实盘净值数据(iFinD公式)'!$A112-'实盘净值数据(iFinD公式)'!$A$5)/365))</f>
        <v/>
      </c>
      <c r="O112" s="16" t="str">
        <f t="shared" si="17"/>
        <v/>
      </c>
      <c r="P112" s="16" t="str">
        <f>IF(N112="","",N112/MAX(N$5:N112)-1)</f>
        <v/>
      </c>
      <c r="Q112" s="13" t="str">
        <f>IF(OR('实盘净值数据(iFinD公式)'!$A112="",'实盘净值数据(iFinD公式)'!$B112="",'实盘净值数据(iFinD公式)'!$Z112="",'实盘净值数据(iFinD公式)'!$AA112=""),"",分期持仓明细!$AB$25*(SUMPRODUCT(分期持仓明细!$B$25:$Y$25,'实盘净值数据(iFinD公式)'!$B112:$Y112/'实盘净值数据(iFinD公式)'!$B$65:$Y$65)+SUMPRODUCT(分期持仓明细!$AC$25:$AD$25,'实盘净值数据(iFinD公式)'!$Z112:$AA112/'实盘净值数据(iFinD公式)'!$Z$65:$AA$65))*(1-实盘持仓配置!$AM$9)^(('实盘净值数据(iFinD公式)'!$A112-'实盘净值数据(iFinD公式)'!$A$8)/365))</f>
        <v/>
      </c>
      <c r="R112" s="16" t="str">
        <f t="shared" si="18"/>
        <v/>
      </c>
      <c r="S112" s="16" t="str">
        <f>IF(Q112="","",Q112/MAX(Q$5:Q112)-1)</f>
        <v/>
      </c>
      <c r="T112" s="13" t="str">
        <f>IF(OR('实盘净值数据(iFinD公式)'!$A112="",'实盘净值数据(iFinD公式)'!$B112="",'实盘净值数据(iFinD公式)'!$Z112="",'实盘净值数据(iFinD公式)'!$AA112="",'实盘净值数据(iFinD公式)'!$AB112="",'实盘净值数据(iFinD公式)'!$AL112=""),"",(SUMPRODUCT(分期持仓明细!$B$26:$Y$26,'实盘净值数据(iFinD公式)'!$B112:$Y112/'实盘净值数据(iFinD公式)'!$B$69:$Y$69)+SUMPRODUCT(分期持仓明细!$AC$26:$AD$26,'实盘净值数据(iFinD公式)'!$Z112:$AA112/'实盘净值数据(iFinD公式)'!$Z$69:$AA$69)+SUMPRODUCT(分期持仓明细!$AE$26:$AO$26,'实盘净值数据(iFinD公式)'!$AB112:$AL112/'实盘净值数据(iFinD公式)'!$AB$69:$AL$69))*(1-实盘持仓配置!$AM$10)^(('实盘净值数据(iFinD公式)'!$A112-'实盘净值数据(iFinD公式)'!$A$69)/365))</f>
        <v/>
      </c>
      <c r="U112" s="16" t="str">
        <f t="shared" si="19"/>
        <v/>
      </c>
      <c r="V112" s="16" t="str">
        <f>IF(T112="","",T112/MAX(T$5:T112)-1)</f>
        <v/>
      </c>
    </row>
    <row r="113" spans="1:22">
      <c r="A113" s="15" t="str">
        <f>IF('实盘净值数据(iFinD公式)'!A113="","",'实盘净值数据(iFinD公式)'!A113)</f>
        <v/>
      </c>
      <c r="B113" s="13" t="str">
        <f>IF(OR('实盘净值数据(iFinD公式)'!$A113="",'实盘净值数据(iFinD公式)'!$B113=""),"",分期持仓明细!$AB$17*SUMPRODUCT(分期持仓明细!$B$17:$Y$17,'实盘净值数据(iFinD公式)'!$B113:$Y113/'实盘净值数据(iFinD公式)'!$B$20:$Y$20)*(1-实盘持仓配置!$AM$4)^(('实盘净值数据(iFinD公式)'!$A113-'实盘净值数据(iFinD公式)'!$A$6)/365))</f>
        <v/>
      </c>
      <c r="C113" s="16" t="str">
        <f t="shared" si="13"/>
        <v/>
      </c>
      <c r="D113" s="16" t="str">
        <f>IF(B113="","",B113/MAX(B$5:B113)-1)</f>
        <v/>
      </c>
      <c r="E113" s="13" t="str">
        <f>IF(OR('实盘净值数据(iFinD公式)'!$A113="",'实盘净值数据(iFinD公式)'!$B113=""),"",分期持仓明细!$AB$18*SUMPRODUCT(分期持仓明细!$B$18:$Y$18,'实盘净值数据(iFinD公式)'!$B113:$Y113/'实盘净值数据(iFinD公式)'!$B$20:$Y$20)*(1-实盘持仓配置!$AM$5)^(('实盘净值数据(iFinD公式)'!$A113-'实盘净值数据(iFinD公式)'!$A$5)/365))</f>
        <v/>
      </c>
      <c r="F113" s="16" t="str">
        <f t="shared" si="14"/>
        <v/>
      </c>
      <c r="G113" s="16" t="str">
        <f>IF(E113="","",E113/MAX(E$5:E113)-1)</f>
        <v/>
      </c>
      <c r="H113" s="13" t="str">
        <f>IF(OR('实盘净值数据(iFinD公式)'!$A113="",'实盘净值数据(iFinD公式)'!$B113=""),"",分期持仓明细!$AB$19*SUMPRODUCT(分期持仓明细!$B$19:$Y$19,'实盘净值数据(iFinD公式)'!$B113:$Y113/'实盘净值数据(iFinD公式)'!$B$20:$Y$20)*(1-实盘持仓配置!$AM$6)^(('实盘净值数据(iFinD公式)'!$A113-'实盘净值数据(iFinD公式)'!$A$7)/365))</f>
        <v/>
      </c>
      <c r="I113" s="16" t="str">
        <f t="shared" si="15"/>
        <v/>
      </c>
      <c r="J113" s="16" t="str">
        <f>IF(H113="","",H113/MAX(H$5:H113)-1)</f>
        <v/>
      </c>
      <c r="K113" s="13" t="str">
        <f>IF(OR('实盘净值数据(iFinD公式)'!$A113="",'实盘净值数据(iFinD公式)'!$B113="",'实盘净值数据(iFinD公式)'!$Z113="",'实盘净值数据(iFinD公式)'!$AA113=""),"",分期持仓明细!$AB$23*(SUMPRODUCT(分期持仓明细!$B$23:$Y$23,'实盘净值数据(iFinD公式)'!$B113:$Y113/'实盘净值数据(iFinD公式)'!$B$65:$Y$65)+SUMPRODUCT(分期持仓明细!$AC$23:$AD$23,'实盘净值数据(iFinD公式)'!$Z113:$AA113/'实盘净值数据(iFinD公式)'!$Z$65:$AA$65))*(1-实盘持仓配置!$AM$7)^(('实盘净值数据(iFinD公式)'!$A113-'实盘净值数据(iFinD公式)'!$A$8)/365))</f>
        <v/>
      </c>
      <c r="L113" s="16" t="str">
        <f t="shared" si="16"/>
        <v/>
      </c>
      <c r="M113" s="16" t="str">
        <f>IF(K113="","",K113/MAX(K$5:K113)-1)</f>
        <v/>
      </c>
      <c r="N113" s="13" t="str">
        <f>IF(OR('实盘净值数据(iFinD公式)'!$A113="",'实盘净值数据(iFinD公式)'!$B113="",'实盘净值数据(iFinD公式)'!$Z113="",'实盘净值数据(iFinD公式)'!$AA113=""),"",分期持仓明细!$AB$24*(SUMPRODUCT(分期持仓明细!$B$24:$Y$24,'实盘净值数据(iFinD公式)'!$B113:$Y113/'实盘净值数据(iFinD公式)'!$B$65:$Y$65)+SUMPRODUCT(分期持仓明细!$AC$24:$AD$24,'实盘净值数据(iFinD公式)'!$Z113:$AA113/'实盘净值数据(iFinD公式)'!$Z$65:$AA$65))*(1-实盘持仓配置!$AM$8)^(('实盘净值数据(iFinD公式)'!$A113-'实盘净值数据(iFinD公式)'!$A$5)/365))</f>
        <v/>
      </c>
      <c r="O113" s="16" t="str">
        <f t="shared" si="17"/>
        <v/>
      </c>
      <c r="P113" s="16" t="str">
        <f>IF(N113="","",N113/MAX(N$5:N113)-1)</f>
        <v/>
      </c>
      <c r="Q113" s="13" t="str">
        <f>IF(OR('实盘净值数据(iFinD公式)'!$A113="",'实盘净值数据(iFinD公式)'!$B113="",'实盘净值数据(iFinD公式)'!$Z113="",'实盘净值数据(iFinD公式)'!$AA113=""),"",分期持仓明细!$AB$25*(SUMPRODUCT(分期持仓明细!$B$25:$Y$25,'实盘净值数据(iFinD公式)'!$B113:$Y113/'实盘净值数据(iFinD公式)'!$B$65:$Y$65)+SUMPRODUCT(分期持仓明细!$AC$25:$AD$25,'实盘净值数据(iFinD公式)'!$Z113:$AA113/'实盘净值数据(iFinD公式)'!$Z$65:$AA$65))*(1-实盘持仓配置!$AM$9)^(('实盘净值数据(iFinD公式)'!$A113-'实盘净值数据(iFinD公式)'!$A$8)/365))</f>
        <v/>
      </c>
      <c r="R113" s="16" t="str">
        <f t="shared" si="18"/>
        <v/>
      </c>
      <c r="S113" s="16" t="str">
        <f>IF(Q113="","",Q113/MAX(Q$5:Q113)-1)</f>
        <v/>
      </c>
      <c r="T113" s="13" t="str">
        <f>IF(OR('实盘净值数据(iFinD公式)'!$A113="",'实盘净值数据(iFinD公式)'!$B113="",'实盘净值数据(iFinD公式)'!$Z113="",'实盘净值数据(iFinD公式)'!$AA113="",'实盘净值数据(iFinD公式)'!$AB113="",'实盘净值数据(iFinD公式)'!$AL113=""),"",(SUMPRODUCT(分期持仓明细!$B$26:$Y$26,'实盘净值数据(iFinD公式)'!$B113:$Y113/'实盘净值数据(iFinD公式)'!$B$69:$Y$69)+SUMPRODUCT(分期持仓明细!$AC$26:$AD$26,'实盘净值数据(iFinD公式)'!$Z113:$AA113/'实盘净值数据(iFinD公式)'!$Z$69:$AA$69)+SUMPRODUCT(分期持仓明细!$AE$26:$AO$26,'实盘净值数据(iFinD公式)'!$AB113:$AL113/'实盘净值数据(iFinD公式)'!$AB$69:$AL$69))*(1-实盘持仓配置!$AM$10)^(('实盘净值数据(iFinD公式)'!$A113-'实盘净值数据(iFinD公式)'!$A$69)/365))</f>
        <v/>
      </c>
      <c r="U113" s="16" t="str">
        <f t="shared" si="19"/>
        <v/>
      </c>
      <c r="V113" s="16" t="str">
        <f>IF(T113="","",T113/MAX(T$5:T113)-1)</f>
        <v/>
      </c>
    </row>
    <row r="114" spans="1:22">
      <c r="A114" s="15" t="str">
        <f>IF('实盘净值数据(iFinD公式)'!A114="","",'实盘净值数据(iFinD公式)'!A114)</f>
        <v/>
      </c>
      <c r="B114" s="13" t="str">
        <f>IF(OR('实盘净值数据(iFinD公式)'!$A114="",'实盘净值数据(iFinD公式)'!$B114=""),"",分期持仓明细!$AB$17*SUMPRODUCT(分期持仓明细!$B$17:$Y$17,'实盘净值数据(iFinD公式)'!$B114:$Y114/'实盘净值数据(iFinD公式)'!$B$20:$Y$20)*(1-实盘持仓配置!$AM$4)^(('实盘净值数据(iFinD公式)'!$A114-'实盘净值数据(iFinD公式)'!$A$6)/365))</f>
        <v/>
      </c>
      <c r="C114" s="16" t="str">
        <f t="shared" si="13"/>
        <v/>
      </c>
      <c r="D114" s="16" t="str">
        <f>IF(B114="","",B114/MAX(B$5:B114)-1)</f>
        <v/>
      </c>
      <c r="E114" s="13" t="str">
        <f>IF(OR('实盘净值数据(iFinD公式)'!$A114="",'实盘净值数据(iFinD公式)'!$B114=""),"",分期持仓明细!$AB$18*SUMPRODUCT(分期持仓明细!$B$18:$Y$18,'实盘净值数据(iFinD公式)'!$B114:$Y114/'实盘净值数据(iFinD公式)'!$B$20:$Y$20)*(1-实盘持仓配置!$AM$5)^(('实盘净值数据(iFinD公式)'!$A114-'实盘净值数据(iFinD公式)'!$A$5)/365))</f>
        <v/>
      </c>
      <c r="F114" s="16" t="str">
        <f t="shared" si="14"/>
        <v/>
      </c>
      <c r="G114" s="16" t="str">
        <f>IF(E114="","",E114/MAX(E$5:E114)-1)</f>
        <v/>
      </c>
      <c r="H114" s="13" t="str">
        <f>IF(OR('实盘净值数据(iFinD公式)'!$A114="",'实盘净值数据(iFinD公式)'!$B114=""),"",分期持仓明细!$AB$19*SUMPRODUCT(分期持仓明细!$B$19:$Y$19,'实盘净值数据(iFinD公式)'!$B114:$Y114/'实盘净值数据(iFinD公式)'!$B$20:$Y$20)*(1-实盘持仓配置!$AM$6)^(('实盘净值数据(iFinD公式)'!$A114-'实盘净值数据(iFinD公式)'!$A$7)/365))</f>
        <v/>
      </c>
      <c r="I114" s="16" t="str">
        <f t="shared" si="15"/>
        <v/>
      </c>
      <c r="J114" s="16" t="str">
        <f>IF(H114="","",H114/MAX(H$5:H114)-1)</f>
        <v/>
      </c>
      <c r="K114" s="13" t="str">
        <f>IF(OR('实盘净值数据(iFinD公式)'!$A114="",'实盘净值数据(iFinD公式)'!$B114="",'实盘净值数据(iFinD公式)'!$Z114="",'实盘净值数据(iFinD公式)'!$AA114=""),"",分期持仓明细!$AB$23*(SUMPRODUCT(分期持仓明细!$B$23:$Y$23,'实盘净值数据(iFinD公式)'!$B114:$Y114/'实盘净值数据(iFinD公式)'!$B$65:$Y$65)+SUMPRODUCT(分期持仓明细!$AC$23:$AD$23,'实盘净值数据(iFinD公式)'!$Z114:$AA114/'实盘净值数据(iFinD公式)'!$Z$65:$AA$65))*(1-实盘持仓配置!$AM$7)^(('实盘净值数据(iFinD公式)'!$A114-'实盘净值数据(iFinD公式)'!$A$8)/365))</f>
        <v/>
      </c>
      <c r="L114" s="16" t="str">
        <f t="shared" si="16"/>
        <v/>
      </c>
      <c r="M114" s="16" t="str">
        <f>IF(K114="","",K114/MAX(K$5:K114)-1)</f>
        <v/>
      </c>
      <c r="N114" s="13" t="str">
        <f>IF(OR('实盘净值数据(iFinD公式)'!$A114="",'实盘净值数据(iFinD公式)'!$B114="",'实盘净值数据(iFinD公式)'!$Z114="",'实盘净值数据(iFinD公式)'!$AA114=""),"",分期持仓明细!$AB$24*(SUMPRODUCT(分期持仓明细!$B$24:$Y$24,'实盘净值数据(iFinD公式)'!$B114:$Y114/'实盘净值数据(iFinD公式)'!$B$65:$Y$65)+SUMPRODUCT(分期持仓明细!$AC$24:$AD$24,'实盘净值数据(iFinD公式)'!$Z114:$AA114/'实盘净值数据(iFinD公式)'!$Z$65:$AA$65))*(1-实盘持仓配置!$AM$8)^(('实盘净值数据(iFinD公式)'!$A114-'实盘净值数据(iFinD公式)'!$A$5)/365))</f>
        <v/>
      </c>
      <c r="O114" s="16" t="str">
        <f t="shared" si="17"/>
        <v/>
      </c>
      <c r="P114" s="16" t="str">
        <f>IF(N114="","",N114/MAX(N$5:N114)-1)</f>
        <v/>
      </c>
      <c r="Q114" s="13" t="str">
        <f>IF(OR('实盘净值数据(iFinD公式)'!$A114="",'实盘净值数据(iFinD公式)'!$B114="",'实盘净值数据(iFinD公式)'!$Z114="",'实盘净值数据(iFinD公式)'!$AA114=""),"",分期持仓明细!$AB$25*(SUMPRODUCT(分期持仓明细!$B$25:$Y$25,'实盘净值数据(iFinD公式)'!$B114:$Y114/'实盘净值数据(iFinD公式)'!$B$65:$Y$65)+SUMPRODUCT(分期持仓明细!$AC$25:$AD$25,'实盘净值数据(iFinD公式)'!$Z114:$AA114/'实盘净值数据(iFinD公式)'!$Z$65:$AA$65))*(1-实盘持仓配置!$AM$9)^(('实盘净值数据(iFinD公式)'!$A114-'实盘净值数据(iFinD公式)'!$A$8)/365))</f>
        <v/>
      </c>
      <c r="R114" s="16" t="str">
        <f t="shared" si="18"/>
        <v/>
      </c>
      <c r="S114" s="16" t="str">
        <f>IF(Q114="","",Q114/MAX(Q$5:Q114)-1)</f>
        <v/>
      </c>
      <c r="T114" s="13" t="str">
        <f>IF(OR('实盘净值数据(iFinD公式)'!$A114="",'实盘净值数据(iFinD公式)'!$B114="",'实盘净值数据(iFinD公式)'!$Z114="",'实盘净值数据(iFinD公式)'!$AA114="",'实盘净值数据(iFinD公式)'!$AB114="",'实盘净值数据(iFinD公式)'!$AL114=""),"",(SUMPRODUCT(分期持仓明细!$B$26:$Y$26,'实盘净值数据(iFinD公式)'!$B114:$Y114/'实盘净值数据(iFinD公式)'!$B$69:$Y$69)+SUMPRODUCT(分期持仓明细!$AC$26:$AD$26,'实盘净值数据(iFinD公式)'!$Z114:$AA114/'实盘净值数据(iFinD公式)'!$Z$69:$AA$69)+SUMPRODUCT(分期持仓明细!$AE$26:$AO$26,'实盘净值数据(iFinD公式)'!$AB114:$AL114/'实盘净值数据(iFinD公式)'!$AB$69:$AL$69))*(1-实盘持仓配置!$AM$10)^(('实盘净值数据(iFinD公式)'!$A114-'实盘净值数据(iFinD公式)'!$A$69)/365))</f>
        <v/>
      </c>
      <c r="U114" s="16" t="str">
        <f t="shared" si="19"/>
        <v/>
      </c>
      <c r="V114" s="16" t="str">
        <f>IF(T114="","",T114/MAX(T$5:T114)-1)</f>
        <v/>
      </c>
    </row>
    <row r="115" spans="1:22">
      <c r="A115" s="15" t="str">
        <f>IF('实盘净值数据(iFinD公式)'!A115="","",'实盘净值数据(iFinD公式)'!A115)</f>
        <v/>
      </c>
      <c r="B115" s="13" t="str">
        <f>IF(OR('实盘净值数据(iFinD公式)'!$A115="",'实盘净值数据(iFinD公式)'!$B115=""),"",分期持仓明细!$AB$17*SUMPRODUCT(分期持仓明细!$B$17:$Y$17,'实盘净值数据(iFinD公式)'!$B115:$Y115/'实盘净值数据(iFinD公式)'!$B$20:$Y$20)*(1-实盘持仓配置!$AM$4)^(('实盘净值数据(iFinD公式)'!$A115-'实盘净值数据(iFinD公式)'!$A$6)/365))</f>
        <v/>
      </c>
      <c r="C115" s="16" t="str">
        <f t="shared" si="13"/>
        <v/>
      </c>
      <c r="D115" s="16" t="str">
        <f>IF(B115="","",B115/MAX(B$5:B115)-1)</f>
        <v/>
      </c>
      <c r="E115" s="13" t="str">
        <f>IF(OR('实盘净值数据(iFinD公式)'!$A115="",'实盘净值数据(iFinD公式)'!$B115=""),"",分期持仓明细!$AB$18*SUMPRODUCT(分期持仓明细!$B$18:$Y$18,'实盘净值数据(iFinD公式)'!$B115:$Y115/'实盘净值数据(iFinD公式)'!$B$20:$Y$20)*(1-实盘持仓配置!$AM$5)^(('实盘净值数据(iFinD公式)'!$A115-'实盘净值数据(iFinD公式)'!$A$5)/365))</f>
        <v/>
      </c>
      <c r="F115" s="16" t="str">
        <f t="shared" si="14"/>
        <v/>
      </c>
      <c r="G115" s="16" t="str">
        <f>IF(E115="","",E115/MAX(E$5:E115)-1)</f>
        <v/>
      </c>
      <c r="H115" s="13" t="str">
        <f>IF(OR('实盘净值数据(iFinD公式)'!$A115="",'实盘净值数据(iFinD公式)'!$B115=""),"",分期持仓明细!$AB$19*SUMPRODUCT(分期持仓明细!$B$19:$Y$19,'实盘净值数据(iFinD公式)'!$B115:$Y115/'实盘净值数据(iFinD公式)'!$B$20:$Y$20)*(1-实盘持仓配置!$AM$6)^(('实盘净值数据(iFinD公式)'!$A115-'实盘净值数据(iFinD公式)'!$A$7)/365))</f>
        <v/>
      </c>
      <c r="I115" s="16" t="str">
        <f t="shared" si="15"/>
        <v/>
      </c>
      <c r="J115" s="16" t="str">
        <f>IF(H115="","",H115/MAX(H$5:H115)-1)</f>
        <v/>
      </c>
      <c r="K115" s="13" t="str">
        <f>IF(OR('实盘净值数据(iFinD公式)'!$A115="",'实盘净值数据(iFinD公式)'!$B115="",'实盘净值数据(iFinD公式)'!$Z115="",'实盘净值数据(iFinD公式)'!$AA115=""),"",分期持仓明细!$AB$23*(SUMPRODUCT(分期持仓明细!$B$23:$Y$23,'实盘净值数据(iFinD公式)'!$B115:$Y115/'实盘净值数据(iFinD公式)'!$B$65:$Y$65)+SUMPRODUCT(分期持仓明细!$AC$23:$AD$23,'实盘净值数据(iFinD公式)'!$Z115:$AA115/'实盘净值数据(iFinD公式)'!$Z$65:$AA$65))*(1-实盘持仓配置!$AM$7)^(('实盘净值数据(iFinD公式)'!$A115-'实盘净值数据(iFinD公式)'!$A$8)/365))</f>
        <v/>
      </c>
      <c r="L115" s="16" t="str">
        <f t="shared" si="16"/>
        <v/>
      </c>
      <c r="M115" s="16" t="str">
        <f>IF(K115="","",K115/MAX(K$5:K115)-1)</f>
        <v/>
      </c>
      <c r="N115" s="13" t="str">
        <f>IF(OR('实盘净值数据(iFinD公式)'!$A115="",'实盘净值数据(iFinD公式)'!$B115="",'实盘净值数据(iFinD公式)'!$Z115="",'实盘净值数据(iFinD公式)'!$AA115=""),"",分期持仓明细!$AB$24*(SUMPRODUCT(分期持仓明细!$B$24:$Y$24,'实盘净值数据(iFinD公式)'!$B115:$Y115/'实盘净值数据(iFinD公式)'!$B$65:$Y$65)+SUMPRODUCT(分期持仓明细!$AC$24:$AD$24,'实盘净值数据(iFinD公式)'!$Z115:$AA115/'实盘净值数据(iFinD公式)'!$Z$65:$AA$65))*(1-实盘持仓配置!$AM$8)^(('实盘净值数据(iFinD公式)'!$A115-'实盘净值数据(iFinD公式)'!$A$5)/365))</f>
        <v/>
      </c>
      <c r="O115" s="16" t="str">
        <f t="shared" si="17"/>
        <v/>
      </c>
      <c r="P115" s="16" t="str">
        <f>IF(N115="","",N115/MAX(N$5:N115)-1)</f>
        <v/>
      </c>
      <c r="Q115" s="13" t="str">
        <f>IF(OR('实盘净值数据(iFinD公式)'!$A115="",'实盘净值数据(iFinD公式)'!$B115="",'实盘净值数据(iFinD公式)'!$Z115="",'实盘净值数据(iFinD公式)'!$AA115=""),"",分期持仓明细!$AB$25*(SUMPRODUCT(分期持仓明细!$B$25:$Y$25,'实盘净值数据(iFinD公式)'!$B115:$Y115/'实盘净值数据(iFinD公式)'!$B$65:$Y$65)+SUMPRODUCT(分期持仓明细!$AC$25:$AD$25,'实盘净值数据(iFinD公式)'!$Z115:$AA115/'实盘净值数据(iFinD公式)'!$Z$65:$AA$65))*(1-实盘持仓配置!$AM$9)^(('实盘净值数据(iFinD公式)'!$A115-'实盘净值数据(iFinD公式)'!$A$8)/365))</f>
        <v/>
      </c>
      <c r="R115" s="16" t="str">
        <f t="shared" si="18"/>
        <v/>
      </c>
      <c r="S115" s="16" t="str">
        <f>IF(Q115="","",Q115/MAX(Q$5:Q115)-1)</f>
        <v/>
      </c>
      <c r="T115" s="13" t="str">
        <f>IF(OR('实盘净值数据(iFinD公式)'!$A115="",'实盘净值数据(iFinD公式)'!$B115="",'实盘净值数据(iFinD公式)'!$Z115="",'实盘净值数据(iFinD公式)'!$AA115="",'实盘净值数据(iFinD公式)'!$AB115="",'实盘净值数据(iFinD公式)'!$AL115=""),"",(SUMPRODUCT(分期持仓明细!$B$26:$Y$26,'实盘净值数据(iFinD公式)'!$B115:$Y115/'实盘净值数据(iFinD公式)'!$B$69:$Y$69)+SUMPRODUCT(分期持仓明细!$AC$26:$AD$26,'实盘净值数据(iFinD公式)'!$Z115:$AA115/'实盘净值数据(iFinD公式)'!$Z$69:$AA$69)+SUMPRODUCT(分期持仓明细!$AE$26:$AO$26,'实盘净值数据(iFinD公式)'!$AB115:$AL115/'实盘净值数据(iFinD公式)'!$AB$69:$AL$69))*(1-实盘持仓配置!$AM$10)^(('实盘净值数据(iFinD公式)'!$A115-'实盘净值数据(iFinD公式)'!$A$69)/365))</f>
        <v/>
      </c>
      <c r="U115" s="16" t="str">
        <f t="shared" si="19"/>
        <v/>
      </c>
      <c r="V115" s="16" t="str">
        <f>IF(T115="","",T115/MAX(T$5:T115)-1)</f>
        <v/>
      </c>
    </row>
    <row r="116" spans="1:22">
      <c r="A116" s="15" t="str">
        <f>IF('实盘净值数据(iFinD公式)'!A116="","",'实盘净值数据(iFinD公式)'!A116)</f>
        <v/>
      </c>
      <c r="B116" s="13" t="str">
        <f>IF(OR('实盘净值数据(iFinD公式)'!$A116="",'实盘净值数据(iFinD公式)'!$B116=""),"",分期持仓明细!$AB$17*SUMPRODUCT(分期持仓明细!$B$17:$Y$17,'实盘净值数据(iFinD公式)'!$B116:$Y116/'实盘净值数据(iFinD公式)'!$B$20:$Y$20)*(1-实盘持仓配置!$AM$4)^(('实盘净值数据(iFinD公式)'!$A116-'实盘净值数据(iFinD公式)'!$A$6)/365))</f>
        <v/>
      </c>
      <c r="C116" s="16" t="str">
        <f t="shared" si="13"/>
        <v/>
      </c>
      <c r="D116" s="16" t="str">
        <f>IF(B116="","",B116/MAX(B$5:B116)-1)</f>
        <v/>
      </c>
      <c r="E116" s="13" t="str">
        <f>IF(OR('实盘净值数据(iFinD公式)'!$A116="",'实盘净值数据(iFinD公式)'!$B116=""),"",分期持仓明细!$AB$18*SUMPRODUCT(分期持仓明细!$B$18:$Y$18,'实盘净值数据(iFinD公式)'!$B116:$Y116/'实盘净值数据(iFinD公式)'!$B$20:$Y$20)*(1-实盘持仓配置!$AM$5)^(('实盘净值数据(iFinD公式)'!$A116-'实盘净值数据(iFinD公式)'!$A$5)/365))</f>
        <v/>
      </c>
      <c r="F116" s="16" t="str">
        <f t="shared" si="14"/>
        <v/>
      </c>
      <c r="G116" s="16" t="str">
        <f>IF(E116="","",E116/MAX(E$5:E116)-1)</f>
        <v/>
      </c>
      <c r="H116" s="13" t="str">
        <f>IF(OR('实盘净值数据(iFinD公式)'!$A116="",'实盘净值数据(iFinD公式)'!$B116=""),"",分期持仓明细!$AB$19*SUMPRODUCT(分期持仓明细!$B$19:$Y$19,'实盘净值数据(iFinD公式)'!$B116:$Y116/'实盘净值数据(iFinD公式)'!$B$20:$Y$20)*(1-实盘持仓配置!$AM$6)^(('实盘净值数据(iFinD公式)'!$A116-'实盘净值数据(iFinD公式)'!$A$7)/365))</f>
        <v/>
      </c>
      <c r="I116" s="16" t="str">
        <f t="shared" si="15"/>
        <v/>
      </c>
      <c r="J116" s="16" t="str">
        <f>IF(H116="","",H116/MAX(H$5:H116)-1)</f>
        <v/>
      </c>
      <c r="K116" s="13" t="str">
        <f>IF(OR('实盘净值数据(iFinD公式)'!$A116="",'实盘净值数据(iFinD公式)'!$B116="",'实盘净值数据(iFinD公式)'!$Z116="",'实盘净值数据(iFinD公式)'!$AA116=""),"",分期持仓明细!$AB$23*(SUMPRODUCT(分期持仓明细!$B$23:$Y$23,'实盘净值数据(iFinD公式)'!$B116:$Y116/'实盘净值数据(iFinD公式)'!$B$65:$Y$65)+SUMPRODUCT(分期持仓明细!$AC$23:$AD$23,'实盘净值数据(iFinD公式)'!$Z116:$AA116/'实盘净值数据(iFinD公式)'!$Z$65:$AA$65))*(1-实盘持仓配置!$AM$7)^(('实盘净值数据(iFinD公式)'!$A116-'实盘净值数据(iFinD公式)'!$A$8)/365))</f>
        <v/>
      </c>
      <c r="L116" s="16" t="str">
        <f t="shared" si="16"/>
        <v/>
      </c>
      <c r="M116" s="16" t="str">
        <f>IF(K116="","",K116/MAX(K$5:K116)-1)</f>
        <v/>
      </c>
      <c r="N116" s="13" t="str">
        <f>IF(OR('实盘净值数据(iFinD公式)'!$A116="",'实盘净值数据(iFinD公式)'!$B116="",'实盘净值数据(iFinD公式)'!$Z116="",'实盘净值数据(iFinD公式)'!$AA116=""),"",分期持仓明细!$AB$24*(SUMPRODUCT(分期持仓明细!$B$24:$Y$24,'实盘净值数据(iFinD公式)'!$B116:$Y116/'实盘净值数据(iFinD公式)'!$B$65:$Y$65)+SUMPRODUCT(分期持仓明细!$AC$24:$AD$24,'实盘净值数据(iFinD公式)'!$Z116:$AA116/'实盘净值数据(iFinD公式)'!$Z$65:$AA$65))*(1-实盘持仓配置!$AM$8)^(('实盘净值数据(iFinD公式)'!$A116-'实盘净值数据(iFinD公式)'!$A$5)/365))</f>
        <v/>
      </c>
      <c r="O116" s="16" t="str">
        <f t="shared" si="17"/>
        <v/>
      </c>
      <c r="P116" s="16" t="str">
        <f>IF(N116="","",N116/MAX(N$5:N116)-1)</f>
        <v/>
      </c>
      <c r="Q116" s="13" t="str">
        <f>IF(OR('实盘净值数据(iFinD公式)'!$A116="",'实盘净值数据(iFinD公式)'!$B116="",'实盘净值数据(iFinD公式)'!$Z116="",'实盘净值数据(iFinD公式)'!$AA116=""),"",分期持仓明细!$AB$25*(SUMPRODUCT(分期持仓明细!$B$25:$Y$25,'实盘净值数据(iFinD公式)'!$B116:$Y116/'实盘净值数据(iFinD公式)'!$B$65:$Y$65)+SUMPRODUCT(分期持仓明细!$AC$25:$AD$25,'实盘净值数据(iFinD公式)'!$Z116:$AA116/'实盘净值数据(iFinD公式)'!$Z$65:$AA$65))*(1-实盘持仓配置!$AM$9)^(('实盘净值数据(iFinD公式)'!$A116-'实盘净值数据(iFinD公式)'!$A$8)/365))</f>
        <v/>
      </c>
      <c r="R116" s="16" t="str">
        <f t="shared" si="18"/>
        <v/>
      </c>
      <c r="S116" s="16" t="str">
        <f>IF(Q116="","",Q116/MAX(Q$5:Q116)-1)</f>
        <v/>
      </c>
      <c r="T116" s="13" t="str">
        <f>IF(OR('实盘净值数据(iFinD公式)'!$A116="",'实盘净值数据(iFinD公式)'!$B116="",'实盘净值数据(iFinD公式)'!$Z116="",'实盘净值数据(iFinD公式)'!$AA116="",'实盘净值数据(iFinD公式)'!$AB116="",'实盘净值数据(iFinD公式)'!$AL116=""),"",(SUMPRODUCT(分期持仓明细!$B$26:$Y$26,'实盘净值数据(iFinD公式)'!$B116:$Y116/'实盘净值数据(iFinD公式)'!$B$69:$Y$69)+SUMPRODUCT(分期持仓明细!$AC$26:$AD$26,'实盘净值数据(iFinD公式)'!$Z116:$AA116/'实盘净值数据(iFinD公式)'!$Z$69:$AA$69)+SUMPRODUCT(分期持仓明细!$AE$26:$AO$26,'实盘净值数据(iFinD公式)'!$AB116:$AL116/'实盘净值数据(iFinD公式)'!$AB$69:$AL$69))*(1-实盘持仓配置!$AM$10)^(('实盘净值数据(iFinD公式)'!$A116-'实盘净值数据(iFinD公式)'!$A$69)/365))</f>
        <v/>
      </c>
      <c r="U116" s="16" t="str">
        <f t="shared" si="19"/>
        <v/>
      </c>
      <c r="V116" s="16" t="str">
        <f>IF(T116="","",T116/MAX(T$5:T116)-1)</f>
        <v/>
      </c>
    </row>
    <row r="117" spans="1:22">
      <c r="A117" s="15" t="str">
        <f>IF('实盘净值数据(iFinD公式)'!A117="","",'实盘净值数据(iFinD公式)'!A117)</f>
        <v/>
      </c>
      <c r="B117" s="13" t="str">
        <f>IF(OR('实盘净值数据(iFinD公式)'!$A117="",'实盘净值数据(iFinD公式)'!$B117=""),"",分期持仓明细!$AB$17*SUMPRODUCT(分期持仓明细!$B$17:$Y$17,'实盘净值数据(iFinD公式)'!$B117:$Y117/'实盘净值数据(iFinD公式)'!$B$20:$Y$20)*(1-实盘持仓配置!$AM$4)^(('实盘净值数据(iFinD公式)'!$A117-'实盘净值数据(iFinD公式)'!$A$6)/365))</f>
        <v/>
      </c>
      <c r="C117" s="16" t="str">
        <f t="shared" si="13"/>
        <v/>
      </c>
      <c r="D117" s="16" t="str">
        <f>IF(B117="","",B117/MAX(B$5:B117)-1)</f>
        <v/>
      </c>
      <c r="E117" s="13" t="str">
        <f>IF(OR('实盘净值数据(iFinD公式)'!$A117="",'实盘净值数据(iFinD公式)'!$B117=""),"",分期持仓明细!$AB$18*SUMPRODUCT(分期持仓明细!$B$18:$Y$18,'实盘净值数据(iFinD公式)'!$B117:$Y117/'实盘净值数据(iFinD公式)'!$B$20:$Y$20)*(1-实盘持仓配置!$AM$5)^(('实盘净值数据(iFinD公式)'!$A117-'实盘净值数据(iFinD公式)'!$A$5)/365))</f>
        <v/>
      </c>
      <c r="F117" s="16" t="str">
        <f t="shared" si="14"/>
        <v/>
      </c>
      <c r="G117" s="16" t="str">
        <f>IF(E117="","",E117/MAX(E$5:E117)-1)</f>
        <v/>
      </c>
      <c r="H117" s="13" t="str">
        <f>IF(OR('实盘净值数据(iFinD公式)'!$A117="",'实盘净值数据(iFinD公式)'!$B117=""),"",分期持仓明细!$AB$19*SUMPRODUCT(分期持仓明细!$B$19:$Y$19,'实盘净值数据(iFinD公式)'!$B117:$Y117/'实盘净值数据(iFinD公式)'!$B$20:$Y$20)*(1-实盘持仓配置!$AM$6)^(('实盘净值数据(iFinD公式)'!$A117-'实盘净值数据(iFinD公式)'!$A$7)/365))</f>
        <v/>
      </c>
      <c r="I117" s="16" t="str">
        <f t="shared" si="15"/>
        <v/>
      </c>
      <c r="J117" s="16" t="str">
        <f>IF(H117="","",H117/MAX(H$5:H117)-1)</f>
        <v/>
      </c>
      <c r="K117" s="13" t="str">
        <f>IF(OR('实盘净值数据(iFinD公式)'!$A117="",'实盘净值数据(iFinD公式)'!$B117="",'实盘净值数据(iFinD公式)'!$Z117="",'实盘净值数据(iFinD公式)'!$AA117=""),"",分期持仓明细!$AB$23*(SUMPRODUCT(分期持仓明细!$B$23:$Y$23,'实盘净值数据(iFinD公式)'!$B117:$Y117/'实盘净值数据(iFinD公式)'!$B$65:$Y$65)+SUMPRODUCT(分期持仓明细!$AC$23:$AD$23,'实盘净值数据(iFinD公式)'!$Z117:$AA117/'实盘净值数据(iFinD公式)'!$Z$65:$AA$65))*(1-实盘持仓配置!$AM$7)^(('实盘净值数据(iFinD公式)'!$A117-'实盘净值数据(iFinD公式)'!$A$8)/365))</f>
        <v/>
      </c>
      <c r="L117" s="16" t="str">
        <f t="shared" si="16"/>
        <v/>
      </c>
      <c r="M117" s="16" t="str">
        <f>IF(K117="","",K117/MAX(K$5:K117)-1)</f>
        <v/>
      </c>
      <c r="N117" s="13" t="str">
        <f>IF(OR('实盘净值数据(iFinD公式)'!$A117="",'实盘净值数据(iFinD公式)'!$B117="",'实盘净值数据(iFinD公式)'!$Z117="",'实盘净值数据(iFinD公式)'!$AA117=""),"",分期持仓明细!$AB$24*(SUMPRODUCT(分期持仓明细!$B$24:$Y$24,'实盘净值数据(iFinD公式)'!$B117:$Y117/'实盘净值数据(iFinD公式)'!$B$65:$Y$65)+SUMPRODUCT(分期持仓明细!$AC$24:$AD$24,'实盘净值数据(iFinD公式)'!$Z117:$AA117/'实盘净值数据(iFinD公式)'!$Z$65:$AA$65))*(1-实盘持仓配置!$AM$8)^(('实盘净值数据(iFinD公式)'!$A117-'实盘净值数据(iFinD公式)'!$A$5)/365))</f>
        <v/>
      </c>
      <c r="O117" s="16" t="str">
        <f t="shared" si="17"/>
        <v/>
      </c>
      <c r="P117" s="16" t="str">
        <f>IF(N117="","",N117/MAX(N$5:N117)-1)</f>
        <v/>
      </c>
      <c r="Q117" s="13" t="str">
        <f>IF(OR('实盘净值数据(iFinD公式)'!$A117="",'实盘净值数据(iFinD公式)'!$B117="",'实盘净值数据(iFinD公式)'!$Z117="",'实盘净值数据(iFinD公式)'!$AA117=""),"",分期持仓明细!$AB$25*(SUMPRODUCT(分期持仓明细!$B$25:$Y$25,'实盘净值数据(iFinD公式)'!$B117:$Y117/'实盘净值数据(iFinD公式)'!$B$65:$Y$65)+SUMPRODUCT(分期持仓明细!$AC$25:$AD$25,'实盘净值数据(iFinD公式)'!$Z117:$AA117/'实盘净值数据(iFinD公式)'!$Z$65:$AA$65))*(1-实盘持仓配置!$AM$9)^(('实盘净值数据(iFinD公式)'!$A117-'实盘净值数据(iFinD公式)'!$A$8)/365))</f>
        <v/>
      </c>
      <c r="R117" s="16" t="str">
        <f t="shared" si="18"/>
        <v/>
      </c>
      <c r="S117" s="16" t="str">
        <f>IF(Q117="","",Q117/MAX(Q$5:Q117)-1)</f>
        <v/>
      </c>
      <c r="T117" s="13" t="str">
        <f>IF(OR('实盘净值数据(iFinD公式)'!$A117="",'实盘净值数据(iFinD公式)'!$B117="",'实盘净值数据(iFinD公式)'!$Z117="",'实盘净值数据(iFinD公式)'!$AA117="",'实盘净值数据(iFinD公式)'!$AB117="",'实盘净值数据(iFinD公式)'!$AL117=""),"",(SUMPRODUCT(分期持仓明细!$B$26:$Y$26,'实盘净值数据(iFinD公式)'!$B117:$Y117/'实盘净值数据(iFinD公式)'!$B$69:$Y$69)+SUMPRODUCT(分期持仓明细!$AC$26:$AD$26,'实盘净值数据(iFinD公式)'!$Z117:$AA117/'实盘净值数据(iFinD公式)'!$Z$69:$AA$69)+SUMPRODUCT(分期持仓明细!$AE$26:$AO$26,'实盘净值数据(iFinD公式)'!$AB117:$AL117/'实盘净值数据(iFinD公式)'!$AB$69:$AL$69))*(1-实盘持仓配置!$AM$10)^(('实盘净值数据(iFinD公式)'!$A117-'实盘净值数据(iFinD公式)'!$A$69)/365))</f>
        <v/>
      </c>
      <c r="U117" s="16" t="str">
        <f t="shared" si="19"/>
        <v/>
      </c>
      <c r="V117" s="16" t="str">
        <f>IF(T117="","",T117/MAX(T$5:T117)-1)</f>
        <v/>
      </c>
    </row>
    <row r="118" spans="1:22">
      <c r="A118" s="15" t="str">
        <f>IF('实盘净值数据(iFinD公式)'!A118="","",'实盘净值数据(iFinD公式)'!A118)</f>
        <v/>
      </c>
      <c r="B118" s="13" t="str">
        <f>IF(OR('实盘净值数据(iFinD公式)'!$A118="",'实盘净值数据(iFinD公式)'!$B118=""),"",分期持仓明细!$AB$17*SUMPRODUCT(分期持仓明细!$B$17:$Y$17,'实盘净值数据(iFinD公式)'!$B118:$Y118/'实盘净值数据(iFinD公式)'!$B$20:$Y$20)*(1-实盘持仓配置!$AM$4)^(('实盘净值数据(iFinD公式)'!$A118-'实盘净值数据(iFinD公式)'!$A$6)/365))</f>
        <v/>
      </c>
      <c r="C118" s="16" t="str">
        <f t="shared" si="13"/>
        <v/>
      </c>
      <c r="D118" s="16" t="str">
        <f>IF(B118="","",B118/MAX(B$5:B118)-1)</f>
        <v/>
      </c>
      <c r="E118" s="13" t="str">
        <f>IF(OR('实盘净值数据(iFinD公式)'!$A118="",'实盘净值数据(iFinD公式)'!$B118=""),"",分期持仓明细!$AB$18*SUMPRODUCT(分期持仓明细!$B$18:$Y$18,'实盘净值数据(iFinD公式)'!$B118:$Y118/'实盘净值数据(iFinD公式)'!$B$20:$Y$20)*(1-实盘持仓配置!$AM$5)^(('实盘净值数据(iFinD公式)'!$A118-'实盘净值数据(iFinD公式)'!$A$5)/365))</f>
        <v/>
      </c>
      <c r="F118" s="16" t="str">
        <f t="shared" si="14"/>
        <v/>
      </c>
      <c r="G118" s="16" t="str">
        <f>IF(E118="","",E118/MAX(E$5:E118)-1)</f>
        <v/>
      </c>
      <c r="H118" s="13" t="str">
        <f>IF(OR('实盘净值数据(iFinD公式)'!$A118="",'实盘净值数据(iFinD公式)'!$B118=""),"",分期持仓明细!$AB$19*SUMPRODUCT(分期持仓明细!$B$19:$Y$19,'实盘净值数据(iFinD公式)'!$B118:$Y118/'实盘净值数据(iFinD公式)'!$B$20:$Y$20)*(1-实盘持仓配置!$AM$6)^(('实盘净值数据(iFinD公式)'!$A118-'实盘净值数据(iFinD公式)'!$A$7)/365))</f>
        <v/>
      </c>
      <c r="I118" s="16" t="str">
        <f t="shared" si="15"/>
        <v/>
      </c>
      <c r="J118" s="16" t="str">
        <f>IF(H118="","",H118/MAX(H$5:H118)-1)</f>
        <v/>
      </c>
      <c r="K118" s="13" t="str">
        <f>IF(OR('实盘净值数据(iFinD公式)'!$A118="",'实盘净值数据(iFinD公式)'!$B118="",'实盘净值数据(iFinD公式)'!$Z118="",'实盘净值数据(iFinD公式)'!$AA118=""),"",分期持仓明细!$AB$23*(SUMPRODUCT(分期持仓明细!$B$23:$Y$23,'实盘净值数据(iFinD公式)'!$B118:$Y118/'实盘净值数据(iFinD公式)'!$B$65:$Y$65)+SUMPRODUCT(分期持仓明细!$AC$23:$AD$23,'实盘净值数据(iFinD公式)'!$Z118:$AA118/'实盘净值数据(iFinD公式)'!$Z$65:$AA$65))*(1-实盘持仓配置!$AM$7)^(('实盘净值数据(iFinD公式)'!$A118-'实盘净值数据(iFinD公式)'!$A$8)/365))</f>
        <v/>
      </c>
      <c r="L118" s="16" t="str">
        <f t="shared" si="16"/>
        <v/>
      </c>
      <c r="M118" s="16" t="str">
        <f>IF(K118="","",K118/MAX(K$5:K118)-1)</f>
        <v/>
      </c>
      <c r="N118" s="13" t="str">
        <f>IF(OR('实盘净值数据(iFinD公式)'!$A118="",'实盘净值数据(iFinD公式)'!$B118="",'实盘净值数据(iFinD公式)'!$Z118="",'实盘净值数据(iFinD公式)'!$AA118=""),"",分期持仓明细!$AB$24*(SUMPRODUCT(分期持仓明细!$B$24:$Y$24,'实盘净值数据(iFinD公式)'!$B118:$Y118/'实盘净值数据(iFinD公式)'!$B$65:$Y$65)+SUMPRODUCT(分期持仓明细!$AC$24:$AD$24,'实盘净值数据(iFinD公式)'!$Z118:$AA118/'实盘净值数据(iFinD公式)'!$Z$65:$AA$65))*(1-实盘持仓配置!$AM$8)^(('实盘净值数据(iFinD公式)'!$A118-'实盘净值数据(iFinD公式)'!$A$5)/365))</f>
        <v/>
      </c>
      <c r="O118" s="16" t="str">
        <f t="shared" si="17"/>
        <v/>
      </c>
      <c r="P118" s="16" t="str">
        <f>IF(N118="","",N118/MAX(N$5:N118)-1)</f>
        <v/>
      </c>
      <c r="Q118" s="13" t="str">
        <f>IF(OR('实盘净值数据(iFinD公式)'!$A118="",'实盘净值数据(iFinD公式)'!$B118="",'实盘净值数据(iFinD公式)'!$Z118="",'实盘净值数据(iFinD公式)'!$AA118=""),"",分期持仓明细!$AB$25*(SUMPRODUCT(分期持仓明细!$B$25:$Y$25,'实盘净值数据(iFinD公式)'!$B118:$Y118/'实盘净值数据(iFinD公式)'!$B$65:$Y$65)+SUMPRODUCT(分期持仓明细!$AC$25:$AD$25,'实盘净值数据(iFinD公式)'!$Z118:$AA118/'实盘净值数据(iFinD公式)'!$Z$65:$AA$65))*(1-实盘持仓配置!$AM$9)^(('实盘净值数据(iFinD公式)'!$A118-'实盘净值数据(iFinD公式)'!$A$8)/365))</f>
        <v/>
      </c>
      <c r="R118" s="16" t="str">
        <f t="shared" si="18"/>
        <v/>
      </c>
      <c r="S118" s="16" t="str">
        <f>IF(Q118="","",Q118/MAX(Q$5:Q118)-1)</f>
        <v/>
      </c>
      <c r="T118" s="13" t="str">
        <f>IF(OR('实盘净值数据(iFinD公式)'!$A118="",'实盘净值数据(iFinD公式)'!$B118="",'实盘净值数据(iFinD公式)'!$Z118="",'实盘净值数据(iFinD公式)'!$AA118="",'实盘净值数据(iFinD公式)'!$AB118="",'实盘净值数据(iFinD公式)'!$AL118=""),"",(SUMPRODUCT(分期持仓明细!$B$26:$Y$26,'实盘净值数据(iFinD公式)'!$B118:$Y118/'实盘净值数据(iFinD公式)'!$B$69:$Y$69)+SUMPRODUCT(分期持仓明细!$AC$26:$AD$26,'实盘净值数据(iFinD公式)'!$Z118:$AA118/'实盘净值数据(iFinD公式)'!$Z$69:$AA$69)+SUMPRODUCT(分期持仓明细!$AE$26:$AO$26,'实盘净值数据(iFinD公式)'!$AB118:$AL118/'实盘净值数据(iFinD公式)'!$AB$69:$AL$69))*(1-实盘持仓配置!$AM$10)^(('实盘净值数据(iFinD公式)'!$A118-'实盘净值数据(iFinD公式)'!$A$69)/365))</f>
        <v/>
      </c>
      <c r="U118" s="16" t="str">
        <f t="shared" si="19"/>
        <v/>
      </c>
      <c r="V118" s="16" t="str">
        <f>IF(T118="","",T118/MAX(T$5:T118)-1)</f>
        <v/>
      </c>
    </row>
    <row r="119" spans="1:22">
      <c r="A119" s="15" t="str">
        <f>IF('实盘净值数据(iFinD公式)'!A119="","",'实盘净值数据(iFinD公式)'!A119)</f>
        <v/>
      </c>
      <c r="B119" s="13" t="str">
        <f>IF(OR('实盘净值数据(iFinD公式)'!$A119="",'实盘净值数据(iFinD公式)'!$B119=""),"",分期持仓明细!$AB$17*SUMPRODUCT(分期持仓明细!$B$17:$Y$17,'实盘净值数据(iFinD公式)'!$B119:$Y119/'实盘净值数据(iFinD公式)'!$B$20:$Y$20)*(1-实盘持仓配置!$AM$4)^(('实盘净值数据(iFinD公式)'!$A119-'实盘净值数据(iFinD公式)'!$A$6)/365))</f>
        <v/>
      </c>
      <c r="C119" s="16" t="str">
        <f t="shared" si="13"/>
        <v/>
      </c>
      <c r="D119" s="16" t="str">
        <f>IF(B119="","",B119/MAX(B$5:B119)-1)</f>
        <v/>
      </c>
      <c r="E119" s="13" t="str">
        <f>IF(OR('实盘净值数据(iFinD公式)'!$A119="",'实盘净值数据(iFinD公式)'!$B119=""),"",分期持仓明细!$AB$18*SUMPRODUCT(分期持仓明细!$B$18:$Y$18,'实盘净值数据(iFinD公式)'!$B119:$Y119/'实盘净值数据(iFinD公式)'!$B$20:$Y$20)*(1-实盘持仓配置!$AM$5)^(('实盘净值数据(iFinD公式)'!$A119-'实盘净值数据(iFinD公式)'!$A$5)/365))</f>
        <v/>
      </c>
      <c r="F119" s="16" t="str">
        <f t="shared" si="14"/>
        <v/>
      </c>
      <c r="G119" s="16" t="str">
        <f>IF(E119="","",E119/MAX(E$5:E119)-1)</f>
        <v/>
      </c>
      <c r="H119" s="13" t="str">
        <f>IF(OR('实盘净值数据(iFinD公式)'!$A119="",'实盘净值数据(iFinD公式)'!$B119=""),"",分期持仓明细!$AB$19*SUMPRODUCT(分期持仓明细!$B$19:$Y$19,'实盘净值数据(iFinD公式)'!$B119:$Y119/'实盘净值数据(iFinD公式)'!$B$20:$Y$20)*(1-实盘持仓配置!$AM$6)^(('实盘净值数据(iFinD公式)'!$A119-'实盘净值数据(iFinD公式)'!$A$7)/365))</f>
        <v/>
      </c>
      <c r="I119" s="16" t="str">
        <f t="shared" si="15"/>
        <v/>
      </c>
      <c r="J119" s="16" t="str">
        <f>IF(H119="","",H119/MAX(H$5:H119)-1)</f>
        <v/>
      </c>
      <c r="K119" s="13" t="str">
        <f>IF(OR('实盘净值数据(iFinD公式)'!$A119="",'实盘净值数据(iFinD公式)'!$B119="",'实盘净值数据(iFinD公式)'!$Z119="",'实盘净值数据(iFinD公式)'!$AA119=""),"",分期持仓明细!$AB$23*(SUMPRODUCT(分期持仓明细!$B$23:$Y$23,'实盘净值数据(iFinD公式)'!$B119:$Y119/'实盘净值数据(iFinD公式)'!$B$65:$Y$65)+SUMPRODUCT(分期持仓明细!$AC$23:$AD$23,'实盘净值数据(iFinD公式)'!$Z119:$AA119/'实盘净值数据(iFinD公式)'!$Z$65:$AA$65))*(1-实盘持仓配置!$AM$7)^(('实盘净值数据(iFinD公式)'!$A119-'实盘净值数据(iFinD公式)'!$A$8)/365))</f>
        <v/>
      </c>
      <c r="L119" s="16" t="str">
        <f t="shared" si="16"/>
        <v/>
      </c>
      <c r="M119" s="16" t="str">
        <f>IF(K119="","",K119/MAX(K$5:K119)-1)</f>
        <v/>
      </c>
      <c r="N119" s="13" t="str">
        <f>IF(OR('实盘净值数据(iFinD公式)'!$A119="",'实盘净值数据(iFinD公式)'!$B119="",'实盘净值数据(iFinD公式)'!$Z119="",'实盘净值数据(iFinD公式)'!$AA119=""),"",分期持仓明细!$AB$24*(SUMPRODUCT(分期持仓明细!$B$24:$Y$24,'实盘净值数据(iFinD公式)'!$B119:$Y119/'实盘净值数据(iFinD公式)'!$B$65:$Y$65)+SUMPRODUCT(分期持仓明细!$AC$24:$AD$24,'实盘净值数据(iFinD公式)'!$Z119:$AA119/'实盘净值数据(iFinD公式)'!$Z$65:$AA$65))*(1-实盘持仓配置!$AM$8)^(('实盘净值数据(iFinD公式)'!$A119-'实盘净值数据(iFinD公式)'!$A$5)/365))</f>
        <v/>
      </c>
      <c r="O119" s="16" t="str">
        <f t="shared" si="17"/>
        <v/>
      </c>
      <c r="P119" s="16" t="str">
        <f>IF(N119="","",N119/MAX(N$5:N119)-1)</f>
        <v/>
      </c>
      <c r="Q119" s="13" t="str">
        <f>IF(OR('实盘净值数据(iFinD公式)'!$A119="",'实盘净值数据(iFinD公式)'!$B119="",'实盘净值数据(iFinD公式)'!$Z119="",'实盘净值数据(iFinD公式)'!$AA119=""),"",分期持仓明细!$AB$25*(SUMPRODUCT(分期持仓明细!$B$25:$Y$25,'实盘净值数据(iFinD公式)'!$B119:$Y119/'实盘净值数据(iFinD公式)'!$B$65:$Y$65)+SUMPRODUCT(分期持仓明细!$AC$25:$AD$25,'实盘净值数据(iFinD公式)'!$Z119:$AA119/'实盘净值数据(iFinD公式)'!$Z$65:$AA$65))*(1-实盘持仓配置!$AM$9)^(('实盘净值数据(iFinD公式)'!$A119-'实盘净值数据(iFinD公式)'!$A$8)/365))</f>
        <v/>
      </c>
      <c r="R119" s="16" t="str">
        <f t="shared" si="18"/>
        <v/>
      </c>
      <c r="S119" s="16" t="str">
        <f>IF(Q119="","",Q119/MAX(Q$5:Q119)-1)</f>
        <v/>
      </c>
      <c r="T119" s="13" t="str">
        <f>IF(OR('实盘净值数据(iFinD公式)'!$A119="",'实盘净值数据(iFinD公式)'!$B119="",'实盘净值数据(iFinD公式)'!$Z119="",'实盘净值数据(iFinD公式)'!$AA119="",'实盘净值数据(iFinD公式)'!$AB119="",'实盘净值数据(iFinD公式)'!$AL119=""),"",(SUMPRODUCT(分期持仓明细!$B$26:$Y$26,'实盘净值数据(iFinD公式)'!$B119:$Y119/'实盘净值数据(iFinD公式)'!$B$69:$Y$69)+SUMPRODUCT(分期持仓明细!$AC$26:$AD$26,'实盘净值数据(iFinD公式)'!$Z119:$AA119/'实盘净值数据(iFinD公式)'!$Z$69:$AA$69)+SUMPRODUCT(分期持仓明细!$AE$26:$AO$26,'实盘净值数据(iFinD公式)'!$AB119:$AL119/'实盘净值数据(iFinD公式)'!$AB$69:$AL$69))*(1-实盘持仓配置!$AM$10)^(('实盘净值数据(iFinD公式)'!$A119-'实盘净值数据(iFinD公式)'!$A$69)/365))</f>
        <v/>
      </c>
      <c r="U119" s="16" t="str">
        <f t="shared" si="19"/>
        <v/>
      </c>
      <c r="V119" s="16" t="str">
        <f>IF(T119="","",T119/MAX(T$5:T119)-1)</f>
        <v/>
      </c>
    </row>
    <row r="120" spans="1:22">
      <c r="A120" s="15" t="str">
        <f>IF('实盘净值数据(iFinD公式)'!A120="","",'实盘净值数据(iFinD公式)'!A120)</f>
        <v/>
      </c>
      <c r="B120" s="13" t="str">
        <f>IF(OR('实盘净值数据(iFinD公式)'!$A120="",'实盘净值数据(iFinD公式)'!$B120=""),"",分期持仓明细!$AB$17*SUMPRODUCT(分期持仓明细!$B$17:$Y$17,'实盘净值数据(iFinD公式)'!$B120:$Y120/'实盘净值数据(iFinD公式)'!$B$20:$Y$20)*(1-实盘持仓配置!$AM$4)^(('实盘净值数据(iFinD公式)'!$A120-'实盘净值数据(iFinD公式)'!$A$6)/365))</f>
        <v/>
      </c>
      <c r="C120" s="16" t="str">
        <f t="shared" si="13"/>
        <v/>
      </c>
      <c r="D120" s="16" t="str">
        <f>IF(B120="","",B120/MAX(B$5:B120)-1)</f>
        <v/>
      </c>
      <c r="E120" s="13" t="str">
        <f>IF(OR('实盘净值数据(iFinD公式)'!$A120="",'实盘净值数据(iFinD公式)'!$B120=""),"",分期持仓明细!$AB$18*SUMPRODUCT(分期持仓明细!$B$18:$Y$18,'实盘净值数据(iFinD公式)'!$B120:$Y120/'实盘净值数据(iFinD公式)'!$B$20:$Y$20)*(1-实盘持仓配置!$AM$5)^(('实盘净值数据(iFinD公式)'!$A120-'实盘净值数据(iFinD公式)'!$A$5)/365))</f>
        <v/>
      </c>
      <c r="F120" s="16" t="str">
        <f t="shared" si="14"/>
        <v/>
      </c>
      <c r="G120" s="16" t="str">
        <f>IF(E120="","",E120/MAX(E$5:E120)-1)</f>
        <v/>
      </c>
      <c r="H120" s="13" t="str">
        <f>IF(OR('实盘净值数据(iFinD公式)'!$A120="",'实盘净值数据(iFinD公式)'!$B120=""),"",分期持仓明细!$AB$19*SUMPRODUCT(分期持仓明细!$B$19:$Y$19,'实盘净值数据(iFinD公式)'!$B120:$Y120/'实盘净值数据(iFinD公式)'!$B$20:$Y$20)*(1-实盘持仓配置!$AM$6)^(('实盘净值数据(iFinD公式)'!$A120-'实盘净值数据(iFinD公式)'!$A$7)/365))</f>
        <v/>
      </c>
      <c r="I120" s="16" t="str">
        <f t="shared" si="15"/>
        <v/>
      </c>
      <c r="J120" s="16" t="str">
        <f>IF(H120="","",H120/MAX(H$5:H120)-1)</f>
        <v/>
      </c>
      <c r="K120" s="13" t="str">
        <f>IF(OR('实盘净值数据(iFinD公式)'!$A120="",'实盘净值数据(iFinD公式)'!$B120="",'实盘净值数据(iFinD公式)'!$Z120="",'实盘净值数据(iFinD公式)'!$AA120=""),"",分期持仓明细!$AB$23*(SUMPRODUCT(分期持仓明细!$B$23:$Y$23,'实盘净值数据(iFinD公式)'!$B120:$Y120/'实盘净值数据(iFinD公式)'!$B$65:$Y$65)+SUMPRODUCT(分期持仓明细!$AC$23:$AD$23,'实盘净值数据(iFinD公式)'!$Z120:$AA120/'实盘净值数据(iFinD公式)'!$Z$65:$AA$65))*(1-实盘持仓配置!$AM$7)^(('实盘净值数据(iFinD公式)'!$A120-'实盘净值数据(iFinD公式)'!$A$8)/365))</f>
        <v/>
      </c>
      <c r="L120" s="16" t="str">
        <f t="shared" si="16"/>
        <v/>
      </c>
      <c r="M120" s="16" t="str">
        <f>IF(K120="","",K120/MAX(K$5:K120)-1)</f>
        <v/>
      </c>
      <c r="N120" s="13" t="str">
        <f>IF(OR('实盘净值数据(iFinD公式)'!$A120="",'实盘净值数据(iFinD公式)'!$B120="",'实盘净值数据(iFinD公式)'!$Z120="",'实盘净值数据(iFinD公式)'!$AA120=""),"",分期持仓明细!$AB$24*(SUMPRODUCT(分期持仓明细!$B$24:$Y$24,'实盘净值数据(iFinD公式)'!$B120:$Y120/'实盘净值数据(iFinD公式)'!$B$65:$Y$65)+SUMPRODUCT(分期持仓明细!$AC$24:$AD$24,'实盘净值数据(iFinD公式)'!$Z120:$AA120/'实盘净值数据(iFinD公式)'!$Z$65:$AA$65))*(1-实盘持仓配置!$AM$8)^(('实盘净值数据(iFinD公式)'!$A120-'实盘净值数据(iFinD公式)'!$A$5)/365))</f>
        <v/>
      </c>
      <c r="O120" s="16" t="str">
        <f t="shared" si="17"/>
        <v/>
      </c>
      <c r="P120" s="16" t="str">
        <f>IF(N120="","",N120/MAX(N$5:N120)-1)</f>
        <v/>
      </c>
      <c r="Q120" s="13" t="str">
        <f>IF(OR('实盘净值数据(iFinD公式)'!$A120="",'实盘净值数据(iFinD公式)'!$B120="",'实盘净值数据(iFinD公式)'!$Z120="",'实盘净值数据(iFinD公式)'!$AA120=""),"",分期持仓明细!$AB$25*(SUMPRODUCT(分期持仓明细!$B$25:$Y$25,'实盘净值数据(iFinD公式)'!$B120:$Y120/'实盘净值数据(iFinD公式)'!$B$65:$Y$65)+SUMPRODUCT(分期持仓明细!$AC$25:$AD$25,'实盘净值数据(iFinD公式)'!$Z120:$AA120/'实盘净值数据(iFinD公式)'!$Z$65:$AA$65))*(1-实盘持仓配置!$AM$9)^(('实盘净值数据(iFinD公式)'!$A120-'实盘净值数据(iFinD公式)'!$A$8)/365))</f>
        <v/>
      </c>
      <c r="R120" s="16" t="str">
        <f t="shared" si="18"/>
        <v/>
      </c>
      <c r="S120" s="16" t="str">
        <f>IF(Q120="","",Q120/MAX(Q$5:Q120)-1)</f>
        <v/>
      </c>
      <c r="T120" s="13" t="str">
        <f>IF(OR('实盘净值数据(iFinD公式)'!$A120="",'实盘净值数据(iFinD公式)'!$B120="",'实盘净值数据(iFinD公式)'!$Z120="",'实盘净值数据(iFinD公式)'!$AA120="",'实盘净值数据(iFinD公式)'!$AB120="",'实盘净值数据(iFinD公式)'!$AL120=""),"",(SUMPRODUCT(分期持仓明细!$B$26:$Y$26,'实盘净值数据(iFinD公式)'!$B120:$Y120/'实盘净值数据(iFinD公式)'!$B$69:$Y$69)+SUMPRODUCT(分期持仓明细!$AC$26:$AD$26,'实盘净值数据(iFinD公式)'!$Z120:$AA120/'实盘净值数据(iFinD公式)'!$Z$69:$AA$69)+SUMPRODUCT(分期持仓明细!$AE$26:$AO$26,'实盘净值数据(iFinD公式)'!$AB120:$AL120/'实盘净值数据(iFinD公式)'!$AB$69:$AL$69))*(1-实盘持仓配置!$AM$10)^(('实盘净值数据(iFinD公式)'!$A120-'实盘净值数据(iFinD公式)'!$A$69)/365))</f>
        <v/>
      </c>
      <c r="U120" s="16" t="str">
        <f t="shared" si="19"/>
        <v/>
      </c>
      <c r="V120" s="16" t="str">
        <f>IF(T120="","",T120/MAX(T$5:T120)-1)</f>
        <v/>
      </c>
    </row>
    <row r="121" spans="1:22">
      <c r="A121" s="15" t="str">
        <f>IF('实盘净值数据(iFinD公式)'!A121="","",'实盘净值数据(iFinD公式)'!A121)</f>
        <v/>
      </c>
      <c r="B121" s="13" t="str">
        <f>IF(OR('实盘净值数据(iFinD公式)'!$A121="",'实盘净值数据(iFinD公式)'!$B121=""),"",分期持仓明细!$AB$17*SUMPRODUCT(分期持仓明细!$B$17:$Y$17,'实盘净值数据(iFinD公式)'!$B121:$Y121/'实盘净值数据(iFinD公式)'!$B$20:$Y$20)*(1-实盘持仓配置!$AM$4)^(('实盘净值数据(iFinD公式)'!$A121-'实盘净值数据(iFinD公式)'!$A$6)/365))</f>
        <v/>
      </c>
      <c r="C121" s="16" t="str">
        <f t="shared" si="13"/>
        <v/>
      </c>
      <c r="D121" s="16" t="str">
        <f>IF(B121="","",B121/MAX(B$5:B121)-1)</f>
        <v/>
      </c>
      <c r="E121" s="13" t="str">
        <f>IF(OR('实盘净值数据(iFinD公式)'!$A121="",'实盘净值数据(iFinD公式)'!$B121=""),"",分期持仓明细!$AB$18*SUMPRODUCT(分期持仓明细!$B$18:$Y$18,'实盘净值数据(iFinD公式)'!$B121:$Y121/'实盘净值数据(iFinD公式)'!$B$20:$Y$20)*(1-实盘持仓配置!$AM$5)^(('实盘净值数据(iFinD公式)'!$A121-'实盘净值数据(iFinD公式)'!$A$5)/365))</f>
        <v/>
      </c>
      <c r="F121" s="16" t="str">
        <f t="shared" si="14"/>
        <v/>
      </c>
      <c r="G121" s="16" t="str">
        <f>IF(E121="","",E121/MAX(E$5:E121)-1)</f>
        <v/>
      </c>
      <c r="H121" s="13" t="str">
        <f>IF(OR('实盘净值数据(iFinD公式)'!$A121="",'实盘净值数据(iFinD公式)'!$B121=""),"",分期持仓明细!$AB$19*SUMPRODUCT(分期持仓明细!$B$19:$Y$19,'实盘净值数据(iFinD公式)'!$B121:$Y121/'实盘净值数据(iFinD公式)'!$B$20:$Y$20)*(1-实盘持仓配置!$AM$6)^(('实盘净值数据(iFinD公式)'!$A121-'实盘净值数据(iFinD公式)'!$A$7)/365))</f>
        <v/>
      </c>
      <c r="I121" s="16" t="str">
        <f t="shared" si="15"/>
        <v/>
      </c>
      <c r="J121" s="16" t="str">
        <f>IF(H121="","",H121/MAX(H$5:H121)-1)</f>
        <v/>
      </c>
      <c r="K121" s="13" t="str">
        <f>IF(OR('实盘净值数据(iFinD公式)'!$A121="",'实盘净值数据(iFinD公式)'!$B121="",'实盘净值数据(iFinD公式)'!$Z121="",'实盘净值数据(iFinD公式)'!$AA121=""),"",分期持仓明细!$AB$23*(SUMPRODUCT(分期持仓明细!$B$23:$Y$23,'实盘净值数据(iFinD公式)'!$B121:$Y121/'实盘净值数据(iFinD公式)'!$B$65:$Y$65)+SUMPRODUCT(分期持仓明细!$AC$23:$AD$23,'实盘净值数据(iFinD公式)'!$Z121:$AA121/'实盘净值数据(iFinD公式)'!$Z$65:$AA$65))*(1-实盘持仓配置!$AM$7)^(('实盘净值数据(iFinD公式)'!$A121-'实盘净值数据(iFinD公式)'!$A$8)/365))</f>
        <v/>
      </c>
      <c r="L121" s="16" t="str">
        <f t="shared" si="16"/>
        <v/>
      </c>
      <c r="M121" s="16" t="str">
        <f>IF(K121="","",K121/MAX(K$5:K121)-1)</f>
        <v/>
      </c>
      <c r="N121" s="13" t="str">
        <f>IF(OR('实盘净值数据(iFinD公式)'!$A121="",'实盘净值数据(iFinD公式)'!$B121="",'实盘净值数据(iFinD公式)'!$Z121="",'实盘净值数据(iFinD公式)'!$AA121=""),"",分期持仓明细!$AB$24*(SUMPRODUCT(分期持仓明细!$B$24:$Y$24,'实盘净值数据(iFinD公式)'!$B121:$Y121/'实盘净值数据(iFinD公式)'!$B$65:$Y$65)+SUMPRODUCT(分期持仓明细!$AC$24:$AD$24,'实盘净值数据(iFinD公式)'!$Z121:$AA121/'实盘净值数据(iFinD公式)'!$Z$65:$AA$65))*(1-实盘持仓配置!$AM$8)^(('实盘净值数据(iFinD公式)'!$A121-'实盘净值数据(iFinD公式)'!$A$5)/365))</f>
        <v/>
      </c>
      <c r="O121" s="16" t="str">
        <f t="shared" si="17"/>
        <v/>
      </c>
      <c r="P121" s="16" t="str">
        <f>IF(N121="","",N121/MAX(N$5:N121)-1)</f>
        <v/>
      </c>
      <c r="Q121" s="13" t="str">
        <f>IF(OR('实盘净值数据(iFinD公式)'!$A121="",'实盘净值数据(iFinD公式)'!$B121="",'实盘净值数据(iFinD公式)'!$Z121="",'实盘净值数据(iFinD公式)'!$AA121=""),"",分期持仓明细!$AB$25*(SUMPRODUCT(分期持仓明细!$B$25:$Y$25,'实盘净值数据(iFinD公式)'!$B121:$Y121/'实盘净值数据(iFinD公式)'!$B$65:$Y$65)+SUMPRODUCT(分期持仓明细!$AC$25:$AD$25,'实盘净值数据(iFinD公式)'!$Z121:$AA121/'实盘净值数据(iFinD公式)'!$Z$65:$AA$65))*(1-实盘持仓配置!$AM$9)^(('实盘净值数据(iFinD公式)'!$A121-'实盘净值数据(iFinD公式)'!$A$8)/365))</f>
        <v/>
      </c>
      <c r="R121" s="16" t="str">
        <f t="shared" si="18"/>
        <v/>
      </c>
      <c r="S121" s="16" t="str">
        <f>IF(Q121="","",Q121/MAX(Q$5:Q121)-1)</f>
        <v/>
      </c>
      <c r="T121" s="13" t="str">
        <f>IF(OR('实盘净值数据(iFinD公式)'!$A121="",'实盘净值数据(iFinD公式)'!$B121="",'实盘净值数据(iFinD公式)'!$Z121="",'实盘净值数据(iFinD公式)'!$AA121="",'实盘净值数据(iFinD公式)'!$AB121="",'实盘净值数据(iFinD公式)'!$AL121=""),"",(SUMPRODUCT(分期持仓明细!$B$26:$Y$26,'实盘净值数据(iFinD公式)'!$B121:$Y121/'实盘净值数据(iFinD公式)'!$B$69:$Y$69)+SUMPRODUCT(分期持仓明细!$AC$26:$AD$26,'实盘净值数据(iFinD公式)'!$Z121:$AA121/'实盘净值数据(iFinD公式)'!$Z$69:$AA$69)+SUMPRODUCT(分期持仓明细!$AE$26:$AO$26,'实盘净值数据(iFinD公式)'!$AB121:$AL121/'实盘净值数据(iFinD公式)'!$AB$69:$AL$69))*(1-实盘持仓配置!$AM$10)^(('实盘净值数据(iFinD公式)'!$A121-'实盘净值数据(iFinD公式)'!$A$69)/365))</f>
        <v/>
      </c>
      <c r="U121" s="16" t="str">
        <f t="shared" si="19"/>
        <v/>
      </c>
      <c r="V121" s="16" t="str">
        <f>IF(T121="","",T121/MAX(T$5:T121)-1)</f>
        <v/>
      </c>
    </row>
    <row r="122" spans="1:22">
      <c r="A122" s="15" t="str">
        <f>IF('实盘净值数据(iFinD公式)'!A122="","",'实盘净值数据(iFinD公式)'!A122)</f>
        <v/>
      </c>
      <c r="B122" s="13" t="str">
        <f>IF(OR('实盘净值数据(iFinD公式)'!$A122="",'实盘净值数据(iFinD公式)'!$B122=""),"",分期持仓明细!$AB$17*SUMPRODUCT(分期持仓明细!$B$17:$Y$17,'实盘净值数据(iFinD公式)'!$B122:$Y122/'实盘净值数据(iFinD公式)'!$B$20:$Y$20)*(1-实盘持仓配置!$AM$4)^(('实盘净值数据(iFinD公式)'!$A122-'实盘净值数据(iFinD公式)'!$A$6)/365))</f>
        <v/>
      </c>
      <c r="C122" s="16" t="str">
        <f t="shared" si="13"/>
        <v/>
      </c>
      <c r="D122" s="16" t="str">
        <f>IF(B122="","",B122/MAX(B$5:B122)-1)</f>
        <v/>
      </c>
      <c r="E122" s="13" t="str">
        <f>IF(OR('实盘净值数据(iFinD公式)'!$A122="",'实盘净值数据(iFinD公式)'!$B122=""),"",分期持仓明细!$AB$18*SUMPRODUCT(分期持仓明细!$B$18:$Y$18,'实盘净值数据(iFinD公式)'!$B122:$Y122/'实盘净值数据(iFinD公式)'!$B$20:$Y$20)*(1-实盘持仓配置!$AM$5)^(('实盘净值数据(iFinD公式)'!$A122-'实盘净值数据(iFinD公式)'!$A$5)/365))</f>
        <v/>
      </c>
      <c r="F122" s="16" t="str">
        <f t="shared" si="14"/>
        <v/>
      </c>
      <c r="G122" s="16" t="str">
        <f>IF(E122="","",E122/MAX(E$5:E122)-1)</f>
        <v/>
      </c>
      <c r="H122" s="13" t="str">
        <f>IF(OR('实盘净值数据(iFinD公式)'!$A122="",'实盘净值数据(iFinD公式)'!$B122=""),"",分期持仓明细!$AB$19*SUMPRODUCT(分期持仓明细!$B$19:$Y$19,'实盘净值数据(iFinD公式)'!$B122:$Y122/'实盘净值数据(iFinD公式)'!$B$20:$Y$20)*(1-实盘持仓配置!$AM$6)^(('实盘净值数据(iFinD公式)'!$A122-'实盘净值数据(iFinD公式)'!$A$7)/365))</f>
        <v/>
      </c>
      <c r="I122" s="16" t="str">
        <f t="shared" si="15"/>
        <v/>
      </c>
      <c r="J122" s="16" t="str">
        <f>IF(H122="","",H122/MAX(H$5:H122)-1)</f>
        <v/>
      </c>
      <c r="K122" s="13" t="str">
        <f>IF(OR('实盘净值数据(iFinD公式)'!$A122="",'实盘净值数据(iFinD公式)'!$B122="",'实盘净值数据(iFinD公式)'!$Z122="",'实盘净值数据(iFinD公式)'!$AA122=""),"",分期持仓明细!$AB$23*(SUMPRODUCT(分期持仓明细!$B$23:$Y$23,'实盘净值数据(iFinD公式)'!$B122:$Y122/'实盘净值数据(iFinD公式)'!$B$65:$Y$65)+SUMPRODUCT(分期持仓明细!$AC$23:$AD$23,'实盘净值数据(iFinD公式)'!$Z122:$AA122/'实盘净值数据(iFinD公式)'!$Z$65:$AA$65))*(1-实盘持仓配置!$AM$7)^(('实盘净值数据(iFinD公式)'!$A122-'实盘净值数据(iFinD公式)'!$A$8)/365))</f>
        <v/>
      </c>
      <c r="L122" s="16" t="str">
        <f t="shared" si="16"/>
        <v/>
      </c>
      <c r="M122" s="16" t="str">
        <f>IF(K122="","",K122/MAX(K$5:K122)-1)</f>
        <v/>
      </c>
      <c r="N122" s="13" t="str">
        <f>IF(OR('实盘净值数据(iFinD公式)'!$A122="",'实盘净值数据(iFinD公式)'!$B122="",'实盘净值数据(iFinD公式)'!$Z122="",'实盘净值数据(iFinD公式)'!$AA122=""),"",分期持仓明细!$AB$24*(SUMPRODUCT(分期持仓明细!$B$24:$Y$24,'实盘净值数据(iFinD公式)'!$B122:$Y122/'实盘净值数据(iFinD公式)'!$B$65:$Y$65)+SUMPRODUCT(分期持仓明细!$AC$24:$AD$24,'实盘净值数据(iFinD公式)'!$Z122:$AA122/'实盘净值数据(iFinD公式)'!$Z$65:$AA$65))*(1-实盘持仓配置!$AM$8)^(('实盘净值数据(iFinD公式)'!$A122-'实盘净值数据(iFinD公式)'!$A$5)/365))</f>
        <v/>
      </c>
      <c r="O122" s="16" t="str">
        <f t="shared" si="17"/>
        <v/>
      </c>
      <c r="P122" s="16" t="str">
        <f>IF(N122="","",N122/MAX(N$5:N122)-1)</f>
        <v/>
      </c>
      <c r="Q122" s="13" t="str">
        <f>IF(OR('实盘净值数据(iFinD公式)'!$A122="",'实盘净值数据(iFinD公式)'!$B122="",'实盘净值数据(iFinD公式)'!$Z122="",'实盘净值数据(iFinD公式)'!$AA122=""),"",分期持仓明细!$AB$25*(SUMPRODUCT(分期持仓明细!$B$25:$Y$25,'实盘净值数据(iFinD公式)'!$B122:$Y122/'实盘净值数据(iFinD公式)'!$B$65:$Y$65)+SUMPRODUCT(分期持仓明细!$AC$25:$AD$25,'实盘净值数据(iFinD公式)'!$Z122:$AA122/'实盘净值数据(iFinD公式)'!$Z$65:$AA$65))*(1-实盘持仓配置!$AM$9)^(('实盘净值数据(iFinD公式)'!$A122-'实盘净值数据(iFinD公式)'!$A$8)/365))</f>
        <v/>
      </c>
      <c r="R122" s="16" t="str">
        <f t="shared" si="18"/>
        <v/>
      </c>
      <c r="S122" s="16" t="str">
        <f>IF(Q122="","",Q122/MAX(Q$5:Q122)-1)</f>
        <v/>
      </c>
      <c r="T122" s="13" t="str">
        <f>IF(OR('实盘净值数据(iFinD公式)'!$A122="",'实盘净值数据(iFinD公式)'!$B122="",'实盘净值数据(iFinD公式)'!$Z122="",'实盘净值数据(iFinD公式)'!$AA122="",'实盘净值数据(iFinD公式)'!$AB122="",'实盘净值数据(iFinD公式)'!$AL122=""),"",(SUMPRODUCT(分期持仓明细!$B$26:$Y$26,'实盘净值数据(iFinD公式)'!$B122:$Y122/'实盘净值数据(iFinD公式)'!$B$69:$Y$69)+SUMPRODUCT(分期持仓明细!$AC$26:$AD$26,'实盘净值数据(iFinD公式)'!$Z122:$AA122/'实盘净值数据(iFinD公式)'!$Z$69:$AA$69)+SUMPRODUCT(分期持仓明细!$AE$26:$AO$26,'实盘净值数据(iFinD公式)'!$AB122:$AL122/'实盘净值数据(iFinD公式)'!$AB$69:$AL$69))*(1-实盘持仓配置!$AM$10)^(('实盘净值数据(iFinD公式)'!$A122-'实盘净值数据(iFinD公式)'!$A$69)/365))</f>
        <v/>
      </c>
      <c r="U122" s="16" t="str">
        <f t="shared" si="19"/>
        <v/>
      </c>
      <c r="V122" s="16" t="str">
        <f>IF(T122="","",T122/MAX(T$5:T122)-1)</f>
        <v/>
      </c>
    </row>
    <row r="123" spans="1:22">
      <c r="A123" s="15" t="str">
        <f>IF('实盘净值数据(iFinD公式)'!A123="","",'实盘净值数据(iFinD公式)'!A123)</f>
        <v/>
      </c>
      <c r="B123" s="13" t="str">
        <f>IF(OR('实盘净值数据(iFinD公式)'!$A123="",'实盘净值数据(iFinD公式)'!$B123=""),"",分期持仓明细!$AB$17*SUMPRODUCT(分期持仓明细!$B$17:$Y$17,'实盘净值数据(iFinD公式)'!$B123:$Y123/'实盘净值数据(iFinD公式)'!$B$20:$Y$20)*(1-实盘持仓配置!$AM$4)^(('实盘净值数据(iFinD公式)'!$A123-'实盘净值数据(iFinD公式)'!$A$6)/365))</f>
        <v/>
      </c>
      <c r="C123" s="16" t="str">
        <f t="shared" si="13"/>
        <v/>
      </c>
      <c r="D123" s="16" t="str">
        <f>IF(B123="","",B123/MAX(B$5:B123)-1)</f>
        <v/>
      </c>
      <c r="E123" s="13" t="str">
        <f>IF(OR('实盘净值数据(iFinD公式)'!$A123="",'实盘净值数据(iFinD公式)'!$B123=""),"",分期持仓明细!$AB$18*SUMPRODUCT(分期持仓明细!$B$18:$Y$18,'实盘净值数据(iFinD公式)'!$B123:$Y123/'实盘净值数据(iFinD公式)'!$B$20:$Y$20)*(1-实盘持仓配置!$AM$5)^(('实盘净值数据(iFinD公式)'!$A123-'实盘净值数据(iFinD公式)'!$A$5)/365))</f>
        <v/>
      </c>
      <c r="F123" s="16" t="str">
        <f t="shared" si="14"/>
        <v/>
      </c>
      <c r="G123" s="16" t="str">
        <f>IF(E123="","",E123/MAX(E$5:E123)-1)</f>
        <v/>
      </c>
      <c r="H123" s="13" t="str">
        <f>IF(OR('实盘净值数据(iFinD公式)'!$A123="",'实盘净值数据(iFinD公式)'!$B123=""),"",分期持仓明细!$AB$19*SUMPRODUCT(分期持仓明细!$B$19:$Y$19,'实盘净值数据(iFinD公式)'!$B123:$Y123/'实盘净值数据(iFinD公式)'!$B$20:$Y$20)*(1-实盘持仓配置!$AM$6)^(('实盘净值数据(iFinD公式)'!$A123-'实盘净值数据(iFinD公式)'!$A$7)/365))</f>
        <v/>
      </c>
      <c r="I123" s="16" t="str">
        <f t="shared" si="15"/>
        <v/>
      </c>
      <c r="J123" s="16" t="str">
        <f>IF(H123="","",H123/MAX(H$5:H123)-1)</f>
        <v/>
      </c>
      <c r="K123" s="13" t="str">
        <f>IF(OR('实盘净值数据(iFinD公式)'!$A123="",'实盘净值数据(iFinD公式)'!$B123="",'实盘净值数据(iFinD公式)'!$Z123="",'实盘净值数据(iFinD公式)'!$AA123=""),"",分期持仓明细!$AB$23*(SUMPRODUCT(分期持仓明细!$B$23:$Y$23,'实盘净值数据(iFinD公式)'!$B123:$Y123/'实盘净值数据(iFinD公式)'!$B$65:$Y$65)+SUMPRODUCT(分期持仓明细!$AC$23:$AD$23,'实盘净值数据(iFinD公式)'!$Z123:$AA123/'实盘净值数据(iFinD公式)'!$Z$65:$AA$65))*(1-实盘持仓配置!$AM$7)^(('实盘净值数据(iFinD公式)'!$A123-'实盘净值数据(iFinD公式)'!$A$8)/365))</f>
        <v/>
      </c>
      <c r="L123" s="16" t="str">
        <f t="shared" si="16"/>
        <v/>
      </c>
      <c r="M123" s="16" t="str">
        <f>IF(K123="","",K123/MAX(K$5:K123)-1)</f>
        <v/>
      </c>
      <c r="N123" s="13" t="str">
        <f>IF(OR('实盘净值数据(iFinD公式)'!$A123="",'实盘净值数据(iFinD公式)'!$B123="",'实盘净值数据(iFinD公式)'!$Z123="",'实盘净值数据(iFinD公式)'!$AA123=""),"",分期持仓明细!$AB$24*(SUMPRODUCT(分期持仓明细!$B$24:$Y$24,'实盘净值数据(iFinD公式)'!$B123:$Y123/'实盘净值数据(iFinD公式)'!$B$65:$Y$65)+SUMPRODUCT(分期持仓明细!$AC$24:$AD$24,'实盘净值数据(iFinD公式)'!$Z123:$AA123/'实盘净值数据(iFinD公式)'!$Z$65:$AA$65))*(1-实盘持仓配置!$AM$8)^(('实盘净值数据(iFinD公式)'!$A123-'实盘净值数据(iFinD公式)'!$A$5)/365))</f>
        <v/>
      </c>
      <c r="O123" s="16" t="str">
        <f t="shared" si="17"/>
        <v/>
      </c>
      <c r="P123" s="16" t="str">
        <f>IF(N123="","",N123/MAX(N$5:N123)-1)</f>
        <v/>
      </c>
      <c r="Q123" s="13" t="str">
        <f>IF(OR('实盘净值数据(iFinD公式)'!$A123="",'实盘净值数据(iFinD公式)'!$B123="",'实盘净值数据(iFinD公式)'!$Z123="",'实盘净值数据(iFinD公式)'!$AA123=""),"",分期持仓明细!$AB$25*(SUMPRODUCT(分期持仓明细!$B$25:$Y$25,'实盘净值数据(iFinD公式)'!$B123:$Y123/'实盘净值数据(iFinD公式)'!$B$65:$Y$65)+SUMPRODUCT(分期持仓明细!$AC$25:$AD$25,'实盘净值数据(iFinD公式)'!$Z123:$AA123/'实盘净值数据(iFinD公式)'!$Z$65:$AA$65))*(1-实盘持仓配置!$AM$9)^(('实盘净值数据(iFinD公式)'!$A123-'实盘净值数据(iFinD公式)'!$A$8)/365))</f>
        <v/>
      </c>
      <c r="R123" s="16" t="str">
        <f t="shared" si="18"/>
        <v/>
      </c>
      <c r="S123" s="16" t="str">
        <f>IF(Q123="","",Q123/MAX(Q$5:Q123)-1)</f>
        <v/>
      </c>
      <c r="T123" s="13" t="str">
        <f>IF(OR('实盘净值数据(iFinD公式)'!$A123="",'实盘净值数据(iFinD公式)'!$B123="",'实盘净值数据(iFinD公式)'!$Z123="",'实盘净值数据(iFinD公式)'!$AA123="",'实盘净值数据(iFinD公式)'!$AB123="",'实盘净值数据(iFinD公式)'!$AL123=""),"",(SUMPRODUCT(分期持仓明细!$B$26:$Y$26,'实盘净值数据(iFinD公式)'!$B123:$Y123/'实盘净值数据(iFinD公式)'!$B$69:$Y$69)+SUMPRODUCT(分期持仓明细!$AC$26:$AD$26,'实盘净值数据(iFinD公式)'!$Z123:$AA123/'实盘净值数据(iFinD公式)'!$Z$69:$AA$69)+SUMPRODUCT(分期持仓明细!$AE$26:$AO$26,'实盘净值数据(iFinD公式)'!$AB123:$AL123/'实盘净值数据(iFinD公式)'!$AB$69:$AL$69))*(1-实盘持仓配置!$AM$10)^(('实盘净值数据(iFinD公式)'!$A123-'实盘净值数据(iFinD公式)'!$A$69)/365))</f>
        <v/>
      </c>
      <c r="U123" s="16" t="str">
        <f t="shared" si="19"/>
        <v/>
      </c>
      <c r="V123" s="16" t="str">
        <f>IF(T123="","",T123/MAX(T$5:T123)-1)</f>
        <v/>
      </c>
    </row>
    <row r="124" spans="1:22">
      <c r="A124" s="15" t="str">
        <f>IF('实盘净值数据(iFinD公式)'!A124="","",'实盘净值数据(iFinD公式)'!A124)</f>
        <v/>
      </c>
      <c r="B124" s="13" t="str">
        <f>IF(OR('实盘净值数据(iFinD公式)'!$A124="",'实盘净值数据(iFinD公式)'!$B124=""),"",分期持仓明细!$AB$17*SUMPRODUCT(分期持仓明细!$B$17:$Y$17,'实盘净值数据(iFinD公式)'!$B124:$Y124/'实盘净值数据(iFinD公式)'!$B$20:$Y$20)*(1-实盘持仓配置!$AM$4)^(('实盘净值数据(iFinD公式)'!$A124-'实盘净值数据(iFinD公式)'!$A$6)/365))</f>
        <v/>
      </c>
      <c r="C124" s="16" t="str">
        <f t="shared" si="13"/>
        <v/>
      </c>
      <c r="D124" s="16" t="str">
        <f>IF(B124="","",B124/MAX(B$5:B124)-1)</f>
        <v/>
      </c>
      <c r="E124" s="13" t="str">
        <f>IF(OR('实盘净值数据(iFinD公式)'!$A124="",'实盘净值数据(iFinD公式)'!$B124=""),"",分期持仓明细!$AB$18*SUMPRODUCT(分期持仓明细!$B$18:$Y$18,'实盘净值数据(iFinD公式)'!$B124:$Y124/'实盘净值数据(iFinD公式)'!$B$20:$Y$20)*(1-实盘持仓配置!$AM$5)^(('实盘净值数据(iFinD公式)'!$A124-'实盘净值数据(iFinD公式)'!$A$5)/365))</f>
        <v/>
      </c>
      <c r="F124" s="16" t="str">
        <f t="shared" si="14"/>
        <v/>
      </c>
      <c r="G124" s="16" t="str">
        <f>IF(E124="","",E124/MAX(E$5:E124)-1)</f>
        <v/>
      </c>
      <c r="H124" s="13" t="str">
        <f>IF(OR('实盘净值数据(iFinD公式)'!$A124="",'实盘净值数据(iFinD公式)'!$B124=""),"",分期持仓明细!$AB$19*SUMPRODUCT(分期持仓明细!$B$19:$Y$19,'实盘净值数据(iFinD公式)'!$B124:$Y124/'实盘净值数据(iFinD公式)'!$B$20:$Y$20)*(1-实盘持仓配置!$AM$6)^(('实盘净值数据(iFinD公式)'!$A124-'实盘净值数据(iFinD公式)'!$A$7)/365))</f>
        <v/>
      </c>
      <c r="I124" s="16" t="str">
        <f t="shared" si="15"/>
        <v/>
      </c>
      <c r="J124" s="16" t="str">
        <f>IF(H124="","",H124/MAX(H$5:H124)-1)</f>
        <v/>
      </c>
      <c r="K124" s="13" t="str">
        <f>IF(OR('实盘净值数据(iFinD公式)'!$A124="",'实盘净值数据(iFinD公式)'!$B124="",'实盘净值数据(iFinD公式)'!$Z124="",'实盘净值数据(iFinD公式)'!$AA124=""),"",分期持仓明细!$AB$23*(SUMPRODUCT(分期持仓明细!$B$23:$Y$23,'实盘净值数据(iFinD公式)'!$B124:$Y124/'实盘净值数据(iFinD公式)'!$B$65:$Y$65)+SUMPRODUCT(分期持仓明细!$AC$23:$AD$23,'实盘净值数据(iFinD公式)'!$Z124:$AA124/'实盘净值数据(iFinD公式)'!$Z$65:$AA$65))*(1-实盘持仓配置!$AM$7)^(('实盘净值数据(iFinD公式)'!$A124-'实盘净值数据(iFinD公式)'!$A$8)/365))</f>
        <v/>
      </c>
      <c r="L124" s="16" t="str">
        <f t="shared" si="16"/>
        <v/>
      </c>
      <c r="M124" s="16" t="str">
        <f>IF(K124="","",K124/MAX(K$5:K124)-1)</f>
        <v/>
      </c>
      <c r="N124" s="13" t="str">
        <f>IF(OR('实盘净值数据(iFinD公式)'!$A124="",'实盘净值数据(iFinD公式)'!$B124="",'实盘净值数据(iFinD公式)'!$Z124="",'实盘净值数据(iFinD公式)'!$AA124=""),"",分期持仓明细!$AB$24*(SUMPRODUCT(分期持仓明细!$B$24:$Y$24,'实盘净值数据(iFinD公式)'!$B124:$Y124/'实盘净值数据(iFinD公式)'!$B$65:$Y$65)+SUMPRODUCT(分期持仓明细!$AC$24:$AD$24,'实盘净值数据(iFinD公式)'!$Z124:$AA124/'实盘净值数据(iFinD公式)'!$Z$65:$AA$65))*(1-实盘持仓配置!$AM$8)^(('实盘净值数据(iFinD公式)'!$A124-'实盘净值数据(iFinD公式)'!$A$5)/365))</f>
        <v/>
      </c>
      <c r="O124" s="16" t="str">
        <f t="shared" si="17"/>
        <v/>
      </c>
      <c r="P124" s="16" t="str">
        <f>IF(N124="","",N124/MAX(N$5:N124)-1)</f>
        <v/>
      </c>
      <c r="Q124" s="13" t="str">
        <f>IF(OR('实盘净值数据(iFinD公式)'!$A124="",'实盘净值数据(iFinD公式)'!$B124="",'实盘净值数据(iFinD公式)'!$Z124="",'实盘净值数据(iFinD公式)'!$AA124=""),"",分期持仓明细!$AB$25*(SUMPRODUCT(分期持仓明细!$B$25:$Y$25,'实盘净值数据(iFinD公式)'!$B124:$Y124/'实盘净值数据(iFinD公式)'!$B$65:$Y$65)+SUMPRODUCT(分期持仓明细!$AC$25:$AD$25,'实盘净值数据(iFinD公式)'!$Z124:$AA124/'实盘净值数据(iFinD公式)'!$Z$65:$AA$65))*(1-实盘持仓配置!$AM$9)^(('实盘净值数据(iFinD公式)'!$A124-'实盘净值数据(iFinD公式)'!$A$8)/365))</f>
        <v/>
      </c>
      <c r="R124" s="16" t="str">
        <f t="shared" si="18"/>
        <v/>
      </c>
      <c r="S124" s="16" t="str">
        <f>IF(Q124="","",Q124/MAX(Q$5:Q124)-1)</f>
        <v/>
      </c>
      <c r="T124" s="13" t="str">
        <f>IF(OR('实盘净值数据(iFinD公式)'!$A124="",'实盘净值数据(iFinD公式)'!$B124="",'实盘净值数据(iFinD公式)'!$Z124="",'实盘净值数据(iFinD公式)'!$AA124="",'实盘净值数据(iFinD公式)'!$AB124="",'实盘净值数据(iFinD公式)'!$AL124=""),"",(SUMPRODUCT(分期持仓明细!$B$26:$Y$26,'实盘净值数据(iFinD公式)'!$B124:$Y124/'实盘净值数据(iFinD公式)'!$B$69:$Y$69)+SUMPRODUCT(分期持仓明细!$AC$26:$AD$26,'实盘净值数据(iFinD公式)'!$Z124:$AA124/'实盘净值数据(iFinD公式)'!$Z$69:$AA$69)+SUMPRODUCT(分期持仓明细!$AE$26:$AO$26,'实盘净值数据(iFinD公式)'!$AB124:$AL124/'实盘净值数据(iFinD公式)'!$AB$69:$AL$69))*(1-实盘持仓配置!$AM$10)^(('实盘净值数据(iFinD公式)'!$A124-'实盘净值数据(iFinD公式)'!$A$69)/365))</f>
        <v/>
      </c>
      <c r="U124" s="16" t="str">
        <f t="shared" si="19"/>
        <v/>
      </c>
      <c r="V124" s="16" t="str">
        <f>IF(T124="","",T124/MAX(T$5:T124)-1)</f>
        <v/>
      </c>
    </row>
    <row r="125" spans="1:22">
      <c r="A125" s="15" t="str">
        <f>IF('实盘净值数据(iFinD公式)'!A125="","",'实盘净值数据(iFinD公式)'!A125)</f>
        <v/>
      </c>
      <c r="B125" s="13" t="str">
        <f>IF(OR('实盘净值数据(iFinD公式)'!$A125="",'实盘净值数据(iFinD公式)'!$B125=""),"",分期持仓明细!$AB$17*SUMPRODUCT(分期持仓明细!$B$17:$Y$17,'实盘净值数据(iFinD公式)'!$B125:$Y125/'实盘净值数据(iFinD公式)'!$B$20:$Y$20)*(1-实盘持仓配置!$AM$4)^(('实盘净值数据(iFinD公式)'!$A125-'实盘净值数据(iFinD公式)'!$A$6)/365))</f>
        <v/>
      </c>
      <c r="C125" s="16" t="str">
        <f t="shared" si="13"/>
        <v/>
      </c>
      <c r="D125" s="16" t="str">
        <f>IF(B125="","",B125/MAX(B$5:B125)-1)</f>
        <v/>
      </c>
      <c r="E125" s="13" t="str">
        <f>IF(OR('实盘净值数据(iFinD公式)'!$A125="",'实盘净值数据(iFinD公式)'!$B125=""),"",分期持仓明细!$AB$18*SUMPRODUCT(分期持仓明细!$B$18:$Y$18,'实盘净值数据(iFinD公式)'!$B125:$Y125/'实盘净值数据(iFinD公式)'!$B$20:$Y$20)*(1-实盘持仓配置!$AM$5)^(('实盘净值数据(iFinD公式)'!$A125-'实盘净值数据(iFinD公式)'!$A$5)/365))</f>
        <v/>
      </c>
      <c r="F125" s="16" t="str">
        <f t="shared" si="14"/>
        <v/>
      </c>
      <c r="G125" s="16" t="str">
        <f>IF(E125="","",E125/MAX(E$5:E125)-1)</f>
        <v/>
      </c>
      <c r="H125" s="13" t="str">
        <f>IF(OR('实盘净值数据(iFinD公式)'!$A125="",'实盘净值数据(iFinD公式)'!$B125=""),"",分期持仓明细!$AB$19*SUMPRODUCT(分期持仓明细!$B$19:$Y$19,'实盘净值数据(iFinD公式)'!$B125:$Y125/'实盘净值数据(iFinD公式)'!$B$20:$Y$20)*(1-实盘持仓配置!$AM$6)^(('实盘净值数据(iFinD公式)'!$A125-'实盘净值数据(iFinD公式)'!$A$7)/365))</f>
        <v/>
      </c>
      <c r="I125" s="16" t="str">
        <f t="shared" si="15"/>
        <v/>
      </c>
      <c r="J125" s="16" t="str">
        <f>IF(H125="","",H125/MAX(H$5:H125)-1)</f>
        <v/>
      </c>
      <c r="K125" s="13" t="str">
        <f>IF(OR('实盘净值数据(iFinD公式)'!$A125="",'实盘净值数据(iFinD公式)'!$B125="",'实盘净值数据(iFinD公式)'!$Z125="",'实盘净值数据(iFinD公式)'!$AA125=""),"",分期持仓明细!$AB$23*(SUMPRODUCT(分期持仓明细!$B$23:$Y$23,'实盘净值数据(iFinD公式)'!$B125:$Y125/'实盘净值数据(iFinD公式)'!$B$65:$Y$65)+SUMPRODUCT(分期持仓明细!$AC$23:$AD$23,'实盘净值数据(iFinD公式)'!$Z125:$AA125/'实盘净值数据(iFinD公式)'!$Z$65:$AA$65))*(1-实盘持仓配置!$AM$7)^(('实盘净值数据(iFinD公式)'!$A125-'实盘净值数据(iFinD公式)'!$A$8)/365))</f>
        <v/>
      </c>
      <c r="L125" s="16" t="str">
        <f t="shared" si="16"/>
        <v/>
      </c>
      <c r="M125" s="16" t="str">
        <f>IF(K125="","",K125/MAX(K$5:K125)-1)</f>
        <v/>
      </c>
      <c r="N125" s="13" t="str">
        <f>IF(OR('实盘净值数据(iFinD公式)'!$A125="",'实盘净值数据(iFinD公式)'!$B125="",'实盘净值数据(iFinD公式)'!$Z125="",'实盘净值数据(iFinD公式)'!$AA125=""),"",分期持仓明细!$AB$24*(SUMPRODUCT(分期持仓明细!$B$24:$Y$24,'实盘净值数据(iFinD公式)'!$B125:$Y125/'实盘净值数据(iFinD公式)'!$B$65:$Y$65)+SUMPRODUCT(分期持仓明细!$AC$24:$AD$24,'实盘净值数据(iFinD公式)'!$Z125:$AA125/'实盘净值数据(iFinD公式)'!$Z$65:$AA$65))*(1-实盘持仓配置!$AM$8)^(('实盘净值数据(iFinD公式)'!$A125-'实盘净值数据(iFinD公式)'!$A$5)/365))</f>
        <v/>
      </c>
      <c r="O125" s="16" t="str">
        <f t="shared" si="17"/>
        <v/>
      </c>
      <c r="P125" s="16" t="str">
        <f>IF(N125="","",N125/MAX(N$5:N125)-1)</f>
        <v/>
      </c>
      <c r="Q125" s="13" t="str">
        <f>IF(OR('实盘净值数据(iFinD公式)'!$A125="",'实盘净值数据(iFinD公式)'!$B125="",'实盘净值数据(iFinD公式)'!$Z125="",'实盘净值数据(iFinD公式)'!$AA125=""),"",分期持仓明细!$AB$25*(SUMPRODUCT(分期持仓明细!$B$25:$Y$25,'实盘净值数据(iFinD公式)'!$B125:$Y125/'实盘净值数据(iFinD公式)'!$B$65:$Y$65)+SUMPRODUCT(分期持仓明细!$AC$25:$AD$25,'实盘净值数据(iFinD公式)'!$Z125:$AA125/'实盘净值数据(iFinD公式)'!$Z$65:$AA$65))*(1-实盘持仓配置!$AM$9)^(('实盘净值数据(iFinD公式)'!$A125-'实盘净值数据(iFinD公式)'!$A$8)/365))</f>
        <v/>
      </c>
      <c r="R125" s="16" t="str">
        <f t="shared" si="18"/>
        <v/>
      </c>
      <c r="S125" s="16" t="str">
        <f>IF(Q125="","",Q125/MAX(Q$5:Q125)-1)</f>
        <v/>
      </c>
      <c r="T125" s="13" t="str">
        <f>IF(OR('实盘净值数据(iFinD公式)'!$A125="",'实盘净值数据(iFinD公式)'!$B125="",'实盘净值数据(iFinD公式)'!$Z125="",'实盘净值数据(iFinD公式)'!$AA125="",'实盘净值数据(iFinD公式)'!$AB125="",'实盘净值数据(iFinD公式)'!$AL125=""),"",(SUMPRODUCT(分期持仓明细!$B$26:$Y$26,'实盘净值数据(iFinD公式)'!$B125:$Y125/'实盘净值数据(iFinD公式)'!$B$69:$Y$69)+SUMPRODUCT(分期持仓明细!$AC$26:$AD$26,'实盘净值数据(iFinD公式)'!$Z125:$AA125/'实盘净值数据(iFinD公式)'!$Z$69:$AA$69)+SUMPRODUCT(分期持仓明细!$AE$26:$AO$26,'实盘净值数据(iFinD公式)'!$AB125:$AL125/'实盘净值数据(iFinD公式)'!$AB$69:$AL$69))*(1-实盘持仓配置!$AM$10)^(('实盘净值数据(iFinD公式)'!$A125-'实盘净值数据(iFinD公式)'!$A$69)/365))</f>
        <v/>
      </c>
      <c r="U125" s="16" t="str">
        <f t="shared" si="19"/>
        <v/>
      </c>
      <c r="V125" s="16" t="str">
        <f>IF(T125="","",T125/MAX(T$5:T125)-1)</f>
        <v/>
      </c>
    </row>
    <row r="126" spans="1:22">
      <c r="A126" s="15" t="str">
        <f>IF('实盘净值数据(iFinD公式)'!A126="","",'实盘净值数据(iFinD公式)'!A126)</f>
        <v/>
      </c>
      <c r="B126" s="13" t="str">
        <f>IF(OR('实盘净值数据(iFinD公式)'!$A126="",'实盘净值数据(iFinD公式)'!$B126=""),"",分期持仓明细!$AB$17*SUMPRODUCT(分期持仓明细!$B$17:$Y$17,'实盘净值数据(iFinD公式)'!$B126:$Y126/'实盘净值数据(iFinD公式)'!$B$20:$Y$20)*(1-实盘持仓配置!$AM$4)^(('实盘净值数据(iFinD公式)'!$A126-'实盘净值数据(iFinD公式)'!$A$6)/365))</f>
        <v/>
      </c>
      <c r="C126" s="16" t="str">
        <f t="shared" si="13"/>
        <v/>
      </c>
      <c r="D126" s="16" t="str">
        <f>IF(B126="","",B126/MAX(B$5:B126)-1)</f>
        <v/>
      </c>
      <c r="E126" s="13" t="str">
        <f>IF(OR('实盘净值数据(iFinD公式)'!$A126="",'实盘净值数据(iFinD公式)'!$B126=""),"",分期持仓明细!$AB$18*SUMPRODUCT(分期持仓明细!$B$18:$Y$18,'实盘净值数据(iFinD公式)'!$B126:$Y126/'实盘净值数据(iFinD公式)'!$B$20:$Y$20)*(1-实盘持仓配置!$AM$5)^(('实盘净值数据(iFinD公式)'!$A126-'实盘净值数据(iFinD公式)'!$A$5)/365))</f>
        <v/>
      </c>
      <c r="F126" s="16" t="str">
        <f t="shared" si="14"/>
        <v/>
      </c>
      <c r="G126" s="16" t="str">
        <f>IF(E126="","",E126/MAX(E$5:E126)-1)</f>
        <v/>
      </c>
      <c r="H126" s="13" t="str">
        <f>IF(OR('实盘净值数据(iFinD公式)'!$A126="",'实盘净值数据(iFinD公式)'!$B126=""),"",分期持仓明细!$AB$19*SUMPRODUCT(分期持仓明细!$B$19:$Y$19,'实盘净值数据(iFinD公式)'!$B126:$Y126/'实盘净值数据(iFinD公式)'!$B$20:$Y$20)*(1-实盘持仓配置!$AM$6)^(('实盘净值数据(iFinD公式)'!$A126-'实盘净值数据(iFinD公式)'!$A$7)/365))</f>
        <v/>
      </c>
      <c r="I126" s="16" t="str">
        <f t="shared" si="15"/>
        <v/>
      </c>
      <c r="J126" s="16" t="str">
        <f>IF(H126="","",H126/MAX(H$5:H126)-1)</f>
        <v/>
      </c>
      <c r="K126" s="13" t="str">
        <f>IF(OR('实盘净值数据(iFinD公式)'!$A126="",'实盘净值数据(iFinD公式)'!$B126="",'实盘净值数据(iFinD公式)'!$Z126="",'实盘净值数据(iFinD公式)'!$AA126=""),"",分期持仓明细!$AB$23*(SUMPRODUCT(分期持仓明细!$B$23:$Y$23,'实盘净值数据(iFinD公式)'!$B126:$Y126/'实盘净值数据(iFinD公式)'!$B$65:$Y$65)+SUMPRODUCT(分期持仓明细!$AC$23:$AD$23,'实盘净值数据(iFinD公式)'!$Z126:$AA126/'实盘净值数据(iFinD公式)'!$Z$65:$AA$65))*(1-实盘持仓配置!$AM$7)^(('实盘净值数据(iFinD公式)'!$A126-'实盘净值数据(iFinD公式)'!$A$8)/365))</f>
        <v/>
      </c>
      <c r="L126" s="16" t="str">
        <f t="shared" si="16"/>
        <v/>
      </c>
      <c r="M126" s="16" t="str">
        <f>IF(K126="","",K126/MAX(K$5:K126)-1)</f>
        <v/>
      </c>
      <c r="N126" s="13" t="str">
        <f>IF(OR('实盘净值数据(iFinD公式)'!$A126="",'实盘净值数据(iFinD公式)'!$B126="",'实盘净值数据(iFinD公式)'!$Z126="",'实盘净值数据(iFinD公式)'!$AA126=""),"",分期持仓明细!$AB$24*(SUMPRODUCT(分期持仓明细!$B$24:$Y$24,'实盘净值数据(iFinD公式)'!$B126:$Y126/'实盘净值数据(iFinD公式)'!$B$65:$Y$65)+SUMPRODUCT(分期持仓明细!$AC$24:$AD$24,'实盘净值数据(iFinD公式)'!$Z126:$AA126/'实盘净值数据(iFinD公式)'!$Z$65:$AA$65))*(1-实盘持仓配置!$AM$8)^(('实盘净值数据(iFinD公式)'!$A126-'实盘净值数据(iFinD公式)'!$A$5)/365))</f>
        <v/>
      </c>
      <c r="O126" s="16" t="str">
        <f t="shared" si="17"/>
        <v/>
      </c>
      <c r="P126" s="16" t="str">
        <f>IF(N126="","",N126/MAX(N$5:N126)-1)</f>
        <v/>
      </c>
      <c r="Q126" s="13" t="str">
        <f>IF(OR('实盘净值数据(iFinD公式)'!$A126="",'实盘净值数据(iFinD公式)'!$B126="",'实盘净值数据(iFinD公式)'!$Z126="",'实盘净值数据(iFinD公式)'!$AA126=""),"",分期持仓明细!$AB$25*(SUMPRODUCT(分期持仓明细!$B$25:$Y$25,'实盘净值数据(iFinD公式)'!$B126:$Y126/'实盘净值数据(iFinD公式)'!$B$65:$Y$65)+SUMPRODUCT(分期持仓明细!$AC$25:$AD$25,'实盘净值数据(iFinD公式)'!$Z126:$AA126/'实盘净值数据(iFinD公式)'!$Z$65:$AA$65))*(1-实盘持仓配置!$AM$9)^(('实盘净值数据(iFinD公式)'!$A126-'实盘净值数据(iFinD公式)'!$A$8)/365))</f>
        <v/>
      </c>
      <c r="R126" s="16" t="str">
        <f t="shared" si="18"/>
        <v/>
      </c>
      <c r="S126" s="16" t="str">
        <f>IF(Q126="","",Q126/MAX(Q$5:Q126)-1)</f>
        <v/>
      </c>
      <c r="T126" s="13" t="str">
        <f>IF(OR('实盘净值数据(iFinD公式)'!$A126="",'实盘净值数据(iFinD公式)'!$B126="",'实盘净值数据(iFinD公式)'!$Z126="",'实盘净值数据(iFinD公式)'!$AA126="",'实盘净值数据(iFinD公式)'!$AB126="",'实盘净值数据(iFinD公式)'!$AL126=""),"",(SUMPRODUCT(分期持仓明细!$B$26:$Y$26,'实盘净值数据(iFinD公式)'!$B126:$Y126/'实盘净值数据(iFinD公式)'!$B$69:$Y$69)+SUMPRODUCT(分期持仓明细!$AC$26:$AD$26,'实盘净值数据(iFinD公式)'!$Z126:$AA126/'实盘净值数据(iFinD公式)'!$Z$69:$AA$69)+SUMPRODUCT(分期持仓明细!$AE$26:$AO$26,'实盘净值数据(iFinD公式)'!$AB126:$AL126/'实盘净值数据(iFinD公式)'!$AB$69:$AL$69))*(1-实盘持仓配置!$AM$10)^(('实盘净值数据(iFinD公式)'!$A126-'实盘净值数据(iFinD公式)'!$A$69)/365))</f>
        <v/>
      </c>
      <c r="U126" s="16" t="str">
        <f t="shared" si="19"/>
        <v/>
      </c>
      <c r="V126" s="16" t="str">
        <f>IF(T126="","",T126/MAX(T$5:T126)-1)</f>
        <v/>
      </c>
    </row>
    <row r="127" spans="1:22">
      <c r="A127" s="15" t="str">
        <f>IF('实盘净值数据(iFinD公式)'!A127="","",'实盘净值数据(iFinD公式)'!A127)</f>
        <v/>
      </c>
      <c r="B127" s="13" t="str">
        <f>IF(OR('实盘净值数据(iFinD公式)'!$A127="",'实盘净值数据(iFinD公式)'!$B127=""),"",分期持仓明细!$AB$17*SUMPRODUCT(分期持仓明细!$B$17:$Y$17,'实盘净值数据(iFinD公式)'!$B127:$Y127/'实盘净值数据(iFinD公式)'!$B$20:$Y$20)*(1-实盘持仓配置!$AM$4)^(('实盘净值数据(iFinD公式)'!$A127-'实盘净值数据(iFinD公式)'!$A$6)/365))</f>
        <v/>
      </c>
      <c r="C127" s="16" t="str">
        <f t="shared" si="13"/>
        <v/>
      </c>
      <c r="D127" s="16" t="str">
        <f>IF(B127="","",B127/MAX(B$5:B127)-1)</f>
        <v/>
      </c>
      <c r="E127" s="13" t="str">
        <f>IF(OR('实盘净值数据(iFinD公式)'!$A127="",'实盘净值数据(iFinD公式)'!$B127=""),"",分期持仓明细!$AB$18*SUMPRODUCT(分期持仓明细!$B$18:$Y$18,'实盘净值数据(iFinD公式)'!$B127:$Y127/'实盘净值数据(iFinD公式)'!$B$20:$Y$20)*(1-实盘持仓配置!$AM$5)^(('实盘净值数据(iFinD公式)'!$A127-'实盘净值数据(iFinD公式)'!$A$5)/365))</f>
        <v/>
      </c>
      <c r="F127" s="16" t="str">
        <f t="shared" si="14"/>
        <v/>
      </c>
      <c r="G127" s="16" t="str">
        <f>IF(E127="","",E127/MAX(E$5:E127)-1)</f>
        <v/>
      </c>
      <c r="H127" s="13" t="str">
        <f>IF(OR('实盘净值数据(iFinD公式)'!$A127="",'实盘净值数据(iFinD公式)'!$B127=""),"",分期持仓明细!$AB$19*SUMPRODUCT(分期持仓明细!$B$19:$Y$19,'实盘净值数据(iFinD公式)'!$B127:$Y127/'实盘净值数据(iFinD公式)'!$B$20:$Y$20)*(1-实盘持仓配置!$AM$6)^(('实盘净值数据(iFinD公式)'!$A127-'实盘净值数据(iFinD公式)'!$A$7)/365))</f>
        <v/>
      </c>
      <c r="I127" s="16" t="str">
        <f t="shared" si="15"/>
        <v/>
      </c>
      <c r="J127" s="16" t="str">
        <f>IF(H127="","",H127/MAX(H$5:H127)-1)</f>
        <v/>
      </c>
      <c r="K127" s="13" t="str">
        <f>IF(OR('实盘净值数据(iFinD公式)'!$A127="",'实盘净值数据(iFinD公式)'!$B127="",'实盘净值数据(iFinD公式)'!$Z127="",'实盘净值数据(iFinD公式)'!$AA127=""),"",分期持仓明细!$AB$23*(SUMPRODUCT(分期持仓明细!$B$23:$Y$23,'实盘净值数据(iFinD公式)'!$B127:$Y127/'实盘净值数据(iFinD公式)'!$B$65:$Y$65)+SUMPRODUCT(分期持仓明细!$AC$23:$AD$23,'实盘净值数据(iFinD公式)'!$Z127:$AA127/'实盘净值数据(iFinD公式)'!$Z$65:$AA$65))*(1-实盘持仓配置!$AM$7)^(('实盘净值数据(iFinD公式)'!$A127-'实盘净值数据(iFinD公式)'!$A$8)/365))</f>
        <v/>
      </c>
      <c r="L127" s="16" t="str">
        <f t="shared" si="16"/>
        <v/>
      </c>
      <c r="M127" s="16" t="str">
        <f>IF(K127="","",K127/MAX(K$5:K127)-1)</f>
        <v/>
      </c>
      <c r="N127" s="13" t="str">
        <f>IF(OR('实盘净值数据(iFinD公式)'!$A127="",'实盘净值数据(iFinD公式)'!$B127="",'实盘净值数据(iFinD公式)'!$Z127="",'实盘净值数据(iFinD公式)'!$AA127=""),"",分期持仓明细!$AB$24*(SUMPRODUCT(分期持仓明细!$B$24:$Y$24,'实盘净值数据(iFinD公式)'!$B127:$Y127/'实盘净值数据(iFinD公式)'!$B$65:$Y$65)+SUMPRODUCT(分期持仓明细!$AC$24:$AD$24,'实盘净值数据(iFinD公式)'!$Z127:$AA127/'实盘净值数据(iFinD公式)'!$Z$65:$AA$65))*(1-实盘持仓配置!$AM$8)^(('实盘净值数据(iFinD公式)'!$A127-'实盘净值数据(iFinD公式)'!$A$5)/365))</f>
        <v/>
      </c>
      <c r="O127" s="16" t="str">
        <f t="shared" si="17"/>
        <v/>
      </c>
      <c r="P127" s="16" t="str">
        <f>IF(N127="","",N127/MAX(N$5:N127)-1)</f>
        <v/>
      </c>
      <c r="Q127" s="13" t="str">
        <f>IF(OR('实盘净值数据(iFinD公式)'!$A127="",'实盘净值数据(iFinD公式)'!$B127="",'实盘净值数据(iFinD公式)'!$Z127="",'实盘净值数据(iFinD公式)'!$AA127=""),"",分期持仓明细!$AB$25*(SUMPRODUCT(分期持仓明细!$B$25:$Y$25,'实盘净值数据(iFinD公式)'!$B127:$Y127/'实盘净值数据(iFinD公式)'!$B$65:$Y$65)+SUMPRODUCT(分期持仓明细!$AC$25:$AD$25,'实盘净值数据(iFinD公式)'!$Z127:$AA127/'实盘净值数据(iFinD公式)'!$Z$65:$AA$65))*(1-实盘持仓配置!$AM$9)^(('实盘净值数据(iFinD公式)'!$A127-'实盘净值数据(iFinD公式)'!$A$8)/365))</f>
        <v/>
      </c>
      <c r="R127" s="16" t="str">
        <f t="shared" si="18"/>
        <v/>
      </c>
      <c r="S127" s="16" t="str">
        <f>IF(Q127="","",Q127/MAX(Q$5:Q127)-1)</f>
        <v/>
      </c>
      <c r="T127" s="13" t="str">
        <f>IF(OR('实盘净值数据(iFinD公式)'!$A127="",'实盘净值数据(iFinD公式)'!$B127="",'实盘净值数据(iFinD公式)'!$Z127="",'实盘净值数据(iFinD公式)'!$AA127="",'实盘净值数据(iFinD公式)'!$AB127="",'实盘净值数据(iFinD公式)'!$AL127=""),"",(SUMPRODUCT(分期持仓明细!$B$26:$Y$26,'实盘净值数据(iFinD公式)'!$B127:$Y127/'实盘净值数据(iFinD公式)'!$B$69:$Y$69)+SUMPRODUCT(分期持仓明细!$AC$26:$AD$26,'实盘净值数据(iFinD公式)'!$Z127:$AA127/'实盘净值数据(iFinD公式)'!$Z$69:$AA$69)+SUMPRODUCT(分期持仓明细!$AE$26:$AO$26,'实盘净值数据(iFinD公式)'!$AB127:$AL127/'实盘净值数据(iFinD公式)'!$AB$69:$AL$69))*(1-实盘持仓配置!$AM$10)^(('实盘净值数据(iFinD公式)'!$A127-'实盘净值数据(iFinD公式)'!$A$69)/365))</f>
        <v/>
      </c>
      <c r="U127" s="16" t="str">
        <f t="shared" si="19"/>
        <v/>
      </c>
      <c r="V127" s="16" t="str">
        <f>IF(T127="","",T127/MAX(T$5:T127)-1)</f>
        <v/>
      </c>
    </row>
    <row r="128" spans="1:22">
      <c r="A128" s="15" t="str">
        <f>IF('实盘净值数据(iFinD公式)'!A128="","",'实盘净值数据(iFinD公式)'!A128)</f>
        <v/>
      </c>
      <c r="B128" s="13" t="str">
        <f>IF(OR('实盘净值数据(iFinD公式)'!$A128="",'实盘净值数据(iFinD公式)'!$B128=""),"",分期持仓明细!$AB$17*SUMPRODUCT(分期持仓明细!$B$17:$Y$17,'实盘净值数据(iFinD公式)'!$B128:$Y128/'实盘净值数据(iFinD公式)'!$B$20:$Y$20)*(1-实盘持仓配置!$AM$4)^(('实盘净值数据(iFinD公式)'!$A128-'实盘净值数据(iFinD公式)'!$A$6)/365))</f>
        <v/>
      </c>
      <c r="C128" s="16" t="str">
        <f t="shared" si="13"/>
        <v/>
      </c>
      <c r="D128" s="16" t="str">
        <f>IF(B128="","",B128/MAX(B$5:B128)-1)</f>
        <v/>
      </c>
      <c r="E128" s="13" t="str">
        <f>IF(OR('实盘净值数据(iFinD公式)'!$A128="",'实盘净值数据(iFinD公式)'!$B128=""),"",分期持仓明细!$AB$18*SUMPRODUCT(分期持仓明细!$B$18:$Y$18,'实盘净值数据(iFinD公式)'!$B128:$Y128/'实盘净值数据(iFinD公式)'!$B$20:$Y$20)*(1-实盘持仓配置!$AM$5)^(('实盘净值数据(iFinD公式)'!$A128-'实盘净值数据(iFinD公式)'!$A$5)/365))</f>
        <v/>
      </c>
      <c r="F128" s="16" t="str">
        <f t="shared" si="14"/>
        <v/>
      </c>
      <c r="G128" s="16" t="str">
        <f>IF(E128="","",E128/MAX(E$5:E128)-1)</f>
        <v/>
      </c>
      <c r="H128" s="13" t="str">
        <f>IF(OR('实盘净值数据(iFinD公式)'!$A128="",'实盘净值数据(iFinD公式)'!$B128=""),"",分期持仓明细!$AB$19*SUMPRODUCT(分期持仓明细!$B$19:$Y$19,'实盘净值数据(iFinD公式)'!$B128:$Y128/'实盘净值数据(iFinD公式)'!$B$20:$Y$20)*(1-实盘持仓配置!$AM$6)^(('实盘净值数据(iFinD公式)'!$A128-'实盘净值数据(iFinD公式)'!$A$7)/365))</f>
        <v/>
      </c>
      <c r="I128" s="16" t="str">
        <f t="shared" si="15"/>
        <v/>
      </c>
      <c r="J128" s="16" t="str">
        <f>IF(H128="","",H128/MAX(H$5:H128)-1)</f>
        <v/>
      </c>
      <c r="K128" s="13" t="str">
        <f>IF(OR('实盘净值数据(iFinD公式)'!$A128="",'实盘净值数据(iFinD公式)'!$B128="",'实盘净值数据(iFinD公式)'!$Z128="",'实盘净值数据(iFinD公式)'!$AA128=""),"",分期持仓明细!$AB$23*(SUMPRODUCT(分期持仓明细!$B$23:$Y$23,'实盘净值数据(iFinD公式)'!$B128:$Y128/'实盘净值数据(iFinD公式)'!$B$65:$Y$65)+SUMPRODUCT(分期持仓明细!$AC$23:$AD$23,'实盘净值数据(iFinD公式)'!$Z128:$AA128/'实盘净值数据(iFinD公式)'!$Z$65:$AA$65))*(1-实盘持仓配置!$AM$7)^(('实盘净值数据(iFinD公式)'!$A128-'实盘净值数据(iFinD公式)'!$A$8)/365))</f>
        <v/>
      </c>
      <c r="L128" s="16" t="str">
        <f t="shared" si="16"/>
        <v/>
      </c>
      <c r="M128" s="16" t="str">
        <f>IF(K128="","",K128/MAX(K$5:K128)-1)</f>
        <v/>
      </c>
      <c r="N128" s="13" t="str">
        <f>IF(OR('实盘净值数据(iFinD公式)'!$A128="",'实盘净值数据(iFinD公式)'!$B128="",'实盘净值数据(iFinD公式)'!$Z128="",'实盘净值数据(iFinD公式)'!$AA128=""),"",分期持仓明细!$AB$24*(SUMPRODUCT(分期持仓明细!$B$24:$Y$24,'实盘净值数据(iFinD公式)'!$B128:$Y128/'实盘净值数据(iFinD公式)'!$B$65:$Y$65)+SUMPRODUCT(分期持仓明细!$AC$24:$AD$24,'实盘净值数据(iFinD公式)'!$Z128:$AA128/'实盘净值数据(iFinD公式)'!$Z$65:$AA$65))*(1-实盘持仓配置!$AM$8)^(('实盘净值数据(iFinD公式)'!$A128-'实盘净值数据(iFinD公式)'!$A$5)/365))</f>
        <v/>
      </c>
      <c r="O128" s="16" t="str">
        <f t="shared" si="17"/>
        <v/>
      </c>
      <c r="P128" s="16" t="str">
        <f>IF(N128="","",N128/MAX(N$5:N128)-1)</f>
        <v/>
      </c>
      <c r="Q128" s="13" t="str">
        <f>IF(OR('实盘净值数据(iFinD公式)'!$A128="",'实盘净值数据(iFinD公式)'!$B128="",'实盘净值数据(iFinD公式)'!$Z128="",'实盘净值数据(iFinD公式)'!$AA128=""),"",分期持仓明细!$AB$25*(SUMPRODUCT(分期持仓明细!$B$25:$Y$25,'实盘净值数据(iFinD公式)'!$B128:$Y128/'实盘净值数据(iFinD公式)'!$B$65:$Y$65)+SUMPRODUCT(分期持仓明细!$AC$25:$AD$25,'实盘净值数据(iFinD公式)'!$Z128:$AA128/'实盘净值数据(iFinD公式)'!$Z$65:$AA$65))*(1-实盘持仓配置!$AM$9)^(('实盘净值数据(iFinD公式)'!$A128-'实盘净值数据(iFinD公式)'!$A$8)/365))</f>
        <v/>
      </c>
      <c r="R128" s="16" t="str">
        <f t="shared" si="18"/>
        <v/>
      </c>
      <c r="S128" s="16" t="str">
        <f>IF(Q128="","",Q128/MAX(Q$5:Q128)-1)</f>
        <v/>
      </c>
      <c r="T128" s="13" t="str">
        <f>IF(OR('实盘净值数据(iFinD公式)'!$A128="",'实盘净值数据(iFinD公式)'!$B128="",'实盘净值数据(iFinD公式)'!$Z128="",'实盘净值数据(iFinD公式)'!$AA128="",'实盘净值数据(iFinD公式)'!$AB128="",'实盘净值数据(iFinD公式)'!$AL128=""),"",(SUMPRODUCT(分期持仓明细!$B$26:$Y$26,'实盘净值数据(iFinD公式)'!$B128:$Y128/'实盘净值数据(iFinD公式)'!$B$69:$Y$69)+SUMPRODUCT(分期持仓明细!$AC$26:$AD$26,'实盘净值数据(iFinD公式)'!$Z128:$AA128/'实盘净值数据(iFinD公式)'!$Z$69:$AA$69)+SUMPRODUCT(分期持仓明细!$AE$26:$AO$26,'实盘净值数据(iFinD公式)'!$AB128:$AL128/'实盘净值数据(iFinD公式)'!$AB$69:$AL$69))*(1-实盘持仓配置!$AM$10)^(('实盘净值数据(iFinD公式)'!$A128-'实盘净值数据(iFinD公式)'!$A$69)/365))</f>
        <v/>
      </c>
      <c r="U128" s="16" t="str">
        <f t="shared" si="19"/>
        <v/>
      </c>
      <c r="V128" s="16" t="str">
        <f>IF(T128="","",T128/MAX(T$5:T128)-1)</f>
        <v/>
      </c>
    </row>
    <row r="129" spans="1:22">
      <c r="A129" s="15" t="str">
        <f>IF('实盘净值数据(iFinD公式)'!A129="","",'实盘净值数据(iFinD公式)'!A129)</f>
        <v/>
      </c>
      <c r="B129" s="13" t="str">
        <f>IF(OR('实盘净值数据(iFinD公式)'!$A129="",'实盘净值数据(iFinD公式)'!$B129=""),"",分期持仓明细!$AB$17*SUMPRODUCT(分期持仓明细!$B$17:$Y$17,'实盘净值数据(iFinD公式)'!$B129:$Y129/'实盘净值数据(iFinD公式)'!$B$20:$Y$20)*(1-实盘持仓配置!$AM$4)^(('实盘净值数据(iFinD公式)'!$A129-'实盘净值数据(iFinD公式)'!$A$6)/365))</f>
        <v/>
      </c>
      <c r="C129" s="16" t="str">
        <f t="shared" si="13"/>
        <v/>
      </c>
      <c r="D129" s="16" t="str">
        <f>IF(B129="","",B129/MAX(B$5:B129)-1)</f>
        <v/>
      </c>
      <c r="E129" s="13" t="str">
        <f>IF(OR('实盘净值数据(iFinD公式)'!$A129="",'实盘净值数据(iFinD公式)'!$B129=""),"",分期持仓明细!$AB$18*SUMPRODUCT(分期持仓明细!$B$18:$Y$18,'实盘净值数据(iFinD公式)'!$B129:$Y129/'实盘净值数据(iFinD公式)'!$B$20:$Y$20)*(1-实盘持仓配置!$AM$5)^(('实盘净值数据(iFinD公式)'!$A129-'实盘净值数据(iFinD公式)'!$A$5)/365))</f>
        <v/>
      </c>
      <c r="F129" s="16" t="str">
        <f t="shared" si="14"/>
        <v/>
      </c>
      <c r="G129" s="16" t="str">
        <f>IF(E129="","",E129/MAX(E$5:E129)-1)</f>
        <v/>
      </c>
      <c r="H129" s="13" t="str">
        <f>IF(OR('实盘净值数据(iFinD公式)'!$A129="",'实盘净值数据(iFinD公式)'!$B129=""),"",分期持仓明细!$AB$19*SUMPRODUCT(分期持仓明细!$B$19:$Y$19,'实盘净值数据(iFinD公式)'!$B129:$Y129/'实盘净值数据(iFinD公式)'!$B$20:$Y$20)*(1-实盘持仓配置!$AM$6)^(('实盘净值数据(iFinD公式)'!$A129-'实盘净值数据(iFinD公式)'!$A$7)/365))</f>
        <v/>
      </c>
      <c r="I129" s="16" t="str">
        <f t="shared" si="15"/>
        <v/>
      </c>
      <c r="J129" s="16" t="str">
        <f>IF(H129="","",H129/MAX(H$5:H129)-1)</f>
        <v/>
      </c>
      <c r="K129" s="13" t="str">
        <f>IF(OR('实盘净值数据(iFinD公式)'!$A129="",'实盘净值数据(iFinD公式)'!$B129="",'实盘净值数据(iFinD公式)'!$Z129="",'实盘净值数据(iFinD公式)'!$AA129=""),"",分期持仓明细!$AB$23*(SUMPRODUCT(分期持仓明细!$B$23:$Y$23,'实盘净值数据(iFinD公式)'!$B129:$Y129/'实盘净值数据(iFinD公式)'!$B$65:$Y$65)+SUMPRODUCT(分期持仓明细!$AC$23:$AD$23,'实盘净值数据(iFinD公式)'!$Z129:$AA129/'实盘净值数据(iFinD公式)'!$Z$65:$AA$65))*(1-实盘持仓配置!$AM$7)^(('实盘净值数据(iFinD公式)'!$A129-'实盘净值数据(iFinD公式)'!$A$8)/365))</f>
        <v/>
      </c>
      <c r="L129" s="16" t="str">
        <f t="shared" si="16"/>
        <v/>
      </c>
      <c r="M129" s="16" t="str">
        <f>IF(K129="","",K129/MAX(K$5:K129)-1)</f>
        <v/>
      </c>
      <c r="N129" s="13" t="str">
        <f>IF(OR('实盘净值数据(iFinD公式)'!$A129="",'实盘净值数据(iFinD公式)'!$B129="",'实盘净值数据(iFinD公式)'!$Z129="",'实盘净值数据(iFinD公式)'!$AA129=""),"",分期持仓明细!$AB$24*(SUMPRODUCT(分期持仓明细!$B$24:$Y$24,'实盘净值数据(iFinD公式)'!$B129:$Y129/'实盘净值数据(iFinD公式)'!$B$65:$Y$65)+SUMPRODUCT(分期持仓明细!$AC$24:$AD$24,'实盘净值数据(iFinD公式)'!$Z129:$AA129/'实盘净值数据(iFinD公式)'!$Z$65:$AA$65))*(1-实盘持仓配置!$AM$8)^(('实盘净值数据(iFinD公式)'!$A129-'实盘净值数据(iFinD公式)'!$A$5)/365))</f>
        <v/>
      </c>
      <c r="O129" s="16" t="str">
        <f t="shared" si="17"/>
        <v/>
      </c>
      <c r="P129" s="16" t="str">
        <f>IF(N129="","",N129/MAX(N$5:N129)-1)</f>
        <v/>
      </c>
      <c r="Q129" s="13" t="str">
        <f>IF(OR('实盘净值数据(iFinD公式)'!$A129="",'实盘净值数据(iFinD公式)'!$B129="",'实盘净值数据(iFinD公式)'!$Z129="",'实盘净值数据(iFinD公式)'!$AA129=""),"",分期持仓明细!$AB$25*(SUMPRODUCT(分期持仓明细!$B$25:$Y$25,'实盘净值数据(iFinD公式)'!$B129:$Y129/'实盘净值数据(iFinD公式)'!$B$65:$Y$65)+SUMPRODUCT(分期持仓明细!$AC$25:$AD$25,'实盘净值数据(iFinD公式)'!$Z129:$AA129/'实盘净值数据(iFinD公式)'!$Z$65:$AA$65))*(1-实盘持仓配置!$AM$9)^(('实盘净值数据(iFinD公式)'!$A129-'实盘净值数据(iFinD公式)'!$A$8)/365))</f>
        <v/>
      </c>
      <c r="R129" s="16" t="str">
        <f t="shared" si="18"/>
        <v/>
      </c>
      <c r="S129" s="16" t="str">
        <f>IF(Q129="","",Q129/MAX(Q$5:Q129)-1)</f>
        <v/>
      </c>
      <c r="T129" s="13" t="str">
        <f>IF(OR('实盘净值数据(iFinD公式)'!$A129="",'实盘净值数据(iFinD公式)'!$B129="",'实盘净值数据(iFinD公式)'!$Z129="",'实盘净值数据(iFinD公式)'!$AA129="",'实盘净值数据(iFinD公式)'!$AB129="",'实盘净值数据(iFinD公式)'!$AL129=""),"",(SUMPRODUCT(分期持仓明细!$B$26:$Y$26,'实盘净值数据(iFinD公式)'!$B129:$Y129/'实盘净值数据(iFinD公式)'!$B$69:$Y$69)+SUMPRODUCT(分期持仓明细!$AC$26:$AD$26,'实盘净值数据(iFinD公式)'!$Z129:$AA129/'实盘净值数据(iFinD公式)'!$Z$69:$AA$69)+SUMPRODUCT(分期持仓明细!$AE$26:$AO$26,'实盘净值数据(iFinD公式)'!$AB129:$AL129/'实盘净值数据(iFinD公式)'!$AB$69:$AL$69))*(1-实盘持仓配置!$AM$10)^(('实盘净值数据(iFinD公式)'!$A129-'实盘净值数据(iFinD公式)'!$A$69)/365))</f>
        <v/>
      </c>
      <c r="U129" s="16" t="str">
        <f t="shared" si="19"/>
        <v/>
      </c>
      <c r="V129" s="16" t="str">
        <f>IF(T129="","",T129/MAX(T$5:T129)-1)</f>
        <v/>
      </c>
    </row>
    <row r="130" spans="1:22">
      <c r="A130" s="15" t="str">
        <f>IF('实盘净值数据(iFinD公式)'!A130="","",'实盘净值数据(iFinD公式)'!A130)</f>
        <v/>
      </c>
      <c r="B130" s="13" t="str">
        <f>IF(OR('实盘净值数据(iFinD公式)'!$A130="",'实盘净值数据(iFinD公式)'!$B130=""),"",分期持仓明细!$AB$17*SUMPRODUCT(分期持仓明细!$B$17:$Y$17,'实盘净值数据(iFinD公式)'!$B130:$Y130/'实盘净值数据(iFinD公式)'!$B$20:$Y$20)*(1-实盘持仓配置!$AM$4)^(('实盘净值数据(iFinD公式)'!$A130-'实盘净值数据(iFinD公式)'!$A$6)/365))</f>
        <v/>
      </c>
      <c r="C130" s="16" t="str">
        <f t="shared" si="13"/>
        <v/>
      </c>
      <c r="D130" s="16" t="str">
        <f>IF(B130="","",B130/MAX(B$5:B130)-1)</f>
        <v/>
      </c>
      <c r="E130" s="13" t="str">
        <f>IF(OR('实盘净值数据(iFinD公式)'!$A130="",'实盘净值数据(iFinD公式)'!$B130=""),"",分期持仓明细!$AB$18*SUMPRODUCT(分期持仓明细!$B$18:$Y$18,'实盘净值数据(iFinD公式)'!$B130:$Y130/'实盘净值数据(iFinD公式)'!$B$20:$Y$20)*(1-实盘持仓配置!$AM$5)^(('实盘净值数据(iFinD公式)'!$A130-'实盘净值数据(iFinD公式)'!$A$5)/365))</f>
        <v/>
      </c>
      <c r="F130" s="16" t="str">
        <f t="shared" si="14"/>
        <v/>
      </c>
      <c r="G130" s="16" t="str">
        <f>IF(E130="","",E130/MAX(E$5:E130)-1)</f>
        <v/>
      </c>
      <c r="H130" s="13" t="str">
        <f>IF(OR('实盘净值数据(iFinD公式)'!$A130="",'实盘净值数据(iFinD公式)'!$B130=""),"",分期持仓明细!$AB$19*SUMPRODUCT(分期持仓明细!$B$19:$Y$19,'实盘净值数据(iFinD公式)'!$B130:$Y130/'实盘净值数据(iFinD公式)'!$B$20:$Y$20)*(1-实盘持仓配置!$AM$6)^(('实盘净值数据(iFinD公式)'!$A130-'实盘净值数据(iFinD公式)'!$A$7)/365))</f>
        <v/>
      </c>
      <c r="I130" s="16" t="str">
        <f t="shared" si="15"/>
        <v/>
      </c>
      <c r="J130" s="16" t="str">
        <f>IF(H130="","",H130/MAX(H$5:H130)-1)</f>
        <v/>
      </c>
      <c r="K130" s="13" t="str">
        <f>IF(OR('实盘净值数据(iFinD公式)'!$A130="",'实盘净值数据(iFinD公式)'!$B130="",'实盘净值数据(iFinD公式)'!$Z130="",'实盘净值数据(iFinD公式)'!$AA130=""),"",分期持仓明细!$AB$23*(SUMPRODUCT(分期持仓明细!$B$23:$Y$23,'实盘净值数据(iFinD公式)'!$B130:$Y130/'实盘净值数据(iFinD公式)'!$B$65:$Y$65)+SUMPRODUCT(分期持仓明细!$AC$23:$AD$23,'实盘净值数据(iFinD公式)'!$Z130:$AA130/'实盘净值数据(iFinD公式)'!$Z$65:$AA$65))*(1-实盘持仓配置!$AM$7)^(('实盘净值数据(iFinD公式)'!$A130-'实盘净值数据(iFinD公式)'!$A$8)/365))</f>
        <v/>
      </c>
      <c r="L130" s="16" t="str">
        <f t="shared" si="16"/>
        <v/>
      </c>
      <c r="M130" s="16" t="str">
        <f>IF(K130="","",K130/MAX(K$5:K130)-1)</f>
        <v/>
      </c>
      <c r="N130" s="13" t="str">
        <f>IF(OR('实盘净值数据(iFinD公式)'!$A130="",'实盘净值数据(iFinD公式)'!$B130="",'实盘净值数据(iFinD公式)'!$Z130="",'实盘净值数据(iFinD公式)'!$AA130=""),"",分期持仓明细!$AB$24*(SUMPRODUCT(分期持仓明细!$B$24:$Y$24,'实盘净值数据(iFinD公式)'!$B130:$Y130/'实盘净值数据(iFinD公式)'!$B$65:$Y$65)+SUMPRODUCT(分期持仓明细!$AC$24:$AD$24,'实盘净值数据(iFinD公式)'!$Z130:$AA130/'实盘净值数据(iFinD公式)'!$Z$65:$AA$65))*(1-实盘持仓配置!$AM$8)^(('实盘净值数据(iFinD公式)'!$A130-'实盘净值数据(iFinD公式)'!$A$5)/365))</f>
        <v/>
      </c>
      <c r="O130" s="16" t="str">
        <f t="shared" si="17"/>
        <v/>
      </c>
      <c r="P130" s="16" t="str">
        <f>IF(N130="","",N130/MAX(N$5:N130)-1)</f>
        <v/>
      </c>
      <c r="Q130" s="13" t="str">
        <f>IF(OR('实盘净值数据(iFinD公式)'!$A130="",'实盘净值数据(iFinD公式)'!$B130="",'实盘净值数据(iFinD公式)'!$Z130="",'实盘净值数据(iFinD公式)'!$AA130=""),"",分期持仓明细!$AB$25*(SUMPRODUCT(分期持仓明细!$B$25:$Y$25,'实盘净值数据(iFinD公式)'!$B130:$Y130/'实盘净值数据(iFinD公式)'!$B$65:$Y$65)+SUMPRODUCT(分期持仓明细!$AC$25:$AD$25,'实盘净值数据(iFinD公式)'!$Z130:$AA130/'实盘净值数据(iFinD公式)'!$Z$65:$AA$65))*(1-实盘持仓配置!$AM$9)^(('实盘净值数据(iFinD公式)'!$A130-'实盘净值数据(iFinD公式)'!$A$8)/365))</f>
        <v/>
      </c>
      <c r="R130" s="16" t="str">
        <f t="shared" si="18"/>
        <v/>
      </c>
      <c r="S130" s="16" t="str">
        <f>IF(Q130="","",Q130/MAX(Q$5:Q130)-1)</f>
        <v/>
      </c>
      <c r="T130" s="13" t="str">
        <f>IF(OR('实盘净值数据(iFinD公式)'!$A130="",'实盘净值数据(iFinD公式)'!$B130="",'实盘净值数据(iFinD公式)'!$Z130="",'实盘净值数据(iFinD公式)'!$AA130="",'实盘净值数据(iFinD公式)'!$AB130="",'实盘净值数据(iFinD公式)'!$AL130=""),"",(SUMPRODUCT(分期持仓明细!$B$26:$Y$26,'实盘净值数据(iFinD公式)'!$B130:$Y130/'实盘净值数据(iFinD公式)'!$B$69:$Y$69)+SUMPRODUCT(分期持仓明细!$AC$26:$AD$26,'实盘净值数据(iFinD公式)'!$Z130:$AA130/'实盘净值数据(iFinD公式)'!$Z$69:$AA$69)+SUMPRODUCT(分期持仓明细!$AE$26:$AO$26,'实盘净值数据(iFinD公式)'!$AB130:$AL130/'实盘净值数据(iFinD公式)'!$AB$69:$AL$69))*(1-实盘持仓配置!$AM$10)^(('实盘净值数据(iFinD公式)'!$A130-'实盘净值数据(iFinD公式)'!$A$69)/365))</f>
        <v/>
      </c>
      <c r="U130" s="16" t="str">
        <f t="shared" si="19"/>
        <v/>
      </c>
      <c r="V130" s="16" t="str">
        <f>IF(T130="","",T130/MAX(T$5:T130)-1)</f>
        <v/>
      </c>
    </row>
    <row r="131" spans="1:22">
      <c r="A131" s="15" t="str">
        <f>IF('实盘净值数据(iFinD公式)'!A131="","",'实盘净值数据(iFinD公式)'!A131)</f>
        <v/>
      </c>
      <c r="B131" s="13" t="str">
        <f>IF(OR('实盘净值数据(iFinD公式)'!$A131="",'实盘净值数据(iFinD公式)'!$B131=""),"",分期持仓明细!$AB$17*SUMPRODUCT(分期持仓明细!$B$17:$Y$17,'实盘净值数据(iFinD公式)'!$B131:$Y131/'实盘净值数据(iFinD公式)'!$B$20:$Y$20)*(1-实盘持仓配置!$AM$4)^(('实盘净值数据(iFinD公式)'!$A131-'实盘净值数据(iFinD公式)'!$A$6)/365))</f>
        <v/>
      </c>
      <c r="C131" s="16" t="str">
        <f t="shared" si="13"/>
        <v/>
      </c>
      <c r="D131" s="16" t="str">
        <f>IF(B131="","",B131/MAX(B$5:B131)-1)</f>
        <v/>
      </c>
      <c r="E131" s="13" t="str">
        <f>IF(OR('实盘净值数据(iFinD公式)'!$A131="",'实盘净值数据(iFinD公式)'!$B131=""),"",分期持仓明细!$AB$18*SUMPRODUCT(分期持仓明细!$B$18:$Y$18,'实盘净值数据(iFinD公式)'!$B131:$Y131/'实盘净值数据(iFinD公式)'!$B$20:$Y$20)*(1-实盘持仓配置!$AM$5)^(('实盘净值数据(iFinD公式)'!$A131-'实盘净值数据(iFinD公式)'!$A$5)/365))</f>
        <v/>
      </c>
      <c r="F131" s="16" t="str">
        <f t="shared" si="14"/>
        <v/>
      </c>
      <c r="G131" s="16" t="str">
        <f>IF(E131="","",E131/MAX(E$5:E131)-1)</f>
        <v/>
      </c>
      <c r="H131" s="13" t="str">
        <f>IF(OR('实盘净值数据(iFinD公式)'!$A131="",'实盘净值数据(iFinD公式)'!$B131=""),"",分期持仓明细!$AB$19*SUMPRODUCT(分期持仓明细!$B$19:$Y$19,'实盘净值数据(iFinD公式)'!$B131:$Y131/'实盘净值数据(iFinD公式)'!$B$20:$Y$20)*(1-实盘持仓配置!$AM$6)^(('实盘净值数据(iFinD公式)'!$A131-'实盘净值数据(iFinD公式)'!$A$7)/365))</f>
        <v/>
      </c>
      <c r="I131" s="16" t="str">
        <f t="shared" si="15"/>
        <v/>
      </c>
      <c r="J131" s="16" t="str">
        <f>IF(H131="","",H131/MAX(H$5:H131)-1)</f>
        <v/>
      </c>
      <c r="K131" s="13" t="str">
        <f>IF(OR('实盘净值数据(iFinD公式)'!$A131="",'实盘净值数据(iFinD公式)'!$B131="",'实盘净值数据(iFinD公式)'!$Z131="",'实盘净值数据(iFinD公式)'!$AA131=""),"",分期持仓明细!$AB$23*(SUMPRODUCT(分期持仓明细!$B$23:$Y$23,'实盘净值数据(iFinD公式)'!$B131:$Y131/'实盘净值数据(iFinD公式)'!$B$65:$Y$65)+SUMPRODUCT(分期持仓明细!$AC$23:$AD$23,'实盘净值数据(iFinD公式)'!$Z131:$AA131/'实盘净值数据(iFinD公式)'!$Z$65:$AA$65))*(1-实盘持仓配置!$AM$7)^(('实盘净值数据(iFinD公式)'!$A131-'实盘净值数据(iFinD公式)'!$A$8)/365))</f>
        <v/>
      </c>
      <c r="L131" s="16" t="str">
        <f t="shared" si="16"/>
        <v/>
      </c>
      <c r="M131" s="16" t="str">
        <f>IF(K131="","",K131/MAX(K$5:K131)-1)</f>
        <v/>
      </c>
      <c r="N131" s="13" t="str">
        <f>IF(OR('实盘净值数据(iFinD公式)'!$A131="",'实盘净值数据(iFinD公式)'!$B131="",'实盘净值数据(iFinD公式)'!$Z131="",'实盘净值数据(iFinD公式)'!$AA131=""),"",分期持仓明细!$AB$24*(SUMPRODUCT(分期持仓明细!$B$24:$Y$24,'实盘净值数据(iFinD公式)'!$B131:$Y131/'实盘净值数据(iFinD公式)'!$B$65:$Y$65)+SUMPRODUCT(分期持仓明细!$AC$24:$AD$24,'实盘净值数据(iFinD公式)'!$Z131:$AA131/'实盘净值数据(iFinD公式)'!$Z$65:$AA$65))*(1-实盘持仓配置!$AM$8)^(('实盘净值数据(iFinD公式)'!$A131-'实盘净值数据(iFinD公式)'!$A$5)/365))</f>
        <v/>
      </c>
      <c r="O131" s="16" t="str">
        <f t="shared" si="17"/>
        <v/>
      </c>
      <c r="P131" s="16" t="str">
        <f>IF(N131="","",N131/MAX(N$5:N131)-1)</f>
        <v/>
      </c>
      <c r="Q131" s="13" t="str">
        <f>IF(OR('实盘净值数据(iFinD公式)'!$A131="",'实盘净值数据(iFinD公式)'!$B131="",'实盘净值数据(iFinD公式)'!$Z131="",'实盘净值数据(iFinD公式)'!$AA131=""),"",分期持仓明细!$AB$25*(SUMPRODUCT(分期持仓明细!$B$25:$Y$25,'实盘净值数据(iFinD公式)'!$B131:$Y131/'实盘净值数据(iFinD公式)'!$B$65:$Y$65)+SUMPRODUCT(分期持仓明细!$AC$25:$AD$25,'实盘净值数据(iFinD公式)'!$Z131:$AA131/'实盘净值数据(iFinD公式)'!$Z$65:$AA$65))*(1-实盘持仓配置!$AM$9)^(('实盘净值数据(iFinD公式)'!$A131-'实盘净值数据(iFinD公式)'!$A$8)/365))</f>
        <v/>
      </c>
      <c r="R131" s="16" t="str">
        <f t="shared" si="18"/>
        <v/>
      </c>
      <c r="S131" s="16" t="str">
        <f>IF(Q131="","",Q131/MAX(Q$5:Q131)-1)</f>
        <v/>
      </c>
      <c r="T131" s="13" t="str">
        <f>IF(OR('实盘净值数据(iFinD公式)'!$A131="",'实盘净值数据(iFinD公式)'!$B131="",'实盘净值数据(iFinD公式)'!$Z131="",'实盘净值数据(iFinD公式)'!$AA131="",'实盘净值数据(iFinD公式)'!$AB131="",'实盘净值数据(iFinD公式)'!$AL131=""),"",(SUMPRODUCT(分期持仓明细!$B$26:$Y$26,'实盘净值数据(iFinD公式)'!$B131:$Y131/'实盘净值数据(iFinD公式)'!$B$69:$Y$69)+SUMPRODUCT(分期持仓明细!$AC$26:$AD$26,'实盘净值数据(iFinD公式)'!$Z131:$AA131/'实盘净值数据(iFinD公式)'!$Z$69:$AA$69)+SUMPRODUCT(分期持仓明细!$AE$26:$AO$26,'实盘净值数据(iFinD公式)'!$AB131:$AL131/'实盘净值数据(iFinD公式)'!$AB$69:$AL$69))*(1-实盘持仓配置!$AM$10)^(('实盘净值数据(iFinD公式)'!$A131-'实盘净值数据(iFinD公式)'!$A$69)/365))</f>
        <v/>
      </c>
      <c r="U131" s="16" t="str">
        <f t="shared" si="19"/>
        <v/>
      </c>
      <c r="V131" s="16" t="str">
        <f>IF(T131="","",T131/MAX(T$5:T131)-1)</f>
        <v/>
      </c>
    </row>
    <row r="132" spans="1:22">
      <c r="A132" s="15" t="str">
        <f>IF('实盘净值数据(iFinD公式)'!A132="","",'实盘净值数据(iFinD公式)'!A132)</f>
        <v/>
      </c>
      <c r="B132" s="13" t="str">
        <f>IF(OR('实盘净值数据(iFinD公式)'!$A132="",'实盘净值数据(iFinD公式)'!$B132=""),"",分期持仓明细!$AB$17*SUMPRODUCT(分期持仓明细!$B$17:$Y$17,'实盘净值数据(iFinD公式)'!$B132:$Y132/'实盘净值数据(iFinD公式)'!$B$20:$Y$20)*(1-实盘持仓配置!$AM$4)^(('实盘净值数据(iFinD公式)'!$A132-'实盘净值数据(iFinD公式)'!$A$6)/365))</f>
        <v/>
      </c>
      <c r="C132" s="16" t="str">
        <f t="shared" si="13"/>
        <v/>
      </c>
      <c r="D132" s="16" t="str">
        <f>IF(B132="","",B132/MAX(B$5:B132)-1)</f>
        <v/>
      </c>
      <c r="E132" s="13" t="str">
        <f>IF(OR('实盘净值数据(iFinD公式)'!$A132="",'实盘净值数据(iFinD公式)'!$B132=""),"",分期持仓明细!$AB$18*SUMPRODUCT(分期持仓明细!$B$18:$Y$18,'实盘净值数据(iFinD公式)'!$B132:$Y132/'实盘净值数据(iFinD公式)'!$B$20:$Y$20)*(1-实盘持仓配置!$AM$5)^(('实盘净值数据(iFinD公式)'!$A132-'实盘净值数据(iFinD公式)'!$A$5)/365))</f>
        <v/>
      </c>
      <c r="F132" s="16" t="str">
        <f t="shared" si="14"/>
        <v/>
      </c>
      <c r="G132" s="16" t="str">
        <f>IF(E132="","",E132/MAX(E$5:E132)-1)</f>
        <v/>
      </c>
      <c r="H132" s="13" t="str">
        <f>IF(OR('实盘净值数据(iFinD公式)'!$A132="",'实盘净值数据(iFinD公式)'!$B132=""),"",分期持仓明细!$AB$19*SUMPRODUCT(分期持仓明细!$B$19:$Y$19,'实盘净值数据(iFinD公式)'!$B132:$Y132/'实盘净值数据(iFinD公式)'!$B$20:$Y$20)*(1-实盘持仓配置!$AM$6)^(('实盘净值数据(iFinD公式)'!$A132-'实盘净值数据(iFinD公式)'!$A$7)/365))</f>
        <v/>
      </c>
      <c r="I132" s="16" t="str">
        <f t="shared" si="15"/>
        <v/>
      </c>
      <c r="J132" s="16" t="str">
        <f>IF(H132="","",H132/MAX(H$5:H132)-1)</f>
        <v/>
      </c>
      <c r="K132" s="13" t="str">
        <f>IF(OR('实盘净值数据(iFinD公式)'!$A132="",'实盘净值数据(iFinD公式)'!$B132="",'实盘净值数据(iFinD公式)'!$Z132="",'实盘净值数据(iFinD公式)'!$AA132=""),"",分期持仓明细!$AB$23*(SUMPRODUCT(分期持仓明细!$B$23:$Y$23,'实盘净值数据(iFinD公式)'!$B132:$Y132/'实盘净值数据(iFinD公式)'!$B$65:$Y$65)+SUMPRODUCT(分期持仓明细!$AC$23:$AD$23,'实盘净值数据(iFinD公式)'!$Z132:$AA132/'实盘净值数据(iFinD公式)'!$Z$65:$AA$65))*(1-实盘持仓配置!$AM$7)^(('实盘净值数据(iFinD公式)'!$A132-'实盘净值数据(iFinD公式)'!$A$8)/365))</f>
        <v/>
      </c>
      <c r="L132" s="16" t="str">
        <f t="shared" si="16"/>
        <v/>
      </c>
      <c r="M132" s="16" t="str">
        <f>IF(K132="","",K132/MAX(K$5:K132)-1)</f>
        <v/>
      </c>
      <c r="N132" s="13" t="str">
        <f>IF(OR('实盘净值数据(iFinD公式)'!$A132="",'实盘净值数据(iFinD公式)'!$B132="",'实盘净值数据(iFinD公式)'!$Z132="",'实盘净值数据(iFinD公式)'!$AA132=""),"",分期持仓明细!$AB$24*(SUMPRODUCT(分期持仓明细!$B$24:$Y$24,'实盘净值数据(iFinD公式)'!$B132:$Y132/'实盘净值数据(iFinD公式)'!$B$65:$Y$65)+SUMPRODUCT(分期持仓明细!$AC$24:$AD$24,'实盘净值数据(iFinD公式)'!$Z132:$AA132/'实盘净值数据(iFinD公式)'!$Z$65:$AA$65))*(1-实盘持仓配置!$AM$8)^(('实盘净值数据(iFinD公式)'!$A132-'实盘净值数据(iFinD公式)'!$A$5)/365))</f>
        <v/>
      </c>
      <c r="O132" s="16" t="str">
        <f t="shared" si="17"/>
        <v/>
      </c>
      <c r="P132" s="16" t="str">
        <f>IF(N132="","",N132/MAX(N$5:N132)-1)</f>
        <v/>
      </c>
      <c r="Q132" s="13" t="str">
        <f>IF(OR('实盘净值数据(iFinD公式)'!$A132="",'实盘净值数据(iFinD公式)'!$B132="",'实盘净值数据(iFinD公式)'!$Z132="",'实盘净值数据(iFinD公式)'!$AA132=""),"",分期持仓明细!$AB$25*(SUMPRODUCT(分期持仓明细!$B$25:$Y$25,'实盘净值数据(iFinD公式)'!$B132:$Y132/'实盘净值数据(iFinD公式)'!$B$65:$Y$65)+SUMPRODUCT(分期持仓明细!$AC$25:$AD$25,'实盘净值数据(iFinD公式)'!$Z132:$AA132/'实盘净值数据(iFinD公式)'!$Z$65:$AA$65))*(1-实盘持仓配置!$AM$9)^(('实盘净值数据(iFinD公式)'!$A132-'实盘净值数据(iFinD公式)'!$A$8)/365))</f>
        <v/>
      </c>
      <c r="R132" s="16" t="str">
        <f t="shared" si="18"/>
        <v/>
      </c>
      <c r="S132" s="16" t="str">
        <f>IF(Q132="","",Q132/MAX(Q$5:Q132)-1)</f>
        <v/>
      </c>
      <c r="T132" s="13" t="str">
        <f>IF(OR('实盘净值数据(iFinD公式)'!$A132="",'实盘净值数据(iFinD公式)'!$B132="",'实盘净值数据(iFinD公式)'!$Z132="",'实盘净值数据(iFinD公式)'!$AA132="",'实盘净值数据(iFinD公式)'!$AB132="",'实盘净值数据(iFinD公式)'!$AL132=""),"",(SUMPRODUCT(分期持仓明细!$B$26:$Y$26,'实盘净值数据(iFinD公式)'!$B132:$Y132/'实盘净值数据(iFinD公式)'!$B$69:$Y$69)+SUMPRODUCT(分期持仓明细!$AC$26:$AD$26,'实盘净值数据(iFinD公式)'!$Z132:$AA132/'实盘净值数据(iFinD公式)'!$Z$69:$AA$69)+SUMPRODUCT(分期持仓明细!$AE$26:$AO$26,'实盘净值数据(iFinD公式)'!$AB132:$AL132/'实盘净值数据(iFinD公式)'!$AB$69:$AL$69))*(1-实盘持仓配置!$AM$10)^(('实盘净值数据(iFinD公式)'!$A132-'实盘净值数据(iFinD公式)'!$A$69)/365))</f>
        <v/>
      </c>
      <c r="U132" s="16" t="str">
        <f t="shared" si="19"/>
        <v/>
      </c>
      <c r="V132" s="16" t="str">
        <f>IF(T132="","",T132/MAX(T$5:T132)-1)</f>
        <v/>
      </c>
    </row>
    <row r="133" spans="1:22">
      <c r="A133" s="15" t="str">
        <f>IF('实盘净值数据(iFinD公式)'!A133="","",'实盘净值数据(iFinD公式)'!A133)</f>
        <v/>
      </c>
      <c r="B133" s="13" t="str">
        <f>IF(OR('实盘净值数据(iFinD公式)'!$A133="",'实盘净值数据(iFinD公式)'!$B133=""),"",分期持仓明细!$AB$17*SUMPRODUCT(分期持仓明细!$B$17:$Y$17,'实盘净值数据(iFinD公式)'!$B133:$Y133/'实盘净值数据(iFinD公式)'!$B$20:$Y$20)*(1-实盘持仓配置!$AM$4)^(('实盘净值数据(iFinD公式)'!$A133-'实盘净值数据(iFinD公式)'!$A$6)/365))</f>
        <v/>
      </c>
      <c r="C133" s="16" t="str">
        <f t="shared" si="13"/>
        <v/>
      </c>
      <c r="D133" s="16" t="str">
        <f>IF(B133="","",B133/MAX(B$5:B133)-1)</f>
        <v/>
      </c>
      <c r="E133" s="13" t="str">
        <f>IF(OR('实盘净值数据(iFinD公式)'!$A133="",'实盘净值数据(iFinD公式)'!$B133=""),"",分期持仓明细!$AB$18*SUMPRODUCT(分期持仓明细!$B$18:$Y$18,'实盘净值数据(iFinD公式)'!$B133:$Y133/'实盘净值数据(iFinD公式)'!$B$20:$Y$20)*(1-实盘持仓配置!$AM$5)^(('实盘净值数据(iFinD公式)'!$A133-'实盘净值数据(iFinD公式)'!$A$5)/365))</f>
        <v/>
      </c>
      <c r="F133" s="16" t="str">
        <f t="shared" si="14"/>
        <v/>
      </c>
      <c r="G133" s="16" t="str">
        <f>IF(E133="","",E133/MAX(E$5:E133)-1)</f>
        <v/>
      </c>
      <c r="H133" s="13" t="str">
        <f>IF(OR('实盘净值数据(iFinD公式)'!$A133="",'实盘净值数据(iFinD公式)'!$B133=""),"",分期持仓明细!$AB$19*SUMPRODUCT(分期持仓明细!$B$19:$Y$19,'实盘净值数据(iFinD公式)'!$B133:$Y133/'实盘净值数据(iFinD公式)'!$B$20:$Y$20)*(1-实盘持仓配置!$AM$6)^(('实盘净值数据(iFinD公式)'!$A133-'实盘净值数据(iFinD公式)'!$A$7)/365))</f>
        <v/>
      </c>
      <c r="I133" s="16" t="str">
        <f t="shared" si="15"/>
        <v/>
      </c>
      <c r="J133" s="16" t="str">
        <f>IF(H133="","",H133/MAX(H$5:H133)-1)</f>
        <v/>
      </c>
      <c r="K133" s="13" t="str">
        <f>IF(OR('实盘净值数据(iFinD公式)'!$A133="",'实盘净值数据(iFinD公式)'!$B133="",'实盘净值数据(iFinD公式)'!$Z133="",'实盘净值数据(iFinD公式)'!$AA133=""),"",分期持仓明细!$AB$23*(SUMPRODUCT(分期持仓明细!$B$23:$Y$23,'实盘净值数据(iFinD公式)'!$B133:$Y133/'实盘净值数据(iFinD公式)'!$B$65:$Y$65)+SUMPRODUCT(分期持仓明细!$AC$23:$AD$23,'实盘净值数据(iFinD公式)'!$Z133:$AA133/'实盘净值数据(iFinD公式)'!$Z$65:$AA$65))*(1-实盘持仓配置!$AM$7)^(('实盘净值数据(iFinD公式)'!$A133-'实盘净值数据(iFinD公式)'!$A$8)/365))</f>
        <v/>
      </c>
      <c r="L133" s="16" t="str">
        <f t="shared" si="16"/>
        <v/>
      </c>
      <c r="M133" s="16" t="str">
        <f>IF(K133="","",K133/MAX(K$5:K133)-1)</f>
        <v/>
      </c>
      <c r="N133" s="13" t="str">
        <f>IF(OR('实盘净值数据(iFinD公式)'!$A133="",'实盘净值数据(iFinD公式)'!$B133="",'实盘净值数据(iFinD公式)'!$Z133="",'实盘净值数据(iFinD公式)'!$AA133=""),"",分期持仓明细!$AB$24*(SUMPRODUCT(分期持仓明细!$B$24:$Y$24,'实盘净值数据(iFinD公式)'!$B133:$Y133/'实盘净值数据(iFinD公式)'!$B$65:$Y$65)+SUMPRODUCT(分期持仓明细!$AC$24:$AD$24,'实盘净值数据(iFinD公式)'!$Z133:$AA133/'实盘净值数据(iFinD公式)'!$Z$65:$AA$65))*(1-实盘持仓配置!$AM$8)^(('实盘净值数据(iFinD公式)'!$A133-'实盘净值数据(iFinD公式)'!$A$5)/365))</f>
        <v/>
      </c>
      <c r="O133" s="16" t="str">
        <f t="shared" si="17"/>
        <v/>
      </c>
      <c r="P133" s="16" t="str">
        <f>IF(N133="","",N133/MAX(N$5:N133)-1)</f>
        <v/>
      </c>
      <c r="Q133" s="13" t="str">
        <f>IF(OR('实盘净值数据(iFinD公式)'!$A133="",'实盘净值数据(iFinD公式)'!$B133="",'实盘净值数据(iFinD公式)'!$Z133="",'实盘净值数据(iFinD公式)'!$AA133=""),"",分期持仓明细!$AB$25*(SUMPRODUCT(分期持仓明细!$B$25:$Y$25,'实盘净值数据(iFinD公式)'!$B133:$Y133/'实盘净值数据(iFinD公式)'!$B$65:$Y$65)+SUMPRODUCT(分期持仓明细!$AC$25:$AD$25,'实盘净值数据(iFinD公式)'!$Z133:$AA133/'实盘净值数据(iFinD公式)'!$Z$65:$AA$65))*(1-实盘持仓配置!$AM$9)^(('实盘净值数据(iFinD公式)'!$A133-'实盘净值数据(iFinD公式)'!$A$8)/365))</f>
        <v/>
      </c>
      <c r="R133" s="16" t="str">
        <f t="shared" si="18"/>
        <v/>
      </c>
      <c r="S133" s="16" t="str">
        <f>IF(Q133="","",Q133/MAX(Q$5:Q133)-1)</f>
        <v/>
      </c>
      <c r="T133" s="13" t="str">
        <f>IF(OR('实盘净值数据(iFinD公式)'!$A133="",'实盘净值数据(iFinD公式)'!$B133="",'实盘净值数据(iFinD公式)'!$Z133="",'实盘净值数据(iFinD公式)'!$AA133="",'实盘净值数据(iFinD公式)'!$AB133="",'实盘净值数据(iFinD公式)'!$AL133=""),"",(SUMPRODUCT(分期持仓明细!$B$26:$Y$26,'实盘净值数据(iFinD公式)'!$B133:$Y133/'实盘净值数据(iFinD公式)'!$B$69:$Y$69)+SUMPRODUCT(分期持仓明细!$AC$26:$AD$26,'实盘净值数据(iFinD公式)'!$Z133:$AA133/'实盘净值数据(iFinD公式)'!$Z$69:$AA$69)+SUMPRODUCT(分期持仓明细!$AE$26:$AO$26,'实盘净值数据(iFinD公式)'!$AB133:$AL133/'实盘净值数据(iFinD公式)'!$AB$69:$AL$69))*(1-实盘持仓配置!$AM$10)^(('实盘净值数据(iFinD公式)'!$A133-'实盘净值数据(iFinD公式)'!$A$69)/365))</f>
        <v/>
      </c>
      <c r="U133" s="16" t="str">
        <f t="shared" ref="U133:U164" si="20">IF(OR(T132="",T133=""),"",T133/T132-1)</f>
        <v/>
      </c>
      <c r="V133" s="16" t="str">
        <f>IF(T133="","",T133/MAX(T$5:T133)-1)</f>
        <v/>
      </c>
    </row>
    <row r="134" spans="1:22">
      <c r="A134" s="15" t="str">
        <f>IF('实盘净值数据(iFinD公式)'!A134="","",'实盘净值数据(iFinD公式)'!A134)</f>
        <v/>
      </c>
      <c r="B134" s="13" t="str">
        <f>IF(OR('实盘净值数据(iFinD公式)'!$A134="",'实盘净值数据(iFinD公式)'!$B134=""),"",分期持仓明细!$AB$17*SUMPRODUCT(分期持仓明细!$B$17:$Y$17,'实盘净值数据(iFinD公式)'!$B134:$Y134/'实盘净值数据(iFinD公式)'!$B$20:$Y$20)*(1-实盘持仓配置!$AM$4)^(('实盘净值数据(iFinD公式)'!$A134-'实盘净值数据(iFinD公式)'!$A$6)/365))</f>
        <v/>
      </c>
      <c r="C134" s="16" t="str">
        <f t="shared" ref="C134:C197" si="21">IF(OR(B133="",B134=""),"",B134/B133-1)</f>
        <v/>
      </c>
      <c r="D134" s="16" t="str">
        <f>IF(B134="","",B134/MAX(B$5:B134)-1)</f>
        <v/>
      </c>
      <c r="E134" s="13" t="str">
        <f>IF(OR('实盘净值数据(iFinD公式)'!$A134="",'实盘净值数据(iFinD公式)'!$B134=""),"",分期持仓明细!$AB$18*SUMPRODUCT(分期持仓明细!$B$18:$Y$18,'实盘净值数据(iFinD公式)'!$B134:$Y134/'实盘净值数据(iFinD公式)'!$B$20:$Y$20)*(1-实盘持仓配置!$AM$5)^(('实盘净值数据(iFinD公式)'!$A134-'实盘净值数据(iFinD公式)'!$A$5)/365))</f>
        <v/>
      </c>
      <c r="F134" s="16" t="str">
        <f t="shared" ref="F134:F197" si="22">IF(OR(E133="",E134=""),"",E134/E133-1)</f>
        <v/>
      </c>
      <c r="G134" s="16" t="str">
        <f>IF(E134="","",E134/MAX(E$5:E134)-1)</f>
        <v/>
      </c>
      <c r="H134" s="13" t="str">
        <f>IF(OR('实盘净值数据(iFinD公式)'!$A134="",'实盘净值数据(iFinD公式)'!$B134=""),"",分期持仓明细!$AB$19*SUMPRODUCT(分期持仓明细!$B$19:$Y$19,'实盘净值数据(iFinD公式)'!$B134:$Y134/'实盘净值数据(iFinD公式)'!$B$20:$Y$20)*(1-实盘持仓配置!$AM$6)^(('实盘净值数据(iFinD公式)'!$A134-'实盘净值数据(iFinD公式)'!$A$7)/365))</f>
        <v/>
      </c>
      <c r="I134" s="16" t="str">
        <f t="shared" ref="I134:I197" si="23">IF(OR(H133="",H134=""),"",H134/H133-1)</f>
        <v/>
      </c>
      <c r="J134" s="16" t="str">
        <f>IF(H134="","",H134/MAX(H$5:H134)-1)</f>
        <v/>
      </c>
      <c r="K134" s="13" t="str">
        <f>IF(OR('实盘净值数据(iFinD公式)'!$A134="",'实盘净值数据(iFinD公式)'!$B134="",'实盘净值数据(iFinD公式)'!$Z134="",'实盘净值数据(iFinD公式)'!$AA134=""),"",分期持仓明细!$AB$23*(SUMPRODUCT(分期持仓明细!$B$23:$Y$23,'实盘净值数据(iFinD公式)'!$B134:$Y134/'实盘净值数据(iFinD公式)'!$B$65:$Y$65)+SUMPRODUCT(分期持仓明细!$AC$23:$AD$23,'实盘净值数据(iFinD公式)'!$Z134:$AA134/'实盘净值数据(iFinD公式)'!$Z$65:$AA$65))*(1-实盘持仓配置!$AM$7)^(('实盘净值数据(iFinD公式)'!$A134-'实盘净值数据(iFinD公式)'!$A$8)/365))</f>
        <v/>
      </c>
      <c r="L134" s="16" t="str">
        <f t="shared" ref="L134:L197" si="24">IF(OR(K133="",K134=""),"",K134/K133-1)</f>
        <v/>
      </c>
      <c r="M134" s="16" t="str">
        <f>IF(K134="","",K134/MAX(K$5:K134)-1)</f>
        <v/>
      </c>
      <c r="N134" s="13" t="str">
        <f>IF(OR('实盘净值数据(iFinD公式)'!$A134="",'实盘净值数据(iFinD公式)'!$B134="",'实盘净值数据(iFinD公式)'!$Z134="",'实盘净值数据(iFinD公式)'!$AA134=""),"",分期持仓明细!$AB$24*(SUMPRODUCT(分期持仓明细!$B$24:$Y$24,'实盘净值数据(iFinD公式)'!$B134:$Y134/'实盘净值数据(iFinD公式)'!$B$65:$Y$65)+SUMPRODUCT(分期持仓明细!$AC$24:$AD$24,'实盘净值数据(iFinD公式)'!$Z134:$AA134/'实盘净值数据(iFinD公式)'!$Z$65:$AA$65))*(1-实盘持仓配置!$AM$8)^(('实盘净值数据(iFinD公式)'!$A134-'实盘净值数据(iFinD公式)'!$A$5)/365))</f>
        <v/>
      </c>
      <c r="O134" s="16" t="str">
        <f t="shared" ref="O134:O197" si="25">IF(OR(N133="",N134=""),"",N134/N133-1)</f>
        <v/>
      </c>
      <c r="P134" s="16" t="str">
        <f>IF(N134="","",N134/MAX(N$5:N134)-1)</f>
        <v/>
      </c>
      <c r="Q134" s="13" t="str">
        <f>IF(OR('实盘净值数据(iFinD公式)'!$A134="",'实盘净值数据(iFinD公式)'!$B134="",'实盘净值数据(iFinD公式)'!$Z134="",'实盘净值数据(iFinD公式)'!$AA134=""),"",分期持仓明细!$AB$25*(SUMPRODUCT(分期持仓明细!$B$25:$Y$25,'实盘净值数据(iFinD公式)'!$B134:$Y134/'实盘净值数据(iFinD公式)'!$B$65:$Y$65)+SUMPRODUCT(分期持仓明细!$AC$25:$AD$25,'实盘净值数据(iFinD公式)'!$Z134:$AA134/'实盘净值数据(iFinD公式)'!$Z$65:$AA$65))*(1-实盘持仓配置!$AM$9)^(('实盘净值数据(iFinD公式)'!$A134-'实盘净值数据(iFinD公式)'!$A$8)/365))</f>
        <v/>
      </c>
      <c r="R134" s="16" t="str">
        <f t="shared" ref="R134:R197" si="26">IF(OR(Q133="",Q134=""),"",Q134/Q133-1)</f>
        <v/>
      </c>
      <c r="S134" s="16" t="str">
        <f>IF(Q134="","",Q134/MAX(Q$5:Q134)-1)</f>
        <v/>
      </c>
      <c r="T134" s="13" t="str">
        <f>IF(OR('实盘净值数据(iFinD公式)'!$A134="",'实盘净值数据(iFinD公式)'!$B134="",'实盘净值数据(iFinD公式)'!$Z134="",'实盘净值数据(iFinD公式)'!$AA134="",'实盘净值数据(iFinD公式)'!$AB134="",'实盘净值数据(iFinD公式)'!$AL134=""),"",(SUMPRODUCT(分期持仓明细!$B$26:$Y$26,'实盘净值数据(iFinD公式)'!$B134:$Y134/'实盘净值数据(iFinD公式)'!$B$69:$Y$69)+SUMPRODUCT(分期持仓明细!$AC$26:$AD$26,'实盘净值数据(iFinD公式)'!$Z134:$AA134/'实盘净值数据(iFinD公式)'!$Z$69:$AA$69)+SUMPRODUCT(分期持仓明细!$AE$26:$AO$26,'实盘净值数据(iFinD公式)'!$AB134:$AL134/'实盘净值数据(iFinD公式)'!$AB$69:$AL$69))*(1-实盘持仓配置!$AM$10)^(('实盘净值数据(iFinD公式)'!$A134-'实盘净值数据(iFinD公式)'!$A$69)/365))</f>
        <v/>
      </c>
      <c r="U134" s="16" t="str">
        <f t="shared" si="20"/>
        <v/>
      </c>
      <c r="V134" s="16" t="str">
        <f>IF(T134="","",T134/MAX(T$5:T134)-1)</f>
        <v/>
      </c>
    </row>
    <row r="135" spans="1:22">
      <c r="A135" s="15" t="str">
        <f>IF('实盘净值数据(iFinD公式)'!A135="","",'实盘净值数据(iFinD公式)'!A135)</f>
        <v/>
      </c>
      <c r="B135" s="13" t="str">
        <f>IF(OR('实盘净值数据(iFinD公式)'!$A135="",'实盘净值数据(iFinD公式)'!$B135=""),"",分期持仓明细!$AB$17*SUMPRODUCT(分期持仓明细!$B$17:$Y$17,'实盘净值数据(iFinD公式)'!$B135:$Y135/'实盘净值数据(iFinD公式)'!$B$20:$Y$20)*(1-实盘持仓配置!$AM$4)^(('实盘净值数据(iFinD公式)'!$A135-'实盘净值数据(iFinD公式)'!$A$6)/365))</f>
        <v/>
      </c>
      <c r="C135" s="16" t="str">
        <f t="shared" si="21"/>
        <v/>
      </c>
      <c r="D135" s="16" t="str">
        <f>IF(B135="","",B135/MAX(B$5:B135)-1)</f>
        <v/>
      </c>
      <c r="E135" s="13" t="str">
        <f>IF(OR('实盘净值数据(iFinD公式)'!$A135="",'实盘净值数据(iFinD公式)'!$B135=""),"",分期持仓明细!$AB$18*SUMPRODUCT(分期持仓明细!$B$18:$Y$18,'实盘净值数据(iFinD公式)'!$B135:$Y135/'实盘净值数据(iFinD公式)'!$B$20:$Y$20)*(1-实盘持仓配置!$AM$5)^(('实盘净值数据(iFinD公式)'!$A135-'实盘净值数据(iFinD公式)'!$A$5)/365))</f>
        <v/>
      </c>
      <c r="F135" s="16" t="str">
        <f t="shared" si="22"/>
        <v/>
      </c>
      <c r="G135" s="16" t="str">
        <f>IF(E135="","",E135/MAX(E$5:E135)-1)</f>
        <v/>
      </c>
      <c r="H135" s="13" t="str">
        <f>IF(OR('实盘净值数据(iFinD公式)'!$A135="",'实盘净值数据(iFinD公式)'!$B135=""),"",分期持仓明细!$AB$19*SUMPRODUCT(分期持仓明细!$B$19:$Y$19,'实盘净值数据(iFinD公式)'!$B135:$Y135/'实盘净值数据(iFinD公式)'!$B$20:$Y$20)*(1-实盘持仓配置!$AM$6)^(('实盘净值数据(iFinD公式)'!$A135-'实盘净值数据(iFinD公式)'!$A$7)/365))</f>
        <v/>
      </c>
      <c r="I135" s="16" t="str">
        <f t="shared" si="23"/>
        <v/>
      </c>
      <c r="J135" s="16" t="str">
        <f>IF(H135="","",H135/MAX(H$5:H135)-1)</f>
        <v/>
      </c>
      <c r="K135" s="13" t="str">
        <f>IF(OR('实盘净值数据(iFinD公式)'!$A135="",'实盘净值数据(iFinD公式)'!$B135="",'实盘净值数据(iFinD公式)'!$Z135="",'实盘净值数据(iFinD公式)'!$AA135=""),"",分期持仓明细!$AB$23*(SUMPRODUCT(分期持仓明细!$B$23:$Y$23,'实盘净值数据(iFinD公式)'!$B135:$Y135/'实盘净值数据(iFinD公式)'!$B$65:$Y$65)+SUMPRODUCT(分期持仓明细!$AC$23:$AD$23,'实盘净值数据(iFinD公式)'!$Z135:$AA135/'实盘净值数据(iFinD公式)'!$Z$65:$AA$65))*(1-实盘持仓配置!$AM$7)^(('实盘净值数据(iFinD公式)'!$A135-'实盘净值数据(iFinD公式)'!$A$8)/365))</f>
        <v/>
      </c>
      <c r="L135" s="16" t="str">
        <f t="shared" si="24"/>
        <v/>
      </c>
      <c r="M135" s="16" t="str">
        <f>IF(K135="","",K135/MAX(K$5:K135)-1)</f>
        <v/>
      </c>
      <c r="N135" s="13" t="str">
        <f>IF(OR('实盘净值数据(iFinD公式)'!$A135="",'实盘净值数据(iFinD公式)'!$B135="",'实盘净值数据(iFinD公式)'!$Z135="",'实盘净值数据(iFinD公式)'!$AA135=""),"",分期持仓明细!$AB$24*(SUMPRODUCT(分期持仓明细!$B$24:$Y$24,'实盘净值数据(iFinD公式)'!$B135:$Y135/'实盘净值数据(iFinD公式)'!$B$65:$Y$65)+SUMPRODUCT(分期持仓明细!$AC$24:$AD$24,'实盘净值数据(iFinD公式)'!$Z135:$AA135/'实盘净值数据(iFinD公式)'!$Z$65:$AA$65))*(1-实盘持仓配置!$AM$8)^(('实盘净值数据(iFinD公式)'!$A135-'实盘净值数据(iFinD公式)'!$A$5)/365))</f>
        <v/>
      </c>
      <c r="O135" s="16" t="str">
        <f t="shared" si="25"/>
        <v/>
      </c>
      <c r="P135" s="16" t="str">
        <f>IF(N135="","",N135/MAX(N$5:N135)-1)</f>
        <v/>
      </c>
      <c r="Q135" s="13" t="str">
        <f>IF(OR('实盘净值数据(iFinD公式)'!$A135="",'实盘净值数据(iFinD公式)'!$B135="",'实盘净值数据(iFinD公式)'!$Z135="",'实盘净值数据(iFinD公式)'!$AA135=""),"",分期持仓明细!$AB$25*(SUMPRODUCT(分期持仓明细!$B$25:$Y$25,'实盘净值数据(iFinD公式)'!$B135:$Y135/'实盘净值数据(iFinD公式)'!$B$65:$Y$65)+SUMPRODUCT(分期持仓明细!$AC$25:$AD$25,'实盘净值数据(iFinD公式)'!$Z135:$AA135/'实盘净值数据(iFinD公式)'!$Z$65:$AA$65))*(1-实盘持仓配置!$AM$9)^(('实盘净值数据(iFinD公式)'!$A135-'实盘净值数据(iFinD公式)'!$A$8)/365))</f>
        <v/>
      </c>
      <c r="R135" s="16" t="str">
        <f t="shared" si="26"/>
        <v/>
      </c>
      <c r="S135" s="16" t="str">
        <f>IF(Q135="","",Q135/MAX(Q$5:Q135)-1)</f>
        <v/>
      </c>
      <c r="T135" s="13" t="str">
        <f>IF(OR('实盘净值数据(iFinD公式)'!$A135="",'实盘净值数据(iFinD公式)'!$B135="",'实盘净值数据(iFinD公式)'!$Z135="",'实盘净值数据(iFinD公式)'!$AA135="",'实盘净值数据(iFinD公式)'!$AB135="",'实盘净值数据(iFinD公式)'!$AL135=""),"",(SUMPRODUCT(分期持仓明细!$B$26:$Y$26,'实盘净值数据(iFinD公式)'!$B135:$Y135/'实盘净值数据(iFinD公式)'!$B$69:$Y$69)+SUMPRODUCT(分期持仓明细!$AC$26:$AD$26,'实盘净值数据(iFinD公式)'!$Z135:$AA135/'实盘净值数据(iFinD公式)'!$Z$69:$AA$69)+SUMPRODUCT(分期持仓明细!$AE$26:$AO$26,'实盘净值数据(iFinD公式)'!$AB135:$AL135/'实盘净值数据(iFinD公式)'!$AB$69:$AL$69))*(1-实盘持仓配置!$AM$10)^(('实盘净值数据(iFinD公式)'!$A135-'实盘净值数据(iFinD公式)'!$A$69)/365))</f>
        <v/>
      </c>
      <c r="U135" s="16" t="str">
        <f t="shared" si="20"/>
        <v/>
      </c>
      <c r="V135" s="16" t="str">
        <f>IF(T135="","",T135/MAX(T$5:T135)-1)</f>
        <v/>
      </c>
    </row>
    <row r="136" spans="1:22">
      <c r="A136" s="15" t="str">
        <f>IF('实盘净值数据(iFinD公式)'!A136="","",'实盘净值数据(iFinD公式)'!A136)</f>
        <v/>
      </c>
      <c r="B136" s="13" t="str">
        <f>IF(OR('实盘净值数据(iFinD公式)'!$A136="",'实盘净值数据(iFinD公式)'!$B136=""),"",分期持仓明细!$AB$17*SUMPRODUCT(分期持仓明细!$B$17:$Y$17,'实盘净值数据(iFinD公式)'!$B136:$Y136/'实盘净值数据(iFinD公式)'!$B$20:$Y$20)*(1-实盘持仓配置!$AM$4)^(('实盘净值数据(iFinD公式)'!$A136-'实盘净值数据(iFinD公式)'!$A$6)/365))</f>
        <v/>
      </c>
      <c r="C136" s="16" t="str">
        <f t="shared" si="21"/>
        <v/>
      </c>
      <c r="D136" s="16" t="str">
        <f>IF(B136="","",B136/MAX(B$5:B136)-1)</f>
        <v/>
      </c>
      <c r="E136" s="13" t="str">
        <f>IF(OR('实盘净值数据(iFinD公式)'!$A136="",'实盘净值数据(iFinD公式)'!$B136=""),"",分期持仓明细!$AB$18*SUMPRODUCT(分期持仓明细!$B$18:$Y$18,'实盘净值数据(iFinD公式)'!$B136:$Y136/'实盘净值数据(iFinD公式)'!$B$20:$Y$20)*(1-实盘持仓配置!$AM$5)^(('实盘净值数据(iFinD公式)'!$A136-'实盘净值数据(iFinD公式)'!$A$5)/365))</f>
        <v/>
      </c>
      <c r="F136" s="16" t="str">
        <f t="shared" si="22"/>
        <v/>
      </c>
      <c r="G136" s="16" t="str">
        <f>IF(E136="","",E136/MAX(E$5:E136)-1)</f>
        <v/>
      </c>
      <c r="H136" s="13" t="str">
        <f>IF(OR('实盘净值数据(iFinD公式)'!$A136="",'实盘净值数据(iFinD公式)'!$B136=""),"",分期持仓明细!$AB$19*SUMPRODUCT(分期持仓明细!$B$19:$Y$19,'实盘净值数据(iFinD公式)'!$B136:$Y136/'实盘净值数据(iFinD公式)'!$B$20:$Y$20)*(1-实盘持仓配置!$AM$6)^(('实盘净值数据(iFinD公式)'!$A136-'实盘净值数据(iFinD公式)'!$A$7)/365))</f>
        <v/>
      </c>
      <c r="I136" s="16" t="str">
        <f t="shared" si="23"/>
        <v/>
      </c>
      <c r="J136" s="16" t="str">
        <f>IF(H136="","",H136/MAX(H$5:H136)-1)</f>
        <v/>
      </c>
      <c r="K136" s="13" t="str">
        <f>IF(OR('实盘净值数据(iFinD公式)'!$A136="",'实盘净值数据(iFinD公式)'!$B136="",'实盘净值数据(iFinD公式)'!$Z136="",'实盘净值数据(iFinD公式)'!$AA136=""),"",分期持仓明细!$AB$23*(SUMPRODUCT(分期持仓明细!$B$23:$Y$23,'实盘净值数据(iFinD公式)'!$B136:$Y136/'实盘净值数据(iFinD公式)'!$B$65:$Y$65)+SUMPRODUCT(分期持仓明细!$AC$23:$AD$23,'实盘净值数据(iFinD公式)'!$Z136:$AA136/'实盘净值数据(iFinD公式)'!$Z$65:$AA$65))*(1-实盘持仓配置!$AM$7)^(('实盘净值数据(iFinD公式)'!$A136-'实盘净值数据(iFinD公式)'!$A$8)/365))</f>
        <v/>
      </c>
      <c r="L136" s="16" t="str">
        <f t="shared" si="24"/>
        <v/>
      </c>
      <c r="M136" s="16" t="str">
        <f>IF(K136="","",K136/MAX(K$5:K136)-1)</f>
        <v/>
      </c>
      <c r="N136" s="13" t="str">
        <f>IF(OR('实盘净值数据(iFinD公式)'!$A136="",'实盘净值数据(iFinD公式)'!$B136="",'实盘净值数据(iFinD公式)'!$Z136="",'实盘净值数据(iFinD公式)'!$AA136=""),"",分期持仓明细!$AB$24*(SUMPRODUCT(分期持仓明细!$B$24:$Y$24,'实盘净值数据(iFinD公式)'!$B136:$Y136/'实盘净值数据(iFinD公式)'!$B$65:$Y$65)+SUMPRODUCT(分期持仓明细!$AC$24:$AD$24,'实盘净值数据(iFinD公式)'!$Z136:$AA136/'实盘净值数据(iFinD公式)'!$Z$65:$AA$65))*(1-实盘持仓配置!$AM$8)^(('实盘净值数据(iFinD公式)'!$A136-'实盘净值数据(iFinD公式)'!$A$5)/365))</f>
        <v/>
      </c>
      <c r="O136" s="16" t="str">
        <f t="shared" si="25"/>
        <v/>
      </c>
      <c r="P136" s="16" t="str">
        <f>IF(N136="","",N136/MAX(N$5:N136)-1)</f>
        <v/>
      </c>
      <c r="Q136" s="13" t="str">
        <f>IF(OR('实盘净值数据(iFinD公式)'!$A136="",'实盘净值数据(iFinD公式)'!$B136="",'实盘净值数据(iFinD公式)'!$Z136="",'实盘净值数据(iFinD公式)'!$AA136=""),"",分期持仓明细!$AB$25*(SUMPRODUCT(分期持仓明细!$B$25:$Y$25,'实盘净值数据(iFinD公式)'!$B136:$Y136/'实盘净值数据(iFinD公式)'!$B$65:$Y$65)+SUMPRODUCT(分期持仓明细!$AC$25:$AD$25,'实盘净值数据(iFinD公式)'!$Z136:$AA136/'实盘净值数据(iFinD公式)'!$Z$65:$AA$65))*(1-实盘持仓配置!$AM$9)^(('实盘净值数据(iFinD公式)'!$A136-'实盘净值数据(iFinD公式)'!$A$8)/365))</f>
        <v/>
      </c>
      <c r="R136" s="16" t="str">
        <f t="shared" si="26"/>
        <v/>
      </c>
      <c r="S136" s="16" t="str">
        <f>IF(Q136="","",Q136/MAX(Q$5:Q136)-1)</f>
        <v/>
      </c>
      <c r="T136" s="13" t="str">
        <f>IF(OR('实盘净值数据(iFinD公式)'!$A136="",'实盘净值数据(iFinD公式)'!$B136="",'实盘净值数据(iFinD公式)'!$Z136="",'实盘净值数据(iFinD公式)'!$AA136="",'实盘净值数据(iFinD公式)'!$AB136="",'实盘净值数据(iFinD公式)'!$AL136=""),"",(SUMPRODUCT(分期持仓明细!$B$26:$Y$26,'实盘净值数据(iFinD公式)'!$B136:$Y136/'实盘净值数据(iFinD公式)'!$B$69:$Y$69)+SUMPRODUCT(分期持仓明细!$AC$26:$AD$26,'实盘净值数据(iFinD公式)'!$Z136:$AA136/'实盘净值数据(iFinD公式)'!$Z$69:$AA$69)+SUMPRODUCT(分期持仓明细!$AE$26:$AO$26,'实盘净值数据(iFinD公式)'!$AB136:$AL136/'实盘净值数据(iFinD公式)'!$AB$69:$AL$69))*(1-实盘持仓配置!$AM$10)^(('实盘净值数据(iFinD公式)'!$A136-'实盘净值数据(iFinD公式)'!$A$69)/365))</f>
        <v/>
      </c>
      <c r="U136" s="16" t="str">
        <f t="shared" si="20"/>
        <v/>
      </c>
      <c r="V136" s="16" t="str">
        <f>IF(T136="","",T136/MAX(T$5:T136)-1)</f>
        <v/>
      </c>
    </row>
    <row r="137" spans="1:22">
      <c r="A137" s="15" t="str">
        <f>IF('实盘净值数据(iFinD公式)'!A137="","",'实盘净值数据(iFinD公式)'!A137)</f>
        <v/>
      </c>
      <c r="B137" s="13" t="str">
        <f>IF(OR('实盘净值数据(iFinD公式)'!$A137="",'实盘净值数据(iFinD公式)'!$B137=""),"",分期持仓明细!$AB$17*SUMPRODUCT(分期持仓明细!$B$17:$Y$17,'实盘净值数据(iFinD公式)'!$B137:$Y137/'实盘净值数据(iFinD公式)'!$B$20:$Y$20)*(1-实盘持仓配置!$AM$4)^(('实盘净值数据(iFinD公式)'!$A137-'实盘净值数据(iFinD公式)'!$A$6)/365))</f>
        <v/>
      </c>
      <c r="C137" s="16" t="str">
        <f t="shared" si="21"/>
        <v/>
      </c>
      <c r="D137" s="16" t="str">
        <f>IF(B137="","",B137/MAX(B$5:B137)-1)</f>
        <v/>
      </c>
      <c r="E137" s="13" t="str">
        <f>IF(OR('实盘净值数据(iFinD公式)'!$A137="",'实盘净值数据(iFinD公式)'!$B137=""),"",分期持仓明细!$AB$18*SUMPRODUCT(分期持仓明细!$B$18:$Y$18,'实盘净值数据(iFinD公式)'!$B137:$Y137/'实盘净值数据(iFinD公式)'!$B$20:$Y$20)*(1-实盘持仓配置!$AM$5)^(('实盘净值数据(iFinD公式)'!$A137-'实盘净值数据(iFinD公式)'!$A$5)/365))</f>
        <v/>
      </c>
      <c r="F137" s="16" t="str">
        <f t="shared" si="22"/>
        <v/>
      </c>
      <c r="G137" s="16" t="str">
        <f>IF(E137="","",E137/MAX(E$5:E137)-1)</f>
        <v/>
      </c>
      <c r="H137" s="13" t="str">
        <f>IF(OR('实盘净值数据(iFinD公式)'!$A137="",'实盘净值数据(iFinD公式)'!$B137=""),"",分期持仓明细!$AB$19*SUMPRODUCT(分期持仓明细!$B$19:$Y$19,'实盘净值数据(iFinD公式)'!$B137:$Y137/'实盘净值数据(iFinD公式)'!$B$20:$Y$20)*(1-实盘持仓配置!$AM$6)^(('实盘净值数据(iFinD公式)'!$A137-'实盘净值数据(iFinD公式)'!$A$7)/365))</f>
        <v/>
      </c>
      <c r="I137" s="16" t="str">
        <f t="shared" si="23"/>
        <v/>
      </c>
      <c r="J137" s="16" t="str">
        <f>IF(H137="","",H137/MAX(H$5:H137)-1)</f>
        <v/>
      </c>
      <c r="K137" s="13" t="str">
        <f>IF(OR('实盘净值数据(iFinD公式)'!$A137="",'实盘净值数据(iFinD公式)'!$B137="",'实盘净值数据(iFinD公式)'!$Z137="",'实盘净值数据(iFinD公式)'!$AA137=""),"",分期持仓明细!$AB$23*(SUMPRODUCT(分期持仓明细!$B$23:$Y$23,'实盘净值数据(iFinD公式)'!$B137:$Y137/'实盘净值数据(iFinD公式)'!$B$65:$Y$65)+SUMPRODUCT(分期持仓明细!$AC$23:$AD$23,'实盘净值数据(iFinD公式)'!$Z137:$AA137/'实盘净值数据(iFinD公式)'!$Z$65:$AA$65))*(1-实盘持仓配置!$AM$7)^(('实盘净值数据(iFinD公式)'!$A137-'实盘净值数据(iFinD公式)'!$A$8)/365))</f>
        <v/>
      </c>
      <c r="L137" s="16" t="str">
        <f t="shared" si="24"/>
        <v/>
      </c>
      <c r="M137" s="16" t="str">
        <f>IF(K137="","",K137/MAX(K$5:K137)-1)</f>
        <v/>
      </c>
      <c r="N137" s="13" t="str">
        <f>IF(OR('实盘净值数据(iFinD公式)'!$A137="",'实盘净值数据(iFinD公式)'!$B137="",'实盘净值数据(iFinD公式)'!$Z137="",'实盘净值数据(iFinD公式)'!$AA137=""),"",分期持仓明细!$AB$24*(SUMPRODUCT(分期持仓明细!$B$24:$Y$24,'实盘净值数据(iFinD公式)'!$B137:$Y137/'实盘净值数据(iFinD公式)'!$B$65:$Y$65)+SUMPRODUCT(分期持仓明细!$AC$24:$AD$24,'实盘净值数据(iFinD公式)'!$Z137:$AA137/'实盘净值数据(iFinD公式)'!$Z$65:$AA$65))*(1-实盘持仓配置!$AM$8)^(('实盘净值数据(iFinD公式)'!$A137-'实盘净值数据(iFinD公式)'!$A$5)/365))</f>
        <v/>
      </c>
      <c r="O137" s="16" t="str">
        <f t="shared" si="25"/>
        <v/>
      </c>
      <c r="P137" s="16" t="str">
        <f>IF(N137="","",N137/MAX(N$5:N137)-1)</f>
        <v/>
      </c>
      <c r="Q137" s="13" t="str">
        <f>IF(OR('实盘净值数据(iFinD公式)'!$A137="",'实盘净值数据(iFinD公式)'!$B137="",'实盘净值数据(iFinD公式)'!$Z137="",'实盘净值数据(iFinD公式)'!$AA137=""),"",分期持仓明细!$AB$25*(SUMPRODUCT(分期持仓明细!$B$25:$Y$25,'实盘净值数据(iFinD公式)'!$B137:$Y137/'实盘净值数据(iFinD公式)'!$B$65:$Y$65)+SUMPRODUCT(分期持仓明细!$AC$25:$AD$25,'实盘净值数据(iFinD公式)'!$Z137:$AA137/'实盘净值数据(iFinD公式)'!$Z$65:$AA$65))*(1-实盘持仓配置!$AM$9)^(('实盘净值数据(iFinD公式)'!$A137-'实盘净值数据(iFinD公式)'!$A$8)/365))</f>
        <v/>
      </c>
      <c r="R137" s="16" t="str">
        <f t="shared" si="26"/>
        <v/>
      </c>
      <c r="S137" s="16" t="str">
        <f>IF(Q137="","",Q137/MAX(Q$5:Q137)-1)</f>
        <v/>
      </c>
      <c r="T137" s="13" t="str">
        <f>IF(OR('实盘净值数据(iFinD公式)'!$A137="",'实盘净值数据(iFinD公式)'!$B137="",'实盘净值数据(iFinD公式)'!$Z137="",'实盘净值数据(iFinD公式)'!$AA137="",'实盘净值数据(iFinD公式)'!$AB137="",'实盘净值数据(iFinD公式)'!$AL137=""),"",(SUMPRODUCT(分期持仓明细!$B$26:$Y$26,'实盘净值数据(iFinD公式)'!$B137:$Y137/'实盘净值数据(iFinD公式)'!$B$69:$Y$69)+SUMPRODUCT(分期持仓明细!$AC$26:$AD$26,'实盘净值数据(iFinD公式)'!$Z137:$AA137/'实盘净值数据(iFinD公式)'!$Z$69:$AA$69)+SUMPRODUCT(分期持仓明细!$AE$26:$AO$26,'实盘净值数据(iFinD公式)'!$AB137:$AL137/'实盘净值数据(iFinD公式)'!$AB$69:$AL$69))*(1-实盘持仓配置!$AM$10)^(('实盘净值数据(iFinD公式)'!$A137-'实盘净值数据(iFinD公式)'!$A$69)/365))</f>
        <v/>
      </c>
      <c r="U137" s="16" t="str">
        <f t="shared" si="20"/>
        <v/>
      </c>
      <c r="V137" s="16" t="str">
        <f>IF(T137="","",T137/MAX(T$5:T137)-1)</f>
        <v/>
      </c>
    </row>
    <row r="138" spans="1:22">
      <c r="A138" s="15" t="str">
        <f>IF('实盘净值数据(iFinD公式)'!A138="","",'实盘净值数据(iFinD公式)'!A138)</f>
        <v/>
      </c>
      <c r="B138" s="13" t="str">
        <f>IF(OR('实盘净值数据(iFinD公式)'!$A138="",'实盘净值数据(iFinD公式)'!$B138=""),"",分期持仓明细!$AB$17*SUMPRODUCT(分期持仓明细!$B$17:$Y$17,'实盘净值数据(iFinD公式)'!$B138:$Y138/'实盘净值数据(iFinD公式)'!$B$20:$Y$20)*(1-实盘持仓配置!$AM$4)^(('实盘净值数据(iFinD公式)'!$A138-'实盘净值数据(iFinD公式)'!$A$6)/365))</f>
        <v/>
      </c>
      <c r="C138" s="16" t="str">
        <f t="shared" si="21"/>
        <v/>
      </c>
      <c r="D138" s="16" t="str">
        <f>IF(B138="","",B138/MAX(B$5:B138)-1)</f>
        <v/>
      </c>
      <c r="E138" s="13" t="str">
        <f>IF(OR('实盘净值数据(iFinD公式)'!$A138="",'实盘净值数据(iFinD公式)'!$B138=""),"",分期持仓明细!$AB$18*SUMPRODUCT(分期持仓明细!$B$18:$Y$18,'实盘净值数据(iFinD公式)'!$B138:$Y138/'实盘净值数据(iFinD公式)'!$B$20:$Y$20)*(1-实盘持仓配置!$AM$5)^(('实盘净值数据(iFinD公式)'!$A138-'实盘净值数据(iFinD公式)'!$A$5)/365))</f>
        <v/>
      </c>
      <c r="F138" s="16" t="str">
        <f t="shared" si="22"/>
        <v/>
      </c>
      <c r="G138" s="16" t="str">
        <f>IF(E138="","",E138/MAX(E$5:E138)-1)</f>
        <v/>
      </c>
      <c r="H138" s="13" t="str">
        <f>IF(OR('实盘净值数据(iFinD公式)'!$A138="",'实盘净值数据(iFinD公式)'!$B138=""),"",分期持仓明细!$AB$19*SUMPRODUCT(分期持仓明细!$B$19:$Y$19,'实盘净值数据(iFinD公式)'!$B138:$Y138/'实盘净值数据(iFinD公式)'!$B$20:$Y$20)*(1-实盘持仓配置!$AM$6)^(('实盘净值数据(iFinD公式)'!$A138-'实盘净值数据(iFinD公式)'!$A$7)/365))</f>
        <v/>
      </c>
      <c r="I138" s="16" t="str">
        <f t="shared" si="23"/>
        <v/>
      </c>
      <c r="J138" s="16" t="str">
        <f>IF(H138="","",H138/MAX(H$5:H138)-1)</f>
        <v/>
      </c>
      <c r="K138" s="13" t="str">
        <f>IF(OR('实盘净值数据(iFinD公式)'!$A138="",'实盘净值数据(iFinD公式)'!$B138="",'实盘净值数据(iFinD公式)'!$Z138="",'实盘净值数据(iFinD公式)'!$AA138=""),"",分期持仓明细!$AB$23*(SUMPRODUCT(分期持仓明细!$B$23:$Y$23,'实盘净值数据(iFinD公式)'!$B138:$Y138/'实盘净值数据(iFinD公式)'!$B$65:$Y$65)+SUMPRODUCT(分期持仓明细!$AC$23:$AD$23,'实盘净值数据(iFinD公式)'!$Z138:$AA138/'实盘净值数据(iFinD公式)'!$Z$65:$AA$65))*(1-实盘持仓配置!$AM$7)^(('实盘净值数据(iFinD公式)'!$A138-'实盘净值数据(iFinD公式)'!$A$8)/365))</f>
        <v/>
      </c>
      <c r="L138" s="16" t="str">
        <f t="shared" si="24"/>
        <v/>
      </c>
      <c r="M138" s="16" t="str">
        <f>IF(K138="","",K138/MAX(K$5:K138)-1)</f>
        <v/>
      </c>
      <c r="N138" s="13" t="str">
        <f>IF(OR('实盘净值数据(iFinD公式)'!$A138="",'实盘净值数据(iFinD公式)'!$B138="",'实盘净值数据(iFinD公式)'!$Z138="",'实盘净值数据(iFinD公式)'!$AA138=""),"",分期持仓明细!$AB$24*(SUMPRODUCT(分期持仓明细!$B$24:$Y$24,'实盘净值数据(iFinD公式)'!$B138:$Y138/'实盘净值数据(iFinD公式)'!$B$65:$Y$65)+SUMPRODUCT(分期持仓明细!$AC$24:$AD$24,'实盘净值数据(iFinD公式)'!$Z138:$AA138/'实盘净值数据(iFinD公式)'!$Z$65:$AA$65))*(1-实盘持仓配置!$AM$8)^(('实盘净值数据(iFinD公式)'!$A138-'实盘净值数据(iFinD公式)'!$A$5)/365))</f>
        <v/>
      </c>
      <c r="O138" s="16" t="str">
        <f t="shared" si="25"/>
        <v/>
      </c>
      <c r="P138" s="16" t="str">
        <f>IF(N138="","",N138/MAX(N$5:N138)-1)</f>
        <v/>
      </c>
      <c r="Q138" s="13" t="str">
        <f>IF(OR('实盘净值数据(iFinD公式)'!$A138="",'实盘净值数据(iFinD公式)'!$B138="",'实盘净值数据(iFinD公式)'!$Z138="",'实盘净值数据(iFinD公式)'!$AA138=""),"",分期持仓明细!$AB$25*(SUMPRODUCT(分期持仓明细!$B$25:$Y$25,'实盘净值数据(iFinD公式)'!$B138:$Y138/'实盘净值数据(iFinD公式)'!$B$65:$Y$65)+SUMPRODUCT(分期持仓明细!$AC$25:$AD$25,'实盘净值数据(iFinD公式)'!$Z138:$AA138/'实盘净值数据(iFinD公式)'!$Z$65:$AA$65))*(1-实盘持仓配置!$AM$9)^(('实盘净值数据(iFinD公式)'!$A138-'实盘净值数据(iFinD公式)'!$A$8)/365))</f>
        <v/>
      </c>
      <c r="R138" s="16" t="str">
        <f t="shared" si="26"/>
        <v/>
      </c>
      <c r="S138" s="16" t="str">
        <f>IF(Q138="","",Q138/MAX(Q$5:Q138)-1)</f>
        <v/>
      </c>
      <c r="T138" s="13" t="str">
        <f>IF(OR('实盘净值数据(iFinD公式)'!$A138="",'实盘净值数据(iFinD公式)'!$B138="",'实盘净值数据(iFinD公式)'!$Z138="",'实盘净值数据(iFinD公式)'!$AA138="",'实盘净值数据(iFinD公式)'!$AB138="",'实盘净值数据(iFinD公式)'!$AL138=""),"",(SUMPRODUCT(分期持仓明细!$B$26:$Y$26,'实盘净值数据(iFinD公式)'!$B138:$Y138/'实盘净值数据(iFinD公式)'!$B$69:$Y$69)+SUMPRODUCT(分期持仓明细!$AC$26:$AD$26,'实盘净值数据(iFinD公式)'!$Z138:$AA138/'实盘净值数据(iFinD公式)'!$Z$69:$AA$69)+SUMPRODUCT(分期持仓明细!$AE$26:$AO$26,'实盘净值数据(iFinD公式)'!$AB138:$AL138/'实盘净值数据(iFinD公式)'!$AB$69:$AL$69))*(1-实盘持仓配置!$AM$10)^(('实盘净值数据(iFinD公式)'!$A138-'实盘净值数据(iFinD公式)'!$A$69)/365))</f>
        <v/>
      </c>
      <c r="U138" s="16" t="str">
        <f t="shared" si="20"/>
        <v/>
      </c>
      <c r="V138" s="16" t="str">
        <f>IF(T138="","",T138/MAX(T$5:T138)-1)</f>
        <v/>
      </c>
    </row>
    <row r="139" spans="1:22">
      <c r="A139" s="15" t="str">
        <f>IF('实盘净值数据(iFinD公式)'!A139="","",'实盘净值数据(iFinD公式)'!A139)</f>
        <v/>
      </c>
      <c r="B139" s="13" t="str">
        <f>IF(OR('实盘净值数据(iFinD公式)'!$A139="",'实盘净值数据(iFinD公式)'!$B139=""),"",分期持仓明细!$AB$17*SUMPRODUCT(分期持仓明细!$B$17:$Y$17,'实盘净值数据(iFinD公式)'!$B139:$Y139/'实盘净值数据(iFinD公式)'!$B$20:$Y$20)*(1-实盘持仓配置!$AM$4)^(('实盘净值数据(iFinD公式)'!$A139-'实盘净值数据(iFinD公式)'!$A$6)/365))</f>
        <v/>
      </c>
      <c r="C139" s="16" t="str">
        <f t="shared" si="21"/>
        <v/>
      </c>
      <c r="D139" s="16" t="str">
        <f>IF(B139="","",B139/MAX(B$5:B139)-1)</f>
        <v/>
      </c>
      <c r="E139" s="13" t="str">
        <f>IF(OR('实盘净值数据(iFinD公式)'!$A139="",'实盘净值数据(iFinD公式)'!$B139=""),"",分期持仓明细!$AB$18*SUMPRODUCT(分期持仓明细!$B$18:$Y$18,'实盘净值数据(iFinD公式)'!$B139:$Y139/'实盘净值数据(iFinD公式)'!$B$20:$Y$20)*(1-实盘持仓配置!$AM$5)^(('实盘净值数据(iFinD公式)'!$A139-'实盘净值数据(iFinD公式)'!$A$5)/365))</f>
        <v/>
      </c>
      <c r="F139" s="16" t="str">
        <f t="shared" si="22"/>
        <v/>
      </c>
      <c r="G139" s="16" t="str">
        <f>IF(E139="","",E139/MAX(E$5:E139)-1)</f>
        <v/>
      </c>
      <c r="H139" s="13" t="str">
        <f>IF(OR('实盘净值数据(iFinD公式)'!$A139="",'实盘净值数据(iFinD公式)'!$B139=""),"",分期持仓明细!$AB$19*SUMPRODUCT(分期持仓明细!$B$19:$Y$19,'实盘净值数据(iFinD公式)'!$B139:$Y139/'实盘净值数据(iFinD公式)'!$B$20:$Y$20)*(1-实盘持仓配置!$AM$6)^(('实盘净值数据(iFinD公式)'!$A139-'实盘净值数据(iFinD公式)'!$A$7)/365))</f>
        <v/>
      </c>
      <c r="I139" s="16" t="str">
        <f t="shared" si="23"/>
        <v/>
      </c>
      <c r="J139" s="16" t="str">
        <f>IF(H139="","",H139/MAX(H$5:H139)-1)</f>
        <v/>
      </c>
      <c r="K139" s="13" t="str">
        <f>IF(OR('实盘净值数据(iFinD公式)'!$A139="",'实盘净值数据(iFinD公式)'!$B139="",'实盘净值数据(iFinD公式)'!$Z139="",'实盘净值数据(iFinD公式)'!$AA139=""),"",分期持仓明细!$AB$23*(SUMPRODUCT(分期持仓明细!$B$23:$Y$23,'实盘净值数据(iFinD公式)'!$B139:$Y139/'实盘净值数据(iFinD公式)'!$B$65:$Y$65)+SUMPRODUCT(分期持仓明细!$AC$23:$AD$23,'实盘净值数据(iFinD公式)'!$Z139:$AA139/'实盘净值数据(iFinD公式)'!$Z$65:$AA$65))*(1-实盘持仓配置!$AM$7)^(('实盘净值数据(iFinD公式)'!$A139-'实盘净值数据(iFinD公式)'!$A$8)/365))</f>
        <v/>
      </c>
      <c r="L139" s="16" t="str">
        <f t="shared" si="24"/>
        <v/>
      </c>
      <c r="M139" s="16" t="str">
        <f>IF(K139="","",K139/MAX(K$5:K139)-1)</f>
        <v/>
      </c>
      <c r="N139" s="13" t="str">
        <f>IF(OR('实盘净值数据(iFinD公式)'!$A139="",'实盘净值数据(iFinD公式)'!$B139="",'实盘净值数据(iFinD公式)'!$Z139="",'实盘净值数据(iFinD公式)'!$AA139=""),"",分期持仓明细!$AB$24*(SUMPRODUCT(分期持仓明细!$B$24:$Y$24,'实盘净值数据(iFinD公式)'!$B139:$Y139/'实盘净值数据(iFinD公式)'!$B$65:$Y$65)+SUMPRODUCT(分期持仓明细!$AC$24:$AD$24,'实盘净值数据(iFinD公式)'!$Z139:$AA139/'实盘净值数据(iFinD公式)'!$Z$65:$AA$65))*(1-实盘持仓配置!$AM$8)^(('实盘净值数据(iFinD公式)'!$A139-'实盘净值数据(iFinD公式)'!$A$5)/365))</f>
        <v/>
      </c>
      <c r="O139" s="16" t="str">
        <f t="shared" si="25"/>
        <v/>
      </c>
      <c r="P139" s="16" t="str">
        <f>IF(N139="","",N139/MAX(N$5:N139)-1)</f>
        <v/>
      </c>
      <c r="Q139" s="13" t="str">
        <f>IF(OR('实盘净值数据(iFinD公式)'!$A139="",'实盘净值数据(iFinD公式)'!$B139="",'实盘净值数据(iFinD公式)'!$Z139="",'实盘净值数据(iFinD公式)'!$AA139=""),"",分期持仓明细!$AB$25*(SUMPRODUCT(分期持仓明细!$B$25:$Y$25,'实盘净值数据(iFinD公式)'!$B139:$Y139/'实盘净值数据(iFinD公式)'!$B$65:$Y$65)+SUMPRODUCT(分期持仓明细!$AC$25:$AD$25,'实盘净值数据(iFinD公式)'!$Z139:$AA139/'实盘净值数据(iFinD公式)'!$Z$65:$AA$65))*(1-实盘持仓配置!$AM$9)^(('实盘净值数据(iFinD公式)'!$A139-'实盘净值数据(iFinD公式)'!$A$8)/365))</f>
        <v/>
      </c>
      <c r="R139" s="16" t="str">
        <f t="shared" si="26"/>
        <v/>
      </c>
      <c r="S139" s="16" t="str">
        <f>IF(Q139="","",Q139/MAX(Q$5:Q139)-1)</f>
        <v/>
      </c>
      <c r="T139" s="13" t="str">
        <f>IF(OR('实盘净值数据(iFinD公式)'!$A139="",'实盘净值数据(iFinD公式)'!$B139="",'实盘净值数据(iFinD公式)'!$Z139="",'实盘净值数据(iFinD公式)'!$AA139="",'实盘净值数据(iFinD公式)'!$AB139="",'实盘净值数据(iFinD公式)'!$AL139=""),"",(SUMPRODUCT(分期持仓明细!$B$26:$Y$26,'实盘净值数据(iFinD公式)'!$B139:$Y139/'实盘净值数据(iFinD公式)'!$B$69:$Y$69)+SUMPRODUCT(分期持仓明细!$AC$26:$AD$26,'实盘净值数据(iFinD公式)'!$Z139:$AA139/'实盘净值数据(iFinD公式)'!$Z$69:$AA$69)+SUMPRODUCT(分期持仓明细!$AE$26:$AO$26,'实盘净值数据(iFinD公式)'!$AB139:$AL139/'实盘净值数据(iFinD公式)'!$AB$69:$AL$69))*(1-实盘持仓配置!$AM$10)^(('实盘净值数据(iFinD公式)'!$A139-'实盘净值数据(iFinD公式)'!$A$69)/365))</f>
        <v/>
      </c>
      <c r="U139" s="16" t="str">
        <f t="shared" si="20"/>
        <v/>
      </c>
      <c r="V139" s="16" t="str">
        <f>IF(T139="","",T139/MAX(T$5:T139)-1)</f>
        <v/>
      </c>
    </row>
    <row r="140" spans="1:22">
      <c r="A140" s="15" t="str">
        <f>IF('实盘净值数据(iFinD公式)'!A140="","",'实盘净值数据(iFinD公式)'!A140)</f>
        <v/>
      </c>
      <c r="B140" s="13" t="str">
        <f>IF(OR('实盘净值数据(iFinD公式)'!$A140="",'实盘净值数据(iFinD公式)'!$B140=""),"",分期持仓明细!$AB$17*SUMPRODUCT(分期持仓明细!$B$17:$Y$17,'实盘净值数据(iFinD公式)'!$B140:$Y140/'实盘净值数据(iFinD公式)'!$B$20:$Y$20)*(1-实盘持仓配置!$AM$4)^(('实盘净值数据(iFinD公式)'!$A140-'实盘净值数据(iFinD公式)'!$A$6)/365))</f>
        <v/>
      </c>
      <c r="C140" s="16" t="str">
        <f t="shared" si="21"/>
        <v/>
      </c>
      <c r="D140" s="16" t="str">
        <f>IF(B140="","",B140/MAX(B$5:B140)-1)</f>
        <v/>
      </c>
      <c r="E140" s="13" t="str">
        <f>IF(OR('实盘净值数据(iFinD公式)'!$A140="",'实盘净值数据(iFinD公式)'!$B140=""),"",分期持仓明细!$AB$18*SUMPRODUCT(分期持仓明细!$B$18:$Y$18,'实盘净值数据(iFinD公式)'!$B140:$Y140/'实盘净值数据(iFinD公式)'!$B$20:$Y$20)*(1-实盘持仓配置!$AM$5)^(('实盘净值数据(iFinD公式)'!$A140-'实盘净值数据(iFinD公式)'!$A$5)/365))</f>
        <v/>
      </c>
      <c r="F140" s="16" t="str">
        <f t="shared" si="22"/>
        <v/>
      </c>
      <c r="G140" s="16" t="str">
        <f>IF(E140="","",E140/MAX(E$5:E140)-1)</f>
        <v/>
      </c>
      <c r="H140" s="13" t="str">
        <f>IF(OR('实盘净值数据(iFinD公式)'!$A140="",'实盘净值数据(iFinD公式)'!$B140=""),"",分期持仓明细!$AB$19*SUMPRODUCT(分期持仓明细!$B$19:$Y$19,'实盘净值数据(iFinD公式)'!$B140:$Y140/'实盘净值数据(iFinD公式)'!$B$20:$Y$20)*(1-实盘持仓配置!$AM$6)^(('实盘净值数据(iFinD公式)'!$A140-'实盘净值数据(iFinD公式)'!$A$7)/365))</f>
        <v/>
      </c>
      <c r="I140" s="16" t="str">
        <f t="shared" si="23"/>
        <v/>
      </c>
      <c r="J140" s="16" t="str">
        <f>IF(H140="","",H140/MAX(H$5:H140)-1)</f>
        <v/>
      </c>
      <c r="K140" s="13" t="str">
        <f>IF(OR('实盘净值数据(iFinD公式)'!$A140="",'实盘净值数据(iFinD公式)'!$B140="",'实盘净值数据(iFinD公式)'!$Z140="",'实盘净值数据(iFinD公式)'!$AA140=""),"",分期持仓明细!$AB$23*(SUMPRODUCT(分期持仓明细!$B$23:$Y$23,'实盘净值数据(iFinD公式)'!$B140:$Y140/'实盘净值数据(iFinD公式)'!$B$65:$Y$65)+SUMPRODUCT(分期持仓明细!$AC$23:$AD$23,'实盘净值数据(iFinD公式)'!$Z140:$AA140/'实盘净值数据(iFinD公式)'!$Z$65:$AA$65))*(1-实盘持仓配置!$AM$7)^(('实盘净值数据(iFinD公式)'!$A140-'实盘净值数据(iFinD公式)'!$A$8)/365))</f>
        <v/>
      </c>
      <c r="L140" s="16" t="str">
        <f t="shared" si="24"/>
        <v/>
      </c>
      <c r="M140" s="16" t="str">
        <f>IF(K140="","",K140/MAX(K$5:K140)-1)</f>
        <v/>
      </c>
      <c r="N140" s="13" t="str">
        <f>IF(OR('实盘净值数据(iFinD公式)'!$A140="",'实盘净值数据(iFinD公式)'!$B140="",'实盘净值数据(iFinD公式)'!$Z140="",'实盘净值数据(iFinD公式)'!$AA140=""),"",分期持仓明细!$AB$24*(SUMPRODUCT(分期持仓明细!$B$24:$Y$24,'实盘净值数据(iFinD公式)'!$B140:$Y140/'实盘净值数据(iFinD公式)'!$B$65:$Y$65)+SUMPRODUCT(分期持仓明细!$AC$24:$AD$24,'实盘净值数据(iFinD公式)'!$Z140:$AA140/'实盘净值数据(iFinD公式)'!$Z$65:$AA$65))*(1-实盘持仓配置!$AM$8)^(('实盘净值数据(iFinD公式)'!$A140-'实盘净值数据(iFinD公式)'!$A$5)/365))</f>
        <v/>
      </c>
      <c r="O140" s="16" t="str">
        <f t="shared" si="25"/>
        <v/>
      </c>
      <c r="P140" s="16" t="str">
        <f>IF(N140="","",N140/MAX(N$5:N140)-1)</f>
        <v/>
      </c>
      <c r="Q140" s="13" t="str">
        <f>IF(OR('实盘净值数据(iFinD公式)'!$A140="",'实盘净值数据(iFinD公式)'!$B140="",'实盘净值数据(iFinD公式)'!$Z140="",'实盘净值数据(iFinD公式)'!$AA140=""),"",分期持仓明细!$AB$25*(SUMPRODUCT(分期持仓明细!$B$25:$Y$25,'实盘净值数据(iFinD公式)'!$B140:$Y140/'实盘净值数据(iFinD公式)'!$B$65:$Y$65)+SUMPRODUCT(分期持仓明细!$AC$25:$AD$25,'实盘净值数据(iFinD公式)'!$Z140:$AA140/'实盘净值数据(iFinD公式)'!$Z$65:$AA$65))*(1-实盘持仓配置!$AM$9)^(('实盘净值数据(iFinD公式)'!$A140-'实盘净值数据(iFinD公式)'!$A$8)/365))</f>
        <v/>
      </c>
      <c r="R140" s="16" t="str">
        <f t="shared" si="26"/>
        <v/>
      </c>
      <c r="S140" s="16" t="str">
        <f>IF(Q140="","",Q140/MAX(Q$5:Q140)-1)</f>
        <v/>
      </c>
      <c r="T140" s="13" t="str">
        <f>IF(OR('实盘净值数据(iFinD公式)'!$A140="",'实盘净值数据(iFinD公式)'!$B140="",'实盘净值数据(iFinD公式)'!$Z140="",'实盘净值数据(iFinD公式)'!$AA140="",'实盘净值数据(iFinD公式)'!$AB140="",'实盘净值数据(iFinD公式)'!$AL140=""),"",(SUMPRODUCT(分期持仓明细!$B$26:$Y$26,'实盘净值数据(iFinD公式)'!$B140:$Y140/'实盘净值数据(iFinD公式)'!$B$69:$Y$69)+SUMPRODUCT(分期持仓明细!$AC$26:$AD$26,'实盘净值数据(iFinD公式)'!$Z140:$AA140/'实盘净值数据(iFinD公式)'!$Z$69:$AA$69)+SUMPRODUCT(分期持仓明细!$AE$26:$AO$26,'实盘净值数据(iFinD公式)'!$AB140:$AL140/'实盘净值数据(iFinD公式)'!$AB$69:$AL$69))*(1-实盘持仓配置!$AM$10)^(('实盘净值数据(iFinD公式)'!$A140-'实盘净值数据(iFinD公式)'!$A$69)/365))</f>
        <v/>
      </c>
      <c r="U140" s="16" t="str">
        <f t="shared" si="20"/>
        <v/>
      </c>
      <c r="V140" s="16" t="str">
        <f>IF(T140="","",T140/MAX(T$5:T140)-1)</f>
        <v/>
      </c>
    </row>
    <row r="141" spans="1:22">
      <c r="A141" s="15" t="str">
        <f>IF('实盘净值数据(iFinD公式)'!A141="","",'实盘净值数据(iFinD公式)'!A141)</f>
        <v/>
      </c>
      <c r="B141" s="13" t="str">
        <f>IF(OR('实盘净值数据(iFinD公式)'!$A141="",'实盘净值数据(iFinD公式)'!$B141=""),"",分期持仓明细!$AB$17*SUMPRODUCT(分期持仓明细!$B$17:$Y$17,'实盘净值数据(iFinD公式)'!$B141:$Y141/'实盘净值数据(iFinD公式)'!$B$20:$Y$20)*(1-实盘持仓配置!$AM$4)^(('实盘净值数据(iFinD公式)'!$A141-'实盘净值数据(iFinD公式)'!$A$6)/365))</f>
        <v/>
      </c>
      <c r="C141" s="16" t="str">
        <f t="shared" si="21"/>
        <v/>
      </c>
      <c r="D141" s="16" t="str">
        <f>IF(B141="","",B141/MAX(B$5:B141)-1)</f>
        <v/>
      </c>
      <c r="E141" s="13" t="str">
        <f>IF(OR('实盘净值数据(iFinD公式)'!$A141="",'实盘净值数据(iFinD公式)'!$B141=""),"",分期持仓明细!$AB$18*SUMPRODUCT(分期持仓明细!$B$18:$Y$18,'实盘净值数据(iFinD公式)'!$B141:$Y141/'实盘净值数据(iFinD公式)'!$B$20:$Y$20)*(1-实盘持仓配置!$AM$5)^(('实盘净值数据(iFinD公式)'!$A141-'实盘净值数据(iFinD公式)'!$A$5)/365))</f>
        <v/>
      </c>
      <c r="F141" s="16" t="str">
        <f t="shared" si="22"/>
        <v/>
      </c>
      <c r="G141" s="16" t="str">
        <f>IF(E141="","",E141/MAX(E$5:E141)-1)</f>
        <v/>
      </c>
      <c r="H141" s="13" t="str">
        <f>IF(OR('实盘净值数据(iFinD公式)'!$A141="",'实盘净值数据(iFinD公式)'!$B141=""),"",分期持仓明细!$AB$19*SUMPRODUCT(分期持仓明细!$B$19:$Y$19,'实盘净值数据(iFinD公式)'!$B141:$Y141/'实盘净值数据(iFinD公式)'!$B$20:$Y$20)*(1-实盘持仓配置!$AM$6)^(('实盘净值数据(iFinD公式)'!$A141-'实盘净值数据(iFinD公式)'!$A$7)/365))</f>
        <v/>
      </c>
      <c r="I141" s="16" t="str">
        <f t="shared" si="23"/>
        <v/>
      </c>
      <c r="J141" s="16" t="str">
        <f>IF(H141="","",H141/MAX(H$5:H141)-1)</f>
        <v/>
      </c>
      <c r="K141" s="13" t="str">
        <f>IF(OR('实盘净值数据(iFinD公式)'!$A141="",'实盘净值数据(iFinD公式)'!$B141="",'实盘净值数据(iFinD公式)'!$Z141="",'实盘净值数据(iFinD公式)'!$AA141=""),"",分期持仓明细!$AB$23*(SUMPRODUCT(分期持仓明细!$B$23:$Y$23,'实盘净值数据(iFinD公式)'!$B141:$Y141/'实盘净值数据(iFinD公式)'!$B$65:$Y$65)+SUMPRODUCT(分期持仓明细!$AC$23:$AD$23,'实盘净值数据(iFinD公式)'!$Z141:$AA141/'实盘净值数据(iFinD公式)'!$Z$65:$AA$65))*(1-实盘持仓配置!$AM$7)^(('实盘净值数据(iFinD公式)'!$A141-'实盘净值数据(iFinD公式)'!$A$8)/365))</f>
        <v/>
      </c>
      <c r="L141" s="16" t="str">
        <f t="shared" si="24"/>
        <v/>
      </c>
      <c r="M141" s="16" t="str">
        <f>IF(K141="","",K141/MAX(K$5:K141)-1)</f>
        <v/>
      </c>
      <c r="N141" s="13" t="str">
        <f>IF(OR('实盘净值数据(iFinD公式)'!$A141="",'实盘净值数据(iFinD公式)'!$B141="",'实盘净值数据(iFinD公式)'!$Z141="",'实盘净值数据(iFinD公式)'!$AA141=""),"",分期持仓明细!$AB$24*(SUMPRODUCT(分期持仓明细!$B$24:$Y$24,'实盘净值数据(iFinD公式)'!$B141:$Y141/'实盘净值数据(iFinD公式)'!$B$65:$Y$65)+SUMPRODUCT(分期持仓明细!$AC$24:$AD$24,'实盘净值数据(iFinD公式)'!$Z141:$AA141/'实盘净值数据(iFinD公式)'!$Z$65:$AA$65))*(1-实盘持仓配置!$AM$8)^(('实盘净值数据(iFinD公式)'!$A141-'实盘净值数据(iFinD公式)'!$A$5)/365))</f>
        <v/>
      </c>
      <c r="O141" s="16" t="str">
        <f t="shared" si="25"/>
        <v/>
      </c>
      <c r="P141" s="16" t="str">
        <f>IF(N141="","",N141/MAX(N$5:N141)-1)</f>
        <v/>
      </c>
      <c r="Q141" s="13" t="str">
        <f>IF(OR('实盘净值数据(iFinD公式)'!$A141="",'实盘净值数据(iFinD公式)'!$B141="",'实盘净值数据(iFinD公式)'!$Z141="",'实盘净值数据(iFinD公式)'!$AA141=""),"",分期持仓明细!$AB$25*(SUMPRODUCT(分期持仓明细!$B$25:$Y$25,'实盘净值数据(iFinD公式)'!$B141:$Y141/'实盘净值数据(iFinD公式)'!$B$65:$Y$65)+SUMPRODUCT(分期持仓明细!$AC$25:$AD$25,'实盘净值数据(iFinD公式)'!$Z141:$AA141/'实盘净值数据(iFinD公式)'!$Z$65:$AA$65))*(1-实盘持仓配置!$AM$9)^(('实盘净值数据(iFinD公式)'!$A141-'实盘净值数据(iFinD公式)'!$A$8)/365))</f>
        <v/>
      </c>
      <c r="R141" s="16" t="str">
        <f t="shared" si="26"/>
        <v/>
      </c>
      <c r="S141" s="16" t="str">
        <f>IF(Q141="","",Q141/MAX(Q$5:Q141)-1)</f>
        <v/>
      </c>
      <c r="T141" s="13" t="str">
        <f>IF(OR('实盘净值数据(iFinD公式)'!$A141="",'实盘净值数据(iFinD公式)'!$B141="",'实盘净值数据(iFinD公式)'!$Z141="",'实盘净值数据(iFinD公式)'!$AA141="",'实盘净值数据(iFinD公式)'!$AB141="",'实盘净值数据(iFinD公式)'!$AL141=""),"",(SUMPRODUCT(分期持仓明细!$B$26:$Y$26,'实盘净值数据(iFinD公式)'!$B141:$Y141/'实盘净值数据(iFinD公式)'!$B$69:$Y$69)+SUMPRODUCT(分期持仓明细!$AC$26:$AD$26,'实盘净值数据(iFinD公式)'!$Z141:$AA141/'实盘净值数据(iFinD公式)'!$Z$69:$AA$69)+SUMPRODUCT(分期持仓明细!$AE$26:$AO$26,'实盘净值数据(iFinD公式)'!$AB141:$AL141/'实盘净值数据(iFinD公式)'!$AB$69:$AL$69))*(1-实盘持仓配置!$AM$10)^(('实盘净值数据(iFinD公式)'!$A141-'实盘净值数据(iFinD公式)'!$A$69)/365))</f>
        <v/>
      </c>
      <c r="U141" s="16" t="str">
        <f t="shared" si="20"/>
        <v/>
      </c>
      <c r="V141" s="16" t="str">
        <f>IF(T141="","",T141/MAX(T$5:T141)-1)</f>
        <v/>
      </c>
    </row>
    <row r="142" spans="1:22">
      <c r="A142" s="15" t="str">
        <f>IF('实盘净值数据(iFinD公式)'!A142="","",'实盘净值数据(iFinD公式)'!A142)</f>
        <v/>
      </c>
      <c r="B142" s="13" t="str">
        <f>IF(OR('实盘净值数据(iFinD公式)'!$A142="",'实盘净值数据(iFinD公式)'!$B142=""),"",分期持仓明细!$AB$17*SUMPRODUCT(分期持仓明细!$B$17:$Y$17,'实盘净值数据(iFinD公式)'!$B142:$Y142/'实盘净值数据(iFinD公式)'!$B$20:$Y$20)*(1-实盘持仓配置!$AM$4)^(('实盘净值数据(iFinD公式)'!$A142-'实盘净值数据(iFinD公式)'!$A$6)/365))</f>
        <v/>
      </c>
      <c r="C142" s="16" t="str">
        <f t="shared" si="21"/>
        <v/>
      </c>
      <c r="D142" s="16" t="str">
        <f>IF(B142="","",B142/MAX(B$5:B142)-1)</f>
        <v/>
      </c>
      <c r="E142" s="13" t="str">
        <f>IF(OR('实盘净值数据(iFinD公式)'!$A142="",'实盘净值数据(iFinD公式)'!$B142=""),"",分期持仓明细!$AB$18*SUMPRODUCT(分期持仓明细!$B$18:$Y$18,'实盘净值数据(iFinD公式)'!$B142:$Y142/'实盘净值数据(iFinD公式)'!$B$20:$Y$20)*(1-实盘持仓配置!$AM$5)^(('实盘净值数据(iFinD公式)'!$A142-'实盘净值数据(iFinD公式)'!$A$5)/365))</f>
        <v/>
      </c>
      <c r="F142" s="16" t="str">
        <f t="shared" si="22"/>
        <v/>
      </c>
      <c r="G142" s="16" t="str">
        <f>IF(E142="","",E142/MAX(E$5:E142)-1)</f>
        <v/>
      </c>
      <c r="H142" s="13" t="str">
        <f>IF(OR('实盘净值数据(iFinD公式)'!$A142="",'实盘净值数据(iFinD公式)'!$B142=""),"",分期持仓明细!$AB$19*SUMPRODUCT(分期持仓明细!$B$19:$Y$19,'实盘净值数据(iFinD公式)'!$B142:$Y142/'实盘净值数据(iFinD公式)'!$B$20:$Y$20)*(1-实盘持仓配置!$AM$6)^(('实盘净值数据(iFinD公式)'!$A142-'实盘净值数据(iFinD公式)'!$A$7)/365))</f>
        <v/>
      </c>
      <c r="I142" s="16" t="str">
        <f t="shared" si="23"/>
        <v/>
      </c>
      <c r="J142" s="16" t="str">
        <f>IF(H142="","",H142/MAX(H$5:H142)-1)</f>
        <v/>
      </c>
      <c r="K142" s="13" t="str">
        <f>IF(OR('实盘净值数据(iFinD公式)'!$A142="",'实盘净值数据(iFinD公式)'!$B142="",'实盘净值数据(iFinD公式)'!$Z142="",'实盘净值数据(iFinD公式)'!$AA142=""),"",分期持仓明细!$AB$23*(SUMPRODUCT(分期持仓明细!$B$23:$Y$23,'实盘净值数据(iFinD公式)'!$B142:$Y142/'实盘净值数据(iFinD公式)'!$B$65:$Y$65)+SUMPRODUCT(分期持仓明细!$AC$23:$AD$23,'实盘净值数据(iFinD公式)'!$Z142:$AA142/'实盘净值数据(iFinD公式)'!$Z$65:$AA$65))*(1-实盘持仓配置!$AM$7)^(('实盘净值数据(iFinD公式)'!$A142-'实盘净值数据(iFinD公式)'!$A$8)/365))</f>
        <v/>
      </c>
      <c r="L142" s="16" t="str">
        <f t="shared" si="24"/>
        <v/>
      </c>
      <c r="M142" s="16" t="str">
        <f>IF(K142="","",K142/MAX(K$5:K142)-1)</f>
        <v/>
      </c>
      <c r="N142" s="13" t="str">
        <f>IF(OR('实盘净值数据(iFinD公式)'!$A142="",'实盘净值数据(iFinD公式)'!$B142="",'实盘净值数据(iFinD公式)'!$Z142="",'实盘净值数据(iFinD公式)'!$AA142=""),"",分期持仓明细!$AB$24*(SUMPRODUCT(分期持仓明细!$B$24:$Y$24,'实盘净值数据(iFinD公式)'!$B142:$Y142/'实盘净值数据(iFinD公式)'!$B$65:$Y$65)+SUMPRODUCT(分期持仓明细!$AC$24:$AD$24,'实盘净值数据(iFinD公式)'!$Z142:$AA142/'实盘净值数据(iFinD公式)'!$Z$65:$AA$65))*(1-实盘持仓配置!$AM$8)^(('实盘净值数据(iFinD公式)'!$A142-'实盘净值数据(iFinD公式)'!$A$5)/365))</f>
        <v/>
      </c>
      <c r="O142" s="16" t="str">
        <f t="shared" si="25"/>
        <v/>
      </c>
      <c r="P142" s="16" t="str">
        <f>IF(N142="","",N142/MAX(N$5:N142)-1)</f>
        <v/>
      </c>
      <c r="Q142" s="13" t="str">
        <f>IF(OR('实盘净值数据(iFinD公式)'!$A142="",'实盘净值数据(iFinD公式)'!$B142="",'实盘净值数据(iFinD公式)'!$Z142="",'实盘净值数据(iFinD公式)'!$AA142=""),"",分期持仓明细!$AB$25*(SUMPRODUCT(分期持仓明细!$B$25:$Y$25,'实盘净值数据(iFinD公式)'!$B142:$Y142/'实盘净值数据(iFinD公式)'!$B$65:$Y$65)+SUMPRODUCT(分期持仓明细!$AC$25:$AD$25,'实盘净值数据(iFinD公式)'!$Z142:$AA142/'实盘净值数据(iFinD公式)'!$Z$65:$AA$65))*(1-实盘持仓配置!$AM$9)^(('实盘净值数据(iFinD公式)'!$A142-'实盘净值数据(iFinD公式)'!$A$8)/365))</f>
        <v/>
      </c>
      <c r="R142" s="16" t="str">
        <f t="shared" si="26"/>
        <v/>
      </c>
      <c r="S142" s="16" t="str">
        <f>IF(Q142="","",Q142/MAX(Q$5:Q142)-1)</f>
        <v/>
      </c>
      <c r="T142" s="13" t="str">
        <f>IF(OR('实盘净值数据(iFinD公式)'!$A142="",'实盘净值数据(iFinD公式)'!$B142="",'实盘净值数据(iFinD公式)'!$Z142="",'实盘净值数据(iFinD公式)'!$AA142="",'实盘净值数据(iFinD公式)'!$AB142="",'实盘净值数据(iFinD公式)'!$AL142=""),"",(SUMPRODUCT(分期持仓明细!$B$26:$Y$26,'实盘净值数据(iFinD公式)'!$B142:$Y142/'实盘净值数据(iFinD公式)'!$B$69:$Y$69)+SUMPRODUCT(分期持仓明细!$AC$26:$AD$26,'实盘净值数据(iFinD公式)'!$Z142:$AA142/'实盘净值数据(iFinD公式)'!$Z$69:$AA$69)+SUMPRODUCT(分期持仓明细!$AE$26:$AO$26,'实盘净值数据(iFinD公式)'!$AB142:$AL142/'实盘净值数据(iFinD公式)'!$AB$69:$AL$69))*(1-实盘持仓配置!$AM$10)^(('实盘净值数据(iFinD公式)'!$A142-'实盘净值数据(iFinD公式)'!$A$69)/365))</f>
        <v/>
      </c>
      <c r="U142" s="16" t="str">
        <f t="shared" si="20"/>
        <v/>
      </c>
      <c r="V142" s="16" t="str">
        <f>IF(T142="","",T142/MAX(T$5:T142)-1)</f>
        <v/>
      </c>
    </row>
    <row r="143" spans="1:22">
      <c r="A143" s="15" t="str">
        <f>IF('实盘净值数据(iFinD公式)'!A143="","",'实盘净值数据(iFinD公式)'!A143)</f>
        <v/>
      </c>
      <c r="B143" s="13" t="str">
        <f>IF(OR('实盘净值数据(iFinD公式)'!$A143="",'实盘净值数据(iFinD公式)'!$B143=""),"",分期持仓明细!$AB$17*SUMPRODUCT(分期持仓明细!$B$17:$Y$17,'实盘净值数据(iFinD公式)'!$B143:$Y143/'实盘净值数据(iFinD公式)'!$B$20:$Y$20)*(1-实盘持仓配置!$AM$4)^(('实盘净值数据(iFinD公式)'!$A143-'实盘净值数据(iFinD公式)'!$A$6)/365))</f>
        <v/>
      </c>
      <c r="C143" s="16" t="str">
        <f t="shared" si="21"/>
        <v/>
      </c>
      <c r="D143" s="16" t="str">
        <f>IF(B143="","",B143/MAX(B$5:B143)-1)</f>
        <v/>
      </c>
      <c r="E143" s="13" t="str">
        <f>IF(OR('实盘净值数据(iFinD公式)'!$A143="",'实盘净值数据(iFinD公式)'!$B143=""),"",分期持仓明细!$AB$18*SUMPRODUCT(分期持仓明细!$B$18:$Y$18,'实盘净值数据(iFinD公式)'!$B143:$Y143/'实盘净值数据(iFinD公式)'!$B$20:$Y$20)*(1-实盘持仓配置!$AM$5)^(('实盘净值数据(iFinD公式)'!$A143-'实盘净值数据(iFinD公式)'!$A$5)/365))</f>
        <v/>
      </c>
      <c r="F143" s="16" t="str">
        <f t="shared" si="22"/>
        <v/>
      </c>
      <c r="G143" s="16" t="str">
        <f>IF(E143="","",E143/MAX(E$5:E143)-1)</f>
        <v/>
      </c>
      <c r="H143" s="13" t="str">
        <f>IF(OR('实盘净值数据(iFinD公式)'!$A143="",'实盘净值数据(iFinD公式)'!$B143=""),"",分期持仓明细!$AB$19*SUMPRODUCT(分期持仓明细!$B$19:$Y$19,'实盘净值数据(iFinD公式)'!$B143:$Y143/'实盘净值数据(iFinD公式)'!$B$20:$Y$20)*(1-实盘持仓配置!$AM$6)^(('实盘净值数据(iFinD公式)'!$A143-'实盘净值数据(iFinD公式)'!$A$7)/365))</f>
        <v/>
      </c>
      <c r="I143" s="16" t="str">
        <f t="shared" si="23"/>
        <v/>
      </c>
      <c r="J143" s="16" t="str">
        <f>IF(H143="","",H143/MAX(H$5:H143)-1)</f>
        <v/>
      </c>
      <c r="K143" s="13" t="str">
        <f>IF(OR('实盘净值数据(iFinD公式)'!$A143="",'实盘净值数据(iFinD公式)'!$B143="",'实盘净值数据(iFinD公式)'!$Z143="",'实盘净值数据(iFinD公式)'!$AA143=""),"",分期持仓明细!$AB$23*(SUMPRODUCT(分期持仓明细!$B$23:$Y$23,'实盘净值数据(iFinD公式)'!$B143:$Y143/'实盘净值数据(iFinD公式)'!$B$65:$Y$65)+SUMPRODUCT(分期持仓明细!$AC$23:$AD$23,'实盘净值数据(iFinD公式)'!$Z143:$AA143/'实盘净值数据(iFinD公式)'!$Z$65:$AA$65))*(1-实盘持仓配置!$AM$7)^(('实盘净值数据(iFinD公式)'!$A143-'实盘净值数据(iFinD公式)'!$A$8)/365))</f>
        <v/>
      </c>
      <c r="L143" s="16" t="str">
        <f t="shared" si="24"/>
        <v/>
      </c>
      <c r="M143" s="16" t="str">
        <f>IF(K143="","",K143/MAX(K$5:K143)-1)</f>
        <v/>
      </c>
      <c r="N143" s="13" t="str">
        <f>IF(OR('实盘净值数据(iFinD公式)'!$A143="",'实盘净值数据(iFinD公式)'!$B143="",'实盘净值数据(iFinD公式)'!$Z143="",'实盘净值数据(iFinD公式)'!$AA143=""),"",分期持仓明细!$AB$24*(SUMPRODUCT(分期持仓明细!$B$24:$Y$24,'实盘净值数据(iFinD公式)'!$B143:$Y143/'实盘净值数据(iFinD公式)'!$B$65:$Y$65)+SUMPRODUCT(分期持仓明细!$AC$24:$AD$24,'实盘净值数据(iFinD公式)'!$Z143:$AA143/'实盘净值数据(iFinD公式)'!$Z$65:$AA$65))*(1-实盘持仓配置!$AM$8)^(('实盘净值数据(iFinD公式)'!$A143-'实盘净值数据(iFinD公式)'!$A$5)/365))</f>
        <v/>
      </c>
      <c r="O143" s="16" t="str">
        <f t="shared" si="25"/>
        <v/>
      </c>
      <c r="P143" s="16" t="str">
        <f>IF(N143="","",N143/MAX(N$5:N143)-1)</f>
        <v/>
      </c>
      <c r="Q143" s="13" t="str">
        <f>IF(OR('实盘净值数据(iFinD公式)'!$A143="",'实盘净值数据(iFinD公式)'!$B143="",'实盘净值数据(iFinD公式)'!$Z143="",'实盘净值数据(iFinD公式)'!$AA143=""),"",分期持仓明细!$AB$25*(SUMPRODUCT(分期持仓明细!$B$25:$Y$25,'实盘净值数据(iFinD公式)'!$B143:$Y143/'实盘净值数据(iFinD公式)'!$B$65:$Y$65)+SUMPRODUCT(分期持仓明细!$AC$25:$AD$25,'实盘净值数据(iFinD公式)'!$Z143:$AA143/'实盘净值数据(iFinD公式)'!$Z$65:$AA$65))*(1-实盘持仓配置!$AM$9)^(('实盘净值数据(iFinD公式)'!$A143-'实盘净值数据(iFinD公式)'!$A$8)/365))</f>
        <v/>
      </c>
      <c r="R143" s="16" t="str">
        <f t="shared" si="26"/>
        <v/>
      </c>
      <c r="S143" s="16" t="str">
        <f>IF(Q143="","",Q143/MAX(Q$5:Q143)-1)</f>
        <v/>
      </c>
      <c r="T143" s="13" t="str">
        <f>IF(OR('实盘净值数据(iFinD公式)'!$A143="",'实盘净值数据(iFinD公式)'!$B143="",'实盘净值数据(iFinD公式)'!$Z143="",'实盘净值数据(iFinD公式)'!$AA143="",'实盘净值数据(iFinD公式)'!$AB143="",'实盘净值数据(iFinD公式)'!$AL143=""),"",(SUMPRODUCT(分期持仓明细!$B$26:$Y$26,'实盘净值数据(iFinD公式)'!$B143:$Y143/'实盘净值数据(iFinD公式)'!$B$69:$Y$69)+SUMPRODUCT(分期持仓明细!$AC$26:$AD$26,'实盘净值数据(iFinD公式)'!$Z143:$AA143/'实盘净值数据(iFinD公式)'!$Z$69:$AA$69)+SUMPRODUCT(分期持仓明细!$AE$26:$AO$26,'实盘净值数据(iFinD公式)'!$AB143:$AL143/'实盘净值数据(iFinD公式)'!$AB$69:$AL$69))*(1-实盘持仓配置!$AM$10)^(('实盘净值数据(iFinD公式)'!$A143-'实盘净值数据(iFinD公式)'!$A$69)/365))</f>
        <v/>
      </c>
      <c r="U143" s="16" t="str">
        <f t="shared" si="20"/>
        <v/>
      </c>
      <c r="V143" s="16" t="str">
        <f>IF(T143="","",T143/MAX(T$5:T143)-1)</f>
        <v/>
      </c>
    </row>
    <row r="144" spans="1:22">
      <c r="A144" s="15" t="str">
        <f>IF('实盘净值数据(iFinD公式)'!A144="","",'实盘净值数据(iFinD公式)'!A144)</f>
        <v/>
      </c>
      <c r="B144" s="13" t="str">
        <f>IF(OR('实盘净值数据(iFinD公式)'!$A144="",'实盘净值数据(iFinD公式)'!$B144=""),"",分期持仓明细!$AB$17*SUMPRODUCT(分期持仓明细!$B$17:$Y$17,'实盘净值数据(iFinD公式)'!$B144:$Y144/'实盘净值数据(iFinD公式)'!$B$20:$Y$20)*(1-实盘持仓配置!$AM$4)^(('实盘净值数据(iFinD公式)'!$A144-'实盘净值数据(iFinD公式)'!$A$6)/365))</f>
        <v/>
      </c>
      <c r="C144" s="16" t="str">
        <f t="shared" si="21"/>
        <v/>
      </c>
      <c r="D144" s="16" t="str">
        <f>IF(B144="","",B144/MAX(B$5:B144)-1)</f>
        <v/>
      </c>
      <c r="E144" s="13" t="str">
        <f>IF(OR('实盘净值数据(iFinD公式)'!$A144="",'实盘净值数据(iFinD公式)'!$B144=""),"",分期持仓明细!$AB$18*SUMPRODUCT(分期持仓明细!$B$18:$Y$18,'实盘净值数据(iFinD公式)'!$B144:$Y144/'实盘净值数据(iFinD公式)'!$B$20:$Y$20)*(1-实盘持仓配置!$AM$5)^(('实盘净值数据(iFinD公式)'!$A144-'实盘净值数据(iFinD公式)'!$A$5)/365))</f>
        <v/>
      </c>
      <c r="F144" s="16" t="str">
        <f t="shared" si="22"/>
        <v/>
      </c>
      <c r="G144" s="16" t="str">
        <f>IF(E144="","",E144/MAX(E$5:E144)-1)</f>
        <v/>
      </c>
      <c r="H144" s="13" t="str">
        <f>IF(OR('实盘净值数据(iFinD公式)'!$A144="",'实盘净值数据(iFinD公式)'!$B144=""),"",分期持仓明细!$AB$19*SUMPRODUCT(分期持仓明细!$B$19:$Y$19,'实盘净值数据(iFinD公式)'!$B144:$Y144/'实盘净值数据(iFinD公式)'!$B$20:$Y$20)*(1-实盘持仓配置!$AM$6)^(('实盘净值数据(iFinD公式)'!$A144-'实盘净值数据(iFinD公式)'!$A$7)/365))</f>
        <v/>
      </c>
      <c r="I144" s="16" t="str">
        <f t="shared" si="23"/>
        <v/>
      </c>
      <c r="J144" s="16" t="str">
        <f>IF(H144="","",H144/MAX(H$5:H144)-1)</f>
        <v/>
      </c>
      <c r="K144" s="13" t="str">
        <f>IF(OR('实盘净值数据(iFinD公式)'!$A144="",'实盘净值数据(iFinD公式)'!$B144="",'实盘净值数据(iFinD公式)'!$Z144="",'实盘净值数据(iFinD公式)'!$AA144=""),"",分期持仓明细!$AB$23*(SUMPRODUCT(分期持仓明细!$B$23:$Y$23,'实盘净值数据(iFinD公式)'!$B144:$Y144/'实盘净值数据(iFinD公式)'!$B$65:$Y$65)+SUMPRODUCT(分期持仓明细!$AC$23:$AD$23,'实盘净值数据(iFinD公式)'!$Z144:$AA144/'实盘净值数据(iFinD公式)'!$Z$65:$AA$65))*(1-实盘持仓配置!$AM$7)^(('实盘净值数据(iFinD公式)'!$A144-'实盘净值数据(iFinD公式)'!$A$8)/365))</f>
        <v/>
      </c>
      <c r="L144" s="16" t="str">
        <f t="shared" si="24"/>
        <v/>
      </c>
      <c r="M144" s="16" t="str">
        <f>IF(K144="","",K144/MAX(K$5:K144)-1)</f>
        <v/>
      </c>
      <c r="N144" s="13" t="str">
        <f>IF(OR('实盘净值数据(iFinD公式)'!$A144="",'实盘净值数据(iFinD公式)'!$B144="",'实盘净值数据(iFinD公式)'!$Z144="",'实盘净值数据(iFinD公式)'!$AA144=""),"",分期持仓明细!$AB$24*(SUMPRODUCT(分期持仓明细!$B$24:$Y$24,'实盘净值数据(iFinD公式)'!$B144:$Y144/'实盘净值数据(iFinD公式)'!$B$65:$Y$65)+SUMPRODUCT(分期持仓明细!$AC$24:$AD$24,'实盘净值数据(iFinD公式)'!$Z144:$AA144/'实盘净值数据(iFinD公式)'!$Z$65:$AA$65))*(1-实盘持仓配置!$AM$8)^(('实盘净值数据(iFinD公式)'!$A144-'实盘净值数据(iFinD公式)'!$A$5)/365))</f>
        <v/>
      </c>
      <c r="O144" s="16" t="str">
        <f t="shared" si="25"/>
        <v/>
      </c>
      <c r="P144" s="16" t="str">
        <f>IF(N144="","",N144/MAX(N$5:N144)-1)</f>
        <v/>
      </c>
      <c r="Q144" s="13" t="str">
        <f>IF(OR('实盘净值数据(iFinD公式)'!$A144="",'实盘净值数据(iFinD公式)'!$B144="",'实盘净值数据(iFinD公式)'!$Z144="",'实盘净值数据(iFinD公式)'!$AA144=""),"",分期持仓明细!$AB$25*(SUMPRODUCT(分期持仓明细!$B$25:$Y$25,'实盘净值数据(iFinD公式)'!$B144:$Y144/'实盘净值数据(iFinD公式)'!$B$65:$Y$65)+SUMPRODUCT(分期持仓明细!$AC$25:$AD$25,'实盘净值数据(iFinD公式)'!$Z144:$AA144/'实盘净值数据(iFinD公式)'!$Z$65:$AA$65))*(1-实盘持仓配置!$AM$9)^(('实盘净值数据(iFinD公式)'!$A144-'实盘净值数据(iFinD公式)'!$A$8)/365))</f>
        <v/>
      </c>
      <c r="R144" s="16" t="str">
        <f t="shared" si="26"/>
        <v/>
      </c>
      <c r="S144" s="16" t="str">
        <f>IF(Q144="","",Q144/MAX(Q$5:Q144)-1)</f>
        <v/>
      </c>
      <c r="T144" s="13" t="str">
        <f>IF(OR('实盘净值数据(iFinD公式)'!$A144="",'实盘净值数据(iFinD公式)'!$B144="",'实盘净值数据(iFinD公式)'!$Z144="",'实盘净值数据(iFinD公式)'!$AA144="",'实盘净值数据(iFinD公式)'!$AB144="",'实盘净值数据(iFinD公式)'!$AL144=""),"",(SUMPRODUCT(分期持仓明细!$B$26:$Y$26,'实盘净值数据(iFinD公式)'!$B144:$Y144/'实盘净值数据(iFinD公式)'!$B$69:$Y$69)+SUMPRODUCT(分期持仓明细!$AC$26:$AD$26,'实盘净值数据(iFinD公式)'!$Z144:$AA144/'实盘净值数据(iFinD公式)'!$Z$69:$AA$69)+SUMPRODUCT(分期持仓明细!$AE$26:$AO$26,'实盘净值数据(iFinD公式)'!$AB144:$AL144/'实盘净值数据(iFinD公式)'!$AB$69:$AL$69))*(1-实盘持仓配置!$AM$10)^(('实盘净值数据(iFinD公式)'!$A144-'实盘净值数据(iFinD公式)'!$A$69)/365))</f>
        <v/>
      </c>
      <c r="U144" s="16" t="str">
        <f t="shared" si="20"/>
        <v/>
      </c>
      <c r="V144" s="16" t="str">
        <f>IF(T144="","",T144/MAX(T$5:T144)-1)</f>
        <v/>
      </c>
    </row>
    <row r="145" spans="1:22">
      <c r="A145" s="15" t="str">
        <f>IF('实盘净值数据(iFinD公式)'!A145="","",'实盘净值数据(iFinD公式)'!A145)</f>
        <v/>
      </c>
      <c r="B145" s="13" t="str">
        <f>IF(OR('实盘净值数据(iFinD公式)'!$A145="",'实盘净值数据(iFinD公式)'!$B145=""),"",分期持仓明细!$AB$17*SUMPRODUCT(分期持仓明细!$B$17:$Y$17,'实盘净值数据(iFinD公式)'!$B145:$Y145/'实盘净值数据(iFinD公式)'!$B$20:$Y$20)*(1-实盘持仓配置!$AM$4)^(('实盘净值数据(iFinD公式)'!$A145-'实盘净值数据(iFinD公式)'!$A$6)/365))</f>
        <v/>
      </c>
      <c r="C145" s="16" t="str">
        <f t="shared" si="21"/>
        <v/>
      </c>
      <c r="D145" s="16" t="str">
        <f>IF(B145="","",B145/MAX(B$5:B145)-1)</f>
        <v/>
      </c>
      <c r="E145" s="13" t="str">
        <f>IF(OR('实盘净值数据(iFinD公式)'!$A145="",'实盘净值数据(iFinD公式)'!$B145=""),"",分期持仓明细!$AB$18*SUMPRODUCT(分期持仓明细!$B$18:$Y$18,'实盘净值数据(iFinD公式)'!$B145:$Y145/'实盘净值数据(iFinD公式)'!$B$20:$Y$20)*(1-实盘持仓配置!$AM$5)^(('实盘净值数据(iFinD公式)'!$A145-'实盘净值数据(iFinD公式)'!$A$5)/365))</f>
        <v/>
      </c>
      <c r="F145" s="16" t="str">
        <f t="shared" si="22"/>
        <v/>
      </c>
      <c r="G145" s="16" t="str">
        <f>IF(E145="","",E145/MAX(E$5:E145)-1)</f>
        <v/>
      </c>
      <c r="H145" s="13" t="str">
        <f>IF(OR('实盘净值数据(iFinD公式)'!$A145="",'实盘净值数据(iFinD公式)'!$B145=""),"",分期持仓明细!$AB$19*SUMPRODUCT(分期持仓明细!$B$19:$Y$19,'实盘净值数据(iFinD公式)'!$B145:$Y145/'实盘净值数据(iFinD公式)'!$B$20:$Y$20)*(1-实盘持仓配置!$AM$6)^(('实盘净值数据(iFinD公式)'!$A145-'实盘净值数据(iFinD公式)'!$A$7)/365))</f>
        <v/>
      </c>
      <c r="I145" s="16" t="str">
        <f t="shared" si="23"/>
        <v/>
      </c>
      <c r="J145" s="16" t="str">
        <f>IF(H145="","",H145/MAX(H$5:H145)-1)</f>
        <v/>
      </c>
      <c r="K145" s="13" t="str">
        <f>IF(OR('实盘净值数据(iFinD公式)'!$A145="",'实盘净值数据(iFinD公式)'!$B145="",'实盘净值数据(iFinD公式)'!$Z145="",'实盘净值数据(iFinD公式)'!$AA145=""),"",分期持仓明细!$AB$23*(SUMPRODUCT(分期持仓明细!$B$23:$Y$23,'实盘净值数据(iFinD公式)'!$B145:$Y145/'实盘净值数据(iFinD公式)'!$B$65:$Y$65)+SUMPRODUCT(分期持仓明细!$AC$23:$AD$23,'实盘净值数据(iFinD公式)'!$Z145:$AA145/'实盘净值数据(iFinD公式)'!$Z$65:$AA$65))*(1-实盘持仓配置!$AM$7)^(('实盘净值数据(iFinD公式)'!$A145-'实盘净值数据(iFinD公式)'!$A$8)/365))</f>
        <v/>
      </c>
      <c r="L145" s="16" t="str">
        <f t="shared" si="24"/>
        <v/>
      </c>
      <c r="M145" s="16" t="str">
        <f>IF(K145="","",K145/MAX(K$5:K145)-1)</f>
        <v/>
      </c>
      <c r="N145" s="13" t="str">
        <f>IF(OR('实盘净值数据(iFinD公式)'!$A145="",'实盘净值数据(iFinD公式)'!$B145="",'实盘净值数据(iFinD公式)'!$Z145="",'实盘净值数据(iFinD公式)'!$AA145=""),"",分期持仓明细!$AB$24*(SUMPRODUCT(分期持仓明细!$B$24:$Y$24,'实盘净值数据(iFinD公式)'!$B145:$Y145/'实盘净值数据(iFinD公式)'!$B$65:$Y$65)+SUMPRODUCT(分期持仓明细!$AC$24:$AD$24,'实盘净值数据(iFinD公式)'!$Z145:$AA145/'实盘净值数据(iFinD公式)'!$Z$65:$AA$65))*(1-实盘持仓配置!$AM$8)^(('实盘净值数据(iFinD公式)'!$A145-'实盘净值数据(iFinD公式)'!$A$5)/365))</f>
        <v/>
      </c>
      <c r="O145" s="16" t="str">
        <f t="shared" si="25"/>
        <v/>
      </c>
      <c r="P145" s="16" t="str">
        <f>IF(N145="","",N145/MAX(N$5:N145)-1)</f>
        <v/>
      </c>
      <c r="Q145" s="13" t="str">
        <f>IF(OR('实盘净值数据(iFinD公式)'!$A145="",'实盘净值数据(iFinD公式)'!$B145="",'实盘净值数据(iFinD公式)'!$Z145="",'实盘净值数据(iFinD公式)'!$AA145=""),"",分期持仓明细!$AB$25*(SUMPRODUCT(分期持仓明细!$B$25:$Y$25,'实盘净值数据(iFinD公式)'!$B145:$Y145/'实盘净值数据(iFinD公式)'!$B$65:$Y$65)+SUMPRODUCT(分期持仓明细!$AC$25:$AD$25,'实盘净值数据(iFinD公式)'!$Z145:$AA145/'实盘净值数据(iFinD公式)'!$Z$65:$AA$65))*(1-实盘持仓配置!$AM$9)^(('实盘净值数据(iFinD公式)'!$A145-'实盘净值数据(iFinD公式)'!$A$8)/365))</f>
        <v/>
      </c>
      <c r="R145" s="16" t="str">
        <f t="shared" si="26"/>
        <v/>
      </c>
      <c r="S145" s="16" t="str">
        <f>IF(Q145="","",Q145/MAX(Q$5:Q145)-1)</f>
        <v/>
      </c>
      <c r="T145" s="13" t="str">
        <f>IF(OR('实盘净值数据(iFinD公式)'!$A145="",'实盘净值数据(iFinD公式)'!$B145="",'实盘净值数据(iFinD公式)'!$Z145="",'实盘净值数据(iFinD公式)'!$AA145="",'实盘净值数据(iFinD公式)'!$AB145="",'实盘净值数据(iFinD公式)'!$AL145=""),"",(SUMPRODUCT(分期持仓明细!$B$26:$Y$26,'实盘净值数据(iFinD公式)'!$B145:$Y145/'实盘净值数据(iFinD公式)'!$B$69:$Y$69)+SUMPRODUCT(分期持仓明细!$AC$26:$AD$26,'实盘净值数据(iFinD公式)'!$Z145:$AA145/'实盘净值数据(iFinD公式)'!$Z$69:$AA$69)+SUMPRODUCT(分期持仓明细!$AE$26:$AO$26,'实盘净值数据(iFinD公式)'!$AB145:$AL145/'实盘净值数据(iFinD公式)'!$AB$69:$AL$69))*(1-实盘持仓配置!$AM$10)^(('实盘净值数据(iFinD公式)'!$A145-'实盘净值数据(iFinD公式)'!$A$69)/365))</f>
        <v/>
      </c>
      <c r="U145" s="16" t="str">
        <f t="shared" si="20"/>
        <v/>
      </c>
      <c r="V145" s="16" t="str">
        <f>IF(T145="","",T145/MAX(T$5:T145)-1)</f>
        <v/>
      </c>
    </row>
    <row r="146" spans="1:22">
      <c r="A146" s="15" t="str">
        <f>IF('实盘净值数据(iFinD公式)'!A146="","",'实盘净值数据(iFinD公式)'!A146)</f>
        <v/>
      </c>
      <c r="B146" s="13" t="str">
        <f>IF(OR('实盘净值数据(iFinD公式)'!$A146="",'实盘净值数据(iFinD公式)'!$B146=""),"",分期持仓明细!$AB$17*SUMPRODUCT(分期持仓明细!$B$17:$Y$17,'实盘净值数据(iFinD公式)'!$B146:$Y146/'实盘净值数据(iFinD公式)'!$B$20:$Y$20)*(1-实盘持仓配置!$AM$4)^(('实盘净值数据(iFinD公式)'!$A146-'实盘净值数据(iFinD公式)'!$A$6)/365))</f>
        <v/>
      </c>
      <c r="C146" s="16" t="str">
        <f t="shared" si="21"/>
        <v/>
      </c>
      <c r="D146" s="16" t="str">
        <f>IF(B146="","",B146/MAX(B$5:B146)-1)</f>
        <v/>
      </c>
      <c r="E146" s="13" t="str">
        <f>IF(OR('实盘净值数据(iFinD公式)'!$A146="",'实盘净值数据(iFinD公式)'!$B146=""),"",分期持仓明细!$AB$18*SUMPRODUCT(分期持仓明细!$B$18:$Y$18,'实盘净值数据(iFinD公式)'!$B146:$Y146/'实盘净值数据(iFinD公式)'!$B$20:$Y$20)*(1-实盘持仓配置!$AM$5)^(('实盘净值数据(iFinD公式)'!$A146-'实盘净值数据(iFinD公式)'!$A$5)/365))</f>
        <v/>
      </c>
      <c r="F146" s="16" t="str">
        <f t="shared" si="22"/>
        <v/>
      </c>
      <c r="G146" s="16" t="str">
        <f>IF(E146="","",E146/MAX(E$5:E146)-1)</f>
        <v/>
      </c>
      <c r="H146" s="13" t="str">
        <f>IF(OR('实盘净值数据(iFinD公式)'!$A146="",'实盘净值数据(iFinD公式)'!$B146=""),"",分期持仓明细!$AB$19*SUMPRODUCT(分期持仓明细!$B$19:$Y$19,'实盘净值数据(iFinD公式)'!$B146:$Y146/'实盘净值数据(iFinD公式)'!$B$20:$Y$20)*(1-实盘持仓配置!$AM$6)^(('实盘净值数据(iFinD公式)'!$A146-'实盘净值数据(iFinD公式)'!$A$7)/365))</f>
        <v/>
      </c>
      <c r="I146" s="16" t="str">
        <f t="shared" si="23"/>
        <v/>
      </c>
      <c r="J146" s="16" t="str">
        <f>IF(H146="","",H146/MAX(H$5:H146)-1)</f>
        <v/>
      </c>
      <c r="K146" s="13" t="str">
        <f>IF(OR('实盘净值数据(iFinD公式)'!$A146="",'实盘净值数据(iFinD公式)'!$B146="",'实盘净值数据(iFinD公式)'!$Z146="",'实盘净值数据(iFinD公式)'!$AA146=""),"",分期持仓明细!$AB$23*(SUMPRODUCT(分期持仓明细!$B$23:$Y$23,'实盘净值数据(iFinD公式)'!$B146:$Y146/'实盘净值数据(iFinD公式)'!$B$65:$Y$65)+SUMPRODUCT(分期持仓明细!$AC$23:$AD$23,'实盘净值数据(iFinD公式)'!$Z146:$AA146/'实盘净值数据(iFinD公式)'!$Z$65:$AA$65))*(1-实盘持仓配置!$AM$7)^(('实盘净值数据(iFinD公式)'!$A146-'实盘净值数据(iFinD公式)'!$A$8)/365))</f>
        <v/>
      </c>
      <c r="L146" s="16" t="str">
        <f t="shared" si="24"/>
        <v/>
      </c>
      <c r="M146" s="16" t="str">
        <f>IF(K146="","",K146/MAX(K$5:K146)-1)</f>
        <v/>
      </c>
      <c r="N146" s="13" t="str">
        <f>IF(OR('实盘净值数据(iFinD公式)'!$A146="",'实盘净值数据(iFinD公式)'!$B146="",'实盘净值数据(iFinD公式)'!$Z146="",'实盘净值数据(iFinD公式)'!$AA146=""),"",分期持仓明细!$AB$24*(SUMPRODUCT(分期持仓明细!$B$24:$Y$24,'实盘净值数据(iFinD公式)'!$B146:$Y146/'实盘净值数据(iFinD公式)'!$B$65:$Y$65)+SUMPRODUCT(分期持仓明细!$AC$24:$AD$24,'实盘净值数据(iFinD公式)'!$Z146:$AA146/'实盘净值数据(iFinD公式)'!$Z$65:$AA$65))*(1-实盘持仓配置!$AM$8)^(('实盘净值数据(iFinD公式)'!$A146-'实盘净值数据(iFinD公式)'!$A$5)/365))</f>
        <v/>
      </c>
      <c r="O146" s="16" t="str">
        <f t="shared" si="25"/>
        <v/>
      </c>
      <c r="P146" s="16" t="str">
        <f>IF(N146="","",N146/MAX(N$5:N146)-1)</f>
        <v/>
      </c>
      <c r="Q146" s="13" t="str">
        <f>IF(OR('实盘净值数据(iFinD公式)'!$A146="",'实盘净值数据(iFinD公式)'!$B146="",'实盘净值数据(iFinD公式)'!$Z146="",'实盘净值数据(iFinD公式)'!$AA146=""),"",分期持仓明细!$AB$25*(SUMPRODUCT(分期持仓明细!$B$25:$Y$25,'实盘净值数据(iFinD公式)'!$B146:$Y146/'实盘净值数据(iFinD公式)'!$B$65:$Y$65)+SUMPRODUCT(分期持仓明细!$AC$25:$AD$25,'实盘净值数据(iFinD公式)'!$Z146:$AA146/'实盘净值数据(iFinD公式)'!$Z$65:$AA$65))*(1-实盘持仓配置!$AM$9)^(('实盘净值数据(iFinD公式)'!$A146-'实盘净值数据(iFinD公式)'!$A$8)/365))</f>
        <v/>
      </c>
      <c r="R146" s="16" t="str">
        <f t="shared" si="26"/>
        <v/>
      </c>
      <c r="S146" s="16" t="str">
        <f>IF(Q146="","",Q146/MAX(Q$5:Q146)-1)</f>
        <v/>
      </c>
      <c r="T146" s="13" t="str">
        <f>IF(OR('实盘净值数据(iFinD公式)'!$A146="",'实盘净值数据(iFinD公式)'!$B146="",'实盘净值数据(iFinD公式)'!$Z146="",'实盘净值数据(iFinD公式)'!$AA146="",'实盘净值数据(iFinD公式)'!$AB146="",'实盘净值数据(iFinD公式)'!$AL146=""),"",(SUMPRODUCT(分期持仓明细!$B$26:$Y$26,'实盘净值数据(iFinD公式)'!$B146:$Y146/'实盘净值数据(iFinD公式)'!$B$69:$Y$69)+SUMPRODUCT(分期持仓明细!$AC$26:$AD$26,'实盘净值数据(iFinD公式)'!$Z146:$AA146/'实盘净值数据(iFinD公式)'!$Z$69:$AA$69)+SUMPRODUCT(分期持仓明细!$AE$26:$AO$26,'实盘净值数据(iFinD公式)'!$AB146:$AL146/'实盘净值数据(iFinD公式)'!$AB$69:$AL$69))*(1-实盘持仓配置!$AM$10)^(('实盘净值数据(iFinD公式)'!$A146-'实盘净值数据(iFinD公式)'!$A$69)/365))</f>
        <v/>
      </c>
      <c r="U146" s="16" t="str">
        <f t="shared" si="20"/>
        <v/>
      </c>
      <c r="V146" s="16" t="str">
        <f>IF(T146="","",T146/MAX(T$5:T146)-1)</f>
        <v/>
      </c>
    </row>
    <row r="147" spans="1:22">
      <c r="A147" s="15" t="str">
        <f>IF('实盘净值数据(iFinD公式)'!A147="","",'实盘净值数据(iFinD公式)'!A147)</f>
        <v/>
      </c>
      <c r="B147" s="13" t="str">
        <f>IF(OR('实盘净值数据(iFinD公式)'!$A147="",'实盘净值数据(iFinD公式)'!$B147=""),"",分期持仓明细!$AB$17*SUMPRODUCT(分期持仓明细!$B$17:$Y$17,'实盘净值数据(iFinD公式)'!$B147:$Y147/'实盘净值数据(iFinD公式)'!$B$20:$Y$20)*(1-实盘持仓配置!$AM$4)^(('实盘净值数据(iFinD公式)'!$A147-'实盘净值数据(iFinD公式)'!$A$6)/365))</f>
        <v/>
      </c>
      <c r="C147" s="16" t="str">
        <f t="shared" si="21"/>
        <v/>
      </c>
      <c r="D147" s="16" t="str">
        <f>IF(B147="","",B147/MAX(B$5:B147)-1)</f>
        <v/>
      </c>
      <c r="E147" s="13" t="str">
        <f>IF(OR('实盘净值数据(iFinD公式)'!$A147="",'实盘净值数据(iFinD公式)'!$B147=""),"",分期持仓明细!$AB$18*SUMPRODUCT(分期持仓明细!$B$18:$Y$18,'实盘净值数据(iFinD公式)'!$B147:$Y147/'实盘净值数据(iFinD公式)'!$B$20:$Y$20)*(1-实盘持仓配置!$AM$5)^(('实盘净值数据(iFinD公式)'!$A147-'实盘净值数据(iFinD公式)'!$A$5)/365))</f>
        <v/>
      </c>
      <c r="F147" s="16" t="str">
        <f t="shared" si="22"/>
        <v/>
      </c>
      <c r="G147" s="16" t="str">
        <f>IF(E147="","",E147/MAX(E$5:E147)-1)</f>
        <v/>
      </c>
      <c r="H147" s="13" t="str">
        <f>IF(OR('实盘净值数据(iFinD公式)'!$A147="",'实盘净值数据(iFinD公式)'!$B147=""),"",分期持仓明细!$AB$19*SUMPRODUCT(分期持仓明细!$B$19:$Y$19,'实盘净值数据(iFinD公式)'!$B147:$Y147/'实盘净值数据(iFinD公式)'!$B$20:$Y$20)*(1-实盘持仓配置!$AM$6)^(('实盘净值数据(iFinD公式)'!$A147-'实盘净值数据(iFinD公式)'!$A$7)/365))</f>
        <v/>
      </c>
      <c r="I147" s="16" t="str">
        <f t="shared" si="23"/>
        <v/>
      </c>
      <c r="J147" s="16" t="str">
        <f>IF(H147="","",H147/MAX(H$5:H147)-1)</f>
        <v/>
      </c>
      <c r="K147" s="13" t="str">
        <f>IF(OR('实盘净值数据(iFinD公式)'!$A147="",'实盘净值数据(iFinD公式)'!$B147="",'实盘净值数据(iFinD公式)'!$Z147="",'实盘净值数据(iFinD公式)'!$AA147=""),"",分期持仓明细!$AB$23*(SUMPRODUCT(分期持仓明细!$B$23:$Y$23,'实盘净值数据(iFinD公式)'!$B147:$Y147/'实盘净值数据(iFinD公式)'!$B$65:$Y$65)+SUMPRODUCT(分期持仓明细!$AC$23:$AD$23,'实盘净值数据(iFinD公式)'!$Z147:$AA147/'实盘净值数据(iFinD公式)'!$Z$65:$AA$65))*(1-实盘持仓配置!$AM$7)^(('实盘净值数据(iFinD公式)'!$A147-'实盘净值数据(iFinD公式)'!$A$8)/365))</f>
        <v/>
      </c>
      <c r="L147" s="16" t="str">
        <f t="shared" si="24"/>
        <v/>
      </c>
      <c r="M147" s="16" t="str">
        <f>IF(K147="","",K147/MAX(K$5:K147)-1)</f>
        <v/>
      </c>
      <c r="N147" s="13" t="str">
        <f>IF(OR('实盘净值数据(iFinD公式)'!$A147="",'实盘净值数据(iFinD公式)'!$B147="",'实盘净值数据(iFinD公式)'!$Z147="",'实盘净值数据(iFinD公式)'!$AA147=""),"",分期持仓明细!$AB$24*(SUMPRODUCT(分期持仓明细!$B$24:$Y$24,'实盘净值数据(iFinD公式)'!$B147:$Y147/'实盘净值数据(iFinD公式)'!$B$65:$Y$65)+SUMPRODUCT(分期持仓明细!$AC$24:$AD$24,'实盘净值数据(iFinD公式)'!$Z147:$AA147/'实盘净值数据(iFinD公式)'!$Z$65:$AA$65))*(1-实盘持仓配置!$AM$8)^(('实盘净值数据(iFinD公式)'!$A147-'实盘净值数据(iFinD公式)'!$A$5)/365))</f>
        <v/>
      </c>
      <c r="O147" s="16" t="str">
        <f t="shared" si="25"/>
        <v/>
      </c>
      <c r="P147" s="16" t="str">
        <f>IF(N147="","",N147/MAX(N$5:N147)-1)</f>
        <v/>
      </c>
      <c r="Q147" s="13" t="str">
        <f>IF(OR('实盘净值数据(iFinD公式)'!$A147="",'实盘净值数据(iFinD公式)'!$B147="",'实盘净值数据(iFinD公式)'!$Z147="",'实盘净值数据(iFinD公式)'!$AA147=""),"",分期持仓明细!$AB$25*(SUMPRODUCT(分期持仓明细!$B$25:$Y$25,'实盘净值数据(iFinD公式)'!$B147:$Y147/'实盘净值数据(iFinD公式)'!$B$65:$Y$65)+SUMPRODUCT(分期持仓明细!$AC$25:$AD$25,'实盘净值数据(iFinD公式)'!$Z147:$AA147/'实盘净值数据(iFinD公式)'!$Z$65:$AA$65))*(1-实盘持仓配置!$AM$9)^(('实盘净值数据(iFinD公式)'!$A147-'实盘净值数据(iFinD公式)'!$A$8)/365))</f>
        <v/>
      </c>
      <c r="R147" s="16" t="str">
        <f t="shared" si="26"/>
        <v/>
      </c>
      <c r="S147" s="16" t="str">
        <f>IF(Q147="","",Q147/MAX(Q$5:Q147)-1)</f>
        <v/>
      </c>
      <c r="T147" s="13" t="str">
        <f>IF(OR('实盘净值数据(iFinD公式)'!$A147="",'实盘净值数据(iFinD公式)'!$B147="",'实盘净值数据(iFinD公式)'!$Z147="",'实盘净值数据(iFinD公式)'!$AA147="",'实盘净值数据(iFinD公式)'!$AB147="",'实盘净值数据(iFinD公式)'!$AL147=""),"",(SUMPRODUCT(分期持仓明细!$B$26:$Y$26,'实盘净值数据(iFinD公式)'!$B147:$Y147/'实盘净值数据(iFinD公式)'!$B$69:$Y$69)+SUMPRODUCT(分期持仓明细!$AC$26:$AD$26,'实盘净值数据(iFinD公式)'!$Z147:$AA147/'实盘净值数据(iFinD公式)'!$Z$69:$AA$69)+SUMPRODUCT(分期持仓明细!$AE$26:$AO$26,'实盘净值数据(iFinD公式)'!$AB147:$AL147/'实盘净值数据(iFinD公式)'!$AB$69:$AL$69))*(1-实盘持仓配置!$AM$10)^(('实盘净值数据(iFinD公式)'!$A147-'实盘净值数据(iFinD公式)'!$A$69)/365))</f>
        <v/>
      </c>
      <c r="U147" s="16" t="str">
        <f t="shared" si="20"/>
        <v/>
      </c>
      <c r="V147" s="16" t="str">
        <f>IF(T147="","",T147/MAX(T$5:T147)-1)</f>
        <v/>
      </c>
    </row>
    <row r="148" spans="1:22">
      <c r="A148" s="15" t="str">
        <f>IF('实盘净值数据(iFinD公式)'!A148="","",'实盘净值数据(iFinD公式)'!A148)</f>
        <v/>
      </c>
      <c r="B148" s="13" t="str">
        <f>IF(OR('实盘净值数据(iFinD公式)'!$A148="",'实盘净值数据(iFinD公式)'!$B148=""),"",分期持仓明细!$AB$17*SUMPRODUCT(分期持仓明细!$B$17:$Y$17,'实盘净值数据(iFinD公式)'!$B148:$Y148/'实盘净值数据(iFinD公式)'!$B$20:$Y$20)*(1-实盘持仓配置!$AM$4)^(('实盘净值数据(iFinD公式)'!$A148-'实盘净值数据(iFinD公式)'!$A$6)/365))</f>
        <v/>
      </c>
      <c r="C148" s="16" t="str">
        <f t="shared" si="21"/>
        <v/>
      </c>
      <c r="D148" s="16" t="str">
        <f>IF(B148="","",B148/MAX(B$5:B148)-1)</f>
        <v/>
      </c>
      <c r="E148" s="13" t="str">
        <f>IF(OR('实盘净值数据(iFinD公式)'!$A148="",'实盘净值数据(iFinD公式)'!$B148=""),"",分期持仓明细!$AB$18*SUMPRODUCT(分期持仓明细!$B$18:$Y$18,'实盘净值数据(iFinD公式)'!$B148:$Y148/'实盘净值数据(iFinD公式)'!$B$20:$Y$20)*(1-实盘持仓配置!$AM$5)^(('实盘净值数据(iFinD公式)'!$A148-'实盘净值数据(iFinD公式)'!$A$5)/365))</f>
        <v/>
      </c>
      <c r="F148" s="16" t="str">
        <f t="shared" si="22"/>
        <v/>
      </c>
      <c r="G148" s="16" t="str">
        <f>IF(E148="","",E148/MAX(E$5:E148)-1)</f>
        <v/>
      </c>
      <c r="H148" s="13" t="str">
        <f>IF(OR('实盘净值数据(iFinD公式)'!$A148="",'实盘净值数据(iFinD公式)'!$B148=""),"",分期持仓明细!$AB$19*SUMPRODUCT(分期持仓明细!$B$19:$Y$19,'实盘净值数据(iFinD公式)'!$B148:$Y148/'实盘净值数据(iFinD公式)'!$B$20:$Y$20)*(1-实盘持仓配置!$AM$6)^(('实盘净值数据(iFinD公式)'!$A148-'实盘净值数据(iFinD公式)'!$A$7)/365))</f>
        <v/>
      </c>
      <c r="I148" s="16" t="str">
        <f t="shared" si="23"/>
        <v/>
      </c>
      <c r="J148" s="16" t="str">
        <f>IF(H148="","",H148/MAX(H$5:H148)-1)</f>
        <v/>
      </c>
      <c r="K148" s="13" t="str">
        <f>IF(OR('实盘净值数据(iFinD公式)'!$A148="",'实盘净值数据(iFinD公式)'!$B148="",'实盘净值数据(iFinD公式)'!$Z148="",'实盘净值数据(iFinD公式)'!$AA148=""),"",分期持仓明细!$AB$23*(SUMPRODUCT(分期持仓明细!$B$23:$Y$23,'实盘净值数据(iFinD公式)'!$B148:$Y148/'实盘净值数据(iFinD公式)'!$B$65:$Y$65)+SUMPRODUCT(分期持仓明细!$AC$23:$AD$23,'实盘净值数据(iFinD公式)'!$Z148:$AA148/'实盘净值数据(iFinD公式)'!$Z$65:$AA$65))*(1-实盘持仓配置!$AM$7)^(('实盘净值数据(iFinD公式)'!$A148-'实盘净值数据(iFinD公式)'!$A$8)/365))</f>
        <v/>
      </c>
      <c r="L148" s="16" t="str">
        <f t="shared" si="24"/>
        <v/>
      </c>
      <c r="M148" s="16" t="str">
        <f>IF(K148="","",K148/MAX(K$5:K148)-1)</f>
        <v/>
      </c>
      <c r="N148" s="13" t="str">
        <f>IF(OR('实盘净值数据(iFinD公式)'!$A148="",'实盘净值数据(iFinD公式)'!$B148="",'实盘净值数据(iFinD公式)'!$Z148="",'实盘净值数据(iFinD公式)'!$AA148=""),"",分期持仓明细!$AB$24*(SUMPRODUCT(分期持仓明细!$B$24:$Y$24,'实盘净值数据(iFinD公式)'!$B148:$Y148/'实盘净值数据(iFinD公式)'!$B$65:$Y$65)+SUMPRODUCT(分期持仓明细!$AC$24:$AD$24,'实盘净值数据(iFinD公式)'!$Z148:$AA148/'实盘净值数据(iFinD公式)'!$Z$65:$AA$65))*(1-实盘持仓配置!$AM$8)^(('实盘净值数据(iFinD公式)'!$A148-'实盘净值数据(iFinD公式)'!$A$5)/365))</f>
        <v/>
      </c>
      <c r="O148" s="16" t="str">
        <f t="shared" si="25"/>
        <v/>
      </c>
      <c r="P148" s="16" t="str">
        <f>IF(N148="","",N148/MAX(N$5:N148)-1)</f>
        <v/>
      </c>
      <c r="Q148" s="13" t="str">
        <f>IF(OR('实盘净值数据(iFinD公式)'!$A148="",'实盘净值数据(iFinD公式)'!$B148="",'实盘净值数据(iFinD公式)'!$Z148="",'实盘净值数据(iFinD公式)'!$AA148=""),"",分期持仓明细!$AB$25*(SUMPRODUCT(分期持仓明细!$B$25:$Y$25,'实盘净值数据(iFinD公式)'!$B148:$Y148/'实盘净值数据(iFinD公式)'!$B$65:$Y$65)+SUMPRODUCT(分期持仓明细!$AC$25:$AD$25,'实盘净值数据(iFinD公式)'!$Z148:$AA148/'实盘净值数据(iFinD公式)'!$Z$65:$AA$65))*(1-实盘持仓配置!$AM$9)^(('实盘净值数据(iFinD公式)'!$A148-'实盘净值数据(iFinD公式)'!$A$8)/365))</f>
        <v/>
      </c>
      <c r="R148" s="16" t="str">
        <f t="shared" si="26"/>
        <v/>
      </c>
      <c r="S148" s="16" t="str">
        <f>IF(Q148="","",Q148/MAX(Q$5:Q148)-1)</f>
        <v/>
      </c>
      <c r="T148" s="13" t="str">
        <f>IF(OR('实盘净值数据(iFinD公式)'!$A148="",'实盘净值数据(iFinD公式)'!$B148="",'实盘净值数据(iFinD公式)'!$Z148="",'实盘净值数据(iFinD公式)'!$AA148="",'实盘净值数据(iFinD公式)'!$AB148="",'实盘净值数据(iFinD公式)'!$AL148=""),"",(SUMPRODUCT(分期持仓明细!$B$26:$Y$26,'实盘净值数据(iFinD公式)'!$B148:$Y148/'实盘净值数据(iFinD公式)'!$B$69:$Y$69)+SUMPRODUCT(分期持仓明细!$AC$26:$AD$26,'实盘净值数据(iFinD公式)'!$Z148:$AA148/'实盘净值数据(iFinD公式)'!$Z$69:$AA$69)+SUMPRODUCT(分期持仓明细!$AE$26:$AO$26,'实盘净值数据(iFinD公式)'!$AB148:$AL148/'实盘净值数据(iFinD公式)'!$AB$69:$AL$69))*(1-实盘持仓配置!$AM$10)^(('实盘净值数据(iFinD公式)'!$A148-'实盘净值数据(iFinD公式)'!$A$69)/365))</f>
        <v/>
      </c>
      <c r="U148" s="16" t="str">
        <f t="shared" si="20"/>
        <v/>
      </c>
      <c r="V148" s="16" t="str">
        <f>IF(T148="","",T148/MAX(T$5:T148)-1)</f>
        <v/>
      </c>
    </row>
    <row r="149" spans="1:22">
      <c r="A149" s="15" t="str">
        <f>IF('实盘净值数据(iFinD公式)'!A149="","",'实盘净值数据(iFinD公式)'!A149)</f>
        <v/>
      </c>
      <c r="B149" s="13" t="str">
        <f>IF(OR('实盘净值数据(iFinD公式)'!$A149="",'实盘净值数据(iFinD公式)'!$B149=""),"",分期持仓明细!$AB$17*SUMPRODUCT(分期持仓明细!$B$17:$Y$17,'实盘净值数据(iFinD公式)'!$B149:$Y149/'实盘净值数据(iFinD公式)'!$B$20:$Y$20)*(1-实盘持仓配置!$AM$4)^(('实盘净值数据(iFinD公式)'!$A149-'实盘净值数据(iFinD公式)'!$A$6)/365))</f>
        <v/>
      </c>
      <c r="C149" s="16" t="str">
        <f t="shared" si="21"/>
        <v/>
      </c>
      <c r="D149" s="16" t="str">
        <f>IF(B149="","",B149/MAX(B$5:B149)-1)</f>
        <v/>
      </c>
      <c r="E149" s="13" t="str">
        <f>IF(OR('实盘净值数据(iFinD公式)'!$A149="",'实盘净值数据(iFinD公式)'!$B149=""),"",分期持仓明细!$AB$18*SUMPRODUCT(分期持仓明细!$B$18:$Y$18,'实盘净值数据(iFinD公式)'!$B149:$Y149/'实盘净值数据(iFinD公式)'!$B$20:$Y$20)*(1-实盘持仓配置!$AM$5)^(('实盘净值数据(iFinD公式)'!$A149-'实盘净值数据(iFinD公式)'!$A$5)/365))</f>
        <v/>
      </c>
      <c r="F149" s="16" t="str">
        <f t="shared" si="22"/>
        <v/>
      </c>
      <c r="G149" s="16" t="str">
        <f>IF(E149="","",E149/MAX(E$5:E149)-1)</f>
        <v/>
      </c>
      <c r="H149" s="13" t="str">
        <f>IF(OR('实盘净值数据(iFinD公式)'!$A149="",'实盘净值数据(iFinD公式)'!$B149=""),"",分期持仓明细!$AB$19*SUMPRODUCT(分期持仓明细!$B$19:$Y$19,'实盘净值数据(iFinD公式)'!$B149:$Y149/'实盘净值数据(iFinD公式)'!$B$20:$Y$20)*(1-实盘持仓配置!$AM$6)^(('实盘净值数据(iFinD公式)'!$A149-'实盘净值数据(iFinD公式)'!$A$7)/365))</f>
        <v/>
      </c>
      <c r="I149" s="16" t="str">
        <f t="shared" si="23"/>
        <v/>
      </c>
      <c r="J149" s="16" t="str">
        <f>IF(H149="","",H149/MAX(H$5:H149)-1)</f>
        <v/>
      </c>
      <c r="K149" s="13" t="str">
        <f>IF(OR('实盘净值数据(iFinD公式)'!$A149="",'实盘净值数据(iFinD公式)'!$B149="",'实盘净值数据(iFinD公式)'!$Z149="",'实盘净值数据(iFinD公式)'!$AA149=""),"",分期持仓明细!$AB$23*(SUMPRODUCT(分期持仓明细!$B$23:$Y$23,'实盘净值数据(iFinD公式)'!$B149:$Y149/'实盘净值数据(iFinD公式)'!$B$65:$Y$65)+SUMPRODUCT(分期持仓明细!$AC$23:$AD$23,'实盘净值数据(iFinD公式)'!$Z149:$AA149/'实盘净值数据(iFinD公式)'!$Z$65:$AA$65))*(1-实盘持仓配置!$AM$7)^(('实盘净值数据(iFinD公式)'!$A149-'实盘净值数据(iFinD公式)'!$A$8)/365))</f>
        <v/>
      </c>
      <c r="L149" s="16" t="str">
        <f t="shared" si="24"/>
        <v/>
      </c>
      <c r="M149" s="16" t="str">
        <f>IF(K149="","",K149/MAX(K$5:K149)-1)</f>
        <v/>
      </c>
      <c r="N149" s="13" t="str">
        <f>IF(OR('实盘净值数据(iFinD公式)'!$A149="",'实盘净值数据(iFinD公式)'!$B149="",'实盘净值数据(iFinD公式)'!$Z149="",'实盘净值数据(iFinD公式)'!$AA149=""),"",分期持仓明细!$AB$24*(SUMPRODUCT(分期持仓明细!$B$24:$Y$24,'实盘净值数据(iFinD公式)'!$B149:$Y149/'实盘净值数据(iFinD公式)'!$B$65:$Y$65)+SUMPRODUCT(分期持仓明细!$AC$24:$AD$24,'实盘净值数据(iFinD公式)'!$Z149:$AA149/'实盘净值数据(iFinD公式)'!$Z$65:$AA$65))*(1-实盘持仓配置!$AM$8)^(('实盘净值数据(iFinD公式)'!$A149-'实盘净值数据(iFinD公式)'!$A$5)/365))</f>
        <v/>
      </c>
      <c r="O149" s="16" t="str">
        <f t="shared" si="25"/>
        <v/>
      </c>
      <c r="P149" s="16" t="str">
        <f>IF(N149="","",N149/MAX(N$5:N149)-1)</f>
        <v/>
      </c>
      <c r="Q149" s="13" t="str">
        <f>IF(OR('实盘净值数据(iFinD公式)'!$A149="",'实盘净值数据(iFinD公式)'!$B149="",'实盘净值数据(iFinD公式)'!$Z149="",'实盘净值数据(iFinD公式)'!$AA149=""),"",分期持仓明细!$AB$25*(SUMPRODUCT(分期持仓明细!$B$25:$Y$25,'实盘净值数据(iFinD公式)'!$B149:$Y149/'实盘净值数据(iFinD公式)'!$B$65:$Y$65)+SUMPRODUCT(分期持仓明细!$AC$25:$AD$25,'实盘净值数据(iFinD公式)'!$Z149:$AA149/'实盘净值数据(iFinD公式)'!$Z$65:$AA$65))*(1-实盘持仓配置!$AM$9)^(('实盘净值数据(iFinD公式)'!$A149-'实盘净值数据(iFinD公式)'!$A$8)/365))</f>
        <v/>
      </c>
      <c r="R149" s="16" t="str">
        <f t="shared" si="26"/>
        <v/>
      </c>
      <c r="S149" s="16" t="str">
        <f>IF(Q149="","",Q149/MAX(Q$5:Q149)-1)</f>
        <v/>
      </c>
      <c r="T149" s="13" t="str">
        <f>IF(OR('实盘净值数据(iFinD公式)'!$A149="",'实盘净值数据(iFinD公式)'!$B149="",'实盘净值数据(iFinD公式)'!$Z149="",'实盘净值数据(iFinD公式)'!$AA149="",'实盘净值数据(iFinD公式)'!$AB149="",'实盘净值数据(iFinD公式)'!$AL149=""),"",(SUMPRODUCT(分期持仓明细!$B$26:$Y$26,'实盘净值数据(iFinD公式)'!$B149:$Y149/'实盘净值数据(iFinD公式)'!$B$69:$Y$69)+SUMPRODUCT(分期持仓明细!$AC$26:$AD$26,'实盘净值数据(iFinD公式)'!$Z149:$AA149/'实盘净值数据(iFinD公式)'!$Z$69:$AA$69)+SUMPRODUCT(分期持仓明细!$AE$26:$AO$26,'实盘净值数据(iFinD公式)'!$AB149:$AL149/'实盘净值数据(iFinD公式)'!$AB$69:$AL$69))*(1-实盘持仓配置!$AM$10)^(('实盘净值数据(iFinD公式)'!$A149-'实盘净值数据(iFinD公式)'!$A$69)/365))</f>
        <v/>
      </c>
      <c r="U149" s="16" t="str">
        <f t="shared" si="20"/>
        <v/>
      </c>
      <c r="V149" s="16" t="str">
        <f>IF(T149="","",T149/MAX(T$5:T149)-1)</f>
        <v/>
      </c>
    </row>
    <row r="150" spans="1:22">
      <c r="A150" s="15" t="str">
        <f>IF('实盘净值数据(iFinD公式)'!A150="","",'实盘净值数据(iFinD公式)'!A150)</f>
        <v/>
      </c>
      <c r="B150" s="13" t="str">
        <f>IF(OR('实盘净值数据(iFinD公式)'!$A150="",'实盘净值数据(iFinD公式)'!$B150=""),"",分期持仓明细!$AB$17*SUMPRODUCT(分期持仓明细!$B$17:$Y$17,'实盘净值数据(iFinD公式)'!$B150:$Y150/'实盘净值数据(iFinD公式)'!$B$20:$Y$20)*(1-实盘持仓配置!$AM$4)^(('实盘净值数据(iFinD公式)'!$A150-'实盘净值数据(iFinD公式)'!$A$6)/365))</f>
        <v/>
      </c>
      <c r="C150" s="16" t="str">
        <f t="shared" si="21"/>
        <v/>
      </c>
      <c r="D150" s="16" t="str">
        <f>IF(B150="","",B150/MAX(B$5:B150)-1)</f>
        <v/>
      </c>
      <c r="E150" s="13" t="str">
        <f>IF(OR('实盘净值数据(iFinD公式)'!$A150="",'实盘净值数据(iFinD公式)'!$B150=""),"",分期持仓明细!$AB$18*SUMPRODUCT(分期持仓明细!$B$18:$Y$18,'实盘净值数据(iFinD公式)'!$B150:$Y150/'实盘净值数据(iFinD公式)'!$B$20:$Y$20)*(1-实盘持仓配置!$AM$5)^(('实盘净值数据(iFinD公式)'!$A150-'实盘净值数据(iFinD公式)'!$A$5)/365))</f>
        <v/>
      </c>
      <c r="F150" s="16" t="str">
        <f t="shared" si="22"/>
        <v/>
      </c>
      <c r="G150" s="16" t="str">
        <f>IF(E150="","",E150/MAX(E$5:E150)-1)</f>
        <v/>
      </c>
      <c r="H150" s="13" t="str">
        <f>IF(OR('实盘净值数据(iFinD公式)'!$A150="",'实盘净值数据(iFinD公式)'!$B150=""),"",分期持仓明细!$AB$19*SUMPRODUCT(分期持仓明细!$B$19:$Y$19,'实盘净值数据(iFinD公式)'!$B150:$Y150/'实盘净值数据(iFinD公式)'!$B$20:$Y$20)*(1-实盘持仓配置!$AM$6)^(('实盘净值数据(iFinD公式)'!$A150-'实盘净值数据(iFinD公式)'!$A$7)/365))</f>
        <v/>
      </c>
      <c r="I150" s="16" t="str">
        <f t="shared" si="23"/>
        <v/>
      </c>
      <c r="J150" s="16" t="str">
        <f>IF(H150="","",H150/MAX(H$5:H150)-1)</f>
        <v/>
      </c>
      <c r="K150" s="13" t="str">
        <f>IF(OR('实盘净值数据(iFinD公式)'!$A150="",'实盘净值数据(iFinD公式)'!$B150="",'实盘净值数据(iFinD公式)'!$Z150="",'实盘净值数据(iFinD公式)'!$AA150=""),"",分期持仓明细!$AB$23*(SUMPRODUCT(分期持仓明细!$B$23:$Y$23,'实盘净值数据(iFinD公式)'!$B150:$Y150/'实盘净值数据(iFinD公式)'!$B$65:$Y$65)+SUMPRODUCT(分期持仓明细!$AC$23:$AD$23,'实盘净值数据(iFinD公式)'!$Z150:$AA150/'实盘净值数据(iFinD公式)'!$Z$65:$AA$65))*(1-实盘持仓配置!$AM$7)^(('实盘净值数据(iFinD公式)'!$A150-'实盘净值数据(iFinD公式)'!$A$8)/365))</f>
        <v/>
      </c>
      <c r="L150" s="16" t="str">
        <f t="shared" si="24"/>
        <v/>
      </c>
      <c r="M150" s="16" t="str">
        <f>IF(K150="","",K150/MAX(K$5:K150)-1)</f>
        <v/>
      </c>
      <c r="N150" s="13" t="str">
        <f>IF(OR('实盘净值数据(iFinD公式)'!$A150="",'实盘净值数据(iFinD公式)'!$B150="",'实盘净值数据(iFinD公式)'!$Z150="",'实盘净值数据(iFinD公式)'!$AA150=""),"",分期持仓明细!$AB$24*(SUMPRODUCT(分期持仓明细!$B$24:$Y$24,'实盘净值数据(iFinD公式)'!$B150:$Y150/'实盘净值数据(iFinD公式)'!$B$65:$Y$65)+SUMPRODUCT(分期持仓明细!$AC$24:$AD$24,'实盘净值数据(iFinD公式)'!$Z150:$AA150/'实盘净值数据(iFinD公式)'!$Z$65:$AA$65))*(1-实盘持仓配置!$AM$8)^(('实盘净值数据(iFinD公式)'!$A150-'实盘净值数据(iFinD公式)'!$A$5)/365))</f>
        <v/>
      </c>
      <c r="O150" s="16" t="str">
        <f t="shared" si="25"/>
        <v/>
      </c>
      <c r="P150" s="16" t="str">
        <f>IF(N150="","",N150/MAX(N$5:N150)-1)</f>
        <v/>
      </c>
      <c r="Q150" s="13" t="str">
        <f>IF(OR('实盘净值数据(iFinD公式)'!$A150="",'实盘净值数据(iFinD公式)'!$B150="",'实盘净值数据(iFinD公式)'!$Z150="",'实盘净值数据(iFinD公式)'!$AA150=""),"",分期持仓明细!$AB$25*(SUMPRODUCT(分期持仓明细!$B$25:$Y$25,'实盘净值数据(iFinD公式)'!$B150:$Y150/'实盘净值数据(iFinD公式)'!$B$65:$Y$65)+SUMPRODUCT(分期持仓明细!$AC$25:$AD$25,'实盘净值数据(iFinD公式)'!$Z150:$AA150/'实盘净值数据(iFinD公式)'!$Z$65:$AA$65))*(1-实盘持仓配置!$AM$9)^(('实盘净值数据(iFinD公式)'!$A150-'实盘净值数据(iFinD公式)'!$A$8)/365))</f>
        <v/>
      </c>
      <c r="R150" s="16" t="str">
        <f t="shared" si="26"/>
        <v/>
      </c>
      <c r="S150" s="16" t="str">
        <f>IF(Q150="","",Q150/MAX(Q$5:Q150)-1)</f>
        <v/>
      </c>
      <c r="T150" s="13" t="str">
        <f>IF(OR('实盘净值数据(iFinD公式)'!$A150="",'实盘净值数据(iFinD公式)'!$B150="",'实盘净值数据(iFinD公式)'!$Z150="",'实盘净值数据(iFinD公式)'!$AA150="",'实盘净值数据(iFinD公式)'!$AB150="",'实盘净值数据(iFinD公式)'!$AL150=""),"",(SUMPRODUCT(分期持仓明细!$B$26:$Y$26,'实盘净值数据(iFinD公式)'!$B150:$Y150/'实盘净值数据(iFinD公式)'!$B$69:$Y$69)+SUMPRODUCT(分期持仓明细!$AC$26:$AD$26,'实盘净值数据(iFinD公式)'!$Z150:$AA150/'实盘净值数据(iFinD公式)'!$Z$69:$AA$69)+SUMPRODUCT(分期持仓明细!$AE$26:$AO$26,'实盘净值数据(iFinD公式)'!$AB150:$AL150/'实盘净值数据(iFinD公式)'!$AB$69:$AL$69))*(1-实盘持仓配置!$AM$10)^(('实盘净值数据(iFinD公式)'!$A150-'实盘净值数据(iFinD公式)'!$A$69)/365))</f>
        <v/>
      </c>
      <c r="U150" s="16" t="str">
        <f t="shared" si="20"/>
        <v/>
      </c>
      <c r="V150" s="16" t="str">
        <f>IF(T150="","",T150/MAX(T$5:T150)-1)</f>
        <v/>
      </c>
    </row>
    <row r="151" spans="1:22">
      <c r="A151" s="15" t="str">
        <f>IF('实盘净值数据(iFinD公式)'!A151="","",'实盘净值数据(iFinD公式)'!A151)</f>
        <v/>
      </c>
      <c r="B151" s="13" t="str">
        <f>IF(OR('实盘净值数据(iFinD公式)'!$A151="",'实盘净值数据(iFinD公式)'!$B151=""),"",分期持仓明细!$AB$17*SUMPRODUCT(分期持仓明细!$B$17:$Y$17,'实盘净值数据(iFinD公式)'!$B151:$Y151/'实盘净值数据(iFinD公式)'!$B$20:$Y$20)*(1-实盘持仓配置!$AM$4)^(('实盘净值数据(iFinD公式)'!$A151-'实盘净值数据(iFinD公式)'!$A$6)/365))</f>
        <v/>
      </c>
      <c r="C151" s="16" t="str">
        <f t="shared" si="21"/>
        <v/>
      </c>
      <c r="D151" s="16" t="str">
        <f>IF(B151="","",B151/MAX(B$5:B151)-1)</f>
        <v/>
      </c>
      <c r="E151" s="13" t="str">
        <f>IF(OR('实盘净值数据(iFinD公式)'!$A151="",'实盘净值数据(iFinD公式)'!$B151=""),"",分期持仓明细!$AB$18*SUMPRODUCT(分期持仓明细!$B$18:$Y$18,'实盘净值数据(iFinD公式)'!$B151:$Y151/'实盘净值数据(iFinD公式)'!$B$20:$Y$20)*(1-实盘持仓配置!$AM$5)^(('实盘净值数据(iFinD公式)'!$A151-'实盘净值数据(iFinD公式)'!$A$5)/365))</f>
        <v/>
      </c>
      <c r="F151" s="16" t="str">
        <f t="shared" si="22"/>
        <v/>
      </c>
      <c r="G151" s="16" t="str">
        <f>IF(E151="","",E151/MAX(E$5:E151)-1)</f>
        <v/>
      </c>
      <c r="H151" s="13" t="str">
        <f>IF(OR('实盘净值数据(iFinD公式)'!$A151="",'实盘净值数据(iFinD公式)'!$B151=""),"",分期持仓明细!$AB$19*SUMPRODUCT(分期持仓明细!$B$19:$Y$19,'实盘净值数据(iFinD公式)'!$B151:$Y151/'实盘净值数据(iFinD公式)'!$B$20:$Y$20)*(1-实盘持仓配置!$AM$6)^(('实盘净值数据(iFinD公式)'!$A151-'实盘净值数据(iFinD公式)'!$A$7)/365))</f>
        <v/>
      </c>
      <c r="I151" s="16" t="str">
        <f t="shared" si="23"/>
        <v/>
      </c>
      <c r="J151" s="16" t="str">
        <f>IF(H151="","",H151/MAX(H$5:H151)-1)</f>
        <v/>
      </c>
      <c r="K151" s="13" t="str">
        <f>IF(OR('实盘净值数据(iFinD公式)'!$A151="",'实盘净值数据(iFinD公式)'!$B151="",'实盘净值数据(iFinD公式)'!$Z151="",'实盘净值数据(iFinD公式)'!$AA151=""),"",分期持仓明细!$AB$23*(SUMPRODUCT(分期持仓明细!$B$23:$Y$23,'实盘净值数据(iFinD公式)'!$B151:$Y151/'实盘净值数据(iFinD公式)'!$B$65:$Y$65)+SUMPRODUCT(分期持仓明细!$AC$23:$AD$23,'实盘净值数据(iFinD公式)'!$Z151:$AA151/'实盘净值数据(iFinD公式)'!$Z$65:$AA$65))*(1-实盘持仓配置!$AM$7)^(('实盘净值数据(iFinD公式)'!$A151-'实盘净值数据(iFinD公式)'!$A$8)/365))</f>
        <v/>
      </c>
      <c r="L151" s="16" t="str">
        <f t="shared" si="24"/>
        <v/>
      </c>
      <c r="M151" s="16" t="str">
        <f>IF(K151="","",K151/MAX(K$5:K151)-1)</f>
        <v/>
      </c>
      <c r="N151" s="13" t="str">
        <f>IF(OR('实盘净值数据(iFinD公式)'!$A151="",'实盘净值数据(iFinD公式)'!$B151="",'实盘净值数据(iFinD公式)'!$Z151="",'实盘净值数据(iFinD公式)'!$AA151=""),"",分期持仓明细!$AB$24*(SUMPRODUCT(分期持仓明细!$B$24:$Y$24,'实盘净值数据(iFinD公式)'!$B151:$Y151/'实盘净值数据(iFinD公式)'!$B$65:$Y$65)+SUMPRODUCT(分期持仓明细!$AC$24:$AD$24,'实盘净值数据(iFinD公式)'!$Z151:$AA151/'实盘净值数据(iFinD公式)'!$Z$65:$AA$65))*(1-实盘持仓配置!$AM$8)^(('实盘净值数据(iFinD公式)'!$A151-'实盘净值数据(iFinD公式)'!$A$5)/365))</f>
        <v/>
      </c>
      <c r="O151" s="16" t="str">
        <f t="shared" si="25"/>
        <v/>
      </c>
      <c r="P151" s="16" t="str">
        <f>IF(N151="","",N151/MAX(N$5:N151)-1)</f>
        <v/>
      </c>
      <c r="Q151" s="13" t="str">
        <f>IF(OR('实盘净值数据(iFinD公式)'!$A151="",'实盘净值数据(iFinD公式)'!$B151="",'实盘净值数据(iFinD公式)'!$Z151="",'实盘净值数据(iFinD公式)'!$AA151=""),"",分期持仓明细!$AB$25*(SUMPRODUCT(分期持仓明细!$B$25:$Y$25,'实盘净值数据(iFinD公式)'!$B151:$Y151/'实盘净值数据(iFinD公式)'!$B$65:$Y$65)+SUMPRODUCT(分期持仓明细!$AC$25:$AD$25,'实盘净值数据(iFinD公式)'!$Z151:$AA151/'实盘净值数据(iFinD公式)'!$Z$65:$AA$65))*(1-实盘持仓配置!$AM$9)^(('实盘净值数据(iFinD公式)'!$A151-'实盘净值数据(iFinD公式)'!$A$8)/365))</f>
        <v/>
      </c>
      <c r="R151" s="16" t="str">
        <f t="shared" si="26"/>
        <v/>
      </c>
      <c r="S151" s="16" t="str">
        <f>IF(Q151="","",Q151/MAX(Q$5:Q151)-1)</f>
        <v/>
      </c>
      <c r="T151" s="13" t="str">
        <f>IF(OR('实盘净值数据(iFinD公式)'!$A151="",'实盘净值数据(iFinD公式)'!$B151="",'实盘净值数据(iFinD公式)'!$Z151="",'实盘净值数据(iFinD公式)'!$AA151="",'实盘净值数据(iFinD公式)'!$AB151="",'实盘净值数据(iFinD公式)'!$AL151=""),"",(SUMPRODUCT(分期持仓明细!$B$26:$Y$26,'实盘净值数据(iFinD公式)'!$B151:$Y151/'实盘净值数据(iFinD公式)'!$B$69:$Y$69)+SUMPRODUCT(分期持仓明细!$AC$26:$AD$26,'实盘净值数据(iFinD公式)'!$Z151:$AA151/'实盘净值数据(iFinD公式)'!$Z$69:$AA$69)+SUMPRODUCT(分期持仓明细!$AE$26:$AO$26,'实盘净值数据(iFinD公式)'!$AB151:$AL151/'实盘净值数据(iFinD公式)'!$AB$69:$AL$69))*(1-实盘持仓配置!$AM$10)^(('实盘净值数据(iFinD公式)'!$A151-'实盘净值数据(iFinD公式)'!$A$69)/365))</f>
        <v/>
      </c>
      <c r="U151" s="16" t="str">
        <f t="shared" si="20"/>
        <v/>
      </c>
      <c r="V151" s="16" t="str">
        <f>IF(T151="","",T151/MAX(T$5:T151)-1)</f>
        <v/>
      </c>
    </row>
    <row r="152" spans="1:22">
      <c r="A152" s="15" t="str">
        <f>IF('实盘净值数据(iFinD公式)'!A152="","",'实盘净值数据(iFinD公式)'!A152)</f>
        <v/>
      </c>
      <c r="B152" s="13" t="str">
        <f>IF(OR('实盘净值数据(iFinD公式)'!$A152="",'实盘净值数据(iFinD公式)'!$B152=""),"",分期持仓明细!$AB$17*SUMPRODUCT(分期持仓明细!$B$17:$Y$17,'实盘净值数据(iFinD公式)'!$B152:$Y152/'实盘净值数据(iFinD公式)'!$B$20:$Y$20)*(1-实盘持仓配置!$AM$4)^(('实盘净值数据(iFinD公式)'!$A152-'实盘净值数据(iFinD公式)'!$A$6)/365))</f>
        <v/>
      </c>
      <c r="C152" s="16" t="str">
        <f t="shared" si="21"/>
        <v/>
      </c>
      <c r="D152" s="16" t="str">
        <f>IF(B152="","",B152/MAX(B$5:B152)-1)</f>
        <v/>
      </c>
      <c r="E152" s="13" t="str">
        <f>IF(OR('实盘净值数据(iFinD公式)'!$A152="",'实盘净值数据(iFinD公式)'!$B152=""),"",分期持仓明细!$AB$18*SUMPRODUCT(分期持仓明细!$B$18:$Y$18,'实盘净值数据(iFinD公式)'!$B152:$Y152/'实盘净值数据(iFinD公式)'!$B$20:$Y$20)*(1-实盘持仓配置!$AM$5)^(('实盘净值数据(iFinD公式)'!$A152-'实盘净值数据(iFinD公式)'!$A$5)/365))</f>
        <v/>
      </c>
      <c r="F152" s="16" t="str">
        <f t="shared" si="22"/>
        <v/>
      </c>
      <c r="G152" s="16" t="str">
        <f>IF(E152="","",E152/MAX(E$5:E152)-1)</f>
        <v/>
      </c>
      <c r="H152" s="13" t="str">
        <f>IF(OR('实盘净值数据(iFinD公式)'!$A152="",'实盘净值数据(iFinD公式)'!$B152=""),"",分期持仓明细!$AB$19*SUMPRODUCT(分期持仓明细!$B$19:$Y$19,'实盘净值数据(iFinD公式)'!$B152:$Y152/'实盘净值数据(iFinD公式)'!$B$20:$Y$20)*(1-实盘持仓配置!$AM$6)^(('实盘净值数据(iFinD公式)'!$A152-'实盘净值数据(iFinD公式)'!$A$7)/365))</f>
        <v/>
      </c>
      <c r="I152" s="16" t="str">
        <f t="shared" si="23"/>
        <v/>
      </c>
      <c r="J152" s="16" t="str">
        <f>IF(H152="","",H152/MAX(H$5:H152)-1)</f>
        <v/>
      </c>
      <c r="K152" s="13" t="str">
        <f>IF(OR('实盘净值数据(iFinD公式)'!$A152="",'实盘净值数据(iFinD公式)'!$B152="",'实盘净值数据(iFinD公式)'!$Z152="",'实盘净值数据(iFinD公式)'!$AA152=""),"",分期持仓明细!$AB$23*(SUMPRODUCT(分期持仓明细!$B$23:$Y$23,'实盘净值数据(iFinD公式)'!$B152:$Y152/'实盘净值数据(iFinD公式)'!$B$65:$Y$65)+SUMPRODUCT(分期持仓明细!$AC$23:$AD$23,'实盘净值数据(iFinD公式)'!$Z152:$AA152/'实盘净值数据(iFinD公式)'!$Z$65:$AA$65))*(1-实盘持仓配置!$AM$7)^(('实盘净值数据(iFinD公式)'!$A152-'实盘净值数据(iFinD公式)'!$A$8)/365))</f>
        <v/>
      </c>
      <c r="L152" s="16" t="str">
        <f t="shared" si="24"/>
        <v/>
      </c>
      <c r="M152" s="16" t="str">
        <f>IF(K152="","",K152/MAX(K$5:K152)-1)</f>
        <v/>
      </c>
      <c r="N152" s="13" t="str">
        <f>IF(OR('实盘净值数据(iFinD公式)'!$A152="",'实盘净值数据(iFinD公式)'!$B152="",'实盘净值数据(iFinD公式)'!$Z152="",'实盘净值数据(iFinD公式)'!$AA152=""),"",分期持仓明细!$AB$24*(SUMPRODUCT(分期持仓明细!$B$24:$Y$24,'实盘净值数据(iFinD公式)'!$B152:$Y152/'实盘净值数据(iFinD公式)'!$B$65:$Y$65)+SUMPRODUCT(分期持仓明细!$AC$24:$AD$24,'实盘净值数据(iFinD公式)'!$Z152:$AA152/'实盘净值数据(iFinD公式)'!$Z$65:$AA$65))*(1-实盘持仓配置!$AM$8)^(('实盘净值数据(iFinD公式)'!$A152-'实盘净值数据(iFinD公式)'!$A$5)/365))</f>
        <v/>
      </c>
      <c r="O152" s="16" t="str">
        <f t="shared" si="25"/>
        <v/>
      </c>
      <c r="P152" s="16" t="str">
        <f>IF(N152="","",N152/MAX(N$5:N152)-1)</f>
        <v/>
      </c>
      <c r="Q152" s="13" t="str">
        <f>IF(OR('实盘净值数据(iFinD公式)'!$A152="",'实盘净值数据(iFinD公式)'!$B152="",'实盘净值数据(iFinD公式)'!$Z152="",'实盘净值数据(iFinD公式)'!$AA152=""),"",分期持仓明细!$AB$25*(SUMPRODUCT(分期持仓明细!$B$25:$Y$25,'实盘净值数据(iFinD公式)'!$B152:$Y152/'实盘净值数据(iFinD公式)'!$B$65:$Y$65)+SUMPRODUCT(分期持仓明细!$AC$25:$AD$25,'实盘净值数据(iFinD公式)'!$Z152:$AA152/'实盘净值数据(iFinD公式)'!$Z$65:$AA$65))*(1-实盘持仓配置!$AM$9)^(('实盘净值数据(iFinD公式)'!$A152-'实盘净值数据(iFinD公式)'!$A$8)/365))</f>
        <v/>
      </c>
      <c r="R152" s="16" t="str">
        <f t="shared" si="26"/>
        <v/>
      </c>
      <c r="S152" s="16" t="str">
        <f>IF(Q152="","",Q152/MAX(Q$5:Q152)-1)</f>
        <v/>
      </c>
      <c r="T152" s="13" t="str">
        <f>IF(OR('实盘净值数据(iFinD公式)'!$A152="",'实盘净值数据(iFinD公式)'!$B152="",'实盘净值数据(iFinD公式)'!$Z152="",'实盘净值数据(iFinD公式)'!$AA152="",'实盘净值数据(iFinD公式)'!$AB152="",'实盘净值数据(iFinD公式)'!$AL152=""),"",(SUMPRODUCT(分期持仓明细!$B$26:$Y$26,'实盘净值数据(iFinD公式)'!$B152:$Y152/'实盘净值数据(iFinD公式)'!$B$69:$Y$69)+SUMPRODUCT(分期持仓明细!$AC$26:$AD$26,'实盘净值数据(iFinD公式)'!$Z152:$AA152/'实盘净值数据(iFinD公式)'!$Z$69:$AA$69)+SUMPRODUCT(分期持仓明细!$AE$26:$AO$26,'实盘净值数据(iFinD公式)'!$AB152:$AL152/'实盘净值数据(iFinD公式)'!$AB$69:$AL$69))*(1-实盘持仓配置!$AM$10)^(('实盘净值数据(iFinD公式)'!$A152-'实盘净值数据(iFinD公式)'!$A$69)/365))</f>
        <v/>
      </c>
      <c r="U152" s="16" t="str">
        <f t="shared" si="20"/>
        <v/>
      </c>
      <c r="V152" s="16" t="str">
        <f>IF(T152="","",T152/MAX(T$5:T152)-1)</f>
        <v/>
      </c>
    </row>
    <row r="153" spans="1:22">
      <c r="A153" s="15" t="str">
        <f>IF('实盘净值数据(iFinD公式)'!A153="","",'实盘净值数据(iFinD公式)'!A153)</f>
        <v/>
      </c>
      <c r="B153" s="13" t="str">
        <f>IF(OR('实盘净值数据(iFinD公式)'!$A153="",'实盘净值数据(iFinD公式)'!$B153=""),"",分期持仓明细!$AB$17*SUMPRODUCT(分期持仓明细!$B$17:$Y$17,'实盘净值数据(iFinD公式)'!$B153:$Y153/'实盘净值数据(iFinD公式)'!$B$20:$Y$20)*(1-实盘持仓配置!$AM$4)^(('实盘净值数据(iFinD公式)'!$A153-'实盘净值数据(iFinD公式)'!$A$6)/365))</f>
        <v/>
      </c>
      <c r="C153" s="16" t="str">
        <f t="shared" si="21"/>
        <v/>
      </c>
      <c r="D153" s="16" t="str">
        <f>IF(B153="","",B153/MAX(B$5:B153)-1)</f>
        <v/>
      </c>
      <c r="E153" s="13" t="str">
        <f>IF(OR('实盘净值数据(iFinD公式)'!$A153="",'实盘净值数据(iFinD公式)'!$B153=""),"",分期持仓明细!$AB$18*SUMPRODUCT(分期持仓明细!$B$18:$Y$18,'实盘净值数据(iFinD公式)'!$B153:$Y153/'实盘净值数据(iFinD公式)'!$B$20:$Y$20)*(1-实盘持仓配置!$AM$5)^(('实盘净值数据(iFinD公式)'!$A153-'实盘净值数据(iFinD公式)'!$A$5)/365))</f>
        <v/>
      </c>
      <c r="F153" s="16" t="str">
        <f t="shared" si="22"/>
        <v/>
      </c>
      <c r="G153" s="16" t="str">
        <f>IF(E153="","",E153/MAX(E$5:E153)-1)</f>
        <v/>
      </c>
      <c r="H153" s="13" t="str">
        <f>IF(OR('实盘净值数据(iFinD公式)'!$A153="",'实盘净值数据(iFinD公式)'!$B153=""),"",分期持仓明细!$AB$19*SUMPRODUCT(分期持仓明细!$B$19:$Y$19,'实盘净值数据(iFinD公式)'!$B153:$Y153/'实盘净值数据(iFinD公式)'!$B$20:$Y$20)*(1-实盘持仓配置!$AM$6)^(('实盘净值数据(iFinD公式)'!$A153-'实盘净值数据(iFinD公式)'!$A$7)/365))</f>
        <v/>
      </c>
      <c r="I153" s="16" t="str">
        <f t="shared" si="23"/>
        <v/>
      </c>
      <c r="J153" s="16" t="str">
        <f>IF(H153="","",H153/MAX(H$5:H153)-1)</f>
        <v/>
      </c>
      <c r="K153" s="13" t="str">
        <f>IF(OR('实盘净值数据(iFinD公式)'!$A153="",'实盘净值数据(iFinD公式)'!$B153="",'实盘净值数据(iFinD公式)'!$Z153="",'实盘净值数据(iFinD公式)'!$AA153=""),"",分期持仓明细!$AB$23*(SUMPRODUCT(分期持仓明细!$B$23:$Y$23,'实盘净值数据(iFinD公式)'!$B153:$Y153/'实盘净值数据(iFinD公式)'!$B$65:$Y$65)+SUMPRODUCT(分期持仓明细!$AC$23:$AD$23,'实盘净值数据(iFinD公式)'!$Z153:$AA153/'实盘净值数据(iFinD公式)'!$Z$65:$AA$65))*(1-实盘持仓配置!$AM$7)^(('实盘净值数据(iFinD公式)'!$A153-'实盘净值数据(iFinD公式)'!$A$8)/365))</f>
        <v/>
      </c>
      <c r="L153" s="16" t="str">
        <f t="shared" si="24"/>
        <v/>
      </c>
      <c r="M153" s="16" t="str">
        <f>IF(K153="","",K153/MAX(K$5:K153)-1)</f>
        <v/>
      </c>
      <c r="N153" s="13" t="str">
        <f>IF(OR('实盘净值数据(iFinD公式)'!$A153="",'实盘净值数据(iFinD公式)'!$B153="",'实盘净值数据(iFinD公式)'!$Z153="",'实盘净值数据(iFinD公式)'!$AA153=""),"",分期持仓明细!$AB$24*(SUMPRODUCT(分期持仓明细!$B$24:$Y$24,'实盘净值数据(iFinD公式)'!$B153:$Y153/'实盘净值数据(iFinD公式)'!$B$65:$Y$65)+SUMPRODUCT(分期持仓明细!$AC$24:$AD$24,'实盘净值数据(iFinD公式)'!$Z153:$AA153/'实盘净值数据(iFinD公式)'!$Z$65:$AA$65))*(1-实盘持仓配置!$AM$8)^(('实盘净值数据(iFinD公式)'!$A153-'实盘净值数据(iFinD公式)'!$A$5)/365))</f>
        <v/>
      </c>
      <c r="O153" s="16" t="str">
        <f t="shared" si="25"/>
        <v/>
      </c>
      <c r="P153" s="16" t="str">
        <f>IF(N153="","",N153/MAX(N$5:N153)-1)</f>
        <v/>
      </c>
      <c r="Q153" s="13" t="str">
        <f>IF(OR('实盘净值数据(iFinD公式)'!$A153="",'实盘净值数据(iFinD公式)'!$B153="",'实盘净值数据(iFinD公式)'!$Z153="",'实盘净值数据(iFinD公式)'!$AA153=""),"",分期持仓明细!$AB$25*(SUMPRODUCT(分期持仓明细!$B$25:$Y$25,'实盘净值数据(iFinD公式)'!$B153:$Y153/'实盘净值数据(iFinD公式)'!$B$65:$Y$65)+SUMPRODUCT(分期持仓明细!$AC$25:$AD$25,'实盘净值数据(iFinD公式)'!$Z153:$AA153/'实盘净值数据(iFinD公式)'!$Z$65:$AA$65))*(1-实盘持仓配置!$AM$9)^(('实盘净值数据(iFinD公式)'!$A153-'实盘净值数据(iFinD公式)'!$A$8)/365))</f>
        <v/>
      </c>
      <c r="R153" s="16" t="str">
        <f t="shared" si="26"/>
        <v/>
      </c>
      <c r="S153" s="16" t="str">
        <f>IF(Q153="","",Q153/MAX(Q$5:Q153)-1)</f>
        <v/>
      </c>
      <c r="T153" s="13" t="str">
        <f>IF(OR('实盘净值数据(iFinD公式)'!$A153="",'实盘净值数据(iFinD公式)'!$B153="",'实盘净值数据(iFinD公式)'!$Z153="",'实盘净值数据(iFinD公式)'!$AA153="",'实盘净值数据(iFinD公式)'!$AB153="",'实盘净值数据(iFinD公式)'!$AL153=""),"",(SUMPRODUCT(分期持仓明细!$B$26:$Y$26,'实盘净值数据(iFinD公式)'!$B153:$Y153/'实盘净值数据(iFinD公式)'!$B$69:$Y$69)+SUMPRODUCT(分期持仓明细!$AC$26:$AD$26,'实盘净值数据(iFinD公式)'!$Z153:$AA153/'实盘净值数据(iFinD公式)'!$Z$69:$AA$69)+SUMPRODUCT(分期持仓明细!$AE$26:$AO$26,'实盘净值数据(iFinD公式)'!$AB153:$AL153/'实盘净值数据(iFinD公式)'!$AB$69:$AL$69))*(1-实盘持仓配置!$AM$10)^(('实盘净值数据(iFinD公式)'!$A153-'实盘净值数据(iFinD公式)'!$A$69)/365))</f>
        <v/>
      </c>
      <c r="U153" s="16" t="str">
        <f t="shared" si="20"/>
        <v/>
      </c>
      <c r="V153" s="16" t="str">
        <f>IF(T153="","",T153/MAX(T$5:T153)-1)</f>
        <v/>
      </c>
    </row>
    <row r="154" spans="1:22">
      <c r="A154" s="15" t="str">
        <f>IF('实盘净值数据(iFinD公式)'!A154="","",'实盘净值数据(iFinD公式)'!A154)</f>
        <v/>
      </c>
      <c r="B154" s="13" t="str">
        <f>IF(OR('实盘净值数据(iFinD公式)'!$A154="",'实盘净值数据(iFinD公式)'!$B154=""),"",分期持仓明细!$AB$17*SUMPRODUCT(分期持仓明细!$B$17:$Y$17,'实盘净值数据(iFinD公式)'!$B154:$Y154/'实盘净值数据(iFinD公式)'!$B$20:$Y$20)*(1-实盘持仓配置!$AM$4)^(('实盘净值数据(iFinD公式)'!$A154-'实盘净值数据(iFinD公式)'!$A$6)/365))</f>
        <v/>
      </c>
      <c r="C154" s="16" t="str">
        <f t="shared" si="21"/>
        <v/>
      </c>
      <c r="D154" s="16" t="str">
        <f>IF(B154="","",B154/MAX(B$5:B154)-1)</f>
        <v/>
      </c>
      <c r="E154" s="13" t="str">
        <f>IF(OR('实盘净值数据(iFinD公式)'!$A154="",'实盘净值数据(iFinD公式)'!$B154=""),"",分期持仓明细!$AB$18*SUMPRODUCT(分期持仓明细!$B$18:$Y$18,'实盘净值数据(iFinD公式)'!$B154:$Y154/'实盘净值数据(iFinD公式)'!$B$20:$Y$20)*(1-实盘持仓配置!$AM$5)^(('实盘净值数据(iFinD公式)'!$A154-'实盘净值数据(iFinD公式)'!$A$5)/365))</f>
        <v/>
      </c>
      <c r="F154" s="16" t="str">
        <f t="shared" si="22"/>
        <v/>
      </c>
      <c r="G154" s="16" t="str">
        <f>IF(E154="","",E154/MAX(E$5:E154)-1)</f>
        <v/>
      </c>
      <c r="H154" s="13" t="str">
        <f>IF(OR('实盘净值数据(iFinD公式)'!$A154="",'实盘净值数据(iFinD公式)'!$B154=""),"",分期持仓明细!$AB$19*SUMPRODUCT(分期持仓明细!$B$19:$Y$19,'实盘净值数据(iFinD公式)'!$B154:$Y154/'实盘净值数据(iFinD公式)'!$B$20:$Y$20)*(1-实盘持仓配置!$AM$6)^(('实盘净值数据(iFinD公式)'!$A154-'实盘净值数据(iFinD公式)'!$A$7)/365))</f>
        <v/>
      </c>
      <c r="I154" s="16" t="str">
        <f t="shared" si="23"/>
        <v/>
      </c>
      <c r="J154" s="16" t="str">
        <f>IF(H154="","",H154/MAX(H$5:H154)-1)</f>
        <v/>
      </c>
      <c r="K154" s="13" t="str">
        <f>IF(OR('实盘净值数据(iFinD公式)'!$A154="",'实盘净值数据(iFinD公式)'!$B154="",'实盘净值数据(iFinD公式)'!$Z154="",'实盘净值数据(iFinD公式)'!$AA154=""),"",分期持仓明细!$AB$23*(SUMPRODUCT(分期持仓明细!$B$23:$Y$23,'实盘净值数据(iFinD公式)'!$B154:$Y154/'实盘净值数据(iFinD公式)'!$B$65:$Y$65)+SUMPRODUCT(分期持仓明细!$AC$23:$AD$23,'实盘净值数据(iFinD公式)'!$Z154:$AA154/'实盘净值数据(iFinD公式)'!$Z$65:$AA$65))*(1-实盘持仓配置!$AM$7)^(('实盘净值数据(iFinD公式)'!$A154-'实盘净值数据(iFinD公式)'!$A$8)/365))</f>
        <v/>
      </c>
      <c r="L154" s="16" t="str">
        <f t="shared" si="24"/>
        <v/>
      </c>
      <c r="M154" s="16" t="str">
        <f>IF(K154="","",K154/MAX(K$5:K154)-1)</f>
        <v/>
      </c>
      <c r="N154" s="13" t="str">
        <f>IF(OR('实盘净值数据(iFinD公式)'!$A154="",'实盘净值数据(iFinD公式)'!$B154="",'实盘净值数据(iFinD公式)'!$Z154="",'实盘净值数据(iFinD公式)'!$AA154=""),"",分期持仓明细!$AB$24*(SUMPRODUCT(分期持仓明细!$B$24:$Y$24,'实盘净值数据(iFinD公式)'!$B154:$Y154/'实盘净值数据(iFinD公式)'!$B$65:$Y$65)+SUMPRODUCT(分期持仓明细!$AC$24:$AD$24,'实盘净值数据(iFinD公式)'!$Z154:$AA154/'实盘净值数据(iFinD公式)'!$Z$65:$AA$65))*(1-实盘持仓配置!$AM$8)^(('实盘净值数据(iFinD公式)'!$A154-'实盘净值数据(iFinD公式)'!$A$5)/365))</f>
        <v/>
      </c>
      <c r="O154" s="16" t="str">
        <f t="shared" si="25"/>
        <v/>
      </c>
      <c r="P154" s="16" t="str">
        <f>IF(N154="","",N154/MAX(N$5:N154)-1)</f>
        <v/>
      </c>
      <c r="Q154" s="13" t="str">
        <f>IF(OR('实盘净值数据(iFinD公式)'!$A154="",'实盘净值数据(iFinD公式)'!$B154="",'实盘净值数据(iFinD公式)'!$Z154="",'实盘净值数据(iFinD公式)'!$AA154=""),"",分期持仓明细!$AB$25*(SUMPRODUCT(分期持仓明细!$B$25:$Y$25,'实盘净值数据(iFinD公式)'!$B154:$Y154/'实盘净值数据(iFinD公式)'!$B$65:$Y$65)+SUMPRODUCT(分期持仓明细!$AC$25:$AD$25,'实盘净值数据(iFinD公式)'!$Z154:$AA154/'实盘净值数据(iFinD公式)'!$Z$65:$AA$65))*(1-实盘持仓配置!$AM$9)^(('实盘净值数据(iFinD公式)'!$A154-'实盘净值数据(iFinD公式)'!$A$8)/365))</f>
        <v/>
      </c>
      <c r="R154" s="16" t="str">
        <f t="shared" si="26"/>
        <v/>
      </c>
      <c r="S154" s="16" t="str">
        <f>IF(Q154="","",Q154/MAX(Q$5:Q154)-1)</f>
        <v/>
      </c>
      <c r="T154" s="13" t="str">
        <f>IF(OR('实盘净值数据(iFinD公式)'!$A154="",'实盘净值数据(iFinD公式)'!$B154="",'实盘净值数据(iFinD公式)'!$Z154="",'实盘净值数据(iFinD公式)'!$AA154="",'实盘净值数据(iFinD公式)'!$AB154="",'实盘净值数据(iFinD公式)'!$AL154=""),"",(SUMPRODUCT(分期持仓明细!$B$26:$Y$26,'实盘净值数据(iFinD公式)'!$B154:$Y154/'实盘净值数据(iFinD公式)'!$B$69:$Y$69)+SUMPRODUCT(分期持仓明细!$AC$26:$AD$26,'实盘净值数据(iFinD公式)'!$Z154:$AA154/'实盘净值数据(iFinD公式)'!$Z$69:$AA$69)+SUMPRODUCT(分期持仓明细!$AE$26:$AO$26,'实盘净值数据(iFinD公式)'!$AB154:$AL154/'实盘净值数据(iFinD公式)'!$AB$69:$AL$69))*(1-实盘持仓配置!$AM$10)^(('实盘净值数据(iFinD公式)'!$A154-'实盘净值数据(iFinD公式)'!$A$69)/365))</f>
        <v/>
      </c>
      <c r="U154" s="16" t="str">
        <f t="shared" si="20"/>
        <v/>
      </c>
      <c r="V154" s="16" t="str">
        <f>IF(T154="","",T154/MAX(T$5:T154)-1)</f>
        <v/>
      </c>
    </row>
    <row r="155" spans="1:22">
      <c r="A155" s="15" t="str">
        <f>IF('实盘净值数据(iFinD公式)'!A155="","",'实盘净值数据(iFinD公式)'!A155)</f>
        <v/>
      </c>
      <c r="B155" s="13" t="str">
        <f>IF(OR('实盘净值数据(iFinD公式)'!$A155="",'实盘净值数据(iFinD公式)'!$B155=""),"",分期持仓明细!$AB$17*SUMPRODUCT(分期持仓明细!$B$17:$Y$17,'实盘净值数据(iFinD公式)'!$B155:$Y155/'实盘净值数据(iFinD公式)'!$B$20:$Y$20)*(1-实盘持仓配置!$AM$4)^(('实盘净值数据(iFinD公式)'!$A155-'实盘净值数据(iFinD公式)'!$A$6)/365))</f>
        <v/>
      </c>
      <c r="C155" s="16" t="str">
        <f t="shared" si="21"/>
        <v/>
      </c>
      <c r="D155" s="16" t="str">
        <f>IF(B155="","",B155/MAX(B$5:B155)-1)</f>
        <v/>
      </c>
      <c r="E155" s="13" t="str">
        <f>IF(OR('实盘净值数据(iFinD公式)'!$A155="",'实盘净值数据(iFinD公式)'!$B155=""),"",分期持仓明细!$AB$18*SUMPRODUCT(分期持仓明细!$B$18:$Y$18,'实盘净值数据(iFinD公式)'!$B155:$Y155/'实盘净值数据(iFinD公式)'!$B$20:$Y$20)*(1-实盘持仓配置!$AM$5)^(('实盘净值数据(iFinD公式)'!$A155-'实盘净值数据(iFinD公式)'!$A$5)/365))</f>
        <v/>
      </c>
      <c r="F155" s="16" t="str">
        <f t="shared" si="22"/>
        <v/>
      </c>
      <c r="G155" s="16" t="str">
        <f>IF(E155="","",E155/MAX(E$5:E155)-1)</f>
        <v/>
      </c>
      <c r="H155" s="13" t="str">
        <f>IF(OR('实盘净值数据(iFinD公式)'!$A155="",'实盘净值数据(iFinD公式)'!$B155=""),"",分期持仓明细!$AB$19*SUMPRODUCT(分期持仓明细!$B$19:$Y$19,'实盘净值数据(iFinD公式)'!$B155:$Y155/'实盘净值数据(iFinD公式)'!$B$20:$Y$20)*(1-实盘持仓配置!$AM$6)^(('实盘净值数据(iFinD公式)'!$A155-'实盘净值数据(iFinD公式)'!$A$7)/365))</f>
        <v/>
      </c>
      <c r="I155" s="16" t="str">
        <f t="shared" si="23"/>
        <v/>
      </c>
      <c r="J155" s="16" t="str">
        <f>IF(H155="","",H155/MAX(H$5:H155)-1)</f>
        <v/>
      </c>
      <c r="K155" s="13" t="str">
        <f>IF(OR('实盘净值数据(iFinD公式)'!$A155="",'实盘净值数据(iFinD公式)'!$B155="",'实盘净值数据(iFinD公式)'!$Z155="",'实盘净值数据(iFinD公式)'!$AA155=""),"",分期持仓明细!$AB$23*(SUMPRODUCT(分期持仓明细!$B$23:$Y$23,'实盘净值数据(iFinD公式)'!$B155:$Y155/'实盘净值数据(iFinD公式)'!$B$65:$Y$65)+SUMPRODUCT(分期持仓明细!$AC$23:$AD$23,'实盘净值数据(iFinD公式)'!$Z155:$AA155/'实盘净值数据(iFinD公式)'!$Z$65:$AA$65))*(1-实盘持仓配置!$AM$7)^(('实盘净值数据(iFinD公式)'!$A155-'实盘净值数据(iFinD公式)'!$A$8)/365))</f>
        <v/>
      </c>
      <c r="L155" s="16" t="str">
        <f t="shared" si="24"/>
        <v/>
      </c>
      <c r="M155" s="16" t="str">
        <f>IF(K155="","",K155/MAX(K$5:K155)-1)</f>
        <v/>
      </c>
      <c r="N155" s="13" t="str">
        <f>IF(OR('实盘净值数据(iFinD公式)'!$A155="",'实盘净值数据(iFinD公式)'!$B155="",'实盘净值数据(iFinD公式)'!$Z155="",'实盘净值数据(iFinD公式)'!$AA155=""),"",分期持仓明细!$AB$24*(SUMPRODUCT(分期持仓明细!$B$24:$Y$24,'实盘净值数据(iFinD公式)'!$B155:$Y155/'实盘净值数据(iFinD公式)'!$B$65:$Y$65)+SUMPRODUCT(分期持仓明细!$AC$24:$AD$24,'实盘净值数据(iFinD公式)'!$Z155:$AA155/'实盘净值数据(iFinD公式)'!$Z$65:$AA$65))*(1-实盘持仓配置!$AM$8)^(('实盘净值数据(iFinD公式)'!$A155-'实盘净值数据(iFinD公式)'!$A$5)/365))</f>
        <v/>
      </c>
      <c r="O155" s="16" t="str">
        <f t="shared" si="25"/>
        <v/>
      </c>
      <c r="P155" s="16" t="str">
        <f>IF(N155="","",N155/MAX(N$5:N155)-1)</f>
        <v/>
      </c>
      <c r="Q155" s="13" t="str">
        <f>IF(OR('实盘净值数据(iFinD公式)'!$A155="",'实盘净值数据(iFinD公式)'!$B155="",'实盘净值数据(iFinD公式)'!$Z155="",'实盘净值数据(iFinD公式)'!$AA155=""),"",分期持仓明细!$AB$25*(SUMPRODUCT(分期持仓明细!$B$25:$Y$25,'实盘净值数据(iFinD公式)'!$B155:$Y155/'实盘净值数据(iFinD公式)'!$B$65:$Y$65)+SUMPRODUCT(分期持仓明细!$AC$25:$AD$25,'实盘净值数据(iFinD公式)'!$Z155:$AA155/'实盘净值数据(iFinD公式)'!$Z$65:$AA$65))*(1-实盘持仓配置!$AM$9)^(('实盘净值数据(iFinD公式)'!$A155-'实盘净值数据(iFinD公式)'!$A$8)/365))</f>
        <v/>
      </c>
      <c r="R155" s="16" t="str">
        <f t="shared" si="26"/>
        <v/>
      </c>
      <c r="S155" s="16" t="str">
        <f>IF(Q155="","",Q155/MAX(Q$5:Q155)-1)</f>
        <v/>
      </c>
      <c r="T155" s="13" t="str">
        <f>IF(OR('实盘净值数据(iFinD公式)'!$A155="",'实盘净值数据(iFinD公式)'!$B155="",'实盘净值数据(iFinD公式)'!$Z155="",'实盘净值数据(iFinD公式)'!$AA155="",'实盘净值数据(iFinD公式)'!$AB155="",'实盘净值数据(iFinD公式)'!$AL155=""),"",(SUMPRODUCT(分期持仓明细!$B$26:$Y$26,'实盘净值数据(iFinD公式)'!$B155:$Y155/'实盘净值数据(iFinD公式)'!$B$69:$Y$69)+SUMPRODUCT(分期持仓明细!$AC$26:$AD$26,'实盘净值数据(iFinD公式)'!$Z155:$AA155/'实盘净值数据(iFinD公式)'!$Z$69:$AA$69)+SUMPRODUCT(分期持仓明细!$AE$26:$AO$26,'实盘净值数据(iFinD公式)'!$AB155:$AL155/'实盘净值数据(iFinD公式)'!$AB$69:$AL$69))*(1-实盘持仓配置!$AM$10)^(('实盘净值数据(iFinD公式)'!$A155-'实盘净值数据(iFinD公式)'!$A$69)/365))</f>
        <v/>
      </c>
      <c r="U155" s="16" t="str">
        <f t="shared" si="20"/>
        <v/>
      </c>
      <c r="V155" s="16" t="str">
        <f>IF(T155="","",T155/MAX(T$5:T155)-1)</f>
        <v/>
      </c>
    </row>
    <row r="156" spans="1:22">
      <c r="A156" s="15" t="str">
        <f>IF('实盘净值数据(iFinD公式)'!A156="","",'实盘净值数据(iFinD公式)'!A156)</f>
        <v/>
      </c>
      <c r="B156" s="13" t="str">
        <f>IF(OR('实盘净值数据(iFinD公式)'!$A156="",'实盘净值数据(iFinD公式)'!$B156=""),"",分期持仓明细!$AB$17*SUMPRODUCT(分期持仓明细!$B$17:$Y$17,'实盘净值数据(iFinD公式)'!$B156:$Y156/'实盘净值数据(iFinD公式)'!$B$20:$Y$20)*(1-实盘持仓配置!$AM$4)^(('实盘净值数据(iFinD公式)'!$A156-'实盘净值数据(iFinD公式)'!$A$6)/365))</f>
        <v/>
      </c>
      <c r="C156" s="16" t="str">
        <f t="shared" si="21"/>
        <v/>
      </c>
      <c r="D156" s="16" t="str">
        <f>IF(B156="","",B156/MAX(B$5:B156)-1)</f>
        <v/>
      </c>
      <c r="E156" s="13" t="str">
        <f>IF(OR('实盘净值数据(iFinD公式)'!$A156="",'实盘净值数据(iFinD公式)'!$B156=""),"",分期持仓明细!$AB$18*SUMPRODUCT(分期持仓明细!$B$18:$Y$18,'实盘净值数据(iFinD公式)'!$B156:$Y156/'实盘净值数据(iFinD公式)'!$B$20:$Y$20)*(1-实盘持仓配置!$AM$5)^(('实盘净值数据(iFinD公式)'!$A156-'实盘净值数据(iFinD公式)'!$A$5)/365))</f>
        <v/>
      </c>
      <c r="F156" s="16" t="str">
        <f t="shared" si="22"/>
        <v/>
      </c>
      <c r="G156" s="16" t="str">
        <f>IF(E156="","",E156/MAX(E$5:E156)-1)</f>
        <v/>
      </c>
      <c r="H156" s="13" t="str">
        <f>IF(OR('实盘净值数据(iFinD公式)'!$A156="",'实盘净值数据(iFinD公式)'!$B156=""),"",分期持仓明细!$AB$19*SUMPRODUCT(分期持仓明细!$B$19:$Y$19,'实盘净值数据(iFinD公式)'!$B156:$Y156/'实盘净值数据(iFinD公式)'!$B$20:$Y$20)*(1-实盘持仓配置!$AM$6)^(('实盘净值数据(iFinD公式)'!$A156-'实盘净值数据(iFinD公式)'!$A$7)/365))</f>
        <v/>
      </c>
      <c r="I156" s="16" t="str">
        <f t="shared" si="23"/>
        <v/>
      </c>
      <c r="J156" s="16" t="str">
        <f>IF(H156="","",H156/MAX(H$5:H156)-1)</f>
        <v/>
      </c>
      <c r="K156" s="13" t="str">
        <f>IF(OR('实盘净值数据(iFinD公式)'!$A156="",'实盘净值数据(iFinD公式)'!$B156="",'实盘净值数据(iFinD公式)'!$Z156="",'实盘净值数据(iFinD公式)'!$AA156=""),"",分期持仓明细!$AB$23*(SUMPRODUCT(分期持仓明细!$B$23:$Y$23,'实盘净值数据(iFinD公式)'!$B156:$Y156/'实盘净值数据(iFinD公式)'!$B$65:$Y$65)+SUMPRODUCT(分期持仓明细!$AC$23:$AD$23,'实盘净值数据(iFinD公式)'!$Z156:$AA156/'实盘净值数据(iFinD公式)'!$Z$65:$AA$65))*(1-实盘持仓配置!$AM$7)^(('实盘净值数据(iFinD公式)'!$A156-'实盘净值数据(iFinD公式)'!$A$8)/365))</f>
        <v/>
      </c>
      <c r="L156" s="16" t="str">
        <f t="shared" si="24"/>
        <v/>
      </c>
      <c r="M156" s="16" t="str">
        <f>IF(K156="","",K156/MAX(K$5:K156)-1)</f>
        <v/>
      </c>
      <c r="N156" s="13" t="str">
        <f>IF(OR('实盘净值数据(iFinD公式)'!$A156="",'实盘净值数据(iFinD公式)'!$B156="",'实盘净值数据(iFinD公式)'!$Z156="",'实盘净值数据(iFinD公式)'!$AA156=""),"",分期持仓明细!$AB$24*(SUMPRODUCT(分期持仓明细!$B$24:$Y$24,'实盘净值数据(iFinD公式)'!$B156:$Y156/'实盘净值数据(iFinD公式)'!$B$65:$Y$65)+SUMPRODUCT(分期持仓明细!$AC$24:$AD$24,'实盘净值数据(iFinD公式)'!$Z156:$AA156/'实盘净值数据(iFinD公式)'!$Z$65:$AA$65))*(1-实盘持仓配置!$AM$8)^(('实盘净值数据(iFinD公式)'!$A156-'实盘净值数据(iFinD公式)'!$A$5)/365))</f>
        <v/>
      </c>
      <c r="O156" s="16" t="str">
        <f t="shared" si="25"/>
        <v/>
      </c>
      <c r="P156" s="16" t="str">
        <f>IF(N156="","",N156/MAX(N$5:N156)-1)</f>
        <v/>
      </c>
      <c r="Q156" s="13" t="str">
        <f>IF(OR('实盘净值数据(iFinD公式)'!$A156="",'实盘净值数据(iFinD公式)'!$B156="",'实盘净值数据(iFinD公式)'!$Z156="",'实盘净值数据(iFinD公式)'!$AA156=""),"",分期持仓明细!$AB$25*(SUMPRODUCT(分期持仓明细!$B$25:$Y$25,'实盘净值数据(iFinD公式)'!$B156:$Y156/'实盘净值数据(iFinD公式)'!$B$65:$Y$65)+SUMPRODUCT(分期持仓明细!$AC$25:$AD$25,'实盘净值数据(iFinD公式)'!$Z156:$AA156/'实盘净值数据(iFinD公式)'!$Z$65:$AA$65))*(1-实盘持仓配置!$AM$9)^(('实盘净值数据(iFinD公式)'!$A156-'实盘净值数据(iFinD公式)'!$A$8)/365))</f>
        <v/>
      </c>
      <c r="R156" s="16" t="str">
        <f t="shared" si="26"/>
        <v/>
      </c>
      <c r="S156" s="16" t="str">
        <f>IF(Q156="","",Q156/MAX(Q$5:Q156)-1)</f>
        <v/>
      </c>
      <c r="T156" s="13" t="str">
        <f>IF(OR('实盘净值数据(iFinD公式)'!$A156="",'实盘净值数据(iFinD公式)'!$B156="",'实盘净值数据(iFinD公式)'!$Z156="",'实盘净值数据(iFinD公式)'!$AA156="",'实盘净值数据(iFinD公式)'!$AB156="",'实盘净值数据(iFinD公式)'!$AL156=""),"",(SUMPRODUCT(分期持仓明细!$B$26:$Y$26,'实盘净值数据(iFinD公式)'!$B156:$Y156/'实盘净值数据(iFinD公式)'!$B$69:$Y$69)+SUMPRODUCT(分期持仓明细!$AC$26:$AD$26,'实盘净值数据(iFinD公式)'!$Z156:$AA156/'实盘净值数据(iFinD公式)'!$Z$69:$AA$69)+SUMPRODUCT(分期持仓明细!$AE$26:$AO$26,'实盘净值数据(iFinD公式)'!$AB156:$AL156/'实盘净值数据(iFinD公式)'!$AB$69:$AL$69))*(1-实盘持仓配置!$AM$10)^(('实盘净值数据(iFinD公式)'!$A156-'实盘净值数据(iFinD公式)'!$A$69)/365))</f>
        <v/>
      </c>
      <c r="U156" s="16" t="str">
        <f t="shared" si="20"/>
        <v/>
      </c>
      <c r="V156" s="16" t="str">
        <f>IF(T156="","",T156/MAX(T$5:T156)-1)</f>
        <v/>
      </c>
    </row>
    <row r="157" spans="1:22">
      <c r="A157" s="15" t="str">
        <f>IF('实盘净值数据(iFinD公式)'!A157="","",'实盘净值数据(iFinD公式)'!A157)</f>
        <v/>
      </c>
      <c r="B157" s="13" t="str">
        <f>IF(OR('实盘净值数据(iFinD公式)'!$A157="",'实盘净值数据(iFinD公式)'!$B157=""),"",分期持仓明细!$AB$17*SUMPRODUCT(分期持仓明细!$B$17:$Y$17,'实盘净值数据(iFinD公式)'!$B157:$Y157/'实盘净值数据(iFinD公式)'!$B$20:$Y$20)*(1-实盘持仓配置!$AM$4)^(('实盘净值数据(iFinD公式)'!$A157-'实盘净值数据(iFinD公式)'!$A$6)/365))</f>
        <v/>
      </c>
      <c r="C157" s="16" t="str">
        <f t="shared" si="21"/>
        <v/>
      </c>
      <c r="D157" s="16" t="str">
        <f>IF(B157="","",B157/MAX(B$5:B157)-1)</f>
        <v/>
      </c>
      <c r="E157" s="13" t="str">
        <f>IF(OR('实盘净值数据(iFinD公式)'!$A157="",'实盘净值数据(iFinD公式)'!$B157=""),"",分期持仓明细!$AB$18*SUMPRODUCT(分期持仓明细!$B$18:$Y$18,'实盘净值数据(iFinD公式)'!$B157:$Y157/'实盘净值数据(iFinD公式)'!$B$20:$Y$20)*(1-实盘持仓配置!$AM$5)^(('实盘净值数据(iFinD公式)'!$A157-'实盘净值数据(iFinD公式)'!$A$5)/365))</f>
        <v/>
      </c>
      <c r="F157" s="16" t="str">
        <f t="shared" si="22"/>
        <v/>
      </c>
      <c r="G157" s="16" t="str">
        <f>IF(E157="","",E157/MAX(E$5:E157)-1)</f>
        <v/>
      </c>
      <c r="H157" s="13" t="str">
        <f>IF(OR('实盘净值数据(iFinD公式)'!$A157="",'实盘净值数据(iFinD公式)'!$B157=""),"",分期持仓明细!$AB$19*SUMPRODUCT(分期持仓明细!$B$19:$Y$19,'实盘净值数据(iFinD公式)'!$B157:$Y157/'实盘净值数据(iFinD公式)'!$B$20:$Y$20)*(1-实盘持仓配置!$AM$6)^(('实盘净值数据(iFinD公式)'!$A157-'实盘净值数据(iFinD公式)'!$A$7)/365))</f>
        <v/>
      </c>
      <c r="I157" s="16" t="str">
        <f t="shared" si="23"/>
        <v/>
      </c>
      <c r="J157" s="16" t="str">
        <f>IF(H157="","",H157/MAX(H$5:H157)-1)</f>
        <v/>
      </c>
      <c r="K157" s="13" t="str">
        <f>IF(OR('实盘净值数据(iFinD公式)'!$A157="",'实盘净值数据(iFinD公式)'!$B157="",'实盘净值数据(iFinD公式)'!$Z157="",'实盘净值数据(iFinD公式)'!$AA157=""),"",分期持仓明细!$AB$23*(SUMPRODUCT(分期持仓明细!$B$23:$Y$23,'实盘净值数据(iFinD公式)'!$B157:$Y157/'实盘净值数据(iFinD公式)'!$B$65:$Y$65)+SUMPRODUCT(分期持仓明细!$AC$23:$AD$23,'实盘净值数据(iFinD公式)'!$Z157:$AA157/'实盘净值数据(iFinD公式)'!$Z$65:$AA$65))*(1-实盘持仓配置!$AM$7)^(('实盘净值数据(iFinD公式)'!$A157-'实盘净值数据(iFinD公式)'!$A$8)/365))</f>
        <v/>
      </c>
      <c r="L157" s="16" t="str">
        <f t="shared" si="24"/>
        <v/>
      </c>
      <c r="M157" s="16" t="str">
        <f>IF(K157="","",K157/MAX(K$5:K157)-1)</f>
        <v/>
      </c>
      <c r="N157" s="13" t="str">
        <f>IF(OR('实盘净值数据(iFinD公式)'!$A157="",'实盘净值数据(iFinD公式)'!$B157="",'实盘净值数据(iFinD公式)'!$Z157="",'实盘净值数据(iFinD公式)'!$AA157=""),"",分期持仓明细!$AB$24*(SUMPRODUCT(分期持仓明细!$B$24:$Y$24,'实盘净值数据(iFinD公式)'!$B157:$Y157/'实盘净值数据(iFinD公式)'!$B$65:$Y$65)+SUMPRODUCT(分期持仓明细!$AC$24:$AD$24,'实盘净值数据(iFinD公式)'!$Z157:$AA157/'实盘净值数据(iFinD公式)'!$Z$65:$AA$65))*(1-实盘持仓配置!$AM$8)^(('实盘净值数据(iFinD公式)'!$A157-'实盘净值数据(iFinD公式)'!$A$5)/365))</f>
        <v/>
      </c>
      <c r="O157" s="16" t="str">
        <f t="shared" si="25"/>
        <v/>
      </c>
      <c r="P157" s="16" t="str">
        <f>IF(N157="","",N157/MAX(N$5:N157)-1)</f>
        <v/>
      </c>
      <c r="Q157" s="13" t="str">
        <f>IF(OR('实盘净值数据(iFinD公式)'!$A157="",'实盘净值数据(iFinD公式)'!$B157="",'实盘净值数据(iFinD公式)'!$Z157="",'实盘净值数据(iFinD公式)'!$AA157=""),"",分期持仓明细!$AB$25*(SUMPRODUCT(分期持仓明细!$B$25:$Y$25,'实盘净值数据(iFinD公式)'!$B157:$Y157/'实盘净值数据(iFinD公式)'!$B$65:$Y$65)+SUMPRODUCT(分期持仓明细!$AC$25:$AD$25,'实盘净值数据(iFinD公式)'!$Z157:$AA157/'实盘净值数据(iFinD公式)'!$Z$65:$AA$65))*(1-实盘持仓配置!$AM$9)^(('实盘净值数据(iFinD公式)'!$A157-'实盘净值数据(iFinD公式)'!$A$8)/365))</f>
        <v/>
      </c>
      <c r="R157" s="16" t="str">
        <f t="shared" si="26"/>
        <v/>
      </c>
      <c r="S157" s="16" t="str">
        <f>IF(Q157="","",Q157/MAX(Q$5:Q157)-1)</f>
        <v/>
      </c>
      <c r="T157" s="13" t="str">
        <f>IF(OR('实盘净值数据(iFinD公式)'!$A157="",'实盘净值数据(iFinD公式)'!$B157="",'实盘净值数据(iFinD公式)'!$Z157="",'实盘净值数据(iFinD公式)'!$AA157="",'实盘净值数据(iFinD公式)'!$AB157="",'实盘净值数据(iFinD公式)'!$AL157=""),"",(SUMPRODUCT(分期持仓明细!$B$26:$Y$26,'实盘净值数据(iFinD公式)'!$B157:$Y157/'实盘净值数据(iFinD公式)'!$B$69:$Y$69)+SUMPRODUCT(分期持仓明细!$AC$26:$AD$26,'实盘净值数据(iFinD公式)'!$Z157:$AA157/'实盘净值数据(iFinD公式)'!$Z$69:$AA$69)+SUMPRODUCT(分期持仓明细!$AE$26:$AO$26,'实盘净值数据(iFinD公式)'!$AB157:$AL157/'实盘净值数据(iFinD公式)'!$AB$69:$AL$69))*(1-实盘持仓配置!$AM$10)^(('实盘净值数据(iFinD公式)'!$A157-'实盘净值数据(iFinD公式)'!$A$69)/365))</f>
        <v/>
      </c>
      <c r="U157" s="16" t="str">
        <f t="shared" si="20"/>
        <v/>
      </c>
      <c r="V157" s="16" t="str">
        <f>IF(T157="","",T157/MAX(T$5:T157)-1)</f>
        <v/>
      </c>
    </row>
    <row r="158" spans="1:22">
      <c r="A158" s="15" t="str">
        <f>IF('实盘净值数据(iFinD公式)'!A158="","",'实盘净值数据(iFinD公式)'!A158)</f>
        <v/>
      </c>
      <c r="B158" s="13" t="str">
        <f>IF(OR('实盘净值数据(iFinD公式)'!$A158="",'实盘净值数据(iFinD公式)'!$B158=""),"",分期持仓明细!$AB$17*SUMPRODUCT(分期持仓明细!$B$17:$Y$17,'实盘净值数据(iFinD公式)'!$B158:$Y158/'实盘净值数据(iFinD公式)'!$B$20:$Y$20)*(1-实盘持仓配置!$AM$4)^(('实盘净值数据(iFinD公式)'!$A158-'实盘净值数据(iFinD公式)'!$A$6)/365))</f>
        <v/>
      </c>
      <c r="C158" s="16" t="str">
        <f t="shared" si="21"/>
        <v/>
      </c>
      <c r="D158" s="16" t="str">
        <f>IF(B158="","",B158/MAX(B$5:B158)-1)</f>
        <v/>
      </c>
      <c r="E158" s="13" t="str">
        <f>IF(OR('实盘净值数据(iFinD公式)'!$A158="",'实盘净值数据(iFinD公式)'!$B158=""),"",分期持仓明细!$AB$18*SUMPRODUCT(分期持仓明细!$B$18:$Y$18,'实盘净值数据(iFinD公式)'!$B158:$Y158/'实盘净值数据(iFinD公式)'!$B$20:$Y$20)*(1-实盘持仓配置!$AM$5)^(('实盘净值数据(iFinD公式)'!$A158-'实盘净值数据(iFinD公式)'!$A$5)/365))</f>
        <v/>
      </c>
      <c r="F158" s="16" t="str">
        <f t="shared" si="22"/>
        <v/>
      </c>
      <c r="G158" s="16" t="str">
        <f>IF(E158="","",E158/MAX(E$5:E158)-1)</f>
        <v/>
      </c>
      <c r="H158" s="13" t="str">
        <f>IF(OR('实盘净值数据(iFinD公式)'!$A158="",'实盘净值数据(iFinD公式)'!$B158=""),"",分期持仓明细!$AB$19*SUMPRODUCT(分期持仓明细!$B$19:$Y$19,'实盘净值数据(iFinD公式)'!$B158:$Y158/'实盘净值数据(iFinD公式)'!$B$20:$Y$20)*(1-实盘持仓配置!$AM$6)^(('实盘净值数据(iFinD公式)'!$A158-'实盘净值数据(iFinD公式)'!$A$7)/365))</f>
        <v/>
      </c>
      <c r="I158" s="16" t="str">
        <f t="shared" si="23"/>
        <v/>
      </c>
      <c r="J158" s="16" t="str">
        <f>IF(H158="","",H158/MAX(H$5:H158)-1)</f>
        <v/>
      </c>
      <c r="K158" s="13" t="str">
        <f>IF(OR('实盘净值数据(iFinD公式)'!$A158="",'实盘净值数据(iFinD公式)'!$B158="",'实盘净值数据(iFinD公式)'!$Z158="",'实盘净值数据(iFinD公式)'!$AA158=""),"",分期持仓明细!$AB$23*(SUMPRODUCT(分期持仓明细!$B$23:$Y$23,'实盘净值数据(iFinD公式)'!$B158:$Y158/'实盘净值数据(iFinD公式)'!$B$65:$Y$65)+SUMPRODUCT(分期持仓明细!$AC$23:$AD$23,'实盘净值数据(iFinD公式)'!$Z158:$AA158/'实盘净值数据(iFinD公式)'!$Z$65:$AA$65))*(1-实盘持仓配置!$AM$7)^(('实盘净值数据(iFinD公式)'!$A158-'实盘净值数据(iFinD公式)'!$A$8)/365))</f>
        <v/>
      </c>
      <c r="L158" s="16" t="str">
        <f t="shared" si="24"/>
        <v/>
      </c>
      <c r="M158" s="16" t="str">
        <f>IF(K158="","",K158/MAX(K$5:K158)-1)</f>
        <v/>
      </c>
      <c r="N158" s="13" t="str">
        <f>IF(OR('实盘净值数据(iFinD公式)'!$A158="",'实盘净值数据(iFinD公式)'!$B158="",'实盘净值数据(iFinD公式)'!$Z158="",'实盘净值数据(iFinD公式)'!$AA158=""),"",分期持仓明细!$AB$24*(SUMPRODUCT(分期持仓明细!$B$24:$Y$24,'实盘净值数据(iFinD公式)'!$B158:$Y158/'实盘净值数据(iFinD公式)'!$B$65:$Y$65)+SUMPRODUCT(分期持仓明细!$AC$24:$AD$24,'实盘净值数据(iFinD公式)'!$Z158:$AA158/'实盘净值数据(iFinD公式)'!$Z$65:$AA$65))*(1-实盘持仓配置!$AM$8)^(('实盘净值数据(iFinD公式)'!$A158-'实盘净值数据(iFinD公式)'!$A$5)/365))</f>
        <v/>
      </c>
      <c r="O158" s="16" t="str">
        <f t="shared" si="25"/>
        <v/>
      </c>
      <c r="P158" s="16" t="str">
        <f>IF(N158="","",N158/MAX(N$5:N158)-1)</f>
        <v/>
      </c>
      <c r="Q158" s="13" t="str">
        <f>IF(OR('实盘净值数据(iFinD公式)'!$A158="",'实盘净值数据(iFinD公式)'!$B158="",'实盘净值数据(iFinD公式)'!$Z158="",'实盘净值数据(iFinD公式)'!$AA158=""),"",分期持仓明细!$AB$25*(SUMPRODUCT(分期持仓明细!$B$25:$Y$25,'实盘净值数据(iFinD公式)'!$B158:$Y158/'实盘净值数据(iFinD公式)'!$B$65:$Y$65)+SUMPRODUCT(分期持仓明细!$AC$25:$AD$25,'实盘净值数据(iFinD公式)'!$Z158:$AA158/'实盘净值数据(iFinD公式)'!$Z$65:$AA$65))*(1-实盘持仓配置!$AM$9)^(('实盘净值数据(iFinD公式)'!$A158-'实盘净值数据(iFinD公式)'!$A$8)/365))</f>
        <v/>
      </c>
      <c r="R158" s="16" t="str">
        <f t="shared" si="26"/>
        <v/>
      </c>
      <c r="S158" s="16" t="str">
        <f>IF(Q158="","",Q158/MAX(Q$5:Q158)-1)</f>
        <v/>
      </c>
      <c r="T158" s="13" t="str">
        <f>IF(OR('实盘净值数据(iFinD公式)'!$A158="",'实盘净值数据(iFinD公式)'!$B158="",'实盘净值数据(iFinD公式)'!$Z158="",'实盘净值数据(iFinD公式)'!$AA158="",'实盘净值数据(iFinD公式)'!$AB158="",'实盘净值数据(iFinD公式)'!$AL158=""),"",(SUMPRODUCT(分期持仓明细!$B$26:$Y$26,'实盘净值数据(iFinD公式)'!$B158:$Y158/'实盘净值数据(iFinD公式)'!$B$69:$Y$69)+SUMPRODUCT(分期持仓明细!$AC$26:$AD$26,'实盘净值数据(iFinD公式)'!$Z158:$AA158/'实盘净值数据(iFinD公式)'!$Z$69:$AA$69)+SUMPRODUCT(分期持仓明细!$AE$26:$AO$26,'实盘净值数据(iFinD公式)'!$AB158:$AL158/'实盘净值数据(iFinD公式)'!$AB$69:$AL$69))*(1-实盘持仓配置!$AM$10)^(('实盘净值数据(iFinD公式)'!$A158-'实盘净值数据(iFinD公式)'!$A$69)/365))</f>
        <v/>
      </c>
      <c r="U158" s="16" t="str">
        <f t="shared" si="20"/>
        <v/>
      </c>
      <c r="V158" s="16" t="str">
        <f>IF(T158="","",T158/MAX(T$5:T158)-1)</f>
        <v/>
      </c>
    </row>
    <row r="159" spans="1:22">
      <c r="A159" s="15" t="str">
        <f>IF('实盘净值数据(iFinD公式)'!A159="","",'实盘净值数据(iFinD公式)'!A159)</f>
        <v/>
      </c>
      <c r="B159" s="13" t="str">
        <f>IF(OR('实盘净值数据(iFinD公式)'!$A159="",'实盘净值数据(iFinD公式)'!$B159=""),"",分期持仓明细!$AB$17*SUMPRODUCT(分期持仓明细!$B$17:$Y$17,'实盘净值数据(iFinD公式)'!$B159:$Y159/'实盘净值数据(iFinD公式)'!$B$20:$Y$20)*(1-实盘持仓配置!$AM$4)^(('实盘净值数据(iFinD公式)'!$A159-'实盘净值数据(iFinD公式)'!$A$6)/365))</f>
        <v/>
      </c>
      <c r="C159" s="16" t="str">
        <f t="shared" si="21"/>
        <v/>
      </c>
      <c r="D159" s="16" t="str">
        <f>IF(B159="","",B159/MAX(B$5:B159)-1)</f>
        <v/>
      </c>
      <c r="E159" s="13" t="str">
        <f>IF(OR('实盘净值数据(iFinD公式)'!$A159="",'实盘净值数据(iFinD公式)'!$B159=""),"",分期持仓明细!$AB$18*SUMPRODUCT(分期持仓明细!$B$18:$Y$18,'实盘净值数据(iFinD公式)'!$B159:$Y159/'实盘净值数据(iFinD公式)'!$B$20:$Y$20)*(1-实盘持仓配置!$AM$5)^(('实盘净值数据(iFinD公式)'!$A159-'实盘净值数据(iFinD公式)'!$A$5)/365))</f>
        <v/>
      </c>
      <c r="F159" s="16" t="str">
        <f t="shared" si="22"/>
        <v/>
      </c>
      <c r="G159" s="16" t="str">
        <f>IF(E159="","",E159/MAX(E$5:E159)-1)</f>
        <v/>
      </c>
      <c r="H159" s="13" t="str">
        <f>IF(OR('实盘净值数据(iFinD公式)'!$A159="",'实盘净值数据(iFinD公式)'!$B159=""),"",分期持仓明细!$AB$19*SUMPRODUCT(分期持仓明细!$B$19:$Y$19,'实盘净值数据(iFinD公式)'!$B159:$Y159/'实盘净值数据(iFinD公式)'!$B$20:$Y$20)*(1-实盘持仓配置!$AM$6)^(('实盘净值数据(iFinD公式)'!$A159-'实盘净值数据(iFinD公式)'!$A$7)/365))</f>
        <v/>
      </c>
      <c r="I159" s="16" t="str">
        <f t="shared" si="23"/>
        <v/>
      </c>
      <c r="J159" s="16" t="str">
        <f>IF(H159="","",H159/MAX(H$5:H159)-1)</f>
        <v/>
      </c>
      <c r="K159" s="13" t="str">
        <f>IF(OR('实盘净值数据(iFinD公式)'!$A159="",'实盘净值数据(iFinD公式)'!$B159="",'实盘净值数据(iFinD公式)'!$Z159="",'实盘净值数据(iFinD公式)'!$AA159=""),"",分期持仓明细!$AB$23*(SUMPRODUCT(分期持仓明细!$B$23:$Y$23,'实盘净值数据(iFinD公式)'!$B159:$Y159/'实盘净值数据(iFinD公式)'!$B$65:$Y$65)+SUMPRODUCT(分期持仓明细!$AC$23:$AD$23,'实盘净值数据(iFinD公式)'!$Z159:$AA159/'实盘净值数据(iFinD公式)'!$Z$65:$AA$65))*(1-实盘持仓配置!$AM$7)^(('实盘净值数据(iFinD公式)'!$A159-'实盘净值数据(iFinD公式)'!$A$8)/365))</f>
        <v/>
      </c>
      <c r="L159" s="16" t="str">
        <f t="shared" si="24"/>
        <v/>
      </c>
      <c r="M159" s="16" t="str">
        <f>IF(K159="","",K159/MAX(K$5:K159)-1)</f>
        <v/>
      </c>
      <c r="N159" s="13" t="str">
        <f>IF(OR('实盘净值数据(iFinD公式)'!$A159="",'实盘净值数据(iFinD公式)'!$B159="",'实盘净值数据(iFinD公式)'!$Z159="",'实盘净值数据(iFinD公式)'!$AA159=""),"",分期持仓明细!$AB$24*(SUMPRODUCT(分期持仓明细!$B$24:$Y$24,'实盘净值数据(iFinD公式)'!$B159:$Y159/'实盘净值数据(iFinD公式)'!$B$65:$Y$65)+SUMPRODUCT(分期持仓明细!$AC$24:$AD$24,'实盘净值数据(iFinD公式)'!$Z159:$AA159/'实盘净值数据(iFinD公式)'!$Z$65:$AA$65))*(1-实盘持仓配置!$AM$8)^(('实盘净值数据(iFinD公式)'!$A159-'实盘净值数据(iFinD公式)'!$A$5)/365))</f>
        <v/>
      </c>
      <c r="O159" s="16" t="str">
        <f t="shared" si="25"/>
        <v/>
      </c>
      <c r="P159" s="16" t="str">
        <f>IF(N159="","",N159/MAX(N$5:N159)-1)</f>
        <v/>
      </c>
      <c r="Q159" s="13" t="str">
        <f>IF(OR('实盘净值数据(iFinD公式)'!$A159="",'实盘净值数据(iFinD公式)'!$B159="",'实盘净值数据(iFinD公式)'!$Z159="",'实盘净值数据(iFinD公式)'!$AA159=""),"",分期持仓明细!$AB$25*(SUMPRODUCT(分期持仓明细!$B$25:$Y$25,'实盘净值数据(iFinD公式)'!$B159:$Y159/'实盘净值数据(iFinD公式)'!$B$65:$Y$65)+SUMPRODUCT(分期持仓明细!$AC$25:$AD$25,'实盘净值数据(iFinD公式)'!$Z159:$AA159/'实盘净值数据(iFinD公式)'!$Z$65:$AA$65))*(1-实盘持仓配置!$AM$9)^(('实盘净值数据(iFinD公式)'!$A159-'实盘净值数据(iFinD公式)'!$A$8)/365))</f>
        <v/>
      </c>
      <c r="R159" s="16" t="str">
        <f t="shared" si="26"/>
        <v/>
      </c>
      <c r="S159" s="16" t="str">
        <f>IF(Q159="","",Q159/MAX(Q$5:Q159)-1)</f>
        <v/>
      </c>
      <c r="T159" s="13" t="str">
        <f>IF(OR('实盘净值数据(iFinD公式)'!$A159="",'实盘净值数据(iFinD公式)'!$B159="",'实盘净值数据(iFinD公式)'!$Z159="",'实盘净值数据(iFinD公式)'!$AA159="",'实盘净值数据(iFinD公式)'!$AB159="",'实盘净值数据(iFinD公式)'!$AL159=""),"",(SUMPRODUCT(分期持仓明细!$B$26:$Y$26,'实盘净值数据(iFinD公式)'!$B159:$Y159/'实盘净值数据(iFinD公式)'!$B$69:$Y$69)+SUMPRODUCT(分期持仓明细!$AC$26:$AD$26,'实盘净值数据(iFinD公式)'!$Z159:$AA159/'实盘净值数据(iFinD公式)'!$Z$69:$AA$69)+SUMPRODUCT(分期持仓明细!$AE$26:$AO$26,'实盘净值数据(iFinD公式)'!$AB159:$AL159/'实盘净值数据(iFinD公式)'!$AB$69:$AL$69))*(1-实盘持仓配置!$AM$10)^(('实盘净值数据(iFinD公式)'!$A159-'实盘净值数据(iFinD公式)'!$A$69)/365))</f>
        <v/>
      </c>
      <c r="U159" s="16" t="str">
        <f t="shared" si="20"/>
        <v/>
      </c>
      <c r="V159" s="16" t="str">
        <f>IF(T159="","",T159/MAX(T$5:T159)-1)</f>
        <v/>
      </c>
    </row>
    <row r="160" spans="1:22">
      <c r="A160" s="15" t="str">
        <f>IF('实盘净值数据(iFinD公式)'!A160="","",'实盘净值数据(iFinD公式)'!A160)</f>
        <v/>
      </c>
      <c r="B160" s="13" t="str">
        <f>IF(OR('实盘净值数据(iFinD公式)'!$A160="",'实盘净值数据(iFinD公式)'!$B160=""),"",分期持仓明细!$AB$17*SUMPRODUCT(分期持仓明细!$B$17:$Y$17,'实盘净值数据(iFinD公式)'!$B160:$Y160/'实盘净值数据(iFinD公式)'!$B$20:$Y$20)*(1-实盘持仓配置!$AM$4)^(('实盘净值数据(iFinD公式)'!$A160-'实盘净值数据(iFinD公式)'!$A$6)/365))</f>
        <v/>
      </c>
      <c r="C160" s="16" t="str">
        <f t="shared" si="21"/>
        <v/>
      </c>
      <c r="D160" s="16" t="str">
        <f>IF(B160="","",B160/MAX(B$5:B160)-1)</f>
        <v/>
      </c>
      <c r="E160" s="13" t="str">
        <f>IF(OR('实盘净值数据(iFinD公式)'!$A160="",'实盘净值数据(iFinD公式)'!$B160=""),"",分期持仓明细!$AB$18*SUMPRODUCT(分期持仓明细!$B$18:$Y$18,'实盘净值数据(iFinD公式)'!$B160:$Y160/'实盘净值数据(iFinD公式)'!$B$20:$Y$20)*(1-实盘持仓配置!$AM$5)^(('实盘净值数据(iFinD公式)'!$A160-'实盘净值数据(iFinD公式)'!$A$5)/365))</f>
        <v/>
      </c>
      <c r="F160" s="16" t="str">
        <f t="shared" si="22"/>
        <v/>
      </c>
      <c r="G160" s="16" t="str">
        <f>IF(E160="","",E160/MAX(E$5:E160)-1)</f>
        <v/>
      </c>
      <c r="H160" s="13" t="str">
        <f>IF(OR('实盘净值数据(iFinD公式)'!$A160="",'实盘净值数据(iFinD公式)'!$B160=""),"",分期持仓明细!$AB$19*SUMPRODUCT(分期持仓明细!$B$19:$Y$19,'实盘净值数据(iFinD公式)'!$B160:$Y160/'实盘净值数据(iFinD公式)'!$B$20:$Y$20)*(1-实盘持仓配置!$AM$6)^(('实盘净值数据(iFinD公式)'!$A160-'实盘净值数据(iFinD公式)'!$A$7)/365))</f>
        <v/>
      </c>
      <c r="I160" s="16" t="str">
        <f t="shared" si="23"/>
        <v/>
      </c>
      <c r="J160" s="16" t="str">
        <f>IF(H160="","",H160/MAX(H$5:H160)-1)</f>
        <v/>
      </c>
      <c r="K160" s="13" t="str">
        <f>IF(OR('实盘净值数据(iFinD公式)'!$A160="",'实盘净值数据(iFinD公式)'!$B160="",'实盘净值数据(iFinD公式)'!$Z160="",'实盘净值数据(iFinD公式)'!$AA160=""),"",分期持仓明细!$AB$23*(SUMPRODUCT(分期持仓明细!$B$23:$Y$23,'实盘净值数据(iFinD公式)'!$B160:$Y160/'实盘净值数据(iFinD公式)'!$B$65:$Y$65)+SUMPRODUCT(分期持仓明细!$AC$23:$AD$23,'实盘净值数据(iFinD公式)'!$Z160:$AA160/'实盘净值数据(iFinD公式)'!$Z$65:$AA$65))*(1-实盘持仓配置!$AM$7)^(('实盘净值数据(iFinD公式)'!$A160-'实盘净值数据(iFinD公式)'!$A$8)/365))</f>
        <v/>
      </c>
      <c r="L160" s="16" t="str">
        <f t="shared" si="24"/>
        <v/>
      </c>
      <c r="M160" s="16" t="str">
        <f>IF(K160="","",K160/MAX(K$5:K160)-1)</f>
        <v/>
      </c>
      <c r="N160" s="13" t="str">
        <f>IF(OR('实盘净值数据(iFinD公式)'!$A160="",'实盘净值数据(iFinD公式)'!$B160="",'实盘净值数据(iFinD公式)'!$Z160="",'实盘净值数据(iFinD公式)'!$AA160=""),"",分期持仓明细!$AB$24*(SUMPRODUCT(分期持仓明细!$B$24:$Y$24,'实盘净值数据(iFinD公式)'!$B160:$Y160/'实盘净值数据(iFinD公式)'!$B$65:$Y$65)+SUMPRODUCT(分期持仓明细!$AC$24:$AD$24,'实盘净值数据(iFinD公式)'!$Z160:$AA160/'实盘净值数据(iFinD公式)'!$Z$65:$AA$65))*(1-实盘持仓配置!$AM$8)^(('实盘净值数据(iFinD公式)'!$A160-'实盘净值数据(iFinD公式)'!$A$5)/365))</f>
        <v/>
      </c>
      <c r="O160" s="16" t="str">
        <f t="shared" si="25"/>
        <v/>
      </c>
      <c r="P160" s="16" t="str">
        <f>IF(N160="","",N160/MAX(N$5:N160)-1)</f>
        <v/>
      </c>
      <c r="Q160" s="13" t="str">
        <f>IF(OR('实盘净值数据(iFinD公式)'!$A160="",'实盘净值数据(iFinD公式)'!$B160="",'实盘净值数据(iFinD公式)'!$Z160="",'实盘净值数据(iFinD公式)'!$AA160=""),"",分期持仓明细!$AB$25*(SUMPRODUCT(分期持仓明细!$B$25:$Y$25,'实盘净值数据(iFinD公式)'!$B160:$Y160/'实盘净值数据(iFinD公式)'!$B$65:$Y$65)+SUMPRODUCT(分期持仓明细!$AC$25:$AD$25,'实盘净值数据(iFinD公式)'!$Z160:$AA160/'实盘净值数据(iFinD公式)'!$Z$65:$AA$65))*(1-实盘持仓配置!$AM$9)^(('实盘净值数据(iFinD公式)'!$A160-'实盘净值数据(iFinD公式)'!$A$8)/365))</f>
        <v/>
      </c>
      <c r="R160" s="16" t="str">
        <f t="shared" si="26"/>
        <v/>
      </c>
      <c r="S160" s="16" t="str">
        <f>IF(Q160="","",Q160/MAX(Q$5:Q160)-1)</f>
        <v/>
      </c>
      <c r="T160" s="13" t="str">
        <f>IF(OR('实盘净值数据(iFinD公式)'!$A160="",'实盘净值数据(iFinD公式)'!$B160="",'实盘净值数据(iFinD公式)'!$Z160="",'实盘净值数据(iFinD公式)'!$AA160="",'实盘净值数据(iFinD公式)'!$AB160="",'实盘净值数据(iFinD公式)'!$AL160=""),"",(SUMPRODUCT(分期持仓明细!$B$26:$Y$26,'实盘净值数据(iFinD公式)'!$B160:$Y160/'实盘净值数据(iFinD公式)'!$B$69:$Y$69)+SUMPRODUCT(分期持仓明细!$AC$26:$AD$26,'实盘净值数据(iFinD公式)'!$Z160:$AA160/'实盘净值数据(iFinD公式)'!$Z$69:$AA$69)+SUMPRODUCT(分期持仓明细!$AE$26:$AO$26,'实盘净值数据(iFinD公式)'!$AB160:$AL160/'实盘净值数据(iFinD公式)'!$AB$69:$AL$69))*(1-实盘持仓配置!$AM$10)^(('实盘净值数据(iFinD公式)'!$A160-'实盘净值数据(iFinD公式)'!$A$69)/365))</f>
        <v/>
      </c>
      <c r="U160" s="16" t="str">
        <f t="shared" si="20"/>
        <v/>
      </c>
      <c r="V160" s="16" t="str">
        <f>IF(T160="","",T160/MAX(T$5:T160)-1)</f>
        <v/>
      </c>
    </row>
    <row r="161" spans="1:22">
      <c r="A161" s="15" t="str">
        <f>IF('实盘净值数据(iFinD公式)'!A161="","",'实盘净值数据(iFinD公式)'!A161)</f>
        <v/>
      </c>
      <c r="B161" s="13" t="str">
        <f>IF(OR('实盘净值数据(iFinD公式)'!$A161="",'实盘净值数据(iFinD公式)'!$B161=""),"",分期持仓明细!$AB$17*SUMPRODUCT(分期持仓明细!$B$17:$Y$17,'实盘净值数据(iFinD公式)'!$B161:$Y161/'实盘净值数据(iFinD公式)'!$B$20:$Y$20)*(1-实盘持仓配置!$AM$4)^(('实盘净值数据(iFinD公式)'!$A161-'实盘净值数据(iFinD公式)'!$A$6)/365))</f>
        <v/>
      </c>
      <c r="C161" s="16" t="str">
        <f t="shared" si="21"/>
        <v/>
      </c>
      <c r="D161" s="16" t="str">
        <f>IF(B161="","",B161/MAX(B$5:B161)-1)</f>
        <v/>
      </c>
      <c r="E161" s="13" t="str">
        <f>IF(OR('实盘净值数据(iFinD公式)'!$A161="",'实盘净值数据(iFinD公式)'!$B161=""),"",分期持仓明细!$AB$18*SUMPRODUCT(分期持仓明细!$B$18:$Y$18,'实盘净值数据(iFinD公式)'!$B161:$Y161/'实盘净值数据(iFinD公式)'!$B$20:$Y$20)*(1-实盘持仓配置!$AM$5)^(('实盘净值数据(iFinD公式)'!$A161-'实盘净值数据(iFinD公式)'!$A$5)/365))</f>
        <v/>
      </c>
      <c r="F161" s="16" t="str">
        <f t="shared" si="22"/>
        <v/>
      </c>
      <c r="G161" s="16" t="str">
        <f>IF(E161="","",E161/MAX(E$5:E161)-1)</f>
        <v/>
      </c>
      <c r="H161" s="13" t="str">
        <f>IF(OR('实盘净值数据(iFinD公式)'!$A161="",'实盘净值数据(iFinD公式)'!$B161=""),"",分期持仓明细!$AB$19*SUMPRODUCT(分期持仓明细!$B$19:$Y$19,'实盘净值数据(iFinD公式)'!$B161:$Y161/'实盘净值数据(iFinD公式)'!$B$20:$Y$20)*(1-实盘持仓配置!$AM$6)^(('实盘净值数据(iFinD公式)'!$A161-'实盘净值数据(iFinD公式)'!$A$7)/365))</f>
        <v/>
      </c>
      <c r="I161" s="16" t="str">
        <f t="shared" si="23"/>
        <v/>
      </c>
      <c r="J161" s="16" t="str">
        <f>IF(H161="","",H161/MAX(H$5:H161)-1)</f>
        <v/>
      </c>
      <c r="K161" s="13" t="str">
        <f>IF(OR('实盘净值数据(iFinD公式)'!$A161="",'实盘净值数据(iFinD公式)'!$B161="",'实盘净值数据(iFinD公式)'!$Z161="",'实盘净值数据(iFinD公式)'!$AA161=""),"",分期持仓明细!$AB$23*(SUMPRODUCT(分期持仓明细!$B$23:$Y$23,'实盘净值数据(iFinD公式)'!$B161:$Y161/'实盘净值数据(iFinD公式)'!$B$65:$Y$65)+SUMPRODUCT(分期持仓明细!$AC$23:$AD$23,'实盘净值数据(iFinD公式)'!$Z161:$AA161/'实盘净值数据(iFinD公式)'!$Z$65:$AA$65))*(1-实盘持仓配置!$AM$7)^(('实盘净值数据(iFinD公式)'!$A161-'实盘净值数据(iFinD公式)'!$A$8)/365))</f>
        <v/>
      </c>
      <c r="L161" s="16" t="str">
        <f t="shared" si="24"/>
        <v/>
      </c>
      <c r="M161" s="16" t="str">
        <f>IF(K161="","",K161/MAX(K$5:K161)-1)</f>
        <v/>
      </c>
      <c r="N161" s="13" t="str">
        <f>IF(OR('实盘净值数据(iFinD公式)'!$A161="",'实盘净值数据(iFinD公式)'!$B161="",'实盘净值数据(iFinD公式)'!$Z161="",'实盘净值数据(iFinD公式)'!$AA161=""),"",分期持仓明细!$AB$24*(SUMPRODUCT(分期持仓明细!$B$24:$Y$24,'实盘净值数据(iFinD公式)'!$B161:$Y161/'实盘净值数据(iFinD公式)'!$B$65:$Y$65)+SUMPRODUCT(分期持仓明细!$AC$24:$AD$24,'实盘净值数据(iFinD公式)'!$Z161:$AA161/'实盘净值数据(iFinD公式)'!$Z$65:$AA$65))*(1-实盘持仓配置!$AM$8)^(('实盘净值数据(iFinD公式)'!$A161-'实盘净值数据(iFinD公式)'!$A$5)/365))</f>
        <v/>
      </c>
      <c r="O161" s="16" t="str">
        <f t="shared" si="25"/>
        <v/>
      </c>
      <c r="P161" s="16" t="str">
        <f>IF(N161="","",N161/MAX(N$5:N161)-1)</f>
        <v/>
      </c>
      <c r="Q161" s="13" t="str">
        <f>IF(OR('实盘净值数据(iFinD公式)'!$A161="",'实盘净值数据(iFinD公式)'!$B161="",'实盘净值数据(iFinD公式)'!$Z161="",'实盘净值数据(iFinD公式)'!$AA161=""),"",分期持仓明细!$AB$25*(SUMPRODUCT(分期持仓明细!$B$25:$Y$25,'实盘净值数据(iFinD公式)'!$B161:$Y161/'实盘净值数据(iFinD公式)'!$B$65:$Y$65)+SUMPRODUCT(分期持仓明细!$AC$25:$AD$25,'实盘净值数据(iFinD公式)'!$Z161:$AA161/'实盘净值数据(iFinD公式)'!$Z$65:$AA$65))*(1-实盘持仓配置!$AM$9)^(('实盘净值数据(iFinD公式)'!$A161-'实盘净值数据(iFinD公式)'!$A$8)/365))</f>
        <v/>
      </c>
      <c r="R161" s="16" t="str">
        <f t="shared" si="26"/>
        <v/>
      </c>
      <c r="S161" s="16" t="str">
        <f>IF(Q161="","",Q161/MAX(Q$5:Q161)-1)</f>
        <v/>
      </c>
      <c r="T161" s="13" t="str">
        <f>IF(OR('实盘净值数据(iFinD公式)'!$A161="",'实盘净值数据(iFinD公式)'!$B161="",'实盘净值数据(iFinD公式)'!$Z161="",'实盘净值数据(iFinD公式)'!$AA161="",'实盘净值数据(iFinD公式)'!$AB161="",'实盘净值数据(iFinD公式)'!$AL161=""),"",(SUMPRODUCT(分期持仓明细!$B$26:$Y$26,'实盘净值数据(iFinD公式)'!$B161:$Y161/'实盘净值数据(iFinD公式)'!$B$69:$Y$69)+SUMPRODUCT(分期持仓明细!$AC$26:$AD$26,'实盘净值数据(iFinD公式)'!$Z161:$AA161/'实盘净值数据(iFinD公式)'!$Z$69:$AA$69)+SUMPRODUCT(分期持仓明细!$AE$26:$AO$26,'实盘净值数据(iFinD公式)'!$AB161:$AL161/'实盘净值数据(iFinD公式)'!$AB$69:$AL$69))*(1-实盘持仓配置!$AM$10)^(('实盘净值数据(iFinD公式)'!$A161-'实盘净值数据(iFinD公式)'!$A$69)/365))</f>
        <v/>
      </c>
      <c r="U161" s="16" t="str">
        <f t="shared" si="20"/>
        <v/>
      </c>
      <c r="V161" s="16" t="str">
        <f>IF(T161="","",T161/MAX(T$5:T161)-1)</f>
        <v/>
      </c>
    </row>
    <row r="162" spans="1:22">
      <c r="A162" s="15" t="str">
        <f>IF('实盘净值数据(iFinD公式)'!A162="","",'实盘净值数据(iFinD公式)'!A162)</f>
        <v/>
      </c>
      <c r="B162" s="13" t="str">
        <f>IF(OR('实盘净值数据(iFinD公式)'!$A162="",'实盘净值数据(iFinD公式)'!$B162=""),"",分期持仓明细!$AB$17*SUMPRODUCT(分期持仓明细!$B$17:$Y$17,'实盘净值数据(iFinD公式)'!$B162:$Y162/'实盘净值数据(iFinD公式)'!$B$20:$Y$20)*(1-实盘持仓配置!$AM$4)^(('实盘净值数据(iFinD公式)'!$A162-'实盘净值数据(iFinD公式)'!$A$6)/365))</f>
        <v/>
      </c>
      <c r="C162" s="16" t="str">
        <f t="shared" si="21"/>
        <v/>
      </c>
      <c r="D162" s="16" t="str">
        <f>IF(B162="","",B162/MAX(B$5:B162)-1)</f>
        <v/>
      </c>
      <c r="E162" s="13" t="str">
        <f>IF(OR('实盘净值数据(iFinD公式)'!$A162="",'实盘净值数据(iFinD公式)'!$B162=""),"",分期持仓明细!$AB$18*SUMPRODUCT(分期持仓明细!$B$18:$Y$18,'实盘净值数据(iFinD公式)'!$B162:$Y162/'实盘净值数据(iFinD公式)'!$B$20:$Y$20)*(1-实盘持仓配置!$AM$5)^(('实盘净值数据(iFinD公式)'!$A162-'实盘净值数据(iFinD公式)'!$A$5)/365))</f>
        <v/>
      </c>
      <c r="F162" s="16" t="str">
        <f t="shared" si="22"/>
        <v/>
      </c>
      <c r="G162" s="16" t="str">
        <f>IF(E162="","",E162/MAX(E$5:E162)-1)</f>
        <v/>
      </c>
      <c r="H162" s="13" t="str">
        <f>IF(OR('实盘净值数据(iFinD公式)'!$A162="",'实盘净值数据(iFinD公式)'!$B162=""),"",分期持仓明细!$AB$19*SUMPRODUCT(分期持仓明细!$B$19:$Y$19,'实盘净值数据(iFinD公式)'!$B162:$Y162/'实盘净值数据(iFinD公式)'!$B$20:$Y$20)*(1-实盘持仓配置!$AM$6)^(('实盘净值数据(iFinD公式)'!$A162-'实盘净值数据(iFinD公式)'!$A$7)/365))</f>
        <v/>
      </c>
      <c r="I162" s="16" t="str">
        <f t="shared" si="23"/>
        <v/>
      </c>
      <c r="J162" s="16" t="str">
        <f>IF(H162="","",H162/MAX(H$5:H162)-1)</f>
        <v/>
      </c>
      <c r="K162" s="13" t="str">
        <f>IF(OR('实盘净值数据(iFinD公式)'!$A162="",'实盘净值数据(iFinD公式)'!$B162="",'实盘净值数据(iFinD公式)'!$Z162="",'实盘净值数据(iFinD公式)'!$AA162=""),"",分期持仓明细!$AB$23*(SUMPRODUCT(分期持仓明细!$B$23:$Y$23,'实盘净值数据(iFinD公式)'!$B162:$Y162/'实盘净值数据(iFinD公式)'!$B$65:$Y$65)+SUMPRODUCT(分期持仓明细!$AC$23:$AD$23,'实盘净值数据(iFinD公式)'!$Z162:$AA162/'实盘净值数据(iFinD公式)'!$Z$65:$AA$65))*(1-实盘持仓配置!$AM$7)^(('实盘净值数据(iFinD公式)'!$A162-'实盘净值数据(iFinD公式)'!$A$8)/365))</f>
        <v/>
      </c>
      <c r="L162" s="16" t="str">
        <f t="shared" si="24"/>
        <v/>
      </c>
      <c r="M162" s="16" t="str">
        <f>IF(K162="","",K162/MAX(K$5:K162)-1)</f>
        <v/>
      </c>
      <c r="N162" s="13" t="str">
        <f>IF(OR('实盘净值数据(iFinD公式)'!$A162="",'实盘净值数据(iFinD公式)'!$B162="",'实盘净值数据(iFinD公式)'!$Z162="",'实盘净值数据(iFinD公式)'!$AA162=""),"",分期持仓明细!$AB$24*(SUMPRODUCT(分期持仓明细!$B$24:$Y$24,'实盘净值数据(iFinD公式)'!$B162:$Y162/'实盘净值数据(iFinD公式)'!$B$65:$Y$65)+SUMPRODUCT(分期持仓明细!$AC$24:$AD$24,'实盘净值数据(iFinD公式)'!$Z162:$AA162/'实盘净值数据(iFinD公式)'!$Z$65:$AA$65))*(1-实盘持仓配置!$AM$8)^(('实盘净值数据(iFinD公式)'!$A162-'实盘净值数据(iFinD公式)'!$A$5)/365))</f>
        <v/>
      </c>
      <c r="O162" s="16" t="str">
        <f t="shared" si="25"/>
        <v/>
      </c>
      <c r="P162" s="16" t="str">
        <f>IF(N162="","",N162/MAX(N$5:N162)-1)</f>
        <v/>
      </c>
      <c r="Q162" s="13" t="str">
        <f>IF(OR('实盘净值数据(iFinD公式)'!$A162="",'实盘净值数据(iFinD公式)'!$B162="",'实盘净值数据(iFinD公式)'!$Z162="",'实盘净值数据(iFinD公式)'!$AA162=""),"",分期持仓明细!$AB$25*(SUMPRODUCT(分期持仓明细!$B$25:$Y$25,'实盘净值数据(iFinD公式)'!$B162:$Y162/'实盘净值数据(iFinD公式)'!$B$65:$Y$65)+SUMPRODUCT(分期持仓明细!$AC$25:$AD$25,'实盘净值数据(iFinD公式)'!$Z162:$AA162/'实盘净值数据(iFinD公式)'!$Z$65:$AA$65))*(1-实盘持仓配置!$AM$9)^(('实盘净值数据(iFinD公式)'!$A162-'实盘净值数据(iFinD公式)'!$A$8)/365))</f>
        <v/>
      </c>
      <c r="R162" s="16" t="str">
        <f t="shared" si="26"/>
        <v/>
      </c>
      <c r="S162" s="16" t="str">
        <f>IF(Q162="","",Q162/MAX(Q$5:Q162)-1)</f>
        <v/>
      </c>
      <c r="T162" s="13" t="str">
        <f>IF(OR('实盘净值数据(iFinD公式)'!$A162="",'实盘净值数据(iFinD公式)'!$B162="",'实盘净值数据(iFinD公式)'!$Z162="",'实盘净值数据(iFinD公式)'!$AA162="",'实盘净值数据(iFinD公式)'!$AB162="",'实盘净值数据(iFinD公式)'!$AL162=""),"",(SUMPRODUCT(分期持仓明细!$B$26:$Y$26,'实盘净值数据(iFinD公式)'!$B162:$Y162/'实盘净值数据(iFinD公式)'!$B$69:$Y$69)+SUMPRODUCT(分期持仓明细!$AC$26:$AD$26,'实盘净值数据(iFinD公式)'!$Z162:$AA162/'实盘净值数据(iFinD公式)'!$Z$69:$AA$69)+SUMPRODUCT(分期持仓明细!$AE$26:$AO$26,'实盘净值数据(iFinD公式)'!$AB162:$AL162/'实盘净值数据(iFinD公式)'!$AB$69:$AL$69))*(1-实盘持仓配置!$AM$10)^(('实盘净值数据(iFinD公式)'!$A162-'实盘净值数据(iFinD公式)'!$A$69)/365))</f>
        <v/>
      </c>
      <c r="U162" s="16" t="str">
        <f t="shared" si="20"/>
        <v/>
      </c>
      <c r="V162" s="16" t="str">
        <f>IF(T162="","",T162/MAX(T$5:T162)-1)</f>
        <v/>
      </c>
    </row>
    <row r="163" spans="1:22">
      <c r="A163" s="15" t="str">
        <f>IF('实盘净值数据(iFinD公式)'!A163="","",'实盘净值数据(iFinD公式)'!A163)</f>
        <v/>
      </c>
      <c r="B163" s="13" t="str">
        <f>IF(OR('实盘净值数据(iFinD公式)'!$A163="",'实盘净值数据(iFinD公式)'!$B163=""),"",分期持仓明细!$AB$17*SUMPRODUCT(分期持仓明细!$B$17:$Y$17,'实盘净值数据(iFinD公式)'!$B163:$Y163/'实盘净值数据(iFinD公式)'!$B$20:$Y$20)*(1-实盘持仓配置!$AM$4)^(('实盘净值数据(iFinD公式)'!$A163-'实盘净值数据(iFinD公式)'!$A$6)/365))</f>
        <v/>
      </c>
      <c r="C163" s="16" t="str">
        <f t="shared" si="21"/>
        <v/>
      </c>
      <c r="D163" s="16" t="str">
        <f>IF(B163="","",B163/MAX(B$5:B163)-1)</f>
        <v/>
      </c>
      <c r="E163" s="13" t="str">
        <f>IF(OR('实盘净值数据(iFinD公式)'!$A163="",'实盘净值数据(iFinD公式)'!$B163=""),"",分期持仓明细!$AB$18*SUMPRODUCT(分期持仓明细!$B$18:$Y$18,'实盘净值数据(iFinD公式)'!$B163:$Y163/'实盘净值数据(iFinD公式)'!$B$20:$Y$20)*(1-实盘持仓配置!$AM$5)^(('实盘净值数据(iFinD公式)'!$A163-'实盘净值数据(iFinD公式)'!$A$5)/365))</f>
        <v/>
      </c>
      <c r="F163" s="16" t="str">
        <f t="shared" si="22"/>
        <v/>
      </c>
      <c r="G163" s="16" t="str">
        <f>IF(E163="","",E163/MAX(E$5:E163)-1)</f>
        <v/>
      </c>
      <c r="H163" s="13" t="str">
        <f>IF(OR('实盘净值数据(iFinD公式)'!$A163="",'实盘净值数据(iFinD公式)'!$B163=""),"",分期持仓明细!$AB$19*SUMPRODUCT(分期持仓明细!$B$19:$Y$19,'实盘净值数据(iFinD公式)'!$B163:$Y163/'实盘净值数据(iFinD公式)'!$B$20:$Y$20)*(1-实盘持仓配置!$AM$6)^(('实盘净值数据(iFinD公式)'!$A163-'实盘净值数据(iFinD公式)'!$A$7)/365))</f>
        <v/>
      </c>
      <c r="I163" s="16" t="str">
        <f t="shared" si="23"/>
        <v/>
      </c>
      <c r="J163" s="16" t="str">
        <f>IF(H163="","",H163/MAX(H$5:H163)-1)</f>
        <v/>
      </c>
      <c r="K163" s="13" t="str">
        <f>IF(OR('实盘净值数据(iFinD公式)'!$A163="",'实盘净值数据(iFinD公式)'!$B163="",'实盘净值数据(iFinD公式)'!$Z163="",'实盘净值数据(iFinD公式)'!$AA163=""),"",分期持仓明细!$AB$23*(SUMPRODUCT(分期持仓明细!$B$23:$Y$23,'实盘净值数据(iFinD公式)'!$B163:$Y163/'实盘净值数据(iFinD公式)'!$B$65:$Y$65)+SUMPRODUCT(分期持仓明细!$AC$23:$AD$23,'实盘净值数据(iFinD公式)'!$Z163:$AA163/'实盘净值数据(iFinD公式)'!$Z$65:$AA$65))*(1-实盘持仓配置!$AM$7)^(('实盘净值数据(iFinD公式)'!$A163-'实盘净值数据(iFinD公式)'!$A$8)/365))</f>
        <v/>
      </c>
      <c r="L163" s="16" t="str">
        <f t="shared" si="24"/>
        <v/>
      </c>
      <c r="M163" s="16" t="str">
        <f>IF(K163="","",K163/MAX(K$5:K163)-1)</f>
        <v/>
      </c>
      <c r="N163" s="13" t="str">
        <f>IF(OR('实盘净值数据(iFinD公式)'!$A163="",'实盘净值数据(iFinD公式)'!$B163="",'实盘净值数据(iFinD公式)'!$Z163="",'实盘净值数据(iFinD公式)'!$AA163=""),"",分期持仓明细!$AB$24*(SUMPRODUCT(分期持仓明细!$B$24:$Y$24,'实盘净值数据(iFinD公式)'!$B163:$Y163/'实盘净值数据(iFinD公式)'!$B$65:$Y$65)+SUMPRODUCT(分期持仓明细!$AC$24:$AD$24,'实盘净值数据(iFinD公式)'!$Z163:$AA163/'实盘净值数据(iFinD公式)'!$Z$65:$AA$65))*(1-实盘持仓配置!$AM$8)^(('实盘净值数据(iFinD公式)'!$A163-'实盘净值数据(iFinD公式)'!$A$5)/365))</f>
        <v/>
      </c>
      <c r="O163" s="16" t="str">
        <f t="shared" si="25"/>
        <v/>
      </c>
      <c r="P163" s="16" t="str">
        <f>IF(N163="","",N163/MAX(N$5:N163)-1)</f>
        <v/>
      </c>
      <c r="Q163" s="13" t="str">
        <f>IF(OR('实盘净值数据(iFinD公式)'!$A163="",'实盘净值数据(iFinD公式)'!$B163="",'实盘净值数据(iFinD公式)'!$Z163="",'实盘净值数据(iFinD公式)'!$AA163=""),"",分期持仓明细!$AB$25*(SUMPRODUCT(分期持仓明细!$B$25:$Y$25,'实盘净值数据(iFinD公式)'!$B163:$Y163/'实盘净值数据(iFinD公式)'!$B$65:$Y$65)+SUMPRODUCT(分期持仓明细!$AC$25:$AD$25,'实盘净值数据(iFinD公式)'!$Z163:$AA163/'实盘净值数据(iFinD公式)'!$Z$65:$AA$65))*(1-实盘持仓配置!$AM$9)^(('实盘净值数据(iFinD公式)'!$A163-'实盘净值数据(iFinD公式)'!$A$8)/365))</f>
        <v/>
      </c>
      <c r="R163" s="16" t="str">
        <f t="shared" si="26"/>
        <v/>
      </c>
      <c r="S163" s="16" t="str">
        <f>IF(Q163="","",Q163/MAX(Q$5:Q163)-1)</f>
        <v/>
      </c>
      <c r="T163" s="13" t="str">
        <f>IF(OR('实盘净值数据(iFinD公式)'!$A163="",'实盘净值数据(iFinD公式)'!$B163="",'实盘净值数据(iFinD公式)'!$Z163="",'实盘净值数据(iFinD公式)'!$AA163="",'实盘净值数据(iFinD公式)'!$AB163="",'实盘净值数据(iFinD公式)'!$AL163=""),"",(SUMPRODUCT(分期持仓明细!$B$26:$Y$26,'实盘净值数据(iFinD公式)'!$B163:$Y163/'实盘净值数据(iFinD公式)'!$B$69:$Y$69)+SUMPRODUCT(分期持仓明细!$AC$26:$AD$26,'实盘净值数据(iFinD公式)'!$Z163:$AA163/'实盘净值数据(iFinD公式)'!$Z$69:$AA$69)+SUMPRODUCT(分期持仓明细!$AE$26:$AO$26,'实盘净值数据(iFinD公式)'!$AB163:$AL163/'实盘净值数据(iFinD公式)'!$AB$69:$AL$69))*(1-实盘持仓配置!$AM$10)^(('实盘净值数据(iFinD公式)'!$A163-'实盘净值数据(iFinD公式)'!$A$69)/365))</f>
        <v/>
      </c>
      <c r="U163" s="16" t="str">
        <f t="shared" si="20"/>
        <v/>
      </c>
      <c r="V163" s="16" t="str">
        <f>IF(T163="","",T163/MAX(T$5:T163)-1)</f>
        <v/>
      </c>
    </row>
    <row r="164" spans="1:22">
      <c r="A164" s="15" t="str">
        <f>IF('实盘净值数据(iFinD公式)'!A164="","",'实盘净值数据(iFinD公式)'!A164)</f>
        <v/>
      </c>
      <c r="B164" s="13" t="str">
        <f>IF(OR('实盘净值数据(iFinD公式)'!$A164="",'实盘净值数据(iFinD公式)'!$B164=""),"",分期持仓明细!$AB$17*SUMPRODUCT(分期持仓明细!$B$17:$Y$17,'实盘净值数据(iFinD公式)'!$B164:$Y164/'实盘净值数据(iFinD公式)'!$B$20:$Y$20)*(1-实盘持仓配置!$AM$4)^(('实盘净值数据(iFinD公式)'!$A164-'实盘净值数据(iFinD公式)'!$A$6)/365))</f>
        <v/>
      </c>
      <c r="C164" s="16" t="str">
        <f t="shared" si="21"/>
        <v/>
      </c>
      <c r="D164" s="16" t="str">
        <f>IF(B164="","",B164/MAX(B$5:B164)-1)</f>
        <v/>
      </c>
      <c r="E164" s="13" t="str">
        <f>IF(OR('实盘净值数据(iFinD公式)'!$A164="",'实盘净值数据(iFinD公式)'!$B164=""),"",分期持仓明细!$AB$18*SUMPRODUCT(分期持仓明细!$B$18:$Y$18,'实盘净值数据(iFinD公式)'!$B164:$Y164/'实盘净值数据(iFinD公式)'!$B$20:$Y$20)*(1-实盘持仓配置!$AM$5)^(('实盘净值数据(iFinD公式)'!$A164-'实盘净值数据(iFinD公式)'!$A$5)/365))</f>
        <v/>
      </c>
      <c r="F164" s="16" t="str">
        <f t="shared" si="22"/>
        <v/>
      </c>
      <c r="G164" s="16" t="str">
        <f>IF(E164="","",E164/MAX(E$5:E164)-1)</f>
        <v/>
      </c>
      <c r="H164" s="13" t="str">
        <f>IF(OR('实盘净值数据(iFinD公式)'!$A164="",'实盘净值数据(iFinD公式)'!$B164=""),"",分期持仓明细!$AB$19*SUMPRODUCT(分期持仓明细!$B$19:$Y$19,'实盘净值数据(iFinD公式)'!$B164:$Y164/'实盘净值数据(iFinD公式)'!$B$20:$Y$20)*(1-实盘持仓配置!$AM$6)^(('实盘净值数据(iFinD公式)'!$A164-'实盘净值数据(iFinD公式)'!$A$7)/365))</f>
        <v/>
      </c>
      <c r="I164" s="16" t="str">
        <f t="shared" si="23"/>
        <v/>
      </c>
      <c r="J164" s="16" t="str">
        <f>IF(H164="","",H164/MAX(H$5:H164)-1)</f>
        <v/>
      </c>
      <c r="K164" s="13" t="str">
        <f>IF(OR('实盘净值数据(iFinD公式)'!$A164="",'实盘净值数据(iFinD公式)'!$B164="",'实盘净值数据(iFinD公式)'!$Z164="",'实盘净值数据(iFinD公式)'!$AA164=""),"",分期持仓明细!$AB$23*(SUMPRODUCT(分期持仓明细!$B$23:$Y$23,'实盘净值数据(iFinD公式)'!$B164:$Y164/'实盘净值数据(iFinD公式)'!$B$65:$Y$65)+SUMPRODUCT(分期持仓明细!$AC$23:$AD$23,'实盘净值数据(iFinD公式)'!$Z164:$AA164/'实盘净值数据(iFinD公式)'!$Z$65:$AA$65))*(1-实盘持仓配置!$AM$7)^(('实盘净值数据(iFinD公式)'!$A164-'实盘净值数据(iFinD公式)'!$A$8)/365))</f>
        <v/>
      </c>
      <c r="L164" s="16" t="str">
        <f t="shared" si="24"/>
        <v/>
      </c>
      <c r="M164" s="16" t="str">
        <f>IF(K164="","",K164/MAX(K$5:K164)-1)</f>
        <v/>
      </c>
      <c r="N164" s="13" t="str">
        <f>IF(OR('实盘净值数据(iFinD公式)'!$A164="",'实盘净值数据(iFinD公式)'!$B164="",'实盘净值数据(iFinD公式)'!$Z164="",'实盘净值数据(iFinD公式)'!$AA164=""),"",分期持仓明细!$AB$24*(SUMPRODUCT(分期持仓明细!$B$24:$Y$24,'实盘净值数据(iFinD公式)'!$B164:$Y164/'实盘净值数据(iFinD公式)'!$B$65:$Y$65)+SUMPRODUCT(分期持仓明细!$AC$24:$AD$24,'实盘净值数据(iFinD公式)'!$Z164:$AA164/'实盘净值数据(iFinD公式)'!$Z$65:$AA$65))*(1-实盘持仓配置!$AM$8)^(('实盘净值数据(iFinD公式)'!$A164-'实盘净值数据(iFinD公式)'!$A$5)/365))</f>
        <v/>
      </c>
      <c r="O164" s="16" t="str">
        <f t="shared" si="25"/>
        <v/>
      </c>
      <c r="P164" s="16" t="str">
        <f>IF(N164="","",N164/MAX(N$5:N164)-1)</f>
        <v/>
      </c>
      <c r="Q164" s="13" t="str">
        <f>IF(OR('实盘净值数据(iFinD公式)'!$A164="",'实盘净值数据(iFinD公式)'!$B164="",'实盘净值数据(iFinD公式)'!$Z164="",'实盘净值数据(iFinD公式)'!$AA164=""),"",分期持仓明细!$AB$25*(SUMPRODUCT(分期持仓明细!$B$25:$Y$25,'实盘净值数据(iFinD公式)'!$B164:$Y164/'实盘净值数据(iFinD公式)'!$B$65:$Y$65)+SUMPRODUCT(分期持仓明细!$AC$25:$AD$25,'实盘净值数据(iFinD公式)'!$Z164:$AA164/'实盘净值数据(iFinD公式)'!$Z$65:$AA$65))*(1-实盘持仓配置!$AM$9)^(('实盘净值数据(iFinD公式)'!$A164-'实盘净值数据(iFinD公式)'!$A$8)/365))</f>
        <v/>
      </c>
      <c r="R164" s="16" t="str">
        <f t="shared" si="26"/>
        <v/>
      </c>
      <c r="S164" s="16" t="str">
        <f>IF(Q164="","",Q164/MAX(Q$5:Q164)-1)</f>
        <v/>
      </c>
      <c r="T164" s="13" t="str">
        <f>IF(OR('实盘净值数据(iFinD公式)'!$A164="",'实盘净值数据(iFinD公式)'!$B164="",'实盘净值数据(iFinD公式)'!$Z164="",'实盘净值数据(iFinD公式)'!$AA164="",'实盘净值数据(iFinD公式)'!$AB164="",'实盘净值数据(iFinD公式)'!$AL164=""),"",(SUMPRODUCT(分期持仓明细!$B$26:$Y$26,'实盘净值数据(iFinD公式)'!$B164:$Y164/'实盘净值数据(iFinD公式)'!$B$69:$Y$69)+SUMPRODUCT(分期持仓明细!$AC$26:$AD$26,'实盘净值数据(iFinD公式)'!$Z164:$AA164/'实盘净值数据(iFinD公式)'!$Z$69:$AA$69)+SUMPRODUCT(分期持仓明细!$AE$26:$AO$26,'实盘净值数据(iFinD公式)'!$AB164:$AL164/'实盘净值数据(iFinD公式)'!$AB$69:$AL$69))*(1-实盘持仓配置!$AM$10)^(('实盘净值数据(iFinD公式)'!$A164-'实盘净值数据(iFinD公式)'!$A$69)/365))</f>
        <v/>
      </c>
      <c r="U164" s="16" t="str">
        <f t="shared" si="20"/>
        <v/>
      </c>
      <c r="V164" s="16" t="str">
        <f>IF(T164="","",T164/MAX(T$5:T164)-1)</f>
        <v/>
      </c>
    </row>
    <row r="165" spans="1:22">
      <c r="A165" s="15" t="str">
        <f>IF('实盘净值数据(iFinD公式)'!A165="","",'实盘净值数据(iFinD公式)'!A165)</f>
        <v/>
      </c>
      <c r="B165" s="13" t="str">
        <f>IF(OR('实盘净值数据(iFinD公式)'!$A165="",'实盘净值数据(iFinD公式)'!$B165=""),"",分期持仓明细!$AB$17*SUMPRODUCT(分期持仓明细!$B$17:$Y$17,'实盘净值数据(iFinD公式)'!$B165:$Y165/'实盘净值数据(iFinD公式)'!$B$20:$Y$20)*(1-实盘持仓配置!$AM$4)^(('实盘净值数据(iFinD公式)'!$A165-'实盘净值数据(iFinD公式)'!$A$6)/365))</f>
        <v/>
      </c>
      <c r="C165" s="16" t="str">
        <f t="shared" si="21"/>
        <v/>
      </c>
      <c r="D165" s="16" t="str">
        <f>IF(B165="","",B165/MAX(B$5:B165)-1)</f>
        <v/>
      </c>
      <c r="E165" s="13" t="str">
        <f>IF(OR('实盘净值数据(iFinD公式)'!$A165="",'实盘净值数据(iFinD公式)'!$B165=""),"",分期持仓明细!$AB$18*SUMPRODUCT(分期持仓明细!$B$18:$Y$18,'实盘净值数据(iFinD公式)'!$B165:$Y165/'实盘净值数据(iFinD公式)'!$B$20:$Y$20)*(1-实盘持仓配置!$AM$5)^(('实盘净值数据(iFinD公式)'!$A165-'实盘净值数据(iFinD公式)'!$A$5)/365))</f>
        <v/>
      </c>
      <c r="F165" s="16" t="str">
        <f t="shared" si="22"/>
        <v/>
      </c>
      <c r="G165" s="16" t="str">
        <f>IF(E165="","",E165/MAX(E$5:E165)-1)</f>
        <v/>
      </c>
      <c r="H165" s="13" t="str">
        <f>IF(OR('实盘净值数据(iFinD公式)'!$A165="",'实盘净值数据(iFinD公式)'!$B165=""),"",分期持仓明细!$AB$19*SUMPRODUCT(分期持仓明细!$B$19:$Y$19,'实盘净值数据(iFinD公式)'!$B165:$Y165/'实盘净值数据(iFinD公式)'!$B$20:$Y$20)*(1-实盘持仓配置!$AM$6)^(('实盘净值数据(iFinD公式)'!$A165-'实盘净值数据(iFinD公式)'!$A$7)/365))</f>
        <v/>
      </c>
      <c r="I165" s="16" t="str">
        <f t="shared" si="23"/>
        <v/>
      </c>
      <c r="J165" s="16" t="str">
        <f>IF(H165="","",H165/MAX(H$5:H165)-1)</f>
        <v/>
      </c>
      <c r="K165" s="13" t="str">
        <f>IF(OR('实盘净值数据(iFinD公式)'!$A165="",'实盘净值数据(iFinD公式)'!$B165="",'实盘净值数据(iFinD公式)'!$Z165="",'实盘净值数据(iFinD公式)'!$AA165=""),"",分期持仓明细!$AB$23*(SUMPRODUCT(分期持仓明细!$B$23:$Y$23,'实盘净值数据(iFinD公式)'!$B165:$Y165/'实盘净值数据(iFinD公式)'!$B$65:$Y$65)+SUMPRODUCT(分期持仓明细!$AC$23:$AD$23,'实盘净值数据(iFinD公式)'!$Z165:$AA165/'实盘净值数据(iFinD公式)'!$Z$65:$AA$65))*(1-实盘持仓配置!$AM$7)^(('实盘净值数据(iFinD公式)'!$A165-'实盘净值数据(iFinD公式)'!$A$8)/365))</f>
        <v/>
      </c>
      <c r="L165" s="16" t="str">
        <f t="shared" si="24"/>
        <v/>
      </c>
      <c r="M165" s="16" t="str">
        <f>IF(K165="","",K165/MAX(K$5:K165)-1)</f>
        <v/>
      </c>
      <c r="N165" s="13" t="str">
        <f>IF(OR('实盘净值数据(iFinD公式)'!$A165="",'实盘净值数据(iFinD公式)'!$B165="",'实盘净值数据(iFinD公式)'!$Z165="",'实盘净值数据(iFinD公式)'!$AA165=""),"",分期持仓明细!$AB$24*(SUMPRODUCT(分期持仓明细!$B$24:$Y$24,'实盘净值数据(iFinD公式)'!$B165:$Y165/'实盘净值数据(iFinD公式)'!$B$65:$Y$65)+SUMPRODUCT(分期持仓明细!$AC$24:$AD$24,'实盘净值数据(iFinD公式)'!$Z165:$AA165/'实盘净值数据(iFinD公式)'!$Z$65:$AA$65))*(1-实盘持仓配置!$AM$8)^(('实盘净值数据(iFinD公式)'!$A165-'实盘净值数据(iFinD公式)'!$A$5)/365))</f>
        <v/>
      </c>
      <c r="O165" s="16" t="str">
        <f t="shared" si="25"/>
        <v/>
      </c>
      <c r="P165" s="16" t="str">
        <f>IF(N165="","",N165/MAX(N$5:N165)-1)</f>
        <v/>
      </c>
      <c r="Q165" s="13" t="str">
        <f>IF(OR('实盘净值数据(iFinD公式)'!$A165="",'实盘净值数据(iFinD公式)'!$B165="",'实盘净值数据(iFinD公式)'!$Z165="",'实盘净值数据(iFinD公式)'!$AA165=""),"",分期持仓明细!$AB$25*(SUMPRODUCT(分期持仓明细!$B$25:$Y$25,'实盘净值数据(iFinD公式)'!$B165:$Y165/'实盘净值数据(iFinD公式)'!$B$65:$Y$65)+SUMPRODUCT(分期持仓明细!$AC$25:$AD$25,'实盘净值数据(iFinD公式)'!$Z165:$AA165/'实盘净值数据(iFinD公式)'!$Z$65:$AA$65))*(1-实盘持仓配置!$AM$9)^(('实盘净值数据(iFinD公式)'!$A165-'实盘净值数据(iFinD公式)'!$A$8)/365))</f>
        <v/>
      </c>
      <c r="R165" s="16" t="str">
        <f t="shared" si="26"/>
        <v/>
      </c>
      <c r="S165" s="16" t="str">
        <f>IF(Q165="","",Q165/MAX(Q$5:Q165)-1)</f>
        <v/>
      </c>
      <c r="T165" s="13" t="str">
        <f>IF(OR('实盘净值数据(iFinD公式)'!$A165="",'实盘净值数据(iFinD公式)'!$B165="",'实盘净值数据(iFinD公式)'!$Z165="",'实盘净值数据(iFinD公式)'!$AA165="",'实盘净值数据(iFinD公式)'!$AB165="",'实盘净值数据(iFinD公式)'!$AL165=""),"",(SUMPRODUCT(分期持仓明细!$B$26:$Y$26,'实盘净值数据(iFinD公式)'!$B165:$Y165/'实盘净值数据(iFinD公式)'!$B$69:$Y$69)+SUMPRODUCT(分期持仓明细!$AC$26:$AD$26,'实盘净值数据(iFinD公式)'!$Z165:$AA165/'实盘净值数据(iFinD公式)'!$Z$69:$AA$69)+SUMPRODUCT(分期持仓明细!$AE$26:$AO$26,'实盘净值数据(iFinD公式)'!$AB165:$AL165/'实盘净值数据(iFinD公式)'!$AB$69:$AL$69))*(1-实盘持仓配置!$AM$10)^(('实盘净值数据(iFinD公式)'!$A165-'实盘净值数据(iFinD公式)'!$A$69)/365))</f>
        <v/>
      </c>
      <c r="U165" s="16" t="str">
        <f t="shared" ref="U165:U196" si="27">IF(OR(T164="",T165=""),"",T165/T164-1)</f>
        <v/>
      </c>
      <c r="V165" s="16" t="str">
        <f>IF(T165="","",T165/MAX(T$5:T165)-1)</f>
        <v/>
      </c>
    </row>
    <row r="166" spans="1:22">
      <c r="A166" s="15" t="str">
        <f>IF('实盘净值数据(iFinD公式)'!A166="","",'实盘净值数据(iFinD公式)'!A166)</f>
        <v/>
      </c>
      <c r="B166" s="13" t="str">
        <f>IF(OR('实盘净值数据(iFinD公式)'!$A166="",'实盘净值数据(iFinD公式)'!$B166=""),"",分期持仓明细!$AB$17*SUMPRODUCT(分期持仓明细!$B$17:$Y$17,'实盘净值数据(iFinD公式)'!$B166:$Y166/'实盘净值数据(iFinD公式)'!$B$20:$Y$20)*(1-实盘持仓配置!$AM$4)^(('实盘净值数据(iFinD公式)'!$A166-'实盘净值数据(iFinD公式)'!$A$6)/365))</f>
        <v/>
      </c>
      <c r="C166" s="16" t="str">
        <f t="shared" si="21"/>
        <v/>
      </c>
      <c r="D166" s="16" t="str">
        <f>IF(B166="","",B166/MAX(B$5:B166)-1)</f>
        <v/>
      </c>
      <c r="E166" s="13" t="str">
        <f>IF(OR('实盘净值数据(iFinD公式)'!$A166="",'实盘净值数据(iFinD公式)'!$B166=""),"",分期持仓明细!$AB$18*SUMPRODUCT(分期持仓明细!$B$18:$Y$18,'实盘净值数据(iFinD公式)'!$B166:$Y166/'实盘净值数据(iFinD公式)'!$B$20:$Y$20)*(1-实盘持仓配置!$AM$5)^(('实盘净值数据(iFinD公式)'!$A166-'实盘净值数据(iFinD公式)'!$A$5)/365))</f>
        <v/>
      </c>
      <c r="F166" s="16" t="str">
        <f t="shared" si="22"/>
        <v/>
      </c>
      <c r="G166" s="16" t="str">
        <f>IF(E166="","",E166/MAX(E$5:E166)-1)</f>
        <v/>
      </c>
      <c r="H166" s="13" t="str">
        <f>IF(OR('实盘净值数据(iFinD公式)'!$A166="",'实盘净值数据(iFinD公式)'!$B166=""),"",分期持仓明细!$AB$19*SUMPRODUCT(分期持仓明细!$B$19:$Y$19,'实盘净值数据(iFinD公式)'!$B166:$Y166/'实盘净值数据(iFinD公式)'!$B$20:$Y$20)*(1-实盘持仓配置!$AM$6)^(('实盘净值数据(iFinD公式)'!$A166-'实盘净值数据(iFinD公式)'!$A$7)/365))</f>
        <v/>
      </c>
      <c r="I166" s="16" t="str">
        <f t="shared" si="23"/>
        <v/>
      </c>
      <c r="J166" s="16" t="str">
        <f>IF(H166="","",H166/MAX(H$5:H166)-1)</f>
        <v/>
      </c>
      <c r="K166" s="13" t="str">
        <f>IF(OR('实盘净值数据(iFinD公式)'!$A166="",'实盘净值数据(iFinD公式)'!$B166="",'实盘净值数据(iFinD公式)'!$Z166="",'实盘净值数据(iFinD公式)'!$AA166=""),"",分期持仓明细!$AB$23*(SUMPRODUCT(分期持仓明细!$B$23:$Y$23,'实盘净值数据(iFinD公式)'!$B166:$Y166/'实盘净值数据(iFinD公式)'!$B$65:$Y$65)+SUMPRODUCT(分期持仓明细!$AC$23:$AD$23,'实盘净值数据(iFinD公式)'!$Z166:$AA166/'实盘净值数据(iFinD公式)'!$Z$65:$AA$65))*(1-实盘持仓配置!$AM$7)^(('实盘净值数据(iFinD公式)'!$A166-'实盘净值数据(iFinD公式)'!$A$8)/365))</f>
        <v/>
      </c>
      <c r="L166" s="16" t="str">
        <f t="shared" si="24"/>
        <v/>
      </c>
      <c r="M166" s="16" t="str">
        <f>IF(K166="","",K166/MAX(K$5:K166)-1)</f>
        <v/>
      </c>
      <c r="N166" s="13" t="str">
        <f>IF(OR('实盘净值数据(iFinD公式)'!$A166="",'实盘净值数据(iFinD公式)'!$B166="",'实盘净值数据(iFinD公式)'!$Z166="",'实盘净值数据(iFinD公式)'!$AA166=""),"",分期持仓明细!$AB$24*(SUMPRODUCT(分期持仓明细!$B$24:$Y$24,'实盘净值数据(iFinD公式)'!$B166:$Y166/'实盘净值数据(iFinD公式)'!$B$65:$Y$65)+SUMPRODUCT(分期持仓明细!$AC$24:$AD$24,'实盘净值数据(iFinD公式)'!$Z166:$AA166/'实盘净值数据(iFinD公式)'!$Z$65:$AA$65))*(1-实盘持仓配置!$AM$8)^(('实盘净值数据(iFinD公式)'!$A166-'实盘净值数据(iFinD公式)'!$A$5)/365))</f>
        <v/>
      </c>
      <c r="O166" s="16" t="str">
        <f t="shared" si="25"/>
        <v/>
      </c>
      <c r="P166" s="16" t="str">
        <f>IF(N166="","",N166/MAX(N$5:N166)-1)</f>
        <v/>
      </c>
      <c r="Q166" s="13" t="str">
        <f>IF(OR('实盘净值数据(iFinD公式)'!$A166="",'实盘净值数据(iFinD公式)'!$B166="",'实盘净值数据(iFinD公式)'!$Z166="",'实盘净值数据(iFinD公式)'!$AA166=""),"",分期持仓明细!$AB$25*(SUMPRODUCT(分期持仓明细!$B$25:$Y$25,'实盘净值数据(iFinD公式)'!$B166:$Y166/'实盘净值数据(iFinD公式)'!$B$65:$Y$65)+SUMPRODUCT(分期持仓明细!$AC$25:$AD$25,'实盘净值数据(iFinD公式)'!$Z166:$AA166/'实盘净值数据(iFinD公式)'!$Z$65:$AA$65))*(1-实盘持仓配置!$AM$9)^(('实盘净值数据(iFinD公式)'!$A166-'实盘净值数据(iFinD公式)'!$A$8)/365))</f>
        <v/>
      </c>
      <c r="R166" s="16" t="str">
        <f t="shared" si="26"/>
        <v/>
      </c>
      <c r="S166" s="16" t="str">
        <f>IF(Q166="","",Q166/MAX(Q$5:Q166)-1)</f>
        <v/>
      </c>
      <c r="T166" s="13" t="str">
        <f>IF(OR('实盘净值数据(iFinD公式)'!$A166="",'实盘净值数据(iFinD公式)'!$B166="",'实盘净值数据(iFinD公式)'!$Z166="",'实盘净值数据(iFinD公式)'!$AA166="",'实盘净值数据(iFinD公式)'!$AB166="",'实盘净值数据(iFinD公式)'!$AL166=""),"",(SUMPRODUCT(分期持仓明细!$B$26:$Y$26,'实盘净值数据(iFinD公式)'!$B166:$Y166/'实盘净值数据(iFinD公式)'!$B$69:$Y$69)+SUMPRODUCT(分期持仓明细!$AC$26:$AD$26,'实盘净值数据(iFinD公式)'!$Z166:$AA166/'实盘净值数据(iFinD公式)'!$Z$69:$AA$69)+SUMPRODUCT(分期持仓明细!$AE$26:$AO$26,'实盘净值数据(iFinD公式)'!$AB166:$AL166/'实盘净值数据(iFinD公式)'!$AB$69:$AL$69))*(1-实盘持仓配置!$AM$10)^(('实盘净值数据(iFinD公式)'!$A166-'实盘净值数据(iFinD公式)'!$A$69)/365))</f>
        <v/>
      </c>
      <c r="U166" s="16" t="str">
        <f t="shared" si="27"/>
        <v/>
      </c>
      <c r="V166" s="16" t="str">
        <f>IF(T166="","",T166/MAX(T$5:T166)-1)</f>
        <v/>
      </c>
    </row>
    <row r="167" spans="1:22">
      <c r="A167" s="15" t="str">
        <f>IF('实盘净值数据(iFinD公式)'!A167="","",'实盘净值数据(iFinD公式)'!A167)</f>
        <v/>
      </c>
      <c r="B167" s="13" t="str">
        <f>IF(OR('实盘净值数据(iFinD公式)'!$A167="",'实盘净值数据(iFinD公式)'!$B167=""),"",分期持仓明细!$AB$17*SUMPRODUCT(分期持仓明细!$B$17:$Y$17,'实盘净值数据(iFinD公式)'!$B167:$Y167/'实盘净值数据(iFinD公式)'!$B$20:$Y$20)*(1-实盘持仓配置!$AM$4)^(('实盘净值数据(iFinD公式)'!$A167-'实盘净值数据(iFinD公式)'!$A$6)/365))</f>
        <v/>
      </c>
      <c r="C167" s="16" t="str">
        <f t="shared" si="21"/>
        <v/>
      </c>
      <c r="D167" s="16" t="str">
        <f>IF(B167="","",B167/MAX(B$5:B167)-1)</f>
        <v/>
      </c>
      <c r="E167" s="13" t="str">
        <f>IF(OR('实盘净值数据(iFinD公式)'!$A167="",'实盘净值数据(iFinD公式)'!$B167=""),"",分期持仓明细!$AB$18*SUMPRODUCT(分期持仓明细!$B$18:$Y$18,'实盘净值数据(iFinD公式)'!$B167:$Y167/'实盘净值数据(iFinD公式)'!$B$20:$Y$20)*(1-实盘持仓配置!$AM$5)^(('实盘净值数据(iFinD公式)'!$A167-'实盘净值数据(iFinD公式)'!$A$5)/365))</f>
        <v/>
      </c>
      <c r="F167" s="16" t="str">
        <f t="shared" si="22"/>
        <v/>
      </c>
      <c r="G167" s="16" t="str">
        <f>IF(E167="","",E167/MAX(E$5:E167)-1)</f>
        <v/>
      </c>
      <c r="H167" s="13" t="str">
        <f>IF(OR('实盘净值数据(iFinD公式)'!$A167="",'实盘净值数据(iFinD公式)'!$B167=""),"",分期持仓明细!$AB$19*SUMPRODUCT(分期持仓明细!$B$19:$Y$19,'实盘净值数据(iFinD公式)'!$B167:$Y167/'实盘净值数据(iFinD公式)'!$B$20:$Y$20)*(1-实盘持仓配置!$AM$6)^(('实盘净值数据(iFinD公式)'!$A167-'实盘净值数据(iFinD公式)'!$A$7)/365))</f>
        <v/>
      </c>
      <c r="I167" s="16" t="str">
        <f t="shared" si="23"/>
        <v/>
      </c>
      <c r="J167" s="16" t="str">
        <f>IF(H167="","",H167/MAX(H$5:H167)-1)</f>
        <v/>
      </c>
      <c r="K167" s="13" t="str">
        <f>IF(OR('实盘净值数据(iFinD公式)'!$A167="",'实盘净值数据(iFinD公式)'!$B167="",'实盘净值数据(iFinD公式)'!$Z167="",'实盘净值数据(iFinD公式)'!$AA167=""),"",分期持仓明细!$AB$23*(SUMPRODUCT(分期持仓明细!$B$23:$Y$23,'实盘净值数据(iFinD公式)'!$B167:$Y167/'实盘净值数据(iFinD公式)'!$B$65:$Y$65)+SUMPRODUCT(分期持仓明细!$AC$23:$AD$23,'实盘净值数据(iFinD公式)'!$Z167:$AA167/'实盘净值数据(iFinD公式)'!$Z$65:$AA$65))*(1-实盘持仓配置!$AM$7)^(('实盘净值数据(iFinD公式)'!$A167-'实盘净值数据(iFinD公式)'!$A$8)/365))</f>
        <v/>
      </c>
      <c r="L167" s="16" t="str">
        <f t="shared" si="24"/>
        <v/>
      </c>
      <c r="M167" s="16" t="str">
        <f>IF(K167="","",K167/MAX(K$5:K167)-1)</f>
        <v/>
      </c>
      <c r="N167" s="13" t="str">
        <f>IF(OR('实盘净值数据(iFinD公式)'!$A167="",'实盘净值数据(iFinD公式)'!$B167="",'实盘净值数据(iFinD公式)'!$Z167="",'实盘净值数据(iFinD公式)'!$AA167=""),"",分期持仓明细!$AB$24*(SUMPRODUCT(分期持仓明细!$B$24:$Y$24,'实盘净值数据(iFinD公式)'!$B167:$Y167/'实盘净值数据(iFinD公式)'!$B$65:$Y$65)+SUMPRODUCT(分期持仓明细!$AC$24:$AD$24,'实盘净值数据(iFinD公式)'!$Z167:$AA167/'实盘净值数据(iFinD公式)'!$Z$65:$AA$65))*(1-实盘持仓配置!$AM$8)^(('实盘净值数据(iFinD公式)'!$A167-'实盘净值数据(iFinD公式)'!$A$5)/365))</f>
        <v/>
      </c>
      <c r="O167" s="16" t="str">
        <f t="shared" si="25"/>
        <v/>
      </c>
      <c r="P167" s="16" t="str">
        <f>IF(N167="","",N167/MAX(N$5:N167)-1)</f>
        <v/>
      </c>
      <c r="Q167" s="13" t="str">
        <f>IF(OR('实盘净值数据(iFinD公式)'!$A167="",'实盘净值数据(iFinD公式)'!$B167="",'实盘净值数据(iFinD公式)'!$Z167="",'实盘净值数据(iFinD公式)'!$AA167=""),"",分期持仓明细!$AB$25*(SUMPRODUCT(分期持仓明细!$B$25:$Y$25,'实盘净值数据(iFinD公式)'!$B167:$Y167/'实盘净值数据(iFinD公式)'!$B$65:$Y$65)+SUMPRODUCT(分期持仓明细!$AC$25:$AD$25,'实盘净值数据(iFinD公式)'!$Z167:$AA167/'实盘净值数据(iFinD公式)'!$Z$65:$AA$65))*(1-实盘持仓配置!$AM$9)^(('实盘净值数据(iFinD公式)'!$A167-'实盘净值数据(iFinD公式)'!$A$8)/365))</f>
        <v/>
      </c>
      <c r="R167" s="16" t="str">
        <f t="shared" si="26"/>
        <v/>
      </c>
      <c r="S167" s="16" t="str">
        <f>IF(Q167="","",Q167/MAX(Q$5:Q167)-1)</f>
        <v/>
      </c>
      <c r="T167" s="13" t="str">
        <f>IF(OR('实盘净值数据(iFinD公式)'!$A167="",'实盘净值数据(iFinD公式)'!$B167="",'实盘净值数据(iFinD公式)'!$Z167="",'实盘净值数据(iFinD公式)'!$AA167="",'实盘净值数据(iFinD公式)'!$AB167="",'实盘净值数据(iFinD公式)'!$AL167=""),"",(SUMPRODUCT(分期持仓明细!$B$26:$Y$26,'实盘净值数据(iFinD公式)'!$B167:$Y167/'实盘净值数据(iFinD公式)'!$B$69:$Y$69)+SUMPRODUCT(分期持仓明细!$AC$26:$AD$26,'实盘净值数据(iFinD公式)'!$Z167:$AA167/'实盘净值数据(iFinD公式)'!$Z$69:$AA$69)+SUMPRODUCT(分期持仓明细!$AE$26:$AO$26,'实盘净值数据(iFinD公式)'!$AB167:$AL167/'实盘净值数据(iFinD公式)'!$AB$69:$AL$69))*(1-实盘持仓配置!$AM$10)^(('实盘净值数据(iFinD公式)'!$A167-'实盘净值数据(iFinD公式)'!$A$69)/365))</f>
        <v/>
      </c>
      <c r="U167" s="16" t="str">
        <f t="shared" si="27"/>
        <v/>
      </c>
      <c r="V167" s="16" t="str">
        <f>IF(T167="","",T167/MAX(T$5:T167)-1)</f>
        <v/>
      </c>
    </row>
    <row r="168" spans="1:22">
      <c r="A168" s="15" t="str">
        <f>IF('实盘净值数据(iFinD公式)'!A168="","",'实盘净值数据(iFinD公式)'!A168)</f>
        <v/>
      </c>
      <c r="B168" s="13" t="str">
        <f>IF(OR('实盘净值数据(iFinD公式)'!$A168="",'实盘净值数据(iFinD公式)'!$B168=""),"",分期持仓明细!$AB$17*SUMPRODUCT(分期持仓明细!$B$17:$Y$17,'实盘净值数据(iFinD公式)'!$B168:$Y168/'实盘净值数据(iFinD公式)'!$B$20:$Y$20)*(1-实盘持仓配置!$AM$4)^(('实盘净值数据(iFinD公式)'!$A168-'实盘净值数据(iFinD公式)'!$A$6)/365))</f>
        <v/>
      </c>
      <c r="C168" s="16" t="str">
        <f t="shared" si="21"/>
        <v/>
      </c>
      <c r="D168" s="16" t="str">
        <f>IF(B168="","",B168/MAX(B$5:B168)-1)</f>
        <v/>
      </c>
      <c r="E168" s="13" t="str">
        <f>IF(OR('实盘净值数据(iFinD公式)'!$A168="",'实盘净值数据(iFinD公式)'!$B168=""),"",分期持仓明细!$AB$18*SUMPRODUCT(分期持仓明细!$B$18:$Y$18,'实盘净值数据(iFinD公式)'!$B168:$Y168/'实盘净值数据(iFinD公式)'!$B$20:$Y$20)*(1-实盘持仓配置!$AM$5)^(('实盘净值数据(iFinD公式)'!$A168-'实盘净值数据(iFinD公式)'!$A$5)/365))</f>
        <v/>
      </c>
      <c r="F168" s="16" t="str">
        <f t="shared" si="22"/>
        <v/>
      </c>
      <c r="G168" s="16" t="str">
        <f>IF(E168="","",E168/MAX(E$5:E168)-1)</f>
        <v/>
      </c>
      <c r="H168" s="13" t="str">
        <f>IF(OR('实盘净值数据(iFinD公式)'!$A168="",'实盘净值数据(iFinD公式)'!$B168=""),"",分期持仓明细!$AB$19*SUMPRODUCT(分期持仓明细!$B$19:$Y$19,'实盘净值数据(iFinD公式)'!$B168:$Y168/'实盘净值数据(iFinD公式)'!$B$20:$Y$20)*(1-实盘持仓配置!$AM$6)^(('实盘净值数据(iFinD公式)'!$A168-'实盘净值数据(iFinD公式)'!$A$7)/365))</f>
        <v/>
      </c>
      <c r="I168" s="16" t="str">
        <f t="shared" si="23"/>
        <v/>
      </c>
      <c r="J168" s="16" t="str">
        <f>IF(H168="","",H168/MAX(H$5:H168)-1)</f>
        <v/>
      </c>
      <c r="K168" s="13" t="str">
        <f>IF(OR('实盘净值数据(iFinD公式)'!$A168="",'实盘净值数据(iFinD公式)'!$B168="",'实盘净值数据(iFinD公式)'!$Z168="",'实盘净值数据(iFinD公式)'!$AA168=""),"",分期持仓明细!$AB$23*(SUMPRODUCT(分期持仓明细!$B$23:$Y$23,'实盘净值数据(iFinD公式)'!$B168:$Y168/'实盘净值数据(iFinD公式)'!$B$65:$Y$65)+SUMPRODUCT(分期持仓明细!$AC$23:$AD$23,'实盘净值数据(iFinD公式)'!$Z168:$AA168/'实盘净值数据(iFinD公式)'!$Z$65:$AA$65))*(1-实盘持仓配置!$AM$7)^(('实盘净值数据(iFinD公式)'!$A168-'实盘净值数据(iFinD公式)'!$A$8)/365))</f>
        <v/>
      </c>
      <c r="L168" s="16" t="str">
        <f t="shared" si="24"/>
        <v/>
      </c>
      <c r="M168" s="16" t="str">
        <f>IF(K168="","",K168/MAX(K$5:K168)-1)</f>
        <v/>
      </c>
      <c r="N168" s="13" t="str">
        <f>IF(OR('实盘净值数据(iFinD公式)'!$A168="",'实盘净值数据(iFinD公式)'!$B168="",'实盘净值数据(iFinD公式)'!$Z168="",'实盘净值数据(iFinD公式)'!$AA168=""),"",分期持仓明细!$AB$24*(SUMPRODUCT(分期持仓明细!$B$24:$Y$24,'实盘净值数据(iFinD公式)'!$B168:$Y168/'实盘净值数据(iFinD公式)'!$B$65:$Y$65)+SUMPRODUCT(分期持仓明细!$AC$24:$AD$24,'实盘净值数据(iFinD公式)'!$Z168:$AA168/'实盘净值数据(iFinD公式)'!$Z$65:$AA$65))*(1-实盘持仓配置!$AM$8)^(('实盘净值数据(iFinD公式)'!$A168-'实盘净值数据(iFinD公式)'!$A$5)/365))</f>
        <v/>
      </c>
      <c r="O168" s="16" t="str">
        <f t="shared" si="25"/>
        <v/>
      </c>
      <c r="P168" s="16" t="str">
        <f>IF(N168="","",N168/MAX(N$5:N168)-1)</f>
        <v/>
      </c>
      <c r="Q168" s="13" t="str">
        <f>IF(OR('实盘净值数据(iFinD公式)'!$A168="",'实盘净值数据(iFinD公式)'!$B168="",'实盘净值数据(iFinD公式)'!$Z168="",'实盘净值数据(iFinD公式)'!$AA168=""),"",分期持仓明细!$AB$25*(SUMPRODUCT(分期持仓明细!$B$25:$Y$25,'实盘净值数据(iFinD公式)'!$B168:$Y168/'实盘净值数据(iFinD公式)'!$B$65:$Y$65)+SUMPRODUCT(分期持仓明细!$AC$25:$AD$25,'实盘净值数据(iFinD公式)'!$Z168:$AA168/'实盘净值数据(iFinD公式)'!$Z$65:$AA$65))*(1-实盘持仓配置!$AM$9)^(('实盘净值数据(iFinD公式)'!$A168-'实盘净值数据(iFinD公式)'!$A$8)/365))</f>
        <v/>
      </c>
      <c r="R168" s="16" t="str">
        <f t="shared" si="26"/>
        <v/>
      </c>
      <c r="S168" s="16" t="str">
        <f>IF(Q168="","",Q168/MAX(Q$5:Q168)-1)</f>
        <v/>
      </c>
      <c r="T168" s="13" t="str">
        <f>IF(OR('实盘净值数据(iFinD公式)'!$A168="",'实盘净值数据(iFinD公式)'!$B168="",'实盘净值数据(iFinD公式)'!$Z168="",'实盘净值数据(iFinD公式)'!$AA168="",'实盘净值数据(iFinD公式)'!$AB168="",'实盘净值数据(iFinD公式)'!$AL168=""),"",(SUMPRODUCT(分期持仓明细!$B$26:$Y$26,'实盘净值数据(iFinD公式)'!$B168:$Y168/'实盘净值数据(iFinD公式)'!$B$69:$Y$69)+SUMPRODUCT(分期持仓明细!$AC$26:$AD$26,'实盘净值数据(iFinD公式)'!$Z168:$AA168/'实盘净值数据(iFinD公式)'!$Z$69:$AA$69)+SUMPRODUCT(分期持仓明细!$AE$26:$AO$26,'实盘净值数据(iFinD公式)'!$AB168:$AL168/'实盘净值数据(iFinD公式)'!$AB$69:$AL$69))*(1-实盘持仓配置!$AM$10)^(('实盘净值数据(iFinD公式)'!$A168-'实盘净值数据(iFinD公式)'!$A$69)/365))</f>
        <v/>
      </c>
      <c r="U168" s="16" t="str">
        <f t="shared" si="27"/>
        <v/>
      </c>
      <c r="V168" s="16" t="str">
        <f>IF(T168="","",T168/MAX(T$5:T168)-1)</f>
        <v/>
      </c>
    </row>
    <row r="169" spans="1:22">
      <c r="A169" s="15" t="str">
        <f>IF('实盘净值数据(iFinD公式)'!A169="","",'实盘净值数据(iFinD公式)'!A169)</f>
        <v/>
      </c>
      <c r="B169" s="13" t="str">
        <f>IF(OR('实盘净值数据(iFinD公式)'!$A169="",'实盘净值数据(iFinD公式)'!$B169=""),"",分期持仓明细!$AB$17*SUMPRODUCT(分期持仓明细!$B$17:$Y$17,'实盘净值数据(iFinD公式)'!$B169:$Y169/'实盘净值数据(iFinD公式)'!$B$20:$Y$20)*(1-实盘持仓配置!$AM$4)^(('实盘净值数据(iFinD公式)'!$A169-'实盘净值数据(iFinD公式)'!$A$6)/365))</f>
        <v/>
      </c>
      <c r="C169" s="16" t="str">
        <f t="shared" si="21"/>
        <v/>
      </c>
      <c r="D169" s="16" t="str">
        <f>IF(B169="","",B169/MAX(B$5:B169)-1)</f>
        <v/>
      </c>
      <c r="E169" s="13" t="str">
        <f>IF(OR('实盘净值数据(iFinD公式)'!$A169="",'实盘净值数据(iFinD公式)'!$B169=""),"",分期持仓明细!$AB$18*SUMPRODUCT(分期持仓明细!$B$18:$Y$18,'实盘净值数据(iFinD公式)'!$B169:$Y169/'实盘净值数据(iFinD公式)'!$B$20:$Y$20)*(1-实盘持仓配置!$AM$5)^(('实盘净值数据(iFinD公式)'!$A169-'实盘净值数据(iFinD公式)'!$A$5)/365))</f>
        <v/>
      </c>
      <c r="F169" s="16" t="str">
        <f t="shared" si="22"/>
        <v/>
      </c>
      <c r="G169" s="16" t="str">
        <f>IF(E169="","",E169/MAX(E$5:E169)-1)</f>
        <v/>
      </c>
      <c r="H169" s="13" t="str">
        <f>IF(OR('实盘净值数据(iFinD公式)'!$A169="",'实盘净值数据(iFinD公式)'!$B169=""),"",分期持仓明细!$AB$19*SUMPRODUCT(分期持仓明细!$B$19:$Y$19,'实盘净值数据(iFinD公式)'!$B169:$Y169/'实盘净值数据(iFinD公式)'!$B$20:$Y$20)*(1-实盘持仓配置!$AM$6)^(('实盘净值数据(iFinD公式)'!$A169-'实盘净值数据(iFinD公式)'!$A$7)/365))</f>
        <v/>
      </c>
      <c r="I169" s="16" t="str">
        <f t="shared" si="23"/>
        <v/>
      </c>
      <c r="J169" s="16" t="str">
        <f>IF(H169="","",H169/MAX(H$5:H169)-1)</f>
        <v/>
      </c>
      <c r="K169" s="13" t="str">
        <f>IF(OR('实盘净值数据(iFinD公式)'!$A169="",'实盘净值数据(iFinD公式)'!$B169="",'实盘净值数据(iFinD公式)'!$Z169="",'实盘净值数据(iFinD公式)'!$AA169=""),"",分期持仓明细!$AB$23*(SUMPRODUCT(分期持仓明细!$B$23:$Y$23,'实盘净值数据(iFinD公式)'!$B169:$Y169/'实盘净值数据(iFinD公式)'!$B$65:$Y$65)+SUMPRODUCT(分期持仓明细!$AC$23:$AD$23,'实盘净值数据(iFinD公式)'!$Z169:$AA169/'实盘净值数据(iFinD公式)'!$Z$65:$AA$65))*(1-实盘持仓配置!$AM$7)^(('实盘净值数据(iFinD公式)'!$A169-'实盘净值数据(iFinD公式)'!$A$8)/365))</f>
        <v/>
      </c>
      <c r="L169" s="16" t="str">
        <f t="shared" si="24"/>
        <v/>
      </c>
      <c r="M169" s="16" t="str">
        <f>IF(K169="","",K169/MAX(K$5:K169)-1)</f>
        <v/>
      </c>
      <c r="N169" s="13" t="str">
        <f>IF(OR('实盘净值数据(iFinD公式)'!$A169="",'实盘净值数据(iFinD公式)'!$B169="",'实盘净值数据(iFinD公式)'!$Z169="",'实盘净值数据(iFinD公式)'!$AA169=""),"",分期持仓明细!$AB$24*(SUMPRODUCT(分期持仓明细!$B$24:$Y$24,'实盘净值数据(iFinD公式)'!$B169:$Y169/'实盘净值数据(iFinD公式)'!$B$65:$Y$65)+SUMPRODUCT(分期持仓明细!$AC$24:$AD$24,'实盘净值数据(iFinD公式)'!$Z169:$AA169/'实盘净值数据(iFinD公式)'!$Z$65:$AA$65))*(1-实盘持仓配置!$AM$8)^(('实盘净值数据(iFinD公式)'!$A169-'实盘净值数据(iFinD公式)'!$A$5)/365))</f>
        <v/>
      </c>
      <c r="O169" s="16" t="str">
        <f t="shared" si="25"/>
        <v/>
      </c>
      <c r="P169" s="16" t="str">
        <f>IF(N169="","",N169/MAX(N$5:N169)-1)</f>
        <v/>
      </c>
      <c r="Q169" s="13" t="str">
        <f>IF(OR('实盘净值数据(iFinD公式)'!$A169="",'实盘净值数据(iFinD公式)'!$B169="",'实盘净值数据(iFinD公式)'!$Z169="",'实盘净值数据(iFinD公式)'!$AA169=""),"",分期持仓明细!$AB$25*(SUMPRODUCT(分期持仓明细!$B$25:$Y$25,'实盘净值数据(iFinD公式)'!$B169:$Y169/'实盘净值数据(iFinD公式)'!$B$65:$Y$65)+SUMPRODUCT(分期持仓明细!$AC$25:$AD$25,'实盘净值数据(iFinD公式)'!$Z169:$AA169/'实盘净值数据(iFinD公式)'!$Z$65:$AA$65))*(1-实盘持仓配置!$AM$9)^(('实盘净值数据(iFinD公式)'!$A169-'实盘净值数据(iFinD公式)'!$A$8)/365))</f>
        <v/>
      </c>
      <c r="R169" s="16" t="str">
        <f t="shared" si="26"/>
        <v/>
      </c>
      <c r="S169" s="16" t="str">
        <f>IF(Q169="","",Q169/MAX(Q$5:Q169)-1)</f>
        <v/>
      </c>
      <c r="T169" s="13" t="str">
        <f>IF(OR('实盘净值数据(iFinD公式)'!$A169="",'实盘净值数据(iFinD公式)'!$B169="",'实盘净值数据(iFinD公式)'!$Z169="",'实盘净值数据(iFinD公式)'!$AA169="",'实盘净值数据(iFinD公式)'!$AB169="",'实盘净值数据(iFinD公式)'!$AL169=""),"",(SUMPRODUCT(分期持仓明细!$B$26:$Y$26,'实盘净值数据(iFinD公式)'!$B169:$Y169/'实盘净值数据(iFinD公式)'!$B$69:$Y$69)+SUMPRODUCT(分期持仓明细!$AC$26:$AD$26,'实盘净值数据(iFinD公式)'!$Z169:$AA169/'实盘净值数据(iFinD公式)'!$Z$69:$AA$69)+SUMPRODUCT(分期持仓明细!$AE$26:$AO$26,'实盘净值数据(iFinD公式)'!$AB169:$AL169/'实盘净值数据(iFinD公式)'!$AB$69:$AL$69))*(1-实盘持仓配置!$AM$10)^(('实盘净值数据(iFinD公式)'!$A169-'实盘净值数据(iFinD公式)'!$A$69)/365))</f>
        <v/>
      </c>
      <c r="U169" s="16" t="str">
        <f t="shared" si="27"/>
        <v/>
      </c>
      <c r="V169" s="16" t="str">
        <f>IF(T169="","",T169/MAX(T$5:T169)-1)</f>
        <v/>
      </c>
    </row>
    <row r="170" spans="1:22">
      <c r="A170" s="15" t="str">
        <f>IF('实盘净值数据(iFinD公式)'!A170="","",'实盘净值数据(iFinD公式)'!A170)</f>
        <v/>
      </c>
      <c r="B170" s="13" t="str">
        <f>IF(OR('实盘净值数据(iFinD公式)'!$A170="",'实盘净值数据(iFinD公式)'!$B170=""),"",分期持仓明细!$AB$17*SUMPRODUCT(分期持仓明细!$B$17:$Y$17,'实盘净值数据(iFinD公式)'!$B170:$Y170/'实盘净值数据(iFinD公式)'!$B$20:$Y$20)*(1-实盘持仓配置!$AM$4)^(('实盘净值数据(iFinD公式)'!$A170-'实盘净值数据(iFinD公式)'!$A$6)/365))</f>
        <v/>
      </c>
      <c r="C170" s="16" t="str">
        <f t="shared" si="21"/>
        <v/>
      </c>
      <c r="D170" s="16" t="str">
        <f>IF(B170="","",B170/MAX(B$5:B170)-1)</f>
        <v/>
      </c>
      <c r="E170" s="13" t="str">
        <f>IF(OR('实盘净值数据(iFinD公式)'!$A170="",'实盘净值数据(iFinD公式)'!$B170=""),"",分期持仓明细!$AB$18*SUMPRODUCT(分期持仓明细!$B$18:$Y$18,'实盘净值数据(iFinD公式)'!$B170:$Y170/'实盘净值数据(iFinD公式)'!$B$20:$Y$20)*(1-实盘持仓配置!$AM$5)^(('实盘净值数据(iFinD公式)'!$A170-'实盘净值数据(iFinD公式)'!$A$5)/365))</f>
        <v/>
      </c>
      <c r="F170" s="16" t="str">
        <f t="shared" si="22"/>
        <v/>
      </c>
      <c r="G170" s="16" t="str">
        <f>IF(E170="","",E170/MAX(E$5:E170)-1)</f>
        <v/>
      </c>
      <c r="H170" s="13" t="str">
        <f>IF(OR('实盘净值数据(iFinD公式)'!$A170="",'实盘净值数据(iFinD公式)'!$B170=""),"",分期持仓明细!$AB$19*SUMPRODUCT(分期持仓明细!$B$19:$Y$19,'实盘净值数据(iFinD公式)'!$B170:$Y170/'实盘净值数据(iFinD公式)'!$B$20:$Y$20)*(1-实盘持仓配置!$AM$6)^(('实盘净值数据(iFinD公式)'!$A170-'实盘净值数据(iFinD公式)'!$A$7)/365))</f>
        <v/>
      </c>
      <c r="I170" s="16" t="str">
        <f t="shared" si="23"/>
        <v/>
      </c>
      <c r="J170" s="16" t="str">
        <f>IF(H170="","",H170/MAX(H$5:H170)-1)</f>
        <v/>
      </c>
      <c r="K170" s="13" t="str">
        <f>IF(OR('实盘净值数据(iFinD公式)'!$A170="",'实盘净值数据(iFinD公式)'!$B170="",'实盘净值数据(iFinD公式)'!$Z170="",'实盘净值数据(iFinD公式)'!$AA170=""),"",分期持仓明细!$AB$23*(SUMPRODUCT(分期持仓明细!$B$23:$Y$23,'实盘净值数据(iFinD公式)'!$B170:$Y170/'实盘净值数据(iFinD公式)'!$B$65:$Y$65)+SUMPRODUCT(分期持仓明细!$AC$23:$AD$23,'实盘净值数据(iFinD公式)'!$Z170:$AA170/'实盘净值数据(iFinD公式)'!$Z$65:$AA$65))*(1-实盘持仓配置!$AM$7)^(('实盘净值数据(iFinD公式)'!$A170-'实盘净值数据(iFinD公式)'!$A$8)/365))</f>
        <v/>
      </c>
      <c r="L170" s="16" t="str">
        <f t="shared" si="24"/>
        <v/>
      </c>
      <c r="M170" s="16" t="str">
        <f>IF(K170="","",K170/MAX(K$5:K170)-1)</f>
        <v/>
      </c>
      <c r="N170" s="13" t="str">
        <f>IF(OR('实盘净值数据(iFinD公式)'!$A170="",'实盘净值数据(iFinD公式)'!$B170="",'实盘净值数据(iFinD公式)'!$Z170="",'实盘净值数据(iFinD公式)'!$AA170=""),"",分期持仓明细!$AB$24*(SUMPRODUCT(分期持仓明细!$B$24:$Y$24,'实盘净值数据(iFinD公式)'!$B170:$Y170/'实盘净值数据(iFinD公式)'!$B$65:$Y$65)+SUMPRODUCT(分期持仓明细!$AC$24:$AD$24,'实盘净值数据(iFinD公式)'!$Z170:$AA170/'实盘净值数据(iFinD公式)'!$Z$65:$AA$65))*(1-实盘持仓配置!$AM$8)^(('实盘净值数据(iFinD公式)'!$A170-'实盘净值数据(iFinD公式)'!$A$5)/365))</f>
        <v/>
      </c>
      <c r="O170" s="16" t="str">
        <f t="shared" si="25"/>
        <v/>
      </c>
      <c r="P170" s="16" t="str">
        <f>IF(N170="","",N170/MAX(N$5:N170)-1)</f>
        <v/>
      </c>
      <c r="Q170" s="13" t="str">
        <f>IF(OR('实盘净值数据(iFinD公式)'!$A170="",'实盘净值数据(iFinD公式)'!$B170="",'实盘净值数据(iFinD公式)'!$Z170="",'实盘净值数据(iFinD公式)'!$AA170=""),"",分期持仓明细!$AB$25*(SUMPRODUCT(分期持仓明细!$B$25:$Y$25,'实盘净值数据(iFinD公式)'!$B170:$Y170/'实盘净值数据(iFinD公式)'!$B$65:$Y$65)+SUMPRODUCT(分期持仓明细!$AC$25:$AD$25,'实盘净值数据(iFinD公式)'!$Z170:$AA170/'实盘净值数据(iFinD公式)'!$Z$65:$AA$65))*(1-实盘持仓配置!$AM$9)^(('实盘净值数据(iFinD公式)'!$A170-'实盘净值数据(iFinD公式)'!$A$8)/365))</f>
        <v/>
      </c>
      <c r="R170" s="16" t="str">
        <f t="shared" si="26"/>
        <v/>
      </c>
      <c r="S170" s="16" t="str">
        <f>IF(Q170="","",Q170/MAX(Q$5:Q170)-1)</f>
        <v/>
      </c>
      <c r="T170" s="13" t="str">
        <f>IF(OR('实盘净值数据(iFinD公式)'!$A170="",'实盘净值数据(iFinD公式)'!$B170="",'实盘净值数据(iFinD公式)'!$Z170="",'实盘净值数据(iFinD公式)'!$AA170="",'实盘净值数据(iFinD公式)'!$AB170="",'实盘净值数据(iFinD公式)'!$AL170=""),"",(SUMPRODUCT(分期持仓明细!$B$26:$Y$26,'实盘净值数据(iFinD公式)'!$B170:$Y170/'实盘净值数据(iFinD公式)'!$B$69:$Y$69)+SUMPRODUCT(分期持仓明细!$AC$26:$AD$26,'实盘净值数据(iFinD公式)'!$Z170:$AA170/'实盘净值数据(iFinD公式)'!$Z$69:$AA$69)+SUMPRODUCT(分期持仓明细!$AE$26:$AO$26,'实盘净值数据(iFinD公式)'!$AB170:$AL170/'实盘净值数据(iFinD公式)'!$AB$69:$AL$69))*(1-实盘持仓配置!$AM$10)^(('实盘净值数据(iFinD公式)'!$A170-'实盘净值数据(iFinD公式)'!$A$69)/365))</f>
        <v/>
      </c>
      <c r="U170" s="16" t="str">
        <f t="shared" si="27"/>
        <v/>
      </c>
      <c r="V170" s="16" t="str">
        <f>IF(T170="","",T170/MAX(T$5:T170)-1)</f>
        <v/>
      </c>
    </row>
    <row r="171" spans="1:22">
      <c r="A171" s="15" t="str">
        <f>IF('实盘净值数据(iFinD公式)'!A171="","",'实盘净值数据(iFinD公式)'!A171)</f>
        <v/>
      </c>
      <c r="B171" s="13" t="str">
        <f>IF(OR('实盘净值数据(iFinD公式)'!$A171="",'实盘净值数据(iFinD公式)'!$B171=""),"",分期持仓明细!$AB$17*SUMPRODUCT(分期持仓明细!$B$17:$Y$17,'实盘净值数据(iFinD公式)'!$B171:$Y171/'实盘净值数据(iFinD公式)'!$B$20:$Y$20)*(1-实盘持仓配置!$AM$4)^(('实盘净值数据(iFinD公式)'!$A171-'实盘净值数据(iFinD公式)'!$A$6)/365))</f>
        <v/>
      </c>
      <c r="C171" s="16" t="str">
        <f t="shared" si="21"/>
        <v/>
      </c>
      <c r="D171" s="16" t="str">
        <f>IF(B171="","",B171/MAX(B$5:B171)-1)</f>
        <v/>
      </c>
      <c r="E171" s="13" t="str">
        <f>IF(OR('实盘净值数据(iFinD公式)'!$A171="",'实盘净值数据(iFinD公式)'!$B171=""),"",分期持仓明细!$AB$18*SUMPRODUCT(分期持仓明细!$B$18:$Y$18,'实盘净值数据(iFinD公式)'!$B171:$Y171/'实盘净值数据(iFinD公式)'!$B$20:$Y$20)*(1-实盘持仓配置!$AM$5)^(('实盘净值数据(iFinD公式)'!$A171-'实盘净值数据(iFinD公式)'!$A$5)/365))</f>
        <v/>
      </c>
      <c r="F171" s="16" t="str">
        <f t="shared" si="22"/>
        <v/>
      </c>
      <c r="G171" s="16" t="str">
        <f>IF(E171="","",E171/MAX(E$5:E171)-1)</f>
        <v/>
      </c>
      <c r="H171" s="13" t="str">
        <f>IF(OR('实盘净值数据(iFinD公式)'!$A171="",'实盘净值数据(iFinD公式)'!$B171=""),"",分期持仓明细!$AB$19*SUMPRODUCT(分期持仓明细!$B$19:$Y$19,'实盘净值数据(iFinD公式)'!$B171:$Y171/'实盘净值数据(iFinD公式)'!$B$20:$Y$20)*(1-实盘持仓配置!$AM$6)^(('实盘净值数据(iFinD公式)'!$A171-'实盘净值数据(iFinD公式)'!$A$7)/365))</f>
        <v/>
      </c>
      <c r="I171" s="16" t="str">
        <f t="shared" si="23"/>
        <v/>
      </c>
      <c r="J171" s="16" t="str">
        <f>IF(H171="","",H171/MAX(H$5:H171)-1)</f>
        <v/>
      </c>
      <c r="K171" s="13" t="str">
        <f>IF(OR('实盘净值数据(iFinD公式)'!$A171="",'实盘净值数据(iFinD公式)'!$B171="",'实盘净值数据(iFinD公式)'!$Z171="",'实盘净值数据(iFinD公式)'!$AA171=""),"",分期持仓明细!$AB$23*(SUMPRODUCT(分期持仓明细!$B$23:$Y$23,'实盘净值数据(iFinD公式)'!$B171:$Y171/'实盘净值数据(iFinD公式)'!$B$65:$Y$65)+SUMPRODUCT(分期持仓明细!$AC$23:$AD$23,'实盘净值数据(iFinD公式)'!$Z171:$AA171/'实盘净值数据(iFinD公式)'!$Z$65:$AA$65))*(1-实盘持仓配置!$AM$7)^(('实盘净值数据(iFinD公式)'!$A171-'实盘净值数据(iFinD公式)'!$A$8)/365))</f>
        <v/>
      </c>
      <c r="L171" s="16" t="str">
        <f t="shared" si="24"/>
        <v/>
      </c>
      <c r="M171" s="16" t="str">
        <f>IF(K171="","",K171/MAX(K$5:K171)-1)</f>
        <v/>
      </c>
      <c r="N171" s="13" t="str">
        <f>IF(OR('实盘净值数据(iFinD公式)'!$A171="",'实盘净值数据(iFinD公式)'!$B171="",'实盘净值数据(iFinD公式)'!$Z171="",'实盘净值数据(iFinD公式)'!$AA171=""),"",分期持仓明细!$AB$24*(SUMPRODUCT(分期持仓明细!$B$24:$Y$24,'实盘净值数据(iFinD公式)'!$B171:$Y171/'实盘净值数据(iFinD公式)'!$B$65:$Y$65)+SUMPRODUCT(分期持仓明细!$AC$24:$AD$24,'实盘净值数据(iFinD公式)'!$Z171:$AA171/'实盘净值数据(iFinD公式)'!$Z$65:$AA$65))*(1-实盘持仓配置!$AM$8)^(('实盘净值数据(iFinD公式)'!$A171-'实盘净值数据(iFinD公式)'!$A$5)/365))</f>
        <v/>
      </c>
      <c r="O171" s="16" t="str">
        <f t="shared" si="25"/>
        <v/>
      </c>
      <c r="P171" s="16" t="str">
        <f>IF(N171="","",N171/MAX(N$5:N171)-1)</f>
        <v/>
      </c>
      <c r="Q171" s="13" t="str">
        <f>IF(OR('实盘净值数据(iFinD公式)'!$A171="",'实盘净值数据(iFinD公式)'!$B171="",'实盘净值数据(iFinD公式)'!$Z171="",'实盘净值数据(iFinD公式)'!$AA171=""),"",分期持仓明细!$AB$25*(SUMPRODUCT(分期持仓明细!$B$25:$Y$25,'实盘净值数据(iFinD公式)'!$B171:$Y171/'实盘净值数据(iFinD公式)'!$B$65:$Y$65)+SUMPRODUCT(分期持仓明细!$AC$25:$AD$25,'实盘净值数据(iFinD公式)'!$Z171:$AA171/'实盘净值数据(iFinD公式)'!$Z$65:$AA$65))*(1-实盘持仓配置!$AM$9)^(('实盘净值数据(iFinD公式)'!$A171-'实盘净值数据(iFinD公式)'!$A$8)/365))</f>
        <v/>
      </c>
      <c r="R171" s="16" t="str">
        <f t="shared" si="26"/>
        <v/>
      </c>
      <c r="S171" s="16" t="str">
        <f>IF(Q171="","",Q171/MAX(Q$5:Q171)-1)</f>
        <v/>
      </c>
      <c r="T171" s="13" t="str">
        <f>IF(OR('实盘净值数据(iFinD公式)'!$A171="",'实盘净值数据(iFinD公式)'!$B171="",'实盘净值数据(iFinD公式)'!$Z171="",'实盘净值数据(iFinD公式)'!$AA171="",'实盘净值数据(iFinD公式)'!$AB171="",'实盘净值数据(iFinD公式)'!$AL171=""),"",(SUMPRODUCT(分期持仓明细!$B$26:$Y$26,'实盘净值数据(iFinD公式)'!$B171:$Y171/'实盘净值数据(iFinD公式)'!$B$69:$Y$69)+SUMPRODUCT(分期持仓明细!$AC$26:$AD$26,'实盘净值数据(iFinD公式)'!$Z171:$AA171/'实盘净值数据(iFinD公式)'!$Z$69:$AA$69)+SUMPRODUCT(分期持仓明细!$AE$26:$AO$26,'实盘净值数据(iFinD公式)'!$AB171:$AL171/'实盘净值数据(iFinD公式)'!$AB$69:$AL$69))*(1-实盘持仓配置!$AM$10)^(('实盘净值数据(iFinD公式)'!$A171-'实盘净值数据(iFinD公式)'!$A$69)/365))</f>
        <v/>
      </c>
      <c r="U171" s="16" t="str">
        <f t="shared" si="27"/>
        <v/>
      </c>
      <c r="V171" s="16" t="str">
        <f>IF(T171="","",T171/MAX(T$5:T171)-1)</f>
        <v/>
      </c>
    </row>
    <row r="172" spans="1:22">
      <c r="A172" s="15" t="str">
        <f>IF('实盘净值数据(iFinD公式)'!A172="","",'实盘净值数据(iFinD公式)'!A172)</f>
        <v/>
      </c>
      <c r="B172" s="13" t="str">
        <f>IF(OR('实盘净值数据(iFinD公式)'!$A172="",'实盘净值数据(iFinD公式)'!$B172=""),"",分期持仓明细!$AB$17*SUMPRODUCT(分期持仓明细!$B$17:$Y$17,'实盘净值数据(iFinD公式)'!$B172:$Y172/'实盘净值数据(iFinD公式)'!$B$20:$Y$20)*(1-实盘持仓配置!$AM$4)^(('实盘净值数据(iFinD公式)'!$A172-'实盘净值数据(iFinD公式)'!$A$6)/365))</f>
        <v/>
      </c>
      <c r="C172" s="16" t="str">
        <f t="shared" si="21"/>
        <v/>
      </c>
      <c r="D172" s="16" t="str">
        <f>IF(B172="","",B172/MAX(B$5:B172)-1)</f>
        <v/>
      </c>
      <c r="E172" s="13" t="str">
        <f>IF(OR('实盘净值数据(iFinD公式)'!$A172="",'实盘净值数据(iFinD公式)'!$B172=""),"",分期持仓明细!$AB$18*SUMPRODUCT(分期持仓明细!$B$18:$Y$18,'实盘净值数据(iFinD公式)'!$B172:$Y172/'实盘净值数据(iFinD公式)'!$B$20:$Y$20)*(1-实盘持仓配置!$AM$5)^(('实盘净值数据(iFinD公式)'!$A172-'实盘净值数据(iFinD公式)'!$A$5)/365))</f>
        <v/>
      </c>
      <c r="F172" s="16" t="str">
        <f t="shared" si="22"/>
        <v/>
      </c>
      <c r="G172" s="16" t="str">
        <f>IF(E172="","",E172/MAX(E$5:E172)-1)</f>
        <v/>
      </c>
      <c r="H172" s="13" t="str">
        <f>IF(OR('实盘净值数据(iFinD公式)'!$A172="",'实盘净值数据(iFinD公式)'!$B172=""),"",分期持仓明细!$AB$19*SUMPRODUCT(分期持仓明细!$B$19:$Y$19,'实盘净值数据(iFinD公式)'!$B172:$Y172/'实盘净值数据(iFinD公式)'!$B$20:$Y$20)*(1-实盘持仓配置!$AM$6)^(('实盘净值数据(iFinD公式)'!$A172-'实盘净值数据(iFinD公式)'!$A$7)/365))</f>
        <v/>
      </c>
      <c r="I172" s="16" t="str">
        <f t="shared" si="23"/>
        <v/>
      </c>
      <c r="J172" s="16" t="str">
        <f>IF(H172="","",H172/MAX(H$5:H172)-1)</f>
        <v/>
      </c>
      <c r="K172" s="13" t="str">
        <f>IF(OR('实盘净值数据(iFinD公式)'!$A172="",'实盘净值数据(iFinD公式)'!$B172="",'实盘净值数据(iFinD公式)'!$Z172="",'实盘净值数据(iFinD公式)'!$AA172=""),"",分期持仓明细!$AB$23*(SUMPRODUCT(分期持仓明细!$B$23:$Y$23,'实盘净值数据(iFinD公式)'!$B172:$Y172/'实盘净值数据(iFinD公式)'!$B$65:$Y$65)+SUMPRODUCT(分期持仓明细!$AC$23:$AD$23,'实盘净值数据(iFinD公式)'!$Z172:$AA172/'实盘净值数据(iFinD公式)'!$Z$65:$AA$65))*(1-实盘持仓配置!$AM$7)^(('实盘净值数据(iFinD公式)'!$A172-'实盘净值数据(iFinD公式)'!$A$8)/365))</f>
        <v/>
      </c>
      <c r="L172" s="16" t="str">
        <f t="shared" si="24"/>
        <v/>
      </c>
      <c r="M172" s="16" t="str">
        <f>IF(K172="","",K172/MAX(K$5:K172)-1)</f>
        <v/>
      </c>
      <c r="N172" s="13" t="str">
        <f>IF(OR('实盘净值数据(iFinD公式)'!$A172="",'实盘净值数据(iFinD公式)'!$B172="",'实盘净值数据(iFinD公式)'!$Z172="",'实盘净值数据(iFinD公式)'!$AA172=""),"",分期持仓明细!$AB$24*(SUMPRODUCT(分期持仓明细!$B$24:$Y$24,'实盘净值数据(iFinD公式)'!$B172:$Y172/'实盘净值数据(iFinD公式)'!$B$65:$Y$65)+SUMPRODUCT(分期持仓明细!$AC$24:$AD$24,'实盘净值数据(iFinD公式)'!$Z172:$AA172/'实盘净值数据(iFinD公式)'!$Z$65:$AA$65))*(1-实盘持仓配置!$AM$8)^(('实盘净值数据(iFinD公式)'!$A172-'实盘净值数据(iFinD公式)'!$A$5)/365))</f>
        <v/>
      </c>
      <c r="O172" s="16" t="str">
        <f t="shared" si="25"/>
        <v/>
      </c>
      <c r="P172" s="16" t="str">
        <f>IF(N172="","",N172/MAX(N$5:N172)-1)</f>
        <v/>
      </c>
      <c r="Q172" s="13" t="str">
        <f>IF(OR('实盘净值数据(iFinD公式)'!$A172="",'实盘净值数据(iFinD公式)'!$B172="",'实盘净值数据(iFinD公式)'!$Z172="",'实盘净值数据(iFinD公式)'!$AA172=""),"",分期持仓明细!$AB$25*(SUMPRODUCT(分期持仓明细!$B$25:$Y$25,'实盘净值数据(iFinD公式)'!$B172:$Y172/'实盘净值数据(iFinD公式)'!$B$65:$Y$65)+SUMPRODUCT(分期持仓明细!$AC$25:$AD$25,'实盘净值数据(iFinD公式)'!$Z172:$AA172/'实盘净值数据(iFinD公式)'!$Z$65:$AA$65))*(1-实盘持仓配置!$AM$9)^(('实盘净值数据(iFinD公式)'!$A172-'实盘净值数据(iFinD公式)'!$A$8)/365))</f>
        <v/>
      </c>
      <c r="R172" s="16" t="str">
        <f t="shared" si="26"/>
        <v/>
      </c>
      <c r="S172" s="16" t="str">
        <f>IF(Q172="","",Q172/MAX(Q$5:Q172)-1)</f>
        <v/>
      </c>
      <c r="T172" s="13" t="str">
        <f>IF(OR('实盘净值数据(iFinD公式)'!$A172="",'实盘净值数据(iFinD公式)'!$B172="",'实盘净值数据(iFinD公式)'!$Z172="",'实盘净值数据(iFinD公式)'!$AA172="",'实盘净值数据(iFinD公式)'!$AB172="",'实盘净值数据(iFinD公式)'!$AL172=""),"",(SUMPRODUCT(分期持仓明细!$B$26:$Y$26,'实盘净值数据(iFinD公式)'!$B172:$Y172/'实盘净值数据(iFinD公式)'!$B$69:$Y$69)+SUMPRODUCT(分期持仓明细!$AC$26:$AD$26,'实盘净值数据(iFinD公式)'!$Z172:$AA172/'实盘净值数据(iFinD公式)'!$Z$69:$AA$69)+SUMPRODUCT(分期持仓明细!$AE$26:$AO$26,'实盘净值数据(iFinD公式)'!$AB172:$AL172/'实盘净值数据(iFinD公式)'!$AB$69:$AL$69))*(1-实盘持仓配置!$AM$10)^(('实盘净值数据(iFinD公式)'!$A172-'实盘净值数据(iFinD公式)'!$A$69)/365))</f>
        <v/>
      </c>
      <c r="U172" s="16" t="str">
        <f t="shared" si="27"/>
        <v/>
      </c>
      <c r="V172" s="16" t="str">
        <f>IF(T172="","",T172/MAX(T$5:T172)-1)</f>
        <v/>
      </c>
    </row>
    <row r="173" spans="1:22">
      <c r="A173" s="15" t="str">
        <f>IF('实盘净值数据(iFinD公式)'!A173="","",'实盘净值数据(iFinD公式)'!A173)</f>
        <v/>
      </c>
      <c r="B173" s="13" t="str">
        <f>IF(OR('实盘净值数据(iFinD公式)'!$A173="",'实盘净值数据(iFinD公式)'!$B173=""),"",分期持仓明细!$AB$17*SUMPRODUCT(分期持仓明细!$B$17:$Y$17,'实盘净值数据(iFinD公式)'!$B173:$Y173/'实盘净值数据(iFinD公式)'!$B$20:$Y$20)*(1-实盘持仓配置!$AM$4)^(('实盘净值数据(iFinD公式)'!$A173-'实盘净值数据(iFinD公式)'!$A$6)/365))</f>
        <v/>
      </c>
      <c r="C173" s="16" t="str">
        <f t="shared" si="21"/>
        <v/>
      </c>
      <c r="D173" s="16" t="str">
        <f>IF(B173="","",B173/MAX(B$5:B173)-1)</f>
        <v/>
      </c>
      <c r="E173" s="13" t="str">
        <f>IF(OR('实盘净值数据(iFinD公式)'!$A173="",'实盘净值数据(iFinD公式)'!$B173=""),"",分期持仓明细!$AB$18*SUMPRODUCT(分期持仓明细!$B$18:$Y$18,'实盘净值数据(iFinD公式)'!$B173:$Y173/'实盘净值数据(iFinD公式)'!$B$20:$Y$20)*(1-实盘持仓配置!$AM$5)^(('实盘净值数据(iFinD公式)'!$A173-'实盘净值数据(iFinD公式)'!$A$5)/365))</f>
        <v/>
      </c>
      <c r="F173" s="16" t="str">
        <f t="shared" si="22"/>
        <v/>
      </c>
      <c r="G173" s="16" t="str">
        <f>IF(E173="","",E173/MAX(E$5:E173)-1)</f>
        <v/>
      </c>
      <c r="H173" s="13" t="str">
        <f>IF(OR('实盘净值数据(iFinD公式)'!$A173="",'实盘净值数据(iFinD公式)'!$B173=""),"",分期持仓明细!$AB$19*SUMPRODUCT(分期持仓明细!$B$19:$Y$19,'实盘净值数据(iFinD公式)'!$B173:$Y173/'实盘净值数据(iFinD公式)'!$B$20:$Y$20)*(1-实盘持仓配置!$AM$6)^(('实盘净值数据(iFinD公式)'!$A173-'实盘净值数据(iFinD公式)'!$A$7)/365))</f>
        <v/>
      </c>
      <c r="I173" s="16" t="str">
        <f t="shared" si="23"/>
        <v/>
      </c>
      <c r="J173" s="16" t="str">
        <f>IF(H173="","",H173/MAX(H$5:H173)-1)</f>
        <v/>
      </c>
      <c r="K173" s="13" t="str">
        <f>IF(OR('实盘净值数据(iFinD公式)'!$A173="",'实盘净值数据(iFinD公式)'!$B173="",'实盘净值数据(iFinD公式)'!$Z173="",'实盘净值数据(iFinD公式)'!$AA173=""),"",分期持仓明细!$AB$23*(SUMPRODUCT(分期持仓明细!$B$23:$Y$23,'实盘净值数据(iFinD公式)'!$B173:$Y173/'实盘净值数据(iFinD公式)'!$B$65:$Y$65)+SUMPRODUCT(分期持仓明细!$AC$23:$AD$23,'实盘净值数据(iFinD公式)'!$Z173:$AA173/'实盘净值数据(iFinD公式)'!$Z$65:$AA$65))*(1-实盘持仓配置!$AM$7)^(('实盘净值数据(iFinD公式)'!$A173-'实盘净值数据(iFinD公式)'!$A$8)/365))</f>
        <v/>
      </c>
      <c r="L173" s="16" t="str">
        <f t="shared" si="24"/>
        <v/>
      </c>
      <c r="M173" s="16" t="str">
        <f>IF(K173="","",K173/MAX(K$5:K173)-1)</f>
        <v/>
      </c>
      <c r="N173" s="13" t="str">
        <f>IF(OR('实盘净值数据(iFinD公式)'!$A173="",'实盘净值数据(iFinD公式)'!$B173="",'实盘净值数据(iFinD公式)'!$Z173="",'实盘净值数据(iFinD公式)'!$AA173=""),"",分期持仓明细!$AB$24*(SUMPRODUCT(分期持仓明细!$B$24:$Y$24,'实盘净值数据(iFinD公式)'!$B173:$Y173/'实盘净值数据(iFinD公式)'!$B$65:$Y$65)+SUMPRODUCT(分期持仓明细!$AC$24:$AD$24,'实盘净值数据(iFinD公式)'!$Z173:$AA173/'实盘净值数据(iFinD公式)'!$Z$65:$AA$65))*(1-实盘持仓配置!$AM$8)^(('实盘净值数据(iFinD公式)'!$A173-'实盘净值数据(iFinD公式)'!$A$5)/365))</f>
        <v/>
      </c>
      <c r="O173" s="16" t="str">
        <f t="shared" si="25"/>
        <v/>
      </c>
      <c r="P173" s="16" t="str">
        <f>IF(N173="","",N173/MAX(N$5:N173)-1)</f>
        <v/>
      </c>
      <c r="Q173" s="13" t="str">
        <f>IF(OR('实盘净值数据(iFinD公式)'!$A173="",'实盘净值数据(iFinD公式)'!$B173="",'实盘净值数据(iFinD公式)'!$Z173="",'实盘净值数据(iFinD公式)'!$AA173=""),"",分期持仓明细!$AB$25*(SUMPRODUCT(分期持仓明细!$B$25:$Y$25,'实盘净值数据(iFinD公式)'!$B173:$Y173/'实盘净值数据(iFinD公式)'!$B$65:$Y$65)+SUMPRODUCT(分期持仓明细!$AC$25:$AD$25,'实盘净值数据(iFinD公式)'!$Z173:$AA173/'实盘净值数据(iFinD公式)'!$Z$65:$AA$65))*(1-实盘持仓配置!$AM$9)^(('实盘净值数据(iFinD公式)'!$A173-'实盘净值数据(iFinD公式)'!$A$8)/365))</f>
        <v/>
      </c>
      <c r="R173" s="16" t="str">
        <f t="shared" si="26"/>
        <v/>
      </c>
      <c r="S173" s="16" t="str">
        <f>IF(Q173="","",Q173/MAX(Q$5:Q173)-1)</f>
        <v/>
      </c>
      <c r="T173" s="13" t="str">
        <f>IF(OR('实盘净值数据(iFinD公式)'!$A173="",'实盘净值数据(iFinD公式)'!$B173="",'实盘净值数据(iFinD公式)'!$Z173="",'实盘净值数据(iFinD公式)'!$AA173="",'实盘净值数据(iFinD公式)'!$AB173="",'实盘净值数据(iFinD公式)'!$AL173=""),"",(SUMPRODUCT(分期持仓明细!$B$26:$Y$26,'实盘净值数据(iFinD公式)'!$B173:$Y173/'实盘净值数据(iFinD公式)'!$B$69:$Y$69)+SUMPRODUCT(分期持仓明细!$AC$26:$AD$26,'实盘净值数据(iFinD公式)'!$Z173:$AA173/'实盘净值数据(iFinD公式)'!$Z$69:$AA$69)+SUMPRODUCT(分期持仓明细!$AE$26:$AO$26,'实盘净值数据(iFinD公式)'!$AB173:$AL173/'实盘净值数据(iFinD公式)'!$AB$69:$AL$69))*(1-实盘持仓配置!$AM$10)^(('实盘净值数据(iFinD公式)'!$A173-'实盘净值数据(iFinD公式)'!$A$69)/365))</f>
        <v/>
      </c>
      <c r="U173" s="16" t="str">
        <f t="shared" si="27"/>
        <v/>
      </c>
      <c r="V173" s="16" t="str">
        <f>IF(T173="","",T173/MAX(T$5:T173)-1)</f>
        <v/>
      </c>
    </row>
    <row r="174" spans="1:22">
      <c r="A174" s="15" t="str">
        <f>IF('实盘净值数据(iFinD公式)'!A174="","",'实盘净值数据(iFinD公式)'!A174)</f>
        <v/>
      </c>
      <c r="B174" s="13" t="str">
        <f>IF(OR('实盘净值数据(iFinD公式)'!$A174="",'实盘净值数据(iFinD公式)'!$B174=""),"",分期持仓明细!$AB$17*SUMPRODUCT(分期持仓明细!$B$17:$Y$17,'实盘净值数据(iFinD公式)'!$B174:$Y174/'实盘净值数据(iFinD公式)'!$B$20:$Y$20)*(1-实盘持仓配置!$AM$4)^(('实盘净值数据(iFinD公式)'!$A174-'实盘净值数据(iFinD公式)'!$A$6)/365))</f>
        <v/>
      </c>
      <c r="C174" s="16" t="str">
        <f t="shared" si="21"/>
        <v/>
      </c>
      <c r="D174" s="16" t="str">
        <f>IF(B174="","",B174/MAX(B$5:B174)-1)</f>
        <v/>
      </c>
      <c r="E174" s="13" t="str">
        <f>IF(OR('实盘净值数据(iFinD公式)'!$A174="",'实盘净值数据(iFinD公式)'!$B174=""),"",分期持仓明细!$AB$18*SUMPRODUCT(分期持仓明细!$B$18:$Y$18,'实盘净值数据(iFinD公式)'!$B174:$Y174/'实盘净值数据(iFinD公式)'!$B$20:$Y$20)*(1-实盘持仓配置!$AM$5)^(('实盘净值数据(iFinD公式)'!$A174-'实盘净值数据(iFinD公式)'!$A$5)/365))</f>
        <v/>
      </c>
      <c r="F174" s="16" t="str">
        <f t="shared" si="22"/>
        <v/>
      </c>
      <c r="G174" s="16" t="str">
        <f>IF(E174="","",E174/MAX(E$5:E174)-1)</f>
        <v/>
      </c>
      <c r="H174" s="13" t="str">
        <f>IF(OR('实盘净值数据(iFinD公式)'!$A174="",'实盘净值数据(iFinD公式)'!$B174=""),"",分期持仓明细!$AB$19*SUMPRODUCT(分期持仓明细!$B$19:$Y$19,'实盘净值数据(iFinD公式)'!$B174:$Y174/'实盘净值数据(iFinD公式)'!$B$20:$Y$20)*(1-实盘持仓配置!$AM$6)^(('实盘净值数据(iFinD公式)'!$A174-'实盘净值数据(iFinD公式)'!$A$7)/365))</f>
        <v/>
      </c>
      <c r="I174" s="16" t="str">
        <f t="shared" si="23"/>
        <v/>
      </c>
      <c r="J174" s="16" t="str">
        <f>IF(H174="","",H174/MAX(H$5:H174)-1)</f>
        <v/>
      </c>
      <c r="K174" s="13" t="str">
        <f>IF(OR('实盘净值数据(iFinD公式)'!$A174="",'实盘净值数据(iFinD公式)'!$B174="",'实盘净值数据(iFinD公式)'!$Z174="",'实盘净值数据(iFinD公式)'!$AA174=""),"",分期持仓明细!$AB$23*(SUMPRODUCT(分期持仓明细!$B$23:$Y$23,'实盘净值数据(iFinD公式)'!$B174:$Y174/'实盘净值数据(iFinD公式)'!$B$65:$Y$65)+SUMPRODUCT(分期持仓明细!$AC$23:$AD$23,'实盘净值数据(iFinD公式)'!$Z174:$AA174/'实盘净值数据(iFinD公式)'!$Z$65:$AA$65))*(1-实盘持仓配置!$AM$7)^(('实盘净值数据(iFinD公式)'!$A174-'实盘净值数据(iFinD公式)'!$A$8)/365))</f>
        <v/>
      </c>
      <c r="L174" s="16" t="str">
        <f t="shared" si="24"/>
        <v/>
      </c>
      <c r="M174" s="16" t="str">
        <f>IF(K174="","",K174/MAX(K$5:K174)-1)</f>
        <v/>
      </c>
      <c r="N174" s="13" t="str">
        <f>IF(OR('实盘净值数据(iFinD公式)'!$A174="",'实盘净值数据(iFinD公式)'!$B174="",'实盘净值数据(iFinD公式)'!$Z174="",'实盘净值数据(iFinD公式)'!$AA174=""),"",分期持仓明细!$AB$24*(SUMPRODUCT(分期持仓明细!$B$24:$Y$24,'实盘净值数据(iFinD公式)'!$B174:$Y174/'实盘净值数据(iFinD公式)'!$B$65:$Y$65)+SUMPRODUCT(分期持仓明细!$AC$24:$AD$24,'实盘净值数据(iFinD公式)'!$Z174:$AA174/'实盘净值数据(iFinD公式)'!$Z$65:$AA$65))*(1-实盘持仓配置!$AM$8)^(('实盘净值数据(iFinD公式)'!$A174-'实盘净值数据(iFinD公式)'!$A$5)/365))</f>
        <v/>
      </c>
      <c r="O174" s="16" t="str">
        <f t="shared" si="25"/>
        <v/>
      </c>
      <c r="P174" s="16" t="str">
        <f>IF(N174="","",N174/MAX(N$5:N174)-1)</f>
        <v/>
      </c>
      <c r="Q174" s="13" t="str">
        <f>IF(OR('实盘净值数据(iFinD公式)'!$A174="",'实盘净值数据(iFinD公式)'!$B174="",'实盘净值数据(iFinD公式)'!$Z174="",'实盘净值数据(iFinD公式)'!$AA174=""),"",分期持仓明细!$AB$25*(SUMPRODUCT(分期持仓明细!$B$25:$Y$25,'实盘净值数据(iFinD公式)'!$B174:$Y174/'实盘净值数据(iFinD公式)'!$B$65:$Y$65)+SUMPRODUCT(分期持仓明细!$AC$25:$AD$25,'实盘净值数据(iFinD公式)'!$Z174:$AA174/'实盘净值数据(iFinD公式)'!$Z$65:$AA$65))*(1-实盘持仓配置!$AM$9)^(('实盘净值数据(iFinD公式)'!$A174-'实盘净值数据(iFinD公式)'!$A$8)/365))</f>
        <v/>
      </c>
      <c r="R174" s="16" t="str">
        <f t="shared" si="26"/>
        <v/>
      </c>
      <c r="S174" s="16" t="str">
        <f>IF(Q174="","",Q174/MAX(Q$5:Q174)-1)</f>
        <v/>
      </c>
      <c r="T174" s="13" t="str">
        <f>IF(OR('实盘净值数据(iFinD公式)'!$A174="",'实盘净值数据(iFinD公式)'!$B174="",'实盘净值数据(iFinD公式)'!$Z174="",'实盘净值数据(iFinD公式)'!$AA174="",'实盘净值数据(iFinD公式)'!$AB174="",'实盘净值数据(iFinD公式)'!$AL174=""),"",(SUMPRODUCT(分期持仓明细!$B$26:$Y$26,'实盘净值数据(iFinD公式)'!$B174:$Y174/'实盘净值数据(iFinD公式)'!$B$69:$Y$69)+SUMPRODUCT(分期持仓明细!$AC$26:$AD$26,'实盘净值数据(iFinD公式)'!$Z174:$AA174/'实盘净值数据(iFinD公式)'!$Z$69:$AA$69)+SUMPRODUCT(分期持仓明细!$AE$26:$AO$26,'实盘净值数据(iFinD公式)'!$AB174:$AL174/'实盘净值数据(iFinD公式)'!$AB$69:$AL$69))*(1-实盘持仓配置!$AM$10)^(('实盘净值数据(iFinD公式)'!$A174-'实盘净值数据(iFinD公式)'!$A$69)/365))</f>
        <v/>
      </c>
      <c r="U174" s="16" t="str">
        <f t="shared" si="27"/>
        <v/>
      </c>
      <c r="V174" s="16" t="str">
        <f>IF(T174="","",T174/MAX(T$5:T174)-1)</f>
        <v/>
      </c>
    </row>
    <row r="175" spans="1:22">
      <c r="A175" s="15" t="str">
        <f>IF('实盘净值数据(iFinD公式)'!A175="","",'实盘净值数据(iFinD公式)'!A175)</f>
        <v/>
      </c>
      <c r="B175" s="13" t="str">
        <f>IF(OR('实盘净值数据(iFinD公式)'!$A175="",'实盘净值数据(iFinD公式)'!$B175=""),"",分期持仓明细!$AB$17*SUMPRODUCT(分期持仓明细!$B$17:$Y$17,'实盘净值数据(iFinD公式)'!$B175:$Y175/'实盘净值数据(iFinD公式)'!$B$20:$Y$20)*(1-实盘持仓配置!$AM$4)^(('实盘净值数据(iFinD公式)'!$A175-'实盘净值数据(iFinD公式)'!$A$6)/365))</f>
        <v/>
      </c>
      <c r="C175" s="16" t="str">
        <f t="shared" si="21"/>
        <v/>
      </c>
      <c r="D175" s="16" t="str">
        <f>IF(B175="","",B175/MAX(B$5:B175)-1)</f>
        <v/>
      </c>
      <c r="E175" s="13" t="str">
        <f>IF(OR('实盘净值数据(iFinD公式)'!$A175="",'实盘净值数据(iFinD公式)'!$B175=""),"",分期持仓明细!$AB$18*SUMPRODUCT(分期持仓明细!$B$18:$Y$18,'实盘净值数据(iFinD公式)'!$B175:$Y175/'实盘净值数据(iFinD公式)'!$B$20:$Y$20)*(1-实盘持仓配置!$AM$5)^(('实盘净值数据(iFinD公式)'!$A175-'实盘净值数据(iFinD公式)'!$A$5)/365))</f>
        <v/>
      </c>
      <c r="F175" s="16" t="str">
        <f t="shared" si="22"/>
        <v/>
      </c>
      <c r="G175" s="16" t="str">
        <f>IF(E175="","",E175/MAX(E$5:E175)-1)</f>
        <v/>
      </c>
      <c r="H175" s="13" t="str">
        <f>IF(OR('实盘净值数据(iFinD公式)'!$A175="",'实盘净值数据(iFinD公式)'!$B175=""),"",分期持仓明细!$AB$19*SUMPRODUCT(分期持仓明细!$B$19:$Y$19,'实盘净值数据(iFinD公式)'!$B175:$Y175/'实盘净值数据(iFinD公式)'!$B$20:$Y$20)*(1-实盘持仓配置!$AM$6)^(('实盘净值数据(iFinD公式)'!$A175-'实盘净值数据(iFinD公式)'!$A$7)/365))</f>
        <v/>
      </c>
      <c r="I175" s="16" t="str">
        <f t="shared" si="23"/>
        <v/>
      </c>
      <c r="J175" s="16" t="str">
        <f>IF(H175="","",H175/MAX(H$5:H175)-1)</f>
        <v/>
      </c>
      <c r="K175" s="13" t="str">
        <f>IF(OR('实盘净值数据(iFinD公式)'!$A175="",'实盘净值数据(iFinD公式)'!$B175="",'实盘净值数据(iFinD公式)'!$Z175="",'实盘净值数据(iFinD公式)'!$AA175=""),"",分期持仓明细!$AB$23*(SUMPRODUCT(分期持仓明细!$B$23:$Y$23,'实盘净值数据(iFinD公式)'!$B175:$Y175/'实盘净值数据(iFinD公式)'!$B$65:$Y$65)+SUMPRODUCT(分期持仓明细!$AC$23:$AD$23,'实盘净值数据(iFinD公式)'!$Z175:$AA175/'实盘净值数据(iFinD公式)'!$Z$65:$AA$65))*(1-实盘持仓配置!$AM$7)^(('实盘净值数据(iFinD公式)'!$A175-'实盘净值数据(iFinD公式)'!$A$8)/365))</f>
        <v/>
      </c>
      <c r="L175" s="16" t="str">
        <f t="shared" si="24"/>
        <v/>
      </c>
      <c r="M175" s="16" t="str">
        <f>IF(K175="","",K175/MAX(K$5:K175)-1)</f>
        <v/>
      </c>
      <c r="N175" s="13" t="str">
        <f>IF(OR('实盘净值数据(iFinD公式)'!$A175="",'实盘净值数据(iFinD公式)'!$B175="",'实盘净值数据(iFinD公式)'!$Z175="",'实盘净值数据(iFinD公式)'!$AA175=""),"",分期持仓明细!$AB$24*(SUMPRODUCT(分期持仓明细!$B$24:$Y$24,'实盘净值数据(iFinD公式)'!$B175:$Y175/'实盘净值数据(iFinD公式)'!$B$65:$Y$65)+SUMPRODUCT(分期持仓明细!$AC$24:$AD$24,'实盘净值数据(iFinD公式)'!$Z175:$AA175/'实盘净值数据(iFinD公式)'!$Z$65:$AA$65))*(1-实盘持仓配置!$AM$8)^(('实盘净值数据(iFinD公式)'!$A175-'实盘净值数据(iFinD公式)'!$A$5)/365))</f>
        <v/>
      </c>
      <c r="O175" s="16" t="str">
        <f t="shared" si="25"/>
        <v/>
      </c>
      <c r="P175" s="16" t="str">
        <f>IF(N175="","",N175/MAX(N$5:N175)-1)</f>
        <v/>
      </c>
      <c r="Q175" s="13" t="str">
        <f>IF(OR('实盘净值数据(iFinD公式)'!$A175="",'实盘净值数据(iFinD公式)'!$B175="",'实盘净值数据(iFinD公式)'!$Z175="",'实盘净值数据(iFinD公式)'!$AA175=""),"",分期持仓明细!$AB$25*(SUMPRODUCT(分期持仓明细!$B$25:$Y$25,'实盘净值数据(iFinD公式)'!$B175:$Y175/'实盘净值数据(iFinD公式)'!$B$65:$Y$65)+SUMPRODUCT(分期持仓明细!$AC$25:$AD$25,'实盘净值数据(iFinD公式)'!$Z175:$AA175/'实盘净值数据(iFinD公式)'!$Z$65:$AA$65))*(1-实盘持仓配置!$AM$9)^(('实盘净值数据(iFinD公式)'!$A175-'实盘净值数据(iFinD公式)'!$A$8)/365))</f>
        <v/>
      </c>
      <c r="R175" s="16" t="str">
        <f t="shared" si="26"/>
        <v/>
      </c>
      <c r="S175" s="16" t="str">
        <f>IF(Q175="","",Q175/MAX(Q$5:Q175)-1)</f>
        <v/>
      </c>
      <c r="T175" s="13" t="str">
        <f>IF(OR('实盘净值数据(iFinD公式)'!$A175="",'实盘净值数据(iFinD公式)'!$B175="",'实盘净值数据(iFinD公式)'!$Z175="",'实盘净值数据(iFinD公式)'!$AA175="",'实盘净值数据(iFinD公式)'!$AB175="",'实盘净值数据(iFinD公式)'!$AL175=""),"",(SUMPRODUCT(分期持仓明细!$B$26:$Y$26,'实盘净值数据(iFinD公式)'!$B175:$Y175/'实盘净值数据(iFinD公式)'!$B$69:$Y$69)+SUMPRODUCT(分期持仓明细!$AC$26:$AD$26,'实盘净值数据(iFinD公式)'!$Z175:$AA175/'实盘净值数据(iFinD公式)'!$Z$69:$AA$69)+SUMPRODUCT(分期持仓明细!$AE$26:$AO$26,'实盘净值数据(iFinD公式)'!$AB175:$AL175/'实盘净值数据(iFinD公式)'!$AB$69:$AL$69))*(1-实盘持仓配置!$AM$10)^(('实盘净值数据(iFinD公式)'!$A175-'实盘净值数据(iFinD公式)'!$A$69)/365))</f>
        <v/>
      </c>
      <c r="U175" s="16" t="str">
        <f t="shared" si="27"/>
        <v/>
      </c>
      <c r="V175" s="16" t="str">
        <f>IF(T175="","",T175/MAX(T$5:T175)-1)</f>
        <v/>
      </c>
    </row>
    <row r="176" spans="1:22">
      <c r="A176" s="15" t="str">
        <f>IF('实盘净值数据(iFinD公式)'!A176="","",'实盘净值数据(iFinD公式)'!A176)</f>
        <v/>
      </c>
      <c r="B176" s="13" t="str">
        <f>IF(OR('实盘净值数据(iFinD公式)'!$A176="",'实盘净值数据(iFinD公式)'!$B176=""),"",分期持仓明细!$AB$17*SUMPRODUCT(分期持仓明细!$B$17:$Y$17,'实盘净值数据(iFinD公式)'!$B176:$Y176/'实盘净值数据(iFinD公式)'!$B$20:$Y$20)*(1-实盘持仓配置!$AM$4)^(('实盘净值数据(iFinD公式)'!$A176-'实盘净值数据(iFinD公式)'!$A$6)/365))</f>
        <v/>
      </c>
      <c r="C176" s="16" t="str">
        <f t="shared" si="21"/>
        <v/>
      </c>
      <c r="D176" s="16" t="str">
        <f>IF(B176="","",B176/MAX(B$5:B176)-1)</f>
        <v/>
      </c>
      <c r="E176" s="13" t="str">
        <f>IF(OR('实盘净值数据(iFinD公式)'!$A176="",'实盘净值数据(iFinD公式)'!$B176=""),"",分期持仓明细!$AB$18*SUMPRODUCT(分期持仓明细!$B$18:$Y$18,'实盘净值数据(iFinD公式)'!$B176:$Y176/'实盘净值数据(iFinD公式)'!$B$20:$Y$20)*(1-实盘持仓配置!$AM$5)^(('实盘净值数据(iFinD公式)'!$A176-'实盘净值数据(iFinD公式)'!$A$5)/365))</f>
        <v/>
      </c>
      <c r="F176" s="16" t="str">
        <f t="shared" si="22"/>
        <v/>
      </c>
      <c r="G176" s="16" t="str">
        <f>IF(E176="","",E176/MAX(E$5:E176)-1)</f>
        <v/>
      </c>
      <c r="H176" s="13" t="str">
        <f>IF(OR('实盘净值数据(iFinD公式)'!$A176="",'实盘净值数据(iFinD公式)'!$B176=""),"",分期持仓明细!$AB$19*SUMPRODUCT(分期持仓明细!$B$19:$Y$19,'实盘净值数据(iFinD公式)'!$B176:$Y176/'实盘净值数据(iFinD公式)'!$B$20:$Y$20)*(1-实盘持仓配置!$AM$6)^(('实盘净值数据(iFinD公式)'!$A176-'实盘净值数据(iFinD公式)'!$A$7)/365))</f>
        <v/>
      </c>
      <c r="I176" s="16" t="str">
        <f t="shared" si="23"/>
        <v/>
      </c>
      <c r="J176" s="16" t="str">
        <f>IF(H176="","",H176/MAX(H$5:H176)-1)</f>
        <v/>
      </c>
      <c r="K176" s="13" t="str">
        <f>IF(OR('实盘净值数据(iFinD公式)'!$A176="",'实盘净值数据(iFinD公式)'!$B176="",'实盘净值数据(iFinD公式)'!$Z176="",'实盘净值数据(iFinD公式)'!$AA176=""),"",分期持仓明细!$AB$23*(SUMPRODUCT(分期持仓明细!$B$23:$Y$23,'实盘净值数据(iFinD公式)'!$B176:$Y176/'实盘净值数据(iFinD公式)'!$B$65:$Y$65)+SUMPRODUCT(分期持仓明细!$AC$23:$AD$23,'实盘净值数据(iFinD公式)'!$Z176:$AA176/'实盘净值数据(iFinD公式)'!$Z$65:$AA$65))*(1-实盘持仓配置!$AM$7)^(('实盘净值数据(iFinD公式)'!$A176-'实盘净值数据(iFinD公式)'!$A$8)/365))</f>
        <v/>
      </c>
      <c r="L176" s="16" t="str">
        <f t="shared" si="24"/>
        <v/>
      </c>
      <c r="M176" s="16" t="str">
        <f>IF(K176="","",K176/MAX(K$5:K176)-1)</f>
        <v/>
      </c>
      <c r="N176" s="13" t="str">
        <f>IF(OR('实盘净值数据(iFinD公式)'!$A176="",'实盘净值数据(iFinD公式)'!$B176="",'实盘净值数据(iFinD公式)'!$Z176="",'实盘净值数据(iFinD公式)'!$AA176=""),"",分期持仓明细!$AB$24*(SUMPRODUCT(分期持仓明细!$B$24:$Y$24,'实盘净值数据(iFinD公式)'!$B176:$Y176/'实盘净值数据(iFinD公式)'!$B$65:$Y$65)+SUMPRODUCT(分期持仓明细!$AC$24:$AD$24,'实盘净值数据(iFinD公式)'!$Z176:$AA176/'实盘净值数据(iFinD公式)'!$Z$65:$AA$65))*(1-实盘持仓配置!$AM$8)^(('实盘净值数据(iFinD公式)'!$A176-'实盘净值数据(iFinD公式)'!$A$5)/365))</f>
        <v/>
      </c>
      <c r="O176" s="16" t="str">
        <f t="shared" si="25"/>
        <v/>
      </c>
      <c r="P176" s="16" t="str">
        <f>IF(N176="","",N176/MAX(N$5:N176)-1)</f>
        <v/>
      </c>
      <c r="Q176" s="13" t="str">
        <f>IF(OR('实盘净值数据(iFinD公式)'!$A176="",'实盘净值数据(iFinD公式)'!$B176="",'实盘净值数据(iFinD公式)'!$Z176="",'实盘净值数据(iFinD公式)'!$AA176=""),"",分期持仓明细!$AB$25*(SUMPRODUCT(分期持仓明细!$B$25:$Y$25,'实盘净值数据(iFinD公式)'!$B176:$Y176/'实盘净值数据(iFinD公式)'!$B$65:$Y$65)+SUMPRODUCT(分期持仓明细!$AC$25:$AD$25,'实盘净值数据(iFinD公式)'!$Z176:$AA176/'实盘净值数据(iFinD公式)'!$Z$65:$AA$65))*(1-实盘持仓配置!$AM$9)^(('实盘净值数据(iFinD公式)'!$A176-'实盘净值数据(iFinD公式)'!$A$8)/365))</f>
        <v/>
      </c>
      <c r="R176" s="16" t="str">
        <f t="shared" si="26"/>
        <v/>
      </c>
      <c r="S176" s="16" t="str">
        <f>IF(Q176="","",Q176/MAX(Q$5:Q176)-1)</f>
        <v/>
      </c>
      <c r="T176" s="13" t="str">
        <f>IF(OR('实盘净值数据(iFinD公式)'!$A176="",'实盘净值数据(iFinD公式)'!$B176="",'实盘净值数据(iFinD公式)'!$Z176="",'实盘净值数据(iFinD公式)'!$AA176="",'实盘净值数据(iFinD公式)'!$AB176="",'实盘净值数据(iFinD公式)'!$AL176=""),"",(SUMPRODUCT(分期持仓明细!$B$26:$Y$26,'实盘净值数据(iFinD公式)'!$B176:$Y176/'实盘净值数据(iFinD公式)'!$B$69:$Y$69)+SUMPRODUCT(分期持仓明细!$AC$26:$AD$26,'实盘净值数据(iFinD公式)'!$Z176:$AA176/'实盘净值数据(iFinD公式)'!$Z$69:$AA$69)+SUMPRODUCT(分期持仓明细!$AE$26:$AO$26,'实盘净值数据(iFinD公式)'!$AB176:$AL176/'实盘净值数据(iFinD公式)'!$AB$69:$AL$69))*(1-实盘持仓配置!$AM$10)^(('实盘净值数据(iFinD公式)'!$A176-'实盘净值数据(iFinD公式)'!$A$69)/365))</f>
        <v/>
      </c>
      <c r="U176" s="16" t="str">
        <f t="shared" si="27"/>
        <v/>
      </c>
      <c r="V176" s="16" t="str">
        <f>IF(T176="","",T176/MAX(T$5:T176)-1)</f>
        <v/>
      </c>
    </row>
    <row r="177" spans="1:22">
      <c r="A177" s="15" t="str">
        <f>IF('实盘净值数据(iFinD公式)'!A177="","",'实盘净值数据(iFinD公式)'!A177)</f>
        <v/>
      </c>
      <c r="B177" s="13" t="str">
        <f>IF(OR('实盘净值数据(iFinD公式)'!$A177="",'实盘净值数据(iFinD公式)'!$B177=""),"",分期持仓明细!$AB$17*SUMPRODUCT(分期持仓明细!$B$17:$Y$17,'实盘净值数据(iFinD公式)'!$B177:$Y177/'实盘净值数据(iFinD公式)'!$B$20:$Y$20)*(1-实盘持仓配置!$AM$4)^(('实盘净值数据(iFinD公式)'!$A177-'实盘净值数据(iFinD公式)'!$A$6)/365))</f>
        <v/>
      </c>
      <c r="C177" s="16" t="str">
        <f t="shared" si="21"/>
        <v/>
      </c>
      <c r="D177" s="16" t="str">
        <f>IF(B177="","",B177/MAX(B$5:B177)-1)</f>
        <v/>
      </c>
      <c r="E177" s="13" t="str">
        <f>IF(OR('实盘净值数据(iFinD公式)'!$A177="",'实盘净值数据(iFinD公式)'!$B177=""),"",分期持仓明细!$AB$18*SUMPRODUCT(分期持仓明细!$B$18:$Y$18,'实盘净值数据(iFinD公式)'!$B177:$Y177/'实盘净值数据(iFinD公式)'!$B$20:$Y$20)*(1-实盘持仓配置!$AM$5)^(('实盘净值数据(iFinD公式)'!$A177-'实盘净值数据(iFinD公式)'!$A$5)/365))</f>
        <v/>
      </c>
      <c r="F177" s="16" t="str">
        <f t="shared" si="22"/>
        <v/>
      </c>
      <c r="G177" s="16" t="str">
        <f>IF(E177="","",E177/MAX(E$5:E177)-1)</f>
        <v/>
      </c>
      <c r="H177" s="13" t="str">
        <f>IF(OR('实盘净值数据(iFinD公式)'!$A177="",'实盘净值数据(iFinD公式)'!$B177=""),"",分期持仓明细!$AB$19*SUMPRODUCT(分期持仓明细!$B$19:$Y$19,'实盘净值数据(iFinD公式)'!$B177:$Y177/'实盘净值数据(iFinD公式)'!$B$20:$Y$20)*(1-实盘持仓配置!$AM$6)^(('实盘净值数据(iFinD公式)'!$A177-'实盘净值数据(iFinD公式)'!$A$7)/365))</f>
        <v/>
      </c>
      <c r="I177" s="16" t="str">
        <f t="shared" si="23"/>
        <v/>
      </c>
      <c r="J177" s="16" t="str">
        <f>IF(H177="","",H177/MAX(H$5:H177)-1)</f>
        <v/>
      </c>
      <c r="K177" s="13" t="str">
        <f>IF(OR('实盘净值数据(iFinD公式)'!$A177="",'实盘净值数据(iFinD公式)'!$B177="",'实盘净值数据(iFinD公式)'!$Z177="",'实盘净值数据(iFinD公式)'!$AA177=""),"",分期持仓明细!$AB$23*(SUMPRODUCT(分期持仓明细!$B$23:$Y$23,'实盘净值数据(iFinD公式)'!$B177:$Y177/'实盘净值数据(iFinD公式)'!$B$65:$Y$65)+SUMPRODUCT(分期持仓明细!$AC$23:$AD$23,'实盘净值数据(iFinD公式)'!$Z177:$AA177/'实盘净值数据(iFinD公式)'!$Z$65:$AA$65))*(1-实盘持仓配置!$AM$7)^(('实盘净值数据(iFinD公式)'!$A177-'实盘净值数据(iFinD公式)'!$A$8)/365))</f>
        <v/>
      </c>
      <c r="L177" s="16" t="str">
        <f t="shared" si="24"/>
        <v/>
      </c>
      <c r="M177" s="16" t="str">
        <f>IF(K177="","",K177/MAX(K$5:K177)-1)</f>
        <v/>
      </c>
      <c r="N177" s="13" t="str">
        <f>IF(OR('实盘净值数据(iFinD公式)'!$A177="",'实盘净值数据(iFinD公式)'!$B177="",'实盘净值数据(iFinD公式)'!$Z177="",'实盘净值数据(iFinD公式)'!$AA177=""),"",分期持仓明细!$AB$24*(SUMPRODUCT(分期持仓明细!$B$24:$Y$24,'实盘净值数据(iFinD公式)'!$B177:$Y177/'实盘净值数据(iFinD公式)'!$B$65:$Y$65)+SUMPRODUCT(分期持仓明细!$AC$24:$AD$24,'实盘净值数据(iFinD公式)'!$Z177:$AA177/'实盘净值数据(iFinD公式)'!$Z$65:$AA$65))*(1-实盘持仓配置!$AM$8)^(('实盘净值数据(iFinD公式)'!$A177-'实盘净值数据(iFinD公式)'!$A$5)/365))</f>
        <v/>
      </c>
      <c r="O177" s="16" t="str">
        <f t="shared" si="25"/>
        <v/>
      </c>
      <c r="P177" s="16" t="str">
        <f>IF(N177="","",N177/MAX(N$5:N177)-1)</f>
        <v/>
      </c>
      <c r="Q177" s="13" t="str">
        <f>IF(OR('实盘净值数据(iFinD公式)'!$A177="",'实盘净值数据(iFinD公式)'!$B177="",'实盘净值数据(iFinD公式)'!$Z177="",'实盘净值数据(iFinD公式)'!$AA177=""),"",分期持仓明细!$AB$25*(SUMPRODUCT(分期持仓明细!$B$25:$Y$25,'实盘净值数据(iFinD公式)'!$B177:$Y177/'实盘净值数据(iFinD公式)'!$B$65:$Y$65)+SUMPRODUCT(分期持仓明细!$AC$25:$AD$25,'实盘净值数据(iFinD公式)'!$Z177:$AA177/'实盘净值数据(iFinD公式)'!$Z$65:$AA$65))*(1-实盘持仓配置!$AM$9)^(('实盘净值数据(iFinD公式)'!$A177-'实盘净值数据(iFinD公式)'!$A$8)/365))</f>
        <v/>
      </c>
      <c r="R177" s="16" t="str">
        <f t="shared" si="26"/>
        <v/>
      </c>
      <c r="S177" s="16" t="str">
        <f>IF(Q177="","",Q177/MAX(Q$5:Q177)-1)</f>
        <v/>
      </c>
      <c r="T177" s="13" t="str">
        <f>IF(OR('实盘净值数据(iFinD公式)'!$A177="",'实盘净值数据(iFinD公式)'!$B177="",'实盘净值数据(iFinD公式)'!$Z177="",'实盘净值数据(iFinD公式)'!$AA177="",'实盘净值数据(iFinD公式)'!$AB177="",'实盘净值数据(iFinD公式)'!$AL177=""),"",(SUMPRODUCT(分期持仓明细!$B$26:$Y$26,'实盘净值数据(iFinD公式)'!$B177:$Y177/'实盘净值数据(iFinD公式)'!$B$69:$Y$69)+SUMPRODUCT(分期持仓明细!$AC$26:$AD$26,'实盘净值数据(iFinD公式)'!$Z177:$AA177/'实盘净值数据(iFinD公式)'!$Z$69:$AA$69)+SUMPRODUCT(分期持仓明细!$AE$26:$AO$26,'实盘净值数据(iFinD公式)'!$AB177:$AL177/'实盘净值数据(iFinD公式)'!$AB$69:$AL$69))*(1-实盘持仓配置!$AM$10)^(('实盘净值数据(iFinD公式)'!$A177-'实盘净值数据(iFinD公式)'!$A$69)/365))</f>
        <v/>
      </c>
      <c r="U177" s="16" t="str">
        <f t="shared" si="27"/>
        <v/>
      </c>
      <c r="V177" s="16" t="str">
        <f>IF(T177="","",T177/MAX(T$5:T177)-1)</f>
        <v/>
      </c>
    </row>
    <row r="178" spans="1:22">
      <c r="A178" s="15" t="str">
        <f>IF('实盘净值数据(iFinD公式)'!A178="","",'实盘净值数据(iFinD公式)'!A178)</f>
        <v/>
      </c>
      <c r="B178" s="13" t="str">
        <f>IF(OR('实盘净值数据(iFinD公式)'!$A178="",'实盘净值数据(iFinD公式)'!$B178=""),"",分期持仓明细!$AB$17*SUMPRODUCT(分期持仓明细!$B$17:$Y$17,'实盘净值数据(iFinD公式)'!$B178:$Y178/'实盘净值数据(iFinD公式)'!$B$20:$Y$20)*(1-实盘持仓配置!$AM$4)^(('实盘净值数据(iFinD公式)'!$A178-'实盘净值数据(iFinD公式)'!$A$6)/365))</f>
        <v/>
      </c>
      <c r="C178" s="16" t="str">
        <f t="shared" si="21"/>
        <v/>
      </c>
      <c r="D178" s="16" t="str">
        <f>IF(B178="","",B178/MAX(B$5:B178)-1)</f>
        <v/>
      </c>
      <c r="E178" s="13" t="str">
        <f>IF(OR('实盘净值数据(iFinD公式)'!$A178="",'实盘净值数据(iFinD公式)'!$B178=""),"",分期持仓明细!$AB$18*SUMPRODUCT(分期持仓明细!$B$18:$Y$18,'实盘净值数据(iFinD公式)'!$B178:$Y178/'实盘净值数据(iFinD公式)'!$B$20:$Y$20)*(1-实盘持仓配置!$AM$5)^(('实盘净值数据(iFinD公式)'!$A178-'实盘净值数据(iFinD公式)'!$A$5)/365))</f>
        <v/>
      </c>
      <c r="F178" s="16" t="str">
        <f t="shared" si="22"/>
        <v/>
      </c>
      <c r="G178" s="16" t="str">
        <f>IF(E178="","",E178/MAX(E$5:E178)-1)</f>
        <v/>
      </c>
      <c r="H178" s="13" t="str">
        <f>IF(OR('实盘净值数据(iFinD公式)'!$A178="",'实盘净值数据(iFinD公式)'!$B178=""),"",分期持仓明细!$AB$19*SUMPRODUCT(分期持仓明细!$B$19:$Y$19,'实盘净值数据(iFinD公式)'!$B178:$Y178/'实盘净值数据(iFinD公式)'!$B$20:$Y$20)*(1-实盘持仓配置!$AM$6)^(('实盘净值数据(iFinD公式)'!$A178-'实盘净值数据(iFinD公式)'!$A$7)/365))</f>
        <v/>
      </c>
      <c r="I178" s="16" t="str">
        <f t="shared" si="23"/>
        <v/>
      </c>
      <c r="J178" s="16" t="str">
        <f>IF(H178="","",H178/MAX(H$5:H178)-1)</f>
        <v/>
      </c>
      <c r="K178" s="13" t="str">
        <f>IF(OR('实盘净值数据(iFinD公式)'!$A178="",'实盘净值数据(iFinD公式)'!$B178="",'实盘净值数据(iFinD公式)'!$Z178="",'实盘净值数据(iFinD公式)'!$AA178=""),"",分期持仓明细!$AB$23*(SUMPRODUCT(分期持仓明细!$B$23:$Y$23,'实盘净值数据(iFinD公式)'!$B178:$Y178/'实盘净值数据(iFinD公式)'!$B$65:$Y$65)+SUMPRODUCT(分期持仓明细!$AC$23:$AD$23,'实盘净值数据(iFinD公式)'!$Z178:$AA178/'实盘净值数据(iFinD公式)'!$Z$65:$AA$65))*(1-实盘持仓配置!$AM$7)^(('实盘净值数据(iFinD公式)'!$A178-'实盘净值数据(iFinD公式)'!$A$8)/365))</f>
        <v/>
      </c>
      <c r="L178" s="16" t="str">
        <f t="shared" si="24"/>
        <v/>
      </c>
      <c r="M178" s="16" t="str">
        <f>IF(K178="","",K178/MAX(K$5:K178)-1)</f>
        <v/>
      </c>
      <c r="N178" s="13" t="str">
        <f>IF(OR('实盘净值数据(iFinD公式)'!$A178="",'实盘净值数据(iFinD公式)'!$B178="",'实盘净值数据(iFinD公式)'!$Z178="",'实盘净值数据(iFinD公式)'!$AA178=""),"",分期持仓明细!$AB$24*(SUMPRODUCT(分期持仓明细!$B$24:$Y$24,'实盘净值数据(iFinD公式)'!$B178:$Y178/'实盘净值数据(iFinD公式)'!$B$65:$Y$65)+SUMPRODUCT(分期持仓明细!$AC$24:$AD$24,'实盘净值数据(iFinD公式)'!$Z178:$AA178/'实盘净值数据(iFinD公式)'!$Z$65:$AA$65))*(1-实盘持仓配置!$AM$8)^(('实盘净值数据(iFinD公式)'!$A178-'实盘净值数据(iFinD公式)'!$A$5)/365))</f>
        <v/>
      </c>
      <c r="O178" s="16" t="str">
        <f t="shared" si="25"/>
        <v/>
      </c>
      <c r="P178" s="16" t="str">
        <f>IF(N178="","",N178/MAX(N$5:N178)-1)</f>
        <v/>
      </c>
      <c r="Q178" s="13" t="str">
        <f>IF(OR('实盘净值数据(iFinD公式)'!$A178="",'实盘净值数据(iFinD公式)'!$B178="",'实盘净值数据(iFinD公式)'!$Z178="",'实盘净值数据(iFinD公式)'!$AA178=""),"",分期持仓明细!$AB$25*(SUMPRODUCT(分期持仓明细!$B$25:$Y$25,'实盘净值数据(iFinD公式)'!$B178:$Y178/'实盘净值数据(iFinD公式)'!$B$65:$Y$65)+SUMPRODUCT(分期持仓明细!$AC$25:$AD$25,'实盘净值数据(iFinD公式)'!$Z178:$AA178/'实盘净值数据(iFinD公式)'!$Z$65:$AA$65))*(1-实盘持仓配置!$AM$9)^(('实盘净值数据(iFinD公式)'!$A178-'实盘净值数据(iFinD公式)'!$A$8)/365))</f>
        <v/>
      </c>
      <c r="R178" s="16" t="str">
        <f t="shared" si="26"/>
        <v/>
      </c>
      <c r="S178" s="16" t="str">
        <f>IF(Q178="","",Q178/MAX(Q$5:Q178)-1)</f>
        <v/>
      </c>
      <c r="T178" s="13" t="str">
        <f>IF(OR('实盘净值数据(iFinD公式)'!$A178="",'实盘净值数据(iFinD公式)'!$B178="",'实盘净值数据(iFinD公式)'!$Z178="",'实盘净值数据(iFinD公式)'!$AA178="",'实盘净值数据(iFinD公式)'!$AB178="",'实盘净值数据(iFinD公式)'!$AL178=""),"",(SUMPRODUCT(分期持仓明细!$B$26:$Y$26,'实盘净值数据(iFinD公式)'!$B178:$Y178/'实盘净值数据(iFinD公式)'!$B$69:$Y$69)+SUMPRODUCT(分期持仓明细!$AC$26:$AD$26,'实盘净值数据(iFinD公式)'!$Z178:$AA178/'实盘净值数据(iFinD公式)'!$Z$69:$AA$69)+SUMPRODUCT(分期持仓明细!$AE$26:$AO$26,'实盘净值数据(iFinD公式)'!$AB178:$AL178/'实盘净值数据(iFinD公式)'!$AB$69:$AL$69))*(1-实盘持仓配置!$AM$10)^(('实盘净值数据(iFinD公式)'!$A178-'实盘净值数据(iFinD公式)'!$A$69)/365))</f>
        <v/>
      </c>
      <c r="U178" s="16" t="str">
        <f t="shared" si="27"/>
        <v/>
      </c>
      <c r="V178" s="16" t="str">
        <f>IF(T178="","",T178/MAX(T$5:T178)-1)</f>
        <v/>
      </c>
    </row>
    <row r="179" spans="1:22">
      <c r="A179" s="15" t="str">
        <f>IF('实盘净值数据(iFinD公式)'!A179="","",'实盘净值数据(iFinD公式)'!A179)</f>
        <v/>
      </c>
      <c r="B179" s="13" t="str">
        <f>IF(OR('实盘净值数据(iFinD公式)'!$A179="",'实盘净值数据(iFinD公式)'!$B179=""),"",分期持仓明细!$AB$17*SUMPRODUCT(分期持仓明细!$B$17:$Y$17,'实盘净值数据(iFinD公式)'!$B179:$Y179/'实盘净值数据(iFinD公式)'!$B$20:$Y$20)*(1-实盘持仓配置!$AM$4)^(('实盘净值数据(iFinD公式)'!$A179-'实盘净值数据(iFinD公式)'!$A$6)/365))</f>
        <v/>
      </c>
      <c r="C179" s="16" t="str">
        <f t="shared" si="21"/>
        <v/>
      </c>
      <c r="D179" s="16" t="str">
        <f>IF(B179="","",B179/MAX(B$5:B179)-1)</f>
        <v/>
      </c>
      <c r="E179" s="13" t="str">
        <f>IF(OR('实盘净值数据(iFinD公式)'!$A179="",'实盘净值数据(iFinD公式)'!$B179=""),"",分期持仓明细!$AB$18*SUMPRODUCT(分期持仓明细!$B$18:$Y$18,'实盘净值数据(iFinD公式)'!$B179:$Y179/'实盘净值数据(iFinD公式)'!$B$20:$Y$20)*(1-实盘持仓配置!$AM$5)^(('实盘净值数据(iFinD公式)'!$A179-'实盘净值数据(iFinD公式)'!$A$5)/365))</f>
        <v/>
      </c>
      <c r="F179" s="16" t="str">
        <f t="shared" si="22"/>
        <v/>
      </c>
      <c r="G179" s="16" t="str">
        <f>IF(E179="","",E179/MAX(E$5:E179)-1)</f>
        <v/>
      </c>
      <c r="H179" s="13" t="str">
        <f>IF(OR('实盘净值数据(iFinD公式)'!$A179="",'实盘净值数据(iFinD公式)'!$B179=""),"",分期持仓明细!$AB$19*SUMPRODUCT(分期持仓明细!$B$19:$Y$19,'实盘净值数据(iFinD公式)'!$B179:$Y179/'实盘净值数据(iFinD公式)'!$B$20:$Y$20)*(1-实盘持仓配置!$AM$6)^(('实盘净值数据(iFinD公式)'!$A179-'实盘净值数据(iFinD公式)'!$A$7)/365))</f>
        <v/>
      </c>
      <c r="I179" s="16" t="str">
        <f t="shared" si="23"/>
        <v/>
      </c>
      <c r="J179" s="16" t="str">
        <f>IF(H179="","",H179/MAX(H$5:H179)-1)</f>
        <v/>
      </c>
      <c r="K179" s="13" t="str">
        <f>IF(OR('实盘净值数据(iFinD公式)'!$A179="",'实盘净值数据(iFinD公式)'!$B179="",'实盘净值数据(iFinD公式)'!$Z179="",'实盘净值数据(iFinD公式)'!$AA179=""),"",分期持仓明细!$AB$23*(SUMPRODUCT(分期持仓明细!$B$23:$Y$23,'实盘净值数据(iFinD公式)'!$B179:$Y179/'实盘净值数据(iFinD公式)'!$B$65:$Y$65)+SUMPRODUCT(分期持仓明细!$AC$23:$AD$23,'实盘净值数据(iFinD公式)'!$Z179:$AA179/'实盘净值数据(iFinD公式)'!$Z$65:$AA$65))*(1-实盘持仓配置!$AM$7)^(('实盘净值数据(iFinD公式)'!$A179-'实盘净值数据(iFinD公式)'!$A$8)/365))</f>
        <v/>
      </c>
      <c r="L179" s="16" t="str">
        <f t="shared" si="24"/>
        <v/>
      </c>
      <c r="M179" s="16" t="str">
        <f>IF(K179="","",K179/MAX(K$5:K179)-1)</f>
        <v/>
      </c>
      <c r="N179" s="13" t="str">
        <f>IF(OR('实盘净值数据(iFinD公式)'!$A179="",'实盘净值数据(iFinD公式)'!$B179="",'实盘净值数据(iFinD公式)'!$Z179="",'实盘净值数据(iFinD公式)'!$AA179=""),"",分期持仓明细!$AB$24*(SUMPRODUCT(分期持仓明细!$B$24:$Y$24,'实盘净值数据(iFinD公式)'!$B179:$Y179/'实盘净值数据(iFinD公式)'!$B$65:$Y$65)+SUMPRODUCT(分期持仓明细!$AC$24:$AD$24,'实盘净值数据(iFinD公式)'!$Z179:$AA179/'实盘净值数据(iFinD公式)'!$Z$65:$AA$65))*(1-实盘持仓配置!$AM$8)^(('实盘净值数据(iFinD公式)'!$A179-'实盘净值数据(iFinD公式)'!$A$5)/365))</f>
        <v/>
      </c>
      <c r="O179" s="16" t="str">
        <f t="shared" si="25"/>
        <v/>
      </c>
      <c r="P179" s="16" t="str">
        <f>IF(N179="","",N179/MAX(N$5:N179)-1)</f>
        <v/>
      </c>
      <c r="Q179" s="13" t="str">
        <f>IF(OR('实盘净值数据(iFinD公式)'!$A179="",'实盘净值数据(iFinD公式)'!$B179="",'实盘净值数据(iFinD公式)'!$Z179="",'实盘净值数据(iFinD公式)'!$AA179=""),"",分期持仓明细!$AB$25*(SUMPRODUCT(分期持仓明细!$B$25:$Y$25,'实盘净值数据(iFinD公式)'!$B179:$Y179/'实盘净值数据(iFinD公式)'!$B$65:$Y$65)+SUMPRODUCT(分期持仓明细!$AC$25:$AD$25,'实盘净值数据(iFinD公式)'!$Z179:$AA179/'实盘净值数据(iFinD公式)'!$Z$65:$AA$65))*(1-实盘持仓配置!$AM$9)^(('实盘净值数据(iFinD公式)'!$A179-'实盘净值数据(iFinD公式)'!$A$8)/365))</f>
        <v/>
      </c>
      <c r="R179" s="16" t="str">
        <f t="shared" si="26"/>
        <v/>
      </c>
      <c r="S179" s="16" t="str">
        <f>IF(Q179="","",Q179/MAX(Q$5:Q179)-1)</f>
        <v/>
      </c>
      <c r="T179" s="13" t="str">
        <f>IF(OR('实盘净值数据(iFinD公式)'!$A179="",'实盘净值数据(iFinD公式)'!$B179="",'实盘净值数据(iFinD公式)'!$Z179="",'实盘净值数据(iFinD公式)'!$AA179="",'实盘净值数据(iFinD公式)'!$AB179="",'实盘净值数据(iFinD公式)'!$AL179=""),"",(SUMPRODUCT(分期持仓明细!$B$26:$Y$26,'实盘净值数据(iFinD公式)'!$B179:$Y179/'实盘净值数据(iFinD公式)'!$B$69:$Y$69)+SUMPRODUCT(分期持仓明细!$AC$26:$AD$26,'实盘净值数据(iFinD公式)'!$Z179:$AA179/'实盘净值数据(iFinD公式)'!$Z$69:$AA$69)+SUMPRODUCT(分期持仓明细!$AE$26:$AO$26,'实盘净值数据(iFinD公式)'!$AB179:$AL179/'实盘净值数据(iFinD公式)'!$AB$69:$AL$69))*(1-实盘持仓配置!$AM$10)^(('实盘净值数据(iFinD公式)'!$A179-'实盘净值数据(iFinD公式)'!$A$69)/365))</f>
        <v/>
      </c>
      <c r="U179" s="16" t="str">
        <f t="shared" si="27"/>
        <v/>
      </c>
      <c r="V179" s="16" t="str">
        <f>IF(T179="","",T179/MAX(T$5:T179)-1)</f>
        <v/>
      </c>
    </row>
    <row r="180" spans="1:22">
      <c r="A180" s="15" t="str">
        <f>IF('实盘净值数据(iFinD公式)'!A180="","",'实盘净值数据(iFinD公式)'!A180)</f>
        <v/>
      </c>
      <c r="B180" s="13" t="str">
        <f>IF(OR('实盘净值数据(iFinD公式)'!$A180="",'实盘净值数据(iFinD公式)'!$B180=""),"",分期持仓明细!$AB$17*SUMPRODUCT(分期持仓明细!$B$17:$Y$17,'实盘净值数据(iFinD公式)'!$B180:$Y180/'实盘净值数据(iFinD公式)'!$B$20:$Y$20)*(1-实盘持仓配置!$AM$4)^(('实盘净值数据(iFinD公式)'!$A180-'实盘净值数据(iFinD公式)'!$A$6)/365))</f>
        <v/>
      </c>
      <c r="C180" s="16" t="str">
        <f t="shared" si="21"/>
        <v/>
      </c>
      <c r="D180" s="16" t="str">
        <f>IF(B180="","",B180/MAX(B$5:B180)-1)</f>
        <v/>
      </c>
      <c r="E180" s="13" t="str">
        <f>IF(OR('实盘净值数据(iFinD公式)'!$A180="",'实盘净值数据(iFinD公式)'!$B180=""),"",分期持仓明细!$AB$18*SUMPRODUCT(分期持仓明细!$B$18:$Y$18,'实盘净值数据(iFinD公式)'!$B180:$Y180/'实盘净值数据(iFinD公式)'!$B$20:$Y$20)*(1-实盘持仓配置!$AM$5)^(('实盘净值数据(iFinD公式)'!$A180-'实盘净值数据(iFinD公式)'!$A$5)/365))</f>
        <v/>
      </c>
      <c r="F180" s="16" t="str">
        <f t="shared" si="22"/>
        <v/>
      </c>
      <c r="G180" s="16" t="str">
        <f>IF(E180="","",E180/MAX(E$5:E180)-1)</f>
        <v/>
      </c>
      <c r="H180" s="13" t="str">
        <f>IF(OR('实盘净值数据(iFinD公式)'!$A180="",'实盘净值数据(iFinD公式)'!$B180=""),"",分期持仓明细!$AB$19*SUMPRODUCT(分期持仓明细!$B$19:$Y$19,'实盘净值数据(iFinD公式)'!$B180:$Y180/'实盘净值数据(iFinD公式)'!$B$20:$Y$20)*(1-实盘持仓配置!$AM$6)^(('实盘净值数据(iFinD公式)'!$A180-'实盘净值数据(iFinD公式)'!$A$7)/365))</f>
        <v/>
      </c>
      <c r="I180" s="16" t="str">
        <f t="shared" si="23"/>
        <v/>
      </c>
      <c r="J180" s="16" t="str">
        <f>IF(H180="","",H180/MAX(H$5:H180)-1)</f>
        <v/>
      </c>
      <c r="K180" s="13" t="str">
        <f>IF(OR('实盘净值数据(iFinD公式)'!$A180="",'实盘净值数据(iFinD公式)'!$B180="",'实盘净值数据(iFinD公式)'!$Z180="",'实盘净值数据(iFinD公式)'!$AA180=""),"",分期持仓明细!$AB$23*(SUMPRODUCT(分期持仓明细!$B$23:$Y$23,'实盘净值数据(iFinD公式)'!$B180:$Y180/'实盘净值数据(iFinD公式)'!$B$65:$Y$65)+SUMPRODUCT(分期持仓明细!$AC$23:$AD$23,'实盘净值数据(iFinD公式)'!$Z180:$AA180/'实盘净值数据(iFinD公式)'!$Z$65:$AA$65))*(1-实盘持仓配置!$AM$7)^(('实盘净值数据(iFinD公式)'!$A180-'实盘净值数据(iFinD公式)'!$A$8)/365))</f>
        <v/>
      </c>
      <c r="L180" s="16" t="str">
        <f t="shared" si="24"/>
        <v/>
      </c>
      <c r="M180" s="16" t="str">
        <f>IF(K180="","",K180/MAX(K$5:K180)-1)</f>
        <v/>
      </c>
      <c r="N180" s="13" t="str">
        <f>IF(OR('实盘净值数据(iFinD公式)'!$A180="",'实盘净值数据(iFinD公式)'!$B180="",'实盘净值数据(iFinD公式)'!$Z180="",'实盘净值数据(iFinD公式)'!$AA180=""),"",分期持仓明细!$AB$24*(SUMPRODUCT(分期持仓明细!$B$24:$Y$24,'实盘净值数据(iFinD公式)'!$B180:$Y180/'实盘净值数据(iFinD公式)'!$B$65:$Y$65)+SUMPRODUCT(分期持仓明细!$AC$24:$AD$24,'实盘净值数据(iFinD公式)'!$Z180:$AA180/'实盘净值数据(iFinD公式)'!$Z$65:$AA$65))*(1-实盘持仓配置!$AM$8)^(('实盘净值数据(iFinD公式)'!$A180-'实盘净值数据(iFinD公式)'!$A$5)/365))</f>
        <v/>
      </c>
      <c r="O180" s="16" t="str">
        <f t="shared" si="25"/>
        <v/>
      </c>
      <c r="P180" s="16" t="str">
        <f>IF(N180="","",N180/MAX(N$5:N180)-1)</f>
        <v/>
      </c>
      <c r="Q180" s="13" t="str">
        <f>IF(OR('实盘净值数据(iFinD公式)'!$A180="",'实盘净值数据(iFinD公式)'!$B180="",'实盘净值数据(iFinD公式)'!$Z180="",'实盘净值数据(iFinD公式)'!$AA180=""),"",分期持仓明细!$AB$25*(SUMPRODUCT(分期持仓明细!$B$25:$Y$25,'实盘净值数据(iFinD公式)'!$B180:$Y180/'实盘净值数据(iFinD公式)'!$B$65:$Y$65)+SUMPRODUCT(分期持仓明细!$AC$25:$AD$25,'实盘净值数据(iFinD公式)'!$Z180:$AA180/'实盘净值数据(iFinD公式)'!$Z$65:$AA$65))*(1-实盘持仓配置!$AM$9)^(('实盘净值数据(iFinD公式)'!$A180-'实盘净值数据(iFinD公式)'!$A$8)/365))</f>
        <v/>
      </c>
      <c r="R180" s="16" t="str">
        <f t="shared" si="26"/>
        <v/>
      </c>
      <c r="S180" s="16" t="str">
        <f>IF(Q180="","",Q180/MAX(Q$5:Q180)-1)</f>
        <v/>
      </c>
      <c r="T180" s="13" t="str">
        <f>IF(OR('实盘净值数据(iFinD公式)'!$A180="",'实盘净值数据(iFinD公式)'!$B180="",'实盘净值数据(iFinD公式)'!$Z180="",'实盘净值数据(iFinD公式)'!$AA180="",'实盘净值数据(iFinD公式)'!$AB180="",'实盘净值数据(iFinD公式)'!$AL180=""),"",(SUMPRODUCT(分期持仓明细!$B$26:$Y$26,'实盘净值数据(iFinD公式)'!$B180:$Y180/'实盘净值数据(iFinD公式)'!$B$69:$Y$69)+SUMPRODUCT(分期持仓明细!$AC$26:$AD$26,'实盘净值数据(iFinD公式)'!$Z180:$AA180/'实盘净值数据(iFinD公式)'!$Z$69:$AA$69)+SUMPRODUCT(分期持仓明细!$AE$26:$AO$26,'实盘净值数据(iFinD公式)'!$AB180:$AL180/'实盘净值数据(iFinD公式)'!$AB$69:$AL$69))*(1-实盘持仓配置!$AM$10)^(('实盘净值数据(iFinD公式)'!$A180-'实盘净值数据(iFinD公式)'!$A$69)/365))</f>
        <v/>
      </c>
      <c r="U180" s="16" t="str">
        <f t="shared" si="27"/>
        <v/>
      </c>
      <c r="V180" s="16" t="str">
        <f>IF(T180="","",T180/MAX(T$5:T180)-1)</f>
        <v/>
      </c>
    </row>
    <row r="181" spans="1:22">
      <c r="A181" s="15" t="str">
        <f>IF('实盘净值数据(iFinD公式)'!A181="","",'实盘净值数据(iFinD公式)'!A181)</f>
        <v/>
      </c>
      <c r="B181" s="13" t="str">
        <f>IF(OR('实盘净值数据(iFinD公式)'!$A181="",'实盘净值数据(iFinD公式)'!$B181=""),"",分期持仓明细!$AB$17*SUMPRODUCT(分期持仓明细!$B$17:$Y$17,'实盘净值数据(iFinD公式)'!$B181:$Y181/'实盘净值数据(iFinD公式)'!$B$20:$Y$20)*(1-实盘持仓配置!$AM$4)^(('实盘净值数据(iFinD公式)'!$A181-'实盘净值数据(iFinD公式)'!$A$6)/365))</f>
        <v/>
      </c>
      <c r="C181" s="16" t="str">
        <f t="shared" si="21"/>
        <v/>
      </c>
      <c r="D181" s="16" t="str">
        <f>IF(B181="","",B181/MAX(B$5:B181)-1)</f>
        <v/>
      </c>
      <c r="E181" s="13" t="str">
        <f>IF(OR('实盘净值数据(iFinD公式)'!$A181="",'实盘净值数据(iFinD公式)'!$B181=""),"",分期持仓明细!$AB$18*SUMPRODUCT(分期持仓明细!$B$18:$Y$18,'实盘净值数据(iFinD公式)'!$B181:$Y181/'实盘净值数据(iFinD公式)'!$B$20:$Y$20)*(1-实盘持仓配置!$AM$5)^(('实盘净值数据(iFinD公式)'!$A181-'实盘净值数据(iFinD公式)'!$A$5)/365))</f>
        <v/>
      </c>
      <c r="F181" s="16" t="str">
        <f t="shared" si="22"/>
        <v/>
      </c>
      <c r="G181" s="16" t="str">
        <f>IF(E181="","",E181/MAX(E$5:E181)-1)</f>
        <v/>
      </c>
      <c r="H181" s="13" t="str">
        <f>IF(OR('实盘净值数据(iFinD公式)'!$A181="",'实盘净值数据(iFinD公式)'!$B181=""),"",分期持仓明细!$AB$19*SUMPRODUCT(分期持仓明细!$B$19:$Y$19,'实盘净值数据(iFinD公式)'!$B181:$Y181/'实盘净值数据(iFinD公式)'!$B$20:$Y$20)*(1-实盘持仓配置!$AM$6)^(('实盘净值数据(iFinD公式)'!$A181-'实盘净值数据(iFinD公式)'!$A$7)/365))</f>
        <v/>
      </c>
      <c r="I181" s="16" t="str">
        <f t="shared" si="23"/>
        <v/>
      </c>
      <c r="J181" s="16" t="str">
        <f>IF(H181="","",H181/MAX(H$5:H181)-1)</f>
        <v/>
      </c>
      <c r="K181" s="13" t="str">
        <f>IF(OR('实盘净值数据(iFinD公式)'!$A181="",'实盘净值数据(iFinD公式)'!$B181="",'实盘净值数据(iFinD公式)'!$Z181="",'实盘净值数据(iFinD公式)'!$AA181=""),"",分期持仓明细!$AB$23*(SUMPRODUCT(分期持仓明细!$B$23:$Y$23,'实盘净值数据(iFinD公式)'!$B181:$Y181/'实盘净值数据(iFinD公式)'!$B$65:$Y$65)+SUMPRODUCT(分期持仓明细!$AC$23:$AD$23,'实盘净值数据(iFinD公式)'!$Z181:$AA181/'实盘净值数据(iFinD公式)'!$Z$65:$AA$65))*(1-实盘持仓配置!$AM$7)^(('实盘净值数据(iFinD公式)'!$A181-'实盘净值数据(iFinD公式)'!$A$8)/365))</f>
        <v/>
      </c>
      <c r="L181" s="16" t="str">
        <f t="shared" si="24"/>
        <v/>
      </c>
      <c r="M181" s="16" t="str">
        <f>IF(K181="","",K181/MAX(K$5:K181)-1)</f>
        <v/>
      </c>
      <c r="N181" s="13" t="str">
        <f>IF(OR('实盘净值数据(iFinD公式)'!$A181="",'实盘净值数据(iFinD公式)'!$B181="",'实盘净值数据(iFinD公式)'!$Z181="",'实盘净值数据(iFinD公式)'!$AA181=""),"",分期持仓明细!$AB$24*(SUMPRODUCT(分期持仓明细!$B$24:$Y$24,'实盘净值数据(iFinD公式)'!$B181:$Y181/'实盘净值数据(iFinD公式)'!$B$65:$Y$65)+SUMPRODUCT(分期持仓明细!$AC$24:$AD$24,'实盘净值数据(iFinD公式)'!$Z181:$AA181/'实盘净值数据(iFinD公式)'!$Z$65:$AA$65))*(1-实盘持仓配置!$AM$8)^(('实盘净值数据(iFinD公式)'!$A181-'实盘净值数据(iFinD公式)'!$A$5)/365))</f>
        <v/>
      </c>
      <c r="O181" s="16" t="str">
        <f t="shared" si="25"/>
        <v/>
      </c>
      <c r="P181" s="16" t="str">
        <f>IF(N181="","",N181/MAX(N$5:N181)-1)</f>
        <v/>
      </c>
      <c r="Q181" s="13" t="str">
        <f>IF(OR('实盘净值数据(iFinD公式)'!$A181="",'实盘净值数据(iFinD公式)'!$B181="",'实盘净值数据(iFinD公式)'!$Z181="",'实盘净值数据(iFinD公式)'!$AA181=""),"",分期持仓明细!$AB$25*(SUMPRODUCT(分期持仓明细!$B$25:$Y$25,'实盘净值数据(iFinD公式)'!$B181:$Y181/'实盘净值数据(iFinD公式)'!$B$65:$Y$65)+SUMPRODUCT(分期持仓明细!$AC$25:$AD$25,'实盘净值数据(iFinD公式)'!$Z181:$AA181/'实盘净值数据(iFinD公式)'!$Z$65:$AA$65))*(1-实盘持仓配置!$AM$9)^(('实盘净值数据(iFinD公式)'!$A181-'实盘净值数据(iFinD公式)'!$A$8)/365))</f>
        <v/>
      </c>
      <c r="R181" s="16" t="str">
        <f t="shared" si="26"/>
        <v/>
      </c>
      <c r="S181" s="16" t="str">
        <f>IF(Q181="","",Q181/MAX(Q$5:Q181)-1)</f>
        <v/>
      </c>
      <c r="T181" s="13" t="str">
        <f>IF(OR('实盘净值数据(iFinD公式)'!$A181="",'实盘净值数据(iFinD公式)'!$B181="",'实盘净值数据(iFinD公式)'!$Z181="",'实盘净值数据(iFinD公式)'!$AA181="",'实盘净值数据(iFinD公式)'!$AB181="",'实盘净值数据(iFinD公式)'!$AL181=""),"",(SUMPRODUCT(分期持仓明细!$B$26:$Y$26,'实盘净值数据(iFinD公式)'!$B181:$Y181/'实盘净值数据(iFinD公式)'!$B$69:$Y$69)+SUMPRODUCT(分期持仓明细!$AC$26:$AD$26,'实盘净值数据(iFinD公式)'!$Z181:$AA181/'实盘净值数据(iFinD公式)'!$Z$69:$AA$69)+SUMPRODUCT(分期持仓明细!$AE$26:$AO$26,'实盘净值数据(iFinD公式)'!$AB181:$AL181/'实盘净值数据(iFinD公式)'!$AB$69:$AL$69))*(1-实盘持仓配置!$AM$10)^(('实盘净值数据(iFinD公式)'!$A181-'实盘净值数据(iFinD公式)'!$A$69)/365))</f>
        <v/>
      </c>
      <c r="U181" s="16" t="str">
        <f t="shared" si="27"/>
        <v/>
      </c>
      <c r="V181" s="16" t="str">
        <f>IF(T181="","",T181/MAX(T$5:T181)-1)</f>
        <v/>
      </c>
    </row>
    <row r="182" spans="1:22">
      <c r="A182" s="15" t="str">
        <f>IF('实盘净值数据(iFinD公式)'!A182="","",'实盘净值数据(iFinD公式)'!A182)</f>
        <v/>
      </c>
      <c r="B182" s="13" t="str">
        <f>IF(OR('实盘净值数据(iFinD公式)'!$A182="",'实盘净值数据(iFinD公式)'!$B182=""),"",分期持仓明细!$AB$17*SUMPRODUCT(分期持仓明细!$B$17:$Y$17,'实盘净值数据(iFinD公式)'!$B182:$Y182/'实盘净值数据(iFinD公式)'!$B$20:$Y$20)*(1-实盘持仓配置!$AM$4)^(('实盘净值数据(iFinD公式)'!$A182-'实盘净值数据(iFinD公式)'!$A$6)/365))</f>
        <v/>
      </c>
      <c r="C182" s="16" t="str">
        <f t="shared" si="21"/>
        <v/>
      </c>
      <c r="D182" s="16" t="str">
        <f>IF(B182="","",B182/MAX(B$5:B182)-1)</f>
        <v/>
      </c>
      <c r="E182" s="13" t="str">
        <f>IF(OR('实盘净值数据(iFinD公式)'!$A182="",'实盘净值数据(iFinD公式)'!$B182=""),"",分期持仓明细!$AB$18*SUMPRODUCT(分期持仓明细!$B$18:$Y$18,'实盘净值数据(iFinD公式)'!$B182:$Y182/'实盘净值数据(iFinD公式)'!$B$20:$Y$20)*(1-实盘持仓配置!$AM$5)^(('实盘净值数据(iFinD公式)'!$A182-'实盘净值数据(iFinD公式)'!$A$5)/365))</f>
        <v/>
      </c>
      <c r="F182" s="16" t="str">
        <f t="shared" si="22"/>
        <v/>
      </c>
      <c r="G182" s="16" t="str">
        <f>IF(E182="","",E182/MAX(E$5:E182)-1)</f>
        <v/>
      </c>
      <c r="H182" s="13" t="str">
        <f>IF(OR('实盘净值数据(iFinD公式)'!$A182="",'实盘净值数据(iFinD公式)'!$B182=""),"",分期持仓明细!$AB$19*SUMPRODUCT(分期持仓明细!$B$19:$Y$19,'实盘净值数据(iFinD公式)'!$B182:$Y182/'实盘净值数据(iFinD公式)'!$B$20:$Y$20)*(1-实盘持仓配置!$AM$6)^(('实盘净值数据(iFinD公式)'!$A182-'实盘净值数据(iFinD公式)'!$A$7)/365))</f>
        <v/>
      </c>
      <c r="I182" s="16" t="str">
        <f t="shared" si="23"/>
        <v/>
      </c>
      <c r="J182" s="16" t="str">
        <f>IF(H182="","",H182/MAX(H$5:H182)-1)</f>
        <v/>
      </c>
      <c r="K182" s="13" t="str">
        <f>IF(OR('实盘净值数据(iFinD公式)'!$A182="",'实盘净值数据(iFinD公式)'!$B182="",'实盘净值数据(iFinD公式)'!$Z182="",'实盘净值数据(iFinD公式)'!$AA182=""),"",分期持仓明细!$AB$23*(SUMPRODUCT(分期持仓明细!$B$23:$Y$23,'实盘净值数据(iFinD公式)'!$B182:$Y182/'实盘净值数据(iFinD公式)'!$B$65:$Y$65)+SUMPRODUCT(分期持仓明细!$AC$23:$AD$23,'实盘净值数据(iFinD公式)'!$Z182:$AA182/'实盘净值数据(iFinD公式)'!$Z$65:$AA$65))*(1-实盘持仓配置!$AM$7)^(('实盘净值数据(iFinD公式)'!$A182-'实盘净值数据(iFinD公式)'!$A$8)/365))</f>
        <v/>
      </c>
      <c r="L182" s="16" t="str">
        <f t="shared" si="24"/>
        <v/>
      </c>
      <c r="M182" s="16" t="str">
        <f>IF(K182="","",K182/MAX(K$5:K182)-1)</f>
        <v/>
      </c>
      <c r="N182" s="13" t="str">
        <f>IF(OR('实盘净值数据(iFinD公式)'!$A182="",'实盘净值数据(iFinD公式)'!$B182="",'实盘净值数据(iFinD公式)'!$Z182="",'实盘净值数据(iFinD公式)'!$AA182=""),"",分期持仓明细!$AB$24*(SUMPRODUCT(分期持仓明细!$B$24:$Y$24,'实盘净值数据(iFinD公式)'!$B182:$Y182/'实盘净值数据(iFinD公式)'!$B$65:$Y$65)+SUMPRODUCT(分期持仓明细!$AC$24:$AD$24,'实盘净值数据(iFinD公式)'!$Z182:$AA182/'实盘净值数据(iFinD公式)'!$Z$65:$AA$65))*(1-实盘持仓配置!$AM$8)^(('实盘净值数据(iFinD公式)'!$A182-'实盘净值数据(iFinD公式)'!$A$5)/365))</f>
        <v/>
      </c>
      <c r="O182" s="16" t="str">
        <f t="shared" si="25"/>
        <v/>
      </c>
      <c r="P182" s="16" t="str">
        <f>IF(N182="","",N182/MAX(N$5:N182)-1)</f>
        <v/>
      </c>
      <c r="Q182" s="13" t="str">
        <f>IF(OR('实盘净值数据(iFinD公式)'!$A182="",'实盘净值数据(iFinD公式)'!$B182="",'实盘净值数据(iFinD公式)'!$Z182="",'实盘净值数据(iFinD公式)'!$AA182=""),"",分期持仓明细!$AB$25*(SUMPRODUCT(分期持仓明细!$B$25:$Y$25,'实盘净值数据(iFinD公式)'!$B182:$Y182/'实盘净值数据(iFinD公式)'!$B$65:$Y$65)+SUMPRODUCT(分期持仓明细!$AC$25:$AD$25,'实盘净值数据(iFinD公式)'!$Z182:$AA182/'实盘净值数据(iFinD公式)'!$Z$65:$AA$65))*(1-实盘持仓配置!$AM$9)^(('实盘净值数据(iFinD公式)'!$A182-'实盘净值数据(iFinD公式)'!$A$8)/365))</f>
        <v/>
      </c>
      <c r="R182" s="16" t="str">
        <f t="shared" si="26"/>
        <v/>
      </c>
      <c r="S182" s="16" t="str">
        <f>IF(Q182="","",Q182/MAX(Q$5:Q182)-1)</f>
        <v/>
      </c>
      <c r="T182" s="13" t="str">
        <f>IF(OR('实盘净值数据(iFinD公式)'!$A182="",'实盘净值数据(iFinD公式)'!$B182="",'实盘净值数据(iFinD公式)'!$Z182="",'实盘净值数据(iFinD公式)'!$AA182="",'实盘净值数据(iFinD公式)'!$AB182="",'实盘净值数据(iFinD公式)'!$AL182=""),"",(SUMPRODUCT(分期持仓明细!$B$26:$Y$26,'实盘净值数据(iFinD公式)'!$B182:$Y182/'实盘净值数据(iFinD公式)'!$B$69:$Y$69)+SUMPRODUCT(分期持仓明细!$AC$26:$AD$26,'实盘净值数据(iFinD公式)'!$Z182:$AA182/'实盘净值数据(iFinD公式)'!$Z$69:$AA$69)+SUMPRODUCT(分期持仓明细!$AE$26:$AO$26,'实盘净值数据(iFinD公式)'!$AB182:$AL182/'实盘净值数据(iFinD公式)'!$AB$69:$AL$69))*(1-实盘持仓配置!$AM$10)^(('实盘净值数据(iFinD公式)'!$A182-'实盘净值数据(iFinD公式)'!$A$69)/365))</f>
        <v/>
      </c>
      <c r="U182" s="16" t="str">
        <f t="shared" si="27"/>
        <v/>
      </c>
      <c r="V182" s="16" t="str">
        <f>IF(T182="","",T182/MAX(T$5:T182)-1)</f>
        <v/>
      </c>
    </row>
    <row r="183" spans="1:22">
      <c r="A183" s="15" t="str">
        <f>IF('实盘净值数据(iFinD公式)'!A183="","",'实盘净值数据(iFinD公式)'!A183)</f>
        <v/>
      </c>
      <c r="B183" s="13" t="str">
        <f>IF(OR('实盘净值数据(iFinD公式)'!$A183="",'实盘净值数据(iFinD公式)'!$B183=""),"",分期持仓明细!$AB$17*SUMPRODUCT(分期持仓明细!$B$17:$Y$17,'实盘净值数据(iFinD公式)'!$B183:$Y183/'实盘净值数据(iFinD公式)'!$B$20:$Y$20)*(1-实盘持仓配置!$AM$4)^(('实盘净值数据(iFinD公式)'!$A183-'实盘净值数据(iFinD公式)'!$A$6)/365))</f>
        <v/>
      </c>
      <c r="C183" s="16" t="str">
        <f t="shared" si="21"/>
        <v/>
      </c>
      <c r="D183" s="16" t="str">
        <f>IF(B183="","",B183/MAX(B$5:B183)-1)</f>
        <v/>
      </c>
      <c r="E183" s="13" t="str">
        <f>IF(OR('实盘净值数据(iFinD公式)'!$A183="",'实盘净值数据(iFinD公式)'!$B183=""),"",分期持仓明细!$AB$18*SUMPRODUCT(分期持仓明细!$B$18:$Y$18,'实盘净值数据(iFinD公式)'!$B183:$Y183/'实盘净值数据(iFinD公式)'!$B$20:$Y$20)*(1-实盘持仓配置!$AM$5)^(('实盘净值数据(iFinD公式)'!$A183-'实盘净值数据(iFinD公式)'!$A$5)/365))</f>
        <v/>
      </c>
      <c r="F183" s="16" t="str">
        <f t="shared" si="22"/>
        <v/>
      </c>
      <c r="G183" s="16" t="str">
        <f>IF(E183="","",E183/MAX(E$5:E183)-1)</f>
        <v/>
      </c>
      <c r="H183" s="13" t="str">
        <f>IF(OR('实盘净值数据(iFinD公式)'!$A183="",'实盘净值数据(iFinD公式)'!$B183=""),"",分期持仓明细!$AB$19*SUMPRODUCT(分期持仓明细!$B$19:$Y$19,'实盘净值数据(iFinD公式)'!$B183:$Y183/'实盘净值数据(iFinD公式)'!$B$20:$Y$20)*(1-实盘持仓配置!$AM$6)^(('实盘净值数据(iFinD公式)'!$A183-'实盘净值数据(iFinD公式)'!$A$7)/365))</f>
        <v/>
      </c>
      <c r="I183" s="16" t="str">
        <f t="shared" si="23"/>
        <v/>
      </c>
      <c r="J183" s="16" t="str">
        <f>IF(H183="","",H183/MAX(H$5:H183)-1)</f>
        <v/>
      </c>
      <c r="K183" s="13" t="str">
        <f>IF(OR('实盘净值数据(iFinD公式)'!$A183="",'实盘净值数据(iFinD公式)'!$B183="",'实盘净值数据(iFinD公式)'!$Z183="",'实盘净值数据(iFinD公式)'!$AA183=""),"",分期持仓明细!$AB$23*(SUMPRODUCT(分期持仓明细!$B$23:$Y$23,'实盘净值数据(iFinD公式)'!$B183:$Y183/'实盘净值数据(iFinD公式)'!$B$65:$Y$65)+SUMPRODUCT(分期持仓明细!$AC$23:$AD$23,'实盘净值数据(iFinD公式)'!$Z183:$AA183/'实盘净值数据(iFinD公式)'!$Z$65:$AA$65))*(1-实盘持仓配置!$AM$7)^(('实盘净值数据(iFinD公式)'!$A183-'实盘净值数据(iFinD公式)'!$A$8)/365))</f>
        <v/>
      </c>
      <c r="L183" s="16" t="str">
        <f t="shared" si="24"/>
        <v/>
      </c>
      <c r="M183" s="16" t="str">
        <f>IF(K183="","",K183/MAX(K$5:K183)-1)</f>
        <v/>
      </c>
      <c r="N183" s="13" t="str">
        <f>IF(OR('实盘净值数据(iFinD公式)'!$A183="",'实盘净值数据(iFinD公式)'!$B183="",'实盘净值数据(iFinD公式)'!$Z183="",'实盘净值数据(iFinD公式)'!$AA183=""),"",分期持仓明细!$AB$24*(SUMPRODUCT(分期持仓明细!$B$24:$Y$24,'实盘净值数据(iFinD公式)'!$B183:$Y183/'实盘净值数据(iFinD公式)'!$B$65:$Y$65)+SUMPRODUCT(分期持仓明细!$AC$24:$AD$24,'实盘净值数据(iFinD公式)'!$Z183:$AA183/'实盘净值数据(iFinD公式)'!$Z$65:$AA$65))*(1-实盘持仓配置!$AM$8)^(('实盘净值数据(iFinD公式)'!$A183-'实盘净值数据(iFinD公式)'!$A$5)/365))</f>
        <v/>
      </c>
      <c r="O183" s="16" t="str">
        <f t="shared" si="25"/>
        <v/>
      </c>
      <c r="P183" s="16" t="str">
        <f>IF(N183="","",N183/MAX(N$5:N183)-1)</f>
        <v/>
      </c>
      <c r="Q183" s="13" t="str">
        <f>IF(OR('实盘净值数据(iFinD公式)'!$A183="",'实盘净值数据(iFinD公式)'!$B183="",'实盘净值数据(iFinD公式)'!$Z183="",'实盘净值数据(iFinD公式)'!$AA183=""),"",分期持仓明细!$AB$25*(SUMPRODUCT(分期持仓明细!$B$25:$Y$25,'实盘净值数据(iFinD公式)'!$B183:$Y183/'实盘净值数据(iFinD公式)'!$B$65:$Y$65)+SUMPRODUCT(分期持仓明细!$AC$25:$AD$25,'实盘净值数据(iFinD公式)'!$Z183:$AA183/'实盘净值数据(iFinD公式)'!$Z$65:$AA$65))*(1-实盘持仓配置!$AM$9)^(('实盘净值数据(iFinD公式)'!$A183-'实盘净值数据(iFinD公式)'!$A$8)/365))</f>
        <v/>
      </c>
      <c r="R183" s="16" t="str">
        <f t="shared" si="26"/>
        <v/>
      </c>
      <c r="S183" s="16" t="str">
        <f>IF(Q183="","",Q183/MAX(Q$5:Q183)-1)</f>
        <v/>
      </c>
      <c r="T183" s="13" t="str">
        <f>IF(OR('实盘净值数据(iFinD公式)'!$A183="",'实盘净值数据(iFinD公式)'!$B183="",'实盘净值数据(iFinD公式)'!$Z183="",'实盘净值数据(iFinD公式)'!$AA183="",'实盘净值数据(iFinD公式)'!$AB183="",'实盘净值数据(iFinD公式)'!$AL183=""),"",(SUMPRODUCT(分期持仓明细!$B$26:$Y$26,'实盘净值数据(iFinD公式)'!$B183:$Y183/'实盘净值数据(iFinD公式)'!$B$69:$Y$69)+SUMPRODUCT(分期持仓明细!$AC$26:$AD$26,'实盘净值数据(iFinD公式)'!$Z183:$AA183/'实盘净值数据(iFinD公式)'!$Z$69:$AA$69)+SUMPRODUCT(分期持仓明细!$AE$26:$AO$26,'实盘净值数据(iFinD公式)'!$AB183:$AL183/'实盘净值数据(iFinD公式)'!$AB$69:$AL$69))*(1-实盘持仓配置!$AM$10)^(('实盘净值数据(iFinD公式)'!$A183-'实盘净值数据(iFinD公式)'!$A$69)/365))</f>
        <v/>
      </c>
      <c r="U183" s="16" t="str">
        <f t="shared" si="27"/>
        <v/>
      </c>
      <c r="V183" s="16" t="str">
        <f>IF(T183="","",T183/MAX(T$5:T183)-1)</f>
        <v/>
      </c>
    </row>
    <row r="184" spans="1:22">
      <c r="A184" s="15" t="str">
        <f>IF('实盘净值数据(iFinD公式)'!A184="","",'实盘净值数据(iFinD公式)'!A184)</f>
        <v/>
      </c>
      <c r="B184" s="13" t="str">
        <f>IF(OR('实盘净值数据(iFinD公式)'!$A184="",'实盘净值数据(iFinD公式)'!$B184=""),"",分期持仓明细!$AB$17*SUMPRODUCT(分期持仓明细!$B$17:$Y$17,'实盘净值数据(iFinD公式)'!$B184:$Y184/'实盘净值数据(iFinD公式)'!$B$20:$Y$20)*(1-实盘持仓配置!$AM$4)^(('实盘净值数据(iFinD公式)'!$A184-'实盘净值数据(iFinD公式)'!$A$6)/365))</f>
        <v/>
      </c>
      <c r="C184" s="16" t="str">
        <f t="shared" si="21"/>
        <v/>
      </c>
      <c r="D184" s="16" t="str">
        <f>IF(B184="","",B184/MAX(B$5:B184)-1)</f>
        <v/>
      </c>
      <c r="E184" s="13" t="str">
        <f>IF(OR('实盘净值数据(iFinD公式)'!$A184="",'实盘净值数据(iFinD公式)'!$B184=""),"",分期持仓明细!$AB$18*SUMPRODUCT(分期持仓明细!$B$18:$Y$18,'实盘净值数据(iFinD公式)'!$B184:$Y184/'实盘净值数据(iFinD公式)'!$B$20:$Y$20)*(1-实盘持仓配置!$AM$5)^(('实盘净值数据(iFinD公式)'!$A184-'实盘净值数据(iFinD公式)'!$A$5)/365))</f>
        <v/>
      </c>
      <c r="F184" s="16" t="str">
        <f t="shared" si="22"/>
        <v/>
      </c>
      <c r="G184" s="16" t="str">
        <f>IF(E184="","",E184/MAX(E$5:E184)-1)</f>
        <v/>
      </c>
      <c r="H184" s="13" t="str">
        <f>IF(OR('实盘净值数据(iFinD公式)'!$A184="",'实盘净值数据(iFinD公式)'!$B184=""),"",分期持仓明细!$AB$19*SUMPRODUCT(分期持仓明细!$B$19:$Y$19,'实盘净值数据(iFinD公式)'!$B184:$Y184/'实盘净值数据(iFinD公式)'!$B$20:$Y$20)*(1-实盘持仓配置!$AM$6)^(('实盘净值数据(iFinD公式)'!$A184-'实盘净值数据(iFinD公式)'!$A$7)/365))</f>
        <v/>
      </c>
      <c r="I184" s="16" t="str">
        <f t="shared" si="23"/>
        <v/>
      </c>
      <c r="J184" s="16" t="str">
        <f>IF(H184="","",H184/MAX(H$5:H184)-1)</f>
        <v/>
      </c>
      <c r="K184" s="13" t="str">
        <f>IF(OR('实盘净值数据(iFinD公式)'!$A184="",'实盘净值数据(iFinD公式)'!$B184="",'实盘净值数据(iFinD公式)'!$Z184="",'实盘净值数据(iFinD公式)'!$AA184=""),"",分期持仓明细!$AB$23*(SUMPRODUCT(分期持仓明细!$B$23:$Y$23,'实盘净值数据(iFinD公式)'!$B184:$Y184/'实盘净值数据(iFinD公式)'!$B$65:$Y$65)+SUMPRODUCT(分期持仓明细!$AC$23:$AD$23,'实盘净值数据(iFinD公式)'!$Z184:$AA184/'实盘净值数据(iFinD公式)'!$Z$65:$AA$65))*(1-实盘持仓配置!$AM$7)^(('实盘净值数据(iFinD公式)'!$A184-'实盘净值数据(iFinD公式)'!$A$8)/365))</f>
        <v/>
      </c>
      <c r="L184" s="16" t="str">
        <f t="shared" si="24"/>
        <v/>
      </c>
      <c r="M184" s="16" t="str">
        <f>IF(K184="","",K184/MAX(K$5:K184)-1)</f>
        <v/>
      </c>
      <c r="N184" s="13" t="str">
        <f>IF(OR('实盘净值数据(iFinD公式)'!$A184="",'实盘净值数据(iFinD公式)'!$B184="",'实盘净值数据(iFinD公式)'!$Z184="",'实盘净值数据(iFinD公式)'!$AA184=""),"",分期持仓明细!$AB$24*(SUMPRODUCT(分期持仓明细!$B$24:$Y$24,'实盘净值数据(iFinD公式)'!$B184:$Y184/'实盘净值数据(iFinD公式)'!$B$65:$Y$65)+SUMPRODUCT(分期持仓明细!$AC$24:$AD$24,'实盘净值数据(iFinD公式)'!$Z184:$AA184/'实盘净值数据(iFinD公式)'!$Z$65:$AA$65))*(1-实盘持仓配置!$AM$8)^(('实盘净值数据(iFinD公式)'!$A184-'实盘净值数据(iFinD公式)'!$A$5)/365))</f>
        <v/>
      </c>
      <c r="O184" s="16" t="str">
        <f t="shared" si="25"/>
        <v/>
      </c>
      <c r="P184" s="16" t="str">
        <f>IF(N184="","",N184/MAX(N$5:N184)-1)</f>
        <v/>
      </c>
      <c r="Q184" s="13" t="str">
        <f>IF(OR('实盘净值数据(iFinD公式)'!$A184="",'实盘净值数据(iFinD公式)'!$B184="",'实盘净值数据(iFinD公式)'!$Z184="",'实盘净值数据(iFinD公式)'!$AA184=""),"",分期持仓明细!$AB$25*(SUMPRODUCT(分期持仓明细!$B$25:$Y$25,'实盘净值数据(iFinD公式)'!$B184:$Y184/'实盘净值数据(iFinD公式)'!$B$65:$Y$65)+SUMPRODUCT(分期持仓明细!$AC$25:$AD$25,'实盘净值数据(iFinD公式)'!$Z184:$AA184/'实盘净值数据(iFinD公式)'!$Z$65:$AA$65))*(1-实盘持仓配置!$AM$9)^(('实盘净值数据(iFinD公式)'!$A184-'实盘净值数据(iFinD公式)'!$A$8)/365))</f>
        <v/>
      </c>
      <c r="R184" s="16" t="str">
        <f t="shared" si="26"/>
        <v/>
      </c>
      <c r="S184" s="16" t="str">
        <f>IF(Q184="","",Q184/MAX(Q$5:Q184)-1)</f>
        <v/>
      </c>
      <c r="T184" s="13" t="str">
        <f>IF(OR('实盘净值数据(iFinD公式)'!$A184="",'实盘净值数据(iFinD公式)'!$B184="",'实盘净值数据(iFinD公式)'!$Z184="",'实盘净值数据(iFinD公式)'!$AA184="",'实盘净值数据(iFinD公式)'!$AB184="",'实盘净值数据(iFinD公式)'!$AL184=""),"",(SUMPRODUCT(分期持仓明细!$B$26:$Y$26,'实盘净值数据(iFinD公式)'!$B184:$Y184/'实盘净值数据(iFinD公式)'!$B$69:$Y$69)+SUMPRODUCT(分期持仓明细!$AC$26:$AD$26,'实盘净值数据(iFinD公式)'!$Z184:$AA184/'实盘净值数据(iFinD公式)'!$Z$69:$AA$69)+SUMPRODUCT(分期持仓明细!$AE$26:$AO$26,'实盘净值数据(iFinD公式)'!$AB184:$AL184/'实盘净值数据(iFinD公式)'!$AB$69:$AL$69))*(1-实盘持仓配置!$AM$10)^(('实盘净值数据(iFinD公式)'!$A184-'实盘净值数据(iFinD公式)'!$A$69)/365))</f>
        <v/>
      </c>
      <c r="U184" s="16" t="str">
        <f t="shared" si="27"/>
        <v/>
      </c>
      <c r="V184" s="16" t="str">
        <f>IF(T184="","",T184/MAX(T$5:T184)-1)</f>
        <v/>
      </c>
    </row>
    <row r="185" spans="1:22">
      <c r="A185" s="15" t="str">
        <f>IF('实盘净值数据(iFinD公式)'!A185="","",'实盘净值数据(iFinD公式)'!A185)</f>
        <v/>
      </c>
      <c r="B185" s="13" t="str">
        <f>IF(OR('实盘净值数据(iFinD公式)'!$A185="",'实盘净值数据(iFinD公式)'!$B185=""),"",分期持仓明细!$AB$17*SUMPRODUCT(分期持仓明细!$B$17:$Y$17,'实盘净值数据(iFinD公式)'!$B185:$Y185/'实盘净值数据(iFinD公式)'!$B$20:$Y$20)*(1-实盘持仓配置!$AM$4)^(('实盘净值数据(iFinD公式)'!$A185-'实盘净值数据(iFinD公式)'!$A$6)/365))</f>
        <v/>
      </c>
      <c r="C185" s="16" t="str">
        <f t="shared" si="21"/>
        <v/>
      </c>
      <c r="D185" s="16" t="str">
        <f>IF(B185="","",B185/MAX(B$5:B185)-1)</f>
        <v/>
      </c>
      <c r="E185" s="13" t="str">
        <f>IF(OR('实盘净值数据(iFinD公式)'!$A185="",'实盘净值数据(iFinD公式)'!$B185=""),"",分期持仓明细!$AB$18*SUMPRODUCT(分期持仓明细!$B$18:$Y$18,'实盘净值数据(iFinD公式)'!$B185:$Y185/'实盘净值数据(iFinD公式)'!$B$20:$Y$20)*(1-实盘持仓配置!$AM$5)^(('实盘净值数据(iFinD公式)'!$A185-'实盘净值数据(iFinD公式)'!$A$5)/365))</f>
        <v/>
      </c>
      <c r="F185" s="16" t="str">
        <f t="shared" si="22"/>
        <v/>
      </c>
      <c r="G185" s="16" t="str">
        <f>IF(E185="","",E185/MAX(E$5:E185)-1)</f>
        <v/>
      </c>
      <c r="H185" s="13" t="str">
        <f>IF(OR('实盘净值数据(iFinD公式)'!$A185="",'实盘净值数据(iFinD公式)'!$B185=""),"",分期持仓明细!$AB$19*SUMPRODUCT(分期持仓明细!$B$19:$Y$19,'实盘净值数据(iFinD公式)'!$B185:$Y185/'实盘净值数据(iFinD公式)'!$B$20:$Y$20)*(1-实盘持仓配置!$AM$6)^(('实盘净值数据(iFinD公式)'!$A185-'实盘净值数据(iFinD公式)'!$A$7)/365))</f>
        <v/>
      </c>
      <c r="I185" s="16" t="str">
        <f t="shared" si="23"/>
        <v/>
      </c>
      <c r="J185" s="16" t="str">
        <f>IF(H185="","",H185/MAX(H$5:H185)-1)</f>
        <v/>
      </c>
      <c r="K185" s="13" t="str">
        <f>IF(OR('实盘净值数据(iFinD公式)'!$A185="",'实盘净值数据(iFinD公式)'!$B185="",'实盘净值数据(iFinD公式)'!$Z185="",'实盘净值数据(iFinD公式)'!$AA185=""),"",分期持仓明细!$AB$23*(SUMPRODUCT(分期持仓明细!$B$23:$Y$23,'实盘净值数据(iFinD公式)'!$B185:$Y185/'实盘净值数据(iFinD公式)'!$B$65:$Y$65)+SUMPRODUCT(分期持仓明细!$AC$23:$AD$23,'实盘净值数据(iFinD公式)'!$Z185:$AA185/'实盘净值数据(iFinD公式)'!$Z$65:$AA$65))*(1-实盘持仓配置!$AM$7)^(('实盘净值数据(iFinD公式)'!$A185-'实盘净值数据(iFinD公式)'!$A$8)/365))</f>
        <v/>
      </c>
      <c r="L185" s="16" t="str">
        <f t="shared" si="24"/>
        <v/>
      </c>
      <c r="M185" s="16" t="str">
        <f>IF(K185="","",K185/MAX(K$5:K185)-1)</f>
        <v/>
      </c>
      <c r="N185" s="13" t="str">
        <f>IF(OR('实盘净值数据(iFinD公式)'!$A185="",'实盘净值数据(iFinD公式)'!$B185="",'实盘净值数据(iFinD公式)'!$Z185="",'实盘净值数据(iFinD公式)'!$AA185=""),"",分期持仓明细!$AB$24*(SUMPRODUCT(分期持仓明细!$B$24:$Y$24,'实盘净值数据(iFinD公式)'!$B185:$Y185/'实盘净值数据(iFinD公式)'!$B$65:$Y$65)+SUMPRODUCT(分期持仓明细!$AC$24:$AD$24,'实盘净值数据(iFinD公式)'!$Z185:$AA185/'实盘净值数据(iFinD公式)'!$Z$65:$AA$65))*(1-实盘持仓配置!$AM$8)^(('实盘净值数据(iFinD公式)'!$A185-'实盘净值数据(iFinD公式)'!$A$5)/365))</f>
        <v/>
      </c>
      <c r="O185" s="16" t="str">
        <f t="shared" si="25"/>
        <v/>
      </c>
      <c r="P185" s="16" t="str">
        <f>IF(N185="","",N185/MAX(N$5:N185)-1)</f>
        <v/>
      </c>
      <c r="Q185" s="13" t="str">
        <f>IF(OR('实盘净值数据(iFinD公式)'!$A185="",'实盘净值数据(iFinD公式)'!$B185="",'实盘净值数据(iFinD公式)'!$Z185="",'实盘净值数据(iFinD公式)'!$AA185=""),"",分期持仓明细!$AB$25*(SUMPRODUCT(分期持仓明细!$B$25:$Y$25,'实盘净值数据(iFinD公式)'!$B185:$Y185/'实盘净值数据(iFinD公式)'!$B$65:$Y$65)+SUMPRODUCT(分期持仓明细!$AC$25:$AD$25,'实盘净值数据(iFinD公式)'!$Z185:$AA185/'实盘净值数据(iFinD公式)'!$Z$65:$AA$65))*(1-实盘持仓配置!$AM$9)^(('实盘净值数据(iFinD公式)'!$A185-'实盘净值数据(iFinD公式)'!$A$8)/365))</f>
        <v/>
      </c>
      <c r="R185" s="16" t="str">
        <f t="shared" si="26"/>
        <v/>
      </c>
      <c r="S185" s="16" t="str">
        <f>IF(Q185="","",Q185/MAX(Q$5:Q185)-1)</f>
        <v/>
      </c>
      <c r="T185" s="13" t="str">
        <f>IF(OR('实盘净值数据(iFinD公式)'!$A185="",'实盘净值数据(iFinD公式)'!$B185="",'实盘净值数据(iFinD公式)'!$Z185="",'实盘净值数据(iFinD公式)'!$AA185="",'实盘净值数据(iFinD公式)'!$AB185="",'实盘净值数据(iFinD公式)'!$AL185=""),"",(SUMPRODUCT(分期持仓明细!$B$26:$Y$26,'实盘净值数据(iFinD公式)'!$B185:$Y185/'实盘净值数据(iFinD公式)'!$B$69:$Y$69)+SUMPRODUCT(分期持仓明细!$AC$26:$AD$26,'实盘净值数据(iFinD公式)'!$Z185:$AA185/'实盘净值数据(iFinD公式)'!$Z$69:$AA$69)+SUMPRODUCT(分期持仓明细!$AE$26:$AO$26,'实盘净值数据(iFinD公式)'!$AB185:$AL185/'实盘净值数据(iFinD公式)'!$AB$69:$AL$69))*(1-实盘持仓配置!$AM$10)^(('实盘净值数据(iFinD公式)'!$A185-'实盘净值数据(iFinD公式)'!$A$69)/365))</f>
        <v/>
      </c>
      <c r="U185" s="16" t="str">
        <f t="shared" si="27"/>
        <v/>
      </c>
      <c r="V185" s="16" t="str">
        <f>IF(T185="","",T185/MAX(T$5:T185)-1)</f>
        <v/>
      </c>
    </row>
    <row r="186" spans="1:22">
      <c r="A186" s="15" t="str">
        <f>IF('实盘净值数据(iFinD公式)'!A186="","",'实盘净值数据(iFinD公式)'!A186)</f>
        <v/>
      </c>
      <c r="B186" s="13" t="str">
        <f>IF(OR('实盘净值数据(iFinD公式)'!$A186="",'实盘净值数据(iFinD公式)'!$B186=""),"",分期持仓明细!$AB$17*SUMPRODUCT(分期持仓明细!$B$17:$Y$17,'实盘净值数据(iFinD公式)'!$B186:$Y186/'实盘净值数据(iFinD公式)'!$B$20:$Y$20)*(1-实盘持仓配置!$AM$4)^(('实盘净值数据(iFinD公式)'!$A186-'实盘净值数据(iFinD公式)'!$A$6)/365))</f>
        <v/>
      </c>
      <c r="C186" s="16" t="str">
        <f t="shared" si="21"/>
        <v/>
      </c>
      <c r="D186" s="16" t="str">
        <f>IF(B186="","",B186/MAX(B$5:B186)-1)</f>
        <v/>
      </c>
      <c r="E186" s="13" t="str">
        <f>IF(OR('实盘净值数据(iFinD公式)'!$A186="",'实盘净值数据(iFinD公式)'!$B186=""),"",分期持仓明细!$AB$18*SUMPRODUCT(分期持仓明细!$B$18:$Y$18,'实盘净值数据(iFinD公式)'!$B186:$Y186/'实盘净值数据(iFinD公式)'!$B$20:$Y$20)*(1-实盘持仓配置!$AM$5)^(('实盘净值数据(iFinD公式)'!$A186-'实盘净值数据(iFinD公式)'!$A$5)/365))</f>
        <v/>
      </c>
      <c r="F186" s="16" t="str">
        <f t="shared" si="22"/>
        <v/>
      </c>
      <c r="G186" s="16" t="str">
        <f>IF(E186="","",E186/MAX(E$5:E186)-1)</f>
        <v/>
      </c>
      <c r="H186" s="13" t="str">
        <f>IF(OR('实盘净值数据(iFinD公式)'!$A186="",'实盘净值数据(iFinD公式)'!$B186=""),"",分期持仓明细!$AB$19*SUMPRODUCT(分期持仓明细!$B$19:$Y$19,'实盘净值数据(iFinD公式)'!$B186:$Y186/'实盘净值数据(iFinD公式)'!$B$20:$Y$20)*(1-实盘持仓配置!$AM$6)^(('实盘净值数据(iFinD公式)'!$A186-'实盘净值数据(iFinD公式)'!$A$7)/365))</f>
        <v/>
      </c>
      <c r="I186" s="16" t="str">
        <f t="shared" si="23"/>
        <v/>
      </c>
      <c r="J186" s="16" t="str">
        <f>IF(H186="","",H186/MAX(H$5:H186)-1)</f>
        <v/>
      </c>
      <c r="K186" s="13" t="str">
        <f>IF(OR('实盘净值数据(iFinD公式)'!$A186="",'实盘净值数据(iFinD公式)'!$B186="",'实盘净值数据(iFinD公式)'!$Z186="",'实盘净值数据(iFinD公式)'!$AA186=""),"",分期持仓明细!$AB$23*(SUMPRODUCT(分期持仓明细!$B$23:$Y$23,'实盘净值数据(iFinD公式)'!$B186:$Y186/'实盘净值数据(iFinD公式)'!$B$65:$Y$65)+SUMPRODUCT(分期持仓明细!$AC$23:$AD$23,'实盘净值数据(iFinD公式)'!$Z186:$AA186/'实盘净值数据(iFinD公式)'!$Z$65:$AA$65))*(1-实盘持仓配置!$AM$7)^(('实盘净值数据(iFinD公式)'!$A186-'实盘净值数据(iFinD公式)'!$A$8)/365))</f>
        <v/>
      </c>
      <c r="L186" s="16" t="str">
        <f t="shared" si="24"/>
        <v/>
      </c>
      <c r="M186" s="16" t="str">
        <f>IF(K186="","",K186/MAX(K$5:K186)-1)</f>
        <v/>
      </c>
      <c r="N186" s="13" t="str">
        <f>IF(OR('实盘净值数据(iFinD公式)'!$A186="",'实盘净值数据(iFinD公式)'!$B186="",'实盘净值数据(iFinD公式)'!$Z186="",'实盘净值数据(iFinD公式)'!$AA186=""),"",分期持仓明细!$AB$24*(SUMPRODUCT(分期持仓明细!$B$24:$Y$24,'实盘净值数据(iFinD公式)'!$B186:$Y186/'实盘净值数据(iFinD公式)'!$B$65:$Y$65)+SUMPRODUCT(分期持仓明细!$AC$24:$AD$24,'实盘净值数据(iFinD公式)'!$Z186:$AA186/'实盘净值数据(iFinD公式)'!$Z$65:$AA$65))*(1-实盘持仓配置!$AM$8)^(('实盘净值数据(iFinD公式)'!$A186-'实盘净值数据(iFinD公式)'!$A$5)/365))</f>
        <v/>
      </c>
      <c r="O186" s="16" t="str">
        <f t="shared" si="25"/>
        <v/>
      </c>
      <c r="P186" s="16" t="str">
        <f>IF(N186="","",N186/MAX(N$5:N186)-1)</f>
        <v/>
      </c>
      <c r="Q186" s="13" t="str">
        <f>IF(OR('实盘净值数据(iFinD公式)'!$A186="",'实盘净值数据(iFinD公式)'!$B186="",'实盘净值数据(iFinD公式)'!$Z186="",'实盘净值数据(iFinD公式)'!$AA186=""),"",分期持仓明细!$AB$25*(SUMPRODUCT(分期持仓明细!$B$25:$Y$25,'实盘净值数据(iFinD公式)'!$B186:$Y186/'实盘净值数据(iFinD公式)'!$B$65:$Y$65)+SUMPRODUCT(分期持仓明细!$AC$25:$AD$25,'实盘净值数据(iFinD公式)'!$Z186:$AA186/'实盘净值数据(iFinD公式)'!$Z$65:$AA$65))*(1-实盘持仓配置!$AM$9)^(('实盘净值数据(iFinD公式)'!$A186-'实盘净值数据(iFinD公式)'!$A$8)/365))</f>
        <v/>
      </c>
      <c r="R186" s="16" t="str">
        <f t="shared" si="26"/>
        <v/>
      </c>
      <c r="S186" s="16" t="str">
        <f>IF(Q186="","",Q186/MAX(Q$5:Q186)-1)</f>
        <v/>
      </c>
      <c r="T186" s="13" t="str">
        <f>IF(OR('实盘净值数据(iFinD公式)'!$A186="",'实盘净值数据(iFinD公式)'!$B186="",'实盘净值数据(iFinD公式)'!$Z186="",'实盘净值数据(iFinD公式)'!$AA186="",'实盘净值数据(iFinD公式)'!$AB186="",'实盘净值数据(iFinD公式)'!$AL186=""),"",(SUMPRODUCT(分期持仓明细!$B$26:$Y$26,'实盘净值数据(iFinD公式)'!$B186:$Y186/'实盘净值数据(iFinD公式)'!$B$69:$Y$69)+SUMPRODUCT(分期持仓明细!$AC$26:$AD$26,'实盘净值数据(iFinD公式)'!$Z186:$AA186/'实盘净值数据(iFinD公式)'!$Z$69:$AA$69)+SUMPRODUCT(分期持仓明细!$AE$26:$AO$26,'实盘净值数据(iFinD公式)'!$AB186:$AL186/'实盘净值数据(iFinD公式)'!$AB$69:$AL$69))*(1-实盘持仓配置!$AM$10)^(('实盘净值数据(iFinD公式)'!$A186-'实盘净值数据(iFinD公式)'!$A$69)/365))</f>
        <v/>
      </c>
      <c r="U186" s="16" t="str">
        <f t="shared" si="27"/>
        <v/>
      </c>
      <c r="V186" s="16" t="str">
        <f>IF(T186="","",T186/MAX(T$5:T186)-1)</f>
        <v/>
      </c>
    </row>
    <row r="187" spans="1:22">
      <c r="A187" s="15" t="str">
        <f>IF('实盘净值数据(iFinD公式)'!A187="","",'实盘净值数据(iFinD公式)'!A187)</f>
        <v/>
      </c>
      <c r="B187" s="13" t="str">
        <f>IF(OR('实盘净值数据(iFinD公式)'!$A187="",'实盘净值数据(iFinD公式)'!$B187=""),"",分期持仓明细!$AB$17*SUMPRODUCT(分期持仓明细!$B$17:$Y$17,'实盘净值数据(iFinD公式)'!$B187:$Y187/'实盘净值数据(iFinD公式)'!$B$20:$Y$20)*(1-实盘持仓配置!$AM$4)^(('实盘净值数据(iFinD公式)'!$A187-'实盘净值数据(iFinD公式)'!$A$6)/365))</f>
        <v/>
      </c>
      <c r="C187" s="16" t="str">
        <f t="shared" si="21"/>
        <v/>
      </c>
      <c r="D187" s="16" t="str">
        <f>IF(B187="","",B187/MAX(B$5:B187)-1)</f>
        <v/>
      </c>
      <c r="E187" s="13" t="str">
        <f>IF(OR('实盘净值数据(iFinD公式)'!$A187="",'实盘净值数据(iFinD公式)'!$B187=""),"",分期持仓明细!$AB$18*SUMPRODUCT(分期持仓明细!$B$18:$Y$18,'实盘净值数据(iFinD公式)'!$B187:$Y187/'实盘净值数据(iFinD公式)'!$B$20:$Y$20)*(1-实盘持仓配置!$AM$5)^(('实盘净值数据(iFinD公式)'!$A187-'实盘净值数据(iFinD公式)'!$A$5)/365))</f>
        <v/>
      </c>
      <c r="F187" s="16" t="str">
        <f t="shared" si="22"/>
        <v/>
      </c>
      <c r="G187" s="16" t="str">
        <f>IF(E187="","",E187/MAX(E$5:E187)-1)</f>
        <v/>
      </c>
      <c r="H187" s="13" t="str">
        <f>IF(OR('实盘净值数据(iFinD公式)'!$A187="",'实盘净值数据(iFinD公式)'!$B187=""),"",分期持仓明细!$AB$19*SUMPRODUCT(分期持仓明细!$B$19:$Y$19,'实盘净值数据(iFinD公式)'!$B187:$Y187/'实盘净值数据(iFinD公式)'!$B$20:$Y$20)*(1-实盘持仓配置!$AM$6)^(('实盘净值数据(iFinD公式)'!$A187-'实盘净值数据(iFinD公式)'!$A$7)/365))</f>
        <v/>
      </c>
      <c r="I187" s="16" t="str">
        <f t="shared" si="23"/>
        <v/>
      </c>
      <c r="J187" s="16" t="str">
        <f>IF(H187="","",H187/MAX(H$5:H187)-1)</f>
        <v/>
      </c>
      <c r="K187" s="13" t="str">
        <f>IF(OR('实盘净值数据(iFinD公式)'!$A187="",'实盘净值数据(iFinD公式)'!$B187="",'实盘净值数据(iFinD公式)'!$Z187="",'实盘净值数据(iFinD公式)'!$AA187=""),"",分期持仓明细!$AB$23*(SUMPRODUCT(分期持仓明细!$B$23:$Y$23,'实盘净值数据(iFinD公式)'!$B187:$Y187/'实盘净值数据(iFinD公式)'!$B$65:$Y$65)+SUMPRODUCT(分期持仓明细!$AC$23:$AD$23,'实盘净值数据(iFinD公式)'!$Z187:$AA187/'实盘净值数据(iFinD公式)'!$Z$65:$AA$65))*(1-实盘持仓配置!$AM$7)^(('实盘净值数据(iFinD公式)'!$A187-'实盘净值数据(iFinD公式)'!$A$8)/365))</f>
        <v/>
      </c>
      <c r="L187" s="16" t="str">
        <f t="shared" si="24"/>
        <v/>
      </c>
      <c r="M187" s="16" t="str">
        <f>IF(K187="","",K187/MAX(K$5:K187)-1)</f>
        <v/>
      </c>
      <c r="N187" s="13" t="str">
        <f>IF(OR('实盘净值数据(iFinD公式)'!$A187="",'实盘净值数据(iFinD公式)'!$B187="",'实盘净值数据(iFinD公式)'!$Z187="",'实盘净值数据(iFinD公式)'!$AA187=""),"",分期持仓明细!$AB$24*(SUMPRODUCT(分期持仓明细!$B$24:$Y$24,'实盘净值数据(iFinD公式)'!$B187:$Y187/'实盘净值数据(iFinD公式)'!$B$65:$Y$65)+SUMPRODUCT(分期持仓明细!$AC$24:$AD$24,'实盘净值数据(iFinD公式)'!$Z187:$AA187/'实盘净值数据(iFinD公式)'!$Z$65:$AA$65))*(1-实盘持仓配置!$AM$8)^(('实盘净值数据(iFinD公式)'!$A187-'实盘净值数据(iFinD公式)'!$A$5)/365))</f>
        <v/>
      </c>
      <c r="O187" s="16" t="str">
        <f t="shared" si="25"/>
        <v/>
      </c>
      <c r="P187" s="16" t="str">
        <f>IF(N187="","",N187/MAX(N$5:N187)-1)</f>
        <v/>
      </c>
      <c r="Q187" s="13" t="str">
        <f>IF(OR('实盘净值数据(iFinD公式)'!$A187="",'实盘净值数据(iFinD公式)'!$B187="",'实盘净值数据(iFinD公式)'!$Z187="",'实盘净值数据(iFinD公式)'!$AA187=""),"",分期持仓明细!$AB$25*(SUMPRODUCT(分期持仓明细!$B$25:$Y$25,'实盘净值数据(iFinD公式)'!$B187:$Y187/'实盘净值数据(iFinD公式)'!$B$65:$Y$65)+SUMPRODUCT(分期持仓明细!$AC$25:$AD$25,'实盘净值数据(iFinD公式)'!$Z187:$AA187/'实盘净值数据(iFinD公式)'!$Z$65:$AA$65))*(1-实盘持仓配置!$AM$9)^(('实盘净值数据(iFinD公式)'!$A187-'实盘净值数据(iFinD公式)'!$A$8)/365))</f>
        <v/>
      </c>
      <c r="R187" s="16" t="str">
        <f t="shared" si="26"/>
        <v/>
      </c>
      <c r="S187" s="16" t="str">
        <f>IF(Q187="","",Q187/MAX(Q$5:Q187)-1)</f>
        <v/>
      </c>
      <c r="T187" s="13" t="str">
        <f>IF(OR('实盘净值数据(iFinD公式)'!$A187="",'实盘净值数据(iFinD公式)'!$B187="",'实盘净值数据(iFinD公式)'!$Z187="",'实盘净值数据(iFinD公式)'!$AA187="",'实盘净值数据(iFinD公式)'!$AB187="",'实盘净值数据(iFinD公式)'!$AL187=""),"",(SUMPRODUCT(分期持仓明细!$B$26:$Y$26,'实盘净值数据(iFinD公式)'!$B187:$Y187/'实盘净值数据(iFinD公式)'!$B$69:$Y$69)+SUMPRODUCT(分期持仓明细!$AC$26:$AD$26,'实盘净值数据(iFinD公式)'!$Z187:$AA187/'实盘净值数据(iFinD公式)'!$Z$69:$AA$69)+SUMPRODUCT(分期持仓明细!$AE$26:$AO$26,'实盘净值数据(iFinD公式)'!$AB187:$AL187/'实盘净值数据(iFinD公式)'!$AB$69:$AL$69))*(1-实盘持仓配置!$AM$10)^(('实盘净值数据(iFinD公式)'!$A187-'实盘净值数据(iFinD公式)'!$A$69)/365))</f>
        <v/>
      </c>
      <c r="U187" s="16" t="str">
        <f t="shared" si="27"/>
        <v/>
      </c>
      <c r="V187" s="16" t="str">
        <f>IF(T187="","",T187/MAX(T$5:T187)-1)</f>
        <v/>
      </c>
    </row>
    <row r="188" spans="1:22">
      <c r="A188" s="15" t="str">
        <f>IF('实盘净值数据(iFinD公式)'!A188="","",'实盘净值数据(iFinD公式)'!A188)</f>
        <v/>
      </c>
      <c r="B188" s="13" t="str">
        <f>IF(OR('实盘净值数据(iFinD公式)'!$A188="",'实盘净值数据(iFinD公式)'!$B188=""),"",分期持仓明细!$AB$17*SUMPRODUCT(分期持仓明细!$B$17:$Y$17,'实盘净值数据(iFinD公式)'!$B188:$Y188/'实盘净值数据(iFinD公式)'!$B$20:$Y$20)*(1-实盘持仓配置!$AM$4)^(('实盘净值数据(iFinD公式)'!$A188-'实盘净值数据(iFinD公式)'!$A$6)/365))</f>
        <v/>
      </c>
      <c r="C188" s="16" t="str">
        <f t="shared" si="21"/>
        <v/>
      </c>
      <c r="D188" s="16" t="str">
        <f>IF(B188="","",B188/MAX(B$5:B188)-1)</f>
        <v/>
      </c>
      <c r="E188" s="13" t="str">
        <f>IF(OR('实盘净值数据(iFinD公式)'!$A188="",'实盘净值数据(iFinD公式)'!$B188=""),"",分期持仓明细!$AB$18*SUMPRODUCT(分期持仓明细!$B$18:$Y$18,'实盘净值数据(iFinD公式)'!$B188:$Y188/'实盘净值数据(iFinD公式)'!$B$20:$Y$20)*(1-实盘持仓配置!$AM$5)^(('实盘净值数据(iFinD公式)'!$A188-'实盘净值数据(iFinD公式)'!$A$5)/365))</f>
        <v/>
      </c>
      <c r="F188" s="16" t="str">
        <f t="shared" si="22"/>
        <v/>
      </c>
      <c r="G188" s="16" t="str">
        <f>IF(E188="","",E188/MAX(E$5:E188)-1)</f>
        <v/>
      </c>
      <c r="H188" s="13" t="str">
        <f>IF(OR('实盘净值数据(iFinD公式)'!$A188="",'实盘净值数据(iFinD公式)'!$B188=""),"",分期持仓明细!$AB$19*SUMPRODUCT(分期持仓明细!$B$19:$Y$19,'实盘净值数据(iFinD公式)'!$B188:$Y188/'实盘净值数据(iFinD公式)'!$B$20:$Y$20)*(1-实盘持仓配置!$AM$6)^(('实盘净值数据(iFinD公式)'!$A188-'实盘净值数据(iFinD公式)'!$A$7)/365))</f>
        <v/>
      </c>
      <c r="I188" s="16" t="str">
        <f t="shared" si="23"/>
        <v/>
      </c>
      <c r="J188" s="16" t="str">
        <f>IF(H188="","",H188/MAX(H$5:H188)-1)</f>
        <v/>
      </c>
      <c r="K188" s="13" t="str">
        <f>IF(OR('实盘净值数据(iFinD公式)'!$A188="",'实盘净值数据(iFinD公式)'!$B188="",'实盘净值数据(iFinD公式)'!$Z188="",'实盘净值数据(iFinD公式)'!$AA188=""),"",分期持仓明细!$AB$23*(SUMPRODUCT(分期持仓明细!$B$23:$Y$23,'实盘净值数据(iFinD公式)'!$B188:$Y188/'实盘净值数据(iFinD公式)'!$B$65:$Y$65)+SUMPRODUCT(分期持仓明细!$AC$23:$AD$23,'实盘净值数据(iFinD公式)'!$Z188:$AA188/'实盘净值数据(iFinD公式)'!$Z$65:$AA$65))*(1-实盘持仓配置!$AM$7)^(('实盘净值数据(iFinD公式)'!$A188-'实盘净值数据(iFinD公式)'!$A$8)/365))</f>
        <v/>
      </c>
      <c r="L188" s="16" t="str">
        <f t="shared" si="24"/>
        <v/>
      </c>
      <c r="M188" s="16" t="str">
        <f>IF(K188="","",K188/MAX(K$5:K188)-1)</f>
        <v/>
      </c>
      <c r="N188" s="13" t="str">
        <f>IF(OR('实盘净值数据(iFinD公式)'!$A188="",'实盘净值数据(iFinD公式)'!$B188="",'实盘净值数据(iFinD公式)'!$Z188="",'实盘净值数据(iFinD公式)'!$AA188=""),"",分期持仓明细!$AB$24*(SUMPRODUCT(分期持仓明细!$B$24:$Y$24,'实盘净值数据(iFinD公式)'!$B188:$Y188/'实盘净值数据(iFinD公式)'!$B$65:$Y$65)+SUMPRODUCT(分期持仓明细!$AC$24:$AD$24,'实盘净值数据(iFinD公式)'!$Z188:$AA188/'实盘净值数据(iFinD公式)'!$Z$65:$AA$65))*(1-实盘持仓配置!$AM$8)^(('实盘净值数据(iFinD公式)'!$A188-'实盘净值数据(iFinD公式)'!$A$5)/365))</f>
        <v/>
      </c>
      <c r="O188" s="16" t="str">
        <f t="shared" si="25"/>
        <v/>
      </c>
      <c r="P188" s="16" t="str">
        <f>IF(N188="","",N188/MAX(N$5:N188)-1)</f>
        <v/>
      </c>
      <c r="Q188" s="13" t="str">
        <f>IF(OR('实盘净值数据(iFinD公式)'!$A188="",'实盘净值数据(iFinD公式)'!$B188="",'实盘净值数据(iFinD公式)'!$Z188="",'实盘净值数据(iFinD公式)'!$AA188=""),"",分期持仓明细!$AB$25*(SUMPRODUCT(分期持仓明细!$B$25:$Y$25,'实盘净值数据(iFinD公式)'!$B188:$Y188/'实盘净值数据(iFinD公式)'!$B$65:$Y$65)+SUMPRODUCT(分期持仓明细!$AC$25:$AD$25,'实盘净值数据(iFinD公式)'!$Z188:$AA188/'实盘净值数据(iFinD公式)'!$Z$65:$AA$65))*(1-实盘持仓配置!$AM$9)^(('实盘净值数据(iFinD公式)'!$A188-'实盘净值数据(iFinD公式)'!$A$8)/365))</f>
        <v/>
      </c>
      <c r="R188" s="16" t="str">
        <f t="shared" si="26"/>
        <v/>
      </c>
      <c r="S188" s="16" t="str">
        <f>IF(Q188="","",Q188/MAX(Q$5:Q188)-1)</f>
        <v/>
      </c>
      <c r="T188" s="13" t="str">
        <f>IF(OR('实盘净值数据(iFinD公式)'!$A188="",'实盘净值数据(iFinD公式)'!$B188="",'实盘净值数据(iFinD公式)'!$Z188="",'实盘净值数据(iFinD公式)'!$AA188="",'实盘净值数据(iFinD公式)'!$AB188="",'实盘净值数据(iFinD公式)'!$AL188=""),"",(SUMPRODUCT(分期持仓明细!$B$26:$Y$26,'实盘净值数据(iFinD公式)'!$B188:$Y188/'实盘净值数据(iFinD公式)'!$B$69:$Y$69)+SUMPRODUCT(分期持仓明细!$AC$26:$AD$26,'实盘净值数据(iFinD公式)'!$Z188:$AA188/'实盘净值数据(iFinD公式)'!$Z$69:$AA$69)+SUMPRODUCT(分期持仓明细!$AE$26:$AO$26,'实盘净值数据(iFinD公式)'!$AB188:$AL188/'实盘净值数据(iFinD公式)'!$AB$69:$AL$69))*(1-实盘持仓配置!$AM$10)^(('实盘净值数据(iFinD公式)'!$A188-'实盘净值数据(iFinD公式)'!$A$69)/365))</f>
        <v/>
      </c>
      <c r="U188" s="16" t="str">
        <f t="shared" si="27"/>
        <v/>
      </c>
      <c r="V188" s="16" t="str">
        <f>IF(T188="","",T188/MAX(T$5:T188)-1)</f>
        <v/>
      </c>
    </row>
    <row r="189" spans="1:22">
      <c r="A189" s="15" t="str">
        <f>IF('实盘净值数据(iFinD公式)'!A189="","",'实盘净值数据(iFinD公式)'!A189)</f>
        <v/>
      </c>
      <c r="B189" s="13" t="str">
        <f>IF(OR('实盘净值数据(iFinD公式)'!$A189="",'实盘净值数据(iFinD公式)'!$B189=""),"",分期持仓明细!$AB$17*SUMPRODUCT(分期持仓明细!$B$17:$Y$17,'实盘净值数据(iFinD公式)'!$B189:$Y189/'实盘净值数据(iFinD公式)'!$B$20:$Y$20)*(1-实盘持仓配置!$AM$4)^(('实盘净值数据(iFinD公式)'!$A189-'实盘净值数据(iFinD公式)'!$A$6)/365))</f>
        <v/>
      </c>
      <c r="C189" s="16" t="str">
        <f t="shared" si="21"/>
        <v/>
      </c>
      <c r="D189" s="16" t="str">
        <f>IF(B189="","",B189/MAX(B$5:B189)-1)</f>
        <v/>
      </c>
      <c r="E189" s="13" t="str">
        <f>IF(OR('实盘净值数据(iFinD公式)'!$A189="",'实盘净值数据(iFinD公式)'!$B189=""),"",分期持仓明细!$AB$18*SUMPRODUCT(分期持仓明细!$B$18:$Y$18,'实盘净值数据(iFinD公式)'!$B189:$Y189/'实盘净值数据(iFinD公式)'!$B$20:$Y$20)*(1-实盘持仓配置!$AM$5)^(('实盘净值数据(iFinD公式)'!$A189-'实盘净值数据(iFinD公式)'!$A$5)/365))</f>
        <v/>
      </c>
      <c r="F189" s="16" t="str">
        <f t="shared" si="22"/>
        <v/>
      </c>
      <c r="G189" s="16" t="str">
        <f>IF(E189="","",E189/MAX(E$5:E189)-1)</f>
        <v/>
      </c>
      <c r="H189" s="13" t="str">
        <f>IF(OR('实盘净值数据(iFinD公式)'!$A189="",'实盘净值数据(iFinD公式)'!$B189=""),"",分期持仓明细!$AB$19*SUMPRODUCT(分期持仓明细!$B$19:$Y$19,'实盘净值数据(iFinD公式)'!$B189:$Y189/'实盘净值数据(iFinD公式)'!$B$20:$Y$20)*(1-实盘持仓配置!$AM$6)^(('实盘净值数据(iFinD公式)'!$A189-'实盘净值数据(iFinD公式)'!$A$7)/365))</f>
        <v/>
      </c>
      <c r="I189" s="16" t="str">
        <f t="shared" si="23"/>
        <v/>
      </c>
      <c r="J189" s="16" t="str">
        <f>IF(H189="","",H189/MAX(H$5:H189)-1)</f>
        <v/>
      </c>
      <c r="K189" s="13" t="str">
        <f>IF(OR('实盘净值数据(iFinD公式)'!$A189="",'实盘净值数据(iFinD公式)'!$B189="",'实盘净值数据(iFinD公式)'!$Z189="",'实盘净值数据(iFinD公式)'!$AA189=""),"",分期持仓明细!$AB$23*(SUMPRODUCT(分期持仓明细!$B$23:$Y$23,'实盘净值数据(iFinD公式)'!$B189:$Y189/'实盘净值数据(iFinD公式)'!$B$65:$Y$65)+SUMPRODUCT(分期持仓明细!$AC$23:$AD$23,'实盘净值数据(iFinD公式)'!$Z189:$AA189/'实盘净值数据(iFinD公式)'!$Z$65:$AA$65))*(1-实盘持仓配置!$AM$7)^(('实盘净值数据(iFinD公式)'!$A189-'实盘净值数据(iFinD公式)'!$A$8)/365))</f>
        <v/>
      </c>
      <c r="L189" s="16" t="str">
        <f t="shared" si="24"/>
        <v/>
      </c>
      <c r="M189" s="16" t="str">
        <f>IF(K189="","",K189/MAX(K$5:K189)-1)</f>
        <v/>
      </c>
      <c r="N189" s="13" t="str">
        <f>IF(OR('实盘净值数据(iFinD公式)'!$A189="",'实盘净值数据(iFinD公式)'!$B189="",'实盘净值数据(iFinD公式)'!$Z189="",'实盘净值数据(iFinD公式)'!$AA189=""),"",分期持仓明细!$AB$24*(SUMPRODUCT(分期持仓明细!$B$24:$Y$24,'实盘净值数据(iFinD公式)'!$B189:$Y189/'实盘净值数据(iFinD公式)'!$B$65:$Y$65)+SUMPRODUCT(分期持仓明细!$AC$24:$AD$24,'实盘净值数据(iFinD公式)'!$Z189:$AA189/'实盘净值数据(iFinD公式)'!$Z$65:$AA$65))*(1-实盘持仓配置!$AM$8)^(('实盘净值数据(iFinD公式)'!$A189-'实盘净值数据(iFinD公式)'!$A$5)/365))</f>
        <v/>
      </c>
      <c r="O189" s="16" t="str">
        <f t="shared" si="25"/>
        <v/>
      </c>
      <c r="P189" s="16" t="str">
        <f>IF(N189="","",N189/MAX(N$5:N189)-1)</f>
        <v/>
      </c>
      <c r="Q189" s="13" t="str">
        <f>IF(OR('实盘净值数据(iFinD公式)'!$A189="",'实盘净值数据(iFinD公式)'!$B189="",'实盘净值数据(iFinD公式)'!$Z189="",'实盘净值数据(iFinD公式)'!$AA189=""),"",分期持仓明细!$AB$25*(SUMPRODUCT(分期持仓明细!$B$25:$Y$25,'实盘净值数据(iFinD公式)'!$B189:$Y189/'实盘净值数据(iFinD公式)'!$B$65:$Y$65)+SUMPRODUCT(分期持仓明细!$AC$25:$AD$25,'实盘净值数据(iFinD公式)'!$Z189:$AA189/'实盘净值数据(iFinD公式)'!$Z$65:$AA$65))*(1-实盘持仓配置!$AM$9)^(('实盘净值数据(iFinD公式)'!$A189-'实盘净值数据(iFinD公式)'!$A$8)/365))</f>
        <v/>
      </c>
      <c r="R189" s="16" t="str">
        <f t="shared" si="26"/>
        <v/>
      </c>
      <c r="S189" s="16" t="str">
        <f>IF(Q189="","",Q189/MAX(Q$5:Q189)-1)</f>
        <v/>
      </c>
      <c r="T189" s="13" t="str">
        <f>IF(OR('实盘净值数据(iFinD公式)'!$A189="",'实盘净值数据(iFinD公式)'!$B189="",'实盘净值数据(iFinD公式)'!$Z189="",'实盘净值数据(iFinD公式)'!$AA189="",'实盘净值数据(iFinD公式)'!$AB189="",'实盘净值数据(iFinD公式)'!$AL189=""),"",(SUMPRODUCT(分期持仓明细!$B$26:$Y$26,'实盘净值数据(iFinD公式)'!$B189:$Y189/'实盘净值数据(iFinD公式)'!$B$69:$Y$69)+SUMPRODUCT(分期持仓明细!$AC$26:$AD$26,'实盘净值数据(iFinD公式)'!$Z189:$AA189/'实盘净值数据(iFinD公式)'!$Z$69:$AA$69)+SUMPRODUCT(分期持仓明细!$AE$26:$AO$26,'实盘净值数据(iFinD公式)'!$AB189:$AL189/'实盘净值数据(iFinD公式)'!$AB$69:$AL$69))*(1-实盘持仓配置!$AM$10)^(('实盘净值数据(iFinD公式)'!$A189-'实盘净值数据(iFinD公式)'!$A$69)/365))</f>
        <v/>
      </c>
      <c r="U189" s="16" t="str">
        <f t="shared" si="27"/>
        <v/>
      </c>
      <c r="V189" s="16" t="str">
        <f>IF(T189="","",T189/MAX(T$5:T189)-1)</f>
        <v/>
      </c>
    </row>
    <row r="190" spans="1:22">
      <c r="A190" s="15" t="str">
        <f>IF('实盘净值数据(iFinD公式)'!A190="","",'实盘净值数据(iFinD公式)'!A190)</f>
        <v/>
      </c>
      <c r="B190" s="13" t="str">
        <f>IF(OR('实盘净值数据(iFinD公式)'!$A190="",'实盘净值数据(iFinD公式)'!$B190=""),"",分期持仓明细!$AB$17*SUMPRODUCT(分期持仓明细!$B$17:$Y$17,'实盘净值数据(iFinD公式)'!$B190:$Y190/'实盘净值数据(iFinD公式)'!$B$20:$Y$20)*(1-实盘持仓配置!$AM$4)^(('实盘净值数据(iFinD公式)'!$A190-'实盘净值数据(iFinD公式)'!$A$6)/365))</f>
        <v/>
      </c>
      <c r="C190" s="16" t="str">
        <f t="shared" si="21"/>
        <v/>
      </c>
      <c r="D190" s="16" t="str">
        <f>IF(B190="","",B190/MAX(B$5:B190)-1)</f>
        <v/>
      </c>
      <c r="E190" s="13" t="str">
        <f>IF(OR('实盘净值数据(iFinD公式)'!$A190="",'实盘净值数据(iFinD公式)'!$B190=""),"",分期持仓明细!$AB$18*SUMPRODUCT(分期持仓明细!$B$18:$Y$18,'实盘净值数据(iFinD公式)'!$B190:$Y190/'实盘净值数据(iFinD公式)'!$B$20:$Y$20)*(1-实盘持仓配置!$AM$5)^(('实盘净值数据(iFinD公式)'!$A190-'实盘净值数据(iFinD公式)'!$A$5)/365))</f>
        <v/>
      </c>
      <c r="F190" s="16" t="str">
        <f t="shared" si="22"/>
        <v/>
      </c>
      <c r="G190" s="16" t="str">
        <f>IF(E190="","",E190/MAX(E$5:E190)-1)</f>
        <v/>
      </c>
      <c r="H190" s="13" t="str">
        <f>IF(OR('实盘净值数据(iFinD公式)'!$A190="",'实盘净值数据(iFinD公式)'!$B190=""),"",分期持仓明细!$AB$19*SUMPRODUCT(分期持仓明细!$B$19:$Y$19,'实盘净值数据(iFinD公式)'!$B190:$Y190/'实盘净值数据(iFinD公式)'!$B$20:$Y$20)*(1-实盘持仓配置!$AM$6)^(('实盘净值数据(iFinD公式)'!$A190-'实盘净值数据(iFinD公式)'!$A$7)/365))</f>
        <v/>
      </c>
      <c r="I190" s="16" t="str">
        <f t="shared" si="23"/>
        <v/>
      </c>
      <c r="J190" s="16" t="str">
        <f>IF(H190="","",H190/MAX(H$5:H190)-1)</f>
        <v/>
      </c>
      <c r="K190" s="13" t="str">
        <f>IF(OR('实盘净值数据(iFinD公式)'!$A190="",'实盘净值数据(iFinD公式)'!$B190="",'实盘净值数据(iFinD公式)'!$Z190="",'实盘净值数据(iFinD公式)'!$AA190=""),"",分期持仓明细!$AB$23*(SUMPRODUCT(分期持仓明细!$B$23:$Y$23,'实盘净值数据(iFinD公式)'!$B190:$Y190/'实盘净值数据(iFinD公式)'!$B$65:$Y$65)+SUMPRODUCT(分期持仓明细!$AC$23:$AD$23,'实盘净值数据(iFinD公式)'!$Z190:$AA190/'实盘净值数据(iFinD公式)'!$Z$65:$AA$65))*(1-实盘持仓配置!$AM$7)^(('实盘净值数据(iFinD公式)'!$A190-'实盘净值数据(iFinD公式)'!$A$8)/365))</f>
        <v/>
      </c>
      <c r="L190" s="16" t="str">
        <f t="shared" si="24"/>
        <v/>
      </c>
      <c r="M190" s="16" t="str">
        <f>IF(K190="","",K190/MAX(K$5:K190)-1)</f>
        <v/>
      </c>
      <c r="N190" s="13" t="str">
        <f>IF(OR('实盘净值数据(iFinD公式)'!$A190="",'实盘净值数据(iFinD公式)'!$B190="",'实盘净值数据(iFinD公式)'!$Z190="",'实盘净值数据(iFinD公式)'!$AA190=""),"",分期持仓明细!$AB$24*(SUMPRODUCT(分期持仓明细!$B$24:$Y$24,'实盘净值数据(iFinD公式)'!$B190:$Y190/'实盘净值数据(iFinD公式)'!$B$65:$Y$65)+SUMPRODUCT(分期持仓明细!$AC$24:$AD$24,'实盘净值数据(iFinD公式)'!$Z190:$AA190/'实盘净值数据(iFinD公式)'!$Z$65:$AA$65))*(1-实盘持仓配置!$AM$8)^(('实盘净值数据(iFinD公式)'!$A190-'实盘净值数据(iFinD公式)'!$A$5)/365))</f>
        <v/>
      </c>
      <c r="O190" s="16" t="str">
        <f t="shared" si="25"/>
        <v/>
      </c>
      <c r="P190" s="16" t="str">
        <f>IF(N190="","",N190/MAX(N$5:N190)-1)</f>
        <v/>
      </c>
      <c r="Q190" s="13" t="str">
        <f>IF(OR('实盘净值数据(iFinD公式)'!$A190="",'实盘净值数据(iFinD公式)'!$B190="",'实盘净值数据(iFinD公式)'!$Z190="",'实盘净值数据(iFinD公式)'!$AA190=""),"",分期持仓明细!$AB$25*(SUMPRODUCT(分期持仓明细!$B$25:$Y$25,'实盘净值数据(iFinD公式)'!$B190:$Y190/'实盘净值数据(iFinD公式)'!$B$65:$Y$65)+SUMPRODUCT(分期持仓明细!$AC$25:$AD$25,'实盘净值数据(iFinD公式)'!$Z190:$AA190/'实盘净值数据(iFinD公式)'!$Z$65:$AA$65))*(1-实盘持仓配置!$AM$9)^(('实盘净值数据(iFinD公式)'!$A190-'实盘净值数据(iFinD公式)'!$A$8)/365))</f>
        <v/>
      </c>
      <c r="R190" s="16" t="str">
        <f t="shared" si="26"/>
        <v/>
      </c>
      <c r="S190" s="16" t="str">
        <f>IF(Q190="","",Q190/MAX(Q$5:Q190)-1)</f>
        <v/>
      </c>
      <c r="T190" s="13" t="str">
        <f>IF(OR('实盘净值数据(iFinD公式)'!$A190="",'实盘净值数据(iFinD公式)'!$B190="",'实盘净值数据(iFinD公式)'!$Z190="",'实盘净值数据(iFinD公式)'!$AA190="",'实盘净值数据(iFinD公式)'!$AB190="",'实盘净值数据(iFinD公式)'!$AL190=""),"",(SUMPRODUCT(分期持仓明细!$B$26:$Y$26,'实盘净值数据(iFinD公式)'!$B190:$Y190/'实盘净值数据(iFinD公式)'!$B$69:$Y$69)+SUMPRODUCT(分期持仓明细!$AC$26:$AD$26,'实盘净值数据(iFinD公式)'!$Z190:$AA190/'实盘净值数据(iFinD公式)'!$Z$69:$AA$69)+SUMPRODUCT(分期持仓明细!$AE$26:$AO$26,'实盘净值数据(iFinD公式)'!$AB190:$AL190/'实盘净值数据(iFinD公式)'!$AB$69:$AL$69))*(1-实盘持仓配置!$AM$10)^(('实盘净值数据(iFinD公式)'!$A190-'实盘净值数据(iFinD公式)'!$A$69)/365))</f>
        <v/>
      </c>
      <c r="U190" s="16" t="str">
        <f t="shared" si="27"/>
        <v/>
      </c>
      <c r="V190" s="16" t="str">
        <f>IF(T190="","",T190/MAX(T$5:T190)-1)</f>
        <v/>
      </c>
    </row>
    <row r="191" spans="1:22">
      <c r="A191" s="15" t="str">
        <f>IF('实盘净值数据(iFinD公式)'!A191="","",'实盘净值数据(iFinD公式)'!A191)</f>
        <v/>
      </c>
      <c r="B191" s="13" t="str">
        <f>IF(OR('实盘净值数据(iFinD公式)'!$A191="",'实盘净值数据(iFinD公式)'!$B191=""),"",分期持仓明细!$AB$17*SUMPRODUCT(分期持仓明细!$B$17:$Y$17,'实盘净值数据(iFinD公式)'!$B191:$Y191/'实盘净值数据(iFinD公式)'!$B$20:$Y$20)*(1-实盘持仓配置!$AM$4)^(('实盘净值数据(iFinD公式)'!$A191-'实盘净值数据(iFinD公式)'!$A$6)/365))</f>
        <v/>
      </c>
      <c r="C191" s="16" t="str">
        <f t="shared" si="21"/>
        <v/>
      </c>
      <c r="D191" s="16" t="str">
        <f>IF(B191="","",B191/MAX(B$5:B191)-1)</f>
        <v/>
      </c>
      <c r="E191" s="13" t="str">
        <f>IF(OR('实盘净值数据(iFinD公式)'!$A191="",'实盘净值数据(iFinD公式)'!$B191=""),"",分期持仓明细!$AB$18*SUMPRODUCT(分期持仓明细!$B$18:$Y$18,'实盘净值数据(iFinD公式)'!$B191:$Y191/'实盘净值数据(iFinD公式)'!$B$20:$Y$20)*(1-实盘持仓配置!$AM$5)^(('实盘净值数据(iFinD公式)'!$A191-'实盘净值数据(iFinD公式)'!$A$5)/365))</f>
        <v/>
      </c>
      <c r="F191" s="16" t="str">
        <f t="shared" si="22"/>
        <v/>
      </c>
      <c r="G191" s="16" t="str">
        <f>IF(E191="","",E191/MAX(E$5:E191)-1)</f>
        <v/>
      </c>
      <c r="H191" s="13" t="str">
        <f>IF(OR('实盘净值数据(iFinD公式)'!$A191="",'实盘净值数据(iFinD公式)'!$B191=""),"",分期持仓明细!$AB$19*SUMPRODUCT(分期持仓明细!$B$19:$Y$19,'实盘净值数据(iFinD公式)'!$B191:$Y191/'实盘净值数据(iFinD公式)'!$B$20:$Y$20)*(1-实盘持仓配置!$AM$6)^(('实盘净值数据(iFinD公式)'!$A191-'实盘净值数据(iFinD公式)'!$A$7)/365))</f>
        <v/>
      </c>
      <c r="I191" s="16" t="str">
        <f t="shared" si="23"/>
        <v/>
      </c>
      <c r="J191" s="16" t="str">
        <f>IF(H191="","",H191/MAX(H$5:H191)-1)</f>
        <v/>
      </c>
      <c r="K191" s="13" t="str">
        <f>IF(OR('实盘净值数据(iFinD公式)'!$A191="",'实盘净值数据(iFinD公式)'!$B191="",'实盘净值数据(iFinD公式)'!$Z191="",'实盘净值数据(iFinD公式)'!$AA191=""),"",分期持仓明细!$AB$23*(SUMPRODUCT(分期持仓明细!$B$23:$Y$23,'实盘净值数据(iFinD公式)'!$B191:$Y191/'实盘净值数据(iFinD公式)'!$B$65:$Y$65)+SUMPRODUCT(分期持仓明细!$AC$23:$AD$23,'实盘净值数据(iFinD公式)'!$Z191:$AA191/'实盘净值数据(iFinD公式)'!$Z$65:$AA$65))*(1-实盘持仓配置!$AM$7)^(('实盘净值数据(iFinD公式)'!$A191-'实盘净值数据(iFinD公式)'!$A$8)/365))</f>
        <v/>
      </c>
      <c r="L191" s="16" t="str">
        <f t="shared" si="24"/>
        <v/>
      </c>
      <c r="M191" s="16" t="str">
        <f>IF(K191="","",K191/MAX(K$5:K191)-1)</f>
        <v/>
      </c>
      <c r="N191" s="13" t="str">
        <f>IF(OR('实盘净值数据(iFinD公式)'!$A191="",'实盘净值数据(iFinD公式)'!$B191="",'实盘净值数据(iFinD公式)'!$Z191="",'实盘净值数据(iFinD公式)'!$AA191=""),"",分期持仓明细!$AB$24*(SUMPRODUCT(分期持仓明细!$B$24:$Y$24,'实盘净值数据(iFinD公式)'!$B191:$Y191/'实盘净值数据(iFinD公式)'!$B$65:$Y$65)+SUMPRODUCT(分期持仓明细!$AC$24:$AD$24,'实盘净值数据(iFinD公式)'!$Z191:$AA191/'实盘净值数据(iFinD公式)'!$Z$65:$AA$65))*(1-实盘持仓配置!$AM$8)^(('实盘净值数据(iFinD公式)'!$A191-'实盘净值数据(iFinD公式)'!$A$5)/365))</f>
        <v/>
      </c>
      <c r="O191" s="16" t="str">
        <f t="shared" si="25"/>
        <v/>
      </c>
      <c r="P191" s="16" t="str">
        <f>IF(N191="","",N191/MAX(N$5:N191)-1)</f>
        <v/>
      </c>
      <c r="Q191" s="13" t="str">
        <f>IF(OR('实盘净值数据(iFinD公式)'!$A191="",'实盘净值数据(iFinD公式)'!$B191="",'实盘净值数据(iFinD公式)'!$Z191="",'实盘净值数据(iFinD公式)'!$AA191=""),"",分期持仓明细!$AB$25*(SUMPRODUCT(分期持仓明细!$B$25:$Y$25,'实盘净值数据(iFinD公式)'!$B191:$Y191/'实盘净值数据(iFinD公式)'!$B$65:$Y$65)+SUMPRODUCT(分期持仓明细!$AC$25:$AD$25,'实盘净值数据(iFinD公式)'!$Z191:$AA191/'实盘净值数据(iFinD公式)'!$Z$65:$AA$65))*(1-实盘持仓配置!$AM$9)^(('实盘净值数据(iFinD公式)'!$A191-'实盘净值数据(iFinD公式)'!$A$8)/365))</f>
        <v/>
      </c>
      <c r="R191" s="16" t="str">
        <f t="shared" si="26"/>
        <v/>
      </c>
      <c r="S191" s="16" t="str">
        <f>IF(Q191="","",Q191/MAX(Q$5:Q191)-1)</f>
        <v/>
      </c>
      <c r="T191" s="13" t="str">
        <f>IF(OR('实盘净值数据(iFinD公式)'!$A191="",'实盘净值数据(iFinD公式)'!$B191="",'实盘净值数据(iFinD公式)'!$Z191="",'实盘净值数据(iFinD公式)'!$AA191="",'实盘净值数据(iFinD公式)'!$AB191="",'实盘净值数据(iFinD公式)'!$AL191=""),"",(SUMPRODUCT(分期持仓明细!$B$26:$Y$26,'实盘净值数据(iFinD公式)'!$B191:$Y191/'实盘净值数据(iFinD公式)'!$B$69:$Y$69)+SUMPRODUCT(分期持仓明细!$AC$26:$AD$26,'实盘净值数据(iFinD公式)'!$Z191:$AA191/'实盘净值数据(iFinD公式)'!$Z$69:$AA$69)+SUMPRODUCT(分期持仓明细!$AE$26:$AO$26,'实盘净值数据(iFinD公式)'!$AB191:$AL191/'实盘净值数据(iFinD公式)'!$AB$69:$AL$69))*(1-实盘持仓配置!$AM$10)^(('实盘净值数据(iFinD公式)'!$A191-'实盘净值数据(iFinD公式)'!$A$69)/365))</f>
        <v/>
      </c>
      <c r="U191" s="16" t="str">
        <f t="shared" si="27"/>
        <v/>
      </c>
      <c r="V191" s="16" t="str">
        <f>IF(T191="","",T191/MAX(T$5:T191)-1)</f>
        <v/>
      </c>
    </row>
    <row r="192" spans="1:22">
      <c r="A192" s="15" t="str">
        <f>IF('实盘净值数据(iFinD公式)'!A192="","",'实盘净值数据(iFinD公式)'!A192)</f>
        <v/>
      </c>
      <c r="B192" s="13" t="str">
        <f>IF(OR('实盘净值数据(iFinD公式)'!$A192="",'实盘净值数据(iFinD公式)'!$B192=""),"",分期持仓明细!$AB$17*SUMPRODUCT(分期持仓明细!$B$17:$Y$17,'实盘净值数据(iFinD公式)'!$B192:$Y192/'实盘净值数据(iFinD公式)'!$B$20:$Y$20)*(1-实盘持仓配置!$AM$4)^(('实盘净值数据(iFinD公式)'!$A192-'实盘净值数据(iFinD公式)'!$A$6)/365))</f>
        <v/>
      </c>
      <c r="C192" s="16" t="str">
        <f t="shared" si="21"/>
        <v/>
      </c>
      <c r="D192" s="16" t="str">
        <f>IF(B192="","",B192/MAX(B$5:B192)-1)</f>
        <v/>
      </c>
      <c r="E192" s="13" t="str">
        <f>IF(OR('实盘净值数据(iFinD公式)'!$A192="",'实盘净值数据(iFinD公式)'!$B192=""),"",分期持仓明细!$AB$18*SUMPRODUCT(分期持仓明细!$B$18:$Y$18,'实盘净值数据(iFinD公式)'!$B192:$Y192/'实盘净值数据(iFinD公式)'!$B$20:$Y$20)*(1-实盘持仓配置!$AM$5)^(('实盘净值数据(iFinD公式)'!$A192-'实盘净值数据(iFinD公式)'!$A$5)/365))</f>
        <v/>
      </c>
      <c r="F192" s="16" t="str">
        <f t="shared" si="22"/>
        <v/>
      </c>
      <c r="G192" s="16" t="str">
        <f>IF(E192="","",E192/MAX(E$5:E192)-1)</f>
        <v/>
      </c>
      <c r="H192" s="13" t="str">
        <f>IF(OR('实盘净值数据(iFinD公式)'!$A192="",'实盘净值数据(iFinD公式)'!$B192=""),"",分期持仓明细!$AB$19*SUMPRODUCT(分期持仓明细!$B$19:$Y$19,'实盘净值数据(iFinD公式)'!$B192:$Y192/'实盘净值数据(iFinD公式)'!$B$20:$Y$20)*(1-实盘持仓配置!$AM$6)^(('实盘净值数据(iFinD公式)'!$A192-'实盘净值数据(iFinD公式)'!$A$7)/365))</f>
        <v/>
      </c>
      <c r="I192" s="16" t="str">
        <f t="shared" si="23"/>
        <v/>
      </c>
      <c r="J192" s="16" t="str">
        <f>IF(H192="","",H192/MAX(H$5:H192)-1)</f>
        <v/>
      </c>
      <c r="K192" s="13" t="str">
        <f>IF(OR('实盘净值数据(iFinD公式)'!$A192="",'实盘净值数据(iFinD公式)'!$B192="",'实盘净值数据(iFinD公式)'!$Z192="",'实盘净值数据(iFinD公式)'!$AA192=""),"",分期持仓明细!$AB$23*(SUMPRODUCT(分期持仓明细!$B$23:$Y$23,'实盘净值数据(iFinD公式)'!$B192:$Y192/'实盘净值数据(iFinD公式)'!$B$65:$Y$65)+SUMPRODUCT(分期持仓明细!$AC$23:$AD$23,'实盘净值数据(iFinD公式)'!$Z192:$AA192/'实盘净值数据(iFinD公式)'!$Z$65:$AA$65))*(1-实盘持仓配置!$AM$7)^(('实盘净值数据(iFinD公式)'!$A192-'实盘净值数据(iFinD公式)'!$A$8)/365))</f>
        <v/>
      </c>
      <c r="L192" s="16" t="str">
        <f t="shared" si="24"/>
        <v/>
      </c>
      <c r="M192" s="16" t="str">
        <f>IF(K192="","",K192/MAX(K$5:K192)-1)</f>
        <v/>
      </c>
      <c r="N192" s="13" t="str">
        <f>IF(OR('实盘净值数据(iFinD公式)'!$A192="",'实盘净值数据(iFinD公式)'!$B192="",'实盘净值数据(iFinD公式)'!$Z192="",'实盘净值数据(iFinD公式)'!$AA192=""),"",分期持仓明细!$AB$24*(SUMPRODUCT(分期持仓明细!$B$24:$Y$24,'实盘净值数据(iFinD公式)'!$B192:$Y192/'实盘净值数据(iFinD公式)'!$B$65:$Y$65)+SUMPRODUCT(分期持仓明细!$AC$24:$AD$24,'实盘净值数据(iFinD公式)'!$Z192:$AA192/'实盘净值数据(iFinD公式)'!$Z$65:$AA$65))*(1-实盘持仓配置!$AM$8)^(('实盘净值数据(iFinD公式)'!$A192-'实盘净值数据(iFinD公式)'!$A$5)/365))</f>
        <v/>
      </c>
      <c r="O192" s="16" t="str">
        <f t="shared" si="25"/>
        <v/>
      </c>
      <c r="P192" s="16" t="str">
        <f>IF(N192="","",N192/MAX(N$5:N192)-1)</f>
        <v/>
      </c>
      <c r="Q192" s="13" t="str">
        <f>IF(OR('实盘净值数据(iFinD公式)'!$A192="",'实盘净值数据(iFinD公式)'!$B192="",'实盘净值数据(iFinD公式)'!$Z192="",'实盘净值数据(iFinD公式)'!$AA192=""),"",分期持仓明细!$AB$25*(SUMPRODUCT(分期持仓明细!$B$25:$Y$25,'实盘净值数据(iFinD公式)'!$B192:$Y192/'实盘净值数据(iFinD公式)'!$B$65:$Y$65)+SUMPRODUCT(分期持仓明细!$AC$25:$AD$25,'实盘净值数据(iFinD公式)'!$Z192:$AA192/'实盘净值数据(iFinD公式)'!$Z$65:$AA$65))*(1-实盘持仓配置!$AM$9)^(('实盘净值数据(iFinD公式)'!$A192-'实盘净值数据(iFinD公式)'!$A$8)/365))</f>
        <v/>
      </c>
      <c r="R192" s="16" t="str">
        <f t="shared" si="26"/>
        <v/>
      </c>
      <c r="S192" s="16" t="str">
        <f>IF(Q192="","",Q192/MAX(Q$5:Q192)-1)</f>
        <v/>
      </c>
      <c r="T192" s="13" t="str">
        <f>IF(OR('实盘净值数据(iFinD公式)'!$A192="",'实盘净值数据(iFinD公式)'!$B192="",'实盘净值数据(iFinD公式)'!$Z192="",'实盘净值数据(iFinD公式)'!$AA192="",'实盘净值数据(iFinD公式)'!$AB192="",'实盘净值数据(iFinD公式)'!$AL192=""),"",(SUMPRODUCT(分期持仓明细!$B$26:$Y$26,'实盘净值数据(iFinD公式)'!$B192:$Y192/'实盘净值数据(iFinD公式)'!$B$69:$Y$69)+SUMPRODUCT(分期持仓明细!$AC$26:$AD$26,'实盘净值数据(iFinD公式)'!$Z192:$AA192/'实盘净值数据(iFinD公式)'!$Z$69:$AA$69)+SUMPRODUCT(分期持仓明细!$AE$26:$AO$26,'实盘净值数据(iFinD公式)'!$AB192:$AL192/'实盘净值数据(iFinD公式)'!$AB$69:$AL$69))*(1-实盘持仓配置!$AM$10)^(('实盘净值数据(iFinD公式)'!$A192-'实盘净值数据(iFinD公式)'!$A$69)/365))</f>
        <v/>
      </c>
      <c r="U192" s="16" t="str">
        <f t="shared" si="27"/>
        <v/>
      </c>
      <c r="V192" s="16" t="str">
        <f>IF(T192="","",T192/MAX(T$5:T192)-1)</f>
        <v/>
      </c>
    </row>
    <row r="193" spans="1:22">
      <c r="A193" s="15" t="str">
        <f>IF('实盘净值数据(iFinD公式)'!A193="","",'实盘净值数据(iFinD公式)'!A193)</f>
        <v/>
      </c>
      <c r="B193" s="13" t="str">
        <f>IF(OR('实盘净值数据(iFinD公式)'!$A193="",'实盘净值数据(iFinD公式)'!$B193=""),"",分期持仓明细!$AB$17*SUMPRODUCT(分期持仓明细!$B$17:$Y$17,'实盘净值数据(iFinD公式)'!$B193:$Y193/'实盘净值数据(iFinD公式)'!$B$20:$Y$20)*(1-实盘持仓配置!$AM$4)^(('实盘净值数据(iFinD公式)'!$A193-'实盘净值数据(iFinD公式)'!$A$6)/365))</f>
        <v/>
      </c>
      <c r="C193" s="16" t="str">
        <f t="shared" si="21"/>
        <v/>
      </c>
      <c r="D193" s="16" t="str">
        <f>IF(B193="","",B193/MAX(B$5:B193)-1)</f>
        <v/>
      </c>
      <c r="E193" s="13" t="str">
        <f>IF(OR('实盘净值数据(iFinD公式)'!$A193="",'实盘净值数据(iFinD公式)'!$B193=""),"",分期持仓明细!$AB$18*SUMPRODUCT(分期持仓明细!$B$18:$Y$18,'实盘净值数据(iFinD公式)'!$B193:$Y193/'实盘净值数据(iFinD公式)'!$B$20:$Y$20)*(1-实盘持仓配置!$AM$5)^(('实盘净值数据(iFinD公式)'!$A193-'实盘净值数据(iFinD公式)'!$A$5)/365))</f>
        <v/>
      </c>
      <c r="F193" s="16" t="str">
        <f t="shared" si="22"/>
        <v/>
      </c>
      <c r="G193" s="16" t="str">
        <f>IF(E193="","",E193/MAX(E$5:E193)-1)</f>
        <v/>
      </c>
      <c r="H193" s="13" t="str">
        <f>IF(OR('实盘净值数据(iFinD公式)'!$A193="",'实盘净值数据(iFinD公式)'!$B193=""),"",分期持仓明细!$AB$19*SUMPRODUCT(分期持仓明细!$B$19:$Y$19,'实盘净值数据(iFinD公式)'!$B193:$Y193/'实盘净值数据(iFinD公式)'!$B$20:$Y$20)*(1-实盘持仓配置!$AM$6)^(('实盘净值数据(iFinD公式)'!$A193-'实盘净值数据(iFinD公式)'!$A$7)/365))</f>
        <v/>
      </c>
      <c r="I193" s="16" t="str">
        <f t="shared" si="23"/>
        <v/>
      </c>
      <c r="J193" s="16" t="str">
        <f>IF(H193="","",H193/MAX(H$5:H193)-1)</f>
        <v/>
      </c>
      <c r="K193" s="13" t="str">
        <f>IF(OR('实盘净值数据(iFinD公式)'!$A193="",'实盘净值数据(iFinD公式)'!$B193="",'实盘净值数据(iFinD公式)'!$Z193="",'实盘净值数据(iFinD公式)'!$AA193=""),"",分期持仓明细!$AB$23*(SUMPRODUCT(分期持仓明细!$B$23:$Y$23,'实盘净值数据(iFinD公式)'!$B193:$Y193/'实盘净值数据(iFinD公式)'!$B$65:$Y$65)+SUMPRODUCT(分期持仓明细!$AC$23:$AD$23,'实盘净值数据(iFinD公式)'!$Z193:$AA193/'实盘净值数据(iFinD公式)'!$Z$65:$AA$65))*(1-实盘持仓配置!$AM$7)^(('实盘净值数据(iFinD公式)'!$A193-'实盘净值数据(iFinD公式)'!$A$8)/365))</f>
        <v/>
      </c>
      <c r="L193" s="16" t="str">
        <f t="shared" si="24"/>
        <v/>
      </c>
      <c r="M193" s="16" t="str">
        <f>IF(K193="","",K193/MAX(K$5:K193)-1)</f>
        <v/>
      </c>
      <c r="N193" s="13" t="str">
        <f>IF(OR('实盘净值数据(iFinD公式)'!$A193="",'实盘净值数据(iFinD公式)'!$B193="",'实盘净值数据(iFinD公式)'!$Z193="",'实盘净值数据(iFinD公式)'!$AA193=""),"",分期持仓明细!$AB$24*(SUMPRODUCT(分期持仓明细!$B$24:$Y$24,'实盘净值数据(iFinD公式)'!$B193:$Y193/'实盘净值数据(iFinD公式)'!$B$65:$Y$65)+SUMPRODUCT(分期持仓明细!$AC$24:$AD$24,'实盘净值数据(iFinD公式)'!$Z193:$AA193/'实盘净值数据(iFinD公式)'!$Z$65:$AA$65))*(1-实盘持仓配置!$AM$8)^(('实盘净值数据(iFinD公式)'!$A193-'实盘净值数据(iFinD公式)'!$A$5)/365))</f>
        <v/>
      </c>
      <c r="O193" s="16" t="str">
        <f t="shared" si="25"/>
        <v/>
      </c>
      <c r="P193" s="16" t="str">
        <f>IF(N193="","",N193/MAX(N$5:N193)-1)</f>
        <v/>
      </c>
      <c r="Q193" s="13" t="str">
        <f>IF(OR('实盘净值数据(iFinD公式)'!$A193="",'实盘净值数据(iFinD公式)'!$B193="",'实盘净值数据(iFinD公式)'!$Z193="",'实盘净值数据(iFinD公式)'!$AA193=""),"",分期持仓明细!$AB$25*(SUMPRODUCT(分期持仓明细!$B$25:$Y$25,'实盘净值数据(iFinD公式)'!$B193:$Y193/'实盘净值数据(iFinD公式)'!$B$65:$Y$65)+SUMPRODUCT(分期持仓明细!$AC$25:$AD$25,'实盘净值数据(iFinD公式)'!$Z193:$AA193/'实盘净值数据(iFinD公式)'!$Z$65:$AA$65))*(1-实盘持仓配置!$AM$9)^(('实盘净值数据(iFinD公式)'!$A193-'实盘净值数据(iFinD公式)'!$A$8)/365))</f>
        <v/>
      </c>
      <c r="R193" s="16" t="str">
        <f t="shared" si="26"/>
        <v/>
      </c>
      <c r="S193" s="16" t="str">
        <f>IF(Q193="","",Q193/MAX(Q$5:Q193)-1)</f>
        <v/>
      </c>
      <c r="T193" s="13" t="str">
        <f>IF(OR('实盘净值数据(iFinD公式)'!$A193="",'实盘净值数据(iFinD公式)'!$B193="",'实盘净值数据(iFinD公式)'!$Z193="",'实盘净值数据(iFinD公式)'!$AA193="",'实盘净值数据(iFinD公式)'!$AB193="",'实盘净值数据(iFinD公式)'!$AL193=""),"",(SUMPRODUCT(分期持仓明细!$B$26:$Y$26,'实盘净值数据(iFinD公式)'!$B193:$Y193/'实盘净值数据(iFinD公式)'!$B$69:$Y$69)+SUMPRODUCT(分期持仓明细!$AC$26:$AD$26,'实盘净值数据(iFinD公式)'!$Z193:$AA193/'实盘净值数据(iFinD公式)'!$Z$69:$AA$69)+SUMPRODUCT(分期持仓明细!$AE$26:$AO$26,'实盘净值数据(iFinD公式)'!$AB193:$AL193/'实盘净值数据(iFinD公式)'!$AB$69:$AL$69))*(1-实盘持仓配置!$AM$10)^(('实盘净值数据(iFinD公式)'!$A193-'实盘净值数据(iFinD公式)'!$A$69)/365))</f>
        <v/>
      </c>
      <c r="U193" s="16" t="str">
        <f t="shared" si="27"/>
        <v/>
      </c>
      <c r="V193" s="16" t="str">
        <f>IF(T193="","",T193/MAX(T$5:T193)-1)</f>
        <v/>
      </c>
    </row>
    <row r="194" spans="1:22">
      <c r="A194" s="15" t="str">
        <f>IF('实盘净值数据(iFinD公式)'!A194="","",'实盘净值数据(iFinD公式)'!A194)</f>
        <v/>
      </c>
      <c r="B194" s="13" t="str">
        <f>IF(OR('实盘净值数据(iFinD公式)'!$A194="",'实盘净值数据(iFinD公式)'!$B194=""),"",分期持仓明细!$AB$17*SUMPRODUCT(分期持仓明细!$B$17:$Y$17,'实盘净值数据(iFinD公式)'!$B194:$Y194/'实盘净值数据(iFinD公式)'!$B$20:$Y$20)*(1-实盘持仓配置!$AM$4)^(('实盘净值数据(iFinD公式)'!$A194-'实盘净值数据(iFinD公式)'!$A$6)/365))</f>
        <v/>
      </c>
      <c r="C194" s="16" t="str">
        <f t="shared" si="21"/>
        <v/>
      </c>
      <c r="D194" s="16" t="str">
        <f>IF(B194="","",B194/MAX(B$5:B194)-1)</f>
        <v/>
      </c>
      <c r="E194" s="13" t="str">
        <f>IF(OR('实盘净值数据(iFinD公式)'!$A194="",'实盘净值数据(iFinD公式)'!$B194=""),"",分期持仓明细!$AB$18*SUMPRODUCT(分期持仓明细!$B$18:$Y$18,'实盘净值数据(iFinD公式)'!$B194:$Y194/'实盘净值数据(iFinD公式)'!$B$20:$Y$20)*(1-实盘持仓配置!$AM$5)^(('实盘净值数据(iFinD公式)'!$A194-'实盘净值数据(iFinD公式)'!$A$5)/365))</f>
        <v/>
      </c>
      <c r="F194" s="16" t="str">
        <f t="shared" si="22"/>
        <v/>
      </c>
      <c r="G194" s="16" t="str">
        <f>IF(E194="","",E194/MAX(E$5:E194)-1)</f>
        <v/>
      </c>
      <c r="H194" s="13" t="str">
        <f>IF(OR('实盘净值数据(iFinD公式)'!$A194="",'实盘净值数据(iFinD公式)'!$B194=""),"",分期持仓明细!$AB$19*SUMPRODUCT(分期持仓明细!$B$19:$Y$19,'实盘净值数据(iFinD公式)'!$B194:$Y194/'实盘净值数据(iFinD公式)'!$B$20:$Y$20)*(1-实盘持仓配置!$AM$6)^(('实盘净值数据(iFinD公式)'!$A194-'实盘净值数据(iFinD公式)'!$A$7)/365))</f>
        <v/>
      </c>
      <c r="I194" s="16" t="str">
        <f t="shared" si="23"/>
        <v/>
      </c>
      <c r="J194" s="16" t="str">
        <f>IF(H194="","",H194/MAX(H$5:H194)-1)</f>
        <v/>
      </c>
      <c r="K194" s="13" t="str">
        <f>IF(OR('实盘净值数据(iFinD公式)'!$A194="",'实盘净值数据(iFinD公式)'!$B194="",'实盘净值数据(iFinD公式)'!$Z194="",'实盘净值数据(iFinD公式)'!$AA194=""),"",分期持仓明细!$AB$23*(SUMPRODUCT(分期持仓明细!$B$23:$Y$23,'实盘净值数据(iFinD公式)'!$B194:$Y194/'实盘净值数据(iFinD公式)'!$B$65:$Y$65)+SUMPRODUCT(分期持仓明细!$AC$23:$AD$23,'实盘净值数据(iFinD公式)'!$Z194:$AA194/'实盘净值数据(iFinD公式)'!$Z$65:$AA$65))*(1-实盘持仓配置!$AM$7)^(('实盘净值数据(iFinD公式)'!$A194-'实盘净值数据(iFinD公式)'!$A$8)/365))</f>
        <v/>
      </c>
      <c r="L194" s="16" t="str">
        <f t="shared" si="24"/>
        <v/>
      </c>
      <c r="M194" s="16" t="str">
        <f>IF(K194="","",K194/MAX(K$5:K194)-1)</f>
        <v/>
      </c>
      <c r="N194" s="13" t="str">
        <f>IF(OR('实盘净值数据(iFinD公式)'!$A194="",'实盘净值数据(iFinD公式)'!$B194="",'实盘净值数据(iFinD公式)'!$Z194="",'实盘净值数据(iFinD公式)'!$AA194=""),"",分期持仓明细!$AB$24*(SUMPRODUCT(分期持仓明细!$B$24:$Y$24,'实盘净值数据(iFinD公式)'!$B194:$Y194/'实盘净值数据(iFinD公式)'!$B$65:$Y$65)+SUMPRODUCT(分期持仓明细!$AC$24:$AD$24,'实盘净值数据(iFinD公式)'!$Z194:$AA194/'实盘净值数据(iFinD公式)'!$Z$65:$AA$65))*(1-实盘持仓配置!$AM$8)^(('实盘净值数据(iFinD公式)'!$A194-'实盘净值数据(iFinD公式)'!$A$5)/365))</f>
        <v/>
      </c>
      <c r="O194" s="16" t="str">
        <f t="shared" si="25"/>
        <v/>
      </c>
      <c r="P194" s="16" t="str">
        <f>IF(N194="","",N194/MAX(N$5:N194)-1)</f>
        <v/>
      </c>
      <c r="Q194" s="13" t="str">
        <f>IF(OR('实盘净值数据(iFinD公式)'!$A194="",'实盘净值数据(iFinD公式)'!$B194="",'实盘净值数据(iFinD公式)'!$Z194="",'实盘净值数据(iFinD公式)'!$AA194=""),"",分期持仓明细!$AB$25*(SUMPRODUCT(分期持仓明细!$B$25:$Y$25,'实盘净值数据(iFinD公式)'!$B194:$Y194/'实盘净值数据(iFinD公式)'!$B$65:$Y$65)+SUMPRODUCT(分期持仓明细!$AC$25:$AD$25,'实盘净值数据(iFinD公式)'!$Z194:$AA194/'实盘净值数据(iFinD公式)'!$Z$65:$AA$65))*(1-实盘持仓配置!$AM$9)^(('实盘净值数据(iFinD公式)'!$A194-'实盘净值数据(iFinD公式)'!$A$8)/365))</f>
        <v/>
      </c>
      <c r="R194" s="16" t="str">
        <f t="shared" si="26"/>
        <v/>
      </c>
      <c r="S194" s="16" t="str">
        <f>IF(Q194="","",Q194/MAX(Q$5:Q194)-1)</f>
        <v/>
      </c>
      <c r="T194" s="13" t="str">
        <f>IF(OR('实盘净值数据(iFinD公式)'!$A194="",'实盘净值数据(iFinD公式)'!$B194="",'实盘净值数据(iFinD公式)'!$Z194="",'实盘净值数据(iFinD公式)'!$AA194="",'实盘净值数据(iFinD公式)'!$AB194="",'实盘净值数据(iFinD公式)'!$AL194=""),"",(SUMPRODUCT(分期持仓明细!$B$26:$Y$26,'实盘净值数据(iFinD公式)'!$B194:$Y194/'实盘净值数据(iFinD公式)'!$B$69:$Y$69)+SUMPRODUCT(分期持仓明细!$AC$26:$AD$26,'实盘净值数据(iFinD公式)'!$Z194:$AA194/'实盘净值数据(iFinD公式)'!$Z$69:$AA$69)+SUMPRODUCT(分期持仓明细!$AE$26:$AO$26,'实盘净值数据(iFinD公式)'!$AB194:$AL194/'实盘净值数据(iFinD公式)'!$AB$69:$AL$69))*(1-实盘持仓配置!$AM$10)^(('实盘净值数据(iFinD公式)'!$A194-'实盘净值数据(iFinD公式)'!$A$69)/365))</f>
        <v/>
      </c>
      <c r="U194" s="16" t="str">
        <f t="shared" si="27"/>
        <v/>
      </c>
      <c r="V194" s="16" t="str">
        <f>IF(T194="","",T194/MAX(T$5:T194)-1)</f>
        <v/>
      </c>
    </row>
    <row r="195" spans="1:22">
      <c r="A195" s="15" t="str">
        <f>IF('实盘净值数据(iFinD公式)'!A195="","",'实盘净值数据(iFinD公式)'!A195)</f>
        <v/>
      </c>
      <c r="B195" s="13" t="str">
        <f>IF(OR('实盘净值数据(iFinD公式)'!$A195="",'实盘净值数据(iFinD公式)'!$B195=""),"",分期持仓明细!$AB$17*SUMPRODUCT(分期持仓明细!$B$17:$Y$17,'实盘净值数据(iFinD公式)'!$B195:$Y195/'实盘净值数据(iFinD公式)'!$B$20:$Y$20)*(1-实盘持仓配置!$AM$4)^(('实盘净值数据(iFinD公式)'!$A195-'实盘净值数据(iFinD公式)'!$A$6)/365))</f>
        <v/>
      </c>
      <c r="C195" s="16" t="str">
        <f t="shared" si="21"/>
        <v/>
      </c>
      <c r="D195" s="16" t="str">
        <f>IF(B195="","",B195/MAX(B$5:B195)-1)</f>
        <v/>
      </c>
      <c r="E195" s="13" t="str">
        <f>IF(OR('实盘净值数据(iFinD公式)'!$A195="",'实盘净值数据(iFinD公式)'!$B195=""),"",分期持仓明细!$AB$18*SUMPRODUCT(分期持仓明细!$B$18:$Y$18,'实盘净值数据(iFinD公式)'!$B195:$Y195/'实盘净值数据(iFinD公式)'!$B$20:$Y$20)*(1-实盘持仓配置!$AM$5)^(('实盘净值数据(iFinD公式)'!$A195-'实盘净值数据(iFinD公式)'!$A$5)/365))</f>
        <v/>
      </c>
      <c r="F195" s="16" t="str">
        <f t="shared" si="22"/>
        <v/>
      </c>
      <c r="G195" s="16" t="str">
        <f>IF(E195="","",E195/MAX(E$5:E195)-1)</f>
        <v/>
      </c>
      <c r="H195" s="13" t="str">
        <f>IF(OR('实盘净值数据(iFinD公式)'!$A195="",'实盘净值数据(iFinD公式)'!$B195=""),"",分期持仓明细!$AB$19*SUMPRODUCT(分期持仓明细!$B$19:$Y$19,'实盘净值数据(iFinD公式)'!$B195:$Y195/'实盘净值数据(iFinD公式)'!$B$20:$Y$20)*(1-实盘持仓配置!$AM$6)^(('实盘净值数据(iFinD公式)'!$A195-'实盘净值数据(iFinD公式)'!$A$7)/365))</f>
        <v/>
      </c>
      <c r="I195" s="16" t="str">
        <f t="shared" si="23"/>
        <v/>
      </c>
      <c r="J195" s="16" t="str">
        <f>IF(H195="","",H195/MAX(H$5:H195)-1)</f>
        <v/>
      </c>
      <c r="K195" s="13" t="str">
        <f>IF(OR('实盘净值数据(iFinD公式)'!$A195="",'实盘净值数据(iFinD公式)'!$B195="",'实盘净值数据(iFinD公式)'!$Z195="",'实盘净值数据(iFinD公式)'!$AA195=""),"",分期持仓明细!$AB$23*(SUMPRODUCT(分期持仓明细!$B$23:$Y$23,'实盘净值数据(iFinD公式)'!$B195:$Y195/'实盘净值数据(iFinD公式)'!$B$65:$Y$65)+SUMPRODUCT(分期持仓明细!$AC$23:$AD$23,'实盘净值数据(iFinD公式)'!$Z195:$AA195/'实盘净值数据(iFinD公式)'!$Z$65:$AA$65))*(1-实盘持仓配置!$AM$7)^(('实盘净值数据(iFinD公式)'!$A195-'实盘净值数据(iFinD公式)'!$A$8)/365))</f>
        <v/>
      </c>
      <c r="L195" s="16" t="str">
        <f t="shared" si="24"/>
        <v/>
      </c>
      <c r="M195" s="16" t="str">
        <f>IF(K195="","",K195/MAX(K$5:K195)-1)</f>
        <v/>
      </c>
      <c r="N195" s="13" t="str">
        <f>IF(OR('实盘净值数据(iFinD公式)'!$A195="",'实盘净值数据(iFinD公式)'!$B195="",'实盘净值数据(iFinD公式)'!$Z195="",'实盘净值数据(iFinD公式)'!$AA195=""),"",分期持仓明细!$AB$24*(SUMPRODUCT(分期持仓明细!$B$24:$Y$24,'实盘净值数据(iFinD公式)'!$B195:$Y195/'实盘净值数据(iFinD公式)'!$B$65:$Y$65)+SUMPRODUCT(分期持仓明细!$AC$24:$AD$24,'实盘净值数据(iFinD公式)'!$Z195:$AA195/'实盘净值数据(iFinD公式)'!$Z$65:$AA$65))*(1-实盘持仓配置!$AM$8)^(('实盘净值数据(iFinD公式)'!$A195-'实盘净值数据(iFinD公式)'!$A$5)/365))</f>
        <v/>
      </c>
      <c r="O195" s="16" t="str">
        <f t="shared" si="25"/>
        <v/>
      </c>
      <c r="P195" s="16" t="str">
        <f>IF(N195="","",N195/MAX(N$5:N195)-1)</f>
        <v/>
      </c>
      <c r="Q195" s="13" t="str">
        <f>IF(OR('实盘净值数据(iFinD公式)'!$A195="",'实盘净值数据(iFinD公式)'!$B195="",'实盘净值数据(iFinD公式)'!$Z195="",'实盘净值数据(iFinD公式)'!$AA195=""),"",分期持仓明细!$AB$25*(SUMPRODUCT(分期持仓明细!$B$25:$Y$25,'实盘净值数据(iFinD公式)'!$B195:$Y195/'实盘净值数据(iFinD公式)'!$B$65:$Y$65)+SUMPRODUCT(分期持仓明细!$AC$25:$AD$25,'实盘净值数据(iFinD公式)'!$Z195:$AA195/'实盘净值数据(iFinD公式)'!$Z$65:$AA$65))*(1-实盘持仓配置!$AM$9)^(('实盘净值数据(iFinD公式)'!$A195-'实盘净值数据(iFinD公式)'!$A$8)/365))</f>
        <v/>
      </c>
      <c r="R195" s="16" t="str">
        <f t="shared" si="26"/>
        <v/>
      </c>
      <c r="S195" s="16" t="str">
        <f>IF(Q195="","",Q195/MAX(Q$5:Q195)-1)</f>
        <v/>
      </c>
      <c r="T195" s="13" t="str">
        <f>IF(OR('实盘净值数据(iFinD公式)'!$A195="",'实盘净值数据(iFinD公式)'!$B195="",'实盘净值数据(iFinD公式)'!$Z195="",'实盘净值数据(iFinD公式)'!$AA195="",'实盘净值数据(iFinD公式)'!$AB195="",'实盘净值数据(iFinD公式)'!$AL195=""),"",(SUMPRODUCT(分期持仓明细!$B$26:$Y$26,'实盘净值数据(iFinD公式)'!$B195:$Y195/'实盘净值数据(iFinD公式)'!$B$69:$Y$69)+SUMPRODUCT(分期持仓明细!$AC$26:$AD$26,'实盘净值数据(iFinD公式)'!$Z195:$AA195/'实盘净值数据(iFinD公式)'!$Z$69:$AA$69)+SUMPRODUCT(分期持仓明细!$AE$26:$AO$26,'实盘净值数据(iFinD公式)'!$AB195:$AL195/'实盘净值数据(iFinD公式)'!$AB$69:$AL$69))*(1-实盘持仓配置!$AM$10)^(('实盘净值数据(iFinD公式)'!$A195-'实盘净值数据(iFinD公式)'!$A$69)/365))</f>
        <v/>
      </c>
      <c r="U195" s="16" t="str">
        <f t="shared" si="27"/>
        <v/>
      </c>
      <c r="V195" s="16" t="str">
        <f>IF(T195="","",T195/MAX(T$5:T195)-1)</f>
        <v/>
      </c>
    </row>
    <row r="196" spans="1:22">
      <c r="A196" s="15" t="str">
        <f>IF('实盘净值数据(iFinD公式)'!A196="","",'实盘净值数据(iFinD公式)'!A196)</f>
        <v/>
      </c>
      <c r="B196" s="13" t="str">
        <f>IF(OR('实盘净值数据(iFinD公式)'!$A196="",'实盘净值数据(iFinD公式)'!$B196=""),"",分期持仓明细!$AB$17*SUMPRODUCT(分期持仓明细!$B$17:$Y$17,'实盘净值数据(iFinD公式)'!$B196:$Y196/'实盘净值数据(iFinD公式)'!$B$20:$Y$20)*(1-实盘持仓配置!$AM$4)^(('实盘净值数据(iFinD公式)'!$A196-'实盘净值数据(iFinD公式)'!$A$6)/365))</f>
        <v/>
      </c>
      <c r="C196" s="16" t="str">
        <f t="shared" si="21"/>
        <v/>
      </c>
      <c r="D196" s="16" t="str">
        <f>IF(B196="","",B196/MAX(B$5:B196)-1)</f>
        <v/>
      </c>
      <c r="E196" s="13" t="str">
        <f>IF(OR('实盘净值数据(iFinD公式)'!$A196="",'实盘净值数据(iFinD公式)'!$B196=""),"",分期持仓明细!$AB$18*SUMPRODUCT(分期持仓明细!$B$18:$Y$18,'实盘净值数据(iFinD公式)'!$B196:$Y196/'实盘净值数据(iFinD公式)'!$B$20:$Y$20)*(1-实盘持仓配置!$AM$5)^(('实盘净值数据(iFinD公式)'!$A196-'实盘净值数据(iFinD公式)'!$A$5)/365))</f>
        <v/>
      </c>
      <c r="F196" s="16" t="str">
        <f t="shared" si="22"/>
        <v/>
      </c>
      <c r="G196" s="16" t="str">
        <f>IF(E196="","",E196/MAX(E$5:E196)-1)</f>
        <v/>
      </c>
      <c r="H196" s="13" t="str">
        <f>IF(OR('实盘净值数据(iFinD公式)'!$A196="",'实盘净值数据(iFinD公式)'!$B196=""),"",分期持仓明细!$AB$19*SUMPRODUCT(分期持仓明细!$B$19:$Y$19,'实盘净值数据(iFinD公式)'!$B196:$Y196/'实盘净值数据(iFinD公式)'!$B$20:$Y$20)*(1-实盘持仓配置!$AM$6)^(('实盘净值数据(iFinD公式)'!$A196-'实盘净值数据(iFinD公式)'!$A$7)/365))</f>
        <v/>
      </c>
      <c r="I196" s="16" t="str">
        <f t="shared" si="23"/>
        <v/>
      </c>
      <c r="J196" s="16" t="str">
        <f>IF(H196="","",H196/MAX(H$5:H196)-1)</f>
        <v/>
      </c>
      <c r="K196" s="13" t="str">
        <f>IF(OR('实盘净值数据(iFinD公式)'!$A196="",'实盘净值数据(iFinD公式)'!$B196="",'实盘净值数据(iFinD公式)'!$Z196="",'实盘净值数据(iFinD公式)'!$AA196=""),"",分期持仓明细!$AB$23*(SUMPRODUCT(分期持仓明细!$B$23:$Y$23,'实盘净值数据(iFinD公式)'!$B196:$Y196/'实盘净值数据(iFinD公式)'!$B$65:$Y$65)+SUMPRODUCT(分期持仓明细!$AC$23:$AD$23,'实盘净值数据(iFinD公式)'!$Z196:$AA196/'实盘净值数据(iFinD公式)'!$Z$65:$AA$65))*(1-实盘持仓配置!$AM$7)^(('实盘净值数据(iFinD公式)'!$A196-'实盘净值数据(iFinD公式)'!$A$8)/365))</f>
        <v/>
      </c>
      <c r="L196" s="16" t="str">
        <f t="shared" si="24"/>
        <v/>
      </c>
      <c r="M196" s="16" t="str">
        <f>IF(K196="","",K196/MAX(K$5:K196)-1)</f>
        <v/>
      </c>
      <c r="N196" s="13" t="str">
        <f>IF(OR('实盘净值数据(iFinD公式)'!$A196="",'实盘净值数据(iFinD公式)'!$B196="",'实盘净值数据(iFinD公式)'!$Z196="",'实盘净值数据(iFinD公式)'!$AA196=""),"",分期持仓明细!$AB$24*(SUMPRODUCT(分期持仓明细!$B$24:$Y$24,'实盘净值数据(iFinD公式)'!$B196:$Y196/'实盘净值数据(iFinD公式)'!$B$65:$Y$65)+SUMPRODUCT(分期持仓明细!$AC$24:$AD$24,'实盘净值数据(iFinD公式)'!$Z196:$AA196/'实盘净值数据(iFinD公式)'!$Z$65:$AA$65))*(1-实盘持仓配置!$AM$8)^(('实盘净值数据(iFinD公式)'!$A196-'实盘净值数据(iFinD公式)'!$A$5)/365))</f>
        <v/>
      </c>
      <c r="O196" s="16" t="str">
        <f t="shared" si="25"/>
        <v/>
      </c>
      <c r="P196" s="16" t="str">
        <f>IF(N196="","",N196/MAX(N$5:N196)-1)</f>
        <v/>
      </c>
      <c r="Q196" s="13" t="str">
        <f>IF(OR('实盘净值数据(iFinD公式)'!$A196="",'实盘净值数据(iFinD公式)'!$B196="",'实盘净值数据(iFinD公式)'!$Z196="",'实盘净值数据(iFinD公式)'!$AA196=""),"",分期持仓明细!$AB$25*(SUMPRODUCT(分期持仓明细!$B$25:$Y$25,'实盘净值数据(iFinD公式)'!$B196:$Y196/'实盘净值数据(iFinD公式)'!$B$65:$Y$65)+SUMPRODUCT(分期持仓明细!$AC$25:$AD$25,'实盘净值数据(iFinD公式)'!$Z196:$AA196/'实盘净值数据(iFinD公式)'!$Z$65:$AA$65))*(1-实盘持仓配置!$AM$9)^(('实盘净值数据(iFinD公式)'!$A196-'实盘净值数据(iFinD公式)'!$A$8)/365))</f>
        <v/>
      </c>
      <c r="R196" s="16" t="str">
        <f t="shared" si="26"/>
        <v/>
      </c>
      <c r="S196" s="16" t="str">
        <f>IF(Q196="","",Q196/MAX(Q$5:Q196)-1)</f>
        <v/>
      </c>
      <c r="T196" s="13" t="str">
        <f>IF(OR('实盘净值数据(iFinD公式)'!$A196="",'实盘净值数据(iFinD公式)'!$B196="",'实盘净值数据(iFinD公式)'!$Z196="",'实盘净值数据(iFinD公式)'!$AA196="",'实盘净值数据(iFinD公式)'!$AB196="",'实盘净值数据(iFinD公式)'!$AL196=""),"",(SUMPRODUCT(分期持仓明细!$B$26:$Y$26,'实盘净值数据(iFinD公式)'!$B196:$Y196/'实盘净值数据(iFinD公式)'!$B$69:$Y$69)+SUMPRODUCT(分期持仓明细!$AC$26:$AD$26,'实盘净值数据(iFinD公式)'!$Z196:$AA196/'实盘净值数据(iFinD公式)'!$Z$69:$AA$69)+SUMPRODUCT(分期持仓明细!$AE$26:$AO$26,'实盘净值数据(iFinD公式)'!$AB196:$AL196/'实盘净值数据(iFinD公式)'!$AB$69:$AL$69))*(1-实盘持仓配置!$AM$10)^(('实盘净值数据(iFinD公式)'!$A196-'实盘净值数据(iFinD公式)'!$A$69)/365))</f>
        <v/>
      </c>
      <c r="U196" s="16" t="str">
        <f t="shared" si="27"/>
        <v/>
      </c>
      <c r="V196" s="16" t="str">
        <f>IF(T196="","",T196/MAX(T$5:T196)-1)</f>
        <v/>
      </c>
    </row>
    <row r="197" spans="1:22">
      <c r="A197" s="15" t="str">
        <f>IF('实盘净值数据(iFinD公式)'!A197="","",'实盘净值数据(iFinD公式)'!A197)</f>
        <v/>
      </c>
      <c r="B197" s="13" t="str">
        <f>IF(OR('实盘净值数据(iFinD公式)'!$A197="",'实盘净值数据(iFinD公式)'!$B197=""),"",分期持仓明细!$AB$17*SUMPRODUCT(分期持仓明细!$B$17:$Y$17,'实盘净值数据(iFinD公式)'!$B197:$Y197/'实盘净值数据(iFinD公式)'!$B$20:$Y$20)*(1-实盘持仓配置!$AM$4)^(('实盘净值数据(iFinD公式)'!$A197-'实盘净值数据(iFinD公式)'!$A$6)/365))</f>
        <v/>
      </c>
      <c r="C197" s="16" t="str">
        <f t="shared" si="21"/>
        <v/>
      </c>
      <c r="D197" s="16" t="str">
        <f>IF(B197="","",B197/MAX(B$5:B197)-1)</f>
        <v/>
      </c>
      <c r="E197" s="13" t="str">
        <f>IF(OR('实盘净值数据(iFinD公式)'!$A197="",'实盘净值数据(iFinD公式)'!$B197=""),"",分期持仓明细!$AB$18*SUMPRODUCT(分期持仓明细!$B$18:$Y$18,'实盘净值数据(iFinD公式)'!$B197:$Y197/'实盘净值数据(iFinD公式)'!$B$20:$Y$20)*(1-实盘持仓配置!$AM$5)^(('实盘净值数据(iFinD公式)'!$A197-'实盘净值数据(iFinD公式)'!$A$5)/365))</f>
        <v/>
      </c>
      <c r="F197" s="16" t="str">
        <f t="shared" si="22"/>
        <v/>
      </c>
      <c r="G197" s="16" t="str">
        <f>IF(E197="","",E197/MAX(E$5:E197)-1)</f>
        <v/>
      </c>
      <c r="H197" s="13" t="str">
        <f>IF(OR('实盘净值数据(iFinD公式)'!$A197="",'实盘净值数据(iFinD公式)'!$B197=""),"",分期持仓明细!$AB$19*SUMPRODUCT(分期持仓明细!$B$19:$Y$19,'实盘净值数据(iFinD公式)'!$B197:$Y197/'实盘净值数据(iFinD公式)'!$B$20:$Y$20)*(1-实盘持仓配置!$AM$6)^(('实盘净值数据(iFinD公式)'!$A197-'实盘净值数据(iFinD公式)'!$A$7)/365))</f>
        <v/>
      </c>
      <c r="I197" s="16" t="str">
        <f t="shared" si="23"/>
        <v/>
      </c>
      <c r="J197" s="16" t="str">
        <f>IF(H197="","",H197/MAX(H$5:H197)-1)</f>
        <v/>
      </c>
      <c r="K197" s="13" t="str">
        <f>IF(OR('实盘净值数据(iFinD公式)'!$A197="",'实盘净值数据(iFinD公式)'!$B197="",'实盘净值数据(iFinD公式)'!$Z197="",'实盘净值数据(iFinD公式)'!$AA197=""),"",分期持仓明细!$AB$23*(SUMPRODUCT(分期持仓明细!$B$23:$Y$23,'实盘净值数据(iFinD公式)'!$B197:$Y197/'实盘净值数据(iFinD公式)'!$B$65:$Y$65)+SUMPRODUCT(分期持仓明细!$AC$23:$AD$23,'实盘净值数据(iFinD公式)'!$Z197:$AA197/'实盘净值数据(iFinD公式)'!$Z$65:$AA$65))*(1-实盘持仓配置!$AM$7)^(('实盘净值数据(iFinD公式)'!$A197-'实盘净值数据(iFinD公式)'!$A$8)/365))</f>
        <v/>
      </c>
      <c r="L197" s="16" t="str">
        <f t="shared" si="24"/>
        <v/>
      </c>
      <c r="M197" s="16" t="str">
        <f>IF(K197="","",K197/MAX(K$5:K197)-1)</f>
        <v/>
      </c>
      <c r="N197" s="13" t="str">
        <f>IF(OR('实盘净值数据(iFinD公式)'!$A197="",'实盘净值数据(iFinD公式)'!$B197="",'实盘净值数据(iFinD公式)'!$Z197="",'实盘净值数据(iFinD公式)'!$AA197=""),"",分期持仓明细!$AB$24*(SUMPRODUCT(分期持仓明细!$B$24:$Y$24,'实盘净值数据(iFinD公式)'!$B197:$Y197/'实盘净值数据(iFinD公式)'!$B$65:$Y$65)+SUMPRODUCT(分期持仓明细!$AC$24:$AD$24,'实盘净值数据(iFinD公式)'!$Z197:$AA197/'实盘净值数据(iFinD公式)'!$Z$65:$AA$65))*(1-实盘持仓配置!$AM$8)^(('实盘净值数据(iFinD公式)'!$A197-'实盘净值数据(iFinD公式)'!$A$5)/365))</f>
        <v/>
      </c>
      <c r="O197" s="16" t="str">
        <f t="shared" si="25"/>
        <v/>
      </c>
      <c r="P197" s="16" t="str">
        <f>IF(N197="","",N197/MAX(N$5:N197)-1)</f>
        <v/>
      </c>
      <c r="Q197" s="13" t="str">
        <f>IF(OR('实盘净值数据(iFinD公式)'!$A197="",'实盘净值数据(iFinD公式)'!$B197="",'实盘净值数据(iFinD公式)'!$Z197="",'实盘净值数据(iFinD公式)'!$AA197=""),"",分期持仓明细!$AB$25*(SUMPRODUCT(分期持仓明细!$B$25:$Y$25,'实盘净值数据(iFinD公式)'!$B197:$Y197/'实盘净值数据(iFinD公式)'!$B$65:$Y$65)+SUMPRODUCT(分期持仓明细!$AC$25:$AD$25,'实盘净值数据(iFinD公式)'!$Z197:$AA197/'实盘净值数据(iFinD公式)'!$Z$65:$AA$65))*(1-实盘持仓配置!$AM$9)^(('实盘净值数据(iFinD公式)'!$A197-'实盘净值数据(iFinD公式)'!$A$8)/365))</f>
        <v/>
      </c>
      <c r="R197" s="16" t="str">
        <f t="shared" si="26"/>
        <v/>
      </c>
      <c r="S197" s="16" t="str">
        <f>IF(Q197="","",Q197/MAX(Q$5:Q197)-1)</f>
        <v/>
      </c>
      <c r="T197" s="13" t="str">
        <f>IF(OR('实盘净值数据(iFinD公式)'!$A197="",'实盘净值数据(iFinD公式)'!$B197="",'实盘净值数据(iFinD公式)'!$Z197="",'实盘净值数据(iFinD公式)'!$AA197="",'实盘净值数据(iFinD公式)'!$AB197="",'实盘净值数据(iFinD公式)'!$AL197=""),"",(SUMPRODUCT(分期持仓明细!$B$26:$Y$26,'实盘净值数据(iFinD公式)'!$B197:$Y197/'实盘净值数据(iFinD公式)'!$B$69:$Y$69)+SUMPRODUCT(分期持仓明细!$AC$26:$AD$26,'实盘净值数据(iFinD公式)'!$Z197:$AA197/'实盘净值数据(iFinD公式)'!$Z$69:$AA$69)+SUMPRODUCT(分期持仓明细!$AE$26:$AO$26,'实盘净值数据(iFinD公式)'!$AB197:$AL197/'实盘净值数据(iFinD公式)'!$AB$69:$AL$69))*(1-实盘持仓配置!$AM$10)^(('实盘净值数据(iFinD公式)'!$A197-'实盘净值数据(iFinD公式)'!$A$69)/365))</f>
        <v/>
      </c>
      <c r="U197" s="16" t="str">
        <f t="shared" ref="U197:U227" si="28">IF(OR(T196="",T197=""),"",T197/T196-1)</f>
        <v/>
      </c>
      <c r="V197" s="16" t="str">
        <f>IF(T197="","",T197/MAX(T$5:T197)-1)</f>
        <v/>
      </c>
    </row>
    <row r="198" spans="1:22">
      <c r="A198" s="15" t="str">
        <f>IF('实盘净值数据(iFinD公式)'!A198="","",'实盘净值数据(iFinD公式)'!A198)</f>
        <v/>
      </c>
      <c r="B198" s="13" t="str">
        <f>IF(OR('实盘净值数据(iFinD公式)'!$A198="",'实盘净值数据(iFinD公式)'!$B198=""),"",分期持仓明细!$AB$17*SUMPRODUCT(分期持仓明细!$B$17:$Y$17,'实盘净值数据(iFinD公式)'!$B198:$Y198/'实盘净值数据(iFinD公式)'!$B$20:$Y$20)*(1-实盘持仓配置!$AM$4)^(('实盘净值数据(iFinD公式)'!$A198-'实盘净值数据(iFinD公式)'!$A$6)/365))</f>
        <v/>
      </c>
      <c r="C198" s="16" t="str">
        <f t="shared" ref="C198:C227" si="29">IF(OR(B197="",B198=""),"",B198/B197-1)</f>
        <v/>
      </c>
      <c r="D198" s="16" t="str">
        <f>IF(B198="","",B198/MAX(B$5:B198)-1)</f>
        <v/>
      </c>
      <c r="E198" s="13" t="str">
        <f>IF(OR('实盘净值数据(iFinD公式)'!$A198="",'实盘净值数据(iFinD公式)'!$B198=""),"",分期持仓明细!$AB$18*SUMPRODUCT(分期持仓明细!$B$18:$Y$18,'实盘净值数据(iFinD公式)'!$B198:$Y198/'实盘净值数据(iFinD公式)'!$B$20:$Y$20)*(1-实盘持仓配置!$AM$5)^(('实盘净值数据(iFinD公式)'!$A198-'实盘净值数据(iFinD公式)'!$A$5)/365))</f>
        <v/>
      </c>
      <c r="F198" s="16" t="str">
        <f t="shared" ref="F198:F227" si="30">IF(OR(E197="",E198=""),"",E198/E197-1)</f>
        <v/>
      </c>
      <c r="G198" s="16" t="str">
        <f>IF(E198="","",E198/MAX(E$5:E198)-1)</f>
        <v/>
      </c>
      <c r="H198" s="13" t="str">
        <f>IF(OR('实盘净值数据(iFinD公式)'!$A198="",'实盘净值数据(iFinD公式)'!$B198=""),"",分期持仓明细!$AB$19*SUMPRODUCT(分期持仓明细!$B$19:$Y$19,'实盘净值数据(iFinD公式)'!$B198:$Y198/'实盘净值数据(iFinD公式)'!$B$20:$Y$20)*(1-实盘持仓配置!$AM$6)^(('实盘净值数据(iFinD公式)'!$A198-'实盘净值数据(iFinD公式)'!$A$7)/365))</f>
        <v/>
      </c>
      <c r="I198" s="16" t="str">
        <f t="shared" ref="I198:I227" si="31">IF(OR(H197="",H198=""),"",H198/H197-1)</f>
        <v/>
      </c>
      <c r="J198" s="16" t="str">
        <f>IF(H198="","",H198/MAX(H$5:H198)-1)</f>
        <v/>
      </c>
      <c r="K198" s="13" t="str">
        <f>IF(OR('实盘净值数据(iFinD公式)'!$A198="",'实盘净值数据(iFinD公式)'!$B198="",'实盘净值数据(iFinD公式)'!$Z198="",'实盘净值数据(iFinD公式)'!$AA198=""),"",分期持仓明细!$AB$23*(SUMPRODUCT(分期持仓明细!$B$23:$Y$23,'实盘净值数据(iFinD公式)'!$B198:$Y198/'实盘净值数据(iFinD公式)'!$B$65:$Y$65)+SUMPRODUCT(分期持仓明细!$AC$23:$AD$23,'实盘净值数据(iFinD公式)'!$Z198:$AA198/'实盘净值数据(iFinD公式)'!$Z$65:$AA$65))*(1-实盘持仓配置!$AM$7)^(('实盘净值数据(iFinD公式)'!$A198-'实盘净值数据(iFinD公式)'!$A$8)/365))</f>
        <v/>
      </c>
      <c r="L198" s="16" t="str">
        <f t="shared" ref="L198:L227" si="32">IF(OR(K197="",K198=""),"",K198/K197-1)</f>
        <v/>
      </c>
      <c r="M198" s="16" t="str">
        <f>IF(K198="","",K198/MAX(K$5:K198)-1)</f>
        <v/>
      </c>
      <c r="N198" s="13" t="str">
        <f>IF(OR('实盘净值数据(iFinD公式)'!$A198="",'实盘净值数据(iFinD公式)'!$B198="",'实盘净值数据(iFinD公式)'!$Z198="",'实盘净值数据(iFinD公式)'!$AA198=""),"",分期持仓明细!$AB$24*(SUMPRODUCT(分期持仓明细!$B$24:$Y$24,'实盘净值数据(iFinD公式)'!$B198:$Y198/'实盘净值数据(iFinD公式)'!$B$65:$Y$65)+SUMPRODUCT(分期持仓明细!$AC$24:$AD$24,'实盘净值数据(iFinD公式)'!$Z198:$AA198/'实盘净值数据(iFinD公式)'!$Z$65:$AA$65))*(1-实盘持仓配置!$AM$8)^(('实盘净值数据(iFinD公式)'!$A198-'实盘净值数据(iFinD公式)'!$A$5)/365))</f>
        <v/>
      </c>
      <c r="O198" s="16" t="str">
        <f t="shared" ref="O198:O227" si="33">IF(OR(N197="",N198=""),"",N198/N197-1)</f>
        <v/>
      </c>
      <c r="P198" s="16" t="str">
        <f>IF(N198="","",N198/MAX(N$5:N198)-1)</f>
        <v/>
      </c>
      <c r="Q198" s="13" t="str">
        <f>IF(OR('实盘净值数据(iFinD公式)'!$A198="",'实盘净值数据(iFinD公式)'!$B198="",'实盘净值数据(iFinD公式)'!$Z198="",'实盘净值数据(iFinD公式)'!$AA198=""),"",分期持仓明细!$AB$25*(SUMPRODUCT(分期持仓明细!$B$25:$Y$25,'实盘净值数据(iFinD公式)'!$B198:$Y198/'实盘净值数据(iFinD公式)'!$B$65:$Y$65)+SUMPRODUCT(分期持仓明细!$AC$25:$AD$25,'实盘净值数据(iFinD公式)'!$Z198:$AA198/'实盘净值数据(iFinD公式)'!$Z$65:$AA$65))*(1-实盘持仓配置!$AM$9)^(('实盘净值数据(iFinD公式)'!$A198-'实盘净值数据(iFinD公式)'!$A$8)/365))</f>
        <v/>
      </c>
      <c r="R198" s="16" t="str">
        <f t="shared" ref="R198:R227" si="34">IF(OR(Q197="",Q198=""),"",Q198/Q197-1)</f>
        <v/>
      </c>
      <c r="S198" s="16" t="str">
        <f>IF(Q198="","",Q198/MAX(Q$5:Q198)-1)</f>
        <v/>
      </c>
      <c r="T198" s="13" t="str">
        <f>IF(OR('实盘净值数据(iFinD公式)'!$A198="",'实盘净值数据(iFinD公式)'!$B198="",'实盘净值数据(iFinD公式)'!$Z198="",'实盘净值数据(iFinD公式)'!$AA198="",'实盘净值数据(iFinD公式)'!$AB198="",'实盘净值数据(iFinD公式)'!$AL198=""),"",(SUMPRODUCT(分期持仓明细!$B$26:$Y$26,'实盘净值数据(iFinD公式)'!$B198:$Y198/'实盘净值数据(iFinD公式)'!$B$69:$Y$69)+SUMPRODUCT(分期持仓明细!$AC$26:$AD$26,'实盘净值数据(iFinD公式)'!$Z198:$AA198/'实盘净值数据(iFinD公式)'!$Z$69:$AA$69)+SUMPRODUCT(分期持仓明细!$AE$26:$AO$26,'实盘净值数据(iFinD公式)'!$AB198:$AL198/'实盘净值数据(iFinD公式)'!$AB$69:$AL$69))*(1-实盘持仓配置!$AM$10)^(('实盘净值数据(iFinD公式)'!$A198-'实盘净值数据(iFinD公式)'!$A$69)/365))</f>
        <v/>
      </c>
      <c r="U198" s="16" t="str">
        <f t="shared" si="28"/>
        <v/>
      </c>
      <c r="V198" s="16" t="str">
        <f>IF(T198="","",T198/MAX(T$5:T198)-1)</f>
        <v/>
      </c>
    </row>
    <row r="199" spans="1:22">
      <c r="A199" s="15" t="str">
        <f>IF('实盘净值数据(iFinD公式)'!A199="","",'实盘净值数据(iFinD公式)'!A199)</f>
        <v/>
      </c>
      <c r="B199" s="13" t="str">
        <f>IF(OR('实盘净值数据(iFinD公式)'!$A199="",'实盘净值数据(iFinD公式)'!$B199=""),"",分期持仓明细!$AB$17*SUMPRODUCT(分期持仓明细!$B$17:$Y$17,'实盘净值数据(iFinD公式)'!$B199:$Y199/'实盘净值数据(iFinD公式)'!$B$20:$Y$20)*(1-实盘持仓配置!$AM$4)^(('实盘净值数据(iFinD公式)'!$A199-'实盘净值数据(iFinD公式)'!$A$6)/365))</f>
        <v/>
      </c>
      <c r="C199" s="16" t="str">
        <f t="shared" si="29"/>
        <v/>
      </c>
      <c r="D199" s="16" t="str">
        <f>IF(B199="","",B199/MAX(B$5:B199)-1)</f>
        <v/>
      </c>
      <c r="E199" s="13" t="str">
        <f>IF(OR('实盘净值数据(iFinD公式)'!$A199="",'实盘净值数据(iFinD公式)'!$B199=""),"",分期持仓明细!$AB$18*SUMPRODUCT(分期持仓明细!$B$18:$Y$18,'实盘净值数据(iFinD公式)'!$B199:$Y199/'实盘净值数据(iFinD公式)'!$B$20:$Y$20)*(1-实盘持仓配置!$AM$5)^(('实盘净值数据(iFinD公式)'!$A199-'实盘净值数据(iFinD公式)'!$A$5)/365))</f>
        <v/>
      </c>
      <c r="F199" s="16" t="str">
        <f t="shared" si="30"/>
        <v/>
      </c>
      <c r="G199" s="16" t="str">
        <f>IF(E199="","",E199/MAX(E$5:E199)-1)</f>
        <v/>
      </c>
      <c r="H199" s="13" t="str">
        <f>IF(OR('实盘净值数据(iFinD公式)'!$A199="",'实盘净值数据(iFinD公式)'!$B199=""),"",分期持仓明细!$AB$19*SUMPRODUCT(分期持仓明细!$B$19:$Y$19,'实盘净值数据(iFinD公式)'!$B199:$Y199/'实盘净值数据(iFinD公式)'!$B$20:$Y$20)*(1-实盘持仓配置!$AM$6)^(('实盘净值数据(iFinD公式)'!$A199-'实盘净值数据(iFinD公式)'!$A$7)/365))</f>
        <v/>
      </c>
      <c r="I199" s="16" t="str">
        <f t="shared" si="31"/>
        <v/>
      </c>
      <c r="J199" s="16" t="str">
        <f>IF(H199="","",H199/MAX(H$5:H199)-1)</f>
        <v/>
      </c>
      <c r="K199" s="13" t="str">
        <f>IF(OR('实盘净值数据(iFinD公式)'!$A199="",'实盘净值数据(iFinD公式)'!$B199="",'实盘净值数据(iFinD公式)'!$Z199="",'实盘净值数据(iFinD公式)'!$AA199=""),"",分期持仓明细!$AB$23*(SUMPRODUCT(分期持仓明细!$B$23:$Y$23,'实盘净值数据(iFinD公式)'!$B199:$Y199/'实盘净值数据(iFinD公式)'!$B$65:$Y$65)+SUMPRODUCT(分期持仓明细!$AC$23:$AD$23,'实盘净值数据(iFinD公式)'!$Z199:$AA199/'实盘净值数据(iFinD公式)'!$Z$65:$AA$65))*(1-实盘持仓配置!$AM$7)^(('实盘净值数据(iFinD公式)'!$A199-'实盘净值数据(iFinD公式)'!$A$8)/365))</f>
        <v/>
      </c>
      <c r="L199" s="16" t="str">
        <f t="shared" si="32"/>
        <v/>
      </c>
      <c r="M199" s="16" t="str">
        <f>IF(K199="","",K199/MAX(K$5:K199)-1)</f>
        <v/>
      </c>
      <c r="N199" s="13" t="str">
        <f>IF(OR('实盘净值数据(iFinD公式)'!$A199="",'实盘净值数据(iFinD公式)'!$B199="",'实盘净值数据(iFinD公式)'!$Z199="",'实盘净值数据(iFinD公式)'!$AA199=""),"",分期持仓明细!$AB$24*(SUMPRODUCT(分期持仓明细!$B$24:$Y$24,'实盘净值数据(iFinD公式)'!$B199:$Y199/'实盘净值数据(iFinD公式)'!$B$65:$Y$65)+SUMPRODUCT(分期持仓明细!$AC$24:$AD$24,'实盘净值数据(iFinD公式)'!$Z199:$AA199/'实盘净值数据(iFinD公式)'!$Z$65:$AA$65))*(1-实盘持仓配置!$AM$8)^(('实盘净值数据(iFinD公式)'!$A199-'实盘净值数据(iFinD公式)'!$A$5)/365))</f>
        <v/>
      </c>
      <c r="O199" s="16" t="str">
        <f t="shared" si="33"/>
        <v/>
      </c>
      <c r="P199" s="16" t="str">
        <f>IF(N199="","",N199/MAX(N$5:N199)-1)</f>
        <v/>
      </c>
      <c r="Q199" s="13" t="str">
        <f>IF(OR('实盘净值数据(iFinD公式)'!$A199="",'实盘净值数据(iFinD公式)'!$B199="",'实盘净值数据(iFinD公式)'!$Z199="",'实盘净值数据(iFinD公式)'!$AA199=""),"",分期持仓明细!$AB$25*(SUMPRODUCT(分期持仓明细!$B$25:$Y$25,'实盘净值数据(iFinD公式)'!$B199:$Y199/'实盘净值数据(iFinD公式)'!$B$65:$Y$65)+SUMPRODUCT(分期持仓明细!$AC$25:$AD$25,'实盘净值数据(iFinD公式)'!$Z199:$AA199/'实盘净值数据(iFinD公式)'!$Z$65:$AA$65))*(1-实盘持仓配置!$AM$9)^(('实盘净值数据(iFinD公式)'!$A199-'实盘净值数据(iFinD公式)'!$A$8)/365))</f>
        <v/>
      </c>
      <c r="R199" s="16" t="str">
        <f t="shared" si="34"/>
        <v/>
      </c>
      <c r="S199" s="16" t="str">
        <f>IF(Q199="","",Q199/MAX(Q$5:Q199)-1)</f>
        <v/>
      </c>
      <c r="T199" s="13" t="str">
        <f>IF(OR('实盘净值数据(iFinD公式)'!$A199="",'实盘净值数据(iFinD公式)'!$B199="",'实盘净值数据(iFinD公式)'!$Z199="",'实盘净值数据(iFinD公式)'!$AA199="",'实盘净值数据(iFinD公式)'!$AB199="",'实盘净值数据(iFinD公式)'!$AL199=""),"",(SUMPRODUCT(分期持仓明细!$B$26:$Y$26,'实盘净值数据(iFinD公式)'!$B199:$Y199/'实盘净值数据(iFinD公式)'!$B$69:$Y$69)+SUMPRODUCT(分期持仓明细!$AC$26:$AD$26,'实盘净值数据(iFinD公式)'!$Z199:$AA199/'实盘净值数据(iFinD公式)'!$Z$69:$AA$69)+SUMPRODUCT(分期持仓明细!$AE$26:$AO$26,'实盘净值数据(iFinD公式)'!$AB199:$AL199/'实盘净值数据(iFinD公式)'!$AB$69:$AL$69))*(1-实盘持仓配置!$AM$10)^(('实盘净值数据(iFinD公式)'!$A199-'实盘净值数据(iFinD公式)'!$A$69)/365))</f>
        <v/>
      </c>
      <c r="U199" s="16" t="str">
        <f t="shared" si="28"/>
        <v/>
      </c>
      <c r="V199" s="16" t="str">
        <f>IF(T199="","",T199/MAX(T$5:T199)-1)</f>
        <v/>
      </c>
    </row>
    <row r="200" spans="1:22">
      <c r="A200" s="15" t="str">
        <f>IF('实盘净值数据(iFinD公式)'!A200="","",'实盘净值数据(iFinD公式)'!A200)</f>
        <v/>
      </c>
      <c r="B200" s="13" t="str">
        <f>IF(OR('实盘净值数据(iFinD公式)'!$A200="",'实盘净值数据(iFinD公式)'!$B200=""),"",分期持仓明细!$AB$17*SUMPRODUCT(分期持仓明细!$B$17:$Y$17,'实盘净值数据(iFinD公式)'!$B200:$Y200/'实盘净值数据(iFinD公式)'!$B$20:$Y$20)*(1-实盘持仓配置!$AM$4)^(('实盘净值数据(iFinD公式)'!$A200-'实盘净值数据(iFinD公式)'!$A$6)/365))</f>
        <v/>
      </c>
      <c r="C200" s="16" t="str">
        <f t="shared" si="29"/>
        <v/>
      </c>
      <c r="D200" s="16" t="str">
        <f>IF(B200="","",B200/MAX(B$5:B200)-1)</f>
        <v/>
      </c>
      <c r="E200" s="13" t="str">
        <f>IF(OR('实盘净值数据(iFinD公式)'!$A200="",'实盘净值数据(iFinD公式)'!$B200=""),"",分期持仓明细!$AB$18*SUMPRODUCT(分期持仓明细!$B$18:$Y$18,'实盘净值数据(iFinD公式)'!$B200:$Y200/'实盘净值数据(iFinD公式)'!$B$20:$Y$20)*(1-实盘持仓配置!$AM$5)^(('实盘净值数据(iFinD公式)'!$A200-'实盘净值数据(iFinD公式)'!$A$5)/365))</f>
        <v/>
      </c>
      <c r="F200" s="16" t="str">
        <f t="shared" si="30"/>
        <v/>
      </c>
      <c r="G200" s="16" t="str">
        <f>IF(E200="","",E200/MAX(E$5:E200)-1)</f>
        <v/>
      </c>
      <c r="H200" s="13" t="str">
        <f>IF(OR('实盘净值数据(iFinD公式)'!$A200="",'实盘净值数据(iFinD公式)'!$B200=""),"",分期持仓明细!$AB$19*SUMPRODUCT(分期持仓明细!$B$19:$Y$19,'实盘净值数据(iFinD公式)'!$B200:$Y200/'实盘净值数据(iFinD公式)'!$B$20:$Y$20)*(1-实盘持仓配置!$AM$6)^(('实盘净值数据(iFinD公式)'!$A200-'实盘净值数据(iFinD公式)'!$A$7)/365))</f>
        <v/>
      </c>
      <c r="I200" s="16" t="str">
        <f t="shared" si="31"/>
        <v/>
      </c>
      <c r="J200" s="16" t="str">
        <f>IF(H200="","",H200/MAX(H$5:H200)-1)</f>
        <v/>
      </c>
      <c r="K200" s="13" t="str">
        <f>IF(OR('实盘净值数据(iFinD公式)'!$A200="",'实盘净值数据(iFinD公式)'!$B200="",'实盘净值数据(iFinD公式)'!$Z200="",'实盘净值数据(iFinD公式)'!$AA200=""),"",分期持仓明细!$AB$23*(SUMPRODUCT(分期持仓明细!$B$23:$Y$23,'实盘净值数据(iFinD公式)'!$B200:$Y200/'实盘净值数据(iFinD公式)'!$B$65:$Y$65)+SUMPRODUCT(分期持仓明细!$AC$23:$AD$23,'实盘净值数据(iFinD公式)'!$Z200:$AA200/'实盘净值数据(iFinD公式)'!$Z$65:$AA$65))*(1-实盘持仓配置!$AM$7)^(('实盘净值数据(iFinD公式)'!$A200-'实盘净值数据(iFinD公式)'!$A$8)/365))</f>
        <v/>
      </c>
      <c r="L200" s="16" t="str">
        <f t="shared" si="32"/>
        <v/>
      </c>
      <c r="M200" s="16" t="str">
        <f>IF(K200="","",K200/MAX(K$5:K200)-1)</f>
        <v/>
      </c>
      <c r="N200" s="13" t="str">
        <f>IF(OR('实盘净值数据(iFinD公式)'!$A200="",'实盘净值数据(iFinD公式)'!$B200="",'实盘净值数据(iFinD公式)'!$Z200="",'实盘净值数据(iFinD公式)'!$AA200=""),"",分期持仓明细!$AB$24*(SUMPRODUCT(分期持仓明细!$B$24:$Y$24,'实盘净值数据(iFinD公式)'!$B200:$Y200/'实盘净值数据(iFinD公式)'!$B$65:$Y$65)+SUMPRODUCT(分期持仓明细!$AC$24:$AD$24,'实盘净值数据(iFinD公式)'!$Z200:$AA200/'实盘净值数据(iFinD公式)'!$Z$65:$AA$65))*(1-实盘持仓配置!$AM$8)^(('实盘净值数据(iFinD公式)'!$A200-'实盘净值数据(iFinD公式)'!$A$5)/365))</f>
        <v/>
      </c>
      <c r="O200" s="16" t="str">
        <f t="shared" si="33"/>
        <v/>
      </c>
      <c r="P200" s="16" t="str">
        <f>IF(N200="","",N200/MAX(N$5:N200)-1)</f>
        <v/>
      </c>
      <c r="Q200" s="13" t="str">
        <f>IF(OR('实盘净值数据(iFinD公式)'!$A200="",'实盘净值数据(iFinD公式)'!$B200="",'实盘净值数据(iFinD公式)'!$Z200="",'实盘净值数据(iFinD公式)'!$AA200=""),"",分期持仓明细!$AB$25*(SUMPRODUCT(分期持仓明细!$B$25:$Y$25,'实盘净值数据(iFinD公式)'!$B200:$Y200/'实盘净值数据(iFinD公式)'!$B$65:$Y$65)+SUMPRODUCT(分期持仓明细!$AC$25:$AD$25,'实盘净值数据(iFinD公式)'!$Z200:$AA200/'实盘净值数据(iFinD公式)'!$Z$65:$AA$65))*(1-实盘持仓配置!$AM$9)^(('实盘净值数据(iFinD公式)'!$A200-'实盘净值数据(iFinD公式)'!$A$8)/365))</f>
        <v/>
      </c>
      <c r="R200" s="16" t="str">
        <f t="shared" si="34"/>
        <v/>
      </c>
      <c r="S200" s="16" t="str">
        <f>IF(Q200="","",Q200/MAX(Q$5:Q200)-1)</f>
        <v/>
      </c>
      <c r="T200" s="13" t="str">
        <f>IF(OR('实盘净值数据(iFinD公式)'!$A200="",'实盘净值数据(iFinD公式)'!$B200="",'实盘净值数据(iFinD公式)'!$Z200="",'实盘净值数据(iFinD公式)'!$AA200="",'实盘净值数据(iFinD公式)'!$AB200="",'实盘净值数据(iFinD公式)'!$AL200=""),"",(SUMPRODUCT(分期持仓明细!$B$26:$Y$26,'实盘净值数据(iFinD公式)'!$B200:$Y200/'实盘净值数据(iFinD公式)'!$B$69:$Y$69)+SUMPRODUCT(分期持仓明细!$AC$26:$AD$26,'实盘净值数据(iFinD公式)'!$Z200:$AA200/'实盘净值数据(iFinD公式)'!$Z$69:$AA$69)+SUMPRODUCT(分期持仓明细!$AE$26:$AO$26,'实盘净值数据(iFinD公式)'!$AB200:$AL200/'实盘净值数据(iFinD公式)'!$AB$69:$AL$69))*(1-实盘持仓配置!$AM$10)^(('实盘净值数据(iFinD公式)'!$A200-'实盘净值数据(iFinD公式)'!$A$69)/365))</f>
        <v/>
      </c>
      <c r="U200" s="16" t="str">
        <f t="shared" si="28"/>
        <v/>
      </c>
      <c r="V200" s="16" t="str">
        <f>IF(T200="","",T200/MAX(T$5:T200)-1)</f>
        <v/>
      </c>
    </row>
    <row r="201" spans="1:22">
      <c r="A201" s="15" t="str">
        <f>IF('实盘净值数据(iFinD公式)'!A201="","",'实盘净值数据(iFinD公式)'!A201)</f>
        <v/>
      </c>
      <c r="B201" s="13" t="str">
        <f>IF(OR('实盘净值数据(iFinD公式)'!$A201="",'实盘净值数据(iFinD公式)'!$B201=""),"",分期持仓明细!$AB$17*SUMPRODUCT(分期持仓明细!$B$17:$Y$17,'实盘净值数据(iFinD公式)'!$B201:$Y201/'实盘净值数据(iFinD公式)'!$B$20:$Y$20)*(1-实盘持仓配置!$AM$4)^(('实盘净值数据(iFinD公式)'!$A201-'实盘净值数据(iFinD公式)'!$A$6)/365))</f>
        <v/>
      </c>
      <c r="C201" s="16" t="str">
        <f t="shared" si="29"/>
        <v/>
      </c>
      <c r="D201" s="16" t="str">
        <f>IF(B201="","",B201/MAX(B$5:B201)-1)</f>
        <v/>
      </c>
      <c r="E201" s="13" t="str">
        <f>IF(OR('实盘净值数据(iFinD公式)'!$A201="",'实盘净值数据(iFinD公式)'!$B201=""),"",分期持仓明细!$AB$18*SUMPRODUCT(分期持仓明细!$B$18:$Y$18,'实盘净值数据(iFinD公式)'!$B201:$Y201/'实盘净值数据(iFinD公式)'!$B$20:$Y$20)*(1-实盘持仓配置!$AM$5)^(('实盘净值数据(iFinD公式)'!$A201-'实盘净值数据(iFinD公式)'!$A$5)/365))</f>
        <v/>
      </c>
      <c r="F201" s="16" t="str">
        <f t="shared" si="30"/>
        <v/>
      </c>
      <c r="G201" s="16" t="str">
        <f>IF(E201="","",E201/MAX(E$5:E201)-1)</f>
        <v/>
      </c>
      <c r="H201" s="13" t="str">
        <f>IF(OR('实盘净值数据(iFinD公式)'!$A201="",'实盘净值数据(iFinD公式)'!$B201=""),"",分期持仓明细!$AB$19*SUMPRODUCT(分期持仓明细!$B$19:$Y$19,'实盘净值数据(iFinD公式)'!$B201:$Y201/'实盘净值数据(iFinD公式)'!$B$20:$Y$20)*(1-实盘持仓配置!$AM$6)^(('实盘净值数据(iFinD公式)'!$A201-'实盘净值数据(iFinD公式)'!$A$7)/365))</f>
        <v/>
      </c>
      <c r="I201" s="16" t="str">
        <f t="shared" si="31"/>
        <v/>
      </c>
      <c r="J201" s="16" t="str">
        <f>IF(H201="","",H201/MAX(H$5:H201)-1)</f>
        <v/>
      </c>
      <c r="K201" s="13" t="str">
        <f>IF(OR('实盘净值数据(iFinD公式)'!$A201="",'实盘净值数据(iFinD公式)'!$B201="",'实盘净值数据(iFinD公式)'!$Z201="",'实盘净值数据(iFinD公式)'!$AA201=""),"",分期持仓明细!$AB$23*(SUMPRODUCT(分期持仓明细!$B$23:$Y$23,'实盘净值数据(iFinD公式)'!$B201:$Y201/'实盘净值数据(iFinD公式)'!$B$65:$Y$65)+SUMPRODUCT(分期持仓明细!$AC$23:$AD$23,'实盘净值数据(iFinD公式)'!$Z201:$AA201/'实盘净值数据(iFinD公式)'!$Z$65:$AA$65))*(1-实盘持仓配置!$AM$7)^(('实盘净值数据(iFinD公式)'!$A201-'实盘净值数据(iFinD公式)'!$A$8)/365))</f>
        <v/>
      </c>
      <c r="L201" s="16" t="str">
        <f t="shared" si="32"/>
        <v/>
      </c>
      <c r="M201" s="16" t="str">
        <f>IF(K201="","",K201/MAX(K$5:K201)-1)</f>
        <v/>
      </c>
      <c r="N201" s="13" t="str">
        <f>IF(OR('实盘净值数据(iFinD公式)'!$A201="",'实盘净值数据(iFinD公式)'!$B201="",'实盘净值数据(iFinD公式)'!$Z201="",'实盘净值数据(iFinD公式)'!$AA201=""),"",分期持仓明细!$AB$24*(SUMPRODUCT(分期持仓明细!$B$24:$Y$24,'实盘净值数据(iFinD公式)'!$B201:$Y201/'实盘净值数据(iFinD公式)'!$B$65:$Y$65)+SUMPRODUCT(分期持仓明细!$AC$24:$AD$24,'实盘净值数据(iFinD公式)'!$Z201:$AA201/'实盘净值数据(iFinD公式)'!$Z$65:$AA$65))*(1-实盘持仓配置!$AM$8)^(('实盘净值数据(iFinD公式)'!$A201-'实盘净值数据(iFinD公式)'!$A$5)/365))</f>
        <v/>
      </c>
      <c r="O201" s="16" t="str">
        <f t="shared" si="33"/>
        <v/>
      </c>
      <c r="P201" s="16" t="str">
        <f>IF(N201="","",N201/MAX(N$5:N201)-1)</f>
        <v/>
      </c>
      <c r="Q201" s="13" t="str">
        <f>IF(OR('实盘净值数据(iFinD公式)'!$A201="",'实盘净值数据(iFinD公式)'!$B201="",'实盘净值数据(iFinD公式)'!$Z201="",'实盘净值数据(iFinD公式)'!$AA201=""),"",分期持仓明细!$AB$25*(SUMPRODUCT(分期持仓明细!$B$25:$Y$25,'实盘净值数据(iFinD公式)'!$B201:$Y201/'实盘净值数据(iFinD公式)'!$B$65:$Y$65)+SUMPRODUCT(分期持仓明细!$AC$25:$AD$25,'实盘净值数据(iFinD公式)'!$Z201:$AA201/'实盘净值数据(iFinD公式)'!$Z$65:$AA$65))*(1-实盘持仓配置!$AM$9)^(('实盘净值数据(iFinD公式)'!$A201-'实盘净值数据(iFinD公式)'!$A$8)/365))</f>
        <v/>
      </c>
      <c r="R201" s="16" t="str">
        <f t="shared" si="34"/>
        <v/>
      </c>
      <c r="S201" s="16" t="str">
        <f>IF(Q201="","",Q201/MAX(Q$5:Q201)-1)</f>
        <v/>
      </c>
      <c r="T201" s="13" t="str">
        <f>IF(OR('实盘净值数据(iFinD公式)'!$A201="",'实盘净值数据(iFinD公式)'!$B201="",'实盘净值数据(iFinD公式)'!$Z201="",'实盘净值数据(iFinD公式)'!$AA201="",'实盘净值数据(iFinD公式)'!$AB201="",'实盘净值数据(iFinD公式)'!$AL201=""),"",(SUMPRODUCT(分期持仓明细!$B$26:$Y$26,'实盘净值数据(iFinD公式)'!$B201:$Y201/'实盘净值数据(iFinD公式)'!$B$69:$Y$69)+SUMPRODUCT(分期持仓明细!$AC$26:$AD$26,'实盘净值数据(iFinD公式)'!$Z201:$AA201/'实盘净值数据(iFinD公式)'!$Z$69:$AA$69)+SUMPRODUCT(分期持仓明细!$AE$26:$AO$26,'实盘净值数据(iFinD公式)'!$AB201:$AL201/'实盘净值数据(iFinD公式)'!$AB$69:$AL$69))*(1-实盘持仓配置!$AM$10)^(('实盘净值数据(iFinD公式)'!$A201-'实盘净值数据(iFinD公式)'!$A$69)/365))</f>
        <v/>
      </c>
      <c r="U201" s="16" t="str">
        <f t="shared" si="28"/>
        <v/>
      </c>
      <c r="V201" s="16" t="str">
        <f>IF(T201="","",T201/MAX(T$5:T201)-1)</f>
        <v/>
      </c>
    </row>
    <row r="202" spans="1:22">
      <c r="A202" s="15" t="str">
        <f>IF('实盘净值数据(iFinD公式)'!A202="","",'实盘净值数据(iFinD公式)'!A202)</f>
        <v/>
      </c>
      <c r="B202" s="13" t="str">
        <f>IF(OR('实盘净值数据(iFinD公式)'!$A202="",'实盘净值数据(iFinD公式)'!$B202=""),"",分期持仓明细!$AB$17*SUMPRODUCT(分期持仓明细!$B$17:$Y$17,'实盘净值数据(iFinD公式)'!$B202:$Y202/'实盘净值数据(iFinD公式)'!$B$20:$Y$20)*(1-实盘持仓配置!$AM$4)^(('实盘净值数据(iFinD公式)'!$A202-'实盘净值数据(iFinD公式)'!$A$6)/365))</f>
        <v/>
      </c>
      <c r="C202" s="16" t="str">
        <f t="shared" si="29"/>
        <v/>
      </c>
      <c r="D202" s="16" t="str">
        <f>IF(B202="","",B202/MAX(B$5:B202)-1)</f>
        <v/>
      </c>
      <c r="E202" s="13" t="str">
        <f>IF(OR('实盘净值数据(iFinD公式)'!$A202="",'实盘净值数据(iFinD公式)'!$B202=""),"",分期持仓明细!$AB$18*SUMPRODUCT(分期持仓明细!$B$18:$Y$18,'实盘净值数据(iFinD公式)'!$B202:$Y202/'实盘净值数据(iFinD公式)'!$B$20:$Y$20)*(1-实盘持仓配置!$AM$5)^(('实盘净值数据(iFinD公式)'!$A202-'实盘净值数据(iFinD公式)'!$A$5)/365))</f>
        <v/>
      </c>
      <c r="F202" s="16" t="str">
        <f t="shared" si="30"/>
        <v/>
      </c>
      <c r="G202" s="16" t="str">
        <f>IF(E202="","",E202/MAX(E$5:E202)-1)</f>
        <v/>
      </c>
      <c r="H202" s="13" t="str">
        <f>IF(OR('实盘净值数据(iFinD公式)'!$A202="",'实盘净值数据(iFinD公式)'!$B202=""),"",分期持仓明细!$AB$19*SUMPRODUCT(分期持仓明细!$B$19:$Y$19,'实盘净值数据(iFinD公式)'!$B202:$Y202/'实盘净值数据(iFinD公式)'!$B$20:$Y$20)*(1-实盘持仓配置!$AM$6)^(('实盘净值数据(iFinD公式)'!$A202-'实盘净值数据(iFinD公式)'!$A$7)/365))</f>
        <v/>
      </c>
      <c r="I202" s="16" t="str">
        <f t="shared" si="31"/>
        <v/>
      </c>
      <c r="J202" s="16" t="str">
        <f>IF(H202="","",H202/MAX(H$5:H202)-1)</f>
        <v/>
      </c>
      <c r="K202" s="13" t="str">
        <f>IF(OR('实盘净值数据(iFinD公式)'!$A202="",'实盘净值数据(iFinD公式)'!$B202="",'实盘净值数据(iFinD公式)'!$Z202="",'实盘净值数据(iFinD公式)'!$AA202=""),"",分期持仓明细!$AB$23*(SUMPRODUCT(分期持仓明细!$B$23:$Y$23,'实盘净值数据(iFinD公式)'!$B202:$Y202/'实盘净值数据(iFinD公式)'!$B$65:$Y$65)+SUMPRODUCT(分期持仓明细!$AC$23:$AD$23,'实盘净值数据(iFinD公式)'!$Z202:$AA202/'实盘净值数据(iFinD公式)'!$Z$65:$AA$65))*(1-实盘持仓配置!$AM$7)^(('实盘净值数据(iFinD公式)'!$A202-'实盘净值数据(iFinD公式)'!$A$8)/365))</f>
        <v/>
      </c>
      <c r="L202" s="16" t="str">
        <f t="shared" si="32"/>
        <v/>
      </c>
      <c r="M202" s="16" t="str">
        <f>IF(K202="","",K202/MAX(K$5:K202)-1)</f>
        <v/>
      </c>
      <c r="N202" s="13" t="str">
        <f>IF(OR('实盘净值数据(iFinD公式)'!$A202="",'实盘净值数据(iFinD公式)'!$B202="",'实盘净值数据(iFinD公式)'!$Z202="",'实盘净值数据(iFinD公式)'!$AA202=""),"",分期持仓明细!$AB$24*(SUMPRODUCT(分期持仓明细!$B$24:$Y$24,'实盘净值数据(iFinD公式)'!$B202:$Y202/'实盘净值数据(iFinD公式)'!$B$65:$Y$65)+SUMPRODUCT(分期持仓明细!$AC$24:$AD$24,'实盘净值数据(iFinD公式)'!$Z202:$AA202/'实盘净值数据(iFinD公式)'!$Z$65:$AA$65))*(1-实盘持仓配置!$AM$8)^(('实盘净值数据(iFinD公式)'!$A202-'实盘净值数据(iFinD公式)'!$A$5)/365))</f>
        <v/>
      </c>
      <c r="O202" s="16" t="str">
        <f t="shared" si="33"/>
        <v/>
      </c>
      <c r="P202" s="16" t="str">
        <f>IF(N202="","",N202/MAX(N$5:N202)-1)</f>
        <v/>
      </c>
      <c r="Q202" s="13" t="str">
        <f>IF(OR('实盘净值数据(iFinD公式)'!$A202="",'实盘净值数据(iFinD公式)'!$B202="",'实盘净值数据(iFinD公式)'!$Z202="",'实盘净值数据(iFinD公式)'!$AA202=""),"",分期持仓明细!$AB$25*(SUMPRODUCT(分期持仓明细!$B$25:$Y$25,'实盘净值数据(iFinD公式)'!$B202:$Y202/'实盘净值数据(iFinD公式)'!$B$65:$Y$65)+SUMPRODUCT(分期持仓明细!$AC$25:$AD$25,'实盘净值数据(iFinD公式)'!$Z202:$AA202/'实盘净值数据(iFinD公式)'!$Z$65:$AA$65))*(1-实盘持仓配置!$AM$9)^(('实盘净值数据(iFinD公式)'!$A202-'实盘净值数据(iFinD公式)'!$A$8)/365))</f>
        <v/>
      </c>
      <c r="R202" s="16" t="str">
        <f t="shared" si="34"/>
        <v/>
      </c>
      <c r="S202" s="16" t="str">
        <f>IF(Q202="","",Q202/MAX(Q$5:Q202)-1)</f>
        <v/>
      </c>
      <c r="T202" s="13" t="str">
        <f>IF(OR('实盘净值数据(iFinD公式)'!$A202="",'实盘净值数据(iFinD公式)'!$B202="",'实盘净值数据(iFinD公式)'!$Z202="",'实盘净值数据(iFinD公式)'!$AA202="",'实盘净值数据(iFinD公式)'!$AB202="",'实盘净值数据(iFinD公式)'!$AL202=""),"",(SUMPRODUCT(分期持仓明细!$B$26:$Y$26,'实盘净值数据(iFinD公式)'!$B202:$Y202/'实盘净值数据(iFinD公式)'!$B$69:$Y$69)+SUMPRODUCT(分期持仓明细!$AC$26:$AD$26,'实盘净值数据(iFinD公式)'!$Z202:$AA202/'实盘净值数据(iFinD公式)'!$Z$69:$AA$69)+SUMPRODUCT(分期持仓明细!$AE$26:$AO$26,'实盘净值数据(iFinD公式)'!$AB202:$AL202/'实盘净值数据(iFinD公式)'!$AB$69:$AL$69))*(1-实盘持仓配置!$AM$10)^(('实盘净值数据(iFinD公式)'!$A202-'实盘净值数据(iFinD公式)'!$A$69)/365))</f>
        <v/>
      </c>
      <c r="U202" s="16" t="str">
        <f t="shared" si="28"/>
        <v/>
      </c>
      <c r="V202" s="16" t="str">
        <f>IF(T202="","",T202/MAX(T$5:T202)-1)</f>
        <v/>
      </c>
    </row>
    <row r="203" spans="1:22">
      <c r="A203" s="15" t="str">
        <f>IF('实盘净值数据(iFinD公式)'!A203="","",'实盘净值数据(iFinD公式)'!A203)</f>
        <v/>
      </c>
      <c r="B203" s="13" t="str">
        <f>IF(OR('实盘净值数据(iFinD公式)'!$A203="",'实盘净值数据(iFinD公式)'!$B203=""),"",分期持仓明细!$AB$17*SUMPRODUCT(分期持仓明细!$B$17:$Y$17,'实盘净值数据(iFinD公式)'!$B203:$Y203/'实盘净值数据(iFinD公式)'!$B$20:$Y$20)*(1-实盘持仓配置!$AM$4)^(('实盘净值数据(iFinD公式)'!$A203-'实盘净值数据(iFinD公式)'!$A$6)/365))</f>
        <v/>
      </c>
      <c r="C203" s="16" t="str">
        <f t="shared" si="29"/>
        <v/>
      </c>
      <c r="D203" s="16" t="str">
        <f>IF(B203="","",B203/MAX(B$5:B203)-1)</f>
        <v/>
      </c>
      <c r="E203" s="13" t="str">
        <f>IF(OR('实盘净值数据(iFinD公式)'!$A203="",'实盘净值数据(iFinD公式)'!$B203=""),"",分期持仓明细!$AB$18*SUMPRODUCT(分期持仓明细!$B$18:$Y$18,'实盘净值数据(iFinD公式)'!$B203:$Y203/'实盘净值数据(iFinD公式)'!$B$20:$Y$20)*(1-实盘持仓配置!$AM$5)^(('实盘净值数据(iFinD公式)'!$A203-'实盘净值数据(iFinD公式)'!$A$5)/365))</f>
        <v/>
      </c>
      <c r="F203" s="16" t="str">
        <f t="shared" si="30"/>
        <v/>
      </c>
      <c r="G203" s="16" t="str">
        <f>IF(E203="","",E203/MAX(E$5:E203)-1)</f>
        <v/>
      </c>
      <c r="H203" s="13" t="str">
        <f>IF(OR('实盘净值数据(iFinD公式)'!$A203="",'实盘净值数据(iFinD公式)'!$B203=""),"",分期持仓明细!$AB$19*SUMPRODUCT(分期持仓明细!$B$19:$Y$19,'实盘净值数据(iFinD公式)'!$B203:$Y203/'实盘净值数据(iFinD公式)'!$B$20:$Y$20)*(1-实盘持仓配置!$AM$6)^(('实盘净值数据(iFinD公式)'!$A203-'实盘净值数据(iFinD公式)'!$A$7)/365))</f>
        <v/>
      </c>
      <c r="I203" s="16" t="str">
        <f t="shared" si="31"/>
        <v/>
      </c>
      <c r="J203" s="16" t="str">
        <f>IF(H203="","",H203/MAX(H$5:H203)-1)</f>
        <v/>
      </c>
      <c r="K203" s="13" t="str">
        <f>IF(OR('实盘净值数据(iFinD公式)'!$A203="",'实盘净值数据(iFinD公式)'!$B203="",'实盘净值数据(iFinD公式)'!$Z203="",'实盘净值数据(iFinD公式)'!$AA203=""),"",分期持仓明细!$AB$23*(SUMPRODUCT(分期持仓明细!$B$23:$Y$23,'实盘净值数据(iFinD公式)'!$B203:$Y203/'实盘净值数据(iFinD公式)'!$B$65:$Y$65)+SUMPRODUCT(分期持仓明细!$AC$23:$AD$23,'实盘净值数据(iFinD公式)'!$Z203:$AA203/'实盘净值数据(iFinD公式)'!$Z$65:$AA$65))*(1-实盘持仓配置!$AM$7)^(('实盘净值数据(iFinD公式)'!$A203-'实盘净值数据(iFinD公式)'!$A$8)/365))</f>
        <v/>
      </c>
      <c r="L203" s="16" t="str">
        <f t="shared" si="32"/>
        <v/>
      </c>
      <c r="M203" s="16" t="str">
        <f>IF(K203="","",K203/MAX(K$5:K203)-1)</f>
        <v/>
      </c>
      <c r="N203" s="13" t="str">
        <f>IF(OR('实盘净值数据(iFinD公式)'!$A203="",'实盘净值数据(iFinD公式)'!$B203="",'实盘净值数据(iFinD公式)'!$Z203="",'实盘净值数据(iFinD公式)'!$AA203=""),"",分期持仓明细!$AB$24*(SUMPRODUCT(分期持仓明细!$B$24:$Y$24,'实盘净值数据(iFinD公式)'!$B203:$Y203/'实盘净值数据(iFinD公式)'!$B$65:$Y$65)+SUMPRODUCT(分期持仓明细!$AC$24:$AD$24,'实盘净值数据(iFinD公式)'!$Z203:$AA203/'实盘净值数据(iFinD公式)'!$Z$65:$AA$65))*(1-实盘持仓配置!$AM$8)^(('实盘净值数据(iFinD公式)'!$A203-'实盘净值数据(iFinD公式)'!$A$5)/365))</f>
        <v/>
      </c>
      <c r="O203" s="16" t="str">
        <f t="shared" si="33"/>
        <v/>
      </c>
      <c r="P203" s="16" t="str">
        <f>IF(N203="","",N203/MAX(N$5:N203)-1)</f>
        <v/>
      </c>
      <c r="Q203" s="13" t="str">
        <f>IF(OR('实盘净值数据(iFinD公式)'!$A203="",'实盘净值数据(iFinD公式)'!$B203="",'实盘净值数据(iFinD公式)'!$Z203="",'实盘净值数据(iFinD公式)'!$AA203=""),"",分期持仓明细!$AB$25*(SUMPRODUCT(分期持仓明细!$B$25:$Y$25,'实盘净值数据(iFinD公式)'!$B203:$Y203/'实盘净值数据(iFinD公式)'!$B$65:$Y$65)+SUMPRODUCT(分期持仓明细!$AC$25:$AD$25,'实盘净值数据(iFinD公式)'!$Z203:$AA203/'实盘净值数据(iFinD公式)'!$Z$65:$AA$65))*(1-实盘持仓配置!$AM$9)^(('实盘净值数据(iFinD公式)'!$A203-'实盘净值数据(iFinD公式)'!$A$8)/365))</f>
        <v/>
      </c>
      <c r="R203" s="16" t="str">
        <f t="shared" si="34"/>
        <v/>
      </c>
      <c r="S203" s="16" t="str">
        <f>IF(Q203="","",Q203/MAX(Q$5:Q203)-1)</f>
        <v/>
      </c>
      <c r="T203" s="13" t="str">
        <f>IF(OR('实盘净值数据(iFinD公式)'!$A203="",'实盘净值数据(iFinD公式)'!$B203="",'实盘净值数据(iFinD公式)'!$Z203="",'实盘净值数据(iFinD公式)'!$AA203="",'实盘净值数据(iFinD公式)'!$AB203="",'实盘净值数据(iFinD公式)'!$AL203=""),"",(SUMPRODUCT(分期持仓明细!$B$26:$Y$26,'实盘净值数据(iFinD公式)'!$B203:$Y203/'实盘净值数据(iFinD公式)'!$B$69:$Y$69)+SUMPRODUCT(分期持仓明细!$AC$26:$AD$26,'实盘净值数据(iFinD公式)'!$Z203:$AA203/'实盘净值数据(iFinD公式)'!$Z$69:$AA$69)+SUMPRODUCT(分期持仓明细!$AE$26:$AO$26,'实盘净值数据(iFinD公式)'!$AB203:$AL203/'实盘净值数据(iFinD公式)'!$AB$69:$AL$69))*(1-实盘持仓配置!$AM$10)^(('实盘净值数据(iFinD公式)'!$A203-'实盘净值数据(iFinD公式)'!$A$69)/365))</f>
        <v/>
      </c>
      <c r="U203" s="16" t="str">
        <f t="shared" si="28"/>
        <v/>
      </c>
      <c r="V203" s="16" t="str">
        <f>IF(T203="","",T203/MAX(T$5:T203)-1)</f>
        <v/>
      </c>
    </row>
    <row r="204" spans="1:22">
      <c r="A204" s="15" t="str">
        <f>IF('实盘净值数据(iFinD公式)'!A204="","",'实盘净值数据(iFinD公式)'!A204)</f>
        <v/>
      </c>
      <c r="B204" s="13" t="str">
        <f>IF(OR('实盘净值数据(iFinD公式)'!$A204="",'实盘净值数据(iFinD公式)'!$B204=""),"",分期持仓明细!$AB$17*SUMPRODUCT(分期持仓明细!$B$17:$Y$17,'实盘净值数据(iFinD公式)'!$B204:$Y204/'实盘净值数据(iFinD公式)'!$B$20:$Y$20)*(1-实盘持仓配置!$AM$4)^(('实盘净值数据(iFinD公式)'!$A204-'实盘净值数据(iFinD公式)'!$A$6)/365))</f>
        <v/>
      </c>
      <c r="C204" s="16" t="str">
        <f t="shared" si="29"/>
        <v/>
      </c>
      <c r="D204" s="16" t="str">
        <f>IF(B204="","",B204/MAX(B$5:B204)-1)</f>
        <v/>
      </c>
      <c r="E204" s="13" t="str">
        <f>IF(OR('实盘净值数据(iFinD公式)'!$A204="",'实盘净值数据(iFinD公式)'!$B204=""),"",分期持仓明细!$AB$18*SUMPRODUCT(分期持仓明细!$B$18:$Y$18,'实盘净值数据(iFinD公式)'!$B204:$Y204/'实盘净值数据(iFinD公式)'!$B$20:$Y$20)*(1-实盘持仓配置!$AM$5)^(('实盘净值数据(iFinD公式)'!$A204-'实盘净值数据(iFinD公式)'!$A$5)/365))</f>
        <v/>
      </c>
      <c r="F204" s="16" t="str">
        <f t="shared" si="30"/>
        <v/>
      </c>
      <c r="G204" s="16" t="str">
        <f>IF(E204="","",E204/MAX(E$5:E204)-1)</f>
        <v/>
      </c>
      <c r="H204" s="13" t="str">
        <f>IF(OR('实盘净值数据(iFinD公式)'!$A204="",'实盘净值数据(iFinD公式)'!$B204=""),"",分期持仓明细!$AB$19*SUMPRODUCT(分期持仓明细!$B$19:$Y$19,'实盘净值数据(iFinD公式)'!$B204:$Y204/'实盘净值数据(iFinD公式)'!$B$20:$Y$20)*(1-实盘持仓配置!$AM$6)^(('实盘净值数据(iFinD公式)'!$A204-'实盘净值数据(iFinD公式)'!$A$7)/365))</f>
        <v/>
      </c>
      <c r="I204" s="16" t="str">
        <f t="shared" si="31"/>
        <v/>
      </c>
      <c r="J204" s="16" t="str">
        <f>IF(H204="","",H204/MAX(H$5:H204)-1)</f>
        <v/>
      </c>
      <c r="K204" s="13" t="str">
        <f>IF(OR('实盘净值数据(iFinD公式)'!$A204="",'实盘净值数据(iFinD公式)'!$B204="",'实盘净值数据(iFinD公式)'!$Z204="",'实盘净值数据(iFinD公式)'!$AA204=""),"",分期持仓明细!$AB$23*(SUMPRODUCT(分期持仓明细!$B$23:$Y$23,'实盘净值数据(iFinD公式)'!$B204:$Y204/'实盘净值数据(iFinD公式)'!$B$65:$Y$65)+SUMPRODUCT(分期持仓明细!$AC$23:$AD$23,'实盘净值数据(iFinD公式)'!$Z204:$AA204/'实盘净值数据(iFinD公式)'!$Z$65:$AA$65))*(1-实盘持仓配置!$AM$7)^(('实盘净值数据(iFinD公式)'!$A204-'实盘净值数据(iFinD公式)'!$A$8)/365))</f>
        <v/>
      </c>
      <c r="L204" s="16" t="str">
        <f t="shared" si="32"/>
        <v/>
      </c>
      <c r="M204" s="16" t="str">
        <f>IF(K204="","",K204/MAX(K$5:K204)-1)</f>
        <v/>
      </c>
      <c r="N204" s="13" t="str">
        <f>IF(OR('实盘净值数据(iFinD公式)'!$A204="",'实盘净值数据(iFinD公式)'!$B204="",'实盘净值数据(iFinD公式)'!$Z204="",'实盘净值数据(iFinD公式)'!$AA204=""),"",分期持仓明细!$AB$24*(SUMPRODUCT(分期持仓明细!$B$24:$Y$24,'实盘净值数据(iFinD公式)'!$B204:$Y204/'实盘净值数据(iFinD公式)'!$B$65:$Y$65)+SUMPRODUCT(分期持仓明细!$AC$24:$AD$24,'实盘净值数据(iFinD公式)'!$Z204:$AA204/'实盘净值数据(iFinD公式)'!$Z$65:$AA$65))*(1-实盘持仓配置!$AM$8)^(('实盘净值数据(iFinD公式)'!$A204-'实盘净值数据(iFinD公式)'!$A$5)/365))</f>
        <v/>
      </c>
      <c r="O204" s="16" t="str">
        <f t="shared" si="33"/>
        <v/>
      </c>
      <c r="P204" s="16" t="str">
        <f>IF(N204="","",N204/MAX(N$5:N204)-1)</f>
        <v/>
      </c>
      <c r="Q204" s="13" t="str">
        <f>IF(OR('实盘净值数据(iFinD公式)'!$A204="",'实盘净值数据(iFinD公式)'!$B204="",'实盘净值数据(iFinD公式)'!$Z204="",'实盘净值数据(iFinD公式)'!$AA204=""),"",分期持仓明细!$AB$25*(SUMPRODUCT(分期持仓明细!$B$25:$Y$25,'实盘净值数据(iFinD公式)'!$B204:$Y204/'实盘净值数据(iFinD公式)'!$B$65:$Y$65)+SUMPRODUCT(分期持仓明细!$AC$25:$AD$25,'实盘净值数据(iFinD公式)'!$Z204:$AA204/'实盘净值数据(iFinD公式)'!$Z$65:$AA$65))*(1-实盘持仓配置!$AM$9)^(('实盘净值数据(iFinD公式)'!$A204-'实盘净值数据(iFinD公式)'!$A$8)/365))</f>
        <v/>
      </c>
      <c r="R204" s="16" t="str">
        <f t="shared" si="34"/>
        <v/>
      </c>
      <c r="S204" s="16" t="str">
        <f>IF(Q204="","",Q204/MAX(Q$5:Q204)-1)</f>
        <v/>
      </c>
      <c r="T204" s="13" t="str">
        <f>IF(OR('实盘净值数据(iFinD公式)'!$A204="",'实盘净值数据(iFinD公式)'!$B204="",'实盘净值数据(iFinD公式)'!$Z204="",'实盘净值数据(iFinD公式)'!$AA204="",'实盘净值数据(iFinD公式)'!$AB204="",'实盘净值数据(iFinD公式)'!$AL204=""),"",(SUMPRODUCT(分期持仓明细!$B$26:$Y$26,'实盘净值数据(iFinD公式)'!$B204:$Y204/'实盘净值数据(iFinD公式)'!$B$69:$Y$69)+SUMPRODUCT(分期持仓明细!$AC$26:$AD$26,'实盘净值数据(iFinD公式)'!$Z204:$AA204/'实盘净值数据(iFinD公式)'!$Z$69:$AA$69)+SUMPRODUCT(分期持仓明细!$AE$26:$AO$26,'实盘净值数据(iFinD公式)'!$AB204:$AL204/'实盘净值数据(iFinD公式)'!$AB$69:$AL$69))*(1-实盘持仓配置!$AM$10)^(('实盘净值数据(iFinD公式)'!$A204-'实盘净值数据(iFinD公式)'!$A$69)/365))</f>
        <v/>
      </c>
      <c r="U204" s="16" t="str">
        <f t="shared" si="28"/>
        <v/>
      </c>
      <c r="V204" s="16" t="str">
        <f>IF(T204="","",T204/MAX(T$5:T204)-1)</f>
        <v/>
      </c>
    </row>
    <row r="205" spans="1:22">
      <c r="A205" s="15" t="str">
        <f>IF('实盘净值数据(iFinD公式)'!A205="","",'实盘净值数据(iFinD公式)'!A205)</f>
        <v/>
      </c>
      <c r="B205" s="13" t="str">
        <f>IF(OR('实盘净值数据(iFinD公式)'!$A205="",'实盘净值数据(iFinD公式)'!$B205=""),"",分期持仓明细!$AB$17*SUMPRODUCT(分期持仓明细!$B$17:$Y$17,'实盘净值数据(iFinD公式)'!$B205:$Y205/'实盘净值数据(iFinD公式)'!$B$20:$Y$20)*(1-实盘持仓配置!$AM$4)^(('实盘净值数据(iFinD公式)'!$A205-'实盘净值数据(iFinD公式)'!$A$6)/365))</f>
        <v/>
      </c>
      <c r="C205" s="16" t="str">
        <f t="shared" si="29"/>
        <v/>
      </c>
      <c r="D205" s="16" t="str">
        <f>IF(B205="","",B205/MAX(B$5:B205)-1)</f>
        <v/>
      </c>
      <c r="E205" s="13" t="str">
        <f>IF(OR('实盘净值数据(iFinD公式)'!$A205="",'实盘净值数据(iFinD公式)'!$B205=""),"",分期持仓明细!$AB$18*SUMPRODUCT(分期持仓明细!$B$18:$Y$18,'实盘净值数据(iFinD公式)'!$B205:$Y205/'实盘净值数据(iFinD公式)'!$B$20:$Y$20)*(1-实盘持仓配置!$AM$5)^(('实盘净值数据(iFinD公式)'!$A205-'实盘净值数据(iFinD公式)'!$A$5)/365))</f>
        <v/>
      </c>
      <c r="F205" s="16" t="str">
        <f t="shared" si="30"/>
        <v/>
      </c>
      <c r="G205" s="16" t="str">
        <f>IF(E205="","",E205/MAX(E$5:E205)-1)</f>
        <v/>
      </c>
      <c r="H205" s="13" t="str">
        <f>IF(OR('实盘净值数据(iFinD公式)'!$A205="",'实盘净值数据(iFinD公式)'!$B205=""),"",分期持仓明细!$AB$19*SUMPRODUCT(分期持仓明细!$B$19:$Y$19,'实盘净值数据(iFinD公式)'!$B205:$Y205/'实盘净值数据(iFinD公式)'!$B$20:$Y$20)*(1-实盘持仓配置!$AM$6)^(('实盘净值数据(iFinD公式)'!$A205-'实盘净值数据(iFinD公式)'!$A$7)/365))</f>
        <v/>
      </c>
      <c r="I205" s="16" t="str">
        <f t="shared" si="31"/>
        <v/>
      </c>
      <c r="J205" s="16" t="str">
        <f>IF(H205="","",H205/MAX(H$5:H205)-1)</f>
        <v/>
      </c>
      <c r="K205" s="13" t="str">
        <f>IF(OR('实盘净值数据(iFinD公式)'!$A205="",'实盘净值数据(iFinD公式)'!$B205="",'实盘净值数据(iFinD公式)'!$Z205="",'实盘净值数据(iFinD公式)'!$AA205=""),"",分期持仓明细!$AB$23*(SUMPRODUCT(分期持仓明细!$B$23:$Y$23,'实盘净值数据(iFinD公式)'!$B205:$Y205/'实盘净值数据(iFinD公式)'!$B$65:$Y$65)+SUMPRODUCT(分期持仓明细!$AC$23:$AD$23,'实盘净值数据(iFinD公式)'!$Z205:$AA205/'实盘净值数据(iFinD公式)'!$Z$65:$AA$65))*(1-实盘持仓配置!$AM$7)^(('实盘净值数据(iFinD公式)'!$A205-'实盘净值数据(iFinD公式)'!$A$8)/365))</f>
        <v/>
      </c>
      <c r="L205" s="16" t="str">
        <f t="shared" si="32"/>
        <v/>
      </c>
      <c r="M205" s="16" t="str">
        <f>IF(K205="","",K205/MAX(K$5:K205)-1)</f>
        <v/>
      </c>
      <c r="N205" s="13" t="str">
        <f>IF(OR('实盘净值数据(iFinD公式)'!$A205="",'实盘净值数据(iFinD公式)'!$B205="",'实盘净值数据(iFinD公式)'!$Z205="",'实盘净值数据(iFinD公式)'!$AA205=""),"",分期持仓明细!$AB$24*(SUMPRODUCT(分期持仓明细!$B$24:$Y$24,'实盘净值数据(iFinD公式)'!$B205:$Y205/'实盘净值数据(iFinD公式)'!$B$65:$Y$65)+SUMPRODUCT(分期持仓明细!$AC$24:$AD$24,'实盘净值数据(iFinD公式)'!$Z205:$AA205/'实盘净值数据(iFinD公式)'!$Z$65:$AA$65))*(1-实盘持仓配置!$AM$8)^(('实盘净值数据(iFinD公式)'!$A205-'实盘净值数据(iFinD公式)'!$A$5)/365))</f>
        <v/>
      </c>
      <c r="O205" s="16" t="str">
        <f t="shared" si="33"/>
        <v/>
      </c>
      <c r="P205" s="16" t="str">
        <f>IF(N205="","",N205/MAX(N$5:N205)-1)</f>
        <v/>
      </c>
      <c r="Q205" s="13" t="str">
        <f>IF(OR('实盘净值数据(iFinD公式)'!$A205="",'实盘净值数据(iFinD公式)'!$B205="",'实盘净值数据(iFinD公式)'!$Z205="",'实盘净值数据(iFinD公式)'!$AA205=""),"",分期持仓明细!$AB$25*(SUMPRODUCT(分期持仓明细!$B$25:$Y$25,'实盘净值数据(iFinD公式)'!$B205:$Y205/'实盘净值数据(iFinD公式)'!$B$65:$Y$65)+SUMPRODUCT(分期持仓明细!$AC$25:$AD$25,'实盘净值数据(iFinD公式)'!$Z205:$AA205/'实盘净值数据(iFinD公式)'!$Z$65:$AA$65))*(1-实盘持仓配置!$AM$9)^(('实盘净值数据(iFinD公式)'!$A205-'实盘净值数据(iFinD公式)'!$A$8)/365))</f>
        <v/>
      </c>
      <c r="R205" s="16" t="str">
        <f t="shared" si="34"/>
        <v/>
      </c>
      <c r="S205" s="16" t="str">
        <f>IF(Q205="","",Q205/MAX(Q$5:Q205)-1)</f>
        <v/>
      </c>
      <c r="T205" s="13" t="str">
        <f>IF(OR('实盘净值数据(iFinD公式)'!$A205="",'实盘净值数据(iFinD公式)'!$B205="",'实盘净值数据(iFinD公式)'!$Z205="",'实盘净值数据(iFinD公式)'!$AA205="",'实盘净值数据(iFinD公式)'!$AB205="",'实盘净值数据(iFinD公式)'!$AL205=""),"",(SUMPRODUCT(分期持仓明细!$B$26:$Y$26,'实盘净值数据(iFinD公式)'!$B205:$Y205/'实盘净值数据(iFinD公式)'!$B$69:$Y$69)+SUMPRODUCT(分期持仓明细!$AC$26:$AD$26,'实盘净值数据(iFinD公式)'!$Z205:$AA205/'实盘净值数据(iFinD公式)'!$Z$69:$AA$69)+SUMPRODUCT(分期持仓明细!$AE$26:$AO$26,'实盘净值数据(iFinD公式)'!$AB205:$AL205/'实盘净值数据(iFinD公式)'!$AB$69:$AL$69))*(1-实盘持仓配置!$AM$10)^(('实盘净值数据(iFinD公式)'!$A205-'实盘净值数据(iFinD公式)'!$A$69)/365))</f>
        <v/>
      </c>
      <c r="U205" s="16" t="str">
        <f t="shared" si="28"/>
        <v/>
      </c>
      <c r="V205" s="16" t="str">
        <f>IF(T205="","",T205/MAX(T$5:T205)-1)</f>
        <v/>
      </c>
    </row>
    <row r="206" spans="1:22">
      <c r="A206" s="15" t="str">
        <f>IF('实盘净值数据(iFinD公式)'!A206="","",'实盘净值数据(iFinD公式)'!A206)</f>
        <v/>
      </c>
      <c r="B206" s="13" t="str">
        <f>IF(OR('实盘净值数据(iFinD公式)'!$A206="",'实盘净值数据(iFinD公式)'!$B206=""),"",分期持仓明细!$AB$17*SUMPRODUCT(分期持仓明细!$B$17:$Y$17,'实盘净值数据(iFinD公式)'!$B206:$Y206/'实盘净值数据(iFinD公式)'!$B$20:$Y$20)*(1-实盘持仓配置!$AM$4)^(('实盘净值数据(iFinD公式)'!$A206-'实盘净值数据(iFinD公式)'!$A$6)/365))</f>
        <v/>
      </c>
      <c r="C206" s="16" t="str">
        <f t="shared" si="29"/>
        <v/>
      </c>
      <c r="D206" s="16" t="str">
        <f>IF(B206="","",B206/MAX(B$5:B206)-1)</f>
        <v/>
      </c>
      <c r="E206" s="13" t="str">
        <f>IF(OR('实盘净值数据(iFinD公式)'!$A206="",'实盘净值数据(iFinD公式)'!$B206=""),"",分期持仓明细!$AB$18*SUMPRODUCT(分期持仓明细!$B$18:$Y$18,'实盘净值数据(iFinD公式)'!$B206:$Y206/'实盘净值数据(iFinD公式)'!$B$20:$Y$20)*(1-实盘持仓配置!$AM$5)^(('实盘净值数据(iFinD公式)'!$A206-'实盘净值数据(iFinD公式)'!$A$5)/365))</f>
        <v/>
      </c>
      <c r="F206" s="16" t="str">
        <f t="shared" si="30"/>
        <v/>
      </c>
      <c r="G206" s="16" t="str">
        <f>IF(E206="","",E206/MAX(E$5:E206)-1)</f>
        <v/>
      </c>
      <c r="H206" s="13" t="str">
        <f>IF(OR('实盘净值数据(iFinD公式)'!$A206="",'实盘净值数据(iFinD公式)'!$B206=""),"",分期持仓明细!$AB$19*SUMPRODUCT(分期持仓明细!$B$19:$Y$19,'实盘净值数据(iFinD公式)'!$B206:$Y206/'实盘净值数据(iFinD公式)'!$B$20:$Y$20)*(1-实盘持仓配置!$AM$6)^(('实盘净值数据(iFinD公式)'!$A206-'实盘净值数据(iFinD公式)'!$A$7)/365))</f>
        <v/>
      </c>
      <c r="I206" s="16" t="str">
        <f t="shared" si="31"/>
        <v/>
      </c>
      <c r="J206" s="16" t="str">
        <f>IF(H206="","",H206/MAX(H$5:H206)-1)</f>
        <v/>
      </c>
      <c r="K206" s="13" t="str">
        <f>IF(OR('实盘净值数据(iFinD公式)'!$A206="",'实盘净值数据(iFinD公式)'!$B206="",'实盘净值数据(iFinD公式)'!$Z206="",'实盘净值数据(iFinD公式)'!$AA206=""),"",分期持仓明细!$AB$23*(SUMPRODUCT(分期持仓明细!$B$23:$Y$23,'实盘净值数据(iFinD公式)'!$B206:$Y206/'实盘净值数据(iFinD公式)'!$B$65:$Y$65)+SUMPRODUCT(分期持仓明细!$AC$23:$AD$23,'实盘净值数据(iFinD公式)'!$Z206:$AA206/'实盘净值数据(iFinD公式)'!$Z$65:$AA$65))*(1-实盘持仓配置!$AM$7)^(('实盘净值数据(iFinD公式)'!$A206-'实盘净值数据(iFinD公式)'!$A$8)/365))</f>
        <v/>
      </c>
      <c r="L206" s="16" t="str">
        <f t="shared" si="32"/>
        <v/>
      </c>
      <c r="M206" s="16" t="str">
        <f>IF(K206="","",K206/MAX(K$5:K206)-1)</f>
        <v/>
      </c>
      <c r="N206" s="13" t="str">
        <f>IF(OR('实盘净值数据(iFinD公式)'!$A206="",'实盘净值数据(iFinD公式)'!$B206="",'实盘净值数据(iFinD公式)'!$Z206="",'实盘净值数据(iFinD公式)'!$AA206=""),"",分期持仓明细!$AB$24*(SUMPRODUCT(分期持仓明细!$B$24:$Y$24,'实盘净值数据(iFinD公式)'!$B206:$Y206/'实盘净值数据(iFinD公式)'!$B$65:$Y$65)+SUMPRODUCT(分期持仓明细!$AC$24:$AD$24,'实盘净值数据(iFinD公式)'!$Z206:$AA206/'实盘净值数据(iFinD公式)'!$Z$65:$AA$65))*(1-实盘持仓配置!$AM$8)^(('实盘净值数据(iFinD公式)'!$A206-'实盘净值数据(iFinD公式)'!$A$5)/365))</f>
        <v/>
      </c>
      <c r="O206" s="16" t="str">
        <f t="shared" si="33"/>
        <v/>
      </c>
      <c r="P206" s="16" t="str">
        <f>IF(N206="","",N206/MAX(N$5:N206)-1)</f>
        <v/>
      </c>
      <c r="Q206" s="13" t="str">
        <f>IF(OR('实盘净值数据(iFinD公式)'!$A206="",'实盘净值数据(iFinD公式)'!$B206="",'实盘净值数据(iFinD公式)'!$Z206="",'实盘净值数据(iFinD公式)'!$AA206=""),"",分期持仓明细!$AB$25*(SUMPRODUCT(分期持仓明细!$B$25:$Y$25,'实盘净值数据(iFinD公式)'!$B206:$Y206/'实盘净值数据(iFinD公式)'!$B$65:$Y$65)+SUMPRODUCT(分期持仓明细!$AC$25:$AD$25,'实盘净值数据(iFinD公式)'!$Z206:$AA206/'实盘净值数据(iFinD公式)'!$Z$65:$AA$65))*(1-实盘持仓配置!$AM$9)^(('实盘净值数据(iFinD公式)'!$A206-'实盘净值数据(iFinD公式)'!$A$8)/365))</f>
        <v/>
      </c>
      <c r="R206" s="16" t="str">
        <f t="shared" si="34"/>
        <v/>
      </c>
      <c r="S206" s="16" t="str">
        <f>IF(Q206="","",Q206/MAX(Q$5:Q206)-1)</f>
        <v/>
      </c>
      <c r="T206" s="13" t="str">
        <f>IF(OR('实盘净值数据(iFinD公式)'!$A206="",'实盘净值数据(iFinD公式)'!$B206="",'实盘净值数据(iFinD公式)'!$Z206="",'实盘净值数据(iFinD公式)'!$AA206="",'实盘净值数据(iFinD公式)'!$AB206="",'实盘净值数据(iFinD公式)'!$AL206=""),"",(SUMPRODUCT(分期持仓明细!$B$26:$Y$26,'实盘净值数据(iFinD公式)'!$B206:$Y206/'实盘净值数据(iFinD公式)'!$B$69:$Y$69)+SUMPRODUCT(分期持仓明细!$AC$26:$AD$26,'实盘净值数据(iFinD公式)'!$Z206:$AA206/'实盘净值数据(iFinD公式)'!$Z$69:$AA$69)+SUMPRODUCT(分期持仓明细!$AE$26:$AO$26,'实盘净值数据(iFinD公式)'!$AB206:$AL206/'实盘净值数据(iFinD公式)'!$AB$69:$AL$69))*(1-实盘持仓配置!$AM$10)^(('实盘净值数据(iFinD公式)'!$A206-'实盘净值数据(iFinD公式)'!$A$69)/365))</f>
        <v/>
      </c>
      <c r="U206" s="16" t="str">
        <f t="shared" si="28"/>
        <v/>
      </c>
      <c r="V206" s="16" t="str">
        <f>IF(T206="","",T206/MAX(T$5:T206)-1)</f>
        <v/>
      </c>
    </row>
    <row r="207" spans="1:22">
      <c r="A207" s="15" t="str">
        <f>IF('实盘净值数据(iFinD公式)'!A207="","",'实盘净值数据(iFinD公式)'!A207)</f>
        <v/>
      </c>
      <c r="B207" s="13" t="str">
        <f>IF(OR('实盘净值数据(iFinD公式)'!$A207="",'实盘净值数据(iFinD公式)'!$B207=""),"",分期持仓明细!$AB$17*SUMPRODUCT(分期持仓明细!$B$17:$Y$17,'实盘净值数据(iFinD公式)'!$B207:$Y207/'实盘净值数据(iFinD公式)'!$B$20:$Y$20)*(1-实盘持仓配置!$AM$4)^(('实盘净值数据(iFinD公式)'!$A207-'实盘净值数据(iFinD公式)'!$A$6)/365))</f>
        <v/>
      </c>
      <c r="C207" s="16" t="str">
        <f t="shared" si="29"/>
        <v/>
      </c>
      <c r="D207" s="16" t="str">
        <f>IF(B207="","",B207/MAX(B$5:B207)-1)</f>
        <v/>
      </c>
      <c r="E207" s="13" t="str">
        <f>IF(OR('实盘净值数据(iFinD公式)'!$A207="",'实盘净值数据(iFinD公式)'!$B207=""),"",分期持仓明细!$AB$18*SUMPRODUCT(分期持仓明细!$B$18:$Y$18,'实盘净值数据(iFinD公式)'!$B207:$Y207/'实盘净值数据(iFinD公式)'!$B$20:$Y$20)*(1-实盘持仓配置!$AM$5)^(('实盘净值数据(iFinD公式)'!$A207-'实盘净值数据(iFinD公式)'!$A$5)/365))</f>
        <v/>
      </c>
      <c r="F207" s="16" t="str">
        <f t="shared" si="30"/>
        <v/>
      </c>
      <c r="G207" s="16" t="str">
        <f>IF(E207="","",E207/MAX(E$5:E207)-1)</f>
        <v/>
      </c>
      <c r="H207" s="13" t="str">
        <f>IF(OR('实盘净值数据(iFinD公式)'!$A207="",'实盘净值数据(iFinD公式)'!$B207=""),"",分期持仓明细!$AB$19*SUMPRODUCT(分期持仓明细!$B$19:$Y$19,'实盘净值数据(iFinD公式)'!$B207:$Y207/'实盘净值数据(iFinD公式)'!$B$20:$Y$20)*(1-实盘持仓配置!$AM$6)^(('实盘净值数据(iFinD公式)'!$A207-'实盘净值数据(iFinD公式)'!$A$7)/365))</f>
        <v/>
      </c>
      <c r="I207" s="16" t="str">
        <f t="shared" si="31"/>
        <v/>
      </c>
      <c r="J207" s="16" t="str">
        <f>IF(H207="","",H207/MAX(H$5:H207)-1)</f>
        <v/>
      </c>
      <c r="K207" s="13" t="str">
        <f>IF(OR('实盘净值数据(iFinD公式)'!$A207="",'实盘净值数据(iFinD公式)'!$B207="",'实盘净值数据(iFinD公式)'!$Z207="",'实盘净值数据(iFinD公式)'!$AA207=""),"",分期持仓明细!$AB$23*(SUMPRODUCT(分期持仓明细!$B$23:$Y$23,'实盘净值数据(iFinD公式)'!$B207:$Y207/'实盘净值数据(iFinD公式)'!$B$65:$Y$65)+SUMPRODUCT(分期持仓明细!$AC$23:$AD$23,'实盘净值数据(iFinD公式)'!$Z207:$AA207/'实盘净值数据(iFinD公式)'!$Z$65:$AA$65))*(1-实盘持仓配置!$AM$7)^(('实盘净值数据(iFinD公式)'!$A207-'实盘净值数据(iFinD公式)'!$A$8)/365))</f>
        <v/>
      </c>
      <c r="L207" s="16" t="str">
        <f t="shared" si="32"/>
        <v/>
      </c>
      <c r="M207" s="16" t="str">
        <f>IF(K207="","",K207/MAX(K$5:K207)-1)</f>
        <v/>
      </c>
      <c r="N207" s="13" t="str">
        <f>IF(OR('实盘净值数据(iFinD公式)'!$A207="",'实盘净值数据(iFinD公式)'!$B207="",'实盘净值数据(iFinD公式)'!$Z207="",'实盘净值数据(iFinD公式)'!$AA207=""),"",分期持仓明细!$AB$24*(SUMPRODUCT(分期持仓明细!$B$24:$Y$24,'实盘净值数据(iFinD公式)'!$B207:$Y207/'实盘净值数据(iFinD公式)'!$B$65:$Y$65)+SUMPRODUCT(分期持仓明细!$AC$24:$AD$24,'实盘净值数据(iFinD公式)'!$Z207:$AA207/'实盘净值数据(iFinD公式)'!$Z$65:$AA$65))*(1-实盘持仓配置!$AM$8)^(('实盘净值数据(iFinD公式)'!$A207-'实盘净值数据(iFinD公式)'!$A$5)/365))</f>
        <v/>
      </c>
      <c r="O207" s="16" t="str">
        <f t="shared" si="33"/>
        <v/>
      </c>
      <c r="P207" s="16" t="str">
        <f>IF(N207="","",N207/MAX(N$5:N207)-1)</f>
        <v/>
      </c>
      <c r="Q207" s="13" t="str">
        <f>IF(OR('实盘净值数据(iFinD公式)'!$A207="",'实盘净值数据(iFinD公式)'!$B207="",'实盘净值数据(iFinD公式)'!$Z207="",'实盘净值数据(iFinD公式)'!$AA207=""),"",分期持仓明细!$AB$25*(SUMPRODUCT(分期持仓明细!$B$25:$Y$25,'实盘净值数据(iFinD公式)'!$B207:$Y207/'实盘净值数据(iFinD公式)'!$B$65:$Y$65)+SUMPRODUCT(分期持仓明细!$AC$25:$AD$25,'实盘净值数据(iFinD公式)'!$Z207:$AA207/'实盘净值数据(iFinD公式)'!$Z$65:$AA$65))*(1-实盘持仓配置!$AM$9)^(('实盘净值数据(iFinD公式)'!$A207-'实盘净值数据(iFinD公式)'!$A$8)/365))</f>
        <v/>
      </c>
      <c r="R207" s="16" t="str">
        <f t="shared" si="34"/>
        <v/>
      </c>
      <c r="S207" s="16" t="str">
        <f>IF(Q207="","",Q207/MAX(Q$5:Q207)-1)</f>
        <v/>
      </c>
      <c r="T207" s="13" t="str">
        <f>IF(OR('实盘净值数据(iFinD公式)'!$A207="",'实盘净值数据(iFinD公式)'!$B207="",'实盘净值数据(iFinD公式)'!$Z207="",'实盘净值数据(iFinD公式)'!$AA207="",'实盘净值数据(iFinD公式)'!$AB207="",'实盘净值数据(iFinD公式)'!$AL207=""),"",(SUMPRODUCT(分期持仓明细!$B$26:$Y$26,'实盘净值数据(iFinD公式)'!$B207:$Y207/'实盘净值数据(iFinD公式)'!$B$69:$Y$69)+SUMPRODUCT(分期持仓明细!$AC$26:$AD$26,'实盘净值数据(iFinD公式)'!$Z207:$AA207/'实盘净值数据(iFinD公式)'!$Z$69:$AA$69)+SUMPRODUCT(分期持仓明细!$AE$26:$AO$26,'实盘净值数据(iFinD公式)'!$AB207:$AL207/'实盘净值数据(iFinD公式)'!$AB$69:$AL$69))*(1-实盘持仓配置!$AM$10)^(('实盘净值数据(iFinD公式)'!$A207-'实盘净值数据(iFinD公式)'!$A$69)/365))</f>
        <v/>
      </c>
      <c r="U207" s="16" t="str">
        <f t="shared" si="28"/>
        <v/>
      </c>
      <c r="V207" s="16" t="str">
        <f>IF(T207="","",T207/MAX(T$5:T207)-1)</f>
        <v/>
      </c>
    </row>
    <row r="208" spans="1:22">
      <c r="A208" s="15" t="str">
        <f>IF('实盘净值数据(iFinD公式)'!A208="","",'实盘净值数据(iFinD公式)'!A208)</f>
        <v/>
      </c>
      <c r="B208" s="13" t="str">
        <f>IF(OR('实盘净值数据(iFinD公式)'!$A208="",'实盘净值数据(iFinD公式)'!$B208=""),"",分期持仓明细!$AB$17*SUMPRODUCT(分期持仓明细!$B$17:$Y$17,'实盘净值数据(iFinD公式)'!$B208:$Y208/'实盘净值数据(iFinD公式)'!$B$20:$Y$20)*(1-实盘持仓配置!$AM$4)^(('实盘净值数据(iFinD公式)'!$A208-'实盘净值数据(iFinD公式)'!$A$6)/365))</f>
        <v/>
      </c>
      <c r="C208" s="16" t="str">
        <f t="shared" si="29"/>
        <v/>
      </c>
      <c r="D208" s="16" t="str">
        <f>IF(B208="","",B208/MAX(B$5:B208)-1)</f>
        <v/>
      </c>
      <c r="E208" s="13" t="str">
        <f>IF(OR('实盘净值数据(iFinD公式)'!$A208="",'实盘净值数据(iFinD公式)'!$B208=""),"",分期持仓明细!$AB$18*SUMPRODUCT(分期持仓明细!$B$18:$Y$18,'实盘净值数据(iFinD公式)'!$B208:$Y208/'实盘净值数据(iFinD公式)'!$B$20:$Y$20)*(1-实盘持仓配置!$AM$5)^(('实盘净值数据(iFinD公式)'!$A208-'实盘净值数据(iFinD公式)'!$A$5)/365))</f>
        <v/>
      </c>
      <c r="F208" s="16" t="str">
        <f t="shared" si="30"/>
        <v/>
      </c>
      <c r="G208" s="16" t="str">
        <f>IF(E208="","",E208/MAX(E$5:E208)-1)</f>
        <v/>
      </c>
      <c r="H208" s="13" t="str">
        <f>IF(OR('实盘净值数据(iFinD公式)'!$A208="",'实盘净值数据(iFinD公式)'!$B208=""),"",分期持仓明细!$AB$19*SUMPRODUCT(分期持仓明细!$B$19:$Y$19,'实盘净值数据(iFinD公式)'!$B208:$Y208/'实盘净值数据(iFinD公式)'!$B$20:$Y$20)*(1-实盘持仓配置!$AM$6)^(('实盘净值数据(iFinD公式)'!$A208-'实盘净值数据(iFinD公式)'!$A$7)/365))</f>
        <v/>
      </c>
      <c r="I208" s="16" t="str">
        <f t="shared" si="31"/>
        <v/>
      </c>
      <c r="J208" s="16" t="str">
        <f>IF(H208="","",H208/MAX(H$5:H208)-1)</f>
        <v/>
      </c>
      <c r="K208" s="13" t="str">
        <f>IF(OR('实盘净值数据(iFinD公式)'!$A208="",'实盘净值数据(iFinD公式)'!$B208="",'实盘净值数据(iFinD公式)'!$Z208="",'实盘净值数据(iFinD公式)'!$AA208=""),"",分期持仓明细!$AB$23*(SUMPRODUCT(分期持仓明细!$B$23:$Y$23,'实盘净值数据(iFinD公式)'!$B208:$Y208/'实盘净值数据(iFinD公式)'!$B$65:$Y$65)+SUMPRODUCT(分期持仓明细!$AC$23:$AD$23,'实盘净值数据(iFinD公式)'!$Z208:$AA208/'实盘净值数据(iFinD公式)'!$Z$65:$AA$65))*(1-实盘持仓配置!$AM$7)^(('实盘净值数据(iFinD公式)'!$A208-'实盘净值数据(iFinD公式)'!$A$8)/365))</f>
        <v/>
      </c>
      <c r="L208" s="16" t="str">
        <f t="shared" si="32"/>
        <v/>
      </c>
      <c r="M208" s="16" t="str">
        <f>IF(K208="","",K208/MAX(K$5:K208)-1)</f>
        <v/>
      </c>
      <c r="N208" s="13" t="str">
        <f>IF(OR('实盘净值数据(iFinD公式)'!$A208="",'实盘净值数据(iFinD公式)'!$B208="",'实盘净值数据(iFinD公式)'!$Z208="",'实盘净值数据(iFinD公式)'!$AA208=""),"",分期持仓明细!$AB$24*(SUMPRODUCT(分期持仓明细!$B$24:$Y$24,'实盘净值数据(iFinD公式)'!$B208:$Y208/'实盘净值数据(iFinD公式)'!$B$65:$Y$65)+SUMPRODUCT(分期持仓明细!$AC$24:$AD$24,'实盘净值数据(iFinD公式)'!$Z208:$AA208/'实盘净值数据(iFinD公式)'!$Z$65:$AA$65))*(1-实盘持仓配置!$AM$8)^(('实盘净值数据(iFinD公式)'!$A208-'实盘净值数据(iFinD公式)'!$A$5)/365))</f>
        <v/>
      </c>
      <c r="O208" s="16" t="str">
        <f t="shared" si="33"/>
        <v/>
      </c>
      <c r="P208" s="16" t="str">
        <f>IF(N208="","",N208/MAX(N$5:N208)-1)</f>
        <v/>
      </c>
      <c r="Q208" s="13" t="str">
        <f>IF(OR('实盘净值数据(iFinD公式)'!$A208="",'实盘净值数据(iFinD公式)'!$B208="",'实盘净值数据(iFinD公式)'!$Z208="",'实盘净值数据(iFinD公式)'!$AA208=""),"",分期持仓明细!$AB$25*(SUMPRODUCT(分期持仓明细!$B$25:$Y$25,'实盘净值数据(iFinD公式)'!$B208:$Y208/'实盘净值数据(iFinD公式)'!$B$65:$Y$65)+SUMPRODUCT(分期持仓明细!$AC$25:$AD$25,'实盘净值数据(iFinD公式)'!$Z208:$AA208/'实盘净值数据(iFinD公式)'!$Z$65:$AA$65))*(1-实盘持仓配置!$AM$9)^(('实盘净值数据(iFinD公式)'!$A208-'实盘净值数据(iFinD公式)'!$A$8)/365))</f>
        <v/>
      </c>
      <c r="R208" s="16" t="str">
        <f t="shared" si="34"/>
        <v/>
      </c>
      <c r="S208" s="16" t="str">
        <f>IF(Q208="","",Q208/MAX(Q$5:Q208)-1)</f>
        <v/>
      </c>
      <c r="T208" s="13" t="str">
        <f>IF(OR('实盘净值数据(iFinD公式)'!$A208="",'实盘净值数据(iFinD公式)'!$B208="",'实盘净值数据(iFinD公式)'!$Z208="",'实盘净值数据(iFinD公式)'!$AA208="",'实盘净值数据(iFinD公式)'!$AB208="",'实盘净值数据(iFinD公式)'!$AL208=""),"",(SUMPRODUCT(分期持仓明细!$B$26:$Y$26,'实盘净值数据(iFinD公式)'!$B208:$Y208/'实盘净值数据(iFinD公式)'!$B$69:$Y$69)+SUMPRODUCT(分期持仓明细!$AC$26:$AD$26,'实盘净值数据(iFinD公式)'!$Z208:$AA208/'实盘净值数据(iFinD公式)'!$Z$69:$AA$69)+SUMPRODUCT(分期持仓明细!$AE$26:$AO$26,'实盘净值数据(iFinD公式)'!$AB208:$AL208/'实盘净值数据(iFinD公式)'!$AB$69:$AL$69))*(1-实盘持仓配置!$AM$10)^(('实盘净值数据(iFinD公式)'!$A208-'实盘净值数据(iFinD公式)'!$A$69)/365))</f>
        <v/>
      </c>
      <c r="U208" s="16" t="str">
        <f t="shared" si="28"/>
        <v/>
      </c>
      <c r="V208" s="16" t="str">
        <f>IF(T208="","",T208/MAX(T$5:T208)-1)</f>
        <v/>
      </c>
    </row>
    <row r="209" spans="1:22">
      <c r="A209" s="15" t="str">
        <f>IF('实盘净值数据(iFinD公式)'!A209="","",'实盘净值数据(iFinD公式)'!A209)</f>
        <v/>
      </c>
      <c r="B209" s="13" t="str">
        <f>IF(OR('实盘净值数据(iFinD公式)'!$A209="",'实盘净值数据(iFinD公式)'!$B209=""),"",分期持仓明细!$AB$17*SUMPRODUCT(分期持仓明细!$B$17:$Y$17,'实盘净值数据(iFinD公式)'!$B209:$Y209/'实盘净值数据(iFinD公式)'!$B$20:$Y$20)*(1-实盘持仓配置!$AM$4)^(('实盘净值数据(iFinD公式)'!$A209-'实盘净值数据(iFinD公式)'!$A$6)/365))</f>
        <v/>
      </c>
      <c r="C209" s="16" t="str">
        <f t="shared" si="29"/>
        <v/>
      </c>
      <c r="D209" s="16" t="str">
        <f>IF(B209="","",B209/MAX(B$5:B209)-1)</f>
        <v/>
      </c>
      <c r="E209" s="13" t="str">
        <f>IF(OR('实盘净值数据(iFinD公式)'!$A209="",'实盘净值数据(iFinD公式)'!$B209=""),"",分期持仓明细!$AB$18*SUMPRODUCT(分期持仓明细!$B$18:$Y$18,'实盘净值数据(iFinD公式)'!$B209:$Y209/'实盘净值数据(iFinD公式)'!$B$20:$Y$20)*(1-实盘持仓配置!$AM$5)^(('实盘净值数据(iFinD公式)'!$A209-'实盘净值数据(iFinD公式)'!$A$5)/365))</f>
        <v/>
      </c>
      <c r="F209" s="16" t="str">
        <f t="shared" si="30"/>
        <v/>
      </c>
      <c r="G209" s="16" t="str">
        <f>IF(E209="","",E209/MAX(E$5:E209)-1)</f>
        <v/>
      </c>
      <c r="H209" s="13" t="str">
        <f>IF(OR('实盘净值数据(iFinD公式)'!$A209="",'实盘净值数据(iFinD公式)'!$B209=""),"",分期持仓明细!$AB$19*SUMPRODUCT(分期持仓明细!$B$19:$Y$19,'实盘净值数据(iFinD公式)'!$B209:$Y209/'实盘净值数据(iFinD公式)'!$B$20:$Y$20)*(1-实盘持仓配置!$AM$6)^(('实盘净值数据(iFinD公式)'!$A209-'实盘净值数据(iFinD公式)'!$A$7)/365))</f>
        <v/>
      </c>
      <c r="I209" s="16" t="str">
        <f t="shared" si="31"/>
        <v/>
      </c>
      <c r="J209" s="16" t="str">
        <f>IF(H209="","",H209/MAX(H$5:H209)-1)</f>
        <v/>
      </c>
      <c r="K209" s="13" t="str">
        <f>IF(OR('实盘净值数据(iFinD公式)'!$A209="",'实盘净值数据(iFinD公式)'!$B209="",'实盘净值数据(iFinD公式)'!$Z209="",'实盘净值数据(iFinD公式)'!$AA209=""),"",分期持仓明细!$AB$23*(SUMPRODUCT(分期持仓明细!$B$23:$Y$23,'实盘净值数据(iFinD公式)'!$B209:$Y209/'实盘净值数据(iFinD公式)'!$B$65:$Y$65)+SUMPRODUCT(分期持仓明细!$AC$23:$AD$23,'实盘净值数据(iFinD公式)'!$Z209:$AA209/'实盘净值数据(iFinD公式)'!$Z$65:$AA$65))*(1-实盘持仓配置!$AM$7)^(('实盘净值数据(iFinD公式)'!$A209-'实盘净值数据(iFinD公式)'!$A$8)/365))</f>
        <v/>
      </c>
      <c r="L209" s="16" t="str">
        <f t="shared" si="32"/>
        <v/>
      </c>
      <c r="M209" s="16" t="str">
        <f>IF(K209="","",K209/MAX(K$5:K209)-1)</f>
        <v/>
      </c>
      <c r="N209" s="13" t="str">
        <f>IF(OR('实盘净值数据(iFinD公式)'!$A209="",'实盘净值数据(iFinD公式)'!$B209="",'实盘净值数据(iFinD公式)'!$Z209="",'实盘净值数据(iFinD公式)'!$AA209=""),"",分期持仓明细!$AB$24*(SUMPRODUCT(分期持仓明细!$B$24:$Y$24,'实盘净值数据(iFinD公式)'!$B209:$Y209/'实盘净值数据(iFinD公式)'!$B$65:$Y$65)+SUMPRODUCT(分期持仓明细!$AC$24:$AD$24,'实盘净值数据(iFinD公式)'!$Z209:$AA209/'实盘净值数据(iFinD公式)'!$Z$65:$AA$65))*(1-实盘持仓配置!$AM$8)^(('实盘净值数据(iFinD公式)'!$A209-'实盘净值数据(iFinD公式)'!$A$5)/365))</f>
        <v/>
      </c>
      <c r="O209" s="16" t="str">
        <f t="shared" si="33"/>
        <v/>
      </c>
      <c r="P209" s="16" t="str">
        <f>IF(N209="","",N209/MAX(N$5:N209)-1)</f>
        <v/>
      </c>
      <c r="Q209" s="13" t="str">
        <f>IF(OR('实盘净值数据(iFinD公式)'!$A209="",'实盘净值数据(iFinD公式)'!$B209="",'实盘净值数据(iFinD公式)'!$Z209="",'实盘净值数据(iFinD公式)'!$AA209=""),"",分期持仓明细!$AB$25*(SUMPRODUCT(分期持仓明细!$B$25:$Y$25,'实盘净值数据(iFinD公式)'!$B209:$Y209/'实盘净值数据(iFinD公式)'!$B$65:$Y$65)+SUMPRODUCT(分期持仓明细!$AC$25:$AD$25,'实盘净值数据(iFinD公式)'!$Z209:$AA209/'实盘净值数据(iFinD公式)'!$Z$65:$AA$65))*(1-实盘持仓配置!$AM$9)^(('实盘净值数据(iFinD公式)'!$A209-'实盘净值数据(iFinD公式)'!$A$8)/365))</f>
        <v/>
      </c>
      <c r="R209" s="16" t="str">
        <f t="shared" si="34"/>
        <v/>
      </c>
      <c r="S209" s="16" t="str">
        <f>IF(Q209="","",Q209/MAX(Q$5:Q209)-1)</f>
        <v/>
      </c>
      <c r="T209" s="13" t="str">
        <f>IF(OR('实盘净值数据(iFinD公式)'!$A209="",'实盘净值数据(iFinD公式)'!$B209="",'实盘净值数据(iFinD公式)'!$Z209="",'实盘净值数据(iFinD公式)'!$AA209="",'实盘净值数据(iFinD公式)'!$AB209="",'实盘净值数据(iFinD公式)'!$AL209=""),"",(SUMPRODUCT(分期持仓明细!$B$26:$Y$26,'实盘净值数据(iFinD公式)'!$B209:$Y209/'实盘净值数据(iFinD公式)'!$B$69:$Y$69)+SUMPRODUCT(分期持仓明细!$AC$26:$AD$26,'实盘净值数据(iFinD公式)'!$Z209:$AA209/'实盘净值数据(iFinD公式)'!$Z$69:$AA$69)+SUMPRODUCT(分期持仓明细!$AE$26:$AO$26,'实盘净值数据(iFinD公式)'!$AB209:$AL209/'实盘净值数据(iFinD公式)'!$AB$69:$AL$69))*(1-实盘持仓配置!$AM$10)^(('实盘净值数据(iFinD公式)'!$A209-'实盘净值数据(iFinD公式)'!$A$69)/365))</f>
        <v/>
      </c>
      <c r="U209" s="16" t="str">
        <f t="shared" si="28"/>
        <v/>
      </c>
      <c r="V209" s="16" t="str">
        <f>IF(T209="","",T209/MAX(T$5:T209)-1)</f>
        <v/>
      </c>
    </row>
    <row r="210" spans="1:22">
      <c r="A210" s="15" t="str">
        <f>IF('实盘净值数据(iFinD公式)'!A210="","",'实盘净值数据(iFinD公式)'!A210)</f>
        <v/>
      </c>
      <c r="B210" s="13" t="str">
        <f>IF(OR('实盘净值数据(iFinD公式)'!$A210="",'实盘净值数据(iFinD公式)'!$B210=""),"",分期持仓明细!$AB$17*SUMPRODUCT(分期持仓明细!$B$17:$Y$17,'实盘净值数据(iFinD公式)'!$B210:$Y210/'实盘净值数据(iFinD公式)'!$B$20:$Y$20)*(1-实盘持仓配置!$AM$4)^(('实盘净值数据(iFinD公式)'!$A210-'实盘净值数据(iFinD公式)'!$A$6)/365))</f>
        <v/>
      </c>
      <c r="C210" s="16" t="str">
        <f t="shared" si="29"/>
        <v/>
      </c>
      <c r="D210" s="16" t="str">
        <f>IF(B210="","",B210/MAX(B$5:B210)-1)</f>
        <v/>
      </c>
      <c r="E210" s="13" t="str">
        <f>IF(OR('实盘净值数据(iFinD公式)'!$A210="",'实盘净值数据(iFinD公式)'!$B210=""),"",分期持仓明细!$AB$18*SUMPRODUCT(分期持仓明细!$B$18:$Y$18,'实盘净值数据(iFinD公式)'!$B210:$Y210/'实盘净值数据(iFinD公式)'!$B$20:$Y$20)*(1-实盘持仓配置!$AM$5)^(('实盘净值数据(iFinD公式)'!$A210-'实盘净值数据(iFinD公式)'!$A$5)/365))</f>
        <v/>
      </c>
      <c r="F210" s="16" t="str">
        <f t="shared" si="30"/>
        <v/>
      </c>
      <c r="G210" s="16" t="str">
        <f>IF(E210="","",E210/MAX(E$5:E210)-1)</f>
        <v/>
      </c>
      <c r="H210" s="13" t="str">
        <f>IF(OR('实盘净值数据(iFinD公式)'!$A210="",'实盘净值数据(iFinD公式)'!$B210=""),"",分期持仓明细!$AB$19*SUMPRODUCT(分期持仓明细!$B$19:$Y$19,'实盘净值数据(iFinD公式)'!$B210:$Y210/'实盘净值数据(iFinD公式)'!$B$20:$Y$20)*(1-实盘持仓配置!$AM$6)^(('实盘净值数据(iFinD公式)'!$A210-'实盘净值数据(iFinD公式)'!$A$7)/365))</f>
        <v/>
      </c>
      <c r="I210" s="16" t="str">
        <f t="shared" si="31"/>
        <v/>
      </c>
      <c r="J210" s="16" t="str">
        <f>IF(H210="","",H210/MAX(H$5:H210)-1)</f>
        <v/>
      </c>
      <c r="K210" s="13" t="str">
        <f>IF(OR('实盘净值数据(iFinD公式)'!$A210="",'实盘净值数据(iFinD公式)'!$B210="",'实盘净值数据(iFinD公式)'!$Z210="",'实盘净值数据(iFinD公式)'!$AA210=""),"",分期持仓明细!$AB$23*(SUMPRODUCT(分期持仓明细!$B$23:$Y$23,'实盘净值数据(iFinD公式)'!$B210:$Y210/'实盘净值数据(iFinD公式)'!$B$65:$Y$65)+SUMPRODUCT(分期持仓明细!$AC$23:$AD$23,'实盘净值数据(iFinD公式)'!$Z210:$AA210/'实盘净值数据(iFinD公式)'!$Z$65:$AA$65))*(1-实盘持仓配置!$AM$7)^(('实盘净值数据(iFinD公式)'!$A210-'实盘净值数据(iFinD公式)'!$A$8)/365))</f>
        <v/>
      </c>
      <c r="L210" s="16" t="str">
        <f t="shared" si="32"/>
        <v/>
      </c>
      <c r="M210" s="16" t="str">
        <f>IF(K210="","",K210/MAX(K$5:K210)-1)</f>
        <v/>
      </c>
      <c r="N210" s="13" t="str">
        <f>IF(OR('实盘净值数据(iFinD公式)'!$A210="",'实盘净值数据(iFinD公式)'!$B210="",'实盘净值数据(iFinD公式)'!$Z210="",'实盘净值数据(iFinD公式)'!$AA210=""),"",分期持仓明细!$AB$24*(SUMPRODUCT(分期持仓明细!$B$24:$Y$24,'实盘净值数据(iFinD公式)'!$B210:$Y210/'实盘净值数据(iFinD公式)'!$B$65:$Y$65)+SUMPRODUCT(分期持仓明细!$AC$24:$AD$24,'实盘净值数据(iFinD公式)'!$Z210:$AA210/'实盘净值数据(iFinD公式)'!$Z$65:$AA$65))*(1-实盘持仓配置!$AM$8)^(('实盘净值数据(iFinD公式)'!$A210-'实盘净值数据(iFinD公式)'!$A$5)/365))</f>
        <v/>
      </c>
      <c r="O210" s="16" t="str">
        <f t="shared" si="33"/>
        <v/>
      </c>
      <c r="P210" s="16" t="str">
        <f>IF(N210="","",N210/MAX(N$5:N210)-1)</f>
        <v/>
      </c>
      <c r="Q210" s="13" t="str">
        <f>IF(OR('实盘净值数据(iFinD公式)'!$A210="",'实盘净值数据(iFinD公式)'!$B210="",'实盘净值数据(iFinD公式)'!$Z210="",'实盘净值数据(iFinD公式)'!$AA210=""),"",分期持仓明细!$AB$25*(SUMPRODUCT(分期持仓明细!$B$25:$Y$25,'实盘净值数据(iFinD公式)'!$B210:$Y210/'实盘净值数据(iFinD公式)'!$B$65:$Y$65)+SUMPRODUCT(分期持仓明细!$AC$25:$AD$25,'实盘净值数据(iFinD公式)'!$Z210:$AA210/'实盘净值数据(iFinD公式)'!$Z$65:$AA$65))*(1-实盘持仓配置!$AM$9)^(('实盘净值数据(iFinD公式)'!$A210-'实盘净值数据(iFinD公式)'!$A$8)/365))</f>
        <v/>
      </c>
      <c r="R210" s="16" t="str">
        <f t="shared" si="34"/>
        <v/>
      </c>
      <c r="S210" s="16" t="str">
        <f>IF(Q210="","",Q210/MAX(Q$5:Q210)-1)</f>
        <v/>
      </c>
      <c r="T210" s="13" t="str">
        <f>IF(OR('实盘净值数据(iFinD公式)'!$A210="",'实盘净值数据(iFinD公式)'!$B210="",'实盘净值数据(iFinD公式)'!$Z210="",'实盘净值数据(iFinD公式)'!$AA210="",'实盘净值数据(iFinD公式)'!$AB210="",'实盘净值数据(iFinD公式)'!$AL210=""),"",(SUMPRODUCT(分期持仓明细!$B$26:$Y$26,'实盘净值数据(iFinD公式)'!$B210:$Y210/'实盘净值数据(iFinD公式)'!$B$69:$Y$69)+SUMPRODUCT(分期持仓明细!$AC$26:$AD$26,'实盘净值数据(iFinD公式)'!$Z210:$AA210/'实盘净值数据(iFinD公式)'!$Z$69:$AA$69)+SUMPRODUCT(分期持仓明细!$AE$26:$AO$26,'实盘净值数据(iFinD公式)'!$AB210:$AL210/'实盘净值数据(iFinD公式)'!$AB$69:$AL$69))*(1-实盘持仓配置!$AM$10)^(('实盘净值数据(iFinD公式)'!$A210-'实盘净值数据(iFinD公式)'!$A$69)/365))</f>
        <v/>
      </c>
      <c r="U210" s="16" t="str">
        <f t="shared" si="28"/>
        <v/>
      </c>
      <c r="V210" s="16" t="str">
        <f>IF(T210="","",T210/MAX(T$5:T210)-1)</f>
        <v/>
      </c>
    </row>
    <row r="211" spans="1:22">
      <c r="A211" s="15" t="str">
        <f>IF('实盘净值数据(iFinD公式)'!A211="","",'实盘净值数据(iFinD公式)'!A211)</f>
        <v/>
      </c>
      <c r="B211" s="13" t="str">
        <f>IF(OR('实盘净值数据(iFinD公式)'!$A211="",'实盘净值数据(iFinD公式)'!$B211=""),"",分期持仓明细!$AB$17*SUMPRODUCT(分期持仓明细!$B$17:$Y$17,'实盘净值数据(iFinD公式)'!$B211:$Y211/'实盘净值数据(iFinD公式)'!$B$20:$Y$20)*(1-实盘持仓配置!$AM$4)^(('实盘净值数据(iFinD公式)'!$A211-'实盘净值数据(iFinD公式)'!$A$6)/365))</f>
        <v/>
      </c>
      <c r="C211" s="16" t="str">
        <f t="shared" si="29"/>
        <v/>
      </c>
      <c r="D211" s="16" t="str">
        <f>IF(B211="","",B211/MAX(B$5:B211)-1)</f>
        <v/>
      </c>
      <c r="E211" s="13" t="str">
        <f>IF(OR('实盘净值数据(iFinD公式)'!$A211="",'实盘净值数据(iFinD公式)'!$B211=""),"",分期持仓明细!$AB$18*SUMPRODUCT(分期持仓明细!$B$18:$Y$18,'实盘净值数据(iFinD公式)'!$B211:$Y211/'实盘净值数据(iFinD公式)'!$B$20:$Y$20)*(1-实盘持仓配置!$AM$5)^(('实盘净值数据(iFinD公式)'!$A211-'实盘净值数据(iFinD公式)'!$A$5)/365))</f>
        <v/>
      </c>
      <c r="F211" s="16" t="str">
        <f t="shared" si="30"/>
        <v/>
      </c>
      <c r="G211" s="16" t="str">
        <f>IF(E211="","",E211/MAX(E$5:E211)-1)</f>
        <v/>
      </c>
      <c r="H211" s="13" t="str">
        <f>IF(OR('实盘净值数据(iFinD公式)'!$A211="",'实盘净值数据(iFinD公式)'!$B211=""),"",分期持仓明细!$AB$19*SUMPRODUCT(分期持仓明细!$B$19:$Y$19,'实盘净值数据(iFinD公式)'!$B211:$Y211/'实盘净值数据(iFinD公式)'!$B$20:$Y$20)*(1-实盘持仓配置!$AM$6)^(('实盘净值数据(iFinD公式)'!$A211-'实盘净值数据(iFinD公式)'!$A$7)/365))</f>
        <v/>
      </c>
      <c r="I211" s="16" t="str">
        <f t="shared" si="31"/>
        <v/>
      </c>
      <c r="J211" s="16" t="str">
        <f>IF(H211="","",H211/MAX(H$5:H211)-1)</f>
        <v/>
      </c>
      <c r="K211" s="13" t="str">
        <f>IF(OR('实盘净值数据(iFinD公式)'!$A211="",'实盘净值数据(iFinD公式)'!$B211="",'实盘净值数据(iFinD公式)'!$Z211="",'实盘净值数据(iFinD公式)'!$AA211=""),"",分期持仓明细!$AB$23*(SUMPRODUCT(分期持仓明细!$B$23:$Y$23,'实盘净值数据(iFinD公式)'!$B211:$Y211/'实盘净值数据(iFinD公式)'!$B$65:$Y$65)+SUMPRODUCT(分期持仓明细!$AC$23:$AD$23,'实盘净值数据(iFinD公式)'!$Z211:$AA211/'实盘净值数据(iFinD公式)'!$Z$65:$AA$65))*(1-实盘持仓配置!$AM$7)^(('实盘净值数据(iFinD公式)'!$A211-'实盘净值数据(iFinD公式)'!$A$8)/365))</f>
        <v/>
      </c>
      <c r="L211" s="16" t="str">
        <f t="shared" si="32"/>
        <v/>
      </c>
      <c r="M211" s="16" t="str">
        <f>IF(K211="","",K211/MAX(K$5:K211)-1)</f>
        <v/>
      </c>
      <c r="N211" s="13" t="str">
        <f>IF(OR('实盘净值数据(iFinD公式)'!$A211="",'实盘净值数据(iFinD公式)'!$B211="",'实盘净值数据(iFinD公式)'!$Z211="",'实盘净值数据(iFinD公式)'!$AA211=""),"",分期持仓明细!$AB$24*(SUMPRODUCT(分期持仓明细!$B$24:$Y$24,'实盘净值数据(iFinD公式)'!$B211:$Y211/'实盘净值数据(iFinD公式)'!$B$65:$Y$65)+SUMPRODUCT(分期持仓明细!$AC$24:$AD$24,'实盘净值数据(iFinD公式)'!$Z211:$AA211/'实盘净值数据(iFinD公式)'!$Z$65:$AA$65))*(1-实盘持仓配置!$AM$8)^(('实盘净值数据(iFinD公式)'!$A211-'实盘净值数据(iFinD公式)'!$A$5)/365))</f>
        <v/>
      </c>
      <c r="O211" s="16" t="str">
        <f t="shared" si="33"/>
        <v/>
      </c>
      <c r="P211" s="16" t="str">
        <f>IF(N211="","",N211/MAX(N$5:N211)-1)</f>
        <v/>
      </c>
      <c r="Q211" s="13" t="str">
        <f>IF(OR('实盘净值数据(iFinD公式)'!$A211="",'实盘净值数据(iFinD公式)'!$B211="",'实盘净值数据(iFinD公式)'!$Z211="",'实盘净值数据(iFinD公式)'!$AA211=""),"",分期持仓明细!$AB$25*(SUMPRODUCT(分期持仓明细!$B$25:$Y$25,'实盘净值数据(iFinD公式)'!$B211:$Y211/'实盘净值数据(iFinD公式)'!$B$65:$Y$65)+SUMPRODUCT(分期持仓明细!$AC$25:$AD$25,'实盘净值数据(iFinD公式)'!$Z211:$AA211/'实盘净值数据(iFinD公式)'!$Z$65:$AA$65))*(1-实盘持仓配置!$AM$9)^(('实盘净值数据(iFinD公式)'!$A211-'实盘净值数据(iFinD公式)'!$A$8)/365))</f>
        <v/>
      </c>
      <c r="R211" s="16" t="str">
        <f t="shared" si="34"/>
        <v/>
      </c>
      <c r="S211" s="16" t="str">
        <f>IF(Q211="","",Q211/MAX(Q$5:Q211)-1)</f>
        <v/>
      </c>
      <c r="T211" s="13" t="str">
        <f>IF(OR('实盘净值数据(iFinD公式)'!$A211="",'实盘净值数据(iFinD公式)'!$B211="",'实盘净值数据(iFinD公式)'!$Z211="",'实盘净值数据(iFinD公式)'!$AA211="",'实盘净值数据(iFinD公式)'!$AB211="",'实盘净值数据(iFinD公式)'!$AL211=""),"",(SUMPRODUCT(分期持仓明细!$B$26:$Y$26,'实盘净值数据(iFinD公式)'!$B211:$Y211/'实盘净值数据(iFinD公式)'!$B$69:$Y$69)+SUMPRODUCT(分期持仓明细!$AC$26:$AD$26,'实盘净值数据(iFinD公式)'!$Z211:$AA211/'实盘净值数据(iFinD公式)'!$Z$69:$AA$69)+SUMPRODUCT(分期持仓明细!$AE$26:$AO$26,'实盘净值数据(iFinD公式)'!$AB211:$AL211/'实盘净值数据(iFinD公式)'!$AB$69:$AL$69))*(1-实盘持仓配置!$AM$10)^(('实盘净值数据(iFinD公式)'!$A211-'实盘净值数据(iFinD公式)'!$A$69)/365))</f>
        <v/>
      </c>
      <c r="U211" s="16" t="str">
        <f t="shared" si="28"/>
        <v/>
      </c>
      <c r="V211" s="16" t="str">
        <f>IF(T211="","",T211/MAX(T$5:T211)-1)</f>
        <v/>
      </c>
    </row>
    <row r="212" spans="1:22">
      <c r="A212" s="15" t="str">
        <f>IF('实盘净值数据(iFinD公式)'!A212="","",'实盘净值数据(iFinD公式)'!A212)</f>
        <v/>
      </c>
      <c r="B212" s="13" t="str">
        <f>IF(OR('实盘净值数据(iFinD公式)'!$A212="",'实盘净值数据(iFinD公式)'!$B212=""),"",分期持仓明细!$AB$17*SUMPRODUCT(分期持仓明细!$B$17:$Y$17,'实盘净值数据(iFinD公式)'!$B212:$Y212/'实盘净值数据(iFinD公式)'!$B$20:$Y$20)*(1-实盘持仓配置!$AM$4)^(('实盘净值数据(iFinD公式)'!$A212-'实盘净值数据(iFinD公式)'!$A$6)/365))</f>
        <v/>
      </c>
      <c r="C212" s="16" t="str">
        <f t="shared" si="29"/>
        <v/>
      </c>
      <c r="D212" s="16" t="str">
        <f>IF(B212="","",B212/MAX(B$5:B212)-1)</f>
        <v/>
      </c>
      <c r="E212" s="13" t="str">
        <f>IF(OR('实盘净值数据(iFinD公式)'!$A212="",'实盘净值数据(iFinD公式)'!$B212=""),"",分期持仓明细!$AB$18*SUMPRODUCT(分期持仓明细!$B$18:$Y$18,'实盘净值数据(iFinD公式)'!$B212:$Y212/'实盘净值数据(iFinD公式)'!$B$20:$Y$20)*(1-实盘持仓配置!$AM$5)^(('实盘净值数据(iFinD公式)'!$A212-'实盘净值数据(iFinD公式)'!$A$5)/365))</f>
        <v/>
      </c>
      <c r="F212" s="16" t="str">
        <f t="shared" si="30"/>
        <v/>
      </c>
      <c r="G212" s="16" t="str">
        <f>IF(E212="","",E212/MAX(E$5:E212)-1)</f>
        <v/>
      </c>
      <c r="H212" s="13" t="str">
        <f>IF(OR('实盘净值数据(iFinD公式)'!$A212="",'实盘净值数据(iFinD公式)'!$B212=""),"",分期持仓明细!$AB$19*SUMPRODUCT(分期持仓明细!$B$19:$Y$19,'实盘净值数据(iFinD公式)'!$B212:$Y212/'实盘净值数据(iFinD公式)'!$B$20:$Y$20)*(1-实盘持仓配置!$AM$6)^(('实盘净值数据(iFinD公式)'!$A212-'实盘净值数据(iFinD公式)'!$A$7)/365))</f>
        <v/>
      </c>
      <c r="I212" s="16" t="str">
        <f t="shared" si="31"/>
        <v/>
      </c>
      <c r="J212" s="16" t="str">
        <f>IF(H212="","",H212/MAX(H$5:H212)-1)</f>
        <v/>
      </c>
      <c r="K212" s="13" t="str">
        <f>IF(OR('实盘净值数据(iFinD公式)'!$A212="",'实盘净值数据(iFinD公式)'!$B212="",'实盘净值数据(iFinD公式)'!$Z212="",'实盘净值数据(iFinD公式)'!$AA212=""),"",分期持仓明细!$AB$23*(SUMPRODUCT(分期持仓明细!$B$23:$Y$23,'实盘净值数据(iFinD公式)'!$B212:$Y212/'实盘净值数据(iFinD公式)'!$B$65:$Y$65)+SUMPRODUCT(分期持仓明细!$AC$23:$AD$23,'实盘净值数据(iFinD公式)'!$Z212:$AA212/'实盘净值数据(iFinD公式)'!$Z$65:$AA$65))*(1-实盘持仓配置!$AM$7)^(('实盘净值数据(iFinD公式)'!$A212-'实盘净值数据(iFinD公式)'!$A$8)/365))</f>
        <v/>
      </c>
      <c r="L212" s="16" t="str">
        <f t="shared" si="32"/>
        <v/>
      </c>
      <c r="M212" s="16" t="str">
        <f>IF(K212="","",K212/MAX(K$5:K212)-1)</f>
        <v/>
      </c>
      <c r="N212" s="13" t="str">
        <f>IF(OR('实盘净值数据(iFinD公式)'!$A212="",'实盘净值数据(iFinD公式)'!$B212="",'实盘净值数据(iFinD公式)'!$Z212="",'实盘净值数据(iFinD公式)'!$AA212=""),"",分期持仓明细!$AB$24*(SUMPRODUCT(分期持仓明细!$B$24:$Y$24,'实盘净值数据(iFinD公式)'!$B212:$Y212/'实盘净值数据(iFinD公式)'!$B$65:$Y$65)+SUMPRODUCT(分期持仓明细!$AC$24:$AD$24,'实盘净值数据(iFinD公式)'!$Z212:$AA212/'实盘净值数据(iFinD公式)'!$Z$65:$AA$65))*(1-实盘持仓配置!$AM$8)^(('实盘净值数据(iFinD公式)'!$A212-'实盘净值数据(iFinD公式)'!$A$5)/365))</f>
        <v/>
      </c>
      <c r="O212" s="16" t="str">
        <f t="shared" si="33"/>
        <v/>
      </c>
      <c r="P212" s="16" t="str">
        <f>IF(N212="","",N212/MAX(N$5:N212)-1)</f>
        <v/>
      </c>
      <c r="Q212" s="13" t="str">
        <f>IF(OR('实盘净值数据(iFinD公式)'!$A212="",'实盘净值数据(iFinD公式)'!$B212="",'实盘净值数据(iFinD公式)'!$Z212="",'实盘净值数据(iFinD公式)'!$AA212=""),"",分期持仓明细!$AB$25*(SUMPRODUCT(分期持仓明细!$B$25:$Y$25,'实盘净值数据(iFinD公式)'!$B212:$Y212/'实盘净值数据(iFinD公式)'!$B$65:$Y$65)+SUMPRODUCT(分期持仓明细!$AC$25:$AD$25,'实盘净值数据(iFinD公式)'!$Z212:$AA212/'实盘净值数据(iFinD公式)'!$Z$65:$AA$65))*(1-实盘持仓配置!$AM$9)^(('实盘净值数据(iFinD公式)'!$A212-'实盘净值数据(iFinD公式)'!$A$8)/365))</f>
        <v/>
      </c>
      <c r="R212" s="16" t="str">
        <f t="shared" si="34"/>
        <v/>
      </c>
      <c r="S212" s="16" t="str">
        <f>IF(Q212="","",Q212/MAX(Q$5:Q212)-1)</f>
        <v/>
      </c>
      <c r="T212" s="13" t="str">
        <f>IF(OR('实盘净值数据(iFinD公式)'!$A212="",'实盘净值数据(iFinD公式)'!$B212="",'实盘净值数据(iFinD公式)'!$Z212="",'实盘净值数据(iFinD公式)'!$AA212="",'实盘净值数据(iFinD公式)'!$AB212="",'实盘净值数据(iFinD公式)'!$AL212=""),"",(SUMPRODUCT(分期持仓明细!$B$26:$Y$26,'实盘净值数据(iFinD公式)'!$B212:$Y212/'实盘净值数据(iFinD公式)'!$B$69:$Y$69)+SUMPRODUCT(分期持仓明细!$AC$26:$AD$26,'实盘净值数据(iFinD公式)'!$Z212:$AA212/'实盘净值数据(iFinD公式)'!$Z$69:$AA$69)+SUMPRODUCT(分期持仓明细!$AE$26:$AO$26,'实盘净值数据(iFinD公式)'!$AB212:$AL212/'实盘净值数据(iFinD公式)'!$AB$69:$AL$69))*(1-实盘持仓配置!$AM$10)^(('实盘净值数据(iFinD公式)'!$A212-'实盘净值数据(iFinD公式)'!$A$69)/365))</f>
        <v/>
      </c>
      <c r="U212" s="16" t="str">
        <f t="shared" si="28"/>
        <v/>
      </c>
      <c r="V212" s="16" t="str">
        <f>IF(T212="","",T212/MAX(T$5:T212)-1)</f>
        <v/>
      </c>
    </row>
    <row r="213" spans="1:22">
      <c r="A213" s="15" t="str">
        <f>IF('实盘净值数据(iFinD公式)'!A213="","",'实盘净值数据(iFinD公式)'!A213)</f>
        <v/>
      </c>
      <c r="B213" s="13" t="str">
        <f>IF(OR('实盘净值数据(iFinD公式)'!$A213="",'实盘净值数据(iFinD公式)'!$B213=""),"",分期持仓明细!$AB$17*SUMPRODUCT(分期持仓明细!$B$17:$Y$17,'实盘净值数据(iFinD公式)'!$B213:$Y213/'实盘净值数据(iFinD公式)'!$B$20:$Y$20)*(1-实盘持仓配置!$AM$4)^(('实盘净值数据(iFinD公式)'!$A213-'实盘净值数据(iFinD公式)'!$A$6)/365))</f>
        <v/>
      </c>
      <c r="C213" s="16" t="str">
        <f t="shared" si="29"/>
        <v/>
      </c>
      <c r="D213" s="16" t="str">
        <f>IF(B213="","",B213/MAX(B$5:B213)-1)</f>
        <v/>
      </c>
      <c r="E213" s="13" t="str">
        <f>IF(OR('实盘净值数据(iFinD公式)'!$A213="",'实盘净值数据(iFinD公式)'!$B213=""),"",分期持仓明细!$AB$18*SUMPRODUCT(分期持仓明细!$B$18:$Y$18,'实盘净值数据(iFinD公式)'!$B213:$Y213/'实盘净值数据(iFinD公式)'!$B$20:$Y$20)*(1-实盘持仓配置!$AM$5)^(('实盘净值数据(iFinD公式)'!$A213-'实盘净值数据(iFinD公式)'!$A$5)/365))</f>
        <v/>
      </c>
      <c r="F213" s="16" t="str">
        <f t="shared" si="30"/>
        <v/>
      </c>
      <c r="G213" s="16" t="str">
        <f>IF(E213="","",E213/MAX(E$5:E213)-1)</f>
        <v/>
      </c>
      <c r="H213" s="13" t="str">
        <f>IF(OR('实盘净值数据(iFinD公式)'!$A213="",'实盘净值数据(iFinD公式)'!$B213=""),"",分期持仓明细!$AB$19*SUMPRODUCT(分期持仓明细!$B$19:$Y$19,'实盘净值数据(iFinD公式)'!$B213:$Y213/'实盘净值数据(iFinD公式)'!$B$20:$Y$20)*(1-实盘持仓配置!$AM$6)^(('实盘净值数据(iFinD公式)'!$A213-'实盘净值数据(iFinD公式)'!$A$7)/365))</f>
        <v/>
      </c>
      <c r="I213" s="16" t="str">
        <f t="shared" si="31"/>
        <v/>
      </c>
      <c r="J213" s="16" t="str">
        <f>IF(H213="","",H213/MAX(H$5:H213)-1)</f>
        <v/>
      </c>
      <c r="K213" s="13" t="str">
        <f>IF(OR('实盘净值数据(iFinD公式)'!$A213="",'实盘净值数据(iFinD公式)'!$B213="",'实盘净值数据(iFinD公式)'!$Z213="",'实盘净值数据(iFinD公式)'!$AA213=""),"",分期持仓明细!$AB$23*(SUMPRODUCT(分期持仓明细!$B$23:$Y$23,'实盘净值数据(iFinD公式)'!$B213:$Y213/'实盘净值数据(iFinD公式)'!$B$65:$Y$65)+SUMPRODUCT(分期持仓明细!$AC$23:$AD$23,'实盘净值数据(iFinD公式)'!$Z213:$AA213/'实盘净值数据(iFinD公式)'!$Z$65:$AA$65))*(1-实盘持仓配置!$AM$7)^(('实盘净值数据(iFinD公式)'!$A213-'实盘净值数据(iFinD公式)'!$A$8)/365))</f>
        <v/>
      </c>
      <c r="L213" s="16" t="str">
        <f t="shared" si="32"/>
        <v/>
      </c>
      <c r="M213" s="16" t="str">
        <f>IF(K213="","",K213/MAX(K$5:K213)-1)</f>
        <v/>
      </c>
      <c r="N213" s="13" t="str">
        <f>IF(OR('实盘净值数据(iFinD公式)'!$A213="",'实盘净值数据(iFinD公式)'!$B213="",'实盘净值数据(iFinD公式)'!$Z213="",'实盘净值数据(iFinD公式)'!$AA213=""),"",分期持仓明细!$AB$24*(SUMPRODUCT(分期持仓明细!$B$24:$Y$24,'实盘净值数据(iFinD公式)'!$B213:$Y213/'实盘净值数据(iFinD公式)'!$B$65:$Y$65)+SUMPRODUCT(分期持仓明细!$AC$24:$AD$24,'实盘净值数据(iFinD公式)'!$Z213:$AA213/'实盘净值数据(iFinD公式)'!$Z$65:$AA$65))*(1-实盘持仓配置!$AM$8)^(('实盘净值数据(iFinD公式)'!$A213-'实盘净值数据(iFinD公式)'!$A$5)/365))</f>
        <v/>
      </c>
      <c r="O213" s="16" t="str">
        <f t="shared" si="33"/>
        <v/>
      </c>
      <c r="P213" s="16" t="str">
        <f>IF(N213="","",N213/MAX(N$5:N213)-1)</f>
        <v/>
      </c>
      <c r="Q213" s="13" t="str">
        <f>IF(OR('实盘净值数据(iFinD公式)'!$A213="",'实盘净值数据(iFinD公式)'!$B213="",'实盘净值数据(iFinD公式)'!$Z213="",'实盘净值数据(iFinD公式)'!$AA213=""),"",分期持仓明细!$AB$25*(SUMPRODUCT(分期持仓明细!$B$25:$Y$25,'实盘净值数据(iFinD公式)'!$B213:$Y213/'实盘净值数据(iFinD公式)'!$B$65:$Y$65)+SUMPRODUCT(分期持仓明细!$AC$25:$AD$25,'实盘净值数据(iFinD公式)'!$Z213:$AA213/'实盘净值数据(iFinD公式)'!$Z$65:$AA$65))*(1-实盘持仓配置!$AM$9)^(('实盘净值数据(iFinD公式)'!$A213-'实盘净值数据(iFinD公式)'!$A$8)/365))</f>
        <v/>
      </c>
      <c r="R213" s="16" t="str">
        <f t="shared" si="34"/>
        <v/>
      </c>
      <c r="S213" s="16" t="str">
        <f>IF(Q213="","",Q213/MAX(Q$5:Q213)-1)</f>
        <v/>
      </c>
      <c r="T213" s="13" t="str">
        <f>IF(OR('实盘净值数据(iFinD公式)'!$A213="",'实盘净值数据(iFinD公式)'!$B213="",'实盘净值数据(iFinD公式)'!$Z213="",'实盘净值数据(iFinD公式)'!$AA213="",'实盘净值数据(iFinD公式)'!$AB213="",'实盘净值数据(iFinD公式)'!$AL213=""),"",(SUMPRODUCT(分期持仓明细!$B$26:$Y$26,'实盘净值数据(iFinD公式)'!$B213:$Y213/'实盘净值数据(iFinD公式)'!$B$69:$Y$69)+SUMPRODUCT(分期持仓明细!$AC$26:$AD$26,'实盘净值数据(iFinD公式)'!$Z213:$AA213/'实盘净值数据(iFinD公式)'!$Z$69:$AA$69)+SUMPRODUCT(分期持仓明细!$AE$26:$AO$26,'实盘净值数据(iFinD公式)'!$AB213:$AL213/'实盘净值数据(iFinD公式)'!$AB$69:$AL$69))*(1-实盘持仓配置!$AM$10)^(('实盘净值数据(iFinD公式)'!$A213-'实盘净值数据(iFinD公式)'!$A$69)/365))</f>
        <v/>
      </c>
      <c r="U213" s="16" t="str">
        <f t="shared" si="28"/>
        <v/>
      </c>
      <c r="V213" s="16" t="str">
        <f>IF(T213="","",T213/MAX(T$5:T213)-1)</f>
        <v/>
      </c>
    </row>
    <row r="214" spans="1:22">
      <c r="A214" s="15" t="str">
        <f>IF('实盘净值数据(iFinD公式)'!A214="","",'实盘净值数据(iFinD公式)'!A214)</f>
        <v/>
      </c>
      <c r="B214" s="13" t="str">
        <f>IF(OR('实盘净值数据(iFinD公式)'!$A214="",'实盘净值数据(iFinD公式)'!$B214=""),"",分期持仓明细!$AB$17*SUMPRODUCT(分期持仓明细!$B$17:$Y$17,'实盘净值数据(iFinD公式)'!$B214:$Y214/'实盘净值数据(iFinD公式)'!$B$20:$Y$20)*(1-实盘持仓配置!$AM$4)^(('实盘净值数据(iFinD公式)'!$A214-'实盘净值数据(iFinD公式)'!$A$6)/365))</f>
        <v/>
      </c>
      <c r="C214" s="16" t="str">
        <f t="shared" si="29"/>
        <v/>
      </c>
      <c r="D214" s="16" t="str">
        <f>IF(B214="","",B214/MAX(B$5:B214)-1)</f>
        <v/>
      </c>
      <c r="E214" s="13" t="str">
        <f>IF(OR('实盘净值数据(iFinD公式)'!$A214="",'实盘净值数据(iFinD公式)'!$B214=""),"",分期持仓明细!$AB$18*SUMPRODUCT(分期持仓明细!$B$18:$Y$18,'实盘净值数据(iFinD公式)'!$B214:$Y214/'实盘净值数据(iFinD公式)'!$B$20:$Y$20)*(1-实盘持仓配置!$AM$5)^(('实盘净值数据(iFinD公式)'!$A214-'实盘净值数据(iFinD公式)'!$A$5)/365))</f>
        <v/>
      </c>
      <c r="F214" s="16" t="str">
        <f t="shared" si="30"/>
        <v/>
      </c>
      <c r="G214" s="16" t="str">
        <f>IF(E214="","",E214/MAX(E$5:E214)-1)</f>
        <v/>
      </c>
      <c r="H214" s="13" t="str">
        <f>IF(OR('实盘净值数据(iFinD公式)'!$A214="",'实盘净值数据(iFinD公式)'!$B214=""),"",分期持仓明细!$AB$19*SUMPRODUCT(分期持仓明细!$B$19:$Y$19,'实盘净值数据(iFinD公式)'!$B214:$Y214/'实盘净值数据(iFinD公式)'!$B$20:$Y$20)*(1-实盘持仓配置!$AM$6)^(('实盘净值数据(iFinD公式)'!$A214-'实盘净值数据(iFinD公式)'!$A$7)/365))</f>
        <v/>
      </c>
      <c r="I214" s="16" t="str">
        <f t="shared" si="31"/>
        <v/>
      </c>
      <c r="J214" s="16" t="str">
        <f>IF(H214="","",H214/MAX(H$5:H214)-1)</f>
        <v/>
      </c>
      <c r="K214" s="13" t="str">
        <f>IF(OR('实盘净值数据(iFinD公式)'!$A214="",'实盘净值数据(iFinD公式)'!$B214="",'实盘净值数据(iFinD公式)'!$Z214="",'实盘净值数据(iFinD公式)'!$AA214=""),"",分期持仓明细!$AB$23*(SUMPRODUCT(分期持仓明细!$B$23:$Y$23,'实盘净值数据(iFinD公式)'!$B214:$Y214/'实盘净值数据(iFinD公式)'!$B$65:$Y$65)+SUMPRODUCT(分期持仓明细!$AC$23:$AD$23,'实盘净值数据(iFinD公式)'!$Z214:$AA214/'实盘净值数据(iFinD公式)'!$Z$65:$AA$65))*(1-实盘持仓配置!$AM$7)^(('实盘净值数据(iFinD公式)'!$A214-'实盘净值数据(iFinD公式)'!$A$8)/365))</f>
        <v/>
      </c>
      <c r="L214" s="16" t="str">
        <f t="shared" si="32"/>
        <v/>
      </c>
      <c r="M214" s="16" t="str">
        <f>IF(K214="","",K214/MAX(K$5:K214)-1)</f>
        <v/>
      </c>
      <c r="N214" s="13" t="str">
        <f>IF(OR('实盘净值数据(iFinD公式)'!$A214="",'实盘净值数据(iFinD公式)'!$B214="",'实盘净值数据(iFinD公式)'!$Z214="",'实盘净值数据(iFinD公式)'!$AA214=""),"",分期持仓明细!$AB$24*(SUMPRODUCT(分期持仓明细!$B$24:$Y$24,'实盘净值数据(iFinD公式)'!$B214:$Y214/'实盘净值数据(iFinD公式)'!$B$65:$Y$65)+SUMPRODUCT(分期持仓明细!$AC$24:$AD$24,'实盘净值数据(iFinD公式)'!$Z214:$AA214/'实盘净值数据(iFinD公式)'!$Z$65:$AA$65))*(1-实盘持仓配置!$AM$8)^(('实盘净值数据(iFinD公式)'!$A214-'实盘净值数据(iFinD公式)'!$A$5)/365))</f>
        <v/>
      </c>
      <c r="O214" s="16" t="str">
        <f t="shared" si="33"/>
        <v/>
      </c>
      <c r="P214" s="16" t="str">
        <f>IF(N214="","",N214/MAX(N$5:N214)-1)</f>
        <v/>
      </c>
      <c r="Q214" s="13" t="str">
        <f>IF(OR('实盘净值数据(iFinD公式)'!$A214="",'实盘净值数据(iFinD公式)'!$B214="",'实盘净值数据(iFinD公式)'!$Z214="",'实盘净值数据(iFinD公式)'!$AA214=""),"",分期持仓明细!$AB$25*(SUMPRODUCT(分期持仓明细!$B$25:$Y$25,'实盘净值数据(iFinD公式)'!$B214:$Y214/'实盘净值数据(iFinD公式)'!$B$65:$Y$65)+SUMPRODUCT(分期持仓明细!$AC$25:$AD$25,'实盘净值数据(iFinD公式)'!$Z214:$AA214/'实盘净值数据(iFinD公式)'!$Z$65:$AA$65))*(1-实盘持仓配置!$AM$9)^(('实盘净值数据(iFinD公式)'!$A214-'实盘净值数据(iFinD公式)'!$A$8)/365))</f>
        <v/>
      </c>
      <c r="R214" s="16" t="str">
        <f t="shared" si="34"/>
        <v/>
      </c>
      <c r="S214" s="16" t="str">
        <f>IF(Q214="","",Q214/MAX(Q$5:Q214)-1)</f>
        <v/>
      </c>
      <c r="T214" s="13" t="str">
        <f>IF(OR('实盘净值数据(iFinD公式)'!$A214="",'实盘净值数据(iFinD公式)'!$B214="",'实盘净值数据(iFinD公式)'!$Z214="",'实盘净值数据(iFinD公式)'!$AA214="",'实盘净值数据(iFinD公式)'!$AB214="",'实盘净值数据(iFinD公式)'!$AL214=""),"",(SUMPRODUCT(分期持仓明细!$B$26:$Y$26,'实盘净值数据(iFinD公式)'!$B214:$Y214/'实盘净值数据(iFinD公式)'!$B$69:$Y$69)+SUMPRODUCT(分期持仓明细!$AC$26:$AD$26,'实盘净值数据(iFinD公式)'!$Z214:$AA214/'实盘净值数据(iFinD公式)'!$Z$69:$AA$69)+SUMPRODUCT(分期持仓明细!$AE$26:$AO$26,'实盘净值数据(iFinD公式)'!$AB214:$AL214/'实盘净值数据(iFinD公式)'!$AB$69:$AL$69))*(1-实盘持仓配置!$AM$10)^(('实盘净值数据(iFinD公式)'!$A214-'实盘净值数据(iFinD公式)'!$A$69)/365))</f>
        <v/>
      </c>
      <c r="U214" s="16" t="str">
        <f t="shared" si="28"/>
        <v/>
      </c>
      <c r="V214" s="16" t="str">
        <f>IF(T214="","",T214/MAX(T$5:T214)-1)</f>
        <v/>
      </c>
    </row>
    <row r="215" spans="1:22">
      <c r="A215" s="15" t="str">
        <f>IF('实盘净值数据(iFinD公式)'!A215="","",'实盘净值数据(iFinD公式)'!A215)</f>
        <v/>
      </c>
      <c r="B215" s="13" t="str">
        <f>IF(OR('实盘净值数据(iFinD公式)'!$A215="",'实盘净值数据(iFinD公式)'!$B215=""),"",分期持仓明细!$AB$17*SUMPRODUCT(分期持仓明细!$B$17:$Y$17,'实盘净值数据(iFinD公式)'!$B215:$Y215/'实盘净值数据(iFinD公式)'!$B$20:$Y$20)*(1-实盘持仓配置!$AM$4)^(('实盘净值数据(iFinD公式)'!$A215-'实盘净值数据(iFinD公式)'!$A$6)/365))</f>
        <v/>
      </c>
      <c r="C215" s="16" t="str">
        <f t="shared" si="29"/>
        <v/>
      </c>
      <c r="D215" s="16" t="str">
        <f>IF(B215="","",B215/MAX(B$5:B215)-1)</f>
        <v/>
      </c>
      <c r="E215" s="13" t="str">
        <f>IF(OR('实盘净值数据(iFinD公式)'!$A215="",'实盘净值数据(iFinD公式)'!$B215=""),"",分期持仓明细!$AB$18*SUMPRODUCT(分期持仓明细!$B$18:$Y$18,'实盘净值数据(iFinD公式)'!$B215:$Y215/'实盘净值数据(iFinD公式)'!$B$20:$Y$20)*(1-实盘持仓配置!$AM$5)^(('实盘净值数据(iFinD公式)'!$A215-'实盘净值数据(iFinD公式)'!$A$5)/365))</f>
        <v/>
      </c>
      <c r="F215" s="16" t="str">
        <f t="shared" si="30"/>
        <v/>
      </c>
      <c r="G215" s="16" t="str">
        <f>IF(E215="","",E215/MAX(E$5:E215)-1)</f>
        <v/>
      </c>
      <c r="H215" s="13" t="str">
        <f>IF(OR('实盘净值数据(iFinD公式)'!$A215="",'实盘净值数据(iFinD公式)'!$B215=""),"",分期持仓明细!$AB$19*SUMPRODUCT(分期持仓明细!$B$19:$Y$19,'实盘净值数据(iFinD公式)'!$B215:$Y215/'实盘净值数据(iFinD公式)'!$B$20:$Y$20)*(1-实盘持仓配置!$AM$6)^(('实盘净值数据(iFinD公式)'!$A215-'实盘净值数据(iFinD公式)'!$A$7)/365))</f>
        <v/>
      </c>
      <c r="I215" s="16" t="str">
        <f t="shared" si="31"/>
        <v/>
      </c>
      <c r="J215" s="16" t="str">
        <f>IF(H215="","",H215/MAX(H$5:H215)-1)</f>
        <v/>
      </c>
      <c r="K215" s="13" t="str">
        <f>IF(OR('实盘净值数据(iFinD公式)'!$A215="",'实盘净值数据(iFinD公式)'!$B215="",'实盘净值数据(iFinD公式)'!$Z215="",'实盘净值数据(iFinD公式)'!$AA215=""),"",分期持仓明细!$AB$23*(SUMPRODUCT(分期持仓明细!$B$23:$Y$23,'实盘净值数据(iFinD公式)'!$B215:$Y215/'实盘净值数据(iFinD公式)'!$B$65:$Y$65)+SUMPRODUCT(分期持仓明细!$AC$23:$AD$23,'实盘净值数据(iFinD公式)'!$Z215:$AA215/'实盘净值数据(iFinD公式)'!$Z$65:$AA$65))*(1-实盘持仓配置!$AM$7)^(('实盘净值数据(iFinD公式)'!$A215-'实盘净值数据(iFinD公式)'!$A$8)/365))</f>
        <v/>
      </c>
      <c r="L215" s="16" t="str">
        <f t="shared" si="32"/>
        <v/>
      </c>
      <c r="M215" s="16" t="str">
        <f>IF(K215="","",K215/MAX(K$5:K215)-1)</f>
        <v/>
      </c>
      <c r="N215" s="13" t="str">
        <f>IF(OR('实盘净值数据(iFinD公式)'!$A215="",'实盘净值数据(iFinD公式)'!$B215="",'实盘净值数据(iFinD公式)'!$Z215="",'实盘净值数据(iFinD公式)'!$AA215=""),"",分期持仓明细!$AB$24*(SUMPRODUCT(分期持仓明细!$B$24:$Y$24,'实盘净值数据(iFinD公式)'!$B215:$Y215/'实盘净值数据(iFinD公式)'!$B$65:$Y$65)+SUMPRODUCT(分期持仓明细!$AC$24:$AD$24,'实盘净值数据(iFinD公式)'!$Z215:$AA215/'实盘净值数据(iFinD公式)'!$Z$65:$AA$65))*(1-实盘持仓配置!$AM$8)^(('实盘净值数据(iFinD公式)'!$A215-'实盘净值数据(iFinD公式)'!$A$5)/365))</f>
        <v/>
      </c>
      <c r="O215" s="16" t="str">
        <f t="shared" si="33"/>
        <v/>
      </c>
      <c r="P215" s="16" t="str">
        <f>IF(N215="","",N215/MAX(N$5:N215)-1)</f>
        <v/>
      </c>
      <c r="Q215" s="13" t="str">
        <f>IF(OR('实盘净值数据(iFinD公式)'!$A215="",'实盘净值数据(iFinD公式)'!$B215="",'实盘净值数据(iFinD公式)'!$Z215="",'实盘净值数据(iFinD公式)'!$AA215=""),"",分期持仓明细!$AB$25*(SUMPRODUCT(分期持仓明细!$B$25:$Y$25,'实盘净值数据(iFinD公式)'!$B215:$Y215/'实盘净值数据(iFinD公式)'!$B$65:$Y$65)+SUMPRODUCT(分期持仓明细!$AC$25:$AD$25,'实盘净值数据(iFinD公式)'!$Z215:$AA215/'实盘净值数据(iFinD公式)'!$Z$65:$AA$65))*(1-实盘持仓配置!$AM$9)^(('实盘净值数据(iFinD公式)'!$A215-'实盘净值数据(iFinD公式)'!$A$8)/365))</f>
        <v/>
      </c>
      <c r="R215" s="16" t="str">
        <f t="shared" si="34"/>
        <v/>
      </c>
      <c r="S215" s="16" t="str">
        <f>IF(Q215="","",Q215/MAX(Q$5:Q215)-1)</f>
        <v/>
      </c>
      <c r="T215" s="13" t="str">
        <f>IF(OR('实盘净值数据(iFinD公式)'!$A215="",'实盘净值数据(iFinD公式)'!$B215="",'实盘净值数据(iFinD公式)'!$Z215="",'实盘净值数据(iFinD公式)'!$AA215="",'实盘净值数据(iFinD公式)'!$AB215="",'实盘净值数据(iFinD公式)'!$AL215=""),"",(SUMPRODUCT(分期持仓明细!$B$26:$Y$26,'实盘净值数据(iFinD公式)'!$B215:$Y215/'实盘净值数据(iFinD公式)'!$B$69:$Y$69)+SUMPRODUCT(分期持仓明细!$AC$26:$AD$26,'实盘净值数据(iFinD公式)'!$Z215:$AA215/'实盘净值数据(iFinD公式)'!$Z$69:$AA$69)+SUMPRODUCT(分期持仓明细!$AE$26:$AO$26,'实盘净值数据(iFinD公式)'!$AB215:$AL215/'实盘净值数据(iFinD公式)'!$AB$69:$AL$69))*(1-实盘持仓配置!$AM$10)^(('实盘净值数据(iFinD公式)'!$A215-'实盘净值数据(iFinD公式)'!$A$69)/365))</f>
        <v/>
      </c>
      <c r="U215" s="16" t="str">
        <f t="shared" si="28"/>
        <v/>
      </c>
      <c r="V215" s="16" t="str">
        <f>IF(T215="","",T215/MAX(T$5:T215)-1)</f>
        <v/>
      </c>
    </row>
    <row r="216" spans="1:22">
      <c r="A216" s="15" t="str">
        <f>IF('实盘净值数据(iFinD公式)'!A216="","",'实盘净值数据(iFinD公式)'!A216)</f>
        <v/>
      </c>
      <c r="B216" s="13" t="str">
        <f>IF(OR('实盘净值数据(iFinD公式)'!$A216="",'实盘净值数据(iFinD公式)'!$B216=""),"",分期持仓明细!$AB$17*SUMPRODUCT(分期持仓明细!$B$17:$Y$17,'实盘净值数据(iFinD公式)'!$B216:$Y216/'实盘净值数据(iFinD公式)'!$B$20:$Y$20)*(1-实盘持仓配置!$AM$4)^(('实盘净值数据(iFinD公式)'!$A216-'实盘净值数据(iFinD公式)'!$A$6)/365))</f>
        <v/>
      </c>
      <c r="C216" s="16" t="str">
        <f t="shared" si="29"/>
        <v/>
      </c>
      <c r="D216" s="16" t="str">
        <f>IF(B216="","",B216/MAX(B$5:B216)-1)</f>
        <v/>
      </c>
      <c r="E216" s="13" t="str">
        <f>IF(OR('实盘净值数据(iFinD公式)'!$A216="",'实盘净值数据(iFinD公式)'!$B216=""),"",分期持仓明细!$AB$18*SUMPRODUCT(分期持仓明细!$B$18:$Y$18,'实盘净值数据(iFinD公式)'!$B216:$Y216/'实盘净值数据(iFinD公式)'!$B$20:$Y$20)*(1-实盘持仓配置!$AM$5)^(('实盘净值数据(iFinD公式)'!$A216-'实盘净值数据(iFinD公式)'!$A$5)/365))</f>
        <v/>
      </c>
      <c r="F216" s="16" t="str">
        <f t="shared" si="30"/>
        <v/>
      </c>
      <c r="G216" s="16" t="str">
        <f>IF(E216="","",E216/MAX(E$5:E216)-1)</f>
        <v/>
      </c>
      <c r="H216" s="13" t="str">
        <f>IF(OR('实盘净值数据(iFinD公式)'!$A216="",'实盘净值数据(iFinD公式)'!$B216=""),"",分期持仓明细!$AB$19*SUMPRODUCT(分期持仓明细!$B$19:$Y$19,'实盘净值数据(iFinD公式)'!$B216:$Y216/'实盘净值数据(iFinD公式)'!$B$20:$Y$20)*(1-实盘持仓配置!$AM$6)^(('实盘净值数据(iFinD公式)'!$A216-'实盘净值数据(iFinD公式)'!$A$7)/365))</f>
        <v/>
      </c>
      <c r="I216" s="16" t="str">
        <f t="shared" si="31"/>
        <v/>
      </c>
      <c r="J216" s="16" t="str">
        <f>IF(H216="","",H216/MAX(H$5:H216)-1)</f>
        <v/>
      </c>
      <c r="K216" s="13" t="str">
        <f>IF(OR('实盘净值数据(iFinD公式)'!$A216="",'实盘净值数据(iFinD公式)'!$B216="",'实盘净值数据(iFinD公式)'!$Z216="",'实盘净值数据(iFinD公式)'!$AA216=""),"",分期持仓明细!$AB$23*(SUMPRODUCT(分期持仓明细!$B$23:$Y$23,'实盘净值数据(iFinD公式)'!$B216:$Y216/'实盘净值数据(iFinD公式)'!$B$65:$Y$65)+SUMPRODUCT(分期持仓明细!$AC$23:$AD$23,'实盘净值数据(iFinD公式)'!$Z216:$AA216/'实盘净值数据(iFinD公式)'!$Z$65:$AA$65))*(1-实盘持仓配置!$AM$7)^(('实盘净值数据(iFinD公式)'!$A216-'实盘净值数据(iFinD公式)'!$A$8)/365))</f>
        <v/>
      </c>
      <c r="L216" s="16" t="str">
        <f t="shared" si="32"/>
        <v/>
      </c>
      <c r="M216" s="16" t="str">
        <f>IF(K216="","",K216/MAX(K$5:K216)-1)</f>
        <v/>
      </c>
      <c r="N216" s="13" t="str">
        <f>IF(OR('实盘净值数据(iFinD公式)'!$A216="",'实盘净值数据(iFinD公式)'!$B216="",'实盘净值数据(iFinD公式)'!$Z216="",'实盘净值数据(iFinD公式)'!$AA216=""),"",分期持仓明细!$AB$24*(SUMPRODUCT(分期持仓明细!$B$24:$Y$24,'实盘净值数据(iFinD公式)'!$B216:$Y216/'实盘净值数据(iFinD公式)'!$B$65:$Y$65)+SUMPRODUCT(分期持仓明细!$AC$24:$AD$24,'实盘净值数据(iFinD公式)'!$Z216:$AA216/'实盘净值数据(iFinD公式)'!$Z$65:$AA$65))*(1-实盘持仓配置!$AM$8)^(('实盘净值数据(iFinD公式)'!$A216-'实盘净值数据(iFinD公式)'!$A$5)/365))</f>
        <v/>
      </c>
      <c r="O216" s="16" t="str">
        <f t="shared" si="33"/>
        <v/>
      </c>
      <c r="P216" s="16" t="str">
        <f>IF(N216="","",N216/MAX(N$5:N216)-1)</f>
        <v/>
      </c>
      <c r="Q216" s="13" t="str">
        <f>IF(OR('实盘净值数据(iFinD公式)'!$A216="",'实盘净值数据(iFinD公式)'!$B216="",'实盘净值数据(iFinD公式)'!$Z216="",'实盘净值数据(iFinD公式)'!$AA216=""),"",分期持仓明细!$AB$25*(SUMPRODUCT(分期持仓明细!$B$25:$Y$25,'实盘净值数据(iFinD公式)'!$B216:$Y216/'实盘净值数据(iFinD公式)'!$B$65:$Y$65)+SUMPRODUCT(分期持仓明细!$AC$25:$AD$25,'实盘净值数据(iFinD公式)'!$Z216:$AA216/'实盘净值数据(iFinD公式)'!$Z$65:$AA$65))*(1-实盘持仓配置!$AM$9)^(('实盘净值数据(iFinD公式)'!$A216-'实盘净值数据(iFinD公式)'!$A$8)/365))</f>
        <v/>
      </c>
      <c r="R216" s="16" t="str">
        <f t="shared" si="34"/>
        <v/>
      </c>
      <c r="S216" s="16" t="str">
        <f>IF(Q216="","",Q216/MAX(Q$5:Q216)-1)</f>
        <v/>
      </c>
      <c r="T216" s="13" t="str">
        <f>IF(OR('实盘净值数据(iFinD公式)'!$A216="",'实盘净值数据(iFinD公式)'!$B216="",'实盘净值数据(iFinD公式)'!$Z216="",'实盘净值数据(iFinD公式)'!$AA216="",'实盘净值数据(iFinD公式)'!$AB216="",'实盘净值数据(iFinD公式)'!$AL216=""),"",(SUMPRODUCT(分期持仓明细!$B$26:$Y$26,'实盘净值数据(iFinD公式)'!$B216:$Y216/'实盘净值数据(iFinD公式)'!$B$69:$Y$69)+SUMPRODUCT(分期持仓明细!$AC$26:$AD$26,'实盘净值数据(iFinD公式)'!$Z216:$AA216/'实盘净值数据(iFinD公式)'!$Z$69:$AA$69)+SUMPRODUCT(分期持仓明细!$AE$26:$AO$26,'实盘净值数据(iFinD公式)'!$AB216:$AL216/'实盘净值数据(iFinD公式)'!$AB$69:$AL$69))*(1-实盘持仓配置!$AM$10)^(('实盘净值数据(iFinD公式)'!$A216-'实盘净值数据(iFinD公式)'!$A$69)/365))</f>
        <v/>
      </c>
      <c r="U216" s="16" t="str">
        <f t="shared" si="28"/>
        <v/>
      </c>
      <c r="V216" s="16" t="str">
        <f>IF(T216="","",T216/MAX(T$5:T216)-1)</f>
        <v/>
      </c>
    </row>
    <row r="217" spans="1:22">
      <c r="A217" s="15" t="str">
        <f>IF('实盘净值数据(iFinD公式)'!A217="","",'实盘净值数据(iFinD公式)'!A217)</f>
        <v/>
      </c>
      <c r="B217" s="13" t="str">
        <f>IF(OR('实盘净值数据(iFinD公式)'!$A217="",'实盘净值数据(iFinD公式)'!$B217=""),"",分期持仓明细!$AB$17*SUMPRODUCT(分期持仓明细!$B$17:$Y$17,'实盘净值数据(iFinD公式)'!$B217:$Y217/'实盘净值数据(iFinD公式)'!$B$20:$Y$20)*(1-实盘持仓配置!$AM$4)^(('实盘净值数据(iFinD公式)'!$A217-'实盘净值数据(iFinD公式)'!$A$6)/365))</f>
        <v/>
      </c>
      <c r="C217" s="16" t="str">
        <f t="shared" si="29"/>
        <v/>
      </c>
      <c r="D217" s="16" t="str">
        <f>IF(B217="","",B217/MAX(B$5:B217)-1)</f>
        <v/>
      </c>
      <c r="E217" s="13" t="str">
        <f>IF(OR('实盘净值数据(iFinD公式)'!$A217="",'实盘净值数据(iFinD公式)'!$B217=""),"",分期持仓明细!$AB$18*SUMPRODUCT(分期持仓明细!$B$18:$Y$18,'实盘净值数据(iFinD公式)'!$B217:$Y217/'实盘净值数据(iFinD公式)'!$B$20:$Y$20)*(1-实盘持仓配置!$AM$5)^(('实盘净值数据(iFinD公式)'!$A217-'实盘净值数据(iFinD公式)'!$A$5)/365))</f>
        <v/>
      </c>
      <c r="F217" s="16" t="str">
        <f t="shared" si="30"/>
        <v/>
      </c>
      <c r="G217" s="16" t="str">
        <f>IF(E217="","",E217/MAX(E$5:E217)-1)</f>
        <v/>
      </c>
      <c r="H217" s="13" t="str">
        <f>IF(OR('实盘净值数据(iFinD公式)'!$A217="",'实盘净值数据(iFinD公式)'!$B217=""),"",分期持仓明细!$AB$19*SUMPRODUCT(分期持仓明细!$B$19:$Y$19,'实盘净值数据(iFinD公式)'!$B217:$Y217/'实盘净值数据(iFinD公式)'!$B$20:$Y$20)*(1-实盘持仓配置!$AM$6)^(('实盘净值数据(iFinD公式)'!$A217-'实盘净值数据(iFinD公式)'!$A$7)/365))</f>
        <v/>
      </c>
      <c r="I217" s="16" t="str">
        <f t="shared" si="31"/>
        <v/>
      </c>
      <c r="J217" s="16" t="str">
        <f>IF(H217="","",H217/MAX(H$5:H217)-1)</f>
        <v/>
      </c>
      <c r="K217" s="13" t="str">
        <f>IF(OR('实盘净值数据(iFinD公式)'!$A217="",'实盘净值数据(iFinD公式)'!$B217="",'实盘净值数据(iFinD公式)'!$Z217="",'实盘净值数据(iFinD公式)'!$AA217=""),"",分期持仓明细!$AB$23*(SUMPRODUCT(分期持仓明细!$B$23:$Y$23,'实盘净值数据(iFinD公式)'!$B217:$Y217/'实盘净值数据(iFinD公式)'!$B$65:$Y$65)+SUMPRODUCT(分期持仓明细!$AC$23:$AD$23,'实盘净值数据(iFinD公式)'!$Z217:$AA217/'实盘净值数据(iFinD公式)'!$Z$65:$AA$65))*(1-实盘持仓配置!$AM$7)^(('实盘净值数据(iFinD公式)'!$A217-'实盘净值数据(iFinD公式)'!$A$8)/365))</f>
        <v/>
      </c>
      <c r="L217" s="16" t="str">
        <f t="shared" si="32"/>
        <v/>
      </c>
      <c r="M217" s="16" t="str">
        <f>IF(K217="","",K217/MAX(K$5:K217)-1)</f>
        <v/>
      </c>
      <c r="N217" s="13" t="str">
        <f>IF(OR('实盘净值数据(iFinD公式)'!$A217="",'实盘净值数据(iFinD公式)'!$B217="",'实盘净值数据(iFinD公式)'!$Z217="",'实盘净值数据(iFinD公式)'!$AA217=""),"",分期持仓明细!$AB$24*(SUMPRODUCT(分期持仓明细!$B$24:$Y$24,'实盘净值数据(iFinD公式)'!$B217:$Y217/'实盘净值数据(iFinD公式)'!$B$65:$Y$65)+SUMPRODUCT(分期持仓明细!$AC$24:$AD$24,'实盘净值数据(iFinD公式)'!$Z217:$AA217/'实盘净值数据(iFinD公式)'!$Z$65:$AA$65))*(1-实盘持仓配置!$AM$8)^(('实盘净值数据(iFinD公式)'!$A217-'实盘净值数据(iFinD公式)'!$A$5)/365))</f>
        <v/>
      </c>
      <c r="O217" s="16" t="str">
        <f t="shared" si="33"/>
        <v/>
      </c>
      <c r="P217" s="16" t="str">
        <f>IF(N217="","",N217/MAX(N$5:N217)-1)</f>
        <v/>
      </c>
      <c r="Q217" s="13" t="str">
        <f>IF(OR('实盘净值数据(iFinD公式)'!$A217="",'实盘净值数据(iFinD公式)'!$B217="",'实盘净值数据(iFinD公式)'!$Z217="",'实盘净值数据(iFinD公式)'!$AA217=""),"",分期持仓明细!$AB$25*(SUMPRODUCT(分期持仓明细!$B$25:$Y$25,'实盘净值数据(iFinD公式)'!$B217:$Y217/'实盘净值数据(iFinD公式)'!$B$65:$Y$65)+SUMPRODUCT(分期持仓明细!$AC$25:$AD$25,'实盘净值数据(iFinD公式)'!$Z217:$AA217/'实盘净值数据(iFinD公式)'!$Z$65:$AA$65))*(1-实盘持仓配置!$AM$9)^(('实盘净值数据(iFinD公式)'!$A217-'实盘净值数据(iFinD公式)'!$A$8)/365))</f>
        <v/>
      </c>
      <c r="R217" s="16" t="str">
        <f t="shared" si="34"/>
        <v/>
      </c>
      <c r="S217" s="16" t="str">
        <f>IF(Q217="","",Q217/MAX(Q$5:Q217)-1)</f>
        <v/>
      </c>
      <c r="T217" s="13" t="str">
        <f>IF(OR('实盘净值数据(iFinD公式)'!$A217="",'实盘净值数据(iFinD公式)'!$B217="",'实盘净值数据(iFinD公式)'!$Z217="",'实盘净值数据(iFinD公式)'!$AA217="",'实盘净值数据(iFinD公式)'!$AB217="",'实盘净值数据(iFinD公式)'!$AL217=""),"",(SUMPRODUCT(分期持仓明细!$B$26:$Y$26,'实盘净值数据(iFinD公式)'!$B217:$Y217/'实盘净值数据(iFinD公式)'!$B$69:$Y$69)+SUMPRODUCT(分期持仓明细!$AC$26:$AD$26,'实盘净值数据(iFinD公式)'!$Z217:$AA217/'实盘净值数据(iFinD公式)'!$Z$69:$AA$69)+SUMPRODUCT(分期持仓明细!$AE$26:$AO$26,'实盘净值数据(iFinD公式)'!$AB217:$AL217/'实盘净值数据(iFinD公式)'!$AB$69:$AL$69))*(1-实盘持仓配置!$AM$10)^(('实盘净值数据(iFinD公式)'!$A217-'实盘净值数据(iFinD公式)'!$A$69)/365))</f>
        <v/>
      </c>
      <c r="U217" s="16" t="str">
        <f t="shared" si="28"/>
        <v/>
      </c>
      <c r="V217" s="16" t="str">
        <f>IF(T217="","",T217/MAX(T$5:T217)-1)</f>
        <v/>
      </c>
    </row>
    <row r="218" spans="1:22">
      <c r="A218" s="15" t="str">
        <f>IF('实盘净值数据(iFinD公式)'!A218="","",'实盘净值数据(iFinD公式)'!A218)</f>
        <v/>
      </c>
      <c r="B218" s="13" t="str">
        <f>IF(OR('实盘净值数据(iFinD公式)'!$A218="",'实盘净值数据(iFinD公式)'!$B218=""),"",分期持仓明细!$AB$17*SUMPRODUCT(分期持仓明细!$B$17:$Y$17,'实盘净值数据(iFinD公式)'!$B218:$Y218/'实盘净值数据(iFinD公式)'!$B$20:$Y$20)*(1-实盘持仓配置!$AM$4)^(('实盘净值数据(iFinD公式)'!$A218-'实盘净值数据(iFinD公式)'!$A$6)/365))</f>
        <v/>
      </c>
      <c r="C218" s="16" t="str">
        <f t="shared" si="29"/>
        <v/>
      </c>
      <c r="D218" s="16" t="str">
        <f>IF(B218="","",B218/MAX(B$5:B218)-1)</f>
        <v/>
      </c>
      <c r="E218" s="13" t="str">
        <f>IF(OR('实盘净值数据(iFinD公式)'!$A218="",'实盘净值数据(iFinD公式)'!$B218=""),"",分期持仓明细!$AB$18*SUMPRODUCT(分期持仓明细!$B$18:$Y$18,'实盘净值数据(iFinD公式)'!$B218:$Y218/'实盘净值数据(iFinD公式)'!$B$20:$Y$20)*(1-实盘持仓配置!$AM$5)^(('实盘净值数据(iFinD公式)'!$A218-'实盘净值数据(iFinD公式)'!$A$5)/365))</f>
        <v/>
      </c>
      <c r="F218" s="16" t="str">
        <f t="shared" si="30"/>
        <v/>
      </c>
      <c r="G218" s="16" t="str">
        <f>IF(E218="","",E218/MAX(E$5:E218)-1)</f>
        <v/>
      </c>
      <c r="H218" s="13" t="str">
        <f>IF(OR('实盘净值数据(iFinD公式)'!$A218="",'实盘净值数据(iFinD公式)'!$B218=""),"",分期持仓明细!$AB$19*SUMPRODUCT(分期持仓明细!$B$19:$Y$19,'实盘净值数据(iFinD公式)'!$B218:$Y218/'实盘净值数据(iFinD公式)'!$B$20:$Y$20)*(1-实盘持仓配置!$AM$6)^(('实盘净值数据(iFinD公式)'!$A218-'实盘净值数据(iFinD公式)'!$A$7)/365))</f>
        <v/>
      </c>
      <c r="I218" s="16" t="str">
        <f t="shared" si="31"/>
        <v/>
      </c>
      <c r="J218" s="16" t="str">
        <f>IF(H218="","",H218/MAX(H$5:H218)-1)</f>
        <v/>
      </c>
      <c r="K218" s="13" t="str">
        <f>IF(OR('实盘净值数据(iFinD公式)'!$A218="",'实盘净值数据(iFinD公式)'!$B218="",'实盘净值数据(iFinD公式)'!$Z218="",'实盘净值数据(iFinD公式)'!$AA218=""),"",分期持仓明细!$AB$23*(SUMPRODUCT(分期持仓明细!$B$23:$Y$23,'实盘净值数据(iFinD公式)'!$B218:$Y218/'实盘净值数据(iFinD公式)'!$B$65:$Y$65)+SUMPRODUCT(分期持仓明细!$AC$23:$AD$23,'实盘净值数据(iFinD公式)'!$Z218:$AA218/'实盘净值数据(iFinD公式)'!$Z$65:$AA$65))*(1-实盘持仓配置!$AM$7)^(('实盘净值数据(iFinD公式)'!$A218-'实盘净值数据(iFinD公式)'!$A$8)/365))</f>
        <v/>
      </c>
      <c r="L218" s="16" t="str">
        <f t="shared" si="32"/>
        <v/>
      </c>
      <c r="M218" s="16" t="str">
        <f>IF(K218="","",K218/MAX(K$5:K218)-1)</f>
        <v/>
      </c>
      <c r="N218" s="13" t="str">
        <f>IF(OR('实盘净值数据(iFinD公式)'!$A218="",'实盘净值数据(iFinD公式)'!$B218="",'实盘净值数据(iFinD公式)'!$Z218="",'实盘净值数据(iFinD公式)'!$AA218=""),"",分期持仓明细!$AB$24*(SUMPRODUCT(分期持仓明细!$B$24:$Y$24,'实盘净值数据(iFinD公式)'!$B218:$Y218/'实盘净值数据(iFinD公式)'!$B$65:$Y$65)+SUMPRODUCT(分期持仓明细!$AC$24:$AD$24,'实盘净值数据(iFinD公式)'!$Z218:$AA218/'实盘净值数据(iFinD公式)'!$Z$65:$AA$65))*(1-实盘持仓配置!$AM$8)^(('实盘净值数据(iFinD公式)'!$A218-'实盘净值数据(iFinD公式)'!$A$5)/365))</f>
        <v/>
      </c>
      <c r="O218" s="16" t="str">
        <f t="shared" si="33"/>
        <v/>
      </c>
      <c r="P218" s="16" t="str">
        <f>IF(N218="","",N218/MAX(N$5:N218)-1)</f>
        <v/>
      </c>
      <c r="Q218" s="13" t="str">
        <f>IF(OR('实盘净值数据(iFinD公式)'!$A218="",'实盘净值数据(iFinD公式)'!$B218="",'实盘净值数据(iFinD公式)'!$Z218="",'实盘净值数据(iFinD公式)'!$AA218=""),"",分期持仓明细!$AB$25*(SUMPRODUCT(分期持仓明细!$B$25:$Y$25,'实盘净值数据(iFinD公式)'!$B218:$Y218/'实盘净值数据(iFinD公式)'!$B$65:$Y$65)+SUMPRODUCT(分期持仓明细!$AC$25:$AD$25,'实盘净值数据(iFinD公式)'!$Z218:$AA218/'实盘净值数据(iFinD公式)'!$Z$65:$AA$65))*(1-实盘持仓配置!$AM$9)^(('实盘净值数据(iFinD公式)'!$A218-'实盘净值数据(iFinD公式)'!$A$8)/365))</f>
        <v/>
      </c>
      <c r="R218" s="16" t="str">
        <f t="shared" si="34"/>
        <v/>
      </c>
      <c r="S218" s="16" t="str">
        <f>IF(Q218="","",Q218/MAX(Q$5:Q218)-1)</f>
        <v/>
      </c>
      <c r="T218" s="13" t="str">
        <f>IF(OR('实盘净值数据(iFinD公式)'!$A218="",'实盘净值数据(iFinD公式)'!$B218="",'实盘净值数据(iFinD公式)'!$Z218="",'实盘净值数据(iFinD公式)'!$AA218="",'实盘净值数据(iFinD公式)'!$AB218="",'实盘净值数据(iFinD公式)'!$AL218=""),"",(SUMPRODUCT(分期持仓明细!$B$26:$Y$26,'实盘净值数据(iFinD公式)'!$B218:$Y218/'实盘净值数据(iFinD公式)'!$B$69:$Y$69)+SUMPRODUCT(分期持仓明细!$AC$26:$AD$26,'实盘净值数据(iFinD公式)'!$Z218:$AA218/'实盘净值数据(iFinD公式)'!$Z$69:$AA$69)+SUMPRODUCT(分期持仓明细!$AE$26:$AO$26,'实盘净值数据(iFinD公式)'!$AB218:$AL218/'实盘净值数据(iFinD公式)'!$AB$69:$AL$69))*(1-实盘持仓配置!$AM$10)^(('实盘净值数据(iFinD公式)'!$A218-'实盘净值数据(iFinD公式)'!$A$69)/365))</f>
        <v/>
      </c>
      <c r="U218" s="16" t="str">
        <f t="shared" si="28"/>
        <v/>
      </c>
      <c r="V218" s="16" t="str">
        <f>IF(T218="","",T218/MAX(T$5:T218)-1)</f>
        <v/>
      </c>
    </row>
    <row r="219" spans="1:22">
      <c r="A219" s="15" t="str">
        <f>IF('实盘净值数据(iFinD公式)'!A219="","",'实盘净值数据(iFinD公式)'!A219)</f>
        <v/>
      </c>
      <c r="B219" s="13" t="str">
        <f>IF(OR('实盘净值数据(iFinD公式)'!$A219="",'实盘净值数据(iFinD公式)'!$B219=""),"",分期持仓明细!$AB$17*SUMPRODUCT(分期持仓明细!$B$17:$Y$17,'实盘净值数据(iFinD公式)'!$B219:$Y219/'实盘净值数据(iFinD公式)'!$B$20:$Y$20)*(1-实盘持仓配置!$AM$4)^(('实盘净值数据(iFinD公式)'!$A219-'实盘净值数据(iFinD公式)'!$A$6)/365))</f>
        <v/>
      </c>
      <c r="C219" s="16" t="str">
        <f t="shared" si="29"/>
        <v/>
      </c>
      <c r="D219" s="16" t="str">
        <f>IF(B219="","",B219/MAX(B$5:B219)-1)</f>
        <v/>
      </c>
      <c r="E219" s="13" t="str">
        <f>IF(OR('实盘净值数据(iFinD公式)'!$A219="",'实盘净值数据(iFinD公式)'!$B219=""),"",分期持仓明细!$AB$18*SUMPRODUCT(分期持仓明细!$B$18:$Y$18,'实盘净值数据(iFinD公式)'!$B219:$Y219/'实盘净值数据(iFinD公式)'!$B$20:$Y$20)*(1-实盘持仓配置!$AM$5)^(('实盘净值数据(iFinD公式)'!$A219-'实盘净值数据(iFinD公式)'!$A$5)/365))</f>
        <v/>
      </c>
      <c r="F219" s="16" t="str">
        <f t="shared" si="30"/>
        <v/>
      </c>
      <c r="G219" s="16" t="str">
        <f>IF(E219="","",E219/MAX(E$5:E219)-1)</f>
        <v/>
      </c>
      <c r="H219" s="13" t="str">
        <f>IF(OR('实盘净值数据(iFinD公式)'!$A219="",'实盘净值数据(iFinD公式)'!$B219=""),"",分期持仓明细!$AB$19*SUMPRODUCT(分期持仓明细!$B$19:$Y$19,'实盘净值数据(iFinD公式)'!$B219:$Y219/'实盘净值数据(iFinD公式)'!$B$20:$Y$20)*(1-实盘持仓配置!$AM$6)^(('实盘净值数据(iFinD公式)'!$A219-'实盘净值数据(iFinD公式)'!$A$7)/365))</f>
        <v/>
      </c>
      <c r="I219" s="16" t="str">
        <f t="shared" si="31"/>
        <v/>
      </c>
      <c r="J219" s="16" t="str">
        <f>IF(H219="","",H219/MAX(H$5:H219)-1)</f>
        <v/>
      </c>
      <c r="K219" s="13" t="str">
        <f>IF(OR('实盘净值数据(iFinD公式)'!$A219="",'实盘净值数据(iFinD公式)'!$B219="",'实盘净值数据(iFinD公式)'!$Z219="",'实盘净值数据(iFinD公式)'!$AA219=""),"",分期持仓明细!$AB$23*(SUMPRODUCT(分期持仓明细!$B$23:$Y$23,'实盘净值数据(iFinD公式)'!$B219:$Y219/'实盘净值数据(iFinD公式)'!$B$65:$Y$65)+SUMPRODUCT(分期持仓明细!$AC$23:$AD$23,'实盘净值数据(iFinD公式)'!$Z219:$AA219/'实盘净值数据(iFinD公式)'!$Z$65:$AA$65))*(1-实盘持仓配置!$AM$7)^(('实盘净值数据(iFinD公式)'!$A219-'实盘净值数据(iFinD公式)'!$A$8)/365))</f>
        <v/>
      </c>
      <c r="L219" s="16" t="str">
        <f t="shared" si="32"/>
        <v/>
      </c>
      <c r="M219" s="16" t="str">
        <f>IF(K219="","",K219/MAX(K$5:K219)-1)</f>
        <v/>
      </c>
      <c r="N219" s="13" t="str">
        <f>IF(OR('实盘净值数据(iFinD公式)'!$A219="",'实盘净值数据(iFinD公式)'!$B219="",'实盘净值数据(iFinD公式)'!$Z219="",'实盘净值数据(iFinD公式)'!$AA219=""),"",分期持仓明细!$AB$24*(SUMPRODUCT(分期持仓明细!$B$24:$Y$24,'实盘净值数据(iFinD公式)'!$B219:$Y219/'实盘净值数据(iFinD公式)'!$B$65:$Y$65)+SUMPRODUCT(分期持仓明细!$AC$24:$AD$24,'实盘净值数据(iFinD公式)'!$Z219:$AA219/'实盘净值数据(iFinD公式)'!$Z$65:$AA$65))*(1-实盘持仓配置!$AM$8)^(('实盘净值数据(iFinD公式)'!$A219-'实盘净值数据(iFinD公式)'!$A$5)/365))</f>
        <v/>
      </c>
      <c r="O219" s="16" t="str">
        <f t="shared" si="33"/>
        <v/>
      </c>
      <c r="P219" s="16" t="str">
        <f>IF(N219="","",N219/MAX(N$5:N219)-1)</f>
        <v/>
      </c>
      <c r="Q219" s="13" t="str">
        <f>IF(OR('实盘净值数据(iFinD公式)'!$A219="",'实盘净值数据(iFinD公式)'!$B219="",'实盘净值数据(iFinD公式)'!$Z219="",'实盘净值数据(iFinD公式)'!$AA219=""),"",分期持仓明细!$AB$25*(SUMPRODUCT(分期持仓明细!$B$25:$Y$25,'实盘净值数据(iFinD公式)'!$B219:$Y219/'实盘净值数据(iFinD公式)'!$B$65:$Y$65)+SUMPRODUCT(分期持仓明细!$AC$25:$AD$25,'实盘净值数据(iFinD公式)'!$Z219:$AA219/'实盘净值数据(iFinD公式)'!$Z$65:$AA$65))*(1-实盘持仓配置!$AM$9)^(('实盘净值数据(iFinD公式)'!$A219-'实盘净值数据(iFinD公式)'!$A$8)/365))</f>
        <v/>
      </c>
      <c r="R219" s="16" t="str">
        <f t="shared" si="34"/>
        <v/>
      </c>
      <c r="S219" s="16" t="str">
        <f>IF(Q219="","",Q219/MAX(Q$5:Q219)-1)</f>
        <v/>
      </c>
      <c r="T219" s="13" t="str">
        <f>IF(OR('实盘净值数据(iFinD公式)'!$A219="",'实盘净值数据(iFinD公式)'!$B219="",'实盘净值数据(iFinD公式)'!$Z219="",'实盘净值数据(iFinD公式)'!$AA219="",'实盘净值数据(iFinD公式)'!$AB219="",'实盘净值数据(iFinD公式)'!$AL219=""),"",(SUMPRODUCT(分期持仓明细!$B$26:$Y$26,'实盘净值数据(iFinD公式)'!$B219:$Y219/'实盘净值数据(iFinD公式)'!$B$69:$Y$69)+SUMPRODUCT(分期持仓明细!$AC$26:$AD$26,'实盘净值数据(iFinD公式)'!$Z219:$AA219/'实盘净值数据(iFinD公式)'!$Z$69:$AA$69)+SUMPRODUCT(分期持仓明细!$AE$26:$AO$26,'实盘净值数据(iFinD公式)'!$AB219:$AL219/'实盘净值数据(iFinD公式)'!$AB$69:$AL$69))*(1-实盘持仓配置!$AM$10)^(('实盘净值数据(iFinD公式)'!$A219-'实盘净值数据(iFinD公式)'!$A$69)/365))</f>
        <v/>
      </c>
      <c r="U219" s="16" t="str">
        <f t="shared" si="28"/>
        <v/>
      </c>
      <c r="V219" s="16" t="str">
        <f>IF(T219="","",T219/MAX(T$5:T219)-1)</f>
        <v/>
      </c>
    </row>
    <row r="220" spans="1:22">
      <c r="A220" s="15" t="str">
        <f>IF('实盘净值数据(iFinD公式)'!A220="","",'实盘净值数据(iFinD公式)'!A220)</f>
        <v/>
      </c>
      <c r="B220" s="13" t="str">
        <f>IF(OR('实盘净值数据(iFinD公式)'!$A220="",'实盘净值数据(iFinD公式)'!$B220=""),"",分期持仓明细!$AB$17*SUMPRODUCT(分期持仓明细!$B$17:$Y$17,'实盘净值数据(iFinD公式)'!$B220:$Y220/'实盘净值数据(iFinD公式)'!$B$20:$Y$20)*(1-实盘持仓配置!$AM$4)^(('实盘净值数据(iFinD公式)'!$A220-'实盘净值数据(iFinD公式)'!$A$6)/365))</f>
        <v/>
      </c>
      <c r="C220" s="16" t="str">
        <f t="shared" si="29"/>
        <v/>
      </c>
      <c r="D220" s="16" t="str">
        <f>IF(B220="","",B220/MAX(B$5:B220)-1)</f>
        <v/>
      </c>
      <c r="E220" s="13" t="str">
        <f>IF(OR('实盘净值数据(iFinD公式)'!$A220="",'实盘净值数据(iFinD公式)'!$B220=""),"",分期持仓明细!$AB$18*SUMPRODUCT(分期持仓明细!$B$18:$Y$18,'实盘净值数据(iFinD公式)'!$B220:$Y220/'实盘净值数据(iFinD公式)'!$B$20:$Y$20)*(1-实盘持仓配置!$AM$5)^(('实盘净值数据(iFinD公式)'!$A220-'实盘净值数据(iFinD公式)'!$A$5)/365))</f>
        <v/>
      </c>
      <c r="F220" s="16" t="str">
        <f t="shared" si="30"/>
        <v/>
      </c>
      <c r="G220" s="16" t="str">
        <f>IF(E220="","",E220/MAX(E$5:E220)-1)</f>
        <v/>
      </c>
      <c r="H220" s="13" t="str">
        <f>IF(OR('实盘净值数据(iFinD公式)'!$A220="",'实盘净值数据(iFinD公式)'!$B220=""),"",分期持仓明细!$AB$19*SUMPRODUCT(分期持仓明细!$B$19:$Y$19,'实盘净值数据(iFinD公式)'!$B220:$Y220/'实盘净值数据(iFinD公式)'!$B$20:$Y$20)*(1-实盘持仓配置!$AM$6)^(('实盘净值数据(iFinD公式)'!$A220-'实盘净值数据(iFinD公式)'!$A$7)/365))</f>
        <v/>
      </c>
      <c r="I220" s="16" t="str">
        <f t="shared" si="31"/>
        <v/>
      </c>
      <c r="J220" s="16" t="str">
        <f>IF(H220="","",H220/MAX(H$5:H220)-1)</f>
        <v/>
      </c>
      <c r="K220" s="13" t="str">
        <f>IF(OR('实盘净值数据(iFinD公式)'!$A220="",'实盘净值数据(iFinD公式)'!$B220="",'实盘净值数据(iFinD公式)'!$Z220="",'实盘净值数据(iFinD公式)'!$AA220=""),"",分期持仓明细!$AB$23*(SUMPRODUCT(分期持仓明细!$B$23:$Y$23,'实盘净值数据(iFinD公式)'!$B220:$Y220/'实盘净值数据(iFinD公式)'!$B$65:$Y$65)+SUMPRODUCT(分期持仓明细!$AC$23:$AD$23,'实盘净值数据(iFinD公式)'!$Z220:$AA220/'实盘净值数据(iFinD公式)'!$Z$65:$AA$65))*(1-实盘持仓配置!$AM$7)^(('实盘净值数据(iFinD公式)'!$A220-'实盘净值数据(iFinD公式)'!$A$8)/365))</f>
        <v/>
      </c>
      <c r="L220" s="16" t="str">
        <f t="shared" si="32"/>
        <v/>
      </c>
      <c r="M220" s="16" t="str">
        <f>IF(K220="","",K220/MAX(K$5:K220)-1)</f>
        <v/>
      </c>
      <c r="N220" s="13" t="str">
        <f>IF(OR('实盘净值数据(iFinD公式)'!$A220="",'实盘净值数据(iFinD公式)'!$B220="",'实盘净值数据(iFinD公式)'!$Z220="",'实盘净值数据(iFinD公式)'!$AA220=""),"",分期持仓明细!$AB$24*(SUMPRODUCT(分期持仓明细!$B$24:$Y$24,'实盘净值数据(iFinD公式)'!$B220:$Y220/'实盘净值数据(iFinD公式)'!$B$65:$Y$65)+SUMPRODUCT(分期持仓明细!$AC$24:$AD$24,'实盘净值数据(iFinD公式)'!$Z220:$AA220/'实盘净值数据(iFinD公式)'!$Z$65:$AA$65))*(1-实盘持仓配置!$AM$8)^(('实盘净值数据(iFinD公式)'!$A220-'实盘净值数据(iFinD公式)'!$A$5)/365))</f>
        <v/>
      </c>
      <c r="O220" s="16" t="str">
        <f t="shared" si="33"/>
        <v/>
      </c>
      <c r="P220" s="16" t="str">
        <f>IF(N220="","",N220/MAX(N$5:N220)-1)</f>
        <v/>
      </c>
      <c r="Q220" s="13" t="str">
        <f>IF(OR('实盘净值数据(iFinD公式)'!$A220="",'实盘净值数据(iFinD公式)'!$B220="",'实盘净值数据(iFinD公式)'!$Z220="",'实盘净值数据(iFinD公式)'!$AA220=""),"",分期持仓明细!$AB$25*(SUMPRODUCT(分期持仓明细!$B$25:$Y$25,'实盘净值数据(iFinD公式)'!$B220:$Y220/'实盘净值数据(iFinD公式)'!$B$65:$Y$65)+SUMPRODUCT(分期持仓明细!$AC$25:$AD$25,'实盘净值数据(iFinD公式)'!$Z220:$AA220/'实盘净值数据(iFinD公式)'!$Z$65:$AA$65))*(1-实盘持仓配置!$AM$9)^(('实盘净值数据(iFinD公式)'!$A220-'实盘净值数据(iFinD公式)'!$A$8)/365))</f>
        <v/>
      </c>
      <c r="R220" s="16" t="str">
        <f t="shared" si="34"/>
        <v/>
      </c>
      <c r="S220" s="16" t="str">
        <f>IF(Q220="","",Q220/MAX(Q$5:Q220)-1)</f>
        <v/>
      </c>
      <c r="T220" s="13" t="str">
        <f>IF(OR('实盘净值数据(iFinD公式)'!$A220="",'实盘净值数据(iFinD公式)'!$B220="",'实盘净值数据(iFinD公式)'!$Z220="",'实盘净值数据(iFinD公式)'!$AA220="",'实盘净值数据(iFinD公式)'!$AB220="",'实盘净值数据(iFinD公式)'!$AL220=""),"",(SUMPRODUCT(分期持仓明细!$B$26:$Y$26,'实盘净值数据(iFinD公式)'!$B220:$Y220/'实盘净值数据(iFinD公式)'!$B$69:$Y$69)+SUMPRODUCT(分期持仓明细!$AC$26:$AD$26,'实盘净值数据(iFinD公式)'!$Z220:$AA220/'实盘净值数据(iFinD公式)'!$Z$69:$AA$69)+SUMPRODUCT(分期持仓明细!$AE$26:$AO$26,'实盘净值数据(iFinD公式)'!$AB220:$AL220/'实盘净值数据(iFinD公式)'!$AB$69:$AL$69))*(1-实盘持仓配置!$AM$10)^(('实盘净值数据(iFinD公式)'!$A220-'实盘净值数据(iFinD公式)'!$A$69)/365))</f>
        <v/>
      </c>
      <c r="U220" s="16" t="str">
        <f t="shared" si="28"/>
        <v/>
      </c>
      <c r="V220" s="16" t="str">
        <f>IF(T220="","",T220/MAX(T$5:T220)-1)</f>
        <v/>
      </c>
    </row>
    <row r="221" spans="1:22">
      <c r="A221" s="15" t="str">
        <f>IF('实盘净值数据(iFinD公式)'!A221="","",'实盘净值数据(iFinD公式)'!A221)</f>
        <v/>
      </c>
      <c r="B221" s="13" t="str">
        <f>IF(OR('实盘净值数据(iFinD公式)'!$A221="",'实盘净值数据(iFinD公式)'!$B221=""),"",分期持仓明细!$AB$17*SUMPRODUCT(分期持仓明细!$B$17:$Y$17,'实盘净值数据(iFinD公式)'!$B221:$Y221/'实盘净值数据(iFinD公式)'!$B$20:$Y$20)*(1-实盘持仓配置!$AM$4)^(('实盘净值数据(iFinD公式)'!$A221-'实盘净值数据(iFinD公式)'!$A$6)/365))</f>
        <v/>
      </c>
      <c r="C221" s="16" t="str">
        <f t="shared" si="29"/>
        <v/>
      </c>
      <c r="D221" s="16" t="str">
        <f>IF(B221="","",B221/MAX(B$5:B221)-1)</f>
        <v/>
      </c>
      <c r="E221" s="13" t="str">
        <f>IF(OR('实盘净值数据(iFinD公式)'!$A221="",'实盘净值数据(iFinD公式)'!$B221=""),"",分期持仓明细!$AB$18*SUMPRODUCT(分期持仓明细!$B$18:$Y$18,'实盘净值数据(iFinD公式)'!$B221:$Y221/'实盘净值数据(iFinD公式)'!$B$20:$Y$20)*(1-实盘持仓配置!$AM$5)^(('实盘净值数据(iFinD公式)'!$A221-'实盘净值数据(iFinD公式)'!$A$5)/365))</f>
        <v/>
      </c>
      <c r="F221" s="16" t="str">
        <f t="shared" si="30"/>
        <v/>
      </c>
      <c r="G221" s="16" t="str">
        <f>IF(E221="","",E221/MAX(E$5:E221)-1)</f>
        <v/>
      </c>
      <c r="H221" s="13" t="str">
        <f>IF(OR('实盘净值数据(iFinD公式)'!$A221="",'实盘净值数据(iFinD公式)'!$B221=""),"",分期持仓明细!$AB$19*SUMPRODUCT(分期持仓明细!$B$19:$Y$19,'实盘净值数据(iFinD公式)'!$B221:$Y221/'实盘净值数据(iFinD公式)'!$B$20:$Y$20)*(1-实盘持仓配置!$AM$6)^(('实盘净值数据(iFinD公式)'!$A221-'实盘净值数据(iFinD公式)'!$A$7)/365))</f>
        <v/>
      </c>
      <c r="I221" s="16" t="str">
        <f t="shared" si="31"/>
        <v/>
      </c>
      <c r="J221" s="16" t="str">
        <f>IF(H221="","",H221/MAX(H$5:H221)-1)</f>
        <v/>
      </c>
      <c r="K221" s="13" t="str">
        <f>IF(OR('实盘净值数据(iFinD公式)'!$A221="",'实盘净值数据(iFinD公式)'!$B221="",'实盘净值数据(iFinD公式)'!$Z221="",'实盘净值数据(iFinD公式)'!$AA221=""),"",分期持仓明细!$AB$23*(SUMPRODUCT(分期持仓明细!$B$23:$Y$23,'实盘净值数据(iFinD公式)'!$B221:$Y221/'实盘净值数据(iFinD公式)'!$B$65:$Y$65)+SUMPRODUCT(分期持仓明细!$AC$23:$AD$23,'实盘净值数据(iFinD公式)'!$Z221:$AA221/'实盘净值数据(iFinD公式)'!$Z$65:$AA$65))*(1-实盘持仓配置!$AM$7)^(('实盘净值数据(iFinD公式)'!$A221-'实盘净值数据(iFinD公式)'!$A$8)/365))</f>
        <v/>
      </c>
      <c r="L221" s="16" t="str">
        <f t="shared" si="32"/>
        <v/>
      </c>
      <c r="M221" s="16" t="str">
        <f>IF(K221="","",K221/MAX(K$5:K221)-1)</f>
        <v/>
      </c>
      <c r="N221" s="13" t="str">
        <f>IF(OR('实盘净值数据(iFinD公式)'!$A221="",'实盘净值数据(iFinD公式)'!$B221="",'实盘净值数据(iFinD公式)'!$Z221="",'实盘净值数据(iFinD公式)'!$AA221=""),"",分期持仓明细!$AB$24*(SUMPRODUCT(分期持仓明细!$B$24:$Y$24,'实盘净值数据(iFinD公式)'!$B221:$Y221/'实盘净值数据(iFinD公式)'!$B$65:$Y$65)+SUMPRODUCT(分期持仓明细!$AC$24:$AD$24,'实盘净值数据(iFinD公式)'!$Z221:$AA221/'实盘净值数据(iFinD公式)'!$Z$65:$AA$65))*(1-实盘持仓配置!$AM$8)^(('实盘净值数据(iFinD公式)'!$A221-'实盘净值数据(iFinD公式)'!$A$5)/365))</f>
        <v/>
      </c>
      <c r="O221" s="16" t="str">
        <f t="shared" si="33"/>
        <v/>
      </c>
      <c r="P221" s="16" t="str">
        <f>IF(N221="","",N221/MAX(N$5:N221)-1)</f>
        <v/>
      </c>
      <c r="Q221" s="13" t="str">
        <f>IF(OR('实盘净值数据(iFinD公式)'!$A221="",'实盘净值数据(iFinD公式)'!$B221="",'实盘净值数据(iFinD公式)'!$Z221="",'实盘净值数据(iFinD公式)'!$AA221=""),"",分期持仓明细!$AB$25*(SUMPRODUCT(分期持仓明细!$B$25:$Y$25,'实盘净值数据(iFinD公式)'!$B221:$Y221/'实盘净值数据(iFinD公式)'!$B$65:$Y$65)+SUMPRODUCT(分期持仓明细!$AC$25:$AD$25,'实盘净值数据(iFinD公式)'!$Z221:$AA221/'实盘净值数据(iFinD公式)'!$Z$65:$AA$65))*(1-实盘持仓配置!$AM$9)^(('实盘净值数据(iFinD公式)'!$A221-'实盘净值数据(iFinD公式)'!$A$8)/365))</f>
        <v/>
      </c>
      <c r="R221" s="16" t="str">
        <f t="shared" si="34"/>
        <v/>
      </c>
      <c r="S221" s="16" t="str">
        <f>IF(Q221="","",Q221/MAX(Q$5:Q221)-1)</f>
        <v/>
      </c>
      <c r="T221" s="13" t="str">
        <f>IF(OR('实盘净值数据(iFinD公式)'!$A221="",'实盘净值数据(iFinD公式)'!$B221="",'实盘净值数据(iFinD公式)'!$Z221="",'实盘净值数据(iFinD公式)'!$AA221="",'实盘净值数据(iFinD公式)'!$AB221="",'实盘净值数据(iFinD公式)'!$AL221=""),"",(SUMPRODUCT(分期持仓明细!$B$26:$Y$26,'实盘净值数据(iFinD公式)'!$B221:$Y221/'实盘净值数据(iFinD公式)'!$B$69:$Y$69)+SUMPRODUCT(分期持仓明细!$AC$26:$AD$26,'实盘净值数据(iFinD公式)'!$Z221:$AA221/'实盘净值数据(iFinD公式)'!$Z$69:$AA$69)+SUMPRODUCT(分期持仓明细!$AE$26:$AO$26,'实盘净值数据(iFinD公式)'!$AB221:$AL221/'实盘净值数据(iFinD公式)'!$AB$69:$AL$69))*(1-实盘持仓配置!$AM$10)^(('实盘净值数据(iFinD公式)'!$A221-'实盘净值数据(iFinD公式)'!$A$69)/365))</f>
        <v/>
      </c>
      <c r="U221" s="16" t="str">
        <f t="shared" si="28"/>
        <v/>
      </c>
      <c r="V221" s="16" t="str">
        <f>IF(T221="","",T221/MAX(T$5:T221)-1)</f>
        <v/>
      </c>
    </row>
    <row r="222" spans="1:22">
      <c r="A222" s="15" t="str">
        <f>IF('实盘净值数据(iFinD公式)'!A222="","",'实盘净值数据(iFinD公式)'!A222)</f>
        <v/>
      </c>
      <c r="B222" s="13" t="str">
        <f>IF(OR('实盘净值数据(iFinD公式)'!$A222="",'实盘净值数据(iFinD公式)'!$B222=""),"",分期持仓明细!$AB$17*SUMPRODUCT(分期持仓明细!$B$17:$Y$17,'实盘净值数据(iFinD公式)'!$B222:$Y222/'实盘净值数据(iFinD公式)'!$B$20:$Y$20)*(1-实盘持仓配置!$AM$4)^(('实盘净值数据(iFinD公式)'!$A222-'实盘净值数据(iFinD公式)'!$A$6)/365))</f>
        <v/>
      </c>
      <c r="C222" s="16" t="str">
        <f t="shared" si="29"/>
        <v/>
      </c>
      <c r="D222" s="16" t="str">
        <f>IF(B222="","",B222/MAX(B$5:B222)-1)</f>
        <v/>
      </c>
      <c r="E222" s="13" t="str">
        <f>IF(OR('实盘净值数据(iFinD公式)'!$A222="",'实盘净值数据(iFinD公式)'!$B222=""),"",分期持仓明细!$AB$18*SUMPRODUCT(分期持仓明细!$B$18:$Y$18,'实盘净值数据(iFinD公式)'!$B222:$Y222/'实盘净值数据(iFinD公式)'!$B$20:$Y$20)*(1-实盘持仓配置!$AM$5)^(('实盘净值数据(iFinD公式)'!$A222-'实盘净值数据(iFinD公式)'!$A$5)/365))</f>
        <v/>
      </c>
      <c r="F222" s="16" t="str">
        <f t="shared" si="30"/>
        <v/>
      </c>
      <c r="G222" s="16" t="str">
        <f>IF(E222="","",E222/MAX(E$5:E222)-1)</f>
        <v/>
      </c>
      <c r="H222" s="13" t="str">
        <f>IF(OR('实盘净值数据(iFinD公式)'!$A222="",'实盘净值数据(iFinD公式)'!$B222=""),"",分期持仓明细!$AB$19*SUMPRODUCT(分期持仓明细!$B$19:$Y$19,'实盘净值数据(iFinD公式)'!$B222:$Y222/'实盘净值数据(iFinD公式)'!$B$20:$Y$20)*(1-实盘持仓配置!$AM$6)^(('实盘净值数据(iFinD公式)'!$A222-'实盘净值数据(iFinD公式)'!$A$7)/365))</f>
        <v/>
      </c>
      <c r="I222" s="16" t="str">
        <f t="shared" si="31"/>
        <v/>
      </c>
      <c r="J222" s="16" t="str">
        <f>IF(H222="","",H222/MAX(H$5:H222)-1)</f>
        <v/>
      </c>
      <c r="K222" s="13" t="str">
        <f>IF(OR('实盘净值数据(iFinD公式)'!$A222="",'实盘净值数据(iFinD公式)'!$B222="",'实盘净值数据(iFinD公式)'!$Z222="",'实盘净值数据(iFinD公式)'!$AA222=""),"",分期持仓明细!$AB$23*(SUMPRODUCT(分期持仓明细!$B$23:$Y$23,'实盘净值数据(iFinD公式)'!$B222:$Y222/'实盘净值数据(iFinD公式)'!$B$65:$Y$65)+SUMPRODUCT(分期持仓明细!$AC$23:$AD$23,'实盘净值数据(iFinD公式)'!$Z222:$AA222/'实盘净值数据(iFinD公式)'!$Z$65:$AA$65))*(1-实盘持仓配置!$AM$7)^(('实盘净值数据(iFinD公式)'!$A222-'实盘净值数据(iFinD公式)'!$A$8)/365))</f>
        <v/>
      </c>
      <c r="L222" s="16" t="str">
        <f t="shared" si="32"/>
        <v/>
      </c>
      <c r="M222" s="16" t="str">
        <f>IF(K222="","",K222/MAX(K$5:K222)-1)</f>
        <v/>
      </c>
      <c r="N222" s="13" t="str">
        <f>IF(OR('实盘净值数据(iFinD公式)'!$A222="",'实盘净值数据(iFinD公式)'!$B222="",'实盘净值数据(iFinD公式)'!$Z222="",'实盘净值数据(iFinD公式)'!$AA222=""),"",分期持仓明细!$AB$24*(SUMPRODUCT(分期持仓明细!$B$24:$Y$24,'实盘净值数据(iFinD公式)'!$B222:$Y222/'实盘净值数据(iFinD公式)'!$B$65:$Y$65)+SUMPRODUCT(分期持仓明细!$AC$24:$AD$24,'实盘净值数据(iFinD公式)'!$Z222:$AA222/'实盘净值数据(iFinD公式)'!$Z$65:$AA$65))*(1-实盘持仓配置!$AM$8)^(('实盘净值数据(iFinD公式)'!$A222-'实盘净值数据(iFinD公式)'!$A$5)/365))</f>
        <v/>
      </c>
      <c r="O222" s="16" t="str">
        <f t="shared" si="33"/>
        <v/>
      </c>
      <c r="P222" s="16" t="str">
        <f>IF(N222="","",N222/MAX(N$5:N222)-1)</f>
        <v/>
      </c>
      <c r="Q222" s="13" t="str">
        <f>IF(OR('实盘净值数据(iFinD公式)'!$A222="",'实盘净值数据(iFinD公式)'!$B222="",'实盘净值数据(iFinD公式)'!$Z222="",'实盘净值数据(iFinD公式)'!$AA222=""),"",分期持仓明细!$AB$25*(SUMPRODUCT(分期持仓明细!$B$25:$Y$25,'实盘净值数据(iFinD公式)'!$B222:$Y222/'实盘净值数据(iFinD公式)'!$B$65:$Y$65)+SUMPRODUCT(分期持仓明细!$AC$25:$AD$25,'实盘净值数据(iFinD公式)'!$Z222:$AA222/'实盘净值数据(iFinD公式)'!$Z$65:$AA$65))*(1-实盘持仓配置!$AM$9)^(('实盘净值数据(iFinD公式)'!$A222-'实盘净值数据(iFinD公式)'!$A$8)/365))</f>
        <v/>
      </c>
      <c r="R222" s="16" t="str">
        <f t="shared" si="34"/>
        <v/>
      </c>
      <c r="S222" s="16" t="str">
        <f>IF(Q222="","",Q222/MAX(Q$5:Q222)-1)</f>
        <v/>
      </c>
      <c r="T222" s="13" t="str">
        <f>IF(OR('实盘净值数据(iFinD公式)'!$A222="",'实盘净值数据(iFinD公式)'!$B222="",'实盘净值数据(iFinD公式)'!$Z222="",'实盘净值数据(iFinD公式)'!$AA222="",'实盘净值数据(iFinD公式)'!$AB222="",'实盘净值数据(iFinD公式)'!$AL222=""),"",(SUMPRODUCT(分期持仓明细!$B$26:$Y$26,'实盘净值数据(iFinD公式)'!$B222:$Y222/'实盘净值数据(iFinD公式)'!$B$69:$Y$69)+SUMPRODUCT(分期持仓明细!$AC$26:$AD$26,'实盘净值数据(iFinD公式)'!$Z222:$AA222/'实盘净值数据(iFinD公式)'!$Z$69:$AA$69)+SUMPRODUCT(分期持仓明细!$AE$26:$AO$26,'实盘净值数据(iFinD公式)'!$AB222:$AL222/'实盘净值数据(iFinD公式)'!$AB$69:$AL$69))*(1-实盘持仓配置!$AM$10)^(('实盘净值数据(iFinD公式)'!$A222-'实盘净值数据(iFinD公式)'!$A$69)/365))</f>
        <v/>
      </c>
      <c r="U222" s="16" t="str">
        <f t="shared" si="28"/>
        <v/>
      </c>
      <c r="V222" s="16" t="str">
        <f>IF(T222="","",T222/MAX(T$5:T222)-1)</f>
        <v/>
      </c>
    </row>
    <row r="223" spans="1:22">
      <c r="A223" s="15" t="str">
        <f>IF('实盘净值数据(iFinD公式)'!A223="","",'实盘净值数据(iFinD公式)'!A223)</f>
        <v/>
      </c>
      <c r="B223" s="13" t="str">
        <f>IF(OR('实盘净值数据(iFinD公式)'!$A223="",'实盘净值数据(iFinD公式)'!$B223=""),"",分期持仓明细!$AB$17*SUMPRODUCT(分期持仓明细!$B$17:$Y$17,'实盘净值数据(iFinD公式)'!$B223:$Y223/'实盘净值数据(iFinD公式)'!$B$20:$Y$20)*(1-实盘持仓配置!$AM$4)^(('实盘净值数据(iFinD公式)'!$A223-'实盘净值数据(iFinD公式)'!$A$6)/365))</f>
        <v/>
      </c>
      <c r="C223" s="16" t="str">
        <f t="shared" si="29"/>
        <v/>
      </c>
      <c r="D223" s="16" t="str">
        <f>IF(B223="","",B223/MAX(B$5:B223)-1)</f>
        <v/>
      </c>
      <c r="E223" s="13" t="str">
        <f>IF(OR('实盘净值数据(iFinD公式)'!$A223="",'实盘净值数据(iFinD公式)'!$B223=""),"",分期持仓明细!$AB$18*SUMPRODUCT(分期持仓明细!$B$18:$Y$18,'实盘净值数据(iFinD公式)'!$B223:$Y223/'实盘净值数据(iFinD公式)'!$B$20:$Y$20)*(1-实盘持仓配置!$AM$5)^(('实盘净值数据(iFinD公式)'!$A223-'实盘净值数据(iFinD公式)'!$A$5)/365))</f>
        <v/>
      </c>
      <c r="F223" s="16" t="str">
        <f t="shared" si="30"/>
        <v/>
      </c>
      <c r="G223" s="16" t="str">
        <f>IF(E223="","",E223/MAX(E$5:E223)-1)</f>
        <v/>
      </c>
      <c r="H223" s="13" t="str">
        <f>IF(OR('实盘净值数据(iFinD公式)'!$A223="",'实盘净值数据(iFinD公式)'!$B223=""),"",分期持仓明细!$AB$19*SUMPRODUCT(分期持仓明细!$B$19:$Y$19,'实盘净值数据(iFinD公式)'!$B223:$Y223/'实盘净值数据(iFinD公式)'!$B$20:$Y$20)*(1-实盘持仓配置!$AM$6)^(('实盘净值数据(iFinD公式)'!$A223-'实盘净值数据(iFinD公式)'!$A$7)/365))</f>
        <v/>
      </c>
      <c r="I223" s="16" t="str">
        <f t="shared" si="31"/>
        <v/>
      </c>
      <c r="J223" s="16" t="str">
        <f>IF(H223="","",H223/MAX(H$5:H223)-1)</f>
        <v/>
      </c>
      <c r="K223" s="13" t="str">
        <f>IF(OR('实盘净值数据(iFinD公式)'!$A223="",'实盘净值数据(iFinD公式)'!$B223="",'实盘净值数据(iFinD公式)'!$Z223="",'实盘净值数据(iFinD公式)'!$AA223=""),"",分期持仓明细!$AB$23*(SUMPRODUCT(分期持仓明细!$B$23:$Y$23,'实盘净值数据(iFinD公式)'!$B223:$Y223/'实盘净值数据(iFinD公式)'!$B$65:$Y$65)+SUMPRODUCT(分期持仓明细!$AC$23:$AD$23,'实盘净值数据(iFinD公式)'!$Z223:$AA223/'实盘净值数据(iFinD公式)'!$Z$65:$AA$65))*(1-实盘持仓配置!$AM$7)^(('实盘净值数据(iFinD公式)'!$A223-'实盘净值数据(iFinD公式)'!$A$8)/365))</f>
        <v/>
      </c>
      <c r="L223" s="16" t="str">
        <f t="shared" si="32"/>
        <v/>
      </c>
      <c r="M223" s="16" t="str">
        <f>IF(K223="","",K223/MAX(K$5:K223)-1)</f>
        <v/>
      </c>
      <c r="N223" s="13" t="str">
        <f>IF(OR('实盘净值数据(iFinD公式)'!$A223="",'实盘净值数据(iFinD公式)'!$B223="",'实盘净值数据(iFinD公式)'!$Z223="",'实盘净值数据(iFinD公式)'!$AA223=""),"",分期持仓明细!$AB$24*(SUMPRODUCT(分期持仓明细!$B$24:$Y$24,'实盘净值数据(iFinD公式)'!$B223:$Y223/'实盘净值数据(iFinD公式)'!$B$65:$Y$65)+SUMPRODUCT(分期持仓明细!$AC$24:$AD$24,'实盘净值数据(iFinD公式)'!$Z223:$AA223/'实盘净值数据(iFinD公式)'!$Z$65:$AA$65))*(1-实盘持仓配置!$AM$8)^(('实盘净值数据(iFinD公式)'!$A223-'实盘净值数据(iFinD公式)'!$A$5)/365))</f>
        <v/>
      </c>
      <c r="O223" s="16" t="str">
        <f t="shared" si="33"/>
        <v/>
      </c>
      <c r="P223" s="16" t="str">
        <f>IF(N223="","",N223/MAX(N$5:N223)-1)</f>
        <v/>
      </c>
      <c r="Q223" s="13" t="str">
        <f>IF(OR('实盘净值数据(iFinD公式)'!$A223="",'实盘净值数据(iFinD公式)'!$B223="",'实盘净值数据(iFinD公式)'!$Z223="",'实盘净值数据(iFinD公式)'!$AA223=""),"",分期持仓明细!$AB$25*(SUMPRODUCT(分期持仓明细!$B$25:$Y$25,'实盘净值数据(iFinD公式)'!$B223:$Y223/'实盘净值数据(iFinD公式)'!$B$65:$Y$65)+SUMPRODUCT(分期持仓明细!$AC$25:$AD$25,'实盘净值数据(iFinD公式)'!$Z223:$AA223/'实盘净值数据(iFinD公式)'!$Z$65:$AA$65))*(1-实盘持仓配置!$AM$9)^(('实盘净值数据(iFinD公式)'!$A223-'实盘净值数据(iFinD公式)'!$A$8)/365))</f>
        <v/>
      </c>
      <c r="R223" s="16" t="str">
        <f t="shared" si="34"/>
        <v/>
      </c>
      <c r="S223" s="16" t="str">
        <f>IF(Q223="","",Q223/MAX(Q$5:Q223)-1)</f>
        <v/>
      </c>
      <c r="T223" s="13" t="str">
        <f>IF(OR('实盘净值数据(iFinD公式)'!$A223="",'实盘净值数据(iFinD公式)'!$B223="",'实盘净值数据(iFinD公式)'!$Z223="",'实盘净值数据(iFinD公式)'!$AA223="",'实盘净值数据(iFinD公式)'!$AB223="",'实盘净值数据(iFinD公式)'!$AL223=""),"",(SUMPRODUCT(分期持仓明细!$B$26:$Y$26,'实盘净值数据(iFinD公式)'!$B223:$Y223/'实盘净值数据(iFinD公式)'!$B$69:$Y$69)+SUMPRODUCT(分期持仓明细!$AC$26:$AD$26,'实盘净值数据(iFinD公式)'!$Z223:$AA223/'实盘净值数据(iFinD公式)'!$Z$69:$AA$69)+SUMPRODUCT(分期持仓明细!$AE$26:$AO$26,'实盘净值数据(iFinD公式)'!$AB223:$AL223/'实盘净值数据(iFinD公式)'!$AB$69:$AL$69))*(1-实盘持仓配置!$AM$10)^(('实盘净值数据(iFinD公式)'!$A223-'实盘净值数据(iFinD公式)'!$A$69)/365))</f>
        <v/>
      </c>
      <c r="U223" s="16" t="str">
        <f t="shared" si="28"/>
        <v/>
      </c>
      <c r="V223" s="16" t="str">
        <f>IF(T223="","",T223/MAX(T$5:T223)-1)</f>
        <v/>
      </c>
    </row>
    <row r="224" spans="1:22">
      <c r="A224" s="15" t="str">
        <f>IF('实盘净值数据(iFinD公式)'!A224="","",'实盘净值数据(iFinD公式)'!A224)</f>
        <v/>
      </c>
      <c r="B224" s="13" t="str">
        <f>IF(OR('实盘净值数据(iFinD公式)'!$A224="",'实盘净值数据(iFinD公式)'!$B224=""),"",分期持仓明细!$AB$17*SUMPRODUCT(分期持仓明细!$B$17:$Y$17,'实盘净值数据(iFinD公式)'!$B224:$Y224/'实盘净值数据(iFinD公式)'!$B$20:$Y$20)*(1-实盘持仓配置!$AM$4)^(('实盘净值数据(iFinD公式)'!$A224-'实盘净值数据(iFinD公式)'!$A$6)/365))</f>
        <v/>
      </c>
      <c r="C224" s="16" t="str">
        <f t="shared" si="29"/>
        <v/>
      </c>
      <c r="D224" s="16" t="str">
        <f>IF(B224="","",B224/MAX(B$5:B224)-1)</f>
        <v/>
      </c>
      <c r="E224" s="13" t="str">
        <f>IF(OR('实盘净值数据(iFinD公式)'!$A224="",'实盘净值数据(iFinD公式)'!$B224=""),"",分期持仓明细!$AB$18*SUMPRODUCT(分期持仓明细!$B$18:$Y$18,'实盘净值数据(iFinD公式)'!$B224:$Y224/'实盘净值数据(iFinD公式)'!$B$20:$Y$20)*(1-实盘持仓配置!$AM$5)^(('实盘净值数据(iFinD公式)'!$A224-'实盘净值数据(iFinD公式)'!$A$5)/365))</f>
        <v/>
      </c>
      <c r="F224" s="16" t="str">
        <f t="shared" si="30"/>
        <v/>
      </c>
      <c r="G224" s="16" t="str">
        <f>IF(E224="","",E224/MAX(E$5:E224)-1)</f>
        <v/>
      </c>
      <c r="H224" s="13" t="str">
        <f>IF(OR('实盘净值数据(iFinD公式)'!$A224="",'实盘净值数据(iFinD公式)'!$B224=""),"",分期持仓明细!$AB$19*SUMPRODUCT(分期持仓明细!$B$19:$Y$19,'实盘净值数据(iFinD公式)'!$B224:$Y224/'实盘净值数据(iFinD公式)'!$B$20:$Y$20)*(1-实盘持仓配置!$AM$6)^(('实盘净值数据(iFinD公式)'!$A224-'实盘净值数据(iFinD公式)'!$A$7)/365))</f>
        <v/>
      </c>
      <c r="I224" s="16" t="str">
        <f t="shared" si="31"/>
        <v/>
      </c>
      <c r="J224" s="16" t="str">
        <f>IF(H224="","",H224/MAX(H$5:H224)-1)</f>
        <v/>
      </c>
      <c r="K224" s="13" t="str">
        <f>IF(OR('实盘净值数据(iFinD公式)'!$A224="",'实盘净值数据(iFinD公式)'!$B224="",'实盘净值数据(iFinD公式)'!$Z224="",'实盘净值数据(iFinD公式)'!$AA224=""),"",分期持仓明细!$AB$23*(SUMPRODUCT(分期持仓明细!$B$23:$Y$23,'实盘净值数据(iFinD公式)'!$B224:$Y224/'实盘净值数据(iFinD公式)'!$B$65:$Y$65)+SUMPRODUCT(分期持仓明细!$AC$23:$AD$23,'实盘净值数据(iFinD公式)'!$Z224:$AA224/'实盘净值数据(iFinD公式)'!$Z$65:$AA$65))*(1-实盘持仓配置!$AM$7)^(('实盘净值数据(iFinD公式)'!$A224-'实盘净值数据(iFinD公式)'!$A$8)/365))</f>
        <v/>
      </c>
      <c r="L224" s="16" t="str">
        <f t="shared" si="32"/>
        <v/>
      </c>
      <c r="M224" s="16" t="str">
        <f>IF(K224="","",K224/MAX(K$5:K224)-1)</f>
        <v/>
      </c>
      <c r="N224" s="13" t="str">
        <f>IF(OR('实盘净值数据(iFinD公式)'!$A224="",'实盘净值数据(iFinD公式)'!$B224="",'实盘净值数据(iFinD公式)'!$Z224="",'实盘净值数据(iFinD公式)'!$AA224=""),"",分期持仓明细!$AB$24*(SUMPRODUCT(分期持仓明细!$B$24:$Y$24,'实盘净值数据(iFinD公式)'!$B224:$Y224/'实盘净值数据(iFinD公式)'!$B$65:$Y$65)+SUMPRODUCT(分期持仓明细!$AC$24:$AD$24,'实盘净值数据(iFinD公式)'!$Z224:$AA224/'实盘净值数据(iFinD公式)'!$Z$65:$AA$65))*(1-实盘持仓配置!$AM$8)^(('实盘净值数据(iFinD公式)'!$A224-'实盘净值数据(iFinD公式)'!$A$5)/365))</f>
        <v/>
      </c>
      <c r="O224" s="16" t="str">
        <f t="shared" si="33"/>
        <v/>
      </c>
      <c r="P224" s="16" t="str">
        <f>IF(N224="","",N224/MAX(N$5:N224)-1)</f>
        <v/>
      </c>
      <c r="Q224" s="13" t="str">
        <f>IF(OR('实盘净值数据(iFinD公式)'!$A224="",'实盘净值数据(iFinD公式)'!$B224="",'实盘净值数据(iFinD公式)'!$Z224="",'实盘净值数据(iFinD公式)'!$AA224=""),"",分期持仓明细!$AB$25*(SUMPRODUCT(分期持仓明细!$B$25:$Y$25,'实盘净值数据(iFinD公式)'!$B224:$Y224/'实盘净值数据(iFinD公式)'!$B$65:$Y$65)+SUMPRODUCT(分期持仓明细!$AC$25:$AD$25,'实盘净值数据(iFinD公式)'!$Z224:$AA224/'实盘净值数据(iFinD公式)'!$Z$65:$AA$65))*(1-实盘持仓配置!$AM$9)^(('实盘净值数据(iFinD公式)'!$A224-'实盘净值数据(iFinD公式)'!$A$8)/365))</f>
        <v/>
      </c>
      <c r="R224" s="16" t="str">
        <f t="shared" si="34"/>
        <v/>
      </c>
      <c r="S224" s="16" t="str">
        <f>IF(Q224="","",Q224/MAX(Q$5:Q224)-1)</f>
        <v/>
      </c>
      <c r="T224" s="13" t="str">
        <f>IF(OR('实盘净值数据(iFinD公式)'!$A224="",'实盘净值数据(iFinD公式)'!$B224="",'实盘净值数据(iFinD公式)'!$Z224="",'实盘净值数据(iFinD公式)'!$AA224="",'实盘净值数据(iFinD公式)'!$AB224="",'实盘净值数据(iFinD公式)'!$AL224=""),"",(SUMPRODUCT(分期持仓明细!$B$26:$Y$26,'实盘净值数据(iFinD公式)'!$B224:$Y224/'实盘净值数据(iFinD公式)'!$B$69:$Y$69)+SUMPRODUCT(分期持仓明细!$AC$26:$AD$26,'实盘净值数据(iFinD公式)'!$Z224:$AA224/'实盘净值数据(iFinD公式)'!$Z$69:$AA$69)+SUMPRODUCT(分期持仓明细!$AE$26:$AO$26,'实盘净值数据(iFinD公式)'!$AB224:$AL224/'实盘净值数据(iFinD公式)'!$AB$69:$AL$69))*(1-实盘持仓配置!$AM$10)^(('实盘净值数据(iFinD公式)'!$A224-'实盘净值数据(iFinD公式)'!$A$69)/365))</f>
        <v/>
      </c>
      <c r="U224" s="16" t="str">
        <f t="shared" si="28"/>
        <v/>
      </c>
      <c r="V224" s="16" t="str">
        <f>IF(T224="","",T224/MAX(T$5:T224)-1)</f>
        <v/>
      </c>
    </row>
    <row r="225" spans="1:22">
      <c r="A225" s="15" t="str">
        <f>IF('实盘净值数据(iFinD公式)'!A225="","",'实盘净值数据(iFinD公式)'!A225)</f>
        <v/>
      </c>
      <c r="B225" s="13" t="str">
        <f>IF(OR('实盘净值数据(iFinD公式)'!$A225="",'实盘净值数据(iFinD公式)'!$B225=""),"",分期持仓明细!$AB$17*SUMPRODUCT(分期持仓明细!$B$17:$Y$17,'实盘净值数据(iFinD公式)'!$B225:$Y225/'实盘净值数据(iFinD公式)'!$B$20:$Y$20)*(1-实盘持仓配置!$AM$4)^(('实盘净值数据(iFinD公式)'!$A225-'实盘净值数据(iFinD公式)'!$A$6)/365))</f>
        <v/>
      </c>
      <c r="C225" s="16" t="str">
        <f t="shared" si="29"/>
        <v/>
      </c>
      <c r="D225" s="16" t="str">
        <f>IF(B225="","",B225/MAX(B$5:B225)-1)</f>
        <v/>
      </c>
      <c r="E225" s="13" t="str">
        <f>IF(OR('实盘净值数据(iFinD公式)'!$A225="",'实盘净值数据(iFinD公式)'!$B225=""),"",分期持仓明细!$AB$18*SUMPRODUCT(分期持仓明细!$B$18:$Y$18,'实盘净值数据(iFinD公式)'!$B225:$Y225/'实盘净值数据(iFinD公式)'!$B$20:$Y$20)*(1-实盘持仓配置!$AM$5)^(('实盘净值数据(iFinD公式)'!$A225-'实盘净值数据(iFinD公式)'!$A$5)/365))</f>
        <v/>
      </c>
      <c r="F225" s="16" t="str">
        <f t="shared" si="30"/>
        <v/>
      </c>
      <c r="G225" s="16" t="str">
        <f>IF(E225="","",E225/MAX(E$5:E225)-1)</f>
        <v/>
      </c>
      <c r="H225" s="13" t="str">
        <f>IF(OR('实盘净值数据(iFinD公式)'!$A225="",'实盘净值数据(iFinD公式)'!$B225=""),"",分期持仓明细!$AB$19*SUMPRODUCT(分期持仓明细!$B$19:$Y$19,'实盘净值数据(iFinD公式)'!$B225:$Y225/'实盘净值数据(iFinD公式)'!$B$20:$Y$20)*(1-实盘持仓配置!$AM$6)^(('实盘净值数据(iFinD公式)'!$A225-'实盘净值数据(iFinD公式)'!$A$7)/365))</f>
        <v/>
      </c>
      <c r="I225" s="16" t="str">
        <f t="shared" si="31"/>
        <v/>
      </c>
      <c r="J225" s="16" t="str">
        <f>IF(H225="","",H225/MAX(H$5:H225)-1)</f>
        <v/>
      </c>
      <c r="K225" s="13" t="str">
        <f>IF(OR('实盘净值数据(iFinD公式)'!$A225="",'实盘净值数据(iFinD公式)'!$B225="",'实盘净值数据(iFinD公式)'!$Z225="",'实盘净值数据(iFinD公式)'!$AA225=""),"",分期持仓明细!$AB$23*(SUMPRODUCT(分期持仓明细!$B$23:$Y$23,'实盘净值数据(iFinD公式)'!$B225:$Y225/'实盘净值数据(iFinD公式)'!$B$65:$Y$65)+SUMPRODUCT(分期持仓明细!$AC$23:$AD$23,'实盘净值数据(iFinD公式)'!$Z225:$AA225/'实盘净值数据(iFinD公式)'!$Z$65:$AA$65))*(1-实盘持仓配置!$AM$7)^(('实盘净值数据(iFinD公式)'!$A225-'实盘净值数据(iFinD公式)'!$A$8)/365))</f>
        <v/>
      </c>
      <c r="L225" s="16" t="str">
        <f t="shared" si="32"/>
        <v/>
      </c>
      <c r="M225" s="16" t="str">
        <f>IF(K225="","",K225/MAX(K$5:K225)-1)</f>
        <v/>
      </c>
      <c r="N225" s="13" t="str">
        <f>IF(OR('实盘净值数据(iFinD公式)'!$A225="",'实盘净值数据(iFinD公式)'!$B225="",'实盘净值数据(iFinD公式)'!$Z225="",'实盘净值数据(iFinD公式)'!$AA225=""),"",分期持仓明细!$AB$24*(SUMPRODUCT(分期持仓明细!$B$24:$Y$24,'实盘净值数据(iFinD公式)'!$B225:$Y225/'实盘净值数据(iFinD公式)'!$B$65:$Y$65)+SUMPRODUCT(分期持仓明细!$AC$24:$AD$24,'实盘净值数据(iFinD公式)'!$Z225:$AA225/'实盘净值数据(iFinD公式)'!$Z$65:$AA$65))*(1-实盘持仓配置!$AM$8)^(('实盘净值数据(iFinD公式)'!$A225-'实盘净值数据(iFinD公式)'!$A$5)/365))</f>
        <v/>
      </c>
      <c r="O225" s="16" t="str">
        <f t="shared" si="33"/>
        <v/>
      </c>
      <c r="P225" s="16" t="str">
        <f>IF(N225="","",N225/MAX(N$5:N225)-1)</f>
        <v/>
      </c>
      <c r="Q225" s="13" t="str">
        <f>IF(OR('实盘净值数据(iFinD公式)'!$A225="",'实盘净值数据(iFinD公式)'!$B225="",'实盘净值数据(iFinD公式)'!$Z225="",'实盘净值数据(iFinD公式)'!$AA225=""),"",分期持仓明细!$AB$25*(SUMPRODUCT(分期持仓明细!$B$25:$Y$25,'实盘净值数据(iFinD公式)'!$B225:$Y225/'实盘净值数据(iFinD公式)'!$B$65:$Y$65)+SUMPRODUCT(分期持仓明细!$AC$25:$AD$25,'实盘净值数据(iFinD公式)'!$Z225:$AA225/'实盘净值数据(iFinD公式)'!$Z$65:$AA$65))*(1-实盘持仓配置!$AM$9)^(('实盘净值数据(iFinD公式)'!$A225-'实盘净值数据(iFinD公式)'!$A$8)/365))</f>
        <v/>
      </c>
      <c r="R225" s="16" t="str">
        <f t="shared" si="34"/>
        <v/>
      </c>
      <c r="S225" s="16" t="str">
        <f>IF(Q225="","",Q225/MAX(Q$5:Q225)-1)</f>
        <v/>
      </c>
      <c r="T225" s="13" t="str">
        <f>IF(OR('实盘净值数据(iFinD公式)'!$A225="",'实盘净值数据(iFinD公式)'!$B225="",'实盘净值数据(iFinD公式)'!$Z225="",'实盘净值数据(iFinD公式)'!$AA225="",'实盘净值数据(iFinD公式)'!$AB225="",'实盘净值数据(iFinD公式)'!$AL225=""),"",(SUMPRODUCT(分期持仓明细!$B$26:$Y$26,'实盘净值数据(iFinD公式)'!$B225:$Y225/'实盘净值数据(iFinD公式)'!$B$69:$Y$69)+SUMPRODUCT(分期持仓明细!$AC$26:$AD$26,'实盘净值数据(iFinD公式)'!$Z225:$AA225/'实盘净值数据(iFinD公式)'!$Z$69:$AA$69)+SUMPRODUCT(分期持仓明细!$AE$26:$AO$26,'实盘净值数据(iFinD公式)'!$AB225:$AL225/'实盘净值数据(iFinD公式)'!$AB$69:$AL$69))*(1-实盘持仓配置!$AM$10)^(('实盘净值数据(iFinD公式)'!$A225-'实盘净值数据(iFinD公式)'!$A$69)/365))</f>
        <v/>
      </c>
      <c r="U225" s="16" t="str">
        <f t="shared" si="28"/>
        <v/>
      </c>
      <c r="V225" s="16" t="str">
        <f>IF(T225="","",T225/MAX(T$5:T225)-1)</f>
        <v/>
      </c>
    </row>
    <row r="226" spans="1:22">
      <c r="A226" s="15" t="str">
        <f>IF('实盘净值数据(iFinD公式)'!A226="","",'实盘净值数据(iFinD公式)'!A226)</f>
        <v/>
      </c>
      <c r="B226" s="13" t="str">
        <f>IF(OR('实盘净值数据(iFinD公式)'!$A226="",'实盘净值数据(iFinD公式)'!$B226=""),"",分期持仓明细!$AB$17*SUMPRODUCT(分期持仓明细!$B$17:$Y$17,'实盘净值数据(iFinD公式)'!$B226:$Y226/'实盘净值数据(iFinD公式)'!$B$20:$Y$20)*(1-实盘持仓配置!$AM$4)^(('实盘净值数据(iFinD公式)'!$A226-'实盘净值数据(iFinD公式)'!$A$6)/365))</f>
        <v/>
      </c>
      <c r="C226" s="16" t="str">
        <f t="shared" si="29"/>
        <v/>
      </c>
      <c r="D226" s="16" t="str">
        <f>IF(B226="","",B226/MAX(B$5:B226)-1)</f>
        <v/>
      </c>
      <c r="E226" s="13" t="str">
        <f>IF(OR('实盘净值数据(iFinD公式)'!$A226="",'实盘净值数据(iFinD公式)'!$B226=""),"",分期持仓明细!$AB$18*SUMPRODUCT(分期持仓明细!$B$18:$Y$18,'实盘净值数据(iFinD公式)'!$B226:$Y226/'实盘净值数据(iFinD公式)'!$B$20:$Y$20)*(1-实盘持仓配置!$AM$5)^(('实盘净值数据(iFinD公式)'!$A226-'实盘净值数据(iFinD公式)'!$A$5)/365))</f>
        <v/>
      </c>
      <c r="F226" s="16" t="str">
        <f t="shared" si="30"/>
        <v/>
      </c>
      <c r="G226" s="16" t="str">
        <f>IF(E226="","",E226/MAX(E$5:E226)-1)</f>
        <v/>
      </c>
      <c r="H226" s="13" t="str">
        <f>IF(OR('实盘净值数据(iFinD公式)'!$A226="",'实盘净值数据(iFinD公式)'!$B226=""),"",分期持仓明细!$AB$19*SUMPRODUCT(分期持仓明细!$B$19:$Y$19,'实盘净值数据(iFinD公式)'!$B226:$Y226/'实盘净值数据(iFinD公式)'!$B$20:$Y$20)*(1-实盘持仓配置!$AM$6)^(('实盘净值数据(iFinD公式)'!$A226-'实盘净值数据(iFinD公式)'!$A$7)/365))</f>
        <v/>
      </c>
      <c r="I226" s="16" t="str">
        <f t="shared" si="31"/>
        <v/>
      </c>
      <c r="J226" s="16" t="str">
        <f>IF(H226="","",H226/MAX(H$5:H226)-1)</f>
        <v/>
      </c>
      <c r="K226" s="13" t="str">
        <f>IF(OR('实盘净值数据(iFinD公式)'!$A226="",'实盘净值数据(iFinD公式)'!$B226="",'实盘净值数据(iFinD公式)'!$Z226="",'实盘净值数据(iFinD公式)'!$AA226=""),"",分期持仓明细!$AB$23*(SUMPRODUCT(分期持仓明细!$B$23:$Y$23,'实盘净值数据(iFinD公式)'!$B226:$Y226/'实盘净值数据(iFinD公式)'!$B$65:$Y$65)+SUMPRODUCT(分期持仓明细!$AC$23:$AD$23,'实盘净值数据(iFinD公式)'!$Z226:$AA226/'实盘净值数据(iFinD公式)'!$Z$65:$AA$65))*(1-实盘持仓配置!$AM$7)^(('实盘净值数据(iFinD公式)'!$A226-'实盘净值数据(iFinD公式)'!$A$8)/365))</f>
        <v/>
      </c>
      <c r="L226" s="16" t="str">
        <f t="shared" si="32"/>
        <v/>
      </c>
      <c r="M226" s="16" t="str">
        <f>IF(K226="","",K226/MAX(K$5:K226)-1)</f>
        <v/>
      </c>
      <c r="N226" s="13" t="str">
        <f>IF(OR('实盘净值数据(iFinD公式)'!$A226="",'实盘净值数据(iFinD公式)'!$B226="",'实盘净值数据(iFinD公式)'!$Z226="",'实盘净值数据(iFinD公式)'!$AA226=""),"",分期持仓明细!$AB$24*(SUMPRODUCT(分期持仓明细!$B$24:$Y$24,'实盘净值数据(iFinD公式)'!$B226:$Y226/'实盘净值数据(iFinD公式)'!$B$65:$Y$65)+SUMPRODUCT(分期持仓明细!$AC$24:$AD$24,'实盘净值数据(iFinD公式)'!$Z226:$AA226/'实盘净值数据(iFinD公式)'!$Z$65:$AA$65))*(1-实盘持仓配置!$AM$8)^(('实盘净值数据(iFinD公式)'!$A226-'实盘净值数据(iFinD公式)'!$A$5)/365))</f>
        <v/>
      </c>
      <c r="O226" s="16" t="str">
        <f t="shared" si="33"/>
        <v/>
      </c>
      <c r="P226" s="16" t="str">
        <f>IF(N226="","",N226/MAX(N$5:N226)-1)</f>
        <v/>
      </c>
      <c r="Q226" s="13" t="str">
        <f>IF(OR('实盘净值数据(iFinD公式)'!$A226="",'实盘净值数据(iFinD公式)'!$B226="",'实盘净值数据(iFinD公式)'!$Z226="",'实盘净值数据(iFinD公式)'!$AA226=""),"",分期持仓明细!$AB$25*(SUMPRODUCT(分期持仓明细!$B$25:$Y$25,'实盘净值数据(iFinD公式)'!$B226:$Y226/'实盘净值数据(iFinD公式)'!$B$65:$Y$65)+SUMPRODUCT(分期持仓明细!$AC$25:$AD$25,'实盘净值数据(iFinD公式)'!$Z226:$AA226/'实盘净值数据(iFinD公式)'!$Z$65:$AA$65))*(1-实盘持仓配置!$AM$9)^(('实盘净值数据(iFinD公式)'!$A226-'实盘净值数据(iFinD公式)'!$A$8)/365))</f>
        <v/>
      </c>
      <c r="R226" s="16" t="str">
        <f t="shared" si="34"/>
        <v/>
      </c>
      <c r="S226" s="16" t="str">
        <f>IF(Q226="","",Q226/MAX(Q$5:Q226)-1)</f>
        <v/>
      </c>
      <c r="T226" s="13" t="str">
        <f>IF(OR('实盘净值数据(iFinD公式)'!$A226="",'实盘净值数据(iFinD公式)'!$B226="",'实盘净值数据(iFinD公式)'!$Z226="",'实盘净值数据(iFinD公式)'!$AA226="",'实盘净值数据(iFinD公式)'!$AB226="",'实盘净值数据(iFinD公式)'!$AL226=""),"",(SUMPRODUCT(分期持仓明细!$B$26:$Y$26,'实盘净值数据(iFinD公式)'!$B226:$Y226/'实盘净值数据(iFinD公式)'!$B$69:$Y$69)+SUMPRODUCT(分期持仓明细!$AC$26:$AD$26,'实盘净值数据(iFinD公式)'!$Z226:$AA226/'实盘净值数据(iFinD公式)'!$Z$69:$AA$69)+SUMPRODUCT(分期持仓明细!$AE$26:$AO$26,'实盘净值数据(iFinD公式)'!$AB226:$AL226/'实盘净值数据(iFinD公式)'!$AB$69:$AL$69))*(1-实盘持仓配置!$AM$10)^(('实盘净值数据(iFinD公式)'!$A226-'实盘净值数据(iFinD公式)'!$A$69)/365))</f>
        <v/>
      </c>
      <c r="U226" s="16" t="str">
        <f t="shared" si="28"/>
        <v/>
      </c>
      <c r="V226" s="16" t="str">
        <f>IF(T226="","",T226/MAX(T$5:T226)-1)</f>
        <v/>
      </c>
    </row>
    <row r="227" spans="1:22">
      <c r="A227" s="15" t="str">
        <f>IF('实盘净值数据(iFinD公式)'!A227="","",'实盘净值数据(iFinD公式)'!A227)</f>
        <v/>
      </c>
      <c r="B227" s="13" t="str">
        <f>IF(OR('实盘净值数据(iFinD公式)'!$A227="",'实盘净值数据(iFinD公式)'!$B227=""),"",分期持仓明细!$AB$17*SUMPRODUCT(分期持仓明细!$B$17:$Y$17,'实盘净值数据(iFinD公式)'!$B227:$Y227/'实盘净值数据(iFinD公式)'!$B$20:$Y$20)*(1-实盘持仓配置!$AM$4)^(('实盘净值数据(iFinD公式)'!$A227-'实盘净值数据(iFinD公式)'!$A$6)/365))</f>
        <v/>
      </c>
      <c r="C227" s="16" t="str">
        <f t="shared" si="29"/>
        <v/>
      </c>
      <c r="D227" s="16" t="str">
        <f>IF(B227="","",B227/MAX(B$5:B227)-1)</f>
        <v/>
      </c>
      <c r="E227" s="13" t="str">
        <f>IF(OR('实盘净值数据(iFinD公式)'!$A227="",'实盘净值数据(iFinD公式)'!$B227=""),"",分期持仓明细!$AB$18*SUMPRODUCT(分期持仓明细!$B$18:$Y$18,'实盘净值数据(iFinD公式)'!$B227:$Y227/'实盘净值数据(iFinD公式)'!$B$20:$Y$20)*(1-实盘持仓配置!$AM$5)^(('实盘净值数据(iFinD公式)'!$A227-'实盘净值数据(iFinD公式)'!$A$5)/365))</f>
        <v/>
      </c>
      <c r="F227" s="16" t="str">
        <f t="shared" si="30"/>
        <v/>
      </c>
      <c r="G227" s="16" t="str">
        <f>IF(E227="","",E227/MAX(E$5:E227)-1)</f>
        <v/>
      </c>
      <c r="H227" s="13" t="str">
        <f>IF(OR('实盘净值数据(iFinD公式)'!$A227="",'实盘净值数据(iFinD公式)'!$B227=""),"",分期持仓明细!$AB$19*SUMPRODUCT(分期持仓明细!$B$19:$Y$19,'实盘净值数据(iFinD公式)'!$B227:$Y227/'实盘净值数据(iFinD公式)'!$B$20:$Y$20)*(1-实盘持仓配置!$AM$6)^(('实盘净值数据(iFinD公式)'!$A227-'实盘净值数据(iFinD公式)'!$A$7)/365))</f>
        <v/>
      </c>
      <c r="I227" s="16" t="str">
        <f t="shared" si="31"/>
        <v/>
      </c>
      <c r="J227" s="16" t="str">
        <f>IF(H227="","",H227/MAX(H$5:H227)-1)</f>
        <v/>
      </c>
      <c r="K227" s="13" t="str">
        <f>IF(OR('实盘净值数据(iFinD公式)'!$A227="",'实盘净值数据(iFinD公式)'!$B227="",'实盘净值数据(iFinD公式)'!$Z227="",'实盘净值数据(iFinD公式)'!$AA227=""),"",分期持仓明细!$AB$23*(SUMPRODUCT(分期持仓明细!$B$23:$Y$23,'实盘净值数据(iFinD公式)'!$B227:$Y227/'实盘净值数据(iFinD公式)'!$B$65:$Y$65)+SUMPRODUCT(分期持仓明细!$AC$23:$AD$23,'实盘净值数据(iFinD公式)'!$Z227:$AA227/'实盘净值数据(iFinD公式)'!$Z$65:$AA$65))*(1-实盘持仓配置!$AM$7)^(('实盘净值数据(iFinD公式)'!$A227-'实盘净值数据(iFinD公式)'!$A$8)/365))</f>
        <v/>
      </c>
      <c r="L227" s="16" t="str">
        <f t="shared" si="32"/>
        <v/>
      </c>
      <c r="M227" s="16" t="str">
        <f>IF(K227="","",K227/MAX(K$5:K227)-1)</f>
        <v/>
      </c>
      <c r="N227" s="13" t="str">
        <f>IF(OR('实盘净值数据(iFinD公式)'!$A227="",'实盘净值数据(iFinD公式)'!$B227="",'实盘净值数据(iFinD公式)'!$Z227="",'实盘净值数据(iFinD公式)'!$AA227=""),"",分期持仓明细!$AB$24*(SUMPRODUCT(分期持仓明细!$B$24:$Y$24,'实盘净值数据(iFinD公式)'!$B227:$Y227/'实盘净值数据(iFinD公式)'!$B$65:$Y$65)+SUMPRODUCT(分期持仓明细!$AC$24:$AD$24,'实盘净值数据(iFinD公式)'!$Z227:$AA227/'实盘净值数据(iFinD公式)'!$Z$65:$AA$65))*(1-实盘持仓配置!$AM$8)^(('实盘净值数据(iFinD公式)'!$A227-'实盘净值数据(iFinD公式)'!$A$5)/365))</f>
        <v/>
      </c>
      <c r="O227" s="16" t="str">
        <f t="shared" si="33"/>
        <v/>
      </c>
      <c r="P227" s="16" t="str">
        <f>IF(N227="","",N227/MAX(N$5:N227)-1)</f>
        <v/>
      </c>
      <c r="Q227" s="13" t="str">
        <f>IF(OR('实盘净值数据(iFinD公式)'!$A227="",'实盘净值数据(iFinD公式)'!$B227="",'实盘净值数据(iFinD公式)'!$Z227="",'实盘净值数据(iFinD公式)'!$AA227=""),"",分期持仓明细!$AB$25*(SUMPRODUCT(分期持仓明细!$B$25:$Y$25,'实盘净值数据(iFinD公式)'!$B227:$Y227/'实盘净值数据(iFinD公式)'!$B$65:$Y$65)+SUMPRODUCT(分期持仓明细!$AC$25:$AD$25,'实盘净值数据(iFinD公式)'!$Z227:$AA227/'实盘净值数据(iFinD公式)'!$Z$65:$AA$65))*(1-实盘持仓配置!$AM$9)^(('实盘净值数据(iFinD公式)'!$A227-'实盘净值数据(iFinD公式)'!$A$8)/365))</f>
        <v/>
      </c>
      <c r="R227" s="16" t="str">
        <f t="shared" si="34"/>
        <v/>
      </c>
      <c r="S227" s="16" t="str">
        <f>IF(Q227="","",Q227/MAX(Q$5:Q227)-1)</f>
        <v/>
      </c>
      <c r="T227" s="13" t="str">
        <f>IF(OR('实盘净值数据(iFinD公式)'!$A227="",'实盘净值数据(iFinD公式)'!$B227="",'实盘净值数据(iFinD公式)'!$Z227="",'实盘净值数据(iFinD公式)'!$AA227="",'实盘净值数据(iFinD公式)'!$AB227="",'实盘净值数据(iFinD公式)'!$AL227=""),"",(SUMPRODUCT(分期持仓明细!$B$26:$Y$26,'实盘净值数据(iFinD公式)'!$B227:$Y227/'实盘净值数据(iFinD公式)'!$B$69:$Y$69)+SUMPRODUCT(分期持仓明细!$AC$26:$AD$26,'实盘净值数据(iFinD公式)'!$Z227:$AA227/'实盘净值数据(iFinD公式)'!$Z$69:$AA$69)+SUMPRODUCT(分期持仓明细!$AE$26:$AO$26,'实盘净值数据(iFinD公式)'!$AB227:$AL227/'实盘净值数据(iFinD公式)'!$AB$69:$AL$69))*(1-实盘持仓配置!$AM$10)^(('实盘净值数据(iFinD公式)'!$A227-'实盘净值数据(iFinD公式)'!$A$69)/365))</f>
        <v/>
      </c>
      <c r="U227" s="16" t="str">
        <f t="shared" si="28"/>
        <v/>
      </c>
      <c r="V227" s="16" t="str">
        <f>IF(T227="","",T227/MAX(T$5:T227)-1)</f>
        <v/>
      </c>
    </row>
  </sheetData>
  <mergeCells count="1">
    <mergeCell ref="A1:J2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4"/>
  <sheetViews>
    <sheetView showGridLines="0" zoomScaleNormal="100" workbookViewId="0">
      <pane xSplit="1" ySplit="4" topLeftCell="Q86" activePane="bottomRight" state="frozen"/>
      <selection pane="topRight" activeCell="B1" sqref="B1"/>
      <selection pane="bottomLeft" activeCell="A5" sqref="A5"/>
      <selection pane="bottomRight" activeCell="Y96" sqref="Y96"/>
    </sheetView>
  </sheetViews>
  <sheetFormatPr defaultColWidth="9.54296875" defaultRowHeight="12.5"/>
  <cols>
    <col min="1" max="1" width="18.1796875" customWidth="1"/>
    <col min="28" max="38" width="13" customWidth="1"/>
  </cols>
  <sheetData>
    <row r="1" spans="1:38" ht="19.5" customHeight="1">
      <c r="A1" s="241" t="s">
        <v>58</v>
      </c>
      <c r="B1" s="241"/>
      <c r="C1" s="241"/>
      <c r="D1" s="241"/>
    </row>
    <row r="2" spans="1:38" ht="14">
      <c r="A2" s="11">
        <f ca="1">TODAY()</f>
        <v>46321</v>
      </c>
    </row>
    <row r="3" spans="1:38" ht="24.75" customHeight="1">
      <c r="A3" s="1" t="s">
        <v>59</v>
      </c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60</v>
      </c>
      <c r="Z3" s="12" t="s">
        <v>348</v>
      </c>
      <c r="AA3" s="12" t="s">
        <v>349</v>
      </c>
      <c r="AB3" s="12" t="str">
        <f>实盘持仓配置!Y3</f>
        <v>008779.OF</v>
      </c>
      <c r="AC3" s="12" t="str">
        <f>实盘持仓配置!Z3</f>
        <v>006594.OF</v>
      </c>
      <c r="AD3" s="12" t="str">
        <f>实盘持仓配置!AA3</f>
        <v>017954.OF</v>
      </c>
      <c r="AE3" s="12" t="str">
        <f>实盘持仓配置!AB3</f>
        <v>019919.OF</v>
      </c>
      <c r="AF3" s="12" t="str">
        <f>实盘持仓配置!AC3</f>
        <v>070019.OF</v>
      </c>
      <c r="AG3" s="12" t="str">
        <f>实盘持仓配置!AD3</f>
        <v>000884.OF</v>
      </c>
      <c r="AH3" s="12" t="str">
        <f>实盘持仓配置!AE3</f>
        <v>090013.OF</v>
      </c>
      <c r="AI3" s="12" t="str">
        <f>实盘持仓配置!AF3</f>
        <v>121010.OF</v>
      </c>
      <c r="AJ3" s="12" t="str">
        <f>实盘持仓配置!AG3</f>
        <v>007466.OF</v>
      </c>
      <c r="AK3" s="12" t="str">
        <f>实盘持仓配置!AH3</f>
        <v>008114.OF</v>
      </c>
      <c r="AL3" s="12" t="str">
        <f>实盘持仓配置!AK3</f>
        <v>016581.OF</v>
      </c>
    </row>
    <row r="4" spans="1:38" ht="51.75" customHeight="1">
      <c r="A4" s="1" t="str">
        <f ca="1">[1]!HX_AutoDate(1,"2026-06-18",A2,-1,-1,0,0,0,0,0,"SSE",86,0)</f>
        <v>日期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61</v>
      </c>
      <c r="Z4" s="3" t="s">
        <v>350</v>
      </c>
      <c r="AA4" s="3" t="s">
        <v>351</v>
      </c>
      <c r="AB4" s="3" t="s">
        <v>383</v>
      </c>
      <c r="AC4" s="3" t="s">
        <v>384</v>
      </c>
      <c r="AD4" s="3" t="s">
        <v>385</v>
      </c>
      <c r="AE4" s="3" t="s">
        <v>386</v>
      </c>
      <c r="AF4" s="3" t="s">
        <v>387</v>
      </c>
      <c r="AG4" s="3" t="s">
        <v>388</v>
      </c>
      <c r="AH4" s="3" t="s">
        <v>389</v>
      </c>
      <c r="AI4" s="3" t="s">
        <v>390</v>
      </c>
      <c r="AJ4" s="3" t="s">
        <v>391</v>
      </c>
      <c r="AK4" s="3" t="s">
        <v>392</v>
      </c>
      <c r="AL4" s="3" t="s">
        <v>393</v>
      </c>
    </row>
    <row r="5" spans="1:38">
      <c r="A5" s="9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>1.513124479</v>
      </c>
      <c r="AA5" s="13">
        <f>IF($A5="","",[1]!thsiFinD("ths_adjustment_nv_fund",AA$3,$A5))</f>
        <v>1.2319147792</v>
      </c>
      <c r="AB5" s="13">
        <f>IF($A5="","",[1]!thsiFinD("ths_adjustment_nv_fund",AB$3,$A5))</f>
        <v>1.8303</v>
      </c>
      <c r="AC5" s="13">
        <f>IF($A5="","",[1]!thsiFinD("ths_adjustment_nv_fund",AC$3,$A5))</f>
        <v>3.2385223660000002</v>
      </c>
      <c r="AD5" s="13">
        <f>IF($A5="","",[1]!thsiFinD("ths_adjustment_nv_fund",AD$3,$A5))</f>
        <v>1.8745000000000001</v>
      </c>
      <c r="AE5" s="13">
        <f>IF($A5="","",[1]!thsiFinD("ths_adjustment_nv_fund",AE$3,$A5))</f>
        <v>2.0950000000000002</v>
      </c>
      <c r="AF5" s="13">
        <f>IF($A5="","",[1]!thsiFinD("ths_adjustment_nv_fund",AF$3,$A5))</f>
        <v>3.3998816716000002</v>
      </c>
      <c r="AG5" s="13">
        <f>IF($A5="","",[1]!thsiFinD("ths_adjustment_nv_fund",AG$3,$A5))</f>
        <v>1.6452214346</v>
      </c>
      <c r="AH5" s="13">
        <f>IF($A5="","",[1]!thsiFinD("ths_adjustment_nv_fund",AH$3,$A5))</f>
        <v>4.4109633675</v>
      </c>
      <c r="AI5" s="13">
        <f>IF($A5="","",[1]!thsiFinD("ths_adjustment_nv_fund",AI$3,$A5))</f>
        <v>4.7276719309999997</v>
      </c>
      <c r="AJ5" s="13">
        <f>IF($A5="","",[1]!thsiFinD("ths_adjustment_nv_fund",AJ$3,$A5))</f>
        <v>1.8909889261999999</v>
      </c>
      <c r="AK5" s="13">
        <f>IF($A5="","",[1]!thsiFinD("ths_adjustment_nv_fund",AK$3,$A5))</f>
        <v>1.6802994499999999</v>
      </c>
      <c r="AL5" s="13">
        <f>IF($A5="","",[1]!thsiFinD("ths_adjustment_nv_fund",AL$3,$A5))</f>
        <v>1.9272</v>
      </c>
    </row>
    <row r="6" spans="1:38">
      <c r="A6" s="9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>1.5124635335000001</v>
      </c>
      <c r="AA6" s="13">
        <f>IF($A6="","",[1]!thsiFinD("ths_adjustment_nv_fund",AA$3,$A6))</f>
        <v>1.2316790285999999</v>
      </c>
      <c r="AB6" s="13">
        <f>IF($A6="","",[1]!thsiFinD("ths_adjustment_nv_fund",AB$3,$A6))</f>
        <v>1.8686</v>
      </c>
      <c r="AC6" s="13">
        <f>IF($A6="","",[1]!thsiFinD("ths_adjustment_nv_fund",AC$3,$A6))</f>
        <v>3.3110004117999998</v>
      </c>
      <c r="AD6" s="13">
        <f>IF($A6="","",[1]!thsiFinD("ths_adjustment_nv_fund",AD$3,$A6))</f>
        <v>1.8953</v>
      </c>
      <c r="AE6" s="13">
        <f>IF($A6="","",[1]!thsiFinD("ths_adjustment_nv_fund",AE$3,$A6))</f>
        <v>2.1133000000000002</v>
      </c>
      <c r="AF6" s="13">
        <f>IF($A6="","",[1]!thsiFinD("ths_adjustment_nv_fund",AF$3,$A6))</f>
        <v>3.4792018752999998</v>
      </c>
      <c r="AG6" s="13">
        <f>IF($A6="","",[1]!thsiFinD("ths_adjustment_nv_fund",AG$3,$A6))</f>
        <v>1.6590997467999999</v>
      </c>
      <c r="AH6" s="13">
        <f>IF($A6="","",[1]!thsiFinD("ths_adjustment_nv_fund",AH$3,$A6))</f>
        <v>4.4027542409000002</v>
      </c>
      <c r="AI6" s="13">
        <f>IF($A6="","",[1]!thsiFinD("ths_adjustment_nv_fund",AI$3,$A6))</f>
        <v>4.8532032088000001</v>
      </c>
      <c r="AJ6" s="13">
        <f>IF($A6="","",[1]!thsiFinD("ths_adjustment_nv_fund",AJ$3,$A6))</f>
        <v>1.8938016239</v>
      </c>
      <c r="AK6" s="13">
        <f>IF($A6="","",[1]!thsiFinD("ths_adjustment_nv_fund",AK$3,$A6))</f>
        <v>1.6847785819000001</v>
      </c>
      <c r="AL6" s="13">
        <f>IF($A6="","",[1]!thsiFinD("ths_adjustment_nv_fund",AL$3,$A6))</f>
        <v>1.8854</v>
      </c>
    </row>
    <row r="7" spans="1:38">
      <c r="A7" s="9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>1.5115822728999999</v>
      </c>
      <c r="AA7" s="13">
        <f>IF($A7="","",[1]!thsiFinD("ths_adjustment_nv_fund",AA$3,$A7))</f>
        <v>1.2313254027</v>
      </c>
      <c r="AB7" s="13">
        <f>IF($A7="","",[1]!thsiFinD("ths_adjustment_nv_fund",AB$3,$A7))</f>
        <v>1.8331</v>
      </c>
      <c r="AC7" s="13">
        <f>IF($A7="","",[1]!thsiFinD("ths_adjustment_nv_fund",AC$3,$A7))</f>
        <v>3.2534051701000002</v>
      </c>
      <c r="AD7" s="13">
        <f>IF($A7="","",[1]!thsiFinD("ths_adjustment_nv_fund",AD$3,$A7))</f>
        <v>1.8653999999999999</v>
      </c>
      <c r="AE7" s="13">
        <f>IF($A7="","",[1]!thsiFinD("ths_adjustment_nv_fund",AE$3,$A7))</f>
        <v>2.09</v>
      </c>
      <c r="AF7" s="13">
        <f>IF($A7="","",[1]!thsiFinD("ths_adjustment_nv_fund",AF$3,$A7))</f>
        <v>3.3609992188</v>
      </c>
      <c r="AG7" s="13">
        <f>IF($A7="","",[1]!thsiFinD("ths_adjustment_nv_fund",AG$3,$A7))</f>
        <v>1.6517524051000001</v>
      </c>
      <c r="AH7" s="13">
        <f>IF($A7="","",[1]!thsiFinD("ths_adjustment_nv_fund",AH$3,$A7))</f>
        <v>4.3836735683999999</v>
      </c>
      <c r="AI7" s="13">
        <f>IF($A7="","",[1]!thsiFinD("ths_adjustment_nv_fund",AI$3,$A7))</f>
        <v>4.7865896261999996</v>
      </c>
      <c r="AJ7" s="13">
        <f>IF($A7="","",[1]!thsiFinD("ths_adjustment_nv_fund",AJ$3,$A7))</f>
        <v>1.9028511732</v>
      </c>
      <c r="AK7" s="13">
        <f>IF($A7="","",[1]!thsiFinD("ths_adjustment_nv_fund",AK$3,$A7))</f>
        <v>1.6863410697000001</v>
      </c>
      <c r="AL7" s="13">
        <f>IF($A7="","",[1]!thsiFinD("ths_adjustment_nv_fund",AL$3,$A7))</f>
        <v>1.8489</v>
      </c>
    </row>
    <row r="8" spans="1:38">
      <c r="A8" s="9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>1.5119127456999999</v>
      </c>
      <c r="AA8" s="13">
        <f>IF($A8="","",[1]!thsiFinD("ths_adjustment_nv_fund",AA$3,$A8))</f>
        <v>1.2316790285999999</v>
      </c>
      <c r="AB8" s="13">
        <f>IF($A8="","",[1]!thsiFinD("ths_adjustment_nv_fund",AB$3,$A8))</f>
        <v>1.8718999999999999</v>
      </c>
      <c r="AC8" s="13">
        <f>IF($A8="","",[1]!thsiFinD("ths_adjustment_nv_fund",AC$3,$A8))</f>
        <v>3.3099114261999998</v>
      </c>
      <c r="AD8" s="13">
        <f>IF($A8="","",[1]!thsiFinD("ths_adjustment_nv_fund",AD$3,$A8))</f>
        <v>1.8762000000000001</v>
      </c>
      <c r="AE8" s="13">
        <f>IF($A8="","",[1]!thsiFinD("ths_adjustment_nv_fund",AE$3,$A8))</f>
        <v>2.0979999999999999</v>
      </c>
      <c r="AF8" s="13">
        <f>IF($A8="","",[1]!thsiFinD("ths_adjustment_nv_fund",AF$3,$A8))</f>
        <v>3.3423356415000001</v>
      </c>
      <c r="AG8" s="13">
        <f>IF($A8="","",[1]!thsiFinD("ths_adjustment_nv_fund",AG$3,$A8))</f>
        <v>1.6298270042</v>
      </c>
      <c r="AH8" s="13">
        <f>IF($A8="","",[1]!thsiFinD("ths_adjustment_nv_fund",AH$3,$A8))</f>
        <v>4.3495058526000001</v>
      </c>
      <c r="AI8" s="13">
        <f>IF($A8="","",[1]!thsiFinD("ths_adjustment_nv_fund",AI$3,$A8))</f>
        <v>4.8277184670000004</v>
      </c>
      <c r="AJ8" s="13">
        <f>IF($A8="","",[1]!thsiFinD("ths_adjustment_nv_fund",AJ$3,$A8))</f>
        <v>1.8697102563000001</v>
      </c>
      <c r="AK8" s="13">
        <f>IF($A8="","",[1]!thsiFinD("ths_adjustment_nv_fund",AK$3,$A8))</f>
        <v>1.6552996441000001</v>
      </c>
      <c r="AL8" s="13">
        <f>IF($A8="","",[1]!thsiFinD("ths_adjustment_nv_fund",AL$3,$A8))</f>
        <v>1.8426</v>
      </c>
    </row>
    <row r="9" spans="1:38">
      <c r="A9" s="9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>1.5136752669</v>
      </c>
      <c r="AA9" s="13">
        <f>IF($A9="","",[1]!thsiFinD("ths_adjustment_nv_fund",AA$3,$A9))</f>
        <v>1.232622031</v>
      </c>
      <c r="AB9" s="13">
        <f>IF($A9="","",[1]!thsiFinD("ths_adjustment_nv_fund",AB$3,$A9))</f>
        <v>1.8904000000000001</v>
      </c>
      <c r="AC9" s="13">
        <f>IF($A9="","",[1]!thsiFinD("ths_adjustment_nv_fund",AC$3,$A9))</f>
        <v>3.3401610279999998</v>
      </c>
      <c r="AD9" s="13">
        <f>IF($A9="","",[1]!thsiFinD("ths_adjustment_nv_fund",AD$3,$A9))</f>
        <v>1.8701000000000001</v>
      </c>
      <c r="AE9" s="13">
        <f>IF($A9="","",[1]!thsiFinD("ths_adjustment_nv_fund",AE$3,$A9))</f>
        <v>2.0781999999999998</v>
      </c>
      <c r="AF9" s="13">
        <f>IF($A9="","",[1]!thsiFinD("ths_adjustment_nv_fund",AF$3,$A9))</f>
        <v>3.3252273623000002</v>
      </c>
      <c r="AG9" s="13">
        <f>IF($A9="","",[1]!thsiFinD("ths_adjustment_nv_fund",AG$3,$A9))</f>
        <v>1.6093010969999999</v>
      </c>
      <c r="AH9" s="13">
        <f>IF($A9="","",[1]!thsiFinD("ths_adjustment_nv_fund",AH$3,$A9))</f>
        <v>4.3386343067000004</v>
      </c>
      <c r="AI9" s="13">
        <f>IF($A9="","",[1]!thsiFinD("ths_adjustment_nv_fund",AI$3,$A9))</f>
        <v>4.8477782390000002</v>
      </c>
      <c r="AJ9" s="13">
        <f>IF($A9="","",[1]!thsiFinD("ths_adjustment_nv_fund",AJ$3,$A9))</f>
        <v>1.8507551193</v>
      </c>
      <c r="AK9" s="13">
        <f>IF($A9="","",[1]!thsiFinD("ths_adjustment_nv_fund",AK$3,$A9))</f>
        <v>1.6420705802</v>
      </c>
      <c r="AL9" s="13">
        <f>IF($A9="","",[1]!thsiFinD("ths_adjustment_nv_fund",AL$3,$A9))</f>
        <v>1.7928999999999999</v>
      </c>
    </row>
    <row r="10" spans="1:38">
      <c r="A10" s="9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>1.5141158971999999</v>
      </c>
      <c r="AA10" s="13">
        <f>IF($A10="","",[1]!thsiFinD("ths_adjustment_nv_fund",AA$3,$A10))</f>
        <v>1.2329756569000001</v>
      </c>
      <c r="AB10" s="13">
        <f>IF($A10="","",[1]!thsiFinD("ths_adjustment_nv_fund",AB$3,$A10))</f>
        <v>1.8480000000000001</v>
      </c>
      <c r="AC10" s="13">
        <f>IF($A10="","",[1]!thsiFinD("ths_adjustment_nv_fund",AC$3,$A10))</f>
        <v>3.2473552497</v>
      </c>
      <c r="AD10" s="13">
        <f>IF($A10="","",[1]!thsiFinD("ths_adjustment_nv_fund",AD$3,$A10))</f>
        <v>1.8140000000000001</v>
      </c>
      <c r="AE10" s="13">
        <f>IF($A10="","",[1]!thsiFinD("ths_adjustment_nv_fund",AE$3,$A10))</f>
        <v>2.0163000000000002</v>
      </c>
      <c r="AF10" s="13">
        <f>IF($A10="","",[1]!thsiFinD("ths_adjustment_nv_fund",AF$3,$A10))</f>
        <v>3.2645707359</v>
      </c>
      <c r="AG10" s="13">
        <f>IF($A10="","",[1]!thsiFinD("ths_adjustment_nv_fund",AG$3,$A10))</f>
        <v>1.5946064135</v>
      </c>
      <c r="AH10" s="13">
        <f>IF($A10="","",[1]!thsiFinD("ths_adjustment_nv_fund",AH$3,$A10))</f>
        <v>4.2707426116000002</v>
      </c>
      <c r="AI10" s="13">
        <f>IF($A10="","",[1]!thsiFinD("ths_adjustment_nv_fund",AI$3,$A10))</f>
        <v>4.8138406373000002</v>
      </c>
      <c r="AJ10" s="13">
        <f>IF($A10="","",[1]!thsiFinD("ths_adjustment_nv_fund",AJ$3,$A10))</f>
        <v>1.8426838995999999</v>
      </c>
      <c r="AK10" s="13">
        <f>IF($A10="","",[1]!thsiFinD("ths_adjustment_nv_fund",AK$3,$A10))</f>
        <v>1.6225915648</v>
      </c>
      <c r="AL10" s="13">
        <f>IF($A10="","",[1]!thsiFinD("ths_adjustment_nv_fund",AL$3,$A10))</f>
        <v>1.8132999999999999</v>
      </c>
    </row>
    <row r="11" spans="1:38">
      <c r="A11" s="9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>1.5164292063</v>
      </c>
      <c r="AA11" s="13">
        <f>IF($A11="","",[1]!thsiFinD("ths_adjustment_nv_fund",AA$3,$A11))</f>
        <v>1.2343901606000001</v>
      </c>
      <c r="AB11" s="13">
        <f>IF($A11="","",[1]!thsiFinD("ths_adjustment_nv_fund",AB$3,$A11))</f>
        <v>1.8709</v>
      </c>
      <c r="AC11" s="13">
        <f>IF($A11="","",[1]!thsiFinD("ths_adjustment_nv_fund",AC$3,$A11))</f>
        <v>3.2705869439000002</v>
      </c>
      <c r="AD11" s="13">
        <f>IF($A11="","",[1]!thsiFinD("ths_adjustment_nv_fund",AD$3,$A11))</f>
        <v>1.8085</v>
      </c>
      <c r="AE11" s="13">
        <f>IF($A11="","",[1]!thsiFinD("ths_adjustment_nv_fund",AE$3,$A11))</f>
        <v>1.9964</v>
      </c>
      <c r="AF11" s="13">
        <f>IF($A11="","",[1]!thsiFinD("ths_adjustment_nv_fund",AF$3,$A11))</f>
        <v>3.2925661018999999</v>
      </c>
      <c r="AG11" s="13">
        <f>IF($A11="","",[1]!thsiFinD("ths_adjustment_nv_fund",AG$3,$A11))</f>
        <v>1.6119834599</v>
      </c>
      <c r="AH11" s="13">
        <f>IF($A11="","",[1]!thsiFinD("ths_adjustment_nv_fund",AH$3,$A11))</f>
        <v>4.3182224245</v>
      </c>
      <c r="AI11" s="13">
        <f>IF($A11="","",[1]!thsiFinD("ths_adjustment_nv_fund",AI$3,$A11))</f>
        <v>4.8407131620000001</v>
      </c>
      <c r="AJ11" s="13">
        <f>IF($A11="","",[1]!thsiFinD("ths_adjustment_nv_fund",AJ$3,$A11))</f>
        <v>1.8545461467</v>
      </c>
      <c r="AK11" s="13">
        <f>IF($A11="","",[1]!thsiFinD("ths_adjustment_nv_fund",AK$3,$A11))</f>
        <v>1.644466395</v>
      </c>
      <c r="AL11" s="13">
        <f>IF($A11="","",[1]!thsiFinD("ths_adjustment_nv_fund",AL$3,$A11))</f>
        <v>1.8265</v>
      </c>
    </row>
    <row r="12" spans="1:38">
      <c r="A12" s="9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>1.5149971578000001</v>
      </c>
      <c r="AA12" s="13">
        <f>IF($A12="","",[1]!thsiFinD("ths_adjustment_nv_fund",AA$3,$A12))</f>
        <v>1.2338007841</v>
      </c>
      <c r="AB12" s="13">
        <f>IF($A12="","",[1]!thsiFinD("ths_adjustment_nv_fund",AB$3,$A12))</f>
        <v>1.9165000000000001</v>
      </c>
      <c r="AC12" s="13">
        <f>IF($A12="","",[1]!thsiFinD("ths_adjustment_nv_fund",AC$3,$A12))</f>
        <v>3.3419760041000002</v>
      </c>
      <c r="AD12" s="13">
        <f>IF($A12="","",[1]!thsiFinD("ths_adjustment_nv_fund",AD$3,$A12))</f>
        <v>1.8512</v>
      </c>
      <c r="AE12" s="13">
        <f>IF($A12="","",[1]!thsiFinD("ths_adjustment_nv_fund",AE$3,$A12))</f>
        <v>2.0508999999999999</v>
      </c>
      <c r="AF12" s="13">
        <f>IF($A12="","",[1]!thsiFinD("ths_adjustment_nv_fund",AF$3,$A12))</f>
        <v>3.2381306680000002</v>
      </c>
      <c r="AG12" s="13">
        <f>IF($A12="","",[1]!thsiFinD("ths_adjustment_nv_fund",AG$3,$A12))</f>
        <v>1.5935567932000001</v>
      </c>
      <c r="AH12" s="13">
        <f>IF($A12="","",[1]!thsiFinD("ths_adjustment_nv_fund",AH$3,$A12))</f>
        <v>4.3020260397000003</v>
      </c>
      <c r="AI12" s="13">
        <f>IF($A12="","",[1]!thsiFinD("ths_adjustment_nv_fund",AI$3,$A12))</f>
        <v>4.8482828872999999</v>
      </c>
      <c r="AJ12" s="13">
        <f>IF($A12="","",[1]!thsiFinD("ths_adjustment_nv_fund",AJ$3,$A12))</f>
        <v>1.8212829385</v>
      </c>
      <c r="AK12" s="13">
        <f>IF($A12="","",[1]!thsiFinD("ths_adjustment_nv_fund",AK$3,$A12))</f>
        <v>1.6161332817</v>
      </c>
      <c r="AL12" s="13">
        <f>IF($A12="","",[1]!thsiFinD("ths_adjustment_nv_fund",AL$3,$A12))</f>
        <v>1.8091999999999999</v>
      </c>
    </row>
    <row r="13" spans="1:38">
      <c r="A13" s="9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>1.5130143214</v>
      </c>
      <c r="AA13" s="13">
        <f>IF($A13="","",[1]!thsiFinD("ths_adjustment_nv_fund",AA$3,$A13))</f>
        <v>1.2327399063</v>
      </c>
      <c r="AB13" s="13">
        <f>IF($A13="","",[1]!thsiFinD("ths_adjustment_nv_fund",AB$3,$A13))</f>
        <v>1.9117</v>
      </c>
      <c r="AC13" s="13">
        <f>IF($A13="","",[1]!thsiFinD("ths_adjustment_nv_fund",AC$3,$A13))</f>
        <v>3.3492359084999999</v>
      </c>
      <c r="AD13" s="13">
        <f>IF($A13="","",[1]!thsiFinD("ths_adjustment_nv_fund",AD$3,$A13))</f>
        <v>1.8641000000000001</v>
      </c>
      <c r="AE13" s="13">
        <f>IF($A13="","",[1]!thsiFinD("ths_adjustment_nv_fund",AE$3,$A13))</f>
        <v>2.0749</v>
      </c>
      <c r="AF13" s="13">
        <f>IF($A13="","",[1]!thsiFinD("ths_adjustment_nv_fund",AF$3,$A13))</f>
        <v>3.3003425924999998</v>
      </c>
      <c r="AG13" s="13">
        <f>IF($A13="","",[1]!thsiFinD("ths_adjustment_nv_fund",AG$3,$A13))</f>
        <v>1.6166484388</v>
      </c>
      <c r="AH13" s="13">
        <f>IF($A13="","",[1]!thsiFinD("ths_adjustment_nv_fund",AH$3,$A13))</f>
        <v>4.3472871698000004</v>
      </c>
      <c r="AI13" s="13">
        <f>IF($A13="","",[1]!thsiFinD("ths_adjustment_nv_fund",AI$3,$A13))</f>
        <v>4.9387411046</v>
      </c>
      <c r="AJ13" s="13">
        <f>IF($A13="","",[1]!thsiFinD("ths_adjustment_nv_fund",AJ$3,$A13))</f>
        <v>1.8380368337999999</v>
      </c>
      <c r="AK13" s="13">
        <f>IF($A13="","",[1]!thsiFinD("ths_adjustment_nv_fund",AK$3,$A13))</f>
        <v>1.6389456044999999</v>
      </c>
      <c r="AL13" s="13">
        <f>IF($A13="","",[1]!thsiFinD("ths_adjustment_nv_fund",AL$3,$A13))</f>
        <v>1.7864</v>
      </c>
    </row>
    <row r="14" spans="1:38">
      <c r="A14" s="9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>1.5135651093</v>
      </c>
      <c r="AA14" s="13">
        <f>IF($A14="","",[1]!thsiFinD("ths_adjustment_nv_fund",AA$3,$A14))</f>
        <v>1.2329756569000001</v>
      </c>
      <c r="AB14" s="13">
        <f>IF($A14="","",[1]!thsiFinD("ths_adjustment_nv_fund",AB$3,$A14))</f>
        <v>1.8436999999999999</v>
      </c>
      <c r="AC14" s="13">
        <f>IF($A14="","",[1]!thsiFinD("ths_adjustment_nv_fund",AC$3,$A14))</f>
        <v>3.2358604010000001</v>
      </c>
      <c r="AD14" s="13">
        <f>IF($A14="","",[1]!thsiFinD("ths_adjustment_nv_fund",AD$3,$A14))</f>
        <v>1.8319000000000001</v>
      </c>
      <c r="AE14" s="13">
        <f>IF($A14="","",[1]!thsiFinD("ths_adjustment_nv_fund",AE$3,$A14))</f>
        <v>2.0409000000000002</v>
      </c>
      <c r="AF14" s="13">
        <f>IF($A14="","",[1]!thsiFinD("ths_adjustment_nv_fund",AF$3,$A14))</f>
        <v>3.3407803434000001</v>
      </c>
      <c r="AG14" s="13">
        <f>IF($A14="","",[1]!thsiFinD("ths_adjustment_nv_fund",AG$3,$A14))</f>
        <v>1.6216632911</v>
      </c>
      <c r="AH14" s="13">
        <f>IF($A14="","",[1]!thsiFinD("ths_adjustment_nv_fund",AH$3,$A14))</f>
        <v>4.3537213499999998</v>
      </c>
      <c r="AI14" s="13">
        <f>IF($A14="","",[1]!thsiFinD("ths_adjustment_nv_fund",AI$3,$A14))</f>
        <v>4.9441660744</v>
      </c>
      <c r="AJ14" s="13">
        <f>IF($A14="","",[1]!thsiFinD("ths_adjustment_nv_fund",AJ$3,$A14))</f>
        <v>1.8511219929</v>
      </c>
      <c r="AK14" s="13">
        <f>IF($A14="","",[1]!thsiFinD("ths_adjustment_nv_fund",AK$3,$A14))</f>
        <v>1.6573829613</v>
      </c>
      <c r="AL14" s="13">
        <f>IF($A14="","",[1]!thsiFinD("ths_adjustment_nv_fund",AL$3,$A14))</f>
        <v>1.8297000000000001</v>
      </c>
    </row>
    <row r="15" spans="1:38">
      <c r="A15" s="9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>1.5133447942</v>
      </c>
      <c r="AA15" s="13">
        <f>IF($A15="","",[1]!thsiFinD("ths_adjustment_nv_fund",AA$3,$A15))</f>
        <v>1.2330935322000001</v>
      </c>
      <c r="AB15" s="13">
        <f>IF($A15="","",[1]!thsiFinD("ths_adjustment_nv_fund",AB$3,$A15))</f>
        <v>1.8459000000000001</v>
      </c>
      <c r="AC15" s="13">
        <f>IF($A15="","",[1]!thsiFinD("ths_adjustment_nv_fund",AC$3,$A15))</f>
        <v>3.2680459772999999</v>
      </c>
      <c r="AD15" s="13">
        <f>IF($A15="","",[1]!thsiFinD("ths_adjustment_nv_fund",AD$3,$A15))</f>
        <v>1.8480000000000001</v>
      </c>
      <c r="AE15" s="13">
        <f>IF($A15="","",[1]!thsiFinD("ths_adjustment_nv_fund",AE$3,$A15))</f>
        <v>2.0528</v>
      </c>
      <c r="AF15" s="13">
        <f>IF($A15="","",[1]!thsiFinD("ths_adjustment_nv_fund",AF$3,$A15))</f>
        <v>3.3967710753999998</v>
      </c>
      <c r="AG15" s="13">
        <f>IF($A15="","",[1]!thsiFinD("ths_adjustment_nv_fund",AG$3,$A15))</f>
        <v>1.6445216878</v>
      </c>
      <c r="AH15" s="13">
        <f>IF($A15="","",[1]!thsiFinD("ths_adjustment_nv_fund",AH$3,$A15))</f>
        <v>4.3947669827000002</v>
      </c>
      <c r="AI15" s="13">
        <f>IF($A15="","",[1]!thsiFinD("ths_adjustment_nv_fund",AI$3,$A15))</f>
        <v>4.8958459946000001</v>
      </c>
      <c r="AJ15" s="13">
        <f>IF($A15="","",[1]!thsiFinD("ths_adjustment_nv_fund",AJ$3,$A15))</f>
        <v>1.8555244763000001</v>
      </c>
      <c r="AK15" s="13">
        <f>IF($A15="","",[1]!thsiFinD("ths_adjustment_nv_fund",AK$3,$A15))</f>
        <v>1.6664453909000001</v>
      </c>
      <c r="AL15" s="13">
        <f>IF($A15="","",[1]!thsiFinD("ths_adjustment_nv_fund",AL$3,$A15))</f>
        <v>1.8733</v>
      </c>
    </row>
    <row r="16" spans="1:38">
      <c r="A16" s="9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>1.5151073154000001</v>
      </c>
      <c r="AA16" s="13">
        <f>IF($A16="","",[1]!thsiFinD("ths_adjustment_nv_fund",AA$3,$A16))</f>
        <v>1.2338007841</v>
      </c>
      <c r="AB16" s="13">
        <f>IF($A16="","",[1]!thsiFinD("ths_adjustment_nv_fund",AB$3,$A16))</f>
        <v>1.8252999999999999</v>
      </c>
      <c r="AC16" s="13">
        <f>IF($A16="","",[1]!thsiFinD("ths_adjustment_nv_fund",AC$3,$A16))</f>
        <v>3.2396113516999998</v>
      </c>
      <c r="AD16" s="13">
        <f>IF($A16="","",[1]!thsiFinD("ths_adjustment_nv_fund",AD$3,$A16))</f>
        <v>1.8278000000000001</v>
      </c>
      <c r="AE16" s="13">
        <f>IF($A16="","",[1]!thsiFinD("ths_adjustment_nv_fund",AE$3,$A16))</f>
        <v>2.0238999999999998</v>
      </c>
      <c r="AF16" s="13">
        <f>IF($A16="","",[1]!thsiFinD("ths_adjustment_nv_fund",AF$3,$A16))</f>
        <v>3.4589829998999999</v>
      </c>
      <c r="AG16" s="13">
        <f>IF($A16="","",[1]!thsiFinD("ths_adjustment_nv_fund",AG$3,$A16))</f>
        <v>1.6685463291</v>
      </c>
      <c r="AH16" s="13">
        <f>IF($A16="","",[1]!thsiFinD("ths_adjustment_nv_fund",AH$3,$A16))</f>
        <v>4.4145132599999997</v>
      </c>
      <c r="AI16" s="13">
        <f>IF($A16="","",[1]!thsiFinD("ths_adjustment_nv_fund",AI$3,$A16))</f>
        <v>4.9138871732</v>
      </c>
      <c r="AJ16" s="13">
        <f>IF($A16="","",[1]!thsiFinD("ths_adjustment_nv_fund",AJ$3,$A16))</f>
        <v>1.8900105965</v>
      </c>
      <c r="AK16" s="13">
        <f>IF($A16="","",[1]!thsiFinD("ths_adjustment_nv_fund",AK$3,$A16))</f>
        <v>1.6899868747</v>
      </c>
      <c r="AL16" s="13">
        <f>IF($A16="","",[1]!thsiFinD("ths_adjustment_nv_fund",AL$3,$A16))</f>
        <v>1.8672</v>
      </c>
    </row>
    <row r="17" spans="1:38">
      <c r="A17" s="9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>1.5156581033000001</v>
      </c>
      <c r="AA17" s="13">
        <f>IF($A17="","",[1]!thsiFinD("ths_adjustment_nv_fund",AA$3,$A17))</f>
        <v>1.2338007841</v>
      </c>
      <c r="AB17" s="13">
        <f>IF($A17="","",[1]!thsiFinD("ths_adjustment_nv_fund",AB$3,$A17))</f>
        <v>1.7981</v>
      </c>
      <c r="AC17" s="13">
        <f>IF($A17="","",[1]!thsiFinD("ths_adjustment_nv_fund",AC$3,$A17))</f>
        <v>3.1751192007000002</v>
      </c>
      <c r="AD17" s="13">
        <f>IF($A17="","",[1]!thsiFinD("ths_adjustment_nv_fund",AD$3,$A17))</f>
        <v>1.7876000000000001</v>
      </c>
      <c r="AE17" s="13">
        <f>IF($A17="","",[1]!thsiFinD("ths_adjustment_nv_fund",AE$3,$A17))</f>
        <v>1.9789000000000001</v>
      </c>
      <c r="AF17" s="13">
        <f>IF($A17="","",[1]!thsiFinD("ths_adjustment_nv_fund",AF$3,$A17))</f>
        <v>3.3812180942999999</v>
      </c>
      <c r="AG17" s="13">
        <f>IF($A17="","",[1]!thsiFinD("ths_adjustment_nv_fund",AG$3,$A17))</f>
        <v>1.6454546834999999</v>
      </c>
      <c r="AH17" s="13">
        <f>IF($A17="","",[1]!thsiFinD("ths_adjustment_nv_fund",AH$3,$A17))</f>
        <v>4.3759081784999996</v>
      </c>
      <c r="AI17" s="13">
        <f>IF($A17="","",[1]!thsiFinD("ths_adjustment_nv_fund",AI$3,$A17))</f>
        <v>4.8479044011000001</v>
      </c>
      <c r="AJ17" s="13">
        <f>IF($A17="","",[1]!thsiFinD("ths_adjustment_nv_fund",AJ$3,$A17))</f>
        <v>1.8813279209</v>
      </c>
      <c r="AK17" s="13">
        <f>IF($A17="","",[1]!thsiFinD("ths_adjustment_nv_fund",AK$3,$A17))</f>
        <v>1.6700911959</v>
      </c>
      <c r="AL17" s="13">
        <f>IF($A17="","",[1]!thsiFinD("ths_adjustment_nv_fund",AL$3,$A17))</f>
        <v>1.8587</v>
      </c>
    </row>
    <row r="18" spans="1:38">
      <c r="A18" s="9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>1.5162088912</v>
      </c>
      <c r="AA18" s="13">
        <f>IF($A18="","",[1]!thsiFinD("ths_adjustment_nv_fund",AA$3,$A18))</f>
        <v>1.2339186594</v>
      </c>
      <c r="AB18" s="13">
        <f>IF($A18="","",[1]!thsiFinD("ths_adjustment_nv_fund",AB$3,$A18))</f>
        <v>1.7745</v>
      </c>
      <c r="AC18" s="13">
        <f>IF($A18="","",[1]!thsiFinD("ths_adjustment_nv_fund",AC$3,$A18))</f>
        <v>3.1370047024000001</v>
      </c>
      <c r="AD18" s="13">
        <f>IF($A18="","",[1]!thsiFinD("ths_adjustment_nv_fund",AD$3,$A18))</f>
        <v>1.7473000000000001</v>
      </c>
      <c r="AE18" s="13">
        <f>IF($A18="","",[1]!thsiFinD("ths_adjustment_nv_fund",AE$3,$A18))</f>
        <v>1.9262999999999999</v>
      </c>
      <c r="AF18" s="13">
        <f>IF($A18="","",[1]!thsiFinD("ths_adjustment_nv_fund",AF$3,$A18))</f>
        <v>3.3749969017999999</v>
      </c>
      <c r="AG18" s="13">
        <f>IF($A18="","",[1]!thsiFinD("ths_adjustment_nv_fund",AG$3,$A18))</f>
        <v>1.6515191561</v>
      </c>
      <c r="AH18" s="13">
        <f>IF($A18="","",[1]!thsiFinD("ths_adjustment_nv_fund",AH$3,$A18))</f>
        <v>4.3976512703999999</v>
      </c>
      <c r="AI18" s="13">
        <f>IF($A18="","",[1]!thsiFinD("ths_adjustment_nv_fund",AI$3,$A18))</f>
        <v>4.7886082196000004</v>
      </c>
      <c r="AJ18" s="13">
        <f>IF($A18="","",[1]!thsiFinD("ths_adjustment_nv_fund",AJ$3,$A18))</f>
        <v>1.8997938931</v>
      </c>
      <c r="AK18" s="13">
        <f>IF($A18="","",[1]!thsiFinD("ths_adjustment_nv_fund",AK$3,$A18))</f>
        <v>1.6842577526</v>
      </c>
      <c r="AL18" s="13">
        <f>IF($A18="","",[1]!thsiFinD("ths_adjustment_nv_fund",AL$3,$A18))</f>
        <v>1.8554999999999999</v>
      </c>
    </row>
    <row r="19" spans="1:38">
      <c r="A19" s="9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>1.5162088912</v>
      </c>
      <c r="AA19" s="13">
        <f>IF($A19="","",[1]!thsiFinD("ths_adjustment_nv_fund",AA$3,$A19))</f>
        <v>1.2338007841</v>
      </c>
      <c r="AB19" s="13">
        <f>IF($A19="","",[1]!thsiFinD("ths_adjustment_nv_fund",AB$3,$A19))</f>
        <v>1.8269</v>
      </c>
      <c r="AC19" s="13">
        <f>IF($A19="","",[1]!thsiFinD("ths_adjustment_nv_fund",AC$3,$A19))</f>
        <v>3.2311414632000002</v>
      </c>
      <c r="AD19" s="13">
        <f>IF($A19="","",[1]!thsiFinD("ths_adjustment_nv_fund",AD$3,$A19))</f>
        <v>1.7722</v>
      </c>
      <c r="AE19" s="13">
        <f>IF($A19="","",[1]!thsiFinD("ths_adjustment_nv_fund",AE$3,$A19))</f>
        <v>1.9474</v>
      </c>
      <c r="AF19" s="13">
        <f>IF($A19="","",[1]!thsiFinD("ths_adjustment_nv_fund",AF$3,$A19))</f>
        <v>3.3361144491000001</v>
      </c>
      <c r="AG19" s="13">
        <f>IF($A19="","",[1]!thsiFinD("ths_adjustment_nv_fund",AG$3,$A19))</f>
        <v>1.6357748523</v>
      </c>
      <c r="AH19" s="13">
        <f>IF($A19="","",[1]!thsiFinD("ths_adjustment_nv_fund",AH$3,$A19))</f>
        <v>4.4000918215000002</v>
      </c>
      <c r="AI19" s="13">
        <f>IF($A19="","",[1]!thsiFinD("ths_adjustment_nv_fund",AI$3,$A19))</f>
        <v>4.7932762168999998</v>
      </c>
      <c r="AJ19" s="13">
        <f>IF($A19="","",[1]!thsiFinD("ths_adjustment_nv_fund",AJ$3,$A19))</f>
        <v>1.8821270981</v>
      </c>
      <c r="AK19" s="13">
        <f>IF($A19="","",[1]!thsiFinD("ths_adjustment_nv_fund",AK$3,$A19))</f>
        <v>1.6684245421999999</v>
      </c>
      <c r="AL19" s="13">
        <f>IF($A19="","",[1]!thsiFinD("ths_adjustment_nv_fund",AL$3,$A19))</f>
        <v>1.8472</v>
      </c>
    </row>
    <row r="20" spans="1:38">
      <c r="A20" s="9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>1.5160987336</v>
      </c>
      <c r="AA20" s="13">
        <f>IF($A20="","",[1]!thsiFinD("ths_adjustment_nv_fund",AA$3,$A20))</f>
        <v>1.2336829088000001</v>
      </c>
      <c r="AB20" s="13">
        <f>IF($A20="","",[1]!thsiFinD("ths_adjustment_nv_fund",AB$3,$A20))</f>
        <v>1.7996000000000001</v>
      </c>
      <c r="AC20" s="13">
        <f>IF($A20="","",[1]!thsiFinD("ths_adjustment_nv_fund",AC$3,$A20))</f>
        <v>3.1927849680999998</v>
      </c>
      <c r="AD20" s="13">
        <f>IF($A20="","",[1]!thsiFinD("ths_adjustment_nv_fund",AD$3,$A20))</f>
        <v>1.7605</v>
      </c>
      <c r="AE20" s="13">
        <f>IF($A20="","",[1]!thsiFinD("ths_adjustment_nv_fund",AE$3,$A20))</f>
        <v>1.9379</v>
      </c>
      <c r="AF20" s="13">
        <f>IF($A20="","",[1]!thsiFinD("ths_adjustment_nv_fund",AF$3,$A20))</f>
        <v>3.3641098151</v>
      </c>
      <c r="AG20" s="13">
        <f>IF($A20="","",[1]!thsiFinD("ths_adjustment_nv_fund",AG$3,$A20))</f>
        <v>1.6465043038</v>
      </c>
      <c r="AH20" s="13">
        <f>IF($A20="","",[1]!thsiFinD("ths_adjustment_nv_fund",AH$3,$A20))</f>
        <v>4.4220567817000003</v>
      </c>
      <c r="AI20" s="13">
        <f>IF($A20="","",[1]!thsiFinD("ths_adjustment_nv_fund",AI$3,$A20))</f>
        <v>4.7647635848999998</v>
      </c>
      <c r="AJ20" s="13">
        <f>IF($A20="","",[1]!thsiFinD("ths_adjustment_nv_fund",AJ$3,$A20))</f>
        <v>1.8882614018999999</v>
      </c>
      <c r="AK20" s="13">
        <f>IF($A20="","",[1]!thsiFinD("ths_adjustment_nv_fund",AK$3,$A20))</f>
        <v>1.675924484</v>
      </c>
      <c r="AL20" s="13">
        <f>IF($A20="","",[1]!thsiFinD("ths_adjustment_nv_fund",AL$3,$A20))</f>
        <v>1.8474999999999999</v>
      </c>
    </row>
    <row r="21" spans="1:38">
      <c r="A21" s="9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>1.5158784184</v>
      </c>
      <c r="AA21" s="13">
        <f>IF($A21="","",[1]!thsiFinD("ths_adjustment_nv_fund",AA$3,$A21))</f>
        <v>1.2335650334999999</v>
      </c>
      <c r="AB21" s="13">
        <f>IF($A21="","",[1]!thsiFinD("ths_adjustment_nv_fund",AB$3,$A21))</f>
        <v>1.7278</v>
      </c>
      <c r="AC21" s="13">
        <f>IF($A21="","",[1]!thsiFinD("ths_adjustment_nv_fund",AC$3,$A21))</f>
        <v>3.0369390198000001</v>
      </c>
      <c r="AD21" s="13">
        <f>IF($A21="","",[1]!thsiFinD("ths_adjustment_nv_fund",AD$3,$A21))</f>
        <v>1.6702999999999999</v>
      </c>
      <c r="AE21" s="13">
        <f>IF($A21="","",[1]!thsiFinD("ths_adjustment_nv_fund",AE$3,$A21))</f>
        <v>1.8406</v>
      </c>
      <c r="AF21" s="13">
        <f>IF($A21="","",[1]!thsiFinD("ths_adjustment_nv_fund",AF$3,$A21))</f>
        <v>3.3081190829999998</v>
      </c>
      <c r="AG21" s="13">
        <f>IF($A21="","",[1]!thsiFinD("ths_adjustment_nv_fund",AG$3,$A21))</f>
        <v>1.6588664979000001</v>
      </c>
      <c r="AH21" s="13">
        <f>IF($A21="","",[1]!thsiFinD("ths_adjustment_nv_fund",AH$3,$A21))</f>
        <v>4.4171756793999997</v>
      </c>
      <c r="AI21" s="13">
        <f>IF($A21="","",[1]!thsiFinD("ths_adjustment_nv_fund",AI$3,$A21))</f>
        <v>4.7042057825999999</v>
      </c>
      <c r="AJ21" s="13">
        <f>IF($A21="","",[1]!thsiFinD("ths_adjustment_nv_fund",AJ$3,$A21))</f>
        <v>1.9180741184000001</v>
      </c>
      <c r="AK21" s="13">
        <f>IF($A21="","",[1]!thsiFinD("ths_adjustment_nv_fund",AK$3,$A21))</f>
        <v>1.6911326992</v>
      </c>
      <c r="AL21" s="13">
        <f>IF($A21="","",[1]!thsiFinD("ths_adjustment_nv_fund",AL$3,$A21))</f>
        <v>1.8221000000000001</v>
      </c>
    </row>
    <row r="22" spans="1:38">
      <c r="A22" s="9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>1.5160987336</v>
      </c>
      <c r="AA22" s="13">
        <f>IF($A22="","",[1]!thsiFinD("ths_adjustment_nv_fund",AA$3,$A22))</f>
        <v>1.2335650334999999</v>
      </c>
      <c r="AB22" s="13">
        <f>IF($A22="","",[1]!thsiFinD("ths_adjustment_nv_fund",AB$3,$A22))</f>
        <v>1.7542</v>
      </c>
      <c r="AC22" s="13">
        <f>IF($A22="","",[1]!thsiFinD("ths_adjustment_nv_fund",AC$3,$A22))</f>
        <v>3.1083280800000002</v>
      </c>
      <c r="AD22" s="13">
        <f>IF($A22="","",[1]!thsiFinD("ths_adjustment_nv_fund",AD$3,$A22))</f>
        <v>1.7089000000000001</v>
      </c>
      <c r="AE22" s="13">
        <f>IF($A22="","",[1]!thsiFinD("ths_adjustment_nv_fund",AE$3,$A22))</f>
        <v>1.8804000000000001</v>
      </c>
      <c r="AF22" s="13">
        <f>IF($A22="","",[1]!thsiFinD("ths_adjustment_nv_fund",AF$3,$A22))</f>
        <v>3.3812180942999999</v>
      </c>
      <c r="AG22" s="13">
        <f>IF($A22="","",[1]!thsiFinD("ths_adjustment_nv_fund",AG$3,$A22))</f>
        <v>1.6889556118</v>
      </c>
      <c r="AH22" s="13">
        <f>IF($A22="","",[1]!thsiFinD("ths_adjustment_nv_fund",AH$3,$A22))</f>
        <v>4.4622149412000001</v>
      </c>
      <c r="AI22" s="13">
        <f>IF($A22="","",[1]!thsiFinD("ths_adjustment_nv_fund",AI$3,$A22))</f>
        <v>4.7717024997999999</v>
      </c>
      <c r="AJ22" s="13">
        <f>IF($A22="","",[1]!thsiFinD("ths_adjustment_nv_fund",AJ$3,$A22))</f>
        <v>1.9331645058</v>
      </c>
      <c r="AK22" s="13">
        <f>IF($A22="","",[1]!thsiFinD("ths_adjustment_nv_fund",AK$3,$A22))</f>
        <v>1.7061325827</v>
      </c>
      <c r="AL22" s="13">
        <f>IF($A22="","",[1]!thsiFinD("ths_adjustment_nv_fund",AL$3,$A22))</f>
        <v>1.8091999999999999</v>
      </c>
    </row>
    <row r="23" spans="1:38">
      <c r="A23" s="9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>1.5166495215</v>
      </c>
      <c r="AA23" s="13">
        <f>IF($A23="","",[1]!thsiFinD("ths_adjustment_nv_fund",AA$3,$A23))</f>
        <v>1.2338007841</v>
      </c>
      <c r="AB23" s="13">
        <f>IF($A23="","",[1]!thsiFinD("ths_adjustment_nv_fund",AB$3,$A23))</f>
        <v>1.7282</v>
      </c>
      <c r="AC23" s="13">
        <f>IF($A23="","",[1]!thsiFinD("ths_adjustment_nv_fund",AC$3,$A23))</f>
        <v>3.0589607298999999</v>
      </c>
      <c r="AD23" s="13">
        <f>IF($A23="","",[1]!thsiFinD("ths_adjustment_nv_fund",AD$3,$A23))</f>
        <v>1.6856</v>
      </c>
      <c r="AE23" s="13">
        <f>IF($A23="","",[1]!thsiFinD("ths_adjustment_nv_fund",AE$3,$A23))</f>
        <v>1.8608</v>
      </c>
      <c r="AF23" s="13">
        <f>IF($A23="","",[1]!thsiFinD("ths_adjustment_nv_fund",AF$3,$A23))</f>
        <v>3.4278770376000001</v>
      </c>
      <c r="AG23" s="13">
        <f>IF($A23="","",[1]!thsiFinD("ths_adjustment_nv_fund",AG$3,$A23))</f>
        <v>1.7132135020999999</v>
      </c>
      <c r="AH23" s="13">
        <f>IF($A23="","",[1]!thsiFinD("ths_adjustment_nv_fund",AH$3,$A23))</f>
        <v>4.5083635443999999</v>
      </c>
      <c r="AI23" s="13">
        <f>IF($A23="","",[1]!thsiFinD("ths_adjustment_nv_fund",AI$3,$A23))</f>
        <v>4.8029906977000003</v>
      </c>
      <c r="AJ23" s="13">
        <f>IF($A23="","",[1]!thsiFinD("ths_adjustment_nv_fund",AJ$3,$A23))</f>
        <v>1.9546345692</v>
      </c>
      <c r="AK23" s="13">
        <f>IF($A23="","",[1]!thsiFinD("ths_adjustment_nv_fund",AK$3,$A23))</f>
        <v>1.7314448861</v>
      </c>
      <c r="AL23" s="13">
        <f>IF($A23="","",[1]!thsiFinD("ths_adjustment_nv_fund",AL$3,$A23))</f>
        <v>1.8098000000000001</v>
      </c>
    </row>
    <row r="24" spans="1:38">
      <c r="A24" s="9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>1.5163190487</v>
      </c>
      <c r="AA24" s="13">
        <f>IF($A24="","",[1]!thsiFinD("ths_adjustment_nv_fund",AA$3,$A24))</f>
        <v>1.2336829088000001</v>
      </c>
      <c r="AB24" s="13">
        <f>IF($A24="","",[1]!thsiFinD("ths_adjustment_nv_fund",AB$3,$A24))</f>
        <v>1.6907000000000001</v>
      </c>
      <c r="AC24" s="13">
        <f>IF($A24="","",[1]!thsiFinD("ths_adjustment_nv_fund",AC$3,$A24))</f>
        <v>2.9849097047000002</v>
      </c>
      <c r="AD24" s="13">
        <f>IF($A24="","",[1]!thsiFinD("ths_adjustment_nv_fund",AD$3,$A24))</f>
        <v>1.6386000000000001</v>
      </c>
      <c r="AE24" s="13">
        <f>IF($A24="","",[1]!thsiFinD("ths_adjustment_nv_fund",AE$3,$A24))</f>
        <v>1.8157000000000001</v>
      </c>
      <c r="AF24" s="13">
        <f>IF($A24="","",[1]!thsiFinD("ths_adjustment_nv_fund",AF$3,$A24))</f>
        <v>3.4185452490000001</v>
      </c>
      <c r="AG24" s="13">
        <f>IF($A24="","",[1]!thsiFinD("ths_adjustment_nv_fund",AG$3,$A24))</f>
        <v>1.7074989030000001</v>
      </c>
      <c r="AH24" s="13">
        <f>IF($A24="","",[1]!thsiFinD("ths_adjustment_nv_fund",AH$3,$A24))</f>
        <v>4.5303285045999999</v>
      </c>
      <c r="AI24" s="13">
        <f>IF($A24="","",[1]!thsiFinD("ths_adjustment_nv_fund",AI$3,$A24))</f>
        <v>4.7529043486999996</v>
      </c>
      <c r="AJ24" s="13">
        <f>IF($A24="","",[1]!thsiFinD("ths_adjustment_nv_fund",AJ$3,$A24))</f>
        <v>1.9390534374999999</v>
      </c>
      <c r="AK24" s="13">
        <f>IF($A24="","",[1]!thsiFinD("ths_adjustment_nv_fund",AK$3,$A24))</f>
        <v>1.7323869127</v>
      </c>
      <c r="AL24" s="13">
        <f>IF($A24="","",[1]!thsiFinD("ths_adjustment_nv_fund",AL$3,$A24))</f>
        <v>1.8078000000000001</v>
      </c>
    </row>
    <row r="25" spans="1:38">
      <c r="A25" s="9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>1.5169799942</v>
      </c>
      <c r="AA25" s="13">
        <f>IF($A25="","",[1]!thsiFinD("ths_adjustment_nv_fund",AA$3,$A25))</f>
        <v>1.2338007841</v>
      </c>
      <c r="AB25" s="13">
        <f>IF($A25="","",[1]!thsiFinD("ths_adjustment_nv_fund",AB$3,$A25))</f>
        <v>1.6060000000000001</v>
      </c>
      <c r="AC25" s="13">
        <f>IF($A25="","",[1]!thsiFinD("ths_adjustment_nv_fund",AC$3,$A25))</f>
        <v>2.8228928376</v>
      </c>
      <c r="AD25" s="13">
        <f>IF($A25="","",[1]!thsiFinD("ths_adjustment_nv_fund",AD$3,$A25))</f>
        <v>1.5402</v>
      </c>
      <c r="AE25" s="13">
        <f>IF($A25="","",[1]!thsiFinD("ths_adjustment_nv_fund",AE$3,$A25))</f>
        <v>1.6988000000000001</v>
      </c>
      <c r="AF25" s="13">
        <f>IF($A25="","",[1]!thsiFinD("ths_adjustment_nv_fund",AF$3,$A25))</f>
        <v>3.3641098151</v>
      </c>
      <c r="AG25" s="13">
        <f>IF($A25="","",[1]!thsiFinD("ths_adjustment_nv_fund",AG$3,$A25))</f>
        <v>1.7055162869</v>
      </c>
      <c r="AH25" s="13">
        <f>IF($A25="","",[1]!thsiFinD("ths_adjustment_nv_fund",AH$3,$A25))</f>
        <v>4.4591087851999998</v>
      </c>
      <c r="AI25" s="13">
        <f>IF($A25="","",[1]!thsiFinD("ths_adjustment_nv_fund",AI$3,$A25))</f>
        <v>4.7252748513</v>
      </c>
      <c r="AJ25" s="13">
        <f>IF($A25="","",[1]!thsiFinD("ths_adjustment_nv_fund",AJ$3,$A25))</f>
        <v>1.9445743109</v>
      </c>
      <c r="AK25" s="13">
        <f>IF($A25="","",[1]!thsiFinD("ths_adjustment_nv_fund",AK$3,$A25))</f>
        <v>1.7283047974000001</v>
      </c>
      <c r="AL25" s="13">
        <f>IF($A25="","",[1]!thsiFinD("ths_adjustment_nv_fund",AL$3,$A25))</f>
        <v>1.7956000000000001</v>
      </c>
    </row>
    <row r="26" spans="1:38">
      <c r="A26" s="9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>1.5167596791</v>
      </c>
      <c r="AA26" s="13">
        <f>IF($A26="","",[1]!thsiFinD("ths_adjustment_nv_fund",AA$3,$A26))</f>
        <v>1.2338007841</v>
      </c>
      <c r="AB26" s="13">
        <f>IF($A26="","",[1]!thsiFinD("ths_adjustment_nv_fund",AB$3,$A26))</f>
        <v>1.5849</v>
      </c>
      <c r="AC26" s="13">
        <f>IF($A26="","",[1]!thsiFinD("ths_adjustment_nv_fund",AC$3,$A26))</f>
        <v>2.7564647121000001</v>
      </c>
      <c r="AD26" s="13">
        <f>IF($A26="","",[1]!thsiFinD("ths_adjustment_nv_fund",AD$3,$A26))</f>
        <v>1.4849000000000001</v>
      </c>
      <c r="AE26" s="13">
        <f>IF($A26="","",[1]!thsiFinD("ths_adjustment_nv_fund",AE$3,$A26))</f>
        <v>1.6306</v>
      </c>
      <c r="AF26" s="13">
        <f>IF($A26="","",[1]!thsiFinD("ths_adjustment_nv_fund",AF$3,$A26))</f>
        <v>3.4792018752999998</v>
      </c>
      <c r="AG26" s="13">
        <f>IF($A26="","",[1]!thsiFinD("ths_adjustment_nv_fund",AG$3,$A26))</f>
        <v>1.7479675949</v>
      </c>
      <c r="AH26" s="13">
        <f>IF($A26="","",[1]!thsiFinD("ths_adjustment_nv_fund",AH$3,$A26))</f>
        <v>4.5057011249999999</v>
      </c>
      <c r="AI26" s="13">
        <f>IF($A26="","",[1]!thsiFinD("ths_adjustment_nv_fund",AI$3,$A26))</f>
        <v>4.7882297332999997</v>
      </c>
      <c r="AJ26" s="13">
        <f>IF($A26="","",[1]!thsiFinD("ths_adjustment_nv_fund",AJ$3,$A26))</f>
        <v>1.9924218807</v>
      </c>
      <c r="AK26" s="13">
        <f>IF($A26="","",[1]!thsiFinD("ths_adjustment_nv_fund",AK$3,$A26))</f>
        <v>1.7658811916999999</v>
      </c>
      <c r="AL26" s="13">
        <f>IF($A26="","",[1]!thsiFinD("ths_adjustment_nv_fund",AL$3,$A26))</f>
        <v>1.7978000000000001</v>
      </c>
    </row>
    <row r="27" spans="1:38">
      <c r="A27" s="9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>1.5167596791</v>
      </c>
      <c r="AA27" s="13">
        <f>IF($A27="","",[1]!thsiFinD("ths_adjustment_nv_fund",AA$3,$A27))</f>
        <v>1.2338007841</v>
      </c>
      <c r="AB27" s="13">
        <f>IF($A27="","",[1]!thsiFinD("ths_adjustment_nv_fund",AB$3,$A27))</f>
        <v>1.6657</v>
      </c>
      <c r="AC27" s="13">
        <f>IF($A27="","",[1]!thsiFinD("ths_adjustment_nv_fund",AC$3,$A27))</f>
        <v>2.9094066986999998</v>
      </c>
      <c r="AD27" s="13">
        <f>IF($A27="","",[1]!thsiFinD("ths_adjustment_nv_fund",AD$3,$A27))</f>
        <v>1.544</v>
      </c>
      <c r="AE27" s="13">
        <f>IF($A27="","",[1]!thsiFinD("ths_adjustment_nv_fund",AE$3,$A27))</f>
        <v>1.6787000000000001</v>
      </c>
      <c r="AF27" s="13">
        <f>IF($A27="","",[1]!thsiFinD("ths_adjustment_nv_fund",AF$3,$A27))</f>
        <v>3.5009760489000001</v>
      </c>
      <c r="AG27" s="13">
        <f>IF($A27="","",[1]!thsiFinD("ths_adjustment_nv_fund",AG$3,$A27))</f>
        <v>1.7314069197999999</v>
      </c>
      <c r="AH27" s="13">
        <f>IF($A27="","",[1]!thsiFinD("ths_adjustment_nv_fund",AH$3,$A27))</f>
        <v>4.5150195929999999</v>
      </c>
      <c r="AI27" s="13">
        <f>IF($A27="","",[1]!thsiFinD("ths_adjustment_nv_fund",AI$3,$A27))</f>
        <v>4.8374329477</v>
      </c>
      <c r="AJ27" s="13">
        <f>IF($A27="","",[1]!thsiFinD("ths_adjustment_nv_fund",AJ$3,$A27))</f>
        <v>1.9686207818999999</v>
      </c>
      <c r="AK27" s="13">
        <f>IF($A27="","",[1]!thsiFinD("ths_adjustment_nv_fund",AK$3,$A27))</f>
        <v>1.7499714092</v>
      </c>
      <c r="AL27" s="13">
        <f>IF($A27="","",[1]!thsiFinD("ths_adjustment_nv_fund",AL$3,$A27))</f>
        <v>1.8289</v>
      </c>
    </row>
    <row r="28" spans="1:38">
      <c r="A28" s="9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>1.5181917276000001</v>
      </c>
      <c r="AA28" s="13">
        <f>IF($A28="","",[1]!thsiFinD("ths_adjustment_nv_fund",AA$3,$A28))</f>
        <v>1.2342722853000001</v>
      </c>
      <c r="AB28" s="13">
        <f>IF($A28="","",[1]!thsiFinD("ths_adjustment_nv_fund",AB$3,$A28))</f>
        <v>1.6568000000000001</v>
      </c>
      <c r="AC28" s="13">
        <f>IF($A28="","",[1]!thsiFinD("ths_adjustment_nv_fund",AC$3,$A28))</f>
        <v>2.8829080475</v>
      </c>
      <c r="AD28" s="13">
        <f>IF($A28="","",[1]!thsiFinD("ths_adjustment_nv_fund",AD$3,$A28))</f>
        <v>1.5265</v>
      </c>
      <c r="AE28" s="13">
        <f>IF($A28="","",[1]!thsiFinD("ths_adjustment_nv_fund",AE$3,$A28))</f>
        <v>1.6591</v>
      </c>
      <c r="AF28" s="13">
        <f>IF($A28="","",[1]!thsiFinD("ths_adjustment_nv_fund",AF$3,$A28))</f>
        <v>3.5911833393000001</v>
      </c>
      <c r="AG28" s="13">
        <f>IF($A28="","",[1]!thsiFinD("ths_adjustment_nv_fund",AG$3,$A28))</f>
        <v>1.7443522362999999</v>
      </c>
      <c r="AH28" s="13">
        <f>IF($A28="","",[1]!thsiFinD("ths_adjustment_nv_fund",AH$3,$A28))</f>
        <v>4.5456374163</v>
      </c>
      <c r="AI28" s="13">
        <f>IF($A28="","",[1]!thsiFinD("ths_adjustment_nv_fund",AI$3,$A28))</f>
        <v>4.8675856868</v>
      </c>
      <c r="AJ28" s="13">
        <f>IF($A28="","",[1]!thsiFinD("ths_adjustment_nv_fund",AJ$3,$A28))</f>
        <v>1.9806440174</v>
      </c>
      <c r="AK28" s="13">
        <f>IF($A28="","",[1]!thsiFinD("ths_adjustment_nv_fund",AK$3,$A28))</f>
        <v>1.7543675332999999</v>
      </c>
      <c r="AL28" s="13">
        <f>IF($A28="","",[1]!thsiFinD("ths_adjustment_nv_fund",AL$3,$A28))</f>
        <v>1.8479000000000001</v>
      </c>
    </row>
    <row r="29" spans="1:38">
      <c r="A29" s="9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>1.5173104668999999</v>
      </c>
      <c r="AA29" s="13">
        <f>IF($A29="","",[1]!thsiFinD("ths_adjustment_nv_fund",AA$3,$A29))</f>
        <v>1.2339186594</v>
      </c>
      <c r="AB29" s="13">
        <f>IF($A29="","",[1]!thsiFinD("ths_adjustment_nv_fund",AB$3,$A29))</f>
        <v>1.6529</v>
      </c>
      <c r="AC29" s="13">
        <f>IF($A29="","",[1]!thsiFinD("ths_adjustment_nv_fund",AC$3,$A29))</f>
        <v>2.8944028961999999</v>
      </c>
      <c r="AD29" s="13">
        <f>IF($A29="","",[1]!thsiFinD("ths_adjustment_nv_fund",AD$3,$A29))</f>
        <v>1.5439000000000001</v>
      </c>
      <c r="AE29" s="13">
        <f>IF($A29="","",[1]!thsiFinD("ths_adjustment_nv_fund",AE$3,$A29))</f>
        <v>1.6917</v>
      </c>
      <c r="AF29" s="13">
        <f>IF($A29="","",[1]!thsiFinD("ths_adjustment_nv_fund",AF$3,$A29))</f>
        <v>3.6409528788999999</v>
      </c>
      <c r="AG29" s="13">
        <f>IF($A29="","",[1]!thsiFinD("ths_adjustment_nv_fund",AG$3,$A29))</f>
        <v>1.7598632911000001</v>
      </c>
      <c r="AH29" s="13">
        <f>IF($A29="","",[1]!thsiFinD("ths_adjustment_nv_fund",AH$3,$A29))</f>
        <v>4.5520715965000003</v>
      </c>
      <c r="AI29" s="13">
        <f>IF($A29="","",[1]!thsiFinD("ths_adjustment_nv_fund",AI$3,$A29))</f>
        <v>4.9094715001000004</v>
      </c>
      <c r="AJ29" s="13">
        <f>IF($A29="","",[1]!thsiFinD("ths_adjustment_nv_fund",AJ$3,$A29))</f>
        <v>1.988005182</v>
      </c>
      <c r="AK29" s="13">
        <f>IF($A29="","",[1]!thsiFinD("ths_adjustment_nv_fund",AK$3,$A29))</f>
        <v>1.7600196929</v>
      </c>
      <c r="AL29" s="13">
        <f>IF($A29="","",[1]!thsiFinD("ths_adjustment_nv_fund",AL$3,$A29))</f>
        <v>1.8461000000000001</v>
      </c>
    </row>
    <row r="30" spans="1:38">
      <c r="A30" s="9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>1.5173104668999999</v>
      </c>
      <c r="AA30" s="13">
        <f>IF($A30="","",[1]!thsiFinD("ths_adjustment_nv_fund",AA$3,$A30))</f>
        <v>1.2339186594</v>
      </c>
      <c r="AB30" s="13">
        <f>IF($A30="","",[1]!thsiFinD("ths_adjustment_nv_fund",AB$3,$A30))</f>
        <v>1.6124000000000001</v>
      </c>
      <c r="AC30" s="13">
        <f>IF($A30="","",[1]!thsiFinD("ths_adjustment_nv_fund",AC$3,$A30))</f>
        <v>2.8204728695000001</v>
      </c>
      <c r="AD30" s="13">
        <f>IF($A30="","",[1]!thsiFinD("ths_adjustment_nv_fund",AD$3,$A30))</f>
        <v>1.5071000000000001</v>
      </c>
      <c r="AE30" s="13">
        <f>IF($A30="","",[1]!thsiFinD("ths_adjustment_nv_fund",AE$3,$A30))</f>
        <v>1.6492</v>
      </c>
      <c r="AF30" s="13">
        <f>IF($A30="","",[1]!thsiFinD("ths_adjustment_nv_fund",AF$3,$A30))</f>
        <v>3.5274161168</v>
      </c>
      <c r="AG30" s="13">
        <f>IF($A30="","",[1]!thsiFinD("ths_adjustment_nv_fund",AG$3,$A30))</f>
        <v>1.7283746835</v>
      </c>
      <c r="AH30" s="13">
        <f>IF($A30="","",[1]!thsiFinD("ths_adjustment_nv_fund",AH$3,$A30))</f>
        <v>4.5012637592999996</v>
      </c>
      <c r="AI30" s="13">
        <f>IF($A30="","",[1]!thsiFinD("ths_adjustment_nv_fund",AI$3,$A30))</f>
        <v>4.8183824723999997</v>
      </c>
      <c r="AJ30" s="13">
        <f>IF($A30="","",[1]!thsiFinD("ths_adjustment_nv_fund",AJ$3,$A30))</f>
        <v>1.9729147946000001</v>
      </c>
      <c r="AK30" s="13">
        <f>IF($A30="","",[1]!thsiFinD("ths_adjustment_nv_fund",AK$3,$A30))</f>
        <v>1.7424351964</v>
      </c>
      <c r="AL30" s="13">
        <f>IF($A30="","",[1]!thsiFinD("ths_adjustment_nv_fund",AL$3,$A30))</f>
        <v>1.8134999999999999</v>
      </c>
    </row>
    <row r="31" spans="1:38">
      <c r="A31" s="9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>1.5167596791</v>
      </c>
      <c r="AA31" s="13">
        <f>IF($A31="","",[1]!thsiFinD("ths_adjustment_nv_fund",AA$3,$A31))</f>
        <v>1.2338007841</v>
      </c>
      <c r="AB31" s="13">
        <f>IF($A31="","",[1]!thsiFinD("ths_adjustment_nv_fund",AB$3,$A31))</f>
        <v>1.6609</v>
      </c>
      <c r="AC31" s="13">
        <f>IF($A31="","",[1]!thsiFinD("ths_adjustment_nv_fund",AC$3,$A31))</f>
        <v>2.9195705648999999</v>
      </c>
      <c r="AD31" s="13">
        <f>IF($A31="","",[1]!thsiFinD("ths_adjustment_nv_fund",AD$3,$A31))</f>
        <v>1.5617000000000001</v>
      </c>
      <c r="AE31" s="13">
        <f>IF($A31="","",[1]!thsiFinD("ths_adjustment_nv_fund",AE$3,$A31))</f>
        <v>1.7181</v>
      </c>
      <c r="AF31" s="13">
        <f>IF($A31="","",[1]!thsiFinD("ths_adjustment_nv_fund",AF$3,$A31))</f>
        <v>3.5927386374000001</v>
      </c>
      <c r="AG31" s="13">
        <f>IF($A31="","",[1]!thsiFinD("ths_adjustment_nv_fund",AG$3,$A31))</f>
        <v>1.7370048945000001</v>
      </c>
      <c r="AH31" s="13">
        <f>IF($A31="","",[1]!thsiFinD("ths_adjustment_nv_fund",AH$3,$A31))</f>
        <v>4.5482998357</v>
      </c>
      <c r="AI31" s="13">
        <f>IF($A31="","",[1]!thsiFinD("ths_adjustment_nv_fund",AI$3,$A31))</f>
        <v>4.8658194176</v>
      </c>
      <c r="AJ31" s="13">
        <f>IF($A31="","",[1]!thsiFinD("ths_adjustment_nv_fund",AJ$3,$A31))</f>
        <v>1.9792944706</v>
      </c>
      <c r="AK31" s="13">
        <f>IF($A31="","",[1]!thsiFinD("ths_adjustment_nv_fund",AK$3,$A31))</f>
        <v>1.7526928194</v>
      </c>
      <c r="AL31" s="13">
        <f>IF($A31="","",[1]!thsiFinD("ths_adjustment_nv_fund",AL$3,$A31))</f>
        <v>1.8381000000000001</v>
      </c>
    </row>
    <row r="32" spans="1:38">
      <c r="A32" s="9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>1.515988576</v>
      </c>
      <c r="AA32" s="13">
        <f>IF($A32="","",[1]!thsiFinD("ths_adjustment_nv_fund",AA$3,$A32))</f>
        <v>1.2336829088000001</v>
      </c>
      <c r="AB32" s="13">
        <f>IF($A32="","",[1]!thsiFinD("ths_adjustment_nv_fund",AB$3,$A32))</f>
        <v>1.6036999999999999</v>
      </c>
      <c r="AC32" s="13">
        <f>IF($A32="","",[1]!thsiFinD("ths_adjustment_nv_fund",AC$3,$A32))</f>
        <v>2.7951842024000002</v>
      </c>
      <c r="AD32" s="13">
        <f>IF($A32="","",[1]!thsiFinD("ths_adjustment_nv_fund",AD$3,$A32))</f>
        <v>1.5204</v>
      </c>
      <c r="AE32" s="13">
        <f>IF($A32="","",[1]!thsiFinD("ths_adjustment_nv_fund",AE$3,$A32))</f>
        <v>1.6829000000000001</v>
      </c>
      <c r="AF32" s="13">
        <f>IF($A32="","",[1]!thsiFinD("ths_adjustment_nv_fund",AF$3,$A32))</f>
        <v>3.5911833393000001</v>
      </c>
      <c r="AG32" s="13">
        <f>IF($A32="","",[1]!thsiFinD("ths_adjustment_nv_fund",AG$3,$A32))</f>
        <v>1.7440023629000001</v>
      </c>
      <c r="AH32" s="13">
        <f>IF($A32="","",[1]!thsiFinD("ths_adjustment_nv_fund",AH$3,$A32))</f>
        <v>4.5298847679999996</v>
      </c>
      <c r="AI32" s="13">
        <f>IF($A32="","",[1]!thsiFinD("ths_adjustment_nv_fund",AI$3,$A32))</f>
        <v>4.8456334835000003</v>
      </c>
      <c r="AJ32" s="13">
        <f>IF($A32="","",[1]!thsiFinD("ths_adjustment_nv_fund",AJ$3,$A32))</f>
        <v>1.994507544</v>
      </c>
      <c r="AK32" s="13">
        <f>IF($A32="","",[1]!thsiFinD("ths_adjustment_nv_fund",AK$3,$A32))</f>
        <v>1.7638924689</v>
      </c>
      <c r="AL32" s="13">
        <f>IF($A32="","",[1]!thsiFinD("ths_adjustment_nv_fund",AL$3,$A32))</f>
        <v>1.8163</v>
      </c>
    </row>
    <row r="33" spans="1:38">
      <c r="A33" s="9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>1.5165393639</v>
      </c>
      <c r="AA33" s="13">
        <f>IF($A33="","",[1]!thsiFinD("ths_adjustment_nv_fund",AA$3,$A33))</f>
        <v>1.2338007841</v>
      </c>
      <c r="AB33" s="13">
        <f>IF($A33="","",[1]!thsiFinD("ths_adjustment_nv_fund",AB$3,$A33))</f>
        <v>1.6204000000000001</v>
      </c>
      <c r="AC33" s="13">
        <f>IF($A33="","",[1]!thsiFinD("ths_adjustment_nv_fund",AC$3,$A33))</f>
        <v>2.8086150256</v>
      </c>
      <c r="AD33" s="13">
        <f>IF($A33="","",[1]!thsiFinD("ths_adjustment_nv_fund",AD$3,$A33))</f>
        <v>1.5281</v>
      </c>
      <c r="AE33" s="13">
        <f>IF($A33="","",[1]!thsiFinD("ths_adjustment_nv_fund",AE$3,$A33))</f>
        <v>1.6956</v>
      </c>
      <c r="AF33" s="13">
        <f>IF($A33="","",[1]!thsiFinD("ths_adjustment_nv_fund",AF$3,$A33))</f>
        <v>3.6829459279000001</v>
      </c>
      <c r="AG33" s="13">
        <f>IF($A33="","",[1]!thsiFinD("ths_adjustment_nv_fund",AG$3,$A33))</f>
        <v>1.7746745991999999</v>
      </c>
      <c r="AH33" s="13">
        <f>IF($A33="","",[1]!thsiFinD("ths_adjustment_nv_fund",AH$3,$A33))</f>
        <v>4.6002170143000001</v>
      </c>
      <c r="AI33" s="13">
        <f>IF($A33="","",[1]!thsiFinD("ths_adjustment_nv_fund",AI$3,$A33))</f>
        <v>4.9082098792000002</v>
      </c>
      <c r="AJ33" s="13">
        <f>IF($A33="","",[1]!thsiFinD("ths_adjustment_nv_fund",AJ$3,$A33))</f>
        <v>2.0098433035999999</v>
      </c>
      <c r="AK33" s="13">
        <f>IF($A33="","",[1]!thsiFinD("ths_adjustment_nv_fund",AK$3,$A33))</f>
        <v>1.7877571427000001</v>
      </c>
      <c r="AL33" s="13">
        <f>IF($A33="","",[1]!thsiFinD("ths_adjustment_nv_fund",AL$3,$A33))</f>
        <v>1.8134999999999999</v>
      </c>
    </row>
    <row r="34" spans="1:38">
      <c r="A34" s="9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>1.5178612547999999</v>
      </c>
      <c r="AA34" s="13">
        <f>IF($A34="","",[1]!thsiFinD("ths_adjustment_nv_fund",AA$3,$A34))</f>
        <v>1.2343901606000001</v>
      </c>
      <c r="AB34" s="13">
        <f>IF($A34="","",[1]!thsiFinD("ths_adjustment_nv_fund",AB$3,$A34))</f>
        <v>1.5770999999999999</v>
      </c>
      <c r="AC34" s="13">
        <f>IF($A34="","",[1]!thsiFinD("ths_adjustment_nv_fund",AC$3,$A34))</f>
        <v>2.7280300864</v>
      </c>
      <c r="AD34" s="13">
        <f>IF($A34="","",[1]!thsiFinD("ths_adjustment_nv_fund",AD$3,$A34))</f>
        <v>1.4783999999999999</v>
      </c>
      <c r="AE34" s="13">
        <f>IF($A34="","",[1]!thsiFinD("ths_adjustment_nv_fund",AE$3,$A34))</f>
        <v>1.6414</v>
      </c>
      <c r="AF34" s="13">
        <f>IF($A34="","",[1]!thsiFinD("ths_adjustment_nv_fund",AF$3,$A34))</f>
        <v>3.7218283806999999</v>
      </c>
      <c r="AG34" s="13">
        <f>IF($A34="","",[1]!thsiFinD("ths_adjustment_nv_fund",AG$3,$A34))</f>
        <v>1.8033642193999999</v>
      </c>
      <c r="AH34" s="13">
        <f>IF($A34="","",[1]!thsiFinD("ths_adjustment_nv_fund",AH$3,$A34))</f>
        <v>4.5904548097999998</v>
      </c>
      <c r="AI34" s="13">
        <f>IF($A34="","",[1]!thsiFinD("ths_adjustment_nv_fund",AI$3,$A34))</f>
        <v>4.9083360413000001</v>
      </c>
      <c r="AJ34" s="13">
        <f>IF($A34="","",[1]!thsiFinD("ths_adjustment_nv_fund",AJ$3,$A34))</f>
        <v>2.0407601947999998</v>
      </c>
      <c r="AK34" s="13">
        <f>IF($A34="","",[1]!thsiFinD("ths_adjustment_nv_fund",AK$3,$A34))</f>
        <v>1.8145525658999999</v>
      </c>
      <c r="AL34" s="13">
        <f>IF($A34="","",[1]!thsiFinD("ths_adjustment_nv_fund",AL$3,$A34))</f>
        <v>1.8093999999999999</v>
      </c>
    </row>
    <row r="35" spans="1:38">
      <c r="A35" s="9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>1.5186323579000001</v>
      </c>
      <c r="AA35" s="13">
        <f>IF($A35="","",[1]!thsiFinD("ths_adjustment_nv_fund",AA$3,$A35))</f>
        <v>1.2346259112</v>
      </c>
      <c r="AB35" s="13">
        <f>IF($A35="","",[1]!thsiFinD("ths_adjustment_nv_fund",AB$3,$A35))</f>
        <v>1.6145</v>
      </c>
      <c r="AC35" s="13">
        <f>IF($A35="","",[1]!thsiFinD("ths_adjustment_nv_fund",AC$3,$A35))</f>
        <v>2.8014761196000002</v>
      </c>
      <c r="AD35" s="13">
        <f>IF($A35="","",[1]!thsiFinD("ths_adjustment_nv_fund",AD$3,$A35))</f>
        <v>1.5179</v>
      </c>
      <c r="AE35" s="13">
        <f>IF($A35="","",[1]!thsiFinD("ths_adjustment_nv_fund",AE$3,$A35))</f>
        <v>1.6888000000000001</v>
      </c>
      <c r="AF35" s="13">
        <f>IF($A35="","",[1]!thsiFinD("ths_adjustment_nv_fund",AF$3,$A35))</f>
        <v>3.7218283806999999</v>
      </c>
      <c r="AG35" s="13">
        <f>IF($A35="","",[1]!thsiFinD("ths_adjustment_nv_fund",AG$3,$A35))</f>
        <v>1.7982327426</v>
      </c>
      <c r="AH35" s="13">
        <f>IF($A35="","",[1]!thsiFinD("ths_adjustment_nv_fund",AH$3,$A35))</f>
        <v>4.5864611805999997</v>
      </c>
      <c r="AI35" s="13">
        <f>IF($A35="","",[1]!thsiFinD("ths_adjustment_nv_fund",AI$3,$A35))</f>
        <v>4.9021540989999997</v>
      </c>
      <c r="AJ35" s="13">
        <f>IF($A35="","",[1]!thsiFinD("ths_adjustment_nv_fund",AJ$3,$A35))</f>
        <v>2.0333990303</v>
      </c>
      <c r="AK35" s="13">
        <f>IF($A35="","",[1]!thsiFinD("ths_adjustment_nv_fund",AK$3,$A35))</f>
        <v>1.8055509783999999</v>
      </c>
      <c r="AL35" s="13">
        <f>IF($A35="","",[1]!thsiFinD("ths_adjustment_nv_fund",AL$3,$A35))</f>
        <v>1.8223</v>
      </c>
    </row>
    <row r="36" spans="1:38">
      <c r="A36" s="9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>1.5185222003000001</v>
      </c>
      <c r="AA36" s="13">
        <f>IF($A36="","",[1]!thsiFinD("ths_adjustment_nv_fund",AA$3,$A36))</f>
        <v>1.2346259112</v>
      </c>
      <c r="AB36" s="13">
        <f>IF($A36="","",[1]!thsiFinD("ths_adjustment_nv_fund",AB$3,$A36))</f>
        <v>1.5984</v>
      </c>
      <c r="AC36" s="13">
        <f>IF($A36="","",[1]!thsiFinD("ths_adjustment_nv_fund",AC$3,$A36))</f>
        <v>2.7826003680000002</v>
      </c>
      <c r="AD36" s="13">
        <f>IF($A36="","",[1]!thsiFinD("ths_adjustment_nv_fund",AD$3,$A36))</f>
        <v>1.5235000000000001</v>
      </c>
      <c r="AE36" s="13">
        <f>IF($A36="","",[1]!thsiFinD("ths_adjustment_nv_fund",AE$3,$A36))</f>
        <v>1.6977</v>
      </c>
      <c r="AF36" s="13">
        <f>IF($A36="","",[1]!thsiFinD("ths_adjustment_nv_fund",AF$3,$A36))</f>
        <v>3.7031648034</v>
      </c>
      <c r="AG36" s="13">
        <f>IF($A36="","",[1]!thsiFinD("ths_adjustment_nv_fund",AG$3,$A36))</f>
        <v>1.7910020253000001</v>
      </c>
      <c r="AH36" s="13">
        <f>IF($A36="","",[1]!thsiFinD("ths_adjustment_nv_fund",AH$3,$A36))</f>
        <v>4.5971108582999998</v>
      </c>
      <c r="AI36" s="13">
        <f>IF($A36="","",[1]!thsiFinD("ths_adjustment_nv_fund",AI$3,$A36))</f>
        <v>4.8940797253000001</v>
      </c>
      <c r="AJ36" s="13">
        <f>IF($A36="","",[1]!thsiFinD("ths_adjustment_nv_fund",AJ$3,$A36))</f>
        <v>2.0357300657000001</v>
      </c>
      <c r="AK36" s="13">
        <f>IF($A36="","",[1]!thsiFinD("ths_adjustment_nv_fund",AK$3,$A36))</f>
        <v>1.8108891292</v>
      </c>
      <c r="AL36" s="13">
        <f>IF($A36="","",[1]!thsiFinD("ths_adjustment_nv_fund",AL$3,$A36))</f>
        <v>1.8192999999999999</v>
      </c>
    </row>
    <row r="37" spans="1:38">
      <c r="A37" s="9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>1.5190729882</v>
      </c>
      <c r="AA37" s="13">
        <f>IF($A37="","",[1]!thsiFinD("ths_adjustment_nv_fund",AA$3,$A37))</f>
        <v>1.2348616617999999</v>
      </c>
      <c r="AB37" s="13">
        <f>IF($A37="","",[1]!thsiFinD("ths_adjustment_nv_fund",AB$3,$A37))</f>
        <v>1.6380999999999999</v>
      </c>
      <c r="AC37" s="13">
        <f>IF($A37="","",[1]!thsiFinD("ths_adjustment_nv_fund",AC$3,$A37))</f>
        <v>2.8831500443000002</v>
      </c>
      <c r="AD37" s="13">
        <f>IF($A37="","",[1]!thsiFinD("ths_adjustment_nv_fund",AD$3,$A37))</f>
        <v>1.5696000000000001</v>
      </c>
      <c r="AE37" s="13">
        <f>IF($A37="","",[1]!thsiFinD("ths_adjustment_nv_fund",AE$3,$A37))</f>
        <v>1.7452000000000001</v>
      </c>
      <c r="AF37" s="13">
        <f>IF($A37="","",[1]!thsiFinD("ths_adjustment_nv_fund",AF$3,$A37))</f>
        <v>3.6549505618999998</v>
      </c>
      <c r="AG37" s="13">
        <f>IF($A37="","",[1]!thsiFinD("ths_adjustment_nv_fund",AG$3,$A37))</f>
        <v>1.7743247257000001</v>
      </c>
      <c r="AH37" s="13">
        <f>IF($A37="","",[1]!thsiFinD("ths_adjustment_nv_fund",AH$3,$A37))</f>
        <v>4.6128635065000001</v>
      </c>
      <c r="AI37" s="13">
        <f>IF($A37="","",[1]!thsiFinD("ths_adjustment_nv_fund",AI$3,$A37))</f>
        <v>4.8779309781000002</v>
      </c>
      <c r="AJ37" s="13">
        <f>IF($A37="","",[1]!thsiFinD("ths_adjustment_nv_fund",AJ$3,$A37))</f>
        <v>1.9946302301000001</v>
      </c>
      <c r="AK37" s="13">
        <f>IF($A37="","",[1]!thsiFinD("ths_adjustment_nv_fund",AK$3,$A37))</f>
        <v>1.7773948501000001</v>
      </c>
      <c r="AL37" s="13">
        <f>IF($A37="","",[1]!thsiFinD("ths_adjustment_nv_fund",AL$3,$A37))</f>
        <v>1.8186</v>
      </c>
    </row>
    <row r="38" spans="1:38">
      <c r="A38" s="9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>1.5191831457</v>
      </c>
      <c r="AA38" s="13">
        <f>IF($A38="","",[1]!thsiFinD("ths_adjustment_nv_fund",AA$3,$A38))</f>
        <v>1.2349795371000001</v>
      </c>
      <c r="AB38" s="13">
        <f>IF($A38="","",[1]!thsiFinD("ths_adjustment_nv_fund",AB$3,$A38))</f>
        <v>1.6793</v>
      </c>
      <c r="AC38" s="13">
        <f>IF($A38="","",[1]!thsiFinD("ths_adjustment_nv_fund",AC$3,$A38))</f>
        <v>2.9841837142999998</v>
      </c>
      <c r="AD38" s="13">
        <f>IF($A38="","",[1]!thsiFinD("ths_adjustment_nv_fund",AD$3,$A38))</f>
        <v>1.6207</v>
      </c>
      <c r="AE38" s="13">
        <f>IF($A38="","",[1]!thsiFinD("ths_adjustment_nv_fund",AE$3,$A38))</f>
        <v>1.7952999999999999</v>
      </c>
      <c r="AF38" s="13">
        <f>IF($A38="","",[1]!thsiFinD("ths_adjustment_nv_fund",AF$3,$A38))</f>
        <v>3.7156071881999999</v>
      </c>
      <c r="AG38" s="13">
        <f>IF($A38="","",[1]!thsiFinD("ths_adjustment_nv_fund",AG$3,$A38))</f>
        <v>1.7719922363</v>
      </c>
      <c r="AH38" s="13">
        <f>IF($A38="","",[1]!thsiFinD("ths_adjustment_nv_fund",AH$3,$A38))</f>
        <v>4.6073167994000004</v>
      </c>
      <c r="AI38" s="13">
        <f>IF($A38="","",[1]!thsiFinD("ths_adjustment_nv_fund",AI$3,$A38))</f>
        <v>4.9306667308999996</v>
      </c>
      <c r="AJ38" s="13">
        <f>IF($A38="","",[1]!thsiFinD("ths_adjustment_nv_fund",AJ$3,$A38))</f>
        <v>1.9720559921</v>
      </c>
      <c r="AK38" s="13">
        <f>IF($A38="","",[1]!thsiFinD("ths_adjustment_nv_fund",AK$3,$A38))</f>
        <v>1.7575076220000001</v>
      </c>
      <c r="AL38" s="13">
        <f>IF($A38="","",[1]!thsiFinD("ths_adjustment_nv_fund",AL$3,$A38))</f>
        <v>1.8647</v>
      </c>
    </row>
    <row r="39" spans="1:38">
      <c r="A39" s="9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>1.5202847214999999</v>
      </c>
      <c r="AA39" s="13">
        <f>IF($A39="","",[1]!thsiFinD("ths_adjustment_nv_fund",AA$3,$A39))</f>
        <v>1.235333163</v>
      </c>
      <c r="AB39" s="13">
        <f>IF($A39="","",[1]!thsiFinD("ths_adjustment_nv_fund",AB$3,$A39))</f>
        <v>1.6839999999999999</v>
      </c>
      <c r="AC39" s="13">
        <f>IF($A39="","",[1]!thsiFinD("ths_adjustment_nv_fund",AC$3,$A39))</f>
        <v>3.0147963113</v>
      </c>
      <c r="AD39" s="13">
        <f>IF($A39="","",[1]!thsiFinD("ths_adjustment_nv_fund",AD$3,$A39))</f>
        <v>1.6395999999999999</v>
      </c>
      <c r="AE39" s="13">
        <f>IF($A39="","",[1]!thsiFinD("ths_adjustment_nv_fund",AE$3,$A39))</f>
        <v>1.8190999999999999</v>
      </c>
      <c r="AF39" s="13">
        <f>IF($A39="","",[1]!thsiFinD("ths_adjustment_nv_fund",AF$3,$A39))</f>
        <v>3.7544896410000002</v>
      </c>
      <c r="AG39" s="13">
        <f>IF($A39="","",[1]!thsiFinD("ths_adjustment_nv_fund",AG$3,$A39))</f>
        <v>1.7821385653999999</v>
      </c>
      <c r="AH39" s="13">
        <f>IF($A39="","",[1]!thsiFinD("ths_adjustment_nv_fund",AH$3,$A39))</f>
        <v>4.5793613955000003</v>
      </c>
      <c r="AI39" s="13">
        <f>IF($A39="","",[1]!thsiFinD("ths_adjustment_nv_fund",AI$3,$A39))</f>
        <v>4.9579177420000002</v>
      </c>
      <c r="AJ39" s="13">
        <f>IF($A39="","",[1]!thsiFinD("ths_adjustment_nv_fund",AJ$3,$A39))</f>
        <v>1.9743943011</v>
      </c>
      <c r="AK39" s="13">
        <f>IF($A39="","",[1]!thsiFinD("ths_adjustment_nv_fund",AK$3,$A39))</f>
        <v>1.7516461231</v>
      </c>
      <c r="AL39" s="13">
        <f>IF($A39="","",[1]!thsiFinD("ths_adjustment_nv_fund",AL$3,$A39))</f>
        <v>1.9001999999999999</v>
      </c>
    </row>
    <row r="40" spans="1:38">
      <c r="A40" s="9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>1.5212761397000001</v>
      </c>
      <c r="AA40" s="13">
        <f>IF($A40="","",[1]!thsiFinD("ths_adjustment_nv_fund",AA$3,$A40))</f>
        <v>1.2356867889000001</v>
      </c>
      <c r="AB40" s="13">
        <f>IF($A40="","",[1]!thsiFinD("ths_adjustment_nv_fund",AB$3,$A40))</f>
        <v>1.7161</v>
      </c>
      <c r="AC40" s="13">
        <f>IF($A40="","",[1]!thsiFinD("ths_adjustment_nv_fund",AC$3,$A40))</f>
        <v>3.0863063699</v>
      </c>
      <c r="AD40" s="13">
        <f>IF($A40="","",[1]!thsiFinD("ths_adjustment_nv_fund",AD$3,$A40))</f>
        <v>1.6739999999999999</v>
      </c>
      <c r="AE40" s="13">
        <f>IF($A40="","",[1]!thsiFinD("ths_adjustment_nv_fund",AE$3,$A40))</f>
        <v>1.8498000000000001</v>
      </c>
      <c r="AF40" s="13">
        <f>IF($A40="","",[1]!thsiFinD("ths_adjustment_nv_fund",AF$3,$A40))</f>
        <v>3.7544896410000002</v>
      </c>
      <c r="AG40" s="13">
        <f>IF($A40="","",[1]!thsiFinD("ths_adjustment_nv_fund",AG$3,$A40))</f>
        <v>1.7693098733999999</v>
      </c>
      <c r="AH40" s="13">
        <f>IF($A40="","",[1]!thsiFinD("ths_adjustment_nv_fund",AH$3,$A40))</f>
        <v>4.6228475793000001</v>
      </c>
      <c r="AI40" s="13">
        <f>IF($A40="","",[1]!thsiFinD("ths_adjustment_nv_fund",AI$3,$A40))</f>
        <v>4.9564037969000001</v>
      </c>
      <c r="AJ40" s="13">
        <f>IF($A40="","",[1]!thsiFinD("ths_adjustment_nv_fund",AJ$3,$A40))</f>
        <v>1.9641795826999999</v>
      </c>
      <c r="AK40" s="13">
        <f>IF($A40="","",[1]!thsiFinD("ths_adjustment_nv_fund",AK$3,$A40))</f>
        <v>1.7427492053</v>
      </c>
      <c r="AL40" s="13">
        <f>IF($A40="","",[1]!thsiFinD("ths_adjustment_nv_fund",AL$3,$A40))</f>
        <v>1.9184000000000001</v>
      </c>
    </row>
    <row r="41" spans="1:38">
      <c r="A41" s="9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>1.5222675579</v>
      </c>
      <c r="AA41" s="13">
        <f>IF($A41="","",[1]!thsiFinD("ths_adjustment_nv_fund",AA$3,$A41))</f>
        <v>1.2359225395</v>
      </c>
      <c r="AB41" s="13">
        <f>IF($A41="","",[1]!thsiFinD("ths_adjustment_nv_fund",AB$3,$A41))</f>
        <v>1.7258</v>
      </c>
      <c r="AC41" s="13">
        <f>IF($A41="","",[1]!thsiFinD("ths_adjustment_nv_fund",AC$3,$A41))</f>
        <v>3.091388303</v>
      </c>
      <c r="AD41" s="13">
        <f>IF($A41="","",[1]!thsiFinD("ths_adjustment_nv_fund",AD$3,$A41))</f>
        <v>1.6777</v>
      </c>
      <c r="AE41" s="13">
        <f>IF($A41="","",[1]!thsiFinD("ths_adjustment_nv_fund",AE$3,$A41))</f>
        <v>1.8647</v>
      </c>
      <c r="AF41" s="13">
        <f>IF($A41="","",[1]!thsiFinD("ths_adjustment_nv_fund",AF$3,$A41))</f>
        <v>3.8275886522999998</v>
      </c>
      <c r="AG41" s="13">
        <f>IF($A41="","",[1]!thsiFinD("ths_adjustment_nv_fund",AG$3,$A41))</f>
        <v>1.7959002531999999</v>
      </c>
      <c r="AH41" s="13">
        <f>IF($A41="","",[1]!thsiFinD("ths_adjustment_nv_fund",AH$3,$A41))</f>
        <v>4.6399314371999996</v>
      </c>
      <c r="AI41" s="13">
        <f>IF($A41="","",[1]!thsiFinD("ths_adjustment_nv_fund",AI$3,$A41))</f>
        <v>4.9948832338000004</v>
      </c>
      <c r="AJ41" s="13">
        <f>IF($A41="","",[1]!thsiFinD("ths_adjustment_nv_fund",AJ$3,$A41))</f>
        <v>1.9721790610000001</v>
      </c>
      <c r="AK41" s="13">
        <f>IF($A41="","",[1]!thsiFinD("ths_adjustment_nv_fund",AK$3,$A41))</f>
        <v>1.7541581941</v>
      </c>
      <c r="AL41" s="13">
        <f>IF($A41="","",[1]!thsiFinD("ths_adjustment_nv_fund",AL$3,$A41))</f>
        <v>1.9438</v>
      </c>
    </row>
    <row r="42" spans="1:38">
      <c r="A42" s="9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>1.5209456669999999</v>
      </c>
      <c r="AA42" s="13">
        <f>IF($A42="","",[1]!thsiFinD("ths_adjustment_nv_fund",AA$3,$A42))</f>
        <v>1.2355689136000001</v>
      </c>
      <c r="AB42" s="13">
        <f>IF($A42="","",[1]!thsiFinD("ths_adjustment_nv_fund",AB$3,$A42))</f>
        <v>1.7135</v>
      </c>
      <c r="AC42" s="13">
        <f>IF($A42="","",[1]!thsiFinD("ths_adjustment_nv_fund",AC$3,$A42))</f>
        <v>3.0775944846000001</v>
      </c>
      <c r="AD42" s="13">
        <f>IF($A42="","",[1]!thsiFinD("ths_adjustment_nv_fund",AD$3,$A42))</f>
        <v>1.673</v>
      </c>
      <c r="AE42" s="13">
        <f>IF($A42="","",[1]!thsiFinD("ths_adjustment_nv_fund",AE$3,$A42))</f>
        <v>1.8521000000000001</v>
      </c>
      <c r="AF42" s="13">
        <f>IF($A42="","",[1]!thsiFinD("ths_adjustment_nv_fund",AF$3,$A42))</f>
        <v>3.7700426221000001</v>
      </c>
      <c r="AG42" s="13">
        <f>IF($A42="","",[1]!thsiFinD("ths_adjustment_nv_fund",AG$3,$A42))</f>
        <v>1.7922848945000001</v>
      </c>
      <c r="AH42" s="13">
        <f>IF($A42="","",[1]!thsiFinD("ths_adjustment_nv_fund",AH$3,$A42))</f>
        <v>4.6190758184999998</v>
      </c>
      <c r="AI42" s="13">
        <f>IF($A42="","",[1]!thsiFinD("ths_adjustment_nv_fund",AI$3,$A42))</f>
        <v>4.9625857391999997</v>
      </c>
      <c r="AJ42" s="13">
        <f>IF($A42="","",[1]!thsiFinD("ths_adjustment_nv_fund",AJ$3,$A42))</f>
        <v>1.9731636121</v>
      </c>
      <c r="AK42" s="13">
        <f>IF($A42="","",[1]!thsiFinD("ths_adjustment_nv_fund",AK$3,$A42))</f>
        <v>1.7503900877</v>
      </c>
      <c r="AL42" s="13">
        <f>IF($A42="","",[1]!thsiFinD("ths_adjustment_nv_fund",AL$3,$A42))</f>
        <v>1.9487000000000001</v>
      </c>
    </row>
    <row r="43" spans="1:38">
      <c r="A43" s="9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>1.5209456669999999</v>
      </c>
      <c r="AA43" s="13">
        <f>IF($A43="","",[1]!thsiFinD("ths_adjustment_nv_fund",AA$3,$A43))</f>
        <v>1.2355689136000001</v>
      </c>
      <c r="AB43" s="13">
        <f>IF($A43="","",[1]!thsiFinD("ths_adjustment_nv_fund",AB$3,$A43))</f>
        <v>1.7285999999999999</v>
      </c>
      <c r="AC43" s="13">
        <f>IF($A43="","",[1]!thsiFinD("ths_adjustment_nv_fund",AC$3,$A43))</f>
        <v>3.1204279207000001</v>
      </c>
      <c r="AD43" s="13">
        <f>IF($A43="","",[1]!thsiFinD("ths_adjustment_nv_fund",AD$3,$A43))</f>
        <v>1.6979</v>
      </c>
      <c r="AE43" s="13">
        <f>IF($A43="","",[1]!thsiFinD("ths_adjustment_nv_fund",AE$3,$A43))</f>
        <v>1.8794</v>
      </c>
      <c r="AF43" s="13">
        <f>IF($A43="","",[1]!thsiFinD("ths_adjustment_nv_fund",AF$3,$A43))</f>
        <v>3.7980379880999999</v>
      </c>
      <c r="AG43" s="13">
        <f>IF($A43="","",[1]!thsiFinD("ths_adjustment_nv_fund",AG$3,$A43))</f>
        <v>1.7856372996000001</v>
      </c>
      <c r="AH43" s="13">
        <f>IF($A43="","",[1]!thsiFinD("ths_adjustment_nv_fund",AH$3,$A43))</f>
        <v>4.6244006572999998</v>
      </c>
      <c r="AI43" s="13">
        <f>IF($A43="","",[1]!thsiFinD("ths_adjustment_nv_fund",AI$3,$A43))</f>
        <v>4.9548898519</v>
      </c>
      <c r="AJ43" s="13">
        <f>IF($A43="","",[1]!thsiFinD("ths_adjustment_nv_fund",AJ$3,$A43))</f>
        <v>1.9650410650000001</v>
      </c>
      <c r="AK43" s="13">
        <f>IF($A43="","",[1]!thsiFinD("ths_adjustment_nv_fund",AK$3,$A43))</f>
        <v>1.7485060345000001</v>
      </c>
      <c r="AL43" s="13">
        <f>IF($A43="","",[1]!thsiFinD("ths_adjustment_nv_fund",AL$3,$A43))</f>
        <v>1.9658</v>
      </c>
    </row>
    <row r="44" spans="1:38">
      <c r="A44" s="9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>1.5217167700000001</v>
      </c>
      <c r="AA44" s="13">
        <f>IF($A44="","",[1]!thsiFinD("ths_adjustment_nv_fund",AA$3,$A44))</f>
        <v>1.2359225395</v>
      </c>
      <c r="AB44" s="13">
        <f>IF($A44="","",[1]!thsiFinD("ths_adjustment_nv_fund",AB$3,$A44))</f>
        <v>1.7118</v>
      </c>
      <c r="AC44" s="13">
        <f>IF($A44="","",[1]!thsiFinD("ths_adjustment_nv_fund",AC$3,$A44))</f>
        <v>3.0869113618999999</v>
      </c>
      <c r="AD44" s="13">
        <f>IF($A44="","",[1]!thsiFinD("ths_adjustment_nv_fund",AD$3,$A44))</f>
        <v>1.6858</v>
      </c>
      <c r="AE44" s="13">
        <f>IF($A44="","",[1]!thsiFinD("ths_adjustment_nv_fund",AE$3,$A44))</f>
        <v>1.8557999999999999</v>
      </c>
      <c r="AF44" s="13">
        <f>IF($A44="","",[1]!thsiFinD("ths_adjustment_nv_fund",AF$3,$A44))</f>
        <v>3.7482684486000002</v>
      </c>
      <c r="AG44" s="13">
        <f>IF($A44="","",[1]!thsiFinD("ths_adjustment_nv_fund",AG$3,$A44))</f>
        <v>1.7708259916</v>
      </c>
      <c r="AH44" s="13">
        <f>IF($A44="","",[1]!thsiFinD("ths_adjustment_nv_fund",AH$3,$A44))</f>
        <v>4.6266193402000004</v>
      </c>
      <c r="AI44" s="13">
        <f>IF($A44="","",[1]!thsiFinD("ths_adjustment_nv_fund",AI$3,$A44))</f>
        <v>4.9242324644000002</v>
      </c>
      <c r="AJ44" s="13">
        <f>IF($A44="","",[1]!thsiFinD("ths_adjustment_nv_fund",AJ$3,$A44))</f>
        <v>1.9631950315</v>
      </c>
      <c r="AK44" s="13">
        <f>IF($A44="","",[1]!thsiFinD("ths_adjustment_nv_fund",AK$3,$A44))</f>
        <v>1.7462033027999999</v>
      </c>
      <c r="AL44" s="13">
        <f>IF($A44="","",[1]!thsiFinD("ths_adjustment_nv_fund",AL$3,$A44))</f>
        <v>1.9550000000000001</v>
      </c>
    </row>
    <row r="45" spans="1:38">
      <c r="A45" s="9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>1.5218269276</v>
      </c>
      <c r="AA45" s="13">
        <f>IF($A45="","",[1]!thsiFinD("ths_adjustment_nv_fund",AA$3,$A45))</f>
        <v>1.2359225395</v>
      </c>
      <c r="AB45" s="13">
        <f>IF($A45="","",[1]!thsiFinD("ths_adjustment_nv_fund",AB$3,$A45))</f>
        <v>1.7181999999999999</v>
      </c>
      <c r="AC45" s="13">
        <f>IF($A45="","",[1]!thsiFinD("ths_adjustment_nv_fund",AC$3,$A45))</f>
        <v>3.1232108840000001</v>
      </c>
      <c r="AD45" s="13">
        <f>IF($A45="","",[1]!thsiFinD("ths_adjustment_nv_fund",AD$3,$A45))</f>
        <v>1.7001999999999999</v>
      </c>
      <c r="AE45" s="13">
        <f>IF($A45="","",[1]!thsiFinD("ths_adjustment_nv_fund",AE$3,$A45))</f>
        <v>1.8773</v>
      </c>
      <c r="AF45" s="13">
        <f>IF($A45="","",[1]!thsiFinD("ths_adjustment_nv_fund",AF$3,$A45))</f>
        <v>3.7482684486000002</v>
      </c>
      <c r="AG45" s="13">
        <f>IF($A45="","",[1]!thsiFinD("ths_adjustment_nv_fund",AG$3,$A45))</f>
        <v>1.7694264979000001</v>
      </c>
      <c r="AH45" s="13">
        <f>IF($A45="","",[1]!thsiFinD("ths_adjustment_nv_fund",AH$3,$A45))</f>
        <v>4.6277286815999998</v>
      </c>
      <c r="AI45" s="13">
        <f>IF($A45="","",[1]!thsiFinD("ths_adjustment_nv_fund",AI$3,$A45))</f>
        <v>4.9122470659999999</v>
      </c>
      <c r="AJ45" s="13">
        <f>IF($A45="","",[1]!thsiFinD("ths_adjustment_nv_fund",AJ$3,$A45))</f>
        <v>1.9566723800000001</v>
      </c>
      <c r="AK45" s="13">
        <f>IF($A45="","",[1]!thsiFinD("ths_adjustment_nv_fund",AK$3,$A45))</f>
        <v>1.7379344027000001</v>
      </c>
      <c r="AL45" s="13">
        <f>IF($A45="","",[1]!thsiFinD("ths_adjustment_nv_fund",AL$3,$A45))</f>
        <v>1.9333</v>
      </c>
    </row>
    <row r="46" spans="1:38">
      <c r="A46" s="9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>1.5230386609</v>
      </c>
      <c r="AA46" s="13">
        <f>IF($A46="","",[1]!thsiFinD("ths_adjustment_nv_fund",AA$3,$A46))</f>
        <v>1.2368655419000001</v>
      </c>
      <c r="AB46" s="13">
        <f>IF($A46="","",[1]!thsiFinD("ths_adjustment_nv_fund",AB$3,$A46))</f>
        <v>1.7599</v>
      </c>
      <c r="AC46" s="13">
        <f>IF($A46="","",[1]!thsiFinD("ths_adjustment_nv_fund",AC$3,$A46))</f>
        <v>3.2146856798000001</v>
      </c>
      <c r="AD46" s="13">
        <f>IF($A46="","",[1]!thsiFinD("ths_adjustment_nv_fund",AD$3,$A46))</f>
        <v>1.7491000000000001</v>
      </c>
      <c r="AE46" s="13">
        <f>IF($A46="","",[1]!thsiFinD("ths_adjustment_nv_fund",AE$3,$A46))</f>
        <v>1.9329000000000001</v>
      </c>
      <c r="AF46" s="13">
        <f>IF($A46="","",[1]!thsiFinD("ths_adjustment_nv_fund",AF$3,$A46))</f>
        <v>3.7840403051</v>
      </c>
      <c r="AG46" s="13">
        <f>IF($A46="","",[1]!thsiFinD("ths_adjustment_nv_fund",AG$3,$A46))</f>
        <v>1.7765405907</v>
      </c>
      <c r="AH46" s="13">
        <f>IF($A46="","",[1]!thsiFinD("ths_adjustment_nv_fund",AH$3,$A46))</f>
        <v>4.6368252813000002</v>
      </c>
      <c r="AI46" s="13">
        <f>IF($A46="","",[1]!thsiFinD("ths_adjustment_nv_fund",AI$3,$A46))</f>
        <v>4.9619549288</v>
      </c>
      <c r="AJ46" s="13">
        <f>IF($A46="","",[1]!thsiFinD("ths_adjustment_nv_fund",AJ$3,$A46))</f>
        <v>1.9601183091000001</v>
      </c>
      <c r="AK46" s="13">
        <f>IF($A46="","",[1]!thsiFinD("ths_adjustment_nv_fund",AK$3,$A46))</f>
        <v>1.7345849748</v>
      </c>
      <c r="AL46" s="13">
        <f>IF($A46="","",[1]!thsiFinD("ths_adjustment_nv_fund",AL$3,$A46))</f>
        <v>1.9597</v>
      </c>
    </row>
    <row r="47" spans="1:38">
      <c r="A47" s="9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>1.5243605519000001</v>
      </c>
      <c r="AA47" s="13">
        <f>IF($A47="","",[1]!thsiFinD("ths_adjustment_nv_fund",AA$3,$A47))</f>
        <v>1.2373370430999999</v>
      </c>
      <c r="AB47" s="13">
        <f>IF($A47="","",[1]!thsiFinD("ths_adjustment_nv_fund",AB$3,$A47))</f>
        <v>1.7589999999999999</v>
      </c>
      <c r="AC47" s="13">
        <f>IF($A47="","",[1]!thsiFinD("ths_adjustment_nv_fund",AC$3,$A47))</f>
        <v>3.2198886113</v>
      </c>
      <c r="AD47" s="13">
        <f>IF($A47="","",[1]!thsiFinD("ths_adjustment_nv_fund",AD$3,$A47))</f>
        <v>1.7483</v>
      </c>
      <c r="AE47" s="13">
        <f>IF($A47="","",[1]!thsiFinD("ths_adjustment_nv_fund",AE$3,$A47))</f>
        <v>1.9323999999999999</v>
      </c>
      <c r="AF47" s="13">
        <f>IF($A47="","",[1]!thsiFinD("ths_adjustment_nv_fund",AF$3,$A47))</f>
        <v>3.7980379880999999</v>
      </c>
      <c r="AG47" s="13">
        <f>IF($A47="","",[1]!thsiFinD("ths_adjustment_nv_fund",AG$3,$A47))</f>
        <v>1.7914685232000001</v>
      </c>
      <c r="AH47" s="13">
        <f>IF($A47="","",[1]!thsiFinD("ths_adjustment_nv_fund",AH$3,$A47))</f>
        <v>4.6434813298000002</v>
      </c>
      <c r="AI47" s="13">
        <f>IF($A47="","",[1]!thsiFinD("ths_adjustment_nv_fund",AI$3,$A47))</f>
        <v>4.9772205415000004</v>
      </c>
      <c r="AJ47" s="13">
        <f>IF($A47="","",[1]!thsiFinD("ths_adjustment_nv_fund",AJ$3,$A47))</f>
        <v>1.9682408563</v>
      </c>
      <c r="AK47" s="13">
        <f>IF($A47="","",[1]!thsiFinD("ths_adjustment_nv_fund",AK$3,$A47))</f>
        <v>1.7356316709999999</v>
      </c>
      <c r="AL47" s="13">
        <f>IF($A47="","",[1]!thsiFinD("ths_adjustment_nv_fund",AL$3,$A47))</f>
        <v>1.9617</v>
      </c>
    </row>
    <row r="48" spans="1:38">
      <c r="A48" s="9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>1.5229285034</v>
      </c>
      <c r="AA48" s="13">
        <f>IF($A48="","",[1]!thsiFinD("ths_adjustment_nv_fund",AA$3,$A48))</f>
        <v>1.2369834172</v>
      </c>
      <c r="AB48" s="13">
        <f>IF($A48="","",[1]!thsiFinD("ths_adjustment_nv_fund",AB$3,$A48))</f>
        <v>1.6812</v>
      </c>
      <c r="AC48" s="13">
        <f>IF($A48="","",[1]!thsiFinD("ths_adjustment_nv_fund",AC$3,$A48))</f>
        <v>3.0631956741000002</v>
      </c>
      <c r="AD48" s="13">
        <f>IF($A48="","",[1]!thsiFinD("ths_adjustment_nv_fund",AD$3,$A48))</f>
        <v>1.6559999999999999</v>
      </c>
      <c r="AE48" s="13">
        <f>IF($A48="","",[1]!thsiFinD("ths_adjustment_nv_fund",AE$3,$A48))</f>
        <v>1.8340000000000001</v>
      </c>
      <c r="AF48" s="13">
        <f>IF($A48="","",[1]!thsiFinD("ths_adjustment_nv_fund",AF$3,$A48))</f>
        <v>3.7964826899999999</v>
      </c>
      <c r="AG48" s="13">
        <f>IF($A48="","",[1]!thsiFinD("ths_adjustment_nv_fund",AG$3,$A48))</f>
        <v>1.7899524051</v>
      </c>
      <c r="AH48" s="13">
        <f>IF($A48="","",[1]!thsiFinD("ths_adjustment_nv_fund",AH$3,$A48))</f>
        <v>4.6053199848000004</v>
      </c>
      <c r="AI48" s="13">
        <f>IF($A48="","",[1]!thsiFinD("ths_adjustment_nv_fund",AI$3,$A48))</f>
        <v>4.9232231676999998</v>
      </c>
      <c r="AJ48" s="13">
        <f>IF($A48="","",[1]!thsiFinD("ths_adjustment_nv_fund",AJ$3,$A48))</f>
        <v>1.9906393953999999</v>
      </c>
      <c r="AK48" s="13">
        <f>IF($A48="","",[1]!thsiFinD("ths_adjustment_nv_fund",AK$3,$A48))</f>
        <v>1.7434147726</v>
      </c>
      <c r="AL48" s="13">
        <f>IF($A48="","",[1]!thsiFinD("ths_adjustment_nv_fund",AL$3,$A48))</f>
        <v>1.9400999999999999</v>
      </c>
    </row>
    <row r="49" spans="1:38">
      <c r="A49" s="9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>1.5224878731</v>
      </c>
      <c r="AA49" s="13">
        <f>IF($A49="","",[1]!thsiFinD("ths_adjustment_nv_fund",AA$3,$A49))</f>
        <v>1.2368655419000001</v>
      </c>
      <c r="AB49" s="13">
        <f>IF($A49="","",[1]!thsiFinD("ths_adjustment_nv_fund",AB$3,$A49))</f>
        <v>1.6937</v>
      </c>
      <c r="AC49" s="13">
        <f>IF($A49="","",[1]!thsiFinD("ths_adjustment_nv_fund",AC$3,$A49))</f>
        <v>3.0759005069000001</v>
      </c>
      <c r="AD49" s="13">
        <f>IF($A49="","",[1]!thsiFinD("ths_adjustment_nv_fund",AD$3,$A49))</f>
        <v>1.6726000000000001</v>
      </c>
      <c r="AE49" s="13">
        <f>IF($A49="","",[1]!thsiFinD("ths_adjustment_nv_fund",AE$3,$A49))</f>
        <v>1.8613</v>
      </c>
      <c r="AF49" s="13">
        <f>IF($A49="","",[1]!thsiFinD("ths_adjustment_nv_fund",AF$3,$A49))</f>
        <v>3.8384757390000002</v>
      </c>
      <c r="AG49" s="13">
        <f>IF($A49="","",[1]!thsiFinD("ths_adjustment_nv_fund",AG$3,$A49))</f>
        <v>1.7945007595</v>
      </c>
      <c r="AH49" s="13">
        <f>IF($A49="","",[1]!thsiFinD("ths_adjustment_nv_fund",AH$3,$A49))</f>
        <v>4.6175227405000001</v>
      </c>
      <c r="AI49" s="13">
        <f>IF($A49="","",[1]!thsiFinD("ths_adjustment_nv_fund",AI$3,$A49))</f>
        <v>4.9267557061999998</v>
      </c>
      <c r="AJ49" s="13">
        <f>IF($A49="","",[1]!thsiFinD("ths_adjustment_nv_fund",AJ$3,$A49))</f>
        <v>2.0019617338</v>
      </c>
      <c r="AK49" s="13">
        <f>IF($A49="","",[1]!thsiFinD("ths_adjustment_nv_fund",AK$3,$A49))</f>
        <v>1.7524599989</v>
      </c>
      <c r="AL49" s="13">
        <f>IF($A49="","",[1]!thsiFinD("ths_adjustment_nv_fund",AL$3,$A49))</f>
        <v>1.994</v>
      </c>
    </row>
    <row r="50" spans="1:38">
      <c r="A50" s="9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>1.5221574003</v>
      </c>
      <c r="AA50" s="13">
        <f>IF($A50="","",[1]!thsiFinD("ths_adjustment_nv_fund",AA$3,$A50))</f>
        <v>1.2367476665999999</v>
      </c>
      <c r="AB50" s="13">
        <f>IF($A50="","",[1]!thsiFinD("ths_adjustment_nv_fund",AB$3,$A50))</f>
        <v>1.6954</v>
      </c>
      <c r="AC50" s="13">
        <f>IF($A50="","",[1]!thsiFinD("ths_adjustment_nv_fund",AC$3,$A50))</f>
        <v>3.0835234064999999</v>
      </c>
      <c r="AD50" s="13">
        <f>IF($A50="","",[1]!thsiFinD("ths_adjustment_nv_fund",AD$3,$A50))</f>
        <v>1.6803999999999999</v>
      </c>
      <c r="AE50" s="13">
        <f>IF($A50="","",[1]!thsiFinD("ths_adjustment_nv_fund",AE$3,$A50))</f>
        <v>1.8712</v>
      </c>
      <c r="AF50" s="13">
        <f>IF($A50="","",[1]!thsiFinD("ths_adjustment_nv_fund",AF$3,$A50))</f>
        <v>3.8618052107</v>
      </c>
      <c r="AG50" s="13">
        <f>IF($A50="","",[1]!thsiFinD("ths_adjustment_nv_fund",AG$3,$A50))</f>
        <v>1.788203038</v>
      </c>
      <c r="AH50" s="13">
        <f>IF($A50="","",[1]!thsiFinD("ths_adjustment_nv_fund",AH$3,$A50))</f>
        <v>4.5829112881</v>
      </c>
      <c r="AI50" s="13">
        <f>IF($A50="","",[1]!thsiFinD("ths_adjustment_nv_fund",AI$3,$A50))</f>
        <v>4.9273865166000004</v>
      </c>
      <c r="AJ50" s="13">
        <f>IF($A50="","",[1]!thsiFinD("ths_adjustment_nv_fund",AJ$3,$A50))</f>
        <v>1.9913778088</v>
      </c>
      <c r="AK50" s="13">
        <f>IF($A50="","",[1]!thsiFinD("ths_adjustment_nv_fund",AK$3,$A50))</f>
        <v>1.731529766</v>
      </c>
      <c r="AL50" s="13">
        <f>IF($A50="","",[1]!thsiFinD("ths_adjustment_nv_fund",AL$3,$A50))</f>
        <v>2.0238</v>
      </c>
    </row>
    <row r="51" spans="1:38">
      <c r="A51" s="9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>1.5232589760999999</v>
      </c>
      <c r="AA51" s="13">
        <f>IF($A51="","",[1]!thsiFinD("ths_adjustment_nv_fund",AA$3,$A51))</f>
        <v>1.2372191678</v>
      </c>
      <c r="AB51" s="13">
        <f>IF($A51="","",[1]!thsiFinD("ths_adjustment_nv_fund",AB$3,$A51))</f>
        <v>1.6645000000000001</v>
      </c>
      <c r="AC51" s="13">
        <f>IF($A51="","",[1]!thsiFinD("ths_adjustment_nv_fund",AC$3,$A51))</f>
        <v>3.0374230134000002</v>
      </c>
      <c r="AD51" s="13">
        <f>IF($A51="","",[1]!thsiFinD("ths_adjustment_nv_fund",AD$3,$A51))</f>
        <v>1.6569</v>
      </c>
      <c r="AE51" s="13">
        <f>IF($A51="","",[1]!thsiFinD("ths_adjustment_nv_fund",AE$3,$A51))</f>
        <v>1.8475999999999999</v>
      </c>
      <c r="AF51" s="13">
        <f>IF($A51="","",[1]!thsiFinD("ths_adjustment_nv_fund",AF$3,$A51))</f>
        <v>3.8322545466000002</v>
      </c>
      <c r="AG51" s="13">
        <f>IF($A51="","",[1]!thsiFinD("ths_adjustment_nv_fund",AG$3,$A51))</f>
        <v>1.7990491139</v>
      </c>
      <c r="AH51" s="13">
        <f>IF($A51="","",[1]!thsiFinD("ths_adjustment_nv_fund",AH$3,$A51))</f>
        <v>4.5500747819000003</v>
      </c>
      <c r="AI51" s="13">
        <f>IF($A51="","",[1]!thsiFinD("ths_adjustment_nv_fund",AI$3,$A51))</f>
        <v>4.9263772199</v>
      </c>
      <c r="AJ51" s="13">
        <f>IF($A51="","",[1]!thsiFinD("ths_adjustment_nv_fund",AJ$3,$A51))</f>
        <v>2.0115611077</v>
      </c>
      <c r="AK51" s="13">
        <f>IF($A51="","",[1]!thsiFinD("ths_adjustment_nv_fund",AK$3,$A51))</f>
        <v>1.7437303038</v>
      </c>
      <c r="AL51" s="13">
        <f>IF($A51="","",[1]!thsiFinD("ths_adjustment_nv_fund",AL$3,$A51))</f>
        <v>2.0638999999999998</v>
      </c>
    </row>
    <row r="52" spans="1:38">
      <c r="A52" s="9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>1.5227081882</v>
      </c>
      <c r="AA52" s="13">
        <f>IF($A52="","",[1]!thsiFinD("ths_adjustment_nv_fund",AA$3,$A52))</f>
        <v>1.2369834172</v>
      </c>
      <c r="AB52" s="13">
        <f>IF($A52="","",[1]!thsiFinD("ths_adjustment_nv_fund",AB$3,$A52))</f>
        <v>1.6625000000000001</v>
      </c>
      <c r="AC52" s="13">
        <f>IF($A52="","",[1]!thsiFinD("ths_adjustment_nv_fund",AC$3,$A52))</f>
        <v>3.0305261041999998</v>
      </c>
      <c r="AD52" s="13">
        <f>IF($A52="","",[1]!thsiFinD("ths_adjustment_nv_fund",AD$3,$A52))</f>
        <v>1.6676</v>
      </c>
      <c r="AE52" s="13">
        <f>IF($A52="","",[1]!thsiFinD("ths_adjustment_nv_fund",AE$3,$A52))</f>
        <v>1.8647</v>
      </c>
      <c r="AF52" s="13">
        <f>IF($A52="","",[1]!thsiFinD("ths_adjustment_nv_fund",AF$3,$A52))</f>
        <v>3.8182568635999998</v>
      </c>
      <c r="AG52" s="13">
        <f>IF($A52="","",[1]!thsiFinD("ths_adjustment_nv_fund",AG$3,$A52))</f>
        <v>1.8033642193999999</v>
      </c>
      <c r="AH52" s="13">
        <f>IF($A52="","",[1]!thsiFinD("ths_adjustment_nv_fund",AH$3,$A52))</f>
        <v>4.5753677664000003</v>
      </c>
      <c r="AI52" s="13">
        <f>IF($A52="","",[1]!thsiFinD("ths_adjustment_nv_fund",AI$3,$A52))</f>
        <v>4.9217092226999997</v>
      </c>
      <c r="AJ52" s="13">
        <f>IF($A52="","",[1]!thsiFinD("ths_adjustment_nv_fund",AJ$3,$A52))</f>
        <v>2.0089766609000002</v>
      </c>
      <c r="AK52" s="13">
        <f>IF($A52="","",[1]!thsiFinD("ths_adjustment_nv_fund",AK$3,$A52))</f>
        <v>1.7494098645</v>
      </c>
      <c r="AL52" s="13">
        <f>IF($A52="","",[1]!thsiFinD("ths_adjustment_nv_fund",AL$3,$A52))</f>
        <v>2.0602999999999998</v>
      </c>
    </row>
    <row r="53" spans="1:38">
      <c r="A53" s="9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>1.5219370852</v>
      </c>
      <c r="AA53" s="13">
        <f>IF($A53="","",[1]!thsiFinD("ths_adjustment_nv_fund",AA$3,$A53))</f>
        <v>1.236511916</v>
      </c>
      <c r="AB53" s="13">
        <f>IF($A53="","",[1]!thsiFinD("ths_adjustment_nv_fund",AB$3,$A53))</f>
        <v>1.6741999999999999</v>
      </c>
      <c r="AC53" s="13">
        <f>IF($A53="","",[1]!thsiFinD("ths_adjustment_nv_fund",AC$3,$A53))</f>
        <v>3.0431099384999998</v>
      </c>
      <c r="AD53" s="13">
        <f>IF($A53="","",[1]!thsiFinD("ths_adjustment_nv_fund",AD$3,$A53))</f>
        <v>1.6667000000000001</v>
      </c>
      <c r="AE53" s="13">
        <f>IF($A53="","",[1]!thsiFinD("ths_adjustment_nv_fund",AE$3,$A53))</f>
        <v>1.8556999999999999</v>
      </c>
      <c r="AF53" s="13">
        <f>IF($A53="","",[1]!thsiFinD("ths_adjustment_nv_fund",AF$3,$A53))</f>
        <v>3.8493628258000001</v>
      </c>
      <c r="AG53" s="13">
        <f>IF($A53="","",[1]!thsiFinD("ths_adjustment_nv_fund",AG$3,$A53))</f>
        <v>1.8032475949</v>
      </c>
      <c r="AH53" s="13">
        <f>IF($A53="","",[1]!thsiFinD("ths_adjustment_nv_fund",AH$3,$A53))</f>
        <v>4.5786957907000003</v>
      </c>
      <c r="AI53" s="13">
        <f>IF($A53="","",[1]!thsiFinD("ths_adjustment_nv_fund",AI$3,$A53))</f>
        <v>4.9640996842999998</v>
      </c>
      <c r="AJ53" s="13">
        <f>IF($A53="","",[1]!thsiFinD("ths_adjustment_nv_fund",AJ$3,$A53))</f>
        <v>2.0154993123999998</v>
      </c>
      <c r="AK53" s="13">
        <f>IF($A53="","",[1]!thsiFinD("ths_adjustment_nv_fund",AK$3,$A53))</f>
        <v>1.7579292055</v>
      </c>
      <c r="AL53" s="13">
        <f>IF($A53="","",[1]!thsiFinD("ths_adjustment_nv_fund",AL$3,$A53))</f>
        <v>2.0556999999999999</v>
      </c>
    </row>
    <row r="54" spans="1:38">
      <c r="A54" s="9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>1.5201745638999999</v>
      </c>
      <c r="AA54" s="13">
        <f>IF($A54="","",[1]!thsiFinD("ths_adjustment_nv_fund",AA$3,$A54))</f>
        <v>1.2358046642</v>
      </c>
      <c r="AB54" s="13">
        <f>IF($A54="","",[1]!thsiFinD("ths_adjustment_nv_fund",AB$3,$A54))</f>
        <v>1.7115</v>
      </c>
      <c r="AC54" s="13">
        <f>IF($A54="","",[1]!thsiFinD("ths_adjustment_nv_fund",AC$3,$A54))</f>
        <v>3.1204279207000001</v>
      </c>
      <c r="AD54" s="13">
        <f>IF($A54="","",[1]!thsiFinD("ths_adjustment_nv_fund",AD$3,$A54))</f>
        <v>1.708</v>
      </c>
      <c r="AE54" s="13">
        <f>IF($A54="","",[1]!thsiFinD("ths_adjustment_nv_fund",AE$3,$A54))</f>
        <v>1.8886000000000001</v>
      </c>
      <c r="AF54" s="13">
        <f>IF($A54="","",[1]!thsiFinD("ths_adjustment_nv_fund",AF$3,$A54))</f>
        <v>3.9037982596999998</v>
      </c>
      <c r="AG54" s="13">
        <f>IF($A54="","",[1]!thsiFinD("ths_adjustment_nv_fund",AG$3,$A54))</f>
        <v>1.8023145992</v>
      </c>
      <c r="AH54" s="13">
        <f>IF($A54="","",[1]!thsiFinD("ths_adjustment_nv_fund",AH$3,$A54))</f>
        <v>4.6082042725000001</v>
      </c>
      <c r="AI54" s="13">
        <f>IF($A54="","",[1]!thsiFinD("ths_adjustment_nv_fund",AI$3,$A54))</f>
        <v>5.0288208355000004</v>
      </c>
      <c r="AJ54" s="13">
        <f>IF($A54="","",[1]!thsiFinD("ths_adjustment_nv_fund",AJ$3,$A54))</f>
        <v>2.0044231117</v>
      </c>
      <c r="AK54" s="13">
        <f>IF($A54="","",[1]!thsiFinD("ths_adjustment_nv_fund",AK$3,$A54))</f>
        <v>1.7479373858</v>
      </c>
      <c r="AL54" s="13">
        <f>IF($A54="","",[1]!thsiFinD("ths_adjustment_nv_fund",AL$3,$A54))</f>
        <v>2.0421</v>
      </c>
    </row>
    <row r="55" spans="1:38">
      <c r="A55" s="9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>1.5202847214999999</v>
      </c>
      <c r="AA55" s="13">
        <f>IF($A55="","",[1]!thsiFinD("ths_adjustment_nv_fund",AA$3,$A55))</f>
        <v>1.2360404147999999</v>
      </c>
      <c r="AB55" s="13">
        <f>IF($A55="","",[1]!thsiFinD("ths_adjustment_nv_fund",AB$3,$A55))</f>
        <v>1.7000999999999999</v>
      </c>
      <c r="AC55" s="13">
        <f>IF($A55="","",[1]!thsiFinD("ths_adjustment_nv_fund",AC$3,$A55))</f>
        <v>3.1055451166000001</v>
      </c>
      <c r="AD55" s="13">
        <f>IF($A55="","",[1]!thsiFinD("ths_adjustment_nv_fund",AD$3,$A55))</f>
        <v>1.7065999999999999</v>
      </c>
      <c r="AE55" s="13">
        <f>IF($A55="","",[1]!thsiFinD("ths_adjustment_nv_fund",AE$3,$A55))</f>
        <v>1.8829</v>
      </c>
      <c r="AF55" s="13">
        <f>IF($A55="","",[1]!thsiFinD("ths_adjustment_nv_fund",AF$3,$A55))</f>
        <v>3.9131300483999998</v>
      </c>
      <c r="AG55" s="13">
        <f>IF($A55="","",[1]!thsiFinD("ths_adjustment_nv_fund",AG$3,$A55))</f>
        <v>1.8082624473</v>
      </c>
      <c r="AH55" s="13">
        <f>IF($A55="","",[1]!thsiFinD("ths_adjustment_nv_fund",AH$3,$A55))</f>
        <v>4.6212945013000004</v>
      </c>
      <c r="AI55" s="13">
        <f>IF($A55="","",[1]!thsiFinD("ths_adjustment_nv_fund",AI$3,$A55))</f>
        <v>5.0578381158000001</v>
      </c>
      <c r="AJ55" s="13">
        <f>IF($A55="","",[1]!thsiFinD("ths_adjustment_nv_fund",AJ$3,$A55))</f>
        <v>2.0071306275</v>
      </c>
      <c r="AK55" s="13">
        <f>IF($A55="","",[1]!thsiFinD("ths_adjustment_nv_fund",AK$3,$A55))</f>
        <v>1.7508823432</v>
      </c>
      <c r="AL55" s="13">
        <f>IF($A55="","",[1]!thsiFinD("ths_adjustment_nv_fund",AL$3,$A55))</f>
        <v>2.0449999999999999</v>
      </c>
    </row>
    <row r="56" spans="1:38">
      <c r="A56" s="9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>1.5210558246000001</v>
      </c>
      <c r="AA56" s="13">
        <f>IF($A56="","",[1]!thsiFinD("ths_adjustment_nv_fund",AA$3,$A56))</f>
        <v>1.2362761654000001</v>
      </c>
      <c r="AB56" s="13">
        <f>IF($A56="","",[1]!thsiFinD("ths_adjustment_nv_fund",AB$3,$A56))</f>
        <v>1.7122999999999999</v>
      </c>
      <c r="AC56" s="13">
        <f>IF($A56="","",[1]!thsiFinD("ths_adjustment_nv_fund",AC$3,$A56))</f>
        <v>3.1528554938000002</v>
      </c>
      <c r="AD56" s="13">
        <f>IF($A56="","",[1]!thsiFinD("ths_adjustment_nv_fund",AD$3,$A56))</f>
        <v>1.7323999999999999</v>
      </c>
      <c r="AE56" s="13">
        <f>IF($A56="","",[1]!thsiFinD("ths_adjustment_nv_fund",AE$3,$A56))</f>
        <v>1.9001999999999999</v>
      </c>
      <c r="AF56" s="13">
        <f>IF($A56="","",[1]!thsiFinD("ths_adjustment_nv_fund",AF$3,$A56))</f>
        <v>3.8758028937</v>
      </c>
      <c r="AG56" s="13">
        <f>IF($A56="","",[1]!thsiFinD("ths_adjustment_nv_fund",AG$3,$A56))</f>
        <v>1.8163095359000001</v>
      </c>
      <c r="AH56" s="13">
        <f>IF($A56="","",[1]!thsiFinD("ths_adjustment_nv_fund",AH$3,$A56))</f>
        <v>4.6479186954999996</v>
      </c>
      <c r="AI56" s="13">
        <f>IF($A56="","",[1]!thsiFinD("ths_adjustment_nv_fund",AI$3,$A56))</f>
        <v>5.0767624291000004</v>
      </c>
      <c r="AJ56" s="13">
        <f>IF($A56="","",[1]!thsiFinD("ths_adjustment_nv_fund",AJ$3,$A56))</f>
        <v>2.0223911706000002</v>
      </c>
      <c r="AK56" s="13">
        <f>IF($A56="","",[1]!thsiFinD("ths_adjustment_nv_fund",AK$3,$A56))</f>
        <v>1.7528807071000001</v>
      </c>
      <c r="AL56" s="13">
        <f>IF($A56="","",[1]!thsiFinD("ths_adjustment_nv_fund",AL$3,$A56))</f>
        <v>1.9743999999999999</v>
      </c>
    </row>
    <row r="57" spans="1:38">
      <c r="A57" s="9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>1.5223777155</v>
      </c>
      <c r="AA57" s="13">
        <f>IF($A57="","",[1]!thsiFinD("ths_adjustment_nv_fund",AA$3,$A57))</f>
        <v>1.2368655419000001</v>
      </c>
      <c r="AB57" s="13">
        <f>IF($A57="","",[1]!thsiFinD("ths_adjustment_nv_fund",AB$3,$A57))</f>
        <v>1.6928000000000001</v>
      </c>
      <c r="AC57" s="13">
        <f>IF($A57="","",[1]!thsiFinD("ths_adjustment_nv_fund",AC$3,$A57))</f>
        <v>3.1151039907999998</v>
      </c>
      <c r="AD57" s="13">
        <f>IF($A57="","",[1]!thsiFinD("ths_adjustment_nv_fund",AD$3,$A57))</f>
        <v>1.7144999999999999</v>
      </c>
      <c r="AE57" s="13">
        <f>IF($A57="","",[1]!thsiFinD("ths_adjustment_nv_fund",AE$3,$A57))</f>
        <v>1.8868</v>
      </c>
      <c r="AF57" s="13">
        <f>IF($A57="","",[1]!thsiFinD("ths_adjustment_nv_fund",AF$3,$A57))</f>
        <v>3.8478075277000001</v>
      </c>
      <c r="AG57" s="13">
        <f>IF($A57="","",[1]!thsiFinD("ths_adjustment_nv_fund",AG$3,$A57))</f>
        <v>1.8206246414</v>
      </c>
      <c r="AH57" s="13">
        <f>IF($A57="","",[1]!thsiFinD("ths_adjustment_nv_fund",AH$3,$A57))</f>
        <v>4.6550184805999999</v>
      </c>
      <c r="AI57" s="13">
        <f>IF($A57="","",[1]!thsiFinD("ths_adjustment_nv_fund",AI$3,$A57))</f>
        <v>5.0642723823000004</v>
      </c>
      <c r="AJ57" s="13">
        <f>IF($A57="","",[1]!thsiFinD("ths_adjustment_nv_fund",AJ$3,$A57))</f>
        <v>2.0450358474999999</v>
      </c>
      <c r="AK57" s="13">
        <f>IF($A57="","",[1]!thsiFinD("ths_adjustment_nv_fund",AK$3,$A57))</f>
        <v>1.7709711596</v>
      </c>
      <c r="AL57" s="13">
        <f>IF($A57="","",[1]!thsiFinD("ths_adjustment_nv_fund",AL$3,$A57))</f>
        <v>1.9702</v>
      </c>
    </row>
    <row r="58" spans="1:38">
      <c r="A58" s="9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>1.5219370852</v>
      </c>
      <c r="AA58" s="13">
        <f>IF($A58="","",[1]!thsiFinD("ths_adjustment_nv_fund",AA$3,$A58))</f>
        <v>1.2367471362</v>
      </c>
      <c r="AB58" s="13">
        <f>IF($A58="","",[1]!thsiFinD("ths_adjustment_nv_fund",AB$3,$A58))</f>
        <v>1.6662999999999999</v>
      </c>
      <c r="AC58" s="13">
        <f>IF($A58="","",[1]!thsiFinD("ths_adjustment_nv_fund",AC$3,$A58))</f>
        <v>3.067914612</v>
      </c>
      <c r="AD58" s="13">
        <f>IF($A58="","",[1]!thsiFinD("ths_adjustment_nv_fund",AD$3,$A58))</f>
        <v>1.6961999999999999</v>
      </c>
      <c r="AE58" s="13">
        <f>IF($A58="","",[1]!thsiFinD("ths_adjustment_nv_fund",AE$3,$A58))</f>
        <v>1.8702000000000001</v>
      </c>
      <c r="AF58" s="13">
        <f>IF($A58="","",[1]!thsiFinD("ths_adjustment_nv_fund",AF$3,$A58))</f>
        <v>3.7731532184000001</v>
      </c>
      <c r="AG58" s="13">
        <f>IF($A58="","",[1]!thsiFinD("ths_adjustment_nv_fund",AG$3,$A58))</f>
        <v>1.7969498734</v>
      </c>
      <c r="AH58" s="13">
        <f>IF($A58="","",[1]!thsiFinD("ths_adjustment_nv_fund",AH$3,$A58))</f>
        <v>4.6173008722000004</v>
      </c>
      <c r="AI58" s="13">
        <f>IF($A58="","",[1]!thsiFinD("ths_adjustment_nv_fund",AI$3,$A58))</f>
        <v>5.0154476541999999</v>
      </c>
      <c r="AJ58" s="13">
        <f>IF($A58="","",[1]!thsiFinD("ths_adjustment_nv_fund",AJ$3,$A58))</f>
        <v>2.0340827156999999</v>
      </c>
      <c r="AK58" s="13">
        <f>IF($A58="","",[1]!thsiFinD("ths_adjustment_nv_fund",AK$3,$A58))</f>
        <v>1.7564567268</v>
      </c>
      <c r="AL58" s="13">
        <f>IF($A58="","",[1]!thsiFinD("ths_adjustment_nv_fund",AL$3,$A58))</f>
        <v>1.9226000000000001</v>
      </c>
    </row>
    <row r="59" spans="1:38">
      <c r="A59" s="9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>1.5231488184999999</v>
      </c>
      <c r="AA59" s="13">
        <f>IF($A59="","",[1]!thsiFinD("ths_adjustment_nv_fund",AA$3,$A59))</f>
        <v>1.2372207588999999</v>
      </c>
      <c r="AB59" s="13">
        <f>IF($A59="","",[1]!thsiFinD("ths_adjustment_nv_fund",AB$3,$A59))</f>
        <v>1.6718999999999999</v>
      </c>
      <c r="AC59" s="13">
        <f>IF($A59="","",[1]!thsiFinD("ths_adjustment_nv_fund",AC$3,$A59))</f>
        <v>3.0791674638000002</v>
      </c>
      <c r="AD59" s="13">
        <f>IF($A59="","",[1]!thsiFinD("ths_adjustment_nv_fund",AD$3,$A59))</f>
        <v>1.7004999999999999</v>
      </c>
      <c r="AE59" s="13">
        <f>IF($A59="","",[1]!thsiFinD("ths_adjustment_nv_fund",AE$3,$A59))</f>
        <v>1.8726</v>
      </c>
      <c r="AF59" s="13">
        <f>IF($A59="","",[1]!thsiFinD("ths_adjustment_nv_fund",AF$3,$A59))</f>
        <v>3.8306992485000002</v>
      </c>
      <c r="AG59" s="13">
        <f>IF($A59="","",[1]!thsiFinD("ths_adjustment_nv_fund",AG$3,$A59))</f>
        <v>1.8033642193999999</v>
      </c>
      <c r="AH59" s="13">
        <f>IF($A59="","",[1]!thsiFinD("ths_adjustment_nv_fund",AH$3,$A59))</f>
        <v>4.6070949310999998</v>
      </c>
      <c r="AI59" s="13">
        <f>IF($A59="","",[1]!thsiFinD("ths_adjustment_nv_fund",AI$3,$A59))</f>
        <v>5.0440864481999999</v>
      </c>
      <c r="AJ59" s="13">
        <f>IF($A59="","",[1]!thsiFinD("ths_adjustment_nv_fund",AJ$3,$A59))</f>
        <v>2.0318607538000002</v>
      </c>
      <c r="AK59" s="13">
        <f>IF($A59="","",[1]!thsiFinD("ths_adjustment_nv_fund",AK$3,$A59))</f>
        <v>1.7579292055</v>
      </c>
      <c r="AL59" s="13">
        <f>IF($A59="","",[1]!thsiFinD("ths_adjustment_nv_fund",AL$3,$A59))</f>
        <v>1.9653</v>
      </c>
    </row>
    <row r="60" spans="1:38">
      <c r="A60" s="9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>1.5230386609</v>
      </c>
      <c r="AA60" s="13">
        <f>IF($A60="","",[1]!thsiFinD("ths_adjustment_nv_fund",AA$3,$A60))</f>
        <v>1.2372207588999999</v>
      </c>
      <c r="AB60" s="13">
        <f>IF($A60="","",[1]!thsiFinD("ths_adjustment_nv_fund",AB$3,$A60))</f>
        <v>1.6506000000000001</v>
      </c>
      <c r="AC60" s="13">
        <f>IF($A60="","",[1]!thsiFinD("ths_adjustment_nv_fund",AC$3,$A60))</f>
        <v>3.0354870388999999</v>
      </c>
      <c r="AD60" s="13">
        <f>IF($A60="","",[1]!thsiFinD("ths_adjustment_nv_fund",AD$3,$A60))</f>
        <v>1.6791</v>
      </c>
      <c r="AE60" s="13">
        <f>IF($A60="","",[1]!thsiFinD("ths_adjustment_nv_fund",AE$3,$A60))</f>
        <v>1.8539000000000001</v>
      </c>
      <c r="AF60" s="13">
        <f>IF($A60="","",[1]!thsiFinD("ths_adjustment_nv_fund",AF$3,$A60))</f>
        <v>3.8291439504000002</v>
      </c>
      <c r="AG60" s="13">
        <f>IF($A60="","",[1]!thsiFinD("ths_adjustment_nv_fund",AG$3,$A60))</f>
        <v>1.8056967089</v>
      </c>
      <c r="AH60" s="13">
        <f>IF($A60="","",[1]!thsiFinD("ths_adjustment_nv_fund",AH$3,$A60))</f>
        <v>4.6321660473000001</v>
      </c>
      <c r="AI60" s="13">
        <f>IF($A60="","",[1]!thsiFinD("ths_adjustment_nv_fund",AI$3,$A60))</f>
        <v>5.0413108823000004</v>
      </c>
      <c r="AJ60" s="13">
        <f>IF($A60="","",[1]!thsiFinD("ths_adjustment_nv_fund",AJ$3,$A60))</f>
        <v>2.0407486014999998</v>
      </c>
      <c r="AK60" s="13">
        <f>IF($A60="","",[1]!thsiFinD("ths_adjustment_nv_fund",AK$3,$A60))</f>
        <v>1.7664485464999999</v>
      </c>
      <c r="AL60" s="13">
        <f>IF($A60="","",[1]!thsiFinD("ths_adjustment_nv_fund",AL$3,$A60))</f>
        <v>1.9803999999999999</v>
      </c>
    </row>
    <row r="61" spans="1:38">
      <c r="A61" s="9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>1.5234792912999999</v>
      </c>
      <c r="AA61" s="13">
        <f>IF($A61="","",[1]!thsiFinD("ths_adjustment_nv_fund",AA$3,$A61))</f>
        <v>1.2374575701999999</v>
      </c>
      <c r="AB61" s="13">
        <f>IF($A61="","",[1]!thsiFinD("ths_adjustment_nv_fund",AB$3,$A61))</f>
        <v>1.6725000000000001</v>
      </c>
      <c r="AC61" s="13">
        <f>IF($A61="","",[1]!thsiFinD("ths_adjustment_nv_fund",AC$3,$A61))</f>
        <v>3.0769894925000001</v>
      </c>
      <c r="AD61" s="13">
        <f>IF($A61="","",[1]!thsiFinD("ths_adjustment_nv_fund",AD$3,$A61))</f>
        <v>1.7051000000000001</v>
      </c>
      <c r="AE61" s="13">
        <f>IF($A61="","",[1]!thsiFinD("ths_adjustment_nv_fund",AE$3,$A61))</f>
        <v>1.8777999999999999</v>
      </c>
      <c r="AF61" s="13">
        <f>IF($A61="","",[1]!thsiFinD("ths_adjustment_nv_fund",AF$3,$A61))</f>
        <v>3.7638214297000001</v>
      </c>
      <c r="AG61" s="13">
        <f>IF($A61="","",[1]!thsiFinD("ths_adjustment_nv_fund",AG$3,$A61))</f>
        <v>1.7918183966000001</v>
      </c>
      <c r="AH61" s="13">
        <f>IF($A61="","",[1]!thsiFinD("ths_adjustment_nv_fund",AH$3,$A61))</f>
        <v>4.6412626468999996</v>
      </c>
      <c r="AI61" s="13">
        <f>IF($A61="","",[1]!thsiFinD("ths_adjustment_nv_fund",AI$3,$A61))</f>
        <v>4.9899629124000002</v>
      </c>
      <c r="AJ61" s="13">
        <f>IF($A61="","",[1]!thsiFinD("ths_adjustment_nv_fund",AJ$3,$A61))</f>
        <v>2.0223556943999998</v>
      </c>
      <c r="AK61" s="13">
        <f>IF($A61="","",[1]!thsiFinD("ths_adjustment_nv_fund",AK$3,$A61))</f>
        <v>1.7543531858000001</v>
      </c>
      <c r="AL61" s="13">
        <f>IF($A61="","",[1]!thsiFinD("ths_adjustment_nv_fund",AL$3,$A61))</f>
        <v>1.9505999999999999</v>
      </c>
    </row>
    <row r="62" spans="1:38">
      <c r="A62" s="9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>1.5230386609</v>
      </c>
      <c r="AA62" s="13">
        <f>IF($A62="","",[1]!thsiFinD("ths_adjustment_nv_fund",AA$3,$A62))</f>
        <v>1.2373391646</v>
      </c>
      <c r="AB62" s="13">
        <f>IF($A62="","",[1]!thsiFinD("ths_adjustment_nv_fund",AB$3,$A62))</f>
        <v>1.6754</v>
      </c>
      <c r="AC62" s="13">
        <f>IF($A62="","",[1]!thsiFinD("ths_adjustment_nv_fund",AC$3,$A62))</f>
        <v>3.0813454351999998</v>
      </c>
      <c r="AD62" s="13">
        <f>IF($A62="","",[1]!thsiFinD("ths_adjustment_nv_fund",AD$3,$A62))</f>
        <v>1.7081999999999999</v>
      </c>
      <c r="AE62" s="13">
        <f>IF($A62="","",[1]!thsiFinD("ths_adjustment_nv_fund",AE$3,$A62))</f>
        <v>1.8812</v>
      </c>
      <c r="AF62" s="13">
        <f>IF($A62="","",[1]!thsiFinD("ths_adjustment_nv_fund",AF$3,$A62))</f>
        <v>3.7731532184000001</v>
      </c>
      <c r="AG62" s="13">
        <f>IF($A62="","",[1]!thsiFinD("ths_adjustment_nv_fund",AG$3,$A62))</f>
        <v>1.7991657383999999</v>
      </c>
      <c r="AH62" s="13">
        <f>IF($A62="","",[1]!thsiFinD("ths_adjustment_nv_fund",AH$3,$A62))</f>
        <v>4.6474749589000002</v>
      </c>
      <c r="AI62" s="13">
        <f>IF($A62="","",[1]!thsiFinD("ths_adjustment_nv_fund",AI$3,$A62))</f>
        <v>4.9950093959000004</v>
      </c>
      <c r="AJ62" s="13">
        <f>IF($A62="","",[1]!thsiFinD("ths_adjustment_nv_fund",AJ$3,$A62))</f>
        <v>2.0403782746000001</v>
      </c>
      <c r="AK62" s="13">
        <f>IF($A62="","",[1]!thsiFinD("ths_adjustment_nv_fund",AK$3,$A62))</f>
        <v>1.7629777038000001</v>
      </c>
      <c r="AL62" s="13">
        <f>IF($A62="","",[1]!thsiFinD("ths_adjustment_nv_fund",AL$3,$A62))</f>
        <v>1.9551000000000001</v>
      </c>
    </row>
    <row r="63" spans="1:38">
      <c r="A63" s="9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>1.5229285034</v>
      </c>
      <c r="AA63" s="13">
        <f>IF($A63="","",[1]!thsiFinD("ths_adjustment_nv_fund",AA$3,$A63))</f>
        <v>1.2373391646</v>
      </c>
      <c r="AB63" s="13">
        <f>IF($A63="","",[1]!thsiFinD("ths_adjustment_nv_fund",AB$3,$A63))</f>
        <v>1.6755</v>
      </c>
      <c r="AC63" s="13">
        <f>IF($A63="","",[1]!thsiFinD("ths_adjustment_nv_fund",AC$3,$A63))</f>
        <v>3.0843703953000001</v>
      </c>
      <c r="AD63" s="13">
        <f>IF($A63="","",[1]!thsiFinD("ths_adjustment_nv_fund",AD$3,$A63))</f>
        <v>1.7094</v>
      </c>
      <c r="AE63" s="13">
        <f>IF($A63="","",[1]!thsiFinD("ths_adjustment_nv_fund",AE$3,$A63))</f>
        <v>1.8823000000000001</v>
      </c>
      <c r="AF63" s="13">
        <f>IF($A63="","",[1]!thsiFinD("ths_adjustment_nv_fund",AF$3,$A63))</f>
        <v>3.7933720938</v>
      </c>
      <c r="AG63" s="13">
        <f>IF($A63="","",[1]!thsiFinD("ths_adjustment_nv_fund",AG$3,$A63))</f>
        <v>1.8097785654</v>
      </c>
      <c r="AH63" s="13">
        <f>IF($A63="","",[1]!thsiFinD("ths_adjustment_nv_fund",AH$3,$A63))</f>
        <v>4.6328316521000001</v>
      </c>
      <c r="AI63" s="13">
        <f>IF($A63="","",[1]!thsiFinD("ths_adjustment_nv_fund",AI$3,$A63))</f>
        <v>5.0121674398999998</v>
      </c>
      <c r="AJ63" s="13">
        <f>IF($A63="","",[1]!thsiFinD("ths_adjustment_nv_fund",AJ$3,$A63))</f>
        <v>2.0465503910999998</v>
      </c>
      <c r="AK63" s="13">
        <f>IF($A63="","",[1]!thsiFinD("ths_adjustment_nv_fund",AK$3,$A63))</f>
        <v>1.7583499137</v>
      </c>
      <c r="AL63" s="13">
        <f>IF($A63="","",[1]!thsiFinD("ths_adjustment_nv_fund",AL$3,$A63))</f>
        <v>1.9516</v>
      </c>
    </row>
    <row r="64" spans="1:38">
      <c r="A64" s="9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>1.5228183458</v>
      </c>
      <c r="AA64" s="13">
        <f>IF($A64="","",[1]!thsiFinD("ths_adjustment_nv_fund",AA$3,$A64))</f>
        <v>1.2373391646</v>
      </c>
      <c r="AB64" s="13">
        <f>IF($A64="","",[1]!thsiFinD("ths_adjustment_nv_fund",AB$3,$A64))</f>
        <v>1.6661999999999999</v>
      </c>
      <c r="AC64" s="13">
        <f>IF($A64="","",[1]!thsiFinD("ths_adjustment_nv_fund",AC$3,$A64))</f>
        <v>3.0587187330000001</v>
      </c>
      <c r="AD64" s="13">
        <f>IF($A64="","",[1]!thsiFinD("ths_adjustment_nv_fund",AD$3,$A64))</f>
        <v>1.6921999999999999</v>
      </c>
      <c r="AE64" s="13">
        <f>IF($A64="","",[1]!thsiFinD("ths_adjustment_nv_fund",AE$3,$A64))</f>
        <v>1.8576999999999999</v>
      </c>
      <c r="AF64" s="13">
        <f>IF($A64="","",[1]!thsiFinD("ths_adjustment_nv_fund",AF$3,$A64))</f>
        <v>3.7576002373000001</v>
      </c>
      <c r="AG64" s="13">
        <f>IF($A64="","",[1]!thsiFinD("ths_adjustment_nv_fund",AG$3,$A64))</f>
        <v>1.7997488608000001</v>
      </c>
      <c r="AH64" s="13">
        <f>IF($A64="","",[1]!thsiFinD("ths_adjustment_nv_fund",AH$3,$A64))</f>
        <v>4.5975545949000001</v>
      </c>
      <c r="AI64" s="13">
        <f>IF($A64="","",[1]!thsiFinD("ths_adjustment_nv_fund",AI$3,$A64))</f>
        <v>4.9740664893000002</v>
      </c>
      <c r="AJ64" s="13">
        <f>IF($A64="","",[1]!thsiFinD("ths_adjustment_nv_fund",AJ$3,$A64))</f>
        <v>2.0535866038999999</v>
      </c>
      <c r="AK64" s="13">
        <f>IF($A64="","",[1]!thsiFinD("ths_adjustment_nv_fund",AK$3,$A64))</f>
        <v>1.7567722579</v>
      </c>
      <c r="AL64" s="13">
        <f>IF($A64="","",[1]!thsiFinD("ths_adjustment_nv_fund",AL$3,$A64))</f>
        <v>1.9598</v>
      </c>
    </row>
    <row r="65" spans="1:38">
      <c r="A65" s="9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>1.5221574003</v>
      </c>
      <c r="AA65" s="13">
        <f>IF($A65="","",[1]!thsiFinD("ths_adjustment_nv_fund",AA$3,$A65))</f>
        <v>1.2372207588999999</v>
      </c>
      <c r="AB65" s="13">
        <f>IF($A65="","",[1]!thsiFinD("ths_adjustment_nv_fund",AB$3,$A65))</f>
        <v>1.6375</v>
      </c>
      <c r="AC65" s="13">
        <f>IF($A65="","",[1]!thsiFinD("ths_adjustment_nv_fund",AC$3,$A65))</f>
        <v>3.0058424290999999</v>
      </c>
      <c r="AD65" s="13">
        <f>IF($A65="","",[1]!thsiFinD("ths_adjustment_nv_fund",AD$3,$A65))</f>
        <v>1.6625000000000001</v>
      </c>
      <c r="AE65" s="13">
        <f>IF($A65="","",[1]!thsiFinD("ths_adjustment_nv_fund",AE$3,$A65))</f>
        <v>1.8232999999999999</v>
      </c>
      <c r="AF65" s="13">
        <f>IF($A65="","",[1]!thsiFinD("ths_adjustment_nv_fund",AF$3,$A65))</f>
        <v>3.6813906298000001</v>
      </c>
      <c r="AG65" s="13">
        <f>IF($A65="","",[1]!thsiFinD("ths_adjustment_nv_fund",AG$3,$A65))</f>
        <v>1.7831881857</v>
      </c>
      <c r="AH65" s="13">
        <f>IF($A65="","",[1]!thsiFinD("ths_adjustment_nv_fund",AH$3,$A65))</f>
        <v>4.5593932499000003</v>
      </c>
      <c r="AI65" s="13">
        <f>IF($A65="","",[1]!thsiFinD("ths_adjustment_nv_fund",AI$3,$A65))</f>
        <v>4.9048035028000001</v>
      </c>
      <c r="AJ65" s="13">
        <f>IF($A65="","",[1]!thsiFinD("ths_adjustment_nv_fund",AJ$3,$A65))</f>
        <v>2.0356874660000002</v>
      </c>
      <c r="AK65" s="13">
        <f>IF($A65="","",[1]!thsiFinD("ths_adjustment_nv_fund",AK$3,$A65))</f>
        <v>1.7423630021000001</v>
      </c>
      <c r="AL65" s="13">
        <f>IF($A65="","",[1]!thsiFinD("ths_adjustment_nv_fund",AL$3,$A65))</f>
        <v>1.9321999999999999</v>
      </c>
    </row>
    <row r="66" spans="1:38">
      <c r="A66" s="9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>1.5223777155</v>
      </c>
      <c r="AA66" s="13">
        <f>IF($A66="","",[1]!thsiFinD("ths_adjustment_nv_fund",AA$3,$A66))</f>
        <v>1.2374575701999999</v>
      </c>
      <c r="AB66" s="13">
        <f>IF($A66="","",[1]!thsiFinD("ths_adjustment_nv_fund",AB$3,$A66))</f>
        <v>1.6345000000000001</v>
      </c>
      <c r="AC66" s="13">
        <f>IF($A66="","",[1]!thsiFinD("ths_adjustment_nv_fund",AC$3,$A66))</f>
        <v>3.0071734116000002</v>
      </c>
      <c r="AD66" s="13">
        <f>IF($A66="","",[1]!thsiFinD("ths_adjustment_nv_fund",AD$3,$A66))</f>
        <v>1.6734</v>
      </c>
      <c r="AE66" s="13">
        <f>IF($A66="","",[1]!thsiFinD("ths_adjustment_nv_fund",AE$3,$A66))</f>
        <v>1.8371999999999999</v>
      </c>
      <c r="AF66" s="13">
        <f>IF($A66="","",[1]!thsiFinD("ths_adjustment_nv_fund",AF$3,$A66))</f>
        <v>3.6813906298000001</v>
      </c>
      <c r="AG66" s="13">
        <f>IF($A66="","",[1]!thsiFinD("ths_adjustment_nv_fund",AG$3,$A66))</f>
        <v>1.7880864135000001</v>
      </c>
      <c r="AH66" s="13">
        <f>IF($A66="","",[1]!thsiFinD("ths_adjustment_nv_fund",AH$3,$A66))</f>
        <v>4.569599191</v>
      </c>
      <c r="AI66" s="13">
        <f>IF($A66="","",[1]!thsiFinD("ths_adjustment_nv_fund",AI$3,$A66))</f>
        <v>4.8896640522999997</v>
      </c>
      <c r="AJ66" s="13">
        <f>IF($A66="","",[1]!thsiFinD("ths_adjustment_nv_fund",AJ$3,$A66))</f>
        <v>2.0428471211999999</v>
      </c>
      <c r="AK66" s="13">
        <f>IF($A66="","",[1]!thsiFinD("ths_adjustment_nv_fund",AK$3,$A66))</f>
        <v>1.7536169464</v>
      </c>
      <c r="AL66" s="13">
        <f>IF($A66="","",[1]!thsiFinD("ths_adjustment_nv_fund",AL$3,$A66))</f>
        <v>1.9186000000000001</v>
      </c>
    </row>
    <row r="67" spans="1:38">
      <c r="A67" s="9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>1.5228183458</v>
      </c>
      <c r="AA67" s="13">
        <f>IF($A67="","",[1]!thsiFinD("ths_adjustment_nv_fund",AA$3,$A67))</f>
        <v>1.2376943815000001</v>
      </c>
      <c r="AB67" s="13">
        <f>IF($A67="","",[1]!thsiFinD("ths_adjustment_nv_fund",AB$3,$A67))</f>
        <v>1.6334</v>
      </c>
      <c r="AC67" s="13">
        <f>IF($A67="","",[1]!thsiFinD("ths_adjustment_nv_fund",AC$3,$A67))</f>
        <v>3.0036644577999998</v>
      </c>
      <c r="AD67" s="13">
        <f>IF($A67="","",[1]!thsiFinD("ths_adjustment_nv_fund",AD$3,$A67))</f>
        <v>1.6667000000000001</v>
      </c>
      <c r="AE67" s="13">
        <f>IF($A67="","",[1]!thsiFinD("ths_adjustment_nv_fund",AE$3,$A67))</f>
        <v>1.8253999999999999</v>
      </c>
      <c r="AF67" s="13">
        <f>IF($A67="","",[1]!thsiFinD("ths_adjustment_nv_fund",AF$3,$A67))</f>
        <v>3.6580611581000002</v>
      </c>
      <c r="AG67" s="13">
        <f>IF($A67="","",[1]!thsiFinD("ths_adjustment_nv_fund",AG$3,$A67))</f>
        <v>1.7788730801999999</v>
      </c>
      <c r="AH67" s="13">
        <f>IF($A67="","",[1]!thsiFinD("ths_adjustment_nv_fund",AH$3,$A67))</f>
        <v>4.5474123625000002</v>
      </c>
      <c r="AI67" s="13">
        <f>IF($A67="","",[1]!thsiFinD("ths_adjustment_nv_fund",AI$3,$A67))</f>
        <v>4.8675856868</v>
      </c>
      <c r="AJ67" s="13">
        <f>IF($A67="","",[1]!thsiFinD("ths_adjustment_nv_fund",AJ$3,$A67))</f>
        <v>2.0270465029000002</v>
      </c>
      <c r="AK67" s="13">
        <f>IF($A67="","",[1]!thsiFinD("ths_adjustment_nv_fund",AK$3,$A67))</f>
        <v>1.7400491070999999</v>
      </c>
      <c r="AL67" s="13">
        <f>IF($A67="","",[1]!thsiFinD("ths_adjustment_nv_fund",AL$3,$A67))</f>
        <v>1.9078999999999999</v>
      </c>
    </row>
    <row r="68" spans="1:38">
      <c r="A68" s="9">
        <v>46281</v>
      </c>
      <c r="B68" s="13">
        <f>IF($A68="","",[1]!thsiFinD("ths_adjustment_nv_fund",B$3,$A68))</f>
        <v>3.2387000000000001</v>
      </c>
      <c r="C68" s="13">
        <f>IF($A68="","",[1]!thsiFinD("ths_adjustment_nv_fund",C$3,$A68))</f>
        <v>1.3212937508</v>
      </c>
      <c r="D68" s="13">
        <f>IF($A68="","",[1]!thsiFinD("ths_adjustment_nv_fund",D$3,$A68))</f>
        <v>4.6520000000000001</v>
      </c>
      <c r="E68" s="13">
        <f>IF($A68="","",[1]!thsiFinD("ths_adjustment_nv_fund",E$3,$A68))</f>
        <v>1.8754</v>
      </c>
      <c r="F68" s="13">
        <f>IF($A68="","",[1]!thsiFinD("ths_adjustment_nv_fund",F$3,$A68))</f>
        <v>1.8209</v>
      </c>
      <c r="G68" s="13">
        <f>IF($A68="","",[1]!thsiFinD("ths_adjustment_nv_fund",G$3,$A68))</f>
        <v>3.8841000000000001</v>
      </c>
      <c r="H68" s="13">
        <f>IF($A68="","",[1]!thsiFinD("ths_adjustment_nv_fund",H$3,$A68))</f>
        <v>3.7993999999999999</v>
      </c>
      <c r="I68" s="13">
        <f>IF($A68="","",[1]!thsiFinD("ths_adjustment_nv_fund",I$3,$A68))</f>
        <v>2.3473999999999999</v>
      </c>
      <c r="J68" s="13">
        <f>IF($A68="","",[1]!thsiFinD("ths_adjustment_nv_fund",J$3,$A68))</f>
        <v>3.0562999999999998</v>
      </c>
      <c r="K68" s="13">
        <f>IF($A68="","",[1]!thsiFinD("ths_adjustment_nv_fund",K$3,$A68))</f>
        <v>3.0272000000000001</v>
      </c>
      <c r="L68" s="13">
        <f>IF($A68="","",[1]!thsiFinD("ths_adjustment_nv_fund",L$3,$A68))</f>
        <v>1.5286</v>
      </c>
      <c r="M68" s="13">
        <f>IF($A68="","",[1]!thsiFinD("ths_adjustment_nv_fund",M$3,$A68))</f>
        <v>1.5073000000000001</v>
      </c>
      <c r="N68" s="13">
        <f>IF($A68="","",[1]!thsiFinD("ths_adjustment_nv_fund",N$3,$A68))</f>
        <v>1.5082</v>
      </c>
      <c r="O68" s="13">
        <f>IF($A68="","",[1]!thsiFinD("ths_adjustment_nv_fund",O$3,$A68))</f>
        <v>1.4694</v>
      </c>
      <c r="P68" s="13">
        <f>IF($A68="","",[1]!thsiFinD("ths_adjustment_nv_fund",P$3,$A68))</f>
        <v>2.9813000000000001</v>
      </c>
      <c r="Q68" s="13">
        <f>IF($A68="","",[1]!thsiFinD("ths_adjustment_nv_fund",Q$3,$A68))</f>
        <v>3.5937999999999999</v>
      </c>
      <c r="R68" s="13">
        <f>IF($A68="","",[1]!thsiFinD("ths_adjustment_nv_fund",R$3,$A68))</f>
        <v>3.5146999999999999</v>
      </c>
      <c r="S68" s="13">
        <f>IF($A68="","",[1]!thsiFinD("ths_adjustment_nv_fund",S$3,$A68))</f>
        <v>4.6020000000000003</v>
      </c>
      <c r="T68" s="13">
        <f>IF($A68="","",[1]!thsiFinD("ths_adjustment_nv_fund",T$3,$A68))</f>
        <v>2.8161999999999998</v>
      </c>
      <c r="U68" s="13">
        <f>IF($A68="","",[1]!thsiFinD("ths_adjustment_nv_fund",U$3,$A68))</f>
        <v>2.8003</v>
      </c>
      <c r="V68" s="13">
        <f>IF($A68="","",[1]!thsiFinD("ths_adjustment_nv_fund",V$3,$A68))</f>
        <v>1.9162999999999999</v>
      </c>
      <c r="W68" s="13">
        <f>IF($A68="","",[1]!thsiFinD("ths_adjustment_nv_fund",W$3,$A68))</f>
        <v>1.8960999999999999</v>
      </c>
      <c r="X68" s="13">
        <f>IF($A68="","",[1]!thsiFinD("ths_adjustment_nv_fund",X$3,$A68))</f>
        <v>1.8037000000000001</v>
      </c>
      <c r="Y68" s="13">
        <f>IF($A68="","",[1]!thsiFinD("ths_adjustment_nv_fund",Y$3,$A68))</f>
        <v>2.4119999999999999</v>
      </c>
      <c r="Z68" s="13">
        <f>IF($A68="","",[1]!thsiFinD("ths_adjustment_nv_fund",Z$3,$A68))</f>
        <v>1.5233691336999999</v>
      </c>
      <c r="AA68" s="13">
        <f>IF($A68="","",[1]!thsiFinD("ths_adjustment_nv_fund",AA$3,$A68))</f>
        <v>1.2379311929000001</v>
      </c>
      <c r="AB68" s="13">
        <f>IF($A68="","",[1]!thsiFinD("ths_adjustment_nv_fund",AB$3,$A68))</f>
        <v>1.6617</v>
      </c>
      <c r="AC68" s="13">
        <f>IF($A68="","",[1]!thsiFinD("ths_adjustment_nv_fund",AC$3,$A68))</f>
        <v>3.0531528063</v>
      </c>
      <c r="AD68" s="13">
        <f>IF($A68="","",[1]!thsiFinD("ths_adjustment_nv_fund",AD$3,$A68))</f>
        <v>1.7012</v>
      </c>
      <c r="AE68" s="13">
        <f>IF($A68="","",[1]!thsiFinD("ths_adjustment_nv_fund",AE$3,$A68))</f>
        <v>1.8687</v>
      </c>
      <c r="AF68" s="13">
        <f>IF($A68="","",[1]!thsiFinD("ths_adjustment_nv_fund",AF$3,$A68))</f>
        <v>3.6611717543000002</v>
      </c>
      <c r="AG68" s="13">
        <f>IF($A68="","",[1]!thsiFinD("ths_adjustment_nv_fund",AG$3,$A68))</f>
        <v>1.7716423629</v>
      </c>
      <c r="AH68" s="13">
        <f>IF($A68="","",[1]!thsiFinD("ths_adjustment_nv_fund",AH$3,$A68))</f>
        <v>4.5573964353000003</v>
      </c>
      <c r="AI68" s="13">
        <f>IF($A68="","",[1]!thsiFinD("ths_adjustment_nv_fund",AI$3,$A68))</f>
        <v>4.8720013598999996</v>
      </c>
      <c r="AJ68" s="13">
        <f>IF($A68="","",[1]!thsiFinD("ths_adjustment_nv_fund",AJ$3,$A68))</f>
        <v>2.0128506348999999</v>
      </c>
      <c r="AK68" s="13">
        <f>IF($A68="","",[1]!thsiFinD("ths_adjustment_nv_fund",AK$3,$A68))</f>
        <v>1.7305371768</v>
      </c>
      <c r="AL68" s="13">
        <f>IF($A68="","",[1]!thsiFinD("ths_adjustment_nv_fund",AL$3,$A68))</f>
        <v>1.9232</v>
      </c>
    </row>
    <row r="69" spans="1:38">
      <c r="A69" s="9">
        <v>46282</v>
      </c>
      <c r="B69" s="13">
        <f>IF($A69="","",[1]!thsiFinD("ths_adjustment_nv_fund",B$3,$A69))</f>
        <v>3.2322000000000002</v>
      </c>
      <c r="C69" s="13">
        <f>IF($A69="","",[1]!thsiFinD("ths_adjustment_nv_fund",C$3,$A69))</f>
        <v>1.3213371816999999</v>
      </c>
      <c r="D69" s="13">
        <f>IF($A69="","",[1]!thsiFinD("ths_adjustment_nv_fund",D$3,$A69))</f>
        <v>4.6349999999999998</v>
      </c>
      <c r="E69" s="13">
        <f>IF($A69="","",[1]!thsiFinD("ths_adjustment_nv_fund",E$3,$A69))</f>
        <v>1.8714</v>
      </c>
      <c r="F69" s="13">
        <f>IF($A69="","",[1]!thsiFinD("ths_adjustment_nv_fund",F$3,$A69))</f>
        <v>1.8169999999999999</v>
      </c>
      <c r="G69" s="13">
        <f>IF($A69="","",[1]!thsiFinD("ths_adjustment_nv_fund",G$3,$A69))</f>
        <v>3.8973</v>
      </c>
      <c r="H69" s="13">
        <f>IF($A69="","",[1]!thsiFinD("ths_adjustment_nv_fund",H$3,$A69))</f>
        <v>3.8123</v>
      </c>
      <c r="I69" s="13">
        <f>IF($A69="","",[1]!thsiFinD("ths_adjustment_nv_fund",I$3,$A69))</f>
        <v>2.3403999999999998</v>
      </c>
      <c r="J69" s="13">
        <f>IF($A69="","",[1]!thsiFinD("ths_adjustment_nv_fund",J$3,$A69))</f>
        <v>3.0727000000000002</v>
      </c>
      <c r="K69" s="13">
        <f>IF($A69="","",[1]!thsiFinD("ths_adjustment_nv_fund",K$3,$A69))</f>
        <v>3.0434000000000001</v>
      </c>
      <c r="L69" s="13">
        <f>IF($A69="","",[1]!thsiFinD("ths_adjustment_nv_fund",L$3,$A69))</f>
        <v>1.5293000000000001</v>
      </c>
      <c r="M69" s="13">
        <f>IF($A69="","",[1]!thsiFinD("ths_adjustment_nv_fund",M$3,$A69))</f>
        <v>1.508</v>
      </c>
      <c r="N69" s="13">
        <f>IF($A69="","",[1]!thsiFinD("ths_adjustment_nv_fund",N$3,$A69))</f>
        <v>1.5041</v>
      </c>
      <c r="O69" s="13">
        <f>IF($A69="","",[1]!thsiFinD("ths_adjustment_nv_fund",O$3,$A69))</f>
        <v>1.4653</v>
      </c>
      <c r="P69" s="13">
        <f>IF($A69="","",[1]!thsiFinD("ths_adjustment_nv_fund",P$3,$A69))</f>
        <v>2.9897</v>
      </c>
      <c r="Q69" s="13">
        <f>IF($A69="","",[1]!thsiFinD("ths_adjustment_nv_fund",Q$3,$A69))</f>
        <v>3.6055000000000001</v>
      </c>
      <c r="R69" s="13">
        <f>IF($A69="","",[1]!thsiFinD("ths_adjustment_nv_fund",R$3,$A69))</f>
        <v>3.5261</v>
      </c>
      <c r="S69" s="13">
        <f>IF($A69="","",[1]!thsiFinD("ths_adjustment_nv_fund",S$3,$A69))</f>
        <v>4.585</v>
      </c>
      <c r="T69" s="13">
        <f>IF($A69="","",[1]!thsiFinD("ths_adjustment_nv_fund",T$3,$A69))</f>
        <v>2.8195999999999999</v>
      </c>
      <c r="U69" s="13">
        <f>IF($A69="","",[1]!thsiFinD("ths_adjustment_nv_fund",U$3,$A69))</f>
        <v>2.8037000000000001</v>
      </c>
      <c r="V69" s="13">
        <f>IF($A69="","",[1]!thsiFinD("ths_adjustment_nv_fund",V$3,$A69))</f>
        <v>1.9186000000000001</v>
      </c>
      <c r="W69" s="13">
        <f>IF($A69="","",[1]!thsiFinD("ths_adjustment_nv_fund",W$3,$A69))</f>
        <v>1.8983000000000001</v>
      </c>
      <c r="X69" s="13">
        <f>IF($A69="","",[1]!thsiFinD("ths_adjustment_nv_fund",X$3,$A69))</f>
        <v>1.804</v>
      </c>
      <c r="Y69" s="13">
        <f>IF($A69="","",[1]!thsiFinD("ths_adjustment_nv_fund",Y$3,$A69))</f>
        <v>2.4350000000000001</v>
      </c>
      <c r="Z69" s="13">
        <f>IF($A69="","",[1]!thsiFinD("ths_adjustment_nv_fund",Z$3,$A69))</f>
        <v>1.5234792912999999</v>
      </c>
      <c r="AA69" s="13">
        <f>IF($A69="","",[1]!thsiFinD("ths_adjustment_nv_fund",AA$3,$A69))</f>
        <v>1.2381680042000001</v>
      </c>
      <c r="AB69" s="13">
        <f>IF($A69="","",[1]!thsiFinD("ths_adjustment_nv_fund",AB$3,$A69))</f>
        <v>1.6559999999999999</v>
      </c>
      <c r="AC69" s="13">
        <f>IF($A69="","",[1]!thsiFinD("ths_adjustment_nv_fund",AC$3,$A69))</f>
        <v>3.045045913</v>
      </c>
      <c r="AD69" s="13">
        <f>IF($A69="","",[1]!thsiFinD("ths_adjustment_nv_fund",AD$3,$A69))</f>
        <v>1.6972</v>
      </c>
      <c r="AE69" s="13">
        <f>IF($A69="","",[1]!thsiFinD("ths_adjustment_nv_fund",AE$3,$A69))</f>
        <v>1.8667</v>
      </c>
      <c r="AF69" s="13">
        <f>IF($A69="","",[1]!thsiFinD("ths_adjustment_nv_fund",AF$3,$A69))</f>
        <v>3.6207340034</v>
      </c>
      <c r="AG69" s="13">
        <f>IF($A69="","",[1]!thsiFinD("ths_adjustment_nv_fund",AG$3,$A69))</f>
        <v>1.7648781435000001</v>
      </c>
      <c r="AH69" s="13">
        <f>IF($A69="","",[1]!thsiFinD("ths_adjustment_nv_fund",AH$3,$A69))</f>
        <v>4.5629431425</v>
      </c>
      <c r="AI69" s="13">
        <f>IF($A69="","",[1]!thsiFinD("ths_adjustment_nv_fund",AI$3,$A69))</f>
        <v>4.8800757336</v>
      </c>
      <c r="AJ69" s="13">
        <f>IF($A69="","",[1]!thsiFinD("ths_adjustment_nv_fund",AJ$3,$A69))</f>
        <v>2.0055675375000002</v>
      </c>
      <c r="AK69" s="13">
        <f>IF($A69="","",[1]!thsiFinD("ths_adjustment_nv_fund",AK$3,$A69))</f>
        <v>1.7271551571999999</v>
      </c>
      <c r="AL69" s="13">
        <f>IF($A69="","",[1]!thsiFinD("ths_adjustment_nv_fund",AL$3,$A69))</f>
        <v>1.9181999999999999</v>
      </c>
    </row>
    <row r="70" spans="1:38">
      <c r="A70" s="9">
        <v>46283</v>
      </c>
      <c r="B70" s="13">
        <f>IF($A70="","",[1]!thsiFinD("ths_adjustment_nv_fund",B$3,$A70))</f>
        <v>3.2742</v>
      </c>
      <c r="C70" s="13">
        <f>IF($A70="","",[1]!thsiFinD("ths_adjustment_nv_fund",C$3,$A70))</f>
        <v>1.3213813407999999</v>
      </c>
      <c r="D70" s="13">
        <f>IF($A70="","",[1]!thsiFinD("ths_adjustment_nv_fund",D$3,$A70))</f>
        <v>4.7469999999999999</v>
      </c>
      <c r="E70" s="13">
        <f>IF($A70="","",[1]!thsiFinD("ths_adjustment_nv_fund",E$3,$A70))</f>
        <v>1.893</v>
      </c>
      <c r="F70" s="13">
        <f>IF($A70="","",[1]!thsiFinD("ths_adjustment_nv_fund",F$3,$A70))</f>
        <v>1.8379000000000001</v>
      </c>
      <c r="G70" s="13">
        <f>IF($A70="","",[1]!thsiFinD("ths_adjustment_nv_fund",G$3,$A70))</f>
        <v>3.9941</v>
      </c>
      <c r="H70" s="13">
        <f>IF($A70="","",[1]!thsiFinD("ths_adjustment_nv_fund",H$3,$A70))</f>
        <v>3.9068999999999998</v>
      </c>
      <c r="I70" s="13">
        <f>IF($A70="","",[1]!thsiFinD("ths_adjustment_nv_fund",I$3,$A70))</f>
        <v>2.42</v>
      </c>
      <c r="J70" s="13">
        <f>IF($A70="","",[1]!thsiFinD("ths_adjustment_nv_fund",J$3,$A70))</f>
        <v>3.1966999999999999</v>
      </c>
      <c r="K70" s="13">
        <f>IF($A70="","",[1]!thsiFinD("ths_adjustment_nv_fund",K$3,$A70))</f>
        <v>3.1661999999999999</v>
      </c>
      <c r="L70" s="13">
        <f>IF($A70="","",[1]!thsiFinD("ths_adjustment_nv_fund",L$3,$A70))</f>
        <v>1.5611999999999999</v>
      </c>
      <c r="M70" s="13">
        <f>IF($A70="","",[1]!thsiFinD("ths_adjustment_nv_fund",M$3,$A70))</f>
        <v>1.5394000000000001</v>
      </c>
      <c r="N70" s="13">
        <f>IF($A70="","",[1]!thsiFinD("ths_adjustment_nv_fund",N$3,$A70))</f>
        <v>1.5344</v>
      </c>
      <c r="O70" s="13">
        <f>IF($A70="","",[1]!thsiFinD("ths_adjustment_nv_fund",O$3,$A70))</f>
        <v>1.4947999999999999</v>
      </c>
      <c r="P70" s="13">
        <f>IF($A70="","",[1]!thsiFinD("ths_adjustment_nv_fund",P$3,$A70))</f>
        <v>3.0626000000000002</v>
      </c>
      <c r="Q70" s="13">
        <f>IF($A70="","",[1]!thsiFinD("ths_adjustment_nv_fund",Q$3,$A70))</f>
        <v>3.6995</v>
      </c>
      <c r="R70" s="13">
        <f>IF($A70="","",[1]!thsiFinD("ths_adjustment_nv_fund",R$3,$A70))</f>
        <v>3.6179000000000001</v>
      </c>
      <c r="S70" s="13">
        <f>IF($A70="","",[1]!thsiFinD("ths_adjustment_nv_fund",S$3,$A70))</f>
        <v>4.6959999999999997</v>
      </c>
      <c r="T70" s="13">
        <f>IF($A70="","",[1]!thsiFinD("ths_adjustment_nv_fund",T$3,$A70))</f>
        <v>2.9148000000000001</v>
      </c>
      <c r="U70" s="13">
        <f>IF($A70="","",[1]!thsiFinD("ths_adjustment_nv_fund",U$3,$A70))</f>
        <v>2.8982999999999999</v>
      </c>
      <c r="V70" s="13">
        <f>IF($A70="","",[1]!thsiFinD("ths_adjustment_nv_fund",V$3,$A70))</f>
        <v>1.9544999999999999</v>
      </c>
      <c r="W70" s="13">
        <f>IF($A70="","",[1]!thsiFinD("ths_adjustment_nv_fund",W$3,$A70))</f>
        <v>1.9338</v>
      </c>
      <c r="X70" s="13">
        <f>IF($A70="","",[1]!thsiFinD("ths_adjustment_nv_fund",X$3,$A70))</f>
        <v>1.8050999999999999</v>
      </c>
      <c r="Y70" s="13">
        <f>IF($A70="","",[1]!thsiFinD("ths_adjustment_nv_fund",Y$3,$A70))</f>
        <v>2.5329999999999999</v>
      </c>
      <c r="Z70" s="13">
        <f>IF($A70="","",[1]!thsiFinD("ths_adjustment_nv_fund",Z$3,$A70))</f>
        <v>1.5245808670000001</v>
      </c>
      <c r="AA70" s="13">
        <f>IF($A70="","",[1]!thsiFinD("ths_adjustment_nv_fund",AA$3,$A70))</f>
        <v>1.2384048155</v>
      </c>
      <c r="AB70" s="13">
        <f>IF($A70="","",[1]!thsiFinD("ths_adjustment_nv_fund",AB$3,$A70))</f>
        <v>1.6847000000000001</v>
      </c>
      <c r="AC70" s="13">
        <f>IF($A70="","",[1]!thsiFinD("ths_adjustment_nv_fund",AC$3,$A70))</f>
        <v>3.1089330720000001</v>
      </c>
      <c r="AD70" s="13">
        <f>IF($A70="","",[1]!thsiFinD("ths_adjustment_nv_fund",AD$3,$A70))</f>
        <v>1.7296</v>
      </c>
      <c r="AE70" s="13">
        <f>IF($A70="","",[1]!thsiFinD("ths_adjustment_nv_fund",AE$3,$A70))</f>
        <v>1.9041999999999999</v>
      </c>
      <c r="AF70" s="13">
        <f>IF($A70="","",[1]!thsiFinD("ths_adjustment_nv_fund",AF$3,$A70))</f>
        <v>3.6596164562000002</v>
      </c>
      <c r="AG70" s="13">
        <f>IF($A70="","",[1]!thsiFinD("ths_adjustment_nv_fund",AG$3,$A70))</f>
        <v>1.7635952743000001</v>
      </c>
      <c r="AH70" s="13">
        <f>IF($A70="","",[1]!thsiFinD("ths_adjustment_nv_fund",AH$3,$A70))</f>
        <v>4.5775864492</v>
      </c>
      <c r="AI70" s="13">
        <f>IF($A70="","",[1]!thsiFinD("ths_adjustment_nv_fund",AI$3,$A70))</f>
        <v>4.9106069588999999</v>
      </c>
      <c r="AJ70" s="13">
        <f>IF($A70="","",[1]!thsiFinD("ths_adjustment_nv_fund",AJ$3,$A70))</f>
        <v>2.0038393447999998</v>
      </c>
      <c r="AK70" s="13">
        <f>IF($A70="","",[1]!thsiFinD("ths_adjustment_nv_fund",AK$3,$A70))</f>
        <v>1.7245129543</v>
      </c>
      <c r="AL70" s="13">
        <f>IF($A70="","",[1]!thsiFinD("ths_adjustment_nv_fund",AL$3,$A70))</f>
        <v>1.9454</v>
      </c>
    </row>
    <row r="71" spans="1:38">
      <c r="A71" s="9">
        <v>46286</v>
      </c>
      <c r="B71" s="13">
        <f>IF($A71="","",[1]!thsiFinD("ths_adjustment_nv_fund",B$3,$A71))</f>
        <v>3.2452000000000001</v>
      </c>
      <c r="C71" s="13">
        <f>IF($A71="","",[1]!thsiFinD("ths_adjustment_nv_fund",C$3,$A71))</f>
        <v>1.3215138402</v>
      </c>
      <c r="D71" s="13">
        <f>IF($A71="","",[1]!thsiFinD("ths_adjustment_nv_fund",D$3,$A71))</f>
        <v>4.7640000000000002</v>
      </c>
      <c r="E71" s="13">
        <f>IF($A71="","",[1]!thsiFinD("ths_adjustment_nv_fund",E$3,$A71))</f>
        <v>1.9053</v>
      </c>
      <c r="F71" s="13">
        <f>IF($A71="","",[1]!thsiFinD("ths_adjustment_nv_fund",F$3,$A71))</f>
        <v>1.8498000000000001</v>
      </c>
      <c r="G71" s="13">
        <f>IF($A71="","",[1]!thsiFinD("ths_adjustment_nv_fund",G$3,$A71))</f>
        <v>4.0392000000000001</v>
      </c>
      <c r="H71" s="13">
        <f>IF($A71="","",[1]!thsiFinD("ths_adjustment_nv_fund",H$3,$A71))</f>
        <v>3.9508999999999999</v>
      </c>
      <c r="I71" s="13">
        <f>IF($A71="","",[1]!thsiFinD("ths_adjustment_nv_fund",I$3,$A71))</f>
        <v>2.4380000000000002</v>
      </c>
      <c r="J71" s="13">
        <f>IF($A71="","",[1]!thsiFinD("ths_adjustment_nv_fund",J$3,$A71))</f>
        <v>3.1736</v>
      </c>
      <c r="K71" s="13">
        <f>IF($A71="","",[1]!thsiFinD("ths_adjustment_nv_fund",K$3,$A71))</f>
        <v>3.1433</v>
      </c>
      <c r="L71" s="13">
        <f>IF($A71="","",[1]!thsiFinD("ths_adjustment_nv_fund",L$3,$A71))</f>
        <v>1.5784</v>
      </c>
      <c r="M71" s="13">
        <f>IF($A71="","",[1]!thsiFinD("ths_adjustment_nv_fund",M$3,$A71))</f>
        <v>1.5564</v>
      </c>
      <c r="N71" s="13">
        <f>IF($A71="","",[1]!thsiFinD("ths_adjustment_nv_fund",N$3,$A71))</f>
        <v>1.5462</v>
      </c>
      <c r="O71" s="13">
        <f>IF($A71="","",[1]!thsiFinD("ths_adjustment_nv_fund",O$3,$A71))</f>
        <v>1.5062</v>
      </c>
      <c r="P71" s="13">
        <f>IF($A71="","",[1]!thsiFinD("ths_adjustment_nv_fund",P$3,$A71))</f>
        <v>3.0871</v>
      </c>
      <c r="Q71" s="13">
        <f>IF($A71="","",[1]!thsiFinD("ths_adjustment_nv_fund",Q$3,$A71))</f>
        <v>3.7130999999999998</v>
      </c>
      <c r="R71" s="13">
        <f>IF($A71="","",[1]!thsiFinD("ths_adjustment_nv_fund",R$3,$A71))</f>
        <v>3.6309999999999998</v>
      </c>
      <c r="S71" s="13">
        <f>IF($A71="","",[1]!thsiFinD("ths_adjustment_nv_fund",S$3,$A71))</f>
        <v>4.7119999999999997</v>
      </c>
      <c r="T71" s="13">
        <f>IF($A71="","",[1]!thsiFinD("ths_adjustment_nv_fund",T$3,$A71))</f>
        <v>2.8959999999999999</v>
      </c>
      <c r="U71" s="13">
        <f>IF($A71="","",[1]!thsiFinD("ths_adjustment_nv_fund",U$3,$A71))</f>
        <v>2.8795999999999999</v>
      </c>
      <c r="V71" s="13">
        <f>IF($A71="","",[1]!thsiFinD("ths_adjustment_nv_fund",V$3,$A71))</f>
        <v>1.9877</v>
      </c>
      <c r="W71" s="13">
        <f>IF($A71="","",[1]!thsiFinD("ths_adjustment_nv_fund",W$3,$A71))</f>
        <v>1.9665999999999999</v>
      </c>
      <c r="X71" s="13">
        <f>IF($A71="","",[1]!thsiFinD("ths_adjustment_nv_fund",X$3,$A71))</f>
        <v>1.806</v>
      </c>
      <c r="Y71" s="13">
        <f>IF($A71="","",[1]!thsiFinD("ths_adjustment_nv_fund",Y$3,$A71))</f>
        <v>2.5110000000000001</v>
      </c>
      <c r="Z71" s="13">
        <f>IF($A71="","",[1]!thsiFinD("ths_adjustment_nv_fund",Z$3,$A71))</f>
        <v>1.5252418125</v>
      </c>
      <c r="AA71" s="13">
        <f>IF($A71="","",[1]!thsiFinD("ths_adjustment_nv_fund",AA$3,$A71))</f>
        <v>1.2386416268</v>
      </c>
      <c r="AB71" s="13">
        <f>IF($A71="","",[1]!thsiFinD("ths_adjustment_nv_fund",AB$3,$A71))</f>
        <v>1.696</v>
      </c>
      <c r="AC71" s="13">
        <f>IF($A71="","",[1]!thsiFinD("ths_adjustment_nv_fund",AC$3,$A71))</f>
        <v>3.1313177773</v>
      </c>
      <c r="AD71" s="13">
        <f>IF($A71="","",[1]!thsiFinD("ths_adjustment_nv_fund",AD$3,$A71))</f>
        <v>1.7504</v>
      </c>
      <c r="AE71" s="13">
        <f>IF($A71="","",[1]!thsiFinD("ths_adjustment_nv_fund",AE$3,$A71))</f>
        <v>1.9318</v>
      </c>
      <c r="AF71" s="13">
        <f>IF($A71="","",[1]!thsiFinD("ths_adjustment_nv_fund",AF$3,$A71))</f>
        <v>3.6845012260000001</v>
      </c>
      <c r="AG71" s="13">
        <f>IF($A71="","",[1]!thsiFinD("ths_adjustment_nv_fund",AG$3,$A71))</f>
        <v>1.7731584810000001</v>
      </c>
      <c r="AH71" s="13">
        <f>IF($A71="","",[1]!thsiFinD("ths_adjustment_nv_fund",AH$3,$A71))</f>
        <v>4.6277286815999998</v>
      </c>
      <c r="AI71" s="13">
        <f>IF($A71="","",[1]!thsiFinD("ths_adjustment_nv_fund",AI$3,$A71))</f>
        <v>4.9470678024000003</v>
      </c>
      <c r="AJ71" s="13">
        <f>IF($A71="","",[1]!thsiFinD("ths_adjustment_nv_fund",AJ$3,$A71))</f>
        <v>2.0077894993999998</v>
      </c>
      <c r="AK71" s="13">
        <f>IF($A71="","",[1]!thsiFinD("ths_adjustment_nv_fund",AK$3,$A71))</f>
        <v>1.7297973600000001</v>
      </c>
      <c r="AL71" s="13">
        <f>IF($A71="","",[1]!thsiFinD("ths_adjustment_nv_fund",AL$3,$A71))</f>
        <v>1.9285000000000001</v>
      </c>
    </row>
    <row r="72" spans="1:38">
      <c r="A72" s="9">
        <v>46287</v>
      </c>
      <c r="B72" s="13">
        <f>IF($A72="","",[1]!thsiFinD("ths_adjustment_nv_fund",B$3,$A72))</f>
        <v>3.2241</v>
      </c>
      <c r="C72" s="13">
        <f>IF($A72="","",[1]!thsiFinD("ths_adjustment_nv_fund",C$3,$A72))</f>
        <v>1.3215580579999999</v>
      </c>
      <c r="D72" s="13">
        <f>IF($A72="","",[1]!thsiFinD("ths_adjustment_nv_fund",D$3,$A72))</f>
        <v>4.72</v>
      </c>
      <c r="E72" s="13">
        <f>IF($A72="","",[1]!thsiFinD("ths_adjustment_nv_fund",E$3,$A72))</f>
        <v>1.9121999999999999</v>
      </c>
      <c r="F72" s="13">
        <f>IF($A72="","",[1]!thsiFinD("ths_adjustment_nv_fund",F$3,$A72))</f>
        <v>1.8565</v>
      </c>
      <c r="G72" s="13">
        <f>IF($A72="","",[1]!thsiFinD("ths_adjustment_nv_fund",G$3,$A72))</f>
        <v>4.0102000000000002</v>
      </c>
      <c r="H72" s="13">
        <f>IF($A72="","",[1]!thsiFinD("ths_adjustment_nv_fund",H$3,$A72))</f>
        <v>3.9224999999999999</v>
      </c>
      <c r="I72" s="13">
        <f>IF($A72="","",[1]!thsiFinD("ths_adjustment_nv_fund",I$3,$A72))</f>
        <v>2.4192</v>
      </c>
      <c r="J72" s="13">
        <f>IF($A72="","",[1]!thsiFinD("ths_adjustment_nv_fund",J$3,$A72))</f>
        <v>3.1465999999999998</v>
      </c>
      <c r="K72" s="13">
        <f>IF($A72="","",[1]!thsiFinD("ths_adjustment_nv_fund",K$3,$A72))</f>
        <v>3.1164999999999998</v>
      </c>
      <c r="L72" s="13">
        <f>IF($A72="","",[1]!thsiFinD("ths_adjustment_nv_fund",L$3,$A72))</f>
        <v>1.5765</v>
      </c>
      <c r="M72" s="13">
        <f>IF($A72="","",[1]!thsiFinD("ths_adjustment_nv_fund",M$3,$A72))</f>
        <v>1.5545</v>
      </c>
      <c r="N72" s="13">
        <f>IF($A72="","",[1]!thsiFinD("ths_adjustment_nv_fund",N$3,$A72))</f>
        <v>1.5409999999999999</v>
      </c>
      <c r="O72" s="13">
        <f>IF($A72="","",[1]!thsiFinD("ths_adjustment_nv_fund",O$3,$A72))</f>
        <v>1.5012000000000001</v>
      </c>
      <c r="P72" s="13">
        <f>IF($A72="","",[1]!thsiFinD("ths_adjustment_nv_fund",P$3,$A72))</f>
        <v>3.0345</v>
      </c>
      <c r="Q72" s="13">
        <f>IF($A72="","",[1]!thsiFinD("ths_adjustment_nv_fund",Q$3,$A72))</f>
        <v>3.6751</v>
      </c>
      <c r="R72" s="13">
        <f>IF($A72="","",[1]!thsiFinD("ths_adjustment_nv_fund",R$3,$A72))</f>
        <v>3.5937999999999999</v>
      </c>
      <c r="S72" s="13">
        <f>IF($A72="","",[1]!thsiFinD("ths_adjustment_nv_fund",S$3,$A72))</f>
        <v>4.6689999999999996</v>
      </c>
      <c r="T72" s="13">
        <f>IF($A72="","",[1]!thsiFinD("ths_adjustment_nv_fund",T$3,$A72))</f>
        <v>2.8589000000000002</v>
      </c>
      <c r="U72" s="13">
        <f>IF($A72="","",[1]!thsiFinD("ths_adjustment_nv_fund",U$3,$A72))</f>
        <v>2.8426999999999998</v>
      </c>
      <c r="V72" s="13">
        <f>IF($A72="","",[1]!thsiFinD("ths_adjustment_nv_fund",V$3,$A72))</f>
        <v>1.9862</v>
      </c>
      <c r="W72" s="13">
        <f>IF($A72="","",[1]!thsiFinD("ths_adjustment_nv_fund",W$3,$A72))</f>
        <v>1.9651000000000001</v>
      </c>
      <c r="X72" s="13">
        <f>IF($A72="","",[1]!thsiFinD("ths_adjustment_nv_fund",X$3,$A72))</f>
        <v>1.8070999999999999</v>
      </c>
      <c r="Y72" s="13">
        <f>IF($A72="","",[1]!thsiFinD("ths_adjustment_nv_fund",Y$3,$A72))</f>
        <v>2.4769999999999999</v>
      </c>
      <c r="Z72" s="13">
        <f>IF($A72="","",[1]!thsiFinD("ths_adjustment_nv_fund",Z$3,$A72))</f>
        <v>1.5260129155</v>
      </c>
      <c r="AA72" s="13">
        <f>IF($A72="","",[1]!thsiFinD("ths_adjustment_nv_fund",AA$3,$A72))</f>
        <v>1.2387600325000001</v>
      </c>
      <c r="AB72" s="13">
        <f>IF($A72="","",[1]!thsiFinD("ths_adjustment_nv_fund",AB$3,$A72))</f>
        <v>1.69</v>
      </c>
      <c r="AC72" s="13">
        <f>IF($A72="","",[1]!thsiFinD("ths_adjustment_nv_fund",AC$3,$A72))</f>
        <v>3.1275668266999999</v>
      </c>
      <c r="AD72" s="13">
        <f>IF($A72="","",[1]!thsiFinD("ths_adjustment_nv_fund",AD$3,$A72))</f>
        <v>1.7501</v>
      </c>
      <c r="AE72" s="13">
        <f>IF($A72="","",[1]!thsiFinD("ths_adjustment_nv_fund",AE$3,$A72))</f>
        <v>1.9338</v>
      </c>
      <c r="AF72" s="13">
        <f>IF($A72="","",[1]!thsiFinD("ths_adjustment_nv_fund",AF$3,$A72))</f>
        <v>3.6813906298000001</v>
      </c>
      <c r="AG72" s="13">
        <f>IF($A72="","",[1]!thsiFinD("ths_adjustment_nv_fund",AG$3,$A72))</f>
        <v>1.7735083544000001</v>
      </c>
      <c r="AH72" s="13">
        <f>IF($A72="","",[1]!thsiFinD("ths_adjustment_nv_fund",AH$3,$A72))</f>
        <v>4.6139728479000004</v>
      </c>
      <c r="AI72" s="13">
        <f>IF($A72="","",[1]!thsiFinD("ths_adjustment_nv_fund",AI$3,$A72))</f>
        <v>4.9355870523999998</v>
      </c>
      <c r="AJ72" s="13">
        <f>IF($A72="","",[1]!thsiFinD("ths_adjustment_nv_fund",AJ$3,$A72))</f>
        <v>2.0084067111000001</v>
      </c>
      <c r="AK72" s="13">
        <f>IF($A72="","",[1]!thsiFinD("ths_adjustment_nv_fund",AK$3,$A72))</f>
        <v>1.7300087362000001</v>
      </c>
      <c r="AL72" s="13">
        <f>IF($A72="","",[1]!thsiFinD("ths_adjustment_nv_fund",AL$3,$A72))</f>
        <v>1.9154</v>
      </c>
    </row>
    <row r="73" spans="1:38">
      <c r="A73" s="9">
        <v>46288</v>
      </c>
      <c r="B73" s="13">
        <f>IF($A73="","",[1]!thsiFinD("ths_adjustment_nv_fund",B$3,$A73))</f>
        <v>3.2305999999999999</v>
      </c>
      <c r="C73" s="13">
        <f>IF($A73="","",[1]!thsiFinD("ths_adjustment_nv_fund",C$3,$A73))</f>
        <v>1.3216019337</v>
      </c>
      <c r="D73" s="13">
        <f>IF($A73="","",[1]!thsiFinD("ths_adjustment_nv_fund",D$3,$A73))</f>
        <v>4.7089999999999996</v>
      </c>
      <c r="E73" s="13">
        <f>IF($A73="","",[1]!thsiFinD("ths_adjustment_nv_fund",E$3,$A73))</f>
        <v>1.903</v>
      </c>
      <c r="F73" s="13">
        <f>IF($A73="","",[1]!thsiFinD("ths_adjustment_nv_fund",F$3,$A73))</f>
        <v>1.8474999999999999</v>
      </c>
      <c r="G73" s="13">
        <f>IF($A73="","",[1]!thsiFinD("ths_adjustment_nv_fund",G$3,$A73))</f>
        <v>3.9750999999999999</v>
      </c>
      <c r="H73" s="13">
        <f>IF($A73="","",[1]!thsiFinD("ths_adjustment_nv_fund",H$3,$A73))</f>
        <v>3.8881999999999999</v>
      </c>
      <c r="I73" s="13">
        <f>IF($A73="","",[1]!thsiFinD("ths_adjustment_nv_fund",I$3,$A73))</f>
        <v>2.4245000000000001</v>
      </c>
      <c r="J73" s="13">
        <f>IF($A73="","",[1]!thsiFinD("ths_adjustment_nv_fund",J$3,$A73))</f>
        <v>3.1404999999999998</v>
      </c>
      <c r="K73" s="13">
        <f>IF($A73="","",[1]!thsiFinD("ths_adjustment_nv_fund",K$3,$A73))</f>
        <v>3.1103999999999998</v>
      </c>
      <c r="L73" s="13">
        <f>IF($A73="","",[1]!thsiFinD("ths_adjustment_nv_fund",L$3,$A73))</f>
        <v>1.5712999999999999</v>
      </c>
      <c r="M73" s="13">
        <f>IF($A73="","",[1]!thsiFinD("ths_adjustment_nv_fund",M$3,$A73))</f>
        <v>1.5492999999999999</v>
      </c>
      <c r="N73" s="13">
        <f>IF($A73="","",[1]!thsiFinD("ths_adjustment_nv_fund",N$3,$A73))</f>
        <v>1.5319</v>
      </c>
      <c r="O73" s="13">
        <f>IF($A73="","",[1]!thsiFinD("ths_adjustment_nv_fund",O$3,$A73))</f>
        <v>1.4923</v>
      </c>
      <c r="P73" s="13">
        <f>IF($A73="","",[1]!thsiFinD("ths_adjustment_nv_fund",P$3,$A73))</f>
        <v>3.0341999999999998</v>
      </c>
      <c r="Q73" s="13">
        <f>IF($A73="","",[1]!thsiFinD("ths_adjustment_nv_fund",Q$3,$A73))</f>
        <v>3.6642999999999999</v>
      </c>
      <c r="R73" s="13">
        <f>IF($A73="","",[1]!thsiFinD("ths_adjustment_nv_fund",R$3,$A73))</f>
        <v>3.5832999999999999</v>
      </c>
      <c r="S73" s="13">
        <f>IF($A73="","",[1]!thsiFinD("ths_adjustment_nv_fund",S$3,$A73))</f>
        <v>4.657</v>
      </c>
      <c r="T73" s="13">
        <f>IF($A73="","",[1]!thsiFinD("ths_adjustment_nv_fund",T$3,$A73))</f>
        <v>2.8725999999999998</v>
      </c>
      <c r="U73" s="13">
        <f>IF($A73="","",[1]!thsiFinD("ths_adjustment_nv_fund",U$3,$A73))</f>
        <v>2.8563000000000001</v>
      </c>
      <c r="V73" s="13">
        <f>IF($A73="","",[1]!thsiFinD("ths_adjustment_nv_fund",V$3,$A73))</f>
        <v>1.9925999999999999</v>
      </c>
      <c r="W73" s="13">
        <f>IF($A73="","",[1]!thsiFinD("ths_adjustment_nv_fund",W$3,$A73))</f>
        <v>1.9714</v>
      </c>
      <c r="X73" s="13">
        <f>IF($A73="","",[1]!thsiFinD("ths_adjustment_nv_fund",X$3,$A73))</f>
        <v>1.8072999999999999</v>
      </c>
      <c r="Y73" s="13">
        <f>IF($A73="","",[1]!thsiFinD("ths_adjustment_nv_fund",Y$3,$A73))</f>
        <v>2.484</v>
      </c>
      <c r="Z73" s="13">
        <f>IF($A73="","",[1]!thsiFinD("ths_adjustment_nv_fund",Z$3,$A73))</f>
        <v>1.5259027579</v>
      </c>
      <c r="AA73" s="13">
        <f>IF($A73="","",[1]!thsiFinD("ths_adjustment_nv_fund",AA$3,$A73))</f>
        <v>1.2388784382</v>
      </c>
      <c r="AB73" s="13">
        <f>IF($A73="","",[1]!thsiFinD("ths_adjustment_nv_fund",AB$3,$A73))</f>
        <v>1.6832</v>
      </c>
      <c r="AC73" s="13">
        <f>IF($A73="","",[1]!thsiFinD("ths_adjustment_nv_fund",AC$3,$A73))</f>
        <v>3.1166769699999999</v>
      </c>
      <c r="AD73" s="13">
        <f>IF($A73="","",[1]!thsiFinD("ths_adjustment_nv_fund",AD$3,$A73))</f>
        <v>1.7479</v>
      </c>
      <c r="AE73" s="13">
        <f>IF($A73="","",[1]!thsiFinD("ths_adjustment_nv_fund",AE$3,$A73))</f>
        <v>1.9415</v>
      </c>
      <c r="AF73" s="13">
        <f>IF($A73="","",[1]!thsiFinD("ths_adjustment_nv_fund",AF$3,$A73))</f>
        <v>3.6642823506000002</v>
      </c>
      <c r="AG73" s="13">
        <f>IF($A73="","",[1]!thsiFinD("ths_adjustment_nv_fund",AG$3,$A73))</f>
        <v>1.7616126582</v>
      </c>
      <c r="AH73" s="13">
        <f>IF($A73="","",[1]!thsiFinD("ths_adjustment_nv_fund",AH$3,$A73))</f>
        <v>4.6184102135999998</v>
      </c>
      <c r="AI73" s="13">
        <f>IF($A73="","",[1]!thsiFinD("ths_adjustment_nv_fund",AI$3,$A73))</f>
        <v>4.9183028462999996</v>
      </c>
      <c r="AJ73" s="13">
        <f>IF($A73="","",[1]!thsiFinD("ths_adjustment_nv_fund",AJ$3,$A73))</f>
        <v>1.9997657478999999</v>
      </c>
      <c r="AK73" s="13">
        <f>IF($A73="","",[1]!thsiFinD("ths_adjustment_nv_fund",AK$3,$A73))</f>
        <v>1.7253584592</v>
      </c>
      <c r="AL73" s="13">
        <f>IF($A73="","",[1]!thsiFinD("ths_adjustment_nv_fund",AL$3,$A73))</f>
        <v>1.9220999999999999</v>
      </c>
    </row>
    <row r="74" spans="1:38">
      <c r="A74" s="9">
        <v>46289</v>
      </c>
      <c r="B74" s="13">
        <f>IF($A74="","",[1]!thsiFinD("ths_adjustment_nv_fund",B$3,$A74))</f>
        <v>3.2025000000000001</v>
      </c>
      <c r="C74" s="13">
        <f>IF($A74="","",[1]!thsiFinD("ths_adjustment_nv_fund",C$3,$A74))</f>
        <v>1.3216499210999999</v>
      </c>
      <c r="D74" s="13">
        <f>IF($A74="","",[1]!thsiFinD("ths_adjustment_nv_fund",D$3,$A74))</f>
        <v>4.569</v>
      </c>
      <c r="E74" s="13">
        <f>IF($A74="","",[1]!thsiFinD("ths_adjustment_nv_fund",E$3,$A74))</f>
        <v>1.8742000000000001</v>
      </c>
      <c r="F74" s="13">
        <f>IF($A74="","",[1]!thsiFinD("ths_adjustment_nv_fund",F$3,$A74))</f>
        <v>1.8194999999999999</v>
      </c>
      <c r="G74" s="13">
        <f>IF($A74="","",[1]!thsiFinD("ths_adjustment_nv_fund",G$3,$A74))</f>
        <v>3.8588</v>
      </c>
      <c r="H74" s="13">
        <f>IF($A74="","",[1]!thsiFinD("ths_adjustment_nv_fund",H$3,$A74))</f>
        <v>3.7744</v>
      </c>
      <c r="I74" s="13">
        <f>IF($A74="","",[1]!thsiFinD("ths_adjustment_nv_fund",I$3,$A74))</f>
        <v>2.3491</v>
      </c>
      <c r="J74" s="13">
        <f>IF($A74="","",[1]!thsiFinD("ths_adjustment_nv_fund",J$3,$A74))</f>
        <v>3.0623999999999998</v>
      </c>
      <c r="K74" s="13">
        <f>IF($A74="","",[1]!thsiFinD("ths_adjustment_nv_fund",K$3,$A74))</f>
        <v>3.0331000000000001</v>
      </c>
      <c r="L74" s="13">
        <f>IF($A74="","",[1]!thsiFinD("ths_adjustment_nv_fund",L$3,$A74))</f>
        <v>1.5405</v>
      </c>
      <c r="M74" s="13">
        <f>IF($A74="","",[1]!thsiFinD("ths_adjustment_nv_fund",M$3,$A74))</f>
        <v>1.5189999999999999</v>
      </c>
      <c r="N74" s="13">
        <f>IF($A74="","",[1]!thsiFinD("ths_adjustment_nv_fund",N$3,$A74))</f>
        <v>1.5001</v>
      </c>
      <c r="O74" s="13">
        <f>IF($A74="","",[1]!thsiFinD("ths_adjustment_nv_fund",O$3,$A74))</f>
        <v>1.4613</v>
      </c>
      <c r="P74" s="13">
        <f>IF($A74="","",[1]!thsiFinD("ths_adjustment_nv_fund",P$3,$A74))</f>
        <v>2.9436</v>
      </c>
      <c r="Q74" s="13">
        <f>IF($A74="","",[1]!thsiFinD("ths_adjustment_nv_fund",Q$3,$A74))</f>
        <v>3.5432000000000001</v>
      </c>
      <c r="R74" s="13">
        <f>IF($A74="","",[1]!thsiFinD("ths_adjustment_nv_fund",R$3,$A74))</f>
        <v>3.4647999999999999</v>
      </c>
      <c r="S74" s="13">
        <f>IF($A74="","",[1]!thsiFinD("ths_adjustment_nv_fund",S$3,$A74))</f>
        <v>4.5190000000000001</v>
      </c>
      <c r="T74" s="13">
        <f>IF($A74="","",[1]!thsiFinD("ths_adjustment_nv_fund",T$3,$A74))</f>
        <v>2.8075999999999999</v>
      </c>
      <c r="U74" s="13">
        <f>IF($A74="","",[1]!thsiFinD("ths_adjustment_nv_fund",U$3,$A74))</f>
        <v>2.7917000000000001</v>
      </c>
      <c r="V74" s="13">
        <f>IF($A74="","",[1]!thsiFinD("ths_adjustment_nv_fund",V$3,$A74))</f>
        <v>1.9635</v>
      </c>
      <c r="W74" s="13">
        <f>IF($A74="","",[1]!thsiFinD("ths_adjustment_nv_fund",W$3,$A74))</f>
        <v>1.9426000000000001</v>
      </c>
      <c r="X74" s="13">
        <f>IF($A74="","",[1]!thsiFinD("ths_adjustment_nv_fund",X$3,$A74))</f>
        <v>1.8091999999999999</v>
      </c>
      <c r="Y74" s="13">
        <f>IF($A74="","",[1]!thsiFinD("ths_adjustment_nv_fund",Y$3,$A74))</f>
        <v>2.431</v>
      </c>
      <c r="Z74" s="13">
        <f>IF($A74="","",[1]!thsiFinD("ths_adjustment_nv_fund",Z$3,$A74))</f>
        <v>1.5275551216000001</v>
      </c>
      <c r="AA74" s="13">
        <f>IF($A74="","",[1]!thsiFinD("ths_adjustment_nv_fund",AA$3,$A74))</f>
        <v>1.2393520607999999</v>
      </c>
      <c r="AB74" s="13">
        <f>IF($A74="","",[1]!thsiFinD("ths_adjustment_nv_fund",AB$3,$A74))</f>
        <v>1.6477999999999999</v>
      </c>
      <c r="AC74" s="13">
        <f>IF($A74="","",[1]!thsiFinD("ths_adjustment_nv_fund",AC$3,$A74))</f>
        <v>3.0496438525</v>
      </c>
      <c r="AD74" s="13">
        <f>IF($A74="","",[1]!thsiFinD("ths_adjustment_nv_fund",AD$3,$A74))</f>
        <v>1.716</v>
      </c>
      <c r="AE74" s="13">
        <f>IF($A74="","",[1]!thsiFinD("ths_adjustment_nv_fund",AE$3,$A74))</f>
        <v>1.9131</v>
      </c>
      <c r="AF74" s="13">
        <f>IF($A74="","",[1]!thsiFinD("ths_adjustment_nv_fund",AF$3,$A74))</f>
        <v>3.5911833393000001</v>
      </c>
      <c r="AG74" s="13">
        <f>IF($A74="","",[1]!thsiFinD("ths_adjustment_nv_fund",AG$3,$A74))</f>
        <v>1.7612627848</v>
      </c>
      <c r="AH74" s="13">
        <f>IF($A74="","",[1]!thsiFinD("ths_adjustment_nv_fund",AH$3,$A74))</f>
        <v>4.6075386677000001</v>
      </c>
      <c r="AI74" s="13">
        <f>IF($A74="","",[1]!thsiFinD("ths_adjustment_nv_fund",AI$3,$A74))</f>
        <v>4.8688473077000003</v>
      </c>
      <c r="AJ74" s="13">
        <f>IF($A74="","",[1]!thsiFinD("ths_adjustment_nv_fund",AJ$3,$A74))</f>
        <v>2.0034690179000001</v>
      </c>
      <c r="AK74" s="13">
        <f>IF($A74="","",[1]!thsiFinD("ths_adjustment_nv_fund",AK$3,$A74))</f>
        <v>1.7209195584000001</v>
      </c>
      <c r="AL74" s="13">
        <f>IF($A74="","",[1]!thsiFinD("ths_adjustment_nv_fund",AL$3,$A74))</f>
        <v>1.8996999999999999</v>
      </c>
    </row>
    <row r="75" spans="1:38">
      <c r="A75" s="9">
        <v>46293</v>
      </c>
      <c r="B75" s="13">
        <f>IF($A75="","",[1]!thsiFinD("ths_adjustment_nv_fund",B$3,$A75))</f>
        <v>3.117</v>
      </c>
      <c r="C75" s="13">
        <f>IF($A75="","",[1]!thsiFinD("ths_adjustment_nv_fund",C$3,$A75))</f>
        <v>1.3218272689999999</v>
      </c>
      <c r="D75" s="13">
        <f>IF($A75="","",[1]!thsiFinD("ths_adjustment_nv_fund",D$3,$A75))</f>
        <v>4.2779999999999996</v>
      </c>
      <c r="E75" s="13">
        <f>IF($A75="","",[1]!thsiFinD("ths_adjustment_nv_fund",E$3,$A75))</f>
        <v>1.8307</v>
      </c>
      <c r="F75" s="13">
        <f>IF($A75="","",[1]!thsiFinD("ths_adjustment_nv_fund",F$3,$A75))</f>
        <v>1.7771999999999999</v>
      </c>
      <c r="G75" s="13">
        <f>IF($A75="","",[1]!thsiFinD("ths_adjustment_nv_fund",G$3,$A75))</f>
        <v>3.5924</v>
      </c>
      <c r="H75" s="13">
        <f>IF($A75="","",[1]!thsiFinD("ths_adjustment_nv_fund",H$3,$A75))</f>
        <v>3.5137</v>
      </c>
      <c r="I75" s="13">
        <f>IF($A75="","",[1]!thsiFinD("ths_adjustment_nv_fund",I$3,$A75))</f>
        <v>2.2221000000000002</v>
      </c>
      <c r="J75" s="13">
        <f>IF($A75="","",[1]!thsiFinD("ths_adjustment_nv_fund",J$3,$A75))</f>
        <v>2.9405999999999999</v>
      </c>
      <c r="K75" s="13">
        <f>IF($A75="","",[1]!thsiFinD("ths_adjustment_nv_fund",K$3,$A75))</f>
        <v>2.9123999999999999</v>
      </c>
      <c r="L75" s="13">
        <f>IF($A75="","",[1]!thsiFinD("ths_adjustment_nv_fund",L$3,$A75))</f>
        <v>1.49</v>
      </c>
      <c r="M75" s="13">
        <f>IF($A75="","",[1]!thsiFinD("ths_adjustment_nv_fund",M$3,$A75))</f>
        <v>1.4691000000000001</v>
      </c>
      <c r="N75" s="13">
        <f>IF($A75="","",[1]!thsiFinD("ths_adjustment_nv_fund",N$3,$A75))</f>
        <v>1.4563999999999999</v>
      </c>
      <c r="O75" s="13">
        <f>IF($A75="","",[1]!thsiFinD("ths_adjustment_nv_fund",O$3,$A75))</f>
        <v>1.4186000000000001</v>
      </c>
      <c r="P75" s="13">
        <f>IF($A75="","",[1]!thsiFinD("ths_adjustment_nv_fund",P$3,$A75))</f>
        <v>2.7145999999999999</v>
      </c>
      <c r="Q75" s="13">
        <f>IF($A75="","",[1]!thsiFinD("ths_adjustment_nv_fund",Q$3,$A75))</f>
        <v>3.2785000000000002</v>
      </c>
      <c r="R75" s="13">
        <f>IF($A75="","",[1]!thsiFinD("ths_adjustment_nv_fund",R$3,$A75))</f>
        <v>3.2057000000000002</v>
      </c>
      <c r="S75" s="13">
        <f>IF($A75="","",[1]!thsiFinD("ths_adjustment_nv_fund",S$3,$A75))</f>
        <v>4.2309999999999999</v>
      </c>
      <c r="T75" s="13">
        <f>IF($A75="","",[1]!thsiFinD("ths_adjustment_nv_fund",T$3,$A75))</f>
        <v>2.6966000000000001</v>
      </c>
      <c r="U75" s="13">
        <f>IF($A75="","",[1]!thsiFinD("ths_adjustment_nv_fund",U$3,$A75))</f>
        <v>2.6812</v>
      </c>
      <c r="V75" s="13">
        <f>IF($A75="","",[1]!thsiFinD("ths_adjustment_nv_fund",V$3,$A75))</f>
        <v>1.9020999999999999</v>
      </c>
      <c r="W75" s="13">
        <f>IF($A75="","",[1]!thsiFinD("ths_adjustment_nv_fund",W$3,$A75))</f>
        <v>1.8817999999999999</v>
      </c>
      <c r="X75" s="13">
        <f>IF($A75="","",[1]!thsiFinD("ths_adjustment_nv_fund",X$3,$A75))</f>
        <v>1.8085</v>
      </c>
      <c r="Y75" s="13">
        <f>IF($A75="","",[1]!thsiFinD("ths_adjustment_nv_fund",Y$3,$A75))</f>
        <v>2.3239999999999998</v>
      </c>
      <c r="Z75" s="13">
        <f>IF($A75="","",[1]!thsiFinD("ths_adjustment_nv_fund",Z$3,$A75))</f>
        <v>1.5270043337000001</v>
      </c>
      <c r="AA75" s="13">
        <f>IF($A75="","",[1]!thsiFinD("ths_adjustment_nv_fund",AA$3,$A75))</f>
        <v>1.2397072778</v>
      </c>
      <c r="AB75" s="13">
        <f>IF($A75="","",[1]!thsiFinD("ths_adjustment_nv_fund",AB$3,$A75))</f>
        <v>1.5963000000000001</v>
      </c>
      <c r="AC75" s="13">
        <f>IF($A75="","",[1]!thsiFinD("ths_adjustment_nv_fund",AC$3,$A75))</f>
        <v>2.9557490886000002</v>
      </c>
      <c r="AD75" s="13">
        <f>IF($A75="","",[1]!thsiFinD("ths_adjustment_nv_fund",AD$3,$A75))</f>
        <v>1.6592</v>
      </c>
      <c r="AE75" s="13">
        <f>IF($A75="","",[1]!thsiFinD("ths_adjustment_nv_fund",AE$3,$A75))</f>
        <v>1.8521000000000001</v>
      </c>
      <c r="AF75" s="13">
        <f>IF($A75="","",[1]!thsiFinD("ths_adjustment_nv_fund",AF$3,$A75))</f>
        <v>3.5631879732999998</v>
      </c>
      <c r="AG75" s="13">
        <f>IF($A75="","",[1]!thsiFinD("ths_adjustment_nv_fund",AG$3,$A75))</f>
        <v>1.7597466666999999</v>
      </c>
      <c r="AH75" s="13">
        <f>IF($A75="","",[1]!thsiFinD("ths_adjustment_nv_fund",AH$3,$A75))</f>
        <v>4.6186320819000004</v>
      </c>
      <c r="AI75" s="13">
        <f>IF($A75="","",[1]!thsiFinD("ths_adjustment_nv_fund",AI$3,$A75))</f>
        <v>4.8446241868</v>
      </c>
      <c r="AJ75" s="13">
        <f>IF($A75="","",[1]!thsiFinD("ths_adjustment_nv_fund",AJ$3,$A75))</f>
        <v>1.9996423055999999</v>
      </c>
      <c r="AK75" s="13">
        <f>IF($A75="","",[1]!thsiFinD("ths_adjustment_nv_fund",AK$3,$A75))</f>
        <v>1.7220821277</v>
      </c>
      <c r="AL75" s="13">
        <f>IF($A75="","",[1]!thsiFinD("ths_adjustment_nv_fund",AL$3,$A75))</f>
        <v>1.8531</v>
      </c>
    </row>
    <row r="76" spans="1:38">
      <c r="A76" s="9">
        <v>46294</v>
      </c>
      <c r="B76" s="13">
        <f>IF($A76="","",[1]!thsiFinD("ths_adjustment_nv_fund",B$3,$A76))</f>
        <v>3.1030000000000002</v>
      </c>
      <c r="C76" s="13">
        <f>IF($A76="","",[1]!thsiFinD("ths_adjustment_nv_fund",C$3,$A76))</f>
        <v>1.3218719995999999</v>
      </c>
      <c r="D76" s="13">
        <f>IF($A76="","",[1]!thsiFinD("ths_adjustment_nv_fund",D$3,$A76))</f>
        <v>4.32</v>
      </c>
      <c r="E76" s="13">
        <f>IF($A76="","",[1]!thsiFinD("ths_adjustment_nv_fund",E$3,$A76))</f>
        <v>1.8373999999999999</v>
      </c>
      <c r="F76" s="13">
        <f>IF($A76="","",[1]!thsiFinD("ths_adjustment_nv_fund",F$3,$A76))</f>
        <v>1.7837000000000001</v>
      </c>
      <c r="G76" s="13">
        <f>IF($A76="","",[1]!thsiFinD("ths_adjustment_nv_fund",G$3,$A76))</f>
        <v>3.5933000000000002</v>
      </c>
      <c r="H76" s="13">
        <f>IF($A76="","",[1]!thsiFinD("ths_adjustment_nv_fund",H$3,$A76))</f>
        <v>3.5146000000000002</v>
      </c>
      <c r="I76" s="13">
        <f>IF($A76="","",[1]!thsiFinD("ths_adjustment_nv_fund",I$3,$A76))</f>
        <v>2.2326999999999999</v>
      </c>
      <c r="J76" s="13">
        <f>IF($A76="","",[1]!thsiFinD("ths_adjustment_nv_fund",J$3,$A76))</f>
        <v>2.9508999999999999</v>
      </c>
      <c r="K76" s="13">
        <f>IF($A76="","",[1]!thsiFinD("ths_adjustment_nv_fund",K$3,$A76))</f>
        <v>2.9226000000000001</v>
      </c>
      <c r="L76" s="13">
        <f>IF($A76="","",[1]!thsiFinD("ths_adjustment_nv_fund",L$3,$A76))</f>
        <v>1.4955000000000001</v>
      </c>
      <c r="M76" s="13">
        <f>IF($A76="","",[1]!thsiFinD("ths_adjustment_nv_fund",M$3,$A76))</f>
        <v>1.4745999999999999</v>
      </c>
      <c r="N76" s="13">
        <f>IF($A76="","",[1]!thsiFinD("ths_adjustment_nv_fund",N$3,$A76))</f>
        <v>1.4671000000000001</v>
      </c>
      <c r="O76" s="13">
        <f>IF($A76="","",[1]!thsiFinD("ths_adjustment_nv_fund",O$3,$A76))</f>
        <v>1.429</v>
      </c>
      <c r="P76" s="13">
        <f>IF($A76="","",[1]!thsiFinD("ths_adjustment_nv_fund",P$3,$A76))</f>
        <v>2.7616000000000001</v>
      </c>
      <c r="Q76" s="13">
        <f>IF($A76="","",[1]!thsiFinD("ths_adjustment_nv_fund",Q$3,$A76))</f>
        <v>3.3172999999999999</v>
      </c>
      <c r="R76" s="13">
        <f>IF($A76="","",[1]!thsiFinD("ths_adjustment_nv_fund",R$3,$A76))</f>
        <v>3.2435999999999998</v>
      </c>
      <c r="S76" s="13">
        <f>IF($A76="","",[1]!thsiFinD("ths_adjustment_nv_fund",S$3,$A76))</f>
        <v>4.2720000000000002</v>
      </c>
      <c r="T76" s="13">
        <f>IF($A76="","",[1]!thsiFinD("ths_adjustment_nv_fund",T$3,$A76))</f>
        <v>2.6901000000000002</v>
      </c>
      <c r="U76" s="13">
        <f>IF($A76="","",[1]!thsiFinD("ths_adjustment_nv_fund",U$3,$A76))</f>
        <v>2.6747999999999998</v>
      </c>
      <c r="V76" s="13">
        <f>IF($A76="","",[1]!thsiFinD("ths_adjustment_nv_fund",V$3,$A76))</f>
        <v>1.9194</v>
      </c>
      <c r="W76" s="13">
        <f>IF($A76="","",[1]!thsiFinD("ths_adjustment_nv_fund",W$3,$A76))</f>
        <v>1.8989</v>
      </c>
      <c r="X76" s="13">
        <f>IF($A76="","",[1]!thsiFinD("ths_adjustment_nv_fund",X$3,$A76))</f>
        <v>1.8103</v>
      </c>
      <c r="Y76" s="13">
        <f>IF($A76="","",[1]!thsiFinD("ths_adjustment_nv_fund",Y$3,$A76))</f>
        <v>2.3370000000000002</v>
      </c>
      <c r="Z76" s="13">
        <f>IF($A76="","",[1]!thsiFinD("ths_adjustment_nv_fund",Z$3,$A76))</f>
        <v>1.5292074852999999</v>
      </c>
      <c r="AA76" s="13">
        <f>IF($A76="","",[1]!thsiFinD("ths_adjustment_nv_fund",AA$3,$A76))</f>
        <v>1.2406545230999999</v>
      </c>
      <c r="AB76" s="13">
        <f>IF($A76="","",[1]!thsiFinD("ths_adjustment_nv_fund",AB$3,$A76))</f>
        <v>1.6048</v>
      </c>
      <c r="AC76" s="13">
        <f>IF($A76="","",[1]!thsiFinD("ths_adjustment_nv_fund",AC$3,$A76))</f>
        <v>2.9781337939000001</v>
      </c>
      <c r="AD76" s="13">
        <f>IF($A76="","",[1]!thsiFinD("ths_adjustment_nv_fund",AD$3,$A76))</f>
        <v>1.6687000000000001</v>
      </c>
      <c r="AE76" s="13">
        <f>IF($A76="","",[1]!thsiFinD("ths_adjustment_nv_fund",AE$3,$A76))</f>
        <v>1.8665</v>
      </c>
      <c r="AF76" s="13">
        <f>IF($A76="","",[1]!thsiFinD("ths_adjustment_nv_fund",AF$3,$A76))</f>
        <v>3.5787409544000002</v>
      </c>
      <c r="AG76" s="13">
        <f>IF($A76="","",[1]!thsiFinD("ths_adjustment_nv_fund",AG$3,$A76))</f>
        <v>1.7514663291000001</v>
      </c>
      <c r="AH76" s="13">
        <f>IF($A76="","",[1]!thsiFinD("ths_adjustment_nv_fund",AH$3,$A76))</f>
        <v>4.6170790038999998</v>
      </c>
      <c r="AI76" s="13">
        <f>IF($A76="","",[1]!thsiFinD("ths_adjustment_nv_fund",AI$3,$A76))</f>
        <v>4.8327649504999997</v>
      </c>
      <c r="AJ76" s="13">
        <f>IF($A76="","",[1]!thsiFinD("ths_adjustment_nv_fund",AJ$3,$A76))</f>
        <v>1.9981609977000001</v>
      </c>
      <c r="AK76" s="13">
        <f>IF($A76="","",[1]!thsiFinD("ths_adjustment_nv_fund",AK$3,$A76))</f>
        <v>1.7276835977</v>
      </c>
      <c r="AL76" s="13">
        <f>IF($A76="","",[1]!thsiFinD("ths_adjustment_nv_fund",AL$3,$A76))</f>
        <v>1.8404</v>
      </c>
    </row>
    <row r="77" spans="1:38">
      <c r="A77" s="9">
        <v>46295</v>
      </c>
      <c r="B77" s="13">
        <f>IF($A77="","",[1]!thsiFinD("ths_adjustment_nv_fund",B$3,$A77))</f>
        <v>3.1358999999999999</v>
      </c>
      <c r="C77" s="13">
        <f>IF($A77="","",[1]!thsiFinD("ths_adjustment_nv_fund",C$3,$A77))</f>
        <v>1.32191656</v>
      </c>
      <c r="D77" s="13">
        <f>IF($A77="","",[1]!thsiFinD("ths_adjustment_nv_fund",D$3,$A77))</f>
        <v>4.2670000000000003</v>
      </c>
      <c r="E77" s="13">
        <f>IF($A77="","",[1]!thsiFinD("ths_adjustment_nv_fund",E$3,$A77))</f>
        <v>1.8382000000000001</v>
      </c>
      <c r="F77" s="13">
        <f>IF($A77="","",[1]!thsiFinD("ths_adjustment_nv_fund",F$3,$A77))</f>
        <v>1.7844</v>
      </c>
      <c r="G77" s="13">
        <f>IF($A77="","",[1]!thsiFinD("ths_adjustment_nv_fund",G$3,$A77))</f>
        <v>3.5792999999999999</v>
      </c>
      <c r="H77" s="13">
        <f>IF($A77="","",[1]!thsiFinD("ths_adjustment_nv_fund",H$3,$A77))</f>
        <v>3.5009000000000001</v>
      </c>
      <c r="I77" s="13">
        <f>IF($A77="","",[1]!thsiFinD("ths_adjustment_nv_fund",I$3,$A77))</f>
        <v>2.1855000000000002</v>
      </c>
      <c r="J77" s="13">
        <f>IF($A77="","",[1]!thsiFinD("ths_adjustment_nv_fund",J$3,$A77))</f>
        <v>2.8696999999999999</v>
      </c>
      <c r="K77" s="13">
        <f>IF($A77="","",[1]!thsiFinD("ths_adjustment_nv_fund",K$3,$A77))</f>
        <v>2.8422000000000001</v>
      </c>
      <c r="L77" s="13">
        <f>IF($A77="","",[1]!thsiFinD("ths_adjustment_nv_fund",L$3,$A77))</f>
        <v>1.4950000000000001</v>
      </c>
      <c r="M77" s="13">
        <f>IF($A77="","",[1]!thsiFinD("ths_adjustment_nv_fund",M$3,$A77))</f>
        <v>1.474</v>
      </c>
      <c r="N77" s="13">
        <f>IF($A77="","",[1]!thsiFinD("ths_adjustment_nv_fund",N$3,$A77))</f>
        <v>1.4654</v>
      </c>
      <c r="O77" s="13">
        <f>IF($A77="","",[1]!thsiFinD("ths_adjustment_nv_fund",O$3,$A77))</f>
        <v>1.4273</v>
      </c>
      <c r="P77" s="13">
        <f>IF($A77="","",[1]!thsiFinD("ths_adjustment_nv_fund",P$3,$A77))</f>
        <v>2.7622</v>
      </c>
      <c r="Q77" s="13">
        <f>IF($A77="","",[1]!thsiFinD("ths_adjustment_nv_fund",Q$3,$A77))</f>
        <v>3.2858999999999998</v>
      </c>
      <c r="R77" s="13">
        <f>IF($A77="","",[1]!thsiFinD("ths_adjustment_nv_fund",R$3,$A77))</f>
        <v>3.2128999999999999</v>
      </c>
      <c r="S77" s="13">
        <f>IF($A77="","",[1]!thsiFinD("ths_adjustment_nv_fund",S$3,$A77))</f>
        <v>4.22</v>
      </c>
      <c r="T77" s="13">
        <f>IF($A77="","",[1]!thsiFinD("ths_adjustment_nv_fund",T$3,$A77))</f>
        <v>2.6193</v>
      </c>
      <c r="U77" s="13">
        <f>IF($A77="","",[1]!thsiFinD("ths_adjustment_nv_fund",U$3,$A77))</f>
        <v>2.6044</v>
      </c>
      <c r="V77" s="13">
        <f>IF($A77="","",[1]!thsiFinD("ths_adjustment_nv_fund",V$3,$A77))</f>
        <v>1.9072</v>
      </c>
      <c r="W77" s="13">
        <f>IF($A77="","",[1]!thsiFinD("ths_adjustment_nv_fund",W$3,$A77))</f>
        <v>1.8867</v>
      </c>
      <c r="X77" s="13">
        <f>IF($A77="","",[1]!thsiFinD("ths_adjustment_nv_fund",X$3,$A77))</f>
        <v>1.8081</v>
      </c>
      <c r="Y77" s="13">
        <f>IF($A77="","",[1]!thsiFinD("ths_adjustment_nv_fund",Y$3,$A77))</f>
        <v>2.27</v>
      </c>
      <c r="Z77" s="13">
        <f>IF($A77="","",[1]!thsiFinD("ths_adjustment_nv_fund",Z$3,$A77))</f>
        <v>1.5266738609999999</v>
      </c>
      <c r="AA77" s="13">
        <f>IF($A77="","",[1]!thsiFinD("ths_adjustment_nv_fund",AA$3,$A77))</f>
        <v>1.2399440891</v>
      </c>
      <c r="AB77" s="13">
        <f>IF($A77="","",[1]!thsiFinD("ths_adjustment_nv_fund",AB$3,$A77))</f>
        <v>1.6035999999999999</v>
      </c>
      <c r="AC77" s="13">
        <f>IF($A77="","",[1]!thsiFinD("ths_adjustment_nv_fund",AC$3,$A77))</f>
        <v>2.9706318927000002</v>
      </c>
      <c r="AD77" s="13">
        <f>IF($A77="","",[1]!thsiFinD("ths_adjustment_nv_fund",AD$3,$A77))</f>
        <v>1.6586000000000001</v>
      </c>
      <c r="AE77" s="13">
        <f>IF($A77="","",[1]!thsiFinD("ths_adjustment_nv_fund",AE$3,$A77))</f>
        <v>1.8502000000000001</v>
      </c>
      <c r="AF77" s="13">
        <f>IF($A77="","",[1]!thsiFinD("ths_adjustment_nv_fund",AF$3,$A77))</f>
        <v>3.6331763882999999</v>
      </c>
      <c r="AG77" s="13">
        <f>IF($A77="","",[1]!thsiFinD("ths_adjustment_nv_fund",AG$3,$A77))</f>
        <v>1.7604464135</v>
      </c>
      <c r="AH77" s="13">
        <f>IF($A77="","",[1]!thsiFinD("ths_adjustment_nv_fund",AH$3,$A77))</f>
        <v>4.6463656174999999</v>
      </c>
      <c r="AI77" s="13">
        <f>IF($A77="","",[1]!thsiFinD("ths_adjustment_nv_fund",AI$3,$A77))</f>
        <v>4.8473997527000003</v>
      </c>
      <c r="AJ77" s="13">
        <f>IF($A77="","",[1]!thsiFinD("ths_adjustment_nv_fund",AJ$3,$A77))</f>
        <v>2.0261824065999998</v>
      </c>
      <c r="AK77" s="13">
        <f>IF($A77="","",[1]!thsiFinD("ths_adjustment_nv_fund",AK$3,$A77))</f>
        <v>1.7469188345</v>
      </c>
      <c r="AL77" s="13">
        <f>IF($A77="","",[1]!thsiFinD("ths_adjustment_nv_fund",AL$3,$A77))</f>
        <v>1.8638999999999999</v>
      </c>
    </row>
    <row r="78" spans="1:38">
      <c r="A78" s="9">
        <v>46303</v>
      </c>
      <c r="B78" s="13">
        <f>IF($A78="","",[1]!thsiFinD("ths_adjustment_nv_fund",B$3,$A78))</f>
        <v>3.0838999999999999</v>
      </c>
      <c r="C78" s="13">
        <f>IF($A78="","",[1]!thsiFinD("ths_adjustment_nv_fund",C$3,$A78))</f>
        <v>1.3222707561</v>
      </c>
      <c r="D78" s="13">
        <f>IF($A78="","",[1]!thsiFinD("ths_adjustment_nv_fund",D$3,$A78))</f>
        <v>4.0359999999999996</v>
      </c>
      <c r="E78" s="13">
        <f>IF($A78="","",[1]!thsiFinD("ths_adjustment_nv_fund",E$3,$A78))</f>
        <v>1.8213999999999999</v>
      </c>
      <c r="F78" s="13">
        <f>IF($A78="","",[1]!thsiFinD("ths_adjustment_nv_fund",F$3,$A78))</f>
        <v>1.768</v>
      </c>
      <c r="G78" s="13">
        <f>IF($A78="","",[1]!thsiFinD("ths_adjustment_nv_fund",G$3,$A78))</f>
        <v>3.4135</v>
      </c>
      <c r="H78" s="13">
        <f>IF($A78="","",[1]!thsiFinD("ths_adjustment_nv_fund",H$3,$A78))</f>
        <v>3.3384999999999998</v>
      </c>
      <c r="I78" s="13">
        <f>IF($A78="","",[1]!thsiFinD("ths_adjustment_nv_fund",I$3,$A78))</f>
        <v>2.0969000000000002</v>
      </c>
      <c r="J78" s="13">
        <f>IF($A78="","",[1]!thsiFinD("ths_adjustment_nv_fund",J$3,$A78))</f>
        <v>2.7505999999999999</v>
      </c>
      <c r="K78" s="13">
        <f>IF($A78="","",[1]!thsiFinD("ths_adjustment_nv_fund",K$3,$A78))</f>
        <v>2.7240000000000002</v>
      </c>
      <c r="L78" s="13">
        <f>IF($A78="","",[1]!thsiFinD("ths_adjustment_nv_fund",L$3,$A78))</f>
        <v>1.4663999999999999</v>
      </c>
      <c r="M78" s="13">
        <f>IF($A78="","",[1]!thsiFinD("ths_adjustment_nv_fund",M$3,$A78))</f>
        <v>1.4457</v>
      </c>
      <c r="N78" s="13">
        <f>IF($A78="","",[1]!thsiFinD("ths_adjustment_nv_fund",N$3,$A78))</f>
        <v>1.4330000000000001</v>
      </c>
      <c r="O78" s="13">
        <f>IF($A78="","",[1]!thsiFinD("ths_adjustment_nv_fund",O$3,$A78))</f>
        <v>1.3956</v>
      </c>
      <c r="P78" s="13">
        <f>IF($A78="","",[1]!thsiFinD("ths_adjustment_nv_fund",P$3,$A78))</f>
        <v>2.5533000000000001</v>
      </c>
      <c r="Q78" s="13">
        <f>IF($A78="","",[1]!thsiFinD("ths_adjustment_nv_fund",Q$3,$A78))</f>
        <v>3.0442999999999998</v>
      </c>
      <c r="R78" s="13">
        <f>IF($A78="","",[1]!thsiFinD("ths_adjustment_nv_fund",R$3,$A78))</f>
        <v>2.9762</v>
      </c>
      <c r="S78" s="13">
        <f>IF($A78="","",[1]!thsiFinD("ths_adjustment_nv_fund",S$3,$A78))</f>
        <v>3.992</v>
      </c>
      <c r="T78" s="13">
        <f>IF($A78="","",[1]!thsiFinD("ths_adjustment_nv_fund",T$3,$A78))</f>
        <v>2.5465</v>
      </c>
      <c r="U78" s="13">
        <f>IF($A78="","",[1]!thsiFinD("ths_adjustment_nv_fund",U$3,$A78))</f>
        <v>2.5318999999999998</v>
      </c>
      <c r="V78" s="13">
        <f>IF($A78="","",[1]!thsiFinD("ths_adjustment_nv_fund",V$3,$A78))</f>
        <v>1.8803000000000001</v>
      </c>
      <c r="W78" s="13">
        <f>IF($A78="","",[1]!thsiFinD("ths_adjustment_nv_fund",W$3,$A78))</f>
        <v>1.86</v>
      </c>
      <c r="X78" s="13">
        <f>IF($A78="","",[1]!thsiFinD("ths_adjustment_nv_fund",X$3,$A78))</f>
        <v>1.8080000000000001</v>
      </c>
      <c r="Y78" s="13">
        <f>IF($A78="","",[1]!thsiFinD("ths_adjustment_nv_fund",Y$3,$A78))</f>
        <v>2.1709999999999998</v>
      </c>
      <c r="Z78" s="13">
        <f>IF($A78="","",[1]!thsiFinD("ths_adjustment_nv_fund",Z$3,$A78))</f>
        <v>1.5265637033999999</v>
      </c>
      <c r="AA78" s="13">
        <f>IF($A78="","",[1]!thsiFinD("ths_adjustment_nv_fund",AA$3,$A78))</f>
        <v>1.2398256834000001</v>
      </c>
      <c r="AB78" s="13">
        <f>IF($A78="","",[1]!thsiFinD("ths_adjustment_nv_fund",AB$3,$A78))</f>
        <v>1.5632999999999999</v>
      </c>
      <c r="AC78" s="13">
        <f>IF($A78="","",[1]!thsiFinD("ths_adjustment_nv_fund",AC$3,$A78))</f>
        <v>2.9217485362</v>
      </c>
      <c r="AD78" s="13">
        <f>IF($A78="","",[1]!thsiFinD("ths_adjustment_nv_fund",AD$3,$A78))</f>
        <v>1.6241000000000001</v>
      </c>
      <c r="AE78" s="13">
        <f>IF($A78="","",[1]!thsiFinD("ths_adjustment_nv_fund",AE$3,$A78))</f>
        <v>1.8265</v>
      </c>
      <c r="AF78" s="13">
        <f>IF($A78="","",[1]!thsiFinD("ths_adjustment_nv_fund",AF$3,$A78))</f>
        <v>3.6393975807999999</v>
      </c>
      <c r="AG78" s="13">
        <f>IF($A78="","",[1]!thsiFinD("ths_adjustment_nv_fund",AG$3,$A78))</f>
        <v>1.7750244726</v>
      </c>
      <c r="AH78" s="13">
        <f>IF($A78="","",[1]!thsiFinD("ths_adjustment_nv_fund",AH$3,$A78))</f>
        <v>4.6062074580000001</v>
      </c>
      <c r="AI78" s="13">
        <f>IF($A78="","",[1]!thsiFinD("ths_adjustment_nv_fund",AI$3,$A78))</f>
        <v>4.8262045219000003</v>
      </c>
      <c r="AJ78" s="13">
        <f>IF($A78="","",[1]!thsiFinD("ths_adjustment_nv_fund",AJ$3,$A78))</f>
        <v>2.048031699</v>
      </c>
      <c r="AK78" s="13">
        <f>IF($A78="","",[1]!thsiFinD("ths_adjustment_nv_fund",AK$3,$A78))</f>
        <v>1.7582274626000001</v>
      </c>
      <c r="AL78" s="13">
        <f>IF($A78="","",[1]!thsiFinD("ths_adjustment_nv_fund",AL$3,$A78))</f>
        <v>1.8298000000000001</v>
      </c>
    </row>
    <row r="79" spans="1:38">
      <c r="A79" s="9">
        <v>46304</v>
      </c>
      <c r="B79" s="13">
        <f>IF($A79="","",[1]!thsiFinD("ths_adjustment_nv_fund",B$3,$A79))</f>
        <v>3.1251000000000002</v>
      </c>
      <c r="C79" s="13">
        <f>IF($A79="","",[1]!thsiFinD("ths_adjustment_nv_fund",C$3,$A79))</f>
        <v>1.3223152638</v>
      </c>
      <c r="D79" s="13">
        <f>IF($A79="","",[1]!thsiFinD("ths_adjustment_nv_fund",D$3,$A79))</f>
        <v>3.9220000000000002</v>
      </c>
      <c r="E79" s="13">
        <f>IF($A79="","",[1]!thsiFinD("ths_adjustment_nv_fund",E$3,$A79))</f>
        <v>1.8173999999999999</v>
      </c>
      <c r="F79" s="13">
        <f>IF($A79="","",[1]!thsiFinD("ths_adjustment_nv_fund",F$3,$A79))</f>
        <v>1.7641</v>
      </c>
      <c r="G79" s="13">
        <f>IF($A79="","",[1]!thsiFinD("ths_adjustment_nv_fund",G$3,$A79))</f>
        <v>3.3936000000000002</v>
      </c>
      <c r="H79" s="13">
        <f>IF($A79="","",[1]!thsiFinD("ths_adjustment_nv_fund",H$3,$A79))</f>
        <v>3.319</v>
      </c>
      <c r="I79" s="13">
        <f>IF($A79="","",[1]!thsiFinD("ths_adjustment_nv_fund",I$3,$A79))</f>
        <v>2.0739999999999998</v>
      </c>
      <c r="J79" s="13">
        <f>IF($A79="","",[1]!thsiFinD("ths_adjustment_nv_fund",J$3,$A79))</f>
        <v>2.7364000000000002</v>
      </c>
      <c r="K79" s="13">
        <f>IF($A79="","",[1]!thsiFinD("ths_adjustment_nv_fund",K$3,$A79))</f>
        <v>2.71</v>
      </c>
      <c r="L79" s="13">
        <f>IF($A79="","",[1]!thsiFinD("ths_adjustment_nv_fund",L$3,$A79))</f>
        <v>1.4735</v>
      </c>
      <c r="M79" s="13">
        <f>IF($A79="","",[1]!thsiFinD("ths_adjustment_nv_fund",M$3,$A79))</f>
        <v>1.4527000000000001</v>
      </c>
      <c r="N79" s="13">
        <f>IF($A79="","",[1]!thsiFinD("ths_adjustment_nv_fund",N$3,$A79))</f>
        <v>1.4345000000000001</v>
      </c>
      <c r="O79" s="13">
        <f>IF($A79="","",[1]!thsiFinD("ths_adjustment_nv_fund",O$3,$A79))</f>
        <v>1.397</v>
      </c>
      <c r="P79" s="13">
        <f>IF($A79="","",[1]!thsiFinD("ths_adjustment_nv_fund",P$3,$A79))</f>
        <v>2.5222000000000002</v>
      </c>
      <c r="Q79" s="13">
        <f>IF($A79="","",[1]!thsiFinD("ths_adjustment_nv_fund",Q$3,$A79))</f>
        <v>2.9979</v>
      </c>
      <c r="R79" s="13">
        <f>IF($A79="","",[1]!thsiFinD("ths_adjustment_nv_fund",R$3,$A79))</f>
        <v>2.9308999999999998</v>
      </c>
      <c r="S79" s="13">
        <f>IF($A79="","",[1]!thsiFinD("ths_adjustment_nv_fund",S$3,$A79))</f>
        <v>3.879</v>
      </c>
      <c r="T79" s="13">
        <f>IF($A79="","",[1]!thsiFinD("ths_adjustment_nv_fund",T$3,$A79))</f>
        <v>2.5278</v>
      </c>
      <c r="U79" s="13">
        <f>IF($A79="","",[1]!thsiFinD("ths_adjustment_nv_fund",U$3,$A79))</f>
        <v>2.5133000000000001</v>
      </c>
      <c r="V79" s="13">
        <f>IF($A79="","",[1]!thsiFinD("ths_adjustment_nv_fund",V$3,$A79))</f>
        <v>1.8835999999999999</v>
      </c>
      <c r="W79" s="13">
        <f>IF($A79="","",[1]!thsiFinD("ths_adjustment_nv_fund",W$3,$A79))</f>
        <v>1.8633</v>
      </c>
      <c r="X79" s="13">
        <f>IF($A79="","",[1]!thsiFinD("ths_adjustment_nv_fund",X$3,$A79))</f>
        <v>1.8092999999999999</v>
      </c>
      <c r="Y79" s="13">
        <f>IF($A79="","",[1]!thsiFinD("ths_adjustment_nv_fund",Y$3,$A79))</f>
        <v>2.1520000000000001</v>
      </c>
      <c r="Z79" s="13">
        <f>IF($A79="","",[1]!thsiFinD("ths_adjustment_nv_fund",Z$3,$A79))</f>
        <v>1.5278855943</v>
      </c>
      <c r="AA79" s="13">
        <f>IF($A79="","",[1]!thsiFinD("ths_adjustment_nv_fund",AA$3,$A79))</f>
        <v>1.2400624948000001</v>
      </c>
      <c r="AB79" s="13">
        <f>IF($A79="","",[1]!thsiFinD("ths_adjustment_nv_fund",AB$3,$A79))</f>
        <v>1.5644</v>
      </c>
      <c r="AC79" s="13">
        <f>IF($A79="","",[1]!thsiFinD("ths_adjustment_nv_fund",AC$3,$A79))</f>
        <v>2.9156986158999998</v>
      </c>
      <c r="AD79" s="13">
        <f>IF($A79="","",[1]!thsiFinD("ths_adjustment_nv_fund",AD$3,$A79))</f>
        <v>1.6251</v>
      </c>
      <c r="AE79" s="13">
        <f>IF($A79="","",[1]!thsiFinD("ths_adjustment_nv_fund",AE$3,$A79))</f>
        <v>1.8257000000000001</v>
      </c>
      <c r="AF79" s="13">
        <f>IF($A79="","",[1]!thsiFinD("ths_adjustment_nv_fund",AF$3,$A79))</f>
        <v>3.6782800336000001</v>
      </c>
      <c r="AG79" s="13">
        <f>IF($A79="","",[1]!thsiFinD("ths_adjustment_nv_fund",AG$3,$A79))</f>
        <v>1.7863370463999999</v>
      </c>
      <c r="AH79" s="13">
        <f>IF($A79="","",[1]!thsiFinD("ths_adjustment_nv_fund",AH$3,$A79))</f>
        <v>4.6086480091000004</v>
      </c>
      <c r="AI79" s="13">
        <f>IF($A79="","",[1]!thsiFinD("ths_adjustment_nv_fund",AI$3,$A79))</f>
        <v>4.8375591097999999</v>
      </c>
      <c r="AJ79" s="13">
        <f>IF($A79="","",[1]!thsiFinD("ths_adjustment_nv_fund",AJ$3,$A79))</f>
        <v>2.0427236787999998</v>
      </c>
      <c r="AK79" s="13">
        <f>IF($A79="","",[1]!thsiFinD("ths_adjustment_nv_fund",AK$3,$A79))</f>
        <v>1.7659426949999999</v>
      </c>
      <c r="AL79" s="13">
        <f>IF($A79="","",[1]!thsiFinD("ths_adjustment_nv_fund",AL$3,$A79))</f>
        <v>1.8588</v>
      </c>
    </row>
    <row r="80" spans="1:38">
      <c r="A80" s="9">
        <v>46307</v>
      </c>
      <c r="B80" s="13">
        <f>IF($A80="","",[1]!thsiFinD("ths_adjustment_nv_fund",B$3,$A80))</f>
        <v>3.1217000000000001</v>
      </c>
      <c r="C80" s="13">
        <f>IF($A80="","",[1]!thsiFinD("ths_adjustment_nv_fund",C$3,$A80))</f>
        <v>1.322449642</v>
      </c>
      <c r="D80" s="13">
        <f>IF($A80="","",[1]!thsiFinD("ths_adjustment_nv_fund",D$3,$A80))</f>
        <v>3.7509999999999999</v>
      </c>
      <c r="E80" s="13">
        <f>IF($A80="","",[1]!thsiFinD("ths_adjustment_nv_fund",E$3,$A80))</f>
        <v>1.8011999999999999</v>
      </c>
      <c r="F80" s="13">
        <f>IF($A80="","",[1]!thsiFinD("ths_adjustment_nv_fund",F$3,$A80))</f>
        <v>1.7483</v>
      </c>
      <c r="G80" s="13">
        <f>IF($A80="","",[1]!thsiFinD("ths_adjustment_nv_fund",G$3,$A80))</f>
        <v>3.2342</v>
      </c>
      <c r="H80" s="13">
        <f>IF($A80="","",[1]!thsiFinD("ths_adjustment_nv_fund",H$3,$A80))</f>
        <v>3.1629999999999998</v>
      </c>
      <c r="I80" s="13">
        <f>IF($A80="","",[1]!thsiFinD("ths_adjustment_nv_fund",I$3,$A80))</f>
        <v>2.0200999999999998</v>
      </c>
      <c r="J80" s="13">
        <f>IF($A80="","",[1]!thsiFinD("ths_adjustment_nv_fund",J$3,$A80))</f>
        <v>2.7363</v>
      </c>
      <c r="K80" s="13">
        <f>IF($A80="","",[1]!thsiFinD("ths_adjustment_nv_fund",K$3,$A80))</f>
        <v>2.7098</v>
      </c>
      <c r="L80" s="13">
        <f>IF($A80="","",[1]!thsiFinD("ths_adjustment_nv_fund",L$3,$A80))</f>
        <v>1.4426000000000001</v>
      </c>
      <c r="M80" s="13">
        <f>IF($A80="","",[1]!thsiFinD("ths_adjustment_nv_fund",M$3,$A80))</f>
        <v>1.4221999999999999</v>
      </c>
      <c r="N80" s="13">
        <f>IF($A80="","",[1]!thsiFinD("ths_adjustment_nv_fund",N$3,$A80))</f>
        <v>1.4012</v>
      </c>
      <c r="O80" s="13">
        <f>IF($A80="","",[1]!thsiFinD("ths_adjustment_nv_fund",O$3,$A80))</f>
        <v>1.3645</v>
      </c>
      <c r="P80" s="13">
        <f>IF($A80="","",[1]!thsiFinD("ths_adjustment_nv_fund",P$3,$A80))</f>
        <v>2.3921000000000001</v>
      </c>
      <c r="Q80" s="13">
        <f>IF($A80="","",[1]!thsiFinD("ths_adjustment_nv_fund",Q$3,$A80))</f>
        <v>2.8647</v>
      </c>
      <c r="R80" s="13">
        <f>IF($A80="","",[1]!thsiFinD("ths_adjustment_nv_fund",R$3,$A80))</f>
        <v>2.8003999999999998</v>
      </c>
      <c r="S80" s="13">
        <f>IF($A80="","",[1]!thsiFinD("ths_adjustment_nv_fund",S$3,$A80))</f>
        <v>3.71</v>
      </c>
      <c r="T80" s="13">
        <f>IF($A80="","",[1]!thsiFinD("ths_adjustment_nv_fund",T$3,$A80))</f>
        <v>2.5150000000000001</v>
      </c>
      <c r="U80" s="13">
        <f>IF($A80="","",[1]!thsiFinD("ths_adjustment_nv_fund",U$3,$A80))</f>
        <v>2.5005000000000002</v>
      </c>
      <c r="V80" s="13">
        <f>IF($A80="","",[1]!thsiFinD("ths_adjustment_nv_fund",V$3,$A80))</f>
        <v>1.8456999999999999</v>
      </c>
      <c r="W80" s="13">
        <f>IF($A80="","",[1]!thsiFinD("ths_adjustment_nv_fund",W$3,$A80))</f>
        <v>1.8255999999999999</v>
      </c>
      <c r="X80" s="13">
        <f>IF($A80="","",[1]!thsiFinD("ths_adjustment_nv_fund",X$3,$A80))</f>
        <v>1.8117000000000001</v>
      </c>
      <c r="Y80" s="13">
        <f>IF($A80="","",[1]!thsiFinD("ths_adjustment_nv_fund",Y$3,$A80))</f>
        <v>2.15</v>
      </c>
      <c r="Z80" s="13">
        <f>IF($A80="","",[1]!thsiFinD("ths_adjustment_nv_fund",Z$3,$A80))</f>
        <v>1.5304192186000001</v>
      </c>
      <c r="AA80" s="13">
        <f>IF($A80="","",[1]!thsiFinD("ths_adjustment_nv_fund",AA$3,$A80))</f>
        <v>1.2410097401</v>
      </c>
      <c r="AB80" s="13">
        <f>IF($A80="","",[1]!thsiFinD("ths_adjustment_nv_fund",AB$3,$A80))</f>
        <v>1.5279</v>
      </c>
      <c r="AC80" s="13">
        <f>IF($A80="","",[1]!thsiFinD("ths_adjustment_nv_fund",AC$3,$A80))</f>
        <v>2.8463665285999999</v>
      </c>
      <c r="AD80" s="13">
        <f>IF($A80="","",[1]!thsiFinD("ths_adjustment_nv_fund",AD$3,$A80))</f>
        <v>1.5932999999999999</v>
      </c>
      <c r="AE80" s="13">
        <f>IF($A80="","",[1]!thsiFinD("ths_adjustment_nv_fund",AE$3,$A80))</f>
        <v>1.7862</v>
      </c>
      <c r="AF80" s="13">
        <f>IF($A80="","",[1]!thsiFinD("ths_adjustment_nv_fund",AF$3,$A80))</f>
        <v>3.6285104939999999</v>
      </c>
      <c r="AG80" s="13">
        <f>IF($A80="","",[1]!thsiFinD("ths_adjustment_nv_fund",AG$3,$A80))</f>
        <v>1.7926347679000001</v>
      </c>
      <c r="AH80" s="13">
        <f>IF($A80="","",[1]!thsiFinD("ths_adjustment_nv_fund",AH$3,$A80))</f>
        <v>4.5822456832</v>
      </c>
      <c r="AI80" s="13">
        <f>IF($A80="","",[1]!thsiFinD("ths_adjustment_nv_fund",AI$3,$A80))</f>
        <v>4.7882297332999997</v>
      </c>
      <c r="AJ80" s="13">
        <f>IF($A80="","",[1]!thsiFinD("ths_adjustment_nv_fund",AJ$3,$A80))</f>
        <v>2.0790157239</v>
      </c>
      <c r="AK80" s="13">
        <f>IF($A80="","",[1]!thsiFinD("ths_adjustment_nv_fund",AK$3,$A80))</f>
        <v>1.7838039861999999</v>
      </c>
      <c r="AL80" s="13">
        <f>IF($A80="","",[1]!thsiFinD("ths_adjustment_nv_fund",AL$3,$A80))</f>
        <v>1.8545</v>
      </c>
    </row>
    <row r="81" spans="1:38">
      <c r="A81" s="9">
        <v>46308</v>
      </c>
      <c r="B81" s="13">
        <f>IF($A81="","",[1]!thsiFinD("ths_adjustment_nv_fund",B$3,$A81))</f>
        <v>3.1254</v>
      </c>
      <c r="C81" s="13">
        <f>IF($A81="","",[1]!thsiFinD("ths_adjustment_nv_fund",C$3,$A81))</f>
        <v>1.3224941292000001</v>
      </c>
      <c r="D81" s="13">
        <f>IF($A81="","",[1]!thsiFinD("ths_adjustment_nv_fund",D$3,$A81))</f>
        <v>3.8109999999999999</v>
      </c>
      <c r="E81" s="13">
        <f>IF($A81="","",[1]!thsiFinD("ths_adjustment_nv_fund",E$3,$A81))</f>
        <v>1.7982</v>
      </c>
      <c r="F81" s="13">
        <f>IF($A81="","",[1]!thsiFinD("ths_adjustment_nv_fund",F$3,$A81))</f>
        <v>1.7454000000000001</v>
      </c>
      <c r="G81" s="13">
        <f>IF($A81="","",[1]!thsiFinD("ths_adjustment_nv_fund",G$3,$A81))</f>
        <v>3.2888999999999999</v>
      </c>
      <c r="H81" s="13">
        <f>IF($A81="","",[1]!thsiFinD("ths_adjustment_nv_fund",H$3,$A81))</f>
        <v>3.2164999999999999</v>
      </c>
      <c r="I81" s="13">
        <f>IF($A81="","",[1]!thsiFinD("ths_adjustment_nv_fund",I$3,$A81))</f>
        <v>2.0455000000000001</v>
      </c>
      <c r="J81" s="13">
        <f>IF($A81="","",[1]!thsiFinD("ths_adjustment_nv_fund",J$3,$A81))</f>
        <v>2.7652999999999999</v>
      </c>
      <c r="K81" s="13">
        <f>IF($A81="","",[1]!thsiFinD("ths_adjustment_nv_fund",K$3,$A81))</f>
        <v>2.7385000000000002</v>
      </c>
      <c r="L81" s="13">
        <f>IF($A81="","",[1]!thsiFinD("ths_adjustment_nv_fund",L$3,$A81))</f>
        <v>1.4477</v>
      </c>
      <c r="M81" s="13">
        <f>IF($A81="","",[1]!thsiFinD("ths_adjustment_nv_fund",M$3,$A81))</f>
        <v>1.4272</v>
      </c>
      <c r="N81" s="13">
        <f>IF($A81="","",[1]!thsiFinD("ths_adjustment_nv_fund",N$3,$A81))</f>
        <v>1.4036</v>
      </c>
      <c r="O81" s="13">
        <f>IF($A81="","",[1]!thsiFinD("ths_adjustment_nv_fund",O$3,$A81))</f>
        <v>1.3669</v>
      </c>
      <c r="P81" s="13">
        <f>IF($A81="","",[1]!thsiFinD("ths_adjustment_nv_fund",P$3,$A81))</f>
        <v>2.4651999999999998</v>
      </c>
      <c r="Q81" s="13">
        <f>IF($A81="","",[1]!thsiFinD("ths_adjustment_nv_fund",Q$3,$A81))</f>
        <v>2.9382000000000001</v>
      </c>
      <c r="R81" s="13">
        <f>IF($A81="","",[1]!thsiFinD("ths_adjustment_nv_fund",R$3,$A81))</f>
        <v>2.8723000000000001</v>
      </c>
      <c r="S81" s="13">
        <f>IF($A81="","",[1]!thsiFinD("ths_adjustment_nv_fund",S$3,$A81))</f>
        <v>3.7690000000000001</v>
      </c>
      <c r="T81" s="13">
        <f>IF($A81="","",[1]!thsiFinD("ths_adjustment_nv_fund",T$3,$A81))</f>
        <v>2.5314999999999999</v>
      </c>
      <c r="U81" s="13">
        <f>IF($A81="","",[1]!thsiFinD("ths_adjustment_nv_fund",U$3,$A81))</f>
        <v>2.5169000000000001</v>
      </c>
      <c r="V81" s="13">
        <f>IF($A81="","",[1]!thsiFinD("ths_adjustment_nv_fund",V$3,$A81))</f>
        <v>1.8625</v>
      </c>
      <c r="W81" s="13">
        <f>IF($A81="","",[1]!thsiFinD("ths_adjustment_nv_fund",W$3,$A81))</f>
        <v>1.8423</v>
      </c>
      <c r="X81" s="13">
        <f>IF($A81="","",[1]!thsiFinD("ths_adjustment_nv_fund",X$3,$A81))</f>
        <v>1.8123</v>
      </c>
      <c r="Y81" s="13">
        <f>IF($A81="","",[1]!thsiFinD("ths_adjustment_nv_fund",Y$3,$A81))</f>
        <v>2.1659999999999999</v>
      </c>
      <c r="Z81" s="13">
        <f>IF($A81="","",[1]!thsiFinD("ths_adjustment_nv_fund",Z$3,$A81))</f>
        <v>1.5314106368</v>
      </c>
      <c r="AA81" s="13">
        <f>IF($A81="","",[1]!thsiFinD("ths_adjustment_nv_fund",AA$3,$A81))</f>
        <v>1.241364957</v>
      </c>
      <c r="AB81" s="13">
        <f>IF($A81="","",[1]!thsiFinD("ths_adjustment_nv_fund",AB$3,$A81))</f>
        <v>1.5266</v>
      </c>
      <c r="AC81" s="13">
        <f>IF($A81="","",[1]!thsiFinD("ths_adjustment_nv_fund",AC$3,$A81))</f>
        <v>2.8400746113999999</v>
      </c>
      <c r="AD81" s="13">
        <f>IF($A81="","",[1]!thsiFinD("ths_adjustment_nv_fund",AD$3,$A81))</f>
        <v>1.5931</v>
      </c>
      <c r="AE81" s="13">
        <f>IF($A81="","",[1]!thsiFinD("ths_adjustment_nv_fund",AE$3,$A81))</f>
        <v>1.7967</v>
      </c>
      <c r="AF81" s="13">
        <f>IF($A81="","",[1]!thsiFinD("ths_adjustment_nv_fund",AF$3,$A81))</f>
        <v>3.6067363204</v>
      </c>
      <c r="AG81" s="13">
        <f>IF($A81="","",[1]!thsiFinD("ths_adjustment_nv_fund",AG$3,$A81))</f>
        <v>1.7949672574</v>
      </c>
      <c r="AH81" s="13">
        <f>IF($A81="","",[1]!thsiFinD("ths_adjustment_nv_fund",AH$3,$A81))</f>
        <v>4.5782520541</v>
      </c>
      <c r="AI81" s="13">
        <f>IF($A81="","",[1]!thsiFinD("ths_adjustment_nv_fund",AI$3,$A81))</f>
        <v>4.7638804503000003</v>
      </c>
      <c r="AJ81" s="13">
        <f>IF($A81="","",[1]!thsiFinD("ths_adjustment_nv_fund",AJ$3,$A81))</f>
        <v>2.0683996835</v>
      </c>
      <c r="AK81" s="13">
        <f>IF($A81="","",[1]!thsiFinD("ths_adjustment_nv_fund",AK$3,$A81))</f>
        <v>1.7773570112999999</v>
      </c>
      <c r="AL81" s="13">
        <f>IF($A81="","",[1]!thsiFinD("ths_adjustment_nv_fund",AL$3,$A81))</f>
        <v>1.8562000000000001</v>
      </c>
    </row>
    <row r="82" spans="1:38">
      <c r="A82" s="9">
        <v>46309</v>
      </c>
      <c r="B82" s="13">
        <f>IF($A82="","",[1]!thsiFinD("ths_adjustment_nv_fund",B$3,$A82))</f>
        <v>3.0928</v>
      </c>
      <c r="C82" s="13">
        <f>IF($A82="","",[1]!thsiFinD("ths_adjustment_nv_fund",C$3,$A82))</f>
        <v>1.3225388295</v>
      </c>
      <c r="D82" s="13">
        <f>IF($A82="","",[1]!thsiFinD("ths_adjustment_nv_fund",D$3,$A82))</f>
        <v>3.702</v>
      </c>
      <c r="E82" s="13">
        <f>IF($A82="","",[1]!thsiFinD("ths_adjustment_nv_fund",E$3,$A82))</f>
        <v>1.7734000000000001</v>
      </c>
      <c r="F82" s="13">
        <f>IF($A82="","",[1]!thsiFinD("ths_adjustment_nv_fund",F$3,$A82))</f>
        <v>1.7213000000000001</v>
      </c>
      <c r="G82" s="13">
        <f>IF($A82="","",[1]!thsiFinD("ths_adjustment_nv_fund",G$3,$A82))</f>
        <v>3.1533000000000002</v>
      </c>
      <c r="H82" s="13">
        <f>IF($A82="","",[1]!thsiFinD("ths_adjustment_nv_fund",H$3,$A82))</f>
        <v>3.0838000000000001</v>
      </c>
      <c r="I82" s="13">
        <f>IF($A82="","",[1]!thsiFinD("ths_adjustment_nv_fund",I$3,$A82))</f>
        <v>1.9823999999999999</v>
      </c>
      <c r="J82" s="13">
        <f>IF($A82="","",[1]!thsiFinD("ths_adjustment_nv_fund",J$3,$A82))</f>
        <v>2.6739999999999999</v>
      </c>
      <c r="K82" s="13">
        <f>IF($A82="","",[1]!thsiFinD("ths_adjustment_nv_fund",K$3,$A82))</f>
        <v>2.6480999999999999</v>
      </c>
      <c r="L82" s="13">
        <f>IF($A82="","",[1]!thsiFinD("ths_adjustment_nv_fund",L$3,$A82))</f>
        <v>1.4240999999999999</v>
      </c>
      <c r="M82" s="13">
        <f>IF($A82="","",[1]!thsiFinD("ths_adjustment_nv_fund",M$3,$A82))</f>
        <v>1.4038999999999999</v>
      </c>
      <c r="N82" s="13">
        <f>IF($A82="","",[1]!thsiFinD("ths_adjustment_nv_fund",N$3,$A82))</f>
        <v>1.3844000000000001</v>
      </c>
      <c r="O82" s="13">
        <f>IF($A82="","",[1]!thsiFinD("ths_adjustment_nv_fund",O$3,$A82))</f>
        <v>1.3481000000000001</v>
      </c>
      <c r="P82" s="13">
        <f>IF($A82="","",[1]!thsiFinD("ths_adjustment_nv_fund",P$3,$A82))</f>
        <v>2.3656999999999999</v>
      </c>
      <c r="Q82" s="13">
        <f>IF($A82="","",[1]!thsiFinD("ths_adjustment_nv_fund",Q$3,$A82))</f>
        <v>2.8176000000000001</v>
      </c>
      <c r="R82" s="13">
        <f>IF($A82="","",[1]!thsiFinD("ths_adjustment_nv_fund",R$3,$A82))</f>
        <v>2.7544</v>
      </c>
      <c r="S82" s="13">
        <f>IF($A82="","",[1]!thsiFinD("ths_adjustment_nv_fund",S$3,$A82))</f>
        <v>3.661</v>
      </c>
      <c r="T82" s="13">
        <f>IF($A82="","",[1]!thsiFinD("ths_adjustment_nv_fund",T$3,$A82))</f>
        <v>2.4518</v>
      </c>
      <c r="U82" s="13">
        <f>IF($A82="","",[1]!thsiFinD("ths_adjustment_nv_fund",U$3,$A82))</f>
        <v>2.4377</v>
      </c>
      <c r="V82" s="13">
        <f>IF($A82="","",[1]!thsiFinD("ths_adjustment_nv_fund",V$3,$A82))</f>
        <v>1.8248</v>
      </c>
      <c r="W82" s="13">
        <f>IF($A82="","",[1]!thsiFinD("ths_adjustment_nv_fund",W$3,$A82))</f>
        <v>1.8048999999999999</v>
      </c>
      <c r="X82" s="13">
        <f>IF($A82="","",[1]!thsiFinD("ths_adjustment_nv_fund",X$3,$A82))</f>
        <v>1.8139000000000001</v>
      </c>
      <c r="Y82" s="13">
        <f>IF($A82="","",[1]!thsiFinD("ths_adjustment_nv_fund",Y$3,$A82))</f>
        <v>2.0950000000000002</v>
      </c>
      <c r="Z82" s="13">
        <f>IF($A82="","",[1]!thsiFinD("ths_adjustment_nv_fund",Z$3,$A82))</f>
        <v>1.5342747338</v>
      </c>
      <c r="AA82" s="13">
        <f>IF($A82="","",[1]!thsiFinD("ths_adjustment_nv_fund",AA$3,$A82))</f>
        <v>1.242075391</v>
      </c>
      <c r="AB82" s="13">
        <f>IF($A82="","",[1]!thsiFinD("ths_adjustment_nv_fund",AB$3,$A82))</f>
        <v>1.5056</v>
      </c>
      <c r="AC82" s="13">
        <f>IF($A82="","",[1]!thsiFinD("ths_adjustment_nv_fund",AC$3,$A82))</f>
        <v>2.8024441067999999</v>
      </c>
      <c r="AD82" s="13">
        <f>IF($A82="","",[1]!thsiFinD("ths_adjustment_nv_fund",AD$3,$A82))</f>
        <v>1.5663</v>
      </c>
      <c r="AE82" s="13">
        <f>IF($A82="","",[1]!thsiFinD("ths_adjustment_nv_fund",AE$3,$A82))</f>
        <v>1.7598</v>
      </c>
      <c r="AF82" s="13">
        <f>IF($A82="","",[1]!thsiFinD("ths_adjustment_nv_fund",AF$3,$A82))</f>
        <v>3.5911833393000001</v>
      </c>
      <c r="AG82" s="13">
        <f>IF($A82="","",[1]!thsiFinD("ths_adjustment_nv_fund",AG$3,$A82))</f>
        <v>1.8065130802</v>
      </c>
      <c r="AH82" s="13">
        <f>IF($A82="","",[1]!thsiFinD("ths_adjustment_nv_fund",AH$3,$A82))</f>
        <v>4.5802488687</v>
      </c>
      <c r="AI82" s="13">
        <f>IF($A82="","",[1]!thsiFinD("ths_adjustment_nv_fund",AI$3,$A82))</f>
        <v>4.7365032771999998</v>
      </c>
      <c r="AJ82" s="13">
        <f>IF($A82="","",[1]!thsiFinD("ths_adjustment_nv_fund",AJ$3,$A82))</f>
        <v>2.0797563778999999</v>
      </c>
      <c r="AK82" s="13">
        <f>IF($A82="","",[1]!thsiFinD("ths_adjustment_nv_fund",AK$3,$A82))</f>
        <v>1.793844357</v>
      </c>
      <c r="AL82" s="13">
        <f>IF($A82="","",[1]!thsiFinD("ths_adjustment_nv_fund",AL$3,$A82))</f>
        <v>1.8374999999999999</v>
      </c>
    </row>
    <row r="83" spans="1:38">
      <c r="A83" s="9">
        <v>46310</v>
      </c>
      <c r="B83" s="13">
        <f>IF($A83="","",[1]!thsiFinD("ths_adjustment_nv_fund",B$3,$A83))</f>
        <v>3.0857999999999999</v>
      </c>
      <c r="C83" s="13">
        <f>IF($A83="","",[1]!thsiFinD("ths_adjustment_nv_fund",C$3,$A83))</f>
        <v>1.3225828964999999</v>
      </c>
      <c r="D83" s="13">
        <f>IF($A83="","",[1]!thsiFinD("ths_adjustment_nv_fund",D$3,$A83))</f>
        <v>3.5449999999999999</v>
      </c>
      <c r="E83" s="13">
        <f>IF($A83="","",[1]!thsiFinD("ths_adjustment_nv_fund",E$3,$A83))</f>
        <v>1.7472000000000001</v>
      </c>
      <c r="F83" s="13">
        <f>IF($A83="","",[1]!thsiFinD("ths_adjustment_nv_fund",F$3,$A83))</f>
        <v>1.6959</v>
      </c>
      <c r="G83" s="13">
        <f>IF($A83="","",[1]!thsiFinD("ths_adjustment_nv_fund",G$3,$A83))</f>
        <v>3.0066999999999999</v>
      </c>
      <c r="H83" s="13">
        <f>IF($A83="","",[1]!thsiFinD("ths_adjustment_nv_fund",H$3,$A83))</f>
        <v>2.9403999999999999</v>
      </c>
      <c r="I83" s="13">
        <f>IF($A83="","",[1]!thsiFinD("ths_adjustment_nv_fund",I$3,$A83))</f>
        <v>1.925</v>
      </c>
      <c r="J83" s="13">
        <f>IF($A83="","",[1]!thsiFinD("ths_adjustment_nv_fund",J$3,$A83))</f>
        <v>2.6692999999999998</v>
      </c>
      <c r="K83" s="13">
        <f>IF($A83="","",[1]!thsiFinD("ths_adjustment_nv_fund",K$3,$A83))</f>
        <v>2.6434000000000002</v>
      </c>
      <c r="L83" s="13">
        <f>IF($A83="","",[1]!thsiFinD("ths_adjustment_nv_fund",L$3,$A83))</f>
        <v>1.3798999999999999</v>
      </c>
      <c r="M83" s="13">
        <f>IF($A83="","",[1]!thsiFinD("ths_adjustment_nv_fund",M$3,$A83))</f>
        <v>1.3603000000000001</v>
      </c>
      <c r="N83" s="13">
        <f>IF($A83="","",[1]!thsiFinD("ths_adjustment_nv_fund",N$3,$A83))</f>
        <v>1.3375999999999999</v>
      </c>
      <c r="O83" s="13">
        <f>IF($A83="","",[1]!thsiFinD("ths_adjustment_nv_fund",O$3,$A83))</f>
        <v>1.3025</v>
      </c>
      <c r="P83" s="13">
        <f>IF($A83="","",[1]!thsiFinD("ths_adjustment_nv_fund",P$3,$A83))</f>
        <v>2.2393000000000001</v>
      </c>
      <c r="Q83" s="13">
        <f>IF($A83="","",[1]!thsiFinD("ths_adjustment_nv_fund",Q$3,$A83))</f>
        <v>2.6772999999999998</v>
      </c>
      <c r="R83" s="13">
        <f>IF($A83="","",[1]!thsiFinD("ths_adjustment_nv_fund",R$3,$A83))</f>
        <v>2.6172</v>
      </c>
      <c r="S83" s="13">
        <f>IF($A83="","",[1]!thsiFinD("ths_adjustment_nv_fund",S$3,$A83))</f>
        <v>3.5059999999999998</v>
      </c>
      <c r="T83" s="13">
        <f>IF($A83="","",[1]!thsiFinD("ths_adjustment_nv_fund",T$3,$A83))</f>
        <v>2.4533</v>
      </c>
      <c r="U83" s="13">
        <f>IF($A83="","",[1]!thsiFinD("ths_adjustment_nv_fund",U$3,$A83))</f>
        <v>2.4392</v>
      </c>
      <c r="V83" s="13">
        <f>IF($A83="","",[1]!thsiFinD("ths_adjustment_nv_fund",V$3,$A83))</f>
        <v>1.7659</v>
      </c>
      <c r="W83" s="13">
        <f>IF($A83="","",[1]!thsiFinD("ths_adjustment_nv_fund",W$3,$A83))</f>
        <v>1.7466999999999999</v>
      </c>
      <c r="X83" s="13">
        <f>IF($A83="","",[1]!thsiFinD("ths_adjustment_nv_fund",X$3,$A83))</f>
        <v>1.8137000000000001</v>
      </c>
      <c r="Y83" s="13">
        <f>IF($A83="","",[1]!thsiFinD("ths_adjustment_nv_fund",Y$3,$A83))</f>
        <v>2.085</v>
      </c>
      <c r="Z83" s="13">
        <f>IF($A83="","",[1]!thsiFinD("ths_adjustment_nv_fund",Z$3,$A83))</f>
        <v>1.5337239459000001</v>
      </c>
      <c r="AA83" s="13">
        <f>IF($A83="","",[1]!thsiFinD("ths_adjustment_nv_fund",AA$3,$A83))</f>
        <v>1.242075391</v>
      </c>
      <c r="AB83" s="13">
        <f>IF($A83="","",[1]!thsiFinD("ths_adjustment_nv_fund",AB$3,$A83))</f>
        <v>1.4609000000000001</v>
      </c>
      <c r="AC83" s="13">
        <f>IF($A83="","",[1]!thsiFinD("ths_adjustment_nv_fund",AC$3,$A83))</f>
        <v>2.7125422903</v>
      </c>
      <c r="AD83" s="13">
        <f>IF($A83="","",[1]!thsiFinD("ths_adjustment_nv_fund",AD$3,$A83))</f>
        <v>1.5114000000000001</v>
      </c>
      <c r="AE83" s="13">
        <f>IF($A83="","",[1]!thsiFinD("ths_adjustment_nv_fund",AE$3,$A83))</f>
        <v>1.7022999999999999</v>
      </c>
      <c r="AF83" s="13">
        <f>IF($A83="","",[1]!thsiFinD("ths_adjustment_nv_fund",AF$3,$A83))</f>
        <v>3.5258608186</v>
      </c>
      <c r="AG83" s="13">
        <f>IF($A83="","",[1]!thsiFinD("ths_adjustment_nv_fund",AG$3,$A83))</f>
        <v>1.7812055696</v>
      </c>
      <c r="AH83" s="13">
        <f>IF($A83="","",[1]!thsiFinD("ths_adjustment_nv_fund",AH$3,$A83))</f>
        <v>4.5298847679999996</v>
      </c>
      <c r="AI83" s="13">
        <f>IF($A83="","",[1]!thsiFinD("ths_adjustment_nv_fund",AI$3,$A83))</f>
        <v>4.6833890380999996</v>
      </c>
      <c r="AJ83" s="13">
        <f>IF($A83="","",[1]!thsiFinD("ths_adjustment_nv_fund",AJ$3,$A83))</f>
        <v>2.0548210272</v>
      </c>
      <c r="AK83" s="13">
        <f>IF($A83="","",[1]!thsiFinD("ths_adjustment_nv_fund",AK$3,$A83))</f>
        <v>1.7779911398999999</v>
      </c>
      <c r="AL83" s="13">
        <f>IF($A83="","",[1]!thsiFinD("ths_adjustment_nv_fund",AL$3,$A83))</f>
        <v>1.8304</v>
      </c>
    </row>
    <row r="84" spans="1:38">
      <c r="A84" s="9">
        <v>46311</v>
      </c>
      <c r="B84" s="13">
        <f>IF($A84="","",[1]!thsiFinD("ths_adjustment_nv_fund",B$3,$A84))</f>
        <v>3.1151</v>
      </c>
      <c r="C84" s="13">
        <f>IF($A84="","",[1]!thsiFinD("ths_adjustment_nv_fund",C$3,$A84))</f>
        <v>1.3226280098000001</v>
      </c>
      <c r="D84" s="13">
        <f>IF($A84="","",[1]!thsiFinD("ths_adjustment_nv_fund",D$3,$A84))</f>
        <v>3.5139999999999998</v>
      </c>
      <c r="E84" s="13">
        <f>IF($A84="","",[1]!thsiFinD("ths_adjustment_nv_fund",E$3,$A84))</f>
        <v>1.7471000000000001</v>
      </c>
      <c r="F84" s="13">
        <f>IF($A84="","",[1]!thsiFinD("ths_adjustment_nv_fund",F$3,$A84))</f>
        <v>1.6958</v>
      </c>
      <c r="G84" s="13">
        <f>IF($A84="","",[1]!thsiFinD("ths_adjustment_nv_fund",G$3,$A84))</f>
        <v>3.0099</v>
      </c>
      <c r="H84" s="13">
        <f>IF($A84="","",[1]!thsiFinD("ths_adjustment_nv_fund",H$3,$A84))</f>
        <v>2.9434999999999998</v>
      </c>
      <c r="I84" s="13">
        <f>IF($A84="","",[1]!thsiFinD("ths_adjustment_nv_fund",I$3,$A84))</f>
        <v>1.9193</v>
      </c>
      <c r="J84" s="13">
        <f>IF($A84="","",[1]!thsiFinD("ths_adjustment_nv_fund",J$3,$A84))</f>
        <v>2.6684999999999999</v>
      </c>
      <c r="K84" s="13">
        <f>IF($A84="","",[1]!thsiFinD("ths_adjustment_nv_fund",K$3,$A84))</f>
        <v>2.6425999999999998</v>
      </c>
      <c r="L84" s="13">
        <f>IF($A84="","",[1]!thsiFinD("ths_adjustment_nv_fund",L$3,$A84))</f>
        <v>1.3813</v>
      </c>
      <c r="M84" s="13">
        <f>IF($A84="","",[1]!thsiFinD("ths_adjustment_nv_fund",M$3,$A84))</f>
        <v>1.3617999999999999</v>
      </c>
      <c r="N84" s="13">
        <f>IF($A84="","",[1]!thsiFinD("ths_adjustment_nv_fund",N$3,$A84))</f>
        <v>1.3383</v>
      </c>
      <c r="O84" s="13">
        <f>IF($A84="","",[1]!thsiFinD("ths_adjustment_nv_fund",O$3,$A84))</f>
        <v>1.3031999999999999</v>
      </c>
      <c r="P84" s="13">
        <f>IF($A84="","",[1]!thsiFinD("ths_adjustment_nv_fund",P$3,$A84))</f>
        <v>2.2147999999999999</v>
      </c>
      <c r="Q84" s="13">
        <f>IF($A84="","",[1]!thsiFinD("ths_adjustment_nv_fund",Q$3,$A84))</f>
        <v>2.6280999999999999</v>
      </c>
      <c r="R84" s="13">
        <f>IF($A84="","",[1]!thsiFinD("ths_adjustment_nv_fund",R$3,$A84))</f>
        <v>2.569</v>
      </c>
      <c r="S84" s="13">
        <f>IF($A84="","",[1]!thsiFinD("ths_adjustment_nv_fund",S$3,$A84))</f>
        <v>3.4750000000000001</v>
      </c>
      <c r="T84" s="13">
        <f>IF($A84="","",[1]!thsiFinD("ths_adjustment_nv_fund",T$3,$A84))</f>
        <v>2.4339</v>
      </c>
      <c r="U84" s="13">
        <f>IF($A84="","",[1]!thsiFinD("ths_adjustment_nv_fund",U$3,$A84))</f>
        <v>2.4198</v>
      </c>
      <c r="V84" s="13">
        <f>IF($A84="","",[1]!thsiFinD("ths_adjustment_nv_fund",V$3,$A84))</f>
        <v>1.7702</v>
      </c>
      <c r="W84" s="13">
        <f>IF($A84="","",[1]!thsiFinD("ths_adjustment_nv_fund",W$3,$A84))</f>
        <v>1.7509999999999999</v>
      </c>
      <c r="X84" s="13">
        <f>IF($A84="","",[1]!thsiFinD("ths_adjustment_nv_fund",X$3,$A84))</f>
        <v>1.8149</v>
      </c>
      <c r="Y84" s="13">
        <f>IF($A84="","",[1]!thsiFinD("ths_adjustment_nv_fund",Y$3,$A84))</f>
        <v>2.0819999999999999</v>
      </c>
      <c r="Z84" s="13">
        <f>IF($A84="","",[1]!thsiFinD("ths_adjustment_nv_fund",Z$3,$A84))</f>
        <v>1.5359270974999999</v>
      </c>
      <c r="AA84" s="13">
        <f>IF($A84="","",[1]!thsiFinD("ths_adjustment_nv_fund",AA$3,$A84))</f>
        <v>1.243141042</v>
      </c>
      <c r="AB84" s="13">
        <f>IF($A84="","",[1]!thsiFinD("ths_adjustment_nv_fund",AB$3,$A84))</f>
        <v>1.4618</v>
      </c>
      <c r="AC84" s="13">
        <f>IF($A84="","",[1]!thsiFinD("ths_adjustment_nv_fund",AC$3,$A84))</f>
        <v>2.7125422903</v>
      </c>
      <c r="AD84" s="13">
        <f>IF($A84="","",[1]!thsiFinD("ths_adjustment_nv_fund",AD$3,$A84))</f>
        <v>1.5195000000000001</v>
      </c>
      <c r="AE84" s="13">
        <f>IF($A84="","",[1]!thsiFinD("ths_adjustment_nv_fund",AE$3,$A84))</f>
        <v>1.7060999999999999</v>
      </c>
      <c r="AF84" s="13">
        <f>IF($A84="","",[1]!thsiFinD("ths_adjustment_nv_fund",AF$3,$A84))</f>
        <v>3.5725197620000002</v>
      </c>
      <c r="AG84" s="13">
        <f>IF($A84="","",[1]!thsiFinD("ths_adjustment_nv_fund",AG$3,$A84))</f>
        <v>1.7847043037999999</v>
      </c>
      <c r="AH84" s="13">
        <f>IF($A84="","",[1]!thsiFinD("ths_adjustment_nv_fund",AH$3,$A84))</f>
        <v>4.5256692705999999</v>
      </c>
      <c r="AI84" s="13">
        <f>IF($A84="","",[1]!thsiFinD("ths_adjustment_nv_fund",AI$3,$A84))</f>
        <v>4.7271672827</v>
      </c>
      <c r="AJ84" s="13">
        <f>IF($A84="","",[1]!thsiFinD("ths_adjustment_nv_fund",AJ$3,$A84))</f>
        <v>2.0623736954999998</v>
      </c>
      <c r="AK84" s="13">
        <f>IF($A84="","",[1]!thsiFinD("ths_adjustment_nv_fund",AK$3,$A84))</f>
        <v>1.7847551792</v>
      </c>
      <c r="AL84" s="13">
        <f>IF($A84="","",[1]!thsiFinD("ths_adjustment_nv_fund",AL$3,$A84))</f>
        <v>1.8468</v>
      </c>
    </row>
    <row r="85" spans="1:38">
      <c r="A85" s="9">
        <v>46314</v>
      </c>
      <c r="B85" s="13">
        <f>IF($A85="","",[1]!thsiFinD("ths_adjustment_nv_fund",B$3,$A85))</f>
        <v>3.1133000000000002</v>
      </c>
      <c r="C85" s="13">
        <f>IF($A85="","",[1]!thsiFinD("ths_adjustment_nv_fund",C$3,$A85))</f>
        <v>1.3227604886</v>
      </c>
      <c r="D85" s="13">
        <f>IF($A85="","",[1]!thsiFinD("ths_adjustment_nv_fund",D$3,$A85))</f>
        <v>3.464</v>
      </c>
      <c r="E85" s="13">
        <f>IF($A85="","",[1]!thsiFinD("ths_adjustment_nv_fund",E$3,$A85))</f>
        <v>1.7470000000000001</v>
      </c>
      <c r="F85" s="13">
        <f>IF($A85="","",[1]!thsiFinD("ths_adjustment_nv_fund",F$3,$A85))</f>
        <v>1.6956</v>
      </c>
      <c r="G85" s="13">
        <f>IF($A85="","",[1]!thsiFinD("ths_adjustment_nv_fund",G$3,$A85))</f>
        <v>3.0213999999999999</v>
      </c>
      <c r="H85" s="13">
        <f>IF($A85="","",[1]!thsiFinD("ths_adjustment_nv_fund",H$3,$A85))</f>
        <v>2.9546999999999999</v>
      </c>
      <c r="I85" s="13">
        <f>IF($A85="","",[1]!thsiFinD("ths_adjustment_nv_fund",I$3,$A85))</f>
        <v>1.8629</v>
      </c>
      <c r="J85" s="13">
        <f>IF($A85="","",[1]!thsiFinD("ths_adjustment_nv_fund",J$3,$A85))</f>
        <v>2.4980000000000002</v>
      </c>
      <c r="K85" s="13">
        <f>IF($A85="","",[1]!thsiFinD("ths_adjustment_nv_fund",K$3,$A85))</f>
        <v>2.4738000000000002</v>
      </c>
      <c r="L85" s="13">
        <f>IF($A85="","",[1]!thsiFinD("ths_adjustment_nv_fund",L$3,$A85))</f>
        <v>1.3764000000000001</v>
      </c>
      <c r="M85" s="13">
        <f>IF($A85="","",[1]!thsiFinD("ths_adjustment_nv_fund",M$3,$A85))</f>
        <v>1.3569</v>
      </c>
      <c r="N85" s="13">
        <f>IF($A85="","",[1]!thsiFinD("ths_adjustment_nv_fund",N$3,$A85))</f>
        <v>1.3411</v>
      </c>
      <c r="O85" s="13">
        <f>IF($A85="","",[1]!thsiFinD("ths_adjustment_nv_fund",O$3,$A85))</f>
        <v>1.3059000000000001</v>
      </c>
      <c r="P85" s="13">
        <f>IF($A85="","",[1]!thsiFinD("ths_adjustment_nv_fund",P$3,$A85))</f>
        <v>2.1972999999999998</v>
      </c>
      <c r="Q85" s="13">
        <f>IF($A85="","",[1]!thsiFinD("ths_adjustment_nv_fund",Q$3,$A85))</f>
        <v>2.5880999999999998</v>
      </c>
      <c r="R85" s="13">
        <f>IF($A85="","",[1]!thsiFinD("ths_adjustment_nv_fund",R$3,$A85))</f>
        <v>2.5297000000000001</v>
      </c>
      <c r="S85" s="13">
        <f>IF($A85="","",[1]!thsiFinD("ths_adjustment_nv_fund",S$3,$A85))</f>
        <v>3.4260000000000002</v>
      </c>
      <c r="T85" s="13">
        <f>IF($A85="","",[1]!thsiFinD("ths_adjustment_nv_fund",T$3,$A85))</f>
        <v>2.3235999999999999</v>
      </c>
      <c r="U85" s="13">
        <f>IF($A85="","",[1]!thsiFinD("ths_adjustment_nv_fund",U$3,$A85))</f>
        <v>2.3100999999999998</v>
      </c>
      <c r="V85" s="13">
        <f>IF($A85="","",[1]!thsiFinD("ths_adjustment_nv_fund",V$3,$A85))</f>
        <v>1.762</v>
      </c>
      <c r="W85" s="13">
        <f>IF($A85="","",[1]!thsiFinD("ths_adjustment_nv_fund",W$3,$A85))</f>
        <v>1.7426999999999999</v>
      </c>
      <c r="X85" s="13">
        <f>IF($A85="","",[1]!thsiFinD("ths_adjustment_nv_fund",X$3,$A85))</f>
        <v>1.8149</v>
      </c>
      <c r="Y85" s="13">
        <f>IF($A85="","",[1]!thsiFinD("ths_adjustment_nv_fund",Y$3,$A85))</f>
        <v>1.9590000000000001</v>
      </c>
      <c r="Z85" s="13">
        <f>IF($A85="","",[1]!thsiFinD("ths_adjustment_nv_fund",Z$3,$A85))</f>
        <v>1.5368083581</v>
      </c>
      <c r="AA85" s="13">
        <f>IF($A85="","",[1]!thsiFinD("ths_adjustment_nv_fund",AA$3,$A85))</f>
        <v>1.2438514758999999</v>
      </c>
      <c r="AB85" s="13">
        <f>IF($A85="","",[1]!thsiFinD("ths_adjustment_nv_fund",AB$3,$A85))</f>
        <v>1.4655</v>
      </c>
      <c r="AC85" s="13">
        <f>IF($A85="","",[1]!thsiFinD("ths_adjustment_nv_fund",AC$3,$A85))</f>
        <v>2.7188342075</v>
      </c>
      <c r="AD85" s="13">
        <f>IF($A85="","",[1]!thsiFinD("ths_adjustment_nv_fund",AD$3,$A85))</f>
        <v>1.5221</v>
      </c>
      <c r="AE85" s="13">
        <f>IF($A85="","",[1]!thsiFinD("ths_adjustment_nv_fund",AE$3,$A85))</f>
        <v>1.6932</v>
      </c>
      <c r="AF85" s="13">
        <f>IF($A85="","",[1]!thsiFinD("ths_adjustment_nv_fund",AF$3,$A85))</f>
        <v>3.6207340034</v>
      </c>
      <c r="AG85" s="13">
        <f>IF($A85="","",[1]!thsiFinD("ths_adjustment_nv_fund",AG$3,$A85))</f>
        <v>1.8044138397</v>
      </c>
      <c r="AH85" s="13">
        <f>IF($A85="","",[1]!thsiFinD("ths_adjustment_nv_fund",AH$3,$A85))</f>
        <v>4.5199006951999996</v>
      </c>
      <c r="AI85" s="13">
        <f>IF($A85="","",[1]!thsiFinD("ths_adjustment_nv_fund",AI$3,$A85))</f>
        <v>4.7701885546999998</v>
      </c>
      <c r="AJ85" s="13">
        <f>IF($A85="","",[1]!thsiFinD("ths_adjustment_nv_fund",AJ$3,$A85))</f>
        <v>2.08911757</v>
      </c>
      <c r="AK85" s="13">
        <f>IF($A85="","",[1]!thsiFinD("ths_adjustment_nv_fund",AK$3,$A85))</f>
        <v>1.8010024299</v>
      </c>
      <c r="AL85" s="13">
        <f>IF($A85="","",[1]!thsiFinD("ths_adjustment_nv_fund",AL$3,$A85))</f>
        <v>1.8489</v>
      </c>
    </row>
    <row r="86" spans="1:38">
      <c r="A86" s="9">
        <v>46315</v>
      </c>
      <c r="B86" s="13">
        <f>IF($A86="","",[1]!thsiFinD("ths_adjustment_nv_fund",B$3,$A86))</f>
        <v>3.0754000000000001</v>
      </c>
      <c r="C86" s="13">
        <f>IF($A86="","",[1]!thsiFinD("ths_adjustment_nv_fund",C$3,$A86))</f>
        <v>1.3228047879</v>
      </c>
      <c r="D86" s="13">
        <f>IF($A86="","",[1]!thsiFinD("ths_adjustment_nv_fund",D$3,$A86))</f>
        <v>3.45</v>
      </c>
      <c r="E86" s="13">
        <f>IF($A86="","",[1]!thsiFinD("ths_adjustment_nv_fund",E$3,$A86))</f>
        <v>1.7401</v>
      </c>
      <c r="F86" s="13">
        <f>IF($A86="","",[1]!thsiFinD("ths_adjustment_nv_fund",F$3,$A86))</f>
        <v>1.6889000000000001</v>
      </c>
      <c r="G86" s="13">
        <f>IF($A86="","",[1]!thsiFinD("ths_adjustment_nv_fund",G$3,$A86))</f>
        <v>3.0470999999999999</v>
      </c>
      <c r="H86" s="13">
        <f>IF($A86="","",[1]!thsiFinD("ths_adjustment_nv_fund",H$3,$A86))</f>
        <v>2.9798</v>
      </c>
      <c r="I86" s="13">
        <f>IF($A86="","",[1]!thsiFinD("ths_adjustment_nv_fund",I$3,$A86))</f>
        <v>1.8491</v>
      </c>
      <c r="J86" s="13">
        <f>IF($A86="","",[1]!thsiFinD("ths_adjustment_nv_fund",J$3,$A86))</f>
        <v>2.4506999999999999</v>
      </c>
      <c r="K86" s="13">
        <f>IF($A86="","",[1]!thsiFinD("ths_adjustment_nv_fund",K$3,$A86))</f>
        <v>2.4268999999999998</v>
      </c>
      <c r="L86" s="13">
        <f>IF($A86="","",[1]!thsiFinD("ths_adjustment_nv_fund",L$3,$A86))</f>
        <v>1.3906000000000001</v>
      </c>
      <c r="M86" s="13">
        <f>IF($A86="","",[1]!thsiFinD("ths_adjustment_nv_fund",M$3,$A86))</f>
        <v>1.3709</v>
      </c>
      <c r="N86" s="13">
        <f>IF($A86="","",[1]!thsiFinD("ths_adjustment_nv_fund",N$3,$A86))</f>
        <v>1.3480000000000001</v>
      </c>
      <c r="O86" s="13">
        <f>IF($A86="","",[1]!thsiFinD("ths_adjustment_nv_fund",O$3,$A86))</f>
        <v>1.3125</v>
      </c>
      <c r="P86" s="13">
        <f>IF($A86="","",[1]!thsiFinD("ths_adjustment_nv_fund",P$3,$A86))</f>
        <v>2.1936</v>
      </c>
      <c r="Q86" s="13">
        <f>IF($A86="","",[1]!thsiFinD("ths_adjustment_nv_fund",Q$3,$A86))</f>
        <v>2.5975999999999999</v>
      </c>
      <c r="R86" s="13">
        <f>IF($A86="","",[1]!thsiFinD("ths_adjustment_nv_fund",R$3,$A86))</f>
        <v>2.5390000000000001</v>
      </c>
      <c r="S86" s="13">
        <f>IF($A86="","",[1]!thsiFinD("ths_adjustment_nv_fund",S$3,$A86))</f>
        <v>3.411</v>
      </c>
      <c r="T86" s="13">
        <f>IF($A86="","",[1]!thsiFinD("ths_adjustment_nv_fund",T$3,$A86))</f>
        <v>2.3062999999999998</v>
      </c>
      <c r="U86" s="13">
        <f>IF($A86="","",[1]!thsiFinD("ths_adjustment_nv_fund",U$3,$A86))</f>
        <v>2.2928999999999999</v>
      </c>
      <c r="V86" s="13">
        <f>IF($A86="","",[1]!thsiFinD("ths_adjustment_nv_fund",V$3,$A86))</f>
        <v>1.7876000000000001</v>
      </c>
      <c r="W86" s="13">
        <f>IF($A86="","",[1]!thsiFinD("ths_adjustment_nv_fund",W$3,$A86))</f>
        <v>1.7681</v>
      </c>
      <c r="X86" s="13">
        <f>IF($A86="","",[1]!thsiFinD("ths_adjustment_nv_fund",X$3,$A86))</f>
        <v>1.8169</v>
      </c>
      <c r="Y86" s="13">
        <f>IF($A86="","",[1]!thsiFinD("ths_adjustment_nv_fund",Y$3,$A86))</f>
        <v>1.9359999999999999</v>
      </c>
      <c r="Z86" s="13">
        <f>IF($A86="","",[1]!thsiFinD("ths_adjustment_nv_fund",Z$3,$A86))</f>
        <v>1.5394521399000001</v>
      </c>
      <c r="AA86" s="13">
        <f>IF($A86="","",[1]!thsiFinD("ths_adjustment_nv_fund",AA$3,$A86))</f>
        <v>1.2452723439</v>
      </c>
      <c r="AB86" s="13">
        <f>IF($A86="","",[1]!thsiFinD("ths_adjustment_nv_fund",AB$3,$A86))</f>
        <v>1.4701</v>
      </c>
      <c r="AC86" s="13">
        <f>IF($A86="","",[1]!thsiFinD("ths_adjustment_nv_fund",AC$3,$A86))</f>
        <v>2.7374679622000002</v>
      </c>
      <c r="AD86" s="13">
        <f>IF($A86="","",[1]!thsiFinD("ths_adjustment_nv_fund",AD$3,$A86))</f>
        <v>1.5429999999999999</v>
      </c>
      <c r="AE86" s="13">
        <f>IF($A86="","",[1]!thsiFinD("ths_adjustment_nv_fund",AE$3,$A86))</f>
        <v>1.7175</v>
      </c>
      <c r="AF86" s="13">
        <f>IF($A86="","",[1]!thsiFinD("ths_adjustment_nv_fund",AF$3,$A86))</f>
        <v>3.5927386374000001</v>
      </c>
      <c r="AG86" s="13">
        <f>IF($A86="","",[1]!thsiFinD("ths_adjustment_nv_fund",AG$3,$A86))</f>
        <v>1.7925181434999999</v>
      </c>
      <c r="AH86" s="13">
        <f>IF($A86="","",[1]!thsiFinD("ths_adjustment_nv_fund",AH$3,$A86))</f>
        <v>4.5347658703000002</v>
      </c>
      <c r="AI86" s="13">
        <f>IF($A86="","",[1]!thsiFinD("ths_adjustment_nv_fund",AI$3,$A86))</f>
        <v>4.7491194859999997</v>
      </c>
      <c r="AJ86" s="13">
        <f>IF($A86="","",[1]!thsiFinD("ths_adjustment_nv_fund",AJ$3,$A86))</f>
        <v>2.0686882214</v>
      </c>
      <c r="AK86" s="13">
        <f>IF($A86="","",[1]!thsiFinD("ths_adjustment_nv_fund",AK$3,$A86))</f>
        <v>1.7849675616</v>
      </c>
      <c r="AL86" s="13">
        <f>IF($A86="","",[1]!thsiFinD("ths_adjustment_nv_fund",AL$3,$A86))</f>
        <v>1.8271999999999999</v>
      </c>
    </row>
    <row r="87" spans="1:38">
      <c r="A87" s="9">
        <v>46316</v>
      </c>
      <c r="B87" s="13">
        <f>IF($A87="","",[1]!thsiFinD("ths_adjustment_nv_fund",B$3,$A87))</f>
        <v>3.0672000000000001</v>
      </c>
      <c r="C87" s="13">
        <f>IF($A87="","",[1]!thsiFinD("ths_adjustment_nv_fund",C$3,$A87))</f>
        <v>1.3228487976000001</v>
      </c>
      <c r="D87" s="13">
        <f>IF($A87="","",[1]!thsiFinD("ths_adjustment_nv_fund",D$3,$A87))</f>
        <v>3.492</v>
      </c>
      <c r="E87" s="13">
        <f>IF($A87="","",[1]!thsiFinD("ths_adjustment_nv_fund",E$3,$A87))</f>
        <v>1.7270000000000001</v>
      </c>
      <c r="F87" s="13">
        <f>IF($A87="","",[1]!thsiFinD("ths_adjustment_nv_fund",F$3,$A87))</f>
        <v>1.6761999999999999</v>
      </c>
      <c r="G87" s="13">
        <f>IF($A87="","",[1]!thsiFinD("ths_adjustment_nv_fund",G$3,$A87))</f>
        <v>3.0859000000000001</v>
      </c>
      <c r="H87" s="13">
        <f>IF($A87="","",[1]!thsiFinD("ths_adjustment_nv_fund",H$3,$A87))</f>
        <v>3.0177</v>
      </c>
      <c r="I87" s="13">
        <f>IF($A87="","",[1]!thsiFinD("ths_adjustment_nv_fund",I$3,$A87))</f>
        <v>1.8478000000000001</v>
      </c>
      <c r="J87" s="13">
        <f>IF($A87="","",[1]!thsiFinD("ths_adjustment_nv_fund",J$3,$A87))</f>
        <v>2.4281999999999999</v>
      </c>
      <c r="K87" s="13">
        <f>IF($A87="","",[1]!thsiFinD("ths_adjustment_nv_fund",K$3,$A87))</f>
        <v>2.4045000000000001</v>
      </c>
      <c r="L87" s="13">
        <f>IF($A87="","",[1]!thsiFinD("ths_adjustment_nv_fund",L$3,$A87))</f>
        <v>1.3917999999999999</v>
      </c>
      <c r="M87" s="13">
        <f>IF($A87="","",[1]!thsiFinD("ths_adjustment_nv_fund",M$3,$A87))</f>
        <v>1.3720000000000001</v>
      </c>
      <c r="N87" s="13">
        <f>IF($A87="","",[1]!thsiFinD("ths_adjustment_nv_fund",N$3,$A87))</f>
        <v>1.3491</v>
      </c>
      <c r="O87" s="13">
        <f>IF($A87="","",[1]!thsiFinD("ths_adjustment_nv_fund",O$3,$A87))</f>
        <v>1.3136000000000001</v>
      </c>
      <c r="P87" s="13">
        <f>IF($A87="","",[1]!thsiFinD("ths_adjustment_nv_fund",P$3,$A87))</f>
        <v>2.2475000000000001</v>
      </c>
      <c r="Q87" s="13">
        <f>IF($A87="","",[1]!thsiFinD("ths_adjustment_nv_fund",Q$3,$A87))</f>
        <v>2.6406999999999998</v>
      </c>
      <c r="R87" s="13">
        <f>IF($A87="","",[1]!thsiFinD("ths_adjustment_nv_fund",R$3,$A87))</f>
        <v>2.5811000000000002</v>
      </c>
      <c r="S87" s="13">
        <f>IF($A87="","",[1]!thsiFinD("ths_adjustment_nv_fund",S$3,$A87))</f>
        <v>3.4529999999999998</v>
      </c>
      <c r="T87" s="13">
        <f>IF($A87="","",[1]!thsiFinD("ths_adjustment_nv_fund",T$3,$A87))</f>
        <v>2.2829000000000002</v>
      </c>
      <c r="U87" s="13">
        <f>IF($A87="","",[1]!thsiFinD("ths_adjustment_nv_fund",U$3,$A87))</f>
        <v>2.2696000000000001</v>
      </c>
      <c r="V87" s="13">
        <f>IF($A87="","",[1]!thsiFinD("ths_adjustment_nv_fund",V$3,$A87))</f>
        <v>1.7869999999999999</v>
      </c>
      <c r="W87" s="13">
        <f>IF($A87="","",[1]!thsiFinD("ths_adjustment_nv_fund",W$3,$A87))</f>
        <v>1.7674000000000001</v>
      </c>
      <c r="X87" s="13">
        <f>IF($A87="","",[1]!thsiFinD("ths_adjustment_nv_fund",X$3,$A87))</f>
        <v>1.8161</v>
      </c>
      <c r="Y87" s="13">
        <f>IF($A87="","",[1]!thsiFinD("ths_adjustment_nv_fund",Y$3,$A87))</f>
        <v>1.925</v>
      </c>
      <c r="Z87" s="13">
        <f>IF($A87="","",[1]!thsiFinD("ths_adjustment_nv_fund",Z$3,$A87))</f>
        <v>1.5383505641999999</v>
      </c>
      <c r="AA87" s="13">
        <f>IF($A87="","",[1]!thsiFinD("ths_adjustment_nv_fund",AA$3,$A87))</f>
        <v>1.2449171268999999</v>
      </c>
      <c r="AB87" s="13">
        <f>IF($A87="","",[1]!thsiFinD("ths_adjustment_nv_fund",AB$3,$A87))</f>
        <v>1.4672000000000001</v>
      </c>
      <c r="AC87" s="13">
        <f>IF($A87="","",[1]!thsiFinD("ths_adjustment_nv_fund",AC$3,$A87))</f>
        <v>2.7323860291000002</v>
      </c>
      <c r="AD87" s="13">
        <f>IF($A87="","",[1]!thsiFinD("ths_adjustment_nv_fund",AD$3,$A87))</f>
        <v>1.5431999999999999</v>
      </c>
      <c r="AE87" s="13">
        <f>IF($A87="","",[1]!thsiFinD("ths_adjustment_nv_fund",AE$3,$A87))</f>
        <v>1.7117</v>
      </c>
      <c r="AF87" s="13">
        <f>IF($A87="","",[1]!thsiFinD("ths_adjustment_nv_fund",AF$3,$A87))</f>
        <v>3.5662985694999998</v>
      </c>
      <c r="AG87" s="13">
        <f>IF($A87="","",[1]!thsiFinD("ths_adjustment_nv_fund",AG$3,$A87))</f>
        <v>1.7714091139000001</v>
      </c>
      <c r="AH87" s="13">
        <f>IF($A87="","",[1]!thsiFinD("ths_adjustment_nv_fund",AH$3,$A87))</f>
        <v>4.4892828720000004</v>
      </c>
      <c r="AI87" s="13">
        <f>IF($A87="","",[1]!thsiFinD("ths_adjustment_nv_fund",AI$3,$A87))</f>
        <v>4.7377648981</v>
      </c>
      <c r="AJ87" s="13">
        <f>IF($A87="","",[1]!thsiFinD("ths_adjustment_nv_fund",AJ$3,$A87))</f>
        <v>2.0485065012999999</v>
      </c>
      <c r="AK87" s="13">
        <f>IF($A87="","",[1]!thsiFinD("ths_adjustment_nv_fund",AK$3,$A87))</f>
        <v>1.7660655314</v>
      </c>
      <c r="AL87" s="13">
        <f>IF($A87="","",[1]!thsiFinD("ths_adjustment_nv_fund",AL$3,$A87))</f>
        <v>1.8169</v>
      </c>
    </row>
    <row r="88" spans="1:38">
      <c r="A88" s="9">
        <v>46317</v>
      </c>
      <c r="B88" s="13">
        <f>IF($A88="","",[1]!thsiFinD("ths_adjustment_nv_fund",B$3,$A88))</f>
        <v>3.0428999999999999</v>
      </c>
      <c r="C88" s="13">
        <f>IF($A88="","",[1]!thsiFinD("ths_adjustment_nv_fund",C$3,$A88))</f>
        <v>1.322892822</v>
      </c>
      <c r="D88" s="13">
        <f>IF($A88="","",[1]!thsiFinD("ths_adjustment_nv_fund",D$3,$A88))</f>
        <v>3.2890000000000001</v>
      </c>
      <c r="E88" s="13">
        <f>IF($A88="","",[1]!thsiFinD("ths_adjustment_nv_fund",E$3,$A88))</f>
        <v>1.6952</v>
      </c>
      <c r="F88" s="13">
        <f>IF($A88="","",[1]!thsiFinD("ths_adjustment_nv_fund",F$3,$A88))</f>
        <v>1.6452</v>
      </c>
      <c r="G88" s="13">
        <f>IF($A88="","",[1]!thsiFinD("ths_adjustment_nv_fund",G$3,$A88))</f>
        <v>2.9184000000000001</v>
      </c>
      <c r="H88" s="13">
        <f>IF($A88="","",[1]!thsiFinD("ths_adjustment_nv_fund",H$3,$A88))</f>
        <v>2.8538999999999999</v>
      </c>
      <c r="I88" s="13">
        <f>IF($A88="","",[1]!thsiFinD("ths_adjustment_nv_fund",I$3,$A88))</f>
        <v>1.7521</v>
      </c>
      <c r="J88" s="13">
        <f>IF($A88="","",[1]!thsiFinD("ths_adjustment_nv_fund",J$3,$A88))</f>
        <v>2.3148</v>
      </c>
      <c r="K88" s="13">
        <f>IF($A88="","",[1]!thsiFinD("ths_adjustment_nv_fund",K$3,$A88))</f>
        <v>2.2923</v>
      </c>
      <c r="L88" s="13">
        <f>IF($A88="","",[1]!thsiFinD("ths_adjustment_nv_fund",L$3,$A88))</f>
        <v>1.3471</v>
      </c>
      <c r="M88" s="13">
        <f>IF($A88="","",[1]!thsiFinD("ths_adjustment_nv_fund",M$3,$A88))</f>
        <v>1.3280000000000001</v>
      </c>
      <c r="N88" s="13">
        <f>IF($A88="","",[1]!thsiFinD("ths_adjustment_nv_fund",N$3,$A88))</f>
        <v>1.3108</v>
      </c>
      <c r="O88" s="13">
        <f>IF($A88="","",[1]!thsiFinD("ths_adjustment_nv_fund",O$3,$A88))</f>
        <v>1.2763</v>
      </c>
      <c r="P88" s="13">
        <f>IF($A88="","",[1]!thsiFinD("ths_adjustment_nv_fund",P$3,$A88))</f>
        <v>2.0775999999999999</v>
      </c>
      <c r="Q88" s="13">
        <f>IF($A88="","",[1]!thsiFinD("ths_adjustment_nv_fund",Q$3,$A88))</f>
        <v>2.4445000000000001</v>
      </c>
      <c r="R88" s="13">
        <f>IF($A88="","",[1]!thsiFinD("ths_adjustment_nv_fund",R$3,$A88))</f>
        <v>2.3893</v>
      </c>
      <c r="S88" s="13">
        <f>IF($A88="","",[1]!thsiFinD("ths_adjustment_nv_fund",S$3,$A88))</f>
        <v>3.2530000000000001</v>
      </c>
      <c r="T88" s="13">
        <f>IF($A88="","",[1]!thsiFinD("ths_adjustment_nv_fund",T$3,$A88))</f>
        <v>2.1970000000000001</v>
      </c>
      <c r="U88" s="13">
        <f>IF($A88="","",[1]!thsiFinD("ths_adjustment_nv_fund",U$3,$A88))</f>
        <v>2.1842000000000001</v>
      </c>
      <c r="V88" s="13">
        <f>IF($A88="","",[1]!thsiFinD("ths_adjustment_nv_fund",V$3,$A88))</f>
        <v>1.73</v>
      </c>
      <c r="W88" s="13">
        <f>IF($A88="","",[1]!thsiFinD("ths_adjustment_nv_fund",W$3,$A88))</f>
        <v>1.7110000000000001</v>
      </c>
      <c r="X88" s="13">
        <f>IF($A88="","",[1]!thsiFinD("ths_adjustment_nv_fund",X$3,$A88))</f>
        <v>1.8159000000000001</v>
      </c>
      <c r="Y88" s="13">
        <f>IF($A88="","",[1]!thsiFinD("ths_adjustment_nv_fund",Y$3,$A88))</f>
        <v>1.8420000000000001</v>
      </c>
      <c r="Z88" s="13">
        <f>IF($A88="","",[1]!thsiFinD("ths_adjustment_nv_fund",Z$3,$A88))</f>
        <v>1.5383505641999999</v>
      </c>
      <c r="AA88" s="13">
        <f>IF($A88="","",[1]!thsiFinD("ths_adjustment_nv_fund",AA$3,$A88))</f>
        <v>1.2451539382000001</v>
      </c>
      <c r="AB88" s="13">
        <f>IF($A88="","",[1]!thsiFinD("ths_adjustment_nv_fund",AB$3,$A88))</f>
        <v>1.4313</v>
      </c>
      <c r="AC88" s="13">
        <f>IF($A88="","",[1]!thsiFinD("ths_adjustment_nv_fund",AC$3,$A88))</f>
        <v>2.658335004</v>
      </c>
      <c r="AD88" s="13">
        <f>IF($A88="","",[1]!thsiFinD("ths_adjustment_nv_fund",AD$3,$A88))</f>
        <v>1.4988999999999999</v>
      </c>
      <c r="AE88" s="13">
        <f>IF($A88="","",[1]!thsiFinD("ths_adjustment_nv_fund",AE$3,$A88))</f>
        <v>1.6620999999999999</v>
      </c>
      <c r="AF88" s="13">
        <f>IF($A88="","",[1]!thsiFinD("ths_adjustment_nv_fund",AF$3,$A88))</f>
        <v>3.4931995583000002</v>
      </c>
      <c r="AG88" s="13">
        <f>IF($A88="","",[1]!thsiFinD("ths_adjustment_nv_fund",AG$3,$A88))</f>
        <v>1.7516995781</v>
      </c>
      <c r="AH88" s="13">
        <f>IF($A88="","",[1]!thsiFinD("ths_adjustment_nv_fund",AH$3,$A88))</f>
        <v>4.4493465807000003</v>
      </c>
      <c r="AI88" s="13">
        <f>IF($A88="","",[1]!thsiFinD("ths_adjustment_nv_fund",AI$3,$A88))</f>
        <v>4.6875523870000002</v>
      </c>
      <c r="AJ88" s="13">
        <f>IF($A88="","",[1]!thsiFinD("ths_adjustment_nv_fund",AJ$3,$A88))</f>
        <v>2.0334011646999999</v>
      </c>
      <c r="AK88" s="13">
        <f>IF($A88="","",[1]!thsiFinD("ths_adjustment_nv_fund",AK$3,$A88))</f>
        <v>1.7521544867000001</v>
      </c>
      <c r="AL88" s="13">
        <f>IF($A88="","",[1]!thsiFinD("ths_adjustment_nv_fund",AL$3,$A88))</f>
        <v>1.8069</v>
      </c>
    </row>
    <row r="89" spans="1:38">
      <c r="A89" s="9">
        <v>46318</v>
      </c>
      <c r="B89" s="13">
        <f>IF($A89="","",[1]!thsiFinD("ths_adjustment_nv_fund",B$3,$A89))</f>
        <v>2.9864000000000002</v>
      </c>
      <c r="C89" s="13">
        <f>IF($A89="","",[1]!thsiFinD("ths_adjustment_nv_fund",C$3,$A89))</f>
        <v>1.3229368213999999</v>
      </c>
      <c r="D89" s="13">
        <f>IF($A89="","",[1]!thsiFinD("ths_adjustment_nv_fund",D$3,$A89))</f>
        <v>3.3239999999999998</v>
      </c>
      <c r="E89" s="13">
        <f>IF($A89="","",[1]!thsiFinD("ths_adjustment_nv_fund",E$3,$A89))</f>
        <v>1.7196</v>
      </c>
      <c r="F89" s="13">
        <f>IF($A89="","",[1]!thsiFinD("ths_adjustment_nv_fund",F$3,$A89))</f>
        <v>1.6689000000000001</v>
      </c>
      <c r="G89" s="13">
        <f>IF($A89="","",[1]!thsiFinD("ths_adjustment_nv_fund",G$3,$A89))</f>
        <v>2.9723000000000002</v>
      </c>
      <c r="H89" s="13">
        <f>IF($A89="","",[1]!thsiFinD("ths_adjustment_nv_fund",H$3,$A89))</f>
        <v>2.9066000000000001</v>
      </c>
      <c r="I89" s="13">
        <f>IF($A89="","",[1]!thsiFinD("ths_adjustment_nv_fund",I$3,$A89))</f>
        <v>1.7994000000000001</v>
      </c>
      <c r="J89" s="13">
        <f>IF($A89="","",[1]!thsiFinD("ths_adjustment_nv_fund",J$3,$A89))</f>
        <v>2.3260000000000001</v>
      </c>
      <c r="K89" s="13">
        <f>IF($A89="","",[1]!thsiFinD("ths_adjustment_nv_fund",K$3,$A89))</f>
        <v>2.3033999999999999</v>
      </c>
      <c r="L89" s="13">
        <f>IF($A89="","",[1]!thsiFinD("ths_adjustment_nv_fund",L$3,$A89))</f>
        <v>1.3755999999999999</v>
      </c>
      <c r="M89" s="13">
        <f>IF($A89="","",[1]!thsiFinD("ths_adjustment_nv_fund",M$3,$A89))</f>
        <v>1.3560000000000001</v>
      </c>
      <c r="N89" s="13">
        <f>IF($A89="","",[1]!thsiFinD("ths_adjustment_nv_fund",N$3,$A89))</f>
        <v>1.3357000000000001</v>
      </c>
      <c r="O89" s="13">
        <f>IF($A89="","",[1]!thsiFinD("ths_adjustment_nv_fund",O$3,$A89))</f>
        <v>1.3005</v>
      </c>
      <c r="P89" s="13">
        <f>IF($A89="","",[1]!thsiFinD("ths_adjustment_nv_fund",P$3,$A89))</f>
        <v>2.1017999999999999</v>
      </c>
      <c r="Q89" s="13">
        <f>IF($A89="","",[1]!thsiFinD("ths_adjustment_nv_fund",Q$3,$A89))</f>
        <v>2.4792000000000001</v>
      </c>
      <c r="R89" s="13">
        <f>IF($A89="","",[1]!thsiFinD("ths_adjustment_nv_fund",R$3,$A89))</f>
        <v>2.4232</v>
      </c>
      <c r="S89" s="13">
        <f>IF($A89="","",[1]!thsiFinD("ths_adjustment_nv_fund",S$3,$A89))</f>
        <v>3.2869999999999999</v>
      </c>
      <c r="T89" s="13">
        <f>IF($A89="","",[1]!thsiFinD("ths_adjustment_nv_fund",T$3,$A89))</f>
        <v>2.2134999999999998</v>
      </c>
      <c r="U89" s="13">
        <f>IF($A89="","",[1]!thsiFinD("ths_adjustment_nv_fund",U$3,$A89))</f>
        <v>2.2006000000000001</v>
      </c>
      <c r="V89" s="13">
        <f>IF($A89="","",[1]!thsiFinD("ths_adjustment_nv_fund",V$3,$A89))</f>
        <v>1.7589999999999999</v>
      </c>
      <c r="W89" s="13">
        <f>IF($A89="","",[1]!thsiFinD("ths_adjustment_nv_fund",W$3,$A89))</f>
        <v>1.7397</v>
      </c>
      <c r="X89" s="13">
        <f>IF($A89="","",[1]!thsiFinD("ths_adjustment_nv_fund",X$3,$A89))</f>
        <v>1.8159000000000001</v>
      </c>
      <c r="Y89" s="13">
        <f>IF($A89="","",[1]!thsiFinD("ths_adjustment_nv_fund",Y$3,$A89))</f>
        <v>1.859</v>
      </c>
      <c r="Z89" s="13">
        <f>IF($A89="","",[1]!thsiFinD("ths_adjustment_nv_fund",Z$3,$A89))</f>
        <v>1.5383505641999999</v>
      </c>
      <c r="AA89" s="13">
        <f>IF($A89="","",[1]!thsiFinD("ths_adjustment_nv_fund",AA$3,$A89))</f>
        <v>1.2451539382000001</v>
      </c>
      <c r="AB89" s="13">
        <f>IF($A89="","",[1]!thsiFinD("ths_adjustment_nv_fund",AB$3,$A89))</f>
        <v>1.4602999999999999</v>
      </c>
      <c r="AC89" s="13">
        <f>IF($A89="","",[1]!thsiFinD("ths_adjustment_nv_fund",AC$3,$A89))</f>
        <v>2.7130262840000001</v>
      </c>
      <c r="AD89" s="13">
        <f>IF($A89="","",[1]!thsiFinD("ths_adjustment_nv_fund",AD$3,$A89))</f>
        <v>1.5288999999999999</v>
      </c>
      <c r="AE89" s="13">
        <f>IF($A89="","",[1]!thsiFinD("ths_adjustment_nv_fund",AE$3,$A89))</f>
        <v>1.7018</v>
      </c>
      <c r="AF89" s="13">
        <f>IF($A89="","",[1]!thsiFinD("ths_adjustment_nv_fund",AF$3,$A89))</f>
        <v>3.5320820111</v>
      </c>
      <c r="AG89" s="13">
        <f>IF($A89="","",[1]!thsiFinD("ths_adjustment_nv_fund",AG$3,$A89))</f>
        <v>1.7595134177</v>
      </c>
      <c r="AH89" s="13">
        <f>IF($A89="","",[1]!thsiFinD("ths_adjustment_nv_fund",AH$3,$A89))</f>
        <v>4.4675397801000001</v>
      </c>
      <c r="AI89" s="13">
        <f>IF($A89="","",[1]!thsiFinD("ths_adjustment_nv_fund",AI$3,$A89))</f>
        <v>4.752021214</v>
      </c>
      <c r="AJ89" s="13">
        <f>IF($A89="","",[1]!thsiFinD("ths_adjustment_nv_fund",AJ$3,$A89))</f>
        <v>2.0264675676000001</v>
      </c>
      <c r="AK89" s="13">
        <f>IF($A89="","",[1]!thsiFinD("ths_adjustment_nv_fund",AK$3,$A89))</f>
        <v>1.7526854426</v>
      </c>
      <c r="AL89" s="13">
        <f>IF($A89="","",[1]!thsiFinD("ths_adjustment_nv_fund",AL$3,$A89))</f>
        <v>1.7719</v>
      </c>
    </row>
    <row r="90" spans="1:38">
      <c r="A90" s="9">
        <v>46321</v>
      </c>
      <c r="B90" s="13">
        <f>IF($A90="","",[1]!thsiFinD("ths_adjustment_nv_fund",B$3,$A90))</f>
        <v>2.9864000000000002</v>
      </c>
      <c r="C90" s="13">
        <f>IF($A90="","",[1]!thsiFinD("ths_adjustment_nv_fund",C$3,$A90))</f>
        <v>1.3230246130000001</v>
      </c>
      <c r="D90" s="13">
        <f>IF($A90="","",[1]!thsiFinD("ths_adjustment_nv_fund",D$3,$A90))</f>
        <v>3.3239999999999998</v>
      </c>
      <c r="E90" s="13">
        <f>IF($A90="","",[1]!thsiFinD("ths_adjustment_nv_fund",E$3,$A90))</f>
        <v>1.7196</v>
      </c>
      <c r="F90" s="13">
        <f>IF($A90="","",[1]!thsiFinD("ths_adjustment_nv_fund",F$3,$A90))</f>
        <v>1.6689000000000001</v>
      </c>
      <c r="G90" s="13">
        <f>IF($A90="","",[1]!thsiFinD("ths_adjustment_nv_fund",G$3,$A90))</f>
        <v>2.9723000000000002</v>
      </c>
      <c r="H90" s="13">
        <f>IF($A90="","",[1]!thsiFinD("ths_adjustment_nv_fund",H$3,$A90))</f>
        <v>2.9066000000000001</v>
      </c>
      <c r="I90" s="13">
        <f>IF($A90="","",[1]!thsiFinD("ths_adjustment_nv_fund",I$3,$A90))</f>
        <v>1.7994000000000001</v>
      </c>
      <c r="J90" s="13">
        <f>IF($A90="","",[1]!thsiFinD("ths_adjustment_nv_fund",J$3,$A90))</f>
        <v>2.3260000000000001</v>
      </c>
      <c r="K90" s="13">
        <f>IF($A90="","",[1]!thsiFinD("ths_adjustment_nv_fund",K$3,$A90))</f>
        <v>2.3033999999999999</v>
      </c>
      <c r="L90" s="13">
        <f>IF($A90="","",[1]!thsiFinD("ths_adjustment_nv_fund",L$3,$A90))</f>
        <v>1.3755999999999999</v>
      </c>
      <c r="M90" s="13">
        <f>IF($A90="","",[1]!thsiFinD("ths_adjustment_nv_fund",M$3,$A90))</f>
        <v>1.3560000000000001</v>
      </c>
      <c r="N90" s="13">
        <f>IF($A90="","",[1]!thsiFinD("ths_adjustment_nv_fund",N$3,$A90))</f>
        <v>1.3357000000000001</v>
      </c>
      <c r="O90" s="13">
        <f>IF($A90="","",[1]!thsiFinD("ths_adjustment_nv_fund",O$3,$A90))</f>
        <v>1.3005</v>
      </c>
      <c r="P90" s="13">
        <f>IF($A90="","",[1]!thsiFinD("ths_adjustment_nv_fund",P$3,$A90))</f>
        <v>2.1017999999999999</v>
      </c>
      <c r="Q90" s="13">
        <f>IF($A90="","",[1]!thsiFinD("ths_adjustment_nv_fund",Q$3,$A90))</f>
        <v>2.4792000000000001</v>
      </c>
      <c r="R90" s="13">
        <f>IF($A90="","",[1]!thsiFinD("ths_adjustment_nv_fund",R$3,$A90))</f>
        <v>2.4232</v>
      </c>
      <c r="S90" s="13">
        <f>IF($A90="","",[1]!thsiFinD("ths_adjustment_nv_fund",S$3,$A90))</f>
        <v>3.2869999999999999</v>
      </c>
      <c r="T90" s="13">
        <f>IF($A90="","",[1]!thsiFinD("ths_adjustment_nv_fund",T$3,$A90))</f>
        <v>2.2134999999999998</v>
      </c>
      <c r="U90" s="13">
        <f>IF($A90="","",[1]!thsiFinD("ths_adjustment_nv_fund",U$3,$A90))</f>
        <v>2.2006000000000001</v>
      </c>
      <c r="V90" s="13">
        <f>IF($A90="","",[1]!thsiFinD("ths_adjustment_nv_fund",V$3,$A90))</f>
        <v>1.7589999999999999</v>
      </c>
      <c r="W90" s="13">
        <f>IF($A90="","",[1]!thsiFinD("ths_adjustment_nv_fund",W$3,$A90))</f>
        <v>1.7397</v>
      </c>
      <c r="X90" s="13">
        <f>IF($A90="","",[1]!thsiFinD("ths_adjustment_nv_fund",X$3,$A90))</f>
        <v>1.8159000000000001</v>
      </c>
      <c r="Y90" s="13">
        <f>IF($A90="","",[1]!thsiFinD("ths_adjustment_nv_fund",Y$3,$A90))</f>
        <v>1.859</v>
      </c>
      <c r="Z90" s="13">
        <f>IF($A90="","",[1]!thsiFinD("ths_adjustment_nv_fund",Z$3,$A90))</f>
        <v>1.5383505641999999</v>
      </c>
      <c r="AA90" s="13">
        <f>IF($A90="","",[1]!thsiFinD("ths_adjustment_nv_fund",AA$3,$A90))</f>
        <v>1.2451539382000001</v>
      </c>
      <c r="AB90" s="13">
        <f>IF($A90="","",[1]!thsiFinD("ths_adjustment_nv_fund",AB$3,$A90))</f>
        <v>1.4602999999999999</v>
      </c>
      <c r="AC90" s="13">
        <f>IF($A90="","",[1]!thsiFinD("ths_adjustment_nv_fund",AC$3,$A90))</f>
        <v>2.7130262840000001</v>
      </c>
      <c r="AD90" s="13">
        <f>IF($A90="","",[1]!thsiFinD("ths_adjustment_nv_fund",AD$3,$A90))</f>
        <v>1.5288999999999999</v>
      </c>
      <c r="AE90" s="13">
        <f>IF($A90="","",[1]!thsiFinD("ths_adjustment_nv_fund",AE$3,$A90))</f>
        <v>1.7018</v>
      </c>
      <c r="AF90" s="13">
        <f>IF($A90="","",[1]!thsiFinD("ths_adjustment_nv_fund",AF$3,$A90))</f>
        <v>3.5320820111</v>
      </c>
      <c r="AG90" s="13">
        <f>IF($A90="","",[1]!thsiFinD("ths_adjustment_nv_fund",AG$3,$A90))</f>
        <v>1.7595134177</v>
      </c>
      <c r="AH90" s="13">
        <f>IF($A90="","",[1]!thsiFinD("ths_adjustment_nv_fund",AH$3,$A90))</f>
        <v>4.4675397801000001</v>
      </c>
      <c r="AI90" s="13">
        <f>IF($A90="","",[1]!thsiFinD("ths_adjustment_nv_fund",AI$3,$A90))</f>
        <v>4.752021214</v>
      </c>
      <c r="AJ90" s="13">
        <f>IF($A90="","",[1]!thsiFinD("ths_adjustment_nv_fund",AJ$3,$A90))</f>
        <v>2.0264675676000001</v>
      </c>
      <c r="AK90" s="13">
        <f>IF($A90="","",[1]!thsiFinD("ths_adjustment_nv_fund",AK$3,$A90))</f>
        <v>1.7526854426</v>
      </c>
      <c r="AL90" s="13">
        <f>IF($A90="","",[1]!thsiFinD("ths_adjustment_nv_fund",AL$3,$A90))</f>
        <v>1.7719</v>
      </c>
    </row>
    <row r="91" spans="1:38">
      <c r="A91" s="9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 t="str">
        <f>IF($A91="","",[1]!thsiFinD("ths_adjustment_nv_fund",Z$3,$A91))</f>
        <v/>
      </c>
      <c r="AA91" s="13" t="str">
        <f>IF($A91="","",[1]!thsiFinD("ths_adjustment_nv_fund",AA$3,$A91))</f>
        <v/>
      </c>
      <c r="AB91" s="13" t="str">
        <f>IF($A91="","",[1]!thsiFinD("ths_adjustment_nv_fund",AB$3,$A91))</f>
        <v/>
      </c>
      <c r="AC91" s="13" t="str">
        <f>IF($A91="","",[1]!thsiFinD("ths_adjustment_nv_fund",AC$3,$A91))</f>
        <v/>
      </c>
      <c r="AD91" s="13" t="str">
        <f>IF($A91="","",[1]!thsiFinD("ths_adjustment_nv_fund",AD$3,$A91))</f>
        <v/>
      </c>
      <c r="AE91" s="13" t="str">
        <f>IF($A91="","",[1]!thsiFinD("ths_adjustment_nv_fund",AE$3,$A91))</f>
        <v/>
      </c>
      <c r="AF91" s="13" t="str">
        <f>IF($A91="","",[1]!thsiFinD("ths_adjustment_nv_fund",AF$3,$A91))</f>
        <v/>
      </c>
      <c r="AG91" s="13" t="str">
        <f>IF($A91="","",[1]!thsiFinD("ths_adjustment_nv_fund",AG$3,$A91))</f>
        <v/>
      </c>
      <c r="AH91" s="13" t="str">
        <f>IF($A91="","",[1]!thsiFinD("ths_adjustment_nv_fund",AH$3,$A91))</f>
        <v/>
      </c>
      <c r="AI91" s="13" t="str">
        <f>IF($A91="","",[1]!thsiFinD("ths_adjustment_nv_fund",AI$3,$A91))</f>
        <v/>
      </c>
      <c r="AJ91" s="13" t="str">
        <f>IF($A91="","",[1]!thsiFinD("ths_adjustment_nv_fund",AJ$3,$A91))</f>
        <v/>
      </c>
      <c r="AK91" s="13" t="str">
        <f>IF($A91="","",[1]!thsiFinD("ths_adjustment_nv_fund",AK$3,$A91))</f>
        <v/>
      </c>
      <c r="AL91" s="13" t="str">
        <f>IF($A91="","",[1]!thsiFinD("ths_adjustment_nv_fund",AL$3,$A91))</f>
        <v/>
      </c>
    </row>
    <row r="92" spans="1:38">
      <c r="A92" s="9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 t="str">
        <f>IF($A92="","",[1]!thsiFinD("ths_adjustment_nv_fund",Z$3,$A92))</f>
        <v/>
      </c>
      <c r="AA92" s="13" t="str">
        <f>IF($A92="","",[1]!thsiFinD("ths_adjustment_nv_fund",AA$3,$A92))</f>
        <v/>
      </c>
      <c r="AB92" s="13" t="str">
        <f>IF($A92="","",[1]!thsiFinD("ths_adjustment_nv_fund",AB$3,$A92))</f>
        <v/>
      </c>
      <c r="AC92" s="13" t="str">
        <f>IF($A92="","",[1]!thsiFinD("ths_adjustment_nv_fund",AC$3,$A92))</f>
        <v/>
      </c>
      <c r="AD92" s="13" t="str">
        <f>IF($A92="","",[1]!thsiFinD("ths_adjustment_nv_fund",AD$3,$A92))</f>
        <v/>
      </c>
      <c r="AE92" s="13" t="str">
        <f>IF($A92="","",[1]!thsiFinD("ths_adjustment_nv_fund",AE$3,$A92))</f>
        <v/>
      </c>
      <c r="AF92" s="13" t="str">
        <f>IF($A92="","",[1]!thsiFinD("ths_adjustment_nv_fund",AF$3,$A92))</f>
        <v/>
      </c>
      <c r="AG92" s="13" t="str">
        <f>IF($A92="","",[1]!thsiFinD("ths_adjustment_nv_fund",AG$3,$A92))</f>
        <v/>
      </c>
      <c r="AH92" s="13" t="str">
        <f>IF($A92="","",[1]!thsiFinD("ths_adjustment_nv_fund",AH$3,$A92))</f>
        <v/>
      </c>
      <c r="AI92" s="13" t="str">
        <f>IF($A92="","",[1]!thsiFinD("ths_adjustment_nv_fund",AI$3,$A92))</f>
        <v/>
      </c>
      <c r="AJ92" s="13" t="str">
        <f>IF($A92="","",[1]!thsiFinD("ths_adjustment_nv_fund",AJ$3,$A92))</f>
        <v/>
      </c>
      <c r="AK92" s="13" t="str">
        <f>IF($A92="","",[1]!thsiFinD("ths_adjustment_nv_fund",AK$3,$A92))</f>
        <v/>
      </c>
      <c r="AL92" s="13" t="str">
        <f>IF($A92="","",[1]!thsiFinD("ths_adjustment_nv_fund",AL$3,$A92))</f>
        <v/>
      </c>
    </row>
    <row r="93" spans="1:38">
      <c r="A93" s="9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 t="str">
        <f>IF($A93="","",[1]!thsiFinD("ths_adjustment_nv_fund",Z$3,$A93))</f>
        <v/>
      </c>
      <c r="AA93" s="13" t="str">
        <f>IF($A93="","",[1]!thsiFinD("ths_adjustment_nv_fund",AA$3,$A93))</f>
        <v/>
      </c>
      <c r="AB93" s="13" t="str">
        <f>IF($A93="","",[1]!thsiFinD("ths_adjustment_nv_fund",AB$3,$A93))</f>
        <v/>
      </c>
      <c r="AC93" s="13" t="str">
        <f>IF($A93="","",[1]!thsiFinD("ths_adjustment_nv_fund",AC$3,$A93))</f>
        <v/>
      </c>
      <c r="AD93" s="13" t="str">
        <f>IF($A93="","",[1]!thsiFinD("ths_adjustment_nv_fund",AD$3,$A93))</f>
        <v/>
      </c>
      <c r="AE93" s="13" t="str">
        <f>IF($A93="","",[1]!thsiFinD("ths_adjustment_nv_fund",AE$3,$A93))</f>
        <v/>
      </c>
      <c r="AF93" s="13" t="str">
        <f>IF($A93="","",[1]!thsiFinD("ths_adjustment_nv_fund",AF$3,$A93))</f>
        <v/>
      </c>
      <c r="AG93" s="13" t="str">
        <f>IF($A93="","",[1]!thsiFinD("ths_adjustment_nv_fund",AG$3,$A93))</f>
        <v/>
      </c>
      <c r="AH93" s="13" t="str">
        <f>IF($A93="","",[1]!thsiFinD("ths_adjustment_nv_fund",AH$3,$A93))</f>
        <v/>
      </c>
      <c r="AI93" s="13" t="str">
        <f>IF($A93="","",[1]!thsiFinD("ths_adjustment_nv_fund",AI$3,$A93))</f>
        <v/>
      </c>
      <c r="AJ93" s="13" t="str">
        <f>IF($A93="","",[1]!thsiFinD("ths_adjustment_nv_fund",AJ$3,$A93))</f>
        <v/>
      </c>
      <c r="AK93" s="13" t="str">
        <f>IF($A93="","",[1]!thsiFinD("ths_adjustment_nv_fund",AK$3,$A93))</f>
        <v/>
      </c>
      <c r="AL93" s="13" t="str">
        <f>IF($A93="","",[1]!thsiFinD("ths_adjustment_nv_fund",AL$3,$A93))</f>
        <v/>
      </c>
    </row>
    <row r="94" spans="1:38">
      <c r="A94" s="9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 t="str">
        <f>IF($A94="","",[1]!thsiFinD("ths_adjustment_nv_fund",Z$3,$A94))</f>
        <v/>
      </c>
      <c r="AA94" s="13" t="str">
        <f>IF($A94="","",[1]!thsiFinD("ths_adjustment_nv_fund",AA$3,$A94))</f>
        <v/>
      </c>
      <c r="AB94" s="13" t="str">
        <f>IF($A94="","",[1]!thsiFinD("ths_adjustment_nv_fund",AB$3,$A94))</f>
        <v/>
      </c>
      <c r="AC94" s="13" t="str">
        <f>IF($A94="","",[1]!thsiFinD("ths_adjustment_nv_fund",AC$3,$A94))</f>
        <v/>
      </c>
      <c r="AD94" s="13" t="str">
        <f>IF($A94="","",[1]!thsiFinD("ths_adjustment_nv_fund",AD$3,$A94))</f>
        <v/>
      </c>
      <c r="AE94" s="13" t="str">
        <f>IF($A94="","",[1]!thsiFinD("ths_adjustment_nv_fund",AE$3,$A94))</f>
        <v/>
      </c>
      <c r="AF94" s="13" t="str">
        <f>IF($A94="","",[1]!thsiFinD("ths_adjustment_nv_fund",AF$3,$A94))</f>
        <v/>
      </c>
      <c r="AG94" s="13" t="str">
        <f>IF($A94="","",[1]!thsiFinD("ths_adjustment_nv_fund",AG$3,$A94))</f>
        <v/>
      </c>
      <c r="AH94" s="13" t="str">
        <f>IF($A94="","",[1]!thsiFinD("ths_adjustment_nv_fund",AH$3,$A94))</f>
        <v/>
      </c>
      <c r="AI94" s="13" t="str">
        <f>IF($A94="","",[1]!thsiFinD("ths_adjustment_nv_fund",AI$3,$A94))</f>
        <v/>
      </c>
      <c r="AJ94" s="13" t="str">
        <f>IF($A94="","",[1]!thsiFinD("ths_adjustment_nv_fund",AJ$3,$A94))</f>
        <v/>
      </c>
      <c r="AK94" s="13" t="str">
        <f>IF($A94="","",[1]!thsiFinD("ths_adjustment_nv_fund",AK$3,$A94))</f>
        <v/>
      </c>
      <c r="AL94" s="13" t="str">
        <f>IF($A94="","",[1]!thsiFinD("ths_adjustment_nv_fund",AL$3,$A94))</f>
        <v/>
      </c>
    </row>
    <row r="95" spans="1:38">
      <c r="A95" s="9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 t="str">
        <f>IF($A95="","",[1]!thsiFinD("ths_adjustment_nv_fund",Z$3,$A95))</f>
        <v/>
      </c>
      <c r="AA95" s="13" t="str">
        <f>IF($A95="","",[1]!thsiFinD("ths_adjustment_nv_fund",AA$3,$A95))</f>
        <v/>
      </c>
      <c r="AB95" s="13" t="str">
        <f>IF($A95="","",[1]!thsiFinD("ths_adjustment_nv_fund",AB$3,$A95))</f>
        <v/>
      </c>
      <c r="AC95" s="13" t="str">
        <f>IF($A95="","",[1]!thsiFinD("ths_adjustment_nv_fund",AC$3,$A95))</f>
        <v/>
      </c>
      <c r="AD95" s="13" t="str">
        <f>IF($A95="","",[1]!thsiFinD("ths_adjustment_nv_fund",AD$3,$A95))</f>
        <v/>
      </c>
      <c r="AE95" s="13" t="str">
        <f>IF($A95="","",[1]!thsiFinD("ths_adjustment_nv_fund",AE$3,$A95))</f>
        <v/>
      </c>
      <c r="AF95" s="13" t="str">
        <f>IF($A95="","",[1]!thsiFinD("ths_adjustment_nv_fund",AF$3,$A95))</f>
        <v/>
      </c>
      <c r="AG95" s="13" t="str">
        <f>IF($A95="","",[1]!thsiFinD("ths_adjustment_nv_fund",AG$3,$A95))</f>
        <v/>
      </c>
      <c r="AH95" s="13" t="str">
        <f>IF($A95="","",[1]!thsiFinD("ths_adjustment_nv_fund",AH$3,$A95))</f>
        <v/>
      </c>
      <c r="AI95" s="13" t="str">
        <f>IF($A95="","",[1]!thsiFinD("ths_adjustment_nv_fund",AI$3,$A95))</f>
        <v/>
      </c>
      <c r="AJ95" s="13" t="str">
        <f>IF($A95="","",[1]!thsiFinD("ths_adjustment_nv_fund",AJ$3,$A95))</f>
        <v/>
      </c>
      <c r="AK95" s="13" t="str">
        <f>IF($A95="","",[1]!thsiFinD("ths_adjustment_nv_fund",AK$3,$A95))</f>
        <v/>
      </c>
      <c r="AL95" s="13" t="str">
        <f>IF($A95="","",[1]!thsiFinD("ths_adjustment_nv_fund",AL$3,$A95))</f>
        <v/>
      </c>
    </row>
    <row r="96" spans="1:38">
      <c r="A96" s="9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 t="str">
        <f>IF($A96="","",[1]!thsiFinD("ths_adjustment_nv_fund",Z$3,$A96))</f>
        <v/>
      </c>
      <c r="AA96" s="13" t="str">
        <f>IF($A96="","",[1]!thsiFinD("ths_adjustment_nv_fund",AA$3,$A96))</f>
        <v/>
      </c>
      <c r="AB96" s="13" t="str">
        <f>IF($A96="","",[1]!thsiFinD("ths_adjustment_nv_fund",AB$3,$A96))</f>
        <v/>
      </c>
      <c r="AC96" s="13" t="str">
        <f>IF($A96="","",[1]!thsiFinD("ths_adjustment_nv_fund",AC$3,$A96))</f>
        <v/>
      </c>
      <c r="AD96" s="13" t="str">
        <f>IF($A96="","",[1]!thsiFinD("ths_adjustment_nv_fund",AD$3,$A96))</f>
        <v/>
      </c>
      <c r="AE96" s="13" t="str">
        <f>IF($A96="","",[1]!thsiFinD("ths_adjustment_nv_fund",AE$3,$A96))</f>
        <v/>
      </c>
      <c r="AF96" s="13" t="str">
        <f>IF($A96="","",[1]!thsiFinD("ths_adjustment_nv_fund",AF$3,$A96))</f>
        <v/>
      </c>
      <c r="AG96" s="13" t="str">
        <f>IF($A96="","",[1]!thsiFinD("ths_adjustment_nv_fund",AG$3,$A96))</f>
        <v/>
      </c>
      <c r="AH96" s="13" t="str">
        <f>IF($A96="","",[1]!thsiFinD("ths_adjustment_nv_fund",AH$3,$A96))</f>
        <v/>
      </c>
      <c r="AI96" s="13" t="str">
        <f>IF($A96="","",[1]!thsiFinD("ths_adjustment_nv_fund",AI$3,$A96))</f>
        <v/>
      </c>
      <c r="AJ96" s="13" t="str">
        <f>IF($A96="","",[1]!thsiFinD("ths_adjustment_nv_fund",AJ$3,$A96))</f>
        <v/>
      </c>
      <c r="AK96" s="13" t="str">
        <f>IF($A96="","",[1]!thsiFinD("ths_adjustment_nv_fund",AK$3,$A96))</f>
        <v/>
      </c>
      <c r="AL96" s="13" t="str">
        <f>IF($A96="","",[1]!thsiFinD("ths_adjustment_nv_fund",AL$3,$A96))</f>
        <v/>
      </c>
    </row>
    <row r="97" spans="1:38">
      <c r="A97" s="9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 t="str">
        <f>IF($A97="","",[1]!thsiFinD("ths_adjustment_nv_fund",Z$3,$A97))</f>
        <v/>
      </c>
      <c r="AA97" s="13" t="str">
        <f>IF($A97="","",[1]!thsiFinD("ths_adjustment_nv_fund",AA$3,$A97))</f>
        <v/>
      </c>
      <c r="AB97" s="13" t="str">
        <f>IF($A97="","",[1]!thsiFinD("ths_adjustment_nv_fund",AB$3,$A97))</f>
        <v/>
      </c>
      <c r="AC97" s="13" t="str">
        <f>IF($A97="","",[1]!thsiFinD("ths_adjustment_nv_fund",AC$3,$A97))</f>
        <v/>
      </c>
      <c r="AD97" s="13" t="str">
        <f>IF($A97="","",[1]!thsiFinD("ths_adjustment_nv_fund",AD$3,$A97))</f>
        <v/>
      </c>
      <c r="AE97" s="13" t="str">
        <f>IF($A97="","",[1]!thsiFinD("ths_adjustment_nv_fund",AE$3,$A97))</f>
        <v/>
      </c>
      <c r="AF97" s="13" t="str">
        <f>IF($A97="","",[1]!thsiFinD("ths_adjustment_nv_fund",AF$3,$A97))</f>
        <v/>
      </c>
      <c r="AG97" s="13" t="str">
        <f>IF($A97="","",[1]!thsiFinD("ths_adjustment_nv_fund",AG$3,$A97))</f>
        <v/>
      </c>
      <c r="AH97" s="13" t="str">
        <f>IF($A97="","",[1]!thsiFinD("ths_adjustment_nv_fund",AH$3,$A97))</f>
        <v/>
      </c>
      <c r="AI97" s="13" t="str">
        <f>IF($A97="","",[1]!thsiFinD("ths_adjustment_nv_fund",AI$3,$A97))</f>
        <v/>
      </c>
      <c r="AJ97" s="13" t="str">
        <f>IF($A97="","",[1]!thsiFinD("ths_adjustment_nv_fund",AJ$3,$A97))</f>
        <v/>
      </c>
      <c r="AK97" s="13" t="str">
        <f>IF($A97="","",[1]!thsiFinD("ths_adjustment_nv_fund",AK$3,$A97))</f>
        <v/>
      </c>
      <c r="AL97" s="13" t="str">
        <f>IF($A97="","",[1]!thsiFinD("ths_adjustment_nv_fund",AL$3,$A97))</f>
        <v/>
      </c>
    </row>
    <row r="98" spans="1:38">
      <c r="A98" s="9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 t="str">
        <f>IF($A98="","",[1]!thsiFinD("ths_adjustment_nv_fund",Z$3,$A98))</f>
        <v/>
      </c>
      <c r="AA98" s="13" t="str">
        <f>IF($A98="","",[1]!thsiFinD("ths_adjustment_nv_fund",AA$3,$A98))</f>
        <v/>
      </c>
      <c r="AB98" s="13" t="str">
        <f>IF($A98="","",[1]!thsiFinD("ths_adjustment_nv_fund",AB$3,$A98))</f>
        <v/>
      </c>
      <c r="AC98" s="13" t="str">
        <f>IF($A98="","",[1]!thsiFinD("ths_adjustment_nv_fund",AC$3,$A98))</f>
        <v/>
      </c>
      <c r="AD98" s="13" t="str">
        <f>IF($A98="","",[1]!thsiFinD("ths_adjustment_nv_fund",AD$3,$A98))</f>
        <v/>
      </c>
      <c r="AE98" s="13" t="str">
        <f>IF($A98="","",[1]!thsiFinD("ths_adjustment_nv_fund",AE$3,$A98))</f>
        <v/>
      </c>
      <c r="AF98" s="13" t="str">
        <f>IF($A98="","",[1]!thsiFinD("ths_adjustment_nv_fund",AF$3,$A98))</f>
        <v/>
      </c>
      <c r="AG98" s="13" t="str">
        <f>IF($A98="","",[1]!thsiFinD("ths_adjustment_nv_fund",AG$3,$A98))</f>
        <v/>
      </c>
      <c r="AH98" s="13" t="str">
        <f>IF($A98="","",[1]!thsiFinD("ths_adjustment_nv_fund",AH$3,$A98))</f>
        <v/>
      </c>
      <c r="AI98" s="13" t="str">
        <f>IF($A98="","",[1]!thsiFinD("ths_adjustment_nv_fund",AI$3,$A98))</f>
        <v/>
      </c>
      <c r="AJ98" s="13" t="str">
        <f>IF($A98="","",[1]!thsiFinD("ths_adjustment_nv_fund",AJ$3,$A98))</f>
        <v/>
      </c>
      <c r="AK98" s="13" t="str">
        <f>IF($A98="","",[1]!thsiFinD("ths_adjustment_nv_fund",AK$3,$A98))</f>
        <v/>
      </c>
      <c r="AL98" s="13" t="str">
        <f>IF($A98="","",[1]!thsiFinD("ths_adjustment_nv_fund",AL$3,$A98))</f>
        <v/>
      </c>
    </row>
    <row r="99" spans="1:38">
      <c r="A99" s="9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 t="str">
        <f>IF($A99="","",[1]!thsiFinD("ths_adjustment_nv_fund",Z$3,$A99))</f>
        <v/>
      </c>
      <c r="AA99" s="13" t="str">
        <f>IF($A99="","",[1]!thsiFinD("ths_adjustment_nv_fund",AA$3,$A99))</f>
        <v/>
      </c>
      <c r="AB99" s="13" t="str">
        <f>IF($A99="","",[1]!thsiFinD("ths_adjustment_nv_fund",AB$3,$A99))</f>
        <v/>
      </c>
      <c r="AC99" s="13" t="str">
        <f>IF($A99="","",[1]!thsiFinD("ths_adjustment_nv_fund",AC$3,$A99))</f>
        <v/>
      </c>
      <c r="AD99" s="13" t="str">
        <f>IF($A99="","",[1]!thsiFinD("ths_adjustment_nv_fund",AD$3,$A99))</f>
        <v/>
      </c>
      <c r="AE99" s="13" t="str">
        <f>IF($A99="","",[1]!thsiFinD("ths_adjustment_nv_fund",AE$3,$A99))</f>
        <v/>
      </c>
      <c r="AF99" s="13" t="str">
        <f>IF($A99="","",[1]!thsiFinD("ths_adjustment_nv_fund",AF$3,$A99))</f>
        <v/>
      </c>
      <c r="AG99" s="13" t="str">
        <f>IF($A99="","",[1]!thsiFinD("ths_adjustment_nv_fund",AG$3,$A99))</f>
        <v/>
      </c>
      <c r="AH99" s="13" t="str">
        <f>IF($A99="","",[1]!thsiFinD("ths_adjustment_nv_fund",AH$3,$A99))</f>
        <v/>
      </c>
      <c r="AI99" s="13" t="str">
        <f>IF($A99="","",[1]!thsiFinD("ths_adjustment_nv_fund",AI$3,$A99))</f>
        <v/>
      </c>
      <c r="AJ99" s="13" t="str">
        <f>IF($A99="","",[1]!thsiFinD("ths_adjustment_nv_fund",AJ$3,$A99))</f>
        <v/>
      </c>
      <c r="AK99" s="13" t="str">
        <f>IF($A99="","",[1]!thsiFinD("ths_adjustment_nv_fund",AK$3,$A99))</f>
        <v/>
      </c>
      <c r="AL99" s="13" t="str">
        <f>IF($A99="","",[1]!thsiFinD("ths_adjustment_nv_fund",AL$3,$A99))</f>
        <v/>
      </c>
    </row>
    <row r="100" spans="1:38">
      <c r="A100" s="9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 t="str">
        <f>IF($A100="","",[1]!thsiFinD("ths_adjustment_nv_fund",Z$3,$A100))</f>
        <v/>
      </c>
      <c r="AA100" s="13" t="str">
        <f>IF($A100="","",[1]!thsiFinD("ths_adjustment_nv_fund",AA$3,$A100))</f>
        <v/>
      </c>
      <c r="AB100" s="13" t="str">
        <f>IF($A100="","",[1]!thsiFinD("ths_adjustment_nv_fund",AB$3,$A100))</f>
        <v/>
      </c>
      <c r="AC100" s="13" t="str">
        <f>IF($A100="","",[1]!thsiFinD("ths_adjustment_nv_fund",AC$3,$A100))</f>
        <v/>
      </c>
      <c r="AD100" s="13" t="str">
        <f>IF($A100="","",[1]!thsiFinD("ths_adjustment_nv_fund",AD$3,$A100))</f>
        <v/>
      </c>
      <c r="AE100" s="13" t="str">
        <f>IF($A100="","",[1]!thsiFinD("ths_adjustment_nv_fund",AE$3,$A100))</f>
        <v/>
      </c>
      <c r="AF100" s="13" t="str">
        <f>IF($A100="","",[1]!thsiFinD("ths_adjustment_nv_fund",AF$3,$A100))</f>
        <v/>
      </c>
      <c r="AG100" s="13" t="str">
        <f>IF($A100="","",[1]!thsiFinD("ths_adjustment_nv_fund",AG$3,$A100))</f>
        <v/>
      </c>
      <c r="AH100" s="13" t="str">
        <f>IF($A100="","",[1]!thsiFinD("ths_adjustment_nv_fund",AH$3,$A100))</f>
        <v/>
      </c>
      <c r="AI100" s="13" t="str">
        <f>IF($A100="","",[1]!thsiFinD("ths_adjustment_nv_fund",AI$3,$A100))</f>
        <v/>
      </c>
      <c r="AJ100" s="13" t="str">
        <f>IF($A100="","",[1]!thsiFinD("ths_adjustment_nv_fund",AJ$3,$A100))</f>
        <v/>
      </c>
      <c r="AK100" s="13" t="str">
        <f>IF($A100="","",[1]!thsiFinD("ths_adjustment_nv_fund",AK$3,$A100))</f>
        <v/>
      </c>
      <c r="AL100" s="13" t="str">
        <f>IF($A100="","",[1]!thsiFinD("ths_adjustment_nv_fund",AL$3,$A100))</f>
        <v/>
      </c>
    </row>
    <row r="101" spans="1:38">
      <c r="A101" s="9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 t="str">
        <f>IF($A101="","",[1]!thsiFinD("ths_adjustment_nv_fund",Z$3,$A101))</f>
        <v/>
      </c>
      <c r="AA101" s="13" t="str">
        <f>IF($A101="","",[1]!thsiFinD("ths_adjustment_nv_fund",AA$3,$A101))</f>
        <v/>
      </c>
      <c r="AB101" s="13" t="str">
        <f>IF($A101="","",[1]!thsiFinD("ths_adjustment_nv_fund",AB$3,$A101))</f>
        <v/>
      </c>
      <c r="AC101" s="13" t="str">
        <f>IF($A101="","",[1]!thsiFinD("ths_adjustment_nv_fund",AC$3,$A101))</f>
        <v/>
      </c>
      <c r="AD101" s="13" t="str">
        <f>IF($A101="","",[1]!thsiFinD("ths_adjustment_nv_fund",AD$3,$A101))</f>
        <v/>
      </c>
      <c r="AE101" s="13" t="str">
        <f>IF($A101="","",[1]!thsiFinD("ths_adjustment_nv_fund",AE$3,$A101))</f>
        <v/>
      </c>
      <c r="AF101" s="13" t="str">
        <f>IF($A101="","",[1]!thsiFinD("ths_adjustment_nv_fund",AF$3,$A101))</f>
        <v/>
      </c>
      <c r="AG101" s="13" t="str">
        <f>IF($A101="","",[1]!thsiFinD("ths_adjustment_nv_fund",AG$3,$A101))</f>
        <v/>
      </c>
      <c r="AH101" s="13" t="str">
        <f>IF($A101="","",[1]!thsiFinD("ths_adjustment_nv_fund",AH$3,$A101))</f>
        <v/>
      </c>
      <c r="AI101" s="13" t="str">
        <f>IF($A101="","",[1]!thsiFinD("ths_adjustment_nv_fund",AI$3,$A101))</f>
        <v/>
      </c>
      <c r="AJ101" s="13" t="str">
        <f>IF($A101="","",[1]!thsiFinD("ths_adjustment_nv_fund",AJ$3,$A101))</f>
        <v/>
      </c>
      <c r="AK101" s="13" t="str">
        <f>IF($A101="","",[1]!thsiFinD("ths_adjustment_nv_fund",AK$3,$A101))</f>
        <v/>
      </c>
      <c r="AL101" s="13" t="str">
        <f>IF($A101="","",[1]!thsiFinD("ths_adjustment_nv_fund",AL$3,$A101))</f>
        <v/>
      </c>
    </row>
    <row r="102" spans="1:38">
      <c r="A102" s="9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 t="str">
        <f>IF($A102="","",[1]!thsiFinD("ths_adjustment_nv_fund",Z$3,$A102))</f>
        <v/>
      </c>
      <c r="AA102" s="13" t="str">
        <f>IF($A102="","",[1]!thsiFinD("ths_adjustment_nv_fund",AA$3,$A102))</f>
        <v/>
      </c>
      <c r="AB102" s="13" t="str">
        <f>IF($A102="","",[1]!thsiFinD("ths_adjustment_nv_fund",AB$3,$A102))</f>
        <v/>
      </c>
      <c r="AC102" s="13" t="str">
        <f>IF($A102="","",[1]!thsiFinD("ths_adjustment_nv_fund",AC$3,$A102))</f>
        <v/>
      </c>
      <c r="AD102" s="13" t="str">
        <f>IF($A102="","",[1]!thsiFinD("ths_adjustment_nv_fund",AD$3,$A102))</f>
        <v/>
      </c>
      <c r="AE102" s="13" t="str">
        <f>IF($A102="","",[1]!thsiFinD("ths_adjustment_nv_fund",AE$3,$A102))</f>
        <v/>
      </c>
      <c r="AF102" s="13" t="str">
        <f>IF($A102="","",[1]!thsiFinD("ths_adjustment_nv_fund",AF$3,$A102))</f>
        <v/>
      </c>
      <c r="AG102" s="13" t="str">
        <f>IF($A102="","",[1]!thsiFinD("ths_adjustment_nv_fund",AG$3,$A102))</f>
        <v/>
      </c>
      <c r="AH102" s="13" t="str">
        <f>IF($A102="","",[1]!thsiFinD("ths_adjustment_nv_fund",AH$3,$A102))</f>
        <v/>
      </c>
      <c r="AI102" s="13" t="str">
        <f>IF($A102="","",[1]!thsiFinD("ths_adjustment_nv_fund",AI$3,$A102))</f>
        <v/>
      </c>
      <c r="AJ102" s="13" t="str">
        <f>IF($A102="","",[1]!thsiFinD("ths_adjustment_nv_fund",AJ$3,$A102))</f>
        <v/>
      </c>
      <c r="AK102" s="13" t="str">
        <f>IF($A102="","",[1]!thsiFinD("ths_adjustment_nv_fund",AK$3,$A102))</f>
        <v/>
      </c>
      <c r="AL102" s="13" t="str">
        <f>IF($A102="","",[1]!thsiFinD("ths_adjustment_nv_fund",AL$3,$A102))</f>
        <v/>
      </c>
    </row>
    <row r="103" spans="1:38">
      <c r="A103" s="9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 t="str">
        <f>IF($A103="","",[1]!thsiFinD("ths_adjustment_nv_fund",Z$3,$A103))</f>
        <v/>
      </c>
      <c r="AA103" s="13" t="str">
        <f>IF($A103="","",[1]!thsiFinD("ths_adjustment_nv_fund",AA$3,$A103))</f>
        <v/>
      </c>
      <c r="AB103" s="13" t="str">
        <f>IF($A103="","",[1]!thsiFinD("ths_adjustment_nv_fund",AB$3,$A103))</f>
        <v/>
      </c>
      <c r="AC103" s="13" t="str">
        <f>IF($A103="","",[1]!thsiFinD("ths_adjustment_nv_fund",AC$3,$A103))</f>
        <v/>
      </c>
      <c r="AD103" s="13" t="str">
        <f>IF($A103="","",[1]!thsiFinD("ths_adjustment_nv_fund",AD$3,$A103))</f>
        <v/>
      </c>
      <c r="AE103" s="13" t="str">
        <f>IF($A103="","",[1]!thsiFinD("ths_adjustment_nv_fund",AE$3,$A103))</f>
        <v/>
      </c>
      <c r="AF103" s="13" t="str">
        <f>IF($A103="","",[1]!thsiFinD("ths_adjustment_nv_fund",AF$3,$A103))</f>
        <v/>
      </c>
      <c r="AG103" s="13" t="str">
        <f>IF($A103="","",[1]!thsiFinD("ths_adjustment_nv_fund",AG$3,$A103))</f>
        <v/>
      </c>
      <c r="AH103" s="13" t="str">
        <f>IF($A103="","",[1]!thsiFinD("ths_adjustment_nv_fund",AH$3,$A103))</f>
        <v/>
      </c>
      <c r="AI103" s="13" t="str">
        <f>IF($A103="","",[1]!thsiFinD("ths_adjustment_nv_fund",AI$3,$A103))</f>
        <v/>
      </c>
      <c r="AJ103" s="13" t="str">
        <f>IF($A103="","",[1]!thsiFinD("ths_adjustment_nv_fund",AJ$3,$A103))</f>
        <v/>
      </c>
      <c r="AK103" s="13" t="str">
        <f>IF($A103="","",[1]!thsiFinD("ths_adjustment_nv_fund",AK$3,$A103))</f>
        <v/>
      </c>
      <c r="AL103" s="13" t="str">
        <f>IF($A103="","",[1]!thsiFinD("ths_adjustment_nv_fund",AL$3,$A103))</f>
        <v/>
      </c>
    </row>
    <row r="104" spans="1:38">
      <c r="A104" s="9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 t="str">
        <f>IF($A104="","",[1]!thsiFinD("ths_adjustment_nv_fund",Z$3,$A104))</f>
        <v/>
      </c>
      <c r="AA104" s="13" t="str">
        <f>IF($A104="","",[1]!thsiFinD("ths_adjustment_nv_fund",AA$3,$A104))</f>
        <v/>
      </c>
      <c r="AB104" s="13" t="str">
        <f>IF($A104="","",[1]!thsiFinD("ths_adjustment_nv_fund",AB$3,$A104))</f>
        <v/>
      </c>
      <c r="AC104" s="13" t="str">
        <f>IF($A104="","",[1]!thsiFinD("ths_adjustment_nv_fund",AC$3,$A104))</f>
        <v/>
      </c>
      <c r="AD104" s="13" t="str">
        <f>IF($A104="","",[1]!thsiFinD("ths_adjustment_nv_fund",AD$3,$A104))</f>
        <v/>
      </c>
      <c r="AE104" s="13" t="str">
        <f>IF($A104="","",[1]!thsiFinD("ths_adjustment_nv_fund",AE$3,$A104))</f>
        <v/>
      </c>
      <c r="AF104" s="13" t="str">
        <f>IF($A104="","",[1]!thsiFinD("ths_adjustment_nv_fund",AF$3,$A104))</f>
        <v/>
      </c>
      <c r="AG104" s="13" t="str">
        <f>IF($A104="","",[1]!thsiFinD("ths_adjustment_nv_fund",AG$3,$A104))</f>
        <v/>
      </c>
      <c r="AH104" s="13" t="str">
        <f>IF($A104="","",[1]!thsiFinD("ths_adjustment_nv_fund",AH$3,$A104))</f>
        <v/>
      </c>
      <c r="AI104" s="13" t="str">
        <f>IF($A104="","",[1]!thsiFinD("ths_adjustment_nv_fund",AI$3,$A104))</f>
        <v/>
      </c>
      <c r="AJ104" s="13" t="str">
        <f>IF($A104="","",[1]!thsiFinD("ths_adjustment_nv_fund",AJ$3,$A104))</f>
        <v/>
      </c>
      <c r="AK104" s="13" t="str">
        <f>IF($A104="","",[1]!thsiFinD("ths_adjustment_nv_fund",AK$3,$A104))</f>
        <v/>
      </c>
      <c r="AL104" s="13" t="str">
        <f>IF($A104="","",[1]!thsiFinD("ths_adjustment_nv_fund",AL$3,$A104))</f>
        <v/>
      </c>
    </row>
    <row r="105" spans="1:38">
      <c r="A105" s="9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 t="str">
        <f>IF($A105="","",[1]!thsiFinD("ths_adjustment_nv_fund",Z$3,$A105))</f>
        <v/>
      </c>
      <c r="AA105" s="13" t="str">
        <f>IF($A105="","",[1]!thsiFinD("ths_adjustment_nv_fund",AA$3,$A105))</f>
        <v/>
      </c>
      <c r="AB105" s="13" t="str">
        <f>IF($A105="","",[1]!thsiFinD("ths_adjustment_nv_fund",AB$3,$A105))</f>
        <v/>
      </c>
      <c r="AC105" s="13" t="str">
        <f>IF($A105="","",[1]!thsiFinD("ths_adjustment_nv_fund",AC$3,$A105))</f>
        <v/>
      </c>
      <c r="AD105" s="13" t="str">
        <f>IF($A105="","",[1]!thsiFinD("ths_adjustment_nv_fund",AD$3,$A105))</f>
        <v/>
      </c>
      <c r="AE105" s="13" t="str">
        <f>IF($A105="","",[1]!thsiFinD("ths_adjustment_nv_fund",AE$3,$A105))</f>
        <v/>
      </c>
      <c r="AF105" s="13" t="str">
        <f>IF($A105="","",[1]!thsiFinD("ths_adjustment_nv_fund",AF$3,$A105))</f>
        <v/>
      </c>
      <c r="AG105" s="13" t="str">
        <f>IF($A105="","",[1]!thsiFinD("ths_adjustment_nv_fund",AG$3,$A105))</f>
        <v/>
      </c>
      <c r="AH105" s="13" t="str">
        <f>IF($A105="","",[1]!thsiFinD("ths_adjustment_nv_fund",AH$3,$A105))</f>
        <v/>
      </c>
      <c r="AI105" s="13" t="str">
        <f>IF($A105="","",[1]!thsiFinD("ths_adjustment_nv_fund",AI$3,$A105))</f>
        <v/>
      </c>
      <c r="AJ105" s="13" t="str">
        <f>IF($A105="","",[1]!thsiFinD("ths_adjustment_nv_fund",AJ$3,$A105))</f>
        <v/>
      </c>
      <c r="AK105" s="13" t="str">
        <f>IF($A105="","",[1]!thsiFinD("ths_adjustment_nv_fund",AK$3,$A105))</f>
        <v/>
      </c>
      <c r="AL105" s="13" t="str">
        <f>IF($A105="","",[1]!thsiFinD("ths_adjustment_nv_fund",AL$3,$A105))</f>
        <v/>
      </c>
    </row>
    <row r="106" spans="1:38">
      <c r="A106" s="9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 t="str">
        <f>IF($A106="","",[1]!thsiFinD("ths_adjustment_nv_fund",Z$3,$A106))</f>
        <v/>
      </c>
      <c r="AA106" s="13" t="str">
        <f>IF($A106="","",[1]!thsiFinD("ths_adjustment_nv_fund",AA$3,$A106))</f>
        <v/>
      </c>
      <c r="AB106" s="13" t="str">
        <f>IF($A106="","",[1]!thsiFinD("ths_adjustment_nv_fund",AB$3,$A106))</f>
        <v/>
      </c>
      <c r="AC106" s="13" t="str">
        <f>IF($A106="","",[1]!thsiFinD("ths_adjustment_nv_fund",AC$3,$A106))</f>
        <v/>
      </c>
      <c r="AD106" s="13" t="str">
        <f>IF($A106="","",[1]!thsiFinD("ths_adjustment_nv_fund",AD$3,$A106))</f>
        <v/>
      </c>
      <c r="AE106" s="13" t="str">
        <f>IF($A106="","",[1]!thsiFinD("ths_adjustment_nv_fund",AE$3,$A106))</f>
        <v/>
      </c>
      <c r="AF106" s="13" t="str">
        <f>IF($A106="","",[1]!thsiFinD("ths_adjustment_nv_fund",AF$3,$A106))</f>
        <v/>
      </c>
      <c r="AG106" s="13" t="str">
        <f>IF($A106="","",[1]!thsiFinD("ths_adjustment_nv_fund",AG$3,$A106))</f>
        <v/>
      </c>
      <c r="AH106" s="13" t="str">
        <f>IF($A106="","",[1]!thsiFinD("ths_adjustment_nv_fund",AH$3,$A106))</f>
        <v/>
      </c>
      <c r="AI106" s="13" t="str">
        <f>IF($A106="","",[1]!thsiFinD("ths_adjustment_nv_fund",AI$3,$A106))</f>
        <v/>
      </c>
      <c r="AJ106" s="13" t="str">
        <f>IF($A106="","",[1]!thsiFinD("ths_adjustment_nv_fund",AJ$3,$A106))</f>
        <v/>
      </c>
      <c r="AK106" s="13" t="str">
        <f>IF($A106="","",[1]!thsiFinD("ths_adjustment_nv_fund",AK$3,$A106))</f>
        <v/>
      </c>
      <c r="AL106" s="13" t="str">
        <f>IF($A106="","",[1]!thsiFinD("ths_adjustment_nv_fund",AL$3,$A106))</f>
        <v/>
      </c>
    </row>
    <row r="107" spans="1:38">
      <c r="A107" s="9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 t="str">
        <f>IF($A107="","",[1]!thsiFinD("ths_adjustment_nv_fund",Z$3,$A107))</f>
        <v/>
      </c>
      <c r="AA107" s="13" t="str">
        <f>IF($A107="","",[1]!thsiFinD("ths_adjustment_nv_fund",AA$3,$A107))</f>
        <v/>
      </c>
      <c r="AB107" s="13" t="str">
        <f>IF($A107="","",[1]!thsiFinD("ths_adjustment_nv_fund",AB$3,$A107))</f>
        <v/>
      </c>
      <c r="AC107" s="13" t="str">
        <f>IF($A107="","",[1]!thsiFinD("ths_adjustment_nv_fund",AC$3,$A107))</f>
        <v/>
      </c>
      <c r="AD107" s="13" t="str">
        <f>IF($A107="","",[1]!thsiFinD("ths_adjustment_nv_fund",AD$3,$A107))</f>
        <v/>
      </c>
      <c r="AE107" s="13" t="str">
        <f>IF($A107="","",[1]!thsiFinD("ths_adjustment_nv_fund",AE$3,$A107))</f>
        <v/>
      </c>
      <c r="AF107" s="13" t="str">
        <f>IF($A107="","",[1]!thsiFinD("ths_adjustment_nv_fund",AF$3,$A107))</f>
        <v/>
      </c>
      <c r="AG107" s="13" t="str">
        <f>IF($A107="","",[1]!thsiFinD("ths_adjustment_nv_fund",AG$3,$A107))</f>
        <v/>
      </c>
      <c r="AH107" s="13" t="str">
        <f>IF($A107="","",[1]!thsiFinD("ths_adjustment_nv_fund",AH$3,$A107))</f>
        <v/>
      </c>
      <c r="AI107" s="13" t="str">
        <f>IF($A107="","",[1]!thsiFinD("ths_adjustment_nv_fund",AI$3,$A107))</f>
        <v/>
      </c>
      <c r="AJ107" s="13" t="str">
        <f>IF($A107="","",[1]!thsiFinD("ths_adjustment_nv_fund",AJ$3,$A107))</f>
        <v/>
      </c>
      <c r="AK107" s="13" t="str">
        <f>IF($A107="","",[1]!thsiFinD("ths_adjustment_nv_fund",AK$3,$A107))</f>
        <v/>
      </c>
      <c r="AL107" s="13" t="str">
        <f>IF($A107="","",[1]!thsiFinD("ths_adjustment_nv_fund",AL$3,$A107))</f>
        <v/>
      </c>
    </row>
    <row r="108" spans="1:38">
      <c r="A108" s="9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 t="str">
        <f>IF($A108="","",[1]!thsiFinD("ths_adjustment_nv_fund",Z$3,$A108))</f>
        <v/>
      </c>
      <c r="AA108" s="13" t="str">
        <f>IF($A108="","",[1]!thsiFinD("ths_adjustment_nv_fund",AA$3,$A108))</f>
        <v/>
      </c>
      <c r="AB108" s="13" t="str">
        <f>IF($A108="","",[1]!thsiFinD("ths_adjustment_nv_fund",AB$3,$A108))</f>
        <v/>
      </c>
      <c r="AC108" s="13" t="str">
        <f>IF($A108="","",[1]!thsiFinD("ths_adjustment_nv_fund",AC$3,$A108))</f>
        <v/>
      </c>
      <c r="AD108" s="13" t="str">
        <f>IF($A108="","",[1]!thsiFinD("ths_adjustment_nv_fund",AD$3,$A108))</f>
        <v/>
      </c>
      <c r="AE108" s="13" t="str">
        <f>IF($A108="","",[1]!thsiFinD("ths_adjustment_nv_fund",AE$3,$A108))</f>
        <v/>
      </c>
      <c r="AF108" s="13" t="str">
        <f>IF($A108="","",[1]!thsiFinD("ths_adjustment_nv_fund",AF$3,$A108))</f>
        <v/>
      </c>
      <c r="AG108" s="13" t="str">
        <f>IF($A108="","",[1]!thsiFinD("ths_adjustment_nv_fund",AG$3,$A108))</f>
        <v/>
      </c>
      <c r="AH108" s="13" t="str">
        <f>IF($A108="","",[1]!thsiFinD("ths_adjustment_nv_fund",AH$3,$A108))</f>
        <v/>
      </c>
      <c r="AI108" s="13" t="str">
        <f>IF($A108="","",[1]!thsiFinD("ths_adjustment_nv_fund",AI$3,$A108))</f>
        <v/>
      </c>
      <c r="AJ108" s="13" t="str">
        <f>IF($A108="","",[1]!thsiFinD("ths_adjustment_nv_fund",AJ$3,$A108))</f>
        <v/>
      </c>
      <c r="AK108" s="13" t="str">
        <f>IF($A108="","",[1]!thsiFinD("ths_adjustment_nv_fund",AK$3,$A108))</f>
        <v/>
      </c>
      <c r="AL108" s="13" t="str">
        <f>IF($A108="","",[1]!thsiFinD("ths_adjustment_nv_fund",AL$3,$A108))</f>
        <v/>
      </c>
    </row>
    <row r="109" spans="1:38">
      <c r="A109" s="9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 t="str">
        <f>IF($A109="","",[1]!thsiFinD("ths_adjustment_nv_fund",Z$3,$A109))</f>
        <v/>
      </c>
      <c r="AA109" s="13" t="str">
        <f>IF($A109="","",[1]!thsiFinD("ths_adjustment_nv_fund",AA$3,$A109))</f>
        <v/>
      </c>
      <c r="AB109" s="13" t="str">
        <f>IF($A109="","",[1]!thsiFinD("ths_adjustment_nv_fund",AB$3,$A109))</f>
        <v/>
      </c>
      <c r="AC109" s="13" t="str">
        <f>IF($A109="","",[1]!thsiFinD("ths_adjustment_nv_fund",AC$3,$A109))</f>
        <v/>
      </c>
      <c r="AD109" s="13" t="str">
        <f>IF($A109="","",[1]!thsiFinD("ths_adjustment_nv_fund",AD$3,$A109))</f>
        <v/>
      </c>
      <c r="AE109" s="13" t="str">
        <f>IF($A109="","",[1]!thsiFinD("ths_adjustment_nv_fund",AE$3,$A109))</f>
        <v/>
      </c>
      <c r="AF109" s="13" t="str">
        <f>IF($A109="","",[1]!thsiFinD("ths_adjustment_nv_fund",AF$3,$A109))</f>
        <v/>
      </c>
      <c r="AG109" s="13" t="str">
        <f>IF($A109="","",[1]!thsiFinD("ths_adjustment_nv_fund",AG$3,$A109))</f>
        <v/>
      </c>
      <c r="AH109" s="13" t="str">
        <f>IF($A109="","",[1]!thsiFinD("ths_adjustment_nv_fund",AH$3,$A109))</f>
        <v/>
      </c>
      <c r="AI109" s="13" t="str">
        <f>IF($A109="","",[1]!thsiFinD("ths_adjustment_nv_fund",AI$3,$A109))</f>
        <v/>
      </c>
      <c r="AJ109" s="13" t="str">
        <f>IF($A109="","",[1]!thsiFinD("ths_adjustment_nv_fund",AJ$3,$A109))</f>
        <v/>
      </c>
      <c r="AK109" s="13" t="str">
        <f>IF($A109="","",[1]!thsiFinD("ths_adjustment_nv_fund",AK$3,$A109))</f>
        <v/>
      </c>
      <c r="AL109" s="13" t="str">
        <f>IF($A109="","",[1]!thsiFinD("ths_adjustment_nv_fund",AL$3,$A109))</f>
        <v/>
      </c>
    </row>
    <row r="110" spans="1:38">
      <c r="A110" s="9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 t="str">
        <f>IF($A110="","",[1]!thsiFinD("ths_adjustment_nv_fund",Z$3,$A110))</f>
        <v/>
      </c>
      <c r="AA110" s="13" t="str">
        <f>IF($A110="","",[1]!thsiFinD("ths_adjustment_nv_fund",AA$3,$A110))</f>
        <v/>
      </c>
      <c r="AB110" s="13" t="str">
        <f>IF($A110="","",[1]!thsiFinD("ths_adjustment_nv_fund",AB$3,$A110))</f>
        <v/>
      </c>
      <c r="AC110" s="13" t="str">
        <f>IF($A110="","",[1]!thsiFinD("ths_adjustment_nv_fund",AC$3,$A110))</f>
        <v/>
      </c>
      <c r="AD110" s="13" t="str">
        <f>IF($A110="","",[1]!thsiFinD("ths_adjustment_nv_fund",AD$3,$A110))</f>
        <v/>
      </c>
      <c r="AE110" s="13" t="str">
        <f>IF($A110="","",[1]!thsiFinD("ths_adjustment_nv_fund",AE$3,$A110))</f>
        <v/>
      </c>
      <c r="AF110" s="13" t="str">
        <f>IF($A110="","",[1]!thsiFinD("ths_adjustment_nv_fund",AF$3,$A110))</f>
        <v/>
      </c>
      <c r="AG110" s="13" t="str">
        <f>IF($A110="","",[1]!thsiFinD("ths_adjustment_nv_fund",AG$3,$A110))</f>
        <v/>
      </c>
      <c r="AH110" s="13" t="str">
        <f>IF($A110="","",[1]!thsiFinD("ths_adjustment_nv_fund",AH$3,$A110))</f>
        <v/>
      </c>
      <c r="AI110" s="13" t="str">
        <f>IF($A110="","",[1]!thsiFinD("ths_adjustment_nv_fund",AI$3,$A110))</f>
        <v/>
      </c>
      <c r="AJ110" s="13" t="str">
        <f>IF($A110="","",[1]!thsiFinD("ths_adjustment_nv_fund",AJ$3,$A110))</f>
        <v/>
      </c>
      <c r="AK110" s="13" t="str">
        <f>IF($A110="","",[1]!thsiFinD("ths_adjustment_nv_fund",AK$3,$A110))</f>
        <v/>
      </c>
      <c r="AL110" s="13" t="str">
        <f>IF($A110="","",[1]!thsiFinD("ths_adjustment_nv_fund",AL$3,$A110))</f>
        <v/>
      </c>
    </row>
    <row r="111" spans="1:38">
      <c r="A111" s="9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 t="str">
        <f>IF($A111="","",[1]!thsiFinD("ths_adjustment_nv_fund",Z$3,$A111))</f>
        <v/>
      </c>
      <c r="AA111" s="13" t="str">
        <f>IF($A111="","",[1]!thsiFinD("ths_adjustment_nv_fund",AA$3,$A111))</f>
        <v/>
      </c>
      <c r="AB111" s="13" t="str">
        <f>IF($A111="","",[1]!thsiFinD("ths_adjustment_nv_fund",AB$3,$A111))</f>
        <v/>
      </c>
      <c r="AC111" s="13" t="str">
        <f>IF($A111="","",[1]!thsiFinD("ths_adjustment_nv_fund",AC$3,$A111))</f>
        <v/>
      </c>
      <c r="AD111" s="13" t="str">
        <f>IF($A111="","",[1]!thsiFinD("ths_adjustment_nv_fund",AD$3,$A111))</f>
        <v/>
      </c>
      <c r="AE111" s="13" t="str">
        <f>IF($A111="","",[1]!thsiFinD("ths_adjustment_nv_fund",AE$3,$A111))</f>
        <v/>
      </c>
      <c r="AF111" s="13" t="str">
        <f>IF($A111="","",[1]!thsiFinD("ths_adjustment_nv_fund",AF$3,$A111))</f>
        <v/>
      </c>
      <c r="AG111" s="13" t="str">
        <f>IF($A111="","",[1]!thsiFinD("ths_adjustment_nv_fund",AG$3,$A111))</f>
        <v/>
      </c>
      <c r="AH111" s="13" t="str">
        <f>IF($A111="","",[1]!thsiFinD("ths_adjustment_nv_fund",AH$3,$A111))</f>
        <v/>
      </c>
      <c r="AI111" s="13" t="str">
        <f>IF($A111="","",[1]!thsiFinD("ths_adjustment_nv_fund",AI$3,$A111))</f>
        <v/>
      </c>
      <c r="AJ111" s="13" t="str">
        <f>IF($A111="","",[1]!thsiFinD("ths_adjustment_nv_fund",AJ$3,$A111))</f>
        <v/>
      </c>
      <c r="AK111" s="13" t="str">
        <f>IF($A111="","",[1]!thsiFinD("ths_adjustment_nv_fund",AK$3,$A111))</f>
        <v/>
      </c>
      <c r="AL111" s="13" t="str">
        <f>IF($A111="","",[1]!thsiFinD("ths_adjustment_nv_fund",AL$3,$A111))</f>
        <v/>
      </c>
    </row>
    <row r="112" spans="1:38">
      <c r="A112" s="9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 t="str">
        <f>IF($A112="","",[1]!thsiFinD("ths_adjustment_nv_fund",Z$3,$A112))</f>
        <v/>
      </c>
      <c r="AA112" s="13" t="str">
        <f>IF($A112="","",[1]!thsiFinD("ths_adjustment_nv_fund",AA$3,$A112))</f>
        <v/>
      </c>
      <c r="AB112" s="13" t="str">
        <f>IF($A112="","",[1]!thsiFinD("ths_adjustment_nv_fund",AB$3,$A112))</f>
        <v/>
      </c>
      <c r="AC112" s="13" t="str">
        <f>IF($A112="","",[1]!thsiFinD("ths_adjustment_nv_fund",AC$3,$A112))</f>
        <v/>
      </c>
      <c r="AD112" s="13" t="str">
        <f>IF($A112="","",[1]!thsiFinD("ths_adjustment_nv_fund",AD$3,$A112))</f>
        <v/>
      </c>
      <c r="AE112" s="13" t="str">
        <f>IF($A112="","",[1]!thsiFinD("ths_adjustment_nv_fund",AE$3,$A112))</f>
        <v/>
      </c>
      <c r="AF112" s="13" t="str">
        <f>IF($A112="","",[1]!thsiFinD("ths_adjustment_nv_fund",AF$3,$A112))</f>
        <v/>
      </c>
      <c r="AG112" s="13" t="str">
        <f>IF($A112="","",[1]!thsiFinD("ths_adjustment_nv_fund",AG$3,$A112))</f>
        <v/>
      </c>
      <c r="AH112" s="13" t="str">
        <f>IF($A112="","",[1]!thsiFinD("ths_adjustment_nv_fund",AH$3,$A112))</f>
        <v/>
      </c>
      <c r="AI112" s="13" t="str">
        <f>IF($A112="","",[1]!thsiFinD("ths_adjustment_nv_fund",AI$3,$A112))</f>
        <v/>
      </c>
      <c r="AJ112" s="13" t="str">
        <f>IF($A112="","",[1]!thsiFinD("ths_adjustment_nv_fund",AJ$3,$A112))</f>
        <v/>
      </c>
      <c r="AK112" s="13" t="str">
        <f>IF($A112="","",[1]!thsiFinD("ths_adjustment_nv_fund",AK$3,$A112))</f>
        <v/>
      </c>
      <c r="AL112" s="13" t="str">
        <f>IF($A112="","",[1]!thsiFinD("ths_adjustment_nv_fund",AL$3,$A112))</f>
        <v/>
      </c>
    </row>
    <row r="113" spans="1:38">
      <c r="A113" s="9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 t="str">
        <f>IF($A113="","",[1]!thsiFinD("ths_adjustment_nv_fund",Z$3,$A113))</f>
        <v/>
      </c>
      <c r="AA113" s="13" t="str">
        <f>IF($A113="","",[1]!thsiFinD("ths_adjustment_nv_fund",AA$3,$A113))</f>
        <v/>
      </c>
      <c r="AB113" s="13" t="str">
        <f>IF($A113="","",[1]!thsiFinD("ths_adjustment_nv_fund",AB$3,$A113))</f>
        <v/>
      </c>
      <c r="AC113" s="13" t="str">
        <f>IF($A113="","",[1]!thsiFinD("ths_adjustment_nv_fund",AC$3,$A113))</f>
        <v/>
      </c>
      <c r="AD113" s="13" t="str">
        <f>IF($A113="","",[1]!thsiFinD("ths_adjustment_nv_fund",AD$3,$A113))</f>
        <v/>
      </c>
      <c r="AE113" s="13" t="str">
        <f>IF($A113="","",[1]!thsiFinD("ths_adjustment_nv_fund",AE$3,$A113))</f>
        <v/>
      </c>
      <c r="AF113" s="13" t="str">
        <f>IF($A113="","",[1]!thsiFinD("ths_adjustment_nv_fund",AF$3,$A113))</f>
        <v/>
      </c>
      <c r="AG113" s="13" t="str">
        <f>IF($A113="","",[1]!thsiFinD("ths_adjustment_nv_fund",AG$3,$A113))</f>
        <v/>
      </c>
      <c r="AH113" s="13" t="str">
        <f>IF($A113="","",[1]!thsiFinD("ths_adjustment_nv_fund",AH$3,$A113))</f>
        <v/>
      </c>
      <c r="AI113" s="13" t="str">
        <f>IF($A113="","",[1]!thsiFinD("ths_adjustment_nv_fund",AI$3,$A113))</f>
        <v/>
      </c>
      <c r="AJ113" s="13" t="str">
        <f>IF($A113="","",[1]!thsiFinD("ths_adjustment_nv_fund",AJ$3,$A113))</f>
        <v/>
      </c>
      <c r="AK113" s="13" t="str">
        <f>IF($A113="","",[1]!thsiFinD("ths_adjustment_nv_fund",AK$3,$A113))</f>
        <v/>
      </c>
      <c r="AL113" s="13" t="str">
        <f>IF($A113="","",[1]!thsiFinD("ths_adjustment_nv_fund",AL$3,$A113))</f>
        <v/>
      </c>
    </row>
    <row r="114" spans="1:38">
      <c r="A114" s="9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 t="str">
        <f>IF($A114="","",[1]!thsiFinD("ths_adjustment_nv_fund",Z$3,$A114))</f>
        <v/>
      </c>
      <c r="AA114" s="13" t="str">
        <f>IF($A114="","",[1]!thsiFinD("ths_adjustment_nv_fund",AA$3,$A114))</f>
        <v/>
      </c>
      <c r="AB114" s="13" t="str">
        <f>IF($A114="","",[1]!thsiFinD("ths_adjustment_nv_fund",AB$3,$A114))</f>
        <v/>
      </c>
      <c r="AC114" s="13" t="str">
        <f>IF($A114="","",[1]!thsiFinD("ths_adjustment_nv_fund",AC$3,$A114))</f>
        <v/>
      </c>
      <c r="AD114" s="13" t="str">
        <f>IF($A114="","",[1]!thsiFinD("ths_adjustment_nv_fund",AD$3,$A114))</f>
        <v/>
      </c>
      <c r="AE114" s="13" t="str">
        <f>IF($A114="","",[1]!thsiFinD("ths_adjustment_nv_fund",AE$3,$A114))</f>
        <v/>
      </c>
      <c r="AF114" s="13" t="str">
        <f>IF($A114="","",[1]!thsiFinD("ths_adjustment_nv_fund",AF$3,$A114))</f>
        <v/>
      </c>
      <c r="AG114" s="13" t="str">
        <f>IF($A114="","",[1]!thsiFinD("ths_adjustment_nv_fund",AG$3,$A114))</f>
        <v/>
      </c>
      <c r="AH114" s="13" t="str">
        <f>IF($A114="","",[1]!thsiFinD("ths_adjustment_nv_fund",AH$3,$A114))</f>
        <v/>
      </c>
      <c r="AI114" s="13" t="str">
        <f>IF($A114="","",[1]!thsiFinD("ths_adjustment_nv_fund",AI$3,$A114))</f>
        <v/>
      </c>
      <c r="AJ114" s="13" t="str">
        <f>IF($A114="","",[1]!thsiFinD("ths_adjustment_nv_fund",AJ$3,$A114))</f>
        <v/>
      </c>
      <c r="AK114" s="13" t="str">
        <f>IF($A114="","",[1]!thsiFinD("ths_adjustment_nv_fund",AK$3,$A114))</f>
        <v/>
      </c>
      <c r="AL114" s="13" t="str">
        <f>IF($A114="","",[1]!thsiFinD("ths_adjustment_nv_fund",AL$3,$A114))</f>
        <v/>
      </c>
    </row>
    <row r="115" spans="1:38">
      <c r="A115" s="9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 t="str">
        <f>IF($A115="","",[1]!thsiFinD("ths_adjustment_nv_fund",Z$3,$A115))</f>
        <v/>
      </c>
      <c r="AA115" s="13" t="str">
        <f>IF($A115="","",[1]!thsiFinD("ths_adjustment_nv_fund",AA$3,$A115))</f>
        <v/>
      </c>
      <c r="AB115" s="13" t="str">
        <f>IF($A115="","",[1]!thsiFinD("ths_adjustment_nv_fund",AB$3,$A115))</f>
        <v/>
      </c>
      <c r="AC115" s="13" t="str">
        <f>IF($A115="","",[1]!thsiFinD("ths_adjustment_nv_fund",AC$3,$A115))</f>
        <v/>
      </c>
      <c r="AD115" s="13" t="str">
        <f>IF($A115="","",[1]!thsiFinD("ths_adjustment_nv_fund",AD$3,$A115))</f>
        <v/>
      </c>
      <c r="AE115" s="13" t="str">
        <f>IF($A115="","",[1]!thsiFinD("ths_adjustment_nv_fund",AE$3,$A115))</f>
        <v/>
      </c>
      <c r="AF115" s="13" t="str">
        <f>IF($A115="","",[1]!thsiFinD("ths_adjustment_nv_fund",AF$3,$A115))</f>
        <v/>
      </c>
      <c r="AG115" s="13" t="str">
        <f>IF($A115="","",[1]!thsiFinD("ths_adjustment_nv_fund",AG$3,$A115))</f>
        <v/>
      </c>
      <c r="AH115" s="13" t="str">
        <f>IF($A115="","",[1]!thsiFinD("ths_adjustment_nv_fund",AH$3,$A115))</f>
        <v/>
      </c>
      <c r="AI115" s="13" t="str">
        <f>IF($A115="","",[1]!thsiFinD("ths_adjustment_nv_fund",AI$3,$A115))</f>
        <v/>
      </c>
      <c r="AJ115" s="13" t="str">
        <f>IF($A115="","",[1]!thsiFinD("ths_adjustment_nv_fund",AJ$3,$A115))</f>
        <v/>
      </c>
      <c r="AK115" s="13" t="str">
        <f>IF($A115="","",[1]!thsiFinD("ths_adjustment_nv_fund",AK$3,$A115))</f>
        <v/>
      </c>
      <c r="AL115" s="13" t="str">
        <f>IF($A115="","",[1]!thsiFinD("ths_adjustment_nv_fund",AL$3,$A115))</f>
        <v/>
      </c>
    </row>
    <row r="116" spans="1:38">
      <c r="A116" s="9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 t="str">
        <f>IF($A116="","",[1]!thsiFinD("ths_adjustment_nv_fund",Z$3,$A116))</f>
        <v/>
      </c>
      <c r="AA116" s="13" t="str">
        <f>IF($A116="","",[1]!thsiFinD("ths_adjustment_nv_fund",AA$3,$A116))</f>
        <v/>
      </c>
      <c r="AB116" s="13" t="str">
        <f>IF($A116="","",[1]!thsiFinD("ths_adjustment_nv_fund",AB$3,$A116))</f>
        <v/>
      </c>
      <c r="AC116" s="13" t="str">
        <f>IF($A116="","",[1]!thsiFinD("ths_adjustment_nv_fund",AC$3,$A116))</f>
        <v/>
      </c>
      <c r="AD116" s="13" t="str">
        <f>IF($A116="","",[1]!thsiFinD("ths_adjustment_nv_fund",AD$3,$A116))</f>
        <v/>
      </c>
      <c r="AE116" s="13" t="str">
        <f>IF($A116="","",[1]!thsiFinD("ths_adjustment_nv_fund",AE$3,$A116))</f>
        <v/>
      </c>
      <c r="AF116" s="13" t="str">
        <f>IF($A116="","",[1]!thsiFinD("ths_adjustment_nv_fund",AF$3,$A116))</f>
        <v/>
      </c>
      <c r="AG116" s="13" t="str">
        <f>IF($A116="","",[1]!thsiFinD("ths_adjustment_nv_fund",AG$3,$A116))</f>
        <v/>
      </c>
      <c r="AH116" s="13" t="str">
        <f>IF($A116="","",[1]!thsiFinD("ths_adjustment_nv_fund",AH$3,$A116))</f>
        <v/>
      </c>
      <c r="AI116" s="13" t="str">
        <f>IF($A116="","",[1]!thsiFinD("ths_adjustment_nv_fund",AI$3,$A116))</f>
        <v/>
      </c>
      <c r="AJ116" s="13" t="str">
        <f>IF($A116="","",[1]!thsiFinD("ths_adjustment_nv_fund",AJ$3,$A116))</f>
        <v/>
      </c>
      <c r="AK116" s="13" t="str">
        <f>IF($A116="","",[1]!thsiFinD("ths_adjustment_nv_fund",AK$3,$A116))</f>
        <v/>
      </c>
      <c r="AL116" s="13" t="str">
        <f>IF($A116="","",[1]!thsiFinD("ths_adjustment_nv_fund",AL$3,$A116))</f>
        <v/>
      </c>
    </row>
    <row r="117" spans="1:38">
      <c r="A117" s="9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 t="str">
        <f>IF($A117="","",[1]!thsiFinD("ths_adjustment_nv_fund",Z$3,$A117))</f>
        <v/>
      </c>
      <c r="AA117" s="13" t="str">
        <f>IF($A117="","",[1]!thsiFinD("ths_adjustment_nv_fund",AA$3,$A117))</f>
        <v/>
      </c>
      <c r="AB117" s="13" t="str">
        <f>IF($A117="","",[1]!thsiFinD("ths_adjustment_nv_fund",AB$3,$A117))</f>
        <v/>
      </c>
      <c r="AC117" s="13" t="str">
        <f>IF($A117="","",[1]!thsiFinD("ths_adjustment_nv_fund",AC$3,$A117))</f>
        <v/>
      </c>
      <c r="AD117" s="13" t="str">
        <f>IF($A117="","",[1]!thsiFinD("ths_adjustment_nv_fund",AD$3,$A117))</f>
        <v/>
      </c>
      <c r="AE117" s="13" t="str">
        <f>IF($A117="","",[1]!thsiFinD("ths_adjustment_nv_fund",AE$3,$A117))</f>
        <v/>
      </c>
      <c r="AF117" s="13" t="str">
        <f>IF($A117="","",[1]!thsiFinD("ths_adjustment_nv_fund",AF$3,$A117))</f>
        <v/>
      </c>
      <c r="AG117" s="13" t="str">
        <f>IF($A117="","",[1]!thsiFinD("ths_adjustment_nv_fund",AG$3,$A117))</f>
        <v/>
      </c>
      <c r="AH117" s="13" t="str">
        <f>IF($A117="","",[1]!thsiFinD("ths_adjustment_nv_fund",AH$3,$A117))</f>
        <v/>
      </c>
      <c r="AI117" s="13" t="str">
        <f>IF($A117="","",[1]!thsiFinD("ths_adjustment_nv_fund",AI$3,$A117))</f>
        <v/>
      </c>
      <c r="AJ117" s="13" t="str">
        <f>IF($A117="","",[1]!thsiFinD("ths_adjustment_nv_fund",AJ$3,$A117))</f>
        <v/>
      </c>
      <c r="AK117" s="13" t="str">
        <f>IF($A117="","",[1]!thsiFinD("ths_adjustment_nv_fund",AK$3,$A117))</f>
        <v/>
      </c>
      <c r="AL117" s="13" t="str">
        <f>IF($A117="","",[1]!thsiFinD("ths_adjustment_nv_fund",AL$3,$A117))</f>
        <v/>
      </c>
    </row>
    <row r="118" spans="1:38">
      <c r="A118" s="9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 t="str">
        <f>IF($A118="","",[1]!thsiFinD("ths_adjustment_nv_fund",Z$3,$A118))</f>
        <v/>
      </c>
      <c r="AA118" s="13" t="str">
        <f>IF($A118="","",[1]!thsiFinD("ths_adjustment_nv_fund",AA$3,$A118))</f>
        <v/>
      </c>
      <c r="AB118" s="13" t="str">
        <f>IF($A118="","",[1]!thsiFinD("ths_adjustment_nv_fund",AB$3,$A118))</f>
        <v/>
      </c>
      <c r="AC118" s="13" t="str">
        <f>IF($A118="","",[1]!thsiFinD("ths_adjustment_nv_fund",AC$3,$A118))</f>
        <v/>
      </c>
      <c r="AD118" s="13" t="str">
        <f>IF($A118="","",[1]!thsiFinD("ths_adjustment_nv_fund",AD$3,$A118))</f>
        <v/>
      </c>
      <c r="AE118" s="13" t="str">
        <f>IF($A118="","",[1]!thsiFinD("ths_adjustment_nv_fund",AE$3,$A118))</f>
        <v/>
      </c>
      <c r="AF118" s="13" t="str">
        <f>IF($A118="","",[1]!thsiFinD("ths_adjustment_nv_fund",AF$3,$A118))</f>
        <v/>
      </c>
      <c r="AG118" s="13" t="str">
        <f>IF($A118="","",[1]!thsiFinD("ths_adjustment_nv_fund",AG$3,$A118))</f>
        <v/>
      </c>
      <c r="AH118" s="13" t="str">
        <f>IF($A118="","",[1]!thsiFinD("ths_adjustment_nv_fund",AH$3,$A118))</f>
        <v/>
      </c>
      <c r="AI118" s="13" t="str">
        <f>IF($A118="","",[1]!thsiFinD("ths_adjustment_nv_fund",AI$3,$A118))</f>
        <v/>
      </c>
      <c r="AJ118" s="13" t="str">
        <f>IF($A118="","",[1]!thsiFinD("ths_adjustment_nv_fund",AJ$3,$A118))</f>
        <v/>
      </c>
      <c r="AK118" s="13" t="str">
        <f>IF($A118="","",[1]!thsiFinD("ths_adjustment_nv_fund",AK$3,$A118))</f>
        <v/>
      </c>
      <c r="AL118" s="13" t="str">
        <f>IF($A118="","",[1]!thsiFinD("ths_adjustment_nv_fund",AL$3,$A118))</f>
        <v/>
      </c>
    </row>
    <row r="119" spans="1:38">
      <c r="A119" s="9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 t="str">
        <f>IF($A119="","",[1]!thsiFinD("ths_adjustment_nv_fund",Z$3,$A119))</f>
        <v/>
      </c>
      <c r="AA119" s="13" t="str">
        <f>IF($A119="","",[1]!thsiFinD("ths_adjustment_nv_fund",AA$3,$A119))</f>
        <v/>
      </c>
      <c r="AB119" s="13" t="str">
        <f>IF($A119="","",[1]!thsiFinD("ths_adjustment_nv_fund",AB$3,$A119))</f>
        <v/>
      </c>
      <c r="AC119" s="13" t="str">
        <f>IF($A119="","",[1]!thsiFinD("ths_adjustment_nv_fund",AC$3,$A119))</f>
        <v/>
      </c>
      <c r="AD119" s="13" t="str">
        <f>IF($A119="","",[1]!thsiFinD("ths_adjustment_nv_fund",AD$3,$A119))</f>
        <v/>
      </c>
      <c r="AE119" s="13" t="str">
        <f>IF($A119="","",[1]!thsiFinD("ths_adjustment_nv_fund",AE$3,$A119))</f>
        <v/>
      </c>
      <c r="AF119" s="13" t="str">
        <f>IF($A119="","",[1]!thsiFinD("ths_adjustment_nv_fund",AF$3,$A119))</f>
        <v/>
      </c>
      <c r="AG119" s="13" t="str">
        <f>IF($A119="","",[1]!thsiFinD("ths_adjustment_nv_fund",AG$3,$A119))</f>
        <v/>
      </c>
      <c r="AH119" s="13" t="str">
        <f>IF($A119="","",[1]!thsiFinD("ths_adjustment_nv_fund",AH$3,$A119))</f>
        <v/>
      </c>
      <c r="AI119" s="13" t="str">
        <f>IF($A119="","",[1]!thsiFinD("ths_adjustment_nv_fund",AI$3,$A119))</f>
        <v/>
      </c>
      <c r="AJ119" s="13" t="str">
        <f>IF($A119="","",[1]!thsiFinD("ths_adjustment_nv_fund",AJ$3,$A119))</f>
        <v/>
      </c>
      <c r="AK119" s="13" t="str">
        <f>IF($A119="","",[1]!thsiFinD("ths_adjustment_nv_fund",AK$3,$A119))</f>
        <v/>
      </c>
      <c r="AL119" s="13" t="str">
        <f>IF($A119="","",[1]!thsiFinD("ths_adjustment_nv_fund",AL$3,$A119))</f>
        <v/>
      </c>
    </row>
    <row r="120" spans="1:38">
      <c r="A120" s="9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 t="str">
        <f>IF($A120="","",[1]!thsiFinD("ths_adjustment_nv_fund",Z$3,$A120))</f>
        <v/>
      </c>
      <c r="AA120" s="13" t="str">
        <f>IF($A120="","",[1]!thsiFinD("ths_adjustment_nv_fund",AA$3,$A120))</f>
        <v/>
      </c>
      <c r="AB120" s="13" t="str">
        <f>IF($A120="","",[1]!thsiFinD("ths_adjustment_nv_fund",AB$3,$A120))</f>
        <v/>
      </c>
      <c r="AC120" s="13" t="str">
        <f>IF($A120="","",[1]!thsiFinD("ths_adjustment_nv_fund",AC$3,$A120))</f>
        <v/>
      </c>
      <c r="AD120" s="13" t="str">
        <f>IF($A120="","",[1]!thsiFinD("ths_adjustment_nv_fund",AD$3,$A120))</f>
        <v/>
      </c>
      <c r="AE120" s="13" t="str">
        <f>IF($A120="","",[1]!thsiFinD("ths_adjustment_nv_fund",AE$3,$A120))</f>
        <v/>
      </c>
      <c r="AF120" s="13" t="str">
        <f>IF($A120="","",[1]!thsiFinD("ths_adjustment_nv_fund",AF$3,$A120))</f>
        <v/>
      </c>
      <c r="AG120" s="13" t="str">
        <f>IF($A120="","",[1]!thsiFinD("ths_adjustment_nv_fund",AG$3,$A120))</f>
        <v/>
      </c>
      <c r="AH120" s="13" t="str">
        <f>IF($A120="","",[1]!thsiFinD("ths_adjustment_nv_fund",AH$3,$A120))</f>
        <v/>
      </c>
      <c r="AI120" s="13" t="str">
        <f>IF($A120="","",[1]!thsiFinD("ths_adjustment_nv_fund",AI$3,$A120))</f>
        <v/>
      </c>
      <c r="AJ120" s="13" t="str">
        <f>IF($A120="","",[1]!thsiFinD("ths_adjustment_nv_fund",AJ$3,$A120))</f>
        <v/>
      </c>
      <c r="AK120" s="13" t="str">
        <f>IF($A120="","",[1]!thsiFinD("ths_adjustment_nv_fund",AK$3,$A120))</f>
        <v/>
      </c>
      <c r="AL120" s="13" t="str">
        <f>IF($A120="","",[1]!thsiFinD("ths_adjustment_nv_fund",AL$3,$A120))</f>
        <v/>
      </c>
    </row>
    <row r="121" spans="1:38">
      <c r="A121" s="9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 t="str">
        <f>IF($A121="","",[1]!thsiFinD("ths_adjustment_nv_fund",Z$3,$A121))</f>
        <v/>
      </c>
      <c r="AA121" s="13" t="str">
        <f>IF($A121="","",[1]!thsiFinD("ths_adjustment_nv_fund",AA$3,$A121))</f>
        <v/>
      </c>
      <c r="AB121" s="13" t="str">
        <f>IF($A121="","",[1]!thsiFinD("ths_adjustment_nv_fund",AB$3,$A121))</f>
        <v/>
      </c>
      <c r="AC121" s="13" t="str">
        <f>IF($A121="","",[1]!thsiFinD("ths_adjustment_nv_fund",AC$3,$A121))</f>
        <v/>
      </c>
      <c r="AD121" s="13" t="str">
        <f>IF($A121="","",[1]!thsiFinD("ths_adjustment_nv_fund",AD$3,$A121))</f>
        <v/>
      </c>
      <c r="AE121" s="13" t="str">
        <f>IF($A121="","",[1]!thsiFinD("ths_adjustment_nv_fund",AE$3,$A121))</f>
        <v/>
      </c>
      <c r="AF121" s="13" t="str">
        <f>IF($A121="","",[1]!thsiFinD("ths_adjustment_nv_fund",AF$3,$A121))</f>
        <v/>
      </c>
      <c r="AG121" s="13" t="str">
        <f>IF($A121="","",[1]!thsiFinD("ths_adjustment_nv_fund",AG$3,$A121))</f>
        <v/>
      </c>
      <c r="AH121" s="13" t="str">
        <f>IF($A121="","",[1]!thsiFinD("ths_adjustment_nv_fund",AH$3,$A121))</f>
        <v/>
      </c>
      <c r="AI121" s="13" t="str">
        <f>IF($A121="","",[1]!thsiFinD("ths_adjustment_nv_fund",AI$3,$A121))</f>
        <v/>
      </c>
      <c r="AJ121" s="13" t="str">
        <f>IF($A121="","",[1]!thsiFinD("ths_adjustment_nv_fund",AJ$3,$A121))</f>
        <v/>
      </c>
      <c r="AK121" s="13" t="str">
        <f>IF($A121="","",[1]!thsiFinD("ths_adjustment_nv_fund",AK$3,$A121))</f>
        <v/>
      </c>
      <c r="AL121" s="13" t="str">
        <f>IF($A121="","",[1]!thsiFinD("ths_adjustment_nv_fund",AL$3,$A121))</f>
        <v/>
      </c>
    </row>
    <row r="122" spans="1:38">
      <c r="A122" s="9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 t="str">
        <f>IF($A122="","",[1]!thsiFinD("ths_adjustment_nv_fund",Z$3,$A122))</f>
        <v/>
      </c>
      <c r="AA122" s="13" t="str">
        <f>IF($A122="","",[1]!thsiFinD("ths_adjustment_nv_fund",AA$3,$A122))</f>
        <v/>
      </c>
      <c r="AB122" s="13" t="str">
        <f>IF($A122="","",[1]!thsiFinD("ths_adjustment_nv_fund",AB$3,$A122))</f>
        <v/>
      </c>
      <c r="AC122" s="13" t="str">
        <f>IF($A122="","",[1]!thsiFinD("ths_adjustment_nv_fund",AC$3,$A122))</f>
        <v/>
      </c>
      <c r="AD122" s="13" t="str">
        <f>IF($A122="","",[1]!thsiFinD("ths_adjustment_nv_fund",AD$3,$A122))</f>
        <v/>
      </c>
      <c r="AE122" s="13" t="str">
        <f>IF($A122="","",[1]!thsiFinD("ths_adjustment_nv_fund",AE$3,$A122))</f>
        <v/>
      </c>
      <c r="AF122" s="13" t="str">
        <f>IF($A122="","",[1]!thsiFinD("ths_adjustment_nv_fund",AF$3,$A122))</f>
        <v/>
      </c>
      <c r="AG122" s="13" t="str">
        <f>IF($A122="","",[1]!thsiFinD("ths_adjustment_nv_fund",AG$3,$A122))</f>
        <v/>
      </c>
      <c r="AH122" s="13" t="str">
        <f>IF($A122="","",[1]!thsiFinD("ths_adjustment_nv_fund",AH$3,$A122))</f>
        <v/>
      </c>
      <c r="AI122" s="13" t="str">
        <f>IF($A122="","",[1]!thsiFinD("ths_adjustment_nv_fund",AI$3,$A122))</f>
        <v/>
      </c>
      <c r="AJ122" s="13" t="str">
        <f>IF($A122="","",[1]!thsiFinD("ths_adjustment_nv_fund",AJ$3,$A122))</f>
        <v/>
      </c>
      <c r="AK122" s="13" t="str">
        <f>IF($A122="","",[1]!thsiFinD("ths_adjustment_nv_fund",AK$3,$A122))</f>
        <v/>
      </c>
      <c r="AL122" s="13" t="str">
        <f>IF($A122="","",[1]!thsiFinD("ths_adjustment_nv_fund",AL$3,$A122))</f>
        <v/>
      </c>
    </row>
    <row r="123" spans="1:38">
      <c r="A123" s="9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 t="str">
        <f>IF($A123="","",[1]!thsiFinD("ths_adjustment_nv_fund",Z$3,$A123))</f>
        <v/>
      </c>
      <c r="AA123" s="13" t="str">
        <f>IF($A123="","",[1]!thsiFinD("ths_adjustment_nv_fund",AA$3,$A123))</f>
        <v/>
      </c>
      <c r="AB123" s="13" t="str">
        <f>IF($A123="","",[1]!thsiFinD("ths_adjustment_nv_fund",AB$3,$A123))</f>
        <v/>
      </c>
      <c r="AC123" s="13" t="str">
        <f>IF($A123="","",[1]!thsiFinD("ths_adjustment_nv_fund",AC$3,$A123))</f>
        <v/>
      </c>
      <c r="AD123" s="13" t="str">
        <f>IF($A123="","",[1]!thsiFinD("ths_adjustment_nv_fund",AD$3,$A123))</f>
        <v/>
      </c>
      <c r="AE123" s="13" t="str">
        <f>IF($A123="","",[1]!thsiFinD("ths_adjustment_nv_fund",AE$3,$A123))</f>
        <v/>
      </c>
      <c r="AF123" s="13" t="str">
        <f>IF($A123="","",[1]!thsiFinD("ths_adjustment_nv_fund",AF$3,$A123))</f>
        <v/>
      </c>
      <c r="AG123" s="13" t="str">
        <f>IF($A123="","",[1]!thsiFinD("ths_adjustment_nv_fund",AG$3,$A123))</f>
        <v/>
      </c>
      <c r="AH123" s="13" t="str">
        <f>IF($A123="","",[1]!thsiFinD("ths_adjustment_nv_fund",AH$3,$A123))</f>
        <v/>
      </c>
      <c r="AI123" s="13" t="str">
        <f>IF($A123="","",[1]!thsiFinD("ths_adjustment_nv_fund",AI$3,$A123))</f>
        <v/>
      </c>
      <c r="AJ123" s="13" t="str">
        <f>IF($A123="","",[1]!thsiFinD("ths_adjustment_nv_fund",AJ$3,$A123))</f>
        <v/>
      </c>
      <c r="AK123" s="13" t="str">
        <f>IF($A123="","",[1]!thsiFinD("ths_adjustment_nv_fund",AK$3,$A123))</f>
        <v/>
      </c>
      <c r="AL123" s="13" t="str">
        <f>IF($A123="","",[1]!thsiFinD("ths_adjustment_nv_fund",AL$3,$A123))</f>
        <v/>
      </c>
    </row>
    <row r="124" spans="1:38">
      <c r="A124" s="9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 t="str">
        <f>IF($A124="","",[1]!thsiFinD("ths_adjustment_nv_fund",Z$3,$A124))</f>
        <v/>
      </c>
      <c r="AA124" s="13" t="str">
        <f>IF($A124="","",[1]!thsiFinD("ths_adjustment_nv_fund",AA$3,$A124))</f>
        <v/>
      </c>
      <c r="AB124" s="13" t="str">
        <f>IF($A124="","",[1]!thsiFinD("ths_adjustment_nv_fund",AB$3,$A124))</f>
        <v/>
      </c>
      <c r="AC124" s="13" t="str">
        <f>IF($A124="","",[1]!thsiFinD("ths_adjustment_nv_fund",AC$3,$A124))</f>
        <v/>
      </c>
      <c r="AD124" s="13" t="str">
        <f>IF($A124="","",[1]!thsiFinD("ths_adjustment_nv_fund",AD$3,$A124))</f>
        <v/>
      </c>
      <c r="AE124" s="13" t="str">
        <f>IF($A124="","",[1]!thsiFinD("ths_adjustment_nv_fund",AE$3,$A124))</f>
        <v/>
      </c>
      <c r="AF124" s="13" t="str">
        <f>IF($A124="","",[1]!thsiFinD("ths_adjustment_nv_fund",AF$3,$A124))</f>
        <v/>
      </c>
      <c r="AG124" s="13" t="str">
        <f>IF($A124="","",[1]!thsiFinD("ths_adjustment_nv_fund",AG$3,$A124))</f>
        <v/>
      </c>
      <c r="AH124" s="13" t="str">
        <f>IF($A124="","",[1]!thsiFinD("ths_adjustment_nv_fund",AH$3,$A124))</f>
        <v/>
      </c>
      <c r="AI124" s="13" t="str">
        <f>IF($A124="","",[1]!thsiFinD("ths_adjustment_nv_fund",AI$3,$A124))</f>
        <v/>
      </c>
      <c r="AJ124" s="13" t="str">
        <f>IF($A124="","",[1]!thsiFinD("ths_adjustment_nv_fund",AJ$3,$A124))</f>
        <v/>
      </c>
      <c r="AK124" s="13" t="str">
        <f>IF($A124="","",[1]!thsiFinD("ths_adjustment_nv_fund",AK$3,$A124))</f>
        <v/>
      </c>
      <c r="AL124" s="13" t="str">
        <f>IF($A124="","",[1]!thsiFinD("ths_adjustment_nv_fund",AL$3,$A124))</f>
        <v/>
      </c>
    </row>
    <row r="125" spans="1:38">
      <c r="A125" s="9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 t="str">
        <f>IF($A125="","",[1]!thsiFinD("ths_adjustment_nv_fund",Z$3,$A125))</f>
        <v/>
      </c>
      <c r="AA125" s="13" t="str">
        <f>IF($A125="","",[1]!thsiFinD("ths_adjustment_nv_fund",AA$3,$A125))</f>
        <v/>
      </c>
      <c r="AB125" s="13" t="str">
        <f>IF($A125="","",[1]!thsiFinD("ths_adjustment_nv_fund",AB$3,$A125))</f>
        <v/>
      </c>
      <c r="AC125" s="13" t="str">
        <f>IF($A125="","",[1]!thsiFinD("ths_adjustment_nv_fund",AC$3,$A125))</f>
        <v/>
      </c>
      <c r="AD125" s="13" t="str">
        <f>IF($A125="","",[1]!thsiFinD("ths_adjustment_nv_fund",AD$3,$A125))</f>
        <v/>
      </c>
      <c r="AE125" s="13" t="str">
        <f>IF($A125="","",[1]!thsiFinD("ths_adjustment_nv_fund",AE$3,$A125))</f>
        <v/>
      </c>
      <c r="AF125" s="13" t="str">
        <f>IF($A125="","",[1]!thsiFinD("ths_adjustment_nv_fund",AF$3,$A125))</f>
        <v/>
      </c>
      <c r="AG125" s="13" t="str">
        <f>IF($A125="","",[1]!thsiFinD("ths_adjustment_nv_fund",AG$3,$A125))</f>
        <v/>
      </c>
      <c r="AH125" s="13" t="str">
        <f>IF($A125="","",[1]!thsiFinD("ths_adjustment_nv_fund",AH$3,$A125))</f>
        <v/>
      </c>
      <c r="AI125" s="13" t="str">
        <f>IF($A125="","",[1]!thsiFinD("ths_adjustment_nv_fund",AI$3,$A125))</f>
        <v/>
      </c>
      <c r="AJ125" s="13" t="str">
        <f>IF($A125="","",[1]!thsiFinD("ths_adjustment_nv_fund",AJ$3,$A125))</f>
        <v/>
      </c>
      <c r="AK125" s="13" t="str">
        <f>IF($A125="","",[1]!thsiFinD("ths_adjustment_nv_fund",AK$3,$A125))</f>
        <v/>
      </c>
      <c r="AL125" s="13" t="str">
        <f>IF($A125="","",[1]!thsiFinD("ths_adjustment_nv_fund",AL$3,$A125))</f>
        <v/>
      </c>
    </row>
    <row r="126" spans="1:38">
      <c r="A126" s="9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 t="str">
        <f>IF($A126="","",[1]!thsiFinD("ths_adjustment_nv_fund",Z$3,$A126))</f>
        <v/>
      </c>
      <c r="AA126" s="13" t="str">
        <f>IF($A126="","",[1]!thsiFinD("ths_adjustment_nv_fund",AA$3,$A126))</f>
        <v/>
      </c>
      <c r="AB126" s="13" t="str">
        <f>IF($A126="","",[1]!thsiFinD("ths_adjustment_nv_fund",AB$3,$A126))</f>
        <v/>
      </c>
      <c r="AC126" s="13" t="str">
        <f>IF($A126="","",[1]!thsiFinD("ths_adjustment_nv_fund",AC$3,$A126))</f>
        <v/>
      </c>
      <c r="AD126" s="13" t="str">
        <f>IF($A126="","",[1]!thsiFinD("ths_adjustment_nv_fund",AD$3,$A126))</f>
        <v/>
      </c>
      <c r="AE126" s="13" t="str">
        <f>IF($A126="","",[1]!thsiFinD("ths_adjustment_nv_fund",AE$3,$A126))</f>
        <v/>
      </c>
      <c r="AF126" s="13" t="str">
        <f>IF($A126="","",[1]!thsiFinD("ths_adjustment_nv_fund",AF$3,$A126))</f>
        <v/>
      </c>
      <c r="AG126" s="13" t="str">
        <f>IF($A126="","",[1]!thsiFinD("ths_adjustment_nv_fund",AG$3,$A126))</f>
        <v/>
      </c>
      <c r="AH126" s="13" t="str">
        <f>IF($A126="","",[1]!thsiFinD("ths_adjustment_nv_fund",AH$3,$A126))</f>
        <v/>
      </c>
      <c r="AI126" s="13" t="str">
        <f>IF($A126="","",[1]!thsiFinD("ths_adjustment_nv_fund",AI$3,$A126))</f>
        <v/>
      </c>
      <c r="AJ126" s="13" t="str">
        <f>IF($A126="","",[1]!thsiFinD("ths_adjustment_nv_fund",AJ$3,$A126))</f>
        <v/>
      </c>
      <c r="AK126" s="13" t="str">
        <f>IF($A126="","",[1]!thsiFinD("ths_adjustment_nv_fund",AK$3,$A126))</f>
        <v/>
      </c>
      <c r="AL126" s="13" t="str">
        <f>IF($A126="","",[1]!thsiFinD("ths_adjustment_nv_fund",AL$3,$A126))</f>
        <v/>
      </c>
    </row>
    <row r="127" spans="1:38">
      <c r="A127" s="9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 t="str">
        <f>IF($A127="","",[1]!thsiFinD("ths_adjustment_nv_fund",Z$3,$A127))</f>
        <v/>
      </c>
      <c r="AA127" s="13" t="str">
        <f>IF($A127="","",[1]!thsiFinD("ths_adjustment_nv_fund",AA$3,$A127))</f>
        <v/>
      </c>
      <c r="AB127" s="13" t="str">
        <f>IF($A127="","",[1]!thsiFinD("ths_adjustment_nv_fund",AB$3,$A127))</f>
        <v/>
      </c>
      <c r="AC127" s="13" t="str">
        <f>IF($A127="","",[1]!thsiFinD("ths_adjustment_nv_fund",AC$3,$A127))</f>
        <v/>
      </c>
      <c r="AD127" s="13" t="str">
        <f>IF($A127="","",[1]!thsiFinD("ths_adjustment_nv_fund",AD$3,$A127))</f>
        <v/>
      </c>
      <c r="AE127" s="13" t="str">
        <f>IF($A127="","",[1]!thsiFinD("ths_adjustment_nv_fund",AE$3,$A127))</f>
        <v/>
      </c>
      <c r="AF127" s="13" t="str">
        <f>IF($A127="","",[1]!thsiFinD("ths_adjustment_nv_fund",AF$3,$A127))</f>
        <v/>
      </c>
      <c r="AG127" s="13" t="str">
        <f>IF($A127="","",[1]!thsiFinD("ths_adjustment_nv_fund",AG$3,$A127))</f>
        <v/>
      </c>
      <c r="AH127" s="13" t="str">
        <f>IF($A127="","",[1]!thsiFinD("ths_adjustment_nv_fund",AH$3,$A127))</f>
        <v/>
      </c>
      <c r="AI127" s="13" t="str">
        <f>IF($A127="","",[1]!thsiFinD("ths_adjustment_nv_fund",AI$3,$A127))</f>
        <v/>
      </c>
      <c r="AJ127" s="13" t="str">
        <f>IF($A127="","",[1]!thsiFinD("ths_adjustment_nv_fund",AJ$3,$A127))</f>
        <v/>
      </c>
      <c r="AK127" s="13" t="str">
        <f>IF($A127="","",[1]!thsiFinD("ths_adjustment_nv_fund",AK$3,$A127))</f>
        <v/>
      </c>
      <c r="AL127" s="13" t="str">
        <f>IF($A127="","",[1]!thsiFinD("ths_adjustment_nv_fund",AL$3,$A127))</f>
        <v/>
      </c>
    </row>
    <row r="128" spans="1:38">
      <c r="A128" s="9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 t="str">
        <f>IF($A128="","",[1]!thsiFinD("ths_adjustment_nv_fund",Z$3,$A128))</f>
        <v/>
      </c>
      <c r="AA128" s="13" t="str">
        <f>IF($A128="","",[1]!thsiFinD("ths_adjustment_nv_fund",AA$3,$A128))</f>
        <v/>
      </c>
      <c r="AB128" s="13" t="str">
        <f>IF($A128="","",[1]!thsiFinD("ths_adjustment_nv_fund",AB$3,$A128))</f>
        <v/>
      </c>
      <c r="AC128" s="13" t="str">
        <f>IF($A128="","",[1]!thsiFinD("ths_adjustment_nv_fund",AC$3,$A128))</f>
        <v/>
      </c>
      <c r="AD128" s="13" t="str">
        <f>IF($A128="","",[1]!thsiFinD("ths_adjustment_nv_fund",AD$3,$A128))</f>
        <v/>
      </c>
      <c r="AE128" s="13" t="str">
        <f>IF($A128="","",[1]!thsiFinD("ths_adjustment_nv_fund",AE$3,$A128))</f>
        <v/>
      </c>
      <c r="AF128" s="13" t="str">
        <f>IF($A128="","",[1]!thsiFinD("ths_adjustment_nv_fund",AF$3,$A128))</f>
        <v/>
      </c>
      <c r="AG128" s="13" t="str">
        <f>IF($A128="","",[1]!thsiFinD("ths_adjustment_nv_fund",AG$3,$A128))</f>
        <v/>
      </c>
      <c r="AH128" s="13" t="str">
        <f>IF($A128="","",[1]!thsiFinD("ths_adjustment_nv_fund",AH$3,$A128))</f>
        <v/>
      </c>
      <c r="AI128" s="13" t="str">
        <f>IF($A128="","",[1]!thsiFinD("ths_adjustment_nv_fund",AI$3,$A128))</f>
        <v/>
      </c>
      <c r="AJ128" s="13" t="str">
        <f>IF($A128="","",[1]!thsiFinD("ths_adjustment_nv_fund",AJ$3,$A128))</f>
        <v/>
      </c>
      <c r="AK128" s="13" t="str">
        <f>IF($A128="","",[1]!thsiFinD("ths_adjustment_nv_fund",AK$3,$A128))</f>
        <v/>
      </c>
      <c r="AL128" s="13" t="str">
        <f>IF($A128="","",[1]!thsiFinD("ths_adjustment_nv_fund",AL$3,$A128))</f>
        <v/>
      </c>
    </row>
    <row r="129" spans="1:38">
      <c r="A129" s="9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 t="str">
        <f>IF($A129="","",[1]!thsiFinD("ths_adjustment_nv_fund",Z$3,$A129))</f>
        <v/>
      </c>
      <c r="AA129" s="13" t="str">
        <f>IF($A129="","",[1]!thsiFinD("ths_adjustment_nv_fund",AA$3,$A129))</f>
        <v/>
      </c>
      <c r="AB129" s="13" t="str">
        <f>IF($A129="","",[1]!thsiFinD("ths_adjustment_nv_fund",AB$3,$A129))</f>
        <v/>
      </c>
      <c r="AC129" s="13" t="str">
        <f>IF($A129="","",[1]!thsiFinD("ths_adjustment_nv_fund",AC$3,$A129))</f>
        <v/>
      </c>
      <c r="AD129" s="13" t="str">
        <f>IF($A129="","",[1]!thsiFinD("ths_adjustment_nv_fund",AD$3,$A129))</f>
        <v/>
      </c>
      <c r="AE129" s="13" t="str">
        <f>IF($A129="","",[1]!thsiFinD("ths_adjustment_nv_fund",AE$3,$A129))</f>
        <v/>
      </c>
      <c r="AF129" s="13" t="str">
        <f>IF($A129="","",[1]!thsiFinD("ths_adjustment_nv_fund",AF$3,$A129))</f>
        <v/>
      </c>
      <c r="AG129" s="13" t="str">
        <f>IF($A129="","",[1]!thsiFinD("ths_adjustment_nv_fund",AG$3,$A129))</f>
        <v/>
      </c>
      <c r="AH129" s="13" t="str">
        <f>IF($A129="","",[1]!thsiFinD("ths_adjustment_nv_fund",AH$3,$A129))</f>
        <v/>
      </c>
      <c r="AI129" s="13" t="str">
        <f>IF($A129="","",[1]!thsiFinD("ths_adjustment_nv_fund",AI$3,$A129))</f>
        <v/>
      </c>
      <c r="AJ129" s="13" t="str">
        <f>IF($A129="","",[1]!thsiFinD("ths_adjustment_nv_fund",AJ$3,$A129))</f>
        <v/>
      </c>
      <c r="AK129" s="13" t="str">
        <f>IF($A129="","",[1]!thsiFinD("ths_adjustment_nv_fund",AK$3,$A129))</f>
        <v/>
      </c>
      <c r="AL129" s="13" t="str">
        <f>IF($A129="","",[1]!thsiFinD("ths_adjustment_nv_fund",AL$3,$A129))</f>
        <v/>
      </c>
    </row>
    <row r="130" spans="1:38">
      <c r="A130" s="9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 t="str">
        <f>IF($A130="","",[1]!thsiFinD("ths_adjustment_nv_fund",Z$3,$A130))</f>
        <v/>
      </c>
      <c r="AA130" s="13" t="str">
        <f>IF($A130="","",[1]!thsiFinD("ths_adjustment_nv_fund",AA$3,$A130))</f>
        <v/>
      </c>
      <c r="AB130" s="13" t="str">
        <f>IF($A130="","",[1]!thsiFinD("ths_adjustment_nv_fund",AB$3,$A130))</f>
        <v/>
      </c>
      <c r="AC130" s="13" t="str">
        <f>IF($A130="","",[1]!thsiFinD("ths_adjustment_nv_fund",AC$3,$A130))</f>
        <v/>
      </c>
      <c r="AD130" s="13" t="str">
        <f>IF($A130="","",[1]!thsiFinD("ths_adjustment_nv_fund",AD$3,$A130))</f>
        <v/>
      </c>
      <c r="AE130" s="13" t="str">
        <f>IF($A130="","",[1]!thsiFinD("ths_adjustment_nv_fund",AE$3,$A130))</f>
        <v/>
      </c>
      <c r="AF130" s="13" t="str">
        <f>IF($A130="","",[1]!thsiFinD("ths_adjustment_nv_fund",AF$3,$A130))</f>
        <v/>
      </c>
      <c r="AG130" s="13" t="str">
        <f>IF($A130="","",[1]!thsiFinD("ths_adjustment_nv_fund",AG$3,$A130))</f>
        <v/>
      </c>
      <c r="AH130" s="13" t="str">
        <f>IF($A130="","",[1]!thsiFinD("ths_adjustment_nv_fund",AH$3,$A130))</f>
        <v/>
      </c>
      <c r="AI130" s="13" t="str">
        <f>IF($A130="","",[1]!thsiFinD("ths_adjustment_nv_fund",AI$3,$A130))</f>
        <v/>
      </c>
      <c r="AJ130" s="13" t="str">
        <f>IF($A130="","",[1]!thsiFinD("ths_adjustment_nv_fund",AJ$3,$A130))</f>
        <v/>
      </c>
      <c r="AK130" s="13" t="str">
        <f>IF($A130="","",[1]!thsiFinD("ths_adjustment_nv_fund",AK$3,$A130))</f>
        <v/>
      </c>
      <c r="AL130" s="13" t="str">
        <f>IF($A130="","",[1]!thsiFinD("ths_adjustment_nv_fund",AL$3,$A130))</f>
        <v/>
      </c>
    </row>
    <row r="131" spans="1:38">
      <c r="A131" s="9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 t="str">
        <f>IF($A131="","",[1]!thsiFinD("ths_adjustment_nv_fund",Z$3,$A131))</f>
        <v/>
      </c>
      <c r="AA131" s="13" t="str">
        <f>IF($A131="","",[1]!thsiFinD("ths_adjustment_nv_fund",AA$3,$A131))</f>
        <v/>
      </c>
      <c r="AB131" s="13" t="str">
        <f>IF($A131="","",[1]!thsiFinD("ths_adjustment_nv_fund",AB$3,$A131))</f>
        <v/>
      </c>
      <c r="AC131" s="13" t="str">
        <f>IF($A131="","",[1]!thsiFinD("ths_adjustment_nv_fund",AC$3,$A131))</f>
        <v/>
      </c>
      <c r="AD131" s="13" t="str">
        <f>IF($A131="","",[1]!thsiFinD("ths_adjustment_nv_fund",AD$3,$A131))</f>
        <v/>
      </c>
      <c r="AE131" s="13" t="str">
        <f>IF($A131="","",[1]!thsiFinD("ths_adjustment_nv_fund",AE$3,$A131))</f>
        <v/>
      </c>
      <c r="AF131" s="13" t="str">
        <f>IF($A131="","",[1]!thsiFinD("ths_adjustment_nv_fund",AF$3,$A131))</f>
        <v/>
      </c>
      <c r="AG131" s="13" t="str">
        <f>IF($A131="","",[1]!thsiFinD("ths_adjustment_nv_fund",AG$3,$A131))</f>
        <v/>
      </c>
      <c r="AH131" s="13" t="str">
        <f>IF($A131="","",[1]!thsiFinD("ths_adjustment_nv_fund",AH$3,$A131))</f>
        <v/>
      </c>
      <c r="AI131" s="13" t="str">
        <f>IF($A131="","",[1]!thsiFinD("ths_adjustment_nv_fund",AI$3,$A131))</f>
        <v/>
      </c>
      <c r="AJ131" s="13" t="str">
        <f>IF($A131="","",[1]!thsiFinD("ths_adjustment_nv_fund",AJ$3,$A131))</f>
        <v/>
      </c>
      <c r="AK131" s="13" t="str">
        <f>IF($A131="","",[1]!thsiFinD("ths_adjustment_nv_fund",AK$3,$A131))</f>
        <v/>
      </c>
      <c r="AL131" s="13" t="str">
        <f>IF($A131="","",[1]!thsiFinD("ths_adjustment_nv_fund",AL$3,$A131))</f>
        <v/>
      </c>
    </row>
    <row r="132" spans="1:38">
      <c r="A132" s="9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 t="str">
        <f>IF($A132="","",[1]!thsiFinD("ths_adjustment_nv_fund",Z$3,$A132))</f>
        <v/>
      </c>
      <c r="AA132" s="13" t="str">
        <f>IF($A132="","",[1]!thsiFinD("ths_adjustment_nv_fund",AA$3,$A132))</f>
        <v/>
      </c>
      <c r="AB132" s="13" t="str">
        <f>IF($A132="","",[1]!thsiFinD("ths_adjustment_nv_fund",AB$3,$A132))</f>
        <v/>
      </c>
      <c r="AC132" s="13" t="str">
        <f>IF($A132="","",[1]!thsiFinD("ths_adjustment_nv_fund",AC$3,$A132))</f>
        <v/>
      </c>
      <c r="AD132" s="13" t="str">
        <f>IF($A132="","",[1]!thsiFinD("ths_adjustment_nv_fund",AD$3,$A132))</f>
        <v/>
      </c>
      <c r="AE132" s="13" t="str">
        <f>IF($A132="","",[1]!thsiFinD("ths_adjustment_nv_fund",AE$3,$A132))</f>
        <v/>
      </c>
      <c r="AF132" s="13" t="str">
        <f>IF($A132="","",[1]!thsiFinD("ths_adjustment_nv_fund",AF$3,$A132))</f>
        <v/>
      </c>
      <c r="AG132" s="13" t="str">
        <f>IF($A132="","",[1]!thsiFinD("ths_adjustment_nv_fund",AG$3,$A132))</f>
        <v/>
      </c>
      <c r="AH132" s="13" t="str">
        <f>IF($A132="","",[1]!thsiFinD("ths_adjustment_nv_fund",AH$3,$A132))</f>
        <v/>
      </c>
      <c r="AI132" s="13" t="str">
        <f>IF($A132="","",[1]!thsiFinD("ths_adjustment_nv_fund",AI$3,$A132))</f>
        <v/>
      </c>
      <c r="AJ132" s="13" t="str">
        <f>IF($A132="","",[1]!thsiFinD("ths_adjustment_nv_fund",AJ$3,$A132))</f>
        <v/>
      </c>
      <c r="AK132" s="13" t="str">
        <f>IF($A132="","",[1]!thsiFinD("ths_adjustment_nv_fund",AK$3,$A132))</f>
        <v/>
      </c>
      <c r="AL132" s="13" t="str">
        <f>IF($A132="","",[1]!thsiFinD("ths_adjustment_nv_fund",AL$3,$A132))</f>
        <v/>
      </c>
    </row>
    <row r="133" spans="1:38">
      <c r="A133" s="9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 t="str">
        <f>IF($A133="","",[1]!thsiFinD("ths_adjustment_nv_fund",Z$3,$A133))</f>
        <v/>
      </c>
      <c r="AA133" s="13" t="str">
        <f>IF($A133="","",[1]!thsiFinD("ths_adjustment_nv_fund",AA$3,$A133))</f>
        <v/>
      </c>
      <c r="AB133" s="13" t="str">
        <f>IF($A133="","",[1]!thsiFinD("ths_adjustment_nv_fund",AB$3,$A133))</f>
        <v/>
      </c>
      <c r="AC133" s="13" t="str">
        <f>IF($A133="","",[1]!thsiFinD("ths_adjustment_nv_fund",AC$3,$A133))</f>
        <v/>
      </c>
      <c r="AD133" s="13" t="str">
        <f>IF($A133="","",[1]!thsiFinD("ths_adjustment_nv_fund",AD$3,$A133))</f>
        <v/>
      </c>
      <c r="AE133" s="13" t="str">
        <f>IF($A133="","",[1]!thsiFinD("ths_adjustment_nv_fund",AE$3,$A133))</f>
        <v/>
      </c>
      <c r="AF133" s="13" t="str">
        <f>IF($A133="","",[1]!thsiFinD("ths_adjustment_nv_fund",AF$3,$A133))</f>
        <v/>
      </c>
      <c r="AG133" s="13" t="str">
        <f>IF($A133="","",[1]!thsiFinD("ths_adjustment_nv_fund",AG$3,$A133))</f>
        <v/>
      </c>
      <c r="AH133" s="13" t="str">
        <f>IF($A133="","",[1]!thsiFinD("ths_adjustment_nv_fund",AH$3,$A133))</f>
        <v/>
      </c>
      <c r="AI133" s="13" t="str">
        <f>IF($A133="","",[1]!thsiFinD("ths_adjustment_nv_fund",AI$3,$A133))</f>
        <v/>
      </c>
      <c r="AJ133" s="13" t="str">
        <f>IF($A133="","",[1]!thsiFinD("ths_adjustment_nv_fund",AJ$3,$A133))</f>
        <v/>
      </c>
      <c r="AK133" s="13" t="str">
        <f>IF($A133="","",[1]!thsiFinD("ths_adjustment_nv_fund",AK$3,$A133))</f>
        <v/>
      </c>
      <c r="AL133" s="13" t="str">
        <f>IF($A133="","",[1]!thsiFinD("ths_adjustment_nv_fund",AL$3,$A133))</f>
        <v/>
      </c>
    </row>
    <row r="134" spans="1:38">
      <c r="A134" s="9"/>
      <c r="B134" s="13" t="str">
        <f>IF($A134="","",[1]!thsiFinD("ths_adjustment_nv_fund",B$3,$A134))</f>
        <v/>
      </c>
      <c r="C134" s="13" t="str">
        <f>IF($A134="","",[1]!thsiFinD("ths_adjustment_nv_fund",C$3,$A134))</f>
        <v/>
      </c>
      <c r="D134" s="13" t="str">
        <f>IF($A134="","",[1]!thsiFinD("ths_adjustment_nv_fund",D$3,$A134))</f>
        <v/>
      </c>
      <c r="E134" s="13" t="str">
        <f>IF($A134="","",[1]!thsiFinD("ths_adjustment_nv_fund",E$3,$A134))</f>
        <v/>
      </c>
      <c r="F134" s="13" t="str">
        <f>IF($A134="","",[1]!thsiFinD("ths_adjustment_nv_fund",F$3,$A134))</f>
        <v/>
      </c>
      <c r="G134" s="13" t="str">
        <f>IF($A134="","",[1]!thsiFinD("ths_adjustment_nv_fund",G$3,$A134))</f>
        <v/>
      </c>
      <c r="H134" s="13" t="str">
        <f>IF($A134="","",[1]!thsiFinD("ths_adjustment_nv_fund",H$3,$A134))</f>
        <v/>
      </c>
      <c r="I134" s="13" t="str">
        <f>IF($A134="","",[1]!thsiFinD("ths_adjustment_nv_fund",I$3,$A134))</f>
        <v/>
      </c>
      <c r="J134" s="13" t="str">
        <f>IF($A134="","",[1]!thsiFinD("ths_adjustment_nv_fund",J$3,$A134))</f>
        <v/>
      </c>
      <c r="K134" s="13" t="str">
        <f>IF($A134="","",[1]!thsiFinD("ths_adjustment_nv_fund",K$3,$A134))</f>
        <v/>
      </c>
      <c r="L134" s="13" t="str">
        <f>IF($A134="","",[1]!thsiFinD("ths_adjustment_nv_fund",L$3,$A134))</f>
        <v/>
      </c>
      <c r="M134" s="13" t="str">
        <f>IF($A134="","",[1]!thsiFinD("ths_adjustment_nv_fund",M$3,$A134))</f>
        <v/>
      </c>
      <c r="N134" s="13" t="str">
        <f>IF($A134="","",[1]!thsiFinD("ths_adjustment_nv_fund",N$3,$A134))</f>
        <v/>
      </c>
      <c r="O134" s="13" t="str">
        <f>IF($A134="","",[1]!thsiFinD("ths_adjustment_nv_fund",O$3,$A134))</f>
        <v/>
      </c>
      <c r="P134" s="13" t="str">
        <f>IF($A134="","",[1]!thsiFinD("ths_adjustment_nv_fund",P$3,$A134))</f>
        <v/>
      </c>
      <c r="Q134" s="13" t="str">
        <f>IF($A134="","",[1]!thsiFinD("ths_adjustment_nv_fund",Q$3,$A134))</f>
        <v/>
      </c>
      <c r="R134" s="13" t="str">
        <f>IF($A134="","",[1]!thsiFinD("ths_adjustment_nv_fund",R$3,$A134))</f>
        <v/>
      </c>
      <c r="S134" s="13" t="str">
        <f>IF($A134="","",[1]!thsiFinD("ths_adjustment_nv_fund",S$3,$A134))</f>
        <v/>
      </c>
      <c r="T134" s="13" t="str">
        <f>IF($A134="","",[1]!thsiFinD("ths_adjustment_nv_fund",T$3,$A134))</f>
        <v/>
      </c>
      <c r="U134" s="13" t="str">
        <f>IF($A134="","",[1]!thsiFinD("ths_adjustment_nv_fund",U$3,$A134))</f>
        <v/>
      </c>
      <c r="V134" s="13" t="str">
        <f>IF($A134="","",[1]!thsiFinD("ths_adjustment_nv_fund",V$3,$A134))</f>
        <v/>
      </c>
      <c r="W134" s="13" t="str">
        <f>IF($A134="","",[1]!thsiFinD("ths_adjustment_nv_fund",W$3,$A134))</f>
        <v/>
      </c>
      <c r="X134" s="13" t="str">
        <f>IF($A134="","",[1]!thsiFinD("ths_adjustment_nv_fund",X$3,$A134))</f>
        <v/>
      </c>
      <c r="Y134" s="13" t="str">
        <f>IF($A134="","",[1]!thsiFinD("ths_adjustment_nv_fund",Y$3,$A134))</f>
        <v/>
      </c>
      <c r="Z134" s="13" t="str">
        <f>IF($A134="","",[1]!thsiFinD("ths_adjustment_nv_fund",Z$3,$A134))</f>
        <v/>
      </c>
      <c r="AA134" s="13" t="str">
        <f>IF($A134="","",[1]!thsiFinD("ths_adjustment_nv_fund",AA$3,$A134))</f>
        <v/>
      </c>
      <c r="AB134" s="13" t="str">
        <f>IF($A134="","",[1]!thsiFinD("ths_adjustment_nv_fund",AB$3,$A134))</f>
        <v/>
      </c>
      <c r="AC134" s="13" t="str">
        <f>IF($A134="","",[1]!thsiFinD("ths_adjustment_nv_fund",AC$3,$A134))</f>
        <v/>
      </c>
      <c r="AD134" s="13" t="str">
        <f>IF($A134="","",[1]!thsiFinD("ths_adjustment_nv_fund",AD$3,$A134))</f>
        <v/>
      </c>
      <c r="AE134" s="13" t="str">
        <f>IF($A134="","",[1]!thsiFinD("ths_adjustment_nv_fund",AE$3,$A134))</f>
        <v/>
      </c>
      <c r="AF134" s="13" t="str">
        <f>IF($A134="","",[1]!thsiFinD("ths_adjustment_nv_fund",AF$3,$A134))</f>
        <v/>
      </c>
      <c r="AG134" s="13" t="str">
        <f>IF($A134="","",[1]!thsiFinD("ths_adjustment_nv_fund",AG$3,$A134))</f>
        <v/>
      </c>
      <c r="AH134" s="13" t="str">
        <f>IF($A134="","",[1]!thsiFinD("ths_adjustment_nv_fund",AH$3,$A134))</f>
        <v/>
      </c>
      <c r="AI134" s="13" t="str">
        <f>IF($A134="","",[1]!thsiFinD("ths_adjustment_nv_fund",AI$3,$A134))</f>
        <v/>
      </c>
      <c r="AJ134" s="13" t="str">
        <f>IF($A134="","",[1]!thsiFinD("ths_adjustment_nv_fund",AJ$3,$A134))</f>
        <v/>
      </c>
      <c r="AK134" s="13" t="str">
        <f>IF($A134="","",[1]!thsiFinD("ths_adjustment_nv_fund",AK$3,$A134))</f>
        <v/>
      </c>
      <c r="AL134" s="13" t="str">
        <f>IF($A134="","",[1]!thsiFinD("ths_adjustment_nv_fund",AL$3,$A134))</f>
        <v/>
      </c>
    </row>
    <row r="135" spans="1:38">
      <c r="A135" s="9"/>
      <c r="B135" s="13" t="str">
        <f>IF($A135="","",[1]!thsiFinD("ths_adjustment_nv_fund",B$3,$A135))</f>
        <v/>
      </c>
      <c r="C135" s="13" t="str">
        <f>IF($A135="","",[1]!thsiFinD("ths_adjustment_nv_fund",C$3,$A135))</f>
        <v/>
      </c>
      <c r="D135" s="13" t="str">
        <f>IF($A135="","",[1]!thsiFinD("ths_adjustment_nv_fund",D$3,$A135))</f>
        <v/>
      </c>
      <c r="E135" s="13" t="str">
        <f>IF($A135="","",[1]!thsiFinD("ths_adjustment_nv_fund",E$3,$A135))</f>
        <v/>
      </c>
      <c r="F135" s="13" t="str">
        <f>IF($A135="","",[1]!thsiFinD("ths_adjustment_nv_fund",F$3,$A135))</f>
        <v/>
      </c>
      <c r="G135" s="13" t="str">
        <f>IF($A135="","",[1]!thsiFinD("ths_adjustment_nv_fund",G$3,$A135))</f>
        <v/>
      </c>
      <c r="H135" s="13" t="str">
        <f>IF($A135="","",[1]!thsiFinD("ths_adjustment_nv_fund",H$3,$A135))</f>
        <v/>
      </c>
      <c r="I135" s="13" t="str">
        <f>IF($A135="","",[1]!thsiFinD("ths_adjustment_nv_fund",I$3,$A135))</f>
        <v/>
      </c>
      <c r="J135" s="13" t="str">
        <f>IF($A135="","",[1]!thsiFinD("ths_adjustment_nv_fund",J$3,$A135))</f>
        <v/>
      </c>
      <c r="K135" s="13" t="str">
        <f>IF($A135="","",[1]!thsiFinD("ths_adjustment_nv_fund",K$3,$A135))</f>
        <v/>
      </c>
      <c r="L135" s="13" t="str">
        <f>IF($A135="","",[1]!thsiFinD("ths_adjustment_nv_fund",L$3,$A135))</f>
        <v/>
      </c>
      <c r="M135" s="13" t="str">
        <f>IF($A135="","",[1]!thsiFinD("ths_adjustment_nv_fund",M$3,$A135))</f>
        <v/>
      </c>
      <c r="N135" s="13" t="str">
        <f>IF($A135="","",[1]!thsiFinD("ths_adjustment_nv_fund",N$3,$A135))</f>
        <v/>
      </c>
      <c r="O135" s="13" t="str">
        <f>IF($A135="","",[1]!thsiFinD("ths_adjustment_nv_fund",O$3,$A135))</f>
        <v/>
      </c>
      <c r="P135" s="13" t="str">
        <f>IF($A135="","",[1]!thsiFinD("ths_adjustment_nv_fund",P$3,$A135))</f>
        <v/>
      </c>
      <c r="Q135" s="13" t="str">
        <f>IF($A135="","",[1]!thsiFinD("ths_adjustment_nv_fund",Q$3,$A135))</f>
        <v/>
      </c>
      <c r="R135" s="13" t="str">
        <f>IF($A135="","",[1]!thsiFinD("ths_adjustment_nv_fund",R$3,$A135))</f>
        <v/>
      </c>
      <c r="S135" s="13" t="str">
        <f>IF($A135="","",[1]!thsiFinD("ths_adjustment_nv_fund",S$3,$A135))</f>
        <v/>
      </c>
      <c r="T135" s="13" t="str">
        <f>IF($A135="","",[1]!thsiFinD("ths_adjustment_nv_fund",T$3,$A135))</f>
        <v/>
      </c>
      <c r="U135" s="13" t="str">
        <f>IF($A135="","",[1]!thsiFinD("ths_adjustment_nv_fund",U$3,$A135))</f>
        <v/>
      </c>
      <c r="V135" s="13" t="str">
        <f>IF($A135="","",[1]!thsiFinD("ths_adjustment_nv_fund",V$3,$A135))</f>
        <v/>
      </c>
      <c r="W135" s="13" t="str">
        <f>IF($A135="","",[1]!thsiFinD("ths_adjustment_nv_fund",W$3,$A135))</f>
        <v/>
      </c>
      <c r="X135" s="13" t="str">
        <f>IF($A135="","",[1]!thsiFinD("ths_adjustment_nv_fund",X$3,$A135))</f>
        <v/>
      </c>
      <c r="Y135" s="13" t="str">
        <f>IF($A135="","",[1]!thsiFinD("ths_adjustment_nv_fund",Y$3,$A135))</f>
        <v/>
      </c>
      <c r="Z135" s="13" t="str">
        <f>IF($A135="","",[1]!thsiFinD("ths_adjustment_nv_fund",Z$3,$A135))</f>
        <v/>
      </c>
      <c r="AA135" s="13" t="str">
        <f>IF($A135="","",[1]!thsiFinD("ths_adjustment_nv_fund",AA$3,$A135))</f>
        <v/>
      </c>
      <c r="AB135" s="13" t="str">
        <f>IF($A135="","",[1]!thsiFinD("ths_adjustment_nv_fund",AB$3,$A135))</f>
        <v/>
      </c>
      <c r="AC135" s="13" t="str">
        <f>IF($A135="","",[1]!thsiFinD("ths_adjustment_nv_fund",AC$3,$A135))</f>
        <v/>
      </c>
      <c r="AD135" s="13" t="str">
        <f>IF($A135="","",[1]!thsiFinD("ths_adjustment_nv_fund",AD$3,$A135))</f>
        <v/>
      </c>
      <c r="AE135" s="13" t="str">
        <f>IF($A135="","",[1]!thsiFinD("ths_adjustment_nv_fund",AE$3,$A135))</f>
        <v/>
      </c>
      <c r="AF135" s="13" t="str">
        <f>IF($A135="","",[1]!thsiFinD("ths_adjustment_nv_fund",AF$3,$A135))</f>
        <v/>
      </c>
      <c r="AG135" s="13" t="str">
        <f>IF($A135="","",[1]!thsiFinD("ths_adjustment_nv_fund",AG$3,$A135))</f>
        <v/>
      </c>
      <c r="AH135" s="13" t="str">
        <f>IF($A135="","",[1]!thsiFinD("ths_adjustment_nv_fund",AH$3,$A135))</f>
        <v/>
      </c>
      <c r="AI135" s="13" t="str">
        <f>IF($A135="","",[1]!thsiFinD("ths_adjustment_nv_fund",AI$3,$A135))</f>
        <v/>
      </c>
      <c r="AJ135" s="13" t="str">
        <f>IF($A135="","",[1]!thsiFinD("ths_adjustment_nv_fund",AJ$3,$A135))</f>
        <v/>
      </c>
      <c r="AK135" s="13" t="str">
        <f>IF($A135="","",[1]!thsiFinD("ths_adjustment_nv_fund",AK$3,$A135))</f>
        <v/>
      </c>
      <c r="AL135" s="13" t="str">
        <f>IF($A135="","",[1]!thsiFinD("ths_adjustment_nv_fund",AL$3,$A135))</f>
        <v/>
      </c>
    </row>
    <row r="136" spans="1:38" ht="13" customHeight="1">
      <c r="A136" s="9"/>
      <c r="B136" s="13" t="str">
        <f>IF($A136="","",[1]!thsiFinD("ths_adjustment_nv_fund",B$3,$A136))</f>
        <v/>
      </c>
      <c r="C136" s="13" t="str">
        <f>IF($A136="","",[1]!thsiFinD("ths_adjustment_nv_fund",C$3,$A136))</f>
        <v/>
      </c>
      <c r="D136" s="13" t="str">
        <f>IF($A136="","",[1]!thsiFinD("ths_adjustment_nv_fund",D$3,$A136))</f>
        <v/>
      </c>
      <c r="E136" s="13" t="str">
        <f>IF($A136="","",[1]!thsiFinD("ths_adjustment_nv_fund",E$3,$A136))</f>
        <v/>
      </c>
      <c r="F136" s="13" t="str">
        <f>IF($A136="","",[1]!thsiFinD("ths_adjustment_nv_fund",F$3,$A136))</f>
        <v/>
      </c>
      <c r="G136" s="13" t="str">
        <f>IF($A136="","",[1]!thsiFinD("ths_adjustment_nv_fund",G$3,$A136))</f>
        <v/>
      </c>
      <c r="H136" s="13" t="str">
        <f>IF($A136="","",[1]!thsiFinD("ths_adjustment_nv_fund",H$3,$A136))</f>
        <v/>
      </c>
      <c r="I136" s="13" t="str">
        <f>IF($A136="","",[1]!thsiFinD("ths_adjustment_nv_fund",I$3,$A136))</f>
        <v/>
      </c>
      <c r="J136" s="13" t="str">
        <f>IF($A136="","",[1]!thsiFinD("ths_adjustment_nv_fund",J$3,$A136))</f>
        <v/>
      </c>
      <c r="K136" s="13" t="str">
        <f>IF($A136="","",[1]!thsiFinD("ths_adjustment_nv_fund",K$3,$A136))</f>
        <v/>
      </c>
      <c r="L136" s="13" t="str">
        <f>IF($A136="","",[1]!thsiFinD("ths_adjustment_nv_fund",L$3,$A136))</f>
        <v/>
      </c>
      <c r="M136" s="13" t="str">
        <f>IF($A136="","",[1]!thsiFinD("ths_adjustment_nv_fund",M$3,$A136))</f>
        <v/>
      </c>
      <c r="N136" s="13" t="str">
        <f>IF($A136="","",[1]!thsiFinD("ths_adjustment_nv_fund",N$3,$A136))</f>
        <v/>
      </c>
      <c r="O136" s="13" t="str">
        <f>IF($A136="","",[1]!thsiFinD("ths_adjustment_nv_fund",O$3,$A136))</f>
        <v/>
      </c>
      <c r="P136" s="13" t="str">
        <f>IF($A136="","",[1]!thsiFinD("ths_adjustment_nv_fund",P$3,$A136))</f>
        <v/>
      </c>
      <c r="Q136" s="13" t="str">
        <f>IF($A136="","",[1]!thsiFinD("ths_adjustment_nv_fund",Q$3,$A136))</f>
        <v/>
      </c>
      <c r="R136" s="13" t="str">
        <f>IF($A136="","",[1]!thsiFinD("ths_adjustment_nv_fund",R$3,$A136))</f>
        <v/>
      </c>
      <c r="S136" s="13" t="str">
        <f>IF($A136="","",[1]!thsiFinD("ths_adjustment_nv_fund",S$3,$A136))</f>
        <v/>
      </c>
      <c r="T136" s="13" t="str">
        <f>IF($A136="","",[1]!thsiFinD("ths_adjustment_nv_fund",T$3,$A136))</f>
        <v/>
      </c>
      <c r="U136" s="13" t="str">
        <f>IF($A136="","",[1]!thsiFinD("ths_adjustment_nv_fund",U$3,$A136))</f>
        <v/>
      </c>
      <c r="V136" s="13" t="str">
        <f>IF($A136="","",[1]!thsiFinD("ths_adjustment_nv_fund",V$3,$A136))</f>
        <v/>
      </c>
      <c r="W136" s="13" t="str">
        <f>IF($A136="","",[1]!thsiFinD("ths_adjustment_nv_fund",W$3,$A136))</f>
        <v/>
      </c>
      <c r="X136" s="13" t="str">
        <f>IF($A136="","",[1]!thsiFinD("ths_adjustment_nv_fund",X$3,$A136))</f>
        <v/>
      </c>
      <c r="Y136" s="13" t="str">
        <f>IF($A136="","",[1]!thsiFinD("ths_adjustment_nv_fund",Y$3,$A136))</f>
        <v/>
      </c>
      <c r="Z136" s="13" t="str">
        <f>IF($A136="","",[1]!thsiFinD("ths_adjustment_nv_fund",Z$3,$A136))</f>
        <v/>
      </c>
      <c r="AA136" s="13" t="str">
        <f>IF($A136="","",[1]!thsiFinD("ths_adjustment_nv_fund",AA$3,$A136))</f>
        <v/>
      </c>
      <c r="AB136" s="13" t="str">
        <f>IF($A136="","",[1]!thsiFinD("ths_adjustment_nv_fund",AB$3,$A136))</f>
        <v/>
      </c>
      <c r="AC136" s="13" t="str">
        <f>IF($A136="","",[1]!thsiFinD("ths_adjustment_nv_fund",AC$3,$A136))</f>
        <v/>
      </c>
      <c r="AD136" s="13" t="str">
        <f>IF($A136="","",[1]!thsiFinD("ths_adjustment_nv_fund",AD$3,$A136))</f>
        <v/>
      </c>
      <c r="AE136" s="13" t="str">
        <f>IF($A136="","",[1]!thsiFinD("ths_adjustment_nv_fund",AE$3,$A136))</f>
        <v/>
      </c>
      <c r="AF136" s="13" t="str">
        <f>IF($A136="","",[1]!thsiFinD("ths_adjustment_nv_fund",AF$3,$A136))</f>
        <v/>
      </c>
      <c r="AG136" s="13" t="str">
        <f>IF($A136="","",[1]!thsiFinD("ths_adjustment_nv_fund",AG$3,$A136))</f>
        <v/>
      </c>
      <c r="AH136" s="13" t="str">
        <f>IF($A136="","",[1]!thsiFinD("ths_adjustment_nv_fund",AH$3,$A136))</f>
        <v/>
      </c>
      <c r="AI136" s="13" t="str">
        <f>IF($A136="","",[1]!thsiFinD("ths_adjustment_nv_fund",AI$3,$A136))</f>
        <v/>
      </c>
      <c r="AJ136" s="13" t="str">
        <f>IF($A136="","",[1]!thsiFinD("ths_adjustment_nv_fund",AJ$3,$A136))</f>
        <v/>
      </c>
      <c r="AK136" s="13" t="str">
        <f>IF($A136="","",[1]!thsiFinD("ths_adjustment_nv_fund",AK$3,$A136))</f>
        <v/>
      </c>
      <c r="AL136" s="13" t="str">
        <f>IF($A136="","",[1]!thsiFinD("ths_adjustment_nv_fund",AL$3,$A136))</f>
        <v/>
      </c>
    </row>
    <row r="137" spans="1:38">
      <c r="A137" s="9"/>
      <c r="B137" s="13" t="str">
        <f>IF($A137="","",[1]!thsiFinD("ths_adjustment_nv_fund",B$3,$A137))</f>
        <v/>
      </c>
      <c r="C137" s="13" t="str">
        <f>IF($A137="","",[1]!thsiFinD("ths_adjustment_nv_fund",C$3,$A137))</f>
        <v/>
      </c>
      <c r="D137" s="13" t="str">
        <f>IF($A137="","",[1]!thsiFinD("ths_adjustment_nv_fund",D$3,$A137))</f>
        <v/>
      </c>
      <c r="E137" s="13" t="str">
        <f>IF($A137="","",[1]!thsiFinD("ths_adjustment_nv_fund",E$3,$A137))</f>
        <v/>
      </c>
      <c r="F137" s="13" t="str">
        <f>IF($A137="","",[1]!thsiFinD("ths_adjustment_nv_fund",F$3,$A137))</f>
        <v/>
      </c>
      <c r="G137" s="13" t="str">
        <f>IF($A137="","",[1]!thsiFinD("ths_adjustment_nv_fund",G$3,$A137))</f>
        <v/>
      </c>
      <c r="H137" s="13" t="str">
        <f>IF($A137="","",[1]!thsiFinD("ths_adjustment_nv_fund",H$3,$A137))</f>
        <v/>
      </c>
      <c r="I137" s="13" t="str">
        <f>IF($A137="","",[1]!thsiFinD("ths_adjustment_nv_fund",I$3,$A137))</f>
        <v/>
      </c>
      <c r="J137" s="13" t="str">
        <f>IF($A137="","",[1]!thsiFinD("ths_adjustment_nv_fund",J$3,$A137))</f>
        <v/>
      </c>
      <c r="K137" s="13" t="str">
        <f>IF($A137="","",[1]!thsiFinD("ths_adjustment_nv_fund",K$3,$A137))</f>
        <v/>
      </c>
      <c r="L137" s="13" t="str">
        <f>IF($A137="","",[1]!thsiFinD("ths_adjustment_nv_fund",L$3,$A137))</f>
        <v/>
      </c>
      <c r="M137" s="13" t="str">
        <f>IF($A137="","",[1]!thsiFinD("ths_adjustment_nv_fund",M$3,$A137))</f>
        <v/>
      </c>
      <c r="N137" s="13" t="str">
        <f>IF($A137="","",[1]!thsiFinD("ths_adjustment_nv_fund",N$3,$A137))</f>
        <v/>
      </c>
      <c r="O137" s="13" t="str">
        <f>IF($A137="","",[1]!thsiFinD("ths_adjustment_nv_fund",O$3,$A137))</f>
        <v/>
      </c>
      <c r="P137" s="13" t="str">
        <f>IF($A137="","",[1]!thsiFinD("ths_adjustment_nv_fund",P$3,$A137))</f>
        <v/>
      </c>
      <c r="Q137" s="13" t="str">
        <f>IF($A137="","",[1]!thsiFinD("ths_adjustment_nv_fund",Q$3,$A137))</f>
        <v/>
      </c>
      <c r="R137" s="13" t="str">
        <f>IF($A137="","",[1]!thsiFinD("ths_adjustment_nv_fund",R$3,$A137))</f>
        <v/>
      </c>
      <c r="S137" s="13" t="str">
        <f>IF($A137="","",[1]!thsiFinD("ths_adjustment_nv_fund",S$3,$A137))</f>
        <v/>
      </c>
      <c r="T137" s="13" t="str">
        <f>IF($A137="","",[1]!thsiFinD("ths_adjustment_nv_fund",T$3,$A137))</f>
        <v/>
      </c>
      <c r="U137" s="13" t="str">
        <f>IF($A137="","",[1]!thsiFinD("ths_adjustment_nv_fund",U$3,$A137))</f>
        <v/>
      </c>
      <c r="V137" s="13" t="str">
        <f>IF($A137="","",[1]!thsiFinD("ths_adjustment_nv_fund",V$3,$A137))</f>
        <v/>
      </c>
      <c r="W137" s="13" t="str">
        <f>IF($A137="","",[1]!thsiFinD("ths_adjustment_nv_fund",W$3,$A137))</f>
        <v/>
      </c>
      <c r="X137" s="13" t="str">
        <f>IF($A137="","",[1]!thsiFinD("ths_adjustment_nv_fund",X$3,$A137))</f>
        <v/>
      </c>
      <c r="Y137" s="13" t="str">
        <f>IF($A137="","",[1]!thsiFinD("ths_adjustment_nv_fund",Y$3,$A137))</f>
        <v/>
      </c>
      <c r="Z137" s="13" t="str">
        <f>IF($A137="","",[1]!thsiFinD("ths_adjustment_nv_fund",Z$3,$A137))</f>
        <v/>
      </c>
      <c r="AA137" s="13" t="str">
        <f>IF($A137="","",[1]!thsiFinD("ths_adjustment_nv_fund",AA$3,$A137))</f>
        <v/>
      </c>
      <c r="AB137" s="13" t="str">
        <f>IF($A137="","",[1]!thsiFinD("ths_adjustment_nv_fund",AB$3,$A137))</f>
        <v/>
      </c>
      <c r="AC137" s="13" t="str">
        <f>IF($A137="","",[1]!thsiFinD("ths_adjustment_nv_fund",AC$3,$A137))</f>
        <v/>
      </c>
      <c r="AD137" s="13" t="str">
        <f>IF($A137="","",[1]!thsiFinD("ths_adjustment_nv_fund",AD$3,$A137))</f>
        <v/>
      </c>
      <c r="AE137" s="13" t="str">
        <f>IF($A137="","",[1]!thsiFinD("ths_adjustment_nv_fund",AE$3,$A137))</f>
        <v/>
      </c>
      <c r="AF137" s="13" t="str">
        <f>IF($A137="","",[1]!thsiFinD("ths_adjustment_nv_fund",AF$3,$A137))</f>
        <v/>
      </c>
      <c r="AG137" s="13" t="str">
        <f>IF($A137="","",[1]!thsiFinD("ths_adjustment_nv_fund",AG$3,$A137))</f>
        <v/>
      </c>
      <c r="AH137" s="13" t="str">
        <f>IF($A137="","",[1]!thsiFinD("ths_adjustment_nv_fund",AH$3,$A137))</f>
        <v/>
      </c>
      <c r="AI137" s="13" t="str">
        <f>IF($A137="","",[1]!thsiFinD("ths_adjustment_nv_fund",AI$3,$A137))</f>
        <v/>
      </c>
      <c r="AJ137" s="13" t="str">
        <f>IF($A137="","",[1]!thsiFinD("ths_adjustment_nv_fund",AJ$3,$A137))</f>
        <v/>
      </c>
      <c r="AK137" s="13" t="str">
        <f>IF($A137="","",[1]!thsiFinD("ths_adjustment_nv_fund",AK$3,$A137))</f>
        <v/>
      </c>
      <c r="AL137" s="13" t="str">
        <f>IF($A137="","",[1]!thsiFinD("ths_adjustment_nv_fund",AL$3,$A137))</f>
        <v/>
      </c>
    </row>
    <row r="138" spans="1:38">
      <c r="A138" s="9"/>
      <c r="B138" s="13" t="str">
        <f>IF($A138="","",[1]!thsiFinD("ths_adjustment_nv_fund",B$3,$A138))</f>
        <v/>
      </c>
      <c r="C138" s="13" t="str">
        <f>IF($A138="","",[1]!thsiFinD("ths_adjustment_nv_fund",C$3,$A138))</f>
        <v/>
      </c>
      <c r="D138" s="13" t="str">
        <f>IF($A138="","",[1]!thsiFinD("ths_adjustment_nv_fund",D$3,$A138))</f>
        <v/>
      </c>
      <c r="E138" s="13" t="str">
        <f>IF($A138="","",[1]!thsiFinD("ths_adjustment_nv_fund",E$3,$A138))</f>
        <v/>
      </c>
      <c r="F138" s="13" t="str">
        <f>IF($A138="","",[1]!thsiFinD("ths_adjustment_nv_fund",F$3,$A138))</f>
        <v/>
      </c>
      <c r="G138" s="13" t="str">
        <f>IF($A138="","",[1]!thsiFinD("ths_adjustment_nv_fund",G$3,$A138))</f>
        <v/>
      </c>
      <c r="H138" s="13" t="str">
        <f>IF($A138="","",[1]!thsiFinD("ths_adjustment_nv_fund",H$3,$A138))</f>
        <v/>
      </c>
      <c r="I138" s="13" t="str">
        <f>IF($A138="","",[1]!thsiFinD("ths_adjustment_nv_fund",I$3,$A138))</f>
        <v/>
      </c>
      <c r="J138" s="13" t="str">
        <f>IF($A138="","",[1]!thsiFinD("ths_adjustment_nv_fund",J$3,$A138))</f>
        <v/>
      </c>
      <c r="K138" s="13" t="str">
        <f>IF($A138="","",[1]!thsiFinD("ths_adjustment_nv_fund",K$3,$A138))</f>
        <v/>
      </c>
      <c r="L138" s="13" t="str">
        <f>IF($A138="","",[1]!thsiFinD("ths_adjustment_nv_fund",L$3,$A138))</f>
        <v/>
      </c>
      <c r="M138" s="13" t="str">
        <f>IF($A138="","",[1]!thsiFinD("ths_adjustment_nv_fund",M$3,$A138))</f>
        <v/>
      </c>
      <c r="N138" s="13" t="str">
        <f>IF($A138="","",[1]!thsiFinD("ths_adjustment_nv_fund",N$3,$A138))</f>
        <v/>
      </c>
      <c r="O138" s="13" t="str">
        <f>IF($A138="","",[1]!thsiFinD("ths_adjustment_nv_fund",O$3,$A138))</f>
        <v/>
      </c>
      <c r="P138" s="13" t="str">
        <f>IF($A138="","",[1]!thsiFinD("ths_adjustment_nv_fund",P$3,$A138))</f>
        <v/>
      </c>
      <c r="Q138" s="13" t="str">
        <f>IF($A138="","",[1]!thsiFinD("ths_adjustment_nv_fund",Q$3,$A138))</f>
        <v/>
      </c>
      <c r="R138" s="13" t="str">
        <f>IF($A138="","",[1]!thsiFinD("ths_adjustment_nv_fund",R$3,$A138))</f>
        <v/>
      </c>
      <c r="S138" s="13" t="str">
        <f>IF($A138="","",[1]!thsiFinD("ths_adjustment_nv_fund",S$3,$A138))</f>
        <v/>
      </c>
      <c r="T138" s="13" t="str">
        <f>IF($A138="","",[1]!thsiFinD("ths_adjustment_nv_fund",T$3,$A138))</f>
        <v/>
      </c>
      <c r="U138" s="13" t="str">
        <f>IF($A138="","",[1]!thsiFinD("ths_adjustment_nv_fund",U$3,$A138))</f>
        <v/>
      </c>
      <c r="V138" s="13" t="str">
        <f>IF($A138="","",[1]!thsiFinD("ths_adjustment_nv_fund",V$3,$A138))</f>
        <v/>
      </c>
      <c r="W138" s="13" t="str">
        <f>IF($A138="","",[1]!thsiFinD("ths_adjustment_nv_fund",W$3,$A138))</f>
        <v/>
      </c>
      <c r="X138" s="13" t="str">
        <f>IF($A138="","",[1]!thsiFinD("ths_adjustment_nv_fund",X$3,$A138))</f>
        <v/>
      </c>
      <c r="Y138" s="13" t="str">
        <f>IF($A138="","",[1]!thsiFinD("ths_adjustment_nv_fund",Y$3,$A138))</f>
        <v/>
      </c>
      <c r="Z138" s="13" t="str">
        <f>IF($A138="","",[1]!thsiFinD("ths_adjustment_nv_fund",Z$3,$A138))</f>
        <v/>
      </c>
      <c r="AA138" s="13" t="str">
        <f>IF($A138="","",[1]!thsiFinD("ths_adjustment_nv_fund",AA$3,$A138))</f>
        <v/>
      </c>
      <c r="AB138" s="13" t="str">
        <f>IF($A138="","",[1]!thsiFinD("ths_adjustment_nv_fund",AB$3,$A138))</f>
        <v/>
      </c>
      <c r="AC138" s="13" t="str">
        <f>IF($A138="","",[1]!thsiFinD("ths_adjustment_nv_fund",AC$3,$A138))</f>
        <v/>
      </c>
      <c r="AD138" s="13" t="str">
        <f>IF($A138="","",[1]!thsiFinD("ths_adjustment_nv_fund",AD$3,$A138))</f>
        <v/>
      </c>
      <c r="AE138" s="13" t="str">
        <f>IF($A138="","",[1]!thsiFinD("ths_adjustment_nv_fund",AE$3,$A138))</f>
        <v/>
      </c>
      <c r="AF138" s="13" t="str">
        <f>IF($A138="","",[1]!thsiFinD("ths_adjustment_nv_fund",AF$3,$A138))</f>
        <v/>
      </c>
      <c r="AG138" s="13" t="str">
        <f>IF($A138="","",[1]!thsiFinD("ths_adjustment_nv_fund",AG$3,$A138))</f>
        <v/>
      </c>
      <c r="AH138" s="13" t="str">
        <f>IF($A138="","",[1]!thsiFinD("ths_adjustment_nv_fund",AH$3,$A138))</f>
        <v/>
      </c>
      <c r="AI138" s="13" t="str">
        <f>IF($A138="","",[1]!thsiFinD("ths_adjustment_nv_fund",AI$3,$A138))</f>
        <v/>
      </c>
      <c r="AJ138" s="13" t="str">
        <f>IF($A138="","",[1]!thsiFinD("ths_adjustment_nv_fund",AJ$3,$A138))</f>
        <v/>
      </c>
      <c r="AK138" s="13" t="str">
        <f>IF($A138="","",[1]!thsiFinD("ths_adjustment_nv_fund",AK$3,$A138))</f>
        <v/>
      </c>
      <c r="AL138" s="13" t="str">
        <f>IF($A138="","",[1]!thsiFinD("ths_adjustment_nv_fund",AL$3,$A138))</f>
        <v/>
      </c>
    </row>
    <row r="139" spans="1:38">
      <c r="A139" s="9"/>
      <c r="B139" s="13" t="str">
        <f>IF($A139="","",[1]!thsiFinD("ths_adjustment_nv_fund",B$3,$A139))</f>
        <v/>
      </c>
      <c r="C139" s="13" t="str">
        <f>IF($A139="","",[1]!thsiFinD("ths_adjustment_nv_fund",C$3,$A139))</f>
        <v/>
      </c>
      <c r="D139" s="13" t="str">
        <f>IF($A139="","",[1]!thsiFinD("ths_adjustment_nv_fund",D$3,$A139))</f>
        <v/>
      </c>
      <c r="E139" s="13" t="str">
        <f>IF($A139="","",[1]!thsiFinD("ths_adjustment_nv_fund",E$3,$A139))</f>
        <v/>
      </c>
      <c r="F139" s="13" t="str">
        <f>IF($A139="","",[1]!thsiFinD("ths_adjustment_nv_fund",F$3,$A139))</f>
        <v/>
      </c>
      <c r="G139" s="13" t="str">
        <f>IF($A139="","",[1]!thsiFinD("ths_adjustment_nv_fund",G$3,$A139))</f>
        <v/>
      </c>
      <c r="H139" s="13" t="str">
        <f>IF($A139="","",[1]!thsiFinD("ths_adjustment_nv_fund",H$3,$A139))</f>
        <v/>
      </c>
      <c r="I139" s="13" t="str">
        <f>IF($A139="","",[1]!thsiFinD("ths_adjustment_nv_fund",I$3,$A139))</f>
        <v/>
      </c>
      <c r="J139" s="13" t="str">
        <f>IF($A139="","",[1]!thsiFinD("ths_adjustment_nv_fund",J$3,$A139))</f>
        <v/>
      </c>
      <c r="K139" s="13" t="str">
        <f>IF($A139="","",[1]!thsiFinD("ths_adjustment_nv_fund",K$3,$A139))</f>
        <v/>
      </c>
      <c r="L139" s="13" t="str">
        <f>IF($A139="","",[1]!thsiFinD("ths_adjustment_nv_fund",L$3,$A139))</f>
        <v/>
      </c>
      <c r="M139" s="13" t="str">
        <f>IF($A139="","",[1]!thsiFinD("ths_adjustment_nv_fund",M$3,$A139))</f>
        <v/>
      </c>
      <c r="N139" s="13" t="str">
        <f>IF($A139="","",[1]!thsiFinD("ths_adjustment_nv_fund",N$3,$A139))</f>
        <v/>
      </c>
      <c r="O139" s="13" t="str">
        <f>IF($A139="","",[1]!thsiFinD("ths_adjustment_nv_fund",O$3,$A139))</f>
        <v/>
      </c>
      <c r="P139" s="13" t="str">
        <f>IF($A139="","",[1]!thsiFinD("ths_adjustment_nv_fund",P$3,$A139))</f>
        <v/>
      </c>
      <c r="Q139" s="13" t="str">
        <f>IF($A139="","",[1]!thsiFinD("ths_adjustment_nv_fund",Q$3,$A139))</f>
        <v/>
      </c>
      <c r="R139" s="13" t="str">
        <f>IF($A139="","",[1]!thsiFinD("ths_adjustment_nv_fund",R$3,$A139))</f>
        <v/>
      </c>
      <c r="S139" s="13" t="str">
        <f>IF($A139="","",[1]!thsiFinD("ths_adjustment_nv_fund",S$3,$A139))</f>
        <v/>
      </c>
      <c r="T139" s="13" t="str">
        <f>IF($A139="","",[1]!thsiFinD("ths_adjustment_nv_fund",T$3,$A139))</f>
        <v/>
      </c>
      <c r="U139" s="13" t="str">
        <f>IF($A139="","",[1]!thsiFinD("ths_adjustment_nv_fund",U$3,$A139))</f>
        <v/>
      </c>
      <c r="V139" s="13" t="str">
        <f>IF($A139="","",[1]!thsiFinD("ths_adjustment_nv_fund",V$3,$A139))</f>
        <v/>
      </c>
      <c r="W139" s="13" t="str">
        <f>IF($A139="","",[1]!thsiFinD("ths_adjustment_nv_fund",W$3,$A139))</f>
        <v/>
      </c>
      <c r="X139" s="13" t="str">
        <f>IF($A139="","",[1]!thsiFinD("ths_adjustment_nv_fund",X$3,$A139))</f>
        <v/>
      </c>
      <c r="Y139" s="13" t="str">
        <f>IF($A139="","",[1]!thsiFinD("ths_adjustment_nv_fund",Y$3,$A139))</f>
        <v/>
      </c>
      <c r="Z139" s="13" t="str">
        <f>IF($A139="","",[1]!thsiFinD("ths_adjustment_nv_fund",Z$3,$A139))</f>
        <v/>
      </c>
      <c r="AA139" s="13" t="str">
        <f>IF($A139="","",[1]!thsiFinD("ths_adjustment_nv_fund",AA$3,$A139))</f>
        <v/>
      </c>
      <c r="AB139" s="13" t="str">
        <f>IF($A139="","",[1]!thsiFinD("ths_adjustment_nv_fund",AB$3,$A139))</f>
        <v/>
      </c>
      <c r="AC139" s="13" t="str">
        <f>IF($A139="","",[1]!thsiFinD("ths_adjustment_nv_fund",AC$3,$A139))</f>
        <v/>
      </c>
      <c r="AD139" s="13" t="str">
        <f>IF($A139="","",[1]!thsiFinD("ths_adjustment_nv_fund",AD$3,$A139))</f>
        <v/>
      </c>
      <c r="AE139" s="13" t="str">
        <f>IF($A139="","",[1]!thsiFinD("ths_adjustment_nv_fund",AE$3,$A139))</f>
        <v/>
      </c>
      <c r="AF139" s="13" t="str">
        <f>IF($A139="","",[1]!thsiFinD("ths_adjustment_nv_fund",AF$3,$A139))</f>
        <v/>
      </c>
      <c r="AG139" s="13" t="str">
        <f>IF($A139="","",[1]!thsiFinD("ths_adjustment_nv_fund",AG$3,$A139))</f>
        <v/>
      </c>
      <c r="AH139" s="13" t="str">
        <f>IF($A139="","",[1]!thsiFinD("ths_adjustment_nv_fund",AH$3,$A139))</f>
        <v/>
      </c>
      <c r="AI139" s="13" t="str">
        <f>IF($A139="","",[1]!thsiFinD("ths_adjustment_nv_fund",AI$3,$A139))</f>
        <v/>
      </c>
      <c r="AJ139" s="13" t="str">
        <f>IF($A139="","",[1]!thsiFinD("ths_adjustment_nv_fund",AJ$3,$A139))</f>
        <v/>
      </c>
      <c r="AK139" s="13" t="str">
        <f>IF($A139="","",[1]!thsiFinD("ths_adjustment_nv_fund",AK$3,$A139))</f>
        <v/>
      </c>
      <c r="AL139" s="13" t="str">
        <f>IF($A139="","",[1]!thsiFinD("ths_adjustment_nv_fund",AL$3,$A139))</f>
        <v/>
      </c>
    </row>
    <row r="140" spans="1:38">
      <c r="A140" s="9"/>
      <c r="B140" s="13" t="str">
        <f>IF($A140="","",[1]!thsiFinD("ths_adjustment_nv_fund",B$3,$A140))</f>
        <v/>
      </c>
      <c r="C140" s="13" t="str">
        <f>IF($A140="","",[1]!thsiFinD("ths_adjustment_nv_fund",C$3,$A140))</f>
        <v/>
      </c>
      <c r="D140" s="13" t="str">
        <f>IF($A140="","",[1]!thsiFinD("ths_adjustment_nv_fund",D$3,$A140))</f>
        <v/>
      </c>
      <c r="E140" s="13" t="str">
        <f>IF($A140="","",[1]!thsiFinD("ths_adjustment_nv_fund",E$3,$A140))</f>
        <v/>
      </c>
      <c r="F140" s="13" t="str">
        <f>IF($A140="","",[1]!thsiFinD("ths_adjustment_nv_fund",F$3,$A140))</f>
        <v/>
      </c>
      <c r="G140" s="13" t="str">
        <f>IF($A140="","",[1]!thsiFinD("ths_adjustment_nv_fund",G$3,$A140))</f>
        <v/>
      </c>
      <c r="H140" s="13" t="str">
        <f>IF($A140="","",[1]!thsiFinD("ths_adjustment_nv_fund",H$3,$A140))</f>
        <v/>
      </c>
      <c r="I140" s="13" t="str">
        <f>IF($A140="","",[1]!thsiFinD("ths_adjustment_nv_fund",I$3,$A140))</f>
        <v/>
      </c>
      <c r="J140" s="13" t="str">
        <f>IF($A140="","",[1]!thsiFinD("ths_adjustment_nv_fund",J$3,$A140))</f>
        <v/>
      </c>
      <c r="K140" s="13" t="str">
        <f>IF($A140="","",[1]!thsiFinD("ths_adjustment_nv_fund",K$3,$A140))</f>
        <v/>
      </c>
      <c r="L140" s="13" t="str">
        <f>IF($A140="","",[1]!thsiFinD("ths_adjustment_nv_fund",L$3,$A140))</f>
        <v/>
      </c>
      <c r="M140" s="13" t="str">
        <f>IF($A140="","",[1]!thsiFinD("ths_adjustment_nv_fund",M$3,$A140))</f>
        <v/>
      </c>
      <c r="N140" s="13" t="str">
        <f>IF($A140="","",[1]!thsiFinD("ths_adjustment_nv_fund",N$3,$A140))</f>
        <v/>
      </c>
      <c r="O140" s="13" t="str">
        <f>IF($A140="","",[1]!thsiFinD("ths_adjustment_nv_fund",O$3,$A140))</f>
        <v/>
      </c>
      <c r="P140" s="13" t="str">
        <f>IF($A140="","",[1]!thsiFinD("ths_adjustment_nv_fund",P$3,$A140))</f>
        <v/>
      </c>
      <c r="Q140" s="13" t="str">
        <f>IF($A140="","",[1]!thsiFinD("ths_adjustment_nv_fund",Q$3,$A140))</f>
        <v/>
      </c>
      <c r="R140" s="13" t="str">
        <f>IF($A140="","",[1]!thsiFinD("ths_adjustment_nv_fund",R$3,$A140))</f>
        <v/>
      </c>
      <c r="S140" s="13" t="str">
        <f>IF($A140="","",[1]!thsiFinD("ths_adjustment_nv_fund",S$3,$A140))</f>
        <v/>
      </c>
      <c r="T140" s="13" t="str">
        <f>IF($A140="","",[1]!thsiFinD("ths_adjustment_nv_fund",T$3,$A140))</f>
        <v/>
      </c>
      <c r="U140" s="13" t="str">
        <f>IF($A140="","",[1]!thsiFinD("ths_adjustment_nv_fund",U$3,$A140))</f>
        <v/>
      </c>
      <c r="V140" s="13" t="str">
        <f>IF($A140="","",[1]!thsiFinD("ths_adjustment_nv_fund",V$3,$A140))</f>
        <v/>
      </c>
      <c r="W140" s="13" t="str">
        <f>IF($A140="","",[1]!thsiFinD("ths_adjustment_nv_fund",W$3,$A140))</f>
        <v/>
      </c>
      <c r="X140" s="13" t="str">
        <f>IF($A140="","",[1]!thsiFinD("ths_adjustment_nv_fund",X$3,$A140))</f>
        <v/>
      </c>
      <c r="Y140" s="13" t="str">
        <f>IF($A140="","",[1]!thsiFinD("ths_adjustment_nv_fund",Y$3,$A140))</f>
        <v/>
      </c>
      <c r="Z140" s="13" t="str">
        <f>IF($A140="","",[1]!thsiFinD("ths_adjustment_nv_fund",Z$3,$A140))</f>
        <v/>
      </c>
      <c r="AA140" s="13" t="str">
        <f>IF($A140="","",[1]!thsiFinD("ths_adjustment_nv_fund",AA$3,$A140))</f>
        <v/>
      </c>
      <c r="AB140" s="13" t="str">
        <f>IF($A140="","",[1]!thsiFinD("ths_adjustment_nv_fund",AB$3,$A140))</f>
        <v/>
      </c>
      <c r="AC140" s="13" t="str">
        <f>IF($A140="","",[1]!thsiFinD("ths_adjustment_nv_fund",AC$3,$A140))</f>
        <v/>
      </c>
      <c r="AD140" s="13" t="str">
        <f>IF($A140="","",[1]!thsiFinD("ths_adjustment_nv_fund",AD$3,$A140))</f>
        <v/>
      </c>
      <c r="AE140" s="13" t="str">
        <f>IF($A140="","",[1]!thsiFinD("ths_adjustment_nv_fund",AE$3,$A140))</f>
        <v/>
      </c>
      <c r="AF140" s="13" t="str">
        <f>IF($A140="","",[1]!thsiFinD("ths_adjustment_nv_fund",AF$3,$A140))</f>
        <v/>
      </c>
      <c r="AG140" s="13" t="str">
        <f>IF($A140="","",[1]!thsiFinD("ths_adjustment_nv_fund",AG$3,$A140))</f>
        <v/>
      </c>
      <c r="AH140" s="13" t="str">
        <f>IF($A140="","",[1]!thsiFinD("ths_adjustment_nv_fund",AH$3,$A140))</f>
        <v/>
      </c>
      <c r="AI140" s="13" t="str">
        <f>IF($A140="","",[1]!thsiFinD("ths_adjustment_nv_fund",AI$3,$A140))</f>
        <v/>
      </c>
      <c r="AJ140" s="13" t="str">
        <f>IF($A140="","",[1]!thsiFinD("ths_adjustment_nv_fund",AJ$3,$A140))</f>
        <v/>
      </c>
      <c r="AK140" s="13" t="str">
        <f>IF($A140="","",[1]!thsiFinD("ths_adjustment_nv_fund",AK$3,$A140))</f>
        <v/>
      </c>
      <c r="AL140" s="13" t="str">
        <f>IF($A140="","",[1]!thsiFinD("ths_adjustment_nv_fund",AL$3,$A140))</f>
        <v/>
      </c>
    </row>
    <row r="141" spans="1:38">
      <c r="A141" s="9"/>
      <c r="B141" s="13" t="str">
        <f>IF($A141="","",[1]!thsiFinD("ths_adjustment_nv_fund",B$3,$A141))</f>
        <v/>
      </c>
      <c r="C141" s="13" t="str">
        <f>IF($A141="","",[1]!thsiFinD("ths_adjustment_nv_fund",C$3,$A141))</f>
        <v/>
      </c>
      <c r="D141" s="13" t="str">
        <f>IF($A141="","",[1]!thsiFinD("ths_adjustment_nv_fund",D$3,$A141))</f>
        <v/>
      </c>
      <c r="E141" s="13" t="str">
        <f>IF($A141="","",[1]!thsiFinD("ths_adjustment_nv_fund",E$3,$A141))</f>
        <v/>
      </c>
      <c r="F141" s="13" t="str">
        <f>IF($A141="","",[1]!thsiFinD("ths_adjustment_nv_fund",F$3,$A141))</f>
        <v/>
      </c>
      <c r="G141" s="13" t="str">
        <f>IF($A141="","",[1]!thsiFinD("ths_adjustment_nv_fund",G$3,$A141))</f>
        <v/>
      </c>
      <c r="H141" s="13" t="str">
        <f>IF($A141="","",[1]!thsiFinD("ths_adjustment_nv_fund",H$3,$A141))</f>
        <v/>
      </c>
      <c r="I141" s="13" t="str">
        <f>IF($A141="","",[1]!thsiFinD("ths_adjustment_nv_fund",I$3,$A141))</f>
        <v/>
      </c>
      <c r="J141" s="13" t="str">
        <f>IF($A141="","",[1]!thsiFinD("ths_adjustment_nv_fund",J$3,$A141))</f>
        <v/>
      </c>
      <c r="K141" s="13" t="str">
        <f>IF($A141="","",[1]!thsiFinD("ths_adjustment_nv_fund",K$3,$A141))</f>
        <v/>
      </c>
      <c r="L141" s="13" t="str">
        <f>IF($A141="","",[1]!thsiFinD("ths_adjustment_nv_fund",L$3,$A141))</f>
        <v/>
      </c>
      <c r="M141" s="13" t="str">
        <f>IF($A141="","",[1]!thsiFinD("ths_adjustment_nv_fund",M$3,$A141))</f>
        <v/>
      </c>
      <c r="N141" s="13" t="str">
        <f>IF($A141="","",[1]!thsiFinD("ths_adjustment_nv_fund",N$3,$A141))</f>
        <v/>
      </c>
      <c r="O141" s="13" t="str">
        <f>IF($A141="","",[1]!thsiFinD("ths_adjustment_nv_fund",O$3,$A141))</f>
        <v/>
      </c>
      <c r="P141" s="13" t="str">
        <f>IF($A141="","",[1]!thsiFinD("ths_adjustment_nv_fund",P$3,$A141))</f>
        <v/>
      </c>
      <c r="Q141" s="13" t="str">
        <f>IF($A141="","",[1]!thsiFinD("ths_adjustment_nv_fund",Q$3,$A141))</f>
        <v/>
      </c>
      <c r="R141" s="13" t="str">
        <f>IF($A141="","",[1]!thsiFinD("ths_adjustment_nv_fund",R$3,$A141))</f>
        <v/>
      </c>
      <c r="S141" s="13" t="str">
        <f>IF($A141="","",[1]!thsiFinD("ths_adjustment_nv_fund",S$3,$A141))</f>
        <v/>
      </c>
      <c r="T141" s="13" t="str">
        <f>IF($A141="","",[1]!thsiFinD("ths_adjustment_nv_fund",T$3,$A141))</f>
        <v/>
      </c>
      <c r="U141" s="13" t="str">
        <f>IF($A141="","",[1]!thsiFinD("ths_adjustment_nv_fund",U$3,$A141))</f>
        <v/>
      </c>
      <c r="V141" s="13" t="str">
        <f>IF($A141="","",[1]!thsiFinD("ths_adjustment_nv_fund",V$3,$A141))</f>
        <v/>
      </c>
      <c r="W141" s="13" t="str">
        <f>IF($A141="","",[1]!thsiFinD("ths_adjustment_nv_fund",W$3,$A141))</f>
        <v/>
      </c>
      <c r="X141" s="13" t="str">
        <f>IF($A141="","",[1]!thsiFinD("ths_adjustment_nv_fund",X$3,$A141))</f>
        <v/>
      </c>
      <c r="Y141" s="13" t="str">
        <f>IF($A141="","",[1]!thsiFinD("ths_adjustment_nv_fund",Y$3,$A141))</f>
        <v/>
      </c>
      <c r="Z141" s="13" t="str">
        <f>IF($A141="","",[1]!thsiFinD("ths_adjustment_nv_fund",Z$3,$A141))</f>
        <v/>
      </c>
      <c r="AA141" s="13" t="str">
        <f>IF($A141="","",[1]!thsiFinD("ths_adjustment_nv_fund",AA$3,$A141))</f>
        <v/>
      </c>
      <c r="AB141" s="13" t="str">
        <f>IF($A141="","",[1]!thsiFinD("ths_adjustment_nv_fund",AB$3,$A141))</f>
        <v/>
      </c>
      <c r="AC141" s="13" t="str">
        <f>IF($A141="","",[1]!thsiFinD("ths_adjustment_nv_fund",AC$3,$A141))</f>
        <v/>
      </c>
      <c r="AD141" s="13" t="str">
        <f>IF($A141="","",[1]!thsiFinD("ths_adjustment_nv_fund",AD$3,$A141))</f>
        <v/>
      </c>
      <c r="AE141" s="13" t="str">
        <f>IF($A141="","",[1]!thsiFinD("ths_adjustment_nv_fund",AE$3,$A141))</f>
        <v/>
      </c>
      <c r="AF141" s="13" t="str">
        <f>IF($A141="","",[1]!thsiFinD("ths_adjustment_nv_fund",AF$3,$A141))</f>
        <v/>
      </c>
      <c r="AG141" s="13" t="str">
        <f>IF($A141="","",[1]!thsiFinD("ths_adjustment_nv_fund",AG$3,$A141))</f>
        <v/>
      </c>
      <c r="AH141" s="13" t="str">
        <f>IF($A141="","",[1]!thsiFinD("ths_adjustment_nv_fund",AH$3,$A141))</f>
        <v/>
      </c>
      <c r="AI141" s="13" t="str">
        <f>IF($A141="","",[1]!thsiFinD("ths_adjustment_nv_fund",AI$3,$A141))</f>
        <v/>
      </c>
      <c r="AJ141" s="13" t="str">
        <f>IF($A141="","",[1]!thsiFinD("ths_adjustment_nv_fund",AJ$3,$A141))</f>
        <v/>
      </c>
      <c r="AK141" s="13" t="str">
        <f>IF($A141="","",[1]!thsiFinD("ths_adjustment_nv_fund",AK$3,$A141))</f>
        <v/>
      </c>
      <c r="AL141" s="13" t="str">
        <f>IF($A141="","",[1]!thsiFinD("ths_adjustment_nv_fund",AL$3,$A141))</f>
        <v/>
      </c>
    </row>
    <row r="142" spans="1:38">
      <c r="A142" s="9"/>
      <c r="B142" s="13" t="str">
        <f>IF($A142="","",[1]!thsiFinD("ths_adjustment_nv_fund",B$3,$A142))</f>
        <v/>
      </c>
      <c r="C142" s="13" t="str">
        <f>IF($A142="","",[1]!thsiFinD("ths_adjustment_nv_fund",C$3,$A142))</f>
        <v/>
      </c>
      <c r="D142" s="13" t="str">
        <f>IF($A142="","",[1]!thsiFinD("ths_adjustment_nv_fund",D$3,$A142))</f>
        <v/>
      </c>
      <c r="E142" s="13" t="str">
        <f>IF($A142="","",[1]!thsiFinD("ths_adjustment_nv_fund",E$3,$A142))</f>
        <v/>
      </c>
      <c r="F142" s="13" t="str">
        <f>IF($A142="","",[1]!thsiFinD("ths_adjustment_nv_fund",F$3,$A142))</f>
        <v/>
      </c>
      <c r="G142" s="13" t="str">
        <f>IF($A142="","",[1]!thsiFinD("ths_adjustment_nv_fund",G$3,$A142))</f>
        <v/>
      </c>
      <c r="H142" s="13" t="str">
        <f>IF($A142="","",[1]!thsiFinD("ths_adjustment_nv_fund",H$3,$A142))</f>
        <v/>
      </c>
      <c r="I142" s="13" t="str">
        <f>IF($A142="","",[1]!thsiFinD("ths_adjustment_nv_fund",I$3,$A142))</f>
        <v/>
      </c>
      <c r="J142" s="13" t="str">
        <f>IF($A142="","",[1]!thsiFinD("ths_adjustment_nv_fund",J$3,$A142))</f>
        <v/>
      </c>
      <c r="K142" s="13" t="str">
        <f>IF($A142="","",[1]!thsiFinD("ths_adjustment_nv_fund",K$3,$A142))</f>
        <v/>
      </c>
      <c r="L142" s="13" t="str">
        <f>IF($A142="","",[1]!thsiFinD("ths_adjustment_nv_fund",L$3,$A142))</f>
        <v/>
      </c>
      <c r="M142" s="13" t="str">
        <f>IF($A142="","",[1]!thsiFinD("ths_adjustment_nv_fund",M$3,$A142))</f>
        <v/>
      </c>
      <c r="N142" s="13" t="str">
        <f>IF($A142="","",[1]!thsiFinD("ths_adjustment_nv_fund",N$3,$A142))</f>
        <v/>
      </c>
      <c r="O142" s="13" t="str">
        <f>IF($A142="","",[1]!thsiFinD("ths_adjustment_nv_fund",O$3,$A142))</f>
        <v/>
      </c>
      <c r="P142" s="13" t="str">
        <f>IF($A142="","",[1]!thsiFinD("ths_adjustment_nv_fund",P$3,$A142))</f>
        <v/>
      </c>
      <c r="Q142" s="13" t="str">
        <f>IF($A142="","",[1]!thsiFinD("ths_adjustment_nv_fund",Q$3,$A142))</f>
        <v/>
      </c>
      <c r="R142" s="13" t="str">
        <f>IF($A142="","",[1]!thsiFinD("ths_adjustment_nv_fund",R$3,$A142))</f>
        <v/>
      </c>
      <c r="S142" s="13" t="str">
        <f>IF($A142="","",[1]!thsiFinD("ths_adjustment_nv_fund",S$3,$A142))</f>
        <v/>
      </c>
      <c r="T142" s="13" t="str">
        <f>IF($A142="","",[1]!thsiFinD("ths_adjustment_nv_fund",T$3,$A142))</f>
        <v/>
      </c>
      <c r="U142" s="13" t="str">
        <f>IF($A142="","",[1]!thsiFinD("ths_adjustment_nv_fund",U$3,$A142))</f>
        <v/>
      </c>
      <c r="V142" s="13" t="str">
        <f>IF($A142="","",[1]!thsiFinD("ths_adjustment_nv_fund",V$3,$A142))</f>
        <v/>
      </c>
      <c r="W142" s="13" t="str">
        <f>IF($A142="","",[1]!thsiFinD("ths_adjustment_nv_fund",W$3,$A142))</f>
        <v/>
      </c>
      <c r="X142" s="13" t="str">
        <f>IF($A142="","",[1]!thsiFinD("ths_adjustment_nv_fund",X$3,$A142))</f>
        <v/>
      </c>
      <c r="Y142" s="13" t="str">
        <f>IF($A142="","",[1]!thsiFinD("ths_adjustment_nv_fund",Y$3,$A142))</f>
        <v/>
      </c>
      <c r="Z142" s="13" t="str">
        <f>IF($A142="","",[1]!thsiFinD("ths_adjustment_nv_fund",Z$3,$A142))</f>
        <v/>
      </c>
      <c r="AA142" s="13" t="str">
        <f>IF($A142="","",[1]!thsiFinD("ths_adjustment_nv_fund",AA$3,$A142))</f>
        <v/>
      </c>
      <c r="AB142" s="13" t="str">
        <f>IF($A142="","",[1]!thsiFinD("ths_adjustment_nv_fund",AB$3,$A142))</f>
        <v/>
      </c>
      <c r="AC142" s="13" t="str">
        <f>IF($A142="","",[1]!thsiFinD("ths_adjustment_nv_fund",AC$3,$A142))</f>
        <v/>
      </c>
      <c r="AD142" s="13" t="str">
        <f>IF($A142="","",[1]!thsiFinD("ths_adjustment_nv_fund",AD$3,$A142))</f>
        <v/>
      </c>
      <c r="AE142" s="13" t="str">
        <f>IF($A142="","",[1]!thsiFinD("ths_adjustment_nv_fund",AE$3,$A142))</f>
        <v/>
      </c>
      <c r="AF142" s="13" t="str">
        <f>IF($A142="","",[1]!thsiFinD("ths_adjustment_nv_fund",AF$3,$A142))</f>
        <v/>
      </c>
      <c r="AG142" s="13" t="str">
        <f>IF($A142="","",[1]!thsiFinD("ths_adjustment_nv_fund",AG$3,$A142))</f>
        <v/>
      </c>
      <c r="AH142" s="13" t="str">
        <f>IF($A142="","",[1]!thsiFinD("ths_adjustment_nv_fund",AH$3,$A142))</f>
        <v/>
      </c>
      <c r="AI142" s="13" t="str">
        <f>IF($A142="","",[1]!thsiFinD("ths_adjustment_nv_fund",AI$3,$A142))</f>
        <v/>
      </c>
      <c r="AJ142" s="13" t="str">
        <f>IF($A142="","",[1]!thsiFinD("ths_adjustment_nv_fund",AJ$3,$A142))</f>
        <v/>
      </c>
      <c r="AK142" s="13" t="str">
        <f>IF($A142="","",[1]!thsiFinD("ths_adjustment_nv_fund",AK$3,$A142))</f>
        <v/>
      </c>
      <c r="AL142" s="13" t="str">
        <f>IF($A142="","",[1]!thsiFinD("ths_adjustment_nv_fund",AL$3,$A142))</f>
        <v/>
      </c>
    </row>
    <row r="143" spans="1:38">
      <c r="A143" s="9"/>
      <c r="B143" s="13" t="str">
        <f>IF($A143="","",[1]!thsiFinD("ths_adjustment_nv_fund",B$3,$A143))</f>
        <v/>
      </c>
      <c r="C143" s="13" t="str">
        <f>IF($A143="","",[1]!thsiFinD("ths_adjustment_nv_fund",C$3,$A143))</f>
        <v/>
      </c>
      <c r="D143" s="13" t="str">
        <f>IF($A143="","",[1]!thsiFinD("ths_adjustment_nv_fund",D$3,$A143))</f>
        <v/>
      </c>
      <c r="E143" s="13" t="str">
        <f>IF($A143="","",[1]!thsiFinD("ths_adjustment_nv_fund",E$3,$A143))</f>
        <v/>
      </c>
      <c r="F143" s="13" t="str">
        <f>IF($A143="","",[1]!thsiFinD("ths_adjustment_nv_fund",F$3,$A143))</f>
        <v/>
      </c>
      <c r="G143" s="13" t="str">
        <f>IF($A143="","",[1]!thsiFinD("ths_adjustment_nv_fund",G$3,$A143))</f>
        <v/>
      </c>
      <c r="H143" s="13" t="str">
        <f>IF($A143="","",[1]!thsiFinD("ths_adjustment_nv_fund",H$3,$A143))</f>
        <v/>
      </c>
      <c r="I143" s="13" t="str">
        <f>IF($A143="","",[1]!thsiFinD("ths_adjustment_nv_fund",I$3,$A143))</f>
        <v/>
      </c>
      <c r="J143" s="13" t="str">
        <f>IF($A143="","",[1]!thsiFinD("ths_adjustment_nv_fund",J$3,$A143))</f>
        <v/>
      </c>
      <c r="K143" s="13" t="str">
        <f>IF($A143="","",[1]!thsiFinD("ths_adjustment_nv_fund",K$3,$A143))</f>
        <v/>
      </c>
      <c r="L143" s="13" t="str">
        <f>IF($A143="","",[1]!thsiFinD("ths_adjustment_nv_fund",L$3,$A143))</f>
        <v/>
      </c>
      <c r="M143" s="13" t="str">
        <f>IF($A143="","",[1]!thsiFinD("ths_adjustment_nv_fund",M$3,$A143))</f>
        <v/>
      </c>
      <c r="N143" s="13" t="str">
        <f>IF($A143="","",[1]!thsiFinD("ths_adjustment_nv_fund",N$3,$A143))</f>
        <v/>
      </c>
      <c r="O143" s="13" t="str">
        <f>IF($A143="","",[1]!thsiFinD("ths_adjustment_nv_fund",O$3,$A143))</f>
        <v/>
      </c>
      <c r="P143" s="13" t="str">
        <f>IF($A143="","",[1]!thsiFinD("ths_adjustment_nv_fund",P$3,$A143))</f>
        <v/>
      </c>
      <c r="Q143" s="13" t="str">
        <f>IF($A143="","",[1]!thsiFinD("ths_adjustment_nv_fund",Q$3,$A143))</f>
        <v/>
      </c>
      <c r="R143" s="13" t="str">
        <f>IF($A143="","",[1]!thsiFinD("ths_adjustment_nv_fund",R$3,$A143))</f>
        <v/>
      </c>
      <c r="S143" s="13" t="str">
        <f>IF($A143="","",[1]!thsiFinD("ths_adjustment_nv_fund",S$3,$A143))</f>
        <v/>
      </c>
      <c r="T143" s="13" t="str">
        <f>IF($A143="","",[1]!thsiFinD("ths_adjustment_nv_fund",T$3,$A143))</f>
        <v/>
      </c>
      <c r="U143" s="13" t="str">
        <f>IF($A143="","",[1]!thsiFinD("ths_adjustment_nv_fund",U$3,$A143))</f>
        <v/>
      </c>
      <c r="V143" s="13" t="str">
        <f>IF($A143="","",[1]!thsiFinD("ths_adjustment_nv_fund",V$3,$A143))</f>
        <v/>
      </c>
      <c r="W143" s="13" t="str">
        <f>IF($A143="","",[1]!thsiFinD("ths_adjustment_nv_fund",W$3,$A143))</f>
        <v/>
      </c>
      <c r="X143" s="13" t="str">
        <f>IF($A143="","",[1]!thsiFinD("ths_adjustment_nv_fund",X$3,$A143))</f>
        <v/>
      </c>
      <c r="Y143" s="13" t="str">
        <f>IF($A143="","",[1]!thsiFinD("ths_adjustment_nv_fund",Y$3,$A143))</f>
        <v/>
      </c>
      <c r="Z143" s="13" t="str">
        <f>IF($A143="","",[1]!thsiFinD("ths_adjustment_nv_fund",Z$3,$A143))</f>
        <v/>
      </c>
      <c r="AA143" s="13" t="str">
        <f>IF($A143="","",[1]!thsiFinD("ths_adjustment_nv_fund",AA$3,$A143))</f>
        <v/>
      </c>
      <c r="AB143" s="13" t="str">
        <f>IF($A143="","",[1]!thsiFinD("ths_adjustment_nv_fund",AB$3,$A143))</f>
        <v/>
      </c>
      <c r="AC143" s="13" t="str">
        <f>IF($A143="","",[1]!thsiFinD("ths_adjustment_nv_fund",AC$3,$A143))</f>
        <v/>
      </c>
      <c r="AD143" s="13" t="str">
        <f>IF($A143="","",[1]!thsiFinD("ths_adjustment_nv_fund",AD$3,$A143))</f>
        <v/>
      </c>
      <c r="AE143" s="13" t="str">
        <f>IF($A143="","",[1]!thsiFinD("ths_adjustment_nv_fund",AE$3,$A143))</f>
        <v/>
      </c>
      <c r="AF143" s="13" t="str">
        <f>IF($A143="","",[1]!thsiFinD("ths_adjustment_nv_fund",AF$3,$A143))</f>
        <v/>
      </c>
      <c r="AG143" s="13" t="str">
        <f>IF($A143="","",[1]!thsiFinD("ths_adjustment_nv_fund",AG$3,$A143))</f>
        <v/>
      </c>
      <c r="AH143" s="13" t="str">
        <f>IF($A143="","",[1]!thsiFinD("ths_adjustment_nv_fund",AH$3,$A143))</f>
        <v/>
      </c>
      <c r="AI143" s="13" t="str">
        <f>IF($A143="","",[1]!thsiFinD("ths_adjustment_nv_fund",AI$3,$A143))</f>
        <v/>
      </c>
      <c r="AJ143" s="13" t="str">
        <f>IF($A143="","",[1]!thsiFinD("ths_adjustment_nv_fund",AJ$3,$A143))</f>
        <v/>
      </c>
      <c r="AK143" s="13" t="str">
        <f>IF($A143="","",[1]!thsiFinD("ths_adjustment_nv_fund",AK$3,$A143))</f>
        <v/>
      </c>
      <c r="AL143" s="13" t="str">
        <f>IF($A143="","",[1]!thsiFinD("ths_adjustment_nv_fund",AL$3,$A143))</f>
        <v/>
      </c>
    </row>
    <row r="144" spans="1:38">
      <c r="A144" s="9"/>
      <c r="B144" s="13" t="str">
        <f>IF($A144="","",[1]!thsiFinD("ths_adjustment_nv_fund",B$3,$A144))</f>
        <v/>
      </c>
      <c r="C144" s="13" t="str">
        <f>IF($A144="","",[1]!thsiFinD("ths_adjustment_nv_fund",C$3,$A144))</f>
        <v/>
      </c>
      <c r="D144" s="13" t="str">
        <f>IF($A144="","",[1]!thsiFinD("ths_adjustment_nv_fund",D$3,$A144))</f>
        <v/>
      </c>
      <c r="E144" s="13" t="str">
        <f>IF($A144="","",[1]!thsiFinD("ths_adjustment_nv_fund",E$3,$A144))</f>
        <v/>
      </c>
      <c r="F144" s="13" t="str">
        <f>IF($A144="","",[1]!thsiFinD("ths_adjustment_nv_fund",F$3,$A144))</f>
        <v/>
      </c>
      <c r="G144" s="13" t="str">
        <f>IF($A144="","",[1]!thsiFinD("ths_adjustment_nv_fund",G$3,$A144))</f>
        <v/>
      </c>
      <c r="H144" s="13" t="str">
        <f>IF($A144="","",[1]!thsiFinD("ths_adjustment_nv_fund",H$3,$A144))</f>
        <v/>
      </c>
      <c r="I144" s="13" t="str">
        <f>IF($A144="","",[1]!thsiFinD("ths_adjustment_nv_fund",I$3,$A144))</f>
        <v/>
      </c>
      <c r="J144" s="13" t="str">
        <f>IF($A144="","",[1]!thsiFinD("ths_adjustment_nv_fund",J$3,$A144))</f>
        <v/>
      </c>
      <c r="K144" s="13" t="str">
        <f>IF($A144="","",[1]!thsiFinD("ths_adjustment_nv_fund",K$3,$A144))</f>
        <v/>
      </c>
      <c r="L144" s="13" t="str">
        <f>IF($A144="","",[1]!thsiFinD("ths_adjustment_nv_fund",L$3,$A144))</f>
        <v/>
      </c>
      <c r="M144" s="13" t="str">
        <f>IF($A144="","",[1]!thsiFinD("ths_adjustment_nv_fund",M$3,$A144))</f>
        <v/>
      </c>
      <c r="N144" s="13" t="str">
        <f>IF($A144="","",[1]!thsiFinD("ths_adjustment_nv_fund",N$3,$A144))</f>
        <v/>
      </c>
      <c r="O144" s="13" t="str">
        <f>IF($A144="","",[1]!thsiFinD("ths_adjustment_nv_fund",O$3,$A144))</f>
        <v/>
      </c>
      <c r="P144" s="13" t="str">
        <f>IF($A144="","",[1]!thsiFinD("ths_adjustment_nv_fund",P$3,$A144))</f>
        <v/>
      </c>
      <c r="Q144" s="13" t="str">
        <f>IF($A144="","",[1]!thsiFinD("ths_adjustment_nv_fund",Q$3,$A144))</f>
        <v/>
      </c>
      <c r="R144" s="13" t="str">
        <f>IF($A144="","",[1]!thsiFinD("ths_adjustment_nv_fund",R$3,$A144))</f>
        <v/>
      </c>
      <c r="S144" s="13" t="str">
        <f>IF($A144="","",[1]!thsiFinD("ths_adjustment_nv_fund",S$3,$A144))</f>
        <v/>
      </c>
      <c r="T144" s="13" t="str">
        <f>IF($A144="","",[1]!thsiFinD("ths_adjustment_nv_fund",T$3,$A144))</f>
        <v/>
      </c>
      <c r="U144" s="13" t="str">
        <f>IF($A144="","",[1]!thsiFinD("ths_adjustment_nv_fund",U$3,$A144))</f>
        <v/>
      </c>
      <c r="V144" s="13" t="str">
        <f>IF($A144="","",[1]!thsiFinD("ths_adjustment_nv_fund",V$3,$A144))</f>
        <v/>
      </c>
      <c r="W144" s="13" t="str">
        <f>IF($A144="","",[1]!thsiFinD("ths_adjustment_nv_fund",W$3,$A144))</f>
        <v/>
      </c>
      <c r="X144" s="13" t="str">
        <f>IF($A144="","",[1]!thsiFinD("ths_adjustment_nv_fund",X$3,$A144))</f>
        <v/>
      </c>
      <c r="Y144" s="13" t="str">
        <f>IF($A144="","",[1]!thsiFinD("ths_adjustment_nv_fund",Y$3,$A144))</f>
        <v/>
      </c>
      <c r="Z144" s="13" t="str">
        <f>IF($A144="","",[1]!thsiFinD("ths_adjustment_nv_fund",Z$3,$A144))</f>
        <v/>
      </c>
      <c r="AA144" s="13" t="str">
        <f>IF($A144="","",[1]!thsiFinD("ths_adjustment_nv_fund",AA$3,$A144))</f>
        <v/>
      </c>
      <c r="AB144" s="13" t="str">
        <f>IF($A144="","",[1]!thsiFinD("ths_adjustment_nv_fund",AB$3,$A144))</f>
        <v/>
      </c>
      <c r="AC144" s="13" t="str">
        <f>IF($A144="","",[1]!thsiFinD("ths_adjustment_nv_fund",AC$3,$A144))</f>
        <v/>
      </c>
      <c r="AD144" s="13" t="str">
        <f>IF($A144="","",[1]!thsiFinD("ths_adjustment_nv_fund",AD$3,$A144))</f>
        <v/>
      </c>
      <c r="AE144" s="13" t="str">
        <f>IF($A144="","",[1]!thsiFinD("ths_adjustment_nv_fund",AE$3,$A144))</f>
        <v/>
      </c>
      <c r="AF144" s="13" t="str">
        <f>IF($A144="","",[1]!thsiFinD("ths_adjustment_nv_fund",AF$3,$A144))</f>
        <v/>
      </c>
      <c r="AG144" s="13" t="str">
        <f>IF($A144="","",[1]!thsiFinD("ths_adjustment_nv_fund",AG$3,$A144))</f>
        <v/>
      </c>
      <c r="AH144" s="13" t="str">
        <f>IF($A144="","",[1]!thsiFinD("ths_adjustment_nv_fund",AH$3,$A144))</f>
        <v/>
      </c>
      <c r="AI144" s="13" t="str">
        <f>IF($A144="","",[1]!thsiFinD("ths_adjustment_nv_fund",AI$3,$A144))</f>
        <v/>
      </c>
      <c r="AJ144" s="13" t="str">
        <f>IF($A144="","",[1]!thsiFinD("ths_adjustment_nv_fund",AJ$3,$A144))</f>
        <v/>
      </c>
      <c r="AK144" s="13" t="str">
        <f>IF($A144="","",[1]!thsiFinD("ths_adjustment_nv_fund",AK$3,$A144))</f>
        <v/>
      </c>
      <c r="AL144" s="13" t="str">
        <f>IF($A144="","",[1]!thsiFinD("ths_adjustment_nv_fund",AL$3,$A144))</f>
        <v/>
      </c>
    </row>
    <row r="145" spans="1:38">
      <c r="A145" s="9"/>
      <c r="B145" s="13" t="str">
        <f>IF($A145="","",[1]!thsiFinD("ths_adjustment_nv_fund",B$3,$A145))</f>
        <v/>
      </c>
      <c r="C145" s="13" t="str">
        <f>IF($A145="","",[1]!thsiFinD("ths_adjustment_nv_fund",C$3,$A145))</f>
        <v/>
      </c>
      <c r="D145" s="13" t="str">
        <f>IF($A145="","",[1]!thsiFinD("ths_adjustment_nv_fund",D$3,$A145))</f>
        <v/>
      </c>
      <c r="E145" s="13" t="str">
        <f>IF($A145="","",[1]!thsiFinD("ths_adjustment_nv_fund",E$3,$A145))</f>
        <v/>
      </c>
      <c r="F145" s="13" t="str">
        <f>IF($A145="","",[1]!thsiFinD("ths_adjustment_nv_fund",F$3,$A145))</f>
        <v/>
      </c>
      <c r="G145" s="13" t="str">
        <f>IF($A145="","",[1]!thsiFinD("ths_adjustment_nv_fund",G$3,$A145))</f>
        <v/>
      </c>
      <c r="H145" s="13" t="str">
        <f>IF($A145="","",[1]!thsiFinD("ths_adjustment_nv_fund",H$3,$A145))</f>
        <v/>
      </c>
      <c r="I145" s="13" t="str">
        <f>IF($A145="","",[1]!thsiFinD("ths_adjustment_nv_fund",I$3,$A145))</f>
        <v/>
      </c>
      <c r="J145" s="13" t="str">
        <f>IF($A145="","",[1]!thsiFinD("ths_adjustment_nv_fund",J$3,$A145))</f>
        <v/>
      </c>
      <c r="K145" s="13" t="str">
        <f>IF($A145="","",[1]!thsiFinD("ths_adjustment_nv_fund",K$3,$A145))</f>
        <v/>
      </c>
      <c r="L145" s="13" t="str">
        <f>IF($A145="","",[1]!thsiFinD("ths_adjustment_nv_fund",L$3,$A145))</f>
        <v/>
      </c>
      <c r="M145" s="13" t="str">
        <f>IF($A145="","",[1]!thsiFinD("ths_adjustment_nv_fund",M$3,$A145))</f>
        <v/>
      </c>
      <c r="N145" s="13" t="str">
        <f>IF($A145="","",[1]!thsiFinD("ths_adjustment_nv_fund",N$3,$A145))</f>
        <v/>
      </c>
      <c r="O145" s="13" t="str">
        <f>IF($A145="","",[1]!thsiFinD("ths_adjustment_nv_fund",O$3,$A145))</f>
        <v/>
      </c>
      <c r="P145" s="13" t="str">
        <f>IF($A145="","",[1]!thsiFinD("ths_adjustment_nv_fund",P$3,$A145))</f>
        <v/>
      </c>
      <c r="Q145" s="13" t="str">
        <f>IF($A145="","",[1]!thsiFinD("ths_adjustment_nv_fund",Q$3,$A145))</f>
        <v/>
      </c>
      <c r="R145" s="13" t="str">
        <f>IF($A145="","",[1]!thsiFinD("ths_adjustment_nv_fund",R$3,$A145))</f>
        <v/>
      </c>
      <c r="S145" s="13" t="str">
        <f>IF($A145="","",[1]!thsiFinD("ths_adjustment_nv_fund",S$3,$A145))</f>
        <v/>
      </c>
      <c r="T145" s="13" t="str">
        <f>IF($A145="","",[1]!thsiFinD("ths_adjustment_nv_fund",T$3,$A145))</f>
        <v/>
      </c>
      <c r="U145" s="13" t="str">
        <f>IF($A145="","",[1]!thsiFinD("ths_adjustment_nv_fund",U$3,$A145))</f>
        <v/>
      </c>
      <c r="V145" s="13" t="str">
        <f>IF($A145="","",[1]!thsiFinD("ths_adjustment_nv_fund",V$3,$A145))</f>
        <v/>
      </c>
      <c r="W145" s="13" t="str">
        <f>IF($A145="","",[1]!thsiFinD("ths_adjustment_nv_fund",W$3,$A145))</f>
        <v/>
      </c>
      <c r="X145" s="13" t="str">
        <f>IF($A145="","",[1]!thsiFinD("ths_adjustment_nv_fund",X$3,$A145))</f>
        <v/>
      </c>
      <c r="Y145" s="13" t="str">
        <f>IF($A145="","",[1]!thsiFinD("ths_adjustment_nv_fund",Y$3,$A145))</f>
        <v/>
      </c>
      <c r="Z145" s="13" t="str">
        <f>IF($A145="","",[1]!thsiFinD("ths_adjustment_nv_fund",Z$3,$A145))</f>
        <v/>
      </c>
      <c r="AA145" s="13" t="str">
        <f>IF($A145="","",[1]!thsiFinD("ths_adjustment_nv_fund",AA$3,$A145))</f>
        <v/>
      </c>
      <c r="AB145" s="13" t="str">
        <f>IF($A145="","",[1]!thsiFinD("ths_adjustment_nv_fund",AB$3,$A145))</f>
        <v/>
      </c>
      <c r="AC145" s="13" t="str">
        <f>IF($A145="","",[1]!thsiFinD("ths_adjustment_nv_fund",AC$3,$A145))</f>
        <v/>
      </c>
      <c r="AD145" s="13" t="str">
        <f>IF($A145="","",[1]!thsiFinD("ths_adjustment_nv_fund",AD$3,$A145))</f>
        <v/>
      </c>
      <c r="AE145" s="13" t="str">
        <f>IF($A145="","",[1]!thsiFinD("ths_adjustment_nv_fund",AE$3,$A145))</f>
        <v/>
      </c>
      <c r="AF145" s="13" t="str">
        <f>IF($A145="","",[1]!thsiFinD("ths_adjustment_nv_fund",AF$3,$A145))</f>
        <v/>
      </c>
      <c r="AG145" s="13" t="str">
        <f>IF($A145="","",[1]!thsiFinD("ths_adjustment_nv_fund",AG$3,$A145))</f>
        <v/>
      </c>
      <c r="AH145" s="13" t="str">
        <f>IF($A145="","",[1]!thsiFinD("ths_adjustment_nv_fund",AH$3,$A145))</f>
        <v/>
      </c>
      <c r="AI145" s="13" t="str">
        <f>IF($A145="","",[1]!thsiFinD("ths_adjustment_nv_fund",AI$3,$A145))</f>
        <v/>
      </c>
      <c r="AJ145" s="13" t="str">
        <f>IF($A145="","",[1]!thsiFinD("ths_adjustment_nv_fund",AJ$3,$A145))</f>
        <v/>
      </c>
      <c r="AK145" s="13" t="str">
        <f>IF($A145="","",[1]!thsiFinD("ths_adjustment_nv_fund",AK$3,$A145))</f>
        <v/>
      </c>
      <c r="AL145" s="13" t="str">
        <f>IF($A145="","",[1]!thsiFinD("ths_adjustment_nv_fund",AL$3,$A145))</f>
        <v/>
      </c>
    </row>
    <row r="146" spans="1:38">
      <c r="A146" s="9"/>
      <c r="B146" s="13" t="str">
        <f>IF($A146="","",[1]!thsiFinD("ths_adjustment_nv_fund",B$3,$A146))</f>
        <v/>
      </c>
      <c r="C146" s="13" t="str">
        <f>IF($A146="","",[1]!thsiFinD("ths_adjustment_nv_fund",C$3,$A146))</f>
        <v/>
      </c>
      <c r="D146" s="13" t="str">
        <f>IF($A146="","",[1]!thsiFinD("ths_adjustment_nv_fund",D$3,$A146))</f>
        <v/>
      </c>
      <c r="E146" s="13" t="str">
        <f>IF($A146="","",[1]!thsiFinD("ths_adjustment_nv_fund",E$3,$A146))</f>
        <v/>
      </c>
      <c r="F146" s="13" t="str">
        <f>IF($A146="","",[1]!thsiFinD("ths_adjustment_nv_fund",F$3,$A146))</f>
        <v/>
      </c>
      <c r="G146" s="13" t="str">
        <f>IF($A146="","",[1]!thsiFinD("ths_adjustment_nv_fund",G$3,$A146))</f>
        <v/>
      </c>
      <c r="H146" s="13" t="str">
        <f>IF($A146="","",[1]!thsiFinD("ths_adjustment_nv_fund",H$3,$A146))</f>
        <v/>
      </c>
      <c r="I146" s="13" t="str">
        <f>IF($A146="","",[1]!thsiFinD("ths_adjustment_nv_fund",I$3,$A146))</f>
        <v/>
      </c>
      <c r="J146" s="13" t="str">
        <f>IF($A146="","",[1]!thsiFinD("ths_adjustment_nv_fund",J$3,$A146))</f>
        <v/>
      </c>
      <c r="K146" s="13" t="str">
        <f>IF($A146="","",[1]!thsiFinD("ths_adjustment_nv_fund",K$3,$A146))</f>
        <v/>
      </c>
      <c r="L146" s="13" t="str">
        <f>IF($A146="","",[1]!thsiFinD("ths_adjustment_nv_fund",L$3,$A146))</f>
        <v/>
      </c>
      <c r="M146" s="13" t="str">
        <f>IF($A146="","",[1]!thsiFinD("ths_adjustment_nv_fund",M$3,$A146))</f>
        <v/>
      </c>
      <c r="N146" s="13" t="str">
        <f>IF($A146="","",[1]!thsiFinD("ths_adjustment_nv_fund",N$3,$A146))</f>
        <v/>
      </c>
      <c r="O146" s="13" t="str">
        <f>IF($A146="","",[1]!thsiFinD("ths_adjustment_nv_fund",O$3,$A146))</f>
        <v/>
      </c>
      <c r="P146" s="13" t="str">
        <f>IF($A146="","",[1]!thsiFinD("ths_adjustment_nv_fund",P$3,$A146))</f>
        <v/>
      </c>
      <c r="Q146" s="13" t="str">
        <f>IF($A146="","",[1]!thsiFinD("ths_adjustment_nv_fund",Q$3,$A146))</f>
        <v/>
      </c>
      <c r="R146" s="13" t="str">
        <f>IF($A146="","",[1]!thsiFinD("ths_adjustment_nv_fund",R$3,$A146))</f>
        <v/>
      </c>
      <c r="S146" s="13" t="str">
        <f>IF($A146="","",[1]!thsiFinD("ths_adjustment_nv_fund",S$3,$A146))</f>
        <v/>
      </c>
      <c r="T146" s="13" t="str">
        <f>IF($A146="","",[1]!thsiFinD("ths_adjustment_nv_fund",T$3,$A146))</f>
        <v/>
      </c>
      <c r="U146" s="13" t="str">
        <f>IF($A146="","",[1]!thsiFinD("ths_adjustment_nv_fund",U$3,$A146))</f>
        <v/>
      </c>
      <c r="V146" s="13" t="str">
        <f>IF($A146="","",[1]!thsiFinD("ths_adjustment_nv_fund",V$3,$A146))</f>
        <v/>
      </c>
      <c r="W146" s="13" t="str">
        <f>IF($A146="","",[1]!thsiFinD("ths_adjustment_nv_fund",W$3,$A146))</f>
        <v/>
      </c>
      <c r="X146" s="13" t="str">
        <f>IF($A146="","",[1]!thsiFinD("ths_adjustment_nv_fund",X$3,$A146))</f>
        <v/>
      </c>
      <c r="Y146" s="13" t="str">
        <f>IF($A146="","",[1]!thsiFinD("ths_adjustment_nv_fund",Y$3,$A146))</f>
        <v/>
      </c>
      <c r="Z146" s="13" t="str">
        <f>IF($A146="","",[1]!thsiFinD("ths_adjustment_nv_fund",Z$3,$A146))</f>
        <v/>
      </c>
      <c r="AA146" s="13" t="str">
        <f>IF($A146="","",[1]!thsiFinD("ths_adjustment_nv_fund",AA$3,$A146))</f>
        <v/>
      </c>
      <c r="AB146" s="13" t="str">
        <f>IF($A146="","",[1]!thsiFinD("ths_adjustment_nv_fund",AB$3,$A146))</f>
        <v/>
      </c>
      <c r="AC146" s="13" t="str">
        <f>IF($A146="","",[1]!thsiFinD("ths_adjustment_nv_fund",AC$3,$A146))</f>
        <v/>
      </c>
      <c r="AD146" s="13" t="str">
        <f>IF($A146="","",[1]!thsiFinD("ths_adjustment_nv_fund",AD$3,$A146))</f>
        <v/>
      </c>
      <c r="AE146" s="13" t="str">
        <f>IF($A146="","",[1]!thsiFinD("ths_adjustment_nv_fund",AE$3,$A146))</f>
        <v/>
      </c>
      <c r="AF146" s="13" t="str">
        <f>IF($A146="","",[1]!thsiFinD("ths_adjustment_nv_fund",AF$3,$A146))</f>
        <v/>
      </c>
      <c r="AG146" s="13" t="str">
        <f>IF($A146="","",[1]!thsiFinD("ths_adjustment_nv_fund",AG$3,$A146))</f>
        <v/>
      </c>
      <c r="AH146" s="13" t="str">
        <f>IF($A146="","",[1]!thsiFinD("ths_adjustment_nv_fund",AH$3,$A146))</f>
        <v/>
      </c>
      <c r="AI146" s="13" t="str">
        <f>IF($A146="","",[1]!thsiFinD("ths_adjustment_nv_fund",AI$3,$A146))</f>
        <v/>
      </c>
      <c r="AJ146" s="13" t="str">
        <f>IF($A146="","",[1]!thsiFinD("ths_adjustment_nv_fund",AJ$3,$A146))</f>
        <v/>
      </c>
      <c r="AK146" s="13" t="str">
        <f>IF($A146="","",[1]!thsiFinD("ths_adjustment_nv_fund",AK$3,$A146))</f>
        <v/>
      </c>
      <c r="AL146" s="13" t="str">
        <f>IF($A146="","",[1]!thsiFinD("ths_adjustment_nv_fund",AL$3,$A146))</f>
        <v/>
      </c>
    </row>
    <row r="147" spans="1:38">
      <c r="A147" s="9"/>
      <c r="B147" s="13" t="str">
        <f>IF($A147="","",[1]!thsiFinD("ths_adjustment_nv_fund",B$3,$A147))</f>
        <v/>
      </c>
      <c r="C147" s="13" t="str">
        <f>IF($A147="","",[1]!thsiFinD("ths_adjustment_nv_fund",C$3,$A147))</f>
        <v/>
      </c>
      <c r="D147" s="13" t="str">
        <f>IF($A147="","",[1]!thsiFinD("ths_adjustment_nv_fund",D$3,$A147))</f>
        <v/>
      </c>
      <c r="E147" s="13" t="str">
        <f>IF($A147="","",[1]!thsiFinD("ths_adjustment_nv_fund",E$3,$A147))</f>
        <v/>
      </c>
      <c r="F147" s="13" t="str">
        <f>IF($A147="","",[1]!thsiFinD("ths_adjustment_nv_fund",F$3,$A147))</f>
        <v/>
      </c>
      <c r="G147" s="13" t="str">
        <f>IF($A147="","",[1]!thsiFinD("ths_adjustment_nv_fund",G$3,$A147))</f>
        <v/>
      </c>
      <c r="H147" s="13" t="str">
        <f>IF($A147="","",[1]!thsiFinD("ths_adjustment_nv_fund",H$3,$A147))</f>
        <v/>
      </c>
      <c r="I147" s="13" t="str">
        <f>IF($A147="","",[1]!thsiFinD("ths_adjustment_nv_fund",I$3,$A147))</f>
        <v/>
      </c>
      <c r="J147" s="13" t="str">
        <f>IF($A147="","",[1]!thsiFinD("ths_adjustment_nv_fund",J$3,$A147))</f>
        <v/>
      </c>
      <c r="K147" s="13" t="str">
        <f>IF($A147="","",[1]!thsiFinD("ths_adjustment_nv_fund",K$3,$A147))</f>
        <v/>
      </c>
      <c r="L147" s="13" t="str">
        <f>IF($A147="","",[1]!thsiFinD("ths_adjustment_nv_fund",L$3,$A147))</f>
        <v/>
      </c>
      <c r="M147" s="13" t="str">
        <f>IF($A147="","",[1]!thsiFinD("ths_adjustment_nv_fund",M$3,$A147))</f>
        <v/>
      </c>
      <c r="N147" s="13" t="str">
        <f>IF($A147="","",[1]!thsiFinD("ths_adjustment_nv_fund",N$3,$A147))</f>
        <v/>
      </c>
      <c r="O147" s="13" t="str">
        <f>IF($A147="","",[1]!thsiFinD("ths_adjustment_nv_fund",O$3,$A147))</f>
        <v/>
      </c>
      <c r="P147" s="13" t="str">
        <f>IF($A147="","",[1]!thsiFinD("ths_adjustment_nv_fund",P$3,$A147))</f>
        <v/>
      </c>
      <c r="Q147" s="13" t="str">
        <f>IF($A147="","",[1]!thsiFinD("ths_adjustment_nv_fund",Q$3,$A147))</f>
        <v/>
      </c>
      <c r="R147" s="13" t="str">
        <f>IF($A147="","",[1]!thsiFinD("ths_adjustment_nv_fund",R$3,$A147))</f>
        <v/>
      </c>
      <c r="S147" s="13" t="str">
        <f>IF($A147="","",[1]!thsiFinD("ths_adjustment_nv_fund",S$3,$A147))</f>
        <v/>
      </c>
      <c r="T147" s="13" t="str">
        <f>IF($A147="","",[1]!thsiFinD("ths_adjustment_nv_fund",T$3,$A147))</f>
        <v/>
      </c>
      <c r="U147" s="13" t="str">
        <f>IF($A147="","",[1]!thsiFinD("ths_adjustment_nv_fund",U$3,$A147))</f>
        <v/>
      </c>
      <c r="V147" s="13" t="str">
        <f>IF($A147="","",[1]!thsiFinD("ths_adjustment_nv_fund",V$3,$A147))</f>
        <v/>
      </c>
      <c r="W147" s="13" t="str">
        <f>IF($A147="","",[1]!thsiFinD("ths_adjustment_nv_fund",W$3,$A147))</f>
        <v/>
      </c>
      <c r="X147" s="13" t="str">
        <f>IF($A147="","",[1]!thsiFinD("ths_adjustment_nv_fund",X$3,$A147))</f>
        <v/>
      </c>
      <c r="Y147" s="13" t="str">
        <f>IF($A147="","",[1]!thsiFinD("ths_adjustment_nv_fund",Y$3,$A147))</f>
        <v/>
      </c>
      <c r="Z147" s="13" t="str">
        <f>IF($A147="","",[1]!thsiFinD("ths_adjustment_nv_fund",Z$3,$A147))</f>
        <v/>
      </c>
      <c r="AA147" s="13" t="str">
        <f>IF($A147="","",[1]!thsiFinD("ths_adjustment_nv_fund",AA$3,$A147))</f>
        <v/>
      </c>
      <c r="AB147" s="13" t="str">
        <f>IF($A147="","",[1]!thsiFinD("ths_adjustment_nv_fund",AB$3,$A147))</f>
        <v/>
      </c>
      <c r="AC147" s="13" t="str">
        <f>IF($A147="","",[1]!thsiFinD("ths_adjustment_nv_fund",AC$3,$A147))</f>
        <v/>
      </c>
      <c r="AD147" s="13" t="str">
        <f>IF($A147="","",[1]!thsiFinD("ths_adjustment_nv_fund",AD$3,$A147))</f>
        <v/>
      </c>
      <c r="AE147" s="13" t="str">
        <f>IF($A147="","",[1]!thsiFinD("ths_adjustment_nv_fund",AE$3,$A147))</f>
        <v/>
      </c>
      <c r="AF147" s="13" t="str">
        <f>IF($A147="","",[1]!thsiFinD("ths_adjustment_nv_fund",AF$3,$A147))</f>
        <v/>
      </c>
      <c r="AG147" s="13" t="str">
        <f>IF($A147="","",[1]!thsiFinD("ths_adjustment_nv_fund",AG$3,$A147))</f>
        <v/>
      </c>
      <c r="AH147" s="13" t="str">
        <f>IF($A147="","",[1]!thsiFinD("ths_adjustment_nv_fund",AH$3,$A147))</f>
        <v/>
      </c>
      <c r="AI147" s="13" t="str">
        <f>IF($A147="","",[1]!thsiFinD("ths_adjustment_nv_fund",AI$3,$A147))</f>
        <v/>
      </c>
      <c r="AJ147" s="13" t="str">
        <f>IF($A147="","",[1]!thsiFinD("ths_adjustment_nv_fund",AJ$3,$A147))</f>
        <v/>
      </c>
      <c r="AK147" s="13" t="str">
        <f>IF($A147="","",[1]!thsiFinD("ths_adjustment_nv_fund",AK$3,$A147))</f>
        <v/>
      </c>
      <c r="AL147" s="13" t="str">
        <f>IF($A147="","",[1]!thsiFinD("ths_adjustment_nv_fund",AL$3,$A147))</f>
        <v/>
      </c>
    </row>
    <row r="148" spans="1:38">
      <c r="A148" s="9"/>
      <c r="B148" s="13" t="str">
        <f>IF($A148="","",[1]!thsiFinD("ths_adjustment_nv_fund",B$3,$A148))</f>
        <v/>
      </c>
      <c r="C148" s="13" t="str">
        <f>IF($A148="","",[1]!thsiFinD("ths_adjustment_nv_fund",C$3,$A148))</f>
        <v/>
      </c>
      <c r="D148" s="13" t="str">
        <f>IF($A148="","",[1]!thsiFinD("ths_adjustment_nv_fund",D$3,$A148))</f>
        <v/>
      </c>
      <c r="E148" s="13" t="str">
        <f>IF($A148="","",[1]!thsiFinD("ths_adjustment_nv_fund",E$3,$A148))</f>
        <v/>
      </c>
      <c r="F148" s="13" t="str">
        <f>IF($A148="","",[1]!thsiFinD("ths_adjustment_nv_fund",F$3,$A148))</f>
        <v/>
      </c>
      <c r="G148" s="13" t="str">
        <f>IF($A148="","",[1]!thsiFinD("ths_adjustment_nv_fund",G$3,$A148))</f>
        <v/>
      </c>
      <c r="H148" s="13" t="str">
        <f>IF($A148="","",[1]!thsiFinD("ths_adjustment_nv_fund",H$3,$A148))</f>
        <v/>
      </c>
      <c r="I148" s="13" t="str">
        <f>IF($A148="","",[1]!thsiFinD("ths_adjustment_nv_fund",I$3,$A148))</f>
        <v/>
      </c>
      <c r="J148" s="13" t="str">
        <f>IF($A148="","",[1]!thsiFinD("ths_adjustment_nv_fund",J$3,$A148))</f>
        <v/>
      </c>
      <c r="K148" s="13" t="str">
        <f>IF($A148="","",[1]!thsiFinD("ths_adjustment_nv_fund",K$3,$A148))</f>
        <v/>
      </c>
      <c r="L148" s="13" t="str">
        <f>IF($A148="","",[1]!thsiFinD("ths_adjustment_nv_fund",L$3,$A148))</f>
        <v/>
      </c>
      <c r="M148" s="13" t="str">
        <f>IF($A148="","",[1]!thsiFinD("ths_adjustment_nv_fund",M$3,$A148))</f>
        <v/>
      </c>
      <c r="N148" s="13" t="str">
        <f>IF($A148="","",[1]!thsiFinD("ths_adjustment_nv_fund",N$3,$A148))</f>
        <v/>
      </c>
      <c r="O148" s="13" t="str">
        <f>IF($A148="","",[1]!thsiFinD("ths_adjustment_nv_fund",O$3,$A148))</f>
        <v/>
      </c>
      <c r="P148" s="13" t="str">
        <f>IF($A148="","",[1]!thsiFinD("ths_adjustment_nv_fund",P$3,$A148))</f>
        <v/>
      </c>
      <c r="Q148" s="13" t="str">
        <f>IF($A148="","",[1]!thsiFinD("ths_adjustment_nv_fund",Q$3,$A148))</f>
        <v/>
      </c>
      <c r="R148" s="13" t="str">
        <f>IF($A148="","",[1]!thsiFinD("ths_adjustment_nv_fund",R$3,$A148))</f>
        <v/>
      </c>
      <c r="S148" s="13" t="str">
        <f>IF($A148="","",[1]!thsiFinD("ths_adjustment_nv_fund",S$3,$A148))</f>
        <v/>
      </c>
      <c r="T148" s="13" t="str">
        <f>IF($A148="","",[1]!thsiFinD("ths_adjustment_nv_fund",T$3,$A148))</f>
        <v/>
      </c>
      <c r="U148" s="13" t="str">
        <f>IF($A148="","",[1]!thsiFinD("ths_adjustment_nv_fund",U$3,$A148))</f>
        <v/>
      </c>
      <c r="V148" s="13" t="str">
        <f>IF($A148="","",[1]!thsiFinD("ths_adjustment_nv_fund",V$3,$A148))</f>
        <v/>
      </c>
      <c r="W148" s="13" t="str">
        <f>IF($A148="","",[1]!thsiFinD("ths_adjustment_nv_fund",W$3,$A148))</f>
        <v/>
      </c>
      <c r="X148" s="13" t="str">
        <f>IF($A148="","",[1]!thsiFinD("ths_adjustment_nv_fund",X$3,$A148))</f>
        <v/>
      </c>
      <c r="Y148" s="13" t="str">
        <f>IF($A148="","",[1]!thsiFinD("ths_adjustment_nv_fund",Y$3,$A148))</f>
        <v/>
      </c>
      <c r="Z148" s="13" t="str">
        <f>IF($A148="","",[1]!thsiFinD("ths_adjustment_nv_fund",Z$3,$A148))</f>
        <v/>
      </c>
      <c r="AA148" s="13" t="str">
        <f>IF($A148="","",[1]!thsiFinD("ths_adjustment_nv_fund",AA$3,$A148))</f>
        <v/>
      </c>
      <c r="AB148" s="13" t="str">
        <f>IF($A148="","",[1]!thsiFinD("ths_adjustment_nv_fund",AB$3,$A148))</f>
        <v/>
      </c>
      <c r="AC148" s="13" t="str">
        <f>IF($A148="","",[1]!thsiFinD("ths_adjustment_nv_fund",AC$3,$A148))</f>
        <v/>
      </c>
      <c r="AD148" s="13" t="str">
        <f>IF($A148="","",[1]!thsiFinD("ths_adjustment_nv_fund",AD$3,$A148))</f>
        <v/>
      </c>
      <c r="AE148" s="13" t="str">
        <f>IF($A148="","",[1]!thsiFinD("ths_adjustment_nv_fund",AE$3,$A148))</f>
        <v/>
      </c>
      <c r="AF148" s="13" t="str">
        <f>IF($A148="","",[1]!thsiFinD("ths_adjustment_nv_fund",AF$3,$A148))</f>
        <v/>
      </c>
      <c r="AG148" s="13" t="str">
        <f>IF($A148="","",[1]!thsiFinD("ths_adjustment_nv_fund",AG$3,$A148))</f>
        <v/>
      </c>
      <c r="AH148" s="13" t="str">
        <f>IF($A148="","",[1]!thsiFinD("ths_adjustment_nv_fund",AH$3,$A148))</f>
        <v/>
      </c>
      <c r="AI148" s="13" t="str">
        <f>IF($A148="","",[1]!thsiFinD("ths_adjustment_nv_fund",AI$3,$A148))</f>
        <v/>
      </c>
      <c r="AJ148" s="13" t="str">
        <f>IF($A148="","",[1]!thsiFinD("ths_adjustment_nv_fund",AJ$3,$A148))</f>
        <v/>
      </c>
      <c r="AK148" s="13" t="str">
        <f>IF($A148="","",[1]!thsiFinD("ths_adjustment_nv_fund",AK$3,$A148))</f>
        <v/>
      </c>
      <c r="AL148" s="13" t="str">
        <f>IF($A148="","",[1]!thsiFinD("ths_adjustment_nv_fund",AL$3,$A148))</f>
        <v/>
      </c>
    </row>
    <row r="149" spans="1:38">
      <c r="A149" s="9"/>
      <c r="B149" s="13" t="str">
        <f>IF($A149="","",[1]!thsiFinD("ths_adjustment_nv_fund",B$3,$A149))</f>
        <v/>
      </c>
      <c r="C149" s="13" t="str">
        <f>IF($A149="","",[1]!thsiFinD("ths_adjustment_nv_fund",C$3,$A149))</f>
        <v/>
      </c>
      <c r="D149" s="13" t="str">
        <f>IF($A149="","",[1]!thsiFinD("ths_adjustment_nv_fund",D$3,$A149))</f>
        <v/>
      </c>
      <c r="E149" s="13" t="str">
        <f>IF($A149="","",[1]!thsiFinD("ths_adjustment_nv_fund",E$3,$A149))</f>
        <v/>
      </c>
      <c r="F149" s="13" t="str">
        <f>IF($A149="","",[1]!thsiFinD("ths_adjustment_nv_fund",F$3,$A149))</f>
        <v/>
      </c>
      <c r="G149" s="13" t="str">
        <f>IF($A149="","",[1]!thsiFinD("ths_adjustment_nv_fund",G$3,$A149))</f>
        <v/>
      </c>
      <c r="H149" s="13" t="str">
        <f>IF($A149="","",[1]!thsiFinD("ths_adjustment_nv_fund",H$3,$A149))</f>
        <v/>
      </c>
      <c r="I149" s="13" t="str">
        <f>IF($A149="","",[1]!thsiFinD("ths_adjustment_nv_fund",I$3,$A149))</f>
        <v/>
      </c>
      <c r="J149" s="13" t="str">
        <f>IF($A149="","",[1]!thsiFinD("ths_adjustment_nv_fund",J$3,$A149))</f>
        <v/>
      </c>
      <c r="K149" s="13" t="str">
        <f>IF($A149="","",[1]!thsiFinD("ths_adjustment_nv_fund",K$3,$A149))</f>
        <v/>
      </c>
      <c r="L149" s="13" t="str">
        <f>IF($A149="","",[1]!thsiFinD("ths_adjustment_nv_fund",L$3,$A149))</f>
        <v/>
      </c>
      <c r="M149" s="13" t="str">
        <f>IF($A149="","",[1]!thsiFinD("ths_adjustment_nv_fund",M$3,$A149))</f>
        <v/>
      </c>
      <c r="N149" s="13" t="str">
        <f>IF($A149="","",[1]!thsiFinD("ths_adjustment_nv_fund",N$3,$A149))</f>
        <v/>
      </c>
      <c r="O149" s="13" t="str">
        <f>IF($A149="","",[1]!thsiFinD("ths_adjustment_nv_fund",O$3,$A149))</f>
        <v/>
      </c>
      <c r="P149" s="13" t="str">
        <f>IF($A149="","",[1]!thsiFinD("ths_adjustment_nv_fund",P$3,$A149))</f>
        <v/>
      </c>
      <c r="Q149" s="13" t="str">
        <f>IF($A149="","",[1]!thsiFinD("ths_adjustment_nv_fund",Q$3,$A149))</f>
        <v/>
      </c>
      <c r="R149" s="13" t="str">
        <f>IF($A149="","",[1]!thsiFinD("ths_adjustment_nv_fund",R$3,$A149))</f>
        <v/>
      </c>
      <c r="S149" s="13" t="str">
        <f>IF($A149="","",[1]!thsiFinD("ths_adjustment_nv_fund",S$3,$A149))</f>
        <v/>
      </c>
      <c r="T149" s="13" t="str">
        <f>IF($A149="","",[1]!thsiFinD("ths_adjustment_nv_fund",T$3,$A149))</f>
        <v/>
      </c>
      <c r="U149" s="13" t="str">
        <f>IF($A149="","",[1]!thsiFinD("ths_adjustment_nv_fund",U$3,$A149))</f>
        <v/>
      </c>
      <c r="V149" s="13" t="str">
        <f>IF($A149="","",[1]!thsiFinD("ths_adjustment_nv_fund",V$3,$A149))</f>
        <v/>
      </c>
      <c r="W149" s="13" t="str">
        <f>IF($A149="","",[1]!thsiFinD("ths_adjustment_nv_fund",W$3,$A149))</f>
        <v/>
      </c>
      <c r="X149" s="13" t="str">
        <f>IF($A149="","",[1]!thsiFinD("ths_adjustment_nv_fund",X$3,$A149))</f>
        <v/>
      </c>
      <c r="Y149" s="13" t="str">
        <f>IF($A149="","",[1]!thsiFinD("ths_adjustment_nv_fund",Y$3,$A149))</f>
        <v/>
      </c>
      <c r="Z149" s="13" t="str">
        <f>IF($A149="","",[1]!thsiFinD("ths_adjustment_nv_fund",Z$3,$A149))</f>
        <v/>
      </c>
      <c r="AA149" s="13" t="str">
        <f>IF($A149="","",[1]!thsiFinD("ths_adjustment_nv_fund",AA$3,$A149))</f>
        <v/>
      </c>
      <c r="AB149" s="13" t="str">
        <f>IF($A149="","",[1]!thsiFinD("ths_adjustment_nv_fund",AB$3,$A149))</f>
        <v/>
      </c>
      <c r="AC149" s="13" t="str">
        <f>IF($A149="","",[1]!thsiFinD("ths_adjustment_nv_fund",AC$3,$A149))</f>
        <v/>
      </c>
      <c r="AD149" s="13" t="str">
        <f>IF($A149="","",[1]!thsiFinD("ths_adjustment_nv_fund",AD$3,$A149))</f>
        <v/>
      </c>
      <c r="AE149" s="13" t="str">
        <f>IF($A149="","",[1]!thsiFinD("ths_adjustment_nv_fund",AE$3,$A149))</f>
        <v/>
      </c>
      <c r="AF149" s="13" t="str">
        <f>IF($A149="","",[1]!thsiFinD("ths_adjustment_nv_fund",AF$3,$A149))</f>
        <v/>
      </c>
      <c r="AG149" s="13" t="str">
        <f>IF($A149="","",[1]!thsiFinD("ths_adjustment_nv_fund",AG$3,$A149))</f>
        <v/>
      </c>
      <c r="AH149" s="13" t="str">
        <f>IF($A149="","",[1]!thsiFinD("ths_adjustment_nv_fund",AH$3,$A149))</f>
        <v/>
      </c>
      <c r="AI149" s="13" t="str">
        <f>IF($A149="","",[1]!thsiFinD("ths_adjustment_nv_fund",AI$3,$A149))</f>
        <v/>
      </c>
      <c r="AJ149" s="13" t="str">
        <f>IF($A149="","",[1]!thsiFinD("ths_adjustment_nv_fund",AJ$3,$A149))</f>
        <v/>
      </c>
      <c r="AK149" s="13" t="str">
        <f>IF($A149="","",[1]!thsiFinD("ths_adjustment_nv_fund",AK$3,$A149))</f>
        <v/>
      </c>
      <c r="AL149" s="13" t="str">
        <f>IF($A149="","",[1]!thsiFinD("ths_adjustment_nv_fund",AL$3,$A149))</f>
        <v/>
      </c>
    </row>
    <row r="150" spans="1:38">
      <c r="A150" s="9"/>
      <c r="B150" s="13" t="str">
        <f>IF($A150="","",[1]!thsiFinD("ths_adjustment_nv_fund",B$3,$A150))</f>
        <v/>
      </c>
      <c r="C150" s="13" t="str">
        <f>IF($A150="","",[1]!thsiFinD("ths_adjustment_nv_fund",C$3,$A150))</f>
        <v/>
      </c>
      <c r="D150" s="13" t="str">
        <f>IF($A150="","",[1]!thsiFinD("ths_adjustment_nv_fund",D$3,$A150))</f>
        <v/>
      </c>
      <c r="E150" s="13" t="str">
        <f>IF($A150="","",[1]!thsiFinD("ths_adjustment_nv_fund",E$3,$A150))</f>
        <v/>
      </c>
      <c r="F150" s="13" t="str">
        <f>IF($A150="","",[1]!thsiFinD("ths_adjustment_nv_fund",F$3,$A150))</f>
        <v/>
      </c>
      <c r="G150" s="13" t="str">
        <f>IF($A150="","",[1]!thsiFinD("ths_adjustment_nv_fund",G$3,$A150))</f>
        <v/>
      </c>
      <c r="H150" s="13" t="str">
        <f>IF($A150="","",[1]!thsiFinD("ths_adjustment_nv_fund",H$3,$A150))</f>
        <v/>
      </c>
      <c r="I150" s="13" t="str">
        <f>IF($A150="","",[1]!thsiFinD("ths_adjustment_nv_fund",I$3,$A150))</f>
        <v/>
      </c>
      <c r="J150" s="13" t="str">
        <f>IF($A150="","",[1]!thsiFinD("ths_adjustment_nv_fund",J$3,$A150))</f>
        <v/>
      </c>
      <c r="K150" s="13" t="str">
        <f>IF($A150="","",[1]!thsiFinD("ths_adjustment_nv_fund",K$3,$A150))</f>
        <v/>
      </c>
      <c r="L150" s="13" t="str">
        <f>IF($A150="","",[1]!thsiFinD("ths_adjustment_nv_fund",L$3,$A150))</f>
        <v/>
      </c>
      <c r="M150" s="13" t="str">
        <f>IF($A150="","",[1]!thsiFinD("ths_adjustment_nv_fund",M$3,$A150))</f>
        <v/>
      </c>
      <c r="N150" s="13" t="str">
        <f>IF($A150="","",[1]!thsiFinD("ths_adjustment_nv_fund",N$3,$A150))</f>
        <v/>
      </c>
      <c r="O150" s="13" t="str">
        <f>IF($A150="","",[1]!thsiFinD("ths_adjustment_nv_fund",O$3,$A150))</f>
        <v/>
      </c>
      <c r="P150" s="13" t="str">
        <f>IF($A150="","",[1]!thsiFinD("ths_adjustment_nv_fund",P$3,$A150))</f>
        <v/>
      </c>
      <c r="Q150" s="13" t="str">
        <f>IF($A150="","",[1]!thsiFinD("ths_adjustment_nv_fund",Q$3,$A150))</f>
        <v/>
      </c>
      <c r="R150" s="13" t="str">
        <f>IF($A150="","",[1]!thsiFinD("ths_adjustment_nv_fund",R$3,$A150))</f>
        <v/>
      </c>
      <c r="S150" s="13" t="str">
        <f>IF($A150="","",[1]!thsiFinD("ths_adjustment_nv_fund",S$3,$A150))</f>
        <v/>
      </c>
      <c r="T150" s="13" t="str">
        <f>IF($A150="","",[1]!thsiFinD("ths_adjustment_nv_fund",T$3,$A150))</f>
        <v/>
      </c>
      <c r="U150" s="13" t="str">
        <f>IF($A150="","",[1]!thsiFinD("ths_adjustment_nv_fund",U$3,$A150))</f>
        <v/>
      </c>
      <c r="V150" s="13" t="str">
        <f>IF($A150="","",[1]!thsiFinD("ths_adjustment_nv_fund",V$3,$A150))</f>
        <v/>
      </c>
      <c r="W150" s="13" t="str">
        <f>IF($A150="","",[1]!thsiFinD("ths_adjustment_nv_fund",W$3,$A150))</f>
        <v/>
      </c>
      <c r="X150" s="13" t="str">
        <f>IF($A150="","",[1]!thsiFinD("ths_adjustment_nv_fund",X$3,$A150))</f>
        <v/>
      </c>
      <c r="Y150" s="13" t="str">
        <f>IF($A150="","",[1]!thsiFinD("ths_adjustment_nv_fund",Y$3,$A150))</f>
        <v/>
      </c>
      <c r="Z150" s="13" t="str">
        <f>IF($A150="","",[1]!thsiFinD("ths_adjustment_nv_fund",Z$3,$A150))</f>
        <v/>
      </c>
      <c r="AA150" s="13" t="str">
        <f>IF($A150="","",[1]!thsiFinD("ths_adjustment_nv_fund",AA$3,$A150))</f>
        <v/>
      </c>
      <c r="AB150" s="13" t="str">
        <f>IF($A150="","",[1]!thsiFinD("ths_adjustment_nv_fund",AB$3,$A150))</f>
        <v/>
      </c>
      <c r="AC150" s="13" t="str">
        <f>IF($A150="","",[1]!thsiFinD("ths_adjustment_nv_fund",AC$3,$A150))</f>
        <v/>
      </c>
      <c r="AD150" s="13" t="str">
        <f>IF($A150="","",[1]!thsiFinD("ths_adjustment_nv_fund",AD$3,$A150))</f>
        <v/>
      </c>
      <c r="AE150" s="13" t="str">
        <f>IF($A150="","",[1]!thsiFinD("ths_adjustment_nv_fund",AE$3,$A150))</f>
        <v/>
      </c>
      <c r="AF150" s="13" t="str">
        <f>IF($A150="","",[1]!thsiFinD("ths_adjustment_nv_fund",AF$3,$A150))</f>
        <v/>
      </c>
      <c r="AG150" s="13" t="str">
        <f>IF($A150="","",[1]!thsiFinD("ths_adjustment_nv_fund",AG$3,$A150))</f>
        <v/>
      </c>
      <c r="AH150" s="13" t="str">
        <f>IF($A150="","",[1]!thsiFinD("ths_adjustment_nv_fund",AH$3,$A150))</f>
        <v/>
      </c>
      <c r="AI150" s="13" t="str">
        <f>IF($A150="","",[1]!thsiFinD("ths_adjustment_nv_fund",AI$3,$A150))</f>
        <v/>
      </c>
      <c r="AJ150" s="13" t="str">
        <f>IF($A150="","",[1]!thsiFinD("ths_adjustment_nv_fund",AJ$3,$A150))</f>
        <v/>
      </c>
      <c r="AK150" s="13" t="str">
        <f>IF($A150="","",[1]!thsiFinD("ths_adjustment_nv_fund",AK$3,$A150))</f>
        <v/>
      </c>
      <c r="AL150" s="13" t="str">
        <f>IF($A150="","",[1]!thsiFinD("ths_adjustment_nv_fund",AL$3,$A150))</f>
        <v/>
      </c>
    </row>
    <row r="151" spans="1:38">
      <c r="A151" s="9"/>
      <c r="B151" s="13" t="str">
        <f>IF($A151="","",[1]!thsiFinD("ths_adjustment_nv_fund",B$3,$A151))</f>
        <v/>
      </c>
      <c r="C151" s="13" t="str">
        <f>IF($A151="","",[1]!thsiFinD("ths_adjustment_nv_fund",C$3,$A151))</f>
        <v/>
      </c>
      <c r="D151" s="13" t="str">
        <f>IF($A151="","",[1]!thsiFinD("ths_adjustment_nv_fund",D$3,$A151))</f>
        <v/>
      </c>
      <c r="E151" s="13" t="str">
        <f>IF($A151="","",[1]!thsiFinD("ths_adjustment_nv_fund",E$3,$A151))</f>
        <v/>
      </c>
      <c r="F151" s="13" t="str">
        <f>IF($A151="","",[1]!thsiFinD("ths_adjustment_nv_fund",F$3,$A151))</f>
        <v/>
      </c>
      <c r="G151" s="13" t="str">
        <f>IF($A151="","",[1]!thsiFinD("ths_adjustment_nv_fund",G$3,$A151))</f>
        <v/>
      </c>
      <c r="H151" s="13" t="str">
        <f>IF($A151="","",[1]!thsiFinD("ths_adjustment_nv_fund",H$3,$A151))</f>
        <v/>
      </c>
      <c r="I151" s="13" t="str">
        <f>IF($A151="","",[1]!thsiFinD("ths_adjustment_nv_fund",I$3,$A151))</f>
        <v/>
      </c>
      <c r="J151" s="13" t="str">
        <f>IF($A151="","",[1]!thsiFinD("ths_adjustment_nv_fund",J$3,$A151))</f>
        <v/>
      </c>
      <c r="K151" s="13" t="str">
        <f>IF($A151="","",[1]!thsiFinD("ths_adjustment_nv_fund",K$3,$A151))</f>
        <v/>
      </c>
      <c r="L151" s="13" t="str">
        <f>IF($A151="","",[1]!thsiFinD("ths_adjustment_nv_fund",L$3,$A151))</f>
        <v/>
      </c>
      <c r="M151" s="13" t="str">
        <f>IF($A151="","",[1]!thsiFinD("ths_adjustment_nv_fund",M$3,$A151))</f>
        <v/>
      </c>
      <c r="N151" s="13" t="str">
        <f>IF($A151="","",[1]!thsiFinD("ths_adjustment_nv_fund",N$3,$A151))</f>
        <v/>
      </c>
      <c r="O151" s="13" t="str">
        <f>IF($A151="","",[1]!thsiFinD("ths_adjustment_nv_fund",O$3,$A151))</f>
        <v/>
      </c>
      <c r="P151" s="13" t="str">
        <f>IF($A151="","",[1]!thsiFinD("ths_adjustment_nv_fund",P$3,$A151))</f>
        <v/>
      </c>
      <c r="Q151" s="13" t="str">
        <f>IF($A151="","",[1]!thsiFinD("ths_adjustment_nv_fund",Q$3,$A151))</f>
        <v/>
      </c>
      <c r="R151" s="13" t="str">
        <f>IF($A151="","",[1]!thsiFinD("ths_adjustment_nv_fund",R$3,$A151))</f>
        <v/>
      </c>
      <c r="S151" s="13" t="str">
        <f>IF($A151="","",[1]!thsiFinD("ths_adjustment_nv_fund",S$3,$A151))</f>
        <v/>
      </c>
      <c r="T151" s="13" t="str">
        <f>IF($A151="","",[1]!thsiFinD("ths_adjustment_nv_fund",T$3,$A151))</f>
        <v/>
      </c>
      <c r="U151" s="13" t="str">
        <f>IF($A151="","",[1]!thsiFinD("ths_adjustment_nv_fund",U$3,$A151))</f>
        <v/>
      </c>
      <c r="V151" s="13" t="str">
        <f>IF($A151="","",[1]!thsiFinD("ths_adjustment_nv_fund",V$3,$A151))</f>
        <v/>
      </c>
      <c r="W151" s="13" t="str">
        <f>IF($A151="","",[1]!thsiFinD("ths_adjustment_nv_fund",W$3,$A151))</f>
        <v/>
      </c>
      <c r="X151" s="13" t="str">
        <f>IF($A151="","",[1]!thsiFinD("ths_adjustment_nv_fund",X$3,$A151))</f>
        <v/>
      </c>
      <c r="Y151" s="13" t="str">
        <f>IF($A151="","",[1]!thsiFinD("ths_adjustment_nv_fund",Y$3,$A151))</f>
        <v/>
      </c>
      <c r="Z151" s="13" t="str">
        <f>IF($A151="","",[1]!thsiFinD("ths_adjustment_nv_fund",Z$3,$A151))</f>
        <v/>
      </c>
      <c r="AA151" s="13" t="str">
        <f>IF($A151="","",[1]!thsiFinD("ths_adjustment_nv_fund",AA$3,$A151))</f>
        <v/>
      </c>
      <c r="AB151" s="13" t="str">
        <f>IF($A151="","",[1]!thsiFinD("ths_adjustment_nv_fund",AB$3,$A151))</f>
        <v/>
      </c>
      <c r="AC151" s="13" t="str">
        <f>IF($A151="","",[1]!thsiFinD("ths_adjustment_nv_fund",AC$3,$A151))</f>
        <v/>
      </c>
      <c r="AD151" s="13" t="str">
        <f>IF($A151="","",[1]!thsiFinD("ths_adjustment_nv_fund",AD$3,$A151))</f>
        <v/>
      </c>
      <c r="AE151" s="13" t="str">
        <f>IF($A151="","",[1]!thsiFinD("ths_adjustment_nv_fund",AE$3,$A151))</f>
        <v/>
      </c>
      <c r="AF151" s="13" t="str">
        <f>IF($A151="","",[1]!thsiFinD("ths_adjustment_nv_fund",AF$3,$A151))</f>
        <v/>
      </c>
      <c r="AG151" s="13" t="str">
        <f>IF($A151="","",[1]!thsiFinD("ths_adjustment_nv_fund",AG$3,$A151))</f>
        <v/>
      </c>
      <c r="AH151" s="13" t="str">
        <f>IF($A151="","",[1]!thsiFinD("ths_adjustment_nv_fund",AH$3,$A151))</f>
        <v/>
      </c>
      <c r="AI151" s="13" t="str">
        <f>IF($A151="","",[1]!thsiFinD("ths_adjustment_nv_fund",AI$3,$A151))</f>
        <v/>
      </c>
      <c r="AJ151" s="13" t="str">
        <f>IF($A151="","",[1]!thsiFinD("ths_adjustment_nv_fund",AJ$3,$A151))</f>
        <v/>
      </c>
      <c r="AK151" s="13" t="str">
        <f>IF($A151="","",[1]!thsiFinD("ths_adjustment_nv_fund",AK$3,$A151))</f>
        <v/>
      </c>
      <c r="AL151" s="13" t="str">
        <f>IF($A151="","",[1]!thsiFinD("ths_adjustment_nv_fund",AL$3,$A151))</f>
        <v/>
      </c>
    </row>
    <row r="152" spans="1:38">
      <c r="A152" s="9"/>
      <c r="B152" s="13" t="str">
        <f>IF($A152="","",[1]!thsiFinD("ths_adjustment_nv_fund",B$3,$A152))</f>
        <v/>
      </c>
      <c r="C152" s="13" t="str">
        <f>IF($A152="","",[1]!thsiFinD("ths_adjustment_nv_fund",C$3,$A152))</f>
        <v/>
      </c>
      <c r="D152" s="13" t="str">
        <f>IF($A152="","",[1]!thsiFinD("ths_adjustment_nv_fund",D$3,$A152))</f>
        <v/>
      </c>
      <c r="E152" s="13" t="str">
        <f>IF($A152="","",[1]!thsiFinD("ths_adjustment_nv_fund",E$3,$A152))</f>
        <v/>
      </c>
      <c r="F152" s="13" t="str">
        <f>IF($A152="","",[1]!thsiFinD("ths_adjustment_nv_fund",F$3,$A152))</f>
        <v/>
      </c>
      <c r="G152" s="13" t="str">
        <f>IF($A152="","",[1]!thsiFinD("ths_adjustment_nv_fund",G$3,$A152))</f>
        <v/>
      </c>
      <c r="H152" s="13" t="str">
        <f>IF($A152="","",[1]!thsiFinD("ths_adjustment_nv_fund",H$3,$A152))</f>
        <v/>
      </c>
      <c r="I152" s="13" t="str">
        <f>IF($A152="","",[1]!thsiFinD("ths_adjustment_nv_fund",I$3,$A152))</f>
        <v/>
      </c>
      <c r="J152" s="13" t="str">
        <f>IF($A152="","",[1]!thsiFinD("ths_adjustment_nv_fund",J$3,$A152))</f>
        <v/>
      </c>
      <c r="K152" s="13" t="str">
        <f>IF($A152="","",[1]!thsiFinD("ths_adjustment_nv_fund",K$3,$A152))</f>
        <v/>
      </c>
      <c r="L152" s="13" t="str">
        <f>IF($A152="","",[1]!thsiFinD("ths_adjustment_nv_fund",L$3,$A152))</f>
        <v/>
      </c>
      <c r="M152" s="13" t="str">
        <f>IF($A152="","",[1]!thsiFinD("ths_adjustment_nv_fund",M$3,$A152))</f>
        <v/>
      </c>
      <c r="N152" s="13" t="str">
        <f>IF($A152="","",[1]!thsiFinD("ths_adjustment_nv_fund",N$3,$A152))</f>
        <v/>
      </c>
      <c r="O152" s="13" t="str">
        <f>IF($A152="","",[1]!thsiFinD("ths_adjustment_nv_fund",O$3,$A152))</f>
        <v/>
      </c>
      <c r="P152" s="13" t="str">
        <f>IF($A152="","",[1]!thsiFinD("ths_adjustment_nv_fund",P$3,$A152))</f>
        <v/>
      </c>
      <c r="Q152" s="13" t="str">
        <f>IF($A152="","",[1]!thsiFinD("ths_adjustment_nv_fund",Q$3,$A152))</f>
        <v/>
      </c>
      <c r="R152" s="13" t="str">
        <f>IF($A152="","",[1]!thsiFinD("ths_adjustment_nv_fund",R$3,$A152))</f>
        <v/>
      </c>
      <c r="S152" s="13" t="str">
        <f>IF($A152="","",[1]!thsiFinD("ths_adjustment_nv_fund",S$3,$A152))</f>
        <v/>
      </c>
      <c r="T152" s="13" t="str">
        <f>IF($A152="","",[1]!thsiFinD("ths_adjustment_nv_fund",T$3,$A152))</f>
        <v/>
      </c>
      <c r="U152" s="13" t="str">
        <f>IF($A152="","",[1]!thsiFinD("ths_adjustment_nv_fund",U$3,$A152))</f>
        <v/>
      </c>
      <c r="V152" s="13" t="str">
        <f>IF($A152="","",[1]!thsiFinD("ths_adjustment_nv_fund",V$3,$A152))</f>
        <v/>
      </c>
      <c r="W152" s="13" t="str">
        <f>IF($A152="","",[1]!thsiFinD("ths_adjustment_nv_fund",W$3,$A152))</f>
        <v/>
      </c>
      <c r="X152" s="13" t="str">
        <f>IF($A152="","",[1]!thsiFinD("ths_adjustment_nv_fund",X$3,$A152))</f>
        <v/>
      </c>
      <c r="Y152" s="13" t="str">
        <f>IF($A152="","",[1]!thsiFinD("ths_adjustment_nv_fund",Y$3,$A152))</f>
        <v/>
      </c>
      <c r="Z152" s="13" t="str">
        <f>IF($A152="","",[1]!thsiFinD("ths_adjustment_nv_fund",Z$3,$A152))</f>
        <v/>
      </c>
      <c r="AA152" s="13" t="str">
        <f>IF($A152="","",[1]!thsiFinD("ths_adjustment_nv_fund",AA$3,$A152))</f>
        <v/>
      </c>
      <c r="AB152" s="13" t="str">
        <f>IF($A152="","",[1]!thsiFinD("ths_adjustment_nv_fund",AB$3,$A152))</f>
        <v/>
      </c>
      <c r="AC152" s="13" t="str">
        <f>IF($A152="","",[1]!thsiFinD("ths_adjustment_nv_fund",AC$3,$A152))</f>
        <v/>
      </c>
      <c r="AD152" s="13" t="str">
        <f>IF($A152="","",[1]!thsiFinD("ths_adjustment_nv_fund",AD$3,$A152))</f>
        <v/>
      </c>
      <c r="AE152" s="13" t="str">
        <f>IF($A152="","",[1]!thsiFinD("ths_adjustment_nv_fund",AE$3,$A152))</f>
        <v/>
      </c>
      <c r="AF152" s="13" t="str">
        <f>IF($A152="","",[1]!thsiFinD("ths_adjustment_nv_fund",AF$3,$A152))</f>
        <v/>
      </c>
      <c r="AG152" s="13" t="str">
        <f>IF($A152="","",[1]!thsiFinD("ths_adjustment_nv_fund",AG$3,$A152))</f>
        <v/>
      </c>
      <c r="AH152" s="13" t="str">
        <f>IF($A152="","",[1]!thsiFinD("ths_adjustment_nv_fund",AH$3,$A152))</f>
        <v/>
      </c>
      <c r="AI152" s="13" t="str">
        <f>IF($A152="","",[1]!thsiFinD("ths_adjustment_nv_fund",AI$3,$A152))</f>
        <v/>
      </c>
      <c r="AJ152" s="13" t="str">
        <f>IF($A152="","",[1]!thsiFinD("ths_adjustment_nv_fund",AJ$3,$A152))</f>
        <v/>
      </c>
      <c r="AK152" s="13" t="str">
        <f>IF($A152="","",[1]!thsiFinD("ths_adjustment_nv_fund",AK$3,$A152))</f>
        <v/>
      </c>
      <c r="AL152" s="13" t="str">
        <f>IF($A152="","",[1]!thsiFinD("ths_adjustment_nv_fund",AL$3,$A152))</f>
        <v/>
      </c>
    </row>
    <row r="153" spans="1:38">
      <c r="A153" s="9"/>
      <c r="B153" s="13" t="str">
        <f>IF($A153="","",[1]!thsiFinD("ths_adjustment_nv_fund",B$3,$A153))</f>
        <v/>
      </c>
      <c r="C153" s="13" t="str">
        <f>IF($A153="","",[1]!thsiFinD("ths_adjustment_nv_fund",C$3,$A153))</f>
        <v/>
      </c>
      <c r="D153" s="13" t="str">
        <f>IF($A153="","",[1]!thsiFinD("ths_adjustment_nv_fund",D$3,$A153))</f>
        <v/>
      </c>
      <c r="E153" s="13" t="str">
        <f>IF($A153="","",[1]!thsiFinD("ths_adjustment_nv_fund",E$3,$A153))</f>
        <v/>
      </c>
      <c r="F153" s="13" t="str">
        <f>IF($A153="","",[1]!thsiFinD("ths_adjustment_nv_fund",F$3,$A153))</f>
        <v/>
      </c>
      <c r="G153" s="13" t="str">
        <f>IF($A153="","",[1]!thsiFinD("ths_adjustment_nv_fund",G$3,$A153))</f>
        <v/>
      </c>
      <c r="H153" s="13" t="str">
        <f>IF($A153="","",[1]!thsiFinD("ths_adjustment_nv_fund",H$3,$A153))</f>
        <v/>
      </c>
      <c r="I153" s="13" t="str">
        <f>IF($A153="","",[1]!thsiFinD("ths_adjustment_nv_fund",I$3,$A153))</f>
        <v/>
      </c>
      <c r="J153" s="13" t="str">
        <f>IF($A153="","",[1]!thsiFinD("ths_adjustment_nv_fund",J$3,$A153))</f>
        <v/>
      </c>
      <c r="K153" s="13" t="str">
        <f>IF($A153="","",[1]!thsiFinD("ths_adjustment_nv_fund",K$3,$A153))</f>
        <v/>
      </c>
      <c r="L153" s="13" t="str">
        <f>IF($A153="","",[1]!thsiFinD("ths_adjustment_nv_fund",L$3,$A153))</f>
        <v/>
      </c>
      <c r="M153" s="13" t="str">
        <f>IF($A153="","",[1]!thsiFinD("ths_adjustment_nv_fund",M$3,$A153))</f>
        <v/>
      </c>
      <c r="N153" s="13" t="str">
        <f>IF($A153="","",[1]!thsiFinD("ths_adjustment_nv_fund",N$3,$A153))</f>
        <v/>
      </c>
      <c r="O153" s="13" t="str">
        <f>IF($A153="","",[1]!thsiFinD("ths_adjustment_nv_fund",O$3,$A153))</f>
        <v/>
      </c>
      <c r="P153" s="13" t="str">
        <f>IF($A153="","",[1]!thsiFinD("ths_adjustment_nv_fund",P$3,$A153))</f>
        <v/>
      </c>
      <c r="Q153" s="13" t="str">
        <f>IF($A153="","",[1]!thsiFinD("ths_adjustment_nv_fund",Q$3,$A153))</f>
        <v/>
      </c>
      <c r="R153" s="13" t="str">
        <f>IF($A153="","",[1]!thsiFinD("ths_adjustment_nv_fund",R$3,$A153))</f>
        <v/>
      </c>
      <c r="S153" s="13" t="str">
        <f>IF($A153="","",[1]!thsiFinD("ths_adjustment_nv_fund",S$3,$A153))</f>
        <v/>
      </c>
      <c r="T153" s="13" t="str">
        <f>IF($A153="","",[1]!thsiFinD("ths_adjustment_nv_fund",T$3,$A153))</f>
        <v/>
      </c>
      <c r="U153" s="13" t="str">
        <f>IF($A153="","",[1]!thsiFinD("ths_adjustment_nv_fund",U$3,$A153))</f>
        <v/>
      </c>
      <c r="V153" s="13" t="str">
        <f>IF($A153="","",[1]!thsiFinD("ths_adjustment_nv_fund",V$3,$A153))</f>
        <v/>
      </c>
      <c r="W153" s="13" t="str">
        <f>IF($A153="","",[1]!thsiFinD("ths_adjustment_nv_fund",W$3,$A153))</f>
        <v/>
      </c>
      <c r="X153" s="13" t="str">
        <f>IF($A153="","",[1]!thsiFinD("ths_adjustment_nv_fund",X$3,$A153))</f>
        <v/>
      </c>
      <c r="Y153" s="13" t="str">
        <f>IF($A153="","",[1]!thsiFinD("ths_adjustment_nv_fund",Y$3,$A153))</f>
        <v/>
      </c>
      <c r="Z153" s="13" t="str">
        <f>IF($A153="","",[1]!thsiFinD("ths_adjustment_nv_fund",Z$3,$A153))</f>
        <v/>
      </c>
      <c r="AA153" s="13" t="str">
        <f>IF($A153="","",[1]!thsiFinD("ths_adjustment_nv_fund",AA$3,$A153))</f>
        <v/>
      </c>
      <c r="AB153" s="13" t="str">
        <f>IF($A153="","",[1]!thsiFinD("ths_adjustment_nv_fund",AB$3,$A153))</f>
        <v/>
      </c>
      <c r="AC153" s="13" t="str">
        <f>IF($A153="","",[1]!thsiFinD("ths_adjustment_nv_fund",AC$3,$A153))</f>
        <v/>
      </c>
      <c r="AD153" s="13" t="str">
        <f>IF($A153="","",[1]!thsiFinD("ths_adjustment_nv_fund",AD$3,$A153))</f>
        <v/>
      </c>
      <c r="AE153" s="13" t="str">
        <f>IF($A153="","",[1]!thsiFinD("ths_adjustment_nv_fund",AE$3,$A153))</f>
        <v/>
      </c>
      <c r="AF153" s="13" t="str">
        <f>IF($A153="","",[1]!thsiFinD("ths_adjustment_nv_fund",AF$3,$A153))</f>
        <v/>
      </c>
      <c r="AG153" s="13" t="str">
        <f>IF($A153="","",[1]!thsiFinD("ths_adjustment_nv_fund",AG$3,$A153))</f>
        <v/>
      </c>
      <c r="AH153" s="13" t="str">
        <f>IF($A153="","",[1]!thsiFinD("ths_adjustment_nv_fund",AH$3,$A153))</f>
        <v/>
      </c>
      <c r="AI153" s="13" t="str">
        <f>IF($A153="","",[1]!thsiFinD("ths_adjustment_nv_fund",AI$3,$A153))</f>
        <v/>
      </c>
      <c r="AJ153" s="13" t="str">
        <f>IF($A153="","",[1]!thsiFinD("ths_adjustment_nv_fund",AJ$3,$A153))</f>
        <v/>
      </c>
      <c r="AK153" s="13" t="str">
        <f>IF($A153="","",[1]!thsiFinD("ths_adjustment_nv_fund",AK$3,$A153))</f>
        <v/>
      </c>
      <c r="AL153" s="13" t="str">
        <f>IF($A153="","",[1]!thsiFinD("ths_adjustment_nv_fund",AL$3,$A153))</f>
        <v/>
      </c>
    </row>
    <row r="154" spans="1:38">
      <c r="A154" s="9"/>
      <c r="B154" s="13" t="str">
        <f>IF($A154="","",[1]!thsiFinD("ths_adjustment_nv_fund",B$3,$A154))</f>
        <v/>
      </c>
      <c r="C154" s="13" t="str">
        <f>IF($A154="","",[1]!thsiFinD("ths_adjustment_nv_fund",C$3,$A154))</f>
        <v/>
      </c>
      <c r="D154" s="13" t="str">
        <f>IF($A154="","",[1]!thsiFinD("ths_adjustment_nv_fund",D$3,$A154))</f>
        <v/>
      </c>
      <c r="E154" s="13" t="str">
        <f>IF($A154="","",[1]!thsiFinD("ths_adjustment_nv_fund",E$3,$A154))</f>
        <v/>
      </c>
      <c r="F154" s="13" t="str">
        <f>IF($A154="","",[1]!thsiFinD("ths_adjustment_nv_fund",F$3,$A154))</f>
        <v/>
      </c>
      <c r="G154" s="13" t="str">
        <f>IF($A154="","",[1]!thsiFinD("ths_adjustment_nv_fund",G$3,$A154))</f>
        <v/>
      </c>
      <c r="H154" s="13" t="str">
        <f>IF($A154="","",[1]!thsiFinD("ths_adjustment_nv_fund",H$3,$A154))</f>
        <v/>
      </c>
      <c r="I154" s="13" t="str">
        <f>IF($A154="","",[1]!thsiFinD("ths_adjustment_nv_fund",I$3,$A154))</f>
        <v/>
      </c>
      <c r="J154" s="13" t="str">
        <f>IF($A154="","",[1]!thsiFinD("ths_adjustment_nv_fund",J$3,$A154))</f>
        <v/>
      </c>
      <c r="K154" s="13" t="str">
        <f>IF($A154="","",[1]!thsiFinD("ths_adjustment_nv_fund",K$3,$A154))</f>
        <v/>
      </c>
      <c r="L154" s="13" t="str">
        <f>IF($A154="","",[1]!thsiFinD("ths_adjustment_nv_fund",L$3,$A154))</f>
        <v/>
      </c>
      <c r="M154" s="13" t="str">
        <f>IF($A154="","",[1]!thsiFinD("ths_adjustment_nv_fund",M$3,$A154))</f>
        <v/>
      </c>
      <c r="N154" s="13" t="str">
        <f>IF($A154="","",[1]!thsiFinD("ths_adjustment_nv_fund",N$3,$A154))</f>
        <v/>
      </c>
      <c r="O154" s="13" t="str">
        <f>IF($A154="","",[1]!thsiFinD("ths_adjustment_nv_fund",O$3,$A154))</f>
        <v/>
      </c>
      <c r="P154" s="13" t="str">
        <f>IF($A154="","",[1]!thsiFinD("ths_adjustment_nv_fund",P$3,$A154))</f>
        <v/>
      </c>
      <c r="Q154" s="13" t="str">
        <f>IF($A154="","",[1]!thsiFinD("ths_adjustment_nv_fund",Q$3,$A154))</f>
        <v/>
      </c>
      <c r="R154" s="13" t="str">
        <f>IF($A154="","",[1]!thsiFinD("ths_adjustment_nv_fund",R$3,$A154))</f>
        <v/>
      </c>
      <c r="S154" s="13" t="str">
        <f>IF($A154="","",[1]!thsiFinD("ths_adjustment_nv_fund",S$3,$A154))</f>
        <v/>
      </c>
      <c r="T154" s="13" t="str">
        <f>IF($A154="","",[1]!thsiFinD("ths_adjustment_nv_fund",T$3,$A154))</f>
        <v/>
      </c>
      <c r="U154" s="13" t="str">
        <f>IF($A154="","",[1]!thsiFinD("ths_adjustment_nv_fund",U$3,$A154))</f>
        <v/>
      </c>
      <c r="V154" s="13" t="str">
        <f>IF($A154="","",[1]!thsiFinD("ths_adjustment_nv_fund",V$3,$A154))</f>
        <v/>
      </c>
      <c r="W154" s="13" t="str">
        <f>IF($A154="","",[1]!thsiFinD("ths_adjustment_nv_fund",W$3,$A154))</f>
        <v/>
      </c>
      <c r="X154" s="13" t="str">
        <f>IF($A154="","",[1]!thsiFinD("ths_adjustment_nv_fund",X$3,$A154))</f>
        <v/>
      </c>
      <c r="Y154" s="13" t="str">
        <f>IF($A154="","",[1]!thsiFinD("ths_adjustment_nv_fund",Y$3,$A154))</f>
        <v/>
      </c>
      <c r="Z154" s="13" t="str">
        <f>IF($A154="","",[1]!thsiFinD("ths_adjustment_nv_fund",Z$3,$A154))</f>
        <v/>
      </c>
      <c r="AA154" s="13" t="str">
        <f>IF($A154="","",[1]!thsiFinD("ths_adjustment_nv_fund",AA$3,$A154))</f>
        <v/>
      </c>
      <c r="AB154" s="13" t="str">
        <f>IF($A154="","",[1]!thsiFinD("ths_adjustment_nv_fund",AB$3,$A154))</f>
        <v/>
      </c>
      <c r="AC154" s="13" t="str">
        <f>IF($A154="","",[1]!thsiFinD("ths_adjustment_nv_fund",AC$3,$A154))</f>
        <v/>
      </c>
      <c r="AD154" s="13" t="str">
        <f>IF($A154="","",[1]!thsiFinD("ths_adjustment_nv_fund",AD$3,$A154))</f>
        <v/>
      </c>
      <c r="AE154" s="13" t="str">
        <f>IF($A154="","",[1]!thsiFinD("ths_adjustment_nv_fund",AE$3,$A154))</f>
        <v/>
      </c>
      <c r="AF154" s="13" t="str">
        <f>IF($A154="","",[1]!thsiFinD("ths_adjustment_nv_fund",AF$3,$A154))</f>
        <v/>
      </c>
      <c r="AG154" s="13" t="str">
        <f>IF($A154="","",[1]!thsiFinD("ths_adjustment_nv_fund",AG$3,$A154))</f>
        <v/>
      </c>
      <c r="AH154" s="13" t="str">
        <f>IF($A154="","",[1]!thsiFinD("ths_adjustment_nv_fund",AH$3,$A154))</f>
        <v/>
      </c>
      <c r="AI154" s="13" t="str">
        <f>IF($A154="","",[1]!thsiFinD("ths_adjustment_nv_fund",AI$3,$A154))</f>
        <v/>
      </c>
      <c r="AJ154" s="13" t="str">
        <f>IF($A154="","",[1]!thsiFinD("ths_adjustment_nv_fund",AJ$3,$A154))</f>
        <v/>
      </c>
      <c r="AK154" s="13" t="str">
        <f>IF($A154="","",[1]!thsiFinD("ths_adjustment_nv_fund",AK$3,$A154))</f>
        <v/>
      </c>
      <c r="AL154" s="13" t="str">
        <f>IF($A154="","",[1]!thsiFinD("ths_adjustment_nv_fund",AL$3,$A154))</f>
        <v/>
      </c>
    </row>
    <row r="155" spans="1:38">
      <c r="A155" s="9"/>
      <c r="B155" s="13" t="str">
        <f>IF($A155="","",[1]!thsiFinD("ths_adjustment_nv_fund",B$3,$A155))</f>
        <v/>
      </c>
      <c r="C155" s="13" t="str">
        <f>IF($A155="","",[1]!thsiFinD("ths_adjustment_nv_fund",C$3,$A155))</f>
        <v/>
      </c>
      <c r="D155" s="13" t="str">
        <f>IF($A155="","",[1]!thsiFinD("ths_adjustment_nv_fund",D$3,$A155))</f>
        <v/>
      </c>
      <c r="E155" s="13" t="str">
        <f>IF($A155="","",[1]!thsiFinD("ths_adjustment_nv_fund",E$3,$A155))</f>
        <v/>
      </c>
      <c r="F155" s="13" t="str">
        <f>IF($A155="","",[1]!thsiFinD("ths_adjustment_nv_fund",F$3,$A155))</f>
        <v/>
      </c>
      <c r="G155" s="13" t="str">
        <f>IF($A155="","",[1]!thsiFinD("ths_adjustment_nv_fund",G$3,$A155))</f>
        <v/>
      </c>
      <c r="H155" s="13" t="str">
        <f>IF($A155="","",[1]!thsiFinD("ths_adjustment_nv_fund",H$3,$A155))</f>
        <v/>
      </c>
      <c r="I155" s="13" t="str">
        <f>IF($A155="","",[1]!thsiFinD("ths_adjustment_nv_fund",I$3,$A155))</f>
        <v/>
      </c>
      <c r="J155" s="13" t="str">
        <f>IF($A155="","",[1]!thsiFinD("ths_adjustment_nv_fund",J$3,$A155))</f>
        <v/>
      </c>
      <c r="K155" s="13" t="str">
        <f>IF($A155="","",[1]!thsiFinD("ths_adjustment_nv_fund",K$3,$A155))</f>
        <v/>
      </c>
      <c r="L155" s="13" t="str">
        <f>IF($A155="","",[1]!thsiFinD("ths_adjustment_nv_fund",L$3,$A155))</f>
        <v/>
      </c>
      <c r="M155" s="13" t="str">
        <f>IF($A155="","",[1]!thsiFinD("ths_adjustment_nv_fund",M$3,$A155))</f>
        <v/>
      </c>
      <c r="N155" s="13" t="str">
        <f>IF($A155="","",[1]!thsiFinD("ths_adjustment_nv_fund",N$3,$A155))</f>
        <v/>
      </c>
      <c r="O155" s="13" t="str">
        <f>IF($A155="","",[1]!thsiFinD("ths_adjustment_nv_fund",O$3,$A155))</f>
        <v/>
      </c>
      <c r="P155" s="13" t="str">
        <f>IF($A155="","",[1]!thsiFinD("ths_adjustment_nv_fund",P$3,$A155))</f>
        <v/>
      </c>
      <c r="Q155" s="13" t="str">
        <f>IF($A155="","",[1]!thsiFinD("ths_adjustment_nv_fund",Q$3,$A155))</f>
        <v/>
      </c>
      <c r="R155" s="13" t="str">
        <f>IF($A155="","",[1]!thsiFinD("ths_adjustment_nv_fund",R$3,$A155))</f>
        <v/>
      </c>
      <c r="S155" s="13" t="str">
        <f>IF($A155="","",[1]!thsiFinD("ths_adjustment_nv_fund",S$3,$A155))</f>
        <v/>
      </c>
      <c r="T155" s="13" t="str">
        <f>IF($A155="","",[1]!thsiFinD("ths_adjustment_nv_fund",T$3,$A155))</f>
        <v/>
      </c>
      <c r="U155" s="13" t="str">
        <f>IF($A155="","",[1]!thsiFinD("ths_adjustment_nv_fund",U$3,$A155))</f>
        <v/>
      </c>
      <c r="V155" s="13" t="str">
        <f>IF($A155="","",[1]!thsiFinD("ths_adjustment_nv_fund",V$3,$A155))</f>
        <v/>
      </c>
      <c r="W155" s="13" t="str">
        <f>IF($A155="","",[1]!thsiFinD("ths_adjustment_nv_fund",W$3,$A155))</f>
        <v/>
      </c>
      <c r="X155" s="13" t="str">
        <f>IF($A155="","",[1]!thsiFinD("ths_adjustment_nv_fund",X$3,$A155))</f>
        <v/>
      </c>
      <c r="Y155" s="13" t="str">
        <f>IF($A155="","",[1]!thsiFinD("ths_adjustment_nv_fund",Y$3,$A155))</f>
        <v/>
      </c>
      <c r="Z155" s="13" t="str">
        <f>IF($A155="","",[1]!thsiFinD("ths_adjustment_nv_fund",Z$3,$A155))</f>
        <v/>
      </c>
      <c r="AA155" s="13" t="str">
        <f>IF($A155="","",[1]!thsiFinD("ths_adjustment_nv_fund",AA$3,$A155))</f>
        <v/>
      </c>
      <c r="AB155" s="13" t="str">
        <f>IF($A155="","",[1]!thsiFinD("ths_adjustment_nv_fund",AB$3,$A155))</f>
        <v/>
      </c>
      <c r="AC155" s="13" t="str">
        <f>IF($A155="","",[1]!thsiFinD("ths_adjustment_nv_fund",AC$3,$A155))</f>
        <v/>
      </c>
      <c r="AD155" s="13" t="str">
        <f>IF($A155="","",[1]!thsiFinD("ths_adjustment_nv_fund",AD$3,$A155))</f>
        <v/>
      </c>
      <c r="AE155" s="13" t="str">
        <f>IF($A155="","",[1]!thsiFinD("ths_adjustment_nv_fund",AE$3,$A155))</f>
        <v/>
      </c>
      <c r="AF155" s="13" t="str">
        <f>IF($A155="","",[1]!thsiFinD("ths_adjustment_nv_fund",AF$3,$A155))</f>
        <v/>
      </c>
      <c r="AG155" s="13" t="str">
        <f>IF($A155="","",[1]!thsiFinD("ths_adjustment_nv_fund",AG$3,$A155))</f>
        <v/>
      </c>
      <c r="AH155" s="13" t="str">
        <f>IF($A155="","",[1]!thsiFinD("ths_adjustment_nv_fund",AH$3,$A155))</f>
        <v/>
      </c>
      <c r="AI155" s="13" t="str">
        <f>IF($A155="","",[1]!thsiFinD("ths_adjustment_nv_fund",AI$3,$A155))</f>
        <v/>
      </c>
      <c r="AJ155" s="13" t="str">
        <f>IF($A155="","",[1]!thsiFinD("ths_adjustment_nv_fund",AJ$3,$A155))</f>
        <v/>
      </c>
      <c r="AK155" s="13" t="str">
        <f>IF($A155="","",[1]!thsiFinD("ths_adjustment_nv_fund",AK$3,$A155))</f>
        <v/>
      </c>
      <c r="AL155" s="13" t="str">
        <f>IF($A155="","",[1]!thsiFinD("ths_adjustment_nv_fund",AL$3,$A155))</f>
        <v/>
      </c>
    </row>
    <row r="156" spans="1:38">
      <c r="A156" s="9"/>
      <c r="B156" s="13" t="str">
        <f>IF($A156="","",[1]!thsiFinD("ths_adjustment_nv_fund",B$3,$A156))</f>
        <v/>
      </c>
      <c r="C156" s="13" t="str">
        <f>IF($A156="","",[1]!thsiFinD("ths_adjustment_nv_fund",C$3,$A156))</f>
        <v/>
      </c>
      <c r="D156" s="13" t="str">
        <f>IF($A156="","",[1]!thsiFinD("ths_adjustment_nv_fund",D$3,$A156))</f>
        <v/>
      </c>
      <c r="E156" s="13" t="str">
        <f>IF($A156="","",[1]!thsiFinD("ths_adjustment_nv_fund",E$3,$A156))</f>
        <v/>
      </c>
      <c r="F156" s="13" t="str">
        <f>IF($A156="","",[1]!thsiFinD("ths_adjustment_nv_fund",F$3,$A156))</f>
        <v/>
      </c>
      <c r="G156" s="13" t="str">
        <f>IF($A156="","",[1]!thsiFinD("ths_adjustment_nv_fund",G$3,$A156))</f>
        <v/>
      </c>
      <c r="H156" s="13" t="str">
        <f>IF($A156="","",[1]!thsiFinD("ths_adjustment_nv_fund",H$3,$A156))</f>
        <v/>
      </c>
      <c r="I156" s="13" t="str">
        <f>IF($A156="","",[1]!thsiFinD("ths_adjustment_nv_fund",I$3,$A156))</f>
        <v/>
      </c>
      <c r="J156" s="13" t="str">
        <f>IF($A156="","",[1]!thsiFinD("ths_adjustment_nv_fund",J$3,$A156))</f>
        <v/>
      </c>
      <c r="K156" s="13" t="str">
        <f>IF($A156="","",[1]!thsiFinD("ths_adjustment_nv_fund",K$3,$A156))</f>
        <v/>
      </c>
      <c r="L156" s="13" t="str">
        <f>IF($A156="","",[1]!thsiFinD("ths_adjustment_nv_fund",L$3,$A156))</f>
        <v/>
      </c>
      <c r="M156" s="13" t="str">
        <f>IF($A156="","",[1]!thsiFinD("ths_adjustment_nv_fund",M$3,$A156))</f>
        <v/>
      </c>
      <c r="N156" s="13" t="str">
        <f>IF($A156="","",[1]!thsiFinD("ths_adjustment_nv_fund",N$3,$A156))</f>
        <v/>
      </c>
      <c r="O156" s="13" t="str">
        <f>IF($A156="","",[1]!thsiFinD("ths_adjustment_nv_fund",O$3,$A156))</f>
        <v/>
      </c>
      <c r="P156" s="13" t="str">
        <f>IF($A156="","",[1]!thsiFinD("ths_adjustment_nv_fund",P$3,$A156))</f>
        <v/>
      </c>
      <c r="Q156" s="13" t="str">
        <f>IF($A156="","",[1]!thsiFinD("ths_adjustment_nv_fund",Q$3,$A156))</f>
        <v/>
      </c>
      <c r="R156" s="13" t="str">
        <f>IF($A156="","",[1]!thsiFinD("ths_adjustment_nv_fund",R$3,$A156))</f>
        <v/>
      </c>
      <c r="S156" s="13" t="str">
        <f>IF($A156="","",[1]!thsiFinD("ths_adjustment_nv_fund",S$3,$A156))</f>
        <v/>
      </c>
      <c r="T156" s="13" t="str">
        <f>IF($A156="","",[1]!thsiFinD("ths_adjustment_nv_fund",T$3,$A156))</f>
        <v/>
      </c>
      <c r="U156" s="13" t="str">
        <f>IF($A156="","",[1]!thsiFinD("ths_adjustment_nv_fund",U$3,$A156))</f>
        <v/>
      </c>
      <c r="V156" s="13" t="str">
        <f>IF($A156="","",[1]!thsiFinD("ths_adjustment_nv_fund",V$3,$A156))</f>
        <v/>
      </c>
      <c r="W156" s="13" t="str">
        <f>IF($A156="","",[1]!thsiFinD("ths_adjustment_nv_fund",W$3,$A156))</f>
        <v/>
      </c>
      <c r="X156" s="13" t="str">
        <f>IF($A156="","",[1]!thsiFinD("ths_adjustment_nv_fund",X$3,$A156))</f>
        <v/>
      </c>
      <c r="Y156" s="13" t="str">
        <f>IF($A156="","",[1]!thsiFinD("ths_adjustment_nv_fund",Y$3,$A156))</f>
        <v/>
      </c>
      <c r="Z156" s="13" t="str">
        <f>IF($A156="","",[1]!thsiFinD("ths_adjustment_nv_fund",Z$3,$A156))</f>
        <v/>
      </c>
      <c r="AA156" s="13" t="str">
        <f>IF($A156="","",[1]!thsiFinD("ths_adjustment_nv_fund",AA$3,$A156))</f>
        <v/>
      </c>
      <c r="AB156" s="13" t="str">
        <f>IF($A156="","",[1]!thsiFinD("ths_adjustment_nv_fund",AB$3,$A156))</f>
        <v/>
      </c>
      <c r="AC156" s="13" t="str">
        <f>IF($A156="","",[1]!thsiFinD("ths_adjustment_nv_fund",AC$3,$A156))</f>
        <v/>
      </c>
      <c r="AD156" s="13" t="str">
        <f>IF($A156="","",[1]!thsiFinD("ths_adjustment_nv_fund",AD$3,$A156))</f>
        <v/>
      </c>
      <c r="AE156" s="13" t="str">
        <f>IF($A156="","",[1]!thsiFinD("ths_adjustment_nv_fund",AE$3,$A156))</f>
        <v/>
      </c>
      <c r="AF156" s="13" t="str">
        <f>IF($A156="","",[1]!thsiFinD("ths_adjustment_nv_fund",AF$3,$A156))</f>
        <v/>
      </c>
      <c r="AG156" s="13" t="str">
        <f>IF($A156="","",[1]!thsiFinD("ths_adjustment_nv_fund",AG$3,$A156))</f>
        <v/>
      </c>
      <c r="AH156" s="13" t="str">
        <f>IF($A156="","",[1]!thsiFinD("ths_adjustment_nv_fund",AH$3,$A156))</f>
        <v/>
      </c>
      <c r="AI156" s="13" t="str">
        <f>IF($A156="","",[1]!thsiFinD("ths_adjustment_nv_fund",AI$3,$A156))</f>
        <v/>
      </c>
      <c r="AJ156" s="13" t="str">
        <f>IF($A156="","",[1]!thsiFinD("ths_adjustment_nv_fund",AJ$3,$A156))</f>
        <v/>
      </c>
      <c r="AK156" s="13" t="str">
        <f>IF($A156="","",[1]!thsiFinD("ths_adjustment_nv_fund",AK$3,$A156))</f>
        <v/>
      </c>
      <c r="AL156" s="13" t="str">
        <f>IF($A156="","",[1]!thsiFinD("ths_adjustment_nv_fund",AL$3,$A156))</f>
        <v/>
      </c>
    </row>
    <row r="157" spans="1:38">
      <c r="A157" s="9"/>
      <c r="B157" s="13" t="str">
        <f>IF($A157="","",[1]!thsiFinD("ths_adjustment_nv_fund",B$3,$A157))</f>
        <v/>
      </c>
      <c r="C157" s="13" t="str">
        <f>IF($A157="","",[1]!thsiFinD("ths_adjustment_nv_fund",C$3,$A157))</f>
        <v/>
      </c>
      <c r="D157" s="13" t="str">
        <f>IF($A157="","",[1]!thsiFinD("ths_adjustment_nv_fund",D$3,$A157))</f>
        <v/>
      </c>
      <c r="E157" s="13" t="str">
        <f>IF($A157="","",[1]!thsiFinD("ths_adjustment_nv_fund",E$3,$A157))</f>
        <v/>
      </c>
      <c r="F157" s="13" t="str">
        <f>IF($A157="","",[1]!thsiFinD("ths_adjustment_nv_fund",F$3,$A157))</f>
        <v/>
      </c>
      <c r="G157" s="13" t="str">
        <f>IF($A157="","",[1]!thsiFinD("ths_adjustment_nv_fund",G$3,$A157))</f>
        <v/>
      </c>
      <c r="H157" s="13" t="str">
        <f>IF($A157="","",[1]!thsiFinD("ths_adjustment_nv_fund",H$3,$A157))</f>
        <v/>
      </c>
      <c r="I157" s="13" t="str">
        <f>IF($A157="","",[1]!thsiFinD("ths_adjustment_nv_fund",I$3,$A157))</f>
        <v/>
      </c>
      <c r="J157" s="13" t="str">
        <f>IF($A157="","",[1]!thsiFinD("ths_adjustment_nv_fund",J$3,$A157))</f>
        <v/>
      </c>
      <c r="K157" s="13" t="str">
        <f>IF($A157="","",[1]!thsiFinD("ths_adjustment_nv_fund",K$3,$A157))</f>
        <v/>
      </c>
      <c r="L157" s="13" t="str">
        <f>IF($A157="","",[1]!thsiFinD("ths_adjustment_nv_fund",L$3,$A157))</f>
        <v/>
      </c>
      <c r="M157" s="13" t="str">
        <f>IF($A157="","",[1]!thsiFinD("ths_adjustment_nv_fund",M$3,$A157))</f>
        <v/>
      </c>
      <c r="N157" s="13" t="str">
        <f>IF($A157="","",[1]!thsiFinD("ths_adjustment_nv_fund",N$3,$A157))</f>
        <v/>
      </c>
      <c r="O157" s="13" t="str">
        <f>IF($A157="","",[1]!thsiFinD("ths_adjustment_nv_fund",O$3,$A157))</f>
        <v/>
      </c>
      <c r="P157" s="13" t="str">
        <f>IF($A157="","",[1]!thsiFinD("ths_adjustment_nv_fund",P$3,$A157))</f>
        <v/>
      </c>
      <c r="Q157" s="13" t="str">
        <f>IF($A157="","",[1]!thsiFinD("ths_adjustment_nv_fund",Q$3,$A157))</f>
        <v/>
      </c>
      <c r="R157" s="13" t="str">
        <f>IF($A157="","",[1]!thsiFinD("ths_adjustment_nv_fund",R$3,$A157))</f>
        <v/>
      </c>
      <c r="S157" s="13" t="str">
        <f>IF($A157="","",[1]!thsiFinD("ths_adjustment_nv_fund",S$3,$A157))</f>
        <v/>
      </c>
      <c r="T157" s="13" t="str">
        <f>IF($A157="","",[1]!thsiFinD("ths_adjustment_nv_fund",T$3,$A157))</f>
        <v/>
      </c>
      <c r="U157" s="13" t="str">
        <f>IF($A157="","",[1]!thsiFinD("ths_adjustment_nv_fund",U$3,$A157))</f>
        <v/>
      </c>
      <c r="V157" s="13" t="str">
        <f>IF($A157="","",[1]!thsiFinD("ths_adjustment_nv_fund",V$3,$A157))</f>
        <v/>
      </c>
      <c r="W157" s="13" t="str">
        <f>IF($A157="","",[1]!thsiFinD("ths_adjustment_nv_fund",W$3,$A157))</f>
        <v/>
      </c>
      <c r="X157" s="13" t="str">
        <f>IF($A157="","",[1]!thsiFinD("ths_adjustment_nv_fund",X$3,$A157))</f>
        <v/>
      </c>
      <c r="Y157" s="13" t="str">
        <f>IF($A157="","",[1]!thsiFinD("ths_adjustment_nv_fund",Y$3,$A157))</f>
        <v/>
      </c>
      <c r="Z157" s="13" t="str">
        <f>IF($A157="","",[1]!thsiFinD("ths_adjustment_nv_fund",Z$3,$A157))</f>
        <v/>
      </c>
      <c r="AA157" s="13" t="str">
        <f>IF($A157="","",[1]!thsiFinD("ths_adjustment_nv_fund",AA$3,$A157))</f>
        <v/>
      </c>
      <c r="AB157" s="13" t="str">
        <f>IF($A157="","",[1]!thsiFinD("ths_adjustment_nv_fund",AB$3,$A157))</f>
        <v/>
      </c>
      <c r="AC157" s="13" t="str">
        <f>IF($A157="","",[1]!thsiFinD("ths_adjustment_nv_fund",AC$3,$A157))</f>
        <v/>
      </c>
      <c r="AD157" s="13" t="str">
        <f>IF($A157="","",[1]!thsiFinD("ths_adjustment_nv_fund",AD$3,$A157))</f>
        <v/>
      </c>
      <c r="AE157" s="13" t="str">
        <f>IF($A157="","",[1]!thsiFinD("ths_adjustment_nv_fund",AE$3,$A157))</f>
        <v/>
      </c>
      <c r="AF157" s="13" t="str">
        <f>IF($A157="","",[1]!thsiFinD("ths_adjustment_nv_fund",AF$3,$A157))</f>
        <v/>
      </c>
      <c r="AG157" s="13" t="str">
        <f>IF($A157="","",[1]!thsiFinD("ths_adjustment_nv_fund",AG$3,$A157))</f>
        <v/>
      </c>
      <c r="AH157" s="13" t="str">
        <f>IF($A157="","",[1]!thsiFinD("ths_adjustment_nv_fund",AH$3,$A157))</f>
        <v/>
      </c>
      <c r="AI157" s="13" t="str">
        <f>IF($A157="","",[1]!thsiFinD("ths_adjustment_nv_fund",AI$3,$A157))</f>
        <v/>
      </c>
      <c r="AJ157" s="13" t="str">
        <f>IF($A157="","",[1]!thsiFinD("ths_adjustment_nv_fund",AJ$3,$A157))</f>
        <v/>
      </c>
      <c r="AK157" s="13" t="str">
        <f>IF($A157="","",[1]!thsiFinD("ths_adjustment_nv_fund",AK$3,$A157))</f>
        <v/>
      </c>
      <c r="AL157" s="13" t="str">
        <f>IF($A157="","",[1]!thsiFinD("ths_adjustment_nv_fund",AL$3,$A157))</f>
        <v/>
      </c>
    </row>
    <row r="158" spans="1:38">
      <c r="A158" s="9"/>
      <c r="B158" s="13" t="str">
        <f>IF($A158="","",[1]!thsiFinD("ths_adjustment_nv_fund",B$3,$A158))</f>
        <v/>
      </c>
      <c r="C158" s="13" t="str">
        <f>IF($A158="","",[1]!thsiFinD("ths_adjustment_nv_fund",C$3,$A158))</f>
        <v/>
      </c>
      <c r="D158" s="13" t="str">
        <f>IF($A158="","",[1]!thsiFinD("ths_adjustment_nv_fund",D$3,$A158))</f>
        <v/>
      </c>
      <c r="E158" s="13" t="str">
        <f>IF($A158="","",[1]!thsiFinD("ths_adjustment_nv_fund",E$3,$A158))</f>
        <v/>
      </c>
      <c r="F158" s="13" t="str">
        <f>IF($A158="","",[1]!thsiFinD("ths_adjustment_nv_fund",F$3,$A158))</f>
        <v/>
      </c>
      <c r="G158" s="13" t="str">
        <f>IF($A158="","",[1]!thsiFinD("ths_adjustment_nv_fund",G$3,$A158))</f>
        <v/>
      </c>
      <c r="H158" s="13" t="str">
        <f>IF($A158="","",[1]!thsiFinD("ths_adjustment_nv_fund",H$3,$A158))</f>
        <v/>
      </c>
      <c r="I158" s="13" t="str">
        <f>IF($A158="","",[1]!thsiFinD("ths_adjustment_nv_fund",I$3,$A158))</f>
        <v/>
      </c>
      <c r="J158" s="13" t="str">
        <f>IF($A158="","",[1]!thsiFinD("ths_adjustment_nv_fund",J$3,$A158))</f>
        <v/>
      </c>
      <c r="K158" s="13" t="str">
        <f>IF($A158="","",[1]!thsiFinD("ths_adjustment_nv_fund",K$3,$A158))</f>
        <v/>
      </c>
      <c r="L158" s="13" t="str">
        <f>IF($A158="","",[1]!thsiFinD("ths_adjustment_nv_fund",L$3,$A158))</f>
        <v/>
      </c>
      <c r="M158" s="13" t="str">
        <f>IF($A158="","",[1]!thsiFinD("ths_adjustment_nv_fund",M$3,$A158))</f>
        <v/>
      </c>
      <c r="N158" s="13" t="str">
        <f>IF($A158="","",[1]!thsiFinD("ths_adjustment_nv_fund",N$3,$A158))</f>
        <v/>
      </c>
      <c r="O158" s="13" t="str">
        <f>IF($A158="","",[1]!thsiFinD("ths_adjustment_nv_fund",O$3,$A158))</f>
        <v/>
      </c>
      <c r="P158" s="13" t="str">
        <f>IF($A158="","",[1]!thsiFinD("ths_adjustment_nv_fund",P$3,$A158))</f>
        <v/>
      </c>
      <c r="Q158" s="13" t="str">
        <f>IF($A158="","",[1]!thsiFinD("ths_adjustment_nv_fund",Q$3,$A158))</f>
        <v/>
      </c>
      <c r="R158" s="13" t="str">
        <f>IF($A158="","",[1]!thsiFinD("ths_adjustment_nv_fund",R$3,$A158))</f>
        <v/>
      </c>
      <c r="S158" s="13" t="str">
        <f>IF($A158="","",[1]!thsiFinD("ths_adjustment_nv_fund",S$3,$A158))</f>
        <v/>
      </c>
      <c r="T158" s="13" t="str">
        <f>IF($A158="","",[1]!thsiFinD("ths_adjustment_nv_fund",T$3,$A158))</f>
        <v/>
      </c>
      <c r="U158" s="13" t="str">
        <f>IF($A158="","",[1]!thsiFinD("ths_adjustment_nv_fund",U$3,$A158))</f>
        <v/>
      </c>
      <c r="V158" s="13" t="str">
        <f>IF($A158="","",[1]!thsiFinD("ths_adjustment_nv_fund",V$3,$A158))</f>
        <v/>
      </c>
      <c r="W158" s="13" t="str">
        <f>IF($A158="","",[1]!thsiFinD("ths_adjustment_nv_fund",W$3,$A158))</f>
        <v/>
      </c>
      <c r="X158" s="13" t="str">
        <f>IF($A158="","",[1]!thsiFinD("ths_adjustment_nv_fund",X$3,$A158))</f>
        <v/>
      </c>
      <c r="Y158" s="13" t="str">
        <f>IF($A158="","",[1]!thsiFinD("ths_adjustment_nv_fund",Y$3,$A158))</f>
        <v/>
      </c>
      <c r="Z158" s="13" t="str">
        <f>IF($A158="","",[1]!thsiFinD("ths_adjustment_nv_fund",Z$3,$A158))</f>
        <v/>
      </c>
      <c r="AA158" s="13" t="str">
        <f>IF($A158="","",[1]!thsiFinD("ths_adjustment_nv_fund",AA$3,$A158))</f>
        <v/>
      </c>
      <c r="AB158" s="13" t="str">
        <f>IF($A158="","",[1]!thsiFinD("ths_adjustment_nv_fund",AB$3,$A158))</f>
        <v/>
      </c>
      <c r="AC158" s="13" t="str">
        <f>IF($A158="","",[1]!thsiFinD("ths_adjustment_nv_fund",AC$3,$A158))</f>
        <v/>
      </c>
      <c r="AD158" s="13" t="str">
        <f>IF($A158="","",[1]!thsiFinD("ths_adjustment_nv_fund",AD$3,$A158))</f>
        <v/>
      </c>
      <c r="AE158" s="13" t="str">
        <f>IF($A158="","",[1]!thsiFinD("ths_adjustment_nv_fund",AE$3,$A158))</f>
        <v/>
      </c>
      <c r="AF158" s="13" t="str">
        <f>IF($A158="","",[1]!thsiFinD("ths_adjustment_nv_fund",AF$3,$A158))</f>
        <v/>
      </c>
      <c r="AG158" s="13" t="str">
        <f>IF($A158="","",[1]!thsiFinD("ths_adjustment_nv_fund",AG$3,$A158))</f>
        <v/>
      </c>
      <c r="AH158" s="13" t="str">
        <f>IF($A158="","",[1]!thsiFinD("ths_adjustment_nv_fund",AH$3,$A158))</f>
        <v/>
      </c>
      <c r="AI158" s="13" t="str">
        <f>IF($A158="","",[1]!thsiFinD("ths_adjustment_nv_fund",AI$3,$A158))</f>
        <v/>
      </c>
      <c r="AJ158" s="13" t="str">
        <f>IF($A158="","",[1]!thsiFinD("ths_adjustment_nv_fund",AJ$3,$A158))</f>
        <v/>
      </c>
      <c r="AK158" s="13" t="str">
        <f>IF($A158="","",[1]!thsiFinD("ths_adjustment_nv_fund",AK$3,$A158))</f>
        <v/>
      </c>
      <c r="AL158" s="13" t="str">
        <f>IF($A158="","",[1]!thsiFinD("ths_adjustment_nv_fund",AL$3,$A158))</f>
        <v/>
      </c>
    </row>
    <row r="159" spans="1:38">
      <c r="A159" s="9"/>
      <c r="B159" s="13" t="str">
        <f>IF($A159="","",[1]!thsiFinD("ths_adjustment_nv_fund",B$3,$A159))</f>
        <v/>
      </c>
      <c r="C159" s="13" t="str">
        <f>IF($A159="","",[1]!thsiFinD("ths_adjustment_nv_fund",C$3,$A159))</f>
        <v/>
      </c>
      <c r="D159" s="13" t="str">
        <f>IF($A159="","",[1]!thsiFinD("ths_adjustment_nv_fund",D$3,$A159))</f>
        <v/>
      </c>
      <c r="E159" s="13" t="str">
        <f>IF($A159="","",[1]!thsiFinD("ths_adjustment_nv_fund",E$3,$A159))</f>
        <v/>
      </c>
      <c r="F159" s="13" t="str">
        <f>IF($A159="","",[1]!thsiFinD("ths_adjustment_nv_fund",F$3,$A159))</f>
        <v/>
      </c>
      <c r="G159" s="13" t="str">
        <f>IF($A159="","",[1]!thsiFinD("ths_adjustment_nv_fund",G$3,$A159))</f>
        <v/>
      </c>
      <c r="H159" s="13" t="str">
        <f>IF($A159="","",[1]!thsiFinD("ths_adjustment_nv_fund",H$3,$A159))</f>
        <v/>
      </c>
      <c r="I159" s="13" t="str">
        <f>IF($A159="","",[1]!thsiFinD("ths_adjustment_nv_fund",I$3,$A159))</f>
        <v/>
      </c>
      <c r="J159" s="13" t="str">
        <f>IF($A159="","",[1]!thsiFinD("ths_adjustment_nv_fund",J$3,$A159))</f>
        <v/>
      </c>
      <c r="K159" s="13" t="str">
        <f>IF($A159="","",[1]!thsiFinD("ths_adjustment_nv_fund",K$3,$A159))</f>
        <v/>
      </c>
      <c r="L159" s="13" t="str">
        <f>IF($A159="","",[1]!thsiFinD("ths_adjustment_nv_fund",L$3,$A159))</f>
        <v/>
      </c>
      <c r="M159" s="13" t="str">
        <f>IF($A159="","",[1]!thsiFinD("ths_adjustment_nv_fund",M$3,$A159))</f>
        <v/>
      </c>
      <c r="N159" s="13" t="str">
        <f>IF($A159="","",[1]!thsiFinD("ths_adjustment_nv_fund",N$3,$A159))</f>
        <v/>
      </c>
      <c r="O159" s="13" t="str">
        <f>IF($A159="","",[1]!thsiFinD("ths_adjustment_nv_fund",O$3,$A159))</f>
        <v/>
      </c>
      <c r="P159" s="13" t="str">
        <f>IF($A159="","",[1]!thsiFinD("ths_adjustment_nv_fund",P$3,$A159))</f>
        <v/>
      </c>
      <c r="Q159" s="13" t="str">
        <f>IF($A159="","",[1]!thsiFinD("ths_adjustment_nv_fund",Q$3,$A159))</f>
        <v/>
      </c>
      <c r="R159" s="13" t="str">
        <f>IF($A159="","",[1]!thsiFinD("ths_adjustment_nv_fund",R$3,$A159))</f>
        <v/>
      </c>
      <c r="S159" s="13" t="str">
        <f>IF($A159="","",[1]!thsiFinD("ths_adjustment_nv_fund",S$3,$A159))</f>
        <v/>
      </c>
      <c r="T159" s="13" t="str">
        <f>IF($A159="","",[1]!thsiFinD("ths_adjustment_nv_fund",T$3,$A159))</f>
        <v/>
      </c>
      <c r="U159" s="13" t="str">
        <f>IF($A159="","",[1]!thsiFinD("ths_adjustment_nv_fund",U$3,$A159))</f>
        <v/>
      </c>
      <c r="V159" s="13" t="str">
        <f>IF($A159="","",[1]!thsiFinD("ths_adjustment_nv_fund",V$3,$A159))</f>
        <v/>
      </c>
      <c r="W159" s="13" t="str">
        <f>IF($A159="","",[1]!thsiFinD("ths_adjustment_nv_fund",W$3,$A159))</f>
        <v/>
      </c>
      <c r="X159" s="13" t="str">
        <f>IF($A159="","",[1]!thsiFinD("ths_adjustment_nv_fund",X$3,$A159))</f>
        <v/>
      </c>
      <c r="Y159" s="13" t="str">
        <f>IF($A159="","",[1]!thsiFinD("ths_adjustment_nv_fund",Y$3,$A159))</f>
        <v/>
      </c>
      <c r="Z159" s="13" t="str">
        <f>IF($A159="","",[1]!thsiFinD("ths_adjustment_nv_fund",Z$3,$A159))</f>
        <v/>
      </c>
      <c r="AA159" s="13" t="str">
        <f>IF($A159="","",[1]!thsiFinD("ths_adjustment_nv_fund",AA$3,$A159))</f>
        <v/>
      </c>
      <c r="AB159" s="13" t="str">
        <f>IF($A159="","",[1]!thsiFinD("ths_adjustment_nv_fund",AB$3,$A159))</f>
        <v/>
      </c>
      <c r="AC159" s="13" t="str">
        <f>IF($A159="","",[1]!thsiFinD("ths_adjustment_nv_fund",AC$3,$A159))</f>
        <v/>
      </c>
      <c r="AD159" s="13" t="str">
        <f>IF($A159="","",[1]!thsiFinD("ths_adjustment_nv_fund",AD$3,$A159))</f>
        <v/>
      </c>
      <c r="AE159" s="13" t="str">
        <f>IF($A159="","",[1]!thsiFinD("ths_adjustment_nv_fund",AE$3,$A159))</f>
        <v/>
      </c>
      <c r="AF159" s="13" t="str">
        <f>IF($A159="","",[1]!thsiFinD("ths_adjustment_nv_fund",AF$3,$A159))</f>
        <v/>
      </c>
      <c r="AG159" s="13" t="str">
        <f>IF($A159="","",[1]!thsiFinD("ths_adjustment_nv_fund",AG$3,$A159))</f>
        <v/>
      </c>
      <c r="AH159" s="13" t="str">
        <f>IF($A159="","",[1]!thsiFinD("ths_adjustment_nv_fund",AH$3,$A159))</f>
        <v/>
      </c>
      <c r="AI159" s="13" t="str">
        <f>IF($A159="","",[1]!thsiFinD("ths_adjustment_nv_fund",AI$3,$A159))</f>
        <v/>
      </c>
      <c r="AJ159" s="13" t="str">
        <f>IF($A159="","",[1]!thsiFinD("ths_adjustment_nv_fund",AJ$3,$A159))</f>
        <v/>
      </c>
      <c r="AK159" s="13" t="str">
        <f>IF($A159="","",[1]!thsiFinD("ths_adjustment_nv_fund",AK$3,$A159))</f>
        <v/>
      </c>
      <c r="AL159" s="13" t="str">
        <f>IF($A159="","",[1]!thsiFinD("ths_adjustment_nv_fund",AL$3,$A159))</f>
        <v/>
      </c>
    </row>
    <row r="160" spans="1:38">
      <c r="A160" s="9"/>
      <c r="B160" s="13" t="str">
        <f>IF($A160="","",[1]!thsiFinD("ths_adjustment_nv_fund",B$3,$A160))</f>
        <v/>
      </c>
      <c r="C160" s="13" t="str">
        <f>IF($A160="","",[1]!thsiFinD("ths_adjustment_nv_fund",C$3,$A160))</f>
        <v/>
      </c>
      <c r="D160" s="13" t="str">
        <f>IF($A160="","",[1]!thsiFinD("ths_adjustment_nv_fund",D$3,$A160))</f>
        <v/>
      </c>
      <c r="E160" s="13" t="str">
        <f>IF($A160="","",[1]!thsiFinD("ths_adjustment_nv_fund",E$3,$A160))</f>
        <v/>
      </c>
      <c r="F160" s="13" t="str">
        <f>IF($A160="","",[1]!thsiFinD("ths_adjustment_nv_fund",F$3,$A160))</f>
        <v/>
      </c>
      <c r="G160" s="13" t="str">
        <f>IF($A160="","",[1]!thsiFinD("ths_adjustment_nv_fund",G$3,$A160))</f>
        <v/>
      </c>
      <c r="H160" s="13" t="str">
        <f>IF($A160="","",[1]!thsiFinD("ths_adjustment_nv_fund",H$3,$A160))</f>
        <v/>
      </c>
      <c r="I160" s="13" t="str">
        <f>IF($A160="","",[1]!thsiFinD("ths_adjustment_nv_fund",I$3,$A160))</f>
        <v/>
      </c>
      <c r="J160" s="13" t="str">
        <f>IF($A160="","",[1]!thsiFinD("ths_adjustment_nv_fund",J$3,$A160))</f>
        <v/>
      </c>
      <c r="K160" s="13" t="str">
        <f>IF($A160="","",[1]!thsiFinD("ths_adjustment_nv_fund",K$3,$A160))</f>
        <v/>
      </c>
      <c r="L160" s="13" t="str">
        <f>IF($A160="","",[1]!thsiFinD("ths_adjustment_nv_fund",L$3,$A160))</f>
        <v/>
      </c>
      <c r="M160" s="13" t="str">
        <f>IF($A160="","",[1]!thsiFinD("ths_adjustment_nv_fund",M$3,$A160))</f>
        <v/>
      </c>
      <c r="N160" s="13" t="str">
        <f>IF($A160="","",[1]!thsiFinD("ths_adjustment_nv_fund",N$3,$A160))</f>
        <v/>
      </c>
      <c r="O160" s="13" t="str">
        <f>IF($A160="","",[1]!thsiFinD("ths_adjustment_nv_fund",O$3,$A160))</f>
        <v/>
      </c>
      <c r="P160" s="13" t="str">
        <f>IF($A160="","",[1]!thsiFinD("ths_adjustment_nv_fund",P$3,$A160))</f>
        <v/>
      </c>
      <c r="Q160" s="13" t="str">
        <f>IF($A160="","",[1]!thsiFinD("ths_adjustment_nv_fund",Q$3,$A160))</f>
        <v/>
      </c>
      <c r="R160" s="13" t="str">
        <f>IF($A160="","",[1]!thsiFinD("ths_adjustment_nv_fund",R$3,$A160))</f>
        <v/>
      </c>
      <c r="S160" s="13" t="str">
        <f>IF($A160="","",[1]!thsiFinD("ths_adjustment_nv_fund",S$3,$A160))</f>
        <v/>
      </c>
      <c r="T160" s="13" t="str">
        <f>IF($A160="","",[1]!thsiFinD("ths_adjustment_nv_fund",T$3,$A160))</f>
        <v/>
      </c>
      <c r="U160" s="13" t="str">
        <f>IF($A160="","",[1]!thsiFinD("ths_adjustment_nv_fund",U$3,$A160))</f>
        <v/>
      </c>
      <c r="V160" s="13" t="str">
        <f>IF($A160="","",[1]!thsiFinD("ths_adjustment_nv_fund",V$3,$A160))</f>
        <v/>
      </c>
      <c r="W160" s="13" t="str">
        <f>IF($A160="","",[1]!thsiFinD("ths_adjustment_nv_fund",W$3,$A160))</f>
        <v/>
      </c>
      <c r="X160" s="13" t="str">
        <f>IF($A160="","",[1]!thsiFinD("ths_adjustment_nv_fund",X$3,$A160))</f>
        <v/>
      </c>
      <c r="Y160" s="13" t="str">
        <f>IF($A160="","",[1]!thsiFinD("ths_adjustment_nv_fund",Y$3,$A160))</f>
        <v/>
      </c>
      <c r="Z160" s="13" t="str">
        <f>IF($A160="","",[1]!thsiFinD("ths_adjustment_nv_fund",Z$3,$A160))</f>
        <v/>
      </c>
      <c r="AA160" s="13" t="str">
        <f>IF($A160="","",[1]!thsiFinD("ths_adjustment_nv_fund",AA$3,$A160))</f>
        <v/>
      </c>
      <c r="AB160" s="13" t="str">
        <f>IF($A160="","",[1]!thsiFinD("ths_adjustment_nv_fund",AB$3,$A160))</f>
        <v/>
      </c>
      <c r="AC160" s="13" t="str">
        <f>IF($A160="","",[1]!thsiFinD("ths_adjustment_nv_fund",AC$3,$A160))</f>
        <v/>
      </c>
      <c r="AD160" s="13" t="str">
        <f>IF($A160="","",[1]!thsiFinD("ths_adjustment_nv_fund",AD$3,$A160))</f>
        <v/>
      </c>
      <c r="AE160" s="13" t="str">
        <f>IF($A160="","",[1]!thsiFinD("ths_adjustment_nv_fund",AE$3,$A160))</f>
        <v/>
      </c>
      <c r="AF160" s="13" t="str">
        <f>IF($A160="","",[1]!thsiFinD("ths_adjustment_nv_fund",AF$3,$A160))</f>
        <v/>
      </c>
      <c r="AG160" s="13" t="str">
        <f>IF($A160="","",[1]!thsiFinD("ths_adjustment_nv_fund",AG$3,$A160))</f>
        <v/>
      </c>
      <c r="AH160" s="13" t="str">
        <f>IF($A160="","",[1]!thsiFinD("ths_adjustment_nv_fund",AH$3,$A160))</f>
        <v/>
      </c>
      <c r="AI160" s="13" t="str">
        <f>IF($A160="","",[1]!thsiFinD("ths_adjustment_nv_fund",AI$3,$A160))</f>
        <v/>
      </c>
      <c r="AJ160" s="13" t="str">
        <f>IF($A160="","",[1]!thsiFinD("ths_adjustment_nv_fund",AJ$3,$A160))</f>
        <v/>
      </c>
      <c r="AK160" s="13" t="str">
        <f>IF($A160="","",[1]!thsiFinD("ths_adjustment_nv_fund",AK$3,$A160))</f>
        <v/>
      </c>
      <c r="AL160" s="13" t="str">
        <f>IF($A160="","",[1]!thsiFinD("ths_adjustment_nv_fund",AL$3,$A160))</f>
        <v/>
      </c>
    </row>
    <row r="161" spans="1:38">
      <c r="A161" s="9"/>
      <c r="B161" s="13" t="str">
        <f>IF($A161="","",[1]!thsiFinD("ths_adjustment_nv_fund",B$3,$A161))</f>
        <v/>
      </c>
      <c r="C161" s="13" t="str">
        <f>IF($A161="","",[1]!thsiFinD("ths_adjustment_nv_fund",C$3,$A161))</f>
        <v/>
      </c>
      <c r="D161" s="13" t="str">
        <f>IF($A161="","",[1]!thsiFinD("ths_adjustment_nv_fund",D$3,$A161))</f>
        <v/>
      </c>
      <c r="E161" s="13" t="str">
        <f>IF($A161="","",[1]!thsiFinD("ths_adjustment_nv_fund",E$3,$A161))</f>
        <v/>
      </c>
      <c r="F161" s="13" t="str">
        <f>IF($A161="","",[1]!thsiFinD("ths_adjustment_nv_fund",F$3,$A161))</f>
        <v/>
      </c>
      <c r="G161" s="13" t="str">
        <f>IF($A161="","",[1]!thsiFinD("ths_adjustment_nv_fund",G$3,$A161))</f>
        <v/>
      </c>
      <c r="H161" s="13" t="str">
        <f>IF($A161="","",[1]!thsiFinD("ths_adjustment_nv_fund",H$3,$A161))</f>
        <v/>
      </c>
      <c r="I161" s="13" t="str">
        <f>IF($A161="","",[1]!thsiFinD("ths_adjustment_nv_fund",I$3,$A161))</f>
        <v/>
      </c>
      <c r="J161" s="13" t="str">
        <f>IF($A161="","",[1]!thsiFinD("ths_adjustment_nv_fund",J$3,$A161))</f>
        <v/>
      </c>
      <c r="K161" s="13" t="str">
        <f>IF($A161="","",[1]!thsiFinD("ths_adjustment_nv_fund",K$3,$A161))</f>
        <v/>
      </c>
      <c r="L161" s="13" t="str">
        <f>IF($A161="","",[1]!thsiFinD("ths_adjustment_nv_fund",L$3,$A161))</f>
        <v/>
      </c>
      <c r="M161" s="13" t="str">
        <f>IF($A161="","",[1]!thsiFinD("ths_adjustment_nv_fund",M$3,$A161))</f>
        <v/>
      </c>
      <c r="N161" s="13" t="str">
        <f>IF($A161="","",[1]!thsiFinD("ths_adjustment_nv_fund",N$3,$A161))</f>
        <v/>
      </c>
      <c r="O161" s="13" t="str">
        <f>IF($A161="","",[1]!thsiFinD("ths_adjustment_nv_fund",O$3,$A161))</f>
        <v/>
      </c>
      <c r="P161" s="13" t="str">
        <f>IF($A161="","",[1]!thsiFinD("ths_adjustment_nv_fund",P$3,$A161))</f>
        <v/>
      </c>
      <c r="Q161" s="13" t="str">
        <f>IF($A161="","",[1]!thsiFinD("ths_adjustment_nv_fund",Q$3,$A161))</f>
        <v/>
      </c>
      <c r="R161" s="13" t="str">
        <f>IF($A161="","",[1]!thsiFinD("ths_adjustment_nv_fund",R$3,$A161))</f>
        <v/>
      </c>
      <c r="S161" s="13" t="str">
        <f>IF($A161="","",[1]!thsiFinD("ths_adjustment_nv_fund",S$3,$A161))</f>
        <v/>
      </c>
      <c r="T161" s="13" t="str">
        <f>IF($A161="","",[1]!thsiFinD("ths_adjustment_nv_fund",T$3,$A161))</f>
        <v/>
      </c>
      <c r="U161" s="13" t="str">
        <f>IF($A161="","",[1]!thsiFinD("ths_adjustment_nv_fund",U$3,$A161))</f>
        <v/>
      </c>
      <c r="V161" s="13" t="str">
        <f>IF($A161="","",[1]!thsiFinD("ths_adjustment_nv_fund",V$3,$A161))</f>
        <v/>
      </c>
      <c r="W161" s="13" t="str">
        <f>IF($A161="","",[1]!thsiFinD("ths_adjustment_nv_fund",W$3,$A161))</f>
        <v/>
      </c>
      <c r="X161" s="13" t="str">
        <f>IF($A161="","",[1]!thsiFinD("ths_adjustment_nv_fund",X$3,$A161))</f>
        <v/>
      </c>
      <c r="Y161" s="13" t="str">
        <f>IF($A161="","",[1]!thsiFinD("ths_adjustment_nv_fund",Y$3,$A161))</f>
        <v/>
      </c>
      <c r="Z161" s="13" t="str">
        <f>IF($A161="","",[1]!thsiFinD("ths_adjustment_nv_fund",Z$3,$A161))</f>
        <v/>
      </c>
      <c r="AA161" s="13" t="str">
        <f>IF($A161="","",[1]!thsiFinD("ths_adjustment_nv_fund",AA$3,$A161))</f>
        <v/>
      </c>
      <c r="AB161" s="13" t="str">
        <f>IF($A161="","",[1]!thsiFinD("ths_adjustment_nv_fund",AB$3,$A161))</f>
        <v/>
      </c>
      <c r="AC161" s="13" t="str">
        <f>IF($A161="","",[1]!thsiFinD("ths_adjustment_nv_fund",AC$3,$A161))</f>
        <v/>
      </c>
      <c r="AD161" s="13" t="str">
        <f>IF($A161="","",[1]!thsiFinD("ths_adjustment_nv_fund",AD$3,$A161))</f>
        <v/>
      </c>
      <c r="AE161" s="13" t="str">
        <f>IF($A161="","",[1]!thsiFinD("ths_adjustment_nv_fund",AE$3,$A161))</f>
        <v/>
      </c>
      <c r="AF161" s="13" t="str">
        <f>IF($A161="","",[1]!thsiFinD("ths_adjustment_nv_fund",AF$3,$A161))</f>
        <v/>
      </c>
      <c r="AG161" s="13" t="str">
        <f>IF($A161="","",[1]!thsiFinD("ths_adjustment_nv_fund",AG$3,$A161))</f>
        <v/>
      </c>
      <c r="AH161" s="13" t="str">
        <f>IF($A161="","",[1]!thsiFinD("ths_adjustment_nv_fund",AH$3,$A161))</f>
        <v/>
      </c>
      <c r="AI161" s="13" t="str">
        <f>IF($A161="","",[1]!thsiFinD("ths_adjustment_nv_fund",AI$3,$A161))</f>
        <v/>
      </c>
      <c r="AJ161" s="13" t="str">
        <f>IF($A161="","",[1]!thsiFinD("ths_adjustment_nv_fund",AJ$3,$A161))</f>
        <v/>
      </c>
      <c r="AK161" s="13" t="str">
        <f>IF($A161="","",[1]!thsiFinD("ths_adjustment_nv_fund",AK$3,$A161))</f>
        <v/>
      </c>
      <c r="AL161" s="13" t="str">
        <f>IF($A161="","",[1]!thsiFinD("ths_adjustment_nv_fund",AL$3,$A161))</f>
        <v/>
      </c>
    </row>
    <row r="162" spans="1:38">
      <c r="A162" s="9"/>
      <c r="B162" s="13" t="str">
        <f>IF($A162="","",[1]!thsiFinD("ths_adjustment_nv_fund",B$3,$A162))</f>
        <v/>
      </c>
      <c r="C162" s="13" t="str">
        <f>IF($A162="","",[1]!thsiFinD("ths_adjustment_nv_fund",C$3,$A162))</f>
        <v/>
      </c>
      <c r="D162" s="13" t="str">
        <f>IF($A162="","",[1]!thsiFinD("ths_adjustment_nv_fund",D$3,$A162))</f>
        <v/>
      </c>
      <c r="E162" s="13" t="str">
        <f>IF($A162="","",[1]!thsiFinD("ths_adjustment_nv_fund",E$3,$A162))</f>
        <v/>
      </c>
      <c r="F162" s="13" t="str">
        <f>IF($A162="","",[1]!thsiFinD("ths_adjustment_nv_fund",F$3,$A162))</f>
        <v/>
      </c>
      <c r="G162" s="13" t="str">
        <f>IF($A162="","",[1]!thsiFinD("ths_adjustment_nv_fund",G$3,$A162))</f>
        <v/>
      </c>
      <c r="H162" s="13" t="str">
        <f>IF($A162="","",[1]!thsiFinD("ths_adjustment_nv_fund",H$3,$A162))</f>
        <v/>
      </c>
      <c r="I162" s="13" t="str">
        <f>IF($A162="","",[1]!thsiFinD("ths_adjustment_nv_fund",I$3,$A162))</f>
        <v/>
      </c>
      <c r="J162" s="13" t="str">
        <f>IF($A162="","",[1]!thsiFinD("ths_adjustment_nv_fund",J$3,$A162))</f>
        <v/>
      </c>
      <c r="K162" s="13" t="str">
        <f>IF($A162="","",[1]!thsiFinD("ths_adjustment_nv_fund",K$3,$A162))</f>
        <v/>
      </c>
      <c r="L162" s="13" t="str">
        <f>IF($A162="","",[1]!thsiFinD("ths_adjustment_nv_fund",L$3,$A162))</f>
        <v/>
      </c>
      <c r="M162" s="13" t="str">
        <f>IF($A162="","",[1]!thsiFinD("ths_adjustment_nv_fund",M$3,$A162))</f>
        <v/>
      </c>
      <c r="N162" s="13" t="str">
        <f>IF($A162="","",[1]!thsiFinD("ths_adjustment_nv_fund",N$3,$A162))</f>
        <v/>
      </c>
      <c r="O162" s="13" t="str">
        <f>IF($A162="","",[1]!thsiFinD("ths_adjustment_nv_fund",O$3,$A162))</f>
        <v/>
      </c>
      <c r="P162" s="13" t="str">
        <f>IF($A162="","",[1]!thsiFinD("ths_adjustment_nv_fund",P$3,$A162))</f>
        <v/>
      </c>
      <c r="Q162" s="13" t="str">
        <f>IF($A162="","",[1]!thsiFinD("ths_adjustment_nv_fund",Q$3,$A162))</f>
        <v/>
      </c>
      <c r="R162" s="13" t="str">
        <f>IF($A162="","",[1]!thsiFinD("ths_adjustment_nv_fund",R$3,$A162))</f>
        <v/>
      </c>
      <c r="S162" s="13" t="str">
        <f>IF($A162="","",[1]!thsiFinD("ths_adjustment_nv_fund",S$3,$A162))</f>
        <v/>
      </c>
      <c r="T162" s="13" t="str">
        <f>IF($A162="","",[1]!thsiFinD("ths_adjustment_nv_fund",T$3,$A162))</f>
        <v/>
      </c>
      <c r="U162" s="13" t="str">
        <f>IF($A162="","",[1]!thsiFinD("ths_adjustment_nv_fund",U$3,$A162))</f>
        <v/>
      </c>
      <c r="V162" s="13" t="str">
        <f>IF($A162="","",[1]!thsiFinD("ths_adjustment_nv_fund",V$3,$A162))</f>
        <v/>
      </c>
      <c r="W162" s="13" t="str">
        <f>IF($A162="","",[1]!thsiFinD("ths_adjustment_nv_fund",W$3,$A162))</f>
        <v/>
      </c>
      <c r="X162" s="13" t="str">
        <f>IF($A162="","",[1]!thsiFinD("ths_adjustment_nv_fund",X$3,$A162))</f>
        <v/>
      </c>
      <c r="Y162" s="13" t="str">
        <f>IF($A162="","",[1]!thsiFinD("ths_adjustment_nv_fund",Y$3,$A162))</f>
        <v/>
      </c>
      <c r="Z162" s="13" t="str">
        <f>IF($A162="","",[1]!thsiFinD("ths_adjustment_nv_fund",Z$3,$A162))</f>
        <v/>
      </c>
      <c r="AA162" s="13" t="str">
        <f>IF($A162="","",[1]!thsiFinD("ths_adjustment_nv_fund",AA$3,$A162))</f>
        <v/>
      </c>
      <c r="AB162" s="13" t="str">
        <f>IF($A162="","",[1]!thsiFinD("ths_adjustment_nv_fund",AB$3,$A162))</f>
        <v/>
      </c>
      <c r="AC162" s="13" t="str">
        <f>IF($A162="","",[1]!thsiFinD("ths_adjustment_nv_fund",AC$3,$A162))</f>
        <v/>
      </c>
      <c r="AD162" s="13" t="str">
        <f>IF($A162="","",[1]!thsiFinD("ths_adjustment_nv_fund",AD$3,$A162))</f>
        <v/>
      </c>
      <c r="AE162" s="13" t="str">
        <f>IF($A162="","",[1]!thsiFinD("ths_adjustment_nv_fund",AE$3,$A162))</f>
        <v/>
      </c>
      <c r="AF162" s="13" t="str">
        <f>IF($A162="","",[1]!thsiFinD("ths_adjustment_nv_fund",AF$3,$A162))</f>
        <v/>
      </c>
      <c r="AG162" s="13" t="str">
        <f>IF($A162="","",[1]!thsiFinD("ths_adjustment_nv_fund",AG$3,$A162))</f>
        <v/>
      </c>
      <c r="AH162" s="13" t="str">
        <f>IF($A162="","",[1]!thsiFinD("ths_adjustment_nv_fund",AH$3,$A162))</f>
        <v/>
      </c>
      <c r="AI162" s="13" t="str">
        <f>IF($A162="","",[1]!thsiFinD("ths_adjustment_nv_fund",AI$3,$A162))</f>
        <v/>
      </c>
      <c r="AJ162" s="13" t="str">
        <f>IF($A162="","",[1]!thsiFinD("ths_adjustment_nv_fund",AJ$3,$A162))</f>
        <v/>
      </c>
      <c r="AK162" s="13" t="str">
        <f>IF($A162="","",[1]!thsiFinD("ths_adjustment_nv_fund",AK$3,$A162))</f>
        <v/>
      </c>
      <c r="AL162" s="13" t="str">
        <f>IF($A162="","",[1]!thsiFinD("ths_adjustment_nv_fund",AL$3,$A162))</f>
        <v/>
      </c>
    </row>
    <row r="163" spans="1:38">
      <c r="A163" s="9"/>
      <c r="B163" s="13" t="str">
        <f>IF($A163="","",[1]!thsiFinD("ths_adjustment_nv_fund",B$3,$A163))</f>
        <v/>
      </c>
      <c r="C163" s="13" t="str">
        <f>IF($A163="","",[1]!thsiFinD("ths_adjustment_nv_fund",C$3,$A163))</f>
        <v/>
      </c>
      <c r="D163" s="13" t="str">
        <f>IF($A163="","",[1]!thsiFinD("ths_adjustment_nv_fund",D$3,$A163))</f>
        <v/>
      </c>
      <c r="E163" s="13" t="str">
        <f>IF($A163="","",[1]!thsiFinD("ths_adjustment_nv_fund",E$3,$A163))</f>
        <v/>
      </c>
      <c r="F163" s="13" t="str">
        <f>IF($A163="","",[1]!thsiFinD("ths_adjustment_nv_fund",F$3,$A163))</f>
        <v/>
      </c>
      <c r="G163" s="13" t="str">
        <f>IF($A163="","",[1]!thsiFinD("ths_adjustment_nv_fund",G$3,$A163))</f>
        <v/>
      </c>
      <c r="H163" s="13" t="str">
        <f>IF($A163="","",[1]!thsiFinD("ths_adjustment_nv_fund",H$3,$A163))</f>
        <v/>
      </c>
      <c r="I163" s="13" t="str">
        <f>IF($A163="","",[1]!thsiFinD("ths_adjustment_nv_fund",I$3,$A163))</f>
        <v/>
      </c>
      <c r="J163" s="13" t="str">
        <f>IF($A163="","",[1]!thsiFinD("ths_adjustment_nv_fund",J$3,$A163))</f>
        <v/>
      </c>
      <c r="K163" s="13" t="str">
        <f>IF($A163="","",[1]!thsiFinD("ths_adjustment_nv_fund",K$3,$A163))</f>
        <v/>
      </c>
      <c r="L163" s="13" t="str">
        <f>IF($A163="","",[1]!thsiFinD("ths_adjustment_nv_fund",L$3,$A163))</f>
        <v/>
      </c>
      <c r="M163" s="13" t="str">
        <f>IF($A163="","",[1]!thsiFinD("ths_adjustment_nv_fund",M$3,$A163))</f>
        <v/>
      </c>
      <c r="N163" s="13" t="str">
        <f>IF($A163="","",[1]!thsiFinD("ths_adjustment_nv_fund",N$3,$A163))</f>
        <v/>
      </c>
      <c r="O163" s="13" t="str">
        <f>IF($A163="","",[1]!thsiFinD("ths_adjustment_nv_fund",O$3,$A163))</f>
        <v/>
      </c>
      <c r="P163" s="13" t="str">
        <f>IF($A163="","",[1]!thsiFinD("ths_adjustment_nv_fund",P$3,$A163))</f>
        <v/>
      </c>
      <c r="Q163" s="13" t="str">
        <f>IF($A163="","",[1]!thsiFinD("ths_adjustment_nv_fund",Q$3,$A163))</f>
        <v/>
      </c>
      <c r="R163" s="13" t="str">
        <f>IF($A163="","",[1]!thsiFinD("ths_adjustment_nv_fund",R$3,$A163))</f>
        <v/>
      </c>
      <c r="S163" s="13" t="str">
        <f>IF($A163="","",[1]!thsiFinD("ths_adjustment_nv_fund",S$3,$A163))</f>
        <v/>
      </c>
      <c r="T163" s="13" t="str">
        <f>IF($A163="","",[1]!thsiFinD("ths_adjustment_nv_fund",T$3,$A163))</f>
        <v/>
      </c>
      <c r="U163" s="13" t="str">
        <f>IF($A163="","",[1]!thsiFinD("ths_adjustment_nv_fund",U$3,$A163))</f>
        <v/>
      </c>
      <c r="V163" s="13" t="str">
        <f>IF($A163="","",[1]!thsiFinD("ths_adjustment_nv_fund",V$3,$A163))</f>
        <v/>
      </c>
      <c r="W163" s="13" t="str">
        <f>IF($A163="","",[1]!thsiFinD("ths_adjustment_nv_fund",W$3,$A163))</f>
        <v/>
      </c>
      <c r="X163" s="13" t="str">
        <f>IF($A163="","",[1]!thsiFinD("ths_adjustment_nv_fund",X$3,$A163))</f>
        <v/>
      </c>
      <c r="Y163" s="13" t="str">
        <f>IF($A163="","",[1]!thsiFinD("ths_adjustment_nv_fund",Y$3,$A163))</f>
        <v/>
      </c>
      <c r="Z163" s="13" t="str">
        <f>IF($A163="","",[1]!thsiFinD("ths_adjustment_nv_fund",Z$3,$A163))</f>
        <v/>
      </c>
      <c r="AA163" s="13" t="str">
        <f>IF($A163="","",[1]!thsiFinD("ths_adjustment_nv_fund",AA$3,$A163))</f>
        <v/>
      </c>
      <c r="AB163" s="13" t="str">
        <f>IF($A163="","",[1]!thsiFinD("ths_adjustment_nv_fund",AB$3,$A163))</f>
        <v/>
      </c>
      <c r="AC163" s="13" t="str">
        <f>IF($A163="","",[1]!thsiFinD("ths_adjustment_nv_fund",AC$3,$A163))</f>
        <v/>
      </c>
      <c r="AD163" s="13" t="str">
        <f>IF($A163="","",[1]!thsiFinD("ths_adjustment_nv_fund",AD$3,$A163))</f>
        <v/>
      </c>
      <c r="AE163" s="13" t="str">
        <f>IF($A163="","",[1]!thsiFinD("ths_adjustment_nv_fund",AE$3,$A163))</f>
        <v/>
      </c>
      <c r="AF163" s="13" t="str">
        <f>IF($A163="","",[1]!thsiFinD("ths_adjustment_nv_fund",AF$3,$A163))</f>
        <v/>
      </c>
      <c r="AG163" s="13" t="str">
        <f>IF($A163="","",[1]!thsiFinD("ths_adjustment_nv_fund",AG$3,$A163))</f>
        <v/>
      </c>
      <c r="AH163" s="13" t="str">
        <f>IF($A163="","",[1]!thsiFinD("ths_adjustment_nv_fund",AH$3,$A163))</f>
        <v/>
      </c>
      <c r="AI163" s="13" t="str">
        <f>IF($A163="","",[1]!thsiFinD("ths_adjustment_nv_fund",AI$3,$A163))</f>
        <v/>
      </c>
      <c r="AJ163" s="13" t="str">
        <f>IF($A163="","",[1]!thsiFinD("ths_adjustment_nv_fund",AJ$3,$A163))</f>
        <v/>
      </c>
      <c r="AK163" s="13" t="str">
        <f>IF($A163="","",[1]!thsiFinD("ths_adjustment_nv_fund",AK$3,$A163))</f>
        <v/>
      </c>
      <c r="AL163" s="13" t="str">
        <f>IF($A163="","",[1]!thsiFinD("ths_adjustment_nv_fund",AL$3,$A163))</f>
        <v/>
      </c>
    </row>
    <row r="164" spans="1:38">
      <c r="A164" s="9"/>
      <c r="B164" s="13" t="str">
        <f>IF($A164="","",[1]!thsiFinD("ths_adjustment_nv_fund",B$3,$A164))</f>
        <v/>
      </c>
      <c r="C164" s="13" t="str">
        <f>IF($A164="","",[1]!thsiFinD("ths_adjustment_nv_fund",C$3,$A164))</f>
        <v/>
      </c>
      <c r="D164" s="13" t="str">
        <f>IF($A164="","",[1]!thsiFinD("ths_adjustment_nv_fund",D$3,$A164))</f>
        <v/>
      </c>
      <c r="E164" s="13" t="str">
        <f>IF($A164="","",[1]!thsiFinD("ths_adjustment_nv_fund",E$3,$A164))</f>
        <v/>
      </c>
      <c r="F164" s="13" t="str">
        <f>IF($A164="","",[1]!thsiFinD("ths_adjustment_nv_fund",F$3,$A164))</f>
        <v/>
      </c>
      <c r="G164" s="13" t="str">
        <f>IF($A164="","",[1]!thsiFinD("ths_adjustment_nv_fund",G$3,$A164))</f>
        <v/>
      </c>
      <c r="H164" s="13" t="str">
        <f>IF($A164="","",[1]!thsiFinD("ths_adjustment_nv_fund",H$3,$A164))</f>
        <v/>
      </c>
      <c r="I164" s="13" t="str">
        <f>IF($A164="","",[1]!thsiFinD("ths_adjustment_nv_fund",I$3,$A164))</f>
        <v/>
      </c>
      <c r="J164" s="13" t="str">
        <f>IF($A164="","",[1]!thsiFinD("ths_adjustment_nv_fund",J$3,$A164))</f>
        <v/>
      </c>
      <c r="K164" s="13" t="str">
        <f>IF($A164="","",[1]!thsiFinD("ths_adjustment_nv_fund",K$3,$A164))</f>
        <v/>
      </c>
      <c r="L164" s="13" t="str">
        <f>IF($A164="","",[1]!thsiFinD("ths_adjustment_nv_fund",L$3,$A164))</f>
        <v/>
      </c>
      <c r="M164" s="13" t="str">
        <f>IF($A164="","",[1]!thsiFinD("ths_adjustment_nv_fund",M$3,$A164))</f>
        <v/>
      </c>
      <c r="N164" s="13" t="str">
        <f>IF($A164="","",[1]!thsiFinD("ths_adjustment_nv_fund",N$3,$A164))</f>
        <v/>
      </c>
      <c r="O164" s="13" t="str">
        <f>IF($A164="","",[1]!thsiFinD("ths_adjustment_nv_fund",O$3,$A164))</f>
        <v/>
      </c>
      <c r="P164" s="13" t="str">
        <f>IF($A164="","",[1]!thsiFinD("ths_adjustment_nv_fund",P$3,$A164))</f>
        <v/>
      </c>
      <c r="Q164" s="13" t="str">
        <f>IF($A164="","",[1]!thsiFinD("ths_adjustment_nv_fund",Q$3,$A164))</f>
        <v/>
      </c>
      <c r="R164" s="13" t="str">
        <f>IF($A164="","",[1]!thsiFinD("ths_adjustment_nv_fund",R$3,$A164))</f>
        <v/>
      </c>
      <c r="S164" s="13" t="str">
        <f>IF($A164="","",[1]!thsiFinD("ths_adjustment_nv_fund",S$3,$A164))</f>
        <v/>
      </c>
      <c r="T164" s="13" t="str">
        <f>IF($A164="","",[1]!thsiFinD("ths_adjustment_nv_fund",T$3,$A164))</f>
        <v/>
      </c>
      <c r="U164" s="13" t="str">
        <f>IF($A164="","",[1]!thsiFinD("ths_adjustment_nv_fund",U$3,$A164))</f>
        <v/>
      </c>
      <c r="V164" s="13" t="str">
        <f>IF($A164="","",[1]!thsiFinD("ths_adjustment_nv_fund",V$3,$A164))</f>
        <v/>
      </c>
      <c r="W164" s="13" t="str">
        <f>IF($A164="","",[1]!thsiFinD("ths_adjustment_nv_fund",W$3,$A164))</f>
        <v/>
      </c>
      <c r="X164" s="13" t="str">
        <f>IF($A164="","",[1]!thsiFinD("ths_adjustment_nv_fund",X$3,$A164))</f>
        <v/>
      </c>
      <c r="Y164" s="13" t="str">
        <f>IF($A164="","",[1]!thsiFinD("ths_adjustment_nv_fund",Y$3,$A164))</f>
        <v/>
      </c>
      <c r="Z164" s="13" t="str">
        <f>IF($A164="","",[1]!thsiFinD("ths_adjustment_nv_fund",Z$3,$A164))</f>
        <v/>
      </c>
      <c r="AA164" s="13" t="str">
        <f>IF($A164="","",[1]!thsiFinD("ths_adjustment_nv_fund",AA$3,$A164))</f>
        <v/>
      </c>
      <c r="AB164" s="13" t="str">
        <f>IF($A164="","",[1]!thsiFinD("ths_adjustment_nv_fund",AB$3,$A164))</f>
        <v/>
      </c>
      <c r="AC164" s="13" t="str">
        <f>IF($A164="","",[1]!thsiFinD("ths_adjustment_nv_fund",AC$3,$A164))</f>
        <v/>
      </c>
      <c r="AD164" s="13" t="str">
        <f>IF($A164="","",[1]!thsiFinD("ths_adjustment_nv_fund",AD$3,$A164))</f>
        <v/>
      </c>
      <c r="AE164" s="13" t="str">
        <f>IF($A164="","",[1]!thsiFinD("ths_adjustment_nv_fund",AE$3,$A164))</f>
        <v/>
      </c>
      <c r="AF164" s="13" t="str">
        <f>IF($A164="","",[1]!thsiFinD("ths_adjustment_nv_fund",AF$3,$A164))</f>
        <v/>
      </c>
      <c r="AG164" s="13" t="str">
        <f>IF($A164="","",[1]!thsiFinD("ths_adjustment_nv_fund",AG$3,$A164))</f>
        <v/>
      </c>
      <c r="AH164" s="13" t="str">
        <f>IF($A164="","",[1]!thsiFinD("ths_adjustment_nv_fund",AH$3,$A164))</f>
        <v/>
      </c>
      <c r="AI164" s="13" t="str">
        <f>IF($A164="","",[1]!thsiFinD("ths_adjustment_nv_fund",AI$3,$A164))</f>
        <v/>
      </c>
      <c r="AJ164" s="13" t="str">
        <f>IF($A164="","",[1]!thsiFinD("ths_adjustment_nv_fund",AJ$3,$A164))</f>
        <v/>
      </c>
      <c r="AK164" s="13" t="str">
        <f>IF($A164="","",[1]!thsiFinD("ths_adjustment_nv_fund",AK$3,$A164))</f>
        <v/>
      </c>
      <c r="AL164" s="13" t="str">
        <f>IF($A164="","",[1]!thsiFinD("ths_adjustment_nv_fund",AL$3,$A164))</f>
        <v/>
      </c>
    </row>
    <row r="165" spans="1:38">
      <c r="A165" s="9"/>
      <c r="B165" s="13" t="str">
        <f>IF($A165="","",[1]!thsiFinD("ths_adjustment_nv_fund",B$3,$A165))</f>
        <v/>
      </c>
      <c r="C165" s="13" t="str">
        <f>IF($A165="","",[1]!thsiFinD("ths_adjustment_nv_fund",C$3,$A165))</f>
        <v/>
      </c>
      <c r="D165" s="13" t="str">
        <f>IF($A165="","",[1]!thsiFinD("ths_adjustment_nv_fund",D$3,$A165))</f>
        <v/>
      </c>
      <c r="E165" s="13" t="str">
        <f>IF($A165="","",[1]!thsiFinD("ths_adjustment_nv_fund",E$3,$A165))</f>
        <v/>
      </c>
      <c r="F165" s="13" t="str">
        <f>IF($A165="","",[1]!thsiFinD("ths_adjustment_nv_fund",F$3,$A165))</f>
        <v/>
      </c>
      <c r="G165" s="13" t="str">
        <f>IF($A165="","",[1]!thsiFinD("ths_adjustment_nv_fund",G$3,$A165))</f>
        <v/>
      </c>
      <c r="H165" s="13" t="str">
        <f>IF($A165="","",[1]!thsiFinD("ths_adjustment_nv_fund",H$3,$A165))</f>
        <v/>
      </c>
      <c r="I165" s="13" t="str">
        <f>IF($A165="","",[1]!thsiFinD("ths_adjustment_nv_fund",I$3,$A165))</f>
        <v/>
      </c>
      <c r="J165" s="13" t="str">
        <f>IF($A165="","",[1]!thsiFinD("ths_adjustment_nv_fund",J$3,$A165))</f>
        <v/>
      </c>
      <c r="K165" s="13" t="str">
        <f>IF($A165="","",[1]!thsiFinD("ths_adjustment_nv_fund",K$3,$A165))</f>
        <v/>
      </c>
      <c r="L165" s="13" t="str">
        <f>IF($A165="","",[1]!thsiFinD("ths_adjustment_nv_fund",L$3,$A165))</f>
        <v/>
      </c>
      <c r="M165" s="13" t="str">
        <f>IF($A165="","",[1]!thsiFinD("ths_adjustment_nv_fund",M$3,$A165))</f>
        <v/>
      </c>
      <c r="N165" s="13" t="str">
        <f>IF($A165="","",[1]!thsiFinD("ths_adjustment_nv_fund",N$3,$A165))</f>
        <v/>
      </c>
      <c r="O165" s="13" t="str">
        <f>IF($A165="","",[1]!thsiFinD("ths_adjustment_nv_fund",O$3,$A165))</f>
        <v/>
      </c>
      <c r="P165" s="13" t="str">
        <f>IF($A165="","",[1]!thsiFinD("ths_adjustment_nv_fund",P$3,$A165))</f>
        <v/>
      </c>
      <c r="Q165" s="13" t="str">
        <f>IF($A165="","",[1]!thsiFinD("ths_adjustment_nv_fund",Q$3,$A165))</f>
        <v/>
      </c>
      <c r="R165" s="13" t="str">
        <f>IF($A165="","",[1]!thsiFinD("ths_adjustment_nv_fund",R$3,$A165))</f>
        <v/>
      </c>
      <c r="S165" s="13" t="str">
        <f>IF($A165="","",[1]!thsiFinD("ths_adjustment_nv_fund",S$3,$A165))</f>
        <v/>
      </c>
      <c r="T165" s="13" t="str">
        <f>IF($A165="","",[1]!thsiFinD("ths_adjustment_nv_fund",T$3,$A165))</f>
        <v/>
      </c>
      <c r="U165" s="13" t="str">
        <f>IF($A165="","",[1]!thsiFinD("ths_adjustment_nv_fund",U$3,$A165))</f>
        <v/>
      </c>
      <c r="V165" s="13" t="str">
        <f>IF($A165="","",[1]!thsiFinD("ths_adjustment_nv_fund",V$3,$A165))</f>
        <v/>
      </c>
      <c r="W165" s="13" t="str">
        <f>IF($A165="","",[1]!thsiFinD("ths_adjustment_nv_fund",W$3,$A165))</f>
        <v/>
      </c>
      <c r="X165" s="13" t="str">
        <f>IF($A165="","",[1]!thsiFinD("ths_adjustment_nv_fund",X$3,$A165))</f>
        <v/>
      </c>
      <c r="Y165" s="13" t="str">
        <f>IF($A165="","",[1]!thsiFinD("ths_adjustment_nv_fund",Y$3,$A165))</f>
        <v/>
      </c>
      <c r="Z165" s="13" t="str">
        <f>IF($A165="","",[1]!thsiFinD("ths_adjustment_nv_fund",Z$3,$A165))</f>
        <v/>
      </c>
      <c r="AA165" s="13" t="str">
        <f>IF($A165="","",[1]!thsiFinD("ths_adjustment_nv_fund",AA$3,$A165))</f>
        <v/>
      </c>
      <c r="AB165" s="13" t="str">
        <f>IF($A165="","",[1]!thsiFinD("ths_adjustment_nv_fund",AB$3,$A165))</f>
        <v/>
      </c>
      <c r="AC165" s="13" t="str">
        <f>IF($A165="","",[1]!thsiFinD("ths_adjustment_nv_fund",AC$3,$A165))</f>
        <v/>
      </c>
      <c r="AD165" s="13" t="str">
        <f>IF($A165="","",[1]!thsiFinD("ths_adjustment_nv_fund",AD$3,$A165))</f>
        <v/>
      </c>
      <c r="AE165" s="13" t="str">
        <f>IF($A165="","",[1]!thsiFinD("ths_adjustment_nv_fund",AE$3,$A165))</f>
        <v/>
      </c>
      <c r="AF165" s="13" t="str">
        <f>IF($A165="","",[1]!thsiFinD("ths_adjustment_nv_fund",AF$3,$A165))</f>
        <v/>
      </c>
      <c r="AG165" s="13" t="str">
        <f>IF($A165="","",[1]!thsiFinD("ths_adjustment_nv_fund",AG$3,$A165))</f>
        <v/>
      </c>
      <c r="AH165" s="13" t="str">
        <f>IF($A165="","",[1]!thsiFinD("ths_adjustment_nv_fund",AH$3,$A165))</f>
        <v/>
      </c>
      <c r="AI165" s="13" t="str">
        <f>IF($A165="","",[1]!thsiFinD("ths_adjustment_nv_fund",AI$3,$A165))</f>
        <v/>
      </c>
      <c r="AJ165" s="13" t="str">
        <f>IF($A165="","",[1]!thsiFinD("ths_adjustment_nv_fund",AJ$3,$A165))</f>
        <v/>
      </c>
      <c r="AK165" s="13" t="str">
        <f>IF($A165="","",[1]!thsiFinD("ths_adjustment_nv_fund",AK$3,$A165))</f>
        <v/>
      </c>
      <c r="AL165" s="13" t="str">
        <f>IF($A165="","",[1]!thsiFinD("ths_adjustment_nv_fund",AL$3,$A165))</f>
        <v/>
      </c>
    </row>
    <row r="166" spans="1:38">
      <c r="A166" s="9"/>
      <c r="B166" s="13" t="str">
        <f>IF($A166="","",[1]!thsiFinD("ths_adjustment_nv_fund",B$3,$A166))</f>
        <v/>
      </c>
      <c r="C166" s="13" t="str">
        <f>IF($A166="","",[1]!thsiFinD("ths_adjustment_nv_fund",C$3,$A166))</f>
        <v/>
      </c>
      <c r="D166" s="13" t="str">
        <f>IF($A166="","",[1]!thsiFinD("ths_adjustment_nv_fund",D$3,$A166))</f>
        <v/>
      </c>
      <c r="E166" s="13" t="str">
        <f>IF($A166="","",[1]!thsiFinD("ths_adjustment_nv_fund",E$3,$A166))</f>
        <v/>
      </c>
      <c r="F166" s="13" t="str">
        <f>IF($A166="","",[1]!thsiFinD("ths_adjustment_nv_fund",F$3,$A166))</f>
        <v/>
      </c>
      <c r="G166" s="13" t="str">
        <f>IF($A166="","",[1]!thsiFinD("ths_adjustment_nv_fund",G$3,$A166))</f>
        <v/>
      </c>
      <c r="H166" s="13" t="str">
        <f>IF($A166="","",[1]!thsiFinD("ths_adjustment_nv_fund",H$3,$A166))</f>
        <v/>
      </c>
      <c r="I166" s="13" t="str">
        <f>IF($A166="","",[1]!thsiFinD("ths_adjustment_nv_fund",I$3,$A166))</f>
        <v/>
      </c>
      <c r="J166" s="13" t="str">
        <f>IF($A166="","",[1]!thsiFinD("ths_adjustment_nv_fund",J$3,$A166))</f>
        <v/>
      </c>
      <c r="K166" s="13" t="str">
        <f>IF($A166="","",[1]!thsiFinD("ths_adjustment_nv_fund",K$3,$A166))</f>
        <v/>
      </c>
      <c r="L166" s="13" t="str">
        <f>IF($A166="","",[1]!thsiFinD("ths_adjustment_nv_fund",L$3,$A166))</f>
        <v/>
      </c>
      <c r="M166" s="13" t="str">
        <f>IF($A166="","",[1]!thsiFinD("ths_adjustment_nv_fund",M$3,$A166))</f>
        <v/>
      </c>
      <c r="N166" s="13" t="str">
        <f>IF($A166="","",[1]!thsiFinD("ths_adjustment_nv_fund",N$3,$A166))</f>
        <v/>
      </c>
      <c r="O166" s="13" t="str">
        <f>IF($A166="","",[1]!thsiFinD("ths_adjustment_nv_fund",O$3,$A166))</f>
        <v/>
      </c>
      <c r="P166" s="13" t="str">
        <f>IF($A166="","",[1]!thsiFinD("ths_adjustment_nv_fund",P$3,$A166))</f>
        <v/>
      </c>
      <c r="Q166" s="13" t="str">
        <f>IF($A166="","",[1]!thsiFinD("ths_adjustment_nv_fund",Q$3,$A166))</f>
        <v/>
      </c>
      <c r="R166" s="13" t="str">
        <f>IF($A166="","",[1]!thsiFinD("ths_adjustment_nv_fund",R$3,$A166))</f>
        <v/>
      </c>
      <c r="S166" s="13" t="str">
        <f>IF($A166="","",[1]!thsiFinD("ths_adjustment_nv_fund",S$3,$A166))</f>
        <v/>
      </c>
      <c r="T166" s="13" t="str">
        <f>IF($A166="","",[1]!thsiFinD("ths_adjustment_nv_fund",T$3,$A166))</f>
        <v/>
      </c>
      <c r="U166" s="13" t="str">
        <f>IF($A166="","",[1]!thsiFinD("ths_adjustment_nv_fund",U$3,$A166))</f>
        <v/>
      </c>
      <c r="V166" s="13" t="str">
        <f>IF($A166="","",[1]!thsiFinD("ths_adjustment_nv_fund",V$3,$A166))</f>
        <v/>
      </c>
      <c r="W166" s="13" t="str">
        <f>IF($A166="","",[1]!thsiFinD("ths_adjustment_nv_fund",W$3,$A166))</f>
        <v/>
      </c>
      <c r="X166" s="13" t="str">
        <f>IF($A166="","",[1]!thsiFinD("ths_adjustment_nv_fund",X$3,$A166))</f>
        <v/>
      </c>
      <c r="Y166" s="13" t="str">
        <f>IF($A166="","",[1]!thsiFinD("ths_adjustment_nv_fund",Y$3,$A166))</f>
        <v/>
      </c>
      <c r="Z166" s="13" t="str">
        <f>IF($A166="","",[1]!thsiFinD("ths_adjustment_nv_fund",Z$3,$A166))</f>
        <v/>
      </c>
      <c r="AA166" s="13" t="str">
        <f>IF($A166="","",[1]!thsiFinD("ths_adjustment_nv_fund",AA$3,$A166))</f>
        <v/>
      </c>
      <c r="AB166" s="13" t="str">
        <f>IF($A166="","",[1]!thsiFinD("ths_adjustment_nv_fund",AB$3,$A166))</f>
        <v/>
      </c>
      <c r="AC166" s="13" t="str">
        <f>IF($A166="","",[1]!thsiFinD("ths_adjustment_nv_fund",AC$3,$A166))</f>
        <v/>
      </c>
      <c r="AD166" s="13" t="str">
        <f>IF($A166="","",[1]!thsiFinD("ths_adjustment_nv_fund",AD$3,$A166))</f>
        <v/>
      </c>
      <c r="AE166" s="13" t="str">
        <f>IF($A166="","",[1]!thsiFinD("ths_adjustment_nv_fund",AE$3,$A166))</f>
        <v/>
      </c>
      <c r="AF166" s="13" t="str">
        <f>IF($A166="","",[1]!thsiFinD("ths_adjustment_nv_fund",AF$3,$A166))</f>
        <v/>
      </c>
      <c r="AG166" s="13" t="str">
        <f>IF($A166="","",[1]!thsiFinD("ths_adjustment_nv_fund",AG$3,$A166))</f>
        <v/>
      </c>
      <c r="AH166" s="13" t="str">
        <f>IF($A166="","",[1]!thsiFinD("ths_adjustment_nv_fund",AH$3,$A166))</f>
        <v/>
      </c>
      <c r="AI166" s="13" t="str">
        <f>IF($A166="","",[1]!thsiFinD("ths_adjustment_nv_fund",AI$3,$A166))</f>
        <v/>
      </c>
      <c r="AJ166" s="13" t="str">
        <f>IF($A166="","",[1]!thsiFinD("ths_adjustment_nv_fund",AJ$3,$A166))</f>
        <v/>
      </c>
      <c r="AK166" s="13" t="str">
        <f>IF($A166="","",[1]!thsiFinD("ths_adjustment_nv_fund",AK$3,$A166))</f>
        <v/>
      </c>
      <c r="AL166" s="13" t="str">
        <f>IF($A166="","",[1]!thsiFinD("ths_adjustment_nv_fund",AL$3,$A166))</f>
        <v/>
      </c>
    </row>
    <row r="167" spans="1:38">
      <c r="A167" s="9"/>
      <c r="B167" s="13" t="str">
        <f>IF($A167="","",[1]!thsiFinD("ths_adjustment_nv_fund",B$3,$A167))</f>
        <v/>
      </c>
      <c r="C167" s="13" t="str">
        <f>IF($A167="","",[1]!thsiFinD("ths_adjustment_nv_fund",C$3,$A167))</f>
        <v/>
      </c>
      <c r="D167" s="13" t="str">
        <f>IF($A167="","",[1]!thsiFinD("ths_adjustment_nv_fund",D$3,$A167))</f>
        <v/>
      </c>
      <c r="E167" s="13" t="str">
        <f>IF($A167="","",[1]!thsiFinD("ths_adjustment_nv_fund",E$3,$A167))</f>
        <v/>
      </c>
      <c r="F167" s="13" t="str">
        <f>IF($A167="","",[1]!thsiFinD("ths_adjustment_nv_fund",F$3,$A167))</f>
        <v/>
      </c>
      <c r="G167" s="13" t="str">
        <f>IF($A167="","",[1]!thsiFinD("ths_adjustment_nv_fund",G$3,$A167))</f>
        <v/>
      </c>
      <c r="H167" s="13" t="str">
        <f>IF($A167="","",[1]!thsiFinD("ths_adjustment_nv_fund",H$3,$A167))</f>
        <v/>
      </c>
      <c r="I167" s="13" t="str">
        <f>IF($A167="","",[1]!thsiFinD("ths_adjustment_nv_fund",I$3,$A167))</f>
        <v/>
      </c>
      <c r="J167" s="13" t="str">
        <f>IF($A167="","",[1]!thsiFinD("ths_adjustment_nv_fund",J$3,$A167))</f>
        <v/>
      </c>
      <c r="K167" s="13" t="str">
        <f>IF($A167="","",[1]!thsiFinD("ths_adjustment_nv_fund",K$3,$A167))</f>
        <v/>
      </c>
      <c r="L167" s="13" t="str">
        <f>IF($A167="","",[1]!thsiFinD("ths_adjustment_nv_fund",L$3,$A167))</f>
        <v/>
      </c>
      <c r="M167" s="13" t="str">
        <f>IF($A167="","",[1]!thsiFinD("ths_adjustment_nv_fund",M$3,$A167))</f>
        <v/>
      </c>
      <c r="N167" s="13" t="str">
        <f>IF($A167="","",[1]!thsiFinD("ths_adjustment_nv_fund",N$3,$A167))</f>
        <v/>
      </c>
      <c r="O167" s="13" t="str">
        <f>IF($A167="","",[1]!thsiFinD("ths_adjustment_nv_fund",O$3,$A167))</f>
        <v/>
      </c>
      <c r="P167" s="13" t="str">
        <f>IF($A167="","",[1]!thsiFinD("ths_adjustment_nv_fund",P$3,$A167))</f>
        <v/>
      </c>
      <c r="Q167" s="13" t="str">
        <f>IF($A167="","",[1]!thsiFinD("ths_adjustment_nv_fund",Q$3,$A167))</f>
        <v/>
      </c>
      <c r="R167" s="13" t="str">
        <f>IF($A167="","",[1]!thsiFinD("ths_adjustment_nv_fund",R$3,$A167))</f>
        <v/>
      </c>
      <c r="S167" s="13" t="str">
        <f>IF($A167="","",[1]!thsiFinD("ths_adjustment_nv_fund",S$3,$A167))</f>
        <v/>
      </c>
      <c r="T167" s="13" t="str">
        <f>IF($A167="","",[1]!thsiFinD("ths_adjustment_nv_fund",T$3,$A167))</f>
        <v/>
      </c>
      <c r="U167" s="13" t="str">
        <f>IF($A167="","",[1]!thsiFinD("ths_adjustment_nv_fund",U$3,$A167))</f>
        <v/>
      </c>
      <c r="V167" s="13" t="str">
        <f>IF($A167="","",[1]!thsiFinD("ths_adjustment_nv_fund",V$3,$A167))</f>
        <v/>
      </c>
      <c r="W167" s="13" t="str">
        <f>IF($A167="","",[1]!thsiFinD("ths_adjustment_nv_fund",W$3,$A167))</f>
        <v/>
      </c>
      <c r="X167" s="13" t="str">
        <f>IF($A167="","",[1]!thsiFinD("ths_adjustment_nv_fund",X$3,$A167))</f>
        <v/>
      </c>
      <c r="Y167" s="13" t="str">
        <f>IF($A167="","",[1]!thsiFinD("ths_adjustment_nv_fund",Y$3,$A167))</f>
        <v/>
      </c>
      <c r="Z167" s="13" t="str">
        <f>IF($A167="","",[1]!thsiFinD("ths_adjustment_nv_fund",Z$3,$A167))</f>
        <v/>
      </c>
      <c r="AA167" s="13" t="str">
        <f>IF($A167="","",[1]!thsiFinD("ths_adjustment_nv_fund",AA$3,$A167))</f>
        <v/>
      </c>
      <c r="AB167" s="13" t="str">
        <f>IF($A167="","",[1]!thsiFinD("ths_adjustment_nv_fund",AB$3,$A167))</f>
        <v/>
      </c>
      <c r="AC167" s="13" t="str">
        <f>IF($A167="","",[1]!thsiFinD("ths_adjustment_nv_fund",AC$3,$A167))</f>
        <v/>
      </c>
      <c r="AD167" s="13" t="str">
        <f>IF($A167="","",[1]!thsiFinD("ths_adjustment_nv_fund",AD$3,$A167))</f>
        <v/>
      </c>
      <c r="AE167" s="13" t="str">
        <f>IF($A167="","",[1]!thsiFinD("ths_adjustment_nv_fund",AE$3,$A167))</f>
        <v/>
      </c>
      <c r="AF167" s="13" t="str">
        <f>IF($A167="","",[1]!thsiFinD("ths_adjustment_nv_fund",AF$3,$A167))</f>
        <v/>
      </c>
      <c r="AG167" s="13" t="str">
        <f>IF($A167="","",[1]!thsiFinD("ths_adjustment_nv_fund",AG$3,$A167))</f>
        <v/>
      </c>
      <c r="AH167" s="13" t="str">
        <f>IF($A167="","",[1]!thsiFinD("ths_adjustment_nv_fund",AH$3,$A167))</f>
        <v/>
      </c>
      <c r="AI167" s="13" t="str">
        <f>IF($A167="","",[1]!thsiFinD("ths_adjustment_nv_fund",AI$3,$A167))</f>
        <v/>
      </c>
      <c r="AJ167" s="13" t="str">
        <f>IF($A167="","",[1]!thsiFinD("ths_adjustment_nv_fund",AJ$3,$A167))</f>
        <v/>
      </c>
      <c r="AK167" s="13" t="str">
        <f>IF($A167="","",[1]!thsiFinD("ths_adjustment_nv_fund",AK$3,$A167))</f>
        <v/>
      </c>
      <c r="AL167" s="13" t="str">
        <f>IF($A167="","",[1]!thsiFinD("ths_adjustment_nv_fund",AL$3,$A167))</f>
        <v/>
      </c>
    </row>
    <row r="168" spans="1:38">
      <c r="A168" s="9"/>
      <c r="B168" s="13" t="str">
        <f>IF($A168="","",[1]!thsiFinD("ths_adjustment_nv_fund",B$3,$A168))</f>
        <v/>
      </c>
      <c r="C168" s="13" t="str">
        <f>IF($A168="","",[1]!thsiFinD("ths_adjustment_nv_fund",C$3,$A168))</f>
        <v/>
      </c>
      <c r="D168" s="13" t="str">
        <f>IF($A168="","",[1]!thsiFinD("ths_adjustment_nv_fund",D$3,$A168))</f>
        <v/>
      </c>
      <c r="E168" s="13" t="str">
        <f>IF($A168="","",[1]!thsiFinD("ths_adjustment_nv_fund",E$3,$A168))</f>
        <v/>
      </c>
      <c r="F168" s="13" t="str">
        <f>IF($A168="","",[1]!thsiFinD("ths_adjustment_nv_fund",F$3,$A168))</f>
        <v/>
      </c>
      <c r="G168" s="13" t="str">
        <f>IF($A168="","",[1]!thsiFinD("ths_adjustment_nv_fund",G$3,$A168))</f>
        <v/>
      </c>
      <c r="H168" s="13" t="str">
        <f>IF($A168="","",[1]!thsiFinD("ths_adjustment_nv_fund",H$3,$A168))</f>
        <v/>
      </c>
      <c r="I168" s="13" t="str">
        <f>IF($A168="","",[1]!thsiFinD("ths_adjustment_nv_fund",I$3,$A168))</f>
        <v/>
      </c>
      <c r="J168" s="13" t="str">
        <f>IF($A168="","",[1]!thsiFinD("ths_adjustment_nv_fund",J$3,$A168))</f>
        <v/>
      </c>
      <c r="K168" s="13" t="str">
        <f>IF($A168="","",[1]!thsiFinD("ths_adjustment_nv_fund",K$3,$A168))</f>
        <v/>
      </c>
      <c r="L168" s="13" t="str">
        <f>IF($A168="","",[1]!thsiFinD("ths_adjustment_nv_fund",L$3,$A168))</f>
        <v/>
      </c>
      <c r="M168" s="13" t="str">
        <f>IF($A168="","",[1]!thsiFinD("ths_adjustment_nv_fund",M$3,$A168))</f>
        <v/>
      </c>
      <c r="N168" s="13" t="str">
        <f>IF($A168="","",[1]!thsiFinD("ths_adjustment_nv_fund",N$3,$A168))</f>
        <v/>
      </c>
      <c r="O168" s="13" t="str">
        <f>IF($A168="","",[1]!thsiFinD("ths_adjustment_nv_fund",O$3,$A168))</f>
        <v/>
      </c>
      <c r="P168" s="13" t="str">
        <f>IF($A168="","",[1]!thsiFinD("ths_adjustment_nv_fund",P$3,$A168))</f>
        <v/>
      </c>
      <c r="Q168" s="13" t="str">
        <f>IF($A168="","",[1]!thsiFinD("ths_adjustment_nv_fund",Q$3,$A168))</f>
        <v/>
      </c>
      <c r="R168" s="13" t="str">
        <f>IF($A168="","",[1]!thsiFinD("ths_adjustment_nv_fund",R$3,$A168))</f>
        <v/>
      </c>
      <c r="S168" s="13" t="str">
        <f>IF($A168="","",[1]!thsiFinD("ths_adjustment_nv_fund",S$3,$A168))</f>
        <v/>
      </c>
      <c r="T168" s="13" t="str">
        <f>IF($A168="","",[1]!thsiFinD("ths_adjustment_nv_fund",T$3,$A168))</f>
        <v/>
      </c>
      <c r="U168" s="13" t="str">
        <f>IF($A168="","",[1]!thsiFinD("ths_adjustment_nv_fund",U$3,$A168))</f>
        <v/>
      </c>
      <c r="V168" s="13" t="str">
        <f>IF($A168="","",[1]!thsiFinD("ths_adjustment_nv_fund",V$3,$A168))</f>
        <v/>
      </c>
      <c r="W168" s="13" t="str">
        <f>IF($A168="","",[1]!thsiFinD("ths_adjustment_nv_fund",W$3,$A168))</f>
        <v/>
      </c>
      <c r="X168" s="13" t="str">
        <f>IF($A168="","",[1]!thsiFinD("ths_adjustment_nv_fund",X$3,$A168))</f>
        <v/>
      </c>
      <c r="Y168" s="13" t="str">
        <f>IF($A168="","",[1]!thsiFinD("ths_adjustment_nv_fund",Y$3,$A168))</f>
        <v/>
      </c>
      <c r="Z168" s="13" t="str">
        <f>IF($A168="","",[1]!thsiFinD("ths_adjustment_nv_fund",Z$3,$A168))</f>
        <v/>
      </c>
      <c r="AA168" s="13" t="str">
        <f>IF($A168="","",[1]!thsiFinD("ths_adjustment_nv_fund",AA$3,$A168))</f>
        <v/>
      </c>
      <c r="AB168" s="13" t="str">
        <f>IF($A168="","",[1]!thsiFinD("ths_adjustment_nv_fund",AB$3,$A168))</f>
        <v/>
      </c>
      <c r="AC168" s="13" t="str">
        <f>IF($A168="","",[1]!thsiFinD("ths_adjustment_nv_fund",AC$3,$A168))</f>
        <v/>
      </c>
      <c r="AD168" s="13" t="str">
        <f>IF($A168="","",[1]!thsiFinD("ths_adjustment_nv_fund",AD$3,$A168))</f>
        <v/>
      </c>
      <c r="AE168" s="13" t="str">
        <f>IF($A168="","",[1]!thsiFinD("ths_adjustment_nv_fund",AE$3,$A168))</f>
        <v/>
      </c>
      <c r="AF168" s="13" t="str">
        <f>IF($A168="","",[1]!thsiFinD("ths_adjustment_nv_fund",AF$3,$A168))</f>
        <v/>
      </c>
      <c r="AG168" s="13" t="str">
        <f>IF($A168="","",[1]!thsiFinD("ths_adjustment_nv_fund",AG$3,$A168))</f>
        <v/>
      </c>
      <c r="AH168" s="13" t="str">
        <f>IF($A168="","",[1]!thsiFinD("ths_adjustment_nv_fund",AH$3,$A168))</f>
        <v/>
      </c>
      <c r="AI168" s="13" t="str">
        <f>IF($A168="","",[1]!thsiFinD("ths_adjustment_nv_fund",AI$3,$A168))</f>
        <v/>
      </c>
      <c r="AJ168" s="13" t="str">
        <f>IF($A168="","",[1]!thsiFinD("ths_adjustment_nv_fund",AJ$3,$A168))</f>
        <v/>
      </c>
      <c r="AK168" s="13" t="str">
        <f>IF($A168="","",[1]!thsiFinD("ths_adjustment_nv_fund",AK$3,$A168))</f>
        <v/>
      </c>
      <c r="AL168" s="13" t="str">
        <f>IF($A168="","",[1]!thsiFinD("ths_adjustment_nv_fund",AL$3,$A168))</f>
        <v/>
      </c>
    </row>
    <row r="169" spans="1:38">
      <c r="A169" s="9"/>
      <c r="B169" s="13" t="str">
        <f>IF($A169="","",[1]!thsiFinD("ths_adjustment_nv_fund",B$3,$A169))</f>
        <v/>
      </c>
      <c r="C169" s="13" t="str">
        <f>IF($A169="","",[1]!thsiFinD("ths_adjustment_nv_fund",C$3,$A169))</f>
        <v/>
      </c>
      <c r="D169" s="13" t="str">
        <f>IF($A169="","",[1]!thsiFinD("ths_adjustment_nv_fund",D$3,$A169))</f>
        <v/>
      </c>
      <c r="E169" s="13" t="str">
        <f>IF($A169="","",[1]!thsiFinD("ths_adjustment_nv_fund",E$3,$A169))</f>
        <v/>
      </c>
      <c r="F169" s="13" t="str">
        <f>IF($A169="","",[1]!thsiFinD("ths_adjustment_nv_fund",F$3,$A169))</f>
        <v/>
      </c>
      <c r="G169" s="13" t="str">
        <f>IF($A169="","",[1]!thsiFinD("ths_adjustment_nv_fund",G$3,$A169))</f>
        <v/>
      </c>
      <c r="H169" s="13" t="str">
        <f>IF($A169="","",[1]!thsiFinD("ths_adjustment_nv_fund",H$3,$A169))</f>
        <v/>
      </c>
      <c r="I169" s="13" t="str">
        <f>IF($A169="","",[1]!thsiFinD("ths_adjustment_nv_fund",I$3,$A169))</f>
        <v/>
      </c>
      <c r="J169" s="13" t="str">
        <f>IF($A169="","",[1]!thsiFinD("ths_adjustment_nv_fund",J$3,$A169))</f>
        <v/>
      </c>
      <c r="K169" s="13" t="str">
        <f>IF($A169="","",[1]!thsiFinD("ths_adjustment_nv_fund",K$3,$A169))</f>
        <v/>
      </c>
      <c r="L169" s="13" t="str">
        <f>IF($A169="","",[1]!thsiFinD("ths_adjustment_nv_fund",L$3,$A169))</f>
        <v/>
      </c>
      <c r="M169" s="13" t="str">
        <f>IF($A169="","",[1]!thsiFinD("ths_adjustment_nv_fund",M$3,$A169))</f>
        <v/>
      </c>
      <c r="N169" s="13" t="str">
        <f>IF($A169="","",[1]!thsiFinD("ths_adjustment_nv_fund",N$3,$A169))</f>
        <v/>
      </c>
      <c r="O169" s="13" t="str">
        <f>IF($A169="","",[1]!thsiFinD("ths_adjustment_nv_fund",O$3,$A169))</f>
        <v/>
      </c>
      <c r="P169" s="13" t="str">
        <f>IF($A169="","",[1]!thsiFinD("ths_adjustment_nv_fund",P$3,$A169))</f>
        <v/>
      </c>
      <c r="Q169" s="13" t="str">
        <f>IF($A169="","",[1]!thsiFinD("ths_adjustment_nv_fund",Q$3,$A169))</f>
        <v/>
      </c>
      <c r="R169" s="13" t="str">
        <f>IF($A169="","",[1]!thsiFinD("ths_adjustment_nv_fund",R$3,$A169))</f>
        <v/>
      </c>
      <c r="S169" s="13" t="str">
        <f>IF($A169="","",[1]!thsiFinD("ths_adjustment_nv_fund",S$3,$A169))</f>
        <v/>
      </c>
      <c r="T169" s="13" t="str">
        <f>IF($A169="","",[1]!thsiFinD("ths_adjustment_nv_fund",T$3,$A169))</f>
        <v/>
      </c>
      <c r="U169" s="13" t="str">
        <f>IF($A169="","",[1]!thsiFinD("ths_adjustment_nv_fund",U$3,$A169))</f>
        <v/>
      </c>
      <c r="V169" s="13" t="str">
        <f>IF($A169="","",[1]!thsiFinD("ths_adjustment_nv_fund",V$3,$A169))</f>
        <v/>
      </c>
      <c r="W169" s="13" t="str">
        <f>IF($A169="","",[1]!thsiFinD("ths_adjustment_nv_fund",W$3,$A169))</f>
        <v/>
      </c>
      <c r="X169" s="13" t="str">
        <f>IF($A169="","",[1]!thsiFinD("ths_adjustment_nv_fund",X$3,$A169))</f>
        <v/>
      </c>
      <c r="Y169" s="13" t="str">
        <f>IF($A169="","",[1]!thsiFinD("ths_adjustment_nv_fund",Y$3,$A169))</f>
        <v/>
      </c>
      <c r="Z169" s="13" t="str">
        <f>IF($A169="","",[1]!thsiFinD("ths_adjustment_nv_fund",Z$3,$A169))</f>
        <v/>
      </c>
      <c r="AA169" s="13" t="str">
        <f>IF($A169="","",[1]!thsiFinD("ths_adjustment_nv_fund",AA$3,$A169))</f>
        <v/>
      </c>
      <c r="AB169" s="13" t="str">
        <f>IF($A169="","",[1]!thsiFinD("ths_adjustment_nv_fund",AB$3,$A169))</f>
        <v/>
      </c>
      <c r="AC169" s="13" t="str">
        <f>IF($A169="","",[1]!thsiFinD("ths_adjustment_nv_fund",AC$3,$A169))</f>
        <v/>
      </c>
      <c r="AD169" s="13" t="str">
        <f>IF($A169="","",[1]!thsiFinD("ths_adjustment_nv_fund",AD$3,$A169))</f>
        <v/>
      </c>
      <c r="AE169" s="13" t="str">
        <f>IF($A169="","",[1]!thsiFinD("ths_adjustment_nv_fund",AE$3,$A169))</f>
        <v/>
      </c>
      <c r="AF169" s="13" t="str">
        <f>IF($A169="","",[1]!thsiFinD("ths_adjustment_nv_fund",AF$3,$A169))</f>
        <v/>
      </c>
      <c r="AG169" s="13" t="str">
        <f>IF($A169="","",[1]!thsiFinD("ths_adjustment_nv_fund",AG$3,$A169))</f>
        <v/>
      </c>
      <c r="AH169" s="13" t="str">
        <f>IF($A169="","",[1]!thsiFinD("ths_adjustment_nv_fund",AH$3,$A169))</f>
        <v/>
      </c>
      <c r="AI169" s="13" t="str">
        <f>IF($A169="","",[1]!thsiFinD("ths_adjustment_nv_fund",AI$3,$A169))</f>
        <v/>
      </c>
      <c r="AJ169" s="13" t="str">
        <f>IF($A169="","",[1]!thsiFinD("ths_adjustment_nv_fund",AJ$3,$A169))</f>
        <v/>
      </c>
      <c r="AK169" s="13" t="str">
        <f>IF($A169="","",[1]!thsiFinD("ths_adjustment_nv_fund",AK$3,$A169))</f>
        <v/>
      </c>
      <c r="AL169" s="13" t="str">
        <f>IF($A169="","",[1]!thsiFinD("ths_adjustment_nv_fund",AL$3,$A169))</f>
        <v/>
      </c>
    </row>
    <row r="170" spans="1:38">
      <c r="A170" s="9"/>
      <c r="B170" s="13" t="str">
        <f>IF($A170="","",[1]!thsiFinD("ths_adjustment_nv_fund",B$3,$A170))</f>
        <v/>
      </c>
      <c r="C170" s="13" t="str">
        <f>IF($A170="","",[1]!thsiFinD("ths_adjustment_nv_fund",C$3,$A170))</f>
        <v/>
      </c>
      <c r="D170" s="13" t="str">
        <f>IF($A170="","",[1]!thsiFinD("ths_adjustment_nv_fund",D$3,$A170))</f>
        <v/>
      </c>
      <c r="E170" s="13" t="str">
        <f>IF($A170="","",[1]!thsiFinD("ths_adjustment_nv_fund",E$3,$A170))</f>
        <v/>
      </c>
      <c r="F170" s="13" t="str">
        <f>IF($A170="","",[1]!thsiFinD("ths_adjustment_nv_fund",F$3,$A170))</f>
        <v/>
      </c>
      <c r="G170" s="13" t="str">
        <f>IF($A170="","",[1]!thsiFinD("ths_adjustment_nv_fund",G$3,$A170))</f>
        <v/>
      </c>
      <c r="H170" s="13" t="str">
        <f>IF($A170="","",[1]!thsiFinD("ths_adjustment_nv_fund",H$3,$A170))</f>
        <v/>
      </c>
      <c r="I170" s="13" t="str">
        <f>IF($A170="","",[1]!thsiFinD("ths_adjustment_nv_fund",I$3,$A170))</f>
        <v/>
      </c>
      <c r="J170" s="13" t="str">
        <f>IF($A170="","",[1]!thsiFinD("ths_adjustment_nv_fund",J$3,$A170))</f>
        <v/>
      </c>
      <c r="K170" s="13" t="str">
        <f>IF($A170="","",[1]!thsiFinD("ths_adjustment_nv_fund",K$3,$A170))</f>
        <v/>
      </c>
      <c r="L170" s="13" t="str">
        <f>IF($A170="","",[1]!thsiFinD("ths_adjustment_nv_fund",L$3,$A170))</f>
        <v/>
      </c>
      <c r="M170" s="13" t="str">
        <f>IF($A170="","",[1]!thsiFinD("ths_adjustment_nv_fund",M$3,$A170))</f>
        <v/>
      </c>
      <c r="N170" s="13" t="str">
        <f>IF($A170="","",[1]!thsiFinD("ths_adjustment_nv_fund",N$3,$A170))</f>
        <v/>
      </c>
      <c r="O170" s="13" t="str">
        <f>IF($A170="","",[1]!thsiFinD("ths_adjustment_nv_fund",O$3,$A170))</f>
        <v/>
      </c>
      <c r="P170" s="13" t="str">
        <f>IF($A170="","",[1]!thsiFinD("ths_adjustment_nv_fund",P$3,$A170))</f>
        <v/>
      </c>
      <c r="Q170" s="13" t="str">
        <f>IF($A170="","",[1]!thsiFinD("ths_adjustment_nv_fund",Q$3,$A170))</f>
        <v/>
      </c>
      <c r="R170" s="13" t="str">
        <f>IF($A170="","",[1]!thsiFinD("ths_adjustment_nv_fund",R$3,$A170))</f>
        <v/>
      </c>
      <c r="S170" s="13" t="str">
        <f>IF($A170="","",[1]!thsiFinD("ths_adjustment_nv_fund",S$3,$A170))</f>
        <v/>
      </c>
      <c r="T170" s="13" t="str">
        <f>IF($A170="","",[1]!thsiFinD("ths_adjustment_nv_fund",T$3,$A170))</f>
        <v/>
      </c>
      <c r="U170" s="13" t="str">
        <f>IF($A170="","",[1]!thsiFinD("ths_adjustment_nv_fund",U$3,$A170))</f>
        <v/>
      </c>
      <c r="V170" s="13" t="str">
        <f>IF($A170="","",[1]!thsiFinD("ths_adjustment_nv_fund",V$3,$A170))</f>
        <v/>
      </c>
      <c r="W170" s="13" t="str">
        <f>IF($A170="","",[1]!thsiFinD("ths_adjustment_nv_fund",W$3,$A170))</f>
        <v/>
      </c>
      <c r="X170" s="13" t="str">
        <f>IF($A170="","",[1]!thsiFinD("ths_adjustment_nv_fund",X$3,$A170))</f>
        <v/>
      </c>
      <c r="Y170" s="13" t="str">
        <f>IF($A170="","",[1]!thsiFinD("ths_adjustment_nv_fund",Y$3,$A170))</f>
        <v/>
      </c>
      <c r="Z170" s="13" t="str">
        <f>IF($A170="","",[1]!thsiFinD("ths_adjustment_nv_fund",Z$3,$A170))</f>
        <v/>
      </c>
      <c r="AA170" s="13" t="str">
        <f>IF($A170="","",[1]!thsiFinD("ths_adjustment_nv_fund",AA$3,$A170))</f>
        <v/>
      </c>
      <c r="AB170" s="13" t="str">
        <f>IF($A170="","",[1]!thsiFinD("ths_adjustment_nv_fund",AB$3,$A170))</f>
        <v/>
      </c>
      <c r="AC170" s="13" t="str">
        <f>IF($A170="","",[1]!thsiFinD("ths_adjustment_nv_fund",AC$3,$A170))</f>
        <v/>
      </c>
      <c r="AD170" s="13" t="str">
        <f>IF($A170="","",[1]!thsiFinD("ths_adjustment_nv_fund",AD$3,$A170))</f>
        <v/>
      </c>
      <c r="AE170" s="13" t="str">
        <f>IF($A170="","",[1]!thsiFinD("ths_adjustment_nv_fund",AE$3,$A170))</f>
        <v/>
      </c>
      <c r="AF170" s="13" t="str">
        <f>IF($A170="","",[1]!thsiFinD("ths_adjustment_nv_fund",AF$3,$A170))</f>
        <v/>
      </c>
      <c r="AG170" s="13" t="str">
        <f>IF($A170="","",[1]!thsiFinD("ths_adjustment_nv_fund",AG$3,$A170))</f>
        <v/>
      </c>
      <c r="AH170" s="13" t="str">
        <f>IF($A170="","",[1]!thsiFinD("ths_adjustment_nv_fund",AH$3,$A170))</f>
        <v/>
      </c>
      <c r="AI170" s="13" t="str">
        <f>IF($A170="","",[1]!thsiFinD("ths_adjustment_nv_fund",AI$3,$A170))</f>
        <v/>
      </c>
      <c r="AJ170" s="13" t="str">
        <f>IF($A170="","",[1]!thsiFinD("ths_adjustment_nv_fund",AJ$3,$A170))</f>
        <v/>
      </c>
      <c r="AK170" s="13" t="str">
        <f>IF($A170="","",[1]!thsiFinD("ths_adjustment_nv_fund",AK$3,$A170))</f>
        <v/>
      </c>
      <c r="AL170" s="13" t="str">
        <f>IF($A170="","",[1]!thsiFinD("ths_adjustment_nv_fund",AL$3,$A170))</f>
        <v/>
      </c>
    </row>
    <row r="171" spans="1:38">
      <c r="A171" s="9"/>
      <c r="B171" s="13" t="str">
        <f>IF($A171="","",[1]!thsiFinD("ths_adjustment_nv_fund",B$3,$A171))</f>
        <v/>
      </c>
      <c r="C171" s="13" t="str">
        <f>IF($A171="","",[1]!thsiFinD("ths_adjustment_nv_fund",C$3,$A171))</f>
        <v/>
      </c>
      <c r="D171" s="13" t="str">
        <f>IF($A171="","",[1]!thsiFinD("ths_adjustment_nv_fund",D$3,$A171))</f>
        <v/>
      </c>
      <c r="E171" s="13" t="str">
        <f>IF($A171="","",[1]!thsiFinD("ths_adjustment_nv_fund",E$3,$A171))</f>
        <v/>
      </c>
      <c r="F171" s="13" t="str">
        <f>IF($A171="","",[1]!thsiFinD("ths_adjustment_nv_fund",F$3,$A171))</f>
        <v/>
      </c>
      <c r="G171" s="13" t="str">
        <f>IF($A171="","",[1]!thsiFinD("ths_adjustment_nv_fund",G$3,$A171))</f>
        <v/>
      </c>
      <c r="H171" s="13" t="str">
        <f>IF($A171="","",[1]!thsiFinD("ths_adjustment_nv_fund",H$3,$A171))</f>
        <v/>
      </c>
      <c r="I171" s="13" t="str">
        <f>IF($A171="","",[1]!thsiFinD("ths_adjustment_nv_fund",I$3,$A171))</f>
        <v/>
      </c>
      <c r="J171" s="13" t="str">
        <f>IF($A171="","",[1]!thsiFinD("ths_adjustment_nv_fund",J$3,$A171))</f>
        <v/>
      </c>
      <c r="K171" s="13" t="str">
        <f>IF($A171="","",[1]!thsiFinD("ths_adjustment_nv_fund",K$3,$A171))</f>
        <v/>
      </c>
      <c r="L171" s="13" t="str">
        <f>IF($A171="","",[1]!thsiFinD("ths_adjustment_nv_fund",L$3,$A171))</f>
        <v/>
      </c>
      <c r="M171" s="13" t="str">
        <f>IF($A171="","",[1]!thsiFinD("ths_adjustment_nv_fund",M$3,$A171))</f>
        <v/>
      </c>
      <c r="N171" s="13" t="str">
        <f>IF($A171="","",[1]!thsiFinD("ths_adjustment_nv_fund",N$3,$A171))</f>
        <v/>
      </c>
      <c r="O171" s="13" t="str">
        <f>IF($A171="","",[1]!thsiFinD("ths_adjustment_nv_fund",O$3,$A171))</f>
        <v/>
      </c>
      <c r="P171" s="13" t="str">
        <f>IF($A171="","",[1]!thsiFinD("ths_adjustment_nv_fund",P$3,$A171))</f>
        <v/>
      </c>
      <c r="Q171" s="13" t="str">
        <f>IF($A171="","",[1]!thsiFinD("ths_adjustment_nv_fund",Q$3,$A171))</f>
        <v/>
      </c>
      <c r="R171" s="13" t="str">
        <f>IF($A171="","",[1]!thsiFinD("ths_adjustment_nv_fund",R$3,$A171))</f>
        <v/>
      </c>
      <c r="S171" s="13" t="str">
        <f>IF($A171="","",[1]!thsiFinD("ths_adjustment_nv_fund",S$3,$A171))</f>
        <v/>
      </c>
      <c r="T171" s="13" t="str">
        <f>IF($A171="","",[1]!thsiFinD("ths_adjustment_nv_fund",T$3,$A171))</f>
        <v/>
      </c>
      <c r="U171" s="13" t="str">
        <f>IF($A171="","",[1]!thsiFinD("ths_adjustment_nv_fund",U$3,$A171))</f>
        <v/>
      </c>
      <c r="V171" s="13" t="str">
        <f>IF($A171="","",[1]!thsiFinD("ths_adjustment_nv_fund",V$3,$A171))</f>
        <v/>
      </c>
      <c r="W171" s="13" t="str">
        <f>IF($A171="","",[1]!thsiFinD("ths_adjustment_nv_fund",W$3,$A171))</f>
        <v/>
      </c>
      <c r="X171" s="13" t="str">
        <f>IF($A171="","",[1]!thsiFinD("ths_adjustment_nv_fund",X$3,$A171))</f>
        <v/>
      </c>
      <c r="Y171" s="13" t="str">
        <f>IF($A171="","",[1]!thsiFinD("ths_adjustment_nv_fund",Y$3,$A171))</f>
        <v/>
      </c>
      <c r="Z171" s="13" t="str">
        <f>IF($A171="","",[1]!thsiFinD("ths_adjustment_nv_fund",Z$3,$A171))</f>
        <v/>
      </c>
      <c r="AA171" s="13" t="str">
        <f>IF($A171="","",[1]!thsiFinD("ths_adjustment_nv_fund",AA$3,$A171))</f>
        <v/>
      </c>
      <c r="AB171" s="13" t="str">
        <f>IF($A171="","",[1]!thsiFinD("ths_adjustment_nv_fund",AB$3,$A171))</f>
        <v/>
      </c>
      <c r="AC171" s="13" t="str">
        <f>IF($A171="","",[1]!thsiFinD("ths_adjustment_nv_fund",AC$3,$A171))</f>
        <v/>
      </c>
      <c r="AD171" s="13" t="str">
        <f>IF($A171="","",[1]!thsiFinD("ths_adjustment_nv_fund",AD$3,$A171))</f>
        <v/>
      </c>
      <c r="AE171" s="13" t="str">
        <f>IF($A171="","",[1]!thsiFinD("ths_adjustment_nv_fund",AE$3,$A171))</f>
        <v/>
      </c>
      <c r="AF171" s="13" t="str">
        <f>IF($A171="","",[1]!thsiFinD("ths_adjustment_nv_fund",AF$3,$A171))</f>
        <v/>
      </c>
      <c r="AG171" s="13" t="str">
        <f>IF($A171="","",[1]!thsiFinD("ths_adjustment_nv_fund",AG$3,$A171))</f>
        <v/>
      </c>
      <c r="AH171" s="13" t="str">
        <f>IF($A171="","",[1]!thsiFinD("ths_adjustment_nv_fund",AH$3,$A171))</f>
        <v/>
      </c>
      <c r="AI171" s="13" t="str">
        <f>IF($A171="","",[1]!thsiFinD("ths_adjustment_nv_fund",AI$3,$A171))</f>
        <v/>
      </c>
      <c r="AJ171" s="13" t="str">
        <f>IF($A171="","",[1]!thsiFinD("ths_adjustment_nv_fund",AJ$3,$A171))</f>
        <v/>
      </c>
      <c r="AK171" s="13" t="str">
        <f>IF($A171="","",[1]!thsiFinD("ths_adjustment_nv_fund",AK$3,$A171))</f>
        <v/>
      </c>
      <c r="AL171" s="13" t="str">
        <f>IF($A171="","",[1]!thsiFinD("ths_adjustment_nv_fund",AL$3,$A171))</f>
        <v/>
      </c>
    </row>
    <row r="172" spans="1:38">
      <c r="A172" s="9"/>
      <c r="B172" s="13" t="str">
        <f>IF($A172="","",[1]!thsiFinD("ths_adjustment_nv_fund",B$3,$A172))</f>
        <v/>
      </c>
      <c r="C172" s="13" t="str">
        <f>IF($A172="","",[1]!thsiFinD("ths_adjustment_nv_fund",C$3,$A172))</f>
        <v/>
      </c>
      <c r="D172" s="13" t="str">
        <f>IF($A172="","",[1]!thsiFinD("ths_adjustment_nv_fund",D$3,$A172))</f>
        <v/>
      </c>
      <c r="E172" s="13" t="str">
        <f>IF($A172="","",[1]!thsiFinD("ths_adjustment_nv_fund",E$3,$A172))</f>
        <v/>
      </c>
      <c r="F172" s="13" t="str">
        <f>IF($A172="","",[1]!thsiFinD("ths_adjustment_nv_fund",F$3,$A172))</f>
        <v/>
      </c>
      <c r="G172" s="13" t="str">
        <f>IF($A172="","",[1]!thsiFinD("ths_adjustment_nv_fund",G$3,$A172))</f>
        <v/>
      </c>
      <c r="H172" s="13" t="str">
        <f>IF($A172="","",[1]!thsiFinD("ths_adjustment_nv_fund",H$3,$A172))</f>
        <v/>
      </c>
      <c r="I172" s="13" t="str">
        <f>IF($A172="","",[1]!thsiFinD("ths_adjustment_nv_fund",I$3,$A172))</f>
        <v/>
      </c>
      <c r="J172" s="13" t="str">
        <f>IF($A172="","",[1]!thsiFinD("ths_adjustment_nv_fund",J$3,$A172))</f>
        <v/>
      </c>
      <c r="K172" s="13" t="str">
        <f>IF($A172="","",[1]!thsiFinD("ths_adjustment_nv_fund",K$3,$A172))</f>
        <v/>
      </c>
      <c r="L172" s="13" t="str">
        <f>IF($A172="","",[1]!thsiFinD("ths_adjustment_nv_fund",L$3,$A172))</f>
        <v/>
      </c>
      <c r="M172" s="13" t="str">
        <f>IF($A172="","",[1]!thsiFinD("ths_adjustment_nv_fund",M$3,$A172))</f>
        <v/>
      </c>
      <c r="N172" s="13" t="str">
        <f>IF($A172="","",[1]!thsiFinD("ths_adjustment_nv_fund",N$3,$A172))</f>
        <v/>
      </c>
      <c r="O172" s="13" t="str">
        <f>IF($A172="","",[1]!thsiFinD("ths_adjustment_nv_fund",O$3,$A172))</f>
        <v/>
      </c>
      <c r="P172" s="13" t="str">
        <f>IF($A172="","",[1]!thsiFinD("ths_adjustment_nv_fund",P$3,$A172))</f>
        <v/>
      </c>
      <c r="Q172" s="13" t="str">
        <f>IF($A172="","",[1]!thsiFinD("ths_adjustment_nv_fund",Q$3,$A172))</f>
        <v/>
      </c>
      <c r="R172" s="13" t="str">
        <f>IF($A172="","",[1]!thsiFinD("ths_adjustment_nv_fund",R$3,$A172))</f>
        <v/>
      </c>
      <c r="S172" s="13" t="str">
        <f>IF($A172="","",[1]!thsiFinD("ths_adjustment_nv_fund",S$3,$A172))</f>
        <v/>
      </c>
      <c r="T172" s="13" t="str">
        <f>IF($A172="","",[1]!thsiFinD("ths_adjustment_nv_fund",T$3,$A172))</f>
        <v/>
      </c>
      <c r="U172" s="13" t="str">
        <f>IF($A172="","",[1]!thsiFinD("ths_adjustment_nv_fund",U$3,$A172))</f>
        <v/>
      </c>
      <c r="V172" s="13" t="str">
        <f>IF($A172="","",[1]!thsiFinD("ths_adjustment_nv_fund",V$3,$A172))</f>
        <v/>
      </c>
      <c r="W172" s="13" t="str">
        <f>IF($A172="","",[1]!thsiFinD("ths_adjustment_nv_fund",W$3,$A172))</f>
        <v/>
      </c>
      <c r="X172" s="13" t="str">
        <f>IF($A172="","",[1]!thsiFinD("ths_adjustment_nv_fund",X$3,$A172))</f>
        <v/>
      </c>
      <c r="Y172" s="13" t="str">
        <f>IF($A172="","",[1]!thsiFinD("ths_adjustment_nv_fund",Y$3,$A172))</f>
        <v/>
      </c>
      <c r="Z172" s="13" t="str">
        <f>IF($A172="","",[1]!thsiFinD("ths_adjustment_nv_fund",Z$3,$A172))</f>
        <v/>
      </c>
      <c r="AA172" s="13" t="str">
        <f>IF($A172="","",[1]!thsiFinD("ths_adjustment_nv_fund",AA$3,$A172))</f>
        <v/>
      </c>
      <c r="AB172" s="13" t="str">
        <f>IF($A172="","",[1]!thsiFinD("ths_adjustment_nv_fund",AB$3,$A172))</f>
        <v/>
      </c>
      <c r="AC172" s="13" t="str">
        <f>IF($A172="","",[1]!thsiFinD("ths_adjustment_nv_fund",AC$3,$A172))</f>
        <v/>
      </c>
      <c r="AD172" s="13" t="str">
        <f>IF($A172="","",[1]!thsiFinD("ths_adjustment_nv_fund",AD$3,$A172))</f>
        <v/>
      </c>
      <c r="AE172" s="13" t="str">
        <f>IF($A172="","",[1]!thsiFinD("ths_adjustment_nv_fund",AE$3,$A172))</f>
        <v/>
      </c>
      <c r="AF172" s="13" t="str">
        <f>IF($A172="","",[1]!thsiFinD("ths_adjustment_nv_fund",AF$3,$A172))</f>
        <v/>
      </c>
      <c r="AG172" s="13" t="str">
        <f>IF($A172="","",[1]!thsiFinD("ths_adjustment_nv_fund",AG$3,$A172))</f>
        <v/>
      </c>
      <c r="AH172" s="13" t="str">
        <f>IF($A172="","",[1]!thsiFinD("ths_adjustment_nv_fund",AH$3,$A172))</f>
        <v/>
      </c>
      <c r="AI172" s="13" t="str">
        <f>IF($A172="","",[1]!thsiFinD("ths_adjustment_nv_fund",AI$3,$A172))</f>
        <v/>
      </c>
      <c r="AJ172" s="13" t="str">
        <f>IF($A172="","",[1]!thsiFinD("ths_adjustment_nv_fund",AJ$3,$A172))</f>
        <v/>
      </c>
      <c r="AK172" s="13" t="str">
        <f>IF($A172="","",[1]!thsiFinD("ths_adjustment_nv_fund",AK$3,$A172))</f>
        <v/>
      </c>
      <c r="AL172" s="13" t="str">
        <f>IF($A172="","",[1]!thsiFinD("ths_adjustment_nv_fund",AL$3,$A172))</f>
        <v/>
      </c>
    </row>
    <row r="173" spans="1:38">
      <c r="A173" s="9"/>
      <c r="B173" s="13" t="str">
        <f>IF($A173="","",[1]!thsiFinD("ths_adjustment_nv_fund",B$3,$A173))</f>
        <v/>
      </c>
      <c r="C173" s="13" t="str">
        <f>IF($A173="","",[1]!thsiFinD("ths_adjustment_nv_fund",C$3,$A173))</f>
        <v/>
      </c>
      <c r="D173" s="13" t="str">
        <f>IF($A173="","",[1]!thsiFinD("ths_adjustment_nv_fund",D$3,$A173))</f>
        <v/>
      </c>
      <c r="E173" s="13" t="str">
        <f>IF($A173="","",[1]!thsiFinD("ths_adjustment_nv_fund",E$3,$A173))</f>
        <v/>
      </c>
      <c r="F173" s="13" t="str">
        <f>IF($A173="","",[1]!thsiFinD("ths_adjustment_nv_fund",F$3,$A173))</f>
        <v/>
      </c>
      <c r="G173" s="13" t="str">
        <f>IF($A173="","",[1]!thsiFinD("ths_adjustment_nv_fund",G$3,$A173))</f>
        <v/>
      </c>
      <c r="H173" s="13" t="str">
        <f>IF($A173="","",[1]!thsiFinD("ths_adjustment_nv_fund",H$3,$A173))</f>
        <v/>
      </c>
      <c r="I173" s="13" t="str">
        <f>IF($A173="","",[1]!thsiFinD("ths_adjustment_nv_fund",I$3,$A173))</f>
        <v/>
      </c>
      <c r="J173" s="13" t="str">
        <f>IF($A173="","",[1]!thsiFinD("ths_adjustment_nv_fund",J$3,$A173))</f>
        <v/>
      </c>
      <c r="K173" s="13" t="str">
        <f>IF($A173="","",[1]!thsiFinD("ths_adjustment_nv_fund",K$3,$A173))</f>
        <v/>
      </c>
      <c r="L173" s="13" t="str">
        <f>IF($A173="","",[1]!thsiFinD("ths_adjustment_nv_fund",L$3,$A173))</f>
        <v/>
      </c>
      <c r="M173" s="13" t="str">
        <f>IF($A173="","",[1]!thsiFinD("ths_adjustment_nv_fund",M$3,$A173))</f>
        <v/>
      </c>
      <c r="N173" s="13" t="str">
        <f>IF($A173="","",[1]!thsiFinD("ths_adjustment_nv_fund",N$3,$A173))</f>
        <v/>
      </c>
      <c r="O173" s="13" t="str">
        <f>IF($A173="","",[1]!thsiFinD("ths_adjustment_nv_fund",O$3,$A173))</f>
        <v/>
      </c>
      <c r="P173" s="13" t="str">
        <f>IF($A173="","",[1]!thsiFinD("ths_adjustment_nv_fund",P$3,$A173))</f>
        <v/>
      </c>
      <c r="Q173" s="13" t="str">
        <f>IF($A173="","",[1]!thsiFinD("ths_adjustment_nv_fund",Q$3,$A173))</f>
        <v/>
      </c>
      <c r="R173" s="13" t="str">
        <f>IF($A173="","",[1]!thsiFinD("ths_adjustment_nv_fund",R$3,$A173))</f>
        <v/>
      </c>
      <c r="S173" s="13" t="str">
        <f>IF($A173="","",[1]!thsiFinD("ths_adjustment_nv_fund",S$3,$A173))</f>
        <v/>
      </c>
      <c r="T173" s="13" t="str">
        <f>IF($A173="","",[1]!thsiFinD("ths_adjustment_nv_fund",T$3,$A173))</f>
        <v/>
      </c>
      <c r="U173" s="13" t="str">
        <f>IF($A173="","",[1]!thsiFinD("ths_adjustment_nv_fund",U$3,$A173))</f>
        <v/>
      </c>
      <c r="V173" s="13" t="str">
        <f>IF($A173="","",[1]!thsiFinD("ths_adjustment_nv_fund",V$3,$A173))</f>
        <v/>
      </c>
      <c r="W173" s="13" t="str">
        <f>IF($A173="","",[1]!thsiFinD("ths_adjustment_nv_fund",W$3,$A173))</f>
        <v/>
      </c>
      <c r="X173" s="13" t="str">
        <f>IF($A173="","",[1]!thsiFinD("ths_adjustment_nv_fund",X$3,$A173))</f>
        <v/>
      </c>
      <c r="Y173" s="13" t="str">
        <f>IF($A173="","",[1]!thsiFinD("ths_adjustment_nv_fund",Y$3,$A173))</f>
        <v/>
      </c>
      <c r="Z173" s="13" t="str">
        <f>IF($A173="","",[1]!thsiFinD("ths_adjustment_nv_fund",Z$3,$A173))</f>
        <v/>
      </c>
      <c r="AA173" s="13" t="str">
        <f>IF($A173="","",[1]!thsiFinD("ths_adjustment_nv_fund",AA$3,$A173))</f>
        <v/>
      </c>
      <c r="AB173" s="13" t="str">
        <f>IF($A173="","",[1]!thsiFinD("ths_adjustment_nv_fund",AB$3,$A173))</f>
        <v/>
      </c>
      <c r="AC173" s="13" t="str">
        <f>IF($A173="","",[1]!thsiFinD("ths_adjustment_nv_fund",AC$3,$A173))</f>
        <v/>
      </c>
      <c r="AD173" s="13" t="str">
        <f>IF($A173="","",[1]!thsiFinD("ths_adjustment_nv_fund",AD$3,$A173))</f>
        <v/>
      </c>
      <c r="AE173" s="13" t="str">
        <f>IF($A173="","",[1]!thsiFinD("ths_adjustment_nv_fund",AE$3,$A173))</f>
        <v/>
      </c>
      <c r="AF173" s="13" t="str">
        <f>IF($A173="","",[1]!thsiFinD("ths_adjustment_nv_fund",AF$3,$A173))</f>
        <v/>
      </c>
      <c r="AG173" s="13" t="str">
        <f>IF($A173="","",[1]!thsiFinD("ths_adjustment_nv_fund",AG$3,$A173))</f>
        <v/>
      </c>
      <c r="AH173" s="13" t="str">
        <f>IF($A173="","",[1]!thsiFinD("ths_adjustment_nv_fund",AH$3,$A173))</f>
        <v/>
      </c>
      <c r="AI173" s="13" t="str">
        <f>IF($A173="","",[1]!thsiFinD("ths_adjustment_nv_fund",AI$3,$A173))</f>
        <v/>
      </c>
      <c r="AJ173" s="13" t="str">
        <f>IF($A173="","",[1]!thsiFinD("ths_adjustment_nv_fund",AJ$3,$A173))</f>
        <v/>
      </c>
      <c r="AK173" s="13" t="str">
        <f>IF($A173="","",[1]!thsiFinD("ths_adjustment_nv_fund",AK$3,$A173))</f>
        <v/>
      </c>
      <c r="AL173" s="13" t="str">
        <f>IF($A173="","",[1]!thsiFinD("ths_adjustment_nv_fund",AL$3,$A173))</f>
        <v/>
      </c>
    </row>
    <row r="174" spans="1:38">
      <c r="A174" s="9"/>
      <c r="B174" s="13" t="str">
        <f>IF($A174="","",[1]!thsiFinD("ths_adjustment_nv_fund",B$3,$A174))</f>
        <v/>
      </c>
      <c r="C174" s="13" t="str">
        <f>IF($A174="","",[1]!thsiFinD("ths_adjustment_nv_fund",C$3,$A174))</f>
        <v/>
      </c>
      <c r="D174" s="13" t="str">
        <f>IF($A174="","",[1]!thsiFinD("ths_adjustment_nv_fund",D$3,$A174))</f>
        <v/>
      </c>
      <c r="E174" s="13" t="str">
        <f>IF($A174="","",[1]!thsiFinD("ths_adjustment_nv_fund",E$3,$A174))</f>
        <v/>
      </c>
      <c r="F174" s="13" t="str">
        <f>IF($A174="","",[1]!thsiFinD("ths_adjustment_nv_fund",F$3,$A174))</f>
        <v/>
      </c>
      <c r="G174" s="13" t="str">
        <f>IF($A174="","",[1]!thsiFinD("ths_adjustment_nv_fund",G$3,$A174))</f>
        <v/>
      </c>
      <c r="H174" s="13" t="str">
        <f>IF($A174="","",[1]!thsiFinD("ths_adjustment_nv_fund",H$3,$A174))</f>
        <v/>
      </c>
      <c r="I174" s="13" t="str">
        <f>IF($A174="","",[1]!thsiFinD("ths_adjustment_nv_fund",I$3,$A174))</f>
        <v/>
      </c>
      <c r="J174" s="13" t="str">
        <f>IF($A174="","",[1]!thsiFinD("ths_adjustment_nv_fund",J$3,$A174))</f>
        <v/>
      </c>
      <c r="K174" s="13" t="str">
        <f>IF($A174="","",[1]!thsiFinD("ths_adjustment_nv_fund",K$3,$A174))</f>
        <v/>
      </c>
      <c r="L174" s="13" t="str">
        <f>IF($A174="","",[1]!thsiFinD("ths_adjustment_nv_fund",L$3,$A174))</f>
        <v/>
      </c>
      <c r="M174" s="13" t="str">
        <f>IF($A174="","",[1]!thsiFinD("ths_adjustment_nv_fund",M$3,$A174))</f>
        <v/>
      </c>
      <c r="N174" s="13" t="str">
        <f>IF($A174="","",[1]!thsiFinD("ths_adjustment_nv_fund",N$3,$A174))</f>
        <v/>
      </c>
      <c r="O174" s="13" t="str">
        <f>IF($A174="","",[1]!thsiFinD("ths_adjustment_nv_fund",O$3,$A174))</f>
        <v/>
      </c>
      <c r="P174" s="13" t="str">
        <f>IF($A174="","",[1]!thsiFinD("ths_adjustment_nv_fund",P$3,$A174))</f>
        <v/>
      </c>
      <c r="Q174" s="13" t="str">
        <f>IF($A174="","",[1]!thsiFinD("ths_adjustment_nv_fund",Q$3,$A174))</f>
        <v/>
      </c>
      <c r="R174" s="13" t="str">
        <f>IF($A174="","",[1]!thsiFinD("ths_adjustment_nv_fund",R$3,$A174))</f>
        <v/>
      </c>
      <c r="S174" s="13" t="str">
        <f>IF($A174="","",[1]!thsiFinD("ths_adjustment_nv_fund",S$3,$A174))</f>
        <v/>
      </c>
      <c r="T174" s="13" t="str">
        <f>IF($A174="","",[1]!thsiFinD("ths_adjustment_nv_fund",T$3,$A174))</f>
        <v/>
      </c>
      <c r="U174" s="13" t="str">
        <f>IF($A174="","",[1]!thsiFinD("ths_adjustment_nv_fund",U$3,$A174))</f>
        <v/>
      </c>
      <c r="V174" s="13" t="str">
        <f>IF($A174="","",[1]!thsiFinD("ths_adjustment_nv_fund",V$3,$A174))</f>
        <v/>
      </c>
      <c r="W174" s="13" t="str">
        <f>IF($A174="","",[1]!thsiFinD("ths_adjustment_nv_fund",W$3,$A174))</f>
        <v/>
      </c>
      <c r="X174" s="13" t="str">
        <f>IF($A174="","",[1]!thsiFinD("ths_adjustment_nv_fund",X$3,$A174))</f>
        <v/>
      </c>
      <c r="Y174" s="13" t="str">
        <f>IF($A174="","",[1]!thsiFinD("ths_adjustment_nv_fund",Y$3,$A174))</f>
        <v/>
      </c>
      <c r="Z174" s="13" t="str">
        <f>IF($A174="","",[1]!thsiFinD("ths_adjustment_nv_fund",Z$3,$A174))</f>
        <v/>
      </c>
      <c r="AA174" s="13" t="str">
        <f>IF($A174="","",[1]!thsiFinD("ths_adjustment_nv_fund",AA$3,$A174))</f>
        <v/>
      </c>
      <c r="AB174" s="13" t="str">
        <f>IF($A174="","",[1]!thsiFinD("ths_adjustment_nv_fund",AB$3,$A174))</f>
        <v/>
      </c>
      <c r="AC174" s="13" t="str">
        <f>IF($A174="","",[1]!thsiFinD("ths_adjustment_nv_fund",AC$3,$A174))</f>
        <v/>
      </c>
      <c r="AD174" s="13" t="str">
        <f>IF($A174="","",[1]!thsiFinD("ths_adjustment_nv_fund",AD$3,$A174))</f>
        <v/>
      </c>
      <c r="AE174" s="13" t="str">
        <f>IF($A174="","",[1]!thsiFinD("ths_adjustment_nv_fund",AE$3,$A174))</f>
        <v/>
      </c>
      <c r="AF174" s="13" t="str">
        <f>IF($A174="","",[1]!thsiFinD("ths_adjustment_nv_fund",AF$3,$A174))</f>
        <v/>
      </c>
      <c r="AG174" s="13" t="str">
        <f>IF($A174="","",[1]!thsiFinD("ths_adjustment_nv_fund",AG$3,$A174))</f>
        <v/>
      </c>
      <c r="AH174" s="13" t="str">
        <f>IF($A174="","",[1]!thsiFinD("ths_adjustment_nv_fund",AH$3,$A174))</f>
        <v/>
      </c>
      <c r="AI174" s="13" t="str">
        <f>IF($A174="","",[1]!thsiFinD("ths_adjustment_nv_fund",AI$3,$A174))</f>
        <v/>
      </c>
      <c r="AJ174" s="13" t="str">
        <f>IF($A174="","",[1]!thsiFinD("ths_adjustment_nv_fund",AJ$3,$A174))</f>
        <v/>
      </c>
      <c r="AK174" s="13" t="str">
        <f>IF($A174="","",[1]!thsiFinD("ths_adjustment_nv_fund",AK$3,$A174))</f>
        <v/>
      </c>
      <c r="AL174" s="13" t="str">
        <f>IF($A174="","",[1]!thsiFinD("ths_adjustment_nv_fund",AL$3,$A174))</f>
        <v/>
      </c>
    </row>
    <row r="175" spans="1:38">
      <c r="A175" s="9"/>
      <c r="B175" s="13" t="str">
        <f>IF($A175="","",[1]!thsiFinD("ths_adjustment_nv_fund",B$3,$A175))</f>
        <v/>
      </c>
      <c r="C175" s="13" t="str">
        <f>IF($A175="","",[1]!thsiFinD("ths_adjustment_nv_fund",C$3,$A175))</f>
        <v/>
      </c>
      <c r="D175" s="13" t="str">
        <f>IF($A175="","",[1]!thsiFinD("ths_adjustment_nv_fund",D$3,$A175))</f>
        <v/>
      </c>
      <c r="E175" s="13" t="str">
        <f>IF($A175="","",[1]!thsiFinD("ths_adjustment_nv_fund",E$3,$A175))</f>
        <v/>
      </c>
      <c r="F175" s="13" t="str">
        <f>IF($A175="","",[1]!thsiFinD("ths_adjustment_nv_fund",F$3,$A175))</f>
        <v/>
      </c>
      <c r="G175" s="13" t="str">
        <f>IF($A175="","",[1]!thsiFinD("ths_adjustment_nv_fund",G$3,$A175))</f>
        <v/>
      </c>
      <c r="H175" s="13" t="str">
        <f>IF($A175="","",[1]!thsiFinD("ths_adjustment_nv_fund",H$3,$A175))</f>
        <v/>
      </c>
      <c r="I175" s="13" t="str">
        <f>IF($A175="","",[1]!thsiFinD("ths_adjustment_nv_fund",I$3,$A175))</f>
        <v/>
      </c>
      <c r="J175" s="13" t="str">
        <f>IF($A175="","",[1]!thsiFinD("ths_adjustment_nv_fund",J$3,$A175))</f>
        <v/>
      </c>
      <c r="K175" s="13" t="str">
        <f>IF($A175="","",[1]!thsiFinD("ths_adjustment_nv_fund",K$3,$A175))</f>
        <v/>
      </c>
      <c r="L175" s="13" t="str">
        <f>IF($A175="","",[1]!thsiFinD("ths_adjustment_nv_fund",L$3,$A175))</f>
        <v/>
      </c>
      <c r="M175" s="13" t="str">
        <f>IF($A175="","",[1]!thsiFinD("ths_adjustment_nv_fund",M$3,$A175))</f>
        <v/>
      </c>
      <c r="N175" s="13" t="str">
        <f>IF($A175="","",[1]!thsiFinD("ths_adjustment_nv_fund",N$3,$A175))</f>
        <v/>
      </c>
      <c r="O175" s="13" t="str">
        <f>IF($A175="","",[1]!thsiFinD("ths_adjustment_nv_fund",O$3,$A175))</f>
        <v/>
      </c>
      <c r="P175" s="13" t="str">
        <f>IF($A175="","",[1]!thsiFinD("ths_adjustment_nv_fund",P$3,$A175))</f>
        <v/>
      </c>
      <c r="Q175" s="13" t="str">
        <f>IF($A175="","",[1]!thsiFinD("ths_adjustment_nv_fund",Q$3,$A175))</f>
        <v/>
      </c>
      <c r="R175" s="13" t="str">
        <f>IF($A175="","",[1]!thsiFinD("ths_adjustment_nv_fund",R$3,$A175))</f>
        <v/>
      </c>
      <c r="S175" s="13" t="str">
        <f>IF($A175="","",[1]!thsiFinD("ths_adjustment_nv_fund",S$3,$A175))</f>
        <v/>
      </c>
      <c r="T175" s="13" t="str">
        <f>IF($A175="","",[1]!thsiFinD("ths_adjustment_nv_fund",T$3,$A175))</f>
        <v/>
      </c>
      <c r="U175" s="13" t="str">
        <f>IF($A175="","",[1]!thsiFinD("ths_adjustment_nv_fund",U$3,$A175))</f>
        <v/>
      </c>
      <c r="V175" s="13" t="str">
        <f>IF($A175="","",[1]!thsiFinD("ths_adjustment_nv_fund",V$3,$A175))</f>
        <v/>
      </c>
      <c r="W175" s="13" t="str">
        <f>IF($A175="","",[1]!thsiFinD("ths_adjustment_nv_fund",W$3,$A175))</f>
        <v/>
      </c>
      <c r="X175" s="13" t="str">
        <f>IF($A175="","",[1]!thsiFinD("ths_adjustment_nv_fund",X$3,$A175))</f>
        <v/>
      </c>
      <c r="Y175" s="13" t="str">
        <f>IF($A175="","",[1]!thsiFinD("ths_adjustment_nv_fund",Y$3,$A175))</f>
        <v/>
      </c>
      <c r="Z175" s="13" t="str">
        <f>IF($A175="","",[1]!thsiFinD("ths_adjustment_nv_fund",Z$3,$A175))</f>
        <v/>
      </c>
      <c r="AA175" s="13" t="str">
        <f>IF($A175="","",[1]!thsiFinD("ths_adjustment_nv_fund",AA$3,$A175))</f>
        <v/>
      </c>
      <c r="AB175" s="13" t="str">
        <f>IF($A175="","",[1]!thsiFinD("ths_adjustment_nv_fund",AB$3,$A175))</f>
        <v/>
      </c>
      <c r="AC175" s="13" t="str">
        <f>IF($A175="","",[1]!thsiFinD("ths_adjustment_nv_fund",AC$3,$A175))</f>
        <v/>
      </c>
      <c r="AD175" s="13" t="str">
        <f>IF($A175="","",[1]!thsiFinD("ths_adjustment_nv_fund",AD$3,$A175))</f>
        <v/>
      </c>
      <c r="AE175" s="13" t="str">
        <f>IF($A175="","",[1]!thsiFinD("ths_adjustment_nv_fund",AE$3,$A175))</f>
        <v/>
      </c>
      <c r="AF175" s="13" t="str">
        <f>IF($A175="","",[1]!thsiFinD("ths_adjustment_nv_fund",AF$3,$A175))</f>
        <v/>
      </c>
      <c r="AG175" s="13" t="str">
        <f>IF($A175="","",[1]!thsiFinD("ths_adjustment_nv_fund",AG$3,$A175))</f>
        <v/>
      </c>
      <c r="AH175" s="13" t="str">
        <f>IF($A175="","",[1]!thsiFinD("ths_adjustment_nv_fund",AH$3,$A175))</f>
        <v/>
      </c>
      <c r="AI175" s="13" t="str">
        <f>IF($A175="","",[1]!thsiFinD("ths_adjustment_nv_fund",AI$3,$A175))</f>
        <v/>
      </c>
      <c r="AJ175" s="13" t="str">
        <f>IF($A175="","",[1]!thsiFinD("ths_adjustment_nv_fund",AJ$3,$A175))</f>
        <v/>
      </c>
      <c r="AK175" s="13" t="str">
        <f>IF($A175="","",[1]!thsiFinD("ths_adjustment_nv_fund",AK$3,$A175))</f>
        <v/>
      </c>
      <c r="AL175" s="13" t="str">
        <f>IF($A175="","",[1]!thsiFinD("ths_adjustment_nv_fund",AL$3,$A175))</f>
        <v/>
      </c>
    </row>
    <row r="176" spans="1:38">
      <c r="A176" s="9"/>
      <c r="B176" s="13" t="str">
        <f>IF($A176="","",[1]!thsiFinD("ths_adjustment_nv_fund",B$3,$A176))</f>
        <v/>
      </c>
      <c r="C176" s="13" t="str">
        <f>IF($A176="","",[1]!thsiFinD("ths_adjustment_nv_fund",C$3,$A176))</f>
        <v/>
      </c>
      <c r="D176" s="13" t="str">
        <f>IF($A176="","",[1]!thsiFinD("ths_adjustment_nv_fund",D$3,$A176))</f>
        <v/>
      </c>
      <c r="E176" s="13" t="str">
        <f>IF($A176="","",[1]!thsiFinD("ths_adjustment_nv_fund",E$3,$A176))</f>
        <v/>
      </c>
      <c r="F176" s="13" t="str">
        <f>IF($A176="","",[1]!thsiFinD("ths_adjustment_nv_fund",F$3,$A176))</f>
        <v/>
      </c>
      <c r="G176" s="13" t="str">
        <f>IF($A176="","",[1]!thsiFinD("ths_adjustment_nv_fund",G$3,$A176))</f>
        <v/>
      </c>
      <c r="H176" s="13" t="str">
        <f>IF($A176="","",[1]!thsiFinD("ths_adjustment_nv_fund",H$3,$A176))</f>
        <v/>
      </c>
      <c r="I176" s="13" t="str">
        <f>IF($A176="","",[1]!thsiFinD("ths_adjustment_nv_fund",I$3,$A176))</f>
        <v/>
      </c>
      <c r="J176" s="13" t="str">
        <f>IF($A176="","",[1]!thsiFinD("ths_adjustment_nv_fund",J$3,$A176))</f>
        <v/>
      </c>
      <c r="K176" s="13" t="str">
        <f>IF($A176="","",[1]!thsiFinD("ths_adjustment_nv_fund",K$3,$A176))</f>
        <v/>
      </c>
      <c r="L176" s="13" t="str">
        <f>IF($A176="","",[1]!thsiFinD("ths_adjustment_nv_fund",L$3,$A176))</f>
        <v/>
      </c>
      <c r="M176" s="13" t="str">
        <f>IF($A176="","",[1]!thsiFinD("ths_adjustment_nv_fund",M$3,$A176))</f>
        <v/>
      </c>
      <c r="N176" s="13" t="str">
        <f>IF($A176="","",[1]!thsiFinD("ths_adjustment_nv_fund",N$3,$A176))</f>
        <v/>
      </c>
      <c r="O176" s="13" t="str">
        <f>IF($A176="","",[1]!thsiFinD("ths_adjustment_nv_fund",O$3,$A176))</f>
        <v/>
      </c>
      <c r="P176" s="13" t="str">
        <f>IF($A176="","",[1]!thsiFinD("ths_adjustment_nv_fund",P$3,$A176))</f>
        <v/>
      </c>
      <c r="Q176" s="13" t="str">
        <f>IF($A176="","",[1]!thsiFinD("ths_adjustment_nv_fund",Q$3,$A176))</f>
        <v/>
      </c>
      <c r="R176" s="13" t="str">
        <f>IF($A176="","",[1]!thsiFinD("ths_adjustment_nv_fund",R$3,$A176))</f>
        <v/>
      </c>
      <c r="S176" s="13" t="str">
        <f>IF($A176="","",[1]!thsiFinD("ths_adjustment_nv_fund",S$3,$A176))</f>
        <v/>
      </c>
      <c r="T176" s="13" t="str">
        <f>IF($A176="","",[1]!thsiFinD("ths_adjustment_nv_fund",T$3,$A176))</f>
        <v/>
      </c>
      <c r="U176" s="13" t="str">
        <f>IF($A176="","",[1]!thsiFinD("ths_adjustment_nv_fund",U$3,$A176))</f>
        <v/>
      </c>
      <c r="V176" s="13" t="str">
        <f>IF($A176="","",[1]!thsiFinD("ths_adjustment_nv_fund",V$3,$A176))</f>
        <v/>
      </c>
      <c r="W176" s="13" t="str">
        <f>IF($A176="","",[1]!thsiFinD("ths_adjustment_nv_fund",W$3,$A176))</f>
        <v/>
      </c>
      <c r="X176" s="13" t="str">
        <f>IF($A176="","",[1]!thsiFinD("ths_adjustment_nv_fund",X$3,$A176))</f>
        <v/>
      </c>
      <c r="Y176" s="13" t="str">
        <f>IF($A176="","",[1]!thsiFinD("ths_adjustment_nv_fund",Y$3,$A176))</f>
        <v/>
      </c>
      <c r="Z176" s="13" t="str">
        <f>IF($A176="","",[1]!thsiFinD("ths_adjustment_nv_fund",Z$3,$A176))</f>
        <v/>
      </c>
      <c r="AA176" s="13" t="str">
        <f>IF($A176="","",[1]!thsiFinD("ths_adjustment_nv_fund",AA$3,$A176))</f>
        <v/>
      </c>
      <c r="AB176" s="13" t="str">
        <f>IF($A176="","",[1]!thsiFinD("ths_adjustment_nv_fund",AB$3,$A176))</f>
        <v/>
      </c>
      <c r="AC176" s="13" t="str">
        <f>IF($A176="","",[1]!thsiFinD("ths_adjustment_nv_fund",AC$3,$A176))</f>
        <v/>
      </c>
      <c r="AD176" s="13" t="str">
        <f>IF($A176="","",[1]!thsiFinD("ths_adjustment_nv_fund",AD$3,$A176))</f>
        <v/>
      </c>
      <c r="AE176" s="13" t="str">
        <f>IF($A176="","",[1]!thsiFinD("ths_adjustment_nv_fund",AE$3,$A176))</f>
        <v/>
      </c>
      <c r="AF176" s="13" t="str">
        <f>IF($A176="","",[1]!thsiFinD("ths_adjustment_nv_fund",AF$3,$A176))</f>
        <v/>
      </c>
      <c r="AG176" s="13" t="str">
        <f>IF($A176="","",[1]!thsiFinD("ths_adjustment_nv_fund",AG$3,$A176))</f>
        <v/>
      </c>
      <c r="AH176" s="13" t="str">
        <f>IF($A176="","",[1]!thsiFinD("ths_adjustment_nv_fund",AH$3,$A176))</f>
        <v/>
      </c>
      <c r="AI176" s="13" t="str">
        <f>IF($A176="","",[1]!thsiFinD("ths_adjustment_nv_fund",AI$3,$A176))</f>
        <v/>
      </c>
      <c r="AJ176" s="13" t="str">
        <f>IF($A176="","",[1]!thsiFinD("ths_adjustment_nv_fund",AJ$3,$A176))</f>
        <v/>
      </c>
      <c r="AK176" s="13" t="str">
        <f>IF($A176="","",[1]!thsiFinD("ths_adjustment_nv_fund",AK$3,$A176))</f>
        <v/>
      </c>
      <c r="AL176" s="13" t="str">
        <f>IF($A176="","",[1]!thsiFinD("ths_adjustment_nv_fund",AL$3,$A176))</f>
        <v/>
      </c>
    </row>
    <row r="177" spans="1:38">
      <c r="A177" s="9"/>
      <c r="B177" s="13" t="str">
        <f>IF($A177="","",[1]!thsiFinD("ths_adjustment_nv_fund",B$3,$A177))</f>
        <v/>
      </c>
      <c r="C177" s="13" t="str">
        <f>IF($A177="","",[1]!thsiFinD("ths_adjustment_nv_fund",C$3,$A177))</f>
        <v/>
      </c>
      <c r="D177" s="13" t="str">
        <f>IF($A177="","",[1]!thsiFinD("ths_adjustment_nv_fund",D$3,$A177))</f>
        <v/>
      </c>
      <c r="E177" s="13" t="str">
        <f>IF($A177="","",[1]!thsiFinD("ths_adjustment_nv_fund",E$3,$A177))</f>
        <v/>
      </c>
      <c r="F177" s="13" t="str">
        <f>IF($A177="","",[1]!thsiFinD("ths_adjustment_nv_fund",F$3,$A177))</f>
        <v/>
      </c>
      <c r="G177" s="13" t="str">
        <f>IF($A177="","",[1]!thsiFinD("ths_adjustment_nv_fund",G$3,$A177))</f>
        <v/>
      </c>
      <c r="H177" s="13" t="str">
        <f>IF($A177="","",[1]!thsiFinD("ths_adjustment_nv_fund",H$3,$A177))</f>
        <v/>
      </c>
      <c r="I177" s="13" t="str">
        <f>IF($A177="","",[1]!thsiFinD("ths_adjustment_nv_fund",I$3,$A177))</f>
        <v/>
      </c>
      <c r="J177" s="13" t="str">
        <f>IF($A177="","",[1]!thsiFinD("ths_adjustment_nv_fund",J$3,$A177))</f>
        <v/>
      </c>
      <c r="K177" s="13" t="str">
        <f>IF($A177="","",[1]!thsiFinD("ths_adjustment_nv_fund",K$3,$A177))</f>
        <v/>
      </c>
      <c r="L177" s="13" t="str">
        <f>IF($A177="","",[1]!thsiFinD("ths_adjustment_nv_fund",L$3,$A177))</f>
        <v/>
      </c>
      <c r="M177" s="13" t="str">
        <f>IF($A177="","",[1]!thsiFinD("ths_adjustment_nv_fund",M$3,$A177))</f>
        <v/>
      </c>
      <c r="N177" s="13" t="str">
        <f>IF($A177="","",[1]!thsiFinD("ths_adjustment_nv_fund",N$3,$A177))</f>
        <v/>
      </c>
      <c r="O177" s="13" t="str">
        <f>IF($A177="","",[1]!thsiFinD("ths_adjustment_nv_fund",O$3,$A177))</f>
        <v/>
      </c>
      <c r="P177" s="13" t="str">
        <f>IF($A177="","",[1]!thsiFinD("ths_adjustment_nv_fund",P$3,$A177))</f>
        <v/>
      </c>
      <c r="Q177" s="13" t="str">
        <f>IF($A177="","",[1]!thsiFinD("ths_adjustment_nv_fund",Q$3,$A177))</f>
        <v/>
      </c>
      <c r="R177" s="13" t="str">
        <f>IF($A177="","",[1]!thsiFinD("ths_adjustment_nv_fund",R$3,$A177))</f>
        <v/>
      </c>
      <c r="S177" s="13" t="str">
        <f>IF($A177="","",[1]!thsiFinD("ths_adjustment_nv_fund",S$3,$A177))</f>
        <v/>
      </c>
      <c r="T177" s="13" t="str">
        <f>IF($A177="","",[1]!thsiFinD("ths_adjustment_nv_fund",T$3,$A177))</f>
        <v/>
      </c>
      <c r="U177" s="13" t="str">
        <f>IF($A177="","",[1]!thsiFinD("ths_adjustment_nv_fund",U$3,$A177))</f>
        <v/>
      </c>
      <c r="V177" s="13" t="str">
        <f>IF($A177="","",[1]!thsiFinD("ths_adjustment_nv_fund",V$3,$A177))</f>
        <v/>
      </c>
      <c r="W177" s="13" t="str">
        <f>IF($A177="","",[1]!thsiFinD("ths_adjustment_nv_fund",W$3,$A177))</f>
        <v/>
      </c>
      <c r="X177" s="13" t="str">
        <f>IF($A177="","",[1]!thsiFinD("ths_adjustment_nv_fund",X$3,$A177))</f>
        <v/>
      </c>
      <c r="Y177" s="13" t="str">
        <f>IF($A177="","",[1]!thsiFinD("ths_adjustment_nv_fund",Y$3,$A177))</f>
        <v/>
      </c>
      <c r="Z177" s="13" t="str">
        <f>IF($A177="","",[1]!thsiFinD("ths_adjustment_nv_fund",Z$3,$A177))</f>
        <v/>
      </c>
      <c r="AA177" s="13" t="str">
        <f>IF($A177="","",[1]!thsiFinD("ths_adjustment_nv_fund",AA$3,$A177))</f>
        <v/>
      </c>
      <c r="AB177" s="13" t="str">
        <f>IF($A177="","",[1]!thsiFinD("ths_adjustment_nv_fund",AB$3,$A177))</f>
        <v/>
      </c>
      <c r="AC177" s="13" t="str">
        <f>IF($A177="","",[1]!thsiFinD("ths_adjustment_nv_fund",AC$3,$A177))</f>
        <v/>
      </c>
      <c r="AD177" s="13" t="str">
        <f>IF($A177="","",[1]!thsiFinD("ths_adjustment_nv_fund",AD$3,$A177))</f>
        <v/>
      </c>
      <c r="AE177" s="13" t="str">
        <f>IF($A177="","",[1]!thsiFinD("ths_adjustment_nv_fund",AE$3,$A177))</f>
        <v/>
      </c>
      <c r="AF177" s="13" t="str">
        <f>IF($A177="","",[1]!thsiFinD("ths_adjustment_nv_fund",AF$3,$A177))</f>
        <v/>
      </c>
      <c r="AG177" s="13" t="str">
        <f>IF($A177="","",[1]!thsiFinD("ths_adjustment_nv_fund",AG$3,$A177))</f>
        <v/>
      </c>
      <c r="AH177" s="13" t="str">
        <f>IF($A177="","",[1]!thsiFinD("ths_adjustment_nv_fund",AH$3,$A177))</f>
        <v/>
      </c>
      <c r="AI177" s="13" t="str">
        <f>IF($A177="","",[1]!thsiFinD("ths_adjustment_nv_fund",AI$3,$A177))</f>
        <v/>
      </c>
      <c r="AJ177" s="13" t="str">
        <f>IF($A177="","",[1]!thsiFinD("ths_adjustment_nv_fund",AJ$3,$A177))</f>
        <v/>
      </c>
      <c r="AK177" s="13" t="str">
        <f>IF($A177="","",[1]!thsiFinD("ths_adjustment_nv_fund",AK$3,$A177))</f>
        <v/>
      </c>
      <c r="AL177" s="13" t="str">
        <f>IF($A177="","",[1]!thsiFinD("ths_adjustment_nv_fund",AL$3,$A177))</f>
        <v/>
      </c>
    </row>
    <row r="178" spans="1:38">
      <c r="A178" s="9"/>
      <c r="B178" s="13" t="str">
        <f>IF($A178="","",[1]!thsiFinD("ths_adjustment_nv_fund",B$3,$A178))</f>
        <v/>
      </c>
      <c r="C178" s="13" t="str">
        <f>IF($A178="","",[1]!thsiFinD("ths_adjustment_nv_fund",C$3,$A178))</f>
        <v/>
      </c>
      <c r="D178" s="13" t="str">
        <f>IF($A178="","",[1]!thsiFinD("ths_adjustment_nv_fund",D$3,$A178))</f>
        <v/>
      </c>
      <c r="E178" s="13" t="str">
        <f>IF($A178="","",[1]!thsiFinD("ths_adjustment_nv_fund",E$3,$A178))</f>
        <v/>
      </c>
      <c r="F178" s="13" t="str">
        <f>IF($A178="","",[1]!thsiFinD("ths_adjustment_nv_fund",F$3,$A178))</f>
        <v/>
      </c>
      <c r="G178" s="13" t="str">
        <f>IF($A178="","",[1]!thsiFinD("ths_adjustment_nv_fund",G$3,$A178))</f>
        <v/>
      </c>
      <c r="H178" s="13" t="str">
        <f>IF($A178="","",[1]!thsiFinD("ths_adjustment_nv_fund",H$3,$A178))</f>
        <v/>
      </c>
      <c r="I178" s="13" t="str">
        <f>IF($A178="","",[1]!thsiFinD("ths_adjustment_nv_fund",I$3,$A178))</f>
        <v/>
      </c>
      <c r="J178" s="13" t="str">
        <f>IF($A178="","",[1]!thsiFinD("ths_adjustment_nv_fund",J$3,$A178))</f>
        <v/>
      </c>
      <c r="K178" s="13" t="str">
        <f>IF($A178="","",[1]!thsiFinD("ths_adjustment_nv_fund",K$3,$A178))</f>
        <v/>
      </c>
      <c r="L178" s="13" t="str">
        <f>IF($A178="","",[1]!thsiFinD("ths_adjustment_nv_fund",L$3,$A178))</f>
        <v/>
      </c>
      <c r="M178" s="13" t="str">
        <f>IF($A178="","",[1]!thsiFinD("ths_adjustment_nv_fund",M$3,$A178))</f>
        <v/>
      </c>
      <c r="N178" s="13" t="str">
        <f>IF($A178="","",[1]!thsiFinD("ths_adjustment_nv_fund",N$3,$A178))</f>
        <v/>
      </c>
      <c r="O178" s="13" t="str">
        <f>IF($A178="","",[1]!thsiFinD("ths_adjustment_nv_fund",O$3,$A178))</f>
        <v/>
      </c>
      <c r="P178" s="13" t="str">
        <f>IF($A178="","",[1]!thsiFinD("ths_adjustment_nv_fund",P$3,$A178))</f>
        <v/>
      </c>
      <c r="Q178" s="13" t="str">
        <f>IF($A178="","",[1]!thsiFinD("ths_adjustment_nv_fund",Q$3,$A178))</f>
        <v/>
      </c>
      <c r="R178" s="13" t="str">
        <f>IF($A178="","",[1]!thsiFinD("ths_adjustment_nv_fund",R$3,$A178))</f>
        <v/>
      </c>
      <c r="S178" s="13" t="str">
        <f>IF($A178="","",[1]!thsiFinD("ths_adjustment_nv_fund",S$3,$A178))</f>
        <v/>
      </c>
      <c r="T178" s="13" t="str">
        <f>IF($A178="","",[1]!thsiFinD("ths_adjustment_nv_fund",T$3,$A178))</f>
        <v/>
      </c>
      <c r="U178" s="13" t="str">
        <f>IF($A178="","",[1]!thsiFinD("ths_adjustment_nv_fund",U$3,$A178))</f>
        <v/>
      </c>
      <c r="V178" s="13" t="str">
        <f>IF($A178="","",[1]!thsiFinD("ths_adjustment_nv_fund",V$3,$A178))</f>
        <v/>
      </c>
      <c r="W178" s="13" t="str">
        <f>IF($A178="","",[1]!thsiFinD("ths_adjustment_nv_fund",W$3,$A178))</f>
        <v/>
      </c>
      <c r="X178" s="13" t="str">
        <f>IF($A178="","",[1]!thsiFinD("ths_adjustment_nv_fund",X$3,$A178))</f>
        <v/>
      </c>
      <c r="Y178" s="13" t="str">
        <f>IF($A178="","",[1]!thsiFinD("ths_adjustment_nv_fund",Y$3,$A178))</f>
        <v/>
      </c>
      <c r="Z178" s="13" t="str">
        <f>IF($A178="","",[1]!thsiFinD("ths_adjustment_nv_fund",Z$3,$A178))</f>
        <v/>
      </c>
      <c r="AA178" s="13" t="str">
        <f>IF($A178="","",[1]!thsiFinD("ths_adjustment_nv_fund",AA$3,$A178))</f>
        <v/>
      </c>
      <c r="AB178" s="13" t="str">
        <f>IF($A178="","",[1]!thsiFinD("ths_adjustment_nv_fund",AB$3,$A178))</f>
        <v/>
      </c>
      <c r="AC178" s="13" t="str">
        <f>IF($A178="","",[1]!thsiFinD("ths_adjustment_nv_fund",AC$3,$A178))</f>
        <v/>
      </c>
      <c r="AD178" s="13" t="str">
        <f>IF($A178="","",[1]!thsiFinD("ths_adjustment_nv_fund",AD$3,$A178))</f>
        <v/>
      </c>
      <c r="AE178" s="13" t="str">
        <f>IF($A178="","",[1]!thsiFinD("ths_adjustment_nv_fund",AE$3,$A178))</f>
        <v/>
      </c>
      <c r="AF178" s="13" t="str">
        <f>IF($A178="","",[1]!thsiFinD("ths_adjustment_nv_fund",AF$3,$A178))</f>
        <v/>
      </c>
      <c r="AG178" s="13" t="str">
        <f>IF($A178="","",[1]!thsiFinD("ths_adjustment_nv_fund",AG$3,$A178))</f>
        <v/>
      </c>
      <c r="AH178" s="13" t="str">
        <f>IF($A178="","",[1]!thsiFinD("ths_adjustment_nv_fund",AH$3,$A178))</f>
        <v/>
      </c>
      <c r="AI178" s="13" t="str">
        <f>IF($A178="","",[1]!thsiFinD("ths_adjustment_nv_fund",AI$3,$A178))</f>
        <v/>
      </c>
      <c r="AJ178" s="13" t="str">
        <f>IF($A178="","",[1]!thsiFinD("ths_adjustment_nv_fund",AJ$3,$A178))</f>
        <v/>
      </c>
      <c r="AK178" s="13" t="str">
        <f>IF($A178="","",[1]!thsiFinD("ths_adjustment_nv_fund",AK$3,$A178))</f>
        <v/>
      </c>
      <c r="AL178" s="13" t="str">
        <f>IF($A178="","",[1]!thsiFinD("ths_adjustment_nv_fund",AL$3,$A178))</f>
        <v/>
      </c>
    </row>
    <row r="179" spans="1:38">
      <c r="A179" s="9"/>
      <c r="B179" s="13" t="str">
        <f>IF($A179="","",[1]!thsiFinD("ths_adjustment_nv_fund",B$3,$A179))</f>
        <v/>
      </c>
      <c r="C179" s="13" t="str">
        <f>IF($A179="","",[1]!thsiFinD("ths_adjustment_nv_fund",C$3,$A179))</f>
        <v/>
      </c>
      <c r="D179" s="13" t="str">
        <f>IF($A179="","",[1]!thsiFinD("ths_adjustment_nv_fund",D$3,$A179))</f>
        <v/>
      </c>
      <c r="E179" s="13" t="str">
        <f>IF($A179="","",[1]!thsiFinD("ths_adjustment_nv_fund",E$3,$A179))</f>
        <v/>
      </c>
      <c r="F179" s="13" t="str">
        <f>IF($A179="","",[1]!thsiFinD("ths_adjustment_nv_fund",F$3,$A179))</f>
        <v/>
      </c>
      <c r="G179" s="13" t="str">
        <f>IF($A179="","",[1]!thsiFinD("ths_adjustment_nv_fund",G$3,$A179))</f>
        <v/>
      </c>
      <c r="H179" s="13" t="str">
        <f>IF($A179="","",[1]!thsiFinD("ths_adjustment_nv_fund",H$3,$A179))</f>
        <v/>
      </c>
      <c r="I179" s="13" t="str">
        <f>IF($A179="","",[1]!thsiFinD("ths_adjustment_nv_fund",I$3,$A179))</f>
        <v/>
      </c>
      <c r="J179" s="13" t="str">
        <f>IF($A179="","",[1]!thsiFinD("ths_adjustment_nv_fund",J$3,$A179))</f>
        <v/>
      </c>
      <c r="K179" s="13" t="str">
        <f>IF($A179="","",[1]!thsiFinD("ths_adjustment_nv_fund",K$3,$A179))</f>
        <v/>
      </c>
      <c r="L179" s="13" t="str">
        <f>IF($A179="","",[1]!thsiFinD("ths_adjustment_nv_fund",L$3,$A179))</f>
        <v/>
      </c>
      <c r="M179" s="13" t="str">
        <f>IF($A179="","",[1]!thsiFinD("ths_adjustment_nv_fund",M$3,$A179))</f>
        <v/>
      </c>
      <c r="N179" s="13" t="str">
        <f>IF($A179="","",[1]!thsiFinD("ths_adjustment_nv_fund",N$3,$A179))</f>
        <v/>
      </c>
      <c r="O179" s="13" t="str">
        <f>IF($A179="","",[1]!thsiFinD("ths_adjustment_nv_fund",O$3,$A179))</f>
        <v/>
      </c>
      <c r="P179" s="13" t="str">
        <f>IF($A179="","",[1]!thsiFinD("ths_adjustment_nv_fund",P$3,$A179))</f>
        <v/>
      </c>
      <c r="Q179" s="13" t="str">
        <f>IF($A179="","",[1]!thsiFinD("ths_adjustment_nv_fund",Q$3,$A179))</f>
        <v/>
      </c>
      <c r="R179" s="13" t="str">
        <f>IF($A179="","",[1]!thsiFinD("ths_adjustment_nv_fund",R$3,$A179))</f>
        <v/>
      </c>
      <c r="S179" s="13" t="str">
        <f>IF($A179="","",[1]!thsiFinD("ths_adjustment_nv_fund",S$3,$A179))</f>
        <v/>
      </c>
      <c r="T179" s="13" t="str">
        <f>IF($A179="","",[1]!thsiFinD("ths_adjustment_nv_fund",T$3,$A179))</f>
        <v/>
      </c>
      <c r="U179" s="13" t="str">
        <f>IF($A179="","",[1]!thsiFinD("ths_adjustment_nv_fund",U$3,$A179))</f>
        <v/>
      </c>
      <c r="V179" s="13" t="str">
        <f>IF($A179="","",[1]!thsiFinD("ths_adjustment_nv_fund",V$3,$A179))</f>
        <v/>
      </c>
      <c r="W179" s="13" t="str">
        <f>IF($A179="","",[1]!thsiFinD("ths_adjustment_nv_fund",W$3,$A179))</f>
        <v/>
      </c>
      <c r="X179" s="13" t="str">
        <f>IF($A179="","",[1]!thsiFinD("ths_adjustment_nv_fund",X$3,$A179))</f>
        <v/>
      </c>
      <c r="Y179" s="13" t="str">
        <f>IF($A179="","",[1]!thsiFinD("ths_adjustment_nv_fund",Y$3,$A179))</f>
        <v/>
      </c>
      <c r="Z179" s="13" t="str">
        <f>IF($A179="","",[1]!thsiFinD("ths_adjustment_nv_fund",Z$3,$A179))</f>
        <v/>
      </c>
      <c r="AA179" s="13" t="str">
        <f>IF($A179="","",[1]!thsiFinD("ths_adjustment_nv_fund",AA$3,$A179))</f>
        <v/>
      </c>
      <c r="AB179" s="13" t="str">
        <f>IF($A179="","",[1]!thsiFinD("ths_adjustment_nv_fund",AB$3,$A179))</f>
        <v/>
      </c>
      <c r="AC179" s="13" t="str">
        <f>IF($A179="","",[1]!thsiFinD("ths_adjustment_nv_fund",AC$3,$A179))</f>
        <v/>
      </c>
      <c r="AD179" s="13" t="str">
        <f>IF($A179="","",[1]!thsiFinD("ths_adjustment_nv_fund",AD$3,$A179))</f>
        <v/>
      </c>
      <c r="AE179" s="13" t="str">
        <f>IF($A179="","",[1]!thsiFinD("ths_adjustment_nv_fund",AE$3,$A179))</f>
        <v/>
      </c>
      <c r="AF179" s="13" t="str">
        <f>IF($A179="","",[1]!thsiFinD("ths_adjustment_nv_fund",AF$3,$A179))</f>
        <v/>
      </c>
      <c r="AG179" s="13" t="str">
        <f>IF($A179="","",[1]!thsiFinD("ths_adjustment_nv_fund",AG$3,$A179))</f>
        <v/>
      </c>
      <c r="AH179" s="13" t="str">
        <f>IF($A179="","",[1]!thsiFinD("ths_adjustment_nv_fund",AH$3,$A179))</f>
        <v/>
      </c>
      <c r="AI179" s="13" t="str">
        <f>IF($A179="","",[1]!thsiFinD("ths_adjustment_nv_fund",AI$3,$A179))</f>
        <v/>
      </c>
      <c r="AJ179" s="13" t="str">
        <f>IF($A179="","",[1]!thsiFinD("ths_adjustment_nv_fund",AJ$3,$A179))</f>
        <v/>
      </c>
      <c r="AK179" s="13" t="str">
        <f>IF($A179="","",[1]!thsiFinD("ths_adjustment_nv_fund",AK$3,$A179))</f>
        <v/>
      </c>
      <c r="AL179" s="13" t="str">
        <f>IF($A179="","",[1]!thsiFinD("ths_adjustment_nv_fund",AL$3,$A179))</f>
        <v/>
      </c>
    </row>
    <row r="180" spans="1:38">
      <c r="A180" s="9"/>
      <c r="B180" s="13" t="str">
        <f>IF($A180="","",[1]!thsiFinD("ths_adjustment_nv_fund",B$3,$A180))</f>
        <v/>
      </c>
      <c r="C180" s="13" t="str">
        <f>IF($A180="","",[1]!thsiFinD("ths_adjustment_nv_fund",C$3,$A180))</f>
        <v/>
      </c>
      <c r="D180" s="13" t="str">
        <f>IF($A180="","",[1]!thsiFinD("ths_adjustment_nv_fund",D$3,$A180))</f>
        <v/>
      </c>
      <c r="E180" s="13" t="str">
        <f>IF($A180="","",[1]!thsiFinD("ths_adjustment_nv_fund",E$3,$A180))</f>
        <v/>
      </c>
      <c r="F180" s="13" t="str">
        <f>IF($A180="","",[1]!thsiFinD("ths_adjustment_nv_fund",F$3,$A180))</f>
        <v/>
      </c>
      <c r="G180" s="13" t="str">
        <f>IF($A180="","",[1]!thsiFinD("ths_adjustment_nv_fund",G$3,$A180))</f>
        <v/>
      </c>
      <c r="H180" s="13" t="str">
        <f>IF($A180="","",[1]!thsiFinD("ths_adjustment_nv_fund",H$3,$A180))</f>
        <v/>
      </c>
      <c r="I180" s="13" t="str">
        <f>IF($A180="","",[1]!thsiFinD("ths_adjustment_nv_fund",I$3,$A180))</f>
        <v/>
      </c>
      <c r="J180" s="13" t="str">
        <f>IF($A180="","",[1]!thsiFinD("ths_adjustment_nv_fund",J$3,$A180))</f>
        <v/>
      </c>
      <c r="K180" s="13" t="str">
        <f>IF($A180="","",[1]!thsiFinD("ths_adjustment_nv_fund",K$3,$A180))</f>
        <v/>
      </c>
      <c r="L180" s="13" t="str">
        <f>IF($A180="","",[1]!thsiFinD("ths_adjustment_nv_fund",L$3,$A180))</f>
        <v/>
      </c>
      <c r="M180" s="13" t="str">
        <f>IF($A180="","",[1]!thsiFinD("ths_adjustment_nv_fund",M$3,$A180))</f>
        <v/>
      </c>
      <c r="N180" s="13" t="str">
        <f>IF($A180="","",[1]!thsiFinD("ths_adjustment_nv_fund",N$3,$A180))</f>
        <v/>
      </c>
      <c r="O180" s="13" t="str">
        <f>IF($A180="","",[1]!thsiFinD("ths_adjustment_nv_fund",O$3,$A180))</f>
        <v/>
      </c>
      <c r="P180" s="13" t="str">
        <f>IF($A180="","",[1]!thsiFinD("ths_adjustment_nv_fund",P$3,$A180))</f>
        <v/>
      </c>
      <c r="Q180" s="13" t="str">
        <f>IF($A180="","",[1]!thsiFinD("ths_adjustment_nv_fund",Q$3,$A180))</f>
        <v/>
      </c>
      <c r="R180" s="13" t="str">
        <f>IF($A180="","",[1]!thsiFinD("ths_adjustment_nv_fund",R$3,$A180))</f>
        <v/>
      </c>
      <c r="S180" s="13" t="str">
        <f>IF($A180="","",[1]!thsiFinD("ths_adjustment_nv_fund",S$3,$A180))</f>
        <v/>
      </c>
      <c r="T180" s="13" t="str">
        <f>IF($A180="","",[1]!thsiFinD("ths_adjustment_nv_fund",T$3,$A180))</f>
        <v/>
      </c>
      <c r="U180" s="13" t="str">
        <f>IF($A180="","",[1]!thsiFinD("ths_adjustment_nv_fund",U$3,$A180))</f>
        <v/>
      </c>
      <c r="V180" s="13" t="str">
        <f>IF($A180="","",[1]!thsiFinD("ths_adjustment_nv_fund",V$3,$A180))</f>
        <v/>
      </c>
      <c r="W180" s="13" t="str">
        <f>IF($A180="","",[1]!thsiFinD("ths_adjustment_nv_fund",W$3,$A180))</f>
        <v/>
      </c>
      <c r="X180" s="13" t="str">
        <f>IF($A180="","",[1]!thsiFinD("ths_adjustment_nv_fund",X$3,$A180))</f>
        <v/>
      </c>
      <c r="Y180" s="13" t="str">
        <f>IF($A180="","",[1]!thsiFinD("ths_adjustment_nv_fund",Y$3,$A180))</f>
        <v/>
      </c>
      <c r="Z180" s="13" t="str">
        <f>IF($A180="","",[1]!thsiFinD("ths_adjustment_nv_fund",Z$3,$A180))</f>
        <v/>
      </c>
      <c r="AA180" s="13" t="str">
        <f>IF($A180="","",[1]!thsiFinD("ths_adjustment_nv_fund",AA$3,$A180))</f>
        <v/>
      </c>
      <c r="AB180" s="13" t="str">
        <f>IF($A180="","",[1]!thsiFinD("ths_adjustment_nv_fund",AB$3,$A180))</f>
        <v/>
      </c>
      <c r="AC180" s="13" t="str">
        <f>IF($A180="","",[1]!thsiFinD("ths_adjustment_nv_fund",AC$3,$A180))</f>
        <v/>
      </c>
      <c r="AD180" s="13" t="str">
        <f>IF($A180="","",[1]!thsiFinD("ths_adjustment_nv_fund",AD$3,$A180))</f>
        <v/>
      </c>
      <c r="AE180" s="13" t="str">
        <f>IF($A180="","",[1]!thsiFinD("ths_adjustment_nv_fund",AE$3,$A180))</f>
        <v/>
      </c>
      <c r="AF180" s="13" t="str">
        <f>IF($A180="","",[1]!thsiFinD("ths_adjustment_nv_fund",AF$3,$A180))</f>
        <v/>
      </c>
      <c r="AG180" s="13" t="str">
        <f>IF($A180="","",[1]!thsiFinD("ths_adjustment_nv_fund",AG$3,$A180))</f>
        <v/>
      </c>
      <c r="AH180" s="13" t="str">
        <f>IF($A180="","",[1]!thsiFinD("ths_adjustment_nv_fund",AH$3,$A180))</f>
        <v/>
      </c>
      <c r="AI180" s="13" t="str">
        <f>IF($A180="","",[1]!thsiFinD("ths_adjustment_nv_fund",AI$3,$A180))</f>
        <v/>
      </c>
      <c r="AJ180" s="13" t="str">
        <f>IF($A180="","",[1]!thsiFinD("ths_adjustment_nv_fund",AJ$3,$A180))</f>
        <v/>
      </c>
      <c r="AK180" s="13" t="str">
        <f>IF($A180="","",[1]!thsiFinD("ths_adjustment_nv_fund",AK$3,$A180))</f>
        <v/>
      </c>
      <c r="AL180" s="13" t="str">
        <f>IF($A180="","",[1]!thsiFinD("ths_adjustment_nv_fund",AL$3,$A180))</f>
        <v/>
      </c>
    </row>
    <row r="181" spans="1:38">
      <c r="A181" s="9"/>
      <c r="B181" s="13" t="str">
        <f>IF($A181="","",[1]!thsiFinD("ths_adjustment_nv_fund",B$3,$A181))</f>
        <v/>
      </c>
      <c r="C181" s="13" t="str">
        <f>IF($A181="","",[1]!thsiFinD("ths_adjustment_nv_fund",C$3,$A181))</f>
        <v/>
      </c>
      <c r="D181" s="13" t="str">
        <f>IF($A181="","",[1]!thsiFinD("ths_adjustment_nv_fund",D$3,$A181))</f>
        <v/>
      </c>
      <c r="E181" s="13" t="str">
        <f>IF($A181="","",[1]!thsiFinD("ths_adjustment_nv_fund",E$3,$A181))</f>
        <v/>
      </c>
      <c r="F181" s="13" t="str">
        <f>IF($A181="","",[1]!thsiFinD("ths_adjustment_nv_fund",F$3,$A181))</f>
        <v/>
      </c>
      <c r="G181" s="13" t="str">
        <f>IF($A181="","",[1]!thsiFinD("ths_adjustment_nv_fund",G$3,$A181))</f>
        <v/>
      </c>
      <c r="H181" s="13" t="str">
        <f>IF($A181="","",[1]!thsiFinD("ths_adjustment_nv_fund",H$3,$A181))</f>
        <v/>
      </c>
      <c r="I181" s="13" t="str">
        <f>IF($A181="","",[1]!thsiFinD("ths_adjustment_nv_fund",I$3,$A181))</f>
        <v/>
      </c>
      <c r="J181" s="13" t="str">
        <f>IF($A181="","",[1]!thsiFinD("ths_adjustment_nv_fund",J$3,$A181))</f>
        <v/>
      </c>
      <c r="K181" s="13" t="str">
        <f>IF($A181="","",[1]!thsiFinD("ths_adjustment_nv_fund",K$3,$A181))</f>
        <v/>
      </c>
      <c r="L181" s="13" t="str">
        <f>IF($A181="","",[1]!thsiFinD("ths_adjustment_nv_fund",L$3,$A181))</f>
        <v/>
      </c>
      <c r="M181" s="13" t="str">
        <f>IF($A181="","",[1]!thsiFinD("ths_adjustment_nv_fund",M$3,$A181))</f>
        <v/>
      </c>
      <c r="N181" s="13" t="str">
        <f>IF($A181="","",[1]!thsiFinD("ths_adjustment_nv_fund",N$3,$A181))</f>
        <v/>
      </c>
      <c r="O181" s="13" t="str">
        <f>IF($A181="","",[1]!thsiFinD("ths_adjustment_nv_fund",O$3,$A181))</f>
        <v/>
      </c>
      <c r="P181" s="13" t="str">
        <f>IF($A181="","",[1]!thsiFinD("ths_adjustment_nv_fund",P$3,$A181))</f>
        <v/>
      </c>
      <c r="Q181" s="13" t="str">
        <f>IF($A181="","",[1]!thsiFinD("ths_adjustment_nv_fund",Q$3,$A181))</f>
        <v/>
      </c>
      <c r="R181" s="13" t="str">
        <f>IF($A181="","",[1]!thsiFinD("ths_adjustment_nv_fund",R$3,$A181))</f>
        <v/>
      </c>
      <c r="S181" s="13" t="str">
        <f>IF($A181="","",[1]!thsiFinD("ths_adjustment_nv_fund",S$3,$A181))</f>
        <v/>
      </c>
      <c r="T181" s="13" t="str">
        <f>IF($A181="","",[1]!thsiFinD("ths_adjustment_nv_fund",T$3,$A181))</f>
        <v/>
      </c>
      <c r="U181" s="13" t="str">
        <f>IF($A181="","",[1]!thsiFinD("ths_adjustment_nv_fund",U$3,$A181))</f>
        <v/>
      </c>
      <c r="V181" s="13" t="str">
        <f>IF($A181="","",[1]!thsiFinD("ths_adjustment_nv_fund",V$3,$A181))</f>
        <v/>
      </c>
      <c r="W181" s="13" t="str">
        <f>IF($A181="","",[1]!thsiFinD("ths_adjustment_nv_fund",W$3,$A181))</f>
        <v/>
      </c>
      <c r="X181" s="13" t="str">
        <f>IF($A181="","",[1]!thsiFinD("ths_adjustment_nv_fund",X$3,$A181))</f>
        <v/>
      </c>
      <c r="Y181" s="13" t="str">
        <f>IF($A181="","",[1]!thsiFinD("ths_adjustment_nv_fund",Y$3,$A181))</f>
        <v/>
      </c>
      <c r="Z181" s="13" t="str">
        <f>IF($A181="","",[1]!thsiFinD("ths_adjustment_nv_fund",Z$3,$A181))</f>
        <v/>
      </c>
      <c r="AA181" s="13" t="str">
        <f>IF($A181="","",[1]!thsiFinD("ths_adjustment_nv_fund",AA$3,$A181))</f>
        <v/>
      </c>
      <c r="AB181" s="13" t="str">
        <f>IF($A181="","",[1]!thsiFinD("ths_adjustment_nv_fund",AB$3,$A181))</f>
        <v/>
      </c>
      <c r="AC181" s="13" t="str">
        <f>IF($A181="","",[1]!thsiFinD("ths_adjustment_nv_fund",AC$3,$A181))</f>
        <v/>
      </c>
      <c r="AD181" s="13" t="str">
        <f>IF($A181="","",[1]!thsiFinD("ths_adjustment_nv_fund",AD$3,$A181))</f>
        <v/>
      </c>
      <c r="AE181" s="13" t="str">
        <f>IF($A181="","",[1]!thsiFinD("ths_adjustment_nv_fund",AE$3,$A181))</f>
        <v/>
      </c>
      <c r="AF181" s="13" t="str">
        <f>IF($A181="","",[1]!thsiFinD("ths_adjustment_nv_fund",AF$3,$A181))</f>
        <v/>
      </c>
      <c r="AG181" s="13" t="str">
        <f>IF($A181="","",[1]!thsiFinD("ths_adjustment_nv_fund",AG$3,$A181))</f>
        <v/>
      </c>
      <c r="AH181" s="13" t="str">
        <f>IF($A181="","",[1]!thsiFinD("ths_adjustment_nv_fund",AH$3,$A181))</f>
        <v/>
      </c>
      <c r="AI181" s="13" t="str">
        <f>IF($A181="","",[1]!thsiFinD("ths_adjustment_nv_fund",AI$3,$A181))</f>
        <v/>
      </c>
      <c r="AJ181" s="13" t="str">
        <f>IF($A181="","",[1]!thsiFinD("ths_adjustment_nv_fund",AJ$3,$A181))</f>
        <v/>
      </c>
      <c r="AK181" s="13" t="str">
        <f>IF($A181="","",[1]!thsiFinD("ths_adjustment_nv_fund",AK$3,$A181))</f>
        <v/>
      </c>
      <c r="AL181" s="13" t="str">
        <f>IF($A181="","",[1]!thsiFinD("ths_adjustment_nv_fund",AL$3,$A181))</f>
        <v/>
      </c>
    </row>
    <row r="182" spans="1:38">
      <c r="A182" s="9"/>
      <c r="B182" s="13" t="str">
        <f>IF($A182="","",[1]!thsiFinD("ths_adjustment_nv_fund",B$3,$A182))</f>
        <v/>
      </c>
      <c r="C182" s="13" t="str">
        <f>IF($A182="","",[1]!thsiFinD("ths_adjustment_nv_fund",C$3,$A182))</f>
        <v/>
      </c>
      <c r="D182" s="13" t="str">
        <f>IF($A182="","",[1]!thsiFinD("ths_adjustment_nv_fund",D$3,$A182))</f>
        <v/>
      </c>
      <c r="E182" s="13" t="str">
        <f>IF($A182="","",[1]!thsiFinD("ths_adjustment_nv_fund",E$3,$A182))</f>
        <v/>
      </c>
      <c r="F182" s="13" t="str">
        <f>IF($A182="","",[1]!thsiFinD("ths_adjustment_nv_fund",F$3,$A182))</f>
        <v/>
      </c>
      <c r="G182" s="13" t="str">
        <f>IF($A182="","",[1]!thsiFinD("ths_adjustment_nv_fund",G$3,$A182))</f>
        <v/>
      </c>
      <c r="H182" s="13" t="str">
        <f>IF($A182="","",[1]!thsiFinD("ths_adjustment_nv_fund",H$3,$A182))</f>
        <v/>
      </c>
      <c r="I182" s="13" t="str">
        <f>IF($A182="","",[1]!thsiFinD("ths_adjustment_nv_fund",I$3,$A182))</f>
        <v/>
      </c>
      <c r="J182" s="13" t="str">
        <f>IF($A182="","",[1]!thsiFinD("ths_adjustment_nv_fund",J$3,$A182))</f>
        <v/>
      </c>
      <c r="K182" s="13" t="str">
        <f>IF($A182="","",[1]!thsiFinD("ths_adjustment_nv_fund",K$3,$A182))</f>
        <v/>
      </c>
      <c r="L182" s="13" t="str">
        <f>IF($A182="","",[1]!thsiFinD("ths_adjustment_nv_fund",L$3,$A182))</f>
        <v/>
      </c>
      <c r="M182" s="13" t="str">
        <f>IF($A182="","",[1]!thsiFinD("ths_adjustment_nv_fund",M$3,$A182))</f>
        <v/>
      </c>
      <c r="N182" s="13" t="str">
        <f>IF($A182="","",[1]!thsiFinD("ths_adjustment_nv_fund",N$3,$A182))</f>
        <v/>
      </c>
      <c r="O182" s="13" t="str">
        <f>IF($A182="","",[1]!thsiFinD("ths_adjustment_nv_fund",O$3,$A182))</f>
        <v/>
      </c>
      <c r="P182" s="13" t="str">
        <f>IF($A182="","",[1]!thsiFinD("ths_adjustment_nv_fund",P$3,$A182))</f>
        <v/>
      </c>
      <c r="Q182" s="13" t="str">
        <f>IF($A182="","",[1]!thsiFinD("ths_adjustment_nv_fund",Q$3,$A182))</f>
        <v/>
      </c>
      <c r="R182" s="13" t="str">
        <f>IF($A182="","",[1]!thsiFinD("ths_adjustment_nv_fund",R$3,$A182))</f>
        <v/>
      </c>
      <c r="S182" s="13" t="str">
        <f>IF($A182="","",[1]!thsiFinD("ths_adjustment_nv_fund",S$3,$A182))</f>
        <v/>
      </c>
      <c r="T182" s="13" t="str">
        <f>IF($A182="","",[1]!thsiFinD("ths_adjustment_nv_fund",T$3,$A182))</f>
        <v/>
      </c>
      <c r="U182" s="13" t="str">
        <f>IF($A182="","",[1]!thsiFinD("ths_adjustment_nv_fund",U$3,$A182))</f>
        <v/>
      </c>
      <c r="V182" s="13" t="str">
        <f>IF($A182="","",[1]!thsiFinD("ths_adjustment_nv_fund",V$3,$A182))</f>
        <v/>
      </c>
      <c r="W182" s="13" t="str">
        <f>IF($A182="","",[1]!thsiFinD("ths_adjustment_nv_fund",W$3,$A182))</f>
        <v/>
      </c>
      <c r="X182" s="13" t="str">
        <f>IF($A182="","",[1]!thsiFinD("ths_adjustment_nv_fund",X$3,$A182))</f>
        <v/>
      </c>
      <c r="Y182" s="13" t="str">
        <f>IF($A182="","",[1]!thsiFinD("ths_adjustment_nv_fund",Y$3,$A182))</f>
        <v/>
      </c>
      <c r="Z182" s="13" t="str">
        <f>IF($A182="","",[1]!thsiFinD("ths_adjustment_nv_fund",Z$3,$A182))</f>
        <v/>
      </c>
      <c r="AA182" s="13" t="str">
        <f>IF($A182="","",[1]!thsiFinD("ths_adjustment_nv_fund",AA$3,$A182))</f>
        <v/>
      </c>
      <c r="AB182" s="13" t="str">
        <f>IF($A182="","",[1]!thsiFinD("ths_adjustment_nv_fund",AB$3,$A182))</f>
        <v/>
      </c>
      <c r="AC182" s="13" t="str">
        <f>IF($A182="","",[1]!thsiFinD("ths_adjustment_nv_fund",AC$3,$A182))</f>
        <v/>
      </c>
      <c r="AD182" s="13" t="str">
        <f>IF($A182="","",[1]!thsiFinD("ths_adjustment_nv_fund",AD$3,$A182))</f>
        <v/>
      </c>
      <c r="AE182" s="13" t="str">
        <f>IF($A182="","",[1]!thsiFinD("ths_adjustment_nv_fund",AE$3,$A182))</f>
        <v/>
      </c>
      <c r="AF182" s="13" t="str">
        <f>IF($A182="","",[1]!thsiFinD("ths_adjustment_nv_fund",AF$3,$A182))</f>
        <v/>
      </c>
      <c r="AG182" s="13" t="str">
        <f>IF($A182="","",[1]!thsiFinD("ths_adjustment_nv_fund",AG$3,$A182))</f>
        <v/>
      </c>
      <c r="AH182" s="13" t="str">
        <f>IF($A182="","",[1]!thsiFinD("ths_adjustment_nv_fund",AH$3,$A182))</f>
        <v/>
      </c>
      <c r="AI182" s="13" t="str">
        <f>IF($A182="","",[1]!thsiFinD("ths_adjustment_nv_fund",AI$3,$A182))</f>
        <v/>
      </c>
      <c r="AJ182" s="13" t="str">
        <f>IF($A182="","",[1]!thsiFinD("ths_adjustment_nv_fund",AJ$3,$A182))</f>
        <v/>
      </c>
      <c r="AK182" s="13" t="str">
        <f>IF($A182="","",[1]!thsiFinD("ths_adjustment_nv_fund",AK$3,$A182))</f>
        <v/>
      </c>
      <c r="AL182" s="13" t="str">
        <f>IF($A182="","",[1]!thsiFinD("ths_adjustment_nv_fund",AL$3,$A182))</f>
        <v/>
      </c>
    </row>
    <row r="183" spans="1:38">
      <c r="A183" s="9"/>
      <c r="B183" s="13" t="str">
        <f>IF($A183="","",[1]!thsiFinD("ths_adjustment_nv_fund",B$3,$A183))</f>
        <v/>
      </c>
      <c r="C183" s="13" t="str">
        <f>IF($A183="","",[1]!thsiFinD("ths_adjustment_nv_fund",C$3,$A183))</f>
        <v/>
      </c>
      <c r="D183" s="13" t="str">
        <f>IF($A183="","",[1]!thsiFinD("ths_adjustment_nv_fund",D$3,$A183))</f>
        <v/>
      </c>
      <c r="E183" s="13" t="str">
        <f>IF($A183="","",[1]!thsiFinD("ths_adjustment_nv_fund",E$3,$A183))</f>
        <v/>
      </c>
      <c r="F183" s="13" t="str">
        <f>IF($A183="","",[1]!thsiFinD("ths_adjustment_nv_fund",F$3,$A183))</f>
        <v/>
      </c>
      <c r="G183" s="13" t="str">
        <f>IF($A183="","",[1]!thsiFinD("ths_adjustment_nv_fund",G$3,$A183))</f>
        <v/>
      </c>
      <c r="H183" s="13" t="str">
        <f>IF($A183="","",[1]!thsiFinD("ths_adjustment_nv_fund",H$3,$A183))</f>
        <v/>
      </c>
      <c r="I183" s="13" t="str">
        <f>IF($A183="","",[1]!thsiFinD("ths_adjustment_nv_fund",I$3,$A183))</f>
        <v/>
      </c>
      <c r="J183" s="13" t="str">
        <f>IF($A183="","",[1]!thsiFinD("ths_adjustment_nv_fund",J$3,$A183))</f>
        <v/>
      </c>
      <c r="K183" s="13" t="str">
        <f>IF($A183="","",[1]!thsiFinD("ths_adjustment_nv_fund",K$3,$A183))</f>
        <v/>
      </c>
      <c r="L183" s="13" t="str">
        <f>IF($A183="","",[1]!thsiFinD("ths_adjustment_nv_fund",L$3,$A183))</f>
        <v/>
      </c>
      <c r="M183" s="13" t="str">
        <f>IF($A183="","",[1]!thsiFinD("ths_adjustment_nv_fund",M$3,$A183))</f>
        <v/>
      </c>
      <c r="N183" s="13" t="str">
        <f>IF($A183="","",[1]!thsiFinD("ths_adjustment_nv_fund",N$3,$A183))</f>
        <v/>
      </c>
      <c r="O183" s="13" t="str">
        <f>IF($A183="","",[1]!thsiFinD("ths_adjustment_nv_fund",O$3,$A183))</f>
        <v/>
      </c>
      <c r="P183" s="13" t="str">
        <f>IF($A183="","",[1]!thsiFinD("ths_adjustment_nv_fund",P$3,$A183))</f>
        <v/>
      </c>
      <c r="Q183" s="13" t="str">
        <f>IF($A183="","",[1]!thsiFinD("ths_adjustment_nv_fund",Q$3,$A183))</f>
        <v/>
      </c>
      <c r="R183" s="13" t="str">
        <f>IF($A183="","",[1]!thsiFinD("ths_adjustment_nv_fund",R$3,$A183))</f>
        <v/>
      </c>
      <c r="S183" s="13" t="str">
        <f>IF($A183="","",[1]!thsiFinD("ths_adjustment_nv_fund",S$3,$A183))</f>
        <v/>
      </c>
      <c r="T183" s="13" t="str">
        <f>IF($A183="","",[1]!thsiFinD("ths_adjustment_nv_fund",T$3,$A183))</f>
        <v/>
      </c>
      <c r="U183" s="13" t="str">
        <f>IF($A183="","",[1]!thsiFinD("ths_adjustment_nv_fund",U$3,$A183))</f>
        <v/>
      </c>
      <c r="V183" s="13" t="str">
        <f>IF($A183="","",[1]!thsiFinD("ths_adjustment_nv_fund",V$3,$A183))</f>
        <v/>
      </c>
      <c r="W183" s="13" t="str">
        <f>IF($A183="","",[1]!thsiFinD("ths_adjustment_nv_fund",W$3,$A183))</f>
        <v/>
      </c>
      <c r="X183" s="13" t="str">
        <f>IF($A183="","",[1]!thsiFinD("ths_adjustment_nv_fund",X$3,$A183))</f>
        <v/>
      </c>
      <c r="Y183" s="13" t="str">
        <f>IF($A183="","",[1]!thsiFinD("ths_adjustment_nv_fund",Y$3,$A183))</f>
        <v/>
      </c>
      <c r="Z183" s="13" t="str">
        <f>IF($A183="","",[1]!thsiFinD("ths_adjustment_nv_fund",Z$3,$A183))</f>
        <v/>
      </c>
      <c r="AA183" s="13" t="str">
        <f>IF($A183="","",[1]!thsiFinD("ths_adjustment_nv_fund",AA$3,$A183))</f>
        <v/>
      </c>
      <c r="AB183" s="13" t="str">
        <f>IF($A183="","",[1]!thsiFinD("ths_adjustment_nv_fund",AB$3,$A183))</f>
        <v/>
      </c>
      <c r="AC183" s="13" t="str">
        <f>IF($A183="","",[1]!thsiFinD("ths_adjustment_nv_fund",AC$3,$A183))</f>
        <v/>
      </c>
      <c r="AD183" s="13" t="str">
        <f>IF($A183="","",[1]!thsiFinD("ths_adjustment_nv_fund",AD$3,$A183))</f>
        <v/>
      </c>
      <c r="AE183" s="13" t="str">
        <f>IF($A183="","",[1]!thsiFinD("ths_adjustment_nv_fund",AE$3,$A183))</f>
        <v/>
      </c>
      <c r="AF183" s="13" t="str">
        <f>IF($A183="","",[1]!thsiFinD("ths_adjustment_nv_fund",AF$3,$A183))</f>
        <v/>
      </c>
      <c r="AG183" s="13" t="str">
        <f>IF($A183="","",[1]!thsiFinD("ths_adjustment_nv_fund",AG$3,$A183))</f>
        <v/>
      </c>
      <c r="AH183" s="13" t="str">
        <f>IF($A183="","",[1]!thsiFinD("ths_adjustment_nv_fund",AH$3,$A183))</f>
        <v/>
      </c>
      <c r="AI183" s="13" t="str">
        <f>IF($A183="","",[1]!thsiFinD("ths_adjustment_nv_fund",AI$3,$A183))</f>
        <v/>
      </c>
      <c r="AJ183" s="13" t="str">
        <f>IF($A183="","",[1]!thsiFinD("ths_adjustment_nv_fund",AJ$3,$A183))</f>
        <v/>
      </c>
      <c r="AK183" s="13" t="str">
        <f>IF($A183="","",[1]!thsiFinD("ths_adjustment_nv_fund",AK$3,$A183))</f>
        <v/>
      </c>
      <c r="AL183" s="13" t="str">
        <f>IF($A183="","",[1]!thsiFinD("ths_adjustment_nv_fund",AL$3,$A183))</f>
        <v/>
      </c>
    </row>
    <row r="184" spans="1:38">
      <c r="A184" s="9"/>
      <c r="B184" s="13" t="str">
        <f>IF($A184="","",[1]!thsiFinD("ths_adjustment_nv_fund",B$3,$A184))</f>
        <v/>
      </c>
      <c r="C184" s="13" t="str">
        <f>IF($A184="","",[1]!thsiFinD("ths_adjustment_nv_fund",C$3,$A184))</f>
        <v/>
      </c>
      <c r="D184" s="13" t="str">
        <f>IF($A184="","",[1]!thsiFinD("ths_adjustment_nv_fund",D$3,$A184))</f>
        <v/>
      </c>
      <c r="E184" s="13" t="str">
        <f>IF($A184="","",[1]!thsiFinD("ths_adjustment_nv_fund",E$3,$A184))</f>
        <v/>
      </c>
      <c r="F184" s="13" t="str">
        <f>IF($A184="","",[1]!thsiFinD("ths_adjustment_nv_fund",F$3,$A184))</f>
        <v/>
      </c>
      <c r="G184" s="13" t="str">
        <f>IF($A184="","",[1]!thsiFinD("ths_adjustment_nv_fund",G$3,$A184))</f>
        <v/>
      </c>
      <c r="H184" s="13" t="str">
        <f>IF($A184="","",[1]!thsiFinD("ths_adjustment_nv_fund",H$3,$A184))</f>
        <v/>
      </c>
      <c r="I184" s="13" t="str">
        <f>IF($A184="","",[1]!thsiFinD("ths_adjustment_nv_fund",I$3,$A184))</f>
        <v/>
      </c>
      <c r="J184" s="13" t="str">
        <f>IF($A184="","",[1]!thsiFinD("ths_adjustment_nv_fund",J$3,$A184))</f>
        <v/>
      </c>
      <c r="K184" s="13" t="str">
        <f>IF($A184="","",[1]!thsiFinD("ths_adjustment_nv_fund",K$3,$A184))</f>
        <v/>
      </c>
      <c r="L184" s="13" t="str">
        <f>IF($A184="","",[1]!thsiFinD("ths_adjustment_nv_fund",L$3,$A184))</f>
        <v/>
      </c>
      <c r="M184" s="13" t="str">
        <f>IF($A184="","",[1]!thsiFinD("ths_adjustment_nv_fund",M$3,$A184))</f>
        <v/>
      </c>
      <c r="N184" s="13" t="str">
        <f>IF($A184="","",[1]!thsiFinD("ths_adjustment_nv_fund",N$3,$A184))</f>
        <v/>
      </c>
      <c r="O184" s="13" t="str">
        <f>IF($A184="","",[1]!thsiFinD("ths_adjustment_nv_fund",O$3,$A184))</f>
        <v/>
      </c>
      <c r="P184" s="13" t="str">
        <f>IF($A184="","",[1]!thsiFinD("ths_adjustment_nv_fund",P$3,$A184))</f>
        <v/>
      </c>
      <c r="Q184" s="13" t="str">
        <f>IF($A184="","",[1]!thsiFinD("ths_adjustment_nv_fund",Q$3,$A184))</f>
        <v/>
      </c>
      <c r="R184" s="13" t="str">
        <f>IF($A184="","",[1]!thsiFinD("ths_adjustment_nv_fund",R$3,$A184))</f>
        <v/>
      </c>
      <c r="S184" s="13" t="str">
        <f>IF($A184="","",[1]!thsiFinD("ths_adjustment_nv_fund",S$3,$A184))</f>
        <v/>
      </c>
      <c r="T184" s="13" t="str">
        <f>IF($A184="","",[1]!thsiFinD("ths_adjustment_nv_fund",T$3,$A184))</f>
        <v/>
      </c>
      <c r="U184" s="13" t="str">
        <f>IF($A184="","",[1]!thsiFinD("ths_adjustment_nv_fund",U$3,$A184))</f>
        <v/>
      </c>
      <c r="V184" s="13" t="str">
        <f>IF($A184="","",[1]!thsiFinD("ths_adjustment_nv_fund",V$3,$A184))</f>
        <v/>
      </c>
      <c r="W184" s="13" t="str">
        <f>IF($A184="","",[1]!thsiFinD("ths_adjustment_nv_fund",W$3,$A184))</f>
        <v/>
      </c>
      <c r="X184" s="13" t="str">
        <f>IF($A184="","",[1]!thsiFinD("ths_adjustment_nv_fund",X$3,$A184))</f>
        <v/>
      </c>
      <c r="Y184" s="13" t="str">
        <f>IF($A184="","",[1]!thsiFinD("ths_adjustment_nv_fund",Y$3,$A184))</f>
        <v/>
      </c>
      <c r="Z184" s="13" t="str">
        <f>IF($A184="","",[1]!thsiFinD("ths_adjustment_nv_fund",Z$3,$A184))</f>
        <v/>
      </c>
      <c r="AA184" s="13" t="str">
        <f>IF($A184="","",[1]!thsiFinD("ths_adjustment_nv_fund",AA$3,$A184))</f>
        <v/>
      </c>
      <c r="AB184" s="13" t="str">
        <f>IF($A184="","",[1]!thsiFinD("ths_adjustment_nv_fund",AB$3,$A184))</f>
        <v/>
      </c>
      <c r="AC184" s="13" t="str">
        <f>IF($A184="","",[1]!thsiFinD("ths_adjustment_nv_fund",AC$3,$A184))</f>
        <v/>
      </c>
      <c r="AD184" s="13" t="str">
        <f>IF($A184="","",[1]!thsiFinD("ths_adjustment_nv_fund",AD$3,$A184))</f>
        <v/>
      </c>
      <c r="AE184" s="13" t="str">
        <f>IF($A184="","",[1]!thsiFinD("ths_adjustment_nv_fund",AE$3,$A184))</f>
        <v/>
      </c>
      <c r="AF184" s="13" t="str">
        <f>IF($A184="","",[1]!thsiFinD("ths_adjustment_nv_fund",AF$3,$A184))</f>
        <v/>
      </c>
      <c r="AG184" s="13" t="str">
        <f>IF($A184="","",[1]!thsiFinD("ths_adjustment_nv_fund",AG$3,$A184))</f>
        <v/>
      </c>
      <c r="AH184" s="13" t="str">
        <f>IF($A184="","",[1]!thsiFinD("ths_adjustment_nv_fund",AH$3,$A184))</f>
        <v/>
      </c>
      <c r="AI184" s="13" t="str">
        <f>IF($A184="","",[1]!thsiFinD("ths_adjustment_nv_fund",AI$3,$A184))</f>
        <v/>
      </c>
      <c r="AJ184" s="13" t="str">
        <f>IF($A184="","",[1]!thsiFinD("ths_adjustment_nv_fund",AJ$3,$A184))</f>
        <v/>
      </c>
      <c r="AK184" s="13" t="str">
        <f>IF($A184="","",[1]!thsiFinD("ths_adjustment_nv_fund",AK$3,$A184))</f>
        <v/>
      </c>
      <c r="AL184" s="13" t="str">
        <f>IF($A184="","",[1]!thsiFinD("ths_adjustment_nv_fund",AL$3,$A184))</f>
        <v/>
      </c>
    </row>
    <row r="185" spans="1:38">
      <c r="A185" s="9"/>
      <c r="B185" s="13" t="str">
        <f>IF($A185="","",[1]!thsiFinD("ths_adjustment_nv_fund",B$3,$A185))</f>
        <v/>
      </c>
      <c r="C185" s="13" t="str">
        <f>IF($A185="","",[1]!thsiFinD("ths_adjustment_nv_fund",C$3,$A185))</f>
        <v/>
      </c>
      <c r="D185" s="13" t="str">
        <f>IF($A185="","",[1]!thsiFinD("ths_adjustment_nv_fund",D$3,$A185))</f>
        <v/>
      </c>
      <c r="E185" s="13" t="str">
        <f>IF($A185="","",[1]!thsiFinD("ths_adjustment_nv_fund",E$3,$A185))</f>
        <v/>
      </c>
      <c r="F185" s="13" t="str">
        <f>IF($A185="","",[1]!thsiFinD("ths_adjustment_nv_fund",F$3,$A185))</f>
        <v/>
      </c>
      <c r="G185" s="13" t="str">
        <f>IF($A185="","",[1]!thsiFinD("ths_adjustment_nv_fund",G$3,$A185))</f>
        <v/>
      </c>
      <c r="H185" s="13" t="str">
        <f>IF($A185="","",[1]!thsiFinD("ths_adjustment_nv_fund",H$3,$A185))</f>
        <v/>
      </c>
      <c r="I185" s="13" t="str">
        <f>IF($A185="","",[1]!thsiFinD("ths_adjustment_nv_fund",I$3,$A185))</f>
        <v/>
      </c>
      <c r="J185" s="13" t="str">
        <f>IF($A185="","",[1]!thsiFinD("ths_adjustment_nv_fund",J$3,$A185))</f>
        <v/>
      </c>
      <c r="K185" s="13" t="str">
        <f>IF($A185="","",[1]!thsiFinD("ths_adjustment_nv_fund",K$3,$A185))</f>
        <v/>
      </c>
      <c r="L185" s="13" t="str">
        <f>IF($A185="","",[1]!thsiFinD("ths_adjustment_nv_fund",L$3,$A185))</f>
        <v/>
      </c>
      <c r="M185" s="13" t="str">
        <f>IF($A185="","",[1]!thsiFinD("ths_adjustment_nv_fund",M$3,$A185))</f>
        <v/>
      </c>
      <c r="N185" s="13" t="str">
        <f>IF($A185="","",[1]!thsiFinD("ths_adjustment_nv_fund",N$3,$A185))</f>
        <v/>
      </c>
      <c r="O185" s="13" t="str">
        <f>IF($A185="","",[1]!thsiFinD("ths_adjustment_nv_fund",O$3,$A185))</f>
        <v/>
      </c>
      <c r="P185" s="13" t="str">
        <f>IF($A185="","",[1]!thsiFinD("ths_adjustment_nv_fund",P$3,$A185))</f>
        <v/>
      </c>
      <c r="Q185" s="13" t="str">
        <f>IF($A185="","",[1]!thsiFinD("ths_adjustment_nv_fund",Q$3,$A185))</f>
        <v/>
      </c>
      <c r="R185" s="13" t="str">
        <f>IF($A185="","",[1]!thsiFinD("ths_adjustment_nv_fund",R$3,$A185))</f>
        <v/>
      </c>
      <c r="S185" s="13" t="str">
        <f>IF($A185="","",[1]!thsiFinD("ths_adjustment_nv_fund",S$3,$A185))</f>
        <v/>
      </c>
      <c r="T185" s="13" t="str">
        <f>IF($A185="","",[1]!thsiFinD("ths_adjustment_nv_fund",T$3,$A185))</f>
        <v/>
      </c>
      <c r="U185" s="13" t="str">
        <f>IF($A185="","",[1]!thsiFinD("ths_adjustment_nv_fund",U$3,$A185))</f>
        <v/>
      </c>
      <c r="V185" s="13" t="str">
        <f>IF($A185="","",[1]!thsiFinD("ths_adjustment_nv_fund",V$3,$A185))</f>
        <v/>
      </c>
      <c r="W185" s="13" t="str">
        <f>IF($A185="","",[1]!thsiFinD("ths_adjustment_nv_fund",W$3,$A185))</f>
        <v/>
      </c>
      <c r="X185" s="13" t="str">
        <f>IF($A185="","",[1]!thsiFinD("ths_adjustment_nv_fund",X$3,$A185))</f>
        <v/>
      </c>
      <c r="Y185" s="13" t="str">
        <f>IF($A185="","",[1]!thsiFinD("ths_adjustment_nv_fund",Y$3,$A185))</f>
        <v/>
      </c>
      <c r="Z185" s="13" t="str">
        <f>IF($A185="","",[1]!thsiFinD("ths_adjustment_nv_fund",Z$3,$A185))</f>
        <v/>
      </c>
      <c r="AA185" s="13" t="str">
        <f>IF($A185="","",[1]!thsiFinD("ths_adjustment_nv_fund",AA$3,$A185))</f>
        <v/>
      </c>
      <c r="AB185" s="13" t="str">
        <f>IF($A185="","",[1]!thsiFinD("ths_adjustment_nv_fund",AB$3,$A185))</f>
        <v/>
      </c>
      <c r="AC185" s="13" t="str">
        <f>IF($A185="","",[1]!thsiFinD("ths_adjustment_nv_fund",AC$3,$A185))</f>
        <v/>
      </c>
      <c r="AD185" s="13" t="str">
        <f>IF($A185="","",[1]!thsiFinD("ths_adjustment_nv_fund",AD$3,$A185))</f>
        <v/>
      </c>
      <c r="AE185" s="13" t="str">
        <f>IF($A185="","",[1]!thsiFinD("ths_adjustment_nv_fund",AE$3,$A185))</f>
        <v/>
      </c>
      <c r="AF185" s="13" t="str">
        <f>IF($A185="","",[1]!thsiFinD("ths_adjustment_nv_fund",AF$3,$A185))</f>
        <v/>
      </c>
      <c r="AG185" s="13" t="str">
        <f>IF($A185="","",[1]!thsiFinD("ths_adjustment_nv_fund",AG$3,$A185))</f>
        <v/>
      </c>
      <c r="AH185" s="13" t="str">
        <f>IF($A185="","",[1]!thsiFinD("ths_adjustment_nv_fund",AH$3,$A185))</f>
        <v/>
      </c>
      <c r="AI185" s="13" t="str">
        <f>IF($A185="","",[1]!thsiFinD("ths_adjustment_nv_fund",AI$3,$A185))</f>
        <v/>
      </c>
      <c r="AJ185" s="13" t="str">
        <f>IF($A185="","",[1]!thsiFinD("ths_adjustment_nv_fund",AJ$3,$A185))</f>
        <v/>
      </c>
      <c r="AK185" s="13" t="str">
        <f>IF($A185="","",[1]!thsiFinD("ths_adjustment_nv_fund",AK$3,$A185))</f>
        <v/>
      </c>
      <c r="AL185" s="13" t="str">
        <f>IF($A185="","",[1]!thsiFinD("ths_adjustment_nv_fund",AL$3,$A185))</f>
        <v/>
      </c>
    </row>
    <row r="186" spans="1:38">
      <c r="A186" s="9"/>
      <c r="B186" s="13" t="str">
        <f>IF($A186="","",[1]!thsiFinD("ths_adjustment_nv_fund",B$3,$A186))</f>
        <v/>
      </c>
      <c r="C186" s="13" t="str">
        <f>IF($A186="","",[1]!thsiFinD("ths_adjustment_nv_fund",C$3,$A186))</f>
        <v/>
      </c>
      <c r="D186" s="13" t="str">
        <f>IF($A186="","",[1]!thsiFinD("ths_adjustment_nv_fund",D$3,$A186))</f>
        <v/>
      </c>
      <c r="E186" s="13" t="str">
        <f>IF($A186="","",[1]!thsiFinD("ths_adjustment_nv_fund",E$3,$A186))</f>
        <v/>
      </c>
      <c r="F186" s="13" t="str">
        <f>IF($A186="","",[1]!thsiFinD("ths_adjustment_nv_fund",F$3,$A186))</f>
        <v/>
      </c>
      <c r="G186" s="13" t="str">
        <f>IF($A186="","",[1]!thsiFinD("ths_adjustment_nv_fund",G$3,$A186))</f>
        <v/>
      </c>
      <c r="H186" s="13" t="str">
        <f>IF($A186="","",[1]!thsiFinD("ths_adjustment_nv_fund",H$3,$A186))</f>
        <v/>
      </c>
      <c r="I186" s="13" t="str">
        <f>IF($A186="","",[1]!thsiFinD("ths_adjustment_nv_fund",I$3,$A186))</f>
        <v/>
      </c>
      <c r="J186" s="13" t="str">
        <f>IF($A186="","",[1]!thsiFinD("ths_adjustment_nv_fund",J$3,$A186))</f>
        <v/>
      </c>
      <c r="K186" s="13" t="str">
        <f>IF($A186="","",[1]!thsiFinD("ths_adjustment_nv_fund",K$3,$A186))</f>
        <v/>
      </c>
      <c r="L186" s="13" t="str">
        <f>IF($A186="","",[1]!thsiFinD("ths_adjustment_nv_fund",L$3,$A186))</f>
        <v/>
      </c>
      <c r="M186" s="13" t="str">
        <f>IF($A186="","",[1]!thsiFinD("ths_adjustment_nv_fund",M$3,$A186))</f>
        <v/>
      </c>
      <c r="N186" s="13" t="str">
        <f>IF($A186="","",[1]!thsiFinD("ths_adjustment_nv_fund",N$3,$A186))</f>
        <v/>
      </c>
      <c r="O186" s="13" t="str">
        <f>IF($A186="","",[1]!thsiFinD("ths_adjustment_nv_fund",O$3,$A186))</f>
        <v/>
      </c>
      <c r="P186" s="13" t="str">
        <f>IF($A186="","",[1]!thsiFinD("ths_adjustment_nv_fund",P$3,$A186))</f>
        <v/>
      </c>
      <c r="Q186" s="13" t="str">
        <f>IF($A186="","",[1]!thsiFinD("ths_adjustment_nv_fund",Q$3,$A186))</f>
        <v/>
      </c>
      <c r="R186" s="13" t="str">
        <f>IF($A186="","",[1]!thsiFinD("ths_adjustment_nv_fund",R$3,$A186))</f>
        <v/>
      </c>
      <c r="S186" s="13" t="str">
        <f>IF($A186="","",[1]!thsiFinD("ths_adjustment_nv_fund",S$3,$A186))</f>
        <v/>
      </c>
      <c r="T186" s="13" t="str">
        <f>IF($A186="","",[1]!thsiFinD("ths_adjustment_nv_fund",T$3,$A186))</f>
        <v/>
      </c>
      <c r="U186" s="13" t="str">
        <f>IF($A186="","",[1]!thsiFinD("ths_adjustment_nv_fund",U$3,$A186))</f>
        <v/>
      </c>
      <c r="V186" s="13" t="str">
        <f>IF($A186="","",[1]!thsiFinD("ths_adjustment_nv_fund",V$3,$A186))</f>
        <v/>
      </c>
      <c r="W186" s="13" t="str">
        <f>IF($A186="","",[1]!thsiFinD("ths_adjustment_nv_fund",W$3,$A186))</f>
        <v/>
      </c>
      <c r="X186" s="13" t="str">
        <f>IF($A186="","",[1]!thsiFinD("ths_adjustment_nv_fund",X$3,$A186))</f>
        <v/>
      </c>
      <c r="Y186" s="13" t="str">
        <f>IF($A186="","",[1]!thsiFinD("ths_adjustment_nv_fund",Y$3,$A186))</f>
        <v/>
      </c>
      <c r="Z186" s="13" t="str">
        <f>IF($A186="","",[1]!thsiFinD("ths_adjustment_nv_fund",Z$3,$A186))</f>
        <v/>
      </c>
      <c r="AA186" s="13" t="str">
        <f>IF($A186="","",[1]!thsiFinD("ths_adjustment_nv_fund",AA$3,$A186))</f>
        <v/>
      </c>
      <c r="AB186" s="13" t="str">
        <f>IF($A186="","",[1]!thsiFinD("ths_adjustment_nv_fund",AB$3,$A186))</f>
        <v/>
      </c>
      <c r="AC186" s="13" t="str">
        <f>IF($A186="","",[1]!thsiFinD("ths_adjustment_nv_fund",AC$3,$A186))</f>
        <v/>
      </c>
      <c r="AD186" s="13" t="str">
        <f>IF($A186="","",[1]!thsiFinD("ths_adjustment_nv_fund",AD$3,$A186))</f>
        <v/>
      </c>
      <c r="AE186" s="13" t="str">
        <f>IF($A186="","",[1]!thsiFinD("ths_adjustment_nv_fund",AE$3,$A186))</f>
        <v/>
      </c>
      <c r="AF186" s="13" t="str">
        <f>IF($A186="","",[1]!thsiFinD("ths_adjustment_nv_fund",AF$3,$A186))</f>
        <v/>
      </c>
      <c r="AG186" s="13" t="str">
        <f>IF($A186="","",[1]!thsiFinD("ths_adjustment_nv_fund",AG$3,$A186))</f>
        <v/>
      </c>
      <c r="AH186" s="13" t="str">
        <f>IF($A186="","",[1]!thsiFinD("ths_adjustment_nv_fund",AH$3,$A186))</f>
        <v/>
      </c>
      <c r="AI186" s="13" t="str">
        <f>IF($A186="","",[1]!thsiFinD("ths_adjustment_nv_fund",AI$3,$A186))</f>
        <v/>
      </c>
      <c r="AJ186" s="13" t="str">
        <f>IF($A186="","",[1]!thsiFinD("ths_adjustment_nv_fund",AJ$3,$A186))</f>
        <v/>
      </c>
      <c r="AK186" s="13" t="str">
        <f>IF($A186="","",[1]!thsiFinD("ths_adjustment_nv_fund",AK$3,$A186))</f>
        <v/>
      </c>
      <c r="AL186" s="13" t="str">
        <f>IF($A186="","",[1]!thsiFinD("ths_adjustment_nv_fund",AL$3,$A186))</f>
        <v/>
      </c>
    </row>
    <row r="187" spans="1:38">
      <c r="A187" s="9"/>
      <c r="B187" s="13" t="str">
        <f>IF($A187="","",[1]!thsiFinD("ths_adjustment_nv_fund",B$3,$A187))</f>
        <v/>
      </c>
      <c r="C187" s="13" t="str">
        <f>IF($A187="","",[1]!thsiFinD("ths_adjustment_nv_fund",C$3,$A187))</f>
        <v/>
      </c>
      <c r="D187" s="13" t="str">
        <f>IF($A187="","",[1]!thsiFinD("ths_adjustment_nv_fund",D$3,$A187))</f>
        <v/>
      </c>
      <c r="E187" s="13" t="str">
        <f>IF($A187="","",[1]!thsiFinD("ths_adjustment_nv_fund",E$3,$A187))</f>
        <v/>
      </c>
      <c r="F187" s="13" t="str">
        <f>IF($A187="","",[1]!thsiFinD("ths_adjustment_nv_fund",F$3,$A187))</f>
        <v/>
      </c>
      <c r="G187" s="13" t="str">
        <f>IF($A187="","",[1]!thsiFinD("ths_adjustment_nv_fund",G$3,$A187))</f>
        <v/>
      </c>
      <c r="H187" s="13" t="str">
        <f>IF($A187="","",[1]!thsiFinD("ths_adjustment_nv_fund",H$3,$A187))</f>
        <v/>
      </c>
      <c r="I187" s="13" t="str">
        <f>IF($A187="","",[1]!thsiFinD("ths_adjustment_nv_fund",I$3,$A187))</f>
        <v/>
      </c>
      <c r="J187" s="13" t="str">
        <f>IF($A187="","",[1]!thsiFinD("ths_adjustment_nv_fund",J$3,$A187))</f>
        <v/>
      </c>
      <c r="K187" s="13" t="str">
        <f>IF($A187="","",[1]!thsiFinD("ths_adjustment_nv_fund",K$3,$A187))</f>
        <v/>
      </c>
      <c r="L187" s="13" t="str">
        <f>IF($A187="","",[1]!thsiFinD("ths_adjustment_nv_fund",L$3,$A187))</f>
        <v/>
      </c>
      <c r="M187" s="13" t="str">
        <f>IF($A187="","",[1]!thsiFinD("ths_adjustment_nv_fund",M$3,$A187))</f>
        <v/>
      </c>
      <c r="N187" s="13" t="str">
        <f>IF($A187="","",[1]!thsiFinD("ths_adjustment_nv_fund",N$3,$A187))</f>
        <v/>
      </c>
      <c r="O187" s="13" t="str">
        <f>IF($A187="","",[1]!thsiFinD("ths_adjustment_nv_fund",O$3,$A187))</f>
        <v/>
      </c>
      <c r="P187" s="13" t="str">
        <f>IF($A187="","",[1]!thsiFinD("ths_adjustment_nv_fund",P$3,$A187))</f>
        <v/>
      </c>
      <c r="Q187" s="13" t="str">
        <f>IF($A187="","",[1]!thsiFinD("ths_adjustment_nv_fund",Q$3,$A187))</f>
        <v/>
      </c>
      <c r="R187" s="13" t="str">
        <f>IF($A187="","",[1]!thsiFinD("ths_adjustment_nv_fund",R$3,$A187))</f>
        <v/>
      </c>
      <c r="S187" s="13" t="str">
        <f>IF($A187="","",[1]!thsiFinD("ths_adjustment_nv_fund",S$3,$A187))</f>
        <v/>
      </c>
      <c r="T187" s="13" t="str">
        <f>IF($A187="","",[1]!thsiFinD("ths_adjustment_nv_fund",T$3,$A187))</f>
        <v/>
      </c>
      <c r="U187" s="13" t="str">
        <f>IF($A187="","",[1]!thsiFinD("ths_adjustment_nv_fund",U$3,$A187))</f>
        <v/>
      </c>
      <c r="V187" s="13" t="str">
        <f>IF($A187="","",[1]!thsiFinD("ths_adjustment_nv_fund",V$3,$A187))</f>
        <v/>
      </c>
      <c r="W187" s="13" t="str">
        <f>IF($A187="","",[1]!thsiFinD("ths_adjustment_nv_fund",W$3,$A187))</f>
        <v/>
      </c>
      <c r="X187" s="13" t="str">
        <f>IF($A187="","",[1]!thsiFinD("ths_adjustment_nv_fund",X$3,$A187))</f>
        <v/>
      </c>
      <c r="Y187" s="13" t="str">
        <f>IF($A187="","",[1]!thsiFinD("ths_adjustment_nv_fund",Y$3,$A187))</f>
        <v/>
      </c>
      <c r="Z187" s="13" t="str">
        <f>IF($A187="","",[1]!thsiFinD("ths_adjustment_nv_fund",Z$3,$A187))</f>
        <v/>
      </c>
      <c r="AA187" s="13" t="str">
        <f>IF($A187="","",[1]!thsiFinD("ths_adjustment_nv_fund",AA$3,$A187))</f>
        <v/>
      </c>
      <c r="AB187" s="13" t="str">
        <f>IF($A187="","",[1]!thsiFinD("ths_adjustment_nv_fund",AB$3,$A187))</f>
        <v/>
      </c>
      <c r="AC187" s="13" t="str">
        <f>IF($A187="","",[1]!thsiFinD("ths_adjustment_nv_fund",AC$3,$A187))</f>
        <v/>
      </c>
      <c r="AD187" s="13" t="str">
        <f>IF($A187="","",[1]!thsiFinD("ths_adjustment_nv_fund",AD$3,$A187))</f>
        <v/>
      </c>
      <c r="AE187" s="13" t="str">
        <f>IF($A187="","",[1]!thsiFinD("ths_adjustment_nv_fund",AE$3,$A187))</f>
        <v/>
      </c>
      <c r="AF187" s="13" t="str">
        <f>IF($A187="","",[1]!thsiFinD("ths_adjustment_nv_fund",AF$3,$A187))</f>
        <v/>
      </c>
      <c r="AG187" s="13" t="str">
        <f>IF($A187="","",[1]!thsiFinD("ths_adjustment_nv_fund",AG$3,$A187))</f>
        <v/>
      </c>
      <c r="AH187" s="13" t="str">
        <f>IF($A187="","",[1]!thsiFinD("ths_adjustment_nv_fund",AH$3,$A187))</f>
        <v/>
      </c>
      <c r="AI187" s="13" t="str">
        <f>IF($A187="","",[1]!thsiFinD("ths_adjustment_nv_fund",AI$3,$A187))</f>
        <v/>
      </c>
      <c r="AJ187" s="13" t="str">
        <f>IF($A187="","",[1]!thsiFinD("ths_adjustment_nv_fund",AJ$3,$A187))</f>
        <v/>
      </c>
      <c r="AK187" s="13" t="str">
        <f>IF($A187="","",[1]!thsiFinD("ths_adjustment_nv_fund",AK$3,$A187))</f>
        <v/>
      </c>
      <c r="AL187" s="13" t="str">
        <f>IF($A187="","",[1]!thsiFinD("ths_adjustment_nv_fund",AL$3,$A187))</f>
        <v/>
      </c>
    </row>
    <row r="188" spans="1:38">
      <c r="A188" s="9"/>
      <c r="B188" s="13" t="str">
        <f>IF($A188="","",[1]!thsiFinD("ths_adjustment_nv_fund",B$3,$A188))</f>
        <v/>
      </c>
      <c r="C188" s="13" t="str">
        <f>IF($A188="","",[1]!thsiFinD("ths_adjustment_nv_fund",C$3,$A188))</f>
        <v/>
      </c>
      <c r="D188" s="13" t="str">
        <f>IF($A188="","",[1]!thsiFinD("ths_adjustment_nv_fund",D$3,$A188))</f>
        <v/>
      </c>
      <c r="E188" s="13" t="str">
        <f>IF($A188="","",[1]!thsiFinD("ths_adjustment_nv_fund",E$3,$A188))</f>
        <v/>
      </c>
      <c r="F188" s="13" t="str">
        <f>IF($A188="","",[1]!thsiFinD("ths_adjustment_nv_fund",F$3,$A188))</f>
        <v/>
      </c>
      <c r="G188" s="13" t="str">
        <f>IF($A188="","",[1]!thsiFinD("ths_adjustment_nv_fund",G$3,$A188))</f>
        <v/>
      </c>
      <c r="H188" s="13" t="str">
        <f>IF($A188="","",[1]!thsiFinD("ths_adjustment_nv_fund",H$3,$A188))</f>
        <v/>
      </c>
      <c r="I188" s="13" t="str">
        <f>IF($A188="","",[1]!thsiFinD("ths_adjustment_nv_fund",I$3,$A188))</f>
        <v/>
      </c>
      <c r="J188" s="13" t="str">
        <f>IF($A188="","",[1]!thsiFinD("ths_adjustment_nv_fund",J$3,$A188))</f>
        <v/>
      </c>
      <c r="K188" s="13" t="str">
        <f>IF($A188="","",[1]!thsiFinD("ths_adjustment_nv_fund",K$3,$A188))</f>
        <v/>
      </c>
      <c r="L188" s="13" t="str">
        <f>IF($A188="","",[1]!thsiFinD("ths_adjustment_nv_fund",L$3,$A188))</f>
        <v/>
      </c>
      <c r="M188" s="13" t="str">
        <f>IF($A188="","",[1]!thsiFinD("ths_adjustment_nv_fund",M$3,$A188))</f>
        <v/>
      </c>
      <c r="N188" s="13" t="str">
        <f>IF($A188="","",[1]!thsiFinD("ths_adjustment_nv_fund",N$3,$A188))</f>
        <v/>
      </c>
      <c r="O188" s="13" t="str">
        <f>IF($A188="","",[1]!thsiFinD("ths_adjustment_nv_fund",O$3,$A188))</f>
        <v/>
      </c>
      <c r="P188" s="13" t="str">
        <f>IF($A188="","",[1]!thsiFinD("ths_adjustment_nv_fund",P$3,$A188))</f>
        <v/>
      </c>
      <c r="Q188" s="13" t="str">
        <f>IF($A188="","",[1]!thsiFinD("ths_adjustment_nv_fund",Q$3,$A188))</f>
        <v/>
      </c>
      <c r="R188" s="13" t="str">
        <f>IF($A188="","",[1]!thsiFinD("ths_adjustment_nv_fund",R$3,$A188))</f>
        <v/>
      </c>
      <c r="S188" s="13" t="str">
        <f>IF($A188="","",[1]!thsiFinD("ths_adjustment_nv_fund",S$3,$A188))</f>
        <v/>
      </c>
      <c r="T188" s="13" t="str">
        <f>IF($A188="","",[1]!thsiFinD("ths_adjustment_nv_fund",T$3,$A188))</f>
        <v/>
      </c>
      <c r="U188" s="13" t="str">
        <f>IF($A188="","",[1]!thsiFinD("ths_adjustment_nv_fund",U$3,$A188))</f>
        <v/>
      </c>
      <c r="V188" s="13" t="str">
        <f>IF($A188="","",[1]!thsiFinD("ths_adjustment_nv_fund",V$3,$A188))</f>
        <v/>
      </c>
      <c r="W188" s="13" t="str">
        <f>IF($A188="","",[1]!thsiFinD("ths_adjustment_nv_fund",W$3,$A188))</f>
        <v/>
      </c>
      <c r="X188" s="13" t="str">
        <f>IF($A188="","",[1]!thsiFinD("ths_adjustment_nv_fund",X$3,$A188))</f>
        <v/>
      </c>
      <c r="Y188" s="13" t="str">
        <f>IF($A188="","",[1]!thsiFinD("ths_adjustment_nv_fund",Y$3,$A188))</f>
        <v/>
      </c>
      <c r="Z188" s="13" t="str">
        <f>IF($A188="","",[1]!thsiFinD("ths_adjustment_nv_fund",Z$3,$A188))</f>
        <v/>
      </c>
      <c r="AA188" s="13" t="str">
        <f>IF($A188="","",[1]!thsiFinD("ths_adjustment_nv_fund",AA$3,$A188))</f>
        <v/>
      </c>
      <c r="AB188" s="13" t="str">
        <f>IF($A188="","",[1]!thsiFinD("ths_adjustment_nv_fund",AB$3,$A188))</f>
        <v/>
      </c>
      <c r="AC188" s="13" t="str">
        <f>IF($A188="","",[1]!thsiFinD("ths_adjustment_nv_fund",AC$3,$A188))</f>
        <v/>
      </c>
      <c r="AD188" s="13" t="str">
        <f>IF($A188="","",[1]!thsiFinD("ths_adjustment_nv_fund",AD$3,$A188))</f>
        <v/>
      </c>
      <c r="AE188" s="13" t="str">
        <f>IF($A188="","",[1]!thsiFinD("ths_adjustment_nv_fund",AE$3,$A188))</f>
        <v/>
      </c>
      <c r="AF188" s="13" t="str">
        <f>IF($A188="","",[1]!thsiFinD("ths_adjustment_nv_fund",AF$3,$A188))</f>
        <v/>
      </c>
      <c r="AG188" s="13" t="str">
        <f>IF($A188="","",[1]!thsiFinD("ths_adjustment_nv_fund",AG$3,$A188))</f>
        <v/>
      </c>
      <c r="AH188" s="13" t="str">
        <f>IF($A188="","",[1]!thsiFinD("ths_adjustment_nv_fund",AH$3,$A188))</f>
        <v/>
      </c>
      <c r="AI188" s="13" t="str">
        <f>IF($A188="","",[1]!thsiFinD("ths_adjustment_nv_fund",AI$3,$A188))</f>
        <v/>
      </c>
      <c r="AJ188" s="13" t="str">
        <f>IF($A188="","",[1]!thsiFinD("ths_adjustment_nv_fund",AJ$3,$A188))</f>
        <v/>
      </c>
      <c r="AK188" s="13" t="str">
        <f>IF($A188="","",[1]!thsiFinD("ths_adjustment_nv_fund",AK$3,$A188))</f>
        <v/>
      </c>
      <c r="AL188" s="13" t="str">
        <f>IF($A188="","",[1]!thsiFinD("ths_adjustment_nv_fund",AL$3,$A188))</f>
        <v/>
      </c>
    </row>
    <row r="189" spans="1:38">
      <c r="A189" s="9"/>
      <c r="B189" s="13" t="str">
        <f>IF($A189="","",[1]!thsiFinD("ths_adjustment_nv_fund",B$3,$A189))</f>
        <v/>
      </c>
      <c r="C189" s="13" t="str">
        <f>IF($A189="","",[1]!thsiFinD("ths_adjustment_nv_fund",C$3,$A189))</f>
        <v/>
      </c>
      <c r="D189" s="13" t="str">
        <f>IF($A189="","",[1]!thsiFinD("ths_adjustment_nv_fund",D$3,$A189))</f>
        <v/>
      </c>
      <c r="E189" s="13" t="str">
        <f>IF($A189="","",[1]!thsiFinD("ths_adjustment_nv_fund",E$3,$A189))</f>
        <v/>
      </c>
      <c r="F189" s="13" t="str">
        <f>IF($A189="","",[1]!thsiFinD("ths_adjustment_nv_fund",F$3,$A189))</f>
        <v/>
      </c>
      <c r="G189" s="13" t="str">
        <f>IF($A189="","",[1]!thsiFinD("ths_adjustment_nv_fund",G$3,$A189))</f>
        <v/>
      </c>
      <c r="H189" s="13" t="str">
        <f>IF($A189="","",[1]!thsiFinD("ths_adjustment_nv_fund",H$3,$A189))</f>
        <v/>
      </c>
      <c r="I189" s="13" t="str">
        <f>IF($A189="","",[1]!thsiFinD("ths_adjustment_nv_fund",I$3,$A189))</f>
        <v/>
      </c>
      <c r="J189" s="13" t="str">
        <f>IF($A189="","",[1]!thsiFinD("ths_adjustment_nv_fund",J$3,$A189))</f>
        <v/>
      </c>
      <c r="K189" s="13" t="str">
        <f>IF($A189="","",[1]!thsiFinD("ths_adjustment_nv_fund",K$3,$A189))</f>
        <v/>
      </c>
      <c r="L189" s="13" t="str">
        <f>IF($A189="","",[1]!thsiFinD("ths_adjustment_nv_fund",L$3,$A189))</f>
        <v/>
      </c>
      <c r="M189" s="13" t="str">
        <f>IF($A189="","",[1]!thsiFinD("ths_adjustment_nv_fund",M$3,$A189))</f>
        <v/>
      </c>
      <c r="N189" s="13" t="str">
        <f>IF($A189="","",[1]!thsiFinD("ths_adjustment_nv_fund",N$3,$A189))</f>
        <v/>
      </c>
      <c r="O189" s="13" t="str">
        <f>IF($A189="","",[1]!thsiFinD("ths_adjustment_nv_fund",O$3,$A189))</f>
        <v/>
      </c>
      <c r="P189" s="13" t="str">
        <f>IF($A189="","",[1]!thsiFinD("ths_adjustment_nv_fund",P$3,$A189))</f>
        <v/>
      </c>
      <c r="Q189" s="13" t="str">
        <f>IF($A189="","",[1]!thsiFinD("ths_adjustment_nv_fund",Q$3,$A189))</f>
        <v/>
      </c>
      <c r="R189" s="13" t="str">
        <f>IF($A189="","",[1]!thsiFinD("ths_adjustment_nv_fund",R$3,$A189))</f>
        <v/>
      </c>
      <c r="S189" s="13" t="str">
        <f>IF($A189="","",[1]!thsiFinD("ths_adjustment_nv_fund",S$3,$A189))</f>
        <v/>
      </c>
      <c r="T189" s="13" t="str">
        <f>IF($A189="","",[1]!thsiFinD("ths_adjustment_nv_fund",T$3,$A189))</f>
        <v/>
      </c>
      <c r="U189" s="13" t="str">
        <f>IF($A189="","",[1]!thsiFinD("ths_adjustment_nv_fund",U$3,$A189))</f>
        <v/>
      </c>
      <c r="V189" s="13" t="str">
        <f>IF($A189="","",[1]!thsiFinD("ths_adjustment_nv_fund",V$3,$A189))</f>
        <v/>
      </c>
      <c r="W189" s="13" t="str">
        <f>IF($A189="","",[1]!thsiFinD("ths_adjustment_nv_fund",W$3,$A189))</f>
        <v/>
      </c>
      <c r="X189" s="13" t="str">
        <f>IF($A189="","",[1]!thsiFinD("ths_adjustment_nv_fund",X$3,$A189))</f>
        <v/>
      </c>
      <c r="Y189" s="13" t="str">
        <f>IF($A189="","",[1]!thsiFinD("ths_adjustment_nv_fund",Y$3,$A189))</f>
        <v/>
      </c>
      <c r="Z189" s="13" t="str">
        <f>IF($A189="","",[1]!thsiFinD("ths_adjustment_nv_fund",Z$3,$A189))</f>
        <v/>
      </c>
      <c r="AA189" s="13" t="str">
        <f>IF($A189="","",[1]!thsiFinD("ths_adjustment_nv_fund",AA$3,$A189))</f>
        <v/>
      </c>
      <c r="AB189" s="13" t="str">
        <f>IF($A189="","",[1]!thsiFinD("ths_adjustment_nv_fund",AB$3,$A189))</f>
        <v/>
      </c>
      <c r="AC189" s="13" t="str">
        <f>IF($A189="","",[1]!thsiFinD("ths_adjustment_nv_fund",AC$3,$A189))</f>
        <v/>
      </c>
      <c r="AD189" s="13" t="str">
        <f>IF($A189="","",[1]!thsiFinD("ths_adjustment_nv_fund",AD$3,$A189))</f>
        <v/>
      </c>
      <c r="AE189" s="13" t="str">
        <f>IF($A189="","",[1]!thsiFinD("ths_adjustment_nv_fund",AE$3,$A189))</f>
        <v/>
      </c>
      <c r="AF189" s="13" t="str">
        <f>IF($A189="","",[1]!thsiFinD("ths_adjustment_nv_fund",AF$3,$A189))</f>
        <v/>
      </c>
      <c r="AG189" s="13" t="str">
        <f>IF($A189="","",[1]!thsiFinD("ths_adjustment_nv_fund",AG$3,$A189))</f>
        <v/>
      </c>
      <c r="AH189" s="13" t="str">
        <f>IF($A189="","",[1]!thsiFinD("ths_adjustment_nv_fund",AH$3,$A189))</f>
        <v/>
      </c>
      <c r="AI189" s="13" t="str">
        <f>IF($A189="","",[1]!thsiFinD("ths_adjustment_nv_fund",AI$3,$A189))</f>
        <v/>
      </c>
      <c r="AJ189" s="13" t="str">
        <f>IF($A189="","",[1]!thsiFinD("ths_adjustment_nv_fund",AJ$3,$A189))</f>
        <v/>
      </c>
      <c r="AK189" s="13" t="str">
        <f>IF($A189="","",[1]!thsiFinD("ths_adjustment_nv_fund",AK$3,$A189))</f>
        <v/>
      </c>
      <c r="AL189" s="13" t="str">
        <f>IF($A189="","",[1]!thsiFinD("ths_adjustment_nv_fund",AL$3,$A189))</f>
        <v/>
      </c>
    </row>
    <row r="190" spans="1:38">
      <c r="A190" s="9"/>
      <c r="B190" s="13" t="str">
        <f>IF($A190="","",[1]!thsiFinD("ths_adjustment_nv_fund",B$3,$A190))</f>
        <v/>
      </c>
      <c r="C190" s="13" t="str">
        <f>IF($A190="","",[1]!thsiFinD("ths_adjustment_nv_fund",C$3,$A190))</f>
        <v/>
      </c>
      <c r="D190" s="13" t="str">
        <f>IF($A190="","",[1]!thsiFinD("ths_adjustment_nv_fund",D$3,$A190))</f>
        <v/>
      </c>
      <c r="E190" s="13" t="str">
        <f>IF($A190="","",[1]!thsiFinD("ths_adjustment_nv_fund",E$3,$A190))</f>
        <v/>
      </c>
      <c r="F190" s="13" t="str">
        <f>IF($A190="","",[1]!thsiFinD("ths_adjustment_nv_fund",F$3,$A190))</f>
        <v/>
      </c>
      <c r="G190" s="13" t="str">
        <f>IF($A190="","",[1]!thsiFinD("ths_adjustment_nv_fund",G$3,$A190))</f>
        <v/>
      </c>
      <c r="H190" s="13" t="str">
        <f>IF($A190="","",[1]!thsiFinD("ths_adjustment_nv_fund",H$3,$A190))</f>
        <v/>
      </c>
      <c r="I190" s="13" t="str">
        <f>IF($A190="","",[1]!thsiFinD("ths_adjustment_nv_fund",I$3,$A190))</f>
        <v/>
      </c>
      <c r="J190" s="13" t="str">
        <f>IF($A190="","",[1]!thsiFinD("ths_adjustment_nv_fund",J$3,$A190))</f>
        <v/>
      </c>
      <c r="K190" s="13" t="str">
        <f>IF($A190="","",[1]!thsiFinD("ths_adjustment_nv_fund",K$3,$A190))</f>
        <v/>
      </c>
      <c r="L190" s="13" t="str">
        <f>IF($A190="","",[1]!thsiFinD("ths_adjustment_nv_fund",L$3,$A190))</f>
        <v/>
      </c>
      <c r="M190" s="13" t="str">
        <f>IF($A190="","",[1]!thsiFinD("ths_adjustment_nv_fund",M$3,$A190))</f>
        <v/>
      </c>
      <c r="N190" s="13" t="str">
        <f>IF($A190="","",[1]!thsiFinD("ths_adjustment_nv_fund",N$3,$A190))</f>
        <v/>
      </c>
      <c r="O190" s="13" t="str">
        <f>IF($A190="","",[1]!thsiFinD("ths_adjustment_nv_fund",O$3,$A190))</f>
        <v/>
      </c>
      <c r="P190" s="13" t="str">
        <f>IF($A190="","",[1]!thsiFinD("ths_adjustment_nv_fund",P$3,$A190))</f>
        <v/>
      </c>
      <c r="Q190" s="13" t="str">
        <f>IF($A190="","",[1]!thsiFinD("ths_adjustment_nv_fund",Q$3,$A190))</f>
        <v/>
      </c>
      <c r="R190" s="13" t="str">
        <f>IF($A190="","",[1]!thsiFinD("ths_adjustment_nv_fund",R$3,$A190))</f>
        <v/>
      </c>
      <c r="S190" s="13" t="str">
        <f>IF($A190="","",[1]!thsiFinD("ths_adjustment_nv_fund",S$3,$A190))</f>
        <v/>
      </c>
      <c r="T190" s="13" t="str">
        <f>IF($A190="","",[1]!thsiFinD("ths_adjustment_nv_fund",T$3,$A190))</f>
        <v/>
      </c>
      <c r="U190" s="13" t="str">
        <f>IF($A190="","",[1]!thsiFinD("ths_adjustment_nv_fund",U$3,$A190))</f>
        <v/>
      </c>
      <c r="V190" s="13" t="str">
        <f>IF($A190="","",[1]!thsiFinD("ths_adjustment_nv_fund",V$3,$A190))</f>
        <v/>
      </c>
      <c r="W190" s="13" t="str">
        <f>IF($A190="","",[1]!thsiFinD("ths_adjustment_nv_fund",W$3,$A190))</f>
        <v/>
      </c>
      <c r="X190" s="13" t="str">
        <f>IF($A190="","",[1]!thsiFinD("ths_adjustment_nv_fund",X$3,$A190))</f>
        <v/>
      </c>
      <c r="Y190" s="13" t="str">
        <f>IF($A190="","",[1]!thsiFinD("ths_adjustment_nv_fund",Y$3,$A190))</f>
        <v/>
      </c>
      <c r="Z190" s="13" t="str">
        <f>IF($A190="","",[1]!thsiFinD("ths_adjustment_nv_fund",Z$3,$A190))</f>
        <v/>
      </c>
      <c r="AA190" s="13" t="str">
        <f>IF($A190="","",[1]!thsiFinD("ths_adjustment_nv_fund",AA$3,$A190))</f>
        <v/>
      </c>
      <c r="AB190" s="13" t="str">
        <f>IF($A190="","",[1]!thsiFinD("ths_adjustment_nv_fund",AB$3,$A190))</f>
        <v/>
      </c>
      <c r="AC190" s="13" t="str">
        <f>IF($A190="","",[1]!thsiFinD("ths_adjustment_nv_fund",AC$3,$A190))</f>
        <v/>
      </c>
      <c r="AD190" s="13" t="str">
        <f>IF($A190="","",[1]!thsiFinD("ths_adjustment_nv_fund",AD$3,$A190))</f>
        <v/>
      </c>
      <c r="AE190" s="13" t="str">
        <f>IF($A190="","",[1]!thsiFinD("ths_adjustment_nv_fund",AE$3,$A190))</f>
        <v/>
      </c>
      <c r="AF190" s="13" t="str">
        <f>IF($A190="","",[1]!thsiFinD("ths_adjustment_nv_fund",AF$3,$A190))</f>
        <v/>
      </c>
      <c r="AG190" s="13" t="str">
        <f>IF($A190="","",[1]!thsiFinD("ths_adjustment_nv_fund",AG$3,$A190))</f>
        <v/>
      </c>
      <c r="AH190" s="13" t="str">
        <f>IF($A190="","",[1]!thsiFinD("ths_adjustment_nv_fund",AH$3,$A190))</f>
        <v/>
      </c>
      <c r="AI190" s="13" t="str">
        <f>IF($A190="","",[1]!thsiFinD("ths_adjustment_nv_fund",AI$3,$A190))</f>
        <v/>
      </c>
      <c r="AJ190" s="13" t="str">
        <f>IF($A190="","",[1]!thsiFinD("ths_adjustment_nv_fund",AJ$3,$A190))</f>
        <v/>
      </c>
      <c r="AK190" s="13" t="str">
        <f>IF($A190="","",[1]!thsiFinD("ths_adjustment_nv_fund",AK$3,$A190))</f>
        <v/>
      </c>
      <c r="AL190" s="13" t="str">
        <f>IF($A190="","",[1]!thsiFinD("ths_adjustment_nv_fund",AL$3,$A190))</f>
        <v/>
      </c>
    </row>
    <row r="191" spans="1:38">
      <c r="A191" s="9"/>
      <c r="B191" s="13" t="str">
        <f>IF($A191="","",[1]!thsiFinD("ths_adjustment_nv_fund",B$3,$A191))</f>
        <v/>
      </c>
      <c r="C191" s="13" t="str">
        <f>IF($A191="","",[1]!thsiFinD("ths_adjustment_nv_fund",C$3,$A191))</f>
        <v/>
      </c>
      <c r="D191" s="13" t="str">
        <f>IF($A191="","",[1]!thsiFinD("ths_adjustment_nv_fund",D$3,$A191))</f>
        <v/>
      </c>
      <c r="E191" s="13" t="str">
        <f>IF($A191="","",[1]!thsiFinD("ths_adjustment_nv_fund",E$3,$A191))</f>
        <v/>
      </c>
      <c r="F191" s="13" t="str">
        <f>IF($A191="","",[1]!thsiFinD("ths_adjustment_nv_fund",F$3,$A191))</f>
        <v/>
      </c>
      <c r="G191" s="13" t="str">
        <f>IF($A191="","",[1]!thsiFinD("ths_adjustment_nv_fund",G$3,$A191))</f>
        <v/>
      </c>
      <c r="H191" s="13" t="str">
        <f>IF($A191="","",[1]!thsiFinD("ths_adjustment_nv_fund",H$3,$A191))</f>
        <v/>
      </c>
      <c r="I191" s="13" t="str">
        <f>IF($A191="","",[1]!thsiFinD("ths_adjustment_nv_fund",I$3,$A191))</f>
        <v/>
      </c>
      <c r="J191" s="13" t="str">
        <f>IF($A191="","",[1]!thsiFinD("ths_adjustment_nv_fund",J$3,$A191))</f>
        <v/>
      </c>
      <c r="K191" s="13" t="str">
        <f>IF($A191="","",[1]!thsiFinD("ths_adjustment_nv_fund",K$3,$A191))</f>
        <v/>
      </c>
      <c r="L191" s="13" t="str">
        <f>IF($A191="","",[1]!thsiFinD("ths_adjustment_nv_fund",L$3,$A191))</f>
        <v/>
      </c>
      <c r="M191" s="13" t="str">
        <f>IF($A191="","",[1]!thsiFinD("ths_adjustment_nv_fund",M$3,$A191))</f>
        <v/>
      </c>
      <c r="N191" s="13" t="str">
        <f>IF($A191="","",[1]!thsiFinD("ths_adjustment_nv_fund",N$3,$A191))</f>
        <v/>
      </c>
      <c r="O191" s="13" t="str">
        <f>IF($A191="","",[1]!thsiFinD("ths_adjustment_nv_fund",O$3,$A191))</f>
        <v/>
      </c>
      <c r="P191" s="13" t="str">
        <f>IF($A191="","",[1]!thsiFinD("ths_adjustment_nv_fund",P$3,$A191))</f>
        <v/>
      </c>
      <c r="Q191" s="13" t="str">
        <f>IF($A191="","",[1]!thsiFinD("ths_adjustment_nv_fund",Q$3,$A191))</f>
        <v/>
      </c>
      <c r="R191" s="13" t="str">
        <f>IF($A191="","",[1]!thsiFinD("ths_adjustment_nv_fund",R$3,$A191))</f>
        <v/>
      </c>
      <c r="S191" s="13" t="str">
        <f>IF($A191="","",[1]!thsiFinD("ths_adjustment_nv_fund",S$3,$A191))</f>
        <v/>
      </c>
      <c r="T191" s="13" t="str">
        <f>IF($A191="","",[1]!thsiFinD("ths_adjustment_nv_fund",T$3,$A191))</f>
        <v/>
      </c>
      <c r="U191" s="13" t="str">
        <f>IF($A191="","",[1]!thsiFinD("ths_adjustment_nv_fund",U$3,$A191))</f>
        <v/>
      </c>
      <c r="V191" s="13" t="str">
        <f>IF($A191="","",[1]!thsiFinD("ths_adjustment_nv_fund",V$3,$A191))</f>
        <v/>
      </c>
      <c r="W191" s="13" t="str">
        <f>IF($A191="","",[1]!thsiFinD("ths_adjustment_nv_fund",W$3,$A191))</f>
        <v/>
      </c>
      <c r="X191" s="13" t="str">
        <f>IF($A191="","",[1]!thsiFinD("ths_adjustment_nv_fund",X$3,$A191))</f>
        <v/>
      </c>
      <c r="Y191" s="13" t="str">
        <f>IF($A191="","",[1]!thsiFinD("ths_adjustment_nv_fund",Y$3,$A191))</f>
        <v/>
      </c>
      <c r="Z191" s="13" t="str">
        <f>IF($A191="","",[1]!thsiFinD("ths_adjustment_nv_fund",Z$3,$A191))</f>
        <v/>
      </c>
      <c r="AA191" s="13" t="str">
        <f>IF($A191="","",[1]!thsiFinD("ths_adjustment_nv_fund",AA$3,$A191))</f>
        <v/>
      </c>
      <c r="AB191" s="13" t="str">
        <f>IF($A191="","",[1]!thsiFinD("ths_adjustment_nv_fund",AB$3,$A191))</f>
        <v/>
      </c>
      <c r="AC191" s="13" t="str">
        <f>IF($A191="","",[1]!thsiFinD("ths_adjustment_nv_fund",AC$3,$A191))</f>
        <v/>
      </c>
      <c r="AD191" s="13" t="str">
        <f>IF($A191="","",[1]!thsiFinD("ths_adjustment_nv_fund",AD$3,$A191))</f>
        <v/>
      </c>
      <c r="AE191" s="13" t="str">
        <f>IF($A191="","",[1]!thsiFinD("ths_adjustment_nv_fund",AE$3,$A191))</f>
        <v/>
      </c>
      <c r="AF191" s="13" t="str">
        <f>IF($A191="","",[1]!thsiFinD("ths_adjustment_nv_fund",AF$3,$A191))</f>
        <v/>
      </c>
      <c r="AG191" s="13" t="str">
        <f>IF($A191="","",[1]!thsiFinD("ths_adjustment_nv_fund",AG$3,$A191))</f>
        <v/>
      </c>
      <c r="AH191" s="13" t="str">
        <f>IF($A191="","",[1]!thsiFinD("ths_adjustment_nv_fund",AH$3,$A191))</f>
        <v/>
      </c>
      <c r="AI191" s="13" t="str">
        <f>IF($A191="","",[1]!thsiFinD("ths_adjustment_nv_fund",AI$3,$A191))</f>
        <v/>
      </c>
      <c r="AJ191" s="13" t="str">
        <f>IF($A191="","",[1]!thsiFinD("ths_adjustment_nv_fund",AJ$3,$A191))</f>
        <v/>
      </c>
      <c r="AK191" s="13" t="str">
        <f>IF($A191="","",[1]!thsiFinD("ths_adjustment_nv_fund",AK$3,$A191))</f>
        <v/>
      </c>
      <c r="AL191" s="13" t="str">
        <f>IF($A191="","",[1]!thsiFinD("ths_adjustment_nv_fund",AL$3,$A191))</f>
        <v/>
      </c>
    </row>
    <row r="192" spans="1:38">
      <c r="A192" s="9"/>
      <c r="B192" s="13" t="str">
        <f>IF($A192="","",[1]!thsiFinD("ths_adjustment_nv_fund",B$3,$A192))</f>
        <v/>
      </c>
      <c r="C192" s="13" t="str">
        <f>IF($A192="","",[1]!thsiFinD("ths_adjustment_nv_fund",C$3,$A192))</f>
        <v/>
      </c>
      <c r="D192" s="13" t="str">
        <f>IF($A192="","",[1]!thsiFinD("ths_adjustment_nv_fund",D$3,$A192))</f>
        <v/>
      </c>
      <c r="E192" s="13" t="str">
        <f>IF($A192="","",[1]!thsiFinD("ths_adjustment_nv_fund",E$3,$A192))</f>
        <v/>
      </c>
      <c r="F192" s="13" t="str">
        <f>IF($A192="","",[1]!thsiFinD("ths_adjustment_nv_fund",F$3,$A192))</f>
        <v/>
      </c>
      <c r="G192" s="13" t="str">
        <f>IF($A192="","",[1]!thsiFinD("ths_adjustment_nv_fund",G$3,$A192))</f>
        <v/>
      </c>
      <c r="H192" s="13" t="str">
        <f>IF($A192="","",[1]!thsiFinD("ths_adjustment_nv_fund",H$3,$A192))</f>
        <v/>
      </c>
      <c r="I192" s="13" t="str">
        <f>IF($A192="","",[1]!thsiFinD("ths_adjustment_nv_fund",I$3,$A192))</f>
        <v/>
      </c>
      <c r="J192" s="13" t="str">
        <f>IF($A192="","",[1]!thsiFinD("ths_adjustment_nv_fund",J$3,$A192))</f>
        <v/>
      </c>
      <c r="K192" s="13" t="str">
        <f>IF($A192="","",[1]!thsiFinD("ths_adjustment_nv_fund",K$3,$A192))</f>
        <v/>
      </c>
      <c r="L192" s="13" t="str">
        <f>IF($A192="","",[1]!thsiFinD("ths_adjustment_nv_fund",L$3,$A192))</f>
        <v/>
      </c>
      <c r="M192" s="13" t="str">
        <f>IF($A192="","",[1]!thsiFinD("ths_adjustment_nv_fund",M$3,$A192))</f>
        <v/>
      </c>
      <c r="N192" s="13" t="str">
        <f>IF($A192="","",[1]!thsiFinD("ths_adjustment_nv_fund",N$3,$A192))</f>
        <v/>
      </c>
      <c r="O192" s="13" t="str">
        <f>IF($A192="","",[1]!thsiFinD("ths_adjustment_nv_fund",O$3,$A192))</f>
        <v/>
      </c>
      <c r="P192" s="13" t="str">
        <f>IF($A192="","",[1]!thsiFinD("ths_adjustment_nv_fund",P$3,$A192))</f>
        <v/>
      </c>
      <c r="Q192" s="13" t="str">
        <f>IF($A192="","",[1]!thsiFinD("ths_adjustment_nv_fund",Q$3,$A192))</f>
        <v/>
      </c>
      <c r="R192" s="13" t="str">
        <f>IF($A192="","",[1]!thsiFinD("ths_adjustment_nv_fund",R$3,$A192))</f>
        <v/>
      </c>
      <c r="S192" s="13" t="str">
        <f>IF($A192="","",[1]!thsiFinD("ths_adjustment_nv_fund",S$3,$A192))</f>
        <v/>
      </c>
      <c r="T192" s="13" t="str">
        <f>IF($A192="","",[1]!thsiFinD("ths_adjustment_nv_fund",T$3,$A192))</f>
        <v/>
      </c>
      <c r="U192" s="13" t="str">
        <f>IF($A192="","",[1]!thsiFinD("ths_adjustment_nv_fund",U$3,$A192))</f>
        <v/>
      </c>
      <c r="V192" s="13" t="str">
        <f>IF($A192="","",[1]!thsiFinD("ths_adjustment_nv_fund",V$3,$A192))</f>
        <v/>
      </c>
      <c r="W192" s="13" t="str">
        <f>IF($A192="","",[1]!thsiFinD("ths_adjustment_nv_fund",W$3,$A192))</f>
        <v/>
      </c>
      <c r="X192" s="13" t="str">
        <f>IF($A192="","",[1]!thsiFinD("ths_adjustment_nv_fund",X$3,$A192))</f>
        <v/>
      </c>
      <c r="Y192" s="13" t="str">
        <f>IF($A192="","",[1]!thsiFinD("ths_adjustment_nv_fund",Y$3,$A192))</f>
        <v/>
      </c>
      <c r="Z192" s="13" t="str">
        <f>IF($A192="","",[1]!thsiFinD("ths_adjustment_nv_fund",Z$3,$A192))</f>
        <v/>
      </c>
      <c r="AA192" s="13" t="str">
        <f>IF($A192="","",[1]!thsiFinD("ths_adjustment_nv_fund",AA$3,$A192))</f>
        <v/>
      </c>
      <c r="AB192" s="13" t="str">
        <f>IF($A192="","",[1]!thsiFinD("ths_adjustment_nv_fund",AB$3,$A192))</f>
        <v/>
      </c>
      <c r="AC192" s="13" t="str">
        <f>IF($A192="","",[1]!thsiFinD("ths_adjustment_nv_fund",AC$3,$A192))</f>
        <v/>
      </c>
      <c r="AD192" s="13" t="str">
        <f>IF($A192="","",[1]!thsiFinD("ths_adjustment_nv_fund",AD$3,$A192))</f>
        <v/>
      </c>
      <c r="AE192" s="13" t="str">
        <f>IF($A192="","",[1]!thsiFinD("ths_adjustment_nv_fund",AE$3,$A192))</f>
        <v/>
      </c>
      <c r="AF192" s="13" t="str">
        <f>IF($A192="","",[1]!thsiFinD("ths_adjustment_nv_fund",AF$3,$A192))</f>
        <v/>
      </c>
      <c r="AG192" s="13" t="str">
        <f>IF($A192="","",[1]!thsiFinD("ths_adjustment_nv_fund",AG$3,$A192))</f>
        <v/>
      </c>
      <c r="AH192" s="13" t="str">
        <f>IF($A192="","",[1]!thsiFinD("ths_adjustment_nv_fund",AH$3,$A192))</f>
        <v/>
      </c>
      <c r="AI192" s="13" t="str">
        <f>IF($A192="","",[1]!thsiFinD("ths_adjustment_nv_fund",AI$3,$A192))</f>
        <v/>
      </c>
      <c r="AJ192" s="13" t="str">
        <f>IF($A192="","",[1]!thsiFinD("ths_adjustment_nv_fund",AJ$3,$A192))</f>
        <v/>
      </c>
      <c r="AK192" s="13" t="str">
        <f>IF($A192="","",[1]!thsiFinD("ths_adjustment_nv_fund",AK$3,$A192))</f>
        <v/>
      </c>
      <c r="AL192" s="13" t="str">
        <f>IF($A192="","",[1]!thsiFinD("ths_adjustment_nv_fund",AL$3,$A192))</f>
        <v/>
      </c>
    </row>
    <row r="193" spans="1:38">
      <c r="A193" s="9"/>
      <c r="B193" s="13" t="str">
        <f>IF($A193="","",[1]!thsiFinD("ths_adjustment_nv_fund",B$3,$A193))</f>
        <v/>
      </c>
      <c r="C193" s="13" t="str">
        <f>IF($A193="","",[1]!thsiFinD("ths_adjustment_nv_fund",C$3,$A193))</f>
        <v/>
      </c>
      <c r="D193" s="13" t="str">
        <f>IF($A193="","",[1]!thsiFinD("ths_adjustment_nv_fund",D$3,$A193))</f>
        <v/>
      </c>
      <c r="E193" s="13" t="str">
        <f>IF($A193="","",[1]!thsiFinD("ths_adjustment_nv_fund",E$3,$A193))</f>
        <v/>
      </c>
      <c r="F193" s="13" t="str">
        <f>IF($A193="","",[1]!thsiFinD("ths_adjustment_nv_fund",F$3,$A193))</f>
        <v/>
      </c>
      <c r="G193" s="13" t="str">
        <f>IF($A193="","",[1]!thsiFinD("ths_adjustment_nv_fund",G$3,$A193))</f>
        <v/>
      </c>
      <c r="H193" s="13" t="str">
        <f>IF($A193="","",[1]!thsiFinD("ths_adjustment_nv_fund",H$3,$A193))</f>
        <v/>
      </c>
      <c r="I193" s="13" t="str">
        <f>IF($A193="","",[1]!thsiFinD("ths_adjustment_nv_fund",I$3,$A193))</f>
        <v/>
      </c>
      <c r="J193" s="13" t="str">
        <f>IF($A193="","",[1]!thsiFinD("ths_adjustment_nv_fund",J$3,$A193))</f>
        <v/>
      </c>
      <c r="K193" s="13" t="str">
        <f>IF($A193="","",[1]!thsiFinD("ths_adjustment_nv_fund",K$3,$A193))</f>
        <v/>
      </c>
      <c r="L193" s="13" t="str">
        <f>IF($A193="","",[1]!thsiFinD("ths_adjustment_nv_fund",L$3,$A193))</f>
        <v/>
      </c>
      <c r="M193" s="13" t="str">
        <f>IF($A193="","",[1]!thsiFinD("ths_adjustment_nv_fund",M$3,$A193))</f>
        <v/>
      </c>
      <c r="N193" s="13" t="str">
        <f>IF($A193="","",[1]!thsiFinD("ths_adjustment_nv_fund",N$3,$A193))</f>
        <v/>
      </c>
      <c r="O193" s="13" t="str">
        <f>IF($A193="","",[1]!thsiFinD("ths_adjustment_nv_fund",O$3,$A193))</f>
        <v/>
      </c>
      <c r="P193" s="13" t="str">
        <f>IF($A193="","",[1]!thsiFinD("ths_adjustment_nv_fund",P$3,$A193))</f>
        <v/>
      </c>
      <c r="Q193" s="13" t="str">
        <f>IF($A193="","",[1]!thsiFinD("ths_adjustment_nv_fund",Q$3,$A193))</f>
        <v/>
      </c>
      <c r="R193" s="13" t="str">
        <f>IF($A193="","",[1]!thsiFinD("ths_adjustment_nv_fund",R$3,$A193))</f>
        <v/>
      </c>
      <c r="S193" s="13" t="str">
        <f>IF($A193="","",[1]!thsiFinD("ths_adjustment_nv_fund",S$3,$A193))</f>
        <v/>
      </c>
      <c r="T193" s="13" t="str">
        <f>IF($A193="","",[1]!thsiFinD("ths_adjustment_nv_fund",T$3,$A193))</f>
        <v/>
      </c>
      <c r="U193" s="13" t="str">
        <f>IF($A193="","",[1]!thsiFinD("ths_adjustment_nv_fund",U$3,$A193))</f>
        <v/>
      </c>
      <c r="V193" s="13" t="str">
        <f>IF($A193="","",[1]!thsiFinD("ths_adjustment_nv_fund",V$3,$A193))</f>
        <v/>
      </c>
      <c r="W193" s="13" t="str">
        <f>IF($A193="","",[1]!thsiFinD("ths_adjustment_nv_fund",W$3,$A193))</f>
        <v/>
      </c>
      <c r="X193" s="13" t="str">
        <f>IF($A193="","",[1]!thsiFinD("ths_adjustment_nv_fund",X$3,$A193))</f>
        <v/>
      </c>
      <c r="Y193" s="13" t="str">
        <f>IF($A193="","",[1]!thsiFinD("ths_adjustment_nv_fund",Y$3,$A193))</f>
        <v/>
      </c>
      <c r="Z193" s="13" t="str">
        <f>IF($A193="","",[1]!thsiFinD("ths_adjustment_nv_fund",Z$3,$A193))</f>
        <v/>
      </c>
      <c r="AA193" s="13" t="str">
        <f>IF($A193="","",[1]!thsiFinD("ths_adjustment_nv_fund",AA$3,$A193))</f>
        <v/>
      </c>
      <c r="AB193" s="13" t="str">
        <f>IF($A193="","",[1]!thsiFinD("ths_adjustment_nv_fund",AB$3,$A193))</f>
        <v/>
      </c>
      <c r="AC193" s="13" t="str">
        <f>IF($A193="","",[1]!thsiFinD("ths_adjustment_nv_fund",AC$3,$A193))</f>
        <v/>
      </c>
      <c r="AD193" s="13" t="str">
        <f>IF($A193="","",[1]!thsiFinD("ths_adjustment_nv_fund",AD$3,$A193))</f>
        <v/>
      </c>
      <c r="AE193" s="13" t="str">
        <f>IF($A193="","",[1]!thsiFinD("ths_adjustment_nv_fund",AE$3,$A193))</f>
        <v/>
      </c>
      <c r="AF193" s="13" t="str">
        <f>IF($A193="","",[1]!thsiFinD("ths_adjustment_nv_fund",AF$3,$A193))</f>
        <v/>
      </c>
      <c r="AG193" s="13" t="str">
        <f>IF($A193="","",[1]!thsiFinD("ths_adjustment_nv_fund",AG$3,$A193))</f>
        <v/>
      </c>
      <c r="AH193" s="13" t="str">
        <f>IF($A193="","",[1]!thsiFinD("ths_adjustment_nv_fund",AH$3,$A193))</f>
        <v/>
      </c>
      <c r="AI193" s="13" t="str">
        <f>IF($A193="","",[1]!thsiFinD("ths_adjustment_nv_fund",AI$3,$A193))</f>
        <v/>
      </c>
      <c r="AJ193" s="13" t="str">
        <f>IF($A193="","",[1]!thsiFinD("ths_adjustment_nv_fund",AJ$3,$A193))</f>
        <v/>
      </c>
      <c r="AK193" s="13" t="str">
        <f>IF($A193="","",[1]!thsiFinD("ths_adjustment_nv_fund",AK$3,$A193))</f>
        <v/>
      </c>
      <c r="AL193" s="13" t="str">
        <f>IF($A193="","",[1]!thsiFinD("ths_adjustment_nv_fund",AL$3,$A193))</f>
        <v/>
      </c>
    </row>
    <row r="194" spans="1:38">
      <c r="A194" s="9"/>
      <c r="B194" s="13" t="str">
        <f>IF($A194="","",[1]!thsiFinD("ths_adjustment_nv_fund",B$3,$A194))</f>
        <v/>
      </c>
      <c r="C194" s="13" t="str">
        <f>IF($A194="","",[1]!thsiFinD("ths_adjustment_nv_fund",C$3,$A194))</f>
        <v/>
      </c>
      <c r="D194" s="13" t="str">
        <f>IF($A194="","",[1]!thsiFinD("ths_adjustment_nv_fund",D$3,$A194))</f>
        <v/>
      </c>
      <c r="E194" s="13" t="str">
        <f>IF($A194="","",[1]!thsiFinD("ths_adjustment_nv_fund",E$3,$A194))</f>
        <v/>
      </c>
      <c r="F194" s="13" t="str">
        <f>IF($A194="","",[1]!thsiFinD("ths_adjustment_nv_fund",F$3,$A194))</f>
        <v/>
      </c>
      <c r="G194" s="13" t="str">
        <f>IF($A194="","",[1]!thsiFinD("ths_adjustment_nv_fund",G$3,$A194))</f>
        <v/>
      </c>
      <c r="H194" s="13" t="str">
        <f>IF($A194="","",[1]!thsiFinD("ths_adjustment_nv_fund",H$3,$A194))</f>
        <v/>
      </c>
      <c r="I194" s="13" t="str">
        <f>IF($A194="","",[1]!thsiFinD("ths_adjustment_nv_fund",I$3,$A194))</f>
        <v/>
      </c>
      <c r="J194" s="13" t="str">
        <f>IF($A194="","",[1]!thsiFinD("ths_adjustment_nv_fund",J$3,$A194))</f>
        <v/>
      </c>
      <c r="K194" s="13" t="str">
        <f>IF($A194="","",[1]!thsiFinD("ths_adjustment_nv_fund",K$3,$A194))</f>
        <v/>
      </c>
      <c r="L194" s="13" t="str">
        <f>IF($A194="","",[1]!thsiFinD("ths_adjustment_nv_fund",L$3,$A194))</f>
        <v/>
      </c>
      <c r="M194" s="13" t="str">
        <f>IF($A194="","",[1]!thsiFinD("ths_adjustment_nv_fund",M$3,$A194))</f>
        <v/>
      </c>
      <c r="N194" s="13" t="str">
        <f>IF($A194="","",[1]!thsiFinD("ths_adjustment_nv_fund",N$3,$A194))</f>
        <v/>
      </c>
      <c r="O194" s="13" t="str">
        <f>IF($A194="","",[1]!thsiFinD("ths_adjustment_nv_fund",O$3,$A194))</f>
        <v/>
      </c>
      <c r="P194" s="13" t="str">
        <f>IF($A194="","",[1]!thsiFinD("ths_adjustment_nv_fund",P$3,$A194))</f>
        <v/>
      </c>
      <c r="Q194" s="13" t="str">
        <f>IF($A194="","",[1]!thsiFinD("ths_adjustment_nv_fund",Q$3,$A194))</f>
        <v/>
      </c>
      <c r="R194" s="13" t="str">
        <f>IF($A194="","",[1]!thsiFinD("ths_adjustment_nv_fund",R$3,$A194))</f>
        <v/>
      </c>
      <c r="S194" s="13" t="str">
        <f>IF($A194="","",[1]!thsiFinD("ths_adjustment_nv_fund",S$3,$A194))</f>
        <v/>
      </c>
      <c r="T194" s="13" t="str">
        <f>IF($A194="","",[1]!thsiFinD("ths_adjustment_nv_fund",T$3,$A194))</f>
        <v/>
      </c>
      <c r="U194" s="13" t="str">
        <f>IF($A194="","",[1]!thsiFinD("ths_adjustment_nv_fund",U$3,$A194))</f>
        <v/>
      </c>
      <c r="V194" s="13" t="str">
        <f>IF($A194="","",[1]!thsiFinD("ths_adjustment_nv_fund",V$3,$A194))</f>
        <v/>
      </c>
      <c r="W194" s="13" t="str">
        <f>IF($A194="","",[1]!thsiFinD("ths_adjustment_nv_fund",W$3,$A194))</f>
        <v/>
      </c>
      <c r="X194" s="13" t="str">
        <f>IF($A194="","",[1]!thsiFinD("ths_adjustment_nv_fund",X$3,$A194))</f>
        <v/>
      </c>
      <c r="Y194" s="13" t="str">
        <f>IF($A194="","",[1]!thsiFinD("ths_adjustment_nv_fund",Y$3,$A194))</f>
        <v/>
      </c>
      <c r="Z194" s="13" t="str">
        <f>IF($A194="","",[1]!thsiFinD("ths_adjustment_nv_fund",Z$3,$A194))</f>
        <v/>
      </c>
      <c r="AA194" s="13" t="str">
        <f>IF($A194="","",[1]!thsiFinD("ths_adjustment_nv_fund",AA$3,$A194))</f>
        <v/>
      </c>
      <c r="AB194" s="13" t="str">
        <f>IF($A194="","",[1]!thsiFinD("ths_adjustment_nv_fund",AB$3,$A194))</f>
        <v/>
      </c>
      <c r="AC194" s="13" t="str">
        <f>IF($A194="","",[1]!thsiFinD("ths_adjustment_nv_fund",AC$3,$A194))</f>
        <v/>
      </c>
      <c r="AD194" s="13" t="str">
        <f>IF($A194="","",[1]!thsiFinD("ths_adjustment_nv_fund",AD$3,$A194))</f>
        <v/>
      </c>
      <c r="AE194" s="13" t="str">
        <f>IF($A194="","",[1]!thsiFinD("ths_adjustment_nv_fund",AE$3,$A194))</f>
        <v/>
      </c>
      <c r="AF194" s="13" t="str">
        <f>IF($A194="","",[1]!thsiFinD("ths_adjustment_nv_fund",AF$3,$A194))</f>
        <v/>
      </c>
      <c r="AG194" s="13" t="str">
        <f>IF($A194="","",[1]!thsiFinD("ths_adjustment_nv_fund",AG$3,$A194))</f>
        <v/>
      </c>
      <c r="AH194" s="13" t="str">
        <f>IF($A194="","",[1]!thsiFinD("ths_adjustment_nv_fund",AH$3,$A194))</f>
        <v/>
      </c>
      <c r="AI194" s="13" t="str">
        <f>IF($A194="","",[1]!thsiFinD("ths_adjustment_nv_fund",AI$3,$A194))</f>
        <v/>
      </c>
      <c r="AJ194" s="13" t="str">
        <f>IF($A194="","",[1]!thsiFinD("ths_adjustment_nv_fund",AJ$3,$A194))</f>
        <v/>
      </c>
      <c r="AK194" s="13" t="str">
        <f>IF($A194="","",[1]!thsiFinD("ths_adjustment_nv_fund",AK$3,$A194))</f>
        <v/>
      </c>
      <c r="AL194" s="13" t="str">
        <f>IF($A194="","",[1]!thsiFinD("ths_adjustment_nv_fund",AL$3,$A194))</f>
        <v/>
      </c>
    </row>
    <row r="195" spans="1:38">
      <c r="A195" s="9"/>
      <c r="B195" s="13" t="str">
        <f>IF($A195="","",[1]!thsiFinD("ths_adjustment_nv_fund",B$3,$A195))</f>
        <v/>
      </c>
      <c r="C195" s="13" t="str">
        <f>IF($A195="","",[1]!thsiFinD("ths_adjustment_nv_fund",C$3,$A195))</f>
        <v/>
      </c>
      <c r="D195" s="13" t="str">
        <f>IF($A195="","",[1]!thsiFinD("ths_adjustment_nv_fund",D$3,$A195))</f>
        <v/>
      </c>
      <c r="E195" s="13" t="str">
        <f>IF($A195="","",[1]!thsiFinD("ths_adjustment_nv_fund",E$3,$A195))</f>
        <v/>
      </c>
      <c r="F195" s="13" t="str">
        <f>IF($A195="","",[1]!thsiFinD("ths_adjustment_nv_fund",F$3,$A195))</f>
        <v/>
      </c>
      <c r="G195" s="13" t="str">
        <f>IF($A195="","",[1]!thsiFinD("ths_adjustment_nv_fund",G$3,$A195))</f>
        <v/>
      </c>
      <c r="H195" s="13" t="str">
        <f>IF($A195="","",[1]!thsiFinD("ths_adjustment_nv_fund",H$3,$A195))</f>
        <v/>
      </c>
      <c r="I195" s="13" t="str">
        <f>IF($A195="","",[1]!thsiFinD("ths_adjustment_nv_fund",I$3,$A195))</f>
        <v/>
      </c>
      <c r="J195" s="13" t="str">
        <f>IF($A195="","",[1]!thsiFinD("ths_adjustment_nv_fund",J$3,$A195))</f>
        <v/>
      </c>
      <c r="K195" s="13" t="str">
        <f>IF($A195="","",[1]!thsiFinD("ths_adjustment_nv_fund",K$3,$A195))</f>
        <v/>
      </c>
      <c r="L195" s="13" t="str">
        <f>IF($A195="","",[1]!thsiFinD("ths_adjustment_nv_fund",L$3,$A195))</f>
        <v/>
      </c>
      <c r="M195" s="13" t="str">
        <f>IF($A195="","",[1]!thsiFinD("ths_adjustment_nv_fund",M$3,$A195))</f>
        <v/>
      </c>
      <c r="N195" s="13" t="str">
        <f>IF($A195="","",[1]!thsiFinD("ths_adjustment_nv_fund",N$3,$A195))</f>
        <v/>
      </c>
      <c r="O195" s="13" t="str">
        <f>IF($A195="","",[1]!thsiFinD("ths_adjustment_nv_fund",O$3,$A195))</f>
        <v/>
      </c>
      <c r="P195" s="13" t="str">
        <f>IF($A195="","",[1]!thsiFinD("ths_adjustment_nv_fund",P$3,$A195))</f>
        <v/>
      </c>
      <c r="Q195" s="13" t="str">
        <f>IF($A195="","",[1]!thsiFinD("ths_adjustment_nv_fund",Q$3,$A195))</f>
        <v/>
      </c>
      <c r="R195" s="13" t="str">
        <f>IF($A195="","",[1]!thsiFinD("ths_adjustment_nv_fund",R$3,$A195))</f>
        <v/>
      </c>
      <c r="S195" s="13" t="str">
        <f>IF($A195="","",[1]!thsiFinD("ths_adjustment_nv_fund",S$3,$A195))</f>
        <v/>
      </c>
      <c r="T195" s="13" t="str">
        <f>IF($A195="","",[1]!thsiFinD("ths_adjustment_nv_fund",T$3,$A195))</f>
        <v/>
      </c>
      <c r="U195" s="13" t="str">
        <f>IF($A195="","",[1]!thsiFinD("ths_adjustment_nv_fund",U$3,$A195))</f>
        <v/>
      </c>
      <c r="V195" s="13" t="str">
        <f>IF($A195="","",[1]!thsiFinD("ths_adjustment_nv_fund",V$3,$A195))</f>
        <v/>
      </c>
      <c r="W195" s="13" t="str">
        <f>IF($A195="","",[1]!thsiFinD("ths_adjustment_nv_fund",W$3,$A195))</f>
        <v/>
      </c>
      <c r="X195" s="13" t="str">
        <f>IF($A195="","",[1]!thsiFinD("ths_adjustment_nv_fund",X$3,$A195))</f>
        <v/>
      </c>
      <c r="Y195" s="13" t="str">
        <f>IF($A195="","",[1]!thsiFinD("ths_adjustment_nv_fund",Y$3,$A195))</f>
        <v/>
      </c>
      <c r="Z195" s="13" t="str">
        <f>IF($A195="","",[1]!thsiFinD("ths_adjustment_nv_fund",Z$3,$A195))</f>
        <v/>
      </c>
      <c r="AA195" s="13" t="str">
        <f>IF($A195="","",[1]!thsiFinD("ths_adjustment_nv_fund",AA$3,$A195))</f>
        <v/>
      </c>
      <c r="AB195" s="13" t="str">
        <f>IF($A195="","",[1]!thsiFinD("ths_adjustment_nv_fund",AB$3,$A195))</f>
        <v/>
      </c>
      <c r="AC195" s="13" t="str">
        <f>IF($A195="","",[1]!thsiFinD("ths_adjustment_nv_fund",AC$3,$A195))</f>
        <v/>
      </c>
      <c r="AD195" s="13" t="str">
        <f>IF($A195="","",[1]!thsiFinD("ths_adjustment_nv_fund",AD$3,$A195))</f>
        <v/>
      </c>
      <c r="AE195" s="13" t="str">
        <f>IF($A195="","",[1]!thsiFinD("ths_adjustment_nv_fund",AE$3,$A195))</f>
        <v/>
      </c>
      <c r="AF195" s="13" t="str">
        <f>IF($A195="","",[1]!thsiFinD("ths_adjustment_nv_fund",AF$3,$A195))</f>
        <v/>
      </c>
      <c r="AG195" s="13" t="str">
        <f>IF($A195="","",[1]!thsiFinD("ths_adjustment_nv_fund",AG$3,$A195))</f>
        <v/>
      </c>
      <c r="AH195" s="13" t="str">
        <f>IF($A195="","",[1]!thsiFinD("ths_adjustment_nv_fund",AH$3,$A195))</f>
        <v/>
      </c>
      <c r="AI195" s="13" t="str">
        <f>IF($A195="","",[1]!thsiFinD("ths_adjustment_nv_fund",AI$3,$A195))</f>
        <v/>
      </c>
      <c r="AJ195" s="13" t="str">
        <f>IF($A195="","",[1]!thsiFinD("ths_adjustment_nv_fund",AJ$3,$A195))</f>
        <v/>
      </c>
      <c r="AK195" s="13" t="str">
        <f>IF($A195="","",[1]!thsiFinD("ths_adjustment_nv_fund",AK$3,$A195))</f>
        <v/>
      </c>
      <c r="AL195" s="13" t="str">
        <f>IF($A195="","",[1]!thsiFinD("ths_adjustment_nv_fund",AL$3,$A195))</f>
        <v/>
      </c>
    </row>
    <row r="196" spans="1:38">
      <c r="A196" s="9"/>
      <c r="B196" s="13" t="str">
        <f>IF($A196="","",[1]!thsiFinD("ths_adjustment_nv_fund",B$3,$A196))</f>
        <v/>
      </c>
      <c r="C196" s="13" t="str">
        <f>IF($A196="","",[1]!thsiFinD("ths_adjustment_nv_fund",C$3,$A196))</f>
        <v/>
      </c>
      <c r="D196" s="13" t="str">
        <f>IF($A196="","",[1]!thsiFinD("ths_adjustment_nv_fund",D$3,$A196))</f>
        <v/>
      </c>
      <c r="E196" s="13" t="str">
        <f>IF($A196="","",[1]!thsiFinD("ths_adjustment_nv_fund",E$3,$A196))</f>
        <v/>
      </c>
      <c r="F196" s="13" t="str">
        <f>IF($A196="","",[1]!thsiFinD("ths_adjustment_nv_fund",F$3,$A196))</f>
        <v/>
      </c>
      <c r="G196" s="13" t="str">
        <f>IF($A196="","",[1]!thsiFinD("ths_adjustment_nv_fund",G$3,$A196))</f>
        <v/>
      </c>
      <c r="H196" s="13" t="str">
        <f>IF($A196="","",[1]!thsiFinD("ths_adjustment_nv_fund",H$3,$A196))</f>
        <v/>
      </c>
      <c r="I196" s="13" t="str">
        <f>IF($A196="","",[1]!thsiFinD("ths_adjustment_nv_fund",I$3,$A196))</f>
        <v/>
      </c>
      <c r="J196" s="13" t="str">
        <f>IF($A196="","",[1]!thsiFinD("ths_adjustment_nv_fund",J$3,$A196))</f>
        <v/>
      </c>
      <c r="K196" s="13" t="str">
        <f>IF($A196="","",[1]!thsiFinD("ths_adjustment_nv_fund",K$3,$A196))</f>
        <v/>
      </c>
      <c r="L196" s="13" t="str">
        <f>IF($A196="","",[1]!thsiFinD("ths_adjustment_nv_fund",L$3,$A196))</f>
        <v/>
      </c>
      <c r="M196" s="13" t="str">
        <f>IF($A196="","",[1]!thsiFinD("ths_adjustment_nv_fund",M$3,$A196))</f>
        <v/>
      </c>
      <c r="N196" s="13" t="str">
        <f>IF($A196="","",[1]!thsiFinD("ths_adjustment_nv_fund",N$3,$A196))</f>
        <v/>
      </c>
      <c r="O196" s="13" t="str">
        <f>IF($A196="","",[1]!thsiFinD("ths_adjustment_nv_fund",O$3,$A196))</f>
        <v/>
      </c>
      <c r="P196" s="13" t="str">
        <f>IF($A196="","",[1]!thsiFinD("ths_adjustment_nv_fund",P$3,$A196))</f>
        <v/>
      </c>
      <c r="Q196" s="13" t="str">
        <f>IF($A196="","",[1]!thsiFinD("ths_adjustment_nv_fund",Q$3,$A196))</f>
        <v/>
      </c>
      <c r="R196" s="13" t="str">
        <f>IF($A196="","",[1]!thsiFinD("ths_adjustment_nv_fund",R$3,$A196))</f>
        <v/>
      </c>
      <c r="S196" s="13" t="str">
        <f>IF($A196="","",[1]!thsiFinD("ths_adjustment_nv_fund",S$3,$A196))</f>
        <v/>
      </c>
      <c r="T196" s="13" t="str">
        <f>IF($A196="","",[1]!thsiFinD("ths_adjustment_nv_fund",T$3,$A196))</f>
        <v/>
      </c>
      <c r="U196" s="13" t="str">
        <f>IF($A196="","",[1]!thsiFinD("ths_adjustment_nv_fund",U$3,$A196))</f>
        <v/>
      </c>
      <c r="V196" s="13" t="str">
        <f>IF($A196="","",[1]!thsiFinD("ths_adjustment_nv_fund",V$3,$A196))</f>
        <v/>
      </c>
      <c r="W196" s="13" t="str">
        <f>IF($A196="","",[1]!thsiFinD("ths_adjustment_nv_fund",W$3,$A196))</f>
        <v/>
      </c>
      <c r="X196" s="13" t="str">
        <f>IF($A196="","",[1]!thsiFinD("ths_adjustment_nv_fund",X$3,$A196))</f>
        <v/>
      </c>
      <c r="Y196" s="13" t="str">
        <f>IF($A196="","",[1]!thsiFinD("ths_adjustment_nv_fund",Y$3,$A196))</f>
        <v/>
      </c>
      <c r="Z196" s="13" t="str">
        <f>IF($A196="","",[1]!thsiFinD("ths_adjustment_nv_fund",Z$3,$A196))</f>
        <v/>
      </c>
      <c r="AA196" s="13" t="str">
        <f>IF($A196="","",[1]!thsiFinD("ths_adjustment_nv_fund",AA$3,$A196))</f>
        <v/>
      </c>
      <c r="AB196" s="13" t="str">
        <f>IF($A196="","",[1]!thsiFinD("ths_adjustment_nv_fund",AB$3,$A196))</f>
        <v/>
      </c>
      <c r="AC196" s="13" t="str">
        <f>IF($A196="","",[1]!thsiFinD("ths_adjustment_nv_fund",AC$3,$A196))</f>
        <v/>
      </c>
      <c r="AD196" s="13" t="str">
        <f>IF($A196="","",[1]!thsiFinD("ths_adjustment_nv_fund",AD$3,$A196))</f>
        <v/>
      </c>
      <c r="AE196" s="13" t="str">
        <f>IF($A196="","",[1]!thsiFinD("ths_adjustment_nv_fund",AE$3,$A196))</f>
        <v/>
      </c>
      <c r="AF196" s="13" t="str">
        <f>IF($A196="","",[1]!thsiFinD("ths_adjustment_nv_fund",AF$3,$A196))</f>
        <v/>
      </c>
      <c r="AG196" s="13" t="str">
        <f>IF($A196="","",[1]!thsiFinD("ths_adjustment_nv_fund",AG$3,$A196))</f>
        <v/>
      </c>
      <c r="AH196" s="13" t="str">
        <f>IF($A196="","",[1]!thsiFinD("ths_adjustment_nv_fund",AH$3,$A196))</f>
        <v/>
      </c>
      <c r="AI196" s="13" t="str">
        <f>IF($A196="","",[1]!thsiFinD("ths_adjustment_nv_fund",AI$3,$A196))</f>
        <v/>
      </c>
      <c r="AJ196" s="13" t="str">
        <f>IF($A196="","",[1]!thsiFinD("ths_adjustment_nv_fund",AJ$3,$A196))</f>
        <v/>
      </c>
      <c r="AK196" s="13" t="str">
        <f>IF($A196="","",[1]!thsiFinD("ths_adjustment_nv_fund",AK$3,$A196))</f>
        <v/>
      </c>
      <c r="AL196" s="13" t="str">
        <f>IF($A196="","",[1]!thsiFinD("ths_adjustment_nv_fund",AL$3,$A196))</f>
        <v/>
      </c>
    </row>
    <row r="197" spans="1:38">
      <c r="A197" s="9"/>
      <c r="B197" s="13" t="str">
        <f>IF($A197="","",[1]!thsiFinD("ths_adjustment_nv_fund",B$3,$A197))</f>
        <v/>
      </c>
      <c r="C197" s="13" t="str">
        <f>IF($A197="","",[1]!thsiFinD("ths_adjustment_nv_fund",C$3,$A197))</f>
        <v/>
      </c>
      <c r="D197" s="13" t="str">
        <f>IF($A197="","",[1]!thsiFinD("ths_adjustment_nv_fund",D$3,$A197))</f>
        <v/>
      </c>
      <c r="E197" s="13" t="str">
        <f>IF($A197="","",[1]!thsiFinD("ths_adjustment_nv_fund",E$3,$A197))</f>
        <v/>
      </c>
      <c r="F197" s="13" t="str">
        <f>IF($A197="","",[1]!thsiFinD("ths_adjustment_nv_fund",F$3,$A197))</f>
        <v/>
      </c>
      <c r="G197" s="13" t="str">
        <f>IF($A197="","",[1]!thsiFinD("ths_adjustment_nv_fund",G$3,$A197))</f>
        <v/>
      </c>
      <c r="H197" s="13" t="str">
        <f>IF($A197="","",[1]!thsiFinD("ths_adjustment_nv_fund",H$3,$A197))</f>
        <v/>
      </c>
      <c r="I197" s="13" t="str">
        <f>IF($A197="","",[1]!thsiFinD("ths_adjustment_nv_fund",I$3,$A197))</f>
        <v/>
      </c>
      <c r="J197" s="13" t="str">
        <f>IF($A197="","",[1]!thsiFinD("ths_adjustment_nv_fund",J$3,$A197))</f>
        <v/>
      </c>
      <c r="K197" s="13" t="str">
        <f>IF($A197="","",[1]!thsiFinD("ths_adjustment_nv_fund",K$3,$A197))</f>
        <v/>
      </c>
      <c r="L197" s="13" t="str">
        <f>IF($A197="","",[1]!thsiFinD("ths_adjustment_nv_fund",L$3,$A197))</f>
        <v/>
      </c>
      <c r="M197" s="13" t="str">
        <f>IF($A197="","",[1]!thsiFinD("ths_adjustment_nv_fund",M$3,$A197))</f>
        <v/>
      </c>
      <c r="N197" s="13" t="str">
        <f>IF($A197="","",[1]!thsiFinD("ths_adjustment_nv_fund",N$3,$A197))</f>
        <v/>
      </c>
      <c r="O197" s="13" t="str">
        <f>IF($A197="","",[1]!thsiFinD("ths_adjustment_nv_fund",O$3,$A197))</f>
        <v/>
      </c>
      <c r="P197" s="13" t="str">
        <f>IF($A197="","",[1]!thsiFinD("ths_adjustment_nv_fund",P$3,$A197))</f>
        <v/>
      </c>
      <c r="Q197" s="13" t="str">
        <f>IF($A197="","",[1]!thsiFinD("ths_adjustment_nv_fund",Q$3,$A197))</f>
        <v/>
      </c>
      <c r="R197" s="13" t="str">
        <f>IF($A197="","",[1]!thsiFinD("ths_adjustment_nv_fund",R$3,$A197))</f>
        <v/>
      </c>
      <c r="S197" s="13" t="str">
        <f>IF($A197="","",[1]!thsiFinD("ths_adjustment_nv_fund",S$3,$A197))</f>
        <v/>
      </c>
      <c r="T197" s="13" t="str">
        <f>IF($A197="","",[1]!thsiFinD("ths_adjustment_nv_fund",T$3,$A197))</f>
        <v/>
      </c>
      <c r="U197" s="13" t="str">
        <f>IF($A197="","",[1]!thsiFinD("ths_adjustment_nv_fund",U$3,$A197))</f>
        <v/>
      </c>
      <c r="V197" s="13" t="str">
        <f>IF($A197="","",[1]!thsiFinD("ths_adjustment_nv_fund",V$3,$A197))</f>
        <v/>
      </c>
      <c r="W197" s="13" t="str">
        <f>IF($A197="","",[1]!thsiFinD("ths_adjustment_nv_fund",W$3,$A197))</f>
        <v/>
      </c>
      <c r="X197" s="13" t="str">
        <f>IF($A197="","",[1]!thsiFinD("ths_adjustment_nv_fund",X$3,$A197))</f>
        <v/>
      </c>
      <c r="Y197" s="13" t="str">
        <f>IF($A197="","",[1]!thsiFinD("ths_adjustment_nv_fund",Y$3,$A197))</f>
        <v/>
      </c>
      <c r="Z197" s="13" t="str">
        <f>IF($A197="","",[1]!thsiFinD("ths_adjustment_nv_fund",Z$3,$A197))</f>
        <v/>
      </c>
      <c r="AA197" s="13" t="str">
        <f>IF($A197="","",[1]!thsiFinD("ths_adjustment_nv_fund",AA$3,$A197))</f>
        <v/>
      </c>
      <c r="AB197" s="13" t="str">
        <f>IF($A197="","",[1]!thsiFinD("ths_adjustment_nv_fund",AB$3,$A197))</f>
        <v/>
      </c>
      <c r="AC197" s="13" t="str">
        <f>IF($A197="","",[1]!thsiFinD("ths_adjustment_nv_fund",AC$3,$A197))</f>
        <v/>
      </c>
      <c r="AD197" s="13" t="str">
        <f>IF($A197="","",[1]!thsiFinD("ths_adjustment_nv_fund",AD$3,$A197))</f>
        <v/>
      </c>
      <c r="AE197" s="13" t="str">
        <f>IF($A197="","",[1]!thsiFinD("ths_adjustment_nv_fund",AE$3,$A197))</f>
        <v/>
      </c>
      <c r="AF197" s="13" t="str">
        <f>IF($A197="","",[1]!thsiFinD("ths_adjustment_nv_fund",AF$3,$A197))</f>
        <v/>
      </c>
      <c r="AG197" s="13" t="str">
        <f>IF($A197="","",[1]!thsiFinD("ths_adjustment_nv_fund",AG$3,$A197))</f>
        <v/>
      </c>
      <c r="AH197" s="13" t="str">
        <f>IF($A197="","",[1]!thsiFinD("ths_adjustment_nv_fund",AH$3,$A197))</f>
        <v/>
      </c>
      <c r="AI197" s="13" t="str">
        <f>IF($A197="","",[1]!thsiFinD("ths_adjustment_nv_fund",AI$3,$A197))</f>
        <v/>
      </c>
      <c r="AJ197" s="13" t="str">
        <f>IF($A197="","",[1]!thsiFinD("ths_adjustment_nv_fund",AJ$3,$A197))</f>
        <v/>
      </c>
      <c r="AK197" s="13" t="str">
        <f>IF($A197="","",[1]!thsiFinD("ths_adjustment_nv_fund",AK$3,$A197))</f>
        <v/>
      </c>
      <c r="AL197" s="13" t="str">
        <f>IF($A197="","",[1]!thsiFinD("ths_adjustment_nv_fund",AL$3,$A197))</f>
        <v/>
      </c>
    </row>
    <row r="198" spans="1:38">
      <c r="A198" s="9"/>
      <c r="B198" s="13" t="str">
        <f>IF($A198="","",[1]!thsiFinD("ths_adjustment_nv_fund",B$3,$A198))</f>
        <v/>
      </c>
      <c r="C198" s="13" t="str">
        <f>IF($A198="","",[1]!thsiFinD("ths_adjustment_nv_fund",C$3,$A198))</f>
        <v/>
      </c>
      <c r="D198" s="13" t="str">
        <f>IF($A198="","",[1]!thsiFinD("ths_adjustment_nv_fund",D$3,$A198))</f>
        <v/>
      </c>
      <c r="E198" s="13" t="str">
        <f>IF($A198="","",[1]!thsiFinD("ths_adjustment_nv_fund",E$3,$A198))</f>
        <v/>
      </c>
      <c r="F198" s="13" t="str">
        <f>IF($A198="","",[1]!thsiFinD("ths_adjustment_nv_fund",F$3,$A198))</f>
        <v/>
      </c>
      <c r="G198" s="13" t="str">
        <f>IF($A198="","",[1]!thsiFinD("ths_adjustment_nv_fund",G$3,$A198))</f>
        <v/>
      </c>
      <c r="H198" s="13" t="str">
        <f>IF($A198="","",[1]!thsiFinD("ths_adjustment_nv_fund",H$3,$A198))</f>
        <v/>
      </c>
      <c r="I198" s="13" t="str">
        <f>IF($A198="","",[1]!thsiFinD("ths_adjustment_nv_fund",I$3,$A198))</f>
        <v/>
      </c>
      <c r="J198" s="13" t="str">
        <f>IF($A198="","",[1]!thsiFinD("ths_adjustment_nv_fund",J$3,$A198))</f>
        <v/>
      </c>
      <c r="K198" s="13" t="str">
        <f>IF($A198="","",[1]!thsiFinD("ths_adjustment_nv_fund",K$3,$A198))</f>
        <v/>
      </c>
      <c r="L198" s="13" t="str">
        <f>IF($A198="","",[1]!thsiFinD("ths_adjustment_nv_fund",L$3,$A198))</f>
        <v/>
      </c>
      <c r="M198" s="13" t="str">
        <f>IF($A198="","",[1]!thsiFinD("ths_adjustment_nv_fund",M$3,$A198))</f>
        <v/>
      </c>
      <c r="N198" s="13" t="str">
        <f>IF($A198="","",[1]!thsiFinD("ths_adjustment_nv_fund",N$3,$A198))</f>
        <v/>
      </c>
      <c r="O198" s="13" t="str">
        <f>IF($A198="","",[1]!thsiFinD("ths_adjustment_nv_fund",O$3,$A198))</f>
        <v/>
      </c>
      <c r="P198" s="13" t="str">
        <f>IF($A198="","",[1]!thsiFinD("ths_adjustment_nv_fund",P$3,$A198))</f>
        <v/>
      </c>
      <c r="Q198" s="13" t="str">
        <f>IF($A198="","",[1]!thsiFinD("ths_adjustment_nv_fund",Q$3,$A198))</f>
        <v/>
      </c>
      <c r="R198" s="13" t="str">
        <f>IF($A198="","",[1]!thsiFinD("ths_adjustment_nv_fund",R$3,$A198))</f>
        <v/>
      </c>
      <c r="S198" s="13" t="str">
        <f>IF($A198="","",[1]!thsiFinD("ths_adjustment_nv_fund",S$3,$A198))</f>
        <v/>
      </c>
      <c r="T198" s="13" t="str">
        <f>IF($A198="","",[1]!thsiFinD("ths_adjustment_nv_fund",T$3,$A198))</f>
        <v/>
      </c>
      <c r="U198" s="13" t="str">
        <f>IF($A198="","",[1]!thsiFinD("ths_adjustment_nv_fund",U$3,$A198))</f>
        <v/>
      </c>
      <c r="V198" s="13" t="str">
        <f>IF($A198="","",[1]!thsiFinD("ths_adjustment_nv_fund",V$3,$A198))</f>
        <v/>
      </c>
      <c r="W198" s="13" t="str">
        <f>IF($A198="","",[1]!thsiFinD("ths_adjustment_nv_fund",W$3,$A198))</f>
        <v/>
      </c>
      <c r="X198" s="13" t="str">
        <f>IF($A198="","",[1]!thsiFinD("ths_adjustment_nv_fund",X$3,$A198))</f>
        <v/>
      </c>
      <c r="Y198" s="13" t="str">
        <f>IF($A198="","",[1]!thsiFinD("ths_adjustment_nv_fund",Y$3,$A198))</f>
        <v/>
      </c>
      <c r="Z198" s="13" t="str">
        <f>IF($A198="","",[1]!thsiFinD("ths_adjustment_nv_fund",Z$3,$A198))</f>
        <v/>
      </c>
      <c r="AA198" s="13" t="str">
        <f>IF($A198="","",[1]!thsiFinD("ths_adjustment_nv_fund",AA$3,$A198))</f>
        <v/>
      </c>
      <c r="AB198" s="13" t="str">
        <f>IF($A198="","",[1]!thsiFinD("ths_adjustment_nv_fund",AB$3,$A198))</f>
        <v/>
      </c>
      <c r="AC198" s="13" t="str">
        <f>IF($A198="","",[1]!thsiFinD("ths_adjustment_nv_fund",AC$3,$A198))</f>
        <v/>
      </c>
      <c r="AD198" s="13" t="str">
        <f>IF($A198="","",[1]!thsiFinD("ths_adjustment_nv_fund",AD$3,$A198))</f>
        <v/>
      </c>
      <c r="AE198" s="13" t="str">
        <f>IF($A198="","",[1]!thsiFinD("ths_adjustment_nv_fund",AE$3,$A198))</f>
        <v/>
      </c>
      <c r="AF198" s="13" t="str">
        <f>IF($A198="","",[1]!thsiFinD("ths_adjustment_nv_fund",AF$3,$A198))</f>
        <v/>
      </c>
      <c r="AG198" s="13" t="str">
        <f>IF($A198="","",[1]!thsiFinD("ths_adjustment_nv_fund",AG$3,$A198))</f>
        <v/>
      </c>
      <c r="AH198" s="13" t="str">
        <f>IF($A198="","",[1]!thsiFinD("ths_adjustment_nv_fund",AH$3,$A198))</f>
        <v/>
      </c>
      <c r="AI198" s="13" t="str">
        <f>IF($A198="","",[1]!thsiFinD("ths_adjustment_nv_fund",AI$3,$A198))</f>
        <v/>
      </c>
      <c r="AJ198" s="13" t="str">
        <f>IF($A198="","",[1]!thsiFinD("ths_adjustment_nv_fund",AJ$3,$A198))</f>
        <v/>
      </c>
      <c r="AK198" s="13" t="str">
        <f>IF($A198="","",[1]!thsiFinD("ths_adjustment_nv_fund",AK$3,$A198))</f>
        <v/>
      </c>
      <c r="AL198" s="13" t="str">
        <f>IF($A198="","",[1]!thsiFinD("ths_adjustment_nv_fund",AL$3,$A198))</f>
        <v/>
      </c>
    </row>
    <row r="199" spans="1:38">
      <c r="A199" s="9"/>
      <c r="B199" s="13" t="str">
        <f>IF($A199="","",[1]!thsiFinD("ths_adjustment_nv_fund",B$3,$A199))</f>
        <v/>
      </c>
      <c r="C199" s="13" t="str">
        <f>IF($A199="","",[1]!thsiFinD("ths_adjustment_nv_fund",C$3,$A199))</f>
        <v/>
      </c>
      <c r="D199" s="13" t="str">
        <f>IF($A199="","",[1]!thsiFinD("ths_adjustment_nv_fund",D$3,$A199))</f>
        <v/>
      </c>
      <c r="E199" s="13" t="str">
        <f>IF($A199="","",[1]!thsiFinD("ths_adjustment_nv_fund",E$3,$A199))</f>
        <v/>
      </c>
      <c r="F199" s="13" t="str">
        <f>IF($A199="","",[1]!thsiFinD("ths_adjustment_nv_fund",F$3,$A199))</f>
        <v/>
      </c>
      <c r="G199" s="13" t="str">
        <f>IF($A199="","",[1]!thsiFinD("ths_adjustment_nv_fund",G$3,$A199))</f>
        <v/>
      </c>
      <c r="H199" s="13" t="str">
        <f>IF($A199="","",[1]!thsiFinD("ths_adjustment_nv_fund",H$3,$A199))</f>
        <v/>
      </c>
      <c r="I199" s="13" t="str">
        <f>IF($A199="","",[1]!thsiFinD("ths_adjustment_nv_fund",I$3,$A199))</f>
        <v/>
      </c>
      <c r="J199" s="13" t="str">
        <f>IF($A199="","",[1]!thsiFinD("ths_adjustment_nv_fund",J$3,$A199))</f>
        <v/>
      </c>
      <c r="K199" s="13" t="str">
        <f>IF($A199="","",[1]!thsiFinD("ths_adjustment_nv_fund",K$3,$A199))</f>
        <v/>
      </c>
      <c r="L199" s="13" t="str">
        <f>IF($A199="","",[1]!thsiFinD("ths_adjustment_nv_fund",L$3,$A199))</f>
        <v/>
      </c>
      <c r="M199" s="13" t="str">
        <f>IF($A199="","",[1]!thsiFinD("ths_adjustment_nv_fund",M$3,$A199))</f>
        <v/>
      </c>
      <c r="N199" s="13" t="str">
        <f>IF($A199="","",[1]!thsiFinD("ths_adjustment_nv_fund",N$3,$A199))</f>
        <v/>
      </c>
      <c r="O199" s="13" t="str">
        <f>IF($A199="","",[1]!thsiFinD("ths_adjustment_nv_fund",O$3,$A199))</f>
        <v/>
      </c>
      <c r="P199" s="13" t="str">
        <f>IF($A199="","",[1]!thsiFinD("ths_adjustment_nv_fund",P$3,$A199))</f>
        <v/>
      </c>
      <c r="Q199" s="13" t="str">
        <f>IF($A199="","",[1]!thsiFinD("ths_adjustment_nv_fund",Q$3,$A199))</f>
        <v/>
      </c>
      <c r="R199" s="13" t="str">
        <f>IF($A199="","",[1]!thsiFinD("ths_adjustment_nv_fund",R$3,$A199))</f>
        <v/>
      </c>
      <c r="S199" s="13" t="str">
        <f>IF($A199="","",[1]!thsiFinD("ths_adjustment_nv_fund",S$3,$A199))</f>
        <v/>
      </c>
      <c r="T199" s="13" t="str">
        <f>IF($A199="","",[1]!thsiFinD("ths_adjustment_nv_fund",T$3,$A199))</f>
        <v/>
      </c>
      <c r="U199" s="13" t="str">
        <f>IF($A199="","",[1]!thsiFinD("ths_adjustment_nv_fund",U$3,$A199))</f>
        <v/>
      </c>
      <c r="V199" s="13" t="str">
        <f>IF($A199="","",[1]!thsiFinD("ths_adjustment_nv_fund",V$3,$A199))</f>
        <v/>
      </c>
      <c r="W199" s="13" t="str">
        <f>IF($A199="","",[1]!thsiFinD("ths_adjustment_nv_fund",W$3,$A199))</f>
        <v/>
      </c>
      <c r="X199" s="13" t="str">
        <f>IF($A199="","",[1]!thsiFinD("ths_adjustment_nv_fund",X$3,$A199))</f>
        <v/>
      </c>
      <c r="Y199" s="13" t="str">
        <f>IF($A199="","",[1]!thsiFinD("ths_adjustment_nv_fund",Y$3,$A199))</f>
        <v/>
      </c>
      <c r="Z199" s="13" t="str">
        <f>IF($A199="","",[1]!thsiFinD("ths_adjustment_nv_fund",Z$3,$A199))</f>
        <v/>
      </c>
      <c r="AA199" s="13" t="str">
        <f>IF($A199="","",[1]!thsiFinD("ths_adjustment_nv_fund",AA$3,$A199))</f>
        <v/>
      </c>
      <c r="AB199" s="13" t="str">
        <f>IF($A199="","",[1]!thsiFinD("ths_adjustment_nv_fund",AB$3,$A199))</f>
        <v/>
      </c>
      <c r="AC199" s="13" t="str">
        <f>IF($A199="","",[1]!thsiFinD("ths_adjustment_nv_fund",AC$3,$A199))</f>
        <v/>
      </c>
      <c r="AD199" s="13" t="str">
        <f>IF($A199="","",[1]!thsiFinD("ths_adjustment_nv_fund",AD$3,$A199))</f>
        <v/>
      </c>
      <c r="AE199" s="13" t="str">
        <f>IF($A199="","",[1]!thsiFinD("ths_adjustment_nv_fund",AE$3,$A199))</f>
        <v/>
      </c>
      <c r="AF199" s="13" t="str">
        <f>IF($A199="","",[1]!thsiFinD("ths_adjustment_nv_fund",AF$3,$A199))</f>
        <v/>
      </c>
      <c r="AG199" s="13" t="str">
        <f>IF($A199="","",[1]!thsiFinD("ths_adjustment_nv_fund",AG$3,$A199))</f>
        <v/>
      </c>
      <c r="AH199" s="13" t="str">
        <f>IF($A199="","",[1]!thsiFinD("ths_adjustment_nv_fund",AH$3,$A199))</f>
        <v/>
      </c>
      <c r="AI199" s="13" t="str">
        <f>IF($A199="","",[1]!thsiFinD("ths_adjustment_nv_fund",AI$3,$A199))</f>
        <v/>
      </c>
      <c r="AJ199" s="13" t="str">
        <f>IF($A199="","",[1]!thsiFinD("ths_adjustment_nv_fund",AJ$3,$A199))</f>
        <v/>
      </c>
      <c r="AK199" s="13" t="str">
        <f>IF($A199="","",[1]!thsiFinD("ths_adjustment_nv_fund",AK$3,$A199))</f>
        <v/>
      </c>
      <c r="AL199" s="13" t="str">
        <f>IF($A199="","",[1]!thsiFinD("ths_adjustment_nv_fund",AL$3,$A199))</f>
        <v/>
      </c>
    </row>
    <row r="200" spans="1:38">
      <c r="A200" s="9"/>
      <c r="B200" s="13" t="str">
        <f>IF($A200="","",[1]!thsiFinD("ths_adjustment_nv_fund",B$3,$A200))</f>
        <v/>
      </c>
      <c r="C200" s="13" t="str">
        <f>IF($A200="","",[1]!thsiFinD("ths_adjustment_nv_fund",C$3,$A200))</f>
        <v/>
      </c>
      <c r="D200" s="13" t="str">
        <f>IF($A200="","",[1]!thsiFinD("ths_adjustment_nv_fund",D$3,$A200))</f>
        <v/>
      </c>
      <c r="E200" s="13" t="str">
        <f>IF($A200="","",[1]!thsiFinD("ths_adjustment_nv_fund",E$3,$A200))</f>
        <v/>
      </c>
      <c r="F200" s="13" t="str">
        <f>IF($A200="","",[1]!thsiFinD("ths_adjustment_nv_fund",F$3,$A200))</f>
        <v/>
      </c>
      <c r="G200" s="13" t="str">
        <f>IF($A200="","",[1]!thsiFinD("ths_adjustment_nv_fund",G$3,$A200))</f>
        <v/>
      </c>
      <c r="H200" s="13" t="str">
        <f>IF($A200="","",[1]!thsiFinD("ths_adjustment_nv_fund",H$3,$A200))</f>
        <v/>
      </c>
      <c r="I200" s="13" t="str">
        <f>IF($A200="","",[1]!thsiFinD("ths_adjustment_nv_fund",I$3,$A200))</f>
        <v/>
      </c>
      <c r="J200" s="13" t="str">
        <f>IF($A200="","",[1]!thsiFinD("ths_adjustment_nv_fund",J$3,$A200))</f>
        <v/>
      </c>
      <c r="K200" s="13" t="str">
        <f>IF($A200="","",[1]!thsiFinD("ths_adjustment_nv_fund",K$3,$A200))</f>
        <v/>
      </c>
      <c r="L200" s="13" t="str">
        <f>IF($A200="","",[1]!thsiFinD("ths_adjustment_nv_fund",L$3,$A200))</f>
        <v/>
      </c>
      <c r="M200" s="13" t="str">
        <f>IF($A200="","",[1]!thsiFinD("ths_adjustment_nv_fund",M$3,$A200))</f>
        <v/>
      </c>
      <c r="N200" s="13" t="str">
        <f>IF($A200="","",[1]!thsiFinD("ths_adjustment_nv_fund",N$3,$A200))</f>
        <v/>
      </c>
      <c r="O200" s="13" t="str">
        <f>IF($A200="","",[1]!thsiFinD("ths_adjustment_nv_fund",O$3,$A200))</f>
        <v/>
      </c>
      <c r="P200" s="13" t="str">
        <f>IF($A200="","",[1]!thsiFinD("ths_adjustment_nv_fund",P$3,$A200))</f>
        <v/>
      </c>
      <c r="Q200" s="13" t="str">
        <f>IF($A200="","",[1]!thsiFinD("ths_adjustment_nv_fund",Q$3,$A200))</f>
        <v/>
      </c>
      <c r="R200" s="13" t="str">
        <f>IF($A200="","",[1]!thsiFinD("ths_adjustment_nv_fund",R$3,$A200))</f>
        <v/>
      </c>
      <c r="S200" s="13" t="str">
        <f>IF($A200="","",[1]!thsiFinD("ths_adjustment_nv_fund",S$3,$A200))</f>
        <v/>
      </c>
      <c r="T200" s="13" t="str">
        <f>IF($A200="","",[1]!thsiFinD("ths_adjustment_nv_fund",T$3,$A200))</f>
        <v/>
      </c>
      <c r="U200" s="13" t="str">
        <f>IF($A200="","",[1]!thsiFinD("ths_adjustment_nv_fund",U$3,$A200))</f>
        <v/>
      </c>
      <c r="V200" s="13" t="str">
        <f>IF($A200="","",[1]!thsiFinD("ths_adjustment_nv_fund",V$3,$A200))</f>
        <v/>
      </c>
      <c r="W200" s="13" t="str">
        <f>IF($A200="","",[1]!thsiFinD("ths_adjustment_nv_fund",W$3,$A200))</f>
        <v/>
      </c>
      <c r="X200" s="13" t="str">
        <f>IF($A200="","",[1]!thsiFinD("ths_adjustment_nv_fund",X$3,$A200))</f>
        <v/>
      </c>
      <c r="Y200" s="13" t="str">
        <f>IF($A200="","",[1]!thsiFinD("ths_adjustment_nv_fund",Y$3,$A200))</f>
        <v/>
      </c>
      <c r="Z200" s="13" t="str">
        <f>IF($A200="","",[1]!thsiFinD("ths_adjustment_nv_fund",Z$3,$A200))</f>
        <v/>
      </c>
      <c r="AA200" s="13" t="str">
        <f>IF($A200="","",[1]!thsiFinD("ths_adjustment_nv_fund",AA$3,$A200))</f>
        <v/>
      </c>
      <c r="AB200" s="13" t="str">
        <f>IF($A200="","",[1]!thsiFinD("ths_adjustment_nv_fund",AB$3,$A200))</f>
        <v/>
      </c>
      <c r="AC200" s="13" t="str">
        <f>IF($A200="","",[1]!thsiFinD("ths_adjustment_nv_fund",AC$3,$A200))</f>
        <v/>
      </c>
      <c r="AD200" s="13" t="str">
        <f>IF($A200="","",[1]!thsiFinD("ths_adjustment_nv_fund",AD$3,$A200))</f>
        <v/>
      </c>
      <c r="AE200" s="13" t="str">
        <f>IF($A200="","",[1]!thsiFinD("ths_adjustment_nv_fund",AE$3,$A200))</f>
        <v/>
      </c>
      <c r="AF200" s="13" t="str">
        <f>IF($A200="","",[1]!thsiFinD("ths_adjustment_nv_fund",AF$3,$A200))</f>
        <v/>
      </c>
      <c r="AG200" s="13" t="str">
        <f>IF($A200="","",[1]!thsiFinD("ths_adjustment_nv_fund",AG$3,$A200))</f>
        <v/>
      </c>
      <c r="AH200" s="13" t="str">
        <f>IF($A200="","",[1]!thsiFinD("ths_adjustment_nv_fund",AH$3,$A200))</f>
        <v/>
      </c>
      <c r="AI200" s="13" t="str">
        <f>IF($A200="","",[1]!thsiFinD("ths_adjustment_nv_fund",AI$3,$A200))</f>
        <v/>
      </c>
      <c r="AJ200" s="13" t="str">
        <f>IF($A200="","",[1]!thsiFinD("ths_adjustment_nv_fund",AJ$3,$A200))</f>
        <v/>
      </c>
      <c r="AK200" s="13" t="str">
        <f>IF($A200="","",[1]!thsiFinD("ths_adjustment_nv_fund",AK$3,$A200))</f>
        <v/>
      </c>
      <c r="AL200" s="13" t="str">
        <f>IF($A200="","",[1]!thsiFinD("ths_adjustment_nv_fund",AL$3,$A200))</f>
        <v/>
      </c>
    </row>
    <row r="201" spans="1:38">
      <c r="A201" s="9"/>
      <c r="B201" s="13" t="str">
        <f>IF($A201="","",[1]!thsiFinD("ths_adjustment_nv_fund",B$3,$A201))</f>
        <v/>
      </c>
      <c r="C201" s="13" t="str">
        <f>IF($A201="","",[1]!thsiFinD("ths_adjustment_nv_fund",C$3,$A201))</f>
        <v/>
      </c>
      <c r="D201" s="13" t="str">
        <f>IF($A201="","",[1]!thsiFinD("ths_adjustment_nv_fund",D$3,$A201))</f>
        <v/>
      </c>
      <c r="E201" s="13" t="str">
        <f>IF($A201="","",[1]!thsiFinD("ths_adjustment_nv_fund",E$3,$A201))</f>
        <v/>
      </c>
      <c r="F201" s="13" t="str">
        <f>IF($A201="","",[1]!thsiFinD("ths_adjustment_nv_fund",F$3,$A201))</f>
        <v/>
      </c>
      <c r="G201" s="13" t="str">
        <f>IF($A201="","",[1]!thsiFinD("ths_adjustment_nv_fund",G$3,$A201))</f>
        <v/>
      </c>
      <c r="H201" s="13" t="str">
        <f>IF($A201="","",[1]!thsiFinD("ths_adjustment_nv_fund",H$3,$A201))</f>
        <v/>
      </c>
      <c r="I201" s="13" t="str">
        <f>IF($A201="","",[1]!thsiFinD("ths_adjustment_nv_fund",I$3,$A201))</f>
        <v/>
      </c>
      <c r="J201" s="13" t="str">
        <f>IF($A201="","",[1]!thsiFinD("ths_adjustment_nv_fund",J$3,$A201))</f>
        <v/>
      </c>
      <c r="K201" s="13" t="str">
        <f>IF($A201="","",[1]!thsiFinD("ths_adjustment_nv_fund",K$3,$A201))</f>
        <v/>
      </c>
      <c r="L201" s="13" t="str">
        <f>IF($A201="","",[1]!thsiFinD("ths_adjustment_nv_fund",L$3,$A201))</f>
        <v/>
      </c>
      <c r="M201" s="13" t="str">
        <f>IF($A201="","",[1]!thsiFinD("ths_adjustment_nv_fund",M$3,$A201))</f>
        <v/>
      </c>
      <c r="N201" s="13" t="str">
        <f>IF($A201="","",[1]!thsiFinD("ths_adjustment_nv_fund",N$3,$A201))</f>
        <v/>
      </c>
      <c r="O201" s="13" t="str">
        <f>IF($A201="","",[1]!thsiFinD("ths_adjustment_nv_fund",O$3,$A201))</f>
        <v/>
      </c>
      <c r="P201" s="13" t="str">
        <f>IF($A201="","",[1]!thsiFinD("ths_adjustment_nv_fund",P$3,$A201))</f>
        <v/>
      </c>
      <c r="Q201" s="13" t="str">
        <f>IF($A201="","",[1]!thsiFinD("ths_adjustment_nv_fund",Q$3,$A201))</f>
        <v/>
      </c>
      <c r="R201" s="13" t="str">
        <f>IF($A201="","",[1]!thsiFinD("ths_adjustment_nv_fund",R$3,$A201))</f>
        <v/>
      </c>
      <c r="S201" s="13" t="str">
        <f>IF($A201="","",[1]!thsiFinD("ths_adjustment_nv_fund",S$3,$A201))</f>
        <v/>
      </c>
      <c r="T201" s="13" t="str">
        <f>IF($A201="","",[1]!thsiFinD("ths_adjustment_nv_fund",T$3,$A201))</f>
        <v/>
      </c>
      <c r="U201" s="13" t="str">
        <f>IF($A201="","",[1]!thsiFinD("ths_adjustment_nv_fund",U$3,$A201))</f>
        <v/>
      </c>
      <c r="V201" s="13" t="str">
        <f>IF($A201="","",[1]!thsiFinD("ths_adjustment_nv_fund",V$3,$A201))</f>
        <v/>
      </c>
      <c r="W201" s="13" t="str">
        <f>IF($A201="","",[1]!thsiFinD("ths_adjustment_nv_fund",W$3,$A201))</f>
        <v/>
      </c>
      <c r="X201" s="13" t="str">
        <f>IF($A201="","",[1]!thsiFinD("ths_adjustment_nv_fund",X$3,$A201))</f>
        <v/>
      </c>
      <c r="Y201" s="13" t="str">
        <f>IF($A201="","",[1]!thsiFinD("ths_adjustment_nv_fund",Y$3,$A201))</f>
        <v/>
      </c>
      <c r="Z201" s="13" t="str">
        <f>IF($A201="","",[1]!thsiFinD("ths_adjustment_nv_fund",Z$3,$A201))</f>
        <v/>
      </c>
      <c r="AA201" s="13" t="str">
        <f>IF($A201="","",[1]!thsiFinD("ths_adjustment_nv_fund",AA$3,$A201))</f>
        <v/>
      </c>
      <c r="AB201" s="13" t="str">
        <f>IF($A201="","",[1]!thsiFinD("ths_adjustment_nv_fund",AB$3,$A201))</f>
        <v/>
      </c>
      <c r="AC201" s="13" t="str">
        <f>IF($A201="","",[1]!thsiFinD("ths_adjustment_nv_fund",AC$3,$A201))</f>
        <v/>
      </c>
      <c r="AD201" s="13" t="str">
        <f>IF($A201="","",[1]!thsiFinD("ths_adjustment_nv_fund",AD$3,$A201))</f>
        <v/>
      </c>
      <c r="AE201" s="13" t="str">
        <f>IF($A201="","",[1]!thsiFinD("ths_adjustment_nv_fund",AE$3,$A201))</f>
        <v/>
      </c>
      <c r="AF201" s="13" t="str">
        <f>IF($A201="","",[1]!thsiFinD("ths_adjustment_nv_fund",AF$3,$A201))</f>
        <v/>
      </c>
      <c r="AG201" s="13" t="str">
        <f>IF($A201="","",[1]!thsiFinD("ths_adjustment_nv_fund",AG$3,$A201))</f>
        <v/>
      </c>
      <c r="AH201" s="13" t="str">
        <f>IF($A201="","",[1]!thsiFinD("ths_adjustment_nv_fund",AH$3,$A201))</f>
        <v/>
      </c>
      <c r="AI201" s="13" t="str">
        <f>IF($A201="","",[1]!thsiFinD("ths_adjustment_nv_fund",AI$3,$A201))</f>
        <v/>
      </c>
      <c r="AJ201" s="13" t="str">
        <f>IF($A201="","",[1]!thsiFinD("ths_adjustment_nv_fund",AJ$3,$A201))</f>
        <v/>
      </c>
      <c r="AK201" s="13" t="str">
        <f>IF($A201="","",[1]!thsiFinD("ths_adjustment_nv_fund",AK$3,$A201))</f>
        <v/>
      </c>
      <c r="AL201" s="13" t="str">
        <f>IF($A201="","",[1]!thsiFinD("ths_adjustment_nv_fund",AL$3,$A201))</f>
        <v/>
      </c>
    </row>
    <row r="202" spans="1:38">
      <c r="A202" s="9"/>
      <c r="B202" s="13" t="str">
        <f>IF($A202="","",[1]!thsiFinD("ths_adjustment_nv_fund",B$3,$A202))</f>
        <v/>
      </c>
      <c r="C202" s="13" t="str">
        <f>IF($A202="","",[1]!thsiFinD("ths_adjustment_nv_fund",C$3,$A202))</f>
        <v/>
      </c>
      <c r="D202" s="13" t="str">
        <f>IF($A202="","",[1]!thsiFinD("ths_adjustment_nv_fund",D$3,$A202))</f>
        <v/>
      </c>
      <c r="E202" s="13" t="str">
        <f>IF($A202="","",[1]!thsiFinD("ths_adjustment_nv_fund",E$3,$A202))</f>
        <v/>
      </c>
      <c r="F202" s="13" t="str">
        <f>IF($A202="","",[1]!thsiFinD("ths_adjustment_nv_fund",F$3,$A202))</f>
        <v/>
      </c>
      <c r="G202" s="13" t="str">
        <f>IF($A202="","",[1]!thsiFinD("ths_adjustment_nv_fund",G$3,$A202))</f>
        <v/>
      </c>
      <c r="H202" s="13" t="str">
        <f>IF($A202="","",[1]!thsiFinD("ths_adjustment_nv_fund",H$3,$A202))</f>
        <v/>
      </c>
      <c r="I202" s="13" t="str">
        <f>IF($A202="","",[1]!thsiFinD("ths_adjustment_nv_fund",I$3,$A202))</f>
        <v/>
      </c>
      <c r="J202" s="13" t="str">
        <f>IF($A202="","",[1]!thsiFinD("ths_adjustment_nv_fund",J$3,$A202))</f>
        <v/>
      </c>
      <c r="K202" s="13" t="str">
        <f>IF($A202="","",[1]!thsiFinD("ths_adjustment_nv_fund",K$3,$A202))</f>
        <v/>
      </c>
      <c r="L202" s="13" t="str">
        <f>IF($A202="","",[1]!thsiFinD("ths_adjustment_nv_fund",L$3,$A202))</f>
        <v/>
      </c>
      <c r="M202" s="13" t="str">
        <f>IF($A202="","",[1]!thsiFinD("ths_adjustment_nv_fund",M$3,$A202))</f>
        <v/>
      </c>
      <c r="N202" s="13" t="str">
        <f>IF($A202="","",[1]!thsiFinD("ths_adjustment_nv_fund",N$3,$A202))</f>
        <v/>
      </c>
      <c r="O202" s="13" t="str">
        <f>IF($A202="","",[1]!thsiFinD("ths_adjustment_nv_fund",O$3,$A202))</f>
        <v/>
      </c>
      <c r="P202" s="13" t="str">
        <f>IF($A202="","",[1]!thsiFinD("ths_adjustment_nv_fund",P$3,$A202))</f>
        <v/>
      </c>
      <c r="Q202" s="13" t="str">
        <f>IF($A202="","",[1]!thsiFinD("ths_adjustment_nv_fund",Q$3,$A202))</f>
        <v/>
      </c>
      <c r="R202" s="13" t="str">
        <f>IF($A202="","",[1]!thsiFinD("ths_adjustment_nv_fund",R$3,$A202))</f>
        <v/>
      </c>
      <c r="S202" s="13" t="str">
        <f>IF($A202="","",[1]!thsiFinD("ths_adjustment_nv_fund",S$3,$A202))</f>
        <v/>
      </c>
      <c r="T202" s="13" t="str">
        <f>IF($A202="","",[1]!thsiFinD("ths_adjustment_nv_fund",T$3,$A202))</f>
        <v/>
      </c>
      <c r="U202" s="13" t="str">
        <f>IF($A202="","",[1]!thsiFinD("ths_adjustment_nv_fund",U$3,$A202))</f>
        <v/>
      </c>
      <c r="V202" s="13" t="str">
        <f>IF($A202="","",[1]!thsiFinD("ths_adjustment_nv_fund",V$3,$A202))</f>
        <v/>
      </c>
      <c r="W202" s="13" t="str">
        <f>IF($A202="","",[1]!thsiFinD("ths_adjustment_nv_fund",W$3,$A202))</f>
        <v/>
      </c>
      <c r="X202" s="13" t="str">
        <f>IF($A202="","",[1]!thsiFinD("ths_adjustment_nv_fund",X$3,$A202))</f>
        <v/>
      </c>
      <c r="Y202" s="13" t="str">
        <f>IF($A202="","",[1]!thsiFinD("ths_adjustment_nv_fund",Y$3,$A202))</f>
        <v/>
      </c>
      <c r="Z202" s="13" t="str">
        <f>IF($A202="","",[1]!thsiFinD("ths_adjustment_nv_fund",Z$3,$A202))</f>
        <v/>
      </c>
      <c r="AA202" s="13" t="str">
        <f>IF($A202="","",[1]!thsiFinD("ths_adjustment_nv_fund",AA$3,$A202))</f>
        <v/>
      </c>
      <c r="AB202" s="13" t="str">
        <f>IF($A202="","",[1]!thsiFinD("ths_adjustment_nv_fund",AB$3,$A202))</f>
        <v/>
      </c>
      <c r="AC202" s="13" t="str">
        <f>IF($A202="","",[1]!thsiFinD("ths_adjustment_nv_fund",AC$3,$A202))</f>
        <v/>
      </c>
      <c r="AD202" s="13" t="str">
        <f>IF($A202="","",[1]!thsiFinD("ths_adjustment_nv_fund",AD$3,$A202))</f>
        <v/>
      </c>
      <c r="AE202" s="13" t="str">
        <f>IF($A202="","",[1]!thsiFinD("ths_adjustment_nv_fund",AE$3,$A202))</f>
        <v/>
      </c>
      <c r="AF202" s="13" t="str">
        <f>IF($A202="","",[1]!thsiFinD("ths_adjustment_nv_fund",AF$3,$A202))</f>
        <v/>
      </c>
      <c r="AG202" s="13" t="str">
        <f>IF($A202="","",[1]!thsiFinD("ths_adjustment_nv_fund",AG$3,$A202))</f>
        <v/>
      </c>
      <c r="AH202" s="13" t="str">
        <f>IF($A202="","",[1]!thsiFinD("ths_adjustment_nv_fund",AH$3,$A202))</f>
        <v/>
      </c>
      <c r="AI202" s="13" t="str">
        <f>IF($A202="","",[1]!thsiFinD("ths_adjustment_nv_fund",AI$3,$A202))</f>
        <v/>
      </c>
      <c r="AJ202" s="13" t="str">
        <f>IF($A202="","",[1]!thsiFinD("ths_adjustment_nv_fund",AJ$3,$A202))</f>
        <v/>
      </c>
      <c r="AK202" s="13" t="str">
        <f>IF($A202="","",[1]!thsiFinD("ths_adjustment_nv_fund",AK$3,$A202))</f>
        <v/>
      </c>
      <c r="AL202" s="13" t="str">
        <f>IF($A202="","",[1]!thsiFinD("ths_adjustment_nv_fund",AL$3,$A202))</f>
        <v/>
      </c>
    </row>
    <row r="203" spans="1:38">
      <c r="A203" s="9"/>
      <c r="B203" s="13" t="str">
        <f>IF($A203="","",[1]!thsiFinD("ths_adjustment_nv_fund",B$3,$A203))</f>
        <v/>
      </c>
      <c r="C203" s="13" t="str">
        <f>IF($A203="","",[1]!thsiFinD("ths_adjustment_nv_fund",C$3,$A203))</f>
        <v/>
      </c>
      <c r="D203" s="13" t="str">
        <f>IF($A203="","",[1]!thsiFinD("ths_adjustment_nv_fund",D$3,$A203))</f>
        <v/>
      </c>
      <c r="E203" s="13" t="str">
        <f>IF($A203="","",[1]!thsiFinD("ths_adjustment_nv_fund",E$3,$A203))</f>
        <v/>
      </c>
      <c r="F203" s="13" t="str">
        <f>IF($A203="","",[1]!thsiFinD("ths_adjustment_nv_fund",F$3,$A203))</f>
        <v/>
      </c>
      <c r="G203" s="13" t="str">
        <f>IF($A203="","",[1]!thsiFinD("ths_adjustment_nv_fund",G$3,$A203))</f>
        <v/>
      </c>
      <c r="H203" s="13" t="str">
        <f>IF($A203="","",[1]!thsiFinD("ths_adjustment_nv_fund",H$3,$A203))</f>
        <v/>
      </c>
      <c r="I203" s="13" t="str">
        <f>IF($A203="","",[1]!thsiFinD("ths_adjustment_nv_fund",I$3,$A203))</f>
        <v/>
      </c>
      <c r="J203" s="13" t="str">
        <f>IF($A203="","",[1]!thsiFinD("ths_adjustment_nv_fund",J$3,$A203))</f>
        <v/>
      </c>
      <c r="K203" s="13" t="str">
        <f>IF($A203="","",[1]!thsiFinD("ths_adjustment_nv_fund",K$3,$A203))</f>
        <v/>
      </c>
      <c r="L203" s="13" t="str">
        <f>IF($A203="","",[1]!thsiFinD("ths_adjustment_nv_fund",L$3,$A203))</f>
        <v/>
      </c>
      <c r="M203" s="13" t="str">
        <f>IF($A203="","",[1]!thsiFinD("ths_adjustment_nv_fund",M$3,$A203))</f>
        <v/>
      </c>
      <c r="N203" s="13" t="str">
        <f>IF($A203="","",[1]!thsiFinD("ths_adjustment_nv_fund",N$3,$A203))</f>
        <v/>
      </c>
      <c r="O203" s="13" t="str">
        <f>IF($A203="","",[1]!thsiFinD("ths_adjustment_nv_fund",O$3,$A203))</f>
        <v/>
      </c>
      <c r="P203" s="13" t="str">
        <f>IF($A203="","",[1]!thsiFinD("ths_adjustment_nv_fund",P$3,$A203))</f>
        <v/>
      </c>
      <c r="Q203" s="13" t="str">
        <f>IF($A203="","",[1]!thsiFinD("ths_adjustment_nv_fund",Q$3,$A203))</f>
        <v/>
      </c>
      <c r="R203" s="13" t="str">
        <f>IF($A203="","",[1]!thsiFinD("ths_adjustment_nv_fund",R$3,$A203))</f>
        <v/>
      </c>
      <c r="S203" s="13" t="str">
        <f>IF($A203="","",[1]!thsiFinD("ths_adjustment_nv_fund",S$3,$A203))</f>
        <v/>
      </c>
      <c r="T203" s="13" t="str">
        <f>IF($A203="","",[1]!thsiFinD("ths_adjustment_nv_fund",T$3,$A203))</f>
        <v/>
      </c>
      <c r="U203" s="13" t="str">
        <f>IF($A203="","",[1]!thsiFinD("ths_adjustment_nv_fund",U$3,$A203))</f>
        <v/>
      </c>
      <c r="V203" s="13" t="str">
        <f>IF($A203="","",[1]!thsiFinD("ths_adjustment_nv_fund",V$3,$A203))</f>
        <v/>
      </c>
      <c r="W203" s="13" t="str">
        <f>IF($A203="","",[1]!thsiFinD("ths_adjustment_nv_fund",W$3,$A203))</f>
        <v/>
      </c>
      <c r="X203" s="13" t="str">
        <f>IF($A203="","",[1]!thsiFinD("ths_adjustment_nv_fund",X$3,$A203))</f>
        <v/>
      </c>
      <c r="Y203" s="13" t="str">
        <f>IF($A203="","",[1]!thsiFinD("ths_adjustment_nv_fund",Y$3,$A203))</f>
        <v/>
      </c>
      <c r="Z203" s="13" t="str">
        <f>IF($A203="","",[1]!thsiFinD("ths_adjustment_nv_fund",Z$3,$A203))</f>
        <v/>
      </c>
      <c r="AA203" s="13" t="str">
        <f>IF($A203="","",[1]!thsiFinD("ths_adjustment_nv_fund",AA$3,$A203))</f>
        <v/>
      </c>
      <c r="AB203" s="13" t="str">
        <f>IF($A203="","",[1]!thsiFinD("ths_adjustment_nv_fund",AB$3,$A203))</f>
        <v/>
      </c>
      <c r="AC203" s="13" t="str">
        <f>IF($A203="","",[1]!thsiFinD("ths_adjustment_nv_fund",AC$3,$A203))</f>
        <v/>
      </c>
      <c r="AD203" s="13" t="str">
        <f>IF($A203="","",[1]!thsiFinD("ths_adjustment_nv_fund",AD$3,$A203))</f>
        <v/>
      </c>
      <c r="AE203" s="13" t="str">
        <f>IF($A203="","",[1]!thsiFinD("ths_adjustment_nv_fund",AE$3,$A203))</f>
        <v/>
      </c>
      <c r="AF203" s="13" t="str">
        <f>IF($A203="","",[1]!thsiFinD("ths_adjustment_nv_fund",AF$3,$A203))</f>
        <v/>
      </c>
      <c r="AG203" s="13" t="str">
        <f>IF($A203="","",[1]!thsiFinD("ths_adjustment_nv_fund",AG$3,$A203))</f>
        <v/>
      </c>
      <c r="AH203" s="13" t="str">
        <f>IF($A203="","",[1]!thsiFinD("ths_adjustment_nv_fund",AH$3,$A203))</f>
        <v/>
      </c>
      <c r="AI203" s="13" t="str">
        <f>IF($A203="","",[1]!thsiFinD("ths_adjustment_nv_fund",AI$3,$A203))</f>
        <v/>
      </c>
      <c r="AJ203" s="13" t="str">
        <f>IF($A203="","",[1]!thsiFinD("ths_adjustment_nv_fund",AJ$3,$A203))</f>
        <v/>
      </c>
      <c r="AK203" s="13" t="str">
        <f>IF($A203="","",[1]!thsiFinD("ths_adjustment_nv_fund",AK$3,$A203))</f>
        <v/>
      </c>
      <c r="AL203" s="13" t="str">
        <f>IF($A203="","",[1]!thsiFinD("ths_adjustment_nv_fund",AL$3,$A203))</f>
        <v/>
      </c>
    </row>
    <row r="204" spans="1:38">
      <c r="A204" s="9"/>
      <c r="B204" s="13" t="str">
        <f>IF($A204="","",[1]!thsiFinD("ths_adjustment_nv_fund",B$3,$A204))</f>
        <v/>
      </c>
      <c r="C204" s="13" t="str">
        <f>IF($A204="","",[1]!thsiFinD("ths_adjustment_nv_fund",C$3,$A204))</f>
        <v/>
      </c>
      <c r="D204" s="13" t="str">
        <f>IF($A204="","",[1]!thsiFinD("ths_adjustment_nv_fund",D$3,$A204))</f>
        <v/>
      </c>
      <c r="E204" s="13" t="str">
        <f>IF($A204="","",[1]!thsiFinD("ths_adjustment_nv_fund",E$3,$A204))</f>
        <v/>
      </c>
      <c r="F204" s="13" t="str">
        <f>IF($A204="","",[1]!thsiFinD("ths_adjustment_nv_fund",F$3,$A204))</f>
        <v/>
      </c>
      <c r="G204" s="13" t="str">
        <f>IF($A204="","",[1]!thsiFinD("ths_adjustment_nv_fund",G$3,$A204))</f>
        <v/>
      </c>
      <c r="H204" s="13" t="str">
        <f>IF($A204="","",[1]!thsiFinD("ths_adjustment_nv_fund",H$3,$A204))</f>
        <v/>
      </c>
      <c r="I204" s="13" t="str">
        <f>IF($A204="","",[1]!thsiFinD("ths_adjustment_nv_fund",I$3,$A204))</f>
        <v/>
      </c>
      <c r="J204" s="13" t="str">
        <f>IF($A204="","",[1]!thsiFinD("ths_adjustment_nv_fund",J$3,$A204))</f>
        <v/>
      </c>
      <c r="K204" s="13" t="str">
        <f>IF($A204="","",[1]!thsiFinD("ths_adjustment_nv_fund",K$3,$A204))</f>
        <v/>
      </c>
      <c r="L204" s="13" t="str">
        <f>IF($A204="","",[1]!thsiFinD("ths_adjustment_nv_fund",L$3,$A204))</f>
        <v/>
      </c>
      <c r="M204" s="13" t="str">
        <f>IF($A204="","",[1]!thsiFinD("ths_adjustment_nv_fund",M$3,$A204))</f>
        <v/>
      </c>
      <c r="N204" s="13" t="str">
        <f>IF($A204="","",[1]!thsiFinD("ths_adjustment_nv_fund",N$3,$A204))</f>
        <v/>
      </c>
      <c r="O204" s="13" t="str">
        <f>IF($A204="","",[1]!thsiFinD("ths_adjustment_nv_fund",O$3,$A204))</f>
        <v/>
      </c>
      <c r="P204" s="13" t="str">
        <f>IF($A204="","",[1]!thsiFinD("ths_adjustment_nv_fund",P$3,$A204))</f>
        <v/>
      </c>
      <c r="Q204" s="13" t="str">
        <f>IF($A204="","",[1]!thsiFinD("ths_adjustment_nv_fund",Q$3,$A204))</f>
        <v/>
      </c>
      <c r="R204" s="13" t="str">
        <f>IF($A204="","",[1]!thsiFinD("ths_adjustment_nv_fund",R$3,$A204))</f>
        <v/>
      </c>
      <c r="S204" s="13" t="str">
        <f>IF($A204="","",[1]!thsiFinD("ths_adjustment_nv_fund",S$3,$A204))</f>
        <v/>
      </c>
      <c r="T204" s="13" t="str">
        <f>IF($A204="","",[1]!thsiFinD("ths_adjustment_nv_fund",T$3,$A204))</f>
        <v/>
      </c>
      <c r="U204" s="13" t="str">
        <f>IF($A204="","",[1]!thsiFinD("ths_adjustment_nv_fund",U$3,$A204))</f>
        <v/>
      </c>
      <c r="V204" s="13" t="str">
        <f>IF($A204="","",[1]!thsiFinD("ths_adjustment_nv_fund",V$3,$A204))</f>
        <v/>
      </c>
      <c r="W204" s="13" t="str">
        <f>IF($A204="","",[1]!thsiFinD("ths_adjustment_nv_fund",W$3,$A204))</f>
        <v/>
      </c>
      <c r="X204" s="13" t="str">
        <f>IF($A204="","",[1]!thsiFinD("ths_adjustment_nv_fund",X$3,$A204))</f>
        <v/>
      </c>
      <c r="Y204" s="13" t="str">
        <f>IF($A204="","",[1]!thsiFinD("ths_adjustment_nv_fund",Y$3,$A204))</f>
        <v/>
      </c>
      <c r="Z204" s="13" t="str">
        <f>IF($A204="","",[1]!thsiFinD("ths_adjustment_nv_fund",Z$3,$A204))</f>
        <v/>
      </c>
      <c r="AA204" s="13" t="str">
        <f>IF($A204="","",[1]!thsiFinD("ths_adjustment_nv_fund",AA$3,$A204))</f>
        <v/>
      </c>
      <c r="AB204" s="13" t="str">
        <f>IF($A204="","",[1]!thsiFinD("ths_adjustment_nv_fund",AB$3,$A204))</f>
        <v/>
      </c>
      <c r="AC204" s="13" t="str">
        <f>IF($A204="","",[1]!thsiFinD("ths_adjustment_nv_fund",AC$3,$A204))</f>
        <v/>
      </c>
      <c r="AD204" s="13" t="str">
        <f>IF($A204="","",[1]!thsiFinD("ths_adjustment_nv_fund",AD$3,$A204))</f>
        <v/>
      </c>
      <c r="AE204" s="13" t="str">
        <f>IF($A204="","",[1]!thsiFinD("ths_adjustment_nv_fund",AE$3,$A204))</f>
        <v/>
      </c>
      <c r="AF204" s="13" t="str">
        <f>IF($A204="","",[1]!thsiFinD("ths_adjustment_nv_fund",AF$3,$A204))</f>
        <v/>
      </c>
      <c r="AG204" s="13" t="str">
        <f>IF($A204="","",[1]!thsiFinD("ths_adjustment_nv_fund",AG$3,$A204))</f>
        <v/>
      </c>
      <c r="AH204" s="13" t="str">
        <f>IF($A204="","",[1]!thsiFinD("ths_adjustment_nv_fund",AH$3,$A204))</f>
        <v/>
      </c>
      <c r="AI204" s="13" t="str">
        <f>IF($A204="","",[1]!thsiFinD("ths_adjustment_nv_fund",AI$3,$A204))</f>
        <v/>
      </c>
      <c r="AJ204" s="13" t="str">
        <f>IF($A204="","",[1]!thsiFinD("ths_adjustment_nv_fund",AJ$3,$A204))</f>
        <v/>
      </c>
      <c r="AK204" s="13" t="str">
        <f>IF($A204="","",[1]!thsiFinD("ths_adjustment_nv_fund",AK$3,$A204))</f>
        <v/>
      </c>
      <c r="AL204" s="13" t="str">
        <f>IF($A204="","",[1]!thsiFinD("ths_adjustment_nv_fund",AL$3,$A204))</f>
        <v/>
      </c>
    </row>
    <row r="205" spans="1:38">
      <c r="A205" s="9"/>
      <c r="B205" s="13" t="str">
        <f>IF($A205="","",[1]!thsiFinD("ths_adjustment_nv_fund",B$3,$A205))</f>
        <v/>
      </c>
      <c r="C205" s="13" t="str">
        <f>IF($A205="","",[1]!thsiFinD("ths_adjustment_nv_fund",C$3,$A205))</f>
        <v/>
      </c>
      <c r="D205" s="13" t="str">
        <f>IF($A205="","",[1]!thsiFinD("ths_adjustment_nv_fund",D$3,$A205))</f>
        <v/>
      </c>
      <c r="E205" s="13" t="str">
        <f>IF($A205="","",[1]!thsiFinD("ths_adjustment_nv_fund",E$3,$A205))</f>
        <v/>
      </c>
      <c r="F205" s="13" t="str">
        <f>IF($A205="","",[1]!thsiFinD("ths_adjustment_nv_fund",F$3,$A205))</f>
        <v/>
      </c>
      <c r="G205" s="13" t="str">
        <f>IF($A205="","",[1]!thsiFinD("ths_adjustment_nv_fund",G$3,$A205))</f>
        <v/>
      </c>
      <c r="H205" s="13" t="str">
        <f>IF($A205="","",[1]!thsiFinD("ths_adjustment_nv_fund",H$3,$A205))</f>
        <v/>
      </c>
      <c r="I205" s="13" t="str">
        <f>IF($A205="","",[1]!thsiFinD("ths_adjustment_nv_fund",I$3,$A205))</f>
        <v/>
      </c>
      <c r="J205" s="13" t="str">
        <f>IF($A205="","",[1]!thsiFinD("ths_adjustment_nv_fund",J$3,$A205))</f>
        <v/>
      </c>
      <c r="K205" s="13" t="str">
        <f>IF($A205="","",[1]!thsiFinD("ths_adjustment_nv_fund",K$3,$A205))</f>
        <v/>
      </c>
      <c r="L205" s="13" t="str">
        <f>IF($A205="","",[1]!thsiFinD("ths_adjustment_nv_fund",L$3,$A205))</f>
        <v/>
      </c>
      <c r="M205" s="13" t="str">
        <f>IF($A205="","",[1]!thsiFinD("ths_adjustment_nv_fund",M$3,$A205))</f>
        <v/>
      </c>
      <c r="N205" s="13" t="str">
        <f>IF($A205="","",[1]!thsiFinD("ths_adjustment_nv_fund",N$3,$A205))</f>
        <v/>
      </c>
      <c r="O205" s="13" t="str">
        <f>IF($A205="","",[1]!thsiFinD("ths_adjustment_nv_fund",O$3,$A205))</f>
        <v/>
      </c>
      <c r="P205" s="13" t="str">
        <f>IF($A205="","",[1]!thsiFinD("ths_adjustment_nv_fund",P$3,$A205))</f>
        <v/>
      </c>
      <c r="Q205" s="13" t="str">
        <f>IF($A205="","",[1]!thsiFinD("ths_adjustment_nv_fund",Q$3,$A205))</f>
        <v/>
      </c>
      <c r="R205" s="13" t="str">
        <f>IF($A205="","",[1]!thsiFinD("ths_adjustment_nv_fund",R$3,$A205))</f>
        <v/>
      </c>
      <c r="S205" s="13" t="str">
        <f>IF($A205="","",[1]!thsiFinD("ths_adjustment_nv_fund",S$3,$A205))</f>
        <v/>
      </c>
      <c r="T205" s="13" t="str">
        <f>IF($A205="","",[1]!thsiFinD("ths_adjustment_nv_fund",T$3,$A205))</f>
        <v/>
      </c>
      <c r="U205" s="13" t="str">
        <f>IF($A205="","",[1]!thsiFinD("ths_adjustment_nv_fund",U$3,$A205))</f>
        <v/>
      </c>
      <c r="V205" s="13" t="str">
        <f>IF($A205="","",[1]!thsiFinD("ths_adjustment_nv_fund",V$3,$A205))</f>
        <v/>
      </c>
      <c r="W205" s="13" t="str">
        <f>IF($A205="","",[1]!thsiFinD("ths_adjustment_nv_fund",W$3,$A205))</f>
        <v/>
      </c>
      <c r="X205" s="13" t="str">
        <f>IF($A205="","",[1]!thsiFinD("ths_adjustment_nv_fund",X$3,$A205))</f>
        <v/>
      </c>
      <c r="Y205" s="13" t="str">
        <f>IF($A205="","",[1]!thsiFinD("ths_adjustment_nv_fund",Y$3,$A205))</f>
        <v/>
      </c>
      <c r="Z205" s="13" t="str">
        <f>IF($A205="","",[1]!thsiFinD("ths_adjustment_nv_fund",Z$3,$A205))</f>
        <v/>
      </c>
      <c r="AA205" s="13" t="str">
        <f>IF($A205="","",[1]!thsiFinD("ths_adjustment_nv_fund",AA$3,$A205))</f>
        <v/>
      </c>
      <c r="AB205" s="13" t="str">
        <f>IF($A205="","",[1]!thsiFinD("ths_adjustment_nv_fund",AB$3,$A205))</f>
        <v/>
      </c>
      <c r="AC205" s="13" t="str">
        <f>IF($A205="","",[1]!thsiFinD("ths_adjustment_nv_fund",AC$3,$A205))</f>
        <v/>
      </c>
      <c r="AD205" s="13" t="str">
        <f>IF($A205="","",[1]!thsiFinD("ths_adjustment_nv_fund",AD$3,$A205))</f>
        <v/>
      </c>
      <c r="AE205" s="13" t="str">
        <f>IF($A205="","",[1]!thsiFinD("ths_adjustment_nv_fund",AE$3,$A205))</f>
        <v/>
      </c>
      <c r="AF205" s="13" t="str">
        <f>IF($A205="","",[1]!thsiFinD("ths_adjustment_nv_fund",AF$3,$A205))</f>
        <v/>
      </c>
      <c r="AG205" s="13" t="str">
        <f>IF($A205="","",[1]!thsiFinD("ths_adjustment_nv_fund",AG$3,$A205))</f>
        <v/>
      </c>
      <c r="AH205" s="13" t="str">
        <f>IF($A205="","",[1]!thsiFinD("ths_adjustment_nv_fund",AH$3,$A205))</f>
        <v/>
      </c>
      <c r="AI205" s="13" t="str">
        <f>IF($A205="","",[1]!thsiFinD("ths_adjustment_nv_fund",AI$3,$A205))</f>
        <v/>
      </c>
      <c r="AJ205" s="13" t="str">
        <f>IF($A205="","",[1]!thsiFinD("ths_adjustment_nv_fund",AJ$3,$A205))</f>
        <v/>
      </c>
      <c r="AK205" s="13" t="str">
        <f>IF($A205="","",[1]!thsiFinD("ths_adjustment_nv_fund",AK$3,$A205))</f>
        <v/>
      </c>
      <c r="AL205" s="13" t="str">
        <f>IF($A205="","",[1]!thsiFinD("ths_adjustment_nv_fund",AL$3,$A205))</f>
        <v/>
      </c>
    </row>
    <row r="206" spans="1:38">
      <c r="A206" s="9"/>
      <c r="B206" s="13" t="str">
        <f>IF($A206="","",[1]!thsiFinD("ths_adjustment_nv_fund",B$3,$A206))</f>
        <v/>
      </c>
      <c r="C206" s="13" t="str">
        <f>IF($A206="","",[1]!thsiFinD("ths_adjustment_nv_fund",C$3,$A206))</f>
        <v/>
      </c>
      <c r="D206" s="13" t="str">
        <f>IF($A206="","",[1]!thsiFinD("ths_adjustment_nv_fund",D$3,$A206))</f>
        <v/>
      </c>
      <c r="E206" s="13" t="str">
        <f>IF($A206="","",[1]!thsiFinD("ths_adjustment_nv_fund",E$3,$A206))</f>
        <v/>
      </c>
      <c r="F206" s="13" t="str">
        <f>IF($A206="","",[1]!thsiFinD("ths_adjustment_nv_fund",F$3,$A206))</f>
        <v/>
      </c>
      <c r="G206" s="13" t="str">
        <f>IF($A206="","",[1]!thsiFinD("ths_adjustment_nv_fund",G$3,$A206))</f>
        <v/>
      </c>
      <c r="H206" s="13" t="str">
        <f>IF($A206="","",[1]!thsiFinD("ths_adjustment_nv_fund",H$3,$A206))</f>
        <v/>
      </c>
      <c r="I206" s="13" t="str">
        <f>IF($A206="","",[1]!thsiFinD("ths_adjustment_nv_fund",I$3,$A206))</f>
        <v/>
      </c>
      <c r="J206" s="13" t="str">
        <f>IF($A206="","",[1]!thsiFinD("ths_adjustment_nv_fund",J$3,$A206))</f>
        <v/>
      </c>
      <c r="K206" s="13" t="str">
        <f>IF($A206="","",[1]!thsiFinD("ths_adjustment_nv_fund",K$3,$A206))</f>
        <v/>
      </c>
      <c r="L206" s="13" t="str">
        <f>IF($A206="","",[1]!thsiFinD("ths_adjustment_nv_fund",L$3,$A206))</f>
        <v/>
      </c>
      <c r="M206" s="13" t="str">
        <f>IF($A206="","",[1]!thsiFinD("ths_adjustment_nv_fund",M$3,$A206))</f>
        <v/>
      </c>
      <c r="N206" s="13" t="str">
        <f>IF($A206="","",[1]!thsiFinD("ths_adjustment_nv_fund",N$3,$A206))</f>
        <v/>
      </c>
      <c r="O206" s="13" t="str">
        <f>IF($A206="","",[1]!thsiFinD("ths_adjustment_nv_fund",O$3,$A206))</f>
        <v/>
      </c>
      <c r="P206" s="13" t="str">
        <f>IF($A206="","",[1]!thsiFinD("ths_adjustment_nv_fund",P$3,$A206))</f>
        <v/>
      </c>
      <c r="Q206" s="13" t="str">
        <f>IF($A206="","",[1]!thsiFinD("ths_adjustment_nv_fund",Q$3,$A206))</f>
        <v/>
      </c>
      <c r="R206" s="13" t="str">
        <f>IF($A206="","",[1]!thsiFinD("ths_adjustment_nv_fund",R$3,$A206))</f>
        <v/>
      </c>
      <c r="S206" s="13" t="str">
        <f>IF($A206="","",[1]!thsiFinD("ths_adjustment_nv_fund",S$3,$A206))</f>
        <v/>
      </c>
      <c r="T206" s="13" t="str">
        <f>IF($A206="","",[1]!thsiFinD("ths_adjustment_nv_fund",T$3,$A206))</f>
        <v/>
      </c>
      <c r="U206" s="13" t="str">
        <f>IF($A206="","",[1]!thsiFinD("ths_adjustment_nv_fund",U$3,$A206))</f>
        <v/>
      </c>
      <c r="V206" s="13" t="str">
        <f>IF($A206="","",[1]!thsiFinD("ths_adjustment_nv_fund",V$3,$A206))</f>
        <v/>
      </c>
      <c r="W206" s="13" t="str">
        <f>IF($A206="","",[1]!thsiFinD("ths_adjustment_nv_fund",W$3,$A206))</f>
        <v/>
      </c>
      <c r="X206" s="13" t="str">
        <f>IF($A206="","",[1]!thsiFinD("ths_adjustment_nv_fund",X$3,$A206))</f>
        <v/>
      </c>
      <c r="Y206" s="13" t="str">
        <f>IF($A206="","",[1]!thsiFinD("ths_adjustment_nv_fund",Y$3,$A206))</f>
        <v/>
      </c>
      <c r="Z206" s="13" t="str">
        <f>IF($A206="","",[1]!thsiFinD("ths_adjustment_nv_fund",Z$3,$A206))</f>
        <v/>
      </c>
      <c r="AA206" s="13" t="str">
        <f>IF($A206="","",[1]!thsiFinD("ths_adjustment_nv_fund",AA$3,$A206))</f>
        <v/>
      </c>
      <c r="AB206" s="13" t="str">
        <f>IF($A206="","",[1]!thsiFinD("ths_adjustment_nv_fund",AB$3,$A206))</f>
        <v/>
      </c>
      <c r="AC206" s="13" t="str">
        <f>IF($A206="","",[1]!thsiFinD("ths_adjustment_nv_fund",AC$3,$A206))</f>
        <v/>
      </c>
      <c r="AD206" s="13" t="str">
        <f>IF($A206="","",[1]!thsiFinD("ths_adjustment_nv_fund",AD$3,$A206))</f>
        <v/>
      </c>
      <c r="AE206" s="13" t="str">
        <f>IF($A206="","",[1]!thsiFinD("ths_adjustment_nv_fund",AE$3,$A206))</f>
        <v/>
      </c>
      <c r="AF206" s="13" t="str">
        <f>IF($A206="","",[1]!thsiFinD("ths_adjustment_nv_fund",AF$3,$A206))</f>
        <v/>
      </c>
      <c r="AG206" s="13" t="str">
        <f>IF($A206="","",[1]!thsiFinD("ths_adjustment_nv_fund",AG$3,$A206))</f>
        <v/>
      </c>
      <c r="AH206" s="13" t="str">
        <f>IF($A206="","",[1]!thsiFinD("ths_adjustment_nv_fund",AH$3,$A206))</f>
        <v/>
      </c>
      <c r="AI206" s="13" t="str">
        <f>IF($A206="","",[1]!thsiFinD("ths_adjustment_nv_fund",AI$3,$A206))</f>
        <v/>
      </c>
      <c r="AJ206" s="13" t="str">
        <f>IF($A206="","",[1]!thsiFinD("ths_adjustment_nv_fund",AJ$3,$A206))</f>
        <v/>
      </c>
      <c r="AK206" s="13" t="str">
        <f>IF($A206="","",[1]!thsiFinD("ths_adjustment_nv_fund",AK$3,$A206))</f>
        <v/>
      </c>
      <c r="AL206" s="13" t="str">
        <f>IF($A206="","",[1]!thsiFinD("ths_adjustment_nv_fund",AL$3,$A206))</f>
        <v/>
      </c>
    </row>
    <row r="207" spans="1:38">
      <c r="A207" s="9"/>
      <c r="B207" s="13" t="str">
        <f>IF($A207="","",[1]!thsiFinD("ths_adjustment_nv_fund",B$3,$A207))</f>
        <v/>
      </c>
      <c r="C207" s="13" t="str">
        <f>IF($A207="","",[1]!thsiFinD("ths_adjustment_nv_fund",C$3,$A207))</f>
        <v/>
      </c>
      <c r="D207" s="13" t="str">
        <f>IF($A207="","",[1]!thsiFinD("ths_adjustment_nv_fund",D$3,$A207))</f>
        <v/>
      </c>
      <c r="E207" s="13" t="str">
        <f>IF($A207="","",[1]!thsiFinD("ths_adjustment_nv_fund",E$3,$A207))</f>
        <v/>
      </c>
      <c r="F207" s="13" t="str">
        <f>IF($A207="","",[1]!thsiFinD("ths_adjustment_nv_fund",F$3,$A207))</f>
        <v/>
      </c>
      <c r="G207" s="13" t="str">
        <f>IF($A207="","",[1]!thsiFinD("ths_adjustment_nv_fund",G$3,$A207))</f>
        <v/>
      </c>
      <c r="H207" s="13" t="str">
        <f>IF($A207="","",[1]!thsiFinD("ths_adjustment_nv_fund",H$3,$A207))</f>
        <v/>
      </c>
      <c r="I207" s="13" t="str">
        <f>IF($A207="","",[1]!thsiFinD("ths_adjustment_nv_fund",I$3,$A207))</f>
        <v/>
      </c>
      <c r="J207" s="13" t="str">
        <f>IF($A207="","",[1]!thsiFinD("ths_adjustment_nv_fund",J$3,$A207))</f>
        <v/>
      </c>
      <c r="K207" s="13" t="str">
        <f>IF($A207="","",[1]!thsiFinD("ths_adjustment_nv_fund",K$3,$A207))</f>
        <v/>
      </c>
      <c r="L207" s="13" t="str">
        <f>IF($A207="","",[1]!thsiFinD("ths_adjustment_nv_fund",L$3,$A207))</f>
        <v/>
      </c>
      <c r="M207" s="13" t="str">
        <f>IF($A207="","",[1]!thsiFinD("ths_adjustment_nv_fund",M$3,$A207))</f>
        <v/>
      </c>
      <c r="N207" s="13" t="str">
        <f>IF($A207="","",[1]!thsiFinD("ths_adjustment_nv_fund",N$3,$A207))</f>
        <v/>
      </c>
      <c r="O207" s="13" t="str">
        <f>IF($A207="","",[1]!thsiFinD("ths_adjustment_nv_fund",O$3,$A207))</f>
        <v/>
      </c>
      <c r="P207" s="13" t="str">
        <f>IF($A207="","",[1]!thsiFinD("ths_adjustment_nv_fund",P$3,$A207))</f>
        <v/>
      </c>
      <c r="Q207" s="13" t="str">
        <f>IF($A207="","",[1]!thsiFinD("ths_adjustment_nv_fund",Q$3,$A207))</f>
        <v/>
      </c>
      <c r="R207" s="13" t="str">
        <f>IF($A207="","",[1]!thsiFinD("ths_adjustment_nv_fund",R$3,$A207))</f>
        <v/>
      </c>
      <c r="S207" s="13" t="str">
        <f>IF($A207="","",[1]!thsiFinD("ths_adjustment_nv_fund",S$3,$A207))</f>
        <v/>
      </c>
      <c r="T207" s="13" t="str">
        <f>IF($A207="","",[1]!thsiFinD("ths_adjustment_nv_fund",T$3,$A207))</f>
        <v/>
      </c>
      <c r="U207" s="13" t="str">
        <f>IF($A207="","",[1]!thsiFinD("ths_adjustment_nv_fund",U$3,$A207))</f>
        <v/>
      </c>
      <c r="V207" s="13" t="str">
        <f>IF($A207="","",[1]!thsiFinD("ths_adjustment_nv_fund",V$3,$A207))</f>
        <v/>
      </c>
      <c r="W207" s="13" t="str">
        <f>IF($A207="","",[1]!thsiFinD("ths_adjustment_nv_fund",W$3,$A207))</f>
        <v/>
      </c>
      <c r="X207" s="13" t="str">
        <f>IF($A207="","",[1]!thsiFinD("ths_adjustment_nv_fund",X$3,$A207))</f>
        <v/>
      </c>
      <c r="Y207" s="13" t="str">
        <f>IF($A207="","",[1]!thsiFinD("ths_adjustment_nv_fund",Y$3,$A207))</f>
        <v/>
      </c>
      <c r="Z207" s="13" t="str">
        <f>IF($A207="","",[1]!thsiFinD("ths_adjustment_nv_fund",Z$3,$A207))</f>
        <v/>
      </c>
      <c r="AA207" s="13" t="str">
        <f>IF($A207="","",[1]!thsiFinD("ths_adjustment_nv_fund",AA$3,$A207))</f>
        <v/>
      </c>
      <c r="AB207" s="13" t="str">
        <f>IF($A207="","",[1]!thsiFinD("ths_adjustment_nv_fund",AB$3,$A207))</f>
        <v/>
      </c>
      <c r="AC207" s="13" t="str">
        <f>IF($A207="","",[1]!thsiFinD("ths_adjustment_nv_fund",AC$3,$A207))</f>
        <v/>
      </c>
      <c r="AD207" s="13" t="str">
        <f>IF($A207="","",[1]!thsiFinD("ths_adjustment_nv_fund",AD$3,$A207))</f>
        <v/>
      </c>
      <c r="AE207" s="13" t="str">
        <f>IF($A207="","",[1]!thsiFinD("ths_adjustment_nv_fund",AE$3,$A207))</f>
        <v/>
      </c>
      <c r="AF207" s="13" t="str">
        <f>IF($A207="","",[1]!thsiFinD("ths_adjustment_nv_fund",AF$3,$A207))</f>
        <v/>
      </c>
      <c r="AG207" s="13" t="str">
        <f>IF($A207="","",[1]!thsiFinD("ths_adjustment_nv_fund",AG$3,$A207))</f>
        <v/>
      </c>
      <c r="AH207" s="13" t="str">
        <f>IF($A207="","",[1]!thsiFinD("ths_adjustment_nv_fund",AH$3,$A207))</f>
        <v/>
      </c>
      <c r="AI207" s="13" t="str">
        <f>IF($A207="","",[1]!thsiFinD("ths_adjustment_nv_fund",AI$3,$A207))</f>
        <v/>
      </c>
      <c r="AJ207" s="13" t="str">
        <f>IF($A207="","",[1]!thsiFinD("ths_adjustment_nv_fund",AJ$3,$A207))</f>
        <v/>
      </c>
      <c r="AK207" s="13" t="str">
        <f>IF($A207="","",[1]!thsiFinD("ths_adjustment_nv_fund",AK$3,$A207))</f>
        <v/>
      </c>
      <c r="AL207" s="13" t="str">
        <f>IF($A207="","",[1]!thsiFinD("ths_adjustment_nv_fund",AL$3,$A207))</f>
        <v/>
      </c>
    </row>
    <row r="208" spans="1:38">
      <c r="A208" s="9"/>
      <c r="B208" s="13" t="str">
        <f>IF($A208="","",[1]!thsiFinD("ths_adjustment_nv_fund",B$3,$A208))</f>
        <v/>
      </c>
      <c r="C208" s="13" t="str">
        <f>IF($A208="","",[1]!thsiFinD("ths_adjustment_nv_fund",C$3,$A208))</f>
        <v/>
      </c>
      <c r="D208" s="13" t="str">
        <f>IF($A208="","",[1]!thsiFinD("ths_adjustment_nv_fund",D$3,$A208))</f>
        <v/>
      </c>
      <c r="E208" s="13" t="str">
        <f>IF($A208="","",[1]!thsiFinD("ths_adjustment_nv_fund",E$3,$A208))</f>
        <v/>
      </c>
      <c r="F208" s="13" t="str">
        <f>IF($A208="","",[1]!thsiFinD("ths_adjustment_nv_fund",F$3,$A208))</f>
        <v/>
      </c>
      <c r="G208" s="13" t="str">
        <f>IF($A208="","",[1]!thsiFinD("ths_adjustment_nv_fund",G$3,$A208))</f>
        <v/>
      </c>
      <c r="H208" s="13" t="str">
        <f>IF($A208="","",[1]!thsiFinD("ths_adjustment_nv_fund",H$3,$A208))</f>
        <v/>
      </c>
      <c r="I208" s="13" t="str">
        <f>IF($A208="","",[1]!thsiFinD("ths_adjustment_nv_fund",I$3,$A208))</f>
        <v/>
      </c>
      <c r="J208" s="13" t="str">
        <f>IF($A208="","",[1]!thsiFinD("ths_adjustment_nv_fund",J$3,$A208))</f>
        <v/>
      </c>
      <c r="K208" s="13" t="str">
        <f>IF($A208="","",[1]!thsiFinD("ths_adjustment_nv_fund",K$3,$A208))</f>
        <v/>
      </c>
      <c r="L208" s="13" t="str">
        <f>IF($A208="","",[1]!thsiFinD("ths_adjustment_nv_fund",L$3,$A208))</f>
        <v/>
      </c>
      <c r="M208" s="13" t="str">
        <f>IF($A208="","",[1]!thsiFinD("ths_adjustment_nv_fund",M$3,$A208))</f>
        <v/>
      </c>
      <c r="N208" s="13" t="str">
        <f>IF($A208="","",[1]!thsiFinD("ths_adjustment_nv_fund",N$3,$A208))</f>
        <v/>
      </c>
      <c r="O208" s="13" t="str">
        <f>IF($A208="","",[1]!thsiFinD("ths_adjustment_nv_fund",O$3,$A208))</f>
        <v/>
      </c>
      <c r="P208" s="13" t="str">
        <f>IF($A208="","",[1]!thsiFinD("ths_adjustment_nv_fund",P$3,$A208))</f>
        <v/>
      </c>
      <c r="Q208" s="13" t="str">
        <f>IF($A208="","",[1]!thsiFinD("ths_adjustment_nv_fund",Q$3,$A208))</f>
        <v/>
      </c>
      <c r="R208" s="13" t="str">
        <f>IF($A208="","",[1]!thsiFinD("ths_adjustment_nv_fund",R$3,$A208))</f>
        <v/>
      </c>
      <c r="S208" s="13" t="str">
        <f>IF($A208="","",[1]!thsiFinD("ths_adjustment_nv_fund",S$3,$A208))</f>
        <v/>
      </c>
      <c r="T208" s="13" t="str">
        <f>IF($A208="","",[1]!thsiFinD("ths_adjustment_nv_fund",T$3,$A208))</f>
        <v/>
      </c>
      <c r="U208" s="13" t="str">
        <f>IF($A208="","",[1]!thsiFinD("ths_adjustment_nv_fund",U$3,$A208))</f>
        <v/>
      </c>
      <c r="V208" s="13" t="str">
        <f>IF($A208="","",[1]!thsiFinD("ths_adjustment_nv_fund",V$3,$A208))</f>
        <v/>
      </c>
      <c r="W208" s="13" t="str">
        <f>IF($A208="","",[1]!thsiFinD("ths_adjustment_nv_fund",W$3,$A208))</f>
        <v/>
      </c>
      <c r="X208" s="13" t="str">
        <f>IF($A208="","",[1]!thsiFinD("ths_adjustment_nv_fund",X$3,$A208))</f>
        <v/>
      </c>
      <c r="Y208" s="13" t="str">
        <f>IF($A208="","",[1]!thsiFinD("ths_adjustment_nv_fund",Y$3,$A208))</f>
        <v/>
      </c>
      <c r="Z208" s="13" t="str">
        <f>IF($A208="","",[1]!thsiFinD("ths_adjustment_nv_fund",Z$3,$A208))</f>
        <v/>
      </c>
      <c r="AA208" s="13" t="str">
        <f>IF($A208="","",[1]!thsiFinD("ths_adjustment_nv_fund",AA$3,$A208))</f>
        <v/>
      </c>
      <c r="AB208" s="13" t="str">
        <f>IF($A208="","",[1]!thsiFinD("ths_adjustment_nv_fund",AB$3,$A208))</f>
        <v/>
      </c>
      <c r="AC208" s="13" t="str">
        <f>IF($A208="","",[1]!thsiFinD("ths_adjustment_nv_fund",AC$3,$A208))</f>
        <v/>
      </c>
      <c r="AD208" s="13" t="str">
        <f>IF($A208="","",[1]!thsiFinD("ths_adjustment_nv_fund",AD$3,$A208))</f>
        <v/>
      </c>
      <c r="AE208" s="13" t="str">
        <f>IF($A208="","",[1]!thsiFinD("ths_adjustment_nv_fund",AE$3,$A208))</f>
        <v/>
      </c>
      <c r="AF208" s="13" t="str">
        <f>IF($A208="","",[1]!thsiFinD("ths_adjustment_nv_fund",AF$3,$A208))</f>
        <v/>
      </c>
      <c r="AG208" s="13" t="str">
        <f>IF($A208="","",[1]!thsiFinD("ths_adjustment_nv_fund",AG$3,$A208))</f>
        <v/>
      </c>
      <c r="AH208" s="13" t="str">
        <f>IF($A208="","",[1]!thsiFinD("ths_adjustment_nv_fund",AH$3,$A208))</f>
        <v/>
      </c>
      <c r="AI208" s="13" t="str">
        <f>IF($A208="","",[1]!thsiFinD("ths_adjustment_nv_fund",AI$3,$A208))</f>
        <v/>
      </c>
      <c r="AJ208" s="13" t="str">
        <f>IF($A208="","",[1]!thsiFinD("ths_adjustment_nv_fund",AJ$3,$A208))</f>
        <v/>
      </c>
      <c r="AK208" s="13" t="str">
        <f>IF($A208="","",[1]!thsiFinD("ths_adjustment_nv_fund",AK$3,$A208))</f>
        <v/>
      </c>
      <c r="AL208" s="13" t="str">
        <f>IF($A208="","",[1]!thsiFinD("ths_adjustment_nv_fund",AL$3,$A208))</f>
        <v/>
      </c>
    </row>
    <row r="209" spans="1:38">
      <c r="A209" s="9"/>
      <c r="B209" s="13" t="str">
        <f>IF($A209="","",[1]!thsiFinD("ths_adjustment_nv_fund",B$3,$A209))</f>
        <v/>
      </c>
      <c r="C209" s="13" t="str">
        <f>IF($A209="","",[1]!thsiFinD("ths_adjustment_nv_fund",C$3,$A209))</f>
        <v/>
      </c>
      <c r="D209" s="13" t="str">
        <f>IF($A209="","",[1]!thsiFinD("ths_adjustment_nv_fund",D$3,$A209))</f>
        <v/>
      </c>
      <c r="E209" s="13" t="str">
        <f>IF($A209="","",[1]!thsiFinD("ths_adjustment_nv_fund",E$3,$A209))</f>
        <v/>
      </c>
      <c r="F209" s="13" t="str">
        <f>IF($A209="","",[1]!thsiFinD("ths_adjustment_nv_fund",F$3,$A209))</f>
        <v/>
      </c>
      <c r="G209" s="13" t="str">
        <f>IF($A209="","",[1]!thsiFinD("ths_adjustment_nv_fund",G$3,$A209))</f>
        <v/>
      </c>
      <c r="H209" s="13" t="str">
        <f>IF($A209="","",[1]!thsiFinD("ths_adjustment_nv_fund",H$3,$A209))</f>
        <v/>
      </c>
      <c r="I209" s="13" t="str">
        <f>IF($A209="","",[1]!thsiFinD("ths_adjustment_nv_fund",I$3,$A209))</f>
        <v/>
      </c>
      <c r="J209" s="13" t="str">
        <f>IF($A209="","",[1]!thsiFinD("ths_adjustment_nv_fund",J$3,$A209))</f>
        <v/>
      </c>
      <c r="K209" s="13" t="str">
        <f>IF($A209="","",[1]!thsiFinD("ths_adjustment_nv_fund",K$3,$A209))</f>
        <v/>
      </c>
      <c r="L209" s="13" t="str">
        <f>IF($A209="","",[1]!thsiFinD("ths_adjustment_nv_fund",L$3,$A209))</f>
        <v/>
      </c>
      <c r="M209" s="13" t="str">
        <f>IF($A209="","",[1]!thsiFinD("ths_adjustment_nv_fund",M$3,$A209))</f>
        <v/>
      </c>
      <c r="N209" s="13" t="str">
        <f>IF($A209="","",[1]!thsiFinD("ths_adjustment_nv_fund",N$3,$A209))</f>
        <v/>
      </c>
      <c r="O209" s="13" t="str">
        <f>IF($A209="","",[1]!thsiFinD("ths_adjustment_nv_fund",O$3,$A209))</f>
        <v/>
      </c>
      <c r="P209" s="13" t="str">
        <f>IF($A209="","",[1]!thsiFinD("ths_adjustment_nv_fund",P$3,$A209))</f>
        <v/>
      </c>
      <c r="Q209" s="13" t="str">
        <f>IF($A209="","",[1]!thsiFinD("ths_adjustment_nv_fund",Q$3,$A209))</f>
        <v/>
      </c>
      <c r="R209" s="13" t="str">
        <f>IF($A209="","",[1]!thsiFinD("ths_adjustment_nv_fund",R$3,$A209))</f>
        <v/>
      </c>
      <c r="S209" s="13" t="str">
        <f>IF($A209="","",[1]!thsiFinD("ths_adjustment_nv_fund",S$3,$A209))</f>
        <v/>
      </c>
      <c r="T209" s="13" t="str">
        <f>IF($A209="","",[1]!thsiFinD("ths_adjustment_nv_fund",T$3,$A209))</f>
        <v/>
      </c>
      <c r="U209" s="13" t="str">
        <f>IF($A209="","",[1]!thsiFinD("ths_adjustment_nv_fund",U$3,$A209))</f>
        <v/>
      </c>
      <c r="V209" s="13" t="str">
        <f>IF($A209="","",[1]!thsiFinD("ths_adjustment_nv_fund",V$3,$A209))</f>
        <v/>
      </c>
      <c r="W209" s="13" t="str">
        <f>IF($A209="","",[1]!thsiFinD("ths_adjustment_nv_fund",W$3,$A209))</f>
        <v/>
      </c>
      <c r="X209" s="13" t="str">
        <f>IF($A209="","",[1]!thsiFinD("ths_adjustment_nv_fund",X$3,$A209))</f>
        <v/>
      </c>
      <c r="Y209" s="13" t="str">
        <f>IF($A209="","",[1]!thsiFinD("ths_adjustment_nv_fund",Y$3,$A209))</f>
        <v/>
      </c>
      <c r="Z209" s="13" t="str">
        <f>IF($A209="","",[1]!thsiFinD("ths_adjustment_nv_fund",Z$3,$A209))</f>
        <v/>
      </c>
      <c r="AA209" s="13" t="str">
        <f>IF($A209="","",[1]!thsiFinD("ths_adjustment_nv_fund",AA$3,$A209))</f>
        <v/>
      </c>
      <c r="AB209" s="13" t="str">
        <f>IF($A209="","",[1]!thsiFinD("ths_adjustment_nv_fund",AB$3,$A209))</f>
        <v/>
      </c>
      <c r="AC209" s="13" t="str">
        <f>IF($A209="","",[1]!thsiFinD("ths_adjustment_nv_fund",AC$3,$A209))</f>
        <v/>
      </c>
      <c r="AD209" s="13" t="str">
        <f>IF($A209="","",[1]!thsiFinD("ths_adjustment_nv_fund",AD$3,$A209))</f>
        <v/>
      </c>
      <c r="AE209" s="13" t="str">
        <f>IF($A209="","",[1]!thsiFinD("ths_adjustment_nv_fund",AE$3,$A209))</f>
        <v/>
      </c>
      <c r="AF209" s="13" t="str">
        <f>IF($A209="","",[1]!thsiFinD("ths_adjustment_nv_fund",AF$3,$A209))</f>
        <v/>
      </c>
      <c r="AG209" s="13" t="str">
        <f>IF($A209="","",[1]!thsiFinD("ths_adjustment_nv_fund",AG$3,$A209))</f>
        <v/>
      </c>
      <c r="AH209" s="13" t="str">
        <f>IF($A209="","",[1]!thsiFinD("ths_adjustment_nv_fund",AH$3,$A209))</f>
        <v/>
      </c>
      <c r="AI209" s="13" t="str">
        <f>IF($A209="","",[1]!thsiFinD("ths_adjustment_nv_fund",AI$3,$A209))</f>
        <v/>
      </c>
      <c r="AJ209" s="13" t="str">
        <f>IF($A209="","",[1]!thsiFinD("ths_adjustment_nv_fund",AJ$3,$A209))</f>
        <v/>
      </c>
      <c r="AK209" s="13" t="str">
        <f>IF($A209="","",[1]!thsiFinD("ths_adjustment_nv_fund",AK$3,$A209))</f>
        <v/>
      </c>
      <c r="AL209" s="13" t="str">
        <f>IF($A209="","",[1]!thsiFinD("ths_adjustment_nv_fund",AL$3,$A209))</f>
        <v/>
      </c>
    </row>
    <row r="210" spans="1:38">
      <c r="A210" s="9"/>
      <c r="B210" s="13" t="str">
        <f>IF($A210="","",[1]!thsiFinD("ths_adjustment_nv_fund",B$3,$A210))</f>
        <v/>
      </c>
      <c r="C210" s="13" t="str">
        <f>IF($A210="","",[1]!thsiFinD("ths_adjustment_nv_fund",C$3,$A210))</f>
        <v/>
      </c>
      <c r="D210" s="13" t="str">
        <f>IF($A210="","",[1]!thsiFinD("ths_adjustment_nv_fund",D$3,$A210))</f>
        <v/>
      </c>
      <c r="E210" s="13" t="str">
        <f>IF($A210="","",[1]!thsiFinD("ths_adjustment_nv_fund",E$3,$A210))</f>
        <v/>
      </c>
      <c r="F210" s="13" t="str">
        <f>IF($A210="","",[1]!thsiFinD("ths_adjustment_nv_fund",F$3,$A210))</f>
        <v/>
      </c>
      <c r="G210" s="13" t="str">
        <f>IF($A210="","",[1]!thsiFinD("ths_adjustment_nv_fund",G$3,$A210))</f>
        <v/>
      </c>
      <c r="H210" s="13" t="str">
        <f>IF($A210="","",[1]!thsiFinD("ths_adjustment_nv_fund",H$3,$A210))</f>
        <v/>
      </c>
      <c r="I210" s="13" t="str">
        <f>IF($A210="","",[1]!thsiFinD("ths_adjustment_nv_fund",I$3,$A210))</f>
        <v/>
      </c>
      <c r="J210" s="13" t="str">
        <f>IF($A210="","",[1]!thsiFinD("ths_adjustment_nv_fund",J$3,$A210))</f>
        <v/>
      </c>
      <c r="K210" s="13" t="str">
        <f>IF($A210="","",[1]!thsiFinD("ths_adjustment_nv_fund",K$3,$A210))</f>
        <v/>
      </c>
      <c r="L210" s="13" t="str">
        <f>IF($A210="","",[1]!thsiFinD("ths_adjustment_nv_fund",L$3,$A210))</f>
        <v/>
      </c>
      <c r="M210" s="13" t="str">
        <f>IF($A210="","",[1]!thsiFinD("ths_adjustment_nv_fund",M$3,$A210))</f>
        <v/>
      </c>
      <c r="N210" s="13" t="str">
        <f>IF($A210="","",[1]!thsiFinD("ths_adjustment_nv_fund",N$3,$A210))</f>
        <v/>
      </c>
      <c r="O210" s="13" t="str">
        <f>IF($A210="","",[1]!thsiFinD("ths_adjustment_nv_fund",O$3,$A210))</f>
        <v/>
      </c>
      <c r="P210" s="13" t="str">
        <f>IF($A210="","",[1]!thsiFinD("ths_adjustment_nv_fund",P$3,$A210))</f>
        <v/>
      </c>
      <c r="Q210" s="13" t="str">
        <f>IF($A210="","",[1]!thsiFinD("ths_adjustment_nv_fund",Q$3,$A210))</f>
        <v/>
      </c>
      <c r="R210" s="13" t="str">
        <f>IF($A210="","",[1]!thsiFinD("ths_adjustment_nv_fund",R$3,$A210))</f>
        <v/>
      </c>
      <c r="S210" s="13" t="str">
        <f>IF($A210="","",[1]!thsiFinD("ths_adjustment_nv_fund",S$3,$A210))</f>
        <v/>
      </c>
      <c r="T210" s="13" t="str">
        <f>IF($A210="","",[1]!thsiFinD("ths_adjustment_nv_fund",T$3,$A210))</f>
        <v/>
      </c>
      <c r="U210" s="13" t="str">
        <f>IF($A210="","",[1]!thsiFinD("ths_adjustment_nv_fund",U$3,$A210))</f>
        <v/>
      </c>
      <c r="V210" s="13" t="str">
        <f>IF($A210="","",[1]!thsiFinD("ths_adjustment_nv_fund",V$3,$A210))</f>
        <v/>
      </c>
      <c r="W210" s="13" t="str">
        <f>IF($A210="","",[1]!thsiFinD("ths_adjustment_nv_fund",W$3,$A210))</f>
        <v/>
      </c>
      <c r="X210" s="13" t="str">
        <f>IF($A210="","",[1]!thsiFinD("ths_adjustment_nv_fund",X$3,$A210))</f>
        <v/>
      </c>
      <c r="Y210" s="13" t="str">
        <f>IF($A210="","",[1]!thsiFinD("ths_adjustment_nv_fund",Y$3,$A210))</f>
        <v/>
      </c>
      <c r="Z210" s="13" t="str">
        <f>IF($A210="","",[1]!thsiFinD("ths_adjustment_nv_fund",Z$3,$A210))</f>
        <v/>
      </c>
      <c r="AA210" s="13" t="str">
        <f>IF($A210="","",[1]!thsiFinD("ths_adjustment_nv_fund",AA$3,$A210))</f>
        <v/>
      </c>
      <c r="AB210" s="13" t="str">
        <f>IF($A210="","",[1]!thsiFinD("ths_adjustment_nv_fund",AB$3,$A210))</f>
        <v/>
      </c>
      <c r="AC210" s="13" t="str">
        <f>IF($A210="","",[1]!thsiFinD("ths_adjustment_nv_fund",AC$3,$A210))</f>
        <v/>
      </c>
      <c r="AD210" s="13" t="str">
        <f>IF($A210="","",[1]!thsiFinD("ths_adjustment_nv_fund",AD$3,$A210))</f>
        <v/>
      </c>
      <c r="AE210" s="13" t="str">
        <f>IF($A210="","",[1]!thsiFinD("ths_adjustment_nv_fund",AE$3,$A210))</f>
        <v/>
      </c>
      <c r="AF210" s="13" t="str">
        <f>IF($A210="","",[1]!thsiFinD("ths_adjustment_nv_fund",AF$3,$A210))</f>
        <v/>
      </c>
      <c r="AG210" s="13" t="str">
        <f>IF($A210="","",[1]!thsiFinD("ths_adjustment_nv_fund",AG$3,$A210))</f>
        <v/>
      </c>
      <c r="AH210" s="13" t="str">
        <f>IF($A210="","",[1]!thsiFinD("ths_adjustment_nv_fund",AH$3,$A210))</f>
        <v/>
      </c>
      <c r="AI210" s="13" t="str">
        <f>IF($A210="","",[1]!thsiFinD("ths_adjustment_nv_fund",AI$3,$A210))</f>
        <v/>
      </c>
      <c r="AJ210" s="13" t="str">
        <f>IF($A210="","",[1]!thsiFinD("ths_adjustment_nv_fund",AJ$3,$A210))</f>
        <v/>
      </c>
      <c r="AK210" s="13" t="str">
        <f>IF($A210="","",[1]!thsiFinD("ths_adjustment_nv_fund",AK$3,$A210))</f>
        <v/>
      </c>
      <c r="AL210" s="13" t="str">
        <f>IF($A210="","",[1]!thsiFinD("ths_adjustment_nv_fund",AL$3,$A210))</f>
        <v/>
      </c>
    </row>
    <row r="211" spans="1:38">
      <c r="A211" s="9"/>
      <c r="B211" s="13" t="str">
        <f>IF($A211="","",[1]!thsiFinD("ths_adjustment_nv_fund",B$3,$A211))</f>
        <v/>
      </c>
      <c r="C211" s="13" t="str">
        <f>IF($A211="","",[1]!thsiFinD("ths_adjustment_nv_fund",C$3,$A211))</f>
        <v/>
      </c>
      <c r="D211" s="13" t="str">
        <f>IF($A211="","",[1]!thsiFinD("ths_adjustment_nv_fund",D$3,$A211))</f>
        <v/>
      </c>
      <c r="E211" s="13" t="str">
        <f>IF($A211="","",[1]!thsiFinD("ths_adjustment_nv_fund",E$3,$A211))</f>
        <v/>
      </c>
      <c r="F211" s="13" t="str">
        <f>IF($A211="","",[1]!thsiFinD("ths_adjustment_nv_fund",F$3,$A211))</f>
        <v/>
      </c>
      <c r="G211" s="13" t="str">
        <f>IF($A211="","",[1]!thsiFinD("ths_adjustment_nv_fund",G$3,$A211))</f>
        <v/>
      </c>
      <c r="H211" s="13" t="str">
        <f>IF($A211="","",[1]!thsiFinD("ths_adjustment_nv_fund",H$3,$A211))</f>
        <v/>
      </c>
      <c r="I211" s="13" t="str">
        <f>IF($A211="","",[1]!thsiFinD("ths_adjustment_nv_fund",I$3,$A211))</f>
        <v/>
      </c>
      <c r="J211" s="13" t="str">
        <f>IF($A211="","",[1]!thsiFinD("ths_adjustment_nv_fund",J$3,$A211))</f>
        <v/>
      </c>
      <c r="K211" s="13" t="str">
        <f>IF($A211="","",[1]!thsiFinD("ths_adjustment_nv_fund",K$3,$A211))</f>
        <v/>
      </c>
      <c r="L211" s="13" t="str">
        <f>IF($A211="","",[1]!thsiFinD("ths_adjustment_nv_fund",L$3,$A211))</f>
        <v/>
      </c>
      <c r="M211" s="13" t="str">
        <f>IF($A211="","",[1]!thsiFinD("ths_adjustment_nv_fund",M$3,$A211))</f>
        <v/>
      </c>
      <c r="N211" s="13" t="str">
        <f>IF($A211="","",[1]!thsiFinD("ths_adjustment_nv_fund",N$3,$A211))</f>
        <v/>
      </c>
      <c r="O211" s="13" t="str">
        <f>IF($A211="","",[1]!thsiFinD("ths_adjustment_nv_fund",O$3,$A211))</f>
        <v/>
      </c>
      <c r="P211" s="13" t="str">
        <f>IF($A211="","",[1]!thsiFinD("ths_adjustment_nv_fund",P$3,$A211))</f>
        <v/>
      </c>
      <c r="Q211" s="13" t="str">
        <f>IF($A211="","",[1]!thsiFinD("ths_adjustment_nv_fund",Q$3,$A211))</f>
        <v/>
      </c>
      <c r="R211" s="13" t="str">
        <f>IF($A211="","",[1]!thsiFinD("ths_adjustment_nv_fund",R$3,$A211))</f>
        <v/>
      </c>
      <c r="S211" s="13" t="str">
        <f>IF($A211="","",[1]!thsiFinD("ths_adjustment_nv_fund",S$3,$A211))</f>
        <v/>
      </c>
      <c r="T211" s="13" t="str">
        <f>IF($A211="","",[1]!thsiFinD("ths_adjustment_nv_fund",T$3,$A211))</f>
        <v/>
      </c>
      <c r="U211" s="13" t="str">
        <f>IF($A211="","",[1]!thsiFinD("ths_adjustment_nv_fund",U$3,$A211))</f>
        <v/>
      </c>
      <c r="V211" s="13" t="str">
        <f>IF($A211="","",[1]!thsiFinD("ths_adjustment_nv_fund",V$3,$A211))</f>
        <v/>
      </c>
      <c r="W211" s="13" t="str">
        <f>IF($A211="","",[1]!thsiFinD("ths_adjustment_nv_fund",W$3,$A211))</f>
        <v/>
      </c>
      <c r="X211" s="13" t="str">
        <f>IF($A211="","",[1]!thsiFinD("ths_adjustment_nv_fund",X$3,$A211))</f>
        <v/>
      </c>
      <c r="Y211" s="13" t="str">
        <f>IF($A211="","",[1]!thsiFinD("ths_adjustment_nv_fund",Y$3,$A211))</f>
        <v/>
      </c>
      <c r="Z211" s="13" t="str">
        <f>IF($A211="","",[1]!thsiFinD("ths_adjustment_nv_fund",Z$3,$A211))</f>
        <v/>
      </c>
      <c r="AA211" s="13" t="str">
        <f>IF($A211="","",[1]!thsiFinD("ths_adjustment_nv_fund",AA$3,$A211))</f>
        <v/>
      </c>
      <c r="AB211" s="13" t="str">
        <f>IF($A211="","",[1]!thsiFinD("ths_adjustment_nv_fund",AB$3,$A211))</f>
        <v/>
      </c>
      <c r="AC211" s="13" t="str">
        <f>IF($A211="","",[1]!thsiFinD("ths_adjustment_nv_fund",AC$3,$A211))</f>
        <v/>
      </c>
      <c r="AD211" s="13" t="str">
        <f>IF($A211="","",[1]!thsiFinD("ths_adjustment_nv_fund",AD$3,$A211))</f>
        <v/>
      </c>
      <c r="AE211" s="13" t="str">
        <f>IF($A211="","",[1]!thsiFinD("ths_adjustment_nv_fund",AE$3,$A211))</f>
        <v/>
      </c>
      <c r="AF211" s="13" t="str">
        <f>IF($A211="","",[1]!thsiFinD("ths_adjustment_nv_fund",AF$3,$A211))</f>
        <v/>
      </c>
      <c r="AG211" s="13" t="str">
        <f>IF($A211="","",[1]!thsiFinD("ths_adjustment_nv_fund",AG$3,$A211))</f>
        <v/>
      </c>
      <c r="AH211" s="13" t="str">
        <f>IF($A211="","",[1]!thsiFinD("ths_adjustment_nv_fund",AH$3,$A211))</f>
        <v/>
      </c>
      <c r="AI211" s="13" t="str">
        <f>IF($A211="","",[1]!thsiFinD("ths_adjustment_nv_fund",AI$3,$A211))</f>
        <v/>
      </c>
      <c r="AJ211" s="13" t="str">
        <f>IF($A211="","",[1]!thsiFinD("ths_adjustment_nv_fund",AJ$3,$A211))</f>
        <v/>
      </c>
      <c r="AK211" s="13" t="str">
        <f>IF($A211="","",[1]!thsiFinD("ths_adjustment_nv_fund",AK$3,$A211))</f>
        <v/>
      </c>
      <c r="AL211" s="13" t="str">
        <f>IF($A211="","",[1]!thsiFinD("ths_adjustment_nv_fund",AL$3,$A211))</f>
        <v/>
      </c>
    </row>
    <row r="212" spans="1:38">
      <c r="A212" s="9"/>
      <c r="B212" s="13" t="str">
        <f>IF($A212="","",[1]!thsiFinD("ths_adjustment_nv_fund",B$3,$A212))</f>
        <v/>
      </c>
      <c r="C212" s="13" t="str">
        <f>IF($A212="","",[1]!thsiFinD("ths_adjustment_nv_fund",C$3,$A212))</f>
        <v/>
      </c>
      <c r="D212" s="13" t="str">
        <f>IF($A212="","",[1]!thsiFinD("ths_adjustment_nv_fund",D$3,$A212))</f>
        <v/>
      </c>
      <c r="E212" s="13" t="str">
        <f>IF($A212="","",[1]!thsiFinD("ths_adjustment_nv_fund",E$3,$A212))</f>
        <v/>
      </c>
      <c r="F212" s="13" t="str">
        <f>IF($A212="","",[1]!thsiFinD("ths_adjustment_nv_fund",F$3,$A212))</f>
        <v/>
      </c>
      <c r="G212" s="13" t="str">
        <f>IF($A212="","",[1]!thsiFinD("ths_adjustment_nv_fund",G$3,$A212))</f>
        <v/>
      </c>
      <c r="H212" s="13" t="str">
        <f>IF($A212="","",[1]!thsiFinD("ths_adjustment_nv_fund",H$3,$A212))</f>
        <v/>
      </c>
      <c r="I212" s="13" t="str">
        <f>IF($A212="","",[1]!thsiFinD("ths_adjustment_nv_fund",I$3,$A212))</f>
        <v/>
      </c>
      <c r="J212" s="13" t="str">
        <f>IF($A212="","",[1]!thsiFinD("ths_adjustment_nv_fund",J$3,$A212))</f>
        <v/>
      </c>
      <c r="K212" s="13" t="str">
        <f>IF($A212="","",[1]!thsiFinD("ths_adjustment_nv_fund",K$3,$A212))</f>
        <v/>
      </c>
      <c r="L212" s="13" t="str">
        <f>IF($A212="","",[1]!thsiFinD("ths_adjustment_nv_fund",L$3,$A212))</f>
        <v/>
      </c>
      <c r="M212" s="13" t="str">
        <f>IF($A212="","",[1]!thsiFinD("ths_adjustment_nv_fund",M$3,$A212))</f>
        <v/>
      </c>
      <c r="N212" s="13" t="str">
        <f>IF($A212="","",[1]!thsiFinD("ths_adjustment_nv_fund",N$3,$A212))</f>
        <v/>
      </c>
      <c r="O212" s="13" t="str">
        <f>IF($A212="","",[1]!thsiFinD("ths_adjustment_nv_fund",O$3,$A212))</f>
        <v/>
      </c>
      <c r="P212" s="13" t="str">
        <f>IF($A212="","",[1]!thsiFinD("ths_adjustment_nv_fund",P$3,$A212))</f>
        <v/>
      </c>
      <c r="Q212" s="13" t="str">
        <f>IF($A212="","",[1]!thsiFinD("ths_adjustment_nv_fund",Q$3,$A212))</f>
        <v/>
      </c>
      <c r="R212" s="13" t="str">
        <f>IF($A212="","",[1]!thsiFinD("ths_adjustment_nv_fund",R$3,$A212))</f>
        <v/>
      </c>
      <c r="S212" s="13" t="str">
        <f>IF($A212="","",[1]!thsiFinD("ths_adjustment_nv_fund",S$3,$A212))</f>
        <v/>
      </c>
      <c r="T212" s="13" t="str">
        <f>IF($A212="","",[1]!thsiFinD("ths_adjustment_nv_fund",T$3,$A212))</f>
        <v/>
      </c>
      <c r="U212" s="13" t="str">
        <f>IF($A212="","",[1]!thsiFinD("ths_adjustment_nv_fund",U$3,$A212))</f>
        <v/>
      </c>
      <c r="V212" s="13" t="str">
        <f>IF($A212="","",[1]!thsiFinD("ths_adjustment_nv_fund",V$3,$A212))</f>
        <v/>
      </c>
      <c r="W212" s="13" t="str">
        <f>IF($A212="","",[1]!thsiFinD("ths_adjustment_nv_fund",W$3,$A212))</f>
        <v/>
      </c>
      <c r="X212" s="13" t="str">
        <f>IF($A212="","",[1]!thsiFinD("ths_adjustment_nv_fund",X$3,$A212))</f>
        <v/>
      </c>
      <c r="Y212" s="13" t="str">
        <f>IF($A212="","",[1]!thsiFinD("ths_adjustment_nv_fund",Y$3,$A212))</f>
        <v/>
      </c>
      <c r="Z212" s="13" t="str">
        <f>IF($A212="","",[1]!thsiFinD("ths_adjustment_nv_fund",Z$3,$A212))</f>
        <v/>
      </c>
      <c r="AA212" s="13" t="str">
        <f>IF($A212="","",[1]!thsiFinD("ths_adjustment_nv_fund",AA$3,$A212))</f>
        <v/>
      </c>
      <c r="AB212" s="13" t="str">
        <f>IF($A212="","",[1]!thsiFinD("ths_adjustment_nv_fund",AB$3,$A212))</f>
        <v/>
      </c>
      <c r="AC212" s="13" t="str">
        <f>IF($A212="","",[1]!thsiFinD("ths_adjustment_nv_fund",AC$3,$A212))</f>
        <v/>
      </c>
      <c r="AD212" s="13" t="str">
        <f>IF($A212="","",[1]!thsiFinD("ths_adjustment_nv_fund",AD$3,$A212))</f>
        <v/>
      </c>
      <c r="AE212" s="13" t="str">
        <f>IF($A212="","",[1]!thsiFinD("ths_adjustment_nv_fund",AE$3,$A212))</f>
        <v/>
      </c>
      <c r="AF212" s="13" t="str">
        <f>IF($A212="","",[1]!thsiFinD("ths_adjustment_nv_fund",AF$3,$A212))</f>
        <v/>
      </c>
      <c r="AG212" s="13" t="str">
        <f>IF($A212="","",[1]!thsiFinD("ths_adjustment_nv_fund",AG$3,$A212))</f>
        <v/>
      </c>
      <c r="AH212" s="13" t="str">
        <f>IF($A212="","",[1]!thsiFinD("ths_adjustment_nv_fund",AH$3,$A212))</f>
        <v/>
      </c>
      <c r="AI212" s="13" t="str">
        <f>IF($A212="","",[1]!thsiFinD("ths_adjustment_nv_fund",AI$3,$A212))</f>
        <v/>
      </c>
      <c r="AJ212" s="13" t="str">
        <f>IF($A212="","",[1]!thsiFinD("ths_adjustment_nv_fund",AJ$3,$A212))</f>
        <v/>
      </c>
      <c r="AK212" s="13" t="str">
        <f>IF($A212="","",[1]!thsiFinD("ths_adjustment_nv_fund",AK$3,$A212))</f>
        <v/>
      </c>
      <c r="AL212" s="13" t="str">
        <f>IF($A212="","",[1]!thsiFinD("ths_adjustment_nv_fund",AL$3,$A212))</f>
        <v/>
      </c>
    </row>
    <row r="213" spans="1:38">
      <c r="A213" s="9"/>
      <c r="B213" s="13" t="str">
        <f>IF($A213="","",[1]!thsiFinD("ths_adjustment_nv_fund",B$3,$A213))</f>
        <v/>
      </c>
      <c r="C213" s="13" t="str">
        <f>IF($A213="","",[1]!thsiFinD("ths_adjustment_nv_fund",C$3,$A213))</f>
        <v/>
      </c>
      <c r="D213" s="13" t="str">
        <f>IF($A213="","",[1]!thsiFinD("ths_adjustment_nv_fund",D$3,$A213))</f>
        <v/>
      </c>
      <c r="E213" s="13" t="str">
        <f>IF($A213="","",[1]!thsiFinD("ths_adjustment_nv_fund",E$3,$A213))</f>
        <v/>
      </c>
      <c r="F213" s="13" t="str">
        <f>IF($A213="","",[1]!thsiFinD("ths_adjustment_nv_fund",F$3,$A213))</f>
        <v/>
      </c>
      <c r="G213" s="13" t="str">
        <f>IF($A213="","",[1]!thsiFinD("ths_adjustment_nv_fund",G$3,$A213))</f>
        <v/>
      </c>
      <c r="H213" s="13" t="str">
        <f>IF($A213="","",[1]!thsiFinD("ths_adjustment_nv_fund",H$3,$A213))</f>
        <v/>
      </c>
      <c r="I213" s="13" t="str">
        <f>IF($A213="","",[1]!thsiFinD("ths_adjustment_nv_fund",I$3,$A213))</f>
        <v/>
      </c>
      <c r="J213" s="13" t="str">
        <f>IF($A213="","",[1]!thsiFinD("ths_adjustment_nv_fund",J$3,$A213))</f>
        <v/>
      </c>
      <c r="K213" s="13" t="str">
        <f>IF($A213="","",[1]!thsiFinD("ths_adjustment_nv_fund",K$3,$A213))</f>
        <v/>
      </c>
      <c r="L213" s="13" t="str">
        <f>IF($A213="","",[1]!thsiFinD("ths_adjustment_nv_fund",L$3,$A213))</f>
        <v/>
      </c>
      <c r="M213" s="13" t="str">
        <f>IF($A213="","",[1]!thsiFinD("ths_adjustment_nv_fund",M$3,$A213))</f>
        <v/>
      </c>
      <c r="N213" s="13" t="str">
        <f>IF($A213="","",[1]!thsiFinD("ths_adjustment_nv_fund",N$3,$A213))</f>
        <v/>
      </c>
      <c r="O213" s="13" t="str">
        <f>IF($A213="","",[1]!thsiFinD("ths_adjustment_nv_fund",O$3,$A213))</f>
        <v/>
      </c>
      <c r="P213" s="13" t="str">
        <f>IF($A213="","",[1]!thsiFinD("ths_adjustment_nv_fund",P$3,$A213))</f>
        <v/>
      </c>
      <c r="Q213" s="13" t="str">
        <f>IF($A213="","",[1]!thsiFinD("ths_adjustment_nv_fund",Q$3,$A213))</f>
        <v/>
      </c>
      <c r="R213" s="13" t="str">
        <f>IF($A213="","",[1]!thsiFinD("ths_adjustment_nv_fund",R$3,$A213))</f>
        <v/>
      </c>
      <c r="S213" s="13" t="str">
        <f>IF($A213="","",[1]!thsiFinD("ths_adjustment_nv_fund",S$3,$A213))</f>
        <v/>
      </c>
      <c r="T213" s="13" t="str">
        <f>IF($A213="","",[1]!thsiFinD("ths_adjustment_nv_fund",T$3,$A213))</f>
        <v/>
      </c>
      <c r="U213" s="13" t="str">
        <f>IF($A213="","",[1]!thsiFinD("ths_adjustment_nv_fund",U$3,$A213))</f>
        <v/>
      </c>
      <c r="V213" s="13" t="str">
        <f>IF($A213="","",[1]!thsiFinD("ths_adjustment_nv_fund",V$3,$A213))</f>
        <v/>
      </c>
      <c r="W213" s="13" t="str">
        <f>IF($A213="","",[1]!thsiFinD("ths_adjustment_nv_fund",W$3,$A213))</f>
        <v/>
      </c>
      <c r="X213" s="13" t="str">
        <f>IF($A213="","",[1]!thsiFinD("ths_adjustment_nv_fund",X$3,$A213))</f>
        <v/>
      </c>
      <c r="Y213" s="13" t="str">
        <f>IF($A213="","",[1]!thsiFinD("ths_adjustment_nv_fund",Y$3,$A213))</f>
        <v/>
      </c>
      <c r="Z213" s="13" t="str">
        <f>IF($A213="","",[1]!thsiFinD("ths_adjustment_nv_fund",Z$3,$A213))</f>
        <v/>
      </c>
      <c r="AA213" s="13" t="str">
        <f>IF($A213="","",[1]!thsiFinD("ths_adjustment_nv_fund",AA$3,$A213))</f>
        <v/>
      </c>
      <c r="AB213" s="13" t="str">
        <f>IF($A213="","",[1]!thsiFinD("ths_adjustment_nv_fund",AB$3,$A213))</f>
        <v/>
      </c>
      <c r="AC213" s="13" t="str">
        <f>IF($A213="","",[1]!thsiFinD("ths_adjustment_nv_fund",AC$3,$A213))</f>
        <v/>
      </c>
      <c r="AD213" s="13" t="str">
        <f>IF($A213="","",[1]!thsiFinD("ths_adjustment_nv_fund",AD$3,$A213))</f>
        <v/>
      </c>
      <c r="AE213" s="13" t="str">
        <f>IF($A213="","",[1]!thsiFinD("ths_adjustment_nv_fund",AE$3,$A213))</f>
        <v/>
      </c>
      <c r="AF213" s="13" t="str">
        <f>IF($A213="","",[1]!thsiFinD("ths_adjustment_nv_fund",AF$3,$A213))</f>
        <v/>
      </c>
      <c r="AG213" s="13" t="str">
        <f>IF($A213="","",[1]!thsiFinD("ths_adjustment_nv_fund",AG$3,$A213))</f>
        <v/>
      </c>
      <c r="AH213" s="13" t="str">
        <f>IF($A213="","",[1]!thsiFinD("ths_adjustment_nv_fund",AH$3,$A213))</f>
        <v/>
      </c>
      <c r="AI213" s="13" t="str">
        <f>IF($A213="","",[1]!thsiFinD("ths_adjustment_nv_fund",AI$3,$A213))</f>
        <v/>
      </c>
      <c r="AJ213" s="13" t="str">
        <f>IF($A213="","",[1]!thsiFinD("ths_adjustment_nv_fund",AJ$3,$A213))</f>
        <v/>
      </c>
      <c r="AK213" s="13" t="str">
        <f>IF($A213="","",[1]!thsiFinD("ths_adjustment_nv_fund",AK$3,$A213))</f>
        <v/>
      </c>
      <c r="AL213" s="13" t="str">
        <f>IF($A213="","",[1]!thsiFinD("ths_adjustment_nv_fund",AL$3,$A213))</f>
        <v/>
      </c>
    </row>
    <row r="214" spans="1:38">
      <c r="A214" s="9"/>
      <c r="B214" s="13" t="str">
        <f>IF($A214="","",[1]!thsiFinD("ths_adjustment_nv_fund",B$3,$A214))</f>
        <v/>
      </c>
      <c r="C214" s="13" t="str">
        <f>IF($A214="","",[1]!thsiFinD("ths_adjustment_nv_fund",C$3,$A214))</f>
        <v/>
      </c>
      <c r="D214" s="13" t="str">
        <f>IF($A214="","",[1]!thsiFinD("ths_adjustment_nv_fund",D$3,$A214))</f>
        <v/>
      </c>
      <c r="E214" s="13" t="str">
        <f>IF($A214="","",[1]!thsiFinD("ths_adjustment_nv_fund",E$3,$A214))</f>
        <v/>
      </c>
      <c r="F214" s="13" t="str">
        <f>IF($A214="","",[1]!thsiFinD("ths_adjustment_nv_fund",F$3,$A214))</f>
        <v/>
      </c>
      <c r="G214" s="13" t="str">
        <f>IF($A214="","",[1]!thsiFinD("ths_adjustment_nv_fund",G$3,$A214))</f>
        <v/>
      </c>
      <c r="H214" s="13" t="str">
        <f>IF($A214="","",[1]!thsiFinD("ths_adjustment_nv_fund",H$3,$A214))</f>
        <v/>
      </c>
      <c r="I214" s="13" t="str">
        <f>IF($A214="","",[1]!thsiFinD("ths_adjustment_nv_fund",I$3,$A214))</f>
        <v/>
      </c>
      <c r="J214" s="13" t="str">
        <f>IF($A214="","",[1]!thsiFinD("ths_adjustment_nv_fund",J$3,$A214))</f>
        <v/>
      </c>
      <c r="K214" s="13" t="str">
        <f>IF($A214="","",[1]!thsiFinD("ths_adjustment_nv_fund",K$3,$A214))</f>
        <v/>
      </c>
      <c r="L214" s="13" t="str">
        <f>IF($A214="","",[1]!thsiFinD("ths_adjustment_nv_fund",L$3,$A214))</f>
        <v/>
      </c>
      <c r="M214" s="13" t="str">
        <f>IF($A214="","",[1]!thsiFinD("ths_adjustment_nv_fund",M$3,$A214))</f>
        <v/>
      </c>
      <c r="N214" s="13" t="str">
        <f>IF($A214="","",[1]!thsiFinD("ths_adjustment_nv_fund",N$3,$A214))</f>
        <v/>
      </c>
      <c r="O214" s="13" t="str">
        <f>IF($A214="","",[1]!thsiFinD("ths_adjustment_nv_fund",O$3,$A214))</f>
        <v/>
      </c>
      <c r="P214" s="13" t="str">
        <f>IF($A214="","",[1]!thsiFinD("ths_adjustment_nv_fund",P$3,$A214))</f>
        <v/>
      </c>
      <c r="Q214" s="13" t="str">
        <f>IF($A214="","",[1]!thsiFinD("ths_adjustment_nv_fund",Q$3,$A214))</f>
        <v/>
      </c>
      <c r="R214" s="13" t="str">
        <f>IF($A214="","",[1]!thsiFinD("ths_adjustment_nv_fund",R$3,$A214))</f>
        <v/>
      </c>
      <c r="S214" s="13" t="str">
        <f>IF($A214="","",[1]!thsiFinD("ths_adjustment_nv_fund",S$3,$A214))</f>
        <v/>
      </c>
      <c r="T214" s="13" t="str">
        <f>IF($A214="","",[1]!thsiFinD("ths_adjustment_nv_fund",T$3,$A214))</f>
        <v/>
      </c>
      <c r="U214" s="13" t="str">
        <f>IF($A214="","",[1]!thsiFinD("ths_adjustment_nv_fund",U$3,$A214))</f>
        <v/>
      </c>
      <c r="V214" s="13" t="str">
        <f>IF($A214="","",[1]!thsiFinD("ths_adjustment_nv_fund",V$3,$A214))</f>
        <v/>
      </c>
      <c r="W214" s="13" t="str">
        <f>IF($A214="","",[1]!thsiFinD("ths_adjustment_nv_fund",W$3,$A214))</f>
        <v/>
      </c>
      <c r="X214" s="13" t="str">
        <f>IF($A214="","",[1]!thsiFinD("ths_adjustment_nv_fund",X$3,$A214))</f>
        <v/>
      </c>
      <c r="Y214" s="13" t="str">
        <f>IF($A214="","",[1]!thsiFinD("ths_adjustment_nv_fund",Y$3,$A214))</f>
        <v/>
      </c>
      <c r="Z214" s="13" t="str">
        <f>IF($A214="","",[1]!thsiFinD("ths_adjustment_nv_fund",Z$3,$A214))</f>
        <v/>
      </c>
      <c r="AA214" s="13" t="str">
        <f>IF($A214="","",[1]!thsiFinD("ths_adjustment_nv_fund",AA$3,$A214))</f>
        <v/>
      </c>
      <c r="AB214" s="13" t="str">
        <f>IF($A214="","",[1]!thsiFinD("ths_adjustment_nv_fund",AB$3,$A214))</f>
        <v/>
      </c>
      <c r="AC214" s="13" t="str">
        <f>IF($A214="","",[1]!thsiFinD("ths_adjustment_nv_fund",AC$3,$A214))</f>
        <v/>
      </c>
      <c r="AD214" s="13" t="str">
        <f>IF($A214="","",[1]!thsiFinD("ths_adjustment_nv_fund",AD$3,$A214))</f>
        <v/>
      </c>
      <c r="AE214" s="13" t="str">
        <f>IF($A214="","",[1]!thsiFinD("ths_adjustment_nv_fund",AE$3,$A214))</f>
        <v/>
      </c>
      <c r="AF214" s="13" t="str">
        <f>IF($A214="","",[1]!thsiFinD("ths_adjustment_nv_fund",AF$3,$A214))</f>
        <v/>
      </c>
      <c r="AG214" s="13" t="str">
        <f>IF($A214="","",[1]!thsiFinD("ths_adjustment_nv_fund",AG$3,$A214))</f>
        <v/>
      </c>
      <c r="AH214" s="13" t="str">
        <f>IF($A214="","",[1]!thsiFinD("ths_adjustment_nv_fund",AH$3,$A214))</f>
        <v/>
      </c>
      <c r="AI214" s="13" t="str">
        <f>IF($A214="","",[1]!thsiFinD("ths_adjustment_nv_fund",AI$3,$A214))</f>
        <v/>
      </c>
      <c r="AJ214" s="13" t="str">
        <f>IF($A214="","",[1]!thsiFinD("ths_adjustment_nv_fund",AJ$3,$A214))</f>
        <v/>
      </c>
      <c r="AK214" s="13" t="str">
        <f>IF($A214="","",[1]!thsiFinD("ths_adjustment_nv_fund",AK$3,$A214))</f>
        <v/>
      </c>
      <c r="AL214" s="13" t="str">
        <f>IF($A214="","",[1]!thsiFinD("ths_adjustment_nv_fund",AL$3,$A214))</f>
        <v/>
      </c>
    </row>
  </sheetData>
  <mergeCells count="1">
    <mergeCell ref="A1:D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39"/>
  <sheetViews>
    <sheetView workbookViewId="0">
      <selection activeCell="M15" sqref="M15"/>
    </sheetView>
  </sheetViews>
  <sheetFormatPr defaultRowHeight="12.5"/>
  <cols>
    <col min="1" max="1" width="11" bestFit="1" customWidth="1"/>
    <col min="28" max="38" width="13" customWidth="1"/>
  </cols>
  <sheetData>
    <row r="1" spans="1:38">
      <c r="A1" s="53">
        <f ca="1">日期页!B2</f>
        <v>46321</v>
      </c>
      <c r="B1" s="175"/>
      <c r="C1" s="13"/>
      <c r="D1" s="13"/>
      <c r="E1" s="13"/>
      <c r="F1" s="13"/>
    </row>
    <row r="2" spans="1:38">
      <c r="A2" s="173"/>
      <c r="B2" s="175"/>
      <c r="C2" s="175"/>
      <c r="D2" s="175"/>
      <c r="E2" s="175"/>
      <c r="F2" s="175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</row>
    <row r="3" spans="1:38" ht="25">
      <c r="A3" s="173"/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60</v>
      </c>
      <c r="Z3" s="12" t="s">
        <v>348</v>
      </c>
      <c r="AA3" s="12" t="s">
        <v>349</v>
      </c>
      <c r="AB3" s="12" t="str">
        <f>实盘持仓配置!Y3</f>
        <v>008779.OF</v>
      </c>
      <c r="AC3" s="12" t="str">
        <f>实盘持仓配置!Z3</f>
        <v>006594.OF</v>
      </c>
      <c r="AD3" s="12" t="str">
        <f>实盘持仓配置!AA3</f>
        <v>017954.OF</v>
      </c>
      <c r="AE3" s="12" t="str">
        <f>实盘持仓配置!AB3</f>
        <v>019919.OF</v>
      </c>
      <c r="AF3" s="12" t="str">
        <f>实盘持仓配置!AC3</f>
        <v>070019.OF</v>
      </c>
      <c r="AG3" s="12" t="str">
        <f>实盘持仓配置!AD3</f>
        <v>000884.OF</v>
      </c>
      <c r="AH3" s="12" t="str">
        <f>实盘持仓配置!AE3</f>
        <v>090013.OF</v>
      </c>
      <c r="AI3" s="12" t="str">
        <f>实盘持仓配置!AF3</f>
        <v>121010.OF</v>
      </c>
      <c r="AJ3" s="12" t="str">
        <f>实盘持仓配置!AG3</f>
        <v>007466.OF</v>
      </c>
      <c r="AK3" s="12" t="str">
        <f>实盘持仓配置!AH3</f>
        <v>008114.OF</v>
      </c>
      <c r="AL3" s="12" t="str">
        <f>实盘持仓配置!AK3</f>
        <v>016581.OF</v>
      </c>
    </row>
    <row r="4" spans="1:38" ht="25">
      <c r="A4" s="172" t="str">
        <f ca="1">[1]!HX_HisQuote(B3:AL3, "[fundquanfullnet]", "1",A1- 4,A1, -1, "-1", 1, 2, 1, 1, 1, 1, 1, 1, 2, "1", "1900-1-1", "YSHB;Tradedays")</f>
        <v>同花顺iFinD</v>
      </c>
      <c r="B4" s="177" t="s">
        <v>445</v>
      </c>
      <c r="C4" s="177" t="s">
        <v>411</v>
      </c>
      <c r="D4" s="177" t="s">
        <v>446</v>
      </c>
      <c r="E4" s="177" t="s">
        <v>447</v>
      </c>
      <c r="F4" s="177" t="s">
        <v>448</v>
      </c>
      <c r="G4" s="177" t="s">
        <v>449</v>
      </c>
      <c r="H4" s="177" t="s">
        <v>412</v>
      </c>
      <c r="I4" s="177" t="s">
        <v>450</v>
      </c>
      <c r="J4" s="177" t="s">
        <v>451</v>
      </c>
      <c r="K4" s="177" t="s">
        <v>452</v>
      </c>
      <c r="L4" s="177" t="s">
        <v>413</v>
      </c>
      <c r="M4" s="177" t="s">
        <v>453</v>
      </c>
      <c r="N4" s="177" t="s">
        <v>454</v>
      </c>
      <c r="O4" s="177" t="s">
        <v>455</v>
      </c>
      <c r="P4" s="177" t="s">
        <v>414</v>
      </c>
      <c r="Q4" s="177" t="s">
        <v>456</v>
      </c>
      <c r="R4" s="177" t="s">
        <v>457</v>
      </c>
      <c r="S4" s="177" t="s">
        <v>458</v>
      </c>
      <c r="T4" s="177" t="s">
        <v>459</v>
      </c>
      <c r="U4" s="177" t="s">
        <v>460</v>
      </c>
      <c r="V4" s="177" t="s">
        <v>415</v>
      </c>
      <c r="W4" s="177" t="s">
        <v>416</v>
      </c>
      <c r="X4" s="177" t="s">
        <v>461</v>
      </c>
      <c r="Y4" s="177" t="s">
        <v>417</v>
      </c>
      <c r="Z4" s="177" t="s">
        <v>418</v>
      </c>
      <c r="AA4" s="177" t="s">
        <v>462</v>
      </c>
      <c r="AB4" s="177" t="s">
        <v>463</v>
      </c>
      <c r="AC4" s="177" t="s">
        <v>464</v>
      </c>
      <c r="AD4" s="177" t="s">
        <v>419</v>
      </c>
      <c r="AE4" s="177" t="s">
        <v>465</v>
      </c>
      <c r="AF4" s="177" t="s">
        <v>466</v>
      </c>
      <c r="AG4" s="177" t="s">
        <v>441</v>
      </c>
      <c r="AH4" s="177" t="s">
        <v>437</v>
      </c>
      <c r="AI4" s="177" t="s">
        <v>420</v>
      </c>
      <c r="AJ4" s="177" t="s">
        <v>421</v>
      </c>
      <c r="AK4" s="177" t="s">
        <v>442</v>
      </c>
      <c r="AL4" s="177" t="s">
        <v>467</v>
      </c>
    </row>
    <row r="5" spans="1:38" s="210" customFormat="1" ht="62.5">
      <c r="A5" s="173"/>
      <c r="B5" s="174" t="s">
        <v>422</v>
      </c>
      <c r="C5" s="174" t="s">
        <v>468</v>
      </c>
      <c r="D5" s="174" t="s">
        <v>469</v>
      </c>
      <c r="E5" s="174" t="s">
        <v>470</v>
      </c>
      <c r="F5" s="174" t="s">
        <v>471</v>
      </c>
      <c r="G5" s="178" t="s">
        <v>472</v>
      </c>
      <c r="H5" s="178" t="s">
        <v>473</v>
      </c>
      <c r="I5" s="178" t="s">
        <v>474</v>
      </c>
      <c r="J5" s="178" t="s">
        <v>423</v>
      </c>
      <c r="K5" s="178" t="s">
        <v>475</v>
      </c>
      <c r="L5" s="178" t="s">
        <v>435</v>
      </c>
      <c r="M5" s="178" t="s">
        <v>476</v>
      </c>
      <c r="N5" s="178" t="s">
        <v>477</v>
      </c>
      <c r="O5" s="178" t="s">
        <v>424</v>
      </c>
      <c r="P5" s="178" t="s">
        <v>478</v>
      </c>
      <c r="Q5" s="178" t="s">
        <v>479</v>
      </c>
      <c r="R5" s="178" t="s">
        <v>480</v>
      </c>
      <c r="S5" s="178" t="s">
        <v>425</v>
      </c>
      <c r="T5" s="178" t="s">
        <v>481</v>
      </c>
      <c r="U5" s="178" t="s">
        <v>426</v>
      </c>
      <c r="V5" s="178" t="s">
        <v>427</v>
      </c>
      <c r="W5" s="178" t="s">
        <v>428</v>
      </c>
      <c r="X5" s="178" t="s">
        <v>429</v>
      </c>
      <c r="Y5" s="178" t="s">
        <v>482</v>
      </c>
      <c r="Z5" s="178" t="s">
        <v>443</v>
      </c>
      <c r="AA5" s="178" t="s">
        <v>410</v>
      </c>
      <c r="AB5" s="178" t="s">
        <v>483</v>
      </c>
      <c r="AC5" s="178" t="s">
        <v>438</v>
      </c>
      <c r="AD5" s="178" t="s">
        <v>439</v>
      </c>
      <c r="AE5" s="178" t="s">
        <v>484</v>
      </c>
      <c r="AF5" s="178" t="s">
        <v>430</v>
      </c>
      <c r="AG5" s="178" t="s">
        <v>431</v>
      </c>
      <c r="AH5" s="178" t="s">
        <v>485</v>
      </c>
      <c r="AI5" s="178" t="s">
        <v>486</v>
      </c>
      <c r="AJ5" s="178" t="s">
        <v>487</v>
      </c>
      <c r="AK5" s="178" t="s">
        <v>432</v>
      </c>
      <c r="AL5" s="178" t="s">
        <v>488</v>
      </c>
    </row>
    <row r="6" spans="1:38" ht="25">
      <c r="A6" s="173" t="s">
        <v>434</v>
      </c>
      <c r="B6" s="174" t="s">
        <v>489</v>
      </c>
      <c r="C6" s="174" t="s">
        <v>490</v>
      </c>
      <c r="D6" s="174" t="s">
        <v>490</v>
      </c>
      <c r="E6" s="174" t="s">
        <v>490</v>
      </c>
      <c r="F6" s="174" t="s">
        <v>444</v>
      </c>
      <c r="G6" s="178" t="s">
        <v>490</v>
      </c>
      <c r="H6" s="178" t="s">
        <v>491</v>
      </c>
      <c r="I6" s="178" t="s">
        <v>436</v>
      </c>
      <c r="J6" s="178" t="s">
        <v>433</v>
      </c>
      <c r="K6" s="178" t="s">
        <v>490</v>
      </c>
      <c r="L6" s="178" t="s">
        <v>444</v>
      </c>
      <c r="M6" s="178" t="s">
        <v>490</v>
      </c>
      <c r="N6" s="178" t="s">
        <v>433</v>
      </c>
      <c r="O6" s="178" t="s">
        <v>440</v>
      </c>
      <c r="P6" s="178" t="s">
        <v>490</v>
      </c>
      <c r="Q6" s="178" t="s">
        <v>440</v>
      </c>
      <c r="R6" s="178" t="s">
        <v>490</v>
      </c>
      <c r="S6" s="178" t="s">
        <v>491</v>
      </c>
      <c r="T6" s="178" t="s">
        <v>490</v>
      </c>
      <c r="U6" s="178" t="s">
        <v>433</v>
      </c>
      <c r="V6" s="178" t="s">
        <v>436</v>
      </c>
      <c r="W6" s="178" t="s">
        <v>490</v>
      </c>
      <c r="X6" s="178" t="s">
        <v>444</v>
      </c>
      <c r="Y6" s="178" t="s">
        <v>490</v>
      </c>
      <c r="Z6" s="178" t="s">
        <v>433</v>
      </c>
      <c r="AA6" s="178" t="s">
        <v>440</v>
      </c>
      <c r="AB6" s="178" t="s">
        <v>440</v>
      </c>
      <c r="AC6" s="178" t="s">
        <v>433</v>
      </c>
      <c r="AD6" s="178" t="s">
        <v>490</v>
      </c>
      <c r="AE6" s="178" t="s">
        <v>433</v>
      </c>
      <c r="AF6" s="178" t="s">
        <v>440</v>
      </c>
      <c r="AG6" s="178" t="s">
        <v>440</v>
      </c>
      <c r="AH6" s="178" t="s">
        <v>490</v>
      </c>
      <c r="AI6" s="178" t="s">
        <v>490</v>
      </c>
      <c r="AJ6" s="178" t="s">
        <v>436</v>
      </c>
      <c r="AK6" s="178" t="s">
        <v>433</v>
      </c>
      <c r="AL6" s="178" t="s">
        <v>433</v>
      </c>
    </row>
    <row r="7" spans="1:38">
      <c r="A7" s="173">
        <v>46317</v>
      </c>
      <c r="B7" s="175">
        <v>3.0428999999999999</v>
      </c>
      <c r="C7" s="175">
        <v>1.322892822</v>
      </c>
      <c r="D7" s="175">
        <v>3.2890000000000001</v>
      </c>
      <c r="E7" s="175">
        <v>1.6952</v>
      </c>
      <c r="F7" s="175">
        <v>1.6452</v>
      </c>
      <c r="G7" s="176">
        <v>2.9184000000000001</v>
      </c>
      <c r="H7" s="176">
        <v>2.8538999999999999</v>
      </c>
      <c r="I7" s="176">
        <v>1.7521</v>
      </c>
      <c r="J7" s="176">
        <v>2.3148</v>
      </c>
      <c r="K7" s="176">
        <v>2.2923</v>
      </c>
      <c r="L7" s="176">
        <v>1.3471</v>
      </c>
      <c r="M7" s="176">
        <v>1.3280000000000001</v>
      </c>
      <c r="N7" s="176">
        <v>1.3108</v>
      </c>
      <c r="O7" s="176">
        <v>1.2763</v>
      </c>
      <c r="P7" s="176">
        <v>2.0775999999999999</v>
      </c>
      <c r="Q7" s="176">
        <v>2.4445000000000001</v>
      </c>
      <c r="R7" s="176">
        <v>2.3893</v>
      </c>
      <c r="S7" s="176">
        <v>3.2530000000000001</v>
      </c>
      <c r="T7" s="176">
        <v>2.1970000000000001</v>
      </c>
      <c r="U7" s="176">
        <v>2.1842000000000001</v>
      </c>
      <c r="V7" s="176">
        <v>1.73</v>
      </c>
      <c r="W7" s="176">
        <v>1.7110000000000001</v>
      </c>
      <c r="X7" s="176">
        <v>1.8159000000000001</v>
      </c>
      <c r="Y7" s="176">
        <v>1.8420000000000001</v>
      </c>
      <c r="Z7" s="176">
        <v>1.5383505641999999</v>
      </c>
      <c r="AA7" s="176">
        <v>1.2451539382000001</v>
      </c>
      <c r="AB7" s="176">
        <v>1.4313</v>
      </c>
      <c r="AC7" s="176">
        <v>2.658335004</v>
      </c>
      <c r="AD7" s="176">
        <v>1.4988999999999999</v>
      </c>
      <c r="AE7" s="176">
        <v>1.6620999999999999</v>
      </c>
      <c r="AF7" s="176">
        <v>3.4931995583000002</v>
      </c>
      <c r="AG7" s="176">
        <v>1.7516995781</v>
      </c>
      <c r="AH7" s="176">
        <v>4.4493465807000003</v>
      </c>
      <c r="AI7" s="176">
        <v>4.6875523870000002</v>
      </c>
      <c r="AJ7" s="176">
        <v>2.0334011646999999</v>
      </c>
      <c r="AK7" s="176">
        <v>1.7521544867000001</v>
      </c>
      <c r="AL7" s="176">
        <v>1.8069</v>
      </c>
    </row>
    <row r="8" spans="1:38">
      <c r="A8" s="173">
        <v>46318</v>
      </c>
      <c r="B8" s="175">
        <v>2.9864000000000002</v>
      </c>
      <c r="C8" s="175">
        <v>1.3229368213999999</v>
      </c>
      <c r="D8" s="175">
        <v>3.3239999999999998</v>
      </c>
      <c r="E8" s="175">
        <v>1.7196</v>
      </c>
      <c r="F8" s="175">
        <v>1.6689000000000001</v>
      </c>
      <c r="G8" s="176">
        <v>2.9723000000000002</v>
      </c>
      <c r="H8" s="176">
        <v>2.9066000000000001</v>
      </c>
      <c r="I8" s="176">
        <v>1.7994000000000001</v>
      </c>
      <c r="J8" s="176">
        <v>2.3260000000000001</v>
      </c>
      <c r="K8" s="176">
        <v>2.3033999999999999</v>
      </c>
      <c r="L8" s="176">
        <v>1.3755999999999999</v>
      </c>
      <c r="M8" s="176">
        <v>1.3560000000000001</v>
      </c>
      <c r="N8" s="176">
        <v>1.3357000000000001</v>
      </c>
      <c r="O8" s="176">
        <v>1.3005</v>
      </c>
      <c r="P8" s="176">
        <v>2.1017999999999999</v>
      </c>
      <c r="Q8" s="176">
        <v>2.4792000000000001</v>
      </c>
      <c r="R8" s="176">
        <v>2.4232</v>
      </c>
      <c r="S8" s="176">
        <v>3.2869999999999999</v>
      </c>
      <c r="T8" s="176">
        <v>2.2134999999999998</v>
      </c>
      <c r="U8" s="176">
        <v>2.2006000000000001</v>
      </c>
      <c r="V8" s="176">
        <v>1.7589999999999999</v>
      </c>
      <c r="W8" s="176">
        <v>1.7397</v>
      </c>
      <c r="X8" s="176">
        <v>1.8159000000000001</v>
      </c>
      <c r="Y8" s="176">
        <v>1.859</v>
      </c>
      <c r="Z8" s="176">
        <v>1.5383505641999999</v>
      </c>
      <c r="AA8" s="176">
        <v>1.2451539382000001</v>
      </c>
      <c r="AB8" s="176">
        <v>1.4602999999999999</v>
      </c>
      <c r="AC8" s="176">
        <v>2.7130262840000001</v>
      </c>
      <c r="AD8" s="176">
        <v>1.5288999999999999</v>
      </c>
      <c r="AE8" s="176">
        <v>1.7018</v>
      </c>
      <c r="AF8" s="176">
        <v>3.5320820111</v>
      </c>
      <c r="AG8" s="176">
        <v>1.7595134177</v>
      </c>
      <c r="AH8" s="176">
        <v>4.4675397801000001</v>
      </c>
      <c r="AI8" s="176">
        <v>4.752021214</v>
      </c>
      <c r="AJ8" s="176">
        <v>2.0264675676000001</v>
      </c>
      <c r="AK8" s="176">
        <v>1.7526854426</v>
      </c>
      <c r="AL8" s="176">
        <v>1.7719</v>
      </c>
    </row>
    <row r="9" spans="1:38">
      <c r="A9" s="173">
        <v>46316</v>
      </c>
      <c r="B9" s="175">
        <v>3.0672000000000001</v>
      </c>
      <c r="C9" s="175">
        <v>1.3228487976000001</v>
      </c>
      <c r="D9" s="175">
        <v>3.492</v>
      </c>
      <c r="E9" s="175">
        <v>1.7270000000000001</v>
      </c>
      <c r="F9" s="175">
        <v>1.6761999999999999</v>
      </c>
      <c r="G9" s="176">
        <v>3.0859000000000001</v>
      </c>
      <c r="H9" s="176">
        <v>3.0177</v>
      </c>
      <c r="I9" s="176">
        <v>1.8478000000000001</v>
      </c>
      <c r="J9" s="176">
        <v>2.4281999999999999</v>
      </c>
      <c r="K9" s="176">
        <v>2.4045000000000001</v>
      </c>
      <c r="L9" s="176">
        <v>1.3917999999999999</v>
      </c>
      <c r="M9" s="176">
        <v>1.3720000000000001</v>
      </c>
      <c r="N9" s="176">
        <v>1.3491</v>
      </c>
      <c r="O9" s="176">
        <v>1.3136000000000001</v>
      </c>
      <c r="P9" s="176">
        <v>2.2475000000000001</v>
      </c>
      <c r="Q9" s="176">
        <v>2.6406999999999998</v>
      </c>
      <c r="R9" s="176">
        <v>2.5811000000000002</v>
      </c>
      <c r="S9" s="176">
        <v>3.4529999999999998</v>
      </c>
      <c r="T9" s="176">
        <v>2.2829000000000002</v>
      </c>
      <c r="U9" s="176">
        <v>2.2696000000000001</v>
      </c>
      <c r="V9" s="176">
        <v>1.7869999999999999</v>
      </c>
      <c r="W9" s="176">
        <v>1.7674000000000001</v>
      </c>
      <c r="X9" s="176">
        <v>1.8161</v>
      </c>
      <c r="Y9" s="176">
        <v>1.925</v>
      </c>
      <c r="Z9" s="176">
        <v>1.5383505641999999</v>
      </c>
      <c r="AA9" s="176">
        <v>1.2449171268999999</v>
      </c>
      <c r="AB9" s="176">
        <v>1.4672000000000001</v>
      </c>
      <c r="AC9" s="176">
        <v>2.7323860291000002</v>
      </c>
      <c r="AD9" s="176">
        <v>1.5431999999999999</v>
      </c>
      <c r="AE9" s="176">
        <v>1.7117</v>
      </c>
      <c r="AF9" s="176">
        <v>3.5662985694999998</v>
      </c>
      <c r="AG9" s="176">
        <v>1.7714091139000001</v>
      </c>
      <c r="AH9" s="176">
        <v>4.4892828720000004</v>
      </c>
      <c r="AI9" s="176">
        <v>4.7377648981</v>
      </c>
      <c r="AJ9" s="176">
        <v>2.0485065012999999</v>
      </c>
      <c r="AK9" s="176">
        <v>1.7660655314</v>
      </c>
      <c r="AL9" s="176">
        <v>1.8169</v>
      </c>
    </row>
    <row r="10" spans="1:38">
      <c r="A10" s="173">
        <v>46317</v>
      </c>
      <c r="B10" s="175">
        <v>3.0428999999999999</v>
      </c>
      <c r="C10" s="175">
        <v>1.322892822</v>
      </c>
      <c r="D10" s="175">
        <v>3.2890000000000001</v>
      </c>
      <c r="E10" s="175">
        <v>1.6952</v>
      </c>
      <c r="F10" s="175">
        <v>1.6452</v>
      </c>
      <c r="G10" s="176">
        <v>2.9184000000000001</v>
      </c>
      <c r="H10" s="176">
        <v>2.8538999999999999</v>
      </c>
      <c r="I10" s="176">
        <v>1.7521</v>
      </c>
      <c r="J10" s="176">
        <v>2.3148</v>
      </c>
      <c r="K10" s="176">
        <v>2.2923</v>
      </c>
      <c r="L10" s="176">
        <v>1.3471</v>
      </c>
      <c r="M10" s="176">
        <v>1.3280000000000001</v>
      </c>
      <c r="N10" s="176">
        <v>1.3108</v>
      </c>
      <c r="O10" s="176">
        <v>1.2763</v>
      </c>
      <c r="P10" s="176">
        <v>2.0775999999999999</v>
      </c>
      <c r="Q10" s="176">
        <v>2.4445000000000001</v>
      </c>
      <c r="R10" s="176">
        <v>2.3893</v>
      </c>
      <c r="S10" s="176">
        <v>3.2530000000000001</v>
      </c>
      <c r="T10" s="176">
        <v>2.1970000000000001</v>
      </c>
      <c r="U10" s="176">
        <v>2.1842000000000001</v>
      </c>
      <c r="V10" s="176">
        <v>1.73</v>
      </c>
      <c r="W10" s="176">
        <v>1.7110000000000001</v>
      </c>
      <c r="X10" s="176">
        <v>1.8159000000000001</v>
      </c>
      <c r="Y10" s="176">
        <v>1.8420000000000001</v>
      </c>
      <c r="Z10" s="176">
        <v>1.5383505641999999</v>
      </c>
      <c r="AA10" s="176">
        <v>1.2451539382000001</v>
      </c>
      <c r="AB10" s="176">
        <v>1.4313</v>
      </c>
      <c r="AC10" s="176">
        <v>2.658335004</v>
      </c>
      <c r="AD10" s="176">
        <v>1.4988999999999999</v>
      </c>
      <c r="AE10" s="176">
        <v>1.6620999999999999</v>
      </c>
      <c r="AF10" s="176">
        <v>3.4931995583000002</v>
      </c>
      <c r="AG10" s="176">
        <v>1.7516995781</v>
      </c>
      <c r="AH10" s="176">
        <v>4.4493465807000003</v>
      </c>
      <c r="AI10" s="176">
        <v>4.6875523870000002</v>
      </c>
      <c r="AJ10" s="176">
        <v>2.0334011646999999</v>
      </c>
      <c r="AK10" s="176">
        <v>1.7521544867000001</v>
      </c>
      <c r="AL10" s="176">
        <v>1.8069</v>
      </c>
    </row>
    <row r="11" spans="1:38">
      <c r="A11" s="173">
        <v>46318</v>
      </c>
      <c r="B11" s="175">
        <v>2.9864000000000002</v>
      </c>
      <c r="C11" s="175">
        <v>1.3229368213999999</v>
      </c>
      <c r="D11" s="175">
        <v>3.3239999999999998</v>
      </c>
      <c r="E11" s="175">
        <v>1.7196</v>
      </c>
      <c r="F11" s="175">
        <v>1.6689000000000001</v>
      </c>
      <c r="G11" s="176">
        <v>2.9723000000000002</v>
      </c>
      <c r="H11" s="176">
        <v>2.9066000000000001</v>
      </c>
      <c r="I11" s="176">
        <v>1.7994000000000001</v>
      </c>
      <c r="J11" s="176">
        <v>2.3260000000000001</v>
      </c>
      <c r="K11" s="176">
        <v>2.3033999999999999</v>
      </c>
      <c r="L11" s="176">
        <v>1.3755999999999999</v>
      </c>
      <c r="M11" s="176">
        <v>1.3560000000000001</v>
      </c>
      <c r="N11" s="176">
        <v>1.3357000000000001</v>
      </c>
      <c r="O11" s="176">
        <v>1.3005</v>
      </c>
      <c r="P11" s="176">
        <v>2.1017999999999999</v>
      </c>
      <c r="Q11" s="176">
        <v>2.4792000000000001</v>
      </c>
      <c r="R11" s="176">
        <v>2.4232</v>
      </c>
      <c r="S11" s="176">
        <v>3.2869999999999999</v>
      </c>
      <c r="T11" s="176">
        <v>2.2134999999999998</v>
      </c>
      <c r="U11" s="176">
        <v>2.2006000000000001</v>
      </c>
      <c r="V11" s="176">
        <v>1.7589999999999999</v>
      </c>
      <c r="W11" s="176">
        <v>1.7397</v>
      </c>
      <c r="X11" s="176">
        <v>1.8159000000000001</v>
      </c>
      <c r="Y11" s="176">
        <v>1.859</v>
      </c>
      <c r="Z11" s="176">
        <v>1.5383505641999999</v>
      </c>
      <c r="AA11" s="176">
        <v>1.2451539382000001</v>
      </c>
      <c r="AB11" s="176">
        <v>1.4602999999999999</v>
      </c>
      <c r="AC11" s="176">
        <v>2.7130262840000001</v>
      </c>
      <c r="AD11" s="176">
        <v>1.5288999999999999</v>
      </c>
      <c r="AE11" s="176">
        <v>1.7018</v>
      </c>
      <c r="AF11" s="176">
        <v>3.5320820111</v>
      </c>
      <c r="AG11" s="176">
        <v>1.7595134177</v>
      </c>
      <c r="AH11" s="176">
        <v>4.4675397801000001</v>
      </c>
      <c r="AI11" s="176">
        <v>4.752021214</v>
      </c>
      <c r="AJ11" s="176">
        <v>2.0264675676000001</v>
      </c>
      <c r="AK11" s="176">
        <v>1.7526854426</v>
      </c>
      <c r="AL11" s="176">
        <v>1.7719</v>
      </c>
    </row>
    <row r="12" spans="1:38">
      <c r="A12" s="173"/>
      <c r="B12" s="175"/>
      <c r="C12" s="175"/>
      <c r="D12" s="175"/>
      <c r="E12" s="175"/>
      <c r="F12" s="175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</row>
    <row r="13" spans="1:38">
      <c r="A13" s="173"/>
      <c r="B13" s="175"/>
      <c r="C13" s="175"/>
      <c r="D13" s="175"/>
      <c r="E13" s="175"/>
      <c r="F13" s="175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</row>
    <row r="14" spans="1:38">
      <c r="A14" s="173"/>
      <c r="B14" s="175"/>
      <c r="C14" s="175"/>
      <c r="D14" s="175"/>
      <c r="E14" s="175"/>
      <c r="F14" s="175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</row>
    <row r="15" spans="1:38">
      <c r="A15" s="173"/>
      <c r="B15" s="175"/>
      <c r="C15" s="175"/>
      <c r="D15" s="175"/>
      <c r="E15" s="175"/>
      <c r="F15" s="175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</row>
    <row r="16" spans="1:38">
      <c r="A16" s="173"/>
      <c r="B16" s="175"/>
      <c r="C16" s="175"/>
      <c r="D16" s="175"/>
      <c r="E16" s="175"/>
      <c r="F16" s="175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</row>
    <row r="17" spans="1:25">
      <c r="A17" s="173"/>
      <c r="B17" s="175"/>
      <c r="C17" s="175"/>
      <c r="D17" s="175"/>
      <c r="E17" s="175"/>
      <c r="F17" s="175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</row>
    <row r="18" spans="1:25">
      <c r="A18" s="173"/>
      <c r="B18" s="175"/>
      <c r="C18" s="175"/>
      <c r="D18" s="175"/>
      <c r="E18" s="175"/>
      <c r="F18" s="175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</row>
    <row r="19" spans="1:25">
      <c r="A19" s="173"/>
      <c r="B19" s="175"/>
      <c r="C19" s="175"/>
      <c r="D19" s="175"/>
      <c r="E19" s="175"/>
      <c r="F19" s="175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</row>
    <row r="20" spans="1:25">
      <c r="A20" s="173"/>
      <c r="B20" s="175"/>
      <c r="C20" s="175"/>
      <c r="D20" s="175"/>
      <c r="E20" s="175"/>
      <c r="F20" s="175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</row>
    <row r="21" spans="1:25">
      <c r="A21" s="173"/>
      <c r="B21" s="175"/>
      <c r="C21" s="175"/>
      <c r="D21" s="175"/>
      <c r="E21" s="175"/>
      <c r="F21" s="175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</row>
    <row r="22" spans="1:25">
      <c r="A22" s="173"/>
      <c r="B22" s="175"/>
      <c r="C22" s="175"/>
      <c r="D22" s="175"/>
      <c r="E22" s="175"/>
      <c r="F22" s="175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</row>
    <row r="23" spans="1:25">
      <c r="A23" s="173"/>
      <c r="B23" s="175"/>
      <c r="C23" s="175"/>
      <c r="D23" s="175"/>
      <c r="E23" s="175"/>
      <c r="F23" s="175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</row>
    <row r="24" spans="1:25">
      <c r="A24" s="173"/>
      <c r="B24" s="175"/>
      <c r="C24" s="175"/>
      <c r="D24" s="175"/>
      <c r="E24" s="175"/>
      <c r="F24" s="175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</row>
    <row r="25" spans="1:25">
      <c r="A25" s="173"/>
      <c r="B25" s="175"/>
      <c r="C25" s="175"/>
      <c r="D25" s="175"/>
      <c r="E25" s="175"/>
      <c r="F25" s="175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</row>
    <row r="26" spans="1:25">
      <c r="A26" s="173"/>
      <c r="B26" s="175"/>
      <c r="C26" s="175"/>
      <c r="D26" s="175"/>
      <c r="E26" s="175"/>
      <c r="F26" s="175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</row>
    <row r="27" spans="1:25">
      <c r="A27" s="173"/>
      <c r="B27" s="175"/>
      <c r="C27" s="175"/>
      <c r="D27" s="175"/>
      <c r="E27" s="175"/>
      <c r="F27" s="175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</row>
    <row r="28" spans="1:25">
      <c r="A28" s="173"/>
      <c r="B28" s="175"/>
      <c r="C28" s="175"/>
      <c r="D28" s="175"/>
      <c r="E28" s="175"/>
      <c r="F28" s="175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</row>
    <row r="29" spans="1:25">
      <c r="A29" s="173"/>
      <c r="B29" s="175"/>
      <c r="C29" s="175"/>
      <c r="D29" s="175"/>
      <c r="E29" s="175"/>
      <c r="F29" s="175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</row>
    <row r="30" spans="1:25">
      <c r="A30" s="173"/>
      <c r="B30" s="175"/>
      <c r="C30" s="175"/>
      <c r="D30" s="175"/>
      <c r="E30" s="175"/>
      <c r="F30" s="175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</row>
    <row r="31" spans="1:25">
      <c r="A31" s="173"/>
      <c r="B31" s="175"/>
      <c r="C31" s="175"/>
      <c r="D31" s="175"/>
      <c r="E31" s="175"/>
      <c r="F31" s="175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</row>
    <row r="32" spans="1:25">
      <c r="A32" s="173"/>
      <c r="B32" s="175"/>
      <c r="C32" s="175"/>
      <c r="D32" s="175"/>
      <c r="E32" s="175"/>
      <c r="F32" s="175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</row>
    <row r="33" spans="1:25">
      <c r="A33" s="173"/>
      <c r="B33" s="175"/>
      <c r="C33" s="175"/>
      <c r="D33" s="175"/>
      <c r="E33" s="175"/>
      <c r="F33" s="175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</row>
    <row r="34" spans="1:25">
      <c r="A34" s="173"/>
      <c r="B34" s="175"/>
      <c r="C34" s="175"/>
      <c r="D34" s="175"/>
      <c r="E34" s="175"/>
      <c r="F34" s="175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</row>
    <row r="35" spans="1:25" ht="14.5">
      <c r="A35" s="173"/>
      <c r="B35" s="175"/>
      <c r="C35" s="175"/>
      <c r="D35" s="175"/>
      <c r="E35" s="175"/>
      <c r="F35" s="175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89"/>
      <c r="T35" s="189"/>
      <c r="U35" s="176"/>
      <c r="V35" s="176"/>
      <c r="W35" s="176"/>
      <c r="X35" s="176"/>
      <c r="Y35" s="176"/>
    </row>
    <row r="36" spans="1:25" ht="14.5">
      <c r="A36" s="173"/>
      <c r="B36" s="175"/>
      <c r="C36" s="175"/>
      <c r="D36" s="175"/>
      <c r="E36" s="175"/>
      <c r="F36" s="175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89"/>
      <c r="T36" s="190"/>
      <c r="U36" s="176"/>
      <c r="V36" s="176"/>
      <c r="W36" s="176"/>
      <c r="X36" s="176"/>
      <c r="Y36" s="176"/>
    </row>
    <row r="37" spans="1:25" ht="14.5">
      <c r="A37" s="173"/>
      <c r="B37" s="175"/>
      <c r="C37" s="175"/>
      <c r="D37" s="175"/>
      <c r="E37" s="175"/>
      <c r="F37" s="175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89"/>
      <c r="T37" s="190"/>
      <c r="U37" s="176"/>
      <c r="V37" s="176"/>
      <c r="W37" s="176"/>
      <c r="X37" s="176"/>
      <c r="Y37" s="176"/>
    </row>
    <row r="38" spans="1:25" ht="14.5">
      <c r="A38" s="173"/>
      <c r="B38" s="175"/>
      <c r="C38" s="175"/>
      <c r="D38" s="175"/>
      <c r="E38" s="175"/>
      <c r="F38" s="175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89"/>
      <c r="T38" s="190"/>
      <c r="U38" s="176"/>
      <c r="V38" s="176"/>
      <c r="W38" s="176"/>
      <c r="X38" s="176"/>
      <c r="Y38" s="176"/>
    </row>
    <row r="39" spans="1:25" ht="14.5">
      <c r="A39" s="173"/>
      <c r="B39" s="175"/>
      <c r="C39" s="175"/>
      <c r="D39" s="175"/>
      <c r="E39" s="175"/>
      <c r="F39" s="175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89"/>
      <c r="T39" s="190"/>
      <c r="U39" s="176"/>
      <c r="V39" s="176"/>
      <c r="W39" s="176"/>
      <c r="X39" s="176"/>
      <c r="Y39" s="176"/>
    </row>
    <row r="40" spans="1:25" ht="14.5">
      <c r="A40" s="173"/>
      <c r="B40" s="175"/>
      <c r="C40" s="175"/>
      <c r="D40" s="175"/>
      <c r="E40" s="175"/>
      <c r="F40" s="175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89"/>
      <c r="T40" s="190"/>
      <c r="U40" s="176"/>
      <c r="V40" s="176"/>
      <c r="W40" s="176"/>
      <c r="X40" s="176"/>
      <c r="Y40" s="176"/>
    </row>
    <row r="41" spans="1:25" ht="14.5">
      <c r="A41" s="173"/>
      <c r="B41" s="175"/>
      <c r="C41" s="175"/>
      <c r="D41" s="175"/>
      <c r="E41" s="175"/>
      <c r="F41" s="175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89"/>
      <c r="T41" s="190"/>
      <c r="U41" s="176"/>
      <c r="V41" s="176"/>
      <c r="W41" s="176"/>
      <c r="X41" s="176"/>
      <c r="Y41" s="176"/>
    </row>
    <row r="42" spans="1:25" ht="14.5">
      <c r="A42" s="173"/>
      <c r="B42" s="175"/>
      <c r="C42" s="175"/>
      <c r="D42" s="175"/>
      <c r="E42" s="175"/>
      <c r="F42" s="175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89"/>
      <c r="T42" s="190"/>
      <c r="U42" s="176"/>
      <c r="V42" s="176"/>
      <c r="W42" s="176"/>
      <c r="X42" s="176"/>
      <c r="Y42" s="176"/>
    </row>
    <row r="43" spans="1:25" ht="14.5">
      <c r="A43" s="173"/>
      <c r="B43" s="175"/>
      <c r="C43" s="175"/>
      <c r="D43" s="175"/>
      <c r="E43" s="175"/>
      <c r="F43" s="175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89"/>
      <c r="T43" s="190"/>
      <c r="U43" s="176"/>
      <c r="V43" s="176"/>
      <c r="W43" s="176"/>
      <c r="X43" s="176"/>
      <c r="Y43" s="176"/>
    </row>
    <row r="44" spans="1:25" ht="14.5">
      <c r="A44" s="173"/>
      <c r="B44" s="175"/>
      <c r="C44" s="175"/>
      <c r="D44" s="175"/>
      <c r="E44" s="175"/>
      <c r="F44" s="175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89"/>
      <c r="T44" s="190"/>
      <c r="U44" s="176"/>
      <c r="V44" s="176"/>
      <c r="W44" s="176"/>
      <c r="X44" s="176"/>
      <c r="Y44" s="176"/>
    </row>
    <row r="45" spans="1:25" ht="14.5">
      <c r="A45" s="173"/>
      <c r="B45" s="175"/>
      <c r="C45" s="175"/>
      <c r="D45" s="175"/>
      <c r="E45" s="175"/>
      <c r="F45" s="175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89"/>
      <c r="T45" s="190"/>
      <c r="U45" s="176"/>
      <c r="V45" s="176"/>
      <c r="W45" s="176"/>
      <c r="X45" s="176"/>
      <c r="Y45" s="176"/>
    </row>
    <row r="46" spans="1:25" ht="14.5">
      <c r="A46" s="173"/>
      <c r="B46" s="175"/>
      <c r="C46" s="175"/>
      <c r="D46" s="175"/>
      <c r="E46" s="175"/>
      <c r="F46" s="175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89"/>
      <c r="T46" s="190"/>
      <c r="U46" s="176"/>
      <c r="V46" s="176"/>
      <c r="W46" s="176"/>
      <c r="X46" s="176"/>
      <c r="Y46" s="176"/>
    </row>
    <row r="47" spans="1:25" ht="14.5">
      <c r="A47" s="173"/>
      <c r="B47" s="175"/>
      <c r="C47" s="175"/>
      <c r="D47" s="175"/>
      <c r="E47" s="175"/>
      <c r="F47" s="175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89"/>
      <c r="T47" s="190"/>
      <c r="U47" s="176"/>
      <c r="V47" s="176"/>
      <c r="W47" s="176"/>
      <c r="X47" s="176"/>
      <c r="Y47" s="176"/>
    </row>
    <row r="48" spans="1:25" ht="14.5">
      <c r="A48" s="173"/>
      <c r="B48" s="175"/>
      <c r="C48" s="175"/>
      <c r="D48" s="175"/>
      <c r="E48" s="175"/>
      <c r="F48" s="175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89"/>
      <c r="T48" s="190"/>
      <c r="U48" s="176"/>
      <c r="V48" s="176"/>
      <c r="W48" s="176"/>
      <c r="X48" s="176"/>
      <c r="Y48" s="176"/>
    </row>
    <row r="49" spans="1:25" ht="14.5">
      <c r="A49" s="173"/>
      <c r="B49" s="175"/>
      <c r="C49" s="175"/>
      <c r="D49" s="175"/>
      <c r="E49" s="175"/>
      <c r="F49" s="175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89"/>
      <c r="T49" s="190"/>
      <c r="U49" s="176"/>
      <c r="V49" s="176"/>
      <c r="W49" s="176"/>
      <c r="X49" s="176"/>
      <c r="Y49" s="176"/>
    </row>
    <row r="50" spans="1:25" ht="14.5">
      <c r="A50" s="173"/>
      <c r="B50" s="175"/>
      <c r="C50" s="175"/>
      <c r="D50" s="175"/>
      <c r="E50" s="175"/>
      <c r="F50" s="175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89"/>
      <c r="T50" s="190"/>
      <c r="U50" s="176"/>
      <c r="V50" s="176"/>
      <c r="W50" s="176"/>
      <c r="X50" s="176"/>
      <c r="Y50" s="176"/>
    </row>
    <row r="51" spans="1:25" ht="14.5">
      <c r="A51" s="173"/>
      <c r="B51" s="175"/>
      <c r="C51" s="175"/>
      <c r="D51" s="175"/>
      <c r="E51" s="175"/>
      <c r="F51" s="175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89"/>
      <c r="T51" s="190"/>
      <c r="U51" s="176"/>
      <c r="V51" s="176"/>
      <c r="W51" s="176"/>
      <c r="X51" s="176"/>
      <c r="Y51" s="176"/>
    </row>
    <row r="52" spans="1:25" ht="14.5">
      <c r="A52" s="173"/>
      <c r="B52" s="175"/>
      <c r="C52" s="175"/>
      <c r="D52" s="175"/>
      <c r="E52" s="175"/>
      <c r="F52" s="175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89"/>
      <c r="T52" s="190"/>
      <c r="U52" s="176"/>
      <c r="V52" s="176"/>
      <c r="W52" s="176"/>
      <c r="X52" s="176"/>
      <c r="Y52" s="176"/>
    </row>
    <row r="53" spans="1:25" ht="14.5">
      <c r="A53" s="173"/>
      <c r="B53" s="175"/>
      <c r="C53" s="175"/>
      <c r="D53" s="175"/>
      <c r="E53" s="175"/>
      <c r="F53" s="175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89"/>
      <c r="T53" s="190"/>
      <c r="U53" s="176"/>
      <c r="V53" s="176"/>
      <c r="W53" s="176"/>
      <c r="X53" s="176"/>
      <c r="Y53" s="176"/>
    </row>
    <row r="54" spans="1:25" ht="14.5">
      <c r="A54" s="173"/>
      <c r="B54" s="175"/>
      <c r="C54" s="175"/>
      <c r="D54" s="175"/>
      <c r="E54" s="175"/>
      <c r="F54" s="175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89"/>
      <c r="T54" s="190"/>
      <c r="U54" s="176"/>
      <c r="V54" s="176"/>
      <c r="W54" s="176"/>
      <c r="X54" s="176"/>
      <c r="Y54" s="176"/>
    </row>
    <row r="55" spans="1:25" ht="14.5">
      <c r="A55" s="173"/>
      <c r="B55" s="175"/>
      <c r="C55" s="175"/>
      <c r="D55" s="175"/>
      <c r="E55" s="175"/>
      <c r="F55" s="175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89"/>
      <c r="T55" s="190"/>
      <c r="U55" s="176"/>
      <c r="V55" s="176"/>
      <c r="W55" s="176"/>
      <c r="X55" s="176"/>
      <c r="Y55" s="176"/>
    </row>
    <row r="56" spans="1:25" ht="14.5">
      <c r="A56" s="173"/>
      <c r="B56" s="175"/>
      <c r="C56" s="175"/>
      <c r="D56" s="175"/>
      <c r="E56" s="175"/>
      <c r="F56" s="175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89"/>
      <c r="T56" s="190"/>
      <c r="U56" s="176"/>
      <c r="V56" s="176"/>
      <c r="W56" s="176"/>
      <c r="X56" s="176"/>
      <c r="Y56" s="176"/>
    </row>
    <row r="57" spans="1:25" ht="14.5">
      <c r="A57" s="173"/>
      <c r="B57" s="175"/>
      <c r="C57" s="175"/>
      <c r="D57" s="175"/>
      <c r="E57" s="175"/>
      <c r="F57" s="175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89"/>
      <c r="T57" s="190"/>
      <c r="U57" s="176"/>
      <c r="V57" s="176"/>
      <c r="W57" s="176"/>
      <c r="X57" s="176"/>
      <c r="Y57" s="176"/>
    </row>
    <row r="58" spans="1:25" ht="14.5">
      <c r="A58" s="173"/>
      <c r="B58" s="175"/>
      <c r="C58" s="175"/>
      <c r="D58" s="175"/>
      <c r="E58" s="175"/>
      <c r="F58" s="175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89"/>
      <c r="T58" s="190"/>
      <c r="U58" s="176"/>
      <c r="V58" s="176"/>
      <c r="W58" s="176"/>
      <c r="X58" s="176"/>
      <c r="Y58" s="176"/>
    </row>
    <row r="59" spans="1:25" ht="14.5">
      <c r="A59" s="173"/>
      <c r="B59" s="175"/>
      <c r="C59" s="175"/>
      <c r="D59" s="175"/>
      <c r="E59" s="175"/>
      <c r="F59" s="175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89"/>
      <c r="T59" s="190"/>
      <c r="U59" s="176"/>
      <c r="V59" s="176"/>
      <c r="W59" s="176"/>
      <c r="X59" s="176"/>
      <c r="Y59" s="176"/>
    </row>
    <row r="60" spans="1:25">
      <c r="A60" s="173"/>
      <c r="B60" s="175"/>
      <c r="C60" s="175"/>
      <c r="D60" s="175"/>
      <c r="E60" s="175"/>
      <c r="F60" s="175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</row>
    <row r="61" spans="1:25">
      <c r="A61" s="173"/>
      <c r="B61" s="175"/>
      <c r="C61" s="175"/>
      <c r="D61" s="175"/>
      <c r="E61" s="175"/>
      <c r="F61" s="175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</row>
    <row r="62" spans="1:25">
      <c r="A62" s="173"/>
      <c r="B62" s="175"/>
      <c r="C62" s="175"/>
      <c r="D62" s="175"/>
      <c r="E62" s="175"/>
      <c r="F62" s="175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</row>
    <row r="63" spans="1:25">
      <c r="A63" s="173"/>
      <c r="B63" s="175"/>
      <c r="C63" s="175"/>
      <c r="D63" s="175"/>
      <c r="E63" s="175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</row>
    <row r="64" spans="1:25">
      <c r="A64" s="91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</row>
    <row r="65" spans="1:25">
      <c r="A65" s="91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</row>
    <row r="66" spans="1:25">
      <c r="A66" s="91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</row>
    <row r="67" spans="1:25">
      <c r="A67" s="91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</row>
    <row r="68" spans="1:25">
      <c r="A68" s="91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</row>
    <row r="69" spans="1:25">
      <c r="A69" s="91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</row>
    <row r="70" spans="1:25">
      <c r="A70" s="91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</row>
    <row r="71" spans="1:25">
      <c r="A71" s="91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</row>
    <row r="72" spans="1:25">
      <c r="A72" s="91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</row>
    <row r="73" spans="1:25">
      <c r="A73" s="91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</row>
    <row r="74" spans="1:25">
      <c r="A74" s="91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</row>
    <row r="75" spans="1:25">
      <c r="A75" s="91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</row>
    <row r="76" spans="1:25">
      <c r="A76" s="91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</row>
    <row r="77" spans="1:25">
      <c r="A77" s="91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</row>
    <row r="78" spans="1:25">
      <c r="A78" s="91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</row>
    <row r="79" spans="1:25">
      <c r="A79" s="91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</row>
    <row r="80" spans="1:25">
      <c r="A80" s="91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</row>
    <row r="81" spans="1:25">
      <c r="A81" s="91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</row>
    <row r="82" spans="1:25">
      <c r="A82" s="91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</row>
    <row r="83" spans="1:25">
      <c r="A83" s="91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</row>
    <row r="84" spans="1:25">
      <c r="A84" s="91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</row>
    <row r="85" spans="1:25">
      <c r="A85" s="91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</row>
    <row r="86" spans="1:25">
      <c r="A86" s="91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</row>
    <row r="87" spans="1:25">
      <c r="A87" s="91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</row>
    <row r="88" spans="1:25">
      <c r="A88" s="91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</row>
    <row r="89" spans="1:25">
      <c r="A89" s="91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</row>
    <row r="90" spans="1:25">
      <c r="A90" s="91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</row>
    <row r="91" spans="1:25">
      <c r="A91" s="91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</row>
    <row r="92" spans="1:25">
      <c r="A92" s="91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</row>
    <row r="93" spans="1:25">
      <c r="A93" s="91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</row>
    <row r="94" spans="1:25">
      <c r="A94" s="91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</row>
    <row r="95" spans="1:25">
      <c r="A95" s="91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</row>
    <row r="96" spans="1:25">
      <c r="A96" s="91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</row>
    <row r="97" spans="1:25">
      <c r="A97" s="91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</row>
    <row r="98" spans="1:25">
      <c r="A98" s="91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</row>
    <row r="99" spans="1:25">
      <c r="A99" s="91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</row>
    <row r="100" spans="1:25">
      <c r="A100" s="91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</row>
    <row r="101" spans="1:25">
      <c r="A101" s="91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</row>
    <row r="102" spans="1:25">
      <c r="A102" s="91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</row>
    <row r="103" spans="1:25">
      <c r="A103" s="91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</row>
    <row r="104" spans="1:25">
      <c r="A104" s="91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</row>
    <row r="105" spans="1:25">
      <c r="A105" s="91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</row>
    <row r="106" spans="1:25">
      <c r="A106" s="91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</row>
    <row r="107" spans="1:25">
      <c r="A107" s="91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</row>
    <row r="108" spans="1:25">
      <c r="A108" s="91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</row>
    <row r="109" spans="1:25">
      <c r="A109" s="91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</row>
    <row r="110" spans="1:25">
      <c r="A110" s="91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</row>
    <row r="111" spans="1:25">
      <c r="A111" s="91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</row>
    <row r="112" spans="1:25">
      <c r="A112" s="91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</row>
    <row r="113" spans="1:25">
      <c r="A113" s="91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</row>
    <row r="114" spans="1:25">
      <c r="A114" s="91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</row>
    <row r="115" spans="1:25">
      <c r="A115" s="91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</row>
    <row r="116" spans="1:25">
      <c r="A116" s="91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</row>
    <row r="117" spans="1:25">
      <c r="A117" s="91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</row>
    <row r="118" spans="1:25">
      <c r="A118" s="91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</row>
    <row r="119" spans="1:25">
      <c r="A119" s="91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</row>
    <row r="120" spans="1:25">
      <c r="A120" s="91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</row>
    <row r="121" spans="1:25">
      <c r="A121" s="91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</row>
    <row r="122" spans="1:25">
      <c r="A122" s="91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</row>
    <row r="123" spans="1:25">
      <c r="A123" s="91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</row>
    <row r="124" spans="1:25">
      <c r="A124" s="91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</row>
    <row r="125" spans="1:25">
      <c r="A125" s="91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</row>
    <row r="126" spans="1:25">
      <c r="A126" s="91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</row>
    <row r="127" spans="1:25">
      <c r="A127" s="91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</row>
    <row r="128" spans="1:25">
      <c r="A128" s="91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</row>
    <row r="129" spans="1:25">
      <c r="A129" s="91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</row>
    <row r="130" spans="1:25">
      <c r="A130" s="91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</row>
    <row r="131" spans="1:25">
      <c r="A131" s="91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</row>
    <row r="132" spans="1:25">
      <c r="A132" s="91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</row>
    <row r="133" spans="1:25">
      <c r="A133" s="91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</row>
    <row r="134" spans="1:25">
      <c r="A134" s="91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</row>
    <row r="135" spans="1:25">
      <c r="A135" s="91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</row>
    <row r="136" spans="1:25">
      <c r="A136" s="91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</row>
    <row r="137" spans="1:25">
      <c r="A137" s="91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</row>
    <row r="138" spans="1:25">
      <c r="A138" s="91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</row>
    <row r="139" spans="1:25">
      <c r="A139" s="91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</row>
    <row r="140" spans="1:25">
      <c r="A140" s="91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</row>
    <row r="141" spans="1:25">
      <c r="A141" s="91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</row>
    <row r="142" spans="1:25">
      <c r="A142" s="91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</row>
    <row r="143" spans="1:25">
      <c r="A143" s="91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</row>
    <row r="144" spans="1:25">
      <c r="A144" s="91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</row>
    <row r="145" spans="1:25">
      <c r="A145" s="91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</row>
    <row r="146" spans="1:25">
      <c r="A146" s="91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</row>
    <row r="147" spans="1:25">
      <c r="A147" s="91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</row>
    <row r="148" spans="1:25">
      <c r="A148" s="91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</row>
    <row r="149" spans="1:25">
      <c r="A149" s="91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</row>
    <row r="150" spans="1:25">
      <c r="A150" s="91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</row>
    <row r="151" spans="1:25">
      <c r="A151" s="91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</row>
    <row r="152" spans="1:25">
      <c r="A152" s="91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</row>
    <row r="153" spans="1:25">
      <c r="A153" s="91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</row>
    <row r="154" spans="1:25">
      <c r="A154" s="91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</row>
    <row r="155" spans="1:25">
      <c r="A155" s="91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</row>
    <row r="156" spans="1:25">
      <c r="A156" s="91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</row>
    <row r="157" spans="1:25">
      <c r="A157" s="91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</row>
    <row r="158" spans="1:25">
      <c r="A158" s="91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</row>
    <row r="159" spans="1:25">
      <c r="A159" s="91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</row>
    <row r="160" spans="1:25">
      <c r="A160" s="91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</row>
    <row r="161" spans="1:25">
      <c r="A161" s="91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</row>
    <row r="162" spans="1:25">
      <c r="A162" s="91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</row>
    <row r="163" spans="1:25">
      <c r="A163" s="91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</row>
    <row r="164" spans="1:25">
      <c r="A164" s="91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</row>
    <row r="165" spans="1:25">
      <c r="A165" s="91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</row>
    <row r="166" spans="1:25">
      <c r="A166" s="91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</row>
    <row r="167" spans="1:25">
      <c r="A167" s="91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</row>
    <row r="168" spans="1:25">
      <c r="A168" s="91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</row>
    <row r="169" spans="1:25">
      <c r="A169" s="91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</row>
    <row r="170" spans="1:25">
      <c r="A170" s="91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</row>
    <row r="171" spans="1:25">
      <c r="A171" s="91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</row>
    <row r="172" spans="1:25">
      <c r="A172" s="91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</row>
    <row r="173" spans="1:25">
      <c r="A173" s="91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</row>
    <row r="174" spans="1:25">
      <c r="A174" s="91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</row>
    <row r="175" spans="1:25">
      <c r="A175" s="91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</row>
    <row r="176" spans="1:25">
      <c r="A176" s="91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</row>
    <row r="177" spans="1:25">
      <c r="A177" s="91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</row>
    <row r="178" spans="1:25">
      <c r="A178" s="91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</row>
    <row r="179" spans="1:25">
      <c r="A179" s="91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</row>
    <row r="180" spans="1:25">
      <c r="A180" s="91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</row>
    <row r="181" spans="1:25">
      <c r="A181" s="91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</row>
    <row r="182" spans="1:25">
      <c r="A182" s="91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</row>
    <row r="183" spans="1:25">
      <c r="A183" s="91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</row>
    <row r="184" spans="1:25">
      <c r="A184" s="91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</row>
    <row r="185" spans="1:25">
      <c r="A185" s="91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</row>
    <row r="186" spans="1:25">
      <c r="A186" s="91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</row>
    <row r="187" spans="1:25">
      <c r="A187" s="91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</row>
    <row r="188" spans="1:25">
      <c r="A188" s="91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</row>
    <row r="189" spans="1:25">
      <c r="A189" s="91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</row>
    <row r="190" spans="1:25">
      <c r="A190" s="91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</row>
    <row r="191" spans="1:25">
      <c r="A191" s="91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</row>
    <row r="192" spans="1:25">
      <c r="A192" s="91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</row>
    <row r="193" spans="1:25">
      <c r="A193" s="91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</row>
    <row r="194" spans="1:25">
      <c r="A194" s="91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</row>
    <row r="195" spans="1:25">
      <c r="A195" s="91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</row>
    <row r="196" spans="1:25">
      <c r="A196" s="91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</row>
    <row r="197" spans="1:25">
      <c r="A197" s="91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</row>
    <row r="198" spans="1:25">
      <c r="A198" s="91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</row>
    <row r="199" spans="1:25">
      <c r="A199" s="91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</row>
    <row r="200" spans="1:25">
      <c r="A200" s="91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</row>
    <row r="201" spans="1:25">
      <c r="A201" s="91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</row>
    <row r="202" spans="1:25">
      <c r="A202" s="91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</row>
    <row r="203" spans="1:25">
      <c r="A203" s="91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</row>
    <row r="204" spans="1:25">
      <c r="A204" s="91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</row>
    <row r="205" spans="1:25">
      <c r="A205" s="91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</row>
    <row r="206" spans="1:25">
      <c r="A206" s="91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</row>
    <row r="207" spans="1:25">
      <c r="A207" s="91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</row>
    <row r="208" spans="1:25">
      <c r="A208" s="91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</row>
    <row r="209" spans="1:25">
      <c r="A209" s="91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</row>
    <row r="210" spans="1:25">
      <c r="A210" s="91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</row>
    <row r="211" spans="1:25">
      <c r="A211" s="91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</row>
    <row r="212" spans="1:25">
      <c r="A212" s="91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</row>
    <row r="213" spans="1:25">
      <c r="A213" s="91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</row>
    <row r="214" spans="1:25">
      <c r="A214" s="91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</row>
    <row r="215" spans="1:25">
      <c r="A215" s="91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</row>
    <row r="216" spans="1:25">
      <c r="A216" s="91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</row>
    <row r="217" spans="1:25">
      <c r="A217" s="91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</row>
    <row r="218" spans="1:25">
      <c r="A218" s="91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</row>
    <row r="219" spans="1:25">
      <c r="A219" s="91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</row>
    <row r="220" spans="1:25">
      <c r="A220" s="91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</row>
    <row r="221" spans="1:25">
      <c r="A221" s="91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</row>
    <row r="222" spans="1:25">
      <c r="A222" s="91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</row>
    <row r="223" spans="1:25">
      <c r="A223" s="91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</row>
    <row r="224" spans="1:25">
      <c r="A224" s="91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</row>
    <row r="225" spans="1:25">
      <c r="A225" s="91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</row>
    <row r="226" spans="1:25">
      <c r="A226" s="91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</row>
    <row r="227" spans="1:25">
      <c r="A227" s="91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</row>
    <row r="228" spans="1:25">
      <c r="A228" s="91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</row>
    <row r="229" spans="1:25">
      <c r="A229" s="91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</row>
    <row r="230" spans="1:25">
      <c r="A230" s="91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</row>
    <row r="231" spans="1:25">
      <c r="A231" s="91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</row>
    <row r="232" spans="1:25">
      <c r="A232" s="91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</row>
    <row r="233" spans="1:25">
      <c r="A233" s="91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</row>
    <row r="234" spans="1:25">
      <c r="A234" s="91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</row>
    <row r="235" spans="1:25">
      <c r="A235" s="91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</row>
    <row r="236" spans="1:25">
      <c r="A236" s="91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</row>
    <row r="237" spans="1:25">
      <c r="A237" s="91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</row>
    <row r="238" spans="1:25">
      <c r="A238" s="91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</row>
    <row r="239" spans="1:25">
      <c r="A239" s="91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</row>
    <row r="240" spans="1:25">
      <c r="A240" s="91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</row>
    <row r="241" spans="1:25">
      <c r="A241" s="91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</row>
    <row r="242" spans="1:25">
      <c r="A242" s="91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</row>
    <row r="243" spans="1:25">
      <c r="A243" s="91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</row>
    <row r="244" spans="1:25">
      <c r="A244" s="91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</row>
    <row r="245" spans="1:25">
      <c r="A245" s="91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</row>
    <row r="246" spans="1:25">
      <c r="A246" s="91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</row>
    <row r="247" spans="1:25">
      <c r="A247" s="91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</row>
    <row r="248" spans="1:25">
      <c r="A248" s="91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</row>
    <row r="249" spans="1:25">
      <c r="A249" s="91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</row>
    <row r="250" spans="1:25">
      <c r="A250" s="91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</row>
    <row r="251" spans="1:25">
      <c r="A251" s="91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</row>
    <row r="252" spans="1:25">
      <c r="A252" s="91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</row>
    <row r="253" spans="1:25">
      <c r="A253" s="91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</row>
    <row r="254" spans="1:25">
      <c r="A254" s="91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</row>
    <row r="255" spans="1:25">
      <c r="A255" s="91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</row>
    <row r="256" spans="1:25">
      <c r="A256" s="91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</row>
    <row r="257" spans="1:25">
      <c r="A257" s="91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</row>
    <row r="258" spans="1:25">
      <c r="A258" s="91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</row>
    <row r="259" spans="1:25">
      <c r="A259" s="91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</row>
    <row r="260" spans="1:25">
      <c r="A260" s="91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</row>
    <row r="261" spans="1:25">
      <c r="A261" s="91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</row>
    <row r="262" spans="1:25">
      <c r="A262" s="91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</row>
    <row r="263" spans="1:25">
      <c r="A263" s="91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</row>
    <row r="264" spans="1:25">
      <c r="A264" s="91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</row>
    <row r="265" spans="1:25">
      <c r="A265" s="91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</row>
    <row r="266" spans="1:25">
      <c r="A266" s="91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</row>
    <row r="267" spans="1:25">
      <c r="A267" s="91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</row>
    <row r="268" spans="1:25">
      <c r="A268" s="91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</row>
    <row r="269" spans="1:25">
      <c r="A269" s="91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</row>
    <row r="270" spans="1:25">
      <c r="A270" s="91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</row>
    <row r="271" spans="1:25">
      <c r="A271" s="91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</row>
    <row r="272" spans="1:25">
      <c r="A272" s="91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</row>
    <row r="273" spans="1:25">
      <c r="A273" s="91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</row>
    <row r="274" spans="1:25">
      <c r="A274" s="91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</row>
    <row r="275" spans="1:25">
      <c r="A275" s="91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</row>
    <row r="276" spans="1:25">
      <c r="A276" s="91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</row>
    <row r="277" spans="1:25">
      <c r="A277" s="91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</row>
    <row r="278" spans="1:25">
      <c r="A278" s="91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</row>
    <row r="279" spans="1:25">
      <c r="A279" s="91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spans="1:25">
      <c r="A280" s="91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spans="1:25">
      <c r="A281" s="91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spans="1:25">
      <c r="A282" s="91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spans="1:25">
      <c r="A283" s="91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spans="1:25">
      <c r="A284" s="91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spans="1:25">
      <c r="A285" s="91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spans="1:25">
      <c r="A286" s="91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spans="1:25">
      <c r="A287" s="91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spans="1:25">
      <c r="A288" s="91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spans="1:25">
      <c r="A289" s="91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spans="1:25">
      <c r="A290" s="91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spans="1:25">
      <c r="A291" s="91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spans="1:25">
      <c r="A292" s="91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spans="1:25">
      <c r="A293" s="91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spans="1:25">
      <c r="A294" s="91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spans="1:25">
      <c r="A295" s="91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spans="1:25">
      <c r="A296" s="91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spans="1:25">
      <c r="A297" s="91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spans="1:25">
      <c r="A298" s="91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spans="1:25">
      <c r="A299" s="91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spans="1:25">
      <c r="A300" s="91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spans="1:25">
      <c r="A301" s="91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spans="1:25">
      <c r="A302" s="91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spans="1:25">
      <c r="A303" s="91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spans="1:25">
      <c r="A304" s="91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spans="1:25">
      <c r="A305" s="91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spans="1:25">
      <c r="A306" s="91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spans="1:25">
      <c r="A307" s="91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spans="1:25">
      <c r="A308" s="91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spans="1:25">
      <c r="A309" s="91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spans="1:25">
      <c r="A310" s="91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spans="1:25">
      <c r="A311" s="91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spans="1:25">
      <c r="A312" s="91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spans="1:25">
      <c r="A313" s="91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spans="1:25">
      <c r="A314" s="91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spans="1:25">
      <c r="A315" s="91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spans="1:25">
      <c r="A316" s="91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spans="1:25">
      <c r="A317" s="91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spans="1:25">
      <c r="A318" s="91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spans="1:25">
      <c r="A319" s="91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spans="1:25">
      <c r="A320" s="91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spans="1:25">
      <c r="A321" s="91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spans="1:25">
      <c r="A322" s="91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spans="1:25">
      <c r="A323" s="91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spans="1:25">
      <c r="A324" s="91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spans="1:25">
      <c r="A325" s="91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spans="1:25">
      <c r="A326" s="91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spans="1:25">
      <c r="A327" s="91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spans="1:25">
      <c r="A328" s="91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spans="1:25">
      <c r="A329" s="91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spans="1:25">
      <c r="A330" s="91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spans="1:25">
      <c r="A331" s="91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spans="1:25">
      <c r="A332" s="91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spans="1:25">
      <c r="A333" s="91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spans="1:25">
      <c r="A334" s="91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spans="1:25">
      <c r="A335" s="91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spans="1:25">
      <c r="A336" s="91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spans="1:25">
      <c r="A337" s="91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spans="1:25">
      <c r="A338" s="91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spans="1:25">
      <c r="A339" s="91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spans="1:25">
      <c r="A340" s="91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spans="1:25">
      <c r="A341" s="91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spans="1:25">
      <c r="A342" s="91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spans="1:25">
      <c r="A343" s="91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spans="1:25">
      <c r="A344" s="91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spans="1:25">
      <c r="A345" s="91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spans="1:25">
      <c r="A346" s="91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spans="1:25">
      <c r="A347" s="91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spans="1:25">
      <c r="A348" s="91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spans="1:25">
      <c r="A349" s="91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spans="1:25">
      <c r="A350" s="91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spans="1:25">
      <c r="A351" s="91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spans="1:25">
      <c r="A352" s="91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spans="1:25">
      <c r="A353" s="91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spans="1:25">
      <c r="A354" s="91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spans="1:25">
      <c r="A355" s="91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spans="1:25">
      <c r="A356" s="91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spans="1:25">
      <c r="A357" s="91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spans="1:25">
      <c r="A358" s="91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spans="1:25">
      <c r="A359" s="91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spans="1:25">
      <c r="A360" s="91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spans="1:25">
      <c r="A361" s="91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spans="1:25">
      <c r="A362" s="91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spans="1:25">
      <c r="A363" s="91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spans="1:25">
      <c r="A364" s="91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spans="1:25">
      <c r="A365" s="91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spans="1:25">
      <c r="A366" s="91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spans="1:25">
      <c r="A367" s="91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spans="1:25">
      <c r="A368" s="91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spans="1:25">
      <c r="A369" s="91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spans="1:25">
      <c r="A370" s="91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spans="1:25">
      <c r="A371" s="91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spans="1:25">
      <c r="A372" s="91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spans="1:25">
      <c r="A373" s="91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spans="1:25">
      <c r="A374" s="91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spans="1:25">
      <c r="A375" s="91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spans="1:25">
      <c r="A376" s="91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spans="1:25">
      <c r="A377" s="91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spans="1:25">
      <c r="A378" s="91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spans="1:25">
      <c r="A379" s="91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spans="1:25">
      <c r="A380" s="91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spans="1:25">
      <c r="A381" s="91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spans="1:25">
      <c r="A382" s="91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spans="1:25">
      <c r="A383" s="91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spans="1:25">
      <c r="A384" s="91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spans="1:25">
      <c r="A385" s="91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spans="1:25">
      <c r="A386" s="91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spans="1:25">
      <c r="A387" s="91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spans="1:25">
      <c r="A388" s="91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spans="1:25">
      <c r="A389" s="91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spans="1:25">
      <c r="A390" s="91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spans="1:25">
      <c r="A391" s="91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spans="1:25">
      <c r="A392" s="91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spans="1:25">
      <c r="A393" s="91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spans="1:25">
      <c r="A394" s="91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spans="1:25">
      <c r="A395" s="91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spans="1:25">
      <c r="A396" s="91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spans="1:25">
      <c r="A397" s="91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spans="1:25">
      <c r="A398" s="91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spans="1:25">
      <c r="A399" s="91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spans="1:25">
      <c r="A400" s="91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spans="1:25">
      <c r="A401" s="91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spans="1:25">
      <c r="A402" s="91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spans="1:25">
      <c r="A403" s="91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spans="1:25">
      <c r="A404" s="91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spans="1:25">
      <c r="A405" s="91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spans="1:25">
      <c r="A406" s="91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spans="1:25">
      <c r="A407" s="91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spans="1:25">
      <c r="A408" s="91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spans="1:25">
      <c r="A409" s="91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spans="1:25">
      <c r="A410" s="91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spans="1:25">
      <c r="A411" s="91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spans="1:25">
      <c r="A412" s="91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spans="1:25">
      <c r="A413" s="91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spans="1:25">
      <c r="A414" s="91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spans="1:25">
      <c r="A415" s="91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spans="1:25">
      <c r="A416" s="91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spans="1:25">
      <c r="A417" s="91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spans="1:25">
      <c r="A418" s="91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spans="1:25">
      <c r="A419" s="91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spans="1:25">
      <c r="A420" s="91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spans="1:25">
      <c r="A421" s="91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spans="1:25">
      <c r="A422" s="91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spans="1:25">
      <c r="A423" s="91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spans="1:25">
      <c r="A424" s="91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spans="1:25">
      <c r="A425" s="91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spans="1:25">
      <c r="A426" s="91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spans="1:25">
      <c r="A427" s="91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spans="1:25">
      <c r="A428" s="91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spans="1:25">
      <c r="A429" s="91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spans="1:25">
      <c r="A430" s="91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spans="1:25">
      <c r="A431" s="91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spans="1:25">
      <c r="A432" s="91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spans="1:25">
      <c r="A433" s="91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spans="1:25">
      <c r="A434" s="91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spans="1:25">
      <c r="A435" s="91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spans="1:25">
      <c r="A436" s="91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spans="1:25">
      <c r="A437" s="91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spans="1:25">
      <c r="A438" s="91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spans="1:25">
      <c r="A439" s="91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spans="1:25">
      <c r="A440" s="91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spans="1:25">
      <c r="A441" s="91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spans="1:25">
      <c r="A442" s="91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spans="1:25">
      <c r="A443" s="91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spans="1:25">
      <c r="A444" s="91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spans="1:25">
      <c r="A445" s="91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spans="1:25">
      <c r="A446" s="91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spans="1:25">
      <c r="A447" s="91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spans="1:25">
      <c r="A448" s="91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spans="1:25">
      <c r="A449" s="91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spans="1:25">
      <c r="A450" s="91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spans="1:25">
      <c r="A451" s="91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spans="1:25">
      <c r="A452" s="91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spans="1:25">
      <c r="A453" s="91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spans="1:25">
      <c r="A454" s="91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spans="1:25">
      <c r="A455" s="91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spans="1:25">
      <c r="A456" s="91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spans="1:25">
      <c r="A457" s="91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spans="1:25">
      <c r="A458" s="91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spans="1:25">
      <c r="A459" s="91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spans="1:25">
      <c r="A460" s="91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spans="1:25">
      <c r="A461" s="91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spans="1:25">
      <c r="A462" s="91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spans="1:25">
      <c r="A463" s="91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spans="1:25">
      <c r="A464" s="91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spans="1:25">
      <c r="A465" s="91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spans="1:25">
      <c r="A466" s="91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spans="1:25">
      <c r="A467" s="91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spans="1:25">
      <c r="A468" s="91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spans="1:25">
      <c r="A469" s="91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spans="1:25">
      <c r="A470" s="91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spans="1:25">
      <c r="A471" s="91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spans="1:25">
      <c r="A472" s="91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spans="1:25">
      <c r="A473" s="91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spans="1:25">
      <c r="A474" s="91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spans="1:25">
      <c r="A475" s="91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spans="1:25">
      <c r="A476" s="91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spans="1:25">
      <c r="A477" s="91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spans="1:25">
      <c r="A478" s="91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spans="1:25">
      <c r="A479" s="91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spans="1:25">
      <c r="A480" s="91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spans="1:25">
      <c r="A481" s="91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spans="1:25">
      <c r="A482" s="91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spans="1:25">
      <c r="A483" s="91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spans="1:25">
      <c r="A484" s="91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spans="1:25">
      <c r="A485" s="91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spans="1:25">
      <c r="A486" s="91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spans="1:25">
      <c r="A487" s="91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spans="1:25">
      <c r="A488" s="91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spans="1:25">
      <c r="A489" s="91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spans="1:25">
      <c r="A490" s="91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spans="1:25">
      <c r="A491" s="91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spans="1:25">
      <c r="A492" s="91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spans="1:25">
      <c r="A493" s="91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spans="1:25">
      <c r="A494" s="91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spans="1:25">
      <c r="A495" s="91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spans="1:25">
      <c r="A496" s="91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spans="1:25">
      <c r="A497" s="91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spans="1:25">
      <c r="A498" s="91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spans="1:25">
      <c r="A499" s="91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spans="1:25">
      <c r="A500" s="91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spans="1:25">
      <c r="A501" s="91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spans="1:25">
      <c r="A502" s="91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spans="1:25">
      <c r="A503" s="91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spans="1:25">
      <c r="A504" s="91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spans="1:25">
      <c r="A505" s="91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spans="1:25">
      <c r="A506" s="91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spans="1:25">
      <c r="A507" s="91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spans="1:25">
      <c r="A508" s="91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spans="1:25">
      <c r="A509" s="91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spans="1:25">
      <c r="A510" s="91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spans="1:25">
      <c r="A511" s="91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spans="1:25">
      <c r="A512" s="91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spans="1:25">
      <c r="A513" s="91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spans="1:25">
      <c r="A514" s="91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spans="1:25">
      <c r="A515" s="91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spans="1:25">
      <c r="A516" s="91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spans="1:25">
      <c r="A517" s="91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spans="1:25">
      <c r="A518" s="91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spans="1:25">
      <c r="A519" s="91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spans="1:25">
      <c r="A520" s="91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spans="1:25">
      <c r="A521" s="91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spans="1:25">
      <c r="A522" s="91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spans="1:25">
      <c r="A523" s="91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spans="1:25">
      <c r="A524" s="91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spans="1:25">
      <c r="A525" s="91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spans="1:25">
      <c r="A526" s="91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spans="1:25">
      <c r="A527" s="91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spans="1:25">
      <c r="A528" s="91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spans="1:25">
      <c r="A529" s="91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spans="1:25">
      <c r="A530" s="91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spans="1:25">
      <c r="A531" s="91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spans="1:25">
      <c r="A532" s="91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spans="1:25">
      <c r="A533" s="91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spans="1:25">
      <c r="A534" s="91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spans="1:25">
      <c r="A535" s="91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spans="1:25">
      <c r="A536" s="91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spans="1:25">
      <c r="A537" s="91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spans="1:25">
      <c r="A538" s="91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spans="1:25">
      <c r="A539" s="91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spans="1:25">
      <c r="A540" s="91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spans="1:25">
      <c r="A541" s="91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spans="1:25">
      <c r="A542" s="91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spans="1:25">
      <c r="A543" s="91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spans="1:25">
      <c r="A544" s="91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spans="1:25">
      <c r="A545" s="91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spans="1:25">
      <c r="A546" s="91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spans="1:25">
      <c r="A547" s="91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spans="1:25">
      <c r="A548" s="91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spans="1:25">
      <c r="A549" s="91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spans="1:25">
      <c r="A550" s="91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spans="1:25">
      <c r="A551" s="91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spans="1:25">
      <c r="A552" s="91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spans="1:25">
      <c r="A553" s="91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spans="1:25">
      <c r="A554" s="91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spans="1:25">
      <c r="A555" s="91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spans="1:25">
      <c r="A556" s="91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spans="1:25">
      <c r="A557" s="91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spans="1:25">
      <c r="A558" s="91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spans="1:25">
      <c r="A559" s="91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spans="1:25">
      <c r="A560" s="91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spans="1:25">
      <c r="A561" s="91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spans="1:25">
      <c r="A562" s="91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spans="1:25">
      <c r="A563" s="91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spans="1:25">
      <c r="A564" s="91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spans="1:25">
      <c r="A565" s="91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spans="1:25">
      <c r="A566" s="91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spans="1:25">
      <c r="A567" s="91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spans="1:25">
      <c r="A568" s="91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spans="1:25">
      <c r="A569" s="91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spans="1:25">
      <c r="A570" s="91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spans="1:25">
      <c r="A571" s="91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spans="1:25">
      <c r="A572" s="91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spans="1:25">
      <c r="A573" s="91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spans="1:25">
      <c r="A574" s="91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spans="1:25">
      <c r="A575" s="91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spans="1:25">
      <c r="A576" s="91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spans="1:25">
      <c r="A577" s="91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spans="1:25">
      <c r="A578" s="91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spans="1:25">
      <c r="A579" s="91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spans="1:25">
      <c r="A580" s="91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spans="1:25">
      <c r="A581" s="91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spans="1:25">
      <c r="A582" s="91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spans="1:25">
      <c r="A583" s="91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spans="1:25">
      <c r="A584" s="91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spans="1:25">
      <c r="A585" s="91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spans="1:25">
      <c r="A586" s="91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spans="1:25">
      <c r="A587" s="91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spans="1:25">
      <c r="A588" s="91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spans="1:25">
      <c r="A589" s="91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spans="1:25">
      <c r="A590" s="91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spans="1:25">
      <c r="A591" s="91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spans="1:25">
      <c r="A592" s="91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spans="1:25">
      <c r="A593" s="91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spans="1:25">
      <c r="A594" s="91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spans="1:25">
      <c r="A595" s="91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spans="1:25">
      <c r="A596" s="91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spans="1:25">
      <c r="A597" s="91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spans="1:25">
      <c r="A598" s="91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spans="1:25">
      <c r="A599" s="91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spans="1:25">
      <c r="A600" s="91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spans="1:25">
      <c r="A601" s="91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spans="1:25">
      <c r="A602" s="91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spans="1:25">
      <c r="A603" s="91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spans="1:25">
      <c r="A604" s="91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spans="1:25">
      <c r="A605" s="91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spans="1:25">
      <c r="A606" s="91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spans="1:25">
      <c r="A607" s="91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spans="1:25">
      <c r="A608" s="91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spans="1:25">
      <c r="A609" s="91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spans="1:25">
      <c r="A610" s="91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spans="1:25">
      <c r="A611" s="91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spans="1:25">
      <c r="A612" s="91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spans="1:25">
      <c r="A613" s="91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spans="1:25">
      <c r="A614" s="91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spans="1:25">
      <c r="A615" s="91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spans="1:25">
      <c r="A616" s="91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spans="1:25">
      <c r="A617" s="91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spans="1:25">
      <c r="A618" s="91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spans="1:25">
      <c r="A619" s="91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spans="1:25">
      <c r="A620" s="91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spans="1:25">
      <c r="A621" s="91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spans="1:25">
      <c r="A622" s="91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spans="1:25">
      <c r="A623" s="91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spans="1:25">
      <c r="A624" s="91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spans="1:25">
      <c r="A625" s="91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spans="1:25">
      <c r="A626" s="91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spans="1:25">
      <c r="A627" s="91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spans="1:25">
      <c r="A628" s="91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spans="1:25">
      <c r="A629" s="91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spans="1:25">
      <c r="A630" s="91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spans="1:25">
      <c r="A631" s="91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spans="1:25">
      <c r="A632" s="91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spans="1:25">
      <c r="A633" s="91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spans="1:25">
      <c r="A634" s="91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spans="1:25">
      <c r="A635" s="91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spans="1:25">
      <c r="A636" s="91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spans="1:25">
      <c r="A637" s="91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spans="1:25">
      <c r="A638" s="91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spans="1:25">
      <c r="A639" s="91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spans="1:25">
      <c r="A640" s="91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spans="1:25">
      <c r="A641" s="91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spans="1:25">
      <c r="A642" s="91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spans="1:25">
      <c r="A643" s="91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spans="1:25">
      <c r="A644" s="91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spans="1:25">
      <c r="A645" s="91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spans="1:25">
      <c r="A646" s="91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spans="1:25">
      <c r="A647" s="91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spans="1:25">
      <c r="A648" s="91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spans="1:25">
      <c r="A649" s="91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spans="1:25">
      <c r="A650" s="91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spans="1:25">
      <c r="A651" s="91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spans="1:25">
      <c r="A652" s="91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spans="1:25">
      <c r="A653" s="91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spans="1:25">
      <c r="A654" s="91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spans="1:25">
      <c r="A655" s="91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spans="1:25">
      <c r="A656" s="91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spans="1:25">
      <c r="A657" s="91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spans="1:25">
      <c r="A658" s="91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spans="1:25">
      <c r="A659" s="91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spans="1:25">
      <c r="A660" s="91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spans="1:25">
      <c r="A661" s="91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spans="1:25">
      <c r="A662" s="91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spans="1:25">
      <c r="A663" s="91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spans="1:25">
      <c r="A664" s="91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spans="1:25">
      <c r="A665" s="91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spans="1:25">
      <c r="A666" s="91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spans="1:25">
      <c r="A667" s="91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spans="1:25">
      <c r="A668" s="91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spans="1:25">
      <c r="A669" s="91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spans="1:25">
      <c r="A670" s="91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spans="1:25">
      <c r="A671" s="91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spans="1:25">
      <c r="A672" s="91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spans="1:25">
      <c r="A673" s="91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spans="1:25">
      <c r="A674" s="91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spans="1:25">
      <c r="A675" s="91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spans="1:25">
      <c r="A676" s="91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spans="1:25">
      <c r="A677" s="91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spans="1:25">
      <c r="A678" s="91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spans="1:25">
      <c r="A679" s="91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spans="1:25">
      <c r="A680" s="91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spans="1:25">
      <c r="A681" s="91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spans="1:25">
      <c r="A682" s="91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spans="1:25">
      <c r="A683" s="91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spans="1:25">
      <c r="A684" s="91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spans="1:25">
      <c r="A685" s="91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spans="1:25">
      <c r="A686" s="91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spans="1:25">
      <c r="A687" s="91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spans="1:25">
      <c r="A688" s="91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spans="1:25">
      <c r="A689" s="91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spans="1:25">
      <c r="A690" s="91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spans="1:25">
      <c r="A691" s="91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spans="1:25">
      <c r="A692" s="91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spans="1:25">
      <c r="A693" s="91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spans="1:25">
      <c r="A694" s="91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spans="1:25">
      <c r="A695" s="91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spans="1:25">
      <c r="A696" s="91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spans="1:25">
      <c r="A697" s="91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spans="1:25">
      <c r="A698" s="91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spans="1:25">
      <c r="A699" s="91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spans="1:25">
      <c r="A700" s="91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spans="1:25">
      <c r="A701" s="91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spans="1:25">
      <c r="A702" s="91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spans="1:25">
      <c r="A703" s="91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spans="1:25">
      <c r="A704" s="91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spans="1:25">
      <c r="A705" s="91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spans="1:25">
      <c r="A706" s="91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spans="1:25">
      <c r="A707" s="91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spans="1:25">
      <c r="A708" s="91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spans="1:25">
      <c r="A709" s="91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spans="1:25">
      <c r="A710" s="91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spans="1:25">
      <c r="A711" s="91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spans="1:25">
      <c r="A712" s="91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spans="1:25">
      <c r="A713" s="91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spans="1:25">
      <c r="A714" s="91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spans="1:25">
      <c r="A715" s="91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spans="1:25">
      <c r="A716" s="91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spans="1:25">
      <c r="A717" s="91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spans="1:25">
      <c r="A718" s="91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spans="1:25">
      <c r="A719" s="91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spans="1:25">
      <c r="A720" s="91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spans="1:25">
      <c r="A721" s="91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spans="1:25">
      <c r="A722" s="91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spans="1:25">
      <c r="A723" s="91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spans="1:25">
      <c r="A724" s="91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spans="1:25">
      <c r="A725" s="91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spans="1:25">
      <c r="A726" s="91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spans="1:25">
      <c r="A727" s="91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spans="1:25">
      <c r="A728" s="91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spans="1:25">
      <c r="A729" s="91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spans="1:25">
      <c r="A730" s="91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spans="1:25">
      <c r="A731" s="91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spans="1:25">
      <c r="A732" s="91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spans="1:25">
      <c r="A733" s="91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spans="1:25">
      <c r="A734" s="91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spans="1:25">
      <c r="A735" s="91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spans="1:25">
      <c r="A736" s="91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spans="1:25">
      <c r="A737" s="91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spans="1:25">
      <c r="A738" s="91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spans="1:25">
      <c r="A739" s="91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spans="1:25">
      <c r="A740" s="91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spans="1:25">
      <c r="A741" s="91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spans="1:25">
      <c r="A742" s="91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spans="1:25">
      <c r="A743" s="91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spans="1:25">
      <c r="A744" s="91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spans="1:25">
      <c r="A745" s="91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spans="1:25">
      <c r="A746" s="91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spans="1:25">
      <c r="A747" s="91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spans="1:25">
      <c r="A748" s="91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spans="1:25">
      <c r="A749" s="91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spans="1:25">
      <c r="A750" s="91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spans="1:25">
      <c r="A751" s="91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spans="1:25">
      <c r="A752" s="91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spans="1:25">
      <c r="A753" s="91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spans="1:25">
      <c r="A754" s="91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spans="1:25">
      <c r="A755" s="91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spans="1:25">
      <c r="A756" s="91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spans="1:25">
      <c r="A757" s="91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spans="1:25">
      <c r="A758" s="91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spans="1:25">
      <c r="A759" s="91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spans="1:25">
      <c r="A760" s="91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spans="1:25">
      <c r="A761" s="91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spans="1:25">
      <c r="A762" s="91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spans="1:25">
      <c r="A763" s="91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spans="1:25">
      <c r="A764" s="91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spans="1:25">
      <c r="A765" s="91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spans="1:25">
      <c r="A766" s="91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spans="1:25">
      <c r="A767" s="91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spans="1:25">
      <c r="A768" s="91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spans="1:25">
      <c r="A769" s="91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spans="1:25">
      <c r="A770" s="91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spans="1:25">
      <c r="A771" s="91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spans="1:25">
      <c r="A772" s="91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spans="1:25">
      <c r="A773" s="91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spans="1:25">
      <c r="A774" s="91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spans="1:25">
      <c r="A775" s="91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spans="1:25">
      <c r="A776" s="91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spans="1:25">
      <c r="A777" s="91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spans="1:25">
      <c r="A778" s="91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spans="1:25">
      <c r="A779" s="91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spans="1:25">
      <c r="A780" s="91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spans="1:25">
      <c r="A781" s="91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spans="1:25">
      <c r="A782" s="91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spans="1:25">
      <c r="A783" s="91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spans="1:25">
      <c r="A784" s="91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spans="1:25">
      <c r="A785" s="91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spans="1:25">
      <c r="A786" s="91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spans="1:25">
      <c r="A787" s="91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spans="1:25">
      <c r="A788" s="91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spans="1:25">
      <c r="A789" s="91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spans="1:25">
      <c r="A790" s="91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spans="1:25">
      <c r="A791" s="91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spans="1:25">
      <c r="A792" s="91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spans="1:25">
      <c r="A793" s="91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spans="1:25">
      <c r="A794" s="91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spans="1:25">
      <c r="A795" s="91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spans="1:25">
      <c r="A796" s="91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spans="1:25">
      <c r="A797" s="91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spans="1:25">
      <c r="A798" s="91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spans="1:25">
      <c r="A799" s="91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spans="1:25">
      <c r="A800" s="91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spans="1:25">
      <c r="A801" s="91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spans="1:25">
      <c r="A802" s="91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spans="1:25">
      <c r="A803" s="91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spans="1:25">
      <c r="A804" s="91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spans="1:25">
      <c r="A805" s="91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spans="1:25">
      <c r="A806" s="91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spans="1:25">
      <c r="A807" s="91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spans="1:25">
      <c r="A808" s="91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spans="1:25">
      <c r="A809" s="91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spans="1:25">
      <c r="A810" s="91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spans="1:25">
      <c r="A811" s="91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spans="1:25">
      <c r="A812" s="91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spans="1:25">
      <c r="A813" s="91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spans="1:25">
      <c r="A814" s="91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spans="1:25">
      <c r="A815" s="91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spans="1:25">
      <c r="A816" s="91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spans="1:25">
      <c r="A817" s="91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spans="1:25">
      <c r="A818" s="91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spans="1:25">
      <c r="A819" s="91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spans="1:25">
      <c r="A820" s="91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spans="1:25">
      <c r="A821" s="91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spans="1:25">
      <c r="A822" s="91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spans="1:25">
      <c r="A823" s="91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spans="1:25">
      <c r="A824" s="91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spans="1:25">
      <c r="A825" s="91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spans="1:25">
      <c r="A826" s="91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spans="1:25">
      <c r="A827" s="91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spans="1:25">
      <c r="A828" s="91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spans="1:25">
      <c r="A829" s="91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spans="1:25">
      <c r="A830" s="91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spans="1:25">
      <c r="A831" s="91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spans="1:25">
      <c r="A832" s="91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spans="1:25">
      <c r="A833" s="91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spans="1:25">
      <c r="A834" s="91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spans="1:25">
      <c r="A835" s="91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spans="1:25">
      <c r="A836" s="91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spans="1:25">
      <c r="A837" s="91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spans="1:25">
      <c r="A838" s="91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spans="1:25">
      <c r="A839" s="91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spans="1:25">
      <c r="A840" s="91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spans="1:25">
      <c r="A841" s="91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spans="1:25">
      <c r="A842" s="91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spans="1:25">
      <c r="A843" s="91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spans="1:25">
      <c r="A844" s="91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spans="1:25">
      <c r="A845" s="91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spans="1:25">
      <c r="A846" s="91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spans="1:25">
      <c r="A847" s="91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spans="1:25">
      <c r="A848" s="91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spans="1:25">
      <c r="A849" s="91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spans="1:25">
      <c r="A850" s="91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spans="1:25">
      <c r="A851" s="91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spans="1:25">
      <c r="A852" s="91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spans="1:25">
      <c r="A853" s="91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spans="1:25">
      <c r="A854" s="91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spans="1:25">
      <c r="A855" s="91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spans="1:25">
      <c r="A856" s="91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spans="1:25">
      <c r="A857" s="91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spans="1:25">
      <c r="A858" s="91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spans="1:25">
      <c r="A859" s="91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spans="1:25">
      <c r="A860" s="91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spans="1:25">
      <c r="A861" s="91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spans="1:25">
      <c r="A862" s="91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spans="1:25">
      <c r="A863" s="91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spans="1:25">
      <c r="A864" s="91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spans="1:25">
      <c r="A865" s="91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spans="1:25">
      <c r="A866" s="91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spans="1:25">
      <c r="A867" s="91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spans="1:25">
      <c r="A868" s="91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spans="1:25">
      <c r="A869" s="91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spans="1:25">
      <c r="A870" s="91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spans="1:25">
      <c r="A871" s="91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spans="1:25">
      <c r="A872" s="91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spans="1:25">
      <c r="A873" s="91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spans="1:25">
      <c r="A874" s="91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spans="1:25">
      <c r="A875" s="91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spans="1:25">
      <c r="A876" s="91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spans="1:25">
      <c r="A877" s="91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spans="1:25">
      <c r="A878" s="91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spans="1:25">
      <c r="A879" s="91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spans="1:25">
      <c r="A880" s="91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spans="1:25">
      <c r="A881" s="91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spans="1:25">
      <c r="A882" s="91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spans="1:25">
      <c r="A883" s="91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spans="1:25">
      <c r="A884" s="91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spans="1:25">
      <c r="A885" s="91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spans="1:25">
      <c r="A886" s="91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spans="1:25">
      <c r="A887" s="91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spans="1:25">
      <c r="A888" s="91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spans="1:25">
      <c r="A889" s="91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spans="1:25">
      <c r="A890" s="91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spans="1:25">
      <c r="A891" s="91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spans="1:25">
      <c r="A892" s="91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spans="1:25">
      <c r="A893" s="91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spans="1:25">
      <c r="A894" s="91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spans="1:25">
      <c r="A895" s="91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spans="1:25">
      <c r="A896" s="91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spans="1:25">
      <c r="A897" s="91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spans="1:25">
      <c r="A898" s="91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spans="1:25">
      <c r="A899" s="91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spans="1:25">
      <c r="A900" s="91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spans="1:25">
      <c r="A901" s="91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spans="1:25">
      <c r="A902" s="91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spans="1:25">
      <c r="A903" s="91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spans="1:25">
      <c r="A904" s="91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spans="1:25">
      <c r="A905" s="91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spans="1:25">
      <c r="A906" s="91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spans="1:25">
      <c r="A907" s="91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spans="1:25">
      <c r="A908" s="91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spans="1:25">
      <c r="A909" s="91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spans="1:25">
      <c r="A910" s="91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spans="1:25">
      <c r="A911" s="91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spans="1:25">
      <c r="A912" s="91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spans="1:25">
      <c r="A913" s="91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spans="1:25">
      <c r="A914" s="91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spans="1:25">
      <c r="A915" s="91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spans="1:25">
      <c r="A916" s="91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spans="1:25">
      <c r="A917" s="91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spans="1:25">
      <c r="A918" s="91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spans="1:25">
      <c r="A919" s="91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spans="1:25">
      <c r="A920" s="91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spans="1:25">
      <c r="A921" s="91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spans="1:25">
      <c r="A922" s="91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spans="1:25">
      <c r="A923" s="91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spans="1:25">
      <c r="A924" s="91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spans="1:25">
      <c r="A925" s="91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spans="1:25">
      <c r="A926" s="91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spans="1:25">
      <c r="A927" s="91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spans="1:25">
      <c r="A928" s="91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spans="1:25">
      <c r="A929" s="91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spans="1:25">
      <c r="A930" s="91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spans="1:25">
      <c r="A931" s="91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spans="1:25">
      <c r="A932" s="91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spans="1:25">
      <c r="A933" s="91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spans="1:25">
      <c r="A934" s="91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spans="1:25">
      <c r="A935" s="91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spans="1:25">
      <c r="A936" s="91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spans="1:25">
      <c r="A937" s="91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spans="1:25">
      <c r="A938" s="91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spans="1:25">
      <c r="A939" s="91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spans="1:25">
      <c r="A940" s="91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spans="1:25">
      <c r="A941" s="91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spans="1:25">
      <c r="A942" s="91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spans="1:25">
      <c r="A943" s="91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spans="1:25">
      <c r="A944" s="91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spans="1:25">
      <c r="A945" s="91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spans="1:25">
      <c r="A946" s="91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spans="1:25">
      <c r="A947" s="91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spans="1:25">
      <c r="A948" s="91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spans="1:25">
      <c r="A949" s="91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spans="1:25">
      <c r="A950" s="91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spans="1:25">
      <c r="A951" s="91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spans="1:25">
      <c r="A952" s="91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spans="1:25">
      <c r="A953" s="91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spans="1:25">
      <c r="A954" s="91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spans="1:25">
      <c r="A955" s="91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spans="1:25">
      <c r="A956" s="91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spans="1:25">
      <c r="A957" s="91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spans="1:25">
      <c r="A958" s="91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spans="1:25">
      <c r="A959" s="91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spans="1:25">
      <c r="A960" s="91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spans="1:25">
      <c r="A961" s="91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spans="1:25">
      <c r="A962" s="91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spans="1:25">
      <c r="A963" s="91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spans="1:25">
      <c r="A964" s="91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spans="1:25">
      <c r="A965" s="91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spans="1:25">
      <c r="A966" s="91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spans="1:25">
      <c r="A967" s="91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spans="1:25">
      <c r="A968" s="91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spans="1:25">
      <c r="A969" s="91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spans="1:25">
      <c r="A970" s="91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spans="1:25">
      <c r="A971" s="91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spans="1:25">
      <c r="A972" s="91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spans="1:25">
      <c r="A973" s="91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spans="1:25">
      <c r="A974" s="91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spans="1:25">
      <c r="A975" s="91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spans="1:25">
      <c r="A976" s="91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spans="1:25">
      <c r="A977" s="91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spans="1:25">
      <c r="A978" s="91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spans="1:25">
      <c r="A979" s="91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spans="1:25">
      <c r="A980" s="91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spans="1:25">
      <c r="A981" s="91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spans="1:25">
      <c r="A982" s="91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spans="1:25">
      <c r="A983" s="91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spans="1:25">
      <c r="A984" s="91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spans="1:25">
      <c r="A985" s="91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spans="1:25">
      <c r="A986" s="91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spans="1:25">
      <c r="A987" s="91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spans="1:25">
      <c r="A988" s="91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spans="1:25">
      <c r="A989" s="91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spans="1:25">
      <c r="A990" s="91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spans="1:25">
      <c r="A991" s="91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spans="1:25">
      <c r="A992" s="91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spans="1:25">
      <c r="A993" s="91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spans="1:25">
      <c r="A994" s="91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spans="1:25">
      <c r="A995" s="91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spans="1:25">
      <c r="A996" s="91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spans="1:25">
      <c r="A997" s="91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spans="1:25">
      <c r="A998" s="91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spans="1:25">
      <c r="A999" s="91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spans="1:25">
      <c r="A1000" s="91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spans="1:25">
      <c r="A1001" s="91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spans="1:25">
      <c r="A1002" s="91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spans="1:25">
      <c r="A1003" s="91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spans="1:25">
      <c r="A1004" s="91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spans="1:25">
      <c r="A1005" s="91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spans="1:25">
      <c r="A1006" s="91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spans="1:25">
      <c r="A1007" s="91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spans="1:25">
      <c r="A1008" s="91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spans="1:25">
      <c r="A1009" s="91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spans="1:25">
      <c r="A1010" s="91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spans="1:25">
      <c r="A1011" s="91"/>
      <c r="B1011" s="176"/>
      <c r="C1011" s="176"/>
      <c r="D1011" s="176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</row>
    <row r="1012" spans="1:25">
      <c r="A1012" s="91"/>
      <c r="B1012" s="176"/>
      <c r="C1012" s="176"/>
      <c r="D1012" s="176"/>
      <c r="E1012" s="176"/>
      <c r="F1012" s="176"/>
      <c r="G1012" s="176"/>
      <c r="H1012" s="176"/>
      <c r="I1012" s="176"/>
      <c r="J1012" s="176"/>
      <c r="K1012" s="176"/>
      <c r="L1012" s="176"/>
      <c r="M1012" s="176"/>
      <c r="N1012" s="176"/>
      <c r="O1012" s="176"/>
      <c r="P1012" s="176"/>
      <c r="Q1012" s="176"/>
      <c r="R1012" s="176"/>
      <c r="S1012" s="176"/>
      <c r="T1012" s="176"/>
      <c r="U1012" s="176"/>
      <c r="V1012" s="176"/>
      <c r="W1012" s="176"/>
      <c r="X1012" s="176"/>
      <c r="Y1012" s="176"/>
    </row>
    <row r="1013" spans="1:25">
      <c r="A1013" s="91"/>
      <c r="B1013" s="176"/>
      <c r="C1013" s="176"/>
      <c r="D1013" s="176"/>
      <c r="E1013" s="176"/>
      <c r="F1013" s="176"/>
      <c r="G1013" s="176"/>
      <c r="H1013" s="176"/>
      <c r="I1013" s="176"/>
      <c r="J1013" s="176"/>
      <c r="K1013" s="176"/>
      <c r="L1013" s="176"/>
      <c r="M1013" s="176"/>
      <c r="N1013" s="176"/>
      <c r="O1013" s="176"/>
      <c r="P1013" s="176"/>
      <c r="Q1013" s="176"/>
      <c r="R1013" s="176"/>
      <c r="S1013" s="176"/>
      <c r="T1013" s="176"/>
      <c r="U1013" s="176"/>
      <c r="V1013" s="176"/>
      <c r="W1013" s="176"/>
      <c r="X1013" s="176"/>
      <c r="Y1013" s="176"/>
    </row>
    <row r="1014" spans="1:25">
      <c r="A1014" s="91"/>
      <c r="B1014" s="176"/>
      <c r="C1014" s="176"/>
      <c r="D1014" s="176"/>
      <c r="E1014" s="176"/>
      <c r="F1014" s="176"/>
      <c r="G1014" s="176"/>
      <c r="H1014" s="176"/>
      <c r="I1014" s="176"/>
      <c r="J1014" s="176"/>
      <c r="K1014" s="176"/>
      <c r="L1014" s="176"/>
      <c r="M1014" s="176"/>
      <c r="N1014" s="176"/>
      <c r="O1014" s="176"/>
      <c r="P1014" s="176"/>
      <c r="Q1014" s="176"/>
      <c r="R1014" s="176"/>
      <c r="S1014" s="176"/>
      <c r="T1014" s="176"/>
      <c r="U1014" s="176"/>
      <c r="V1014" s="176"/>
      <c r="W1014" s="176"/>
      <c r="X1014" s="176"/>
      <c r="Y1014" s="176"/>
    </row>
    <row r="1015" spans="1:25">
      <c r="A1015" s="91"/>
      <c r="B1015" s="176"/>
      <c r="C1015" s="176"/>
      <c r="D1015" s="176"/>
      <c r="E1015" s="176"/>
      <c r="F1015" s="176"/>
      <c r="G1015" s="176"/>
      <c r="H1015" s="176"/>
      <c r="I1015" s="176"/>
      <c r="J1015" s="176"/>
      <c r="K1015" s="176"/>
      <c r="L1015" s="176"/>
      <c r="M1015" s="176"/>
      <c r="N1015" s="176"/>
      <c r="O1015" s="176"/>
      <c r="P1015" s="176"/>
      <c r="Q1015" s="176"/>
      <c r="R1015" s="176"/>
      <c r="S1015" s="176"/>
      <c r="T1015" s="176"/>
      <c r="U1015" s="176"/>
      <c r="V1015" s="176"/>
      <c r="W1015" s="176"/>
      <c r="X1015" s="176"/>
      <c r="Y1015" s="176"/>
    </row>
    <row r="1016" spans="1:25">
      <c r="A1016" s="91"/>
      <c r="B1016" s="176"/>
      <c r="C1016" s="176"/>
      <c r="D1016" s="176"/>
      <c r="E1016" s="176"/>
      <c r="F1016" s="176"/>
      <c r="G1016" s="176"/>
      <c r="H1016" s="176"/>
      <c r="I1016" s="176"/>
      <c r="J1016" s="176"/>
      <c r="K1016" s="176"/>
      <c r="L1016" s="176"/>
      <c r="M1016" s="176"/>
      <c r="N1016" s="176"/>
      <c r="O1016" s="176"/>
      <c r="P1016" s="176"/>
      <c r="Q1016" s="176"/>
      <c r="R1016" s="176"/>
      <c r="S1016" s="176"/>
      <c r="T1016" s="176"/>
      <c r="U1016" s="176"/>
      <c r="V1016" s="176"/>
      <c r="W1016" s="176"/>
      <c r="X1016" s="176"/>
      <c r="Y1016" s="176"/>
    </row>
    <row r="1017" spans="1:25">
      <c r="A1017" s="91"/>
      <c r="B1017" s="176"/>
      <c r="C1017" s="176"/>
      <c r="D1017" s="176"/>
      <c r="E1017" s="176"/>
      <c r="F1017" s="176"/>
      <c r="G1017" s="176"/>
      <c r="H1017" s="176"/>
      <c r="I1017" s="176"/>
      <c r="J1017" s="176"/>
      <c r="K1017" s="176"/>
      <c r="L1017" s="176"/>
      <c r="M1017" s="176"/>
      <c r="N1017" s="176"/>
      <c r="O1017" s="176"/>
      <c r="P1017" s="176"/>
      <c r="Q1017" s="176"/>
      <c r="R1017" s="176"/>
      <c r="S1017" s="176"/>
      <c r="T1017" s="176"/>
      <c r="U1017" s="176"/>
      <c r="V1017" s="176"/>
      <c r="W1017" s="176"/>
      <c r="X1017" s="176"/>
      <c r="Y1017" s="176"/>
    </row>
    <row r="1018" spans="1:25">
      <c r="A1018" s="91"/>
      <c r="B1018" s="176"/>
      <c r="C1018" s="176"/>
      <c r="D1018" s="176"/>
      <c r="E1018" s="176"/>
      <c r="F1018" s="176"/>
      <c r="G1018" s="176"/>
      <c r="H1018" s="176"/>
      <c r="I1018" s="176"/>
      <c r="J1018" s="176"/>
      <c r="K1018" s="176"/>
      <c r="L1018" s="176"/>
      <c r="M1018" s="176"/>
      <c r="N1018" s="176"/>
      <c r="O1018" s="176"/>
      <c r="P1018" s="176"/>
      <c r="Q1018" s="176"/>
      <c r="R1018" s="176"/>
      <c r="S1018" s="176"/>
      <c r="T1018" s="176"/>
      <c r="U1018" s="176"/>
      <c r="V1018" s="176"/>
      <c r="W1018" s="176"/>
      <c r="X1018" s="176"/>
      <c r="Y1018" s="176"/>
    </row>
    <row r="1019" spans="1:25">
      <c r="A1019" s="91"/>
      <c r="B1019" s="176"/>
      <c r="C1019" s="176"/>
      <c r="D1019" s="176"/>
      <c r="E1019" s="176"/>
      <c r="F1019" s="176"/>
      <c r="G1019" s="176"/>
      <c r="H1019" s="176"/>
      <c r="I1019" s="176"/>
      <c r="J1019" s="176"/>
      <c r="K1019" s="176"/>
      <c r="L1019" s="176"/>
      <c r="M1019" s="176"/>
      <c r="N1019" s="176"/>
      <c r="O1019" s="176"/>
      <c r="P1019" s="176"/>
      <c r="Q1019" s="176"/>
      <c r="R1019" s="176"/>
      <c r="S1019" s="176"/>
      <c r="T1019" s="176"/>
      <c r="U1019" s="176"/>
      <c r="V1019" s="176"/>
      <c r="W1019" s="176"/>
      <c r="X1019" s="176"/>
      <c r="Y1019" s="176"/>
    </row>
    <row r="1020" spans="1:25">
      <c r="A1020" s="91"/>
      <c r="B1020" s="176"/>
      <c r="C1020" s="176"/>
      <c r="D1020" s="176"/>
      <c r="E1020" s="176"/>
      <c r="F1020" s="176"/>
      <c r="G1020" s="176"/>
      <c r="H1020" s="176"/>
      <c r="I1020" s="176"/>
      <c r="J1020" s="176"/>
      <c r="K1020" s="176"/>
      <c r="L1020" s="176"/>
      <c r="M1020" s="176"/>
      <c r="N1020" s="176"/>
      <c r="O1020" s="176"/>
      <c r="P1020" s="176"/>
      <c r="Q1020" s="176"/>
      <c r="R1020" s="176"/>
      <c r="S1020" s="176"/>
      <c r="T1020" s="176"/>
      <c r="U1020" s="176"/>
      <c r="V1020" s="176"/>
      <c r="W1020" s="176"/>
      <c r="X1020" s="176"/>
      <c r="Y1020" s="176"/>
    </row>
    <row r="1021" spans="1:25">
      <c r="A1021" s="91"/>
      <c r="B1021" s="176"/>
      <c r="C1021" s="176"/>
      <c r="D1021" s="176"/>
      <c r="E1021" s="176"/>
      <c r="F1021" s="176"/>
      <c r="G1021" s="176"/>
      <c r="H1021" s="176"/>
      <c r="I1021" s="176"/>
      <c r="J1021" s="176"/>
      <c r="K1021" s="176"/>
      <c r="L1021" s="176"/>
      <c r="M1021" s="176"/>
      <c r="N1021" s="176"/>
      <c r="O1021" s="176"/>
      <c r="P1021" s="176"/>
      <c r="Q1021" s="176"/>
      <c r="R1021" s="176"/>
      <c r="S1021" s="176"/>
      <c r="T1021" s="176"/>
      <c r="U1021" s="176"/>
      <c r="V1021" s="176"/>
      <c r="W1021" s="176"/>
      <c r="X1021" s="176"/>
      <c r="Y1021" s="176"/>
    </row>
    <row r="1022" spans="1:25">
      <c r="A1022" s="91"/>
      <c r="B1022" s="176"/>
      <c r="C1022" s="176"/>
      <c r="D1022" s="176"/>
      <c r="E1022" s="176"/>
      <c r="F1022" s="176"/>
      <c r="G1022" s="176"/>
      <c r="H1022" s="176"/>
      <c r="I1022" s="176"/>
      <c r="J1022" s="176"/>
      <c r="K1022" s="176"/>
      <c r="L1022" s="176"/>
      <c r="M1022" s="176"/>
      <c r="N1022" s="176"/>
      <c r="O1022" s="176"/>
      <c r="P1022" s="176"/>
      <c r="Q1022" s="176"/>
      <c r="R1022" s="176"/>
      <c r="S1022" s="176"/>
      <c r="T1022" s="176"/>
      <c r="U1022" s="176"/>
      <c r="V1022" s="176"/>
      <c r="W1022" s="176"/>
      <c r="X1022" s="176"/>
      <c r="Y1022" s="176"/>
    </row>
    <row r="1023" spans="1:25">
      <c r="A1023" s="91"/>
      <c r="B1023" s="176"/>
      <c r="C1023" s="176"/>
      <c r="D1023" s="176"/>
      <c r="E1023" s="176"/>
      <c r="F1023" s="176"/>
      <c r="G1023" s="176"/>
      <c r="H1023" s="176"/>
      <c r="I1023" s="176"/>
      <c r="J1023" s="176"/>
      <c r="K1023" s="176"/>
      <c r="L1023" s="176"/>
      <c r="M1023" s="176"/>
      <c r="N1023" s="176"/>
      <c r="O1023" s="176"/>
      <c r="P1023" s="176"/>
      <c r="Q1023" s="176"/>
      <c r="R1023" s="176"/>
      <c r="S1023" s="176"/>
      <c r="T1023" s="176"/>
      <c r="U1023" s="176"/>
      <c r="V1023" s="176"/>
      <c r="W1023" s="176"/>
      <c r="X1023" s="176"/>
      <c r="Y1023" s="176"/>
    </row>
    <row r="1024" spans="1:25">
      <c r="A1024" s="91"/>
      <c r="B1024" s="176"/>
      <c r="C1024" s="176"/>
      <c r="D1024" s="176"/>
      <c r="E1024" s="176"/>
      <c r="F1024" s="176"/>
      <c r="G1024" s="176"/>
      <c r="H1024" s="176"/>
      <c r="I1024" s="176"/>
      <c r="J1024" s="176"/>
      <c r="K1024" s="176"/>
      <c r="L1024" s="176"/>
      <c r="M1024" s="176"/>
      <c r="N1024" s="176"/>
      <c r="O1024" s="176"/>
      <c r="P1024" s="176"/>
      <c r="Q1024" s="176"/>
      <c r="R1024" s="176"/>
      <c r="S1024" s="176"/>
      <c r="T1024" s="176"/>
      <c r="U1024" s="176"/>
      <c r="V1024" s="176"/>
      <c r="W1024" s="176"/>
      <c r="X1024" s="176"/>
      <c r="Y1024" s="176"/>
    </row>
    <row r="1025" spans="1:25">
      <c r="A1025" s="91"/>
      <c r="B1025" s="176"/>
      <c r="C1025" s="176"/>
      <c r="D1025" s="176"/>
      <c r="E1025" s="176"/>
      <c r="F1025" s="176"/>
      <c r="G1025" s="176"/>
      <c r="H1025" s="176"/>
      <c r="I1025" s="176"/>
      <c r="J1025" s="176"/>
      <c r="K1025" s="176"/>
      <c r="L1025" s="176"/>
      <c r="M1025" s="176"/>
      <c r="N1025" s="176"/>
      <c r="O1025" s="176"/>
      <c r="P1025" s="176"/>
      <c r="Q1025" s="176"/>
      <c r="R1025" s="176"/>
      <c r="S1025" s="176"/>
      <c r="T1025" s="176"/>
      <c r="U1025" s="176"/>
      <c r="V1025" s="176"/>
      <c r="W1025" s="176"/>
      <c r="X1025" s="176"/>
      <c r="Y1025" s="176"/>
    </row>
    <row r="1026" spans="1:25">
      <c r="A1026" s="91"/>
      <c r="B1026" s="176"/>
      <c r="C1026" s="176"/>
      <c r="D1026" s="176"/>
      <c r="E1026" s="176"/>
      <c r="F1026" s="176"/>
      <c r="G1026" s="176"/>
      <c r="H1026" s="176"/>
      <c r="I1026" s="176"/>
      <c r="J1026" s="176"/>
      <c r="K1026" s="176"/>
      <c r="L1026" s="176"/>
      <c r="M1026" s="176"/>
      <c r="N1026" s="176"/>
      <c r="O1026" s="176"/>
      <c r="P1026" s="176"/>
      <c r="Q1026" s="176"/>
      <c r="R1026" s="176"/>
      <c r="S1026" s="176"/>
      <c r="T1026" s="176"/>
      <c r="U1026" s="176"/>
      <c r="V1026" s="176"/>
      <c r="W1026" s="176"/>
      <c r="X1026" s="176"/>
      <c r="Y1026" s="176"/>
    </row>
    <row r="1027" spans="1:25">
      <c r="A1027" s="91"/>
      <c r="B1027" s="176"/>
      <c r="C1027" s="176"/>
      <c r="D1027" s="176"/>
      <c r="E1027" s="176"/>
      <c r="F1027" s="176"/>
      <c r="G1027" s="176"/>
      <c r="H1027" s="176"/>
      <c r="I1027" s="176"/>
      <c r="J1027" s="176"/>
      <c r="K1027" s="176"/>
      <c r="L1027" s="176"/>
      <c r="M1027" s="176"/>
      <c r="N1027" s="176"/>
      <c r="O1027" s="176"/>
      <c r="P1027" s="176"/>
      <c r="Q1027" s="176"/>
      <c r="R1027" s="176"/>
      <c r="S1027" s="176"/>
      <c r="T1027" s="176"/>
      <c r="U1027" s="176"/>
      <c r="V1027" s="176"/>
      <c r="W1027" s="176"/>
      <c r="X1027" s="176"/>
      <c r="Y1027" s="176"/>
    </row>
    <row r="1028" spans="1:25">
      <c r="A1028" s="91"/>
      <c r="B1028" s="176"/>
      <c r="C1028" s="176"/>
      <c r="D1028" s="176"/>
      <c r="E1028" s="176"/>
      <c r="F1028" s="176"/>
      <c r="G1028" s="176"/>
      <c r="H1028" s="176"/>
      <c r="I1028" s="176"/>
      <c r="J1028" s="176"/>
      <c r="K1028" s="176"/>
      <c r="L1028" s="176"/>
      <c r="M1028" s="176"/>
      <c r="N1028" s="176"/>
      <c r="O1028" s="176"/>
      <c r="P1028" s="176"/>
      <c r="Q1028" s="176"/>
      <c r="R1028" s="176"/>
      <c r="S1028" s="176"/>
      <c r="T1028" s="176"/>
      <c r="U1028" s="176"/>
      <c r="V1028" s="176"/>
      <c r="W1028" s="176"/>
      <c r="X1028" s="176"/>
      <c r="Y1028" s="176"/>
    </row>
    <row r="1029" spans="1:25">
      <c r="A1029" s="91"/>
      <c r="B1029" s="176"/>
      <c r="C1029" s="176"/>
      <c r="D1029" s="176"/>
      <c r="E1029" s="176"/>
      <c r="F1029" s="176"/>
      <c r="G1029" s="176"/>
      <c r="H1029" s="176"/>
      <c r="I1029" s="176"/>
      <c r="J1029" s="176"/>
      <c r="K1029" s="176"/>
      <c r="L1029" s="176"/>
      <c r="M1029" s="176"/>
      <c r="N1029" s="176"/>
      <c r="O1029" s="176"/>
      <c r="P1029" s="176"/>
      <c r="Q1029" s="176"/>
      <c r="R1029" s="176"/>
      <c r="S1029" s="176"/>
      <c r="T1029" s="176"/>
      <c r="U1029" s="176"/>
      <c r="V1029" s="176"/>
      <c r="W1029" s="176"/>
      <c r="X1029" s="176"/>
      <c r="Y1029" s="176"/>
    </row>
    <row r="1030" spans="1:25">
      <c r="A1030" s="91"/>
      <c r="B1030" s="176"/>
      <c r="C1030" s="176"/>
      <c r="D1030" s="176"/>
      <c r="E1030" s="176"/>
      <c r="F1030" s="176"/>
      <c r="G1030" s="176"/>
      <c r="H1030" s="176"/>
      <c r="I1030" s="176"/>
      <c r="J1030" s="176"/>
      <c r="K1030" s="176"/>
      <c r="L1030" s="176"/>
      <c r="M1030" s="176"/>
      <c r="N1030" s="176"/>
      <c r="O1030" s="176"/>
      <c r="P1030" s="176"/>
      <c r="Q1030" s="176"/>
      <c r="R1030" s="176"/>
      <c r="S1030" s="176"/>
      <c r="T1030" s="176"/>
      <c r="U1030" s="176"/>
      <c r="V1030" s="176"/>
      <c r="W1030" s="176"/>
      <c r="X1030" s="176"/>
      <c r="Y1030" s="176"/>
    </row>
    <row r="1031" spans="1:25">
      <c r="A1031" s="91"/>
      <c r="B1031" s="176"/>
      <c r="C1031" s="176"/>
      <c r="D1031" s="176"/>
      <c r="E1031" s="176"/>
      <c r="F1031" s="176"/>
      <c r="G1031" s="176"/>
      <c r="H1031" s="176"/>
      <c r="I1031" s="176"/>
      <c r="J1031" s="176"/>
      <c r="K1031" s="176"/>
      <c r="L1031" s="176"/>
      <c r="M1031" s="176"/>
      <c r="N1031" s="176"/>
      <c r="O1031" s="176"/>
      <c r="P1031" s="176"/>
      <c r="Q1031" s="176"/>
      <c r="R1031" s="176"/>
      <c r="S1031" s="176"/>
      <c r="T1031" s="176"/>
      <c r="U1031" s="176"/>
      <c r="V1031" s="176"/>
      <c r="W1031" s="176"/>
      <c r="X1031" s="176"/>
      <c r="Y1031" s="176"/>
    </row>
    <row r="1032" spans="1:25">
      <c r="A1032" s="91"/>
      <c r="B1032" s="176"/>
      <c r="C1032" s="176"/>
      <c r="D1032" s="176"/>
      <c r="E1032" s="176"/>
      <c r="F1032" s="176"/>
      <c r="G1032" s="176"/>
      <c r="H1032" s="176"/>
      <c r="I1032" s="176"/>
      <c r="J1032" s="176"/>
      <c r="K1032" s="176"/>
      <c r="L1032" s="176"/>
      <c r="M1032" s="176"/>
      <c r="N1032" s="176"/>
      <c r="O1032" s="176"/>
      <c r="P1032" s="176"/>
      <c r="Q1032" s="176"/>
      <c r="R1032" s="176"/>
      <c r="S1032" s="176"/>
      <c r="T1032" s="176"/>
      <c r="U1032" s="176"/>
      <c r="V1032" s="176"/>
      <c r="W1032" s="176"/>
      <c r="X1032" s="176"/>
      <c r="Y1032" s="176"/>
    </row>
    <row r="1033" spans="1:25">
      <c r="A1033" s="91"/>
      <c r="B1033" s="176"/>
      <c r="C1033" s="176"/>
      <c r="D1033" s="176"/>
      <c r="E1033" s="176"/>
      <c r="F1033" s="176"/>
      <c r="G1033" s="176"/>
      <c r="H1033" s="176"/>
      <c r="I1033" s="176"/>
      <c r="J1033" s="176"/>
      <c r="K1033" s="176"/>
      <c r="L1033" s="176"/>
      <c r="M1033" s="176"/>
      <c r="N1033" s="176"/>
      <c r="O1033" s="176"/>
      <c r="P1033" s="176"/>
      <c r="Q1033" s="176"/>
      <c r="R1033" s="176"/>
      <c r="S1033" s="176"/>
      <c r="T1033" s="176"/>
      <c r="U1033" s="176"/>
      <c r="V1033" s="176"/>
      <c r="W1033" s="176"/>
      <c r="X1033" s="176"/>
      <c r="Y1033" s="176"/>
    </row>
    <row r="1034" spans="1:25">
      <c r="A1034" s="91"/>
      <c r="B1034" s="176"/>
      <c r="C1034" s="176"/>
      <c r="D1034" s="176"/>
      <c r="E1034" s="176"/>
      <c r="F1034" s="176"/>
      <c r="G1034" s="176"/>
      <c r="H1034" s="176"/>
      <c r="I1034" s="176"/>
      <c r="J1034" s="176"/>
      <c r="K1034" s="176"/>
      <c r="L1034" s="176"/>
      <c r="M1034" s="176"/>
      <c r="N1034" s="176"/>
      <c r="O1034" s="176"/>
      <c r="P1034" s="176"/>
      <c r="Q1034" s="176"/>
      <c r="R1034" s="176"/>
      <c r="S1034" s="176"/>
      <c r="T1034" s="176"/>
      <c r="U1034" s="176"/>
      <c r="V1034" s="176"/>
      <c r="W1034" s="176"/>
      <c r="X1034" s="176"/>
      <c r="Y1034" s="176"/>
    </row>
    <row r="1035" spans="1:25">
      <c r="A1035" s="91"/>
      <c r="B1035" s="176"/>
      <c r="C1035" s="176"/>
      <c r="D1035" s="176"/>
      <c r="E1035" s="176"/>
      <c r="F1035" s="176"/>
      <c r="G1035" s="176"/>
      <c r="H1035" s="176"/>
      <c r="I1035" s="176"/>
      <c r="J1035" s="176"/>
      <c r="K1035" s="176"/>
      <c r="L1035" s="176"/>
      <c r="M1035" s="176"/>
      <c r="N1035" s="176"/>
      <c r="O1035" s="176"/>
      <c r="P1035" s="176"/>
      <c r="Q1035" s="176"/>
      <c r="R1035" s="176"/>
      <c r="S1035" s="176"/>
      <c r="T1035" s="176"/>
      <c r="U1035" s="176"/>
      <c r="V1035" s="176"/>
      <c r="W1035" s="176"/>
      <c r="X1035" s="176"/>
      <c r="Y1035" s="176"/>
    </row>
    <row r="1036" spans="1:25">
      <c r="A1036" s="91"/>
      <c r="B1036" s="176"/>
      <c r="C1036" s="176"/>
      <c r="D1036" s="176"/>
      <c r="E1036" s="176"/>
      <c r="F1036" s="176"/>
      <c r="G1036" s="176"/>
      <c r="H1036" s="176"/>
      <c r="I1036" s="176"/>
      <c r="J1036" s="176"/>
      <c r="K1036" s="176"/>
      <c r="L1036" s="176"/>
      <c r="M1036" s="176"/>
      <c r="N1036" s="176"/>
      <c r="O1036" s="176"/>
      <c r="P1036" s="176"/>
      <c r="Q1036" s="176"/>
      <c r="R1036" s="176"/>
      <c r="S1036" s="176"/>
      <c r="T1036" s="176"/>
      <c r="U1036" s="176"/>
      <c r="V1036" s="176"/>
      <c r="W1036" s="176"/>
      <c r="X1036" s="176"/>
      <c r="Y1036" s="176"/>
    </row>
    <row r="1037" spans="1:25">
      <c r="A1037" s="91"/>
      <c r="B1037" s="176"/>
      <c r="C1037" s="176"/>
      <c r="D1037" s="176"/>
      <c r="E1037" s="176"/>
      <c r="F1037" s="176"/>
      <c r="G1037" s="176"/>
      <c r="H1037" s="176"/>
      <c r="I1037" s="176"/>
      <c r="J1037" s="176"/>
      <c r="K1037" s="176"/>
      <c r="L1037" s="176"/>
      <c r="M1037" s="176"/>
      <c r="N1037" s="176"/>
      <c r="O1037" s="176"/>
      <c r="P1037" s="176"/>
      <c r="Q1037" s="176"/>
      <c r="R1037" s="176"/>
      <c r="S1037" s="176"/>
      <c r="T1037" s="176"/>
      <c r="U1037" s="176"/>
      <c r="V1037" s="176"/>
      <c r="W1037" s="176"/>
      <c r="X1037" s="176"/>
      <c r="Y1037" s="176"/>
    </row>
    <row r="1038" spans="1:25">
      <c r="A1038" s="91"/>
      <c r="B1038" s="176"/>
      <c r="C1038" s="176"/>
      <c r="D1038" s="176"/>
      <c r="E1038" s="176"/>
      <c r="F1038" s="176"/>
      <c r="G1038" s="176"/>
      <c r="H1038" s="176"/>
      <c r="I1038" s="176"/>
      <c r="J1038" s="176"/>
      <c r="K1038" s="176"/>
      <c r="L1038" s="176"/>
      <c r="M1038" s="176"/>
      <c r="N1038" s="176"/>
      <c r="O1038" s="176"/>
      <c r="P1038" s="176"/>
      <c r="Q1038" s="176"/>
      <c r="R1038" s="176"/>
      <c r="S1038" s="176"/>
      <c r="T1038" s="176"/>
      <c r="U1038" s="176"/>
      <c r="V1038" s="176"/>
      <c r="W1038" s="176"/>
      <c r="X1038" s="176"/>
      <c r="Y1038" s="176"/>
    </row>
    <row r="1039" spans="1:25">
      <c r="A1039" s="91"/>
      <c r="B1039" s="176"/>
      <c r="C1039" s="176"/>
      <c r="D1039" s="176"/>
      <c r="E1039" s="176"/>
      <c r="F1039" s="176"/>
      <c r="G1039" s="176"/>
      <c r="H1039" s="176"/>
      <c r="I1039" s="176"/>
      <c r="J1039" s="176"/>
      <c r="K1039" s="176"/>
      <c r="L1039" s="176"/>
      <c r="M1039" s="176"/>
      <c r="N1039" s="176"/>
      <c r="O1039" s="176"/>
      <c r="P1039" s="176"/>
      <c r="Q1039" s="176"/>
      <c r="R1039" s="176"/>
      <c r="S1039" s="176"/>
      <c r="T1039" s="176"/>
      <c r="U1039" s="176"/>
      <c r="V1039" s="176"/>
      <c r="W1039" s="176"/>
      <c r="X1039" s="176"/>
      <c r="Y1039" s="176"/>
    </row>
    <row r="1040" spans="1:25">
      <c r="A1040" s="91"/>
      <c r="B1040" s="176"/>
      <c r="C1040" s="176"/>
      <c r="D1040" s="176"/>
      <c r="E1040" s="176"/>
      <c r="F1040" s="176"/>
      <c r="G1040" s="176"/>
      <c r="H1040" s="176"/>
      <c r="I1040" s="176"/>
      <c r="J1040" s="176"/>
      <c r="K1040" s="176"/>
      <c r="L1040" s="176"/>
      <c r="M1040" s="176"/>
      <c r="N1040" s="176"/>
      <c r="O1040" s="176"/>
      <c r="P1040" s="176"/>
      <c r="Q1040" s="176"/>
      <c r="R1040" s="176"/>
      <c r="S1040" s="176"/>
      <c r="T1040" s="176"/>
      <c r="U1040" s="176"/>
      <c r="V1040" s="176"/>
      <c r="W1040" s="176"/>
      <c r="X1040" s="176"/>
      <c r="Y1040" s="176"/>
    </row>
    <row r="1041" spans="1:25">
      <c r="A1041" s="91"/>
      <c r="B1041" s="176"/>
      <c r="C1041" s="176"/>
      <c r="D1041" s="176"/>
      <c r="E1041" s="176"/>
      <c r="F1041" s="176"/>
      <c r="G1041" s="176"/>
      <c r="H1041" s="176"/>
      <c r="I1041" s="176"/>
      <c r="J1041" s="176"/>
      <c r="K1041" s="176"/>
      <c r="L1041" s="176"/>
      <c r="M1041" s="176"/>
      <c r="N1041" s="176"/>
      <c r="O1041" s="176"/>
      <c r="P1041" s="176"/>
      <c r="Q1041" s="176"/>
      <c r="R1041" s="176"/>
      <c r="S1041" s="176"/>
      <c r="T1041" s="176"/>
      <c r="U1041" s="176"/>
      <c r="V1041" s="176"/>
      <c r="W1041" s="176"/>
      <c r="X1041" s="176"/>
      <c r="Y1041" s="176"/>
    </row>
    <row r="1042" spans="1:25">
      <c r="A1042" s="91"/>
      <c r="B1042" s="176"/>
      <c r="C1042" s="176"/>
      <c r="D1042" s="176"/>
      <c r="E1042" s="176"/>
      <c r="F1042" s="176"/>
      <c r="G1042" s="176"/>
      <c r="H1042" s="176"/>
      <c r="I1042" s="176"/>
      <c r="J1042" s="176"/>
      <c r="K1042" s="176"/>
      <c r="L1042" s="176"/>
      <c r="M1042" s="176"/>
      <c r="N1042" s="176"/>
      <c r="O1042" s="176"/>
      <c r="P1042" s="176"/>
      <c r="Q1042" s="176"/>
      <c r="R1042" s="176"/>
      <c r="S1042" s="176"/>
      <c r="T1042" s="176"/>
      <c r="U1042" s="176"/>
      <c r="V1042" s="176"/>
      <c r="W1042" s="176"/>
      <c r="X1042" s="176"/>
      <c r="Y1042" s="176"/>
    </row>
    <row r="1043" spans="1:25">
      <c r="A1043" s="91"/>
      <c r="B1043" s="176"/>
      <c r="C1043" s="176"/>
      <c r="D1043" s="176"/>
      <c r="E1043" s="176"/>
      <c r="F1043" s="176"/>
      <c r="G1043" s="176"/>
      <c r="H1043" s="176"/>
      <c r="I1043" s="176"/>
      <c r="J1043" s="176"/>
      <c r="K1043" s="176"/>
      <c r="L1043" s="176"/>
      <c r="M1043" s="176"/>
      <c r="N1043" s="176"/>
      <c r="O1043" s="176"/>
      <c r="P1043" s="176"/>
      <c r="Q1043" s="176"/>
      <c r="R1043" s="176"/>
      <c r="S1043" s="176"/>
      <c r="T1043" s="176"/>
      <c r="U1043" s="176"/>
      <c r="V1043" s="176"/>
      <c r="W1043" s="176"/>
      <c r="X1043" s="176"/>
      <c r="Y1043" s="176"/>
    </row>
    <row r="1044" spans="1:25">
      <c r="A1044" s="91"/>
      <c r="B1044" s="176"/>
      <c r="C1044" s="176"/>
      <c r="D1044" s="176"/>
      <c r="E1044" s="176"/>
      <c r="F1044" s="176"/>
      <c r="G1044" s="176"/>
      <c r="H1044" s="176"/>
      <c r="I1044" s="176"/>
      <c r="J1044" s="176"/>
      <c r="K1044" s="176"/>
      <c r="L1044" s="176"/>
      <c r="M1044" s="176"/>
      <c r="N1044" s="176"/>
      <c r="O1044" s="176"/>
      <c r="P1044" s="176"/>
      <c r="Q1044" s="176"/>
      <c r="R1044" s="176"/>
      <c r="S1044" s="176"/>
      <c r="T1044" s="176"/>
      <c r="U1044" s="176"/>
      <c r="V1044" s="176"/>
      <c r="W1044" s="176"/>
      <c r="X1044" s="176"/>
      <c r="Y1044" s="176"/>
    </row>
    <row r="1045" spans="1:25">
      <c r="A1045" s="91"/>
      <c r="B1045" s="176"/>
      <c r="C1045" s="176"/>
      <c r="D1045" s="176"/>
      <c r="E1045" s="176"/>
      <c r="F1045" s="176"/>
      <c r="G1045" s="176"/>
      <c r="H1045" s="176"/>
      <c r="I1045" s="176"/>
      <c r="J1045" s="176"/>
      <c r="K1045" s="176"/>
      <c r="L1045" s="176"/>
      <c r="M1045" s="176"/>
      <c r="N1045" s="176"/>
      <c r="O1045" s="176"/>
      <c r="P1045" s="176"/>
      <c r="Q1045" s="176"/>
      <c r="R1045" s="176"/>
      <c r="S1045" s="176"/>
      <c r="T1045" s="176"/>
      <c r="U1045" s="176"/>
      <c r="V1045" s="176"/>
      <c r="W1045" s="176"/>
      <c r="X1045" s="176"/>
      <c r="Y1045" s="176"/>
    </row>
    <row r="1046" spans="1:25">
      <c r="A1046" s="91"/>
      <c r="B1046" s="176"/>
      <c r="C1046" s="176"/>
      <c r="D1046" s="176"/>
      <c r="E1046" s="176"/>
      <c r="F1046" s="176"/>
      <c r="G1046" s="176"/>
      <c r="H1046" s="176"/>
      <c r="I1046" s="176"/>
      <c r="J1046" s="176"/>
      <c r="K1046" s="176"/>
      <c r="L1046" s="176"/>
      <c r="M1046" s="176"/>
      <c r="N1046" s="176"/>
      <c r="O1046" s="176"/>
      <c r="P1046" s="176"/>
      <c r="Q1046" s="176"/>
      <c r="R1046" s="176"/>
      <c r="S1046" s="176"/>
      <c r="T1046" s="176"/>
      <c r="U1046" s="176"/>
      <c r="V1046" s="176"/>
      <c r="W1046" s="176"/>
      <c r="X1046" s="176"/>
      <c r="Y1046" s="176"/>
    </row>
    <row r="1047" spans="1:25">
      <c r="A1047" s="91"/>
      <c r="B1047" s="176"/>
      <c r="C1047" s="176"/>
      <c r="D1047" s="176"/>
      <c r="E1047" s="176"/>
      <c r="F1047" s="176"/>
      <c r="G1047" s="176"/>
      <c r="H1047" s="176"/>
      <c r="I1047" s="176"/>
      <c r="J1047" s="176"/>
      <c r="K1047" s="176"/>
      <c r="L1047" s="176"/>
      <c r="M1047" s="176"/>
      <c r="N1047" s="176"/>
      <c r="O1047" s="176"/>
      <c r="P1047" s="176"/>
      <c r="Q1047" s="176"/>
      <c r="R1047" s="176"/>
      <c r="S1047" s="176"/>
      <c r="T1047" s="176"/>
      <c r="U1047" s="176"/>
      <c r="V1047" s="176"/>
      <c r="W1047" s="176"/>
      <c r="X1047" s="176"/>
      <c r="Y1047" s="176"/>
    </row>
    <row r="1048" spans="1:25">
      <c r="A1048" s="91"/>
      <c r="B1048" s="176"/>
      <c r="C1048" s="176"/>
      <c r="D1048" s="176"/>
      <c r="E1048" s="176"/>
      <c r="F1048" s="176"/>
      <c r="G1048" s="176"/>
      <c r="H1048" s="176"/>
      <c r="I1048" s="176"/>
      <c r="J1048" s="176"/>
      <c r="K1048" s="176"/>
      <c r="L1048" s="176"/>
      <c r="M1048" s="176"/>
      <c r="N1048" s="176"/>
      <c r="O1048" s="176"/>
      <c r="P1048" s="176"/>
      <c r="Q1048" s="176"/>
      <c r="R1048" s="176"/>
      <c r="S1048" s="176"/>
      <c r="T1048" s="176"/>
      <c r="U1048" s="176"/>
      <c r="V1048" s="176"/>
      <c r="W1048" s="176"/>
      <c r="X1048" s="176"/>
      <c r="Y1048" s="176"/>
    </row>
    <row r="1049" spans="1:25">
      <c r="A1049" s="91"/>
      <c r="B1049" s="176"/>
      <c r="C1049" s="176"/>
      <c r="D1049" s="176"/>
      <c r="E1049" s="176"/>
      <c r="F1049" s="176"/>
      <c r="G1049" s="176"/>
      <c r="H1049" s="176"/>
      <c r="I1049" s="176"/>
      <c r="J1049" s="176"/>
      <c r="K1049" s="176"/>
      <c r="L1049" s="176"/>
      <c r="M1049" s="176"/>
      <c r="N1049" s="176"/>
      <c r="O1049" s="176"/>
      <c r="P1049" s="176"/>
      <c r="Q1049" s="176"/>
      <c r="R1049" s="176"/>
      <c r="S1049" s="176"/>
      <c r="T1049" s="176"/>
      <c r="U1049" s="176"/>
      <c r="V1049" s="176"/>
      <c r="W1049" s="176"/>
      <c r="X1049" s="176"/>
      <c r="Y1049" s="176"/>
    </row>
    <row r="1050" spans="1:25">
      <c r="A1050" s="91"/>
      <c r="B1050" s="176"/>
      <c r="C1050" s="176"/>
      <c r="D1050" s="176"/>
      <c r="E1050" s="176"/>
      <c r="F1050" s="176"/>
      <c r="G1050" s="176"/>
      <c r="H1050" s="176"/>
      <c r="I1050" s="176"/>
      <c r="J1050" s="176"/>
      <c r="K1050" s="176"/>
      <c r="L1050" s="176"/>
      <c r="M1050" s="176"/>
      <c r="N1050" s="176"/>
      <c r="O1050" s="176"/>
      <c r="P1050" s="176"/>
      <c r="Q1050" s="176"/>
      <c r="R1050" s="176"/>
      <c r="S1050" s="176"/>
      <c r="T1050" s="176"/>
      <c r="U1050" s="176"/>
      <c r="V1050" s="176"/>
      <c r="W1050" s="176"/>
      <c r="X1050" s="176"/>
      <c r="Y1050" s="176"/>
    </row>
    <row r="1051" spans="1:25">
      <c r="A1051" s="91"/>
      <c r="B1051" s="176"/>
      <c r="C1051" s="176"/>
      <c r="D1051" s="176"/>
      <c r="E1051" s="176"/>
      <c r="F1051" s="176"/>
      <c r="G1051" s="176"/>
      <c r="H1051" s="176"/>
      <c r="I1051" s="176"/>
      <c r="J1051" s="176"/>
      <c r="K1051" s="176"/>
      <c r="L1051" s="176"/>
      <c r="M1051" s="176"/>
      <c r="N1051" s="176"/>
      <c r="O1051" s="176"/>
      <c r="P1051" s="176"/>
      <c r="Q1051" s="176"/>
      <c r="R1051" s="176"/>
      <c r="S1051" s="176"/>
      <c r="T1051" s="176"/>
      <c r="U1051" s="176"/>
      <c r="V1051" s="176"/>
      <c r="W1051" s="176"/>
      <c r="X1051" s="176"/>
      <c r="Y1051" s="176"/>
    </row>
    <row r="1052" spans="1:25">
      <c r="A1052" s="91"/>
      <c r="B1052" s="176"/>
      <c r="C1052" s="176"/>
      <c r="D1052" s="176"/>
      <c r="E1052" s="176"/>
      <c r="F1052" s="176"/>
      <c r="G1052" s="176"/>
      <c r="H1052" s="176"/>
      <c r="I1052" s="176"/>
      <c r="J1052" s="176"/>
      <c r="K1052" s="176"/>
      <c r="L1052" s="176"/>
      <c r="M1052" s="176"/>
      <c r="N1052" s="176"/>
      <c r="O1052" s="176"/>
      <c r="P1052" s="176"/>
      <c r="Q1052" s="176"/>
      <c r="R1052" s="176"/>
      <c r="S1052" s="176"/>
      <c r="T1052" s="176"/>
      <c r="U1052" s="176"/>
      <c r="V1052" s="176"/>
      <c r="W1052" s="176"/>
      <c r="X1052" s="176"/>
      <c r="Y1052" s="176"/>
    </row>
    <row r="1053" spans="1:25">
      <c r="A1053" s="91"/>
      <c r="B1053" s="176"/>
      <c r="C1053" s="176"/>
      <c r="D1053" s="176"/>
      <c r="E1053" s="176"/>
      <c r="F1053" s="176"/>
      <c r="G1053" s="176"/>
      <c r="H1053" s="176"/>
      <c r="I1053" s="176"/>
      <c r="J1053" s="176"/>
      <c r="K1053" s="176"/>
      <c r="L1053" s="176"/>
      <c r="M1053" s="176"/>
      <c r="N1053" s="176"/>
      <c r="O1053" s="176"/>
      <c r="P1053" s="176"/>
      <c r="Q1053" s="176"/>
      <c r="R1053" s="176"/>
      <c r="S1053" s="176"/>
      <c r="T1053" s="176"/>
      <c r="U1053" s="176"/>
      <c r="V1053" s="176"/>
      <c r="W1053" s="176"/>
      <c r="X1053" s="176"/>
      <c r="Y1053" s="176"/>
    </row>
    <row r="1054" spans="1:25">
      <c r="A1054" s="91"/>
      <c r="B1054" s="176"/>
      <c r="C1054" s="176"/>
      <c r="D1054" s="176"/>
      <c r="E1054" s="176"/>
      <c r="F1054" s="176"/>
      <c r="G1054" s="176"/>
      <c r="H1054" s="176"/>
      <c r="I1054" s="176"/>
      <c r="J1054" s="176"/>
      <c r="K1054" s="176"/>
      <c r="L1054" s="176"/>
      <c r="M1054" s="176"/>
      <c r="N1054" s="176"/>
      <c r="O1054" s="176"/>
      <c r="P1054" s="176"/>
      <c r="Q1054" s="176"/>
      <c r="R1054" s="176"/>
      <c r="S1054" s="176"/>
      <c r="T1054" s="176"/>
      <c r="U1054" s="176"/>
      <c r="V1054" s="176"/>
      <c r="W1054" s="176"/>
      <c r="X1054" s="176"/>
      <c r="Y1054" s="176"/>
    </row>
    <row r="1055" spans="1:25">
      <c r="A1055" s="91"/>
      <c r="B1055" s="176"/>
      <c r="C1055" s="176"/>
      <c r="D1055" s="176"/>
      <c r="E1055" s="176"/>
      <c r="F1055" s="176"/>
      <c r="G1055" s="176"/>
      <c r="H1055" s="176"/>
      <c r="I1055" s="176"/>
      <c r="J1055" s="176"/>
      <c r="K1055" s="176"/>
      <c r="L1055" s="176"/>
      <c r="M1055" s="176"/>
      <c r="N1055" s="176"/>
      <c r="O1055" s="176"/>
      <c r="P1055" s="176"/>
      <c r="Q1055" s="176"/>
      <c r="R1055" s="176"/>
      <c r="S1055" s="176"/>
      <c r="T1055" s="176"/>
      <c r="U1055" s="176"/>
      <c r="V1055" s="176"/>
      <c r="W1055" s="176"/>
      <c r="X1055" s="176"/>
      <c r="Y1055" s="176"/>
    </row>
    <row r="1056" spans="1:25">
      <c r="A1056" s="91"/>
      <c r="B1056" s="176"/>
      <c r="C1056" s="176"/>
      <c r="D1056" s="176"/>
      <c r="E1056" s="176"/>
      <c r="F1056" s="176"/>
      <c r="G1056" s="176"/>
      <c r="H1056" s="176"/>
      <c r="I1056" s="176"/>
      <c r="J1056" s="176"/>
      <c r="K1056" s="176"/>
      <c r="L1056" s="176"/>
      <c r="M1056" s="176"/>
      <c r="N1056" s="176"/>
      <c r="O1056" s="176"/>
      <c r="P1056" s="176"/>
      <c r="Q1056" s="176"/>
      <c r="R1056" s="176"/>
      <c r="S1056" s="176"/>
      <c r="T1056" s="176"/>
      <c r="U1056" s="176"/>
      <c r="V1056" s="176"/>
      <c r="W1056" s="176"/>
      <c r="X1056" s="176"/>
      <c r="Y1056" s="176"/>
    </row>
    <row r="1057" spans="1:25">
      <c r="A1057" s="91"/>
      <c r="B1057" s="176"/>
      <c r="C1057" s="176"/>
      <c r="D1057" s="176"/>
      <c r="E1057" s="176"/>
      <c r="F1057" s="176"/>
      <c r="G1057" s="176"/>
      <c r="H1057" s="176"/>
      <c r="I1057" s="176"/>
      <c r="J1057" s="176"/>
      <c r="K1057" s="176"/>
      <c r="L1057" s="176"/>
      <c r="M1057" s="176"/>
      <c r="N1057" s="176"/>
      <c r="O1057" s="176"/>
      <c r="P1057" s="176"/>
      <c r="Q1057" s="176"/>
      <c r="R1057" s="176"/>
      <c r="S1057" s="176"/>
      <c r="T1057" s="176"/>
      <c r="U1057" s="176"/>
      <c r="V1057" s="176"/>
      <c r="W1057" s="176"/>
      <c r="X1057" s="176"/>
      <c r="Y1057" s="176"/>
    </row>
    <row r="1058" spans="1:25">
      <c r="A1058" s="91"/>
      <c r="B1058" s="176"/>
      <c r="C1058" s="176"/>
      <c r="D1058" s="176"/>
      <c r="E1058" s="176"/>
      <c r="F1058" s="176"/>
      <c r="G1058" s="176"/>
      <c r="H1058" s="176"/>
      <c r="I1058" s="176"/>
      <c r="J1058" s="176"/>
      <c r="K1058" s="176"/>
      <c r="L1058" s="176"/>
      <c r="M1058" s="176"/>
      <c r="N1058" s="176"/>
      <c r="O1058" s="176"/>
      <c r="P1058" s="176"/>
      <c r="Q1058" s="176"/>
      <c r="R1058" s="176"/>
      <c r="S1058" s="176"/>
      <c r="T1058" s="176"/>
      <c r="U1058" s="176"/>
      <c r="V1058" s="176"/>
      <c r="W1058" s="176"/>
      <c r="X1058" s="176"/>
      <c r="Y1058" s="176"/>
    </row>
    <row r="1059" spans="1:25">
      <c r="A1059" s="91"/>
      <c r="B1059" s="176"/>
      <c r="C1059" s="176"/>
      <c r="D1059" s="176"/>
      <c r="E1059" s="176"/>
      <c r="F1059" s="176"/>
      <c r="G1059" s="176"/>
      <c r="H1059" s="176"/>
      <c r="I1059" s="176"/>
      <c r="J1059" s="176"/>
      <c r="K1059" s="176"/>
      <c r="L1059" s="176"/>
      <c r="M1059" s="176"/>
      <c r="N1059" s="176"/>
      <c r="O1059" s="176"/>
      <c r="P1059" s="176"/>
      <c r="Q1059" s="176"/>
      <c r="R1059" s="176"/>
      <c r="S1059" s="176"/>
      <c r="T1059" s="176"/>
      <c r="U1059" s="176"/>
      <c r="V1059" s="176"/>
      <c r="W1059" s="176"/>
      <c r="X1059" s="176"/>
      <c r="Y1059" s="176"/>
    </row>
    <row r="1060" spans="1:25">
      <c r="A1060" s="91"/>
      <c r="B1060" s="176"/>
      <c r="C1060" s="176"/>
      <c r="D1060" s="176"/>
      <c r="E1060" s="176"/>
      <c r="F1060" s="176"/>
      <c r="G1060" s="176"/>
      <c r="H1060" s="176"/>
      <c r="I1060" s="176"/>
      <c r="J1060" s="176"/>
      <c r="K1060" s="176"/>
      <c r="L1060" s="176"/>
      <c r="M1060" s="176"/>
      <c r="N1060" s="176"/>
      <c r="O1060" s="176"/>
      <c r="P1060" s="176"/>
      <c r="Q1060" s="176"/>
      <c r="R1060" s="176"/>
      <c r="S1060" s="176"/>
      <c r="T1060" s="176"/>
      <c r="U1060" s="176"/>
      <c r="V1060" s="176"/>
      <c r="W1060" s="176"/>
      <c r="X1060" s="176"/>
      <c r="Y1060" s="176"/>
    </row>
    <row r="1061" spans="1:25">
      <c r="A1061" s="91"/>
      <c r="B1061" s="176"/>
      <c r="C1061" s="176"/>
      <c r="D1061" s="176"/>
      <c r="E1061" s="176"/>
      <c r="F1061" s="176"/>
      <c r="G1061" s="176"/>
      <c r="H1061" s="176"/>
      <c r="I1061" s="176"/>
      <c r="J1061" s="176"/>
      <c r="K1061" s="176"/>
      <c r="L1061" s="176"/>
      <c r="M1061" s="176"/>
      <c r="N1061" s="176"/>
      <c r="O1061" s="176"/>
      <c r="P1061" s="176"/>
      <c r="Q1061" s="176"/>
      <c r="R1061" s="176"/>
      <c r="S1061" s="176"/>
      <c r="T1061" s="176"/>
      <c r="U1061" s="176"/>
      <c r="V1061" s="176"/>
      <c r="W1061" s="176"/>
      <c r="X1061" s="176"/>
      <c r="Y1061" s="176"/>
    </row>
    <row r="1062" spans="1:25">
      <c r="A1062" s="91"/>
      <c r="B1062" s="176"/>
      <c r="C1062" s="176"/>
      <c r="D1062" s="176"/>
      <c r="E1062" s="176"/>
      <c r="F1062" s="176"/>
      <c r="G1062" s="176"/>
      <c r="H1062" s="176"/>
      <c r="I1062" s="176"/>
      <c r="J1062" s="176"/>
      <c r="K1062" s="176"/>
      <c r="L1062" s="176"/>
      <c r="M1062" s="176"/>
      <c r="N1062" s="176"/>
      <c r="O1062" s="176"/>
      <c r="P1062" s="176"/>
      <c r="Q1062" s="176"/>
      <c r="R1062" s="176"/>
      <c r="S1062" s="176"/>
      <c r="T1062" s="176"/>
      <c r="U1062" s="176"/>
      <c r="V1062" s="176"/>
      <c r="W1062" s="176"/>
      <c r="X1062" s="176"/>
      <c r="Y1062" s="176"/>
    </row>
    <row r="1063" spans="1:25">
      <c r="A1063" s="91"/>
      <c r="B1063" s="176"/>
      <c r="C1063" s="176"/>
      <c r="D1063" s="176"/>
      <c r="E1063" s="176"/>
      <c r="F1063" s="176"/>
      <c r="G1063" s="176"/>
      <c r="H1063" s="176"/>
      <c r="I1063" s="176"/>
      <c r="J1063" s="176"/>
      <c r="K1063" s="176"/>
      <c r="L1063" s="176"/>
      <c r="M1063" s="176"/>
      <c r="N1063" s="176"/>
      <c r="O1063" s="176"/>
      <c r="P1063" s="176"/>
      <c r="Q1063" s="176"/>
      <c r="R1063" s="176"/>
      <c r="S1063" s="176"/>
      <c r="T1063" s="176"/>
      <c r="U1063" s="176"/>
      <c r="V1063" s="176"/>
      <c r="W1063" s="176"/>
      <c r="X1063" s="176"/>
      <c r="Y1063" s="176"/>
    </row>
    <row r="1064" spans="1:25">
      <c r="A1064" s="91"/>
      <c r="B1064" s="176"/>
      <c r="C1064" s="176"/>
      <c r="D1064" s="176"/>
      <c r="E1064" s="176"/>
      <c r="F1064" s="176"/>
      <c r="G1064" s="176"/>
      <c r="H1064" s="176"/>
      <c r="I1064" s="176"/>
      <c r="J1064" s="176"/>
      <c r="K1064" s="176"/>
      <c r="L1064" s="176"/>
      <c r="M1064" s="176"/>
      <c r="N1064" s="176"/>
      <c r="O1064" s="176"/>
      <c r="P1064" s="176"/>
      <c r="Q1064" s="176"/>
      <c r="R1064" s="176"/>
      <c r="S1064" s="176"/>
      <c r="T1064" s="176"/>
      <c r="U1064" s="176"/>
      <c r="V1064" s="176"/>
      <c r="W1064" s="176"/>
      <c r="X1064" s="176"/>
      <c r="Y1064" s="176"/>
    </row>
    <row r="1065" spans="1:25">
      <c r="A1065" s="91"/>
      <c r="B1065" s="176"/>
      <c r="C1065" s="176"/>
      <c r="D1065" s="176"/>
      <c r="E1065" s="176"/>
      <c r="F1065" s="176"/>
      <c r="G1065" s="176"/>
      <c r="H1065" s="176"/>
      <c r="I1065" s="176"/>
      <c r="J1065" s="176"/>
      <c r="K1065" s="176"/>
      <c r="L1065" s="176"/>
      <c r="M1065" s="176"/>
      <c r="N1065" s="176"/>
      <c r="O1065" s="176"/>
      <c r="P1065" s="176"/>
      <c r="Q1065" s="176"/>
      <c r="R1065" s="176"/>
      <c r="S1065" s="176"/>
      <c r="T1065" s="176"/>
      <c r="U1065" s="176"/>
      <c r="V1065" s="176"/>
      <c r="W1065" s="176"/>
      <c r="X1065" s="176"/>
      <c r="Y1065" s="176"/>
    </row>
    <row r="1066" spans="1:25">
      <c r="A1066" s="91"/>
      <c r="B1066" s="176"/>
      <c r="C1066" s="176"/>
      <c r="D1066" s="176"/>
      <c r="E1066" s="176"/>
      <c r="F1066" s="176"/>
      <c r="G1066" s="176"/>
      <c r="H1066" s="176"/>
      <c r="I1066" s="176"/>
      <c r="J1066" s="176"/>
      <c r="K1066" s="176"/>
      <c r="L1066" s="176"/>
      <c r="M1066" s="176"/>
      <c r="N1066" s="176"/>
      <c r="O1066" s="176"/>
      <c r="P1066" s="176"/>
      <c r="Q1066" s="176"/>
      <c r="R1066" s="176"/>
      <c r="S1066" s="176"/>
      <c r="T1066" s="176"/>
      <c r="U1066" s="176"/>
      <c r="V1066" s="176"/>
      <c r="W1066" s="176"/>
      <c r="X1066" s="176"/>
      <c r="Y1066" s="176"/>
    </row>
    <row r="1067" spans="1:25">
      <c r="A1067" s="91"/>
      <c r="B1067" s="176"/>
      <c r="C1067" s="176"/>
      <c r="D1067" s="176"/>
      <c r="E1067" s="176"/>
      <c r="F1067" s="176"/>
      <c r="G1067" s="176"/>
      <c r="H1067" s="176"/>
      <c r="I1067" s="176"/>
      <c r="J1067" s="176"/>
      <c r="K1067" s="176"/>
      <c r="L1067" s="176"/>
      <c r="M1067" s="176"/>
      <c r="N1067" s="176"/>
      <c r="O1067" s="176"/>
      <c r="P1067" s="176"/>
      <c r="Q1067" s="176"/>
      <c r="R1067" s="176"/>
      <c r="S1067" s="176"/>
      <c r="T1067" s="176"/>
      <c r="U1067" s="176"/>
      <c r="V1067" s="176"/>
      <c r="W1067" s="176"/>
      <c r="X1067" s="176"/>
      <c r="Y1067" s="176"/>
    </row>
    <row r="1068" spans="1:25">
      <c r="A1068" s="91"/>
      <c r="B1068" s="176"/>
      <c r="C1068" s="176"/>
      <c r="D1068" s="176"/>
      <c r="E1068" s="176"/>
      <c r="F1068" s="176"/>
      <c r="G1068" s="176"/>
      <c r="H1068" s="176"/>
      <c r="I1068" s="176"/>
      <c r="J1068" s="176"/>
      <c r="K1068" s="176"/>
      <c r="L1068" s="176"/>
      <c r="M1068" s="176"/>
      <c r="N1068" s="176"/>
      <c r="O1068" s="176"/>
      <c r="P1068" s="176"/>
      <c r="Q1068" s="176"/>
      <c r="R1068" s="176"/>
      <c r="S1068" s="176"/>
      <c r="T1068" s="176"/>
      <c r="U1068" s="176"/>
      <c r="V1068" s="176"/>
      <c r="W1068" s="176"/>
      <c r="X1068" s="176"/>
      <c r="Y1068" s="176"/>
    </row>
    <row r="1069" spans="1:25">
      <c r="A1069" s="91"/>
      <c r="B1069" s="176"/>
      <c r="C1069" s="176"/>
      <c r="D1069" s="176"/>
      <c r="E1069" s="176"/>
      <c r="F1069" s="176"/>
      <c r="G1069" s="176"/>
      <c r="H1069" s="176"/>
      <c r="I1069" s="176"/>
      <c r="J1069" s="176"/>
      <c r="K1069" s="176"/>
      <c r="L1069" s="176"/>
      <c r="M1069" s="176"/>
      <c r="N1069" s="176"/>
      <c r="O1069" s="176"/>
      <c r="P1069" s="176"/>
      <c r="Q1069" s="176"/>
      <c r="R1069" s="176"/>
      <c r="S1069" s="176"/>
      <c r="T1069" s="176"/>
      <c r="U1069" s="176"/>
      <c r="V1069" s="176"/>
      <c r="W1069" s="176"/>
      <c r="X1069" s="176"/>
      <c r="Y1069" s="176"/>
    </row>
    <row r="1070" spans="1:25">
      <c r="A1070" s="91"/>
      <c r="B1070" s="176"/>
      <c r="C1070" s="176"/>
      <c r="D1070" s="176"/>
      <c r="E1070" s="176"/>
      <c r="F1070" s="176"/>
      <c r="G1070" s="176"/>
      <c r="H1070" s="176"/>
      <c r="I1070" s="176"/>
      <c r="J1070" s="176"/>
      <c r="K1070" s="176"/>
      <c r="L1070" s="176"/>
      <c r="M1070" s="176"/>
      <c r="N1070" s="176"/>
      <c r="O1070" s="176"/>
      <c r="P1070" s="176"/>
      <c r="Q1070" s="176"/>
      <c r="R1070" s="176"/>
      <c r="S1070" s="176"/>
      <c r="T1070" s="176"/>
      <c r="U1070" s="176"/>
      <c r="V1070" s="176"/>
      <c r="W1070" s="176"/>
      <c r="X1070" s="176"/>
      <c r="Y1070" s="176"/>
    </row>
    <row r="1071" spans="1:25">
      <c r="A1071" s="91"/>
      <c r="B1071" s="176"/>
      <c r="C1071" s="176"/>
      <c r="D1071" s="176"/>
      <c r="E1071" s="176"/>
      <c r="F1071" s="176"/>
      <c r="G1071" s="176"/>
      <c r="H1071" s="176"/>
      <c r="I1071" s="176"/>
      <c r="J1071" s="176"/>
      <c r="K1071" s="176"/>
      <c r="L1071" s="176"/>
      <c r="M1071" s="176"/>
      <c r="N1071" s="176"/>
      <c r="O1071" s="176"/>
      <c r="P1071" s="176"/>
      <c r="Q1071" s="176"/>
      <c r="R1071" s="176"/>
      <c r="S1071" s="176"/>
      <c r="T1071" s="176"/>
      <c r="U1071" s="176"/>
      <c r="V1071" s="176"/>
      <c r="W1071" s="176"/>
      <c r="X1071" s="176"/>
      <c r="Y1071" s="176"/>
    </row>
    <row r="1072" spans="1:25">
      <c r="A1072" s="91"/>
      <c r="B1072" s="176"/>
      <c r="C1072" s="176"/>
      <c r="D1072" s="176"/>
      <c r="E1072" s="176"/>
      <c r="F1072" s="176"/>
      <c r="G1072" s="176"/>
      <c r="H1072" s="176"/>
      <c r="I1072" s="176"/>
      <c r="J1072" s="176"/>
      <c r="K1072" s="176"/>
      <c r="L1072" s="176"/>
      <c r="M1072" s="176"/>
      <c r="N1072" s="176"/>
      <c r="O1072" s="176"/>
      <c r="P1072" s="176"/>
      <c r="Q1072" s="176"/>
      <c r="R1072" s="176"/>
      <c r="S1072" s="176"/>
      <c r="T1072" s="176"/>
      <c r="U1072" s="176"/>
      <c r="V1072" s="176"/>
      <c r="W1072" s="176"/>
      <c r="X1072" s="176"/>
      <c r="Y1072" s="176"/>
    </row>
    <row r="1073" spans="1:25">
      <c r="A1073" s="91"/>
      <c r="B1073" s="176"/>
      <c r="C1073" s="176"/>
      <c r="D1073" s="176"/>
      <c r="E1073" s="176"/>
      <c r="F1073" s="176"/>
      <c r="G1073" s="176"/>
      <c r="H1073" s="176"/>
      <c r="I1073" s="176"/>
      <c r="J1073" s="176"/>
      <c r="K1073" s="176"/>
      <c r="L1073" s="176"/>
      <c r="M1073" s="176"/>
      <c r="N1073" s="176"/>
      <c r="O1073" s="176"/>
      <c r="P1073" s="176"/>
      <c r="Q1073" s="176"/>
      <c r="R1073" s="176"/>
      <c r="S1073" s="176"/>
      <c r="T1073" s="176"/>
      <c r="U1073" s="176"/>
      <c r="V1073" s="176"/>
      <c r="W1073" s="176"/>
      <c r="X1073" s="176"/>
      <c r="Y1073" s="176"/>
    </row>
    <row r="1074" spans="1:25">
      <c r="A1074" s="91"/>
      <c r="B1074" s="176"/>
      <c r="C1074" s="176"/>
      <c r="D1074" s="176"/>
      <c r="E1074" s="176"/>
      <c r="F1074" s="176"/>
      <c r="G1074" s="176"/>
      <c r="H1074" s="176"/>
      <c r="I1074" s="176"/>
      <c r="J1074" s="176"/>
      <c r="K1074" s="176"/>
      <c r="L1074" s="176"/>
      <c r="M1074" s="176"/>
      <c r="N1074" s="176"/>
      <c r="O1074" s="176"/>
      <c r="P1074" s="176"/>
      <c r="Q1074" s="176"/>
      <c r="R1074" s="176"/>
      <c r="S1074" s="176"/>
      <c r="T1074" s="176"/>
      <c r="U1074" s="176"/>
      <c r="V1074" s="176"/>
      <c r="W1074" s="176"/>
      <c r="X1074" s="176"/>
      <c r="Y1074" s="176"/>
    </row>
    <row r="1075" spans="1:25">
      <c r="A1075" s="91"/>
      <c r="B1075" s="176"/>
      <c r="C1075" s="176"/>
      <c r="D1075" s="176"/>
      <c r="E1075" s="176"/>
      <c r="F1075" s="176"/>
      <c r="G1075" s="176"/>
      <c r="H1075" s="176"/>
      <c r="I1075" s="176"/>
      <c r="J1075" s="176"/>
      <c r="K1075" s="176"/>
      <c r="L1075" s="176"/>
      <c r="M1075" s="176"/>
      <c r="N1075" s="176"/>
      <c r="O1075" s="176"/>
      <c r="P1075" s="176"/>
      <c r="Q1075" s="176"/>
      <c r="R1075" s="176"/>
      <c r="S1075" s="176"/>
      <c r="T1075" s="176"/>
      <c r="U1075" s="176"/>
      <c r="V1075" s="176"/>
      <c r="W1075" s="176"/>
      <c r="X1075" s="176"/>
      <c r="Y1075" s="176"/>
    </row>
    <row r="1076" spans="1:25">
      <c r="A1076" s="91"/>
      <c r="B1076" s="176"/>
      <c r="C1076" s="176"/>
      <c r="D1076" s="176"/>
      <c r="E1076" s="176"/>
      <c r="F1076" s="176"/>
      <c r="G1076" s="176"/>
      <c r="H1076" s="176"/>
      <c r="I1076" s="176"/>
      <c r="J1076" s="176"/>
      <c r="K1076" s="176"/>
      <c r="L1076" s="176"/>
      <c r="M1076" s="176"/>
      <c r="N1076" s="176"/>
      <c r="O1076" s="176"/>
      <c r="P1076" s="176"/>
      <c r="Q1076" s="176"/>
      <c r="R1076" s="176"/>
      <c r="S1076" s="176"/>
      <c r="T1076" s="176"/>
      <c r="U1076" s="176"/>
      <c r="V1076" s="176"/>
      <c r="W1076" s="176"/>
      <c r="X1076" s="176"/>
      <c r="Y1076" s="176"/>
    </row>
    <row r="1077" spans="1:25">
      <c r="A1077" s="91"/>
      <c r="B1077" s="176"/>
      <c r="C1077" s="176"/>
      <c r="D1077" s="176"/>
      <c r="E1077" s="176"/>
      <c r="F1077" s="176"/>
      <c r="G1077" s="176"/>
      <c r="H1077" s="176"/>
      <c r="I1077" s="176"/>
      <c r="J1077" s="176"/>
      <c r="K1077" s="176"/>
      <c r="L1077" s="176"/>
      <c r="M1077" s="176"/>
      <c r="N1077" s="176"/>
      <c r="O1077" s="176"/>
      <c r="P1077" s="176"/>
      <c r="Q1077" s="176"/>
      <c r="R1077" s="176"/>
      <c r="S1077" s="176"/>
      <c r="T1077" s="176"/>
      <c r="U1077" s="176"/>
      <c r="V1077" s="176"/>
      <c r="W1077" s="176"/>
      <c r="X1077" s="176"/>
      <c r="Y1077" s="176"/>
    </row>
    <row r="1078" spans="1:25">
      <c r="A1078" s="91"/>
      <c r="B1078" s="176"/>
      <c r="C1078" s="176"/>
      <c r="D1078" s="176"/>
      <c r="E1078" s="176"/>
      <c r="F1078" s="176"/>
      <c r="G1078" s="176"/>
      <c r="H1078" s="176"/>
      <c r="I1078" s="176"/>
      <c r="J1078" s="176"/>
      <c r="K1078" s="176"/>
      <c r="L1078" s="176"/>
      <c r="M1078" s="176"/>
      <c r="N1078" s="176"/>
      <c r="O1078" s="176"/>
      <c r="P1078" s="176"/>
      <c r="Q1078" s="176"/>
      <c r="R1078" s="176"/>
      <c r="S1078" s="176"/>
      <c r="T1078" s="176"/>
      <c r="U1078" s="176"/>
      <c r="V1078" s="176"/>
      <c r="W1078" s="176"/>
      <c r="X1078" s="176"/>
      <c r="Y1078" s="176"/>
    </row>
    <row r="1079" spans="1:25">
      <c r="A1079" s="91"/>
      <c r="B1079" s="176"/>
      <c r="C1079" s="176"/>
      <c r="D1079" s="176"/>
      <c r="E1079" s="176"/>
      <c r="F1079" s="176"/>
      <c r="G1079" s="176"/>
      <c r="H1079" s="176"/>
      <c r="I1079" s="176"/>
      <c r="J1079" s="176"/>
      <c r="K1079" s="176"/>
      <c r="L1079" s="176"/>
      <c r="M1079" s="176"/>
      <c r="N1079" s="176"/>
      <c r="O1079" s="176"/>
      <c r="P1079" s="176"/>
      <c r="Q1079" s="176"/>
      <c r="R1079" s="176"/>
      <c r="S1079" s="176"/>
      <c r="T1079" s="176"/>
      <c r="U1079" s="176"/>
      <c r="V1079" s="176"/>
      <c r="W1079" s="176"/>
      <c r="X1079" s="176"/>
      <c r="Y1079" s="176"/>
    </row>
    <row r="1080" spans="1:25">
      <c r="A1080" s="91"/>
      <c r="B1080" s="176"/>
      <c r="C1080" s="176"/>
      <c r="D1080" s="176"/>
      <c r="E1080" s="176"/>
      <c r="F1080" s="176"/>
      <c r="G1080" s="176"/>
      <c r="H1080" s="176"/>
      <c r="I1080" s="176"/>
      <c r="J1080" s="176"/>
      <c r="K1080" s="176"/>
      <c r="L1080" s="176"/>
      <c r="M1080" s="176"/>
      <c r="N1080" s="176"/>
      <c r="O1080" s="176"/>
      <c r="P1080" s="176"/>
      <c r="Q1080" s="176"/>
      <c r="R1080" s="176"/>
      <c r="S1080" s="176"/>
      <c r="T1080" s="176"/>
      <c r="U1080" s="176"/>
      <c r="V1080" s="176"/>
      <c r="W1080" s="176"/>
      <c r="X1080" s="176"/>
      <c r="Y1080" s="176"/>
    </row>
    <row r="1081" spans="1:25">
      <c r="A1081" s="91"/>
      <c r="B1081" s="176"/>
      <c r="C1081" s="176"/>
      <c r="D1081" s="176"/>
      <c r="E1081" s="176"/>
      <c r="F1081" s="176"/>
      <c r="G1081" s="176"/>
      <c r="H1081" s="176"/>
      <c r="I1081" s="176"/>
      <c r="J1081" s="176"/>
      <c r="K1081" s="176"/>
      <c r="L1081" s="176"/>
      <c r="M1081" s="176"/>
      <c r="N1081" s="176"/>
      <c r="O1081" s="176"/>
      <c r="P1081" s="176"/>
      <c r="Q1081" s="176"/>
      <c r="R1081" s="176"/>
      <c r="S1081" s="176"/>
      <c r="T1081" s="176"/>
      <c r="U1081" s="176"/>
      <c r="V1081" s="176"/>
      <c r="W1081" s="176"/>
      <c r="X1081" s="176"/>
      <c r="Y1081" s="176"/>
    </row>
    <row r="1082" spans="1:25">
      <c r="A1082" s="91"/>
      <c r="B1082" s="176"/>
      <c r="C1082" s="176"/>
      <c r="D1082" s="176"/>
      <c r="E1082" s="176"/>
      <c r="F1082" s="176"/>
      <c r="G1082" s="176"/>
      <c r="H1082" s="176"/>
      <c r="I1082" s="176"/>
      <c r="J1082" s="176"/>
      <c r="K1082" s="176"/>
      <c r="L1082" s="176"/>
      <c r="M1082" s="176"/>
      <c r="N1082" s="176"/>
      <c r="O1082" s="176"/>
      <c r="P1082" s="176"/>
      <c r="Q1082" s="176"/>
      <c r="R1082" s="176"/>
      <c r="S1082" s="176"/>
      <c r="T1082" s="176"/>
      <c r="U1082" s="176"/>
      <c r="V1082" s="176"/>
      <c r="W1082" s="176"/>
      <c r="X1082" s="176"/>
      <c r="Y1082" s="176"/>
    </row>
    <row r="1083" spans="1:25">
      <c r="A1083" s="91"/>
      <c r="B1083" s="176"/>
      <c r="C1083" s="176"/>
      <c r="D1083" s="176"/>
      <c r="E1083" s="176"/>
      <c r="F1083" s="176"/>
      <c r="G1083" s="176"/>
      <c r="H1083" s="176"/>
      <c r="I1083" s="176"/>
      <c r="J1083" s="176"/>
      <c r="K1083" s="176"/>
      <c r="L1083" s="176"/>
      <c r="M1083" s="176"/>
      <c r="N1083" s="176"/>
      <c r="O1083" s="176"/>
      <c r="P1083" s="176"/>
      <c r="Q1083" s="176"/>
      <c r="R1083" s="176"/>
      <c r="S1083" s="176"/>
      <c r="T1083" s="176"/>
      <c r="U1083" s="176"/>
      <c r="V1083" s="176"/>
      <c r="W1083" s="176"/>
      <c r="X1083" s="176"/>
      <c r="Y1083" s="176"/>
    </row>
    <row r="1084" spans="1:25">
      <c r="A1084" s="91"/>
      <c r="B1084" s="176"/>
      <c r="C1084" s="176"/>
      <c r="D1084" s="176"/>
      <c r="E1084" s="176"/>
      <c r="F1084" s="176"/>
      <c r="G1084" s="176"/>
      <c r="H1084" s="176"/>
      <c r="I1084" s="176"/>
      <c r="J1084" s="176"/>
      <c r="K1084" s="176"/>
      <c r="L1084" s="176"/>
      <c r="M1084" s="176"/>
      <c r="N1084" s="176"/>
      <c r="O1084" s="176"/>
      <c r="P1084" s="176"/>
      <c r="Q1084" s="176"/>
      <c r="R1084" s="176"/>
      <c r="S1084" s="176"/>
      <c r="T1084" s="176"/>
      <c r="U1084" s="176"/>
      <c r="V1084" s="176"/>
      <c r="W1084" s="176"/>
      <c r="X1084" s="176"/>
      <c r="Y1084" s="176"/>
    </row>
    <row r="1085" spans="1:25">
      <c r="A1085" s="91"/>
      <c r="B1085" s="176"/>
      <c r="C1085" s="176"/>
      <c r="D1085" s="176"/>
      <c r="E1085" s="176"/>
      <c r="F1085" s="176"/>
      <c r="G1085" s="176"/>
      <c r="H1085" s="176"/>
      <c r="I1085" s="176"/>
      <c r="J1085" s="176"/>
      <c r="K1085" s="176"/>
      <c r="L1085" s="176"/>
      <c r="M1085" s="176"/>
      <c r="N1085" s="176"/>
      <c r="O1085" s="176"/>
      <c r="P1085" s="176"/>
      <c r="Q1085" s="176"/>
      <c r="R1085" s="176"/>
      <c r="S1085" s="176"/>
      <c r="T1085" s="176"/>
      <c r="U1085" s="176"/>
      <c r="V1085" s="176"/>
      <c r="W1085" s="176"/>
      <c r="X1085" s="176"/>
      <c r="Y1085" s="176"/>
    </row>
    <row r="1086" spans="1:25">
      <c r="A1086" s="91"/>
      <c r="B1086" s="176"/>
      <c r="C1086" s="176"/>
      <c r="D1086" s="176"/>
      <c r="E1086" s="176"/>
      <c r="F1086" s="176"/>
      <c r="G1086" s="176"/>
      <c r="H1086" s="176"/>
      <c r="I1086" s="176"/>
      <c r="J1086" s="176"/>
      <c r="K1086" s="176"/>
      <c r="L1086" s="176"/>
      <c r="M1086" s="176"/>
      <c r="N1086" s="176"/>
      <c r="O1086" s="176"/>
      <c r="P1086" s="176"/>
      <c r="Q1086" s="176"/>
      <c r="R1086" s="176"/>
      <c r="S1086" s="176"/>
      <c r="T1086" s="176"/>
      <c r="U1086" s="176"/>
      <c r="V1086" s="176"/>
      <c r="W1086" s="176"/>
      <c r="X1086" s="176"/>
      <c r="Y1086" s="176"/>
    </row>
    <row r="1087" spans="1:25">
      <c r="A1087" s="91"/>
      <c r="B1087" s="176"/>
      <c r="C1087" s="176"/>
      <c r="D1087" s="176"/>
      <c r="E1087" s="176"/>
      <c r="F1087" s="176"/>
      <c r="G1087" s="176"/>
      <c r="H1087" s="176"/>
      <c r="I1087" s="176"/>
      <c r="J1087" s="176"/>
      <c r="K1087" s="176"/>
      <c r="L1087" s="176"/>
      <c r="M1087" s="176"/>
      <c r="N1087" s="176"/>
      <c r="O1087" s="176"/>
      <c r="P1087" s="176"/>
      <c r="Q1087" s="176"/>
      <c r="R1087" s="176"/>
      <c r="S1087" s="176"/>
      <c r="T1087" s="176"/>
      <c r="U1087" s="176"/>
      <c r="V1087" s="176"/>
      <c r="W1087" s="176"/>
      <c r="X1087" s="176"/>
      <c r="Y1087" s="176"/>
    </row>
    <row r="1088" spans="1:25">
      <c r="A1088" s="91"/>
      <c r="B1088" s="176"/>
      <c r="C1088" s="176"/>
      <c r="D1088" s="176"/>
      <c r="E1088" s="176"/>
      <c r="F1088" s="176"/>
      <c r="G1088" s="176"/>
      <c r="H1088" s="176"/>
      <c r="I1088" s="176"/>
      <c r="J1088" s="176"/>
      <c r="K1088" s="176"/>
      <c r="L1088" s="176"/>
      <c r="M1088" s="176"/>
      <c r="N1088" s="176"/>
      <c r="O1088" s="176"/>
      <c r="P1088" s="176"/>
      <c r="Q1088" s="176"/>
      <c r="R1088" s="176"/>
      <c r="S1088" s="176"/>
      <c r="T1088" s="176"/>
      <c r="U1088" s="176"/>
      <c r="V1088" s="176"/>
      <c r="W1088" s="176"/>
      <c r="X1088" s="176"/>
      <c r="Y1088" s="176"/>
    </row>
    <row r="1089" spans="1:25">
      <c r="A1089" s="91"/>
      <c r="B1089" s="176"/>
      <c r="C1089" s="176"/>
      <c r="D1089" s="176"/>
      <c r="E1089" s="176"/>
      <c r="F1089" s="176"/>
      <c r="G1089" s="176"/>
      <c r="H1089" s="176"/>
      <c r="I1089" s="176"/>
      <c r="J1089" s="176"/>
      <c r="K1089" s="176"/>
      <c r="L1089" s="176"/>
      <c r="M1089" s="176"/>
      <c r="N1089" s="176"/>
      <c r="O1089" s="176"/>
      <c r="P1089" s="176"/>
      <c r="Q1089" s="176"/>
      <c r="R1089" s="176"/>
      <c r="S1089" s="176"/>
      <c r="T1089" s="176"/>
      <c r="U1089" s="176"/>
      <c r="V1089" s="176"/>
      <c r="W1089" s="176"/>
      <c r="X1089" s="176"/>
      <c r="Y1089" s="176"/>
    </row>
    <row r="1090" spans="1:25">
      <c r="A1090" s="91"/>
      <c r="B1090" s="176"/>
      <c r="C1090" s="176"/>
      <c r="D1090" s="176"/>
      <c r="E1090" s="176"/>
      <c r="F1090" s="176"/>
      <c r="G1090" s="176"/>
      <c r="H1090" s="176"/>
      <c r="I1090" s="176"/>
      <c r="J1090" s="176"/>
      <c r="K1090" s="176"/>
      <c r="L1090" s="176"/>
      <c r="M1090" s="176"/>
      <c r="N1090" s="176"/>
      <c r="O1090" s="176"/>
      <c r="P1090" s="176"/>
      <c r="Q1090" s="176"/>
      <c r="R1090" s="176"/>
      <c r="S1090" s="176"/>
      <c r="T1090" s="176"/>
      <c r="U1090" s="176"/>
      <c r="V1090" s="176"/>
      <c r="W1090" s="176"/>
      <c r="X1090" s="176"/>
      <c r="Y1090" s="176"/>
    </row>
    <row r="1091" spans="1:25">
      <c r="A1091" s="91"/>
      <c r="B1091" s="176"/>
      <c r="C1091" s="176"/>
      <c r="D1091" s="176"/>
      <c r="E1091" s="176"/>
      <c r="F1091" s="176"/>
      <c r="G1091" s="176"/>
      <c r="H1091" s="176"/>
      <c r="I1091" s="176"/>
      <c r="J1091" s="176"/>
      <c r="K1091" s="176"/>
      <c r="L1091" s="176"/>
      <c r="M1091" s="176"/>
      <c r="N1091" s="176"/>
      <c r="O1091" s="176"/>
      <c r="P1091" s="176"/>
      <c r="Q1091" s="176"/>
      <c r="R1091" s="176"/>
      <c r="S1091" s="176"/>
      <c r="T1091" s="176"/>
      <c r="U1091" s="176"/>
      <c r="V1091" s="176"/>
      <c r="W1091" s="176"/>
      <c r="X1091" s="176"/>
      <c r="Y1091" s="176"/>
    </row>
    <row r="1092" spans="1:25">
      <c r="A1092" s="91"/>
      <c r="B1092" s="176"/>
      <c r="C1092" s="176"/>
      <c r="D1092" s="176"/>
      <c r="E1092" s="176"/>
      <c r="F1092" s="176"/>
      <c r="G1092" s="176"/>
      <c r="H1092" s="176"/>
      <c r="I1092" s="176"/>
      <c r="J1092" s="176"/>
      <c r="K1092" s="176"/>
      <c r="L1092" s="176"/>
      <c r="M1092" s="176"/>
      <c r="N1092" s="176"/>
      <c r="O1092" s="176"/>
      <c r="P1092" s="176"/>
      <c r="Q1092" s="176"/>
      <c r="R1092" s="176"/>
      <c r="S1092" s="176"/>
      <c r="T1092" s="176"/>
      <c r="U1092" s="176"/>
      <c r="V1092" s="176"/>
      <c r="W1092" s="176"/>
      <c r="X1092" s="176"/>
      <c r="Y1092" s="176"/>
    </row>
    <row r="1093" spans="1:25">
      <c r="A1093" s="91"/>
      <c r="B1093" s="176"/>
      <c r="C1093" s="176"/>
      <c r="D1093" s="176"/>
      <c r="E1093" s="176"/>
      <c r="F1093" s="176"/>
      <c r="G1093" s="176"/>
      <c r="H1093" s="176"/>
      <c r="I1093" s="176"/>
      <c r="J1093" s="176"/>
      <c r="K1093" s="176"/>
      <c r="L1093" s="176"/>
      <c r="M1093" s="176"/>
      <c r="N1093" s="176"/>
      <c r="O1093" s="176"/>
      <c r="P1093" s="176"/>
      <c r="Q1093" s="176"/>
      <c r="R1093" s="176"/>
      <c r="S1093" s="176"/>
      <c r="T1093" s="176"/>
      <c r="U1093" s="176"/>
      <c r="V1093" s="176"/>
      <c r="W1093" s="176"/>
      <c r="X1093" s="176"/>
      <c r="Y1093" s="176"/>
    </row>
    <row r="1094" spans="1:25">
      <c r="A1094" s="91"/>
      <c r="B1094" s="176"/>
      <c r="C1094" s="176"/>
      <c r="D1094" s="176"/>
      <c r="E1094" s="176"/>
      <c r="F1094" s="176"/>
      <c r="G1094" s="176"/>
      <c r="H1094" s="176"/>
      <c r="I1094" s="176"/>
      <c r="J1094" s="176"/>
      <c r="K1094" s="176"/>
      <c r="L1094" s="176"/>
      <c r="M1094" s="176"/>
      <c r="N1094" s="176"/>
      <c r="O1094" s="176"/>
      <c r="P1094" s="176"/>
      <c r="Q1094" s="176"/>
      <c r="R1094" s="176"/>
      <c r="S1094" s="176"/>
      <c r="T1094" s="176"/>
      <c r="U1094" s="176"/>
      <c r="V1094" s="176"/>
      <c r="W1094" s="176"/>
      <c r="X1094" s="176"/>
      <c r="Y1094" s="176"/>
    </row>
    <row r="1095" spans="1:25">
      <c r="A1095" s="91"/>
      <c r="B1095" s="176"/>
      <c r="C1095" s="176"/>
      <c r="D1095" s="176"/>
      <c r="E1095" s="176"/>
      <c r="F1095" s="176"/>
      <c r="G1095" s="176"/>
      <c r="H1095" s="176"/>
      <c r="I1095" s="176"/>
      <c r="J1095" s="176"/>
      <c r="K1095" s="176"/>
      <c r="L1095" s="176"/>
      <c r="M1095" s="176"/>
      <c r="N1095" s="176"/>
      <c r="O1095" s="176"/>
      <c r="P1095" s="176"/>
      <c r="Q1095" s="176"/>
      <c r="R1095" s="176"/>
      <c r="S1095" s="176"/>
      <c r="T1095" s="176"/>
      <c r="U1095" s="176"/>
      <c r="V1095" s="176"/>
      <c r="W1095" s="176"/>
      <c r="X1095" s="176"/>
      <c r="Y1095" s="176"/>
    </row>
    <row r="1096" spans="1:25">
      <c r="A1096" s="91"/>
      <c r="B1096" s="176"/>
      <c r="C1096" s="176"/>
      <c r="D1096" s="176"/>
      <c r="E1096" s="176"/>
      <c r="F1096" s="176"/>
      <c r="G1096" s="176"/>
      <c r="H1096" s="176"/>
      <c r="I1096" s="176"/>
      <c r="J1096" s="176"/>
      <c r="K1096" s="176"/>
      <c r="L1096" s="176"/>
      <c r="M1096" s="176"/>
      <c r="N1096" s="176"/>
      <c r="O1096" s="176"/>
      <c r="P1096" s="176"/>
      <c r="Q1096" s="176"/>
      <c r="R1096" s="176"/>
      <c r="S1096" s="176"/>
      <c r="T1096" s="176"/>
      <c r="U1096" s="176"/>
      <c r="V1096" s="176"/>
      <c r="W1096" s="176"/>
      <c r="X1096" s="176"/>
      <c r="Y1096" s="176"/>
    </row>
    <row r="1097" spans="1:25">
      <c r="A1097" s="91"/>
      <c r="B1097" s="176"/>
      <c r="C1097" s="176"/>
      <c r="D1097" s="176"/>
      <c r="E1097" s="176"/>
      <c r="F1097" s="176"/>
      <c r="G1097" s="176"/>
      <c r="H1097" s="176"/>
      <c r="I1097" s="176"/>
      <c r="J1097" s="176"/>
      <c r="K1097" s="176"/>
      <c r="L1097" s="176"/>
      <c r="M1097" s="176"/>
      <c r="N1097" s="176"/>
      <c r="O1097" s="176"/>
      <c r="P1097" s="176"/>
      <c r="Q1097" s="176"/>
      <c r="R1097" s="176"/>
      <c r="S1097" s="176"/>
      <c r="T1097" s="176"/>
      <c r="U1097" s="176"/>
      <c r="V1097" s="176"/>
      <c r="W1097" s="176"/>
      <c r="X1097" s="176"/>
      <c r="Y1097" s="176"/>
    </row>
    <row r="1098" spans="1:25">
      <c r="A1098" s="91"/>
      <c r="B1098" s="176"/>
      <c r="C1098" s="176"/>
      <c r="D1098" s="176"/>
      <c r="E1098" s="176"/>
      <c r="F1098" s="176"/>
      <c r="G1098" s="176"/>
      <c r="H1098" s="176"/>
      <c r="I1098" s="176"/>
      <c r="J1098" s="176"/>
      <c r="K1098" s="176"/>
      <c r="L1098" s="176"/>
      <c r="M1098" s="176"/>
      <c r="N1098" s="176"/>
      <c r="O1098" s="176"/>
      <c r="P1098" s="176"/>
      <c r="Q1098" s="176"/>
      <c r="R1098" s="176"/>
      <c r="S1098" s="176"/>
      <c r="T1098" s="176"/>
      <c r="U1098" s="176"/>
      <c r="V1098" s="176"/>
      <c r="W1098" s="176"/>
      <c r="X1098" s="176"/>
      <c r="Y1098" s="176"/>
    </row>
    <row r="1099" spans="1:25">
      <c r="A1099" s="91"/>
      <c r="B1099" s="176"/>
      <c r="C1099" s="176"/>
      <c r="D1099" s="176"/>
      <c r="E1099" s="176"/>
      <c r="F1099" s="176"/>
      <c r="G1099" s="176"/>
      <c r="H1099" s="176"/>
      <c r="I1099" s="176"/>
      <c r="J1099" s="176"/>
      <c r="K1099" s="176"/>
      <c r="L1099" s="176"/>
      <c r="M1099" s="176"/>
      <c r="N1099" s="176"/>
      <c r="O1099" s="176"/>
      <c r="P1099" s="176"/>
      <c r="Q1099" s="176"/>
      <c r="R1099" s="176"/>
      <c r="S1099" s="176"/>
      <c r="T1099" s="176"/>
      <c r="U1099" s="176"/>
      <c r="V1099" s="176"/>
      <c r="W1099" s="176"/>
      <c r="X1099" s="176"/>
      <c r="Y1099" s="176"/>
    </row>
    <row r="1100" spans="1:25">
      <c r="A1100" s="91"/>
      <c r="B1100" s="176"/>
      <c r="C1100" s="176"/>
      <c r="D1100" s="176"/>
      <c r="E1100" s="176"/>
      <c r="F1100" s="176"/>
      <c r="G1100" s="176"/>
      <c r="H1100" s="176"/>
      <c r="I1100" s="176"/>
      <c r="J1100" s="176"/>
      <c r="K1100" s="176"/>
      <c r="L1100" s="176"/>
      <c r="M1100" s="176"/>
      <c r="N1100" s="176"/>
      <c r="O1100" s="176"/>
      <c r="P1100" s="176"/>
      <c r="Q1100" s="176"/>
      <c r="R1100" s="176"/>
      <c r="S1100" s="176"/>
      <c r="T1100" s="176"/>
      <c r="U1100" s="176"/>
      <c r="V1100" s="176"/>
      <c r="W1100" s="176"/>
      <c r="X1100" s="176"/>
      <c r="Y1100" s="176"/>
    </row>
    <row r="1101" spans="1:25">
      <c r="A1101" s="91"/>
      <c r="B1101" s="176"/>
      <c r="C1101" s="176"/>
      <c r="D1101" s="176"/>
      <c r="E1101" s="176"/>
      <c r="F1101" s="176"/>
      <c r="G1101" s="176"/>
      <c r="H1101" s="176"/>
      <c r="I1101" s="176"/>
      <c r="J1101" s="176"/>
      <c r="K1101" s="176"/>
      <c r="L1101" s="176"/>
      <c r="M1101" s="176"/>
      <c r="N1101" s="176"/>
      <c r="O1101" s="176"/>
      <c r="P1101" s="176"/>
      <c r="Q1101" s="176"/>
      <c r="R1101" s="176"/>
      <c r="S1101" s="176"/>
      <c r="T1101" s="176"/>
      <c r="U1101" s="176"/>
      <c r="V1101" s="176"/>
      <c r="W1101" s="176"/>
      <c r="X1101" s="176"/>
      <c r="Y1101" s="176"/>
    </row>
    <row r="1102" spans="1:25">
      <c r="A1102" s="91"/>
      <c r="B1102" s="176"/>
      <c r="C1102" s="176"/>
      <c r="D1102" s="176"/>
      <c r="E1102" s="176"/>
      <c r="F1102" s="176"/>
      <c r="G1102" s="176"/>
      <c r="H1102" s="176"/>
      <c r="I1102" s="176"/>
      <c r="J1102" s="176"/>
      <c r="K1102" s="176"/>
      <c r="L1102" s="176"/>
      <c r="M1102" s="176"/>
      <c r="N1102" s="176"/>
      <c r="O1102" s="176"/>
      <c r="P1102" s="176"/>
      <c r="Q1102" s="176"/>
      <c r="R1102" s="176"/>
      <c r="S1102" s="176"/>
      <c r="T1102" s="176"/>
      <c r="U1102" s="176"/>
      <c r="V1102" s="176"/>
      <c r="W1102" s="176"/>
      <c r="X1102" s="176"/>
      <c r="Y1102" s="176"/>
    </row>
    <row r="1103" spans="1:25">
      <c r="A1103" s="91"/>
      <c r="B1103" s="176"/>
      <c r="C1103" s="176"/>
      <c r="D1103" s="176"/>
      <c r="E1103" s="176"/>
      <c r="F1103" s="176"/>
      <c r="G1103" s="176"/>
      <c r="H1103" s="176"/>
      <c r="I1103" s="176"/>
      <c r="J1103" s="176"/>
      <c r="K1103" s="176"/>
      <c r="L1103" s="176"/>
      <c r="M1103" s="176"/>
      <c r="N1103" s="176"/>
      <c r="O1103" s="176"/>
      <c r="P1103" s="176"/>
      <c r="Q1103" s="176"/>
      <c r="R1103" s="176"/>
      <c r="S1103" s="176"/>
      <c r="T1103" s="176"/>
      <c r="U1103" s="176"/>
      <c r="V1103" s="176"/>
      <c r="W1103" s="176"/>
      <c r="X1103" s="176"/>
      <c r="Y1103" s="176"/>
    </row>
    <row r="1104" spans="1:25">
      <c r="A1104" s="91"/>
      <c r="B1104" s="176"/>
      <c r="C1104" s="176"/>
      <c r="D1104" s="176"/>
      <c r="E1104" s="176"/>
      <c r="F1104" s="176"/>
      <c r="G1104" s="176"/>
      <c r="H1104" s="176"/>
      <c r="I1104" s="176"/>
      <c r="J1104" s="176"/>
      <c r="K1104" s="176"/>
      <c r="L1104" s="176"/>
      <c r="M1104" s="176"/>
      <c r="N1104" s="176"/>
      <c r="O1104" s="176"/>
      <c r="P1104" s="176"/>
      <c r="Q1104" s="176"/>
      <c r="R1104" s="176"/>
      <c r="S1104" s="176"/>
      <c r="T1104" s="176"/>
      <c r="U1104" s="176"/>
      <c r="V1104" s="176"/>
      <c r="W1104" s="176"/>
      <c r="X1104" s="176"/>
      <c r="Y1104" s="176"/>
    </row>
    <row r="1105" spans="1:25">
      <c r="A1105" s="91"/>
      <c r="B1105" s="176"/>
      <c r="C1105" s="176"/>
      <c r="D1105" s="176"/>
      <c r="E1105" s="176"/>
      <c r="F1105" s="176"/>
      <c r="G1105" s="176"/>
      <c r="H1105" s="176"/>
      <c r="I1105" s="176"/>
      <c r="J1105" s="176"/>
      <c r="K1105" s="176"/>
      <c r="L1105" s="176"/>
      <c r="M1105" s="176"/>
      <c r="N1105" s="176"/>
      <c r="O1105" s="176"/>
      <c r="P1105" s="176"/>
      <c r="Q1105" s="176"/>
      <c r="R1105" s="176"/>
      <c r="S1105" s="176"/>
      <c r="T1105" s="176"/>
      <c r="U1105" s="176"/>
      <c r="V1105" s="176"/>
      <c r="W1105" s="176"/>
      <c r="X1105" s="176"/>
      <c r="Y1105" s="176"/>
    </row>
    <row r="1106" spans="1:25">
      <c r="A1106" s="91"/>
      <c r="B1106" s="176"/>
      <c r="C1106" s="176"/>
      <c r="D1106" s="176"/>
      <c r="E1106" s="176"/>
      <c r="F1106" s="176"/>
      <c r="G1106" s="176"/>
      <c r="H1106" s="176"/>
      <c r="I1106" s="176"/>
      <c r="J1106" s="176"/>
      <c r="K1106" s="176"/>
      <c r="L1106" s="176"/>
      <c r="M1106" s="176"/>
      <c r="N1106" s="176"/>
      <c r="O1106" s="176"/>
      <c r="P1106" s="176"/>
      <c r="Q1106" s="176"/>
      <c r="R1106" s="176"/>
      <c r="S1106" s="176"/>
      <c r="T1106" s="176"/>
      <c r="U1106" s="176"/>
      <c r="V1106" s="176"/>
      <c r="W1106" s="176"/>
      <c r="X1106" s="176"/>
      <c r="Y1106" s="176"/>
    </row>
    <row r="1107" spans="1:25">
      <c r="A1107" s="91"/>
      <c r="B1107" s="176"/>
      <c r="C1107" s="176"/>
      <c r="D1107" s="176"/>
      <c r="E1107" s="176"/>
      <c r="F1107" s="176"/>
      <c r="G1107" s="176"/>
      <c r="H1107" s="176"/>
      <c r="I1107" s="176"/>
      <c r="J1107" s="176"/>
      <c r="K1107" s="176"/>
      <c r="L1107" s="176"/>
      <c r="M1107" s="176"/>
      <c r="N1107" s="176"/>
      <c r="O1107" s="176"/>
      <c r="P1107" s="176"/>
      <c r="Q1107" s="176"/>
      <c r="R1107" s="176"/>
      <c r="S1107" s="176"/>
      <c r="T1107" s="176"/>
      <c r="U1107" s="176"/>
      <c r="V1107" s="176"/>
      <c r="W1107" s="176"/>
      <c r="X1107" s="176"/>
      <c r="Y1107" s="176"/>
    </row>
    <row r="1108" spans="1:25">
      <c r="A1108" s="91"/>
      <c r="B1108" s="176"/>
      <c r="C1108" s="176"/>
      <c r="D1108" s="176"/>
      <c r="E1108" s="176"/>
      <c r="F1108" s="176"/>
      <c r="G1108" s="176"/>
      <c r="H1108" s="176"/>
      <c r="I1108" s="176"/>
      <c r="J1108" s="176"/>
      <c r="K1108" s="176"/>
      <c r="L1108" s="176"/>
      <c r="M1108" s="176"/>
      <c r="N1108" s="176"/>
      <c r="O1108" s="176"/>
      <c r="P1108" s="176"/>
      <c r="Q1108" s="176"/>
      <c r="R1108" s="176"/>
      <c r="S1108" s="176"/>
      <c r="T1108" s="176"/>
      <c r="U1108" s="176"/>
      <c r="V1108" s="176"/>
      <c r="W1108" s="176"/>
      <c r="X1108" s="176"/>
      <c r="Y1108" s="176"/>
    </row>
    <row r="1109" spans="1:25">
      <c r="A1109" s="91"/>
      <c r="B1109" s="176"/>
      <c r="C1109" s="176"/>
      <c r="D1109" s="176"/>
      <c r="E1109" s="176"/>
      <c r="F1109" s="176"/>
      <c r="G1109" s="176"/>
      <c r="H1109" s="176"/>
      <c r="I1109" s="176"/>
      <c r="J1109" s="176"/>
      <c r="K1109" s="176"/>
      <c r="L1109" s="176"/>
      <c r="M1109" s="176"/>
      <c r="N1109" s="176"/>
      <c r="O1109" s="176"/>
      <c r="P1109" s="176"/>
      <c r="Q1109" s="176"/>
      <c r="R1109" s="176"/>
      <c r="S1109" s="176"/>
      <c r="T1109" s="176"/>
      <c r="U1109" s="176"/>
      <c r="V1109" s="176"/>
      <c r="W1109" s="176"/>
      <c r="X1109" s="176"/>
      <c r="Y1109" s="176"/>
    </row>
    <row r="1110" spans="1:25">
      <c r="A1110" s="91"/>
      <c r="B1110" s="176"/>
      <c r="C1110" s="176"/>
      <c r="D1110" s="176"/>
      <c r="E1110" s="176"/>
      <c r="F1110" s="176"/>
      <c r="G1110" s="176"/>
      <c r="H1110" s="176"/>
      <c r="I1110" s="176"/>
      <c r="J1110" s="176"/>
      <c r="K1110" s="176"/>
      <c r="L1110" s="176"/>
      <c r="M1110" s="176"/>
      <c r="N1110" s="176"/>
      <c r="O1110" s="176"/>
      <c r="P1110" s="176"/>
      <c r="Q1110" s="176"/>
      <c r="R1110" s="176"/>
      <c r="S1110" s="176"/>
      <c r="T1110" s="176"/>
      <c r="U1110" s="176"/>
      <c r="V1110" s="176"/>
      <c r="W1110" s="176"/>
      <c r="X1110" s="176"/>
      <c r="Y1110" s="176"/>
    </row>
    <row r="1111" spans="1:25">
      <c r="A1111" s="91"/>
      <c r="B1111" s="176"/>
      <c r="C1111" s="176"/>
      <c r="D1111" s="176"/>
      <c r="E1111" s="176"/>
      <c r="F1111" s="176"/>
      <c r="G1111" s="176"/>
      <c r="H1111" s="176"/>
      <c r="I1111" s="176"/>
      <c r="J1111" s="176"/>
      <c r="K1111" s="176"/>
      <c r="L1111" s="176"/>
      <c r="M1111" s="176"/>
      <c r="N1111" s="176"/>
      <c r="O1111" s="176"/>
      <c r="P1111" s="176"/>
      <c r="Q1111" s="176"/>
      <c r="R1111" s="176"/>
      <c r="S1111" s="176"/>
      <c r="T1111" s="176"/>
      <c r="U1111" s="176"/>
      <c r="V1111" s="176"/>
      <c r="W1111" s="176"/>
      <c r="X1111" s="176"/>
      <c r="Y1111" s="176"/>
    </row>
    <row r="1112" spans="1:25">
      <c r="A1112" s="91"/>
      <c r="B1112" s="176"/>
      <c r="C1112" s="176"/>
      <c r="D1112" s="176"/>
      <c r="E1112" s="176"/>
      <c r="F1112" s="176"/>
      <c r="G1112" s="176"/>
      <c r="H1112" s="176"/>
      <c r="I1112" s="176"/>
      <c r="J1112" s="176"/>
      <c r="K1112" s="176"/>
      <c r="L1112" s="176"/>
      <c r="M1112" s="176"/>
      <c r="N1112" s="176"/>
      <c r="O1112" s="176"/>
      <c r="P1112" s="176"/>
      <c r="Q1112" s="176"/>
      <c r="R1112" s="176"/>
      <c r="S1112" s="176"/>
      <c r="T1112" s="176"/>
      <c r="U1112" s="176"/>
      <c r="V1112" s="176"/>
      <c r="W1112" s="176"/>
      <c r="X1112" s="176"/>
      <c r="Y1112" s="176"/>
    </row>
    <row r="1113" spans="1:25">
      <c r="A1113" s="91"/>
      <c r="B1113" s="176"/>
      <c r="C1113" s="176"/>
      <c r="D1113" s="176"/>
      <c r="E1113" s="176"/>
      <c r="F1113" s="176"/>
      <c r="G1113" s="176"/>
      <c r="H1113" s="176"/>
      <c r="I1113" s="176"/>
      <c r="J1113" s="176"/>
      <c r="K1113" s="176"/>
      <c r="L1113" s="176"/>
      <c r="M1113" s="176"/>
      <c r="N1113" s="176"/>
      <c r="O1113" s="176"/>
      <c r="P1113" s="176"/>
      <c r="Q1113" s="176"/>
      <c r="R1113" s="176"/>
      <c r="S1113" s="176"/>
      <c r="T1113" s="176"/>
      <c r="U1113" s="176"/>
      <c r="V1113" s="176"/>
      <c r="W1113" s="176"/>
      <c r="X1113" s="176"/>
      <c r="Y1113" s="176"/>
    </row>
    <row r="1114" spans="1:25">
      <c r="A1114" s="91"/>
      <c r="B1114" s="176"/>
      <c r="C1114" s="176"/>
      <c r="D1114" s="176"/>
      <c r="E1114" s="176"/>
      <c r="F1114" s="176"/>
      <c r="G1114" s="176"/>
      <c r="H1114" s="176"/>
      <c r="I1114" s="176"/>
      <c r="J1114" s="176"/>
      <c r="K1114" s="176"/>
      <c r="L1114" s="176"/>
      <c r="M1114" s="176"/>
      <c r="N1114" s="176"/>
      <c r="O1114" s="176"/>
      <c r="P1114" s="176"/>
      <c r="Q1114" s="176"/>
      <c r="R1114" s="176"/>
      <c r="S1114" s="176"/>
      <c r="T1114" s="176"/>
      <c r="U1114" s="176"/>
      <c r="V1114" s="176"/>
      <c r="W1114" s="176"/>
      <c r="X1114" s="176"/>
      <c r="Y1114" s="176"/>
    </row>
    <row r="1115" spans="1:25">
      <c r="A1115" s="91"/>
      <c r="B1115" s="176"/>
      <c r="C1115" s="176"/>
      <c r="D1115" s="176"/>
      <c r="E1115" s="176"/>
      <c r="F1115" s="176"/>
      <c r="G1115" s="176"/>
      <c r="H1115" s="176"/>
      <c r="I1115" s="176"/>
      <c r="J1115" s="176"/>
      <c r="K1115" s="176"/>
      <c r="L1115" s="176"/>
      <c r="M1115" s="176"/>
      <c r="N1115" s="176"/>
      <c r="O1115" s="176"/>
      <c r="P1115" s="176"/>
      <c r="Q1115" s="176"/>
      <c r="R1115" s="176"/>
      <c r="S1115" s="176"/>
      <c r="T1115" s="176"/>
      <c r="U1115" s="176"/>
      <c r="V1115" s="176"/>
      <c r="W1115" s="176"/>
      <c r="X1115" s="176"/>
      <c r="Y1115" s="176"/>
    </row>
    <row r="1116" spans="1:25">
      <c r="A1116" s="91"/>
      <c r="B1116" s="176"/>
      <c r="C1116" s="176"/>
      <c r="D1116" s="176"/>
      <c r="E1116" s="176"/>
      <c r="F1116" s="176"/>
      <c r="G1116" s="176"/>
      <c r="H1116" s="176"/>
      <c r="I1116" s="176"/>
      <c r="J1116" s="176"/>
      <c r="K1116" s="176"/>
      <c r="L1116" s="176"/>
      <c r="M1116" s="176"/>
      <c r="N1116" s="176"/>
      <c r="O1116" s="176"/>
      <c r="P1116" s="176"/>
      <c r="Q1116" s="176"/>
      <c r="R1116" s="176"/>
      <c r="S1116" s="176"/>
      <c r="T1116" s="176"/>
      <c r="U1116" s="176"/>
      <c r="V1116" s="176"/>
      <c r="W1116" s="176"/>
      <c r="X1116" s="176"/>
      <c r="Y1116" s="176"/>
    </row>
    <row r="1117" spans="1:25">
      <c r="A1117" s="91"/>
      <c r="B1117" s="176"/>
      <c r="C1117" s="176"/>
      <c r="D1117" s="176"/>
      <c r="E1117" s="176"/>
      <c r="F1117" s="176"/>
      <c r="G1117" s="176"/>
      <c r="H1117" s="176"/>
      <c r="I1117" s="176"/>
      <c r="J1117" s="176"/>
      <c r="K1117" s="176"/>
      <c r="L1117" s="176"/>
      <c r="M1117" s="176"/>
      <c r="N1117" s="176"/>
      <c r="O1117" s="176"/>
      <c r="P1117" s="176"/>
      <c r="Q1117" s="176"/>
      <c r="R1117" s="176"/>
      <c r="S1117" s="176"/>
      <c r="T1117" s="176"/>
      <c r="U1117" s="176"/>
      <c r="V1117" s="176"/>
      <c r="W1117" s="176"/>
      <c r="X1117" s="176"/>
      <c r="Y1117" s="176"/>
    </row>
    <row r="1118" spans="1:25">
      <c r="A1118" s="91"/>
      <c r="B1118" s="176"/>
      <c r="C1118" s="176"/>
      <c r="D1118" s="176"/>
      <c r="E1118" s="176"/>
      <c r="F1118" s="176"/>
      <c r="G1118" s="176"/>
      <c r="H1118" s="176"/>
      <c r="I1118" s="176"/>
      <c r="J1118" s="176"/>
      <c r="K1118" s="176"/>
      <c r="L1118" s="176"/>
      <c r="M1118" s="176"/>
      <c r="N1118" s="176"/>
      <c r="O1118" s="176"/>
      <c r="P1118" s="176"/>
      <c r="Q1118" s="176"/>
      <c r="R1118" s="176"/>
      <c r="S1118" s="176"/>
      <c r="T1118" s="176"/>
      <c r="U1118" s="176"/>
      <c r="V1118" s="176"/>
      <c r="W1118" s="176"/>
      <c r="X1118" s="176"/>
      <c r="Y1118" s="176"/>
    </row>
    <row r="1119" spans="1:25">
      <c r="A1119" s="91"/>
      <c r="B1119" s="176"/>
      <c r="C1119" s="176"/>
      <c r="D1119" s="176"/>
      <c r="E1119" s="176"/>
      <c r="F1119" s="176"/>
      <c r="G1119" s="176"/>
      <c r="H1119" s="176"/>
      <c r="I1119" s="176"/>
      <c r="J1119" s="176"/>
      <c r="K1119" s="176"/>
      <c r="L1119" s="176"/>
      <c r="M1119" s="176"/>
      <c r="N1119" s="176"/>
      <c r="O1119" s="176"/>
      <c r="P1119" s="176"/>
      <c r="Q1119" s="176"/>
      <c r="R1119" s="176"/>
      <c r="S1119" s="176"/>
      <c r="T1119" s="176"/>
      <c r="U1119" s="176"/>
      <c r="V1119" s="176"/>
      <c r="W1119" s="176"/>
      <c r="X1119" s="176"/>
      <c r="Y1119" s="176"/>
    </row>
    <row r="1120" spans="1:25">
      <c r="A1120" s="91"/>
      <c r="B1120" s="176"/>
      <c r="C1120" s="176"/>
      <c r="D1120" s="176"/>
      <c r="E1120" s="176"/>
      <c r="F1120" s="176"/>
      <c r="G1120" s="176"/>
      <c r="H1120" s="176"/>
      <c r="I1120" s="176"/>
      <c r="J1120" s="176"/>
      <c r="K1120" s="176"/>
      <c r="L1120" s="176"/>
      <c r="M1120" s="176"/>
      <c r="N1120" s="176"/>
      <c r="O1120" s="176"/>
      <c r="P1120" s="176"/>
      <c r="Q1120" s="176"/>
      <c r="R1120" s="176"/>
      <c r="S1120" s="176"/>
      <c r="T1120" s="176"/>
      <c r="U1120" s="176"/>
      <c r="V1120" s="176"/>
      <c r="W1120" s="176"/>
      <c r="X1120" s="176"/>
      <c r="Y1120" s="176"/>
    </row>
    <row r="1121" spans="1:25">
      <c r="A1121" s="91"/>
      <c r="B1121" s="176"/>
      <c r="C1121" s="176"/>
      <c r="D1121" s="176"/>
      <c r="E1121" s="176"/>
      <c r="F1121" s="176"/>
      <c r="G1121" s="176"/>
      <c r="H1121" s="176"/>
      <c r="I1121" s="176"/>
      <c r="J1121" s="176"/>
      <c r="K1121" s="176"/>
      <c r="L1121" s="176"/>
      <c r="M1121" s="176"/>
      <c r="N1121" s="176"/>
      <c r="O1121" s="176"/>
      <c r="P1121" s="176"/>
      <c r="Q1121" s="176"/>
      <c r="R1121" s="176"/>
      <c r="S1121" s="176"/>
      <c r="T1121" s="176"/>
      <c r="U1121" s="176"/>
      <c r="V1121" s="176"/>
      <c r="W1121" s="176"/>
      <c r="X1121" s="176"/>
      <c r="Y1121" s="176"/>
    </row>
    <row r="1122" spans="1:25">
      <c r="A1122" s="91"/>
      <c r="B1122" s="176"/>
      <c r="C1122" s="176"/>
      <c r="D1122" s="176"/>
      <c r="E1122" s="176"/>
      <c r="F1122" s="176"/>
      <c r="G1122" s="176"/>
      <c r="H1122" s="176"/>
      <c r="I1122" s="176"/>
      <c r="J1122" s="176"/>
      <c r="K1122" s="176"/>
      <c r="L1122" s="176"/>
      <c r="M1122" s="176"/>
      <c r="N1122" s="176"/>
      <c r="O1122" s="176"/>
      <c r="P1122" s="176"/>
      <c r="Q1122" s="176"/>
      <c r="R1122" s="176"/>
      <c r="S1122" s="176"/>
      <c r="T1122" s="176"/>
      <c r="U1122" s="176"/>
      <c r="V1122" s="176"/>
      <c r="W1122" s="176"/>
      <c r="X1122" s="176"/>
      <c r="Y1122" s="176"/>
    </row>
    <row r="1123" spans="1:25">
      <c r="A1123" s="91"/>
      <c r="B1123" s="176"/>
      <c r="C1123" s="176"/>
      <c r="D1123" s="176"/>
      <c r="E1123" s="176"/>
      <c r="F1123" s="176"/>
      <c r="G1123" s="176"/>
      <c r="H1123" s="176"/>
      <c r="I1123" s="176"/>
      <c r="J1123" s="176"/>
      <c r="K1123" s="176"/>
      <c r="L1123" s="176"/>
      <c r="M1123" s="176"/>
      <c r="N1123" s="176"/>
      <c r="O1123" s="176"/>
      <c r="P1123" s="176"/>
      <c r="Q1123" s="176"/>
      <c r="R1123" s="176"/>
      <c r="S1123" s="176"/>
      <c r="T1123" s="176"/>
      <c r="U1123" s="176"/>
      <c r="V1123" s="176"/>
      <c r="W1123" s="176"/>
      <c r="X1123" s="176"/>
      <c r="Y1123" s="176"/>
    </row>
    <row r="1124" spans="1:25">
      <c r="A1124" s="91"/>
      <c r="B1124" s="176"/>
      <c r="C1124" s="176"/>
      <c r="D1124" s="176"/>
      <c r="E1124" s="176"/>
      <c r="F1124" s="176"/>
      <c r="G1124" s="176"/>
      <c r="H1124" s="176"/>
      <c r="I1124" s="176"/>
      <c r="J1124" s="176"/>
      <c r="K1124" s="176"/>
      <c r="L1124" s="176"/>
      <c r="M1124" s="176"/>
      <c r="N1124" s="176"/>
      <c r="O1124" s="176"/>
      <c r="P1124" s="176"/>
      <c r="Q1124" s="176"/>
      <c r="R1124" s="176"/>
      <c r="S1124" s="176"/>
      <c r="T1124" s="176"/>
      <c r="U1124" s="176"/>
      <c r="V1124" s="176"/>
      <c r="W1124" s="176"/>
      <c r="X1124" s="176"/>
      <c r="Y1124" s="176"/>
    </row>
    <row r="1125" spans="1:25">
      <c r="A1125" s="91"/>
      <c r="B1125" s="176"/>
      <c r="C1125" s="176"/>
      <c r="D1125" s="176"/>
      <c r="E1125" s="176"/>
      <c r="F1125" s="176"/>
      <c r="G1125" s="176"/>
      <c r="H1125" s="176"/>
      <c r="I1125" s="176"/>
      <c r="J1125" s="176"/>
      <c r="K1125" s="176"/>
      <c r="L1125" s="176"/>
      <c r="M1125" s="176"/>
      <c r="N1125" s="176"/>
      <c r="O1125" s="176"/>
      <c r="P1125" s="176"/>
      <c r="Q1125" s="176"/>
      <c r="R1125" s="176"/>
      <c r="S1125" s="176"/>
      <c r="T1125" s="176"/>
      <c r="U1125" s="176"/>
      <c r="V1125" s="176"/>
      <c r="W1125" s="176"/>
      <c r="X1125" s="176"/>
      <c r="Y1125" s="176"/>
    </row>
    <row r="1126" spans="1:25">
      <c r="A1126" s="91"/>
      <c r="B1126" s="176"/>
      <c r="C1126" s="176"/>
      <c r="D1126" s="176"/>
      <c r="E1126" s="176"/>
      <c r="F1126" s="176"/>
      <c r="G1126" s="176"/>
      <c r="H1126" s="176"/>
      <c r="I1126" s="176"/>
      <c r="J1126" s="176"/>
      <c r="K1126" s="176"/>
      <c r="L1126" s="176"/>
      <c r="M1126" s="176"/>
      <c r="N1126" s="176"/>
      <c r="O1126" s="176"/>
      <c r="P1126" s="176"/>
      <c r="Q1126" s="176"/>
      <c r="R1126" s="176"/>
      <c r="S1126" s="176"/>
      <c r="T1126" s="176"/>
      <c r="U1126" s="176"/>
      <c r="V1126" s="176"/>
      <c r="W1126" s="176"/>
      <c r="X1126" s="176"/>
      <c r="Y1126" s="176"/>
    </row>
    <row r="1127" spans="1:25">
      <c r="A1127" s="91"/>
      <c r="B1127" s="176"/>
      <c r="C1127" s="176"/>
      <c r="D1127" s="176"/>
      <c r="E1127" s="176"/>
      <c r="F1127" s="176"/>
      <c r="G1127" s="176"/>
      <c r="H1127" s="176"/>
      <c r="I1127" s="176"/>
      <c r="J1127" s="176"/>
      <c r="K1127" s="176"/>
      <c r="L1127" s="176"/>
      <c r="M1127" s="176"/>
      <c r="N1127" s="176"/>
      <c r="O1127" s="176"/>
      <c r="P1127" s="176"/>
      <c r="Q1127" s="176"/>
      <c r="R1127" s="176"/>
      <c r="S1127" s="176"/>
      <c r="T1127" s="176"/>
      <c r="U1127" s="176"/>
      <c r="V1127" s="176"/>
      <c r="W1127" s="176"/>
      <c r="X1127" s="176"/>
      <c r="Y1127" s="176"/>
    </row>
    <row r="1128" spans="1:25">
      <c r="A1128" s="91"/>
      <c r="B1128" s="176"/>
      <c r="C1128" s="176"/>
      <c r="D1128" s="176"/>
      <c r="E1128" s="176"/>
      <c r="F1128" s="176"/>
      <c r="G1128" s="176"/>
      <c r="H1128" s="176"/>
      <c r="I1128" s="176"/>
      <c r="J1128" s="176"/>
      <c r="K1128" s="176"/>
      <c r="L1128" s="176"/>
      <c r="M1128" s="176"/>
      <c r="N1128" s="176"/>
      <c r="O1128" s="176"/>
      <c r="P1128" s="176"/>
      <c r="Q1128" s="176"/>
      <c r="R1128" s="176"/>
      <c r="S1128" s="176"/>
      <c r="T1128" s="176"/>
      <c r="U1128" s="176"/>
      <c r="V1128" s="176"/>
      <c r="W1128" s="176"/>
      <c r="X1128" s="176"/>
      <c r="Y1128" s="176"/>
    </row>
    <row r="1129" spans="1:25">
      <c r="A1129" s="91"/>
      <c r="B1129" s="176"/>
      <c r="C1129" s="176"/>
      <c r="D1129" s="176"/>
      <c r="E1129" s="176"/>
      <c r="F1129" s="176"/>
      <c r="G1129" s="176"/>
      <c r="H1129" s="176"/>
      <c r="I1129" s="176"/>
      <c r="J1129" s="176"/>
      <c r="K1129" s="176"/>
      <c r="L1129" s="176"/>
      <c r="M1129" s="176"/>
      <c r="N1129" s="176"/>
      <c r="O1129" s="176"/>
      <c r="P1129" s="176"/>
      <c r="Q1129" s="176"/>
      <c r="R1129" s="176"/>
      <c r="S1129" s="176"/>
      <c r="T1129" s="176"/>
      <c r="U1129" s="176"/>
      <c r="V1129" s="176"/>
      <c r="W1129" s="176"/>
      <c r="X1129" s="176"/>
      <c r="Y1129" s="176"/>
    </row>
    <row r="1130" spans="1:25">
      <c r="A1130" s="91"/>
      <c r="B1130" s="176"/>
      <c r="C1130" s="176"/>
      <c r="D1130" s="176"/>
      <c r="E1130" s="176"/>
      <c r="F1130" s="176"/>
      <c r="G1130" s="176"/>
      <c r="H1130" s="176"/>
      <c r="I1130" s="176"/>
      <c r="J1130" s="176"/>
      <c r="K1130" s="176"/>
      <c r="L1130" s="176"/>
      <c r="M1130" s="176"/>
      <c r="N1130" s="176"/>
      <c r="O1130" s="176"/>
      <c r="P1130" s="176"/>
      <c r="Q1130" s="176"/>
      <c r="R1130" s="176"/>
      <c r="S1130" s="176"/>
      <c r="T1130" s="176"/>
      <c r="U1130" s="176"/>
      <c r="V1130" s="176"/>
      <c r="W1130" s="176"/>
      <c r="X1130" s="176"/>
      <c r="Y1130" s="176"/>
    </row>
    <row r="1131" spans="1:25">
      <c r="A1131" s="91"/>
      <c r="B1131" s="176"/>
      <c r="C1131" s="176"/>
      <c r="D1131" s="176"/>
      <c r="E1131" s="176"/>
      <c r="F1131" s="176"/>
      <c r="G1131" s="176"/>
      <c r="H1131" s="176"/>
      <c r="I1131" s="176"/>
      <c r="J1131" s="176"/>
      <c r="K1131" s="176"/>
      <c r="L1131" s="176"/>
      <c r="M1131" s="176"/>
      <c r="N1131" s="176"/>
      <c r="O1131" s="176"/>
      <c r="P1131" s="176"/>
      <c r="Q1131" s="176"/>
      <c r="R1131" s="176"/>
      <c r="S1131" s="176"/>
      <c r="T1131" s="176"/>
      <c r="U1131" s="176"/>
      <c r="V1131" s="176"/>
      <c r="W1131" s="176"/>
      <c r="X1131" s="176"/>
      <c r="Y1131" s="176"/>
    </row>
    <row r="1132" spans="1:25">
      <c r="A1132" s="91"/>
      <c r="B1132" s="176"/>
      <c r="C1132" s="176"/>
      <c r="D1132" s="176"/>
      <c r="E1132" s="176"/>
      <c r="F1132" s="176"/>
      <c r="G1132" s="176"/>
      <c r="H1132" s="176"/>
      <c r="I1132" s="176"/>
      <c r="J1132" s="176"/>
      <c r="K1132" s="176"/>
      <c r="L1132" s="176"/>
      <c r="M1132" s="176"/>
      <c r="N1132" s="176"/>
      <c r="O1132" s="176"/>
      <c r="P1132" s="176"/>
      <c r="Q1132" s="176"/>
      <c r="R1132" s="176"/>
      <c r="S1132" s="176"/>
      <c r="T1132" s="176"/>
      <c r="U1132" s="176"/>
      <c r="V1132" s="176"/>
      <c r="W1132" s="176"/>
      <c r="X1132" s="176"/>
      <c r="Y1132" s="176"/>
    </row>
    <row r="1133" spans="1:25">
      <c r="A1133" s="91"/>
      <c r="B1133" s="176"/>
      <c r="C1133" s="176"/>
      <c r="D1133" s="176"/>
      <c r="E1133" s="176"/>
      <c r="F1133" s="176"/>
      <c r="G1133" s="176"/>
      <c r="H1133" s="176"/>
      <c r="I1133" s="176"/>
      <c r="J1133" s="176"/>
      <c r="K1133" s="176"/>
      <c r="L1133" s="176"/>
      <c r="M1133" s="176"/>
      <c r="N1133" s="176"/>
      <c r="O1133" s="176"/>
      <c r="P1133" s="176"/>
      <c r="Q1133" s="176"/>
      <c r="R1133" s="176"/>
      <c r="S1133" s="176"/>
      <c r="T1133" s="176"/>
      <c r="U1133" s="176"/>
      <c r="V1133" s="176"/>
      <c r="W1133" s="176"/>
      <c r="X1133" s="176"/>
      <c r="Y1133" s="176"/>
    </row>
    <row r="1134" spans="1:25">
      <c r="A1134" s="91"/>
      <c r="B1134" s="176"/>
      <c r="C1134" s="176"/>
      <c r="D1134" s="176"/>
      <c r="E1134" s="176"/>
      <c r="F1134" s="176"/>
      <c r="G1134" s="176"/>
      <c r="H1134" s="176"/>
      <c r="I1134" s="176"/>
      <c r="J1134" s="176"/>
      <c r="K1134" s="176"/>
      <c r="L1134" s="176"/>
      <c r="M1134" s="176"/>
      <c r="N1134" s="176"/>
      <c r="O1134" s="176"/>
      <c r="P1134" s="176"/>
      <c r="Q1134" s="176"/>
      <c r="R1134" s="176"/>
      <c r="S1134" s="176"/>
      <c r="T1134" s="176"/>
      <c r="U1134" s="176"/>
      <c r="V1134" s="176"/>
      <c r="W1134" s="176"/>
      <c r="X1134" s="176"/>
      <c r="Y1134" s="176"/>
    </row>
    <row r="1135" spans="1:25">
      <c r="A1135" s="91"/>
      <c r="B1135" s="176"/>
      <c r="C1135" s="176"/>
      <c r="D1135" s="176"/>
      <c r="E1135" s="176"/>
      <c r="F1135" s="176"/>
      <c r="G1135" s="176"/>
      <c r="H1135" s="176"/>
      <c r="I1135" s="176"/>
      <c r="J1135" s="176"/>
      <c r="K1135" s="176"/>
      <c r="L1135" s="176"/>
      <c r="M1135" s="176"/>
      <c r="N1135" s="176"/>
      <c r="O1135" s="176"/>
      <c r="P1135" s="176"/>
      <c r="Q1135" s="176"/>
      <c r="R1135" s="176"/>
      <c r="S1135" s="176"/>
      <c r="T1135" s="176"/>
      <c r="U1135" s="176"/>
      <c r="V1135" s="176"/>
      <c r="W1135" s="176"/>
      <c r="X1135" s="176"/>
      <c r="Y1135" s="176"/>
    </row>
    <row r="1136" spans="1:25">
      <c r="A1136" s="91"/>
      <c r="B1136" s="176"/>
      <c r="C1136" s="176"/>
      <c r="D1136" s="176"/>
      <c r="E1136" s="176"/>
      <c r="F1136" s="176"/>
      <c r="G1136" s="176"/>
      <c r="H1136" s="176"/>
      <c r="I1136" s="176"/>
      <c r="J1136" s="176"/>
      <c r="K1136" s="176"/>
      <c r="L1136" s="176"/>
      <c r="M1136" s="176"/>
      <c r="N1136" s="176"/>
      <c r="O1136" s="176"/>
      <c r="P1136" s="176"/>
      <c r="Q1136" s="176"/>
      <c r="R1136" s="176"/>
      <c r="S1136" s="176"/>
      <c r="T1136" s="176"/>
      <c r="U1136" s="176"/>
      <c r="V1136" s="176"/>
      <c r="W1136" s="176"/>
      <c r="X1136" s="176"/>
      <c r="Y1136" s="176"/>
    </row>
    <row r="1137" spans="1:25">
      <c r="A1137" s="91"/>
      <c r="B1137" s="176"/>
      <c r="C1137" s="176"/>
      <c r="D1137" s="176"/>
      <c r="E1137" s="176"/>
      <c r="F1137" s="176"/>
      <c r="G1137" s="176"/>
      <c r="H1137" s="176"/>
      <c r="I1137" s="176"/>
      <c r="J1137" s="176"/>
      <c r="K1137" s="176"/>
      <c r="L1137" s="176"/>
      <c r="M1137" s="176"/>
      <c r="N1137" s="176"/>
      <c r="O1137" s="176"/>
      <c r="P1137" s="176"/>
      <c r="Q1137" s="176"/>
      <c r="R1137" s="176"/>
      <c r="S1137" s="176"/>
      <c r="T1137" s="176"/>
      <c r="U1137" s="176"/>
      <c r="V1137" s="176"/>
      <c r="W1137" s="176"/>
      <c r="X1137" s="176"/>
      <c r="Y1137" s="176"/>
    </row>
    <row r="1138" spans="1:25">
      <c r="A1138" s="91"/>
      <c r="B1138" s="176"/>
      <c r="C1138" s="176"/>
      <c r="D1138" s="176"/>
      <c r="E1138" s="176"/>
      <c r="F1138" s="176"/>
      <c r="G1138" s="176"/>
      <c r="H1138" s="176"/>
      <c r="I1138" s="176"/>
      <c r="J1138" s="176"/>
      <c r="K1138" s="176"/>
      <c r="L1138" s="176"/>
      <c r="M1138" s="176"/>
      <c r="N1138" s="176"/>
      <c r="O1138" s="176"/>
      <c r="P1138" s="176"/>
      <c r="Q1138" s="176"/>
      <c r="R1138" s="176"/>
      <c r="S1138" s="176"/>
      <c r="T1138" s="176"/>
      <c r="U1138" s="176"/>
      <c r="V1138" s="176"/>
      <c r="W1138" s="176"/>
      <c r="X1138" s="176"/>
      <c r="Y1138" s="176"/>
    </row>
    <row r="1139" spans="1:25">
      <c r="A1139" s="91"/>
      <c r="B1139" s="176"/>
      <c r="C1139" s="176"/>
      <c r="D1139" s="176"/>
      <c r="E1139" s="176"/>
      <c r="F1139" s="176"/>
      <c r="G1139" s="176"/>
      <c r="H1139" s="176"/>
      <c r="I1139" s="176"/>
      <c r="J1139" s="176"/>
      <c r="K1139" s="176"/>
      <c r="L1139" s="176"/>
      <c r="M1139" s="176"/>
      <c r="N1139" s="176"/>
      <c r="O1139" s="176"/>
      <c r="P1139" s="176"/>
      <c r="Q1139" s="176"/>
      <c r="R1139" s="176"/>
      <c r="S1139" s="176"/>
      <c r="T1139" s="176"/>
      <c r="U1139" s="176"/>
      <c r="V1139" s="176"/>
      <c r="W1139" s="176"/>
      <c r="X1139" s="176"/>
      <c r="Y1139" s="176"/>
    </row>
    <row r="1140" spans="1:25">
      <c r="A1140" s="91"/>
      <c r="B1140" s="176"/>
      <c r="C1140" s="176"/>
      <c r="D1140" s="176"/>
      <c r="E1140" s="176"/>
      <c r="F1140" s="176"/>
      <c r="G1140" s="176"/>
      <c r="H1140" s="176"/>
      <c r="I1140" s="176"/>
      <c r="J1140" s="176"/>
      <c r="K1140" s="176"/>
      <c r="L1140" s="176"/>
      <c r="M1140" s="176"/>
      <c r="N1140" s="176"/>
      <c r="O1140" s="176"/>
      <c r="P1140" s="176"/>
      <c r="Q1140" s="176"/>
      <c r="R1140" s="176"/>
      <c r="S1140" s="176"/>
      <c r="T1140" s="176"/>
      <c r="U1140" s="176"/>
      <c r="V1140" s="176"/>
      <c r="W1140" s="176"/>
      <c r="X1140" s="176"/>
      <c r="Y1140" s="176"/>
    </row>
    <row r="1141" spans="1:25">
      <c r="A1141" s="91"/>
      <c r="B1141" s="176"/>
      <c r="C1141" s="176"/>
      <c r="D1141" s="176"/>
      <c r="E1141" s="176"/>
      <c r="F1141" s="176"/>
      <c r="G1141" s="176"/>
      <c r="H1141" s="176"/>
      <c r="I1141" s="176"/>
      <c r="J1141" s="176"/>
      <c r="K1141" s="176"/>
      <c r="L1141" s="176"/>
      <c r="M1141" s="176"/>
      <c r="N1141" s="176"/>
      <c r="O1141" s="176"/>
      <c r="P1141" s="176"/>
      <c r="Q1141" s="176"/>
      <c r="R1141" s="176"/>
      <c r="S1141" s="176"/>
      <c r="T1141" s="176"/>
      <c r="U1141" s="176"/>
      <c r="V1141" s="176"/>
      <c r="W1141" s="176"/>
      <c r="X1141" s="176"/>
      <c r="Y1141" s="176"/>
    </row>
    <row r="1142" spans="1:25">
      <c r="A1142" s="91"/>
      <c r="B1142" s="176"/>
      <c r="C1142" s="176"/>
      <c r="D1142" s="176"/>
      <c r="E1142" s="176"/>
      <c r="F1142" s="176"/>
      <c r="G1142" s="176"/>
      <c r="H1142" s="176"/>
      <c r="I1142" s="176"/>
      <c r="J1142" s="176"/>
      <c r="K1142" s="176"/>
      <c r="L1142" s="176"/>
      <c r="M1142" s="176"/>
      <c r="N1142" s="176"/>
      <c r="O1142" s="176"/>
      <c r="P1142" s="176"/>
      <c r="Q1142" s="176"/>
      <c r="R1142" s="176"/>
      <c r="S1142" s="176"/>
      <c r="T1142" s="176"/>
      <c r="U1142" s="176"/>
      <c r="V1142" s="176"/>
      <c r="W1142" s="176"/>
      <c r="X1142" s="176"/>
      <c r="Y1142" s="176"/>
    </row>
    <row r="1143" spans="1:25">
      <c r="A1143" s="91"/>
      <c r="B1143" s="176"/>
      <c r="C1143" s="176"/>
      <c r="D1143" s="176"/>
      <c r="E1143" s="176"/>
      <c r="F1143" s="176"/>
      <c r="G1143" s="176"/>
      <c r="H1143" s="176"/>
      <c r="I1143" s="176"/>
      <c r="J1143" s="176"/>
      <c r="K1143" s="176"/>
      <c r="L1143" s="176"/>
      <c r="M1143" s="176"/>
      <c r="N1143" s="176"/>
      <c r="O1143" s="176"/>
      <c r="P1143" s="176"/>
      <c r="Q1143" s="176"/>
      <c r="R1143" s="176"/>
      <c r="S1143" s="176"/>
      <c r="T1143" s="176"/>
      <c r="U1143" s="176"/>
      <c r="V1143" s="176"/>
      <c r="W1143" s="176"/>
      <c r="X1143" s="176"/>
      <c r="Y1143" s="176"/>
    </row>
    <row r="1144" spans="1:25">
      <c r="A1144" s="91"/>
      <c r="B1144" s="176"/>
      <c r="C1144" s="176"/>
      <c r="D1144" s="176"/>
      <c r="E1144" s="176"/>
      <c r="F1144" s="176"/>
      <c r="G1144" s="176"/>
      <c r="H1144" s="176"/>
      <c r="I1144" s="176"/>
      <c r="J1144" s="176"/>
      <c r="K1144" s="176"/>
      <c r="L1144" s="176"/>
      <c r="M1144" s="176"/>
      <c r="N1144" s="176"/>
      <c r="O1144" s="176"/>
      <c r="P1144" s="176"/>
      <c r="Q1144" s="176"/>
      <c r="R1144" s="176"/>
      <c r="S1144" s="176"/>
      <c r="T1144" s="176"/>
      <c r="U1144" s="176"/>
      <c r="V1144" s="176"/>
      <c r="W1144" s="176"/>
      <c r="X1144" s="176"/>
      <c r="Y1144" s="176"/>
    </row>
    <row r="1145" spans="1:25">
      <c r="A1145" s="91"/>
      <c r="B1145" s="176"/>
      <c r="C1145" s="176"/>
      <c r="D1145" s="176"/>
      <c r="E1145" s="176"/>
      <c r="F1145" s="176"/>
      <c r="G1145" s="176"/>
      <c r="H1145" s="176"/>
      <c r="I1145" s="176"/>
      <c r="J1145" s="176"/>
      <c r="K1145" s="176"/>
      <c r="L1145" s="176"/>
      <c r="M1145" s="176"/>
      <c r="N1145" s="176"/>
      <c r="O1145" s="176"/>
      <c r="P1145" s="176"/>
      <c r="Q1145" s="176"/>
      <c r="R1145" s="176"/>
      <c r="S1145" s="176"/>
      <c r="T1145" s="176"/>
      <c r="U1145" s="176"/>
      <c r="V1145" s="176"/>
      <c r="W1145" s="176"/>
      <c r="X1145" s="176"/>
      <c r="Y1145" s="176"/>
    </row>
    <row r="1146" spans="1:25">
      <c r="A1146" s="91"/>
      <c r="B1146" s="176"/>
      <c r="C1146" s="176"/>
      <c r="D1146" s="176"/>
      <c r="E1146" s="176"/>
      <c r="F1146" s="176"/>
      <c r="G1146" s="176"/>
      <c r="H1146" s="176"/>
      <c r="I1146" s="176"/>
      <c r="J1146" s="176"/>
      <c r="K1146" s="176"/>
      <c r="L1146" s="176"/>
      <c r="M1146" s="176"/>
      <c r="N1146" s="176"/>
      <c r="O1146" s="176"/>
      <c r="P1146" s="176"/>
      <c r="Q1146" s="176"/>
      <c r="R1146" s="176"/>
      <c r="S1146" s="176"/>
      <c r="T1146" s="176"/>
      <c r="U1146" s="176"/>
      <c r="V1146" s="176"/>
      <c r="W1146" s="176"/>
      <c r="X1146" s="176"/>
      <c r="Y1146" s="176"/>
    </row>
    <row r="1147" spans="1:25">
      <c r="A1147" s="91"/>
      <c r="B1147" s="176"/>
      <c r="C1147" s="176"/>
      <c r="D1147" s="176"/>
      <c r="E1147" s="176"/>
      <c r="F1147" s="176"/>
      <c r="G1147" s="176"/>
      <c r="H1147" s="176"/>
      <c r="I1147" s="176"/>
      <c r="J1147" s="176"/>
      <c r="K1147" s="176"/>
      <c r="L1147" s="176"/>
      <c r="M1147" s="176"/>
      <c r="N1147" s="176"/>
      <c r="O1147" s="176"/>
      <c r="P1147" s="176"/>
      <c r="Q1147" s="176"/>
      <c r="R1147" s="176"/>
      <c r="S1147" s="176"/>
      <c r="T1147" s="176"/>
      <c r="U1147" s="176"/>
      <c r="V1147" s="176"/>
      <c r="W1147" s="176"/>
      <c r="X1147" s="176"/>
      <c r="Y1147" s="176"/>
    </row>
    <row r="1148" spans="1:25">
      <c r="A1148" s="91"/>
      <c r="B1148" s="176"/>
      <c r="C1148" s="176"/>
      <c r="D1148" s="176"/>
      <c r="E1148" s="176"/>
      <c r="F1148" s="176"/>
      <c r="G1148" s="176"/>
      <c r="H1148" s="176"/>
      <c r="I1148" s="176"/>
      <c r="J1148" s="176"/>
      <c r="K1148" s="176"/>
      <c r="L1148" s="176"/>
      <c r="M1148" s="176"/>
      <c r="N1148" s="176"/>
      <c r="O1148" s="176"/>
      <c r="P1148" s="176"/>
      <c r="Q1148" s="176"/>
      <c r="R1148" s="176"/>
      <c r="S1148" s="176"/>
      <c r="T1148" s="176"/>
      <c r="U1148" s="176"/>
      <c r="V1148" s="176"/>
      <c r="W1148" s="176"/>
      <c r="X1148" s="176"/>
      <c r="Y1148" s="176"/>
    </row>
    <row r="1149" spans="1:25">
      <c r="A1149" s="91"/>
      <c r="B1149" s="176"/>
      <c r="C1149" s="176"/>
      <c r="D1149" s="176"/>
      <c r="E1149" s="176"/>
      <c r="F1149" s="176"/>
      <c r="G1149" s="176"/>
      <c r="H1149" s="176"/>
      <c r="I1149" s="176"/>
      <c r="J1149" s="176"/>
      <c r="K1149" s="176"/>
      <c r="L1149" s="176"/>
      <c r="M1149" s="176"/>
      <c r="N1149" s="176"/>
      <c r="O1149" s="176"/>
      <c r="P1149" s="176"/>
      <c r="Q1149" s="176"/>
      <c r="R1149" s="176"/>
      <c r="S1149" s="176"/>
      <c r="T1149" s="176"/>
      <c r="U1149" s="176"/>
      <c r="V1149" s="176"/>
      <c r="W1149" s="176"/>
      <c r="X1149" s="176"/>
      <c r="Y1149" s="176"/>
    </row>
    <row r="1150" spans="1:25">
      <c r="A1150" s="91"/>
      <c r="B1150" s="176"/>
      <c r="C1150" s="176"/>
      <c r="D1150" s="176"/>
      <c r="E1150" s="176"/>
      <c r="F1150" s="176"/>
      <c r="G1150" s="176"/>
      <c r="H1150" s="176"/>
      <c r="I1150" s="176"/>
      <c r="J1150" s="176"/>
      <c r="K1150" s="176"/>
      <c r="L1150" s="176"/>
      <c r="M1150" s="176"/>
      <c r="N1150" s="176"/>
      <c r="O1150" s="176"/>
      <c r="P1150" s="176"/>
      <c r="Q1150" s="176"/>
      <c r="R1150" s="176"/>
      <c r="S1150" s="176"/>
      <c r="T1150" s="176"/>
      <c r="U1150" s="176"/>
      <c r="V1150" s="176"/>
      <c r="W1150" s="176"/>
      <c r="X1150" s="176"/>
      <c r="Y1150" s="176"/>
    </row>
    <row r="1151" spans="1:25">
      <c r="A1151" s="91"/>
      <c r="B1151" s="176"/>
      <c r="C1151" s="176"/>
      <c r="D1151" s="176"/>
      <c r="E1151" s="176"/>
      <c r="F1151" s="176"/>
      <c r="G1151" s="176"/>
      <c r="H1151" s="176"/>
      <c r="I1151" s="176"/>
      <c r="J1151" s="176"/>
      <c r="K1151" s="176"/>
      <c r="L1151" s="176"/>
      <c r="M1151" s="176"/>
      <c r="N1151" s="176"/>
      <c r="O1151" s="176"/>
      <c r="P1151" s="176"/>
      <c r="Q1151" s="176"/>
      <c r="R1151" s="176"/>
      <c r="S1151" s="176"/>
      <c r="T1151" s="176"/>
      <c r="U1151" s="176"/>
      <c r="V1151" s="176"/>
      <c r="W1151" s="176"/>
      <c r="X1151" s="176"/>
      <c r="Y1151" s="176"/>
    </row>
    <row r="1152" spans="1:25">
      <c r="A1152" s="91"/>
      <c r="B1152" s="176"/>
      <c r="C1152" s="176"/>
      <c r="D1152" s="176"/>
      <c r="E1152" s="176"/>
      <c r="F1152" s="176"/>
      <c r="G1152" s="176"/>
      <c r="H1152" s="176"/>
      <c r="I1152" s="176"/>
      <c r="J1152" s="176"/>
      <c r="K1152" s="176"/>
      <c r="L1152" s="176"/>
      <c r="M1152" s="176"/>
      <c r="N1152" s="176"/>
      <c r="O1152" s="176"/>
      <c r="P1152" s="176"/>
      <c r="Q1152" s="176"/>
      <c r="R1152" s="176"/>
      <c r="S1152" s="176"/>
      <c r="T1152" s="176"/>
      <c r="U1152" s="176"/>
      <c r="V1152" s="176"/>
      <c r="W1152" s="176"/>
      <c r="X1152" s="176"/>
      <c r="Y1152" s="176"/>
    </row>
    <row r="1153" spans="1:25">
      <c r="A1153" s="91"/>
      <c r="B1153" s="176"/>
      <c r="C1153" s="176"/>
      <c r="D1153" s="176"/>
      <c r="E1153" s="176"/>
      <c r="F1153" s="176"/>
      <c r="G1153" s="176"/>
      <c r="H1153" s="176"/>
      <c r="I1153" s="176"/>
      <c r="J1153" s="176"/>
      <c r="K1153" s="176"/>
      <c r="L1153" s="176"/>
      <c r="M1153" s="176"/>
      <c r="N1153" s="176"/>
      <c r="O1153" s="176"/>
      <c r="P1153" s="176"/>
      <c r="Q1153" s="176"/>
      <c r="R1153" s="176"/>
      <c r="S1153" s="176"/>
      <c r="T1153" s="176"/>
      <c r="U1153" s="176"/>
      <c r="V1153" s="176"/>
      <c r="W1153" s="176"/>
      <c r="X1153" s="176"/>
      <c r="Y1153" s="176"/>
    </row>
    <row r="1154" spans="1:25">
      <c r="A1154" s="91"/>
      <c r="B1154" s="176"/>
      <c r="C1154" s="176"/>
      <c r="D1154" s="176"/>
      <c r="E1154" s="176"/>
      <c r="F1154" s="176"/>
      <c r="G1154" s="176"/>
      <c r="H1154" s="176"/>
      <c r="I1154" s="176"/>
      <c r="J1154" s="176"/>
      <c r="K1154" s="176"/>
      <c r="L1154" s="176"/>
      <c r="M1154" s="176"/>
      <c r="N1154" s="176"/>
      <c r="O1154" s="176"/>
      <c r="P1154" s="176"/>
      <c r="Q1154" s="176"/>
      <c r="R1154" s="176"/>
      <c r="S1154" s="176"/>
      <c r="T1154" s="176"/>
      <c r="U1154" s="176"/>
      <c r="V1154" s="176"/>
      <c r="W1154" s="176"/>
      <c r="X1154" s="176"/>
      <c r="Y1154" s="176"/>
    </row>
    <row r="1155" spans="1:25">
      <c r="A1155" s="91"/>
      <c r="B1155" s="176"/>
      <c r="C1155" s="176"/>
      <c r="D1155" s="176"/>
      <c r="E1155" s="176"/>
      <c r="F1155" s="176"/>
      <c r="G1155" s="176"/>
      <c r="H1155" s="176"/>
      <c r="I1155" s="176"/>
      <c r="J1155" s="176"/>
      <c r="K1155" s="176"/>
      <c r="L1155" s="176"/>
      <c r="M1155" s="176"/>
      <c r="N1155" s="176"/>
      <c r="O1155" s="176"/>
      <c r="P1155" s="176"/>
      <c r="Q1155" s="176"/>
      <c r="R1155" s="176"/>
      <c r="S1155" s="176"/>
      <c r="T1155" s="176"/>
      <c r="U1155" s="176"/>
      <c r="V1155" s="176"/>
      <c r="W1155" s="176"/>
      <c r="X1155" s="176"/>
      <c r="Y1155" s="176"/>
    </row>
    <row r="1156" spans="1:25">
      <c r="A1156" s="91"/>
      <c r="B1156" s="176"/>
      <c r="C1156" s="176"/>
      <c r="D1156" s="176"/>
      <c r="E1156" s="176"/>
      <c r="F1156" s="176"/>
      <c r="G1156" s="176"/>
      <c r="H1156" s="176"/>
      <c r="I1156" s="176"/>
      <c r="J1156" s="176"/>
      <c r="K1156" s="176"/>
      <c r="L1156" s="176"/>
      <c r="M1156" s="176"/>
      <c r="N1156" s="176"/>
      <c r="O1156" s="176"/>
      <c r="P1156" s="176"/>
      <c r="Q1156" s="176"/>
      <c r="R1156" s="176"/>
      <c r="S1156" s="176"/>
      <c r="T1156" s="176"/>
      <c r="U1156" s="176"/>
      <c r="V1156" s="176"/>
      <c r="W1156" s="176"/>
      <c r="X1156" s="176"/>
      <c r="Y1156" s="176"/>
    </row>
    <row r="1157" spans="1:25">
      <c r="A1157" s="91"/>
      <c r="B1157" s="176"/>
      <c r="C1157" s="176"/>
      <c r="D1157" s="176"/>
      <c r="E1157" s="176"/>
      <c r="F1157" s="176"/>
      <c r="G1157" s="176"/>
      <c r="H1157" s="176"/>
      <c r="I1157" s="176"/>
      <c r="J1157" s="176"/>
      <c r="K1157" s="176"/>
      <c r="L1157" s="176"/>
      <c r="M1157" s="176"/>
      <c r="N1157" s="176"/>
      <c r="O1157" s="176"/>
      <c r="P1157" s="176"/>
      <c r="Q1157" s="176"/>
      <c r="R1157" s="176"/>
      <c r="S1157" s="176"/>
      <c r="T1157" s="176"/>
      <c r="U1157" s="176"/>
      <c r="V1157" s="176"/>
      <c r="W1157" s="176"/>
      <c r="X1157" s="176"/>
      <c r="Y1157" s="176"/>
    </row>
    <row r="1158" spans="1:25">
      <c r="A1158" s="91"/>
      <c r="B1158" s="176"/>
      <c r="C1158" s="176"/>
      <c r="D1158" s="176"/>
      <c r="E1158" s="176"/>
      <c r="F1158" s="176"/>
      <c r="G1158" s="176"/>
      <c r="H1158" s="176"/>
      <c r="I1158" s="176"/>
      <c r="J1158" s="176"/>
      <c r="K1158" s="176"/>
      <c r="L1158" s="176"/>
      <c r="M1158" s="176"/>
      <c r="N1158" s="176"/>
      <c r="O1158" s="176"/>
      <c r="P1158" s="176"/>
      <c r="Q1158" s="176"/>
      <c r="R1158" s="176"/>
      <c r="S1158" s="176"/>
      <c r="T1158" s="176"/>
      <c r="U1158" s="176"/>
      <c r="V1158" s="176"/>
      <c r="W1158" s="176"/>
      <c r="X1158" s="176"/>
      <c r="Y1158" s="176"/>
    </row>
    <row r="1159" spans="1:25">
      <c r="A1159" s="91"/>
      <c r="B1159" s="176"/>
      <c r="C1159" s="176"/>
      <c r="D1159" s="176"/>
      <c r="E1159" s="176"/>
      <c r="F1159" s="176"/>
      <c r="G1159" s="176"/>
      <c r="H1159" s="176"/>
      <c r="I1159" s="176"/>
      <c r="J1159" s="176"/>
      <c r="K1159" s="176"/>
      <c r="L1159" s="176"/>
      <c r="M1159" s="176"/>
      <c r="N1159" s="176"/>
      <c r="O1159" s="176"/>
      <c r="P1159" s="176"/>
      <c r="Q1159" s="176"/>
      <c r="R1159" s="176"/>
      <c r="S1159" s="176"/>
      <c r="T1159" s="176"/>
      <c r="U1159" s="176"/>
      <c r="V1159" s="176"/>
      <c r="W1159" s="176"/>
      <c r="X1159" s="176"/>
      <c r="Y1159" s="176"/>
    </row>
    <row r="1160" spans="1:25">
      <c r="A1160" s="91"/>
      <c r="B1160" s="176"/>
      <c r="C1160" s="176"/>
      <c r="D1160" s="176"/>
      <c r="E1160" s="176"/>
      <c r="F1160" s="176"/>
      <c r="G1160" s="176"/>
      <c r="H1160" s="176"/>
      <c r="I1160" s="176"/>
      <c r="J1160" s="176"/>
      <c r="K1160" s="176"/>
      <c r="L1160" s="176"/>
      <c r="M1160" s="176"/>
      <c r="N1160" s="176"/>
      <c r="O1160" s="176"/>
      <c r="P1160" s="176"/>
      <c r="Q1160" s="176"/>
      <c r="R1160" s="176"/>
      <c r="S1160" s="176"/>
      <c r="T1160" s="176"/>
      <c r="U1160" s="176"/>
      <c r="V1160" s="176"/>
      <c r="W1160" s="176"/>
      <c r="X1160" s="176"/>
      <c r="Y1160" s="176"/>
    </row>
    <row r="1161" spans="1:25">
      <c r="A1161" s="91"/>
      <c r="B1161" s="176"/>
      <c r="C1161" s="176"/>
      <c r="D1161" s="176"/>
      <c r="E1161" s="176"/>
      <c r="F1161" s="176"/>
      <c r="G1161" s="176"/>
      <c r="H1161" s="176"/>
      <c r="I1161" s="176"/>
      <c r="J1161" s="176"/>
      <c r="K1161" s="176"/>
      <c r="L1161" s="176"/>
      <c r="M1161" s="176"/>
      <c r="N1161" s="176"/>
      <c r="O1161" s="176"/>
      <c r="P1161" s="176"/>
      <c r="Q1161" s="176"/>
      <c r="R1161" s="176"/>
      <c r="S1161" s="176"/>
      <c r="T1161" s="176"/>
      <c r="U1161" s="176"/>
      <c r="V1161" s="176"/>
      <c r="W1161" s="176"/>
      <c r="X1161" s="176"/>
      <c r="Y1161" s="176"/>
    </row>
    <row r="1162" spans="1:25">
      <c r="A1162" s="91"/>
      <c r="B1162" s="176"/>
      <c r="C1162" s="176"/>
      <c r="D1162" s="176"/>
      <c r="E1162" s="176"/>
      <c r="F1162" s="176"/>
      <c r="G1162" s="176"/>
      <c r="H1162" s="176"/>
      <c r="I1162" s="176"/>
      <c r="J1162" s="176"/>
      <c r="K1162" s="176"/>
      <c r="L1162" s="176"/>
      <c r="M1162" s="176"/>
      <c r="N1162" s="176"/>
      <c r="O1162" s="176"/>
      <c r="P1162" s="176"/>
      <c r="Q1162" s="176"/>
      <c r="R1162" s="176"/>
      <c r="S1162" s="176"/>
      <c r="T1162" s="176"/>
      <c r="U1162" s="176"/>
      <c r="V1162" s="176"/>
      <c r="W1162" s="176"/>
      <c r="X1162" s="176"/>
      <c r="Y1162" s="176"/>
    </row>
    <row r="1163" spans="1:25">
      <c r="A1163" s="91"/>
      <c r="B1163" s="176"/>
      <c r="C1163" s="176"/>
      <c r="D1163" s="176"/>
      <c r="E1163" s="176"/>
      <c r="F1163" s="176"/>
      <c r="G1163" s="176"/>
      <c r="H1163" s="176"/>
      <c r="I1163" s="176"/>
      <c r="J1163" s="176"/>
      <c r="K1163" s="176"/>
      <c r="L1163" s="176"/>
      <c r="M1163" s="176"/>
      <c r="N1163" s="176"/>
      <c r="O1163" s="176"/>
      <c r="P1163" s="176"/>
      <c r="Q1163" s="176"/>
      <c r="R1163" s="176"/>
      <c r="S1163" s="176"/>
      <c r="T1163" s="176"/>
      <c r="U1163" s="176"/>
      <c r="V1163" s="176"/>
      <c r="W1163" s="176"/>
      <c r="X1163" s="176"/>
      <c r="Y1163" s="176"/>
    </row>
    <row r="1164" spans="1:25">
      <c r="A1164" s="91"/>
      <c r="B1164" s="176"/>
      <c r="C1164" s="176"/>
      <c r="D1164" s="176"/>
      <c r="E1164" s="176"/>
      <c r="F1164" s="176"/>
      <c r="G1164" s="176"/>
      <c r="H1164" s="176"/>
      <c r="I1164" s="176"/>
      <c r="J1164" s="176"/>
      <c r="K1164" s="176"/>
      <c r="L1164" s="176"/>
      <c r="M1164" s="176"/>
      <c r="N1164" s="176"/>
      <c r="O1164" s="176"/>
      <c r="P1164" s="176"/>
      <c r="Q1164" s="176"/>
      <c r="R1164" s="176"/>
      <c r="S1164" s="176"/>
      <c r="T1164" s="176"/>
      <c r="U1164" s="176"/>
      <c r="V1164" s="176"/>
      <c r="W1164" s="176"/>
      <c r="X1164" s="176"/>
      <c r="Y1164" s="176"/>
    </row>
    <row r="1165" spans="1:25">
      <c r="A1165" s="91"/>
      <c r="B1165" s="176"/>
      <c r="C1165" s="176"/>
      <c r="D1165" s="176"/>
      <c r="E1165" s="176"/>
      <c r="F1165" s="176"/>
      <c r="G1165" s="176"/>
      <c r="H1165" s="176"/>
      <c r="I1165" s="176"/>
      <c r="J1165" s="176"/>
      <c r="K1165" s="176"/>
      <c r="L1165" s="176"/>
      <c r="M1165" s="176"/>
      <c r="N1165" s="176"/>
      <c r="O1165" s="176"/>
      <c r="P1165" s="176"/>
      <c r="Q1165" s="176"/>
      <c r="R1165" s="176"/>
      <c r="S1165" s="176"/>
      <c r="T1165" s="176"/>
      <c r="U1165" s="176"/>
      <c r="V1165" s="176"/>
      <c r="W1165" s="176"/>
      <c r="X1165" s="176"/>
      <c r="Y1165" s="176"/>
    </row>
    <row r="1166" spans="1:25">
      <c r="A1166" s="91"/>
      <c r="B1166" s="176"/>
      <c r="C1166" s="176"/>
      <c r="D1166" s="176"/>
      <c r="E1166" s="176"/>
      <c r="F1166" s="176"/>
      <c r="G1166" s="176"/>
      <c r="H1166" s="176"/>
      <c r="I1166" s="176"/>
      <c r="J1166" s="176"/>
      <c r="K1166" s="176"/>
      <c r="L1166" s="176"/>
      <c r="M1166" s="176"/>
      <c r="N1166" s="176"/>
      <c r="O1166" s="176"/>
      <c r="P1166" s="176"/>
      <c r="Q1166" s="176"/>
      <c r="R1166" s="176"/>
      <c r="S1166" s="176"/>
      <c r="T1166" s="176"/>
      <c r="U1166" s="176"/>
      <c r="V1166" s="176"/>
      <c r="W1166" s="176"/>
      <c r="X1166" s="176"/>
      <c r="Y1166" s="176"/>
    </row>
    <row r="1167" spans="1:25">
      <c r="A1167" s="91"/>
      <c r="B1167" s="176"/>
      <c r="C1167" s="176"/>
      <c r="D1167" s="176"/>
      <c r="E1167" s="176"/>
      <c r="F1167" s="176"/>
      <c r="G1167" s="176"/>
      <c r="H1167" s="176"/>
      <c r="I1167" s="176"/>
      <c r="J1167" s="176"/>
      <c r="K1167" s="176"/>
      <c r="L1167" s="176"/>
      <c r="M1167" s="176"/>
      <c r="N1167" s="176"/>
      <c r="O1167" s="176"/>
      <c r="P1167" s="176"/>
      <c r="Q1167" s="176"/>
      <c r="R1167" s="176"/>
      <c r="S1167" s="176"/>
      <c r="T1167" s="176"/>
      <c r="U1167" s="176"/>
      <c r="V1167" s="176"/>
      <c r="W1167" s="176"/>
      <c r="X1167" s="176"/>
      <c r="Y1167" s="176"/>
    </row>
    <row r="1168" spans="1:25">
      <c r="A1168" s="91"/>
      <c r="B1168" s="176"/>
      <c r="C1168" s="176"/>
      <c r="D1168" s="176"/>
      <c r="E1168" s="176"/>
      <c r="F1168" s="176"/>
      <c r="G1168" s="176"/>
      <c r="H1168" s="176"/>
      <c r="I1168" s="176"/>
      <c r="J1168" s="176"/>
      <c r="K1168" s="176"/>
      <c r="L1168" s="176"/>
      <c r="M1168" s="176"/>
      <c r="N1168" s="176"/>
      <c r="O1168" s="176"/>
      <c r="P1168" s="176"/>
      <c r="Q1168" s="176"/>
      <c r="R1168" s="176"/>
      <c r="S1168" s="176"/>
      <c r="T1168" s="176"/>
      <c r="U1168" s="176"/>
      <c r="V1168" s="176"/>
      <c r="W1168" s="176"/>
      <c r="X1168" s="176"/>
      <c r="Y1168" s="176"/>
    </row>
    <row r="1169" spans="1:25">
      <c r="A1169" s="91"/>
      <c r="B1169" s="176"/>
      <c r="C1169" s="176"/>
      <c r="D1169" s="176"/>
      <c r="E1169" s="176"/>
      <c r="F1169" s="176"/>
      <c r="G1169" s="176"/>
      <c r="H1169" s="176"/>
      <c r="I1169" s="176"/>
      <c r="J1169" s="176"/>
      <c r="K1169" s="176"/>
      <c r="L1169" s="176"/>
      <c r="M1169" s="176"/>
      <c r="N1169" s="176"/>
      <c r="O1169" s="176"/>
      <c r="P1169" s="176"/>
      <c r="Q1169" s="176"/>
      <c r="R1169" s="176"/>
      <c r="S1169" s="176"/>
      <c r="T1169" s="176"/>
      <c r="U1169" s="176"/>
      <c r="V1169" s="176"/>
      <c r="W1169" s="176"/>
      <c r="X1169" s="176"/>
      <c r="Y1169" s="176"/>
    </row>
    <row r="1170" spans="1:25">
      <c r="A1170" s="91"/>
      <c r="B1170" s="176"/>
      <c r="C1170" s="176"/>
      <c r="D1170" s="176"/>
      <c r="E1170" s="176"/>
      <c r="F1170" s="176"/>
      <c r="G1170" s="176"/>
      <c r="H1170" s="176"/>
      <c r="I1170" s="176"/>
      <c r="J1170" s="176"/>
      <c r="K1170" s="176"/>
      <c r="L1170" s="176"/>
      <c r="M1170" s="176"/>
      <c r="N1170" s="176"/>
      <c r="O1170" s="176"/>
      <c r="P1170" s="176"/>
      <c r="Q1170" s="176"/>
      <c r="R1170" s="176"/>
      <c r="S1170" s="176"/>
      <c r="T1170" s="176"/>
      <c r="U1170" s="176"/>
      <c r="V1170" s="176"/>
      <c r="W1170" s="176"/>
      <c r="X1170" s="176"/>
      <c r="Y1170" s="176"/>
    </row>
    <row r="1171" spans="1:25">
      <c r="A1171" s="91"/>
      <c r="B1171" s="176"/>
      <c r="C1171" s="176"/>
      <c r="D1171" s="176"/>
      <c r="E1171" s="176"/>
      <c r="F1171" s="176"/>
      <c r="G1171" s="176"/>
      <c r="H1171" s="176"/>
      <c r="I1171" s="176"/>
      <c r="J1171" s="176"/>
      <c r="K1171" s="176"/>
      <c r="L1171" s="176"/>
      <c r="M1171" s="176"/>
      <c r="N1171" s="176"/>
      <c r="O1171" s="176"/>
      <c r="P1171" s="176"/>
      <c r="Q1171" s="176"/>
      <c r="R1171" s="176"/>
      <c r="S1171" s="176"/>
      <c r="T1171" s="176"/>
      <c r="U1171" s="176"/>
      <c r="V1171" s="176"/>
      <c r="W1171" s="176"/>
      <c r="X1171" s="176"/>
      <c r="Y1171" s="176"/>
    </row>
    <row r="1172" spans="1:25">
      <c r="A1172" s="91"/>
      <c r="B1172" s="176"/>
      <c r="C1172" s="176"/>
      <c r="D1172" s="176"/>
      <c r="E1172" s="176"/>
      <c r="F1172" s="176"/>
      <c r="G1172" s="176"/>
      <c r="H1172" s="176"/>
      <c r="I1172" s="176"/>
      <c r="J1172" s="176"/>
      <c r="K1172" s="176"/>
      <c r="L1172" s="176"/>
      <c r="M1172" s="176"/>
      <c r="N1172" s="176"/>
      <c r="O1172" s="176"/>
      <c r="P1172" s="176"/>
      <c r="Q1172" s="176"/>
      <c r="R1172" s="176"/>
      <c r="S1172" s="176"/>
      <c r="T1172" s="176"/>
      <c r="U1172" s="176"/>
      <c r="V1172" s="176"/>
      <c r="W1172" s="176"/>
      <c r="X1172" s="176"/>
      <c r="Y1172" s="176"/>
    </row>
    <row r="1173" spans="1:25">
      <c r="A1173" s="91"/>
      <c r="B1173" s="176"/>
      <c r="C1173" s="176"/>
      <c r="D1173" s="176"/>
      <c r="E1173" s="176"/>
      <c r="F1173" s="176"/>
      <c r="G1173" s="176"/>
      <c r="H1173" s="176"/>
      <c r="I1173" s="176"/>
      <c r="J1173" s="176"/>
      <c r="K1173" s="176"/>
      <c r="L1173" s="176"/>
      <c r="M1173" s="176"/>
      <c r="N1173" s="176"/>
      <c r="O1173" s="176"/>
      <c r="P1173" s="176"/>
      <c r="Q1173" s="176"/>
      <c r="R1173" s="176"/>
      <c r="S1173" s="176"/>
      <c r="T1173" s="176"/>
      <c r="U1173" s="176"/>
      <c r="V1173" s="176"/>
      <c r="W1173" s="176"/>
      <c r="X1173" s="176"/>
      <c r="Y1173" s="176"/>
    </row>
    <row r="1174" spans="1:25">
      <c r="A1174" s="91"/>
      <c r="B1174" s="176"/>
      <c r="C1174" s="176"/>
      <c r="D1174" s="176"/>
      <c r="E1174" s="176"/>
      <c r="F1174" s="176"/>
      <c r="G1174" s="176"/>
      <c r="H1174" s="176"/>
      <c r="I1174" s="176"/>
      <c r="J1174" s="176"/>
      <c r="K1174" s="176"/>
      <c r="L1174" s="176"/>
      <c r="M1174" s="176"/>
      <c r="N1174" s="176"/>
      <c r="O1174" s="176"/>
      <c r="P1174" s="176"/>
      <c r="Q1174" s="176"/>
      <c r="R1174" s="176"/>
      <c r="S1174" s="176"/>
      <c r="T1174" s="176"/>
      <c r="U1174" s="176"/>
      <c r="V1174" s="176"/>
      <c r="W1174" s="176"/>
      <c r="X1174" s="176"/>
      <c r="Y1174" s="176"/>
    </row>
    <row r="1175" spans="1:25">
      <c r="A1175" s="91"/>
      <c r="B1175" s="176"/>
      <c r="C1175" s="176"/>
      <c r="D1175" s="176"/>
      <c r="E1175" s="176"/>
      <c r="F1175" s="176"/>
      <c r="G1175" s="176"/>
      <c r="H1175" s="176"/>
      <c r="I1175" s="176"/>
      <c r="J1175" s="176"/>
      <c r="K1175" s="176"/>
      <c r="L1175" s="176"/>
      <c r="M1175" s="176"/>
      <c r="N1175" s="176"/>
      <c r="O1175" s="176"/>
      <c r="P1175" s="176"/>
      <c r="Q1175" s="176"/>
      <c r="R1175" s="176"/>
      <c r="S1175" s="176"/>
      <c r="T1175" s="176"/>
      <c r="U1175" s="176"/>
      <c r="V1175" s="176"/>
      <c r="W1175" s="176"/>
      <c r="X1175" s="176"/>
      <c r="Y1175" s="176"/>
    </row>
    <row r="1176" spans="1:25">
      <c r="A1176" s="91"/>
      <c r="B1176" s="176"/>
      <c r="C1176" s="176"/>
      <c r="D1176" s="176"/>
      <c r="E1176" s="176"/>
      <c r="F1176" s="176"/>
      <c r="G1176" s="176"/>
      <c r="H1176" s="176"/>
      <c r="I1176" s="176"/>
      <c r="J1176" s="176"/>
      <c r="K1176" s="176"/>
      <c r="L1176" s="176"/>
      <c r="M1176" s="176"/>
      <c r="N1176" s="176"/>
      <c r="O1176" s="176"/>
      <c r="P1176" s="176"/>
      <c r="Q1176" s="176"/>
      <c r="R1176" s="176"/>
      <c r="S1176" s="176"/>
      <c r="T1176" s="176"/>
      <c r="U1176" s="176"/>
      <c r="V1176" s="176"/>
      <c r="W1176" s="176"/>
      <c r="X1176" s="176"/>
      <c r="Y1176" s="176"/>
    </row>
    <row r="1177" spans="1:25">
      <c r="A1177" s="91"/>
      <c r="B1177" s="176"/>
      <c r="C1177" s="176"/>
      <c r="D1177" s="176"/>
      <c r="E1177" s="176"/>
      <c r="F1177" s="176"/>
      <c r="G1177" s="176"/>
      <c r="H1177" s="176"/>
      <c r="I1177" s="176"/>
      <c r="J1177" s="176"/>
      <c r="K1177" s="176"/>
      <c r="L1177" s="176"/>
      <c r="M1177" s="176"/>
      <c r="N1177" s="176"/>
      <c r="O1177" s="176"/>
      <c r="P1177" s="176"/>
      <c r="Q1177" s="176"/>
      <c r="R1177" s="176"/>
      <c r="S1177" s="176"/>
      <c r="T1177" s="176"/>
      <c r="U1177" s="176"/>
      <c r="V1177" s="176"/>
      <c r="W1177" s="176"/>
      <c r="X1177" s="176"/>
      <c r="Y1177" s="176"/>
    </row>
    <row r="1178" spans="1:25">
      <c r="A1178" s="91"/>
      <c r="B1178" s="176"/>
      <c r="C1178" s="176"/>
      <c r="D1178" s="176"/>
      <c r="E1178" s="176"/>
      <c r="F1178" s="176"/>
      <c r="G1178" s="176"/>
      <c r="H1178" s="176"/>
      <c r="I1178" s="176"/>
      <c r="J1178" s="176"/>
      <c r="K1178" s="176"/>
      <c r="L1178" s="176"/>
      <c r="M1178" s="176"/>
      <c r="N1178" s="176"/>
      <c r="O1178" s="176"/>
      <c r="P1178" s="176"/>
      <c r="Q1178" s="176"/>
      <c r="R1178" s="176"/>
      <c r="S1178" s="176"/>
      <c r="T1178" s="176"/>
      <c r="U1178" s="176"/>
      <c r="V1178" s="176"/>
      <c r="W1178" s="176"/>
      <c r="X1178" s="176"/>
      <c r="Y1178" s="176"/>
    </row>
    <row r="1179" spans="1:25">
      <c r="A1179" s="91"/>
      <c r="B1179" s="176"/>
      <c r="C1179" s="176"/>
      <c r="D1179" s="176"/>
      <c r="E1179" s="176"/>
      <c r="F1179" s="176"/>
      <c r="G1179" s="176"/>
      <c r="H1179" s="176"/>
      <c r="I1179" s="176"/>
      <c r="J1179" s="176"/>
      <c r="K1179" s="176"/>
      <c r="L1179" s="176"/>
      <c r="M1179" s="176"/>
      <c r="N1179" s="176"/>
      <c r="O1179" s="176"/>
      <c r="P1179" s="176"/>
      <c r="Q1179" s="176"/>
      <c r="R1179" s="176"/>
      <c r="S1179" s="176"/>
      <c r="T1179" s="176"/>
      <c r="U1179" s="176"/>
      <c r="V1179" s="176"/>
      <c r="W1179" s="176"/>
      <c r="X1179" s="176"/>
      <c r="Y1179" s="176"/>
    </row>
    <row r="1180" spans="1:25">
      <c r="A1180" s="91"/>
      <c r="B1180" s="176"/>
      <c r="C1180" s="176"/>
      <c r="D1180" s="176"/>
      <c r="E1180" s="176"/>
      <c r="F1180" s="176"/>
      <c r="G1180" s="176"/>
      <c r="H1180" s="176"/>
      <c r="I1180" s="176"/>
      <c r="J1180" s="176"/>
      <c r="K1180" s="176"/>
      <c r="L1180" s="176"/>
      <c r="M1180" s="176"/>
      <c r="N1180" s="176"/>
      <c r="O1180" s="176"/>
      <c r="P1180" s="176"/>
      <c r="Q1180" s="176"/>
      <c r="R1180" s="176"/>
      <c r="S1180" s="176"/>
      <c r="T1180" s="176"/>
      <c r="U1180" s="176"/>
      <c r="V1180" s="176"/>
      <c r="W1180" s="176"/>
      <c r="X1180" s="176"/>
      <c r="Y1180" s="176"/>
    </row>
    <row r="1181" spans="1:25">
      <c r="A1181" s="91"/>
      <c r="B1181" s="176"/>
      <c r="C1181" s="176"/>
      <c r="D1181" s="176"/>
      <c r="E1181" s="176"/>
      <c r="F1181" s="176"/>
      <c r="G1181" s="176"/>
      <c r="H1181" s="176"/>
      <c r="I1181" s="176"/>
      <c r="J1181" s="176"/>
      <c r="K1181" s="176"/>
      <c r="L1181" s="176"/>
      <c r="M1181" s="176"/>
      <c r="N1181" s="176"/>
      <c r="O1181" s="176"/>
      <c r="P1181" s="176"/>
      <c r="Q1181" s="176"/>
      <c r="R1181" s="176"/>
      <c r="S1181" s="176"/>
      <c r="T1181" s="176"/>
      <c r="U1181" s="176"/>
      <c r="V1181" s="176"/>
      <c r="W1181" s="176"/>
      <c r="X1181" s="176"/>
      <c r="Y1181" s="176"/>
    </row>
    <row r="1182" spans="1:25">
      <c r="A1182" s="91"/>
      <c r="B1182" s="176"/>
      <c r="C1182" s="176"/>
      <c r="D1182" s="176"/>
      <c r="E1182" s="176"/>
      <c r="F1182" s="176"/>
      <c r="G1182" s="176"/>
      <c r="H1182" s="176"/>
      <c r="I1182" s="176"/>
      <c r="J1182" s="176"/>
      <c r="K1182" s="176"/>
      <c r="L1182" s="176"/>
      <c r="M1182" s="176"/>
      <c r="N1182" s="176"/>
      <c r="O1182" s="176"/>
      <c r="P1182" s="176"/>
      <c r="Q1182" s="176"/>
      <c r="R1182" s="176"/>
      <c r="S1182" s="176"/>
      <c r="T1182" s="176"/>
      <c r="U1182" s="176"/>
      <c r="V1182" s="176"/>
      <c r="W1182" s="176"/>
      <c r="X1182" s="176"/>
      <c r="Y1182" s="176"/>
    </row>
    <row r="1183" spans="1:25">
      <c r="A1183" s="91"/>
      <c r="B1183" s="176"/>
      <c r="C1183" s="176"/>
      <c r="D1183" s="176"/>
      <c r="E1183" s="176"/>
      <c r="F1183" s="176"/>
      <c r="G1183" s="176"/>
      <c r="H1183" s="176"/>
      <c r="I1183" s="176"/>
      <c r="J1183" s="176"/>
      <c r="K1183" s="176"/>
      <c r="L1183" s="176"/>
      <c r="M1183" s="176"/>
      <c r="N1183" s="176"/>
      <c r="O1183" s="176"/>
      <c r="P1183" s="176"/>
      <c r="Q1183" s="176"/>
      <c r="R1183" s="176"/>
      <c r="S1183" s="176"/>
      <c r="T1183" s="176"/>
      <c r="U1183" s="176"/>
      <c r="V1183" s="176"/>
      <c r="W1183" s="176"/>
      <c r="X1183" s="176"/>
      <c r="Y1183" s="176"/>
    </row>
    <row r="1184" spans="1:25">
      <c r="A1184" s="91"/>
      <c r="B1184" s="176"/>
      <c r="C1184" s="176"/>
      <c r="D1184" s="176"/>
      <c r="E1184" s="176"/>
      <c r="F1184" s="176"/>
      <c r="G1184" s="176"/>
      <c r="H1184" s="176"/>
      <c r="I1184" s="176"/>
      <c r="J1184" s="176"/>
      <c r="K1184" s="176"/>
      <c r="L1184" s="176"/>
      <c r="M1184" s="176"/>
      <c r="N1184" s="176"/>
      <c r="O1184" s="176"/>
      <c r="P1184" s="176"/>
      <c r="Q1184" s="176"/>
      <c r="R1184" s="176"/>
      <c r="S1184" s="176"/>
      <c r="T1184" s="176"/>
      <c r="U1184" s="176"/>
      <c r="V1184" s="176"/>
      <c r="W1184" s="176"/>
      <c r="X1184" s="176"/>
      <c r="Y1184" s="176"/>
    </row>
    <row r="1185" spans="1:25">
      <c r="A1185" s="91"/>
      <c r="B1185" s="176"/>
      <c r="C1185" s="176"/>
      <c r="D1185" s="176"/>
      <c r="E1185" s="176"/>
      <c r="F1185" s="176"/>
      <c r="G1185" s="176"/>
      <c r="H1185" s="176"/>
      <c r="I1185" s="176"/>
      <c r="J1185" s="176"/>
      <c r="K1185" s="176"/>
      <c r="L1185" s="176"/>
      <c r="M1185" s="176"/>
      <c r="N1185" s="176"/>
      <c r="O1185" s="176"/>
      <c r="P1185" s="176"/>
      <c r="Q1185" s="176"/>
      <c r="R1185" s="176"/>
      <c r="S1185" s="176"/>
      <c r="T1185" s="176"/>
      <c r="U1185" s="176"/>
      <c r="V1185" s="176"/>
      <c r="W1185" s="176"/>
      <c r="X1185" s="176"/>
      <c r="Y1185" s="176"/>
    </row>
    <row r="1186" spans="1:25">
      <c r="A1186" s="91"/>
      <c r="B1186" s="176"/>
      <c r="C1186" s="176"/>
      <c r="D1186" s="176"/>
      <c r="E1186" s="176"/>
      <c r="F1186" s="176"/>
      <c r="G1186" s="176"/>
      <c r="H1186" s="176"/>
      <c r="I1186" s="176"/>
      <c r="J1186" s="176"/>
      <c r="K1186" s="176"/>
      <c r="L1186" s="176"/>
      <c r="M1186" s="176"/>
      <c r="N1186" s="176"/>
      <c r="O1186" s="176"/>
      <c r="P1186" s="176"/>
      <c r="Q1186" s="176"/>
      <c r="R1186" s="176"/>
      <c r="S1186" s="176"/>
      <c r="T1186" s="176"/>
      <c r="U1186" s="176"/>
      <c r="V1186" s="176"/>
      <c r="W1186" s="176"/>
      <c r="X1186" s="176"/>
      <c r="Y1186" s="176"/>
    </row>
    <row r="1187" spans="1:25">
      <c r="A1187" s="91"/>
      <c r="B1187" s="176"/>
      <c r="C1187" s="176"/>
      <c r="D1187" s="176"/>
      <c r="E1187" s="176"/>
      <c r="F1187" s="176"/>
      <c r="G1187" s="176"/>
      <c r="H1187" s="176"/>
      <c r="I1187" s="176"/>
      <c r="J1187" s="176"/>
      <c r="K1187" s="176"/>
      <c r="L1187" s="176"/>
      <c r="M1187" s="176"/>
      <c r="N1187" s="176"/>
      <c r="O1187" s="176"/>
      <c r="P1187" s="176"/>
      <c r="Q1187" s="176"/>
      <c r="R1187" s="176"/>
      <c r="S1187" s="176"/>
      <c r="T1187" s="176"/>
      <c r="U1187" s="176"/>
      <c r="V1187" s="176"/>
      <c r="W1187" s="176"/>
      <c r="X1187" s="176"/>
      <c r="Y1187" s="176"/>
    </row>
    <row r="1188" spans="1:25">
      <c r="A1188" s="91"/>
      <c r="B1188" s="176"/>
      <c r="C1188" s="176"/>
      <c r="D1188" s="176"/>
      <c r="E1188" s="176"/>
      <c r="F1188" s="176"/>
      <c r="G1188" s="176"/>
      <c r="H1188" s="176"/>
      <c r="I1188" s="176"/>
      <c r="J1188" s="176"/>
      <c r="K1188" s="176"/>
      <c r="L1188" s="176"/>
      <c r="M1188" s="176"/>
      <c r="N1188" s="176"/>
      <c r="O1188" s="176"/>
      <c r="P1188" s="176"/>
      <c r="Q1188" s="176"/>
      <c r="R1188" s="176"/>
      <c r="S1188" s="176"/>
      <c r="T1188" s="176"/>
      <c r="U1188" s="176"/>
      <c r="V1188" s="176"/>
      <c r="W1188" s="176"/>
      <c r="X1188" s="176"/>
      <c r="Y1188" s="176"/>
    </row>
    <row r="1189" spans="1:25">
      <c r="A1189" s="91"/>
      <c r="B1189" s="176"/>
      <c r="C1189" s="176"/>
      <c r="D1189" s="176"/>
      <c r="E1189" s="176"/>
      <c r="F1189" s="176"/>
      <c r="G1189" s="176"/>
      <c r="H1189" s="176"/>
      <c r="I1189" s="176"/>
      <c r="J1189" s="176"/>
      <c r="K1189" s="176"/>
      <c r="L1189" s="176"/>
      <c r="M1189" s="176"/>
      <c r="N1189" s="176"/>
      <c r="O1189" s="176"/>
      <c r="P1189" s="176"/>
      <c r="Q1189" s="176"/>
      <c r="R1189" s="176"/>
      <c r="S1189" s="176"/>
      <c r="T1189" s="176"/>
      <c r="U1189" s="176"/>
      <c r="V1189" s="176"/>
      <c r="W1189" s="176"/>
      <c r="X1189" s="176"/>
      <c r="Y1189" s="176"/>
    </row>
    <row r="1190" spans="1:25">
      <c r="A1190" s="91"/>
      <c r="B1190" s="176"/>
      <c r="C1190" s="176"/>
      <c r="D1190" s="176"/>
      <c r="E1190" s="176"/>
      <c r="F1190" s="176"/>
      <c r="G1190" s="176"/>
      <c r="H1190" s="176"/>
      <c r="I1190" s="176"/>
      <c r="J1190" s="176"/>
      <c r="K1190" s="176"/>
      <c r="L1190" s="176"/>
      <c r="M1190" s="176"/>
      <c r="N1190" s="176"/>
      <c r="O1190" s="176"/>
      <c r="P1190" s="176"/>
      <c r="Q1190" s="176"/>
      <c r="R1190" s="176"/>
      <c r="S1190" s="176"/>
      <c r="T1190" s="176"/>
      <c r="U1190" s="176"/>
      <c r="V1190" s="176"/>
      <c r="W1190" s="176"/>
      <c r="X1190" s="176"/>
      <c r="Y1190" s="176"/>
    </row>
    <row r="1191" spans="1:25">
      <c r="A1191" s="91"/>
      <c r="B1191" s="176"/>
      <c r="C1191" s="176"/>
      <c r="D1191" s="176"/>
      <c r="E1191" s="176"/>
      <c r="F1191" s="176"/>
      <c r="G1191" s="176"/>
      <c r="H1191" s="176"/>
      <c r="I1191" s="176"/>
      <c r="J1191" s="176"/>
      <c r="K1191" s="176"/>
      <c r="L1191" s="176"/>
      <c r="M1191" s="176"/>
      <c r="N1191" s="176"/>
      <c r="O1191" s="176"/>
      <c r="P1191" s="176"/>
      <c r="Q1191" s="176"/>
      <c r="R1191" s="176"/>
      <c r="S1191" s="176"/>
      <c r="T1191" s="176"/>
      <c r="U1191" s="176"/>
      <c r="V1191" s="176"/>
      <c r="W1191" s="176"/>
      <c r="X1191" s="176"/>
      <c r="Y1191" s="176"/>
    </row>
    <row r="1192" spans="1:25">
      <c r="A1192" s="91"/>
      <c r="B1192" s="176"/>
      <c r="C1192" s="176"/>
      <c r="D1192" s="176"/>
      <c r="E1192" s="176"/>
      <c r="F1192" s="176"/>
      <c r="G1192" s="176"/>
      <c r="H1192" s="176"/>
      <c r="I1192" s="176"/>
      <c r="J1192" s="176"/>
      <c r="K1192" s="176"/>
      <c r="L1192" s="176"/>
      <c r="M1192" s="176"/>
      <c r="N1192" s="176"/>
      <c r="O1192" s="176"/>
      <c r="P1192" s="176"/>
      <c r="Q1192" s="176"/>
      <c r="R1192" s="176"/>
      <c r="S1192" s="176"/>
      <c r="T1192" s="176"/>
      <c r="U1192" s="176"/>
      <c r="V1192" s="176"/>
      <c r="W1192" s="176"/>
      <c r="X1192" s="176"/>
      <c r="Y1192" s="176"/>
    </row>
    <row r="1193" spans="1:25">
      <c r="A1193" s="91"/>
      <c r="B1193" s="176"/>
      <c r="C1193" s="176"/>
      <c r="D1193" s="176"/>
      <c r="E1193" s="176"/>
      <c r="F1193" s="176"/>
      <c r="G1193" s="176"/>
      <c r="H1193" s="176"/>
      <c r="I1193" s="176"/>
      <c r="J1193" s="176"/>
      <c r="K1193" s="176"/>
      <c r="L1193" s="176"/>
      <c r="M1193" s="176"/>
      <c r="N1193" s="176"/>
      <c r="O1193" s="176"/>
      <c r="P1193" s="176"/>
      <c r="Q1193" s="176"/>
      <c r="R1193" s="176"/>
      <c r="S1193" s="176"/>
      <c r="T1193" s="176"/>
      <c r="U1193" s="176"/>
      <c r="V1193" s="176"/>
      <c r="W1193" s="176"/>
      <c r="X1193" s="176"/>
      <c r="Y1193" s="176"/>
    </row>
    <row r="1194" spans="1:25">
      <c r="A1194" s="91"/>
      <c r="B1194" s="176"/>
      <c r="C1194" s="176"/>
      <c r="D1194" s="176"/>
      <c r="E1194" s="176"/>
      <c r="F1194" s="176"/>
      <c r="G1194" s="176"/>
      <c r="H1194" s="176"/>
      <c r="I1194" s="176"/>
      <c r="J1194" s="176"/>
      <c r="K1194" s="176"/>
      <c r="L1194" s="176"/>
      <c r="M1194" s="176"/>
      <c r="N1194" s="176"/>
      <c r="O1194" s="176"/>
      <c r="P1194" s="176"/>
      <c r="Q1194" s="176"/>
      <c r="R1194" s="176"/>
      <c r="S1194" s="176"/>
      <c r="T1194" s="176"/>
      <c r="U1194" s="176"/>
      <c r="V1194" s="176"/>
      <c r="W1194" s="176"/>
      <c r="X1194" s="176"/>
      <c r="Y1194" s="176"/>
    </row>
    <row r="1195" spans="1:25">
      <c r="A1195" s="91"/>
      <c r="B1195" s="176"/>
      <c r="C1195" s="176"/>
      <c r="D1195" s="176"/>
      <c r="E1195" s="176"/>
      <c r="F1195" s="176"/>
      <c r="G1195" s="176"/>
      <c r="H1195" s="176"/>
      <c r="I1195" s="176"/>
      <c r="J1195" s="176"/>
      <c r="K1195" s="176"/>
      <c r="L1195" s="176"/>
      <c r="M1195" s="176"/>
      <c r="N1195" s="176"/>
      <c r="O1195" s="176"/>
      <c r="P1195" s="176"/>
      <c r="Q1195" s="176"/>
      <c r="R1195" s="176"/>
      <c r="S1195" s="176"/>
      <c r="T1195" s="176"/>
      <c r="U1195" s="176"/>
      <c r="V1195" s="176"/>
      <c r="W1195" s="176"/>
      <c r="X1195" s="176"/>
      <c r="Y1195" s="176"/>
    </row>
    <row r="1196" spans="1:25">
      <c r="A1196" s="91"/>
      <c r="B1196" s="176"/>
      <c r="C1196" s="176"/>
      <c r="D1196" s="176"/>
      <c r="E1196" s="176"/>
      <c r="F1196" s="176"/>
      <c r="G1196" s="176"/>
      <c r="H1196" s="176"/>
      <c r="I1196" s="176"/>
      <c r="J1196" s="176"/>
      <c r="K1196" s="176"/>
      <c r="L1196" s="176"/>
      <c r="M1196" s="176"/>
      <c r="N1196" s="176"/>
      <c r="O1196" s="176"/>
      <c r="P1196" s="176"/>
      <c r="Q1196" s="176"/>
      <c r="R1196" s="176"/>
      <c r="S1196" s="176"/>
      <c r="T1196" s="176"/>
      <c r="U1196" s="176"/>
      <c r="V1196" s="176"/>
      <c r="W1196" s="176"/>
      <c r="X1196" s="176"/>
      <c r="Y1196" s="176"/>
    </row>
    <row r="1197" spans="1:25">
      <c r="A1197" s="91"/>
      <c r="B1197" s="176"/>
      <c r="C1197" s="176"/>
      <c r="D1197" s="176"/>
      <c r="E1197" s="176"/>
      <c r="F1197" s="176"/>
      <c r="G1197" s="176"/>
      <c r="H1197" s="176"/>
      <c r="I1197" s="176"/>
      <c r="J1197" s="176"/>
      <c r="K1197" s="176"/>
      <c r="L1197" s="176"/>
      <c r="M1197" s="176"/>
      <c r="N1197" s="176"/>
      <c r="O1197" s="176"/>
      <c r="P1197" s="176"/>
      <c r="Q1197" s="176"/>
      <c r="R1197" s="176"/>
      <c r="S1197" s="176"/>
      <c r="T1197" s="176"/>
      <c r="U1197" s="176"/>
      <c r="V1197" s="176"/>
      <c r="W1197" s="176"/>
      <c r="X1197" s="176"/>
      <c r="Y1197" s="176"/>
    </row>
    <row r="1198" spans="1:25">
      <c r="A1198" s="91"/>
      <c r="B1198" s="176"/>
      <c r="C1198" s="176"/>
      <c r="D1198" s="176"/>
      <c r="E1198" s="176"/>
      <c r="F1198" s="176"/>
      <c r="G1198" s="176"/>
      <c r="H1198" s="176"/>
      <c r="I1198" s="176"/>
      <c r="J1198" s="176"/>
      <c r="K1198" s="176"/>
      <c r="L1198" s="176"/>
      <c r="M1198" s="176"/>
      <c r="N1198" s="176"/>
      <c r="O1198" s="176"/>
      <c r="P1198" s="176"/>
      <c r="Q1198" s="176"/>
      <c r="R1198" s="176"/>
      <c r="S1198" s="176"/>
      <c r="T1198" s="176"/>
      <c r="U1198" s="176"/>
      <c r="V1198" s="176"/>
      <c r="W1198" s="176"/>
      <c r="X1198" s="176"/>
      <c r="Y1198" s="176"/>
    </row>
    <row r="1199" spans="1:25">
      <c r="A1199" s="91"/>
      <c r="B1199" s="176"/>
      <c r="C1199" s="176"/>
      <c r="D1199" s="176"/>
      <c r="E1199" s="176"/>
      <c r="F1199" s="176"/>
      <c r="G1199" s="176"/>
      <c r="H1199" s="176"/>
      <c r="I1199" s="176"/>
      <c r="J1199" s="176"/>
      <c r="K1199" s="176"/>
      <c r="L1199" s="176"/>
      <c r="M1199" s="176"/>
      <c r="N1199" s="176"/>
      <c r="O1199" s="176"/>
      <c r="P1199" s="176"/>
      <c r="Q1199" s="176"/>
      <c r="R1199" s="176"/>
      <c r="S1199" s="176"/>
      <c r="T1199" s="176"/>
      <c r="U1199" s="176"/>
      <c r="V1199" s="176"/>
      <c r="W1199" s="176"/>
      <c r="X1199" s="176"/>
      <c r="Y1199" s="176"/>
    </row>
    <row r="1200" spans="1:25">
      <c r="A1200" s="91"/>
      <c r="B1200" s="176"/>
      <c r="C1200" s="176"/>
      <c r="D1200" s="176"/>
      <c r="E1200" s="176"/>
      <c r="F1200" s="176"/>
      <c r="G1200" s="176"/>
      <c r="H1200" s="176"/>
      <c r="I1200" s="176"/>
      <c r="J1200" s="176"/>
      <c r="K1200" s="176"/>
      <c r="L1200" s="176"/>
      <c r="M1200" s="176"/>
      <c r="N1200" s="176"/>
      <c r="O1200" s="176"/>
      <c r="P1200" s="176"/>
      <c r="Q1200" s="176"/>
      <c r="R1200" s="176"/>
      <c r="S1200" s="176"/>
      <c r="T1200" s="176"/>
      <c r="U1200" s="176"/>
      <c r="V1200" s="176"/>
      <c r="W1200" s="176"/>
      <c r="X1200" s="176"/>
      <c r="Y1200" s="176"/>
    </row>
    <row r="1201" spans="1:25">
      <c r="A1201" s="91"/>
      <c r="B1201" s="176"/>
      <c r="C1201" s="176"/>
      <c r="D1201" s="176"/>
      <c r="E1201" s="176"/>
      <c r="F1201" s="176"/>
      <c r="G1201" s="176"/>
      <c r="H1201" s="176"/>
      <c r="I1201" s="176"/>
      <c r="J1201" s="176"/>
      <c r="K1201" s="176"/>
      <c r="L1201" s="176"/>
      <c r="M1201" s="176"/>
      <c r="N1201" s="176"/>
      <c r="O1201" s="176"/>
      <c r="P1201" s="176"/>
      <c r="Q1201" s="176"/>
      <c r="R1201" s="176"/>
      <c r="S1201" s="176"/>
      <c r="T1201" s="176"/>
      <c r="U1201" s="176"/>
      <c r="V1201" s="176"/>
      <c r="W1201" s="176"/>
      <c r="X1201" s="176"/>
      <c r="Y1201" s="176"/>
    </row>
    <row r="1202" spans="1:25">
      <c r="A1202" s="91"/>
      <c r="B1202" s="176"/>
      <c r="C1202" s="176"/>
      <c r="D1202" s="176"/>
      <c r="E1202" s="176"/>
      <c r="F1202" s="176"/>
      <c r="G1202" s="176"/>
      <c r="H1202" s="176"/>
      <c r="I1202" s="176"/>
      <c r="J1202" s="176"/>
      <c r="K1202" s="176"/>
      <c r="L1202" s="176"/>
      <c r="M1202" s="176"/>
      <c r="N1202" s="176"/>
      <c r="O1202" s="176"/>
      <c r="P1202" s="176"/>
      <c r="Q1202" s="176"/>
      <c r="R1202" s="176"/>
      <c r="S1202" s="176"/>
      <c r="T1202" s="176"/>
      <c r="U1202" s="176"/>
      <c r="V1202" s="176"/>
      <c r="W1202" s="176"/>
      <c r="X1202" s="176"/>
      <c r="Y1202" s="176"/>
    </row>
    <row r="1203" spans="1:25">
      <c r="A1203" s="91"/>
      <c r="B1203" s="176"/>
      <c r="C1203" s="176"/>
      <c r="D1203" s="176"/>
      <c r="E1203" s="176"/>
      <c r="F1203" s="176"/>
      <c r="G1203" s="176"/>
      <c r="H1203" s="176"/>
      <c r="I1203" s="176"/>
      <c r="J1203" s="176"/>
      <c r="K1203" s="176"/>
      <c r="L1203" s="176"/>
      <c r="M1203" s="176"/>
      <c r="N1203" s="176"/>
      <c r="O1203" s="176"/>
      <c r="P1203" s="176"/>
      <c r="Q1203" s="176"/>
      <c r="R1203" s="176"/>
      <c r="S1203" s="176"/>
      <c r="T1203" s="176"/>
      <c r="U1203" s="176"/>
      <c r="V1203" s="176"/>
      <c r="W1203" s="176"/>
      <c r="X1203" s="176"/>
      <c r="Y1203" s="176"/>
    </row>
    <row r="1204" spans="1:25">
      <c r="A1204" s="91"/>
      <c r="B1204" s="176"/>
      <c r="C1204" s="176"/>
      <c r="D1204" s="176"/>
      <c r="E1204" s="176"/>
      <c r="F1204" s="176"/>
      <c r="G1204" s="176"/>
      <c r="H1204" s="176"/>
      <c r="I1204" s="176"/>
      <c r="J1204" s="176"/>
      <c r="K1204" s="176"/>
      <c r="L1204" s="176"/>
      <c r="M1204" s="176"/>
      <c r="N1204" s="176"/>
      <c r="O1204" s="176"/>
      <c r="P1204" s="176"/>
      <c r="Q1204" s="176"/>
      <c r="R1204" s="176"/>
      <c r="S1204" s="176"/>
      <c r="T1204" s="176"/>
      <c r="U1204" s="176"/>
      <c r="V1204" s="176"/>
      <c r="W1204" s="176"/>
      <c r="X1204" s="176"/>
      <c r="Y1204" s="176"/>
    </row>
    <row r="1205" spans="1:25">
      <c r="A1205" s="91"/>
      <c r="B1205" s="176"/>
      <c r="C1205" s="176"/>
      <c r="D1205" s="176"/>
      <c r="E1205" s="176"/>
      <c r="F1205" s="176"/>
      <c r="G1205" s="176"/>
      <c r="H1205" s="176"/>
      <c r="I1205" s="176"/>
      <c r="J1205" s="176"/>
      <c r="K1205" s="176"/>
      <c r="L1205" s="176"/>
      <c r="M1205" s="176"/>
      <c r="N1205" s="176"/>
      <c r="O1205" s="176"/>
      <c r="P1205" s="176"/>
      <c r="Q1205" s="176"/>
      <c r="R1205" s="176"/>
      <c r="S1205" s="176"/>
      <c r="T1205" s="176"/>
      <c r="U1205" s="176"/>
      <c r="V1205" s="176"/>
      <c r="W1205" s="176"/>
      <c r="X1205" s="176"/>
      <c r="Y1205" s="176"/>
    </row>
    <row r="1206" spans="1:25">
      <c r="A1206" s="91"/>
      <c r="B1206" s="176"/>
      <c r="C1206" s="176"/>
      <c r="D1206" s="176"/>
      <c r="E1206" s="176"/>
      <c r="F1206" s="176"/>
      <c r="G1206" s="176"/>
      <c r="H1206" s="176"/>
      <c r="I1206" s="176"/>
      <c r="J1206" s="176"/>
      <c r="K1206" s="176"/>
      <c r="L1206" s="176"/>
      <c r="M1206" s="176"/>
      <c r="N1206" s="176"/>
      <c r="O1206" s="176"/>
      <c r="P1206" s="176"/>
      <c r="Q1206" s="176"/>
      <c r="R1206" s="176"/>
      <c r="S1206" s="176"/>
      <c r="T1206" s="176"/>
      <c r="U1206" s="176"/>
      <c r="V1206" s="176"/>
      <c r="W1206" s="176"/>
      <c r="X1206" s="176"/>
      <c r="Y1206" s="176"/>
    </row>
    <row r="1207" spans="1:25">
      <c r="A1207" s="91"/>
      <c r="B1207" s="176"/>
      <c r="C1207" s="176"/>
      <c r="D1207" s="176"/>
      <c r="E1207" s="176"/>
      <c r="F1207" s="176"/>
      <c r="G1207" s="176"/>
      <c r="H1207" s="176"/>
      <c r="I1207" s="176"/>
      <c r="J1207" s="176"/>
      <c r="K1207" s="176"/>
      <c r="L1207" s="176"/>
      <c r="M1207" s="176"/>
      <c r="N1207" s="176"/>
      <c r="O1207" s="176"/>
      <c r="P1207" s="176"/>
      <c r="Q1207" s="176"/>
      <c r="R1207" s="176"/>
      <c r="S1207" s="176"/>
      <c r="T1207" s="176"/>
      <c r="U1207" s="176"/>
      <c r="V1207" s="176"/>
      <c r="W1207" s="176"/>
      <c r="X1207" s="176"/>
      <c r="Y1207" s="176"/>
    </row>
    <row r="1208" spans="1:25">
      <c r="A1208" s="91"/>
      <c r="B1208" s="176"/>
      <c r="C1208" s="176"/>
      <c r="D1208" s="176"/>
      <c r="E1208" s="176"/>
      <c r="F1208" s="176"/>
      <c r="G1208" s="176"/>
      <c r="H1208" s="176"/>
      <c r="I1208" s="176"/>
      <c r="J1208" s="176"/>
      <c r="K1208" s="176"/>
      <c r="L1208" s="176"/>
      <c r="M1208" s="176"/>
      <c r="N1208" s="176"/>
      <c r="O1208" s="176"/>
      <c r="P1208" s="176"/>
      <c r="Q1208" s="176"/>
      <c r="R1208" s="176"/>
      <c r="S1208" s="176"/>
      <c r="T1208" s="176"/>
      <c r="U1208" s="176"/>
      <c r="V1208" s="176"/>
      <c r="W1208" s="176"/>
      <c r="X1208" s="176"/>
      <c r="Y1208" s="176"/>
    </row>
    <row r="1209" spans="1:25">
      <c r="A1209" s="91"/>
      <c r="B1209" s="176"/>
      <c r="C1209" s="176"/>
      <c r="D1209" s="176"/>
      <c r="E1209" s="176"/>
      <c r="F1209" s="176"/>
      <c r="G1209" s="176"/>
      <c r="H1209" s="176"/>
      <c r="I1209" s="176"/>
      <c r="J1209" s="176"/>
      <c r="K1209" s="176"/>
      <c r="L1209" s="176"/>
      <c r="M1209" s="176"/>
      <c r="N1209" s="176"/>
      <c r="O1209" s="176"/>
      <c r="P1209" s="176"/>
      <c r="Q1209" s="176"/>
      <c r="R1209" s="176"/>
      <c r="S1209" s="176"/>
      <c r="T1209" s="176"/>
      <c r="U1209" s="176"/>
      <c r="V1209" s="176"/>
      <c r="W1209" s="176"/>
      <c r="X1209" s="176"/>
      <c r="Y1209" s="176"/>
    </row>
    <row r="1210" spans="1:25">
      <c r="A1210" s="91"/>
      <c r="B1210" s="176"/>
      <c r="C1210" s="176"/>
      <c r="D1210" s="176"/>
      <c r="E1210" s="176"/>
      <c r="F1210" s="176"/>
      <c r="G1210" s="176"/>
      <c r="H1210" s="176"/>
      <c r="I1210" s="176"/>
      <c r="J1210" s="176"/>
      <c r="K1210" s="176"/>
      <c r="L1210" s="176"/>
      <c r="M1210" s="176"/>
      <c r="N1210" s="176"/>
      <c r="O1210" s="176"/>
      <c r="P1210" s="176"/>
      <c r="Q1210" s="176"/>
      <c r="R1210" s="176"/>
      <c r="S1210" s="176"/>
      <c r="T1210" s="176"/>
      <c r="U1210" s="176"/>
      <c r="V1210" s="176"/>
      <c r="W1210" s="176"/>
      <c r="X1210" s="176"/>
      <c r="Y1210" s="176"/>
    </row>
    <row r="1211" spans="1:25">
      <c r="A1211" s="91"/>
      <c r="B1211" s="176"/>
      <c r="C1211" s="176"/>
      <c r="D1211" s="176"/>
      <c r="E1211" s="176"/>
      <c r="F1211" s="176"/>
      <c r="G1211" s="176"/>
      <c r="H1211" s="176"/>
      <c r="I1211" s="176"/>
      <c r="J1211" s="176"/>
      <c r="K1211" s="176"/>
      <c r="L1211" s="176"/>
      <c r="M1211" s="176"/>
      <c r="N1211" s="176"/>
      <c r="O1211" s="176"/>
      <c r="P1211" s="176"/>
      <c r="Q1211" s="176"/>
      <c r="R1211" s="176"/>
      <c r="S1211" s="176"/>
      <c r="T1211" s="176"/>
      <c r="U1211" s="176"/>
      <c r="V1211" s="176"/>
      <c r="W1211" s="176"/>
      <c r="X1211" s="176"/>
      <c r="Y1211" s="176"/>
    </row>
    <row r="1212" spans="1:25">
      <c r="A1212" s="91"/>
      <c r="B1212" s="176"/>
      <c r="C1212" s="176"/>
      <c r="D1212" s="176"/>
      <c r="E1212" s="176"/>
      <c r="F1212" s="176"/>
      <c r="G1212" s="176"/>
      <c r="H1212" s="176"/>
      <c r="I1212" s="176"/>
      <c r="J1212" s="176"/>
      <c r="K1212" s="176"/>
      <c r="L1212" s="176"/>
      <c r="M1212" s="176"/>
      <c r="N1212" s="176"/>
      <c r="O1212" s="176"/>
      <c r="P1212" s="176"/>
      <c r="Q1212" s="176"/>
      <c r="R1212" s="176"/>
      <c r="S1212" s="176"/>
      <c r="T1212" s="176"/>
      <c r="U1212" s="176"/>
      <c r="V1212" s="176"/>
      <c r="W1212" s="176"/>
      <c r="X1212" s="176"/>
      <c r="Y1212" s="176"/>
    </row>
    <row r="1213" spans="1:25">
      <c r="A1213" s="91"/>
      <c r="B1213" s="176"/>
      <c r="C1213" s="176"/>
      <c r="D1213" s="176"/>
      <c r="E1213" s="176"/>
      <c r="F1213" s="176"/>
      <c r="G1213" s="176"/>
      <c r="H1213" s="176"/>
      <c r="I1213" s="176"/>
      <c r="J1213" s="176"/>
      <c r="K1213" s="176"/>
      <c r="L1213" s="176"/>
      <c r="M1213" s="176"/>
      <c r="N1213" s="176"/>
      <c r="O1213" s="176"/>
      <c r="P1213" s="176"/>
      <c r="Q1213" s="176"/>
      <c r="R1213" s="176"/>
      <c r="S1213" s="176"/>
      <c r="T1213" s="176"/>
      <c r="U1213" s="176"/>
      <c r="V1213" s="176"/>
      <c r="W1213" s="176"/>
      <c r="X1213" s="176"/>
      <c r="Y1213" s="176"/>
    </row>
    <row r="1214" spans="1:25">
      <c r="A1214" s="91"/>
      <c r="B1214" s="176"/>
      <c r="C1214" s="176"/>
      <c r="D1214" s="176"/>
      <c r="E1214" s="176"/>
      <c r="F1214" s="176"/>
      <c r="G1214" s="176"/>
      <c r="H1214" s="176"/>
      <c r="I1214" s="176"/>
      <c r="J1214" s="176"/>
      <c r="K1214" s="176"/>
      <c r="L1214" s="176"/>
      <c r="M1214" s="176"/>
      <c r="N1214" s="176"/>
      <c r="O1214" s="176"/>
      <c r="P1214" s="176"/>
      <c r="Q1214" s="176"/>
      <c r="R1214" s="176"/>
      <c r="S1214" s="176"/>
      <c r="T1214" s="176"/>
      <c r="U1214" s="176"/>
      <c r="V1214" s="176"/>
      <c r="W1214" s="176"/>
      <c r="X1214" s="176"/>
      <c r="Y1214" s="176"/>
    </row>
    <row r="1215" spans="1:25">
      <c r="A1215" s="91"/>
      <c r="B1215" s="176"/>
      <c r="C1215" s="176"/>
      <c r="D1215" s="176"/>
      <c r="E1215" s="176"/>
      <c r="F1215" s="176"/>
      <c r="G1215" s="176"/>
      <c r="H1215" s="176"/>
      <c r="I1215" s="176"/>
      <c r="J1215" s="176"/>
      <c r="K1215" s="176"/>
      <c r="L1215" s="176"/>
      <c r="M1215" s="176"/>
      <c r="N1215" s="176"/>
      <c r="O1215" s="176"/>
      <c r="P1215" s="176"/>
      <c r="Q1215" s="176"/>
      <c r="R1215" s="176"/>
      <c r="S1215" s="176"/>
      <c r="T1215" s="176"/>
      <c r="U1215" s="176"/>
      <c r="V1215" s="176"/>
      <c r="W1215" s="176"/>
      <c r="X1215" s="176"/>
      <c r="Y1215" s="176"/>
    </row>
    <row r="1216" spans="1:25">
      <c r="A1216" s="91"/>
      <c r="B1216" s="176"/>
      <c r="C1216" s="176"/>
      <c r="D1216" s="176"/>
      <c r="E1216" s="176"/>
      <c r="F1216" s="176"/>
      <c r="G1216" s="176"/>
      <c r="H1216" s="176"/>
      <c r="I1216" s="176"/>
      <c r="J1216" s="176"/>
      <c r="K1216" s="176"/>
      <c r="L1216" s="176"/>
      <c r="M1216" s="176"/>
      <c r="N1216" s="176"/>
      <c r="O1216" s="176"/>
      <c r="P1216" s="176"/>
      <c r="Q1216" s="176"/>
      <c r="R1216" s="176"/>
      <c r="S1216" s="176"/>
      <c r="T1216" s="176"/>
      <c r="U1216" s="176"/>
      <c r="V1216" s="176"/>
      <c r="W1216" s="176"/>
      <c r="X1216" s="176"/>
      <c r="Y1216" s="176"/>
    </row>
    <row r="1217" spans="1:25">
      <c r="A1217" s="91"/>
      <c r="B1217" s="176"/>
      <c r="C1217" s="176"/>
      <c r="D1217" s="176"/>
      <c r="E1217" s="176"/>
      <c r="F1217" s="176"/>
      <c r="G1217" s="176"/>
      <c r="H1217" s="176"/>
      <c r="I1217" s="176"/>
      <c r="J1217" s="176"/>
      <c r="K1217" s="176"/>
      <c r="L1217" s="176"/>
      <c r="M1217" s="176"/>
      <c r="N1217" s="176"/>
      <c r="O1217" s="176"/>
      <c r="P1217" s="176"/>
      <c r="Q1217" s="176"/>
      <c r="R1217" s="176"/>
      <c r="S1217" s="176"/>
      <c r="T1217" s="176"/>
      <c r="U1217" s="176"/>
      <c r="V1217" s="176"/>
      <c r="W1217" s="176"/>
      <c r="X1217" s="176"/>
      <c r="Y1217" s="176"/>
    </row>
    <row r="1218" spans="1:25">
      <c r="A1218" s="91"/>
      <c r="B1218" s="176"/>
      <c r="C1218" s="176"/>
      <c r="D1218" s="176"/>
      <c r="E1218" s="176"/>
      <c r="F1218" s="176"/>
      <c r="G1218" s="176"/>
      <c r="H1218" s="176"/>
      <c r="I1218" s="176"/>
      <c r="J1218" s="176"/>
      <c r="K1218" s="176"/>
      <c r="L1218" s="176"/>
      <c r="M1218" s="176"/>
      <c r="N1218" s="176"/>
      <c r="O1218" s="176"/>
      <c r="P1218" s="176"/>
      <c r="Q1218" s="176"/>
      <c r="R1218" s="176"/>
      <c r="S1218" s="176"/>
      <c r="T1218" s="176"/>
      <c r="U1218" s="176"/>
      <c r="V1218" s="176"/>
      <c r="W1218" s="176"/>
      <c r="X1218" s="176"/>
      <c r="Y1218" s="176"/>
    </row>
    <row r="1219" spans="1:25">
      <c r="A1219" s="91"/>
      <c r="B1219" s="176"/>
      <c r="C1219" s="176"/>
      <c r="D1219" s="176"/>
      <c r="E1219" s="176"/>
      <c r="F1219" s="176"/>
      <c r="G1219" s="176"/>
      <c r="H1219" s="176"/>
      <c r="I1219" s="176"/>
      <c r="J1219" s="176"/>
      <c r="K1219" s="176"/>
      <c r="L1219" s="176"/>
      <c r="M1219" s="176"/>
      <c r="N1219" s="176"/>
      <c r="O1219" s="176"/>
      <c r="P1219" s="176"/>
      <c r="Q1219" s="176"/>
      <c r="R1219" s="176"/>
      <c r="S1219" s="176"/>
      <c r="T1219" s="176"/>
      <c r="U1219" s="176"/>
      <c r="V1219" s="176"/>
      <c r="W1219" s="176"/>
      <c r="X1219" s="176"/>
      <c r="Y1219" s="176"/>
    </row>
    <row r="1220" spans="1:25">
      <c r="A1220" s="91"/>
      <c r="B1220" s="176"/>
      <c r="C1220" s="176"/>
      <c r="D1220" s="176"/>
      <c r="E1220" s="176"/>
      <c r="F1220" s="176"/>
      <c r="G1220" s="176"/>
      <c r="H1220" s="176"/>
      <c r="I1220" s="176"/>
      <c r="J1220" s="176"/>
      <c r="K1220" s="176"/>
      <c r="L1220" s="176"/>
      <c r="M1220" s="176"/>
      <c r="N1220" s="176"/>
      <c r="O1220" s="176"/>
      <c r="P1220" s="176"/>
      <c r="Q1220" s="176"/>
      <c r="R1220" s="176"/>
      <c r="S1220" s="176"/>
      <c r="T1220" s="176"/>
      <c r="U1220" s="176"/>
      <c r="V1220" s="176"/>
      <c r="W1220" s="176"/>
      <c r="X1220" s="176"/>
      <c r="Y1220" s="176"/>
    </row>
    <row r="1221" spans="1:25">
      <c r="A1221" s="91"/>
      <c r="B1221" s="176"/>
      <c r="C1221" s="176"/>
      <c r="D1221" s="176"/>
      <c r="E1221" s="176"/>
      <c r="F1221" s="176"/>
      <c r="G1221" s="176"/>
      <c r="H1221" s="176"/>
      <c r="I1221" s="176"/>
      <c r="J1221" s="176"/>
      <c r="K1221" s="176"/>
      <c r="L1221" s="176"/>
      <c r="M1221" s="176"/>
      <c r="N1221" s="176"/>
      <c r="O1221" s="176"/>
      <c r="P1221" s="176"/>
      <c r="Q1221" s="176"/>
      <c r="R1221" s="176"/>
      <c r="S1221" s="176"/>
      <c r="T1221" s="176"/>
      <c r="U1221" s="176"/>
      <c r="V1221" s="176"/>
      <c r="W1221" s="176"/>
      <c r="X1221" s="176"/>
      <c r="Y1221" s="176"/>
    </row>
    <row r="1222" spans="1:25">
      <c r="A1222" s="91"/>
      <c r="B1222" s="176"/>
      <c r="C1222" s="176"/>
      <c r="D1222" s="176"/>
      <c r="E1222" s="176"/>
      <c r="F1222" s="176"/>
      <c r="G1222" s="176"/>
      <c r="H1222" s="176"/>
      <c r="I1222" s="176"/>
      <c r="J1222" s="176"/>
      <c r="K1222" s="176"/>
      <c r="L1222" s="176"/>
      <c r="M1222" s="176"/>
      <c r="N1222" s="176"/>
      <c r="O1222" s="176"/>
      <c r="P1222" s="176"/>
      <c r="Q1222" s="176"/>
      <c r="R1222" s="176"/>
      <c r="S1222" s="176"/>
      <c r="T1222" s="176"/>
      <c r="U1222" s="176"/>
      <c r="V1222" s="176"/>
      <c r="W1222" s="176"/>
      <c r="X1222" s="176"/>
      <c r="Y1222" s="176"/>
    </row>
    <row r="1223" spans="1:25">
      <c r="A1223" s="91"/>
      <c r="B1223" s="176"/>
      <c r="C1223" s="176"/>
      <c r="D1223" s="176"/>
      <c r="E1223" s="176"/>
      <c r="F1223" s="176"/>
      <c r="G1223" s="176"/>
      <c r="H1223" s="176"/>
      <c r="I1223" s="176"/>
      <c r="J1223" s="176"/>
      <c r="K1223" s="176"/>
      <c r="L1223" s="176"/>
      <c r="M1223" s="176"/>
      <c r="N1223" s="176"/>
      <c r="O1223" s="176"/>
      <c r="P1223" s="176"/>
      <c r="Q1223" s="176"/>
      <c r="R1223" s="176"/>
      <c r="S1223" s="176"/>
      <c r="T1223" s="176"/>
      <c r="U1223" s="176"/>
      <c r="V1223" s="176"/>
      <c r="W1223" s="176"/>
      <c r="X1223" s="176"/>
      <c r="Y1223" s="176"/>
    </row>
    <row r="1224" spans="1:25">
      <c r="A1224" s="91"/>
      <c r="B1224" s="176"/>
      <c r="C1224" s="176"/>
      <c r="D1224" s="176"/>
      <c r="E1224" s="176"/>
      <c r="F1224" s="176"/>
      <c r="G1224" s="176"/>
      <c r="H1224" s="176"/>
      <c r="I1224" s="176"/>
      <c r="J1224" s="176"/>
      <c r="K1224" s="176"/>
      <c r="L1224" s="176"/>
      <c r="M1224" s="176"/>
      <c r="N1224" s="176"/>
      <c r="O1224" s="176"/>
      <c r="P1224" s="176"/>
      <c r="Q1224" s="176"/>
      <c r="R1224" s="176"/>
      <c r="S1224" s="176"/>
      <c r="T1224" s="176"/>
      <c r="U1224" s="176"/>
      <c r="V1224" s="176"/>
      <c r="W1224" s="176"/>
      <c r="X1224" s="176"/>
      <c r="Y1224" s="176"/>
    </row>
    <row r="1225" spans="1:25">
      <c r="A1225" s="91"/>
      <c r="B1225" s="176"/>
      <c r="C1225" s="176"/>
      <c r="D1225" s="176"/>
      <c r="E1225" s="176"/>
      <c r="F1225" s="176"/>
      <c r="G1225" s="176"/>
      <c r="H1225" s="176"/>
      <c r="I1225" s="176"/>
      <c r="J1225" s="176"/>
      <c r="K1225" s="176"/>
      <c r="L1225" s="176"/>
      <c r="M1225" s="176"/>
      <c r="N1225" s="176"/>
      <c r="O1225" s="176"/>
      <c r="P1225" s="176"/>
      <c r="Q1225" s="176"/>
      <c r="R1225" s="176"/>
      <c r="S1225" s="176"/>
      <c r="T1225" s="176"/>
      <c r="U1225" s="176"/>
      <c r="V1225" s="176"/>
      <c r="W1225" s="176"/>
      <c r="X1225" s="176"/>
      <c r="Y1225" s="176"/>
    </row>
    <row r="1226" spans="1:25">
      <c r="A1226" s="91"/>
      <c r="B1226" s="176"/>
      <c r="C1226" s="176"/>
      <c r="D1226" s="176"/>
      <c r="E1226" s="176"/>
      <c r="F1226" s="176"/>
      <c r="G1226" s="176"/>
      <c r="H1226" s="176"/>
      <c r="I1226" s="176"/>
      <c r="J1226" s="176"/>
      <c r="K1226" s="176"/>
      <c r="L1226" s="176"/>
      <c r="M1226" s="176"/>
      <c r="N1226" s="176"/>
      <c r="O1226" s="176"/>
      <c r="P1226" s="176"/>
      <c r="Q1226" s="176"/>
      <c r="R1226" s="176"/>
      <c r="S1226" s="176"/>
      <c r="T1226" s="176"/>
      <c r="U1226" s="176"/>
      <c r="V1226" s="176"/>
      <c r="W1226" s="176"/>
      <c r="X1226" s="176"/>
      <c r="Y1226" s="176"/>
    </row>
    <row r="1227" spans="1:25">
      <c r="A1227" s="91"/>
      <c r="B1227" s="176"/>
      <c r="C1227" s="176"/>
      <c r="D1227" s="176"/>
      <c r="E1227" s="176"/>
      <c r="F1227" s="176"/>
      <c r="G1227" s="176"/>
      <c r="H1227" s="176"/>
      <c r="I1227" s="176"/>
      <c r="J1227" s="176"/>
      <c r="K1227" s="176"/>
      <c r="L1227" s="176"/>
      <c r="M1227" s="176"/>
      <c r="N1227" s="176"/>
      <c r="O1227" s="176"/>
      <c r="P1227" s="176"/>
      <c r="Q1227" s="176"/>
      <c r="R1227" s="176"/>
      <c r="S1227" s="176"/>
      <c r="T1227" s="176"/>
      <c r="U1227" s="176"/>
      <c r="V1227" s="176"/>
      <c r="W1227" s="176"/>
      <c r="X1227" s="176"/>
      <c r="Y1227" s="176"/>
    </row>
    <row r="1228" spans="1:25">
      <c r="A1228" s="91"/>
      <c r="B1228" s="176"/>
      <c r="C1228" s="176"/>
      <c r="D1228" s="176"/>
      <c r="E1228" s="176"/>
      <c r="F1228" s="176"/>
      <c r="G1228" s="176"/>
      <c r="H1228" s="176"/>
      <c r="I1228" s="176"/>
      <c r="J1228" s="176"/>
      <c r="K1228" s="176"/>
      <c r="L1228" s="176"/>
      <c r="M1228" s="176"/>
      <c r="N1228" s="176"/>
      <c r="O1228" s="176"/>
      <c r="P1228" s="176"/>
      <c r="Q1228" s="176"/>
      <c r="R1228" s="176"/>
      <c r="S1228" s="176"/>
      <c r="T1228" s="176"/>
      <c r="U1228" s="176"/>
      <c r="V1228" s="176"/>
      <c r="W1228" s="176"/>
      <c r="X1228" s="176"/>
      <c r="Y1228" s="176"/>
    </row>
    <row r="1229" spans="1:25">
      <c r="A1229" s="91"/>
      <c r="B1229" s="176"/>
      <c r="C1229" s="176"/>
      <c r="D1229" s="176"/>
      <c r="E1229" s="176"/>
      <c r="F1229" s="176"/>
      <c r="G1229" s="176"/>
      <c r="H1229" s="176"/>
      <c r="I1229" s="176"/>
      <c r="J1229" s="176"/>
      <c r="K1229" s="176"/>
      <c r="L1229" s="176"/>
      <c r="M1229" s="176"/>
      <c r="N1229" s="176"/>
      <c r="O1229" s="176"/>
      <c r="P1229" s="176"/>
      <c r="Q1229" s="176"/>
      <c r="R1229" s="176"/>
      <c r="S1229" s="176"/>
      <c r="T1229" s="176"/>
      <c r="U1229" s="176"/>
      <c r="V1229" s="176"/>
      <c r="W1229" s="176"/>
      <c r="X1229" s="176"/>
      <c r="Y1229" s="176"/>
    </row>
    <row r="1230" spans="1:25">
      <c r="A1230" s="91"/>
      <c r="B1230" s="176"/>
      <c r="C1230" s="176"/>
      <c r="D1230" s="176"/>
      <c r="E1230" s="176"/>
      <c r="F1230" s="176"/>
      <c r="G1230" s="176"/>
      <c r="H1230" s="176"/>
      <c r="I1230" s="176"/>
      <c r="J1230" s="176"/>
      <c r="K1230" s="176"/>
      <c r="L1230" s="176"/>
      <c r="M1230" s="176"/>
      <c r="N1230" s="176"/>
      <c r="O1230" s="176"/>
      <c r="P1230" s="176"/>
      <c r="Q1230" s="176"/>
      <c r="R1230" s="176"/>
      <c r="S1230" s="176"/>
      <c r="T1230" s="176"/>
      <c r="U1230" s="176"/>
      <c r="V1230" s="176"/>
      <c r="W1230" s="176"/>
      <c r="X1230" s="176"/>
      <c r="Y1230" s="176"/>
    </row>
    <row r="1231" spans="1:25">
      <c r="A1231" s="91"/>
      <c r="B1231" s="176"/>
      <c r="C1231" s="176"/>
      <c r="D1231" s="176"/>
      <c r="E1231" s="176"/>
      <c r="F1231" s="176"/>
      <c r="G1231" s="176"/>
      <c r="H1231" s="176"/>
      <c r="I1231" s="176"/>
      <c r="J1231" s="176"/>
      <c r="K1231" s="176"/>
      <c r="L1231" s="176"/>
      <c r="M1231" s="176"/>
      <c r="N1231" s="176"/>
      <c r="O1231" s="176"/>
      <c r="P1231" s="176"/>
      <c r="Q1231" s="176"/>
      <c r="R1231" s="176"/>
      <c r="S1231" s="176"/>
      <c r="T1231" s="176"/>
      <c r="U1231" s="176"/>
      <c r="V1231" s="176"/>
      <c r="W1231" s="176"/>
      <c r="X1231" s="176"/>
      <c r="Y1231" s="176"/>
    </row>
    <row r="1232" spans="1:25">
      <c r="A1232" s="91"/>
      <c r="B1232" s="176"/>
      <c r="C1232" s="176"/>
      <c r="D1232" s="176"/>
      <c r="E1232" s="176"/>
      <c r="F1232" s="176"/>
      <c r="G1232" s="176"/>
      <c r="H1232" s="176"/>
      <c r="I1232" s="176"/>
      <c r="J1232" s="176"/>
      <c r="K1232" s="176"/>
      <c r="L1232" s="176"/>
      <c r="M1232" s="176"/>
      <c r="N1232" s="176"/>
      <c r="O1232" s="176"/>
      <c r="P1232" s="176"/>
      <c r="Q1232" s="176"/>
      <c r="R1232" s="176"/>
      <c r="S1232" s="176"/>
      <c r="T1232" s="176"/>
      <c r="U1232" s="176"/>
      <c r="V1232" s="176"/>
      <c r="W1232" s="176"/>
      <c r="X1232" s="176"/>
      <c r="Y1232" s="176"/>
    </row>
    <row r="1233" spans="1:25">
      <c r="A1233" s="91"/>
      <c r="B1233" s="176"/>
      <c r="C1233" s="176"/>
      <c r="D1233" s="176"/>
      <c r="E1233" s="176"/>
      <c r="F1233" s="176"/>
      <c r="G1233" s="176"/>
      <c r="H1233" s="176"/>
      <c r="I1233" s="176"/>
      <c r="J1233" s="176"/>
      <c r="K1233" s="176"/>
      <c r="L1233" s="176"/>
      <c r="M1233" s="176"/>
      <c r="N1233" s="176"/>
      <c r="O1233" s="176"/>
      <c r="P1233" s="176"/>
      <c r="Q1233" s="176"/>
      <c r="R1233" s="176"/>
      <c r="S1233" s="176"/>
      <c r="T1233" s="176"/>
      <c r="U1233" s="176"/>
      <c r="V1233" s="176"/>
      <c r="W1233" s="176"/>
      <c r="X1233" s="176"/>
      <c r="Y1233" s="176"/>
    </row>
    <row r="1234" spans="1:25">
      <c r="A1234" s="91"/>
      <c r="B1234" s="176"/>
      <c r="C1234" s="176"/>
      <c r="D1234" s="176"/>
      <c r="E1234" s="176"/>
      <c r="F1234" s="176"/>
      <c r="G1234" s="176"/>
      <c r="H1234" s="176"/>
      <c r="I1234" s="176"/>
      <c r="J1234" s="176"/>
      <c r="K1234" s="176"/>
      <c r="L1234" s="176"/>
      <c r="M1234" s="176"/>
      <c r="N1234" s="176"/>
      <c r="O1234" s="176"/>
      <c r="P1234" s="176"/>
      <c r="Q1234" s="176"/>
      <c r="R1234" s="176"/>
      <c r="S1234" s="176"/>
      <c r="T1234" s="176"/>
      <c r="U1234" s="176"/>
      <c r="V1234" s="176"/>
      <c r="W1234" s="176"/>
      <c r="X1234" s="176"/>
      <c r="Y1234" s="176"/>
    </row>
    <row r="1235" spans="1:25">
      <c r="A1235" s="91"/>
      <c r="B1235" s="176"/>
      <c r="C1235" s="176"/>
      <c r="D1235" s="176"/>
      <c r="E1235" s="176"/>
      <c r="F1235" s="176"/>
      <c r="G1235" s="176"/>
      <c r="H1235" s="176"/>
      <c r="I1235" s="176"/>
      <c r="J1235" s="176"/>
      <c r="K1235" s="176"/>
      <c r="L1235" s="176"/>
      <c r="M1235" s="176"/>
      <c r="N1235" s="176"/>
      <c r="O1235" s="176"/>
      <c r="P1235" s="176"/>
      <c r="Q1235" s="176"/>
      <c r="R1235" s="176"/>
      <c r="S1235" s="176"/>
      <c r="T1235" s="176"/>
      <c r="U1235" s="176"/>
      <c r="V1235" s="176"/>
      <c r="W1235" s="176"/>
      <c r="X1235" s="176"/>
      <c r="Y1235" s="176"/>
    </row>
    <row r="1236" spans="1:25">
      <c r="A1236" s="91"/>
      <c r="B1236" s="176"/>
      <c r="C1236" s="176"/>
      <c r="D1236" s="176"/>
      <c r="E1236" s="176"/>
      <c r="F1236" s="176"/>
      <c r="G1236" s="176"/>
      <c r="H1236" s="176"/>
      <c r="I1236" s="176"/>
      <c r="J1236" s="176"/>
      <c r="K1236" s="176"/>
      <c r="L1236" s="176"/>
      <c r="M1236" s="176"/>
      <c r="N1236" s="176"/>
      <c r="O1236" s="176"/>
      <c r="P1236" s="176"/>
      <c r="Q1236" s="176"/>
      <c r="R1236" s="176"/>
      <c r="S1236" s="176"/>
      <c r="T1236" s="176"/>
      <c r="U1236" s="176"/>
      <c r="V1236" s="176"/>
      <c r="W1236" s="176"/>
      <c r="X1236" s="176"/>
      <c r="Y1236" s="176"/>
    </row>
    <row r="1237" spans="1:25">
      <c r="A1237" s="91"/>
      <c r="B1237" s="176"/>
      <c r="C1237" s="176"/>
      <c r="D1237" s="176"/>
      <c r="E1237" s="176"/>
      <c r="F1237" s="176"/>
      <c r="G1237" s="176"/>
      <c r="H1237" s="176"/>
      <c r="I1237" s="176"/>
      <c r="J1237" s="176"/>
      <c r="K1237" s="176"/>
      <c r="L1237" s="176"/>
      <c r="M1237" s="176"/>
      <c r="N1237" s="176"/>
      <c r="O1237" s="176"/>
      <c r="P1237" s="176"/>
      <c r="Q1237" s="176"/>
      <c r="R1237" s="176"/>
      <c r="S1237" s="176"/>
      <c r="T1237" s="176"/>
      <c r="U1237" s="176"/>
      <c r="V1237" s="176"/>
      <c r="W1237" s="176"/>
      <c r="X1237" s="176"/>
      <c r="Y1237" s="176"/>
    </row>
    <row r="1238" spans="1:25">
      <c r="A1238" s="91"/>
      <c r="B1238" s="176"/>
      <c r="C1238" s="176"/>
      <c r="D1238" s="176"/>
      <c r="E1238" s="176"/>
      <c r="F1238" s="176"/>
      <c r="G1238" s="176"/>
      <c r="H1238" s="176"/>
      <c r="I1238" s="176"/>
      <c r="J1238" s="176"/>
      <c r="K1238" s="176"/>
      <c r="L1238" s="176"/>
      <c r="M1238" s="176"/>
      <c r="N1238" s="176"/>
      <c r="O1238" s="176"/>
      <c r="P1238" s="176"/>
      <c r="Q1238" s="176"/>
      <c r="R1238" s="176"/>
      <c r="S1238" s="176"/>
      <c r="T1238" s="176"/>
      <c r="U1238" s="176"/>
      <c r="V1238" s="176"/>
      <c r="W1238" s="176"/>
      <c r="X1238" s="176"/>
      <c r="Y1238" s="176"/>
    </row>
    <row r="1239" spans="1:25">
      <c r="A1239" s="91"/>
      <c r="B1239" s="176"/>
      <c r="C1239" s="176"/>
      <c r="D1239" s="176"/>
      <c r="E1239" s="176"/>
      <c r="F1239" s="176"/>
      <c r="G1239" s="176"/>
      <c r="H1239" s="176"/>
      <c r="I1239" s="176"/>
      <c r="J1239" s="176"/>
      <c r="K1239" s="176"/>
      <c r="L1239" s="176"/>
      <c r="M1239" s="176"/>
      <c r="N1239" s="176"/>
      <c r="O1239" s="176"/>
      <c r="P1239" s="176"/>
      <c r="Q1239" s="176"/>
      <c r="R1239" s="176"/>
      <c r="S1239" s="176"/>
      <c r="T1239" s="176"/>
      <c r="U1239" s="176"/>
      <c r="V1239" s="176"/>
      <c r="W1239" s="176"/>
      <c r="X1239" s="176"/>
      <c r="Y1239" s="176"/>
    </row>
    <row r="1240" spans="1:25">
      <c r="A1240" s="91"/>
      <c r="B1240" s="176"/>
      <c r="C1240" s="176"/>
      <c r="D1240" s="176"/>
      <c r="E1240" s="176"/>
      <c r="F1240" s="176"/>
      <c r="G1240" s="176"/>
      <c r="H1240" s="176"/>
      <c r="I1240" s="176"/>
      <c r="J1240" s="176"/>
      <c r="K1240" s="176"/>
      <c r="L1240" s="176"/>
      <c r="M1240" s="176"/>
      <c r="N1240" s="176"/>
      <c r="O1240" s="176"/>
      <c r="P1240" s="176"/>
      <c r="Q1240" s="176"/>
      <c r="R1240" s="176"/>
      <c r="S1240" s="176"/>
      <c r="T1240" s="176"/>
      <c r="U1240" s="176"/>
      <c r="V1240" s="176"/>
      <c r="W1240" s="176"/>
      <c r="X1240" s="176"/>
      <c r="Y1240" s="176"/>
    </row>
    <row r="1241" spans="1:25">
      <c r="A1241" s="91"/>
      <c r="B1241" s="176"/>
      <c r="C1241" s="176"/>
      <c r="D1241" s="176"/>
      <c r="E1241" s="176"/>
      <c r="F1241" s="176"/>
      <c r="G1241" s="176"/>
      <c r="H1241" s="176"/>
      <c r="I1241" s="176"/>
      <c r="J1241" s="176"/>
      <c r="K1241" s="176"/>
      <c r="L1241" s="176"/>
      <c r="M1241" s="176"/>
      <c r="N1241" s="176"/>
      <c r="O1241" s="176"/>
      <c r="P1241" s="176"/>
      <c r="Q1241" s="176"/>
      <c r="R1241" s="176"/>
      <c r="S1241" s="176"/>
      <c r="T1241" s="176"/>
      <c r="U1241" s="176"/>
      <c r="V1241" s="176"/>
      <c r="W1241" s="176"/>
      <c r="X1241" s="176"/>
      <c r="Y1241" s="176"/>
    </row>
    <row r="1242" spans="1:25">
      <c r="A1242" s="91"/>
      <c r="B1242" s="176"/>
      <c r="C1242" s="176"/>
      <c r="D1242" s="176"/>
      <c r="E1242" s="176"/>
      <c r="F1242" s="176"/>
      <c r="G1242" s="176"/>
      <c r="H1242" s="176"/>
      <c r="I1242" s="176"/>
      <c r="J1242" s="176"/>
      <c r="K1242" s="176"/>
      <c r="L1242" s="176"/>
      <c r="M1242" s="176"/>
      <c r="N1242" s="176"/>
      <c r="O1242" s="176"/>
      <c r="P1242" s="176"/>
      <c r="Q1242" s="176"/>
      <c r="R1242" s="176"/>
      <c r="S1242" s="176"/>
      <c r="T1242" s="176"/>
      <c r="U1242" s="176"/>
      <c r="V1242" s="176"/>
      <c r="W1242" s="176"/>
      <c r="X1242" s="176"/>
      <c r="Y1242" s="176"/>
    </row>
    <row r="1243" spans="1:25">
      <c r="A1243" s="91"/>
      <c r="B1243" s="176"/>
      <c r="C1243" s="176"/>
      <c r="D1243" s="176"/>
      <c r="E1243" s="176"/>
      <c r="F1243" s="176"/>
      <c r="G1243" s="176"/>
      <c r="H1243" s="176"/>
      <c r="I1243" s="176"/>
      <c r="J1243" s="176"/>
      <c r="K1243" s="176"/>
      <c r="L1243" s="176"/>
      <c r="M1243" s="176"/>
      <c r="N1243" s="176"/>
      <c r="O1243" s="176"/>
      <c r="P1243" s="176"/>
      <c r="Q1243" s="176"/>
      <c r="R1243" s="176"/>
      <c r="S1243" s="176"/>
      <c r="T1243" s="176"/>
      <c r="U1243" s="176"/>
      <c r="V1243" s="176"/>
      <c r="W1243" s="176"/>
      <c r="X1243" s="176"/>
      <c r="Y1243" s="176"/>
    </row>
    <row r="1244" spans="1:25">
      <c r="A1244" s="91"/>
      <c r="B1244" s="176"/>
      <c r="C1244" s="176"/>
      <c r="D1244" s="176"/>
      <c r="E1244" s="176"/>
      <c r="F1244" s="176"/>
      <c r="G1244" s="176"/>
      <c r="H1244" s="176"/>
      <c r="I1244" s="176"/>
      <c r="J1244" s="176"/>
      <c r="K1244" s="176"/>
      <c r="L1244" s="176"/>
      <c r="M1244" s="176"/>
      <c r="N1244" s="176"/>
      <c r="O1244" s="176"/>
      <c r="P1244" s="176"/>
      <c r="Q1244" s="176"/>
      <c r="R1244" s="176"/>
      <c r="S1244" s="176"/>
      <c r="T1244" s="176"/>
      <c r="U1244" s="176"/>
      <c r="V1244" s="176"/>
      <c r="W1244" s="176"/>
      <c r="X1244" s="176"/>
      <c r="Y1244" s="176"/>
    </row>
    <row r="1245" spans="1:25">
      <c r="A1245" s="91"/>
      <c r="B1245" s="176"/>
      <c r="C1245" s="176"/>
      <c r="D1245" s="176"/>
      <c r="E1245" s="176"/>
      <c r="F1245" s="176"/>
      <c r="G1245" s="176"/>
      <c r="H1245" s="176"/>
      <c r="I1245" s="176"/>
      <c r="J1245" s="176"/>
      <c r="K1245" s="176"/>
      <c r="L1245" s="176"/>
      <c r="M1245" s="176"/>
      <c r="N1245" s="176"/>
      <c r="O1245" s="176"/>
      <c r="P1245" s="176"/>
      <c r="Q1245" s="176"/>
      <c r="R1245" s="176"/>
      <c r="S1245" s="176"/>
      <c r="T1245" s="176"/>
      <c r="U1245" s="176"/>
      <c r="V1245" s="176"/>
      <c r="W1245" s="176"/>
      <c r="X1245" s="176"/>
      <c r="Y1245" s="176"/>
    </row>
    <row r="1246" spans="1:25">
      <c r="A1246" s="91"/>
      <c r="B1246" s="176"/>
      <c r="C1246" s="176"/>
      <c r="D1246" s="176"/>
      <c r="E1246" s="176"/>
      <c r="F1246" s="176"/>
      <c r="G1246" s="176"/>
      <c r="H1246" s="176"/>
      <c r="I1246" s="176"/>
      <c r="J1246" s="176"/>
      <c r="K1246" s="176"/>
      <c r="L1246" s="176"/>
      <c r="M1246" s="176"/>
      <c r="N1246" s="176"/>
      <c r="O1246" s="176"/>
      <c r="P1246" s="176"/>
      <c r="Q1246" s="176"/>
      <c r="R1246" s="176"/>
      <c r="S1246" s="176"/>
      <c r="T1246" s="176"/>
      <c r="U1246" s="176"/>
      <c r="V1246" s="176"/>
      <c r="W1246" s="176"/>
      <c r="X1246" s="176"/>
      <c r="Y1246" s="176"/>
    </row>
    <row r="1247" spans="1:25">
      <c r="A1247" s="91"/>
      <c r="B1247" s="176"/>
      <c r="C1247" s="176"/>
      <c r="D1247" s="176"/>
      <c r="E1247" s="176"/>
      <c r="F1247" s="176"/>
      <c r="G1247" s="176"/>
      <c r="H1247" s="176"/>
      <c r="I1247" s="176"/>
      <c r="J1247" s="176"/>
      <c r="K1247" s="176"/>
      <c r="L1247" s="176"/>
      <c r="M1247" s="176"/>
      <c r="N1247" s="176"/>
      <c r="O1247" s="176"/>
      <c r="P1247" s="176"/>
      <c r="Q1247" s="176"/>
      <c r="R1247" s="176"/>
      <c r="S1247" s="176"/>
      <c r="T1247" s="176"/>
      <c r="U1247" s="176"/>
      <c r="V1247" s="176"/>
      <c r="W1247" s="176"/>
      <c r="X1247" s="176"/>
      <c r="Y1247" s="176"/>
    </row>
    <row r="1248" spans="1:25">
      <c r="A1248" s="91"/>
      <c r="B1248" s="176"/>
      <c r="C1248" s="176"/>
      <c r="D1248" s="176"/>
      <c r="E1248" s="176"/>
      <c r="F1248" s="176"/>
      <c r="G1248" s="176"/>
      <c r="H1248" s="176"/>
      <c r="I1248" s="176"/>
      <c r="J1248" s="176"/>
      <c r="K1248" s="176"/>
      <c r="L1248" s="176"/>
      <c r="M1248" s="176"/>
      <c r="N1248" s="176"/>
      <c r="O1248" s="176"/>
      <c r="P1248" s="176"/>
      <c r="Q1248" s="176"/>
      <c r="R1248" s="176"/>
      <c r="S1248" s="176"/>
      <c r="T1248" s="176"/>
      <c r="U1248" s="176"/>
      <c r="V1248" s="176"/>
      <c r="W1248" s="176"/>
      <c r="X1248" s="176"/>
      <c r="Y1248" s="176"/>
    </row>
    <row r="1249" spans="1:25">
      <c r="A1249" s="91"/>
      <c r="B1249" s="176"/>
      <c r="C1249" s="176"/>
      <c r="D1249" s="176"/>
      <c r="E1249" s="176"/>
      <c r="F1249" s="176"/>
      <c r="G1249" s="176"/>
      <c r="H1249" s="176"/>
      <c r="I1249" s="176"/>
      <c r="J1249" s="176"/>
      <c r="K1249" s="176"/>
      <c r="L1249" s="176"/>
      <c r="M1249" s="176"/>
      <c r="N1249" s="176"/>
      <c r="O1249" s="176"/>
      <c r="P1249" s="176"/>
      <c r="Q1249" s="176"/>
      <c r="R1249" s="176"/>
      <c r="S1249" s="176"/>
      <c r="T1249" s="176"/>
      <c r="U1249" s="176"/>
      <c r="V1249" s="176"/>
      <c r="W1249" s="176"/>
      <c r="X1249" s="176"/>
      <c r="Y1249" s="176"/>
    </row>
    <row r="1250" spans="1:25">
      <c r="A1250" s="91"/>
      <c r="B1250" s="176"/>
      <c r="C1250" s="176"/>
      <c r="D1250" s="176"/>
      <c r="E1250" s="176"/>
      <c r="F1250" s="176"/>
      <c r="G1250" s="176"/>
      <c r="H1250" s="176"/>
      <c r="I1250" s="176"/>
      <c r="J1250" s="176"/>
      <c r="K1250" s="176"/>
      <c r="L1250" s="176"/>
      <c r="M1250" s="176"/>
      <c r="N1250" s="176"/>
      <c r="O1250" s="176"/>
      <c r="P1250" s="176"/>
      <c r="Q1250" s="176"/>
      <c r="R1250" s="176"/>
      <c r="S1250" s="176"/>
      <c r="T1250" s="176"/>
      <c r="U1250" s="176"/>
      <c r="V1250" s="176"/>
      <c r="W1250" s="176"/>
      <c r="X1250" s="176"/>
      <c r="Y1250" s="176"/>
    </row>
    <row r="1251" spans="1:25">
      <c r="A1251" s="91"/>
      <c r="B1251" s="176"/>
      <c r="C1251" s="176"/>
      <c r="D1251" s="176"/>
      <c r="E1251" s="176"/>
      <c r="F1251" s="176"/>
      <c r="G1251" s="176"/>
      <c r="H1251" s="176"/>
      <c r="I1251" s="176"/>
      <c r="J1251" s="176"/>
      <c r="K1251" s="176"/>
      <c r="L1251" s="176"/>
      <c r="M1251" s="176"/>
      <c r="N1251" s="176"/>
      <c r="O1251" s="176"/>
      <c r="P1251" s="176"/>
      <c r="Q1251" s="176"/>
      <c r="R1251" s="176"/>
      <c r="S1251" s="176"/>
      <c r="T1251" s="176"/>
      <c r="U1251" s="176"/>
      <c r="V1251" s="176"/>
      <c r="W1251" s="176"/>
      <c r="X1251" s="176"/>
      <c r="Y1251" s="176"/>
    </row>
    <row r="1252" spans="1:25">
      <c r="A1252" s="91"/>
      <c r="B1252" s="176"/>
      <c r="C1252" s="176"/>
      <c r="D1252" s="176"/>
      <c r="E1252" s="176"/>
      <c r="F1252" s="176"/>
      <c r="G1252" s="176"/>
      <c r="H1252" s="176"/>
      <c r="I1252" s="176"/>
      <c r="J1252" s="176"/>
      <c r="K1252" s="176"/>
      <c r="L1252" s="176"/>
      <c r="M1252" s="176"/>
      <c r="N1252" s="176"/>
      <c r="O1252" s="176"/>
      <c r="P1252" s="176"/>
      <c r="Q1252" s="176"/>
      <c r="R1252" s="176"/>
      <c r="S1252" s="176"/>
      <c r="T1252" s="176"/>
      <c r="U1252" s="176"/>
      <c r="V1252" s="176"/>
      <c r="W1252" s="176"/>
      <c r="X1252" s="176"/>
      <c r="Y1252" s="176"/>
    </row>
    <row r="1253" spans="1:25">
      <c r="A1253" s="91"/>
      <c r="B1253" s="176"/>
      <c r="C1253" s="176"/>
      <c r="D1253" s="176"/>
      <c r="E1253" s="176"/>
      <c r="F1253" s="176"/>
      <c r="G1253" s="176"/>
      <c r="H1253" s="176"/>
      <c r="I1253" s="176"/>
      <c r="J1253" s="176"/>
      <c r="K1253" s="176"/>
      <c r="L1253" s="176"/>
      <c r="M1253" s="176"/>
      <c r="N1253" s="176"/>
      <c r="O1253" s="176"/>
      <c r="P1253" s="176"/>
      <c r="Q1253" s="176"/>
      <c r="R1253" s="176"/>
      <c r="S1253" s="176"/>
      <c r="T1253" s="176"/>
      <c r="U1253" s="176"/>
      <c r="V1253" s="176"/>
      <c r="W1253" s="176"/>
      <c r="X1253" s="176"/>
      <c r="Y1253" s="176"/>
    </row>
    <row r="1254" spans="1:25">
      <c r="A1254" s="91"/>
      <c r="B1254" s="176"/>
      <c r="C1254" s="176"/>
      <c r="D1254" s="176"/>
      <c r="E1254" s="176"/>
      <c r="F1254" s="176"/>
      <c r="G1254" s="176"/>
      <c r="H1254" s="176"/>
      <c r="I1254" s="176"/>
      <c r="J1254" s="176"/>
      <c r="K1254" s="176"/>
      <c r="L1254" s="176"/>
      <c r="M1254" s="176"/>
      <c r="N1254" s="176"/>
      <c r="O1254" s="176"/>
      <c r="P1254" s="176"/>
      <c r="Q1254" s="176"/>
      <c r="R1254" s="176"/>
      <c r="S1254" s="176"/>
      <c r="T1254" s="176"/>
      <c r="U1254" s="176"/>
      <c r="V1254" s="176"/>
      <c r="W1254" s="176"/>
      <c r="X1254" s="176"/>
      <c r="Y1254" s="176"/>
    </row>
    <row r="1255" spans="1:25">
      <c r="A1255" s="91"/>
      <c r="B1255" s="176"/>
      <c r="C1255" s="176"/>
      <c r="D1255" s="176"/>
      <c r="E1255" s="176"/>
      <c r="F1255" s="176"/>
      <c r="G1255" s="176"/>
      <c r="H1255" s="176"/>
      <c r="I1255" s="176"/>
      <c r="J1255" s="176"/>
      <c r="K1255" s="176"/>
      <c r="L1255" s="176"/>
      <c r="M1255" s="176"/>
      <c r="N1255" s="176"/>
      <c r="O1255" s="176"/>
      <c r="P1255" s="176"/>
      <c r="Q1255" s="176"/>
      <c r="R1255" s="176"/>
      <c r="S1255" s="176"/>
      <c r="T1255" s="176"/>
      <c r="U1255" s="176"/>
      <c r="V1255" s="176"/>
      <c r="W1255" s="176"/>
      <c r="X1255" s="176"/>
      <c r="Y1255" s="176"/>
    </row>
    <row r="1256" spans="1:25">
      <c r="A1256" s="91"/>
      <c r="B1256" s="176"/>
      <c r="C1256" s="176"/>
      <c r="D1256" s="176"/>
      <c r="E1256" s="176"/>
      <c r="F1256" s="176"/>
      <c r="G1256" s="176"/>
      <c r="H1256" s="176"/>
      <c r="I1256" s="176"/>
      <c r="J1256" s="176"/>
      <c r="K1256" s="176"/>
      <c r="L1256" s="176"/>
      <c r="M1256" s="176"/>
      <c r="N1256" s="176"/>
      <c r="O1256" s="176"/>
      <c r="P1256" s="176"/>
      <c r="Q1256" s="176"/>
      <c r="R1256" s="176"/>
      <c r="S1256" s="176"/>
      <c r="T1256" s="176"/>
      <c r="U1256" s="176"/>
      <c r="V1256" s="176"/>
      <c r="W1256" s="176"/>
      <c r="X1256" s="176"/>
      <c r="Y1256" s="176"/>
    </row>
    <row r="1257" spans="1:25">
      <c r="A1257" s="91"/>
      <c r="B1257" s="176"/>
      <c r="C1257" s="176"/>
      <c r="D1257" s="176"/>
      <c r="E1257" s="176"/>
      <c r="F1257" s="176"/>
      <c r="G1257" s="176"/>
      <c r="H1257" s="176"/>
      <c r="I1257" s="176"/>
      <c r="J1257" s="176"/>
      <c r="K1257" s="176"/>
      <c r="L1257" s="176"/>
      <c r="M1257" s="176"/>
      <c r="N1257" s="176"/>
      <c r="O1257" s="176"/>
      <c r="P1257" s="176"/>
      <c r="Q1257" s="176"/>
      <c r="R1257" s="176"/>
      <c r="S1257" s="176"/>
      <c r="T1257" s="176"/>
      <c r="U1257" s="176"/>
      <c r="V1257" s="176"/>
      <c r="W1257" s="176"/>
      <c r="X1257" s="176"/>
      <c r="Y1257" s="176"/>
    </row>
    <row r="1258" spans="1:25">
      <c r="A1258" s="91"/>
      <c r="B1258" s="176"/>
      <c r="C1258" s="176"/>
      <c r="D1258" s="176"/>
      <c r="E1258" s="176"/>
      <c r="F1258" s="176"/>
      <c r="G1258" s="176"/>
      <c r="H1258" s="176"/>
      <c r="I1258" s="176"/>
      <c r="J1258" s="176"/>
      <c r="K1258" s="176"/>
      <c r="L1258" s="176"/>
      <c r="M1258" s="176"/>
      <c r="N1258" s="176"/>
      <c r="O1258" s="176"/>
      <c r="P1258" s="176"/>
      <c r="Q1258" s="176"/>
      <c r="R1258" s="176"/>
      <c r="S1258" s="176"/>
      <c r="T1258" s="176"/>
      <c r="U1258" s="176"/>
      <c r="V1258" s="176"/>
      <c r="W1258" s="176"/>
      <c r="X1258" s="176"/>
      <c r="Y1258" s="176"/>
    </row>
    <row r="1259" spans="1:25">
      <c r="A1259" s="91"/>
      <c r="B1259" s="176"/>
      <c r="C1259" s="176"/>
      <c r="D1259" s="176"/>
      <c r="E1259" s="176"/>
      <c r="F1259" s="176"/>
      <c r="G1259" s="176"/>
      <c r="H1259" s="176"/>
      <c r="I1259" s="176"/>
      <c r="J1259" s="176"/>
      <c r="K1259" s="176"/>
      <c r="L1259" s="176"/>
      <c r="M1259" s="176"/>
      <c r="N1259" s="176"/>
      <c r="O1259" s="176"/>
      <c r="P1259" s="176"/>
      <c r="Q1259" s="176"/>
      <c r="R1259" s="176"/>
      <c r="S1259" s="176"/>
      <c r="T1259" s="176"/>
      <c r="U1259" s="176"/>
      <c r="V1259" s="176"/>
      <c r="W1259" s="176"/>
      <c r="X1259" s="176"/>
      <c r="Y1259" s="176"/>
    </row>
    <row r="1260" spans="1:25">
      <c r="A1260" s="91"/>
      <c r="B1260" s="176"/>
      <c r="C1260" s="176"/>
      <c r="D1260" s="176"/>
      <c r="E1260" s="176"/>
      <c r="F1260" s="176"/>
      <c r="G1260" s="176"/>
      <c r="H1260" s="176"/>
      <c r="I1260" s="176"/>
      <c r="J1260" s="176"/>
      <c r="K1260" s="176"/>
      <c r="L1260" s="176"/>
      <c r="M1260" s="176"/>
      <c r="N1260" s="176"/>
      <c r="O1260" s="176"/>
      <c r="P1260" s="176"/>
      <c r="Q1260" s="176"/>
      <c r="R1260" s="176"/>
      <c r="S1260" s="176"/>
      <c r="T1260" s="176"/>
      <c r="U1260" s="176"/>
      <c r="V1260" s="176"/>
      <c r="W1260" s="176"/>
      <c r="X1260" s="176"/>
      <c r="Y1260" s="176"/>
    </row>
    <row r="1261" spans="1:25">
      <c r="A1261" s="91"/>
      <c r="B1261" s="176"/>
      <c r="C1261" s="176"/>
      <c r="D1261" s="176"/>
      <c r="E1261" s="176"/>
      <c r="F1261" s="176"/>
      <c r="G1261" s="176"/>
      <c r="H1261" s="176"/>
      <c r="I1261" s="176"/>
      <c r="J1261" s="176"/>
      <c r="K1261" s="176"/>
      <c r="L1261" s="176"/>
      <c r="M1261" s="176"/>
      <c r="N1261" s="176"/>
      <c r="O1261" s="176"/>
      <c r="P1261" s="176"/>
      <c r="Q1261" s="176"/>
      <c r="R1261" s="176"/>
      <c r="S1261" s="176"/>
      <c r="T1261" s="176"/>
      <c r="U1261" s="176"/>
      <c r="V1261" s="176"/>
      <c r="W1261" s="176"/>
      <c r="X1261" s="176"/>
      <c r="Y1261" s="176"/>
    </row>
    <row r="1262" spans="1:25">
      <c r="A1262" s="91"/>
      <c r="B1262" s="176"/>
      <c r="C1262" s="176"/>
      <c r="D1262" s="176"/>
      <c r="E1262" s="176"/>
      <c r="F1262" s="176"/>
      <c r="G1262" s="176"/>
      <c r="H1262" s="176"/>
      <c r="I1262" s="176"/>
      <c r="J1262" s="176"/>
      <c r="K1262" s="176"/>
      <c r="L1262" s="176"/>
      <c r="M1262" s="176"/>
      <c r="N1262" s="176"/>
      <c r="O1262" s="176"/>
      <c r="P1262" s="176"/>
      <c r="Q1262" s="176"/>
      <c r="R1262" s="176"/>
      <c r="S1262" s="176"/>
      <c r="T1262" s="176"/>
      <c r="U1262" s="176"/>
      <c r="V1262" s="176"/>
      <c r="W1262" s="176"/>
      <c r="X1262" s="176"/>
      <c r="Y1262" s="176"/>
    </row>
    <row r="1263" spans="1:25">
      <c r="A1263" s="91"/>
      <c r="B1263" s="176"/>
      <c r="C1263" s="176"/>
      <c r="D1263" s="176"/>
      <c r="E1263" s="176"/>
      <c r="F1263" s="176"/>
      <c r="G1263" s="176"/>
      <c r="H1263" s="176"/>
      <c r="I1263" s="176"/>
      <c r="J1263" s="176"/>
      <c r="K1263" s="176"/>
      <c r="L1263" s="176"/>
      <c r="M1263" s="176"/>
      <c r="N1263" s="176"/>
      <c r="O1263" s="176"/>
      <c r="P1263" s="176"/>
      <c r="Q1263" s="176"/>
      <c r="R1263" s="176"/>
      <c r="S1263" s="176"/>
      <c r="T1263" s="176"/>
      <c r="U1263" s="176"/>
      <c r="V1263" s="176"/>
      <c r="W1263" s="176"/>
      <c r="X1263" s="176"/>
      <c r="Y1263" s="176"/>
    </row>
    <row r="1264" spans="1:25">
      <c r="A1264" s="91"/>
      <c r="B1264" s="176"/>
      <c r="C1264" s="176"/>
      <c r="D1264" s="176"/>
      <c r="E1264" s="176"/>
      <c r="F1264" s="176"/>
      <c r="G1264" s="176"/>
      <c r="H1264" s="176"/>
      <c r="I1264" s="176"/>
      <c r="J1264" s="176"/>
      <c r="K1264" s="176"/>
      <c r="L1264" s="176"/>
      <c r="M1264" s="176"/>
      <c r="N1264" s="176"/>
      <c r="O1264" s="176"/>
      <c r="P1264" s="176"/>
      <c r="Q1264" s="176"/>
      <c r="R1264" s="176"/>
      <c r="S1264" s="176"/>
      <c r="T1264" s="176"/>
      <c r="U1264" s="176"/>
      <c r="V1264" s="176"/>
      <c r="W1264" s="176"/>
      <c r="X1264" s="176"/>
      <c r="Y1264" s="176"/>
    </row>
    <row r="1265" spans="1:25">
      <c r="A1265" s="91"/>
      <c r="B1265" s="176"/>
      <c r="C1265" s="176"/>
      <c r="D1265" s="176"/>
      <c r="E1265" s="176"/>
      <c r="F1265" s="176"/>
      <c r="G1265" s="176"/>
      <c r="H1265" s="176"/>
      <c r="I1265" s="176"/>
      <c r="J1265" s="176"/>
      <c r="K1265" s="176"/>
      <c r="L1265" s="176"/>
      <c r="M1265" s="176"/>
      <c r="N1265" s="176"/>
      <c r="O1265" s="176"/>
      <c r="P1265" s="176"/>
      <c r="Q1265" s="176"/>
      <c r="R1265" s="176"/>
      <c r="S1265" s="176"/>
      <c r="T1265" s="176"/>
      <c r="U1265" s="176"/>
      <c r="V1265" s="176"/>
      <c r="W1265" s="176"/>
      <c r="X1265" s="176"/>
      <c r="Y1265" s="176"/>
    </row>
    <row r="1266" spans="1:25">
      <c r="A1266" s="91"/>
      <c r="B1266" s="176"/>
      <c r="C1266" s="176"/>
      <c r="D1266" s="176"/>
      <c r="E1266" s="176"/>
      <c r="F1266" s="176"/>
      <c r="G1266" s="176"/>
      <c r="H1266" s="176"/>
      <c r="I1266" s="176"/>
      <c r="J1266" s="176"/>
      <c r="K1266" s="176"/>
      <c r="L1266" s="176"/>
      <c r="M1266" s="176"/>
      <c r="N1266" s="176"/>
      <c r="O1266" s="176"/>
      <c r="P1266" s="176"/>
      <c r="Q1266" s="176"/>
      <c r="R1266" s="176"/>
      <c r="S1266" s="176"/>
      <c r="T1266" s="176"/>
      <c r="U1266" s="176"/>
      <c r="V1266" s="176"/>
      <c r="W1266" s="176"/>
      <c r="X1266" s="176"/>
      <c r="Y1266" s="176"/>
    </row>
    <row r="1267" spans="1:25">
      <c r="A1267" s="91"/>
      <c r="B1267" s="176"/>
      <c r="C1267" s="176"/>
      <c r="D1267" s="176"/>
      <c r="E1267" s="176"/>
      <c r="F1267" s="176"/>
      <c r="G1267" s="176"/>
      <c r="H1267" s="176"/>
      <c r="I1267" s="176"/>
      <c r="J1267" s="176"/>
      <c r="K1267" s="176"/>
      <c r="L1267" s="176"/>
      <c r="M1267" s="176"/>
      <c r="N1267" s="176"/>
      <c r="O1267" s="176"/>
      <c r="P1267" s="176"/>
      <c r="Q1267" s="176"/>
      <c r="R1267" s="176"/>
      <c r="S1267" s="176"/>
      <c r="T1267" s="176"/>
      <c r="U1267" s="176"/>
      <c r="V1267" s="176"/>
      <c r="W1267" s="176"/>
      <c r="X1267" s="176"/>
      <c r="Y1267" s="176"/>
    </row>
    <row r="1268" spans="1:25">
      <c r="A1268" s="91"/>
      <c r="B1268" s="176"/>
      <c r="C1268" s="176"/>
      <c r="D1268" s="176"/>
      <c r="E1268" s="176"/>
      <c r="F1268" s="176"/>
      <c r="G1268" s="176"/>
      <c r="H1268" s="176"/>
      <c r="I1268" s="176"/>
      <c r="J1268" s="176"/>
      <c r="K1268" s="176"/>
      <c r="L1268" s="176"/>
      <c r="M1268" s="176"/>
      <c r="N1268" s="176"/>
      <c r="O1268" s="176"/>
      <c r="P1268" s="176"/>
      <c r="Q1268" s="176"/>
      <c r="R1268" s="176"/>
      <c r="S1268" s="176"/>
      <c r="T1268" s="176"/>
      <c r="U1268" s="176"/>
      <c r="V1268" s="176"/>
      <c r="W1268" s="176"/>
      <c r="X1268" s="176"/>
      <c r="Y1268" s="176"/>
    </row>
    <row r="1269" spans="1:25">
      <c r="A1269" s="91"/>
      <c r="B1269" s="176"/>
      <c r="C1269" s="176"/>
      <c r="D1269" s="176"/>
      <c r="E1269" s="176"/>
      <c r="F1269" s="176"/>
      <c r="G1269" s="176"/>
      <c r="H1269" s="176"/>
      <c r="I1269" s="176"/>
      <c r="J1269" s="176"/>
      <c r="K1269" s="176"/>
      <c r="L1269" s="176"/>
      <c r="M1269" s="176"/>
      <c r="N1269" s="176"/>
      <c r="O1269" s="176"/>
      <c r="P1269" s="176"/>
      <c r="Q1269" s="176"/>
      <c r="R1269" s="176"/>
      <c r="S1269" s="176"/>
      <c r="T1269" s="176"/>
      <c r="U1269" s="176"/>
      <c r="V1269" s="176"/>
      <c r="W1269" s="176"/>
      <c r="X1269" s="176"/>
      <c r="Y1269" s="176"/>
    </row>
    <row r="1270" spans="1:25">
      <c r="A1270" s="91"/>
      <c r="B1270" s="176"/>
      <c r="C1270" s="176"/>
      <c r="D1270" s="176"/>
      <c r="E1270" s="176"/>
      <c r="F1270" s="176"/>
      <c r="G1270" s="176"/>
      <c r="H1270" s="176"/>
      <c r="I1270" s="176"/>
      <c r="J1270" s="176"/>
      <c r="K1270" s="176"/>
      <c r="L1270" s="176"/>
      <c r="M1270" s="176"/>
      <c r="N1270" s="176"/>
      <c r="O1270" s="176"/>
      <c r="P1270" s="176"/>
      <c r="Q1270" s="176"/>
      <c r="R1270" s="176"/>
      <c r="S1270" s="176"/>
      <c r="T1270" s="176"/>
      <c r="U1270" s="176"/>
      <c r="V1270" s="176"/>
      <c r="W1270" s="176"/>
      <c r="X1270" s="176"/>
      <c r="Y1270" s="176"/>
    </row>
    <row r="1271" spans="1:25">
      <c r="A1271" s="91"/>
      <c r="B1271" s="176"/>
      <c r="C1271" s="176"/>
      <c r="D1271" s="176"/>
      <c r="E1271" s="176"/>
      <c r="F1271" s="176"/>
      <c r="G1271" s="176"/>
      <c r="H1271" s="176"/>
      <c r="I1271" s="176"/>
      <c r="J1271" s="176"/>
      <c r="K1271" s="176"/>
      <c r="L1271" s="176"/>
      <c r="M1271" s="176"/>
      <c r="N1271" s="176"/>
      <c r="O1271" s="176"/>
      <c r="P1271" s="176"/>
      <c r="Q1271" s="176"/>
      <c r="R1271" s="176"/>
      <c r="S1271" s="176"/>
      <c r="T1271" s="176"/>
      <c r="U1271" s="176"/>
      <c r="V1271" s="176"/>
      <c r="W1271" s="176"/>
      <c r="X1271" s="176"/>
      <c r="Y1271" s="176"/>
    </row>
    <row r="1272" spans="1:25">
      <c r="A1272" s="91"/>
      <c r="B1272" s="176"/>
      <c r="C1272" s="176"/>
      <c r="D1272" s="176"/>
      <c r="E1272" s="176"/>
      <c r="F1272" s="176"/>
      <c r="G1272" s="176"/>
      <c r="H1272" s="176"/>
      <c r="I1272" s="176"/>
      <c r="J1272" s="176"/>
      <c r="K1272" s="176"/>
      <c r="L1272" s="176"/>
      <c r="M1272" s="176"/>
      <c r="N1272" s="176"/>
      <c r="O1272" s="176"/>
      <c r="P1272" s="176"/>
      <c r="Q1272" s="176"/>
      <c r="R1272" s="176"/>
      <c r="S1272" s="176"/>
      <c r="T1272" s="176"/>
      <c r="U1272" s="176"/>
      <c r="V1272" s="176"/>
      <c r="W1272" s="176"/>
      <c r="X1272" s="176"/>
      <c r="Y1272" s="176"/>
    </row>
    <row r="1273" spans="1:25">
      <c r="A1273" s="91"/>
      <c r="B1273" s="176"/>
      <c r="C1273" s="176"/>
      <c r="D1273" s="176"/>
      <c r="E1273" s="176"/>
      <c r="F1273" s="176"/>
      <c r="G1273" s="176"/>
      <c r="H1273" s="176"/>
      <c r="I1273" s="176"/>
      <c r="J1273" s="176"/>
      <c r="K1273" s="176"/>
      <c r="L1273" s="176"/>
      <c r="M1273" s="176"/>
      <c r="N1273" s="176"/>
      <c r="O1273" s="176"/>
      <c r="P1273" s="176"/>
      <c r="Q1273" s="176"/>
      <c r="R1273" s="176"/>
      <c r="S1273" s="176"/>
      <c r="T1273" s="176"/>
      <c r="U1273" s="176"/>
      <c r="V1273" s="176"/>
      <c r="W1273" s="176"/>
      <c r="X1273" s="176"/>
      <c r="Y1273" s="176"/>
    </row>
    <row r="1274" spans="1:25">
      <c r="A1274" s="91"/>
      <c r="B1274" s="176"/>
      <c r="C1274" s="176"/>
      <c r="D1274" s="176"/>
      <c r="E1274" s="176"/>
      <c r="F1274" s="176"/>
      <c r="G1274" s="176"/>
      <c r="H1274" s="176"/>
      <c r="I1274" s="176"/>
      <c r="J1274" s="176"/>
      <c r="K1274" s="176"/>
      <c r="L1274" s="176"/>
      <c r="M1274" s="176"/>
      <c r="N1274" s="176"/>
      <c r="O1274" s="176"/>
      <c r="P1274" s="176"/>
      <c r="Q1274" s="176"/>
      <c r="R1274" s="176"/>
      <c r="S1274" s="176"/>
      <c r="T1274" s="176"/>
      <c r="U1274" s="176"/>
      <c r="V1274" s="176"/>
      <c r="W1274" s="176"/>
      <c r="X1274" s="176"/>
      <c r="Y1274" s="176"/>
    </row>
    <row r="1275" spans="1:25">
      <c r="A1275" s="91"/>
      <c r="B1275" s="176"/>
      <c r="C1275" s="176"/>
      <c r="D1275" s="176"/>
      <c r="E1275" s="176"/>
      <c r="F1275" s="176"/>
      <c r="G1275" s="176"/>
      <c r="H1275" s="176"/>
      <c r="I1275" s="176"/>
      <c r="J1275" s="176"/>
      <c r="K1275" s="176"/>
      <c r="L1275" s="176"/>
      <c r="M1275" s="176"/>
      <c r="N1275" s="176"/>
      <c r="O1275" s="176"/>
      <c r="P1275" s="176"/>
      <c r="Q1275" s="176"/>
      <c r="R1275" s="176"/>
      <c r="S1275" s="176"/>
      <c r="T1275" s="176"/>
      <c r="U1275" s="176"/>
      <c r="V1275" s="176"/>
      <c r="W1275" s="176"/>
      <c r="X1275" s="176"/>
      <c r="Y1275" s="176"/>
    </row>
    <row r="1276" spans="1:25">
      <c r="A1276" s="91"/>
      <c r="B1276" s="176"/>
      <c r="C1276" s="176"/>
      <c r="D1276" s="176"/>
      <c r="E1276" s="176"/>
      <c r="F1276" s="176"/>
      <c r="G1276" s="176"/>
      <c r="H1276" s="176"/>
      <c r="I1276" s="176"/>
      <c r="J1276" s="176"/>
      <c r="K1276" s="176"/>
      <c r="L1276" s="176"/>
      <c r="M1276" s="176"/>
      <c r="N1276" s="176"/>
      <c r="O1276" s="176"/>
      <c r="P1276" s="176"/>
      <c r="Q1276" s="176"/>
      <c r="R1276" s="176"/>
      <c r="S1276" s="176"/>
      <c r="T1276" s="176"/>
      <c r="U1276" s="176"/>
      <c r="V1276" s="176"/>
      <c r="W1276" s="176"/>
      <c r="X1276" s="176"/>
      <c r="Y1276" s="176"/>
    </row>
    <row r="1277" spans="1:25">
      <c r="A1277" s="91"/>
      <c r="B1277" s="176"/>
      <c r="C1277" s="176"/>
      <c r="D1277" s="176"/>
      <c r="E1277" s="176"/>
      <c r="F1277" s="176"/>
      <c r="G1277" s="176"/>
      <c r="H1277" s="176"/>
      <c r="I1277" s="176"/>
      <c r="J1277" s="176"/>
      <c r="K1277" s="176"/>
      <c r="L1277" s="176"/>
      <c r="M1277" s="176"/>
      <c r="N1277" s="176"/>
      <c r="O1277" s="176"/>
      <c r="P1277" s="176"/>
      <c r="Q1277" s="176"/>
      <c r="R1277" s="176"/>
      <c r="S1277" s="176"/>
      <c r="T1277" s="176"/>
      <c r="U1277" s="176"/>
      <c r="V1277" s="176"/>
      <c r="W1277" s="176"/>
      <c r="X1277" s="176"/>
      <c r="Y1277" s="176"/>
    </row>
    <row r="1278" spans="1:25">
      <c r="A1278" s="91"/>
      <c r="B1278" s="176"/>
      <c r="C1278" s="176"/>
      <c r="D1278" s="176"/>
      <c r="E1278" s="176"/>
      <c r="F1278" s="176"/>
      <c r="G1278" s="176"/>
      <c r="H1278" s="176"/>
      <c r="I1278" s="176"/>
      <c r="J1278" s="176"/>
      <c r="K1278" s="176"/>
      <c r="L1278" s="176"/>
      <c r="M1278" s="176"/>
      <c r="N1278" s="176"/>
      <c r="O1278" s="176"/>
      <c r="P1278" s="176"/>
      <c r="Q1278" s="176"/>
      <c r="R1278" s="176"/>
      <c r="S1278" s="176"/>
      <c r="T1278" s="176"/>
      <c r="U1278" s="176"/>
      <c r="V1278" s="176"/>
      <c r="W1278" s="176"/>
      <c r="X1278" s="176"/>
      <c r="Y1278" s="176"/>
    </row>
    <row r="1279" spans="1:25">
      <c r="A1279" s="91"/>
      <c r="B1279" s="176"/>
      <c r="C1279" s="176"/>
      <c r="D1279" s="176"/>
      <c r="E1279" s="176"/>
      <c r="F1279" s="176"/>
      <c r="G1279" s="176"/>
      <c r="H1279" s="176"/>
      <c r="I1279" s="176"/>
      <c r="J1279" s="176"/>
      <c r="K1279" s="176"/>
      <c r="L1279" s="176"/>
      <c r="M1279" s="176"/>
      <c r="N1279" s="176"/>
      <c r="O1279" s="176"/>
      <c r="P1279" s="176"/>
      <c r="Q1279" s="176"/>
      <c r="R1279" s="176"/>
      <c r="S1279" s="176"/>
      <c r="T1279" s="176"/>
      <c r="U1279" s="176"/>
      <c r="V1279" s="176"/>
      <c r="W1279" s="176"/>
      <c r="X1279" s="176"/>
      <c r="Y1279" s="176"/>
    </row>
    <row r="1280" spans="1:25">
      <c r="A1280" s="91"/>
      <c r="B1280" s="176"/>
      <c r="C1280" s="176"/>
      <c r="D1280" s="176"/>
      <c r="E1280" s="176"/>
      <c r="F1280" s="176"/>
      <c r="G1280" s="176"/>
      <c r="H1280" s="176"/>
      <c r="I1280" s="176"/>
      <c r="J1280" s="176"/>
      <c r="K1280" s="176"/>
      <c r="L1280" s="176"/>
      <c r="M1280" s="176"/>
      <c r="N1280" s="176"/>
      <c r="O1280" s="176"/>
      <c r="P1280" s="176"/>
      <c r="Q1280" s="176"/>
      <c r="R1280" s="176"/>
      <c r="S1280" s="176"/>
      <c r="T1280" s="176"/>
      <c r="U1280" s="176"/>
      <c r="V1280" s="176"/>
      <c r="W1280" s="176"/>
      <c r="X1280" s="176"/>
      <c r="Y1280" s="176"/>
    </row>
    <row r="1281" spans="1:25">
      <c r="A1281" s="91"/>
      <c r="B1281" s="176"/>
      <c r="C1281" s="176"/>
      <c r="D1281" s="176"/>
      <c r="E1281" s="176"/>
      <c r="F1281" s="176"/>
      <c r="G1281" s="176"/>
      <c r="H1281" s="176"/>
      <c r="I1281" s="176"/>
      <c r="J1281" s="176"/>
      <c r="K1281" s="176"/>
      <c r="L1281" s="176"/>
      <c r="M1281" s="176"/>
      <c r="N1281" s="176"/>
      <c r="O1281" s="176"/>
      <c r="P1281" s="176"/>
      <c r="Q1281" s="176"/>
      <c r="R1281" s="176"/>
      <c r="S1281" s="176"/>
      <c r="T1281" s="176"/>
      <c r="U1281" s="176"/>
      <c r="V1281" s="176"/>
      <c r="W1281" s="176"/>
      <c r="X1281" s="176"/>
      <c r="Y1281" s="176"/>
    </row>
    <row r="1282" spans="1:25">
      <c r="A1282" s="91"/>
      <c r="B1282" s="176"/>
      <c r="C1282" s="176"/>
      <c r="D1282" s="176"/>
      <c r="E1282" s="176"/>
      <c r="F1282" s="176"/>
      <c r="G1282" s="176"/>
      <c r="H1282" s="176"/>
      <c r="I1282" s="176"/>
      <c r="J1282" s="176"/>
      <c r="K1282" s="176"/>
      <c r="L1282" s="176"/>
      <c r="M1282" s="176"/>
      <c r="N1282" s="176"/>
      <c r="O1282" s="176"/>
      <c r="P1282" s="176"/>
      <c r="Q1282" s="176"/>
      <c r="R1282" s="176"/>
      <c r="S1282" s="176"/>
      <c r="T1282" s="176"/>
      <c r="U1282" s="176"/>
      <c r="V1282" s="176"/>
      <c r="W1282" s="176"/>
      <c r="X1282" s="176"/>
      <c r="Y1282" s="176"/>
    </row>
    <row r="1283" spans="1:25">
      <c r="A1283" s="91"/>
      <c r="B1283" s="176"/>
      <c r="C1283" s="176"/>
      <c r="D1283" s="176"/>
      <c r="E1283" s="176"/>
      <c r="F1283" s="176"/>
      <c r="G1283" s="176"/>
      <c r="H1283" s="176"/>
      <c r="I1283" s="176"/>
      <c r="J1283" s="176"/>
      <c r="K1283" s="176"/>
      <c r="L1283" s="176"/>
      <c r="M1283" s="176"/>
      <c r="N1283" s="176"/>
      <c r="O1283" s="176"/>
      <c r="P1283" s="176"/>
      <c r="Q1283" s="176"/>
      <c r="R1283" s="176"/>
      <c r="S1283" s="176"/>
      <c r="T1283" s="176"/>
      <c r="U1283" s="176"/>
      <c r="V1283" s="176"/>
      <c r="W1283" s="176"/>
      <c r="X1283" s="176"/>
      <c r="Y1283" s="176"/>
    </row>
    <row r="1284" spans="1:25">
      <c r="A1284" s="91"/>
      <c r="B1284" s="176"/>
      <c r="C1284" s="176"/>
      <c r="D1284" s="176"/>
      <c r="E1284" s="176"/>
      <c r="F1284" s="176"/>
      <c r="G1284" s="176"/>
      <c r="H1284" s="176"/>
      <c r="I1284" s="176"/>
      <c r="J1284" s="176"/>
      <c r="K1284" s="176"/>
      <c r="L1284" s="176"/>
      <c r="M1284" s="176"/>
      <c r="N1284" s="176"/>
      <c r="O1284" s="176"/>
      <c r="P1284" s="176"/>
      <c r="Q1284" s="176"/>
      <c r="R1284" s="176"/>
      <c r="S1284" s="176"/>
      <c r="T1284" s="176"/>
      <c r="U1284" s="176"/>
      <c r="V1284" s="176"/>
      <c r="W1284" s="176"/>
      <c r="X1284" s="176"/>
      <c r="Y1284" s="176"/>
    </row>
    <row r="1285" spans="1:25">
      <c r="A1285" s="91"/>
      <c r="B1285" s="176"/>
      <c r="C1285" s="176"/>
      <c r="D1285" s="176"/>
      <c r="E1285" s="176"/>
      <c r="F1285" s="176"/>
      <c r="G1285" s="176"/>
      <c r="H1285" s="176"/>
      <c r="I1285" s="176"/>
      <c r="J1285" s="176"/>
      <c r="K1285" s="176"/>
      <c r="L1285" s="176"/>
      <c r="M1285" s="176"/>
      <c r="N1285" s="176"/>
      <c r="O1285" s="176"/>
      <c r="P1285" s="176"/>
      <c r="Q1285" s="176"/>
      <c r="R1285" s="176"/>
      <c r="S1285" s="176"/>
      <c r="T1285" s="176"/>
      <c r="U1285" s="176"/>
      <c r="V1285" s="176"/>
      <c r="W1285" s="176"/>
      <c r="X1285" s="176"/>
      <c r="Y1285" s="176"/>
    </row>
    <row r="1286" spans="1:25">
      <c r="A1286" s="91"/>
      <c r="B1286" s="176"/>
      <c r="C1286" s="176"/>
      <c r="D1286" s="176"/>
      <c r="E1286" s="176"/>
      <c r="F1286" s="176"/>
      <c r="G1286" s="176"/>
      <c r="H1286" s="176"/>
      <c r="I1286" s="176"/>
      <c r="J1286" s="176"/>
      <c r="K1286" s="176"/>
      <c r="L1286" s="176"/>
      <c r="M1286" s="176"/>
      <c r="N1286" s="176"/>
      <c r="O1286" s="176"/>
      <c r="P1286" s="176"/>
      <c r="Q1286" s="176"/>
      <c r="R1286" s="176"/>
      <c r="S1286" s="176"/>
      <c r="T1286" s="176"/>
      <c r="U1286" s="176"/>
      <c r="V1286" s="176"/>
      <c r="W1286" s="176"/>
      <c r="X1286" s="176"/>
      <c r="Y1286" s="176"/>
    </row>
    <row r="1287" spans="1:25">
      <c r="A1287" s="91"/>
      <c r="B1287" s="176"/>
      <c r="C1287" s="176"/>
      <c r="D1287" s="176"/>
      <c r="E1287" s="176"/>
      <c r="F1287" s="176"/>
      <c r="G1287" s="176"/>
      <c r="H1287" s="176"/>
      <c r="I1287" s="176"/>
      <c r="J1287" s="176"/>
      <c r="K1287" s="176"/>
      <c r="L1287" s="176"/>
      <c r="M1287" s="176"/>
      <c r="N1287" s="176"/>
      <c r="O1287" s="176"/>
      <c r="P1287" s="176"/>
      <c r="Q1287" s="176"/>
      <c r="R1287" s="176"/>
      <c r="S1287" s="176"/>
      <c r="T1287" s="176"/>
      <c r="U1287" s="176"/>
      <c r="V1287" s="176"/>
      <c r="W1287" s="176"/>
      <c r="X1287" s="176"/>
      <c r="Y1287" s="176"/>
    </row>
    <row r="1288" spans="1:25">
      <c r="A1288" s="91"/>
      <c r="B1288" s="176"/>
      <c r="C1288" s="176"/>
      <c r="D1288" s="176"/>
      <c r="E1288" s="176"/>
      <c r="F1288" s="176"/>
      <c r="G1288" s="176"/>
      <c r="H1288" s="176"/>
      <c r="I1288" s="176"/>
      <c r="J1288" s="176"/>
      <c r="K1288" s="176"/>
      <c r="L1288" s="176"/>
      <c r="M1288" s="176"/>
      <c r="N1288" s="176"/>
      <c r="O1288" s="176"/>
      <c r="P1288" s="176"/>
      <c r="Q1288" s="176"/>
      <c r="R1288" s="176"/>
      <c r="S1288" s="176"/>
      <c r="T1288" s="176"/>
      <c r="U1288" s="176"/>
      <c r="V1288" s="176"/>
      <c r="W1288" s="176"/>
      <c r="X1288" s="176"/>
      <c r="Y1288" s="176"/>
    </row>
    <row r="1289" spans="1:25">
      <c r="A1289" s="91"/>
      <c r="B1289" s="176"/>
      <c r="C1289" s="176"/>
      <c r="D1289" s="176"/>
      <c r="E1289" s="176"/>
      <c r="F1289" s="176"/>
      <c r="G1289" s="176"/>
      <c r="H1289" s="176"/>
      <c r="I1289" s="176"/>
      <c r="J1289" s="176"/>
      <c r="K1289" s="176"/>
      <c r="L1289" s="176"/>
      <c r="M1289" s="176"/>
      <c r="N1289" s="176"/>
      <c r="O1289" s="176"/>
      <c r="P1289" s="176"/>
      <c r="Q1289" s="176"/>
      <c r="R1289" s="176"/>
      <c r="S1289" s="176"/>
      <c r="T1289" s="176"/>
      <c r="U1289" s="176"/>
      <c r="V1289" s="176"/>
      <c r="W1289" s="176"/>
      <c r="X1289" s="176"/>
      <c r="Y1289" s="176"/>
    </row>
    <row r="1290" spans="1:25">
      <c r="A1290" s="91"/>
      <c r="B1290" s="176"/>
      <c r="C1290" s="176"/>
      <c r="D1290" s="176"/>
      <c r="E1290" s="176"/>
      <c r="F1290" s="176"/>
      <c r="G1290" s="176"/>
      <c r="H1290" s="176"/>
      <c r="I1290" s="176"/>
      <c r="J1290" s="176"/>
      <c r="K1290" s="176"/>
      <c r="L1290" s="176"/>
      <c r="M1290" s="176"/>
      <c r="N1290" s="176"/>
      <c r="O1290" s="176"/>
      <c r="P1290" s="176"/>
      <c r="Q1290" s="176"/>
      <c r="R1290" s="176"/>
      <c r="S1290" s="176"/>
      <c r="T1290" s="176"/>
      <c r="U1290" s="176"/>
      <c r="V1290" s="176"/>
      <c r="W1290" s="176"/>
      <c r="X1290" s="176"/>
      <c r="Y1290" s="176"/>
    </row>
    <row r="1291" spans="1:25">
      <c r="A1291" s="91"/>
      <c r="B1291" s="176"/>
      <c r="C1291" s="176"/>
      <c r="D1291" s="176"/>
      <c r="E1291" s="176"/>
      <c r="F1291" s="176"/>
      <c r="G1291" s="176"/>
      <c r="H1291" s="176"/>
      <c r="I1291" s="176"/>
      <c r="J1291" s="176"/>
      <c r="K1291" s="176"/>
      <c r="L1291" s="176"/>
      <c r="M1291" s="176"/>
      <c r="N1291" s="176"/>
      <c r="O1291" s="176"/>
      <c r="P1291" s="176"/>
      <c r="Q1291" s="176"/>
      <c r="R1291" s="176"/>
      <c r="S1291" s="176"/>
      <c r="T1291" s="176"/>
      <c r="U1291" s="176"/>
      <c r="V1291" s="176"/>
      <c r="W1291" s="176"/>
      <c r="X1291" s="176"/>
      <c r="Y1291" s="176"/>
    </row>
    <row r="1292" spans="1:25">
      <c r="A1292" s="91"/>
      <c r="B1292" s="176"/>
      <c r="C1292" s="176"/>
      <c r="D1292" s="176"/>
      <c r="E1292" s="176"/>
      <c r="F1292" s="176"/>
      <c r="G1292" s="176"/>
      <c r="H1292" s="176"/>
      <c r="I1292" s="176"/>
      <c r="J1292" s="176"/>
      <c r="K1292" s="176"/>
      <c r="L1292" s="176"/>
      <c r="M1292" s="176"/>
      <c r="N1292" s="176"/>
      <c r="O1292" s="176"/>
      <c r="P1292" s="176"/>
      <c r="Q1292" s="176"/>
      <c r="R1292" s="176"/>
      <c r="S1292" s="176"/>
      <c r="T1292" s="176"/>
      <c r="U1292" s="176"/>
      <c r="V1292" s="176"/>
      <c r="W1292" s="176"/>
      <c r="X1292" s="176"/>
      <c r="Y1292" s="176"/>
    </row>
    <row r="1293" spans="1:25">
      <c r="A1293" s="91"/>
      <c r="B1293" s="176"/>
      <c r="C1293" s="176"/>
      <c r="D1293" s="176"/>
      <c r="E1293" s="176"/>
      <c r="F1293" s="176"/>
      <c r="G1293" s="176"/>
      <c r="H1293" s="176"/>
      <c r="I1293" s="176"/>
      <c r="J1293" s="176"/>
      <c r="K1293" s="176"/>
      <c r="L1293" s="176"/>
      <c r="M1293" s="176"/>
      <c r="N1293" s="176"/>
      <c r="O1293" s="176"/>
      <c r="P1293" s="176"/>
      <c r="Q1293" s="176"/>
      <c r="R1293" s="176"/>
      <c r="S1293" s="176"/>
      <c r="T1293" s="176"/>
      <c r="U1293" s="176"/>
      <c r="V1293" s="176"/>
      <c r="W1293" s="176"/>
      <c r="X1293" s="176"/>
      <c r="Y1293" s="176"/>
    </row>
    <row r="1294" spans="1:25">
      <c r="A1294" s="91"/>
      <c r="B1294" s="176"/>
      <c r="C1294" s="176"/>
      <c r="D1294" s="176"/>
      <c r="E1294" s="176"/>
      <c r="F1294" s="176"/>
      <c r="G1294" s="176"/>
      <c r="H1294" s="176"/>
      <c r="I1294" s="176"/>
      <c r="J1294" s="176"/>
      <c r="K1294" s="176"/>
      <c r="L1294" s="176"/>
      <c r="M1294" s="176"/>
      <c r="N1294" s="176"/>
      <c r="O1294" s="176"/>
      <c r="P1294" s="176"/>
      <c r="Q1294" s="176"/>
      <c r="R1294" s="176"/>
      <c r="S1294" s="176"/>
      <c r="T1294" s="176"/>
      <c r="U1294" s="176"/>
      <c r="V1294" s="176"/>
      <c r="W1294" s="176"/>
      <c r="X1294" s="176"/>
      <c r="Y1294" s="176"/>
    </row>
    <row r="1295" spans="1:25">
      <c r="A1295" s="91"/>
      <c r="B1295" s="176"/>
      <c r="C1295" s="176"/>
      <c r="D1295" s="176"/>
      <c r="E1295" s="176"/>
      <c r="F1295" s="176"/>
      <c r="G1295" s="176"/>
      <c r="H1295" s="176"/>
      <c r="I1295" s="176"/>
      <c r="J1295" s="176"/>
      <c r="K1295" s="176"/>
      <c r="L1295" s="176"/>
      <c r="M1295" s="176"/>
      <c r="N1295" s="176"/>
      <c r="O1295" s="176"/>
      <c r="P1295" s="176"/>
      <c r="Q1295" s="176"/>
      <c r="R1295" s="176"/>
      <c r="S1295" s="176"/>
      <c r="T1295" s="176"/>
      <c r="U1295" s="176"/>
      <c r="V1295" s="176"/>
      <c r="W1295" s="176"/>
      <c r="X1295" s="176"/>
      <c r="Y1295" s="176"/>
    </row>
    <row r="1296" spans="1:25">
      <c r="A1296" s="91"/>
      <c r="B1296" s="176"/>
      <c r="C1296" s="176"/>
      <c r="D1296" s="176"/>
      <c r="E1296" s="176"/>
      <c r="F1296" s="176"/>
      <c r="G1296" s="176"/>
      <c r="H1296" s="176"/>
      <c r="I1296" s="176"/>
      <c r="J1296" s="176"/>
      <c r="K1296" s="176"/>
      <c r="L1296" s="176"/>
      <c r="M1296" s="176"/>
      <c r="N1296" s="176"/>
      <c r="O1296" s="176"/>
      <c r="P1296" s="176"/>
      <c r="Q1296" s="176"/>
      <c r="R1296" s="176"/>
      <c r="S1296" s="176"/>
      <c r="T1296" s="176"/>
      <c r="U1296" s="176"/>
      <c r="V1296" s="176"/>
      <c r="W1296" s="176"/>
      <c r="X1296" s="176"/>
      <c r="Y1296" s="176"/>
    </row>
    <row r="1297" spans="1:25">
      <c r="A1297" s="91"/>
      <c r="B1297" s="176"/>
      <c r="C1297" s="176"/>
      <c r="D1297" s="176"/>
      <c r="E1297" s="176"/>
      <c r="F1297" s="176"/>
      <c r="G1297" s="176"/>
      <c r="H1297" s="176"/>
      <c r="I1297" s="176"/>
      <c r="J1297" s="176"/>
      <c r="K1297" s="176"/>
      <c r="L1297" s="176"/>
      <c r="M1297" s="176"/>
      <c r="N1297" s="176"/>
      <c r="O1297" s="176"/>
      <c r="P1297" s="176"/>
      <c r="Q1297" s="176"/>
      <c r="R1297" s="176"/>
      <c r="S1297" s="176"/>
      <c r="T1297" s="176"/>
      <c r="U1297" s="176"/>
      <c r="V1297" s="176"/>
      <c r="W1297" s="176"/>
      <c r="X1297" s="176"/>
      <c r="Y1297" s="176"/>
    </row>
    <row r="1298" spans="1:25">
      <c r="A1298" s="91"/>
      <c r="B1298" s="176"/>
      <c r="C1298" s="176"/>
      <c r="D1298" s="176"/>
      <c r="E1298" s="176"/>
      <c r="F1298" s="176"/>
      <c r="G1298" s="176"/>
      <c r="H1298" s="176"/>
      <c r="I1298" s="176"/>
      <c r="J1298" s="176"/>
      <c r="K1298" s="176"/>
      <c r="L1298" s="176"/>
      <c r="M1298" s="176"/>
      <c r="N1298" s="176"/>
      <c r="O1298" s="176"/>
      <c r="P1298" s="176"/>
      <c r="Q1298" s="176"/>
      <c r="R1298" s="176"/>
      <c r="S1298" s="176"/>
      <c r="T1298" s="176"/>
      <c r="U1298" s="176"/>
      <c r="V1298" s="176"/>
      <c r="W1298" s="176"/>
      <c r="X1298" s="176"/>
      <c r="Y1298" s="176"/>
    </row>
    <row r="1299" spans="1:25">
      <c r="A1299" s="91"/>
      <c r="B1299" s="176"/>
      <c r="C1299" s="176"/>
      <c r="D1299" s="176"/>
      <c r="E1299" s="176"/>
      <c r="F1299" s="176"/>
      <c r="G1299" s="176"/>
      <c r="H1299" s="176"/>
      <c r="I1299" s="176"/>
      <c r="J1299" s="176"/>
      <c r="K1299" s="176"/>
      <c r="L1299" s="176"/>
      <c r="M1299" s="176"/>
      <c r="N1299" s="176"/>
      <c r="O1299" s="176"/>
      <c r="P1299" s="176"/>
      <c r="Q1299" s="176"/>
      <c r="R1299" s="176"/>
      <c r="S1299" s="176"/>
      <c r="T1299" s="176"/>
      <c r="U1299" s="176"/>
      <c r="V1299" s="176"/>
      <c r="W1299" s="176"/>
      <c r="X1299" s="176"/>
      <c r="Y1299" s="176"/>
    </row>
    <row r="1300" spans="1:25">
      <c r="A1300" s="91"/>
      <c r="B1300" s="176"/>
      <c r="C1300" s="176"/>
      <c r="D1300" s="176"/>
      <c r="E1300" s="176"/>
      <c r="F1300" s="176"/>
      <c r="G1300" s="176"/>
      <c r="H1300" s="176"/>
      <c r="I1300" s="176"/>
      <c r="J1300" s="176"/>
      <c r="K1300" s="176"/>
      <c r="L1300" s="176"/>
      <c r="M1300" s="176"/>
      <c r="N1300" s="176"/>
      <c r="O1300" s="176"/>
      <c r="P1300" s="176"/>
      <c r="Q1300" s="176"/>
      <c r="R1300" s="176"/>
      <c r="S1300" s="176"/>
      <c r="T1300" s="176"/>
      <c r="U1300" s="176"/>
      <c r="V1300" s="176"/>
      <c r="W1300" s="176"/>
      <c r="X1300" s="176"/>
      <c r="Y1300" s="176"/>
    </row>
    <row r="1301" spans="1:25">
      <c r="A1301" s="91"/>
      <c r="B1301" s="176"/>
      <c r="C1301" s="176"/>
      <c r="D1301" s="176"/>
      <c r="E1301" s="176"/>
      <c r="F1301" s="176"/>
      <c r="G1301" s="176"/>
      <c r="H1301" s="176"/>
      <c r="I1301" s="176"/>
      <c r="J1301" s="176"/>
      <c r="K1301" s="176"/>
      <c r="L1301" s="176"/>
      <c r="M1301" s="176"/>
      <c r="N1301" s="176"/>
      <c r="O1301" s="176"/>
      <c r="P1301" s="176"/>
      <c r="Q1301" s="176"/>
      <c r="R1301" s="176"/>
      <c r="S1301" s="176"/>
      <c r="T1301" s="176"/>
      <c r="U1301" s="176"/>
      <c r="V1301" s="176"/>
      <c r="W1301" s="176"/>
      <c r="X1301" s="176"/>
      <c r="Y1301" s="176"/>
    </row>
    <row r="1302" spans="1:25">
      <c r="A1302" s="91"/>
      <c r="B1302" s="176"/>
      <c r="C1302" s="176"/>
      <c r="D1302" s="176"/>
      <c r="E1302" s="176"/>
      <c r="F1302" s="176"/>
      <c r="G1302" s="176"/>
      <c r="H1302" s="176"/>
      <c r="I1302" s="176"/>
      <c r="J1302" s="176"/>
      <c r="K1302" s="176"/>
      <c r="L1302" s="176"/>
      <c r="M1302" s="176"/>
      <c r="N1302" s="176"/>
      <c r="O1302" s="176"/>
      <c r="P1302" s="176"/>
      <c r="Q1302" s="176"/>
      <c r="R1302" s="176"/>
      <c r="S1302" s="176"/>
      <c r="T1302" s="176"/>
      <c r="U1302" s="176"/>
      <c r="V1302" s="176"/>
      <c r="W1302" s="176"/>
      <c r="X1302" s="176"/>
      <c r="Y1302" s="176"/>
    </row>
    <row r="1303" spans="1:25">
      <c r="A1303" s="91"/>
      <c r="B1303" s="176"/>
      <c r="C1303" s="176"/>
      <c r="D1303" s="176"/>
      <c r="E1303" s="176"/>
      <c r="F1303" s="176"/>
      <c r="G1303" s="176"/>
      <c r="H1303" s="176"/>
      <c r="I1303" s="176"/>
      <c r="J1303" s="176"/>
      <c r="K1303" s="176"/>
      <c r="L1303" s="176"/>
      <c r="M1303" s="176"/>
      <c r="N1303" s="176"/>
      <c r="O1303" s="176"/>
      <c r="P1303" s="176"/>
      <c r="Q1303" s="176"/>
      <c r="R1303" s="176"/>
      <c r="S1303" s="176"/>
      <c r="T1303" s="176"/>
      <c r="U1303" s="176"/>
      <c r="V1303" s="176"/>
      <c r="W1303" s="176"/>
      <c r="X1303" s="176"/>
      <c r="Y1303" s="176"/>
    </row>
    <row r="1304" spans="1:25">
      <c r="A1304" s="91"/>
      <c r="B1304" s="176"/>
      <c r="C1304" s="176"/>
      <c r="D1304" s="176"/>
      <c r="E1304" s="176"/>
      <c r="F1304" s="176"/>
      <c r="G1304" s="176"/>
      <c r="H1304" s="176"/>
      <c r="I1304" s="176"/>
      <c r="J1304" s="176"/>
      <c r="K1304" s="176"/>
      <c r="L1304" s="176"/>
      <c r="M1304" s="176"/>
      <c r="N1304" s="176"/>
      <c r="O1304" s="176"/>
      <c r="P1304" s="176"/>
      <c r="Q1304" s="176"/>
      <c r="R1304" s="176"/>
      <c r="S1304" s="176"/>
      <c r="T1304" s="176"/>
      <c r="U1304" s="176"/>
      <c r="V1304" s="176"/>
      <c r="W1304" s="176"/>
      <c r="X1304" s="176"/>
      <c r="Y1304" s="176"/>
    </row>
    <row r="1305" spans="1:25">
      <c r="A1305" s="91"/>
      <c r="B1305" s="176"/>
      <c r="C1305" s="176"/>
      <c r="D1305" s="176"/>
      <c r="E1305" s="176"/>
      <c r="F1305" s="176"/>
      <c r="G1305" s="176"/>
      <c r="H1305" s="176"/>
      <c r="I1305" s="176"/>
      <c r="J1305" s="176"/>
      <c r="K1305" s="176"/>
      <c r="L1305" s="176"/>
      <c r="M1305" s="176"/>
      <c r="N1305" s="176"/>
      <c r="O1305" s="176"/>
      <c r="P1305" s="176"/>
      <c r="Q1305" s="176"/>
      <c r="R1305" s="176"/>
      <c r="S1305" s="176"/>
      <c r="T1305" s="176"/>
      <c r="U1305" s="176"/>
      <c r="V1305" s="176"/>
      <c r="W1305" s="176"/>
      <c r="X1305" s="176"/>
      <c r="Y1305" s="176"/>
    </row>
    <row r="1306" spans="1:25">
      <c r="A1306" s="91"/>
      <c r="B1306" s="176"/>
      <c r="C1306" s="176"/>
      <c r="D1306" s="176"/>
      <c r="E1306" s="176"/>
      <c r="F1306" s="176"/>
      <c r="G1306" s="176"/>
      <c r="H1306" s="176"/>
      <c r="I1306" s="176"/>
      <c r="J1306" s="176"/>
      <c r="K1306" s="176"/>
      <c r="L1306" s="176"/>
      <c r="M1306" s="176"/>
      <c r="N1306" s="176"/>
      <c r="O1306" s="176"/>
      <c r="P1306" s="176"/>
      <c r="Q1306" s="176"/>
      <c r="R1306" s="176"/>
      <c r="S1306" s="176"/>
      <c r="T1306" s="176"/>
      <c r="U1306" s="176"/>
      <c r="V1306" s="176"/>
      <c r="W1306" s="176"/>
      <c r="X1306" s="176"/>
      <c r="Y1306" s="176"/>
    </row>
    <row r="1307" spans="1:25">
      <c r="A1307" s="91"/>
      <c r="B1307" s="176"/>
      <c r="C1307" s="176"/>
      <c r="D1307" s="176"/>
      <c r="E1307" s="176"/>
      <c r="F1307" s="176"/>
      <c r="G1307" s="176"/>
      <c r="H1307" s="176"/>
      <c r="I1307" s="176"/>
      <c r="J1307" s="176"/>
      <c r="K1307" s="176"/>
      <c r="L1307" s="176"/>
      <c r="M1307" s="176"/>
      <c r="N1307" s="176"/>
      <c r="O1307" s="176"/>
      <c r="P1307" s="176"/>
      <c r="Q1307" s="176"/>
      <c r="R1307" s="176"/>
      <c r="S1307" s="176"/>
      <c r="T1307" s="176"/>
      <c r="U1307" s="176"/>
      <c r="V1307" s="176"/>
      <c r="W1307" s="176"/>
      <c r="X1307" s="176"/>
      <c r="Y1307" s="176"/>
    </row>
    <row r="1308" spans="1:25">
      <c r="A1308" s="91"/>
      <c r="B1308" s="176"/>
      <c r="C1308" s="176"/>
      <c r="D1308" s="176"/>
      <c r="E1308" s="176"/>
      <c r="F1308" s="176"/>
      <c r="G1308" s="176"/>
      <c r="H1308" s="176"/>
      <c r="I1308" s="176"/>
      <c r="J1308" s="176"/>
      <c r="K1308" s="176"/>
      <c r="L1308" s="176"/>
      <c r="M1308" s="176"/>
      <c r="N1308" s="176"/>
      <c r="O1308" s="176"/>
      <c r="P1308" s="176"/>
      <c r="Q1308" s="176"/>
      <c r="R1308" s="176"/>
      <c r="S1308" s="176"/>
      <c r="T1308" s="176"/>
      <c r="U1308" s="176"/>
      <c r="V1308" s="176"/>
      <c r="W1308" s="176"/>
      <c r="X1308" s="176"/>
      <c r="Y1308" s="176"/>
    </row>
    <row r="1309" spans="1:25">
      <c r="A1309" s="91"/>
      <c r="B1309" s="176"/>
      <c r="C1309" s="176"/>
      <c r="D1309" s="176"/>
      <c r="E1309" s="176"/>
      <c r="F1309" s="176"/>
      <c r="G1309" s="176"/>
      <c r="H1309" s="176"/>
      <c r="I1309" s="176"/>
      <c r="J1309" s="176"/>
      <c r="K1309" s="176"/>
      <c r="L1309" s="176"/>
      <c r="M1309" s="176"/>
      <c r="N1309" s="176"/>
      <c r="O1309" s="176"/>
      <c r="P1309" s="176"/>
      <c r="Q1309" s="176"/>
      <c r="R1309" s="176"/>
      <c r="S1309" s="176"/>
      <c r="T1309" s="176"/>
      <c r="U1309" s="176"/>
      <c r="V1309" s="176"/>
      <c r="W1309" s="176"/>
      <c r="X1309" s="176"/>
      <c r="Y1309" s="176"/>
    </row>
    <row r="1310" spans="1:25">
      <c r="A1310" s="91"/>
      <c r="B1310" s="176"/>
      <c r="C1310" s="176"/>
      <c r="D1310" s="176"/>
      <c r="E1310" s="176"/>
      <c r="F1310" s="176"/>
      <c r="G1310" s="176"/>
      <c r="H1310" s="176"/>
      <c r="I1310" s="176"/>
      <c r="J1310" s="176"/>
      <c r="K1310" s="176"/>
      <c r="L1310" s="176"/>
      <c r="M1310" s="176"/>
      <c r="N1310" s="176"/>
      <c r="O1310" s="176"/>
      <c r="P1310" s="176"/>
      <c r="Q1310" s="176"/>
      <c r="R1310" s="176"/>
      <c r="S1310" s="176"/>
      <c r="T1310" s="176"/>
      <c r="U1310" s="176"/>
      <c r="V1310" s="176"/>
      <c r="W1310" s="176"/>
      <c r="X1310" s="176"/>
      <c r="Y1310" s="176"/>
    </row>
    <row r="1311" spans="1:25">
      <c r="A1311" s="91"/>
      <c r="B1311" s="176"/>
      <c r="C1311" s="176"/>
      <c r="D1311" s="176"/>
      <c r="E1311" s="176"/>
      <c r="F1311" s="176"/>
      <c r="G1311" s="176"/>
      <c r="H1311" s="176"/>
      <c r="I1311" s="176"/>
      <c r="J1311" s="176"/>
      <c r="K1311" s="176"/>
      <c r="L1311" s="176"/>
      <c r="M1311" s="176"/>
      <c r="N1311" s="176"/>
      <c r="O1311" s="176"/>
      <c r="P1311" s="176"/>
      <c r="Q1311" s="176"/>
      <c r="R1311" s="176"/>
      <c r="S1311" s="176"/>
      <c r="T1311" s="176"/>
      <c r="U1311" s="176"/>
      <c r="V1311" s="176"/>
      <c r="W1311" s="176"/>
      <c r="X1311" s="176"/>
      <c r="Y1311" s="176"/>
    </row>
    <row r="1312" spans="1:25">
      <c r="A1312" s="91"/>
      <c r="B1312" s="176"/>
      <c r="C1312" s="176"/>
      <c r="D1312" s="176"/>
      <c r="E1312" s="176"/>
      <c r="F1312" s="176"/>
      <c r="G1312" s="176"/>
      <c r="H1312" s="176"/>
      <c r="I1312" s="176"/>
      <c r="J1312" s="176"/>
      <c r="K1312" s="176"/>
      <c r="L1312" s="176"/>
      <c r="M1312" s="176"/>
      <c r="N1312" s="176"/>
      <c r="O1312" s="176"/>
      <c r="P1312" s="176"/>
      <c r="Q1312" s="176"/>
      <c r="R1312" s="176"/>
      <c r="S1312" s="176"/>
      <c r="T1312" s="176"/>
      <c r="U1312" s="176"/>
      <c r="V1312" s="176"/>
      <c r="W1312" s="176"/>
      <c r="X1312" s="176"/>
      <c r="Y1312" s="176"/>
    </row>
    <row r="1313" spans="1:25">
      <c r="A1313" s="91"/>
      <c r="B1313" s="176"/>
      <c r="C1313" s="176"/>
      <c r="D1313" s="176"/>
      <c r="E1313" s="176"/>
      <c r="F1313" s="176"/>
      <c r="G1313" s="176"/>
      <c r="H1313" s="176"/>
      <c r="I1313" s="176"/>
      <c r="J1313" s="176"/>
      <c r="K1313" s="176"/>
      <c r="L1313" s="176"/>
      <c r="M1313" s="176"/>
      <c r="N1313" s="176"/>
      <c r="O1313" s="176"/>
      <c r="P1313" s="176"/>
      <c r="Q1313" s="176"/>
      <c r="R1313" s="176"/>
      <c r="S1313" s="176"/>
      <c r="T1313" s="176"/>
      <c r="U1313" s="176"/>
      <c r="V1313" s="176"/>
      <c r="W1313" s="176"/>
      <c r="X1313" s="176"/>
      <c r="Y1313" s="176"/>
    </row>
    <row r="1314" spans="1:25">
      <c r="A1314" s="91"/>
      <c r="B1314" s="176"/>
      <c r="C1314" s="176"/>
      <c r="D1314" s="176"/>
      <c r="E1314" s="176"/>
      <c r="F1314" s="176"/>
      <c r="G1314" s="176"/>
      <c r="H1314" s="176"/>
      <c r="I1314" s="176"/>
      <c r="J1314" s="176"/>
      <c r="K1314" s="176"/>
      <c r="L1314" s="176"/>
      <c r="M1314" s="176"/>
      <c r="N1314" s="176"/>
      <c r="O1314" s="176"/>
      <c r="P1314" s="176"/>
      <c r="Q1314" s="176"/>
      <c r="R1314" s="176"/>
      <c r="S1314" s="176"/>
      <c r="T1314" s="176"/>
      <c r="U1314" s="176"/>
      <c r="V1314" s="176"/>
      <c r="W1314" s="176"/>
      <c r="X1314" s="176"/>
      <c r="Y1314" s="176"/>
    </row>
    <row r="1315" spans="1:25">
      <c r="A1315" s="91"/>
      <c r="B1315" s="176"/>
      <c r="C1315" s="176"/>
      <c r="D1315" s="176"/>
      <c r="E1315" s="176"/>
      <c r="F1315" s="176"/>
      <c r="G1315" s="176"/>
      <c r="H1315" s="176"/>
      <c r="I1315" s="176"/>
      <c r="J1315" s="176"/>
      <c r="K1315" s="176"/>
      <c r="L1315" s="176"/>
      <c r="M1315" s="176"/>
      <c r="N1315" s="176"/>
      <c r="O1315" s="176"/>
      <c r="P1315" s="176"/>
      <c r="Q1315" s="176"/>
      <c r="R1315" s="176"/>
      <c r="S1315" s="176"/>
      <c r="T1315" s="176"/>
      <c r="U1315" s="176"/>
      <c r="V1315" s="176"/>
      <c r="W1315" s="176"/>
      <c r="X1315" s="176"/>
      <c r="Y1315" s="176"/>
    </row>
    <row r="1316" spans="1:25">
      <c r="A1316" s="91"/>
      <c r="B1316" s="176"/>
      <c r="C1316" s="176"/>
      <c r="D1316" s="176"/>
      <c r="E1316" s="176"/>
      <c r="F1316" s="176"/>
      <c r="G1316" s="176"/>
      <c r="H1316" s="176"/>
      <c r="I1316" s="176"/>
      <c r="J1316" s="176"/>
      <c r="K1316" s="176"/>
      <c r="L1316" s="176"/>
      <c r="M1316" s="176"/>
      <c r="N1316" s="176"/>
      <c r="O1316" s="176"/>
      <c r="P1316" s="176"/>
      <c r="Q1316" s="176"/>
      <c r="R1316" s="176"/>
      <c r="S1316" s="176"/>
      <c r="T1316" s="176"/>
      <c r="U1316" s="176"/>
      <c r="V1316" s="176"/>
      <c r="W1316" s="176"/>
      <c r="X1316" s="176"/>
      <c r="Y1316" s="176"/>
    </row>
    <row r="1317" spans="1:25">
      <c r="A1317" s="91"/>
      <c r="B1317" s="176"/>
      <c r="C1317" s="176"/>
      <c r="D1317" s="176"/>
      <c r="E1317" s="176"/>
      <c r="F1317" s="176"/>
      <c r="G1317" s="176"/>
      <c r="H1317" s="176"/>
      <c r="I1317" s="176"/>
      <c r="J1317" s="176"/>
      <c r="K1317" s="176"/>
      <c r="L1317" s="176"/>
      <c r="M1317" s="176"/>
      <c r="N1317" s="176"/>
      <c r="O1317" s="176"/>
      <c r="P1317" s="176"/>
      <c r="Q1317" s="176"/>
      <c r="R1317" s="176"/>
      <c r="S1317" s="176"/>
      <c r="T1317" s="176"/>
      <c r="U1317" s="176"/>
      <c r="V1317" s="176"/>
      <c r="W1317" s="176"/>
      <c r="X1317" s="176"/>
      <c r="Y1317" s="176"/>
    </row>
    <row r="1318" spans="1:25">
      <c r="A1318" s="91"/>
      <c r="B1318" s="176"/>
      <c r="C1318" s="176"/>
      <c r="D1318" s="176"/>
      <c r="E1318" s="176"/>
      <c r="F1318" s="176"/>
      <c r="G1318" s="176"/>
      <c r="H1318" s="176"/>
      <c r="I1318" s="176"/>
      <c r="J1318" s="176"/>
      <c r="K1318" s="176"/>
      <c r="L1318" s="176"/>
      <c r="M1318" s="176"/>
      <c r="N1318" s="176"/>
      <c r="O1318" s="176"/>
      <c r="P1318" s="176"/>
      <c r="Q1318" s="176"/>
      <c r="R1318" s="176"/>
      <c r="S1318" s="176"/>
      <c r="T1318" s="176"/>
      <c r="U1318" s="176"/>
      <c r="V1318" s="176"/>
      <c r="W1318" s="176"/>
      <c r="X1318" s="176"/>
      <c r="Y1318" s="176"/>
    </row>
    <row r="1319" spans="1:25">
      <c r="A1319" s="91"/>
      <c r="B1319" s="176"/>
      <c r="C1319" s="176"/>
      <c r="D1319" s="176"/>
      <c r="E1319" s="176"/>
      <c r="F1319" s="176"/>
      <c r="G1319" s="176"/>
      <c r="H1319" s="176"/>
      <c r="I1319" s="176"/>
      <c r="J1319" s="176"/>
      <c r="K1319" s="176"/>
      <c r="L1319" s="176"/>
      <c r="M1319" s="176"/>
      <c r="N1319" s="176"/>
      <c r="O1319" s="176"/>
      <c r="P1319" s="176"/>
      <c r="Q1319" s="176"/>
      <c r="R1319" s="176"/>
      <c r="S1319" s="176"/>
      <c r="T1319" s="176"/>
      <c r="U1319" s="176"/>
      <c r="V1319" s="176"/>
      <c r="W1319" s="176"/>
      <c r="X1319" s="176"/>
      <c r="Y1319" s="176"/>
    </row>
    <row r="1320" spans="1:25">
      <c r="A1320" s="91"/>
      <c r="B1320" s="176"/>
      <c r="C1320" s="176"/>
      <c r="D1320" s="176"/>
      <c r="E1320" s="176"/>
      <c r="F1320" s="176"/>
      <c r="G1320" s="176"/>
      <c r="H1320" s="176"/>
      <c r="I1320" s="176"/>
      <c r="J1320" s="176"/>
      <c r="K1320" s="176"/>
      <c r="L1320" s="176"/>
      <c r="M1320" s="176"/>
      <c r="N1320" s="176"/>
      <c r="O1320" s="176"/>
      <c r="P1320" s="176"/>
      <c r="Q1320" s="176"/>
      <c r="R1320" s="176"/>
      <c r="S1320" s="176"/>
      <c r="T1320" s="176"/>
      <c r="U1320" s="176"/>
      <c r="V1320" s="176"/>
      <c r="W1320" s="176"/>
      <c r="X1320" s="176"/>
      <c r="Y1320" s="176"/>
    </row>
    <row r="1321" spans="1:25">
      <c r="A1321" s="91"/>
      <c r="B1321" s="176"/>
      <c r="C1321" s="176"/>
      <c r="D1321" s="176"/>
      <c r="E1321" s="176"/>
      <c r="F1321" s="176"/>
      <c r="G1321" s="176"/>
      <c r="H1321" s="176"/>
      <c r="I1321" s="176"/>
      <c r="J1321" s="176"/>
      <c r="K1321" s="176"/>
      <c r="L1321" s="176"/>
      <c r="M1321" s="176"/>
      <c r="N1321" s="176"/>
      <c r="O1321" s="176"/>
      <c r="P1321" s="176"/>
      <c r="Q1321" s="176"/>
      <c r="R1321" s="176"/>
      <c r="S1321" s="176"/>
      <c r="T1321" s="176"/>
      <c r="U1321" s="176"/>
      <c r="V1321" s="176"/>
      <c r="W1321" s="176"/>
      <c r="X1321" s="176"/>
      <c r="Y1321" s="176"/>
    </row>
    <row r="1322" spans="1:25">
      <c r="A1322" s="91"/>
      <c r="B1322" s="176"/>
      <c r="C1322" s="176"/>
      <c r="D1322" s="176"/>
      <c r="E1322" s="176"/>
      <c r="F1322" s="176"/>
      <c r="G1322" s="176"/>
      <c r="H1322" s="176"/>
      <c r="I1322" s="176"/>
      <c r="J1322" s="176"/>
      <c r="K1322" s="176"/>
      <c r="L1322" s="176"/>
      <c r="M1322" s="176"/>
      <c r="N1322" s="176"/>
      <c r="O1322" s="176"/>
      <c r="P1322" s="176"/>
      <c r="Q1322" s="176"/>
      <c r="R1322" s="176"/>
      <c r="S1322" s="176"/>
      <c r="T1322" s="176"/>
      <c r="U1322" s="176"/>
      <c r="V1322" s="176"/>
      <c r="W1322" s="176"/>
      <c r="X1322" s="176"/>
      <c r="Y1322" s="176"/>
    </row>
    <row r="1323" spans="1:25">
      <c r="A1323" s="91"/>
      <c r="B1323" s="176"/>
      <c r="C1323" s="176"/>
      <c r="D1323" s="176"/>
      <c r="E1323" s="176"/>
      <c r="F1323" s="176"/>
      <c r="G1323" s="176"/>
      <c r="H1323" s="176"/>
      <c r="I1323" s="176"/>
      <c r="J1323" s="176"/>
      <c r="K1323" s="176"/>
      <c r="L1323" s="176"/>
      <c r="M1323" s="176"/>
      <c r="N1323" s="176"/>
      <c r="O1323" s="176"/>
      <c r="P1323" s="176"/>
      <c r="Q1323" s="176"/>
      <c r="R1323" s="176"/>
      <c r="S1323" s="176"/>
      <c r="T1323" s="176"/>
      <c r="U1323" s="176"/>
      <c r="V1323" s="176"/>
      <c r="W1323" s="176"/>
      <c r="X1323" s="176"/>
      <c r="Y1323" s="176"/>
    </row>
    <row r="1324" spans="1:25">
      <c r="A1324" s="91"/>
      <c r="B1324" s="176"/>
      <c r="C1324" s="176"/>
      <c r="D1324" s="176"/>
      <c r="E1324" s="176"/>
      <c r="F1324" s="176"/>
      <c r="G1324" s="176"/>
      <c r="H1324" s="176"/>
      <c r="I1324" s="176"/>
      <c r="J1324" s="176"/>
      <c r="K1324" s="176"/>
      <c r="L1324" s="176"/>
      <c r="M1324" s="176"/>
      <c r="N1324" s="176"/>
      <c r="O1324" s="176"/>
      <c r="P1324" s="176"/>
      <c r="Q1324" s="176"/>
      <c r="R1324" s="176"/>
      <c r="S1324" s="176"/>
      <c r="T1324" s="176"/>
      <c r="U1324" s="176"/>
      <c r="V1324" s="176"/>
      <c r="W1324" s="176"/>
      <c r="X1324" s="176"/>
      <c r="Y1324" s="176"/>
    </row>
    <row r="1325" spans="1:25">
      <c r="A1325" s="91"/>
      <c r="B1325" s="176"/>
      <c r="C1325" s="176"/>
      <c r="D1325" s="176"/>
      <c r="E1325" s="176"/>
      <c r="F1325" s="176"/>
      <c r="G1325" s="176"/>
      <c r="H1325" s="176"/>
      <c r="I1325" s="176"/>
      <c r="J1325" s="176"/>
      <c r="K1325" s="176"/>
      <c r="L1325" s="176"/>
      <c r="M1325" s="176"/>
      <c r="N1325" s="176"/>
      <c r="O1325" s="176"/>
      <c r="P1325" s="176"/>
      <c r="Q1325" s="176"/>
      <c r="R1325" s="176"/>
      <c r="S1325" s="176"/>
      <c r="T1325" s="176"/>
      <c r="U1325" s="176"/>
      <c r="V1325" s="176"/>
      <c r="W1325" s="176"/>
      <c r="X1325" s="176"/>
      <c r="Y1325" s="176"/>
    </row>
    <row r="1326" spans="1:25">
      <c r="A1326" s="91"/>
      <c r="B1326" s="176"/>
      <c r="C1326" s="176"/>
      <c r="D1326" s="176"/>
      <c r="E1326" s="176"/>
      <c r="F1326" s="176"/>
      <c r="G1326" s="176"/>
      <c r="H1326" s="176"/>
      <c r="I1326" s="176"/>
      <c r="J1326" s="176"/>
      <c r="K1326" s="176"/>
      <c r="L1326" s="176"/>
      <c r="M1326" s="176"/>
      <c r="N1326" s="176"/>
      <c r="O1326" s="176"/>
      <c r="P1326" s="176"/>
      <c r="Q1326" s="176"/>
      <c r="R1326" s="176"/>
      <c r="S1326" s="176"/>
      <c r="T1326" s="176"/>
      <c r="U1326" s="176"/>
      <c r="V1326" s="176"/>
      <c r="W1326" s="176"/>
      <c r="X1326" s="176"/>
      <c r="Y1326" s="176"/>
    </row>
    <row r="1327" spans="1:25">
      <c r="A1327" s="91"/>
      <c r="B1327" s="176"/>
      <c r="C1327" s="176"/>
      <c r="D1327" s="176"/>
      <c r="E1327" s="176"/>
      <c r="F1327" s="176"/>
      <c r="G1327" s="176"/>
      <c r="H1327" s="176"/>
      <c r="I1327" s="176"/>
      <c r="J1327" s="176"/>
      <c r="K1327" s="176"/>
      <c r="L1327" s="176"/>
      <c r="M1327" s="176"/>
      <c r="N1327" s="176"/>
      <c r="O1327" s="176"/>
      <c r="P1327" s="176"/>
      <c r="Q1327" s="176"/>
      <c r="R1327" s="176"/>
      <c r="S1327" s="176"/>
      <c r="T1327" s="176"/>
      <c r="U1327" s="176"/>
      <c r="V1327" s="176"/>
      <c r="W1327" s="176"/>
      <c r="X1327" s="176"/>
      <c r="Y1327" s="176"/>
    </row>
    <row r="1328" spans="1:25">
      <c r="A1328" s="91"/>
      <c r="B1328" s="176"/>
      <c r="C1328" s="176"/>
      <c r="D1328" s="176"/>
      <c r="E1328" s="176"/>
      <c r="F1328" s="176"/>
      <c r="G1328" s="176"/>
      <c r="H1328" s="176"/>
      <c r="I1328" s="176"/>
      <c r="J1328" s="176"/>
      <c r="K1328" s="176"/>
      <c r="L1328" s="176"/>
      <c r="M1328" s="176"/>
      <c r="N1328" s="176"/>
      <c r="O1328" s="176"/>
      <c r="P1328" s="176"/>
      <c r="Q1328" s="176"/>
      <c r="R1328" s="176"/>
      <c r="S1328" s="176"/>
      <c r="T1328" s="176"/>
      <c r="U1328" s="176"/>
      <c r="V1328" s="176"/>
      <c r="W1328" s="176"/>
      <c r="X1328" s="176"/>
      <c r="Y1328" s="176"/>
    </row>
    <row r="1329" spans="1:25">
      <c r="A1329" s="91"/>
      <c r="B1329" s="176"/>
      <c r="C1329" s="176"/>
      <c r="D1329" s="176"/>
      <c r="E1329" s="176"/>
      <c r="F1329" s="176"/>
      <c r="G1329" s="176"/>
      <c r="H1329" s="176"/>
      <c r="I1329" s="176"/>
      <c r="J1329" s="176"/>
      <c r="K1329" s="176"/>
      <c r="L1329" s="176"/>
      <c r="M1329" s="176"/>
      <c r="N1329" s="176"/>
      <c r="O1329" s="176"/>
      <c r="P1329" s="176"/>
      <c r="Q1329" s="176"/>
      <c r="R1329" s="176"/>
      <c r="S1329" s="176"/>
      <c r="T1329" s="176"/>
      <c r="U1329" s="176"/>
      <c r="V1329" s="176"/>
      <c r="W1329" s="176"/>
      <c r="X1329" s="176"/>
      <c r="Y1329" s="176"/>
    </row>
    <row r="1330" spans="1:25">
      <c r="A1330" s="91"/>
      <c r="B1330" s="176"/>
      <c r="C1330" s="176"/>
      <c r="D1330" s="176"/>
      <c r="E1330" s="176"/>
      <c r="F1330" s="176"/>
      <c r="G1330" s="176"/>
      <c r="H1330" s="176"/>
      <c r="I1330" s="176"/>
      <c r="J1330" s="176"/>
      <c r="K1330" s="176"/>
      <c r="L1330" s="176"/>
      <c r="M1330" s="176"/>
      <c r="N1330" s="176"/>
      <c r="O1330" s="176"/>
      <c r="P1330" s="176"/>
      <c r="Q1330" s="176"/>
      <c r="R1330" s="176"/>
      <c r="S1330" s="176"/>
      <c r="T1330" s="176"/>
      <c r="U1330" s="176"/>
      <c r="V1330" s="176"/>
      <c r="W1330" s="176"/>
      <c r="X1330" s="176"/>
      <c r="Y1330" s="176"/>
    </row>
    <row r="1331" spans="1:25">
      <c r="A1331" s="91"/>
      <c r="B1331" s="176"/>
      <c r="C1331" s="176"/>
      <c r="D1331" s="176"/>
      <c r="E1331" s="176"/>
      <c r="F1331" s="176"/>
      <c r="G1331" s="176"/>
      <c r="H1331" s="176"/>
      <c r="I1331" s="176"/>
      <c r="J1331" s="176"/>
      <c r="K1331" s="176"/>
      <c r="L1331" s="176"/>
      <c r="M1331" s="176"/>
      <c r="N1331" s="176"/>
      <c r="O1331" s="176"/>
      <c r="P1331" s="176"/>
      <c r="Q1331" s="176"/>
      <c r="R1331" s="176"/>
      <c r="S1331" s="176"/>
      <c r="T1331" s="176"/>
      <c r="U1331" s="176"/>
      <c r="V1331" s="176"/>
      <c r="W1331" s="176"/>
      <c r="X1331" s="176"/>
      <c r="Y1331" s="176"/>
    </row>
    <row r="1332" spans="1:25">
      <c r="A1332" s="91"/>
      <c r="B1332" s="176"/>
      <c r="C1332" s="176"/>
      <c r="D1332" s="176"/>
      <c r="E1332" s="176"/>
      <c r="F1332" s="176"/>
      <c r="G1332" s="176"/>
      <c r="H1332" s="176"/>
      <c r="I1332" s="176"/>
      <c r="J1332" s="176"/>
      <c r="K1332" s="176"/>
      <c r="L1332" s="176"/>
      <c r="M1332" s="176"/>
      <c r="N1332" s="176"/>
      <c r="O1332" s="176"/>
      <c r="P1332" s="176"/>
      <c r="Q1332" s="176"/>
      <c r="R1332" s="176"/>
      <c r="S1332" s="176"/>
      <c r="T1332" s="176"/>
      <c r="U1332" s="176"/>
      <c r="V1332" s="176"/>
      <c r="W1332" s="176"/>
      <c r="X1332" s="176"/>
      <c r="Y1332" s="176"/>
    </row>
    <row r="1333" spans="1:25">
      <c r="A1333" s="91"/>
      <c r="B1333" s="176"/>
      <c r="C1333" s="176"/>
      <c r="D1333" s="176"/>
      <c r="E1333" s="176"/>
      <c r="F1333" s="176"/>
      <c r="G1333" s="176"/>
      <c r="H1333" s="176"/>
      <c r="I1333" s="176"/>
      <c r="J1333" s="176"/>
      <c r="K1333" s="176"/>
      <c r="L1333" s="176"/>
      <c r="M1333" s="176"/>
      <c r="N1333" s="176"/>
      <c r="O1333" s="176"/>
      <c r="P1333" s="176"/>
      <c r="Q1333" s="176"/>
      <c r="R1333" s="176"/>
      <c r="S1333" s="176"/>
      <c r="T1333" s="176"/>
      <c r="U1333" s="176"/>
      <c r="V1333" s="176"/>
      <c r="W1333" s="176"/>
      <c r="X1333" s="176"/>
      <c r="Y1333" s="176"/>
    </row>
    <row r="1334" spans="1:25">
      <c r="A1334" s="91"/>
      <c r="B1334" s="176"/>
      <c r="C1334" s="176"/>
      <c r="D1334" s="176"/>
      <c r="E1334" s="176"/>
      <c r="F1334" s="176"/>
      <c r="G1334" s="176"/>
      <c r="H1334" s="176"/>
      <c r="I1334" s="176"/>
      <c r="J1334" s="176"/>
      <c r="K1334" s="176"/>
      <c r="L1334" s="176"/>
      <c r="M1334" s="176"/>
      <c r="N1334" s="176"/>
      <c r="O1334" s="176"/>
      <c r="P1334" s="176"/>
      <c r="Q1334" s="176"/>
      <c r="R1334" s="176"/>
      <c r="S1334" s="176"/>
      <c r="T1334" s="176"/>
      <c r="U1334" s="176"/>
      <c r="V1334" s="176"/>
      <c r="W1334" s="176"/>
      <c r="X1334" s="176"/>
      <c r="Y1334" s="176"/>
    </row>
    <row r="1335" spans="1:25">
      <c r="A1335" s="91"/>
      <c r="B1335" s="176"/>
      <c r="C1335" s="176"/>
      <c r="D1335" s="176"/>
      <c r="E1335" s="176"/>
      <c r="F1335" s="176"/>
      <c r="G1335" s="176"/>
      <c r="H1335" s="176"/>
      <c r="I1335" s="176"/>
      <c r="J1335" s="176"/>
      <c r="K1335" s="176"/>
      <c r="L1335" s="176"/>
      <c r="M1335" s="176"/>
      <c r="N1335" s="176"/>
      <c r="O1335" s="176"/>
      <c r="P1335" s="176"/>
      <c r="Q1335" s="176"/>
      <c r="R1335" s="176"/>
      <c r="S1335" s="176"/>
      <c r="T1335" s="176"/>
      <c r="U1335" s="176"/>
      <c r="V1335" s="176"/>
      <c r="W1335" s="176"/>
      <c r="X1335" s="176"/>
      <c r="Y1335" s="176"/>
    </row>
    <row r="1336" spans="1:25">
      <c r="A1336" s="91"/>
      <c r="B1336" s="176"/>
      <c r="C1336" s="176"/>
      <c r="D1336" s="176"/>
      <c r="E1336" s="176"/>
      <c r="F1336" s="176"/>
      <c r="G1336" s="176"/>
      <c r="H1336" s="176"/>
      <c r="I1336" s="176"/>
      <c r="J1336" s="176"/>
      <c r="K1336" s="176"/>
      <c r="L1336" s="176"/>
      <c r="M1336" s="176"/>
      <c r="N1336" s="176"/>
      <c r="O1336" s="176"/>
      <c r="P1336" s="176"/>
      <c r="Q1336" s="176"/>
      <c r="R1336" s="176"/>
      <c r="S1336" s="176"/>
      <c r="T1336" s="176"/>
      <c r="U1336" s="176"/>
      <c r="V1336" s="176"/>
      <c r="W1336" s="176"/>
      <c r="X1336" s="176"/>
      <c r="Y1336" s="176"/>
    </row>
    <row r="1337" spans="1:25">
      <c r="A1337" s="91"/>
      <c r="B1337" s="176"/>
      <c r="C1337" s="176"/>
      <c r="D1337" s="176"/>
      <c r="E1337" s="176"/>
      <c r="F1337" s="176"/>
      <c r="G1337" s="176"/>
      <c r="H1337" s="176"/>
      <c r="I1337" s="176"/>
      <c r="J1337" s="176"/>
      <c r="K1337" s="176"/>
      <c r="L1337" s="176"/>
      <c r="M1337" s="176"/>
      <c r="N1337" s="176"/>
      <c r="O1337" s="176"/>
      <c r="P1337" s="176"/>
      <c r="Q1337" s="176"/>
      <c r="R1337" s="176"/>
      <c r="S1337" s="176"/>
      <c r="T1337" s="176"/>
      <c r="U1337" s="176"/>
      <c r="V1337" s="176"/>
      <c r="W1337" s="176"/>
      <c r="X1337" s="176"/>
      <c r="Y1337" s="176"/>
    </row>
    <row r="1338" spans="1:25">
      <c r="A1338" s="91"/>
      <c r="B1338" s="176"/>
      <c r="C1338" s="176"/>
      <c r="D1338" s="176"/>
      <c r="E1338" s="176"/>
      <c r="F1338" s="176"/>
      <c r="G1338" s="176"/>
      <c r="H1338" s="176"/>
      <c r="I1338" s="176"/>
      <c r="J1338" s="176"/>
      <c r="K1338" s="176"/>
      <c r="L1338" s="176"/>
      <c r="M1338" s="176"/>
      <c r="N1338" s="176"/>
      <c r="O1338" s="176"/>
      <c r="P1338" s="176"/>
      <c r="Q1338" s="176"/>
      <c r="R1338" s="176"/>
      <c r="S1338" s="176"/>
      <c r="T1338" s="176"/>
      <c r="U1338" s="176"/>
      <c r="V1338" s="176"/>
      <c r="W1338" s="176"/>
      <c r="X1338" s="176"/>
      <c r="Y1338" s="176"/>
    </row>
    <row r="1339" spans="1:25">
      <c r="A1339" s="91"/>
      <c r="B1339" s="176"/>
      <c r="C1339" s="176"/>
      <c r="D1339" s="176"/>
      <c r="E1339" s="176"/>
      <c r="F1339" s="176"/>
      <c r="G1339" s="176"/>
      <c r="H1339" s="176"/>
      <c r="I1339" s="176"/>
      <c r="J1339" s="176"/>
      <c r="K1339" s="176"/>
      <c r="L1339" s="176"/>
      <c r="M1339" s="176"/>
      <c r="N1339" s="176"/>
      <c r="O1339" s="176"/>
      <c r="P1339" s="176"/>
      <c r="Q1339" s="176"/>
      <c r="R1339" s="176"/>
      <c r="S1339" s="176"/>
      <c r="T1339" s="176"/>
      <c r="U1339" s="176"/>
      <c r="V1339" s="176"/>
      <c r="W1339" s="176"/>
      <c r="X1339" s="176"/>
      <c r="Y1339" s="176"/>
    </row>
    <row r="1340" spans="1:25">
      <c r="A1340" s="91"/>
      <c r="B1340" s="176"/>
      <c r="C1340" s="176"/>
      <c r="D1340" s="176"/>
      <c r="E1340" s="176"/>
      <c r="F1340" s="176"/>
      <c r="G1340" s="176"/>
      <c r="H1340" s="176"/>
      <c r="I1340" s="176"/>
      <c r="J1340" s="176"/>
      <c r="K1340" s="176"/>
      <c r="L1340" s="176"/>
      <c r="M1340" s="176"/>
      <c r="N1340" s="176"/>
      <c r="O1340" s="176"/>
      <c r="P1340" s="176"/>
      <c r="Q1340" s="176"/>
      <c r="R1340" s="176"/>
      <c r="S1340" s="176"/>
      <c r="T1340" s="176"/>
      <c r="U1340" s="176"/>
      <c r="V1340" s="176"/>
      <c r="W1340" s="176"/>
      <c r="X1340" s="176"/>
      <c r="Y1340" s="176"/>
    </row>
    <row r="1341" spans="1:25">
      <c r="A1341" s="91"/>
      <c r="B1341" s="176"/>
      <c r="C1341" s="176"/>
      <c r="D1341" s="176"/>
      <c r="E1341" s="176"/>
      <c r="F1341" s="176"/>
      <c r="G1341" s="176"/>
      <c r="H1341" s="176"/>
      <c r="I1341" s="176"/>
      <c r="J1341" s="176"/>
      <c r="K1341" s="176"/>
      <c r="L1341" s="176"/>
      <c r="M1341" s="176"/>
      <c r="N1341" s="176"/>
      <c r="O1341" s="176"/>
      <c r="P1341" s="176"/>
      <c r="Q1341" s="176"/>
      <c r="R1341" s="176"/>
      <c r="S1341" s="176"/>
      <c r="T1341" s="176"/>
      <c r="U1341" s="176"/>
      <c r="V1341" s="176"/>
      <c r="W1341" s="176"/>
      <c r="X1341" s="176"/>
      <c r="Y1341" s="176"/>
    </row>
    <row r="1342" spans="1:25">
      <c r="A1342" s="91"/>
      <c r="B1342" s="176"/>
      <c r="C1342" s="176"/>
      <c r="D1342" s="176"/>
      <c r="E1342" s="176"/>
      <c r="F1342" s="176"/>
      <c r="G1342" s="176"/>
      <c r="H1342" s="176"/>
      <c r="I1342" s="176"/>
      <c r="J1342" s="176"/>
      <c r="K1342" s="176"/>
      <c r="L1342" s="176"/>
      <c r="M1342" s="176"/>
      <c r="N1342" s="176"/>
      <c r="O1342" s="176"/>
      <c r="P1342" s="176"/>
      <c r="Q1342" s="176"/>
      <c r="R1342" s="176"/>
      <c r="S1342" s="176"/>
      <c r="T1342" s="176"/>
      <c r="U1342" s="176"/>
      <c r="V1342" s="176"/>
      <c r="W1342" s="176"/>
      <c r="X1342" s="176"/>
      <c r="Y1342" s="176"/>
    </row>
    <row r="1343" spans="1:25">
      <c r="A1343" s="91"/>
      <c r="B1343" s="176"/>
      <c r="C1343" s="176"/>
      <c r="D1343" s="176"/>
      <c r="E1343" s="176"/>
      <c r="F1343" s="176"/>
      <c r="G1343" s="176"/>
      <c r="H1343" s="176"/>
      <c r="I1343" s="176"/>
      <c r="J1343" s="176"/>
      <c r="K1343" s="176"/>
      <c r="L1343" s="176"/>
      <c r="M1343" s="176"/>
      <c r="N1343" s="176"/>
      <c r="O1343" s="176"/>
      <c r="P1343" s="176"/>
      <c r="Q1343" s="176"/>
      <c r="R1343" s="176"/>
      <c r="S1343" s="176"/>
      <c r="T1343" s="176"/>
      <c r="U1343" s="176"/>
      <c r="V1343" s="176"/>
      <c r="W1343" s="176"/>
      <c r="X1343" s="176"/>
      <c r="Y1343" s="176"/>
    </row>
    <row r="1344" spans="1:25">
      <c r="A1344" s="91"/>
      <c r="B1344" s="176"/>
      <c r="C1344" s="176"/>
      <c r="D1344" s="176"/>
      <c r="E1344" s="176"/>
      <c r="F1344" s="176"/>
      <c r="G1344" s="176"/>
      <c r="H1344" s="176"/>
      <c r="I1344" s="176"/>
      <c r="J1344" s="176"/>
      <c r="K1344" s="176"/>
      <c r="L1344" s="176"/>
      <c r="M1344" s="176"/>
      <c r="N1344" s="176"/>
      <c r="O1344" s="176"/>
      <c r="P1344" s="176"/>
      <c r="Q1344" s="176"/>
      <c r="R1344" s="176"/>
      <c r="S1344" s="176"/>
      <c r="T1344" s="176"/>
      <c r="U1344" s="176"/>
      <c r="V1344" s="176"/>
      <c r="W1344" s="176"/>
      <c r="X1344" s="176"/>
      <c r="Y1344" s="176"/>
    </row>
    <row r="1345" spans="1:25">
      <c r="A1345" s="91"/>
      <c r="B1345" s="176"/>
      <c r="C1345" s="176"/>
      <c r="D1345" s="176"/>
      <c r="E1345" s="176"/>
      <c r="F1345" s="176"/>
      <c r="G1345" s="176"/>
      <c r="H1345" s="176"/>
      <c r="I1345" s="176"/>
      <c r="J1345" s="176"/>
      <c r="K1345" s="176"/>
      <c r="L1345" s="176"/>
      <c r="M1345" s="176"/>
      <c r="N1345" s="176"/>
      <c r="O1345" s="176"/>
      <c r="P1345" s="176"/>
      <c r="Q1345" s="176"/>
      <c r="R1345" s="176"/>
      <c r="S1345" s="176"/>
      <c r="T1345" s="176"/>
      <c r="U1345" s="176"/>
      <c r="V1345" s="176"/>
      <c r="W1345" s="176"/>
      <c r="X1345" s="176"/>
      <c r="Y1345" s="176"/>
    </row>
    <row r="1346" spans="1:25">
      <c r="A1346" s="91"/>
      <c r="B1346" s="176"/>
      <c r="C1346" s="176"/>
      <c r="D1346" s="176"/>
      <c r="E1346" s="176"/>
      <c r="F1346" s="176"/>
      <c r="G1346" s="176"/>
      <c r="H1346" s="176"/>
      <c r="I1346" s="176"/>
      <c r="J1346" s="176"/>
      <c r="K1346" s="176"/>
      <c r="L1346" s="176"/>
      <c r="M1346" s="176"/>
      <c r="N1346" s="176"/>
      <c r="O1346" s="176"/>
      <c r="P1346" s="176"/>
      <c r="Q1346" s="176"/>
      <c r="R1346" s="176"/>
      <c r="S1346" s="176"/>
      <c r="T1346" s="176"/>
      <c r="U1346" s="176"/>
      <c r="V1346" s="176"/>
      <c r="W1346" s="176"/>
      <c r="X1346" s="176"/>
      <c r="Y1346" s="176"/>
    </row>
    <row r="1347" spans="1:25">
      <c r="A1347" s="91"/>
      <c r="B1347" s="176"/>
      <c r="C1347" s="176"/>
      <c r="D1347" s="176"/>
      <c r="E1347" s="176"/>
      <c r="F1347" s="176"/>
      <c r="G1347" s="176"/>
      <c r="H1347" s="176"/>
      <c r="I1347" s="176"/>
      <c r="J1347" s="176"/>
      <c r="K1347" s="176"/>
      <c r="L1347" s="176"/>
      <c r="M1347" s="176"/>
      <c r="N1347" s="176"/>
      <c r="O1347" s="176"/>
      <c r="P1347" s="176"/>
      <c r="Q1347" s="176"/>
      <c r="R1347" s="176"/>
      <c r="S1347" s="176"/>
      <c r="T1347" s="176"/>
      <c r="U1347" s="176"/>
      <c r="V1347" s="176"/>
      <c r="W1347" s="176"/>
      <c r="X1347" s="176"/>
      <c r="Y1347" s="176"/>
    </row>
    <row r="1348" spans="1:25">
      <c r="A1348" s="91"/>
      <c r="B1348" s="176"/>
      <c r="C1348" s="176"/>
      <c r="D1348" s="176"/>
      <c r="E1348" s="176"/>
      <c r="F1348" s="176"/>
      <c r="G1348" s="176"/>
      <c r="H1348" s="176"/>
      <c r="I1348" s="176"/>
      <c r="J1348" s="176"/>
      <c r="K1348" s="176"/>
      <c r="L1348" s="176"/>
      <c r="M1348" s="176"/>
      <c r="N1348" s="176"/>
      <c r="O1348" s="176"/>
      <c r="P1348" s="176"/>
      <c r="Q1348" s="176"/>
      <c r="R1348" s="176"/>
      <c r="S1348" s="176"/>
      <c r="T1348" s="176"/>
      <c r="U1348" s="176"/>
      <c r="V1348" s="176"/>
      <c r="W1348" s="176"/>
      <c r="X1348" s="176"/>
      <c r="Y1348" s="176"/>
    </row>
    <row r="1349" spans="1:25">
      <c r="A1349" s="91"/>
      <c r="B1349" s="176"/>
      <c r="C1349" s="176"/>
      <c r="D1349" s="176"/>
      <c r="E1349" s="176"/>
      <c r="F1349" s="176"/>
      <c r="G1349" s="176"/>
      <c r="H1349" s="176"/>
      <c r="I1349" s="176"/>
      <c r="J1349" s="176"/>
      <c r="K1349" s="176"/>
      <c r="L1349" s="176"/>
      <c r="M1349" s="176"/>
      <c r="N1349" s="176"/>
      <c r="O1349" s="176"/>
      <c r="P1349" s="176"/>
      <c r="Q1349" s="176"/>
      <c r="R1349" s="176"/>
      <c r="S1349" s="176"/>
      <c r="T1349" s="176"/>
      <c r="U1349" s="176"/>
      <c r="V1349" s="176"/>
      <c r="W1349" s="176"/>
      <c r="X1349" s="176"/>
      <c r="Y1349" s="176"/>
    </row>
    <row r="1350" spans="1:25">
      <c r="A1350" s="91"/>
      <c r="B1350" s="176"/>
      <c r="C1350" s="176"/>
      <c r="D1350" s="176"/>
      <c r="E1350" s="176"/>
      <c r="F1350" s="176"/>
      <c r="G1350" s="176"/>
      <c r="H1350" s="176"/>
      <c r="I1350" s="176"/>
      <c r="J1350" s="176"/>
      <c r="K1350" s="176"/>
      <c r="L1350" s="176"/>
      <c r="M1350" s="176"/>
      <c r="N1350" s="176"/>
      <c r="O1350" s="176"/>
      <c r="P1350" s="176"/>
      <c r="Q1350" s="176"/>
      <c r="R1350" s="176"/>
      <c r="S1350" s="176"/>
      <c r="T1350" s="176"/>
      <c r="U1350" s="176"/>
      <c r="V1350" s="176"/>
      <c r="W1350" s="176"/>
      <c r="X1350" s="176"/>
      <c r="Y1350" s="176"/>
    </row>
    <row r="1351" spans="1:25">
      <c r="A1351" s="91"/>
      <c r="B1351" s="176"/>
      <c r="C1351" s="176"/>
      <c r="D1351" s="176"/>
      <c r="E1351" s="176"/>
      <c r="F1351" s="176"/>
      <c r="G1351" s="176"/>
      <c r="H1351" s="176"/>
      <c r="I1351" s="176"/>
      <c r="J1351" s="176"/>
      <c r="K1351" s="176"/>
      <c r="L1351" s="176"/>
      <c r="M1351" s="176"/>
      <c r="N1351" s="176"/>
      <c r="O1351" s="176"/>
      <c r="P1351" s="176"/>
      <c r="Q1351" s="176"/>
      <c r="R1351" s="176"/>
      <c r="S1351" s="176"/>
      <c r="T1351" s="176"/>
      <c r="U1351" s="176"/>
      <c r="V1351" s="176"/>
      <c r="W1351" s="176"/>
      <c r="X1351" s="176"/>
      <c r="Y1351" s="176"/>
    </row>
    <row r="1352" spans="1:25">
      <c r="A1352" s="91"/>
      <c r="B1352" s="176"/>
      <c r="C1352" s="176"/>
      <c r="D1352" s="176"/>
      <c r="E1352" s="176"/>
      <c r="F1352" s="176"/>
      <c r="G1352" s="176"/>
      <c r="H1352" s="176"/>
      <c r="I1352" s="176"/>
      <c r="J1352" s="176"/>
      <c r="K1352" s="176"/>
      <c r="L1352" s="176"/>
      <c r="M1352" s="176"/>
      <c r="N1352" s="176"/>
      <c r="O1352" s="176"/>
      <c r="P1352" s="176"/>
      <c r="Q1352" s="176"/>
      <c r="R1352" s="176"/>
      <c r="S1352" s="176"/>
      <c r="T1352" s="176"/>
      <c r="U1352" s="176"/>
      <c r="V1352" s="176"/>
      <c r="W1352" s="176"/>
      <c r="X1352" s="176"/>
      <c r="Y1352" s="176"/>
    </row>
    <row r="1353" spans="1:25">
      <c r="A1353" s="91"/>
      <c r="B1353" s="176"/>
      <c r="C1353" s="176"/>
      <c r="D1353" s="176"/>
      <c r="E1353" s="176"/>
      <c r="F1353" s="176"/>
      <c r="G1353" s="176"/>
      <c r="H1353" s="176"/>
      <c r="I1353" s="176"/>
      <c r="J1353" s="176"/>
      <c r="K1353" s="176"/>
      <c r="L1353" s="176"/>
      <c r="M1353" s="176"/>
      <c r="N1353" s="176"/>
      <c r="O1353" s="176"/>
      <c r="P1353" s="176"/>
      <c r="Q1353" s="176"/>
      <c r="R1353" s="176"/>
      <c r="S1353" s="176"/>
      <c r="T1353" s="176"/>
      <c r="U1353" s="176"/>
      <c r="V1353" s="176"/>
      <c r="W1353" s="176"/>
      <c r="X1353" s="176"/>
      <c r="Y1353" s="176"/>
    </row>
    <row r="1354" spans="1:25">
      <c r="A1354" s="91"/>
      <c r="B1354" s="176"/>
      <c r="C1354" s="176"/>
      <c r="D1354" s="176"/>
      <c r="E1354" s="176"/>
      <c r="F1354" s="176"/>
      <c r="G1354" s="176"/>
      <c r="H1354" s="176"/>
      <c r="I1354" s="176"/>
      <c r="J1354" s="176"/>
      <c r="K1354" s="176"/>
      <c r="L1354" s="176"/>
      <c r="M1354" s="176"/>
      <c r="N1354" s="176"/>
      <c r="O1354" s="176"/>
      <c r="P1354" s="176"/>
      <c r="Q1354" s="176"/>
      <c r="R1354" s="176"/>
      <c r="S1354" s="176"/>
      <c r="T1354" s="176"/>
      <c r="U1354" s="176"/>
      <c r="V1354" s="176"/>
      <c r="W1354" s="176"/>
      <c r="X1354" s="176"/>
      <c r="Y1354" s="176"/>
    </row>
    <row r="1355" spans="1:25">
      <c r="A1355" s="91"/>
      <c r="B1355" s="176"/>
      <c r="C1355" s="176"/>
      <c r="D1355" s="176"/>
      <c r="E1355" s="176"/>
      <c r="F1355" s="176"/>
      <c r="G1355" s="176"/>
      <c r="H1355" s="176"/>
      <c r="I1355" s="176"/>
      <c r="J1355" s="176"/>
      <c r="K1355" s="176"/>
      <c r="L1355" s="176"/>
      <c r="M1355" s="176"/>
      <c r="N1355" s="176"/>
      <c r="O1355" s="176"/>
      <c r="P1355" s="176"/>
      <c r="Q1355" s="176"/>
      <c r="R1355" s="176"/>
      <c r="S1355" s="176"/>
      <c r="T1355" s="176"/>
      <c r="U1355" s="176"/>
      <c r="V1355" s="176"/>
      <c r="W1355" s="176"/>
      <c r="X1355" s="176"/>
      <c r="Y1355" s="176"/>
    </row>
    <row r="1356" spans="1:25">
      <c r="A1356" s="91"/>
      <c r="B1356" s="176"/>
      <c r="C1356" s="176"/>
      <c r="D1356" s="176"/>
      <c r="E1356" s="176"/>
      <c r="F1356" s="176"/>
      <c r="G1356" s="176"/>
      <c r="H1356" s="176"/>
      <c r="I1356" s="176"/>
      <c r="J1356" s="176"/>
      <c r="K1356" s="176"/>
      <c r="L1356" s="176"/>
      <c r="M1356" s="176"/>
      <c r="N1356" s="176"/>
      <c r="O1356" s="176"/>
      <c r="P1356" s="176"/>
      <c r="Q1356" s="176"/>
      <c r="R1356" s="176"/>
      <c r="S1356" s="176"/>
      <c r="T1356" s="176"/>
      <c r="U1356" s="176"/>
      <c r="V1356" s="176"/>
      <c r="W1356" s="176"/>
      <c r="X1356" s="176"/>
      <c r="Y1356" s="176"/>
    </row>
    <row r="1357" spans="1:25">
      <c r="A1357" s="91"/>
      <c r="B1357" s="176"/>
      <c r="C1357" s="176"/>
      <c r="D1357" s="176"/>
      <c r="E1357" s="176"/>
      <c r="F1357" s="176"/>
      <c r="G1357" s="176"/>
      <c r="H1357" s="176"/>
      <c r="I1357" s="176"/>
      <c r="J1357" s="176"/>
      <c r="K1357" s="176"/>
      <c r="L1357" s="176"/>
      <c r="M1357" s="176"/>
      <c r="N1357" s="176"/>
      <c r="O1357" s="176"/>
      <c r="P1357" s="176"/>
      <c r="Q1357" s="176"/>
      <c r="R1357" s="176"/>
      <c r="S1357" s="176"/>
      <c r="T1357" s="176"/>
      <c r="U1357" s="176"/>
      <c r="V1357" s="176"/>
      <c r="W1357" s="176"/>
      <c r="X1357" s="176"/>
      <c r="Y1357" s="176"/>
    </row>
    <row r="1358" spans="1:25">
      <c r="A1358" s="91"/>
      <c r="B1358" s="176"/>
      <c r="C1358" s="176"/>
      <c r="D1358" s="176"/>
      <c r="E1358" s="176"/>
      <c r="F1358" s="176"/>
      <c r="G1358" s="176"/>
      <c r="H1358" s="176"/>
      <c r="I1358" s="176"/>
      <c r="J1358" s="176"/>
      <c r="K1358" s="176"/>
      <c r="L1358" s="176"/>
      <c r="M1358" s="176"/>
      <c r="N1358" s="176"/>
      <c r="O1358" s="176"/>
      <c r="P1358" s="176"/>
      <c r="Q1358" s="176"/>
      <c r="R1358" s="176"/>
      <c r="S1358" s="176"/>
      <c r="T1358" s="176"/>
      <c r="U1358" s="176"/>
      <c r="V1358" s="176"/>
      <c r="W1358" s="176"/>
      <c r="X1358" s="176"/>
      <c r="Y1358" s="176"/>
    </row>
    <row r="1359" spans="1:25">
      <c r="A1359" s="91"/>
      <c r="B1359" s="176"/>
      <c r="C1359" s="176"/>
      <c r="D1359" s="176"/>
      <c r="E1359" s="176"/>
      <c r="F1359" s="176"/>
      <c r="G1359" s="176"/>
      <c r="H1359" s="176"/>
      <c r="I1359" s="176"/>
      <c r="J1359" s="176"/>
      <c r="K1359" s="176"/>
      <c r="L1359" s="176"/>
      <c r="M1359" s="176"/>
      <c r="N1359" s="176"/>
      <c r="O1359" s="176"/>
      <c r="P1359" s="176"/>
      <c r="Q1359" s="176"/>
      <c r="R1359" s="176"/>
      <c r="S1359" s="176"/>
      <c r="T1359" s="176"/>
      <c r="U1359" s="176"/>
      <c r="V1359" s="176"/>
      <c r="W1359" s="176"/>
      <c r="X1359" s="176"/>
      <c r="Y1359" s="176"/>
    </row>
    <row r="1360" spans="1:25">
      <c r="A1360" s="91"/>
      <c r="B1360" s="176"/>
      <c r="C1360" s="176"/>
      <c r="D1360" s="176"/>
      <c r="E1360" s="176"/>
      <c r="F1360" s="176"/>
      <c r="G1360" s="176"/>
      <c r="H1360" s="176"/>
      <c r="I1360" s="176"/>
      <c r="J1360" s="176"/>
      <c r="K1360" s="176"/>
      <c r="L1360" s="176"/>
      <c r="M1360" s="176"/>
      <c r="N1360" s="176"/>
      <c r="O1360" s="176"/>
      <c r="P1360" s="176"/>
      <c r="Q1360" s="176"/>
      <c r="R1360" s="176"/>
      <c r="S1360" s="176"/>
      <c r="T1360" s="176"/>
      <c r="U1360" s="176"/>
      <c r="V1360" s="176"/>
      <c r="W1360" s="176"/>
      <c r="X1360" s="176"/>
      <c r="Y1360" s="176"/>
    </row>
    <row r="1361" spans="1:25">
      <c r="A1361" s="91"/>
      <c r="B1361" s="176"/>
      <c r="C1361" s="176"/>
      <c r="D1361" s="176"/>
      <c r="E1361" s="176"/>
      <c r="F1361" s="176"/>
      <c r="G1361" s="176"/>
      <c r="H1361" s="176"/>
      <c r="I1361" s="176"/>
      <c r="J1361" s="176"/>
      <c r="K1361" s="176"/>
      <c r="L1361" s="176"/>
      <c r="M1361" s="176"/>
      <c r="N1361" s="176"/>
      <c r="O1361" s="176"/>
      <c r="P1361" s="176"/>
      <c r="Q1361" s="176"/>
      <c r="R1361" s="176"/>
      <c r="S1361" s="176"/>
      <c r="T1361" s="176"/>
      <c r="U1361" s="176"/>
      <c r="V1361" s="176"/>
      <c r="W1361" s="176"/>
      <c r="X1361" s="176"/>
      <c r="Y1361" s="176"/>
    </row>
    <row r="1362" spans="1:25">
      <c r="A1362" s="91"/>
      <c r="B1362" s="176"/>
      <c r="C1362" s="176"/>
      <c r="D1362" s="176"/>
      <c r="E1362" s="176"/>
      <c r="F1362" s="176"/>
      <c r="G1362" s="176"/>
      <c r="H1362" s="176"/>
      <c r="I1362" s="176"/>
      <c r="J1362" s="176"/>
      <c r="K1362" s="176"/>
      <c r="L1362" s="176"/>
      <c r="M1362" s="176"/>
      <c r="N1362" s="176"/>
      <c r="O1362" s="176"/>
      <c r="P1362" s="176"/>
      <c r="Q1362" s="176"/>
      <c r="R1362" s="176"/>
      <c r="S1362" s="176"/>
      <c r="T1362" s="176"/>
      <c r="U1362" s="176"/>
      <c r="V1362" s="176"/>
      <c r="W1362" s="176"/>
      <c r="X1362" s="176"/>
      <c r="Y1362" s="176"/>
    </row>
    <row r="1363" spans="1:25">
      <c r="A1363" s="91"/>
      <c r="B1363" s="176"/>
      <c r="C1363" s="176"/>
      <c r="D1363" s="176"/>
      <c r="E1363" s="176"/>
      <c r="F1363" s="176"/>
      <c r="G1363" s="176"/>
      <c r="H1363" s="176"/>
      <c r="I1363" s="176"/>
      <c r="J1363" s="176"/>
      <c r="K1363" s="176"/>
      <c r="L1363" s="176"/>
      <c r="M1363" s="176"/>
      <c r="N1363" s="176"/>
      <c r="O1363" s="176"/>
      <c r="P1363" s="176"/>
      <c r="Q1363" s="176"/>
      <c r="R1363" s="176"/>
      <c r="S1363" s="176"/>
      <c r="T1363" s="176"/>
      <c r="U1363" s="176"/>
      <c r="V1363" s="176"/>
      <c r="W1363" s="176"/>
      <c r="X1363" s="176"/>
      <c r="Y1363" s="176"/>
    </row>
    <row r="1364" spans="1:25">
      <c r="A1364" s="91"/>
      <c r="B1364" s="176"/>
      <c r="C1364" s="176"/>
      <c r="D1364" s="176"/>
      <c r="E1364" s="176"/>
      <c r="F1364" s="176"/>
      <c r="G1364" s="176"/>
      <c r="H1364" s="176"/>
      <c r="I1364" s="176"/>
      <c r="J1364" s="176"/>
      <c r="K1364" s="176"/>
      <c r="L1364" s="176"/>
      <c r="M1364" s="176"/>
      <c r="N1364" s="176"/>
      <c r="O1364" s="176"/>
      <c r="P1364" s="176"/>
      <c r="Q1364" s="176"/>
      <c r="R1364" s="176"/>
      <c r="S1364" s="176"/>
      <c r="T1364" s="176"/>
      <c r="U1364" s="176"/>
      <c r="V1364" s="176"/>
      <c r="W1364" s="176"/>
      <c r="X1364" s="176"/>
      <c r="Y1364" s="176"/>
    </row>
    <row r="1365" spans="1:25">
      <c r="A1365" s="91"/>
      <c r="B1365" s="176"/>
      <c r="C1365" s="176"/>
      <c r="D1365" s="176"/>
      <c r="E1365" s="176"/>
      <c r="F1365" s="176"/>
      <c r="G1365" s="176"/>
      <c r="H1365" s="176"/>
      <c r="I1365" s="176"/>
      <c r="J1365" s="176"/>
      <c r="K1365" s="176"/>
      <c r="L1365" s="176"/>
      <c r="M1365" s="176"/>
      <c r="N1365" s="176"/>
      <c r="O1365" s="176"/>
      <c r="P1365" s="176"/>
      <c r="Q1365" s="176"/>
      <c r="R1365" s="176"/>
      <c r="S1365" s="176"/>
      <c r="T1365" s="176"/>
      <c r="U1365" s="176"/>
      <c r="V1365" s="176"/>
      <c r="W1365" s="176"/>
      <c r="X1365" s="176"/>
      <c r="Y1365" s="176"/>
    </row>
    <row r="1366" spans="1:25">
      <c r="A1366" s="91"/>
      <c r="B1366" s="176"/>
      <c r="C1366" s="176"/>
      <c r="D1366" s="176"/>
      <c r="E1366" s="176"/>
      <c r="F1366" s="176"/>
      <c r="G1366" s="176"/>
      <c r="H1366" s="176"/>
      <c r="I1366" s="176"/>
      <c r="J1366" s="176"/>
      <c r="K1366" s="176"/>
      <c r="L1366" s="176"/>
      <c r="M1366" s="176"/>
      <c r="N1366" s="176"/>
      <c r="O1366" s="176"/>
      <c r="P1366" s="176"/>
      <c r="Q1366" s="176"/>
      <c r="R1366" s="176"/>
      <c r="S1366" s="176"/>
      <c r="T1366" s="176"/>
      <c r="U1366" s="176"/>
      <c r="V1366" s="176"/>
      <c r="W1366" s="176"/>
      <c r="X1366" s="176"/>
      <c r="Y1366" s="176"/>
    </row>
    <row r="1367" spans="1:25">
      <c r="A1367" s="91"/>
      <c r="B1367" s="176"/>
      <c r="C1367" s="176"/>
      <c r="D1367" s="176"/>
      <c r="E1367" s="176"/>
      <c r="F1367" s="176"/>
      <c r="G1367" s="176"/>
      <c r="H1367" s="176"/>
      <c r="I1367" s="176"/>
      <c r="J1367" s="176"/>
      <c r="K1367" s="176"/>
      <c r="L1367" s="176"/>
      <c r="M1367" s="176"/>
      <c r="N1367" s="176"/>
      <c r="O1367" s="176"/>
      <c r="P1367" s="176"/>
      <c r="Q1367" s="176"/>
      <c r="R1367" s="176"/>
      <c r="S1367" s="176"/>
      <c r="T1367" s="176"/>
      <c r="U1367" s="176"/>
      <c r="V1367" s="176"/>
      <c r="W1367" s="176"/>
      <c r="X1367" s="176"/>
      <c r="Y1367" s="176"/>
    </row>
    <row r="1368" spans="1:25">
      <c r="A1368" s="91"/>
      <c r="B1368" s="176"/>
      <c r="C1368" s="176"/>
      <c r="D1368" s="176"/>
      <c r="E1368" s="176"/>
      <c r="F1368" s="176"/>
      <c r="G1368" s="176"/>
      <c r="H1368" s="176"/>
      <c r="I1368" s="176"/>
      <c r="J1368" s="176"/>
      <c r="K1368" s="176"/>
      <c r="L1368" s="176"/>
      <c r="M1368" s="176"/>
      <c r="N1368" s="176"/>
      <c r="O1368" s="176"/>
      <c r="P1368" s="176"/>
      <c r="Q1368" s="176"/>
      <c r="R1368" s="176"/>
      <c r="S1368" s="176"/>
      <c r="T1368" s="176"/>
      <c r="U1368" s="176"/>
      <c r="V1368" s="176"/>
      <c r="W1368" s="176"/>
      <c r="X1368" s="176"/>
      <c r="Y1368" s="176"/>
    </row>
    <row r="1369" spans="1:25">
      <c r="A1369" s="91"/>
      <c r="B1369" s="176"/>
      <c r="C1369" s="176"/>
      <c r="D1369" s="176"/>
      <c r="E1369" s="176"/>
      <c r="F1369" s="176"/>
      <c r="G1369" s="176"/>
      <c r="H1369" s="176"/>
      <c r="I1369" s="176"/>
      <c r="J1369" s="176"/>
      <c r="K1369" s="176"/>
      <c r="L1369" s="176"/>
      <c r="M1369" s="176"/>
      <c r="N1369" s="176"/>
      <c r="O1369" s="176"/>
      <c r="P1369" s="176"/>
      <c r="Q1369" s="176"/>
      <c r="R1369" s="176"/>
      <c r="S1369" s="176"/>
      <c r="T1369" s="176"/>
      <c r="U1369" s="176"/>
      <c r="V1369" s="176"/>
      <c r="W1369" s="176"/>
      <c r="X1369" s="176"/>
      <c r="Y1369" s="176"/>
    </row>
    <row r="1370" spans="1:25">
      <c r="A1370" s="91"/>
      <c r="B1370" s="176"/>
      <c r="C1370" s="176"/>
      <c r="D1370" s="176"/>
      <c r="E1370" s="176"/>
      <c r="F1370" s="176"/>
      <c r="G1370" s="176"/>
      <c r="H1370" s="176"/>
      <c r="I1370" s="176"/>
      <c r="J1370" s="176"/>
      <c r="K1370" s="176"/>
      <c r="L1370" s="176"/>
      <c r="M1370" s="176"/>
      <c r="N1370" s="176"/>
      <c r="O1370" s="176"/>
      <c r="P1370" s="176"/>
      <c r="Q1370" s="176"/>
      <c r="R1370" s="176"/>
      <c r="S1370" s="176"/>
      <c r="T1370" s="176"/>
      <c r="U1370" s="176"/>
      <c r="V1370" s="176"/>
      <c r="W1370" s="176"/>
      <c r="X1370" s="176"/>
      <c r="Y1370" s="176"/>
    </row>
    <row r="1371" spans="1:25">
      <c r="A1371" s="91"/>
      <c r="B1371" s="176"/>
      <c r="C1371" s="176"/>
      <c r="D1371" s="176"/>
      <c r="E1371" s="176"/>
      <c r="F1371" s="176"/>
      <c r="G1371" s="176"/>
      <c r="H1371" s="176"/>
      <c r="I1371" s="176"/>
      <c r="J1371" s="176"/>
      <c r="K1371" s="176"/>
      <c r="L1371" s="176"/>
      <c r="M1371" s="176"/>
      <c r="N1371" s="176"/>
      <c r="O1371" s="176"/>
      <c r="P1371" s="176"/>
      <c r="Q1371" s="176"/>
      <c r="R1371" s="176"/>
      <c r="S1371" s="176"/>
      <c r="T1371" s="176"/>
      <c r="U1371" s="176"/>
      <c r="V1371" s="176"/>
      <c r="W1371" s="176"/>
      <c r="X1371" s="176"/>
      <c r="Y1371" s="176"/>
    </row>
    <row r="1372" spans="1:25">
      <c r="A1372" s="91"/>
      <c r="B1372" s="176"/>
      <c r="C1372" s="176"/>
      <c r="D1372" s="176"/>
      <c r="E1372" s="176"/>
      <c r="F1372" s="176"/>
      <c r="G1372" s="176"/>
      <c r="H1372" s="176"/>
      <c r="I1372" s="176"/>
      <c r="J1372" s="176"/>
      <c r="K1372" s="176"/>
      <c r="L1372" s="176"/>
      <c r="M1372" s="176"/>
      <c r="N1372" s="176"/>
      <c r="O1372" s="176"/>
      <c r="P1372" s="176"/>
      <c r="Q1372" s="176"/>
      <c r="R1372" s="176"/>
      <c r="S1372" s="176"/>
      <c r="T1372" s="176"/>
      <c r="U1372" s="176"/>
      <c r="V1372" s="176"/>
      <c r="W1372" s="176"/>
      <c r="X1372" s="176"/>
      <c r="Y1372" s="176"/>
    </row>
    <row r="1373" spans="1:25">
      <c r="A1373" s="91"/>
      <c r="B1373" s="176"/>
      <c r="C1373" s="176"/>
      <c r="D1373" s="176"/>
      <c r="E1373" s="176"/>
      <c r="F1373" s="176"/>
      <c r="G1373" s="176"/>
      <c r="H1373" s="176"/>
      <c r="I1373" s="176"/>
      <c r="J1373" s="176"/>
      <c r="K1373" s="176"/>
      <c r="L1373" s="176"/>
      <c r="M1373" s="176"/>
      <c r="N1373" s="176"/>
      <c r="O1373" s="176"/>
      <c r="P1373" s="176"/>
      <c r="Q1373" s="176"/>
      <c r="R1373" s="176"/>
      <c r="S1373" s="176"/>
      <c r="T1373" s="176"/>
      <c r="U1373" s="176"/>
      <c r="V1373" s="176"/>
      <c r="W1373" s="176"/>
      <c r="X1373" s="176"/>
      <c r="Y1373" s="176"/>
    </row>
    <row r="1374" spans="1:25">
      <c r="A1374" s="91"/>
      <c r="B1374" s="176"/>
      <c r="C1374" s="176"/>
      <c r="D1374" s="176"/>
      <c r="E1374" s="176"/>
      <c r="F1374" s="176"/>
      <c r="G1374" s="176"/>
      <c r="H1374" s="176"/>
      <c r="I1374" s="176"/>
      <c r="J1374" s="176"/>
      <c r="K1374" s="176"/>
      <c r="L1374" s="176"/>
      <c r="M1374" s="176"/>
      <c r="N1374" s="176"/>
      <c r="O1374" s="176"/>
      <c r="P1374" s="176"/>
      <c r="Q1374" s="176"/>
      <c r="R1374" s="176"/>
      <c r="S1374" s="176"/>
      <c r="T1374" s="176"/>
      <c r="U1374" s="176"/>
      <c r="V1374" s="176"/>
      <c r="W1374" s="176"/>
      <c r="X1374" s="176"/>
      <c r="Y1374" s="176"/>
    </row>
    <row r="1375" spans="1:25">
      <c r="A1375" s="91"/>
      <c r="B1375" s="176"/>
      <c r="C1375" s="176"/>
      <c r="D1375" s="176"/>
      <c r="E1375" s="176"/>
      <c r="F1375" s="176"/>
      <c r="G1375" s="176"/>
      <c r="H1375" s="176"/>
      <c r="I1375" s="176"/>
      <c r="J1375" s="176"/>
      <c r="K1375" s="176"/>
      <c r="L1375" s="176"/>
      <c r="M1375" s="176"/>
      <c r="N1375" s="176"/>
      <c r="O1375" s="176"/>
      <c r="P1375" s="176"/>
      <c r="Q1375" s="176"/>
      <c r="R1375" s="176"/>
      <c r="S1375" s="176"/>
      <c r="T1375" s="176"/>
      <c r="U1375" s="176"/>
      <c r="V1375" s="176"/>
      <c r="W1375" s="176"/>
      <c r="X1375" s="176"/>
      <c r="Y1375" s="176"/>
    </row>
    <row r="1376" spans="1:25">
      <c r="A1376" s="91"/>
      <c r="B1376" s="176"/>
      <c r="C1376" s="176"/>
      <c r="D1376" s="176"/>
      <c r="E1376" s="176"/>
      <c r="F1376" s="176"/>
      <c r="G1376" s="176"/>
      <c r="H1376" s="176"/>
      <c r="I1376" s="176"/>
      <c r="J1376" s="176"/>
      <c r="K1376" s="176"/>
      <c r="L1376" s="176"/>
      <c r="M1376" s="176"/>
      <c r="N1376" s="176"/>
      <c r="O1376" s="176"/>
      <c r="P1376" s="176"/>
      <c r="Q1376" s="176"/>
      <c r="R1376" s="176"/>
      <c r="S1376" s="176"/>
      <c r="T1376" s="176"/>
      <c r="U1376" s="176"/>
      <c r="V1376" s="176"/>
      <c r="W1376" s="176"/>
      <c r="X1376" s="176"/>
      <c r="Y1376" s="176"/>
    </row>
    <row r="1377" spans="1:25">
      <c r="A1377" s="91"/>
      <c r="B1377" s="176"/>
      <c r="C1377" s="176"/>
      <c r="D1377" s="176"/>
      <c r="E1377" s="176"/>
      <c r="F1377" s="176"/>
      <c r="G1377" s="176"/>
      <c r="H1377" s="176"/>
      <c r="I1377" s="176"/>
      <c r="J1377" s="176"/>
      <c r="K1377" s="176"/>
      <c r="L1377" s="176"/>
      <c r="M1377" s="176"/>
      <c r="N1377" s="176"/>
      <c r="O1377" s="176"/>
      <c r="P1377" s="176"/>
      <c r="Q1377" s="176"/>
      <c r="R1377" s="176"/>
      <c r="S1377" s="176"/>
      <c r="T1377" s="176"/>
      <c r="U1377" s="176"/>
      <c r="V1377" s="176"/>
      <c r="W1377" s="176"/>
      <c r="X1377" s="176"/>
      <c r="Y1377" s="176"/>
    </row>
    <row r="1378" spans="1:25">
      <c r="A1378" s="91"/>
      <c r="B1378" s="176"/>
      <c r="C1378" s="176"/>
      <c r="D1378" s="176"/>
      <c r="E1378" s="176"/>
      <c r="F1378" s="176"/>
      <c r="G1378" s="176"/>
      <c r="H1378" s="176"/>
      <c r="I1378" s="176"/>
      <c r="J1378" s="176"/>
      <c r="K1378" s="176"/>
      <c r="L1378" s="176"/>
      <c r="M1378" s="176"/>
      <c r="N1378" s="176"/>
      <c r="O1378" s="176"/>
      <c r="P1378" s="176"/>
      <c r="Q1378" s="176"/>
      <c r="R1378" s="176"/>
      <c r="S1378" s="176"/>
      <c r="T1378" s="176"/>
      <c r="U1378" s="176"/>
      <c r="V1378" s="176"/>
      <c r="W1378" s="176"/>
      <c r="X1378" s="176"/>
      <c r="Y1378" s="176"/>
    </row>
    <row r="1379" spans="1:25">
      <c r="A1379" s="91"/>
      <c r="B1379" s="176"/>
      <c r="C1379" s="176"/>
      <c r="D1379" s="176"/>
      <c r="E1379" s="176"/>
      <c r="F1379" s="176"/>
      <c r="G1379" s="176"/>
      <c r="H1379" s="176"/>
      <c r="I1379" s="176"/>
      <c r="J1379" s="176"/>
      <c r="K1379" s="176"/>
      <c r="L1379" s="176"/>
      <c r="M1379" s="176"/>
      <c r="N1379" s="176"/>
      <c r="O1379" s="176"/>
      <c r="P1379" s="176"/>
      <c r="Q1379" s="176"/>
      <c r="R1379" s="176"/>
      <c r="S1379" s="176"/>
      <c r="T1379" s="176"/>
      <c r="U1379" s="176"/>
      <c r="V1379" s="176"/>
      <c r="W1379" s="176"/>
      <c r="X1379" s="176"/>
      <c r="Y1379" s="176"/>
    </row>
    <row r="1380" spans="1:25">
      <c r="A1380" s="91"/>
      <c r="B1380" s="176"/>
      <c r="C1380" s="176"/>
      <c r="D1380" s="176"/>
      <c r="E1380" s="176"/>
      <c r="F1380" s="176"/>
      <c r="G1380" s="176"/>
      <c r="H1380" s="176"/>
      <c r="I1380" s="176"/>
      <c r="J1380" s="176"/>
      <c r="K1380" s="176"/>
      <c r="L1380" s="176"/>
      <c r="M1380" s="176"/>
      <c r="N1380" s="176"/>
      <c r="O1380" s="176"/>
      <c r="P1380" s="176"/>
      <c r="Q1380" s="176"/>
      <c r="R1380" s="176"/>
      <c r="S1380" s="176"/>
      <c r="T1380" s="176"/>
      <c r="U1380" s="176"/>
      <c r="V1380" s="176"/>
      <c r="W1380" s="176"/>
      <c r="X1380" s="176"/>
      <c r="Y1380" s="176"/>
    </row>
    <row r="1381" spans="1:25">
      <c r="A1381" s="91"/>
      <c r="B1381" s="176"/>
      <c r="C1381" s="176"/>
      <c r="D1381" s="176"/>
      <c r="E1381" s="176"/>
      <c r="F1381" s="176"/>
      <c r="G1381" s="176"/>
      <c r="H1381" s="176"/>
      <c r="I1381" s="176"/>
      <c r="J1381" s="176"/>
      <c r="K1381" s="176"/>
      <c r="L1381" s="176"/>
      <c r="M1381" s="176"/>
      <c r="N1381" s="176"/>
      <c r="O1381" s="176"/>
      <c r="P1381" s="176"/>
      <c r="Q1381" s="176"/>
      <c r="R1381" s="176"/>
      <c r="S1381" s="176"/>
      <c r="T1381" s="176"/>
      <c r="U1381" s="176"/>
      <c r="V1381" s="176"/>
      <c r="W1381" s="176"/>
      <c r="X1381" s="176"/>
      <c r="Y1381" s="176"/>
    </row>
    <row r="1382" spans="1:25">
      <c r="A1382" s="91"/>
      <c r="B1382" s="176"/>
      <c r="C1382" s="176"/>
      <c r="D1382" s="176"/>
      <c r="E1382" s="176"/>
      <c r="F1382" s="176"/>
      <c r="G1382" s="176"/>
      <c r="H1382" s="176"/>
      <c r="I1382" s="176"/>
      <c r="J1382" s="176"/>
      <c r="K1382" s="176"/>
      <c r="L1382" s="176"/>
      <c r="M1382" s="176"/>
      <c r="N1382" s="176"/>
      <c r="O1382" s="176"/>
      <c r="P1382" s="176"/>
      <c r="Q1382" s="176"/>
      <c r="R1382" s="176"/>
      <c r="S1382" s="176"/>
      <c r="T1382" s="176"/>
      <c r="U1382" s="176"/>
      <c r="V1382" s="176"/>
      <c r="W1382" s="176"/>
      <c r="X1382" s="176"/>
      <c r="Y1382" s="176"/>
    </row>
    <row r="1383" spans="1:25">
      <c r="A1383" s="91"/>
      <c r="B1383" s="176"/>
      <c r="C1383" s="176"/>
      <c r="D1383" s="176"/>
      <c r="E1383" s="176"/>
      <c r="F1383" s="176"/>
      <c r="G1383" s="176"/>
      <c r="H1383" s="176"/>
      <c r="I1383" s="176"/>
      <c r="J1383" s="176"/>
      <c r="K1383" s="176"/>
      <c r="L1383" s="176"/>
      <c r="M1383" s="176"/>
      <c r="N1383" s="176"/>
      <c r="O1383" s="176"/>
      <c r="P1383" s="176"/>
      <c r="Q1383" s="176"/>
      <c r="R1383" s="176"/>
      <c r="S1383" s="176"/>
      <c r="T1383" s="176"/>
      <c r="U1383" s="176"/>
      <c r="V1383" s="176"/>
      <c r="W1383" s="176"/>
      <c r="X1383" s="176"/>
      <c r="Y1383" s="176"/>
    </row>
    <row r="1384" spans="1:25">
      <c r="A1384" s="91"/>
      <c r="B1384" s="176"/>
      <c r="C1384" s="176"/>
      <c r="D1384" s="176"/>
      <c r="E1384" s="176"/>
      <c r="F1384" s="176"/>
      <c r="G1384" s="176"/>
      <c r="H1384" s="176"/>
      <c r="I1384" s="176"/>
      <c r="J1384" s="176"/>
      <c r="K1384" s="176"/>
      <c r="L1384" s="176"/>
      <c r="M1384" s="176"/>
      <c r="N1384" s="176"/>
      <c r="O1384" s="176"/>
      <c r="P1384" s="176"/>
      <c r="Q1384" s="176"/>
      <c r="R1384" s="176"/>
      <c r="S1384" s="176"/>
      <c r="T1384" s="176"/>
      <c r="U1384" s="176"/>
      <c r="V1384" s="176"/>
      <c r="W1384" s="176"/>
      <c r="X1384" s="176"/>
      <c r="Y1384" s="176"/>
    </row>
    <row r="1385" spans="1:25">
      <c r="A1385" s="91"/>
      <c r="B1385" s="176"/>
      <c r="C1385" s="176"/>
      <c r="D1385" s="176"/>
      <c r="E1385" s="176"/>
      <c r="F1385" s="176"/>
      <c r="G1385" s="176"/>
      <c r="H1385" s="176"/>
      <c r="I1385" s="176"/>
      <c r="J1385" s="176"/>
      <c r="K1385" s="176"/>
      <c r="L1385" s="176"/>
      <c r="M1385" s="176"/>
      <c r="N1385" s="176"/>
      <c r="O1385" s="176"/>
      <c r="P1385" s="176"/>
      <c r="Q1385" s="176"/>
      <c r="R1385" s="176"/>
      <c r="S1385" s="176"/>
      <c r="T1385" s="176"/>
      <c r="U1385" s="176"/>
      <c r="V1385" s="176"/>
      <c r="W1385" s="176"/>
      <c r="X1385" s="176"/>
      <c r="Y1385" s="176"/>
    </row>
    <row r="1386" spans="1:25">
      <c r="A1386" s="91"/>
      <c r="B1386" s="176"/>
      <c r="C1386" s="176"/>
      <c r="D1386" s="176"/>
      <c r="E1386" s="176"/>
      <c r="F1386" s="176"/>
      <c r="G1386" s="176"/>
      <c r="H1386" s="176"/>
      <c r="I1386" s="176"/>
      <c r="J1386" s="176"/>
      <c r="K1386" s="176"/>
      <c r="L1386" s="176"/>
      <c r="M1386" s="176"/>
      <c r="N1386" s="176"/>
      <c r="O1386" s="176"/>
      <c r="P1386" s="176"/>
      <c r="Q1386" s="176"/>
      <c r="R1386" s="176"/>
      <c r="S1386" s="176"/>
      <c r="T1386" s="176"/>
      <c r="U1386" s="176"/>
      <c r="V1386" s="176"/>
      <c r="W1386" s="176"/>
      <c r="X1386" s="176"/>
      <c r="Y1386" s="176"/>
    </row>
    <row r="1387" spans="1:25">
      <c r="A1387" s="91"/>
      <c r="B1387" s="176"/>
      <c r="C1387" s="176"/>
      <c r="D1387" s="176"/>
      <c r="E1387" s="176"/>
      <c r="F1387" s="176"/>
      <c r="G1387" s="176"/>
      <c r="H1387" s="176"/>
      <c r="I1387" s="176"/>
      <c r="J1387" s="176"/>
      <c r="K1387" s="176"/>
      <c r="L1387" s="176"/>
      <c r="M1387" s="176"/>
      <c r="N1387" s="176"/>
      <c r="O1387" s="176"/>
      <c r="P1387" s="176"/>
      <c r="Q1387" s="176"/>
      <c r="R1387" s="176"/>
      <c r="S1387" s="176"/>
      <c r="T1387" s="176"/>
      <c r="U1387" s="176"/>
      <c r="V1387" s="176"/>
      <c r="W1387" s="176"/>
      <c r="X1387" s="176"/>
      <c r="Y1387" s="176"/>
    </row>
    <row r="1388" spans="1:25">
      <c r="A1388" s="91"/>
      <c r="B1388" s="176"/>
      <c r="C1388" s="176"/>
      <c r="D1388" s="176"/>
      <c r="E1388" s="176"/>
      <c r="F1388" s="176"/>
      <c r="G1388" s="176"/>
      <c r="H1388" s="176"/>
      <c r="I1388" s="176"/>
      <c r="J1388" s="176"/>
      <c r="K1388" s="176"/>
      <c r="L1388" s="176"/>
      <c r="M1388" s="176"/>
      <c r="N1388" s="176"/>
      <c r="O1388" s="176"/>
      <c r="P1388" s="176"/>
      <c r="Q1388" s="176"/>
      <c r="R1388" s="176"/>
      <c r="S1388" s="176"/>
      <c r="T1388" s="176"/>
      <c r="U1388" s="176"/>
      <c r="V1388" s="176"/>
      <c r="W1388" s="176"/>
      <c r="X1388" s="176"/>
      <c r="Y1388" s="176"/>
    </row>
    <row r="1389" spans="1:25">
      <c r="A1389" s="91"/>
      <c r="B1389" s="176"/>
      <c r="C1389" s="176"/>
      <c r="D1389" s="176"/>
      <c r="E1389" s="176"/>
      <c r="F1389" s="176"/>
      <c r="G1389" s="176"/>
      <c r="H1389" s="176"/>
      <c r="I1389" s="176"/>
      <c r="J1389" s="176"/>
      <c r="K1389" s="176"/>
      <c r="L1389" s="176"/>
      <c r="M1389" s="176"/>
      <c r="N1389" s="176"/>
      <c r="O1389" s="176"/>
      <c r="P1389" s="176"/>
      <c r="Q1389" s="176"/>
      <c r="R1389" s="176"/>
      <c r="S1389" s="176"/>
      <c r="T1389" s="176"/>
      <c r="U1389" s="176"/>
      <c r="V1389" s="176"/>
      <c r="W1389" s="176"/>
      <c r="X1389" s="176"/>
      <c r="Y1389" s="176"/>
    </row>
    <row r="1390" spans="1:25">
      <c r="A1390" s="91"/>
      <c r="B1390" s="176"/>
      <c r="C1390" s="176"/>
      <c r="D1390" s="176"/>
      <c r="E1390" s="176"/>
      <c r="F1390" s="176"/>
      <c r="G1390" s="176"/>
      <c r="H1390" s="176"/>
      <c r="I1390" s="176"/>
      <c r="J1390" s="176"/>
      <c r="K1390" s="176"/>
      <c r="L1390" s="176"/>
      <c r="M1390" s="176"/>
      <c r="N1390" s="176"/>
      <c r="O1390" s="176"/>
      <c r="P1390" s="176"/>
      <c r="Q1390" s="176"/>
      <c r="R1390" s="176"/>
      <c r="S1390" s="176"/>
      <c r="T1390" s="176"/>
      <c r="U1390" s="176"/>
      <c r="V1390" s="176"/>
      <c r="W1390" s="176"/>
      <c r="X1390" s="176"/>
      <c r="Y1390" s="176"/>
    </row>
    <row r="1391" spans="1:25">
      <c r="A1391" s="91"/>
      <c r="B1391" s="176"/>
      <c r="C1391" s="176"/>
      <c r="D1391" s="176"/>
      <c r="E1391" s="176"/>
      <c r="F1391" s="176"/>
      <c r="G1391" s="176"/>
      <c r="H1391" s="176"/>
      <c r="I1391" s="176"/>
      <c r="J1391" s="176"/>
      <c r="K1391" s="176"/>
      <c r="L1391" s="176"/>
      <c r="M1391" s="176"/>
      <c r="N1391" s="176"/>
      <c r="O1391" s="176"/>
      <c r="P1391" s="176"/>
      <c r="Q1391" s="176"/>
      <c r="R1391" s="176"/>
      <c r="S1391" s="176"/>
      <c r="T1391" s="176"/>
      <c r="U1391" s="176"/>
      <c r="V1391" s="176"/>
      <c r="W1391" s="176"/>
      <c r="X1391" s="176"/>
      <c r="Y1391" s="176"/>
    </row>
    <row r="1392" spans="1:25">
      <c r="A1392" s="91"/>
      <c r="B1392" s="176"/>
      <c r="C1392" s="176"/>
      <c r="D1392" s="176"/>
      <c r="E1392" s="176"/>
      <c r="F1392" s="176"/>
      <c r="G1392" s="176"/>
      <c r="H1392" s="176"/>
      <c r="I1392" s="176"/>
      <c r="J1392" s="176"/>
      <c r="K1392" s="176"/>
      <c r="L1392" s="176"/>
      <c r="M1392" s="176"/>
      <c r="N1392" s="176"/>
      <c r="O1392" s="176"/>
      <c r="P1392" s="176"/>
      <c r="Q1392" s="176"/>
      <c r="R1392" s="176"/>
      <c r="S1392" s="176"/>
      <c r="T1392" s="176"/>
      <c r="U1392" s="176"/>
      <c r="V1392" s="176"/>
      <c r="W1392" s="176"/>
      <c r="X1392" s="176"/>
      <c r="Y1392" s="176"/>
    </row>
    <row r="1393" spans="1:25">
      <c r="A1393" s="91"/>
      <c r="B1393" s="176"/>
      <c r="C1393" s="176"/>
      <c r="D1393" s="176"/>
      <c r="E1393" s="176"/>
      <c r="F1393" s="176"/>
      <c r="G1393" s="176"/>
      <c r="H1393" s="176"/>
      <c r="I1393" s="176"/>
      <c r="J1393" s="176"/>
      <c r="K1393" s="176"/>
      <c r="L1393" s="176"/>
      <c r="M1393" s="176"/>
      <c r="N1393" s="176"/>
      <c r="O1393" s="176"/>
      <c r="P1393" s="176"/>
      <c r="Q1393" s="176"/>
      <c r="R1393" s="176"/>
      <c r="S1393" s="176"/>
      <c r="T1393" s="176"/>
      <c r="U1393" s="176"/>
      <c r="V1393" s="176"/>
      <c r="W1393" s="176"/>
      <c r="X1393" s="176"/>
      <c r="Y1393" s="176"/>
    </row>
    <row r="1394" spans="1:25">
      <c r="A1394" s="91"/>
      <c r="B1394" s="176"/>
      <c r="C1394" s="176"/>
      <c r="D1394" s="176"/>
      <c r="E1394" s="176"/>
      <c r="F1394" s="176"/>
      <c r="G1394" s="176"/>
      <c r="H1394" s="176"/>
      <c r="I1394" s="176"/>
      <c r="J1394" s="176"/>
      <c r="K1394" s="176"/>
      <c r="L1394" s="176"/>
      <c r="M1394" s="176"/>
      <c r="N1394" s="176"/>
      <c r="O1394" s="176"/>
      <c r="P1394" s="176"/>
      <c r="Q1394" s="176"/>
      <c r="R1394" s="176"/>
      <c r="S1394" s="176"/>
      <c r="T1394" s="176"/>
      <c r="U1394" s="176"/>
      <c r="V1394" s="176"/>
      <c r="W1394" s="176"/>
      <c r="X1394" s="176"/>
      <c r="Y1394" s="176"/>
    </row>
    <row r="1395" spans="1:25">
      <c r="A1395" s="91"/>
      <c r="B1395" s="176"/>
      <c r="C1395" s="176"/>
      <c r="D1395" s="176"/>
      <c r="E1395" s="176"/>
      <c r="F1395" s="176"/>
      <c r="G1395" s="176"/>
      <c r="H1395" s="176"/>
      <c r="I1395" s="176"/>
      <c r="J1395" s="176"/>
      <c r="K1395" s="176"/>
      <c r="L1395" s="176"/>
      <c r="M1395" s="176"/>
      <c r="N1395" s="176"/>
      <c r="O1395" s="176"/>
      <c r="P1395" s="176"/>
      <c r="Q1395" s="176"/>
      <c r="R1395" s="176"/>
      <c r="S1395" s="176"/>
      <c r="T1395" s="176"/>
      <c r="U1395" s="176"/>
      <c r="V1395" s="176"/>
      <c r="W1395" s="176"/>
      <c r="X1395" s="176"/>
      <c r="Y1395" s="176"/>
    </row>
    <row r="1396" spans="1:25">
      <c r="A1396" s="91"/>
      <c r="B1396" s="176"/>
      <c r="C1396" s="176"/>
      <c r="D1396" s="176"/>
      <c r="E1396" s="176"/>
      <c r="F1396" s="176"/>
      <c r="G1396" s="176"/>
      <c r="H1396" s="176"/>
      <c r="I1396" s="176"/>
      <c r="J1396" s="176"/>
      <c r="K1396" s="176"/>
      <c r="L1396" s="176"/>
      <c r="M1396" s="176"/>
      <c r="N1396" s="176"/>
      <c r="O1396" s="176"/>
      <c r="P1396" s="176"/>
      <c r="Q1396" s="176"/>
      <c r="R1396" s="176"/>
      <c r="S1396" s="176"/>
      <c r="T1396" s="176"/>
      <c r="U1396" s="176"/>
      <c r="V1396" s="176"/>
      <c r="W1396" s="176"/>
      <c r="X1396" s="176"/>
      <c r="Y1396" s="176"/>
    </row>
    <row r="1397" spans="1:25">
      <c r="A1397" s="91"/>
      <c r="B1397" s="176"/>
      <c r="C1397" s="176"/>
      <c r="D1397" s="176"/>
      <c r="E1397" s="176"/>
      <c r="F1397" s="176"/>
      <c r="G1397" s="176"/>
      <c r="H1397" s="176"/>
      <c r="I1397" s="176"/>
      <c r="J1397" s="176"/>
      <c r="K1397" s="176"/>
      <c r="L1397" s="176"/>
      <c r="M1397" s="176"/>
      <c r="N1397" s="176"/>
      <c r="O1397" s="176"/>
      <c r="P1397" s="176"/>
      <c r="Q1397" s="176"/>
      <c r="R1397" s="176"/>
      <c r="S1397" s="176"/>
      <c r="T1397" s="176"/>
      <c r="U1397" s="176"/>
      <c r="V1397" s="176"/>
      <c r="W1397" s="176"/>
      <c r="X1397" s="176"/>
      <c r="Y1397" s="176"/>
    </row>
    <row r="1398" spans="1:25">
      <c r="A1398" s="91"/>
      <c r="B1398" s="176"/>
      <c r="C1398" s="176"/>
      <c r="D1398" s="176"/>
      <c r="E1398" s="176"/>
      <c r="F1398" s="176"/>
      <c r="G1398" s="176"/>
      <c r="H1398" s="176"/>
      <c r="I1398" s="176"/>
      <c r="J1398" s="176"/>
      <c r="K1398" s="176"/>
      <c r="L1398" s="176"/>
      <c r="M1398" s="176"/>
      <c r="N1398" s="176"/>
      <c r="O1398" s="176"/>
      <c r="P1398" s="176"/>
      <c r="Q1398" s="176"/>
      <c r="R1398" s="176"/>
      <c r="S1398" s="176"/>
      <c r="T1398" s="176"/>
      <c r="U1398" s="176"/>
      <c r="V1398" s="176"/>
      <c r="W1398" s="176"/>
      <c r="X1398" s="176"/>
      <c r="Y1398" s="176"/>
    </row>
    <row r="1399" spans="1:25">
      <c r="A1399" s="91"/>
      <c r="B1399" s="176"/>
      <c r="C1399" s="176"/>
      <c r="D1399" s="176"/>
      <c r="E1399" s="176"/>
      <c r="F1399" s="176"/>
      <c r="G1399" s="176"/>
      <c r="H1399" s="176"/>
      <c r="I1399" s="176"/>
      <c r="J1399" s="176"/>
      <c r="K1399" s="176"/>
      <c r="L1399" s="176"/>
      <c r="M1399" s="176"/>
      <c r="N1399" s="176"/>
      <c r="O1399" s="176"/>
      <c r="P1399" s="176"/>
      <c r="Q1399" s="176"/>
      <c r="R1399" s="176"/>
      <c r="S1399" s="176"/>
      <c r="T1399" s="176"/>
      <c r="U1399" s="176"/>
      <c r="V1399" s="176"/>
      <c r="W1399" s="176"/>
      <c r="X1399" s="176"/>
      <c r="Y1399" s="176"/>
    </row>
    <row r="1400" spans="1:25">
      <c r="A1400" s="91"/>
      <c r="B1400" s="176"/>
      <c r="C1400" s="176"/>
      <c r="D1400" s="176"/>
      <c r="E1400" s="176"/>
      <c r="F1400" s="176"/>
      <c r="G1400" s="176"/>
      <c r="H1400" s="176"/>
      <c r="I1400" s="176"/>
      <c r="J1400" s="176"/>
      <c r="K1400" s="176"/>
      <c r="L1400" s="176"/>
      <c r="M1400" s="176"/>
      <c r="N1400" s="176"/>
      <c r="O1400" s="176"/>
      <c r="P1400" s="176"/>
      <c r="Q1400" s="176"/>
      <c r="R1400" s="176"/>
      <c r="S1400" s="176"/>
      <c r="T1400" s="176"/>
      <c r="U1400" s="176"/>
      <c r="V1400" s="176"/>
      <c r="W1400" s="176"/>
      <c r="X1400" s="176"/>
      <c r="Y1400" s="176"/>
    </row>
    <row r="1401" spans="1:25">
      <c r="A1401" s="91"/>
      <c r="B1401" s="176"/>
      <c r="C1401" s="176"/>
      <c r="D1401" s="176"/>
      <c r="E1401" s="176"/>
      <c r="F1401" s="176"/>
      <c r="G1401" s="176"/>
      <c r="H1401" s="176"/>
      <c r="I1401" s="176"/>
      <c r="J1401" s="176"/>
      <c r="K1401" s="176"/>
      <c r="L1401" s="176"/>
      <c r="M1401" s="176"/>
      <c r="N1401" s="176"/>
      <c r="O1401" s="176"/>
      <c r="P1401" s="176"/>
      <c r="Q1401" s="176"/>
      <c r="R1401" s="176"/>
      <c r="S1401" s="176"/>
      <c r="T1401" s="176"/>
      <c r="U1401" s="176"/>
      <c r="V1401" s="176"/>
      <c r="W1401" s="176"/>
      <c r="X1401" s="176"/>
      <c r="Y1401" s="176"/>
    </row>
    <row r="1402" spans="1:25">
      <c r="A1402" s="91"/>
      <c r="B1402" s="176"/>
      <c r="C1402" s="176"/>
      <c r="D1402" s="176"/>
      <c r="E1402" s="176"/>
      <c r="F1402" s="176"/>
      <c r="G1402" s="176"/>
      <c r="H1402" s="176"/>
      <c r="I1402" s="176"/>
      <c r="J1402" s="176"/>
      <c r="K1402" s="176"/>
      <c r="L1402" s="176"/>
      <c r="M1402" s="176"/>
      <c r="N1402" s="176"/>
      <c r="O1402" s="176"/>
      <c r="P1402" s="176"/>
      <c r="Q1402" s="176"/>
      <c r="R1402" s="176"/>
      <c r="S1402" s="176"/>
      <c r="T1402" s="176"/>
      <c r="U1402" s="176"/>
      <c r="V1402" s="176"/>
      <c r="W1402" s="176"/>
      <c r="X1402" s="176"/>
      <c r="Y1402" s="176"/>
    </row>
    <row r="1403" spans="1:25">
      <c r="A1403" s="91"/>
      <c r="B1403" s="176"/>
      <c r="C1403" s="176"/>
      <c r="D1403" s="176"/>
      <c r="E1403" s="176"/>
      <c r="F1403" s="176"/>
      <c r="G1403" s="176"/>
      <c r="H1403" s="176"/>
      <c r="I1403" s="176"/>
      <c r="J1403" s="176"/>
      <c r="K1403" s="176"/>
      <c r="L1403" s="176"/>
      <c r="M1403" s="176"/>
      <c r="N1403" s="176"/>
      <c r="O1403" s="176"/>
      <c r="P1403" s="176"/>
      <c r="Q1403" s="176"/>
      <c r="R1403" s="176"/>
      <c r="S1403" s="176"/>
      <c r="T1403" s="176"/>
      <c r="U1403" s="176"/>
      <c r="V1403" s="176"/>
      <c r="W1403" s="176"/>
      <c r="X1403" s="176"/>
      <c r="Y1403" s="176"/>
    </row>
    <row r="1404" spans="1:25">
      <c r="A1404" s="91"/>
      <c r="B1404" s="176"/>
      <c r="C1404" s="176"/>
      <c r="D1404" s="176"/>
      <c r="E1404" s="176"/>
      <c r="F1404" s="176"/>
      <c r="G1404" s="176"/>
      <c r="H1404" s="176"/>
      <c r="I1404" s="176"/>
      <c r="J1404" s="176"/>
      <c r="K1404" s="176"/>
      <c r="L1404" s="176"/>
      <c r="M1404" s="176"/>
      <c r="N1404" s="176"/>
      <c r="O1404" s="176"/>
      <c r="P1404" s="176"/>
      <c r="Q1404" s="176"/>
      <c r="R1404" s="176"/>
      <c r="S1404" s="176"/>
      <c r="T1404" s="176"/>
      <c r="U1404" s="176"/>
      <c r="V1404" s="176"/>
      <c r="W1404" s="176"/>
      <c r="X1404" s="176"/>
      <c r="Y1404" s="176"/>
    </row>
    <row r="1405" spans="1:25">
      <c r="A1405" s="91"/>
      <c r="B1405" s="176"/>
      <c r="C1405" s="176"/>
      <c r="D1405" s="176"/>
      <c r="E1405" s="176"/>
      <c r="F1405" s="176"/>
      <c r="G1405" s="176"/>
      <c r="H1405" s="176"/>
      <c r="I1405" s="176"/>
      <c r="J1405" s="176"/>
      <c r="K1405" s="176"/>
      <c r="L1405" s="176"/>
      <c r="M1405" s="176"/>
      <c r="N1405" s="176"/>
      <c r="O1405" s="176"/>
      <c r="P1405" s="176"/>
      <c r="Q1405" s="176"/>
      <c r="R1405" s="176"/>
      <c r="S1405" s="176"/>
      <c r="T1405" s="176"/>
      <c r="U1405" s="176"/>
      <c r="V1405" s="176"/>
      <c r="W1405" s="176"/>
      <c r="X1405" s="176"/>
      <c r="Y1405" s="176"/>
    </row>
    <row r="1406" spans="1:25">
      <c r="A1406" s="91"/>
      <c r="B1406" s="176"/>
      <c r="C1406" s="176"/>
      <c r="D1406" s="176"/>
      <c r="E1406" s="176"/>
      <c r="F1406" s="176"/>
      <c r="G1406" s="176"/>
      <c r="H1406" s="176"/>
      <c r="I1406" s="176"/>
      <c r="J1406" s="176"/>
      <c r="K1406" s="176"/>
      <c r="L1406" s="176"/>
      <c r="M1406" s="176"/>
      <c r="N1406" s="176"/>
      <c r="O1406" s="176"/>
      <c r="P1406" s="176"/>
      <c r="Q1406" s="176"/>
      <c r="R1406" s="176"/>
      <c r="S1406" s="176"/>
      <c r="T1406" s="176"/>
      <c r="U1406" s="176"/>
      <c r="V1406" s="176"/>
      <c r="W1406" s="176"/>
      <c r="X1406" s="176"/>
      <c r="Y1406" s="176"/>
    </row>
    <row r="1407" spans="1:25">
      <c r="A1407" s="91"/>
      <c r="B1407" s="176"/>
      <c r="C1407" s="176"/>
      <c r="D1407" s="176"/>
      <c r="E1407" s="176"/>
      <c r="F1407" s="176"/>
      <c r="G1407" s="176"/>
      <c r="H1407" s="176"/>
      <c r="I1407" s="176"/>
      <c r="J1407" s="176"/>
      <c r="K1407" s="176"/>
      <c r="L1407" s="176"/>
      <c r="M1407" s="176"/>
      <c r="N1407" s="176"/>
      <c r="O1407" s="176"/>
      <c r="P1407" s="176"/>
      <c r="Q1407" s="176"/>
      <c r="R1407" s="176"/>
      <c r="S1407" s="176"/>
      <c r="T1407" s="176"/>
      <c r="U1407" s="176"/>
      <c r="V1407" s="176"/>
      <c r="W1407" s="176"/>
      <c r="X1407" s="176"/>
      <c r="Y1407" s="176"/>
    </row>
    <row r="1408" spans="1:25">
      <c r="A1408" s="91"/>
      <c r="B1408" s="176"/>
      <c r="C1408" s="176"/>
      <c r="D1408" s="176"/>
      <c r="E1408" s="176"/>
      <c r="F1408" s="176"/>
      <c r="G1408" s="176"/>
      <c r="H1408" s="176"/>
      <c r="I1408" s="176"/>
      <c r="J1408" s="176"/>
      <c r="K1408" s="176"/>
      <c r="L1408" s="176"/>
      <c r="M1408" s="176"/>
      <c r="N1408" s="176"/>
      <c r="O1408" s="176"/>
      <c r="P1408" s="176"/>
      <c r="Q1408" s="176"/>
      <c r="R1408" s="176"/>
      <c r="S1408" s="176"/>
      <c r="T1408" s="176"/>
      <c r="U1408" s="176"/>
      <c r="V1408" s="176"/>
      <c r="W1408" s="176"/>
      <c r="X1408" s="176"/>
      <c r="Y1408" s="176"/>
    </row>
    <row r="1409" spans="1:25">
      <c r="A1409" s="91"/>
      <c r="B1409" s="176"/>
      <c r="C1409" s="176"/>
      <c r="D1409" s="176"/>
      <c r="E1409" s="176"/>
      <c r="F1409" s="176"/>
      <c r="G1409" s="176"/>
      <c r="H1409" s="176"/>
      <c r="I1409" s="176"/>
      <c r="J1409" s="176"/>
      <c r="K1409" s="176"/>
      <c r="L1409" s="176"/>
      <c r="M1409" s="176"/>
      <c r="N1409" s="176"/>
      <c r="O1409" s="176"/>
      <c r="P1409" s="176"/>
      <c r="Q1409" s="176"/>
      <c r="R1409" s="176"/>
      <c r="S1409" s="176"/>
      <c r="T1409" s="176"/>
      <c r="U1409" s="176"/>
      <c r="V1409" s="176"/>
      <c r="W1409" s="176"/>
      <c r="X1409" s="176"/>
      <c r="Y1409" s="176"/>
    </row>
    <row r="1410" spans="1:25">
      <c r="A1410" s="91"/>
      <c r="B1410" s="176"/>
      <c r="C1410" s="176"/>
      <c r="D1410" s="176"/>
      <c r="E1410" s="176"/>
      <c r="F1410" s="176"/>
      <c r="G1410" s="176"/>
      <c r="H1410" s="176"/>
      <c r="I1410" s="176"/>
      <c r="J1410" s="176"/>
      <c r="K1410" s="176"/>
      <c r="L1410" s="176"/>
      <c r="M1410" s="176"/>
      <c r="N1410" s="176"/>
      <c r="O1410" s="176"/>
      <c r="P1410" s="176"/>
      <c r="Q1410" s="176"/>
      <c r="R1410" s="176"/>
      <c r="S1410" s="176"/>
      <c r="T1410" s="176"/>
      <c r="U1410" s="176"/>
      <c r="V1410" s="176"/>
      <c r="W1410" s="176"/>
      <c r="X1410" s="176"/>
      <c r="Y1410" s="176"/>
    </row>
    <row r="1411" spans="1:25">
      <c r="A1411" s="91"/>
      <c r="B1411" s="176"/>
      <c r="C1411" s="176"/>
      <c r="D1411" s="176"/>
      <c r="E1411" s="176"/>
      <c r="F1411" s="176"/>
      <c r="G1411" s="176"/>
      <c r="H1411" s="176"/>
      <c r="I1411" s="176"/>
      <c r="J1411" s="176"/>
      <c r="K1411" s="176"/>
      <c r="L1411" s="176"/>
      <c r="M1411" s="176"/>
      <c r="N1411" s="176"/>
      <c r="O1411" s="176"/>
      <c r="P1411" s="176"/>
      <c r="Q1411" s="176"/>
      <c r="R1411" s="176"/>
      <c r="S1411" s="176"/>
      <c r="T1411" s="176"/>
      <c r="U1411" s="176"/>
      <c r="V1411" s="176"/>
      <c r="W1411" s="176"/>
      <c r="X1411" s="176"/>
      <c r="Y1411" s="176"/>
    </row>
    <row r="1412" spans="1:25">
      <c r="A1412" s="91"/>
      <c r="B1412" s="176"/>
      <c r="C1412" s="176"/>
      <c r="D1412" s="176"/>
      <c r="E1412" s="176"/>
      <c r="F1412" s="176"/>
      <c r="G1412" s="176"/>
      <c r="H1412" s="176"/>
      <c r="I1412" s="176"/>
      <c r="J1412" s="176"/>
      <c r="K1412" s="176"/>
      <c r="L1412" s="176"/>
      <c r="M1412" s="176"/>
      <c r="N1412" s="176"/>
      <c r="O1412" s="176"/>
      <c r="P1412" s="176"/>
      <c r="Q1412" s="176"/>
      <c r="R1412" s="176"/>
      <c r="S1412" s="176"/>
      <c r="T1412" s="176"/>
      <c r="U1412" s="176"/>
      <c r="V1412" s="176"/>
      <c r="W1412" s="176"/>
      <c r="X1412" s="176"/>
      <c r="Y1412" s="176"/>
    </row>
    <row r="1413" spans="1:25">
      <c r="A1413" s="91"/>
      <c r="B1413" s="176"/>
      <c r="C1413" s="176"/>
      <c r="D1413" s="176"/>
      <c r="E1413" s="176"/>
      <c r="F1413" s="176"/>
      <c r="G1413" s="176"/>
      <c r="H1413" s="176"/>
      <c r="I1413" s="176"/>
      <c r="J1413" s="176"/>
      <c r="K1413" s="176"/>
      <c r="L1413" s="176"/>
      <c r="M1413" s="176"/>
      <c r="N1413" s="176"/>
      <c r="O1413" s="176"/>
      <c r="P1413" s="176"/>
      <c r="Q1413" s="176"/>
      <c r="R1413" s="176"/>
      <c r="S1413" s="176"/>
      <c r="T1413" s="176"/>
      <c r="U1413" s="176"/>
      <c r="V1413" s="176"/>
      <c r="W1413" s="176"/>
      <c r="X1413" s="176"/>
      <c r="Y1413" s="176"/>
    </row>
    <row r="1414" spans="1:25">
      <c r="A1414" s="91"/>
      <c r="B1414" s="176"/>
      <c r="C1414" s="176"/>
      <c r="D1414" s="176"/>
      <c r="E1414" s="176"/>
      <c r="F1414" s="176"/>
      <c r="G1414" s="176"/>
      <c r="H1414" s="176"/>
      <c r="I1414" s="176"/>
      <c r="J1414" s="176"/>
      <c r="K1414" s="176"/>
      <c r="L1414" s="176"/>
      <c r="M1414" s="176"/>
      <c r="N1414" s="176"/>
      <c r="O1414" s="176"/>
      <c r="P1414" s="176"/>
      <c r="Q1414" s="176"/>
      <c r="R1414" s="176"/>
      <c r="S1414" s="176"/>
      <c r="T1414" s="176"/>
      <c r="U1414" s="176"/>
      <c r="V1414" s="176"/>
      <c r="W1414" s="176"/>
      <c r="X1414" s="176"/>
      <c r="Y1414" s="176"/>
    </row>
    <row r="1415" spans="1:25">
      <c r="A1415" s="91"/>
      <c r="B1415" s="176"/>
      <c r="C1415" s="176"/>
      <c r="D1415" s="176"/>
      <c r="E1415" s="176"/>
      <c r="F1415" s="176"/>
      <c r="G1415" s="176"/>
      <c r="H1415" s="176"/>
      <c r="I1415" s="176"/>
      <c r="J1415" s="176"/>
      <c r="K1415" s="176"/>
      <c r="L1415" s="176"/>
      <c r="M1415" s="176"/>
      <c r="N1415" s="176"/>
      <c r="O1415" s="176"/>
      <c r="P1415" s="176"/>
      <c r="Q1415" s="176"/>
      <c r="R1415" s="176"/>
      <c r="S1415" s="176"/>
      <c r="T1415" s="176"/>
      <c r="U1415" s="176"/>
      <c r="V1415" s="176"/>
      <c r="W1415" s="176"/>
      <c r="X1415" s="176"/>
      <c r="Y1415" s="176"/>
    </row>
    <row r="1416" spans="1:25">
      <c r="A1416" s="91"/>
      <c r="B1416" s="176"/>
      <c r="C1416" s="176"/>
      <c r="D1416" s="176"/>
      <c r="E1416" s="176"/>
      <c r="F1416" s="176"/>
      <c r="G1416" s="176"/>
      <c r="H1416" s="176"/>
      <c r="I1416" s="176"/>
      <c r="J1416" s="176"/>
      <c r="K1416" s="176"/>
      <c r="L1416" s="176"/>
      <c r="M1416" s="176"/>
      <c r="N1416" s="176"/>
      <c r="O1416" s="176"/>
      <c r="P1416" s="176"/>
      <c r="Q1416" s="176"/>
      <c r="R1416" s="176"/>
      <c r="S1416" s="176"/>
      <c r="T1416" s="176"/>
      <c r="U1416" s="176"/>
      <c r="V1416" s="176"/>
      <c r="W1416" s="176"/>
      <c r="X1416" s="176"/>
      <c r="Y1416" s="176"/>
    </row>
    <row r="1417" spans="1:25">
      <c r="A1417" s="91"/>
      <c r="B1417" s="176"/>
      <c r="C1417" s="176"/>
      <c r="D1417" s="176"/>
      <c r="E1417" s="176"/>
      <c r="F1417" s="176"/>
      <c r="G1417" s="176"/>
      <c r="H1417" s="176"/>
      <c r="I1417" s="176"/>
      <c r="J1417" s="176"/>
      <c r="K1417" s="176"/>
      <c r="L1417" s="176"/>
      <c r="M1417" s="176"/>
      <c r="N1417" s="176"/>
      <c r="O1417" s="176"/>
      <c r="P1417" s="176"/>
      <c r="Q1417" s="176"/>
      <c r="R1417" s="176"/>
      <c r="S1417" s="176"/>
      <c r="T1417" s="176"/>
      <c r="U1417" s="176"/>
      <c r="V1417" s="176"/>
      <c r="W1417" s="176"/>
      <c r="X1417" s="176"/>
      <c r="Y1417" s="176"/>
    </row>
    <row r="1418" spans="1:25">
      <c r="A1418" s="91"/>
      <c r="B1418" s="176"/>
      <c r="C1418" s="176"/>
      <c r="D1418" s="176"/>
      <c r="E1418" s="176"/>
      <c r="F1418" s="176"/>
      <c r="G1418" s="176"/>
      <c r="H1418" s="176"/>
      <c r="I1418" s="176"/>
      <c r="J1418" s="176"/>
      <c r="K1418" s="176"/>
      <c r="L1418" s="176"/>
      <c r="M1418" s="176"/>
      <c r="N1418" s="176"/>
      <c r="O1418" s="176"/>
      <c r="P1418" s="176"/>
      <c r="Q1418" s="176"/>
      <c r="R1418" s="176"/>
      <c r="S1418" s="176"/>
      <c r="T1418" s="176"/>
      <c r="U1418" s="176"/>
      <c r="V1418" s="176"/>
      <c r="W1418" s="176"/>
      <c r="X1418" s="176"/>
      <c r="Y1418" s="176"/>
    </row>
    <row r="1419" spans="1:25">
      <c r="A1419" s="91"/>
      <c r="B1419" s="176"/>
      <c r="C1419" s="176"/>
      <c r="D1419" s="176"/>
      <c r="E1419" s="176"/>
      <c r="F1419" s="176"/>
      <c r="G1419" s="176"/>
      <c r="H1419" s="176"/>
      <c r="I1419" s="176"/>
      <c r="J1419" s="176"/>
      <c r="K1419" s="176"/>
      <c r="L1419" s="176"/>
      <c r="M1419" s="176"/>
      <c r="N1419" s="176"/>
      <c r="O1419" s="176"/>
      <c r="P1419" s="176"/>
      <c r="Q1419" s="176"/>
      <c r="R1419" s="176"/>
      <c r="S1419" s="176"/>
      <c r="T1419" s="176"/>
      <c r="U1419" s="176"/>
      <c r="V1419" s="176"/>
      <c r="W1419" s="176"/>
      <c r="X1419" s="176"/>
      <c r="Y1419" s="176"/>
    </row>
    <row r="1420" spans="1:25">
      <c r="A1420" s="91"/>
      <c r="B1420" s="176"/>
      <c r="C1420" s="176"/>
      <c r="D1420" s="176"/>
      <c r="E1420" s="176"/>
      <c r="F1420" s="176"/>
      <c r="G1420" s="176"/>
      <c r="H1420" s="176"/>
      <c r="I1420" s="176"/>
      <c r="J1420" s="176"/>
      <c r="K1420" s="176"/>
      <c r="L1420" s="176"/>
      <c r="M1420" s="176"/>
      <c r="N1420" s="176"/>
      <c r="O1420" s="176"/>
      <c r="P1420" s="176"/>
      <c r="Q1420" s="176"/>
      <c r="R1420" s="176"/>
      <c r="S1420" s="176"/>
      <c r="T1420" s="176"/>
      <c r="U1420" s="176"/>
      <c r="V1420" s="176"/>
      <c r="W1420" s="176"/>
      <c r="X1420" s="176"/>
      <c r="Y1420" s="176"/>
    </row>
    <row r="1421" spans="1:25">
      <c r="A1421" s="91"/>
      <c r="B1421" s="176"/>
      <c r="C1421" s="176"/>
      <c r="D1421" s="176"/>
      <c r="E1421" s="176"/>
      <c r="F1421" s="176"/>
      <c r="G1421" s="176"/>
      <c r="H1421" s="176"/>
      <c r="I1421" s="176"/>
      <c r="J1421" s="176"/>
      <c r="K1421" s="176"/>
      <c r="L1421" s="176"/>
      <c r="M1421" s="176"/>
      <c r="N1421" s="176"/>
      <c r="O1421" s="176"/>
      <c r="P1421" s="176"/>
      <c r="Q1421" s="176"/>
      <c r="R1421" s="176"/>
      <c r="S1421" s="176"/>
      <c r="T1421" s="176"/>
      <c r="U1421" s="176"/>
      <c r="V1421" s="176"/>
      <c r="W1421" s="176"/>
      <c r="X1421" s="176"/>
      <c r="Y1421" s="176"/>
    </row>
    <row r="1422" spans="1:25">
      <c r="A1422" s="91"/>
      <c r="B1422" s="176"/>
      <c r="C1422" s="176"/>
      <c r="D1422" s="176"/>
      <c r="E1422" s="176"/>
      <c r="F1422" s="176"/>
      <c r="G1422" s="176"/>
      <c r="H1422" s="176"/>
      <c r="I1422" s="176"/>
      <c r="J1422" s="176"/>
      <c r="K1422" s="176"/>
      <c r="L1422" s="176"/>
      <c r="M1422" s="176"/>
      <c r="N1422" s="176"/>
      <c r="O1422" s="176"/>
      <c r="P1422" s="176"/>
      <c r="Q1422" s="176"/>
      <c r="R1422" s="176"/>
      <c r="S1422" s="176"/>
      <c r="T1422" s="176"/>
      <c r="U1422" s="176"/>
      <c r="V1422" s="176"/>
      <c r="W1422" s="176"/>
      <c r="X1422" s="176"/>
      <c r="Y1422" s="176"/>
    </row>
    <row r="1423" spans="1:25">
      <c r="A1423" s="91"/>
      <c r="B1423" s="176"/>
      <c r="C1423" s="176"/>
      <c r="D1423" s="176"/>
      <c r="E1423" s="176"/>
      <c r="F1423" s="176"/>
      <c r="G1423" s="176"/>
      <c r="H1423" s="176"/>
      <c r="I1423" s="176"/>
      <c r="J1423" s="176"/>
      <c r="K1423" s="176"/>
      <c r="L1423" s="176"/>
      <c r="M1423" s="176"/>
      <c r="N1423" s="176"/>
      <c r="O1423" s="176"/>
      <c r="P1423" s="176"/>
      <c r="Q1423" s="176"/>
      <c r="R1423" s="176"/>
      <c r="S1423" s="176"/>
      <c r="T1423" s="176"/>
      <c r="U1423" s="176"/>
      <c r="V1423" s="176"/>
      <c r="W1423" s="176"/>
      <c r="X1423" s="176"/>
      <c r="Y1423" s="176"/>
    </row>
    <row r="1424" spans="1:25">
      <c r="A1424" s="91"/>
      <c r="B1424" s="176"/>
      <c r="C1424" s="176"/>
      <c r="D1424" s="176"/>
      <c r="E1424" s="176"/>
      <c r="F1424" s="176"/>
      <c r="G1424" s="176"/>
      <c r="H1424" s="176"/>
      <c r="I1424" s="176"/>
      <c r="J1424" s="176"/>
      <c r="K1424" s="176"/>
      <c r="L1424" s="176"/>
      <c r="M1424" s="176"/>
      <c r="N1424" s="176"/>
      <c r="O1424" s="176"/>
      <c r="P1424" s="176"/>
      <c r="Q1424" s="176"/>
      <c r="R1424" s="176"/>
      <c r="S1424" s="176"/>
      <c r="T1424" s="176"/>
      <c r="U1424" s="176"/>
      <c r="V1424" s="176"/>
      <c r="W1424" s="176"/>
      <c r="X1424" s="176"/>
      <c r="Y1424" s="176"/>
    </row>
    <row r="1425" spans="1:25">
      <c r="A1425" s="91"/>
      <c r="B1425" s="176"/>
      <c r="C1425" s="176"/>
      <c r="D1425" s="176"/>
      <c r="E1425" s="176"/>
      <c r="F1425" s="176"/>
      <c r="G1425" s="176"/>
      <c r="H1425" s="176"/>
      <c r="I1425" s="176"/>
      <c r="J1425" s="176"/>
      <c r="K1425" s="176"/>
      <c r="L1425" s="176"/>
      <c r="M1425" s="176"/>
      <c r="N1425" s="176"/>
      <c r="O1425" s="176"/>
      <c r="P1425" s="176"/>
      <c r="Q1425" s="176"/>
      <c r="R1425" s="176"/>
      <c r="S1425" s="176"/>
      <c r="T1425" s="176"/>
      <c r="U1425" s="176"/>
      <c r="V1425" s="176"/>
      <c r="W1425" s="176"/>
      <c r="X1425" s="176"/>
      <c r="Y1425" s="176"/>
    </row>
    <row r="1426" spans="1:25">
      <c r="A1426" s="91"/>
      <c r="B1426" s="176"/>
      <c r="C1426" s="176"/>
      <c r="D1426" s="176"/>
      <c r="E1426" s="176"/>
      <c r="F1426" s="176"/>
      <c r="G1426" s="176"/>
      <c r="H1426" s="176"/>
      <c r="I1426" s="176"/>
      <c r="J1426" s="176"/>
      <c r="K1426" s="176"/>
      <c r="L1426" s="176"/>
      <c r="M1426" s="176"/>
      <c r="N1426" s="176"/>
      <c r="O1426" s="176"/>
      <c r="P1426" s="176"/>
      <c r="Q1426" s="176"/>
      <c r="R1426" s="176"/>
      <c r="S1426" s="176"/>
      <c r="T1426" s="176"/>
      <c r="U1426" s="176"/>
      <c r="V1426" s="176"/>
      <c r="W1426" s="176"/>
      <c r="X1426" s="176"/>
      <c r="Y1426" s="176"/>
    </row>
    <row r="1427" spans="1:25">
      <c r="A1427" s="91"/>
      <c r="B1427" s="176"/>
      <c r="C1427" s="176"/>
      <c r="D1427" s="176"/>
      <c r="E1427" s="176"/>
      <c r="F1427" s="176"/>
      <c r="G1427" s="176"/>
      <c r="H1427" s="176"/>
      <c r="I1427" s="176"/>
      <c r="J1427" s="176"/>
      <c r="K1427" s="176"/>
      <c r="L1427" s="176"/>
      <c r="M1427" s="176"/>
      <c r="N1427" s="176"/>
      <c r="O1427" s="176"/>
      <c r="P1427" s="176"/>
      <c r="Q1427" s="176"/>
      <c r="R1427" s="176"/>
      <c r="S1427" s="176"/>
      <c r="T1427" s="176"/>
      <c r="U1427" s="176"/>
      <c r="V1427" s="176"/>
      <c r="W1427" s="176"/>
      <c r="X1427" s="176"/>
      <c r="Y1427" s="176"/>
    </row>
    <row r="1428" spans="1:25">
      <c r="A1428" s="91"/>
      <c r="B1428" s="176"/>
      <c r="C1428" s="176"/>
      <c r="D1428" s="176"/>
      <c r="E1428" s="176"/>
      <c r="F1428" s="176"/>
      <c r="G1428" s="176"/>
      <c r="H1428" s="176"/>
      <c r="I1428" s="176"/>
      <c r="J1428" s="176"/>
      <c r="K1428" s="176"/>
      <c r="L1428" s="176"/>
      <c r="M1428" s="176"/>
      <c r="N1428" s="176"/>
      <c r="O1428" s="176"/>
      <c r="P1428" s="176"/>
      <c r="Q1428" s="176"/>
      <c r="R1428" s="176"/>
      <c r="S1428" s="176"/>
      <c r="T1428" s="176"/>
      <c r="U1428" s="176"/>
      <c r="V1428" s="176"/>
      <c r="W1428" s="176"/>
      <c r="X1428" s="176"/>
      <c r="Y1428" s="176"/>
    </row>
    <row r="1429" spans="1:25">
      <c r="A1429" s="91"/>
      <c r="B1429" s="176"/>
      <c r="C1429" s="176"/>
      <c r="D1429" s="176"/>
      <c r="E1429" s="176"/>
      <c r="F1429" s="176"/>
      <c r="G1429" s="176"/>
      <c r="H1429" s="176"/>
      <c r="I1429" s="176"/>
      <c r="J1429" s="176"/>
      <c r="K1429" s="176"/>
      <c r="L1429" s="176"/>
      <c r="M1429" s="176"/>
      <c r="N1429" s="176"/>
      <c r="O1429" s="176"/>
      <c r="P1429" s="176"/>
      <c r="Q1429" s="176"/>
      <c r="R1429" s="176"/>
      <c r="S1429" s="176"/>
      <c r="T1429" s="176"/>
      <c r="U1429" s="176"/>
      <c r="V1429" s="176"/>
      <c r="W1429" s="176"/>
      <c r="X1429" s="176"/>
      <c r="Y1429" s="176"/>
    </row>
    <row r="1430" spans="1:25">
      <c r="A1430" s="91"/>
      <c r="B1430" s="176"/>
      <c r="C1430" s="176"/>
      <c r="D1430" s="176"/>
      <c r="E1430" s="176"/>
      <c r="F1430" s="176"/>
      <c r="G1430" s="176"/>
      <c r="H1430" s="176"/>
      <c r="I1430" s="176"/>
      <c r="J1430" s="176"/>
      <c r="K1430" s="176"/>
      <c r="L1430" s="176"/>
      <c r="M1430" s="176"/>
      <c r="N1430" s="176"/>
      <c r="O1430" s="176"/>
      <c r="P1430" s="176"/>
      <c r="Q1430" s="176"/>
      <c r="R1430" s="176"/>
      <c r="S1430" s="176"/>
      <c r="T1430" s="176"/>
      <c r="U1430" s="176"/>
      <c r="V1430" s="176"/>
      <c r="W1430" s="176"/>
      <c r="X1430" s="176"/>
      <c r="Y1430" s="176"/>
    </row>
    <row r="1431" spans="1:25">
      <c r="A1431" s="91"/>
      <c r="B1431" s="176"/>
      <c r="C1431" s="176"/>
      <c r="D1431" s="176"/>
      <c r="E1431" s="176"/>
      <c r="F1431" s="176"/>
      <c r="G1431" s="176"/>
      <c r="H1431" s="176"/>
      <c r="I1431" s="176"/>
      <c r="J1431" s="176"/>
      <c r="K1431" s="176"/>
      <c r="L1431" s="176"/>
      <c r="M1431" s="176"/>
      <c r="N1431" s="176"/>
      <c r="O1431" s="176"/>
      <c r="P1431" s="176"/>
      <c r="Q1431" s="176"/>
      <c r="R1431" s="176"/>
      <c r="S1431" s="176"/>
      <c r="T1431" s="176"/>
      <c r="U1431" s="176"/>
      <c r="V1431" s="176"/>
      <c r="W1431" s="176"/>
      <c r="X1431" s="176"/>
      <c r="Y1431" s="176"/>
    </row>
    <row r="1432" spans="1:25">
      <c r="A1432" s="91"/>
      <c r="B1432" s="176"/>
      <c r="C1432" s="176"/>
      <c r="D1432" s="176"/>
      <c r="E1432" s="176"/>
      <c r="F1432" s="176"/>
      <c r="G1432" s="176"/>
      <c r="H1432" s="176"/>
      <c r="I1432" s="176"/>
      <c r="J1432" s="176"/>
      <c r="K1432" s="176"/>
      <c r="L1432" s="176"/>
      <c r="M1432" s="176"/>
      <c r="N1432" s="176"/>
      <c r="O1432" s="176"/>
      <c r="P1432" s="176"/>
      <c r="Q1432" s="176"/>
      <c r="R1432" s="176"/>
      <c r="S1432" s="176"/>
      <c r="T1432" s="176"/>
      <c r="U1432" s="176"/>
      <c r="V1432" s="176"/>
      <c r="W1432" s="176"/>
      <c r="X1432" s="176"/>
      <c r="Y1432" s="176"/>
    </row>
    <row r="1433" spans="1:25">
      <c r="A1433" s="91"/>
      <c r="B1433" s="176"/>
      <c r="C1433" s="176"/>
      <c r="D1433" s="176"/>
      <c r="E1433" s="176"/>
      <c r="F1433" s="176"/>
      <c r="G1433" s="176"/>
      <c r="H1433" s="176"/>
      <c r="I1433" s="176"/>
      <c r="J1433" s="176"/>
      <c r="K1433" s="176"/>
      <c r="L1433" s="176"/>
      <c r="M1433" s="176"/>
      <c r="N1433" s="176"/>
      <c r="O1433" s="176"/>
      <c r="P1433" s="176"/>
      <c r="Q1433" s="176"/>
      <c r="R1433" s="176"/>
      <c r="S1433" s="176"/>
      <c r="T1433" s="176"/>
      <c r="U1433" s="176"/>
      <c r="V1433" s="176"/>
      <c r="W1433" s="176"/>
      <c r="X1433" s="176"/>
      <c r="Y1433" s="176"/>
    </row>
    <row r="1434" spans="1:25">
      <c r="A1434" s="91"/>
      <c r="B1434" s="176"/>
      <c r="C1434" s="176"/>
      <c r="D1434" s="176"/>
      <c r="E1434" s="176"/>
      <c r="F1434" s="176"/>
      <c r="G1434" s="176"/>
      <c r="H1434" s="176"/>
      <c r="I1434" s="176"/>
      <c r="J1434" s="176"/>
      <c r="K1434" s="176"/>
      <c r="L1434" s="176"/>
      <c r="M1434" s="176"/>
      <c r="N1434" s="176"/>
      <c r="O1434" s="176"/>
      <c r="P1434" s="176"/>
      <c r="Q1434" s="176"/>
      <c r="R1434" s="176"/>
      <c r="S1434" s="176"/>
      <c r="T1434" s="176"/>
      <c r="U1434" s="176"/>
      <c r="V1434" s="176"/>
      <c r="W1434" s="176"/>
      <c r="X1434" s="176"/>
      <c r="Y1434" s="176"/>
    </row>
    <row r="1435" spans="1:25">
      <c r="A1435" s="91"/>
      <c r="B1435" s="176"/>
      <c r="C1435" s="176"/>
      <c r="D1435" s="176"/>
      <c r="E1435" s="176"/>
      <c r="F1435" s="176"/>
      <c r="G1435" s="176"/>
      <c r="H1435" s="176"/>
      <c r="I1435" s="176"/>
      <c r="J1435" s="176"/>
      <c r="K1435" s="176"/>
      <c r="L1435" s="176"/>
      <c r="M1435" s="176"/>
      <c r="N1435" s="176"/>
      <c r="O1435" s="176"/>
      <c r="P1435" s="176"/>
      <c r="Q1435" s="176"/>
      <c r="R1435" s="176"/>
      <c r="S1435" s="176"/>
      <c r="T1435" s="176"/>
      <c r="U1435" s="176"/>
      <c r="V1435" s="176"/>
      <c r="W1435" s="176"/>
      <c r="X1435" s="176"/>
      <c r="Y1435" s="176"/>
    </row>
    <row r="1436" spans="1:25">
      <c r="A1436" s="91"/>
      <c r="B1436" s="176"/>
      <c r="C1436" s="176"/>
      <c r="D1436" s="176"/>
      <c r="E1436" s="176"/>
      <c r="F1436" s="176"/>
      <c r="G1436" s="176"/>
      <c r="H1436" s="176"/>
      <c r="I1436" s="176"/>
      <c r="J1436" s="176"/>
      <c r="K1436" s="176"/>
      <c r="L1436" s="176"/>
      <c r="M1436" s="176"/>
      <c r="N1436" s="176"/>
      <c r="O1436" s="176"/>
      <c r="P1436" s="176"/>
      <c r="Q1436" s="176"/>
      <c r="R1436" s="176"/>
      <c r="S1436" s="176"/>
      <c r="T1436" s="176"/>
      <c r="U1436" s="176"/>
      <c r="V1436" s="176"/>
      <c r="W1436" s="176"/>
      <c r="X1436" s="176"/>
      <c r="Y1436" s="176"/>
    </row>
    <row r="1437" spans="1:25">
      <c r="A1437" s="91"/>
      <c r="B1437" s="176"/>
      <c r="C1437" s="176"/>
      <c r="D1437" s="176"/>
      <c r="E1437" s="176"/>
      <c r="F1437" s="176"/>
      <c r="G1437" s="176"/>
      <c r="H1437" s="176"/>
      <c r="I1437" s="176"/>
      <c r="J1437" s="176"/>
      <c r="K1437" s="176"/>
      <c r="L1437" s="176"/>
      <c r="M1437" s="176"/>
      <c r="N1437" s="176"/>
      <c r="O1437" s="176"/>
      <c r="P1437" s="176"/>
      <c r="Q1437" s="176"/>
      <c r="R1437" s="176"/>
      <c r="S1437" s="176"/>
      <c r="T1437" s="176"/>
      <c r="U1437" s="176"/>
      <c r="V1437" s="176"/>
      <c r="W1437" s="176"/>
      <c r="X1437" s="176"/>
      <c r="Y1437" s="176"/>
    </row>
    <row r="1438" spans="1:25">
      <c r="A1438" s="91"/>
      <c r="B1438" s="176"/>
      <c r="C1438" s="176"/>
      <c r="D1438" s="176"/>
      <c r="E1438" s="176"/>
      <c r="F1438" s="176"/>
      <c r="G1438" s="176"/>
      <c r="H1438" s="176"/>
      <c r="I1438" s="176"/>
      <c r="J1438" s="176"/>
      <c r="K1438" s="176"/>
      <c r="L1438" s="176"/>
      <c r="M1438" s="176"/>
      <c r="N1438" s="176"/>
      <c r="O1438" s="176"/>
      <c r="P1438" s="176"/>
      <c r="Q1438" s="176"/>
      <c r="R1438" s="176"/>
      <c r="S1438" s="176"/>
      <c r="T1438" s="176"/>
      <c r="U1438" s="176"/>
      <c r="V1438" s="176"/>
      <c r="W1438" s="176"/>
      <c r="X1438" s="176"/>
      <c r="Y1438" s="176"/>
    </row>
    <row r="1439" spans="1:25">
      <c r="A1439" s="91"/>
      <c r="B1439" s="176"/>
      <c r="C1439" s="176"/>
      <c r="D1439" s="176"/>
      <c r="E1439" s="176"/>
      <c r="F1439" s="176"/>
      <c r="G1439" s="176"/>
      <c r="H1439" s="176"/>
      <c r="I1439" s="176"/>
      <c r="J1439" s="176"/>
      <c r="K1439" s="176"/>
      <c r="L1439" s="176"/>
      <c r="M1439" s="176"/>
      <c r="N1439" s="176"/>
      <c r="O1439" s="176"/>
      <c r="P1439" s="176"/>
      <c r="Q1439" s="176"/>
      <c r="R1439" s="176"/>
      <c r="S1439" s="176"/>
      <c r="T1439" s="176"/>
      <c r="U1439" s="176"/>
      <c r="V1439" s="176"/>
      <c r="W1439" s="176"/>
      <c r="X1439" s="176"/>
      <c r="Y1439" s="176"/>
    </row>
    <row r="1440" spans="1:25">
      <c r="A1440" s="91"/>
      <c r="B1440" s="176"/>
      <c r="C1440" s="176"/>
      <c r="D1440" s="176"/>
      <c r="E1440" s="176"/>
      <c r="F1440" s="176"/>
      <c r="G1440" s="176"/>
      <c r="H1440" s="176"/>
      <c r="I1440" s="176"/>
      <c r="J1440" s="176"/>
      <c r="K1440" s="176"/>
      <c r="L1440" s="176"/>
      <c r="M1440" s="176"/>
      <c r="N1440" s="176"/>
      <c r="O1440" s="176"/>
      <c r="P1440" s="176"/>
      <c r="Q1440" s="176"/>
      <c r="R1440" s="176"/>
      <c r="S1440" s="176"/>
      <c r="T1440" s="176"/>
      <c r="U1440" s="176"/>
      <c r="V1440" s="176"/>
      <c r="W1440" s="176"/>
      <c r="X1440" s="176"/>
      <c r="Y1440" s="176"/>
    </row>
    <row r="1441" spans="1:25">
      <c r="A1441" s="91"/>
      <c r="B1441" s="176"/>
      <c r="C1441" s="176"/>
      <c r="D1441" s="176"/>
      <c r="E1441" s="176"/>
      <c r="F1441" s="176"/>
      <c r="G1441" s="176"/>
      <c r="H1441" s="176"/>
      <c r="I1441" s="176"/>
      <c r="J1441" s="176"/>
      <c r="K1441" s="176"/>
      <c r="L1441" s="176"/>
      <c r="M1441" s="176"/>
      <c r="N1441" s="176"/>
      <c r="O1441" s="176"/>
      <c r="P1441" s="176"/>
      <c r="Q1441" s="176"/>
      <c r="R1441" s="176"/>
      <c r="S1441" s="176"/>
      <c r="T1441" s="176"/>
      <c r="U1441" s="176"/>
      <c r="V1441" s="176"/>
      <c r="W1441" s="176"/>
      <c r="X1441" s="176"/>
      <c r="Y1441" s="176"/>
    </row>
    <row r="1442" spans="1:25">
      <c r="A1442" s="91"/>
      <c r="B1442" s="176"/>
      <c r="C1442" s="176"/>
      <c r="D1442" s="176"/>
      <c r="E1442" s="176"/>
      <c r="F1442" s="176"/>
      <c r="G1442" s="176"/>
      <c r="H1442" s="176"/>
      <c r="I1442" s="176"/>
      <c r="J1442" s="176"/>
      <c r="K1442" s="176"/>
      <c r="L1442" s="176"/>
      <c r="M1442" s="176"/>
      <c r="N1442" s="176"/>
      <c r="O1442" s="176"/>
      <c r="P1442" s="176"/>
      <c r="Q1442" s="176"/>
      <c r="R1442" s="176"/>
      <c r="S1442" s="176"/>
      <c r="T1442" s="176"/>
      <c r="U1442" s="176"/>
      <c r="V1442" s="176"/>
      <c r="W1442" s="176"/>
      <c r="X1442" s="176"/>
      <c r="Y1442" s="176"/>
    </row>
    <row r="1443" spans="1:25">
      <c r="A1443" s="91"/>
      <c r="B1443" s="176"/>
      <c r="C1443" s="176"/>
      <c r="D1443" s="176"/>
      <c r="E1443" s="176"/>
      <c r="F1443" s="176"/>
      <c r="G1443" s="176"/>
      <c r="H1443" s="176"/>
      <c r="I1443" s="176"/>
      <c r="J1443" s="176"/>
      <c r="K1443" s="176"/>
      <c r="L1443" s="176"/>
      <c r="M1443" s="176"/>
      <c r="N1443" s="176"/>
      <c r="O1443" s="176"/>
      <c r="P1443" s="176"/>
      <c r="Q1443" s="176"/>
      <c r="R1443" s="176"/>
      <c r="S1443" s="176"/>
      <c r="T1443" s="176"/>
      <c r="U1443" s="176"/>
      <c r="V1443" s="176"/>
      <c r="W1443" s="176"/>
      <c r="X1443" s="176"/>
      <c r="Y1443" s="176"/>
    </row>
    <row r="1444" spans="1:25">
      <c r="A1444" s="91"/>
      <c r="B1444" s="176"/>
      <c r="C1444" s="176"/>
      <c r="D1444" s="176"/>
      <c r="E1444" s="176"/>
      <c r="F1444" s="176"/>
      <c r="G1444" s="176"/>
      <c r="H1444" s="176"/>
      <c r="I1444" s="176"/>
      <c r="J1444" s="176"/>
      <c r="K1444" s="176"/>
      <c r="L1444" s="176"/>
      <c r="M1444" s="176"/>
      <c r="N1444" s="176"/>
      <c r="O1444" s="176"/>
      <c r="P1444" s="176"/>
      <c r="Q1444" s="176"/>
      <c r="R1444" s="176"/>
      <c r="S1444" s="176"/>
      <c r="T1444" s="176"/>
      <c r="U1444" s="176"/>
      <c r="V1444" s="176"/>
      <c r="W1444" s="176"/>
      <c r="X1444" s="176"/>
      <c r="Y1444" s="176"/>
    </row>
    <row r="1445" spans="1:25">
      <c r="A1445" s="91"/>
      <c r="B1445" s="176"/>
      <c r="C1445" s="176"/>
      <c r="D1445" s="176"/>
      <c r="E1445" s="176"/>
      <c r="F1445" s="176"/>
      <c r="G1445" s="176"/>
      <c r="H1445" s="176"/>
      <c r="I1445" s="176"/>
      <c r="J1445" s="176"/>
      <c r="K1445" s="176"/>
      <c r="L1445" s="176"/>
      <c r="M1445" s="176"/>
      <c r="N1445" s="176"/>
      <c r="O1445" s="176"/>
      <c r="P1445" s="176"/>
      <c r="Q1445" s="176"/>
      <c r="R1445" s="176"/>
      <c r="S1445" s="176"/>
      <c r="T1445" s="176"/>
      <c r="U1445" s="176"/>
      <c r="V1445" s="176"/>
      <c r="W1445" s="176"/>
      <c r="X1445" s="176"/>
      <c r="Y1445" s="176"/>
    </row>
    <row r="1446" spans="1:25">
      <c r="A1446" s="91"/>
      <c r="B1446" s="176"/>
      <c r="C1446" s="176"/>
      <c r="D1446" s="176"/>
      <c r="E1446" s="176"/>
      <c r="F1446" s="176"/>
      <c r="G1446" s="176"/>
      <c r="H1446" s="176"/>
      <c r="I1446" s="176"/>
      <c r="J1446" s="176"/>
      <c r="K1446" s="176"/>
      <c r="L1446" s="176"/>
      <c r="M1446" s="176"/>
      <c r="N1446" s="176"/>
      <c r="O1446" s="176"/>
      <c r="P1446" s="176"/>
      <c r="Q1446" s="176"/>
      <c r="R1446" s="176"/>
      <c r="S1446" s="176"/>
      <c r="T1446" s="176"/>
      <c r="U1446" s="176"/>
      <c r="V1446" s="176"/>
      <c r="W1446" s="176"/>
      <c r="X1446" s="176"/>
      <c r="Y1446" s="176"/>
    </row>
    <row r="1447" spans="1:25">
      <c r="A1447" s="91"/>
      <c r="B1447" s="176"/>
      <c r="C1447" s="176"/>
      <c r="D1447" s="176"/>
      <c r="E1447" s="176"/>
      <c r="F1447" s="176"/>
      <c r="G1447" s="176"/>
      <c r="H1447" s="176"/>
      <c r="I1447" s="176"/>
      <c r="J1447" s="176"/>
      <c r="K1447" s="176"/>
      <c r="L1447" s="176"/>
      <c r="M1447" s="176"/>
      <c r="N1447" s="176"/>
      <c r="O1447" s="176"/>
      <c r="P1447" s="176"/>
      <c r="Q1447" s="176"/>
      <c r="R1447" s="176"/>
      <c r="S1447" s="176"/>
      <c r="T1447" s="176"/>
      <c r="U1447" s="176"/>
      <c r="V1447" s="176"/>
      <c r="W1447" s="176"/>
      <c r="X1447" s="176"/>
      <c r="Y1447" s="176"/>
    </row>
    <row r="1448" spans="1:25">
      <c r="A1448" s="91"/>
      <c r="B1448" s="176"/>
      <c r="C1448" s="176"/>
      <c r="D1448" s="176"/>
      <c r="E1448" s="176"/>
      <c r="F1448" s="176"/>
      <c r="G1448" s="176"/>
      <c r="H1448" s="176"/>
      <c r="I1448" s="176"/>
      <c r="J1448" s="176"/>
      <c r="K1448" s="176"/>
      <c r="L1448" s="176"/>
      <c r="M1448" s="176"/>
      <c r="N1448" s="176"/>
      <c r="O1448" s="176"/>
      <c r="P1448" s="176"/>
      <c r="Q1448" s="176"/>
      <c r="R1448" s="176"/>
      <c r="S1448" s="176"/>
      <c r="T1448" s="176"/>
      <c r="U1448" s="176"/>
      <c r="V1448" s="176"/>
      <c r="W1448" s="176"/>
      <c r="X1448" s="176"/>
      <c r="Y1448" s="176"/>
    </row>
    <row r="1449" spans="1:25">
      <c r="A1449" s="91"/>
      <c r="B1449" s="176"/>
      <c r="C1449" s="176"/>
      <c r="D1449" s="176"/>
      <c r="E1449" s="176"/>
      <c r="F1449" s="176"/>
      <c r="G1449" s="176"/>
      <c r="H1449" s="176"/>
      <c r="I1449" s="176"/>
      <c r="J1449" s="176"/>
      <c r="K1449" s="176"/>
      <c r="L1449" s="176"/>
      <c r="M1449" s="176"/>
      <c r="N1449" s="176"/>
      <c r="O1449" s="176"/>
      <c r="P1449" s="176"/>
      <c r="Q1449" s="176"/>
      <c r="R1449" s="176"/>
      <c r="S1449" s="176"/>
      <c r="T1449" s="176"/>
      <c r="U1449" s="176"/>
      <c r="V1449" s="176"/>
      <c r="W1449" s="176"/>
      <c r="X1449" s="176"/>
      <c r="Y1449" s="176"/>
    </row>
    <row r="1450" spans="1:25">
      <c r="A1450" s="91"/>
      <c r="B1450" s="176"/>
      <c r="C1450" s="176"/>
      <c r="D1450" s="176"/>
      <c r="E1450" s="176"/>
      <c r="F1450" s="176"/>
      <c r="G1450" s="176"/>
      <c r="H1450" s="176"/>
      <c r="I1450" s="176"/>
      <c r="J1450" s="176"/>
      <c r="K1450" s="176"/>
      <c r="L1450" s="176"/>
      <c r="M1450" s="176"/>
      <c r="N1450" s="176"/>
      <c r="O1450" s="176"/>
      <c r="P1450" s="176"/>
      <c r="Q1450" s="176"/>
      <c r="R1450" s="176"/>
      <c r="S1450" s="176"/>
      <c r="T1450" s="176"/>
      <c r="U1450" s="176"/>
      <c r="V1450" s="176"/>
      <c r="W1450" s="176"/>
      <c r="X1450" s="176"/>
      <c r="Y1450" s="176"/>
    </row>
    <row r="1451" spans="1:25">
      <c r="A1451" s="91"/>
      <c r="B1451" s="176"/>
      <c r="C1451" s="176"/>
      <c r="D1451" s="176"/>
      <c r="E1451" s="176"/>
      <c r="F1451" s="176"/>
      <c r="G1451" s="176"/>
      <c r="H1451" s="176"/>
      <c r="I1451" s="176"/>
      <c r="J1451" s="176"/>
      <c r="K1451" s="176"/>
      <c r="L1451" s="176"/>
      <c r="M1451" s="176"/>
      <c r="N1451" s="176"/>
      <c r="O1451" s="176"/>
      <c r="P1451" s="176"/>
      <c r="Q1451" s="176"/>
      <c r="R1451" s="176"/>
      <c r="S1451" s="176"/>
      <c r="T1451" s="176"/>
      <c r="U1451" s="176"/>
      <c r="V1451" s="176"/>
      <c r="W1451" s="176"/>
      <c r="X1451" s="176"/>
      <c r="Y1451" s="176"/>
    </row>
    <row r="1452" spans="1:25">
      <c r="A1452" s="91"/>
      <c r="B1452" s="176"/>
      <c r="C1452" s="176"/>
      <c r="D1452" s="176"/>
      <c r="E1452" s="176"/>
      <c r="F1452" s="176"/>
      <c r="G1452" s="176"/>
      <c r="H1452" s="176"/>
      <c r="I1452" s="176"/>
      <c r="J1452" s="176"/>
      <c r="K1452" s="176"/>
      <c r="L1452" s="176"/>
      <c r="M1452" s="176"/>
      <c r="N1452" s="176"/>
      <c r="O1452" s="176"/>
      <c r="P1452" s="176"/>
      <c r="Q1452" s="176"/>
      <c r="R1452" s="176"/>
      <c r="S1452" s="176"/>
      <c r="T1452" s="176"/>
      <c r="U1452" s="176"/>
      <c r="V1452" s="176"/>
      <c r="W1452" s="176"/>
      <c r="X1452" s="176"/>
      <c r="Y1452" s="176"/>
    </row>
    <row r="1453" spans="1:25">
      <c r="A1453" s="91"/>
      <c r="B1453" s="176"/>
      <c r="C1453" s="176"/>
      <c r="D1453" s="176"/>
      <c r="E1453" s="176"/>
      <c r="F1453" s="176"/>
      <c r="G1453" s="176"/>
      <c r="H1453" s="176"/>
      <c r="I1453" s="176"/>
      <c r="J1453" s="176"/>
      <c r="K1453" s="176"/>
      <c r="L1453" s="176"/>
      <c r="M1453" s="176"/>
      <c r="N1453" s="176"/>
      <c r="O1453" s="176"/>
      <c r="P1453" s="176"/>
      <c r="Q1453" s="176"/>
      <c r="R1453" s="176"/>
      <c r="S1453" s="176"/>
      <c r="T1453" s="176"/>
      <c r="U1453" s="176"/>
      <c r="V1453" s="176"/>
      <c r="W1453" s="176"/>
      <c r="X1453" s="176"/>
      <c r="Y1453" s="176"/>
    </row>
    <row r="1454" spans="1:25">
      <c r="A1454" s="91"/>
      <c r="B1454" s="176"/>
      <c r="C1454" s="176"/>
      <c r="D1454" s="176"/>
      <c r="E1454" s="176"/>
      <c r="F1454" s="176"/>
      <c r="G1454" s="176"/>
      <c r="H1454" s="176"/>
      <c r="I1454" s="176"/>
      <c r="J1454" s="176"/>
      <c r="K1454" s="176"/>
      <c r="L1454" s="176"/>
      <c r="M1454" s="176"/>
      <c r="N1454" s="176"/>
      <c r="O1454" s="176"/>
      <c r="P1454" s="176"/>
      <c r="Q1454" s="176"/>
      <c r="R1454" s="176"/>
      <c r="S1454" s="176"/>
      <c r="T1454" s="176"/>
      <c r="U1454" s="176"/>
      <c r="V1454" s="176"/>
      <c r="W1454" s="176"/>
      <c r="X1454" s="176"/>
      <c r="Y1454" s="176"/>
    </row>
    <row r="1455" spans="1:25">
      <c r="A1455" s="91"/>
      <c r="B1455" s="176"/>
      <c r="C1455" s="176"/>
      <c r="D1455" s="176"/>
      <c r="E1455" s="176"/>
      <c r="F1455" s="176"/>
      <c r="G1455" s="176"/>
      <c r="H1455" s="176"/>
      <c r="I1455" s="176"/>
      <c r="J1455" s="176"/>
      <c r="K1455" s="176"/>
      <c r="L1455" s="176"/>
      <c r="M1455" s="176"/>
      <c r="N1455" s="176"/>
      <c r="O1455" s="176"/>
      <c r="P1455" s="176"/>
      <c r="Q1455" s="176"/>
      <c r="R1455" s="176"/>
      <c r="S1455" s="176"/>
      <c r="T1455" s="176"/>
      <c r="U1455" s="176"/>
      <c r="V1455" s="176"/>
      <c r="W1455" s="176"/>
      <c r="X1455" s="176"/>
      <c r="Y1455" s="176"/>
    </row>
    <row r="1456" spans="1:25">
      <c r="A1456" s="91"/>
      <c r="B1456" s="176"/>
      <c r="C1456" s="176"/>
      <c r="D1456" s="176"/>
      <c r="E1456" s="176"/>
      <c r="F1456" s="176"/>
      <c r="G1456" s="176"/>
      <c r="H1456" s="176"/>
      <c r="I1456" s="176"/>
      <c r="J1456" s="176"/>
      <c r="K1456" s="176"/>
      <c r="L1456" s="176"/>
      <c r="M1456" s="176"/>
      <c r="N1456" s="176"/>
      <c r="O1456" s="176"/>
      <c r="P1456" s="176"/>
      <c r="Q1456" s="176"/>
      <c r="R1456" s="176"/>
      <c r="S1456" s="176"/>
      <c r="T1456" s="176"/>
      <c r="U1456" s="176"/>
      <c r="V1456" s="176"/>
      <c r="W1456" s="176"/>
      <c r="X1456" s="176"/>
      <c r="Y1456" s="176"/>
    </row>
    <row r="1457" spans="1:25">
      <c r="A1457" s="91"/>
      <c r="B1457" s="176"/>
      <c r="C1457" s="176"/>
      <c r="D1457" s="176"/>
      <c r="E1457" s="176"/>
      <c r="F1457" s="176"/>
      <c r="G1457" s="176"/>
      <c r="H1457" s="176"/>
      <c r="I1457" s="176"/>
      <c r="J1457" s="176"/>
      <c r="K1457" s="176"/>
      <c r="L1457" s="176"/>
      <c r="M1457" s="176"/>
      <c r="N1457" s="176"/>
      <c r="O1457" s="176"/>
      <c r="P1457" s="176"/>
      <c r="Q1457" s="176"/>
      <c r="R1457" s="176"/>
      <c r="S1457" s="176"/>
      <c r="T1457" s="176"/>
      <c r="U1457" s="176"/>
      <c r="V1457" s="176"/>
      <c r="W1457" s="176"/>
      <c r="X1457" s="176"/>
      <c r="Y1457" s="176"/>
    </row>
    <row r="1458" spans="1:25">
      <c r="A1458" s="91"/>
      <c r="B1458" s="176"/>
      <c r="C1458" s="176"/>
      <c r="D1458" s="176"/>
      <c r="E1458" s="176"/>
      <c r="F1458" s="176"/>
      <c r="G1458" s="176"/>
      <c r="H1458" s="176"/>
      <c r="I1458" s="176"/>
      <c r="J1458" s="176"/>
      <c r="K1458" s="176"/>
      <c r="L1458" s="176"/>
      <c r="M1458" s="176"/>
      <c r="N1458" s="176"/>
      <c r="O1458" s="176"/>
      <c r="P1458" s="176"/>
      <c r="Q1458" s="176"/>
      <c r="R1458" s="176"/>
      <c r="S1458" s="176"/>
      <c r="T1458" s="176"/>
      <c r="U1458" s="176"/>
      <c r="V1458" s="176"/>
      <c r="W1458" s="176"/>
      <c r="X1458" s="176"/>
      <c r="Y1458" s="176"/>
    </row>
    <row r="1459" spans="1:25">
      <c r="A1459" s="91"/>
      <c r="B1459" s="176"/>
      <c r="C1459" s="176"/>
      <c r="D1459" s="176"/>
      <c r="E1459" s="176"/>
      <c r="F1459" s="176"/>
      <c r="G1459" s="176"/>
      <c r="H1459" s="176"/>
      <c r="I1459" s="176"/>
      <c r="J1459" s="176"/>
      <c r="K1459" s="176"/>
      <c r="L1459" s="176"/>
      <c r="M1459" s="176"/>
      <c r="N1459" s="176"/>
      <c r="O1459" s="176"/>
      <c r="P1459" s="176"/>
      <c r="Q1459" s="176"/>
      <c r="R1459" s="176"/>
      <c r="S1459" s="176"/>
      <c r="T1459" s="176"/>
      <c r="U1459" s="176"/>
      <c r="V1459" s="176"/>
      <c r="W1459" s="176"/>
      <c r="X1459" s="176"/>
      <c r="Y1459" s="176"/>
    </row>
    <row r="1460" spans="1:25">
      <c r="A1460" s="91"/>
      <c r="B1460" s="176"/>
      <c r="C1460" s="176"/>
      <c r="D1460" s="176"/>
      <c r="E1460" s="176"/>
      <c r="F1460" s="176"/>
      <c r="G1460" s="176"/>
      <c r="H1460" s="176"/>
      <c r="I1460" s="176"/>
      <c r="J1460" s="176"/>
      <c r="K1460" s="176"/>
      <c r="L1460" s="176"/>
      <c r="M1460" s="176"/>
      <c r="N1460" s="176"/>
      <c r="O1460" s="176"/>
      <c r="P1460" s="176"/>
      <c r="Q1460" s="176"/>
      <c r="R1460" s="176"/>
      <c r="S1460" s="176"/>
      <c r="T1460" s="176"/>
      <c r="U1460" s="176"/>
      <c r="V1460" s="176"/>
      <c r="W1460" s="176"/>
      <c r="X1460" s="176"/>
      <c r="Y1460" s="176"/>
    </row>
    <row r="1461" spans="1:25">
      <c r="A1461" s="91"/>
      <c r="B1461" s="176"/>
      <c r="C1461" s="176"/>
      <c r="D1461" s="176"/>
      <c r="E1461" s="176"/>
      <c r="F1461" s="176"/>
      <c r="G1461" s="176"/>
      <c r="H1461" s="176"/>
      <c r="I1461" s="176"/>
      <c r="J1461" s="176"/>
      <c r="K1461" s="176"/>
      <c r="L1461" s="176"/>
      <c r="M1461" s="176"/>
      <c r="N1461" s="176"/>
      <c r="O1461" s="176"/>
      <c r="P1461" s="176"/>
      <c r="Q1461" s="176"/>
      <c r="R1461" s="176"/>
      <c r="S1461" s="176"/>
      <c r="T1461" s="176"/>
      <c r="U1461" s="176"/>
      <c r="V1461" s="176"/>
      <c r="W1461" s="176"/>
      <c r="X1461" s="176"/>
      <c r="Y1461" s="176"/>
    </row>
    <row r="1462" spans="1:25">
      <c r="A1462" s="91"/>
      <c r="B1462" s="176"/>
      <c r="C1462" s="176"/>
      <c r="D1462" s="176"/>
      <c r="E1462" s="176"/>
      <c r="F1462" s="176"/>
      <c r="G1462" s="176"/>
      <c r="H1462" s="176"/>
      <c r="I1462" s="176"/>
      <c r="J1462" s="176"/>
      <c r="K1462" s="176"/>
      <c r="L1462" s="176"/>
      <c r="M1462" s="176"/>
      <c r="N1462" s="176"/>
      <c r="O1462" s="176"/>
      <c r="P1462" s="176"/>
      <c r="Q1462" s="176"/>
      <c r="R1462" s="176"/>
      <c r="S1462" s="176"/>
      <c r="T1462" s="176"/>
      <c r="U1462" s="176"/>
      <c r="V1462" s="176"/>
      <c r="W1462" s="176"/>
      <c r="X1462" s="176"/>
      <c r="Y1462" s="176"/>
    </row>
    <row r="1463" spans="1:25">
      <c r="A1463" s="91"/>
      <c r="B1463" s="176"/>
      <c r="C1463" s="176"/>
      <c r="D1463" s="176"/>
      <c r="E1463" s="176"/>
      <c r="F1463" s="176"/>
      <c r="G1463" s="176"/>
      <c r="H1463" s="176"/>
      <c r="I1463" s="176"/>
      <c r="J1463" s="176"/>
      <c r="K1463" s="176"/>
      <c r="L1463" s="176"/>
      <c r="M1463" s="176"/>
      <c r="N1463" s="176"/>
      <c r="O1463" s="176"/>
      <c r="P1463" s="176"/>
      <c r="Q1463" s="176"/>
      <c r="R1463" s="176"/>
      <c r="S1463" s="176"/>
      <c r="T1463" s="176"/>
      <c r="U1463" s="176"/>
      <c r="V1463" s="176"/>
      <c r="W1463" s="176"/>
      <c r="X1463" s="176"/>
      <c r="Y1463" s="176"/>
    </row>
    <row r="1464" spans="1:25">
      <c r="A1464" s="91"/>
      <c r="B1464" s="176"/>
      <c r="C1464" s="176"/>
      <c r="D1464" s="176"/>
      <c r="E1464" s="176"/>
      <c r="F1464" s="176"/>
      <c r="G1464" s="176"/>
      <c r="H1464" s="176"/>
      <c r="I1464" s="176"/>
      <c r="J1464" s="176"/>
      <c r="K1464" s="176"/>
      <c r="L1464" s="176"/>
      <c r="M1464" s="176"/>
      <c r="N1464" s="176"/>
      <c r="O1464" s="176"/>
      <c r="P1464" s="176"/>
      <c r="Q1464" s="176"/>
      <c r="R1464" s="176"/>
      <c r="S1464" s="176"/>
      <c r="T1464" s="176"/>
      <c r="U1464" s="176"/>
      <c r="V1464" s="176"/>
      <c r="W1464" s="176"/>
      <c r="X1464" s="176"/>
      <c r="Y1464" s="176"/>
    </row>
    <row r="1465" spans="1:25">
      <c r="A1465" s="91"/>
      <c r="B1465" s="176"/>
      <c r="C1465" s="176"/>
      <c r="D1465" s="176"/>
      <c r="E1465" s="176"/>
      <c r="F1465" s="176"/>
      <c r="G1465" s="176"/>
      <c r="H1465" s="176"/>
      <c r="I1465" s="176"/>
      <c r="J1465" s="176"/>
      <c r="K1465" s="176"/>
      <c r="L1465" s="176"/>
      <c r="M1465" s="176"/>
      <c r="N1465" s="176"/>
      <c r="O1465" s="176"/>
      <c r="P1465" s="176"/>
      <c r="Q1465" s="176"/>
      <c r="R1465" s="176"/>
      <c r="S1465" s="176"/>
      <c r="T1465" s="176"/>
      <c r="U1465" s="176"/>
      <c r="V1465" s="176"/>
      <c r="W1465" s="176"/>
      <c r="X1465" s="176"/>
      <c r="Y1465" s="176"/>
    </row>
    <row r="1466" spans="1:25">
      <c r="A1466" s="91"/>
      <c r="B1466" s="176"/>
      <c r="C1466" s="176"/>
      <c r="D1466" s="176"/>
      <c r="E1466" s="176"/>
      <c r="F1466" s="176"/>
      <c r="G1466" s="176"/>
      <c r="H1466" s="176"/>
      <c r="I1466" s="176"/>
      <c r="J1466" s="176"/>
      <c r="K1466" s="176"/>
      <c r="L1466" s="176"/>
      <c r="M1466" s="176"/>
      <c r="N1466" s="176"/>
      <c r="O1466" s="176"/>
      <c r="P1466" s="176"/>
      <c r="Q1466" s="176"/>
      <c r="R1466" s="176"/>
      <c r="S1466" s="176"/>
      <c r="T1466" s="176"/>
      <c r="U1466" s="176"/>
      <c r="V1466" s="176"/>
      <c r="W1466" s="176"/>
      <c r="X1466" s="176"/>
      <c r="Y1466" s="176"/>
    </row>
    <row r="1467" spans="1:25">
      <c r="A1467" s="91"/>
      <c r="B1467" s="176"/>
      <c r="C1467" s="176"/>
      <c r="D1467" s="176"/>
      <c r="E1467" s="176"/>
      <c r="F1467" s="176"/>
      <c r="G1467" s="176"/>
      <c r="H1467" s="176"/>
      <c r="I1467" s="176"/>
      <c r="J1467" s="176"/>
      <c r="K1467" s="176"/>
      <c r="L1467" s="176"/>
      <c r="M1467" s="176"/>
      <c r="N1467" s="176"/>
      <c r="O1467" s="176"/>
      <c r="P1467" s="176"/>
      <c r="Q1467" s="176"/>
      <c r="R1467" s="176"/>
      <c r="S1467" s="176"/>
      <c r="T1467" s="176"/>
      <c r="U1467" s="176"/>
      <c r="V1467" s="176"/>
      <c r="W1467" s="176"/>
      <c r="X1467" s="176"/>
      <c r="Y1467" s="176"/>
    </row>
    <row r="1468" spans="1:25">
      <c r="A1468" s="91"/>
      <c r="B1468" s="176"/>
      <c r="C1468" s="176"/>
      <c r="D1468" s="176"/>
      <c r="E1468" s="176"/>
      <c r="F1468" s="176"/>
      <c r="G1468" s="176"/>
      <c r="H1468" s="176"/>
      <c r="I1468" s="176"/>
      <c r="J1468" s="176"/>
      <c r="K1468" s="176"/>
      <c r="L1468" s="176"/>
      <c r="M1468" s="176"/>
      <c r="N1468" s="176"/>
      <c r="O1468" s="176"/>
      <c r="P1468" s="176"/>
      <c r="Q1468" s="176"/>
      <c r="R1468" s="176"/>
      <c r="S1468" s="176"/>
      <c r="T1468" s="176"/>
      <c r="U1468" s="176"/>
      <c r="V1468" s="176"/>
      <c r="W1468" s="176"/>
      <c r="X1468" s="176"/>
      <c r="Y1468" s="176"/>
    </row>
    <row r="1469" spans="1:25">
      <c r="A1469" s="91"/>
      <c r="B1469" s="176"/>
      <c r="C1469" s="176"/>
      <c r="D1469" s="176"/>
      <c r="E1469" s="176"/>
      <c r="F1469" s="176"/>
      <c r="G1469" s="176"/>
      <c r="H1469" s="176"/>
      <c r="I1469" s="176"/>
      <c r="J1469" s="176"/>
      <c r="K1469" s="176"/>
      <c r="L1469" s="176"/>
      <c r="M1469" s="176"/>
      <c r="N1469" s="176"/>
      <c r="O1469" s="176"/>
      <c r="P1469" s="176"/>
      <c r="Q1469" s="176"/>
      <c r="R1469" s="176"/>
      <c r="S1469" s="176"/>
      <c r="T1469" s="176"/>
      <c r="U1469" s="176"/>
      <c r="V1469" s="176"/>
      <c r="W1469" s="176"/>
      <c r="X1469" s="176"/>
      <c r="Y1469" s="176"/>
    </row>
    <row r="1470" spans="1:25">
      <c r="A1470" s="91"/>
      <c r="B1470" s="176"/>
      <c r="C1470" s="176"/>
      <c r="D1470" s="176"/>
      <c r="E1470" s="176"/>
      <c r="F1470" s="176"/>
      <c r="G1470" s="176"/>
      <c r="H1470" s="176"/>
      <c r="I1470" s="176"/>
      <c r="J1470" s="176"/>
      <c r="K1470" s="176"/>
      <c r="L1470" s="176"/>
      <c r="M1470" s="176"/>
      <c r="N1470" s="176"/>
      <c r="O1470" s="176"/>
      <c r="P1470" s="176"/>
      <c r="Q1470" s="176"/>
      <c r="R1470" s="176"/>
      <c r="S1470" s="176"/>
      <c r="T1470" s="176"/>
      <c r="U1470" s="176"/>
      <c r="V1470" s="176"/>
      <c r="W1470" s="176"/>
      <c r="X1470" s="176"/>
      <c r="Y1470" s="176"/>
    </row>
    <row r="1471" spans="1:25">
      <c r="A1471" s="91"/>
      <c r="B1471" s="176"/>
      <c r="C1471" s="176"/>
      <c r="D1471" s="176"/>
      <c r="E1471" s="176"/>
      <c r="F1471" s="176"/>
      <c r="G1471" s="176"/>
      <c r="H1471" s="176"/>
      <c r="I1471" s="176"/>
      <c r="J1471" s="176"/>
      <c r="K1471" s="176"/>
      <c r="L1471" s="176"/>
      <c r="M1471" s="176"/>
      <c r="N1471" s="176"/>
      <c r="O1471" s="176"/>
      <c r="P1471" s="176"/>
      <c r="Q1471" s="176"/>
      <c r="R1471" s="176"/>
      <c r="S1471" s="176"/>
      <c r="T1471" s="176"/>
      <c r="U1471" s="176"/>
      <c r="V1471" s="176"/>
      <c r="W1471" s="176"/>
      <c r="X1471" s="176"/>
      <c r="Y1471" s="176"/>
    </row>
    <row r="1472" spans="1:25">
      <c r="A1472" s="91"/>
      <c r="B1472" s="176"/>
      <c r="C1472" s="176"/>
      <c r="D1472" s="176"/>
      <c r="E1472" s="176"/>
      <c r="F1472" s="176"/>
      <c r="G1472" s="176"/>
      <c r="H1472" s="176"/>
      <c r="I1472" s="176"/>
      <c r="J1472" s="176"/>
      <c r="K1472" s="176"/>
      <c r="L1472" s="176"/>
      <c r="M1472" s="176"/>
      <c r="N1472" s="176"/>
      <c r="O1472" s="176"/>
      <c r="P1472" s="176"/>
      <c r="Q1472" s="176"/>
      <c r="R1472" s="176"/>
      <c r="S1472" s="176"/>
      <c r="T1472" s="176"/>
      <c r="U1472" s="176"/>
      <c r="V1472" s="176"/>
      <c r="W1472" s="176"/>
      <c r="X1472" s="176"/>
      <c r="Y1472" s="176"/>
    </row>
    <row r="1473" spans="1:25">
      <c r="A1473" s="91"/>
      <c r="B1473" s="176"/>
      <c r="C1473" s="176"/>
      <c r="D1473" s="176"/>
      <c r="E1473" s="176"/>
      <c r="F1473" s="176"/>
      <c r="G1473" s="176"/>
      <c r="H1473" s="176"/>
      <c r="I1473" s="176"/>
      <c r="J1473" s="176"/>
      <c r="K1473" s="176"/>
      <c r="L1473" s="176"/>
      <c r="M1473" s="176"/>
      <c r="N1473" s="176"/>
      <c r="O1473" s="176"/>
      <c r="P1473" s="176"/>
      <c r="Q1473" s="176"/>
      <c r="R1473" s="176"/>
      <c r="S1473" s="176"/>
      <c r="T1473" s="176"/>
      <c r="U1473" s="176"/>
      <c r="V1473" s="176"/>
      <c r="W1473" s="176"/>
      <c r="X1473" s="176"/>
      <c r="Y1473" s="176"/>
    </row>
    <row r="1474" spans="1:25">
      <c r="A1474" s="91"/>
      <c r="B1474" s="176"/>
      <c r="C1474" s="176"/>
      <c r="D1474" s="176"/>
      <c r="E1474" s="176"/>
      <c r="F1474" s="176"/>
      <c r="G1474" s="176"/>
      <c r="H1474" s="176"/>
      <c r="I1474" s="176"/>
      <c r="J1474" s="176"/>
      <c r="K1474" s="176"/>
      <c r="L1474" s="176"/>
      <c r="M1474" s="176"/>
      <c r="N1474" s="176"/>
      <c r="O1474" s="176"/>
      <c r="P1474" s="176"/>
      <c r="Q1474" s="176"/>
      <c r="R1474" s="176"/>
      <c r="S1474" s="176"/>
      <c r="T1474" s="176"/>
      <c r="U1474" s="176"/>
      <c r="V1474" s="176"/>
      <c r="W1474" s="176"/>
      <c r="X1474" s="176"/>
      <c r="Y1474" s="176"/>
    </row>
    <row r="1475" spans="1:25">
      <c r="A1475" s="91"/>
      <c r="B1475" s="176"/>
      <c r="C1475" s="176"/>
      <c r="D1475" s="176"/>
      <c r="E1475" s="176"/>
      <c r="F1475" s="176"/>
      <c r="G1475" s="176"/>
      <c r="H1475" s="176"/>
      <c r="I1475" s="176"/>
      <c r="J1475" s="176"/>
      <c r="K1475" s="176"/>
      <c r="L1475" s="176"/>
      <c r="M1475" s="176"/>
      <c r="N1475" s="176"/>
      <c r="O1475" s="176"/>
      <c r="P1475" s="176"/>
      <c r="Q1475" s="176"/>
      <c r="R1475" s="176"/>
      <c r="S1475" s="176"/>
      <c r="T1475" s="176"/>
      <c r="U1475" s="176"/>
      <c r="V1475" s="176"/>
      <c r="W1475" s="176"/>
      <c r="X1475" s="176"/>
      <c r="Y1475" s="176"/>
    </row>
    <row r="1476" spans="1:25">
      <c r="A1476" s="91"/>
      <c r="B1476" s="176"/>
      <c r="C1476" s="176"/>
      <c r="D1476" s="176"/>
      <c r="E1476" s="176"/>
      <c r="F1476" s="176"/>
      <c r="G1476" s="176"/>
      <c r="H1476" s="176"/>
      <c r="I1476" s="176"/>
      <c r="J1476" s="176"/>
      <c r="K1476" s="176"/>
      <c r="L1476" s="176"/>
      <c r="M1476" s="176"/>
      <c r="N1476" s="176"/>
      <c r="O1476" s="176"/>
      <c r="P1476" s="176"/>
      <c r="Q1476" s="176"/>
      <c r="R1476" s="176"/>
      <c r="S1476" s="176"/>
      <c r="T1476" s="176"/>
      <c r="U1476" s="176"/>
      <c r="V1476" s="176"/>
      <c r="W1476" s="176"/>
      <c r="X1476" s="176"/>
      <c r="Y1476" s="176"/>
    </row>
    <row r="1477" spans="1:25">
      <c r="A1477" s="91"/>
      <c r="B1477" s="176"/>
      <c r="C1477" s="176"/>
      <c r="D1477" s="176"/>
      <c r="E1477" s="176"/>
      <c r="F1477" s="176"/>
      <c r="G1477" s="176"/>
      <c r="H1477" s="176"/>
      <c r="I1477" s="176"/>
      <c r="J1477" s="176"/>
      <c r="K1477" s="176"/>
      <c r="L1477" s="176"/>
      <c r="M1477" s="176"/>
      <c r="N1477" s="176"/>
      <c r="O1477" s="176"/>
      <c r="P1477" s="176"/>
      <c r="Q1477" s="176"/>
      <c r="R1477" s="176"/>
      <c r="S1477" s="176"/>
      <c r="T1477" s="176"/>
      <c r="U1477" s="176"/>
      <c r="V1477" s="176"/>
      <c r="W1477" s="176"/>
      <c r="X1477" s="176"/>
      <c r="Y1477" s="176"/>
    </row>
    <row r="1478" spans="1:25">
      <c r="A1478" s="91"/>
      <c r="B1478" s="176"/>
      <c r="C1478" s="176"/>
      <c r="D1478" s="176"/>
      <c r="E1478" s="176"/>
      <c r="F1478" s="176"/>
      <c r="G1478" s="176"/>
      <c r="H1478" s="176"/>
      <c r="I1478" s="176"/>
      <c r="J1478" s="176"/>
      <c r="K1478" s="176"/>
      <c r="L1478" s="176"/>
      <c r="M1478" s="176"/>
      <c r="N1478" s="176"/>
      <c r="O1478" s="176"/>
      <c r="P1478" s="176"/>
      <c r="Q1478" s="176"/>
      <c r="R1478" s="176"/>
      <c r="S1478" s="176"/>
      <c r="T1478" s="176"/>
      <c r="U1478" s="176"/>
      <c r="V1478" s="176"/>
      <c r="W1478" s="176"/>
      <c r="X1478" s="176"/>
      <c r="Y1478" s="176"/>
    </row>
    <row r="1479" spans="1:25">
      <c r="A1479" s="91"/>
      <c r="B1479" s="176"/>
      <c r="C1479" s="176"/>
      <c r="D1479" s="176"/>
      <c r="E1479" s="176"/>
      <c r="F1479" s="176"/>
      <c r="G1479" s="176"/>
      <c r="H1479" s="176"/>
      <c r="I1479" s="176"/>
      <c r="J1479" s="176"/>
      <c r="K1479" s="176"/>
      <c r="L1479" s="176"/>
      <c r="M1479" s="176"/>
      <c r="N1479" s="176"/>
      <c r="O1479" s="176"/>
      <c r="P1479" s="176"/>
      <c r="Q1479" s="176"/>
      <c r="R1479" s="176"/>
      <c r="S1479" s="176"/>
      <c r="T1479" s="176"/>
      <c r="U1479" s="176"/>
      <c r="V1479" s="176"/>
      <c r="W1479" s="176"/>
      <c r="X1479" s="176"/>
      <c r="Y1479" s="176"/>
    </row>
    <row r="1480" spans="1:25">
      <c r="A1480" s="91"/>
      <c r="B1480" s="176"/>
      <c r="C1480" s="176"/>
      <c r="D1480" s="176"/>
      <c r="E1480" s="176"/>
      <c r="F1480" s="176"/>
      <c r="G1480" s="176"/>
      <c r="H1480" s="176"/>
      <c r="I1480" s="176"/>
      <c r="J1480" s="176"/>
      <c r="K1480" s="176"/>
      <c r="L1480" s="176"/>
      <c r="M1480" s="176"/>
      <c r="N1480" s="176"/>
      <c r="O1480" s="176"/>
      <c r="P1480" s="176"/>
      <c r="Q1480" s="176"/>
      <c r="R1480" s="176"/>
      <c r="S1480" s="176"/>
      <c r="T1480" s="176"/>
      <c r="U1480" s="176"/>
      <c r="V1480" s="176"/>
      <c r="W1480" s="176"/>
      <c r="X1480" s="176"/>
      <c r="Y1480" s="176"/>
    </row>
    <row r="1481" spans="1:25">
      <c r="A1481" s="91"/>
      <c r="B1481" s="176"/>
      <c r="C1481" s="176"/>
      <c r="D1481" s="176"/>
      <c r="E1481" s="176"/>
      <c r="F1481" s="176"/>
      <c r="G1481" s="176"/>
      <c r="H1481" s="176"/>
      <c r="I1481" s="176"/>
      <c r="J1481" s="176"/>
      <c r="K1481" s="176"/>
      <c r="L1481" s="176"/>
      <c r="M1481" s="176"/>
      <c r="N1481" s="176"/>
      <c r="O1481" s="176"/>
      <c r="P1481" s="176"/>
      <c r="Q1481" s="176"/>
      <c r="R1481" s="176"/>
      <c r="S1481" s="176"/>
      <c r="T1481" s="176"/>
      <c r="U1481" s="176"/>
      <c r="V1481" s="176"/>
      <c r="W1481" s="176"/>
      <c r="X1481" s="176"/>
      <c r="Y1481" s="176"/>
    </row>
    <row r="1482" spans="1:25">
      <c r="A1482" s="91"/>
      <c r="B1482" s="176"/>
      <c r="C1482" s="176"/>
      <c r="D1482" s="176"/>
      <c r="E1482" s="176"/>
      <c r="F1482" s="176"/>
      <c r="G1482" s="176"/>
      <c r="H1482" s="176"/>
      <c r="I1482" s="176"/>
      <c r="J1482" s="176"/>
      <c r="K1482" s="176"/>
      <c r="L1482" s="176"/>
      <c r="M1482" s="176"/>
      <c r="N1482" s="176"/>
      <c r="O1482" s="176"/>
      <c r="P1482" s="176"/>
      <c r="Q1482" s="176"/>
      <c r="R1482" s="176"/>
      <c r="S1482" s="176"/>
      <c r="T1482" s="176"/>
      <c r="U1482" s="176"/>
      <c r="V1482" s="176"/>
      <c r="W1482" s="176"/>
      <c r="X1482" s="176"/>
      <c r="Y1482" s="176"/>
    </row>
    <row r="1483" spans="1:25">
      <c r="A1483" s="91"/>
      <c r="B1483" s="176"/>
      <c r="C1483" s="176"/>
      <c r="D1483" s="176"/>
      <c r="E1483" s="176"/>
      <c r="F1483" s="176"/>
      <c r="G1483" s="176"/>
      <c r="H1483" s="176"/>
      <c r="I1483" s="176"/>
      <c r="J1483" s="176"/>
      <c r="K1483" s="176"/>
      <c r="L1483" s="176"/>
      <c r="M1483" s="176"/>
      <c r="N1483" s="176"/>
      <c r="O1483" s="176"/>
      <c r="P1483" s="176"/>
      <c r="Q1483" s="176"/>
      <c r="R1483" s="176"/>
      <c r="S1483" s="176"/>
      <c r="T1483" s="176"/>
      <c r="U1483" s="176"/>
      <c r="V1483" s="176"/>
      <c r="W1483" s="176"/>
      <c r="X1483" s="176"/>
      <c r="Y1483" s="176"/>
    </row>
    <row r="1484" spans="1:25">
      <c r="A1484" s="91"/>
      <c r="B1484" s="176"/>
      <c r="C1484" s="176"/>
      <c r="D1484" s="176"/>
      <c r="E1484" s="176"/>
      <c r="F1484" s="176"/>
      <c r="G1484" s="176"/>
      <c r="H1484" s="176"/>
      <c r="I1484" s="176"/>
      <c r="J1484" s="176"/>
      <c r="K1484" s="176"/>
      <c r="L1484" s="176"/>
      <c r="M1484" s="176"/>
      <c r="N1484" s="176"/>
      <c r="O1484" s="176"/>
      <c r="P1484" s="176"/>
      <c r="Q1484" s="176"/>
      <c r="R1484" s="176"/>
      <c r="S1484" s="176"/>
      <c r="T1484" s="176"/>
      <c r="U1484" s="176"/>
      <c r="V1484" s="176"/>
      <c r="W1484" s="176"/>
      <c r="X1484" s="176"/>
      <c r="Y1484" s="176"/>
    </row>
    <row r="1485" spans="1:25">
      <c r="A1485" s="91"/>
      <c r="B1485" s="176"/>
      <c r="C1485" s="176"/>
      <c r="D1485" s="176"/>
      <c r="E1485" s="176"/>
      <c r="F1485" s="176"/>
      <c r="G1485" s="176"/>
      <c r="H1485" s="176"/>
      <c r="I1485" s="176"/>
      <c r="J1485" s="176"/>
      <c r="K1485" s="176"/>
      <c r="L1485" s="176"/>
      <c r="M1485" s="176"/>
      <c r="N1485" s="176"/>
      <c r="O1485" s="176"/>
      <c r="P1485" s="176"/>
      <c r="Q1485" s="176"/>
      <c r="R1485" s="176"/>
      <c r="S1485" s="176"/>
      <c r="T1485" s="176"/>
      <c r="U1485" s="176"/>
      <c r="V1485" s="176"/>
      <c r="W1485" s="176"/>
      <c r="X1485" s="176"/>
      <c r="Y1485" s="176"/>
    </row>
    <row r="1486" spans="1:25">
      <c r="A1486" s="91"/>
      <c r="B1486" s="176"/>
      <c r="C1486" s="176"/>
      <c r="D1486" s="176"/>
      <c r="E1486" s="176"/>
      <c r="F1486" s="176"/>
      <c r="G1486" s="176"/>
      <c r="H1486" s="176"/>
      <c r="I1486" s="176"/>
      <c r="J1486" s="176"/>
      <c r="K1486" s="176"/>
      <c r="L1486" s="176"/>
      <c r="M1486" s="176"/>
      <c r="N1486" s="176"/>
      <c r="O1486" s="176"/>
      <c r="P1486" s="176"/>
      <c r="Q1486" s="176"/>
      <c r="R1486" s="176"/>
      <c r="S1486" s="176"/>
      <c r="T1486" s="176"/>
      <c r="U1486" s="176"/>
      <c r="V1486" s="176"/>
      <c r="W1486" s="176"/>
      <c r="X1486" s="176"/>
      <c r="Y1486" s="176"/>
    </row>
    <row r="1487" spans="1:25">
      <c r="A1487" s="91"/>
      <c r="B1487" s="176"/>
      <c r="C1487" s="176"/>
      <c r="D1487" s="176"/>
      <c r="E1487" s="176"/>
      <c r="F1487" s="176"/>
      <c r="G1487" s="176"/>
      <c r="H1487" s="176"/>
      <c r="I1487" s="176"/>
      <c r="J1487" s="176"/>
      <c r="K1487" s="176"/>
      <c r="L1487" s="176"/>
      <c r="M1487" s="176"/>
      <c r="N1487" s="176"/>
      <c r="O1487" s="176"/>
      <c r="P1487" s="176"/>
      <c r="Q1487" s="176"/>
      <c r="R1487" s="176"/>
      <c r="S1487" s="176"/>
      <c r="T1487" s="176"/>
      <c r="U1487" s="176"/>
      <c r="V1487" s="176"/>
      <c r="W1487" s="176"/>
      <c r="X1487" s="176"/>
      <c r="Y1487" s="176"/>
    </row>
    <row r="1488" spans="1:25">
      <c r="A1488" s="91"/>
      <c r="B1488" s="176"/>
      <c r="C1488" s="176"/>
      <c r="D1488" s="176"/>
      <c r="E1488" s="176"/>
      <c r="F1488" s="176"/>
      <c r="G1488" s="176"/>
      <c r="H1488" s="176"/>
      <c r="I1488" s="176"/>
      <c r="J1488" s="176"/>
      <c r="K1488" s="176"/>
      <c r="L1488" s="176"/>
      <c r="M1488" s="176"/>
      <c r="N1488" s="176"/>
      <c r="O1488" s="176"/>
      <c r="P1488" s="176"/>
      <c r="Q1488" s="176"/>
      <c r="R1488" s="176"/>
      <c r="S1488" s="176"/>
      <c r="T1488" s="176"/>
      <c r="U1488" s="176"/>
      <c r="V1488" s="176"/>
      <c r="W1488" s="176"/>
      <c r="X1488" s="176"/>
      <c r="Y1488" s="176"/>
    </row>
    <row r="1489" spans="1:25">
      <c r="A1489" s="91"/>
      <c r="B1489" s="176"/>
      <c r="C1489" s="176"/>
      <c r="D1489" s="176"/>
      <c r="E1489" s="176"/>
      <c r="F1489" s="176"/>
      <c r="G1489" s="176"/>
      <c r="H1489" s="176"/>
      <c r="I1489" s="176"/>
      <c r="J1489" s="176"/>
      <c r="K1489" s="176"/>
      <c r="L1489" s="176"/>
      <c r="M1489" s="176"/>
      <c r="N1489" s="176"/>
      <c r="O1489" s="176"/>
      <c r="P1489" s="176"/>
      <c r="Q1489" s="176"/>
      <c r="R1489" s="176"/>
      <c r="S1489" s="176"/>
      <c r="T1489" s="176"/>
      <c r="U1489" s="176"/>
      <c r="V1489" s="176"/>
      <c r="W1489" s="176"/>
      <c r="X1489" s="176"/>
      <c r="Y1489" s="176"/>
    </row>
    <row r="1490" spans="1:25">
      <c r="A1490" s="91"/>
      <c r="B1490" s="176"/>
      <c r="C1490" s="176"/>
      <c r="D1490" s="176"/>
      <c r="E1490" s="176"/>
      <c r="F1490" s="176"/>
      <c r="G1490" s="176"/>
      <c r="H1490" s="176"/>
      <c r="I1490" s="176"/>
      <c r="J1490" s="176"/>
      <c r="K1490" s="176"/>
      <c r="L1490" s="176"/>
      <c r="M1490" s="176"/>
      <c r="N1490" s="176"/>
      <c r="O1490" s="176"/>
      <c r="P1490" s="176"/>
      <c r="Q1490" s="176"/>
      <c r="R1490" s="176"/>
      <c r="S1490" s="176"/>
      <c r="T1490" s="176"/>
      <c r="U1490" s="176"/>
      <c r="V1490" s="176"/>
      <c r="W1490" s="176"/>
      <c r="X1490" s="176"/>
      <c r="Y1490" s="176"/>
    </row>
    <row r="1491" spans="1:25">
      <c r="A1491" s="91"/>
      <c r="B1491" s="176"/>
      <c r="C1491" s="176"/>
      <c r="D1491" s="176"/>
      <c r="E1491" s="176"/>
      <c r="F1491" s="176"/>
      <c r="G1491" s="176"/>
      <c r="H1491" s="176"/>
      <c r="I1491" s="176"/>
      <c r="J1491" s="176"/>
      <c r="K1491" s="176"/>
      <c r="L1491" s="176"/>
      <c r="M1491" s="176"/>
      <c r="N1491" s="176"/>
      <c r="O1491" s="176"/>
      <c r="P1491" s="176"/>
      <c r="Q1491" s="176"/>
      <c r="R1491" s="176"/>
      <c r="S1491" s="176"/>
      <c r="T1491" s="176"/>
      <c r="U1491" s="176"/>
      <c r="V1491" s="176"/>
      <c r="W1491" s="176"/>
      <c r="X1491" s="176"/>
      <c r="Y1491" s="176"/>
    </row>
    <row r="1492" spans="1:25">
      <c r="A1492" s="91"/>
      <c r="B1492" s="176"/>
      <c r="C1492" s="176"/>
      <c r="D1492" s="176"/>
      <c r="E1492" s="176"/>
      <c r="F1492" s="176"/>
      <c r="G1492" s="176"/>
      <c r="H1492" s="176"/>
      <c r="I1492" s="176"/>
      <c r="J1492" s="176"/>
      <c r="K1492" s="176"/>
      <c r="L1492" s="176"/>
      <c r="M1492" s="176"/>
      <c r="N1492" s="176"/>
      <c r="O1492" s="176"/>
      <c r="P1492" s="176"/>
      <c r="Q1492" s="176"/>
      <c r="R1492" s="176"/>
      <c r="S1492" s="176"/>
      <c r="T1492" s="176"/>
      <c r="U1492" s="176"/>
      <c r="V1492" s="176"/>
      <c r="W1492" s="176"/>
      <c r="X1492" s="176"/>
      <c r="Y1492" s="176"/>
    </row>
    <row r="1493" spans="1:25">
      <c r="A1493" s="91"/>
      <c r="B1493" s="176"/>
      <c r="C1493" s="176"/>
      <c r="D1493" s="176"/>
      <c r="E1493" s="176"/>
      <c r="F1493" s="176"/>
      <c r="G1493" s="176"/>
      <c r="H1493" s="176"/>
      <c r="I1493" s="176"/>
      <c r="J1493" s="176"/>
      <c r="K1493" s="176"/>
      <c r="L1493" s="176"/>
      <c r="M1493" s="176"/>
      <c r="N1493" s="176"/>
      <c r="O1493" s="176"/>
      <c r="P1493" s="176"/>
      <c r="Q1493" s="176"/>
      <c r="R1493" s="176"/>
      <c r="S1493" s="176"/>
      <c r="T1493" s="176"/>
      <c r="U1493" s="176"/>
      <c r="V1493" s="176"/>
      <c r="W1493" s="176"/>
      <c r="X1493" s="176"/>
      <c r="Y1493" s="176"/>
    </row>
    <row r="1494" spans="1:25">
      <c r="A1494" s="91"/>
      <c r="B1494" s="176"/>
      <c r="C1494" s="176"/>
      <c r="D1494" s="176"/>
      <c r="E1494" s="176"/>
      <c r="F1494" s="176"/>
      <c r="G1494" s="176"/>
      <c r="H1494" s="176"/>
      <c r="I1494" s="176"/>
      <c r="J1494" s="176"/>
      <c r="K1494" s="176"/>
      <c r="L1494" s="176"/>
      <c r="M1494" s="176"/>
      <c r="N1494" s="176"/>
      <c r="O1494" s="176"/>
      <c r="P1494" s="176"/>
      <c r="Q1494" s="176"/>
      <c r="R1494" s="176"/>
      <c r="S1494" s="176"/>
      <c r="T1494" s="176"/>
      <c r="U1494" s="176"/>
      <c r="V1494" s="176"/>
      <c r="W1494" s="176"/>
      <c r="X1494" s="176"/>
      <c r="Y1494" s="176"/>
    </row>
    <row r="1495" spans="1:25">
      <c r="A1495" s="91"/>
      <c r="B1495" s="176"/>
      <c r="C1495" s="176"/>
      <c r="D1495" s="176"/>
      <c r="E1495" s="176"/>
      <c r="F1495" s="176"/>
      <c r="G1495" s="176"/>
      <c r="H1495" s="176"/>
      <c r="I1495" s="176"/>
      <c r="J1495" s="176"/>
      <c r="K1495" s="176"/>
      <c r="L1495" s="176"/>
      <c r="M1495" s="176"/>
      <c r="N1495" s="176"/>
      <c r="O1495" s="176"/>
      <c r="P1495" s="176"/>
      <c r="Q1495" s="176"/>
      <c r="R1495" s="176"/>
      <c r="S1495" s="176"/>
      <c r="T1495" s="176"/>
      <c r="U1495" s="176"/>
      <c r="V1495" s="176"/>
      <c r="W1495" s="176"/>
      <c r="X1495" s="176"/>
      <c r="Y1495" s="176"/>
    </row>
    <row r="1496" spans="1:25">
      <c r="A1496" s="91"/>
      <c r="B1496" s="176"/>
      <c r="C1496" s="176"/>
      <c r="D1496" s="176"/>
      <c r="E1496" s="176"/>
      <c r="F1496" s="176"/>
      <c r="G1496" s="176"/>
      <c r="H1496" s="176"/>
      <c r="I1496" s="176"/>
      <c r="J1496" s="176"/>
      <c r="K1496" s="176"/>
      <c r="L1496" s="176"/>
      <c r="M1496" s="176"/>
      <c r="N1496" s="176"/>
      <c r="O1496" s="176"/>
      <c r="P1496" s="176"/>
      <c r="Q1496" s="176"/>
      <c r="R1496" s="176"/>
      <c r="S1496" s="176"/>
      <c r="T1496" s="176"/>
      <c r="U1496" s="176"/>
      <c r="V1496" s="176"/>
      <c r="W1496" s="176"/>
      <c r="X1496" s="176"/>
      <c r="Y1496" s="176"/>
    </row>
    <row r="1497" spans="1:25">
      <c r="A1497" s="91"/>
      <c r="B1497" s="176"/>
      <c r="C1497" s="176"/>
      <c r="D1497" s="176"/>
      <c r="E1497" s="176"/>
      <c r="F1497" s="176"/>
      <c r="G1497" s="176"/>
      <c r="H1497" s="176"/>
      <c r="I1497" s="176"/>
      <c r="J1497" s="176"/>
      <c r="K1497" s="176"/>
      <c r="L1497" s="176"/>
      <c r="M1497" s="176"/>
      <c r="N1497" s="176"/>
      <c r="O1497" s="176"/>
      <c r="P1497" s="176"/>
      <c r="Q1497" s="176"/>
      <c r="R1497" s="176"/>
      <c r="S1497" s="176"/>
      <c r="T1497" s="176"/>
      <c r="U1497" s="176"/>
      <c r="V1497" s="176"/>
      <c r="W1497" s="176"/>
      <c r="X1497" s="176"/>
      <c r="Y1497" s="176"/>
    </row>
    <row r="1498" spans="1:25">
      <c r="A1498" s="91"/>
      <c r="B1498" s="176"/>
      <c r="C1498" s="176"/>
      <c r="D1498" s="176"/>
      <c r="E1498" s="176"/>
      <c r="F1498" s="176"/>
      <c r="G1498" s="176"/>
      <c r="H1498" s="176"/>
      <c r="I1498" s="176"/>
      <c r="J1498" s="176"/>
      <c r="K1498" s="176"/>
      <c r="L1498" s="176"/>
      <c r="M1498" s="176"/>
      <c r="N1498" s="176"/>
      <c r="O1498" s="176"/>
      <c r="P1498" s="176"/>
      <c r="Q1498" s="176"/>
      <c r="R1498" s="176"/>
      <c r="S1498" s="176"/>
      <c r="T1498" s="176"/>
      <c r="U1498" s="176"/>
      <c r="V1498" s="176"/>
      <c r="W1498" s="176"/>
      <c r="X1498" s="176"/>
      <c r="Y1498" s="176"/>
    </row>
    <row r="1499" spans="1:25">
      <c r="A1499" s="91"/>
      <c r="B1499" s="176"/>
      <c r="C1499" s="176"/>
      <c r="D1499" s="176"/>
      <c r="E1499" s="176"/>
      <c r="F1499" s="176"/>
      <c r="G1499" s="176"/>
      <c r="H1499" s="176"/>
      <c r="I1499" s="176"/>
      <c r="J1499" s="176"/>
      <c r="K1499" s="176"/>
      <c r="L1499" s="176"/>
      <c r="M1499" s="176"/>
      <c r="N1499" s="176"/>
      <c r="O1499" s="176"/>
      <c r="P1499" s="176"/>
      <c r="Q1499" s="176"/>
      <c r="R1499" s="176"/>
      <c r="S1499" s="176"/>
      <c r="T1499" s="176"/>
      <c r="U1499" s="176"/>
      <c r="V1499" s="176"/>
      <c r="W1499" s="176"/>
      <c r="X1499" s="176"/>
      <c r="Y1499" s="176"/>
    </row>
    <row r="1500" spans="1:25">
      <c r="A1500" s="91"/>
      <c r="B1500" s="176"/>
      <c r="C1500" s="176"/>
      <c r="D1500" s="176"/>
      <c r="E1500" s="176"/>
      <c r="F1500" s="176"/>
      <c r="G1500" s="176"/>
      <c r="H1500" s="176"/>
      <c r="I1500" s="176"/>
      <c r="J1500" s="176"/>
      <c r="K1500" s="176"/>
      <c r="L1500" s="176"/>
      <c r="M1500" s="176"/>
      <c r="N1500" s="176"/>
      <c r="O1500" s="176"/>
      <c r="P1500" s="176"/>
      <c r="Q1500" s="176"/>
      <c r="R1500" s="176"/>
      <c r="S1500" s="176"/>
      <c r="T1500" s="176"/>
      <c r="U1500" s="176"/>
      <c r="V1500" s="176"/>
      <c r="W1500" s="176"/>
      <c r="X1500" s="176"/>
      <c r="Y1500" s="176"/>
    </row>
    <row r="1501" spans="1:25">
      <c r="A1501" s="91"/>
      <c r="B1501" s="176"/>
      <c r="C1501" s="176"/>
      <c r="D1501" s="176"/>
      <c r="E1501" s="176"/>
      <c r="F1501" s="176"/>
      <c r="G1501" s="176"/>
      <c r="H1501" s="176"/>
      <c r="I1501" s="176"/>
      <c r="J1501" s="176"/>
      <c r="K1501" s="176"/>
      <c r="L1501" s="176"/>
      <c r="M1501" s="176"/>
      <c r="N1501" s="176"/>
      <c r="O1501" s="176"/>
      <c r="P1501" s="176"/>
      <c r="Q1501" s="176"/>
      <c r="R1501" s="176"/>
      <c r="S1501" s="176"/>
      <c r="T1501" s="176"/>
      <c r="U1501" s="176"/>
      <c r="V1501" s="176"/>
      <c r="W1501" s="176"/>
      <c r="X1501" s="176"/>
      <c r="Y1501" s="176"/>
    </row>
    <row r="1502" spans="1:25">
      <c r="A1502" s="91"/>
      <c r="B1502" s="176"/>
      <c r="C1502" s="176"/>
      <c r="D1502" s="176"/>
      <c r="E1502" s="176"/>
      <c r="F1502" s="176"/>
      <c r="G1502" s="176"/>
      <c r="H1502" s="176"/>
      <c r="I1502" s="176"/>
      <c r="J1502" s="176"/>
      <c r="K1502" s="176"/>
      <c r="L1502" s="176"/>
      <c r="M1502" s="176"/>
      <c r="N1502" s="176"/>
      <c r="O1502" s="176"/>
      <c r="P1502" s="176"/>
      <c r="Q1502" s="176"/>
      <c r="R1502" s="176"/>
      <c r="S1502" s="176"/>
      <c r="T1502" s="176"/>
      <c r="U1502" s="176"/>
      <c r="V1502" s="176"/>
      <c r="W1502" s="176"/>
      <c r="X1502" s="176"/>
      <c r="Y1502" s="176"/>
    </row>
    <row r="1503" spans="1:25">
      <c r="A1503" s="91"/>
      <c r="B1503" s="176"/>
      <c r="C1503" s="176"/>
      <c r="D1503" s="176"/>
      <c r="E1503" s="176"/>
      <c r="F1503" s="176"/>
      <c r="G1503" s="176"/>
      <c r="H1503" s="176"/>
      <c r="I1503" s="176"/>
      <c r="J1503" s="176"/>
      <c r="K1503" s="176"/>
      <c r="L1503" s="176"/>
      <c r="M1503" s="176"/>
      <c r="N1503" s="176"/>
      <c r="O1503" s="176"/>
      <c r="P1503" s="176"/>
      <c r="Q1503" s="176"/>
      <c r="R1503" s="176"/>
      <c r="S1503" s="176"/>
      <c r="T1503" s="176"/>
      <c r="U1503" s="176"/>
      <c r="V1503" s="176"/>
      <c r="W1503" s="176"/>
      <c r="X1503" s="176"/>
      <c r="Y1503" s="176"/>
    </row>
    <row r="1504" spans="1:25">
      <c r="A1504" s="91"/>
      <c r="B1504" s="176"/>
      <c r="C1504" s="176"/>
      <c r="D1504" s="176"/>
      <c r="E1504" s="176"/>
      <c r="F1504" s="176"/>
      <c r="G1504" s="176"/>
      <c r="H1504" s="176"/>
      <c r="I1504" s="176"/>
      <c r="J1504" s="176"/>
      <c r="K1504" s="176"/>
      <c r="L1504" s="176"/>
      <c r="M1504" s="176"/>
      <c r="N1504" s="176"/>
      <c r="O1504" s="176"/>
      <c r="P1504" s="176"/>
      <c r="Q1504" s="176"/>
      <c r="R1504" s="176"/>
      <c r="S1504" s="176"/>
      <c r="T1504" s="176"/>
      <c r="U1504" s="176"/>
      <c r="V1504" s="176"/>
      <c r="W1504" s="176"/>
      <c r="X1504" s="176"/>
      <c r="Y1504" s="176"/>
    </row>
    <row r="1505" spans="1:25">
      <c r="A1505" s="91"/>
      <c r="B1505" s="176"/>
      <c r="C1505" s="176"/>
      <c r="D1505" s="176"/>
      <c r="E1505" s="176"/>
      <c r="F1505" s="176"/>
      <c r="G1505" s="176"/>
      <c r="H1505" s="176"/>
      <c r="I1505" s="176"/>
      <c r="J1505" s="176"/>
      <c r="K1505" s="176"/>
      <c r="L1505" s="176"/>
      <c r="M1505" s="176"/>
      <c r="N1505" s="176"/>
      <c r="O1505" s="176"/>
      <c r="P1505" s="176"/>
      <c r="Q1505" s="176"/>
      <c r="R1505" s="176"/>
      <c r="S1505" s="176"/>
      <c r="T1505" s="176"/>
      <c r="U1505" s="176"/>
      <c r="V1505" s="176"/>
      <c r="W1505" s="176"/>
      <c r="X1505" s="176"/>
      <c r="Y1505" s="176"/>
    </row>
    <row r="1506" spans="1:25">
      <c r="A1506" s="91"/>
      <c r="B1506" s="176"/>
      <c r="C1506" s="176"/>
      <c r="D1506" s="176"/>
      <c r="E1506" s="176"/>
      <c r="F1506" s="176"/>
      <c r="G1506" s="176"/>
      <c r="H1506" s="176"/>
      <c r="I1506" s="176"/>
      <c r="J1506" s="176"/>
      <c r="K1506" s="176"/>
      <c r="L1506" s="176"/>
      <c r="M1506" s="176"/>
      <c r="N1506" s="176"/>
      <c r="O1506" s="176"/>
      <c r="P1506" s="176"/>
      <c r="Q1506" s="176"/>
      <c r="R1506" s="176"/>
      <c r="S1506" s="176"/>
      <c r="T1506" s="176"/>
      <c r="U1506" s="176"/>
      <c r="V1506" s="176"/>
      <c r="W1506" s="176"/>
      <c r="X1506" s="176"/>
      <c r="Y1506" s="176"/>
    </row>
    <row r="1507" spans="1:25">
      <c r="A1507" s="91"/>
      <c r="B1507" s="176"/>
      <c r="C1507" s="176"/>
      <c r="D1507" s="176"/>
      <c r="E1507" s="176"/>
      <c r="F1507" s="176"/>
      <c r="G1507" s="176"/>
      <c r="H1507" s="176"/>
      <c r="I1507" s="176"/>
      <c r="J1507" s="176"/>
      <c r="K1507" s="176"/>
      <c r="L1507" s="176"/>
      <c r="M1507" s="176"/>
      <c r="N1507" s="176"/>
      <c r="O1507" s="176"/>
      <c r="P1507" s="176"/>
      <c r="Q1507" s="176"/>
      <c r="R1507" s="176"/>
      <c r="S1507" s="176"/>
      <c r="T1507" s="176"/>
      <c r="U1507" s="176"/>
      <c r="V1507" s="176"/>
      <c r="W1507" s="176"/>
      <c r="X1507" s="176"/>
      <c r="Y1507" s="176"/>
    </row>
    <row r="1508" spans="1:25">
      <c r="A1508" s="91"/>
      <c r="B1508" s="176"/>
      <c r="C1508" s="176"/>
      <c r="D1508" s="176"/>
      <c r="E1508" s="176"/>
      <c r="F1508" s="176"/>
      <c r="G1508" s="176"/>
      <c r="H1508" s="176"/>
      <c r="I1508" s="176"/>
      <c r="J1508" s="176"/>
      <c r="K1508" s="176"/>
      <c r="L1508" s="176"/>
      <c r="M1508" s="176"/>
      <c r="N1508" s="176"/>
      <c r="O1508" s="176"/>
      <c r="P1508" s="176"/>
      <c r="Q1508" s="176"/>
      <c r="R1508" s="176"/>
      <c r="S1508" s="176"/>
      <c r="T1508" s="176"/>
      <c r="U1508" s="176"/>
      <c r="V1508" s="176"/>
      <c r="W1508" s="176"/>
      <c r="X1508" s="176"/>
      <c r="Y1508" s="176"/>
    </row>
    <row r="1509" spans="1:25">
      <c r="A1509" s="91"/>
      <c r="B1509" s="176"/>
      <c r="C1509" s="176"/>
      <c r="D1509" s="176"/>
      <c r="E1509" s="176"/>
      <c r="F1509" s="176"/>
      <c r="G1509" s="176"/>
      <c r="H1509" s="176"/>
      <c r="I1509" s="176"/>
      <c r="J1509" s="176"/>
      <c r="K1509" s="176"/>
      <c r="L1509" s="176"/>
      <c r="M1509" s="176"/>
      <c r="N1509" s="176"/>
      <c r="O1509" s="176"/>
      <c r="P1509" s="176"/>
      <c r="Q1509" s="176"/>
      <c r="R1509" s="176"/>
      <c r="S1509" s="176"/>
      <c r="T1509" s="176"/>
      <c r="U1509" s="176"/>
      <c r="V1509" s="176"/>
      <c r="W1509" s="176"/>
      <c r="X1509" s="176"/>
      <c r="Y1509" s="176"/>
    </row>
    <row r="1510" spans="1:25">
      <c r="A1510" s="91"/>
      <c r="B1510" s="176"/>
      <c r="C1510" s="176"/>
      <c r="D1510" s="176"/>
      <c r="E1510" s="176"/>
      <c r="F1510" s="176"/>
      <c r="G1510" s="176"/>
      <c r="H1510" s="176"/>
      <c r="I1510" s="176"/>
      <c r="J1510" s="176"/>
      <c r="K1510" s="176"/>
      <c r="L1510" s="176"/>
      <c r="M1510" s="176"/>
      <c r="N1510" s="176"/>
      <c r="O1510" s="176"/>
      <c r="P1510" s="176"/>
      <c r="Q1510" s="176"/>
      <c r="R1510" s="176"/>
      <c r="S1510" s="176"/>
      <c r="T1510" s="176"/>
      <c r="U1510" s="176"/>
      <c r="V1510" s="176"/>
      <c r="W1510" s="176"/>
      <c r="X1510" s="176"/>
      <c r="Y1510" s="176"/>
    </row>
    <row r="1511" spans="1:25">
      <c r="A1511" s="91"/>
      <c r="B1511" s="176"/>
      <c r="C1511" s="176"/>
      <c r="D1511" s="176"/>
      <c r="E1511" s="176"/>
      <c r="F1511" s="176"/>
      <c r="G1511" s="176"/>
      <c r="H1511" s="176"/>
      <c r="I1511" s="176"/>
      <c r="J1511" s="176"/>
      <c r="K1511" s="176"/>
      <c r="L1511" s="176"/>
      <c r="M1511" s="176"/>
      <c r="N1511" s="176"/>
      <c r="O1511" s="176"/>
      <c r="P1511" s="176"/>
      <c r="Q1511" s="176"/>
      <c r="R1511" s="176"/>
      <c r="S1511" s="176"/>
      <c r="T1511" s="176"/>
      <c r="U1511" s="176"/>
      <c r="V1511" s="176"/>
      <c r="W1511" s="176"/>
      <c r="X1511" s="176"/>
      <c r="Y1511" s="176"/>
    </row>
    <row r="1512" spans="1:25">
      <c r="A1512" s="91"/>
      <c r="B1512" s="176"/>
      <c r="C1512" s="176"/>
      <c r="D1512" s="176"/>
      <c r="E1512" s="176"/>
      <c r="F1512" s="176"/>
      <c r="G1512" s="176"/>
      <c r="H1512" s="176"/>
      <c r="I1512" s="176"/>
      <c r="J1512" s="176"/>
      <c r="K1512" s="176"/>
      <c r="L1512" s="176"/>
      <c r="M1512" s="176"/>
      <c r="N1512" s="176"/>
      <c r="O1512" s="176"/>
      <c r="P1512" s="176"/>
      <c r="Q1512" s="176"/>
      <c r="R1512" s="176"/>
      <c r="S1512" s="176"/>
      <c r="T1512" s="176"/>
      <c r="U1512" s="176"/>
      <c r="V1512" s="176"/>
      <c r="W1512" s="176"/>
      <c r="X1512" s="176"/>
      <c r="Y1512" s="176"/>
    </row>
    <row r="1513" spans="1:25">
      <c r="A1513" s="91"/>
      <c r="B1513" s="176"/>
      <c r="C1513" s="176"/>
      <c r="D1513" s="176"/>
      <c r="E1513" s="176"/>
      <c r="F1513" s="176"/>
      <c r="G1513" s="176"/>
      <c r="H1513" s="176"/>
      <c r="I1513" s="176"/>
      <c r="J1513" s="176"/>
      <c r="K1513" s="176"/>
      <c r="L1513" s="176"/>
      <c r="M1513" s="176"/>
      <c r="N1513" s="176"/>
      <c r="O1513" s="176"/>
      <c r="P1513" s="176"/>
      <c r="Q1513" s="176"/>
      <c r="R1513" s="176"/>
      <c r="S1513" s="176"/>
      <c r="T1513" s="176"/>
      <c r="U1513" s="176"/>
      <c r="V1513" s="176"/>
      <c r="W1513" s="176"/>
      <c r="X1513" s="176"/>
      <c r="Y1513" s="176"/>
    </row>
    <row r="1514" spans="1:25">
      <c r="A1514" s="91"/>
      <c r="B1514" s="176"/>
      <c r="C1514" s="176"/>
      <c r="D1514" s="176"/>
      <c r="E1514" s="176"/>
      <c r="F1514" s="176"/>
      <c r="G1514" s="176"/>
      <c r="H1514" s="176"/>
      <c r="I1514" s="176"/>
      <c r="J1514" s="176"/>
      <c r="K1514" s="176"/>
      <c r="L1514" s="176"/>
      <c r="M1514" s="176"/>
      <c r="N1514" s="176"/>
      <c r="O1514" s="176"/>
      <c r="P1514" s="176"/>
      <c r="Q1514" s="176"/>
      <c r="R1514" s="176"/>
      <c r="S1514" s="176"/>
      <c r="T1514" s="176"/>
      <c r="U1514" s="176"/>
      <c r="V1514" s="176"/>
      <c r="W1514" s="176"/>
      <c r="X1514" s="176"/>
      <c r="Y1514" s="176"/>
    </row>
    <row r="1515" spans="1:25">
      <c r="A1515" s="91"/>
      <c r="B1515" s="176"/>
      <c r="C1515" s="176"/>
      <c r="D1515" s="176"/>
      <c r="E1515" s="176"/>
      <c r="F1515" s="176"/>
      <c r="G1515" s="176"/>
      <c r="H1515" s="176"/>
      <c r="I1515" s="176"/>
      <c r="J1515" s="176"/>
      <c r="K1515" s="176"/>
      <c r="L1515" s="176"/>
      <c r="M1515" s="176"/>
      <c r="N1515" s="176"/>
      <c r="O1515" s="176"/>
      <c r="P1515" s="176"/>
      <c r="Q1515" s="176"/>
      <c r="R1515" s="176"/>
      <c r="S1515" s="176"/>
      <c r="T1515" s="176"/>
      <c r="U1515" s="176"/>
      <c r="V1515" s="176"/>
      <c r="W1515" s="176"/>
      <c r="X1515" s="176"/>
      <c r="Y1515" s="176"/>
    </row>
    <row r="1516" spans="1:25">
      <c r="A1516" s="91"/>
      <c r="B1516" s="176"/>
      <c r="C1516" s="176"/>
      <c r="D1516" s="176"/>
      <c r="E1516" s="176"/>
      <c r="F1516" s="176"/>
      <c r="G1516" s="176"/>
      <c r="H1516" s="176"/>
      <c r="I1516" s="176"/>
      <c r="J1516" s="176"/>
      <c r="K1516" s="176"/>
      <c r="L1516" s="176"/>
      <c r="M1516" s="176"/>
      <c r="N1516" s="176"/>
      <c r="O1516" s="176"/>
      <c r="P1516" s="176"/>
      <c r="Q1516" s="176"/>
      <c r="R1516" s="176"/>
      <c r="S1516" s="176"/>
      <c r="T1516" s="176"/>
      <c r="U1516" s="176"/>
      <c r="V1516" s="176"/>
      <c r="W1516" s="176"/>
      <c r="X1516" s="176"/>
      <c r="Y1516" s="176"/>
    </row>
    <row r="1517" spans="1:25">
      <c r="A1517" s="91"/>
      <c r="B1517" s="176"/>
      <c r="C1517" s="176"/>
      <c r="D1517" s="176"/>
      <c r="E1517" s="176"/>
      <c r="F1517" s="176"/>
      <c r="G1517" s="176"/>
      <c r="H1517" s="176"/>
      <c r="I1517" s="176"/>
      <c r="J1517" s="176"/>
      <c r="K1517" s="176"/>
      <c r="L1517" s="176"/>
      <c r="M1517" s="176"/>
      <c r="N1517" s="176"/>
      <c r="O1517" s="176"/>
      <c r="P1517" s="176"/>
      <c r="Q1517" s="176"/>
      <c r="R1517" s="176"/>
      <c r="S1517" s="176"/>
      <c r="T1517" s="176"/>
      <c r="U1517" s="176"/>
      <c r="V1517" s="176"/>
      <c r="W1517" s="176"/>
      <c r="X1517" s="176"/>
      <c r="Y1517" s="176"/>
    </row>
    <row r="1518" spans="1:25">
      <c r="A1518" s="91"/>
      <c r="B1518" s="176"/>
      <c r="C1518" s="176"/>
      <c r="D1518" s="176"/>
      <c r="E1518" s="176"/>
      <c r="F1518" s="176"/>
      <c r="G1518" s="176"/>
      <c r="H1518" s="176"/>
      <c r="I1518" s="176"/>
      <c r="J1518" s="176"/>
      <c r="K1518" s="176"/>
      <c r="L1518" s="176"/>
      <c r="M1518" s="176"/>
      <c r="N1518" s="176"/>
      <c r="O1518" s="176"/>
      <c r="P1518" s="176"/>
      <c r="Q1518" s="176"/>
      <c r="R1518" s="176"/>
      <c r="S1518" s="176"/>
      <c r="T1518" s="176"/>
      <c r="U1518" s="176"/>
      <c r="V1518" s="176"/>
      <c r="W1518" s="176"/>
      <c r="X1518" s="176"/>
      <c r="Y1518" s="176"/>
    </row>
    <row r="1519" spans="1:25">
      <c r="A1519" s="91"/>
      <c r="B1519" s="176"/>
      <c r="C1519" s="176"/>
      <c r="D1519" s="176"/>
      <c r="E1519" s="176"/>
      <c r="F1519" s="176"/>
      <c r="G1519" s="176"/>
      <c r="H1519" s="176"/>
      <c r="I1519" s="176"/>
      <c r="J1519" s="176"/>
      <c r="K1519" s="176"/>
      <c r="L1519" s="176"/>
      <c r="M1519" s="176"/>
      <c r="N1519" s="176"/>
      <c r="O1519" s="176"/>
      <c r="P1519" s="176"/>
      <c r="Q1519" s="176"/>
      <c r="R1519" s="176"/>
      <c r="S1519" s="176"/>
      <c r="T1519" s="176"/>
      <c r="U1519" s="176"/>
      <c r="V1519" s="176"/>
      <c r="W1519" s="176"/>
      <c r="X1519" s="176"/>
      <c r="Y1519" s="176"/>
    </row>
    <row r="1520" spans="1:25">
      <c r="A1520" s="91"/>
      <c r="B1520" s="176"/>
      <c r="C1520" s="176"/>
      <c r="D1520" s="176"/>
      <c r="E1520" s="176"/>
      <c r="F1520" s="176"/>
      <c r="G1520" s="176"/>
      <c r="H1520" s="176"/>
      <c r="I1520" s="176"/>
      <c r="J1520" s="176"/>
      <c r="K1520" s="176"/>
      <c r="L1520" s="176"/>
      <c r="M1520" s="176"/>
      <c r="N1520" s="176"/>
      <c r="O1520" s="176"/>
      <c r="P1520" s="176"/>
      <c r="Q1520" s="176"/>
      <c r="R1520" s="176"/>
      <c r="S1520" s="176"/>
      <c r="T1520" s="176"/>
      <c r="U1520" s="176"/>
      <c r="V1520" s="176"/>
      <c r="W1520" s="176"/>
      <c r="X1520" s="176"/>
      <c r="Y1520" s="176"/>
    </row>
    <row r="1521" spans="1:25">
      <c r="A1521" s="91"/>
      <c r="B1521" s="176"/>
      <c r="C1521" s="176"/>
      <c r="D1521" s="176"/>
      <c r="E1521" s="176"/>
      <c r="F1521" s="176"/>
      <c r="G1521" s="176"/>
      <c r="H1521" s="176"/>
      <c r="I1521" s="176"/>
      <c r="J1521" s="176"/>
      <c r="K1521" s="176"/>
      <c r="L1521" s="176"/>
      <c r="M1521" s="176"/>
      <c r="N1521" s="176"/>
      <c r="O1521" s="176"/>
      <c r="P1521" s="176"/>
      <c r="Q1521" s="176"/>
      <c r="R1521" s="176"/>
      <c r="S1521" s="176"/>
      <c r="T1521" s="176"/>
      <c r="U1521" s="176"/>
      <c r="V1521" s="176"/>
      <c r="W1521" s="176"/>
      <c r="X1521" s="176"/>
      <c r="Y1521" s="176"/>
    </row>
    <row r="1522" spans="1:25">
      <c r="A1522" s="91"/>
      <c r="B1522" s="176"/>
      <c r="C1522" s="176"/>
      <c r="D1522" s="176"/>
      <c r="E1522" s="176"/>
      <c r="F1522" s="176"/>
      <c r="G1522" s="176"/>
      <c r="H1522" s="176"/>
      <c r="I1522" s="176"/>
      <c r="J1522" s="176"/>
      <c r="K1522" s="176"/>
      <c r="L1522" s="176"/>
      <c r="M1522" s="176"/>
      <c r="N1522" s="176"/>
      <c r="O1522" s="176"/>
      <c r="P1522" s="176"/>
      <c r="Q1522" s="176"/>
      <c r="R1522" s="176"/>
      <c r="S1522" s="176"/>
      <c r="T1522" s="176"/>
      <c r="U1522" s="176"/>
      <c r="V1522" s="176"/>
      <c r="W1522" s="176"/>
      <c r="X1522" s="176"/>
      <c r="Y1522" s="176"/>
    </row>
    <row r="1523" spans="1:25">
      <c r="A1523" s="91"/>
      <c r="B1523" s="176"/>
      <c r="C1523" s="176"/>
      <c r="D1523" s="176"/>
      <c r="E1523" s="176"/>
      <c r="F1523" s="176"/>
      <c r="G1523" s="176"/>
      <c r="H1523" s="176"/>
      <c r="I1523" s="176"/>
      <c r="J1523" s="176"/>
      <c r="K1523" s="176"/>
      <c r="L1523" s="176"/>
      <c r="M1523" s="176"/>
      <c r="N1523" s="176"/>
      <c r="O1523" s="176"/>
      <c r="P1523" s="176"/>
      <c r="Q1523" s="176"/>
      <c r="R1523" s="176"/>
      <c r="S1523" s="176"/>
      <c r="T1523" s="176"/>
      <c r="U1523" s="176"/>
      <c r="V1523" s="176"/>
      <c r="W1523" s="176"/>
      <c r="X1523" s="176"/>
      <c r="Y1523" s="176"/>
    </row>
    <row r="1524" spans="1:25">
      <c r="A1524" s="91"/>
      <c r="B1524" s="176"/>
      <c r="C1524" s="176"/>
      <c r="D1524" s="176"/>
      <c r="E1524" s="176"/>
      <c r="F1524" s="176"/>
      <c r="G1524" s="176"/>
      <c r="H1524" s="176"/>
      <c r="I1524" s="176"/>
      <c r="J1524" s="176"/>
      <c r="K1524" s="176"/>
      <c r="L1524" s="176"/>
      <c r="M1524" s="176"/>
      <c r="N1524" s="176"/>
      <c r="O1524" s="176"/>
      <c r="P1524" s="176"/>
      <c r="Q1524" s="176"/>
      <c r="R1524" s="176"/>
      <c r="S1524" s="176"/>
      <c r="T1524" s="176"/>
      <c r="U1524" s="176"/>
      <c r="V1524" s="176"/>
      <c r="W1524" s="176"/>
      <c r="X1524" s="176"/>
      <c r="Y1524" s="176"/>
    </row>
    <row r="1525" spans="1:25">
      <c r="A1525" s="91"/>
      <c r="B1525" s="176"/>
      <c r="C1525" s="176"/>
      <c r="D1525" s="176"/>
      <c r="E1525" s="176"/>
      <c r="F1525" s="176"/>
      <c r="G1525" s="176"/>
      <c r="H1525" s="176"/>
      <c r="I1525" s="176"/>
      <c r="J1525" s="176"/>
      <c r="K1525" s="176"/>
      <c r="L1525" s="176"/>
      <c r="M1525" s="176"/>
      <c r="N1525" s="176"/>
      <c r="O1525" s="176"/>
      <c r="P1525" s="176"/>
      <c r="Q1525" s="176"/>
      <c r="R1525" s="176"/>
      <c r="S1525" s="176"/>
      <c r="T1525" s="176"/>
      <c r="U1525" s="176"/>
      <c r="V1525" s="176"/>
      <c r="W1525" s="176"/>
      <c r="X1525" s="176"/>
      <c r="Y1525" s="176"/>
    </row>
    <row r="1526" spans="1:25">
      <c r="A1526" s="91"/>
      <c r="B1526" s="176"/>
      <c r="C1526" s="176"/>
      <c r="D1526" s="176"/>
      <c r="E1526" s="176"/>
      <c r="F1526" s="176"/>
      <c r="G1526" s="176"/>
      <c r="H1526" s="176"/>
      <c r="I1526" s="176"/>
      <c r="J1526" s="176"/>
      <c r="K1526" s="176"/>
      <c r="L1526" s="176"/>
      <c r="M1526" s="176"/>
      <c r="N1526" s="176"/>
      <c r="O1526" s="176"/>
      <c r="P1526" s="176"/>
      <c r="Q1526" s="176"/>
      <c r="R1526" s="176"/>
      <c r="S1526" s="176"/>
      <c r="T1526" s="176"/>
      <c r="U1526" s="176"/>
      <c r="V1526" s="176"/>
      <c r="W1526" s="176"/>
      <c r="X1526" s="176"/>
      <c r="Y1526" s="176"/>
    </row>
    <row r="1527" spans="1:25">
      <c r="A1527" s="91"/>
      <c r="B1527" s="176"/>
      <c r="C1527" s="176"/>
      <c r="D1527" s="176"/>
      <c r="E1527" s="176"/>
      <c r="F1527" s="176"/>
      <c r="G1527" s="176"/>
      <c r="H1527" s="176"/>
      <c r="I1527" s="176"/>
      <c r="J1527" s="176"/>
      <c r="K1527" s="176"/>
      <c r="L1527" s="176"/>
      <c r="M1527" s="176"/>
      <c r="N1527" s="176"/>
      <c r="O1527" s="176"/>
      <c r="P1527" s="176"/>
      <c r="Q1527" s="176"/>
      <c r="R1527" s="176"/>
      <c r="S1527" s="176"/>
      <c r="T1527" s="176"/>
      <c r="U1527" s="176"/>
      <c r="V1527" s="176"/>
      <c r="W1527" s="176"/>
      <c r="X1527" s="176"/>
      <c r="Y1527" s="176"/>
    </row>
    <row r="1528" spans="1:25">
      <c r="A1528" s="91"/>
      <c r="B1528" s="176"/>
      <c r="C1528" s="176"/>
      <c r="D1528" s="176"/>
      <c r="E1528" s="176"/>
      <c r="F1528" s="176"/>
      <c r="G1528" s="176"/>
      <c r="H1528" s="176"/>
      <c r="I1528" s="176"/>
      <c r="J1528" s="176"/>
      <c r="K1528" s="176"/>
      <c r="L1528" s="176"/>
      <c r="M1528" s="176"/>
      <c r="N1528" s="176"/>
      <c r="O1528" s="176"/>
      <c r="P1528" s="176"/>
      <c r="Q1528" s="176"/>
      <c r="R1528" s="176"/>
      <c r="S1528" s="176"/>
      <c r="T1528" s="176"/>
      <c r="U1528" s="176"/>
      <c r="V1528" s="176"/>
      <c r="W1528" s="176"/>
      <c r="X1528" s="176"/>
      <c r="Y1528" s="176"/>
    </row>
    <row r="1529" spans="1:25">
      <c r="A1529" s="91"/>
      <c r="B1529" s="176"/>
      <c r="C1529" s="176"/>
      <c r="D1529" s="176"/>
      <c r="E1529" s="176"/>
      <c r="F1529" s="176"/>
      <c r="G1529" s="176"/>
      <c r="H1529" s="176"/>
      <c r="I1529" s="176"/>
      <c r="J1529" s="176"/>
      <c r="K1529" s="176"/>
      <c r="L1529" s="176"/>
      <c r="M1529" s="176"/>
      <c r="N1529" s="176"/>
      <c r="O1529" s="176"/>
      <c r="P1529" s="176"/>
      <c r="Q1529" s="176"/>
      <c r="R1529" s="176"/>
      <c r="S1529" s="176"/>
      <c r="T1529" s="176"/>
      <c r="U1529" s="176"/>
      <c r="V1529" s="176"/>
      <c r="W1529" s="176"/>
      <c r="X1529" s="176"/>
      <c r="Y1529" s="176"/>
    </row>
    <row r="1530" spans="1:25">
      <c r="A1530" s="91"/>
      <c r="B1530" s="176"/>
      <c r="C1530" s="176"/>
      <c r="D1530" s="176"/>
      <c r="E1530" s="176"/>
      <c r="F1530" s="176"/>
      <c r="G1530" s="176"/>
      <c r="H1530" s="176"/>
      <c r="I1530" s="176"/>
      <c r="J1530" s="176"/>
      <c r="K1530" s="176"/>
      <c r="L1530" s="176"/>
      <c r="M1530" s="176"/>
      <c r="N1530" s="176"/>
      <c r="O1530" s="176"/>
      <c r="P1530" s="176"/>
      <c r="Q1530" s="176"/>
      <c r="R1530" s="176"/>
      <c r="S1530" s="176"/>
      <c r="T1530" s="176"/>
      <c r="U1530" s="176"/>
      <c r="V1530" s="176"/>
      <c r="W1530" s="176"/>
      <c r="X1530" s="176"/>
      <c r="Y1530" s="176"/>
    </row>
    <row r="1531" spans="1:25">
      <c r="A1531" s="91"/>
      <c r="B1531" s="176"/>
      <c r="C1531" s="176"/>
      <c r="D1531" s="176"/>
      <c r="E1531" s="176"/>
      <c r="F1531" s="176"/>
      <c r="G1531" s="176"/>
      <c r="H1531" s="176"/>
      <c r="I1531" s="176"/>
      <c r="J1531" s="176"/>
      <c r="K1531" s="176"/>
      <c r="L1531" s="176"/>
      <c r="M1531" s="176"/>
      <c r="N1531" s="176"/>
      <c r="O1531" s="176"/>
      <c r="P1531" s="176"/>
      <c r="Q1531" s="176"/>
      <c r="R1531" s="176"/>
      <c r="S1531" s="176"/>
      <c r="T1531" s="176"/>
      <c r="U1531" s="176"/>
      <c r="V1531" s="176"/>
      <c r="W1531" s="176"/>
      <c r="X1531" s="176"/>
      <c r="Y1531" s="176"/>
    </row>
    <row r="1532" spans="1:25">
      <c r="A1532" s="91"/>
      <c r="B1532" s="176"/>
      <c r="C1532" s="176"/>
      <c r="D1532" s="176"/>
      <c r="E1532" s="176"/>
      <c r="F1532" s="176"/>
      <c r="G1532" s="176"/>
      <c r="H1532" s="176"/>
      <c r="I1532" s="176"/>
      <c r="J1532" s="176"/>
      <c r="K1532" s="176"/>
      <c r="L1532" s="176"/>
      <c r="M1532" s="176"/>
      <c r="N1532" s="176"/>
      <c r="O1532" s="176"/>
      <c r="P1532" s="176"/>
      <c r="Q1532" s="176"/>
      <c r="R1532" s="176"/>
      <c r="S1532" s="176"/>
      <c r="T1532" s="176"/>
      <c r="U1532" s="176"/>
      <c r="V1532" s="176"/>
      <c r="W1532" s="176"/>
      <c r="X1532" s="176"/>
      <c r="Y1532" s="176"/>
    </row>
    <row r="1533" spans="1:25">
      <c r="A1533" s="91"/>
      <c r="B1533" s="176"/>
      <c r="C1533" s="176"/>
      <c r="D1533" s="176"/>
      <c r="E1533" s="176"/>
      <c r="F1533" s="176"/>
      <c r="G1533" s="176"/>
      <c r="H1533" s="176"/>
      <c r="I1533" s="176"/>
      <c r="J1533" s="176"/>
      <c r="K1533" s="176"/>
      <c r="L1533" s="176"/>
      <c r="M1533" s="176"/>
      <c r="N1533" s="176"/>
      <c r="O1533" s="176"/>
      <c r="P1533" s="176"/>
      <c r="Q1533" s="176"/>
      <c r="R1533" s="176"/>
      <c r="S1533" s="176"/>
      <c r="T1533" s="176"/>
      <c r="U1533" s="176"/>
      <c r="V1533" s="176"/>
      <c r="W1533" s="176"/>
      <c r="X1533" s="176"/>
      <c r="Y1533" s="176"/>
    </row>
    <row r="1534" spans="1:25">
      <c r="A1534" s="91"/>
      <c r="B1534" s="176"/>
      <c r="C1534" s="176"/>
      <c r="D1534" s="176"/>
      <c r="E1534" s="176"/>
      <c r="F1534" s="176"/>
      <c r="G1534" s="176"/>
      <c r="H1534" s="176"/>
      <c r="I1534" s="176"/>
      <c r="J1534" s="176"/>
      <c r="K1534" s="176"/>
      <c r="L1534" s="176"/>
      <c r="M1534" s="176"/>
      <c r="N1534" s="176"/>
      <c r="O1534" s="176"/>
      <c r="P1534" s="176"/>
      <c r="Q1534" s="176"/>
      <c r="R1534" s="176"/>
      <c r="S1534" s="176"/>
      <c r="T1534" s="176"/>
      <c r="U1534" s="176"/>
      <c r="V1534" s="176"/>
      <c r="W1534" s="176"/>
      <c r="X1534" s="176"/>
      <c r="Y1534" s="176"/>
    </row>
    <row r="1535" spans="1:25">
      <c r="A1535" s="91"/>
      <c r="B1535" s="176"/>
      <c r="C1535" s="176"/>
      <c r="D1535" s="176"/>
      <c r="E1535" s="176"/>
      <c r="F1535" s="176"/>
      <c r="G1535" s="176"/>
      <c r="H1535" s="176"/>
      <c r="I1535" s="176"/>
      <c r="J1535" s="176"/>
      <c r="K1535" s="176"/>
      <c r="L1535" s="176"/>
      <c r="M1535" s="176"/>
      <c r="N1535" s="176"/>
      <c r="O1535" s="176"/>
      <c r="P1535" s="176"/>
      <c r="Q1535" s="176"/>
      <c r="R1535" s="176"/>
      <c r="S1535" s="176"/>
      <c r="T1535" s="176"/>
      <c r="U1535" s="176"/>
      <c r="V1535" s="176"/>
      <c r="W1535" s="176"/>
      <c r="X1535" s="176"/>
      <c r="Y1535" s="176"/>
    </row>
    <row r="1536" spans="1:25">
      <c r="A1536" s="91"/>
      <c r="B1536" s="176"/>
      <c r="C1536" s="176"/>
      <c r="D1536" s="176"/>
      <c r="E1536" s="176"/>
      <c r="F1536" s="176"/>
      <c r="G1536" s="176"/>
      <c r="H1536" s="176"/>
      <c r="I1536" s="176"/>
      <c r="J1536" s="176"/>
      <c r="K1536" s="176"/>
      <c r="L1536" s="176"/>
      <c r="M1536" s="176"/>
      <c r="N1536" s="176"/>
      <c r="O1536" s="176"/>
      <c r="P1536" s="176"/>
      <c r="Q1536" s="176"/>
      <c r="R1536" s="176"/>
      <c r="S1536" s="176"/>
      <c r="T1536" s="176"/>
      <c r="U1536" s="176"/>
      <c r="V1536" s="176"/>
      <c r="W1536" s="176"/>
      <c r="X1536" s="176"/>
      <c r="Y1536" s="176"/>
    </row>
    <row r="1537" spans="1:25">
      <c r="A1537" s="91"/>
      <c r="B1537" s="176"/>
      <c r="C1537" s="176"/>
      <c r="D1537" s="176"/>
      <c r="E1537" s="176"/>
      <c r="F1537" s="176"/>
      <c r="G1537" s="176"/>
      <c r="H1537" s="176"/>
      <c r="I1537" s="176"/>
      <c r="J1537" s="176"/>
      <c r="K1537" s="176"/>
      <c r="L1537" s="176"/>
      <c r="M1537" s="176"/>
      <c r="N1537" s="176"/>
      <c r="O1537" s="176"/>
      <c r="P1537" s="176"/>
      <c r="Q1537" s="176"/>
      <c r="R1537" s="176"/>
      <c r="S1537" s="176"/>
      <c r="T1537" s="176"/>
      <c r="U1537" s="176"/>
      <c r="V1537" s="176"/>
      <c r="W1537" s="176"/>
      <c r="X1537" s="176"/>
      <c r="Y1537" s="176"/>
    </row>
    <row r="1538" spans="1:25">
      <c r="A1538" s="91"/>
      <c r="B1538" s="176"/>
      <c r="C1538" s="176"/>
      <c r="D1538" s="176"/>
      <c r="E1538" s="176"/>
      <c r="F1538" s="176"/>
      <c r="G1538" s="176"/>
      <c r="H1538" s="176"/>
      <c r="I1538" s="176"/>
      <c r="J1538" s="176"/>
      <c r="K1538" s="176"/>
      <c r="L1538" s="176"/>
      <c r="M1538" s="176"/>
      <c r="N1538" s="176"/>
      <c r="O1538" s="176"/>
      <c r="P1538" s="176"/>
      <c r="Q1538" s="176"/>
      <c r="R1538" s="176"/>
      <c r="S1538" s="176"/>
      <c r="T1538" s="176"/>
      <c r="U1538" s="176"/>
      <c r="V1538" s="176"/>
      <c r="W1538" s="176"/>
      <c r="X1538" s="176"/>
      <c r="Y1538" s="176"/>
    </row>
    <row r="1539" spans="1:25">
      <c r="A1539" s="91"/>
      <c r="B1539" s="176"/>
      <c r="C1539" s="176"/>
      <c r="D1539" s="176"/>
      <c r="E1539" s="176"/>
      <c r="F1539" s="176"/>
      <c r="G1539" s="176"/>
      <c r="H1539" s="176"/>
      <c r="I1539" s="176"/>
      <c r="J1539" s="176"/>
      <c r="K1539" s="176"/>
      <c r="L1539" s="176"/>
      <c r="M1539" s="176"/>
      <c r="N1539" s="176"/>
      <c r="O1539" s="176"/>
      <c r="P1539" s="176"/>
      <c r="Q1539" s="176"/>
      <c r="R1539" s="176"/>
      <c r="S1539" s="176"/>
      <c r="T1539" s="176"/>
      <c r="U1539" s="176"/>
      <c r="V1539" s="176"/>
      <c r="W1539" s="176"/>
      <c r="X1539" s="176"/>
      <c r="Y1539" s="176"/>
    </row>
    <row r="1540" spans="1:25">
      <c r="A1540" s="91"/>
      <c r="B1540" s="176"/>
      <c r="C1540" s="176"/>
      <c r="D1540" s="176"/>
      <c r="E1540" s="176"/>
      <c r="F1540" s="176"/>
      <c r="G1540" s="176"/>
      <c r="H1540" s="176"/>
      <c r="I1540" s="176"/>
      <c r="J1540" s="176"/>
      <c r="K1540" s="176"/>
      <c r="L1540" s="176"/>
      <c r="M1540" s="176"/>
      <c r="N1540" s="176"/>
      <c r="O1540" s="176"/>
      <c r="P1540" s="176"/>
      <c r="Q1540" s="176"/>
      <c r="R1540" s="176"/>
      <c r="S1540" s="176"/>
      <c r="T1540" s="176"/>
      <c r="U1540" s="176"/>
      <c r="V1540" s="176"/>
      <c r="W1540" s="176"/>
      <c r="X1540" s="176"/>
      <c r="Y1540" s="176"/>
    </row>
    <row r="1541" spans="1:25">
      <c r="A1541" s="91"/>
      <c r="B1541" s="176"/>
      <c r="C1541" s="176"/>
      <c r="D1541" s="176"/>
      <c r="E1541" s="176"/>
      <c r="F1541" s="176"/>
      <c r="G1541" s="176"/>
      <c r="H1541" s="176"/>
      <c r="I1541" s="176"/>
      <c r="J1541" s="176"/>
      <c r="K1541" s="176"/>
      <c r="L1541" s="176"/>
      <c r="M1541" s="176"/>
      <c r="N1541" s="176"/>
      <c r="O1541" s="176"/>
      <c r="P1541" s="176"/>
      <c r="Q1541" s="176"/>
      <c r="R1541" s="176"/>
      <c r="S1541" s="176"/>
      <c r="T1541" s="176"/>
      <c r="U1541" s="176"/>
      <c r="V1541" s="176"/>
      <c r="W1541" s="176"/>
      <c r="X1541" s="176"/>
      <c r="Y1541" s="176"/>
    </row>
    <row r="1542" spans="1:25">
      <c r="A1542" s="91"/>
      <c r="B1542" s="176"/>
      <c r="C1542" s="176"/>
      <c r="D1542" s="176"/>
      <c r="E1542" s="176"/>
      <c r="F1542" s="176"/>
      <c r="G1542" s="176"/>
      <c r="H1542" s="176"/>
      <c r="I1542" s="176"/>
      <c r="J1542" s="176"/>
      <c r="K1542" s="176"/>
      <c r="L1542" s="176"/>
      <c r="M1542" s="176"/>
      <c r="N1542" s="176"/>
      <c r="O1542" s="176"/>
      <c r="P1542" s="176"/>
      <c r="Q1542" s="176"/>
      <c r="R1542" s="176"/>
      <c r="S1542" s="176"/>
      <c r="T1542" s="176"/>
      <c r="U1542" s="176"/>
      <c r="V1542" s="176"/>
      <c r="W1542" s="176"/>
      <c r="X1542" s="176"/>
      <c r="Y1542" s="176"/>
    </row>
    <row r="1543" spans="1:25">
      <c r="A1543" s="91"/>
      <c r="B1543" s="176"/>
      <c r="C1543" s="176"/>
      <c r="D1543" s="176"/>
      <c r="E1543" s="176"/>
      <c r="F1543" s="176"/>
      <c r="G1543" s="176"/>
      <c r="H1543" s="176"/>
      <c r="I1543" s="176"/>
      <c r="J1543" s="176"/>
      <c r="K1543" s="176"/>
      <c r="L1543" s="176"/>
      <c r="M1543" s="176"/>
      <c r="N1543" s="176"/>
      <c r="O1543" s="176"/>
      <c r="P1543" s="176"/>
      <c r="Q1543" s="176"/>
      <c r="R1543" s="176"/>
      <c r="S1543" s="176"/>
      <c r="T1543" s="176"/>
      <c r="U1543" s="176"/>
      <c r="V1543" s="176"/>
      <c r="W1543" s="176"/>
      <c r="X1543" s="176"/>
      <c r="Y1543" s="176"/>
    </row>
    <row r="1544" spans="1:25">
      <c r="A1544" s="91"/>
      <c r="B1544" s="176"/>
      <c r="C1544" s="176"/>
      <c r="D1544" s="176"/>
      <c r="E1544" s="176"/>
      <c r="F1544" s="176"/>
      <c r="G1544" s="176"/>
      <c r="H1544" s="176"/>
      <c r="I1544" s="176"/>
      <c r="J1544" s="176"/>
      <c r="K1544" s="176"/>
      <c r="L1544" s="176"/>
      <c r="M1544" s="176"/>
      <c r="N1544" s="176"/>
      <c r="O1544" s="176"/>
      <c r="P1544" s="176"/>
      <c r="Q1544" s="176"/>
      <c r="R1544" s="176"/>
      <c r="S1544" s="176"/>
      <c r="T1544" s="176"/>
      <c r="U1544" s="176"/>
      <c r="V1544" s="176"/>
      <c r="W1544" s="176"/>
      <c r="X1544" s="176"/>
      <c r="Y1544" s="176"/>
    </row>
    <row r="1545" spans="1:25">
      <c r="A1545" s="91"/>
      <c r="B1545" s="176"/>
      <c r="C1545" s="176"/>
      <c r="D1545" s="176"/>
      <c r="E1545" s="176"/>
      <c r="F1545" s="176"/>
      <c r="G1545" s="176"/>
      <c r="H1545" s="176"/>
      <c r="I1545" s="176"/>
      <c r="J1545" s="176"/>
      <c r="K1545" s="176"/>
      <c r="L1545" s="176"/>
      <c r="M1545" s="176"/>
      <c r="N1545" s="176"/>
      <c r="O1545" s="176"/>
      <c r="P1545" s="176"/>
      <c r="Q1545" s="176"/>
      <c r="R1545" s="176"/>
      <c r="S1545" s="176"/>
      <c r="T1545" s="176"/>
      <c r="U1545" s="176"/>
      <c r="V1545" s="176"/>
      <c r="W1545" s="176"/>
      <c r="X1545" s="176"/>
      <c r="Y1545" s="176"/>
    </row>
    <row r="1546" spans="1:25">
      <c r="A1546" s="91"/>
      <c r="B1546" s="176"/>
      <c r="C1546" s="176"/>
      <c r="D1546" s="176"/>
      <c r="E1546" s="176"/>
      <c r="F1546" s="176"/>
      <c r="G1546" s="176"/>
      <c r="H1546" s="176"/>
      <c r="I1546" s="176"/>
      <c r="J1546" s="176"/>
      <c r="K1546" s="176"/>
      <c r="L1546" s="176"/>
      <c r="M1546" s="176"/>
      <c r="N1546" s="176"/>
      <c r="O1546" s="176"/>
      <c r="P1546" s="176"/>
      <c r="Q1546" s="176"/>
      <c r="R1546" s="176"/>
      <c r="S1546" s="176"/>
      <c r="T1546" s="176"/>
      <c r="U1546" s="176"/>
      <c r="V1546" s="176"/>
      <c r="W1546" s="176"/>
      <c r="X1546" s="176"/>
      <c r="Y1546" s="176"/>
    </row>
    <row r="1547" spans="1:25">
      <c r="A1547" s="91"/>
      <c r="B1547" s="176"/>
      <c r="C1547" s="176"/>
      <c r="D1547" s="176"/>
      <c r="E1547" s="176"/>
      <c r="F1547" s="176"/>
      <c r="G1547" s="176"/>
      <c r="H1547" s="176"/>
      <c r="I1547" s="176"/>
      <c r="J1547" s="176"/>
      <c r="K1547" s="176"/>
      <c r="L1547" s="176"/>
      <c r="M1547" s="176"/>
      <c r="N1547" s="176"/>
      <c r="O1547" s="176"/>
      <c r="P1547" s="176"/>
      <c r="Q1547" s="176"/>
      <c r="R1547" s="176"/>
      <c r="S1547" s="176"/>
      <c r="T1547" s="176"/>
      <c r="U1547" s="176"/>
      <c r="V1547" s="176"/>
      <c r="W1547" s="176"/>
      <c r="X1547" s="176"/>
      <c r="Y1547" s="176"/>
    </row>
    <row r="1548" spans="1:25">
      <c r="A1548" s="91"/>
      <c r="B1548" s="176"/>
      <c r="C1548" s="176"/>
      <c r="D1548" s="176"/>
      <c r="E1548" s="176"/>
      <c r="F1548" s="176"/>
      <c r="G1548" s="176"/>
      <c r="H1548" s="176"/>
      <c r="I1548" s="176"/>
      <c r="J1548" s="176"/>
      <c r="K1548" s="176"/>
      <c r="L1548" s="176"/>
      <c r="M1548" s="176"/>
      <c r="N1548" s="176"/>
      <c r="O1548" s="176"/>
      <c r="P1548" s="176"/>
      <c r="Q1548" s="176"/>
      <c r="R1548" s="176"/>
      <c r="S1548" s="176"/>
      <c r="T1548" s="176"/>
      <c r="U1548" s="176"/>
      <c r="V1548" s="176"/>
      <c r="W1548" s="176"/>
      <c r="X1548" s="176"/>
      <c r="Y1548" s="176"/>
    </row>
    <row r="1549" spans="1:25">
      <c r="A1549" s="91"/>
      <c r="B1549" s="176"/>
      <c r="C1549" s="176"/>
      <c r="D1549" s="176"/>
      <c r="E1549" s="176"/>
      <c r="F1549" s="176"/>
      <c r="G1549" s="176"/>
      <c r="H1549" s="176"/>
      <c r="I1549" s="176"/>
      <c r="J1549" s="176"/>
      <c r="K1549" s="176"/>
      <c r="L1549" s="176"/>
      <c r="M1549" s="176"/>
      <c r="N1549" s="176"/>
      <c r="O1549" s="176"/>
      <c r="P1549" s="176"/>
      <c r="Q1549" s="176"/>
      <c r="R1549" s="176"/>
      <c r="S1549" s="176"/>
      <c r="T1549" s="176"/>
      <c r="U1549" s="176"/>
      <c r="V1549" s="176"/>
      <c r="W1549" s="176"/>
      <c r="X1549" s="176"/>
      <c r="Y1549" s="176"/>
    </row>
    <row r="1550" spans="1:25">
      <c r="A1550" s="91"/>
      <c r="B1550" s="176"/>
      <c r="C1550" s="176"/>
      <c r="D1550" s="176"/>
      <c r="E1550" s="176"/>
      <c r="F1550" s="176"/>
      <c r="G1550" s="176"/>
      <c r="H1550" s="176"/>
      <c r="I1550" s="176"/>
      <c r="J1550" s="176"/>
      <c r="K1550" s="176"/>
      <c r="L1550" s="176"/>
      <c r="M1550" s="176"/>
      <c r="N1550" s="176"/>
      <c r="O1550" s="176"/>
      <c r="P1550" s="176"/>
      <c r="Q1550" s="176"/>
      <c r="R1550" s="176"/>
      <c r="S1550" s="176"/>
      <c r="T1550" s="176"/>
      <c r="U1550" s="176"/>
      <c r="V1550" s="176"/>
      <c r="W1550" s="176"/>
      <c r="X1550" s="176"/>
      <c r="Y1550" s="176"/>
    </row>
    <row r="1551" spans="1:25">
      <c r="A1551" s="91"/>
      <c r="B1551" s="176"/>
      <c r="C1551" s="176"/>
      <c r="D1551" s="176"/>
      <c r="E1551" s="176"/>
      <c r="F1551" s="176"/>
      <c r="G1551" s="176"/>
      <c r="H1551" s="176"/>
      <c r="I1551" s="176"/>
      <c r="J1551" s="176"/>
      <c r="K1551" s="176"/>
      <c r="L1551" s="176"/>
      <c r="M1551" s="176"/>
      <c r="N1551" s="176"/>
      <c r="O1551" s="176"/>
      <c r="P1551" s="176"/>
      <c r="Q1551" s="176"/>
      <c r="R1551" s="176"/>
      <c r="S1551" s="176"/>
      <c r="T1551" s="176"/>
      <c r="U1551" s="176"/>
      <c r="V1551" s="176"/>
      <c r="W1551" s="176"/>
      <c r="X1551" s="176"/>
      <c r="Y1551" s="176"/>
    </row>
    <row r="1552" spans="1:25">
      <c r="A1552" s="91"/>
      <c r="B1552" s="176"/>
      <c r="C1552" s="176"/>
      <c r="D1552" s="176"/>
      <c r="E1552" s="176"/>
      <c r="F1552" s="176"/>
      <c r="G1552" s="176"/>
      <c r="H1552" s="176"/>
      <c r="I1552" s="176"/>
      <c r="J1552" s="176"/>
      <c r="K1552" s="176"/>
      <c r="L1552" s="176"/>
      <c r="M1552" s="176"/>
      <c r="N1552" s="176"/>
      <c r="O1552" s="176"/>
      <c r="P1552" s="176"/>
      <c r="Q1552" s="176"/>
      <c r="R1552" s="176"/>
      <c r="S1552" s="176"/>
      <c r="T1552" s="176"/>
      <c r="U1552" s="176"/>
      <c r="V1552" s="176"/>
      <c r="W1552" s="176"/>
      <c r="X1552" s="176"/>
      <c r="Y1552" s="176"/>
    </row>
    <row r="1553" spans="1:25">
      <c r="A1553" s="91"/>
      <c r="B1553" s="176"/>
      <c r="C1553" s="176"/>
      <c r="D1553" s="176"/>
      <c r="E1553" s="176"/>
      <c r="F1553" s="176"/>
      <c r="G1553" s="176"/>
      <c r="H1553" s="176"/>
      <c r="I1553" s="176"/>
      <c r="J1553" s="176"/>
      <c r="K1553" s="176"/>
      <c r="L1553" s="176"/>
      <c r="M1553" s="176"/>
      <c r="N1553" s="176"/>
      <c r="O1553" s="176"/>
      <c r="P1553" s="176"/>
      <c r="Q1553" s="176"/>
      <c r="R1553" s="176"/>
      <c r="S1553" s="176"/>
      <c r="T1553" s="176"/>
      <c r="U1553" s="176"/>
      <c r="V1553" s="176"/>
      <c r="W1553" s="176"/>
      <c r="X1553" s="176"/>
      <c r="Y1553" s="176"/>
    </row>
    <row r="1554" spans="1:25">
      <c r="A1554" s="91"/>
      <c r="B1554" s="176"/>
      <c r="C1554" s="176"/>
      <c r="D1554" s="176"/>
      <c r="E1554" s="176"/>
      <c r="F1554" s="176"/>
      <c r="G1554" s="176"/>
      <c r="H1554" s="176"/>
      <c r="I1554" s="176"/>
      <c r="J1554" s="176"/>
      <c r="K1554" s="176"/>
      <c r="L1554" s="176"/>
      <c r="M1554" s="176"/>
      <c r="N1554" s="176"/>
      <c r="O1554" s="176"/>
      <c r="P1554" s="176"/>
      <c r="Q1554" s="176"/>
      <c r="R1554" s="176"/>
      <c r="S1554" s="176"/>
      <c r="T1554" s="176"/>
      <c r="U1554" s="176"/>
      <c r="V1554" s="176"/>
      <c r="W1554" s="176"/>
      <c r="X1554" s="176"/>
      <c r="Y1554" s="176"/>
    </row>
    <row r="1555" spans="1:25">
      <c r="A1555" s="91"/>
      <c r="B1555" s="176"/>
      <c r="C1555" s="176"/>
      <c r="D1555" s="176"/>
      <c r="E1555" s="176"/>
      <c r="F1555" s="176"/>
      <c r="G1555" s="176"/>
      <c r="H1555" s="176"/>
      <c r="I1555" s="176"/>
      <c r="J1555" s="176"/>
      <c r="K1555" s="176"/>
      <c r="L1555" s="176"/>
      <c r="M1555" s="176"/>
      <c r="N1555" s="176"/>
      <c r="O1555" s="176"/>
      <c r="P1555" s="176"/>
      <c r="Q1555" s="176"/>
      <c r="R1555" s="176"/>
      <c r="S1555" s="176"/>
      <c r="T1555" s="176"/>
      <c r="U1555" s="176"/>
      <c r="V1555" s="176"/>
      <c r="W1555" s="176"/>
      <c r="X1555" s="176"/>
      <c r="Y1555" s="176"/>
    </row>
    <row r="1556" spans="1:25">
      <c r="A1556" s="91"/>
      <c r="B1556" s="176"/>
      <c r="C1556" s="176"/>
      <c r="D1556" s="176"/>
      <c r="E1556" s="176"/>
      <c r="F1556" s="176"/>
      <c r="G1556" s="176"/>
      <c r="H1556" s="176"/>
      <c r="I1556" s="176"/>
      <c r="J1556" s="176"/>
      <c r="K1556" s="176"/>
      <c r="L1556" s="176"/>
      <c r="M1556" s="176"/>
      <c r="N1556" s="176"/>
      <c r="O1556" s="176"/>
      <c r="P1556" s="176"/>
      <c r="Q1556" s="176"/>
      <c r="R1556" s="176"/>
      <c r="S1556" s="176"/>
      <c r="T1556" s="176"/>
      <c r="U1556" s="176"/>
      <c r="V1556" s="176"/>
      <c r="W1556" s="176"/>
      <c r="X1556" s="176"/>
      <c r="Y1556" s="176"/>
    </row>
    <row r="1557" spans="1:25">
      <c r="A1557" s="91"/>
      <c r="B1557" s="176"/>
      <c r="C1557" s="176"/>
      <c r="D1557" s="176"/>
      <c r="E1557" s="176"/>
      <c r="F1557" s="176"/>
      <c r="G1557" s="176"/>
      <c r="H1557" s="176"/>
      <c r="I1557" s="176"/>
      <c r="J1557" s="176"/>
      <c r="K1557" s="176"/>
      <c r="L1557" s="176"/>
      <c r="M1557" s="176"/>
      <c r="N1557" s="176"/>
      <c r="O1557" s="176"/>
      <c r="P1557" s="176"/>
      <c r="Q1557" s="176"/>
      <c r="R1557" s="176"/>
      <c r="S1557" s="176"/>
      <c r="T1557" s="176"/>
      <c r="U1557" s="176"/>
      <c r="V1557" s="176"/>
      <c r="W1557" s="176"/>
      <c r="X1557" s="176"/>
      <c r="Y1557" s="176"/>
    </row>
    <row r="1558" spans="1:25">
      <c r="A1558" s="91"/>
      <c r="B1558" s="176"/>
      <c r="C1558" s="176"/>
      <c r="D1558" s="176"/>
      <c r="E1558" s="176"/>
      <c r="F1558" s="176"/>
      <c r="G1558" s="176"/>
      <c r="H1558" s="176"/>
      <c r="I1558" s="176"/>
      <c r="J1558" s="176"/>
      <c r="K1558" s="176"/>
      <c r="L1558" s="176"/>
      <c r="M1558" s="176"/>
      <c r="N1558" s="176"/>
      <c r="O1558" s="176"/>
      <c r="P1558" s="176"/>
      <c r="Q1558" s="176"/>
      <c r="R1558" s="176"/>
      <c r="S1558" s="176"/>
      <c r="T1558" s="176"/>
      <c r="U1558" s="176"/>
      <c r="V1558" s="176"/>
      <c r="W1558" s="176"/>
      <c r="X1558" s="176"/>
      <c r="Y1558" s="176"/>
    </row>
    <row r="1559" spans="1:25">
      <c r="A1559" s="91"/>
      <c r="B1559" s="176"/>
      <c r="C1559" s="176"/>
      <c r="D1559" s="176"/>
      <c r="E1559" s="176"/>
      <c r="F1559" s="176"/>
      <c r="G1559" s="176"/>
      <c r="H1559" s="176"/>
      <c r="I1559" s="176"/>
      <c r="J1559" s="176"/>
      <c r="K1559" s="176"/>
      <c r="L1559" s="176"/>
      <c r="M1559" s="176"/>
      <c r="N1559" s="176"/>
      <c r="O1559" s="176"/>
      <c r="P1559" s="176"/>
      <c r="Q1559" s="176"/>
      <c r="R1559" s="176"/>
      <c r="S1559" s="176"/>
      <c r="T1559" s="176"/>
      <c r="U1559" s="176"/>
      <c r="V1559" s="176"/>
      <c r="W1559" s="176"/>
      <c r="X1559" s="176"/>
      <c r="Y1559" s="176"/>
    </row>
    <row r="1560" spans="1:25">
      <c r="A1560" s="91"/>
      <c r="B1560" s="176"/>
      <c r="C1560" s="176"/>
      <c r="D1560" s="176"/>
      <c r="E1560" s="176"/>
      <c r="F1560" s="176"/>
      <c r="G1560" s="176"/>
      <c r="H1560" s="176"/>
      <c r="I1560" s="176"/>
      <c r="J1560" s="176"/>
      <c r="K1560" s="176"/>
      <c r="L1560" s="176"/>
      <c r="M1560" s="176"/>
      <c r="N1560" s="176"/>
      <c r="O1560" s="176"/>
      <c r="P1560" s="176"/>
      <c r="Q1560" s="176"/>
      <c r="R1560" s="176"/>
      <c r="S1560" s="176"/>
      <c r="T1560" s="176"/>
      <c r="U1560" s="176"/>
      <c r="V1560" s="176"/>
      <c r="W1560" s="176"/>
      <c r="X1560" s="176"/>
      <c r="Y1560" s="176"/>
    </row>
    <row r="1561" spans="1:25">
      <c r="A1561" s="91"/>
      <c r="B1561" s="176"/>
      <c r="C1561" s="176"/>
      <c r="D1561" s="176"/>
      <c r="E1561" s="176"/>
      <c r="F1561" s="176"/>
      <c r="G1561" s="176"/>
      <c r="H1561" s="176"/>
      <c r="I1561" s="176"/>
      <c r="J1561" s="176"/>
      <c r="K1561" s="176"/>
      <c r="L1561" s="176"/>
      <c r="M1561" s="176"/>
      <c r="N1561" s="176"/>
      <c r="O1561" s="176"/>
      <c r="P1561" s="176"/>
      <c r="Q1561" s="176"/>
      <c r="R1561" s="176"/>
      <c r="S1561" s="176"/>
      <c r="T1561" s="176"/>
      <c r="U1561" s="176"/>
      <c r="V1561" s="176"/>
      <c r="W1561" s="176"/>
      <c r="X1561" s="176"/>
      <c r="Y1561" s="176"/>
    </row>
    <row r="1562" spans="1:25">
      <c r="A1562" s="91"/>
      <c r="B1562" s="176"/>
      <c r="C1562" s="176"/>
      <c r="D1562" s="176"/>
      <c r="E1562" s="176"/>
      <c r="F1562" s="176"/>
      <c r="G1562" s="176"/>
      <c r="H1562" s="176"/>
      <c r="I1562" s="176"/>
      <c r="J1562" s="176"/>
      <c r="K1562" s="176"/>
      <c r="L1562" s="176"/>
      <c r="M1562" s="176"/>
      <c r="N1562" s="176"/>
      <c r="O1562" s="176"/>
      <c r="P1562" s="176"/>
      <c r="Q1562" s="176"/>
      <c r="R1562" s="176"/>
      <c r="S1562" s="176"/>
      <c r="T1562" s="176"/>
      <c r="U1562" s="176"/>
      <c r="V1562" s="176"/>
      <c r="W1562" s="176"/>
      <c r="X1562" s="176"/>
      <c r="Y1562" s="176"/>
    </row>
    <row r="1563" spans="1:25">
      <c r="A1563" s="91"/>
      <c r="B1563" s="176"/>
      <c r="C1563" s="176"/>
      <c r="D1563" s="176"/>
      <c r="E1563" s="176"/>
      <c r="F1563" s="176"/>
      <c r="G1563" s="176"/>
      <c r="H1563" s="176"/>
      <c r="I1563" s="176"/>
      <c r="J1563" s="176"/>
      <c r="K1563" s="176"/>
      <c r="L1563" s="176"/>
      <c r="M1563" s="176"/>
      <c r="N1563" s="176"/>
      <c r="O1563" s="176"/>
      <c r="P1563" s="176"/>
      <c r="Q1563" s="176"/>
      <c r="R1563" s="176"/>
      <c r="S1563" s="176"/>
      <c r="T1563" s="176"/>
      <c r="U1563" s="176"/>
      <c r="V1563" s="176"/>
      <c r="W1563" s="176"/>
      <c r="X1563" s="176"/>
      <c r="Y1563" s="176"/>
    </row>
    <row r="1564" spans="1:25">
      <c r="A1564" s="91"/>
      <c r="B1564" s="176"/>
      <c r="C1564" s="176"/>
      <c r="D1564" s="176"/>
      <c r="E1564" s="176"/>
      <c r="F1564" s="176"/>
      <c r="G1564" s="176"/>
      <c r="H1564" s="176"/>
      <c r="I1564" s="176"/>
      <c r="J1564" s="176"/>
      <c r="K1564" s="176"/>
      <c r="L1564" s="176"/>
      <c r="M1564" s="176"/>
      <c r="N1564" s="176"/>
      <c r="O1564" s="176"/>
      <c r="P1564" s="176"/>
      <c r="Q1564" s="176"/>
      <c r="R1564" s="176"/>
      <c r="S1564" s="176"/>
      <c r="T1564" s="176"/>
      <c r="U1564" s="176"/>
      <c r="V1564" s="176"/>
      <c r="W1564" s="176"/>
      <c r="X1564" s="176"/>
      <c r="Y1564" s="176"/>
    </row>
    <row r="1565" spans="1:25">
      <c r="A1565" s="91"/>
      <c r="B1565" s="176"/>
      <c r="C1565" s="176"/>
      <c r="D1565" s="176"/>
      <c r="E1565" s="176"/>
      <c r="F1565" s="176"/>
      <c r="G1565" s="176"/>
      <c r="H1565" s="176"/>
      <c r="I1565" s="176"/>
      <c r="J1565" s="176"/>
      <c r="K1565" s="176"/>
      <c r="L1565" s="176"/>
      <c r="M1565" s="176"/>
      <c r="N1565" s="176"/>
      <c r="O1565" s="176"/>
      <c r="P1565" s="176"/>
      <c r="Q1565" s="176"/>
      <c r="R1565" s="176"/>
      <c r="S1565" s="176"/>
      <c r="T1565" s="176"/>
      <c r="U1565" s="176"/>
      <c r="V1565" s="176"/>
      <c r="W1565" s="176"/>
      <c r="X1565" s="176"/>
      <c r="Y1565" s="176"/>
    </row>
    <row r="1566" spans="1:25">
      <c r="A1566" s="91"/>
      <c r="B1566" s="176"/>
      <c r="C1566" s="176"/>
      <c r="D1566" s="176"/>
      <c r="E1566" s="176"/>
      <c r="F1566" s="176"/>
      <c r="G1566" s="176"/>
      <c r="H1566" s="176"/>
      <c r="I1566" s="176"/>
      <c r="J1566" s="176"/>
      <c r="K1566" s="176"/>
      <c r="L1566" s="176"/>
      <c r="M1566" s="176"/>
      <c r="N1566" s="176"/>
      <c r="O1566" s="176"/>
      <c r="P1566" s="176"/>
      <c r="Q1566" s="176"/>
      <c r="R1566" s="176"/>
      <c r="S1566" s="176"/>
      <c r="T1566" s="176"/>
      <c r="U1566" s="176"/>
      <c r="V1566" s="176"/>
      <c r="W1566" s="176"/>
      <c r="X1566" s="176"/>
      <c r="Y1566" s="176"/>
    </row>
    <row r="1567" spans="1:25">
      <c r="A1567" s="91"/>
      <c r="B1567" s="176"/>
      <c r="C1567" s="176"/>
      <c r="D1567" s="176"/>
      <c r="E1567" s="176"/>
      <c r="F1567" s="176"/>
      <c r="G1567" s="176"/>
      <c r="H1567" s="176"/>
      <c r="I1567" s="176"/>
      <c r="J1567" s="176"/>
      <c r="K1567" s="176"/>
      <c r="L1567" s="176"/>
      <c r="M1567" s="176"/>
      <c r="N1567" s="176"/>
      <c r="O1567" s="176"/>
      <c r="P1567" s="176"/>
      <c r="Q1567" s="176"/>
      <c r="R1567" s="176"/>
      <c r="S1567" s="176"/>
      <c r="T1567" s="176"/>
      <c r="U1567" s="176"/>
      <c r="V1567" s="176"/>
      <c r="W1567" s="176"/>
      <c r="X1567" s="176"/>
      <c r="Y1567" s="176"/>
    </row>
    <row r="1568" spans="1:25">
      <c r="A1568" s="91"/>
      <c r="B1568" s="176"/>
      <c r="C1568" s="176"/>
      <c r="D1568" s="176"/>
      <c r="E1568" s="176"/>
      <c r="F1568" s="176"/>
      <c r="G1568" s="176"/>
      <c r="H1568" s="176"/>
      <c r="I1568" s="176"/>
      <c r="J1568" s="176"/>
      <c r="K1568" s="176"/>
      <c r="L1568" s="176"/>
      <c r="M1568" s="176"/>
      <c r="N1568" s="176"/>
      <c r="O1568" s="176"/>
      <c r="P1568" s="176"/>
      <c r="Q1568" s="176"/>
      <c r="R1568" s="176"/>
      <c r="S1568" s="176"/>
      <c r="T1568" s="176"/>
      <c r="U1568" s="176"/>
      <c r="V1568" s="176"/>
      <c r="W1568" s="176"/>
      <c r="X1568" s="176"/>
      <c r="Y1568" s="176"/>
    </row>
    <row r="1569" spans="1:25">
      <c r="A1569" s="91"/>
      <c r="B1569" s="176"/>
      <c r="C1569" s="176"/>
      <c r="D1569" s="176"/>
      <c r="E1569" s="176"/>
      <c r="F1569" s="176"/>
      <c r="G1569" s="176"/>
      <c r="H1569" s="176"/>
      <c r="I1569" s="176"/>
      <c r="J1569" s="176"/>
      <c r="K1569" s="176"/>
      <c r="L1569" s="176"/>
      <c r="M1569" s="176"/>
      <c r="N1569" s="176"/>
      <c r="O1569" s="176"/>
      <c r="P1569" s="176"/>
      <c r="Q1569" s="176"/>
      <c r="R1569" s="176"/>
      <c r="S1569" s="176"/>
      <c r="T1569" s="176"/>
      <c r="U1569" s="176"/>
      <c r="V1569" s="176"/>
      <c r="W1569" s="176"/>
      <c r="X1569" s="176"/>
      <c r="Y1569" s="176"/>
    </row>
    <row r="1570" spans="1:25">
      <c r="A1570" s="91"/>
      <c r="B1570" s="176"/>
      <c r="C1570" s="176"/>
      <c r="D1570" s="176"/>
      <c r="E1570" s="176"/>
      <c r="F1570" s="176"/>
      <c r="G1570" s="176"/>
      <c r="H1570" s="176"/>
      <c r="I1570" s="176"/>
      <c r="J1570" s="176"/>
      <c r="K1570" s="176"/>
      <c r="L1570" s="176"/>
      <c r="M1570" s="176"/>
      <c r="N1570" s="176"/>
      <c r="O1570" s="176"/>
      <c r="P1570" s="176"/>
      <c r="Q1570" s="176"/>
      <c r="R1570" s="176"/>
      <c r="S1570" s="176"/>
      <c r="T1570" s="176"/>
      <c r="U1570" s="176"/>
      <c r="V1570" s="176"/>
      <c r="W1570" s="176"/>
      <c r="X1570" s="176"/>
      <c r="Y1570" s="176"/>
    </row>
    <row r="1571" spans="1:25">
      <c r="A1571" s="91"/>
      <c r="B1571" s="176"/>
      <c r="C1571" s="176"/>
      <c r="D1571" s="176"/>
      <c r="E1571" s="176"/>
      <c r="F1571" s="176"/>
      <c r="G1571" s="176"/>
      <c r="H1571" s="176"/>
      <c r="I1571" s="176"/>
      <c r="J1571" s="176"/>
      <c r="K1571" s="176"/>
      <c r="L1571" s="176"/>
      <c r="M1571" s="176"/>
      <c r="N1571" s="176"/>
      <c r="O1571" s="176"/>
      <c r="P1571" s="176"/>
      <c r="Q1571" s="176"/>
      <c r="R1571" s="176"/>
      <c r="S1571" s="176"/>
      <c r="T1571" s="176"/>
      <c r="U1571" s="176"/>
      <c r="V1571" s="176"/>
      <c r="W1571" s="176"/>
      <c r="X1571" s="176"/>
      <c r="Y1571" s="176"/>
    </row>
    <row r="1572" spans="1:25">
      <c r="A1572" s="91"/>
      <c r="B1572" s="176"/>
      <c r="C1572" s="176"/>
      <c r="D1572" s="176"/>
      <c r="E1572" s="176"/>
      <c r="F1572" s="176"/>
      <c r="G1572" s="176"/>
      <c r="H1572" s="176"/>
      <c r="I1572" s="176"/>
      <c r="J1572" s="176"/>
      <c r="K1572" s="176"/>
      <c r="L1572" s="176"/>
      <c r="M1572" s="176"/>
      <c r="N1572" s="176"/>
      <c r="O1572" s="176"/>
      <c r="P1572" s="176"/>
      <c r="Q1572" s="176"/>
      <c r="R1572" s="176"/>
      <c r="S1572" s="176"/>
      <c r="T1572" s="176"/>
      <c r="U1572" s="176"/>
      <c r="V1572" s="176"/>
      <c r="W1572" s="176"/>
      <c r="X1572" s="176"/>
      <c r="Y1572" s="176"/>
    </row>
    <row r="1573" spans="1:25">
      <c r="A1573" s="91"/>
      <c r="B1573" s="176"/>
      <c r="C1573" s="176"/>
      <c r="D1573" s="176"/>
      <c r="E1573" s="176"/>
      <c r="F1573" s="176"/>
      <c r="G1573" s="176"/>
      <c r="H1573" s="176"/>
      <c r="I1573" s="176"/>
      <c r="J1573" s="176"/>
      <c r="K1573" s="176"/>
      <c r="L1573" s="176"/>
      <c r="M1573" s="176"/>
      <c r="N1573" s="176"/>
      <c r="O1573" s="176"/>
      <c r="P1573" s="176"/>
      <c r="Q1573" s="176"/>
      <c r="R1573" s="176"/>
      <c r="S1573" s="176"/>
      <c r="T1573" s="176"/>
      <c r="U1573" s="176"/>
      <c r="V1573" s="176"/>
      <c r="W1573" s="176"/>
      <c r="X1573" s="176"/>
      <c r="Y1573" s="176"/>
    </row>
    <row r="1574" spans="1:25">
      <c r="A1574" s="91"/>
      <c r="B1574" s="176"/>
      <c r="C1574" s="176"/>
      <c r="D1574" s="176"/>
      <c r="E1574" s="176"/>
      <c r="F1574" s="176"/>
      <c r="G1574" s="176"/>
      <c r="H1574" s="176"/>
      <c r="I1574" s="176"/>
      <c r="J1574" s="176"/>
      <c r="K1574" s="176"/>
      <c r="L1574" s="176"/>
      <c r="M1574" s="176"/>
      <c r="N1574" s="176"/>
      <c r="O1574" s="176"/>
      <c r="P1574" s="176"/>
      <c r="Q1574" s="176"/>
      <c r="R1574" s="176"/>
      <c r="S1574" s="176"/>
      <c r="T1574" s="176"/>
      <c r="U1574" s="176"/>
      <c r="V1574" s="176"/>
      <c r="W1574" s="176"/>
      <c r="X1574" s="176"/>
      <c r="Y1574" s="176"/>
    </row>
    <row r="1575" spans="1:25">
      <c r="A1575" s="91"/>
      <c r="B1575" s="176"/>
      <c r="C1575" s="176"/>
      <c r="D1575" s="176"/>
      <c r="E1575" s="176"/>
      <c r="F1575" s="176"/>
      <c r="G1575" s="176"/>
      <c r="H1575" s="176"/>
      <c r="I1575" s="176"/>
      <c r="J1575" s="176"/>
      <c r="K1575" s="176"/>
      <c r="L1575" s="176"/>
      <c r="M1575" s="176"/>
      <c r="N1575" s="176"/>
      <c r="O1575" s="176"/>
      <c r="P1575" s="176"/>
      <c r="Q1575" s="176"/>
      <c r="R1575" s="176"/>
      <c r="S1575" s="176"/>
      <c r="T1575" s="176"/>
      <c r="U1575" s="176"/>
      <c r="V1575" s="176"/>
      <c r="W1575" s="176"/>
      <c r="X1575" s="176"/>
      <c r="Y1575" s="176"/>
    </row>
    <row r="1576" spans="1:25">
      <c r="A1576" s="91"/>
      <c r="B1576" s="176"/>
      <c r="C1576" s="176"/>
      <c r="D1576" s="176"/>
      <c r="E1576" s="176"/>
      <c r="F1576" s="176"/>
      <c r="G1576" s="176"/>
      <c r="H1576" s="176"/>
      <c r="I1576" s="176"/>
      <c r="J1576" s="176"/>
      <c r="K1576" s="176"/>
      <c r="L1576" s="176"/>
      <c r="M1576" s="176"/>
      <c r="N1576" s="176"/>
      <c r="O1576" s="176"/>
      <c r="P1576" s="176"/>
      <c r="Q1576" s="176"/>
      <c r="R1576" s="176"/>
      <c r="S1576" s="176"/>
      <c r="T1576" s="176"/>
      <c r="U1576" s="176"/>
      <c r="V1576" s="176"/>
      <c r="W1576" s="176"/>
      <c r="X1576" s="176"/>
      <c r="Y1576" s="176"/>
    </row>
    <row r="1577" spans="1:25">
      <c r="A1577" s="91"/>
      <c r="B1577" s="176"/>
      <c r="C1577" s="176"/>
      <c r="D1577" s="176"/>
      <c r="E1577" s="176"/>
      <c r="F1577" s="176"/>
      <c r="G1577" s="176"/>
      <c r="H1577" s="176"/>
      <c r="I1577" s="176"/>
      <c r="J1577" s="176"/>
      <c r="K1577" s="176"/>
      <c r="L1577" s="176"/>
      <c r="M1577" s="176"/>
      <c r="N1577" s="176"/>
      <c r="O1577" s="176"/>
      <c r="P1577" s="176"/>
      <c r="Q1577" s="176"/>
      <c r="R1577" s="176"/>
      <c r="S1577" s="176"/>
      <c r="T1577" s="176"/>
      <c r="U1577" s="176"/>
      <c r="V1577" s="176"/>
      <c r="W1577" s="176"/>
      <c r="X1577" s="176"/>
      <c r="Y1577" s="176"/>
    </row>
    <row r="1578" spans="1:25">
      <c r="A1578" s="91"/>
      <c r="B1578" s="176"/>
      <c r="C1578" s="176"/>
      <c r="D1578" s="176"/>
      <c r="E1578" s="176"/>
      <c r="F1578" s="176"/>
      <c r="G1578" s="176"/>
      <c r="H1578" s="176"/>
      <c r="I1578" s="176"/>
      <c r="J1578" s="176"/>
      <c r="K1578" s="176"/>
      <c r="L1578" s="176"/>
      <c r="M1578" s="176"/>
      <c r="N1578" s="176"/>
      <c r="O1578" s="176"/>
      <c r="P1578" s="176"/>
      <c r="Q1578" s="176"/>
      <c r="R1578" s="176"/>
      <c r="S1578" s="176"/>
      <c r="T1578" s="176"/>
      <c r="U1578" s="176"/>
      <c r="V1578" s="176"/>
      <c r="W1578" s="176"/>
      <c r="X1578" s="176"/>
      <c r="Y1578" s="176"/>
    </row>
    <row r="1579" spans="1:25">
      <c r="A1579" s="91"/>
      <c r="B1579" s="176"/>
      <c r="C1579" s="176"/>
      <c r="D1579" s="176"/>
      <c r="E1579" s="176"/>
      <c r="F1579" s="176"/>
      <c r="G1579" s="176"/>
      <c r="H1579" s="176"/>
      <c r="I1579" s="176"/>
      <c r="J1579" s="176"/>
      <c r="K1579" s="176"/>
      <c r="L1579" s="176"/>
      <c r="M1579" s="176"/>
      <c r="N1579" s="176"/>
      <c r="O1579" s="176"/>
      <c r="P1579" s="176"/>
      <c r="Q1579" s="176"/>
      <c r="R1579" s="176"/>
      <c r="S1579" s="176"/>
      <c r="T1579" s="176"/>
      <c r="U1579" s="176"/>
      <c r="V1579" s="176"/>
      <c r="W1579" s="176"/>
      <c r="X1579" s="176"/>
      <c r="Y1579" s="176"/>
    </row>
    <row r="1580" spans="1:25">
      <c r="A1580" s="91"/>
      <c r="B1580" s="176"/>
      <c r="C1580" s="176"/>
      <c r="D1580" s="176"/>
      <c r="E1580" s="176"/>
      <c r="F1580" s="176"/>
      <c r="G1580" s="176"/>
      <c r="H1580" s="176"/>
      <c r="I1580" s="176"/>
      <c r="J1580" s="176"/>
      <c r="K1580" s="176"/>
      <c r="L1580" s="176"/>
      <c r="M1580" s="176"/>
      <c r="N1580" s="176"/>
      <c r="O1580" s="176"/>
      <c r="P1580" s="176"/>
      <c r="Q1580" s="176"/>
      <c r="R1580" s="176"/>
      <c r="S1580" s="176"/>
      <c r="T1580" s="176"/>
      <c r="U1580" s="176"/>
      <c r="V1580" s="176"/>
      <c r="W1580" s="176"/>
      <c r="X1580" s="176"/>
      <c r="Y1580" s="176"/>
    </row>
    <row r="1581" spans="1:25">
      <c r="A1581" s="91"/>
      <c r="B1581" s="176"/>
      <c r="C1581" s="176"/>
      <c r="D1581" s="176"/>
      <c r="E1581" s="176"/>
      <c r="F1581" s="176"/>
      <c r="G1581" s="176"/>
      <c r="H1581" s="176"/>
      <c r="I1581" s="176"/>
      <c r="J1581" s="176"/>
      <c r="K1581" s="176"/>
      <c r="L1581" s="176"/>
      <c r="M1581" s="176"/>
      <c r="N1581" s="176"/>
      <c r="O1581" s="176"/>
      <c r="P1581" s="176"/>
      <c r="Q1581" s="176"/>
      <c r="R1581" s="176"/>
      <c r="S1581" s="176"/>
      <c r="T1581" s="176"/>
      <c r="U1581" s="176"/>
      <c r="V1581" s="176"/>
      <c r="W1581" s="176"/>
      <c r="X1581" s="176"/>
      <c r="Y1581" s="176"/>
    </row>
    <row r="1582" spans="1:25">
      <c r="A1582" s="91"/>
      <c r="B1582" s="176"/>
      <c r="C1582" s="176"/>
      <c r="D1582" s="176"/>
      <c r="E1582" s="176"/>
      <c r="F1582" s="176"/>
      <c r="G1582" s="176"/>
      <c r="H1582" s="176"/>
      <c r="I1582" s="176"/>
      <c r="J1582" s="176"/>
      <c r="K1582" s="176"/>
      <c r="L1582" s="176"/>
      <c r="M1582" s="176"/>
      <c r="N1582" s="176"/>
      <c r="O1582" s="176"/>
      <c r="P1582" s="176"/>
      <c r="Q1582" s="176"/>
      <c r="R1582" s="176"/>
      <c r="S1582" s="176"/>
      <c r="T1582" s="176"/>
      <c r="U1582" s="176"/>
      <c r="V1582" s="176"/>
      <c r="W1582" s="176"/>
      <c r="X1582" s="176"/>
      <c r="Y1582" s="176"/>
    </row>
    <row r="1583" spans="1:25">
      <c r="A1583" s="91"/>
      <c r="B1583" s="176"/>
      <c r="C1583" s="176"/>
      <c r="D1583" s="176"/>
      <c r="E1583" s="176"/>
      <c r="F1583" s="176"/>
      <c r="G1583" s="176"/>
      <c r="H1583" s="176"/>
      <c r="I1583" s="176"/>
      <c r="J1583" s="176"/>
      <c r="K1583" s="176"/>
      <c r="L1583" s="176"/>
      <c r="M1583" s="176"/>
      <c r="N1583" s="176"/>
      <c r="O1583" s="176"/>
      <c r="P1583" s="176"/>
      <c r="Q1583" s="176"/>
      <c r="R1583" s="176"/>
      <c r="S1583" s="176"/>
      <c r="T1583" s="176"/>
      <c r="U1583" s="176"/>
      <c r="V1583" s="176"/>
      <c r="W1583" s="176"/>
      <c r="X1583" s="176"/>
      <c r="Y1583" s="176"/>
    </row>
    <row r="1584" spans="1:25">
      <c r="A1584" s="91"/>
      <c r="B1584" s="176"/>
      <c r="C1584" s="176"/>
      <c r="D1584" s="176"/>
      <c r="E1584" s="176"/>
      <c r="F1584" s="176"/>
      <c r="G1584" s="176"/>
      <c r="H1584" s="176"/>
      <c r="I1584" s="176"/>
      <c r="J1584" s="176"/>
      <c r="K1584" s="176"/>
      <c r="L1584" s="176"/>
      <c r="M1584" s="176"/>
      <c r="N1584" s="176"/>
      <c r="O1584" s="176"/>
      <c r="P1584" s="176"/>
      <c r="Q1584" s="176"/>
      <c r="R1584" s="176"/>
      <c r="S1584" s="176"/>
      <c r="T1584" s="176"/>
      <c r="U1584" s="176"/>
      <c r="V1584" s="176"/>
      <c r="W1584" s="176"/>
      <c r="X1584" s="176"/>
      <c r="Y1584" s="176"/>
    </row>
    <row r="1585" spans="1:25">
      <c r="A1585" s="91"/>
      <c r="B1585" s="176"/>
      <c r="C1585" s="176"/>
      <c r="D1585" s="176"/>
      <c r="E1585" s="176"/>
      <c r="F1585" s="176"/>
      <c r="G1585" s="176"/>
      <c r="H1585" s="176"/>
      <c r="I1585" s="176"/>
      <c r="J1585" s="176"/>
      <c r="K1585" s="176"/>
      <c r="L1585" s="176"/>
      <c r="M1585" s="176"/>
      <c r="N1585" s="176"/>
      <c r="O1585" s="176"/>
      <c r="P1585" s="176"/>
      <c r="Q1585" s="176"/>
      <c r="R1585" s="176"/>
      <c r="S1585" s="176"/>
      <c r="T1585" s="176"/>
      <c r="U1585" s="176"/>
      <c r="V1585" s="176"/>
      <c r="W1585" s="176"/>
      <c r="X1585" s="176"/>
      <c r="Y1585" s="176"/>
    </row>
    <row r="1586" spans="1:25">
      <c r="A1586" s="91"/>
      <c r="B1586" s="176"/>
      <c r="C1586" s="176"/>
      <c r="D1586" s="176"/>
      <c r="E1586" s="176"/>
      <c r="F1586" s="176"/>
      <c r="G1586" s="176"/>
      <c r="H1586" s="176"/>
      <c r="I1586" s="176"/>
      <c r="J1586" s="176"/>
      <c r="K1586" s="176"/>
      <c r="L1586" s="176"/>
      <c r="M1586" s="176"/>
      <c r="N1586" s="176"/>
      <c r="O1586" s="176"/>
      <c r="P1586" s="176"/>
      <c r="Q1586" s="176"/>
      <c r="R1586" s="176"/>
      <c r="S1586" s="176"/>
      <c r="T1586" s="176"/>
      <c r="U1586" s="176"/>
      <c r="V1586" s="176"/>
      <c r="W1586" s="176"/>
      <c r="X1586" s="176"/>
      <c r="Y1586" s="176"/>
    </row>
    <row r="1587" spans="1:25">
      <c r="A1587" s="91"/>
      <c r="B1587" s="176"/>
      <c r="C1587" s="176"/>
      <c r="D1587" s="176"/>
      <c r="E1587" s="176"/>
      <c r="F1587" s="176"/>
      <c r="G1587" s="176"/>
      <c r="H1587" s="176"/>
      <c r="I1587" s="176"/>
      <c r="J1587" s="176"/>
      <c r="K1587" s="176"/>
      <c r="L1587" s="176"/>
      <c r="M1587" s="176"/>
      <c r="N1587" s="176"/>
      <c r="O1587" s="176"/>
      <c r="P1587" s="176"/>
      <c r="Q1587" s="176"/>
      <c r="R1587" s="176"/>
      <c r="S1587" s="176"/>
      <c r="T1587" s="176"/>
      <c r="U1587" s="176"/>
      <c r="V1587" s="176"/>
      <c r="W1587" s="176"/>
      <c r="X1587" s="176"/>
      <c r="Y1587" s="176"/>
    </row>
    <row r="1588" spans="1:25">
      <c r="A1588" s="91"/>
      <c r="B1588" s="176"/>
      <c r="C1588" s="176"/>
      <c r="D1588" s="176"/>
      <c r="E1588" s="176"/>
      <c r="F1588" s="176"/>
      <c r="G1588" s="176"/>
      <c r="H1588" s="176"/>
      <c r="I1588" s="176"/>
      <c r="J1588" s="176"/>
      <c r="K1588" s="176"/>
      <c r="L1588" s="176"/>
      <c r="M1588" s="176"/>
      <c r="N1588" s="176"/>
      <c r="O1588" s="176"/>
      <c r="P1588" s="176"/>
      <c r="Q1588" s="176"/>
      <c r="R1588" s="176"/>
      <c r="S1588" s="176"/>
      <c r="T1588" s="176"/>
      <c r="U1588" s="176"/>
      <c r="V1588" s="176"/>
      <c r="W1588" s="176"/>
      <c r="X1588" s="176"/>
      <c r="Y1588" s="176"/>
    </row>
    <row r="1589" spans="1:25">
      <c r="A1589" s="91"/>
      <c r="B1589" s="176"/>
      <c r="C1589" s="176"/>
      <c r="D1589" s="176"/>
      <c r="E1589" s="176"/>
      <c r="F1589" s="176"/>
      <c r="G1589" s="176"/>
      <c r="H1589" s="176"/>
      <c r="I1589" s="176"/>
      <c r="J1589" s="176"/>
      <c r="K1589" s="176"/>
      <c r="L1589" s="176"/>
      <c r="M1589" s="176"/>
      <c r="N1589" s="176"/>
      <c r="O1589" s="176"/>
      <c r="P1589" s="176"/>
      <c r="Q1589" s="176"/>
      <c r="R1589" s="176"/>
      <c r="S1589" s="176"/>
      <c r="T1589" s="176"/>
      <c r="U1589" s="176"/>
      <c r="V1589" s="176"/>
      <c r="W1589" s="176"/>
      <c r="X1589" s="176"/>
      <c r="Y1589" s="176"/>
    </row>
    <row r="1590" spans="1:25">
      <c r="A1590" s="91"/>
      <c r="B1590" s="176"/>
      <c r="C1590" s="176"/>
      <c r="D1590" s="176"/>
      <c r="E1590" s="176"/>
      <c r="F1590" s="176"/>
      <c r="G1590" s="176"/>
      <c r="H1590" s="176"/>
      <c r="I1590" s="176"/>
      <c r="J1590" s="176"/>
      <c r="K1590" s="176"/>
      <c r="L1590" s="176"/>
      <c r="M1590" s="176"/>
      <c r="N1590" s="176"/>
      <c r="O1590" s="176"/>
      <c r="P1590" s="176"/>
      <c r="Q1590" s="176"/>
      <c r="R1590" s="176"/>
      <c r="S1590" s="176"/>
      <c r="T1590" s="176"/>
      <c r="U1590" s="176"/>
      <c r="V1590" s="176"/>
      <c r="W1590" s="176"/>
      <c r="X1590" s="176"/>
      <c r="Y1590" s="176"/>
    </row>
    <row r="1591" spans="1:25">
      <c r="A1591" s="91"/>
      <c r="B1591" s="176"/>
      <c r="C1591" s="176"/>
      <c r="D1591" s="176"/>
      <c r="E1591" s="176"/>
      <c r="F1591" s="176"/>
      <c r="G1591" s="176"/>
      <c r="H1591" s="176"/>
      <c r="I1591" s="176"/>
      <c r="J1591" s="176"/>
      <c r="K1591" s="176"/>
      <c r="L1591" s="176"/>
      <c r="M1591" s="176"/>
      <c r="N1591" s="176"/>
      <c r="O1591" s="176"/>
      <c r="P1591" s="176"/>
      <c r="Q1591" s="176"/>
      <c r="R1591" s="176"/>
      <c r="S1591" s="176"/>
      <c r="T1591" s="176"/>
      <c r="U1591" s="176"/>
      <c r="V1591" s="176"/>
      <c r="W1591" s="176"/>
      <c r="X1591" s="176"/>
      <c r="Y1591" s="176"/>
    </row>
    <row r="1592" spans="1:25">
      <c r="A1592" s="91"/>
      <c r="B1592" s="176"/>
      <c r="C1592" s="176"/>
      <c r="D1592" s="176"/>
      <c r="E1592" s="176"/>
      <c r="F1592" s="176"/>
      <c r="G1592" s="176"/>
      <c r="H1592" s="176"/>
      <c r="I1592" s="176"/>
      <c r="J1592" s="176"/>
      <c r="K1592" s="176"/>
      <c r="L1592" s="176"/>
      <c r="M1592" s="176"/>
      <c r="N1592" s="176"/>
      <c r="O1592" s="176"/>
      <c r="P1592" s="176"/>
      <c r="Q1592" s="176"/>
      <c r="R1592" s="176"/>
      <c r="S1592" s="176"/>
      <c r="T1592" s="176"/>
      <c r="U1592" s="176"/>
      <c r="V1592" s="176"/>
      <c r="W1592" s="176"/>
      <c r="X1592" s="176"/>
      <c r="Y1592" s="176"/>
    </row>
    <row r="1593" spans="1:25">
      <c r="A1593" s="91"/>
      <c r="B1593" s="176"/>
      <c r="C1593" s="176"/>
      <c r="D1593" s="176"/>
      <c r="E1593" s="176"/>
      <c r="F1593" s="176"/>
      <c r="G1593" s="176"/>
      <c r="H1593" s="176"/>
      <c r="I1593" s="176"/>
      <c r="J1593" s="176"/>
      <c r="K1593" s="176"/>
      <c r="L1593" s="176"/>
      <c r="M1593" s="176"/>
      <c r="N1593" s="176"/>
      <c r="O1593" s="176"/>
      <c r="P1593" s="176"/>
      <c r="Q1593" s="176"/>
      <c r="R1593" s="176"/>
      <c r="S1593" s="176"/>
      <c r="T1593" s="176"/>
      <c r="U1593" s="176"/>
      <c r="V1593" s="176"/>
      <c r="W1593" s="176"/>
      <c r="X1593" s="176"/>
      <c r="Y1593" s="176"/>
    </row>
    <row r="1594" spans="1:25">
      <c r="A1594" s="91"/>
      <c r="B1594" s="176"/>
      <c r="C1594" s="176"/>
      <c r="D1594" s="176"/>
      <c r="E1594" s="176"/>
      <c r="F1594" s="176"/>
      <c r="G1594" s="176"/>
      <c r="H1594" s="176"/>
      <c r="I1594" s="176"/>
      <c r="J1594" s="176"/>
      <c r="K1594" s="176"/>
      <c r="L1594" s="176"/>
      <c r="M1594" s="176"/>
      <c r="N1594" s="176"/>
      <c r="O1594" s="176"/>
      <c r="P1594" s="176"/>
      <c r="Q1594" s="176"/>
      <c r="R1594" s="176"/>
      <c r="S1594" s="176"/>
      <c r="T1594" s="176"/>
      <c r="U1594" s="176"/>
      <c r="V1594" s="176"/>
      <c r="W1594" s="176"/>
      <c r="X1594" s="176"/>
      <c r="Y1594" s="176"/>
    </row>
    <row r="1595" spans="1:25">
      <c r="A1595" s="91"/>
      <c r="B1595" s="176"/>
      <c r="C1595" s="176"/>
      <c r="D1595" s="176"/>
      <c r="E1595" s="176"/>
      <c r="F1595" s="176"/>
      <c r="G1595" s="176"/>
      <c r="H1595" s="176"/>
      <c r="I1595" s="176"/>
      <c r="J1595" s="176"/>
      <c r="K1595" s="176"/>
      <c r="L1595" s="176"/>
      <c r="M1595" s="176"/>
      <c r="N1595" s="176"/>
      <c r="O1595" s="176"/>
      <c r="P1595" s="176"/>
      <c r="Q1595" s="176"/>
      <c r="R1595" s="176"/>
      <c r="S1595" s="176"/>
      <c r="T1595" s="176"/>
      <c r="U1595" s="176"/>
      <c r="V1595" s="176"/>
      <c r="W1595" s="176"/>
      <c r="X1595" s="176"/>
      <c r="Y1595" s="176"/>
    </row>
    <row r="1596" spans="1:25">
      <c r="A1596" s="91"/>
      <c r="B1596" s="176"/>
      <c r="C1596" s="176"/>
      <c r="D1596" s="176"/>
      <c r="E1596" s="176"/>
      <c r="F1596" s="176"/>
      <c r="G1596" s="176"/>
      <c r="H1596" s="176"/>
      <c r="I1596" s="176"/>
      <c r="J1596" s="176"/>
      <c r="K1596" s="176"/>
      <c r="L1596" s="176"/>
      <c r="M1596" s="176"/>
      <c r="N1596" s="176"/>
      <c r="O1596" s="176"/>
      <c r="P1596" s="176"/>
      <c r="Q1596" s="176"/>
      <c r="R1596" s="176"/>
      <c r="S1596" s="176"/>
      <c r="T1596" s="176"/>
      <c r="U1596" s="176"/>
      <c r="V1596" s="176"/>
      <c r="W1596" s="176"/>
      <c r="X1596" s="176"/>
      <c r="Y1596" s="176"/>
    </row>
    <row r="1597" spans="1:25">
      <c r="A1597" s="91"/>
      <c r="B1597" s="176"/>
      <c r="C1597" s="176"/>
      <c r="D1597" s="176"/>
      <c r="E1597" s="176"/>
      <c r="F1597" s="176"/>
      <c r="G1597" s="176"/>
      <c r="H1597" s="176"/>
      <c r="I1597" s="176"/>
      <c r="J1597" s="176"/>
      <c r="K1597" s="176"/>
      <c r="L1597" s="176"/>
      <c r="M1597" s="176"/>
      <c r="N1597" s="176"/>
      <c r="O1597" s="176"/>
      <c r="P1597" s="176"/>
      <c r="Q1597" s="176"/>
      <c r="R1597" s="176"/>
      <c r="S1597" s="176"/>
      <c r="T1597" s="176"/>
      <c r="U1597" s="176"/>
      <c r="V1597" s="176"/>
      <c r="W1597" s="176"/>
      <c r="X1597" s="176"/>
      <c r="Y1597" s="176"/>
    </row>
    <row r="1598" spans="1:25">
      <c r="A1598" s="91"/>
      <c r="B1598" s="176"/>
      <c r="C1598" s="176"/>
      <c r="D1598" s="176"/>
      <c r="E1598" s="176"/>
      <c r="F1598" s="176"/>
      <c r="G1598" s="176"/>
      <c r="H1598" s="176"/>
      <c r="I1598" s="176"/>
      <c r="J1598" s="176"/>
      <c r="K1598" s="176"/>
      <c r="L1598" s="176"/>
      <c r="M1598" s="176"/>
      <c r="N1598" s="176"/>
      <c r="O1598" s="176"/>
      <c r="P1598" s="176"/>
      <c r="Q1598" s="176"/>
      <c r="R1598" s="176"/>
      <c r="S1598" s="176"/>
      <c r="T1598" s="176"/>
      <c r="U1598" s="176"/>
      <c r="V1598" s="176"/>
      <c r="W1598" s="176"/>
      <c r="X1598" s="176"/>
      <c r="Y1598" s="176"/>
    </row>
    <row r="1599" spans="1:25">
      <c r="A1599" s="91"/>
      <c r="B1599" s="176"/>
      <c r="C1599" s="176"/>
      <c r="D1599" s="176"/>
      <c r="E1599" s="176"/>
      <c r="F1599" s="176"/>
      <c r="G1599" s="176"/>
      <c r="H1599" s="176"/>
      <c r="I1599" s="176"/>
      <c r="J1599" s="176"/>
      <c r="K1599" s="176"/>
      <c r="L1599" s="176"/>
      <c r="M1599" s="176"/>
      <c r="N1599" s="176"/>
      <c r="O1599" s="176"/>
      <c r="P1599" s="176"/>
      <c r="Q1599" s="176"/>
      <c r="R1599" s="176"/>
      <c r="S1599" s="176"/>
      <c r="T1599" s="176"/>
      <c r="U1599" s="176"/>
      <c r="V1599" s="176"/>
      <c r="W1599" s="176"/>
      <c r="X1599" s="176"/>
      <c r="Y1599" s="176"/>
    </row>
    <row r="1600" spans="1:25">
      <c r="A1600" s="91"/>
      <c r="B1600" s="176"/>
      <c r="C1600" s="176"/>
      <c r="D1600" s="176"/>
      <c r="E1600" s="176"/>
      <c r="F1600" s="176"/>
      <c r="G1600" s="176"/>
      <c r="H1600" s="176"/>
      <c r="I1600" s="176"/>
      <c r="J1600" s="176"/>
      <c r="K1600" s="176"/>
      <c r="L1600" s="176"/>
      <c r="M1600" s="176"/>
      <c r="N1600" s="176"/>
      <c r="O1600" s="176"/>
      <c r="P1600" s="176"/>
      <c r="Q1600" s="176"/>
      <c r="R1600" s="176"/>
      <c r="S1600" s="176"/>
      <c r="T1600" s="176"/>
      <c r="U1600" s="176"/>
      <c r="V1600" s="176"/>
      <c r="W1600" s="176"/>
      <c r="X1600" s="176"/>
      <c r="Y1600" s="176"/>
    </row>
    <row r="1601" spans="1:25">
      <c r="A1601" s="91"/>
      <c r="B1601" s="176"/>
      <c r="C1601" s="176"/>
      <c r="D1601" s="176"/>
      <c r="E1601" s="176"/>
      <c r="F1601" s="176"/>
      <c r="G1601" s="176"/>
      <c r="H1601" s="176"/>
      <c r="I1601" s="176"/>
      <c r="J1601" s="176"/>
      <c r="K1601" s="176"/>
      <c r="L1601" s="176"/>
      <c r="M1601" s="176"/>
      <c r="N1601" s="176"/>
      <c r="O1601" s="176"/>
      <c r="P1601" s="176"/>
      <c r="Q1601" s="176"/>
      <c r="R1601" s="176"/>
      <c r="S1601" s="176"/>
      <c r="T1601" s="176"/>
      <c r="U1601" s="176"/>
      <c r="V1601" s="176"/>
      <c r="W1601" s="176"/>
      <c r="X1601" s="176"/>
      <c r="Y1601" s="176"/>
    </row>
    <row r="1602" spans="1:25">
      <c r="A1602" s="91"/>
      <c r="B1602" s="176"/>
      <c r="C1602" s="176"/>
      <c r="D1602" s="176"/>
      <c r="E1602" s="176"/>
      <c r="F1602" s="176"/>
      <c r="G1602" s="176"/>
      <c r="H1602" s="176"/>
      <c r="I1602" s="176"/>
      <c r="J1602" s="176"/>
      <c r="K1602" s="176"/>
      <c r="L1602" s="176"/>
      <c r="M1602" s="176"/>
      <c r="N1602" s="176"/>
      <c r="O1602" s="176"/>
      <c r="P1602" s="176"/>
      <c r="Q1602" s="176"/>
      <c r="R1602" s="176"/>
      <c r="S1602" s="176"/>
      <c r="T1602" s="176"/>
      <c r="U1602" s="176"/>
      <c r="V1602" s="176"/>
      <c r="W1602" s="176"/>
      <c r="X1602" s="176"/>
      <c r="Y1602" s="176"/>
    </row>
    <row r="1603" spans="1:25">
      <c r="A1603" s="91"/>
      <c r="B1603" s="176"/>
      <c r="C1603" s="176"/>
      <c r="D1603" s="176"/>
      <c r="E1603" s="176"/>
      <c r="F1603" s="176"/>
      <c r="G1603" s="176"/>
      <c r="H1603" s="176"/>
      <c r="I1603" s="176"/>
      <c r="J1603" s="176"/>
      <c r="K1603" s="176"/>
      <c r="L1603" s="176"/>
      <c r="M1603" s="176"/>
      <c r="N1603" s="176"/>
      <c r="O1603" s="176"/>
      <c r="P1603" s="176"/>
      <c r="Q1603" s="176"/>
      <c r="R1603" s="176"/>
      <c r="S1603" s="176"/>
      <c r="T1603" s="176"/>
      <c r="U1603" s="176"/>
      <c r="V1603" s="176"/>
      <c r="W1603" s="176"/>
      <c r="X1603" s="176"/>
      <c r="Y1603" s="176"/>
    </row>
    <row r="1604" spans="1:25">
      <c r="A1604" s="91"/>
      <c r="B1604" s="176"/>
      <c r="C1604" s="176"/>
      <c r="D1604" s="176"/>
      <c r="E1604" s="176"/>
      <c r="F1604" s="176"/>
      <c r="G1604" s="176"/>
      <c r="H1604" s="176"/>
      <c r="I1604" s="176"/>
      <c r="J1604" s="176"/>
      <c r="K1604" s="176"/>
      <c r="L1604" s="176"/>
      <c r="M1604" s="176"/>
      <c r="N1604" s="176"/>
      <c r="O1604" s="176"/>
      <c r="P1604" s="176"/>
      <c r="Q1604" s="176"/>
      <c r="R1604" s="176"/>
      <c r="S1604" s="176"/>
      <c r="T1604" s="176"/>
      <c r="U1604" s="176"/>
      <c r="V1604" s="176"/>
      <c r="W1604" s="176"/>
      <c r="X1604" s="176"/>
      <c r="Y1604" s="176"/>
    </row>
    <row r="1605" spans="1:25">
      <c r="A1605" s="91"/>
      <c r="B1605" s="176"/>
      <c r="C1605" s="176"/>
      <c r="D1605" s="176"/>
      <c r="E1605" s="176"/>
      <c r="F1605" s="176"/>
      <c r="G1605" s="176"/>
      <c r="H1605" s="176"/>
      <c r="I1605" s="176"/>
      <c r="J1605" s="176"/>
      <c r="K1605" s="176"/>
      <c r="L1605" s="176"/>
      <c r="M1605" s="176"/>
      <c r="N1605" s="176"/>
      <c r="O1605" s="176"/>
      <c r="P1605" s="176"/>
      <c r="Q1605" s="176"/>
      <c r="R1605" s="176"/>
      <c r="S1605" s="176"/>
      <c r="T1605" s="176"/>
      <c r="U1605" s="176"/>
      <c r="V1605" s="176"/>
      <c r="W1605" s="176"/>
      <c r="X1605" s="176"/>
      <c r="Y1605" s="176"/>
    </row>
    <row r="1606" spans="1:25">
      <c r="A1606" s="91"/>
      <c r="B1606" s="176"/>
      <c r="C1606" s="176"/>
      <c r="D1606" s="176"/>
      <c r="E1606" s="176"/>
      <c r="F1606" s="176"/>
      <c r="G1606" s="176"/>
      <c r="H1606" s="176"/>
      <c r="I1606" s="176"/>
      <c r="J1606" s="176"/>
      <c r="K1606" s="176"/>
      <c r="L1606" s="176"/>
      <c r="M1606" s="176"/>
      <c r="N1606" s="176"/>
      <c r="O1606" s="176"/>
      <c r="P1606" s="176"/>
      <c r="Q1606" s="176"/>
      <c r="R1606" s="176"/>
      <c r="S1606" s="176"/>
      <c r="T1606" s="176"/>
      <c r="U1606" s="176"/>
      <c r="V1606" s="176"/>
      <c r="W1606" s="176"/>
      <c r="X1606" s="176"/>
      <c r="Y1606" s="176"/>
    </row>
    <row r="1607" spans="1:25">
      <c r="A1607" s="91"/>
      <c r="B1607" s="176"/>
      <c r="C1607" s="176"/>
      <c r="D1607" s="176"/>
      <c r="E1607" s="176"/>
      <c r="F1607" s="176"/>
      <c r="G1607" s="176"/>
      <c r="H1607" s="176"/>
      <c r="I1607" s="176"/>
      <c r="J1607" s="176"/>
      <c r="K1607" s="176"/>
      <c r="L1607" s="176"/>
      <c r="M1607" s="176"/>
      <c r="N1607" s="176"/>
      <c r="O1607" s="176"/>
      <c r="P1607" s="176"/>
      <c r="Q1607" s="176"/>
      <c r="R1607" s="176"/>
      <c r="S1607" s="176"/>
      <c r="T1607" s="176"/>
      <c r="U1607" s="176"/>
      <c r="V1607" s="176"/>
      <c r="W1607" s="176"/>
      <c r="X1607" s="176"/>
      <c r="Y1607" s="176"/>
    </row>
    <row r="1608" spans="1:25">
      <c r="A1608" s="91"/>
      <c r="B1608" s="176"/>
      <c r="C1608" s="176"/>
      <c r="D1608" s="176"/>
      <c r="E1608" s="176"/>
      <c r="F1608" s="176"/>
      <c r="G1608" s="176"/>
      <c r="H1608" s="176"/>
      <c r="I1608" s="176"/>
      <c r="J1608" s="176"/>
      <c r="K1608" s="176"/>
      <c r="L1608" s="176"/>
      <c r="M1608" s="176"/>
      <c r="N1608" s="176"/>
      <c r="O1608" s="176"/>
      <c r="P1608" s="176"/>
      <c r="Q1608" s="176"/>
      <c r="R1608" s="176"/>
      <c r="S1608" s="176"/>
      <c r="T1608" s="176"/>
      <c r="U1608" s="176"/>
      <c r="V1608" s="176"/>
      <c r="W1608" s="176"/>
      <c r="X1608" s="176"/>
      <c r="Y1608" s="176"/>
    </row>
    <row r="1609" spans="1:25">
      <c r="A1609" s="91"/>
      <c r="B1609" s="176"/>
      <c r="C1609" s="176"/>
      <c r="D1609" s="176"/>
      <c r="E1609" s="176"/>
      <c r="F1609" s="176"/>
      <c r="G1609" s="176"/>
      <c r="H1609" s="176"/>
      <c r="I1609" s="176"/>
      <c r="J1609" s="176"/>
      <c r="K1609" s="176"/>
      <c r="L1609" s="176"/>
      <c r="M1609" s="176"/>
      <c r="N1609" s="176"/>
      <c r="O1609" s="176"/>
      <c r="P1609" s="176"/>
      <c r="Q1609" s="176"/>
      <c r="R1609" s="176"/>
      <c r="S1609" s="176"/>
      <c r="T1609" s="176"/>
      <c r="U1609" s="176"/>
      <c r="V1609" s="176"/>
      <c r="W1609" s="176"/>
      <c r="X1609" s="176"/>
      <c r="Y1609" s="176"/>
    </row>
    <row r="1610" spans="1:25">
      <c r="A1610" s="91"/>
      <c r="B1610" s="176"/>
      <c r="C1610" s="176"/>
      <c r="D1610" s="176"/>
      <c r="E1610" s="176"/>
      <c r="F1610" s="176"/>
      <c r="G1610" s="176"/>
      <c r="H1610" s="176"/>
      <c r="I1610" s="176"/>
      <c r="J1610" s="176"/>
      <c r="K1610" s="176"/>
      <c r="L1610" s="176"/>
      <c r="M1610" s="176"/>
      <c r="N1610" s="176"/>
      <c r="O1610" s="176"/>
      <c r="P1610" s="176"/>
      <c r="Q1610" s="176"/>
      <c r="R1610" s="176"/>
      <c r="S1610" s="176"/>
      <c r="T1610" s="176"/>
      <c r="U1610" s="176"/>
      <c r="V1610" s="176"/>
      <c r="W1610" s="176"/>
      <c r="X1610" s="176"/>
      <c r="Y1610" s="176"/>
    </row>
    <row r="1611" spans="1:25">
      <c r="A1611" s="91"/>
      <c r="B1611" s="176"/>
      <c r="C1611" s="176"/>
      <c r="D1611" s="176"/>
      <c r="E1611" s="176"/>
      <c r="F1611" s="176"/>
      <c r="G1611" s="176"/>
      <c r="H1611" s="176"/>
      <c r="I1611" s="176"/>
      <c r="J1611" s="176"/>
      <c r="K1611" s="176"/>
      <c r="L1611" s="176"/>
      <c r="M1611" s="176"/>
      <c r="N1611" s="176"/>
      <c r="O1611" s="176"/>
      <c r="P1611" s="176"/>
      <c r="Q1611" s="176"/>
      <c r="R1611" s="176"/>
      <c r="S1611" s="176"/>
      <c r="T1611" s="176"/>
      <c r="U1611" s="176"/>
      <c r="V1611" s="176"/>
      <c r="W1611" s="176"/>
      <c r="X1611" s="176"/>
      <c r="Y1611" s="176"/>
    </row>
    <row r="1612" spans="1:25">
      <c r="A1612" s="91"/>
      <c r="B1612" s="176"/>
      <c r="C1612" s="176"/>
      <c r="D1612" s="176"/>
      <c r="E1612" s="176"/>
      <c r="F1612" s="176"/>
      <c r="G1612" s="176"/>
      <c r="H1612" s="176"/>
      <c r="I1612" s="176"/>
      <c r="J1612" s="176"/>
      <c r="K1612" s="176"/>
      <c r="L1612" s="176"/>
      <c r="M1612" s="176"/>
      <c r="N1612" s="176"/>
      <c r="O1612" s="176"/>
      <c r="P1612" s="176"/>
      <c r="Q1612" s="176"/>
      <c r="R1612" s="176"/>
      <c r="S1612" s="176"/>
      <c r="T1612" s="176"/>
      <c r="U1612" s="176"/>
      <c r="V1612" s="176"/>
      <c r="W1612" s="176"/>
      <c r="X1612" s="176"/>
      <c r="Y1612" s="176"/>
    </row>
    <row r="1613" spans="1:25">
      <c r="A1613" s="91"/>
      <c r="B1613" s="176"/>
      <c r="C1613" s="176"/>
      <c r="D1613" s="176"/>
      <c r="E1613" s="176"/>
      <c r="F1613" s="176"/>
      <c r="G1613" s="176"/>
      <c r="H1613" s="176"/>
      <c r="I1613" s="176"/>
      <c r="J1613" s="176"/>
      <c r="K1613" s="176"/>
      <c r="L1613" s="176"/>
      <c r="M1613" s="176"/>
      <c r="N1613" s="176"/>
      <c r="O1613" s="176"/>
      <c r="P1613" s="176"/>
      <c r="Q1613" s="176"/>
      <c r="R1613" s="176"/>
      <c r="S1613" s="176"/>
      <c r="T1613" s="176"/>
      <c r="U1613" s="176"/>
      <c r="V1613" s="176"/>
      <c r="W1613" s="176"/>
      <c r="X1613" s="176"/>
      <c r="Y1613" s="176"/>
    </row>
    <row r="1614" spans="1:25">
      <c r="A1614" s="91"/>
      <c r="B1614" s="176"/>
      <c r="C1614" s="176"/>
      <c r="D1614" s="176"/>
      <c r="E1614" s="176"/>
      <c r="F1614" s="176"/>
      <c r="G1614" s="176"/>
      <c r="H1614" s="176"/>
      <c r="I1614" s="176"/>
      <c r="J1614" s="176"/>
      <c r="K1614" s="176"/>
      <c r="L1614" s="176"/>
      <c r="M1614" s="176"/>
      <c r="N1614" s="176"/>
      <c r="O1614" s="176"/>
      <c r="P1614" s="176"/>
      <c r="Q1614" s="176"/>
      <c r="R1614" s="176"/>
      <c r="S1614" s="176"/>
      <c r="T1614" s="176"/>
      <c r="U1614" s="176"/>
      <c r="V1614" s="176"/>
      <c r="W1614" s="176"/>
      <c r="X1614" s="176"/>
      <c r="Y1614" s="176"/>
    </row>
    <row r="1615" spans="1:25">
      <c r="A1615" s="91"/>
      <c r="B1615" s="176"/>
      <c r="C1615" s="176"/>
      <c r="D1615" s="176"/>
      <c r="E1615" s="176"/>
      <c r="F1615" s="176"/>
      <c r="G1615" s="176"/>
      <c r="H1615" s="176"/>
      <c r="I1615" s="176"/>
      <c r="J1615" s="176"/>
      <c r="K1615" s="176"/>
      <c r="L1615" s="176"/>
      <c r="M1615" s="176"/>
      <c r="N1615" s="176"/>
      <c r="O1615" s="176"/>
      <c r="P1615" s="176"/>
      <c r="Q1615" s="176"/>
      <c r="R1615" s="176"/>
      <c r="S1615" s="176"/>
      <c r="T1615" s="176"/>
      <c r="U1615" s="176"/>
      <c r="V1615" s="176"/>
      <c r="W1615" s="176"/>
      <c r="X1615" s="176"/>
      <c r="Y1615" s="176"/>
    </row>
    <row r="1616" spans="1:25">
      <c r="A1616" s="91"/>
      <c r="B1616" s="176"/>
      <c r="C1616" s="176"/>
      <c r="D1616" s="176"/>
      <c r="E1616" s="176"/>
      <c r="F1616" s="176"/>
      <c r="G1616" s="176"/>
      <c r="H1616" s="176"/>
      <c r="I1616" s="176"/>
      <c r="J1616" s="176"/>
      <c r="K1616" s="176"/>
      <c r="L1616" s="176"/>
      <c r="M1616" s="176"/>
      <c r="N1616" s="176"/>
      <c r="O1616" s="176"/>
      <c r="P1616" s="176"/>
      <c r="Q1616" s="176"/>
      <c r="R1616" s="176"/>
      <c r="S1616" s="176"/>
      <c r="T1616" s="176"/>
      <c r="U1616" s="176"/>
      <c r="V1616" s="176"/>
      <c r="W1616" s="176"/>
      <c r="X1616" s="176"/>
      <c r="Y1616" s="176"/>
    </row>
    <row r="1617" spans="1:25">
      <c r="A1617" s="91"/>
      <c r="B1617" s="176"/>
      <c r="C1617" s="176"/>
      <c r="D1617" s="176"/>
      <c r="E1617" s="176"/>
      <c r="F1617" s="176"/>
      <c r="G1617" s="176"/>
      <c r="H1617" s="176"/>
      <c r="I1617" s="176"/>
      <c r="J1617" s="176"/>
      <c r="K1617" s="176"/>
      <c r="L1617" s="176"/>
      <c r="M1617" s="176"/>
      <c r="N1617" s="176"/>
      <c r="O1617" s="176"/>
      <c r="P1617" s="176"/>
      <c r="Q1617" s="176"/>
      <c r="R1617" s="176"/>
      <c r="S1617" s="176"/>
      <c r="T1617" s="176"/>
      <c r="U1617" s="176"/>
      <c r="V1617" s="176"/>
      <c r="W1617" s="176"/>
      <c r="X1617" s="176"/>
      <c r="Y1617" s="176"/>
    </row>
    <row r="1618" spans="1:25">
      <c r="A1618" s="91"/>
      <c r="B1618" s="176"/>
      <c r="C1618" s="176"/>
      <c r="D1618" s="176"/>
      <c r="E1618" s="176"/>
      <c r="F1618" s="176"/>
      <c r="G1618" s="176"/>
      <c r="H1618" s="176"/>
      <c r="I1618" s="176"/>
      <c r="J1618" s="176"/>
      <c r="K1618" s="176"/>
      <c r="L1618" s="176"/>
      <c r="M1618" s="176"/>
      <c r="N1618" s="176"/>
      <c r="O1618" s="176"/>
      <c r="P1618" s="176"/>
      <c r="Q1618" s="176"/>
      <c r="R1618" s="176"/>
      <c r="S1618" s="176"/>
      <c r="T1618" s="176"/>
      <c r="U1618" s="176"/>
      <c r="V1618" s="176"/>
      <c r="W1618" s="176"/>
      <c r="X1618" s="176"/>
      <c r="Y1618" s="176"/>
    </row>
    <row r="1619" spans="1:25">
      <c r="A1619" s="91"/>
      <c r="B1619" s="176"/>
      <c r="C1619" s="176"/>
      <c r="D1619" s="176"/>
      <c r="E1619" s="176"/>
      <c r="F1619" s="176"/>
      <c r="G1619" s="176"/>
      <c r="H1619" s="176"/>
      <c r="I1619" s="176"/>
      <c r="J1619" s="176"/>
      <c r="K1619" s="176"/>
      <c r="L1619" s="176"/>
      <c r="M1619" s="176"/>
      <c r="N1619" s="176"/>
      <c r="O1619" s="176"/>
      <c r="P1619" s="176"/>
      <c r="Q1619" s="176"/>
      <c r="R1619" s="176"/>
      <c r="S1619" s="176"/>
      <c r="T1619" s="176"/>
      <c r="U1619" s="176"/>
      <c r="V1619" s="176"/>
      <c r="W1619" s="176"/>
      <c r="X1619" s="176"/>
      <c r="Y1619" s="176"/>
    </row>
    <row r="1620" spans="1:25">
      <c r="A1620" s="91"/>
      <c r="B1620" s="176"/>
      <c r="C1620" s="176"/>
      <c r="D1620" s="176"/>
      <c r="E1620" s="176"/>
      <c r="F1620" s="176"/>
      <c r="G1620" s="176"/>
      <c r="H1620" s="176"/>
      <c r="I1620" s="176"/>
      <c r="J1620" s="176"/>
      <c r="K1620" s="176"/>
      <c r="L1620" s="176"/>
      <c r="M1620" s="176"/>
      <c r="N1620" s="176"/>
      <c r="O1620" s="176"/>
      <c r="P1620" s="176"/>
      <c r="Q1620" s="176"/>
      <c r="R1620" s="176"/>
      <c r="S1620" s="176"/>
      <c r="T1620" s="176"/>
      <c r="U1620" s="176"/>
      <c r="V1620" s="176"/>
      <c r="W1620" s="176"/>
      <c r="X1620" s="176"/>
      <c r="Y1620" s="176"/>
    </row>
    <row r="1621" spans="1:25">
      <c r="A1621" s="91"/>
      <c r="B1621" s="176"/>
      <c r="C1621" s="176"/>
      <c r="D1621" s="176"/>
      <c r="E1621" s="176"/>
      <c r="F1621" s="176"/>
      <c r="G1621" s="176"/>
      <c r="H1621" s="176"/>
      <c r="I1621" s="176"/>
      <c r="J1621" s="176"/>
      <c r="K1621" s="176"/>
      <c r="L1621" s="176"/>
      <c r="M1621" s="176"/>
      <c r="N1621" s="176"/>
      <c r="O1621" s="176"/>
      <c r="P1621" s="176"/>
      <c r="Q1621" s="176"/>
      <c r="R1621" s="176"/>
      <c r="S1621" s="176"/>
      <c r="T1621" s="176"/>
      <c r="U1621" s="176"/>
      <c r="V1621" s="176"/>
      <c r="W1621" s="176"/>
      <c r="X1621" s="176"/>
      <c r="Y1621" s="176"/>
    </row>
    <row r="1622" spans="1:25">
      <c r="A1622" s="91"/>
      <c r="B1622" s="176"/>
      <c r="C1622" s="176"/>
      <c r="D1622" s="176"/>
      <c r="E1622" s="176"/>
      <c r="F1622" s="176"/>
      <c r="G1622" s="176"/>
      <c r="H1622" s="176"/>
      <c r="I1622" s="176"/>
      <c r="J1622" s="176"/>
      <c r="K1622" s="176"/>
      <c r="L1622" s="176"/>
      <c r="M1622" s="176"/>
      <c r="N1622" s="176"/>
      <c r="O1622" s="176"/>
      <c r="P1622" s="176"/>
      <c r="Q1622" s="176"/>
      <c r="R1622" s="176"/>
      <c r="S1622" s="176"/>
      <c r="T1622" s="176"/>
      <c r="U1622" s="176"/>
      <c r="V1622" s="176"/>
      <c r="W1622" s="176"/>
      <c r="X1622" s="176"/>
      <c r="Y1622" s="176"/>
    </row>
    <row r="1623" spans="1:25">
      <c r="A1623" s="91"/>
      <c r="B1623" s="176"/>
      <c r="C1623" s="176"/>
      <c r="D1623" s="176"/>
      <c r="E1623" s="176"/>
      <c r="F1623" s="176"/>
      <c r="G1623" s="176"/>
      <c r="H1623" s="176"/>
      <c r="I1623" s="176"/>
      <c r="J1623" s="176"/>
      <c r="K1623" s="176"/>
      <c r="L1623" s="176"/>
      <c r="M1623" s="176"/>
      <c r="N1623" s="176"/>
      <c r="O1623" s="176"/>
      <c r="P1623" s="176"/>
      <c r="Q1623" s="176"/>
      <c r="R1623" s="176"/>
      <c r="S1623" s="176"/>
      <c r="T1623" s="176"/>
      <c r="U1623" s="176"/>
      <c r="V1623" s="176"/>
      <c r="W1623" s="176"/>
      <c r="X1623" s="176"/>
      <c r="Y1623" s="176"/>
    </row>
    <row r="1624" spans="1:25">
      <c r="A1624" s="91"/>
      <c r="B1624" s="176"/>
      <c r="C1624" s="176"/>
      <c r="D1624" s="176"/>
      <c r="E1624" s="176"/>
      <c r="F1624" s="176"/>
      <c r="G1624" s="176"/>
      <c r="H1624" s="176"/>
      <c r="I1624" s="176"/>
      <c r="J1624" s="176"/>
      <c r="K1624" s="176"/>
      <c r="L1624" s="176"/>
      <c r="M1624" s="176"/>
      <c r="N1624" s="176"/>
      <c r="O1624" s="176"/>
      <c r="P1624" s="176"/>
      <c r="Q1624" s="176"/>
      <c r="R1624" s="176"/>
      <c r="S1624" s="176"/>
      <c r="T1624" s="176"/>
      <c r="U1624" s="176"/>
      <c r="V1624" s="176"/>
      <c r="W1624" s="176"/>
      <c r="X1624" s="176"/>
      <c r="Y1624" s="176"/>
    </row>
    <row r="1625" spans="1:25">
      <c r="A1625" s="91"/>
      <c r="B1625" s="176"/>
      <c r="C1625" s="176"/>
      <c r="D1625" s="176"/>
      <c r="E1625" s="176"/>
      <c r="F1625" s="176"/>
      <c r="G1625" s="176"/>
      <c r="H1625" s="176"/>
      <c r="I1625" s="176"/>
      <c r="J1625" s="176"/>
      <c r="K1625" s="176"/>
      <c r="L1625" s="176"/>
      <c r="M1625" s="176"/>
      <c r="N1625" s="176"/>
      <c r="O1625" s="176"/>
      <c r="P1625" s="176"/>
      <c r="Q1625" s="176"/>
      <c r="R1625" s="176"/>
      <c r="S1625" s="176"/>
      <c r="T1625" s="176"/>
      <c r="U1625" s="176"/>
      <c r="V1625" s="176"/>
      <c r="W1625" s="176"/>
      <c r="X1625" s="176"/>
      <c r="Y1625" s="176"/>
    </row>
    <row r="1626" spans="1:25">
      <c r="A1626" s="91"/>
      <c r="B1626" s="176"/>
      <c r="C1626" s="176"/>
      <c r="D1626" s="176"/>
      <c r="E1626" s="176"/>
      <c r="F1626" s="176"/>
      <c r="G1626" s="176"/>
      <c r="H1626" s="176"/>
      <c r="I1626" s="176"/>
      <c r="J1626" s="176"/>
      <c r="K1626" s="176"/>
      <c r="L1626" s="176"/>
      <c r="M1626" s="176"/>
      <c r="N1626" s="176"/>
      <c r="O1626" s="176"/>
      <c r="P1626" s="176"/>
      <c r="Q1626" s="176"/>
      <c r="R1626" s="176"/>
      <c r="S1626" s="176"/>
      <c r="T1626" s="176"/>
      <c r="U1626" s="176"/>
      <c r="V1626" s="176"/>
      <c r="W1626" s="176"/>
      <c r="X1626" s="176"/>
      <c r="Y1626" s="176"/>
    </row>
    <row r="1627" spans="1:25">
      <c r="A1627" s="91"/>
      <c r="B1627" s="176"/>
      <c r="C1627" s="176"/>
      <c r="D1627" s="176"/>
      <c r="E1627" s="176"/>
      <c r="F1627" s="176"/>
      <c r="G1627" s="176"/>
      <c r="H1627" s="176"/>
      <c r="I1627" s="176"/>
      <c r="J1627" s="176"/>
      <c r="K1627" s="176"/>
      <c r="L1627" s="176"/>
      <c r="M1627" s="176"/>
      <c r="N1627" s="176"/>
      <c r="O1627" s="176"/>
      <c r="P1627" s="176"/>
      <c r="Q1627" s="176"/>
      <c r="R1627" s="176"/>
      <c r="S1627" s="176"/>
      <c r="T1627" s="176"/>
      <c r="U1627" s="176"/>
      <c r="V1627" s="176"/>
      <c r="W1627" s="176"/>
      <c r="X1627" s="176"/>
      <c r="Y1627" s="176"/>
    </row>
    <row r="1628" spans="1:25">
      <c r="A1628" s="91"/>
      <c r="B1628" s="176"/>
      <c r="C1628" s="176"/>
      <c r="D1628" s="176"/>
      <c r="E1628" s="176"/>
      <c r="F1628" s="176"/>
      <c r="G1628" s="176"/>
      <c r="H1628" s="176"/>
      <c r="I1628" s="176"/>
      <c r="J1628" s="176"/>
      <c r="K1628" s="176"/>
      <c r="L1628" s="176"/>
      <c r="M1628" s="176"/>
      <c r="N1628" s="176"/>
      <c r="O1628" s="176"/>
      <c r="P1628" s="176"/>
      <c r="Q1628" s="176"/>
      <c r="R1628" s="176"/>
      <c r="S1628" s="176"/>
      <c r="T1628" s="176"/>
      <c r="U1628" s="176"/>
      <c r="V1628" s="176"/>
      <c r="W1628" s="176"/>
      <c r="X1628" s="176"/>
      <c r="Y1628" s="176"/>
    </row>
    <row r="1629" spans="1:25">
      <c r="A1629" s="91"/>
      <c r="B1629" s="176"/>
      <c r="C1629" s="176"/>
      <c r="D1629" s="176"/>
      <c r="E1629" s="176"/>
      <c r="F1629" s="176"/>
      <c r="G1629" s="176"/>
      <c r="H1629" s="176"/>
      <c r="I1629" s="176"/>
      <c r="J1629" s="176"/>
      <c r="K1629" s="176"/>
      <c r="L1629" s="176"/>
      <c r="M1629" s="176"/>
      <c r="N1629" s="176"/>
      <c r="O1629" s="176"/>
      <c r="P1629" s="176"/>
      <c r="Q1629" s="176"/>
      <c r="R1629" s="176"/>
      <c r="S1629" s="176"/>
      <c r="T1629" s="176"/>
      <c r="U1629" s="176"/>
      <c r="V1629" s="176"/>
      <c r="W1629" s="176"/>
      <c r="X1629" s="176"/>
      <c r="Y1629" s="176"/>
    </row>
    <row r="1630" spans="1:25">
      <c r="A1630" s="91"/>
      <c r="B1630" s="176"/>
      <c r="C1630" s="176"/>
      <c r="D1630" s="176"/>
      <c r="E1630" s="176"/>
      <c r="F1630" s="176"/>
      <c r="G1630" s="176"/>
      <c r="H1630" s="176"/>
      <c r="I1630" s="176"/>
      <c r="J1630" s="176"/>
      <c r="K1630" s="176"/>
      <c r="L1630" s="176"/>
      <c r="M1630" s="176"/>
      <c r="N1630" s="176"/>
      <c r="O1630" s="176"/>
      <c r="P1630" s="176"/>
      <c r="Q1630" s="176"/>
      <c r="R1630" s="176"/>
      <c r="S1630" s="176"/>
      <c r="T1630" s="176"/>
      <c r="U1630" s="176"/>
      <c r="V1630" s="176"/>
      <c r="W1630" s="176"/>
      <c r="X1630" s="176"/>
      <c r="Y1630" s="176"/>
    </row>
    <row r="1631" spans="1:25">
      <c r="A1631" s="91"/>
      <c r="B1631" s="176"/>
      <c r="C1631" s="176"/>
      <c r="D1631" s="176"/>
      <c r="E1631" s="176"/>
      <c r="F1631" s="176"/>
      <c r="G1631" s="176"/>
      <c r="H1631" s="176"/>
      <c r="I1631" s="176"/>
      <c r="J1631" s="176"/>
      <c r="K1631" s="176"/>
      <c r="L1631" s="176"/>
      <c r="M1631" s="176"/>
      <c r="N1631" s="176"/>
      <c r="O1631" s="176"/>
      <c r="P1631" s="176"/>
      <c r="Q1631" s="176"/>
      <c r="R1631" s="176"/>
      <c r="S1631" s="176"/>
      <c r="T1631" s="176"/>
      <c r="U1631" s="176"/>
      <c r="V1631" s="176"/>
      <c r="W1631" s="176"/>
      <c r="X1631" s="176"/>
      <c r="Y1631" s="176"/>
    </row>
    <row r="1632" spans="1:25">
      <c r="A1632" s="91"/>
      <c r="B1632" s="176"/>
      <c r="C1632" s="176"/>
      <c r="D1632" s="176"/>
      <c r="E1632" s="176"/>
      <c r="F1632" s="176"/>
      <c r="G1632" s="176"/>
      <c r="H1632" s="176"/>
      <c r="I1632" s="176"/>
      <c r="J1632" s="176"/>
      <c r="K1632" s="176"/>
      <c r="L1632" s="176"/>
      <c r="M1632" s="176"/>
      <c r="N1632" s="176"/>
      <c r="O1632" s="176"/>
      <c r="P1632" s="176"/>
      <c r="Q1632" s="176"/>
      <c r="R1632" s="176"/>
      <c r="S1632" s="176"/>
      <c r="T1632" s="176"/>
      <c r="U1632" s="176"/>
      <c r="V1632" s="176"/>
      <c r="W1632" s="176"/>
      <c r="X1632" s="176"/>
      <c r="Y1632" s="176"/>
    </row>
    <row r="1633" spans="1:25">
      <c r="A1633" s="91"/>
      <c r="B1633" s="176"/>
      <c r="C1633" s="176"/>
      <c r="D1633" s="176"/>
      <c r="E1633" s="176"/>
      <c r="F1633" s="176"/>
      <c r="G1633" s="176"/>
      <c r="H1633" s="176"/>
      <c r="I1633" s="176"/>
      <c r="J1633" s="176"/>
      <c r="K1633" s="176"/>
      <c r="L1633" s="176"/>
      <c r="M1633" s="176"/>
      <c r="N1633" s="176"/>
      <c r="O1633" s="176"/>
      <c r="P1633" s="176"/>
      <c r="Q1633" s="176"/>
      <c r="R1633" s="176"/>
      <c r="S1633" s="176"/>
      <c r="T1633" s="176"/>
      <c r="U1633" s="176"/>
      <c r="V1633" s="176"/>
      <c r="W1633" s="176"/>
      <c r="X1633" s="176"/>
      <c r="Y1633" s="176"/>
    </row>
    <row r="1634" spans="1:25">
      <c r="A1634" s="91"/>
      <c r="B1634" s="176"/>
      <c r="C1634" s="176"/>
      <c r="D1634" s="176"/>
      <c r="E1634" s="176"/>
      <c r="F1634" s="176"/>
      <c r="G1634" s="176"/>
      <c r="H1634" s="176"/>
      <c r="I1634" s="176"/>
      <c r="J1634" s="176"/>
      <c r="K1634" s="176"/>
      <c r="L1634" s="176"/>
      <c r="M1634" s="176"/>
      <c r="N1634" s="176"/>
      <c r="O1634" s="176"/>
      <c r="P1634" s="176"/>
      <c r="Q1634" s="176"/>
      <c r="R1634" s="176"/>
      <c r="S1634" s="176"/>
      <c r="T1634" s="176"/>
      <c r="U1634" s="176"/>
      <c r="V1634" s="176"/>
      <c r="W1634" s="176"/>
      <c r="X1634" s="176"/>
      <c r="Y1634" s="176"/>
    </row>
    <row r="1635" spans="1:25">
      <c r="A1635" s="91"/>
      <c r="B1635" s="176"/>
      <c r="C1635" s="176"/>
      <c r="D1635" s="176"/>
      <c r="E1635" s="176"/>
      <c r="F1635" s="176"/>
      <c r="G1635" s="176"/>
      <c r="H1635" s="176"/>
      <c r="I1635" s="176"/>
      <c r="J1635" s="176"/>
      <c r="K1635" s="176"/>
      <c r="L1635" s="176"/>
      <c r="M1635" s="176"/>
      <c r="N1635" s="176"/>
      <c r="O1635" s="176"/>
      <c r="P1635" s="176"/>
      <c r="Q1635" s="176"/>
      <c r="R1635" s="176"/>
      <c r="S1635" s="176"/>
      <c r="T1635" s="176"/>
      <c r="U1635" s="176"/>
      <c r="V1635" s="176"/>
      <c r="W1635" s="176"/>
      <c r="X1635" s="176"/>
      <c r="Y1635" s="176"/>
    </row>
    <row r="1636" spans="1:25">
      <c r="A1636" s="91"/>
      <c r="B1636" s="176"/>
      <c r="C1636" s="176"/>
      <c r="D1636" s="176"/>
      <c r="E1636" s="176"/>
      <c r="F1636" s="176"/>
      <c r="G1636" s="176"/>
      <c r="H1636" s="176"/>
      <c r="I1636" s="176"/>
      <c r="J1636" s="176"/>
      <c r="K1636" s="176"/>
      <c r="L1636" s="176"/>
      <c r="M1636" s="176"/>
      <c r="N1636" s="176"/>
      <c r="O1636" s="176"/>
      <c r="P1636" s="176"/>
      <c r="Q1636" s="176"/>
      <c r="R1636" s="176"/>
      <c r="S1636" s="176"/>
      <c r="T1636" s="176"/>
      <c r="U1636" s="176"/>
      <c r="V1636" s="176"/>
      <c r="W1636" s="176"/>
      <c r="X1636" s="176"/>
      <c r="Y1636" s="176"/>
    </row>
    <row r="1637" spans="1:25">
      <c r="A1637" s="91"/>
      <c r="B1637" s="176"/>
      <c r="C1637" s="176"/>
      <c r="D1637" s="176"/>
      <c r="E1637" s="176"/>
      <c r="F1637" s="176"/>
      <c r="G1637" s="176"/>
      <c r="H1637" s="176"/>
      <c r="I1637" s="176"/>
      <c r="J1637" s="176"/>
      <c r="K1637" s="176"/>
      <c r="L1637" s="176"/>
      <c r="M1637" s="176"/>
      <c r="N1637" s="176"/>
      <c r="O1637" s="176"/>
      <c r="P1637" s="176"/>
      <c r="Q1637" s="176"/>
      <c r="R1637" s="176"/>
      <c r="S1637" s="176"/>
      <c r="T1637" s="176"/>
      <c r="U1637" s="176"/>
      <c r="V1637" s="176"/>
      <c r="W1637" s="176"/>
      <c r="X1637" s="176"/>
      <c r="Y1637" s="176"/>
    </row>
    <row r="1638" spans="1:25">
      <c r="A1638" s="91"/>
      <c r="B1638" s="176"/>
      <c r="C1638" s="176"/>
      <c r="D1638" s="176"/>
      <c r="E1638" s="176"/>
      <c r="F1638" s="176"/>
      <c r="G1638" s="176"/>
      <c r="H1638" s="176"/>
      <c r="I1638" s="176"/>
      <c r="J1638" s="176"/>
      <c r="K1638" s="176"/>
      <c r="L1638" s="176"/>
      <c r="M1638" s="176"/>
      <c r="N1638" s="176"/>
      <c r="O1638" s="176"/>
      <c r="P1638" s="176"/>
      <c r="Q1638" s="176"/>
      <c r="R1638" s="176"/>
      <c r="S1638" s="176"/>
      <c r="T1638" s="176"/>
      <c r="U1638" s="176"/>
      <c r="V1638" s="176"/>
      <c r="W1638" s="176"/>
      <c r="X1638" s="176"/>
      <c r="Y1638" s="176"/>
    </row>
    <row r="1639" spans="1:25">
      <c r="A1639" s="91"/>
      <c r="B1639" s="176"/>
      <c r="C1639" s="176"/>
      <c r="D1639" s="176"/>
      <c r="E1639" s="176"/>
      <c r="F1639" s="176"/>
      <c r="G1639" s="176"/>
      <c r="H1639" s="176"/>
      <c r="I1639" s="176"/>
      <c r="J1639" s="176"/>
      <c r="K1639" s="176"/>
      <c r="L1639" s="176"/>
      <c r="M1639" s="176"/>
      <c r="N1639" s="176"/>
      <c r="O1639" s="176"/>
      <c r="P1639" s="176"/>
      <c r="Q1639" s="176"/>
      <c r="R1639" s="176"/>
      <c r="S1639" s="176"/>
      <c r="T1639" s="176"/>
      <c r="U1639" s="176"/>
      <c r="V1639" s="176"/>
      <c r="W1639" s="176"/>
      <c r="X1639" s="176"/>
      <c r="Y1639" s="176"/>
    </row>
    <row r="1640" spans="1:25">
      <c r="A1640" s="91"/>
      <c r="B1640" s="176"/>
      <c r="C1640" s="176"/>
      <c r="D1640" s="176"/>
      <c r="E1640" s="176"/>
      <c r="F1640" s="176"/>
      <c r="G1640" s="176"/>
      <c r="H1640" s="176"/>
      <c r="I1640" s="176"/>
      <c r="J1640" s="176"/>
      <c r="K1640" s="176"/>
      <c r="L1640" s="176"/>
      <c r="M1640" s="176"/>
      <c r="N1640" s="176"/>
      <c r="O1640" s="176"/>
      <c r="P1640" s="176"/>
      <c r="Q1640" s="176"/>
      <c r="R1640" s="176"/>
      <c r="S1640" s="176"/>
      <c r="T1640" s="176"/>
      <c r="U1640" s="176"/>
      <c r="V1640" s="176"/>
      <c r="W1640" s="176"/>
      <c r="X1640" s="176"/>
      <c r="Y1640" s="176"/>
    </row>
    <row r="1641" spans="1:25">
      <c r="A1641" s="91"/>
      <c r="B1641" s="176"/>
      <c r="C1641" s="176"/>
      <c r="D1641" s="176"/>
      <c r="E1641" s="176"/>
      <c r="F1641" s="176"/>
      <c r="G1641" s="176"/>
      <c r="H1641" s="176"/>
      <c r="I1641" s="176"/>
      <c r="J1641" s="176"/>
      <c r="K1641" s="176"/>
      <c r="L1641" s="176"/>
      <c r="M1641" s="176"/>
      <c r="N1641" s="176"/>
      <c r="O1641" s="176"/>
      <c r="P1641" s="176"/>
      <c r="Q1641" s="176"/>
      <c r="R1641" s="176"/>
      <c r="S1641" s="176"/>
      <c r="T1641" s="176"/>
      <c r="U1641" s="176"/>
      <c r="V1641" s="176"/>
      <c r="W1641" s="176"/>
      <c r="X1641" s="176"/>
      <c r="Y1641" s="176"/>
    </row>
    <row r="1642" spans="1:25">
      <c r="A1642" s="91"/>
      <c r="B1642" s="176"/>
      <c r="C1642" s="176"/>
      <c r="D1642" s="176"/>
      <c r="E1642" s="176"/>
      <c r="F1642" s="176"/>
      <c r="G1642" s="176"/>
      <c r="H1642" s="176"/>
      <c r="I1642" s="176"/>
      <c r="J1642" s="176"/>
      <c r="K1642" s="176"/>
      <c r="L1642" s="176"/>
      <c r="M1642" s="176"/>
      <c r="N1642" s="176"/>
      <c r="O1642" s="176"/>
      <c r="P1642" s="176"/>
      <c r="Q1642" s="176"/>
      <c r="R1642" s="176"/>
      <c r="S1642" s="176"/>
      <c r="T1642" s="176"/>
      <c r="U1642" s="176"/>
      <c r="V1642" s="176"/>
      <c r="W1642" s="176"/>
      <c r="X1642" s="176"/>
      <c r="Y1642" s="176"/>
    </row>
    <row r="1643" spans="1:25">
      <c r="A1643" s="91"/>
      <c r="B1643" s="176"/>
      <c r="C1643" s="176"/>
      <c r="D1643" s="176"/>
      <c r="E1643" s="176"/>
      <c r="F1643" s="176"/>
      <c r="G1643" s="176"/>
      <c r="H1643" s="176"/>
      <c r="I1643" s="176"/>
      <c r="J1643" s="176"/>
      <c r="K1643" s="176"/>
      <c r="L1643" s="176"/>
      <c r="M1643" s="176"/>
      <c r="N1643" s="176"/>
      <c r="O1643" s="176"/>
      <c r="P1643" s="176"/>
      <c r="Q1643" s="176"/>
      <c r="R1643" s="176"/>
      <c r="S1643" s="176"/>
      <c r="T1643" s="176"/>
      <c r="U1643" s="176"/>
      <c r="V1643" s="176"/>
      <c r="W1643" s="176"/>
      <c r="X1643" s="176"/>
      <c r="Y1643" s="176"/>
    </row>
    <row r="1644" spans="1:25">
      <c r="A1644" s="91"/>
      <c r="B1644" s="176"/>
      <c r="C1644" s="176"/>
      <c r="D1644" s="176"/>
      <c r="E1644" s="176"/>
      <c r="F1644" s="176"/>
      <c r="G1644" s="176"/>
      <c r="H1644" s="176"/>
      <c r="I1644" s="176"/>
      <c r="J1644" s="176"/>
      <c r="K1644" s="176"/>
      <c r="L1644" s="176"/>
      <c r="M1644" s="176"/>
      <c r="N1644" s="176"/>
      <c r="O1644" s="176"/>
      <c r="P1644" s="176"/>
      <c r="Q1644" s="176"/>
      <c r="R1644" s="176"/>
      <c r="S1644" s="176"/>
      <c r="T1644" s="176"/>
      <c r="U1644" s="176"/>
      <c r="V1644" s="176"/>
      <c r="W1644" s="176"/>
      <c r="X1644" s="176"/>
      <c r="Y1644" s="176"/>
    </row>
    <row r="1645" spans="1:25">
      <c r="A1645" s="91"/>
      <c r="B1645" s="176"/>
      <c r="C1645" s="176"/>
      <c r="D1645" s="176"/>
      <c r="E1645" s="176"/>
      <c r="F1645" s="176"/>
      <c r="G1645" s="176"/>
      <c r="H1645" s="176"/>
      <c r="I1645" s="176"/>
      <c r="J1645" s="176"/>
      <c r="K1645" s="176"/>
      <c r="L1645" s="176"/>
      <c r="M1645" s="176"/>
      <c r="N1645" s="176"/>
      <c r="O1645" s="176"/>
      <c r="P1645" s="176"/>
      <c r="Q1645" s="176"/>
      <c r="R1645" s="176"/>
      <c r="S1645" s="176"/>
      <c r="T1645" s="176"/>
      <c r="U1645" s="176"/>
      <c r="V1645" s="176"/>
      <c r="W1645" s="176"/>
      <c r="X1645" s="176"/>
      <c r="Y1645" s="176"/>
    </row>
    <row r="1646" spans="1:25">
      <c r="A1646" s="91"/>
      <c r="B1646" s="176"/>
      <c r="C1646" s="176"/>
      <c r="D1646" s="176"/>
      <c r="E1646" s="176"/>
      <c r="F1646" s="176"/>
      <c r="G1646" s="176"/>
      <c r="H1646" s="176"/>
      <c r="I1646" s="176"/>
      <c r="J1646" s="176"/>
      <c r="K1646" s="176"/>
      <c r="L1646" s="176"/>
      <c r="M1646" s="176"/>
      <c r="N1646" s="176"/>
      <c r="O1646" s="176"/>
      <c r="P1646" s="176"/>
      <c r="Q1646" s="176"/>
      <c r="R1646" s="176"/>
      <c r="S1646" s="176"/>
      <c r="T1646" s="176"/>
      <c r="U1646" s="176"/>
      <c r="V1646" s="176"/>
      <c r="W1646" s="176"/>
      <c r="X1646" s="176"/>
      <c r="Y1646" s="176"/>
    </row>
    <row r="1647" spans="1:25">
      <c r="A1647" s="91"/>
      <c r="B1647" s="176"/>
      <c r="C1647" s="176"/>
      <c r="D1647" s="176"/>
      <c r="E1647" s="176"/>
      <c r="F1647" s="176"/>
      <c r="G1647" s="176"/>
      <c r="H1647" s="176"/>
      <c r="I1647" s="176"/>
      <c r="J1647" s="176"/>
      <c r="K1647" s="176"/>
      <c r="L1647" s="176"/>
      <c r="M1647" s="176"/>
      <c r="N1647" s="176"/>
      <c r="O1647" s="176"/>
      <c r="P1647" s="176"/>
      <c r="Q1647" s="176"/>
      <c r="R1647" s="176"/>
      <c r="S1647" s="176"/>
      <c r="T1647" s="176"/>
      <c r="U1647" s="176"/>
      <c r="V1647" s="176"/>
      <c r="W1647" s="176"/>
      <c r="X1647" s="176"/>
      <c r="Y1647" s="176"/>
    </row>
    <row r="1648" spans="1:25">
      <c r="A1648" s="91"/>
      <c r="B1648" s="176"/>
      <c r="C1648" s="176"/>
      <c r="D1648" s="176"/>
      <c r="E1648" s="176"/>
      <c r="F1648" s="176"/>
      <c r="G1648" s="176"/>
      <c r="H1648" s="176"/>
      <c r="I1648" s="176"/>
      <c r="J1648" s="176"/>
      <c r="K1648" s="176"/>
      <c r="L1648" s="176"/>
      <c r="M1648" s="176"/>
      <c r="N1648" s="176"/>
      <c r="O1648" s="176"/>
      <c r="P1648" s="176"/>
      <c r="Q1648" s="176"/>
      <c r="R1648" s="176"/>
      <c r="S1648" s="176"/>
      <c r="T1648" s="176"/>
      <c r="U1648" s="176"/>
      <c r="V1648" s="176"/>
      <c r="W1648" s="176"/>
      <c r="X1648" s="176"/>
      <c r="Y1648" s="176"/>
    </row>
    <row r="1649" spans="1:25">
      <c r="A1649" s="91"/>
      <c r="B1649" s="176"/>
      <c r="C1649" s="176"/>
      <c r="D1649" s="176"/>
      <c r="E1649" s="176"/>
      <c r="F1649" s="176"/>
      <c r="G1649" s="176"/>
      <c r="H1649" s="176"/>
      <c r="I1649" s="176"/>
      <c r="J1649" s="176"/>
      <c r="K1649" s="176"/>
      <c r="L1649" s="176"/>
      <c r="M1649" s="176"/>
      <c r="N1649" s="176"/>
      <c r="O1649" s="176"/>
      <c r="P1649" s="176"/>
      <c r="Q1649" s="176"/>
      <c r="R1649" s="176"/>
      <c r="S1649" s="176"/>
      <c r="T1649" s="176"/>
      <c r="U1649" s="176"/>
      <c r="V1649" s="176"/>
      <c r="W1649" s="176"/>
      <c r="X1649" s="176"/>
      <c r="Y1649" s="176"/>
    </row>
    <row r="1650" spans="1:25">
      <c r="A1650" s="91"/>
      <c r="B1650" s="176"/>
      <c r="C1650" s="176"/>
      <c r="D1650" s="176"/>
      <c r="E1650" s="176"/>
      <c r="F1650" s="176"/>
      <c r="G1650" s="176"/>
      <c r="H1650" s="176"/>
      <c r="I1650" s="176"/>
      <c r="J1650" s="176"/>
      <c r="K1650" s="176"/>
      <c r="L1650" s="176"/>
      <c r="M1650" s="176"/>
      <c r="N1650" s="176"/>
      <c r="O1650" s="176"/>
      <c r="P1650" s="176"/>
      <c r="Q1650" s="176"/>
      <c r="R1650" s="176"/>
      <c r="S1650" s="176"/>
      <c r="T1650" s="176"/>
      <c r="U1650" s="176"/>
      <c r="V1650" s="176"/>
      <c r="W1650" s="176"/>
      <c r="X1650" s="176"/>
      <c r="Y1650" s="176"/>
    </row>
    <row r="1651" spans="1:25">
      <c r="A1651" s="91"/>
      <c r="B1651" s="176"/>
      <c r="C1651" s="176"/>
      <c r="D1651" s="176"/>
      <c r="E1651" s="176"/>
      <c r="F1651" s="176"/>
      <c r="G1651" s="176"/>
      <c r="H1651" s="176"/>
      <c r="I1651" s="176"/>
      <c r="J1651" s="176"/>
      <c r="K1651" s="176"/>
      <c r="L1651" s="176"/>
      <c r="M1651" s="176"/>
      <c r="N1651" s="176"/>
      <c r="O1651" s="176"/>
      <c r="P1651" s="176"/>
      <c r="Q1651" s="176"/>
      <c r="R1651" s="176"/>
      <c r="S1651" s="176"/>
      <c r="T1651" s="176"/>
      <c r="U1651" s="176"/>
      <c r="V1651" s="176"/>
      <c r="W1651" s="176"/>
      <c r="X1651" s="176"/>
      <c r="Y1651" s="176"/>
    </row>
    <row r="1652" spans="1:25">
      <c r="A1652" s="91"/>
      <c r="B1652" s="176"/>
      <c r="C1652" s="176"/>
      <c r="D1652" s="176"/>
      <c r="E1652" s="176"/>
      <c r="F1652" s="176"/>
      <c r="G1652" s="176"/>
      <c r="H1652" s="176"/>
      <c r="I1652" s="176"/>
      <c r="J1652" s="176"/>
      <c r="K1652" s="176"/>
      <c r="L1652" s="176"/>
      <c r="M1652" s="176"/>
      <c r="N1652" s="176"/>
      <c r="O1652" s="176"/>
      <c r="P1652" s="176"/>
      <c r="Q1652" s="176"/>
      <c r="R1652" s="176"/>
      <c r="S1652" s="176"/>
      <c r="T1652" s="176"/>
      <c r="U1652" s="176"/>
      <c r="V1652" s="176"/>
      <c r="W1652" s="176"/>
      <c r="X1652" s="176"/>
      <c r="Y1652" s="176"/>
    </row>
    <row r="1653" spans="1:25">
      <c r="A1653" s="91"/>
      <c r="B1653" s="176"/>
      <c r="C1653" s="176"/>
      <c r="D1653" s="176"/>
      <c r="E1653" s="176"/>
      <c r="F1653" s="176"/>
      <c r="G1653" s="176"/>
      <c r="H1653" s="176"/>
      <c r="I1653" s="176"/>
      <c r="J1653" s="176"/>
      <c r="K1653" s="176"/>
      <c r="L1653" s="176"/>
      <c r="M1653" s="176"/>
      <c r="N1653" s="176"/>
      <c r="O1653" s="176"/>
      <c r="P1653" s="176"/>
      <c r="Q1653" s="176"/>
      <c r="R1653" s="176"/>
      <c r="S1653" s="176"/>
      <c r="T1653" s="176"/>
      <c r="U1653" s="176"/>
      <c r="V1653" s="176"/>
      <c r="W1653" s="176"/>
      <c r="X1653" s="176"/>
      <c r="Y1653" s="176"/>
    </row>
    <row r="1654" spans="1:25">
      <c r="A1654" s="91"/>
      <c r="B1654" s="176"/>
      <c r="C1654" s="176"/>
      <c r="D1654" s="176"/>
      <c r="E1654" s="176"/>
      <c r="F1654" s="176"/>
      <c r="G1654" s="176"/>
      <c r="H1654" s="176"/>
      <c r="I1654" s="176"/>
      <c r="J1654" s="176"/>
      <c r="K1654" s="176"/>
      <c r="L1654" s="176"/>
      <c r="M1654" s="176"/>
      <c r="N1654" s="176"/>
      <c r="O1654" s="176"/>
      <c r="P1654" s="176"/>
      <c r="Q1654" s="176"/>
      <c r="R1654" s="176"/>
      <c r="S1654" s="176"/>
      <c r="T1654" s="176"/>
      <c r="U1654" s="176"/>
      <c r="V1654" s="176"/>
      <c r="W1654" s="176"/>
      <c r="X1654" s="176"/>
      <c r="Y1654" s="176"/>
    </row>
    <row r="1655" spans="1:25">
      <c r="A1655" s="91"/>
      <c r="B1655" s="176"/>
      <c r="C1655" s="176"/>
      <c r="D1655" s="176"/>
      <c r="E1655" s="176"/>
      <c r="F1655" s="176"/>
      <c r="G1655" s="176"/>
      <c r="H1655" s="176"/>
      <c r="I1655" s="176"/>
      <c r="J1655" s="176"/>
      <c r="K1655" s="176"/>
      <c r="L1655" s="176"/>
      <c r="M1655" s="176"/>
      <c r="N1655" s="176"/>
      <c r="O1655" s="176"/>
      <c r="P1655" s="176"/>
      <c r="Q1655" s="176"/>
      <c r="R1655" s="176"/>
      <c r="S1655" s="176"/>
      <c r="T1655" s="176"/>
      <c r="U1655" s="176"/>
      <c r="V1655" s="176"/>
      <c r="W1655" s="176"/>
      <c r="X1655" s="176"/>
      <c r="Y1655" s="176"/>
    </row>
    <row r="1656" spans="1:25">
      <c r="A1656" s="91"/>
      <c r="B1656" s="176"/>
      <c r="C1656" s="176"/>
      <c r="D1656" s="176"/>
      <c r="E1656" s="176"/>
      <c r="F1656" s="176"/>
      <c r="G1656" s="176"/>
      <c r="H1656" s="176"/>
      <c r="I1656" s="176"/>
      <c r="J1656" s="176"/>
      <c r="K1656" s="176"/>
      <c r="L1656" s="176"/>
      <c r="M1656" s="176"/>
      <c r="N1656" s="176"/>
      <c r="O1656" s="176"/>
      <c r="P1656" s="176"/>
      <c r="Q1656" s="176"/>
      <c r="R1656" s="176"/>
      <c r="S1656" s="176"/>
      <c r="T1656" s="176"/>
      <c r="U1656" s="176"/>
      <c r="V1656" s="176"/>
      <c r="W1656" s="176"/>
      <c r="X1656" s="176"/>
      <c r="Y1656" s="176"/>
    </row>
    <row r="1657" spans="1:25">
      <c r="A1657" s="91"/>
      <c r="B1657" s="176"/>
      <c r="C1657" s="176"/>
      <c r="D1657" s="176"/>
      <c r="E1657" s="176"/>
      <c r="F1657" s="176"/>
      <c r="G1657" s="176"/>
      <c r="H1657" s="176"/>
      <c r="I1657" s="176"/>
      <c r="J1657" s="176"/>
      <c r="K1657" s="176"/>
      <c r="L1657" s="176"/>
      <c r="M1657" s="176"/>
      <c r="N1657" s="176"/>
      <c r="O1657" s="176"/>
      <c r="P1657" s="176"/>
      <c r="Q1657" s="176"/>
      <c r="R1657" s="176"/>
      <c r="S1657" s="176"/>
      <c r="T1657" s="176"/>
      <c r="U1657" s="176"/>
      <c r="V1657" s="176"/>
      <c r="W1657" s="176"/>
      <c r="X1657" s="176"/>
      <c r="Y1657" s="176"/>
    </row>
    <row r="1658" spans="1:25">
      <c r="A1658" s="91"/>
      <c r="B1658" s="176"/>
      <c r="C1658" s="176"/>
      <c r="D1658" s="176"/>
      <c r="E1658" s="176"/>
      <c r="F1658" s="176"/>
      <c r="G1658" s="176"/>
      <c r="H1658" s="176"/>
      <c r="I1658" s="176"/>
      <c r="J1658" s="176"/>
      <c r="K1658" s="176"/>
      <c r="L1658" s="176"/>
      <c r="M1658" s="176"/>
      <c r="N1658" s="176"/>
      <c r="O1658" s="176"/>
      <c r="P1658" s="176"/>
      <c r="Q1658" s="176"/>
      <c r="R1658" s="176"/>
      <c r="S1658" s="176"/>
      <c r="T1658" s="176"/>
      <c r="U1658" s="176"/>
      <c r="V1658" s="176"/>
      <c r="W1658" s="176"/>
      <c r="X1658" s="176"/>
      <c r="Y1658" s="176"/>
    </row>
    <row r="1659" spans="1:25">
      <c r="A1659" s="91"/>
      <c r="B1659" s="176"/>
      <c r="C1659" s="176"/>
      <c r="D1659" s="176"/>
      <c r="E1659" s="176"/>
      <c r="F1659" s="176"/>
      <c r="G1659" s="176"/>
      <c r="H1659" s="176"/>
      <c r="I1659" s="176"/>
      <c r="J1659" s="176"/>
      <c r="K1659" s="176"/>
      <c r="L1659" s="176"/>
      <c r="M1659" s="176"/>
      <c r="N1659" s="176"/>
      <c r="O1659" s="176"/>
      <c r="P1659" s="176"/>
      <c r="Q1659" s="176"/>
      <c r="R1659" s="176"/>
      <c r="S1659" s="176"/>
      <c r="T1659" s="176"/>
      <c r="U1659" s="176"/>
      <c r="V1659" s="176"/>
      <c r="W1659" s="176"/>
      <c r="X1659" s="176"/>
      <c r="Y1659" s="176"/>
    </row>
    <row r="1660" spans="1:25">
      <c r="A1660" s="91"/>
      <c r="B1660" s="176"/>
      <c r="C1660" s="176"/>
      <c r="D1660" s="176"/>
      <c r="E1660" s="176"/>
      <c r="F1660" s="176"/>
      <c r="G1660" s="176"/>
      <c r="H1660" s="176"/>
      <c r="I1660" s="176"/>
      <c r="J1660" s="176"/>
      <c r="K1660" s="176"/>
      <c r="L1660" s="176"/>
      <c r="M1660" s="176"/>
      <c r="N1660" s="176"/>
      <c r="O1660" s="176"/>
      <c r="P1660" s="176"/>
      <c r="Q1660" s="176"/>
      <c r="R1660" s="176"/>
      <c r="S1660" s="176"/>
      <c r="T1660" s="176"/>
      <c r="U1660" s="176"/>
      <c r="V1660" s="176"/>
      <c r="W1660" s="176"/>
      <c r="X1660" s="176"/>
      <c r="Y1660" s="176"/>
    </row>
    <row r="1661" spans="1:25">
      <c r="A1661" s="91"/>
      <c r="B1661" s="176"/>
      <c r="C1661" s="176"/>
      <c r="D1661" s="176"/>
      <c r="E1661" s="176"/>
      <c r="F1661" s="176"/>
      <c r="G1661" s="176"/>
      <c r="H1661" s="176"/>
      <c r="I1661" s="176"/>
      <c r="J1661" s="176"/>
      <c r="K1661" s="176"/>
      <c r="L1661" s="176"/>
      <c r="M1661" s="176"/>
      <c r="N1661" s="176"/>
      <c r="O1661" s="176"/>
      <c r="P1661" s="176"/>
      <c r="Q1661" s="176"/>
      <c r="R1661" s="176"/>
      <c r="S1661" s="176"/>
      <c r="T1661" s="176"/>
      <c r="U1661" s="176"/>
      <c r="V1661" s="176"/>
      <c r="W1661" s="176"/>
      <c r="X1661" s="176"/>
      <c r="Y1661" s="176"/>
    </row>
    <row r="1662" spans="1:25">
      <c r="A1662" s="91"/>
      <c r="B1662" s="176"/>
      <c r="C1662" s="176"/>
      <c r="D1662" s="176"/>
      <c r="E1662" s="176"/>
      <c r="F1662" s="176"/>
      <c r="G1662" s="176"/>
      <c r="H1662" s="176"/>
      <c r="I1662" s="176"/>
      <c r="J1662" s="176"/>
      <c r="K1662" s="176"/>
      <c r="L1662" s="176"/>
      <c r="M1662" s="176"/>
      <c r="N1662" s="176"/>
      <c r="O1662" s="176"/>
      <c r="P1662" s="176"/>
      <c r="Q1662" s="176"/>
      <c r="R1662" s="176"/>
      <c r="S1662" s="176"/>
      <c r="T1662" s="176"/>
      <c r="U1662" s="176"/>
      <c r="V1662" s="176"/>
      <c r="W1662" s="176"/>
      <c r="X1662" s="176"/>
      <c r="Y1662" s="176"/>
    </row>
    <row r="1663" spans="1:25">
      <c r="A1663" s="91"/>
      <c r="B1663" s="176"/>
      <c r="C1663" s="176"/>
      <c r="D1663" s="176"/>
      <c r="E1663" s="176"/>
      <c r="F1663" s="176"/>
      <c r="G1663" s="176"/>
      <c r="H1663" s="176"/>
      <c r="I1663" s="176"/>
      <c r="J1663" s="176"/>
      <c r="K1663" s="176"/>
      <c r="L1663" s="176"/>
      <c r="M1663" s="176"/>
      <c r="N1663" s="176"/>
      <c r="O1663" s="176"/>
      <c r="P1663" s="176"/>
      <c r="Q1663" s="176"/>
      <c r="R1663" s="176"/>
      <c r="S1663" s="176"/>
      <c r="T1663" s="176"/>
      <c r="U1663" s="176"/>
      <c r="V1663" s="176"/>
      <c r="W1663" s="176"/>
      <c r="X1663" s="176"/>
      <c r="Y1663" s="176"/>
    </row>
    <row r="1664" spans="1:25">
      <c r="A1664" s="91"/>
      <c r="B1664" s="176"/>
      <c r="C1664" s="176"/>
      <c r="D1664" s="176"/>
      <c r="E1664" s="176"/>
      <c r="F1664" s="176"/>
      <c r="G1664" s="176"/>
      <c r="H1664" s="176"/>
      <c r="I1664" s="176"/>
      <c r="J1664" s="176"/>
      <c r="K1664" s="176"/>
      <c r="L1664" s="176"/>
      <c r="M1664" s="176"/>
      <c r="N1664" s="176"/>
      <c r="O1664" s="176"/>
      <c r="P1664" s="176"/>
      <c r="Q1664" s="176"/>
      <c r="R1664" s="176"/>
      <c r="S1664" s="176"/>
      <c r="T1664" s="176"/>
      <c r="U1664" s="176"/>
      <c r="V1664" s="176"/>
      <c r="W1664" s="176"/>
      <c r="X1664" s="176"/>
      <c r="Y1664" s="176"/>
    </row>
    <row r="1665" spans="1:25">
      <c r="A1665" s="91"/>
      <c r="B1665" s="176"/>
      <c r="C1665" s="176"/>
      <c r="D1665" s="176"/>
      <c r="E1665" s="176"/>
      <c r="F1665" s="176"/>
      <c r="G1665" s="176"/>
      <c r="H1665" s="176"/>
      <c r="I1665" s="176"/>
      <c r="J1665" s="176"/>
      <c r="K1665" s="176"/>
      <c r="L1665" s="176"/>
      <c r="M1665" s="176"/>
      <c r="N1665" s="176"/>
      <c r="O1665" s="176"/>
      <c r="P1665" s="176"/>
      <c r="Q1665" s="176"/>
      <c r="R1665" s="176"/>
      <c r="S1665" s="176"/>
      <c r="T1665" s="176"/>
      <c r="U1665" s="176"/>
      <c r="V1665" s="176"/>
      <c r="W1665" s="176"/>
      <c r="X1665" s="176"/>
      <c r="Y1665" s="176"/>
    </row>
    <row r="1666" spans="1:25">
      <c r="A1666" s="91"/>
      <c r="B1666" s="176"/>
      <c r="C1666" s="176"/>
      <c r="D1666" s="176"/>
      <c r="E1666" s="176"/>
      <c r="F1666" s="176"/>
      <c r="G1666" s="176"/>
      <c r="H1666" s="176"/>
      <c r="I1666" s="176"/>
      <c r="J1666" s="176"/>
      <c r="K1666" s="176"/>
      <c r="L1666" s="176"/>
      <c r="M1666" s="176"/>
      <c r="N1666" s="176"/>
      <c r="O1666" s="176"/>
      <c r="P1666" s="176"/>
      <c r="Q1666" s="176"/>
      <c r="R1666" s="176"/>
      <c r="S1666" s="176"/>
      <c r="T1666" s="176"/>
      <c r="U1666" s="176"/>
      <c r="V1666" s="176"/>
      <c r="W1666" s="176"/>
      <c r="X1666" s="176"/>
      <c r="Y1666" s="176"/>
    </row>
    <row r="1667" spans="1:25">
      <c r="A1667" s="91"/>
      <c r="B1667" s="176"/>
      <c r="C1667" s="176"/>
      <c r="D1667" s="176"/>
      <c r="E1667" s="176"/>
      <c r="F1667" s="176"/>
      <c r="G1667" s="176"/>
      <c r="H1667" s="176"/>
      <c r="I1667" s="176"/>
      <c r="J1667" s="176"/>
      <c r="K1667" s="176"/>
      <c r="L1667" s="176"/>
      <c r="M1667" s="176"/>
      <c r="N1667" s="176"/>
      <c r="O1667" s="176"/>
      <c r="P1667" s="176"/>
      <c r="Q1667" s="176"/>
      <c r="R1667" s="176"/>
      <c r="S1667" s="176"/>
      <c r="T1667" s="176"/>
      <c r="U1667" s="176"/>
      <c r="V1667" s="176"/>
      <c r="W1667" s="176"/>
      <c r="X1667" s="176"/>
      <c r="Y1667" s="176"/>
    </row>
    <row r="1668" spans="1:25">
      <c r="A1668" s="91"/>
      <c r="B1668" s="176"/>
      <c r="C1668" s="176"/>
      <c r="D1668" s="176"/>
      <c r="E1668" s="176"/>
      <c r="F1668" s="176"/>
      <c r="G1668" s="176"/>
      <c r="H1668" s="176"/>
      <c r="I1668" s="176"/>
      <c r="J1668" s="176"/>
      <c r="K1668" s="176"/>
      <c r="L1668" s="176"/>
      <c r="M1668" s="176"/>
      <c r="N1668" s="176"/>
      <c r="O1668" s="176"/>
      <c r="P1668" s="176"/>
      <c r="Q1668" s="176"/>
      <c r="R1668" s="176"/>
      <c r="S1668" s="176"/>
      <c r="T1668" s="176"/>
      <c r="U1668" s="176"/>
      <c r="V1668" s="176"/>
      <c r="W1668" s="176"/>
      <c r="X1668" s="176"/>
      <c r="Y1668" s="176"/>
    </row>
    <row r="1669" spans="1:25">
      <c r="A1669" s="91"/>
      <c r="B1669" s="176"/>
      <c r="C1669" s="176"/>
      <c r="D1669" s="176"/>
      <c r="E1669" s="176"/>
      <c r="F1669" s="176"/>
      <c r="G1669" s="176"/>
      <c r="H1669" s="176"/>
      <c r="I1669" s="176"/>
      <c r="J1669" s="176"/>
      <c r="K1669" s="176"/>
      <c r="L1669" s="176"/>
      <c r="M1669" s="176"/>
      <c r="N1669" s="176"/>
      <c r="O1669" s="176"/>
      <c r="P1669" s="176"/>
      <c r="Q1669" s="176"/>
      <c r="R1669" s="176"/>
      <c r="S1669" s="176"/>
      <c r="T1669" s="176"/>
      <c r="U1669" s="176"/>
      <c r="V1669" s="176"/>
      <c r="W1669" s="176"/>
      <c r="X1669" s="176"/>
      <c r="Y1669" s="176"/>
    </row>
    <row r="1670" spans="1:25">
      <c r="A1670" s="91"/>
      <c r="B1670" s="176"/>
      <c r="C1670" s="176"/>
      <c r="D1670" s="176"/>
      <c r="E1670" s="176"/>
      <c r="F1670" s="176"/>
      <c r="G1670" s="176"/>
      <c r="H1670" s="176"/>
      <c r="I1670" s="176"/>
      <c r="J1670" s="176"/>
      <c r="K1670" s="176"/>
      <c r="L1670" s="176"/>
      <c r="M1670" s="176"/>
      <c r="N1670" s="176"/>
      <c r="O1670" s="176"/>
      <c r="P1670" s="176"/>
      <c r="Q1670" s="176"/>
      <c r="R1670" s="176"/>
      <c r="S1670" s="176"/>
      <c r="T1670" s="176"/>
      <c r="U1670" s="176"/>
      <c r="V1670" s="176"/>
      <c r="W1670" s="176"/>
      <c r="X1670" s="176"/>
      <c r="Y1670" s="176"/>
    </row>
    <row r="1671" spans="1:25">
      <c r="A1671" s="91"/>
      <c r="B1671" s="176"/>
      <c r="C1671" s="176"/>
      <c r="D1671" s="176"/>
      <c r="E1671" s="176"/>
      <c r="F1671" s="176"/>
      <c r="G1671" s="176"/>
      <c r="H1671" s="176"/>
      <c r="I1671" s="176"/>
      <c r="J1671" s="176"/>
      <c r="K1671" s="176"/>
      <c r="L1671" s="176"/>
      <c r="M1671" s="176"/>
      <c r="N1671" s="176"/>
      <c r="O1671" s="176"/>
      <c r="P1671" s="176"/>
      <c r="Q1671" s="176"/>
      <c r="R1671" s="176"/>
      <c r="S1671" s="176"/>
      <c r="T1671" s="176"/>
      <c r="U1671" s="176"/>
      <c r="V1671" s="176"/>
      <c r="W1671" s="176"/>
      <c r="X1671" s="176"/>
      <c r="Y1671" s="176"/>
    </row>
    <row r="1672" spans="1:25">
      <c r="A1672" s="91"/>
      <c r="B1672" s="176"/>
      <c r="C1672" s="176"/>
      <c r="D1672" s="176"/>
      <c r="E1672" s="176"/>
      <c r="F1672" s="176"/>
      <c r="G1672" s="176"/>
      <c r="H1672" s="176"/>
      <c r="I1672" s="176"/>
      <c r="J1672" s="176"/>
      <c r="K1672" s="176"/>
      <c r="L1672" s="176"/>
      <c r="M1672" s="176"/>
      <c r="N1672" s="176"/>
      <c r="O1672" s="176"/>
      <c r="P1672" s="176"/>
      <c r="Q1672" s="176"/>
      <c r="R1672" s="176"/>
      <c r="S1672" s="176"/>
      <c r="T1672" s="176"/>
      <c r="U1672" s="176"/>
      <c r="V1672" s="176"/>
      <c r="W1672" s="176"/>
      <c r="X1672" s="176"/>
      <c r="Y1672" s="176"/>
    </row>
    <row r="1673" spans="1:25">
      <c r="A1673" s="91"/>
      <c r="B1673" s="176"/>
      <c r="C1673" s="176"/>
      <c r="D1673" s="176"/>
      <c r="E1673" s="176"/>
      <c r="F1673" s="176"/>
      <c r="G1673" s="176"/>
      <c r="H1673" s="176"/>
      <c r="I1673" s="176"/>
      <c r="J1673" s="176"/>
      <c r="K1673" s="176"/>
      <c r="L1673" s="176"/>
      <c r="M1673" s="176"/>
      <c r="N1673" s="176"/>
      <c r="O1673" s="176"/>
      <c r="P1673" s="176"/>
      <c r="Q1673" s="176"/>
      <c r="R1673" s="176"/>
      <c r="S1673" s="176"/>
      <c r="T1673" s="176"/>
      <c r="U1673" s="176"/>
      <c r="V1673" s="176"/>
      <c r="W1673" s="176"/>
      <c r="X1673" s="176"/>
      <c r="Y1673" s="176"/>
    </row>
    <row r="1674" spans="1:25">
      <c r="A1674" s="91"/>
      <c r="B1674" s="176"/>
      <c r="C1674" s="176"/>
      <c r="D1674" s="176"/>
      <c r="E1674" s="176"/>
      <c r="F1674" s="176"/>
      <c r="G1674" s="176"/>
      <c r="H1674" s="176"/>
      <c r="I1674" s="176"/>
      <c r="J1674" s="176"/>
      <c r="K1674" s="176"/>
      <c r="L1674" s="176"/>
      <c r="M1674" s="176"/>
      <c r="N1674" s="176"/>
      <c r="O1674" s="176"/>
      <c r="P1674" s="176"/>
      <c r="Q1674" s="176"/>
      <c r="R1674" s="176"/>
      <c r="S1674" s="176"/>
      <c r="T1674" s="176"/>
      <c r="U1674" s="176"/>
      <c r="V1674" s="176"/>
      <c r="W1674" s="176"/>
      <c r="X1674" s="176"/>
      <c r="Y1674" s="176"/>
    </row>
    <row r="1675" spans="1:25">
      <c r="A1675" s="91"/>
      <c r="B1675" s="176"/>
      <c r="C1675" s="176"/>
      <c r="D1675" s="176"/>
      <c r="E1675" s="176"/>
      <c r="F1675" s="176"/>
      <c r="G1675" s="176"/>
      <c r="H1675" s="176"/>
      <c r="I1675" s="176"/>
      <c r="J1675" s="176"/>
      <c r="K1675" s="176"/>
      <c r="L1675" s="176"/>
      <c r="M1675" s="176"/>
      <c r="N1675" s="176"/>
      <c r="O1675" s="176"/>
      <c r="P1675" s="176"/>
      <c r="Q1675" s="176"/>
      <c r="R1675" s="176"/>
      <c r="S1675" s="176"/>
      <c r="T1675" s="176"/>
      <c r="U1675" s="176"/>
      <c r="V1675" s="176"/>
      <c r="W1675" s="176"/>
      <c r="X1675" s="176"/>
      <c r="Y1675" s="176"/>
    </row>
    <row r="1676" spans="1:25">
      <c r="A1676" s="91"/>
      <c r="B1676" s="176"/>
      <c r="C1676" s="176"/>
      <c r="D1676" s="176"/>
      <c r="E1676" s="176"/>
      <c r="F1676" s="176"/>
      <c r="G1676" s="176"/>
      <c r="H1676" s="176"/>
      <c r="I1676" s="176"/>
      <c r="J1676" s="176"/>
      <c r="K1676" s="176"/>
      <c r="L1676" s="176"/>
      <c r="M1676" s="176"/>
      <c r="N1676" s="176"/>
      <c r="O1676" s="176"/>
      <c r="P1676" s="176"/>
      <c r="Q1676" s="176"/>
      <c r="R1676" s="176"/>
      <c r="S1676" s="176"/>
      <c r="T1676" s="176"/>
      <c r="U1676" s="176"/>
      <c r="V1676" s="176"/>
      <c r="W1676" s="176"/>
      <c r="X1676" s="176"/>
      <c r="Y1676" s="176"/>
    </row>
    <row r="1677" spans="1:25">
      <c r="A1677" s="91"/>
      <c r="B1677" s="176"/>
      <c r="C1677" s="176"/>
      <c r="D1677" s="176"/>
      <c r="E1677" s="176"/>
      <c r="F1677" s="176"/>
      <c r="G1677" s="176"/>
      <c r="H1677" s="176"/>
      <c r="I1677" s="176"/>
      <c r="J1677" s="176"/>
      <c r="K1677" s="176"/>
      <c r="L1677" s="176"/>
      <c r="M1677" s="176"/>
      <c r="N1677" s="176"/>
      <c r="O1677" s="176"/>
      <c r="P1677" s="176"/>
      <c r="Q1677" s="176"/>
      <c r="R1677" s="176"/>
      <c r="S1677" s="176"/>
      <c r="T1677" s="176"/>
      <c r="U1677" s="176"/>
      <c r="V1677" s="176"/>
      <c r="W1677" s="176"/>
      <c r="X1677" s="176"/>
      <c r="Y1677" s="176"/>
    </row>
    <row r="1678" spans="1:25">
      <c r="A1678" s="91"/>
      <c r="B1678" s="176"/>
      <c r="C1678" s="176"/>
      <c r="D1678" s="176"/>
      <c r="E1678" s="176"/>
      <c r="F1678" s="176"/>
      <c r="G1678" s="176"/>
      <c r="H1678" s="176"/>
      <c r="I1678" s="176"/>
      <c r="J1678" s="176"/>
      <c r="K1678" s="176"/>
      <c r="L1678" s="176"/>
      <c r="M1678" s="176"/>
      <c r="N1678" s="176"/>
      <c r="O1678" s="176"/>
      <c r="P1678" s="176"/>
      <c r="Q1678" s="176"/>
      <c r="R1678" s="176"/>
      <c r="S1678" s="176"/>
      <c r="T1678" s="176"/>
      <c r="U1678" s="176"/>
      <c r="V1678" s="176"/>
      <c r="W1678" s="176"/>
      <c r="X1678" s="176"/>
      <c r="Y1678" s="176"/>
    </row>
    <row r="1679" spans="1:25">
      <c r="A1679" s="91"/>
      <c r="B1679" s="176"/>
      <c r="C1679" s="176"/>
      <c r="D1679" s="176"/>
      <c r="E1679" s="176"/>
      <c r="F1679" s="176"/>
      <c r="G1679" s="176"/>
      <c r="H1679" s="176"/>
      <c r="I1679" s="176"/>
      <c r="J1679" s="176"/>
      <c r="K1679" s="176"/>
      <c r="L1679" s="176"/>
      <c r="M1679" s="176"/>
      <c r="N1679" s="176"/>
      <c r="O1679" s="176"/>
      <c r="P1679" s="176"/>
      <c r="Q1679" s="176"/>
      <c r="R1679" s="176"/>
      <c r="S1679" s="176"/>
      <c r="T1679" s="176"/>
      <c r="U1679" s="176"/>
      <c r="V1679" s="176"/>
      <c r="W1679" s="176"/>
      <c r="X1679" s="176"/>
      <c r="Y1679" s="176"/>
    </row>
    <row r="1680" spans="1:25">
      <c r="A1680" s="91"/>
      <c r="B1680" s="176"/>
      <c r="C1680" s="176"/>
      <c r="D1680" s="176"/>
      <c r="E1680" s="176"/>
      <c r="F1680" s="176"/>
      <c r="G1680" s="176"/>
      <c r="H1680" s="176"/>
      <c r="I1680" s="176"/>
      <c r="J1680" s="176"/>
      <c r="K1680" s="176"/>
      <c r="L1680" s="176"/>
      <c r="M1680" s="176"/>
      <c r="N1680" s="176"/>
      <c r="O1680" s="176"/>
      <c r="P1680" s="176"/>
      <c r="Q1680" s="176"/>
      <c r="R1680" s="176"/>
      <c r="S1680" s="176"/>
      <c r="T1680" s="176"/>
      <c r="U1680" s="176"/>
      <c r="V1680" s="176"/>
      <c r="W1680" s="176"/>
      <c r="X1680" s="176"/>
      <c r="Y1680" s="176"/>
    </row>
    <row r="1681" spans="1:25">
      <c r="A1681" s="91"/>
      <c r="B1681" s="176"/>
      <c r="C1681" s="176"/>
      <c r="D1681" s="176"/>
      <c r="E1681" s="176"/>
      <c r="F1681" s="176"/>
      <c r="G1681" s="176"/>
      <c r="H1681" s="176"/>
      <c r="I1681" s="176"/>
      <c r="J1681" s="176"/>
      <c r="K1681" s="176"/>
      <c r="L1681" s="176"/>
      <c r="M1681" s="176"/>
      <c r="N1681" s="176"/>
      <c r="O1681" s="176"/>
      <c r="P1681" s="176"/>
      <c r="Q1681" s="176"/>
      <c r="R1681" s="176"/>
      <c r="S1681" s="176"/>
      <c r="T1681" s="176"/>
      <c r="U1681" s="176"/>
      <c r="V1681" s="176"/>
      <c r="W1681" s="176"/>
      <c r="X1681" s="176"/>
      <c r="Y1681" s="176"/>
    </row>
    <row r="1682" spans="1:25">
      <c r="A1682" s="91"/>
      <c r="B1682" s="176"/>
      <c r="C1682" s="176"/>
      <c r="D1682" s="176"/>
      <c r="E1682" s="176"/>
      <c r="F1682" s="176"/>
      <c r="G1682" s="176"/>
      <c r="H1682" s="176"/>
      <c r="I1682" s="176"/>
      <c r="J1682" s="176"/>
      <c r="K1682" s="176"/>
      <c r="L1682" s="176"/>
      <c r="M1682" s="176"/>
      <c r="N1682" s="176"/>
      <c r="O1682" s="176"/>
      <c r="P1682" s="176"/>
      <c r="Q1682" s="176"/>
      <c r="R1682" s="176"/>
      <c r="S1682" s="176"/>
      <c r="T1682" s="176"/>
      <c r="U1682" s="176"/>
      <c r="V1682" s="176"/>
      <c r="W1682" s="176"/>
      <c r="X1682" s="176"/>
      <c r="Y1682" s="176"/>
    </row>
    <row r="1683" spans="1:25">
      <c r="A1683" s="91"/>
      <c r="B1683" s="176"/>
      <c r="C1683" s="176"/>
      <c r="D1683" s="176"/>
      <c r="E1683" s="176"/>
      <c r="F1683" s="176"/>
      <c r="G1683" s="176"/>
      <c r="H1683" s="176"/>
      <c r="I1683" s="176"/>
      <c r="J1683" s="176"/>
      <c r="K1683" s="176"/>
      <c r="L1683" s="176"/>
      <c r="M1683" s="176"/>
      <c r="N1683" s="176"/>
      <c r="O1683" s="176"/>
      <c r="P1683" s="176"/>
      <c r="Q1683" s="176"/>
      <c r="R1683" s="176"/>
      <c r="S1683" s="176"/>
      <c r="T1683" s="176"/>
      <c r="U1683" s="176"/>
      <c r="V1683" s="176"/>
      <c r="W1683" s="176"/>
      <c r="X1683" s="176"/>
      <c r="Y1683" s="176"/>
    </row>
    <row r="1684" spans="1:25">
      <c r="A1684" s="91"/>
      <c r="B1684" s="176"/>
      <c r="C1684" s="176"/>
      <c r="D1684" s="176"/>
      <c r="E1684" s="176"/>
      <c r="F1684" s="176"/>
      <c r="G1684" s="176"/>
      <c r="H1684" s="176"/>
      <c r="I1684" s="176"/>
      <c r="J1684" s="176"/>
      <c r="K1684" s="176"/>
      <c r="L1684" s="176"/>
      <c r="M1684" s="176"/>
      <c r="N1684" s="176"/>
      <c r="O1684" s="176"/>
      <c r="P1684" s="176"/>
      <c r="Q1684" s="176"/>
      <c r="R1684" s="176"/>
      <c r="S1684" s="176"/>
      <c r="T1684" s="176"/>
      <c r="U1684" s="176"/>
      <c r="V1684" s="176"/>
      <c r="W1684" s="176"/>
      <c r="X1684" s="176"/>
      <c r="Y1684" s="176"/>
    </row>
    <row r="1685" spans="1:25">
      <c r="A1685" s="91"/>
      <c r="B1685" s="176"/>
      <c r="C1685" s="176"/>
      <c r="D1685" s="176"/>
      <c r="E1685" s="176"/>
      <c r="F1685" s="176"/>
      <c r="G1685" s="176"/>
      <c r="H1685" s="176"/>
      <c r="I1685" s="176"/>
      <c r="J1685" s="176"/>
      <c r="K1685" s="176"/>
      <c r="L1685" s="176"/>
      <c r="M1685" s="176"/>
      <c r="N1685" s="176"/>
      <c r="O1685" s="176"/>
      <c r="P1685" s="176"/>
      <c r="Q1685" s="176"/>
      <c r="R1685" s="176"/>
      <c r="S1685" s="176"/>
      <c r="T1685" s="176"/>
      <c r="U1685" s="176"/>
      <c r="V1685" s="176"/>
      <c r="W1685" s="176"/>
      <c r="X1685" s="176"/>
      <c r="Y1685" s="176"/>
    </row>
    <row r="1686" spans="1:25">
      <c r="A1686" s="91"/>
      <c r="B1686" s="176"/>
      <c r="C1686" s="176"/>
      <c r="D1686" s="176"/>
      <c r="E1686" s="176"/>
      <c r="F1686" s="176"/>
      <c r="G1686" s="176"/>
      <c r="H1686" s="176"/>
      <c r="I1686" s="176"/>
      <c r="J1686" s="176"/>
      <c r="K1686" s="176"/>
      <c r="L1686" s="176"/>
      <c r="M1686" s="176"/>
      <c r="N1686" s="176"/>
      <c r="O1686" s="176"/>
      <c r="P1686" s="176"/>
      <c r="Q1686" s="176"/>
      <c r="R1686" s="176"/>
      <c r="S1686" s="176"/>
      <c r="T1686" s="176"/>
      <c r="U1686" s="176"/>
      <c r="V1686" s="176"/>
      <c r="W1686" s="176"/>
      <c r="X1686" s="176"/>
      <c r="Y1686" s="176"/>
    </row>
    <row r="1687" spans="1:25">
      <c r="A1687" s="91"/>
      <c r="B1687" s="176"/>
      <c r="C1687" s="176"/>
      <c r="D1687" s="176"/>
      <c r="E1687" s="176"/>
      <c r="F1687" s="176"/>
      <c r="G1687" s="176"/>
      <c r="H1687" s="176"/>
      <c r="I1687" s="176"/>
      <c r="J1687" s="176"/>
      <c r="K1687" s="176"/>
      <c r="L1687" s="176"/>
      <c r="M1687" s="176"/>
      <c r="N1687" s="176"/>
      <c r="O1687" s="176"/>
      <c r="P1687" s="176"/>
      <c r="Q1687" s="176"/>
      <c r="R1687" s="176"/>
      <c r="S1687" s="176"/>
      <c r="T1687" s="176"/>
      <c r="U1687" s="176"/>
      <c r="V1687" s="176"/>
      <c r="W1687" s="176"/>
      <c r="X1687" s="176"/>
      <c r="Y1687" s="176"/>
    </row>
    <row r="1688" spans="1:25">
      <c r="A1688" s="91"/>
      <c r="B1688" s="176"/>
      <c r="C1688" s="176"/>
      <c r="D1688" s="176"/>
      <c r="E1688" s="176"/>
      <c r="F1688" s="176"/>
      <c r="G1688" s="176"/>
      <c r="H1688" s="176"/>
      <c r="I1688" s="176"/>
      <c r="J1688" s="176"/>
      <c r="K1688" s="176"/>
      <c r="L1688" s="176"/>
      <c r="M1688" s="176"/>
      <c r="N1688" s="176"/>
      <c r="O1688" s="176"/>
      <c r="P1688" s="176"/>
      <c r="Q1688" s="176"/>
      <c r="R1688" s="176"/>
      <c r="S1688" s="176"/>
      <c r="T1688" s="176"/>
      <c r="U1688" s="176"/>
      <c r="V1688" s="176"/>
      <c r="W1688" s="176"/>
      <c r="X1688" s="176"/>
      <c r="Y1688" s="176"/>
    </row>
    <row r="1689" spans="1:25">
      <c r="A1689" s="91"/>
      <c r="B1689" s="176"/>
      <c r="C1689" s="176"/>
      <c r="D1689" s="176"/>
      <c r="E1689" s="176"/>
      <c r="F1689" s="176"/>
      <c r="G1689" s="176"/>
      <c r="H1689" s="176"/>
      <c r="I1689" s="176"/>
      <c r="J1689" s="176"/>
      <c r="K1689" s="176"/>
      <c r="L1689" s="176"/>
      <c r="M1689" s="176"/>
      <c r="N1689" s="176"/>
      <c r="O1689" s="176"/>
      <c r="P1689" s="176"/>
      <c r="Q1689" s="176"/>
      <c r="R1689" s="176"/>
      <c r="S1689" s="176"/>
      <c r="T1689" s="176"/>
      <c r="U1689" s="176"/>
      <c r="V1689" s="176"/>
      <c r="W1689" s="176"/>
      <c r="X1689" s="176"/>
      <c r="Y1689" s="176"/>
    </row>
    <row r="1690" spans="1:25">
      <c r="A1690" s="91"/>
      <c r="B1690" s="176"/>
      <c r="C1690" s="176"/>
      <c r="D1690" s="176"/>
      <c r="E1690" s="176"/>
      <c r="F1690" s="176"/>
      <c r="G1690" s="176"/>
      <c r="H1690" s="176"/>
      <c r="I1690" s="176"/>
      <c r="J1690" s="176"/>
      <c r="K1690" s="176"/>
      <c r="L1690" s="176"/>
      <c r="M1690" s="176"/>
      <c r="N1690" s="176"/>
      <c r="O1690" s="176"/>
      <c r="P1690" s="176"/>
      <c r="Q1690" s="176"/>
      <c r="R1690" s="176"/>
      <c r="S1690" s="176"/>
      <c r="T1690" s="176"/>
      <c r="U1690" s="176"/>
      <c r="V1690" s="176"/>
      <c r="W1690" s="176"/>
      <c r="X1690" s="176"/>
      <c r="Y1690" s="176"/>
    </row>
    <row r="1691" spans="1:25">
      <c r="A1691" s="91"/>
      <c r="B1691" s="176"/>
      <c r="C1691" s="176"/>
      <c r="D1691" s="176"/>
      <c r="E1691" s="176"/>
      <c r="F1691" s="176"/>
      <c r="G1691" s="176"/>
      <c r="H1691" s="176"/>
      <c r="I1691" s="176"/>
      <c r="J1691" s="176"/>
      <c r="K1691" s="176"/>
      <c r="L1691" s="176"/>
      <c r="M1691" s="176"/>
      <c r="N1691" s="176"/>
      <c r="O1691" s="176"/>
      <c r="P1691" s="176"/>
      <c r="Q1691" s="176"/>
      <c r="R1691" s="176"/>
      <c r="S1691" s="176"/>
      <c r="T1691" s="176"/>
      <c r="U1691" s="176"/>
      <c r="V1691" s="176"/>
      <c r="W1691" s="176"/>
      <c r="X1691" s="176"/>
      <c r="Y1691" s="176"/>
    </row>
    <row r="1692" spans="1:25">
      <c r="A1692" s="91"/>
      <c r="B1692" s="176"/>
      <c r="C1692" s="176"/>
      <c r="D1692" s="176"/>
      <c r="E1692" s="176"/>
      <c r="F1692" s="176"/>
      <c r="G1692" s="176"/>
      <c r="H1692" s="176"/>
      <c r="I1692" s="176"/>
      <c r="J1692" s="176"/>
      <c r="K1692" s="176"/>
      <c r="L1692" s="176"/>
      <c r="M1692" s="176"/>
      <c r="N1692" s="176"/>
      <c r="O1692" s="176"/>
      <c r="P1692" s="176"/>
      <c r="Q1692" s="176"/>
      <c r="R1692" s="176"/>
      <c r="S1692" s="176"/>
      <c r="T1692" s="176"/>
      <c r="U1692" s="176"/>
      <c r="V1692" s="176"/>
      <c r="W1692" s="176"/>
      <c r="X1692" s="176"/>
      <c r="Y1692" s="176"/>
    </row>
    <row r="1693" spans="1:25">
      <c r="A1693" s="91"/>
      <c r="B1693" s="176"/>
      <c r="C1693" s="176"/>
      <c r="D1693" s="176"/>
      <c r="E1693" s="176"/>
      <c r="F1693" s="176"/>
      <c r="G1693" s="176"/>
      <c r="H1693" s="176"/>
      <c r="I1693" s="176"/>
      <c r="J1693" s="176"/>
      <c r="K1693" s="176"/>
      <c r="L1693" s="176"/>
      <c r="M1693" s="176"/>
      <c r="N1693" s="176"/>
      <c r="O1693" s="176"/>
      <c r="P1693" s="176"/>
      <c r="Q1693" s="176"/>
      <c r="R1693" s="176"/>
      <c r="S1693" s="176"/>
      <c r="T1693" s="176"/>
      <c r="U1693" s="176"/>
      <c r="V1693" s="176"/>
      <c r="W1693" s="176"/>
      <c r="X1693" s="176"/>
      <c r="Y1693" s="176"/>
    </row>
    <row r="1694" spans="1:25">
      <c r="A1694" s="91"/>
      <c r="B1694" s="176"/>
      <c r="C1694" s="176"/>
      <c r="D1694" s="176"/>
      <c r="E1694" s="176"/>
      <c r="F1694" s="176"/>
      <c r="G1694" s="176"/>
      <c r="H1694" s="176"/>
      <c r="I1694" s="176"/>
      <c r="J1694" s="176"/>
      <c r="K1694" s="176"/>
      <c r="L1694" s="176"/>
      <c r="M1694" s="176"/>
      <c r="N1694" s="176"/>
      <c r="O1694" s="176"/>
      <c r="P1694" s="176"/>
      <c r="Q1694" s="176"/>
      <c r="R1694" s="176"/>
      <c r="S1694" s="176"/>
      <c r="T1694" s="176"/>
      <c r="U1694" s="176"/>
      <c r="V1694" s="176"/>
      <c r="W1694" s="176"/>
      <c r="X1694" s="176"/>
      <c r="Y1694" s="176"/>
    </row>
    <row r="1695" spans="1:25">
      <c r="A1695" s="91"/>
      <c r="B1695" s="176"/>
      <c r="C1695" s="176"/>
      <c r="D1695" s="176"/>
      <c r="E1695" s="176"/>
      <c r="F1695" s="176"/>
      <c r="G1695" s="176"/>
      <c r="H1695" s="176"/>
      <c r="I1695" s="176"/>
      <c r="J1695" s="176"/>
      <c r="K1695" s="176"/>
      <c r="L1695" s="176"/>
      <c r="M1695" s="176"/>
      <c r="N1695" s="176"/>
      <c r="O1695" s="176"/>
      <c r="P1695" s="176"/>
      <c r="Q1695" s="176"/>
      <c r="R1695" s="176"/>
      <c r="S1695" s="176"/>
      <c r="T1695" s="176"/>
      <c r="U1695" s="176"/>
      <c r="V1695" s="176"/>
      <c r="W1695" s="176"/>
      <c r="X1695" s="176"/>
      <c r="Y1695" s="176"/>
    </row>
    <row r="1696" spans="1:25">
      <c r="A1696" s="91"/>
      <c r="B1696" s="176"/>
      <c r="C1696" s="176"/>
      <c r="D1696" s="176"/>
      <c r="E1696" s="176"/>
      <c r="F1696" s="176"/>
      <c r="G1696" s="176"/>
      <c r="H1696" s="176"/>
      <c r="I1696" s="176"/>
      <c r="J1696" s="176"/>
      <c r="K1696" s="176"/>
      <c r="L1696" s="176"/>
      <c r="M1696" s="176"/>
      <c r="N1696" s="176"/>
      <c r="O1696" s="176"/>
      <c r="P1696" s="176"/>
      <c r="Q1696" s="176"/>
      <c r="R1696" s="176"/>
      <c r="S1696" s="176"/>
      <c r="T1696" s="176"/>
      <c r="U1696" s="176"/>
      <c r="V1696" s="176"/>
      <c r="W1696" s="176"/>
      <c r="X1696" s="176"/>
      <c r="Y1696" s="176"/>
    </row>
    <row r="1697" spans="1:25">
      <c r="A1697" s="91"/>
      <c r="B1697" s="176"/>
      <c r="C1697" s="176"/>
      <c r="D1697" s="176"/>
      <c r="E1697" s="176"/>
      <c r="F1697" s="176"/>
      <c r="G1697" s="176"/>
      <c r="H1697" s="176"/>
      <c r="I1697" s="176"/>
      <c r="J1697" s="176"/>
      <c r="K1697" s="176"/>
      <c r="L1697" s="176"/>
      <c r="M1697" s="176"/>
      <c r="N1697" s="176"/>
      <c r="O1697" s="176"/>
      <c r="P1697" s="176"/>
      <c r="Q1697" s="176"/>
      <c r="R1697" s="176"/>
      <c r="S1697" s="176"/>
      <c r="T1697" s="176"/>
      <c r="U1697" s="176"/>
      <c r="V1697" s="176"/>
      <c r="W1697" s="176"/>
      <c r="X1697" s="176"/>
      <c r="Y1697" s="176"/>
    </row>
    <row r="1698" spans="1:25">
      <c r="A1698" s="91"/>
      <c r="B1698" s="176"/>
      <c r="C1698" s="176"/>
      <c r="D1698" s="176"/>
      <c r="E1698" s="176"/>
      <c r="F1698" s="176"/>
      <c r="G1698" s="176"/>
      <c r="H1698" s="176"/>
      <c r="I1698" s="176"/>
      <c r="J1698" s="176"/>
      <c r="K1698" s="176"/>
      <c r="L1698" s="176"/>
      <c r="M1698" s="176"/>
      <c r="N1698" s="176"/>
      <c r="O1698" s="176"/>
      <c r="P1698" s="176"/>
      <c r="Q1698" s="176"/>
      <c r="R1698" s="176"/>
      <c r="S1698" s="176"/>
      <c r="T1698" s="176"/>
      <c r="U1698" s="176"/>
      <c r="V1698" s="176"/>
      <c r="W1698" s="176"/>
      <c r="X1698" s="176"/>
      <c r="Y1698" s="176"/>
    </row>
    <row r="1699" spans="1:25">
      <c r="A1699" s="91"/>
      <c r="B1699" s="176"/>
      <c r="C1699" s="176"/>
      <c r="D1699" s="176"/>
      <c r="E1699" s="176"/>
      <c r="F1699" s="176"/>
      <c r="G1699" s="176"/>
      <c r="H1699" s="176"/>
      <c r="I1699" s="176"/>
      <c r="J1699" s="176"/>
      <c r="K1699" s="176"/>
      <c r="L1699" s="176"/>
      <c r="M1699" s="176"/>
      <c r="N1699" s="176"/>
      <c r="O1699" s="176"/>
      <c r="P1699" s="176"/>
      <c r="Q1699" s="176"/>
      <c r="R1699" s="176"/>
      <c r="S1699" s="176"/>
      <c r="T1699" s="176"/>
      <c r="U1699" s="176"/>
      <c r="V1699" s="176"/>
      <c r="W1699" s="176"/>
      <c r="X1699" s="176"/>
      <c r="Y1699" s="176"/>
    </row>
    <row r="1700" spans="1:25">
      <c r="A1700" s="91"/>
      <c r="B1700" s="176"/>
      <c r="C1700" s="176"/>
      <c r="D1700" s="176"/>
      <c r="E1700" s="176"/>
      <c r="F1700" s="176"/>
      <c r="G1700" s="176"/>
      <c r="H1700" s="176"/>
      <c r="I1700" s="176"/>
      <c r="J1700" s="176"/>
      <c r="K1700" s="176"/>
      <c r="L1700" s="176"/>
      <c r="M1700" s="176"/>
      <c r="N1700" s="176"/>
      <c r="O1700" s="176"/>
      <c r="P1700" s="176"/>
      <c r="Q1700" s="176"/>
      <c r="R1700" s="176"/>
      <c r="S1700" s="176"/>
      <c r="T1700" s="176"/>
      <c r="U1700" s="176"/>
      <c r="V1700" s="176"/>
      <c r="W1700" s="176"/>
      <c r="X1700" s="176"/>
      <c r="Y1700" s="176"/>
    </row>
    <row r="1701" spans="1:25">
      <c r="A1701" s="91"/>
      <c r="B1701" s="176"/>
      <c r="C1701" s="176"/>
      <c r="D1701" s="176"/>
      <c r="E1701" s="176"/>
      <c r="F1701" s="176"/>
      <c r="G1701" s="176"/>
      <c r="H1701" s="176"/>
      <c r="I1701" s="176"/>
      <c r="J1701" s="176"/>
      <c r="K1701" s="176"/>
      <c r="L1701" s="176"/>
      <c r="M1701" s="176"/>
      <c r="N1701" s="176"/>
      <c r="O1701" s="176"/>
      <c r="P1701" s="176"/>
      <c r="Q1701" s="176"/>
      <c r="R1701" s="176"/>
      <c r="S1701" s="176"/>
      <c r="T1701" s="176"/>
      <c r="U1701" s="176"/>
      <c r="V1701" s="176"/>
      <c r="W1701" s="176"/>
      <c r="X1701" s="176"/>
      <c r="Y1701" s="176"/>
    </row>
    <row r="1702" spans="1:25">
      <c r="A1702" s="91"/>
      <c r="B1702" s="176"/>
      <c r="C1702" s="176"/>
      <c r="D1702" s="176"/>
      <c r="E1702" s="176"/>
      <c r="F1702" s="176"/>
      <c r="G1702" s="176"/>
      <c r="H1702" s="176"/>
      <c r="I1702" s="176"/>
      <c r="J1702" s="176"/>
      <c r="K1702" s="176"/>
      <c r="L1702" s="176"/>
      <c r="M1702" s="176"/>
      <c r="N1702" s="176"/>
      <c r="O1702" s="176"/>
      <c r="P1702" s="176"/>
      <c r="Q1702" s="176"/>
      <c r="R1702" s="176"/>
      <c r="S1702" s="176"/>
      <c r="T1702" s="176"/>
      <c r="U1702" s="176"/>
      <c r="V1702" s="176"/>
      <c r="W1702" s="176"/>
      <c r="X1702" s="176"/>
      <c r="Y1702" s="176"/>
    </row>
    <row r="1703" spans="1:25">
      <c r="A1703" s="91"/>
      <c r="B1703" s="176"/>
      <c r="C1703" s="176"/>
      <c r="D1703" s="176"/>
      <c r="E1703" s="176"/>
      <c r="F1703" s="176"/>
      <c r="G1703" s="176"/>
      <c r="H1703" s="176"/>
      <c r="I1703" s="176"/>
      <c r="J1703" s="176"/>
      <c r="K1703" s="176"/>
      <c r="L1703" s="176"/>
      <c r="M1703" s="176"/>
      <c r="N1703" s="176"/>
      <c r="O1703" s="176"/>
      <c r="P1703" s="176"/>
      <c r="Q1703" s="176"/>
      <c r="R1703" s="176"/>
      <c r="S1703" s="176"/>
      <c r="T1703" s="176"/>
      <c r="U1703" s="176"/>
      <c r="V1703" s="176"/>
      <c r="W1703" s="176"/>
      <c r="X1703" s="176"/>
      <c r="Y1703" s="176"/>
    </row>
    <row r="1704" spans="1:25">
      <c r="A1704" s="91"/>
      <c r="B1704" s="176"/>
      <c r="C1704" s="176"/>
      <c r="D1704" s="176"/>
      <c r="E1704" s="176"/>
      <c r="F1704" s="176"/>
      <c r="G1704" s="176"/>
      <c r="H1704" s="176"/>
      <c r="I1704" s="176"/>
      <c r="J1704" s="176"/>
      <c r="K1704" s="176"/>
      <c r="L1704" s="176"/>
      <c r="M1704" s="176"/>
      <c r="N1704" s="176"/>
      <c r="O1704" s="176"/>
      <c r="P1704" s="176"/>
      <c r="Q1704" s="176"/>
      <c r="R1704" s="176"/>
      <c r="S1704" s="176"/>
      <c r="T1704" s="176"/>
      <c r="U1704" s="176"/>
      <c r="V1704" s="176"/>
      <c r="W1704" s="176"/>
      <c r="X1704" s="176"/>
      <c r="Y1704" s="176"/>
    </row>
    <row r="1705" spans="1:25">
      <c r="A1705" s="91"/>
      <c r="B1705" s="176"/>
      <c r="C1705" s="176"/>
      <c r="D1705" s="176"/>
      <c r="E1705" s="176"/>
      <c r="F1705" s="176"/>
      <c r="G1705" s="176"/>
      <c r="H1705" s="176"/>
      <c r="I1705" s="176"/>
      <c r="J1705" s="176"/>
      <c r="K1705" s="176"/>
      <c r="L1705" s="176"/>
      <c r="M1705" s="176"/>
      <c r="N1705" s="176"/>
      <c r="O1705" s="176"/>
      <c r="P1705" s="176"/>
      <c r="Q1705" s="176"/>
      <c r="R1705" s="176"/>
      <c r="S1705" s="176"/>
      <c r="T1705" s="176"/>
      <c r="U1705" s="176"/>
      <c r="V1705" s="176"/>
      <c r="W1705" s="176"/>
      <c r="X1705" s="176"/>
      <c r="Y1705" s="176"/>
    </row>
    <row r="1706" spans="1:25">
      <c r="A1706" s="91"/>
      <c r="B1706" s="176"/>
      <c r="C1706" s="176"/>
      <c r="D1706" s="176"/>
      <c r="E1706" s="176"/>
      <c r="F1706" s="176"/>
      <c r="G1706" s="176"/>
      <c r="H1706" s="176"/>
      <c r="I1706" s="176"/>
      <c r="J1706" s="176"/>
      <c r="K1706" s="176"/>
      <c r="L1706" s="176"/>
      <c r="M1706" s="176"/>
      <c r="N1706" s="176"/>
      <c r="O1706" s="176"/>
      <c r="P1706" s="176"/>
      <c r="Q1706" s="176"/>
      <c r="R1706" s="176"/>
      <c r="S1706" s="176"/>
      <c r="T1706" s="176"/>
      <c r="U1706" s="176"/>
      <c r="V1706" s="176"/>
      <c r="W1706" s="176"/>
      <c r="X1706" s="176"/>
      <c r="Y1706" s="176"/>
    </row>
    <row r="1707" spans="1:25">
      <c r="A1707" s="91"/>
      <c r="B1707" s="176"/>
      <c r="C1707" s="176"/>
      <c r="D1707" s="176"/>
      <c r="E1707" s="176"/>
      <c r="F1707" s="176"/>
      <c r="G1707" s="176"/>
      <c r="H1707" s="176"/>
      <c r="I1707" s="176"/>
      <c r="J1707" s="176"/>
      <c r="K1707" s="176"/>
      <c r="L1707" s="176"/>
      <c r="M1707" s="176"/>
      <c r="N1707" s="176"/>
      <c r="O1707" s="176"/>
      <c r="P1707" s="176"/>
      <c r="Q1707" s="176"/>
      <c r="R1707" s="176"/>
      <c r="S1707" s="176"/>
      <c r="T1707" s="176"/>
      <c r="U1707" s="176"/>
      <c r="V1707" s="176"/>
      <c r="W1707" s="176"/>
      <c r="X1707" s="176"/>
      <c r="Y1707" s="176"/>
    </row>
    <row r="1708" spans="1:25">
      <c r="A1708" s="91"/>
      <c r="B1708" s="176"/>
      <c r="C1708" s="176"/>
      <c r="D1708" s="176"/>
      <c r="E1708" s="176"/>
      <c r="F1708" s="176"/>
      <c r="G1708" s="176"/>
      <c r="H1708" s="176"/>
      <c r="I1708" s="176"/>
      <c r="J1708" s="176"/>
      <c r="K1708" s="176"/>
      <c r="L1708" s="176"/>
      <c r="M1708" s="176"/>
      <c r="N1708" s="176"/>
      <c r="O1708" s="176"/>
      <c r="P1708" s="176"/>
      <c r="Q1708" s="176"/>
      <c r="R1708" s="176"/>
      <c r="S1708" s="176"/>
      <c r="T1708" s="176"/>
      <c r="U1708" s="176"/>
      <c r="V1708" s="176"/>
      <c r="W1708" s="176"/>
      <c r="X1708" s="176"/>
      <c r="Y1708" s="176"/>
    </row>
    <row r="1709" spans="1:25">
      <c r="A1709" s="91"/>
      <c r="B1709" s="176"/>
      <c r="C1709" s="176"/>
      <c r="D1709" s="176"/>
      <c r="E1709" s="176"/>
      <c r="F1709" s="176"/>
      <c r="G1709" s="176"/>
      <c r="H1709" s="176"/>
      <c r="I1709" s="176"/>
      <c r="J1709" s="176"/>
      <c r="K1709" s="176"/>
      <c r="L1709" s="176"/>
      <c r="M1709" s="176"/>
      <c r="N1709" s="176"/>
      <c r="O1709" s="176"/>
      <c r="P1709" s="176"/>
      <c r="Q1709" s="176"/>
      <c r="R1709" s="176"/>
      <c r="S1709" s="176"/>
      <c r="T1709" s="176"/>
      <c r="U1709" s="176"/>
      <c r="V1709" s="176"/>
      <c r="W1709" s="176"/>
      <c r="X1709" s="176"/>
      <c r="Y1709" s="176"/>
    </row>
    <row r="1710" spans="1:25">
      <c r="A1710" s="91"/>
      <c r="B1710" s="176"/>
      <c r="C1710" s="176"/>
      <c r="D1710" s="176"/>
      <c r="E1710" s="176"/>
      <c r="F1710" s="176"/>
      <c r="G1710" s="176"/>
      <c r="H1710" s="176"/>
      <c r="I1710" s="176"/>
      <c r="J1710" s="176"/>
      <c r="K1710" s="176"/>
      <c r="L1710" s="176"/>
      <c r="M1710" s="176"/>
      <c r="N1710" s="176"/>
      <c r="O1710" s="176"/>
      <c r="P1710" s="176"/>
      <c r="Q1710" s="176"/>
      <c r="R1710" s="176"/>
      <c r="S1710" s="176"/>
      <c r="T1710" s="176"/>
      <c r="U1710" s="176"/>
      <c r="V1710" s="176"/>
      <c r="W1710" s="176"/>
      <c r="X1710" s="176"/>
      <c r="Y1710" s="176"/>
    </row>
    <row r="1711" spans="1:25">
      <c r="A1711" s="91"/>
      <c r="B1711" s="176"/>
      <c r="C1711" s="176"/>
      <c r="D1711" s="176"/>
      <c r="E1711" s="176"/>
      <c r="F1711" s="176"/>
      <c r="G1711" s="176"/>
      <c r="H1711" s="176"/>
      <c r="I1711" s="176"/>
      <c r="J1711" s="176"/>
      <c r="K1711" s="176"/>
      <c r="L1711" s="176"/>
      <c r="M1711" s="176"/>
      <c r="N1711" s="176"/>
      <c r="O1711" s="176"/>
      <c r="P1711" s="176"/>
      <c r="Q1711" s="176"/>
      <c r="R1711" s="176"/>
      <c r="S1711" s="176"/>
      <c r="T1711" s="176"/>
      <c r="U1711" s="176"/>
      <c r="V1711" s="176"/>
      <c r="W1711" s="176"/>
      <c r="X1711" s="176"/>
      <c r="Y1711" s="176"/>
    </row>
    <row r="1712" spans="1:25">
      <c r="A1712" s="91"/>
      <c r="B1712" s="176"/>
      <c r="C1712" s="176"/>
      <c r="D1712" s="176"/>
      <c r="E1712" s="176"/>
      <c r="F1712" s="176"/>
      <c r="G1712" s="176"/>
      <c r="H1712" s="176"/>
      <c r="I1712" s="176"/>
      <c r="J1712" s="176"/>
      <c r="K1712" s="176"/>
      <c r="L1712" s="176"/>
      <c r="M1712" s="176"/>
      <c r="N1712" s="176"/>
      <c r="O1712" s="176"/>
      <c r="P1712" s="176"/>
      <c r="Q1712" s="176"/>
      <c r="R1712" s="176"/>
      <c r="S1712" s="176"/>
      <c r="T1712" s="176"/>
      <c r="U1712" s="176"/>
      <c r="V1712" s="176"/>
      <c r="W1712" s="176"/>
      <c r="X1712" s="176"/>
      <c r="Y1712" s="176"/>
    </row>
    <row r="1713" spans="1:25">
      <c r="A1713" s="91"/>
      <c r="B1713" s="176"/>
      <c r="C1713" s="176"/>
      <c r="D1713" s="176"/>
      <c r="E1713" s="176"/>
      <c r="F1713" s="176"/>
      <c r="G1713" s="176"/>
      <c r="H1713" s="176"/>
      <c r="I1713" s="176"/>
      <c r="J1713" s="176"/>
      <c r="K1713" s="176"/>
      <c r="L1713" s="176"/>
      <c r="M1713" s="176"/>
      <c r="N1713" s="176"/>
      <c r="O1713" s="176"/>
      <c r="P1713" s="176"/>
      <c r="Q1713" s="176"/>
      <c r="R1713" s="176"/>
      <c r="S1713" s="176"/>
      <c r="T1713" s="176"/>
      <c r="U1713" s="176"/>
      <c r="V1713" s="176"/>
      <c r="W1713" s="176"/>
      <c r="X1713" s="176"/>
      <c r="Y1713" s="176"/>
    </row>
    <row r="1714" spans="1:25">
      <c r="A1714" s="91"/>
      <c r="B1714" s="176"/>
      <c r="C1714" s="176"/>
      <c r="D1714" s="176"/>
      <c r="E1714" s="176"/>
      <c r="F1714" s="176"/>
      <c r="G1714" s="176"/>
      <c r="H1714" s="176"/>
      <c r="I1714" s="176"/>
      <c r="J1714" s="176"/>
      <c r="K1714" s="176"/>
      <c r="L1714" s="176"/>
      <c r="M1714" s="176"/>
      <c r="N1714" s="176"/>
      <c r="O1714" s="176"/>
      <c r="P1714" s="176"/>
      <c r="Q1714" s="176"/>
      <c r="R1714" s="176"/>
      <c r="S1714" s="176"/>
      <c r="T1714" s="176"/>
      <c r="U1714" s="176"/>
      <c r="V1714" s="176"/>
      <c r="W1714" s="176"/>
      <c r="X1714" s="176"/>
      <c r="Y1714" s="176"/>
    </row>
    <row r="1715" spans="1:25">
      <c r="A1715" s="91"/>
      <c r="B1715" s="176"/>
      <c r="C1715" s="176"/>
      <c r="D1715" s="176"/>
      <c r="E1715" s="176"/>
      <c r="F1715" s="176"/>
      <c r="G1715" s="176"/>
      <c r="H1715" s="176"/>
      <c r="I1715" s="176"/>
      <c r="J1715" s="176"/>
      <c r="K1715" s="176"/>
      <c r="L1715" s="176"/>
      <c r="M1715" s="176"/>
      <c r="N1715" s="176"/>
      <c r="O1715" s="176"/>
      <c r="P1715" s="176"/>
      <c r="Q1715" s="176"/>
      <c r="R1715" s="176"/>
      <c r="S1715" s="176"/>
      <c r="T1715" s="176"/>
      <c r="U1715" s="176"/>
      <c r="V1715" s="176"/>
      <c r="W1715" s="176"/>
      <c r="X1715" s="176"/>
      <c r="Y1715" s="176"/>
    </row>
    <row r="1716" spans="1:25">
      <c r="A1716" s="91"/>
      <c r="B1716" s="176"/>
      <c r="C1716" s="176"/>
      <c r="D1716" s="176"/>
      <c r="E1716" s="176"/>
      <c r="F1716" s="176"/>
      <c r="G1716" s="176"/>
      <c r="H1716" s="176"/>
      <c r="I1716" s="176"/>
      <c r="J1716" s="176"/>
      <c r="K1716" s="176"/>
      <c r="L1716" s="176"/>
      <c r="M1716" s="176"/>
      <c r="N1716" s="176"/>
      <c r="O1716" s="176"/>
      <c r="P1716" s="176"/>
      <c r="Q1716" s="176"/>
      <c r="R1716" s="176"/>
      <c r="S1716" s="176"/>
      <c r="T1716" s="176"/>
      <c r="U1716" s="176"/>
      <c r="V1716" s="176"/>
      <c r="W1716" s="176"/>
      <c r="X1716" s="176"/>
      <c r="Y1716" s="176"/>
    </row>
    <row r="1717" spans="1:25">
      <c r="A1717" s="91"/>
      <c r="B1717" s="176"/>
      <c r="C1717" s="176"/>
      <c r="D1717" s="176"/>
      <c r="E1717" s="176"/>
      <c r="F1717" s="176"/>
      <c r="G1717" s="176"/>
      <c r="H1717" s="176"/>
      <c r="I1717" s="176"/>
      <c r="J1717" s="176"/>
      <c r="K1717" s="176"/>
      <c r="L1717" s="176"/>
      <c r="M1717" s="176"/>
      <c r="N1717" s="176"/>
      <c r="O1717" s="176"/>
      <c r="P1717" s="176"/>
      <c r="Q1717" s="176"/>
      <c r="R1717" s="176"/>
      <c r="S1717" s="176"/>
      <c r="T1717" s="176"/>
      <c r="U1717" s="176"/>
      <c r="V1717" s="176"/>
      <c r="W1717" s="176"/>
      <c r="X1717" s="176"/>
      <c r="Y1717" s="176"/>
    </row>
    <row r="1718" spans="1:25">
      <c r="A1718" s="91"/>
      <c r="B1718" s="176"/>
      <c r="C1718" s="176"/>
      <c r="D1718" s="176"/>
      <c r="E1718" s="176"/>
      <c r="F1718" s="176"/>
      <c r="G1718" s="176"/>
      <c r="H1718" s="176"/>
      <c r="I1718" s="176"/>
      <c r="J1718" s="176"/>
      <c r="K1718" s="176"/>
      <c r="L1718" s="176"/>
      <c r="M1718" s="176"/>
      <c r="N1718" s="176"/>
      <c r="O1718" s="176"/>
      <c r="P1718" s="176"/>
      <c r="Q1718" s="176"/>
      <c r="R1718" s="176"/>
      <c r="S1718" s="176"/>
      <c r="T1718" s="176"/>
      <c r="U1718" s="176"/>
      <c r="V1718" s="176"/>
      <c r="W1718" s="176"/>
      <c r="X1718" s="176"/>
      <c r="Y1718" s="176"/>
    </row>
    <row r="1719" spans="1:25">
      <c r="A1719" s="91"/>
      <c r="B1719" s="176"/>
      <c r="C1719" s="176"/>
      <c r="D1719" s="176"/>
      <c r="E1719" s="176"/>
      <c r="F1719" s="176"/>
      <c r="G1719" s="176"/>
      <c r="H1719" s="176"/>
      <c r="I1719" s="176"/>
      <c r="J1719" s="176"/>
      <c r="K1719" s="176"/>
      <c r="L1719" s="176"/>
      <c r="M1719" s="176"/>
      <c r="N1719" s="176"/>
      <c r="O1719" s="176"/>
      <c r="P1719" s="176"/>
      <c r="Q1719" s="176"/>
      <c r="R1719" s="176"/>
      <c r="S1719" s="176"/>
      <c r="T1719" s="176"/>
      <c r="U1719" s="176"/>
      <c r="V1719" s="176"/>
      <c r="W1719" s="176"/>
      <c r="X1719" s="176"/>
      <c r="Y1719" s="176"/>
    </row>
    <row r="1720" spans="1:25">
      <c r="A1720" s="91"/>
      <c r="B1720" s="176"/>
      <c r="C1720" s="176"/>
      <c r="D1720" s="176"/>
      <c r="E1720" s="176"/>
      <c r="F1720" s="176"/>
      <c r="G1720" s="176"/>
      <c r="H1720" s="176"/>
      <c r="I1720" s="176"/>
      <c r="J1720" s="176"/>
      <c r="K1720" s="176"/>
      <c r="L1720" s="176"/>
      <c r="M1720" s="176"/>
      <c r="N1720" s="176"/>
      <c r="O1720" s="176"/>
      <c r="P1720" s="176"/>
      <c r="Q1720" s="176"/>
      <c r="R1720" s="176"/>
      <c r="S1720" s="176"/>
      <c r="T1720" s="176"/>
      <c r="U1720" s="176"/>
      <c r="V1720" s="176"/>
      <c r="W1720" s="176"/>
      <c r="X1720" s="176"/>
      <c r="Y1720" s="176"/>
    </row>
    <row r="1721" spans="1:25">
      <c r="A1721" s="91"/>
      <c r="B1721" s="176"/>
      <c r="C1721" s="176"/>
      <c r="D1721" s="176"/>
      <c r="E1721" s="176"/>
      <c r="F1721" s="176"/>
      <c r="G1721" s="176"/>
      <c r="H1721" s="176"/>
      <c r="I1721" s="176"/>
      <c r="J1721" s="176"/>
      <c r="K1721" s="176"/>
      <c r="L1721" s="176"/>
      <c r="M1721" s="176"/>
      <c r="N1721" s="176"/>
      <c r="O1721" s="176"/>
      <c r="P1721" s="176"/>
      <c r="Q1721" s="176"/>
      <c r="R1721" s="176"/>
      <c r="S1721" s="176"/>
      <c r="T1721" s="176"/>
      <c r="U1721" s="176"/>
      <c r="V1721" s="176"/>
      <c r="W1721" s="176"/>
      <c r="X1721" s="176"/>
      <c r="Y1721" s="176"/>
    </row>
    <row r="1722" spans="1:25">
      <c r="A1722" s="91"/>
      <c r="B1722" s="176"/>
      <c r="C1722" s="176"/>
      <c r="D1722" s="176"/>
      <c r="E1722" s="176"/>
      <c r="F1722" s="176"/>
      <c r="G1722" s="176"/>
      <c r="H1722" s="176"/>
      <c r="I1722" s="176"/>
      <c r="J1722" s="176"/>
      <c r="K1722" s="176"/>
      <c r="L1722" s="176"/>
      <c r="M1722" s="176"/>
      <c r="N1722" s="176"/>
      <c r="O1722" s="176"/>
      <c r="P1722" s="176"/>
      <c r="Q1722" s="176"/>
      <c r="R1722" s="176"/>
      <c r="S1722" s="176"/>
      <c r="T1722" s="176"/>
      <c r="U1722" s="176"/>
      <c r="V1722" s="176"/>
      <c r="W1722" s="176"/>
      <c r="X1722" s="176"/>
      <c r="Y1722" s="176"/>
    </row>
    <row r="1723" spans="1:25">
      <c r="A1723" s="91"/>
      <c r="B1723" s="176"/>
      <c r="C1723" s="176"/>
      <c r="D1723" s="176"/>
      <c r="E1723" s="176"/>
      <c r="F1723" s="176"/>
      <c r="G1723" s="176"/>
      <c r="H1723" s="176"/>
      <c r="I1723" s="176"/>
      <c r="J1723" s="176"/>
      <c r="K1723" s="176"/>
      <c r="L1723" s="176"/>
      <c r="M1723" s="176"/>
      <c r="N1723" s="176"/>
      <c r="O1723" s="176"/>
      <c r="P1723" s="176"/>
      <c r="Q1723" s="176"/>
      <c r="R1723" s="176"/>
      <c r="S1723" s="176"/>
      <c r="T1723" s="176"/>
      <c r="U1723" s="176"/>
      <c r="V1723" s="176"/>
      <c r="W1723" s="176"/>
      <c r="X1723" s="176"/>
      <c r="Y1723" s="176"/>
    </row>
    <row r="1724" spans="1:25">
      <c r="A1724" s="91"/>
      <c r="B1724" s="176"/>
      <c r="C1724" s="176"/>
      <c r="D1724" s="176"/>
      <c r="E1724" s="176"/>
      <c r="F1724" s="176"/>
      <c r="G1724" s="176"/>
      <c r="H1724" s="176"/>
      <c r="I1724" s="176"/>
      <c r="J1724" s="176"/>
      <c r="K1724" s="176"/>
      <c r="L1724" s="176"/>
      <c r="M1724" s="176"/>
      <c r="N1724" s="176"/>
      <c r="O1724" s="176"/>
      <c r="P1724" s="176"/>
      <c r="Q1724" s="176"/>
      <c r="R1724" s="176"/>
      <c r="S1724" s="176"/>
      <c r="T1724" s="176"/>
      <c r="U1724" s="176"/>
      <c r="V1724" s="176"/>
      <c r="W1724" s="176"/>
      <c r="X1724" s="176"/>
      <c r="Y1724" s="176"/>
    </row>
    <row r="1725" spans="1:25">
      <c r="A1725" s="91"/>
      <c r="B1725" s="176"/>
      <c r="C1725" s="176"/>
      <c r="D1725" s="176"/>
      <c r="E1725" s="176"/>
      <c r="F1725" s="176"/>
      <c r="G1725" s="176"/>
      <c r="H1725" s="176"/>
      <c r="I1725" s="176"/>
      <c r="J1725" s="176"/>
      <c r="K1725" s="176"/>
      <c r="L1725" s="176"/>
      <c r="M1725" s="176"/>
      <c r="N1725" s="176"/>
      <c r="O1725" s="176"/>
      <c r="P1725" s="176"/>
      <c r="Q1725" s="176"/>
      <c r="R1725" s="176"/>
      <c r="S1725" s="176"/>
      <c r="T1725" s="176"/>
      <c r="U1725" s="176"/>
      <c r="V1725" s="176"/>
      <c r="W1725" s="176"/>
      <c r="X1725" s="176"/>
      <c r="Y1725" s="176"/>
    </row>
    <row r="1726" spans="1:25">
      <c r="A1726" s="91"/>
      <c r="B1726" s="176"/>
      <c r="C1726" s="176"/>
      <c r="D1726" s="176"/>
      <c r="E1726" s="176"/>
      <c r="F1726" s="176"/>
      <c r="G1726" s="176"/>
      <c r="H1726" s="176"/>
      <c r="I1726" s="176"/>
      <c r="J1726" s="176"/>
      <c r="K1726" s="176"/>
      <c r="L1726" s="176"/>
      <c r="M1726" s="176"/>
      <c r="N1726" s="176"/>
      <c r="O1726" s="176"/>
      <c r="P1726" s="176"/>
      <c r="Q1726" s="176"/>
      <c r="R1726" s="176"/>
      <c r="S1726" s="176"/>
      <c r="T1726" s="176"/>
      <c r="U1726" s="176"/>
      <c r="V1726" s="176"/>
      <c r="W1726" s="176"/>
      <c r="X1726" s="176"/>
      <c r="Y1726" s="176"/>
    </row>
    <row r="1727" spans="1:25">
      <c r="A1727" s="91"/>
      <c r="B1727" s="176"/>
      <c r="C1727" s="176"/>
      <c r="D1727" s="176"/>
      <c r="E1727" s="176"/>
      <c r="F1727" s="176"/>
      <c r="G1727" s="176"/>
      <c r="H1727" s="176"/>
      <c r="I1727" s="176"/>
      <c r="J1727" s="176"/>
      <c r="K1727" s="176"/>
      <c r="L1727" s="176"/>
      <c r="M1727" s="176"/>
      <c r="N1727" s="176"/>
      <c r="O1727" s="176"/>
      <c r="P1727" s="176"/>
      <c r="Q1727" s="176"/>
      <c r="R1727" s="176"/>
      <c r="S1727" s="176"/>
      <c r="T1727" s="176"/>
      <c r="U1727" s="176"/>
      <c r="V1727" s="176"/>
      <c r="W1727" s="176"/>
      <c r="X1727" s="176"/>
      <c r="Y1727" s="176"/>
    </row>
    <row r="1728" spans="1:25">
      <c r="A1728" s="91"/>
      <c r="B1728" s="176"/>
      <c r="C1728" s="176"/>
      <c r="D1728" s="176"/>
      <c r="E1728" s="176"/>
      <c r="F1728" s="176"/>
      <c r="G1728" s="176"/>
      <c r="H1728" s="176"/>
      <c r="I1728" s="176"/>
      <c r="J1728" s="176"/>
      <c r="K1728" s="176"/>
      <c r="L1728" s="176"/>
      <c r="M1728" s="176"/>
      <c r="N1728" s="176"/>
      <c r="O1728" s="176"/>
      <c r="P1728" s="176"/>
      <c r="Q1728" s="176"/>
      <c r="R1728" s="176"/>
      <c r="S1728" s="176"/>
      <c r="T1728" s="176"/>
      <c r="U1728" s="176"/>
      <c r="V1728" s="176"/>
      <c r="W1728" s="176"/>
      <c r="X1728" s="176"/>
      <c r="Y1728" s="176"/>
    </row>
    <row r="1729" spans="1:25">
      <c r="A1729" s="91"/>
      <c r="B1729" s="176"/>
      <c r="C1729" s="176"/>
      <c r="D1729" s="176"/>
      <c r="E1729" s="176"/>
      <c r="F1729" s="176"/>
      <c r="G1729" s="176"/>
      <c r="H1729" s="176"/>
      <c r="I1729" s="176"/>
      <c r="J1729" s="176"/>
      <c r="K1729" s="176"/>
      <c r="L1729" s="176"/>
      <c r="M1729" s="176"/>
      <c r="N1729" s="176"/>
      <c r="O1729" s="176"/>
      <c r="P1729" s="176"/>
      <c r="Q1729" s="176"/>
      <c r="R1729" s="176"/>
      <c r="S1729" s="176"/>
      <c r="T1729" s="176"/>
      <c r="U1729" s="176"/>
      <c r="V1729" s="176"/>
      <c r="W1729" s="176"/>
      <c r="X1729" s="176"/>
      <c r="Y1729" s="176"/>
    </row>
    <row r="1730" spans="1:25">
      <c r="A1730" s="91"/>
      <c r="B1730" s="176"/>
      <c r="C1730" s="176"/>
      <c r="D1730" s="176"/>
      <c r="E1730" s="176"/>
      <c r="F1730" s="176"/>
      <c r="G1730" s="176"/>
      <c r="H1730" s="176"/>
      <c r="I1730" s="176"/>
      <c r="J1730" s="176"/>
      <c r="K1730" s="176"/>
      <c r="L1730" s="176"/>
      <c r="M1730" s="176"/>
      <c r="N1730" s="176"/>
      <c r="O1730" s="176"/>
      <c r="P1730" s="176"/>
      <c r="Q1730" s="176"/>
      <c r="R1730" s="176"/>
      <c r="S1730" s="176"/>
      <c r="T1730" s="176"/>
      <c r="U1730" s="176"/>
      <c r="V1730" s="176"/>
      <c r="W1730" s="176"/>
      <c r="X1730" s="176"/>
      <c r="Y1730" s="176"/>
    </row>
    <row r="1731" spans="1:25">
      <c r="A1731" s="91"/>
      <c r="B1731" s="176"/>
      <c r="C1731" s="176"/>
      <c r="D1731" s="176"/>
      <c r="E1731" s="176"/>
      <c r="F1731" s="176"/>
      <c r="G1731" s="176"/>
      <c r="H1731" s="176"/>
      <c r="I1731" s="176"/>
      <c r="J1731" s="176"/>
      <c r="K1731" s="176"/>
      <c r="L1731" s="176"/>
      <c r="M1731" s="176"/>
      <c r="N1731" s="176"/>
      <c r="O1731" s="176"/>
      <c r="P1731" s="176"/>
      <c r="Q1731" s="176"/>
      <c r="R1731" s="176"/>
      <c r="S1731" s="176"/>
      <c r="T1731" s="176"/>
      <c r="U1731" s="176"/>
      <c r="V1731" s="176"/>
      <c r="W1731" s="176"/>
      <c r="X1731" s="176"/>
      <c r="Y1731" s="176"/>
    </row>
    <row r="1732" spans="1:25">
      <c r="A1732" s="91"/>
      <c r="B1732" s="176"/>
      <c r="C1732" s="176"/>
      <c r="D1732" s="176"/>
      <c r="E1732" s="176"/>
      <c r="F1732" s="176"/>
      <c r="G1732" s="176"/>
      <c r="H1732" s="176"/>
      <c r="I1732" s="176"/>
      <c r="J1732" s="176"/>
      <c r="K1732" s="176"/>
      <c r="L1732" s="176"/>
      <c r="M1732" s="176"/>
      <c r="N1732" s="176"/>
      <c r="O1732" s="176"/>
      <c r="P1732" s="176"/>
      <c r="Q1732" s="176"/>
      <c r="R1732" s="176"/>
      <c r="S1732" s="176"/>
      <c r="T1732" s="176"/>
      <c r="U1732" s="176"/>
      <c r="V1732" s="176"/>
      <c r="W1732" s="176"/>
      <c r="X1732" s="176"/>
      <c r="Y1732" s="176"/>
    </row>
    <row r="1733" spans="1:25">
      <c r="A1733" s="91"/>
      <c r="B1733" s="176"/>
      <c r="C1733" s="176"/>
      <c r="D1733" s="176"/>
      <c r="E1733" s="176"/>
      <c r="F1733" s="176"/>
      <c r="G1733" s="176"/>
      <c r="H1733" s="176"/>
      <c r="I1733" s="176"/>
      <c r="J1733" s="176"/>
      <c r="K1733" s="176"/>
      <c r="L1733" s="176"/>
      <c r="M1733" s="176"/>
      <c r="N1733" s="176"/>
      <c r="O1733" s="176"/>
      <c r="P1733" s="176"/>
      <c r="Q1733" s="176"/>
      <c r="R1733" s="176"/>
      <c r="S1733" s="176"/>
      <c r="T1733" s="176"/>
      <c r="U1733" s="176"/>
      <c r="V1733" s="176"/>
      <c r="W1733" s="176"/>
      <c r="X1733" s="176"/>
      <c r="Y1733" s="176"/>
    </row>
    <row r="1734" spans="1:25">
      <c r="A1734" s="91"/>
      <c r="B1734" s="176"/>
      <c r="C1734" s="176"/>
      <c r="D1734" s="176"/>
      <c r="E1734" s="176"/>
      <c r="F1734" s="176"/>
      <c r="G1734" s="176"/>
      <c r="H1734" s="176"/>
      <c r="I1734" s="176"/>
      <c r="J1734" s="176"/>
      <c r="K1734" s="176"/>
      <c r="L1734" s="176"/>
      <c r="M1734" s="176"/>
      <c r="N1734" s="176"/>
      <c r="O1734" s="176"/>
      <c r="P1734" s="176"/>
      <c r="Q1734" s="176"/>
      <c r="R1734" s="176"/>
      <c r="S1734" s="176"/>
      <c r="T1734" s="176"/>
      <c r="U1734" s="176"/>
      <c r="V1734" s="176"/>
      <c r="W1734" s="176"/>
      <c r="X1734" s="176"/>
      <c r="Y1734" s="176"/>
    </row>
    <row r="1735" spans="1:25">
      <c r="A1735" s="91"/>
      <c r="B1735" s="176"/>
      <c r="C1735" s="176"/>
      <c r="D1735" s="176"/>
      <c r="E1735" s="176"/>
      <c r="F1735" s="176"/>
      <c r="G1735" s="176"/>
      <c r="H1735" s="176"/>
      <c r="I1735" s="176"/>
      <c r="J1735" s="176"/>
      <c r="K1735" s="176"/>
      <c r="L1735" s="176"/>
      <c r="M1735" s="176"/>
      <c r="N1735" s="176"/>
      <c r="O1735" s="176"/>
      <c r="P1735" s="176"/>
      <c r="Q1735" s="176"/>
      <c r="R1735" s="176"/>
      <c r="S1735" s="176"/>
      <c r="T1735" s="176"/>
      <c r="U1735" s="176"/>
      <c r="V1735" s="176"/>
      <c r="W1735" s="176"/>
      <c r="X1735" s="176"/>
      <c r="Y1735" s="176"/>
    </row>
    <row r="1736" spans="1:25">
      <c r="A1736" s="91"/>
      <c r="B1736" s="176"/>
      <c r="C1736" s="176"/>
      <c r="D1736" s="176"/>
      <c r="E1736" s="176"/>
      <c r="F1736" s="176"/>
      <c r="G1736" s="176"/>
      <c r="H1736" s="176"/>
      <c r="I1736" s="176"/>
      <c r="J1736" s="176"/>
      <c r="K1736" s="176"/>
      <c r="L1736" s="176"/>
      <c r="M1736" s="176"/>
      <c r="N1736" s="176"/>
      <c r="O1736" s="176"/>
      <c r="P1736" s="176"/>
      <c r="Q1736" s="176"/>
      <c r="R1736" s="176"/>
      <c r="S1736" s="176"/>
      <c r="T1736" s="176"/>
      <c r="U1736" s="176"/>
      <c r="V1736" s="176"/>
      <c r="W1736" s="176"/>
      <c r="X1736" s="176"/>
      <c r="Y1736" s="176"/>
    </row>
    <row r="1737" spans="1:25">
      <c r="A1737" s="91"/>
      <c r="B1737" s="176"/>
      <c r="C1737" s="176"/>
      <c r="D1737" s="176"/>
      <c r="E1737" s="176"/>
      <c r="F1737" s="176"/>
      <c r="G1737" s="176"/>
      <c r="H1737" s="176"/>
      <c r="I1737" s="176"/>
      <c r="J1737" s="176"/>
      <c r="K1737" s="176"/>
      <c r="L1737" s="176"/>
      <c r="M1737" s="176"/>
      <c r="N1737" s="176"/>
      <c r="O1737" s="176"/>
      <c r="P1737" s="176"/>
      <c r="Q1737" s="176"/>
      <c r="R1737" s="176"/>
      <c r="S1737" s="176"/>
      <c r="T1737" s="176"/>
      <c r="U1737" s="176"/>
      <c r="V1737" s="176"/>
      <c r="W1737" s="176"/>
      <c r="X1737" s="176"/>
      <c r="Y1737" s="176"/>
    </row>
    <row r="1738" spans="1:25">
      <c r="A1738" s="91"/>
      <c r="B1738" s="176"/>
      <c r="C1738" s="176"/>
      <c r="D1738" s="176"/>
      <c r="E1738" s="176"/>
      <c r="F1738" s="176"/>
      <c r="G1738" s="176"/>
      <c r="H1738" s="176"/>
      <c r="I1738" s="176"/>
      <c r="J1738" s="176"/>
      <c r="K1738" s="176"/>
      <c r="L1738" s="176"/>
      <c r="M1738" s="176"/>
      <c r="N1738" s="176"/>
      <c r="O1738" s="176"/>
      <c r="P1738" s="176"/>
      <c r="Q1738" s="176"/>
      <c r="R1738" s="176"/>
      <c r="S1738" s="176"/>
      <c r="T1738" s="176"/>
      <c r="U1738" s="176"/>
      <c r="V1738" s="176"/>
      <c r="W1738" s="176"/>
      <c r="X1738" s="176"/>
      <c r="Y1738" s="176"/>
    </row>
    <row r="1739" spans="1:25">
      <c r="A1739" s="91"/>
      <c r="B1739" s="176"/>
      <c r="C1739" s="176"/>
      <c r="D1739" s="176"/>
      <c r="E1739" s="176"/>
      <c r="F1739" s="176"/>
      <c r="G1739" s="176"/>
      <c r="H1739" s="176"/>
      <c r="I1739" s="176"/>
      <c r="J1739" s="176"/>
      <c r="K1739" s="176"/>
      <c r="L1739" s="176"/>
      <c r="M1739" s="176"/>
      <c r="N1739" s="176"/>
      <c r="O1739" s="176"/>
      <c r="P1739" s="176"/>
      <c r="Q1739" s="176"/>
      <c r="R1739" s="176"/>
      <c r="S1739" s="176"/>
      <c r="T1739" s="176"/>
      <c r="U1739" s="176"/>
      <c r="V1739" s="176"/>
      <c r="W1739" s="176"/>
      <c r="X1739" s="176"/>
      <c r="Y1739" s="176"/>
    </row>
    <row r="1740" spans="1:25">
      <c r="A1740" s="91"/>
      <c r="B1740" s="176"/>
      <c r="C1740" s="176"/>
      <c r="D1740" s="176"/>
      <c r="E1740" s="176"/>
      <c r="F1740" s="176"/>
      <c r="G1740" s="176"/>
      <c r="H1740" s="176"/>
      <c r="I1740" s="176"/>
      <c r="J1740" s="176"/>
      <c r="K1740" s="176"/>
      <c r="L1740" s="176"/>
      <c r="M1740" s="176"/>
      <c r="N1740" s="176"/>
      <c r="O1740" s="176"/>
      <c r="P1740" s="176"/>
      <c r="Q1740" s="176"/>
      <c r="R1740" s="176"/>
      <c r="S1740" s="176"/>
      <c r="T1740" s="176"/>
      <c r="U1740" s="176"/>
      <c r="V1740" s="176"/>
      <c r="W1740" s="176"/>
      <c r="X1740" s="176"/>
      <c r="Y1740" s="176"/>
    </row>
    <row r="1741" spans="1:25">
      <c r="A1741" s="91"/>
      <c r="B1741" s="176"/>
      <c r="C1741" s="176"/>
      <c r="D1741" s="176"/>
      <c r="E1741" s="176"/>
      <c r="F1741" s="176"/>
      <c r="G1741" s="176"/>
      <c r="H1741" s="176"/>
      <c r="I1741" s="176"/>
      <c r="J1741" s="176"/>
      <c r="K1741" s="176"/>
      <c r="L1741" s="176"/>
      <c r="M1741" s="176"/>
      <c r="N1741" s="176"/>
      <c r="O1741" s="176"/>
      <c r="P1741" s="176"/>
      <c r="Q1741" s="176"/>
      <c r="R1741" s="176"/>
      <c r="S1741" s="176"/>
      <c r="T1741" s="176"/>
      <c r="U1741" s="176"/>
      <c r="V1741" s="176"/>
      <c r="W1741" s="176"/>
      <c r="X1741" s="176"/>
      <c r="Y1741" s="176"/>
    </row>
    <row r="1742" spans="1:25">
      <c r="A1742" s="91"/>
      <c r="B1742" s="176"/>
      <c r="C1742" s="176"/>
      <c r="D1742" s="176"/>
      <c r="E1742" s="176"/>
      <c r="F1742" s="176"/>
      <c r="G1742" s="176"/>
      <c r="H1742" s="176"/>
      <c r="I1742" s="176"/>
      <c r="J1742" s="176"/>
      <c r="K1742" s="176"/>
      <c r="L1742" s="176"/>
      <c r="M1742" s="176"/>
      <c r="N1742" s="176"/>
      <c r="O1742" s="176"/>
      <c r="P1742" s="176"/>
      <c r="Q1742" s="176"/>
      <c r="R1742" s="176"/>
      <c r="S1742" s="176"/>
      <c r="T1742" s="176"/>
      <c r="U1742" s="176"/>
      <c r="V1742" s="176"/>
      <c r="W1742" s="176"/>
      <c r="X1742" s="176"/>
      <c r="Y1742" s="176"/>
    </row>
    <row r="1743" spans="1:25">
      <c r="A1743" s="91"/>
      <c r="B1743" s="176"/>
      <c r="C1743" s="176"/>
      <c r="D1743" s="176"/>
      <c r="E1743" s="176"/>
      <c r="F1743" s="176"/>
      <c r="G1743" s="176"/>
      <c r="H1743" s="176"/>
      <c r="I1743" s="176"/>
      <c r="J1743" s="176"/>
      <c r="K1743" s="176"/>
      <c r="L1743" s="176"/>
      <c r="M1743" s="176"/>
      <c r="N1743" s="176"/>
      <c r="O1743" s="176"/>
      <c r="P1743" s="176"/>
      <c r="Q1743" s="176"/>
      <c r="R1743" s="176"/>
      <c r="S1743" s="176"/>
      <c r="T1743" s="176"/>
      <c r="U1743" s="176"/>
      <c r="V1743" s="176"/>
      <c r="W1743" s="176"/>
      <c r="X1743" s="176"/>
      <c r="Y1743" s="176"/>
    </row>
    <row r="1744" spans="1:25">
      <c r="A1744" s="91"/>
      <c r="B1744" s="176"/>
      <c r="C1744" s="176"/>
      <c r="D1744" s="176"/>
      <c r="E1744" s="176"/>
      <c r="F1744" s="176"/>
      <c r="G1744" s="176"/>
      <c r="H1744" s="176"/>
      <c r="I1744" s="176"/>
      <c r="J1744" s="176"/>
      <c r="K1744" s="176"/>
      <c r="L1744" s="176"/>
      <c r="M1744" s="176"/>
      <c r="N1744" s="176"/>
      <c r="O1744" s="176"/>
      <c r="P1744" s="176"/>
      <c r="Q1744" s="176"/>
      <c r="R1744" s="176"/>
      <c r="S1744" s="176"/>
      <c r="T1744" s="176"/>
      <c r="U1744" s="176"/>
      <c r="V1744" s="176"/>
      <c r="W1744" s="176"/>
      <c r="X1744" s="176"/>
      <c r="Y1744" s="176"/>
    </row>
    <row r="1745" spans="1:25">
      <c r="A1745" s="91"/>
      <c r="B1745" s="176"/>
      <c r="C1745" s="176"/>
      <c r="D1745" s="176"/>
      <c r="E1745" s="176"/>
      <c r="F1745" s="176"/>
      <c r="G1745" s="176"/>
      <c r="H1745" s="176"/>
      <c r="I1745" s="176"/>
      <c r="J1745" s="176"/>
      <c r="K1745" s="176"/>
      <c r="L1745" s="176"/>
      <c r="M1745" s="176"/>
      <c r="N1745" s="176"/>
      <c r="O1745" s="176"/>
      <c r="P1745" s="176"/>
      <c r="Q1745" s="176"/>
      <c r="R1745" s="176"/>
      <c r="S1745" s="176"/>
      <c r="T1745" s="176"/>
      <c r="U1745" s="176"/>
      <c r="V1745" s="176"/>
      <c r="W1745" s="176"/>
      <c r="X1745" s="176"/>
      <c r="Y1745" s="176"/>
    </row>
    <row r="1746" spans="1:25">
      <c r="A1746" s="91"/>
      <c r="B1746" s="176"/>
      <c r="C1746" s="176"/>
      <c r="D1746" s="176"/>
      <c r="E1746" s="176"/>
      <c r="F1746" s="176"/>
      <c r="G1746" s="176"/>
      <c r="H1746" s="176"/>
      <c r="I1746" s="176"/>
      <c r="J1746" s="176"/>
      <c r="K1746" s="176"/>
      <c r="L1746" s="176"/>
      <c r="M1746" s="176"/>
      <c r="N1746" s="176"/>
      <c r="O1746" s="176"/>
      <c r="P1746" s="176"/>
      <c r="Q1746" s="176"/>
      <c r="R1746" s="176"/>
      <c r="S1746" s="176"/>
      <c r="T1746" s="176"/>
      <c r="U1746" s="176"/>
      <c r="V1746" s="176"/>
      <c r="W1746" s="176"/>
      <c r="X1746" s="176"/>
      <c r="Y1746" s="176"/>
    </row>
    <row r="1747" spans="1:25">
      <c r="A1747" s="91"/>
      <c r="B1747" s="176"/>
      <c r="C1747" s="176"/>
      <c r="D1747" s="176"/>
      <c r="E1747" s="176"/>
      <c r="F1747" s="176"/>
      <c r="G1747" s="176"/>
      <c r="H1747" s="176"/>
      <c r="I1747" s="176"/>
      <c r="J1747" s="176"/>
      <c r="K1747" s="176"/>
      <c r="L1747" s="176"/>
      <c r="M1747" s="176"/>
      <c r="N1747" s="176"/>
      <c r="O1747" s="176"/>
      <c r="P1747" s="176"/>
      <c r="Q1747" s="176"/>
      <c r="R1747" s="176"/>
      <c r="S1747" s="176"/>
      <c r="T1747" s="176"/>
      <c r="U1747" s="176"/>
      <c r="V1747" s="176"/>
      <c r="W1747" s="176"/>
      <c r="X1747" s="176"/>
      <c r="Y1747" s="176"/>
    </row>
    <row r="1748" spans="1:25">
      <c r="A1748" s="91"/>
      <c r="B1748" s="176"/>
      <c r="C1748" s="176"/>
      <c r="D1748" s="176"/>
      <c r="E1748" s="176"/>
      <c r="F1748" s="176"/>
      <c r="G1748" s="176"/>
      <c r="H1748" s="176"/>
      <c r="I1748" s="176"/>
      <c r="J1748" s="176"/>
      <c r="K1748" s="176"/>
      <c r="L1748" s="176"/>
      <c r="M1748" s="176"/>
      <c r="N1748" s="176"/>
      <c r="O1748" s="176"/>
      <c r="P1748" s="176"/>
      <c r="Q1748" s="176"/>
      <c r="R1748" s="176"/>
      <c r="S1748" s="176"/>
      <c r="T1748" s="176"/>
      <c r="U1748" s="176"/>
      <c r="V1748" s="176"/>
      <c r="W1748" s="176"/>
      <c r="X1748" s="176"/>
      <c r="Y1748" s="176"/>
    </row>
    <row r="1749" spans="1:25">
      <c r="A1749" s="91"/>
      <c r="B1749" s="176"/>
      <c r="C1749" s="176"/>
      <c r="D1749" s="176"/>
      <c r="E1749" s="176"/>
      <c r="F1749" s="176"/>
      <c r="G1749" s="176"/>
      <c r="H1749" s="176"/>
      <c r="I1749" s="176"/>
      <c r="J1749" s="176"/>
      <c r="K1749" s="176"/>
      <c r="L1749" s="176"/>
      <c r="M1749" s="176"/>
      <c r="N1749" s="176"/>
      <c r="O1749" s="176"/>
      <c r="P1749" s="176"/>
      <c r="Q1749" s="176"/>
      <c r="R1749" s="176"/>
      <c r="S1749" s="176"/>
      <c r="T1749" s="176"/>
      <c r="U1749" s="176"/>
      <c r="V1749" s="176"/>
      <c r="W1749" s="176"/>
      <c r="X1749" s="176"/>
      <c r="Y1749" s="176"/>
    </row>
    <row r="1750" spans="1:25">
      <c r="A1750" s="91"/>
      <c r="B1750" s="176"/>
      <c r="C1750" s="176"/>
      <c r="D1750" s="176"/>
      <c r="E1750" s="176"/>
      <c r="F1750" s="176"/>
      <c r="G1750" s="176"/>
      <c r="H1750" s="176"/>
      <c r="I1750" s="176"/>
      <c r="J1750" s="176"/>
      <c r="K1750" s="176"/>
      <c r="L1750" s="176"/>
      <c r="M1750" s="176"/>
      <c r="N1750" s="176"/>
      <c r="O1750" s="176"/>
      <c r="P1750" s="176"/>
      <c r="Q1750" s="176"/>
      <c r="R1750" s="176"/>
      <c r="S1750" s="176"/>
      <c r="T1750" s="176"/>
      <c r="U1750" s="176"/>
      <c r="V1750" s="176"/>
      <c r="W1750" s="176"/>
      <c r="X1750" s="176"/>
      <c r="Y1750" s="176"/>
    </row>
    <row r="1751" spans="1:25">
      <c r="A1751" s="91"/>
      <c r="B1751" s="176"/>
      <c r="C1751" s="176"/>
      <c r="D1751" s="176"/>
      <c r="E1751" s="176"/>
      <c r="F1751" s="176"/>
      <c r="G1751" s="176"/>
      <c r="H1751" s="176"/>
      <c r="I1751" s="176"/>
      <c r="J1751" s="176"/>
      <c r="K1751" s="176"/>
      <c r="L1751" s="176"/>
      <c r="M1751" s="176"/>
      <c r="N1751" s="176"/>
      <c r="O1751" s="176"/>
      <c r="P1751" s="176"/>
      <c r="Q1751" s="176"/>
      <c r="R1751" s="176"/>
      <c r="S1751" s="176"/>
      <c r="T1751" s="176"/>
      <c r="U1751" s="176"/>
      <c r="V1751" s="176"/>
      <c r="W1751" s="176"/>
      <c r="X1751" s="176"/>
      <c r="Y1751" s="176"/>
    </row>
    <row r="1752" spans="1:25">
      <c r="A1752" s="91"/>
      <c r="B1752" s="176"/>
      <c r="C1752" s="176"/>
      <c r="D1752" s="176"/>
      <c r="E1752" s="176"/>
      <c r="F1752" s="176"/>
      <c r="G1752" s="176"/>
      <c r="H1752" s="176"/>
      <c r="I1752" s="176"/>
      <c r="J1752" s="176"/>
      <c r="K1752" s="176"/>
      <c r="L1752" s="176"/>
      <c r="M1752" s="176"/>
      <c r="N1752" s="176"/>
      <c r="O1752" s="176"/>
      <c r="P1752" s="176"/>
      <c r="Q1752" s="176"/>
      <c r="R1752" s="176"/>
      <c r="S1752" s="176"/>
      <c r="T1752" s="176"/>
      <c r="U1752" s="176"/>
      <c r="V1752" s="176"/>
      <c r="W1752" s="176"/>
      <c r="X1752" s="176"/>
      <c r="Y1752" s="176"/>
    </row>
    <row r="1753" spans="1:25">
      <c r="A1753" s="91"/>
      <c r="B1753" s="176"/>
      <c r="C1753" s="176"/>
      <c r="D1753" s="176"/>
      <c r="E1753" s="176"/>
      <c r="F1753" s="176"/>
      <c r="G1753" s="176"/>
      <c r="H1753" s="176"/>
      <c r="I1753" s="176"/>
      <c r="J1753" s="176"/>
      <c r="K1753" s="176"/>
      <c r="L1753" s="176"/>
      <c r="M1753" s="176"/>
      <c r="N1753" s="176"/>
      <c r="O1753" s="176"/>
      <c r="P1753" s="176"/>
      <c r="Q1753" s="176"/>
      <c r="R1753" s="176"/>
      <c r="S1753" s="176"/>
      <c r="T1753" s="176"/>
      <c r="U1753" s="176"/>
      <c r="V1753" s="176"/>
      <c r="W1753" s="176"/>
      <c r="X1753" s="176"/>
      <c r="Y1753" s="176"/>
    </row>
    <row r="1754" spans="1:25">
      <c r="A1754" s="91"/>
      <c r="B1754" s="176"/>
      <c r="C1754" s="176"/>
      <c r="D1754" s="176"/>
      <c r="E1754" s="176"/>
      <c r="F1754" s="176"/>
      <c r="G1754" s="176"/>
      <c r="H1754" s="176"/>
      <c r="I1754" s="176"/>
      <c r="J1754" s="176"/>
      <c r="K1754" s="176"/>
      <c r="L1754" s="176"/>
      <c r="M1754" s="176"/>
      <c r="N1754" s="176"/>
      <c r="O1754" s="176"/>
      <c r="P1754" s="176"/>
      <c r="Q1754" s="176"/>
      <c r="R1754" s="176"/>
      <c r="S1754" s="176"/>
      <c r="T1754" s="176"/>
      <c r="U1754" s="176"/>
      <c r="V1754" s="176"/>
      <c r="W1754" s="176"/>
      <c r="X1754" s="176"/>
      <c r="Y1754" s="176"/>
    </row>
    <row r="1755" spans="1:25">
      <c r="A1755" s="91"/>
      <c r="B1755" s="176"/>
      <c r="C1755" s="176"/>
      <c r="D1755" s="176"/>
      <c r="E1755" s="176"/>
      <c r="F1755" s="176"/>
      <c r="G1755" s="176"/>
      <c r="H1755" s="176"/>
      <c r="I1755" s="176"/>
      <c r="J1755" s="176"/>
      <c r="K1755" s="176"/>
      <c r="L1755" s="176"/>
      <c r="M1755" s="176"/>
      <c r="N1755" s="176"/>
      <c r="O1755" s="176"/>
      <c r="P1755" s="176"/>
      <c r="Q1755" s="176"/>
      <c r="R1755" s="176"/>
      <c r="S1755" s="176"/>
      <c r="T1755" s="176"/>
      <c r="U1755" s="176"/>
      <c r="V1755" s="176"/>
      <c r="W1755" s="176"/>
      <c r="X1755" s="176"/>
      <c r="Y1755" s="176"/>
    </row>
    <row r="1756" spans="1:25">
      <c r="A1756" s="91"/>
      <c r="B1756" s="176"/>
      <c r="C1756" s="176"/>
      <c r="D1756" s="176"/>
      <c r="E1756" s="176"/>
      <c r="F1756" s="176"/>
      <c r="G1756" s="176"/>
      <c r="H1756" s="176"/>
      <c r="I1756" s="176"/>
      <c r="J1756" s="176"/>
      <c r="K1756" s="176"/>
      <c r="L1756" s="176"/>
      <c r="M1756" s="176"/>
      <c r="N1756" s="176"/>
      <c r="O1756" s="176"/>
      <c r="P1756" s="176"/>
      <c r="Q1756" s="176"/>
      <c r="R1756" s="176"/>
      <c r="S1756" s="176"/>
      <c r="T1756" s="176"/>
      <c r="U1756" s="176"/>
      <c r="V1756" s="176"/>
      <c r="W1756" s="176"/>
      <c r="X1756" s="176"/>
      <c r="Y1756" s="176"/>
    </row>
    <row r="1757" spans="1:25">
      <c r="A1757" s="91"/>
      <c r="B1757" s="176"/>
      <c r="C1757" s="176"/>
      <c r="D1757" s="176"/>
      <c r="E1757" s="176"/>
      <c r="F1757" s="176"/>
      <c r="G1757" s="176"/>
      <c r="H1757" s="176"/>
      <c r="I1757" s="176"/>
      <c r="J1757" s="176"/>
      <c r="K1757" s="176"/>
      <c r="L1757" s="176"/>
      <c r="M1757" s="176"/>
      <c r="N1757" s="176"/>
      <c r="O1757" s="176"/>
      <c r="P1757" s="176"/>
      <c r="Q1757" s="176"/>
      <c r="R1757" s="176"/>
      <c r="S1757" s="176"/>
      <c r="T1757" s="176"/>
      <c r="U1757" s="176"/>
      <c r="V1757" s="176"/>
      <c r="W1757" s="176"/>
      <c r="X1757" s="176"/>
      <c r="Y1757" s="176"/>
    </row>
    <row r="1758" spans="1:25">
      <c r="A1758" s="91"/>
      <c r="B1758" s="176"/>
      <c r="C1758" s="176"/>
      <c r="D1758" s="176"/>
      <c r="E1758" s="176"/>
      <c r="F1758" s="176"/>
      <c r="G1758" s="176"/>
      <c r="H1758" s="176"/>
      <c r="I1758" s="176"/>
      <c r="J1758" s="176"/>
      <c r="K1758" s="176"/>
      <c r="L1758" s="176"/>
      <c r="M1758" s="176"/>
      <c r="N1758" s="176"/>
      <c r="O1758" s="176"/>
      <c r="P1758" s="176"/>
      <c r="Q1758" s="176"/>
      <c r="R1758" s="176"/>
      <c r="S1758" s="176"/>
      <c r="T1758" s="176"/>
      <c r="U1758" s="176"/>
      <c r="V1758" s="176"/>
      <c r="W1758" s="176"/>
      <c r="X1758" s="176"/>
      <c r="Y1758" s="176"/>
    </row>
    <row r="1759" spans="1:25">
      <c r="A1759" s="91"/>
      <c r="B1759" s="176"/>
      <c r="C1759" s="176"/>
      <c r="D1759" s="176"/>
      <c r="E1759" s="176"/>
      <c r="F1759" s="176"/>
      <c r="G1759" s="176"/>
      <c r="H1759" s="176"/>
      <c r="I1759" s="176"/>
      <c r="J1759" s="176"/>
      <c r="K1759" s="176"/>
      <c r="L1759" s="176"/>
      <c r="M1759" s="176"/>
      <c r="N1759" s="176"/>
      <c r="O1759" s="176"/>
      <c r="P1759" s="176"/>
      <c r="Q1759" s="176"/>
      <c r="R1759" s="176"/>
      <c r="S1759" s="176"/>
      <c r="T1759" s="176"/>
      <c r="U1759" s="176"/>
      <c r="V1759" s="176"/>
      <c r="W1759" s="176"/>
      <c r="X1759" s="176"/>
      <c r="Y1759" s="176"/>
    </row>
    <row r="1760" spans="1:25">
      <c r="A1760" s="91"/>
      <c r="B1760" s="176"/>
      <c r="C1760" s="176"/>
      <c r="D1760" s="176"/>
      <c r="E1760" s="176"/>
      <c r="F1760" s="176"/>
      <c r="G1760" s="176"/>
      <c r="H1760" s="176"/>
      <c r="I1760" s="176"/>
      <c r="J1760" s="176"/>
      <c r="K1760" s="176"/>
      <c r="L1760" s="176"/>
      <c r="M1760" s="176"/>
      <c r="N1760" s="176"/>
      <c r="O1760" s="176"/>
      <c r="P1760" s="176"/>
      <c r="Q1760" s="176"/>
      <c r="R1760" s="176"/>
      <c r="S1760" s="176"/>
      <c r="T1760" s="176"/>
      <c r="U1760" s="176"/>
      <c r="V1760" s="176"/>
      <c r="W1760" s="176"/>
      <c r="X1760" s="176"/>
      <c r="Y1760" s="176"/>
    </row>
    <row r="1761" spans="1:25">
      <c r="A1761" s="91"/>
      <c r="B1761" s="176"/>
      <c r="C1761" s="176"/>
      <c r="D1761" s="176"/>
      <c r="E1761" s="176"/>
      <c r="F1761" s="176"/>
      <c r="G1761" s="176"/>
      <c r="H1761" s="176"/>
      <c r="I1761" s="176"/>
      <c r="J1761" s="176"/>
      <c r="K1761" s="176"/>
      <c r="L1761" s="176"/>
      <c r="M1761" s="176"/>
      <c r="N1761" s="176"/>
      <c r="O1761" s="176"/>
      <c r="P1761" s="176"/>
      <c r="Q1761" s="176"/>
      <c r="R1761" s="176"/>
      <c r="S1761" s="176"/>
      <c r="T1761" s="176"/>
      <c r="U1761" s="176"/>
      <c r="V1761" s="176"/>
      <c r="W1761" s="176"/>
      <c r="X1761" s="176"/>
      <c r="Y1761" s="176"/>
    </row>
    <row r="1762" spans="1:25">
      <c r="A1762" s="91"/>
      <c r="B1762" s="176"/>
      <c r="C1762" s="176"/>
      <c r="D1762" s="176"/>
      <c r="E1762" s="176"/>
      <c r="F1762" s="176"/>
      <c r="G1762" s="176"/>
      <c r="H1762" s="176"/>
      <c r="I1762" s="176"/>
      <c r="J1762" s="176"/>
      <c r="K1762" s="176"/>
      <c r="L1762" s="176"/>
      <c r="M1762" s="176"/>
      <c r="N1762" s="176"/>
      <c r="O1762" s="176"/>
      <c r="P1762" s="176"/>
      <c r="Q1762" s="176"/>
      <c r="R1762" s="176"/>
      <c r="S1762" s="176"/>
      <c r="T1762" s="176"/>
      <c r="U1762" s="176"/>
      <c r="V1762" s="176"/>
      <c r="W1762" s="176"/>
      <c r="X1762" s="176"/>
      <c r="Y1762" s="176"/>
    </row>
    <row r="1763" spans="1:25">
      <c r="A1763" s="91"/>
      <c r="B1763" s="176"/>
      <c r="C1763" s="176"/>
      <c r="D1763" s="176"/>
      <c r="E1763" s="176"/>
      <c r="F1763" s="176"/>
      <c r="G1763" s="176"/>
      <c r="H1763" s="176"/>
      <c r="I1763" s="176"/>
      <c r="J1763" s="176"/>
      <c r="K1763" s="176"/>
      <c r="L1763" s="176"/>
      <c r="M1763" s="176"/>
      <c r="N1763" s="176"/>
      <c r="O1763" s="176"/>
      <c r="P1763" s="176"/>
      <c r="Q1763" s="176"/>
      <c r="R1763" s="176"/>
      <c r="S1763" s="176"/>
      <c r="T1763" s="176"/>
      <c r="U1763" s="176"/>
      <c r="V1763" s="176"/>
      <c r="W1763" s="176"/>
      <c r="X1763" s="176"/>
      <c r="Y1763" s="176"/>
    </row>
    <row r="1764" spans="1:25">
      <c r="A1764" s="91"/>
      <c r="B1764" s="176"/>
      <c r="C1764" s="176"/>
      <c r="D1764" s="176"/>
      <c r="E1764" s="176"/>
      <c r="F1764" s="176"/>
      <c r="G1764" s="176"/>
      <c r="H1764" s="176"/>
      <c r="I1764" s="176"/>
      <c r="J1764" s="176"/>
      <c r="K1764" s="176"/>
      <c r="L1764" s="176"/>
      <c r="M1764" s="176"/>
      <c r="N1764" s="176"/>
      <c r="O1764" s="176"/>
      <c r="P1764" s="176"/>
      <c r="Q1764" s="176"/>
      <c r="R1764" s="176"/>
      <c r="S1764" s="176"/>
      <c r="T1764" s="176"/>
      <c r="U1764" s="176"/>
      <c r="V1764" s="176"/>
      <c r="W1764" s="176"/>
      <c r="X1764" s="176"/>
      <c r="Y1764" s="176"/>
    </row>
    <row r="1765" spans="1:25">
      <c r="A1765" s="91"/>
      <c r="B1765" s="176"/>
      <c r="C1765" s="176"/>
      <c r="D1765" s="176"/>
      <c r="E1765" s="176"/>
      <c r="F1765" s="176"/>
      <c r="G1765" s="176"/>
      <c r="H1765" s="176"/>
      <c r="I1765" s="176"/>
      <c r="J1765" s="176"/>
      <c r="K1765" s="176"/>
      <c r="L1765" s="176"/>
      <c r="M1765" s="176"/>
      <c r="N1765" s="176"/>
      <c r="O1765" s="176"/>
      <c r="P1765" s="176"/>
      <c r="Q1765" s="176"/>
      <c r="R1765" s="176"/>
      <c r="S1765" s="176"/>
      <c r="T1765" s="176"/>
      <c r="U1765" s="176"/>
      <c r="V1765" s="176"/>
      <c r="W1765" s="176"/>
      <c r="X1765" s="176"/>
      <c r="Y1765" s="176"/>
    </row>
    <row r="1766" spans="1:25">
      <c r="A1766" s="91"/>
      <c r="B1766" s="176"/>
      <c r="C1766" s="176"/>
      <c r="D1766" s="176"/>
      <c r="E1766" s="176"/>
      <c r="F1766" s="176"/>
      <c r="G1766" s="176"/>
      <c r="H1766" s="176"/>
      <c r="I1766" s="176"/>
      <c r="J1766" s="176"/>
      <c r="K1766" s="176"/>
      <c r="L1766" s="176"/>
      <c r="M1766" s="176"/>
      <c r="N1766" s="176"/>
      <c r="O1766" s="176"/>
      <c r="P1766" s="176"/>
      <c r="Q1766" s="176"/>
      <c r="R1766" s="176"/>
      <c r="S1766" s="176"/>
      <c r="T1766" s="176"/>
      <c r="U1766" s="176"/>
      <c r="V1766" s="176"/>
      <c r="W1766" s="176"/>
      <c r="X1766" s="176"/>
      <c r="Y1766" s="176"/>
    </row>
    <row r="1767" spans="1:25">
      <c r="A1767" s="91"/>
      <c r="B1767" s="176"/>
      <c r="C1767" s="176"/>
      <c r="D1767" s="176"/>
      <c r="E1767" s="176"/>
      <c r="F1767" s="176"/>
      <c r="G1767" s="176"/>
      <c r="H1767" s="176"/>
      <c r="I1767" s="176"/>
      <c r="J1767" s="176"/>
      <c r="K1767" s="176"/>
      <c r="L1767" s="176"/>
      <c r="M1767" s="176"/>
      <c r="N1767" s="176"/>
      <c r="O1767" s="176"/>
      <c r="P1767" s="176"/>
      <c r="Q1767" s="176"/>
      <c r="R1767" s="176"/>
      <c r="S1767" s="176"/>
      <c r="T1767" s="176"/>
      <c r="U1767" s="176"/>
      <c r="V1767" s="176"/>
      <c r="W1767" s="176"/>
      <c r="X1767" s="176"/>
      <c r="Y1767" s="176"/>
    </row>
    <row r="1768" spans="1:25">
      <c r="A1768" s="91"/>
      <c r="B1768" s="176"/>
      <c r="C1768" s="176"/>
      <c r="D1768" s="176"/>
      <c r="E1768" s="176"/>
      <c r="F1768" s="176"/>
      <c r="G1768" s="176"/>
      <c r="H1768" s="176"/>
      <c r="I1768" s="176"/>
      <c r="J1768" s="176"/>
      <c r="K1768" s="176"/>
      <c r="L1768" s="176"/>
      <c r="M1768" s="176"/>
      <c r="N1768" s="176"/>
      <c r="O1768" s="176"/>
      <c r="P1768" s="176"/>
      <c r="Q1768" s="176"/>
      <c r="R1768" s="176"/>
      <c r="S1768" s="176"/>
      <c r="T1768" s="176"/>
      <c r="U1768" s="176"/>
      <c r="V1768" s="176"/>
      <c r="W1768" s="176"/>
      <c r="X1768" s="176"/>
      <c r="Y1768" s="176"/>
    </row>
    <row r="1769" spans="1:25">
      <c r="A1769" s="91"/>
      <c r="B1769" s="176"/>
      <c r="C1769" s="176"/>
      <c r="D1769" s="176"/>
      <c r="E1769" s="176"/>
      <c r="F1769" s="176"/>
      <c r="G1769" s="176"/>
      <c r="H1769" s="176"/>
      <c r="I1769" s="176"/>
      <c r="J1769" s="176"/>
      <c r="K1769" s="176"/>
      <c r="L1769" s="176"/>
      <c r="M1769" s="176"/>
      <c r="N1769" s="176"/>
      <c r="O1769" s="176"/>
      <c r="P1769" s="176"/>
      <c r="Q1769" s="176"/>
      <c r="R1769" s="176"/>
      <c r="S1769" s="176"/>
      <c r="T1769" s="176"/>
      <c r="U1769" s="176"/>
      <c r="V1769" s="176"/>
      <c r="W1769" s="176"/>
      <c r="X1769" s="176"/>
      <c r="Y1769" s="176"/>
    </row>
    <row r="1770" spans="1:25">
      <c r="A1770" s="91"/>
      <c r="B1770" s="176"/>
      <c r="C1770" s="176"/>
      <c r="D1770" s="176"/>
      <c r="E1770" s="176"/>
      <c r="F1770" s="176"/>
      <c r="G1770" s="176"/>
      <c r="H1770" s="176"/>
      <c r="I1770" s="176"/>
      <c r="J1770" s="176"/>
      <c r="K1770" s="176"/>
      <c r="L1770" s="176"/>
      <c r="M1770" s="176"/>
      <c r="N1770" s="176"/>
      <c r="O1770" s="176"/>
      <c r="P1770" s="176"/>
      <c r="Q1770" s="176"/>
      <c r="R1770" s="176"/>
      <c r="S1770" s="176"/>
      <c r="T1770" s="176"/>
      <c r="U1770" s="176"/>
      <c r="V1770" s="176"/>
      <c r="W1770" s="176"/>
      <c r="X1770" s="176"/>
      <c r="Y1770" s="176"/>
    </row>
    <row r="1771" spans="1:25">
      <c r="A1771" s="91"/>
      <c r="B1771" s="176"/>
      <c r="C1771" s="176"/>
      <c r="D1771" s="176"/>
      <c r="E1771" s="176"/>
      <c r="F1771" s="176"/>
      <c r="G1771" s="176"/>
      <c r="H1771" s="176"/>
      <c r="I1771" s="176"/>
      <c r="J1771" s="176"/>
      <c r="K1771" s="176"/>
      <c r="L1771" s="176"/>
      <c r="M1771" s="176"/>
      <c r="N1771" s="176"/>
      <c r="O1771" s="176"/>
      <c r="P1771" s="176"/>
      <c r="Q1771" s="176"/>
      <c r="R1771" s="176"/>
      <c r="S1771" s="176"/>
      <c r="T1771" s="176"/>
      <c r="U1771" s="176"/>
      <c r="V1771" s="176"/>
      <c r="W1771" s="176"/>
      <c r="X1771" s="176"/>
      <c r="Y1771" s="176"/>
    </row>
    <row r="1772" spans="1:25">
      <c r="A1772" s="91"/>
      <c r="B1772" s="176"/>
      <c r="C1772" s="176"/>
      <c r="D1772" s="176"/>
      <c r="E1772" s="176"/>
      <c r="F1772" s="176"/>
      <c r="G1772" s="176"/>
      <c r="H1772" s="176"/>
      <c r="I1772" s="176"/>
      <c r="J1772" s="176"/>
      <c r="K1772" s="176"/>
      <c r="L1772" s="176"/>
      <c r="M1772" s="176"/>
      <c r="N1772" s="176"/>
      <c r="O1772" s="176"/>
      <c r="P1772" s="176"/>
      <c r="Q1772" s="176"/>
      <c r="R1772" s="176"/>
      <c r="S1772" s="176"/>
      <c r="T1772" s="176"/>
      <c r="U1772" s="176"/>
      <c r="V1772" s="176"/>
      <c r="W1772" s="176"/>
      <c r="X1772" s="176"/>
      <c r="Y1772" s="176"/>
    </row>
    <row r="1773" spans="1:25">
      <c r="A1773" s="91"/>
      <c r="B1773" s="176"/>
      <c r="C1773" s="176"/>
      <c r="D1773" s="176"/>
      <c r="E1773" s="176"/>
      <c r="F1773" s="176"/>
      <c r="G1773" s="176"/>
      <c r="H1773" s="176"/>
      <c r="I1773" s="176"/>
      <c r="J1773" s="176"/>
      <c r="K1773" s="176"/>
      <c r="L1773" s="176"/>
      <c r="M1773" s="176"/>
      <c r="N1773" s="176"/>
      <c r="O1773" s="176"/>
      <c r="P1773" s="176"/>
      <c r="Q1773" s="176"/>
      <c r="R1773" s="176"/>
      <c r="S1773" s="176"/>
      <c r="T1773" s="176"/>
      <c r="U1773" s="176"/>
      <c r="V1773" s="176"/>
      <c r="W1773" s="176"/>
      <c r="X1773" s="176"/>
      <c r="Y1773" s="176"/>
    </row>
    <row r="1774" spans="1:25">
      <c r="A1774" s="91"/>
      <c r="B1774" s="176"/>
      <c r="C1774" s="176"/>
      <c r="D1774" s="176"/>
      <c r="E1774" s="176"/>
      <c r="F1774" s="176"/>
      <c r="G1774" s="176"/>
      <c r="H1774" s="176"/>
      <c r="I1774" s="176"/>
      <c r="J1774" s="176"/>
      <c r="K1774" s="176"/>
      <c r="L1774" s="176"/>
      <c r="M1774" s="176"/>
      <c r="N1774" s="176"/>
      <c r="O1774" s="176"/>
      <c r="P1774" s="176"/>
      <c r="Q1774" s="176"/>
      <c r="R1774" s="176"/>
      <c r="S1774" s="176"/>
      <c r="T1774" s="176"/>
      <c r="U1774" s="176"/>
      <c r="V1774" s="176"/>
      <c r="W1774" s="176"/>
      <c r="X1774" s="176"/>
      <c r="Y1774" s="176"/>
    </row>
    <row r="1775" spans="1:25">
      <c r="A1775" s="91"/>
      <c r="B1775" s="176"/>
      <c r="C1775" s="176"/>
      <c r="D1775" s="176"/>
      <c r="E1775" s="176"/>
      <c r="F1775" s="176"/>
      <c r="G1775" s="176"/>
      <c r="H1775" s="176"/>
      <c r="I1775" s="176"/>
      <c r="J1775" s="176"/>
      <c r="K1775" s="176"/>
      <c r="L1775" s="176"/>
      <c r="M1775" s="176"/>
      <c r="N1775" s="176"/>
      <c r="O1775" s="176"/>
      <c r="P1775" s="176"/>
      <c r="Q1775" s="176"/>
      <c r="R1775" s="176"/>
      <c r="S1775" s="176"/>
      <c r="T1775" s="176"/>
      <c r="U1775" s="176"/>
      <c r="V1775" s="176"/>
      <c r="W1775" s="176"/>
      <c r="X1775" s="176"/>
      <c r="Y1775" s="176"/>
    </row>
    <row r="1776" spans="1:25">
      <c r="A1776" s="91"/>
      <c r="B1776" s="176"/>
      <c r="C1776" s="176"/>
      <c r="D1776" s="176"/>
      <c r="E1776" s="176"/>
      <c r="F1776" s="176"/>
      <c r="G1776" s="176"/>
      <c r="H1776" s="176"/>
      <c r="I1776" s="176"/>
      <c r="J1776" s="176"/>
      <c r="K1776" s="176"/>
      <c r="L1776" s="176"/>
      <c r="M1776" s="176"/>
      <c r="N1776" s="176"/>
      <c r="O1776" s="176"/>
      <c r="P1776" s="176"/>
      <c r="Q1776" s="176"/>
      <c r="R1776" s="176"/>
      <c r="S1776" s="176"/>
      <c r="T1776" s="176"/>
      <c r="U1776" s="176"/>
      <c r="V1776" s="176"/>
      <c r="W1776" s="176"/>
      <c r="X1776" s="176"/>
      <c r="Y1776" s="176"/>
    </row>
    <row r="1777" spans="1:25">
      <c r="A1777" s="91"/>
      <c r="B1777" s="176"/>
      <c r="C1777" s="176"/>
      <c r="D1777" s="176"/>
      <c r="E1777" s="176"/>
      <c r="F1777" s="176"/>
      <c r="G1777" s="176"/>
      <c r="H1777" s="176"/>
      <c r="I1777" s="176"/>
      <c r="J1777" s="176"/>
      <c r="K1777" s="176"/>
      <c r="L1777" s="176"/>
      <c r="M1777" s="176"/>
      <c r="N1777" s="176"/>
      <c r="O1777" s="176"/>
      <c r="P1777" s="176"/>
      <c r="Q1777" s="176"/>
      <c r="R1777" s="176"/>
      <c r="S1777" s="176"/>
      <c r="T1777" s="176"/>
      <c r="U1777" s="176"/>
      <c r="V1777" s="176"/>
      <c r="W1777" s="176"/>
      <c r="X1777" s="176"/>
      <c r="Y1777" s="176"/>
    </row>
    <row r="1778" spans="1:25">
      <c r="A1778" s="91"/>
      <c r="B1778" s="176"/>
      <c r="C1778" s="176"/>
      <c r="D1778" s="176"/>
      <c r="E1778" s="176"/>
      <c r="F1778" s="176"/>
      <c r="G1778" s="176"/>
      <c r="H1778" s="176"/>
      <c r="I1778" s="176"/>
      <c r="J1778" s="176"/>
      <c r="K1778" s="176"/>
      <c r="L1778" s="176"/>
      <c r="M1778" s="176"/>
      <c r="N1778" s="176"/>
      <c r="O1778" s="176"/>
      <c r="P1778" s="176"/>
      <c r="Q1778" s="176"/>
      <c r="R1778" s="176"/>
      <c r="S1778" s="176"/>
      <c r="T1778" s="176"/>
      <c r="U1778" s="176"/>
      <c r="V1778" s="176"/>
      <c r="W1778" s="176"/>
      <c r="X1778" s="176"/>
      <c r="Y1778" s="176"/>
    </row>
    <row r="1779" spans="1:25">
      <c r="A1779" s="91"/>
      <c r="B1779" s="176"/>
      <c r="C1779" s="176"/>
      <c r="D1779" s="176"/>
      <c r="E1779" s="176"/>
      <c r="F1779" s="176"/>
      <c r="G1779" s="176"/>
      <c r="H1779" s="176"/>
      <c r="I1779" s="176"/>
      <c r="J1779" s="176"/>
      <c r="K1779" s="176"/>
      <c r="L1779" s="176"/>
      <c r="M1779" s="176"/>
      <c r="N1779" s="176"/>
      <c r="O1779" s="176"/>
      <c r="P1779" s="176"/>
      <c r="Q1779" s="176"/>
      <c r="R1779" s="176"/>
      <c r="S1779" s="176"/>
      <c r="T1779" s="176"/>
      <c r="U1779" s="176"/>
      <c r="V1779" s="176"/>
      <c r="W1779" s="176"/>
      <c r="X1779" s="176"/>
      <c r="Y1779" s="176"/>
    </row>
    <row r="1780" spans="1:25">
      <c r="A1780" s="91"/>
      <c r="B1780" s="176"/>
      <c r="C1780" s="176"/>
      <c r="D1780" s="176"/>
      <c r="E1780" s="176"/>
      <c r="F1780" s="176"/>
      <c r="G1780" s="176"/>
      <c r="H1780" s="176"/>
      <c r="I1780" s="176"/>
      <c r="J1780" s="176"/>
      <c r="K1780" s="176"/>
      <c r="L1780" s="176"/>
      <c r="M1780" s="176"/>
      <c r="N1780" s="176"/>
      <c r="O1780" s="176"/>
      <c r="P1780" s="176"/>
      <c r="Q1780" s="176"/>
      <c r="R1780" s="176"/>
      <c r="S1780" s="176"/>
      <c r="T1780" s="176"/>
      <c r="U1780" s="176"/>
      <c r="V1780" s="176"/>
      <c r="W1780" s="176"/>
      <c r="X1780" s="176"/>
      <c r="Y1780" s="176"/>
    </row>
    <row r="1781" spans="1:25">
      <c r="A1781" s="91"/>
      <c r="B1781" s="176"/>
      <c r="C1781" s="176"/>
      <c r="D1781" s="176"/>
      <c r="E1781" s="176"/>
      <c r="F1781" s="176"/>
      <c r="G1781" s="176"/>
      <c r="H1781" s="176"/>
      <c r="I1781" s="176"/>
      <c r="J1781" s="176"/>
      <c r="K1781" s="176"/>
      <c r="L1781" s="176"/>
      <c r="M1781" s="176"/>
      <c r="N1781" s="176"/>
      <c r="O1781" s="176"/>
      <c r="P1781" s="176"/>
      <c r="Q1781" s="176"/>
      <c r="R1781" s="176"/>
      <c r="S1781" s="176"/>
      <c r="T1781" s="176"/>
      <c r="U1781" s="176"/>
      <c r="V1781" s="176"/>
      <c r="W1781" s="176"/>
      <c r="X1781" s="176"/>
      <c r="Y1781" s="176"/>
    </row>
    <row r="1782" spans="1:25">
      <c r="A1782" s="91"/>
      <c r="B1782" s="176"/>
      <c r="C1782" s="176"/>
      <c r="D1782" s="176"/>
      <c r="E1782" s="176"/>
      <c r="F1782" s="176"/>
      <c r="G1782" s="176"/>
      <c r="H1782" s="176"/>
      <c r="I1782" s="176"/>
      <c r="J1782" s="176"/>
      <c r="K1782" s="176"/>
      <c r="L1782" s="176"/>
      <c r="M1782" s="176"/>
      <c r="N1782" s="176"/>
      <c r="O1782" s="176"/>
      <c r="P1782" s="176"/>
      <c r="Q1782" s="176"/>
      <c r="R1782" s="176"/>
      <c r="S1782" s="176"/>
      <c r="T1782" s="176"/>
      <c r="U1782" s="176"/>
      <c r="V1782" s="176"/>
      <c r="W1782" s="176"/>
      <c r="X1782" s="176"/>
      <c r="Y1782" s="176"/>
    </row>
    <row r="1783" spans="1:25">
      <c r="A1783" s="91"/>
      <c r="B1783" s="176"/>
      <c r="C1783" s="176"/>
      <c r="D1783" s="176"/>
      <c r="E1783" s="176"/>
      <c r="F1783" s="176"/>
      <c r="G1783" s="176"/>
      <c r="H1783" s="176"/>
      <c r="I1783" s="176"/>
      <c r="J1783" s="176"/>
      <c r="K1783" s="176"/>
      <c r="L1783" s="176"/>
      <c r="M1783" s="176"/>
      <c r="N1783" s="176"/>
      <c r="O1783" s="176"/>
      <c r="P1783" s="176"/>
      <c r="Q1783" s="176"/>
      <c r="R1783" s="176"/>
      <c r="S1783" s="176"/>
      <c r="T1783" s="176"/>
      <c r="U1783" s="176"/>
      <c r="V1783" s="176"/>
      <c r="W1783" s="176"/>
      <c r="X1783" s="176"/>
      <c r="Y1783" s="176"/>
    </row>
    <row r="1784" spans="1:25">
      <c r="A1784" s="91"/>
      <c r="B1784" s="176"/>
      <c r="C1784" s="176"/>
      <c r="D1784" s="176"/>
      <c r="E1784" s="176"/>
      <c r="F1784" s="176"/>
      <c r="G1784" s="176"/>
      <c r="H1784" s="176"/>
      <c r="I1784" s="176"/>
      <c r="J1784" s="176"/>
      <c r="K1784" s="176"/>
      <c r="L1784" s="176"/>
      <c r="M1784" s="176"/>
      <c r="N1784" s="176"/>
      <c r="O1784" s="176"/>
      <c r="P1784" s="176"/>
      <c r="Q1784" s="176"/>
      <c r="R1784" s="176"/>
      <c r="S1784" s="176"/>
      <c r="T1784" s="176"/>
      <c r="U1784" s="176"/>
      <c r="V1784" s="176"/>
      <c r="W1784" s="176"/>
      <c r="X1784" s="176"/>
      <c r="Y1784" s="176"/>
    </row>
    <row r="1785" spans="1:25">
      <c r="A1785" s="91"/>
      <c r="B1785" s="176"/>
      <c r="C1785" s="176"/>
      <c r="D1785" s="176"/>
      <c r="E1785" s="176"/>
      <c r="F1785" s="176"/>
      <c r="G1785" s="176"/>
      <c r="H1785" s="176"/>
      <c r="I1785" s="176"/>
      <c r="J1785" s="176"/>
      <c r="K1785" s="176"/>
      <c r="L1785" s="176"/>
      <c r="M1785" s="176"/>
      <c r="N1785" s="176"/>
      <c r="O1785" s="176"/>
      <c r="P1785" s="176"/>
      <c r="Q1785" s="176"/>
      <c r="R1785" s="176"/>
      <c r="S1785" s="176"/>
      <c r="T1785" s="176"/>
      <c r="U1785" s="176"/>
      <c r="V1785" s="176"/>
      <c r="W1785" s="176"/>
      <c r="X1785" s="176"/>
      <c r="Y1785" s="176"/>
    </row>
    <row r="1786" spans="1:25">
      <c r="A1786" s="91"/>
      <c r="B1786" s="176"/>
      <c r="C1786" s="176"/>
      <c r="D1786" s="176"/>
      <c r="E1786" s="176"/>
      <c r="F1786" s="176"/>
      <c r="G1786" s="176"/>
      <c r="H1786" s="176"/>
      <c r="I1786" s="176"/>
      <c r="J1786" s="176"/>
      <c r="K1786" s="176"/>
      <c r="L1786" s="176"/>
      <c r="M1786" s="176"/>
      <c r="N1786" s="176"/>
      <c r="O1786" s="176"/>
      <c r="P1786" s="176"/>
      <c r="Q1786" s="176"/>
      <c r="R1786" s="176"/>
      <c r="S1786" s="176"/>
      <c r="T1786" s="176"/>
      <c r="U1786" s="176"/>
      <c r="V1786" s="176"/>
      <c r="W1786" s="176"/>
      <c r="X1786" s="176"/>
      <c r="Y1786" s="176"/>
    </row>
    <row r="1787" spans="1:25">
      <c r="A1787" s="91"/>
      <c r="B1787" s="176"/>
      <c r="C1787" s="176"/>
      <c r="D1787" s="176"/>
      <c r="E1787" s="176"/>
      <c r="F1787" s="176"/>
      <c r="G1787" s="176"/>
      <c r="H1787" s="176"/>
      <c r="I1787" s="176"/>
      <c r="J1787" s="176"/>
      <c r="K1787" s="176"/>
      <c r="L1787" s="176"/>
      <c r="M1787" s="176"/>
      <c r="N1787" s="176"/>
      <c r="O1787" s="176"/>
      <c r="P1787" s="176"/>
      <c r="Q1787" s="176"/>
      <c r="R1787" s="176"/>
      <c r="S1787" s="176"/>
      <c r="T1787" s="176"/>
      <c r="U1787" s="176"/>
      <c r="V1787" s="176"/>
      <c r="W1787" s="176"/>
      <c r="X1787" s="176"/>
      <c r="Y1787" s="176"/>
    </row>
    <row r="1788" spans="1:25">
      <c r="A1788" s="91"/>
      <c r="B1788" s="176"/>
      <c r="C1788" s="176"/>
      <c r="D1788" s="176"/>
      <c r="E1788" s="176"/>
      <c r="F1788" s="176"/>
      <c r="G1788" s="176"/>
      <c r="H1788" s="176"/>
      <c r="I1788" s="176"/>
      <c r="J1788" s="176"/>
      <c r="K1788" s="176"/>
      <c r="L1788" s="176"/>
      <c r="M1788" s="176"/>
      <c r="N1788" s="176"/>
      <c r="O1788" s="176"/>
      <c r="P1788" s="176"/>
      <c r="Q1788" s="176"/>
      <c r="R1788" s="176"/>
      <c r="S1788" s="176"/>
      <c r="T1788" s="176"/>
      <c r="U1788" s="176"/>
      <c r="V1788" s="176"/>
      <c r="W1788" s="176"/>
      <c r="X1788" s="176"/>
      <c r="Y1788" s="176"/>
    </row>
    <row r="1789" spans="1:25">
      <c r="A1789" s="91"/>
      <c r="B1789" s="176"/>
      <c r="C1789" s="176"/>
      <c r="D1789" s="176"/>
      <c r="E1789" s="176"/>
      <c r="F1789" s="176"/>
      <c r="G1789" s="176"/>
      <c r="H1789" s="176"/>
      <c r="I1789" s="176"/>
      <c r="J1789" s="176"/>
      <c r="K1789" s="176"/>
      <c r="L1789" s="176"/>
      <c r="M1789" s="176"/>
      <c r="N1789" s="176"/>
      <c r="O1789" s="176"/>
      <c r="P1789" s="176"/>
      <c r="Q1789" s="176"/>
      <c r="R1789" s="176"/>
      <c r="S1789" s="176"/>
      <c r="T1789" s="176"/>
      <c r="U1789" s="176"/>
      <c r="V1789" s="176"/>
      <c r="W1789" s="176"/>
      <c r="X1789" s="176"/>
      <c r="Y1789" s="176"/>
    </row>
    <row r="1790" spans="1:25">
      <c r="A1790" s="91"/>
      <c r="B1790" s="176"/>
      <c r="C1790" s="176"/>
      <c r="D1790" s="176"/>
      <c r="E1790" s="176"/>
      <c r="F1790" s="176"/>
      <c r="G1790" s="176"/>
      <c r="H1790" s="176"/>
      <c r="I1790" s="176"/>
      <c r="J1790" s="176"/>
      <c r="K1790" s="176"/>
      <c r="L1790" s="176"/>
      <c r="M1790" s="176"/>
      <c r="N1790" s="176"/>
      <c r="O1790" s="176"/>
      <c r="P1790" s="176"/>
      <c r="Q1790" s="176"/>
      <c r="R1790" s="176"/>
      <c r="S1790" s="176"/>
      <c r="T1790" s="176"/>
      <c r="U1790" s="176"/>
      <c r="V1790" s="176"/>
      <c r="W1790" s="176"/>
      <c r="X1790" s="176"/>
      <c r="Y1790" s="176"/>
    </row>
    <row r="1791" spans="1:25">
      <c r="A1791" s="91"/>
      <c r="B1791" s="176"/>
      <c r="C1791" s="176"/>
      <c r="D1791" s="176"/>
      <c r="E1791" s="176"/>
      <c r="F1791" s="176"/>
      <c r="G1791" s="176"/>
      <c r="H1791" s="176"/>
      <c r="I1791" s="176"/>
      <c r="J1791" s="176"/>
      <c r="K1791" s="176"/>
      <c r="L1791" s="176"/>
      <c r="M1791" s="176"/>
      <c r="N1791" s="176"/>
      <c r="O1791" s="176"/>
      <c r="P1791" s="176"/>
      <c r="Q1791" s="176"/>
      <c r="R1791" s="176"/>
      <c r="S1791" s="176"/>
      <c r="T1791" s="176"/>
      <c r="U1791" s="176"/>
      <c r="V1791" s="176"/>
      <c r="W1791" s="176"/>
      <c r="X1791" s="176"/>
      <c r="Y1791" s="176"/>
    </row>
    <row r="1792" spans="1:25">
      <c r="A1792" s="91"/>
      <c r="B1792" s="176"/>
      <c r="C1792" s="176"/>
      <c r="D1792" s="176"/>
      <c r="E1792" s="176"/>
      <c r="F1792" s="176"/>
      <c r="G1792" s="176"/>
      <c r="H1792" s="176"/>
      <c r="I1792" s="176"/>
      <c r="J1792" s="176"/>
      <c r="K1792" s="176"/>
      <c r="L1792" s="176"/>
      <c r="M1792" s="176"/>
      <c r="N1792" s="176"/>
      <c r="O1792" s="176"/>
      <c r="P1792" s="176"/>
      <c r="Q1792" s="176"/>
      <c r="R1792" s="176"/>
      <c r="S1792" s="176"/>
      <c r="T1792" s="176"/>
      <c r="U1792" s="176"/>
      <c r="V1792" s="176"/>
      <c r="W1792" s="176"/>
      <c r="X1792" s="176"/>
      <c r="Y1792" s="176"/>
    </row>
    <row r="1793" spans="1:25">
      <c r="A1793" s="91"/>
      <c r="B1793" s="176"/>
      <c r="C1793" s="176"/>
      <c r="D1793" s="176"/>
      <c r="E1793" s="176"/>
      <c r="F1793" s="176"/>
      <c r="G1793" s="176"/>
      <c r="H1793" s="176"/>
      <c r="I1793" s="176"/>
      <c r="J1793" s="176"/>
      <c r="K1793" s="176"/>
      <c r="L1793" s="176"/>
      <c r="M1793" s="176"/>
      <c r="N1793" s="176"/>
      <c r="O1793" s="176"/>
      <c r="P1793" s="176"/>
      <c r="Q1793" s="176"/>
      <c r="R1793" s="176"/>
      <c r="S1793" s="176"/>
      <c r="T1793" s="176"/>
      <c r="U1793" s="176"/>
      <c r="V1793" s="176"/>
      <c r="W1793" s="176"/>
      <c r="X1793" s="176"/>
      <c r="Y1793" s="176"/>
    </row>
    <row r="1794" spans="1:25">
      <c r="A1794" s="91"/>
      <c r="B1794" s="176"/>
      <c r="C1794" s="176"/>
      <c r="D1794" s="176"/>
      <c r="E1794" s="176"/>
      <c r="F1794" s="176"/>
      <c r="G1794" s="176"/>
      <c r="H1794" s="176"/>
      <c r="I1794" s="176"/>
      <c r="J1794" s="176"/>
      <c r="K1794" s="176"/>
      <c r="L1794" s="176"/>
      <c r="M1794" s="176"/>
      <c r="N1794" s="176"/>
      <c r="O1794" s="176"/>
      <c r="P1794" s="176"/>
      <c r="Q1794" s="176"/>
      <c r="R1794" s="176"/>
      <c r="S1794" s="176"/>
      <c r="T1794" s="176"/>
      <c r="U1794" s="176"/>
      <c r="V1794" s="176"/>
      <c r="W1794" s="176"/>
      <c r="X1794" s="176"/>
      <c r="Y1794" s="176"/>
    </row>
    <row r="1795" spans="1:25">
      <c r="A1795" s="91"/>
      <c r="B1795" s="176"/>
      <c r="C1795" s="176"/>
      <c r="D1795" s="176"/>
      <c r="E1795" s="176"/>
      <c r="F1795" s="176"/>
      <c r="G1795" s="176"/>
      <c r="H1795" s="176"/>
      <c r="I1795" s="176"/>
      <c r="J1795" s="176"/>
      <c r="K1795" s="176"/>
      <c r="L1795" s="176"/>
      <c r="M1795" s="176"/>
      <c r="N1795" s="176"/>
      <c r="O1795" s="176"/>
      <c r="P1795" s="176"/>
      <c r="Q1795" s="176"/>
      <c r="R1795" s="176"/>
      <c r="S1795" s="176"/>
      <c r="T1795" s="176"/>
      <c r="U1795" s="176"/>
      <c r="V1795" s="176"/>
      <c r="W1795" s="176"/>
      <c r="X1795" s="176"/>
      <c r="Y1795" s="176"/>
    </row>
    <row r="1796" spans="1:25">
      <c r="A1796" s="91"/>
      <c r="B1796" s="176"/>
      <c r="C1796" s="176"/>
      <c r="D1796" s="176"/>
      <c r="E1796" s="176"/>
      <c r="F1796" s="176"/>
      <c r="G1796" s="176"/>
      <c r="H1796" s="176"/>
      <c r="I1796" s="176"/>
      <c r="J1796" s="176"/>
      <c r="K1796" s="176"/>
      <c r="L1796" s="176"/>
      <c r="M1796" s="176"/>
      <c r="N1796" s="176"/>
      <c r="O1796" s="176"/>
      <c r="P1796" s="176"/>
      <c r="Q1796" s="176"/>
      <c r="R1796" s="176"/>
      <c r="S1796" s="176"/>
      <c r="T1796" s="176"/>
      <c r="U1796" s="176"/>
      <c r="V1796" s="176"/>
      <c r="W1796" s="176"/>
      <c r="X1796" s="176"/>
      <c r="Y1796" s="176"/>
    </row>
    <row r="1797" spans="1:25">
      <c r="A1797" s="91"/>
      <c r="B1797" s="176"/>
      <c r="C1797" s="176"/>
      <c r="D1797" s="176"/>
      <c r="E1797" s="176"/>
      <c r="F1797" s="176"/>
      <c r="G1797" s="176"/>
      <c r="H1797" s="176"/>
      <c r="I1797" s="176"/>
      <c r="J1797" s="176"/>
      <c r="K1797" s="176"/>
      <c r="L1797" s="176"/>
      <c r="M1797" s="176"/>
      <c r="N1797" s="176"/>
      <c r="O1797" s="176"/>
      <c r="P1797" s="176"/>
      <c r="Q1797" s="176"/>
      <c r="R1797" s="176"/>
      <c r="S1797" s="176"/>
      <c r="T1797" s="176"/>
      <c r="U1797" s="176"/>
      <c r="V1797" s="176"/>
      <c r="W1797" s="176"/>
      <c r="X1797" s="176"/>
      <c r="Y1797" s="176"/>
    </row>
    <row r="1798" spans="1:25">
      <c r="A1798" s="91"/>
      <c r="B1798" s="176"/>
      <c r="C1798" s="176"/>
      <c r="D1798" s="176"/>
      <c r="E1798" s="176"/>
      <c r="F1798" s="176"/>
      <c r="G1798" s="176"/>
      <c r="H1798" s="176"/>
      <c r="I1798" s="176"/>
      <c r="J1798" s="176"/>
      <c r="K1798" s="176"/>
      <c r="L1798" s="176"/>
      <c r="M1798" s="176"/>
      <c r="N1798" s="176"/>
      <c r="O1798" s="176"/>
      <c r="P1798" s="176"/>
      <c r="Q1798" s="176"/>
      <c r="R1798" s="176"/>
      <c r="S1798" s="176"/>
      <c r="T1798" s="176"/>
      <c r="U1798" s="176"/>
      <c r="V1798" s="176"/>
      <c r="W1798" s="176"/>
      <c r="X1798" s="176"/>
      <c r="Y1798" s="176"/>
    </row>
    <row r="1799" spans="1:25">
      <c r="A1799" s="91"/>
      <c r="B1799" s="176"/>
      <c r="C1799" s="176"/>
      <c r="D1799" s="176"/>
      <c r="E1799" s="176"/>
      <c r="F1799" s="176"/>
      <c r="G1799" s="176"/>
      <c r="H1799" s="176"/>
      <c r="I1799" s="176"/>
      <c r="J1799" s="176"/>
      <c r="K1799" s="176"/>
      <c r="L1799" s="176"/>
      <c r="M1799" s="176"/>
      <c r="N1799" s="176"/>
      <c r="O1799" s="176"/>
      <c r="P1799" s="176"/>
      <c r="Q1799" s="176"/>
      <c r="R1799" s="176"/>
      <c r="S1799" s="176"/>
      <c r="T1799" s="176"/>
      <c r="U1799" s="176"/>
      <c r="V1799" s="176"/>
      <c r="W1799" s="176"/>
      <c r="X1799" s="176"/>
      <c r="Y1799" s="176"/>
    </row>
    <row r="1800" spans="1:25">
      <c r="A1800" s="91"/>
      <c r="B1800" s="176"/>
      <c r="C1800" s="176"/>
      <c r="D1800" s="176"/>
      <c r="E1800" s="176"/>
      <c r="F1800" s="176"/>
      <c r="G1800" s="176"/>
      <c r="H1800" s="176"/>
      <c r="I1800" s="176"/>
      <c r="J1800" s="176"/>
      <c r="K1800" s="176"/>
      <c r="L1800" s="176"/>
      <c r="M1800" s="176"/>
      <c r="N1800" s="176"/>
      <c r="O1800" s="176"/>
      <c r="P1800" s="176"/>
      <c r="Q1800" s="176"/>
      <c r="R1800" s="176"/>
      <c r="S1800" s="176"/>
      <c r="T1800" s="176"/>
      <c r="U1800" s="176"/>
      <c r="V1800" s="176"/>
      <c r="W1800" s="176"/>
      <c r="X1800" s="176"/>
      <c r="Y1800" s="176"/>
    </row>
    <row r="1801" spans="1:25">
      <c r="A1801" s="91"/>
      <c r="B1801" s="176"/>
      <c r="C1801" s="176"/>
      <c r="D1801" s="176"/>
      <c r="E1801" s="176"/>
      <c r="F1801" s="176"/>
      <c r="G1801" s="176"/>
      <c r="H1801" s="176"/>
      <c r="I1801" s="176"/>
      <c r="J1801" s="176"/>
      <c r="K1801" s="176"/>
      <c r="L1801" s="176"/>
      <c r="M1801" s="176"/>
      <c r="N1801" s="176"/>
      <c r="O1801" s="176"/>
      <c r="P1801" s="176"/>
      <c r="Q1801" s="176"/>
      <c r="R1801" s="176"/>
      <c r="S1801" s="176"/>
      <c r="T1801" s="176"/>
      <c r="U1801" s="176"/>
      <c r="V1801" s="176"/>
      <c r="W1801" s="176"/>
      <c r="X1801" s="176"/>
      <c r="Y1801" s="176"/>
    </row>
    <row r="1802" spans="1:25">
      <c r="A1802" s="91"/>
      <c r="B1802" s="176"/>
      <c r="C1802" s="176"/>
      <c r="D1802" s="176"/>
      <c r="E1802" s="176"/>
      <c r="F1802" s="176"/>
      <c r="G1802" s="176"/>
      <c r="H1802" s="176"/>
      <c r="I1802" s="176"/>
      <c r="J1802" s="176"/>
      <c r="K1802" s="176"/>
      <c r="L1802" s="176"/>
      <c r="M1802" s="176"/>
      <c r="N1802" s="176"/>
      <c r="O1802" s="176"/>
      <c r="P1802" s="176"/>
      <c r="Q1802" s="176"/>
      <c r="R1802" s="176"/>
      <c r="S1802" s="176"/>
      <c r="T1802" s="176"/>
      <c r="U1802" s="176"/>
      <c r="V1802" s="176"/>
      <c r="W1802" s="176"/>
      <c r="X1802" s="176"/>
      <c r="Y1802" s="176"/>
    </row>
    <row r="1803" spans="1:25">
      <c r="A1803" s="91"/>
      <c r="B1803" s="176"/>
      <c r="C1803" s="176"/>
      <c r="D1803" s="176"/>
      <c r="E1803" s="176"/>
      <c r="F1803" s="176"/>
      <c r="G1803" s="176"/>
      <c r="H1803" s="176"/>
      <c r="I1803" s="176"/>
      <c r="J1803" s="176"/>
      <c r="K1803" s="176"/>
      <c r="L1803" s="176"/>
      <c r="M1803" s="176"/>
      <c r="N1803" s="176"/>
      <c r="O1803" s="176"/>
      <c r="P1803" s="176"/>
      <c r="Q1803" s="176"/>
      <c r="R1803" s="176"/>
      <c r="S1803" s="176"/>
      <c r="T1803" s="176"/>
      <c r="U1803" s="176"/>
      <c r="V1803" s="176"/>
      <c r="W1803" s="176"/>
      <c r="X1803" s="176"/>
      <c r="Y1803" s="176"/>
    </row>
    <row r="1804" spans="1:25">
      <c r="A1804" s="91"/>
      <c r="B1804" s="176"/>
      <c r="C1804" s="176"/>
      <c r="D1804" s="176"/>
      <c r="E1804" s="176"/>
      <c r="F1804" s="176"/>
      <c r="G1804" s="176"/>
      <c r="H1804" s="176"/>
      <c r="I1804" s="176"/>
      <c r="J1804" s="176"/>
      <c r="K1804" s="176"/>
      <c r="L1804" s="176"/>
      <c r="M1804" s="176"/>
      <c r="N1804" s="176"/>
      <c r="O1804" s="176"/>
      <c r="P1804" s="176"/>
      <c r="Q1804" s="176"/>
      <c r="R1804" s="176"/>
      <c r="S1804" s="176"/>
      <c r="T1804" s="176"/>
      <c r="U1804" s="176"/>
      <c r="V1804" s="176"/>
      <c r="W1804" s="176"/>
      <c r="X1804" s="176"/>
      <c r="Y1804" s="176"/>
    </row>
    <row r="1805" spans="1:25">
      <c r="A1805" s="91"/>
      <c r="B1805" s="176"/>
      <c r="C1805" s="176"/>
      <c r="D1805" s="176"/>
      <c r="E1805" s="176"/>
      <c r="F1805" s="176"/>
      <c r="G1805" s="176"/>
      <c r="H1805" s="176"/>
      <c r="I1805" s="176"/>
      <c r="J1805" s="176"/>
      <c r="K1805" s="176"/>
      <c r="L1805" s="176"/>
      <c r="M1805" s="176"/>
      <c r="N1805" s="176"/>
      <c r="O1805" s="176"/>
      <c r="P1805" s="176"/>
      <c r="Q1805" s="176"/>
      <c r="R1805" s="176"/>
      <c r="S1805" s="176"/>
      <c r="T1805" s="176"/>
      <c r="U1805" s="176"/>
      <c r="V1805" s="176"/>
      <c r="W1805" s="176"/>
      <c r="X1805" s="176"/>
      <c r="Y1805" s="176"/>
    </row>
    <row r="1806" spans="1:25">
      <c r="A1806" s="91"/>
      <c r="B1806" s="176"/>
      <c r="C1806" s="176"/>
      <c r="D1806" s="176"/>
      <c r="E1806" s="176"/>
      <c r="F1806" s="176"/>
      <c r="G1806" s="176"/>
      <c r="H1806" s="176"/>
      <c r="I1806" s="176"/>
      <c r="J1806" s="176"/>
      <c r="K1806" s="176"/>
      <c r="L1806" s="176"/>
      <c r="M1806" s="176"/>
      <c r="N1806" s="176"/>
      <c r="O1806" s="176"/>
      <c r="P1806" s="176"/>
      <c r="Q1806" s="176"/>
      <c r="R1806" s="176"/>
      <c r="S1806" s="176"/>
      <c r="T1806" s="176"/>
      <c r="U1806" s="176"/>
      <c r="V1806" s="176"/>
      <c r="W1806" s="176"/>
      <c r="X1806" s="176"/>
      <c r="Y1806" s="176"/>
    </row>
    <row r="1807" spans="1:25">
      <c r="A1807" s="91"/>
      <c r="B1807" s="176"/>
      <c r="C1807" s="176"/>
      <c r="D1807" s="176"/>
      <c r="E1807" s="176"/>
      <c r="F1807" s="176"/>
      <c r="G1807" s="176"/>
      <c r="H1807" s="176"/>
      <c r="I1807" s="176"/>
      <c r="J1807" s="176"/>
      <c r="K1807" s="176"/>
      <c r="L1807" s="176"/>
      <c r="M1807" s="176"/>
      <c r="N1807" s="176"/>
      <c r="O1807" s="176"/>
      <c r="P1807" s="176"/>
      <c r="Q1807" s="176"/>
      <c r="R1807" s="176"/>
      <c r="S1807" s="176"/>
      <c r="T1807" s="176"/>
      <c r="U1807" s="176"/>
      <c r="V1807" s="176"/>
      <c r="W1807" s="176"/>
      <c r="X1807" s="176"/>
      <c r="Y1807" s="176"/>
    </row>
    <row r="1808" spans="1:25">
      <c r="A1808" s="91"/>
      <c r="B1808" s="176"/>
      <c r="C1808" s="176"/>
      <c r="D1808" s="176"/>
      <c r="E1808" s="176"/>
      <c r="F1808" s="176"/>
      <c r="G1808" s="176"/>
      <c r="H1808" s="176"/>
      <c r="I1808" s="176"/>
      <c r="J1808" s="176"/>
      <c r="K1808" s="176"/>
      <c r="L1808" s="176"/>
      <c r="M1808" s="176"/>
      <c r="N1808" s="176"/>
      <c r="O1808" s="176"/>
      <c r="P1808" s="176"/>
      <c r="Q1808" s="176"/>
      <c r="R1808" s="176"/>
      <c r="S1808" s="176"/>
      <c r="T1808" s="176"/>
      <c r="U1808" s="176"/>
      <c r="V1808" s="176"/>
      <c r="W1808" s="176"/>
      <c r="X1808" s="176"/>
      <c r="Y1808" s="176"/>
    </row>
    <row r="1809" spans="1:25">
      <c r="A1809" s="91"/>
      <c r="B1809" s="176"/>
      <c r="C1809" s="176"/>
      <c r="D1809" s="176"/>
      <c r="E1809" s="176"/>
      <c r="F1809" s="176"/>
      <c r="G1809" s="176"/>
      <c r="H1809" s="176"/>
      <c r="I1809" s="176"/>
      <c r="J1809" s="176"/>
      <c r="K1809" s="176"/>
      <c r="L1809" s="176"/>
      <c r="M1809" s="176"/>
      <c r="N1809" s="176"/>
      <c r="O1809" s="176"/>
      <c r="P1809" s="176"/>
      <c r="Q1809" s="176"/>
      <c r="R1809" s="176"/>
      <c r="S1809" s="176"/>
      <c r="T1809" s="176"/>
      <c r="U1809" s="176"/>
      <c r="V1809" s="176"/>
      <c r="W1809" s="176"/>
      <c r="X1809" s="176"/>
      <c r="Y1809" s="176"/>
    </row>
    <row r="1810" spans="1:25">
      <c r="A1810" s="91"/>
      <c r="B1810" s="176"/>
      <c r="C1810" s="176"/>
      <c r="D1810" s="176"/>
      <c r="E1810" s="176"/>
      <c r="F1810" s="176"/>
      <c r="G1810" s="176"/>
      <c r="H1810" s="176"/>
      <c r="I1810" s="176"/>
      <c r="J1810" s="176"/>
      <c r="K1810" s="176"/>
      <c r="L1810" s="176"/>
      <c r="M1810" s="176"/>
      <c r="N1810" s="176"/>
      <c r="O1810" s="176"/>
      <c r="P1810" s="176"/>
      <c r="Q1810" s="176"/>
      <c r="R1810" s="176"/>
      <c r="S1810" s="176"/>
      <c r="T1810" s="176"/>
      <c r="U1810" s="176"/>
      <c r="V1810" s="176"/>
      <c r="W1810" s="176"/>
      <c r="X1810" s="176"/>
      <c r="Y1810" s="176"/>
    </row>
    <row r="1811" spans="1:25">
      <c r="A1811" s="91"/>
      <c r="B1811" s="176"/>
      <c r="C1811" s="176"/>
      <c r="D1811" s="176"/>
      <c r="E1811" s="176"/>
      <c r="F1811" s="176"/>
      <c r="G1811" s="176"/>
      <c r="H1811" s="176"/>
      <c r="I1811" s="176"/>
      <c r="J1811" s="176"/>
      <c r="K1811" s="176"/>
      <c r="L1811" s="176"/>
      <c r="M1811" s="176"/>
      <c r="N1811" s="176"/>
      <c r="O1811" s="176"/>
      <c r="P1811" s="176"/>
      <c r="Q1811" s="176"/>
      <c r="R1811" s="176"/>
      <c r="S1811" s="176"/>
      <c r="T1811" s="176"/>
      <c r="U1811" s="176"/>
      <c r="V1811" s="176"/>
      <c r="W1811" s="176"/>
      <c r="X1811" s="176"/>
      <c r="Y1811" s="176"/>
    </row>
    <row r="1812" spans="1:25">
      <c r="A1812" s="91"/>
      <c r="B1812" s="176"/>
      <c r="C1812" s="176"/>
      <c r="D1812" s="176"/>
      <c r="E1812" s="176"/>
      <c r="F1812" s="176"/>
      <c r="G1812" s="176"/>
      <c r="H1812" s="176"/>
      <c r="I1812" s="176"/>
      <c r="J1812" s="176"/>
      <c r="K1812" s="176"/>
      <c r="L1812" s="176"/>
      <c r="M1812" s="176"/>
      <c r="N1812" s="176"/>
      <c r="O1812" s="176"/>
      <c r="P1812" s="176"/>
      <c r="Q1812" s="176"/>
      <c r="R1812" s="176"/>
      <c r="S1812" s="176"/>
      <c r="T1812" s="176"/>
      <c r="U1812" s="176"/>
      <c r="V1812" s="176"/>
      <c r="W1812" s="176"/>
      <c r="X1812" s="176"/>
      <c r="Y1812" s="176"/>
    </row>
    <row r="1813" spans="1:25">
      <c r="A1813" s="91"/>
      <c r="B1813" s="176"/>
      <c r="C1813" s="176"/>
      <c r="D1813" s="176"/>
      <c r="E1813" s="176"/>
      <c r="F1813" s="176"/>
      <c r="G1813" s="176"/>
      <c r="H1813" s="176"/>
      <c r="I1813" s="176"/>
      <c r="J1813" s="176"/>
      <c r="K1813" s="176"/>
      <c r="L1813" s="176"/>
      <c r="M1813" s="176"/>
      <c r="N1813" s="176"/>
      <c r="O1813" s="176"/>
      <c r="P1813" s="176"/>
      <c r="Q1813" s="176"/>
      <c r="R1813" s="176"/>
      <c r="S1813" s="176"/>
      <c r="T1813" s="176"/>
      <c r="U1813" s="176"/>
      <c r="V1813" s="176"/>
      <c r="W1813" s="176"/>
      <c r="X1813" s="176"/>
      <c r="Y1813" s="176"/>
    </row>
    <row r="1814" spans="1:25">
      <c r="A1814" s="91"/>
      <c r="B1814" s="176"/>
      <c r="C1814" s="176"/>
      <c r="D1814" s="176"/>
      <c r="E1814" s="176"/>
      <c r="F1814" s="176"/>
      <c r="G1814" s="176"/>
      <c r="H1814" s="176"/>
      <c r="I1814" s="176"/>
      <c r="J1814" s="176"/>
      <c r="K1814" s="176"/>
      <c r="L1814" s="176"/>
      <c r="M1814" s="176"/>
      <c r="N1814" s="176"/>
      <c r="O1814" s="176"/>
      <c r="P1814" s="176"/>
      <c r="Q1814" s="176"/>
      <c r="R1814" s="176"/>
      <c r="S1814" s="176"/>
      <c r="T1814" s="176"/>
      <c r="U1814" s="176"/>
      <c r="V1814" s="176"/>
      <c r="W1814" s="176"/>
      <c r="X1814" s="176"/>
      <c r="Y1814" s="176"/>
    </row>
    <row r="1815" spans="1:25">
      <c r="A1815" s="91"/>
      <c r="B1815" s="176"/>
      <c r="C1815" s="176"/>
      <c r="D1815" s="176"/>
      <c r="E1815" s="176"/>
      <c r="F1815" s="176"/>
      <c r="G1815" s="176"/>
      <c r="H1815" s="176"/>
      <c r="I1815" s="176"/>
      <c r="J1815" s="176"/>
      <c r="K1815" s="176"/>
      <c r="L1815" s="176"/>
      <c r="M1815" s="176"/>
      <c r="N1815" s="176"/>
      <c r="O1815" s="176"/>
      <c r="P1815" s="176"/>
      <c r="Q1815" s="176"/>
      <c r="R1815" s="176"/>
      <c r="S1815" s="176"/>
      <c r="T1815" s="176"/>
      <c r="U1815" s="176"/>
      <c r="V1815" s="176"/>
      <c r="W1815" s="176"/>
      <c r="X1815" s="176"/>
      <c r="Y1815" s="176"/>
    </row>
    <row r="1816" spans="1:25">
      <c r="A1816" s="91"/>
      <c r="B1816" s="176"/>
      <c r="C1816" s="176"/>
      <c r="D1816" s="176"/>
      <c r="E1816" s="176"/>
      <c r="F1816" s="176"/>
      <c r="G1816" s="176"/>
      <c r="H1816" s="176"/>
      <c r="I1816" s="176"/>
      <c r="J1816" s="176"/>
      <c r="K1816" s="176"/>
      <c r="L1816" s="176"/>
      <c r="M1816" s="176"/>
      <c r="N1816" s="176"/>
      <c r="O1816" s="176"/>
      <c r="P1816" s="176"/>
      <c r="Q1816" s="176"/>
      <c r="R1816" s="176"/>
      <c r="S1816" s="176"/>
      <c r="T1816" s="176"/>
      <c r="U1816" s="176"/>
      <c r="V1816" s="176"/>
      <c r="W1816" s="176"/>
      <c r="X1816" s="176"/>
      <c r="Y1816" s="176"/>
    </row>
    <row r="1817" spans="1:25">
      <c r="A1817" s="91"/>
      <c r="B1817" s="176"/>
      <c r="C1817" s="176"/>
      <c r="D1817" s="176"/>
      <c r="E1817" s="176"/>
      <c r="F1817" s="176"/>
      <c r="G1817" s="176"/>
      <c r="H1817" s="176"/>
      <c r="I1817" s="176"/>
      <c r="J1817" s="176"/>
      <c r="K1817" s="176"/>
      <c r="L1817" s="176"/>
      <c r="M1817" s="176"/>
      <c r="N1817" s="176"/>
      <c r="O1817" s="176"/>
      <c r="P1817" s="176"/>
      <c r="Q1817" s="176"/>
      <c r="R1817" s="176"/>
      <c r="S1817" s="176"/>
      <c r="T1817" s="176"/>
      <c r="U1817" s="176"/>
      <c r="V1817" s="176"/>
      <c r="W1817" s="176"/>
      <c r="X1817" s="176"/>
      <c r="Y1817" s="176"/>
    </row>
    <row r="1818" spans="1:25">
      <c r="A1818" s="91"/>
      <c r="B1818" s="176"/>
      <c r="C1818" s="176"/>
      <c r="D1818" s="176"/>
      <c r="E1818" s="176"/>
      <c r="F1818" s="176"/>
      <c r="G1818" s="176"/>
      <c r="H1818" s="176"/>
      <c r="I1818" s="176"/>
      <c r="J1818" s="176"/>
      <c r="K1818" s="176"/>
      <c r="L1818" s="176"/>
      <c r="M1818" s="176"/>
      <c r="N1818" s="176"/>
      <c r="O1818" s="176"/>
      <c r="P1818" s="176"/>
      <c r="Q1818" s="176"/>
      <c r="R1818" s="176"/>
      <c r="S1818" s="176"/>
      <c r="T1818" s="176"/>
      <c r="U1818" s="176"/>
      <c r="V1818" s="176"/>
      <c r="W1818" s="176"/>
      <c r="X1818" s="176"/>
      <c r="Y1818" s="176"/>
    </row>
    <row r="1819" spans="1:25">
      <c r="A1819" s="91"/>
      <c r="B1819" s="176"/>
      <c r="C1819" s="176"/>
      <c r="D1819" s="176"/>
      <c r="E1819" s="176"/>
      <c r="F1819" s="176"/>
      <c r="G1819" s="176"/>
      <c r="H1819" s="176"/>
      <c r="I1819" s="176"/>
      <c r="J1819" s="176"/>
      <c r="K1819" s="176"/>
      <c r="L1819" s="176"/>
      <c r="M1819" s="176"/>
      <c r="N1819" s="176"/>
      <c r="O1819" s="176"/>
      <c r="P1819" s="176"/>
      <c r="Q1819" s="176"/>
      <c r="R1819" s="176"/>
      <c r="S1819" s="176"/>
      <c r="T1819" s="176"/>
      <c r="U1819" s="176"/>
      <c r="V1819" s="176"/>
      <c r="W1819" s="176"/>
      <c r="X1819" s="176"/>
      <c r="Y1819" s="176"/>
    </row>
    <row r="1820" spans="1:25">
      <c r="A1820" s="91"/>
      <c r="B1820" s="176"/>
      <c r="C1820" s="176"/>
      <c r="D1820" s="176"/>
      <c r="E1820" s="176"/>
      <c r="F1820" s="176"/>
      <c r="G1820" s="176"/>
      <c r="H1820" s="176"/>
      <c r="I1820" s="176"/>
      <c r="J1820" s="176"/>
      <c r="K1820" s="176"/>
      <c r="L1820" s="176"/>
      <c r="M1820" s="176"/>
      <c r="N1820" s="176"/>
      <c r="O1820" s="176"/>
      <c r="P1820" s="176"/>
      <c r="Q1820" s="176"/>
      <c r="R1820" s="176"/>
      <c r="S1820" s="176"/>
      <c r="T1820" s="176"/>
      <c r="U1820" s="176"/>
      <c r="V1820" s="176"/>
      <c r="W1820" s="176"/>
      <c r="X1820" s="176"/>
      <c r="Y1820" s="176"/>
    </row>
    <row r="1821" spans="1:25">
      <c r="A1821" s="91"/>
      <c r="B1821" s="176"/>
      <c r="C1821" s="176"/>
      <c r="D1821" s="176"/>
      <c r="E1821" s="176"/>
      <c r="F1821" s="176"/>
      <c r="G1821" s="176"/>
      <c r="H1821" s="176"/>
      <c r="I1821" s="176"/>
      <c r="J1821" s="176"/>
      <c r="K1821" s="176"/>
      <c r="L1821" s="176"/>
      <c r="M1821" s="176"/>
      <c r="N1821" s="176"/>
      <c r="O1821" s="176"/>
      <c r="P1821" s="176"/>
      <c r="Q1821" s="176"/>
      <c r="R1821" s="176"/>
      <c r="S1821" s="176"/>
      <c r="T1821" s="176"/>
      <c r="U1821" s="176"/>
      <c r="V1821" s="176"/>
      <c r="W1821" s="176"/>
      <c r="X1821" s="176"/>
      <c r="Y1821" s="176"/>
    </row>
    <row r="1822" spans="1:25">
      <c r="A1822" s="91"/>
      <c r="B1822" s="176"/>
      <c r="C1822" s="176"/>
      <c r="D1822" s="176"/>
      <c r="E1822" s="176"/>
      <c r="F1822" s="176"/>
      <c r="G1822" s="176"/>
      <c r="H1822" s="176"/>
      <c r="I1822" s="176"/>
      <c r="J1822" s="176"/>
      <c r="K1822" s="176"/>
      <c r="L1822" s="176"/>
      <c r="M1822" s="176"/>
      <c r="N1822" s="176"/>
      <c r="O1822" s="176"/>
      <c r="P1822" s="176"/>
      <c r="Q1822" s="176"/>
      <c r="R1822" s="176"/>
      <c r="S1822" s="176"/>
      <c r="T1822" s="176"/>
      <c r="U1822" s="176"/>
      <c r="V1822" s="176"/>
      <c r="W1822" s="176"/>
      <c r="X1822" s="176"/>
      <c r="Y1822" s="176"/>
    </row>
    <row r="1823" spans="1:25">
      <c r="A1823" s="91"/>
      <c r="B1823" s="176"/>
      <c r="C1823" s="176"/>
      <c r="D1823" s="176"/>
      <c r="E1823" s="176"/>
      <c r="F1823" s="176"/>
      <c r="G1823" s="176"/>
      <c r="H1823" s="176"/>
      <c r="I1823" s="176"/>
      <c r="J1823" s="176"/>
      <c r="K1823" s="176"/>
      <c r="L1823" s="176"/>
      <c r="M1823" s="176"/>
      <c r="N1823" s="176"/>
      <c r="O1823" s="176"/>
      <c r="P1823" s="176"/>
      <c r="Q1823" s="176"/>
      <c r="R1823" s="176"/>
      <c r="S1823" s="176"/>
      <c r="T1823" s="176"/>
      <c r="U1823" s="176"/>
      <c r="V1823" s="176"/>
      <c r="W1823" s="176"/>
      <c r="X1823" s="176"/>
      <c r="Y1823" s="176"/>
    </row>
    <row r="1824" spans="1:25">
      <c r="A1824" s="91"/>
      <c r="B1824" s="176"/>
      <c r="C1824" s="176"/>
      <c r="D1824" s="176"/>
      <c r="E1824" s="176"/>
      <c r="F1824" s="176"/>
      <c r="G1824" s="176"/>
      <c r="H1824" s="176"/>
      <c r="I1824" s="176"/>
      <c r="J1824" s="176"/>
      <c r="K1824" s="176"/>
      <c r="L1824" s="176"/>
      <c r="M1824" s="176"/>
      <c r="N1824" s="176"/>
      <c r="O1824" s="176"/>
      <c r="P1824" s="176"/>
      <c r="Q1824" s="176"/>
      <c r="R1824" s="176"/>
      <c r="S1824" s="176"/>
      <c r="T1824" s="176"/>
      <c r="U1824" s="176"/>
      <c r="V1824" s="176"/>
      <c r="W1824" s="176"/>
      <c r="X1824" s="176"/>
      <c r="Y1824" s="176"/>
    </row>
    <row r="1825" spans="1:25">
      <c r="A1825" s="91"/>
      <c r="B1825" s="176"/>
      <c r="C1825" s="176"/>
      <c r="D1825" s="176"/>
      <c r="E1825" s="176"/>
      <c r="F1825" s="176"/>
      <c r="G1825" s="176"/>
      <c r="H1825" s="176"/>
      <c r="I1825" s="176"/>
      <c r="J1825" s="176"/>
      <c r="K1825" s="176"/>
      <c r="L1825" s="176"/>
      <c r="M1825" s="176"/>
      <c r="N1825" s="176"/>
      <c r="O1825" s="176"/>
      <c r="P1825" s="176"/>
      <c r="Q1825" s="176"/>
      <c r="R1825" s="176"/>
      <c r="S1825" s="176"/>
      <c r="T1825" s="176"/>
      <c r="U1825" s="176"/>
      <c r="V1825" s="176"/>
      <c r="W1825" s="176"/>
      <c r="X1825" s="176"/>
      <c r="Y1825" s="176"/>
    </row>
    <row r="1826" spans="1:25">
      <c r="A1826" s="91"/>
      <c r="B1826" s="176"/>
      <c r="C1826" s="176"/>
      <c r="D1826" s="176"/>
      <c r="E1826" s="176"/>
      <c r="F1826" s="176"/>
      <c r="G1826" s="176"/>
      <c r="H1826" s="176"/>
      <c r="I1826" s="176"/>
      <c r="J1826" s="176"/>
      <c r="K1826" s="176"/>
      <c r="L1826" s="176"/>
      <c r="M1826" s="176"/>
      <c r="N1826" s="176"/>
      <c r="O1826" s="176"/>
      <c r="P1826" s="176"/>
      <c r="Q1826" s="176"/>
      <c r="R1826" s="176"/>
      <c r="S1826" s="176"/>
      <c r="T1826" s="176"/>
      <c r="U1826" s="176"/>
      <c r="V1826" s="176"/>
      <c r="W1826" s="176"/>
      <c r="X1826" s="176"/>
      <c r="Y1826" s="176"/>
    </row>
    <row r="1827" spans="1:25">
      <c r="A1827" s="91"/>
      <c r="B1827" s="176"/>
      <c r="C1827" s="176"/>
      <c r="D1827" s="176"/>
      <c r="E1827" s="176"/>
      <c r="F1827" s="176"/>
      <c r="G1827" s="176"/>
      <c r="H1827" s="176"/>
      <c r="I1827" s="176"/>
      <c r="J1827" s="176"/>
      <c r="K1827" s="176"/>
      <c r="L1827" s="176"/>
      <c r="M1827" s="176"/>
      <c r="N1827" s="176"/>
      <c r="O1827" s="176"/>
      <c r="P1827" s="176"/>
      <c r="Q1827" s="176"/>
      <c r="R1827" s="176"/>
      <c r="S1827" s="176"/>
      <c r="T1827" s="176"/>
      <c r="U1827" s="176"/>
      <c r="V1827" s="176"/>
      <c r="W1827" s="176"/>
      <c r="X1827" s="176"/>
      <c r="Y1827" s="176"/>
    </row>
    <row r="1828" spans="1:25">
      <c r="A1828" s="91"/>
      <c r="B1828" s="176"/>
      <c r="C1828" s="176"/>
      <c r="D1828" s="176"/>
      <c r="E1828" s="176"/>
      <c r="F1828" s="176"/>
      <c r="G1828" s="176"/>
      <c r="H1828" s="176"/>
      <c r="I1828" s="176"/>
      <c r="J1828" s="176"/>
      <c r="K1828" s="176"/>
      <c r="L1828" s="176"/>
      <c r="M1828" s="176"/>
      <c r="N1828" s="176"/>
      <c r="O1828" s="176"/>
      <c r="P1828" s="176"/>
      <c r="Q1828" s="176"/>
      <c r="R1828" s="176"/>
      <c r="S1828" s="176"/>
      <c r="T1828" s="176"/>
      <c r="U1828" s="176"/>
      <c r="V1828" s="176"/>
      <c r="W1828" s="176"/>
      <c r="X1828" s="176"/>
      <c r="Y1828" s="176"/>
    </row>
    <row r="1829" spans="1:25">
      <c r="A1829" s="91"/>
      <c r="B1829" s="176"/>
      <c r="C1829" s="176"/>
      <c r="D1829" s="176"/>
      <c r="E1829" s="176"/>
      <c r="F1829" s="176"/>
      <c r="G1829" s="176"/>
      <c r="H1829" s="176"/>
      <c r="I1829" s="176"/>
      <c r="J1829" s="176"/>
      <c r="K1829" s="176"/>
      <c r="L1829" s="176"/>
      <c r="M1829" s="176"/>
      <c r="N1829" s="176"/>
      <c r="O1829" s="176"/>
      <c r="P1829" s="176"/>
      <c r="Q1829" s="176"/>
      <c r="R1829" s="176"/>
      <c r="S1829" s="176"/>
      <c r="T1829" s="176"/>
      <c r="U1829" s="176"/>
      <c r="V1829" s="176"/>
      <c r="W1829" s="176"/>
      <c r="X1829" s="176"/>
      <c r="Y1829" s="176"/>
    </row>
    <row r="1830" spans="1:25">
      <c r="A1830" s="91"/>
      <c r="B1830" s="176"/>
      <c r="C1830" s="176"/>
      <c r="D1830" s="176"/>
      <c r="E1830" s="176"/>
      <c r="F1830" s="176"/>
      <c r="G1830" s="176"/>
      <c r="H1830" s="176"/>
      <c r="I1830" s="176"/>
      <c r="J1830" s="176"/>
      <c r="K1830" s="176"/>
      <c r="L1830" s="176"/>
      <c r="M1830" s="176"/>
      <c r="N1830" s="176"/>
      <c r="O1830" s="176"/>
      <c r="P1830" s="176"/>
      <c r="Q1830" s="176"/>
      <c r="R1830" s="176"/>
      <c r="S1830" s="176"/>
      <c r="T1830" s="176"/>
      <c r="U1830" s="176"/>
      <c r="V1830" s="176"/>
      <c r="W1830" s="176"/>
      <c r="X1830" s="176"/>
      <c r="Y1830" s="176"/>
    </row>
    <row r="1831" spans="1:25">
      <c r="A1831" s="91"/>
      <c r="B1831" s="176"/>
      <c r="C1831" s="176"/>
      <c r="D1831" s="176"/>
      <c r="E1831" s="176"/>
      <c r="F1831" s="176"/>
      <c r="G1831" s="176"/>
      <c r="H1831" s="176"/>
      <c r="I1831" s="176"/>
      <c r="J1831" s="176"/>
      <c r="K1831" s="176"/>
      <c r="L1831" s="176"/>
      <c r="M1831" s="176"/>
      <c r="N1831" s="176"/>
      <c r="O1831" s="176"/>
      <c r="P1831" s="176"/>
      <c r="Q1831" s="176"/>
      <c r="R1831" s="176"/>
      <c r="S1831" s="176"/>
      <c r="T1831" s="176"/>
      <c r="U1831" s="176"/>
      <c r="V1831" s="176"/>
      <c r="W1831" s="176"/>
      <c r="X1831" s="176"/>
      <c r="Y1831" s="176"/>
    </row>
    <row r="1832" spans="1:25">
      <c r="A1832" s="91"/>
      <c r="B1832" s="176"/>
      <c r="C1832" s="176"/>
      <c r="D1832" s="176"/>
      <c r="E1832" s="176"/>
      <c r="F1832" s="176"/>
      <c r="G1832" s="176"/>
      <c r="H1832" s="176"/>
      <c r="I1832" s="176"/>
      <c r="J1832" s="176"/>
      <c r="K1832" s="176"/>
      <c r="L1832" s="176"/>
      <c r="M1832" s="176"/>
      <c r="N1832" s="176"/>
      <c r="O1832" s="176"/>
      <c r="P1832" s="176"/>
      <c r="Q1832" s="176"/>
      <c r="R1832" s="176"/>
      <c r="S1832" s="176"/>
      <c r="T1832" s="176"/>
      <c r="U1832" s="176"/>
      <c r="V1832" s="176"/>
      <c r="W1832" s="176"/>
      <c r="X1832" s="176"/>
      <c r="Y1832" s="176"/>
    </row>
    <row r="1833" spans="1:25">
      <c r="A1833" s="91"/>
      <c r="B1833" s="176"/>
      <c r="C1833" s="176"/>
      <c r="D1833" s="176"/>
      <c r="E1833" s="176"/>
      <c r="F1833" s="176"/>
      <c r="G1833" s="176"/>
      <c r="H1833" s="176"/>
      <c r="I1833" s="176"/>
      <c r="J1833" s="176"/>
      <c r="K1833" s="176"/>
      <c r="L1833" s="176"/>
      <c r="M1833" s="176"/>
      <c r="N1833" s="176"/>
      <c r="O1833" s="176"/>
      <c r="P1833" s="176"/>
      <c r="Q1833" s="176"/>
      <c r="R1833" s="176"/>
      <c r="S1833" s="176"/>
      <c r="T1833" s="176"/>
      <c r="U1833" s="176"/>
      <c r="V1833" s="176"/>
      <c r="W1833" s="176"/>
      <c r="X1833" s="176"/>
      <c r="Y1833" s="176"/>
    </row>
    <row r="1834" spans="1:25">
      <c r="A1834" s="91"/>
      <c r="B1834" s="176"/>
      <c r="C1834" s="176"/>
      <c r="D1834" s="176"/>
      <c r="E1834" s="176"/>
      <c r="F1834" s="176"/>
      <c r="G1834" s="176"/>
      <c r="H1834" s="176"/>
      <c r="I1834" s="176"/>
      <c r="J1834" s="176"/>
      <c r="K1834" s="176"/>
      <c r="L1834" s="176"/>
      <c r="M1834" s="176"/>
      <c r="N1834" s="176"/>
      <c r="O1834" s="176"/>
      <c r="P1834" s="176"/>
      <c r="Q1834" s="176"/>
      <c r="R1834" s="176"/>
      <c r="S1834" s="176"/>
      <c r="T1834" s="176"/>
      <c r="U1834" s="176"/>
      <c r="V1834" s="176"/>
      <c r="W1834" s="176"/>
      <c r="X1834" s="176"/>
      <c r="Y1834" s="176"/>
    </row>
    <row r="1835" spans="1:25">
      <c r="A1835" s="91"/>
      <c r="B1835" s="176"/>
      <c r="C1835" s="176"/>
      <c r="D1835" s="176"/>
      <c r="E1835" s="176"/>
      <c r="F1835" s="176"/>
      <c r="G1835" s="176"/>
      <c r="H1835" s="176"/>
      <c r="I1835" s="176"/>
      <c r="J1835" s="176"/>
      <c r="K1835" s="176"/>
      <c r="L1835" s="176"/>
      <c r="M1835" s="176"/>
      <c r="N1835" s="176"/>
      <c r="O1835" s="176"/>
      <c r="P1835" s="176"/>
      <c r="Q1835" s="176"/>
      <c r="R1835" s="176"/>
      <c r="S1835" s="176"/>
      <c r="T1835" s="176"/>
      <c r="U1835" s="176"/>
      <c r="V1835" s="176"/>
      <c r="W1835" s="176"/>
      <c r="X1835" s="176"/>
      <c r="Y1835" s="176"/>
    </row>
    <row r="1836" spans="1:25">
      <c r="A1836" s="91"/>
      <c r="B1836" s="176"/>
      <c r="C1836" s="176"/>
      <c r="D1836" s="176"/>
      <c r="E1836" s="176"/>
      <c r="F1836" s="176"/>
      <c r="G1836" s="176"/>
      <c r="H1836" s="176"/>
      <c r="I1836" s="176"/>
      <c r="J1836" s="176"/>
      <c r="K1836" s="176"/>
      <c r="L1836" s="176"/>
      <c r="M1836" s="176"/>
      <c r="N1836" s="176"/>
      <c r="O1836" s="176"/>
      <c r="P1836" s="176"/>
      <c r="Q1836" s="176"/>
      <c r="R1836" s="176"/>
      <c r="S1836" s="176"/>
      <c r="T1836" s="176"/>
      <c r="U1836" s="176"/>
      <c r="V1836" s="176"/>
      <c r="W1836" s="176"/>
      <c r="X1836" s="176"/>
      <c r="Y1836" s="176"/>
    </row>
    <row r="1837" spans="1:25">
      <c r="A1837" s="91"/>
      <c r="B1837" s="176"/>
      <c r="C1837" s="176"/>
      <c r="D1837" s="176"/>
      <c r="E1837" s="176"/>
      <c r="F1837" s="176"/>
      <c r="G1837" s="176"/>
      <c r="H1837" s="176"/>
      <c r="I1837" s="176"/>
      <c r="J1837" s="176"/>
      <c r="K1837" s="176"/>
      <c r="L1837" s="176"/>
      <c r="M1837" s="176"/>
      <c r="N1837" s="176"/>
      <c r="O1837" s="176"/>
      <c r="P1837" s="176"/>
      <c r="Q1837" s="176"/>
      <c r="R1837" s="176"/>
      <c r="S1837" s="176"/>
      <c r="T1837" s="176"/>
      <c r="U1837" s="176"/>
      <c r="V1837" s="176"/>
      <c r="W1837" s="176"/>
      <c r="X1837" s="176"/>
      <c r="Y1837" s="176"/>
    </row>
    <row r="1838" spans="1:25">
      <c r="A1838" s="91"/>
      <c r="B1838" s="176"/>
      <c r="C1838" s="176"/>
      <c r="D1838" s="176"/>
      <c r="E1838" s="176"/>
      <c r="F1838" s="176"/>
      <c r="G1838" s="176"/>
      <c r="H1838" s="176"/>
      <c r="I1838" s="176"/>
      <c r="J1838" s="176"/>
      <c r="K1838" s="176"/>
      <c r="L1838" s="176"/>
      <c r="M1838" s="176"/>
      <c r="N1838" s="176"/>
      <c r="O1838" s="176"/>
      <c r="P1838" s="176"/>
      <c r="Q1838" s="176"/>
      <c r="R1838" s="176"/>
      <c r="S1838" s="176"/>
      <c r="T1838" s="176"/>
      <c r="U1838" s="176"/>
      <c r="V1838" s="176"/>
      <c r="W1838" s="176"/>
      <c r="X1838" s="176"/>
      <c r="Y1838" s="176"/>
    </row>
    <row r="1839" spans="1:25">
      <c r="A1839" s="91"/>
      <c r="B1839" s="176"/>
      <c r="C1839" s="176"/>
      <c r="D1839" s="176"/>
      <c r="E1839" s="176"/>
      <c r="F1839" s="176"/>
      <c r="G1839" s="176"/>
      <c r="H1839" s="176"/>
      <c r="I1839" s="176"/>
      <c r="J1839" s="176"/>
      <c r="K1839" s="176"/>
      <c r="L1839" s="176"/>
      <c r="M1839" s="176"/>
      <c r="N1839" s="176"/>
      <c r="O1839" s="176"/>
      <c r="P1839" s="176"/>
      <c r="Q1839" s="176"/>
      <c r="R1839" s="176"/>
      <c r="S1839" s="176"/>
      <c r="T1839" s="176"/>
      <c r="U1839" s="176"/>
      <c r="V1839" s="176"/>
      <c r="W1839" s="176"/>
      <c r="X1839" s="176"/>
      <c r="Y1839" s="176"/>
    </row>
    <row r="1840" spans="1:25">
      <c r="A1840" s="91"/>
      <c r="B1840" s="176"/>
      <c r="C1840" s="176"/>
      <c r="D1840" s="176"/>
      <c r="E1840" s="176"/>
      <c r="F1840" s="176"/>
      <c r="G1840" s="176"/>
      <c r="H1840" s="176"/>
      <c r="I1840" s="176"/>
      <c r="J1840" s="176"/>
      <c r="K1840" s="176"/>
      <c r="L1840" s="176"/>
      <c r="M1840" s="176"/>
      <c r="N1840" s="176"/>
      <c r="O1840" s="176"/>
      <c r="P1840" s="176"/>
      <c r="Q1840" s="176"/>
      <c r="R1840" s="176"/>
      <c r="S1840" s="176"/>
      <c r="T1840" s="176"/>
      <c r="U1840" s="176"/>
      <c r="V1840" s="176"/>
      <c r="W1840" s="176"/>
      <c r="X1840" s="176"/>
      <c r="Y1840" s="176"/>
    </row>
    <row r="1841" spans="1:25">
      <c r="A1841" s="91"/>
      <c r="B1841" s="176"/>
      <c r="C1841" s="176"/>
      <c r="D1841" s="176"/>
      <c r="E1841" s="176"/>
      <c r="F1841" s="176"/>
      <c r="G1841" s="176"/>
      <c r="H1841" s="176"/>
      <c r="I1841" s="176"/>
      <c r="J1841" s="176"/>
      <c r="K1841" s="176"/>
      <c r="L1841" s="176"/>
      <c r="M1841" s="176"/>
      <c r="N1841" s="176"/>
      <c r="O1841" s="176"/>
      <c r="P1841" s="176"/>
      <c r="Q1841" s="176"/>
      <c r="R1841" s="176"/>
      <c r="S1841" s="176"/>
      <c r="T1841" s="176"/>
      <c r="U1841" s="176"/>
      <c r="V1841" s="176"/>
      <c r="W1841" s="176"/>
      <c r="X1841" s="176"/>
      <c r="Y1841" s="176"/>
    </row>
    <row r="1842" spans="1:25">
      <c r="A1842" s="91"/>
      <c r="B1842" s="176"/>
      <c r="C1842" s="176"/>
      <c r="D1842" s="176"/>
      <c r="E1842" s="176"/>
      <c r="F1842" s="176"/>
      <c r="G1842" s="176"/>
      <c r="H1842" s="176"/>
      <c r="I1842" s="176"/>
      <c r="J1842" s="176"/>
      <c r="K1842" s="176"/>
      <c r="L1842" s="176"/>
      <c r="M1842" s="176"/>
      <c r="N1842" s="176"/>
      <c r="O1842" s="176"/>
      <c r="P1842" s="176"/>
      <c r="Q1842" s="176"/>
      <c r="R1842" s="176"/>
      <c r="S1842" s="176"/>
      <c r="T1842" s="176"/>
      <c r="U1842" s="176"/>
      <c r="V1842" s="176"/>
      <c r="W1842" s="176"/>
      <c r="X1842" s="176"/>
      <c r="Y1842" s="176"/>
    </row>
    <row r="1843" spans="1:25">
      <c r="A1843" s="91"/>
      <c r="B1843" s="176"/>
      <c r="C1843" s="176"/>
      <c r="D1843" s="176"/>
      <c r="E1843" s="176"/>
      <c r="F1843" s="176"/>
      <c r="G1843" s="176"/>
      <c r="H1843" s="176"/>
      <c r="I1843" s="176"/>
      <c r="J1843" s="176"/>
      <c r="K1843" s="176"/>
      <c r="L1843" s="176"/>
      <c r="M1843" s="176"/>
      <c r="N1843" s="176"/>
      <c r="O1843" s="176"/>
      <c r="P1843" s="176"/>
      <c r="Q1843" s="176"/>
      <c r="R1843" s="176"/>
      <c r="S1843" s="176"/>
      <c r="T1843" s="176"/>
      <c r="U1843" s="176"/>
      <c r="V1843" s="176"/>
      <c r="W1843" s="176"/>
      <c r="X1843" s="176"/>
      <c r="Y1843" s="176"/>
    </row>
    <row r="1844" spans="1:25">
      <c r="A1844" s="91"/>
      <c r="B1844" s="176"/>
      <c r="C1844" s="176"/>
      <c r="D1844" s="176"/>
      <c r="E1844" s="176"/>
      <c r="F1844" s="176"/>
      <c r="G1844" s="176"/>
      <c r="H1844" s="176"/>
      <c r="I1844" s="176"/>
      <c r="J1844" s="176"/>
      <c r="K1844" s="176"/>
      <c r="L1844" s="176"/>
      <c r="M1844" s="176"/>
      <c r="N1844" s="176"/>
      <c r="O1844" s="176"/>
      <c r="P1844" s="176"/>
      <c r="Q1844" s="176"/>
      <c r="R1844" s="176"/>
      <c r="S1844" s="176"/>
      <c r="T1844" s="176"/>
      <c r="U1844" s="176"/>
      <c r="V1844" s="176"/>
      <c r="W1844" s="176"/>
      <c r="X1844" s="176"/>
      <c r="Y1844" s="176"/>
    </row>
    <row r="1845" spans="1:25">
      <c r="A1845" s="91"/>
      <c r="B1845" s="176"/>
      <c r="C1845" s="176"/>
      <c r="D1845" s="176"/>
      <c r="E1845" s="176"/>
      <c r="F1845" s="176"/>
      <c r="G1845" s="176"/>
      <c r="H1845" s="176"/>
      <c r="I1845" s="176"/>
      <c r="J1845" s="176"/>
      <c r="K1845" s="176"/>
      <c r="L1845" s="176"/>
      <c r="M1845" s="176"/>
      <c r="N1845" s="176"/>
      <c r="O1845" s="176"/>
      <c r="P1845" s="176"/>
      <c r="Q1845" s="176"/>
      <c r="R1845" s="176"/>
      <c r="S1845" s="176"/>
      <c r="T1845" s="176"/>
      <c r="U1845" s="176"/>
      <c r="V1845" s="176"/>
      <c r="W1845" s="176"/>
      <c r="X1845" s="176"/>
      <c r="Y1845" s="176"/>
    </row>
    <row r="1846" spans="1:25">
      <c r="A1846" s="91"/>
      <c r="B1846" s="176"/>
      <c r="C1846" s="176"/>
      <c r="D1846" s="176"/>
      <c r="E1846" s="176"/>
      <c r="F1846" s="176"/>
      <c r="G1846" s="176"/>
      <c r="H1846" s="176"/>
      <c r="I1846" s="176"/>
      <c r="J1846" s="176"/>
      <c r="K1846" s="176"/>
      <c r="L1846" s="176"/>
      <c r="M1846" s="176"/>
      <c r="N1846" s="176"/>
      <c r="O1846" s="176"/>
      <c r="P1846" s="176"/>
      <c r="Q1846" s="176"/>
      <c r="R1846" s="176"/>
      <c r="S1846" s="176"/>
      <c r="T1846" s="176"/>
      <c r="U1846" s="176"/>
      <c r="V1846" s="176"/>
      <c r="W1846" s="176"/>
      <c r="X1846" s="176"/>
      <c r="Y1846" s="176"/>
    </row>
    <row r="1847" spans="1:25">
      <c r="A1847" s="91"/>
      <c r="B1847" s="176"/>
      <c r="C1847" s="176"/>
      <c r="D1847" s="176"/>
      <c r="E1847" s="176"/>
      <c r="F1847" s="176"/>
      <c r="G1847" s="176"/>
      <c r="H1847" s="176"/>
      <c r="I1847" s="176"/>
      <c r="J1847" s="176"/>
      <c r="K1847" s="176"/>
      <c r="L1847" s="176"/>
      <c r="M1847" s="176"/>
      <c r="N1847" s="176"/>
      <c r="O1847" s="176"/>
      <c r="P1847" s="176"/>
      <c r="Q1847" s="176"/>
      <c r="R1847" s="176"/>
      <c r="S1847" s="176"/>
      <c r="T1847" s="176"/>
      <c r="U1847" s="176"/>
      <c r="V1847" s="176"/>
      <c r="W1847" s="176"/>
      <c r="X1847" s="176"/>
      <c r="Y1847" s="176"/>
    </row>
    <row r="1848" spans="1:25">
      <c r="A1848" s="91"/>
      <c r="B1848" s="176"/>
      <c r="C1848" s="176"/>
      <c r="D1848" s="176"/>
      <c r="E1848" s="176"/>
      <c r="F1848" s="176"/>
      <c r="G1848" s="176"/>
      <c r="H1848" s="176"/>
      <c r="I1848" s="176"/>
      <c r="J1848" s="176"/>
      <c r="K1848" s="176"/>
      <c r="L1848" s="176"/>
      <c r="M1848" s="176"/>
      <c r="N1848" s="176"/>
      <c r="O1848" s="176"/>
      <c r="P1848" s="176"/>
      <c r="Q1848" s="176"/>
      <c r="R1848" s="176"/>
      <c r="S1848" s="176"/>
      <c r="T1848" s="176"/>
      <c r="U1848" s="176"/>
      <c r="V1848" s="176"/>
      <c r="W1848" s="176"/>
      <c r="X1848" s="176"/>
      <c r="Y1848" s="176"/>
    </row>
    <row r="1849" spans="1:25">
      <c r="A1849" s="91"/>
      <c r="B1849" s="176"/>
      <c r="C1849" s="176"/>
      <c r="D1849" s="176"/>
      <c r="E1849" s="176"/>
      <c r="F1849" s="176"/>
      <c r="G1849" s="176"/>
      <c r="H1849" s="176"/>
      <c r="I1849" s="176"/>
      <c r="J1849" s="176"/>
      <c r="K1849" s="176"/>
      <c r="L1849" s="176"/>
      <c r="M1849" s="176"/>
      <c r="N1849" s="176"/>
      <c r="O1849" s="176"/>
      <c r="P1849" s="176"/>
      <c r="Q1849" s="176"/>
      <c r="R1849" s="176"/>
      <c r="S1849" s="176"/>
      <c r="T1849" s="176"/>
      <c r="U1849" s="176"/>
      <c r="V1849" s="176"/>
      <c r="W1849" s="176"/>
      <c r="X1849" s="176"/>
      <c r="Y1849" s="176"/>
    </row>
    <row r="1850" spans="1:25">
      <c r="A1850" s="91"/>
      <c r="B1850" s="176"/>
      <c r="C1850" s="176"/>
      <c r="D1850" s="176"/>
      <c r="E1850" s="176"/>
      <c r="F1850" s="176"/>
      <c r="G1850" s="176"/>
      <c r="H1850" s="176"/>
      <c r="I1850" s="176"/>
      <c r="J1850" s="176"/>
      <c r="K1850" s="176"/>
      <c r="L1850" s="176"/>
      <c r="M1850" s="176"/>
      <c r="N1850" s="176"/>
      <c r="O1850" s="176"/>
      <c r="P1850" s="176"/>
      <c r="Q1850" s="176"/>
      <c r="R1850" s="176"/>
      <c r="S1850" s="176"/>
      <c r="T1850" s="176"/>
      <c r="U1850" s="176"/>
      <c r="V1850" s="176"/>
      <c r="W1850" s="176"/>
      <c r="X1850" s="176"/>
      <c r="Y1850" s="176"/>
    </row>
    <row r="1851" spans="1:25">
      <c r="A1851" s="91"/>
      <c r="B1851" s="176"/>
      <c r="C1851" s="176"/>
      <c r="D1851" s="176"/>
      <c r="E1851" s="176"/>
      <c r="F1851" s="176"/>
      <c r="G1851" s="176"/>
      <c r="H1851" s="176"/>
      <c r="I1851" s="176"/>
      <c r="J1851" s="176"/>
      <c r="K1851" s="176"/>
      <c r="L1851" s="176"/>
      <c r="M1851" s="176"/>
      <c r="N1851" s="176"/>
      <c r="O1851" s="176"/>
      <c r="P1851" s="176"/>
      <c r="Q1851" s="176"/>
      <c r="R1851" s="176"/>
      <c r="S1851" s="176"/>
      <c r="T1851" s="176"/>
      <c r="U1851" s="176"/>
      <c r="V1851" s="176"/>
      <c r="W1851" s="176"/>
      <c r="X1851" s="176"/>
      <c r="Y1851" s="176"/>
    </row>
    <row r="1852" spans="1:25">
      <c r="A1852" s="91"/>
      <c r="B1852" s="176"/>
      <c r="C1852" s="176"/>
      <c r="D1852" s="176"/>
      <c r="E1852" s="176"/>
      <c r="F1852" s="176"/>
      <c r="G1852" s="176"/>
      <c r="H1852" s="176"/>
      <c r="I1852" s="176"/>
      <c r="J1852" s="176"/>
      <c r="K1852" s="176"/>
      <c r="L1852" s="176"/>
      <c r="M1852" s="176"/>
      <c r="N1852" s="176"/>
      <c r="O1852" s="176"/>
      <c r="P1852" s="176"/>
      <c r="Q1852" s="176"/>
      <c r="R1852" s="176"/>
      <c r="S1852" s="176"/>
      <c r="T1852" s="176"/>
      <c r="U1852" s="176"/>
      <c r="V1852" s="176"/>
      <c r="W1852" s="176"/>
      <c r="X1852" s="176"/>
      <c r="Y1852" s="176"/>
    </row>
    <row r="1853" spans="1:25">
      <c r="A1853" s="91"/>
      <c r="B1853" s="176"/>
      <c r="C1853" s="176"/>
      <c r="D1853" s="176"/>
      <c r="E1853" s="176"/>
      <c r="F1853" s="176"/>
      <c r="G1853" s="176"/>
      <c r="H1853" s="176"/>
      <c r="I1853" s="176"/>
      <c r="J1853" s="176"/>
      <c r="K1853" s="176"/>
      <c r="L1853" s="176"/>
      <c r="M1853" s="176"/>
      <c r="N1853" s="176"/>
      <c r="O1853" s="176"/>
      <c r="P1853" s="176"/>
      <c r="Q1853" s="176"/>
      <c r="R1853" s="176"/>
      <c r="S1853" s="176"/>
      <c r="T1853" s="176"/>
      <c r="U1853" s="176"/>
      <c r="V1853" s="176"/>
      <c r="W1853" s="176"/>
      <c r="X1853" s="176"/>
      <c r="Y1853" s="176"/>
    </row>
    <row r="1854" spans="1:25">
      <c r="A1854" s="91"/>
      <c r="B1854" s="176"/>
      <c r="C1854" s="176"/>
      <c r="D1854" s="176"/>
      <c r="E1854" s="176"/>
      <c r="F1854" s="176"/>
      <c r="G1854" s="176"/>
      <c r="H1854" s="176"/>
      <c r="I1854" s="176"/>
      <c r="J1854" s="176"/>
      <c r="K1854" s="176"/>
      <c r="L1854" s="176"/>
      <c r="M1854" s="176"/>
      <c r="N1854" s="176"/>
      <c r="O1854" s="176"/>
      <c r="P1854" s="176"/>
      <c r="Q1854" s="176"/>
      <c r="R1854" s="176"/>
      <c r="S1854" s="176"/>
      <c r="T1854" s="176"/>
      <c r="U1854" s="176"/>
      <c r="V1854" s="176"/>
      <c r="W1854" s="176"/>
      <c r="X1854" s="176"/>
      <c r="Y1854" s="176"/>
    </row>
    <row r="1855" spans="1:25">
      <c r="A1855" s="91"/>
      <c r="B1855" s="176"/>
      <c r="C1855" s="176"/>
      <c r="D1855" s="176"/>
      <c r="E1855" s="176"/>
      <c r="F1855" s="176"/>
      <c r="G1855" s="176"/>
      <c r="H1855" s="176"/>
      <c r="I1855" s="176"/>
      <c r="J1855" s="176"/>
      <c r="K1855" s="176"/>
      <c r="L1855" s="176"/>
      <c r="M1855" s="176"/>
      <c r="N1855" s="176"/>
      <c r="O1855" s="176"/>
      <c r="P1855" s="176"/>
      <c r="Q1855" s="176"/>
      <c r="R1855" s="176"/>
      <c r="S1855" s="176"/>
      <c r="T1855" s="176"/>
      <c r="U1855" s="176"/>
      <c r="V1855" s="176"/>
      <c r="W1855" s="176"/>
      <c r="X1855" s="176"/>
      <c r="Y1855" s="176"/>
    </row>
    <row r="1856" spans="1:25">
      <c r="A1856" s="91"/>
      <c r="B1856" s="176"/>
      <c r="C1856" s="176"/>
      <c r="D1856" s="176"/>
      <c r="E1856" s="176"/>
      <c r="F1856" s="176"/>
      <c r="G1856" s="176"/>
      <c r="H1856" s="176"/>
      <c r="I1856" s="176"/>
      <c r="J1856" s="176"/>
      <c r="K1856" s="176"/>
      <c r="L1856" s="176"/>
      <c r="M1856" s="176"/>
      <c r="N1856" s="176"/>
      <c r="O1856" s="176"/>
      <c r="P1856" s="176"/>
      <c r="Q1856" s="176"/>
      <c r="R1856" s="176"/>
      <c r="S1856" s="176"/>
      <c r="T1856" s="176"/>
      <c r="U1856" s="176"/>
      <c r="V1856" s="176"/>
      <c r="W1856" s="176"/>
      <c r="X1856" s="176"/>
      <c r="Y1856" s="176"/>
    </row>
    <row r="1857" spans="1:25">
      <c r="A1857" s="91"/>
      <c r="B1857" s="176"/>
      <c r="C1857" s="176"/>
      <c r="D1857" s="176"/>
      <c r="E1857" s="176"/>
      <c r="F1857" s="176"/>
      <c r="G1857" s="176"/>
      <c r="H1857" s="176"/>
      <c r="I1857" s="176"/>
      <c r="J1857" s="176"/>
      <c r="K1857" s="176"/>
      <c r="L1857" s="176"/>
      <c r="M1857" s="176"/>
      <c r="N1857" s="176"/>
      <c r="O1857" s="176"/>
      <c r="P1857" s="176"/>
      <c r="Q1857" s="176"/>
      <c r="R1857" s="176"/>
      <c r="S1857" s="176"/>
      <c r="T1857" s="176"/>
      <c r="U1857" s="176"/>
      <c r="V1857" s="176"/>
      <c r="W1857" s="176"/>
      <c r="X1857" s="176"/>
      <c r="Y1857" s="176"/>
    </row>
    <row r="1858" spans="1:25">
      <c r="A1858" s="91"/>
      <c r="B1858" s="176"/>
      <c r="C1858" s="176"/>
      <c r="D1858" s="176"/>
      <c r="E1858" s="176"/>
      <c r="F1858" s="176"/>
      <c r="G1858" s="176"/>
      <c r="H1858" s="176"/>
      <c r="I1858" s="176"/>
      <c r="J1858" s="176"/>
      <c r="K1858" s="176"/>
      <c r="L1858" s="176"/>
      <c r="M1858" s="176"/>
      <c r="N1858" s="176"/>
      <c r="O1858" s="176"/>
      <c r="P1858" s="176"/>
      <c r="Q1858" s="176"/>
      <c r="R1858" s="176"/>
      <c r="S1858" s="176"/>
      <c r="T1858" s="176"/>
      <c r="U1858" s="176"/>
      <c r="V1858" s="176"/>
      <c r="W1858" s="176"/>
      <c r="X1858" s="176"/>
      <c r="Y1858" s="176"/>
    </row>
    <row r="1859" spans="1:25">
      <c r="A1859" s="91"/>
      <c r="B1859" s="176"/>
      <c r="C1859" s="176"/>
      <c r="D1859" s="176"/>
      <c r="E1859" s="176"/>
      <c r="F1859" s="176"/>
      <c r="G1859" s="176"/>
      <c r="H1859" s="176"/>
      <c r="I1859" s="176"/>
      <c r="J1859" s="176"/>
      <c r="K1859" s="176"/>
      <c r="L1859" s="176"/>
      <c r="M1859" s="176"/>
      <c r="N1859" s="176"/>
      <c r="O1859" s="176"/>
      <c r="P1859" s="176"/>
      <c r="Q1859" s="176"/>
      <c r="R1859" s="176"/>
      <c r="S1859" s="176"/>
      <c r="T1859" s="176"/>
      <c r="U1859" s="176"/>
      <c r="V1859" s="176"/>
      <c r="W1859" s="176"/>
      <c r="X1859" s="176"/>
      <c r="Y1859" s="176"/>
    </row>
    <row r="1860" spans="1:25">
      <c r="A1860" s="91"/>
      <c r="B1860" s="176"/>
      <c r="C1860" s="176"/>
      <c r="D1860" s="176"/>
      <c r="E1860" s="176"/>
      <c r="F1860" s="176"/>
      <c r="G1860" s="176"/>
      <c r="H1860" s="176"/>
      <c r="I1860" s="176"/>
      <c r="J1860" s="176"/>
      <c r="K1860" s="176"/>
      <c r="L1860" s="176"/>
      <c r="M1860" s="176"/>
      <c r="N1860" s="176"/>
      <c r="O1860" s="176"/>
      <c r="P1860" s="176"/>
      <c r="Q1860" s="176"/>
      <c r="R1860" s="176"/>
      <c r="S1860" s="176"/>
      <c r="T1860" s="176"/>
      <c r="U1860" s="176"/>
      <c r="V1860" s="176"/>
      <c r="W1860" s="176"/>
      <c r="X1860" s="176"/>
      <c r="Y1860" s="176"/>
    </row>
    <row r="1861" spans="1:25">
      <c r="A1861" s="91"/>
      <c r="B1861" s="176"/>
      <c r="C1861" s="176"/>
      <c r="D1861" s="176"/>
      <c r="E1861" s="176"/>
      <c r="F1861" s="176"/>
      <c r="G1861" s="176"/>
      <c r="H1861" s="176"/>
      <c r="I1861" s="176"/>
      <c r="J1861" s="176"/>
      <c r="K1861" s="176"/>
      <c r="L1861" s="176"/>
      <c r="M1861" s="176"/>
      <c r="N1861" s="176"/>
      <c r="O1861" s="176"/>
      <c r="P1861" s="176"/>
      <c r="Q1861" s="176"/>
      <c r="R1861" s="176"/>
      <c r="S1861" s="176"/>
      <c r="T1861" s="176"/>
      <c r="U1861" s="176"/>
      <c r="V1861" s="176"/>
      <c r="W1861" s="176"/>
      <c r="X1861" s="176"/>
      <c r="Y1861" s="176"/>
    </row>
    <row r="1862" spans="1:25">
      <c r="A1862" s="91"/>
      <c r="B1862" s="176"/>
      <c r="C1862" s="176"/>
      <c r="D1862" s="176"/>
      <c r="E1862" s="176"/>
      <c r="F1862" s="176"/>
      <c r="G1862" s="176"/>
      <c r="H1862" s="176"/>
      <c r="I1862" s="176"/>
      <c r="J1862" s="176"/>
      <c r="K1862" s="176"/>
      <c r="L1862" s="176"/>
      <c r="M1862" s="176"/>
      <c r="N1862" s="176"/>
      <c r="O1862" s="176"/>
      <c r="P1862" s="176"/>
      <c r="Q1862" s="176"/>
      <c r="R1862" s="176"/>
      <c r="S1862" s="176"/>
      <c r="T1862" s="176"/>
      <c r="U1862" s="176"/>
      <c r="V1862" s="176"/>
      <c r="W1862" s="176"/>
      <c r="X1862" s="176"/>
      <c r="Y1862" s="176"/>
    </row>
    <row r="1863" spans="1:25">
      <c r="A1863" s="91"/>
      <c r="B1863" s="176"/>
      <c r="C1863" s="176"/>
      <c r="D1863" s="176"/>
      <c r="E1863" s="176"/>
      <c r="F1863" s="176"/>
      <c r="G1863" s="176"/>
      <c r="H1863" s="176"/>
      <c r="I1863" s="176"/>
      <c r="J1863" s="176"/>
      <c r="K1863" s="176"/>
      <c r="L1863" s="176"/>
      <c r="M1863" s="176"/>
      <c r="N1863" s="176"/>
      <c r="O1863" s="176"/>
      <c r="P1863" s="176"/>
      <c r="Q1863" s="176"/>
      <c r="R1863" s="176"/>
      <c r="S1863" s="176"/>
      <c r="T1863" s="176"/>
      <c r="U1863" s="176"/>
      <c r="V1863" s="176"/>
      <c r="W1863" s="176"/>
      <c r="X1863" s="176"/>
      <c r="Y1863" s="176"/>
    </row>
    <row r="1864" spans="1:25">
      <c r="A1864" s="91"/>
      <c r="B1864" s="176"/>
      <c r="C1864" s="176"/>
      <c r="D1864" s="176"/>
      <c r="E1864" s="176"/>
      <c r="F1864" s="176"/>
      <c r="G1864" s="176"/>
      <c r="H1864" s="176"/>
      <c r="I1864" s="176"/>
      <c r="J1864" s="176"/>
      <c r="K1864" s="176"/>
      <c r="L1864" s="176"/>
      <c r="M1864" s="176"/>
      <c r="N1864" s="176"/>
      <c r="O1864" s="176"/>
      <c r="P1864" s="176"/>
      <c r="Q1864" s="176"/>
      <c r="R1864" s="176"/>
      <c r="S1864" s="176"/>
      <c r="T1864" s="176"/>
      <c r="U1864" s="176"/>
      <c r="V1864" s="176"/>
      <c r="W1864" s="176"/>
      <c r="X1864" s="176"/>
      <c r="Y1864" s="176"/>
    </row>
    <row r="1865" spans="1:25">
      <c r="A1865" s="91"/>
      <c r="B1865" s="176"/>
      <c r="C1865" s="176"/>
      <c r="D1865" s="176"/>
      <c r="E1865" s="176"/>
      <c r="F1865" s="176"/>
      <c r="G1865" s="176"/>
      <c r="H1865" s="176"/>
      <c r="I1865" s="176"/>
      <c r="J1865" s="176"/>
      <c r="K1865" s="176"/>
      <c r="L1865" s="176"/>
      <c r="M1865" s="176"/>
      <c r="N1865" s="176"/>
      <c r="O1865" s="176"/>
      <c r="P1865" s="176"/>
      <c r="Q1865" s="176"/>
      <c r="R1865" s="176"/>
      <c r="S1865" s="176"/>
      <c r="T1865" s="176"/>
      <c r="U1865" s="176"/>
      <c r="V1865" s="176"/>
      <c r="W1865" s="176"/>
      <c r="X1865" s="176"/>
      <c r="Y1865" s="176"/>
    </row>
    <row r="1866" spans="1:25">
      <c r="A1866" s="91"/>
      <c r="B1866" s="176"/>
      <c r="C1866" s="176"/>
      <c r="D1866" s="176"/>
      <c r="E1866" s="176"/>
      <c r="F1866" s="176"/>
      <c r="G1866" s="176"/>
      <c r="H1866" s="176"/>
      <c r="I1866" s="176"/>
      <c r="J1866" s="176"/>
      <c r="K1866" s="176"/>
      <c r="L1866" s="176"/>
      <c r="M1866" s="176"/>
      <c r="N1866" s="176"/>
      <c r="O1866" s="176"/>
      <c r="P1866" s="176"/>
      <c r="Q1866" s="176"/>
      <c r="R1866" s="176"/>
      <c r="S1866" s="176"/>
      <c r="T1866" s="176"/>
      <c r="U1866" s="176"/>
      <c r="V1866" s="176"/>
      <c r="W1866" s="176"/>
      <c r="X1866" s="176"/>
      <c r="Y1866" s="176"/>
    </row>
    <row r="1867" spans="1:25">
      <c r="A1867" s="91"/>
      <c r="B1867" s="176"/>
      <c r="C1867" s="176"/>
      <c r="D1867" s="176"/>
      <c r="E1867" s="176"/>
      <c r="F1867" s="176"/>
      <c r="G1867" s="176"/>
      <c r="H1867" s="176"/>
      <c r="I1867" s="176"/>
      <c r="J1867" s="176"/>
      <c r="K1867" s="176"/>
      <c r="L1867" s="176"/>
      <c r="M1867" s="176"/>
      <c r="N1867" s="176"/>
      <c r="O1867" s="176"/>
      <c r="P1867" s="176"/>
      <c r="Q1867" s="176"/>
      <c r="R1867" s="176"/>
      <c r="S1867" s="176"/>
      <c r="T1867" s="176"/>
      <c r="U1867" s="176"/>
      <c r="V1867" s="176"/>
      <c r="W1867" s="176"/>
      <c r="X1867" s="176"/>
      <c r="Y1867" s="176"/>
    </row>
    <row r="1868" spans="1:25">
      <c r="A1868" s="91"/>
      <c r="B1868" s="176"/>
      <c r="C1868" s="176"/>
      <c r="D1868" s="176"/>
      <c r="E1868" s="176"/>
      <c r="F1868" s="176"/>
      <c r="G1868" s="176"/>
      <c r="H1868" s="176"/>
      <c r="I1868" s="176"/>
      <c r="J1868" s="176"/>
      <c r="K1868" s="176"/>
      <c r="L1868" s="176"/>
      <c r="M1868" s="176"/>
      <c r="N1868" s="176"/>
      <c r="O1868" s="176"/>
      <c r="P1868" s="176"/>
      <c r="Q1868" s="176"/>
      <c r="R1868" s="176"/>
      <c r="S1868" s="176"/>
      <c r="T1868" s="176"/>
      <c r="U1868" s="176"/>
      <c r="V1868" s="176"/>
      <c r="W1868" s="176"/>
      <c r="X1868" s="176"/>
      <c r="Y1868" s="176"/>
    </row>
    <row r="1869" spans="1:25">
      <c r="A1869" s="91"/>
      <c r="B1869" s="176"/>
      <c r="C1869" s="176"/>
      <c r="D1869" s="176"/>
      <c r="E1869" s="176"/>
      <c r="F1869" s="176"/>
      <c r="G1869" s="176"/>
      <c r="H1869" s="176"/>
      <c r="I1869" s="176"/>
      <c r="J1869" s="176"/>
      <c r="K1869" s="176"/>
      <c r="L1869" s="176"/>
      <c r="M1869" s="176"/>
      <c r="N1869" s="176"/>
      <c r="O1869" s="176"/>
      <c r="P1869" s="176"/>
      <c r="Q1869" s="176"/>
      <c r="R1869" s="176"/>
      <c r="S1869" s="176"/>
      <c r="T1869" s="176"/>
      <c r="U1869" s="176"/>
      <c r="V1869" s="176"/>
      <c r="W1869" s="176"/>
      <c r="X1869" s="176"/>
      <c r="Y1869" s="176"/>
    </row>
    <row r="1870" spans="1:25">
      <c r="A1870" s="91"/>
      <c r="B1870" s="176"/>
      <c r="C1870" s="176"/>
      <c r="D1870" s="176"/>
      <c r="E1870" s="176"/>
      <c r="F1870" s="176"/>
      <c r="G1870" s="176"/>
      <c r="H1870" s="176"/>
      <c r="I1870" s="176"/>
      <c r="J1870" s="176"/>
      <c r="K1870" s="176"/>
      <c r="L1870" s="176"/>
      <c r="M1870" s="176"/>
      <c r="N1870" s="176"/>
      <c r="O1870" s="176"/>
      <c r="P1870" s="176"/>
      <c r="Q1870" s="176"/>
      <c r="R1870" s="176"/>
      <c r="S1870" s="176"/>
      <c r="T1870" s="176"/>
      <c r="U1870" s="176"/>
      <c r="V1870" s="176"/>
      <c r="W1870" s="176"/>
      <c r="X1870" s="176"/>
      <c r="Y1870" s="176"/>
    </row>
    <row r="1871" spans="1:25">
      <c r="A1871" s="91"/>
      <c r="B1871" s="176"/>
      <c r="C1871" s="176"/>
      <c r="D1871" s="176"/>
      <c r="E1871" s="176"/>
      <c r="F1871" s="176"/>
      <c r="G1871" s="176"/>
      <c r="H1871" s="176"/>
      <c r="I1871" s="176"/>
      <c r="J1871" s="176"/>
      <c r="K1871" s="176"/>
      <c r="L1871" s="176"/>
      <c r="M1871" s="176"/>
      <c r="N1871" s="176"/>
      <c r="O1871" s="176"/>
      <c r="P1871" s="176"/>
      <c r="Q1871" s="176"/>
      <c r="R1871" s="176"/>
      <c r="S1871" s="176"/>
      <c r="T1871" s="176"/>
      <c r="U1871" s="176"/>
      <c r="V1871" s="176"/>
      <c r="W1871" s="176"/>
      <c r="X1871" s="176"/>
      <c r="Y1871" s="176"/>
    </row>
    <row r="1872" spans="1:25">
      <c r="A1872" s="91"/>
      <c r="B1872" s="176"/>
      <c r="C1872" s="176"/>
      <c r="D1872" s="176"/>
      <c r="E1872" s="176"/>
      <c r="F1872" s="176"/>
      <c r="G1872" s="176"/>
      <c r="H1872" s="176"/>
      <c r="I1872" s="176"/>
      <c r="J1872" s="176"/>
      <c r="K1872" s="176"/>
      <c r="L1872" s="176"/>
      <c r="M1872" s="176"/>
      <c r="N1872" s="176"/>
      <c r="O1872" s="176"/>
      <c r="P1872" s="176"/>
      <c r="Q1872" s="176"/>
      <c r="R1872" s="176"/>
      <c r="S1872" s="176"/>
      <c r="T1872" s="176"/>
      <c r="U1872" s="176"/>
      <c r="V1872" s="176"/>
      <c r="W1872" s="176"/>
      <c r="X1872" s="176"/>
      <c r="Y1872" s="176"/>
    </row>
    <row r="1873" spans="1:25">
      <c r="A1873" s="91"/>
      <c r="B1873" s="176"/>
      <c r="C1873" s="176"/>
      <c r="D1873" s="176"/>
      <c r="E1873" s="176"/>
      <c r="F1873" s="176"/>
      <c r="G1873" s="176"/>
      <c r="H1873" s="176"/>
      <c r="I1873" s="176"/>
      <c r="J1873" s="176"/>
      <c r="K1873" s="176"/>
      <c r="L1873" s="176"/>
      <c r="M1873" s="176"/>
      <c r="N1873" s="176"/>
      <c r="O1873" s="176"/>
      <c r="P1873" s="176"/>
      <c r="Q1873" s="176"/>
      <c r="R1873" s="176"/>
      <c r="S1873" s="176"/>
      <c r="T1873" s="176"/>
      <c r="U1873" s="176"/>
      <c r="V1873" s="176"/>
      <c r="W1873" s="176"/>
      <c r="X1873" s="176"/>
      <c r="Y1873" s="176"/>
    </row>
    <row r="1874" spans="1:25">
      <c r="A1874" s="91"/>
      <c r="B1874" s="176"/>
      <c r="C1874" s="176"/>
      <c r="D1874" s="176"/>
      <c r="E1874" s="176"/>
      <c r="F1874" s="176"/>
      <c r="G1874" s="176"/>
      <c r="H1874" s="176"/>
      <c r="I1874" s="176"/>
      <c r="J1874" s="176"/>
      <c r="K1874" s="176"/>
      <c r="L1874" s="176"/>
      <c r="M1874" s="176"/>
      <c r="N1874" s="176"/>
      <c r="O1874" s="176"/>
      <c r="P1874" s="176"/>
      <c r="Q1874" s="176"/>
      <c r="R1874" s="176"/>
      <c r="S1874" s="176"/>
      <c r="T1874" s="176"/>
      <c r="U1874" s="176"/>
      <c r="V1874" s="176"/>
      <c r="W1874" s="176"/>
      <c r="X1874" s="176"/>
      <c r="Y1874" s="176"/>
    </row>
    <row r="1875" spans="1:25">
      <c r="A1875" s="91"/>
      <c r="B1875" s="176"/>
      <c r="C1875" s="176"/>
      <c r="D1875" s="176"/>
      <c r="E1875" s="176"/>
      <c r="F1875" s="176"/>
      <c r="G1875" s="176"/>
      <c r="H1875" s="176"/>
      <c r="I1875" s="176"/>
      <c r="J1875" s="176"/>
      <c r="K1875" s="176"/>
      <c r="L1875" s="176"/>
      <c r="M1875" s="176"/>
      <c r="N1875" s="176"/>
      <c r="O1875" s="176"/>
      <c r="P1875" s="176"/>
      <c r="Q1875" s="176"/>
      <c r="R1875" s="176"/>
      <c r="S1875" s="176"/>
      <c r="T1875" s="176"/>
      <c r="U1875" s="176"/>
      <c r="V1875" s="176"/>
      <c r="W1875" s="176"/>
      <c r="X1875" s="176"/>
      <c r="Y1875" s="176"/>
    </row>
    <row r="1876" spans="1:25">
      <c r="A1876" s="91"/>
      <c r="B1876" s="176"/>
      <c r="C1876" s="176"/>
      <c r="D1876" s="176"/>
      <c r="E1876" s="176"/>
      <c r="F1876" s="176"/>
      <c r="G1876" s="176"/>
      <c r="H1876" s="176"/>
      <c r="I1876" s="176"/>
      <c r="J1876" s="176"/>
      <c r="K1876" s="176"/>
      <c r="L1876" s="176"/>
      <c r="M1876" s="176"/>
      <c r="N1876" s="176"/>
      <c r="O1876" s="176"/>
      <c r="P1876" s="176"/>
      <c r="Q1876" s="176"/>
      <c r="R1876" s="176"/>
      <c r="S1876" s="176"/>
      <c r="T1876" s="176"/>
      <c r="U1876" s="176"/>
      <c r="V1876" s="176"/>
      <c r="W1876" s="176"/>
      <c r="X1876" s="176"/>
      <c r="Y1876" s="176"/>
    </row>
    <row r="1877" spans="1:25">
      <c r="A1877" s="91"/>
      <c r="B1877" s="176"/>
      <c r="C1877" s="176"/>
      <c r="D1877" s="176"/>
      <c r="E1877" s="176"/>
      <c r="F1877" s="176"/>
      <c r="G1877" s="176"/>
      <c r="H1877" s="176"/>
      <c r="I1877" s="176"/>
      <c r="J1877" s="176"/>
      <c r="K1877" s="176"/>
      <c r="L1877" s="176"/>
      <c r="M1877" s="176"/>
      <c r="N1877" s="176"/>
      <c r="O1877" s="176"/>
      <c r="P1877" s="176"/>
      <c r="Q1877" s="176"/>
      <c r="R1877" s="176"/>
      <c r="S1877" s="176"/>
      <c r="T1877" s="176"/>
      <c r="U1877" s="176"/>
      <c r="V1877" s="176"/>
      <c r="W1877" s="176"/>
      <c r="X1877" s="176"/>
      <c r="Y1877" s="176"/>
    </row>
    <row r="1878" spans="1:25">
      <c r="A1878" s="91"/>
      <c r="B1878" s="176"/>
      <c r="C1878" s="176"/>
      <c r="D1878" s="176"/>
      <c r="E1878" s="176"/>
      <c r="F1878" s="176"/>
      <c r="G1878" s="176"/>
      <c r="H1878" s="176"/>
      <c r="I1878" s="176"/>
      <c r="J1878" s="176"/>
      <c r="K1878" s="176"/>
      <c r="L1878" s="176"/>
      <c r="M1878" s="176"/>
      <c r="N1878" s="176"/>
      <c r="O1878" s="176"/>
      <c r="P1878" s="176"/>
      <c r="Q1878" s="176"/>
      <c r="R1878" s="176"/>
      <c r="S1878" s="176"/>
      <c r="T1878" s="176"/>
      <c r="U1878" s="176"/>
      <c r="V1878" s="176"/>
      <c r="W1878" s="176"/>
      <c r="X1878" s="176"/>
      <c r="Y1878" s="176"/>
    </row>
    <row r="1879" spans="1:25">
      <c r="A1879" s="91"/>
      <c r="B1879" s="176"/>
      <c r="C1879" s="176"/>
      <c r="D1879" s="176"/>
      <c r="E1879" s="176"/>
      <c r="F1879" s="176"/>
      <c r="G1879" s="176"/>
      <c r="H1879" s="176"/>
      <c r="I1879" s="176"/>
      <c r="J1879" s="176"/>
      <c r="K1879" s="176"/>
      <c r="L1879" s="176"/>
      <c r="M1879" s="176"/>
      <c r="N1879" s="176"/>
      <c r="O1879" s="176"/>
      <c r="P1879" s="176"/>
      <c r="Q1879" s="176"/>
      <c r="R1879" s="176"/>
      <c r="S1879" s="176"/>
      <c r="T1879" s="176"/>
      <c r="U1879" s="176"/>
      <c r="V1879" s="176"/>
      <c r="W1879" s="176"/>
      <c r="X1879" s="176"/>
      <c r="Y1879" s="176"/>
    </row>
    <row r="1880" spans="1:25">
      <c r="A1880" s="91"/>
      <c r="B1880" s="176"/>
      <c r="C1880" s="176"/>
      <c r="D1880" s="176"/>
      <c r="E1880" s="176"/>
      <c r="F1880" s="176"/>
      <c r="G1880" s="176"/>
      <c r="H1880" s="176"/>
      <c r="I1880" s="176"/>
      <c r="J1880" s="176"/>
      <c r="K1880" s="176"/>
      <c r="L1880" s="176"/>
      <c r="M1880" s="176"/>
      <c r="N1880" s="176"/>
      <c r="O1880" s="176"/>
      <c r="P1880" s="176"/>
      <c r="Q1880" s="176"/>
      <c r="R1880" s="176"/>
      <c r="S1880" s="176"/>
      <c r="T1880" s="176"/>
      <c r="U1880" s="176"/>
      <c r="V1880" s="176"/>
      <c r="W1880" s="176"/>
      <c r="X1880" s="176"/>
      <c r="Y1880" s="176"/>
    </row>
    <row r="1881" spans="1:25">
      <c r="A1881" s="91"/>
      <c r="B1881" s="176"/>
      <c r="C1881" s="176"/>
      <c r="D1881" s="176"/>
      <c r="E1881" s="176"/>
      <c r="F1881" s="176"/>
      <c r="G1881" s="176"/>
      <c r="H1881" s="176"/>
      <c r="I1881" s="176"/>
      <c r="J1881" s="176"/>
      <c r="K1881" s="176"/>
      <c r="L1881" s="176"/>
      <c r="M1881" s="176"/>
      <c r="N1881" s="176"/>
      <c r="O1881" s="176"/>
      <c r="P1881" s="176"/>
      <c r="Q1881" s="176"/>
      <c r="R1881" s="176"/>
      <c r="S1881" s="176"/>
      <c r="T1881" s="176"/>
      <c r="U1881" s="176"/>
      <c r="V1881" s="176"/>
      <c r="W1881" s="176"/>
      <c r="X1881" s="176"/>
      <c r="Y1881" s="176"/>
    </row>
    <row r="1882" spans="1:25">
      <c r="A1882" s="91"/>
      <c r="B1882" s="176"/>
      <c r="C1882" s="176"/>
      <c r="D1882" s="176"/>
      <c r="E1882" s="176"/>
      <c r="F1882" s="176"/>
      <c r="G1882" s="176"/>
      <c r="H1882" s="176"/>
      <c r="I1882" s="176"/>
      <c r="J1882" s="176"/>
      <c r="K1882" s="176"/>
      <c r="L1882" s="176"/>
      <c r="M1882" s="176"/>
      <c r="N1882" s="176"/>
      <c r="O1882" s="176"/>
      <c r="P1882" s="176"/>
      <c r="Q1882" s="176"/>
      <c r="R1882" s="176"/>
      <c r="S1882" s="176"/>
      <c r="T1882" s="176"/>
      <c r="U1882" s="176"/>
      <c r="V1882" s="176"/>
      <c r="W1882" s="176"/>
      <c r="X1882" s="176"/>
      <c r="Y1882" s="176"/>
    </row>
    <row r="1883" spans="1:25">
      <c r="A1883" s="91"/>
      <c r="B1883" s="176"/>
      <c r="C1883" s="176"/>
      <c r="D1883" s="176"/>
      <c r="E1883" s="176"/>
      <c r="F1883" s="176"/>
      <c r="G1883" s="176"/>
      <c r="H1883" s="176"/>
      <c r="I1883" s="176"/>
      <c r="J1883" s="176"/>
      <c r="K1883" s="176"/>
      <c r="L1883" s="176"/>
      <c r="M1883" s="176"/>
      <c r="N1883" s="176"/>
      <c r="O1883" s="176"/>
      <c r="P1883" s="176"/>
      <c r="Q1883" s="176"/>
      <c r="R1883" s="176"/>
      <c r="S1883" s="176"/>
      <c r="T1883" s="176"/>
      <c r="U1883" s="176"/>
      <c r="V1883" s="176"/>
      <c r="W1883" s="176"/>
      <c r="X1883" s="176"/>
      <c r="Y1883" s="176"/>
    </row>
    <row r="1884" spans="1:25">
      <c r="A1884" s="91"/>
      <c r="B1884" s="176"/>
      <c r="C1884" s="176"/>
      <c r="D1884" s="176"/>
      <c r="E1884" s="176"/>
      <c r="F1884" s="176"/>
      <c r="G1884" s="176"/>
      <c r="H1884" s="176"/>
      <c r="I1884" s="176"/>
      <c r="J1884" s="176"/>
      <c r="K1884" s="176"/>
      <c r="L1884" s="176"/>
      <c r="M1884" s="176"/>
      <c r="N1884" s="176"/>
      <c r="O1884" s="176"/>
      <c r="P1884" s="176"/>
      <c r="Q1884" s="176"/>
      <c r="R1884" s="176"/>
      <c r="S1884" s="176"/>
      <c r="T1884" s="176"/>
      <c r="U1884" s="176"/>
      <c r="V1884" s="176"/>
      <c r="W1884" s="176"/>
      <c r="X1884" s="176"/>
      <c r="Y1884" s="176"/>
    </row>
    <row r="1885" spans="1:25">
      <c r="A1885" s="91"/>
      <c r="B1885" s="176"/>
      <c r="C1885" s="176"/>
      <c r="D1885" s="176"/>
      <c r="E1885" s="176"/>
      <c r="F1885" s="176"/>
      <c r="G1885" s="176"/>
      <c r="H1885" s="176"/>
      <c r="I1885" s="176"/>
      <c r="J1885" s="176"/>
      <c r="K1885" s="176"/>
      <c r="L1885" s="176"/>
      <c r="M1885" s="176"/>
      <c r="N1885" s="176"/>
      <c r="O1885" s="176"/>
      <c r="P1885" s="176"/>
      <c r="Q1885" s="176"/>
      <c r="R1885" s="176"/>
      <c r="S1885" s="176"/>
      <c r="T1885" s="176"/>
      <c r="U1885" s="176"/>
      <c r="V1885" s="176"/>
      <c r="W1885" s="176"/>
      <c r="X1885" s="176"/>
      <c r="Y1885" s="176"/>
    </row>
    <row r="1886" spans="1:25">
      <c r="A1886" s="91"/>
      <c r="B1886" s="176"/>
      <c r="C1886" s="176"/>
      <c r="D1886" s="176"/>
      <c r="E1886" s="176"/>
      <c r="F1886" s="176"/>
      <c r="G1886" s="176"/>
      <c r="H1886" s="176"/>
      <c r="I1886" s="176"/>
      <c r="J1886" s="176"/>
      <c r="K1886" s="176"/>
      <c r="L1886" s="176"/>
      <c r="M1886" s="176"/>
      <c r="N1886" s="176"/>
      <c r="O1886" s="176"/>
      <c r="P1886" s="176"/>
      <c r="Q1886" s="176"/>
      <c r="R1886" s="176"/>
      <c r="S1886" s="176"/>
      <c r="T1886" s="176"/>
      <c r="U1886" s="176"/>
      <c r="V1886" s="176"/>
      <c r="W1886" s="176"/>
      <c r="X1886" s="176"/>
      <c r="Y1886" s="176"/>
    </row>
    <row r="1887" spans="1:25">
      <c r="A1887" s="91"/>
      <c r="B1887" s="176"/>
      <c r="C1887" s="176"/>
      <c r="D1887" s="176"/>
      <c r="E1887" s="176"/>
      <c r="F1887" s="176"/>
      <c r="G1887" s="176"/>
      <c r="H1887" s="176"/>
      <c r="I1887" s="176"/>
      <c r="J1887" s="176"/>
      <c r="K1887" s="176"/>
      <c r="L1887" s="176"/>
      <c r="M1887" s="176"/>
      <c r="N1887" s="176"/>
      <c r="O1887" s="176"/>
      <c r="P1887" s="176"/>
      <c r="Q1887" s="176"/>
      <c r="R1887" s="176"/>
      <c r="S1887" s="176"/>
      <c r="T1887" s="176"/>
      <c r="U1887" s="176"/>
      <c r="V1887" s="176"/>
      <c r="W1887" s="176"/>
      <c r="X1887" s="176"/>
      <c r="Y1887" s="176"/>
    </row>
    <row r="1888" spans="1:25">
      <c r="A1888" s="91"/>
      <c r="B1888" s="176"/>
      <c r="C1888" s="176"/>
      <c r="D1888" s="176"/>
      <c r="E1888" s="176"/>
      <c r="F1888" s="176"/>
      <c r="G1888" s="176"/>
      <c r="H1888" s="176"/>
      <c r="I1888" s="176"/>
      <c r="J1888" s="176"/>
      <c r="K1888" s="176"/>
      <c r="L1888" s="176"/>
      <c r="M1888" s="176"/>
      <c r="N1888" s="176"/>
      <c r="O1888" s="176"/>
      <c r="P1888" s="176"/>
      <c r="Q1888" s="176"/>
      <c r="R1888" s="176"/>
      <c r="S1888" s="176"/>
      <c r="T1888" s="176"/>
      <c r="U1888" s="176"/>
      <c r="V1888" s="176"/>
      <c r="W1888" s="176"/>
      <c r="X1888" s="176"/>
      <c r="Y1888" s="176"/>
    </row>
    <row r="1889" spans="1:25">
      <c r="A1889" s="91"/>
      <c r="B1889" s="176"/>
      <c r="C1889" s="176"/>
      <c r="D1889" s="176"/>
      <c r="E1889" s="176"/>
      <c r="F1889" s="176"/>
      <c r="G1889" s="176"/>
      <c r="H1889" s="176"/>
      <c r="I1889" s="176"/>
      <c r="J1889" s="176"/>
      <c r="K1889" s="176"/>
      <c r="L1889" s="176"/>
      <c r="M1889" s="176"/>
      <c r="N1889" s="176"/>
      <c r="O1889" s="176"/>
      <c r="P1889" s="176"/>
      <c r="Q1889" s="176"/>
      <c r="R1889" s="176"/>
      <c r="S1889" s="176"/>
      <c r="T1889" s="176"/>
      <c r="U1889" s="176"/>
      <c r="V1889" s="176"/>
      <c r="W1889" s="176"/>
      <c r="X1889" s="176"/>
      <c r="Y1889" s="176"/>
    </row>
    <row r="1890" spans="1:25">
      <c r="A1890" s="91"/>
      <c r="B1890" s="176"/>
      <c r="C1890" s="176"/>
      <c r="D1890" s="176"/>
      <c r="E1890" s="176"/>
      <c r="F1890" s="176"/>
      <c r="G1890" s="176"/>
      <c r="H1890" s="176"/>
      <c r="I1890" s="176"/>
      <c r="J1890" s="176"/>
      <c r="K1890" s="176"/>
      <c r="L1890" s="176"/>
      <c r="M1890" s="176"/>
      <c r="N1890" s="176"/>
      <c r="O1890" s="176"/>
      <c r="P1890" s="176"/>
      <c r="Q1890" s="176"/>
      <c r="R1890" s="176"/>
      <c r="S1890" s="176"/>
      <c r="T1890" s="176"/>
      <c r="U1890" s="176"/>
      <c r="V1890" s="176"/>
      <c r="W1890" s="176"/>
      <c r="X1890" s="176"/>
      <c r="Y1890" s="176"/>
    </row>
    <row r="1891" spans="1:25">
      <c r="A1891" s="91"/>
      <c r="B1891" s="176"/>
      <c r="C1891" s="176"/>
      <c r="D1891" s="176"/>
      <c r="E1891" s="176"/>
      <c r="F1891" s="176"/>
      <c r="G1891" s="176"/>
      <c r="H1891" s="176"/>
      <c r="I1891" s="176"/>
      <c r="J1891" s="176"/>
      <c r="K1891" s="176"/>
      <c r="L1891" s="176"/>
      <c r="M1891" s="176"/>
      <c r="N1891" s="176"/>
      <c r="O1891" s="176"/>
      <c r="P1891" s="176"/>
      <c r="Q1891" s="176"/>
      <c r="R1891" s="176"/>
      <c r="S1891" s="176"/>
      <c r="T1891" s="176"/>
      <c r="U1891" s="176"/>
      <c r="V1891" s="176"/>
      <c r="W1891" s="176"/>
      <c r="X1891" s="176"/>
      <c r="Y1891" s="176"/>
    </row>
    <row r="1892" spans="1:25">
      <c r="A1892" s="91"/>
      <c r="B1892" s="176"/>
      <c r="C1892" s="176"/>
      <c r="D1892" s="176"/>
      <c r="E1892" s="176"/>
      <c r="F1892" s="176"/>
      <c r="G1892" s="176"/>
      <c r="H1892" s="176"/>
      <c r="I1892" s="176"/>
      <c r="J1892" s="176"/>
      <c r="K1892" s="176"/>
      <c r="L1892" s="176"/>
      <c r="M1892" s="176"/>
      <c r="N1892" s="176"/>
      <c r="O1892" s="176"/>
      <c r="P1892" s="176"/>
      <c r="Q1892" s="176"/>
      <c r="R1892" s="176"/>
      <c r="S1892" s="176"/>
      <c r="T1892" s="176"/>
      <c r="U1892" s="176"/>
      <c r="V1892" s="176"/>
      <c r="W1892" s="176"/>
      <c r="X1892" s="176"/>
      <c r="Y1892" s="176"/>
    </row>
    <row r="1893" spans="1:25">
      <c r="A1893" s="91"/>
      <c r="B1893" s="176"/>
      <c r="C1893" s="176"/>
      <c r="D1893" s="176"/>
      <c r="E1893" s="176"/>
      <c r="F1893" s="176"/>
      <c r="G1893" s="176"/>
      <c r="H1893" s="176"/>
      <c r="I1893" s="176"/>
      <c r="J1893" s="176"/>
      <c r="K1893" s="176"/>
      <c r="L1893" s="176"/>
      <c r="M1893" s="176"/>
      <c r="N1893" s="176"/>
      <c r="O1893" s="176"/>
      <c r="P1893" s="176"/>
      <c r="Q1893" s="176"/>
      <c r="R1893" s="176"/>
      <c r="S1893" s="176"/>
      <c r="T1893" s="176"/>
      <c r="U1893" s="176"/>
      <c r="V1893" s="176"/>
      <c r="W1893" s="176"/>
      <c r="X1893" s="176"/>
      <c r="Y1893" s="176"/>
    </row>
    <row r="1894" spans="1:25">
      <c r="A1894" s="91"/>
      <c r="B1894" s="176"/>
      <c r="C1894" s="176"/>
      <c r="D1894" s="176"/>
      <c r="E1894" s="176"/>
      <c r="F1894" s="176"/>
      <c r="G1894" s="176"/>
      <c r="H1894" s="176"/>
      <c r="I1894" s="176"/>
      <c r="J1894" s="176"/>
      <c r="K1894" s="176"/>
      <c r="L1894" s="176"/>
      <c r="M1894" s="176"/>
      <c r="N1894" s="176"/>
      <c r="O1894" s="176"/>
      <c r="P1894" s="176"/>
      <c r="Q1894" s="176"/>
      <c r="R1894" s="176"/>
      <c r="S1894" s="176"/>
      <c r="T1894" s="176"/>
      <c r="U1894" s="176"/>
      <c r="V1894" s="176"/>
      <c r="W1894" s="176"/>
      <c r="X1894" s="176"/>
      <c r="Y1894" s="176"/>
    </row>
    <row r="1895" spans="1:25">
      <c r="A1895" s="91"/>
      <c r="B1895" s="176"/>
      <c r="C1895" s="176"/>
      <c r="D1895" s="176"/>
      <c r="E1895" s="176"/>
      <c r="F1895" s="176"/>
      <c r="G1895" s="176"/>
      <c r="H1895" s="176"/>
      <c r="I1895" s="176"/>
      <c r="J1895" s="176"/>
      <c r="K1895" s="176"/>
      <c r="L1895" s="176"/>
      <c r="M1895" s="176"/>
      <c r="N1895" s="176"/>
      <c r="O1895" s="176"/>
      <c r="P1895" s="176"/>
      <c r="Q1895" s="176"/>
      <c r="R1895" s="176"/>
      <c r="S1895" s="176"/>
      <c r="T1895" s="176"/>
      <c r="U1895" s="176"/>
      <c r="V1895" s="176"/>
      <c r="W1895" s="176"/>
      <c r="X1895" s="176"/>
      <c r="Y1895" s="176"/>
    </row>
    <row r="1896" spans="1:25">
      <c r="A1896" s="91"/>
      <c r="B1896" s="176"/>
      <c r="C1896" s="176"/>
      <c r="D1896" s="176"/>
      <c r="E1896" s="176"/>
      <c r="F1896" s="176"/>
      <c r="G1896" s="176"/>
      <c r="H1896" s="176"/>
      <c r="I1896" s="176"/>
      <c r="J1896" s="176"/>
      <c r="K1896" s="176"/>
      <c r="L1896" s="176"/>
      <c r="M1896" s="176"/>
      <c r="N1896" s="176"/>
      <c r="O1896" s="176"/>
      <c r="P1896" s="176"/>
      <c r="Q1896" s="176"/>
      <c r="R1896" s="176"/>
      <c r="S1896" s="176"/>
      <c r="T1896" s="176"/>
      <c r="U1896" s="176"/>
      <c r="V1896" s="176"/>
      <c r="W1896" s="176"/>
      <c r="X1896" s="176"/>
      <c r="Y1896" s="176"/>
    </row>
    <row r="1897" spans="1:25">
      <c r="A1897" s="91"/>
      <c r="B1897" s="176"/>
      <c r="C1897" s="176"/>
      <c r="D1897" s="176"/>
      <c r="E1897" s="176"/>
      <c r="F1897" s="176"/>
      <c r="G1897" s="176"/>
      <c r="H1897" s="176"/>
      <c r="I1897" s="176"/>
      <c r="J1897" s="176"/>
      <c r="K1897" s="176"/>
      <c r="L1897" s="176"/>
      <c r="M1897" s="176"/>
      <c r="N1897" s="176"/>
      <c r="O1897" s="176"/>
      <c r="P1897" s="176"/>
      <c r="Q1897" s="176"/>
      <c r="R1897" s="176"/>
      <c r="S1897" s="176"/>
      <c r="T1897" s="176"/>
      <c r="U1897" s="176"/>
      <c r="V1897" s="176"/>
      <c r="W1897" s="176"/>
      <c r="X1897" s="176"/>
      <c r="Y1897" s="176"/>
    </row>
    <row r="1898" spans="1:25">
      <c r="A1898" s="91"/>
      <c r="B1898" s="176"/>
      <c r="C1898" s="176"/>
      <c r="D1898" s="176"/>
      <c r="E1898" s="176"/>
      <c r="F1898" s="176"/>
      <c r="G1898" s="176"/>
      <c r="H1898" s="176"/>
      <c r="I1898" s="176"/>
      <c r="J1898" s="176"/>
      <c r="K1898" s="176"/>
      <c r="L1898" s="176"/>
      <c r="M1898" s="176"/>
      <c r="N1898" s="176"/>
      <c r="O1898" s="176"/>
      <c r="P1898" s="176"/>
      <c r="Q1898" s="176"/>
      <c r="R1898" s="176"/>
      <c r="S1898" s="176"/>
      <c r="T1898" s="176"/>
      <c r="U1898" s="176"/>
      <c r="V1898" s="176"/>
      <c r="W1898" s="176"/>
      <c r="X1898" s="176"/>
      <c r="Y1898" s="176"/>
    </row>
    <row r="1899" spans="1:25">
      <c r="A1899" s="91"/>
      <c r="B1899" s="176"/>
      <c r="C1899" s="176"/>
      <c r="D1899" s="176"/>
      <c r="E1899" s="176"/>
      <c r="F1899" s="176"/>
      <c r="G1899" s="176"/>
      <c r="H1899" s="176"/>
      <c r="I1899" s="176"/>
      <c r="J1899" s="176"/>
      <c r="K1899" s="176"/>
      <c r="L1899" s="176"/>
      <c r="M1899" s="176"/>
      <c r="N1899" s="176"/>
      <c r="O1899" s="176"/>
      <c r="P1899" s="176"/>
      <c r="Q1899" s="176"/>
      <c r="R1899" s="176"/>
      <c r="S1899" s="176"/>
      <c r="T1899" s="176"/>
      <c r="U1899" s="176"/>
      <c r="V1899" s="176"/>
      <c r="W1899" s="176"/>
      <c r="X1899" s="176"/>
      <c r="Y1899" s="176"/>
    </row>
    <row r="1900" spans="1:25">
      <c r="A1900" s="91"/>
      <c r="B1900" s="176"/>
      <c r="C1900" s="176"/>
      <c r="D1900" s="176"/>
      <c r="E1900" s="176"/>
      <c r="F1900" s="176"/>
      <c r="G1900" s="176"/>
      <c r="H1900" s="176"/>
      <c r="I1900" s="176"/>
      <c r="J1900" s="176"/>
      <c r="K1900" s="176"/>
      <c r="L1900" s="176"/>
      <c r="M1900" s="176"/>
      <c r="N1900" s="176"/>
      <c r="O1900" s="176"/>
      <c r="P1900" s="176"/>
      <c r="Q1900" s="176"/>
      <c r="R1900" s="176"/>
      <c r="S1900" s="176"/>
      <c r="T1900" s="176"/>
      <c r="U1900" s="176"/>
      <c r="V1900" s="176"/>
      <c r="W1900" s="176"/>
      <c r="X1900" s="176"/>
      <c r="Y1900" s="176"/>
    </row>
    <row r="1901" spans="1:25">
      <c r="A1901" s="91"/>
      <c r="B1901" s="176"/>
      <c r="C1901" s="176"/>
      <c r="D1901" s="176"/>
      <c r="E1901" s="176"/>
      <c r="F1901" s="176"/>
      <c r="G1901" s="176"/>
      <c r="H1901" s="176"/>
      <c r="I1901" s="176"/>
      <c r="J1901" s="176"/>
      <c r="K1901" s="176"/>
      <c r="L1901" s="176"/>
      <c r="M1901" s="176"/>
      <c r="N1901" s="176"/>
      <c r="O1901" s="176"/>
      <c r="P1901" s="176"/>
      <c r="Q1901" s="176"/>
      <c r="R1901" s="176"/>
      <c r="S1901" s="176"/>
      <c r="T1901" s="176"/>
      <c r="U1901" s="176"/>
      <c r="V1901" s="176"/>
      <c r="W1901" s="176"/>
      <c r="X1901" s="176"/>
      <c r="Y1901" s="176"/>
    </row>
    <row r="1902" spans="1:25">
      <c r="A1902" s="91"/>
      <c r="B1902" s="176"/>
      <c r="C1902" s="176"/>
      <c r="D1902" s="176"/>
      <c r="E1902" s="176"/>
      <c r="F1902" s="176"/>
      <c r="G1902" s="176"/>
      <c r="H1902" s="176"/>
      <c r="I1902" s="176"/>
      <c r="J1902" s="176"/>
      <c r="K1902" s="176"/>
      <c r="L1902" s="176"/>
      <c r="M1902" s="176"/>
      <c r="N1902" s="176"/>
      <c r="O1902" s="176"/>
      <c r="P1902" s="176"/>
      <c r="Q1902" s="176"/>
      <c r="R1902" s="176"/>
      <c r="S1902" s="176"/>
      <c r="T1902" s="176"/>
      <c r="U1902" s="176"/>
      <c r="V1902" s="176"/>
      <c r="W1902" s="176"/>
      <c r="X1902" s="176"/>
      <c r="Y1902" s="176"/>
    </row>
    <row r="1903" spans="1:25">
      <c r="A1903" s="91"/>
      <c r="B1903" s="176"/>
      <c r="C1903" s="176"/>
      <c r="D1903" s="176"/>
      <c r="E1903" s="176"/>
      <c r="F1903" s="176"/>
      <c r="G1903" s="176"/>
      <c r="H1903" s="176"/>
      <c r="I1903" s="176"/>
      <c r="J1903" s="176"/>
      <c r="K1903" s="176"/>
      <c r="L1903" s="176"/>
      <c r="M1903" s="176"/>
      <c r="N1903" s="176"/>
      <c r="O1903" s="176"/>
      <c r="P1903" s="176"/>
      <c r="Q1903" s="176"/>
      <c r="R1903" s="176"/>
      <c r="S1903" s="176"/>
      <c r="T1903" s="176"/>
      <c r="U1903" s="176"/>
      <c r="V1903" s="176"/>
      <c r="W1903" s="176"/>
      <c r="X1903" s="176"/>
      <c r="Y1903" s="176"/>
    </row>
    <row r="1904" spans="1:25">
      <c r="A1904" s="91"/>
      <c r="B1904" s="176"/>
      <c r="C1904" s="176"/>
      <c r="D1904" s="176"/>
      <c r="E1904" s="176"/>
      <c r="F1904" s="176"/>
      <c r="G1904" s="176"/>
      <c r="H1904" s="176"/>
      <c r="I1904" s="176"/>
      <c r="J1904" s="176"/>
      <c r="K1904" s="176"/>
      <c r="L1904" s="176"/>
      <c r="M1904" s="176"/>
      <c r="N1904" s="176"/>
      <c r="O1904" s="176"/>
      <c r="P1904" s="176"/>
      <c r="Q1904" s="176"/>
      <c r="R1904" s="176"/>
      <c r="S1904" s="176"/>
      <c r="T1904" s="176"/>
      <c r="U1904" s="176"/>
      <c r="V1904" s="176"/>
      <c r="W1904" s="176"/>
      <c r="X1904" s="176"/>
      <c r="Y1904" s="176"/>
    </row>
    <row r="1905" spans="1:25">
      <c r="A1905" s="91"/>
      <c r="B1905" s="176"/>
      <c r="C1905" s="176"/>
      <c r="D1905" s="176"/>
      <c r="E1905" s="176"/>
      <c r="F1905" s="176"/>
      <c r="G1905" s="176"/>
      <c r="H1905" s="176"/>
      <c r="I1905" s="176"/>
      <c r="J1905" s="176"/>
      <c r="K1905" s="176"/>
      <c r="L1905" s="176"/>
      <c r="M1905" s="176"/>
      <c r="N1905" s="176"/>
      <c r="O1905" s="176"/>
      <c r="P1905" s="176"/>
      <c r="Q1905" s="176"/>
      <c r="R1905" s="176"/>
      <c r="S1905" s="176"/>
      <c r="T1905" s="176"/>
      <c r="U1905" s="176"/>
      <c r="V1905" s="176"/>
      <c r="W1905" s="176"/>
      <c r="X1905" s="176"/>
      <c r="Y1905" s="176"/>
    </row>
    <row r="1906" spans="1:25">
      <c r="A1906" s="91"/>
      <c r="B1906" s="176"/>
      <c r="C1906" s="176"/>
      <c r="D1906" s="176"/>
      <c r="E1906" s="176"/>
      <c r="F1906" s="176"/>
      <c r="G1906" s="176"/>
      <c r="H1906" s="176"/>
      <c r="I1906" s="176"/>
      <c r="J1906" s="176"/>
      <c r="K1906" s="176"/>
      <c r="L1906" s="176"/>
      <c r="M1906" s="176"/>
      <c r="N1906" s="176"/>
      <c r="O1906" s="176"/>
      <c r="P1906" s="176"/>
      <c r="Q1906" s="176"/>
      <c r="R1906" s="176"/>
      <c r="S1906" s="176"/>
      <c r="T1906" s="176"/>
      <c r="U1906" s="176"/>
      <c r="V1906" s="176"/>
      <c r="W1906" s="176"/>
      <c r="X1906" s="176"/>
      <c r="Y1906" s="176"/>
    </row>
    <row r="1907" spans="1:25">
      <c r="A1907" s="91"/>
      <c r="B1907" s="176"/>
      <c r="C1907" s="176"/>
      <c r="D1907" s="176"/>
      <c r="E1907" s="176"/>
      <c r="F1907" s="176"/>
      <c r="G1907" s="176"/>
      <c r="H1907" s="176"/>
      <c r="I1907" s="176"/>
      <c r="J1907" s="176"/>
      <c r="K1907" s="176"/>
      <c r="L1907" s="176"/>
      <c r="M1907" s="176"/>
      <c r="N1907" s="176"/>
      <c r="O1907" s="176"/>
      <c r="P1907" s="176"/>
      <c r="Q1907" s="176"/>
      <c r="R1907" s="176"/>
      <c r="S1907" s="176"/>
      <c r="T1907" s="176"/>
      <c r="U1907" s="176"/>
      <c r="V1907" s="176"/>
      <c r="W1907" s="176"/>
      <c r="X1907" s="176"/>
      <c r="Y1907" s="176"/>
    </row>
    <row r="1908" spans="1:25">
      <c r="A1908" s="91"/>
      <c r="B1908" s="176"/>
      <c r="C1908" s="176"/>
      <c r="D1908" s="176"/>
      <c r="E1908" s="176"/>
      <c r="F1908" s="176"/>
      <c r="G1908" s="176"/>
      <c r="H1908" s="176"/>
      <c r="I1908" s="176"/>
      <c r="J1908" s="176"/>
      <c r="K1908" s="176"/>
      <c r="L1908" s="176"/>
      <c r="M1908" s="176"/>
      <c r="N1908" s="176"/>
      <c r="O1908" s="176"/>
      <c r="P1908" s="176"/>
      <c r="Q1908" s="176"/>
      <c r="R1908" s="176"/>
      <c r="S1908" s="176"/>
      <c r="T1908" s="176"/>
      <c r="U1908" s="176"/>
      <c r="V1908" s="176"/>
      <c r="W1908" s="176"/>
      <c r="X1908" s="176"/>
      <c r="Y1908" s="176"/>
    </row>
    <row r="1909" spans="1:25">
      <c r="A1909" s="91"/>
      <c r="B1909" s="176"/>
      <c r="C1909" s="176"/>
      <c r="D1909" s="176"/>
      <c r="E1909" s="176"/>
      <c r="F1909" s="176"/>
      <c r="G1909" s="176"/>
      <c r="H1909" s="176"/>
      <c r="I1909" s="176"/>
      <c r="J1909" s="176"/>
      <c r="K1909" s="176"/>
      <c r="L1909" s="176"/>
      <c r="M1909" s="176"/>
      <c r="N1909" s="176"/>
      <c r="O1909" s="176"/>
      <c r="P1909" s="176"/>
      <c r="Q1909" s="176"/>
      <c r="R1909" s="176"/>
      <c r="S1909" s="176"/>
      <c r="T1909" s="176"/>
      <c r="U1909" s="176"/>
      <c r="V1909" s="176"/>
      <c r="W1909" s="176"/>
      <c r="X1909" s="176"/>
      <c r="Y1909" s="176"/>
    </row>
    <row r="1910" spans="1:25">
      <c r="A1910" s="91"/>
      <c r="B1910" s="176"/>
      <c r="C1910" s="176"/>
      <c r="D1910" s="176"/>
      <c r="E1910" s="176"/>
      <c r="F1910" s="176"/>
      <c r="G1910" s="176"/>
      <c r="H1910" s="176"/>
      <c r="I1910" s="176"/>
      <c r="J1910" s="176"/>
      <c r="K1910" s="176"/>
      <c r="L1910" s="176"/>
      <c r="M1910" s="176"/>
      <c r="N1910" s="176"/>
      <c r="O1910" s="176"/>
      <c r="P1910" s="176"/>
      <c r="Q1910" s="176"/>
      <c r="R1910" s="176"/>
      <c r="S1910" s="176"/>
      <c r="T1910" s="176"/>
      <c r="U1910" s="176"/>
      <c r="V1910" s="176"/>
      <c r="W1910" s="176"/>
      <c r="X1910" s="176"/>
      <c r="Y1910" s="176"/>
    </row>
    <row r="1911" spans="1:25">
      <c r="A1911" s="91"/>
      <c r="B1911" s="176"/>
      <c r="C1911" s="176"/>
      <c r="D1911" s="176"/>
      <c r="E1911" s="176"/>
      <c r="F1911" s="176"/>
      <c r="G1911" s="176"/>
      <c r="H1911" s="176"/>
      <c r="I1911" s="176"/>
      <c r="J1911" s="176"/>
      <c r="K1911" s="176"/>
      <c r="L1911" s="176"/>
      <c r="M1911" s="176"/>
      <c r="N1911" s="176"/>
      <c r="O1911" s="176"/>
      <c r="P1911" s="176"/>
      <c r="Q1911" s="176"/>
      <c r="R1911" s="176"/>
      <c r="S1911" s="176"/>
      <c r="T1911" s="176"/>
      <c r="U1911" s="176"/>
      <c r="V1911" s="176"/>
      <c r="W1911" s="176"/>
      <c r="X1911" s="176"/>
      <c r="Y1911" s="176"/>
    </row>
    <row r="1912" spans="1:25">
      <c r="A1912" s="91"/>
      <c r="B1912" s="176"/>
      <c r="C1912" s="176"/>
      <c r="D1912" s="176"/>
      <c r="E1912" s="176"/>
      <c r="F1912" s="176"/>
      <c r="G1912" s="176"/>
      <c r="H1912" s="176"/>
      <c r="I1912" s="176"/>
      <c r="J1912" s="176"/>
      <c r="K1912" s="176"/>
      <c r="L1912" s="176"/>
      <c r="M1912" s="176"/>
      <c r="N1912" s="176"/>
      <c r="O1912" s="176"/>
      <c r="P1912" s="176"/>
      <c r="Q1912" s="176"/>
      <c r="R1912" s="176"/>
      <c r="S1912" s="176"/>
      <c r="T1912" s="176"/>
      <c r="U1912" s="176"/>
      <c r="V1912" s="176"/>
      <c r="W1912" s="176"/>
      <c r="X1912" s="176"/>
      <c r="Y1912" s="176"/>
    </row>
    <row r="1913" spans="1:25">
      <c r="A1913" s="91"/>
      <c r="B1913" s="176"/>
      <c r="C1913" s="176"/>
      <c r="D1913" s="176"/>
      <c r="E1913" s="176"/>
      <c r="F1913" s="176"/>
      <c r="G1913" s="176"/>
      <c r="H1913" s="176"/>
      <c r="I1913" s="176"/>
      <c r="J1913" s="176"/>
      <c r="K1913" s="176"/>
      <c r="L1913" s="176"/>
      <c r="M1913" s="176"/>
      <c r="N1913" s="176"/>
      <c r="O1913" s="176"/>
      <c r="P1913" s="176"/>
      <c r="Q1913" s="176"/>
      <c r="R1913" s="176"/>
      <c r="S1913" s="176"/>
      <c r="T1913" s="176"/>
      <c r="U1913" s="176"/>
      <c r="V1913" s="176"/>
      <c r="W1913" s="176"/>
      <c r="X1913" s="176"/>
      <c r="Y1913" s="176"/>
    </row>
    <row r="1914" spans="1:25">
      <c r="A1914" s="91"/>
      <c r="B1914" s="176"/>
      <c r="C1914" s="176"/>
      <c r="D1914" s="176"/>
      <c r="E1914" s="176"/>
      <c r="F1914" s="176"/>
      <c r="G1914" s="176"/>
      <c r="H1914" s="176"/>
      <c r="I1914" s="176"/>
      <c r="J1914" s="176"/>
      <c r="K1914" s="176"/>
      <c r="L1914" s="176"/>
      <c r="M1914" s="176"/>
      <c r="N1914" s="176"/>
      <c r="O1914" s="176"/>
      <c r="P1914" s="176"/>
      <c r="Q1914" s="176"/>
      <c r="R1914" s="176"/>
      <c r="S1914" s="176"/>
      <c r="T1914" s="176"/>
      <c r="U1914" s="176"/>
      <c r="V1914" s="176"/>
      <c r="W1914" s="176"/>
      <c r="X1914" s="176"/>
      <c r="Y1914" s="176"/>
    </row>
    <row r="1915" spans="1:25">
      <c r="A1915" s="91"/>
      <c r="B1915" s="176"/>
      <c r="C1915" s="176"/>
      <c r="D1915" s="176"/>
      <c r="E1915" s="176"/>
      <c r="F1915" s="176"/>
      <c r="G1915" s="176"/>
      <c r="H1915" s="176"/>
      <c r="I1915" s="176"/>
      <c r="J1915" s="176"/>
      <c r="K1915" s="176"/>
      <c r="L1915" s="176"/>
      <c r="M1915" s="176"/>
      <c r="N1915" s="176"/>
      <c r="O1915" s="176"/>
      <c r="P1915" s="176"/>
      <c r="Q1915" s="176"/>
      <c r="R1915" s="176"/>
      <c r="S1915" s="176"/>
      <c r="T1915" s="176"/>
      <c r="U1915" s="176"/>
      <c r="V1915" s="176"/>
      <c r="W1915" s="176"/>
      <c r="X1915" s="176"/>
      <c r="Y1915" s="176"/>
    </row>
    <row r="1916" spans="1:25">
      <c r="A1916" s="91"/>
      <c r="B1916" s="176"/>
      <c r="C1916" s="176"/>
      <c r="D1916" s="176"/>
      <c r="E1916" s="176"/>
      <c r="F1916" s="176"/>
      <c r="G1916" s="176"/>
      <c r="H1916" s="176"/>
      <c r="I1916" s="176"/>
      <c r="J1916" s="176"/>
      <c r="K1916" s="176"/>
      <c r="L1916" s="176"/>
      <c r="M1916" s="176"/>
      <c r="N1916" s="176"/>
      <c r="O1916" s="176"/>
      <c r="P1916" s="176"/>
      <c r="Q1916" s="176"/>
      <c r="R1916" s="176"/>
      <c r="S1916" s="176"/>
      <c r="T1916" s="176"/>
      <c r="U1916" s="176"/>
      <c r="V1916" s="176"/>
      <c r="W1916" s="176"/>
      <c r="X1916" s="176"/>
      <c r="Y1916" s="176"/>
    </row>
    <row r="1917" spans="1:25">
      <c r="A1917" s="91"/>
      <c r="B1917" s="176"/>
      <c r="C1917" s="176"/>
      <c r="D1917" s="176"/>
      <c r="E1917" s="176"/>
      <c r="F1917" s="176"/>
      <c r="G1917" s="176"/>
      <c r="H1917" s="176"/>
      <c r="I1917" s="176"/>
      <c r="J1917" s="176"/>
      <c r="K1917" s="176"/>
      <c r="L1917" s="176"/>
      <c r="M1917" s="176"/>
      <c r="N1917" s="176"/>
      <c r="O1917" s="176"/>
      <c r="P1917" s="176"/>
      <c r="Q1917" s="176"/>
      <c r="R1917" s="176"/>
      <c r="S1917" s="176"/>
      <c r="T1917" s="176"/>
      <c r="U1917" s="176"/>
      <c r="V1917" s="176"/>
      <c r="W1917" s="176"/>
      <c r="X1917" s="176"/>
      <c r="Y1917" s="176"/>
    </row>
    <row r="1918" spans="1:25">
      <c r="A1918" s="91"/>
      <c r="B1918" s="176"/>
      <c r="C1918" s="176"/>
      <c r="D1918" s="176"/>
      <c r="E1918" s="176"/>
      <c r="F1918" s="176"/>
      <c r="G1918" s="176"/>
      <c r="H1918" s="176"/>
      <c r="I1918" s="176"/>
      <c r="J1918" s="176"/>
      <c r="K1918" s="176"/>
      <c r="L1918" s="176"/>
      <c r="M1918" s="176"/>
      <c r="N1918" s="176"/>
      <c r="O1918" s="176"/>
      <c r="P1918" s="176"/>
      <c r="Q1918" s="176"/>
      <c r="R1918" s="176"/>
      <c r="S1918" s="176"/>
      <c r="T1918" s="176"/>
      <c r="U1918" s="176"/>
      <c r="V1918" s="176"/>
      <c r="W1918" s="176"/>
      <c r="X1918" s="176"/>
      <c r="Y1918" s="176"/>
    </row>
    <row r="1919" spans="1:25">
      <c r="A1919" s="91"/>
      <c r="B1919" s="176"/>
      <c r="C1919" s="176"/>
      <c r="D1919" s="176"/>
      <c r="E1919" s="176"/>
      <c r="F1919" s="176"/>
      <c r="G1919" s="176"/>
      <c r="H1919" s="176"/>
      <c r="I1919" s="176"/>
      <c r="J1919" s="176"/>
      <c r="K1919" s="176"/>
      <c r="L1919" s="176"/>
      <c r="M1919" s="176"/>
      <c r="N1919" s="176"/>
      <c r="O1919" s="176"/>
      <c r="P1919" s="176"/>
      <c r="Q1919" s="176"/>
      <c r="R1919" s="176"/>
      <c r="S1919" s="176"/>
      <c r="T1919" s="176"/>
      <c r="U1919" s="176"/>
      <c r="V1919" s="176"/>
      <c r="W1919" s="176"/>
      <c r="X1919" s="176"/>
      <c r="Y1919" s="176"/>
    </row>
    <row r="1920" spans="1:25">
      <c r="A1920" s="91"/>
      <c r="B1920" s="176"/>
      <c r="C1920" s="176"/>
      <c r="D1920" s="176"/>
      <c r="E1920" s="176"/>
      <c r="F1920" s="176"/>
      <c r="G1920" s="176"/>
      <c r="H1920" s="176"/>
      <c r="I1920" s="176"/>
      <c r="J1920" s="176"/>
      <c r="K1920" s="176"/>
      <c r="L1920" s="176"/>
      <c r="M1920" s="176"/>
      <c r="N1920" s="176"/>
      <c r="O1920" s="176"/>
      <c r="P1920" s="176"/>
      <c r="Q1920" s="176"/>
      <c r="R1920" s="176"/>
      <c r="S1920" s="176"/>
      <c r="T1920" s="176"/>
      <c r="U1920" s="176"/>
      <c r="V1920" s="176"/>
      <c r="W1920" s="176"/>
      <c r="X1920" s="176"/>
      <c r="Y1920" s="176"/>
    </row>
    <row r="1921" spans="1:25">
      <c r="A1921" s="91"/>
      <c r="B1921" s="176"/>
      <c r="C1921" s="176"/>
      <c r="D1921" s="176"/>
      <c r="E1921" s="176"/>
      <c r="F1921" s="176"/>
      <c r="G1921" s="176"/>
      <c r="H1921" s="176"/>
      <c r="I1921" s="176"/>
      <c r="J1921" s="176"/>
      <c r="K1921" s="176"/>
      <c r="L1921" s="176"/>
      <c r="M1921" s="176"/>
      <c r="N1921" s="176"/>
      <c r="O1921" s="176"/>
      <c r="P1921" s="176"/>
      <c r="Q1921" s="176"/>
      <c r="R1921" s="176"/>
      <c r="S1921" s="176"/>
      <c r="T1921" s="176"/>
      <c r="U1921" s="176"/>
      <c r="V1921" s="176"/>
      <c r="W1921" s="176"/>
      <c r="X1921" s="176"/>
      <c r="Y1921" s="176"/>
    </row>
    <row r="1922" spans="1:25">
      <c r="A1922" s="91"/>
      <c r="B1922" s="176"/>
      <c r="C1922" s="176"/>
      <c r="D1922" s="176"/>
      <c r="E1922" s="176"/>
      <c r="F1922" s="176"/>
      <c r="G1922" s="176"/>
      <c r="H1922" s="176"/>
      <c r="I1922" s="176"/>
      <c r="J1922" s="176"/>
      <c r="K1922" s="176"/>
      <c r="L1922" s="176"/>
      <c r="M1922" s="176"/>
      <c r="N1922" s="176"/>
      <c r="O1922" s="176"/>
      <c r="P1922" s="176"/>
      <c r="Q1922" s="176"/>
      <c r="R1922" s="176"/>
      <c r="S1922" s="176"/>
      <c r="T1922" s="176"/>
      <c r="U1922" s="176"/>
      <c r="V1922" s="176"/>
      <c r="W1922" s="176"/>
      <c r="X1922" s="176"/>
      <c r="Y1922" s="176"/>
    </row>
    <row r="1923" spans="1:25">
      <c r="A1923" s="91"/>
      <c r="B1923" s="176"/>
      <c r="C1923" s="176"/>
      <c r="D1923" s="176"/>
      <c r="E1923" s="176"/>
      <c r="F1923" s="176"/>
      <c r="G1923" s="176"/>
      <c r="H1923" s="176"/>
      <c r="I1923" s="176"/>
      <c r="J1923" s="176"/>
      <c r="K1923" s="176"/>
      <c r="L1923" s="176"/>
      <c r="M1923" s="176"/>
      <c r="N1923" s="176"/>
      <c r="O1923" s="176"/>
      <c r="P1923" s="176"/>
      <c r="Q1923" s="176"/>
      <c r="R1923" s="176"/>
      <c r="S1923" s="176"/>
      <c r="T1923" s="176"/>
      <c r="U1923" s="176"/>
      <c r="V1923" s="176"/>
      <c r="W1923" s="176"/>
      <c r="X1923" s="176"/>
      <c r="Y1923" s="176"/>
    </row>
    <row r="1924" spans="1:25">
      <c r="A1924" s="91"/>
      <c r="B1924" s="176"/>
      <c r="C1924" s="176"/>
      <c r="D1924" s="176"/>
      <c r="E1924" s="176"/>
      <c r="F1924" s="176"/>
      <c r="G1924" s="176"/>
      <c r="H1924" s="176"/>
      <c r="I1924" s="176"/>
      <c r="J1924" s="176"/>
      <c r="K1924" s="176"/>
      <c r="L1924" s="176"/>
      <c r="M1924" s="176"/>
      <c r="N1924" s="176"/>
      <c r="O1924" s="176"/>
      <c r="P1924" s="176"/>
      <c r="Q1924" s="176"/>
      <c r="R1924" s="176"/>
      <c r="S1924" s="176"/>
      <c r="T1924" s="176"/>
      <c r="U1924" s="176"/>
      <c r="V1924" s="176"/>
      <c r="W1924" s="176"/>
      <c r="X1924" s="176"/>
      <c r="Y1924" s="176"/>
    </row>
    <row r="1925" spans="1:25">
      <c r="A1925" s="91"/>
      <c r="B1925" s="176"/>
      <c r="C1925" s="176"/>
      <c r="D1925" s="176"/>
      <c r="E1925" s="176"/>
      <c r="F1925" s="176"/>
      <c r="G1925" s="176"/>
      <c r="H1925" s="176"/>
      <c r="I1925" s="176"/>
      <c r="J1925" s="176"/>
      <c r="K1925" s="176"/>
      <c r="L1925" s="176"/>
      <c r="M1925" s="176"/>
      <c r="N1925" s="176"/>
      <c r="O1925" s="176"/>
      <c r="P1925" s="176"/>
      <c r="Q1925" s="176"/>
      <c r="R1925" s="176"/>
      <c r="S1925" s="176"/>
      <c r="T1925" s="176"/>
      <c r="U1925" s="176"/>
      <c r="V1925" s="176"/>
      <c r="W1925" s="176"/>
      <c r="X1925" s="176"/>
      <c r="Y1925" s="176"/>
    </row>
    <row r="1926" spans="1:25">
      <c r="A1926" s="91"/>
      <c r="B1926" s="176"/>
      <c r="C1926" s="176"/>
      <c r="D1926" s="176"/>
      <c r="E1926" s="176"/>
      <c r="F1926" s="176"/>
      <c r="G1926" s="176"/>
      <c r="H1926" s="176"/>
      <c r="I1926" s="176"/>
      <c r="J1926" s="176"/>
      <c r="K1926" s="176"/>
      <c r="L1926" s="176"/>
      <c r="M1926" s="176"/>
      <c r="N1926" s="176"/>
      <c r="O1926" s="176"/>
      <c r="P1926" s="176"/>
      <c r="Q1926" s="176"/>
      <c r="R1926" s="176"/>
      <c r="S1926" s="176"/>
      <c r="T1926" s="176"/>
      <c r="U1926" s="176"/>
      <c r="V1926" s="176"/>
      <c r="W1926" s="176"/>
      <c r="X1926" s="176"/>
      <c r="Y1926" s="176"/>
    </row>
    <row r="1927" spans="1:25">
      <c r="A1927" s="91"/>
      <c r="B1927" s="176"/>
      <c r="C1927" s="176"/>
      <c r="D1927" s="176"/>
      <c r="E1927" s="176"/>
      <c r="F1927" s="176"/>
      <c r="G1927" s="176"/>
      <c r="H1927" s="176"/>
      <c r="I1927" s="176"/>
      <c r="J1927" s="176"/>
      <c r="K1927" s="176"/>
      <c r="L1927" s="176"/>
      <c r="M1927" s="176"/>
      <c r="N1927" s="176"/>
      <c r="O1927" s="176"/>
      <c r="P1927" s="176"/>
      <c r="Q1927" s="176"/>
      <c r="R1927" s="176"/>
      <c r="S1927" s="176"/>
      <c r="T1927" s="176"/>
      <c r="U1927" s="176"/>
      <c r="V1927" s="176"/>
      <c r="W1927" s="176"/>
      <c r="X1927" s="176"/>
      <c r="Y1927" s="176"/>
    </row>
    <row r="1928" spans="1:25">
      <c r="A1928" s="91"/>
      <c r="B1928" s="176"/>
      <c r="C1928" s="176"/>
      <c r="D1928" s="176"/>
      <c r="E1928" s="176"/>
      <c r="F1928" s="176"/>
      <c r="G1928" s="176"/>
      <c r="H1928" s="176"/>
      <c r="I1928" s="176"/>
      <c r="J1928" s="176"/>
      <c r="K1928" s="176"/>
      <c r="L1928" s="176"/>
      <c r="M1928" s="176"/>
      <c r="N1928" s="176"/>
      <c r="O1928" s="176"/>
      <c r="P1928" s="176"/>
      <c r="Q1928" s="176"/>
      <c r="R1928" s="176"/>
      <c r="S1928" s="176"/>
      <c r="T1928" s="176"/>
      <c r="U1928" s="176"/>
      <c r="V1928" s="176"/>
      <c r="W1928" s="176"/>
      <c r="X1928" s="176"/>
      <c r="Y1928" s="176"/>
    </row>
    <row r="1929" spans="1:25">
      <c r="A1929" s="91"/>
      <c r="B1929" s="176"/>
      <c r="C1929" s="176"/>
      <c r="D1929" s="176"/>
      <c r="E1929" s="176"/>
      <c r="F1929" s="176"/>
      <c r="G1929" s="176"/>
      <c r="H1929" s="176"/>
      <c r="I1929" s="176"/>
      <c r="J1929" s="176"/>
      <c r="K1929" s="176"/>
      <c r="L1929" s="176"/>
      <c r="M1929" s="176"/>
      <c r="N1929" s="176"/>
      <c r="O1929" s="176"/>
      <c r="P1929" s="176"/>
      <c r="Q1929" s="176"/>
      <c r="R1929" s="176"/>
      <c r="S1929" s="176"/>
      <c r="T1929" s="176"/>
      <c r="U1929" s="176"/>
      <c r="V1929" s="176"/>
      <c r="W1929" s="176"/>
      <c r="X1929" s="176"/>
      <c r="Y1929" s="176"/>
    </row>
    <row r="1930" spans="1:25">
      <c r="A1930" s="91"/>
      <c r="B1930" s="176"/>
      <c r="C1930" s="176"/>
      <c r="D1930" s="176"/>
      <c r="E1930" s="176"/>
      <c r="F1930" s="176"/>
      <c r="G1930" s="176"/>
      <c r="H1930" s="176"/>
      <c r="I1930" s="176"/>
      <c r="J1930" s="176"/>
      <c r="K1930" s="176"/>
      <c r="L1930" s="176"/>
      <c r="M1930" s="176"/>
      <c r="N1930" s="176"/>
      <c r="O1930" s="176"/>
      <c r="P1930" s="176"/>
      <c r="Q1930" s="176"/>
      <c r="R1930" s="176"/>
      <c r="S1930" s="176"/>
      <c r="T1930" s="176"/>
      <c r="U1930" s="176"/>
      <c r="V1930" s="176"/>
      <c r="W1930" s="176"/>
      <c r="X1930" s="176"/>
      <c r="Y1930" s="176"/>
    </row>
    <row r="1931" spans="1:25">
      <c r="A1931" s="91"/>
      <c r="B1931" s="176"/>
      <c r="C1931" s="176"/>
      <c r="D1931" s="176"/>
      <c r="E1931" s="176"/>
      <c r="F1931" s="176"/>
      <c r="G1931" s="176"/>
      <c r="H1931" s="176"/>
      <c r="I1931" s="176"/>
      <c r="J1931" s="176"/>
      <c r="K1931" s="176"/>
      <c r="L1931" s="176"/>
      <c r="M1931" s="176"/>
      <c r="N1931" s="176"/>
      <c r="O1931" s="176"/>
      <c r="P1931" s="176"/>
      <c r="Q1931" s="176"/>
      <c r="R1931" s="176"/>
      <c r="S1931" s="176"/>
      <c r="T1931" s="176"/>
      <c r="U1931" s="176"/>
      <c r="V1931" s="176"/>
      <c r="W1931" s="176"/>
      <c r="X1931" s="176"/>
      <c r="Y1931" s="176"/>
    </row>
    <row r="1932" spans="1:25">
      <c r="A1932" s="91"/>
      <c r="B1932" s="176"/>
      <c r="C1932" s="176"/>
      <c r="D1932" s="176"/>
      <c r="E1932" s="176"/>
      <c r="F1932" s="176"/>
      <c r="G1932" s="176"/>
      <c r="H1932" s="176"/>
      <c r="I1932" s="176"/>
      <c r="J1932" s="176"/>
      <c r="K1932" s="176"/>
      <c r="L1932" s="176"/>
      <c r="M1932" s="176"/>
      <c r="N1932" s="176"/>
      <c r="O1932" s="176"/>
      <c r="P1932" s="176"/>
      <c r="Q1932" s="176"/>
      <c r="R1932" s="176"/>
      <c r="S1932" s="176"/>
      <c r="T1932" s="176"/>
      <c r="U1932" s="176"/>
      <c r="V1932" s="176"/>
      <c r="W1932" s="176"/>
      <c r="X1932" s="176"/>
      <c r="Y1932" s="176"/>
    </row>
    <row r="1933" spans="1:25">
      <c r="A1933" s="91"/>
      <c r="B1933" s="176"/>
      <c r="C1933" s="176"/>
      <c r="D1933" s="176"/>
      <c r="E1933" s="176"/>
      <c r="F1933" s="176"/>
      <c r="G1933" s="176"/>
      <c r="H1933" s="176"/>
      <c r="I1933" s="176"/>
      <c r="J1933" s="176"/>
      <c r="K1933" s="176"/>
      <c r="L1933" s="176"/>
      <c r="M1933" s="176"/>
      <c r="N1933" s="176"/>
      <c r="O1933" s="176"/>
      <c r="P1933" s="176"/>
      <c r="Q1933" s="176"/>
      <c r="R1933" s="176"/>
      <c r="S1933" s="176"/>
      <c r="T1933" s="176"/>
      <c r="U1933" s="176"/>
      <c r="V1933" s="176"/>
      <c r="W1933" s="176"/>
      <c r="X1933" s="176"/>
      <c r="Y1933" s="176"/>
    </row>
    <row r="1934" spans="1:25">
      <c r="A1934" s="91"/>
      <c r="B1934" s="176"/>
      <c r="C1934" s="176"/>
      <c r="D1934" s="176"/>
      <c r="E1934" s="176"/>
      <c r="F1934" s="176"/>
      <c r="G1934" s="176"/>
      <c r="H1934" s="176"/>
      <c r="I1934" s="176"/>
      <c r="J1934" s="176"/>
      <c r="K1934" s="176"/>
      <c r="L1934" s="176"/>
      <c r="M1934" s="176"/>
      <c r="N1934" s="176"/>
      <c r="O1934" s="176"/>
      <c r="P1934" s="176"/>
      <c r="Q1934" s="176"/>
      <c r="R1934" s="176"/>
      <c r="S1934" s="176"/>
      <c r="T1934" s="176"/>
      <c r="U1934" s="176"/>
      <c r="V1934" s="176"/>
      <c r="W1934" s="176"/>
      <c r="X1934" s="176"/>
      <c r="Y1934" s="176"/>
    </row>
    <row r="1935" spans="1:25">
      <c r="A1935" s="91"/>
      <c r="B1935" s="176"/>
      <c r="C1935" s="176"/>
      <c r="D1935" s="176"/>
      <c r="E1935" s="176"/>
      <c r="F1935" s="176"/>
      <c r="G1935" s="176"/>
      <c r="H1935" s="176"/>
      <c r="I1935" s="176"/>
      <c r="J1935" s="176"/>
      <c r="K1935" s="176"/>
      <c r="L1935" s="176"/>
      <c r="M1935" s="176"/>
      <c r="N1935" s="176"/>
      <c r="O1935" s="176"/>
      <c r="P1935" s="176"/>
      <c r="Q1935" s="176"/>
      <c r="R1935" s="176"/>
      <c r="S1935" s="176"/>
      <c r="T1935" s="176"/>
      <c r="U1935" s="176"/>
      <c r="V1935" s="176"/>
      <c r="W1935" s="176"/>
      <c r="X1935" s="176"/>
      <c r="Y1935" s="176"/>
    </row>
    <row r="1936" spans="1:25">
      <c r="A1936" s="91"/>
      <c r="B1936" s="176"/>
      <c r="C1936" s="176"/>
      <c r="D1936" s="176"/>
      <c r="E1936" s="176"/>
      <c r="F1936" s="176"/>
      <c r="G1936" s="176"/>
      <c r="H1936" s="176"/>
      <c r="I1936" s="176"/>
      <c r="J1936" s="176"/>
      <c r="K1936" s="176"/>
      <c r="L1936" s="176"/>
      <c r="M1936" s="176"/>
      <c r="N1936" s="176"/>
      <c r="O1936" s="176"/>
      <c r="P1936" s="176"/>
      <c r="Q1936" s="176"/>
      <c r="R1936" s="176"/>
      <c r="S1936" s="176"/>
      <c r="T1936" s="176"/>
      <c r="U1936" s="176"/>
      <c r="V1936" s="176"/>
      <c r="W1936" s="176"/>
      <c r="X1936" s="176"/>
      <c r="Y1936" s="176"/>
    </row>
    <row r="1937" spans="1:25">
      <c r="A1937" s="91"/>
      <c r="B1937" s="176"/>
      <c r="C1937" s="176"/>
      <c r="D1937" s="176"/>
      <c r="E1937" s="176"/>
      <c r="F1937" s="176"/>
      <c r="G1937" s="176"/>
      <c r="H1937" s="176"/>
      <c r="I1937" s="176"/>
      <c r="J1937" s="176"/>
      <c r="K1937" s="176"/>
      <c r="L1937" s="176"/>
      <c r="M1937" s="176"/>
      <c r="N1937" s="176"/>
      <c r="O1937" s="176"/>
      <c r="P1937" s="176"/>
      <c r="Q1937" s="176"/>
      <c r="R1937" s="176"/>
      <c r="S1937" s="176"/>
      <c r="T1937" s="176"/>
      <c r="U1937" s="176"/>
      <c r="V1937" s="176"/>
      <c r="W1937" s="176"/>
      <c r="X1937" s="176"/>
      <c r="Y1937" s="176"/>
    </row>
    <row r="1938" spans="1:25">
      <c r="A1938" s="91"/>
      <c r="B1938" s="176"/>
      <c r="C1938" s="176"/>
      <c r="D1938" s="176"/>
      <c r="E1938" s="176"/>
      <c r="F1938" s="176"/>
      <c r="G1938" s="176"/>
      <c r="H1938" s="176"/>
      <c r="I1938" s="176"/>
      <c r="J1938" s="176"/>
      <c r="K1938" s="176"/>
      <c r="L1938" s="176"/>
      <c r="M1938" s="176"/>
      <c r="N1938" s="176"/>
      <c r="O1938" s="176"/>
      <c r="P1938" s="176"/>
      <c r="Q1938" s="176"/>
      <c r="R1938" s="176"/>
      <c r="S1938" s="176"/>
      <c r="T1938" s="176"/>
      <c r="U1938" s="176"/>
      <c r="V1938" s="176"/>
      <c r="W1938" s="176"/>
      <c r="X1938" s="176"/>
      <c r="Y1938" s="176"/>
    </row>
    <row r="1939" spans="1:25">
      <c r="A1939" s="91"/>
      <c r="B1939" s="176"/>
      <c r="C1939" s="176"/>
      <c r="D1939" s="176"/>
      <c r="E1939" s="176"/>
      <c r="F1939" s="176"/>
      <c r="G1939" s="176"/>
      <c r="H1939" s="176"/>
      <c r="I1939" s="176"/>
      <c r="J1939" s="176"/>
      <c r="K1939" s="176"/>
      <c r="L1939" s="176"/>
      <c r="M1939" s="176"/>
      <c r="N1939" s="176"/>
      <c r="O1939" s="176"/>
      <c r="P1939" s="176"/>
      <c r="Q1939" s="176"/>
      <c r="R1939" s="176"/>
      <c r="S1939" s="176"/>
      <c r="T1939" s="176"/>
      <c r="U1939" s="176"/>
      <c r="V1939" s="176"/>
      <c r="W1939" s="176"/>
      <c r="X1939" s="176"/>
      <c r="Y1939" s="176"/>
    </row>
    <row r="1940" spans="1:25">
      <c r="A1940" s="91"/>
      <c r="B1940" s="176"/>
      <c r="C1940" s="176"/>
      <c r="D1940" s="176"/>
      <c r="E1940" s="176"/>
      <c r="F1940" s="176"/>
      <c r="G1940" s="176"/>
      <c r="H1940" s="176"/>
      <c r="I1940" s="176"/>
      <c r="J1940" s="176"/>
      <c r="K1940" s="176"/>
      <c r="L1940" s="176"/>
      <c r="M1940" s="176"/>
      <c r="N1940" s="176"/>
      <c r="O1940" s="176"/>
      <c r="P1940" s="176"/>
      <c r="Q1940" s="176"/>
      <c r="R1940" s="176"/>
      <c r="S1940" s="176"/>
      <c r="T1940" s="176"/>
      <c r="U1940" s="176"/>
      <c r="V1940" s="176"/>
      <c r="W1940" s="176"/>
      <c r="X1940" s="176"/>
      <c r="Y1940" s="176"/>
    </row>
    <row r="1941" spans="1:25">
      <c r="A1941" s="91"/>
      <c r="B1941" s="176"/>
      <c r="C1941" s="176"/>
      <c r="D1941" s="176"/>
      <c r="E1941" s="176"/>
      <c r="F1941" s="176"/>
      <c r="G1941" s="176"/>
      <c r="H1941" s="176"/>
      <c r="I1941" s="176"/>
      <c r="J1941" s="176"/>
      <c r="K1941" s="176"/>
      <c r="L1941" s="176"/>
      <c r="M1941" s="176"/>
      <c r="N1941" s="176"/>
      <c r="O1941" s="176"/>
      <c r="P1941" s="176"/>
      <c r="Q1941" s="176"/>
      <c r="R1941" s="176"/>
      <c r="S1941" s="176"/>
      <c r="T1941" s="176"/>
      <c r="U1941" s="176"/>
      <c r="V1941" s="176"/>
      <c r="W1941" s="176"/>
      <c r="X1941" s="176"/>
      <c r="Y1941" s="176"/>
    </row>
    <row r="1942" spans="1:25">
      <c r="A1942" s="91"/>
      <c r="B1942" s="176"/>
      <c r="C1942" s="176"/>
      <c r="D1942" s="176"/>
      <c r="E1942" s="176"/>
      <c r="F1942" s="176"/>
      <c r="G1942" s="176"/>
      <c r="H1942" s="176"/>
      <c r="I1942" s="176"/>
      <c r="J1942" s="176"/>
      <c r="K1942" s="176"/>
      <c r="L1942" s="176"/>
      <c r="M1942" s="176"/>
      <c r="N1942" s="176"/>
      <c r="O1942" s="176"/>
      <c r="P1942" s="176"/>
      <c r="Q1942" s="176"/>
      <c r="R1942" s="176"/>
      <c r="S1942" s="176"/>
      <c r="T1942" s="176"/>
      <c r="U1942" s="176"/>
      <c r="V1942" s="176"/>
      <c r="W1942" s="176"/>
      <c r="X1942" s="176"/>
      <c r="Y1942" s="176"/>
    </row>
    <row r="1943" spans="1:25">
      <c r="A1943" s="91"/>
      <c r="B1943" s="176"/>
      <c r="C1943" s="176"/>
      <c r="D1943" s="176"/>
      <c r="E1943" s="176"/>
      <c r="F1943" s="176"/>
      <c r="G1943" s="176"/>
      <c r="H1943" s="176"/>
      <c r="I1943" s="176"/>
      <c r="J1943" s="176"/>
      <c r="K1943" s="176"/>
      <c r="L1943" s="176"/>
      <c r="M1943" s="176"/>
      <c r="N1943" s="176"/>
      <c r="O1943" s="176"/>
      <c r="P1943" s="176"/>
      <c r="Q1943" s="176"/>
      <c r="R1943" s="176"/>
      <c r="S1943" s="176"/>
      <c r="T1943" s="176"/>
      <c r="U1943" s="176"/>
      <c r="V1943" s="176"/>
      <c r="W1943" s="176"/>
      <c r="X1943" s="176"/>
      <c r="Y1943" s="176"/>
    </row>
    <row r="1944" spans="1:25">
      <c r="A1944" s="91"/>
      <c r="B1944" s="176"/>
      <c r="C1944" s="176"/>
      <c r="D1944" s="176"/>
      <c r="E1944" s="176"/>
      <c r="F1944" s="176"/>
      <c r="G1944" s="176"/>
      <c r="H1944" s="176"/>
      <c r="I1944" s="176"/>
      <c r="J1944" s="176"/>
      <c r="K1944" s="176"/>
      <c r="L1944" s="176"/>
      <c r="M1944" s="176"/>
      <c r="N1944" s="176"/>
      <c r="O1944" s="176"/>
      <c r="P1944" s="176"/>
      <c r="Q1944" s="176"/>
      <c r="R1944" s="176"/>
      <c r="S1944" s="176"/>
      <c r="T1944" s="176"/>
      <c r="U1944" s="176"/>
      <c r="V1944" s="176"/>
      <c r="W1944" s="176"/>
      <c r="X1944" s="176"/>
      <c r="Y1944" s="176"/>
    </row>
    <row r="1945" spans="1:25">
      <c r="A1945" s="91"/>
      <c r="B1945" s="176"/>
      <c r="C1945" s="176"/>
      <c r="D1945" s="176"/>
      <c r="E1945" s="176"/>
      <c r="F1945" s="176"/>
      <c r="G1945" s="176"/>
      <c r="H1945" s="176"/>
      <c r="I1945" s="176"/>
      <c r="J1945" s="176"/>
      <c r="K1945" s="176"/>
      <c r="L1945" s="176"/>
      <c r="M1945" s="176"/>
      <c r="N1945" s="176"/>
      <c r="O1945" s="176"/>
      <c r="P1945" s="176"/>
      <c r="Q1945" s="176"/>
      <c r="R1945" s="176"/>
      <c r="S1945" s="176"/>
      <c r="T1945" s="176"/>
      <c r="U1945" s="176"/>
      <c r="V1945" s="176"/>
      <c r="W1945" s="176"/>
      <c r="X1945" s="176"/>
      <c r="Y1945" s="176"/>
    </row>
    <row r="1946" spans="1:25">
      <c r="A1946" s="91"/>
      <c r="B1946" s="176"/>
      <c r="C1946" s="176"/>
      <c r="D1946" s="176"/>
      <c r="E1946" s="176"/>
      <c r="F1946" s="176"/>
      <c r="G1946" s="176"/>
      <c r="H1946" s="176"/>
      <c r="I1946" s="176"/>
      <c r="J1946" s="176"/>
      <c r="K1946" s="176"/>
      <c r="L1946" s="176"/>
      <c r="M1946" s="176"/>
      <c r="N1946" s="176"/>
      <c r="O1946" s="176"/>
      <c r="P1946" s="176"/>
      <c r="Q1946" s="176"/>
      <c r="R1946" s="176"/>
      <c r="S1946" s="176"/>
      <c r="T1946" s="176"/>
      <c r="U1946" s="176"/>
      <c r="V1946" s="176"/>
      <c r="W1946" s="176"/>
      <c r="X1946" s="176"/>
      <c r="Y1946" s="176"/>
    </row>
    <row r="1947" spans="1:25">
      <c r="A1947" s="91"/>
      <c r="B1947" s="176"/>
      <c r="C1947" s="176"/>
      <c r="D1947" s="176"/>
      <c r="E1947" s="176"/>
      <c r="F1947" s="176"/>
      <c r="G1947" s="176"/>
      <c r="H1947" s="176"/>
      <c r="I1947" s="176"/>
      <c r="J1947" s="176"/>
      <c r="K1947" s="176"/>
      <c r="L1947" s="176"/>
      <c r="M1947" s="176"/>
      <c r="N1947" s="176"/>
      <c r="O1947" s="176"/>
      <c r="P1947" s="176"/>
      <c r="Q1947" s="176"/>
      <c r="R1947" s="176"/>
      <c r="S1947" s="176"/>
      <c r="T1947" s="176"/>
      <c r="U1947" s="176"/>
      <c r="V1947" s="176"/>
      <c r="W1947" s="176"/>
      <c r="X1947" s="176"/>
      <c r="Y1947" s="176"/>
    </row>
    <row r="1948" spans="1:25">
      <c r="A1948" s="91"/>
      <c r="B1948" s="176"/>
      <c r="C1948" s="176"/>
      <c r="D1948" s="176"/>
      <c r="E1948" s="176"/>
      <c r="F1948" s="176"/>
      <c r="G1948" s="176"/>
      <c r="H1948" s="176"/>
      <c r="I1948" s="176"/>
      <c r="J1948" s="176"/>
      <c r="K1948" s="176"/>
      <c r="L1948" s="176"/>
      <c r="M1948" s="176"/>
      <c r="N1948" s="176"/>
      <c r="O1948" s="176"/>
      <c r="P1948" s="176"/>
      <c r="Q1948" s="176"/>
      <c r="R1948" s="176"/>
      <c r="S1948" s="176"/>
      <c r="T1948" s="176"/>
      <c r="U1948" s="176"/>
      <c r="V1948" s="176"/>
      <c r="W1948" s="176"/>
      <c r="X1948" s="176"/>
      <c r="Y1948" s="176"/>
    </row>
    <row r="1949" spans="1:25">
      <c r="A1949" s="91"/>
      <c r="B1949" s="176"/>
      <c r="C1949" s="176"/>
      <c r="D1949" s="176"/>
      <c r="E1949" s="176"/>
      <c r="F1949" s="176"/>
      <c r="G1949" s="176"/>
      <c r="H1949" s="176"/>
      <c r="I1949" s="176"/>
      <c r="J1949" s="176"/>
      <c r="K1949" s="176"/>
      <c r="L1949" s="176"/>
      <c r="M1949" s="176"/>
      <c r="N1949" s="176"/>
      <c r="O1949" s="176"/>
      <c r="P1949" s="176"/>
      <c r="Q1949" s="176"/>
      <c r="R1949" s="176"/>
      <c r="S1949" s="176"/>
      <c r="T1949" s="176"/>
      <c r="U1949" s="176"/>
      <c r="V1949" s="176"/>
      <c r="W1949" s="176"/>
      <c r="X1949" s="176"/>
      <c r="Y1949" s="176"/>
    </row>
    <row r="1950" spans="1:25">
      <c r="A1950" s="91"/>
      <c r="B1950" s="176"/>
      <c r="C1950" s="176"/>
      <c r="D1950" s="176"/>
      <c r="E1950" s="176"/>
      <c r="F1950" s="176"/>
      <c r="G1950" s="176"/>
      <c r="H1950" s="176"/>
      <c r="I1950" s="176"/>
      <c r="J1950" s="176"/>
      <c r="K1950" s="176"/>
      <c r="L1950" s="176"/>
      <c r="M1950" s="176"/>
      <c r="N1950" s="176"/>
      <c r="O1950" s="176"/>
      <c r="P1950" s="176"/>
      <c r="Q1950" s="176"/>
      <c r="R1950" s="176"/>
      <c r="S1950" s="176"/>
      <c r="T1950" s="176"/>
      <c r="U1950" s="176"/>
      <c r="V1950" s="176"/>
      <c r="W1950" s="176"/>
      <c r="X1950" s="176"/>
      <c r="Y1950" s="176"/>
    </row>
    <row r="1951" spans="1:25">
      <c r="A1951" s="91"/>
      <c r="B1951" s="176"/>
      <c r="C1951" s="176"/>
      <c r="D1951" s="176"/>
      <c r="E1951" s="176"/>
      <c r="F1951" s="176"/>
      <c r="G1951" s="176"/>
      <c r="H1951" s="176"/>
      <c r="I1951" s="176"/>
      <c r="J1951" s="176"/>
      <c r="K1951" s="176"/>
      <c r="L1951" s="176"/>
      <c r="M1951" s="176"/>
      <c r="N1951" s="176"/>
      <c r="O1951" s="176"/>
      <c r="P1951" s="176"/>
      <c r="Q1951" s="176"/>
      <c r="R1951" s="176"/>
      <c r="S1951" s="176"/>
      <c r="T1951" s="176"/>
      <c r="U1951" s="176"/>
      <c r="V1951" s="176"/>
      <c r="W1951" s="176"/>
      <c r="X1951" s="176"/>
      <c r="Y1951" s="176"/>
    </row>
    <row r="1952" spans="1:25">
      <c r="A1952" s="91"/>
      <c r="B1952" s="176"/>
      <c r="C1952" s="176"/>
      <c r="D1952" s="176"/>
      <c r="E1952" s="176"/>
      <c r="F1952" s="176"/>
      <c r="G1952" s="176"/>
      <c r="H1952" s="176"/>
      <c r="I1952" s="176"/>
      <c r="J1952" s="176"/>
      <c r="K1952" s="176"/>
      <c r="L1952" s="176"/>
      <c r="M1952" s="176"/>
      <c r="N1952" s="176"/>
      <c r="O1952" s="176"/>
      <c r="P1952" s="176"/>
      <c r="Q1952" s="176"/>
      <c r="R1952" s="176"/>
      <c r="S1952" s="176"/>
      <c r="T1952" s="176"/>
      <c r="U1952" s="176"/>
      <c r="V1952" s="176"/>
      <c r="W1952" s="176"/>
      <c r="X1952" s="176"/>
      <c r="Y1952" s="176"/>
    </row>
    <row r="1953" spans="1:25">
      <c r="A1953" s="91"/>
      <c r="B1953" s="176"/>
      <c r="C1953" s="176"/>
      <c r="D1953" s="176"/>
      <c r="E1953" s="176"/>
      <c r="F1953" s="176"/>
      <c r="G1953" s="176"/>
      <c r="H1953" s="176"/>
      <c r="I1953" s="176"/>
      <c r="J1953" s="176"/>
      <c r="K1953" s="176"/>
      <c r="L1953" s="176"/>
      <c r="M1953" s="176"/>
      <c r="N1953" s="176"/>
      <c r="O1953" s="176"/>
      <c r="P1953" s="176"/>
      <c r="Q1953" s="176"/>
      <c r="R1953" s="176"/>
      <c r="S1953" s="176"/>
      <c r="T1953" s="176"/>
      <c r="U1953" s="176"/>
      <c r="V1953" s="176"/>
      <c r="W1953" s="176"/>
      <c r="X1953" s="176"/>
      <c r="Y1953" s="176"/>
    </row>
    <row r="1954" spans="1:25">
      <c r="A1954" s="91"/>
      <c r="B1954" s="176"/>
      <c r="C1954" s="176"/>
      <c r="D1954" s="176"/>
      <c r="E1954" s="176"/>
      <c r="F1954" s="176"/>
      <c r="G1954" s="176"/>
      <c r="H1954" s="176"/>
      <c r="I1954" s="176"/>
      <c r="J1954" s="176"/>
      <c r="K1954" s="176"/>
      <c r="L1954" s="176"/>
      <c r="M1954" s="176"/>
      <c r="N1954" s="176"/>
      <c r="O1954" s="176"/>
      <c r="P1954" s="176"/>
      <c r="Q1954" s="176"/>
      <c r="R1954" s="176"/>
      <c r="S1954" s="176"/>
      <c r="T1954" s="176"/>
      <c r="U1954" s="176"/>
      <c r="V1954" s="176"/>
      <c r="W1954" s="176"/>
      <c r="X1954" s="176"/>
      <c r="Y1954" s="176"/>
    </row>
    <row r="1955" spans="1:25">
      <c r="A1955" s="91"/>
      <c r="B1955" s="176"/>
      <c r="C1955" s="176"/>
      <c r="D1955" s="176"/>
      <c r="E1955" s="176"/>
      <c r="F1955" s="176"/>
      <c r="G1955" s="176"/>
      <c r="H1955" s="176"/>
      <c r="I1955" s="176"/>
      <c r="J1955" s="176"/>
      <c r="K1955" s="176"/>
      <c r="L1955" s="176"/>
      <c r="M1955" s="176"/>
      <c r="N1955" s="176"/>
      <c r="O1955" s="176"/>
      <c r="P1955" s="176"/>
      <c r="Q1955" s="176"/>
      <c r="R1955" s="176"/>
      <c r="S1955" s="176"/>
      <c r="T1955" s="176"/>
      <c r="U1955" s="176"/>
      <c r="V1955" s="176"/>
      <c r="W1955" s="176"/>
      <c r="X1955" s="176"/>
      <c r="Y1955" s="176"/>
    </row>
    <row r="1956" spans="1:25">
      <c r="A1956" s="91"/>
      <c r="B1956" s="176"/>
      <c r="C1956" s="176"/>
      <c r="D1956" s="176"/>
      <c r="E1956" s="176"/>
      <c r="F1956" s="176"/>
      <c r="G1956" s="176"/>
      <c r="H1956" s="176"/>
      <c r="I1956" s="176"/>
      <c r="J1956" s="176"/>
      <c r="K1956" s="176"/>
      <c r="L1956" s="176"/>
      <c r="M1956" s="176"/>
      <c r="N1956" s="176"/>
      <c r="O1956" s="176"/>
      <c r="P1956" s="176"/>
      <c r="Q1956" s="176"/>
      <c r="R1956" s="176"/>
      <c r="S1956" s="176"/>
      <c r="T1956" s="176"/>
      <c r="U1956" s="176"/>
      <c r="V1956" s="176"/>
      <c r="W1956" s="176"/>
      <c r="X1956" s="176"/>
      <c r="Y1956" s="176"/>
    </row>
    <row r="1957" spans="1:25">
      <c r="A1957" s="91"/>
      <c r="B1957" s="176"/>
      <c r="C1957" s="176"/>
      <c r="D1957" s="176"/>
      <c r="E1957" s="176"/>
      <c r="F1957" s="176"/>
      <c r="G1957" s="176"/>
      <c r="H1957" s="176"/>
      <c r="I1957" s="176"/>
      <c r="J1957" s="176"/>
      <c r="K1957" s="176"/>
      <c r="L1957" s="176"/>
      <c r="M1957" s="176"/>
      <c r="N1957" s="176"/>
      <c r="O1957" s="176"/>
      <c r="P1957" s="176"/>
      <c r="Q1957" s="176"/>
      <c r="R1957" s="176"/>
      <c r="S1957" s="176"/>
      <c r="T1957" s="176"/>
      <c r="U1957" s="176"/>
      <c r="V1957" s="176"/>
      <c r="W1957" s="176"/>
      <c r="X1957" s="176"/>
      <c r="Y1957" s="176"/>
    </row>
    <row r="1958" spans="1:25">
      <c r="A1958" s="91"/>
      <c r="B1958" s="176"/>
      <c r="C1958" s="176"/>
      <c r="D1958" s="176"/>
      <c r="E1958" s="176"/>
      <c r="F1958" s="176"/>
      <c r="G1958" s="176"/>
      <c r="H1958" s="176"/>
      <c r="I1958" s="176"/>
      <c r="J1958" s="176"/>
      <c r="K1958" s="176"/>
      <c r="L1958" s="176"/>
      <c r="M1958" s="176"/>
      <c r="N1958" s="176"/>
      <c r="O1958" s="176"/>
      <c r="P1958" s="176"/>
      <c r="Q1958" s="176"/>
      <c r="R1958" s="176"/>
      <c r="S1958" s="176"/>
      <c r="T1958" s="176"/>
      <c r="U1958" s="176"/>
      <c r="V1958" s="176"/>
      <c r="W1958" s="176"/>
      <c r="X1958" s="176"/>
      <c r="Y1958" s="176"/>
    </row>
    <row r="1959" spans="1:25">
      <c r="A1959" s="91"/>
      <c r="B1959" s="176"/>
      <c r="C1959" s="176"/>
      <c r="D1959" s="176"/>
      <c r="E1959" s="176"/>
      <c r="F1959" s="176"/>
      <c r="G1959" s="176"/>
      <c r="H1959" s="176"/>
      <c r="I1959" s="176"/>
      <c r="J1959" s="176"/>
      <c r="K1959" s="176"/>
      <c r="L1959" s="176"/>
      <c r="M1959" s="176"/>
      <c r="N1959" s="176"/>
      <c r="O1959" s="176"/>
      <c r="P1959" s="176"/>
      <c r="Q1959" s="176"/>
      <c r="R1959" s="176"/>
      <c r="S1959" s="176"/>
      <c r="T1959" s="176"/>
      <c r="U1959" s="176"/>
      <c r="V1959" s="176"/>
      <c r="W1959" s="176"/>
      <c r="X1959" s="176"/>
      <c r="Y1959" s="176"/>
    </row>
    <row r="1960" spans="1:25">
      <c r="A1960" s="91"/>
      <c r="B1960" s="176"/>
      <c r="C1960" s="176"/>
      <c r="D1960" s="176"/>
      <c r="E1960" s="176"/>
      <c r="F1960" s="176"/>
      <c r="G1960" s="176"/>
      <c r="H1960" s="176"/>
      <c r="I1960" s="176"/>
      <c r="J1960" s="176"/>
      <c r="K1960" s="176"/>
      <c r="L1960" s="176"/>
      <c r="M1960" s="176"/>
      <c r="N1960" s="176"/>
      <c r="O1960" s="176"/>
      <c r="P1960" s="176"/>
      <c r="Q1960" s="176"/>
      <c r="R1960" s="176"/>
      <c r="S1960" s="176"/>
      <c r="T1960" s="176"/>
      <c r="U1960" s="176"/>
      <c r="V1960" s="176"/>
      <c r="W1960" s="176"/>
      <c r="X1960" s="176"/>
      <c r="Y1960" s="176"/>
    </row>
    <row r="1961" spans="1:25">
      <c r="A1961" s="91"/>
      <c r="B1961" s="176"/>
      <c r="C1961" s="176"/>
      <c r="D1961" s="176"/>
      <c r="E1961" s="176"/>
      <c r="F1961" s="176"/>
      <c r="G1961" s="176"/>
      <c r="H1961" s="176"/>
      <c r="I1961" s="176"/>
      <c r="J1961" s="176"/>
      <c r="K1961" s="176"/>
      <c r="L1961" s="176"/>
      <c r="M1961" s="176"/>
      <c r="N1961" s="176"/>
      <c r="O1961" s="176"/>
      <c r="P1961" s="176"/>
      <c r="Q1961" s="176"/>
      <c r="R1961" s="176"/>
      <c r="S1961" s="176"/>
      <c r="T1961" s="176"/>
      <c r="U1961" s="176"/>
      <c r="V1961" s="176"/>
      <c r="W1961" s="176"/>
      <c r="X1961" s="176"/>
      <c r="Y1961" s="176"/>
    </row>
    <row r="1962" spans="1:25">
      <c r="A1962" s="91"/>
      <c r="B1962" s="176"/>
      <c r="C1962" s="176"/>
      <c r="D1962" s="176"/>
      <c r="E1962" s="176"/>
      <c r="F1962" s="176"/>
      <c r="G1962" s="176"/>
      <c r="H1962" s="176"/>
      <c r="I1962" s="176"/>
      <c r="J1962" s="176"/>
      <c r="K1962" s="176"/>
      <c r="L1962" s="176"/>
      <c r="M1962" s="176"/>
      <c r="N1962" s="176"/>
      <c r="O1962" s="176"/>
      <c r="P1962" s="176"/>
      <c r="Q1962" s="176"/>
      <c r="R1962" s="176"/>
      <c r="S1962" s="176"/>
      <c r="T1962" s="176"/>
      <c r="U1962" s="176"/>
      <c r="V1962" s="176"/>
      <c r="W1962" s="176"/>
      <c r="X1962" s="176"/>
      <c r="Y1962" s="176"/>
    </row>
    <row r="1963" spans="1:25">
      <c r="A1963" s="91"/>
      <c r="B1963" s="176"/>
      <c r="C1963" s="176"/>
      <c r="D1963" s="176"/>
      <c r="E1963" s="176"/>
      <c r="F1963" s="176"/>
      <c r="G1963" s="176"/>
      <c r="H1963" s="176"/>
      <c r="I1963" s="176"/>
      <c r="J1963" s="176"/>
      <c r="K1963" s="176"/>
      <c r="L1963" s="176"/>
      <c r="M1963" s="176"/>
      <c r="N1963" s="176"/>
      <c r="O1963" s="176"/>
      <c r="P1963" s="176"/>
      <c r="Q1963" s="176"/>
      <c r="R1963" s="176"/>
      <c r="S1963" s="176"/>
      <c r="T1963" s="176"/>
      <c r="U1963" s="176"/>
      <c r="V1963" s="176"/>
      <c r="W1963" s="176"/>
      <c r="X1963" s="176"/>
      <c r="Y1963" s="176"/>
    </row>
    <row r="1964" spans="1:25">
      <c r="A1964" s="91"/>
      <c r="B1964" s="176"/>
      <c r="C1964" s="176"/>
      <c r="D1964" s="176"/>
      <c r="E1964" s="176"/>
      <c r="F1964" s="176"/>
      <c r="G1964" s="176"/>
      <c r="H1964" s="176"/>
      <c r="I1964" s="176"/>
      <c r="J1964" s="176"/>
      <c r="K1964" s="176"/>
      <c r="L1964" s="176"/>
      <c r="M1964" s="176"/>
      <c r="N1964" s="176"/>
      <c r="O1964" s="176"/>
      <c r="P1964" s="176"/>
      <c r="Q1964" s="176"/>
      <c r="R1964" s="176"/>
      <c r="S1964" s="176"/>
      <c r="T1964" s="176"/>
      <c r="U1964" s="176"/>
      <c r="V1964" s="176"/>
      <c r="W1964" s="176"/>
      <c r="X1964" s="176"/>
      <c r="Y1964" s="176"/>
    </row>
    <row r="1965" spans="1:25">
      <c r="A1965" s="91"/>
      <c r="B1965" s="176"/>
      <c r="C1965" s="176"/>
      <c r="D1965" s="176"/>
      <c r="E1965" s="176"/>
      <c r="F1965" s="176"/>
      <c r="G1965" s="176"/>
      <c r="H1965" s="176"/>
      <c r="I1965" s="176"/>
      <c r="J1965" s="176"/>
      <c r="K1965" s="176"/>
      <c r="L1965" s="176"/>
      <c r="M1965" s="176"/>
      <c r="N1965" s="176"/>
      <c r="O1965" s="176"/>
      <c r="P1965" s="176"/>
      <c r="Q1965" s="176"/>
      <c r="R1965" s="176"/>
      <c r="S1965" s="176"/>
      <c r="T1965" s="176"/>
      <c r="U1965" s="176"/>
      <c r="V1965" s="176"/>
      <c r="W1965" s="176"/>
      <c r="X1965" s="176"/>
      <c r="Y1965" s="176"/>
    </row>
    <row r="1966" spans="1:25">
      <c r="A1966" s="91"/>
      <c r="B1966" s="176"/>
      <c r="C1966" s="176"/>
      <c r="D1966" s="176"/>
      <c r="E1966" s="176"/>
      <c r="F1966" s="176"/>
      <c r="G1966" s="176"/>
      <c r="H1966" s="176"/>
      <c r="I1966" s="176"/>
      <c r="J1966" s="176"/>
      <c r="K1966" s="176"/>
      <c r="L1966" s="176"/>
      <c r="M1966" s="176"/>
      <c r="N1966" s="176"/>
      <c r="O1966" s="176"/>
      <c r="P1966" s="176"/>
      <c r="Q1966" s="176"/>
      <c r="R1966" s="176"/>
      <c r="S1966" s="176"/>
      <c r="T1966" s="176"/>
      <c r="U1966" s="176"/>
      <c r="V1966" s="176"/>
      <c r="W1966" s="176"/>
      <c r="X1966" s="176"/>
      <c r="Y1966" s="176"/>
    </row>
    <row r="1967" spans="1:25">
      <c r="A1967" s="91"/>
      <c r="B1967" s="176"/>
      <c r="C1967" s="176"/>
      <c r="D1967" s="176"/>
      <c r="E1967" s="176"/>
      <c r="F1967" s="176"/>
      <c r="G1967" s="176"/>
      <c r="H1967" s="176"/>
      <c r="I1967" s="176"/>
      <c r="J1967" s="176"/>
      <c r="K1967" s="176"/>
      <c r="L1967" s="176"/>
      <c r="M1967" s="176"/>
      <c r="N1967" s="176"/>
      <c r="O1967" s="176"/>
      <c r="P1967" s="176"/>
      <c r="Q1967" s="176"/>
      <c r="R1967" s="176"/>
      <c r="S1967" s="176"/>
      <c r="T1967" s="176"/>
      <c r="U1967" s="176"/>
      <c r="V1967" s="176"/>
      <c r="W1967" s="176"/>
      <c r="X1967" s="176"/>
      <c r="Y1967" s="176"/>
    </row>
    <row r="1968" spans="1:25">
      <c r="A1968" s="91"/>
      <c r="B1968" s="176"/>
      <c r="C1968" s="176"/>
      <c r="D1968" s="176"/>
      <c r="E1968" s="176"/>
      <c r="F1968" s="176"/>
      <c r="G1968" s="176"/>
      <c r="H1968" s="176"/>
      <c r="I1968" s="176"/>
      <c r="J1968" s="176"/>
      <c r="K1968" s="176"/>
      <c r="L1968" s="176"/>
      <c r="M1968" s="176"/>
      <c r="N1968" s="176"/>
      <c r="O1968" s="176"/>
      <c r="P1968" s="176"/>
      <c r="Q1968" s="176"/>
      <c r="R1968" s="176"/>
      <c r="S1968" s="176"/>
      <c r="T1968" s="176"/>
      <c r="U1968" s="176"/>
      <c r="V1968" s="176"/>
      <c r="W1968" s="176"/>
      <c r="X1968" s="176"/>
      <c r="Y1968" s="176"/>
    </row>
    <row r="1969" spans="1:25">
      <c r="A1969" s="91"/>
      <c r="B1969" s="176"/>
      <c r="C1969" s="176"/>
      <c r="D1969" s="176"/>
      <c r="E1969" s="176"/>
      <c r="F1969" s="176"/>
      <c r="G1969" s="176"/>
      <c r="H1969" s="176"/>
      <c r="I1969" s="176"/>
      <c r="J1969" s="176"/>
      <c r="K1969" s="176"/>
      <c r="L1969" s="176"/>
      <c r="M1969" s="176"/>
      <c r="N1969" s="176"/>
      <c r="O1969" s="176"/>
      <c r="P1969" s="176"/>
      <c r="Q1969" s="176"/>
      <c r="R1969" s="176"/>
      <c r="S1969" s="176"/>
      <c r="T1969" s="176"/>
      <c r="U1969" s="176"/>
      <c r="V1969" s="176"/>
      <c r="W1969" s="176"/>
      <c r="X1969" s="176"/>
      <c r="Y1969" s="176"/>
    </row>
    <row r="1970" spans="1:25">
      <c r="A1970" s="91"/>
      <c r="B1970" s="176"/>
      <c r="C1970" s="176"/>
      <c r="D1970" s="176"/>
      <c r="E1970" s="176"/>
      <c r="F1970" s="176"/>
      <c r="G1970" s="176"/>
      <c r="H1970" s="176"/>
      <c r="I1970" s="176"/>
      <c r="J1970" s="176"/>
      <c r="K1970" s="176"/>
      <c r="L1970" s="176"/>
      <c r="M1970" s="176"/>
      <c r="N1970" s="176"/>
      <c r="O1970" s="176"/>
      <c r="P1970" s="176"/>
      <c r="Q1970" s="176"/>
      <c r="R1970" s="176"/>
      <c r="S1970" s="176"/>
      <c r="T1970" s="176"/>
      <c r="U1970" s="176"/>
      <c r="V1970" s="176"/>
      <c r="W1970" s="176"/>
      <c r="X1970" s="176"/>
      <c r="Y1970" s="176"/>
    </row>
    <row r="1971" spans="1:25">
      <c r="A1971" s="91"/>
      <c r="B1971" s="176"/>
      <c r="C1971" s="176"/>
      <c r="D1971" s="176"/>
      <c r="E1971" s="176"/>
      <c r="F1971" s="176"/>
      <c r="G1971" s="176"/>
      <c r="H1971" s="176"/>
      <c r="I1971" s="176"/>
      <c r="J1971" s="176"/>
      <c r="K1971" s="176"/>
      <c r="L1971" s="176"/>
      <c r="M1971" s="176"/>
      <c r="N1971" s="176"/>
      <c r="O1971" s="176"/>
      <c r="P1971" s="176"/>
      <c r="Q1971" s="176"/>
      <c r="R1971" s="176"/>
      <c r="S1971" s="176"/>
      <c r="T1971" s="176"/>
      <c r="U1971" s="176"/>
      <c r="V1971" s="176"/>
      <c r="W1971" s="176"/>
      <c r="X1971" s="176"/>
      <c r="Y1971" s="176"/>
    </row>
    <row r="1972" spans="1:25">
      <c r="A1972" s="91"/>
      <c r="B1972" s="176"/>
      <c r="C1972" s="176"/>
      <c r="D1972" s="176"/>
      <c r="E1972" s="176"/>
      <c r="F1972" s="176"/>
      <c r="G1972" s="176"/>
      <c r="H1972" s="176"/>
      <c r="I1972" s="176"/>
      <c r="J1972" s="176"/>
      <c r="K1972" s="176"/>
      <c r="L1972" s="176"/>
      <c r="M1972" s="176"/>
      <c r="N1972" s="176"/>
      <c r="O1972" s="176"/>
      <c r="P1972" s="176"/>
      <c r="Q1972" s="176"/>
      <c r="R1972" s="176"/>
      <c r="S1972" s="176"/>
      <c r="T1972" s="176"/>
      <c r="U1972" s="176"/>
      <c r="V1972" s="176"/>
      <c r="W1972" s="176"/>
      <c r="X1972" s="176"/>
      <c r="Y1972" s="176"/>
    </row>
    <row r="1973" spans="1:25">
      <c r="A1973" s="91"/>
      <c r="B1973" s="176"/>
      <c r="C1973" s="176"/>
      <c r="D1973" s="176"/>
      <c r="E1973" s="176"/>
      <c r="F1973" s="176"/>
      <c r="G1973" s="176"/>
      <c r="H1973" s="176"/>
      <c r="I1973" s="176"/>
      <c r="J1973" s="176"/>
      <c r="K1973" s="176"/>
      <c r="L1973" s="176"/>
      <c r="M1973" s="176"/>
      <c r="N1973" s="176"/>
      <c r="O1973" s="176"/>
      <c r="P1973" s="176"/>
      <c r="Q1973" s="176"/>
      <c r="R1973" s="176"/>
      <c r="S1973" s="176"/>
      <c r="T1973" s="176"/>
      <c r="U1973" s="176"/>
      <c r="V1973" s="176"/>
      <c r="W1973" s="176"/>
      <c r="X1973" s="176"/>
      <c r="Y1973" s="176"/>
    </row>
    <row r="1974" spans="1:25">
      <c r="A1974" s="91"/>
      <c r="B1974" s="176"/>
      <c r="C1974" s="176"/>
      <c r="D1974" s="176"/>
      <c r="E1974" s="176"/>
      <c r="F1974" s="176"/>
      <c r="G1974" s="176"/>
      <c r="H1974" s="176"/>
      <c r="I1974" s="176"/>
      <c r="J1974" s="176"/>
      <c r="K1974" s="176"/>
      <c r="L1974" s="176"/>
      <c r="M1974" s="176"/>
      <c r="N1974" s="176"/>
      <c r="O1974" s="176"/>
      <c r="P1974" s="176"/>
      <c r="Q1974" s="176"/>
      <c r="R1974" s="176"/>
      <c r="S1974" s="176"/>
      <c r="T1974" s="176"/>
      <c r="U1974" s="176"/>
      <c r="V1974" s="176"/>
      <c r="W1974" s="176"/>
      <c r="X1974" s="176"/>
      <c r="Y1974" s="176"/>
    </row>
    <row r="1975" spans="1:25">
      <c r="A1975" s="91"/>
      <c r="B1975" s="176"/>
      <c r="C1975" s="176"/>
      <c r="D1975" s="176"/>
      <c r="E1975" s="176"/>
      <c r="F1975" s="176"/>
      <c r="G1975" s="176"/>
      <c r="H1975" s="176"/>
      <c r="I1975" s="176"/>
      <c r="J1975" s="176"/>
      <c r="K1975" s="176"/>
      <c r="L1975" s="176"/>
      <c r="M1975" s="176"/>
      <c r="N1975" s="176"/>
      <c r="O1975" s="176"/>
      <c r="P1975" s="176"/>
      <c r="Q1975" s="176"/>
      <c r="R1975" s="176"/>
      <c r="S1975" s="176"/>
      <c r="T1975" s="176"/>
      <c r="U1975" s="176"/>
      <c r="V1975" s="176"/>
      <c r="W1975" s="176"/>
      <c r="X1975" s="176"/>
      <c r="Y1975" s="176"/>
    </row>
    <row r="1976" spans="1:25">
      <c r="A1976" s="91"/>
      <c r="B1976" s="176"/>
      <c r="C1976" s="176"/>
      <c r="D1976" s="176"/>
      <c r="E1976" s="176"/>
      <c r="F1976" s="176"/>
      <c r="G1976" s="176"/>
      <c r="H1976" s="176"/>
      <c r="I1976" s="176"/>
      <c r="J1976" s="176"/>
      <c r="K1976" s="176"/>
      <c r="L1976" s="176"/>
      <c r="M1976" s="176"/>
      <c r="N1976" s="176"/>
      <c r="O1976" s="176"/>
      <c r="P1976" s="176"/>
      <c r="Q1976" s="176"/>
      <c r="R1976" s="176"/>
      <c r="S1976" s="176"/>
      <c r="T1976" s="176"/>
      <c r="U1976" s="176"/>
      <c r="V1976" s="176"/>
      <c r="W1976" s="176"/>
      <c r="X1976" s="176"/>
      <c r="Y1976" s="176"/>
    </row>
    <row r="1977" spans="1:25">
      <c r="A1977" s="91"/>
      <c r="B1977" s="176"/>
      <c r="C1977" s="176"/>
      <c r="D1977" s="176"/>
      <c r="E1977" s="176"/>
      <c r="F1977" s="176"/>
      <c r="G1977" s="176"/>
      <c r="H1977" s="176"/>
      <c r="I1977" s="176"/>
      <c r="J1977" s="176"/>
      <c r="K1977" s="176"/>
      <c r="L1977" s="176"/>
      <c r="M1977" s="176"/>
      <c r="N1977" s="176"/>
      <c r="O1977" s="176"/>
      <c r="P1977" s="176"/>
      <c r="Q1977" s="176"/>
      <c r="R1977" s="176"/>
      <c r="S1977" s="176"/>
      <c r="T1977" s="176"/>
      <c r="U1977" s="176"/>
      <c r="V1977" s="176"/>
      <c r="W1977" s="176"/>
      <c r="X1977" s="176"/>
      <c r="Y1977" s="176"/>
    </row>
    <row r="1978" spans="1:25">
      <c r="A1978" s="91"/>
      <c r="B1978" s="176"/>
      <c r="C1978" s="176"/>
      <c r="D1978" s="176"/>
      <c r="E1978" s="176"/>
      <c r="F1978" s="176"/>
      <c r="G1978" s="176"/>
      <c r="H1978" s="176"/>
      <c r="I1978" s="176"/>
      <c r="J1978" s="176"/>
      <c r="K1978" s="176"/>
      <c r="L1978" s="176"/>
      <c r="M1978" s="176"/>
      <c r="N1978" s="176"/>
      <c r="O1978" s="176"/>
      <c r="P1978" s="176"/>
      <c r="Q1978" s="176"/>
      <c r="R1978" s="176"/>
      <c r="S1978" s="176"/>
      <c r="T1978" s="176"/>
      <c r="U1978" s="176"/>
      <c r="V1978" s="176"/>
      <c r="W1978" s="176"/>
      <c r="X1978" s="176"/>
      <c r="Y1978" s="176"/>
    </row>
    <row r="1979" spans="1:25">
      <c r="A1979" s="91"/>
      <c r="B1979" s="176"/>
      <c r="C1979" s="176"/>
      <c r="D1979" s="176"/>
      <c r="E1979" s="176"/>
      <c r="F1979" s="176"/>
      <c r="G1979" s="176"/>
      <c r="H1979" s="176"/>
      <c r="I1979" s="176"/>
      <c r="J1979" s="176"/>
      <c r="K1979" s="176"/>
      <c r="L1979" s="176"/>
      <c r="M1979" s="176"/>
      <c r="N1979" s="176"/>
      <c r="O1979" s="176"/>
      <c r="P1979" s="176"/>
      <c r="Q1979" s="176"/>
      <c r="R1979" s="176"/>
      <c r="S1979" s="176"/>
      <c r="T1979" s="176"/>
      <c r="U1979" s="176"/>
      <c r="V1979" s="176"/>
      <c r="W1979" s="176"/>
      <c r="X1979" s="176"/>
      <c r="Y1979" s="176"/>
    </row>
    <row r="1980" spans="1:25">
      <c r="A1980" s="91"/>
      <c r="B1980" s="176"/>
      <c r="C1980" s="176"/>
      <c r="D1980" s="176"/>
      <c r="E1980" s="176"/>
      <c r="F1980" s="176"/>
      <c r="G1980" s="176"/>
      <c r="H1980" s="176"/>
      <c r="I1980" s="176"/>
      <c r="J1980" s="176"/>
      <c r="K1980" s="176"/>
      <c r="L1980" s="176"/>
      <c r="M1980" s="176"/>
      <c r="N1980" s="176"/>
      <c r="O1980" s="176"/>
      <c r="P1980" s="176"/>
      <c r="Q1980" s="176"/>
      <c r="R1980" s="176"/>
      <c r="S1980" s="176"/>
      <c r="T1980" s="176"/>
      <c r="U1980" s="176"/>
      <c r="V1980" s="176"/>
      <c r="W1980" s="176"/>
      <c r="X1980" s="176"/>
      <c r="Y1980" s="176"/>
    </row>
    <row r="1981" spans="1:25">
      <c r="A1981" s="91"/>
      <c r="B1981" s="176"/>
      <c r="C1981" s="176"/>
      <c r="D1981" s="176"/>
      <c r="E1981" s="176"/>
      <c r="F1981" s="176"/>
      <c r="G1981" s="176"/>
      <c r="H1981" s="176"/>
      <c r="I1981" s="176"/>
      <c r="J1981" s="176"/>
      <c r="K1981" s="176"/>
      <c r="L1981" s="176"/>
      <c r="M1981" s="176"/>
      <c r="N1981" s="176"/>
      <c r="O1981" s="176"/>
      <c r="P1981" s="176"/>
      <c r="Q1981" s="176"/>
      <c r="R1981" s="176"/>
      <c r="S1981" s="176"/>
      <c r="T1981" s="176"/>
      <c r="U1981" s="176"/>
      <c r="V1981" s="176"/>
      <c r="W1981" s="176"/>
      <c r="X1981" s="176"/>
      <c r="Y1981" s="176"/>
    </row>
    <row r="1982" spans="1:25">
      <c r="A1982" s="91"/>
      <c r="B1982" s="176"/>
      <c r="C1982" s="176"/>
      <c r="D1982" s="176"/>
      <c r="E1982" s="176"/>
      <c r="F1982" s="176"/>
      <c r="G1982" s="176"/>
      <c r="H1982" s="176"/>
      <c r="I1982" s="176"/>
      <c r="J1982" s="176"/>
      <c r="K1982" s="176"/>
      <c r="L1982" s="176"/>
      <c r="M1982" s="176"/>
      <c r="N1982" s="176"/>
      <c r="O1982" s="176"/>
      <c r="P1982" s="176"/>
      <c r="Q1982" s="176"/>
      <c r="R1982" s="176"/>
      <c r="S1982" s="176"/>
      <c r="T1982" s="176"/>
      <c r="U1982" s="176"/>
      <c r="V1982" s="176"/>
      <c r="W1982" s="176"/>
      <c r="X1982" s="176"/>
      <c r="Y1982" s="176"/>
    </row>
    <row r="1983" spans="1:25">
      <c r="A1983" s="91"/>
      <c r="B1983" s="176"/>
      <c r="C1983" s="176"/>
      <c r="D1983" s="176"/>
      <c r="E1983" s="176"/>
      <c r="F1983" s="176"/>
      <c r="G1983" s="176"/>
      <c r="H1983" s="176"/>
      <c r="I1983" s="176"/>
      <c r="J1983" s="176"/>
      <c r="K1983" s="176"/>
      <c r="L1983" s="176"/>
      <c r="M1983" s="176"/>
      <c r="N1983" s="176"/>
      <c r="O1983" s="176"/>
      <c r="P1983" s="176"/>
      <c r="Q1983" s="176"/>
      <c r="R1983" s="176"/>
      <c r="S1983" s="176"/>
      <c r="T1983" s="176"/>
      <c r="U1983" s="176"/>
      <c r="V1983" s="176"/>
      <c r="W1983" s="176"/>
      <c r="X1983" s="176"/>
      <c r="Y1983" s="176"/>
    </row>
    <row r="1984" spans="1:25">
      <c r="A1984" s="91"/>
      <c r="B1984" s="176"/>
      <c r="C1984" s="176"/>
      <c r="D1984" s="176"/>
      <c r="E1984" s="176"/>
      <c r="F1984" s="176"/>
      <c r="G1984" s="176"/>
      <c r="H1984" s="176"/>
      <c r="I1984" s="176"/>
      <c r="J1984" s="176"/>
      <c r="K1984" s="176"/>
      <c r="L1984" s="176"/>
      <c r="M1984" s="176"/>
      <c r="N1984" s="176"/>
      <c r="O1984" s="176"/>
      <c r="P1984" s="176"/>
      <c r="Q1984" s="176"/>
      <c r="R1984" s="176"/>
      <c r="S1984" s="176"/>
      <c r="T1984" s="176"/>
      <c r="U1984" s="176"/>
      <c r="V1984" s="176"/>
      <c r="W1984" s="176"/>
      <c r="X1984" s="176"/>
      <c r="Y1984" s="176"/>
    </row>
    <row r="1985" spans="1:25">
      <c r="A1985" s="91"/>
      <c r="B1985" s="176"/>
      <c r="C1985" s="176"/>
      <c r="D1985" s="176"/>
      <c r="E1985" s="176"/>
      <c r="F1985" s="176"/>
      <c r="G1985" s="176"/>
      <c r="H1985" s="176"/>
      <c r="I1985" s="176"/>
      <c r="J1985" s="176"/>
      <c r="K1985" s="176"/>
      <c r="L1985" s="176"/>
      <c r="M1985" s="176"/>
      <c r="N1985" s="176"/>
      <c r="O1985" s="176"/>
      <c r="P1985" s="176"/>
      <c r="Q1985" s="176"/>
      <c r="R1985" s="176"/>
      <c r="S1985" s="176"/>
      <c r="T1985" s="176"/>
      <c r="U1985" s="176"/>
      <c r="V1985" s="176"/>
      <c r="W1985" s="176"/>
      <c r="X1985" s="176"/>
      <c r="Y1985" s="176"/>
    </row>
    <row r="1986" spans="1:25">
      <c r="A1986" s="91"/>
      <c r="B1986" s="176"/>
      <c r="C1986" s="176"/>
      <c r="D1986" s="176"/>
      <c r="E1986" s="176"/>
      <c r="F1986" s="176"/>
      <c r="G1986" s="176"/>
      <c r="H1986" s="176"/>
      <c r="I1986" s="176"/>
      <c r="J1986" s="176"/>
      <c r="K1986" s="176"/>
      <c r="L1986" s="176"/>
      <c r="M1986" s="176"/>
      <c r="N1986" s="176"/>
      <c r="O1986" s="176"/>
      <c r="P1986" s="176"/>
      <c r="Q1986" s="176"/>
      <c r="R1986" s="176"/>
      <c r="S1986" s="176"/>
      <c r="T1986" s="176"/>
      <c r="U1986" s="176"/>
      <c r="V1986" s="176"/>
      <c r="W1986" s="176"/>
      <c r="X1986" s="176"/>
      <c r="Y1986" s="176"/>
    </row>
    <row r="1987" spans="1:25">
      <c r="A1987" s="91"/>
      <c r="B1987" s="176"/>
      <c r="C1987" s="176"/>
      <c r="D1987" s="176"/>
      <c r="E1987" s="176"/>
      <c r="F1987" s="176"/>
      <c r="G1987" s="176"/>
      <c r="H1987" s="176"/>
      <c r="I1987" s="176"/>
      <c r="J1987" s="176"/>
      <c r="K1987" s="176"/>
      <c r="L1987" s="176"/>
      <c r="M1987" s="176"/>
      <c r="N1987" s="176"/>
      <c r="O1987" s="176"/>
      <c r="P1987" s="176"/>
      <c r="Q1987" s="176"/>
      <c r="R1987" s="176"/>
      <c r="S1987" s="176"/>
      <c r="T1987" s="176"/>
      <c r="U1987" s="176"/>
      <c r="V1987" s="176"/>
      <c r="W1987" s="176"/>
      <c r="X1987" s="176"/>
      <c r="Y1987" s="176"/>
    </row>
    <row r="1988" spans="1:25">
      <c r="A1988" s="91"/>
      <c r="B1988" s="176"/>
      <c r="C1988" s="176"/>
      <c r="D1988" s="176"/>
      <c r="E1988" s="176"/>
      <c r="F1988" s="176"/>
      <c r="G1988" s="176"/>
      <c r="H1988" s="176"/>
      <c r="I1988" s="176"/>
      <c r="J1988" s="176"/>
      <c r="K1988" s="176"/>
      <c r="L1988" s="176"/>
      <c r="M1988" s="176"/>
      <c r="N1988" s="176"/>
      <c r="O1988" s="176"/>
      <c r="P1988" s="176"/>
      <c r="Q1988" s="176"/>
      <c r="R1988" s="176"/>
      <c r="S1988" s="176"/>
      <c r="T1988" s="176"/>
      <c r="U1988" s="176"/>
      <c r="V1988" s="176"/>
      <c r="W1988" s="176"/>
      <c r="X1988" s="176"/>
      <c r="Y1988" s="176"/>
    </row>
    <row r="1989" spans="1:25">
      <c r="A1989" s="91"/>
      <c r="B1989" s="176"/>
      <c r="C1989" s="176"/>
      <c r="D1989" s="176"/>
      <c r="E1989" s="176"/>
      <c r="F1989" s="176"/>
      <c r="G1989" s="176"/>
      <c r="H1989" s="176"/>
      <c r="I1989" s="176"/>
      <c r="J1989" s="176"/>
      <c r="K1989" s="176"/>
      <c r="L1989" s="176"/>
      <c r="M1989" s="176"/>
      <c r="N1989" s="176"/>
      <c r="O1989" s="176"/>
      <c r="P1989" s="176"/>
      <c r="Q1989" s="176"/>
      <c r="R1989" s="176"/>
      <c r="S1989" s="176"/>
      <c r="T1989" s="176"/>
      <c r="U1989" s="176"/>
      <c r="V1989" s="176"/>
      <c r="W1989" s="176"/>
      <c r="X1989" s="176"/>
      <c r="Y1989" s="176"/>
    </row>
    <row r="1990" spans="1:25">
      <c r="A1990" s="91"/>
      <c r="B1990" s="176"/>
      <c r="C1990" s="176"/>
      <c r="D1990" s="176"/>
      <c r="E1990" s="176"/>
      <c r="F1990" s="176"/>
      <c r="G1990" s="176"/>
      <c r="H1990" s="176"/>
      <c r="I1990" s="176"/>
      <c r="J1990" s="176"/>
      <c r="K1990" s="176"/>
      <c r="L1990" s="176"/>
      <c r="M1990" s="176"/>
      <c r="N1990" s="176"/>
      <c r="O1990" s="176"/>
      <c r="P1990" s="176"/>
      <c r="Q1990" s="176"/>
      <c r="R1990" s="176"/>
      <c r="S1990" s="176"/>
      <c r="T1990" s="176"/>
      <c r="U1990" s="176"/>
      <c r="V1990" s="176"/>
      <c r="W1990" s="176"/>
      <c r="X1990" s="176"/>
      <c r="Y1990" s="176"/>
    </row>
    <row r="1991" spans="1:25">
      <c r="A1991" s="91"/>
      <c r="B1991" s="176"/>
      <c r="C1991" s="176"/>
      <c r="D1991" s="176"/>
      <c r="E1991" s="176"/>
      <c r="F1991" s="176"/>
      <c r="G1991" s="176"/>
      <c r="H1991" s="176"/>
      <c r="I1991" s="176"/>
      <c r="J1991" s="176"/>
      <c r="K1991" s="176"/>
      <c r="L1991" s="176"/>
      <c r="M1991" s="176"/>
      <c r="N1991" s="176"/>
      <c r="O1991" s="176"/>
      <c r="P1991" s="176"/>
      <c r="Q1991" s="176"/>
      <c r="R1991" s="176"/>
      <c r="S1991" s="176"/>
      <c r="T1991" s="176"/>
      <c r="U1991" s="176"/>
      <c r="V1991" s="176"/>
      <c r="W1991" s="176"/>
      <c r="X1991" s="176"/>
      <c r="Y1991" s="176"/>
    </row>
    <row r="1992" spans="1:25">
      <c r="A1992" s="91"/>
      <c r="B1992" s="176"/>
      <c r="C1992" s="176"/>
      <c r="D1992" s="176"/>
      <c r="E1992" s="176"/>
      <c r="F1992" s="176"/>
      <c r="G1992" s="176"/>
      <c r="H1992" s="176"/>
      <c r="I1992" s="176"/>
      <c r="J1992" s="176"/>
      <c r="K1992" s="176"/>
      <c r="L1992" s="176"/>
      <c r="M1992" s="176"/>
      <c r="N1992" s="176"/>
      <c r="O1992" s="176"/>
      <c r="P1992" s="176"/>
      <c r="Q1992" s="176"/>
      <c r="R1992" s="176"/>
      <c r="S1992" s="176"/>
      <c r="T1992" s="176"/>
      <c r="U1992" s="176"/>
      <c r="V1992" s="176"/>
      <c r="W1992" s="176"/>
      <c r="X1992" s="176"/>
      <c r="Y1992" s="176"/>
    </row>
    <row r="1993" spans="1:25">
      <c r="A1993" s="91"/>
      <c r="B1993" s="176"/>
      <c r="C1993" s="176"/>
      <c r="D1993" s="176"/>
      <c r="E1993" s="176"/>
      <c r="F1993" s="176"/>
      <c r="G1993" s="176"/>
      <c r="H1993" s="176"/>
      <c r="I1993" s="176"/>
      <c r="J1993" s="176"/>
      <c r="K1993" s="176"/>
      <c r="L1993" s="176"/>
      <c r="M1993" s="176"/>
      <c r="N1993" s="176"/>
      <c r="O1993" s="176"/>
      <c r="P1993" s="176"/>
      <c r="Q1993" s="176"/>
      <c r="R1993" s="176"/>
      <c r="S1993" s="176"/>
      <c r="T1993" s="176"/>
      <c r="U1993" s="176"/>
      <c r="V1993" s="176"/>
      <c r="W1993" s="176"/>
      <c r="X1993" s="176"/>
      <c r="Y1993" s="176"/>
    </row>
    <row r="1994" spans="1:25">
      <c r="A1994" s="91"/>
      <c r="B1994" s="176"/>
      <c r="C1994" s="176"/>
      <c r="D1994" s="176"/>
      <c r="E1994" s="176"/>
      <c r="F1994" s="176"/>
      <c r="G1994" s="176"/>
      <c r="H1994" s="176"/>
      <c r="I1994" s="176"/>
      <c r="J1994" s="176"/>
      <c r="K1994" s="176"/>
      <c r="L1994" s="176"/>
      <c r="M1994" s="176"/>
      <c r="N1994" s="176"/>
      <c r="O1994" s="176"/>
      <c r="P1994" s="176"/>
      <c r="Q1994" s="176"/>
      <c r="R1994" s="176"/>
      <c r="S1994" s="176"/>
      <c r="T1994" s="176"/>
      <c r="U1994" s="176"/>
      <c r="V1994" s="176"/>
      <c r="W1994" s="176"/>
      <c r="X1994" s="176"/>
      <c r="Y1994" s="176"/>
    </row>
    <row r="1995" spans="1:25">
      <c r="A1995" s="91"/>
      <c r="B1995" s="176"/>
      <c r="C1995" s="176"/>
      <c r="D1995" s="176"/>
      <c r="E1995" s="176"/>
      <c r="F1995" s="176"/>
      <c r="G1995" s="176"/>
      <c r="H1995" s="176"/>
      <c r="I1995" s="176"/>
      <c r="J1995" s="176"/>
      <c r="K1995" s="176"/>
      <c r="L1995" s="176"/>
      <c r="M1995" s="176"/>
      <c r="N1995" s="176"/>
      <c r="O1995" s="176"/>
      <c r="P1995" s="176"/>
      <c r="Q1995" s="176"/>
      <c r="R1995" s="176"/>
      <c r="S1995" s="176"/>
      <c r="T1995" s="176"/>
      <c r="U1995" s="176"/>
      <c r="V1995" s="176"/>
      <c r="W1995" s="176"/>
      <c r="X1995" s="176"/>
      <c r="Y1995" s="176"/>
    </row>
    <row r="1996" spans="1:25">
      <c r="A1996" s="91"/>
      <c r="B1996" s="176"/>
      <c r="C1996" s="176"/>
      <c r="D1996" s="176"/>
      <c r="E1996" s="176"/>
      <c r="F1996" s="176"/>
      <c r="G1996" s="176"/>
      <c r="H1996" s="176"/>
      <c r="I1996" s="176"/>
      <c r="J1996" s="176"/>
      <c r="K1996" s="176"/>
      <c r="L1996" s="176"/>
      <c r="M1996" s="176"/>
      <c r="N1996" s="176"/>
      <c r="O1996" s="176"/>
      <c r="P1996" s="176"/>
      <c r="Q1996" s="176"/>
      <c r="R1996" s="176"/>
      <c r="S1996" s="176"/>
      <c r="T1996" s="176"/>
      <c r="U1996" s="176"/>
      <c r="V1996" s="176"/>
      <c r="W1996" s="176"/>
      <c r="X1996" s="176"/>
      <c r="Y1996" s="176"/>
    </row>
    <row r="1997" spans="1:25">
      <c r="A1997" s="91"/>
      <c r="B1997" s="176"/>
      <c r="C1997" s="176"/>
      <c r="D1997" s="176"/>
      <c r="E1997" s="176"/>
      <c r="F1997" s="176"/>
      <c r="G1997" s="176"/>
      <c r="H1997" s="176"/>
      <c r="I1997" s="176"/>
      <c r="J1997" s="176"/>
      <c r="K1997" s="176"/>
      <c r="L1997" s="176"/>
      <c r="M1997" s="176"/>
      <c r="N1997" s="176"/>
      <c r="O1997" s="176"/>
      <c r="P1997" s="176"/>
      <c r="Q1997" s="176"/>
      <c r="R1997" s="176"/>
      <c r="S1997" s="176"/>
      <c r="T1997" s="176"/>
      <c r="U1997" s="176"/>
      <c r="V1997" s="176"/>
      <c r="W1997" s="176"/>
      <c r="X1997" s="176"/>
      <c r="Y1997" s="176"/>
    </row>
    <row r="1998" spans="1:25">
      <c r="A1998" s="91"/>
      <c r="B1998" s="176"/>
      <c r="C1998" s="176"/>
      <c r="D1998" s="176"/>
      <c r="E1998" s="176"/>
      <c r="F1998" s="176"/>
      <c r="G1998" s="176"/>
      <c r="H1998" s="176"/>
      <c r="I1998" s="176"/>
      <c r="J1998" s="176"/>
      <c r="K1998" s="176"/>
      <c r="L1998" s="176"/>
      <c r="M1998" s="176"/>
      <c r="N1998" s="176"/>
      <c r="O1998" s="176"/>
      <c r="P1998" s="176"/>
      <c r="Q1998" s="176"/>
      <c r="R1998" s="176"/>
      <c r="S1998" s="176"/>
      <c r="T1998" s="176"/>
      <c r="U1998" s="176"/>
      <c r="V1998" s="176"/>
      <c r="W1998" s="176"/>
      <c r="X1998" s="176"/>
      <c r="Y1998" s="176"/>
    </row>
    <row r="1999" spans="1:25">
      <c r="A1999" s="91"/>
      <c r="B1999" s="176"/>
      <c r="C1999" s="176"/>
      <c r="D1999" s="176"/>
      <c r="E1999" s="176"/>
      <c r="F1999" s="176"/>
      <c r="G1999" s="176"/>
      <c r="H1999" s="176"/>
      <c r="I1999" s="176"/>
      <c r="J1999" s="176"/>
      <c r="K1999" s="176"/>
      <c r="L1999" s="176"/>
      <c r="M1999" s="176"/>
      <c r="N1999" s="176"/>
      <c r="O1999" s="176"/>
      <c r="P1999" s="176"/>
      <c r="Q1999" s="176"/>
      <c r="R1999" s="176"/>
      <c r="S1999" s="176"/>
      <c r="T1999" s="176"/>
      <c r="U1999" s="176"/>
      <c r="V1999" s="176"/>
      <c r="W1999" s="176"/>
      <c r="X1999" s="176"/>
      <c r="Y1999" s="176"/>
    </row>
    <row r="2000" spans="1:25">
      <c r="A2000" s="91"/>
      <c r="B2000" s="176"/>
      <c r="C2000" s="176"/>
      <c r="D2000" s="176"/>
      <c r="E2000" s="176"/>
      <c r="F2000" s="176"/>
      <c r="G2000" s="176"/>
      <c r="H2000" s="176"/>
      <c r="I2000" s="176"/>
      <c r="J2000" s="176"/>
      <c r="K2000" s="176"/>
      <c r="L2000" s="176"/>
      <c r="M2000" s="176"/>
      <c r="N2000" s="176"/>
      <c r="O2000" s="176"/>
      <c r="P2000" s="176"/>
      <c r="Q2000" s="176"/>
      <c r="R2000" s="176"/>
      <c r="S2000" s="176"/>
      <c r="T2000" s="176"/>
      <c r="U2000" s="176"/>
      <c r="V2000" s="176"/>
      <c r="W2000" s="176"/>
      <c r="X2000" s="176"/>
      <c r="Y2000" s="176"/>
    </row>
    <row r="2001" spans="1:25">
      <c r="A2001" s="91"/>
      <c r="B2001" s="176"/>
      <c r="C2001" s="176"/>
      <c r="D2001" s="176"/>
      <c r="E2001" s="176"/>
      <c r="F2001" s="176"/>
      <c r="G2001" s="176"/>
      <c r="H2001" s="176"/>
      <c r="I2001" s="176"/>
      <c r="J2001" s="176"/>
      <c r="K2001" s="176"/>
      <c r="L2001" s="176"/>
      <c r="M2001" s="176"/>
      <c r="N2001" s="176"/>
      <c r="O2001" s="176"/>
      <c r="P2001" s="176"/>
      <c r="Q2001" s="176"/>
      <c r="R2001" s="176"/>
      <c r="S2001" s="176"/>
      <c r="T2001" s="176"/>
      <c r="U2001" s="176"/>
      <c r="V2001" s="176"/>
      <c r="W2001" s="176"/>
      <c r="X2001" s="176"/>
      <c r="Y2001" s="176"/>
    </row>
    <row r="2002" spans="1:25">
      <c r="A2002" s="91"/>
      <c r="B2002" s="176"/>
      <c r="C2002" s="176"/>
      <c r="D2002" s="176"/>
      <c r="E2002" s="176"/>
      <c r="F2002" s="176"/>
      <c r="G2002" s="176"/>
      <c r="H2002" s="176"/>
      <c r="I2002" s="176"/>
      <c r="J2002" s="176"/>
      <c r="K2002" s="176"/>
      <c r="L2002" s="176"/>
      <c r="M2002" s="176"/>
      <c r="N2002" s="176"/>
      <c r="O2002" s="176"/>
      <c r="P2002" s="176"/>
      <c r="Q2002" s="176"/>
      <c r="R2002" s="176"/>
      <c r="S2002" s="176"/>
      <c r="T2002" s="176"/>
      <c r="U2002" s="176"/>
      <c r="V2002" s="176"/>
      <c r="W2002" s="176"/>
      <c r="X2002" s="176"/>
      <c r="Y2002" s="176"/>
    </row>
    <row r="2003" spans="1:25">
      <c r="A2003" s="91"/>
      <c r="B2003" s="176"/>
      <c r="C2003" s="176"/>
      <c r="D2003" s="176"/>
      <c r="E2003" s="176"/>
      <c r="F2003" s="176"/>
      <c r="G2003" s="176"/>
      <c r="H2003" s="176"/>
      <c r="I2003" s="176"/>
      <c r="J2003" s="176"/>
      <c r="K2003" s="176"/>
      <c r="L2003" s="176"/>
      <c r="M2003" s="176"/>
      <c r="N2003" s="176"/>
      <c r="O2003" s="176"/>
      <c r="P2003" s="176"/>
      <c r="Q2003" s="176"/>
      <c r="R2003" s="176"/>
      <c r="S2003" s="176"/>
      <c r="T2003" s="176"/>
      <c r="U2003" s="176"/>
      <c r="V2003" s="176"/>
      <c r="W2003" s="176"/>
      <c r="X2003" s="176"/>
      <c r="Y2003" s="176"/>
    </row>
    <row r="2004" spans="1:25">
      <c r="A2004" s="91"/>
      <c r="B2004" s="176"/>
      <c r="C2004" s="176"/>
      <c r="D2004" s="176"/>
      <c r="E2004" s="176"/>
      <c r="F2004" s="176"/>
      <c r="G2004" s="176"/>
      <c r="H2004" s="176"/>
      <c r="I2004" s="176"/>
      <c r="J2004" s="176"/>
      <c r="K2004" s="176"/>
      <c r="L2004" s="176"/>
      <c r="M2004" s="176"/>
      <c r="N2004" s="176"/>
      <c r="O2004" s="176"/>
      <c r="P2004" s="176"/>
      <c r="Q2004" s="176"/>
      <c r="R2004" s="176"/>
      <c r="S2004" s="176"/>
      <c r="T2004" s="176"/>
      <c r="U2004" s="176"/>
      <c r="V2004" s="176"/>
      <c r="W2004" s="176"/>
      <c r="X2004" s="176"/>
      <c r="Y2004" s="176"/>
    </row>
    <row r="2005" spans="1:25">
      <c r="A2005" s="91"/>
      <c r="B2005" s="176"/>
      <c r="C2005" s="176"/>
      <c r="D2005" s="176"/>
      <c r="E2005" s="176"/>
      <c r="F2005" s="176"/>
      <c r="G2005" s="176"/>
      <c r="H2005" s="176"/>
      <c r="I2005" s="176"/>
      <c r="J2005" s="176"/>
      <c r="K2005" s="176"/>
      <c r="L2005" s="176"/>
      <c r="M2005" s="176"/>
      <c r="N2005" s="176"/>
      <c r="O2005" s="176"/>
      <c r="P2005" s="176"/>
      <c r="Q2005" s="176"/>
      <c r="R2005" s="176"/>
      <c r="S2005" s="176"/>
      <c r="T2005" s="176"/>
      <c r="U2005" s="176"/>
      <c r="V2005" s="176"/>
      <c r="W2005" s="176"/>
      <c r="X2005" s="176"/>
      <c r="Y2005" s="176"/>
    </row>
    <row r="2006" spans="1:25">
      <c r="A2006" s="91"/>
      <c r="B2006" s="176"/>
      <c r="C2006" s="176"/>
      <c r="D2006" s="176"/>
      <c r="E2006" s="176"/>
      <c r="F2006" s="176"/>
      <c r="G2006" s="176"/>
      <c r="H2006" s="176"/>
      <c r="I2006" s="176"/>
      <c r="J2006" s="176"/>
      <c r="K2006" s="176"/>
      <c r="L2006" s="176"/>
      <c r="M2006" s="176"/>
      <c r="N2006" s="176"/>
      <c r="O2006" s="176"/>
      <c r="P2006" s="176"/>
      <c r="Q2006" s="176"/>
      <c r="R2006" s="176"/>
      <c r="S2006" s="176"/>
      <c r="T2006" s="176"/>
      <c r="U2006" s="176"/>
      <c r="V2006" s="176"/>
      <c r="W2006" s="176"/>
      <c r="X2006" s="176"/>
      <c r="Y2006" s="176"/>
    </row>
    <row r="2007" spans="1:25">
      <c r="A2007" s="91"/>
      <c r="B2007" s="176"/>
      <c r="C2007" s="176"/>
      <c r="D2007" s="176"/>
      <c r="E2007" s="176"/>
      <c r="F2007" s="176"/>
      <c r="G2007" s="176"/>
      <c r="H2007" s="176"/>
      <c r="I2007" s="176"/>
      <c r="J2007" s="176"/>
      <c r="K2007" s="176"/>
      <c r="L2007" s="176"/>
      <c r="M2007" s="176"/>
      <c r="N2007" s="176"/>
      <c r="O2007" s="176"/>
      <c r="P2007" s="176"/>
      <c r="Q2007" s="176"/>
      <c r="R2007" s="176"/>
      <c r="S2007" s="176"/>
      <c r="T2007" s="176"/>
      <c r="U2007" s="176"/>
      <c r="V2007" s="176"/>
      <c r="W2007" s="176"/>
      <c r="X2007" s="176"/>
      <c r="Y2007" s="176"/>
    </row>
    <row r="2008" spans="1:25">
      <c r="A2008" s="91"/>
      <c r="B2008" s="176"/>
      <c r="C2008" s="176"/>
      <c r="D2008" s="176"/>
      <c r="E2008" s="176"/>
      <c r="F2008" s="176"/>
      <c r="G2008" s="176"/>
      <c r="H2008" s="176"/>
      <c r="I2008" s="176"/>
      <c r="J2008" s="176"/>
      <c r="K2008" s="176"/>
      <c r="L2008" s="176"/>
      <c r="M2008" s="176"/>
      <c r="N2008" s="176"/>
      <c r="O2008" s="176"/>
      <c r="P2008" s="176"/>
      <c r="Q2008" s="176"/>
      <c r="R2008" s="176"/>
      <c r="S2008" s="176"/>
      <c r="T2008" s="176"/>
      <c r="U2008" s="176"/>
      <c r="V2008" s="176"/>
      <c r="W2008" s="176"/>
      <c r="X2008" s="176"/>
      <c r="Y2008" s="176"/>
    </row>
    <row r="2009" spans="1:25">
      <c r="A2009" s="91"/>
      <c r="B2009" s="176"/>
      <c r="C2009" s="176"/>
      <c r="D2009" s="176"/>
      <c r="E2009" s="176"/>
      <c r="F2009" s="176"/>
      <c r="G2009" s="176"/>
      <c r="H2009" s="176"/>
      <c r="I2009" s="176"/>
      <c r="J2009" s="176"/>
      <c r="K2009" s="176"/>
      <c r="L2009" s="176"/>
      <c r="M2009" s="176"/>
      <c r="N2009" s="176"/>
      <c r="O2009" s="176"/>
      <c r="P2009" s="176"/>
      <c r="Q2009" s="176"/>
      <c r="R2009" s="176"/>
      <c r="S2009" s="176"/>
      <c r="T2009" s="176"/>
      <c r="U2009" s="176"/>
      <c r="V2009" s="176"/>
      <c r="W2009" s="176"/>
      <c r="X2009" s="176"/>
      <c r="Y2009" s="176"/>
    </row>
    <row r="2010" spans="1:25">
      <c r="A2010" s="91"/>
      <c r="B2010" s="176"/>
      <c r="C2010" s="176"/>
      <c r="D2010" s="176"/>
      <c r="E2010" s="176"/>
      <c r="F2010" s="176"/>
      <c r="G2010" s="176"/>
      <c r="H2010" s="176"/>
      <c r="I2010" s="176"/>
      <c r="J2010" s="176"/>
      <c r="K2010" s="176"/>
      <c r="L2010" s="176"/>
      <c r="M2010" s="176"/>
      <c r="N2010" s="176"/>
      <c r="O2010" s="176"/>
      <c r="P2010" s="176"/>
      <c r="Q2010" s="176"/>
      <c r="R2010" s="176"/>
      <c r="S2010" s="176"/>
      <c r="T2010" s="176"/>
      <c r="U2010" s="176"/>
      <c r="V2010" s="176"/>
      <c r="W2010" s="176"/>
      <c r="X2010" s="176"/>
      <c r="Y2010" s="176"/>
    </row>
    <row r="2011" spans="1:25">
      <c r="A2011" s="91"/>
      <c r="B2011" s="176"/>
      <c r="C2011" s="176"/>
      <c r="D2011" s="176"/>
      <c r="E2011" s="176"/>
      <c r="F2011" s="176"/>
      <c r="G2011" s="176"/>
      <c r="H2011" s="176"/>
      <c r="I2011" s="176"/>
      <c r="J2011" s="176"/>
      <c r="K2011" s="176"/>
      <c r="L2011" s="176"/>
      <c r="M2011" s="176"/>
      <c r="N2011" s="176"/>
      <c r="O2011" s="176"/>
      <c r="P2011" s="176"/>
      <c r="Q2011" s="176"/>
      <c r="R2011" s="176"/>
      <c r="S2011" s="176"/>
      <c r="T2011" s="176"/>
      <c r="U2011" s="176"/>
      <c r="V2011" s="176"/>
      <c r="W2011" s="176"/>
      <c r="X2011" s="176"/>
      <c r="Y2011" s="176"/>
    </row>
    <row r="2012" spans="1:25">
      <c r="A2012" s="91"/>
      <c r="B2012" s="176"/>
      <c r="C2012" s="176"/>
      <c r="D2012" s="176"/>
      <c r="E2012" s="176"/>
      <c r="F2012" s="176"/>
      <c r="G2012" s="176"/>
      <c r="H2012" s="176"/>
      <c r="I2012" s="176"/>
      <c r="J2012" s="176"/>
      <c r="K2012" s="176"/>
      <c r="L2012" s="176"/>
      <c r="M2012" s="176"/>
      <c r="N2012" s="176"/>
      <c r="O2012" s="176"/>
      <c r="P2012" s="176"/>
      <c r="Q2012" s="176"/>
      <c r="R2012" s="176"/>
      <c r="S2012" s="176"/>
      <c r="T2012" s="176"/>
      <c r="U2012" s="176"/>
      <c r="V2012" s="176"/>
      <c r="W2012" s="176"/>
      <c r="X2012" s="176"/>
      <c r="Y2012" s="176"/>
    </row>
    <row r="2013" spans="1:25">
      <c r="A2013" s="91"/>
      <c r="B2013" s="176"/>
      <c r="C2013" s="176"/>
      <c r="D2013" s="176"/>
      <c r="E2013" s="176"/>
      <c r="F2013" s="176"/>
      <c r="G2013" s="176"/>
      <c r="H2013" s="176"/>
      <c r="I2013" s="176"/>
      <c r="J2013" s="176"/>
      <c r="K2013" s="176"/>
      <c r="L2013" s="176"/>
      <c r="M2013" s="176"/>
      <c r="N2013" s="176"/>
      <c r="O2013" s="176"/>
      <c r="P2013" s="176"/>
      <c r="Q2013" s="176"/>
      <c r="R2013" s="176"/>
      <c r="S2013" s="176"/>
      <c r="T2013" s="176"/>
      <c r="U2013" s="176"/>
      <c r="V2013" s="176"/>
      <c r="W2013" s="176"/>
      <c r="X2013" s="176"/>
      <c r="Y2013" s="176"/>
    </row>
    <row r="2014" spans="1:25">
      <c r="A2014" s="91"/>
      <c r="B2014" s="176"/>
      <c r="C2014" s="176"/>
      <c r="D2014" s="176"/>
      <c r="E2014" s="176"/>
      <c r="F2014" s="176"/>
      <c r="G2014" s="176"/>
      <c r="H2014" s="176"/>
      <c r="I2014" s="176"/>
      <c r="J2014" s="176"/>
      <c r="K2014" s="176"/>
      <c r="L2014" s="176"/>
      <c r="M2014" s="176"/>
      <c r="N2014" s="176"/>
      <c r="O2014" s="176"/>
      <c r="P2014" s="176"/>
      <c r="Q2014" s="176"/>
      <c r="R2014" s="176"/>
      <c r="S2014" s="176"/>
      <c r="T2014" s="176"/>
      <c r="U2014" s="176"/>
      <c r="V2014" s="176"/>
      <c r="W2014" s="176"/>
      <c r="X2014" s="176"/>
      <c r="Y2014" s="176"/>
    </row>
    <row r="2015" spans="1:25">
      <c r="A2015" s="91"/>
      <c r="B2015" s="176"/>
      <c r="C2015" s="176"/>
      <c r="D2015" s="176"/>
      <c r="E2015" s="176"/>
      <c r="F2015" s="176"/>
      <c r="G2015" s="176"/>
      <c r="H2015" s="176"/>
      <c r="I2015" s="176"/>
      <c r="J2015" s="176"/>
      <c r="K2015" s="176"/>
      <c r="L2015" s="176"/>
      <c r="M2015" s="176"/>
      <c r="N2015" s="176"/>
      <c r="O2015" s="176"/>
      <c r="P2015" s="176"/>
      <c r="Q2015" s="176"/>
      <c r="R2015" s="176"/>
      <c r="S2015" s="176"/>
      <c r="T2015" s="176"/>
      <c r="U2015" s="176"/>
      <c r="V2015" s="176"/>
      <c r="W2015" s="176"/>
      <c r="X2015" s="176"/>
      <c r="Y2015" s="176"/>
    </row>
    <row r="2016" spans="1:25">
      <c r="A2016" s="91"/>
      <c r="B2016" s="176"/>
      <c r="C2016" s="176"/>
      <c r="D2016" s="176"/>
      <c r="E2016" s="176"/>
      <c r="F2016" s="176"/>
      <c r="G2016" s="176"/>
      <c r="H2016" s="176"/>
      <c r="I2016" s="176"/>
      <c r="J2016" s="176"/>
      <c r="K2016" s="176"/>
      <c r="L2016" s="176"/>
      <c r="M2016" s="176"/>
      <c r="N2016" s="176"/>
      <c r="O2016" s="176"/>
      <c r="P2016" s="176"/>
      <c r="Q2016" s="176"/>
      <c r="R2016" s="176"/>
      <c r="S2016" s="176"/>
      <c r="T2016" s="176"/>
      <c r="U2016" s="176"/>
      <c r="V2016" s="176"/>
      <c r="W2016" s="176"/>
      <c r="X2016" s="176"/>
      <c r="Y2016" s="176"/>
    </row>
    <row r="2017" spans="1:25">
      <c r="A2017" s="91"/>
      <c r="B2017" s="176"/>
      <c r="C2017" s="176"/>
      <c r="D2017" s="176"/>
      <c r="E2017" s="176"/>
      <c r="F2017" s="176"/>
      <c r="G2017" s="176"/>
      <c r="H2017" s="176"/>
      <c r="I2017" s="176"/>
      <c r="J2017" s="176"/>
      <c r="K2017" s="176"/>
      <c r="L2017" s="176"/>
      <c r="M2017" s="176"/>
      <c r="N2017" s="176"/>
      <c r="O2017" s="176"/>
      <c r="P2017" s="176"/>
      <c r="Q2017" s="176"/>
      <c r="R2017" s="176"/>
      <c r="S2017" s="176"/>
      <c r="T2017" s="176"/>
      <c r="U2017" s="176"/>
      <c r="V2017" s="176"/>
      <c r="W2017" s="176"/>
      <c r="X2017" s="176"/>
      <c r="Y2017" s="176"/>
    </row>
    <row r="2018" spans="1:25">
      <c r="A2018" s="91"/>
      <c r="B2018" s="176"/>
      <c r="C2018" s="176"/>
      <c r="D2018" s="176"/>
      <c r="E2018" s="176"/>
      <c r="F2018" s="176"/>
      <c r="G2018" s="176"/>
      <c r="H2018" s="176"/>
      <c r="I2018" s="176"/>
      <c r="J2018" s="176"/>
      <c r="K2018" s="176"/>
      <c r="L2018" s="176"/>
      <c r="M2018" s="176"/>
      <c r="N2018" s="176"/>
      <c r="O2018" s="176"/>
      <c r="P2018" s="176"/>
      <c r="Q2018" s="176"/>
      <c r="R2018" s="176"/>
      <c r="S2018" s="176"/>
      <c r="T2018" s="176"/>
      <c r="U2018" s="176"/>
      <c r="V2018" s="176"/>
      <c r="W2018" s="176"/>
      <c r="X2018" s="176"/>
      <c r="Y2018" s="176"/>
    </row>
    <row r="2019" spans="1:25">
      <c r="A2019" s="91"/>
      <c r="B2019" s="176"/>
      <c r="C2019" s="176"/>
      <c r="D2019" s="176"/>
      <c r="E2019" s="176"/>
      <c r="F2019" s="176"/>
      <c r="G2019" s="176"/>
      <c r="H2019" s="176"/>
      <c r="I2019" s="176"/>
      <c r="J2019" s="176"/>
      <c r="K2019" s="176"/>
      <c r="L2019" s="176"/>
      <c r="M2019" s="176"/>
      <c r="N2019" s="176"/>
      <c r="O2019" s="176"/>
      <c r="P2019" s="176"/>
      <c r="Q2019" s="176"/>
      <c r="R2019" s="176"/>
      <c r="S2019" s="176"/>
      <c r="T2019" s="176"/>
      <c r="U2019" s="176"/>
      <c r="V2019" s="176"/>
      <c r="W2019" s="176"/>
      <c r="X2019" s="176"/>
      <c r="Y2019" s="176"/>
    </row>
    <row r="2020" spans="1:25">
      <c r="A2020" s="91"/>
      <c r="B2020" s="176"/>
      <c r="C2020" s="176"/>
      <c r="D2020" s="176"/>
      <c r="E2020" s="176"/>
      <c r="F2020" s="176"/>
      <c r="G2020" s="176"/>
      <c r="H2020" s="176"/>
      <c r="I2020" s="176"/>
      <c r="J2020" s="176"/>
      <c r="K2020" s="176"/>
      <c r="L2020" s="176"/>
      <c r="M2020" s="176"/>
      <c r="N2020" s="176"/>
      <c r="O2020" s="176"/>
      <c r="P2020" s="176"/>
      <c r="Q2020" s="176"/>
      <c r="R2020" s="176"/>
      <c r="S2020" s="176"/>
      <c r="T2020" s="176"/>
      <c r="U2020" s="176"/>
      <c r="V2020" s="176"/>
      <c r="W2020" s="176"/>
      <c r="X2020" s="176"/>
      <c r="Y2020" s="176"/>
    </row>
    <row r="2021" spans="1:25">
      <c r="A2021" s="91"/>
      <c r="B2021" s="176"/>
      <c r="C2021" s="176"/>
      <c r="D2021" s="176"/>
      <c r="E2021" s="176"/>
      <c r="F2021" s="176"/>
      <c r="G2021" s="176"/>
      <c r="H2021" s="176"/>
      <c r="I2021" s="176"/>
      <c r="J2021" s="176"/>
      <c r="K2021" s="176"/>
      <c r="L2021" s="176"/>
      <c r="M2021" s="176"/>
      <c r="N2021" s="176"/>
      <c r="O2021" s="176"/>
      <c r="P2021" s="176"/>
      <c r="Q2021" s="176"/>
      <c r="R2021" s="176"/>
      <c r="S2021" s="176"/>
      <c r="T2021" s="176"/>
      <c r="U2021" s="176"/>
      <c r="V2021" s="176"/>
      <c r="W2021" s="176"/>
      <c r="X2021" s="176"/>
      <c r="Y2021" s="176"/>
    </row>
    <row r="2022" spans="1:25">
      <c r="A2022" s="91"/>
      <c r="B2022" s="176"/>
      <c r="C2022" s="176"/>
      <c r="D2022" s="176"/>
      <c r="E2022" s="176"/>
      <c r="F2022" s="176"/>
      <c r="G2022" s="176"/>
      <c r="H2022" s="176"/>
      <c r="I2022" s="176"/>
      <c r="J2022" s="176"/>
      <c r="K2022" s="176"/>
      <c r="L2022" s="176"/>
      <c r="M2022" s="176"/>
      <c r="N2022" s="176"/>
      <c r="O2022" s="176"/>
      <c r="P2022" s="176"/>
      <c r="Q2022" s="176"/>
      <c r="R2022" s="176"/>
      <c r="S2022" s="176"/>
      <c r="T2022" s="176"/>
      <c r="U2022" s="176"/>
      <c r="V2022" s="176"/>
      <c r="W2022" s="176"/>
      <c r="X2022" s="176"/>
      <c r="Y2022" s="176"/>
    </row>
    <row r="2023" spans="1:25">
      <c r="A2023" s="91"/>
      <c r="B2023" s="176"/>
      <c r="C2023" s="176"/>
      <c r="D2023" s="176"/>
      <c r="E2023" s="176"/>
      <c r="F2023" s="176"/>
      <c r="G2023" s="176"/>
      <c r="H2023" s="176"/>
      <c r="I2023" s="176"/>
      <c r="J2023" s="176"/>
      <c r="K2023" s="176"/>
      <c r="L2023" s="176"/>
      <c r="M2023" s="176"/>
      <c r="N2023" s="176"/>
      <c r="O2023" s="176"/>
      <c r="P2023" s="176"/>
      <c r="Q2023" s="176"/>
      <c r="R2023" s="176"/>
      <c r="S2023" s="176"/>
      <c r="T2023" s="176"/>
      <c r="U2023" s="176"/>
      <c r="V2023" s="176"/>
      <c r="W2023" s="176"/>
      <c r="X2023" s="176"/>
      <c r="Y2023" s="176"/>
    </row>
    <row r="2024" spans="1:25">
      <c r="A2024" s="91"/>
      <c r="B2024" s="176"/>
      <c r="C2024" s="176"/>
      <c r="D2024" s="176"/>
      <c r="E2024" s="176"/>
      <c r="F2024" s="176"/>
      <c r="G2024" s="176"/>
      <c r="H2024" s="176"/>
      <c r="I2024" s="176"/>
      <c r="J2024" s="176"/>
      <c r="K2024" s="176"/>
      <c r="L2024" s="176"/>
      <c r="M2024" s="176"/>
      <c r="N2024" s="176"/>
      <c r="O2024" s="176"/>
      <c r="P2024" s="176"/>
      <c r="Q2024" s="176"/>
      <c r="R2024" s="176"/>
      <c r="S2024" s="176"/>
      <c r="T2024" s="176"/>
      <c r="U2024" s="176"/>
      <c r="V2024" s="176"/>
      <c r="W2024" s="176"/>
      <c r="X2024" s="176"/>
      <c r="Y2024" s="176"/>
    </row>
    <row r="2025" spans="1:25">
      <c r="A2025" s="91"/>
      <c r="B2025" s="176"/>
      <c r="C2025" s="176"/>
      <c r="D2025" s="176"/>
      <c r="E2025" s="176"/>
      <c r="F2025" s="176"/>
      <c r="G2025" s="176"/>
      <c r="H2025" s="176"/>
      <c r="I2025" s="176"/>
      <c r="J2025" s="176"/>
      <c r="K2025" s="176"/>
      <c r="L2025" s="176"/>
      <c r="M2025" s="176"/>
      <c r="N2025" s="176"/>
      <c r="O2025" s="176"/>
      <c r="P2025" s="176"/>
      <c r="Q2025" s="176"/>
      <c r="R2025" s="176"/>
      <c r="S2025" s="176"/>
      <c r="T2025" s="176"/>
      <c r="U2025" s="176"/>
      <c r="V2025" s="176"/>
      <c r="W2025" s="176"/>
      <c r="X2025" s="176"/>
      <c r="Y2025" s="176"/>
    </row>
    <row r="2026" spans="1:25">
      <c r="A2026" s="91"/>
      <c r="B2026" s="176"/>
      <c r="C2026" s="176"/>
      <c r="D2026" s="176"/>
      <c r="E2026" s="176"/>
      <c r="F2026" s="176"/>
      <c r="G2026" s="176"/>
      <c r="H2026" s="176"/>
      <c r="I2026" s="176"/>
      <c r="J2026" s="176"/>
      <c r="K2026" s="176"/>
      <c r="L2026" s="176"/>
      <c r="M2026" s="176"/>
      <c r="N2026" s="176"/>
      <c r="O2026" s="176"/>
      <c r="P2026" s="176"/>
      <c r="Q2026" s="176"/>
      <c r="R2026" s="176"/>
      <c r="S2026" s="176"/>
      <c r="T2026" s="176"/>
      <c r="U2026" s="176"/>
      <c r="V2026" s="176"/>
      <c r="W2026" s="176"/>
      <c r="X2026" s="176"/>
      <c r="Y2026" s="176"/>
    </row>
    <row r="2027" spans="1:25">
      <c r="A2027" s="91"/>
      <c r="B2027" s="176"/>
      <c r="C2027" s="176"/>
      <c r="D2027" s="176"/>
      <c r="E2027" s="176"/>
      <c r="F2027" s="176"/>
      <c r="G2027" s="176"/>
      <c r="H2027" s="176"/>
      <c r="I2027" s="176"/>
      <c r="J2027" s="176"/>
      <c r="K2027" s="176"/>
      <c r="L2027" s="176"/>
      <c r="M2027" s="176"/>
      <c r="N2027" s="176"/>
      <c r="O2027" s="176"/>
      <c r="P2027" s="176"/>
      <c r="Q2027" s="176"/>
      <c r="R2027" s="176"/>
      <c r="S2027" s="176"/>
      <c r="T2027" s="176"/>
      <c r="U2027" s="176"/>
      <c r="V2027" s="176"/>
      <c r="W2027" s="176"/>
      <c r="X2027" s="176"/>
      <c r="Y2027" s="176"/>
    </row>
    <row r="2028" spans="1:25">
      <c r="A2028" s="91"/>
      <c r="B2028" s="176"/>
      <c r="C2028" s="176"/>
      <c r="D2028" s="176"/>
      <c r="E2028" s="176"/>
      <c r="F2028" s="176"/>
      <c r="G2028" s="176"/>
      <c r="H2028" s="176"/>
      <c r="I2028" s="176"/>
      <c r="J2028" s="176"/>
      <c r="K2028" s="176"/>
      <c r="L2028" s="176"/>
      <c r="M2028" s="176"/>
      <c r="N2028" s="176"/>
      <c r="O2028" s="176"/>
      <c r="P2028" s="176"/>
      <c r="Q2028" s="176"/>
      <c r="R2028" s="176"/>
      <c r="S2028" s="176"/>
      <c r="T2028" s="176"/>
      <c r="U2028" s="176"/>
      <c r="V2028" s="176"/>
      <c r="W2028" s="176"/>
      <c r="X2028" s="176"/>
      <c r="Y2028" s="176"/>
    </row>
    <row r="2029" spans="1:25">
      <c r="A2029" s="91"/>
      <c r="B2029" s="176"/>
      <c r="C2029" s="176"/>
      <c r="D2029" s="176"/>
      <c r="E2029" s="176"/>
      <c r="F2029" s="176"/>
      <c r="G2029" s="176"/>
      <c r="H2029" s="176"/>
      <c r="I2029" s="176"/>
      <c r="J2029" s="176"/>
      <c r="K2029" s="176"/>
      <c r="L2029" s="176"/>
      <c r="M2029" s="176"/>
      <c r="N2029" s="176"/>
      <c r="O2029" s="176"/>
      <c r="P2029" s="176"/>
      <c r="Q2029" s="176"/>
      <c r="R2029" s="176"/>
      <c r="S2029" s="176"/>
      <c r="T2029" s="176"/>
      <c r="U2029" s="176"/>
      <c r="V2029" s="176"/>
      <c r="W2029" s="176"/>
      <c r="X2029" s="176"/>
      <c r="Y2029" s="176"/>
    </row>
    <row r="2030" spans="1:25">
      <c r="A2030" s="91"/>
      <c r="B2030" s="176"/>
      <c r="C2030" s="176"/>
      <c r="D2030" s="176"/>
      <c r="E2030" s="176"/>
      <c r="F2030" s="176"/>
      <c r="G2030" s="176"/>
      <c r="H2030" s="176"/>
      <c r="I2030" s="176"/>
      <c r="J2030" s="176"/>
      <c r="K2030" s="176"/>
      <c r="L2030" s="176"/>
      <c r="M2030" s="176"/>
      <c r="N2030" s="176"/>
      <c r="O2030" s="176"/>
      <c r="P2030" s="176"/>
      <c r="Q2030" s="176"/>
      <c r="R2030" s="176"/>
      <c r="S2030" s="176"/>
      <c r="T2030" s="176"/>
      <c r="U2030" s="176"/>
      <c r="V2030" s="176"/>
      <c r="W2030" s="176"/>
      <c r="X2030" s="176"/>
      <c r="Y2030" s="176"/>
    </row>
    <row r="2031" spans="1:25">
      <c r="A2031" s="91"/>
      <c r="B2031" s="176"/>
      <c r="C2031" s="176"/>
      <c r="D2031" s="176"/>
      <c r="E2031" s="176"/>
      <c r="F2031" s="176"/>
      <c r="G2031" s="176"/>
      <c r="H2031" s="176"/>
      <c r="I2031" s="176"/>
      <c r="J2031" s="176"/>
      <c r="K2031" s="176"/>
      <c r="L2031" s="176"/>
      <c r="M2031" s="176"/>
      <c r="N2031" s="176"/>
      <c r="O2031" s="176"/>
      <c r="P2031" s="176"/>
      <c r="Q2031" s="176"/>
      <c r="R2031" s="176"/>
      <c r="S2031" s="176"/>
      <c r="T2031" s="176"/>
      <c r="U2031" s="176"/>
      <c r="V2031" s="176"/>
      <c r="W2031" s="176"/>
      <c r="X2031" s="176"/>
      <c r="Y2031" s="176"/>
    </row>
    <row r="2032" spans="1:25">
      <c r="A2032" s="91"/>
      <c r="B2032" s="176"/>
      <c r="C2032" s="176"/>
      <c r="D2032" s="176"/>
      <c r="E2032" s="176"/>
      <c r="F2032" s="176"/>
      <c r="G2032" s="176"/>
      <c r="H2032" s="176"/>
      <c r="I2032" s="176"/>
      <c r="J2032" s="176"/>
      <c r="K2032" s="176"/>
      <c r="L2032" s="176"/>
      <c r="M2032" s="176"/>
      <c r="N2032" s="176"/>
      <c r="O2032" s="176"/>
      <c r="P2032" s="176"/>
      <c r="Q2032" s="176"/>
      <c r="R2032" s="176"/>
      <c r="S2032" s="176"/>
      <c r="T2032" s="176"/>
      <c r="U2032" s="176"/>
      <c r="V2032" s="176"/>
      <c r="W2032" s="176"/>
      <c r="X2032" s="176"/>
      <c r="Y2032" s="176"/>
    </row>
    <row r="2033" spans="1:25">
      <c r="A2033" s="91"/>
      <c r="B2033" s="176"/>
      <c r="C2033" s="176"/>
      <c r="D2033" s="176"/>
      <c r="E2033" s="176"/>
      <c r="F2033" s="176"/>
      <c r="G2033" s="176"/>
      <c r="H2033" s="176"/>
      <c r="I2033" s="176"/>
      <c r="J2033" s="176"/>
      <c r="K2033" s="176"/>
      <c r="L2033" s="176"/>
      <c r="M2033" s="176"/>
      <c r="N2033" s="176"/>
      <c r="O2033" s="176"/>
      <c r="P2033" s="176"/>
      <c r="Q2033" s="176"/>
      <c r="R2033" s="176"/>
      <c r="S2033" s="176"/>
      <c r="T2033" s="176"/>
      <c r="U2033" s="176"/>
      <c r="V2033" s="176"/>
      <c r="W2033" s="176"/>
      <c r="X2033" s="176"/>
      <c r="Y2033" s="176"/>
    </row>
    <row r="2034" spans="1:25">
      <c r="A2034" s="91"/>
      <c r="B2034" s="176"/>
      <c r="C2034" s="176"/>
      <c r="D2034" s="176"/>
      <c r="E2034" s="176"/>
      <c r="F2034" s="176"/>
      <c r="G2034" s="176"/>
      <c r="H2034" s="176"/>
      <c r="I2034" s="176"/>
      <c r="J2034" s="176"/>
      <c r="K2034" s="176"/>
      <c r="L2034" s="176"/>
      <c r="M2034" s="176"/>
      <c r="N2034" s="176"/>
      <c r="O2034" s="176"/>
      <c r="P2034" s="176"/>
      <c r="Q2034" s="176"/>
      <c r="R2034" s="176"/>
      <c r="S2034" s="176"/>
      <c r="T2034" s="176"/>
      <c r="U2034" s="176"/>
      <c r="V2034" s="176"/>
      <c r="W2034" s="176"/>
      <c r="X2034" s="176"/>
      <c r="Y2034" s="176"/>
    </row>
    <row r="2035" spans="1:25">
      <c r="A2035" s="91"/>
      <c r="B2035" s="176"/>
      <c r="C2035" s="176"/>
      <c r="D2035" s="176"/>
      <c r="E2035" s="176"/>
      <c r="F2035" s="176"/>
      <c r="G2035" s="176"/>
      <c r="H2035" s="176"/>
      <c r="I2035" s="176"/>
      <c r="J2035" s="176"/>
      <c r="K2035" s="176"/>
      <c r="L2035" s="176"/>
      <c r="M2035" s="176"/>
      <c r="N2035" s="176"/>
      <c r="O2035" s="176"/>
      <c r="P2035" s="176"/>
      <c r="Q2035" s="176"/>
      <c r="R2035" s="176"/>
      <c r="S2035" s="176"/>
      <c r="T2035" s="176"/>
      <c r="U2035" s="176"/>
      <c r="V2035" s="176"/>
      <c r="W2035" s="176"/>
      <c r="X2035" s="176"/>
      <c r="Y2035" s="176"/>
    </row>
    <row r="2036" spans="1:25">
      <c r="A2036" s="91"/>
      <c r="B2036" s="176"/>
      <c r="C2036" s="176"/>
      <c r="D2036" s="176"/>
      <c r="E2036" s="176"/>
      <c r="F2036" s="176"/>
      <c r="G2036" s="176"/>
      <c r="H2036" s="176"/>
      <c r="I2036" s="176"/>
      <c r="J2036" s="176"/>
      <c r="K2036" s="176"/>
      <c r="L2036" s="176"/>
      <c r="M2036" s="176"/>
      <c r="N2036" s="176"/>
      <c r="O2036" s="176"/>
      <c r="P2036" s="176"/>
      <c r="Q2036" s="176"/>
      <c r="R2036" s="176"/>
      <c r="S2036" s="176"/>
      <c r="T2036" s="176"/>
      <c r="U2036" s="176"/>
      <c r="V2036" s="176"/>
      <c r="W2036" s="176"/>
      <c r="X2036" s="176"/>
      <c r="Y2036" s="176"/>
    </row>
    <row r="2037" spans="1:25">
      <c r="A2037" s="91"/>
      <c r="B2037" s="176"/>
      <c r="C2037" s="176"/>
      <c r="D2037" s="176"/>
      <c r="E2037" s="176"/>
      <c r="F2037" s="176"/>
      <c r="G2037" s="176"/>
      <c r="H2037" s="176"/>
      <c r="I2037" s="176"/>
      <c r="J2037" s="176"/>
      <c r="K2037" s="176"/>
      <c r="L2037" s="176"/>
      <c r="M2037" s="176"/>
      <c r="N2037" s="176"/>
      <c r="O2037" s="176"/>
      <c r="P2037" s="176"/>
      <c r="Q2037" s="176"/>
      <c r="R2037" s="176"/>
      <c r="S2037" s="176"/>
      <c r="T2037" s="176"/>
      <c r="U2037" s="176"/>
      <c r="V2037" s="176"/>
      <c r="W2037" s="176"/>
      <c r="X2037" s="176"/>
      <c r="Y2037" s="176"/>
    </row>
    <row r="2038" spans="1:25">
      <c r="A2038" s="91"/>
      <c r="B2038" s="176"/>
      <c r="C2038" s="176"/>
      <c r="D2038" s="176"/>
      <c r="E2038" s="176"/>
      <c r="F2038" s="176"/>
      <c r="G2038" s="176"/>
      <c r="H2038" s="176"/>
      <c r="I2038" s="176"/>
      <c r="J2038" s="176"/>
      <c r="K2038" s="176"/>
      <c r="L2038" s="176"/>
      <c r="M2038" s="176"/>
      <c r="N2038" s="176"/>
      <c r="O2038" s="176"/>
      <c r="P2038" s="176"/>
      <c r="Q2038" s="176"/>
      <c r="R2038" s="176"/>
      <c r="S2038" s="176"/>
      <c r="T2038" s="176"/>
      <c r="U2038" s="176"/>
      <c r="V2038" s="176"/>
      <c r="W2038" s="176"/>
      <c r="X2038" s="176"/>
      <c r="Y2038" s="176"/>
    </row>
    <row r="2039" spans="1:25">
      <c r="A2039" s="91"/>
      <c r="B2039" s="176"/>
      <c r="C2039" s="176"/>
      <c r="D2039" s="176"/>
      <c r="E2039" s="176"/>
      <c r="F2039" s="176"/>
      <c r="G2039" s="176"/>
      <c r="H2039" s="176"/>
      <c r="I2039" s="176"/>
      <c r="J2039" s="176"/>
      <c r="K2039" s="176"/>
      <c r="L2039" s="176"/>
      <c r="M2039" s="176"/>
      <c r="N2039" s="176"/>
      <c r="O2039" s="176"/>
      <c r="P2039" s="176"/>
      <c r="Q2039" s="176"/>
      <c r="R2039" s="176"/>
      <c r="S2039" s="176"/>
      <c r="T2039" s="176"/>
      <c r="U2039" s="176"/>
      <c r="V2039" s="176"/>
      <c r="W2039" s="176"/>
      <c r="X2039" s="176"/>
      <c r="Y2039" s="176"/>
    </row>
    <row r="2040" spans="1:25">
      <c r="A2040" s="91"/>
      <c r="B2040" s="176"/>
      <c r="C2040" s="176"/>
      <c r="D2040" s="176"/>
      <c r="E2040" s="176"/>
      <c r="F2040" s="176"/>
      <c r="G2040" s="176"/>
      <c r="H2040" s="176"/>
      <c r="I2040" s="176"/>
      <c r="J2040" s="176"/>
      <c r="K2040" s="176"/>
      <c r="L2040" s="176"/>
      <c r="M2040" s="176"/>
      <c r="N2040" s="176"/>
      <c r="O2040" s="176"/>
      <c r="P2040" s="176"/>
      <c r="Q2040" s="176"/>
      <c r="R2040" s="176"/>
      <c r="S2040" s="176"/>
      <c r="T2040" s="176"/>
      <c r="U2040" s="176"/>
      <c r="V2040" s="176"/>
      <c r="W2040" s="176"/>
      <c r="X2040" s="176"/>
      <c r="Y2040" s="176"/>
    </row>
    <row r="2041" spans="1:25">
      <c r="A2041" s="91"/>
      <c r="B2041" s="176"/>
      <c r="C2041" s="176"/>
      <c r="D2041" s="176"/>
      <c r="E2041" s="176"/>
      <c r="F2041" s="176"/>
      <c r="G2041" s="176"/>
      <c r="H2041" s="176"/>
      <c r="I2041" s="176"/>
      <c r="J2041" s="176"/>
      <c r="K2041" s="176"/>
      <c r="L2041" s="176"/>
      <c r="M2041" s="176"/>
      <c r="N2041" s="176"/>
      <c r="O2041" s="176"/>
      <c r="P2041" s="176"/>
      <c r="Q2041" s="176"/>
      <c r="R2041" s="176"/>
      <c r="S2041" s="176"/>
      <c r="T2041" s="176"/>
      <c r="U2041" s="176"/>
      <c r="V2041" s="176"/>
      <c r="W2041" s="176"/>
      <c r="X2041" s="176"/>
      <c r="Y2041" s="176"/>
    </row>
    <row r="2042" spans="1:25">
      <c r="A2042" s="91"/>
      <c r="B2042" s="176"/>
      <c r="C2042" s="176"/>
      <c r="D2042" s="176"/>
      <c r="E2042" s="176"/>
      <c r="F2042" s="176"/>
      <c r="G2042" s="176"/>
      <c r="H2042" s="176"/>
      <c r="I2042" s="176"/>
      <c r="J2042" s="176"/>
      <c r="K2042" s="176"/>
      <c r="L2042" s="176"/>
      <c r="M2042" s="176"/>
      <c r="N2042" s="176"/>
      <c r="O2042" s="176"/>
      <c r="P2042" s="176"/>
      <c r="Q2042" s="176"/>
      <c r="R2042" s="176"/>
      <c r="S2042" s="176"/>
      <c r="T2042" s="176"/>
      <c r="U2042" s="176"/>
      <c r="V2042" s="176"/>
      <c r="W2042" s="176"/>
      <c r="X2042" s="176"/>
      <c r="Y2042" s="176"/>
    </row>
    <row r="2043" spans="1:25">
      <c r="A2043" s="91"/>
      <c r="B2043" s="176"/>
      <c r="C2043" s="176"/>
      <c r="D2043" s="176"/>
      <c r="E2043" s="176"/>
      <c r="F2043" s="176"/>
      <c r="G2043" s="176"/>
      <c r="H2043" s="176"/>
      <c r="I2043" s="176"/>
      <c r="J2043" s="176"/>
      <c r="K2043" s="176"/>
      <c r="L2043" s="176"/>
      <c r="M2043" s="176"/>
      <c r="N2043" s="176"/>
      <c r="O2043" s="176"/>
      <c r="P2043" s="176"/>
      <c r="Q2043" s="176"/>
      <c r="R2043" s="176"/>
      <c r="S2043" s="176"/>
      <c r="T2043" s="176"/>
      <c r="U2043" s="176"/>
      <c r="V2043" s="176"/>
      <c r="W2043" s="176"/>
      <c r="X2043" s="176"/>
      <c r="Y2043" s="176"/>
    </row>
    <row r="2044" spans="1:25">
      <c r="A2044" s="91"/>
      <c r="B2044" s="176"/>
      <c r="C2044" s="176"/>
      <c r="D2044" s="176"/>
      <c r="E2044" s="176"/>
      <c r="F2044" s="176"/>
      <c r="G2044" s="176"/>
      <c r="H2044" s="176"/>
      <c r="I2044" s="176"/>
      <c r="J2044" s="176"/>
      <c r="K2044" s="176"/>
      <c r="L2044" s="176"/>
      <c r="M2044" s="176"/>
      <c r="N2044" s="176"/>
      <c r="O2044" s="176"/>
      <c r="P2044" s="176"/>
      <c r="Q2044" s="176"/>
      <c r="R2044" s="176"/>
      <c r="S2044" s="176"/>
      <c r="T2044" s="176"/>
      <c r="U2044" s="176"/>
      <c r="V2044" s="176"/>
      <c r="W2044" s="176"/>
      <c r="X2044" s="176"/>
      <c r="Y2044" s="176"/>
    </row>
    <row r="2045" spans="1:25">
      <c r="A2045" s="91"/>
      <c r="B2045" s="176"/>
      <c r="C2045" s="176"/>
      <c r="D2045" s="176"/>
      <c r="E2045" s="176"/>
      <c r="F2045" s="176"/>
      <c r="G2045" s="176"/>
      <c r="H2045" s="176"/>
      <c r="I2045" s="176"/>
      <c r="J2045" s="176"/>
      <c r="K2045" s="176"/>
      <c r="L2045" s="176"/>
      <c r="M2045" s="176"/>
      <c r="N2045" s="176"/>
      <c r="O2045" s="176"/>
      <c r="P2045" s="176"/>
      <c r="Q2045" s="176"/>
      <c r="R2045" s="176"/>
      <c r="S2045" s="176"/>
      <c r="T2045" s="176"/>
      <c r="U2045" s="176"/>
      <c r="V2045" s="176"/>
      <c r="W2045" s="176"/>
      <c r="X2045" s="176"/>
      <c r="Y2045" s="176"/>
    </row>
    <row r="2046" spans="1:25">
      <c r="A2046" s="91"/>
      <c r="B2046" s="176"/>
      <c r="C2046" s="176"/>
      <c r="D2046" s="176"/>
      <c r="E2046" s="176"/>
      <c r="F2046" s="176"/>
      <c r="G2046" s="176"/>
      <c r="H2046" s="176"/>
      <c r="I2046" s="176"/>
      <c r="J2046" s="176"/>
      <c r="K2046" s="176"/>
      <c r="L2046" s="176"/>
      <c r="M2046" s="176"/>
      <c r="N2046" s="176"/>
      <c r="O2046" s="176"/>
      <c r="P2046" s="176"/>
      <c r="Q2046" s="176"/>
      <c r="R2046" s="176"/>
      <c r="S2046" s="176"/>
      <c r="T2046" s="176"/>
      <c r="U2046" s="176"/>
      <c r="V2046" s="176"/>
      <c r="W2046" s="176"/>
      <c r="X2046" s="176"/>
      <c r="Y2046" s="176"/>
    </row>
    <row r="2047" spans="1:25">
      <c r="A2047" s="91"/>
      <c r="B2047" s="176"/>
      <c r="C2047" s="176"/>
      <c r="D2047" s="176"/>
      <c r="E2047" s="176"/>
      <c r="F2047" s="176"/>
      <c r="G2047" s="176"/>
      <c r="H2047" s="176"/>
      <c r="I2047" s="176"/>
      <c r="J2047" s="176"/>
      <c r="K2047" s="176"/>
      <c r="L2047" s="176"/>
      <c r="M2047" s="176"/>
      <c r="N2047" s="176"/>
      <c r="O2047" s="176"/>
      <c r="P2047" s="176"/>
      <c r="Q2047" s="176"/>
      <c r="R2047" s="176"/>
      <c r="S2047" s="176"/>
      <c r="T2047" s="176"/>
      <c r="U2047" s="176"/>
      <c r="V2047" s="176"/>
      <c r="W2047" s="176"/>
      <c r="X2047" s="176"/>
      <c r="Y2047" s="176"/>
    </row>
    <row r="2048" spans="1:25">
      <c r="A2048" s="91"/>
      <c r="B2048" s="176"/>
      <c r="C2048" s="176"/>
      <c r="D2048" s="176"/>
      <c r="E2048" s="176"/>
      <c r="F2048" s="176"/>
      <c r="G2048" s="176"/>
      <c r="H2048" s="176"/>
      <c r="I2048" s="176"/>
      <c r="J2048" s="176"/>
      <c r="K2048" s="176"/>
      <c r="L2048" s="176"/>
      <c r="M2048" s="176"/>
      <c r="N2048" s="176"/>
      <c r="O2048" s="176"/>
      <c r="P2048" s="176"/>
      <c r="Q2048" s="176"/>
      <c r="R2048" s="176"/>
      <c r="S2048" s="176"/>
      <c r="T2048" s="176"/>
      <c r="U2048" s="176"/>
      <c r="V2048" s="176"/>
      <c r="W2048" s="176"/>
      <c r="X2048" s="176"/>
      <c r="Y2048" s="176"/>
    </row>
    <row r="2049" spans="1:25">
      <c r="A2049" s="91"/>
      <c r="B2049" s="176"/>
      <c r="C2049" s="176"/>
      <c r="D2049" s="176"/>
      <c r="E2049" s="176"/>
      <c r="F2049" s="176"/>
      <c r="G2049" s="176"/>
      <c r="H2049" s="176"/>
      <c r="I2049" s="176"/>
      <c r="J2049" s="176"/>
      <c r="K2049" s="176"/>
      <c r="L2049" s="176"/>
      <c r="M2049" s="176"/>
      <c r="N2049" s="176"/>
      <c r="O2049" s="176"/>
      <c r="P2049" s="176"/>
      <c r="Q2049" s="176"/>
      <c r="R2049" s="176"/>
      <c r="S2049" s="176"/>
      <c r="T2049" s="176"/>
      <c r="U2049" s="176"/>
      <c r="V2049" s="176"/>
      <c r="W2049" s="176"/>
      <c r="X2049" s="176"/>
      <c r="Y2049" s="176"/>
    </row>
    <row r="2050" spans="1:25">
      <c r="A2050" s="91"/>
      <c r="B2050" s="176"/>
      <c r="C2050" s="176"/>
      <c r="D2050" s="176"/>
      <c r="E2050" s="176"/>
      <c r="F2050" s="176"/>
      <c r="G2050" s="176"/>
      <c r="H2050" s="176"/>
      <c r="I2050" s="176"/>
      <c r="J2050" s="176"/>
      <c r="K2050" s="176"/>
      <c r="L2050" s="176"/>
      <c r="M2050" s="176"/>
      <c r="N2050" s="176"/>
      <c r="O2050" s="176"/>
      <c r="P2050" s="176"/>
      <c r="Q2050" s="176"/>
      <c r="R2050" s="176"/>
      <c r="S2050" s="176"/>
      <c r="T2050" s="176"/>
      <c r="U2050" s="176"/>
      <c r="V2050" s="176"/>
      <c r="W2050" s="176"/>
      <c r="X2050" s="176"/>
      <c r="Y2050" s="176"/>
    </row>
    <row r="2051" spans="1:25">
      <c r="A2051" s="91"/>
      <c r="B2051" s="176"/>
      <c r="C2051" s="176"/>
      <c r="D2051" s="176"/>
      <c r="E2051" s="176"/>
      <c r="F2051" s="176"/>
      <c r="G2051" s="176"/>
      <c r="H2051" s="176"/>
      <c r="I2051" s="176"/>
      <c r="J2051" s="176"/>
      <c r="K2051" s="176"/>
      <c r="L2051" s="176"/>
      <c r="M2051" s="176"/>
      <c r="N2051" s="176"/>
      <c r="O2051" s="176"/>
      <c r="P2051" s="176"/>
      <c r="Q2051" s="176"/>
      <c r="R2051" s="176"/>
      <c r="S2051" s="176"/>
      <c r="T2051" s="176"/>
      <c r="U2051" s="176"/>
      <c r="V2051" s="176"/>
      <c r="W2051" s="176"/>
      <c r="X2051" s="176"/>
      <c r="Y2051" s="176"/>
    </row>
    <row r="2052" spans="1:25">
      <c r="A2052" s="91"/>
      <c r="B2052" s="176"/>
      <c r="C2052" s="176"/>
      <c r="D2052" s="176"/>
      <c r="E2052" s="176"/>
      <c r="F2052" s="176"/>
      <c r="G2052" s="176"/>
      <c r="H2052" s="176"/>
      <c r="I2052" s="176"/>
      <c r="J2052" s="176"/>
      <c r="K2052" s="176"/>
      <c r="L2052" s="176"/>
      <c r="M2052" s="176"/>
      <c r="N2052" s="176"/>
      <c r="O2052" s="176"/>
      <c r="P2052" s="176"/>
      <c r="Q2052" s="176"/>
      <c r="R2052" s="176"/>
      <c r="S2052" s="176"/>
      <c r="T2052" s="176"/>
      <c r="U2052" s="176"/>
      <c r="V2052" s="176"/>
      <c r="W2052" s="176"/>
      <c r="X2052" s="176"/>
      <c r="Y2052" s="176"/>
    </row>
    <row r="2053" spans="1:25">
      <c r="A2053" s="91"/>
      <c r="B2053" s="176"/>
      <c r="C2053" s="176"/>
      <c r="D2053" s="176"/>
      <c r="E2053" s="176"/>
      <c r="F2053" s="176"/>
      <c r="G2053" s="176"/>
      <c r="H2053" s="176"/>
      <c r="I2053" s="176"/>
      <c r="J2053" s="176"/>
      <c r="K2053" s="176"/>
      <c r="L2053" s="176"/>
      <c r="M2053" s="176"/>
      <c r="N2053" s="176"/>
      <c r="O2053" s="176"/>
      <c r="P2053" s="176"/>
      <c r="Q2053" s="176"/>
      <c r="R2053" s="176"/>
      <c r="S2053" s="176"/>
      <c r="T2053" s="176"/>
      <c r="U2053" s="176"/>
      <c r="V2053" s="176"/>
      <c r="W2053" s="176"/>
      <c r="X2053" s="176"/>
      <c r="Y2053" s="176"/>
    </row>
    <row r="2054" spans="1:25">
      <c r="A2054" s="91"/>
      <c r="B2054" s="176"/>
      <c r="C2054" s="176"/>
      <c r="D2054" s="176"/>
      <c r="E2054" s="176"/>
      <c r="F2054" s="176"/>
      <c r="G2054" s="176"/>
      <c r="H2054" s="176"/>
      <c r="I2054" s="176"/>
      <c r="J2054" s="176"/>
      <c r="K2054" s="176"/>
      <c r="L2054" s="176"/>
      <c r="M2054" s="176"/>
      <c r="N2054" s="176"/>
      <c r="O2054" s="176"/>
      <c r="P2054" s="176"/>
      <c r="Q2054" s="176"/>
      <c r="R2054" s="176"/>
      <c r="S2054" s="176"/>
      <c r="T2054" s="176"/>
      <c r="U2054" s="176"/>
      <c r="V2054" s="176"/>
      <c r="W2054" s="176"/>
      <c r="X2054" s="176"/>
      <c r="Y2054" s="176"/>
    </row>
    <row r="2055" spans="1:25">
      <c r="A2055" s="91"/>
      <c r="B2055" s="176"/>
      <c r="C2055" s="176"/>
      <c r="D2055" s="176"/>
      <c r="E2055" s="176"/>
      <c r="F2055" s="176"/>
      <c r="G2055" s="176"/>
      <c r="H2055" s="176"/>
      <c r="I2055" s="176"/>
      <c r="J2055" s="176"/>
      <c r="K2055" s="176"/>
      <c r="L2055" s="176"/>
      <c r="M2055" s="176"/>
      <c r="N2055" s="176"/>
      <c r="O2055" s="176"/>
      <c r="P2055" s="176"/>
      <c r="Q2055" s="176"/>
      <c r="R2055" s="176"/>
      <c r="S2055" s="176"/>
      <c r="T2055" s="176"/>
      <c r="U2055" s="176"/>
      <c r="V2055" s="176"/>
      <c r="W2055" s="176"/>
      <c r="X2055" s="176"/>
      <c r="Y2055" s="176"/>
    </row>
    <row r="2056" spans="1:25">
      <c r="A2056" s="91"/>
      <c r="B2056" s="176"/>
      <c r="C2056" s="176"/>
      <c r="D2056" s="176"/>
      <c r="E2056" s="176"/>
      <c r="F2056" s="176"/>
      <c r="G2056" s="176"/>
      <c r="H2056" s="176"/>
      <c r="I2056" s="176"/>
      <c r="J2056" s="176"/>
      <c r="K2056" s="176"/>
      <c r="L2056" s="176"/>
      <c r="M2056" s="176"/>
      <c r="N2056" s="176"/>
      <c r="O2056" s="176"/>
      <c r="P2056" s="176"/>
      <c r="Q2056" s="176"/>
      <c r="R2056" s="176"/>
      <c r="S2056" s="176"/>
      <c r="T2056" s="176"/>
      <c r="U2056" s="176"/>
      <c r="V2056" s="176"/>
      <c r="W2056" s="176"/>
      <c r="X2056" s="176"/>
      <c r="Y2056" s="176"/>
    </row>
    <row r="2057" spans="1:25">
      <c r="A2057" s="91"/>
      <c r="B2057" s="176"/>
      <c r="C2057" s="176"/>
      <c r="D2057" s="176"/>
      <c r="E2057" s="176"/>
      <c r="F2057" s="176"/>
      <c r="G2057" s="176"/>
      <c r="H2057" s="176"/>
      <c r="I2057" s="176"/>
      <c r="J2057" s="176"/>
      <c r="K2057" s="176"/>
      <c r="L2057" s="176"/>
      <c r="M2057" s="176"/>
      <c r="N2057" s="176"/>
      <c r="O2057" s="176"/>
      <c r="P2057" s="176"/>
      <c r="Q2057" s="176"/>
      <c r="R2057" s="176"/>
      <c r="S2057" s="176"/>
      <c r="T2057" s="176"/>
      <c r="U2057" s="176"/>
      <c r="V2057" s="176"/>
      <c r="W2057" s="176"/>
      <c r="X2057" s="176"/>
      <c r="Y2057" s="176"/>
    </row>
    <row r="2058" spans="1:25">
      <c r="A2058" s="91"/>
      <c r="B2058" s="176"/>
      <c r="C2058" s="176"/>
      <c r="D2058" s="176"/>
      <c r="E2058" s="176"/>
      <c r="F2058" s="176"/>
      <c r="G2058" s="176"/>
      <c r="H2058" s="176"/>
      <c r="I2058" s="176"/>
      <c r="J2058" s="176"/>
      <c r="K2058" s="176"/>
      <c r="L2058" s="176"/>
      <c r="M2058" s="176"/>
      <c r="N2058" s="176"/>
      <c r="O2058" s="176"/>
      <c r="P2058" s="176"/>
      <c r="Q2058" s="176"/>
      <c r="R2058" s="176"/>
      <c r="S2058" s="176"/>
      <c r="T2058" s="176"/>
      <c r="U2058" s="176"/>
      <c r="V2058" s="176"/>
      <c r="W2058" s="176"/>
      <c r="X2058" s="176"/>
      <c r="Y2058" s="176"/>
    </row>
    <row r="2059" spans="1:25">
      <c r="A2059" s="91"/>
      <c r="B2059" s="176"/>
      <c r="C2059" s="176"/>
      <c r="D2059" s="176"/>
      <c r="E2059" s="176"/>
      <c r="F2059" s="176"/>
      <c r="G2059" s="176"/>
      <c r="H2059" s="176"/>
      <c r="I2059" s="176"/>
      <c r="J2059" s="176"/>
      <c r="K2059" s="176"/>
      <c r="L2059" s="176"/>
      <c r="M2059" s="176"/>
      <c r="N2059" s="176"/>
      <c r="O2059" s="176"/>
      <c r="P2059" s="176"/>
      <c r="Q2059" s="176"/>
      <c r="R2059" s="176"/>
      <c r="S2059" s="176"/>
      <c r="T2059" s="176"/>
      <c r="U2059" s="176"/>
      <c r="V2059" s="176"/>
      <c r="W2059" s="176"/>
      <c r="X2059" s="176"/>
      <c r="Y2059" s="176"/>
    </row>
    <row r="2060" spans="1:25">
      <c r="A2060" s="91"/>
      <c r="B2060" s="176"/>
      <c r="C2060" s="176"/>
      <c r="D2060" s="176"/>
      <c r="E2060" s="176"/>
      <c r="F2060" s="176"/>
      <c r="G2060" s="176"/>
      <c r="H2060" s="176"/>
      <c r="I2060" s="176"/>
      <c r="J2060" s="176"/>
      <c r="K2060" s="176"/>
      <c r="L2060" s="176"/>
      <c r="M2060" s="176"/>
      <c r="N2060" s="176"/>
      <c r="O2060" s="176"/>
      <c r="P2060" s="176"/>
      <c r="Q2060" s="176"/>
      <c r="R2060" s="176"/>
      <c r="S2060" s="176"/>
      <c r="T2060" s="176"/>
      <c r="U2060" s="176"/>
      <c r="V2060" s="176"/>
      <c r="W2060" s="176"/>
      <c r="X2060" s="176"/>
      <c r="Y2060" s="176"/>
    </row>
    <row r="2061" spans="1:25">
      <c r="A2061" s="91"/>
      <c r="B2061" s="176"/>
      <c r="C2061" s="176"/>
      <c r="D2061" s="176"/>
      <c r="E2061" s="176"/>
      <c r="F2061" s="176"/>
      <c r="G2061" s="176"/>
      <c r="H2061" s="176"/>
      <c r="I2061" s="176"/>
      <c r="J2061" s="176"/>
      <c r="K2061" s="176"/>
      <c r="L2061" s="176"/>
      <c r="M2061" s="176"/>
      <c r="N2061" s="176"/>
      <c r="O2061" s="176"/>
      <c r="P2061" s="176"/>
      <c r="Q2061" s="176"/>
      <c r="R2061" s="176"/>
      <c r="S2061" s="176"/>
      <c r="T2061" s="176"/>
      <c r="U2061" s="176"/>
      <c r="V2061" s="176"/>
      <c r="W2061" s="176"/>
      <c r="X2061" s="176"/>
      <c r="Y2061" s="176"/>
    </row>
    <row r="2062" spans="1:25">
      <c r="A2062" s="91"/>
      <c r="B2062" s="176"/>
      <c r="C2062" s="176"/>
      <c r="D2062" s="176"/>
      <c r="E2062" s="176"/>
      <c r="F2062" s="176"/>
      <c r="G2062" s="176"/>
      <c r="H2062" s="176"/>
      <c r="I2062" s="176"/>
      <c r="J2062" s="176"/>
      <c r="K2062" s="176"/>
      <c r="L2062" s="176"/>
      <c r="M2062" s="176"/>
      <c r="N2062" s="176"/>
      <c r="O2062" s="176"/>
      <c r="P2062" s="176"/>
      <c r="Q2062" s="176"/>
      <c r="R2062" s="176"/>
      <c r="S2062" s="176"/>
      <c r="T2062" s="176"/>
      <c r="U2062" s="176"/>
      <c r="V2062" s="176"/>
      <c r="W2062" s="176"/>
      <c r="X2062" s="176"/>
      <c r="Y2062" s="176"/>
    </row>
    <row r="2063" spans="1:25">
      <c r="A2063" s="91"/>
      <c r="B2063" s="176"/>
      <c r="C2063" s="176"/>
      <c r="D2063" s="176"/>
      <c r="E2063" s="176"/>
      <c r="F2063" s="176"/>
      <c r="G2063" s="176"/>
      <c r="H2063" s="176"/>
      <c r="I2063" s="176"/>
      <c r="J2063" s="176"/>
      <c r="K2063" s="176"/>
      <c r="L2063" s="176"/>
      <c r="M2063" s="176"/>
      <c r="N2063" s="176"/>
      <c r="O2063" s="176"/>
      <c r="P2063" s="176"/>
      <c r="Q2063" s="176"/>
      <c r="R2063" s="176"/>
      <c r="S2063" s="176"/>
      <c r="T2063" s="176"/>
      <c r="U2063" s="176"/>
      <c r="V2063" s="176"/>
      <c r="W2063" s="176"/>
      <c r="X2063" s="176"/>
      <c r="Y2063" s="176"/>
    </row>
    <row r="2064" spans="1:25">
      <c r="A2064" s="91"/>
      <c r="B2064" s="176"/>
      <c r="C2064" s="176"/>
      <c r="D2064" s="176"/>
      <c r="E2064" s="176"/>
      <c r="F2064" s="176"/>
      <c r="G2064" s="176"/>
      <c r="H2064" s="176"/>
      <c r="I2064" s="176"/>
      <c r="J2064" s="176"/>
      <c r="K2064" s="176"/>
      <c r="L2064" s="176"/>
      <c r="M2064" s="176"/>
      <c r="N2064" s="176"/>
      <c r="O2064" s="176"/>
      <c r="P2064" s="176"/>
      <c r="Q2064" s="176"/>
      <c r="R2064" s="176"/>
      <c r="S2064" s="176"/>
      <c r="T2064" s="176"/>
      <c r="U2064" s="176"/>
      <c r="V2064" s="176"/>
      <c r="W2064" s="176"/>
      <c r="X2064" s="176"/>
      <c r="Y2064" s="176"/>
    </row>
    <row r="2065" spans="1:25">
      <c r="A2065" s="91"/>
      <c r="B2065" s="176"/>
      <c r="C2065" s="176"/>
      <c r="D2065" s="176"/>
      <c r="E2065" s="176"/>
      <c r="F2065" s="176"/>
      <c r="G2065" s="176"/>
      <c r="H2065" s="176"/>
      <c r="I2065" s="176"/>
      <c r="J2065" s="176"/>
      <c r="K2065" s="176"/>
      <c r="L2065" s="176"/>
      <c r="M2065" s="176"/>
      <c r="N2065" s="176"/>
      <c r="O2065" s="176"/>
      <c r="P2065" s="176"/>
      <c r="Q2065" s="176"/>
      <c r="R2065" s="176"/>
      <c r="S2065" s="176"/>
      <c r="T2065" s="176"/>
      <c r="U2065" s="176"/>
      <c r="V2065" s="176"/>
      <c r="W2065" s="176"/>
      <c r="X2065" s="176"/>
      <c r="Y2065" s="176"/>
    </row>
    <row r="2066" spans="1:25">
      <c r="A2066" s="91"/>
      <c r="B2066" s="176"/>
      <c r="C2066" s="176"/>
      <c r="D2066" s="176"/>
      <c r="E2066" s="176"/>
      <c r="F2066" s="176"/>
      <c r="G2066" s="176"/>
      <c r="H2066" s="176"/>
      <c r="I2066" s="176"/>
      <c r="J2066" s="176"/>
      <c r="K2066" s="176"/>
      <c r="L2066" s="176"/>
      <c r="M2066" s="176"/>
      <c r="N2066" s="176"/>
      <c r="O2066" s="176"/>
      <c r="P2066" s="176"/>
      <c r="Q2066" s="176"/>
      <c r="R2066" s="176"/>
      <c r="S2066" s="176"/>
      <c r="T2066" s="176"/>
      <c r="U2066" s="176"/>
      <c r="V2066" s="176"/>
      <c r="W2066" s="176"/>
      <c r="X2066" s="176"/>
      <c r="Y2066" s="176"/>
    </row>
    <row r="2067" spans="1:25">
      <c r="A2067" s="91"/>
      <c r="B2067" s="176"/>
      <c r="C2067" s="176"/>
      <c r="D2067" s="176"/>
      <c r="E2067" s="176"/>
      <c r="F2067" s="176"/>
      <c r="G2067" s="176"/>
      <c r="H2067" s="176"/>
      <c r="I2067" s="176"/>
      <c r="J2067" s="176"/>
      <c r="K2067" s="176"/>
      <c r="L2067" s="176"/>
      <c r="M2067" s="176"/>
      <c r="N2067" s="176"/>
      <c r="O2067" s="176"/>
      <c r="P2067" s="176"/>
      <c r="Q2067" s="176"/>
      <c r="R2067" s="176"/>
      <c r="S2067" s="176"/>
      <c r="T2067" s="176"/>
      <c r="U2067" s="176"/>
      <c r="V2067" s="176"/>
      <c r="W2067" s="176"/>
      <c r="X2067" s="176"/>
      <c r="Y2067" s="176"/>
    </row>
    <row r="2068" spans="1:25">
      <c r="A2068" s="91"/>
      <c r="B2068" s="176"/>
      <c r="C2068" s="176"/>
      <c r="D2068" s="176"/>
      <c r="E2068" s="176"/>
      <c r="F2068" s="176"/>
      <c r="G2068" s="176"/>
      <c r="H2068" s="176"/>
      <c r="I2068" s="176"/>
      <c r="J2068" s="176"/>
      <c r="K2068" s="176"/>
      <c r="L2068" s="176"/>
      <c r="M2068" s="176"/>
      <c r="N2068" s="176"/>
      <c r="O2068" s="176"/>
      <c r="P2068" s="176"/>
      <c r="Q2068" s="176"/>
      <c r="R2068" s="176"/>
      <c r="S2068" s="176"/>
      <c r="T2068" s="176"/>
      <c r="U2068" s="176"/>
      <c r="V2068" s="176"/>
      <c r="W2068" s="176"/>
      <c r="X2068" s="176"/>
      <c r="Y2068" s="176"/>
    </row>
    <row r="2069" spans="1:25">
      <c r="A2069" s="91"/>
      <c r="B2069" s="176"/>
      <c r="C2069" s="176"/>
      <c r="D2069" s="176"/>
      <c r="E2069" s="176"/>
      <c r="F2069" s="176"/>
      <c r="G2069" s="176"/>
      <c r="H2069" s="176"/>
      <c r="I2069" s="176"/>
      <c r="J2069" s="176"/>
      <c r="K2069" s="176"/>
      <c r="L2069" s="176"/>
      <c r="M2069" s="176"/>
      <c r="N2069" s="176"/>
      <c r="O2069" s="176"/>
      <c r="P2069" s="176"/>
      <c r="Q2069" s="176"/>
      <c r="R2069" s="176"/>
      <c r="S2069" s="176"/>
      <c r="T2069" s="176"/>
      <c r="U2069" s="176"/>
      <c r="V2069" s="176"/>
      <c r="W2069" s="176"/>
      <c r="X2069" s="176"/>
      <c r="Y2069" s="176"/>
    </row>
    <row r="2070" spans="1:25">
      <c r="A2070" s="91"/>
      <c r="B2070" s="176"/>
      <c r="C2070" s="176"/>
      <c r="D2070" s="176"/>
      <c r="E2070" s="176"/>
      <c r="F2070" s="176"/>
      <c r="G2070" s="176"/>
      <c r="H2070" s="176"/>
      <c r="I2070" s="176"/>
      <c r="J2070" s="176"/>
      <c r="K2070" s="176"/>
      <c r="L2070" s="176"/>
      <c r="M2070" s="176"/>
      <c r="N2070" s="176"/>
      <c r="O2070" s="176"/>
      <c r="P2070" s="176"/>
      <c r="Q2070" s="176"/>
      <c r="R2070" s="176"/>
      <c r="S2070" s="176"/>
      <c r="T2070" s="176"/>
      <c r="U2070" s="176"/>
      <c r="V2070" s="176"/>
      <c r="W2070" s="176"/>
      <c r="X2070" s="176"/>
      <c r="Y2070" s="176"/>
    </row>
    <row r="2071" spans="1:25">
      <c r="A2071" s="91"/>
      <c r="B2071" s="176"/>
      <c r="C2071" s="176"/>
      <c r="D2071" s="176"/>
      <c r="E2071" s="176"/>
      <c r="F2071" s="176"/>
      <c r="G2071" s="176"/>
      <c r="H2071" s="176"/>
      <c r="I2071" s="176"/>
      <c r="J2071" s="176"/>
      <c r="K2071" s="176"/>
      <c r="L2071" s="176"/>
      <c r="M2071" s="176"/>
      <c r="N2071" s="176"/>
      <c r="O2071" s="176"/>
      <c r="P2071" s="176"/>
      <c r="Q2071" s="176"/>
      <c r="R2071" s="176"/>
      <c r="S2071" s="176"/>
      <c r="T2071" s="176"/>
      <c r="U2071" s="176"/>
      <c r="V2071" s="176"/>
      <c r="W2071" s="176"/>
      <c r="X2071" s="176"/>
      <c r="Y2071" s="176"/>
    </row>
    <row r="2072" spans="1:25">
      <c r="A2072" s="91"/>
      <c r="B2072" s="176"/>
      <c r="C2072" s="176"/>
      <c r="D2072" s="176"/>
      <c r="E2072" s="176"/>
      <c r="F2072" s="176"/>
      <c r="G2072" s="176"/>
      <c r="H2072" s="176"/>
      <c r="I2072" s="176"/>
      <c r="J2072" s="176"/>
      <c r="K2072" s="176"/>
      <c r="L2072" s="176"/>
      <c r="M2072" s="176"/>
      <c r="N2072" s="176"/>
      <c r="O2072" s="176"/>
      <c r="P2072" s="176"/>
      <c r="Q2072" s="176"/>
      <c r="R2072" s="176"/>
      <c r="S2072" s="176"/>
      <c r="T2072" s="176"/>
      <c r="U2072" s="176"/>
      <c r="V2072" s="176"/>
      <c r="W2072" s="176"/>
      <c r="X2072" s="176"/>
      <c r="Y2072" s="176"/>
    </row>
    <row r="2073" spans="1:25">
      <c r="A2073" s="91"/>
      <c r="B2073" s="176"/>
      <c r="C2073" s="176"/>
      <c r="D2073" s="176"/>
      <c r="E2073" s="176"/>
      <c r="F2073" s="176"/>
      <c r="G2073" s="176"/>
      <c r="H2073" s="176"/>
      <c r="I2073" s="176"/>
      <c r="J2073" s="176"/>
      <c r="K2073" s="176"/>
      <c r="L2073" s="176"/>
      <c r="M2073" s="176"/>
      <c r="N2073" s="176"/>
      <c r="O2073" s="176"/>
      <c r="P2073" s="176"/>
      <c r="Q2073" s="176"/>
      <c r="R2073" s="176"/>
      <c r="S2073" s="176"/>
      <c r="T2073" s="176"/>
      <c r="U2073" s="176"/>
      <c r="V2073" s="176"/>
      <c r="W2073" s="176"/>
      <c r="X2073" s="176"/>
      <c r="Y2073" s="176"/>
    </row>
    <row r="2074" spans="1:25">
      <c r="A2074" s="91"/>
      <c r="B2074" s="176"/>
      <c r="C2074" s="176"/>
      <c r="D2074" s="176"/>
      <c r="E2074" s="176"/>
      <c r="F2074" s="176"/>
      <c r="G2074" s="176"/>
      <c r="H2074" s="176"/>
      <c r="I2074" s="176"/>
      <c r="J2074" s="176"/>
      <c r="K2074" s="176"/>
      <c r="L2074" s="176"/>
      <c r="M2074" s="176"/>
      <c r="N2074" s="176"/>
      <c r="O2074" s="176"/>
      <c r="P2074" s="176"/>
      <c r="Q2074" s="176"/>
      <c r="R2074" s="176"/>
      <c r="S2074" s="176"/>
      <c r="T2074" s="176"/>
      <c r="U2074" s="176"/>
      <c r="V2074" s="176"/>
      <c r="W2074" s="176"/>
      <c r="X2074" s="176"/>
      <c r="Y2074" s="176"/>
    </row>
    <row r="2075" spans="1:25">
      <c r="A2075" s="91"/>
      <c r="B2075" s="176"/>
      <c r="C2075" s="176"/>
      <c r="D2075" s="176"/>
      <c r="E2075" s="176"/>
      <c r="F2075" s="176"/>
      <c r="G2075" s="176"/>
      <c r="H2075" s="176"/>
      <c r="I2075" s="176"/>
      <c r="J2075" s="176"/>
      <c r="K2075" s="176"/>
      <c r="L2075" s="176"/>
      <c r="M2075" s="176"/>
      <c r="N2075" s="176"/>
      <c r="O2075" s="176"/>
      <c r="P2075" s="176"/>
      <c r="Q2075" s="176"/>
      <c r="R2075" s="176"/>
      <c r="S2075" s="176"/>
      <c r="T2075" s="176"/>
      <c r="U2075" s="176"/>
      <c r="V2075" s="176"/>
      <c r="W2075" s="176"/>
      <c r="X2075" s="176"/>
      <c r="Y2075" s="176"/>
    </row>
    <row r="2076" spans="1:25">
      <c r="A2076" s="91"/>
      <c r="B2076" s="176"/>
      <c r="C2076" s="176"/>
      <c r="D2076" s="176"/>
      <c r="E2076" s="176"/>
      <c r="F2076" s="176"/>
      <c r="G2076" s="176"/>
      <c r="H2076" s="176"/>
      <c r="I2076" s="176"/>
      <c r="J2076" s="176"/>
      <c r="K2076" s="176"/>
      <c r="L2076" s="176"/>
      <c r="M2076" s="176"/>
      <c r="N2076" s="176"/>
      <c r="O2076" s="176"/>
      <c r="P2076" s="176"/>
      <c r="Q2076" s="176"/>
      <c r="R2076" s="176"/>
      <c r="S2076" s="176"/>
      <c r="T2076" s="176"/>
      <c r="U2076" s="176"/>
      <c r="V2076" s="176"/>
      <c r="W2076" s="176"/>
      <c r="X2076" s="176"/>
      <c r="Y2076" s="176"/>
    </row>
    <row r="2077" spans="1:25">
      <c r="A2077" s="91"/>
      <c r="B2077" s="176"/>
      <c r="C2077" s="176"/>
      <c r="D2077" s="176"/>
      <c r="E2077" s="176"/>
      <c r="F2077" s="176"/>
      <c r="G2077" s="176"/>
      <c r="H2077" s="176"/>
      <c r="I2077" s="176"/>
      <c r="J2077" s="176"/>
      <c r="K2077" s="176"/>
      <c r="L2077" s="176"/>
      <c r="M2077" s="176"/>
      <c r="N2077" s="176"/>
      <c r="O2077" s="176"/>
      <c r="P2077" s="176"/>
      <c r="Q2077" s="176"/>
      <c r="R2077" s="176"/>
      <c r="S2077" s="176"/>
      <c r="T2077" s="176"/>
      <c r="U2077" s="176"/>
      <c r="V2077" s="176"/>
      <c r="W2077" s="176"/>
      <c r="X2077" s="176"/>
      <c r="Y2077" s="176"/>
    </row>
    <row r="2078" spans="1:25">
      <c r="A2078" s="91"/>
      <c r="B2078" s="176"/>
      <c r="C2078" s="176"/>
      <c r="D2078" s="176"/>
      <c r="E2078" s="176"/>
      <c r="F2078" s="176"/>
      <c r="G2078" s="176"/>
      <c r="H2078" s="176"/>
      <c r="I2078" s="176"/>
      <c r="J2078" s="176"/>
      <c r="K2078" s="176"/>
      <c r="L2078" s="176"/>
      <c r="M2078" s="176"/>
      <c r="N2078" s="176"/>
      <c r="O2078" s="176"/>
      <c r="P2078" s="176"/>
      <c r="Q2078" s="176"/>
      <c r="R2078" s="176"/>
      <c r="S2078" s="176"/>
      <c r="T2078" s="176"/>
      <c r="U2078" s="176"/>
      <c r="V2078" s="176"/>
      <c r="W2078" s="176"/>
      <c r="X2078" s="176"/>
      <c r="Y2078" s="176"/>
    </row>
    <row r="2079" spans="1:25">
      <c r="A2079" s="91"/>
      <c r="B2079" s="176"/>
      <c r="C2079" s="176"/>
      <c r="D2079" s="176"/>
      <c r="E2079" s="176"/>
      <c r="F2079" s="176"/>
      <c r="G2079" s="176"/>
      <c r="H2079" s="176"/>
      <c r="I2079" s="176"/>
      <c r="J2079" s="176"/>
      <c r="K2079" s="176"/>
      <c r="L2079" s="176"/>
      <c r="M2079" s="176"/>
      <c r="N2079" s="176"/>
      <c r="O2079" s="176"/>
      <c r="P2079" s="176"/>
      <c r="Q2079" s="176"/>
      <c r="R2079" s="176"/>
      <c r="S2079" s="176"/>
      <c r="T2079" s="176"/>
      <c r="U2079" s="176"/>
      <c r="V2079" s="176"/>
      <c r="W2079" s="176"/>
      <c r="X2079" s="176"/>
      <c r="Y2079" s="176"/>
    </row>
    <row r="2080" spans="1:25">
      <c r="A2080" s="91"/>
      <c r="B2080" s="176"/>
      <c r="C2080" s="176"/>
      <c r="D2080" s="176"/>
      <c r="E2080" s="176"/>
      <c r="F2080" s="176"/>
      <c r="G2080" s="176"/>
      <c r="H2080" s="176"/>
      <c r="I2080" s="176"/>
      <c r="J2080" s="176"/>
      <c r="K2080" s="176"/>
      <c r="L2080" s="176"/>
      <c r="M2080" s="176"/>
      <c r="N2080" s="176"/>
      <c r="O2080" s="176"/>
      <c r="P2080" s="176"/>
      <c r="Q2080" s="176"/>
      <c r="R2080" s="176"/>
      <c r="S2080" s="176"/>
      <c r="T2080" s="176"/>
      <c r="U2080" s="176"/>
      <c r="V2080" s="176"/>
      <c r="W2080" s="176"/>
      <c r="X2080" s="176"/>
      <c r="Y2080" s="176"/>
    </row>
    <row r="2081" spans="1:25">
      <c r="A2081" s="91"/>
      <c r="B2081" s="176"/>
      <c r="C2081" s="176"/>
      <c r="D2081" s="176"/>
      <c r="E2081" s="176"/>
      <c r="F2081" s="176"/>
      <c r="G2081" s="176"/>
      <c r="H2081" s="176"/>
      <c r="I2081" s="176"/>
      <c r="J2081" s="176"/>
      <c r="K2081" s="176"/>
      <c r="L2081" s="176"/>
      <c r="M2081" s="176"/>
      <c r="N2081" s="176"/>
      <c r="O2081" s="176"/>
      <c r="P2081" s="176"/>
      <c r="Q2081" s="176"/>
      <c r="R2081" s="176"/>
      <c r="S2081" s="176"/>
      <c r="T2081" s="176"/>
      <c r="U2081" s="176"/>
      <c r="V2081" s="176"/>
      <c r="W2081" s="176"/>
      <c r="X2081" s="176"/>
      <c r="Y2081" s="176"/>
    </row>
    <row r="2082" spans="1:25">
      <c r="A2082" s="91"/>
      <c r="B2082" s="176"/>
      <c r="C2082" s="176"/>
      <c r="D2082" s="176"/>
      <c r="E2082" s="176"/>
      <c r="F2082" s="176"/>
      <c r="G2082" s="176"/>
      <c r="H2082" s="176"/>
      <c r="I2082" s="176"/>
      <c r="J2082" s="176"/>
      <c r="K2082" s="176"/>
      <c r="L2082" s="176"/>
      <c r="M2082" s="176"/>
      <c r="N2082" s="176"/>
      <c r="O2082" s="176"/>
      <c r="P2082" s="176"/>
      <c r="Q2082" s="176"/>
      <c r="R2082" s="176"/>
      <c r="S2082" s="176"/>
      <c r="T2082" s="176"/>
      <c r="U2082" s="176"/>
      <c r="V2082" s="176"/>
      <c r="W2082" s="176"/>
      <c r="X2082" s="176"/>
      <c r="Y2082" s="176"/>
    </row>
    <row r="2083" spans="1:25">
      <c r="A2083" s="91"/>
      <c r="B2083" s="176"/>
      <c r="C2083" s="176"/>
      <c r="D2083" s="176"/>
      <c r="E2083" s="176"/>
      <c r="F2083" s="176"/>
      <c r="G2083" s="176"/>
      <c r="H2083" s="176"/>
      <c r="I2083" s="176"/>
      <c r="J2083" s="176"/>
      <c r="K2083" s="176"/>
      <c r="L2083" s="176"/>
      <c r="M2083" s="176"/>
      <c r="N2083" s="176"/>
      <c r="O2083" s="176"/>
      <c r="P2083" s="176"/>
      <c r="Q2083" s="176"/>
      <c r="R2083" s="176"/>
      <c r="S2083" s="176"/>
      <c r="T2083" s="176"/>
      <c r="U2083" s="176"/>
      <c r="V2083" s="176"/>
      <c r="W2083" s="176"/>
      <c r="X2083" s="176"/>
      <c r="Y2083" s="176"/>
    </row>
    <row r="2084" spans="1:25">
      <c r="A2084" s="91"/>
      <c r="B2084" s="176"/>
      <c r="C2084" s="176"/>
      <c r="D2084" s="176"/>
      <c r="E2084" s="176"/>
      <c r="F2084" s="176"/>
      <c r="G2084" s="176"/>
      <c r="H2084" s="176"/>
      <c r="I2084" s="176"/>
      <c r="J2084" s="176"/>
      <c r="K2084" s="176"/>
      <c r="L2084" s="176"/>
      <c r="M2084" s="176"/>
      <c r="N2084" s="176"/>
      <c r="O2084" s="176"/>
      <c r="P2084" s="176"/>
      <c r="Q2084" s="176"/>
      <c r="R2084" s="176"/>
      <c r="S2084" s="176"/>
      <c r="T2084" s="176"/>
      <c r="U2084" s="176"/>
      <c r="V2084" s="176"/>
      <c r="W2084" s="176"/>
      <c r="X2084" s="176"/>
      <c r="Y2084" s="176"/>
    </row>
    <row r="2085" spans="1:25">
      <c r="A2085" s="91"/>
      <c r="B2085" s="176"/>
      <c r="C2085" s="176"/>
      <c r="D2085" s="176"/>
      <c r="E2085" s="176"/>
      <c r="F2085" s="176"/>
      <c r="G2085" s="176"/>
      <c r="H2085" s="176"/>
      <c r="I2085" s="176"/>
      <c r="J2085" s="176"/>
      <c r="K2085" s="176"/>
      <c r="L2085" s="176"/>
      <c r="M2085" s="176"/>
      <c r="N2085" s="176"/>
      <c r="O2085" s="176"/>
      <c r="P2085" s="176"/>
      <c r="Q2085" s="176"/>
      <c r="R2085" s="176"/>
      <c r="S2085" s="176"/>
      <c r="T2085" s="176"/>
      <c r="U2085" s="176"/>
      <c r="V2085" s="176"/>
      <c r="W2085" s="176"/>
      <c r="X2085" s="176"/>
      <c r="Y2085" s="176"/>
    </row>
    <row r="2086" spans="1:25">
      <c r="A2086" s="91"/>
      <c r="B2086" s="176"/>
      <c r="C2086" s="176"/>
      <c r="D2086" s="176"/>
      <c r="E2086" s="176"/>
      <c r="F2086" s="176"/>
      <c r="G2086" s="176"/>
      <c r="H2086" s="176"/>
      <c r="I2086" s="176"/>
      <c r="J2086" s="176"/>
      <c r="K2086" s="176"/>
      <c r="L2086" s="176"/>
      <c r="M2086" s="176"/>
      <c r="N2086" s="176"/>
      <c r="O2086" s="176"/>
      <c r="P2086" s="176"/>
      <c r="Q2086" s="176"/>
      <c r="R2086" s="176"/>
      <c r="S2086" s="176"/>
      <c r="T2086" s="176"/>
      <c r="U2086" s="176"/>
      <c r="V2086" s="176"/>
      <c r="W2086" s="176"/>
      <c r="X2086" s="176"/>
      <c r="Y2086" s="176"/>
    </row>
    <row r="2087" spans="1:25">
      <c r="A2087" s="91"/>
      <c r="B2087" s="176"/>
      <c r="C2087" s="176"/>
      <c r="D2087" s="176"/>
      <c r="E2087" s="176"/>
      <c r="F2087" s="176"/>
      <c r="G2087" s="176"/>
      <c r="H2087" s="176"/>
      <c r="I2087" s="176"/>
      <c r="J2087" s="176"/>
      <c r="K2087" s="176"/>
      <c r="L2087" s="176"/>
      <c r="M2087" s="176"/>
      <c r="N2087" s="176"/>
      <c r="O2087" s="176"/>
      <c r="P2087" s="176"/>
      <c r="Q2087" s="176"/>
      <c r="R2087" s="176"/>
      <c r="S2087" s="176"/>
      <c r="T2087" s="176"/>
      <c r="U2087" s="176"/>
      <c r="V2087" s="176"/>
      <c r="W2087" s="176"/>
      <c r="X2087" s="176"/>
      <c r="Y2087" s="176"/>
    </row>
    <row r="2088" spans="1:25">
      <c r="A2088" s="91"/>
      <c r="B2088" s="176"/>
      <c r="C2088" s="176"/>
      <c r="D2088" s="176"/>
      <c r="E2088" s="176"/>
      <c r="F2088" s="176"/>
      <c r="G2088" s="176"/>
      <c r="H2088" s="176"/>
      <c r="I2088" s="176"/>
      <c r="J2088" s="176"/>
      <c r="K2088" s="176"/>
      <c r="L2088" s="176"/>
      <c r="M2088" s="176"/>
      <c r="N2088" s="176"/>
      <c r="O2088" s="176"/>
      <c r="P2088" s="176"/>
      <c r="Q2088" s="176"/>
      <c r="R2088" s="176"/>
      <c r="S2088" s="176"/>
      <c r="T2088" s="176"/>
      <c r="U2088" s="176"/>
      <c r="V2088" s="176"/>
      <c r="W2088" s="176"/>
      <c r="X2088" s="176"/>
      <c r="Y2088" s="176"/>
    </row>
    <row r="2089" spans="1:25">
      <c r="A2089" s="91"/>
      <c r="B2089" s="176"/>
      <c r="C2089" s="176"/>
      <c r="D2089" s="176"/>
      <c r="E2089" s="176"/>
      <c r="F2089" s="176"/>
      <c r="G2089" s="176"/>
      <c r="H2089" s="176"/>
      <c r="I2089" s="176"/>
      <c r="J2089" s="176"/>
      <c r="K2089" s="176"/>
      <c r="L2089" s="176"/>
      <c r="M2089" s="176"/>
      <c r="N2089" s="176"/>
      <c r="O2089" s="176"/>
      <c r="P2089" s="176"/>
      <c r="Q2089" s="176"/>
      <c r="R2089" s="176"/>
      <c r="S2089" s="176"/>
      <c r="T2089" s="176"/>
      <c r="U2089" s="176"/>
      <c r="V2089" s="176"/>
      <c r="W2089" s="176"/>
      <c r="X2089" s="176"/>
      <c r="Y2089" s="176"/>
    </row>
    <row r="2090" spans="1:25">
      <c r="A2090" s="91"/>
      <c r="B2090" s="176"/>
      <c r="C2090" s="176"/>
      <c r="D2090" s="176"/>
      <c r="E2090" s="176"/>
      <c r="F2090" s="176"/>
      <c r="G2090" s="176"/>
      <c r="H2090" s="176"/>
      <c r="I2090" s="176"/>
      <c r="J2090" s="176"/>
      <c r="K2090" s="176"/>
      <c r="L2090" s="176"/>
      <c r="M2090" s="176"/>
      <c r="N2090" s="176"/>
      <c r="O2090" s="176"/>
      <c r="P2090" s="176"/>
      <c r="Q2090" s="176"/>
      <c r="R2090" s="176"/>
      <c r="S2090" s="176"/>
      <c r="T2090" s="176"/>
      <c r="U2090" s="176"/>
      <c r="V2090" s="176"/>
      <c r="W2090" s="176"/>
      <c r="X2090" s="176"/>
      <c r="Y2090" s="176"/>
    </row>
    <row r="2091" spans="1:25">
      <c r="A2091" s="91"/>
      <c r="B2091" s="176"/>
      <c r="C2091" s="176"/>
      <c r="D2091" s="176"/>
      <c r="E2091" s="176"/>
      <c r="F2091" s="176"/>
      <c r="G2091" s="176"/>
      <c r="H2091" s="176"/>
      <c r="I2091" s="176"/>
      <c r="J2091" s="176"/>
      <c r="K2091" s="176"/>
      <c r="L2091" s="176"/>
      <c r="M2091" s="176"/>
      <c r="N2091" s="176"/>
      <c r="O2091" s="176"/>
      <c r="P2091" s="176"/>
      <c r="Q2091" s="176"/>
      <c r="R2091" s="176"/>
      <c r="S2091" s="176"/>
      <c r="T2091" s="176"/>
      <c r="U2091" s="176"/>
      <c r="V2091" s="176"/>
      <c r="W2091" s="176"/>
      <c r="X2091" s="176"/>
      <c r="Y2091" s="176"/>
    </row>
    <row r="2092" spans="1:25">
      <c r="A2092" s="91"/>
      <c r="B2092" s="176"/>
      <c r="C2092" s="176"/>
      <c r="D2092" s="176"/>
      <c r="E2092" s="176"/>
      <c r="F2092" s="176"/>
      <c r="G2092" s="176"/>
      <c r="H2092" s="176"/>
      <c r="I2092" s="176"/>
      <c r="J2092" s="176"/>
      <c r="K2092" s="176"/>
      <c r="L2092" s="176"/>
      <c r="M2092" s="176"/>
      <c r="N2092" s="176"/>
      <c r="O2092" s="176"/>
      <c r="P2092" s="176"/>
      <c r="Q2092" s="176"/>
      <c r="R2092" s="176"/>
      <c r="S2092" s="176"/>
      <c r="T2092" s="176"/>
      <c r="U2092" s="176"/>
      <c r="V2092" s="176"/>
      <c r="W2092" s="176"/>
      <c r="X2092" s="176"/>
      <c r="Y2092" s="176"/>
    </row>
    <row r="2093" spans="1:25">
      <c r="A2093" s="91"/>
      <c r="B2093" s="176"/>
      <c r="C2093" s="176"/>
      <c r="D2093" s="176"/>
      <c r="E2093" s="176"/>
      <c r="F2093" s="176"/>
      <c r="G2093" s="176"/>
      <c r="H2093" s="176"/>
      <c r="I2093" s="176"/>
      <c r="J2093" s="176"/>
      <c r="K2093" s="176"/>
      <c r="L2093" s="176"/>
      <c r="M2093" s="176"/>
      <c r="N2093" s="176"/>
      <c r="O2093" s="176"/>
      <c r="P2093" s="176"/>
      <c r="Q2093" s="176"/>
      <c r="R2093" s="176"/>
      <c r="S2093" s="176"/>
      <c r="T2093" s="176"/>
      <c r="U2093" s="176"/>
      <c r="V2093" s="176"/>
      <c r="W2093" s="176"/>
      <c r="X2093" s="176"/>
      <c r="Y2093" s="176"/>
    </row>
    <row r="2094" spans="1:25">
      <c r="A2094" s="91"/>
      <c r="B2094" s="176"/>
      <c r="C2094" s="176"/>
      <c r="D2094" s="176"/>
      <c r="E2094" s="176"/>
      <c r="F2094" s="176"/>
      <c r="G2094" s="176"/>
      <c r="H2094" s="176"/>
      <c r="I2094" s="176"/>
      <c r="J2094" s="176"/>
      <c r="K2094" s="176"/>
      <c r="L2094" s="176"/>
      <c r="M2094" s="176"/>
      <c r="N2094" s="176"/>
      <c r="O2094" s="176"/>
      <c r="P2094" s="176"/>
      <c r="Q2094" s="176"/>
      <c r="R2094" s="176"/>
      <c r="S2094" s="176"/>
      <c r="T2094" s="176"/>
      <c r="U2094" s="176"/>
      <c r="V2094" s="176"/>
      <c r="W2094" s="176"/>
      <c r="X2094" s="176"/>
      <c r="Y2094" s="176"/>
    </row>
    <row r="2095" spans="1:25">
      <c r="A2095" s="91"/>
      <c r="B2095" s="176"/>
      <c r="C2095" s="176"/>
      <c r="D2095" s="176"/>
      <c r="E2095" s="176"/>
      <c r="F2095" s="176"/>
      <c r="G2095" s="176"/>
      <c r="H2095" s="176"/>
      <c r="I2095" s="176"/>
      <c r="J2095" s="176"/>
      <c r="K2095" s="176"/>
      <c r="L2095" s="176"/>
      <c r="M2095" s="176"/>
      <c r="N2095" s="176"/>
      <c r="O2095" s="176"/>
      <c r="P2095" s="176"/>
      <c r="Q2095" s="176"/>
      <c r="R2095" s="176"/>
      <c r="S2095" s="176"/>
      <c r="T2095" s="176"/>
      <c r="U2095" s="176"/>
      <c r="V2095" s="176"/>
      <c r="W2095" s="176"/>
      <c r="X2095" s="176"/>
      <c r="Y2095" s="176"/>
    </row>
    <row r="2096" spans="1:25">
      <c r="A2096" s="91"/>
      <c r="B2096" s="176"/>
      <c r="C2096" s="176"/>
      <c r="D2096" s="176"/>
      <c r="E2096" s="176"/>
      <c r="F2096" s="176"/>
      <c r="G2096" s="176"/>
      <c r="H2096" s="176"/>
      <c r="I2096" s="176"/>
      <c r="J2096" s="176"/>
      <c r="K2096" s="176"/>
      <c r="L2096" s="176"/>
      <c r="M2096" s="176"/>
      <c r="N2096" s="176"/>
      <c r="O2096" s="176"/>
      <c r="P2096" s="176"/>
      <c r="Q2096" s="176"/>
      <c r="R2096" s="176"/>
      <c r="S2096" s="176"/>
      <c r="T2096" s="176"/>
      <c r="U2096" s="176"/>
      <c r="V2096" s="176"/>
      <c r="W2096" s="176"/>
      <c r="X2096" s="176"/>
      <c r="Y2096" s="176"/>
    </row>
    <row r="2097" spans="1:25">
      <c r="A2097" s="91"/>
      <c r="B2097" s="176"/>
      <c r="C2097" s="176"/>
      <c r="D2097" s="176"/>
      <c r="E2097" s="176"/>
      <c r="F2097" s="176"/>
      <c r="G2097" s="176"/>
      <c r="H2097" s="176"/>
      <c r="I2097" s="176"/>
      <c r="J2097" s="176"/>
      <c r="K2097" s="176"/>
      <c r="L2097" s="176"/>
      <c r="M2097" s="176"/>
      <c r="N2097" s="176"/>
      <c r="O2097" s="176"/>
      <c r="P2097" s="176"/>
      <c r="Q2097" s="176"/>
      <c r="R2097" s="176"/>
      <c r="S2097" s="176"/>
      <c r="T2097" s="176"/>
      <c r="U2097" s="176"/>
      <c r="V2097" s="176"/>
      <c r="W2097" s="176"/>
      <c r="X2097" s="176"/>
      <c r="Y2097" s="176"/>
    </row>
    <row r="2098" spans="1:25">
      <c r="A2098" s="91"/>
      <c r="B2098" s="176"/>
      <c r="C2098" s="176"/>
      <c r="D2098" s="176"/>
      <c r="E2098" s="176"/>
      <c r="F2098" s="176"/>
      <c r="G2098" s="176"/>
      <c r="H2098" s="176"/>
      <c r="I2098" s="176"/>
      <c r="J2098" s="176"/>
      <c r="K2098" s="176"/>
      <c r="L2098" s="176"/>
      <c r="M2098" s="176"/>
      <c r="N2098" s="176"/>
      <c r="O2098" s="176"/>
      <c r="P2098" s="176"/>
      <c r="Q2098" s="176"/>
      <c r="R2098" s="176"/>
      <c r="S2098" s="176"/>
      <c r="T2098" s="176"/>
      <c r="U2098" s="176"/>
      <c r="V2098" s="176"/>
      <c r="W2098" s="176"/>
      <c r="X2098" s="176"/>
      <c r="Y2098" s="176"/>
    </row>
    <row r="2099" spans="1:25">
      <c r="A2099" s="91"/>
      <c r="B2099" s="176"/>
      <c r="C2099" s="176"/>
      <c r="D2099" s="176"/>
      <c r="E2099" s="176"/>
      <c r="F2099" s="176"/>
      <c r="G2099" s="176"/>
      <c r="H2099" s="176"/>
      <c r="I2099" s="176"/>
      <c r="J2099" s="176"/>
      <c r="K2099" s="176"/>
      <c r="L2099" s="176"/>
      <c r="M2099" s="176"/>
      <c r="N2099" s="176"/>
      <c r="O2099" s="176"/>
      <c r="P2099" s="176"/>
      <c r="Q2099" s="176"/>
      <c r="R2099" s="176"/>
      <c r="S2099" s="176"/>
      <c r="T2099" s="176"/>
      <c r="U2099" s="176"/>
      <c r="V2099" s="176"/>
      <c r="W2099" s="176"/>
      <c r="X2099" s="176"/>
      <c r="Y2099" s="176"/>
    </row>
    <row r="2100" spans="1:25">
      <c r="A2100" s="91"/>
      <c r="B2100" s="176"/>
      <c r="C2100" s="176"/>
      <c r="D2100" s="176"/>
      <c r="E2100" s="176"/>
      <c r="F2100" s="176"/>
      <c r="G2100" s="176"/>
      <c r="H2100" s="176"/>
      <c r="I2100" s="176"/>
      <c r="J2100" s="176"/>
      <c r="K2100" s="176"/>
      <c r="L2100" s="176"/>
      <c r="M2100" s="176"/>
      <c r="N2100" s="176"/>
      <c r="O2100" s="176"/>
      <c r="P2100" s="176"/>
      <c r="Q2100" s="176"/>
      <c r="R2100" s="176"/>
      <c r="S2100" s="176"/>
      <c r="T2100" s="176"/>
      <c r="U2100" s="176"/>
      <c r="V2100" s="176"/>
      <c r="W2100" s="176"/>
      <c r="X2100" s="176"/>
      <c r="Y2100" s="176"/>
    </row>
    <row r="2101" spans="1:25">
      <c r="A2101" s="91"/>
      <c r="B2101" s="176"/>
      <c r="C2101" s="176"/>
      <c r="D2101" s="176"/>
      <c r="E2101" s="176"/>
      <c r="F2101" s="176"/>
      <c r="G2101" s="176"/>
      <c r="H2101" s="176"/>
      <c r="I2101" s="176"/>
      <c r="J2101" s="176"/>
      <c r="K2101" s="176"/>
      <c r="L2101" s="176"/>
      <c r="M2101" s="176"/>
      <c r="N2101" s="176"/>
      <c r="O2101" s="176"/>
      <c r="P2101" s="176"/>
      <c r="Q2101" s="176"/>
      <c r="R2101" s="176"/>
      <c r="S2101" s="176"/>
      <c r="T2101" s="176"/>
      <c r="U2101" s="176"/>
      <c r="V2101" s="176"/>
      <c r="W2101" s="176"/>
      <c r="X2101" s="176"/>
      <c r="Y2101" s="176"/>
    </row>
    <row r="2102" spans="1:25">
      <c r="A2102" s="91"/>
      <c r="B2102" s="176"/>
      <c r="C2102" s="176"/>
      <c r="D2102" s="176"/>
      <c r="E2102" s="176"/>
      <c r="F2102" s="176"/>
      <c r="G2102" s="176"/>
      <c r="H2102" s="176"/>
      <c r="I2102" s="176"/>
      <c r="J2102" s="176"/>
      <c r="K2102" s="176"/>
      <c r="L2102" s="176"/>
      <c r="M2102" s="176"/>
      <c r="N2102" s="176"/>
      <c r="O2102" s="176"/>
      <c r="P2102" s="176"/>
      <c r="Q2102" s="176"/>
      <c r="R2102" s="176"/>
      <c r="S2102" s="176"/>
      <c r="T2102" s="176"/>
      <c r="U2102" s="176"/>
      <c r="V2102" s="176"/>
      <c r="W2102" s="176"/>
      <c r="X2102" s="176"/>
      <c r="Y2102" s="176"/>
    </row>
    <row r="2103" spans="1:25">
      <c r="A2103" s="91"/>
      <c r="B2103" s="176"/>
      <c r="C2103" s="176"/>
      <c r="D2103" s="176"/>
      <c r="E2103" s="176"/>
      <c r="F2103" s="176"/>
      <c r="G2103" s="176"/>
      <c r="H2103" s="176"/>
      <c r="I2103" s="176"/>
      <c r="J2103" s="176"/>
      <c r="K2103" s="176"/>
      <c r="L2103" s="176"/>
      <c r="M2103" s="176"/>
      <c r="N2103" s="176"/>
      <c r="O2103" s="176"/>
      <c r="P2103" s="176"/>
      <c r="Q2103" s="176"/>
      <c r="R2103" s="176"/>
      <c r="S2103" s="176"/>
      <c r="T2103" s="176"/>
      <c r="U2103" s="176"/>
      <c r="V2103" s="176"/>
      <c r="W2103" s="176"/>
      <c r="X2103" s="176"/>
      <c r="Y2103" s="176"/>
    </row>
    <row r="2104" spans="1:25">
      <c r="A2104" s="91"/>
      <c r="B2104" s="176"/>
      <c r="C2104" s="176"/>
      <c r="D2104" s="176"/>
      <c r="E2104" s="176"/>
      <c r="F2104" s="176"/>
      <c r="G2104" s="176"/>
      <c r="H2104" s="176"/>
      <c r="I2104" s="176"/>
      <c r="J2104" s="176"/>
      <c r="K2104" s="176"/>
      <c r="L2104" s="176"/>
      <c r="M2104" s="176"/>
      <c r="N2104" s="176"/>
      <c r="O2104" s="176"/>
      <c r="P2104" s="176"/>
      <c r="Q2104" s="176"/>
      <c r="R2104" s="176"/>
      <c r="S2104" s="176"/>
      <c r="T2104" s="176"/>
      <c r="U2104" s="176"/>
      <c r="V2104" s="176"/>
      <c r="W2104" s="176"/>
      <c r="X2104" s="176"/>
      <c r="Y2104" s="176"/>
    </row>
    <row r="2105" spans="1:25">
      <c r="A2105" s="91"/>
      <c r="B2105" s="176"/>
      <c r="C2105" s="176"/>
      <c r="D2105" s="176"/>
      <c r="E2105" s="176"/>
      <c r="F2105" s="176"/>
      <c r="G2105" s="176"/>
      <c r="H2105" s="176"/>
      <c r="I2105" s="176"/>
      <c r="J2105" s="176"/>
      <c r="K2105" s="176"/>
      <c r="L2105" s="176"/>
      <c r="M2105" s="176"/>
      <c r="N2105" s="176"/>
      <c r="O2105" s="176"/>
      <c r="P2105" s="176"/>
      <c r="Q2105" s="176"/>
      <c r="R2105" s="176"/>
      <c r="S2105" s="176"/>
      <c r="T2105" s="176"/>
      <c r="U2105" s="176"/>
      <c r="V2105" s="176"/>
      <c r="W2105" s="176"/>
      <c r="X2105" s="176"/>
      <c r="Y2105" s="176"/>
    </row>
    <row r="2106" spans="1:25">
      <c r="A2106" s="91"/>
      <c r="B2106" s="176"/>
      <c r="C2106" s="176"/>
      <c r="D2106" s="176"/>
      <c r="E2106" s="176"/>
      <c r="F2106" s="176"/>
      <c r="G2106" s="176"/>
      <c r="H2106" s="176"/>
      <c r="I2106" s="176"/>
      <c r="J2106" s="176"/>
      <c r="K2106" s="176"/>
      <c r="L2106" s="176"/>
      <c r="M2106" s="176"/>
      <c r="N2106" s="176"/>
      <c r="O2106" s="176"/>
      <c r="P2106" s="176"/>
      <c r="Q2106" s="176"/>
      <c r="R2106" s="176"/>
      <c r="S2106" s="176"/>
      <c r="T2106" s="176"/>
      <c r="U2106" s="176"/>
      <c r="V2106" s="176"/>
      <c r="W2106" s="176"/>
      <c r="X2106" s="176"/>
      <c r="Y2106" s="176"/>
    </row>
    <row r="2107" spans="1:25">
      <c r="A2107" s="91"/>
      <c r="B2107" s="176"/>
      <c r="C2107" s="176"/>
      <c r="D2107" s="176"/>
      <c r="E2107" s="176"/>
      <c r="F2107" s="176"/>
      <c r="G2107" s="176"/>
      <c r="H2107" s="176"/>
      <c r="I2107" s="176"/>
      <c r="J2107" s="176"/>
      <c r="K2107" s="176"/>
      <c r="L2107" s="176"/>
      <c r="M2107" s="176"/>
      <c r="N2107" s="176"/>
      <c r="O2107" s="176"/>
      <c r="P2107" s="176"/>
      <c r="Q2107" s="176"/>
      <c r="R2107" s="176"/>
      <c r="S2107" s="176"/>
      <c r="T2107" s="176"/>
      <c r="U2107" s="176"/>
      <c r="V2107" s="176"/>
      <c r="W2107" s="176"/>
      <c r="X2107" s="176"/>
      <c r="Y2107" s="176"/>
    </row>
    <row r="2108" spans="1:25">
      <c r="A2108" s="91"/>
      <c r="B2108" s="176"/>
      <c r="C2108" s="176"/>
      <c r="D2108" s="176"/>
      <c r="E2108" s="176"/>
      <c r="F2108" s="176"/>
      <c r="G2108" s="176"/>
      <c r="H2108" s="176"/>
      <c r="I2108" s="176"/>
      <c r="J2108" s="176"/>
      <c r="K2108" s="176"/>
      <c r="L2108" s="176"/>
      <c r="M2108" s="176"/>
      <c r="N2108" s="176"/>
      <c r="O2108" s="176"/>
      <c r="P2108" s="176"/>
      <c r="Q2108" s="176"/>
      <c r="R2108" s="176"/>
      <c r="S2108" s="176"/>
      <c r="T2108" s="176"/>
      <c r="U2108" s="176"/>
      <c r="V2108" s="176"/>
      <c r="W2108" s="176"/>
      <c r="X2108" s="176"/>
      <c r="Y2108" s="176"/>
    </row>
    <row r="2109" spans="1:25">
      <c r="A2109" s="91"/>
      <c r="B2109" s="176"/>
      <c r="C2109" s="176"/>
      <c r="D2109" s="176"/>
      <c r="E2109" s="176"/>
      <c r="F2109" s="176"/>
      <c r="G2109" s="176"/>
      <c r="H2109" s="176"/>
      <c r="I2109" s="176"/>
      <c r="J2109" s="176"/>
      <c r="K2109" s="176"/>
      <c r="L2109" s="176"/>
      <c r="M2109" s="176"/>
      <c r="N2109" s="176"/>
      <c r="O2109" s="176"/>
      <c r="P2109" s="176"/>
      <c r="Q2109" s="176"/>
      <c r="R2109" s="176"/>
      <c r="S2109" s="176"/>
      <c r="T2109" s="176"/>
      <c r="U2109" s="176"/>
      <c r="V2109" s="176"/>
      <c r="W2109" s="176"/>
      <c r="X2109" s="176"/>
      <c r="Y2109" s="176"/>
    </row>
    <row r="2110" spans="1:25">
      <c r="A2110" s="91"/>
      <c r="B2110" s="176"/>
      <c r="C2110" s="176"/>
      <c r="D2110" s="176"/>
      <c r="E2110" s="176"/>
      <c r="F2110" s="176"/>
      <c r="G2110" s="176"/>
      <c r="H2110" s="176"/>
      <c r="I2110" s="176"/>
      <c r="J2110" s="176"/>
      <c r="K2110" s="176"/>
      <c r="L2110" s="176"/>
      <c r="M2110" s="176"/>
      <c r="N2110" s="176"/>
      <c r="O2110" s="176"/>
      <c r="P2110" s="176"/>
      <c r="Q2110" s="176"/>
      <c r="R2110" s="176"/>
      <c r="S2110" s="176"/>
      <c r="T2110" s="176"/>
      <c r="U2110" s="176"/>
      <c r="V2110" s="176"/>
      <c r="W2110" s="176"/>
      <c r="X2110" s="176"/>
      <c r="Y2110" s="176"/>
    </row>
    <row r="2111" spans="1:25">
      <c r="A2111" s="91"/>
      <c r="B2111" s="176"/>
      <c r="C2111" s="176"/>
      <c r="D2111" s="176"/>
      <c r="E2111" s="176"/>
      <c r="F2111" s="176"/>
      <c r="G2111" s="176"/>
      <c r="H2111" s="176"/>
      <c r="I2111" s="176"/>
      <c r="J2111" s="176"/>
      <c r="K2111" s="176"/>
      <c r="L2111" s="176"/>
      <c r="M2111" s="176"/>
      <c r="N2111" s="176"/>
      <c r="O2111" s="176"/>
      <c r="P2111" s="176"/>
      <c r="Q2111" s="176"/>
      <c r="R2111" s="176"/>
      <c r="S2111" s="176"/>
      <c r="T2111" s="176"/>
      <c r="U2111" s="176"/>
      <c r="V2111" s="176"/>
      <c r="W2111" s="176"/>
      <c r="X2111" s="176"/>
      <c r="Y2111" s="176"/>
    </row>
    <row r="2112" spans="1:25">
      <c r="A2112" s="91"/>
      <c r="B2112" s="176"/>
      <c r="C2112" s="176"/>
      <c r="D2112" s="176"/>
      <c r="E2112" s="176"/>
      <c r="F2112" s="176"/>
      <c r="G2112" s="176"/>
      <c r="H2112" s="176"/>
      <c r="I2112" s="176"/>
      <c r="J2112" s="176"/>
      <c r="K2112" s="176"/>
      <c r="L2112" s="176"/>
      <c r="M2112" s="176"/>
      <c r="N2112" s="176"/>
      <c r="O2112" s="176"/>
      <c r="P2112" s="176"/>
      <c r="Q2112" s="176"/>
      <c r="R2112" s="176"/>
      <c r="S2112" s="176"/>
      <c r="T2112" s="176"/>
      <c r="U2112" s="176"/>
      <c r="V2112" s="176"/>
      <c r="W2112" s="176"/>
      <c r="X2112" s="176"/>
      <c r="Y2112" s="176"/>
    </row>
    <row r="2113" spans="1:25">
      <c r="A2113" s="91"/>
      <c r="B2113" s="176"/>
      <c r="C2113" s="176"/>
      <c r="D2113" s="176"/>
      <c r="E2113" s="176"/>
      <c r="F2113" s="176"/>
      <c r="G2113" s="176"/>
      <c r="H2113" s="176"/>
      <c r="I2113" s="176"/>
      <c r="J2113" s="176"/>
      <c r="K2113" s="176"/>
      <c r="L2113" s="176"/>
      <c r="M2113" s="176"/>
      <c r="N2113" s="176"/>
      <c r="O2113" s="176"/>
      <c r="P2113" s="176"/>
      <c r="Q2113" s="176"/>
      <c r="R2113" s="176"/>
      <c r="S2113" s="176"/>
      <c r="T2113" s="176"/>
      <c r="U2113" s="176"/>
      <c r="V2113" s="176"/>
      <c r="W2113" s="176"/>
      <c r="X2113" s="176"/>
      <c r="Y2113" s="176"/>
    </row>
    <row r="2114" spans="1:25">
      <c r="A2114" s="91"/>
      <c r="B2114" s="176"/>
      <c r="C2114" s="176"/>
      <c r="D2114" s="176"/>
      <c r="E2114" s="176"/>
      <c r="F2114" s="176"/>
      <c r="G2114" s="176"/>
      <c r="H2114" s="176"/>
      <c r="I2114" s="176"/>
      <c r="J2114" s="176"/>
      <c r="K2114" s="176"/>
      <c r="L2114" s="176"/>
      <c r="M2114" s="176"/>
      <c r="N2114" s="176"/>
      <c r="O2114" s="176"/>
      <c r="P2114" s="176"/>
      <c r="Q2114" s="176"/>
      <c r="R2114" s="176"/>
      <c r="S2114" s="176"/>
      <c r="T2114" s="176"/>
      <c r="U2114" s="176"/>
      <c r="V2114" s="176"/>
      <c r="W2114" s="176"/>
      <c r="X2114" s="176"/>
      <c r="Y2114" s="176"/>
    </row>
    <row r="2115" spans="1:25">
      <c r="A2115" s="91"/>
      <c r="B2115" s="176"/>
      <c r="C2115" s="176"/>
      <c r="D2115" s="176"/>
      <c r="E2115" s="176"/>
      <c r="F2115" s="176"/>
      <c r="G2115" s="176"/>
      <c r="H2115" s="176"/>
      <c r="I2115" s="176"/>
      <c r="J2115" s="176"/>
      <c r="K2115" s="176"/>
      <c r="L2115" s="176"/>
      <c r="M2115" s="176"/>
      <c r="N2115" s="176"/>
      <c r="O2115" s="176"/>
      <c r="P2115" s="176"/>
      <c r="Q2115" s="176"/>
      <c r="R2115" s="176"/>
      <c r="S2115" s="176"/>
      <c r="T2115" s="176"/>
      <c r="U2115" s="176"/>
      <c r="V2115" s="176"/>
      <c r="W2115" s="176"/>
      <c r="X2115" s="176"/>
      <c r="Y2115" s="176"/>
    </row>
    <row r="2116" spans="1:25">
      <c r="A2116" s="91"/>
      <c r="B2116" s="176"/>
      <c r="C2116" s="176"/>
      <c r="D2116" s="176"/>
      <c r="E2116" s="176"/>
      <c r="F2116" s="176"/>
      <c r="G2116" s="176"/>
      <c r="H2116" s="176"/>
      <c r="I2116" s="176"/>
      <c r="J2116" s="176"/>
      <c r="K2116" s="176"/>
      <c r="L2116" s="176"/>
      <c r="M2116" s="176"/>
      <c r="N2116" s="176"/>
      <c r="O2116" s="176"/>
      <c r="P2116" s="176"/>
      <c r="Q2116" s="176"/>
      <c r="R2116" s="176"/>
      <c r="S2116" s="176"/>
      <c r="T2116" s="176"/>
      <c r="U2116" s="176"/>
      <c r="V2116" s="176"/>
      <c r="W2116" s="176"/>
      <c r="X2116" s="176"/>
      <c r="Y2116" s="176"/>
    </row>
    <row r="2117" spans="1:25">
      <c r="A2117" s="91"/>
      <c r="B2117" s="176"/>
      <c r="C2117" s="176"/>
      <c r="D2117" s="176"/>
      <c r="E2117" s="176"/>
      <c r="F2117" s="176"/>
      <c r="G2117" s="176"/>
      <c r="H2117" s="176"/>
      <c r="I2117" s="176"/>
      <c r="J2117" s="176"/>
      <c r="K2117" s="176"/>
      <c r="L2117" s="176"/>
      <c r="M2117" s="176"/>
      <c r="N2117" s="176"/>
      <c r="O2117" s="176"/>
      <c r="P2117" s="176"/>
      <c r="Q2117" s="176"/>
      <c r="R2117" s="176"/>
      <c r="S2117" s="176"/>
      <c r="T2117" s="176"/>
      <c r="U2117" s="176"/>
      <c r="V2117" s="176"/>
      <c r="W2117" s="176"/>
      <c r="X2117" s="176"/>
      <c r="Y2117" s="176"/>
    </row>
    <row r="2118" spans="1:25">
      <c r="A2118" s="91"/>
      <c r="B2118" s="176"/>
      <c r="C2118" s="176"/>
      <c r="D2118" s="176"/>
      <c r="E2118" s="176"/>
      <c r="F2118" s="176"/>
      <c r="G2118" s="176"/>
      <c r="H2118" s="176"/>
      <c r="I2118" s="176"/>
      <c r="J2118" s="176"/>
      <c r="K2118" s="176"/>
      <c r="L2118" s="176"/>
      <c r="M2118" s="176"/>
      <c r="N2118" s="176"/>
      <c r="O2118" s="176"/>
      <c r="P2118" s="176"/>
      <c r="Q2118" s="176"/>
      <c r="R2118" s="176"/>
      <c r="S2118" s="176"/>
      <c r="T2118" s="176"/>
      <c r="U2118" s="176"/>
      <c r="V2118" s="176"/>
      <c r="W2118" s="176"/>
      <c r="X2118" s="176"/>
      <c r="Y2118" s="176"/>
    </row>
    <row r="2119" spans="1:25">
      <c r="A2119" s="91"/>
      <c r="B2119" s="176"/>
      <c r="C2119" s="176"/>
      <c r="D2119" s="176"/>
      <c r="E2119" s="176"/>
      <c r="F2119" s="176"/>
      <c r="G2119" s="176"/>
      <c r="H2119" s="176"/>
      <c r="I2119" s="176"/>
      <c r="J2119" s="176"/>
      <c r="K2119" s="176"/>
      <c r="L2119" s="176"/>
      <c r="M2119" s="176"/>
      <c r="N2119" s="176"/>
      <c r="O2119" s="176"/>
      <c r="P2119" s="176"/>
      <c r="Q2119" s="176"/>
      <c r="R2119" s="176"/>
      <c r="S2119" s="176"/>
      <c r="T2119" s="176"/>
      <c r="U2119" s="176"/>
      <c r="V2119" s="176"/>
      <c r="W2119" s="176"/>
      <c r="X2119" s="176"/>
      <c r="Y2119" s="176"/>
    </row>
    <row r="2120" spans="1:25">
      <c r="A2120" s="91"/>
      <c r="B2120" s="176"/>
      <c r="C2120" s="176"/>
      <c r="D2120" s="176"/>
      <c r="E2120" s="176"/>
      <c r="F2120" s="176"/>
      <c r="G2120" s="176"/>
      <c r="H2120" s="176"/>
      <c r="I2120" s="176"/>
      <c r="J2120" s="176"/>
      <c r="K2120" s="176"/>
      <c r="L2120" s="176"/>
      <c r="M2120" s="176"/>
      <c r="N2120" s="176"/>
      <c r="O2120" s="176"/>
      <c r="P2120" s="176"/>
      <c r="Q2120" s="176"/>
      <c r="R2120" s="176"/>
      <c r="S2120" s="176"/>
      <c r="T2120" s="176"/>
      <c r="U2120" s="176"/>
      <c r="V2120" s="176"/>
      <c r="W2120" s="176"/>
      <c r="X2120" s="176"/>
      <c r="Y2120" s="176"/>
    </row>
    <row r="2121" spans="1:25">
      <c r="A2121" s="91"/>
      <c r="B2121" s="176"/>
      <c r="C2121" s="176"/>
      <c r="D2121" s="176"/>
      <c r="E2121" s="176"/>
      <c r="F2121" s="176"/>
      <c r="G2121" s="176"/>
      <c r="H2121" s="176"/>
      <c r="I2121" s="176"/>
      <c r="J2121" s="176"/>
      <c r="K2121" s="176"/>
      <c r="L2121" s="176"/>
      <c r="M2121" s="176"/>
      <c r="N2121" s="176"/>
      <c r="O2121" s="176"/>
      <c r="P2121" s="176"/>
      <c r="Q2121" s="176"/>
      <c r="R2121" s="176"/>
      <c r="S2121" s="176"/>
      <c r="T2121" s="176"/>
      <c r="U2121" s="176"/>
      <c r="V2121" s="176"/>
      <c r="W2121" s="176"/>
      <c r="X2121" s="176"/>
      <c r="Y2121" s="176"/>
    </row>
    <row r="2122" spans="1:25">
      <c r="A2122" s="91"/>
      <c r="B2122" s="176"/>
      <c r="C2122" s="176"/>
      <c r="D2122" s="176"/>
      <c r="E2122" s="176"/>
      <c r="F2122" s="176"/>
      <c r="G2122" s="176"/>
      <c r="H2122" s="176"/>
      <c r="I2122" s="176"/>
      <c r="J2122" s="176"/>
      <c r="K2122" s="176"/>
      <c r="L2122" s="176"/>
      <c r="M2122" s="176"/>
      <c r="N2122" s="176"/>
      <c r="O2122" s="176"/>
      <c r="P2122" s="176"/>
      <c r="Q2122" s="176"/>
      <c r="R2122" s="176"/>
      <c r="S2122" s="176"/>
      <c r="T2122" s="176"/>
      <c r="U2122" s="176"/>
      <c r="V2122" s="176"/>
      <c r="W2122" s="176"/>
      <c r="X2122" s="176"/>
      <c r="Y2122" s="176"/>
    </row>
    <row r="2123" spans="1:25">
      <c r="A2123" s="91"/>
      <c r="B2123" s="176"/>
      <c r="C2123" s="176"/>
      <c r="D2123" s="176"/>
      <c r="E2123" s="176"/>
      <c r="F2123" s="176"/>
      <c r="G2123" s="176"/>
      <c r="H2123" s="176"/>
      <c r="I2123" s="176"/>
      <c r="J2123" s="176"/>
      <c r="K2123" s="176"/>
      <c r="L2123" s="176"/>
      <c r="M2123" s="176"/>
      <c r="N2123" s="176"/>
      <c r="O2123" s="176"/>
      <c r="P2123" s="176"/>
      <c r="Q2123" s="176"/>
      <c r="R2123" s="176"/>
      <c r="S2123" s="176"/>
      <c r="T2123" s="176"/>
      <c r="U2123" s="176"/>
      <c r="V2123" s="176"/>
      <c r="W2123" s="176"/>
      <c r="X2123" s="176"/>
      <c r="Y2123" s="176"/>
    </row>
    <row r="2124" spans="1:25">
      <c r="A2124" s="91"/>
      <c r="B2124" s="176"/>
      <c r="C2124" s="176"/>
      <c r="D2124" s="176"/>
      <c r="E2124" s="176"/>
      <c r="F2124" s="176"/>
      <c r="G2124" s="176"/>
      <c r="H2124" s="176"/>
      <c r="I2124" s="176"/>
      <c r="J2124" s="176"/>
      <c r="K2124" s="176"/>
      <c r="L2124" s="176"/>
      <c r="M2124" s="176"/>
      <c r="N2124" s="176"/>
      <c r="O2124" s="176"/>
      <c r="P2124" s="176"/>
      <c r="Q2124" s="176"/>
      <c r="R2124" s="176"/>
      <c r="S2124" s="176"/>
      <c r="T2124" s="176"/>
      <c r="U2124" s="176"/>
      <c r="V2124" s="176"/>
      <c r="W2124" s="176"/>
      <c r="X2124" s="176"/>
      <c r="Y2124" s="176"/>
    </row>
    <row r="2125" spans="1:25">
      <c r="A2125" s="91"/>
      <c r="B2125" s="176"/>
      <c r="C2125" s="176"/>
      <c r="D2125" s="176"/>
      <c r="E2125" s="176"/>
      <c r="F2125" s="176"/>
      <c r="G2125" s="176"/>
      <c r="H2125" s="176"/>
      <c r="I2125" s="176"/>
      <c r="J2125" s="176"/>
      <c r="K2125" s="176"/>
      <c r="L2125" s="176"/>
      <c r="M2125" s="176"/>
      <c r="N2125" s="176"/>
      <c r="O2125" s="176"/>
      <c r="P2125" s="176"/>
      <c r="Q2125" s="176"/>
      <c r="R2125" s="176"/>
      <c r="S2125" s="176"/>
      <c r="T2125" s="176"/>
      <c r="U2125" s="176"/>
      <c r="V2125" s="176"/>
      <c r="W2125" s="176"/>
      <c r="X2125" s="176"/>
      <c r="Y2125" s="176"/>
    </row>
    <row r="2126" spans="1:25">
      <c r="A2126" s="91"/>
      <c r="B2126" s="176"/>
      <c r="C2126" s="176"/>
      <c r="D2126" s="176"/>
      <c r="E2126" s="176"/>
      <c r="F2126" s="176"/>
      <c r="G2126" s="176"/>
      <c r="H2126" s="176"/>
      <c r="I2126" s="176"/>
      <c r="J2126" s="176"/>
      <c r="K2126" s="176"/>
      <c r="L2126" s="176"/>
      <c r="M2126" s="176"/>
      <c r="N2126" s="176"/>
      <c r="O2126" s="176"/>
      <c r="P2126" s="176"/>
      <c r="Q2126" s="176"/>
      <c r="R2126" s="176"/>
      <c r="S2126" s="176"/>
      <c r="T2126" s="176"/>
      <c r="U2126" s="176"/>
      <c r="V2126" s="176"/>
      <c r="W2126" s="176"/>
      <c r="X2126" s="176"/>
      <c r="Y2126" s="176"/>
    </row>
    <row r="2127" spans="1:25">
      <c r="A2127" s="91"/>
      <c r="B2127" s="176"/>
      <c r="C2127" s="176"/>
      <c r="D2127" s="176"/>
      <c r="E2127" s="176"/>
      <c r="F2127" s="176"/>
      <c r="G2127" s="176"/>
      <c r="H2127" s="176"/>
      <c r="I2127" s="176"/>
      <c r="J2127" s="176"/>
      <c r="K2127" s="176"/>
      <c r="L2127" s="176"/>
      <c r="M2127" s="176"/>
      <c r="N2127" s="176"/>
      <c r="O2127" s="176"/>
      <c r="P2127" s="176"/>
      <c r="Q2127" s="176"/>
      <c r="R2127" s="176"/>
      <c r="S2127" s="176"/>
      <c r="T2127" s="176"/>
      <c r="U2127" s="176"/>
      <c r="V2127" s="176"/>
      <c r="W2127" s="176"/>
      <c r="X2127" s="176"/>
      <c r="Y2127" s="176"/>
    </row>
    <row r="2128" spans="1:25">
      <c r="A2128" s="91"/>
      <c r="B2128" s="176"/>
      <c r="C2128" s="176"/>
      <c r="D2128" s="176"/>
      <c r="E2128" s="176"/>
      <c r="F2128" s="176"/>
      <c r="G2128" s="176"/>
      <c r="H2128" s="176"/>
      <c r="I2128" s="176"/>
      <c r="J2128" s="176"/>
      <c r="K2128" s="176"/>
      <c r="L2128" s="176"/>
      <c r="M2128" s="176"/>
      <c r="N2128" s="176"/>
      <c r="O2128" s="176"/>
      <c r="P2128" s="176"/>
      <c r="Q2128" s="176"/>
      <c r="R2128" s="176"/>
      <c r="S2128" s="176"/>
      <c r="T2128" s="176"/>
      <c r="U2128" s="176"/>
      <c r="V2128" s="176"/>
      <c r="W2128" s="176"/>
      <c r="X2128" s="176"/>
      <c r="Y2128" s="176"/>
    </row>
    <row r="2129" spans="1:25">
      <c r="A2129" s="91"/>
      <c r="B2129" s="176"/>
      <c r="C2129" s="176"/>
      <c r="D2129" s="176"/>
      <c r="E2129" s="176"/>
      <c r="F2129" s="176"/>
      <c r="G2129" s="176"/>
      <c r="H2129" s="176"/>
      <c r="I2129" s="176"/>
      <c r="J2129" s="176"/>
      <c r="K2129" s="176"/>
      <c r="L2129" s="176"/>
      <c r="M2129" s="176"/>
      <c r="N2129" s="176"/>
      <c r="O2129" s="176"/>
      <c r="P2129" s="176"/>
      <c r="Q2129" s="176"/>
      <c r="R2129" s="176"/>
      <c r="S2129" s="176"/>
      <c r="T2129" s="176"/>
      <c r="U2129" s="176"/>
      <c r="V2129" s="176"/>
      <c r="W2129" s="176"/>
      <c r="X2129" s="176"/>
      <c r="Y2129" s="176"/>
    </row>
    <row r="2130" spans="1:25">
      <c r="A2130" s="91"/>
      <c r="B2130" s="176"/>
      <c r="C2130" s="176"/>
      <c r="D2130" s="176"/>
      <c r="E2130" s="176"/>
      <c r="F2130" s="176"/>
      <c r="G2130" s="176"/>
      <c r="H2130" s="176"/>
      <c r="I2130" s="176"/>
      <c r="J2130" s="176"/>
      <c r="K2130" s="176"/>
      <c r="L2130" s="176"/>
      <c r="M2130" s="176"/>
      <c r="N2130" s="176"/>
      <c r="O2130" s="176"/>
      <c r="P2130" s="176"/>
      <c r="Q2130" s="176"/>
      <c r="R2130" s="176"/>
      <c r="S2130" s="176"/>
      <c r="T2130" s="176"/>
      <c r="U2130" s="176"/>
      <c r="V2130" s="176"/>
      <c r="W2130" s="176"/>
      <c r="X2130" s="176"/>
      <c r="Y2130" s="176"/>
    </row>
    <row r="2131" spans="1:25">
      <c r="A2131" s="91"/>
      <c r="B2131" s="176"/>
      <c r="C2131" s="176"/>
      <c r="D2131" s="176"/>
      <c r="E2131" s="176"/>
      <c r="F2131" s="176"/>
      <c r="G2131" s="176"/>
      <c r="H2131" s="176"/>
      <c r="I2131" s="176"/>
      <c r="J2131" s="176"/>
      <c r="K2131" s="176"/>
      <c r="L2131" s="176"/>
      <c r="M2131" s="176"/>
      <c r="N2131" s="176"/>
      <c r="O2131" s="176"/>
      <c r="P2131" s="176"/>
      <c r="Q2131" s="176"/>
      <c r="R2131" s="176"/>
      <c r="S2131" s="176"/>
      <c r="T2131" s="176"/>
      <c r="U2131" s="176"/>
      <c r="V2131" s="176"/>
      <c r="W2131" s="176"/>
      <c r="X2131" s="176"/>
      <c r="Y2131" s="176"/>
    </row>
    <row r="2132" spans="1:25">
      <c r="A2132" s="91"/>
      <c r="B2132" s="176"/>
      <c r="C2132" s="176"/>
      <c r="D2132" s="176"/>
      <c r="E2132" s="176"/>
      <c r="F2132" s="176"/>
      <c r="G2132" s="176"/>
      <c r="H2132" s="176"/>
      <c r="I2132" s="176"/>
      <c r="J2132" s="176"/>
      <c r="K2132" s="176"/>
      <c r="L2132" s="176"/>
      <c r="M2132" s="176"/>
      <c r="N2132" s="176"/>
      <c r="O2132" s="176"/>
      <c r="P2132" s="176"/>
      <c r="Q2132" s="176"/>
      <c r="R2132" s="176"/>
      <c r="S2132" s="176"/>
      <c r="T2132" s="176"/>
      <c r="U2132" s="176"/>
      <c r="V2132" s="176"/>
      <c r="W2132" s="176"/>
      <c r="X2132" s="176"/>
      <c r="Y2132" s="176"/>
    </row>
    <row r="2133" spans="1:25">
      <c r="A2133" s="91"/>
      <c r="B2133" s="176"/>
      <c r="C2133" s="176"/>
      <c r="D2133" s="176"/>
      <c r="E2133" s="176"/>
      <c r="F2133" s="176"/>
      <c r="G2133" s="176"/>
      <c r="H2133" s="176"/>
      <c r="I2133" s="176"/>
      <c r="J2133" s="176"/>
      <c r="K2133" s="176"/>
      <c r="L2133" s="176"/>
      <c r="M2133" s="176"/>
      <c r="N2133" s="176"/>
      <c r="O2133" s="176"/>
      <c r="P2133" s="176"/>
      <c r="Q2133" s="176"/>
      <c r="R2133" s="176"/>
      <c r="S2133" s="176"/>
      <c r="T2133" s="176"/>
      <c r="U2133" s="176"/>
      <c r="V2133" s="176"/>
      <c r="W2133" s="176"/>
      <c r="X2133" s="176"/>
      <c r="Y2133" s="176"/>
    </row>
    <row r="2134" spans="1:25">
      <c r="A2134" s="91"/>
      <c r="B2134" s="176"/>
      <c r="C2134" s="176"/>
      <c r="D2134" s="176"/>
      <c r="E2134" s="176"/>
      <c r="F2134" s="176"/>
      <c r="G2134" s="176"/>
      <c r="H2134" s="176"/>
      <c r="I2134" s="176"/>
      <c r="J2134" s="176"/>
      <c r="K2134" s="176"/>
      <c r="L2134" s="176"/>
      <c r="M2134" s="176"/>
      <c r="N2134" s="176"/>
      <c r="O2134" s="176"/>
      <c r="P2134" s="176"/>
      <c r="Q2134" s="176"/>
      <c r="R2134" s="176"/>
      <c r="S2134" s="176"/>
      <c r="T2134" s="176"/>
      <c r="U2134" s="176"/>
      <c r="V2134" s="176"/>
      <c r="W2134" s="176"/>
      <c r="X2134" s="176"/>
      <c r="Y2134" s="176"/>
    </row>
    <row r="2135" spans="1:25">
      <c r="A2135" s="91"/>
      <c r="B2135" s="176"/>
      <c r="C2135" s="176"/>
      <c r="D2135" s="176"/>
      <c r="E2135" s="176"/>
      <c r="F2135" s="176"/>
      <c r="G2135" s="176"/>
      <c r="H2135" s="176"/>
      <c r="I2135" s="176"/>
      <c r="J2135" s="176"/>
      <c r="K2135" s="176"/>
      <c r="L2135" s="176"/>
      <c r="M2135" s="176"/>
      <c r="N2135" s="176"/>
      <c r="O2135" s="176"/>
      <c r="P2135" s="176"/>
      <c r="Q2135" s="176"/>
      <c r="R2135" s="176"/>
      <c r="S2135" s="176"/>
      <c r="T2135" s="176"/>
      <c r="U2135" s="176"/>
      <c r="V2135" s="176"/>
      <c r="W2135" s="176"/>
      <c r="X2135" s="176"/>
      <c r="Y2135" s="176"/>
    </row>
    <row r="2136" spans="1:25">
      <c r="A2136" s="91"/>
      <c r="B2136" s="176"/>
      <c r="C2136" s="176"/>
      <c r="D2136" s="176"/>
      <c r="E2136" s="176"/>
      <c r="F2136" s="176"/>
      <c r="G2136" s="176"/>
      <c r="H2136" s="176"/>
      <c r="I2136" s="176"/>
      <c r="J2136" s="176"/>
      <c r="K2136" s="176"/>
      <c r="L2136" s="176"/>
      <c r="M2136" s="176"/>
      <c r="N2136" s="176"/>
      <c r="O2136" s="176"/>
      <c r="P2136" s="176"/>
      <c r="Q2136" s="176"/>
      <c r="R2136" s="176"/>
      <c r="S2136" s="176"/>
      <c r="T2136" s="176"/>
      <c r="U2136" s="176"/>
      <c r="V2136" s="176"/>
      <c r="W2136" s="176"/>
      <c r="X2136" s="176"/>
      <c r="Y2136" s="176"/>
    </row>
    <row r="2137" spans="1:25">
      <c r="A2137" s="91"/>
      <c r="B2137" s="176"/>
      <c r="C2137" s="176"/>
      <c r="D2137" s="176"/>
      <c r="E2137" s="176"/>
      <c r="F2137" s="176"/>
      <c r="G2137" s="176"/>
      <c r="H2137" s="176"/>
      <c r="I2137" s="176"/>
      <c r="J2137" s="176"/>
      <c r="K2137" s="176"/>
      <c r="L2137" s="176"/>
      <c r="M2137" s="176"/>
      <c r="N2137" s="176"/>
      <c r="O2137" s="176"/>
      <c r="P2137" s="176"/>
      <c r="Q2137" s="176"/>
      <c r="R2137" s="176"/>
      <c r="S2137" s="176"/>
      <c r="T2137" s="176"/>
      <c r="U2137" s="176"/>
      <c r="V2137" s="176"/>
      <c r="W2137" s="176"/>
      <c r="X2137" s="176"/>
      <c r="Y2137" s="176"/>
    </row>
    <row r="2138" spans="1:25">
      <c r="A2138" s="91"/>
      <c r="B2138" s="176"/>
      <c r="C2138" s="176"/>
      <c r="D2138" s="176"/>
      <c r="E2138" s="176"/>
      <c r="F2138" s="176"/>
      <c r="G2138" s="176"/>
      <c r="H2138" s="176"/>
      <c r="I2138" s="176"/>
      <c r="J2138" s="176"/>
      <c r="K2138" s="176"/>
      <c r="L2138" s="176"/>
      <c r="M2138" s="176"/>
      <c r="N2138" s="176"/>
      <c r="O2138" s="176"/>
      <c r="P2138" s="176"/>
      <c r="Q2138" s="176"/>
      <c r="R2138" s="176"/>
      <c r="S2138" s="176"/>
      <c r="T2138" s="176"/>
      <c r="U2138" s="176"/>
      <c r="V2138" s="176"/>
      <c r="W2138" s="176"/>
      <c r="X2138" s="176"/>
      <c r="Y2138" s="176"/>
    </row>
    <row r="2139" spans="1:25">
      <c r="A2139" s="91"/>
      <c r="B2139" s="176"/>
      <c r="C2139" s="176"/>
      <c r="D2139" s="176"/>
      <c r="E2139" s="176"/>
      <c r="F2139" s="176"/>
      <c r="G2139" s="176"/>
      <c r="H2139" s="176"/>
      <c r="I2139" s="176"/>
      <c r="J2139" s="176"/>
      <c r="K2139" s="176"/>
      <c r="L2139" s="176"/>
      <c r="M2139" s="176"/>
      <c r="N2139" s="176"/>
      <c r="O2139" s="176"/>
      <c r="P2139" s="176"/>
      <c r="Q2139" s="176"/>
      <c r="R2139" s="176"/>
      <c r="S2139" s="176"/>
      <c r="T2139" s="176"/>
      <c r="U2139" s="176"/>
      <c r="V2139" s="176"/>
      <c r="W2139" s="176"/>
      <c r="X2139" s="176"/>
      <c r="Y2139" s="176"/>
    </row>
    <row r="2140" spans="1:25">
      <c r="A2140" s="91"/>
      <c r="B2140" s="176"/>
      <c r="C2140" s="176"/>
      <c r="D2140" s="176"/>
      <c r="E2140" s="176"/>
      <c r="F2140" s="176"/>
      <c r="G2140" s="176"/>
      <c r="H2140" s="176"/>
      <c r="I2140" s="176"/>
      <c r="J2140" s="176"/>
      <c r="K2140" s="176"/>
      <c r="L2140" s="176"/>
      <c r="M2140" s="176"/>
      <c r="N2140" s="176"/>
      <c r="O2140" s="176"/>
      <c r="P2140" s="176"/>
      <c r="Q2140" s="176"/>
      <c r="R2140" s="176"/>
      <c r="S2140" s="176"/>
      <c r="T2140" s="176"/>
      <c r="U2140" s="176"/>
      <c r="V2140" s="176"/>
      <c r="W2140" s="176"/>
      <c r="X2140" s="176"/>
      <c r="Y2140" s="176"/>
    </row>
    <row r="2141" spans="1:25">
      <c r="A2141" s="91"/>
      <c r="B2141" s="176"/>
      <c r="C2141" s="176"/>
      <c r="D2141" s="176"/>
      <c r="E2141" s="176"/>
      <c r="F2141" s="176"/>
      <c r="G2141" s="176"/>
      <c r="H2141" s="176"/>
      <c r="I2141" s="176"/>
      <c r="J2141" s="176"/>
      <c r="K2141" s="176"/>
      <c r="L2141" s="176"/>
      <c r="M2141" s="176"/>
      <c r="N2141" s="176"/>
      <c r="O2141" s="176"/>
      <c r="P2141" s="176"/>
      <c r="Q2141" s="176"/>
      <c r="R2141" s="176"/>
      <c r="S2141" s="176"/>
      <c r="T2141" s="176"/>
      <c r="U2141" s="176"/>
      <c r="V2141" s="176"/>
      <c r="W2141" s="176"/>
      <c r="X2141" s="176"/>
      <c r="Y2141" s="176"/>
    </row>
    <row r="2142" spans="1:25">
      <c r="A2142" s="91"/>
      <c r="B2142" s="176"/>
      <c r="C2142" s="176"/>
      <c r="D2142" s="176"/>
      <c r="E2142" s="176"/>
      <c r="F2142" s="176"/>
      <c r="G2142" s="176"/>
      <c r="H2142" s="176"/>
      <c r="I2142" s="176"/>
      <c r="J2142" s="176"/>
      <c r="K2142" s="176"/>
      <c r="L2142" s="176"/>
      <c r="M2142" s="176"/>
      <c r="N2142" s="176"/>
      <c r="O2142" s="176"/>
      <c r="P2142" s="176"/>
      <c r="Q2142" s="176"/>
      <c r="R2142" s="176"/>
      <c r="S2142" s="176"/>
      <c r="T2142" s="176"/>
      <c r="U2142" s="176"/>
      <c r="V2142" s="176"/>
      <c r="W2142" s="176"/>
      <c r="X2142" s="176"/>
      <c r="Y2142" s="176"/>
    </row>
    <row r="2143" spans="1:25">
      <c r="A2143" s="91"/>
      <c r="B2143" s="176"/>
      <c r="C2143" s="176"/>
      <c r="D2143" s="176"/>
      <c r="E2143" s="176"/>
      <c r="F2143" s="176"/>
      <c r="G2143" s="176"/>
      <c r="H2143" s="176"/>
      <c r="I2143" s="176"/>
      <c r="J2143" s="176"/>
      <c r="K2143" s="176"/>
      <c r="L2143" s="176"/>
      <c r="M2143" s="176"/>
      <c r="N2143" s="176"/>
      <c r="O2143" s="176"/>
      <c r="P2143" s="176"/>
      <c r="Q2143" s="176"/>
      <c r="R2143" s="176"/>
      <c r="S2143" s="176"/>
      <c r="T2143" s="176"/>
      <c r="U2143" s="176"/>
      <c r="V2143" s="176"/>
      <c r="W2143" s="176"/>
      <c r="X2143" s="176"/>
      <c r="Y2143" s="176"/>
    </row>
    <row r="2144" spans="1:25">
      <c r="A2144" s="91"/>
      <c r="B2144" s="176"/>
      <c r="C2144" s="176"/>
      <c r="D2144" s="176"/>
      <c r="E2144" s="176"/>
      <c r="F2144" s="176"/>
      <c r="G2144" s="176"/>
      <c r="H2144" s="176"/>
      <c r="I2144" s="176"/>
      <c r="J2144" s="176"/>
      <c r="K2144" s="176"/>
      <c r="L2144" s="176"/>
      <c r="M2144" s="176"/>
      <c r="N2144" s="176"/>
      <c r="O2144" s="176"/>
      <c r="P2144" s="176"/>
      <c r="Q2144" s="176"/>
      <c r="R2144" s="176"/>
      <c r="S2144" s="176"/>
      <c r="T2144" s="176"/>
      <c r="U2144" s="176"/>
      <c r="V2144" s="176"/>
      <c r="W2144" s="176"/>
      <c r="X2144" s="176"/>
      <c r="Y2144" s="176"/>
    </row>
    <row r="2145" spans="1:25">
      <c r="A2145" s="91"/>
      <c r="B2145" s="176"/>
      <c r="C2145" s="176"/>
      <c r="D2145" s="176"/>
      <c r="E2145" s="176"/>
      <c r="F2145" s="176"/>
      <c r="G2145" s="176"/>
      <c r="H2145" s="176"/>
      <c r="I2145" s="176"/>
      <c r="J2145" s="176"/>
      <c r="K2145" s="176"/>
      <c r="L2145" s="176"/>
      <c r="M2145" s="176"/>
      <c r="N2145" s="176"/>
      <c r="O2145" s="176"/>
      <c r="P2145" s="176"/>
      <c r="Q2145" s="176"/>
      <c r="R2145" s="176"/>
      <c r="S2145" s="176"/>
      <c r="T2145" s="176"/>
      <c r="U2145" s="176"/>
      <c r="V2145" s="176"/>
      <c r="W2145" s="176"/>
      <c r="X2145" s="176"/>
      <c r="Y2145" s="176"/>
    </row>
    <row r="2146" spans="1:25">
      <c r="A2146" s="91"/>
      <c r="B2146" s="176"/>
      <c r="C2146" s="176"/>
      <c r="D2146" s="176"/>
      <c r="E2146" s="176"/>
      <c r="F2146" s="176"/>
      <c r="G2146" s="176"/>
      <c r="H2146" s="176"/>
      <c r="I2146" s="176"/>
      <c r="J2146" s="176"/>
      <c r="K2146" s="176"/>
      <c r="L2146" s="176"/>
      <c r="M2146" s="176"/>
      <c r="N2146" s="176"/>
      <c r="O2146" s="176"/>
      <c r="P2146" s="176"/>
      <c r="Q2146" s="176"/>
      <c r="R2146" s="176"/>
      <c r="S2146" s="176"/>
      <c r="T2146" s="176"/>
      <c r="U2146" s="176"/>
      <c r="V2146" s="176"/>
      <c r="W2146" s="176"/>
      <c r="X2146" s="176"/>
      <c r="Y2146" s="176"/>
    </row>
    <row r="2147" spans="1:25">
      <c r="A2147" s="91"/>
      <c r="B2147" s="176"/>
      <c r="C2147" s="176"/>
      <c r="D2147" s="176"/>
      <c r="E2147" s="176"/>
      <c r="F2147" s="176"/>
      <c r="G2147" s="176"/>
      <c r="H2147" s="176"/>
      <c r="I2147" s="176"/>
      <c r="J2147" s="176"/>
      <c r="K2147" s="176"/>
      <c r="L2147" s="176"/>
      <c r="M2147" s="176"/>
      <c r="N2147" s="176"/>
      <c r="O2147" s="176"/>
      <c r="P2147" s="176"/>
      <c r="Q2147" s="176"/>
      <c r="R2147" s="176"/>
      <c r="S2147" s="176"/>
      <c r="T2147" s="176"/>
      <c r="U2147" s="176"/>
      <c r="V2147" s="176"/>
      <c r="W2147" s="176"/>
      <c r="X2147" s="176"/>
      <c r="Y2147" s="176"/>
    </row>
    <row r="2148" spans="1:25">
      <c r="A2148" s="91"/>
      <c r="B2148" s="176"/>
      <c r="C2148" s="176"/>
      <c r="D2148" s="176"/>
      <c r="E2148" s="176"/>
      <c r="F2148" s="176"/>
      <c r="G2148" s="176"/>
      <c r="H2148" s="176"/>
      <c r="I2148" s="176"/>
      <c r="J2148" s="176"/>
      <c r="K2148" s="176"/>
      <c r="L2148" s="176"/>
      <c r="M2148" s="176"/>
      <c r="N2148" s="176"/>
      <c r="O2148" s="176"/>
      <c r="P2148" s="176"/>
      <c r="Q2148" s="176"/>
      <c r="R2148" s="176"/>
      <c r="S2148" s="176"/>
      <c r="T2148" s="176"/>
      <c r="U2148" s="176"/>
      <c r="V2148" s="176"/>
      <c r="W2148" s="176"/>
      <c r="X2148" s="176"/>
      <c r="Y2148" s="176"/>
    </row>
    <row r="2149" spans="1:25">
      <c r="A2149" s="91"/>
      <c r="B2149" s="176"/>
      <c r="C2149" s="176"/>
      <c r="D2149" s="176"/>
      <c r="E2149" s="176"/>
      <c r="F2149" s="176"/>
      <c r="G2149" s="176"/>
      <c r="H2149" s="176"/>
      <c r="I2149" s="176"/>
      <c r="J2149" s="176"/>
      <c r="K2149" s="176"/>
      <c r="L2149" s="176"/>
      <c r="M2149" s="176"/>
      <c r="N2149" s="176"/>
      <c r="O2149" s="176"/>
      <c r="P2149" s="176"/>
      <c r="Q2149" s="176"/>
      <c r="R2149" s="176"/>
      <c r="S2149" s="176"/>
      <c r="T2149" s="176"/>
      <c r="U2149" s="176"/>
      <c r="V2149" s="176"/>
      <c r="W2149" s="176"/>
      <c r="X2149" s="176"/>
      <c r="Y2149" s="176"/>
    </row>
    <row r="2150" spans="1:25">
      <c r="A2150" s="91"/>
      <c r="B2150" s="176"/>
      <c r="C2150" s="176"/>
      <c r="D2150" s="176"/>
      <c r="E2150" s="176"/>
      <c r="F2150" s="176"/>
      <c r="G2150" s="176"/>
      <c r="H2150" s="176"/>
      <c r="I2150" s="176"/>
      <c r="J2150" s="176"/>
      <c r="K2150" s="176"/>
      <c r="L2150" s="176"/>
      <c r="M2150" s="176"/>
      <c r="N2150" s="176"/>
      <c r="O2150" s="176"/>
      <c r="P2150" s="176"/>
      <c r="Q2150" s="176"/>
      <c r="R2150" s="176"/>
      <c r="S2150" s="176"/>
      <c r="T2150" s="176"/>
      <c r="U2150" s="176"/>
      <c r="V2150" s="176"/>
      <c r="W2150" s="176"/>
      <c r="X2150" s="176"/>
      <c r="Y2150" s="176"/>
    </row>
    <row r="2151" spans="1:25">
      <c r="A2151" s="91"/>
      <c r="B2151" s="176"/>
      <c r="C2151" s="176"/>
      <c r="D2151" s="176"/>
      <c r="E2151" s="176"/>
      <c r="F2151" s="176"/>
      <c r="G2151" s="176"/>
      <c r="H2151" s="176"/>
      <c r="I2151" s="176"/>
      <c r="J2151" s="176"/>
      <c r="K2151" s="176"/>
      <c r="L2151" s="176"/>
      <c r="M2151" s="176"/>
      <c r="N2151" s="176"/>
      <c r="O2151" s="176"/>
      <c r="P2151" s="176"/>
      <c r="Q2151" s="176"/>
      <c r="R2151" s="176"/>
      <c r="S2151" s="176"/>
      <c r="T2151" s="176"/>
      <c r="U2151" s="176"/>
      <c r="V2151" s="176"/>
      <c r="W2151" s="176"/>
      <c r="X2151" s="176"/>
      <c r="Y2151" s="176"/>
    </row>
    <row r="2152" spans="1:25">
      <c r="A2152" s="91"/>
      <c r="B2152" s="176"/>
      <c r="C2152" s="176"/>
      <c r="D2152" s="176"/>
      <c r="E2152" s="176"/>
      <c r="F2152" s="176"/>
      <c r="G2152" s="176"/>
      <c r="H2152" s="176"/>
      <c r="I2152" s="176"/>
      <c r="J2152" s="176"/>
      <c r="K2152" s="176"/>
      <c r="L2152" s="176"/>
      <c r="M2152" s="176"/>
      <c r="N2152" s="176"/>
      <c r="O2152" s="176"/>
      <c r="P2152" s="176"/>
      <c r="Q2152" s="176"/>
      <c r="R2152" s="176"/>
      <c r="S2152" s="176"/>
      <c r="T2152" s="176"/>
      <c r="U2152" s="176"/>
      <c r="V2152" s="176"/>
      <c r="W2152" s="176"/>
      <c r="X2152" s="176"/>
      <c r="Y2152" s="176"/>
    </row>
    <row r="2153" spans="1:25">
      <c r="A2153" s="91"/>
      <c r="B2153" s="176"/>
      <c r="C2153" s="176"/>
      <c r="D2153" s="176"/>
      <c r="E2153" s="176"/>
      <c r="F2153" s="176"/>
      <c r="G2153" s="176"/>
      <c r="H2153" s="176"/>
      <c r="I2153" s="176"/>
      <c r="J2153" s="176"/>
      <c r="K2153" s="176"/>
      <c r="L2153" s="176"/>
      <c r="M2153" s="176"/>
      <c r="N2153" s="176"/>
      <c r="O2153" s="176"/>
      <c r="P2153" s="176"/>
      <c r="Q2153" s="176"/>
      <c r="R2153" s="176"/>
      <c r="S2153" s="176"/>
      <c r="T2153" s="176"/>
      <c r="U2153" s="176"/>
      <c r="V2153" s="176"/>
      <c r="W2153" s="176"/>
      <c r="X2153" s="176"/>
      <c r="Y2153" s="176"/>
    </row>
    <row r="2154" spans="1:25">
      <c r="A2154" s="91"/>
      <c r="B2154" s="176"/>
      <c r="C2154" s="176"/>
      <c r="D2154" s="176"/>
      <c r="E2154" s="176"/>
      <c r="F2154" s="176"/>
      <c r="G2154" s="176"/>
      <c r="H2154" s="176"/>
      <c r="I2154" s="176"/>
      <c r="J2154" s="176"/>
      <c r="K2154" s="176"/>
      <c r="L2154" s="176"/>
      <c r="M2154" s="176"/>
      <c r="N2154" s="176"/>
      <c r="O2154" s="176"/>
      <c r="P2154" s="176"/>
      <c r="Q2154" s="176"/>
      <c r="R2154" s="176"/>
      <c r="S2154" s="176"/>
      <c r="T2154" s="176"/>
      <c r="U2154" s="176"/>
      <c r="V2154" s="176"/>
      <c r="W2154" s="176"/>
      <c r="X2154" s="176"/>
      <c r="Y2154" s="176"/>
    </row>
    <row r="2155" spans="1:25">
      <c r="A2155" s="91"/>
      <c r="B2155" s="176"/>
      <c r="C2155" s="176"/>
      <c r="D2155" s="176"/>
      <c r="E2155" s="176"/>
      <c r="F2155" s="176"/>
      <c r="G2155" s="176"/>
      <c r="H2155" s="176"/>
      <c r="I2155" s="176"/>
      <c r="J2155" s="176"/>
      <c r="K2155" s="176"/>
      <c r="L2155" s="176"/>
      <c r="M2155" s="176"/>
      <c r="N2155" s="176"/>
      <c r="O2155" s="176"/>
      <c r="P2155" s="176"/>
      <c r="Q2155" s="176"/>
      <c r="R2155" s="176"/>
      <c r="S2155" s="176"/>
      <c r="T2155" s="176"/>
      <c r="U2155" s="176"/>
      <c r="V2155" s="176"/>
      <c r="W2155" s="176"/>
      <c r="X2155" s="176"/>
      <c r="Y2155" s="176"/>
    </row>
    <row r="2156" spans="1:25">
      <c r="A2156" s="91"/>
      <c r="B2156" s="176"/>
      <c r="C2156" s="176"/>
      <c r="D2156" s="176"/>
      <c r="E2156" s="176"/>
      <c r="F2156" s="176"/>
      <c r="G2156" s="176"/>
      <c r="H2156" s="176"/>
      <c r="I2156" s="176"/>
      <c r="J2156" s="176"/>
      <c r="K2156" s="176"/>
      <c r="L2156" s="176"/>
      <c r="M2156" s="176"/>
      <c r="N2156" s="176"/>
      <c r="O2156" s="176"/>
      <c r="P2156" s="176"/>
      <c r="Q2156" s="176"/>
      <c r="R2156" s="176"/>
      <c r="S2156" s="176"/>
      <c r="T2156" s="176"/>
      <c r="U2156" s="176"/>
      <c r="V2156" s="176"/>
      <c r="W2156" s="176"/>
      <c r="X2156" s="176"/>
      <c r="Y2156" s="176"/>
    </row>
    <row r="2157" spans="1:25">
      <c r="A2157" s="91"/>
      <c r="B2157" s="176"/>
      <c r="C2157" s="176"/>
      <c r="D2157" s="176"/>
      <c r="E2157" s="176"/>
      <c r="F2157" s="176"/>
      <c r="G2157" s="176"/>
      <c r="H2157" s="176"/>
      <c r="I2157" s="176"/>
      <c r="J2157" s="176"/>
      <c r="K2157" s="176"/>
      <c r="L2157" s="176"/>
      <c r="M2157" s="176"/>
      <c r="N2157" s="176"/>
      <c r="O2157" s="176"/>
      <c r="P2157" s="176"/>
      <c r="Q2157" s="176"/>
      <c r="R2157" s="176"/>
      <c r="S2157" s="176"/>
      <c r="T2157" s="176"/>
      <c r="U2157" s="176"/>
      <c r="V2157" s="176"/>
      <c r="W2157" s="176"/>
      <c r="X2157" s="176"/>
      <c r="Y2157" s="176"/>
    </row>
    <row r="2158" spans="1:25">
      <c r="A2158" s="91"/>
      <c r="B2158" s="176"/>
      <c r="C2158" s="176"/>
      <c r="D2158" s="176"/>
      <c r="E2158" s="176"/>
      <c r="F2158" s="176"/>
      <c r="G2158" s="176"/>
      <c r="H2158" s="176"/>
      <c r="I2158" s="176"/>
      <c r="J2158" s="176"/>
      <c r="K2158" s="176"/>
      <c r="L2158" s="176"/>
      <c r="M2158" s="176"/>
      <c r="N2158" s="176"/>
      <c r="O2158" s="176"/>
      <c r="P2158" s="176"/>
      <c r="Q2158" s="176"/>
      <c r="R2158" s="176"/>
      <c r="S2158" s="176"/>
      <c r="T2158" s="176"/>
      <c r="U2158" s="176"/>
      <c r="V2158" s="176"/>
      <c r="W2158" s="176"/>
      <c r="X2158" s="176"/>
      <c r="Y2158" s="176"/>
    </row>
    <row r="2159" spans="1:25">
      <c r="A2159" s="91"/>
      <c r="B2159" s="176"/>
      <c r="C2159" s="176"/>
      <c r="D2159" s="176"/>
      <c r="E2159" s="176"/>
      <c r="F2159" s="176"/>
      <c r="G2159" s="176"/>
      <c r="H2159" s="176"/>
      <c r="I2159" s="176"/>
      <c r="J2159" s="176"/>
      <c r="K2159" s="176"/>
      <c r="L2159" s="176"/>
      <c r="M2159" s="176"/>
      <c r="N2159" s="176"/>
      <c r="O2159" s="176"/>
      <c r="P2159" s="176"/>
      <c r="Q2159" s="176"/>
      <c r="R2159" s="176"/>
      <c r="S2159" s="176"/>
      <c r="T2159" s="176"/>
      <c r="U2159" s="176"/>
      <c r="V2159" s="176"/>
      <c r="W2159" s="176"/>
      <c r="X2159" s="176"/>
      <c r="Y2159" s="176"/>
    </row>
    <row r="2160" spans="1:25">
      <c r="A2160" s="91"/>
      <c r="B2160" s="176"/>
      <c r="C2160" s="176"/>
      <c r="D2160" s="176"/>
      <c r="E2160" s="176"/>
      <c r="F2160" s="176"/>
      <c r="G2160" s="176"/>
      <c r="H2160" s="176"/>
      <c r="I2160" s="176"/>
      <c r="J2160" s="176"/>
      <c r="K2160" s="176"/>
      <c r="L2160" s="176"/>
      <c r="M2160" s="176"/>
      <c r="N2160" s="176"/>
      <c r="O2160" s="176"/>
      <c r="P2160" s="176"/>
      <c r="Q2160" s="176"/>
      <c r="R2160" s="176"/>
      <c r="S2160" s="176"/>
      <c r="T2160" s="176"/>
      <c r="U2160" s="176"/>
      <c r="V2160" s="176"/>
      <c r="W2160" s="176"/>
      <c r="X2160" s="176"/>
      <c r="Y2160" s="176"/>
    </row>
    <row r="2161" spans="1:25">
      <c r="A2161" s="91"/>
      <c r="B2161" s="176"/>
      <c r="C2161" s="176"/>
      <c r="D2161" s="176"/>
      <c r="E2161" s="176"/>
      <c r="F2161" s="176"/>
      <c r="G2161" s="176"/>
      <c r="H2161" s="176"/>
      <c r="I2161" s="176"/>
      <c r="J2161" s="176"/>
      <c r="K2161" s="176"/>
      <c r="L2161" s="176"/>
      <c r="M2161" s="176"/>
      <c r="N2161" s="176"/>
      <c r="O2161" s="176"/>
      <c r="P2161" s="176"/>
      <c r="Q2161" s="176"/>
      <c r="R2161" s="176"/>
      <c r="S2161" s="176"/>
      <c r="T2161" s="176"/>
      <c r="U2161" s="176"/>
      <c r="V2161" s="176"/>
      <c r="W2161" s="176"/>
      <c r="X2161" s="176"/>
      <c r="Y2161" s="176"/>
    </row>
    <row r="2162" spans="1:25">
      <c r="A2162" s="91"/>
      <c r="B2162" s="176"/>
      <c r="C2162" s="176"/>
      <c r="D2162" s="176"/>
      <c r="E2162" s="176"/>
      <c r="F2162" s="176"/>
      <c r="G2162" s="176"/>
      <c r="H2162" s="176"/>
      <c r="I2162" s="176"/>
      <c r="J2162" s="176"/>
      <c r="K2162" s="176"/>
      <c r="L2162" s="176"/>
      <c r="M2162" s="176"/>
      <c r="N2162" s="176"/>
      <c r="O2162" s="176"/>
      <c r="P2162" s="176"/>
      <c r="Q2162" s="176"/>
      <c r="R2162" s="176"/>
      <c r="S2162" s="176"/>
      <c r="T2162" s="176"/>
      <c r="U2162" s="176"/>
      <c r="V2162" s="176"/>
      <c r="W2162" s="176"/>
      <c r="X2162" s="176"/>
      <c r="Y2162" s="176"/>
    </row>
    <row r="2163" spans="1:25">
      <c r="A2163" s="91"/>
      <c r="B2163" s="176"/>
      <c r="C2163" s="176"/>
      <c r="D2163" s="176"/>
      <c r="E2163" s="176"/>
      <c r="F2163" s="176"/>
      <c r="G2163" s="176"/>
      <c r="H2163" s="176"/>
      <c r="I2163" s="176"/>
      <c r="J2163" s="176"/>
      <c r="K2163" s="176"/>
      <c r="L2163" s="176"/>
      <c r="M2163" s="176"/>
      <c r="N2163" s="176"/>
      <c r="O2163" s="176"/>
      <c r="P2163" s="176"/>
      <c r="Q2163" s="176"/>
      <c r="R2163" s="176"/>
      <c r="S2163" s="176"/>
      <c r="T2163" s="176"/>
      <c r="U2163" s="176"/>
      <c r="V2163" s="176"/>
      <c r="W2163" s="176"/>
      <c r="X2163" s="176"/>
      <c r="Y2163" s="176"/>
    </row>
    <row r="2164" spans="1:25">
      <c r="A2164" s="91"/>
      <c r="B2164" s="176"/>
      <c r="C2164" s="176"/>
      <c r="D2164" s="176"/>
      <c r="E2164" s="176"/>
      <c r="F2164" s="176"/>
      <c r="G2164" s="176"/>
      <c r="H2164" s="176"/>
      <c r="I2164" s="176"/>
      <c r="J2164" s="176"/>
      <c r="K2164" s="176"/>
      <c r="L2164" s="176"/>
      <c r="M2164" s="176"/>
      <c r="N2164" s="176"/>
      <c r="O2164" s="176"/>
      <c r="P2164" s="176"/>
      <c r="Q2164" s="176"/>
      <c r="R2164" s="176"/>
      <c r="S2164" s="176"/>
      <c r="T2164" s="176"/>
      <c r="U2164" s="176"/>
      <c r="V2164" s="176"/>
      <c r="W2164" s="176"/>
      <c r="X2164" s="176"/>
      <c r="Y2164" s="176"/>
    </row>
    <row r="2165" spans="1:25">
      <c r="A2165" s="91"/>
      <c r="B2165" s="176"/>
      <c r="C2165" s="176"/>
      <c r="D2165" s="176"/>
      <c r="E2165" s="176"/>
      <c r="F2165" s="176"/>
      <c r="G2165" s="176"/>
      <c r="H2165" s="176"/>
      <c r="I2165" s="176"/>
      <c r="J2165" s="176"/>
      <c r="K2165" s="176"/>
      <c r="L2165" s="176"/>
      <c r="M2165" s="176"/>
      <c r="N2165" s="176"/>
      <c r="O2165" s="176"/>
      <c r="P2165" s="176"/>
      <c r="Q2165" s="176"/>
      <c r="R2165" s="176"/>
      <c r="S2165" s="176"/>
      <c r="T2165" s="176"/>
      <c r="U2165" s="176"/>
      <c r="V2165" s="176"/>
      <c r="W2165" s="176"/>
      <c r="X2165" s="176"/>
      <c r="Y2165" s="176"/>
    </row>
    <row r="2166" spans="1:25">
      <c r="A2166" s="91"/>
      <c r="B2166" s="176"/>
      <c r="C2166" s="176"/>
      <c r="D2166" s="176"/>
      <c r="E2166" s="176"/>
      <c r="F2166" s="176"/>
      <c r="G2166" s="176"/>
      <c r="H2166" s="176"/>
      <c r="I2166" s="176"/>
      <c r="J2166" s="176"/>
      <c r="K2166" s="176"/>
      <c r="L2166" s="176"/>
      <c r="M2166" s="176"/>
      <c r="N2166" s="176"/>
      <c r="O2166" s="176"/>
      <c r="P2166" s="176"/>
      <c r="Q2166" s="176"/>
      <c r="R2166" s="176"/>
      <c r="S2166" s="176"/>
      <c r="T2166" s="176"/>
      <c r="U2166" s="176"/>
      <c r="V2166" s="176"/>
      <c r="W2166" s="176"/>
      <c r="X2166" s="176"/>
      <c r="Y2166" s="176"/>
    </row>
    <row r="2167" spans="1:25">
      <c r="A2167" s="91"/>
      <c r="B2167" s="176"/>
      <c r="C2167" s="176"/>
      <c r="D2167" s="176"/>
      <c r="E2167" s="176"/>
      <c r="F2167" s="176"/>
      <c r="G2167" s="176"/>
      <c r="H2167" s="176"/>
      <c r="I2167" s="176"/>
      <c r="J2167" s="176"/>
      <c r="K2167" s="176"/>
      <c r="L2167" s="176"/>
      <c r="M2167" s="176"/>
      <c r="N2167" s="176"/>
      <c r="O2167" s="176"/>
      <c r="P2167" s="176"/>
      <c r="Q2167" s="176"/>
      <c r="R2167" s="176"/>
      <c r="S2167" s="176"/>
      <c r="T2167" s="176"/>
      <c r="U2167" s="176"/>
      <c r="V2167" s="176"/>
      <c r="W2167" s="176"/>
      <c r="X2167" s="176"/>
      <c r="Y2167" s="176"/>
    </row>
    <row r="2168" spans="1:25">
      <c r="A2168" s="91"/>
      <c r="B2168" s="176"/>
      <c r="C2168" s="176"/>
      <c r="D2168" s="176"/>
      <c r="E2168" s="176"/>
      <c r="F2168" s="176"/>
      <c r="G2168" s="176"/>
      <c r="H2168" s="176"/>
      <c r="I2168" s="176"/>
      <c r="J2168" s="176"/>
      <c r="K2168" s="176"/>
      <c r="L2168" s="176"/>
      <c r="M2168" s="176"/>
      <c r="N2168" s="176"/>
      <c r="O2168" s="176"/>
      <c r="P2168" s="176"/>
      <c r="Q2168" s="176"/>
      <c r="R2168" s="176"/>
      <c r="S2168" s="176"/>
      <c r="T2168" s="176"/>
      <c r="U2168" s="176"/>
      <c r="V2168" s="176"/>
      <c r="W2168" s="176"/>
      <c r="X2168" s="176"/>
      <c r="Y2168" s="176"/>
    </row>
    <row r="2169" spans="1:25">
      <c r="A2169" s="91"/>
      <c r="B2169" s="176"/>
      <c r="C2169" s="176"/>
      <c r="D2169" s="176"/>
      <c r="E2169" s="176"/>
      <c r="F2169" s="176"/>
      <c r="G2169" s="176"/>
      <c r="H2169" s="176"/>
      <c r="I2169" s="176"/>
      <c r="J2169" s="176"/>
      <c r="K2169" s="176"/>
      <c r="L2169" s="176"/>
      <c r="M2169" s="176"/>
      <c r="N2169" s="176"/>
      <c r="O2169" s="176"/>
      <c r="P2169" s="176"/>
      <c r="Q2169" s="176"/>
      <c r="R2169" s="176"/>
      <c r="S2169" s="176"/>
      <c r="T2169" s="176"/>
      <c r="U2169" s="176"/>
      <c r="V2169" s="176"/>
      <c r="W2169" s="176"/>
      <c r="X2169" s="176"/>
      <c r="Y2169" s="176"/>
    </row>
    <row r="2170" spans="1:25">
      <c r="A2170" s="91"/>
      <c r="B2170" s="176"/>
      <c r="C2170" s="176"/>
      <c r="D2170" s="176"/>
      <c r="E2170" s="176"/>
      <c r="F2170" s="176"/>
      <c r="G2170" s="176"/>
      <c r="H2170" s="176"/>
      <c r="I2170" s="176"/>
      <c r="J2170" s="176"/>
      <c r="K2170" s="176"/>
      <c r="L2170" s="176"/>
      <c r="M2170" s="176"/>
      <c r="N2170" s="176"/>
      <c r="O2170" s="176"/>
      <c r="P2170" s="176"/>
      <c r="Q2170" s="176"/>
      <c r="R2170" s="176"/>
      <c r="S2170" s="176"/>
      <c r="T2170" s="176"/>
      <c r="U2170" s="176"/>
      <c r="V2170" s="176"/>
      <c r="W2170" s="176"/>
      <c r="X2170" s="176"/>
      <c r="Y2170" s="176"/>
    </row>
    <row r="2171" spans="1:25">
      <c r="A2171" s="91"/>
      <c r="B2171" s="176"/>
      <c r="C2171" s="176"/>
      <c r="D2171" s="176"/>
      <c r="E2171" s="176"/>
      <c r="F2171" s="176"/>
      <c r="G2171" s="176"/>
      <c r="H2171" s="176"/>
      <c r="I2171" s="176"/>
      <c r="J2171" s="176"/>
      <c r="K2171" s="176"/>
      <c r="L2171" s="176"/>
      <c r="M2171" s="176"/>
      <c r="N2171" s="176"/>
      <c r="O2171" s="176"/>
      <c r="P2171" s="176"/>
      <c r="Q2171" s="176"/>
      <c r="R2171" s="176"/>
      <c r="S2171" s="176"/>
      <c r="T2171" s="176"/>
      <c r="U2171" s="176"/>
      <c r="V2171" s="176"/>
      <c r="W2171" s="176"/>
      <c r="X2171" s="176"/>
      <c r="Y2171" s="176"/>
    </row>
    <row r="2172" spans="1:25">
      <c r="A2172" s="91"/>
      <c r="B2172" s="176"/>
      <c r="C2172" s="176"/>
      <c r="D2172" s="176"/>
      <c r="E2172" s="176"/>
      <c r="F2172" s="176"/>
      <c r="G2172" s="176"/>
      <c r="H2172" s="176"/>
      <c r="I2172" s="176"/>
      <c r="J2172" s="176"/>
      <c r="K2172" s="176"/>
      <c r="L2172" s="176"/>
      <c r="M2172" s="176"/>
      <c r="N2172" s="176"/>
      <c r="O2172" s="176"/>
      <c r="P2172" s="176"/>
      <c r="Q2172" s="176"/>
      <c r="R2172" s="176"/>
      <c r="S2172" s="176"/>
      <c r="T2172" s="176"/>
      <c r="U2172" s="176"/>
      <c r="V2172" s="176"/>
      <c r="W2172" s="176"/>
      <c r="X2172" s="176"/>
      <c r="Y2172" s="176"/>
    </row>
    <row r="2173" spans="1:25">
      <c r="A2173" s="91"/>
      <c r="B2173" s="176"/>
      <c r="C2173" s="176"/>
      <c r="D2173" s="176"/>
      <c r="E2173" s="176"/>
      <c r="F2173" s="176"/>
      <c r="G2173" s="176"/>
      <c r="H2173" s="176"/>
      <c r="I2173" s="176"/>
      <c r="J2173" s="176"/>
      <c r="K2173" s="176"/>
      <c r="L2173" s="176"/>
      <c r="M2173" s="176"/>
      <c r="N2173" s="176"/>
      <c r="O2173" s="176"/>
      <c r="P2173" s="176"/>
      <c r="Q2173" s="176"/>
      <c r="R2173" s="176"/>
      <c r="S2173" s="176"/>
      <c r="T2173" s="176"/>
      <c r="U2173" s="176"/>
      <c r="V2173" s="176"/>
      <c r="W2173" s="176"/>
      <c r="X2173" s="176"/>
      <c r="Y2173" s="176"/>
    </row>
    <row r="2174" spans="1:25">
      <c r="A2174" s="91"/>
      <c r="B2174" s="176"/>
      <c r="C2174" s="176"/>
      <c r="D2174" s="176"/>
      <c r="E2174" s="176"/>
      <c r="F2174" s="176"/>
      <c r="G2174" s="176"/>
      <c r="H2174" s="176"/>
      <c r="I2174" s="176"/>
      <c r="J2174" s="176"/>
      <c r="K2174" s="176"/>
      <c r="L2174" s="176"/>
      <c r="M2174" s="176"/>
      <c r="N2174" s="176"/>
      <c r="O2174" s="176"/>
      <c r="P2174" s="176"/>
      <c r="Q2174" s="176"/>
      <c r="R2174" s="176"/>
      <c r="S2174" s="176"/>
      <c r="T2174" s="176"/>
      <c r="U2174" s="176"/>
      <c r="V2174" s="176"/>
      <c r="W2174" s="176"/>
      <c r="X2174" s="176"/>
      <c r="Y2174" s="176"/>
    </row>
    <row r="2175" spans="1:25">
      <c r="A2175" s="91"/>
      <c r="B2175" s="176"/>
      <c r="C2175" s="176"/>
      <c r="D2175" s="176"/>
      <c r="E2175" s="176"/>
      <c r="F2175" s="176"/>
      <c r="G2175" s="176"/>
      <c r="H2175" s="176"/>
      <c r="I2175" s="176"/>
      <c r="J2175" s="176"/>
      <c r="K2175" s="176"/>
      <c r="L2175" s="176"/>
      <c r="M2175" s="176"/>
      <c r="N2175" s="176"/>
      <c r="O2175" s="176"/>
      <c r="P2175" s="176"/>
      <c r="Q2175" s="176"/>
      <c r="R2175" s="176"/>
      <c r="S2175" s="176"/>
      <c r="T2175" s="176"/>
      <c r="U2175" s="176"/>
      <c r="V2175" s="176"/>
      <c r="W2175" s="176"/>
      <c r="X2175" s="176"/>
      <c r="Y2175" s="176"/>
    </row>
    <row r="2176" spans="1:25">
      <c r="A2176" s="91"/>
      <c r="B2176" s="176"/>
      <c r="C2176" s="176"/>
      <c r="D2176" s="176"/>
      <c r="E2176" s="176"/>
      <c r="F2176" s="176"/>
      <c r="G2176" s="176"/>
      <c r="H2176" s="176"/>
      <c r="I2176" s="176"/>
      <c r="J2176" s="176"/>
      <c r="K2176" s="176"/>
      <c r="L2176" s="176"/>
      <c r="M2176" s="176"/>
      <c r="N2176" s="176"/>
      <c r="O2176" s="176"/>
      <c r="P2176" s="176"/>
      <c r="Q2176" s="176"/>
      <c r="R2176" s="176"/>
      <c r="S2176" s="176"/>
      <c r="T2176" s="176"/>
      <c r="U2176" s="176"/>
      <c r="V2176" s="176"/>
      <c r="W2176" s="176"/>
      <c r="X2176" s="176"/>
      <c r="Y2176" s="176"/>
    </row>
    <row r="2177" spans="1:25">
      <c r="A2177" s="91"/>
      <c r="B2177" s="176"/>
      <c r="C2177" s="176"/>
      <c r="D2177" s="176"/>
      <c r="E2177" s="176"/>
      <c r="F2177" s="176"/>
      <c r="G2177" s="176"/>
      <c r="H2177" s="176"/>
      <c r="I2177" s="176"/>
      <c r="J2177" s="176"/>
      <c r="K2177" s="176"/>
      <c r="L2177" s="176"/>
      <c r="M2177" s="176"/>
      <c r="N2177" s="176"/>
      <c r="O2177" s="176"/>
      <c r="P2177" s="176"/>
      <c r="Q2177" s="176"/>
      <c r="R2177" s="176"/>
      <c r="S2177" s="176"/>
      <c r="T2177" s="176"/>
      <c r="U2177" s="176"/>
      <c r="V2177" s="176"/>
      <c r="W2177" s="176"/>
      <c r="X2177" s="176"/>
      <c r="Y2177" s="176"/>
    </row>
    <row r="2178" spans="1:25">
      <c r="A2178" s="91"/>
      <c r="B2178" s="176"/>
      <c r="C2178" s="176"/>
      <c r="D2178" s="176"/>
      <c r="E2178" s="176"/>
      <c r="F2178" s="176"/>
      <c r="G2178" s="176"/>
      <c r="H2178" s="176"/>
      <c r="I2178" s="176"/>
      <c r="J2178" s="176"/>
      <c r="K2178" s="176"/>
      <c r="L2178" s="176"/>
      <c r="M2178" s="176"/>
      <c r="N2178" s="176"/>
      <c r="O2178" s="176"/>
      <c r="P2178" s="176"/>
      <c r="Q2178" s="176"/>
      <c r="R2178" s="176"/>
      <c r="S2178" s="176"/>
      <c r="T2178" s="176"/>
      <c r="U2178" s="176"/>
      <c r="V2178" s="176"/>
      <c r="W2178" s="176"/>
      <c r="X2178" s="176"/>
      <c r="Y2178" s="176"/>
    </row>
    <row r="2179" spans="1:25">
      <c r="A2179" s="91"/>
      <c r="B2179" s="176"/>
      <c r="C2179" s="176"/>
      <c r="D2179" s="176"/>
      <c r="E2179" s="176"/>
      <c r="F2179" s="176"/>
      <c r="G2179" s="176"/>
      <c r="H2179" s="176"/>
      <c r="I2179" s="176"/>
      <c r="J2179" s="176"/>
      <c r="K2179" s="176"/>
      <c r="L2179" s="176"/>
      <c r="M2179" s="176"/>
      <c r="N2179" s="176"/>
      <c r="O2179" s="176"/>
      <c r="P2179" s="176"/>
      <c r="Q2179" s="176"/>
      <c r="R2179" s="176"/>
      <c r="S2179" s="176"/>
      <c r="T2179" s="176"/>
      <c r="U2179" s="176"/>
      <c r="V2179" s="176"/>
      <c r="W2179" s="176"/>
      <c r="X2179" s="176"/>
      <c r="Y2179" s="176"/>
    </row>
    <row r="2180" spans="1:25">
      <c r="A2180" s="91"/>
      <c r="B2180" s="176"/>
      <c r="C2180" s="176"/>
      <c r="D2180" s="176"/>
      <c r="E2180" s="176"/>
      <c r="F2180" s="176"/>
      <c r="G2180" s="176"/>
      <c r="H2180" s="176"/>
      <c r="I2180" s="176"/>
      <c r="J2180" s="176"/>
      <c r="K2180" s="176"/>
      <c r="L2180" s="176"/>
      <c r="M2180" s="176"/>
      <c r="N2180" s="176"/>
      <c r="O2180" s="176"/>
      <c r="P2180" s="176"/>
      <c r="Q2180" s="176"/>
      <c r="R2180" s="176"/>
      <c r="S2180" s="176"/>
      <c r="T2180" s="176"/>
      <c r="U2180" s="176"/>
      <c r="V2180" s="176"/>
      <c r="W2180" s="176"/>
      <c r="X2180" s="176"/>
      <c r="Y2180" s="176"/>
    </row>
    <row r="2181" spans="1:25">
      <c r="A2181" s="91"/>
      <c r="B2181" s="176"/>
      <c r="C2181" s="176"/>
      <c r="D2181" s="176"/>
      <c r="E2181" s="176"/>
      <c r="F2181" s="176"/>
      <c r="G2181" s="176"/>
      <c r="H2181" s="176"/>
      <c r="I2181" s="176"/>
      <c r="J2181" s="176"/>
      <c r="K2181" s="176"/>
      <c r="L2181" s="176"/>
      <c r="M2181" s="176"/>
      <c r="N2181" s="176"/>
      <c r="O2181" s="176"/>
      <c r="P2181" s="176"/>
      <c r="Q2181" s="176"/>
      <c r="R2181" s="176"/>
      <c r="S2181" s="176"/>
      <c r="T2181" s="176"/>
      <c r="U2181" s="176"/>
      <c r="V2181" s="176"/>
      <c r="W2181" s="176"/>
      <c r="X2181" s="176"/>
      <c r="Y2181" s="176"/>
    </row>
    <row r="2182" spans="1:25">
      <c r="A2182" s="91"/>
      <c r="B2182" s="176"/>
      <c r="C2182" s="176"/>
      <c r="D2182" s="176"/>
      <c r="E2182" s="176"/>
      <c r="F2182" s="176"/>
      <c r="G2182" s="176"/>
      <c r="H2182" s="176"/>
      <c r="I2182" s="176"/>
      <c r="J2182" s="176"/>
      <c r="K2182" s="176"/>
      <c r="L2182" s="176"/>
      <c r="M2182" s="176"/>
      <c r="N2182" s="176"/>
      <c r="O2182" s="176"/>
      <c r="P2182" s="176"/>
      <c r="Q2182" s="176"/>
      <c r="R2182" s="176"/>
      <c r="S2182" s="176"/>
      <c r="T2182" s="176"/>
      <c r="U2182" s="176"/>
      <c r="V2182" s="176"/>
      <c r="W2182" s="176"/>
      <c r="X2182" s="176"/>
      <c r="Y2182" s="176"/>
    </row>
    <row r="2183" spans="1:25">
      <c r="A2183" s="91"/>
      <c r="B2183" s="176"/>
      <c r="C2183" s="176"/>
      <c r="D2183" s="176"/>
      <c r="E2183" s="176"/>
      <c r="F2183" s="176"/>
      <c r="G2183" s="176"/>
      <c r="H2183" s="176"/>
      <c r="I2183" s="176"/>
      <c r="J2183" s="176"/>
      <c r="K2183" s="176"/>
      <c r="L2183" s="176"/>
      <c r="M2183" s="176"/>
      <c r="N2183" s="176"/>
      <c r="O2183" s="176"/>
      <c r="P2183" s="176"/>
      <c r="Q2183" s="176"/>
      <c r="R2183" s="176"/>
      <c r="S2183" s="176"/>
      <c r="T2183" s="176"/>
      <c r="U2183" s="176"/>
      <c r="V2183" s="176"/>
      <c r="W2183" s="176"/>
      <c r="X2183" s="176"/>
      <c r="Y2183" s="176"/>
    </row>
    <row r="2184" spans="1:25">
      <c r="A2184" s="91"/>
      <c r="B2184" s="176"/>
      <c r="C2184" s="176"/>
      <c r="D2184" s="176"/>
      <c r="E2184" s="176"/>
      <c r="F2184" s="176"/>
      <c r="G2184" s="176"/>
      <c r="H2184" s="176"/>
      <c r="I2184" s="176"/>
      <c r="J2184" s="176"/>
      <c r="K2184" s="176"/>
      <c r="L2184" s="176"/>
      <c r="M2184" s="176"/>
      <c r="N2184" s="176"/>
      <c r="O2184" s="176"/>
      <c r="P2184" s="176"/>
      <c r="Q2184" s="176"/>
      <c r="R2184" s="176"/>
      <c r="S2184" s="176"/>
      <c r="T2184" s="176"/>
      <c r="U2184" s="176"/>
      <c r="V2184" s="176"/>
      <c r="W2184" s="176"/>
      <c r="X2184" s="176"/>
      <c r="Y2184" s="176"/>
    </row>
    <row r="2185" spans="1:25">
      <c r="A2185" s="91"/>
      <c r="B2185" s="176"/>
      <c r="C2185" s="176"/>
      <c r="D2185" s="176"/>
      <c r="E2185" s="176"/>
      <c r="F2185" s="176"/>
      <c r="G2185" s="176"/>
      <c r="H2185" s="176"/>
      <c r="I2185" s="176"/>
      <c r="J2185" s="176"/>
      <c r="K2185" s="176"/>
      <c r="L2185" s="176"/>
      <c r="M2185" s="176"/>
      <c r="N2185" s="176"/>
      <c r="O2185" s="176"/>
      <c r="P2185" s="176"/>
      <c r="Q2185" s="176"/>
      <c r="R2185" s="176"/>
      <c r="S2185" s="176"/>
      <c r="T2185" s="176"/>
      <c r="U2185" s="176"/>
      <c r="V2185" s="176"/>
      <c r="W2185" s="176"/>
      <c r="X2185" s="176"/>
      <c r="Y2185" s="176"/>
    </row>
    <row r="2186" spans="1:25">
      <c r="A2186" s="91"/>
      <c r="B2186" s="176"/>
      <c r="C2186" s="176"/>
      <c r="D2186" s="176"/>
      <c r="E2186" s="176"/>
      <c r="F2186" s="176"/>
      <c r="G2186" s="176"/>
      <c r="H2186" s="176"/>
      <c r="I2186" s="176"/>
      <c r="J2186" s="176"/>
      <c r="K2186" s="176"/>
      <c r="L2186" s="176"/>
      <c r="M2186" s="176"/>
      <c r="N2186" s="176"/>
      <c r="O2186" s="176"/>
      <c r="P2186" s="176"/>
      <c r="Q2186" s="176"/>
      <c r="R2186" s="176"/>
      <c r="S2186" s="176"/>
      <c r="T2186" s="176"/>
      <c r="U2186" s="176"/>
      <c r="V2186" s="176"/>
      <c r="W2186" s="176"/>
      <c r="X2186" s="176"/>
      <c r="Y2186" s="176"/>
    </row>
    <row r="2187" spans="1:25">
      <c r="A2187" s="91"/>
      <c r="B2187" s="176"/>
      <c r="C2187" s="176"/>
      <c r="D2187" s="176"/>
      <c r="E2187" s="176"/>
      <c r="F2187" s="176"/>
      <c r="G2187" s="176"/>
      <c r="H2187" s="176"/>
      <c r="I2187" s="176"/>
      <c r="J2187" s="176"/>
      <c r="K2187" s="176"/>
      <c r="L2187" s="176"/>
      <c r="M2187" s="176"/>
      <c r="N2187" s="176"/>
      <c r="O2187" s="176"/>
      <c r="P2187" s="176"/>
      <c r="Q2187" s="176"/>
      <c r="R2187" s="176"/>
      <c r="S2187" s="176"/>
      <c r="T2187" s="176"/>
      <c r="U2187" s="176"/>
      <c r="V2187" s="176"/>
      <c r="W2187" s="176"/>
      <c r="X2187" s="176"/>
      <c r="Y2187" s="176"/>
    </row>
    <row r="2188" spans="1:25">
      <c r="A2188" s="91"/>
      <c r="B2188" s="176"/>
      <c r="C2188" s="176"/>
      <c r="D2188" s="176"/>
      <c r="E2188" s="176"/>
      <c r="F2188" s="176"/>
      <c r="G2188" s="176"/>
      <c r="H2188" s="176"/>
      <c r="I2188" s="176"/>
      <c r="J2188" s="176"/>
      <c r="K2188" s="176"/>
      <c r="L2188" s="176"/>
      <c r="M2188" s="176"/>
      <c r="N2188" s="176"/>
      <c r="O2188" s="176"/>
      <c r="P2188" s="176"/>
      <c r="Q2188" s="176"/>
      <c r="R2188" s="176"/>
      <c r="S2188" s="176"/>
      <c r="T2188" s="176"/>
      <c r="U2188" s="176"/>
      <c r="V2188" s="176"/>
      <c r="W2188" s="176"/>
      <c r="X2188" s="176"/>
      <c r="Y2188" s="176"/>
    </row>
    <row r="2189" spans="1:25">
      <c r="A2189" s="91"/>
      <c r="B2189" s="176"/>
      <c r="C2189" s="176"/>
      <c r="D2189" s="176"/>
      <c r="E2189" s="176"/>
      <c r="F2189" s="176"/>
      <c r="G2189" s="176"/>
      <c r="H2189" s="176"/>
      <c r="I2189" s="176"/>
      <c r="J2189" s="176"/>
      <c r="K2189" s="176"/>
      <c r="L2189" s="176"/>
      <c r="M2189" s="176"/>
      <c r="N2189" s="176"/>
      <c r="O2189" s="176"/>
      <c r="P2189" s="176"/>
      <c r="Q2189" s="176"/>
      <c r="R2189" s="176"/>
      <c r="S2189" s="176"/>
      <c r="T2189" s="176"/>
      <c r="U2189" s="176"/>
      <c r="V2189" s="176"/>
      <c r="W2189" s="176"/>
      <c r="X2189" s="176"/>
      <c r="Y2189" s="176"/>
    </row>
    <row r="2190" spans="1:25">
      <c r="A2190" s="91"/>
      <c r="B2190" s="176"/>
      <c r="C2190" s="176"/>
      <c r="D2190" s="176"/>
      <c r="E2190" s="176"/>
      <c r="F2190" s="176"/>
      <c r="G2190" s="176"/>
      <c r="H2190" s="176"/>
      <c r="I2190" s="176"/>
      <c r="J2190" s="176"/>
      <c r="K2190" s="176"/>
      <c r="L2190" s="176"/>
      <c r="M2190" s="176"/>
      <c r="N2190" s="176"/>
      <c r="O2190" s="176"/>
      <c r="P2190" s="176"/>
      <c r="Q2190" s="176"/>
      <c r="R2190" s="176"/>
      <c r="S2190" s="176"/>
      <c r="T2190" s="176"/>
      <c r="U2190" s="176"/>
      <c r="V2190" s="176"/>
      <c r="W2190" s="176"/>
      <c r="X2190" s="176"/>
      <c r="Y2190" s="176"/>
    </row>
    <row r="2191" spans="1:25">
      <c r="A2191" s="91"/>
      <c r="B2191" s="176"/>
      <c r="C2191" s="176"/>
      <c r="D2191" s="176"/>
      <c r="E2191" s="176"/>
      <c r="F2191" s="176"/>
      <c r="G2191" s="176"/>
      <c r="H2191" s="176"/>
      <c r="I2191" s="176"/>
      <c r="J2191" s="176"/>
      <c r="K2191" s="176"/>
      <c r="L2191" s="176"/>
      <c r="M2191" s="176"/>
      <c r="N2191" s="176"/>
      <c r="O2191" s="176"/>
      <c r="P2191" s="176"/>
      <c r="Q2191" s="176"/>
      <c r="R2191" s="176"/>
      <c r="S2191" s="176"/>
      <c r="T2191" s="176"/>
      <c r="U2191" s="176"/>
      <c r="V2191" s="176"/>
      <c r="W2191" s="176"/>
      <c r="X2191" s="176"/>
      <c r="Y2191" s="176"/>
    </row>
    <row r="2192" spans="1:25">
      <c r="A2192" s="91"/>
      <c r="B2192" s="176"/>
      <c r="C2192" s="176"/>
      <c r="D2192" s="176"/>
      <c r="E2192" s="176"/>
      <c r="F2192" s="176"/>
      <c r="G2192" s="176"/>
      <c r="H2192" s="176"/>
      <c r="I2192" s="176"/>
      <c r="J2192" s="176"/>
      <c r="K2192" s="176"/>
      <c r="L2192" s="176"/>
      <c r="M2192" s="176"/>
      <c r="N2192" s="176"/>
      <c r="O2192" s="176"/>
      <c r="P2192" s="176"/>
      <c r="Q2192" s="176"/>
      <c r="R2192" s="176"/>
      <c r="S2192" s="176"/>
      <c r="T2192" s="176"/>
      <c r="U2192" s="176"/>
      <c r="V2192" s="176"/>
      <c r="W2192" s="176"/>
      <c r="X2192" s="176"/>
      <c r="Y2192" s="176"/>
    </row>
    <row r="2193" spans="1:25">
      <c r="A2193" s="91"/>
      <c r="B2193" s="176"/>
      <c r="C2193" s="176"/>
      <c r="D2193" s="176"/>
      <c r="E2193" s="176"/>
      <c r="F2193" s="176"/>
      <c r="G2193" s="176"/>
      <c r="H2193" s="176"/>
      <c r="I2193" s="176"/>
      <c r="J2193" s="176"/>
      <c r="K2193" s="176"/>
      <c r="L2193" s="176"/>
      <c r="M2193" s="176"/>
      <c r="N2193" s="176"/>
      <c r="O2193" s="176"/>
      <c r="P2193" s="176"/>
      <c r="Q2193" s="176"/>
      <c r="R2193" s="176"/>
      <c r="S2193" s="176"/>
      <c r="T2193" s="176"/>
      <c r="U2193" s="176"/>
      <c r="V2193" s="176"/>
      <c r="W2193" s="176"/>
      <c r="X2193" s="176"/>
      <c r="Y2193" s="176"/>
    </row>
    <row r="2194" spans="1:25">
      <c r="A2194" s="91"/>
      <c r="B2194" s="176"/>
      <c r="C2194" s="176"/>
      <c r="D2194" s="176"/>
      <c r="E2194" s="176"/>
      <c r="F2194" s="176"/>
      <c r="G2194" s="176"/>
      <c r="H2194" s="176"/>
      <c r="I2194" s="176"/>
      <c r="J2194" s="176"/>
      <c r="K2194" s="176"/>
      <c r="L2194" s="176"/>
      <c r="M2194" s="176"/>
      <c r="N2194" s="176"/>
      <c r="O2194" s="176"/>
      <c r="P2194" s="176"/>
      <c r="Q2194" s="176"/>
      <c r="R2194" s="176"/>
      <c r="S2194" s="176"/>
      <c r="T2194" s="176"/>
      <c r="U2194" s="176"/>
      <c r="V2194" s="176"/>
      <c r="W2194" s="176"/>
      <c r="X2194" s="176"/>
      <c r="Y2194" s="176"/>
    </row>
    <row r="2195" spans="1:25">
      <c r="A2195" s="91"/>
      <c r="B2195" s="176"/>
      <c r="C2195" s="176"/>
      <c r="D2195" s="176"/>
      <c r="E2195" s="176"/>
      <c r="F2195" s="176"/>
      <c r="G2195" s="176"/>
      <c r="H2195" s="176"/>
      <c r="I2195" s="176"/>
      <c r="J2195" s="176"/>
      <c r="K2195" s="176"/>
      <c r="L2195" s="176"/>
      <c r="M2195" s="176"/>
      <c r="N2195" s="176"/>
      <c r="O2195" s="176"/>
      <c r="P2195" s="176"/>
      <c r="Q2195" s="176"/>
      <c r="R2195" s="176"/>
      <c r="S2195" s="176"/>
      <c r="T2195" s="176"/>
      <c r="U2195" s="176"/>
      <c r="V2195" s="176"/>
      <c r="W2195" s="176"/>
      <c r="X2195" s="176"/>
      <c r="Y2195" s="176"/>
    </row>
    <row r="2196" spans="1:25">
      <c r="A2196" s="91"/>
      <c r="B2196" s="176"/>
      <c r="C2196" s="176"/>
      <c r="D2196" s="176"/>
      <c r="E2196" s="176"/>
      <c r="F2196" s="176"/>
      <c r="G2196" s="176"/>
      <c r="H2196" s="176"/>
      <c r="I2196" s="176"/>
      <c r="J2196" s="176"/>
      <c r="K2196" s="176"/>
      <c r="L2196" s="176"/>
      <c r="M2196" s="176"/>
      <c r="N2196" s="176"/>
      <c r="O2196" s="176"/>
      <c r="P2196" s="176"/>
      <c r="Q2196" s="176"/>
      <c r="R2196" s="176"/>
      <c r="S2196" s="176"/>
      <c r="T2196" s="176"/>
      <c r="U2196" s="176"/>
      <c r="V2196" s="176"/>
      <c r="W2196" s="176"/>
      <c r="X2196" s="176"/>
      <c r="Y2196" s="176"/>
    </row>
    <row r="2197" spans="1:25">
      <c r="A2197" s="91"/>
      <c r="B2197" s="176"/>
      <c r="C2197" s="176"/>
      <c r="D2197" s="176"/>
      <c r="E2197" s="176"/>
      <c r="F2197" s="176"/>
      <c r="G2197" s="176"/>
      <c r="H2197" s="176"/>
      <c r="I2197" s="176"/>
      <c r="J2197" s="176"/>
      <c r="K2197" s="176"/>
      <c r="L2197" s="176"/>
      <c r="M2197" s="176"/>
      <c r="N2197" s="176"/>
      <c r="O2197" s="176"/>
      <c r="P2197" s="176"/>
      <c r="Q2197" s="176"/>
      <c r="R2197" s="176"/>
      <c r="S2197" s="176"/>
      <c r="T2197" s="176"/>
      <c r="U2197" s="176"/>
      <c r="V2197" s="176"/>
      <c r="W2197" s="176"/>
      <c r="X2197" s="176"/>
      <c r="Y2197" s="176"/>
    </row>
    <row r="2198" spans="1:25">
      <c r="A2198" s="91"/>
      <c r="B2198" s="176"/>
      <c r="C2198" s="176"/>
      <c r="D2198" s="176"/>
      <c r="E2198" s="176"/>
      <c r="F2198" s="176"/>
      <c r="G2198" s="176"/>
      <c r="H2198" s="176"/>
      <c r="I2198" s="176"/>
      <c r="J2198" s="176"/>
      <c r="K2198" s="176"/>
      <c r="L2198" s="176"/>
      <c r="M2198" s="176"/>
      <c r="N2198" s="176"/>
      <c r="O2198" s="176"/>
      <c r="P2198" s="176"/>
      <c r="Q2198" s="176"/>
      <c r="R2198" s="176"/>
      <c r="S2198" s="176"/>
      <c r="T2198" s="176"/>
      <c r="U2198" s="176"/>
      <c r="V2198" s="176"/>
      <c r="W2198" s="176"/>
      <c r="X2198" s="176"/>
      <c r="Y2198" s="176"/>
    </row>
    <row r="2199" spans="1:25">
      <c r="A2199" s="91"/>
      <c r="B2199" s="176"/>
      <c r="C2199" s="176"/>
      <c r="D2199" s="176"/>
      <c r="E2199" s="176"/>
      <c r="F2199" s="176"/>
      <c r="G2199" s="176"/>
      <c r="H2199" s="176"/>
      <c r="I2199" s="176"/>
      <c r="J2199" s="176"/>
      <c r="K2199" s="176"/>
      <c r="L2199" s="176"/>
      <c r="M2199" s="176"/>
      <c r="N2199" s="176"/>
      <c r="O2199" s="176"/>
      <c r="P2199" s="176"/>
      <c r="Q2199" s="176"/>
      <c r="R2199" s="176"/>
      <c r="S2199" s="176"/>
      <c r="T2199" s="176"/>
      <c r="U2199" s="176"/>
      <c r="V2199" s="176"/>
      <c r="W2199" s="176"/>
      <c r="X2199" s="176"/>
      <c r="Y2199" s="176"/>
    </row>
    <row r="2200" spans="1:25">
      <c r="A2200" s="91"/>
      <c r="B2200" s="176"/>
      <c r="C2200" s="176"/>
      <c r="D2200" s="176"/>
      <c r="E2200" s="176"/>
      <c r="F2200" s="176"/>
      <c r="G2200" s="176"/>
      <c r="H2200" s="176"/>
      <c r="I2200" s="176"/>
      <c r="J2200" s="176"/>
      <c r="K2200" s="176"/>
      <c r="L2200" s="176"/>
      <c r="M2200" s="176"/>
      <c r="N2200" s="176"/>
      <c r="O2200" s="176"/>
      <c r="P2200" s="176"/>
      <c r="Q2200" s="176"/>
      <c r="R2200" s="176"/>
      <c r="S2200" s="176"/>
      <c r="T2200" s="176"/>
      <c r="U2200" s="176"/>
      <c r="V2200" s="176"/>
      <c r="W2200" s="176"/>
      <c r="X2200" s="176"/>
      <c r="Y2200" s="176"/>
    </row>
    <row r="2201" spans="1:25">
      <c r="A2201" s="91"/>
      <c r="B2201" s="176"/>
      <c r="C2201" s="176"/>
      <c r="D2201" s="176"/>
      <c r="E2201" s="176"/>
      <c r="F2201" s="176"/>
      <c r="G2201" s="176"/>
      <c r="H2201" s="176"/>
      <c r="I2201" s="176"/>
      <c r="J2201" s="176"/>
      <c r="K2201" s="176"/>
      <c r="L2201" s="176"/>
      <c r="M2201" s="176"/>
      <c r="N2201" s="176"/>
      <c r="O2201" s="176"/>
      <c r="P2201" s="176"/>
      <c r="Q2201" s="176"/>
      <c r="R2201" s="176"/>
      <c r="S2201" s="176"/>
      <c r="T2201" s="176"/>
      <c r="U2201" s="176"/>
      <c r="V2201" s="176"/>
      <c r="W2201" s="176"/>
      <c r="X2201" s="176"/>
      <c r="Y2201" s="176"/>
    </row>
    <row r="2202" spans="1:25">
      <c r="A2202" s="91"/>
      <c r="B2202" s="176"/>
      <c r="C2202" s="176"/>
      <c r="D2202" s="176"/>
      <c r="E2202" s="176"/>
      <c r="F2202" s="176"/>
      <c r="G2202" s="176"/>
      <c r="H2202" s="176"/>
      <c r="I2202" s="176"/>
      <c r="J2202" s="176"/>
      <c r="K2202" s="176"/>
      <c r="L2202" s="176"/>
      <c r="M2202" s="176"/>
      <c r="N2202" s="176"/>
      <c r="O2202" s="176"/>
      <c r="P2202" s="176"/>
      <c r="Q2202" s="176"/>
      <c r="R2202" s="176"/>
      <c r="S2202" s="176"/>
      <c r="T2202" s="176"/>
      <c r="U2202" s="176"/>
      <c r="V2202" s="176"/>
      <c r="W2202" s="176"/>
      <c r="X2202" s="176"/>
      <c r="Y2202" s="176"/>
    </row>
    <row r="2203" spans="1:25">
      <c r="A2203" s="91"/>
      <c r="B2203" s="176"/>
      <c r="C2203" s="176"/>
      <c r="D2203" s="176"/>
      <c r="E2203" s="176"/>
      <c r="F2203" s="176"/>
      <c r="G2203" s="176"/>
      <c r="H2203" s="176"/>
      <c r="I2203" s="176"/>
      <c r="J2203" s="176"/>
      <c r="K2203" s="176"/>
      <c r="L2203" s="176"/>
      <c r="M2203" s="176"/>
      <c r="N2203" s="176"/>
      <c r="O2203" s="176"/>
      <c r="P2203" s="176"/>
      <c r="Q2203" s="176"/>
      <c r="R2203" s="176"/>
      <c r="S2203" s="176"/>
      <c r="T2203" s="176"/>
      <c r="U2203" s="176"/>
      <c r="V2203" s="176"/>
      <c r="W2203" s="176"/>
      <c r="X2203" s="176"/>
      <c r="Y2203" s="176"/>
    </row>
    <row r="2204" spans="1:25">
      <c r="A2204" s="91"/>
      <c r="B2204" s="176"/>
      <c r="C2204" s="176"/>
      <c r="D2204" s="176"/>
      <c r="E2204" s="176"/>
      <c r="F2204" s="176"/>
      <c r="G2204" s="176"/>
      <c r="H2204" s="176"/>
      <c r="I2204" s="176"/>
      <c r="J2204" s="176"/>
      <c r="K2204" s="176"/>
      <c r="L2204" s="176"/>
      <c r="M2204" s="176"/>
      <c r="N2204" s="176"/>
      <c r="O2204" s="176"/>
      <c r="P2204" s="176"/>
      <c r="Q2204" s="176"/>
      <c r="R2204" s="176"/>
      <c r="S2204" s="176"/>
      <c r="T2204" s="176"/>
      <c r="U2204" s="176"/>
      <c r="V2204" s="176"/>
      <c r="W2204" s="176"/>
      <c r="X2204" s="176"/>
      <c r="Y2204" s="176"/>
    </row>
    <row r="2205" spans="1:25">
      <c r="A2205" s="91"/>
      <c r="B2205" s="176"/>
      <c r="C2205" s="176"/>
      <c r="D2205" s="176"/>
      <c r="E2205" s="176"/>
      <c r="F2205" s="176"/>
      <c r="G2205" s="176"/>
      <c r="H2205" s="176"/>
      <c r="I2205" s="176"/>
      <c r="J2205" s="176"/>
      <c r="K2205" s="176"/>
      <c r="L2205" s="176"/>
      <c r="M2205" s="176"/>
      <c r="N2205" s="176"/>
      <c r="O2205" s="176"/>
      <c r="P2205" s="176"/>
      <c r="Q2205" s="176"/>
      <c r="R2205" s="176"/>
      <c r="S2205" s="176"/>
      <c r="T2205" s="176"/>
      <c r="U2205" s="176"/>
      <c r="V2205" s="176"/>
      <c r="W2205" s="176"/>
      <c r="X2205" s="176"/>
      <c r="Y2205" s="176"/>
    </row>
    <row r="2206" spans="1:25">
      <c r="A2206" s="91"/>
      <c r="B2206" s="176"/>
      <c r="C2206" s="176"/>
      <c r="D2206" s="176"/>
      <c r="E2206" s="176"/>
      <c r="F2206" s="176"/>
      <c r="G2206" s="176"/>
      <c r="H2206" s="176"/>
      <c r="I2206" s="176"/>
      <c r="J2206" s="176"/>
      <c r="K2206" s="176"/>
      <c r="L2206" s="176"/>
      <c r="M2206" s="176"/>
      <c r="N2206" s="176"/>
      <c r="O2206" s="176"/>
      <c r="P2206" s="176"/>
      <c r="Q2206" s="176"/>
      <c r="R2206" s="176"/>
      <c r="S2206" s="176"/>
      <c r="T2206" s="176"/>
      <c r="U2206" s="176"/>
      <c r="V2206" s="176"/>
      <c r="W2206" s="176"/>
      <c r="X2206" s="176"/>
      <c r="Y2206" s="176"/>
    </row>
    <row r="2207" spans="1:25">
      <c r="A2207" s="91"/>
      <c r="B2207" s="176"/>
      <c r="C2207" s="176"/>
      <c r="D2207" s="176"/>
      <c r="E2207" s="176"/>
      <c r="F2207" s="176"/>
      <c r="G2207" s="176"/>
      <c r="H2207" s="176"/>
      <c r="I2207" s="176"/>
      <c r="J2207" s="176"/>
      <c r="K2207" s="176"/>
      <c r="L2207" s="176"/>
      <c r="M2207" s="176"/>
      <c r="N2207" s="176"/>
      <c r="O2207" s="176"/>
      <c r="P2207" s="176"/>
      <c r="Q2207" s="176"/>
      <c r="R2207" s="176"/>
      <c r="S2207" s="176"/>
      <c r="T2207" s="176"/>
      <c r="U2207" s="176"/>
      <c r="V2207" s="176"/>
      <c r="W2207" s="176"/>
      <c r="X2207" s="176"/>
      <c r="Y2207" s="176"/>
    </row>
    <row r="2208" spans="1:25">
      <c r="A2208" s="91"/>
      <c r="B2208" s="176"/>
      <c r="C2208" s="176"/>
      <c r="D2208" s="176"/>
      <c r="E2208" s="176"/>
      <c r="F2208" s="176"/>
      <c r="G2208" s="176"/>
      <c r="H2208" s="176"/>
      <c r="I2208" s="176"/>
      <c r="J2208" s="176"/>
      <c r="K2208" s="176"/>
      <c r="L2208" s="176"/>
      <c r="M2208" s="176"/>
      <c r="N2208" s="176"/>
      <c r="O2208" s="176"/>
      <c r="P2208" s="176"/>
      <c r="Q2208" s="176"/>
      <c r="R2208" s="176"/>
      <c r="S2208" s="176"/>
      <c r="T2208" s="176"/>
      <c r="U2208" s="176"/>
      <c r="V2208" s="176"/>
      <c r="W2208" s="176"/>
      <c r="X2208" s="176"/>
      <c r="Y2208" s="176"/>
    </row>
    <row r="2209" spans="1:25">
      <c r="A2209" s="91"/>
      <c r="B2209" s="176"/>
      <c r="C2209" s="176"/>
      <c r="D2209" s="176"/>
      <c r="E2209" s="176"/>
      <c r="F2209" s="176"/>
      <c r="G2209" s="176"/>
      <c r="H2209" s="176"/>
      <c r="I2209" s="176"/>
      <c r="J2209" s="176"/>
      <c r="K2209" s="176"/>
      <c r="L2209" s="176"/>
      <c r="M2209" s="176"/>
      <c r="N2209" s="176"/>
      <c r="O2209" s="176"/>
      <c r="P2209" s="176"/>
      <c r="Q2209" s="176"/>
      <c r="R2209" s="176"/>
      <c r="S2209" s="176"/>
      <c r="T2209" s="176"/>
      <c r="U2209" s="176"/>
      <c r="V2209" s="176"/>
      <c r="W2209" s="176"/>
      <c r="X2209" s="176"/>
      <c r="Y2209" s="176"/>
    </row>
    <row r="2210" spans="1:25">
      <c r="A2210" s="91"/>
      <c r="B2210" s="176"/>
      <c r="C2210" s="176"/>
      <c r="D2210" s="176"/>
      <c r="E2210" s="176"/>
      <c r="F2210" s="176"/>
      <c r="G2210" s="176"/>
      <c r="H2210" s="176"/>
      <c r="I2210" s="176"/>
      <c r="J2210" s="176"/>
      <c r="K2210" s="176"/>
      <c r="L2210" s="176"/>
      <c r="M2210" s="176"/>
      <c r="N2210" s="176"/>
      <c r="O2210" s="176"/>
      <c r="P2210" s="176"/>
      <c r="Q2210" s="176"/>
      <c r="R2210" s="176"/>
      <c r="S2210" s="176"/>
      <c r="T2210" s="176"/>
      <c r="U2210" s="176"/>
      <c r="V2210" s="176"/>
      <c r="W2210" s="176"/>
      <c r="X2210" s="176"/>
      <c r="Y2210" s="176"/>
    </row>
    <row r="2211" spans="1:25">
      <c r="A2211" s="91"/>
      <c r="B2211" s="176"/>
      <c r="C2211" s="176"/>
      <c r="D2211" s="176"/>
      <c r="E2211" s="176"/>
      <c r="F2211" s="176"/>
      <c r="G2211" s="176"/>
      <c r="H2211" s="176"/>
      <c r="I2211" s="176"/>
      <c r="J2211" s="176"/>
      <c r="K2211" s="176"/>
      <c r="L2211" s="176"/>
      <c r="M2211" s="176"/>
      <c r="N2211" s="176"/>
      <c r="O2211" s="176"/>
      <c r="P2211" s="176"/>
      <c r="Q2211" s="176"/>
      <c r="R2211" s="176"/>
      <c r="S2211" s="176"/>
      <c r="T2211" s="176"/>
      <c r="U2211" s="176"/>
      <c r="V2211" s="176"/>
      <c r="W2211" s="176"/>
      <c r="X2211" s="176"/>
      <c r="Y2211" s="176"/>
    </row>
    <row r="2212" spans="1:25">
      <c r="A2212" s="91"/>
      <c r="B2212" s="176"/>
      <c r="C2212" s="176"/>
      <c r="D2212" s="176"/>
      <c r="E2212" s="176"/>
      <c r="F2212" s="176"/>
      <c r="G2212" s="176"/>
      <c r="H2212" s="176"/>
      <c r="I2212" s="176"/>
      <c r="J2212" s="176"/>
      <c r="K2212" s="176"/>
      <c r="L2212" s="176"/>
      <c r="M2212" s="176"/>
      <c r="N2212" s="176"/>
      <c r="O2212" s="176"/>
      <c r="P2212" s="176"/>
      <c r="Q2212" s="176"/>
      <c r="R2212" s="176"/>
      <c r="S2212" s="176"/>
      <c r="T2212" s="176"/>
      <c r="U2212" s="176"/>
      <c r="V2212" s="176"/>
      <c r="W2212" s="176"/>
      <c r="X2212" s="176"/>
      <c r="Y2212" s="176"/>
    </row>
    <row r="2213" spans="1:25">
      <c r="A2213" s="91"/>
      <c r="B2213" s="176"/>
      <c r="C2213" s="176"/>
      <c r="D2213" s="176"/>
      <c r="E2213" s="176"/>
      <c r="F2213" s="176"/>
      <c r="G2213" s="176"/>
      <c r="H2213" s="176"/>
      <c r="I2213" s="176"/>
      <c r="J2213" s="176"/>
      <c r="K2213" s="176"/>
      <c r="L2213" s="176"/>
      <c r="M2213" s="176"/>
      <c r="N2213" s="176"/>
      <c r="O2213" s="176"/>
      <c r="P2213" s="176"/>
      <c r="Q2213" s="176"/>
      <c r="R2213" s="176"/>
      <c r="S2213" s="176"/>
      <c r="T2213" s="176"/>
      <c r="U2213" s="176"/>
      <c r="V2213" s="176"/>
      <c r="W2213" s="176"/>
      <c r="X2213" s="176"/>
      <c r="Y2213" s="176"/>
    </row>
    <row r="2214" spans="1:25">
      <c r="A2214" s="91"/>
      <c r="B2214" s="176"/>
      <c r="C2214" s="176"/>
      <c r="D2214" s="176"/>
      <c r="E2214" s="176"/>
      <c r="F2214" s="176"/>
      <c r="G2214" s="176"/>
      <c r="H2214" s="176"/>
      <c r="I2214" s="176"/>
      <c r="J2214" s="176"/>
      <c r="K2214" s="176"/>
      <c r="L2214" s="176"/>
      <c r="M2214" s="176"/>
      <c r="N2214" s="176"/>
      <c r="O2214" s="176"/>
      <c r="P2214" s="176"/>
      <c r="Q2214" s="176"/>
      <c r="R2214" s="176"/>
      <c r="S2214" s="176"/>
      <c r="T2214" s="176"/>
      <c r="U2214" s="176"/>
      <c r="V2214" s="176"/>
      <c r="W2214" s="176"/>
      <c r="X2214" s="176"/>
      <c r="Y2214" s="176"/>
    </row>
    <row r="2215" spans="1:25">
      <c r="A2215" s="91"/>
      <c r="B2215" s="176"/>
      <c r="C2215" s="176"/>
      <c r="D2215" s="176"/>
      <c r="E2215" s="176"/>
      <c r="F2215" s="176"/>
      <c r="G2215" s="176"/>
      <c r="H2215" s="176"/>
      <c r="I2215" s="176"/>
      <c r="J2215" s="176"/>
      <c r="K2215" s="176"/>
      <c r="L2215" s="176"/>
      <c r="M2215" s="176"/>
      <c r="N2215" s="176"/>
      <c r="O2215" s="176"/>
      <c r="P2215" s="176"/>
      <c r="Q2215" s="176"/>
      <c r="R2215" s="176"/>
      <c r="S2215" s="176"/>
      <c r="T2215" s="176"/>
      <c r="U2215" s="176"/>
      <c r="V2215" s="176"/>
      <c r="W2215" s="176"/>
      <c r="X2215" s="176"/>
      <c r="Y2215" s="176"/>
    </row>
    <row r="2216" spans="1:25">
      <c r="A2216" s="91"/>
      <c r="B2216" s="176"/>
      <c r="C2216" s="176"/>
      <c r="D2216" s="176"/>
      <c r="E2216" s="176"/>
      <c r="F2216" s="176"/>
      <c r="G2216" s="176"/>
      <c r="H2216" s="176"/>
      <c r="I2216" s="176"/>
      <c r="J2216" s="176"/>
      <c r="K2216" s="176"/>
      <c r="L2216" s="176"/>
      <c r="M2216" s="176"/>
      <c r="N2216" s="176"/>
      <c r="O2216" s="176"/>
      <c r="P2216" s="176"/>
      <c r="Q2216" s="176"/>
      <c r="R2216" s="176"/>
      <c r="S2216" s="176"/>
      <c r="T2216" s="176"/>
      <c r="U2216" s="176"/>
      <c r="V2216" s="176"/>
      <c r="W2216" s="176"/>
      <c r="X2216" s="176"/>
      <c r="Y2216" s="176"/>
    </row>
    <row r="2217" spans="1:25">
      <c r="A2217" s="91"/>
      <c r="B2217" s="176"/>
      <c r="C2217" s="176"/>
      <c r="D2217" s="176"/>
      <c r="E2217" s="176"/>
      <c r="F2217" s="176"/>
      <c r="G2217" s="176"/>
      <c r="H2217" s="176"/>
      <c r="I2217" s="176"/>
      <c r="J2217" s="176"/>
      <c r="K2217" s="176"/>
      <c r="L2217" s="176"/>
      <c r="M2217" s="176"/>
      <c r="N2217" s="176"/>
      <c r="O2217" s="176"/>
      <c r="P2217" s="176"/>
      <c r="Q2217" s="176"/>
      <c r="R2217" s="176"/>
      <c r="S2217" s="176"/>
      <c r="T2217" s="176"/>
      <c r="U2217" s="176"/>
      <c r="V2217" s="176"/>
      <c r="W2217" s="176"/>
      <c r="X2217" s="176"/>
      <c r="Y2217" s="176"/>
    </row>
    <row r="2218" spans="1:25">
      <c r="A2218" s="91"/>
      <c r="B2218" s="176"/>
      <c r="C2218" s="176"/>
      <c r="D2218" s="176"/>
      <c r="E2218" s="176"/>
      <c r="F2218" s="176"/>
      <c r="G2218" s="176"/>
      <c r="H2218" s="176"/>
      <c r="I2218" s="176"/>
      <c r="J2218" s="176"/>
      <c r="K2218" s="176"/>
      <c r="L2218" s="176"/>
      <c r="M2218" s="176"/>
      <c r="N2218" s="176"/>
      <c r="O2218" s="176"/>
      <c r="P2218" s="176"/>
      <c r="Q2218" s="176"/>
      <c r="R2218" s="176"/>
      <c r="S2218" s="176"/>
      <c r="T2218" s="176"/>
      <c r="U2218" s="176"/>
      <c r="V2218" s="176"/>
      <c r="W2218" s="176"/>
      <c r="X2218" s="176"/>
      <c r="Y2218" s="176"/>
    </row>
    <row r="2219" spans="1:25">
      <c r="A2219" s="91"/>
      <c r="B2219" s="176"/>
      <c r="C2219" s="176"/>
      <c r="D2219" s="176"/>
      <c r="E2219" s="176"/>
      <c r="F2219" s="176"/>
      <c r="G2219" s="176"/>
      <c r="H2219" s="176"/>
      <c r="I2219" s="176"/>
      <c r="J2219" s="176"/>
      <c r="K2219" s="176"/>
      <c r="L2219" s="176"/>
      <c r="M2219" s="176"/>
      <c r="N2219" s="176"/>
      <c r="O2219" s="176"/>
      <c r="P2219" s="176"/>
      <c r="Q2219" s="176"/>
      <c r="R2219" s="176"/>
      <c r="S2219" s="176"/>
      <c r="T2219" s="176"/>
      <c r="U2219" s="176"/>
      <c r="V2219" s="176"/>
      <c r="W2219" s="176"/>
      <c r="X2219" s="176"/>
      <c r="Y2219" s="176"/>
    </row>
    <row r="2220" spans="1:25">
      <c r="A2220" s="91"/>
      <c r="B2220" s="176"/>
      <c r="C2220" s="176"/>
      <c r="D2220" s="176"/>
      <c r="E2220" s="176"/>
      <c r="F2220" s="176"/>
      <c r="G2220" s="176"/>
      <c r="H2220" s="176"/>
      <c r="I2220" s="176"/>
      <c r="J2220" s="176"/>
      <c r="K2220" s="176"/>
      <c r="L2220" s="176"/>
      <c r="M2220" s="176"/>
      <c r="N2220" s="176"/>
      <c r="O2220" s="176"/>
      <c r="P2220" s="176"/>
      <c r="Q2220" s="176"/>
      <c r="R2220" s="176"/>
      <c r="S2220" s="176"/>
      <c r="T2220" s="176"/>
      <c r="U2220" s="176"/>
      <c r="V2220" s="176"/>
      <c r="W2220" s="176"/>
      <c r="X2220" s="176"/>
      <c r="Y2220" s="176"/>
    </row>
    <row r="2221" spans="1:25">
      <c r="A2221" s="91"/>
      <c r="B2221" s="176"/>
      <c r="C2221" s="176"/>
      <c r="D2221" s="176"/>
      <c r="E2221" s="176"/>
      <c r="F2221" s="176"/>
      <c r="G2221" s="176"/>
      <c r="H2221" s="176"/>
      <c r="I2221" s="176"/>
      <c r="J2221" s="176"/>
      <c r="K2221" s="176"/>
      <c r="L2221" s="176"/>
      <c r="M2221" s="176"/>
      <c r="N2221" s="176"/>
      <c r="O2221" s="176"/>
      <c r="P2221" s="176"/>
      <c r="Q2221" s="176"/>
      <c r="R2221" s="176"/>
      <c r="S2221" s="176"/>
      <c r="T2221" s="176"/>
      <c r="U2221" s="176"/>
      <c r="V2221" s="176"/>
      <c r="W2221" s="176"/>
      <c r="X2221" s="176"/>
      <c r="Y2221" s="176"/>
    </row>
    <row r="2222" spans="1:25">
      <c r="A2222" s="91"/>
      <c r="B2222" s="176"/>
      <c r="C2222" s="176"/>
      <c r="D2222" s="176"/>
      <c r="E2222" s="176"/>
      <c r="F2222" s="176"/>
      <c r="G2222" s="176"/>
      <c r="H2222" s="176"/>
      <c r="I2222" s="176"/>
      <c r="J2222" s="176"/>
      <c r="K2222" s="176"/>
      <c r="L2222" s="176"/>
      <c r="M2222" s="176"/>
      <c r="N2222" s="176"/>
      <c r="O2222" s="176"/>
      <c r="P2222" s="176"/>
      <c r="Q2222" s="176"/>
      <c r="R2222" s="176"/>
      <c r="S2222" s="176"/>
      <c r="T2222" s="176"/>
      <c r="U2222" s="176"/>
      <c r="V2222" s="176"/>
      <c r="W2222" s="176"/>
      <c r="X2222" s="176"/>
      <c r="Y2222" s="176"/>
    </row>
    <row r="2223" spans="1:25">
      <c r="A2223" s="91"/>
      <c r="B2223" s="176"/>
      <c r="C2223" s="176"/>
      <c r="D2223" s="176"/>
      <c r="E2223" s="176"/>
      <c r="F2223" s="176"/>
      <c r="G2223" s="176"/>
      <c r="H2223" s="176"/>
      <c r="I2223" s="176"/>
      <c r="J2223" s="176"/>
      <c r="K2223" s="176"/>
      <c r="L2223" s="176"/>
      <c r="M2223" s="176"/>
      <c r="N2223" s="176"/>
      <c r="O2223" s="176"/>
      <c r="P2223" s="176"/>
      <c r="Q2223" s="176"/>
      <c r="R2223" s="176"/>
      <c r="S2223" s="176"/>
      <c r="T2223" s="176"/>
      <c r="U2223" s="176"/>
      <c r="V2223" s="176"/>
      <c r="W2223" s="176"/>
      <c r="X2223" s="176"/>
      <c r="Y2223" s="176"/>
    </row>
    <row r="2224" spans="1:25">
      <c r="A2224" s="91"/>
      <c r="B2224" s="176"/>
      <c r="C2224" s="176"/>
      <c r="D2224" s="176"/>
      <c r="E2224" s="176"/>
      <c r="F2224" s="176"/>
      <c r="G2224" s="176"/>
      <c r="H2224" s="176"/>
      <c r="I2224" s="176"/>
      <c r="J2224" s="176"/>
      <c r="K2224" s="176"/>
      <c r="L2224" s="176"/>
      <c r="M2224" s="176"/>
      <c r="N2224" s="176"/>
      <c r="O2224" s="176"/>
      <c r="P2224" s="176"/>
      <c r="Q2224" s="176"/>
      <c r="R2224" s="176"/>
      <c r="S2224" s="176"/>
      <c r="T2224" s="176"/>
      <c r="U2224" s="176"/>
      <c r="V2224" s="176"/>
      <c r="W2224" s="176"/>
      <c r="X2224" s="176"/>
      <c r="Y2224" s="176"/>
    </row>
    <row r="2225" spans="1:25">
      <c r="A2225" s="91"/>
      <c r="B2225" s="176"/>
      <c r="C2225" s="176"/>
      <c r="D2225" s="176"/>
      <c r="E2225" s="176"/>
      <c r="F2225" s="176"/>
      <c r="G2225" s="176"/>
      <c r="H2225" s="176"/>
      <c r="I2225" s="176"/>
      <c r="J2225" s="176"/>
      <c r="K2225" s="176"/>
      <c r="L2225" s="176"/>
      <c r="M2225" s="176"/>
      <c r="N2225" s="176"/>
      <c r="O2225" s="176"/>
      <c r="P2225" s="176"/>
      <c r="Q2225" s="176"/>
      <c r="R2225" s="176"/>
      <c r="S2225" s="176"/>
      <c r="T2225" s="176"/>
      <c r="U2225" s="176"/>
      <c r="V2225" s="176"/>
      <c r="W2225" s="176"/>
      <c r="X2225" s="176"/>
      <c r="Y2225" s="176"/>
    </row>
    <row r="2226" spans="1:25">
      <c r="A2226" s="91"/>
      <c r="B2226" s="176"/>
      <c r="C2226" s="176"/>
      <c r="D2226" s="176"/>
      <c r="E2226" s="176"/>
      <c r="F2226" s="176"/>
      <c r="G2226" s="176"/>
      <c r="H2226" s="176"/>
      <c r="I2226" s="176"/>
      <c r="J2226" s="176"/>
      <c r="K2226" s="176"/>
      <c r="L2226" s="176"/>
      <c r="M2226" s="176"/>
      <c r="N2226" s="176"/>
      <c r="O2226" s="176"/>
      <c r="P2226" s="176"/>
      <c r="Q2226" s="176"/>
      <c r="R2226" s="176"/>
      <c r="S2226" s="176"/>
      <c r="T2226" s="176"/>
      <c r="U2226" s="176"/>
      <c r="V2226" s="176"/>
      <c r="W2226" s="176"/>
      <c r="X2226" s="176"/>
      <c r="Y2226" s="176"/>
    </row>
    <row r="2227" spans="1:25">
      <c r="A2227" s="91"/>
      <c r="B2227" s="176"/>
      <c r="C2227" s="176"/>
      <c r="D2227" s="176"/>
      <c r="E2227" s="176"/>
      <c r="F2227" s="176"/>
      <c r="G2227" s="176"/>
      <c r="H2227" s="176"/>
      <c r="I2227" s="176"/>
      <c r="J2227" s="176"/>
      <c r="K2227" s="176"/>
      <c r="L2227" s="176"/>
      <c r="M2227" s="176"/>
      <c r="N2227" s="176"/>
      <c r="O2227" s="176"/>
      <c r="P2227" s="176"/>
      <c r="Q2227" s="176"/>
      <c r="R2227" s="176"/>
      <c r="S2227" s="176"/>
      <c r="T2227" s="176"/>
      <c r="U2227" s="176"/>
      <c r="V2227" s="176"/>
      <c r="W2227" s="176"/>
      <c r="X2227" s="176"/>
      <c r="Y2227" s="176"/>
    </row>
    <row r="2228" spans="1:25">
      <c r="A2228" s="91"/>
      <c r="B2228" s="176"/>
      <c r="C2228" s="176"/>
      <c r="D2228" s="176"/>
      <c r="E2228" s="176"/>
      <c r="F2228" s="176"/>
      <c r="G2228" s="176"/>
      <c r="H2228" s="176"/>
      <c r="I2228" s="176"/>
      <c r="J2228" s="176"/>
      <c r="K2228" s="176"/>
      <c r="L2228" s="176"/>
      <c r="M2228" s="176"/>
      <c r="N2228" s="176"/>
      <c r="O2228" s="176"/>
      <c r="P2228" s="176"/>
      <c r="Q2228" s="176"/>
      <c r="R2228" s="176"/>
      <c r="S2228" s="176"/>
      <c r="T2228" s="176"/>
      <c r="U2228" s="176"/>
      <c r="V2228" s="176"/>
      <c r="W2228" s="176"/>
      <c r="X2228" s="176"/>
      <c r="Y2228" s="176"/>
    </row>
    <row r="2229" spans="1:25">
      <c r="A2229" s="91"/>
      <c r="B2229" s="176"/>
      <c r="C2229" s="176"/>
      <c r="D2229" s="176"/>
      <c r="E2229" s="176"/>
      <c r="F2229" s="176"/>
      <c r="G2229" s="176"/>
      <c r="H2229" s="176"/>
      <c r="I2229" s="176"/>
      <c r="J2229" s="176"/>
      <c r="K2229" s="176"/>
      <c r="L2229" s="176"/>
      <c r="M2229" s="176"/>
      <c r="N2229" s="176"/>
      <c r="O2229" s="176"/>
      <c r="P2229" s="176"/>
      <c r="Q2229" s="176"/>
      <c r="R2229" s="176"/>
      <c r="S2229" s="176"/>
      <c r="T2229" s="176"/>
      <c r="U2229" s="176"/>
      <c r="V2229" s="176"/>
      <c r="W2229" s="176"/>
      <c r="X2229" s="176"/>
      <c r="Y2229" s="176"/>
    </row>
    <row r="2230" spans="1:25">
      <c r="A2230" s="91"/>
      <c r="B2230" s="176"/>
      <c r="C2230" s="176"/>
      <c r="D2230" s="176"/>
      <c r="E2230" s="176"/>
      <c r="F2230" s="176"/>
      <c r="G2230" s="176"/>
      <c r="H2230" s="176"/>
      <c r="I2230" s="176"/>
      <c r="J2230" s="176"/>
      <c r="K2230" s="176"/>
      <c r="L2230" s="176"/>
      <c r="M2230" s="176"/>
      <c r="N2230" s="176"/>
      <c r="O2230" s="176"/>
      <c r="P2230" s="176"/>
      <c r="Q2230" s="176"/>
      <c r="R2230" s="176"/>
      <c r="S2230" s="176"/>
      <c r="T2230" s="176"/>
      <c r="U2230" s="176"/>
      <c r="V2230" s="176"/>
      <c r="W2230" s="176"/>
      <c r="X2230" s="176"/>
      <c r="Y2230" s="176"/>
    </row>
    <row r="2231" spans="1:25">
      <c r="A2231" s="91"/>
      <c r="B2231" s="176"/>
      <c r="C2231" s="176"/>
      <c r="D2231" s="176"/>
      <c r="E2231" s="176"/>
      <c r="F2231" s="176"/>
      <c r="G2231" s="176"/>
      <c r="H2231" s="176"/>
      <c r="I2231" s="176"/>
      <c r="J2231" s="176"/>
      <c r="K2231" s="176"/>
      <c r="L2231" s="176"/>
      <c r="M2231" s="176"/>
      <c r="N2231" s="176"/>
      <c r="O2231" s="176"/>
      <c r="P2231" s="176"/>
      <c r="Q2231" s="176"/>
      <c r="R2231" s="176"/>
      <c r="S2231" s="176"/>
      <c r="T2231" s="176"/>
      <c r="U2231" s="176"/>
      <c r="V2231" s="176"/>
      <c r="W2231" s="176"/>
      <c r="X2231" s="176"/>
      <c r="Y2231" s="176"/>
    </row>
    <row r="2232" spans="1:25">
      <c r="A2232" s="91"/>
      <c r="B2232" s="176"/>
      <c r="C2232" s="176"/>
      <c r="D2232" s="176"/>
      <c r="E2232" s="176"/>
      <c r="F2232" s="176"/>
      <c r="G2232" s="176"/>
      <c r="H2232" s="176"/>
      <c r="I2232" s="176"/>
      <c r="J2232" s="176"/>
      <c r="K2232" s="176"/>
      <c r="L2232" s="176"/>
      <c r="M2232" s="176"/>
      <c r="N2232" s="176"/>
      <c r="O2232" s="176"/>
      <c r="P2232" s="176"/>
      <c r="Q2232" s="176"/>
      <c r="R2232" s="176"/>
      <c r="S2232" s="176"/>
      <c r="T2232" s="176"/>
      <c r="U2232" s="176"/>
      <c r="V2232" s="176"/>
      <c r="W2232" s="176"/>
      <c r="X2232" s="176"/>
      <c r="Y2232" s="176"/>
    </row>
    <row r="2233" spans="1:25">
      <c r="A2233" s="91"/>
      <c r="B2233" s="176"/>
      <c r="C2233" s="176"/>
      <c r="D2233" s="176"/>
      <c r="E2233" s="176"/>
      <c r="F2233" s="176"/>
      <c r="G2233" s="176"/>
      <c r="H2233" s="176"/>
      <c r="I2233" s="176"/>
      <c r="J2233" s="176"/>
      <c r="K2233" s="176"/>
      <c r="L2233" s="176"/>
      <c r="M2233" s="176"/>
      <c r="N2233" s="176"/>
      <c r="O2233" s="176"/>
      <c r="P2233" s="176"/>
      <c r="Q2233" s="176"/>
      <c r="R2233" s="176"/>
      <c r="S2233" s="176"/>
      <c r="T2233" s="176"/>
      <c r="U2233" s="176"/>
      <c r="V2233" s="176"/>
      <c r="W2233" s="176"/>
      <c r="X2233" s="176"/>
      <c r="Y2233" s="176"/>
    </row>
    <row r="2234" spans="1:25">
      <c r="A2234" s="91"/>
      <c r="B2234" s="176"/>
      <c r="C2234" s="176"/>
      <c r="D2234" s="176"/>
      <c r="E2234" s="176"/>
      <c r="F2234" s="176"/>
      <c r="G2234" s="176"/>
      <c r="H2234" s="176"/>
      <c r="I2234" s="176"/>
      <c r="J2234" s="176"/>
      <c r="K2234" s="176"/>
      <c r="L2234" s="176"/>
      <c r="M2234" s="176"/>
      <c r="N2234" s="176"/>
      <c r="O2234" s="176"/>
      <c r="P2234" s="176"/>
      <c r="Q2234" s="176"/>
      <c r="R2234" s="176"/>
      <c r="S2234" s="176"/>
      <c r="T2234" s="176"/>
      <c r="U2234" s="176"/>
      <c r="V2234" s="176"/>
      <c r="W2234" s="176"/>
      <c r="X2234" s="176"/>
      <c r="Y2234" s="176"/>
    </row>
    <row r="2235" spans="1:25">
      <c r="A2235" s="91"/>
      <c r="B2235" s="176"/>
      <c r="C2235" s="176"/>
      <c r="D2235" s="176"/>
      <c r="E2235" s="176"/>
      <c r="F2235" s="176"/>
      <c r="G2235" s="176"/>
      <c r="H2235" s="176"/>
      <c r="I2235" s="176"/>
      <c r="J2235" s="176"/>
      <c r="K2235" s="176"/>
      <c r="L2235" s="176"/>
      <c r="M2235" s="176"/>
      <c r="N2235" s="176"/>
      <c r="O2235" s="176"/>
      <c r="P2235" s="176"/>
      <c r="Q2235" s="176"/>
      <c r="R2235" s="176"/>
      <c r="S2235" s="176"/>
      <c r="T2235" s="176"/>
      <c r="U2235" s="176"/>
      <c r="V2235" s="176"/>
      <c r="W2235" s="176"/>
      <c r="X2235" s="176"/>
      <c r="Y2235" s="176"/>
    </row>
    <row r="2236" spans="1:25">
      <c r="A2236" s="91"/>
      <c r="B2236" s="176"/>
      <c r="C2236" s="176"/>
      <c r="D2236" s="176"/>
      <c r="E2236" s="176"/>
      <c r="F2236" s="176"/>
      <c r="G2236" s="176"/>
      <c r="H2236" s="176"/>
      <c r="I2236" s="176"/>
      <c r="J2236" s="176"/>
      <c r="K2236" s="176"/>
      <c r="L2236" s="176"/>
      <c r="M2236" s="176"/>
      <c r="N2236" s="176"/>
      <c r="O2236" s="176"/>
      <c r="P2236" s="176"/>
      <c r="Q2236" s="176"/>
      <c r="R2236" s="176"/>
      <c r="S2236" s="176"/>
      <c r="T2236" s="176"/>
      <c r="U2236" s="176"/>
      <c r="V2236" s="176"/>
      <c r="W2236" s="176"/>
      <c r="X2236" s="176"/>
      <c r="Y2236" s="176"/>
    </row>
    <row r="2237" spans="1:25">
      <c r="A2237" s="91"/>
      <c r="B2237" s="176"/>
      <c r="C2237" s="176"/>
      <c r="D2237" s="176"/>
      <c r="E2237" s="176"/>
      <c r="F2237" s="176"/>
      <c r="G2237" s="176"/>
      <c r="H2237" s="176"/>
      <c r="I2237" s="176"/>
      <c r="J2237" s="176"/>
      <c r="K2237" s="176"/>
      <c r="L2237" s="176"/>
      <c r="M2237" s="176"/>
      <c r="N2237" s="176"/>
      <c r="O2237" s="176"/>
      <c r="P2237" s="176"/>
      <c r="Q2237" s="176"/>
      <c r="R2237" s="176"/>
      <c r="S2237" s="176"/>
      <c r="T2237" s="176"/>
      <c r="U2237" s="176"/>
      <c r="V2237" s="176"/>
      <c r="W2237" s="176"/>
      <c r="X2237" s="176"/>
      <c r="Y2237" s="176"/>
    </row>
    <row r="2238" spans="1:25">
      <c r="A2238" s="91"/>
      <c r="B2238" s="176"/>
      <c r="C2238" s="176"/>
      <c r="D2238" s="176"/>
      <c r="E2238" s="176"/>
      <c r="F2238" s="176"/>
      <c r="G2238" s="176"/>
      <c r="H2238" s="176"/>
      <c r="I2238" s="176"/>
      <c r="J2238" s="176"/>
      <c r="K2238" s="176"/>
      <c r="L2238" s="176"/>
      <c r="M2238" s="176"/>
      <c r="N2238" s="176"/>
      <c r="O2238" s="176"/>
      <c r="P2238" s="176"/>
      <c r="Q2238" s="176"/>
      <c r="R2238" s="176"/>
      <c r="S2238" s="176"/>
      <c r="T2238" s="176"/>
      <c r="U2238" s="176"/>
      <c r="V2238" s="176"/>
      <c r="W2238" s="176"/>
      <c r="X2238" s="176"/>
      <c r="Y2238" s="176"/>
    </row>
    <row r="2239" spans="1:25">
      <c r="A2239" s="91"/>
      <c r="B2239" s="176"/>
      <c r="C2239" s="176"/>
      <c r="D2239" s="176"/>
      <c r="E2239" s="176"/>
      <c r="F2239" s="176"/>
      <c r="G2239" s="176"/>
      <c r="H2239" s="176"/>
      <c r="I2239" s="176"/>
      <c r="J2239" s="176"/>
      <c r="K2239" s="176"/>
      <c r="L2239" s="176"/>
      <c r="M2239" s="176"/>
      <c r="N2239" s="176"/>
      <c r="O2239" s="176"/>
      <c r="P2239" s="176"/>
      <c r="Q2239" s="176"/>
      <c r="R2239" s="176"/>
      <c r="S2239" s="176"/>
      <c r="T2239" s="176"/>
      <c r="U2239" s="176"/>
      <c r="V2239" s="176"/>
      <c r="W2239" s="176"/>
      <c r="X2239" s="176"/>
      <c r="Y2239" s="176"/>
    </row>
    <row r="2240" spans="1:25">
      <c r="A2240" s="91"/>
      <c r="B2240" s="176"/>
      <c r="C2240" s="176"/>
      <c r="D2240" s="176"/>
      <c r="E2240" s="176"/>
      <c r="F2240" s="176"/>
      <c r="G2240" s="176"/>
      <c r="H2240" s="176"/>
      <c r="I2240" s="176"/>
      <c r="J2240" s="176"/>
      <c r="K2240" s="176"/>
      <c r="L2240" s="176"/>
      <c r="M2240" s="176"/>
      <c r="N2240" s="176"/>
      <c r="O2240" s="176"/>
      <c r="P2240" s="176"/>
      <c r="Q2240" s="176"/>
      <c r="R2240" s="176"/>
      <c r="S2240" s="176"/>
      <c r="T2240" s="176"/>
      <c r="U2240" s="176"/>
      <c r="V2240" s="176"/>
      <c r="W2240" s="176"/>
      <c r="X2240" s="176"/>
      <c r="Y2240" s="176"/>
    </row>
    <row r="2241" spans="1:25">
      <c r="A2241" s="91"/>
      <c r="B2241" s="176"/>
      <c r="C2241" s="176"/>
      <c r="D2241" s="176"/>
      <c r="E2241" s="176"/>
      <c r="F2241" s="176"/>
      <c r="G2241" s="176"/>
      <c r="H2241" s="176"/>
      <c r="I2241" s="176"/>
      <c r="J2241" s="176"/>
      <c r="K2241" s="176"/>
      <c r="L2241" s="176"/>
      <c r="M2241" s="176"/>
      <c r="N2241" s="176"/>
      <c r="O2241" s="176"/>
      <c r="P2241" s="176"/>
      <c r="Q2241" s="176"/>
      <c r="R2241" s="176"/>
      <c r="S2241" s="176"/>
      <c r="T2241" s="176"/>
      <c r="U2241" s="176"/>
      <c r="V2241" s="176"/>
      <c r="W2241" s="176"/>
      <c r="X2241" s="176"/>
      <c r="Y2241" s="176"/>
    </row>
    <row r="2242" spans="1:25">
      <c r="A2242" s="91"/>
      <c r="B2242" s="176"/>
      <c r="C2242" s="176"/>
      <c r="D2242" s="176"/>
      <c r="E2242" s="176"/>
      <c r="F2242" s="176"/>
      <c r="G2242" s="176"/>
      <c r="H2242" s="176"/>
      <c r="I2242" s="176"/>
      <c r="J2242" s="176"/>
      <c r="K2242" s="176"/>
      <c r="L2242" s="176"/>
      <c r="M2242" s="176"/>
      <c r="N2242" s="176"/>
      <c r="O2242" s="176"/>
      <c r="P2242" s="176"/>
      <c r="Q2242" s="176"/>
      <c r="R2242" s="176"/>
      <c r="S2242" s="176"/>
      <c r="T2242" s="176"/>
      <c r="U2242" s="176"/>
      <c r="V2242" s="176"/>
      <c r="W2242" s="176"/>
      <c r="X2242" s="176"/>
      <c r="Y2242" s="176"/>
    </row>
    <row r="2243" spans="1:25">
      <c r="A2243" s="91"/>
      <c r="B2243" s="176"/>
      <c r="C2243" s="176"/>
      <c r="D2243" s="176"/>
      <c r="E2243" s="176"/>
      <c r="F2243" s="176"/>
      <c r="G2243" s="176"/>
      <c r="H2243" s="176"/>
      <c r="I2243" s="176"/>
      <c r="J2243" s="176"/>
      <c r="K2243" s="176"/>
      <c r="L2243" s="176"/>
      <c r="M2243" s="176"/>
      <c r="N2243" s="176"/>
      <c r="O2243" s="176"/>
      <c r="P2243" s="176"/>
      <c r="Q2243" s="176"/>
      <c r="R2243" s="176"/>
      <c r="S2243" s="176"/>
      <c r="T2243" s="176"/>
      <c r="U2243" s="176"/>
      <c r="V2243" s="176"/>
      <c r="W2243" s="176"/>
      <c r="X2243" s="176"/>
      <c r="Y2243" s="176"/>
    </row>
    <row r="2244" spans="1:25">
      <c r="A2244" s="91"/>
      <c r="B2244" s="176"/>
      <c r="C2244" s="176"/>
      <c r="D2244" s="176"/>
      <c r="E2244" s="176"/>
      <c r="F2244" s="176"/>
      <c r="G2244" s="176"/>
      <c r="H2244" s="176"/>
      <c r="I2244" s="176"/>
      <c r="J2244" s="176"/>
      <c r="K2244" s="176"/>
      <c r="L2244" s="176"/>
      <c r="M2244" s="176"/>
      <c r="N2244" s="176"/>
      <c r="O2244" s="176"/>
      <c r="P2244" s="176"/>
      <c r="Q2244" s="176"/>
      <c r="R2244" s="176"/>
      <c r="S2244" s="176"/>
      <c r="T2244" s="176"/>
      <c r="U2244" s="176"/>
      <c r="V2244" s="176"/>
      <c r="W2244" s="176"/>
      <c r="X2244" s="176"/>
      <c r="Y2244" s="176"/>
    </row>
    <row r="2245" spans="1:25">
      <c r="A2245" s="91"/>
      <c r="B2245" s="176"/>
      <c r="C2245" s="176"/>
      <c r="D2245" s="176"/>
      <c r="E2245" s="176"/>
      <c r="F2245" s="176"/>
      <c r="G2245" s="176"/>
      <c r="H2245" s="176"/>
      <c r="I2245" s="176"/>
      <c r="J2245" s="176"/>
      <c r="K2245" s="176"/>
      <c r="L2245" s="176"/>
      <c r="M2245" s="176"/>
      <c r="N2245" s="176"/>
      <c r="O2245" s="176"/>
      <c r="P2245" s="176"/>
      <c r="Q2245" s="176"/>
      <c r="R2245" s="176"/>
      <c r="S2245" s="176"/>
      <c r="T2245" s="176"/>
      <c r="U2245" s="176"/>
      <c r="V2245" s="176"/>
      <c r="W2245" s="176"/>
      <c r="X2245" s="176"/>
      <c r="Y2245" s="176"/>
    </row>
    <row r="2246" spans="1:25">
      <c r="A2246" s="91"/>
      <c r="B2246" s="176"/>
      <c r="C2246" s="176"/>
      <c r="D2246" s="176"/>
      <c r="E2246" s="176"/>
      <c r="F2246" s="176"/>
      <c r="G2246" s="176"/>
      <c r="H2246" s="176"/>
      <c r="I2246" s="176"/>
      <c r="J2246" s="176"/>
      <c r="K2246" s="176"/>
      <c r="L2246" s="176"/>
      <c r="M2246" s="176"/>
      <c r="N2246" s="176"/>
      <c r="O2246" s="176"/>
      <c r="P2246" s="176"/>
      <c r="Q2246" s="176"/>
      <c r="R2246" s="176"/>
      <c r="S2246" s="176"/>
      <c r="T2246" s="176"/>
      <c r="U2246" s="176"/>
      <c r="V2246" s="176"/>
      <c r="W2246" s="176"/>
      <c r="X2246" s="176"/>
      <c r="Y2246" s="176"/>
    </row>
    <row r="2247" spans="1:25">
      <c r="A2247" s="91"/>
      <c r="B2247" s="176"/>
      <c r="C2247" s="176"/>
      <c r="D2247" s="176"/>
      <c r="E2247" s="176"/>
      <c r="F2247" s="176"/>
      <c r="G2247" s="176"/>
      <c r="H2247" s="176"/>
      <c r="I2247" s="176"/>
      <c r="J2247" s="176"/>
      <c r="K2247" s="176"/>
      <c r="L2247" s="176"/>
      <c r="M2247" s="176"/>
      <c r="N2247" s="176"/>
      <c r="O2247" s="176"/>
      <c r="P2247" s="176"/>
      <c r="Q2247" s="176"/>
      <c r="R2247" s="176"/>
      <c r="S2247" s="176"/>
      <c r="T2247" s="176"/>
      <c r="U2247" s="176"/>
      <c r="V2247" s="176"/>
      <c r="W2247" s="176"/>
      <c r="X2247" s="176"/>
      <c r="Y2247" s="176"/>
    </row>
    <row r="2248" spans="1:25">
      <c r="A2248" s="91"/>
      <c r="B2248" s="176"/>
      <c r="C2248" s="176"/>
      <c r="D2248" s="176"/>
      <c r="E2248" s="176"/>
      <c r="F2248" s="176"/>
      <c r="G2248" s="176"/>
      <c r="H2248" s="176"/>
      <c r="I2248" s="176"/>
      <c r="J2248" s="176"/>
      <c r="K2248" s="176"/>
      <c r="L2248" s="176"/>
      <c r="M2248" s="176"/>
      <c r="N2248" s="176"/>
      <c r="O2248" s="176"/>
      <c r="P2248" s="176"/>
      <c r="Q2248" s="176"/>
      <c r="R2248" s="176"/>
      <c r="S2248" s="176"/>
      <c r="T2248" s="176"/>
      <c r="U2248" s="176"/>
      <c r="V2248" s="176"/>
      <c r="W2248" s="176"/>
      <c r="X2248" s="176"/>
      <c r="Y2248" s="176"/>
    </row>
    <row r="2249" spans="1:25">
      <c r="A2249" s="91"/>
      <c r="B2249" s="176"/>
      <c r="C2249" s="176"/>
      <c r="D2249" s="176"/>
      <c r="E2249" s="176"/>
      <c r="F2249" s="176"/>
      <c r="G2249" s="176"/>
      <c r="H2249" s="176"/>
      <c r="I2249" s="176"/>
      <c r="J2249" s="176"/>
      <c r="K2249" s="176"/>
      <c r="L2249" s="176"/>
      <c r="M2249" s="176"/>
      <c r="N2249" s="176"/>
      <c r="O2249" s="176"/>
      <c r="P2249" s="176"/>
      <c r="Q2249" s="176"/>
      <c r="R2249" s="176"/>
      <c r="S2249" s="176"/>
      <c r="T2249" s="176"/>
      <c r="U2249" s="176"/>
      <c r="V2249" s="176"/>
      <c r="W2249" s="176"/>
      <c r="X2249" s="176"/>
      <c r="Y2249" s="176"/>
    </row>
    <row r="2250" spans="1:25">
      <c r="A2250" s="91"/>
      <c r="B2250" s="176"/>
      <c r="C2250" s="176"/>
      <c r="D2250" s="176"/>
      <c r="E2250" s="176"/>
      <c r="F2250" s="176"/>
      <c r="G2250" s="176"/>
      <c r="H2250" s="176"/>
      <c r="I2250" s="176"/>
      <c r="J2250" s="176"/>
      <c r="K2250" s="176"/>
      <c r="L2250" s="176"/>
      <c r="M2250" s="176"/>
      <c r="N2250" s="176"/>
      <c r="O2250" s="176"/>
      <c r="P2250" s="176"/>
      <c r="Q2250" s="176"/>
      <c r="R2250" s="176"/>
      <c r="S2250" s="176"/>
      <c r="T2250" s="176"/>
      <c r="U2250" s="176"/>
      <c r="V2250" s="176"/>
      <c r="W2250" s="176"/>
      <c r="X2250" s="176"/>
      <c r="Y2250" s="176"/>
    </row>
    <row r="2251" spans="1:25">
      <c r="A2251" s="91"/>
      <c r="B2251" s="176"/>
      <c r="C2251" s="176"/>
      <c r="D2251" s="176"/>
      <c r="E2251" s="176"/>
      <c r="F2251" s="176"/>
      <c r="G2251" s="176"/>
      <c r="H2251" s="176"/>
      <c r="I2251" s="176"/>
      <c r="J2251" s="176"/>
      <c r="K2251" s="176"/>
      <c r="L2251" s="176"/>
      <c r="M2251" s="176"/>
      <c r="N2251" s="176"/>
      <c r="O2251" s="176"/>
      <c r="P2251" s="176"/>
      <c r="Q2251" s="176"/>
      <c r="R2251" s="176"/>
      <c r="S2251" s="176"/>
      <c r="T2251" s="176"/>
      <c r="U2251" s="176"/>
      <c r="V2251" s="176"/>
      <c r="W2251" s="176"/>
      <c r="X2251" s="176"/>
      <c r="Y2251" s="176"/>
    </row>
    <row r="2252" spans="1:25">
      <c r="A2252" s="91"/>
      <c r="B2252" s="176"/>
      <c r="C2252" s="176"/>
      <c r="D2252" s="176"/>
      <c r="E2252" s="176"/>
      <c r="F2252" s="176"/>
      <c r="G2252" s="176"/>
      <c r="H2252" s="176"/>
      <c r="I2252" s="176"/>
      <c r="J2252" s="176"/>
      <c r="K2252" s="176"/>
      <c r="L2252" s="176"/>
      <c r="M2252" s="176"/>
      <c r="N2252" s="176"/>
      <c r="O2252" s="176"/>
      <c r="P2252" s="176"/>
      <c r="Q2252" s="176"/>
      <c r="R2252" s="176"/>
      <c r="S2252" s="176"/>
      <c r="T2252" s="176"/>
      <c r="U2252" s="176"/>
      <c r="V2252" s="176"/>
      <c r="W2252" s="176"/>
      <c r="X2252" s="176"/>
      <c r="Y2252" s="176"/>
    </row>
    <row r="2253" spans="1:25">
      <c r="A2253" s="91"/>
      <c r="B2253" s="176"/>
      <c r="C2253" s="176"/>
      <c r="D2253" s="176"/>
      <c r="E2253" s="176"/>
      <c r="F2253" s="176"/>
      <c r="G2253" s="176"/>
      <c r="H2253" s="176"/>
      <c r="I2253" s="176"/>
      <c r="J2253" s="176"/>
      <c r="K2253" s="176"/>
      <c r="L2253" s="176"/>
      <c r="M2253" s="176"/>
      <c r="N2253" s="176"/>
      <c r="O2253" s="176"/>
      <c r="P2253" s="176"/>
      <c r="Q2253" s="176"/>
      <c r="R2253" s="176"/>
      <c r="S2253" s="176"/>
      <c r="T2253" s="176"/>
      <c r="U2253" s="176"/>
      <c r="V2253" s="176"/>
      <c r="W2253" s="176"/>
      <c r="X2253" s="176"/>
      <c r="Y2253" s="176"/>
    </row>
    <row r="2254" spans="1:25">
      <c r="A2254" s="91"/>
      <c r="B2254" s="176"/>
      <c r="C2254" s="176"/>
      <c r="D2254" s="176"/>
      <c r="E2254" s="176"/>
      <c r="F2254" s="176"/>
      <c r="G2254" s="176"/>
      <c r="H2254" s="176"/>
      <c r="I2254" s="176"/>
      <c r="J2254" s="176"/>
      <c r="K2254" s="176"/>
      <c r="L2254" s="176"/>
      <c r="M2254" s="176"/>
      <c r="N2254" s="176"/>
      <c r="O2254" s="176"/>
      <c r="P2254" s="176"/>
      <c r="Q2254" s="176"/>
      <c r="R2254" s="176"/>
      <c r="S2254" s="176"/>
      <c r="T2254" s="176"/>
      <c r="U2254" s="176"/>
      <c r="V2254" s="176"/>
      <c r="W2254" s="176"/>
      <c r="X2254" s="176"/>
      <c r="Y2254" s="176"/>
    </row>
    <row r="2255" spans="1:25">
      <c r="A2255" s="91"/>
      <c r="B2255" s="176"/>
      <c r="C2255" s="176"/>
      <c r="D2255" s="176"/>
      <c r="E2255" s="176"/>
      <c r="F2255" s="176"/>
      <c r="G2255" s="176"/>
      <c r="H2255" s="176"/>
      <c r="I2255" s="176"/>
      <c r="J2255" s="176"/>
      <c r="K2255" s="176"/>
      <c r="L2255" s="176"/>
      <c r="M2255" s="176"/>
      <c r="N2255" s="176"/>
      <c r="O2255" s="176"/>
      <c r="P2255" s="176"/>
      <c r="Q2255" s="176"/>
      <c r="R2255" s="176"/>
      <c r="S2255" s="176"/>
      <c r="T2255" s="176"/>
      <c r="U2255" s="176"/>
      <c r="V2255" s="176"/>
      <c r="W2255" s="176"/>
      <c r="X2255" s="176"/>
      <c r="Y2255" s="176"/>
    </row>
    <row r="2256" spans="1:25">
      <c r="A2256" s="91"/>
      <c r="B2256" s="176"/>
      <c r="C2256" s="176"/>
      <c r="D2256" s="176"/>
      <c r="E2256" s="176"/>
      <c r="F2256" s="176"/>
      <c r="G2256" s="176"/>
      <c r="H2256" s="176"/>
      <c r="I2256" s="176"/>
      <c r="J2256" s="176"/>
      <c r="K2256" s="176"/>
      <c r="L2256" s="176"/>
      <c r="M2256" s="176"/>
      <c r="N2256" s="176"/>
      <c r="O2256" s="176"/>
      <c r="P2256" s="176"/>
      <c r="Q2256" s="176"/>
      <c r="R2256" s="176"/>
      <c r="S2256" s="176"/>
      <c r="T2256" s="176"/>
      <c r="U2256" s="176"/>
      <c r="V2256" s="176"/>
      <c r="W2256" s="176"/>
      <c r="X2256" s="176"/>
      <c r="Y2256" s="176"/>
    </row>
    <row r="2257" spans="1:25">
      <c r="A2257" s="91"/>
      <c r="B2257" s="176"/>
      <c r="C2257" s="176"/>
      <c r="D2257" s="176"/>
      <c r="E2257" s="176"/>
      <c r="F2257" s="176"/>
      <c r="G2257" s="176"/>
      <c r="H2257" s="176"/>
      <c r="I2257" s="176"/>
      <c r="J2257" s="176"/>
      <c r="K2257" s="176"/>
      <c r="L2257" s="176"/>
      <c r="M2257" s="176"/>
      <c r="N2257" s="176"/>
      <c r="O2257" s="176"/>
      <c r="P2257" s="176"/>
      <c r="Q2257" s="176"/>
      <c r="R2257" s="176"/>
      <c r="S2257" s="176"/>
      <c r="T2257" s="176"/>
      <c r="U2257" s="176"/>
      <c r="V2257" s="176"/>
      <c r="W2257" s="176"/>
      <c r="X2257" s="176"/>
      <c r="Y2257" s="176"/>
    </row>
    <row r="2258" spans="1:25">
      <c r="A2258" s="91"/>
      <c r="B2258" s="176"/>
      <c r="C2258" s="176"/>
      <c r="D2258" s="176"/>
      <c r="E2258" s="176"/>
      <c r="F2258" s="176"/>
      <c r="G2258" s="176"/>
      <c r="H2258" s="176"/>
      <c r="I2258" s="176"/>
      <c r="J2258" s="176"/>
      <c r="K2258" s="176"/>
      <c r="L2258" s="176"/>
      <c r="M2258" s="176"/>
      <c r="N2258" s="176"/>
      <c r="O2258" s="176"/>
      <c r="P2258" s="176"/>
      <c r="Q2258" s="176"/>
      <c r="R2258" s="176"/>
      <c r="S2258" s="176"/>
      <c r="T2258" s="176"/>
      <c r="U2258" s="176"/>
      <c r="V2258" s="176"/>
      <c r="W2258" s="176"/>
      <c r="X2258" s="176"/>
      <c r="Y2258" s="176"/>
    </row>
    <row r="2259" spans="1:25">
      <c r="A2259" s="91"/>
      <c r="B2259" s="176"/>
      <c r="C2259" s="176"/>
      <c r="D2259" s="176"/>
      <c r="E2259" s="176"/>
      <c r="F2259" s="176"/>
      <c r="G2259" s="176"/>
      <c r="H2259" s="176"/>
      <c r="I2259" s="176"/>
      <c r="J2259" s="176"/>
      <c r="K2259" s="176"/>
      <c r="L2259" s="176"/>
      <c r="M2259" s="176"/>
      <c r="N2259" s="176"/>
      <c r="O2259" s="176"/>
      <c r="P2259" s="176"/>
      <c r="Q2259" s="176"/>
      <c r="R2259" s="176"/>
      <c r="S2259" s="176"/>
      <c r="T2259" s="176"/>
      <c r="U2259" s="176"/>
      <c r="V2259" s="176"/>
      <c r="W2259" s="176"/>
      <c r="X2259" s="176"/>
      <c r="Y2259" s="176"/>
    </row>
    <row r="2260" spans="1:25">
      <c r="A2260" s="91"/>
      <c r="B2260" s="176"/>
      <c r="C2260" s="176"/>
      <c r="D2260" s="176"/>
      <c r="E2260" s="176"/>
      <c r="F2260" s="176"/>
      <c r="G2260" s="176"/>
      <c r="H2260" s="176"/>
      <c r="I2260" s="176"/>
      <c r="J2260" s="176"/>
      <c r="K2260" s="176"/>
      <c r="L2260" s="176"/>
      <c r="M2260" s="176"/>
      <c r="N2260" s="176"/>
      <c r="O2260" s="176"/>
      <c r="P2260" s="176"/>
      <c r="Q2260" s="176"/>
      <c r="R2260" s="176"/>
      <c r="S2260" s="176"/>
      <c r="T2260" s="176"/>
      <c r="U2260" s="176"/>
      <c r="V2260" s="176"/>
      <c r="W2260" s="176"/>
      <c r="X2260" s="176"/>
      <c r="Y2260" s="176"/>
    </row>
    <row r="2261" spans="1:25">
      <c r="A2261" s="91"/>
      <c r="B2261" s="176"/>
      <c r="C2261" s="176"/>
      <c r="D2261" s="176"/>
      <c r="E2261" s="176"/>
      <c r="F2261" s="176"/>
      <c r="G2261" s="176"/>
      <c r="H2261" s="176"/>
      <c r="I2261" s="176"/>
      <c r="J2261" s="176"/>
      <c r="K2261" s="176"/>
      <c r="L2261" s="176"/>
      <c r="M2261" s="176"/>
      <c r="N2261" s="176"/>
      <c r="O2261" s="176"/>
      <c r="P2261" s="176"/>
      <c r="Q2261" s="176"/>
      <c r="R2261" s="176"/>
      <c r="S2261" s="176"/>
      <c r="T2261" s="176"/>
      <c r="U2261" s="176"/>
      <c r="V2261" s="176"/>
      <c r="W2261" s="176"/>
      <c r="X2261" s="176"/>
      <c r="Y2261" s="176"/>
    </row>
    <row r="2262" spans="1:25">
      <c r="A2262" s="91"/>
      <c r="B2262" s="176"/>
      <c r="C2262" s="176"/>
      <c r="D2262" s="176"/>
      <c r="E2262" s="176"/>
      <c r="F2262" s="176"/>
      <c r="G2262" s="176"/>
      <c r="H2262" s="176"/>
      <c r="I2262" s="176"/>
      <c r="J2262" s="176"/>
      <c r="K2262" s="176"/>
      <c r="L2262" s="176"/>
      <c r="M2262" s="176"/>
      <c r="N2262" s="176"/>
      <c r="O2262" s="176"/>
      <c r="P2262" s="176"/>
      <c r="Q2262" s="176"/>
      <c r="R2262" s="176"/>
      <c r="S2262" s="176"/>
      <c r="T2262" s="176"/>
      <c r="U2262" s="176"/>
      <c r="V2262" s="176"/>
      <c r="W2262" s="176"/>
      <c r="X2262" s="176"/>
      <c r="Y2262" s="176"/>
    </row>
    <row r="2263" spans="1:25">
      <c r="A2263" s="91"/>
      <c r="B2263" s="176"/>
      <c r="C2263" s="176"/>
      <c r="D2263" s="176"/>
      <c r="E2263" s="176"/>
      <c r="F2263" s="176"/>
      <c r="G2263" s="176"/>
      <c r="H2263" s="176"/>
      <c r="I2263" s="176"/>
      <c r="J2263" s="176"/>
      <c r="K2263" s="176"/>
      <c r="L2263" s="176"/>
      <c r="M2263" s="176"/>
      <c r="N2263" s="176"/>
      <c r="O2263" s="176"/>
      <c r="P2263" s="176"/>
      <c r="Q2263" s="176"/>
      <c r="R2263" s="176"/>
      <c r="S2263" s="176"/>
      <c r="T2263" s="176"/>
      <c r="U2263" s="176"/>
      <c r="V2263" s="176"/>
      <c r="W2263" s="176"/>
      <c r="X2263" s="176"/>
      <c r="Y2263" s="176"/>
    </row>
    <row r="2264" spans="1:25">
      <c r="A2264" s="91"/>
      <c r="B2264" s="176"/>
      <c r="C2264" s="176"/>
      <c r="D2264" s="176"/>
      <c r="E2264" s="176"/>
      <c r="F2264" s="176"/>
      <c r="G2264" s="176"/>
      <c r="H2264" s="176"/>
      <c r="I2264" s="176"/>
      <c r="J2264" s="176"/>
      <c r="K2264" s="176"/>
      <c r="L2264" s="176"/>
      <c r="M2264" s="176"/>
      <c r="N2264" s="176"/>
      <c r="O2264" s="176"/>
      <c r="P2264" s="176"/>
      <c r="Q2264" s="176"/>
      <c r="R2264" s="176"/>
      <c r="S2264" s="176"/>
      <c r="T2264" s="176"/>
      <c r="U2264" s="176"/>
      <c r="V2264" s="176"/>
      <c r="W2264" s="176"/>
      <c r="X2264" s="176"/>
      <c r="Y2264" s="176"/>
    </row>
    <row r="2265" spans="1:25">
      <c r="A2265" s="91"/>
      <c r="B2265" s="176"/>
      <c r="C2265" s="176"/>
      <c r="D2265" s="176"/>
      <c r="E2265" s="176"/>
      <c r="F2265" s="176"/>
      <c r="G2265" s="176"/>
      <c r="H2265" s="176"/>
      <c r="I2265" s="176"/>
      <c r="J2265" s="176"/>
      <c r="K2265" s="176"/>
      <c r="L2265" s="176"/>
      <c r="M2265" s="176"/>
      <c r="N2265" s="176"/>
      <c r="O2265" s="176"/>
      <c r="P2265" s="176"/>
      <c r="Q2265" s="176"/>
      <c r="R2265" s="176"/>
      <c r="S2265" s="176"/>
      <c r="T2265" s="176"/>
      <c r="U2265" s="176"/>
      <c r="V2265" s="176"/>
      <c r="W2265" s="176"/>
      <c r="X2265" s="176"/>
      <c r="Y2265" s="176"/>
    </row>
    <row r="2266" spans="1:25">
      <c r="A2266" s="91"/>
      <c r="B2266" s="176"/>
      <c r="C2266" s="176"/>
      <c r="D2266" s="176"/>
      <c r="E2266" s="176"/>
      <c r="F2266" s="176"/>
      <c r="G2266" s="176"/>
      <c r="H2266" s="176"/>
      <c r="I2266" s="176"/>
      <c r="J2266" s="176"/>
      <c r="K2266" s="176"/>
      <c r="L2266" s="176"/>
      <c r="M2266" s="176"/>
      <c r="N2266" s="176"/>
      <c r="O2266" s="176"/>
      <c r="P2266" s="176"/>
      <c r="Q2266" s="176"/>
      <c r="R2266" s="176"/>
      <c r="S2266" s="176"/>
      <c r="T2266" s="176"/>
      <c r="U2266" s="176"/>
      <c r="V2266" s="176"/>
      <c r="W2266" s="176"/>
      <c r="X2266" s="176"/>
      <c r="Y2266" s="176"/>
    </row>
    <row r="2267" spans="1:25">
      <c r="A2267" s="91"/>
      <c r="B2267" s="176"/>
      <c r="C2267" s="176"/>
      <c r="D2267" s="176"/>
      <c r="E2267" s="176"/>
      <c r="F2267" s="176"/>
      <c r="G2267" s="176"/>
      <c r="H2267" s="176"/>
      <c r="I2267" s="176"/>
      <c r="J2267" s="176"/>
      <c r="K2267" s="176"/>
      <c r="L2267" s="176"/>
      <c r="M2267" s="176"/>
      <c r="N2267" s="176"/>
      <c r="O2267" s="176"/>
      <c r="P2267" s="176"/>
      <c r="Q2267" s="176"/>
      <c r="R2267" s="176"/>
      <c r="S2267" s="176"/>
      <c r="T2267" s="176"/>
      <c r="U2267" s="176"/>
      <c r="V2267" s="176"/>
      <c r="W2267" s="176"/>
      <c r="X2267" s="176"/>
      <c r="Y2267" s="176"/>
    </row>
    <row r="2268" spans="1:25">
      <c r="A2268" s="91"/>
      <c r="B2268" s="176"/>
      <c r="C2268" s="176"/>
      <c r="D2268" s="176"/>
      <c r="E2268" s="176"/>
      <c r="F2268" s="176"/>
      <c r="G2268" s="176"/>
      <c r="H2268" s="176"/>
      <c r="I2268" s="176"/>
      <c r="J2268" s="176"/>
      <c r="K2268" s="176"/>
      <c r="L2268" s="176"/>
      <c r="M2268" s="176"/>
      <c r="N2268" s="176"/>
      <c r="O2268" s="176"/>
      <c r="P2268" s="176"/>
      <c r="Q2268" s="176"/>
      <c r="R2268" s="176"/>
      <c r="S2268" s="176"/>
      <c r="T2268" s="176"/>
      <c r="U2268" s="176"/>
      <c r="V2268" s="176"/>
      <c r="W2268" s="176"/>
      <c r="X2268" s="176"/>
      <c r="Y2268" s="176"/>
    </row>
    <row r="2269" spans="1:25">
      <c r="A2269" s="91"/>
      <c r="B2269" s="176"/>
      <c r="C2269" s="176"/>
      <c r="D2269" s="176"/>
      <c r="E2269" s="176"/>
      <c r="F2269" s="176"/>
      <c r="G2269" s="176"/>
      <c r="H2269" s="176"/>
      <c r="I2269" s="176"/>
      <c r="J2269" s="176"/>
      <c r="K2269" s="176"/>
      <c r="L2269" s="176"/>
      <c r="M2269" s="176"/>
      <c r="N2269" s="176"/>
      <c r="O2269" s="176"/>
      <c r="P2269" s="176"/>
      <c r="Q2269" s="176"/>
      <c r="R2269" s="176"/>
      <c r="S2269" s="176"/>
      <c r="T2269" s="176"/>
      <c r="U2269" s="176"/>
      <c r="V2269" s="176"/>
      <c r="W2269" s="176"/>
      <c r="X2269" s="176"/>
      <c r="Y2269" s="176"/>
    </row>
    <row r="2270" spans="1:25">
      <c r="A2270" s="91"/>
      <c r="B2270" s="176"/>
      <c r="C2270" s="176"/>
      <c r="D2270" s="176"/>
      <c r="E2270" s="176"/>
      <c r="F2270" s="176"/>
      <c r="G2270" s="176"/>
      <c r="H2270" s="176"/>
      <c r="I2270" s="176"/>
      <c r="J2270" s="176"/>
      <c r="K2270" s="176"/>
      <c r="L2270" s="176"/>
      <c r="M2270" s="176"/>
      <c r="N2270" s="176"/>
      <c r="O2270" s="176"/>
      <c r="P2270" s="176"/>
      <c r="Q2270" s="176"/>
      <c r="R2270" s="176"/>
      <c r="S2270" s="176"/>
      <c r="T2270" s="176"/>
      <c r="U2270" s="176"/>
      <c r="V2270" s="176"/>
      <c r="W2270" s="176"/>
      <c r="X2270" s="176"/>
      <c r="Y2270" s="176"/>
    </row>
    <row r="2271" spans="1:25">
      <c r="A2271" s="91"/>
      <c r="B2271" s="176"/>
      <c r="C2271" s="176"/>
      <c r="D2271" s="176"/>
      <c r="E2271" s="176"/>
      <c r="F2271" s="176"/>
      <c r="G2271" s="176"/>
      <c r="H2271" s="176"/>
      <c r="I2271" s="176"/>
      <c r="J2271" s="176"/>
      <c r="K2271" s="176"/>
      <c r="L2271" s="176"/>
      <c r="M2271" s="176"/>
      <c r="N2271" s="176"/>
      <c r="O2271" s="176"/>
      <c r="P2271" s="176"/>
      <c r="Q2271" s="176"/>
      <c r="R2271" s="176"/>
      <c r="S2271" s="176"/>
      <c r="T2271" s="176"/>
      <c r="U2271" s="176"/>
      <c r="V2271" s="176"/>
      <c r="W2271" s="176"/>
      <c r="X2271" s="176"/>
      <c r="Y2271" s="176"/>
    </row>
    <row r="2272" spans="1:25">
      <c r="A2272" s="91"/>
      <c r="B2272" s="176"/>
      <c r="C2272" s="176"/>
      <c r="D2272" s="176"/>
      <c r="E2272" s="176"/>
      <c r="F2272" s="176"/>
      <c r="G2272" s="176"/>
      <c r="H2272" s="176"/>
      <c r="I2272" s="176"/>
      <c r="J2272" s="176"/>
      <c r="K2272" s="176"/>
      <c r="L2272" s="176"/>
      <c r="M2272" s="176"/>
      <c r="N2272" s="176"/>
      <c r="O2272" s="176"/>
      <c r="P2272" s="176"/>
      <c r="Q2272" s="176"/>
      <c r="R2272" s="176"/>
      <c r="S2272" s="176"/>
      <c r="T2272" s="176"/>
      <c r="U2272" s="176"/>
      <c r="V2272" s="176"/>
      <c r="W2272" s="176"/>
      <c r="X2272" s="176"/>
      <c r="Y2272" s="176"/>
    </row>
    <row r="2273" spans="1:25">
      <c r="A2273" s="91"/>
      <c r="B2273" s="176"/>
      <c r="C2273" s="176"/>
      <c r="D2273" s="176"/>
      <c r="E2273" s="176"/>
      <c r="F2273" s="176"/>
      <c r="G2273" s="176"/>
      <c r="H2273" s="176"/>
      <c r="I2273" s="176"/>
      <c r="J2273" s="176"/>
      <c r="K2273" s="176"/>
      <c r="L2273" s="176"/>
      <c r="M2273" s="176"/>
      <c r="N2273" s="176"/>
      <c r="O2273" s="176"/>
      <c r="P2273" s="176"/>
      <c r="Q2273" s="176"/>
      <c r="R2273" s="176"/>
      <c r="S2273" s="176"/>
      <c r="T2273" s="176"/>
      <c r="U2273" s="176"/>
      <c r="V2273" s="176"/>
      <c r="W2273" s="176"/>
      <c r="X2273" s="176"/>
      <c r="Y2273" s="176"/>
    </row>
    <row r="2274" spans="1:25">
      <c r="A2274" s="91"/>
      <c r="B2274" s="176"/>
      <c r="C2274" s="176"/>
      <c r="D2274" s="176"/>
      <c r="E2274" s="176"/>
      <c r="F2274" s="176"/>
      <c r="G2274" s="176"/>
      <c r="H2274" s="176"/>
      <c r="I2274" s="176"/>
      <c r="J2274" s="176"/>
      <c r="K2274" s="176"/>
      <c r="L2274" s="176"/>
      <c r="M2274" s="176"/>
      <c r="N2274" s="176"/>
      <c r="O2274" s="176"/>
      <c r="P2274" s="176"/>
      <c r="Q2274" s="176"/>
      <c r="R2274" s="176"/>
      <c r="S2274" s="176"/>
      <c r="T2274" s="176"/>
      <c r="U2274" s="176"/>
      <c r="V2274" s="176"/>
      <c r="W2274" s="176"/>
      <c r="X2274" s="176"/>
      <c r="Y2274" s="176"/>
    </row>
    <row r="2275" spans="1:25">
      <c r="A2275" s="91"/>
      <c r="B2275" s="176"/>
      <c r="C2275" s="176"/>
      <c r="D2275" s="176"/>
      <c r="E2275" s="176"/>
      <c r="F2275" s="176"/>
      <c r="G2275" s="176"/>
      <c r="H2275" s="176"/>
      <c r="I2275" s="176"/>
      <c r="J2275" s="176"/>
      <c r="K2275" s="176"/>
      <c r="L2275" s="176"/>
      <c r="M2275" s="176"/>
      <c r="N2275" s="176"/>
      <c r="O2275" s="176"/>
      <c r="P2275" s="176"/>
      <c r="Q2275" s="176"/>
      <c r="R2275" s="176"/>
      <c r="S2275" s="176"/>
      <c r="T2275" s="176"/>
      <c r="U2275" s="176"/>
      <c r="V2275" s="176"/>
      <c r="W2275" s="176"/>
      <c r="X2275" s="176"/>
      <c r="Y2275" s="176"/>
    </row>
    <row r="2276" spans="1:25">
      <c r="A2276" s="91"/>
      <c r="B2276" s="176"/>
      <c r="C2276" s="176"/>
      <c r="D2276" s="176"/>
      <c r="E2276" s="176"/>
      <c r="F2276" s="176"/>
      <c r="G2276" s="176"/>
      <c r="H2276" s="176"/>
      <c r="I2276" s="176"/>
      <c r="J2276" s="176"/>
      <c r="K2276" s="176"/>
      <c r="L2276" s="176"/>
      <c r="M2276" s="176"/>
      <c r="N2276" s="176"/>
      <c r="O2276" s="176"/>
      <c r="P2276" s="176"/>
      <c r="Q2276" s="176"/>
      <c r="R2276" s="176"/>
      <c r="S2276" s="176"/>
      <c r="T2276" s="176"/>
      <c r="U2276" s="176"/>
      <c r="V2276" s="176"/>
      <c r="W2276" s="176"/>
      <c r="X2276" s="176"/>
      <c r="Y2276" s="176"/>
    </row>
    <row r="2277" spans="1:25">
      <c r="A2277" s="91"/>
      <c r="B2277" s="176"/>
      <c r="C2277" s="176"/>
      <c r="D2277" s="176"/>
      <c r="E2277" s="176"/>
      <c r="F2277" s="176"/>
      <c r="G2277" s="176"/>
      <c r="H2277" s="176"/>
      <c r="I2277" s="176"/>
      <c r="J2277" s="176"/>
      <c r="K2277" s="176"/>
      <c r="L2277" s="176"/>
      <c r="M2277" s="176"/>
      <c r="N2277" s="176"/>
      <c r="O2277" s="176"/>
      <c r="P2277" s="176"/>
      <c r="Q2277" s="176"/>
      <c r="R2277" s="176"/>
      <c r="S2277" s="176"/>
      <c r="T2277" s="176"/>
      <c r="U2277" s="176"/>
      <c r="V2277" s="176"/>
      <c r="W2277" s="176"/>
      <c r="X2277" s="176"/>
      <c r="Y2277" s="176"/>
    </row>
    <row r="2278" spans="1:25">
      <c r="A2278" s="91"/>
      <c r="B2278" s="176"/>
      <c r="C2278" s="176"/>
      <c r="D2278" s="176"/>
      <c r="E2278" s="176"/>
      <c r="F2278" s="176"/>
      <c r="G2278" s="176"/>
      <c r="H2278" s="176"/>
      <c r="I2278" s="176"/>
      <c r="J2278" s="176"/>
      <c r="K2278" s="176"/>
      <c r="L2278" s="176"/>
      <c r="M2278" s="176"/>
      <c r="N2278" s="176"/>
      <c r="O2278" s="176"/>
      <c r="P2278" s="176"/>
      <c r="Q2278" s="176"/>
      <c r="R2278" s="176"/>
      <c r="S2278" s="176"/>
      <c r="T2278" s="176"/>
      <c r="U2278" s="176"/>
      <c r="V2278" s="176"/>
      <c r="W2278" s="176"/>
      <c r="X2278" s="176"/>
      <c r="Y2278" s="176"/>
    </row>
    <row r="2279" spans="1:25">
      <c r="A2279" s="91"/>
      <c r="B2279" s="176"/>
      <c r="C2279" s="176"/>
      <c r="D2279" s="176"/>
      <c r="E2279" s="176"/>
      <c r="F2279" s="176"/>
      <c r="G2279" s="176"/>
      <c r="H2279" s="176"/>
      <c r="I2279" s="176"/>
      <c r="J2279" s="176"/>
      <c r="K2279" s="176"/>
      <c r="L2279" s="176"/>
      <c r="M2279" s="176"/>
      <c r="N2279" s="176"/>
      <c r="O2279" s="176"/>
      <c r="P2279" s="176"/>
      <c r="Q2279" s="176"/>
      <c r="R2279" s="176"/>
      <c r="S2279" s="176"/>
      <c r="T2279" s="176"/>
      <c r="U2279" s="176"/>
      <c r="V2279" s="176"/>
      <c r="W2279" s="176"/>
      <c r="X2279" s="176"/>
      <c r="Y2279" s="176"/>
    </row>
    <row r="2280" spans="1:25">
      <c r="A2280" s="91"/>
      <c r="B2280" s="176"/>
      <c r="C2280" s="176"/>
      <c r="D2280" s="176"/>
      <c r="E2280" s="176"/>
      <c r="F2280" s="176"/>
      <c r="G2280" s="176"/>
      <c r="H2280" s="176"/>
      <c r="I2280" s="176"/>
      <c r="J2280" s="176"/>
      <c r="K2280" s="176"/>
      <c r="L2280" s="176"/>
      <c r="M2280" s="176"/>
      <c r="N2280" s="176"/>
      <c r="O2280" s="176"/>
      <c r="P2280" s="176"/>
      <c r="Q2280" s="176"/>
      <c r="R2280" s="176"/>
      <c r="S2280" s="176"/>
      <c r="T2280" s="176"/>
      <c r="U2280" s="176"/>
      <c r="V2280" s="176"/>
      <c r="W2280" s="176"/>
      <c r="X2280" s="176"/>
      <c r="Y2280" s="176"/>
    </row>
    <row r="2281" spans="1:25">
      <c r="A2281" s="91"/>
      <c r="B2281" s="176"/>
      <c r="C2281" s="176"/>
      <c r="D2281" s="176"/>
      <c r="E2281" s="176"/>
      <c r="F2281" s="176"/>
      <c r="G2281" s="176"/>
      <c r="H2281" s="176"/>
      <c r="I2281" s="176"/>
      <c r="J2281" s="176"/>
      <c r="K2281" s="176"/>
      <c r="L2281" s="176"/>
      <c r="M2281" s="176"/>
      <c r="N2281" s="176"/>
      <c r="O2281" s="176"/>
      <c r="P2281" s="176"/>
      <c r="Q2281" s="176"/>
      <c r="R2281" s="176"/>
      <c r="S2281" s="176"/>
      <c r="T2281" s="176"/>
      <c r="U2281" s="176"/>
      <c r="V2281" s="176"/>
      <c r="W2281" s="176"/>
      <c r="X2281" s="176"/>
      <c r="Y2281" s="176"/>
    </row>
    <row r="2282" spans="1:25">
      <c r="A2282" s="91"/>
      <c r="B2282" s="176"/>
      <c r="C2282" s="176"/>
      <c r="D2282" s="176"/>
      <c r="E2282" s="176"/>
      <c r="F2282" s="176"/>
      <c r="G2282" s="176"/>
      <c r="H2282" s="176"/>
      <c r="I2282" s="176"/>
      <c r="J2282" s="176"/>
      <c r="K2282" s="176"/>
      <c r="L2282" s="176"/>
      <c r="M2282" s="176"/>
      <c r="N2282" s="176"/>
      <c r="O2282" s="176"/>
      <c r="P2282" s="176"/>
      <c r="Q2282" s="176"/>
      <c r="R2282" s="176"/>
      <c r="S2282" s="176"/>
      <c r="T2282" s="176"/>
      <c r="U2282" s="176"/>
      <c r="V2282" s="176"/>
      <c r="W2282" s="176"/>
      <c r="X2282" s="176"/>
      <c r="Y2282" s="176"/>
    </row>
    <row r="2283" spans="1:25">
      <c r="A2283" s="91"/>
      <c r="B2283" s="176"/>
      <c r="C2283" s="176"/>
      <c r="D2283" s="176"/>
      <c r="E2283" s="176"/>
      <c r="F2283" s="176"/>
      <c r="G2283" s="176"/>
      <c r="H2283" s="176"/>
      <c r="I2283" s="176"/>
      <c r="J2283" s="176"/>
      <c r="K2283" s="176"/>
      <c r="L2283" s="176"/>
      <c r="M2283" s="176"/>
      <c r="N2283" s="176"/>
      <c r="O2283" s="176"/>
      <c r="P2283" s="176"/>
      <c r="Q2283" s="176"/>
      <c r="R2283" s="176"/>
      <c r="S2283" s="176"/>
      <c r="T2283" s="176"/>
      <c r="U2283" s="176"/>
      <c r="V2283" s="176"/>
      <c r="W2283" s="176"/>
      <c r="X2283" s="176"/>
      <c r="Y2283" s="176"/>
    </row>
    <row r="2284" spans="1:25">
      <c r="A2284" s="91"/>
      <c r="B2284" s="176"/>
      <c r="C2284" s="176"/>
      <c r="D2284" s="176"/>
      <c r="E2284" s="176"/>
      <c r="F2284" s="176"/>
      <c r="G2284" s="176"/>
      <c r="H2284" s="176"/>
      <c r="I2284" s="176"/>
      <c r="J2284" s="176"/>
      <c r="K2284" s="176"/>
      <c r="L2284" s="176"/>
      <c r="M2284" s="176"/>
      <c r="N2284" s="176"/>
      <c r="O2284" s="176"/>
      <c r="P2284" s="176"/>
      <c r="Q2284" s="176"/>
      <c r="R2284" s="176"/>
      <c r="S2284" s="176"/>
      <c r="T2284" s="176"/>
      <c r="U2284" s="176"/>
      <c r="V2284" s="176"/>
      <c r="W2284" s="176"/>
      <c r="X2284" s="176"/>
      <c r="Y2284" s="176"/>
    </row>
    <row r="2285" spans="1:25">
      <c r="A2285" s="91"/>
      <c r="B2285" s="176"/>
      <c r="C2285" s="176"/>
      <c r="D2285" s="176"/>
      <c r="E2285" s="176"/>
      <c r="F2285" s="176"/>
      <c r="G2285" s="176"/>
      <c r="H2285" s="176"/>
      <c r="I2285" s="176"/>
      <c r="J2285" s="176"/>
      <c r="K2285" s="176"/>
      <c r="L2285" s="176"/>
      <c r="M2285" s="176"/>
      <c r="N2285" s="176"/>
      <c r="O2285" s="176"/>
      <c r="P2285" s="176"/>
      <c r="Q2285" s="176"/>
      <c r="R2285" s="176"/>
      <c r="S2285" s="176"/>
      <c r="T2285" s="176"/>
      <c r="U2285" s="176"/>
      <c r="V2285" s="176"/>
      <c r="W2285" s="176"/>
      <c r="X2285" s="176"/>
      <c r="Y2285" s="176"/>
    </row>
    <row r="2286" spans="1:25">
      <c r="A2286" s="91"/>
      <c r="B2286" s="176"/>
      <c r="C2286" s="176"/>
      <c r="D2286" s="176"/>
      <c r="E2286" s="176"/>
      <c r="F2286" s="176"/>
      <c r="G2286" s="176"/>
      <c r="H2286" s="176"/>
      <c r="I2286" s="176"/>
      <c r="J2286" s="176"/>
      <c r="K2286" s="176"/>
      <c r="L2286" s="176"/>
      <c r="M2286" s="176"/>
      <c r="N2286" s="176"/>
      <c r="O2286" s="176"/>
      <c r="P2286" s="176"/>
      <c r="Q2286" s="176"/>
      <c r="R2286" s="176"/>
      <c r="S2286" s="176"/>
      <c r="T2286" s="176"/>
      <c r="U2286" s="176"/>
      <c r="V2286" s="176"/>
      <c r="W2286" s="176"/>
      <c r="X2286" s="176"/>
      <c r="Y2286" s="176"/>
    </row>
    <row r="2287" spans="1:25">
      <c r="A2287" s="91"/>
      <c r="B2287" s="176"/>
      <c r="C2287" s="176"/>
      <c r="D2287" s="176"/>
      <c r="E2287" s="176"/>
      <c r="F2287" s="176"/>
      <c r="G2287" s="176"/>
      <c r="H2287" s="176"/>
      <c r="I2287" s="176"/>
      <c r="J2287" s="176"/>
      <c r="K2287" s="176"/>
      <c r="L2287" s="176"/>
      <c r="M2287" s="176"/>
      <c r="N2287" s="176"/>
      <c r="O2287" s="176"/>
      <c r="P2287" s="176"/>
      <c r="Q2287" s="176"/>
      <c r="R2287" s="176"/>
      <c r="S2287" s="176"/>
      <c r="T2287" s="176"/>
      <c r="U2287" s="176"/>
      <c r="V2287" s="176"/>
      <c r="W2287" s="176"/>
      <c r="X2287" s="176"/>
      <c r="Y2287" s="176"/>
    </row>
    <row r="2288" spans="1:25">
      <c r="A2288" s="91"/>
      <c r="B2288" s="176"/>
      <c r="C2288" s="176"/>
      <c r="D2288" s="176"/>
      <c r="E2288" s="176"/>
      <c r="F2288" s="176"/>
      <c r="G2288" s="176"/>
      <c r="H2288" s="176"/>
      <c r="I2288" s="176"/>
      <c r="J2288" s="176"/>
      <c r="K2288" s="176"/>
      <c r="L2288" s="176"/>
      <c r="M2288" s="176"/>
      <c r="N2288" s="176"/>
      <c r="O2288" s="176"/>
      <c r="P2288" s="176"/>
      <c r="Q2288" s="176"/>
      <c r="R2288" s="176"/>
      <c r="S2288" s="176"/>
      <c r="T2288" s="176"/>
      <c r="U2288" s="176"/>
      <c r="V2288" s="176"/>
      <c r="W2288" s="176"/>
      <c r="X2288" s="176"/>
      <c r="Y2288" s="176"/>
    </row>
    <row r="2289" spans="1:25">
      <c r="A2289" s="91"/>
      <c r="B2289" s="176"/>
      <c r="C2289" s="176"/>
      <c r="D2289" s="176"/>
      <c r="E2289" s="176"/>
      <c r="F2289" s="176"/>
      <c r="G2289" s="176"/>
      <c r="H2289" s="176"/>
      <c r="I2289" s="176"/>
      <c r="J2289" s="176"/>
      <c r="K2289" s="176"/>
      <c r="L2289" s="176"/>
      <c r="M2289" s="176"/>
      <c r="N2289" s="176"/>
      <c r="O2289" s="176"/>
      <c r="P2289" s="176"/>
      <c r="Q2289" s="176"/>
      <c r="R2289" s="176"/>
      <c r="S2289" s="176"/>
      <c r="T2289" s="176"/>
      <c r="U2289" s="176"/>
      <c r="V2289" s="176"/>
      <c r="W2289" s="176"/>
      <c r="X2289" s="176"/>
      <c r="Y2289" s="176"/>
    </row>
    <row r="2290" spans="1:25">
      <c r="A2290" s="91"/>
      <c r="B2290" s="176"/>
      <c r="C2290" s="176"/>
      <c r="D2290" s="176"/>
      <c r="E2290" s="176"/>
      <c r="F2290" s="176"/>
      <c r="G2290" s="176"/>
      <c r="H2290" s="176"/>
      <c r="I2290" s="176"/>
      <c r="J2290" s="176"/>
      <c r="K2290" s="176"/>
      <c r="L2290" s="176"/>
      <c r="M2290" s="176"/>
      <c r="N2290" s="176"/>
      <c r="O2290" s="176"/>
      <c r="P2290" s="176"/>
      <c r="Q2290" s="176"/>
      <c r="R2290" s="176"/>
      <c r="S2290" s="176"/>
      <c r="T2290" s="176"/>
      <c r="U2290" s="176"/>
      <c r="V2290" s="176"/>
      <c r="W2290" s="176"/>
      <c r="X2290" s="176"/>
      <c r="Y2290" s="176"/>
    </row>
    <row r="2291" spans="1:25">
      <c r="A2291" s="91"/>
      <c r="B2291" s="176"/>
      <c r="C2291" s="176"/>
      <c r="D2291" s="176"/>
      <c r="E2291" s="176"/>
      <c r="F2291" s="176"/>
      <c r="G2291" s="176"/>
      <c r="H2291" s="176"/>
      <c r="I2291" s="176"/>
      <c r="J2291" s="176"/>
      <c r="K2291" s="176"/>
      <c r="L2291" s="176"/>
      <c r="M2291" s="176"/>
      <c r="N2291" s="176"/>
      <c r="O2291" s="176"/>
      <c r="P2291" s="176"/>
      <c r="Q2291" s="176"/>
      <c r="R2291" s="176"/>
      <c r="S2291" s="176"/>
      <c r="T2291" s="176"/>
      <c r="U2291" s="176"/>
      <c r="V2291" s="176"/>
      <c r="W2291" s="176"/>
      <c r="X2291" s="176"/>
      <c r="Y2291" s="176"/>
    </row>
    <row r="2292" spans="1:25">
      <c r="A2292" s="91"/>
      <c r="B2292" s="176"/>
      <c r="C2292" s="176"/>
      <c r="D2292" s="176"/>
      <c r="E2292" s="176"/>
      <c r="F2292" s="176"/>
      <c r="G2292" s="176"/>
      <c r="H2292" s="176"/>
      <c r="I2292" s="176"/>
      <c r="J2292" s="176"/>
      <c r="K2292" s="176"/>
      <c r="L2292" s="176"/>
      <c r="M2292" s="176"/>
      <c r="N2292" s="176"/>
      <c r="O2292" s="176"/>
      <c r="P2292" s="176"/>
      <c r="Q2292" s="176"/>
      <c r="R2292" s="176"/>
      <c r="S2292" s="176"/>
      <c r="T2292" s="176"/>
      <c r="U2292" s="176"/>
      <c r="V2292" s="176"/>
      <c r="W2292" s="176"/>
      <c r="X2292" s="176"/>
      <c r="Y2292" s="176"/>
    </row>
    <row r="2293" spans="1:25">
      <c r="A2293" s="91"/>
      <c r="B2293" s="176"/>
      <c r="C2293" s="176"/>
      <c r="D2293" s="176"/>
      <c r="E2293" s="176"/>
      <c r="F2293" s="176"/>
      <c r="G2293" s="176"/>
      <c r="H2293" s="176"/>
      <c r="I2293" s="176"/>
      <c r="J2293" s="176"/>
      <c r="K2293" s="176"/>
      <c r="L2293" s="176"/>
      <c r="M2293" s="176"/>
      <c r="N2293" s="176"/>
      <c r="O2293" s="176"/>
      <c r="P2293" s="176"/>
      <c r="Q2293" s="176"/>
      <c r="R2293" s="176"/>
      <c r="S2293" s="176"/>
      <c r="T2293" s="176"/>
      <c r="U2293" s="176"/>
      <c r="V2293" s="176"/>
      <c r="W2293" s="176"/>
      <c r="X2293" s="176"/>
      <c r="Y2293" s="176"/>
    </row>
    <row r="2294" spans="1:25">
      <c r="A2294" s="91"/>
      <c r="B2294" s="176"/>
      <c r="C2294" s="176"/>
      <c r="D2294" s="176"/>
      <c r="E2294" s="176"/>
      <c r="F2294" s="176"/>
      <c r="G2294" s="176"/>
      <c r="H2294" s="176"/>
      <c r="I2294" s="176"/>
      <c r="J2294" s="176"/>
      <c r="K2294" s="176"/>
      <c r="L2294" s="176"/>
      <c r="M2294" s="176"/>
      <c r="N2294" s="176"/>
      <c r="O2294" s="176"/>
      <c r="P2294" s="176"/>
      <c r="Q2294" s="176"/>
      <c r="R2294" s="176"/>
      <c r="S2294" s="176"/>
      <c r="T2294" s="176"/>
      <c r="U2294" s="176"/>
      <c r="V2294" s="176"/>
      <c r="W2294" s="176"/>
      <c r="X2294" s="176"/>
      <c r="Y2294" s="176"/>
    </row>
    <row r="2295" spans="1:25">
      <c r="A2295" s="91"/>
      <c r="B2295" s="176"/>
      <c r="C2295" s="176"/>
      <c r="D2295" s="176"/>
      <c r="E2295" s="176"/>
      <c r="F2295" s="176"/>
      <c r="G2295" s="176"/>
      <c r="H2295" s="176"/>
      <c r="I2295" s="176"/>
      <c r="J2295" s="176"/>
      <c r="K2295" s="176"/>
      <c r="L2295" s="176"/>
      <c r="M2295" s="176"/>
      <c r="N2295" s="176"/>
      <c r="O2295" s="176"/>
      <c r="P2295" s="176"/>
      <c r="Q2295" s="176"/>
      <c r="R2295" s="176"/>
      <c r="S2295" s="176"/>
      <c r="T2295" s="176"/>
      <c r="U2295" s="176"/>
      <c r="V2295" s="176"/>
      <c r="W2295" s="176"/>
      <c r="X2295" s="176"/>
      <c r="Y2295" s="176"/>
    </row>
    <row r="2296" spans="1:25">
      <c r="A2296" s="91"/>
      <c r="B2296" s="176"/>
      <c r="C2296" s="176"/>
      <c r="D2296" s="176"/>
      <c r="E2296" s="176"/>
      <c r="F2296" s="176"/>
      <c r="G2296" s="176"/>
      <c r="H2296" s="176"/>
      <c r="I2296" s="176"/>
      <c r="J2296" s="176"/>
      <c r="K2296" s="176"/>
      <c r="L2296" s="176"/>
      <c r="M2296" s="176"/>
      <c r="N2296" s="176"/>
      <c r="O2296" s="176"/>
      <c r="P2296" s="176"/>
      <c r="Q2296" s="176"/>
      <c r="R2296" s="176"/>
      <c r="S2296" s="176"/>
      <c r="T2296" s="176"/>
      <c r="U2296" s="176"/>
      <c r="V2296" s="176"/>
      <c r="W2296" s="176"/>
      <c r="X2296" s="176"/>
      <c r="Y2296" s="176"/>
    </row>
    <row r="2297" spans="1:25">
      <c r="A2297" s="91"/>
      <c r="B2297" s="176"/>
      <c r="C2297" s="176"/>
      <c r="D2297" s="176"/>
      <c r="E2297" s="176"/>
      <c r="F2297" s="176"/>
      <c r="G2297" s="176"/>
      <c r="H2297" s="176"/>
      <c r="I2297" s="176"/>
      <c r="J2297" s="176"/>
      <c r="K2297" s="176"/>
      <c r="L2297" s="176"/>
      <c r="M2297" s="176"/>
      <c r="N2297" s="176"/>
      <c r="O2297" s="176"/>
      <c r="P2297" s="176"/>
      <c r="Q2297" s="176"/>
      <c r="R2297" s="176"/>
      <c r="S2297" s="176"/>
      <c r="T2297" s="176"/>
      <c r="U2297" s="176"/>
      <c r="V2297" s="176"/>
      <c r="W2297" s="176"/>
      <c r="X2297" s="176"/>
      <c r="Y2297" s="176"/>
    </row>
    <row r="2298" spans="1:25">
      <c r="A2298" s="91"/>
      <c r="B2298" s="176"/>
      <c r="C2298" s="176"/>
      <c r="D2298" s="176"/>
      <c r="E2298" s="176"/>
      <c r="F2298" s="176"/>
      <c r="G2298" s="176"/>
      <c r="H2298" s="176"/>
      <c r="I2298" s="176"/>
      <c r="J2298" s="176"/>
      <c r="K2298" s="176"/>
      <c r="L2298" s="176"/>
      <c r="M2298" s="176"/>
      <c r="N2298" s="176"/>
      <c r="O2298" s="176"/>
      <c r="P2298" s="176"/>
      <c r="Q2298" s="176"/>
      <c r="R2298" s="176"/>
      <c r="S2298" s="176"/>
      <c r="T2298" s="176"/>
      <c r="U2298" s="176"/>
      <c r="V2298" s="176"/>
      <c r="W2298" s="176"/>
      <c r="X2298" s="176"/>
      <c r="Y2298" s="176"/>
    </row>
    <row r="2299" spans="1:25">
      <c r="A2299" s="91"/>
      <c r="B2299" s="176"/>
      <c r="C2299" s="176"/>
      <c r="D2299" s="176"/>
      <c r="E2299" s="176"/>
      <c r="F2299" s="176"/>
      <c r="G2299" s="176"/>
      <c r="H2299" s="176"/>
      <c r="I2299" s="176"/>
      <c r="J2299" s="176"/>
      <c r="K2299" s="176"/>
      <c r="L2299" s="176"/>
      <c r="M2299" s="176"/>
      <c r="N2299" s="176"/>
      <c r="O2299" s="176"/>
      <c r="P2299" s="176"/>
      <c r="Q2299" s="176"/>
      <c r="R2299" s="176"/>
      <c r="S2299" s="176"/>
      <c r="T2299" s="176"/>
      <c r="U2299" s="176"/>
      <c r="V2299" s="176"/>
      <c r="W2299" s="176"/>
      <c r="X2299" s="176"/>
      <c r="Y2299" s="176"/>
    </row>
    <row r="2300" spans="1:25">
      <c r="A2300" s="91"/>
      <c r="B2300" s="176"/>
      <c r="C2300" s="176"/>
      <c r="D2300" s="176"/>
      <c r="E2300" s="176"/>
      <c r="F2300" s="176"/>
      <c r="G2300" s="176"/>
      <c r="H2300" s="176"/>
      <c r="I2300" s="176"/>
      <c r="J2300" s="176"/>
      <c r="K2300" s="176"/>
      <c r="L2300" s="176"/>
      <c r="M2300" s="176"/>
      <c r="N2300" s="176"/>
      <c r="O2300" s="176"/>
      <c r="P2300" s="176"/>
      <c r="Q2300" s="176"/>
      <c r="R2300" s="176"/>
      <c r="S2300" s="176"/>
      <c r="T2300" s="176"/>
      <c r="U2300" s="176"/>
      <c r="V2300" s="176"/>
      <c r="W2300" s="176"/>
      <c r="X2300" s="176"/>
      <c r="Y2300" s="176"/>
    </row>
    <row r="2301" spans="1:25">
      <c r="A2301" s="91"/>
      <c r="B2301" s="176"/>
      <c r="C2301" s="176"/>
      <c r="D2301" s="176"/>
      <c r="E2301" s="176"/>
      <c r="F2301" s="176"/>
      <c r="G2301" s="176"/>
      <c r="H2301" s="176"/>
      <c r="I2301" s="176"/>
      <c r="J2301" s="176"/>
      <c r="K2301" s="176"/>
      <c r="L2301" s="176"/>
      <c r="M2301" s="176"/>
      <c r="N2301" s="176"/>
      <c r="O2301" s="176"/>
      <c r="P2301" s="176"/>
      <c r="Q2301" s="176"/>
      <c r="R2301" s="176"/>
      <c r="S2301" s="176"/>
      <c r="T2301" s="176"/>
      <c r="U2301" s="176"/>
      <c r="V2301" s="176"/>
      <c r="W2301" s="176"/>
      <c r="X2301" s="176"/>
      <c r="Y2301" s="176"/>
    </row>
    <row r="2302" spans="1:25">
      <c r="A2302" s="91"/>
      <c r="B2302" s="176"/>
      <c r="C2302" s="176"/>
      <c r="D2302" s="176"/>
      <c r="E2302" s="176"/>
      <c r="F2302" s="176"/>
      <c r="G2302" s="176"/>
      <c r="H2302" s="176"/>
      <c r="I2302" s="176"/>
      <c r="J2302" s="176"/>
      <c r="K2302" s="176"/>
      <c r="L2302" s="176"/>
      <c r="M2302" s="176"/>
      <c r="N2302" s="176"/>
      <c r="O2302" s="176"/>
      <c r="P2302" s="176"/>
      <c r="Q2302" s="176"/>
      <c r="R2302" s="176"/>
      <c r="S2302" s="176"/>
      <c r="T2302" s="176"/>
      <c r="U2302" s="176"/>
      <c r="V2302" s="176"/>
      <c r="W2302" s="176"/>
      <c r="X2302" s="176"/>
      <c r="Y2302" s="176"/>
    </row>
    <row r="2303" spans="1:25">
      <c r="A2303" s="91"/>
      <c r="B2303" s="176"/>
      <c r="C2303" s="176"/>
      <c r="D2303" s="176"/>
      <c r="E2303" s="176"/>
      <c r="F2303" s="176"/>
      <c r="G2303" s="176"/>
      <c r="H2303" s="176"/>
      <c r="I2303" s="176"/>
      <c r="J2303" s="176"/>
      <c r="K2303" s="176"/>
      <c r="L2303" s="176"/>
      <c r="M2303" s="176"/>
      <c r="N2303" s="176"/>
      <c r="O2303" s="176"/>
      <c r="P2303" s="176"/>
      <c r="Q2303" s="176"/>
      <c r="R2303" s="176"/>
      <c r="S2303" s="176"/>
      <c r="T2303" s="176"/>
      <c r="U2303" s="176"/>
      <c r="V2303" s="176"/>
      <c r="W2303" s="176"/>
      <c r="X2303" s="176"/>
      <c r="Y2303" s="176"/>
    </row>
    <row r="2304" spans="1:25">
      <c r="A2304" s="91"/>
      <c r="B2304" s="176"/>
      <c r="C2304" s="176"/>
      <c r="D2304" s="176"/>
      <c r="E2304" s="176"/>
      <c r="F2304" s="176"/>
      <c r="G2304" s="176"/>
      <c r="H2304" s="176"/>
      <c r="I2304" s="176"/>
      <c r="J2304" s="176"/>
      <c r="K2304" s="176"/>
      <c r="L2304" s="176"/>
      <c r="M2304" s="176"/>
      <c r="N2304" s="176"/>
      <c r="O2304" s="176"/>
      <c r="P2304" s="176"/>
      <c r="Q2304" s="176"/>
      <c r="R2304" s="176"/>
      <c r="S2304" s="176"/>
      <c r="T2304" s="176"/>
      <c r="U2304" s="176"/>
      <c r="V2304" s="176"/>
      <c r="W2304" s="176"/>
      <c r="X2304" s="176"/>
      <c r="Y2304" s="176"/>
    </row>
    <row r="2305" spans="1:25">
      <c r="A2305" s="91"/>
      <c r="B2305" s="176"/>
      <c r="C2305" s="176"/>
      <c r="D2305" s="176"/>
      <c r="E2305" s="176"/>
      <c r="F2305" s="176"/>
      <c r="G2305" s="176"/>
      <c r="H2305" s="176"/>
      <c r="I2305" s="176"/>
      <c r="J2305" s="176"/>
      <c r="K2305" s="176"/>
      <c r="L2305" s="176"/>
      <c r="M2305" s="176"/>
      <c r="N2305" s="176"/>
      <c r="O2305" s="176"/>
      <c r="P2305" s="176"/>
      <c r="Q2305" s="176"/>
      <c r="R2305" s="176"/>
      <c r="S2305" s="176"/>
      <c r="T2305" s="176"/>
      <c r="U2305" s="176"/>
      <c r="V2305" s="176"/>
      <c r="W2305" s="176"/>
      <c r="X2305" s="176"/>
      <c r="Y2305" s="176"/>
    </row>
    <row r="2306" spans="1:25">
      <c r="A2306" s="91"/>
      <c r="B2306" s="176"/>
      <c r="C2306" s="176"/>
      <c r="D2306" s="176"/>
      <c r="E2306" s="176"/>
      <c r="F2306" s="176"/>
      <c r="G2306" s="176"/>
      <c r="H2306" s="176"/>
      <c r="I2306" s="176"/>
      <c r="J2306" s="176"/>
      <c r="K2306" s="176"/>
      <c r="L2306" s="176"/>
      <c r="M2306" s="176"/>
      <c r="N2306" s="176"/>
      <c r="O2306" s="176"/>
      <c r="P2306" s="176"/>
      <c r="Q2306" s="176"/>
      <c r="R2306" s="176"/>
      <c r="S2306" s="176"/>
      <c r="T2306" s="176"/>
      <c r="U2306" s="176"/>
      <c r="V2306" s="176"/>
      <c r="W2306" s="176"/>
      <c r="X2306" s="176"/>
      <c r="Y2306" s="176"/>
    </row>
    <row r="2307" spans="1:25">
      <c r="A2307" s="91"/>
      <c r="B2307" s="176"/>
      <c r="C2307" s="176"/>
      <c r="D2307" s="176"/>
      <c r="E2307" s="176"/>
      <c r="F2307" s="176"/>
      <c r="G2307" s="176"/>
      <c r="H2307" s="176"/>
      <c r="I2307" s="176"/>
      <c r="J2307" s="176"/>
      <c r="K2307" s="176"/>
      <c r="L2307" s="176"/>
      <c r="M2307" s="176"/>
      <c r="N2307" s="176"/>
      <c r="O2307" s="176"/>
      <c r="P2307" s="176"/>
      <c r="Q2307" s="176"/>
      <c r="R2307" s="176"/>
      <c r="S2307" s="176"/>
      <c r="T2307" s="176"/>
      <c r="U2307" s="176"/>
      <c r="V2307" s="176"/>
      <c r="W2307" s="176"/>
      <c r="X2307" s="176"/>
      <c r="Y2307" s="176"/>
    </row>
    <row r="2308" spans="1:25">
      <c r="A2308" s="91"/>
      <c r="B2308" s="176"/>
      <c r="C2308" s="176"/>
      <c r="D2308" s="176"/>
      <c r="E2308" s="176"/>
      <c r="F2308" s="176"/>
      <c r="G2308" s="176"/>
      <c r="H2308" s="176"/>
      <c r="I2308" s="176"/>
      <c r="J2308" s="176"/>
      <c r="K2308" s="176"/>
      <c r="L2308" s="176"/>
      <c r="M2308" s="176"/>
      <c r="N2308" s="176"/>
      <c r="O2308" s="176"/>
      <c r="P2308" s="176"/>
      <c r="Q2308" s="176"/>
      <c r="R2308" s="176"/>
      <c r="S2308" s="176"/>
      <c r="T2308" s="176"/>
      <c r="U2308" s="176"/>
      <c r="V2308" s="176"/>
      <c r="W2308" s="176"/>
      <c r="X2308" s="176"/>
      <c r="Y2308" s="176"/>
    </row>
    <row r="2309" spans="1:25">
      <c r="A2309" s="91"/>
      <c r="B2309" s="176"/>
      <c r="C2309" s="176"/>
      <c r="D2309" s="176"/>
      <c r="E2309" s="176"/>
      <c r="F2309" s="176"/>
      <c r="G2309" s="176"/>
      <c r="H2309" s="176"/>
      <c r="I2309" s="176"/>
      <c r="J2309" s="176"/>
      <c r="K2309" s="176"/>
      <c r="L2309" s="176"/>
      <c r="M2309" s="176"/>
      <c r="N2309" s="176"/>
      <c r="O2309" s="176"/>
      <c r="P2309" s="176"/>
      <c r="Q2309" s="176"/>
      <c r="R2309" s="176"/>
      <c r="S2309" s="176"/>
      <c r="T2309" s="176"/>
      <c r="U2309" s="176"/>
      <c r="V2309" s="176"/>
      <c r="W2309" s="176"/>
      <c r="X2309" s="176"/>
      <c r="Y2309" s="176"/>
    </row>
    <row r="2310" spans="1:25">
      <c r="A2310" s="91"/>
      <c r="B2310" s="176"/>
      <c r="C2310" s="176"/>
      <c r="D2310" s="176"/>
      <c r="E2310" s="176"/>
      <c r="F2310" s="176"/>
      <c r="G2310" s="176"/>
      <c r="H2310" s="176"/>
      <c r="I2310" s="176"/>
      <c r="J2310" s="176"/>
      <c r="K2310" s="176"/>
      <c r="L2310" s="176"/>
      <c r="M2310" s="176"/>
      <c r="N2310" s="176"/>
      <c r="O2310" s="176"/>
      <c r="P2310" s="176"/>
      <c r="Q2310" s="176"/>
      <c r="R2310" s="176"/>
      <c r="S2310" s="176"/>
      <c r="T2310" s="176"/>
      <c r="U2310" s="176"/>
      <c r="V2310" s="176"/>
      <c r="W2310" s="176"/>
      <c r="X2310" s="176"/>
      <c r="Y2310" s="176"/>
    </row>
    <row r="2311" spans="1:25">
      <c r="A2311" s="91"/>
      <c r="B2311" s="176"/>
      <c r="C2311" s="176"/>
      <c r="D2311" s="176"/>
      <c r="E2311" s="176"/>
      <c r="F2311" s="176"/>
      <c r="G2311" s="176"/>
      <c r="H2311" s="176"/>
      <c r="I2311" s="176"/>
      <c r="J2311" s="176"/>
      <c r="K2311" s="176"/>
      <c r="L2311" s="176"/>
      <c r="M2311" s="176"/>
      <c r="N2311" s="176"/>
      <c r="O2311" s="176"/>
      <c r="P2311" s="176"/>
      <c r="Q2311" s="176"/>
      <c r="R2311" s="176"/>
      <c r="S2311" s="176"/>
      <c r="T2311" s="176"/>
      <c r="U2311" s="176"/>
      <c r="V2311" s="176"/>
      <c r="W2311" s="176"/>
      <c r="X2311" s="176"/>
      <c r="Y2311" s="176"/>
    </row>
    <row r="2312" spans="1:25">
      <c r="A2312" s="91"/>
      <c r="B2312" s="176"/>
      <c r="C2312" s="176"/>
      <c r="D2312" s="176"/>
      <c r="E2312" s="176"/>
      <c r="F2312" s="176"/>
      <c r="G2312" s="176"/>
      <c r="H2312" s="176"/>
      <c r="I2312" s="176"/>
      <c r="J2312" s="176"/>
      <c r="K2312" s="176"/>
      <c r="L2312" s="176"/>
      <c r="M2312" s="176"/>
      <c r="N2312" s="176"/>
      <c r="O2312" s="176"/>
      <c r="P2312" s="176"/>
      <c r="Q2312" s="176"/>
      <c r="R2312" s="176"/>
      <c r="S2312" s="176"/>
      <c r="T2312" s="176"/>
      <c r="U2312" s="176"/>
      <c r="V2312" s="176"/>
      <c r="W2312" s="176"/>
      <c r="X2312" s="176"/>
      <c r="Y2312" s="176"/>
    </row>
    <row r="2313" spans="1:25">
      <c r="A2313" s="91"/>
      <c r="B2313" s="176"/>
      <c r="C2313" s="176"/>
      <c r="D2313" s="176"/>
      <c r="E2313" s="176"/>
      <c r="F2313" s="176"/>
      <c r="G2313" s="176"/>
      <c r="H2313" s="176"/>
      <c r="I2313" s="176"/>
      <c r="J2313" s="176"/>
      <c r="K2313" s="176"/>
      <c r="L2313" s="176"/>
      <c r="M2313" s="176"/>
      <c r="N2313" s="176"/>
      <c r="O2313" s="176"/>
      <c r="P2313" s="176"/>
      <c r="Q2313" s="176"/>
      <c r="R2313" s="176"/>
      <c r="S2313" s="176"/>
      <c r="T2313" s="176"/>
      <c r="U2313" s="176"/>
      <c r="V2313" s="176"/>
      <c r="W2313" s="176"/>
      <c r="X2313" s="176"/>
      <c r="Y2313" s="176"/>
    </row>
    <row r="2314" spans="1:25">
      <c r="A2314" s="91"/>
      <c r="B2314" s="176"/>
      <c r="C2314" s="176"/>
      <c r="D2314" s="176"/>
      <c r="E2314" s="176"/>
      <c r="F2314" s="176"/>
      <c r="G2314" s="176"/>
      <c r="H2314" s="176"/>
      <c r="I2314" s="176"/>
      <c r="J2314" s="176"/>
      <c r="K2314" s="176"/>
      <c r="L2314" s="176"/>
      <c r="M2314" s="176"/>
      <c r="N2314" s="176"/>
      <c r="O2314" s="176"/>
      <c r="P2314" s="176"/>
      <c r="Q2314" s="176"/>
      <c r="R2314" s="176"/>
      <c r="S2314" s="176"/>
      <c r="T2314" s="176"/>
      <c r="U2314" s="176"/>
      <c r="V2314" s="176"/>
      <c r="W2314" s="176"/>
      <c r="X2314" s="176"/>
      <c r="Y2314" s="176"/>
    </row>
    <row r="2315" spans="1:25">
      <c r="A2315" s="91"/>
      <c r="B2315" s="176"/>
      <c r="C2315" s="176"/>
      <c r="D2315" s="176"/>
      <c r="E2315" s="176"/>
      <c r="F2315" s="176"/>
      <c r="G2315" s="176"/>
      <c r="H2315" s="176"/>
      <c r="I2315" s="176"/>
      <c r="J2315" s="176"/>
      <c r="K2315" s="176"/>
      <c r="L2315" s="176"/>
      <c r="M2315" s="176"/>
      <c r="N2315" s="176"/>
      <c r="O2315" s="176"/>
      <c r="P2315" s="176"/>
      <c r="Q2315" s="176"/>
      <c r="R2315" s="176"/>
      <c r="S2315" s="176"/>
      <c r="T2315" s="176"/>
      <c r="U2315" s="176"/>
      <c r="V2315" s="176"/>
      <c r="W2315" s="176"/>
      <c r="X2315" s="176"/>
      <c r="Y2315" s="176"/>
    </row>
    <row r="2316" spans="1:25">
      <c r="A2316" s="91"/>
      <c r="B2316" s="176"/>
      <c r="C2316" s="176"/>
      <c r="D2316" s="176"/>
      <c r="E2316" s="176"/>
      <c r="F2316" s="176"/>
      <c r="G2316" s="176"/>
      <c r="H2316" s="176"/>
      <c r="I2316" s="176"/>
      <c r="J2316" s="176"/>
      <c r="K2316" s="176"/>
      <c r="L2316" s="176"/>
      <c r="M2316" s="176"/>
      <c r="N2316" s="176"/>
      <c r="O2316" s="176"/>
      <c r="P2316" s="176"/>
      <c r="Q2316" s="176"/>
      <c r="R2316" s="176"/>
      <c r="S2316" s="176"/>
      <c r="T2316" s="176"/>
      <c r="U2316" s="176"/>
      <c r="V2316" s="176"/>
      <c r="W2316" s="176"/>
      <c r="X2316" s="176"/>
      <c r="Y2316" s="176"/>
    </row>
    <row r="2317" spans="1:25">
      <c r="A2317" s="91"/>
      <c r="B2317" s="176"/>
      <c r="C2317" s="176"/>
      <c r="D2317" s="176"/>
      <c r="E2317" s="176"/>
      <c r="F2317" s="176"/>
      <c r="G2317" s="176"/>
      <c r="H2317" s="176"/>
      <c r="I2317" s="176"/>
      <c r="J2317" s="176"/>
      <c r="K2317" s="176"/>
      <c r="L2317" s="176"/>
      <c r="M2317" s="176"/>
      <c r="N2317" s="176"/>
      <c r="O2317" s="176"/>
      <c r="P2317" s="176"/>
      <c r="Q2317" s="176"/>
      <c r="R2317" s="176"/>
      <c r="S2317" s="176"/>
      <c r="T2317" s="176"/>
      <c r="U2317" s="176"/>
      <c r="V2317" s="176"/>
      <c r="W2317" s="176"/>
      <c r="X2317" s="176"/>
      <c r="Y2317" s="176"/>
    </row>
    <row r="2318" spans="1:25">
      <c r="A2318" s="91"/>
      <c r="B2318" s="176"/>
      <c r="C2318" s="176"/>
      <c r="D2318" s="176"/>
      <c r="E2318" s="176"/>
      <c r="F2318" s="176"/>
      <c r="G2318" s="176"/>
      <c r="H2318" s="176"/>
      <c r="I2318" s="176"/>
      <c r="J2318" s="176"/>
      <c r="K2318" s="176"/>
      <c r="L2318" s="176"/>
      <c r="M2318" s="176"/>
      <c r="N2318" s="176"/>
      <c r="O2318" s="176"/>
      <c r="P2318" s="176"/>
      <c r="Q2318" s="176"/>
      <c r="R2318" s="176"/>
      <c r="S2318" s="176"/>
      <c r="T2318" s="176"/>
      <c r="U2318" s="176"/>
      <c r="V2318" s="176"/>
      <c r="W2318" s="176"/>
      <c r="X2318" s="176"/>
      <c r="Y2318" s="176"/>
    </row>
    <row r="2319" spans="1:25">
      <c r="A2319" s="91"/>
      <c r="B2319" s="176"/>
      <c r="C2319" s="176"/>
      <c r="D2319" s="176"/>
      <c r="E2319" s="176"/>
      <c r="F2319" s="176"/>
      <c r="G2319" s="176"/>
      <c r="H2319" s="176"/>
      <c r="I2319" s="176"/>
      <c r="J2319" s="176"/>
      <c r="K2319" s="176"/>
      <c r="L2319" s="176"/>
      <c r="M2319" s="176"/>
      <c r="N2319" s="176"/>
      <c r="O2319" s="176"/>
      <c r="P2319" s="176"/>
      <c r="Q2319" s="176"/>
      <c r="R2319" s="176"/>
      <c r="S2319" s="176"/>
      <c r="T2319" s="176"/>
      <c r="U2319" s="176"/>
      <c r="V2319" s="176"/>
      <c r="W2319" s="176"/>
      <c r="X2319" s="176"/>
      <c r="Y2319" s="176"/>
    </row>
    <row r="2320" spans="1:25">
      <c r="A2320" s="91"/>
      <c r="B2320" s="176"/>
      <c r="C2320" s="176"/>
      <c r="D2320" s="176"/>
      <c r="E2320" s="176"/>
      <c r="F2320" s="176"/>
      <c r="G2320" s="176"/>
      <c r="H2320" s="176"/>
      <c r="I2320" s="176"/>
      <c r="J2320" s="176"/>
      <c r="K2320" s="176"/>
      <c r="L2320" s="176"/>
      <c r="M2320" s="176"/>
      <c r="N2320" s="176"/>
      <c r="O2320" s="176"/>
      <c r="P2320" s="176"/>
      <c r="Q2320" s="176"/>
      <c r="R2320" s="176"/>
      <c r="S2320" s="176"/>
      <c r="T2320" s="176"/>
      <c r="U2320" s="176"/>
      <c r="V2320" s="176"/>
      <c r="W2320" s="176"/>
      <c r="X2320" s="176"/>
      <c r="Y2320" s="176"/>
    </row>
    <row r="2321" spans="1:25">
      <c r="A2321" s="91"/>
      <c r="B2321" s="176"/>
      <c r="C2321" s="176"/>
      <c r="D2321" s="176"/>
      <c r="E2321" s="176"/>
      <c r="F2321" s="176"/>
      <c r="G2321" s="176"/>
      <c r="H2321" s="176"/>
      <c r="I2321" s="176"/>
      <c r="J2321" s="176"/>
      <c r="K2321" s="176"/>
      <c r="L2321" s="176"/>
      <c r="M2321" s="176"/>
      <c r="N2321" s="176"/>
      <c r="O2321" s="176"/>
      <c r="P2321" s="176"/>
      <c r="Q2321" s="176"/>
      <c r="R2321" s="176"/>
      <c r="S2321" s="176"/>
      <c r="T2321" s="176"/>
      <c r="U2321" s="176"/>
      <c r="V2321" s="176"/>
      <c r="W2321" s="176"/>
      <c r="X2321" s="176"/>
      <c r="Y2321" s="176"/>
    </row>
    <row r="2322" spans="1:25">
      <c r="A2322" s="91"/>
      <c r="B2322" s="176"/>
      <c r="C2322" s="176"/>
      <c r="D2322" s="176"/>
      <c r="E2322" s="176"/>
      <c r="F2322" s="176"/>
      <c r="G2322" s="176"/>
      <c r="H2322" s="176"/>
      <c r="I2322" s="176"/>
      <c r="J2322" s="176"/>
      <c r="K2322" s="176"/>
      <c r="L2322" s="176"/>
      <c r="M2322" s="176"/>
      <c r="N2322" s="176"/>
      <c r="O2322" s="176"/>
      <c r="P2322" s="176"/>
      <c r="Q2322" s="176"/>
      <c r="R2322" s="176"/>
      <c r="S2322" s="176"/>
      <c r="T2322" s="176"/>
      <c r="U2322" s="176"/>
      <c r="V2322" s="176"/>
      <c r="W2322" s="176"/>
      <c r="X2322" s="176"/>
      <c r="Y2322" s="176"/>
    </row>
    <row r="2323" spans="1:25">
      <c r="A2323" s="91"/>
      <c r="B2323" s="176"/>
      <c r="C2323" s="176"/>
      <c r="D2323" s="176"/>
      <c r="E2323" s="176"/>
      <c r="F2323" s="176"/>
      <c r="G2323" s="176"/>
      <c r="H2323" s="176"/>
      <c r="I2323" s="176"/>
      <c r="J2323" s="176"/>
      <c r="K2323" s="176"/>
      <c r="L2323" s="176"/>
      <c r="M2323" s="176"/>
      <c r="N2323" s="176"/>
      <c r="O2323" s="176"/>
      <c r="P2323" s="176"/>
      <c r="Q2323" s="176"/>
      <c r="R2323" s="176"/>
      <c r="S2323" s="176"/>
      <c r="T2323" s="176"/>
      <c r="U2323" s="176"/>
      <c r="V2323" s="176"/>
      <c r="W2323" s="176"/>
      <c r="X2323" s="176"/>
      <c r="Y2323" s="176"/>
    </row>
    <row r="2324" spans="1:25">
      <c r="A2324" s="91"/>
      <c r="B2324" s="176"/>
      <c r="C2324" s="176"/>
      <c r="D2324" s="176"/>
      <c r="E2324" s="176"/>
      <c r="F2324" s="176"/>
      <c r="G2324" s="176"/>
      <c r="H2324" s="176"/>
      <c r="I2324" s="176"/>
      <c r="J2324" s="176"/>
      <c r="K2324" s="176"/>
      <c r="L2324" s="176"/>
      <c r="M2324" s="176"/>
      <c r="N2324" s="176"/>
      <c r="O2324" s="176"/>
      <c r="P2324" s="176"/>
      <c r="Q2324" s="176"/>
      <c r="R2324" s="176"/>
      <c r="S2324" s="176"/>
      <c r="T2324" s="176"/>
      <c r="U2324" s="176"/>
      <c r="V2324" s="176"/>
      <c r="W2324" s="176"/>
      <c r="X2324" s="176"/>
      <c r="Y2324" s="176"/>
    </row>
    <row r="2325" spans="1:25">
      <c r="A2325" s="91"/>
      <c r="B2325" s="176"/>
      <c r="C2325" s="176"/>
      <c r="D2325" s="176"/>
      <c r="E2325" s="176"/>
      <c r="F2325" s="176"/>
      <c r="G2325" s="176"/>
      <c r="H2325" s="176"/>
      <c r="I2325" s="176"/>
      <c r="J2325" s="176"/>
      <c r="K2325" s="176"/>
      <c r="L2325" s="176"/>
      <c r="M2325" s="176"/>
      <c r="N2325" s="176"/>
      <c r="O2325" s="176"/>
      <c r="P2325" s="176"/>
      <c r="Q2325" s="176"/>
      <c r="R2325" s="176"/>
      <c r="S2325" s="176"/>
      <c r="T2325" s="176"/>
      <c r="U2325" s="176"/>
      <c r="V2325" s="176"/>
      <c r="W2325" s="176"/>
      <c r="X2325" s="176"/>
      <c r="Y2325" s="176"/>
    </row>
    <row r="2326" spans="1:25">
      <c r="A2326" s="91"/>
      <c r="B2326" s="176"/>
      <c r="C2326" s="176"/>
      <c r="D2326" s="176"/>
      <c r="E2326" s="176"/>
      <c r="F2326" s="176"/>
      <c r="G2326" s="176"/>
      <c r="H2326" s="176"/>
      <c r="I2326" s="176"/>
      <c r="J2326" s="176"/>
      <c r="K2326" s="176"/>
      <c r="L2326" s="176"/>
      <c r="M2326" s="176"/>
      <c r="N2326" s="176"/>
      <c r="O2326" s="176"/>
      <c r="P2326" s="176"/>
      <c r="Q2326" s="176"/>
      <c r="R2326" s="176"/>
      <c r="S2326" s="176"/>
      <c r="T2326" s="176"/>
      <c r="U2326" s="176"/>
      <c r="V2326" s="176"/>
      <c r="W2326" s="176"/>
      <c r="X2326" s="176"/>
      <c r="Y2326" s="176"/>
    </row>
    <row r="2327" spans="1:25">
      <c r="A2327" s="91"/>
      <c r="B2327" s="176"/>
      <c r="C2327" s="176"/>
      <c r="D2327" s="176"/>
      <c r="E2327" s="176"/>
      <c r="F2327" s="176"/>
      <c r="G2327" s="176"/>
      <c r="H2327" s="176"/>
      <c r="I2327" s="176"/>
      <c r="J2327" s="176"/>
      <c r="K2327" s="176"/>
      <c r="L2327" s="176"/>
      <c r="M2327" s="176"/>
      <c r="N2327" s="176"/>
      <c r="O2327" s="176"/>
      <c r="P2327" s="176"/>
      <c r="Q2327" s="176"/>
      <c r="R2327" s="176"/>
      <c r="S2327" s="176"/>
      <c r="T2327" s="176"/>
      <c r="U2327" s="176"/>
      <c r="V2327" s="176"/>
      <c r="W2327" s="176"/>
      <c r="X2327" s="176"/>
      <c r="Y2327" s="176"/>
    </row>
    <row r="2328" spans="1:25">
      <c r="A2328" s="91"/>
      <c r="B2328" s="176"/>
      <c r="C2328" s="176"/>
      <c r="D2328" s="176"/>
      <c r="E2328" s="176"/>
      <c r="F2328" s="176"/>
      <c r="G2328" s="176"/>
      <c r="H2328" s="176"/>
      <c r="I2328" s="176"/>
      <c r="J2328" s="176"/>
      <c r="K2328" s="176"/>
      <c r="L2328" s="176"/>
      <c r="M2328" s="176"/>
      <c r="N2328" s="176"/>
      <c r="O2328" s="176"/>
      <c r="P2328" s="176"/>
      <c r="Q2328" s="176"/>
      <c r="R2328" s="176"/>
      <c r="S2328" s="176"/>
      <c r="T2328" s="176"/>
      <c r="U2328" s="176"/>
      <c r="V2328" s="176"/>
      <c r="W2328" s="176"/>
      <c r="X2328" s="176"/>
      <c r="Y2328" s="176"/>
    </row>
    <row r="2329" spans="1:25">
      <c r="A2329" s="91"/>
      <c r="B2329" s="176"/>
      <c r="C2329" s="176"/>
      <c r="D2329" s="176"/>
      <c r="E2329" s="176"/>
      <c r="F2329" s="176"/>
      <c r="G2329" s="176"/>
      <c r="H2329" s="176"/>
      <c r="I2329" s="176"/>
      <c r="J2329" s="176"/>
      <c r="K2329" s="176"/>
      <c r="L2329" s="176"/>
      <c r="M2329" s="176"/>
      <c r="N2329" s="176"/>
      <c r="O2329" s="176"/>
      <c r="P2329" s="176"/>
      <c r="Q2329" s="176"/>
      <c r="R2329" s="176"/>
      <c r="S2329" s="176"/>
      <c r="T2329" s="176"/>
      <c r="U2329" s="176"/>
      <c r="V2329" s="176"/>
      <c r="W2329" s="176"/>
      <c r="X2329" s="176"/>
      <c r="Y2329" s="176"/>
    </row>
    <row r="2330" spans="1:25">
      <c r="A2330" s="91"/>
      <c r="B2330" s="176"/>
      <c r="C2330" s="176"/>
      <c r="D2330" s="176"/>
      <c r="E2330" s="176"/>
      <c r="F2330" s="176"/>
      <c r="G2330" s="176"/>
      <c r="H2330" s="176"/>
      <c r="I2330" s="176"/>
      <c r="J2330" s="176"/>
      <c r="K2330" s="176"/>
      <c r="L2330" s="176"/>
      <c r="M2330" s="176"/>
      <c r="N2330" s="176"/>
      <c r="O2330" s="176"/>
      <c r="P2330" s="176"/>
      <c r="Q2330" s="176"/>
      <c r="R2330" s="176"/>
      <c r="S2330" s="176"/>
      <c r="T2330" s="176"/>
      <c r="U2330" s="176"/>
      <c r="V2330" s="176"/>
      <c r="W2330" s="176"/>
      <c r="X2330" s="176"/>
      <c r="Y2330" s="176"/>
    </row>
    <row r="2331" spans="1:25">
      <c r="A2331" s="91"/>
      <c r="B2331" s="176"/>
      <c r="C2331" s="176"/>
      <c r="D2331" s="176"/>
      <c r="E2331" s="176"/>
      <c r="F2331" s="176"/>
      <c r="G2331" s="176"/>
      <c r="H2331" s="176"/>
      <c r="I2331" s="176"/>
      <c r="J2331" s="176"/>
      <c r="K2331" s="176"/>
      <c r="L2331" s="176"/>
      <c r="M2331" s="176"/>
      <c r="N2331" s="176"/>
      <c r="O2331" s="176"/>
      <c r="P2331" s="176"/>
      <c r="Q2331" s="176"/>
      <c r="R2331" s="176"/>
      <c r="S2331" s="176"/>
      <c r="T2331" s="176"/>
      <c r="U2331" s="176"/>
      <c r="V2331" s="176"/>
      <c r="W2331" s="176"/>
      <c r="X2331" s="176"/>
      <c r="Y2331" s="176"/>
    </row>
    <row r="2332" spans="1:25">
      <c r="A2332" s="91"/>
      <c r="B2332" s="176"/>
      <c r="C2332" s="176"/>
      <c r="D2332" s="176"/>
      <c r="E2332" s="176"/>
      <c r="F2332" s="176"/>
      <c r="G2332" s="176"/>
      <c r="H2332" s="176"/>
      <c r="I2332" s="176"/>
      <c r="J2332" s="176"/>
      <c r="K2332" s="176"/>
      <c r="L2332" s="176"/>
      <c r="M2332" s="176"/>
      <c r="N2332" s="176"/>
      <c r="O2332" s="176"/>
      <c r="P2332" s="176"/>
      <c r="Q2332" s="176"/>
      <c r="R2332" s="176"/>
      <c r="S2332" s="176"/>
      <c r="T2332" s="176"/>
      <c r="U2332" s="176"/>
      <c r="V2332" s="176"/>
      <c r="W2332" s="176"/>
      <c r="X2332" s="176"/>
      <c r="Y2332" s="176"/>
    </row>
    <row r="2333" spans="1:25">
      <c r="A2333" s="91"/>
      <c r="B2333" s="176"/>
      <c r="C2333" s="176"/>
      <c r="D2333" s="176"/>
      <c r="E2333" s="176"/>
      <c r="F2333" s="176"/>
      <c r="G2333" s="176"/>
      <c r="H2333" s="176"/>
      <c r="I2333" s="176"/>
      <c r="J2333" s="176"/>
      <c r="K2333" s="176"/>
      <c r="L2333" s="176"/>
      <c r="M2333" s="176"/>
      <c r="N2333" s="176"/>
      <c r="O2333" s="176"/>
      <c r="P2333" s="176"/>
      <c r="Q2333" s="176"/>
      <c r="R2333" s="176"/>
      <c r="S2333" s="176"/>
      <c r="T2333" s="176"/>
      <c r="U2333" s="176"/>
      <c r="V2333" s="176"/>
      <c r="W2333" s="176"/>
      <c r="X2333" s="176"/>
      <c r="Y2333" s="176"/>
    </row>
    <row r="2334" spans="1:25">
      <c r="A2334" s="91"/>
      <c r="B2334" s="176"/>
      <c r="C2334" s="176"/>
      <c r="D2334" s="176"/>
      <c r="E2334" s="176"/>
      <c r="F2334" s="176"/>
      <c r="G2334" s="176"/>
      <c r="H2334" s="176"/>
      <c r="I2334" s="176"/>
      <c r="J2334" s="176"/>
      <c r="K2334" s="176"/>
      <c r="L2334" s="176"/>
      <c r="M2334" s="176"/>
      <c r="N2334" s="176"/>
      <c r="O2334" s="176"/>
      <c r="P2334" s="176"/>
      <c r="Q2334" s="176"/>
      <c r="R2334" s="176"/>
      <c r="S2334" s="176"/>
      <c r="T2334" s="176"/>
      <c r="U2334" s="176"/>
      <c r="V2334" s="176"/>
      <c r="W2334" s="176"/>
      <c r="X2334" s="176"/>
      <c r="Y2334" s="176"/>
    </row>
    <row r="2335" spans="1:25">
      <c r="A2335" s="91"/>
      <c r="B2335" s="176"/>
      <c r="C2335" s="176"/>
      <c r="D2335" s="176"/>
      <c r="E2335" s="176"/>
      <c r="F2335" s="176"/>
      <c r="G2335" s="176"/>
      <c r="H2335" s="176"/>
      <c r="I2335" s="176"/>
      <c r="J2335" s="176"/>
      <c r="K2335" s="176"/>
      <c r="L2335" s="176"/>
      <c r="M2335" s="176"/>
      <c r="N2335" s="176"/>
      <c r="O2335" s="176"/>
      <c r="P2335" s="176"/>
      <c r="Q2335" s="176"/>
      <c r="R2335" s="176"/>
      <c r="S2335" s="176"/>
      <c r="T2335" s="176"/>
      <c r="U2335" s="176"/>
      <c r="V2335" s="176"/>
      <c r="W2335" s="176"/>
      <c r="X2335" s="176"/>
      <c r="Y2335" s="176"/>
    </row>
    <row r="2336" spans="1:25">
      <c r="A2336" s="91"/>
      <c r="B2336" s="176"/>
      <c r="C2336" s="176"/>
      <c r="D2336" s="176"/>
      <c r="E2336" s="176"/>
      <c r="F2336" s="176"/>
      <c r="G2336" s="176"/>
      <c r="H2336" s="176"/>
      <c r="I2336" s="176"/>
      <c r="J2336" s="176"/>
      <c r="K2336" s="176"/>
      <c r="L2336" s="176"/>
      <c r="M2336" s="176"/>
      <c r="N2336" s="176"/>
      <c r="O2336" s="176"/>
      <c r="P2336" s="176"/>
      <c r="Q2336" s="176"/>
      <c r="R2336" s="176"/>
      <c r="S2336" s="176"/>
      <c r="T2336" s="176"/>
      <c r="U2336" s="176"/>
      <c r="V2336" s="176"/>
      <c r="W2336" s="176"/>
      <c r="X2336" s="176"/>
      <c r="Y2336" s="176"/>
    </row>
    <row r="2337" spans="1:25">
      <c r="A2337" s="91"/>
      <c r="B2337" s="176"/>
      <c r="C2337" s="176"/>
      <c r="D2337" s="176"/>
      <c r="E2337" s="176"/>
      <c r="F2337" s="176"/>
      <c r="G2337" s="176"/>
      <c r="H2337" s="176"/>
      <c r="I2337" s="176"/>
      <c r="J2337" s="176"/>
      <c r="K2337" s="176"/>
      <c r="L2337" s="176"/>
      <c r="M2337" s="176"/>
      <c r="N2337" s="176"/>
      <c r="O2337" s="176"/>
      <c r="P2337" s="176"/>
      <c r="Q2337" s="176"/>
      <c r="R2337" s="176"/>
      <c r="S2337" s="176"/>
      <c r="T2337" s="176"/>
      <c r="U2337" s="176"/>
      <c r="V2337" s="176"/>
      <c r="W2337" s="176"/>
      <c r="X2337" s="176"/>
      <c r="Y2337" s="176"/>
    </row>
    <row r="2338" spans="1:25">
      <c r="A2338" s="91"/>
      <c r="B2338" s="176"/>
      <c r="C2338" s="176"/>
      <c r="D2338" s="176"/>
      <c r="E2338" s="176"/>
      <c r="F2338" s="176"/>
      <c r="G2338" s="176"/>
      <c r="H2338" s="176"/>
      <c r="I2338" s="176"/>
      <c r="J2338" s="176"/>
      <c r="K2338" s="176"/>
      <c r="L2338" s="176"/>
      <c r="M2338" s="176"/>
      <c r="N2338" s="176"/>
      <c r="O2338" s="176"/>
      <c r="P2338" s="176"/>
      <c r="Q2338" s="176"/>
      <c r="R2338" s="176"/>
      <c r="S2338" s="176"/>
      <c r="T2338" s="176"/>
      <c r="U2338" s="176"/>
      <c r="V2338" s="176"/>
      <c r="W2338" s="176"/>
      <c r="X2338" s="176"/>
      <c r="Y2338" s="176"/>
    </row>
    <row r="2339" spans="1:25">
      <c r="A2339" s="91"/>
      <c r="B2339" s="176"/>
      <c r="C2339" s="176"/>
      <c r="D2339" s="176"/>
      <c r="E2339" s="176"/>
      <c r="F2339" s="176"/>
      <c r="G2339" s="176"/>
      <c r="H2339" s="176"/>
      <c r="I2339" s="176"/>
      <c r="J2339" s="176"/>
      <c r="K2339" s="176"/>
      <c r="L2339" s="176"/>
      <c r="M2339" s="176"/>
      <c r="N2339" s="176"/>
      <c r="O2339" s="176"/>
      <c r="P2339" s="176"/>
      <c r="Q2339" s="176"/>
      <c r="R2339" s="176"/>
      <c r="S2339" s="176"/>
      <c r="T2339" s="176"/>
      <c r="U2339" s="176"/>
      <c r="V2339" s="176"/>
      <c r="W2339" s="176"/>
      <c r="X2339" s="176"/>
      <c r="Y2339" s="176"/>
    </row>
    <row r="2340" spans="1:25">
      <c r="A2340" s="91"/>
      <c r="B2340" s="176"/>
      <c r="C2340" s="176"/>
      <c r="D2340" s="176"/>
      <c r="E2340" s="176"/>
      <c r="F2340" s="176"/>
      <c r="G2340" s="176"/>
      <c r="H2340" s="176"/>
      <c r="I2340" s="176"/>
      <c r="J2340" s="176"/>
      <c r="K2340" s="176"/>
      <c r="L2340" s="176"/>
      <c r="M2340" s="176"/>
      <c r="N2340" s="176"/>
      <c r="O2340" s="176"/>
      <c r="P2340" s="176"/>
      <c r="Q2340" s="176"/>
      <c r="R2340" s="176"/>
      <c r="S2340" s="176"/>
      <c r="T2340" s="176"/>
      <c r="U2340" s="176"/>
      <c r="V2340" s="176"/>
      <c r="W2340" s="176"/>
      <c r="X2340" s="176"/>
      <c r="Y2340" s="176"/>
    </row>
    <row r="2341" spans="1:25">
      <c r="A2341" s="91"/>
      <c r="B2341" s="176"/>
      <c r="C2341" s="176"/>
      <c r="D2341" s="176"/>
      <c r="E2341" s="176"/>
      <c r="F2341" s="176"/>
      <c r="G2341" s="176"/>
      <c r="H2341" s="176"/>
      <c r="I2341" s="176"/>
      <c r="J2341" s="176"/>
      <c r="K2341" s="176"/>
      <c r="L2341" s="176"/>
      <c r="M2341" s="176"/>
      <c r="N2341" s="176"/>
      <c r="O2341" s="176"/>
      <c r="P2341" s="176"/>
      <c r="Q2341" s="176"/>
      <c r="R2341" s="176"/>
      <c r="S2341" s="176"/>
      <c r="T2341" s="176"/>
      <c r="U2341" s="176"/>
      <c r="V2341" s="176"/>
      <c r="W2341" s="176"/>
      <c r="X2341" s="176"/>
      <c r="Y2341" s="176"/>
    </row>
    <row r="2342" spans="1:25">
      <c r="A2342" s="91"/>
      <c r="B2342" s="176"/>
      <c r="C2342" s="176"/>
      <c r="D2342" s="176"/>
      <c r="E2342" s="176"/>
      <c r="F2342" s="176"/>
      <c r="G2342" s="176"/>
      <c r="H2342" s="176"/>
      <c r="I2342" s="176"/>
      <c r="J2342" s="176"/>
      <c r="K2342" s="176"/>
      <c r="L2342" s="176"/>
      <c r="M2342" s="176"/>
      <c r="N2342" s="176"/>
      <c r="O2342" s="176"/>
      <c r="P2342" s="176"/>
      <c r="Q2342" s="176"/>
      <c r="R2342" s="176"/>
      <c r="S2342" s="176"/>
      <c r="T2342" s="176"/>
      <c r="U2342" s="176"/>
      <c r="V2342" s="176"/>
      <c r="W2342" s="176"/>
      <c r="X2342" s="176"/>
      <c r="Y2342" s="176"/>
    </row>
    <row r="2343" spans="1:25">
      <c r="A2343" s="91"/>
      <c r="B2343" s="176"/>
      <c r="C2343" s="176"/>
      <c r="D2343" s="176"/>
      <c r="E2343" s="176"/>
      <c r="F2343" s="176"/>
      <c r="G2343" s="176"/>
      <c r="H2343" s="176"/>
      <c r="I2343" s="176"/>
      <c r="J2343" s="176"/>
      <c r="K2343" s="176"/>
      <c r="L2343" s="176"/>
      <c r="M2343" s="176"/>
      <c r="N2343" s="176"/>
      <c r="O2343" s="176"/>
      <c r="P2343" s="176"/>
      <c r="Q2343" s="176"/>
      <c r="R2343" s="176"/>
      <c r="S2343" s="176"/>
      <c r="T2343" s="176"/>
      <c r="U2343" s="176"/>
      <c r="V2343" s="176"/>
      <c r="W2343" s="176"/>
      <c r="X2343" s="176"/>
      <c r="Y2343" s="176"/>
    </row>
    <row r="2344" spans="1:25">
      <c r="A2344" s="91"/>
      <c r="B2344" s="176"/>
      <c r="C2344" s="176"/>
      <c r="D2344" s="176"/>
      <c r="E2344" s="176"/>
      <c r="F2344" s="176"/>
      <c r="G2344" s="176"/>
      <c r="H2344" s="176"/>
      <c r="I2344" s="176"/>
      <c r="J2344" s="176"/>
      <c r="K2344" s="176"/>
      <c r="L2344" s="176"/>
      <c r="M2344" s="176"/>
      <c r="N2344" s="176"/>
      <c r="O2344" s="176"/>
      <c r="P2344" s="176"/>
      <c r="Q2344" s="176"/>
      <c r="R2344" s="176"/>
      <c r="S2344" s="176"/>
      <c r="T2344" s="176"/>
      <c r="U2344" s="176"/>
      <c r="V2344" s="176"/>
      <c r="W2344" s="176"/>
      <c r="X2344" s="176"/>
      <c r="Y2344" s="176"/>
    </row>
    <row r="2345" spans="1:25">
      <c r="A2345" s="91"/>
      <c r="B2345" s="176"/>
      <c r="C2345" s="176"/>
      <c r="D2345" s="176"/>
      <c r="E2345" s="176"/>
      <c r="F2345" s="176"/>
      <c r="G2345" s="176"/>
      <c r="H2345" s="176"/>
      <c r="I2345" s="176"/>
      <c r="J2345" s="176"/>
      <c r="K2345" s="176"/>
      <c r="L2345" s="176"/>
      <c r="M2345" s="176"/>
      <c r="N2345" s="176"/>
      <c r="O2345" s="176"/>
      <c r="P2345" s="176"/>
      <c r="Q2345" s="176"/>
      <c r="R2345" s="176"/>
      <c r="S2345" s="176"/>
      <c r="T2345" s="176"/>
      <c r="U2345" s="176"/>
      <c r="V2345" s="176"/>
      <c r="W2345" s="176"/>
      <c r="X2345" s="176"/>
      <c r="Y2345" s="176"/>
    </row>
    <row r="2346" spans="1:25">
      <c r="A2346" s="91"/>
      <c r="B2346" s="176"/>
      <c r="C2346" s="176"/>
      <c r="D2346" s="176"/>
      <c r="E2346" s="176"/>
      <c r="F2346" s="176"/>
      <c r="G2346" s="176"/>
      <c r="H2346" s="176"/>
      <c r="I2346" s="176"/>
      <c r="J2346" s="176"/>
      <c r="K2346" s="176"/>
      <c r="L2346" s="176"/>
      <c r="M2346" s="176"/>
      <c r="N2346" s="176"/>
      <c r="O2346" s="176"/>
      <c r="P2346" s="176"/>
      <c r="Q2346" s="176"/>
      <c r="R2346" s="176"/>
      <c r="S2346" s="176"/>
      <c r="T2346" s="176"/>
      <c r="U2346" s="176"/>
      <c r="V2346" s="176"/>
      <c r="W2346" s="176"/>
      <c r="X2346" s="176"/>
      <c r="Y2346" s="176"/>
    </row>
    <row r="2347" spans="1:25">
      <c r="A2347" s="91"/>
      <c r="B2347" s="176"/>
      <c r="C2347" s="176"/>
      <c r="D2347" s="176"/>
      <c r="E2347" s="176"/>
      <c r="F2347" s="176"/>
      <c r="G2347" s="176"/>
      <c r="H2347" s="176"/>
      <c r="I2347" s="176"/>
      <c r="J2347" s="176"/>
      <c r="K2347" s="176"/>
      <c r="L2347" s="176"/>
      <c r="M2347" s="176"/>
      <c r="N2347" s="176"/>
      <c r="O2347" s="176"/>
      <c r="P2347" s="176"/>
      <c r="Q2347" s="176"/>
      <c r="R2347" s="176"/>
      <c r="S2347" s="176"/>
      <c r="T2347" s="176"/>
      <c r="U2347" s="176"/>
      <c r="V2347" s="176"/>
      <c r="W2347" s="176"/>
      <c r="X2347" s="176"/>
      <c r="Y2347" s="176"/>
    </row>
    <row r="2348" spans="1:25">
      <c r="A2348" s="91"/>
      <c r="B2348" s="176"/>
      <c r="C2348" s="176"/>
      <c r="D2348" s="176"/>
      <c r="E2348" s="176"/>
      <c r="F2348" s="176"/>
      <c r="G2348" s="176"/>
      <c r="H2348" s="176"/>
      <c r="I2348" s="176"/>
      <c r="J2348" s="176"/>
      <c r="K2348" s="176"/>
      <c r="L2348" s="176"/>
      <c r="M2348" s="176"/>
      <c r="N2348" s="176"/>
      <c r="O2348" s="176"/>
      <c r="P2348" s="176"/>
      <c r="Q2348" s="176"/>
      <c r="R2348" s="176"/>
      <c r="S2348" s="176"/>
      <c r="T2348" s="176"/>
      <c r="U2348" s="176"/>
      <c r="V2348" s="176"/>
      <c r="W2348" s="176"/>
      <c r="X2348" s="176"/>
      <c r="Y2348" s="176"/>
    </row>
    <row r="2349" spans="1:25">
      <c r="A2349" s="91"/>
      <c r="B2349" s="176"/>
      <c r="C2349" s="176"/>
      <c r="D2349" s="176"/>
      <c r="E2349" s="176"/>
      <c r="F2349" s="176"/>
      <c r="G2349" s="176"/>
      <c r="H2349" s="176"/>
      <c r="I2349" s="176"/>
      <c r="J2349" s="176"/>
      <c r="K2349" s="176"/>
      <c r="L2349" s="176"/>
      <c r="M2349" s="176"/>
      <c r="N2349" s="176"/>
      <c r="O2349" s="176"/>
      <c r="P2349" s="176"/>
      <c r="Q2349" s="176"/>
      <c r="R2349" s="176"/>
      <c r="S2349" s="176"/>
      <c r="T2349" s="176"/>
      <c r="U2349" s="176"/>
      <c r="V2349" s="176"/>
      <c r="W2349" s="176"/>
      <c r="X2349" s="176"/>
      <c r="Y2349" s="176"/>
    </row>
    <row r="2350" spans="1:25">
      <c r="A2350" s="91"/>
      <c r="B2350" s="176"/>
      <c r="C2350" s="176"/>
      <c r="D2350" s="176"/>
      <c r="E2350" s="176"/>
      <c r="F2350" s="176"/>
      <c r="G2350" s="176"/>
      <c r="H2350" s="176"/>
      <c r="I2350" s="176"/>
      <c r="J2350" s="176"/>
      <c r="K2350" s="176"/>
      <c r="L2350" s="176"/>
      <c r="M2350" s="176"/>
      <c r="N2350" s="176"/>
      <c r="O2350" s="176"/>
      <c r="P2350" s="176"/>
      <c r="Q2350" s="176"/>
      <c r="R2350" s="176"/>
      <c r="S2350" s="176"/>
      <c r="T2350" s="176"/>
      <c r="U2350" s="176"/>
      <c r="V2350" s="176"/>
      <c r="W2350" s="176"/>
      <c r="X2350" s="176"/>
      <c r="Y2350" s="176"/>
    </row>
    <row r="2351" spans="1:25">
      <c r="A2351" s="91"/>
      <c r="B2351" s="176"/>
      <c r="C2351" s="176"/>
      <c r="D2351" s="176"/>
      <c r="E2351" s="176"/>
      <c r="F2351" s="176"/>
      <c r="G2351" s="176"/>
      <c r="H2351" s="176"/>
      <c r="I2351" s="176"/>
      <c r="J2351" s="176"/>
      <c r="K2351" s="176"/>
      <c r="L2351" s="176"/>
      <c r="M2351" s="176"/>
      <c r="N2351" s="176"/>
      <c r="O2351" s="176"/>
      <c r="P2351" s="176"/>
      <c r="Q2351" s="176"/>
      <c r="R2351" s="176"/>
      <c r="S2351" s="176"/>
      <c r="T2351" s="176"/>
      <c r="U2351" s="176"/>
      <c r="V2351" s="176"/>
      <c r="W2351" s="176"/>
      <c r="X2351" s="176"/>
      <c r="Y2351" s="176"/>
    </row>
    <row r="2352" spans="1:25">
      <c r="A2352" s="91"/>
      <c r="B2352" s="176"/>
      <c r="C2352" s="176"/>
      <c r="D2352" s="176"/>
      <c r="E2352" s="176"/>
      <c r="F2352" s="176"/>
      <c r="G2352" s="176"/>
      <c r="H2352" s="176"/>
      <c r="I2352" s="176"/>
      <c r="J2352" s="176"/>
      <c r="K2352" s="176"/>
      <c r="L2352" s="176"/>
      <c r="M2352" s="176"/>
      <c r="N2352" s="176"/>
      <c r="O2352" s="176"/>
      <c r="P2352" s="176"/>
      <c r="Q2352" s="176"/>
      <c r="R2352" s="176"/>
      <c r="S2352" s="176"/>
      <c r="T2352" s="176"/>
      <c r="U2352" s="176"/>
      <c r="V2352" s="176"/>
      <c r="W2352" s="176"/>
      <c r="X2352" s="176"/>
      <c r="Y2352" s="176"/>
    </row>
    <row r="2353" spans="1:25">
      <c r="A2353" s="91"/>
      <c r="B2353" s="176"/>
      <c r="C2353" s="176"/>
      <c r="D2353" s="176"/>
      <c r="E2353" s="176"/>
      <c r="F2353" s="176"/>
      <c r="G2353" s="176"/>
      <c r="H2353" s="176"/>
      <c r="I2353" s="176"/>
      <c r="J2353" s="176"/>
      <c r="K2353" s="176"/>
      <c r="L2353" s="176"/>
      <c r="M2353" s="176"/>
      <c r="N2353" s="176"/>
      <c r="O2353" s="176"/>
      <c r="P2353" s="176"/>
      <c r="Q2353" s="176"/>
      <c r="R2353" s="176"/>
      <c r="S2353" s="176"/>
      <c r="T2353" s="176"/>
      <c r="U2353" s="176"/>
      <c r="V2353" s="176"/>
      <c r="W2353" s="176"/>
      <c r="X2353" s="176"/>
      <c r="Y2353" s="176"/>
    </row>
    <row r="2354" spans="1:25">
      <c r="A2354" s="91"/>
      <c r="B2354" s="176"/>
      <c r="C2354" s="176"/>
      <c r="D2354" s="176"/>
      <c r="E2354" s="176"/>
      <c r="F2354" s="176"/>
      <c r="G2354" s="176"/>
      <c r="H2354" s="176"/>
      <c r="I2354" s="176"/>
      <c r="J2354" s="176"/>
      <c r="K2354" s="176"/>
      <c r="L2354" s="176"/>
      <c r="M2354" s="176"/>
      <c r="N2354" s="176"/>
      <c r="O2354" s="176"/>
      <c r="P2354" s="176"/>
      <c r="Q2354" s="176"/>
      <c r="R2354" s="176"/>
      <c r="S2354" s="176"/>
      <c r="T2354" s="176"/>
      <c r="U2354" s="176"/>
      <c r="V2354" s="176"/>
      <c r="W2354" s="176"/>
      <c r="X2354" s="176"/>
      <c r="Y2354" s="176"/>
    </row>
    <row r="2355" spans="1:25">
      <c r="A2355" s="91"/>
      <c r="B2355" s="176"/>
      <c r="C2355" s="176"/>
      <c r="D2355" s="176"/>
      <c r="E2355" s="176"/>
      <c r="F2355" s="176"/>
      <c r="G2355" s="176"/>
      <c r="H2355" s="176"/>
      <c r="I2355" s="176"/>
      <c r="J2355" s="176"/>
      <c r="K2355" s="176"/>
      <c r="L2355" s="176"/>
      <c r="M2355" s="176"/>
      <c r="N2355" s="176"/>
      <c r="O2355" s="176"/>
      <c r="P2355" s="176"/>
      <c r="Q2355" s="176"/>
      <c r="R2355" s="176"/>
      <c r="S2355" s="176"/>
      <c r="T2355" s="176"/>
      <c r="U2355" s="176"/>
      <c r="V2355" s="176"/>
      <c r="W2355" s="176"/>
      <c r="X2355" s="176"/>
      <c r="Y2355" s="176"/>
    </row>
    <row r="2356" spans="1:25">
      <c r="A2356" s="91"/>
      <c r="B2356" s="176"/>
      <c r="C2356" s="176"/>
      <c r="D2356" s="176"/>
      <c r="E2356" s="176"/>
      <c r="F2356" s="176"/>
      <c r="G2356" s="176"/>
      <c r="H2356" s="176"/>
      <c r="I2356" s="176"/>
      <c r="J2356" s="176"/>
      <c r="K2356" s="176"/>
      <c r="L2356" s="176"/>
      <c r="M2356" s="176"/>
      <c r="N2356" s="176"/>
      <c r="O2356" s="176"/>
      <c r="P2356" s="176"/>
      <c r="Q2356" s="176"/>
      <c r="R2356" s="176"/>
      <c r="S2356" s="176"/>
      <c r="T2356" s="176"/>
      <c r="U2356" s="176"/>
      <c r="V2356" s="176"/>
      <c r="W2356" s="176"/>
      <c r="X2356" s="176"/>
      <c r="Y2356" s="176"/>
    </row>
    <row r="2357" spans="1:25">
      <c r="A2357" s="91"/>
      <c r="B2357" s="176"/>
      <c r="C2357" s="176"/>
      <c r="D2357" s="176"/>
      <c r="E2357" s="176"/>
      <c r="F2357" s="176"/>
      <c r="G2357" s="176"/>
      <c r="H2357" s="176"/>
      <c r="I2357" s="176"/>
      <c r="J2357" s="176"/>
      <c r="K2357" s="176"/>
      <c r="L2357" s="176"/>
      <c r="M2357" s="176"/>
      <c r="N2357" s="176"/>
      <c r="O2357" s="176"/>
      <c r="P2357" s="176"/>
      <c r="Q2357" s="176"/>
      <c r="R2357" s="176"/>
      <c r="S2357" s="176"/>
      <c r="T2357" s="176"/>
      <c r="U2357" s="176"/>
      <c r="V2357" s="176"/>
      <c r="W2357" s="176"/>
      <c r="X2357" s="176"/>
      <c r="Y2357" s="176"/>
    </row>
    <row r="2358" spans="1:25">
      <c r="A2358" s="91"/>
      <c r="B2358" s="176"/>
      <c r="C2358" s="176"/>
      <c r="D2358" s="176"/>
      <c r="E2358" s="176"/>
      <c r="F2358" s="176"/>
      <c r="G2358" s="176"/>
      <c r="H2358" s="176"/>
      <c r="I2358" s="176"/>
      <c r="J2358" s="176"/>
      <c r="K2358" s="176"/>
      <c r="L2358" s="176"/>
      <c r="M2358" s="176"/>
      <c r="N2358" s="176"/>
      <c r="O2358" s="176"/>
      <c r="P2358" s="176"/>
      <c r="Q2358" s="176"/>
      <c r="R2358" s="176"/>
      <c r="S2358" s="176"/>
      <c r="T2358" s="176"/>
      <c r="U2358" s="176"/>
      <c r="V2358" s="176"/>
      <c r="W2358" s="176"/>
      <c r="X2358" s="176"/>
      <c r="Y2358" s="176"/>
    </row>
    <row r="2359" spans="1:25">
      <c r="A2359" s="91"/>
      <c r="B2359" s="176"/>
      <c r="C2359" s="176"/>
      <c r="D2359" s="176"/>
      <c r="E2359" s="176"/>
      <c r="F2359" s="176"/>
      <c r="G2359" s="176"/>
      <c r="H2359" s="176"/>
      <c r="I2359" s="176"/>
      <c r="J2359" s="176"/>
      <c r="K2359" s="176"/>
      <c r="L2359" s="176"/>
      <c r="M2359" s="176"/>
      <c r="N2359" s="176"/>
      <c r="O2359" s="176"/>
      <c r="P2359" s="176"/>
      <c r="Q2359" s="176"/>
      <c r="R2359" s="176"/>
      <c r="S2359" s="176"/>
      <c r="T2359" s="176"/>
      <c r="U2359" s="176"/>
      <c r="V2359" s="176"/>
      <c r="W2359" s="176"/>
      <c r="X2359" s="176"/>
      <c r="Y2359" s="176"/>
    </row>
    <row r="2360" spans="1:25">
      <c r="A2360" s="91"/>
      <c r="B2360" s="176"/>
      <c r="C2360" s="176"/>
      <c r="D2360" s="176"/>
      <c r="E2360" s="176"/>
      <c r="F2360" s="176"/>
      <c r="G2360" s="176"/>
      <c r="H2360" s="176"/>
      <c r="I2360" s="176"/>
      <c r="J2360" s="176"/>
      <c r="K2360" s="176"/>
      <c r="L2360" s="176"/>
      <c r="M2360" s="176"/>
      <c r="N2360" s="176"/>
      <c r="O2360" s="176"/>
      <c r="P2360" s="176"/>
      <c r="Q2360" s="176"/>
      <c r="R2360" s="176"/>
      <c r="S2360" s="176"/>
      <c r="T2360" s="176"/>
      <c r="U2360" s="176"/>
      <c r="V2360" s="176"/>
      <c r="W2360" s="176"/>
      <c r="X2360" s="176"/>
      <c r="Y2360" s="176"/>
    </row>
    <row r="2361" spans="1:25">
      <c r="A2361" s="91"/>
      <c r="B2361" s="176"/>
      <c r="C2361" s="176"/>
      <c r="D2361" s="176"/>
      <c r="E2361" s="176"/>
      <c r="F2361" s="176"/>
      <c r="G2361" s="176"/>
      <c r="H2361" s="176"/>
      <c r="I2361" s="176"/>
      <c r="J2361" s="176"/>
      <c r="K2361" s="176"/>
      <c r="L2361" s="176"/>
      <c r="M2361" s="176"/>
      <c r="N2361" s="176"/>
      <c r="O2361" s="176"/>
      <c r="P2361" s="176"/>
      <c r="Q2361" s="176"/>
      <c r="R2361" s="176"/>
      <c r="S2361" s="176"/>
      <c r="T2361" s="176"/>
      <c r="U2361" s="176"/>
      <c r="V2361" s="176"/>
      <c r="W2361" s="176"/>
      <c r="X2361" s="176"/>
      <c r="Y2361" s="176"/>
    </row>
    <row r="2362" spans="1:25">
      <c r="A2362" s="91"/>
      <c r="B2362" s="176"/>
      <c r="C2362" s="176"/>
      <c r="D2362" s="176"/>
      <c r="E2362" s="176"/>
      <c r="F2362" s="176"/>
      <c r="G2362" s="176"/>
      <c r="H2362" s="176"/>
      <c r="I2362" s="176"/>
      <c r="J2362" s="176"/>
      <c r="K2362" s="176"/>
      <c r="L2362" s="176"/>
      <c r="M2362" s="176"/>
      <c r="N2362" s="176"/>
      <c r="O2362" s="176"/>
      <c r="P2362" s="176"/>
      <c r="Q2362" s="176"/>
      <c r="R2362" s="176"/>
      <c r="S2362" s="176"/>
      <c r="T2362" s="176"/>
      <c r="U2362" s="176"/>
      <c r="V2362" s="176"/>
      <c r="W2362" s="176"/>
      <c r="X2362" s="176"/>
      <c r="Y2362" s="176"/>
    </row>
    <row r="2363" spans="1:25">
      <c r="A2363" s="91"/>
      <c r="B2363" s="176"/>
      <c r="C2363" s="176"/>
      <c r="D2363" s="176"/>
      <c r="E2363" s="176"/>
      <c r="F2363" s="176"/>
      <c r="G2363" s="176"/>
      <c r="H2363" s="176"/>
      <c r="I2363" s="176"/>
      <c r="J2363" s="176"/>
      <c r="K2363" s="176"/>
      <c r="L2363" s="176"/>
      <c r="M2363" s="176"/>
      <c r="N2363" s="176"/>
      <c r="O2363" s="176"/>
      <c r="P2363" s="176"/>
      <c r="Q2363" s="176"/>
      <c r="R2363" s="176"/>
      <c r="S2363" s="176"/>
      <c r="T2363" s="176"/>
      <c r="U2363" s="176"/>
      <c r="V2363" s="176"/>
      <c r="W2363" s="176"/>
      <c r="X2363" s="176"/>
      <c r="Y2363" s="176"/>
    </row>
    <row r="2364" spans="1:25">
      <c r="A2364" s="91"/>
      <c r="B2364" s="176"/>
      <c r="C2364" s="176"/>
      <c r="D2364" s="176"/>
      <c r="E2364" s="176"/>
      <c r="F2364" s="176"/>
      <c r="G2364" s="176"/>
      <c r="H2364" s="176"/>
      <c r="I2364" s="176"/>
      <c r="J2364" s="176"/>
      <c r="K2364" s="176"/>
      <c r="L2364" s="176"/>
      <c r="M2364" s="176"/>
      <c r="N2364" s="176"/>
      <c r="O2364" s="176"/>
      <c r="P2364" s="176"/>
      <c r="Q2364" s="176"/>
      <c r="R2364" s="176"/>
      <c r="S2364" s="176"/>
      <c r="T2364" s="176"/>
      <c r="U2364" s="176"/>
      <c r="V2364" s="176"/>
      <c r="W2364" s="176"/>
      <c r="X2364" s="176"/>
      <c r="Y2364" s="176"/>
    </row>
    <row r="2365" spans="1:25">
      <c r="A2365" s="91"/>
      <c r="B2365" s="176"/>
      <c r="C2365" s="176"/>
      <c r="D2365" s="176"/>
      <c r="E2365" s="176"/>
      <c r="F2365" s="176"/>
      <c r="G2365" s="176"/>
      <c r="H2365" s="176"/>
      <c r="I2365" s="176"/>
      <c r="J2365" s="176"/>
      <c r="K2365" s="176"/>
      <c r="L2365" s="176"/>
      <c r="M2365" s="176"/>
      <c r="N2365" s="176"/>
      <c r="O2365" s="176"/>
      <c r="P2365" s="176"/>
      <c r="Q2365" s="176"/>
      <c r="R2365" s="176"/>
      <c r="S2365" s="176"/>
      <c r="T2365" s="176"/>
      <c r="U2365" s="176"/>
      <c r="V2365" s="176"/>
      <c r="W2365" s="176"/>
      <c r="X2365" s="176"/>
      <c r="Y2365" s="176"/>
    </row>
    <row r="2366" spans="1:25">
      <c r="A2366" s="91"/>
      <c r="B2366" s="176"/>
      <c r="C2366" s="176"/>
      <c r="D2366" s="176"/>
      <c r="E2366" s="176"/>
      <c r="F2366" s="176"/>
      <c r="G2366" s="176"/>
      <c r="H2366" s="176"/>
      <c r="I2366" s="176"/>
      <c r="J2366" s="176"/>
      <c r="K2366" s="176"/>
      <c r="L2366" s="176"/>
      <c r="M2366" s="176"/>
      <c r="N2366" s="176"/>
      <c r="O2366" s="176"/>
      <c r="P2366" s="176"/>
      <c r="Q2366" s="176"/>
      <c r="R2366" s="176"/>
      <c r="S2366" s="176"/>
      <c r="T2366" s="176"/>
      <c r="U2366" s="176"/>
      <c r="V2366" s="176"/>
      <c r="W2366" s="176"/>
      <c r="X2366" s="176"/>
      <c r="Y2366" s="176"/>
    </row>
    <row r="2367" spans="1:25">
      <c r="A2367" s="91"/>
      <c r="B2367" s="176"/>
      <c r="C2367" s="176"/>
      <c r="D2367" s="176"/>
      <c r="E2367" s="176"/>
      <c r="F2367" s="176"/>
      <c r="G2367" s="176"/>
      <c r="H2367" s="176"/>
      <c r="I2367" s="176"/>
      <c r="J2367" s="176"/>
      <c r="K2367" s="176"/>
      <c r="L2367" s="176"/>
      <c r="M2367" s="176"/>
      <c r="N2367" s="176"/>
      <c r="O2367" s="176"/>
      <c r="P2367" s="176"/>
      <c r="Q2367" s="176"/>
      <c r="R2367" s="176"/>
      <c r="S2367" s="176"/>
      <c r="T2367" s="176"/>
      <c r="U2367" s="176"/>
      <c r="V2367" s="176"/>
      <c r="W2367" s="176"/>
      <c r="X2367" s="176"/>
      <c r="Y2367" s="176"/>
    </row>
    <row r="2368" spans="1:25">
      <c r="A2368" s="91"/>
      <c r="B2368" s="176"/>
      <c r="C2368" s="176"/>
      <c r="D2368" s="176"/>
      <c r="E2368" s="176"/>
      <c r="F2368" s="176"/>
      <c r="G2368" s="176"/>
      <c r="H2368" s="176"/>
      <c r="I2368" s="176"/>
      <c r="J2368" s="176"/>
      <c r="K2368" s="176"/>
      <c r="L2368" s="176"/>
      <c r="M2368" s="176"/>
      <c r="N2368" s="176"/>
      <c r="O2368" s="176"/>
      <c r="P2368" s="176"/>
      <c r="Q2368" s="176"/>
      <c r="R2368" s="176"/>
      <c r="S2368" s="176"/>
      <c r="T2368" s="176"/>
      <c r="U2368" s="176"/>
      <c r="V2368" s="176"/>
      <c r="W2368" s="176"/>
      <c r="X2368" s="176"/>
      <c r="Y2368" s="176"/>
    </row>
    <row r="2369" spans="1:25">
      <c r="A2369" s="91"/>
      <c r="B2369" s="176"/>
      <c r="C2369" s="176"/>
      <c r="D2369" s="176"/>
      <c r="E2369" s="176"/>
      <c r="F2369" s="176"/>
      <c r="G2369" s="176"/>
      <c r="H2369" s="176"/>
      <c r="I2369" s="176"/>
      <c r="J2369" s="176"/>
      <c r="K2369" s="176"/>
      <c r="L2369" s="176"/>
      <c r="M2369" s="176"/>
      <c r="N2369" s="176"/>
      <c r="O2369" s="176"/>
      <c r="P2369" s="176"/>
      <c r="Q2369" s="176"/>
      <c r="R2369" s="176"/>
      <c r="S2369" s="176"/>
      <c r="T2369" s="176"/>
      <c r="U2369" s="176"/>
      <c r="V2369" s="176"/>
      <c r="W2369" s="176"/>
      <c r="X2369" s="176"/>
      <c r="Y2369" s="176"/>
    </row>
    <row r="2370" spans="1:25">
      <c r="A2370" s="91"/>
      <c r="B2370" s="176"/>
      <c r="C2370" s="176"/>
      <c r="D2370" s="176"/>
      <c r="E2370" s="176"/>
      <c r="F2370" s="176"/>
      <c r="G2370" s="176"/>
      <c r="H2370" s="176"/>
      <c r="I2370" s="176"/>
      <c r="J2370" s="176"/>
      <c r="K2370" s="176"/>
      <c r="L2370" s="176"/>
      <c r="M2370" s="176"/>
      <c r="N2370" s="176"/>
      <c r="O2370" s="176"/>
      <c r="P2370" s="176"/>
      <c r="Q2370" s="176"/>
      <c r="R2370" s="176"/>
      <c r="S2370" s="176"/>
      <c r="T2370" s="176"/>
      <c r="U2370" s="176"/>
      <c r="V2370" s="176"/>
      <c r="W2370" s="176"/>
      <c r="X2370" s="176"/>
      <c r="Y2370" s="176"/>
    </row>
    <row r="2371" spans="1:25">
      <c r="A2371" s="91"/>
      <c r="B2371" s="176"/>
      <c r="C2371" s="176"/>
      <c r="D2371" s="176"/>
      <c r="E2371" s="176"/>
      <c r="F2371" s="176"/>
      <c r="G2371" s="176"/>
      <c r="H2371" s="176"/>
      <c r="I2371" s="176"/>
      <c r="J2371" s="176"/>
      <c r="K2371" s="176"/>
      <c r="L2371" s="176"/>
      <c r="M2371" s="176"/>
      <c r="N2371" s="176"/>
      <c r="O2371" s="176"/>
      <c r="P2371" s="176"/>
      <c r="Q2371" s="176"/>
      <c r="R2371" s="176"/>
      <c r="S2371" s="176"/>
      <c r="T2371" s="176"/>
      <c r="U2371" s="176"/>
      <c r="V2371" s="176"/>
      <c r="W2371" s="176"/>
      <c r="X2371" s="176"/>
      <c r="Y2371" s="176"/>
    </row>
    <row r="2372" spans="1:25">
      <c r="A2372" s="91"/>
      <c r="B2372" s="176"/>
      <c r="C2372" s="176"/>
      <c r="D2372" s="176"/>
      <c r="E2372" s="176"/>
      <c r="F2372" s="176"/>
      <c r="G2372" s="176"/>
      <c r="H2372" s="176"/>
      <c r="I2372" s="176"/>
      <c r="J2372" s="176"/>
      <c r="K2372" s="176"/>
      <c r="L2372" s="176"/>
      <c r="M2372" s="176"/>
      <c r="N2372" s="176"/>
      <c r="O2372" s="176"/>
      <c r="P2372" s="176"/>
      <c r="Q2372" s="176"/>
      <c r="R2372" s="176"/>
      <c r="S2372" s="176"/>
      <c r="T2372" s="176"/>
      <c r="U2372" s="176"/>
      <c r="V2372" s="176"/>
      <c r="W2372" s="176"/>
      <c r="X2372" s="176"/>
      <c r="Y2372" s="176"/>
    </row>
    <row r="2373" spans="1:25">
      <c r="A2373" s="91"/>
      <c r="B2373" s="176"/>
      <c r="C2373" s="176"/>
      <c r="D2373" s="176"/>
      <c r="E2373" s="176"/>
      <c r="F2373" s="176"/>
      <c r="G2373" s="176"/>
      <c r="H2373" s="176"/>
      <c r="I2373" s="176"/>
      <c r="J2373" s="176"/>
      <c r="K2373" s="176"/>
      <c r="L2373" s="176"/>
      <c r="M2373" s="176"/>
      <c r="N2373" s="176"/>
      <c r="O2373" s="176"/>
      <c r="P2373" s="176"/>
      <c r="Q2373" s="176"/>
      <c r="R2373" s="176"/>
      <c r="S2373" s="176"/>
      <c r="T2373" s="176"/>
      <c r="U2373" s="176"/>
      <c r="V2373" s="176"/>
      <c r="W2373" s="176"/>
      <c r="X2373" s="176"/>
      <c r="Y2373" s="176"/>
    </row>
    <row r="2374" spans="1:25">
      <c r="A2374" s="91"/>
      <c r="B2374" s="176"/>
      <c r="C2374" s="176"/>
      <c r="D2374" s="176"/>
      <c r="E2374" s="176"/>
      <c r="F2374" s="176"/>
      <c r="G2374" s="176"/>
      <c r="H2374" s="176"/>
      <c r="I2374" s="176"/>
      <c r="J2374" s="176"/>
      <c r="K2374" s="176"/>
      <c r="L2374" s="176"/>
      <c r="M2374" s="176"/>
      <c r="N2374" s="176"/>
      <c r="O2374" s="176"/>
      <c r="P2374" s="176"/>
      <c r="Q2374" s="176"/>
      <c r="R2374" s="176"/>
      <c r="S2374" s="176"/>
      <c r="T2374" s="176"/>
      <c r="U2374" s="176"/>
      <c r="V2374" s="176"/>
      <c r="W2374" s="176"/>
      <c r="X2374" s="176"/>
      <c r="Y2374" s="176"/>
    </row>
    <row r="2375" spans="1:25">
      <c r="A2375" s="91"/>
      <c r="B2375" s="176"/>
      <c r="C2375" s="176"/>
      <c r="D2375" s="176"/>
      <c r="E2375" s="176"/>
      <c r="F2375" s="176"/>
      <c r="G2375" s="176"/>
      <c r="H2375" s="176"/>
      <c r="I2375" s="176"/>
      <c r="J2375" s="176"/>
      <c r="K2375" s="176"/>
      <c r="L2375" s="176"/>
      <c r="M2375" s="176"/>
      <c r="N2375" s="176"/>
      <c r="O2375" s="176"/>
      <c r="P2375" s="176"/>
      <c r="Q2375" s="176"/>
      <c r="R2375" s="176"/>
      <c r="S2375" s="176"/>
      <c r="T2375" s="176"/>
      <c r="U2375" s="176"/>
      <c r="V2375" s="176"/>
      <c r="W2375" s="176"/>
      <c r="X2375" s="176"/>
      <c r="Y2375" s="176"/>
    </row>
    <row r="2376" spans="1:25">
      <c r="A2376" s="91"/>
      <c r="B2376" s="176"/>
      <c r="C2376" s="176"/>
      <c r="D2376" s="176"/>
      <c r="E2376" s="176"/>
      <c r="F2376" s="176"/>
      <c r="G2376" s="176"/>
      <c r="H2376" s="176"/>
      <c r="I2376" s="176"/>
      <c r="J2376" s="176"/>
      <c r="K2376" s="176"/>
      <c r="L2376" s="176"/>
      <c r="M2376" s="176"/>
      <c r="N2376" s="176"/>
      <c r="O2376" s="176"/>
      <c r="P2376" s="176"/>
      <c r="Q2376" s="176"/>
      <c r="R2376" s="176"/>
      <c r="S2376" s="176"/>
      <c r="T2376" s="176"/>
      <c r="U2376" s="176"/>
      <c r="V2376" s="176"/>
      <c r="W2376" s="176"/>
      <c r="X2376" s="176"/>
      <c r="Y2376" s="176"/>
    </row>
    <row r="2377" spans="1:25">
      <c r="A2377" s="91"/>
      <c r="B2377" s="176"/>
      <c r="C2377" s="176"/>
      <c r="D2377" s="176"/>
      <c r="E2377" s="176"/>
      <c r="F2377" s="176"/>
      <c r="G2377" s="176"/>
      <c r="H2377" s="176"/>
      <c r="I2377" s="176"/>
      <c r="J2377" s="176"/>
      <c r="K2377" s="176"/>
      <c r="L2377" s="176"/>
      <c r="M2377" s="176"/>
      <c r="N2377" s="176"/>
      <c r="O2377" s="176"/>
      <c r="P2377" s="176"/>
      <c r="Q2377" s="176"/>
      <c r="R2377" s="176"/>
      <c r="S2377" s="176"/>
      <c r="T2377" s="176"/>
      <c r="U2377" s="176"/>
      <c r="V2377" s="176"/>
      <c r="W2377" s="176"/>
      <c r="X2377" s="176"/>
      <c r="Y2377" s="176"/>
    </row>
    <row r="2378" spans="1:25">
      <c r="A2378" s="91"/>
      <c r="B2378" s="176"/>
      <c r="C2378" s="176"/>
      <c r="D2378" s="176"/>
      <c r="E2378" s="176"/>
      <c r="F2378" s="176"/>
      <c r="G2378" s="176"/>
      <c r="H2378" s="176"/>
      <c r="I2378" s="176"/>
      <c r="J2378" s="176"/>
      <c r="K2378" s="176"/>
      <c r="L2378" s="176"/>
      <c r="M2378" s="176"/>
      <c r="N2378" s="176"/>
      <c r="O2378" s="176"/>
      <c r="P2378" s="176"/>
      <c r="Q2378" s="176"/>
      <c r="R2378" s="176"/>
      <c r="S2378" s="176"/>
      <c r="T2378" s="176"/>
      <c r="U2378" s="176"/>
      <c r="V2378" s="176"/>
      <c r="W2378" s="176"/>
      <c r="X2378" s="176"/>
      <c r="Y2378" s="176"/>
    </row>
    <row r="2379" spans="1:25">
      <c r="A2379" s="91"/>
      <c r="B2379" s="176"/>
      <c r="C2379" s="176"/>
      <c r="D2379" s="176"/>
      <c r="E2379" s="176"/>
      <c r="F2379" s="176"/>
      <c r="G2379" s="176"/>
      <c r="H2379" s="176"/>
      <c r="I2379" s="176"/>
      <c r="J2379" s="176"/>
      <c r="K2379" s="176"/>
      <c r="L2379" s="176"/>
      <c r="M2379" s="176"/>
      <c r="N2379" s="176"/>
      <c r="O2379" s="176"/>
      <c r="P2379" s="176"/>
      <c r="Q2379" s="176"/>
      <c r="R2379" s="176"/>
      <c r="S2379" s="176"/>
      <c r="T2379" s="176"/>
      <c r="U2379" s="176"/>
      <c r="V2379" s="176"/>
      <c r="W2379" s="176"/>
      <c r="X2379" s="176"/>
      <c r="Y2379" s="176"/>
    </row>
    <row r="2380" spans="1:25">
      <c r="A2380" s="91"/>
      <c r="B2380" s="176"/>
      <c r="C2380" s="176"/>
      <c r="D2380" s="176"/>
      <c r="E2380" s="176"/>
      <c r="F2380" s="176"/>
      <c r="G2380" s="176"/>
      <c r="H2380" s="176"/>
      <c r="I2380" s="176"/>
      <c r="J2380" s="176"/>
      <c r="K2380" s="176"/>
      <c r="L2380" s="176"/>
      <c r="M2380" s="176"/>
      <c r="N2380" s="176"/>
      <c r="O2380" s="176"/>
      <c r="P2380" s="176"/>
      <c r="Q2380" s="176"/>
      <c r="R2380" s="176"/>
      <c r="S2380" s="176"/>
      <c r="T2380" s="176"/>
      <c r="U2380" s="176"/>
      <c r="V2380" s="176"/>
      <c r="W2380" s="176"/>
      <c r="X2380" s="176"/>
      <c r="Y2380" s="176"/>
    </row>
    <row r="2381" spans="1:25">
      <c r="A2381" s="91"/>
      <c r="B2381" s="176"/>
      <c r="C2381" s="176"/>
      <c r="D2381" s="176"/>
      <c r="E2381" s="176"/>
      <c r="F2381" s="176"/>
      <c r="G2381" s="176"/>
      <c r="H2381" s="176"/>
      <c r="I2381" s="176"/>
      <c r="J2381" s="176"/>
      <c r="K2381" s="176"/>
      <c r="L2381" s="176"/>
      <c r="M2381" s="176"/>
      <c r="N2381" s="176"/>
      <c r="O2381" s="176"/>
      <c r="P2381" s="176"/>
      <c r="Q2381" s="176"/>
      <c r="R2381" s="176"/>
      <c r="S2381" s="176"/>
      <c r="T2381" s="176"/>
      <c r="U2381" s="176"/>
      <c r="V2381" s="176"/>
      <c r="W2381" s="176"/>
      <c r="X2381" s="176"/>
      <c r="Y2381" s="176"/>
    </row>
    <row r="2382" spans="1:25">
      <c r="A2382" s="91"/>
      <c r="B2382" s="176"/>
      <c r="C2382" s="176"/>
      <c r="D2382" s="176"/>
      <c r="E2382" s="176"/>
      <c r="F2382" s="176"/>
      <c r="G2382" s="176"/>
      <c r="H2382" s="176"/>
      <c r="I2382" s="176"/>
      <c r="J2382" s="176"/>
      <c r="K2382" s="176"/>
      <c r="L2382" s="176"/>
      <c r="M2382" s="176"/>
      <c r="N2382" s="176"/>
      <c r="O2382" s="176"/>
      <c r="P2382" s="176"/>
      <c r="Q2382" s="176"/>
      <c r="R2382" s="176"/>
      <c r="S2382" s="176"/>
      <c r="T2382" s="176"/>
      <c r="U2382" s="176"/>
      <c r="V2382" s="176"/>
      <c r="W2382" s="176"/>
      <c r="X2382" s="176"/>
      <c r="Y2382" s="176"/>
    </row>
    <row r="2383" spans="1:25">
      <c r="A2383" s="91"/>
      <c r="B2383" s="176"/>
      <c r="C2383" s="176"/>
      <c r="D2383" s="176"/>
      <c r="E2383" s="176"/>
      <c r="F2383" s="176"/>
      <c r="G2383" s="176"/>
      <c r="H2383" s="176"/>
      <c r="I2383" s="176"/>
      <c r="J2383" s="176"/>
      <c r="K2383" s="176"/>
      <c r="L2383" s="176"/>
      <c r="M2383" s="176"/>
      <c r="N2383" s="176"/>
      <c r="O2383" s="176"/>
      <c r="P2383" s="176"/>
      <c r="Q2383" s="176"/>
      <c r="R2383" s="176"/>
      <c r="S2383" s="176"/>
      <c r="T2383" s="176"/>
      <c r="U2383" s="176"/>
      <c r="V2383" s="176"/>
      <c r="W2383" s="176"/>
      <c r="X2383" s="176"/>
      <c r="Y2383" s="176"/>
    </row>
    <row r="2384" spans="1:25">
      <c r="A2384" s="91"/>
      <c r="B2384" s="176"/>
      <c r="C2384" s="176"/>
      <c r="D2384" s="176"/>
      <c r="E2384" s="176"/>
      <c r="F2384" s="176"/>
      <c r="G2384" s="176"/>
      <c r="H2384" s="176"/>
      <c r="I2384" s="176"/>
      <c r="J2384" s="176"/>
      <c r="K2384" s="176"/>
      <c r="L2384" s="176"/>
      <c r="M2384" s="176"/>
      <c r="N2384" s="176"/>
      <c r="O2384" s="176"/>
      <c r="P2384" s="176"/>
      <c r="Q2384" s="176"/>
      <c r="R2384" s="176"/>
      <c r="S2384" s="176"/>
      <c r="T2384" s="176"/>
      <c r="U2384" s="176"/>
      <c r="V2384" s="176"/>
      <c r="W2384" s="176"/>
      <c r="X2384" s="176"/>
      <c r="Y2384" s="176"/>
    </row>
    <row r="2385" spans="1:25">
      <c r="A2385" s="91"/>
      <c r="B2385" s="176"/>
      <c r="C2385" s="176"/>
      <c r="D2385" s="176"/>
      <c r="E2385" s="176"/>
      <c r="F2385" s="176"/>
      <c r="G2385" s="176"/>
      <c r="H2385" s="176"/>
      <c r="I2385" s="176"/>
      <c r="J2385" s="176"/>
      <c r="K2385" s="176"/>
      <c r="L2385" s="176"/>
      <c r="M2385" s="176"/>
      <c r="N2385" s="176"/>
      <c r="O2385" s="176"/>
      <c r="P2385" s="176"/>
      <c r="Q2385" s="176"/>
      <c r="R2385" s="176"/>
      <c r="S2385" s="176"/>
      <c r="T2385" s="176"/>
      <c r="U2385" s="176"/>
      <c r="V2385" s="176"/>
      <c r="W2385" s="176"/>
      <c r="X2385" s="176"/>
      <c r="Y2385" s="176"/>
    </row>
    <row r="2386" spans="1:25">
      <c r="A2386" s="91"/>
      <c r="B2386" s="176"/>
      <c r="C2386" s="176"/>
      <c r="D2386" s="176"/>
      <c r="E2386" s="176"/>
      <c r="F2386" s="176"/>
      <c r="G2386" s="176"/>
      <c r="H2386" s="176"/>
      <c r="I2386" s="176"/>
      <c r="J2386" s="176"/>
      <c r="K2386" s="176"/>
      <c r="L2386" s="176"/>
      <c r="M2386" s="176"/>
      <c r="N2386" s="176"/>
      <c r="O2386" s="176"/>
      <c r="P2386" s="176"/>
      <c r="Q2386" s="176"/>
      <c r="R2386" s="176"/>
      <c r="S2386" s="176"/>
      <c r="T2386" s="176"/>
      <c r="U2386" s="176"/>
      <c r="V2386" s="176"/>
      <c r="W2386" s="176"/>
      <c r="X2386" s="176"/>
      <c r="Y2386" s="176"/>
    </row>
    <row r="2387" spans="1:25">
      <c r="A2387" s="91"/>
      <c r="B2387" s="176"/>
      <c r="C2387" s="176"/>
      <c r="D2387" s="176"/>
      <c r="E2387" s="176"/>
      <c r="F2387" s="176"/>
      <c r="G2387" s="176"/>
      <c r="H2387" s="176"/>
      <c r="I2387" s="176"/>
      <c r="J2387" s="176"/>
      <c r="K2387" s="176"/>
      <c r="L2387" s="176"/>
      <c r="M2387" s="176"/>
      <c r="N2387" s="176"/>
      <c r="O2387" s="176"/>
      <c r="P2387" s="176"/>
      <c r="Q2387" s="176"/>
      <c r="R2387" s="176"/>
      <c r="S2387" s="176"/>
      <c r="T2387" s="176"/>
      <c r="U2387" s="176"/>
      <c r="V2387" s="176"/>
      <c r="W2387" s="176"/>
      <c r="X2387" s="176"/>
      <c r="Y2387" s="176"/>
    </row>
    <row r="2388" spans="1:25">
      <c r="A2388" s="91"/>
      <c r="B2388" s="176"/>
      <c r="C2388" s="176"/>
      <c r="D2388" s="176"/>
      <c r="E2388" s="176"/>
      <c r="F2388" s="176"/>
      <c r="G2388" s="176"/>
      <c r="H2388" s="176"/>
      <c r="I2388" s="176"/>
      <c r="J2388" s="176"/>
      <c r="K2388" s="176"/>
      <c r="L2388" s="176"/>
      <c r="M2388" s="176"/>
      <c r="N2388" s="176"/>
      <c r="O2388" s="176"/>
      <c r="P2388" s="176"/>
      <c r="Q2388" s="176"/>
      <c r="R2388" s="176"/>
      <c r="S2388" s="176"/>
      <c r="T2388" s="176"/>
      <c r="U2388" s="176"/>
      <c r="V2388" s="176"/>
      <c r="W2388" s="176"/>
      <c r="X2388" s="176"/>
      <c r="Y2388" s="176"/>
    </row>
    <row r="2389" spans="1:25">
      <c r="A2389" s="91"/>
      <c r="B2389" s="176"/>
      <c r="C2389" s="176"/>
      <c r="D2389" s="176"/>
      <c r="E2389" s="176"/>
      <c r="F2389" s="176"/>
      <c r="G2389" s="176"/>
      <c r="H2389" s="176"/>
      <c r="I2389" s="176"/>
      <c r="J2389" s="176"/>
      <c r="K2389" s="176"/>
      <c r="L2389" s="176"/>
      <c r="M2389" s="176"/>
      <c r="N2389" s="176"/>
      <c r="O2389" s="176"/>
      <c r="P2389" s="176"/>
      <c r="Q2389" s="176"/>
      <c r="R2389" s="176"/>
      <c r="S2389" s="176"/>
      <c r="T2389" s="176"/>
      <c r="U2389" s="176"/>
      <c r="V2389" s="176"/>
      <c r="W2389" s="176"/>
      <c r="X2389" s="176"/>
      <c r="Y2389" s="176"/>
    </row>
    <row r="2390" spans="1:25">
      <c r="A2390" s="91"/>
      <c r="B2390" s="176"/>
      <c r="C2390" s="176"/>
      <c r="D2390" s="176"/>
      <c r="E2390" s="176"/>
      <c r="F2390" s="176"/>
      <c r="G2390" s="176"/>
      <c r="H2390" s="176"/>
      <c r="I2390" s="176"/>
      <c r="J2390" s="176"/>
      <c r="K2390" s="176"/>
      <c r="L2390" s="176"/>
      <c r="M2390" s="176"/>
      <c r="N2390" s="176"/>
      <c r="O2390" s="176"/>
      <c r="P2390" s="176"/>
      <c r="Q2390" s="176"/>
      <c r="R2390" s="176"/>
      <c r="S2390" s="176"/>
      <c r="T2390" s="176"/>
      <c r="U2390" s="176"/>
      <c r="V2390" s="176"/>
      <c r="W2390" s="176"/>
      <c r="X2390" s="176"/>
      <c r="Y2390" s="176"/>
    </row>
    <row r="2391" spans="1:25">
      <c r="A2391" s="91"/>
      <c r="B2391" s="176"/>
      <c r="C2391" s="176"/>
      <c r="D2391" s="176"/>
      <c r="E2391" s="176"/>
      <c r="F2391" s="176"/>
      <c r="G2391" s="176"/>
      <c r="H2391" s="176"/>
      <c r="I2391" s="176"/>
      <c r="J2391" s="176"/>
      <c r="K2391" s="176"/>
      <c r="L2391" s="176"/>
      <c r="M2391" s="176"/>
      <c r="N2391" s="176"/>
      <c r="O2391" s="176"/>
      <c r="P2391" s="176"/>
      <c r="Q2391" s="176"/>
      <c r="R2391" s="176"/>
      <c r="S2391" s="176"/>
      <c r="T2391" s="176"/>
      <c r="U2391" s="176"/>
      <c r="V2391" s="176"/>
      <c r="W2391" s="176"/>
      <c r="X2391" s="176"/>
      <c r="Y2391" s="176"/>
    </row>
    <row r="2392" spans="1:25">
      <c r="A2392" s="91"/>
      <c r="B2392" s="176"/>
      <c r="C2392" s="176"/>
      <c r="D2392" s="176"/>
      <c r="E2392" s="176"/>
      <c r="F2392" s="176"/>
      <c r="G2392" s="176"/>
      <c r="H2392" s="176"/>
      <c r="I2392" s="176"/>
      <c r="J2392" s="176"/>
      <c r="K2392" s="176"/>
      <c r="L2392" s="176"/>
      <c r="M2392" s="176"/>
      <c r="N2392" s="176"/>
      <c r="O2392" s="176"/>
      <c r="P2392" s="176"/>
      <c r="Q2392" s="176"/>
      <c r="R2392" s="176"/>
      <c r="S2392" s="176"/>
      <c r="T2392" s="176"/>
      <c r="U2392" s="176"/>
      <c r="V2392" s="176"/>
      <c r="W2392" s="176"/>
      <c r="X2392" s="176"/>
      <c r="Y2392" s="176"/>
    </row>
    <row r="2393" spans="1:25">
      <c r="A2393" s="91"/>
      <c r="B2393" s="176"/>
      <c r="C2393" s="176"/>
      <c r="D2393" s="176"/>
      <c r="E2393" s="176"/>
      <c r="F2393" s="176"/>
      <c r="G2393" s="176"/>
      <c r="H2393" s="176"/>
      <c r="I2393" s="176"/>
      <c r="J2393" s="176"/>
      <c r="K2393" s="176"/>
      <c r="L2393" s="176"/>
      <c r="M2393" s="176"/>
      <c r="N2393" s="176"/>
      <c r="O2393" s="176"/>
      <c r="P2393" s="176"/>
      <c r="Q2393" s="176"/>
      <c r="R2393" s="176"/>
      <c r="S2393" s="176"/>
      <c r="T2393" s="176"/>
      <c r="U2393" s="176"/>
      <c r="V2393" s="176"/>
      <c r="W2393" s="176"/>
      <c r="X2393" s="176"/>
      <c r="Y2393" s="176"/>
    </row>
    <row r="2394" spans="1:25">
      <c r="A2394" s="91"/>
      <c r="B2394" s="176"/>
      <c r="C2394" s="176"/>
      <c r="D2394" s="176"/>
      <c r="E2394" s="176"/>
      <c r="F2394" s="176"/>
      <c r="G2394" s="176"/>
      <c r="H2394" s="176"/>
      <c r="I2394" s="176"/>
      <c r="J2394" s="176"/>
      <c r="K2394" s="176"/>
      <c r="L2394" s="176"/>
      <c r="M2394" s="176"/>
      <c r="N2394" s="176"/>
      <c r="O2394" s="176"/>
      <c r="P2394" s="176"/>
      <c r="Q2394" s="176"/>
      <c r="R2394" s="176"/>
      <c r="S2394" s="176"/>
      <c r="T2394" s="176"/>
      <c r="U2394" s="176"/>
      <c r="V2394" s="176"/>
      <c r="W2394" s="176"/>
      <c r="X2394" s="176"/>
      <c r="Y2394" s="176"/>
    </row>
    <row r="2395" spans="1:25">
      <c r="A2395" s="91"/>
      <c r="B2395" s="176"/>
      <c r="C2395" s="176"/>
      <c r="D2395" s="176"/>
      <c r="E2395" s="176"/>
      <c r="F2395" s="176"/>
      <c r="G2395" s="176"/>
      <c r="H2395" s="176"/>
      <c r="I2395" s="176"/>
      <c r="J2395" s="176"/>
      <c r="K2395" s="176"/>
      <c r="L2395" s="176"/>
      <c r="M2395" s="176"/>
      <c r="N2395" s="176"/>
      <c r="O2395" s="176"/>
      <c r="P2395" s="176"/>
      <c r="Q2395" s="176"/>
      <c r="R2395" s="176"/>
      <c r="S2395" s="176"/>
      <c r="T2395" s="176"/>
      <c r="U2395" s="176"/>
      <c r="V2395" s="176"/>
      <c r="W2395" s="176"/>
      <c r="X2395" s="176"/>
      <c r="Y2395" s="176"/>
    </row>
    <row r="2396" spans="1:25">
      <c r="A2396" s="91"/>
      <c r="B2396" s="176"/>
      <c r="C2396" s="176"/>
      <c r="D2396" s="176"/>
      <c r="E2396" s="176"/>
      <c r="F2396" s="176"/>
      <c r="G2396" s="176"/>
      <c r="H2396" s="176"/>
      <c r="I2396" s="176"/>
      <c r="J2396" s="176"/>
      <c r="K2396" s="176"/>
      <c r="L2396" s="176"/>
      <c r="M2396" s="176"/>
      <c r="N2396" s="176"/>
      <c r="O2396" s="176"/>
      <c r="P2396" s="176"/>
      <c r="Q2396" s="176"/>
      <c r="R2396" s="176"/>
      <c r="S2396" s="176"/>
      <c r="T2396" s="176"/>
      <c r="U2396" s="176"/>
      <c r="V2396" s="176"/>
      <c r="W2396" s="176"/>
      <c r="X2396" s="176"/>
      <c r="Y2396" s="176"/>
    </row>
    <row r="2397" spans="1:25">
      <c r="A2397" s="91"/>
      <c r="B2397" s="176"/>
      <c r="C2397" s="176"/>
      <c r="D2397" s="176"/>
      <c r="E2397" s="176"/>
      <c r="F2397" s="176"/>
      <c r="G2397" s="176"/>
      <c r="H2397" s="176"/>
      <c r="I2397" s="176"/>
      <c r="J2397" s="176"/>
      <c r="K2397" s="176"/>
      <c r="L2397" s="176"/>
      <c r="M2397" s="176"/>
      <c r="N2397" s="176"/>
      <c r="O2397" s="176"/>
      <c r="P2397" s="176"/>
      <c r="Q2397" s="176"/>
      <c r="R2397" s="176"/>
      <c r="S2397" s="176"/>
      <c r="T2397" s="176"/>
      <c r="U2397" s="176"/>
      <c r="V2397" s="176"/>
      <c r="W2397" s="176"/>
      <c r="X2397" s="176"/>
      <c r="Y2397" s="176"/>
    </row>
    <row r="2398" spans="1:25">
      <c r="A2398" s="91"/>
      <c r="B2398" s="176"/>
      <c r="C2398" s="176"/>
      <c r="D2398" s="176"/>
      <c r="E2398" s="176"/>
      <c r="F2398" s="176"/>
      <c r="G2398" s="176"/>
      <c r="H2398" s="176"/>
      <c r="I2398" s="176"/>
      <c r="J2398" s="176"/>
      <c r="K2398" s="176"/>
      <c r="L2398" s="176"/>
      <c r="M2398" s="176"/>
      <c r="N2398" s="176"/>
      <c r="O2398" s="176"/>
      <c r="P2398" s="176"/>
      <c r="Q2398" s="176"/>
      <c r="R2398" s="176"/>
      <c r="S2398" s="176"/>
      <c r="T2398" s="176"/>
      <c r="U2398" s="176"/>
      <c r="V2398" s="176"/>
      <c r="W2398" s="176"/>
      <c r="X2398" s="176"/>
      <c r="Y2398" s="176"/>
    </row>
    <row r="2399" spans="1:25">
      <c r="A2399" s="91"/>
      <c r="B2399" s="176"/>
      <c r="C2399" s="176"/>
      <c r="D2399" s="176"/>
      <c r="E2399" s="176"/>
      <c r="F2399" s="176"/>
      <c r="G2399" s="176"/>
      <c r="H2399" s="176"/>
      <c r="I2399" s="176"/>
      <c r="J2399" s="176"/>
      <c r="K2399" s="176"/>
      <c r="L2399" s="176"/>
      <c r="M2399" s="176"/>
      <c r="N2399" s="176"/>
      <c r="O2399" s="176"/>
      <c r="P2399" s="176"/>
      <c r="Q2399" s="176"/>
      <c r="R2399" s="176"/>
      <c r="S2399" s="176"/>
      <c r="T2399" s="176"/>
      <c r="U2399" s="176"/>
      <c r="V2399" s="176"/>
      <c r="W2399" s="176"/>
      <c r="X2399" s="176"/>
      <c r="Y2399" s="176"/>
    </row>
    <row r="2400" spans="1:25">
      <c r="A2400" s="91"/>
      <c r="B2400" s="176"/>
      <c r="C2400" s="176"/>
      <c r="D2400" s="176"/>
      <c r="E2400" s="176"/>
      <c r="F2400" s="176"/>
      <c r="G2400" s="176"/>
      <c r="H2400" s="176"/>
      <c r="I2400" s="176"/>
      <c r="J2400" s="176"/>
      <c r="K2400" s="176"/>
      <c r="L2400" s="176"/>
      <c r="M2400" s="176"/>
      <c r="N2400" s="176"/>
      <c r="O2400" s="176"/>
      <c r="P2400" s="176"/>
      <c r="Q2400" s="176"/>
      <c r="R2400" s="176"/>
      <c r="S2400" s="176"/>
      <c r="T2400" s="176"/>
      <c r="U2400" s="176"/>
      <c r="V2400" s="176"/>
      <c r="W2400" s="176"/>
      <c r="X2400" s="176"/>
      <c r="Y2400" s="176"/>
    </row>
    <row r="2401" spans="1:25">
      <c r="A2401" s="91"/>
      <c r="B2401" s="176"/>
      <c r="C2401" s="176"/>
      <c r="D2401" s="176"/>
      <c r="E2401" s="176"/>
      <c r="F2401" s="176"/>
      <c r="G2401" s="176"/>
      <c r="H2401" s="176"/>
      <c r="I2401" s="176"/>
      <c r="J2401" s="176"/>
      <c r="K2401" s="176"/>
      <c r="L2401" s="176"/>
      <c r="M2401" s="176"/>
      <c r="N2401" s="176"/>
      <c r="O2401" s="176"/>
      <c r="P2401" s="176"/>
      <c r="Q2401" s="176"/>
      <c r="R2401" s="176"/>
      <c r="S2401" s="176"/>
      <c r="T2401" s="176"/>
      <c r="U2401" s="176"/>
      <c r="V2401" s="176"/>
      <c r="W2401" s="176"/>
      <c r="X2401" s="176"/>
      <c r="Y2401" s="176"/>
    </row>
    <row r="2402" spans="1:25">
      <c r="A2402" s="91"/>
      <c r="B2402" s="176"/>
      <c r="C2402" s="176"/>
      <c r="D2402" s="176"/>
      <c r="E2402" s="176"/>
      <c r="F2402" s="176"/>
      <c r="G2402" s="176"/>
      <c r="H2402" s="176"/>
      <c r="I2402" s="176"/>
      <c r="J2402" s="176"/>
      <c r="K2402" s="176"/>
      <c r="L2402" s="176"/>
      <c r="M2402" s="176"/>
      <c r="N2402" s="176"/>
      <c r="O2402" s="176"/>
      <c r="P2402" s="176"/>
      <c r="Q2402" s="176"/>
      <c r="R2402" s="176"/>
      <c r="S2402" s="176"/>
      <c r="T2402" s="176"/>
      <c r="U2402" s="176"/>
      <c r="V2402" s="176"/>
      <c r="W2402" s="176"/>
      <c r="X2402" s="176"/>
      <c r="Y2402" s="176"/>
    </row>
    <row r="2403" spans="1:25">
      <c r="A2403" s="91"/>
      <c r="B2403" s="176"/>
      <c r="C2403" s="176"/>
      <c r="D2403" s="176"/>
      <c r="E2403" s="176"/>
      <c r="F2403" s="176"/>
      <c r="G2403" s="176"/>
      <c r="H2403" s="176"/>
      <c r="I2403" s="176"/>
      <c r="J2403" s="176"/>
      <c r="K2403" s="176"/>
      <c r="L2403" s="176"/>
      <c r="M2403" s="176"/>
      <c r="N2403" s="176"/>
      <c r="O2403" s="176"/>
      <c r="P2403" s="176"/>
      <c r="Q2403" s="176"/>
      <c r="R2403" s="176"/>
      <c r="S2403" s="176"/>
      <c r="T2403" s="176"/>
      <c r="U2403" s="176"/>
      <c r="V2403" s="176"/>
      <c r="W2403" s="176"/>
      <c r="X2403" s="176"/>
      <c r="Y2403" s="176"/>
    </row>
    <row r="2404" spans="1:25">
      <c r="A2404" s="91"/>
      <c r="B2404" s="176"/>
      <c r="C2404" s="176"/>
      <c r="D2404" s="176"/>
      <c r="E2404" s="176"/>
      <c r="F2404" s="176"/>
      <c r="G2404" s="176"/>
      <c r="H2404" s="176"/>
      <c r="I2404" s="176"/>
      <c r="J2404" s="176"/>
      <c r="K2404" s="176"/>
      <c r="L2404" s="176"/>
      <c r="M2404" s="176"/>
      <c r="N2404" s="176"/>
      <c r="O2404" s="176"/>
      <c r="P2404" s="176"/>
      <c r="Q2404" s="176"/>
      <c r="R2404" s="176"/>
      <c r="S2404" s="176"/>
      <c r="T2404" s="176"/>
      <c r="U2404" s="176"/>
      <c r="V2404" s="176"/>
      <c r="W2404" s="176"/>
      <c r="X2404" s="176"/>
      <c r="Y2404" s="176"/>
    </row>
    <row r="2405" spans="1:25">
      <c r="A2405" s="91"/>
      <c r="B2405" s="176"/>
      <c r="C2405" s="176"/>
      <c r="D2405" s="176"/>
      <c r="E2405" s="176"/>
      <c r="F2405" s="176"/>
      <c r="G2405" s="176"/>
      <c r="H2405" s="176"/>
      <c r="I2405" s="176"/>
      <c r="J2405" s="176"/>
      <c r="K2405" s="176"/>
      <c r="L2405" s="176"/>
      <c r="M2405" s="176"/>
      <c r="N2405" s="176"/>
      <c r="O2405" s="176"/>
      <c r="P2405" s="176"/>
      <c r="Q2405" s="176"/>
      <c r="R2405" s="176"/>
      <c r="S2405" s="176"/>
      <c r="T2405" s="176"/>
      <c r="U2405" s="176"/>
      <c r="V2405" s="176"/>
      <c r="W2405" s="176"/>
      <c r="X2405" s="176"/>
      <c r="Y2405" s="176"/>
    </row>
    <row r="2406" spans="1:25">
      <c r="A2406" s="91"/>
      <c r="B2406" s="176"/>
      <c r="C2406" s="176"/>
      <c r="D2406" s="176"/>
      <c r="E2406" s="176"/>
      <c r="F2406" s="176"/>
      <c r="G2406" s="176"/>
      <c r="H2406" s="176"/>
      <c r="I2406" s="176"/>
      <c r="J2406" s="176"/>
      <c r="K2406" s="176"/>
      <c r="L2406" s="176"/>
      <c r="M2406" s="176"/>
      <c r="N2406" s="176"/>
      <c r="O2406" s="176"/>
      <c r="P2406" s="176"/>
      <c r="Q2406" s="176"/>
      <c r="R2406" s="176"/>
      <c r="S2406" s="176"/>
      <c r="T2406" s="176"/>
      <c r="U2406" s="176"/>
      <c r="V2406" s="176"/>
      <c r="W2406" s="176"/>
      <c r="X2406" s="176"/>
      <c r="Y2406" s="176"/>
    </row>
    <row r="2407" spans="1:25">
      <c r="A2407" s="91"/>
      <c r="B2407" s="176"/>
      <c r="C2407" s="176"/>
      <c r="D2407" s="176"/>
      <c r="E2407" s="176"/>
      <c r="F2407" s="176"/>
      <c r="G2407" s="176"/>
      <c r="H2407" s="176"/>
      <c r="I2407" s="176"/>
      <c r="J2407" s="176"/>
      <c r="K2407" s="176"/>
      <c r="L2407" s="176"/>
      <c r="M2407" s="176"/>
      <c r="N2407" s="176"/>
      <c r="O2407" s="176"/>
      <c r="P2407" s="176"/>
      <c r="Q2407" s="176"/>
      <c r="R2407" s="176"/>
      <c r="S2407" s="176"/>
      <c r="T2407" s="176"/>
      <c r="U2407" s="176"/>
      <c r="V2407" s="176"/>
      <c r="W2407" s="176"/>
      <c r="X2407" s="176"/>
      <c r="Y2407" s="176"/>
    </row>
    <row r="2408" spans="1:25">
      <c r="A2408" s="91"/>
      <c r="B2408" s="176"/>
      <c r="C2408" s="176"/>
      <c r="D2408" s="176"/>
      <c r="E2408" s="176"/>
      <c r="F2408" s="176"/>
      <c r="G2408" s="176"/>
      <c r="H2408" s="176"/>
      <c r="I2408" s="176"/>
      <c r="J2408" s="176"/>
      <c r="K2408" s="176"/>
      <c r="L2408" s="176"/>
      <c r="M2408" s="176"/>
      <c r="N2408" s="176"/>
      <c r="O2408" s="176"/>
      <c r="P2408" s="176"/>
      <c r="Q2408" s="176"/>
      <c r="R2408" s="176"/>
      <c r="S2408" s="176"/>
      <c r="T2408" s="176"/>
      <c r="U2408" s="176"/>
      <c r="V2408" s="176"/>
      <c r="W2408" s="176"/>
      <c r="X2408" s="176"/>
      <c r="Y2408" s="176"/>
    </row>
    <row r="2409" spans="1:25">
      <c r="A2409" s="91"/>
      <c r="B2409" s="176"/>
      <c r="C2409" s="176"/>
      <c r="D2409" s="176"/>
      <c r="E2409" s="176"/>
      <c r="F2409" s="176"/>
      <c r="G2409" s="176"/>
      <c r="H2409" s="176"/>
      <c r="I2409" s="176"/>
      <c r="J2409" s="176"/>
      <c r="K2409" s="176"/>
      <c r="L2409" s="176"/>
      <c r="M2409" s="176"/>
      <c r="N2409" s="176"/>
      <c r="O2409" s="176"/>
      <c r="P2409" s="176"/>
      <c r="Q2409" s="176"/>
      <c r="R2409" s="176"/>
      <c r="S2409" s="176"/>
      <c r="T2409" s="176"/>
      <c r="U2409" s="176"/>
      <c r="V2409" s="176"/>
      <c r="W2409" s="176"/>
      <c r="X2409" s="176"/>
      <c r="Y2409" s="176"/>
    </row>
    <row r="2410" spans="1:25">
      <c r="A2410" s="91"/>
      <c r="B2410" s="176"/>
      <c r="C2410" s="176"/>
      <c r="D2410" s="176"/>
      <c r="E2410" s="176"/>
      <c r="F2410" s="176"/>
      <c r="G2410" s="176"/>
      <c r="H2410" s="176"/>
      <c r="I2410" s="176"/>
      <c r="J2410" s="176"/>
      <c r="K2410" s="176"/>
      <c r="L2410" s="176"/>
      <c r="M2410" s="176"/>
      <c r="N2410" s="176"/>
      <c r="O2410" s="176"/>
      <c r="P2410" s="176"/>
      <c r="Q2410" s="176"/>
      <c r="R2410" s="176"/>
      <c r="S2410" s="176"/>
      <c r="T2410" s="176"/>
      <c r="U2410" s="176"/>
      <c r="V2410" s="176"/>
      <c r="W2410" s="176"/>
      <c r="X2410" s="176"/>
      <c r="Y2410" s="176"/>
    </row>
    <row r="2411" spans="1:25">
      <c r="A2411" s="91"/>
      <c r="B2411" s="176"/>
      <c r="C2411" s="176"/>
      <c r="D2411" s="176"/>
      <c r="E2411" s="176"/>
      <c r="F2411" s="176"/>
      <c r="G2411" s="176"/>
      <c r="H2411" s="176"/>
      <c r="I2411" s="176"/>
      <c r="J2411" s="176"/>
      <c r="K2411" s="176"/>
      <c r="L2411" s="176"/>
      <c r="M2411" s="176"/>
      <c r="N2411" s="176"/>
      <c r="O2411" s="176"/>
      <c r="P2411" s="176"/>
      <c r="Q2411" s="176"/>
      <c r="R2411" s="176"/>
      <c r="S2411" s="176"/>
      <c r="T2411" s="176"/>
      <c r="U2411" s="176"/>
      <c r="V2411" s="176"/>
      <c r="W2411" s="176"/>
      <c r="X2411" s="176"/>
      <c r="Y2411" s="176"/>
    </row>
    <row r="2412" spans="1:25">
      <c r="A2412" s="91"/>
      <c r="B2412" s="176"/>
      <c r="C2412" s="176"/>
      <c r="D2412" s="176"/>
      <c r="E2412" s="176"/>
      <c r="F2412" s="176"/>
      <c r="G2412" s="176"/>
      <c r="H2412" s="176"/>
      <c r="I2412" s="176"/>
      <c r="J2412" s="176"/>
      <c r="K2412" s="176"/>
      <c r="L2412" s="176"/>
      <c r="M2412" s="176"/>
      <c r="N2412" s="176"/>
      <c r="O2412" s="176"/>
      <c r="P2412" s="176"/>
      <c r="Q2412" s="176"/>
      <c r="R2412" s="176"/>
      <c r="S2412" s="176"/>
      <c r="T2412" s="176"/>
      <c r="U2412" s="176"/>
      <c r="V2412" s="176"/>
      <c r="W2412" s="176"/>
      <c r="X2412" s="176"/>
      <c r="Y2412" s="176"/>
    </row>
    <row r="2413" spans="1:25">
      <c r="A2413" s="91"/>
      <c r="B2413" s="176"/>
      <c r="C2413" s="176"/>
      <c r="D2413" s="176"/>
      <c r="E2413" s="176"/>
      <c r="F2413" s="176"/>
      <c r="G2413" s="176"/>
      <c r="H2413" s="176"/>
      <c r="I2413" s="176"/>
      <c r="J2413" s="176"/>
      <c r="K2413" s="176"/>
      <c r="L2413" s="176"/>
      <c r="M2413" s="176"/>
      <c r="N2413" s="176"/>
      <c r="O2413" s="176"/>
      <c r="P2413" s="176"/>
      <c r="Q2413" s="176"/>
      <c r="R2413" s="176"/>
      <c r="S2413" s="176"/>
      <c r="T2413" s="176"/>
      <c r="U2413" s="176"/>
      <c r="V2413" s="176"/>
      <c r="W2413" s="176"/>
      <c r="X2413" s="176"/>
      <c r="Y2413" s="176"/>
    </row>
    <row r="2414" spans="1:25">
      <c r="A2414" s="91"/>
      <c r="B2414" s="176"/>
      <c r="C2414" s="176"/>
      <c r="D2414" s="176"/>
      <c r="E2414" s="176"/>
      <c r="F2414" s="176"/>
      <c r="G2414" s="176"/>
      <c r="H2414" s="176"/>
      <c r="I2414" s="176"/>
      <c r="J2414" s="176"/>
      <c r="K2414" s="176"/>
      <c r="L2414" s="176"/>
      <c r="M2414" s="176"/>
      <c r="N2414" s="176"/>
      <c r="O2414" s="176"/>
      <c r="P2414" s="176"/>
      <c r="Q2414" s="176"/>
      <c r="R2414" s="176"/>
      <c r="S2414" s="176"/>
      <c r="T2414" s="176"/>
      <c r="U2414" s="176"/>
      <c r="V2414" s="176"/>
      <c r="W2414" s="176"/>
      <c r="X2414" s="176"/>
      <c r="Y2414" s="176"/>
    </row>
    <row r="2415" spans="1:25">
      <c r="A2415" s="91"/>
      <c r="B2415" s="176"/>
      <c r="C2415" s="176"/>
      <c r="D2415" s="176"/>
      <c r="E2415" s="176"/>
      <c r="F2415" s="176"/>
      <c r="G2415" s="176"/>
      <c r="H2415" s="176"/>
      <c r="I2415" s="176"/>
      <c r="J2415" s="176"/>
      <c r="K2415" s="176"/>
      <c r="L2415" s="176"/>
      <c r="M2415" s="176"/>
      <c r="N2415" s="176"/>
      <c r="O2415" s="176"/>
      <c r="P2415" s="176"/>
      <c r="Q2415" s="176"/>
      <c r="R2415" s="176"/>
      <c r="S2415" s="176"/>
      <c r="T2415" s="176"/>
      <c r="U2415" s="176"/>
      <c r="V2415" s="176"/>
      <c r="W2415" s="176"/>
      <c r="X2415" s="176"/>
      <c r="Y2415" s="176"/>
    </row>
    <row r="2416" spans="1:25">
      <c r="A2416" s="91"/>
      <c r="B2416" s="176"/>
      <c r="C2416" s="176"/>
      <c r="D2416" s="176"/>
      <c r="E2416" s="176"/>
      <c r="F2416" s="176"/>
      <c r="G2416" s="176"/>
      <c r="H2416" s="176"/>
      <c r="I2416" s="176"/>
      <c r="J2416" s="176"/>
      <c r="K2416" s="176"/>
      <c r="L2416" s="176"/>
      <c r="M2416" s="176"/>
      <c r="N2416" s="176"/>
      <c r="O2416" s="176"/>
      <c r="P2416" s="176"/>
      <c r="Q2416" s="176"/>
      <c r="R2416" s="176"/>
      <c r="S2416" s="176"/>
      <c r="T2416" s="176"/>
      <c r="U2416" s="176"/>
      <c r="V2416" s="176"/>
      <c r="W2416" s="176"/>
      <c r="X2416" s="176"/>
      <c r="Y2416" s="176"/>
    </row>
    <row r="2417" spans="1:25">
      <c r="A2417" s="91"/>
      <c r="B2417" s="176"/>
      <c r="C2417" s="176"/>
      <c r="D2417" s="176"/>
      <c r="E2417" s="176"/>
      <c r="F2417" s="176"/>
      <c r="G2417" s="176"/>
      <c r="H2417" s="176"/>
      <c r="I2417" s="176"/>
      <c r="J2417" s="176"/>
      <c r="K2417" s="176"/>
      <c r="L2417" s="176"/>
      <c r="M2417" s="176"/>
      <c r="N2417" s="176"/>
      <c r="O2417" s="176"/>
      <c r="P2417" s="176"/>
      <c r="Q2417" s="176"/>
      <c r="R2417" s="176"/>
      <c r="S2417" s="176"/>
      <c r="T2417" s="176"/>
      <c r="U2417" s="176"/>
      <c r="V2417" s="176"/>
      <c r="W2417" s="176"/>
      <c r="X2417" s="176"/>
      <c r="Y2417" s="176"/>
    </row>
    <row r="2418" spans="1:25">
      <c r="A2418" s="91"/>
      <c r="B2418" s="176"/>
      <c r="C2418" s="176"/>
      <c r="D2418" s="176"/>
      <c r="E2418" s="176"/>
      <c r="F2418" s="176"/>
      <c r="G2418" s="176"/>
      <c r="H2418" s="176"/>
      <c r="I2418" s="176"/>
      <c r="J2418" s="176"/>
      <c r="K2418" s="176"/>
      <c r="L2418" s="176"/>
      <c r="M2418" s="176"/>
      <c r="N2418" s="176"/>
      <c r="O2418" s="176"/>
      <c r="P2418" s="176"/>
      <c r="Q2418" s="176"/>
      <c r="R2418" s="176"/>
      <c r="S2418" s="176"/>
      <c r="T2418" s="176"/>
      <c r="U2418" s="176"/>
      <c r="V2418" s="176"/>
      <c r="W2418" s="176"/>
      <c r="X2418" s="176"/>
      <c r="Y2418" s="176"/>
    </row>
    <row r="2419" spans="1:25">
      <c r="A2419" s="91"/>
      <c r="B2419" s="176"/>
      <c r="C2419" s="176"/>
      <c r="D2419" s="176"/>
      <c r="E2419" s="176"/>
      <c r="F2419" s="176"/>
      <c r="G2419" s="176"/>
      <c r="H2419" s="176"/>
      <c r="I2419" s="176"/>
      <c r="J2419" s="176"/>
      <c r="K2419" s="176"/>
      <c r="L2419" s="176"/>
      <c r="M2419" s="176"/>
      <c r="N2419" s="176"/>
      <c r="O2419" s="176"/>
      <c r="P2419" s="176"/>
      <c r="Q2419" s="176"/>
      <c r="R2419" s="176"/>
      <c r="S2419" s="176"/>
      <c r="T2419" s="176"/>
      <c r="U2419" s="176"/>
      <c r="V2419" s="176"/>
      <c r="W2419" s="176"/>
      <c r="X2419" s="176"/>
      <c r="Y2419" s="176"/>
    </row>
    <row r="2420" spans="1:25">
      <c r="A2420" s="91"/>
      <c r="B2420" s="176"/>
      <c r="C2420" s="176"/>
      <c r="D2420" s="176"/>
      <c r="E2420" s="176"/>
      <c r="F2420" s="176"/>
      <c r="G2420" s="176"/>
      <c r="H2420" s="176"/>
      <c r="I2420" s="176"/>
      <c r="J2420" s="176"/>
      <c r="K2420" s="176"/>
      <c r="L2420" s="176"/>
      <c r="M2420" s="176"/>
      <c r="N2420" s="176"/>
      <c r="O2420" s="176"/>
      <c r="P2420" s="176"/>
      <c r="Q2420" s="176"/>
      <c r="R2420" s="176"/>
      <c r="S2420" s="176"/>
      <c r="T2420" s="176"/>
      <c r="U2420" s="176"/>
      <c r="V2420" s="176"/>
      <c r="W2420" s="176"/>
      <c r="X2420" s="176"/>
      <c r="Y2420" s="176"/>
    </row>
    <row r="2421" spans="1:25">
      <c r="A2421" s="91"/>
      <c r="B2421" s="176"/>
      <c r="C2421" s="176"/>
      <c r="D2421" s="176"/>
      <c r="E2421" s="176"/>
      <c r="F2421" s="176"/>
      <c r="G2421" s="176"/>
      <c r="H2421" s="176"/>
      <c r="I2421" s="176"/>
      <c r="J2421" s="176"/>
      <c r="K2421" s="176"/>
      <c r="L2421" s="176"/>
      <c r="M2421" s="176"/>
      <c r="N2421" s="176"/>
      <c r="O2421" s="176"/>
      <c r="P2421" s="176"/>
      <c r="Q2421" s="176"/>
      <c r="R2421" s="176"/>
      <c r="S2421" s="176"/>
      <c r="T2421" s="176"/>
      <c r="U2421" s="176"/>
      <c r="V2421" s="176"/>
      <c r="W2421" s="176"/>
      <c r="X2421" s="176"/>
      <c r="Y2421" s="176"/>
    </row>
    <row r="2422" spans="1:25">
      <c r="A2422" s="91"/>
      <c r="B2422" s="176"/>
      <c r="C2422" s="176"/>
      <c r="D2422" s="176"/>
      <c r="E2422" s="176"/>
      <c r="F2422" s="176"/>
      <c r="G2422" s="176"/>
      <c r="H2422" s="176"/>
      <c r="I2422" s="176"/>
      <c r="J2422" s="176"/>
      <c r="K2422" s="176"/>
      <c r="L2422" s="176"/>
      <c r="M2422" s="176"/>
      <c r="N2422" s="176"/>
      <c r="O2422" s="176"/>
      <c r="P2422" s="176"/>
      <c r="Q2422" s="176"/>
      <c r="R2422" s="176"/>
      <c r="S2422" s="176"/>
      <c r="T2422" s="176"/>
      <c r="U2422" s="176"/>
      <c r="V2422" s="176"/>
      <c r="W2422" s="176"/>
      <c r="X2422" s="176"/>
      <c r="Y2422" s="176"/>
    </row>
    <row r="2423" spans="1:25">
      <c r="A2423" s="91"/>
      <c r="B2423" s="176"/>
      <c r="C2423" s="176"/>
      <c r="D2423" s="176"/>
      <c r="E2423" s="176"/>
      <c r="F2423" s="176"/>
      <c r="G2423" s="176"/>
      <c r="H2423" s="176"/>
      <c r="I2423" s="176"/>
      <c r="J2423" s="176"/>
      <c r="K2423" s="176"/>
      <c r="L2423" s="176"/>
      <c r="M2423" s="176"/>
      <c r="N2423" s="176"/>
      <c r="O2423" s="176"/>
      <c r="P2423" s="176"/>
      <c r="Q2423" s="176"/>
      <c r="R2423" s="176"/>
      <c r="S2423" s="176"/>
      <c r="T2423" s="176"/>
      <c r="U2423" s="176"/>
      <c r="V2423" s="176"/>
      <c r="W2423" s="176"/>
      <c r="X2423" s="176"/>
      <c r="Y2423" s="176"/>
    </row>
    <row r="2424" spans="1:25">
      <c r="A2424" s="91"/>
      <c r="B2424" s="176"/>
      <c r="C2424" s="176"/>
      <c r="D2424" s="176"/>
      <c r="E2424" s="176"/>
      <c r="F2424" s="176"/>
      <c r="G2424" s="176"/>
      <c r="H2424" s="176"/>
      <c r="I2424" s="176"/>
      <c r="J2424" s="176"/>
      <c r="K2424" s="176"/>
      <c r="L2424" s="176"/>
      <c r="M2424" s="176"/>
      <c r="N2424" s="176"/>
      <c r="O2424" s="176"/>
      <c r="P2424" s="176"/>
      <c r="Q2424" s="176"/>
      <c r="R2424" s="176"/>
      <c r="S2424" s="176"/>
      <c r="T2424" s="176"/>
      <c r="U2424" s="176"/>
      <c r="V2424" s="176"/>
      <c r="W2424" s="176"/>
      <c r="X2424" s="176"/>
      <c r="Y2424" s="176"/>
    </row>
    <row r="2425" spans="1:25">
      <c r="A2425" s="91"/>
      <c r="B2425" s="176"/>
      <c r="C2425" s="176"/>
      <c r="D2425" s="176"/>
      <c r="E2425" s="176"/>
      <c r="F2425" s="176"/>
      <c r="G2425" s="176"/>
      <c r="H2425" s="176"/>
      <c r="I2425" s="176"/>
      <c r="J2425" s="176"/>
      <c r="K2425" s="176"/>
      <c r="L2425" s="176"/>
      <c r="M2425" s="176"/>
      <c r="N2425" s="176"/>
      <c r="O2425" s="176"/>
      <c r="P2425" s="176"/>
      <c r="Q2425" s="176"/>
      <c r="R2425" s="176"/>
      <c r="S2425" s="176"/>
      <c r="T2425" s="176"/>
      <c r="U2425" s="176"/>
      <c r="V2425" s="176"/>
      <c r="W2425" s="176"/>
      <c r="X2425" s="176"/>
      <c r="Y2425" s="176"/>
    </row>
    <row r="2426" spans="1:25">
      <c r="A2426" s="91"/>
      <c r="B2426" s="176"/>
      <c r="C2426" s="176"/>
      <c r="D2426" s="176"/>
      <c r="E2426" s="176"/>
      <c r="F2426" s="176"/>
      <c r="G2426" s="176"/>
      <c r="H2426" s="176"/>
      <c r="I2426" s="176"/>
      <c r="J2426" s="176"/>
      <c r="K2426" s="176"/>
      <c r="L2426" s="176"/>
      <c r="M2426" s="176"/>
      <c r="N2426" s="176"/>
      <c r="O2426" s="176"/>
      <c r="P2426" s="176"/>
      <c r="Q2426" s="176"/>
      <c r="R2426" s="176"/>
      <c r="S2426" s="176"/>
      <c r="T2426" s="176"/>
      <c r="U2426" s="176"/>
      <c r="V2426" s="176"/>
      <c r="W2426" s="176"/>
      <c r="X2426" s="176"/>
      <c r="Y2426" s="176"/>
    </row>
    <row r="2427" spans="1:25">
      <c r="A2427" s="91"/>
      <c r="B2427" s="176"/>
      <c r="C2427" s="176"/>
      <c r="D2427" s="176"/>
      <c r="E2427" s="176"/>
      <c r="F2427" s="176"/>
      <c r="G2427" s="176"/>
      <c r="H2427" s="176"/>
      <c r="I2427" s="176"/>
      <c r="J2427" s="176"/>
      <c r="K2427" s="176"/>
      <c r="L2427" s="176"/>
      <c r="M2427" s="176"/>
      <c r="N2427" s="176"/>
      <c r="O2427" s="176"/>
      <c r="P2427" s="176"/>
      <c r="Q2427" s="176"/>
      <c r="R2427" s="176"/>
      <c r="S2427" s="176"/>
      <c r="T2427" s="176"/>
      <c r="U2427" s="176"/>
      <c r="V2427" s="176"/>
      <c r="W2427" s="176"/>
      <c r="X2427" s="176"/>
      <c r="Y2427" s="176"/>
    </row>
    <row r="2428" spans="1:25">
      <c r="A2428" s="91"/>
      <c r="B2428" s="176"/>
      <c r="C2428" s="176"/>
      <c r="D2428" s="176"/>
      <c r="E2428" s="176"/>
      <c r="F2428" s="176"/>
      <c r="G2428" s="176"/>
      <c r="H2428" s="176"/>
      <c r="I2428" s="176"/>
      <c r="J2428" s="176"/>
      <c r="K2428" s="176"/>
      <c r="L2428" s="176"/>
      <c r="M2428" s="176"/>
      <c r="N2428" s="176"/>
      <c r="O2428" s="176"/>
      <c r="P2428" s="176"/>
      <c r="Q2428" s="176"/>
      <c r="R2428" s="176"/>
      <c r="S2428" s="176"/>
      <c r="T2428" s="176"/>
      <c r="U2428" s="176"/>
      <c r="V2428" s="176"/>
      <c r="W2428" s="176"/>
      <c r="X2428" s="176"/>
      <c r="Y2428" s="176"/>
    </row>
    <row r="2429" spans="1:25">
      <c r="A2429" s="91"/>
      <c r="B2429" s="176"/>
      <c r="C2429" s="176"/>
      <c r="D2429" s="176"/>
      <c r="E2429" s="176"/>
      <c r="F2429" s="176"/>
      <c r="G2429" s="176"/>
      <c r="H2429" s="176"/>
      <c r="I2429" s="176"/>
      <c r="J2429" s="176"/>
      <c r="K2429" s="176"/>
      <c r="L2429" s="176"/>
      <c r="M2429" s="176"/>
      <c r="N2429" s="176"/>
      <c r="O2429" s="176"/>
      <c r="P2429" s="176"/>
      <c r="Q2429" s="176"/>
      <c r="R2429" s="176"/>
      <c r="S2429" s="176"/>
      <c r="T2429" s="176"/>
      <c r="U2429" s="176"/>
      <c r="V2429" s="176"/>
      <c r="W2429" s="176"/>
      <c r="X2429" s="176"/>
      <c r="Y2429" s="176"/>
    </row>
    <row r="2430" spans="1:25">
      <c r="A2430" s="91"/>
      <c r="B2430" s="176"/>
      <c r="C2430" s="176"/>
      <c r="D2430" s="176"/>
      <c r="E2430" s="176"/>
      <c r="F2430" s="176"/>
      <c r="G2430" s="176"/>
      <c r="H2430" s="176"/>
      <c r="I2430" s="176"/>
      <c r="J2430" s="176"/>
      <c r="K2430" s="176"/>
      <c r="L2430" s="176"/>
      <c r="M2430" s="176"/>
      <c r="N2430" s="176"/>
      <c r="O2430" s="176"/>
      <c r="P2430" s="176"/>
      <c r="Q2430" s="176"/>
      <c r="R2430" s="176"/>
      <c r="S2430" s="176"/>
      <c r="T2430" s="176"/>
      <c r="U2430" s="176"/>
      <c r="V2430" s="176"/>
      <c r="W2430" s="176"/>
      <c r="X2430" s="176"/>
      <c r="Y2430" s="176"/>
    </row>
    <row r="2431" spans="1:25">
      <c r="A2431" s="91"/>
      <c r="B2431" s="176"/>
      <c r="C2431" s="176"/>
      <c r="D2431" s="176"/>
      <c r="E2431" s="176"/>
      <c r="F2431" s="176"/>
      <c r="G2431" s="176"/>
      <c r="H2431" s="176"/>
      <c r="I2431" s="176"/>
      <c r="J2431" s="176"/>
      <c r="K2431" s="176"/>
      <c r="L2431" s="176"/>
      <c r="M2431" s="176"/>
      <c r="N2431" s="176"/>
      <c r="O2431" s="176"/>
      <c r="P2431" s="176"/>
      <c r="Q2431" s="176"/>
      <c r="R2431" s="176"/>
      <c r="S2431" s="176"/>
      <c r="T2431" s="176"/>
      <c r="U2431" s="176"/>
      <c r="V2431" s="176"/>
      <c r="W2431" s="176"/>
      <c r="X2431" s="176"/>
      <c r="Y2431" s="176"/>
    </row>
    <row r="2432" spans="1:25">
      <c r="A2432" s="91"/>
      <c r="B2432" s="176"/>
      <c r="C2432" s="176"/>
      <c r="D2432" s="176"/>
      <c r="E2432" s="176"/>
      <c r="F2432" s="176"/>
      <c r="G2432" s="176"/>
      <c r="H2432" s="176"/>
      <c r="I2432" s="176"/>
      <c r="J2432" s="176"/>
      <c r="K2432" s="176"/>
      <c r="L2432" s="176"/>
      <c r="M2432" s="176"/>
      <c r="N2432" s="176"/>
      <c r="O2432" s="176"/>
      <c r="P2432" s="176"/>
      <c r="Q2432" s="176"/>
      <c r="R2432" s="176"/>
      <c r="S2432" s="176"/>
      <c r="T2432" s="176"/>
      <c r="U2432" s="176"/>
      <c r="V2432" s="176"/>
      <c r="W2432" s="176"/>
      <c r="X2432" s="176"/>
      <c r="Y2432" s="176"/>
    </row>
    <row r="2433" spans="1:25">
      <c r="A2433" s="91"/>
      <c r="B2433" s="176"/>
      <c r="C2433" s="176"/>
      <c r="D2433" s="176"/>
      <c r="E2433" s="176"/>
      <c r="F2433" s="176"/>
      <c r="G2433" s="176"/>
      <c r="H2433" s="176"/>
      <c r="I2433" s="176"/>
      <c r="J2433" s="176"/>
      <c r="K2433" s="176"/>
      <c r="L2433" s="176"/>
      <c r="M2433" s="176"/>
      <c r="N2433" s="176"/>
      <c r="O2433" s="176"/>
      <c r="P2433" s="176"/>
      <c r="Q2433" s="176"/>
      <c r="R2433" s="176"/>
      <c r="S2433" s="176"/>
      <c r="T2433" s="176"/>
      <c r="U2433" s="176"/>
      <c r="V2433" s="176"/>
      <c r="W2433" s="176"/>
      <c r="X2433" s="176"/>
      <c r="Y2433" s="176"/>
    </row>
    <row r="2434" spans="1:25">
      <c r="A2434" s="91"/>
      <c r="B2434" s="176"/>
      <c r="C2434" s="176"/>
      <c r="D2434" s="176"/>
      <c r="E2434" s="176"/>
      <c r="F2434" s="176"/>
      <c r="G2434" s="176"/>
      <c r="H2434" s="176"/>
      <c r="I2434" s="176"/>
      <c r="J2434" s="176"/>
      <c r="K2434" s="176"/>
      <c r="L2434" s="176"/>
      <c r="M2434" s="176"/>
      <c r="N2434" s="176"/>
      <c r="O2434" s="176"/>
      <c r="P2434" s="176"/>
      <c r="Q2434" s="176"/>
      <c r="R2434" s="176"/>
      <c r="S2434" s="176"/>
      <c r="T2434" s="176"/>
      <c r="U2434" s="176"/>
      <c r="V2434" s="176"/>
      <c r="W2434" s="176"/>
      <c r="X2434" s="176"/>
      <c r="Y2434" s="176"/>
    </row>
    <row r="2435" spans="1:25">
      <c r="A2435" s="91"/>
      <c r="B2435" s="176"/>
      <c r="C2435" s="176"/>
      <c r="D2435" s="176"/>
      <c r="E2435" s="176"/>
      <c r="F2435" s="176"/>
      <c r="G2435" s="176"/>
      <c r="H2435" s="176"/>
      <c r="I2435" s="176"/>
      <c r="J2435" s="176"/>
      <c r="K2435" s="176"/>
      <c r="L2435" s="176"/>
      <c r="M2435" s="176"/>
      <c r="N2435" s="176"/>
      <c r="O2435" s="176"/>
      <c r="P2435" s="176"/>
      <c r="Q2435" s="176"/>
      <c r="R2435" s="176"/>
      <c r="S2435" s="176"/>
      <c r="T2435" s="176"/>
      <c r="U2435" s="176"/>
      <c r="V2435" s="176"/>
      <c r="W2435" s="176"/>
      <c r="X2435" s="176"/>
      <c r="Y2435" s="176"/>
    </row>
    <row r="2436" spans="1:25">
      <c r="A2436" s="91"/>
      <c r="B2436" s="176"/>
      <c r="C2436" s="176"/>
      <c r="D2436" s="176"/>
      <c r="E2436" s="176"/>
      <c r="F2436" s="176"/>
      <c r="G2436" s="176"/>
      <c r="H2436" s="176"/>
      <c r="I2436" s="176"/>
      <c r="J2436" s="176"/>
      <c r="K2436" s="176"/>
      <c r="L2436" s="176"/>
      <c r="M2436" s="176"/>
      <c r="N2436" s="176"/>
      <c r="O2436" s="176"/>
      <c r="P2436" s="176"/>
      <c r="Q2436" s="176"/>
      <c r="R2436" s="176"/>
      <c r="S2436" s="176"/>
      <c r="T2436" s="176"/>
      <c r="U2436" s="176"/>
      <c r="V2436" s="176"/>
      <c r="W2436" s="176"/>
      <c r="X2436" s="176"/>
      <c r="Y2436" s="176"/>
    </row>
    <row r="2437" spans="1:25">
      <c r="A2437" s="91"/>
      <c r="B2437" s="176"/>
      <c r="C2437" s="176"/>
      <c r="D2437" s="176"/>
      <c r="E2437" s="176"/>
      <c r="F2437" s="176"/>
      <c r="G2437" s="176"/>
      <c r="H2437" s="176"/>
      <c r="I2437" s="176"/>
      <c r="J2437" s="176"/>
      <c r="K2437" s="176"/>
      <c r="L2437" s="176"/>
      <c r="M2437" s="176"/>
      <c r="N2437" s="176"/>
      <c r="O2437" s="176"/>
      <c r="P2437" s="176"/>
      <c r="Q2437" s="176"/>
      <c r="R2437" s="176"/>
      <c r="S2437" s="176"/>
      <c r="T2437" s="176"/>
      <c r="U2437" s="176"/>
      <c r="V2437" s="176"/>
      <c r="W2437" s="176"/>
      <c r="X2437" s="176"/>
      <c r="Y2437" s="176"/>
    </row>
    <row r="2438" spans="1:25">
      <c r="A2438" s="91"/>
      <c r="B2438" s="176"/>
      <c r="C2438" s="176"/>
      <c r="D2438" s="176"/>
      <c r="E2438" s="176"/>
      <c r="F2438" s="176"/>
      <c r="G2438" s="176"/>
      <c r="H2438" s="176"/>
      <c r="I2438" s="176"/>
      <c r="J2438" s="176"/>
      <c r="K2438" s="176"/>
      <c r="L2438" s="176"/>
      <c r="M2438" s="176"/>
      <c r="N2438" s="176"/>
      <c r="O2438" s="176"/>
      <c r="P2438" s="176"/>
      <c r="Q2438" s="176"/>
      <c r="R2438" s="176"/>
      <c r="S2438" s="176"/>
      <c r="T2438" s="176"/>
      <c r="U2438" s="176"/>
      <c r="V2438" s="176"/>
      <c r="W2438" s="176"/>
      <c r="X2438" s="176"/>
      <c r="Y2438" s="176"/>
    </row>
    <row r="2439" spans="1:25">
      <c r="A2439" s="91"/>
      <c r="B2439" s="176"/>
      <c r="C2439" s="176"/>
      <c r="D2439" s="176"/>
      <c r="E2439" s="176"/>
      <c r="F2439" s="176"/>
      <c r="G2439" s="176"/>
      <c r="H2439" s="176"/>
      <c r="I2439" s="176"/>
      <c r="J2439" s="176"/>
      <c r="K2439" s="176"/>
      <c r="L2439" s="176"/>
      <c r="M2439" s="176"/>
      <c r="N2439" s="176"/>
      <c r="O2439" s="176"/>
      <c r="P2439" s="176"/>
      <c r="Q2439" s="176"/>
      <c r="R2439" s="176"/>
      <c r="S2439" s="176"/>
      <c r="T2439" s="176"/>
      <c r="U2439" s="176"/>
      <c r="V2439" s="176"/>
      <c r="W2439" s="176"/>
      <c r="X2439" s="176"/>
      <c r="Y2439" s="176"/>
    </row>
    <row r="2440" spans="1:25">
      <c r="A2440" s="91"/>
      <c r="B2440" s="176"/>
      <c r="C2440" s="176"/>
      <c r="D2440" s="176"/>
      <c r="E2440" s="176"/>
      <c r="F2440" s="176"/>
      <c r="G2440" s="176"/>
      <c r="H2440" s="176"/>
      <c r="I2440" s="176"/>
      <c r="J2440" s="176"/>
      <c r="K2440" s="176"/>
      <c r="L2440" s="176"/>
      <c r="M2440" s="176"/>
      <c r="N2440" s="176"/>
      <c r="O2440" s="176"/>
      <c r="P2440" s="176"/>
      <c r="Q2440" s="176"/>
      <c r="R2440" s="176"/>
      <c r="S2440" s="176"/>
      <c r="T2440" s="176"/>
      <c r="U2440" s="176"/>
      <c r="V2440" s="176"/>
      <c r="W2440" s="176"/>
      <c r="X2440" s="176"/>
      <c r="Y2440" s="176"/>
    </row>
    <row r="2441" spans="1:25">
      <c r="A2441" s="91"/>
      <c r="B2441" s="176"/>
      <c r="C2441" s="176"/>
      <c r="D2441" s="176"/>
      <c r="E2441" s="176"/>
      <c r="F2441" s="176"/>
      <c r="G2441" s="176"/>
      <c r="H2441" s="176"/>
      <c r="I2441" s="176"/>
      <c r="J2441" s="176"/>
      <c r="K2441" s="176"/>
      <c r="L2441" s="176"/>
      <c r="M2441" s="176"/>
      <c r="N2441" s="176"/>
      <c r="O2441" s="176"/>
      <c r="P2441" s="176"/>
      <c r="Q2441" s="176"/>
      <c r="R2441" s="176"/>
      <c r="S2441" s="176"/>
      <c r="T2441" s="176"/>
      <c r="U2441" s="176"/>
      <c r="V2441" s="176"/>
      <c r="W2441" s="176"/>
      <c r="X2441" s="176"/>
      <c r="Y2441" s="176"/>
    </row>
    <row r="2442" spans="1:25">
      <c r="A2442" s="91"/>
      <c r="B2442" s="176"/>
      <c r="C2442" s="176"/>
      <c r="D2442" s="176"/>
      <c r="E2442" s="176"/>
      <c r="F2442" s="176"/>
      <c r="G2442" s="176"/>
      <c r="H2442" s="176"/>
      <c r="I2442" s="176"/>
      <c r="J2442" s="176"/>
      <c r="K2442" s="176"/>
      <c r="L2442" s="176"/>
      <c r="M2442" s="176"/>
      <c r="N2442" s="176"/>
      <c r="O2442" s="176"/>
      <c r="P2442" s="176"/>
      <c r="Q2442" s="176"/>
      <c r="R2442" s="176"/>
      <c r="S2442" s="176"/>
      <c r="T2442" s="176"/>
      <c r="U2442" s="176"/>
      <c r="V2442" s="176"/>
      <c r="W2442" s="176"/>
      <c r="X2442" s="176"/>
      <c r="Y2442" s="176"/>
    </row>
    <row r="2443" spans="1:25">
      <c r="A2443" s="91"/>
      <c r="B2443" s="176"/>
      <c r="C2443" s="176"/>
      <c r="D2443" s="176"/>
      <c r="E2443" s="176"/>
      <c r="F2443" s="176"/>
      <c r="G2443" s="176"/>
      <c r="H2443" s="176"/>
      <c r="I2443" s="176"/>
      <c r="J2443" s="176"/>
      <c r="K2443" s="176"/>
      <c r="L2443" s="176"/>
      <c r="M2443" s="176"/>
      <c r="N2443" s="176"/>
      <c r="O2443" s="176"/>
      <c r="P2443" s="176"/>
      <c r="Q2443" s="176"/>
      <c r="R2443" s="176"/>
      <c r="S2443" s="176"/>
      <c r="T2443" s="176"/>
      <c r="U2443" s="176"/>
      <c r="V2443" s="176"/>
      <c r="W2443" s="176"/>
      <c r="X2443" s="176"/>
      <c r="Y2443" s="176"/>
    </row>
    <row r="2444" spans="1:25">
      <c r="A2444" s="91"/>
      <c r="B2444" s="176"/>
      <c r="C2444" s="176"/>
      <c r="D2444" s="176"/>
      <c r="E2444" s="176"/>
      <c r="F2444" s="176"/>
      <c r="G2444" s="176"/>
      <c r="H2444" s="176"/>
      <c r="I2444" s="176"/>
      <c r="J2444" s="176"/>
      <c r="K2444" s="176"/>
      <c r="L2444" s="176"/>
      <c r="M2444" s="176"/>
      <c r="N2444" s="176"/>
      <c r="O2444" s="176"/>
      <c r="P2444" s="176"/>
      <c r="Q2444" s="176"/>
      <c r="R2444" s="176"/>
      <c r="S2444" s="176"/>
      <c r="T2444" s="176"/>
      <c r="U2444" s="176"/>
      <c r="V2444" s="176"/>
      <c r="W2444" s="176"/>
      <c r="X2444" s="176"/>
      <c r="Y2444" s="176"/>
    </row>
    <row r="2445" spans="1:25">
      <c r="A2445" s="91"/>
      <c r="B2445" s="176"/>
      <c r="C2445" s="176"/>
      <c r="D2445" s="176"/>
      <c r="E2445" s="176"/>
      <c r="F2445" s="176"/>
      <c r="G2445" s="176"/>
      <c r="H2445" s="176"/>
      <c r="I2445" s="176"/>
      <c r="J2445" s="176"/>
      <c r="K2445" s="176"/>
      <c r="L2445" s="176"/>
      <c r="M2445" s="176"/>
      <c r="N2445" s="176"/>
      <c r="O2445" s="176"/>
      <c r="P2445" s="176"/>
      <c r="Q2445" s="176"/>
      <c r="R2445" s="176"/>
      <c r="S2445" s="176"/>
      <c r="T2445" s="176"/>
      <c r="U2445" s="176"/>
      <c r="V2445" s="176"/>
      <c r="W2445" s="176"/>
      <c r="X2445" s="176"/>
      <c r="Y2445" s="176"/>
    </row>
    <row r="2446" spans="1:25">
      <c r="A2446" s="91"/>
      <c r="B2446" s="176"/>
      <c r="C2446" s="176"/>
      <c r="D2446" s="176"/>
      <c r="E2446" s="176"/>
      <c r="F2446" s="176"/>
      <c r="G2446" s="176"/>
      <c r="H2446" s="176"/>
      <c r="I2446" s="176"/>
      <c r="J2446" s="176"/>
      <c r="K2446" s="176"/>
      <c r="L2446" s="176"/>
      <c r="M2446" s="176"/>
      <c r="N2446" s="176"/>
      <c r="O2446" s="176"/>
      <c r="P2446" s="176"/>
      <c r="Q2446" s="176"/>
      <c r="R2446" s="176"/>
      <c r="S2446" s="176"/>
      <c r="T2446" s="176"/>
      <c r="U2446" s="176"/>
      <c r="V2446" s="176"/>
      <c r="W2446" s="176"/>
      <c r="X2446" s="176"/>
      <c r="Y2446" s="176"/>
    </row>
    <row r="2447" spans="1:25">
      <c r="A2447" s="91"/>
      <c r="B2447" s="176"/>
      <c r="C2447" s="176"/>
      <c r="D2447" s="176"/>
      <c r="E2447" s="176"/>
      <c r="F2447" s="176"/>
      <c r="G2447" s="176"/>
      <c r="H2447" s="176"/>
      <c r="I2447" s="176"/>
      <c r="J2447" s="176"/>
      <c r="K2447" s="176"/>
      <c r="L2447" s="176"/>
      <c r="M2447" s="176"/>
      <c r="N2447" s="176"/>
      <c r="O2447" s="176"/>
      <c r="P2447" s="176"/>
      <c r="Q2447" s="176"/>
      <c r="R2447" s="176"/>
      <c r="S2447" s="176"/>
      <c r="T2447" s="176"/>
      <c r="U2447" s="176"/>
      <c r="V2447" s="176"/>
      <c r="W2447" s="176"/>
      <c r="X2447" s="176"/>
      <c r="Y2447" s="176"/>
    </row>
    <row r="2448" spans="1:25">
      <c r="A2448" s="91"/>
      <c r="B2448" s="176"/>
      <c r="C2448" s="176"/>
      <c r="D2448" s="176"/>
      <c r="E2448" s="176"/>
      <c r="F2448" s="176"/>
      <c r="G2448" s="176"/>
      <c r="H2448" s="176"/>
      <c r="I2448" s="176"/>
      <c r="J2448" s="176"/>
      <c r="K2448" s="176"/>
      <c r="L2448" s="176"/>
      <c r="M2448" s="176"/>
      <c r="N2448" s="176"/>
      <c r="O2448" s="176"/>
      <c r="P2448" s="176"/>
      <c r="Q2448" s="176"/>
      <c r="R2448" s="176"/>
      <c r="S2448" s="176"/>
      <c r="T2448" s="176"/>
      <c r="U2448" s="176"/>
      <c r="V2448" s="176"/>
      <c r="W2448" s="176"/>
      <c r="X2448" s="176"/>
      <c r="Y2448" s="176"/>
    </row>
    <row r="2449" spans="1:25">
      <c r="A2449" s="91"/>
      <c r="B2449" s="176"/>
      <c r="C2449" s="176"/>
      <c r="D2449" s="176"/>
      <c r="E2449" s="176"/>
      <c r="F2449" s="176"/>
      <c r="G2449" s="176"/>
      <c r="H2449" s="176"/>
      <c r="I2449" s="176"/>
      <c r="J2449" s="176"/>
      <c r="K2449" s="176"/>
      <c r="L2449" s="176"/>
      <c r="M2449" s="176"/>
      <c r="N2449" s="176"/>
      <c r="O2449" s="176"/>
      <c r="P2449" s="176"/>
      <c r="Q2449" s="176"/>
      <c r="R2449" s="176"/>
      <c r="S2449" s="176"/>
      <c r="T2449" s="176"/>
      <c r="U2449" s="176"/>
      <c r="V2449" s="176"/>
      <c r="W2449" s="176"/>
      <c r="X2449" s="176"/>
      <c r="Y2449" s="176"/>
    </row>
    <row r="2450" spans="1:25">
      <c r="A2450" s="91"/>
      <c r="B2450" s="176"/>
      <c r="C2450" s="176"/>
      <c r="D2450" s="176"/>
      <c r="E2450" s="176"/>
      <c r="F2450" s="176"/>
      <c r="G2450" s="176"/>
      <c r="H2450" s="176"/>
      <c r="I2450" s="176"/>
      <c r="J2450" s="176"/>
      <c r="K2450" s="176"/>
      <c r="L2450" s="176"/>
      <c r="M2450" s="176"/>
      <c r="N2450" s="176"/>
      <c r="O2450" s="176"/>
      <c r="P2450" s="176"/>
      <c r="Q2450" s="176"/>
      <c r="R2450" s="176"/>
      <c r="S2450" s="176"/>
      <c r="T2450" s="176"/>
      <c r="U2450" s="176"/>
      <c r="V2450" s="176"/>
      <c r="W2450" s="176"/>
      <c r="X2450" s="176"/>
      <c r="Y2450" s="176"/>
    </row>
    <row r="2451" spans="1:25">
      <c r="A2451" s="91"/>
      <c r="B2451" s="176"/>
      <c r="C2451" s="176"/>
      <c r="D2451" s="176"/>
      <c r="E2451" s="176"/>
      <c r="F2451" s="176"/>
      <c r="G2451" s="176"/>
      <c r="H2451" s="176"/>
      <c r="I2451" s="176"/>
      <c r="J2451" s="176"/>
      <c r="K2451" s="176"/>
      <c r="L2451" s="176"/>
      <c r="M2451" s="176"/>
      <c r="N2451" s="176"/>
      <c r="O2451" s="176"/>
      <c r="P2451" s="176"/>
      <c r="Q2451" s="176"/>
      <c r="R2451" s="176"/>
      <c r="S2451" s="176"/>
      <c r="T2451" s="176"/>
      <c r="U2451" s="176"/>
      <c r="V2451" s="176"/>
      <c r="W2451" s="176"/>
      <c r="X2451" s="176"/>
      <c r="Y2451" s="176"/>
    </row>
    <row r="2452" spans="1:25">
      <c r="A2452" s="91"/>
      <c r="B2452" s="176"/>
      <c r="C2452" s="176"/>
      <c r="D2452" s="176"/>
      <c r="E2452" s="176"/>
      <c r="F2452" s="176"/>
      <c r="G2452" s="176"/>
      <c r="H2452" s="176"/>
      <c r="I2452" s="176"/>
      <c r="J2452" s="176"/>
      <c r="K2452" s="176"/>
      <c r="L2452" s="176"/>
      <c r="M2452" s="176"/>
      <c r="N2452" s="176"/>
      <c r="O2452" s="176"/>
      <c r="P2452" s="176"/>
      <c r="Q2452" s="176"/>
      <c r="R2452" s="176"/>
      <c r="S2452" s="176"/>
      <c r="T2452" s="176"/>
      <c r="U2452" s="176"/>
      <c r="V2452" s="176"/>
      <c r="W2452" s="176"/>
      <c r="X2452" s="176"/>
      <c r="Y2452" s="176"/>
    </row>
    <row r="2453" spans="1:25">
      <c r="A2453" s="91"/>
      <c r="B2453" s="176"/>
      <c r="C2453" s="176"/>
      <c r="D2453" s="176"/>
      <c r="E2453" s="176"/>
      <c r="F2453" s="176"/>
      <c r="G2453" s="176"/>
      <c r="H2453" s="176"/>
      <c r="I2453" s="176"/>
      <c r="J2453" s="176"/>
      <c r="K2453" s="176"/>
      <c r="L2453" s="176"/>
      <c r="M2453" s="176"/>
      <c r="N2453" s="176"/>
      <c r="O2453" s="176"/>
      <c r="P2453" s="176"/>
      <c r="Q2453" s="176"/>
      <c r="R2453" s="176"/>
      <c r="S2453" s="176"/>
      <c r="T2453" s="176"/>
      <c r="U2453" s="176"/>
      <c r="V2453" s="176"/>
      <c r="W2453" s="176"/>
      <c r="X2453" s="176"/>
      <c r="Y2453" s="176"/>
    </row>
    <row r="2454" spans="1:25">
      <c r="A2454" s="91"/>
      <c r="B2454" s="176"/>
      <c r="C2454" s="176"/>
      <c r="D2454" s="176"/>
      <c r="E2454" s="176"/>
      <c r="F2454" s="176"/>
      <c r="G2454" s="176"/>
      <c r="H2454" s="176"/>
      <c r="I2454" s="176"/>
      <c r="J2454" s="176"/>
      <c r="K2454" s="176"/>
      <c r="L2454" s="176"/>
      <c r="M2454" s="176"/>
      <c r="N2454" s="176"/>
      <c r="O2454" s="176"/>
      <c r="P2454" s="176"/>
      <c r="Q2454" s="176"/>
      <c r="R2454" s="176"/>
      <c r="S2454" s="176"/>
      <c r="T2454" s="176"/>
      <c r="U2454" s="176"/>
      <c r="V2454" s="176"/>
      <c r="W2454" s="176"/>
      <c r="X2454" s="176"/>
      <c r="Y2454" s="176"/>
    </row>
    <row r="2455" spans="1:25">
      <c r="A2455" s="91"/>
      <c r="B2455" s="176"/>
      <c r="C2455" s="176"/>
      <c r="D2455" s="176"/>
      <c r="E2455" s="176"/>
      <c r="F2455" s="176"/>
      <c r="G2455" s="176"/>
      <c r="H2455" s="176"/>
      <c r="I2455" s="176"/>
      <c r="J2455" s="176"/>
      <c r="K2455" s="176"/>
      <c r="L2455" s="176"/>
      <c r="M2455" s="176"/>
      <c r="N2455" s="176"/>
      <c r="O2455" s="176"/>
      <c r="P2455" s="176"/>
      <c r="Q2455" s="176"/>
      <c r="R2455" s="176"/>
      <c r="S2455" s="176"/>
      <c r="T2455" s="176"/>
      <c r="U2455" s="176"/>
      <c r="V2455" s="176"/>
      <c r="W2455" s="176"/>
      <c r="X2455" s="176"/>
      <c r="Y2455" s="176"/>
    </row>
    <row r="2456" spans="1:25">
      <c r="A2456" s="91"/>
      <c r="B2456" s="176"/>
      <c r="C2456" s="176"/>
      <c r="D2456" s="176"/>
      <c r="E2456" s="176"/>
      <c r="F2456" s="176"/>
      <c r="G2456" s="176"/>
      <c r="H2456" s="176"/>
      <c r="I2456" s="176"/>
      <c r="J2456" s="176"/>
      <c r="K2456" s="176"/>
      <c r="L2456" s="176"/>
      <c r="M2456" s="176"/>
      <c r="N2456" s="176"/>
      <c r="O2456" s="176"/>
      <c r="P2456" s="176"/>
      <c r="Q2456" s="176"/>
      <c r="R2456" s="176"/>
      <c r="S2456" s="176"/>
      <c r="T2456" s="176"/>
      <c r="U2456" s="176"/>
      <c r="V2456" s="176"/>
      <c r="W2456" s="176"/>
      <c r="X2456" s="176"/>
      <c r="Y2456" s="176"/>
    </row>
    <row r="2457" spans="1:25">
      <c r="A2457" s="91"/>
      <c r="B2457" s="176"/>
      <c r="C2457" s="176"/>
      <c r="D2457" s="176"/>
      <c r="E2457" s="176"/>
      <c r="F2457" s="176"/>
      <c r="G2457" s="176"/>
      <c r="H2457" s="176"/>
      <c r="I2457" s="176"/>
      <c r="J2457" s="176"/>
      <c r="K2457" s="176"/>
      <c r="L2457" s="176"/>
      <c r="M2457" s="176"/>
      <c r="N2457" s="176"/>
      <c r="O2457" s="176"/>
      <c r="P2457" s="176"/>
      <c r="Q2457" s="176"/>
      <c r="R2457" s="176"/>
      <c r="S2457" s="176"/>
      <c r="T2457" s="176"/>
      <c r="U2457" s="176"/>
      <c r="V2457" s="176"/>
      <c r="W2457" s="176"/>
      <c r="X2457" s="176"/>
      <c r="Y2457" s="176"/>
    </row>
    <row r="2458" spans="1:25">
      <c r="A2458" s="91"/>
      <c r="B2458" s="176"/>
      <c r="C2458" s="176"/>
      <c r="D2458" s="176"/>
      <c r="E2458" s="176"/>
      <c r="F2458" s="176"/>
      <c r="G2458" s="176"/>
      <c r="H2458" s="176"/>
      <c r="I2458" s="176"/>
      <c r="J2458" s="176"/>
      <c r="K2458" s="176"/>
      <c r="L2458" s="176"/>
      <c r="M2458" s="176"/>
      <c r="N2458" s="176"/>
      <c r="O2458" s="176"/>
      <c r="P2458" s="176"/>
      <c r="Q2458" s="176"/>
      <c r="R2458" s="176"/>
      <c r="S2458" s="176"/>
      <c r="T2458" s="176"/>
      <c r="U2458" s="176"/>
      <c r="V2458" s="176"/>
      <c r="W2458" s="176"/>
      <c r="X2458" s="176"/>
      <c r="Y2458" s="176"/>
    </row>
    <row r="2459" spans="1:25">
      <c r="A2459" s="91"/>
      <c r="B2459" s="176"/>
      <c r="C2459" s="176"/>
      <c r="D2459" s="176"/>
      <c r="E2459" s="176"/>
      <c r="F2459" s="176"/>
      <c r="G2459" s="176"/>
      <c r="H2459" s="176"/>
      <c r="I2459" s="176"/>
      <c r="J2459" s="176"/>
      <c r="K2459" s="176"/>
      <c r="L2459" s="176"/>
      <c r="M2459" s="176"/>
      <c r="N2459" s="176"/>
      <c r="O2459" s="176"/>
      <c r="P2459" s="176"/>
      <c r="Q2459" s="176"/>
      <c r="R2459" s="176"/>
      <c r="S2459" s="176"/>
      <c r="T2459" s="176"/>
      <c r="U2459" s="176"/>
      <c r="V2459" s="176"/>
      <c r="W2459" s="176"/>
      <c r="X2459" s="176"/>
      <c r="Y2459" s="176"/>
    </row>
    <row r="2460" spans="1:25">
      <c r="A2460" s="91"/>
      <c r="B2460" s="176"/>
      <c r="C2460" s="176"/>
      <c r="D2460" s="176"/>
      <c r="E2460" s="176"/>
      <c r="F2460" s="176"/>
      <c r="G2460" s="176"/>
      <c r="H2460" s="176"/>
      <c r="I2460" s="176"/>
      <c r="J2460" s="176"/>
      <c r="K2460" s="176"/>
      <c r="L2460" s="176"/>
      <c r="M2460" s="176"/>
      <c r="N2460" s="176"/>
      <c r="O2460" s="176"/>
      <c r="P2460" s="176"/>
      <c r="Q2460" s="176"/>
      <c r="R2460" s="176"/>
      <c r="S2460" s="176"/>
      <c r="T2460" s="176"/>
      <c r="U2460" s="176"/>
      <c r="V2460" s="176"/>
      <c r="W2460" s="176"/>
      <c r="X2460" s="176"/>
      <c r="Y2460" s="176"/>
    </row>
    <row r="2461" spans="1:25">
      <c r="A2461" s="91"/>
      <c r="B2461" s="176"/>
      <c r="C2461" s="176"/>
      <c r="D2461" s="176"/>
      <c r="E2461" s="176"/>
      <c r="F2461" s="176"/>
      <c r="G2461" s="176"/>
      <c r="H2461" s="176"/>
      <c r="I2461" s="176"/>
      <c r="J2461" s="176"/>
      <c r="K2461" s="176"/>
      <c r="L2461" s="176"/>
      <c r="M2461" s="176"/>
      <c r="N2461" s="176"/>
      <c r="O2461" s="176"/>
      <c r="P2461" s="176"/>
      <c r="Q2461" s="176"/>
      <c r="R2461" s="176"/>
      <c r="S2461" s="176"/>
      <c r="T2461" s="176"/>
      <c r="U2461" s="176"/>
      <c r="V2461" s="176"/>
      <c r="W2461" s="176"/>
      <c r="X2461" s="176"/>
      <c r="Y2461" s="176"/>
    </row>
    <row r="2462" spans="1:25">
      <c r="A2462" s="91"/>
      <c r="B2462" s="176"/>
      <c r="C2462" s="176"/>
      <c r="D2462" s="176"/>
      <c r="E2462" s="176"/>
      <c r="F2462" s="176"/>
      <c r="G2462" s="176"/>
      <c r="H2462" s="176"/>
      <c r="I2462" s="176"/>
      <c r="J2462" s="176"/>
      <c r="K2462" s="176"/>
      <c r="L2462" s="176"/>
      <c r="M2462" s="176"/>
      <c r="N2462" s="176"/>
      <c r="O2462" s="176"/>
      <c r="P2462" s="176"/>
      <c r="Q2462" s="176"/>
      <c r="R2462" s="176"/>
      <c r="S2462" s="176"/>
      <c r="T2462" s="176"/>
      <c r="U2462" s="176"/>
      <c r="V2462" s="176"/>
      <c r="W2462" s="176"/>
      <c r="X2462" s="176"/>
      <c r="Y2462" s="176"/>
    </row>
    <row r="2463" spans="1:25">
      <c r="A2463" s="91"/>
      <c r="B2463" s="176"/>
      <c r="C2463" s="176"/>
      <c r="D2463" s="176"/>
      <c r="E2463" s="176"/>
      <c r="F2463" s="176"/>
      <c r="G2463" s="176"/>
      <c r="H2463" s="176"/>
      <c r="I2463" s="176"/>
      <c r="J2463" s="176"/>
      <c r="K2463" s="176"/>
      <c r="L2463" s="176"/>
      <c r="M2463" s="176"/>
      <c r="N2463" s="176"/>
      <c r="O2463" s="176"/>
      <c r="P2463" s="176"/>
      <c r="Q2463" s="176"/>
      <c r="R2463" s="176"/>
      <c r="S2463" s="176"/>
      <c r="T2463" s="176"/>
      <c r="U2463" s="176"/>
      <c r="V2463" s="176"/>
      <c r="W2463" s="176"/>
      <c r="X2463" s="176"/>
      <c r="Y2463" s="176"/>
    </row>
    <row r="2464" spans="1:25">
      <c r="A2464" s="91"/>
      <c r="B2464" s="176"/>
      <c r="C2464" s="176"/>
      <c r="D2464" s="176"/>
      <c r="E2464" s="176"/>
      <c r="F2464" s="176"/>
      <c r="G2464" s="176"/>
      <c r="H2464" s="176"/>
      <c r="I2464" s="176"/>
      <c r="J2464" s="176"/>
      <c r="K2464" s="176"/>
      <c r="L2464" s="176"/>
      <c r="M2464" s="176"/>
      <c r="N2464" s="176"/>
      <c r="O2464" s="176"/>
      <c r="P2464" s="176"/>
      <c r="Q2464" s="176"/>
      <c r="R2464" s="176"/>
      <c r="S2464" s="176"/>
      <c r="T2464" s="176"/>
      <c r="U2464" s="176"/>
      <c r="V2464" s="176"/>
      <c r="W2464" s="176"/>
      <c r="X2464" s="176"/>
      <c r="Y2464" s="176"/>
    </row>
    <row r="2465" spans="1:25">
      <c r="A2465" s="91"/>
      <c r="B2465" s="176"/>
      <c r="C2465" s="176"/>
      <c r="D2465" s="176"/>
      <c r="E2465" s="176"/>
      <c r="F2465" s="176"/>
      <c r="G2465" s="176"/>
      <c r="H2465" s="176"/>
      <c r="I2465" s="176"/>
      <c r="J2465" s="176"/>
      <c r="K2465" s="176"/>
      <c r="L2465" s="176"/>
      <c r="M2465" s="176"/>
      <c r="N2465" s="176"/>
      <c r="O2465" s="176"/>
      <c r="P2465" s="176"/>
      <c r="Q2465" s="176"/>
      <c r="R2465" s="176"/>
      <c r="S2465" s="176"/>
      <c r="T2465" s="176"/>
      <c r="U2465" s="176"/>
      <c r="V2465" s="176"/>
      <c r="W2465" s="176"/>
      <c r="X2465" s="176"/>
      <c r="Y2465" s="176"/>
    </row>
    <row r="2466" spans="1:25">
      <c r="A2466" s="91"/>
      <c r="B2466" s="176"/>
      <c r="C2466" s="176"/>
      <c r="D2466" s="176"/>
      <c r="E2466" s="176"/>
      <c r="F2466" s="176"/>
      <c r="G2466" s="176"/>
      <c r="H2466" s="176"/>
      <c r="I2466" s="176"/>
      <c r="J2466" s="176"/>
      <c r="K2466" s="176"/>
      <c r="L2466" s="176"/>
      <c r="M2466" s="176"/>
      <c r="N2466" s="176"/>
      <c r="O2466" s="176"/>
      <c r="P2466" s="176"/>
      <c r="Q2466" s="176"/>
      <c r="R2466" s="176"/>
      <c r="S2466" s="176"/>
      <c r="T2466" s="176"/>
      <c r="U2466" s="176"/>
      <c r="V2466" s="176"/>
      <c r="W2466" s="176"/>
      <c r="X2466" s="176"/>
      <c r="Y2466" s="176"/>
    </row>
    <row r="2467" spans="1:25">
      <c r="A2467" s="91"/>
      <c r="B2467" s="176"/>
      <c r="C2467" s="176"/>
      <c r="D2467" s="176"/>
      <c r="E2467" s="176"/>
      <c r="F2467" s="176"/>
      <c r="G2467" s="176"/>
      <c r="H2467" s="176"/>
      <c r="I2467" s="176"/>
      <c r="J2467" s="176"/>
      <c r="K2467" s="176"/>
      <c r="L2467" s="176"/>
      <c r="M2467" s="176"/>
      <c r="N2467" s="176"/>
      <c r="O2467" s="176"/>
      <c r="P2467" s="176"/>
      <c r="Q2467" s="176"/>
      <c r="R2467" s="176"/>
      <c r="S2467" s="176"/>
      <c r="T2467" s="176"/>
      <c r="U2467" s="176"/>
      <c r="V2467" s="176"/>
      <c r="W2467" s="176"/>
      <c r="X2467" s="176"/>
      <c r="Y2467" s="176"/>
    </row>
    <row r="2468" spans="1:25">
      <c r="A2468" s="91"/>
      <c r="B2468" s="176"/>
      <c r="C2468" s="176"/>
      <c r="D2468" s="176"/>
      <c r="E2468" s="176"/>
      <c r="F2468" s="176"/>
      <c r="G2468" s="176"/>
      <c r="H2468" s="176"/>
      <c r="I2468" s="176"/>
      <c r="J2468" s="176"/>
      <c r="K2468" s="176"/>
      <c r="L2468" s="176"/>
      <c r="M2468" s="176"/>
      <c r="N2468" s="176"/>
      <c r="O2468" s="176"/>
      <c r="P2468" s="176"/>
      <c r="Q2468" s="176"/>
      <c r="R2468" s="176"/>
      <c r="S2468" s="176"/>
      <c r="T2468" s="176"/>
      <c r="U2468" s="176"/>
      <c r="V2468" s="176"/>
      <c r="W2468" s="176"/>
      <c r="X2468" s="176"/>
      <c r="Y2468" s="176"/>
    </row>
    <row r="2469" spans="1:25">
      <c r="A2469" s="91"/>
      <c r="B2469" s="176"/>
      <c r="C2469" s="176"/>
      <c r="D2469" s="176"/>
      <c r="E2469" s="176"/>
      <c r="F2469" s="176"/>
      <c r="G2469" s="176"/>
      <c r="H2469" s="176"/>
      <c r="I2469" s="176"/>
      <c r="J2469" s="176"/>
      <c r="K2469" s="176"/>
      <c r="L2469" s="176"/>
      <c r="M2469" s="176"/>
      <c r="N2469" s="176"/>
      <c r="O2469" s="176"/>
      <c r="P2469" s="176"/>
      <c r="Q2469" s="176"/>
      <c r="R2469" s="176"/>
      <c r="S2469" s="176"/>
      <c r="T2469" s="176"/>
      <c r="U2469" s="176"/>
      <c r="V2469" s="176"/>
      <c r="W2469" s="176"/>
      <c r="X2469" s="176"/>
      <c r="Y2469" s="176"/>
    </row>
    <row r="2470" spans="1:25">
      <c r="A2470" s="91"/>
      <c r="B2470" s="176"/>
      <c r="C2470" s="176"/>
      <c r="D2470" s="176"/>
      <c r="E2470" s="176"/>
      <c r="F2470" s="176"/>
      <c r="G2470" s="176"/>
      <c r="H2470" s="176"/>
      <c r="I2470" s="176"/>
      <c r="J2470" s="176"/>
      <c r="K2470" s="176"/>
      <c r="L2470" s="176"/>
      <c r="M2470" s="176"/>
      <c r="N2470" s="176"/>
      <c r="O2470" s="176"/>
      <c r="P2470" s="176"/>
      <c r="Q2470" s="176"/>
      <c r="R2470" s="176"/>
      <c r="S2470" s="176"/>
      <c r="T2470" s="176"/>
      <c r="U2470" s="176"/>
      <c r="V2470" s="176"/>
      <c r="W2470" s="176"/>
      <c r="X2470" s="176"/>
      <c r="Y2470" s="176"/>
    </row>
    <row r="2471" spans="1:25">
      <c r="A2471" s="91"/>
      <c r="B2471" s="176"/>
      <c r="C2471" s="176"/>
      <c r="D2471" s="176"/>
      <c r="E2471" s="176"/>
      <c r="F2471" s="176"/>
      <c r="G2471" s="176"/>
      <c r="H2471" s="176"/>
      <c r="I2471" s="176"/>
      <c r="J2471" s="176"/>
      <c r="K2471" s="176"/>
      <c r="L2471" s="176"/>
      <c r="M2471" s="176"/>
      <c r="N2471" s="176"/>
      <c r="O2471" s="176"/>
      <c r="P2471" s="176"/>
      <c r="Q2471" s="176"/>
      <c r="R2471" s="176"/>
      <c r="S2471" s="176"/>
      <c r="T2471" s="176"/>
      <c r="U2471" s="176"/>
      <c r="V2471" s="176"/>
      <c r="W2471" s="176"/>
      <c r="X2471" s="176"/>
      <c r="Y2471" s="176"/>
    </row>
    <row r="2472" spans="1:25">
      <c r="A2472" s="91"/>
      <c r="B2472" s="176"/>
      <c r="C2472" s="176"/>
      <c r="D2472" s="176"/>
      <c r="E2472" s="176"/>
      <c r="F2472" s="176"/>
      <c r="G2472" s="176"/>
      <c r="H2472" s="176"/>
      <c r="I2472" s="176"/>
      <c r="J2472" s="176"/>
      <c r="K2472" s="176"/>
      <c r="L2472" s="176"/>
      <c r="M2472" s="176"/>
      <c r="N2472" s="176"/>
      <c r="O2472" s="176"/>
      <c r="P2472" s="176"/>
      <c r="Q2472" s="176"/>
      <c r="R2472" s="176"/>
      <c r="S2472" s="176"/>
      <c r="T2472" s="176"/>
      <c r="U2472" s="176"/>
      <c r="V2472" s="176"/>
      <c r="W2472" s="176"/>
      <c r="X2472" s="176"/>
      <c r="Y2472" s="176"/>
    </row>
    <row r="2473" spans="1:25">
      <c r="A2473" s="91"/>
      <c r="B2473" s="176"/>
      <c r="C2473" s="176"/>
      <c r="D2473" s="176"/>
      <c r="E2473" s="176"/>
      <c r="F2473" s="176"/>
      <c r="G2473" s="176"/>
      <c r="H2473" s="176"/>
      <c r="I2473" s="176"/>
      <c r="J2473" s="176"/>
      <c r="K2473" s="176"/>
      <c r="L2473" s="176"/>
      <c r="M2473" s="176"/>
      <c r="N2473" s="176"/>
      <c r="O2473" s="176"/>
      <c r="P2473" s="176"/>
      <c r="Q2473" s="176"/>
      <c r="R2473" s="176"/>
      <c r="S2473" s="176"/>
      <c r="T2473" s="176"/>
      <c r="U2473" s="176"/>
      <c r="V2473" s="176"/>
      <c r="W2473" s="176"/>
      <c r="X2473" s="176"/>
      <c r="Y2473" s="176"/>
    </row>
    <row r="2474" spans="1:25">
      <c r="A2474" s="91"/>
      <c r="B2474" s="176"/>
      <c r="C2474" s="176"/>
      <c r="D2474" s="176"/>
      <c r="E2474" s="176"/>
      <c r="F2474" s="176"/>
      <c r="G2474" s="176"/>
      <c r="H2474" s="176"/>
      <c r="I2474" s="176"/>
      <c r="J2474" s="176"/>
      <c r="K2474" s="176"/>
      <c r="L2474" s="176"/>
      <c r="M2474" s="176"/>
      <c r="N2474" s="176"/>
      <c r="O2474" s="176"/>
      <c r="P2474" s="176"/>
      <c r="Q2474" s="176"/>
      <c r="R2474" s="176"/>
      <c r="S2474" s="176"/>
      <c r="T2474" s="176"/>
      <c r="U2474" s="176"/>
      <c r="V2474" s="176"/>
      <c r="W2474" s="176"/>
      <c r="X2474" s="176"/>
      <c r="Y2474" s="176"/>
    </row>
    <row r="2475" spans="1:25">
      <c r="A2475" s="91"/>
      <c r="B2475" s="176"/>
      <c r="C2475" s="176"/>
      <c r="D2475" s="176"/>
      <c r="E2475" s="176"/>
      <c r="F2475" s="176"/>
      <c r="G2475" s="176"/>
      <c r="H2475" s="176"/>
      <c r="I2475" s="176"/>
      <c r="J2475" s="176"/>
      <c r="K2475" s="176"/>
      <c r="L2475" s="176"/>
      <c r="M2475" s="176"/>
      <c r="N2475" s="176"/>
      <c r="O2475" s="176"/>
      <c r="P2475" s="176"/>
      <c r="Q2475" s="176"/>
      <c r="R2475" s="176"/>
      <c r="S2475" s="176"/>
      <c r="T2475" s="176"/>
      <c r="U2475" s="176"/>
      <c r="V2475" s="176"/>
      <c r="W2475" s="176"/>
      <c r="X2475" s="176"/>
      <c r="Y2475" s="176"/>
    </row>
    <row r="2476" spans="1:25">
      <c r="A2476" s="91"/>
      <c r="B2476" s="176"/>
      <c r="C2476" s="176"/>
      <c r="D2476" s="176"/>
      <c r="E2476" s="176"/>
      <c r="F2476" s="176"/>
      <c r="G2476" s="176"/>
      <c r="H2476" s="176"/>
      <c r="I2476" s="176"/>
      <c r="J2476" s="176"/>
      <c r="K2476" s="176"/>
      <c r="L2476" s="176"/>
      <c r="M2476" s="176"/>
      <c r="N2476" s="176"/>
      <c r="O2476" s="176"/>
      <c r="P2476" s="176"/>
      <c r="Q2476" s="176"/>
      <c r="R2476" s="176"/>
      <c r="S2476" s="176"/>
      <c r="T2476" s="176"/>
      <c r="U2476" s="176"/>
      <c r="V2476" s="176"/>
      <c r="W2476" s="176"/>
      <c r="X2476" s="176"/>
      <c r="Y2476" s="176"/>
    </row>
    <row r="2477" spans="1:25">
      <c r="A2477" s="91"/>
      <c r="B2477" s="176"/>
      <c r="C2477" s="176"/>
      <c r="D2477" s="176"/>
      <c r="E2477" s="176"/>
      <c r="F2477" s="176"/>
      <c r="G2477" s="176"/>
      <c r="H2477" s="176"/>
      <c r="I2477" s="176"/>
      <c r="J2477" s="176"/>
      <c r="K2477" s="176"/>
      <c r="L2477" s="176"/>
      <c r="M2477" s="176"/>
      <c r="N2477" s="176"/>
      <c r="O2477" s="176"/>
      <c r="P2477" s="176"/>
      <c r="Q2477" s="176"/>
      <c r="R2477" s="176"/>
      <c r="S2477" s="176"/>
      <c r="T2477" s="176"/>
      <c r="U2477" s="176"/>
      <c r="V2477" s="176"/>
      <c r="W2477" s="176"/>
      <c r="X2477" s="176"/>
      <c r="Y2477" s="176"/>
    </row>
    <row r="2478" spans="1:25">
      <c r="A2478" s="91"/>
      <c r="B2478" s="176"/>
      <c r="C2478" s="176"/>
      <c r="D2478" s="176"/>
      <c r="E2478" s="176"/>
      <c r="F2478" s="176"/>
      <c r="G2478" s="176"/>
      <c r="H2478" s="176"/>
      <c r="I2478" s="176"/>
      <c r="J2478" s="176"/>
      <c r="K2478" s="176"/>
      <c r="L2478" s="176"/>
      <c r="M2478" s="176"/>
      <c r="N2478" s="176"/>
      <c r="O2478" s="176"/>
      <c r="P2478" s="176"/>
      <c r="Q2478" s="176"/>
      <c r="R2478" s="176"/>
      <c r="S2478" s="176"/>
      <c r="T2478" s="176"/>
      <c r="U2478" s="176"/>
      <c r="V2478" s="176"/>
      <c r="W2478" s="176"/>
      <c r="X2478" s="176"/>
      <c r="Y2478" s="176"/>
    </row>
    <row r="2479" spans="1:25">
      <c r="A2479" s="91"/>
      <c r="B2479" s="176"/>
      <c r="C2479" s="176"/>
      <c r="D2479" s="176"/>
      <c r="E2479" s="176"/>
      <c r="F2479" s="176"/>
      <c r="G2479" s="176"/>
      <c r="H2479" s="176"/>
      <c r="I2479" s="176"/>
      <c r="J2479" s="176"/>
      <c r="K2479" s="176"/>
      <c r="L2479" s="176"/>
      <c r="M2479" s="176"/>
      <c r="N2479" s="176"/>
      <c r="O2479" s="176"/>
      <c r="P2479" s="176"/>
      <c r="Q2479" s="176"/>
      <c r="R2479" s="176"/>
      <c r="S2479" s="176"/>
      <c r="T2479" s="176"/>
      <c r="U2479" s="176"/>
      <c r="V2479" s="176"/>
      <c r="W2479" s="176"/>
      <c r="X2479" s="176"/>
      <c r="Y2479" s="176"/>
    </row>
    <row r="2480" spans="1:25">
      <c r="A2480" s="91"/>
      <c r="B2480" s="176"/>
      <c r="C2480" s="176"/>
      <c r="D2480" s="176"/>
      <c r="E2480" s="176"/>
      <c r="F2480" s="176"/>
      <c r="G2480" s="176"/>
      <c r="H2480" s="176"/>
      <c r="I2480" s="176"/>
      <c r="J2480" s="176"/>
      <c r="K2480" s="176"/>
      <c r="L2480" s="176"/>
      <c r="M2480" s="176"/>
      <c r="N2480" s="176"/>
      <c r="O2480" s="176"/>
      <c r="P2480" s="176"/>
      <c r="Q2480" s="176"/>
      <c r="R2480" s="176"/>
      <c r="S2480" s="176"/>
      <c r="T2480" s="176"/>
      <c r="U2480" s="176"/>
      <c r="V2480" s="176"/>
      <c r="W2480" s="176"/>
      <c r="X2480" s="176"/>
      <c r="Y2480" s="176"/>
    </row>
    <row r="2481" spans="1:25">
      <c r="A2481" s="91"/>
      <c r="B2481" s="176"/>
      <c r="C2481" s="176"/>
      <c r="D2481" s="176"/>
      <c r="E2481" s="176"/>
      <c r="F2481" s="176"/>
      <c r="G2481" s="176"/>
      <c r="H2481" s="176"/>
      <c r="I2481" s="176"/>
      <c r="J2481" s="176"/>
      <c r="K2481" s="176"/>
      <c r="L2481" s="176"/>
      <c r="M2481" s="176"/>
      <c r="N2481" s="176"/>
      <c r="O2481" s="176"/>
      <c r="P2481" s="176"/>
      <c r="Q2481" s="176"/>
      <c r="R2481" s="176"/>
      <c r="S2481" s="176"/>
      <c r="T2481" s="176"/>
      <c r="U2481" s="176"/>
      <c r="V2481" s="176"/>
      <c r="W2481" s="176"/>
      <c r="X2481" s="176"/>
      <c r="Y2481" s="176"/>
    </row>
    <row r="2482" spans="1:25">
      <c r="A2482" s="91"/>
      <c r="B2482" s="176"/>
      <c r="C2482" s="176"/>
      <c r="D2482" s="176"/>
      <c r="E2482" s="176"/>
      <c r="F2482" s="176"/>
      <c r="G2482" s="176"/>
      <c r="H2482" s="176"/>
      <c r="I2482" s="176"/>
      <c r="J2482" s="176"/>
      <c r="K2482" s="176"/>
      <c r="L2482" s="176"/>
      <c r="M2482" s="176"/>
      <c r="N2482" s="176"/>
      <c r="O2482" s="176"/>
      <c r="P2482" s="176"/>
      <c r="Q2482" s="176"/>
      <c r="R2482" s="176"/>
      <c r="S2482" s="176"/>
      <c r="T2482" s="176"/>
      <c r="U2482" s="176"/>
      <c r="V2482" s="176"/>
      <c r="W2482" s="176"/>
      <c r="X2482" s="176"/>
      <c r="Y2482" s="176"/>
    </row>
    <row r="2483" spans="1:25">
      <c r="A2483" s="91"/>
      <c r="B2483" s="176"/>
      <c r="C2483" s="176"/>
      <c r="D2483" s="176"/>
      <c r="E2483" s="176"/>
      <c r="F2483" s="176"/>
      <c r="G2483" s="176"/>
      <c r="H2483" s="176"/>
      <c r="I2483" s="176"/>
      <c r="J2483" s="176"/>
      <c r="K2483" s="176"/>
      <c r="L2483" s="176"/>
      <c r="M2483" s="176"/>
      <c r="N2483" s="176"/>
      <c r="O2483" s="176"/>
      <c r="P2483" s="176"/>
      <c r="Q2483" s="176"/>
      <c r="R2483" s="176"/>
      <c r="S2483" s="176"/>
      <c r="T2483" s="176"/>
      <c r="U2483" s="176"/>
      <c r="V2483" s="176"/>
      <c r="W2483" s="176"/>
      <c r="X2483" s="176"/>
      <c r="Y2483" s="176"/>
    </row>
    <row r="2484" spans="1:25">
      <c r="A2484" s="91"/>
      <c r="B2484" s="176"/>
      <c r="C2484" s="176"/>
      <c r="D2484" s="176"/>
      <c r="E2484" s="176"/>
      <c r="F2484" s="176"/>
      <c r="G2484" s="176"/>
      <c r="H2484" s="176"/>
      <c r="I2484" s="176"/>
      <c r="J2484" s="176"/>
      <c r="K2484" s="176"/>
      <c r="L2484" s="176"/>
      <c r="M2484" s="176"/>
      <c r="N2484" s="176"/>
      <c r="O2484" s="176"/>
      <c r="P2484" s="176"/>
      <c r="Q2484" s="176"/>
      <c r="R2484" s="176"/>
      <c r="S2484" s="176"/>
      <c r="T2484" s="176"/>
      <c r="U2484" s="176"/>
      <c r="V2484" s="176"/>
      <c r="W2484" s="176"/>
      <c r="X2484" s="176"/>
      <c r="Y2484" s="176"/>
    </row>
    <row r="2485" spans="1:25">
      <c r="A2485" s="91"/>
      <c r="B2485" s="176"/>
      <c r="C2485" s="176"/>
      <c r="D2485" s="176"/>
      <c r="E2485" s="176"/>
      <c r="F2485" s="176"/>
      <c r="G2485" s="176"/>
      <c r="H2485" s="176"/>
      <c r="I2485" s="176"/>
      <c r="J2485" s="176"/>
      <c r="K2485" s="176"/>
      <c r="L2485" s="176"/>
      <c r="M2485" s="176"/>
      <c r="N2485" s="176"/>
      <c r="O2485" s="176"/>
      <c r="P2485" s="176"/>
      <c r="Q2485" s="176"/>
      <c r="R2485" s="176"/>
      <c r="S2485" s="176"/>
      <c r="T2485" s="176"/>
      <c r="U2485" s="176"/>
      <c r="V2485" s="176"/>
      <c r="W2485" s="176"/>
      <c r="X2485" s="176"/>
      <c r="Y2485" s="176"/>
    </row>
    <row r="2486" spans="1:25">
      <c r="A2486" s="91"/>
      <c r="B2486" s="176"/>
      <c r="C2486" s="176"/>
      <c r="D2486" s="176"/>
      <c r="E2486" s="176"/>
      <c r="F2486" s="176"/>
      <c r="G2486" s="176"/>
      <c r="H2486" s="176"/>
      <c r="I2486" s="176"/>
      <c r="J2486" s="176"/>
      <c r="K2486" s="176"/>
      <c r="L2486" s="176"/>
      <c r="M2486" s="176"/>
      <c r="N2486" s="176"/>
      <c r="O2486" s="176"/>
      <c r="P2486" s="176"/>
      <c r="Q2486" s="176"/>
      <c r="R2486" s="176"/>
      <c r="S2486" s="176"/>
      <c r="T2486" s="176"/>
      <c r="U2486" s="176"/>
      <c r="V2486" s="176"/>
      <c r="W2486" s="176"/>
      <c r="X2486" s="176"/>
      <c r="Y2486" s="176"/>
    </row>
    <row r="2487" spans="1:25">
      <c r="A2487" s="91"/>
      <c r="B2487" s="176"/>
      <c r="C2487" s="176"/>
      <c r="D2487" s="176"/>
      <c r="E2487" s="176"/>
      <c r="F2487" s="176"/>
      <c r="G2487" s="176"/>
      <c r="H2487" s="176"/>
      <c r="I2487" s="176"/>
      <c r="J2487" s="176"/>
      <c r="K2487" s="176"/>
      <c r="L2487" s="176"/>
      <c r="M2487" s="176"/>
      <c r="N2487" s="176"/>
      <c r="O2487" s="176"/>
      <c r="P2487" s="176"/>
      <c r="Q2487" s="176"/>
      <c r="R2487" s="176"/>
      <c r="S2487" s="176"/>
      <c r="T2487" s="176"/>
      <c r="U2487" s="176"/>
      <c r="V2487" s="176"/>
      <c r="W2487" s="176"/>
      <c r="X2487" s="176"/>
      <c r="Y2487" s="176"/>
    </row>
    <row r="2488" spans="1:25">
      <c r="A2488" s="91"/>
      <c r="B2488" s="176"/>
      <c r="C2488" s="176"/>
      <c r="D2488" s="176"/>
      <c r="E2488" s="176"/>
      <c r="F2488" s="176"/>
      <c r="G2488" s="176"/>
      <c r="H2488" s="176"/>
      <c r="I2488" s="176"/>
      <c r="J2488" s="176"/>
      <c r="K2488" s="176"/>
      <c r="L2488" s="176"/>
      <c r="M2488" s="176"/>
      <c r="N2488" s="176"/>
      <c r="O2488" s="176"/>
      <c r="P2488" s="176"/>
      <c r="Q2488" s="176"/>
      <c r="R2488" s="176"/>
      <c r="S2488" s="176"/>
      <c r="T2488" s="176"/>
      <c r="U2488" s="176"/>
      <c r="V2488" s="176"/>
      <c r="W2488" s="176"/>
      <c r="X2488" s="176"/>
      <c r="Y2488" s="176"/>
    </row>
    <row r="2489" spans="1:25">
      <c r="A2489" s="91"/>
      <c r="B2489" s="176"/>
      <c r="C2489" s="176"/>
      <c r="D2489" s="176"/>
      <c r="E2489" s="176"/>
      <c r="F2489" s="176"/>
      <c r="G2489" s="176"/>
      <c r="H2489" s="176"/>
      <c r="I2489" s="176"/>
      <c r="J2489" s="176"/>
      <c r="K2489" s="176"/>
      <c r="L2489" s="176"/>
      <c r="M2489" s="176"/>
      <c r="N2489" s="176"/>
      <c r="O2489" s="176"/>
      <c r="P2489" s="176"/>
      <c r="Q2489" s="176"/>
      <c r="R2489" s="176"/>
      <c r="S2489" s="176"/>
      <c r="T2489" s="176"/>
      <c r="U2489" s="176"/>
      <c r="V2489" s="176"/>
      <c r="W2489" s="176"/>
      <c r="X2489" s="176"/>
      <c r="Y2489" s="176"/>
    </row>
    <row r="2490" spans="1:25">
      <c r="A2490" s="91"/>
      <c r="B2490" s="176"/>
      <c r="C2490" s="176"/>
      <c r="D2490" s="176"/>
      <c r="E2490" s="176"/>
      <c r="F2490" s="176"/>
      <c r="G2490" s="176"/>
      <c r="H2490" s="176"/>
      <c r="I2490" s="176"/>
      <c r="J2490" s="176"/>
      <c r="K2490" s="176"/>
      <c r="L2490" s="176"/>
      <c r="M2490" s="176"/>
      <c r="N2490" s="176"/>
      <c r="O2490" s="176"/>
      <c r="P2490" s="176"/>
      <c r="Q2490" s="176"/>
      <c r="R2490" s="176"/>
      <c r="S2490" s="176"/>
      <c r="T2490" s="176"/>
      <c r="U2490" s="176"/>
      <c r="V2490" s="176"/>
      <c r="W2490" s="176"/>
      <c r="X2490" s="176"/>
      <c r="Y2490" s="176"/>
    </row>
    <row r="2491" spans="1:25">
      <c r="A2491" s="91"/>
      <c r="B2491" s="176"/>
      <c r="C2491" s="176"/>
      <c r="D2491" s="176"/>
      <c r="E2491" s="176"/>
      <c r="F2491" s="176"/>
      <c r="G2491" s="176"/>
      <c r="H2491" s="176"/>
      <c r="I2491" s="176"/>
      <c r="J2491" s="176"/>
      <c r="K2491" s="176"/>
      <c r="L2491" s="176"/>
      <c r="M2491" s="176"/>
      <c r="N2491" s="176"/>
      <c r="O2491" s="176"/>
      <c r="P2491" s="176"/>
      <c r="Q2491" s="176"/>
      <c r="R2491" s="176"/>
      <c r="S2491" s="176"/>
      <c r="T2491" s="176"/>
      <c r="U2491" s="176"/>
      <c r="V2491" s="176"/>
      <c r="W2491" s="176"/>
      <c r="X2491" s="176"/>
      <c r="Y2491" s="176"/>
    </row>
    <row r="2492" spans="1:25">
      <c r="A2492" s="91"/>
      <c r="B2492" s="176"/>
      <c r="C2492" s="176"/>
      <c r="D2492" s="176"/>
      <c r="E2492" s="176"/>
      <c r="F2492" s="176"/>
      <c r="G2492" s="176"/>
      <c r="H2492" s="176"/>
      <c r="I2492" s="176"/>
      <c r="J2492" s="176"/>
      <c r="K2492" s="176"/>
      <c r="L2492" s="176"/>
      <c r="M2492" s="176"/>
      <c r="N2492" s="176"/>
      <c r="O2492" s="176"/>
      <c r="P2492" s="176"/>
      <c r="Q2492" s="176"/>
      <c r="R2492" s="176"/>
      <c r="S2492" s="176"/>
      <c r="T2492" s="176"/>
      <c r="U2492" s="176"/>
      <c r="V2492" s="176"/>
      <c r="W2492" s="176"/>
      <c r="X2492" s="176"/>
      <c r="Y2492" s="176"/>
    </row>
    <row r="2493" spans="1:25">
      <c r="A2493" s="91"/>
      <c r="B2493" s="176"/>
      <c r="C2493" s="176"/>
      <c r="D2493" s="176"/>
      <c r="E2493" s="176"/>
      <c r="F2493" s="176"/>
      <c r="G2493" s="176"/>
      <c r="H2493" s="176"/>
      <c r="I2493" s="176"/>
      <c r="J2493" s="176"/>
      <c r="K2493" s="176"/>
      <c r="L2493" s="176"/>
      <c r="M2493" s="176"/>
      <c r="N2493" s="176"/>
      <c r="O2493" s="176"/>
      <c r="P2493" s="176"/>
      <c r="Q2493" s="176"/>
      <c r="R2493" s="176"/>
      <c r="S2493" s="176"/>
      <c r="T2493" s="176"/>
      <c r="U2493" s="176"/>
      <c r="V2493" s="176"/>
      <c r="W2493" s="176"/>
      <c r="X2493" s="176"/>
      <c r="Y2493" s="176"/>
    </row>
    <row r="2494" spans="1:25">
      <c r="A2494" s="91"/>
      <c r="B2494" s="176"/>
      <c r="C2494" s="176"/>
      <c r="D2494" s="176"/>
      <c r="E2494" s="176"/>
      <c r="F2494" s="176"/>
      <c r="G2494" s="176"/>
      <c r="H2494" s="176"/>
      <c r="I2494" s="176"/>
      <c r="J2494" s="176"/>
      <c r="K2494" s="176"/>
      <c r="L2494" s="176"/>
      <c r="M2494" s="176"/>
      <c r="N2494" s="176"/>
      <c r="O2494" s="176"/>
      <c r="P2494" s="176"/>
      <c r="Q2494" s="176"/>
      <c r="R2494" s="176"/>
      <c r="S2494" s="176"/>
      <c r="T2494" s="176"/>
      <c r="U2494" s="176"/>
      <c r="V2494" s="176"/>
      <c r="W2494" s="176"/>
      <c r="X2494" s="176"/>
      <c r="Y2494" s="176"/>
    </row>
    <row r="2495" spans="1:25">
      <c r="A2495" s="91"/>
      <c r="B2495" s="176"/>
      <c r="C2495" s="176"/>
      <c r="D2495" s="176"/>
      <c r="E2495" s="176"/>
      <c r="F2495" s="176"/>
      <c r="G2495" s="176"/>
      <c r="H2495" s="176"/>
      <c r="I2495" s="176"/>
      <c r="J2495" s="176"/>
      <c r="K2495" s="176"/>
      <c r="L2495" s="176"/>
      <c r="M2495" s="176"/>
      <c r="N2495" s="176"/>
      <c r="O2495" s="176"/>
      <c r="P2495" s="176"/>
      <c r="Q2495" s="176"/>
      <c r="R2495" s="176"/>
      <c r="S2495" s="176"/>
      <c r="T2495" s="176"/>
      <c r="U2495" s="176"/>
      <c r="V2495" s="176"/>
      <c r="W2495" s="176"/>
      <c r="X2495" s="176"/>
      <c r="Y2495" s="176"/>
    </row>
    <row r="2496" spans="1:25">
      <c r="A2496" s="91"/>
      <c r="B2496" s="176"/>
      <c r="C2496" s="176"/>
      <c r="D2496" s="176"/>
      <c r="E2496" s="176"/>
      <c r="F2496" s="176"/>
      <c r="G2496" s="176"/>
      <c r="H2496" s="176"/>
      <c r="I2496" s="176"/>
      <c r="J2496" s="176"/>
      <c r="K2496" s="176"/>
      <c r="L2496" s="176"/>
      <c r="M2496" s="176"/>
      <c r="N2496" s="176"/>
      <c r="O2496" s="176"/>
      <c r="P2496" s="176"/>
      <c r="Q2496" s="176"/>
      <c r="R2496" s="176"/>
      <c r="S2496" s="176"/>
      <c r="T2496" s="176"/>
      <c r="U2496" s="176"/>
      <c r="V2496" s="176"/>
      <c r="W2496" s="176"/>
      <c r="X2496" s="176"/>
      <c r="Y2496" s="176"/>
    </row>
    <row r="2497" spans="1:25">
      <c r="A2497" s="91"/>
      <c r="B2497" s="176"/>
      <c r="C2497" s="176"/>
      <c r="D2497" s="176"/>
      <c r="E2497" s="176"/>
      <c r="F2497" s="176"/>
      <c r="G2497" s="176"/>
      <c r="H2497" s="176"/>
      <c r="I2497" s="176"/>
      <c r="J2497" s="176"/>
      <c r="K2497" s="176"/>
      <c r="L2497" s="176"/>
      <c r="M2497" s="176"/>
      <c r="N2497" s="176"/>
      <c r="O2497" s="176"/>
      <c r="P2497" s="176"/>
      <c r="Q2497" s="176"/>
      <c r="R2497" s="176"/>
      <c r="S2497" s="176"/>
      <c r="T2497" s="176"/>
      <c r="U2497" s="176"/>
      <c r="V2497" s="176"/>
      <c r="W2497" s="176"/>
      <c r="X2497" s="176"/>
      <c r="Y2497" s="176"/>
    </row>
    <row r="2498" spans="1:25">
      <c r="A2498" s="91"/>
      <c r="B2498" s="176"/>
      <c r="C2498" s="176"/>
      <c r="D2498" s="176"/>
      <c r="E2498" s="176"/>
      <c r="F2498" s="176"/>
      <c r="G2498" s="176"/>
      <c r="H2498" s="176"/>
      <c r="I2498" s="176"/>
      <c r="J2498" s="176"/>
      <c r="K2498" s="176"/>
      <c r="L2498" s="176"/>
      <c r="M2498" s="176"/>
      <c r="N2498" s="176"/>
      <c r="O2498" s="176"/>
      <c r="P2498" s="176"/>
      <c r="Q2498" s="176"/>
      <c r="R2498" s="176"/>
      <c r="S2498" s="176"/>
      <c r="T2498" s="176"/>
      <c r="U2498" s="176"/>
      <c r="V2498" s="176"/>
      <c r="W2498" s="176"/>
      <c r="X2498" s="176"/>
      <c r="Y2498" s="176"/>
    </row>
    <row r="2499" spans="1:25">
      <c r="A2499" s="91"/>
      <c r="B2499" s="176"/>
      <c r="C2499" s="176"/>
      <c r="D2499" s="176"/>
      <c r="E2499" s="176"/>
      <c r="F2499" s="176"/>
      <c r="G2499" s="176"/>
      <c r="H2499" s="176"/>
      <c r="I2499" s="176"/>
      <c r="J2499" s="176"/>
      <c r="K2499" s="176"/>
      <c r="L2499" s="176"/>
      <c r="M2499" s="176"/>
      <c r="N2499" s="176"/>
      <c r="O2499" s="176"/>
      <c r="P2499" s="176"/>
      <c r="Q2499" s="176"/>
      <c r="R2499" s="176"/>
      <c r="S2499" s="176"/>
      <c r="T2499" s="176"/>
      <c r="U2499" s="176"/>
      <c r="V2499" s="176"/>
      <c r="W2499" s="176"/>
      <c r="X2499" s="176"/>
      <c r="Y2499" s="176"/>
    </row>
    <row r="2500" spans="1:25">
      <c r="A2500" s="91"/>
      <c r="B2500" s="176"/>
      <c r="C2500" s="176"/>
      <c r="D2500" s="176"/>
      <c r="E2500" s="176"/>
      <c r="F2500" s="176"/>
      <c r="G2500" s="176"/>
      <c r="H2500" s="176"/>
      <c r="I2500" s="176"/>
      <c r="J2500" s="176"/>
      <c r="K2500" s="176"/>
      <c r="L2500" s="176"/>
      <c r="M2500" s="176"/>
      <c r="N2500" s="176"/>
      <c r="O2500" s="176"/>
      <c r="P2500" s="176"/>
      <c r="Q2500" s="176"/>
      <c r="R2500" s="176"/>
      <c r="S2500" s="176"/>
      <c r="T2500" s="176"/>
      <c r="U2500" s="176"/>
      <c r="V2500" s="176"/>
      <c r="W2500" s="176"/>
      <c r="X2500" s="176"/>
      <c r="Y2500" s="176"/>
    </row>
    <row r="2501" spans="1:25">
      <c r="A2501" s="91"/>
      <c r="B2501" s="176"/>
      <c r="C2501" s="176"/>
      <c r="D2501" s="176"/>
      <c r="E2501" s="176"/>
      <c r="F2501" s="176"/>
      <c r="G2501" s="176"/>
      <c r="H2501" s="176"/>
      <c r="I2501" s="176"/>
      <c r="J2501" s="176"/>
      <c r="K2501" s="176"/>
      <c r="L2501" s="176"/>
      <c r="M2501" s="176"/>
      <c r="N2501" s="176"/>
      <c r="O2501" s="176"/>
      <c r="P2501" s="176"/>
      <c r="Q2501" s="176"/>
      <c r="R2501" s="176"/>
      <c r="S2501" s="176"/>
      <c r="T2501" s="176"/>
      <c r="U2501" s="176"/>
      <c r="V2501" s="176"/>
      <c r="W2501" s="176"/>
      <c r="X2501" s="176"/>
      <c r="Y2501" s="176"/>
    </row>
    <row r="2502" spans="1:25">
      <c r="A2502" s="91"/>
      <c r="B2502" s="176"/>
      <c r="C2502" s="176"/>
      <c r="D2502" s="176"/>
      <c r="E2502" s="176"/>
      <c r="F2502" s="176"/>
      <c r="G2502" s="176"/>
      <c r="H2502" s="176"/>
      <c r="I2502" s="176"/>
      <c r="J2502" s="176"/>
      <c r="K2502" s="176"/>
      <c r="L2502" s="176"/>
      <c r="M2502" s="176"/>
      <c r="N2502" s="176"/>
      <c r="O2502" s="176"/>
      <c r="P2502" s="176"/>
      <c r="Q2502" s="176"/>
      <c r="R2502" s="176"/>
      <c r="S2502" s="176"/>
      <c r="T2502" s="176"/>
      <c r="U2502" s="176"/>
      <c r="V2502" s="176"/>
      <c r="W2502" s="176"/>
      <c r="X2502" s="176"/>
      <c r="Y2502" s="176"/>
    </row>
    <row r="2503" spans="1:25">
      <c r="A2503" s="91"/>
      <c r="B2503" s="176"/>
      <c r="C2503" s="176"/>
      <c r="D2503" s="176"/>
      <c r="E2503" s="176"/>
      <c r="F2503" s="176"/>
      <c r="G2503" s="176"/>
      <c r="H2503" s="176"/>
      <c r="I2503" s="176"/>
      <c r="J2503" s="176"/>
      <c r="K2503" s="176"/>
      <c r="L2503" s="176"/>
      <c r="M2503" s="176"/>
      <c r="N2503" s="176"/>
      <c r="O2503" s="176"/>
      <c r="P2503" s="176"/>
      <c r="Q2503" s="176"/>
      <c r="R2503" s="176"/>
      <c r="S2503" s="176"/>
      <c r="T2503" s="176"/>
      <c r="U2503" s="176"/>
      <c r="V2503" s="176"/>
      <c r="W2503" s="176"/>
      <c r="X2503" s="176"/>
      <c r="Y2503" s="176"/>
    </row>
    <row r="2504" spans="1:25">
      <c r="A2504" s="91"/>
      <c r="B2504" s="176"/>
      <c r="C2504" s="176"/>
      <c r="D2504" s="176"/>
      <c r="E2504" s="176"/>
      <c r="F2504" s="176"/>
      <c r="G2504" s="176"/>
      <c r="H2504" s="176"/>
      <c r="I2504" s="176"/>
      <c r="J2504" s="176"/>
      <c r="K2504" s="176"/>
      <c r="L2504" s="176"/>
      <c r="M2504" s="176"/>
      <c r="N2504" s="176"/>
      <c r="O2504" s="176"/>
      <c r="P2504" s="176"/>
      <c r="Q2504" s="176"/>
      <c r="R2504" s="176"/>
      <c r="S2504" s="176"/>
      <c r="T2504" s="176"/>
      <c r="U2504" s="176"/>
      <c r="V2504" s="176"/>
      <c r="W2504" s="176"/>
      <c r="X2504" s="176"/>
      <c r="Y2504" s="176"/>
    </row>
    <row r="2505" spans="1:25">
      <c r="A2505" s="91"/>
      <c r="B2505" s="176"/>
      <c r="C2505" s="176"/>
      <c r="D2505" s="176"/>
      <c r="E2505" s="176"/>
      <c r="F2505" s="176"/>
      <c r="G2505" s="176"/>
      <c r="H2505" s="176"/>
      <c r="I2505" s="176"/>
      <c r="J2505" s="176"/>
      <c r="K2505" s="176"/>
      <c r="L2505" s="176"/>
      <c r="M2505" s="176"/>
      <c r="N2505" s="176"/>
      <c r="O2505" s="176"/>
      <c r="P2505" s="176"/>
      <c r="Q2505" s="176"/>
      <c r="R2505" s="176"/>
      <c r="S2505" s="176"/>
      <c r="T2505" s="176"/>
      <c r="U2505" s="176"/>
      <c r="V2505" s="176"/>
      <c r="W2505" s="176"/>
      <c r="X2505" s="176"/>
      <c r="Y2505" s="176"/>
    </row>
    <row r="2506" spans="1:25">
      <c r="A2506" s="91"/>
      <c r="B2506" s="176"/>
      <c r="C2506" s="176"/>
      <c r="D2506" s="176"/>
      <c r="E2506" s="176"/>
      <c r="F2506" s="176"/>
      <c r="G2506" s="176"/>
      <c r="H2506" s="176"/>
      <c r="I2506" s="176"/>
      <c r="J2506" s="176"/>
      <c r="K2506" s="176"/>
      <c r="L2506" s="176"/>
      <c r="M2506" s="176"/>
      <c r="N2506" s="176"/>
      <c r="O2506" s="176"/>
      <c r="P2506" s="176"/>
      <c r="Q2506" s="176"/>
      <c r="R2506" s="176"/>
      <c r="S2506" s="176"/>
      <c r="T2506" s="176"/>
      <c r="U2506" s="176"/>
      <c r="V2506" s="176"/>
      <c r="W2506" s="176"/>
      <c r="X2506" s="176"/>
      <c r="Y2506" s="176"/>
    </row>
    <row r="2507" spans="1:25">
      <c r="A2507" s="91"/>
      <c r="B2507" s="176"/>
      <c r="C2507" s="176"/>
      <c r="D2507" s="176"/>
      <c r="E2507" s="176"/>
      <c r="F2507" s="176"/>
      <c r="G2507" s="176"/>
      <c r="H2507" s="176"/>
      <c r="I2507" s="176"/>
      <c r="J2507" s="176"/>
      <c r="K2507" s="176"/>
      <c r="L2507" s="176"/>
      <c r="M2507" s="176"/>
      <c r="N2507" s="176"/>
      <c r="O2507" s="176"/>
      <c r="P2507" s="176"/>
      <c r="Q2507" s="176"/>
      <c r="R2507" s="176"/>
      <c r="S2507" s="176"/>
      <c r="T2507" s="176"/>
      <c r="U2507" s="176"/>
      <c r="V2507" s="176"/>
      <c r="W2507" s="176"/>
      <c r="X2507" s="176"/>
      <c r="Y2507" s="176"/>
    </row>
    <row r="2508" spans="1:25">
      <c r="A2508" s="91"/>
      <c r="B2508" s="176"/>
      <c r="C2508" s="176"/>
      <c r="D2508" s="176"/>
      <c r="E2508" s="176"/>
      <c r="F2508" s="176"/>
      <c r="G2508" s="176"/>
      <c r="H2508" s="176"/>
      <c r="I2508" s="176"/>
      <c r="J2508" s="176"/>
      <c r="K2508" s="176"/>
      <c r="L2508" s="176"/>
      <c r="M2508" s="176"/>
      <c r="N2508" s="176"/>
      <c r="O2508" s="176"/>
      <c r="P2508" s="176"/>
      <c r="Q2508" s="176"/>
      <c r="R2508" s="176"/>
      <c r="S2508" s="176"/>
      <c r="T2508" s="176"/>
      <c r="U2508" s="176"/>
      <c r="V2508" s="176"/>
      <c r="W2508" s="176"/>
      <c r="X2508" s="176"/>
      <c r="Y2508" s="176"/>
    </row>
    <row r="2509" spans="1:25">
      <c r="A2509" s="91"/>
      <c r="B2509" s="176"/>
      <c r="C2509" s="176"/>
      <c r="D2509" s="176"/>
      <c r="E2509" s="176"/>
      <c r="F2509" s="176"/>
      <c r="G2509" s="176"/>
      <c r="H2509" s="176"/>
      <c r="I2509" s="176"/>
      <c r="J2509" s="176"/>
      <c r="K2509" s="176"/>
      <c r="L2509" s="176"/>
      <c r="M2509" s="176"/>
      <c r="N2509" s="176"/>
      <c r="O2509" s="176"/>
      <c r="P2509" s="176"/>
      <c r="Q2509" s="176"/>
      <c r="R2509" s="176"/>
      <c r="S2509" s="176"/>
      <c r="T2509" s="176"/>
      <c r="U2509" s="176"/>
      <c r="V2509" s="176"/>
      <c r="W2509" s="176"/>
      <c r="X2509" s="176"/>
      <c r="Y2509" s="176"/>
    </row>
    <row r="2510" spans="1:25">
      <c r="A2510" s="91"/>
      <c r="B2510" s="176"/>
      <c r="C2510" s="176"/>
      <c r="D2510" s="176"/>
      <c r="E2510" s="176"/>
      <c r="F2510" s="176"/>
      <c r="G2510" s="176"/>
      <c r="H2510" s="176"/>
      <c r="I2510" s="176"/>
      <c r="J2510" s="176"/>
      <c r="K2510" s="176"/>
      <c r="L2510" s="176"/>
      <c r="M2510" s="176"/>
      <c r="N2510" s="176"/>
      <c r="O2510" s="176"/>
      <c r="P2510" s="176"/>
      <c r="Q2510" s="176"/>
      <c r="R2510" s="176"/>
      <c r="S2510" s="176"/>
      <c r="T2510" s="176"/>
      <c r="U2510" s="176"/>
      <c r="V2510" s="176"/>
      <c r="W2510" s="176"/>
      <c r="X2510" s="176"/>
      <c r="Y2510" s="176"/>
    </row>
    <row r="2511" spans="1:25">
      <c r="A2511" s="91"/>
      <c r="B2511" s="176"/>
      <c r="C2511" s="176"/>
      <c r="D2511" s="176"/>
      <c r="E2511" s="176"/>
      <c r="F2511" s="176"/>
      <c r="G2511" s="176"/>
      <c r="H2511" s="176"/>
      <c r="I2511" s="176"/>
      <c r="J2511" s="176"/>
      <c r="K2511" s="176"/>
      <c r="L2511" s="176"/>
      <c r="M2511" s="176"/>
      <c r="N2511" s="176"/>
      <c r="O2511" s="176"/>
      <c r="P2511" s="176"/>
      <c r="Q2511" s="176"/>
      <c r="R2511" s="176"/>
      <c r="S2511" s="176"/>
      <c r="T2511" s="176"/>
      <c r="U2511" s="176"/>
      <c r="V2511" s="176"/>
      <c r="W2511" s="176"/>
      <c r="X2511" s="176"/>
      <c r="Y2511" s="176"/>
    </row>
    <row r="2512" spans="1:25">
      <c r="A2512" s="91"/>
      <c r="B2512" s="176"/>
      <c r="C2512" s="176"/>
      <c r="D2512" s="176"/>
      <c r="E2512" s="176"/>
      <c r="F2512" s="176"/>
      <c r="G2512" s="176"/>
      <c r="H2512" s="176"/>
      <c r="I2512" s="176"/>
      <c r="J2512" s="176"/>
      <c r="K2512" s="176"/>
      <c r="L2512" s="176"/>
      <c r="M2512" s="176"/>
      <c r="N2512" s="176"/>
      <c r="O2512" s="176"/>
      <c r="P2512" s="176"/>
      <c r="Q2512" s="176"/>
      <c r="R2512" s="176"/>
      <c r="S2512" s="176"/>
      <c r="T2512" s="176"/>
      <c r="U2512" s="176"/>
      <c r="V2512" s="176"/>
      <c r="W2512" s="176"/>
      <c r="X2512" s="176"/>
      <c r="Y2512" s="176"/>
    </row>
    <row r="2513" spans="1:25">
      <c r="A2513" s="91"/>
      <c r="B2513" s="176"/>
      <c r="C2513" s="176"/>
      <c r="D2513" s="176"/>
      <c r="E2513" s="176"/>
      <c r="F2513" s="176"/>
      <c r="G2513" s="176"/>
      <c r="H2513" s="176"/>
      <c r="I2513" s="176"/>
      <c r="J2513" s="176"/>
      <c r="K2513" s="176"/>
      <c r="L2513" s="176"/>
      <c r="M2513" s="176"/>
      <c r="N2513" s="176"/>
      <c r="O2513" s="176"/>
      <c r="P2513" s="176"/>
      <c r="Q2513" s="176"/>
      <c r="R2513" s="176"/>
      <c r="S2513" s="176"/>
      <c r="T2513" s="176"/>
      <c r="U2513" s="176"/>
      <c r="V2513" s="176"/>
      <c r="W2513" s="176"/>
      <c r="X2513" s="176"/>
      <c r="Y2513" s="176"/>
    </row>
    <row r="2514" spans="1:25">
      <c r="A2514" s="91"/>
      <c r="B2514" s="176"/>
      <c r="C2514" s="176"/>
      <c r="D2514" s="176"/>
      <c r="E2514" s="176"/>
      <c r="F2514" s="176"/>
      <c r="G2514" s="176"/>
      <c r="H2514" s="176"/>
      <c r="I2514" s="176"/>
      <c r="J2514" s="176"/>
      <c r="K2514" s="176"/>
      <c r="L2514" s="176"/>
      <c r="M2514" s="176"/>
      <c r="N2514" s="176"/>
      <c r="O2514" s="176"/>
      <c r="P2514" s="176"/>
      <c r="Q2514" s="176"/>
      <c r="R2514" s="176"/>
      <c r="S2514" s="176"/>
      <c r="T2514" s="176"/>
      <c r="U2514" s="176"/>
      <c r="V2514" s="176"/>
      <c r="W2514" s="176"/>
      <c r="X2514" s="176"/>
      <c r="Y2514" s="176"/>
    </row>
    <row r="2515" spans="1:25">
      <c r="A2515" s="91"/>
      <c r="B2515" s="176"/>
      <c r="C2515" s="176"/>
      <c r="D2515" s="176"/>
      <c r="E2515" s="176"/>
      <c r="F2515" s="176"/>
      <c r="G2515" s="176"/>
      <c r="H2515" s="176"/>
      <c r="I2515" s="176"/>
      <c r="J2515" s="176"/>
      <c r="K2515" s="176"/>
      <c r="L2515" s="176"/>
      <c r="M2515" s="176"/>
      <c r="N2515" s="176"/>
      <c r="O2515" s="176"/>
      <c r="P2515" s="176"/>
      <c r="Q2515" s="176"/>
      <c r="R2515" s="176"/>
      <c r="S2515" s="176"/>
      <c r="T2515" s="176"/>
      <c r="U2515" s="176"/>
      <c r="V2515" s="176"/>
      <c r="W2515" s="176"/>
      <c r="X2515" s="176"/>
      <c r="Y2515" s="176"/>
    </row>
    <row r="2516" spans="1:25">
      <c r="A2516" s="91"/>
      <c r="B2516" s="176"/>
      <c r="C2516" s="176"/>
      <c r="D2516" s="176"/>
      <c r="E2516" s="176"/>
      <c r="F2516" s="176"/>
      <c r="G2516" s="176"/>
      <c r="H2516" s="176"/>
      <c r="I2516" s="176"/>
      <c r="J2516" s="176"/>
      <c r="K2516" s="176"/>
      <c r="L2516" s="176"/>
      <c r="M2516" s="176"/>
      <c r="N2516" s="176"/>
      <c r="O2516" s="176"/>
      <c r="P2516" s="176"/>
      <c r="Q2516" s="176"/>
      <c r="R2516" s="176"/>
      <c r="S2516" s="176"/>
      <c r="T2516" s="176"/>
      <c r="U2516" s="176"/>
      <c r="V2516" s="176"/>
      <c r="W2516" s="176"/>
      <c r="X2516" s="176"/>
      <c r="Y2516" s="176"/>
    </row>
    <row r="2517" spans="1:25">
      <c r="A2517" s="91"/>
      <c r="B2517" s="176"/>
      <c r="C2517" s="176"/>
      <c r="D2517" s="176"/>
      <c r="E2517" s="176"/>
      <c r="F2517" s="176"/>
      <c r="G2517" s="176"/>
      <c r="H2517" s="176"/>
      <c r="I2517" s="176"/>
      <c r="J2517" s="176"/>
      <c r="K2517" s="176"/>
      <c r="L2517" s="176"/>
      <c r="M2517" s="176"/>
      <c r="N2517" s="176"/>
      <c r="O2517" s="176"/>
      <c r="P2517" s="176"/>
      <c r="Q2517" s="176"/>
      <c r="R2517" s="176"/>
      <c r="S2517" s="176"/>
      <c r="T2517" s="176"/>
      <c r="U2517" s="176"/>
      <c r="V2517" s="176"/>
      <c r="W2517" s="176"/>
      <c r="X2517" s="176"/>
      <c r="Y2517" s="176"/>
    </row>
    <row r="2518" spans="1:25">
      <c r="A2518" s="91"/>
      <c r="B2518" s="176"/>
      <c r="C2518" s="176"/>
      <c r="D2518" s="176"/>
      <c r="E2518" s="176"/>
      <c r="F2518" s="176"/>
      <c r="G2518" s="176"/>
      <c r="H2518" s="176"/>
      <c r="I2518" s="176"/>
      <c r="J2518" s="176"/>
      <c r="K2518" s="176"/>
      <c r="L2518" s="176"/>
      <c r="M2518" s="176"/>
      <c r="N2518" s="176"/>
      <c r="O2518" s="176"/>
      <c r="P2518" s="176"/>
      <c r="Q2518" s="176"/>
      <c r="R2518" s="176"/>
      <c r="S2518" s="176"/>
      <c r="T2518" s="176"/>
      <c r="U2518" s="176"/>
      <c r="V2518" s="176"/>
      <c r="W2518" s="176"/>
      <c r="X2518" s="176"/>
      <c r="Y2518" s="176"/>
    </row>
    <row r="2519" spans="1:25">
      <c r="A2519" s="91"/>
      <c r="B2519" s="176"/>
      <c r="C2519" s="176"/>
      <c r="D2519" s="176"/>
      <c r="E2519" s="176"/>
      <c r="F2519" s="176"/>
      <c r="G2519" s="176"/>
      <c r="H2519" s="176"/>
      <c r="I2519" s="176"/>
      <c r="J2519" s="176"/>
      <c r="K2519" s="176"/>
      <c r="L2519" s="176"/>
      <c r="M2519" s="176"/>
      <c r="N2519" s="176"/>
      <c r="O2519" s="176"/>
      <c r="P2519" s="176"/>
      <c r="Q2519" s="176"/>
      <c r="R2519" s="176"/>
      <c r="S2519" s="176"/>
      <c r="T2519" s="176"/>
      <c r="U2519" s="176"/>
      <c r="V2519" s="176"/>
      <c r="W2519" s="176"/>
      <c r="X2519" s="176"/>
      <c r="Y2519" s="176"/>
    </row>
    <row r="2520" spans="1:25">
      <c r="A2520" s="91"/>
      <c r="B2520" s="176"/>
      <c r="C2520" s="176"/>
      <c r="D2520" s="176"/>
      <c r="E2520" s="176"/>
      <c r="F2520" s="176"/>
      <c r="G2520" s="176"/>
      <c r="H2520" s="176"/>
      <c r="I2520" s="176"/>
      <c r="J2520" s="176"/>
      <c r="K2520" s="176"/>
      <c r="L2520" s="176"/>
      <c r="M2520" s="176"/>
      <c r="N2520" s="176"/>
      <c r="O2520" s="176"/>
      <c r="P2520" s="176"/>
      <c r="Q2520" s="176"/>
      <c r="R2520" s="176"/>
      <c r="S2520" s="176"/>
      <c r="T2520" s="176"/>
      <c r="U2520" s="176"/>
      <c r="V2520" s="176"/>
      <c r="W2520" s="176"/>
      <c r="X2520" s="176"/>
      <c r="Y2520" s="176"/>
    </row>
    <row r="2521" spans="1:25">
      <c r="A2521" s="91"/>
      <c r="B2521" s="176"/>
      <c r="C2521" s="176"/>
      <c r="D2521" s="176"/>
      <c r="E2521" s="176"/>
      <c r="F2521" s="176"/>
      <c r="G2521" s="176"/>
      <c r="H2521" s="176"/>
      <c r="I2521" s="176"/>
      <c r="J2521" s="176"/>
      <c r="K2521" s="176"/>
      <c r="L2521" s="176"/>
      <c r="M2521" s="176"/>
      <c r="N2521" s="176"/>
      <c r="O2521" s="176"/>
      <c r="P2521" s="176"/>
      <c r="Q2521" s="176"/>
      <c r="R2521" s="176"/>
      <c r="S2521" s="176"/>
      <c r="T2521" s="176"/>
      <c r="U2521" s="176"/>
      <c r="V2521" s="176"/>
      <c r="W2521" s="176"/>
      <c r="X2521" s="176"/>
      <c r="Y2521" s="176"/>
    </row>
    <row r="2522" spans="1:25">
      <c r="A2522" s="91"/>
      <c r="B2522" s="176"/>
      <c r="C2522" s="176"/>
      <c r="D2522" s="176"/>
      <c r="E2522" s="176"/>
      <c r="F2522" s="176"/>
      <c r="G2522" s="176"/>
      <c r="H2522" s="176"/>
      <c r="I2522" s="176"/>
      <c r="J2522" s="176"/>
      <c r="K2522" s="176"/>
      <c r="L2522" s="176"/>
      <c r="M2522" s="176"/>
      <c r="N2522" s="176"/>
      <c r="O2522" s="176"/>
      <c r="P2522" s="176"/>
      <c r="Q2522" s="176"/>
      <c r="R2522" s="176"/>
      <c r="S2522" s="176"/>
      <c r="T2522" s="176"/>
      <c r="U2522" s="176"/>
      <c r="V2522" s="176"/>
      <c r="W2522" s="176"/>
      <c r="X2522" s="176"/>
      <c r="Y2522" s="176"/>
    </row>
    <row r="2523" spans="1:25">
      <c r="A2523" s="91"/>
      <c r="B2523" s="176"/>
      <c r="C2523" s="176"/>
      <c r="D2523" s="176"/>
      <c r="E2523" s="176"/>
      <c r="F2523" s="176"/>
      <c r="G2523" s="176"/>
      <c r="H2523" s="176"/>
      <c r="I2523" s="176"/>
      <c r="J2523" s="176"/>
      <c r="K2523" s="176"/>
      <c r="L2523" s="176"/>
      <c r="M2523" s="176"/>
      <c r="N2523" s="176"/>
      <c r="O2523" s="176"/>
      <c r="P2523" s="176"/>
      <c r="Q2523" s="176"/>
      <c r="R2523" s="176"/>
      <c r="S2523" s="176"/>
      <c r="T2523" s="176"/>
      <c r="U2523" s="176"/>
      <c r="V2523" s="176"/>
      <c r="W2523" s="176"/>
      <c r="X2523" s="176"/>
      <c r="Y2523" s="176"/>
    </row>
    <row r="2524" spans="1:25">
      <c r="A2524" s="91"/>
      <c r="B2524" s="176"/>
      <c r="C2524" s="176"/>
      <c r="D2524" s="176"/>
      <c r="E2524" s="176"/>
      <c r="F2524" s="176"/>
      <c r="G2524" s="176"/>
      <c r="H2524" s="176"/>
      <c r="I2524" s="176"/>
      <c r="J2524" s="176"/>
      <c r="K2524" s="176"/>
      <c r="L2524" s="176"/>
      <c r="M2524" s="176"/>
      <c r="N2524" s="176"/>
      <c r="O2524" s="176"/>
      <c r="P2524" s="176"/>
      <c r="Q2524" s="176"/>
      <c r="R2524" s="176"/>
      <c r="S2524" s="176"/>
      <c r="T2524" s="176"/>
      <c r="U2524" s="176"/>
      <c r="V2524" s="176"/>
      <c r="W2524" s="176"/>
      <c r="X2524" s="176"/>
      <c r="Y2524" s="176"/>
    </row>
    <row r="2525" spans="1:25">
      <c r="A2525" s="91"/>
      <c r="B2525" s="176"/>
      <c r="C2525" s="176"/>
      <c r="D2525" s="176"/>
      <c r="E2525" s="176"/>
      <c r="F2525" s="176"/>
      <c r="G2525" s="176"/>
      <c r="H2525" s="176"/>
      <c r="I2525" s="176"/>
      <c r="J2525" s="176"/>
      <c r="K2525" s="176"/>
      <c r="L2525" s="176"/>
      <c r="M2525" s="176"/>
      <c r="N2525" s="176"/>
      <c r="O2525" s="176"/>
      <c r="P2525" s="176"/>
      <c r="Q2525" s="176"/>
      <c r="R2525" s="176"/>
      <c r="S2525" s="176"/>
      <c r="T2525" s="176"/>
      <c r="U2525" s="176"/>
      <c r="V2525" s="176"/>
      <c r="W2525" s="176"/>
      <c r="X2525" s="176"/>
      <c r="Y2525" s="176"/>
    </row>
    <row r="2526" spans="1:25">
      <c r="A2526" s="91"/>
      <c r="B2526" s="176"/>
      <c r="C2526" s="176"/>
      <c r="D2526" s="176"/>
      <c r="E2526" s="176"/>
      <c r="F2526" s="176"/>
      <c r="G2526" s="176"/>
      <c r="H2526" s="176"/>
      <c r="I2526" s="176"/>
      <c r="J2526" s="176"/>
      <c r="K2526" s="176"/>
      <c r="L2526" s="176"/>
      <c r="M2526" s="176"/>
      <c r="N2526" s="176"/>
      <c r="O2526" s="176"/>
      <c r="P2526" s="176"/>
      <c r="Q2526" s="176"/>
      <c r="R2526" s="176"/>
      <c r="S2526" s="176"/>
      <c r="T2526" s="176"/>
      <c r="U2526" s="176"/>
      <c r="V2526" s="176"/>
      <c r="W2526" s="176"/>
      <c r="X2526" s="176"/>
      <c r="Y2526" s="176"/>
    </row>
    <row r="2527" spans="1:25">
      <c r="A2527" s="91"/>
      <c r="B2527" s="176"/>
      <c r="C2527" s="176"/>
      <c r="D2527" s="176"/>
      <c r="E2527" s="176"/>
      <c r="F2527" s="176"/>
      <c r="G2527" s="176"/>
      <c r="H2527" s="176"/>
      <c r="I2527" s="176"/>
      <c r="J2527" s="176"/>
      <c r="K2527" s="176"/>
      <c r="L2527" s="176"/>
      <c r="M2527" s="176"/>
      <c r="N2527" s="176"/>
      <c r="O2527" s="176"/>
      <c r="P2527" s="176"/>
      <c r="Q2527" s="176"/>
      <c r="R2527" s="176"/>
      <c r="S2527" s="176"/>
      <c r="T2527" s="176"/>
      <c r="U2527" s="176"/>
      <c r="V2527" s="176"/>
      <c r="W2527" s="176"/>
      <c r="X2527" s="176"/>
      <c r="Y2527" s="176"/>
    </row>
    <row r="2528" spans="1:25">
      <c r="A2528" s="91"/>
      <c r="B2528" s="176"/>
      <c r="C2528" s="176"/>
      <c r="D2528" s="176"/>
      <c r="E2528" s="176"/>
      <c r="F2528" s="176"/>
      <c r="G2528" s="176"/>
      <c r="H2528" s="176"/>
      <c r="I2528" s="176"/>
      <c r="J2528" s="176"/>
      <c r="K2528" s="176"/>
      <c r="L2528" s="176"/>
      <c r="M2528" s="176"/>
      <c r="N2528" s="176"/>
      <c r="O2528" s="176"/>
      <c r="P2528" s="176"/>
      <c r="Q2528" s="176"/>
      <c r="R2528" s="176"/>
      <c r="S2528" s="176"/>
      <c r="T2528" s="176"/>
      <c r="U2528" s="176"/>
      <c r="V2528" s="176"/>
      <c r="W2528" s="176"/>
      <c r="X2528" s="176"/>
      <c r="Y2528" s="176"/>
    </row>
    <row r="2529" spans="1:25">
      <c r="A2529" s="91"/>
      <c r="B2529" s="176"/>
      <c r="C2529" s="176"/>
      <c r="D2529" s="176"/>
      <c r="E2529" s="176"/>
      <c r="F2529" s="176"/>
      <c r="G2529" s="176"/>
      <c r="H2529" s="176"/>
      <c r="I2529" s="176"/>
      <c r="J2529" s="176"/>
      <c r="K2529" s="176"/>
      <c r="L2529" s="176"/>
      <c r="M2529" s="176"/>
      <c r="N2529" s="176"/>
      <c r="O2529" s="176"/>
      <c r="P2529" s="176"/>
      <c r="Q2529" s="176"/>
      <c r="R2529" s="176"/>
      <c r="S2529" s="176"/>
      <c r="T2529" s="176"/>
      <c r="U2529" s="176"/>
      <c r="V2529" s="176"/>
      <c r="W2529" s="176"/>
      <c r="X2529" s="176"/>
      <c r="Y2529" s="176"/>
    </row>
    <row r="2530" spans="1:25">
      <c r="A2530" s="91"/>
      <c r="B2530" s="176"/>
      <c r="C2530" s="176"/>
      <c r="D2530" s="176"/>
      <c r="E2530" s="176"/>
      <c r="F2530" s="176"/>
      <c r="G2530" s="176"/>
      <c r="H2530" s="176"/>
      <c r="I2530" s="176"/>
      <c r="J2530" s="176"/>
      <c r="K2530" s="176"/>
      <c r="L2530" s="176"/>
      <c r="M2530" s="176"/>
      <c r="N2530" s="176"/>
      <c r="O2530" s="176"/>
      <c r="P2530" s="176"/>
      <c r="Q2530" s="176"/>
      <c r="R2530" s="176"/>
      <c r="S2530" s="176"/>
      <c r="T2530" s="176"/>
      <c r="U2530" s="176"/>
      <c r="V2530" s="176"/>
      <c r="W2530" s="176"/>
      <c r="X2530" s="176"/>
      <c r="Y2530" s="176"/>
    </row>
    <row r="2531" spans="1:25">
      <c r="A2531" s="91"/>
      <c r="B2531" s="176"/>
      <c r="C2531" s="176"/>
      <c r="D2531" s="176"/>
      <c r="E2531" s="176"/>
      <c r="F2531" s="176"/>
      <c r="G2531" s="176"/>
      <c r="H2531" s="176"/>
      <c r="I2531" s="176"/>
      <c r="J2531" s="176"/>
      <c r="K2531" s="176"/>
      <c r="L2531" s="176"/>
      <c r="M2531" s="176"/>
      <c r="N2531" s="176"/>
      <c r="O2531" s="176"/>
      <c r="P2531" s="176"/>
      <c r="Q2531" s="176"/>
      <c r="R2531" s="176"/>
      <c r="S2531" s="176"/>
      <c r="T2531" s="176"/>
      <c r="U2531" s="176"/>
      <c r="V2531" s="176"/>
      <c r="W2531" s="176"/>
      <c r="X2531" s="176"/>
      <c r="Y2531" s="176"/>
    </row>
    <row r="2532" spans="1:25">
      <c r="A2532" s="91"/>
      <c r="B2532" s="176"/>
      <c r="C2532" s="176"/>
      <c r="D2532" s="176"/>
      <c r="E2532" s="176"/>
      <c r="F2532" s="176"/>
      <c r="G2532" s="176"/>
      <c r="H2532" s="176"/>
      <c r="I2532" s="176"/>
      <c r="J2532" s="176"/>
      <c r="K2532" s="176"/>
      <c r="L2532" s="176"/>
      <c r="M2532" s="176"/>
      <c r="N2532" s="176"/>
      <c r="O2532" s="176"/>
      <c r="P2532" s="176"/>
      <c r="Q2532" s="176"/>
      <c r="R2532" s="176"/>
      <c r="S2532" s="176"/>
      <c r="T2532" s="176"/>
      <c r="U2532" s="176"/>
      <c r="V2532" s="176"/>
      <c r="W2532" s="176"/>
      <c r="X2532" s="176"/>
      <c r="Y2532" s="176"/>
    </row>
    <row r="2533" spans="1:25">
      <c r="A2533" s="91"/>
      <c r="B2533" s="176"/>
      <c r="C2533" s="176"/>
      <c r="D2533" s="176"/>
      <c r="E2533" s="176"/>
      <c r="F2533" s="176"/>
      <c r="G2533" s="176"/>
      <c r="H2533" s="176"/>
      <c r="I2533" s="176"/>
      <c r="J2533" s="176"/>
      <c r="K2533" s="176"/>
      <c r="L2533" s="176"/>
      <c r="M2533" s="176"/>
      <c r="N2533" s="176"/>
      <c r="O2533" s="176"/>
      <c r="P2533" s="176"/>
      <c r="Q2533" s="176"/>
      <c r="R2533" s="176"/>
      <c r="S2533" s="176"/>
      <c r="T2533" s="176"/>
      <c r="U2533" s="176"/>
      <c r="V2533" s="176"/>
      <c r="W2533" s="176"/>
      <c r="X2533" s="176"/>
      <c r="Y2533" s="176"/>
    </row>
    <row r="2534" spans="1:25">
      <c r="A2534" s="91"/>
      <c r="B2534" s="176"/>
      <c r="C2534" s="176"/>
      <c r="D2534" s="176"/>
      <c r="E2534" s="176"/>
      <c r="F2534" s="176"/>
      <c r="G2534" s="176"/>
      <c r="H2534" s="176"/>
      <c r="I2534" s="176"/>
      <c r="J2534" s="176"/>
      <c r="K2534" s="176"/>
      <c r="L2534" s="176"/>
      <c r="M2534" s="176"/>
      <c r="N2534" s="176"/>
      <c r="O2534" s="176"/>
      <c r="P2534" s="176"/>
      <c r="Q2534" s="176"/>
      <c r="R2534" s="176"/>
      <c r="S2534" s="176"/>
      <c r="T2534" s="176"/>
      <c r="U2534" s="176"/>
      <c r="V2534" s="176"/>
      <c r="W2534" s="176"/>
      <c r="X2534" s="176"/>
      <c r="Y2534" s="176"/>
    </row>
    <row r="2535" spans="1:25">
      <c r="A2535" s="91"/>
      <c r="B2535" s="176"/>
      <c r="C2535" s="176"/>
      <c r="D2535" s="176"/>
      <c r="E2535" s="176"/>
      <c r="F2535" s="176"/>
      <c r="G2535" s="176"/>
      <c r="H2535" s="176"/>
      <c r="I2535" s="176"/>
      <c r="J2535" s="176"/>
      <c r="K2535" s="176"/>
      <c r="L2535" s="176"/>
      <c r="M2535" s="176"/>
      <c r="N2535" s="176"/>
      <c r="O2535" s="176"/>
      <c r="P2535" s="176"/>
      <c r="Q2535" s="176"/>
      <c r="R2535" s="176"/>
      <c r="S2535" s="176"/>
      <c r="T2535" s="176"/>
      <c r="U2535" s="176"/>
      <c r="V2535" s="176"/>
      <c r="W2535" s="176"/>
      <c r="X2535" s="176"/>
      <c r="Y2535" s="176"/>
    </row>
    <row r="2536" spans="1:25">
      <c r="A2536" s="91"/>
      <c r="B2536" s="176"/>
      <c r="C2536" s="176"/>
      <c r="D2536" s="176"/>
      <c r="E2536" s="176"/>
      <c r="F2536" s="176"/>
      <c r="G2536" s="176"/>
      <c r="H2536" s="176"/>
      <c r="I2536" s="176"/>
      <c r="J2536" s="176"/>
      <c r="K2536" s="176"/>
      <c r="L2536" s="176"/>
      <c r="M2536" s="176"/>
      <c r="N2536" s="176"/>
      <c r="O2536" s="176"/>
      <c r="P2536" s="176"/>
      <c r="Q2536" s="176"/>
      <c r="R2536" s="176"/>
      <c r="S2536" s="176"/>
      <c r="T2536" s="176"/>
      <c r="U2536" s="176"/>
      <c r="V2536" s="176"/>
      <c r="W2536" s="176"/>
      <c r="X2536" s="176"/>
      <c r="Y2536" s="176"/>
    </row>
    <row r="2537" spans="1:25">
      <c r="A2537" s="91"/>
      <c r="B2537" s="176"/>
      <c r="C2537" s="176"/>
      <c r="D2537" s="176"/>
      <c r="E2537" s="176"/>
      <c r="F2537" s="176"/>
      <c r="G2537" s="176"/>
      <c r="H2537" s="176"/>
      <c r="I2537" s="176"/>
      <c r="J2537" s="176"/>
      <c r="K2537" s="176"/>
      <c r="L2537" s="176"/>
      <c r="M2537" s="176"/>
      <c r="N2537" s="176"/>
      <c r="O2537" s="176"/>
      <c r="P2537" s="176"/>
      <c r="Q2537" s="176"/>
      <c r="R2537" s="176"/>
      <c r="S2537" s="176"/>
      <c r="T2537" s="176"/>
      <c r="U2537" s="176"/>
      <c r="V2537" s="176"/>
      <c r="W2537" s="176"/>
      <c r="X2537" s="176"/>
      <c r="Y2537" s="176"/>
    </row>
    <row r="2538" spans="1:25">
      <c r="A2538" s="91"/>
      <c r="B2538" s="176"/>
      <c r="C2538" s="176"/>
      <c r="D2538" s="176"/>
      <c r="E2538" s="176"/>
      <c r="F2538" s="176"/>
      <c r="G2538" s="176"/>
      <c r="H2538" s="176"/>
      <c r="I2538" s="176"/>
      <c r="J2538" s="176"/>
      <c r="K2538" s="176"/>
      <c r="L2538" s="176"/>
      <c r="M2538" s="176"/>
      <c r="N2538" s="176"/>
      <c r="O2538" s="176"/>
      <c r="P2538" s="176"/>
      <c r="Q2538" s="176"/>
      <c r="R2538" s="176"/>
      <c r="S2538" s="176"/>
      <c r="T2538" s="176"/>
      <c r="U2538" s="176"/>
      <c r="V2538" s="176"/>
      <c r="W2538" s="176"/>
      <c r="X2538" s="176"/>
      <c r="Y2538" s="176"/>
    </row>
    <row r="2539" spans="1:25">
      <c r="A2539" s="91"/>
      <c r="B2539" s="176"/>
      <c r="C2539" s="176"/>
      <c r="D2539" s="176"/>
      <c r="E2539" s="176"/>
      <c r="F2539" s="176"/>
      <c r="G2539" s="176"/>
      <c r="H2539" s="176"/>
      <c r="I2539" s="176"/>
      <c r="J2539" s="176"/>
      <c r="K2539" s="176"/>
      <c r="L2539" s="176"/>
      <c r="M2539" s="176"/>
      <c r="N2539" s="176"/>
      <c r="O2539" s="176"/>
      <c r="P2539" s="176"/>
      <c r="Q2539" s="176"/>
      <c r="R2539" s="176"/>
      <c r="S2539" s="176"/>
      <c r="T2539" s="176"/>
      <c r="U2539" s="176"/>
      <c r="V2539" s="176"/>
      <c r="W2539" s="176"/>
      <c r="X2539" s="176"/>
      <c r="Y2539" s="176"/>
    </row>
    <row r="2540" spans="1:25">
      <c r="A2540" s="91"/>
      <c r="B2540" s="176"/>
      <c r="C2540" s="176"/>
      <c r="D2540" s="176"/>
      <c r="E2540" s="176"/>
      <c r="F2540" s="176"/>
      <c r="G2540" s="176"/>
      <c r="H2540" s="176"/>
      <c r="I2540" s="176"/>
      <c r="J2540" s="176"/>
      <c r="K2540" s="176"/>
      <c r="L2540" s="176"/>
      <c r="M2540" s="176"/>
      <c r="N2540" s="176"/>
      <c r="O2540" s="176"/>
      <c r="P2540" s="176"/>
      <c r="Q2540" s="176"/>
      <c r="R2540" s="176"/>
      <c r="S2540" s="176"/>
      <c r="T2540" s="176"/>
      <c r="U2540" s="176"/>
      <c r="V2540" s="176"/>
      <c r="W2540" s="176"/>
      <c r="X2540" s="176"/>
      <c r="Y2540" s="176"/>
    </row>
    <row r="2541" spans="1:25">
      <c r="A2541" s="91"/>
      <c r="B2541" s="176"/>
      <c r="C2541" s="176"/>
      <c r="D2541" s="176"/>
      <c r="E2541" s="176"/>
      <c r="F2541" s="176"/>
      <c r="G2541" s="176"/>
      <c r="H2541" s="176"/>
      <c r="I2541" s="176"/>
      <c r="J2541" s="176"/>
      <c r="K2541" s="176"/>
      <c r="L2541" s="176"/>
      <c r="M2541" s="176"/>
      <c r="N2541" s="176"/>
      <c r="O2541" s="176"/>
      <c r="P2541" s="176"/>
      <c r="Q2541" s="176"/>
      <c r="R2541" s="176"/>
      <c r="S2541" s="176"/>
      <c r="T2541" s="176"/>
      <c r="U2541" s="176"/>
      <c r="V2541" s="176"/>
      <c r="W2541" s="176"/>
      <c r="X2541" s="176"/>
      <c r="Y2541" s="176"/>
    </row>
    <row r="2542" spans="1:25">
      <c r="A2542" s="91"/>
      <c r="B2542" s="176"/>
      <c r="C2542" s="176"/>
      <c r="D2542" s="176"/>
      <c r="E2542" s="176"/>
      <c r="F2542" s="176"/>
      <c r="G2542" s="176"/>
      <c r="H2542" s="176"/>
      <c r="I2542" s="176"/>
      <c r="J2542" s="176"/>
      <c r="K2542" s="176"/>
      <c r="L2542" s="176"/>
      <c r="M2542" s="176"/>
      <c r="N2542" s="176"/>
      <c r="O2542" s="176"/>
      <c r="P2542" s="176"/>
      <c r="Q2542" s="176"/>
      <c r="R2542" s="176"/>
      <c r="S2542" s="176"/>
      <c r="T2542" s="176"/>
      <c r="U2542" s="176"/>
      <c r="V2542" s="176"/>
      <c r="W2542" s="176"/>
      <c r="X2542" s="176"/>
      <c r="Y2542" s="176"/>
    </row>
    <row r="2543" spans="1:25">
      <c r="A2543" s="91"/>
      <c r="B2543" s="176"/>
      <c r="C2543" s="176"/>
      <c r="D2543" s="176"/>
      <c r="E2543" s="176"/>
      <c r="F2543" s="176"/>
      <c r="G2543" s="176"/>
      <c r="H2543" s="176"/>
      <c r="I2543" s="176"/>
      <c r="J2543" s="176"/>
      <c r="K2543" s="176"/>
      <c r="L2543" s="176"/>
      <c r="M2543" s="176"/>
      <c r="N2543" s="176"/>
      <c r="O2543" s="176"/>
      <c r="P2543" s="176"/>
      <c r="Q2543" s="176"/>
      <c r="R2543" s="176"/>
      <c r="S2543" s="176"/>
      <c r="T2543" s="176"/>
      <c r="U2543" s="176"/>
      <c r="V2543" s="176"/>
      <c r="W2543" s="176"/>
      <c r="X2543" s="176"/>
      <c r="Y2543" s="176"/>
    </row>
    <row r="2544" spans="1:25">
      <c r="A2544" s="91"/>
      <c r="B2544" s="176"/>
      <c r="C2544" s="176"/>
      <c r="D2544" s="176"/>
      <c r="E2544" s="176"/>
      <c r="F2544" s="176"/>
      <c r="G2544" s="176"/>
      <c r="H2544" s="176"/>
      <c r="I2544" s="176"/>
      <c r="J2544" s="176"/>
      <c r="K2544" s="176"/>
      <c r="L2544" s="176"/>
      <c r="M2544" s="176"/>
      <c r="N2544" s="176"/>
      <c r="O2544" s="176"/>
      <c r="P2544" s="176"/>
      <c r="Q2544" s="176"/>
      <c r="R2544" s="176"/>
      <c r="S2544" s="176"/>
      <c r="T2544" s="176"/>
      <c r="U2544" s="176"/>
      <c r="V2544" s="176"/>
      <c r="W2544" s="176"/>
      <c r="X2544" s="176"/>
      <c r="Y2544" s="176"/>
    </row>
    <row r="2545" spans="1:25">
      <c r="A2545" s="91"/>
      <c r="B2545" s="176"/>
      <c r="C2545" s="176"/>
      <c r="D2545" s="176"/>
      <c r="E2545" s="176"/>
      <c r="F2545" s="176"/>
      <c r="G2545" s="176"/>
      <c r="H2545" s="176"/>
      <c r="I2545" s="176"/>
      <c r="J2545" s="176"/>
      <c r="K2545" s="176"/>
      <c r="L2545" s="176"/>
      <c r="M2545" s="176"/>
      <c r="N2545" s="176"/>
      <c r="O2545" s="176"/>
      <c r="P2545" s="176"/>
      <c r="Q2545" s="176"/>
      <c r="R2545" s="176"/>
      <c r="S2545" s="176"/>
      <c r="T2545" s="176"/>
      <c r="U2545" s="176"/>
      <c r="V2545" s="176"/>
      <c r="W2545" s="176"/>
      <c r="X2545" s="176"/>
      <c r="Y2545" s="176"/>
    </row>
    <row r="2546" spans="1:25">
      <c r="A2546" s="91"/>
      <c r="B2546" s="176"/>
      <c r="C2546" s="176"/>
      <c r="D2546" s="176"/>
      <c r="E2546" s="176"/>
      <c r="F2546" s="176"/>
      <c r="G2546" s="176"/>
      <c r="H2546" s="176"/>
      <c r="I2546" s="176"/>
      <c r="J2546" s="176"/>
      <c r="K2546" s="176"/>
      <c r="L2546" s="176"/>
      <c r="M2546" s="176"/>
      <c r="N2546" s="176"/>
      <c r="O2546" s="176"/>
      <c r="P2546" s="176"/>
      <c r="Q2546" s="176"/>
      <c r="R2546" s="176"/>
      <c r="S2546" s="176"/>
      <c r="T2546" s="176"/>
      <c r="U2546" s="176"/>
      <c r="V2546" s="176"/>
      <c r="W2546" s="176"/>
      <c r="X2546" s="176"/>
      <c r="Y2546" s="176"/>
    </row>
    <row r="2547" spans="1:25">
      <c r="A2547" s="91"/>
      <c r="B2547" s="176"/>
      <c r="C2547" s="176"/>
      <c r="D2547" s="176"/>
      <c r="E2547" s="176"/>
      <c r="F2547" s="176"/>
      <c r="G2547" s="176"/>
      <c r="H2547" s="176"/>
      <c r="I2547" s="176"/>
      <c r="J2547" s="176"/>
      <c r="K2547" s="176"/>
      <c r="L2547" s="176"/>
      <c r="M2547" s="176"/>
      <c r="N2547" s="176"/>
      <c r="O2547" s="176"/>
      <c r="P2547" s="176"/>
      <c r="Q2547" s="176"/>
      <c r="R2547" s="176"/>
      <c r="S2547" s="176"/>
      <c r="T2547" s="176"/>
      <c r="U2547" s="176"/>
      <c r="V2547" s="176"/>
      <c r="W2547" s="176"/>
      <c r="X2547" s="176"/>
      <c r="Y2547" s="176"/>
    </row>
    <row r="2548" spans="1:25">
      <c r="A2548" s="91"/>
      <c r="B2548" s="176"/>
      <c r="C2548" s="176"/>
      <c r="D2548" s="176"/>
      <c r="E2548" s="176"/>
      <c r="F2548" s="176"/>
      <c r="G2548" s="176"/>
      <c r="H2548" s="176"/>
      <c r="I2548" s="176"/>
      <c r="J2548" s="176"/>
      <c r="K2548" s="176"/>
      <c r="L2548" s="176"/>
      <c r="M2548" s="176"/>
      <c r="N2548" s="176"/>
      <c r="O2548" s="176"/>
      <c r="P2548" s="176"/>
      <c r="Q2548" s="176"/>
      <c r="R2548" s="176"/>
      <c r="S2548" s="176"/>
      <c r="T2548" s="176"/>
      <c r="U2548" s="176"/>
      <c r="V2548" s="176"/>
      <c r="W2548" s="176"/>
      <c r="X2548" s="176"/>
      <c r="Y2548" s="176"/>
    </row>
    <row r="2549" spans="1:25">
      <c r="A2549" s="91"/>
      <c r="B2549" s="176"/>
      <c r="C2549" s="176"/>
      <c r="D2549" s="176"/>
      <c r="E2549" s="176"/>
      <c r="F2549" s="176"/>
      <c r="G2549" s="176"/>
      <c r="H2549" s="176"/>
      <c r="I2549" s="176"/>
      <c r="J2549" s="176"/>
      <c r="K2549" s="176"/>
      <c r="L2549" s="176"/>
      <c r="M2549" s="176"/>
      <c r="N2549" s="176"/>
      <c r="O2549" s="176"/>
      <c r="P2549" s="176"/>
      <c r="Q2549" s="176"/>
      <c r="R2549" s="176"/>
      <c r="S2549" s="176"/>
      <c r="T2549" s="176"/>
      <c r="U2549" s="176"/>
      <c r="V2549" s="176"/>
      <c r="W2549" s="176"/>
      <c r="X2549" s="176"/>
      <c r="Y2549" s="176"/>
    </row>
    <row r="2550" spans="1:25">
      <c r="A2550" s="91"/>
      <c r="B2550" s="176"/>
      <c r="C2550" s="176"/>
      <c r="D2550" s="176"/>
      <c r="E2550" s="176"/>
      <c r="F2550" s="176"/>
      <c r="G2550" s="176"/>
      <c r="H2550" s="176"/>
      <c r="I2550" s="176"/>
      <c r="J2550" s="176"/>
      <c r="K2550" s="176"/>
      <c r="L2550" s="176"/>
      <c r="M2550" s="176"/>
      <c r="N2550" s="176"/>
      <c r="O2550" s="176"/>
      <c r="P2550" s="176"/>
      <c r="Q2550" s="176"/>
      <c r="R2550" s="176"/>
      <c r="S2550" s="176"/>
      <c r="T2550" s="176"/>
      <c r="U2550" s="176"/>
      <c r="V2550" s="176"/>
      <c r="W2550" s="176"/>
      <c r="X2550" s="176"/>
      <c r="Y2550" s="176"/>
    </row>
    <row r="2551" spans="1:25">
      <c r="A2551" s="91"/>
      <c r="B2551" s="176"/>
      <c r="C2551" s="176"/>
      <c r="D2551" s="176"/>
      <c r="E2551" s="176"/>
      <c r="F2551" s="176"/>
      <c r="G2551" s="176"/>
      <c r="H2551" s="176"/>
      <c r="I2551" s="176"/>
      <c r="J2551" s="176"/>
      <c r="K2551" s="176"/>
      <c r="L2551" s="176"/>
      <c r="M2551" s="176"/>
      <c r="N2551" s="176"/>
      <c r="O2551" s="176"/>
      <c r="P2551" s="176"/>
      <c r="Q2551" s="176"/>
      <c r="R2551" s="176"/>
      <c r="S2551" s="176"/>
      <c r="T2551" s="176"/>
      <c r="U2551" s="176"/>
      <c r="V2551" s="176"/>
      <c r="W2551" s="176"/>
      <c r="X2551" s="176"/>
      <c r="Y2551" s="176"/>
    </row>
    <row r="2552" spans="1:25">
      <c r="A2552" s="91"/>
      <c r="B2552" s="176"/>
      <c r="C2552" s="176"/>
      <c r="D2552" s="176"/>
      <c r="E2552" s="176"/>
      <c r="F2552" s="176"/>
      <c r="G2552" s="176"/>
      <c r="H2552" s="176"/>
      <c r="I2552" s="176"/>
      <c r="J2552" s="176"/>
      <c r="K2552" s="176"/>
      <c r="L2552" s="176"/>
      <c r="M2552" s="176"/>
      <c r="N2552" s="176"/>
      <c r="O2552" s="176"/>
      <c r="P2552" s="176"/>
      <c r="Q2552" s="176"/>
      <c r="R2552" s="176"/>
      <c r="S2552" s="176"/>
      <c r="T2552" s="176"/>
      <c r="U2552" s="176"/>
      <c r="V2552" s="176"/>
      <c r="W2552" s="176"/>
      <c r="X2552" s="176"/>
      <c r="Y2552" s="176"/>
    </row>
    <row r="2553" spans="1:25">
      <c r="A2553" s="91"/>
      <c r="B2553" s="176"/>
      <c r="C2553" s="176"/>
      <c r="D2553" s="176"/>
      <c r="E2553" s="176"/>
      <c r="F2553" s="176"/>
      <c r="G2553" s="176"/>
      <c r="H2553" s="176"/>
      <c r="I2553" s="176"/>
      <c r="J2553" s="176"/>
      <c r="K2553" s="176"/>
      <c r="L2553" s="176"/>
      <c r="M2553" s="176"/>
      <c r="N2553" s="176"/>
      <c r="O2553" s="176"/>
      <c r="P2553" s="176"/>
      <c r="Q2553" s="176"/>
      <c r="R2553" s="176"/>
      <c r="S2553" s="176"/>
      <c r="T2553" s="176"/>
      <c r="U2553" s="176"/>
      <c r="V2553" s="176"/>
      <c r="W2553" s="176"/>
      <c r="X2553" s="176"/>
      <c r="Y2553" s="176"/>
    </row>
    <row r="2554" spans="1:25">
      <c r="A2554" s="91"/>
      <c r="B2554" s="176"/>
      <c r="C2554" s="176"/>
      <c r="D2554" s="176"/>
      <c r="E2554" s="176"/>
      <c r="F2554" s="176"/>
      <c r="G2554" s="176"/>
      <c r="H2554" s="176"/>
      <c r="I2554" s="176"/>
      <c r="J2554" s="176"/>
      <c r="K2554" s="176"/>
      <c r="L2554" s="176"/>
      <c r="M2554" s="176"/>
      <c r="N2554" s="176"/>
      <c r="O2554" s="176"/>
      <c r="P2554" s="176"/>
      <c r="Q2554" s="176"/>
      <c r="R2554" s="176"/>
      <c r="S2554" s="176"/>
      <c r="T2554" s="176"/>
      <c r="U2554" s="176"/>
      <c r="V2554" s="176"/>
      <c r="W2554" s="176"/>
      <c r="X2554" s="176"/>
      <c r="Y2554" s="176"/>
    </row>
    <row r="2555" spans="1:25">
      <c r="A2555" s="91"/>
      <c r="B2555" s="176"/>
      <c r="C2555" s="176"/>
      <c r="D2555" s="176"/>
      <c r="E2555" s="176"/>
      <c r="F2555" s="176"/>
      <c r="G2555" s="176"/>
      <c r="H2555" s="176"/>
      <c r="I2555" s="176"/>
      <c r="J2555" s="176"/>
      <c r="K2555" s="176"/>
      <c r="L2555" s="176"/>
      <c r="M2555" s="176"/>
      <c r="N2555" s="176"/>
      <c r="O2555" s="176"/>
      <c r="P2555" s="176"/>
      <c r="Q2555" s="176"/>
      <c r="R2555" s="176"/>
      <c r="S2555" s="176"/>
      <c r="T2555" s="176"/>
      <c r="U2555" s="176"/>
      <c r="V2555" s="176"/>
      <c r="W2555" s="176"/>
      <c r="X2555" s="176"/>
      <c r="Y2555" s="176"/>
    </row>
    <row r="2556" spans="1:25">
      <c r="A2556" s="91"/>
      <c r="B2556" s="176"/>
      <c r="C2556" s="176"/>
      <c r="D2556" s="176"/>
      <c r="E2556" s="176"/>
      <c r="F2556" s="176"/>
      <c r="G2556" s="176"/>
      <c r="H2556" s="176"/>
      <c r="I2556" s="176"/>
      <c r="J2556" s="176"/>
      <c r="K2556" s="176"/>
      <c r="L2556" s="176"/>
      <c r="M2556" s="176"/>
      <c r="N2556" s="176"/>
      <c r="O2556" s="176"/>
      <c r="P2556" s="176"/>
      <c r="Q2556" s="176"/>
      <c r="R2556" s="176"/>
      <c r="S2556" s="176"/>
      <c r="T2556" s="176"/>
      <c r="U2556" s="176"/>
      <c r="V2556" s="176"/>
      <c r="W2556" s="176"/>
      <c r="X2556" s="176"/>
      <c r="Y2556" s="176"/>
    </row>
    <row r="2557" spans="1:25">
      <c r="A2557" s="91"/>
      <c r="B2557" s="176"/>
      <c r="C2557" s="176"/>
      <c r="D2557" s="176"/>
      <c r="E2557" s="176"/>
      <c r="F2557" s="176"/>
      <c r="G2557" s="176"/>
      <c r="H2557" s="176"/>
      <c r="I2557" s="176"/>
      <c r="J2557" s="176"/>
      <c r="K2557" s="176"/>
      <c r="L2557" s="176"/>
      <c r="M2557" s="176"/>
      <c r="N2557" s="176"/>
      <c r="O2557" s="176"/>
      <c r="P2557" s="176"/>
      <c r="Q2557" s="176"/>
      <c r="R2557" s="176"/>
      <c r="S2557" s="176"/>
      <c r="T2557" s="176"/>
      <c r="U2557" s="176"/>
      <c r="V2557" s="176"/>
      <c r="W2557" s="176"/>
      <c r="X2557" s="176"/>
      <c r="Y2557" s="176"/>
    </row>
    <row r="2558" spans="1:25">
      <c r="A2558" s="91"/>
      <c r="B2558" s="176"/>
      <c r="C2558" s="176"/>
      <c r="D2558" s="176"/>
      <c r="E2558" s="176"/>
      <c r="F2558" s="176"/>
      <c r="G2558" s="176"/>
      <c r="H2558" s="176"/>
      <c r="I2558" s="176"/>
      <c r="J2558" s="176"/>
      <c r="K2558" s="176"/>
      <c r="L2558" s="176"/>
      <c r="M2558" s="176"/>
      <c r="N2558" s="176"/>
      <c r="O2558" s="176"/>
      <c r="P2558" s="176"/>
      <c r="Q2558" s="176"/>
      <c r="R2558" s="176"/>
      <c r="S2558" s="176"/>
      <c r="T2558" s="176"/>
      <c r="U2558" s="176"/>
      <c r="V2558" s="176"/>
      <c r="W2558" s="176"/>
      <c r="X2558" s="176"/>
      <c r="Y2558" s="176"/>
    </row>
    <row r="2559" spans="1:25">
      <c r="A2559" s="91"/>
      <c r="B2559" s="176"/>
      <c r="C2559" s="176"/>
      <c r="D2559" s="176"/>
      <c r="E2559" s="176"/>
      <c r="F2559" s="176"/>
      <c r="G2559" s="176"/>
      <c r="H2559" s="176"/>
      <c r="I2559" s="176"/>
      <c r="J2559" s="176"/>
      <c r="K2559" s="176"/>
      <c r="L2559" s="176"/>
      <c r="M2559" s="176"/>
      <c r="N2559" s="176"/>
      <c r="O2559" s="176"/>
      <c r="P2559" s="176"/>
      <c r="Q2559" s="176"/>
      <c r="R2559" s="176"/>
      <c r="S2559" s="176"/>
      <c r="T2559" s="176"/>
      <c r="U2559" s="176"/>
      <c r="V2559" s="176"/>
      <c r="W2559" s="176"/>
      <c r="X2559" s="176"/>
      <c r="Y2559" s="176"/>
    </row>
    <row r="2560" spans="1:25">
      <c r="A2560" s="91"/>
      <c r="B2560" s="176"/>
      <c r="C2560" s="176"/>
      <c r="D2560" s="176"/>
      <c r="E2560" s="176"/>
      <c r="F2560" s="176"/>
      <c r="G2560" s="176"/>
      <c r="H2560" s="176"/>
      <c r="I2560" s="176"/>
      <c r="J2560" s="176"/>
      <c r="K2560" s="176"/>
      <c r="L2560" s="176"/>
      <c r="M2560" s="176"/>
      <c r="N2560" s="176"/>
      <c r="O2560" s="176"/>
      <c r="P2560" s="176"/>
      <c r="Q2560" s="176"/>
      <c r="R2560" s="176"/>
      <c r="S2560" s="176"/>
      <c r="T2560" s="176"/>
      <c r="U2560" s="176"/>
      <c r="V2560" s="176"/>
      <c r="W2560" s="176"/>
      <c r="X2560" s="176"/>
      <c r="Y2560" s="176"/>
    </row>
    <row r="2561" spans="1:25">
      <c r="A2561" s="91"/>
      <c r="B2561" s="176"/>
      <c r="C2561" s="176"/>
      <c r="D2561" s="176"/>
      <c r="E2561" s="176"/>
      <c r="F2561" s="176"/>
      <c r="G2561" s="176"/>
      <c r="H2561" s="176"/>
      <c r="I2561" s="176"/>
      <c r="J2561" s="176"/>
      <c r="K2561" s="176"/>
      <c r="L2561" s="176"/>
      <c r="M2561" s="176"/>
      <c r="N2561" s="176"/>
      <c r="O2561" s="176"/>
      <c r="P2561" s="176"/>
      <c r="Q2561" s="176"/>
      <c r="R2561" s="176"/>
      <c r="S2561" s="176"/>
      <c r="T2561" s="176"/>
      <c r="U2561" s="176"/>
      <c r="V2561" s="176"/>
      <c r="W2561" s="176"/>
      <c r="X2561" s="176"/>
      <c r="Y2561" s="176"/>
    </row>
    <row r="2562" spans="1:25">
      <c r="A2562" s="91"/>
      <c r="B2562" s="176"/>
      <c r="C2562" s="176"/>
      <c r="D2562" s="176"/>
      <c r="E2562" s="176"/>
      <c r="F2562" s="176"/>
      <c r="G2562" s="176"/>
      <c r="H2562" s="176"/>
      <c r="I2562" s="176"/>
      <c r="J2562" s="176"/>
      <c r="K2562" s="176"/>
      <c r="L2562" s="176"/>
      <c r="M2562" s="176"/>
      <c r="N2562" s="176"/>
      <c r="O2562" s="176"/>
      <c r="P2562" s="176"/>
      <c r="Q2562" s="176"/>
      <c r="R2562" s="176"/>
      <c r="S2562" s="176"/>
      <c r="T2562" s="176"/>
      <c r="U2562" s="176"/>
      <c r="V2562" s="176"/>
      <c r="W2562" s="176"/>
      <c r="X2562" s="176"/>
      <c r="Y2562" s="176"/>
    </row>
    <row r="2563" spans="1:25">
      <c r="A2563" s="91"/>
      <c r="B2563" s="176"/>
      <c r="C2563" s="176"/>
      <c r="D2563" s="176"/>
      <c r="E2563" s="176"/>
      <c r="F2563" s="176"/>
      <c r="G2563" s="176"/>
      <c r="H2563" s="176"/>
      <c r="I2563" s="176"/>
      <c r="J2563" s="176"/>
      <c r="K2563" s="176"/>
      <c r="L2563" s="176"/>
      <c r="M2563" s="176"/>
      <c r="N2563" s="176"/>
      <c r="O2563" s="176"/>
      <c r="P2563" s="176"/>
      <c r="Q2563" s="176"/>
      <c r="R2563" s="176"/>
      <c r="S2563" s="176"/>
      <c r="T2563" s="176"/>
      <c r="U2563" s="176"/>
      <c r="V2563" s="176"/>
      <c r="W2563" s="176"/>
      <c r="X2563" s="176"/>
      <c r="Y2563" s="176"/>
    </row>
    <row r="2564" spans="1:25">
      <c r="A2564" s="91"/>
      <c r="B2564" s="176"/>
      <c r="C2564" s="176"/>
      <c r="D2564" s="176"/>
      <c r="E2564" s="176"/>
      <c r="F2564" s="176"/>
      <c r="G2564" s="176"/>
      <c r="H2564" s="176"/>
      <c r="I2564" s="176"/>
      <c r="J2564" s="176"/>
      <c r="K2564" s="176"/>
      <c r="L2564" s="176"/>
      <c r="M2564" s="176"/>
      <c r="N2564" s="176"/>
      <c r="O2564" s="176"/>
      <c r="P2564" s="176"/>
      <c r="Q2564" s="176"/>
      <c r="R2564" s="176"/>
      <c r="S2564" s="176"/>
      <c r="T2564" s="176"/>
      <c r="U2564" s="176"/>
      <c r="V2564" s="176"/>
      <c r="W2564" s="176"/>
      <c r="X2564" s="176"/>
      <c r="Y2564" s="176"/>
    </row>
    <row r="2565" spans="1:25">
      <c r="A2565" s="91"/>
      <c r="B2565" s="176"/>
      <c r="C2565" s="176"/>
      <c r="D2565" s="176"/>
      <c r="E2565" s="176"/>
      <c r="F2565" s="176"/>
      <c r="G2565" s="176"/>
      <c r="H2565" s="176"/>
      <c r="I2565" s="176"/>
      <c r="J2565" s="176"/>
      <c r="K2565" s="176"/>
      <c r="L2565" s="176"/>
      <c r="M2565" s="176"/>
      <c r="N2565" s="176"/>
      <c r="O2565" s="176"/>
      <c r="P2565" s="176"/>
      <c r="Q2565" s="176"/>
      <c r="R2565" s="176"/>
      <c r="S2565" s="176"/>
      <c r="T2565" s="176"/>
      <c r="U2565" s="176"/>
      <c r="V2565" s="176"/>
      <c r="W2565" s="176"/>
      <c r="X2565" s="176"/>
      <c r="Y2565" s="176"/>
    </row>
    <row r="2566" spans="1:25">
      <c r="A2566" s="91"/>
      <c r="B2566" s="176"/>
      <c r="C2566" s="176"/>
      <c r="D2566" s="176"/>
      <c r="E2566" s="176"/>
      <c r="F2566" s="176"/>
      <c r="G2566" s="176"/>
      <c r="H2566" s="176"/>
      <c r="I2566" s="176"/>
      <c r="J2566" s="176"/>
      <c r="K2566" s="176"/>
      <c r="L2566" s="176"/>
      <c r="M2566" s="176"/>
      <c r="N2566" s="176"/>
      <c r="O2566" s="176"/>
      <c r="P2566" s="176"/>
      <c r="Q2566" s="176"/>
      <c r="R2566" s="176"/>
      <c r="S2566" s="176"/>
      <c r="T2566" s="176"/>
      <c r="U2566" s="176"/>
      <c r="V2566" s="176"/>
      <c r="W2566" s="176"/>
      <c r="X2566" s="176"/>
      <c r="Y2566" s="176"/>
    </row>
    <row r="2567" spans="1:25">
      <c r="A2567" s="91"/>
      <c r="B2567" s="176"/>
      <c r="C2567" s="176"/>
      <c r="D2567" s="176"/>
      <c r="E2567" s="176"/>
      <c r="F2567" s="176"/>
      <c r="G2567" s="176"/>
      <c r="H2567" s="176"/>
      <c r="I2567" s="176"/>
      <c r="J2567" s="176"/>
      <c r="K2567" s="176"/>
      <c r="L2567" s="176"/>
      <c r="M2567" s="176"/>
      <c r="N2567" s="176"/>
      <c r="O2567" s="176"/>
      <c r="P2567" s="176"/>
      <c r="Q2567" s="176"/>
      <c r="R2567" s="176"/>
      <c r="S2567" s="176"/>
      <c r="T2567" s="176"/>
      <c r="U2567" s="176"/>
      <c r="V2567" s="176"/>
      <c r="W2567" s="176"/>
      <c r="X2567" s="176"/>
      <c r="Y2567" s="176"/>
    </row>
    <row r="2568" spans="1:25">
      <c r="A2568" s="91"/>
      <c r="B2568" s="176"/>
      <c r="C2568" s="176"/>
      <c r="D2568" s="176"/>
      <c r="E2568" s="176"/>
      <c r="F2568" s="176"/>
      <c r="G2568" s="176"/>
      <c r="H2568" s="176"/>
      <c r="I2568" s="176"/>
      <c r="J2568" s="176"/>
      <c r="K2568" s="176"/>
      <c r="L2568" s="176"/>
      <c r="M2568" s="176"/>
      <c r="N2568" s="176"/>
      <c r="O2568" s="176"/>
      <c r="P2568" s="176"/>
      <c r="Q2568" s="176"/>
      <c r="R2568" s="176"/>
      <c r="S2568" s="176"/>
      <c r="T2568" s="176"/>
      <c r="U2568" s="176"/>
      <c r="V2568" s="176"/>
      <c r="W2568" s="176"/>
      <c r="X2568" s="176"/>
      <c r="Y2568" s="176"/>
    </row>
    <row r="2569" spans="1:25">
      <c r="A2569" s="91"/>
      <c r="B2569" s="176"/>
      <c r="C2569" s="176"/>
      <c r="D2569" s="176"/>
      <c r="E2569" s="176"/>
      <c r="F2569" s="176"/>
      <c r="G2569" s="176"/>
      <c r="H2569" s="176"/>
      <c r="I2569" s="176"/>
      <c r="J2569" s="176"/>
      <c r="K2569" s="176"/>
      <c r="L2569" s="176"/>
      <c r="M2569" s="176"/>
      <c r="N2569" s="176"/>
      <c r="O2569" s="176"/>
      <c r="P2569" s="176"/>
      <c r="Q2569" s="176"/>
      <c r="R2569" s="176"/>
      <c r="S2569" s="176"/>
      <c r="T2569" s="176"/>
      <c r="U2569" s="176"/>
      <c r="V2569" s="176"/>
      <c r="W2569" s="176"/>
      <c r="X2569" s="176"/>
      <c r="Y2569" s="176"/>
    </row>
    <row r="2570" spans="1:25">
      <c r="A2570" s="91"/>
      <c r="B2570" s="176"/>
      <c r="C2570" s="176"/>
      <c r="D2570" s="176"/>
      <c r="E2570" s="176"/>
      <c r="F2570" s="176"/>
      <c r="G2570" s="176"/>
      <c r="H2570" s="176"/>
      <c r="I2570" s="176"/>
      <c r="J2570" s="176"/>
      <c r="K2570" s="176"/>
      <c r="L2570" s="176"/>
      <c r="M2570" s="176"/>
      <c r="N2570" s="176"/>
      <c r="O2570" s="176"/>
      <c r="P2570" s="176"/>
      <c r="Q2570" s="176"/>
      <c r="R2570" s="176"/>
      <c r="S2570" s="176"/>
      <c r="T2570" s="176"/>
      <c r="U2570" s="176"/>
      <c r="V2570" s="176"/>
      <c r="W2570" s="176"/>
      <c r="X2570" s="176"/>
      <c r="Y2570" s="176"/>
    </row>
    <row r="2571" spans="1:25">
      <c r="A2571" s="91"/>
      <c r="B2571" s="176"/>
      <c r="C2571" s="176"/>
      <c r="D2571" s="176"/>
      <c r="E2571" s="176"/>
      <c r="F2571" s="176"/>
      <c r="G2571" s="176"/>
      <c r="H2571" s="176"/>
      <c r="I2571" s="176"/>
      <c r="J2571" s="176"/>
      <c r="K2571" s="176"/>
      <c r="L2571" s="176"/>
      <c r="M2571" s="176"/>
      <c r="N2571" s="176"/>
      <c r="O2571" s="176"/>
      <c r="P2571" s="176"/>
      <c r="Q2571" s="176"/>
      <c r="R2571" s="176"/>
      <c r="S2571" s="176"/>
      <c r="T2571" s="176"/>
      <c r="U2571" s="176"/>
      <c r="V2571" s="176"/>
      <c r="W2571" s="176"/>
      <c r="X2571" s="176"/>
      <c r="Y2571" s="176"/>
    </row>
    <row r="2572" spans="1:25">
      <c r="A2572" s="91"/>
      <c r="B2572" s="176"/>
      <c r="C2572" s="176"/>
      <c r="D2572" s="176"/>
      <c r="E2572" s="176"/>
      <c r="F2572" s="176"/>
      <c r="G2572" s="176"/>
      <c r="H2572" s="176"/>
      <c r="I2572" s="176"/>
      <c r="J2572" s="176"/>
      <c r="K2572" s="176"/>
      <c r="L2572" s="176"/>
      <c r="M2572" s="176"/>
      <c r="N2572" s="176"/>
      <c r="O2572" s="176"/>
      <c r="P2572" s="176"/>
      <c r="Q2572" s="176"/>
      <c r="R2572" s="176"/>
      <c r="S2572" s="176"/>
      <c r="T2572" s="176"/>
      <c r="U2572" s="176"/>
      <c r="V2572" s="176"/>
      <c r="W2572" s="176"/>
      <c r="X2572" s="176"/>
      <c r="Y2572" s="176"/>
    </row>
    <row r="2573" spans="1:25">
      <c r="A2573" s="91"/>
      <c r="B2573" s="176"/>
      <c r="C2573" s="176"/>
      <c r="D2573" s="176"/>
      <c r="E2573" s="176"/>
      <c r="F2573" s="176"/>
      <c r="G2573" s="176"/>
      <c r="H2573" s="176"/>
      <c r="I2573" s="176"/>
      <c r="J2573" s="176"/>
      <c r="K2573" s="176"/>
      <c r="L2573" s="176"/>
      <c r="M2573" s="176"/>
      <c r="N2573" s="176"/>
      <c r="O2573" s="176"/>
      <c r="P2573" s="176"/>
      <c r="Q2573" s="176"/>
      <c r="R2573" s="176"/>
      <c r="S2573" s="176"/>
      <c r="T2573" s="176"/>
      <c r="U2573" s="176"/>
      <c r="V2573" s="176"/>
      <c r="W2573" s="176"/>
      <c r="X2573" s="176"/>
      <c r="Y2573" s="176"/>
    </row>
    <row r="2574" spans="1:25">
      <c r="A2574" s="91"/>
      <c r="B2574" s="176"/>
      <c r="C2574" s="176"/>
      <c r="D2574" s="176"/>
      <c r="E2574" s="176"/>
      <c r="F2574" s="176"/>
      <c r="G2574" s="176"/>
      <c r="H2574" s="176"/>
      <c r="I2574" s="176"/>
      <c r="J2574" s="176"/>
      <c r="K2574" s="176"/>
      <c r="L2574" s="176"/>
      <c r="M2574" s="176"/>
      <c r="N2574" s="176"/>
      <c r="O2574" s="176"/>
      <c r="P2574" s="176"/>
      <c r="Q2574" s="176"/>
      <c r="R2574" s="176"/>
      <c r="S2574" s="176"/>
      <c r="T2574" s="176"/>
      <c r="U2574" s="176"/>
      <c r="V2574" s="176"/>
      <c r="W2574" s="176"/>
      <c r="X2574" s="176"/>
      <c r="Y2574" s="176"/>
    </row>
    <row r="2575" spans="1:25">
      <c r="A2575" s="91"/>
      <c r="B2575" s="176"/>
      <c r="C2575" s="176"/>
      <c r="D2575" s="176"/>
      <c r="E2575" s="176"/>
      <c r="F2575" s="176"/>
      <c r="G2575" s="176"/>
      <c r="H2575" s="176"/>
      <c r="I2575" s="176"/>
      <c r="J2575" s="176"/>
      <c r="K2575" s="176"/>
      <c r="L2575" s="176"/>
      <c r="M2575" s="176"/>
      <c r="N2575" s="176"/>
      <c r="O2575" s="176"/>
      <c r="P2575" s="176"/>
      <c r="Q2575" s="176"/>
      <c r="R2575" s="176"/>
      <c r="S2575" s="176"/>
      <c r="T2575" s="176"/>
      <c r="U2575" s="176"/>
      <c r="V2575" s="176"/>
      <c r="W2575" s="176"/>
      <c r="X2575" s="176"/>
      <c r="Y2575" s="176"/>
    </row>
    <row r="2576" spans="1:25">
      <c r="A2576" s="91"/>
      <c r="B2576" s="176"/>
      <c r="C2576" s="176"/>
      <c r="D2576" s="176"/>
      <c r="E2576" s="176"/>
      <c r="F2576" s="176"/>
      <c r="G2576" s="176"/>
      <c r="H2576" s="176"/>
      <c r="I2576" s="176"/>
      <c r="J2576" s="176"/>
      <c r="K2576" s="176"/>
      <c r="L2576" s="176"/>
      <c r="M2576" s="176"/>
      <c r="N2576" s="176"/>
      <c r="O2576" s="176"/>
      <c r="P2576" s="176"/>
      <c r="Q2576" s="176"/>
      <c r="R2576" s="176"/>
      <c r="S2576" s="176"/>
      <c r="T2576" s="176"/>
      <c r="U2576" s="176"/>
      <c r="V2576" s="176"/>
      <c r="W2576" s="176"/>
      <c r="X2576" s="176"/>
      <c r="Y2576" s="176"/>
    </row>
    <row r="2577" spans="1:25">
      <c r="A2577" s="91"/>
      <c r="B2577" s="176"/>
      <c r="C2577" s="176"/>
      <c r="D2577" s="176"/>
      <c r="E2577" s="176"/>
      <c r="F2577" s="176"/>
      <c r="G2577" s="176"/>
      <c r="H2577" s="176"/>
      <c r="I2577" s="176"/>
      <c r="J2577" s="176"/>
      <c r="K2577" s="176"/>
      <c r="L2577" s="176"/>
      <c r="M2577" s="176"/>
      <c r="N2577" s="176"/>
      <c r="O2577" s="176"/>
      <c r="P2577" s="176"/>
      <c r="Q2577" s="176"/>
      <c r="R2577" s="176"/>
      <c r="S2577" s="176"/>
      <c r="T2577" s="176"/>
      <c r="U2577" s="176"/>
      <c r="V2577" s="176"/>
      <c r="W2577" s="176"/>
      <c r="X2577" s="176"/>
      <c r="Y2577" s="176"/>
    </row>
    <row r="2578" spans="1:25">
      <c r="A2578" s="91"/>
      <c r="B2578" s="176"/>
      <c r="C2578" s="176"/>
      <c r="D2578" s="176"/>
      <c r="E2578" s="176"/>
      <c r="F2578" s="176"/>
      <c r="G2578" s="176"/>
      <c r="H2578" s="176"/>
      <c r="I2578" s="176"/>
      <c r="J2578" s="176"/>
      <c r="K2578" s="176"/>
      <c r="L2578" s="176"/>
      <c r="M2578" s="176"/>
      <c r="N2578" s="176"/>
      <c r="O2578" s="176"/>
      <c r="P2578" s="176"/>
      <c r="Q2578" s="176"/>
      <c r="R2578" s="176"/>
      <c r="S2578" s="176"/>
      <c r="T2578" s="176"/>
      <c r="U2578" s="176"/>
      <c r="V2578" s="176"/>
      <c r="W2578" s="176"/>
      <c r="X2578" s="176"/>
      <c r="Y2578" s="176"/>
    </row>
    <row r="2579" spans="1:25">
      <c r="A2579" s="91"/>
      <c r="B2579" s="176"/>
      <c r="C2579" s="176"/>
      <c r="D2579" s="176"/>
      <c r="E2579" s="176"/>
      <c r="F2579" s="176"/>
      <c r="G2579" s="176"/>
      <c r="H2579" s="176"/>
      <c r="I2579" s="176"/>
      <c r="J2579" s="176"/>
      <c r="K2579" s="176"/>
      <c r="L2579" s="176"/>
      <c r="M2579" s="176"/>
      <c r="N2579" s="176"/>
      <c r="O2579" s="176"/>
      <c r="P2579" s="176"/>
      <c r="Q2579" s="176"/>
      <c r="R2579" s="176"/>
      <c r="S2579" s="176"/>
      <c r="T2579" s="176"/>
      <c r="U2579" s="176"/>
      <c r="V2579" s="176"/>
      <c r="W2579" s="176"/>
      <c r="X2579" s="176"/>
      <c r="Y2579" s="176"/>
    </row>
    <row r="2580" spans="1:25">
      <c r="A2580" s="91"/>
      <c r="B2580" s="176"/>
      <c r="C2580" s="176"/>
      <c r="D2580" s="176"/>
      <c r="E2580" s="176"/>
      <c r="F2580" s="176"/>
      <c r="G2580" s="176"/>
      <c r="H2580" s="176"/>
      <c r="I2580" s="176"/>
      <c r="J2580" s="176"/>
      <c r="K2580" s="176"/>
      <c r="L2580" s="176"/>
      <c r="M2580" s="176"/>
      <c r="N2580" s="176"/>
      <c r="O2580" s="176"/>
      <c r="P2580" s="176"/>
      <c r="Q2580" s="176"/>
      <c r="R2580" s="176"/>
      <c r="S2580" s="176"/>
      <c r="T2580" s="176"/>
      <c r="U2580" s="176"/>
      <c r="V2580" s="176"/>
      <c r="W2580" s="176"/>
      <c r="X2580" s="176"/>
      <c r="Y2580" s="176"/>
    </row>
    <row r="2581" spans="1:25">
      <c r="A2581" s="91"/>
      <c r="B2581" s="176"/>
      <c r="C2581" s="176"/>
      <c r="D2581" s="176"/>
      <c r="E2581" s="176"/>
      <c r="F2581" s="176"/>
      <c r="G2581" s="176"/>
      <c r="H2581" s="176"/>
      <c r="I2581" s="176"/>
      <c r="J2581" s="176"/>
      <c r="K2581" s="176"/>
      <c r="L2581" s="176"/>
      <c r="M2581" s="176"/>
      <c r="N2581" s="176"/>
      <c r="O2581" s="176"/>
      <c r="P2581" s="176"/>
      <c r="Q2581" s="176"/>
      <c r="R2581" s="176"/>
      <c r="S2581" s="176"/>
      <c r="T2581" s="176"/>
      <c r="U2581" s="176"/>
      <c r="V2581" s="176"/>
      <c r="W2581" s="176"/>
      <c r="X2581" s="176"/>
      <c r="Y2581" s="176"/>
    </row>
    <row r="2582" spans="1:25">
      <c r="A2582" s="91"/>
      <c r="B2582" s="176"/>
      <c r="C2582" s="176"/>
      <c r="D2582" s="176"/>
      <c r="E2582" s="176"/>
      <c r="F2582" s="176"/>
      <c r="G2582" s="176"/>
      <c r="H2582" s="176"/>
      <c r="I2582" s="176"/>
      <c r="J2582" s="176"/>
      <c r="K2582" s="176"/>
      <c r="L2582" s="176"/>
      <c r="M2582" s="176"/>
      <c r="N2582" s="176"/>
      <c r="O2582" s="176"/>
      <c r="P2582" s="176"/>
      <c r="Q2582" s="176"/>
      <c r="R2582" s="176"/>
      <c r="S2582" s="176"/>
      <c r="T2582" s="176"/>
      <c r="U2582" s="176"/>
      <c r="V2582" s="176"/>
      <c r="W2582" s="176"/>
      <c r="X2582" s="176"/>
      <c r="Y2582" s="176"/>
    </row>
    <row r="2583" spans="1:25">
      <c r="A2583" s="91"/>
      <c r="B2583" s="176"/>
      <c r="C2583" s="176"/>
      <c r="D2583" s="176"/>
      <c r="E2583" s="176"/>
      <c r="F2583" s="176"/>
      <c r="G2583" s="176"/>
      <c r="H2583" s="176"/>
      <c r="I2583" s="176"/>
      <c r="J2583" s="176"/>
      <c r="K2583" s="176"/>
      <c r="L2583" s="176"/>
      <c r="M2583" s="176"/>
      <c r="N2583" s="176"/>
      <c r="O2583" s="176"/>
      <c r="P2583" s="176"/>
      <c r="Q2583" s="176"/>
      <c r="R2583" s="176"/>
      <c r="S2583" s="176"/>
      <c r="T2583" s="176"/>
      <c r="U2583" s="176"/>
      <c r="V2583" s="176"/>
      <c r="W2583" s="176"/>
      <c r="X2583" s="176"/>
      <c r="Y2583" s="176"/>
    </row>
    <row r="2584" spans="1:25">
      <c r="A2584" s="91"/>
      <c r="B2584" s="176"/>
      <c r="C2584" s="176"/>
      <c r="D2584" s="176"/>
      <c r="E2584" s="176"/>
      <c r="F2584" s="176"/>
      <c r="G2584" s="176"/>
      <c r="H2584" s="176"/>
      <c r="I2584" s="176"/>
      <c r="J2584" s="176"/>
      <c r="K2584" s="176"/>
      <c r="L2584" s="176"/>
      <c r="M2584" s="176"/>
      <c r="N2584" s="176"/>
      <c r="O2584" s="176"/>
      <c r="P2584" s="176"/>
      <c r="Q2584" s="176"/>
      <c r="R2584" s="176"/>
      <c r="S2584" s="176"/>
      <c r="T2584" s="176"/>
      <c r="U2584" s="176"/>
      <c r="V2584" s="176"/>
      <c r="W2584" s="176"/>
      <c r="X2584" s="176"/>
      <c r="Y2584" s="176"/>
    </row>
    <row r="2585" spans="1:25">
      <c r="A2585" s="91"/>
      <c r="B2585" s="176"/>
      <c r="C2585" s="176"/>
      <c r="D2585" s="176"/>
      <c r="E2585" s="176"/>
      <c r="F2585" s="176"/>
      <c r="G2585" s="176"/>
      <c r="H2585" s="176"/>
      <c r="I2585" s="176"/>
      <c r="J2585" s="176"/>
      <c r="K2585" s="176"/>
      <c r="L2585" s="176"/>
      <c r="M2585" s="176"/>
      <c r="N2585" s="176"/>
      <c r="O2585" s="176"/>
      <c r="P2585" s="176"/>
      <c r="Q2585" s="176"/>
      <c r="R2585" s="176"/>
      <c r="S2585" s="176"/>
      <c r="T2585" s="176"/>
      <c r="U2585" s="176"/>
      <c r="V2585" s="176"/>
      <c r="W2585" s="176"/>
      <c r="X2585" s="176"/>
      <c r="Y2585" s="176"/>
    </row>
    <row r="2586" spans="1:25">
      <c r="A2586" s="91"/>
      <c r="B2586" s="176"/>
      <c r="C2586" s="176"/>
      <c r="D2586" s="176"/>
      <c r="E2586" s="176"/>
      <c r="F2586" s="176"/>
      <c r="G2586" s="176"/>
      <c r="H2586" s="176"/>
      <c r="I2586" s="176"/>
      <c r="J2586" s="176"/>
      <c r="K2586" s="176"/>
      <c r="L2586" s="176"/>
      <c r="M2586" s="176"/>
      <c r="N2586" s="176"/>
      <c r="O2586" s="176"/>
      <c r="P2586" s="176"/>
      <c r="Q2586" s="176"/>
      <c r="R2586" s="176"/>
      <c r="S2586" s="176"/>
      <c r="T2586" s="176"/>
      <c r="U2586" s="176"/>
      <c r="V2586" s="176"/>
      <c r="W2586" s="176"/>
      <c r="X2586" s="176"/>
      <c r="Y2586" s="176"/>
    </row>
    <row r="2587" spans="1:25">
      <c r="A2587" s="91"/>
      <c r="B2587" s="176"/>
      <c r="C2587" s="176"/>
      <c r="D2587" s="176"/>
      <c r="E2587" s="176"/>
      <c r="F2587" s="176"/>
      <c r="G2587" s="176"/>
      <c r="H2587" s="176"/>
      <c r="I2587" s="176"/>
      <c r="J2587" s="176"/>
      <c r="K2587" s="176"/>
      <c r="L2587" s="176"/>
      <c r="M2587" s="176"/>
      <c r="N2587" s="176"/>
      <c r="O2587" s="176"/>
      <c r="P2587" s="176"/>
      <c r="Q2587" s="176"/>
      <c r="R2587" s="176"/>
      <c r="S2587" s="176"/>
      <c r="T2587" s="176"/>
      <c r="U2587" s="176"/>
      <c r="V2587" s="176"/>
      <c r="W2587" s="176"/>
      <c r="X2587" s="176"/>
      <c r="Y2587" s="176"/>
    </row>
    <row r="2588" spans="1:25">
      <c r="A2588" s="91"/>
      <c r="B2588" s="176"/>
      <c r="C2588" s="176"/>
      <c r="D2588" s="176"/>
      <c r="E2588" s="176"/>
      <c r="F2588" s="176"/>
      <c r="G2588" s="176"/>
      <c r="H2588" s="176"/>
      <c r="I2588" s="176"/>
      <c r="J2588" s="176"/>
      <c r="K2588" s="176"/>
      <c r="L2588" s="176"/>
      <c r="M2588" s="176"/>
      <c r="N2588" s="176"/>
      <c r="O2588" s="176"/>
      <c r="P2588" s="176"/>
      <c r="Q2588" s="176"/>
      <c r="R2588" s="176"/>
      <c r="S2588" s="176"/>
      <c r="T2588" s="176"/>
      <c r="U2588" s="176"/>
      <c r="V2588" s="176"/>
      <c r="W2588" s="176"/>
      <c r="X2588" s="176"/>
      <c r="Y2588" s="176"/>
    </row>
    <row r="2589" spans="1:25">
      <c r="A2589" s="91"/>
      <c r="B2589" s="176"/>
      <c r="C2589" s="176"/>
      <c r="D2589" s="176"/>
      <c r="E2589" s="176"/>
      <c r="F2589" s="176"/>
      <c r="G2589" s="176"/>
      <c r="H2589" s="176"/>
      <c r="I2589" s="176"/>
      <c r="J2589" s="176"/>
      <c r="K2589" s="176"/>
      <c r="L2589" s="176"/>
      <c r="M2589" s="176"/>
      <c r="N2589" s="176"/>
      <c r="O2589" s="176"/>
      <c r="P2589" s="176"/>
      <c r="Q2589" s="176"/>
      <c r="R2589" s="176"/>
      <c r="S2589" s="176"/>
      <c r="T2589" s="176"/>
      <c r="U2589" s="176"/>
      <c r="V2589" s="176"/>
      <c r="W2589" s="176"/>
      <c r="X2589" s="176"/>
      <c r="Y2589" s="176"/>
    </row>
    <row r="2590" spans="1:25">
      <c r="A2590" s="91"/>
      <c r="B2590" s="176"/>
      <c r="C2590" s="176"/>
      <c r="D2590" s="176"/>
      <c r="E2590" s="176"/>
      <c r="F2590" s="176"/>
      <c r="G2590" s="176"/>
      <c r="H2590" s="176"/>
      <c r="I2590" s="176"/>
      <c r="J2590" s="176"/>
      <c r="K2590" s="176"/>
      <c r="L2590" s="176"/>
      <c r="M2590" s="176"/>
      <c r="N2590" s="176"/>
      <c r="O2590" s="176"/>
      <c r="P2590" s="176"/>
      <c r="Q2590" s="176"/>
      <c r="R2590" s="176"/>
      <c r="S2590" s="176"/>
      <c r="T2590" s="176"/>
      <c r="U2590" s="176"/>
      <c r="V2590" s="176"/>
      <c r="W2590" s="176"/>
      <c r="X2590" s="176"/>
      <c r="Y2590" s="176"/>
    </row>
    <row r="2591" spans="1:25">
      <c r="A2591" s="91"/>
      <c r="B2591" s="176"/>
      <c r="C2591" s="176"/>
      <c r="D2591" s="176"/>
      <c r="E2591" s="176"/>
      <c r="F2591" s="176"/>
      <c r="G2591" s="176"/>
      <c r="H2591" s="176"/>
      <c r="I2591" s="176"/>
      <c r="J2591" s="176"/>
      <c r="K2591" s="176"/>
      <c r="L2591" s="176"/>
      <c r="M2591" s="176"/>
      <c r="N2591" s="176"/>
      <c r="O2591" s="176"/>
      <c r="P2591" s="176"/>
      <c r="Q2591" s="176"/>
      <c r="R2591" s="176"/>
      <c r="S2591" s="176"/>
      <c r="T2591" s="176"/>
      <c r="U2591" s="176"/>
      <c r="V2591" s="176"/>
      <c r="W2591" s="176"/>
      <c r="X2591" s="176"/>
      <c r="Y2591" s="176"/>
    </row>
    <row r="2592" spans="1:25">
      <c r="A2592" s="91"/>
      <c r="B2592" s="176"/>
      <c r="C2592" s="176"/>
      <c r="D2592" s="176"/>
      <c r="E2592" s="176"/>
      <c r="F2592" s="176"/>
      <c r="G2592" s="176"/>
      <c r="H2592" s="176"/>
      <c r="I2592" s="176"/>
      <c r="J2592" s="176"/>
      <c r="K2592" s="176"/>
      <c r="L2592" s="176"/>
      <c r="M2592" s="176"/>
      <c r="N2592" s="176"/>
      <c r="O2592" s="176"/>
      <c r="P2592" s="176"/>
      <c r="Q2592" s="176"/>
      <c r="R2592" s="176"/>
      <c r="S2592" s="176"/>
      <c r="T2592" s="176"/>
      <c r="U2592" s="176"/>
      <c r="V2592" s="176"/>
      <c r="W2592" s="176"/>
      <c r="X2592" s="176"/>
      <c r="Y2592" s="176"/>
    </row>
    <row r="2593" spans="1:25">
      <c r="A2593" s="91"/>
      <c r="B2593" s="176"/>
      <c r="C2593" s="176"/>
      <c r="D2593" s="176"/>
      <c r="E2593" s="176"/>
      <c r="F2593" s="176"/>
      <c r="G2593" s="176"/>
      <c r="H2593" s="176"/>
      <c r="I2593" s="176"/>
      <c r="J2593" s="176"/>
      <c r="K2593" s="176"/>
      <c r="L2593" s="176"/>
      <c r="M2593" s="176"/>
      <c r="N2593" s="176"/>
      <c r="O2593" s="176"/>
      <c r="P2593" s="176"/>
      <c r="Q2593" s="176"/>
      <c r="R2593" s="176"/>
      <c r="S2593" s="176"/>
      <c r="T2593" s="176"/>
      <c r="U2593" s="176"/>
      <c r="V2593" s="176"/>
      <c r="W2593" s="176"/>
      <c r="X2593" s="176"/>
      <c r="Y2593" s="176"/>
    </row>
    <row r="2594" spans="1:25">
      <c r="A2594" s="91"/>
      <c r="B2594" s="176"/>
      <c r="C2594" s="176"/>
      <c r="D2594" s="176"/>
      <c r="E2594" s="176"/>
      <c r="F2594" s="176"/>
      <c r="G2594" s="176"/>
      <c r="H2594" s="176"/>
      <c r="I2594" s="176"/>
      <c r="J2594" s="176"/>
      <c r="K2594" s="176"/>
      <c r="L2594" s="176"/>
      <c r="M2594" s="176"/>
      <c r="N2594" s="176"/>
      <c r="O2594" s="176"/>
      <c r="P2594" s="176"/>
      <c r="Q2594" s="176"/>
      <c r="R2594" s="176"/>
      <c r="S2594" s="176"/>
      <c r="T2594" s="176"/>
      <c r="U2594" s="176"/>
      <c r="V2594" s="176"/>
      <c r="W2594" s="176"/>
      <c r="X2594" s="176"/>
      <c r="Y2594" s="176"/>
    </row>
    <row r="2595" spans="1:25">
      <c r="A2595" s="91"/>
      <c r="B2595" s="176"/>
      <c r="C2595" s="176"/>
      <c r="D2595" s="176"/>
      <c r="E2595" s="176"/>
      <c r="F2595" s="176"/>
      <c r="G2595" s="176"/>
      <c r="H2595" s="176"/>
      <c r="I2595" s="176"/>
      <c r="J2595" s="176"/>
      <c r="K2595" s="176"/>
      <c r="L2595" s="176"/>
      <c r="M2595" s="176"/>
      <c r="N2595" s="176"/>
      <c r="O2595" s="176"/>
      <c r="P2595" s="176"/>
      <c r="Q2595" s="176"/>
      <c r="R2595" s="176"/>
      <c r="S2595" s="176"/>
      <c r="T2595" s="176"/>
      <c r="U2595" s="176"/>
      <c r="V2595" s="176"/>
      <c r="W2595" s="176"/>
      <c r="X2595" s="176"/>
      <c r="Y2595" s="176"/>
    </row>
    <row r="2596" spans="1:25">
      <c r="A2596" s="91"/>
      <c r="B2596" s="176"/>
      <c r="C2596" s="176"/>
      <c r="D2596" s="176"/>
      <c r="E2596" s="176"/>
      <c r="F2596" s="176"/>
      <c r="G2596" s="176"/>
      <c r="H2596" s="176"/>
      <c r="I2596" s="176"/>
      <c r="J2596" s="176"/>
      <c r="K2596" s="176"/>
      <c r="L2596" s="176"/>
      <c r="M2596" s="176"/>
      <c r="N2596" s="176"/>
      <c r="O2596" s="176"/>
      <c r="P2596" s="176"/>
      <c r="Q2596" s="176"/>
      <c r="R2596" s="176"/>
      <c r="S2596" s="176"/>
      <c r="T2596" s="176"/>
      <c r="U2596" s="176"/>
      <c r="V2596" s="176"/>
      <c r="W2596" s="176"/>
      <c r="X2596" s="176"/>
      <c r="Y2596" s="176"/>
    </row>
    <row r="2597" spans="1:25">
      <c r="A2597" s="91"/>
      <c r="B2597" s="176"/>
      <c r="C2597" s="176"/>
      <c r="D2597" s="176"/>
      <c r="E2597" s="176"/>
      <c r="F2597" s="176"/>
      <c r="G2597" s="176"/>
      <c r="H2597" s="176"/>
      <c r="I2597" s="176"/>
      <c r="J2597" s="176"/>
      <c r="K2597" s="176"/>
      <c r="L2597" s="176"/>
      <c r="M2597" s="176"/>
      <c r="N2597" s="176"/>
      <c r="O2597" s="176"/>
      <c r="P2597" s="176"/>
      <c r="Q2597" s="176"/>
      <c r="R2597" s="176"/>
      <c r="S2597" s="176"/>
      <c r="T2597" s="176"/>
      <c r="U2597" s="176"/>
      <c r="V2597" s="176"/>
      <c r="W2597" s="176"/>
      <c r="X2597" s="176"/>
      <c r="Y2597" s="176"/>
    </row>
    <row r="2598" spans="1:25">
      <c r="A2598" s="91"/>
      <c r="B2598" s="176"/>
      <c r="C2598" s="176"/>
      <c r="D2598" s="176"/>
      <c r="E2598" s="176"/>
      <c r="F2598" s="176"/>
      <c r="G2598" s="176"/>
      <c r="H2598" s="176"/>
      <c r="I2598" s="176"/>
      <c r="J2598" s="176"/>
      <c r="K2598" s="176"/>
      <c r="L2598" s="176"/>
      <c r="M2598" s="176"/>
      <c r="N2598" s="176"/>
      <c r="O2598" s="176"/>
      <c r="P2598" s="176"/>
      <c r="Q2598" s="176"/>
      <c r="R2598" s="176"/>
      <c r="S2598" s="176"/>
      <c r="T2598" s="176"/>
      <c r="U2598" s="176"/>
      <c r="V2598" s="176"/>
      <c r="W2598" s="176"/>
      <c r="X2598" s="176"/>
      <c r="Y2598" s="176"/>
    </row>
    <row r="2599" spans="1:25">
      <c r="A2599" s="91"/>
      <c r="B2599" s="176"/>
      <c r="C2599" s="176"/>
      <c r="D2599" s="176"/>
      <c r="E2599" s="176"/>
      <c r="F2599" s="176"/>
      <c r="G2599" s="176"/>
      <c r="H2599" s="176"/>
      <c r="I2599" s="176"/>
      <c r="J2599" s="176"/>
      <c r="K2599" s="176"/>
      <c r="L2599" s="176"/>
      <c r="M2599" s="176"/>
      <c r="N2599" s="176"/>
      <c r="O2599" s="176"/>
      <c r="P2599" s="176"/>
      <c r="Q2599" s="176"/>
      <c r="R2599" s="176"/>
      <c r="S2599" s="176"/>
      <c r="T2599" s="176"/>
      <c r="U2599" s="176"/>
      <c r="V2599" s="176"/>
      <c r="W2599" s="176"/>
      <c r="X2599" s="176"/>
      <c r="Y2599" s="176"/>
    </row>
    <row r="2600" spans="1:25">
      <c r="A2600" s="91"/>
      <c r="B2600" s="176"/>
      <c r="C2600" s="176"/>
      <c r="D2600" s="176"/>
      <c r="E2600" s="176"/>
      <c r="F2600" s="176"/>
      <c r="G2600" s="176"/>
      <c r="H2600" s="176"/>
      <c r="I2600" s="176"/>
      <c r="J2600" s="176"/>
      <c r="K2600" s="176"/>
      <c r="L2600" s="176"/>
      <c r="M2600" s="176"/>
      <c r="N2600" s="176"/>
      <c r="O2600" s="176"/>
      <c r="P2600" s="176"/>
      <c r="Q2600" s="176"/>
      <c r="R2600" s="176"/>
      <c r="S2600" s="176"/>
      <c r="T2600" s="176"/>
      <c r="U2600" s="176"/>
      <c r="V2600" s="176"/>
      <c r="W2600" s="176"/>
      <c r="X2600" s="176"/>
      <c r="Y2600" s="176"/>
    </row>
    <row r="2601" spans="1:25">
      <c r="A2601" s="91"/>
      <c r="B2601" s="176"/>
      <c r="C2601" s="176"/>
      <c r="D2601" s="176"/>
      <c r="E2601" s="176"/>
      <c r="F2601" s="176"/>
      <c r="G2601" s="176"/>
      <c r="H2601" s="176"/>
      <c r="I2601" s="176"/>
      <c r="J2601" s="176"/>
      <c r="K2601" s="176"/>
      <c r="L2601" s="176"/>
      <c r="M2601" s="176"/>
      <c r="N2601" s="176"/>
      <c r="O2601" s="176"/>
      <c r="P2601" s="176"/>
      <c r="Q2601" s="176"/>
      <c r="R2601" s="176"/>
      <c r="S2601" s="176"/>
      <c r="T2601" s="176"/>
      <c r="U2601" s="176"/>
      <c r="V2601" s="176"/>
      <c r="W2601" s="176"/>
      <c r="X2601" s="176"/>
      <c r="Y2601" s="176"/>
    </row>
    <row r="2602" spans="1:25">
      <c r="A2602" s="91"/>
      <c r="B2602" s="176"/>
      <c r="C2602" s="176"/>
      <c r="D2602" s="176"/>
      <c r="E2602" s="176"/>
      <c r="F2602" s="176"/>
      <c r="G2602" s="176"/>
      <c r="H2602" s="176"/>
      <c r="I2602" s="176"/>
      <c r="J2602" s="176"/>
      <c r="K2602" s="176"/>
      <c r="L2602" s="176"/>
      <c r="M2602" s="176"/>
      <c r="N2602" s="176"/>
      <c r="O2602" s="176"/>
      <c r="P2602" s="176"/>
      <c r="Q2602" s="176"/>
      <c r="R2602" s="176"/>
      <c r="S2602" s="176"/>
      <c r="T2602" s="176"/>
      <c r="U2602" s="176"/>
      <c r="V2602" s="176"/>
      <c r="W2602" s="176"/>
      <c r="X2602" s="176"/>
      <c r="Y2602" s="176"/>
    </row>
    <row r="2603" spans="1:25">
      <c r="A2603" s="91"/>
      <c r="B2603" s="176"/>
      <c r="C2603" s="176"/>
      <c r="D2603" s="176"/>
      <c r="E2603" s="176"/>
      <c r="F2603" s="176"/>
      <c r="G2603" s="176"/>
      <c r="H2603" s="176"/>
      <c r="I2603" s="176"/>
      <c r="J2603" s="176"/>
      <c r="K2603" s="176"/>
      <c r="L2603" s="176"/>
      <c r="M2603" s="176"/>
      <c r="N2603" s="176"/>
      <c r="O2603" s="176"/>
      <c r="P2603" s="176"/>
      <c r="Q2603" s="176"/>
      <c r="R2603" s="176"/>
      <c r="S2603" s="176"/>
      <c r="T2603" s="176"/>
      <c r="U2603" s="176"/>
      <c r="V2603" s="176"/>
      <c r="W2603" s="176"/>
      <c r="X2603" s="176"/>
      <c r="Y2603" s="176"/>
    </row>
    <row r="2604" spans="1:25">
      <c r="A2604" s="91"/>
      <c r="B2604" s="176"/>
      <c r="C2604" s="176"/>
      <c r="D2604" s="176"/>
      <c r="E2604" s="176"/>
      <c r="F2604" s="176"/>
      <c r="G2604" s="176"/>
      <c r="H2604" s="176"/>
      <c r="I2604" s="176"/>
      <c r="J2604" s="176"/>
      <c r="K2604" s="176"/>
      <c r="L2604" s="176"/>
      <c r="M2604" s="176"/>
      <c r="N2604" s="176"/>
      <c r="O2604" s="176"/>
      <c r="P2604" s="176"/>
      <c r="Q2604" s="176"/>
      <c r="R2604" s="176"/>
      <c r="S2604" s="176"/>
      <c r="T2604" s="176"/>
      <c r="U2604" s="176"/>
      <c r="V2604" s="176"/>
      <c r="W2604" s="176"/>
      <c r="X2604" s="176"/>
      <c r="Y2604" s="176"/>
    </row>
    <row r="2605" spans="1:25">
      <c r="A2605" s="91"/>
      <c r="B2605" s="176"/>
      <c r="C2605" s="176"/>
      <c r="D2605" s="176"/>
      <c r="E2605" s="176"/>
      <c r="F2605" s="176"/>
      <c r="G2605" s="176"/>
      <c r="H2605" s="176"/>
      <c r="I2605" s="176"/>
      <c r="J2605" s="176"/>
      <c r="K2605" s="176"/>
      <c r="L2605" s="176"/>
      <c r="M2605" s="176"/>
      <c r="N2605" s="176"/>
      <c r="O2605" s="176"/>
      <c r="P2605" s="176"/>
      <c r="Q2605" s="176"/>
      <c r="R2605" s="176"/>
      <c r="S2605" s="176"/>
      <c r="T2605" s="176"/>
      <c r="U2605" s="176"/>
      <c r="V2605" s="176"/>
      <c r="W2605" s="176"/>
      <c r="X2605" s="176"/>
      <c r="Y2605" s="176"/>
    </row>
    <row r="2606" spans="1:25">
      <c r="A2606" s="91"/>
      <c r="B2606" s="176"/>
      <c r="C2606" s="176"/>
      <c r="D2606" s="176"/>
      <c r="E2606" s="176"/>
      <c r="F2606" s="176"/>
      <c r="G2606" s="176"/>
      <c r="H2606" s="176"/>
      <c r="I2606" s="176"/>
      <c r="J2606" s="176"/>
      <c r="K2606" s="176"/>
      <c r="L2606" s="176"/>
      <c r="M2606" s="176"/>
      <c r="N2606" s="176"/>
      <c r="O2606" s="176"/>
      <c r="P2606" s="176"/>
      <c r="Q2606" s="176"/>
      <c r="R2606" s="176"/>
      <c r="S2606" s="176"/>
      <c r="T2606" s="176"/>
      <c r="U2606" s="176"/>
      <c r="V2606" s="176"/>
      <c r="W2606" s="176"/>
      <c r="X2606" s="176"/>
      <c r="Y2606" s="176"/>
    </row>
    <row r="2607" spans="1:25">
      <c r="A2607" s="91"/>
      <c r="B2607" s="176"/>
      <c r="C2607" s="176"/>
      <c r="D2607" s="176"/>
      <c r="E2607" s="176"/>
      <c r="F2607" s="176"/>
      <c r="G2607" s="176"/>
      <c r="H2607" s="176"/>
      <c r="I2607" s="176"/>
      <c r="J2607" s="176"/>
      <c r="K2607" s="176"/>
      <c r="L2607" s="176"/>
      <c r="M2607" s="176"/>
      <c r="N2607" s="176"/>
      <c r="O2607" s="176"/>
      <c r="P2607" s="176"/>
      <c r="Q2607" s="176"/>
      <c r="R2607" s="176"/>
      <c r="S2607" s="176"/>
      <c r="T2607" s="176"/>
      <c r="U2607" s="176"/>
      <c r="V2607" s="176"/>
      <c r="W2607" s="176"/>
      <c r="X2607" s="176"/>
      <c r="Y2607" s="176"/>
    </row>
    <row r="2608" spans="1:25">
      <c r="A2608" s="91"/>
      <c r="B2608" s="176"/>
      <c r="C2608" s="176"/>
      <c r="D2608" s="176"/>
      <c r="E2608" s="176"/>
      <c r="F2608" s="176"/>
      <c r="G2608" s="176"/>
      <c r="H2608" s="176"/>
      <c r="I2608" s="176"/>
      <c r="J2608" s="176"/>
      <c r="K2608" s="176"/>
      <c r="L2608" s="176"/>
      <c r="M2608" s="176"/>
      <c r="N2608" s="176"/>
      <c r="O2608" s="176"/>
      <c r="P2608" s="176"/>
      <c r="Q2608" s="176"/>
      <c r="R2608" s="176"/>
      <c r="S2608" s="176"/>
      <c r="T2608" s="176"/>
      <c r="U2608" s="176"/>
      <c r="V2608" s="176"/>
      <c r="W2608" s="176"/>
      <c r="X2608" s="176"/>
      <c r="Y2608" s="176"/>
    </row>
    <row r="2609" spans="1:25">
      <c r="A2609" s="91"/>
      <c r="B2609" s="176"/>
      <c r="C2609" s="176"/>
      <c r="D2609" s="176"/>
      <c r="E2609" s="176"/>
      <c r="F2609" s="176"/>
      <c r="G2609" s="176"/>
      <c r="H2609" s="176"/>
      <c r="I2609" s="176"/>
      <c r="J2609" s="176"/>
      <c r="K2609" s="176"/>
      <c r="L2609" s="176"/>
      <c r="M2609" s="176"/>
      <c r="N2609" s="176"/>
      <c r="O2609" s="176"/>
      <c r="P2609" s="176"/>
      <c r="Q2609" s="176"/>
      <c r="R2609" s="176"/>
      <c r="S2609" s="176"/>
      <c r="T2609" s="176"/>
      <c r="U2609" s="176"/>
      <c r="V2609" s="176"/>
      <c r="W2609" s="176"/>
      <c r="X2609" s="176"/>
      <c r="Y2609" s="176"/>
    </row>
    <row r="2610" spans="1:25">
      <c r="A2610" s="91"/>
      <c r="B2610" s="176"/>
      <c r="C2610" s="176"/>
      <c r="D2610" s="176"/>
      <c r="E2610" s="176"/>
      <c r="F2610" s="176"/>
      <c r="G2610" s="176"/>
      <c r="H2610" s="176"/>
      <c r="I2610" s="176"/>
      <c r="J2610" s="176"/>
      <c r="K2610" s="176"/>
      <c r="L2610" s="176"/>
      <c r="M2610" s="176"/>
      <c r="N2610" s="176"/>
      <c r="O2610" s="176"/>
      <c r="P2610" s="176"/>
      <c r="Q2610" s="176"/>
      <c r="R2610" s="176"/>
      <c r="S2610" s="176"/>
      <c r="T2610" s="176"/>
      <c r="U2610" s="176"/>
      <c r="V2610" s="176"/>
      <c r="W2610" s="176"/>
      <c r="X2610" s="176"/>
      <c r="Y2610" s="176"/>
    </row>
    <row r="2611" spans="1:25">
      <c r="A2611" s="91"/>
      <c r="B2611" s="176"/>
      <c r="C2611" s="176"/>
      <c r="D2611" s="176"/>
      <c r="E2611" s="176"/>
      <c r="F2611" s="176"/>
      <c r="G2611" s="176"/>
      <c r="H2611" s="176"/>
      <c r="I2611" s="176"/>
      <c r="J2611" s="176"/>
      <c r="K2611" s="176"/>
      <c r="L2611" s="176"/>
      <c r="M2611" s="176"/>
      <c r="N2611" s="176"/>
      <c r="O2611" s="176"/>
      <c r="P2611" s="176"/>
      <c r="Q2611" s="176"/>
      <c r="R2611" s="176"/>
      <c r="S2611" s="176"/>
      <c r="T2611" s="176"/>
      <c r="U2611" s="176"/>
      <c r="V2611" s="176"/>
      <c r="W2611" s="176"/>
      <c r="X2611" s="176"/>
      <c r="Y2611" s="176"/>
    </row>
    <row r="2612" spans="1:25">
      <c r="A2612" s="91"/>
      <c r="B2612" s="176"/>
      <c r="C2612" s="176"/>
      <c r="D2612" s="176"/>
      <c r="E2612" s="176"/>
      <c r="F2612" s="176"/>
      <c r="G2612" s="176"/>
      <c r="H2612" s="176"/>
      <c r="I2612" s="176"/>
      <c r="J2612" s="176"/>
      <c r="K2612" s="176"/>
      <c r="L2612" s="176"/>
      <c r="M2612" s="176"/>
      <c r="N2612" s="176"/>
      <c r="O2612" s="176"/>
      <c r="P2612" s="176"/>
      <c r="Q2612" s="176"/>
      <c r="R2612" s="176"/>
      <c r="S2612" s="176"/>
      <c r="T2612" s="176"/>
      <c r="U2612" s="176"/>
      <c r="V2612" s="176"/>
      <c r="W2612" s="176"/>
      <c r="X2612" s="176"/>
      <c r="Y2612" s="176"/>
    </row>
    <row r="2613" spans="1:25">
      <c r="A2613" s="91"/>
      <c r="B2613" s="176"/>
      <c r="C2613" s="176"/>
      <c r="D2613" s="176"/>
      <c r="E2613" s="176"/>
      <c r="F2613" s="176"/>
      <c r="G2613" s="176"/>
      <c r="H2613" s="176"/>
      <c r="I2613" s="176"/>
      <c r="J2613" s="176"/>
      <c r="K2613" s="176"/>
      <c r="L2613" s="176"/>
      <c r="M2613" s="176"/>
      <c r="N2613" s="176"/>
      <c r="O2613" s="176"/>
      <c r="P2613" s="176"/>
      <c r="Q2613" s="176"/>
      <c r="R2613" s="176"/>
      <c r="S2613" s="176"/>
      <c r="T2613" s="176"/>
      <c r="U2613" s="176"/>
      <c r="V2613" s="176"/>
      <c r="W2613" s="176"/>
      <c r="X2613" s="176"/>
      <c r="Y2613" s="176"/>
    </row>
    <row r="2614" spans="1:25">
      <c r="A2614" s="91"/>
      <c r="B2614" s="176"/>
      <c r="C2614" s="176"/>
      <c r="D2614" s="176"/>
      <c r="E2614" s="176"/>
      <c r="F2614" s="176"/>
      <c r="G2614" s="176"/>
      <c r="H2614" s="176"/>
      <c r="I2614" s="176"/>
      <c r="J2614" s="176"/>
      <c r="K2614" s="176"/>
      <c r="L2614" s="176"/>
      <c r="M2614" s="176"/>
      <c r="N2614" s="176"/>
      <c r="O2614" s="176"/>
      <c r="P2614" s="176"/>
      <c r="Q2614" s="176"/>
      <c r="R2614" s="176"/>
      <c r="S2614" s="176"/>
      <c r="T2614" s="176"/>
      <c r="U2614" s="176"/>
      <c r="V2614" s="176"/>
      <c r="W2614" s="176"/>
      <c r="X2614" s="176"/>
      <c r="Y2614" s="176"/>
    </row>
    <row r="2615" spans="1:25">
      <c r="A2615" s="91"/>
      <c r="B2615" s="176"/>
      <c r="C2615" s="176"/>
      <c r="D2615" s="176"/>
      <c r="E2615" s="176"/>
      <c r="F2615" s="176"/>
      <c r="G2615" s="176"/>
      <c r="H2615" s="176"/>
      <c r="I2615" s="176"/>
      <c r="J2615" s="176"/>
      <c r="K2615" s="176"/>
      <c r="L2615" s="176"/>
      <c r="M2615" s="176"/>
      <c r="N2615" s="176"/>
      <c r="O2615" s="176"/>
      <c r="P2615" s="176"/>
      <c r="Q2615" s="176"/>
      <c r="R2615" s="176"/>
      <c r="S2615" s="176"/>
      <c r="T2615" s="176"/>
      <c r="U2615" s="176"/>
      <c r="V2615" s="176"/>
      <c r="W2615" s="176"/>
      <c r="X2615" s="176"/>
      <c r="Y2615" s="176"/>
    </row>
    <row r="2616" spans="1:25">
      <c r="A2616" s="91"/>
      <c r="B2616" s="176"/>
      <c r="C2616" s="176"/>
      <c r="D2616" s="176"/>
      <c r="E2616" s="176"/>
      <c r="F2616" s="176"/>
      <c r="G2616" s="176"/>
      <c r="H2616" s="176"/>
      <c r="I2616" s="176"/>
      <c r="J2616" s="176"/>
      <c r="K2616" s="176"/>
      <c r="L2616" s="176"/>
      <c r="M2616" s="176"/>
      <c r="N2616" s="176"/>
      <c r="O2616" s="176"/>
      <c r="P2616" s="176"/>
      <c r="Q2616" s="176"/>
      <c r="R2616" s="176"/>
      <c r="S2616" s="176"/>
      <c r="T2616" s="176"/>
      <c r="U2616" s="176"/>
      <c r="V2616" s="176"/>
      <c r="W2616" s="176"/>
      <c r="X2616" s="176"/>
      <c r="Y2616" s="176"/>
    </row>
    <row r="2617" spans="1:25">
      <c r="A2617" s="91"/>
      <c r="B2617" s="176"/>
      <c r="C2617" s="176"/>
      <c r="D2617" s="176"/>
      <c r="E2617" s="176"/>
      <c r="F2617" s="176"/>
      <c r="G2617" s="176"/>
      <c r="H2617" s="176"/>
      <c r="I2617" s="176"/>
      <c r="J2617" s="176"/>
      <c r="K2617" s="176"/>
      <c r="L2617" s="176"/>
      <c r="M2617" s="176"/>
      <c r="N2617" s="176"/>
      <c r="O2617" s="176"/>
      <c r="P2617" s="176"/>
      <c r="Q2617" s="176"/>
      <c r="R2617" s="176"/>
      <c r="S2617" s="176"/>
      <c r="T2617" s="176"/>
      <c r="U2617" s="176"/>
      <c r="V2617" s="176"/>
      <c r="W2617" s="176"/>
      <c r="X2617" s="176"/>
      <c r="Y2617" s="176"/>
    </row>
    <row r="2618" spans="1:25">
      <c r="A2618" s="91"/>
      <c r="B2618" s="176"/>
      <c r="C2618" s="176"/>
      <c r="D2618" s="176"/>
      <c r="E2618" s="176"/>
      <c r="F2618" s="176"/>
      <c r="G2618" s="176"/>
      <c r="H2618" s="176"/>
      <c r="I2618" s="176"/>
      <c r="J2618" s="176"/>
      <c r="K2618" s="176"/>
      <c r="L2618" s="176"/>
      <c r="M2618" s="176"/>
      <c r="N2618" s="176"/>
      <c r="O2618" s="176"/>
      <c r="P2618" s="176"/>
      <c r="Q2618" s="176"/>
      <c r="R2618" s="176"/>
      <c r="S2618" s="176"/>
      <c r="T2618" s="176"/>
      <c r="U2618" s="176"/>
      <c r="V2618" s="176"/>
      <c r="W2618" s="176"/>
      <c r="X2618" s="176"/>
      <c r="Y2618" s="176"/>
    </row>
    <row r="2619" spans="1:25">
      <c r="A2619" s="91"/>
      <c r="B2619" s="176"/>
      <c r="C2619" s="176"/>
      <c r="D2619" s="176"/>
      <c r="E2619" s="176"/>
      <c r="F2619" s="176"/>
      <c r="G2619" s="176"/>
      <c r="H2619" s="176"/>
      <c r="I2619" s="176"/>
      <c r="J2619" s="176"/>
      <c r="K2619" s="176"/>
      <c r="L2619" s="176"/>
      <c r="M2619" s="176"/>
      <c r="N2619" s="176"/>
      <c r="O2619" s="176"/>
      <c r="P2619" s="176"/>
      <c r="Q2619" s="176"/>
      <c r="R2619" s="176"/>
      <c r="S2619" s="176"/>
      <c r="T2619" s="176"/>
      <c r="U2619" s="176"/>
      <c r="V2619" s="176"/>
      <c r="W2619" s="176"/>
      <c r="X2619" s="176"/>
      <c r="Y2619" s="176"/>
    </row>
    <row r="2620" spans="1:25">
      <c r="A2620" s="91"/>
      <c r="B2620" s="176"/>
      <c r="C2620" s="176"/>
      <c r="D2620" s="176"/>
      <c r="E2620" s="176"/>
      <c r="F2620" s="176"/>
      <c r="G2620" s="176"/>
      <c r="H2620" s="176"/>
      <c r="I2620" s="176"/>
      <c r="J2620" s="176"/>
      <c r="K2620" s="176"/>
      <c r="L2620" s="176"/>
      <c r="M2620" s="176"/>
      <c r="N2620" s="176"/>
      <c r="O2620" s="176"/>
      <c r="P2620" s="176"/>
      <c r="Q2620" s="176"/>
      <c r="R2620" s="176"/>
      <c r="S2620" s="176"/>
      <c r="T2620" s="176"/>
      <c r="U2620" s="176"/>
      <c r="V2620" s="176"/>
      <c r="W2620" s="176"/>
      <c r="X2620" s="176"/>
      <c r="Y2620" s="176"/>
    </row>
    <row r="2621" spans="1:25">
      <c r="A2621" s="91"/>
      <c r="B2621" s="176"/>
      <c r="C2621" s="176"/>
      <c r="D2621" s="176"/>
      <c r="E2621" s="176"/>
      <c r="F2621" s="176"/>
      <c r="G2621" s="176"/>
      <c r="H2621" s="176"/>
      <c r="I2621" s="176"/>
      <c r="J2621" s="176"/>
      <c r="K2621" s="176"/>
      <c r="L2621" s="176"/>
      <c r="M2621" s="176"/>
      <c r="N2621" s="176"/>
      <c r="O2621" s="176"/>
      <c r="P2621" s="176"/>
      <c r="Q2621" s="176"/>
      <c r="R2621" s="176"/>
      <c r="S2621" s="176"/>
      <c r="T2621" s="176"/>
      <c r="U2621" s="176"/>
      <c r="V2621" s="176"/>
      <c r="W2621" s="176"/>
      <c r="X2621" s="176"/>
      <c r="Y2621" s="176"/>
    </row>
    <row r="2622" spans="1:25">
      <c r="A2622" s="91"/>
      <c r="B2622" s="176"/>
      <c r="C2622" s="176"/>
      <c r="D2622" s="176"/>
      <c r="E2622" s="176"/>
      <c r="F2622" s="176"/>
      <c r="G2622" s="176"/>
      <c r="H2622" s="176"/>
      <c r="I2622" s="176"/>
      <c r="J2622" s="176"/>
      <c r="K2622" s="176"/>
      <c r="L2622" s="176"/>
      <c r="M2622" s="176"/>
      <c r="N2622" s="176"/>
      <c r="O2622" s="176"/>
      <c r="P2622" s="176"/>
      <c r="Q2622" s="176"/>
      <c r="R2622" s="176"/>
      <c r="S2622" s="176"/>
      <c r="T2622" s="176"/>
      <c r="U2622" s="176"/>
      <c r="V2622" s="176"/>
      <c r="W2622" s="176"/>
      <c r="X2622" s="176"/>
      <c r="Y2622" s="176"/>
    </row>
    <row r="2623" spans="1:25">
      <c r="A2623" s="91"/>
      <c r="B2623" s="176"/>
      <c r="C2623" s="176"/>
      <c r="D2623" s="176"/>
      <c r="E2623" s="176"/>
      <c r="F2623" s="176"/>
      <c r="G2623" s="176"/>
      <c r="H2623" s="176"/>
      <c r="I2623" s="176"/>
      <c r="J2623" s="176"/>
      <c r="K2623" s="176"/>
      <c r="L2623" s="176"/>
      <c r="M2623" s="176"/>
      <c r="N2623" s="176"/>
      <c r="O2623" s="176"/>
      <c r="P2623" s="176"/>
      <c r="Q2623" s="176"/>
      <c r="R2623" s="176"/>
      <c r="S2623" s="176"/>
      <c r="T2623" s="176"/>
      <c r="U2623" s="176"/>
      <c r="V2623" s="176"/>
      <c r="W2623" s="176"/>
      <c r="X2623" s="176"/>
      <c r="Y2623" s="176"/>
    </row>
    <row r="2624" spans="1:25">
      <c r="A2624" s="91"/>
      <c r="B2624" s="176"/>
      <c r="C2624" s="176"/>
      <c r="D2624" s="176"/>
      <c r="E2624" s="176"/>
      <c r="F2624" s="176"/>
      <c r="G2624" s="176"/>
      <c r="H2624" s="176"/>
      <c r="I2624" s="176"/>
      <c r="J2624" s="176"/>
      <c r="K2624" s="176"/>
      <c r="L2624" s="176"/>
      <c r="M2624" s="176"/>
      <c r="N2624" s="176"/>
      <c r="O2624" s="176"/>
      <c r="P2624" s="176"/>
      <c r="Q2624" s="176"/>
      <c r="R2624" s="176"/>
      <c r="S2624" s="176"/>
      <c r="T2624" s="176"/>
      <c r="U2624" s="176"/>
      <c r="V2624" s="176"/>
      <c r="W2624" s="176"/>
      <c r="X2624" s="176"/>
      <c r="Y2624" s="176"/>
    </row>
    <row r="2625" spans="1:25">
      <c r="A2625" s="91"/>
      <c r="B2625" s="176"/>
      <c r="C2625" s="176"/>
      <c r="D2625" s="176"/>
      <c r="E2625" s="176"/>
      <c r="F2625" s="176"/>
      <c r="G2625" s="176"/>
      <c r="H2625" s="176"/>
      <c r="I2625" s="176"/>
      <c r="J2625" s="176"/>
      <c r="K2625" s="176"/>
      <c r="L2625" s="176"/>
      <c r="M2625" s="176"/>
      <c r="N2625" s="176"/>
      <c r="O2625" s="176"/>
      <c r="P2625" s="176"/>
      <c r="Q2625" s="176"/>
      <c r="R2625" s="176"/>
      <c r="S2625" s="176"/>
      <c r="T2625" s="176"/>
      <c r="U2625" s="176"/>
      <c r="V2625" s="176"/>
      <c r="W2625" s="176"/>
      <c r="X2625" s="176"/>
      <c r="Y2625" s="176"/>
    </row>
    <row r="2626" spans="1:25">
      <c r="A2626" s="91"/>
      <c r="B2626" s="176"/>
      <c r="C2626" s="176"/>
      <c r="D2626" s="176"/>
      <c r="E2626" s="176"/>
      <c r="F2626" s="176"/>
      <c r="G2626" s="176"/>
      <c r="H2626" s="176"/>
      <c r="I2626" s="176"/>
      <c r="J2626" s="176"/>
      <c r="K2626" s="176"/>
      <c r="L2626" s="176"/>
      <c r="M2626" s="176"/>
      <c r="N2626" s="176"/>
      <c r="O2626" s="176"/>
      <c r="P2626" s="176"/>
      <c r="Q2626" s="176"/>
      <c r="R2626" s="176"/>
      <c r="S2626" s="176"/>
      <c r="T2626" s="176"/>
      <c r="U2626" s="176"/>
      <c r="V2626" s="176"/>
      <c r="W2626" s="176"/>
      <c r="X2626" s="176"/>
      <c r="Y2626" s="176"/>
    </row>
    <row r="2627" spans="1:25">
      <c r="A2627" s="91"/>
      <c r="B2627" s="176"/>
      <c r="C2627" s="176"/>
      <c r="D2627" s="176"/>
      <c r="E2627" s="176"/>
      <c r="F2627" s="176"/>
      <c r="G2627" s="176"/>
      <c r="H2627" s="176"/>
      <c r="I2627" s="176"/>
      <c r="J2627" s="176"/>
      <c r="K2627" s="176"/>
      <c r="L2627" s="176"/>
      <c r="M2627" s="176"/>
      <c r="N2627" s="176"/>
      <c r="O2627" s="176"/>
      <c r="P2627" s="176"/>
      <c r="Q2627" s="176"/>
      <c r="R2627" s="176"/>
      <c r="S2627" s="176"/>
      <c r="T2627" s="176"/>
      <c r="U2627" s="176"/>
      <c r="V2627" s="176"/>
      <c r="W2627" s="176"/>
      <c r="X2627" s="176"/>
      <c r="Y2627" s="176"/>
    </row>
    <row r="2628" spans="1:25">
      <c r="A2628" s="91"/>
      <c r="B2628" s="176"/>
      <c r="C2628" s="176"/>
      <c r="D2628" s="176"/>
      <c r="E2628" s="176"/>
      <c r="F2628" s="176"/>
      <c r="G2628" s="176"/>
      <c r="H2628" s="176"/>
      <c r="I2628" s="176"/>
      <c r="J2628" s="176"/>
      <c r="K2628" s="176"/>
      <c r="L2628" s="176"/>
      <c r="M2628" s="176"/>
      <c r="N2628" s="176"/>
      <c r="O2628" s="176"/>
      <c r="P2628" s="176"/>
      <c r="Q2628" s="176"/>
      <c r="R2628" s="176"/>
      <c r="S2628" s="176"/>
      <c r="T2628" s="176"/>
      <c r="U2628" s="176"/>
      <c r="V2628" s="176"/>
      <c r="W2628" s="176"/>
      <c r="X2628" s="176"/>
      <c r="Y2628" s="176"/>
    </row>
    <row r="2629" spans="1:25">
      <c r="A2629" s="91"/>
      <c r="B2629" s="176"/>
      <c r="C2629" s="176"/>
      <c r="D2629" s="176"/>
      <c r="E2629" s="176"/>
      <c r="F2629" s="176"/>
      <c r="G2629" s="176"/>
      <c r="H2629" s="176"/>
      <c r="I2629" s="176"/>
      <c r="J2629" s="176"/>
      <c r="K2629" s="176"/>
      <c r="L2629" s="176"/>
      <c r="M2629" s="176"/>
      <c r="N2629" s="176"/>
      <c r="O2629" s="176"/>
      <c r="P2629" s="176"/>
      <c r="Q2629" s="176"/>
      <c r="R2629" s="176"/>
      <c r="S2629" s="176"/>
      <c r="T2629" s="176"/>
      <c r="U2629" s="176"/>
      <c r="V2629" s="176"/>
      <c r="W2629" s="176"/>
      <c r="X2629" s="176"/>
      <c r="Y2629" s="176"/>
    </row>
    <row r="2630" spans="1:25">
      <c r="A2630" s="91"/>
      <c r="B2630" s="176"/>
      <c r="C2630" s="176"/>
      <c r="D2630" s="176"/>
      <c r="E2630" s="176"/>
      <c r="F2630" s="176"/>
      <c r="G2630" s="176"/>
      <c r="H2630" s="176"/>
      <c r="I2630" s="176"/>
      <c r="J2630" s="176"/>
      <c r="K2630" s="176"/>
      <c r="L2630" s="176"/>
      <c r="M2630" s="176"/>
      <c r="N2630" s="176"/>
      <c r="O2630" s="176"/>
      <c r="P2630" s="176"/>
      <c r="Q2630" s="176"/>
      <c r="R2630" s="176"/>
      <c r="S2630" s="176"/>
      <c r="T2630" s="176"/>
      <c r="U2630" s="176"/>
      <c r="V2630" s="176"/>
      <c r="W2630" s="176"/>
      <c r="X2630" s="176"/>
      <c r="Y2630" s="176"/>
    </row>
    <row r="2631" spans="1:25">
      <c r="A2631" s="91"/>
      <c r="B2631" s="176"/>
      <c r="C2631" s="176"/>
      <c r="D2631" s="176"/>
      <c r="E2631" s="176"/>
      <c r="F2631" s="176"/>
      <c r="G2631" s="176"/>
      <c r="H2631" s="176"/>
      <c r="I2631" s="176"/>
      <c r="J2631" s="176"/>
      <c r="K2631" s="176"/>
      <c r="L2631" s="176"/>
      <c r="M2631" s="176"/>
      <c r="N2631" s="176"/>
      <c r="O2631" s="176"/>
      <c r="P2631" s="176"/>
      <c r="Q2631" s="176"/>
      <c r="R2631" s="176"/>
      <c r="S2631" s="176"/>
      <c r="T2631" s="176"/>
      <c r="U2631" s="176"/>
      <c r="V2631" s="176"/>
      <c r="W2631" s="176"/>
      <c r="X2631" s="176"/>
      <c r="Y2631" s="176"/>
    </row>
    <row r="2632" spans="1:25">
      <c r="A2632" s="91"/>
      <c r="B2632" s="176"/>
      <c r="C2632" s="176"/>
      <c r="D2632" s="176"/>
      <c r="E2632" s="176"/>
      <c r="F2632" s="176"/>
      <c r="G2632" s="176"/>
      <c r="H2632" s="176"/>
      <c r="I2632" s="176"/>
      <c r="J2632" s="176"/>
      <c r="K2632" s="176"/>
      <c r="L2632" s="176"/>
      <c r="M2632" s="176"/>
      <c r="N2632" s="176"/>
      <c r="O2632" s="176"/>
      <c r="P2632" s="176"/>
      <c r="Q2632" s="176"/>
      <c r="R2632" s="176"/>
      <c r="S2632" s="176"/>
      <c r="T2632" s="176"/>
      <c r="U2632" s="176"/>
      <c r="V2632" s="176"/>
      <c r="W2632" s="176"/>
      <c r="X2632" s="176"/>
      <c r="Y2632" s="176"/>
    </row>
    <row r="2633" spans="1:25">
      <c r="A2633" s="91"/>
      <c r="B2633" s="176"/>
      <c r="C2633" s="176"/>
      <c r="D2633" s="176"/>
      <c r="E2633" s="176"/>
      <c r="F2633" s="176"/>
      <c r="G2633" s="176"/>
      <c r="H2633" s="176"/>
      <c r="I2633" s="176"/>
      <c r="J2633" s="176"/>
      <c r="K2633" s="176"/>
      <c r="L2633" s="176"/>
      <c r="M2633" s="176"/>
      <c r="N2633" s="176"/>
      <c r="O2633" s="176"/>
      <c r="P2633" s="176"/>
      <c r="Q2633" s="176"/>
      <c r="R2633" s="176"/>
      <c r="S2633" s="176"/>
      <c r="T2633" s="176"/>
      <c r="U2633" s="176"/>
      <c r="V2633" s="176"/>
      <c r="W2633" s="176"/>
      <c r="X2633" s="176"/>
      <c r="Y2633" s="176"/>
    </row>
    <row r="2634" spans="1:25">
      <c r="A2634" s="91"/>
      <c r="B2634" s="176"/>
      <c r="C2634" s="176"/>
      <c r="D2634" s="176"/>
      <c r="E2634" s="176"/>
      <c r="F2634" s="176"/>
      <c r="G2634" s="176"/>
      <c r="H2634" s="176"/>
      <c r="I2634" s="176"/>
      <c r="J2634" s="176"/>
      <c r="K2634" s="176"/>
      <c r="L2634" s="176"/>
      <c r="M2634" s="176"/>
      <c r="N2634" s="176"/>
      <c r="O2634" s="176"/>
      <c r="P2634" s="176"/>
      <c r="Q2634" s="176"/>
      <c r="R2634" s="176"/>
      <c r="S2634" s="176"/>
      <c r="T2634" s="176"/>
      <c r="U2634" s="176"/>
      <c r="V2634" s="176"/>
      <c r="W2634" s="176"/>
      <c r="X2634" s="176"/>
      <c r="Y2634" s="176"/>
    </row>
    <row r="2635" spans="1:25">
      <c r="A2635" s="91"/>
      <c r="B2635" s="176"/>
      <c r="C2635" s="176"/>
      <c r="D2635" s="176"/>
      <c r="E2635" s="176"/>
      <c r="F2635" s="176"/>
      <c r="G2635" s="176"/>
      <c r="H2635" s="176"/>
      <c r="I2635" s="176"/>
      <c r="J2635" s="176"/>
      <c r="K2635" s="176"/>
      <c r="L2635" s="176"/>
      <c r="M2635" s="176"/>
      <c r="N2635" s="176"/>
      <c r="O2635" s="176"/>
      <c r="P2635" s="176"/>
      <c r="Q2635" s="176"/>
      <c r="R2635" s="176"/>
      <c r="S2635" s="176"/>
      <c r="T2635" s="176"/>
      <c r="U2635" s="176"/>
      <c r="V2635" s="176"/>
      <c r="W2635" s="176"/>
      <c r="X2635" s="176"/>
      <c r="Y2635" s="176"/>
    </row>
    <row r="2636" spans="1:25">
      <c r="A2636" s="91"/>
      <c r="B2636" s="176"/>
      <c r="C2636" s="176"/>
      <c r="D2636" s="176"/>
      <c r="E2636" s="176"/>
      <c r="F2636" s="176"/>
      <c r="G2636" s="176"/>
      <c r="H2636" s="176"/>
      <c r="I2636" s="176"/>
      <c r="J2636" s="176"/>
      <c r="K2636" s="176"/>
      <c r="L2636" s="176"/>
      <c r="M2636" s="176"/>
      <c r="N2636" s="176"/>
      <c r="O2636" s="176"/>
      <c r="P2636" s="176"/>
      <c r="Q2636" s="176"/>
      <c r="R2636" s="176"/>
      <c r="S2636" s="176"/>
      <c r="T2636" s="176"/>
      <c r="U2636" s="176"/>
      <c r="V2636" s="176"/>
      <c r="W2636" s="176"/>
      <c r="X2636" s="176"/>
      <c r="Y2636" s="176"/>
    </row>
    <row r="2637" spans="1:25">
      <c r="A2637" s="91"/>
      <c r="B2637" s="176"/>
      <c r="C2637" s="176"/>
      <c r="D2637" s="176"/>
      <c r="E2637" s="176"/>
      <c r="F2637" s="176"/>
      <c r="G2637" s="176"/>
      <c r="H2637" s="176"/>
      <c r="I2637" s="176"/>
      <c r="J2637" s="176"/>
      <c r="K2637" s="176"/>
      <c r="L2637" s="176"/>
      <c r="M2637" s="176"/>
      <c r="N2637" s="176"/>
      <c r="O2637" s="176"/>
      <c r="P2637" s="176"/>
      <c r="Q2637" s="176"/>
      <c r="R2637" s="176"/>
      <c r="S2637" s="176"/>
      <c r="T2637" s="176"/>
      <c r="U2637" s="176"/>
      <c r="V2637" s="176"/>
      <c r="W2637" s="176"/>
      <c r="X2637" s="176"/>
      <c r="Y2637" s="176"/>
    </row>
    <row r="2638" spans="1:25">
      <c r="A2638" s="91"/>
      <c r="B2638" s="176"/>
      <c r="C2638" s="176"/>
      <c r="D2638" s="176"/>
      <c r="E2638" s="176"/>
      <c r="F2638" s="176"/>
      <c r="G2638" s="176"/>
      <c r="H2638" s="176"/>
      <c r="I2638" s="176"/>
      <c r="J2638" s="176"/>
      <c r="K2638" s="176"/>
      <c r="L2638" s="176"/>
      <c r="M2638" s="176"/>
      <c r="N2638" s="176"/>
      <c r="O2638" s="176"/>
      <c r="P2638" s="176"/>
      <c r="Q2638" s="176"/>
      <c r="R2638" s="176"/>
      <c r="S2638" s="176"/>
      <c r="T2638" s="176"/>
      <c r="U2638" s="176"/>
      <c r="V2638" s="176"/>
      <c r="W2638" s="176"/>
      <c r="X2638" s="176"/>
      <c r="Y2638" s="176"/>
    </row>
    <row r="2639" spans="1:25">
      <c r="A2639" s="91"/>
      <c r="B2639" s="176"/>
      <c r="C2639" s="176"/>
      <c r="D2639" s="176"/>
      <c r="E2639" s="176"/>
      <c r="F2639" s="176"/>
      <c r="G2639" s="176"/>
      <c r="H2639" s="176"/>
      <c r="I2639" s="176"/>
      <c r="J2639" s="176"/>
      <c r="K2639" s="176"/>
      <c r="L2639" s="176"/>
      <c r="M2639" s="176"/>
      <c r="N2639" s="176"/>
      <c r="O2639" s="176"/>
      <c r="P2639" s="176"/>
      <c r="Q2639" s="176"/>
      <c r="R2639" s="176"/>
      <c r="S2639" s="176"/>
      <c r="T2639" s="176"/>
      <c r="U2639" s="176"/>
      <c r="V2639" s="176"/>
      <c r="W2639" s="176"/>
      <c r="X2639" s="176"/>
      <c r="Y2639" s="176"/>
    </row>
    <row r="2640" spans="1:25">
      <c r="A2640" s="91"/>
      <c r="B2640" s="176"/>
      <c r="C2640" s="176"/>
      <c r="D2640" s="176"/>
      <c r="E2640" s="176"/>
      <c r="F2640" s="176"/>
      <c r="G2640" s="176"/>
      <c r="H2640" s="176"/>
      <c r="I2640" s="176"/>
      <c r="J2640" s="176"/>
      <c r="K2640" s="176"/>
      <c r="L2640" s="176"/>
      <c r="M2640" s="176"/>
      <c r="N2640" s="176"/>
      <c r="O2640" s="176"/>
      <c r="P2640" s="176"/>
      <c r="Q2640" s="176"/>
      <c r="R2640" s="176"/>
      <c r="S2640" s="176"/>
      <c r="T2640" s="176"/>
      <c r="U2640" s="176"/>
      <c r="V2640" s="176"/>
      <c r="W2640" s="176"/>
      <c r="X2640" s="176"/>
      <c r="Y2640" s="176"/>
    </row>
    <row r="2641" spans="1:25">
      <c r="A2641" s="91"/>
      <c r="B2641" s="176"/>
      <c r="C2641" s="176"/>
      <c r="D2641" s="176"/>
      <c r="E2641" s="176"/>
      <c r="F2641" s="176"/>
      <c r="G2641" s="176"/>
      <c r="H2641" s="176"/>
      <c r="I2641" s="176"/>
      <c r="J2641" s="176"/>
      <c r="K2641" s="176"/>
      <c r="L2641" s="176"/>
      <c r="M2641" s="176"/>
      <c r="N2641" s="176"/>
      <c r="O2641" s="176"/>
      <c r="P2641" s="176"/>
      <c r="Q2641" s="176"/>
      <c r="R2641" s="176"/>
      <c r="S2641" s="176"/>
      <c r="T2641" s="176"/>
      <c r="U2641" s="176"/>
      <c r="V2641" s="176"/>
      <c r="W2641" s="176"/>
      <c r="X2641" s="176"/>
      <c r="Y2641" s="176"/>
    </row>
    <row r="2642" spans="1:25">
      <c r="A2642" s="91"/>
      <c r="B2642" s="176"/>
      <c r="C2642" s="176"/>
      <c r="D2642" s="176"/>
      <c r="E2642" s="176"/>
      <c r="F2642" s="176"/>
      <c r="G2642" s="176"/>
      <c r="H2642" s="176"/>
      <c r="I2642" s="176"/>
      <c r="J2642" s="176"/>
      <c r="K2642" s="176"/>
      <c r="L2642" s="176"/>
      <c r="M2642" s="176"/>
      <c r="N2642" s="176"/>
      <c r="O2642" s="176"/>
      <c r="P2642" s="176"/>
      <c r="Q2642" s="176"/>
      <c r="R2642" s="176"/>
      <c r="S2642" s="176"/>
      <c r="T2642" s="176"/>
      <c r="U2642" s="176"/>
      <c r="V2642" s="176"/>
      <c r="W2642" s="176"/>
      <c r="X2642" s="176"/>
      <c r="Y2642" s="176"/>
    </row>
    <row r="2643" spans="1:25">
      <c r="A2643" s="91"/>
      <c r="B2643" s="176"/>
      <c r="C2643" s="176"/>
      <c r="D2643" s="176"/>
      <c r="E2643" s="176"/>
      <c r="F2643" s="176"/>
      <c r="G2643" s="176"/>
      <c r="H2643" s="176"/>
      <c r="I2643" s="176"/>
      <c r="J2643" s="176"/>
      <c r="K2643" s="176"/>
      <c r="L2643" s="176"/>
      <c r="M2643" s="176"/>
      <c r="N2643" s="176"/>
      <c r="O2643" s="176"/>
      <c r="P2643" s="176"/>
      <c r="Q2643" s="176"/>
      <c r="R2643" s="176"/>
      <c r="S2643" s="176"/>
      <c r="T2643" s="176"/>
      <c r="U2643" s="176"/>
      <c r="V2643" s="176"/>
      <c r="W2643" s="176"/>
      <c r="X2643" s="176"/>
      <c r="Y2643" s="176"/>
    </row>
    <row r="2644" spans="1:25">
      <c r="A2644" s="91"/>
      <c r="B2644" s="176"/>
      <c r="C2644" s="176"/>
      <c r="D2644" s="176"/>
      <c r="E2644" s="176"/>
      <c r="F2644" s="176"/>
      <c r="G2644" s="176"/>
      <c r="H2644" s="176"/>
      <c r="I2644" s="176"/>
      <c r="J2644" s="176"/>
      <c r="K2644" s="176"/>
      <c r="L2644" s="176"/>
      <c r="M2644" s="176"/>
      <c r="N2644" s="176"/>
      <c r="O2644" s="176"/>
      <c r="P2644" s="176"/>
      <c r="Q2644" s="176"/>
      <c r="R2644" s="176"/>
      <c r="S2644" s="176"/>
      <c r="T2644" s="176"/>
      <c r="U2644" s="176"/>
      <c r="V2644" s="176"/>
      <c r="W2644" s="176"/>
      <c r="X2644" s="176"/>
      <c r="Y2644" s="176"/>
    </row>
    <row r="2645" spans="1:25">
      <c r="A2645" s="91"/>
      <c r="B2645" s="176"/>
      <c r="C2645" s="176"/>
      <c r="D2645" s="176"/>
      <c r="E2645" s="176"/>
      <c r="F2645" s="176"/>
      <c r="G2645" s="176"/>
      <c r="H2645" s="176"/>
      <c r="I2645" s="176"/>
      <c r="J2645" s="176"/>
      <c r="K2645" s="176"/>
      <c r="L2645" s="176"/>
      <c r="M2645" s="176"/>
      <c r="N2645" s="176"/>
      <c r="O2645" s="176"/>
      <c r="P2645" s="176"/>
      <c r="Q2645" s="176"/>
      <c r="R2645" s="176"/>
      <c r="S2645" s="176"/>
      <c r="T2645" s="176"/>
      <c r="U2645" s="176"/>
      <c r="V2645" s="176"/>
      <c r="W2645" s="176"/>
      <c r="X2645" s="176"/>
      <c r="Y2645" s="176"/>
    </row>
    <row r="2646" spans="1:25">
      <c r="A2646" s="91"/>
      <c r="B2646" s="176"/>
      <c r="C2646" s="176"/>
      <c r="D2646" s="176"/>
      <c r="E2646" s="176"/>
      <c r="F2646" s="176"/>
      <c r="G2646" s="176"/>
      <c r="H2646" s="176"/>
      <c r="I2646" s="176"/>
      <c r="J2646" s="176"/>
      <c r="K2646" s="176"/>
      <c r="L2646" s="176"/>
      <c r="M2646" s="176"/>
      <c r="N2646" s="176"/>
      <c r="O2646" s="176"/>
      <c r="P2646" s="176"/>
      <c r="Q2646" s="176"/>
      <c r="R2646" s="176"/>
      <c r="S2646" s="176"/>
      <c r="T2646" s="176"/>
      <c r="U2646" s="176"/>
      <c r="V2646" s="176"/>
      <c r="W2646" s="176"/>
      <c r="X2646" s="176"/>
      <c r="Y2646" s="176"/>
    </row>
    <row r="2647" spans="1:25">
      <c r="A2647" s="91"/>
      <c r="B2647" s="176"/>
      <c r="C2647" s="176"/>
      <c r="D2647" s="176"/>
      <c r="E2647" s="176"/>
      <c r="F2647" s="176"/>
      <c r="G2647" s="176"/>
      <c r="H2647" s="176"/>
      <c r="I2647" s="176"/>
      <c r="J2647" s="176"/>
      <c r="K2647" s="176"/>
      <c r="L2647" s="176"/>
      <c r="M2647" s="176"/>
      <c r="N2647" s="176"/>
      <c r="O2647" s="176"/>
      <c r="P2647" s="176"/>
      <c r="Q2647" s="176"/>
      <c r="R2647" s="176"/>
      <c r="S2647" s="176"/>
      <c r="T2647" s="176"/>
      <c r="U2647" s="176"/>
      <c r="V2647" s="176"/>
      <c r="W2647" s="176"/>
      <c r="X2647" s="176"/>
      <c r="Y2647" s="176"/>
    </row>
    <row r="2648" spans="1:25">
      <c r="A2648" s="91"/>
      <c r="B2648" s="176"/>
      <c r="C2648" s="176"/>
      <c r="D2648" s="176"/>
      <c r="E2648" s="176"/>
      <c r="F2648" s="176"/>
      <c r="G2648" s="176"/>
      <c r="H2648" s="176"/>
      <c r="I2648" s="176"/>
      <c r="J2648" s="176"/>
      <c r="K2648" s="176"/>
      <c r="L2648" s="176"/>
      <c r="M2648" s="176"/>
      <c r="N2648" s="176"/>
      <c r="O2648" s="176"/>
      <c r="P2648" s="176"/>
      <c r="Q2648" s="176"/>
      <c r="R2648" s="176"/>
      <c r="S2648" s="176"/>
      <c r="T2648" s="176"/>
      <c r="U2648" s="176"/>
      <c r="V2648" s="176"/>
      <c r="W2648" s="176"/>
      <c r="X2648" s="176"/>
      <c r="Y2648" s="176"/>
    </row>
    <row r="2649" spans="1:25">
      <c r="A2649" s="91"/>
      <c r="B2649" s="176"/>
      <c r="C2649" s="176"/>
      <c r="D2649" s="176"/>
      <c r="E2649" s="176"/>
      <c r="F2649" s="176"/>
      <c r="G2649" s="176"/>
      <c r="H2649" s="176"/>
      <c r="I2649" s="176"/>
      <c r="J2649" s="176"/>
      <c r="K2649" s="176"/>
      <c r="L2649" s="176"/>
      <c r="M2649" s="176"/>
      <c r="N2649" s="176"/>
      <c r="O2649" s="176"/>
      <c r="P2649" s="176"/>
      <c r="Q2649" s="176"/>
      <c r="R2649" s="176"/>
      <c r="S2649" s="176"/>
      <c r="T2649" s="176"/>
      <c r="U2649" s="176"/>
      <c r="V2649" s="176"/>
      <c r="W2649" s="176"/>
      <c r="X2649" s="176"/>
      <c r="Y2649" s="176"/>
    </row>
    <row r="2650" spans="1:25">
      <c r="A2650" s="91"/>
      <c r="B2650" s="176"/>
      <c r="C2650" s="176"/>
      <c r="D2650" s="176"/>
      <c r="E2650" s="176"/>
      <c r="F2650" s="176"/>
      <c r="G2650" s="176"/>
      <c r="H2650" s="176"/>
      <c r="I2650" s="176"/>
      <c r="J2650" s="176"/>
      <c r="K2650" s="176"/>
      <c r="L2650" s="176"/>
      <c r="M2650" s="176"/>
      <c r="N2650" s="176"/>
      <c r="O2650" s="176"/>
      <c r="P2650" s="176"/>
      <c r="Q2650" s="176"/>
      <c r="R2650" s="176"/>
      <c r="S2650" s="176"/>
      <c r="T2650" s="176"/>
      <c r="U2650" s="176"/>
      <c r="V2650" s="176"/>
      <c r="W2650" s="176"/>
      <c r="X2650" s="176"/>
      <c r="Y2650" s="176"/>
    </row>
    <row r="2651" spans="1:25">
      <c r="A2651" s="91"/>
      <c r="B2651" s="176"/>
      <c r="C2651" s="176"/>
      <c r="D2651" s="176"/>
      <c r="E2651" s="176"/>
      <c r="F2651" s="176"/>
      <c r="G2651" s="176"/>
      <c r="H2651" s="176"/>
      <c r="I2651" s="176"/>
      <c r="J2651" s="176"/>
      <c r="K2651" s="176"/>
      <c r="L2651" s="176"/>
      <c r="M2651" s="176"/>
      <c r="N2651" s="176"/>
      <c r="O2651" s="176"/>
      <c r="P2651" s="176"/>
      <c r="Q2651" s="176"/>
      <c r="R2651" s="176"/>
      <c r="S2651" s="176"/>
      <c r="T2651" s="176"/>
      <c r="U2651" s="176"/>
      <c r="V2651" s="176"/>
      <c r="W2651" s="176"/>
      <c r="X2651" s="176"/>
      <c r="Y2651" s="176"/>
    </row>
    <row r="2652" spans="1:25">
      <c r="A2652" s="91"/>
      <c r="B2652" s="176"/>
      <c r="C2652" s="176"/>
      <c r="D2652" s="176"/>
      <c r="E2652" s="176"/>
      <c r="F2652" s="176"/>
      <c r="G2652" s="176"/>
      <c r="H2652" s="176"/>
      <c r="I2652" s="176"/>
      <c r="J2652" s="176"/>
      <c r="K2652" s="176"/>
      <c r="L2652" s="176"/>
      <c r="M2652" s="176"/>
      <c r="N2652" s="176"/>
      <c r="O2652" s="176"/>
      <c r="P2652" s="176"/>
      <c r="Q2652" s="176"/>
      <c r="R2652" s="176"/>
      <c r="S2652" s="176"/>
      <c r="T2652" s="176"/>
      <c r="U2652" s="176"/>
      <c r="V2652" s="176"/>
      <c r="W2652" s="176"/>
      <c r="X2652" s="176"/>
      <c r="Y2652" s="176"/>
    </row>
    <row r="2653" spans="1:25">
      <c r="A2653" s="91"/>
      <c r="B2653" s="176"/>
      <c r="C2653" s="176"/>
      <c r="D2653" s="176"/>
      <c r="E2653" s="176"/>
      <c r="F2653" s="176"/>
      <c r="G2653" s="176"/>
      <c r="H2653" s="176"/>
      <c r="I2653" s="176"/>
      <c r="J2653" s="176"/>
      <c r="K2653" s="176"/>
      <c r="L2653" s="176"/>
      <c r="M2653" s="176"/>
      <c r="N2653" s="176"/>
      <c r="O2653" s="176"/>
      <c r="P2653" s="176"/>
      <c r="Q2653" s="176"/>
      <c r="R2653" s="176"/>
      <c r="S2653" s="176"/>
      <c r="T2653" s="176"/>
      <c r="U2653" s="176"/>
      <c r="V2653" s="176"/>
      <c r="W2653" s="176"/>
      <c r="X2653" s="176"/>
      <c r="Y2653" s="176"/>
    </row>
    <row r="2654" spans="1:25">
      <c r="A2654" s="91"/>
      <c r="B2654" s="176"/>
      <c r="C2654" s="176"/>
      <c r="D2654" s="176"/>
      <c r="E2654" s="176"/>
      <c r="F2654" s="176"/>
      <c r="G2654" s="176"/>
      <c r="H2654" s="176"/>
      <c r="I2654" s="176"/>
      <c r="J2654" s="176"/>
      <c r="K2654" s="176"/>
      <c r="L2654" s="176"/>
      <c r="M2654" s="176"/>
      <c r="N2654" s="176"/>
      <c r="O2654" s="176"/>
      <c r="P2654" s="176"/>
      <c r="Q2654" s="176"/>
      <c r="R2654" s="176"/>
      <c r="S2654" s="176"/>
      <c r="T2654" s="176"/>
      <c r="U2654" s="176"/>
      <c r="V2654" s="176"/>
      <c r="W2654" s="176"/>
      <c r="X2654" s="176"/>
      <c r="Y2654" s="176"/>
    </row>
    <row r="2655" spans="1:25">
      <c r="A2655" s="91"/>
      <c r="B2655" s="176"/>
      <c r="C2655" s="176"/>
      <c r="D2655" s="176"/>
      <c r="E2655" s="176"/>
      <c r="F2655" s="176"/>
      <c r="G2655" s="176"/>
      <c r="H2655" s="176"/>
      <c r="I2655" s="176"/>
      <c r="J2655" s="176"/>
      <c r="K2655" s="176"/>
      <c r="L2655" s="176"/>
      <c r="M2655" s="176"/>
      <c r="N2655" s="176"/>
      <c r="O2655" s="176"/>
      <c r="P2655" s="176"/>
      <c r="Q2655" s="176"/>
      <c r="R2655" s="176"/>
      <c r="S2655" s="176"/>
      <c r="T2655" s="176"/>
      <c r="U2655" s="176"/>
      <c r="V2655" s="176"/>
      <c r="W2655" s="176"/>
      <c r="X2655" s="176"/>
      <c r="Y2655" s="176"/>
    </row>
    <row r="2656" spans="1:25">
      <c r="A2656" s="91"/>
      <c r="B2656" s="176"/>
      <c r="C2656" s="176"/>
      <c r="D2656" s="176"/>
      <c r="E2656" s="176"/>
      <c r="F2656" s="176"/>
      <c r="G2656" s="176"/>
      <c r="H2656" s="176"/>
      <c r="I2656" s="176"/>
      <c r="J2656" s="176"/>
      <c r="K2656" s="176"/>
      <c r="L2656" s="176"/>
      <c r="M2656" s="176"/>
      <c r="N2656" s="176"/>
      <c r="O2656" s="176"/>
      <c r="P2656" s="176"/>
      <c r="Q2656" s="176"/>
      <c r="R2656" s="176"/>
      <c r="S2656" s="176"/>
      <c r="T2656" s="176"/>
      <c r="U2656" s="176"/>
      <c r="V2656" s="176"/>
      <c r="W2656" s="176"/>
      <c r="X2656" s="176"/>
      <c r="Y2656" s="176"/>
    </row>
    <row r="2657" spans="1:25">
      <c r="A2657" s="91"/>
      <c r="B2657" s="176"/>
      <c r="C2657" s="176"/>
      <c r="D2657" s="176"/>
      <c r="E2657" s="176"/>
      <c r="F2657" s="176"/>
      <c r="G2657" s="176"/>
      <c r="H2657" s="176"/>
      <c r="I2657" s="176"/>
      <c r="J2657" s="176"/>
      <c r="K2657" s="176"/>
      <c r="L2657" s="176"/>
      <c r="M2657" s="176"/>
      <c r="N2657" s="176"/>
      <c r="O2657" s="176"/>
      <c r="P2657" s="176"/>
      <c r="Q2657" s="176"/>
      <c r="R2657" s="176"/>
      <c r="S2657" s="176"/>
      <c r="T2657" s="176"/>
      <c r="U2657" s="176"/>
      <c r="V2657" s="176"/>
      <c r="W2657" s="176"/>
      <c r="X2657" s="176"/>
      <c r="Y2657" s="176"/>
    </row>
    <row r="2658" spans="1:25">
      <c r="A2658" s="91"/>
      <c r="B2658" s="176"/>
      <c r="C2658" s="176"/>
      <c r="D2658" s="176"/>
      <c r="E2658" s="176"/>
      <c r="F2658" s="176"/>
      <c r="G2658" s="176"/>
      <c r="H2658" s="176"/>
      <c r="I2658" s="176"/>
      <c r="J2658" s="176"/>
      <c r="K2658" s="176"/>
      <c r="L2658" s="176"/>
      <c r="M2658" s="176"/>
      <c r="N2658" s="176"/>
      <c r="O2658" s="176"/>
      <c r="P2658" s="176"/>
      <c r="Q2658" s="176"/>
      <c r="R2658" s="176"/>
      <c r="S2658" s="176"/>
      <c r="T2658" s="176"/>
      <c r="U2658" s="176"/>
      <c r="V2658" s="176"/>
      <c r="W2658" s="176"/>
      <c r="X2658" s="176"/>
      <c r="Y2658" s="176"/>
    </row>
    <row r="2659" spans="1:25">
      <c r="A2659" s="91"/>
      <c r="B2659" s="176"/>
      <c r="C2659" s="176"/>
      <c r="D2659" s="176"/>
      <c r="E2659" s="176"/>
      <c r="F2659" s="176"/>
      <c r="G2659" s="176"/>
      <c r="H2659" s="176"/>
      <c r="I2659" s="176"/>
      <c r="J2659" s="176"/>
      <c r="K2659" s="176"/>
      <c r="L2659" s="176"/>
      <c r="M2659" s="176"/>
      <c r="N2659" s="176"/>
      <c r="O2659" s="176"/>
      <c r="P2659" s="176"/>
      <c r="Q2659" s="176"/>
      <c r="R2659" s="176"/>
      <c r="S2659" s="176"/>
      <c r="T2659" s="176"/>
      <c r="U2659" s="176"/>
      <c r="V2659" s="176"/>
      <c r="W2659" s="176"/>
      <c r="X2659" s="176"/>
      <c r="Y2659" s="176"/>
    </row>
    <row r="2660" spans="1:25">
      <c r="A2660" s="91"/>
      <c r="B2660" s="176"/>
      <c r="C2660" s="176"/>
      <c r="D2660" s="176"/>
      <c r="E2660" s="176"/>
      <c r="F2660" s="176"/>
      <c r="G2660" s="176"/>
      <c r="H2660" s="176"/>
      <c r="I2660" s="176"/>
      <c r="J2660" s="176"/>
      <c r="K2660" s="176"/>
      <c r="L2660" s="176"/>
      <c r="M2660" s="176"/>
      <c r="N2660" s="176"/>
      <c r="O2660" s="176"/>
      <c r="P2660" s="176"/>
      <c r="Q2660" s="176"/>
      <c r="R2660" s="176"/>
      <c r="S2660" s="176"/>
      <c r="T2660" s="176"/>
      <c r="U2660" s="176"/>
      <c r="V2660" s="176"/>
      <c r="W2660" s="176"/>
      <c r="X2660" s="176"/>
      <c r="Y2660" s="176"/>
    </row>
    <row r="2661" spans="1:25">
      <c r="A2661" s="91"/>
      <c r="B2661" s="176"/>
      <c r="C2661" s="176"/>
      <c r="D2661" s="176"/>
      <c r="E2661" s="176"/>
      <c r="F2661" s="176"/>
      <c r="G2661" s="176"/>
      <c r="H2661" s="176"/>
      <c r="I2661" s="176"/>
      <c r="J2661" s="176"/>
      <c r="K2661" s="176"/>
      <c r="L2661" s="176"/>
      <c r="M2661" s="176"/>
      <c r="N2661" s="176"/>
      <c r="O2661" s="176"/>
      <c r="P2661" s="176"/>
      <c r="Q2661" s="176"/>
      <c r="R2661" s="176"/>
      <c r="S2661" s="176"/>
      <c r="T2661" s="176"/>
      <c r="U2661" s="176"/>
      <c r="V2661" s="176"/>
      <c r="W2661" s="176"/>
      <c r="X2661" s="176"/>
      <c r="Y2661" s="176"/>
    </row>
    <row r="2662" spans="1:25">
      <c r="A2662" s="91"/>
      <c r="B2662" s="176"/>
      <c r="C2662" s="176"/>
      <c r="D2662" s="176"/>
      <c r="E2662" s="176"/>
      <c r="F2662" s="176"/>
      <c r="G2662" s="176"/>
      <c r="H2662" s="176"/>
      <c r="I2662" s="176"/>
      <c r="J2662" s="176"/>
      <c r="K2662" s="176"/>
      <c r="L2662" s="176"/>
      <c r="M2662" s="176"/>
      <c r="N2662" s="176"/>
      <c r="O2662" s="176"/>
      <c r="P2662" s="176"/>
      <c r="Q2662" s="176"/>
      <c r="R2662" s="176"/>
      <c r="S2662" s="176"/>
      <c r="T2662" s="176"/>
      <c r="U2662" s="176"/>
      <c r="V2662" s="176"/>
      <c r="W2662" s="176"/>
      <c r="X2662" s="176"/>
      <c r="Y2662" s="176"/>
    </row>
    <row r="2663" spans="1:25">
      <c r="A2663" s="91"/>
      <c r="B2663" s="176"/>
      <c r="C2663" s="176"/>
      <c r="D2663" s="176"/>
      <c r="E2663" s="176"/>
      <c r="F2663" s="176"/>
      <c r="G2663" s="176"/>
      <c r="H2663" s="176"/>
      <c r="I2663" s="176"/>
      <c r="J2663" s="176"/>
      <c r="K2663" s="176"/>
      <c r="L2663" s="176"/>
      <c r="M2663" s="176"/>
      <c r="N2663" s="176"/>
      <c r="O2663" s="176"/>
      <c r="P2663" s="176"/>
      <c r="Q2663" s="176"/>
      <c r="R2663" s="176"/>
      <c r="S2663" s="176"/>
      <c r="T2663" s="176"/>
      <c r="U2663" s="176"/>
      <c r="V2663" s="176"/>
      <c r="W2663" s="176"/>
      <c r="X2663" s="176"/>
      <c r="Y2663" s="176"/>
    </row>
    <row r="2664" spans="1:25">
      <c r="A2664" s="91"/>
      <c r="B2664" s="176"/>
      <c r="C2664" s="176"/>
      <c r="D2664" s="176"/>
      <c r="E2664" s="176"/>
      <c r="F2664" s="176"/>
      <c r="G2664" s="176"/>
      <c r="H2664" s="176"/>
      <c r="I2664" s="176"/>
      <c r="J2664" s="176"/>
      <c r="K2664" s="176"/>
      <c r="L2664" s="176"/>
      <c r="M2664" s="176"/>
      <c r="N2664" s="176"/>
      <c r="O2664" s="176"/>
      <c r="P2664" s="176"/>
      <c r="Q2664" s="176"/>
      <c r="R2664" s="176"/>
      <c r="S2664" s="176"/>
      <c r="T2664" s="176"/>
      <c r="U2664" s="176"/>
      <c r="V2664" s="176"/>
      <c r="W2664" s="176"/>
      <c r="X2664" s="176"/>
      <c r="Y2664" s="176"/>
    </row>
    <row r="2665" spans="1:25">
      <c r="A2665" s="91"/>
      <c r="B2665" s="176"/>
      <c r="C2665" s="176"/>
      <c r="D2665" s="176"/>
      <c r="E2665" s="176"/>
      <c r="F2665" s="176"/>
      <c r="G2665" s="176"/>
      <c r="H2665" s="176"/>
      <c r="I2665" s="176"/>
      <c r="J2665" s="176"/>
      <c r="K2665" s="176"/>
      <c r="L2665" s="176"/>
      <c r="M2665" s="176"/>
      <c r="N2665" s="176"/>
      <c r="O2665" s="176"/>
      <c r="P2665" s="176"/>
      <c r="Q2665" s="176"/>
      <c r="R2665" s="176"/>
      <c r="S2665" s="176"/>
      <c r="T2665" s="176"/>
      <c r="U2665" s="176"/>
      <c r="V2665" s="176"/>
      <c r="W2665" s="176"/>
      <c r="X2665" s="176"/>
      <c r="Y2665" s="176"/>
    </row>
    <row r="2666" spans="1:25">
      <c r="A2666" s="91"/>
      <c r="B2666" s="176"/>
      <c r="C2666" s="176"/>
      <c r="D2666" s="176"/>
      <c r="E2666" s="176"/>
      <c r="F2666" s="176"/>
      <c r="G2666" s="176"/>
      <c r="H2666" s="176"/>
      <c r="I2666" s="176"/>
      <c r="J2666" s="176"/>
      <c r="K2666" s="176"/>
      <c r="L2666" s="176"/>
      <c r="M2666" s="176"/>
      <c r="N2666" s="176"/>
      <c r="O2666" s="176"/>
      <c r="P2666" s="176"/>
      <c r="Q2666" s="176"/>
      <c r="R2666" s="176"/>
      <c r="S2666" s="176"/>
      <c r="T2666" s="176"/>
      <c r="U2666" s="176"/>
      <c r="V2666" s="176"/>
      <c r="W2666" s="176"/>
      <c r="X2666" s="176"/>
      <c r="Y2666" s="176"/>
    </row>
    <row r="2667" spans="1:25">
      <c r="A2667" s="91"/>
      <c r="B2667" s="176"/>
      <c r="C2667" s="176"/>
      <c r="D2667" s="176"/>
      <c r="E2667" s="176"/>
      <c r="F2667" s="176"/>
      <c r="G2667" s="176"/>
      <c r="H2667" s="176"/>
      <c r="I2667" s="176"/>
      <c r="J2667" s="176"/>
      <c r="K2667" s="176"/>
      <c r="L2667" s="176"/>
      <c r="M2667" s="176"/>
      <c r="N2667" s="176"/>
      <c r="O2667" s="176"/>
      <c r="P2667" s="176"/>
      <c r="Q2667" s="176"/>
      <c r="R2667" s="176"/>
      <c r="S2667" s="176"/>
      <c r="T2667" s="176"/>
      <c r="U2667" s="176"/>
      <c r="V2667" s="176"/>
      <c r="W2667" s="176"/>
      <c r="X2667" s="176"/>
      <c r="Y2667" s="176"/>
    </row>
    <row r="2668" spans="1:25">
      <c r="A2668" s="91"/>
      <c r="B2668" s="176"/>
      <c r="C2668" s="176"/>
      <c r="D2668" s="176"/>
      <c r="E2668" s="176"/>
      <c r="F2668" s="176"/>
      <c r="G2668" s="176"/>
      <c r="H2668" s="176"/>
      <c r="I2668" s="176"/>
      <c r="J2668" s="176"/>
      <c r="K2668" s="176"/>
      <c r="L2668" s="176"/>
      <c r="M2668" s="176"/>
      <c r="N2668" s="176"/>
      <c r="O2668" s="176"/>
      <c r="P2668" s="176"/>
      <c r="Q2668" s="176"/>
      <c r="R2668" s="176"/>
      <c r="S2668" s="176"/>
      <c r="T2668" s="176"/>
      <c r="U2668" s="176"/>
      <c r="V2668" s="176"/>
      <c r="W2668" s="176"/>
      <c r="X2668" s="176"/>
      <c r="Y2668" s="176"/>
    </row>
    <row r="2669" spans="1:25">
      <c r="A2669" s="91"/>
      <c r="B2669" s="176"/>
      <c r="C2669" s="176"/>
      <c r="D2669" s="176"/>
      <c r="E2669" s="176"/>
      <c r="F2669" s="176"/>
      <c r="G2669" s="176"/>
      <c r="H2669" s="176"/>
      <c r="I2669" s="176"/>
      <c r="J2669" s="176"/>
      <c r="K2669" s="176"/>
      <c r="L2669" s="176"/>
      <c r="M2669" s="176"/>
      <c r="N2669" s="176"/>
      <c r="O2669" s="176"/>
      <c r="P2669" s="176"/>
      <c r="Q2669" s="176"/>
      <c r="R2669" s="176"/>
      <c r="S2669" s="176"/>
      <c r="T2669" s="176"/>
      <c r="U2669" s="176"/>
      <c r="V2669" s="176"/>
      <c r="W2669" s="176"/>
      <c r="X2669" s="176"/>
      <c r="Y2669" s="176"/>
    </row>
    <row r="2670" spans="1:25">
      <c r="A2670" s="91"/>
      <c r="B2670" s="176"/>
      <c r="C2670" s="176"/>
      <c r="D2670" s="176"/>
      <c r="E2670" s="176"/>
      <c r="F2670" s="176"/>
      <c r="G2670" s="176"/>
      <c r="H2670" s="176"/>
      <c r="I2670" s="176"/>
      <c r="J2670" s="176"/>
      <c r="K2670" s="176"/>
      <c r="L2670" s="176"/>
      <c r="M2670" s="176"/>
      <c r="N2670" s="176"/>
      <c r="O2670" s="176"/>
      <c r="P2670" s="176"/>
      <c r="Q2670" s="176"/>
      <c r="R2670" s="176"/>
      <c r="S2670" s="176"/>
      <c r="T2670" s="176"/>
      <c r="U2670" s="176"/>
      <c r="V2670" s="176"/>
      <c r="W2670" s="176"/>
      <c r="X2670" s="176"/>
      <c r="Y2670" s="176"/>
    </row>
    <row r="2671" spans="1:25">
      <c r="A2671" s="91"/>
      <c r="B2671" s="176"/>
      <c r="C2671" s="176"/>
      <c r="D2671" s="176"/>
      <c r="E2671" s="176"/>
      <c r="F2671" s="176"/>
      <c r="G2671" s="176"/>
      <c r="H2671" s="176"/>
      <c r="I2671" s="176"/>
      <c r="J2671" s="176"/>
      <c r="K2671" s="176"/>
      <c r="L2671" s="176"/>
      <c r="M2671" s="176"/>
      <c r="N2671" s="176"/>
      <c r="O2671" s="176"/>
      <c r="P2671" s="176"/>
      <c r="Q2671" s="176"/>
      <c r="R2671" s="176"/>
      <c r="S2671" s="176"/>
      <c r="T2671" s="176"/>
      <c r="U2671" s="176"/>
      <c r="V2671" s="176"/>
      <c r="W2671" s="176"/>
      <c r="X2671" s="176"/>
      <c r="Y2671" s="176"/>
    </row>
    <row r="2672" spans="1:25">
      <c r="A2672" s="91"/>
      <c r="B2672" s="176"/>
      <c r="C2672" s="176"/>
      <c r="D2672" s="176"/>
      <c r="E2672" s="176"/>
      <c r="F2672" s="176"/>
      <c r="G2672" s="176"/>
      <c r="H2672" s="176"/>
      <c r="I2672" s="176"/>
      <c r="J2672" s="176"/>
      <c r="K2672" s="176"/>
      <c r="L2672" s="176"/>
      <c r="M2672" s="176"/>
      <c r="N2672" s="176"/>
      <c r="O2672" s="176"/>
      <c r="P2672" s="176"/>
      <c r="Q2672" s="176"/>
      <c r="R2672" s="176"/>
      <c r="S2672" s="176"/>
      <c r="T2672" s="176"/>
      <c r="U2672" s="176"/>
      <c r="V2672" s="176"/>
      <c r="W2672" s="176"/>
      <c r="X2672" s="176"/>
      <c r="Y2672" s="176"/>
    </row>
    <row r="2673" spans="1:25">
      <c r="A2673" s="91"/>
      <c r="B2673" s="176"/>
      <c r="C2673" s="176"/>
      <c r="D2673" s="176"/>
      <c r="E2673" s="176"/>
      <c r="F2673" s="176"/>
      <c r="G2673" s="176"/>
      <c r="H2673" s="176"/>
      <c r="I2673" s="176"/>
      <c r="J2673" s="176"/>
      <c r="K2673" s="176"/>
      <c r="L2673" s="176"/>
      <c r="M2673" s="176"/>
      <c r="N2673" s="176"/>
      <c r="O2673" s="176"/>
      <c r="P2673" s="176"/>
      <c r="Q2673" s="176"/>
      <c r="R2673" s="176"/>
      <c r="S2673" s="176"/>
      <c r="T2673" s="176"/>
      <c r="U2673" s="176"/>
      <c r="V2673" s="176"/>
      <c r="W2673" s="176"/>
      <c r="X2673" s="176"/>
      <c r="Y2673" s="176"/>
    </row>
    <row r="2674" spans="1:25">
      <c r="A2674" s="91"/>
      <c r="B2674" s="176"/>
      <c r="C2674" s="176"/>
      <c r="D2674" s="176"/>
      <c r="E2674" s="176"/>
      <c r="F2674" s="176"/>
      <c r="G2674" s="176"/>
      <c r="H2674" s="176"/>
      <c r="I2674" s="176"/>
      <c r="J2674" s="176"/>
      <c r="K2674" s="176"/>
      <c r="L2674" s="176"/>
      <c r="M2674" s="176"/>
      <c r="N2674" s="176"/>
      <c r="O2674" s="176"/>
      <c r="P2674" s="176"/>
      <c r="Q2674" s="176"/>
      <c r="R2674" s="176"/>
      <c r="S2674" s="176"/>
      <c r="T2674" s="176"/>
      <c r="U2674" s="176"/>
      <c r="V2674" s="176"/>
      <c r="W2674" s="176"/>
      <c r="X2674" s="176"/>
      <c r="Y2674" s="176"/>
    </row>
    <row r="2675" spans="1:25">
      <c r="A2675" s="91"/>
      <c r="B2675" s="176"/>
      <c r="C2675" s="176"/>
      <c r="D2675" s="176"/>
      <c r="E2675" s="176"/>
      <c r="F2675" s="176"/>
      <c r="G2675" s="176"/>
      <c r="H2675" s="176"/>
      <c r="I2675" s="176"/>
      <c r="J2675" s="176"/>
      <c r="K2675" s="176"/>
      <c r="L2675" s="176"/>
      <c r="M2675" s="176"/>
      <c r="N2675" s="176"/>
      <c r="O2675" s="176"/>
      <c r="P2675" s="176"/>
      <c r="Q2675" s="176"/>
      <c r="R2675" s="176"/>
      <c r="S2675" s="176"/>
      <c r="T2675" s="176"/>
      <c r="U2675" s="176"/>
      <c r="V2675" s="176"/>
      <c r="W2675" s="176"/>
      <c r="X2675" s="176"/>
      <c r="Y2675" s="176"/>
    </row>
    <row r="2676" spans="1:25">
      <c r="A2676" s="91"/>
      <c r="B2676" s="176"/>
      <c r="C2676" s="176"/>
      <c r="D2676" s="176"/>
      <c r="E2676" s="176"/>
      <c r="F2676" s="176"/>
      <c r="G2676" s="176"/>
      <c r="H2676" s="176"/>
      <c r="I2676" s="176"/>
      <c r="J2676" s="176"/>
      <c r="K2676" s="176"/>
      <c r="L2676" s="176"/>
      <c r="M2676" s="176"/>
      <c r="N2676" s="176"/>
      <c r="O2676" s="176"/>
      <c r="P2676" s="176"/>
      <c r="Q2676" s="176"/>
      <c r="R2676" s="176"/>
      <c r="S2676" s="176"/>
      <c r="T2676" s="176"/>
      <c r="U2676" s="176"/>
      <c r="V2676" s="176"/>
      <c r="W2676" s="176"/>
      <c r="X2676" s="176"/>
      <c r="Y2676" s="176"/>
    </row>
    <row r="2677" spans="1:25">
      <c r="A2677" s="91"/>
      <c r="B2677" s="176"/>
      <c r="C2677" s="176"/>
      <c r="D2677" s="176"/>
      <c r="E2677" s="176"/>
      <c r="F2677" s="176"/>
      <c r="G2677" s="176"/>
      <c r="H2677" s="176"/>
      <c r="I2677" s="176"/>
      <c r="J2677" s="176"/>
      <c r="K2677" s="176"/>
      <c r="L2677" s="176"/>
      <c r="M2677" s="176"/>
      <c r="N2677" s="176"/>
      <c r="O2677" s="176"/>
      <c r="P2677" s="176"/>
      <c r="Q2677" s="176"/>
      <c r="R2677" s="176"/>
      <c r="S2677" s="176"/>
      <c r="T2677" s="176"/>
      <c r="U2677" s="176"/>
      <c r="V2677" s="176"/>
      <c r="W2677" s="176"/>
      <c r="X2677" s="176"/>
      <c r="Y2677" s="176"/>
    </row>
    <row r="2678" spans="1:25">
      <c r="A2678" s="91"/>
      <c r="B2678" s="176"/>
      <c r="C2678" s="176"/>
      <c r="D2678" s="176"/>
      <c r="E2678" s="176"/>
      <c r="F2678" s="176"/>
      <c r="G2678" s="176"/>
      <c r="H2678" s="176"/>
      <c r="I2678" s="176"/>
      <c r="J2678" s="176"/>
      <c r="K2678" s="176"/>
      <c r="L2678" s="176"/>
      <c r="M2678" s="176"/>
      <c r="N2678" s="176"/>
      <c r="O2678" s="176"/>
      <c r="P2678" s="176"/>
      <c r="Q2678" s="176"/>
      <c r="R2678" s="176"/>
      <c r="S2678" s="176"/>
      <c r="T2678" s="176"/>
      <c r="U2678" s="176"/>
      <c r="V2678" s="176"/>
      <c r="W2678" s="176"/>
      <c r="X2678" s="176"/>
      <c r="Y2678" s="176"/>
    </row>
    <row r="2679" spans="1:25">
      <c r="A2679" s="91"/>
      <c r="B2679" s="176"/>
      <c r="C2679" s="176"/>
      <c r="D2679" s="176"/>
      <c r="E2679" s="176"/>
      <c r="F2679" s="176"/>
      <c r="G2679" s="176"/>
      <c r="H2679" s="176"/>
      <c r="I2679" s="176"/>
      <c r="J2679" s="176"/>
      <c r="K2679" s="176"/>
      <c r="L2679" s="176"/>
      <c r="M2679" s="176"/>
      <c r="N2679" s="176"/>
      <c r="O2679" s="176"/>
      <c r="P2679" s="176"/>
      <c r="Q2679" s="176"/>
      <c r="R2679" s="176"/>
      <c r="S2679" s="176"/>
      <c r="T2679" s="176"/>
      <c r="U2679" s="176"/>
      <c r="V2679" s="176"/>
      <c r="W2679" s="176"/>
      <c r="X2679" s="176"/>
      <c r="Y2679" s="176"/>
    </row>
    <row r="2680" spans="1:25">
      <c r="A2680" s="91"/>
      <c r="B2680" s="176"/>
      <c r="C2680" s="176"/>
      <c r="D2680" s="176"/>
      <c r="E2680" s="176"/>
      <c r="F2680" s="176"/>
      <c r="G2680" s="176"/>
      <c r="H2680" s="176"/>
      <c r="I2680" s="176"/>
      <c r="J2680" s="176"/>
      <c r="K2680" s="176"/>
      <c r="L2680" s="176"/>
      <c r="M2680" s="176"/>
      <c r="N2680" s="176"/>
      <c r="O2680" s="176"/>
      <c r="P2680" s="176"/>
      <c r="Q2680" s="176"/>
      <c r="R2680" s="176"/>
      <c r="S2680" s="176"/>
      <c r="T2680" s="176"/>
      <c r="U2680" s="176"/>
      <c r="V2680" s="176"/>
      <c r="W2680" s="176"/>
      <c r="X2680" s="176"/>
      <c r="Y2680" s="176"/>
    </row>
    <row r="2681" spans="1:25">
      <c r="A2681" s="91"/>
      <c r="B2681" s="176"/>
      <c r="C2681" s="176"/>
      <c r="D2681" s="176"/>
      <c r="E2681" s="176"/>
      <c r="F2681" s="176"/>
      <c r="G2681" s="176"/>
      <c r="H2681" s="176"/>
      <c r="I2681" s="176"/>
      <c r="J2681" s="176"/>
      <c r="K2681" s="176"/>
      <c r="L2681" s="176"/>
      <c r="M2681" s="176"/>
      <c r="N2681" s="176"/>
      <c r="O2681" s="176"/>
      <c r="P2681" s="176"/>
      <c r="Q2681" s="176"/>
      <c r="R2681" s="176"/>
      <c r="S2681" s="176"/>
      <c r="T2681" s="176"/>
      <c r="U2681" s="176"/>
      <c r="V2681" s="176"/>
      <c r="W2681" s="176"/>
      <c r="X2681" s="176"/>
      <c r="Y2681" s="176"/>
    </row>
    <row r="2682" spans="1:25">
      <c r="A2682" s="91"/>
      <c r="B2682" s="176"/>
      <c r="C2682" s="176"/>
      <c r="D2682" s="176"/>
      <c r="E2682" s="176"/>
      <c r="F2682" s="176"/>
      <c r="G2682" s="176"/>
      <c r="H2682" s="176"/>
      <c r="I2682" s="176"/>
      <c r="J2682" s="176"/>
      <c r="K2682" s="176"/>
      <c r="L2682" s="176"/>
      <c r="M2682" s="176"/>
      <c r="N2682" s="176"/>
      <c r="O2682" s="176"/>
      <c r="P2682" s="176"/>
      <c r="Q2682" s="176"/>
      <c r="R2682" s="176"/>
      <c r="S2682" s="176"/>
      <c r="T2682" s="176"/>
      <c r="U2682" s="176"/>
      <c r="V2682" s="176"/>
      <c r="W2682" s="176"/>
      <c r="X2682" s="176"/>
      <c r="Y2682" s="176"/>
    </row>
    <row r="2683" spans="1:25">
      <c r="A2683" s="91"/>
      <c r="B2683" s="176"/>
      <c r="C2683" s="176"/>
      <c r="D2683" s="176"/>
      <c r="E2683" s="176"/>
      <c r="F2683" s="176"/>
      <c r="G2683" s="176"/>
      <c r="H2683" s="176"/>
      <c r="I2683" s="176"/>
      <c r="J2683" s="176"/>
      <c r="K2683" s="176"/>
      <c r="L2683" s="176"/>
      <c r="M2683" s="176"/>
      <c r="N2683" s="176"/>
      <c r="O2683" s="176"/>
      <c r="P2683" s="176"/>
      <c r="Q2683" s="176"/>
      <c r="R2683" s="176"/>
      <c r="S2683" s="176"/>
      <c r="T2683" s="176"/>
      <c r="U2683" s="176"/>
      <c r="V2683" s="176"/>
      <c r="W2683" s="176"/>
      <c r="X2683" s="176"/>
      <c r="Y2683" s="176"/>
    </row>
    <row r="2684" spans="1:25">
      <c r="A2684" s="91"/>
      <c r="B2684" s="176"/>
      <c r="C2684" s="176"/>
      <c r="D2684" s="176"/>
      <c r="E2684" s="176"/>
      <c r="F2684" s="176"/>
      <c r="G2684" s="176"/>
      <c r="H2684" s="176"/>
      <c r="I2684" s="176"/>
      <c r="J2684" s="176"/>
      <c r="K2684" s="176"/>
      <c r="L2684" s="176"/>
      <c r="M2684" s="176"/>
      <c r="N2684" s="176"/>
      <c r="O2684" s="176"/>
      <c r="P2684" s="176"/>
      <c r="Q2684" s="176"/>
      <c r="R2684" s="176"/>
      <c r="S2684" s="176"/>
      <c r="T2684" s="176"/>
      <c r="U2684" s="176"/>
      <c r="V2684" s="176"/>
      <c r="W2684" s="176"/>
      <c r="X2684" s="176"/>
      <c r="Y2684" s="176"/>
    </row>
    <row r="2685" spans="1:25">
      <c r="A2685" s="91"/>
      <c r="B2685" s="176"/>
      <c r="C2685" s="176"/>
      <c r="D2685" s="176"/>
      <c r="E2685" s="176"/>
      <c r="F2685" s="176"/>
      <c r="G2685" s="176"/>
      <c r="H2685" s="176"/>
      <c r="I2685" s="176"/>
      <c r="J2685" s="176"/>
      <c r="K2685" s="176"/>
      <c r="L2685" s="176"/>
      <c r="M2685" s="176"/>
      <c r="N2685" s="176"/>
      <c r="O2685" s="176"/>
      <c r="P2685" s="176"/>
      <c r="Q2685" s="176"/>
      <c r="R2685" s="176"/>
      <c r="S2685" s="176"/>
      <c r="T2685" s="176"/>
      <c r="U2685" s="176"/>
      <c r="V2685" s="176"/>
      <c r="W2685" s="176"/>
      <c r="X2685" s="176"/>
      <c r="Y2685" s="176"/>
    </row>
    <row r="2686" spans="1:25">
      <c r="A2686" s="91"/>
      <c r="B2686" s="176"/>
      <c r="C2686" s="176"/>
      <c r="D2686" s="176"/>
      <c r="E2686" s="176"/>
      <c r="F2686" s="176"/>
      <c r="G2686" s="176"/>
      <c r="H2686" s="176"/>
      <c r="I2686" s="176"/>
      <c r="J2686" s="176"/>
      <c r="K2686" s="176"/>
      <c r="L2686" s="176"/>
      <c r="M2686" s="176"/>
      <c r="N2686" s="176"/>
      <c r="O2686" s="176"/>
      <c r="P2686" s="176"/>
      <c r="Q2686" s="176"/>
      <c r="R2686" s="176"/>
      <c r="S2686" s="176"/>
      <c r="T2686" s="176"/>
      <c r="U2686" s="176"/>
      <c r="V2686" s="176"/>
      <c r="W2686" s="176"/>
      <c r="X2686" s="176"/>
      <c r="Y2686" s="176"/>
    </row>
    <row r="2687" spans="1:25">
      <c r="A2687" s="91"/>
      <c r="B2687" s="176"/>
      <c r="C2687" s="176"/>
      <c r="D2687" s="176"/>
      <c r="E2687" s="176"/>
      <c r="F2687" s="176"/>
      <c r="G2687" s="176"/>
      <c r="H2687" s="176"/>
      <c r="I2687" s="176"/>
      <c r="J2687" s="176"/>
      <c r="K2687" s="176"/>
      <c r="L2687" s="176"/>
      <c r="M2687" s="176"/>
      <c r="N2687" s="176"/>
      <c r="O2687" s="176"/>
      <c r="P2687" s="176"/>
      <c r="Q2687" s="176"/>
      <c r="R2687" s="176"/>
      <c r="S2687" s="176"/>
      <c r="T2687" s="176"/>
      <c r="U2687" s="176"/>
      <c r="V2687" s="176"/>
      <c r="W2687" s="176"/>
      <c r="X2687" s="176"/>
      <c r="Y2687" s="176"/>
    </row>
    <row r="2688" spans="1:25">
      <c r="A2688" s="91"/>
      <c r="B2688" s="176"/>
      <c r="C2688" s="176"/>
      <c r="D2688" s="176"/>
      <c r="E2688" s="176"/>
      <c r="F2688" s="176"/>
      <c r="G2688" s="176"/>
      <c r="H2688" s="176"/>
      <c r="I2688" s="176"/>
      <c r="J2688" s="176"/>
      <c r="K2688" s="176"/>
      <c r="L2688" s="176"/>
      <c r="M2688" s="176"/>
      <c r="N2688" s="176"/>
      <c r="O2688" s="176"/>
      <c r="P2688" s="176"/>
      <c r="Q2688" s="176"/>
      <c r="R2688" s="176"/>
      <c r="S2688" s="176"/>
      <c r="T2688" s="176"/>
      <c r="U2688" s="176"/>
      <c r="V2688" s="176"/>
      <c r="W2688" s="176"/>
      <c r="X2688" s="176"/>
      <c r="Y2688" s="176"/>
    </row>
    <row r="2689" spans="1:25">
      <c r="A2689" s="91"/>
      <c r="B2689" s="176"/>
      <c r="C2689" s="176"/>
      <c r="D2689" s="176"/>
      <c r="E2689" s="176"/>
      <c r="F2689" s="176"/>
      <c r="G2689" s="176"/>
      <c r="H2689" s="176"/>
      <c r="I2689" s="176"/>
      <c r="J2689" s="176"/>
      <c r="K2689" s="176"/>
      <c r="L2689" s="176"/>
      <c r="M2689" s="176"/>
      <c r="N2689" s="176"/>
      <c r="O2689" s="176"/>
      <c r="P2689" s="176"/>
      <c r="Q2689" s="176"/>
      <c r="R2689" s="176"/>
      <c r="S2689" s="176"/>
      <c r="T2689" s="176"/>
      <c r="U2689" s="176"/>
      <c r="V2689" s="176"/>
      <c r="W2689" s="176"/>
      <c r="X2689" s="176"/>
      <c r="Y2689" s="176"/>
    </row>
    <row r="2690" spans="1:25">
      <c r="A2690" s="91"/>
      <c r="B2690" s="176"/>
      <c r="C2690" s="176"/>
      <c r="D2690" s="176"/>
      <c r="E2690" s="176"/>
      <c r="F2690" s="176"/>
      <c r="G2690" s="176"/>
      <c r="H2690" s="176"/>
      <c r="I2690" s="176"/>
      <c r="J2690" s="176"/>
      <c r="K2690" s="176"/>
      <c r="L2690" s="176"/>
      <c r="M2690" s="176"/>
      <c r="N2690" s="176"/>
      <c r="O2690" s="176"/>
      <c r="P2690" s="176"/>
      <c r="Q2690" s="176"/>
      <c r="R2690" s="176"/>
      <c r="S2690" s="176"/>
      <c r="T2690" s="176"/>
      <c r="U2690" s="176"/>
      <c r="V2690" s="176"/>
      <c r="W2690" s="176"/>
      <c r="X2690" s="176"/>
      <c r="Y2690" s="176"/>
    </row>
    <row r="2691" spans="1:25">
      <c r="A2691" s="91"/>
      <c r="B2691" s="176"/>
      <c r="C2691" s="176"/>
      <c r="D2691" s="176"/>
      <c r="E2691" s="176"/>
      <c r="F2691" s="176"/>
      <c r="G2691" s="176"/>
      <c r="H2691" s="176"/>
      <c r="I2691" s="176"/>
      <c r="J2691" s="176"/>
      <c r="K2691" s="176"/>
      <c r="L2691" s="176"/>
      <c r="M2691" s="176"/>
      <c r="N2691" s="176"/>
      <c r="O2691" s="176"/>
      <c r="P2691" s="176"/>
      <c r="Q2691" s="176"/>
      <c r="R2691" s="176"/>
      <c r="S2691" s="176"/>
      <c r="T2691" s="176"/>
      <c r="U2691" s="176"/>
      <c r="V2691" s="176"/>
      <c r="W2691" s="176"/>
      <c r="X2691" s="176"/>
      <c r="Y2691" s="176"/>
    </row>
    <row r="2692" spans="1:25">
      <c r="A2692" s="91"/>
      <c r="B2692" s="176"/>
      <c r="C2692" s="176"/>
      <c r="D2692" s="176"/>
      <c r="E2692" s="176"/>
      <c r="F2692" s="176"/>
      <c r="G2692" s="176"/>
      <c r="H2692" s="176"/>
      <c r="I2692" s="176"/>
      <c r="J2692" s="176"/>
      <c r="K2692" s="176"/>
      <c r="L2692" s="176"/>
      <c r="M2692" s="176"/>
      <c r="N2692" s="176"/>
      <c r="O2692" s="176"/>
      <c r="P2692" s="176"/>
      <c r="Q2692" s="176"/>
      <c r="R2692" s="176"/>
      <c r="S2692" s="176"/>
      <c r="T2692" s="176"/>
      <c r="U2692" s="176"/>
      <c r="V2692" s="176"/>
      <c r="W2692" s="176"/>
      <c r="X2692" s="176"/>
      <c r="Y2692" s="176"/>
    </row>
    <row r="2693" spans="1:25">
      <c r="A2693" s="91"/>
      <c r="B2693" s="176"/>
      <c r="C2693" s="176"/>
      <c r="D2693" s="176"/>
      <c r="E2693" s="176"/>
      <c r="F2693" s="176"/>
      <c r="G2693" s="176"/>
      <c r="H2693" s="176"/>
      <c r="I2693" s="176"/>
      <c r="J2693" s="176"/>
      <c r="K2693" s="176"/>
      <c r="L2693" s="176"/>
      <c r="M2693" s="176"/>
      <c r="N2693" s="176"/>
      <c r="O2693" s="176"/>
      <c r="P2693" s="176"/>
      <c r="Q2693" s="176"/>
      <c r="R2693" s="176"/>
      <c r="S2693" s="176"/>
      <c r="T2693" s="176"/>
      <c r="U2693" s="176"/>
      <c r="V2693" s="176"/>
      <c r="W2693" s="176"/>
      <c r="X2693" s="176"/>
      <c r="Y2693" s="176"/>
    </row>
    <row r="2694" spans="1:25">
      <c r="A2694" s="91"/>
      <c r="B2694" s="176"/>
      <c r="C2694" s="176"/>
      <c r="D2694" s="176"/>
      <c r="E2694" s="176"/>
      <c r="F2694" s="176"/>
      <c r="G2694" s="176"/>
      <c r="H2694" s="176"/>
      <c r="I2694" s="176"/>
      <c r="J2694" s="176"/>
      <c r="K2694" s="176"/>
      <c r="L2694" s="176"/>
      <c r="M2694" s="176"/>
      <c r="N2694" s="176"/>
      <c r="O2694" s="176"/>
      <c r="P2694" s="176"/>
      <c r="Q2694" s="176"/>
      <c r="R2694" s="176"/>
      <c r="S2694" s="176"/>
      <c r="T2694" s="176"/>
      <c r="U2694" s="176"/>
      <c r="V2694" s="176"/>
      <c r="W2694" s="176"/>
      <c r="X2694" s="176"/>
      <c r="Y2694" s="176"/>
    </row>
    <row r="2695" spans="1:25">
      <c r="A2695" s="91"/>
      <c r="B2695" s="176"/>
      <c r="C2695" s="176"/>
      <c r="D2695" s="176"/>
      <c r="E2695" s="176"/>
      <c r="F2695" s="176"/>
      <c r="G2695" s="176"/>
      <c r="H2695" s="176"/>
      <c r="I2695" s="176"/>
      <c r="J2695" s="176"/>
      <c r="K2695" s="176"/>
      <c r="L2695" s="176"/>
      <c r="M2695" s="176"/>
      <c r="N2695" s="176"/>
      <c r="O2695" s="176"/>
      <c r="P2695" s="176"/>
      <c r="Q2695" s="176"/>
      <c r="R2695" s="176"/>
      <c r="S2695" s="176"/>
      <c r="T2695" s="176"/>
      <c r="U2695" s="176"/>
      <c r="V2695" s="176"/>
      <c r="W2695" s="176"/>
      <c r="X2695" s="176"/>
      <c r="Y2695" s="176"/>
    </row>
    <row r="2696" spans="1:25">
      <c r="A2696" s="91"/>
      <c r="B2696" s="176"/>
      <c r="C2696" s="176"/>
      <c r="D2696" s="176"/>
      <c r="E2696" s="176"/>
      <c r="F2696" s="176"/>
      <c r="G2696" s="176"/>
      <c r="H2696" s="176"/>
      <c r="I2696" s="176"/>
      <c r="J2696" s="176"/>
      <c r="K2696" s="176"/>
      <c r="L2696" s="176"/>
      <c r="M2696" s="176"/>
      <c r="N2696" s="176"/>
      <c r="O2696" s="176"/>
      <c r="P2696" s="176"/>
      <c r="Q2696" s="176"/>
      <c r="R2696" s="176"/>
      <c r="S2696" s="176"/>
      <c r="T2696" s="176"/>
      <c r="U2696" s="176"/>
      <c r="V2696" s="176"/>
      <c r="W2696" s="176"/>
      <c r="X2696" s="176"/>
      <c r="Y2696" s="176"/>
    </row>
    <row r="2697" spans="1:25">
      <c r="A2697" s="91"/>
      <c r="B2697" s="176"/>
      <c r="C2697" s="176"/>
      <c r="D2697" s="176"/>
      <c r="E2697" s="176"/>
      <c r="F2697" s="176"/>
      <c r="G2697" s="176"/>
      <c r="H2697" s="176"/>
      <c r="I2697" s="176"/>
      <c r="J2697" s="176"/>
      <c r="K2697" s="176"/>
      <c r="L2697" s="176"/>
      <c r="M2697" s="176"/>
      <c r="N2697" s="176"/>
      <c r="O2697" s="176"/>
      <c r="P2697" s="176"/>
      <c r="Q2697" s="176"/>
      <c r="R2697" s="176"/>
      <c r="S2697" s="176"/>
      <c r="T2697" s="176"/>
      <c r="U2697" s="176"/>
      <c r="V2697" s="176"/>
      <c r="W2697" s="176"/>
      <c r="X2697" s="176"/>
      <c r="Y2697" s="176"/>
    </row>
    <row r="2698" spans="1:25">
      <c r="A2698" s="91"/>
      <c r="B2698" s="176"/>
      <c r="C2698" s="176"/>
      <c r="D2698" s="176"/>
      <c r="E2698" s="176"/>
      <c r="F2698" s="176"/>
      <c r="G2698" s="176"/>
      <c r="H2698" s="176"/>
      <c r="I2698" s="176"/>
      <c r="J2698" s="176"/>
      <c r="K2698" s="176"/>
      <c r="L2698" s="176"/>
      <c r="M2698" s="176"/>
      <c r="N2698" s="176"/>
      <c r="O2698" s="176"/>
      <c r="P2698" s="176"/>
      <c r="Q2698" s="176"/>
      <c r="R2698" s="176"/>
      <c r="S2698" s="176"/>
      <c r="T2698" s="176"/>
      <c r="U2698" s="176"/>
      <c r="V2698" s="176"/>
      <c r="W2698" s="176"/>
      <c r="X2698" s="176"/>
      <c r="Y2698" s="176"/>
    </row>
    <row r="2699" spans="1:25">
      <c r="A2699" s="91"/>
      <c r="B2699" s="176"/>
      <c r="C2699" s="176"/>
      <c r="D2699" s="176"/>
      <c r="E2699" s="176"/>
      <c r="F2699" s="176"/>
      <c r="G2699" s="176"/>
      <c r="H2699" s="176"/>
      <c r="I2699" s="176"/>
      <c r="J2699" s="176"/>
      <c r="K2699" s="176"/>
      <c r="L2699" s="176"/>
      <c r="M2699" s="176"/>
      <c r="N2699" s="176"/>
      <c r="O2699" s="176"/>
      <c r="P2699" s="176"/>
      <c r="Q2699" s="176"/>
      <c r="R2699" s="176"/>
      <c r="S2699" s="176"/>
      <c r="T2699" s="176"/>
      <c r="U2699" s="176"/>
      <c r="V2699" s="176"/>
      <c r="W2699" s="176"/>
      <c r="X2699" s="176"/>
      <c r="Y2699" s="176"/>
    </row>
    <row r="2700" spans="1:25">
      <c r="A2700" s="91"/>
      <c r="B2700" s="176"/>
      <c r="C2700" s="176"/>
      <c r="D2700" s="176"/>
      <c r="E2700" s="176"/>
      <c r="F2700" s="176"/>
      <c r="G2700" s="176"/>
      <c r="H2700" s="176"/>
      <c r="I2700" s="176"/>
      <c r="J2700" s="176"/>
      <c r="K2700" s="176"/>
      <c r="L2700" s="176"/>
      <c r="M2700" s="176"/>
      <c r="N2700" s="176"/>
      <c r="O2700" s="176"/>
      <c r="P2700" s="176"/>
      <c r="Q2700" s="176"/>
      <c r="R2700" s="176"/>
      <c r="S2700" s="176"/>
      <c r="T2700" s="176"/>
      <c r="U2700" s="176"/>
      <c r="V2700" s="176"/>
      <c r="W2700" s="176"/>
      <c r="X2700" s="176"/>
      <c r="Y2700" s="176"/>
    </row>
    <row r="2701" spans="1:25">
      <c r="A2701" s="91"/>
      <c r="B2701" s="176"/>
      <c r="C2701" s="176"/>
      <c r="D2701" s="176"/>
      <c r="E2701" s="176"/>
      <c r="F2701" s="176"/>
      <c r="G2701" s="176"/>
      <c r="H2701" s="176"/>
      <c r="I2701" s="176"/>
      <c r="J2701" s="176"/>
      <c r="K2701" s="176"/>
      <c r="L2701" s="176"/>
      <c r="M2701" s="176"/>
      <c r="N2701" s="176"/>
      <c r="O2701" s="176"/>
      <c r="P2701" s="176"/>
      <c r="Q2701" s="176"/>
      <c r="R2701" s="176"/>
      <c r="S2701" s="176"/>
      <c r="T2701" s="176"/>
      <c r="U2701" s="176"/>
      <c r="V2701" s="176"/>
      <c r="W2701" s="176"/>
      <c r="X2701" s="176"/>
      <c r="Y2701" s="176"/>
    </row>
    <row r="2702" spans="1:25">
      <c r="A2702" s="91"/>
      <c r="B2702" s="176"/>
      <c r="C2702" s="176"/>
      <c r="D2702" s="176"/>
      <c r="E2702" s="176"/>
      <c r="F2702" s="176"/>
      <c r="G2702" s="176"/>
      <c r="H2702" s="176"/>
      <c r="I2702" s="176"/>
      <c r="J2702" s="176"/>
      <c r="K2702" s="176"/>
      <c r="L2702" s="176"/>
      <c r="M2702" s="176"/>
      <c r="N2702" s="176"/>
      <c r="O2702" s="176"/>
      <c r="P2702" s="176"/>
      <c r="Q2702" s="176"/>
      <c r="R2702" s="176"/>
      <c r="S2702" s="176"/>
      <c r="T2702" s="176"/>
      <c r="U2702" s="176"/>
      <c r="V2702" s="176"/>
      <c r="W2702" s="176"/>
      <c r="X2702" s="176"/>
      <c r="Y2702" s="176"/>
    </row>
    <row r="2703" spans="1:25">
      <c r="A2703" s="91"/>
      <c r="B2703" s="176"/>
      <c r="C2703" s="176"/>
      <c r="D2703" s="176"/>
      <c r="E2703" s="176"/>
      <c r="F2703" s="176"/>
      <c r="G2703" s="176"/>
      <c r="H2703" s="176"/>
      <c r="I2703" s="176"/>
      <c r="J2703" s="176"/>
      <c r="K2703" s="176"/>
      <c r="L2703" s="176"/>
      <c r="M2703" s="176"/>
      <c r="N2703" s="176"/>
      <c r="O2703" s="176"/>
      <c r="P2703" s="176"/>
      <c r="Q2703" s="176"/>
      <c r="R2703" s="176"/>
      <c r="S2703" s="176"/>
      <c r="T2703" s="176"/>
      <c r="U2703" s="176"/>
      <c r="V2703" s="176"/>
      <c r="W2703" s="176"/>
      <c r="X2703" s="176"/>
      <c r="Y2703" s="176"/>
    </row>
    <row r="2704" spans="1:25">
      <c r="A2704" s="91"/>
      <c r="B2704" s="176"/>
      <c r="C2704" s="176"/>
      <c r="D2704" s="176"/>
      <c r="E2704" s="176"/>
      <c r="F2704" s="176"/>
      <c r="G2704" s="176"/>
      <c r="H2704" s="176"/>
      <c r="I2704" s="176"/>
      <c r="J2704" s="176"/>
      <c r="K2704" s="176"/>
      <c r="L2704" s="176"/>
      <c r="M2704" s="176"/>
      <c r="N2704" s="176"/>
      <c r="O2704" s="176"/>
      <c r="P2704" s="176"/>
      <c r="Q2704" s="176"/>
      <c r="R2704" s="176"/>
      <c r="S2704" s="176"/>
      <c r="T2704" s="176"/>
      <c r="U2704" s="176"/>
      <c r="V2704" s="176"/>
      <c r="W2704" s="176"/>
      <c r="X2704" s="176"/>
      <c r="Y2704" s="176"/>
    </row>
    <row r="2705" spans="1:25">
      <c r="A2705" s="91"/>
      <c r="B2705" s="176"/>
      <c r="C2705" s="176"/>
      <c r="D2705" s="176"/>
      <c r="E2705" s="176"/>
      <c r="F2705" s="176"/>
      <c r="G2705" s="176"/>
      <c r="H2705" s="176"/>
      <c r="I2705" s="176"/>
      <c r="J2705" s="176"/>
      <c r="K2705" s="176"/>
      <c r="L2705" s="176"/>
      <c r="M2705" s="176"/>
      <c r="N2705" s="176"/>
      <c r="O2705" s="176"/>
      <c r="P2705" s="176"/>
      <c r="Q2705" s="176"/>
      <c r="R2705" s="176"/>
      <c r="S2705" s="176"/>
      <c r="T2705" s="176"/>
      <c r="U2705" s="176"/>
      <c r="V2705" s="176"/>
      <c r="W2705" s="176"/>
      <c r="X2705" s="176"/>
      <c r="Y2705" s="176"/>
    </row>
    <row r="2706" spans="1:25">
      <c r="A2706" s="91"/>
      <c r="B2706" s="176"/>
      <c r="C2706" s="176"/>
      <c r="D2706" s="176"/>
      <c r="E2706" s="176"/>
      <c r="F2706" s="176"/>
      <c r="G2706" s="176"/>
      <c r="H2706" s="176"/>
      <c r="I2706" s="176"/>
      <c r="J2706" s="176"/>
      <c r="K2706" s="176"/>
      <c r="L2706" s="176"/>
      <c r="M2706" s="176"/>
      <c r="N2706" s="176"/>
      <c r="O2706" s="176"/>
      <c r="P2706" s="176"/>
      <c r="Q2706" s="176"/>
      <c r="R2706" s="176"/>
      <c r="S2706" s="176"/>
      <c r="T2706" s="176"/>
      <c r="U2706" s="176"/>
      <c r="V2706" s="176"/>
      <c r="W2706" s="176"/>
      <c r="X2706" s="176"/>
      <c r="Y2706" s="176"/>
    </row>
    <row r="2707" spans="1:25">
      <c r="A2707" s="91"/>
      <c r="B2707" s="176"/>
      <c r="C2707" s="176"/>
      <c r="D2707" s="176"/>
      <c r="E2707" s="176"/>
      <c r="F2707" s="176"/>
      <c r="G2707" s="176"/>
      <c r="H2707" s="176"/>
      <c r="I2707" s="176"/>
      <c r="J2707" s="176"/>
      <c r="K2707" s="176"/>
      <c r="L2707" s="176"/>
      <c r="M2707" s="176"/>
      <c r="N2707" s="176"/>
      <c r="O2707" s="176"/>
      <c r="P2707" s="176"/>
      <c r="Q2707" s="176"/>
      <c r="R2707" s="176"/>
      <c r="S2707" s="176"/>
      <c r="T2707" s="176"/>
      <c r="U2707" s="176"/>
      <c r="V2707" s="176"/>
      <c r="W2707" s="176"/>
      <c r="X2707" s="176"/>
      <c r="Y2707" s="176"/>
    </row>
    <row r="2708" spans="1:25">
      <c r="A2708" s="91"/>
      <c r="B2708" s="176"/>
      <c r="C2708" s="176"/>
      <c r="D2708" s="176"/>
      <c r="E2708" s="176"/>
      <c r="F2708" s="176"/>
      <c r="G2708" s="176"/>
      <c r="H2708" s="176"/>
      <c r="I2708" s="176"/>
      <c r="J2708" s="176"/>
      <c r="K2708" s="176"/>
      <c r="L2708" s="176"/>
      <c r="M2708" s="176"/>
      <c r="N2708" s="176"/>
      <c r="O2708" s="176"/>
      <c r="P2708" s="176"/>
      <c r="Q2708" s="176"/>
      <c r="R2708" s="176"/>
      <c r="S2708" s="176"/>
      <c r="T2708" s="176"/>
      <c r="U2708" s="176"/>
      <c r="V2708" s="176"/>
      <c r="W2708" s="176"/>
      <c r="X2708" s="176"/>
      <c r="Y2708" s="176"/>
    </row>
    <row r="2709" spans="1:25">
      <c r="A2709" s="91"/>
      <c r="B2709" s="176"/>
      <c r="C2709" s="176"/>
      <c r="D2709" s="176"/>
      <c r="E2709" s="176"/>
      <c r="F2709" s="176"/>
      <c r="G2709" s="176"/>
      <c r="H2709" s="176"/>
      <c r="I2709" s="176"/>
      <c r="J2709" s="176"/>
      <c r="K2709" s="176"/>
      <c r="L2709" s="176"/>
      <c r="M2709" s="176"/>
      <c r="N2709" s="176"/>
      <c r="O2709" s="176"/>
      <c r="P2709" s="176"/>
      <c r="Q2709" s="176"/>
      <c r="R2709" s="176"/>
      <c r="S2709" s="176"/>
      <c r="T2709" s="176"/>
      <c r="U2709" s="176"/>
      <c r="V2709" s="176"/>
      <c r="W2709" s="176"/>
      <c r="X2709" s="176"/>
      <c r="Y2709" s="176"/>
    </row>
    <row r="2710" spans="1:25">
      <c r="A2710" s="91"/>
      <c r="B2710" s="176"/>
      <c r="C2710" s="176"/>
      <c r="D2710" s="176"/>
      <c r="E2710" s="176"/>
      <c r="F2710" s="176"/>
      <c r="G2710" s="176"/>
      <c r="H2710" s="176"/>
      <c r="I2710" s="176"/>
      <c r="J2710" s="176"/>
      <c r="K2710" s="176"/>
      <c r="L2710" s="176"/>
      <c r="M2710" s="176"/>
      <c r="N2710" s="176"/>
      <c r="O2710" s="176"/>
      <c r="P2710" s="176"/>
      <c r="Q2710" s="176"/>
      <c r="R2710" s="176"/>
      <c r="S2710" s="176"/>
      <c r="T2710" s="176"/>
      <c r="U2710" s="176"/>
      <c r="V2710" s="176"/>
      <c r="W2710" s="176"/>
      <c r="X2710" s="176"/>
      <c r="Y2710" s="176"/>
    </row>
    <row r="2711" spans="1:25">
      <c r="A2711" s="91"/>
      <c r="B2711" s="176"/>
      <c r="C2711" s="176"/>
      <c r="D2711" s="176"/>
      <c r="E2711" s="176"/>
      <c r="F2711" s="176"/>
      <c r="G2711" s="176"/>
      <c r="H2711" s="176"/>
      <c r="I2711" s="176"/>
      <c r="J2711" s="176"/>
      <c r="K2711" s="176"/>
      <c r="L2711" s="176"/>
      <c r="M2711" s="176"/>
      <c r="N2711" s="176"/>
      <c r="O2711" s="176"/>
      <c r="P2711" s="176"/>
      <c r="Q2711" s="176"/>
      <c r="R2711" s="176"/>
      <c r="S2711" s="176"/>
      <c r="T2711" s="176"/>
      <c r="U2711" s="176"/>
      <c r="V2711" s="176"/>
      <c r="W2711" s="176"/>
      <c r="X2711" s="176"/>
      <c r="Y2711" s="176"/>
    </row>
    <row r="2712" spans="1:25">
      <c r="A2712" s="91"/>
      <c r="B2712" s="176"/>
      <c r="C2712" s="176"/>
      <c r="D2712" s="176"/>
      <c r="E2712" s="176"/>
      <c r="F2712" s="176"/>
      <c r="G2712" s="176"/>
      <c r="H2712" s="176"/>
      <c r="I2712" s="176"/>
      <c r="J2712" s="176"/>
      <c r="K2712" s="176"/>
      <c r="L2712" s="176"/>
      <c r="M2712" s="176"/>
      <c r="N2712" s="176"/>
      <c r="O2712" s="176"/>
      <c r="P2712" s="176"/>
      <c r="Q2712" s="176"/>
      <c r="R2712" s="176"/>
      <c r="S2712" s="176"/>
      <c r="T2712" s="176"/>
      <c r="U2712" s="176"/>
      <c r="V2712" s="176"/>
      <c r="W2712" s="176"/>
      <c r="X2712" s="176"/>
      <c r="Y2712" s="176"/>
    </row>
    <row r="2713" spans="1:25">
      <c r="A2713" s="91"/>
      <c r="B2713" s="176"/>
      <c r="C2713" s="176"/>
      <c r="D2713" s="176"/>
      <c r="E2713" s="176"/>
      <c r="F2713" s="176"/>
      <c r="G2713" s="176"/>
      <c r="H2713" s="176"/>
      <c r="I2713" s="176"/>
      <c r="J2713" s="176"/>
      <c r="K2713" s="176"/>
      <c r="L2713" s="176"/>
      <c r="M2713" s="176"/>
      <c r="N2713" s="176"/>
      <c r="O2713" s="176"/>
      <c r="P2713" s="176"/>
      <c r="Q2713" s="176"/>
      <c r="R2713" s="176"/>
      <c r="S2713" s="176"/>
      <c r="T2713" s="176"/>
      <c r="U2713" s="176"/>
      <c r="V2713" s="176"/>
      <c r="W2713" s="176"/>
      <c r="X2713" s="176"/>
      <c r="Y2713" s="176"/>
    </row>
    <row r="2714" spans="1:25">
      <c r="A2714" s="91"/>
      <c r="B2714" s="176"/>
      <c r="C2714" s="176"/>
      <c r="D2714" s="176"/>
      <c r="E2714" s="176"/>
      <c r="F2714" s="176"/>
      <c r="G2714" s="176"/>
      <c r="H2714" s="176"/>
      <c r="I2714" s="176"/>
      <c r="J2714" s="176"/>
      <c r="K2714" s="176"/>
      <c r="L2714" s="176"/>
      <c r="M2714" s="176"/>
      <c r="N2714" s="176"/>
      <c r="O2714" s="176"/>
      <c r="P2714" s="176"/>
      <c r="Q2714" s="176"/>
      <c r="R2714" s="176"/>
      <c r="S2714" s="176"/>
      <c r="T2714" s="176"/>
      <c r="U2714" s="176"/>
      <c r="V2714" s="176"/>
      <c r="W2714" s="176"/>
      <c r="X2714" s="176"/>
      <c r="Y2714" s="176"/>
    </row>
    <row r="2715" spans="1:25">
      <c r="A2715" s="91"/>
      <c r="B2715" s="176"/>
      <c r="C2715" s="176"/>
      <c r="D2715" s="176"/>
      <c r="E2715" s="176"/>
      <c r="F2715" s="176"/>
      <c r="G2715" s="176"/>
      <c r="H2715" s="176"/>
      <c r="I2715" s="176"/>
      <c r="J2715" s="176"/>
      <c r="K2715" s="176"/>
      <c r="L2715" s="176"/>
      <c r="M2715" s="176"/>
      <c r="N2715" s="176"/>
      <c r="O2715" s="176"/>
      <c r="P2715" s="176"/>
      <c r="Q2715" s="176"/>
      <c r="R2715" s="176"/>
      <c r="S2715" s="176"/>
      <c r="T2715" s="176"/>
      <c r="U2715" s="176"/>
      <c r="V2715" s="176"/>
      <c r="W2715" s="176"/>
      <c r="X2715" s="176"/>
      <c r="Y2715" s="176"/>
    </row>
    <row r="2716" spans="1:25">
      <c r="A2716" s="91"/>
      <c r="B2716" s="176"/>
      <c r="C2716" s="176"/>
      <c r="D2716" s="176"/>
      <c r="E2716" s="176"/>
      <c r="F2716" s="176"/>
      <c r="G2716" s="176"/>
      <c r="H2716" s="176"/>
      <c r="I2716" s="176"/>
      <c r="J2716" s="176"/>
      <c r="K2716" s="176"/>
      <c r="L2716" s="176"/>
      <c r="M2716" s="176"/>
      <c r="N2716" s="176"/>
      <c r="O2716" s="176"/>
      <c r="P2716" s="176"/>
      <c r="Q2716" s="176"/>
      <c r="R2716" s="176"/>
      <c r="S2716" s="176"/>
      <c r="T2716" s="176"/>
      <c r="U2716" s="176"/>
      <c r="V2716" s="176"/>
      <c r="W2716" s="176"/>
      <c r="X2716" s="176"/>
      <c r="Y2716" s="176"/>
    </row>
    <row r="2717" spans="1:25">
      <c r="A2717" s="91"/>
      <c r="B2717" s="176"/>
      <c r="C2717" s="176"/>
      <c r="D2717" s="176"/>
      <c r="E2717" s="176"/>
      <c r="F2717" s="176"/>
      <c r="G2717" s="176"/>
      <c r="H2717" s="176"/>
      <c r="I2717" s="176"/>
      <c r="J2717" s="176"/>
      <c r="K2717" s="176"/>
      <c r="L2717" s="176"/>
      <c r="M2717" s="176"/>
      <c r="N2717" s="176"/>
      <c r="O2717" s="176"/>
      <c r="P2717" s="176"/>
      <c r="Q2717" s="176"/>
      <c r="R2717" s="176"/>
      <c r="S2717" s="176"/>
      <c r="T2717" s="176"/>
      <c r="U2717" s="176"/>
      <c r="V2717" s="176"/>
      <c r="W2717" s="176"/>
      <c r="X2717" s="176"/>
      <c r="Y2717" s="176"/>
    </row>
    <row r="2718" spans="1:25">
      <c r="A2718" s="91"/>
      <c r="B2718" s="176"/>
      <c r="C2718" s="176"/>
      <c r="D2718" s="176"/>
      <c r="E2718" s="176"/>
      <c r="F2718" s="176"/>
      <c r="G2718" s="176"/>
      <c r="H2718" s="176"/>
      <c r="I2718" s="176"/>
      <c r="J2718" s="176"/>
      <c r="K2718" s="176"/>
      <c r="L2718" s="176"/>
      <c r="M2718" s="176"/>
      <c r="N2718" s="176"/>
      <c r="O2718" s="176"/>
      <c r="P2718" s="176"/>
      <c r="Q2718" s="176"/>
      <c r="R2718" s="176"/>
      <c r="S2718" s="176"/>
      <c r="T2718" s="176"/>
      <c r="U2718" s="176"/>
      <c r="V2718" s="176"/>
      <c r="W2718" s="176"/>
      <c r="X2718" s="176"/>
      <c r="Y2718" s="176"/>
    </row>
    <row r="2719" spans="1:25">
      <c r="A2719" s="91"/>
      <c r="B2719" s="176"/>
      <c r="C2719" s="176"/>
      <c r="D2719" s="176"/>
      <c r="E2719" s="176"/>
      <c r="F2719" s="176"/>
      <c r="G2719" s="176"/>
      <c r="H2719" s="176"/>
      <c r="I2719" s="176"/>
      <c r="J2719" s="176"/>
      <c r="K2719" s="176"/>
      <c r="L2719" s="176"/>
      <c r="M2719" s="176"/>
      <c r="N2719" s="176"/>
      <c r="O2719" s="176"/>
      <c r="P2719" s="176"/>
      <c r="Q2719" s="176"/>
      <c r="R2719" s="176"/>
      <c r="S2719" s="176"/>
      <c r="T2719" s="176"/>
      <c r="U2719" s="176"/>
      <c r="V2719" s="176"/>
      <c r="W2719" s="176"/>
      <c r="X2719" s="176"/>
      <c r="Y2719" s="176"/>
    </row>
    <row r="2720" spans="1:25">
      <c r="A2720" s="91"/>
      <c r="B2720" s="176"/>
      <c r="C2720" s="176"/>
      <c r="D2720" s="176"/>
      <c r="E2720" s="176"/>
      <c r="F2720" s="176"/>
      <c r="G2720" s="176"/>
      <c r="H2720" s="176"/>
      <c r="I2720" s="176"/>
      <c r="J2720" s="176"/>
      <c r="K2720" s="176"/>
      <c r="L2720" s="176"/>
      <c r="M2720" s="176"/>
      <c r="N2720" s="176"/>
      <c r="O2720" s="176"/>
      <c r="P2720" s="176"/>
      <c r="Q2720" s="176"/>
      <c r="R2720" s="176"/>
      <c r="S2720" s="176"/>
      <c r="T2720" s="176"/>
      <c r="U2720" s="176"/>
      <c r="V2720" s="176"/>
      <c r="W2720" s="176"/>
      <c r="X2720" s="176"/>
      <c r="Y2720" s="176"/>
    </row>
    <row r="2721" spans="1:25">
      <c r="A2721" s="91"/>
      <c r="B2721" s="176"/>
      <c r="C2721" s="176"/>
      <c r="D2721" s="176"/>
      <c r="E2721" s="176"/>
      <c r="F2721" s="176"/>
      <c r="G2721" s="176"/>
      <c r="H2721" s="176"/>
      <c r="I2721" s="176"/>
      <c r="J2721" s="176"/>
      <c r="K2721" s="176"/>
      <c r="L2721" s="176"/>
      <c r="M2721" s="176"/>
      <c r="N2721" s="176"/>
      <c r="O2721" s="176"/>
      <c r="P2721" s="176"/>
      <c r="Q2721" s="176"/>
      <c r="R2721" s="176"/>
      <c r="S2721" s="176"/>
      <c r="T2721" s="176"/>
      <c r="U2721" s="176"/>
      <c r="V2721" s="176"/>
      <c r="W2721" s="176"/>
      <c r="X2721" s="176"/>
      <c r="Y2721" s="176"/>
    </row>
    <row r="2722" spans="1:25">
      <c r="A2722" s="91"/>
      <c r="B2722" s="176"/>
      <c r="C2722" s="176"/>
      <c r="D2722" s="176"/>
      <c r="E2722" s="176"/>
      <c r="F2722" s="176"/>
      <c r="G2722" s="176"/>
      <c r="H2722" s="176"/>
      <c r="I2722" s="176"/>
      <c r="J2722" s="176"/>
      <c r="K2722" s="176"/>
      <c r="L2722" s="176"/>
      <c r="M2722" s="176"/>
      <c r="N2722" s="176"/>
      <c r="O2722" s="176"/>
      <c r="P2722" s="176"/>
      <c r="Q2722" s="176"/>
      <c r="R2722" s="176"/>
      <c r="S2722" s="176"/>
      <c r="T2722" s="176"/>
      <c r="U2722" s="176"/>
      <c r="V2722" s="176"/>
      <c r="W2722" s="176"/>
      <c r="X2722" s="176"/>
      <c r="Y2722" s="176"/>
    </row>
    <row r="2723" spans="1:25">
      <c r="A2723" s="91"/>
      <c r="B2723" s="176"/>
      <c r="C2723" s="176"/>
      <c r="D2723" s="176"/>
      <c r="E2723" s="176"/>
      <c r="F2723" s="176"/>
      <c r="G2723" s="176"/>
      <c r="H2723" s="176"/>
      <c r="I2723" s="176"/>
      <c r="J2723" s="176"/>
      <c r="K2723" s="176"/>
      <c r="L2723" s="176"/>
      <c r="M2723" s="176"/>
      <c r="N2723" s="176"/>
      <c r="O2723" s="176"/>
      <c r="P2723" s="176"/>
      <c r="Q2723" s="176"/>
      <c r="R2723" s="176"/>
      <c r="S2723" s="176"/>
      <c r="T2723" s="176"/>
      <c r="U2723" s="176"/>
      <c r="V2723" s="176"/>
      <c r="W2723" s="176"/>
      <c r="X2723" s="176"/>
      <c r="Y2723" s="176"/>
    </row>
    <row r="2724" spans="1:25">
      <c r="A2724" s="91"/>
      <c r="B2724" s="176"/>
      <c r="C2724" s="176"/>
      <c r="D2724" s="176"/>
      <c r="E2724" s="176"/>
      <c r="F2724" s="176"/>
      <c r="G2724" s="176"/>
      <c r="H2724" s="176"/>
      <c r="I2724" s="176"/>
      <c r="J2724" s="176"/>
      <c r="K2724" s="176"/>
      <c r="L2724" s="176"/>
      <c r="M2724" s="176"/>
      <c r="N2724" s="176"/>
      <c r="O2724" s="176"/>
      <c r="P2724" s="176"/>
      <c r="Q2724" s="176"/>
      <c r="R2724" s="176"/>
      <c r="S2724" s="176"/>
      <c r="T2724" s="176"/>
      <c r="U2724" s="176"/>
      <c r="V2724" s="176"/>
      <c r="W2724" s="176"/>
      <c r="X2724" s="176"/>
      <c r="Y2724" s="176"/>
    </row>
    <row r="2725" spans="1:25">
      <c r="A2725" s="91"/>
      <c r="B2725" s="176"/>
      <c r="C2725" s="176"/>
      <c r="D2725" s="176"/>
      <c r="E2725" s="176"/>
      <c r="F2725" s="176"/>
      <c r="G2725" s="176"/>
      <c r="H2725" s="176"/>
      <c r="I2725" s="176"/>
      <c r="J2725" s="176"/>
      <c r="K2725" s="176"/>
      <c r="L2725" s="176"/>
      <c r="M2725" s="176"/>
      <c r="N2725" s="176"/>
      <c r="O2725" s="176"/>
      <c r="P2725" s="176"/>
      <c r="Q2725" s="176"/>
      <c r="R2725" s="176"/>
      <c r="S2725" s="176"/>
      <c r="T2725" s="176"/>
      <c r="U2725" s="176"/>
      <c r="V2725" s="176"/>
      <c r="W2725" s="176"/>
      <c r="X2725" s="176"/>
      <c r="Y2725" s="176"/>
    </row>
    <row r="2726" spans="1:25">
      <c r="A2726" s="91"/>
      <c r="B2726" s="176"/>
      <c r="C2726" s="176"/>
      <c r="D2726" s="176"/>
      <c r="E2726" s="176"/>
      <c r="F2726" s="176"/>
      <c r="G2726" s="176"/>
      <c r="H2726" s="176"/>
      <c r="I2726" s="176"/>
      <c r="J2726" s="176"/>
      <c r="K2726" s="176"/>
      <c r="L2726" s="176"/>
      <c r="M2726" s="176"/>
      <c r="N2726" s="176"/>
      <c r="O2726" s="176"/>
      <c r="P2726" s="176"/>
      <c r="Q2726" s="176"/>
      <c r="R2726" s="176"/>
      <c r="S2726" s="176"/>
      <c r="T2726" s="176"/>
      <c r="U2726" s="176"/>
      <c r="V2726" s="176"/>
      <c r="W2726" s="176"/>
      <c r="X2726" s="176"/>
      <c r="Y2726" s="176"/>
    </row>
    <row r="2727" spans="1:25">
      <c r="A2727" s="91"/>
      <c r="B2727" s="176"/>
      <c r="C2727" s="176"/>
      <c r="D2727" s="176"/>
      <c r="E2727" s="176"/>
      <c r="F2727" s="176"/>
      <c r="G2727" s="176"/>
      <c r="H2727" s="176"/>
      <c r="I2727" s="176"/>
      <c r="J2727" s="176"/>
      <c r="K2727" s="176"/>
      <c r="L2727" s="176"/>
      <c r="M2727" s="176"/>
      <c r="N2727" s="176"/>
      <c r="O2727" s="176"/>
      <c r="P2727" s="176"/>
      <c r="Q2727" s="176"/>
      <c r="R2727" s="176"/>
      <c r="S2727" s="176"/>
      <c r="T2727" s="176"/>
      <c r="U2727" s="176"/>
      <c r="V2727" s="176"/>
      <c r="W2727" s="176"/>
      <c r="X2727" s="176"/>
      <c r="Y2727" s="176"/>
    </row>
    <row r="2728" spans="1:25">
      <c r="A2728" s="91"/>
      <c r="B2728" s="176"/>
      <c r="C2728" s="176"/>
      <c r="D2728" s="176"/>
      <c r="E2728" s="176"/>
      <c r="F2728" s="176"/>
      <c r="G2728" s="176"/>
      <c r="H2728" s="176"/>
      <c r="I2728" s="176"/>
      <c r="J2728" s="176"/>
      <c r="K2728" s="176"/>
      <c r="L2728" s="176"/>
      <c r="M2728" s="176"/>
      <c r="N2728" s="176"/>
      <c r="O2728" s="176"/>
      <c r="P2728" s="176"/>
      <c r="Q2728" s="176"/>
      <c r="R2728" s="176"/>
      <c r="S2728" s="176"/>
      <c r="T2728" s="176"/>
      <c r="U2728" s="176"/>
      <c r="V2728" s="176"/>
      <c r="W2728" s="176"/>
      <c r="X2728" s="176"/>
      <c r="Y2728" s="176"/>
    </row>
    <row r="2729" spans="1:25">
      <c r="A2729" s="91"/>
      <c r="B2729" s="176"/>
      <c r="C2729" s="176"/>
      <c r="D2729" s="176"/>
      <c r="E2729" s="176"/>
      <c r="F2729" s="176"/>
      <c r="G2729" s="176"/>
      <c r="H2729" s="176"/>
      <c r="I2729" s="176"/>
      <c r="J2729" s="176"/>
      <c r="K2729" s="176"/>
      <c r="L2729" s="176"/>
      <c r="M2729" s="176"/>
      <c r="N2729" s="176"/>
      <c r="O2729" s="176"/>
      <c r="P2729" s="176"/>
      <c r="Q2729" s="176"/>
      <c r="R2729" s="176"/>
      <c r="S2729" s="176"/>
      <c r="T2729" s="176"/>
      <c r="U2729" s="176"/>
      <c r="V2729" s="176"/>
      <c r="W2729" s="176"/>
      <c r="X2729" s="176"/>
      <c r="Y2729" s="176"/>
    </row>
    <row r="2730" spans="1:25">
      <c r="A2730" s="91"/>
      <c r="B2730" s="176"/>
      <c r="C2730" s="176"/>
      <c r="D2730" s="176"/>
      <c r="E2730" s="176"/>
      <c r="F2730" s="176"/>
      <c r="G2730" s="176"/>
      <c r="H2730" s="176"/>
      <c r="I2730" s="176"/>
      <c r="J2730" s="176"/>
      <c r="K2730" s="176"/>
      <c r="L2730" s="176"/>
      <c r="M2730" s="176"/>
      <c r="N2730" s="176"/>
      <c r="O2730" s="176"/>
      <c r="P2730" s="176"/>
      <c r="Q2730" s="176"/>
      <c r="R2730" s="176"/>
      <c r="S2730" s="176"/>
      <c r="T2730" s="176"/>
      <c r="U2730" s="176"/>
      <c r="V2730" s="176"/>
      <c r="W2730" s="176"/>
      <c r="X2730" s="176"/>
      <c r="Y2730" s="176"/>
    </row>
    <row r="2731" spans="1:25">
      <c r="A2731" s="91"/>
      <c r="B2731" s="176"/>
      <c r="C2731" s="176"/>
      <c r="D2731" s="176"/>
      <c r="E2731" s="176"/>
      <c r="F2731" s="176"/>
      <c r="G2731" s="176"/>
      <c r="H2731" s="176"/>
      <c r="I2731" s="176"/>
      <c r="J2731" s="176"/>
      <c r="K2731" s="176"/>
      <c r="L2731" s="176"/>
      <c r="M2731" s="176"/>
      <c r="N2731" s="176"/>
      <c r="O2731" s="176"/>
      <c r="P2731" s="176"/>
      <c r="Q2731" s="176"/>
      <c r="R2731" s="176"/>
      <c r="S2731" s="176"/>
      <c r="T2731" s="176"/>
      <c r="U2731" s="176"/>
      <c r="V2731" s="176"/>
      <c r="W2731" s="176"/>
      <c r="X2731" s="176"/>
      <c r="Y2731" s="176"/>
    </row>
    <row r="2732" spans="1:25">
      <c r="A2732" s="91"/>
      <c r="B2732" s="176"/>
      <c r="C2732" s="176"/>
      <c r="D2732" s="176"/>
      <c r="E2732" s="176"/>
      <c r="F2732" s="176"/>
      <c r="G2732" s="176"/>
      <c r="H2732" s="176"/>
      <c r="I2732" s="176"/>
      <c r="J2732" s="176"/>
      <c r="K2732" s="176"/>
      <c r="L2732" s="176"/>
      <c r="M2732" s="176"/>
      <c r="N2732" s="176"/>
      <c r="O2732" s="176"/>
      <c r="P2732" s="176"/>
      <c r="Q2732" s="176"/>
      <c r="R2732" s="176"/>
      <c r="S2732" s="176"/>
      <c r="T2732" s="176"/>
      <c r="U2732" s="176"/>
      <c r="V2732" s="176"/>
      <c r="W2732" s="176"/>
      <c r="X2732" s="176"/>
      <c r="Y2732" s="176"/>
    </row>
    <row r="2733" spans="1:25">
      <c r="A2733" s="91"/>
      <c r="B2733" s="176"/>
      <c r="C2733" s="176"/>
      <c r="D2733" s="176"/>
      <c r="E2733" s="176"/>
      <c r="F2733" s="176"/>
      <c r="G2733" s="176"/>
      <c r="H2733" s="176"/>
      <c r="I2733" s="176"/>
      <c r="J2733" s="176"/>
      <c r="K2733" s="176"/>
      <c r="L2733" s="176"/>
      <c r="M2733" s="176"/>
      <c r="N2733" s="176"/>
      <c r="O2733" s="176"/>
      <c r="P2733" s="176"/>
      <c r="Q2733" s="176"/>
      <c r="R2733" s="176"/>
      <c r="S2733" s="176"/>
      <c r="T2733" s="176"/>
      <c r="U2733" s="176"/>
      <c r="V2733" s="176"/>
      <c r="W2733" s="176"/>
      <c r="X2733" s="176"/>
      <c r="Y2733" s="176"/>
    </row>
    <row r="2734" spans="1:25">
      <c r="A2734" s="91"/>
      <c r="B2734" s="176"/>
      <c r="C2734" s="176"/>
      <c r="D2734" s="176"/>
      <c r="E2734" s="176"/>
      <c r="F2734" s="176"/>
      <c r="G2734" s="176"/>
      <c r="H2734" s="176"/>
      <c r="I2734" s="176"/>
      <c r="J2734" s="176"/>
      <c r="K2734" s="176"/>
      <c r="L2734" s="176"/>
      <c r="M2734" s="176"/>
      <c r="N2734" s="176"/>
      <c r="O2734" s="176"/>
      <c r="P2734" s="176"/>
      <c r="Q2734" s="176"/>
      <c r="R2734" s="176"/>
      <c r="S2734" s="176"/>
      <c r="T2734" s="176"/>
      <c r="U2734" s="176"/>
      <c r="V2734" s="176"/>
      <c r="W2734" s="176"/>
      <c r="X2734" s="176"/>
      <c r="Y2734" s="176"/>
    </row>
    <row r="2735" spans="1:25">
      <c r="A2735" s="91"/>
      <c r="B2735" s="176"/>
      <c r="C2735" s="176"/>
      <c r="D2735" s="176"/>
      <c r="E2735" s="176"/>
      <c r="F2735" s="176"/>
      <c r="G2735" s="176"/>
      <c r="H2735" s="176"/>
      <c r="I2735" s="176"/>
      <c r="J2735" s="176"/>
      <c r="K2735" s="176"/>
      <c r="L2735" s="176"/>
      <c r="M2735" s="176"/>
      <c r="N2735" s="176"/>
      <c r="O2735" s="176"/>
      <c r="P2735" s="176"/>
      <c r="Q2735" s="176"/>
      <c r="R2735" s="176"/>
      <c r="S2735" s="176"/>
      <c r="T2735" s="176"/>
      <c r="U2735" s="176"/>
      <c r="V2735" s="176"/>
      <c r="W2735" s="176"/>
      <c r="X2735" s="176"/>
      <c r="Y2735" s="176"/>
    </row>
    <row r="2736" spans="1:25">
      <c r="A2736" s="91"/>
      <c r="B2736" s="176"/>
      <c r="C2736" s="176"/>
      <c r="D2736" s="176"/>
      <c r="E2736" s="176"/>
      <c r="F2736" s="176"/>
      <c r="G2736" s="176"/>
      <c r="H2736" s="176"/>
      <c r="I2736" s="176"/>
      <c r="J2736" s="176"/>
      <c r="K2736" s="176"/>
      <c r="L2736" s="176"/>
      <c r="M2736" s="176"/>
      <c r="N2736" s="176"/>
      <c r="O2736" s="176"/>
      <c r="P2736" s="176"/>
      <c r="Q2736" s="176"/>
      <c r="R2736" s="176"/>
      <c r="S2736" s="176"/>
      <c r="T2736" s="176"/>
      <c r="U2736" s="176"/>
      <c r="V2736" s="176"/>
      <c r="W2736" s="176"/>
      <c r="X2736" s="176"/>
      <c r="Y2736" s="176"/>
    </row>
    <row r="2737" spans="1:25">
      <c r="A2737" s="91"/>
      <c r="B2737" s="176"/>
      <c r="C2737" s="176"/>
      <c r="D2737" s="176"/>
      <c r="E2737" s="176"/>
      <c r="F2737" s="176"/>
      <c r="G2737" s="176"/>
      <c r="H2737" s="176"/>
      <c r="I2737" s="176"/>
      <c r="J2737" s="176"/>
      <c r="K2737" s="176"/>
      <c r="L2737" s="176"/>
      <c r="M2737" s="176"/>
      <c r="N2737" s="176"/>
      <c r="O2737" s="176"/>
      <c r="P2737" s="176"/>
      <c r="Q2737" s="176"/>
      <c r="R2737" s="176"/>
      <c r="S2737" s="176"/>
      <c r="T2737" s="176"/>
      <c r="U2737" s="176"/>
      <c r="V2737" s="176"/>
      <c r="W2737" s="176"/>
      <c r="X2737" s="176"/>
      <c r="Y2737" s="176"/>
    </row>
    <row r="2738" spans="1:25">
      <c r="A2738" s="91"/>
      <c r="B2738" s="176"/>
      <c r="C2738" s="176"/>
      <c r="D2738" s="176"/>
      <c r="E2738" s="176"/>
      <c r="F2738" s="176"/>
      <c r="G2738" s="176"/>
      <c r="H2738" s="176"/>
      <c r="I2738" s="176"/>
      <c r="J2738" s="176"/>
      <c r="K2738" s="176"/>
      <c r="L2738" s="176"/>
      <c r="M2738" s="176"/>
      <c r="N2738" s="176"/>
      <c r="O2738" s="176"/>
      <c r="P2738" s="176"/>
      <c r="Q2738" s="176"/>
      <c r="R2738" s="176"/>
      <c r="S2738" s="176"/>
      <c r="T2738" s="176"/>
      <c r="U2738" s="176"/>
      <c r="V2738" s="176"/>
      <c r="W2738" s="176"/>
      <c r="X2738" s="176"/>
      <c r="Y2738" s="176"/>
    </row>
    <row r="2739" spans="1:25">
      <c r="A2739" s="91"/>
      <c r="B2739" s="176"/>
      <c r="C2739" s="176"/>
      <c r="D2739" s="176"/>
      <c r="E2739" s="176"/>
      <c r="F2739" s="176"/>
      <c r="G2739" s="176"/>
      <c r="H2739" s="176"/>
      <c r="I2739" s="176"/>
      <c r="J2739" s="176"/>
      <c r="K2739" s="176"/>
      <c r="L2739" s="176"/>
      <c r="M2739" s="176"/>
      <c r="N2739" s="176"/>
      <c r="O2739" s="176"/>
      <c r="P2739" s="176"/>
      <c r="Q2739" s="176"/>
      <c r="R2739" s="176"/>
      <c r="S2739" s="176"/>
      <c r="T2739" s="176"/>
      <c r="U2739" s="176"/>
      <c r="V2739" s="176"/>
      <c r="W2739" s="176"/>
      <c r="X2739" s="176"/>
      <c r="Y2739" s="176"/>
    </row>
    <row r="2740" spans="1:25">
      <c r="A2740" s="91"/>
      <c r="B2740" s="176"/>
      <c r="C2740" s="176"/>
      <c r="D2740" s="176"/>
      <c r="E2740" s="176"/>
      <c r="F2740" s="176"/>
      <c r="G2740" s="176"/>
      <c r="H2740" s="176"/>
      <c r="I2740" s="176"/>
      <c r="J2740" s="176"/>
      <c r="K2740" s="176"/>
      <c r="L2740" s="176"/>
      <c r="M2740" s="176"/>
      <c r="N2740" s="176"/>
      <c r="O2740" s="176"/>
      <c r="P2740" s="176"/>
      <c r="Q2740" s="176"/>
      <c r="R2740" s="176"/>
      <c r="S2740" s="176"/>
      <c r="T2740" s="176"/>
      <c r="U2740" s="176"/>
      <c r="V2740" s="176"/>
      <c r="W2740" s="176"/>
      <c r="X2740" s="176"/>
      <c r="Y2740" s="176"/>
    </row>
    <row r="2741" spans="1:25">
      <c r="A2741" s="91"/>
      <c r="B2741" s="176"/>
      <c r="C2741" s="176"/>
      <c r="D2741" s="176"/>
      <c r="E2741" s="176"/>
      <c r="F2741" s="176"/>
      <c r="G2741" s="176"/>
      <c r="H2741" s="176"/>
      <c r="I2741" s="176"/>
      <c r="J2741" s="176"/>
      <c r="K2741" s="176"/>
      <c r="L2741" s="176"/>
      <c r="M2741" s="176"/>
      <c r="N2741" s="176"/>
      <c r="O2741" s="176"/>
      <c r="P2741" s="176"/>
      <c r="Q2741" s="176"/>
      <c r="R2741" s="176"/>
      <c r="S2741" s="176"/>
      <c r="T2741" s="176"/>
      <c r="U2741" s="176"/>
      <c r="V2741" s="176"/>
      <c r="W2741" s="176"/>
      <c r="X2741" s="176"/>
      <c r="Y2741" s="176"/>
    </row>
    <row r="2742" spans="1:25">
      <c r="A2742" s="91"/>
      <c r="B2742" s="176"/>
      <c r="C2742" s="176"/>
      <c r="D2742" s="176"/>
      <c r="E2742" s="176"/>
      <c r="F2742" s="176"/>
      <c r="G2742" s="176"/>
      <c r="H2742" s="176"/>
      <c r="I2742" s="176"/>
      <c r="J2742" s="176"/>
      <c r="K2742" s="176"/>
      <c r="L2742" s="176"/>
      <c r="M2742" s="176"/>
      <c r="N2742" s="176"/>
      <c r="O2742" s="176"/>
      <c r="P2742" s="176"/>
      <c r="Q2742" s="176"/>
      <c r="R2742" s="176"/>
      <c r="S2742" s="176"/>
      <c r="T2742" s="176"/>
      <c r="U2742" s="176"/>
      <c r="V2742" s="176"/>
      <c r="W2742" s="176"/>
      <c r="X2742" s="176"/>
      <c r="Y2742" s="176"/>
    </row>
    <row r="2743" spans="1:25">
      <c r="A2743" s="91"/>
      <c r="B2743" s="176"/>
      <c r="C2743" s="176"/>
      <c r="D2743" s="176"/>
      <c r="E2743" s="176"/>
      <c r="F2743" s="176"/>
      <c r="G2743" s="176"/>
      <c r="H2743" s="176"/>
      <c r="I2743" s="176"/>
      <c r="J2743" s="176"/>
      <c r="K2743" s="176"/>
      <c r="L2743" s="176"/>
      <c r="M2743" s="176"/>
      <c r="N2743" s="176"/>
      <c r="O2743" s="176"/>
      <c r="P2743" s="176"/>
      <c r="Q2743" s="176"/>
      <c r="R2743" s="176"/>
      <c r="S2743" s="176"/>
      <c r="T2743" s="176"/>
      <c r="U2743" s="176"/>
      <c r="V2743" s="176"/>
      <c r="W2743" s="176"/>
      <c r="X2743" s="176"/>
      <c r="Y2743" s="176"/>
    </row>
    <row r="2744" spans="1:25">
      <c r="A2744" s="91"/>
      <c r="B2744" s="176"/>
      <c r="C2744" s="176"/>
      <c r="D2744" s="176"/>
      <c r="E2744" s="176"/>
      <c r="F2744" s="176"/>
      <c r="G2744" s="176"/>
      <c r="H2744" s="176"/>
      <c r="I2744" s="176"/>
      <c r="J2744" s="176"/>
      <c r="K2744" s="176"/>
      <c r="L2744" s="176"/>
      <c r="M2744" s="176"/>
      <c r="N2744" s="176"/>
      <c r="O2744" s="176"/>
      <c r="P2744" s="176"/>
      <c r="Q2744" s="176"/>
      <c r="R2744" s="176"/>
      <c r="S2744" s="176"/>
      <c r="T2744" s="176"/>
      <c r="U2744" s="176"/>
      <c r="V2744" s="176"/>
      <c r="W2744" s="176"/>
      <c r="X2744" s="176"/>
      <c r="Y2744" s="176"/>
    </row>
    <row r="2745" spans="1:25">
      <c r="A2745" s="91"/>
      <c r="B2745" s="176"/>
      <c r="C2745" s="176"/>
      <c r="D2745" s="176"/>
      <c r="E2745" s="176"/>
      <c r="F2745" s="176"/>
      <c r="G2745" s="176"/>
      <c r="H2745" s="176"/>
      <c r="I2745" s="176"/>
      <c r="J2745" s="176"/>
      <c r="K2745" s="176"/>
      <c r="L2745" s="176"/>
      <c r="M2745" s="176"/>
      <c r="N2745" s="176"/>
      <c r="O2745" s="176"/>
      <c r="P2745" s="176"/>
      <c r="Q2745" s="176"/>
      <c r="R2745" s="176"/>
      <c r="S2745" s="176"/>
      <c r="T2745" s="176"/>
      <c r="U2745" s="176"/>
      <c r="V2745" s="176"/>
      <c r="W2745" s="176"/>
      <c r="X2745" s="176"/>
      <c r="Y2745" s="176"/>
    </row>
    <row r="2746" spans="1:25">
      <c r="A2746" s="91"/>
      <c r="B2746" s="176"/>
      <c r="C2746" s="176"/>
      <c r="D2746" s="176"/>
      <c r="E2746" s="176"/>
      <c r="F2746" s="176"/>
      <c r="G2746" s="176"/>
      <c r="H2746" s="176"/>
      <c r="I2746" s="176"/>
      <c r="J2746" s="176"/>
      <c r="K2746" s="176"/>
      <c r="L2746" s="176"/>
      <c r="M2746" s="176"/>
      <c r="N2746" s="176"/>
      <c r="O2746" s="176"/>
      <c r="P2746" s="176"/>
      <c r="Q2746" s="176"/>
      <c r="R2746" s="176"/>
      <c r="S2746" s="176"/>
      <c r="T2746" s="176"/>
      <c r="U2746" s="176"/>
      <c r="V2746" s="176"/>
      <c r="W2746" s="176"/>
      <c r="X2746" s="176"/>
      <c r="Y2746" s="176"/>
    </row>
    <row r="2747" spans="1:25">
      <c r="A2747" s="91"/>
      <c r="B2747" s="176"/>
      <c r="C2747" s="176"/>
      <c r="D2747" s="176"/>
      <c r="E2747" s="176"/>
      <c r="F2747" s="176"/>
      <c r="G2747" s="176"/>
      <c r="H2747" s="176"/>
      <c r="I2747" s="176"/>
      <c r="J2747" s="176"/>
      <c r="K2747" s="176"/>
      <c r="L2747" s="176"/>
      <c r="M2747" s="176"/>
      <c r="N2747" s="176"/>
      <c r="O2747" s="176"/>
      <c r="P2747" s="176"/>
      <c r="Q2747" s="176"/>
      <c r="R2747" s="176"/>
      <c r="S2747" s="176"/>
      <c r="T2747" s="176"/>
      <c r="U2747" s="176"/>
      <c r="V2747" s="176"/>
      <c r="W2747" s="176"/>
      <c r="X2747" s="176"/>
      <c r="Y2747" s="176"/>
    </row>
    <row r="2748" spans="1:25">
      <c r="A2748" s="91"/>
      <c r="B2748" s="176"/>
      <c r="C2748" s="176"/>
      <c r="D2748" s="176"/>
      <c r="E2748" s="176"/>
      <c r="F2748" s="176"/>
      <c r="G2748" s="176"/>
      <c r="H2748" s="176"/>
      <c r="I2748" s="176"/>
      <c r="J2748" s="176"/>
      <c r="K2748" s="176"/>
      <c r="L2748" s="176"/>
      <c r="M2748" s="176"/>
      <c r="N2748" s="176"/>
      <c r="O2748" s="176"/>
      <c r="P2748" s="176"/>
      <c r="Q2748" s="176"/>
      <c r="R2748" s="176"/>
      <c r="S2748" s="176"/>
      <c r="T2748" s="176"/>
      <c r="U2748" s="176"/>
      <c r="V2748" s="176"/>
      <c r="W2748" s="176"/>
      <c r="X2748" s="176"/>
      <c r="Y2748" s="176"/>
    </row>
    <row r="2749" spans="1:25">
      <c r="A2749" s="91"/>
      <c r="B2749" s="176"/>
      <c r="C2749" s="176"/>
      <c r="D2749" s="176"/>
      <c r="E2749" s="176"/>
      <c r="F2749" s="176"/>
      <c r="G2749" s="176"/>
      <c r="H2749" s="176"/>
      <c r="I2749" s="176"/>
      <c r="J2749" s="176"/>
      <c r="K2749" s="176"/>
      <c r="L2749" s="176"/>
      <c r="M2749" s="176"/>
      <c r="N2749" s="176"/>
      <c r="O2749" s="176"/>
      <c r="P2749" s="176"/>
      <c r="Q2749" s="176"/>
      <c r="R2749" s="176"/>
      <c r="S2749" s="176"/>
      <c r="T2749" s="176"/>
      <c r="U2749" s="176"/>
      <c r="V2749" s="176"/>
      <c r="W2749" s="176"/>
      <c r="X2749" s="176"/>
      <c r="Y2749" s="176"/>
    </row>
    <row r="2750" spans="1:25">
      <c r="A2750" s="91"/>
      <c r="B2750" s="176"/>
      <c r="C2750" s="176"/>
      <c r="D2750" s="176"/>
      <c r="E2750" s="176"/>
      <c r="F2750" s="176"/>
      <c r="G2750" s="176"/>
      <c r="H2750" s="176"/>
      <c r="I2750" s="176"/>
      <c r="J2750" s="176"/>
      <c r="K2750" s="176"/>
      <c r="L2750" s="176"/>
      <c r="M2750" s="176"/>
      <c r="N2750" s="176"/>
      <c r="O2750" s="176"/>
      <c r="P2750" s="176"/>
      <c r="Q2750" s="176"/>
      <c r="R2750" s="176"/>
      <c r="S2750" s="176"/>
      <c r="T2750" s="176"/>
      <c r="U2750" s="176"/>
      <c r="V2750" s="176"/>
      <c r="W2750" s="176"/>
      <c r="X2750" s="176"/>
      <c r="Y2750" s="176"/>
    </row>
    <row r="2751" spans="1:25">
      <c r="A2751" s="91"/>
      <c r="B2751" s="176"/>
      <c r="C2751" s="176"/>
      <c r="D2751" s="176"/>
      <c r="E2751" s="176"/>
      <c r="F2751" s="176"/>
      <c r="G2751" s="176"/>
      <c r="H2751" s="176"/>
      <c r="I2751" s="176"/>
      <c r="J2751" s="176"/>
      <c r="K2751" s="176"/>
      <c r="L2751" s="176"/>
      <c r="M2751" s="176"/>
      <c r="N2751" s="176"/>
      <c r="O2751" s="176"/>
      <c r="P2751" s="176"/>
      <c r="Q2751" s="176"/>
      <c r="R2751" s="176"/>
      <c r="S2751" s="176"/>
      <c r="T2751" s="176"/>
      <c r="U2751" s="176"/>
      <c r="V2751" s="176"/>
      <c r="W2751" s="176"/>
      <c r="X2751" s="176"/>
      <c r="Y2751" s="176"/>
    </row>
    <row r="2752" spans="1:25">
      <c r="A2752" s="91"/>
      <c r="B2752" s="176"/>
      <c r="C2752" s="176"/>
      <c r="D2752" s="176"/>
      <c r="E2752" s="176"/>
      <c r="F2752" s="176"/>
      <c r="G2752" s="176"/>
      <c r="H2752" s="176"/>
      <c r="I2752" s="176"/>
      <c r="J2752" s="176"/>
      <c r="K2752" s="176"/>
      <c r="L2752" s="176"/>
      <c r="M2752" s="176"/>
      <c r="N2752" s="176"/>
      <c r="O2752" s="176"/>
      <c r="P2752" s="176"/>
      <c r="Q2752" s="176"/>
      <c r="R2752" s="176"/>
      <c r="S2752" s="176"/>
      <c r="T2752" s="176"/>
      <c r="U2752" s="176"/>
      <c r="V2752" s="176"/>
      <c r="W2752" s="176"/>
      <c r="X2752" s="176"/>
      <c r="Y2752" s="176"/>
    </row>
    <row r="2753" spans="1:25">
      <c r="A2753" s="91"/>
      <c r="B2753" s="176"/>
      <c r="C2753" s="176"/>
      <c r="D2753" s="176"/>
      <c r="E2753" s="176"/>
      <c r="F2753" s="176"/>
      <c r="G2753" s="176"/>
      <c r="H2753" s="176"/>
      <c r="I2753" s="176"/>
      <c r="J2753" s="176"/>
      <c r="K2753" s="176"/>
      <c r="L2753" s="176"/>
      <c r="M2753" s="176"/>
      <c r="N2753" s="176"/>
      <c r="O2753" s="176"/>
      <c r="P2753" s="176"/>
      <c r="Q2753" s="176"/>
      <c r="R2753" s="176"/>
      <c r="S2753" s="176"/>
      <c r="T2753" s="176"/>
      <c r="U2753" s="176"/>
      <c r="V2753" s="176"/>
      <c r="W2753" s="176"/>
      <c r="X2753" s="176"/>
      <c r="Y2753" s="176"/>
    </row>
    <row r="2754" spans="1:25">
      <c r="A2754" s="91"/>
      <c r="B2754" s="176"/>
      <c r="C2754" s="176"/>
      <c r="D2754" s="176"/>
      <c r="E2754" s="176"/>
      <c r="F2754" s="176"/>
      <c r="G2754" s="176"/>
      <c r="H2754" s="176"/>
      <c r="I2754" s="176"/>
      <c r="J2754" s="176"/>
      <c r="K2754" s="176"/>
      <c r="L2754" s="176"/>
      <c r="M2754" s="176"/>
      <c r="N2754" s="176"/>
      <c r="O2754" s="176"/>
      <c r="P2754" s="176"/>
      <c r="Q2754" s="176"/>
      <c r="R2754" s="176"/>
      <c r="S2754" s="176"/>
      <c r="T2754" s="176"/>
      <c r="U2754" s="176"/>
      <c r="V2754" s="176"/>
      <c r="W2754" s="176"/>
      <c r="X2754" s="176"/>
      <c r="Y2754" s="176"/>
    </row>
    <row r="2755" spans="1:25">
      <c r="A2755" s="91"/>
      <c r="B2755" s="176"/>
      <c r="C2755" s="176"/>
      <c r="D2755" s="176"/>
      <c r="E2755" s="176"/>
      <c r="F2755" s="176"/>
      <c r="G2755" s="176"/>
      <c r="H2755" s="176"/>
      <c r="I2755" s="176"/>
      <c r="J2755" s="176"/>
      <c r="K2755" s="176"/>
      <c r="L2755" s="176"/>
      <c r="M2755" s="176"/>
      <c r="N2755" s="176"/>
      <c r="O2755" s="176"/>
      <c r="P2755" s="176"/>
      <c r="Q2755" s="176"/>
      <c r="R2755" s="176"/>
      <c r="S2755" s="176"/>
      <c r="T2755" s="176"/>
      <c r="U2755" s="176"/>
      <c r="V2755" s="176"/>
      <c r="W2755" s="176"/>
      <c r="X2755" s="176"/>
      <c r="Y2755" s="176"/>
    </row>
    <row r="2756" spans="1:25">
      <c r="A2756" s="91"/>
      <c r="B2756" s="176"/>
      <c r="C2756" s="176"/>
      <c r="D2756" s="176"/>
      <c r="E2756" s="176"/>
      <c r="F2756" s="176"/>
      <c r="G2756" s="176"/>
      <c r="H2756" s="176"/>
      <c r="I2756" s="176"/>
      <c r="J2756" s="176"/>
      <c r="K2756" s="176"/>
      <c r="L2756" s="176"/>
      <c r="M2756" s="176"/>
      <c r="N2756" s="176"/>
      <c r="O2756" s="176"/>
      <c r="P2756" s="176"/>
      <c r="Q2756" s="176"/>
      <c r="R2756" s="176"/>
      <c r="S2756" s="176"/>
      <c r="T2756" s="176"/>
      <c r="U2756" s="176"/>
      <c r="V2756" s="176"/>
      <c r="W2756" s="176"/>
      <c r="X2756" s="176"/>
      <c r="Y2756" s="176"/>
    </row>
    <row r="2757" spans="1:25">
      <c r="A2757" s="91"/>
      <c r="B2757" s="176"/>
      <c r="C2757" s="176"/>
      <c r="D2757" s="176"/>
      <c r="E2757" s="176"/>
      <c r="F2757" s="176"/>
      <c r="G2757" s="176"/>
      <c r="H2757" s="176"/>
      <c r="I2757" s="176"/>
      <c r="J2757" s="176"/>
      <c r="K2757" s="176"/>
      <c r="L2757" s="176"/>
      <c r="M2757" s="176"/>
      <c r="N2757" s="176"/>
      <c r="O2757" s="176"/>
      <c r="P2757" s="176"/>
      <c r="Q2757" s="176"/>
      <c r="R2757" s="176"/>
      <c r="S2757" s="176"/>
      <c r="T2757" s="176"/>
      <c r="U2757" s="176"/>
      <c r="V2757" s="176"/>
      <c r="W2757" s="176"/>
      <c r="X2757" s="176"/>
      <c r="Y2757" s="176"/>
    </row>
    <row r="2758" spans="1:25">
      <c r="A2758" s="91"/>
      <c r="B2758" s="176"/>
      <c r="C2758" s="176"/>
      <c r="D2758" s="176"/>
      <c r="E2758" s="176"/>
      <c r="F2758" s="176"/>
      <c r="G2758" s="176"/>
      <c r="H2758" s="176"/>
      <c r="I2758" s="176"/>
      <c r="J2758" s="176"/>
      <c r="K2758" s="176"/>
      <c r="L2758" s="176"/>
      <c r="M2758" s="176"/>
      <c r="N2758" s="176"/>
      <c r="O2758" s="176"/>
      <c r="P2758" s="176"/>
      <c r="Q2758" s="176"/>
      <c r="R2758" s="176"/>
      <c r="S2758" s="176"/>
      <c r="T2758" s="176"/>
      <c r="U2758" s="176"/>
      <c r="V2758" s="176"/>
      <c r="W2758" s="176"/>
      <c r="X2758" s="176"/>
      <c r="Y2758" s="176"/>
    </row>
    <row r="2759" spans="1:25">
      <c r="A2759" s="91"/>
      <c r="B2759" s="176"/>
      <c r="C2759" s="176"/>
      <c r="D2759" s="176"/>
      <c r="E2759" s="176"/>
      <c r="F2759" s="176"/>
      <c r="G2759" s="176"/>
      <c r="H2759" s="176"/>
      <c r="I2759" s="176"/>
      <c r="J2759" s="176"/>
      <c r="K2759" s="176"/>
      <c r="L2759" s="176"/>
      <c r="M2759" s="176"/>
      <c r="N2759" s="176"/>
      <c r="O2759" s="176"/>
      <c r="P2759" s="176"/>
      <c r="Q2759" s="176"/>
      <c r="R2759" s="176"/>
      <c r="S2759" s="176"/>
      <c r="T2759" s="176"/>
      <c r="U2759" s="176"/>
      <c r="V2759" s="176"/>
      <c r="W2759" s="176"/>
      <c r="X2759" s="176"/>
      <c r="Y2759" s="176"/>
    </row>
    <row r="2760" spans="1:25">
      <c r="A2760" s="91"/>
      <c r="B2760" s="176"/>
      <c r="C2760" s="176"/>
      <c r="D2760" s="176"/>
      <c r="E2760" s="176"/>
      <c r="F2760" s="176"/>
      <c r="G2760" s="176"/>
      <c r="H2760" s="176"/>
      <c r="I2760" s="176"/>
      <c r="J2760" s="176"/>
      <c r="K2760" s="176"/>
      <c r="L2760" s="176"/>
      <c r="M2760" s="176"/>
      <c r="N2760" s="176"/>
      <c r="O2760" s="176"/>
      <c r="P2760" s="176"/>
      <c r="Q2760" s="176"/>
      <c r="R2760" s="176"/>
      <c r="S2760" s="176"/>
      <c r="T2760" s="176"/>
      <c r="U2760" s="176"/>
      <c r="V2760" s="176"/>
      <c r="W2760" s="176"/>
      <c r="X2760" s="176"/>
      <c r="Y2760" s="176"/>
    </row>
    <row r="2761" spans="1:25">
      <c r="A2761" s="91"/>
      <c r="B2761" s="176"/>
      <c r="C2761" s="176"/>
      <c r="D2761" s="176"/>
      <c r="E2761" s="176"/>
      <c r="F2761" s="176"/>
      <c r="G2761" s="176"/>
      <c r="H2761" s="176"/>
      <c r="I2761" s="176"/>
      <c r="J2761" s="176"/>
      <c r="K2761" s="176"/>
      <c r="L2761" s="176"/>
      <c r="M2761" s="176"/>
      <c r="N2761" s="176"/>
      <c r="O2761" s="176"/>
      <c r="P2761" s="176"/>
      <c r="Q2761" s="176"/>
      <c r="R2761" s="176"/>
      <c r="S2761" s="176"/>
      <c r="T2761" s="176"/>
      <c r="U2761" s="176"/>
      <c r="V2761" s="176"/>
      <c r="W2761" s="176"/>
      <c r="X2761" s="176"/>
      <c r="Y2761" s="176"/>
    </row>
    <row r="2762" spans="1:25">
      <c r="A2762" s="91"/>
      <c r="B2762" s="176"/>
      <c r="C2762" s="176"/>
      <c r="D2762" s="176"/>
      <c r="E2762" s="176"/>
      <c r="F2762" s="176"/>
      <c r="G2762" s="176"/>
      <c r="H2762" s="176"/>
      <c r="I2762" s="176"/>
      <c r="J2762" s="176"/>
      <c r="K2762" s="176"/>
      <c r="L2762" s="176"/>
      <c r="M2762" s="176"/>
      <c r="N2762" s="176"/>
      <c r="O2762" s="176"/>
      <c r="P2762" s="176"/>
      <c r="Q2762" s="176"/>
      <c r="R2762" s="176"/>
      <c r="S2762" s="176"/>
      <c r="T2762" s="176"/>
      <c r="U2762" s="176"/>
      <c r="V2762" s="176"/>
      <c r="W2762" s="176"/>
      <c r="X2762" s="176"/>
      <c r="Y2762" s="176"/>
    </row>
    <row r="2763" spans="1:25">
      <c r="A2763" s="91"/>
      <c r="B2763" s="176"/>
      <c r="C2763" s="176"/>
      <c r="D2763" s="176"/>
      <c r="E2763" s="176"/>
      <c r="F2763" s="176"/>
      <c r="G2763" s="176"/>
      <c r="H2763" s="176"/>
      <c r="I2763" s="176"/>
      <c r="J2763" s="176"/>
      <c r="K2763" s="176"/>
      <c r="L2763" s="176"/>
      <c r="M2763" s="176"/>
      <c r="N2763" s="176"/>
      <c r="O2763" s="176"/>
      <c r="P2763" s="176"/>
      <c r="Q2763" s="176"/>
      <c r="R2763" s="176"/>
      <c r="S2763" s="176"/>
      <c r="T2763" s="176"/>
      <c r="U2763" s="176"/>
      <c r="V2763" s="176"/>
      <c r="W2763" s="176"/>
      <c r="X2763" s="176"/>
      <c r="Y2763" s="176"/>
    </row>
    <row r="2764" spans="1:25">
      <c r="A2764" s="91"/>
      <c r="B2764" s="176"/>
      <c r="C2764" s="176"/>
      <c r="D2764" s="176"/>
      <c r="E2764" s="176"/>
      <c r="F2764" s="176"/>
      <c r="G2764" s="176"/>
      <c r="H2764" s="176"/>
      <c r="I2764" s="176"/>
      <c r="J2764" s="176"/>
      <c r="K2764" s="176"/>
      <c r="L2764" s="176"/>
      <c r="M2764" s="176"/>
      <c r="N2764" s="176"/>
      <c r="O2764" s="176"/>
      <c r="P2764" s="176"/>
      <c r="Q2764" s="176"/>
      <c r="R2764" s="176"/>
      <c r="S2764" s="176"/>
      <c r="T2764" s="176"/>
      <c r="U2764" s="176"/>
      <c r="V2764" s="176"/>
      <c r="W2764" s="176"/>
      <c r="X2764" s="176"/>
      <c r="Y2764" s="176"/>
    </row>
    <row r="2765" spans="1:25">
      <c r="A2765" s="91"/>
      <c r="B2765" s="176"/>
      <c r="C2765" s="176"/>
      <c r="D2765" s="176"/>
      <c r="E2765" s="176"/>
      <c r="F2765" s="176"/>
      <c r="G2765" s="176"/>
      <c r="H2765" s="176"/>
      <c r="I2765" s="176"/>
      <c r="J2765" s="176"/>
      <c r="K2765" s="176"/>
      <c r="L2765" s="176"/>
      <c r="M2765" s="176"/>
      <c r="N2765" s="176"/>
      <c r="O2765" s="176"/>
      <c r="P2765" s="176"/>
      <c r="Q2765" s="176"/>
      <c r="R2765" s="176"/>
      <c r="S2765" s="176"/>
      <c r="T2765" s="176"/>
      <c r="U2765" s="176"/>
      <c r="V2765" s="176"/>
      <c r="W2765" s="176"/>
      <c r="X2765" s="176"/>
      <c r="Y2765" s="176"/>
    </row>
    <row r="2766" spans="1:25">
      <c r="A2766" s="91"/>
      <c r="B2766" s="176"/>
      <c r="C2766" s="176"/>
      <c r="D2766" s="176"/>
      <c r="E2766" s="176"/>
      <c r="F2766" s="176"/>
      <c r="G2766" s="176"/>
      <c r="H2766" s="176"/>
      <c r="I2766" s="176"/>
      <c r="J2766" s="176"/>
      <c r="K2766" s="176"/>
      <c r="L2766" s="176"/>
      <c r="M2766" s="176"/>
      <c r="N2766" s="176"/>
      <c r="O2766" s="176"/>
      <c r="P2766" s="176"/>
      <c r="Q2766" s="176"/>
      <c r="R2766" s="176"/>
      <c r="S2766" s="176"/>
      <c r="T2766" s="176"/>
      <c r="U2766" s="176"/>
      <c r="V2766" s="176"/>
      <c r="W2766" s="176"/>
      <c r="X2766" s="176"/>
      <c r="Y2766" s="176"/>
    </row>
    <row r="2767" spans="1:25">
      <c r="A2767" s="91"/>
      <c r="B2767" s="176"/>
      <c r="C2767" s="176"/>
      <c r="D2767" s="176"/>
      <c r="E2767" s="176"/>
      <c r="F2767" s="176"/>
      <c r="G2767" s="176"/>
      <c r="H2767" s="176"/>
      <c r="I2767" s="176"/>
      <c r="J2767" s="176"/>
      <c r="K2767" s="176"/>
      <c r="L2767" s="176"/>
      <c r="M2767" s="176"/>
      <c r="N2767" s="176"/>
      <c r="O2767" s="176"/>
      <c r="P2767" s="176"/>
      <c r="Q2767" s="176"/>
      <c r="R2767" s="176"/>
      <c r="S2767" s="176"/>
      <c r="T2767" s="176"/>
      <c r="U2767" s="176"/>
      <c r="V2767" s="176"/>
      <c r="W2767" s="176"/>
      <c r="X2767" s="176"/>
      <c r="Y2767" s="176"/>
    </row>
    <row r="2768" spans="1:25">
      <c r="A2768" s="91"/>
      <c r="B2768" s="176"/>
      <c r="C2768" s="176"/>
      <c r="D2768" s="176"/>
      <c r="E2768" s="176"/>
      <c r="F2768" s="176"/>
      <c r="G2768" s="176"/>
      <c r="H2768" s="176"/>
      <c r="I2768" s="176"/>
      <c r="J2768" s="176"/>
      <c r="K2768" s="176"/>
      <c r="L2768" s="176"/>
      <c r="M2768" s="176"/>
      <c r="N2768" s="176"/>
      <c r="O2768" s="176"/>
      <c r="P2768" s="176"/>
      <c r="Q2768" s="176"/>
      <c r="R2768" s="176"/>
      <c r="S2768" s="176"/>
      <c r="T2768" s="176"/>
      <c r="U2768" s="176"/>
      <c r="V2768" s="176"/>
      <c r="W2768" s="176"/>
      <c r="X2768" s="176"/>
      <c r="Y2768" s="176"/>
    </row>
    <row r="2769" spans="1:25">
      <c r="A2769" s="91"/>
      <c r="B2769" s="176"/>
      <c r="C2769" s="176"/>
      <c r="D2769" s="176"/>
      <c r="E2769" s="176"/>
      <c r="F2769" s="176"/>
      <c r="G2769" s="176"/>
      <c r="H2769" s="176"/>
      <c r="I2769" s="176"/>
      <c r="J2769" s="176"/>
      <c r="K2769" s="176"/>
      <c r="L2769" s="176"/>
      <c r="M2769" s="176"/>
      <c r="N2769" s="176"/>
      <c r="O2769" s="176"/>
      <c r="P2769" s="176"/>
      <c r="Q2769" s="176"/>
      <c r="R2769" s="176"/>
      <c r="S2769" s="176"/>
      <c r="T2769" s="176"/>
      <c r="U2769" s="176"/>
      <c r="V2769" s="176"/>
      <c r="W2769" s="176"/>
      <c r="X2769" s="176"/>
      <c r="Y2769" s="176"/>
    </row>
    <row r="2770" spans="1:25">
      <c r="A2770" s="91"/>
      <c r="B2770" s="176"/>
      <c r="C2770" s="176"/>
      <c r="D2770" s="176"/>
      <c r="E2770" s="176"/>
      <c r="F2770" s="176"/>
      <c r="G2770" s="176"/>
      <c r="H2770" s="176"/>
      <c r="I2770" s="176"/>
      <c r="J2770" s="176"/>
      <c r="K2770" s="176"/>
      <c r="L2770" s="176"/>
      <c r="M2770" s="176"/>
      <c r="N2770" s="176"/>
      <c r="O2770" s="176"/>
      <c r="P2770" s="176"/>
      <c r="Q2770" s="176"/>
      <c r="R2770" s="176"/>
      <c r="S2770" s="176"/>
      <c r="T2770" s="176"/>
      <c r="U2770" s="176"/>
      <c r="V2770" s="176"/>
      <c r="W2770" s="176"/>
      <c r="X2770" s="176"/>
      <c r="Y2770" s="176"/>
    </row>
    <row r="2771" spans="1:25">
      <c r="A2771" s="91"/>
      <c r="B2771" s="176"/>
      <c r="C2771" s="176"/>
      <c r="D2771" s="176"/>
      <c r="E2771" s="176"/>
      <c r="F2771" s="176"/>
      <c r="G2771" s="176"/>
      <c r="H2771" s="176"/>
      <c r="I2771" s="176"/>
      <c r="J2771" s="176"/>
      <c r="K2771" s="176"/>
      <c r="L2771" s="176"/>
      <c r="M2771" s="176"/>
      <c r="N2771" s="176"/>
      <c r="O2771" s="176"/>
      <c r="P2771" s="176"/>
      <c r="Q2771" s="176"/>
      <c r="R2771" s="176"/>
      <c r="S2771" s="176"/>
      <c r="T2771" s="176"/>
      <c r="U2771" s="176"/>
      <c r="V2771" s="176"/>
      <c r="W2771" s="176"/>
      <c r="X2771" s="176"/>
      <c r="Y2771" s="176"/>
    </row>
    <row r="2772" spans="1:25">
      <c r="A2772" s="91"/>
      <c r="B2772" s="176"/>
      <c r="C2772" s="176"/>
      <c r="D2772" s="176"/>
      <c r="E2772" s="176"/>
      <c r="F2772" s="176"/>
      <c r="G2772" s="176"/>
      <c r="H2772" s="176"/>
      <c r="I2772" s="176"/>
      <c r="J2772" s="176"/>
      <c r="K2772" s="176"/>
      <c r="L2772" s="176"/>
      <c r="M2772" s="176"/>
      <c r="N2772" s="176"/>
      <c r="O2772" s="176"/>
      <c r="P2772" s="176"/>
      <c r="Q2772" s="176"/>
      <c r="R2772" s="176"/>
      <c r="S2772" s="176"/>
      <c r="T2772" s="176"/>
      <c r="U2772" s="176"/>
      <c r="V2772" s="176"/>
      <c r="W2772" s="176"/>
      <c r="X2772" s="176"/>
      <c r="Y2772" s="176"/>
    </row>
    <row r="2773" spans="1:25">
      <c r="A2773" s="91"/>
      <c r="B2773" s="176"/>
      <c r="C2773" s="176"/>
      <c r="D2773" s="176"/>
      <c r="E2773" s="176"/>
      <c r="F2773" s="176"/>
      <c r="G2773" s="176"/>
      <c r="H2773" s="176"/>
      <c r="I2773" s="176"/>
      <c r="J2773" s="176"/>
      <c r="K2773" s="176"/>
      <c r="L2773" s="176"/>
      <c r="M2773" s="176"/>
      <c r="N2773" s="176"/>
      <c r="O2773" s="176"/>
      <c r="P2773" s="176"/>
      <c r="Q2773" s="176"/>
      <c r="R2773" s="176"/>
      <c r="S2773" s="176"/>
      <c r="T2773" s="176"/>
      <c r="U2773" s="176"/>
      <c r="V2773" s="176"/>
      <c r="W2773" s="176"/>
      <c r="X2773" s="176"/>
      <c r="Y2773" s="176"/>
    </row>
    <row r="2774" spans="1:25">
      <c r="A2774" s="91"/>
      <c r="B2774" s="176"/>
      <c r="C2774" s="176"/>
      <c r="D2774" s="176"/>
      <c r="E2774" s="176"/>
      <c r="F2774" s="176"/>
      <c r="G2774" s="176"/>
      <c r="H2774" s="176"/>
      <c r="I2774" s="176"/>
      <c r="J2774" s="176"/>
      <c r="K2774" s="176"/>
      <c r="L2774" s="176"/>
      <c r="M2774" s="176"/>
      <c r="N2774" s="176"/>
      <c r="O2774" s="176"/>
      <c r="P2774" s="176"/>
      <c r="Q2774" s="176"/>
      <c r="R2774" s="176"/>
      <c r="S2774" s="176"/>
      <c r="T2774" s="176"/>
      <c r="U2774" s="176"/>
      <c r="V2774" s="176"/>
      <c r="W2774" s="176"/>
      <c r="X2774" s="176"/>
      <c r="Y2774" s="176"/>
    </row>
    <row r="2775" spans="1:25">
      <c r="A2775" s="91"/>
      <c r="B2775" s="176"/>
      <c r="C2775" s="176"/>
      <c r="D2775" s="176"/>
      <c r="E2775" s="176"/>
      <c r="F2775" s="176"/>
      <c r="G2775" s="176"/>
      <c r="H2775" s="176"/>
      <c r="I2775" s="176"/>
      <c r="J2775" s="176"/>
      <c r="K2775" s="176"/>
      <c r="L2775" s="176"/>
      <c r="M2775" s="176"/>
      <c r="N2775" s="176"/>
      <c r="O2775" s="176"/>
      <c r="P2775" s="176"/>
      <c r="Q2775" s="176"/>
      <c r="R2775" s="176"/>
      <c r="S2775" s="176"/>
      <c r="T2775" s="176"/>
      <c r="U2775" s="176"/>
      <c r="V2775" s="176"/>
      <c r="W2775" s="176"/>
      <c r="X2775" s="176"/>
      <c r="Y2775" s="176"/>
    </row>
    <row r="2776" spans="1:25">
      <c r="A2776" s="91"/>
      <c r="B2776" s="176"/>
      <c r="C2776" s="176"/>
      <c r="D2776" s="176"/>
      <c r="E2776" s="176"/>
      <c r="F2776" s="176"/>
      <c r="G2776" s="176"/>
      <c r="H2776" s="176"/>
      <c r="I2776" s="176"/>
      <c r="J2776" s="176"/>
      <c r="K2776" s="176"/>
      <c r="L2776" s="176"/>
      <c r="M2776" s="176"/>
      <c r="N2776" s="176"/>
      <c r="O2776" s="176"/>
      <c r="P2776" s="176"/>
      <c r="Q2776" s="176"/>
      <c r="R2776" s="176"/>
      <c r="S2776" s="176"/>
      <c r="T2776" s="176"/>
      <c r="U2776" s="176"/>
      <c r="V2776" s="176"/>
      <c r="W2776" s="176"/>
      <c r="X2776" s="176"/>
      <c r="Y2776" s="176"/>
    </row>
    <row r="2777" spans="1:25">
      <c r="A2777" s="91"/>
      <c r="B2777" s="176"/>
      <c r="C2777" s="176"/>
      <c r="D2777" s="176"/>
      <c r="E2777" s="176"/>
      <c r="F2777" s="176"/>
      <c r="G2777" s="176"/>
      <c r="H2777" s="176"/>
      <c r="I2777" s="176"/>
      <c r="J2777" s="176"/>
      <c r="K2777" s="176"/>
      <c r="L2777" s="176"/>
      <c r="M2777" s="176"/>
      <c r="N2777" s="176"/>
      <c r="O2777" s="176"/>
      <c r="P2777" s="176"/>
      <c r="Q2777" s="176"/>
      <c r="R2777" s="176"/>
      <c r="S2777" s="176"/>
      <c r="T2777" s="176"/>
      <c r="U2777" s="176"/>
      <c r="V2777" s="176"/>
      <c r="W2777" s="176"/>
      <c r="X2777" s="176"/>
      <c r="Y2777" s="176"/>
    </row>
    <row r="2778" spans="1:25">
      <c r="A2778" s="91"/>
      <c r="B2778" s="176"/>
      <c r="C2778" s="176"/>
      <c r="D2778" s="176"/>
      <c r="E2778" s="176"/>
      <c r="F2778" s="176"/>
      <c r="G2778" s="176"/>
      <c r="H2778" s="176"/>
      <c r="I2778" s="176"/>
      <c r="J2778" s="176"/>
      <c r="K2778" s="176"/>
      <c r="L2778" s="176"/>
      <c r="M2778" s="176"/>
      <c r="N2778" s="176"/>
      <c r="O2778" s="176"/>
      <c r="P2778" s="176"/>
      <c r="Q2778" s="176"/>
      <c r="R2778" s="176"/>
      <c r="S2778" s="176"/>
      <c r="T2778" s="176"/>
      <c r="U2778" s="176"/>
      <c r="V2778" s="176"/>
      <c r="W2778" s="176"/>
      <c r="X2778" s="176"/>
      <c r="Y2778" s="176"/>
    </row>
    <row r="2779" spans="1:25">
      <c r="A2779" s="91"/>
      <c r="B2779" s="176"/>
      <c r="C2779" s="176"/>
      <c r="D2779" s="176"/>
      <c r="E2779" s="176"/>
      <c r="F2779" s="176"/>
      <c r="G2779" s="176"/>
      <c r="H2779" s="176"/>
      <c r="I2779" s="176"/>
      <c r="J2779" s="176"/>
      <c r="K2779" s="176"/>
      <c r="L2779" s="176"/>
      <c r="M2779" s="176"/>
      <c r="N2779" s="176"/>
      <c r="O2779" s="176"/>
      <c r="P2779" s="176"/>
      <c r="Q2779" s="176"/>
      <c r="R2779" s="176"/>
      <c r="S2779" s="176"/>
      <c r="T2779" s="176"/>
      <c r="U2779" s="176"/>
      <c r="V2779" s="176"/>
      <c r="W2779" s="176"/>
      <c r="X2779" s="176"/>
      <c r="Y2779" s="176"/>
    </row>
    <row r="2780" spans="1:25">
      <c r="A2780" s="91"/>
      <c r="B2780" s="176"/>
      <c r="C2780" s="176"/>
      <c r="D2780" s="176"/>
      <c r="E2780" s="176"/>
      <c r="F2780" s="176"/>
      <c r="G2780" s="176"/>
      <c r="H2780" s="176"/>
      <c r="I2780" s="176"/>
      <c r="J2780" s="176"/>
      <c r="K2780" s="176"/>
      <c r="L2780" s="176"/>
      <c r="M2780" s="176"/>
      <c r="N2780" s="176"/>
      <c r="O2780" s="176"/>
      <c r="P2780" s="176"/>
      <c r="Q2780" s="176"/>
      <c r="R2780" s="176"/>
      <c r="S2780" s="176"/>
      <c r="T2780" s="176"/>
      <c r="U2780" s="176"/>
      <c r="V2780" s="176"/>
      <c r="W2780" s="176"/>
      <c r="X2780" s="176"/>
      <c r="Y2780" s="176"/>
    </row>
    <row r="2781" spans="1:25">
      <c r="A2781" s="91"/>
      <c r="B2781" s="176"/>
      <c r="C2781" s="176"/>
      <c r="D2781" s="176"/>
      <c r="E2781" s="176"/>
      <c r="F2781" s="176"/>
      <c r="G2781" s="176"/>
      <c r="H2781" s="176"/>
      <c r="I2781" s="176"/>
      <c r="J2781" s="176"/>
      <c r="K2781" s="176"/>
      <c r="L2781" s="176"/>
      <c r="M2781" s="176"/>
      <c r="N2781" s="176"/>
      <c r="O2781" s="176"/>
      <c r="P2781" s="176"/>
      <c r="Q2781" s="176"/>
      <c r="R2781" s="176"/>
      <c r="S2781" s="176"/>
      <c r="T2781" s="176"/>
      <c r="U2781" s="176"/>
      <c r="V2781" s="176"/>
      <c r="W2781" s="176"/>
      <c r="X2781" s="176"/>
      <c r="Y2781" s="176"/>
    </row>
    <row r="2782" spans="1:25">
      <c r="A2782" s="91"/>
      <c r="B2782" s="176"/>
      <c r="C2782" s="176"/>
      <c r="D2782" s="176"/>
      <c r="E2782" s="176"/>
      <c r="F2782" s="176"/>
      <c r="G2782" s="176"/>
      <c r="H2782" s="176"/>
      <c r="I2782" s="176"/>
      <c r="J2782" s="176"/>
      <c r="K2782" s="176"/>
      <c r="L2782" s="176"/>
      <c r="M2782" s="176"/>
      <c r="N2782" s="176"/>
      <c r="O2782" s="176"/>
      <c r="P2782" s="176"/>
      <c r="Q2782" s="176"/>
      <c r="R2782" s="176"/>
      <c r="S2782" s="176"/>
      <c r="T2782" s="176"/>
      <c r="U2782" s="176"/>
      <c r="V2782" s="176"/>
      <c r="W2782" s="176"/>
      <c r="X2782" s="176"/>
      <c r="Y2782" s="176"/>
    </row>
    <row r="2783" spans="1:25">
      <c r="A2783" s="91"/>
      <c r="B2783" s="176"/>
      <c r="C2783" s="176"/>
      <c r="D2783" s="176"/>
      <c r="E2783" s="176"/>
      <c r="F2783" s="176"/>
      <c r="G2783" s="176"/>
      <c r="H2783" s="176"/>
      <c r="I2783" s="176"/>
      <c r="J2783" s="176"/>
      <c r="K2783" s="176"/>
      <c r="L2783" s="176"/>
      <c r="M2783" s="176"/>
      <c r="N2783" s="176"/>
      <c r="O2783" s="176"/>
      <c r="P2783" s="176"/>
      <c r="Q2783" s="176"/>
      <c r="R2783" s="176"/>
      <c r="S2783" s="176"/>
      <c r="T2783" s="176"/>
      <c r="U2783" s="176"/>
      <c r="V2783" s="176"/>
      <c r="W2783" s="176"/>
      <c r="X2783" s="176"/>
      <c r="Y2783" s="176"/>
    </row>
    <row r="2784" spans="1:25">
      <c r="A2784" s="91"/>
      <c r="B2784" s="176"/>
      <c r="C2784" s="176"/>
      <c r="D2784" s="176"/>
      <c r="E2784" s="176"/>
      <c r="F2784" s="176"/>
      <c r="G2784" s="176"/>
      <c r="H2784" s="176"/>
      <c r="I2784" s="176"/>
      <c r="J2784" s="176"/>
      <c r="K2784" s="176"/>
      <c r="L2784" s="176"/>
      <c r="M2784" s="176"/>
      <c r="N2784" s="176"/>
      <c r="O2784" s="176"/>
      <c r="P2784" s="176"/>
      <c r="Q2784" s="176"/>
      <c r="R2784" s="176"/>
      <c r="S2784" s="176"/>
      <c r="T2784" s="176"/>
      <c r="U2784" s="176"/>
      <c r="V2784" s="176"/>
      <c r="W2784" s="176"/>
      <c r="X2784" s="176"/>
      <c r="Y2784" s="176"/>
    </row>
    <row r="2785" spans="1:25">
      <c r="A2785" s="91"/>
      <c r="B2785" s="176"/>
      <c r="C2785" s="176"/>
      <c r="D2785" s="176"/>
      <c r="E2785" s="176"/>
      <c r="F2785" s="176"/>
      <c r="G2785" s="176"/>
      <c r="H2785" s="176"/>
      <c r="I2785" s="176"/>
      <c r="J2785" s="176"/>
      <c r="K2785" s="176"/>
      <c r="L2785" s="176"/>
      <c r="M2785" s="176"/>
      <c r="N2785" s="176"/>
      <c r="O2785" s="176"/>
      <c r="P2785" s="176"/>
      <c r="Q2785" s="176"/>
      <c r="R2785" s="176"/>
      <c r="S2785" s="176"/>
      <c r="T2785" s="176"/>
      <c r="U2785" s="176"/>
      <c r="V2785" s="176"/>
      <c r="W2785" s="176"/>
      <c r="X2785" s="176"/>
      <c r="Y2785" s="176"/>
    </row>
    <row r="2786" spans="1:25">
      <c r="A2786" s="91"/>
      <c r="B2786" s="176"/>
      <c r="C2786" s="176"/>
      <c r="D2786" s="176"/>
      <c r="E2786" s="176"/>
      <c r="F2786" s="176"/>
      <c r="G2786" s="176"/>
      <c r="H2786" s="176"/>
      <c r="I2786" s="176"/>
      <c r="J2786" s="176"/>
      <c r="K2786" s="176"/>
      <c r="L2786" s="176"/>
      <c r="M2786" s="176"/>
      <c r="N2786" s="176"/>
      <c r="O2786" s="176"/>
      <c r="P2786" s="176"/>
      <c r="Q2786" s="176"/>
      <c r="R2786" s="176"/>
      <c r="S2786" s="176"/>
      <c r="T2786" s="176"/>
      <c r="U2786" s="176"/>
      <c r="V2786" s="176"/>
      <c r="W2786" s="176"/>
      <c r="X2786" s="176"/>
      <c r="Y2786" s="176"/>
    </row>
    <row r="2787" spans="1:25">
      <c r="A2787" s="91"/>
      <c r="B2787" s="176"/>
      <c r="C2787" s="176"/>
      <c r="D2787" s="176"/>
      <c r="E2787" s="176"/>
      <c r="F2787" s="176"/>
      <c r="G2787" s="176"/>
      <c r="H2787" s="176"/>
      <c r="I2787" s="176"/>
      <c r="J2787" s="176"/>
      <c r="K2787" s="176"/>
      <c r="L2787" s="176"/>
      <c r="M2787" s="176"/>
      <c r="N2787" s="176"/>
      <c r="O2787" s="176"/>
      <c r="P2787" s="176"/>
      <c r="Q2787" s="176"/>
      <c r="R2787" s="176"/>
      <c r="S2787" s="176"/>
      <c r="T2787" s="176"/>
      <c r="U2787" s="176"/>
      <c r="V2787" s="176"/>
      <c r="W2787" s="176"/>
      <c r="X2787" s="176"/>
      <c r="Y2787" s="176"/>
    </row>
    <row r="2788" spans="1:25">
      <c r="A2788" s="91"/>
      <c r="B2788" s="176"/>
      <c r="C2788" s="176"/>
      <c r="D2788" s="176"/>
      <c r="E2788" s="176"/>
      <c r="F2788" s="176"/>
      <c r="G2788" s="176"/>
      <c r="H2788" s="176"/>
      <c r="I2788" s="176"/>
      <c r="J2788" s="176"/>
      <c r="K2788" s="176"/>
      <c r="L2788" s="176"/>
      <c r="M2788" s="176"/>
      <c r="N2788" s="176"/>
      <c r="O2788" s="176"/>
      <c r="P2788" s="176"/>
      <c r="Q2788" s="176"/>
      <c r="R2788" s="176"/>
      <c r="S2788" s="176"/>
      <c r="T2788" s="176"/>
      <c r="U2788" s="176"/>
      <c r="V2788" s="176"/>
      <c r="W2788" s="176"/>
      <c r="X2788" s="176"/>
      <c r="Y2788" s="176"/>
    </row>
    <row r="2789" spans="1:25">
      <c r="A2789" s="91"/>
      <c r="B2789" s="176"/>
      <c r="C2789" s="176"/>
      <c r="D2789" s="176"/>
      <c r="E2789" s="176"/>
      <c r="F2789" s="176"/>
      <c r="G2789" s="176"/>
      <c r="H2789" s="176"/>
      <c r="I2789" s="176"/>
      <c r="J2789" s="176"/>
      <c r="K2789" s="176"/>
      <c r="L2789" s="176"/>
      <c r="M2789" s="176"/>
      <c r="N2789" s="176"/>
      <c r="O2789" s="176"/>
      <c r="P2789" s="176"/>
      <c r="Q2789" s="176"/>
      <c r="R2789" s="176"/>
      <c r="S2789" s="176"/>
      <c r="T2789" s="176"/>
      <c r="U2789" s="176"/>
      <c r="V2789" s="176"/>
      <c r="W2789" s="176"/>
      <c r="X2789" s="176"/>
      <c r="Y2789" s="176"/>
    </row>
    <row r="2790" spans="1:25">
      <c r="A2790" s="91"/>
      <c r="B2790" s="176"/>
      <c r="C2790" s="176"/>
      <c r="D2790" s="176"/>
      <c r="E2790" s="176"/>
      <c r="F2790" s="176"/>
      <c r="G2790" s="176"/>
      <c r="H2790" s="176"/>
      <c r="I2790" s="176"/>
      <c r="J2790" s="176"/>
      <c r="K2790" s="176"/>
      <c r="L2790" s="176"/>
      <c r="M2790" s="176"/>
      <c r="N2790" s="176"/>
      <c r="O2790" s="176"/>
      <c r="P2790" s="176"/>
      <c r="Q2790" s="176"/>
      <c r="R2790" s="176"/>
      <c r="S2790" s="176"/>
      <c r="T2790" s="176"/>
      <c r="U2790" s="176"/>
      <c r="V2790" s="176"/>
      <c r="W2790" s="176"/>
      <c r="X2790" s="176"/>
      <c r="Y2790" s="176"/>
    </row>
    <row r="2791" spans="1:25">
      <c r="A2791" s="91"/>
      <c r="B2791" s="176"/>
      <c r="C2791" s="176"/>
      <c r="D2791" s="176"/>
      <c r="E2791" s="176"/>
      <c r="F2791" s="176"/>
      <c r="G2791" s="176"/>
      <c r="H2791" s="176"/>
      <c r="I2791" s="176"/>
      <c r="J2791" s="176"/>
      <c r="K2791" s="176"/>
      <c r="L2791" s="176"/>
      <c r="M2791" s="176"/>
      <c r="N2791" s="176"/>
      <c r="O2791" s="176"/>
      <c r="P2791" s="176"/>
      <c r="Q2791" s="176"/>
      <c r="R2791" s="176"/>
      <c r="S2791" s="176"/>
      <c r="T2791" s="176"/>
      <c r="U2791" s="176"/>
      <c r="V2791" s="176"/>
      <c r="W2791" s="176"/>
      <c r="X2791" s="176"/>
      <c r="Y2791" s="176"/>
    </row>
    <row r="2792" spans="1:25">
      <c r="A2792" s="91"/>
      <c r="B2792" s="176"/>
      <c r="C2792" s="176"/>
      <c r="D2792" s="176"/>
      <c r="E2792" s="176"/>
      <c r="F2792" s="176"/>
      <c r="G2792" s="176"/>
      <c r="H2792" s="176"/>
      <c r="I2792" s="176"/>
      <c r="J2792" s="176"/>
      <c r="K2792" s="176"/>
      <c r="L2792" s="176"/>
      <c r="M2792" s="176"/>
      <c r="N2792" s="176"/>
      <c r="O2792" s="176"/>
      <c r="P2792" s="176"/>
      <c r="Q2792" s="176"/>
      <c r="R2792" s="176"/>
      <c r="S2792" s="176"/>
      <c r="T2792" s="176"/>
      <c r="U2792" s="176"/>
      <c r="V2792" s="176"/>
      <c r="W2792" s="176"/>
      <c r="X2792" s="176"/>
      <c r="Y2792" s="176"/>
    </row>
    <row r="2793" spans="1:25">
      <c r="A2793" s="91"/>
      <c r="B2793" s="176"/>
      <c r="C2793" s="176"/>
      <c r="D2793" s="176"/>
      <c r="E2793" s="176"/>
      <c r="F2793" s="176"/>
      <c r="G2793" s="176"/>
      <c r="H2793" s="176"/>
      <c r="I2793" s="176"/>
      <c r="J2793" s="176"/>
      <c r="K2793" s="176"/>
      <c r="L2793" s="176"/>
      <c r="M2793" s="176"/>
      <c r="N2793" s="176"/>
      <c r="O2793" s="176"/>
      <c r="P2793" s="176"/>
      <c r="Q2793" s="176"/>
      <c r="R2793" s="176"/>
      <c r="S2793" s="176"/>
      <c r="T2793" s="176"/>
      <c r="U2793" s="176"/>
      <c r="V2793" s="176"/>
      <c r="W2793" s="176"/>
      <c r="X2793" s="176"/>
      <c r="Y2793" s="176"/>
    </row>
    <row r="2794" spans="1:25">
      <c r="A2794" s="91"/>
      <c r="B2794" s="176"/>
      <c r="C2794" s="176"/>
      <c r="D2794" s="176"/>
      <c r="E2794" s="176"/>
      <c r="F2794" s="176"/>
      <c r="G2794" s="176"/>
      <c r="H2794" s="176"/>
      <c r="I2794" s="176"/>
      <c r="J2794" s="176"/>
      <c r="K2794" s="176"/>
      <c r="L2794" s="176"/>
      <c r="M2794" s="176"/>
      <c r="N2794" s="176"/>
      <c r="O2794" s="176"/>
      <c r="P2794" s="176"/>
      <c r="Q2794" s="176"/>
      <c r="R2794" s="176"/>
      <c r="S2794" s="176"/>
      <c r="T2794" s="176"/>
      <c r="U2794" s="176"/>
      <c r="V2794" s="176"/>
      <c r="W2794" s="176"/>
      <c r="X2794" s="176"/>
      <c r="Y2794" s="176"/>
    </row>
    <row r="2795" spans="1:25">
      <c r="A2795" s="91"/>
      <c r="B2795" s="176"/>
      <c r="C2795" s="176"/>
      <c r="D2795" s="176"/>
      <c r="E2795" s="176"/>
      <c r="F2795" s="176"/>
      <c r="G2795" s="176"/>
      <c r="H2795" s="176"/>
      <c r="I2795" s="176"/>
      <c r="J2795" s="176"/>
      <c r="K2795" s="176"/>
      <c r="L2795" s="176"/>
      <c r="M2795" s="176"/>
      <c r="N2795" s="176"/>
      <c r="O2795" s="176"/>
      <c r="P2795" s="176"/>
      <c r="Q2795" s="176"/>
      <c r="R2795" s="176"/>
      <c r="S2795" s="176"/>
      <c r="T2795" s="176"/>
      <c r="U2795" s="176"/>
      <c r="V2795" s="176"/>
      <c r="W2795" s="176"/>
      <c r="X2795" s="176"/>
      <c r="Y2795" s="176"/>
    </row>
    <row r="2796" spans="1:25">
      <c r="A2796" s="91"/>
      <c r="B2796" s="176"/>
      <c r="C2796" s="176"/>
      <c r="D2796" s="176"/>
      <c r="E2796" s="176"/>
      <c r="F2796" s="176"/>
      <c r="G2796" s="176"/>
      <c r="H2796" s="176"/>
      <c r="I2796" s="176"/>
      <c r="J2796" s="176"/>
      <c r="K2796" s="176"/>
      <c r="L2796" s="176"/>
      <c r="M2796" s="176"/>
      <c r="N2796" s="176"/>
      <c r="O2796" s="176"/>
      <c r="P2796" s="176"/>
      <c r="Q2796" s="176"/>
      <c r="R2796" s="176"/>
      <c r="S2796" s="176"/>
      <c r="T2796" s="176"/>
      <c r="U2796" s="176"/>
      <c r="V2796" s="176"/>
      <c r="W2796" s="176"/>
      <c r="X2796" s="176"/>
      <c r="Y2796" s="176"/>
    </row>
    <row r="2797" spans="1:25">
      <c r="A2797" s="91"/>
      <c r="B2797" s="176"/>
      <c r="C2797" s="176"/>
      <c r="D2797" s="176"/>
      <c r="E2797" s="176"/>
      <c r="F2797" s="176"/>
      <c r="G2797" s="176"/>
      <c r="H2797" s="176"/>
      <c r="I2797" s="176"/>
      <c r="J2797" s="176"/>
      <c r="K2797" s="176"/>
      <c r="L2797" s="176"/>
      <c r="M2797" s="176"/>
      <c r="N2797" s="176"/>
      <c r="O2797" s="176"/>
      <c r="P2797" s="176"/>
      <c r="Q2797" s="176"/>
      <c r="R2797" s="176"/>
      <c r="S2797" s="176"/>
      <c r="T2797" s="176"/>
      <c r="U2797" s="176"/>
      <c r="V2797" s="176"/>
      <c r="W2797" s="176"/>
      <c r="X2797" s="176"/>
      <c r="Y2797" s="176"/>
    </row>
    <row r="2798" spans="1:25">
      <c r="A2798" s="91"/>
      <c r="B2798" s="176"/>
      <c r="C2798" s="176"/>
      <c r="D2798" s="176"/>
      <c r="E2798" s="176"/>
      <c r="F2798" s="176"/>
      <c r="G2798" s="176"/>
      <c r="H2798" s="176"/>
      <c r="I2798" s="176"/>
      <c r="J2798" s="176"/>
      <c r="K2798" s="176"/>
      <c r="L2798" s="176"/>
      <c r="M2798" s="176"/>
      <c r="N2798" s="176"/>
      <c r="O2798" s="176"/>
      <c r="P2798" s="176"/>
      <c r="Q2798" s="176"/>
      <c r="R2798" s="176"/>
      <c r="S2798" s="176"/>
      <c r="T2798" s="176"/>
      <c r="U2798" s="176"/>
      <c r="V2798" s="176"/>
      <c r="W2798" s="176"/>
      <c r="X2798" s="176"/>
      <c r="Y2798" s="176"/>
    </row>
    <row r="2799" spans="1:25">
      <c r="A2799" s="91"/>
      <c r="B2799" s="176"/>
      <c r="C2799" s="176"/>
      <c r="D2799" s="176"/>
      <c r="E2799" s="176"/>
      <c r="F2799" s="176"/>
      <c r="G2799" s="176"/>
      <c r="H2799" s="176"/>
      <c r="I2799" s="176"/>
      <c r="J2799" s="176"/>
      <c r="K2799" s="176"/>
      <c r="L2799" s="176"/>
      <c r="M2799" s="176"/>
      <c r="N2799" s="176"/>
      <c r="O2799" s="176"/>
      <c r="P2799" s="176"/>
      <c r="Q2799" s="176"/>
      <c r="R2799" s="176"/>
      <c r="S2799" s="176"/>
      <c r="T2799" s="176"/>
      <c r="U2799" s="176"/>
      <c r="V2799" s="176"/>
      <c r="W2799" s="176"/>
      <c r="X2799" s="176"/>
      <c r="Y2799" s="176"/>
    </row>
    <row r="2800" spans="1:25">
      <c r="A2800" s="91"/>
      <c r="B2800" s="176"/>
      <c r="C2800" s="176"/>
      <c r="D2800" s="176"/>
      <c r="E2800" s="176"/>
      <c r="F2800" s="176"/>
      <c r="G2800" s="176"/>
      <c r="H2800" s="176"/>
      <c r="I2800" s="176"/>
      <c r="J2800" s="176"/>
      <c r="K2800" s="176"/>
      <c r="L2800" s="176"/>
      <c r="M2800" s="176"/>
      <c r="N2800" s="176"/>
      <c r="O2800" s="176"/>
      <c r="P2800" s="176"/>
      <c r="Q2800" s="176"/>
      <c r="R2800" s="176"/>
      <c r="S2800" s="176"/>
      <c r="T2800" s="176"/>
      <c r="U2800" s="176"/>
      <c r="V2800" s="176"/>
      <c r="W2800" s="176"/>
      <c r="X2800" s="176"/>
      <c r="Y2800" s="176"/>
    </row>
    <row r="2801" spans="1:25">
      <c r="A2801" s="91"/>
      <c r="B2801" s="176"/>
      <c r="C2801" s="176"/>
      <c r="D2801" s="176"/>
      <c r="E2801" s="176"/>
      <c r="F2801" s="176"/>
      <c r="G2801" s="176"/>
      <c r="H2801" s="176"/>
      <c r="I2801" s="176"/>
      <c r="J2801" s="176"/>
      <c r="K2801" s="176"/>
      <c r="L2801" s="176"/>
      <c r="M2801" s="176"/>
      <c r="N2801" s="176"/>
      <c r="O2801" s="176"/>
      <c r="P2801" s="176"/>
      <c r="Q2801" s="176"/>
      <c r="R2801" s="176"/>
      <c r="S2801" s="176"/>
      <c r="T2801" s="176"/>
      <c r="U2801" s="176"/>
      <c r="V2801" s="176"/>
      <c r="W2801" s="176"/>
      <c r="X2801" s="176"/>
      <c r="Y2801" s="176"/>
    </row>
    <row r="2802" spans="1:25">
      <c r="A2802" s="91"/>
      <c r="B2802" s="176"/>
      <c r="C2802" s="176"/>
      <c r="D2802" s="176"/>
      <c r="E2802" s="176"/>
      <c r="F2802" s="176"/>
      <c r="G2802" s="176"/>
      <c r="H2802" s="176"/>
      <c r="I2802" s="176"/>
      <c r="J2802" s="176"/>
      <c r="K2802" s="176"/>
      <c r="L2802" s="176"/>
      <c r="M2802" s="176"/>
      <c r="N2802" s="176"/>
      <c r="O2802" s="176"/>
      <c r="P2802" s="176"/>
      <c r="Q2802" s="176"/>
      <c r="R2802" s="176"/>
      <c r="S2802" s="176"/>
      <c r="T2802" s="176"/>
      <c r="U2802" s="176"/>
      <c r="V2802" s="176"/>
      <c r="W2802" s="176"/>
      <c r="X2802" s="176"/>
      <c r="Y2802" s="176"/>
    </row>
    <row r="2803" spans="1:25">
      <c r="A2803" s="91"/>
      <c r="B2803" s="176"/>
      <c r="C2803" s="176"/>
      <c r="D2803" s="176"/>
      <c r="E2803" s="176"/>
      <c r="F2803" s="176"/>
      <c r="G2803" s="176"/>
      <c r="H2803" s="176"/>
      <c r="I2803" s="176"/>
      <c r="J2803" s="176"/>
      <c r="K2803" s="176"/>
      <c r="L2803" s="176"/>
      <c r="M2803" s="176"/>
      <c r="N2803" s="176"/>
      <c r="O2803" s="176"/>
      <c r="P2803" s="176"/>
      <c r="Q2803" s="176"/>
      <c r="R2803" s="176"/>
      <c r="S2803" s="176"/>
      <c r="T2803" s="176"/>
      <c r="U2803" s="176"/>
      <c r="V2803" s="176"/>
      <c r="W2803" s="176"/>
      <c r="X2803" s="176"/>
      <c r="Y2803" s="176"/>
    </row>
    <row r="2804" spans="1:25">
      <c r="A2804" s="91"/>
      <c r="B2804" s="176"/>
      <c r="C2804" s="176"/>
      <c r="D2804" s="176"/>
      <c r="E2804" s="176"/>
      <c r="F2804" s="176"/>
      <c r="G2804" s="176"/>
      <c r="H2804" s="176"/>
      <c r="I2804" s="176"/>
      <c r="J2804" s="176"/>
      <c r="K2804" s="176"/>
      <c r="L2804" s="176"/>
      <c r="M2804" s="176"/>
      <c r="N2804" s="176"/>
      <c r="O2804" s="176"/>
      <c r="P2804" s="176"/>
      <c r="Q2804" s="176"/>
      <c r="R2804" s="176"/>
      <c r="S2804" s="176"/>
      <c r="T2804" s="176"/>
      <c r="U2804" s="176"/>
      <c r="V2804" s="176"/>
      <c r="W2804" s="176"/>
      <c r="X2804" s="176"/>
      <c r="Y2804" s="176"/>
    </row>
    <row r="2805" spans="1:25">
      <c r="A2805" s="91"/>
      <c r="B2805" s="176"/>
      <c r="C2805" s="176"/>
      <c r="D2805" s="176"/>
      <c r="E2805" s="176"/>
      <c r="F2805" s="176"/>
      <c r="G2805" s="176"/>
      <c r="H2805" s="176"/>
      <c r="I2805" s="176"/>
      <c r="J2805" s="176"/>
      <c r="K2805" s="176"/>
      <c r="L2805" s="176"/>
      <c r="M2805" s="176"/>
      <c r="N2805" s="176"/>
      <c r="O2805" s="176"/>
      <c r="P2805" s="176"/>
      <c r="Q2805" s="176"/>
      <c r="R2805" s="176"/>
      <c r="S2805" s="176"/>
      <c r="T2805" s="176"/>
      <c r="U2805" s="176"/>
      <c r="V2805" s="176"/>
      <c r="W2805" s="176"/>
      <c r="X2805" s="176"/>
      <c r="Y2805" s="176"/>
    </row>
    <row r="2806" spans="1:25">
      <c r="A2806" s="91"/>
      <c r="B2806" s="176"/>
      <c r="C2806" s="176"/>
      <c r="D2806" s="176"/>
      <c r="E2806" s="176"/>
      <c r="F2806" s="176"/>
      <c r="G2806" s="176"/>
      <c r="H2806" s="176"/>
      <c r="I2806" s="176"/>
      <c r="J2806" s="176"/>
      <c r="K2806" s="176"/>
      <c r="L2806" s="176"/>
      <c r="M2806" s="176"/>
      <c r="N2806" s="176"/>
      <c r="O2806" s="176"/>
      <c r="P2806" s="176"/>
      <c r="Q2806" s="176"/>
      <c r="R2806" s="176"/>
      <c r="S2806" s="176"/>
      <c r="T2806" s="176"/>
      <c r="U2806" s="176"/>
      <c r="V2806" s="176"/>
      <c r="W2806" s="176"/>
      <c r="X2806" s="176"/>
      <c r="Y2806" s="176"/>
    </row>
    <row r="2807" spans="1:25">
      <c r="A2807" s="91"/>
      <c r="B2807" s="176"/>
      <c r="C2807" s="176"/>
      <c r="D2807" s="176"/>
      <c r="E2807" s="176"/>
      <c r="F2807" s="176"/>
      <c r="G2807" s="176"/>
      <c r="H2807" s="176"/>
      <c r="I2807" s="176"/>
      <c r="J2807" s="176"/>
      <c r="K2807" s="176"/>
      <c r="L2807" s="176"/>
      <c r="M2807" s="176"/>
      <c r="N2807" s="176"/>
      <c r="O2807" s="176"/>
      <c r="P2807" s="176"/>
      <c r="Q2807" s="176"/>
      <c r="R2807" s="176"/>
      <c r="S2807" s="176"/>
      <c r="T2807" s="176"/>
      <c r="U2807" s="176"/>
      <c r="V2807" s="176"/>
      <c r="W2807" s="176"/>
      <c r="X2807" s="176"/>
      <c r="Y2807" s="176"/>
    </row>
    <row r="2808" spans="1:25">
      <c r="A2808" s="91"/>
      <c r="B2808" s="176"/>
      <c r="C2808" s="176"/>
      <c r="D2808" s="176"/>
      <c r="E2808" s="176"/>
      <c r="F2808" s="176"/>
      <c r="G2808" s="176"/>
      <c r="H2808" s="176"/>
      <c r="I2808" s="176"/>
      <c r="J2808" s="176"/>
      <c r="K2808" s="176"/>
      <c r="L2808" s="176"/>
      <c r="M2808" s="176"/>
      <c r="N2808" s="176"/>
      <c r="O2808" s="176"/>
      <c r="P2808" s="176"/>
      <c r="Q2808" s="176"/>
      <c r="R2808" s="176"/>
      <c r="S2808" s="176"/>
      <c r="T2808" s="176"/>
      <c r="U2808" s="176"/>
      <c r="V2808" s="176"/>
      <c r="W2808" s="176"/>
      <c r="X2808" s="176"/>
      <c r="Y2808" s="176"/>
    </row>
    <row r="2809" spans="1:25">
      <c r="A2809" s="91"/>
      <c r="B2809" s="176"/>
      <c r="C2809" s="176"/>
      <c r="D2809" s="176"/>
      <c r="E2809" s="176"/>
      <c r="F2809" s="176"/>
      <c r="G2809" s="176"/>
      <c r="H2809" s="176"/>
      <c r="I2809" s="176"/>
      <c r="J2809" s="176"/>
      <c r="K2809" s="176"/>
      <c r="L2809" s="176"/>
      <c r="M2809" s="176"/>
      <c r="N2809" s="176"/>
      <c r="O2809" s="176"/>
      <c r="P2809" s="176"/>
      <c r="Q2809" s="176"/>
      <c r="R2809" s="176"/>
      <c r="S2809" s="176"/>
      <c r="T2809" s="176"/>
      <c r="U2809" s="176"/>
      <c r="V2809" s="176"/>
      <c r="W2809" s="176"/>
      <c r="X2809" s="176"/>
      <c r="Y2809" s="176"/>
    </row>
    <row r="2810" spans="1:25">
      <c r="A2810" s="91"/>
      <c r="B2810" s="176"/>
      <c r="C2810" s="176"/>
      <c r="D2810" s="176"/>
      <c r="E2810" s="176"/>
      <c r="F2810" s="176"/>
      <c r="G2810" s="176"/>
      <c r="H2810" s="176"/>
      <c r="I2810" s="176"/>
      <c r="J2810" s="176"/>
      <c r="K2810" s="176"/>
      <c r="L2810" s="176"/>
      <c r="M2810" s="176"/>
      <c r="N2810" s="176"/>
      <c r="O2810" s="176"/>
      <c r="P2810" s="176"/>
      <c r="Q2810" s="176"/>
      <c r="R2810" s="176"/>
      <c r="S2810" s="176"/>
      <c r="T2810" s="176"/>
      <c r="U2810" s="176"/>
      <c r="V2810" s="176"/>
      <c r="W2810" s="176"/>
      <c r="X2810" s="176"/>
      <c r="Y2810" s="176"/>
    </row>
    <row r="2811" spans="1:25">
      <c r="A2811" s="91"/>
      <c r="B2811" s="176"/>
      <c r="C2811" s="176"/>
      <c r="D2811" s="176"/>
      <c r="E2811" s="176"/>
      <c r="F2811" s="176"/>
      <c r="G2811" s="176"/>
      <c r="H2811" s="176"/>
      <c r="I2811" s="176"/>
      <c r="J2811" s="176"/>
      <c r="K2811" s="176"/>
      <c r="L2811" s="176"/>
      <c r="M2811" s="176"/>
      <c r="N2811" s="176"/>
      <c r="O2811" s="176"/>
      <c r="P2811" s="176"/>
      <c r="Q2811" s="176"/>
      <c r="R2811" s="176"/>
      <c r="S2811" s="176"/>
      <c r="T2811" s="176"/>
      <c r="U2811" s="176"/>
      <c r="V2811" s="176"/>
      <c r="W2811" s="176"/>
      <c r="X2811" s="176"/>
      <c r="Y2811" s="176"/>
    </row>
    <row r="2812" spans="1:25">
      <c r="A2812" s="91"/>
      <c r="B2812" s="176"/>
      <c r="C2812" s="176"/>
      <c r="D2812" s="176"/>
      <c r="E2812" s="176"/>
      <c r="F2812" s="176"/>
      <c r="G2812" s="176"/>
      <c r="H2812" s="176"/>
      <c r="I2812" s="176"/>
      <c r="J2812" s="176"/>
      <c r="K2812" s="176"/>
      <c r="L2812" s="176"/>
      <c r="M2812" s="176"/>
      <c r="N2812" s="176"/>
      <c r="O2812" s="176"/>
      <c r="P2812" s="176"/>
      <c r="Q2812" s="176"/>
      <c r="R2812" s="176"/>
      <c r="S2812" s="176"/>
      <c r="T2812" s="176"/>
      <c r="U2812" s="176"/>
      <c r="V2812" s="176"/>
      <c r="W2812" s="176"/>
      <c r="X2812" s="176"/>
      <c r="Y2812" s="176"/>
    </row>
    <row r="2813" spans="1:25">
      <c r="A2813" s="91"/>
      <c r="B2813" s="176"/>
      <c r="C2813" s="176"/>
      <c r="D2813" s="176"/>
      <c r="E2813" s="176"/>
      <c r="F2813" s="176"/>
      <c r="G2813" s="176"/>
      <c r="H2813" s="176"/>
      <c r="I2813" s="176"/>
      <c r="J2813" s="176"/>
      <c r="K2813" s="176"/>
      <c r="L2813" s="176"/>
      <c r="M2813" s="176"/>
      <c r="N2813" s="176"/>
      <c r="O2813" s="176"/>
      <c r="P2813" s="176"/>
      <c r="Q2813" s="176"/>
      <c r="R2813" s="176"/>
      <c r="S2813" s="176"/>
      <c r="T2813" s="176"/>
      <c r="U2813" s="176"/>
      <c r="V2813" s="176"/>
      <c r="W2813" s="176"/>
      <c r="X2813" s="176"/>
      <c r="Y2813" s="176"/>
    </row>
    <row r="2814" spans="1:25">
      <c r="A2814" s="91"/>
      <c r="B2814" s="176"/>
      <c r="C2814" s="176"/>
      <c r="D2814" s="176"/>
      <c r="E2814" s="176"/>
      <c r="F2814" s="176"/>
      <c r="G2814" s="176"/>
      <c r="H2814" s="176"/>
      <c r="I2814" s="176"/>
      <c r="J2814" s="176"/>
      <c r="K2814" s="176"/>
      <c r="L2814" s="176"/>
      <c r="M2814" s="176"/>
      <c r="N2814" s="176"/>
      <c r="O2814" s="176"/>
      <c r="P2814" s="176"/>
      <c r="Q2814" s="176"/>
      <c r="R2814" s="176"/>
      <c r="S2814" s="176"/>
      <c r="T2814" s="176"/>
      <c r="U2814" s="176"/>
      <c r="V2814" s="176"/>
      <c r="W2814" s="176"/>
      <c r="X2814" s="176"/>
      <c r="Y2814" s="176"/>
    </row>
    <row r="2815" spans="1:25">
      <c r="A2815" s="91"/>
      <c r="B2815" s="176"/>
      <c r="C2815" s="176"/>
      <c r="D2815" s="176"/>
      <c r="E2815" s="176"/>
      <c r="F2815" s="176"/>
      <c r="G2815" s="176"/>
      <c r="H2815" s="176"/>
      <c r="I2815" s="176"/>
      <c r="J2815" s="176"/>
      <c r="K2815" s="176"/>
      <c r="L2815" s="176"/>
      <c r="M2815" s="176"/>
      <c r="N2815" s="176"/>
      <c r="O2815" s="176"/>
      <c r="P2815" s="176"/>
      <c r="Q2815" s="176"/>
      <c r="R2815" s="176"/>
      <c r="S2815" s="176"/>
      <c r="T2815" s="176"/>
      <c r="U2815" s="176"/>
      <c r="V2815" s="176"/>
      <c r="W2815" s="176"/>
      <c r="X2815" s="176"/>
      <c r="Y2815" s="176"/>
    </row>
    <row r="2816" spans="1:25">
      <c r="A2816" s="91"/>
      <c r="B2816" s="176"/>
      <c r="C2816" s="176"/>
      <c r="D2816" s="176"/>
      <c r="E2816" s="176"/>
      <c r="F2816" s="176"/>
      <c r="G2816" s="176"/>
      <c r="H2816" s="176"/>
      <c r="I2816" s="176"/>
      <c r="J2816" s="176"/>
      <c r="K2816" s="176"/>
      <c r="L2816" s="176"/>
      <c r="M2816" s="176"/>
      <c r="N2816" s="176"/>
      <c r="O2816" s="176"/>
      <c r="P2816" s="176"/>
      <c r="Q2816" s="176"/>
      <c r="R2816" s="176"/>
      <c r="S2816" s="176"/>
      <c r="T2816" s="176"/>
      <c r="U2816" s="176"/>
      <c r="V2816" s="176"/>
      <c r="W2816" s="176"/>
      <c r="X2816" s="176"/>
      <c r="Y2816" s="176"/>
    </row>
    <row r="2817" spans="1:25">
      <c r="A2817" s="91"/>
      <c r="B2817" s="176"/>
      <c r="C2817" s="176"/>
      <c r="D2817" s="176"/>
      <c r="E2817" s="176"/>
      <c r="F2817" s="176"/>
      <c r="G2817" s="176"/>
      <c r="H2817" s="176"/>
      <c r="I2817" s="176"/>
      <c r="J2817" s="176"/>
      <c r="K2817" s="176"/>
      <c r="L2817" s="176"/>
      <c r="M2817" s="176"/>
      <c r="N2817" s="176"/>
      <c r="O2817" s="176"/>
      <c r="P2817" s="176"/>
      <c r="Q2817" s="176"/>
      <c r="R2817" s="176"/>
      <c r="S2817" s="176"/>
      <c r="T2817" s="176"/>
      <c r="U2817" s="176"/>
      <c r="V2817" s="176"/>
      <c r="W2817" s="176"/>
      <c r="X2817" s="176"/>
      <c r="Y2817" s="176"/>
    </row>
    <row r="2818" spans="1:25">
      <c r="A2818" s="91"/>
      <c r="B2818" s="176"/>
      <c r="C2818" s="176"/>
      <c r="D2818" s="176"/>
      <c r="E2818" s="176"/>
      <c r="F2818" s="176"/>
      <c r="G2818" s="176"/>
      <c r="H2818" s="176"/>
      <c r="I2818" s="176"/>
      <c r="J2818" s="176"/>
      <c r="K2818" s="176"/>
      <c r="L2818" s="176"/>
      <c r="M2818" s="176"/>
      <c r="N2818" s="176"/>
      <c r="O2818" s="176"/>
      <c r="P2818" s="176"/>
      <c r="Q2818" s="176"/>
      <c r="R2818" s="176"/>
      <c r="S2818" s="176"/>
      <c r="T2818" s="176"/>
      <c r="U2818" s="176"/>
      <c r="V2818" s="176"/>
      <c r="W2818" s="176"/>
      <c r="X2818" s="176"/>
      <c r="Y2818" s="176"/>
    </row>
    <row r="2819" spans="1:25">
      <c r="A2819" s="91"/>
      <c r="B2819" s="176"/>
      <c r="C2819" s="176"/>
      <c r="D2819" s="176"/>
      <c r="E2819" s="176"/>
      <c r="F2819" s="176"/>
      <c r="G2819" s="176"/>
      <c r="H2819" s="176"/>
      <c r="I2819" s="176"/>
      <c r="J2819" s="176"/>
      <c r="K2819" s="176"/>
      <c r="L2819" s="176"/>
      <c r="M2819" s="176"/>
      <c r="N2819" s="176"/>
      <c r="O2819" s="176"/>
      <c r="P2819" s="176"/>
      <c r="Q2819" s="176"/>
      <c r="R2819" s="176"/>
      <c r="S2819" s="176"/>
      <c r="T2819" s="176"/>
      <c r="U2819" s="176"/>
      <c r="V2819" s="176"/>
      <c r="W2819" s="176"/>
      <c r="X2819" s="176"/>
      <c r="Y2819" s="176"/>
    </row>
    <row r="2820" spans="1:25">
      <c r="A2820" s="91"/>
      <c r="B2820" s="176"/>
      <c r="C2820" s="176"/>
      <c r="D2820" s="176"/>
      <c r="E2820" s="176"/>
      <c r="F2820" s="176"/>
      <c r="G2820" s="176"/>
      <c r="H2820" s="176"/>
      <c r="I2820" s="176"/>
      <c r="J2820" s="176"/>
      <c r="K2820" s="176"/>
      <c r="L2820" s="176"/>
      <c r="M2820" s="176"/>
      <c r="N2820" s="176"/>
      <c r="O2820" s="176"/>
      <c r="P2820" s="176"/>
      <c r="Q2820" s="176"/>
      <c r="R2820" s="176"/>
      <c r="S2820" s="176"/>
      <c r="T2820" s="176"/>
      <c r="U2820" s="176"/>
      <c r="V2820" s="176"/>
      <c r="W2820" s="176"/>
      <c r="X2820" s="176"/>
      <c r="Y2820" s="176"/>
    </row>
    <row r="2821" spans="1:25">
      <c r="A2821" s="91"/>
      <c r="B2821" s="176"/>
      <c r="C2821" s="176"/>
      <c r="D2821" s="176"/>
      <c r="E2821" s="176"/>
      <c r="F2821" s="176"/>
      <c r="G2821" s="176"/>
      <c r="H2821" s="176"/>
      <c r="I2821" s="176"/>
      <c r="J2821" s="176"/>
      <c r="K2821" s="176"/>
      <c r="L2821" s="176"/>
      <c r="M2821" s="176"/>
      <c r="N2821" s="176"/>
      <c r="O2821" s="176"/>
      <c r="P2821" s="176"/>
      <c r="Q2821" s="176"/>
      <c r="R2821" s="176"/>
      <c r="S2821" s="176"/>
      <c r="T2821" s="176"/>
      <c r="U2821" s="176"/>
      <c r="V2821" s="176"/>
      <c r="W2821" s="176"/>
      <c r="X2821" s="176"/>
      <c r="Y2821" s="176"/>
    </row>
    <row r="2822" spans="1:25">
      <c r="A2822" s="91"/>
      <c r="B2822" s="176"/>
      <c r="C2822" s="176"/>
      <c r="D2822" s="176"/>
      <c r="E2822" s="176"/>
      <c r="F2822" s="176"/>
      <c r="G2822" s="176"/>
      <c r="H2822" s="176"/>
      <c r="I2822" s="176"/>
      <c r="J2822" s="176"/>
      <c r="K2822" s="176"/>
      <c r="L2822" s="176"/>
      <c r="M2822" s="176"/>
      <c r="N2822" s="176"/>
      <c r="O2822" s="176"/>
      <c r="P2822" s="176"/>
      <c r="Q2822" s="176"/>
      <c r="R2822" s="176"/>
      <c r="S2822" s="176"/>
      <c r="T2822" s="176"/>
      <c r="U2822" s="176"/>
      <c r="V2822" s="176"/>
      <c r="W2822" s="176"/>
      <c r="X2822" s="176"/>
      <c r="Y2822" s="176"/>
    </row>
    <row r="2823" spans="1:25">
      <c r="A2823" s="91"/>
      <c r="B2823" s="176"/>
      <c r="C2823" s="176"/>
      <c r="D2823" s="176"/>
      <c r="E2823" s="176"/>
      <c r="F2823" s="176"/>
      <c r="G2823" s="176"/>
      <c r="H2823" s="176"/>
      <c r="I2823" s="176"/>
      <c r="J2823" s="176"/>
      <c r="K2823" s="176"/>
      <c r="L2823" s="176"/>
      <c r="M2823" s="176"/>
      <c r="N2823" s="176"/>
      <c r="O2823" s="176"/>
      <c r="P2823" s="176"/>
      <c r="Q2823" s="176"/>
      <c r="R2823" s="176"/>
      <c r="S2823" s="176"/>
      <c r="T2823" s="176"/>
      <c r="U2823" s="176"/>
      <c r="V2823" s="176"/>
      <c r="W2823" s="176"/>
      <c r="X2823" s="176"/>
      <c r="Y2823" s="176"/>
    </row>
    <row r="2824" spans="1:25">
      <c r="A2824" s="91"/>
      <c r="B2824" s="176"/>
      <c r="C2824" s="176"/>
      <c r="D2824" s="176"/>
      <c r="E2824" s="176"/>
      <c r="F2824" s="176"/>
      <c r="G2824" s="176"/>
      <c r="H2824" s="176"/>
      <c r="I2824" s="176"/>
      <c r="J2824" s="176"/>
      <c r="K2824" s="176"/>
      <c r="L2824" s="176"/>
      <c r="M2824" s="176"/>
      <c r="N2824" s="176"/>
      <c r="O2824" s="176"/>
      <c r="P2824" s="176"/>
      <c r="Q2824" s="176"/>
      <c r="R2824" s="176"/>
      <c r="S2824" s="176"/>
      <c r="T2824" s="176"/>
      <c r="U2824" s="176"/>
      <c r="V2824" s="176"/>
      <c r="W2824" s="176"/>
      <c r="X2824" s="176"/>
      <c r="Y2824" s="176"/>
    </row>
    <row r="2825" spans="1:25">
      <c r="A2825" s="91"/>
      <c r="B2825" s="176"/>
      <c r="C2825" s="176"/>
      <c r="D2825" s="176"/>
      <c r="E2825" s="176"/>
      <c r="F2825" s="176"/>
      <c r="G2825" s="176"/>
      <c r="H2825" s="176"/>
      <c r="I2825" s="176"/>
      <c r="J2825" s="176"/>
      <c r="K2825" s="176"/>
      <c r="L2825" s="176"/>
      <c r="M2825" s="176"/>
      <c r="N2825" s="176"/>
      <c r="O2825" s="176"/>
      <c r="P2825" s="176"/>
      <c r="Q2825" s="176"/>
      <c r="R2825" s="176"/>
      <c r="S2825" s="176"/>
      <c r="T2825" s="176"/>
      <c r="U2825" s="176"/>
      <c r="V2825" s="176"/>
      <c r="W2825" s="176"/>
      <c r="X2825" s="176"/>
      <c r="Y2825" s="176"/>
    </row>
    <row r="2826" spans="1:25">
      <c r="A2826" s="91"/>
      <c r="B2826" s="176"/>
      <c r="C2826" s="176"/>
      <c r="D2826" s="176"/>
      <c r="E2826" s="176"/>
      <c r="F2826" s="176"/>
      <c r="G2826" s="176"/>
      <c r="H2826" s="176"/>
      <c r="I2826" s="176"/>
      <c r="J2826" s="176"/>
      <c r="K2826" s="176"/>
      <c r="L2826" s="176"/>
      <c r="M2826" s="176"/>
      <c r="N2826" s="176"/>
      <c r="O2826" s="176"/>
      <c r="P2826" s="176"/>
      <c r="Q2826" s="176"/>
      <c r="R2826" s="176"/>
      <c r="S2826" s="176"/>
      <c r="T2826" s="176"/>
      <c r="U2826" s="176"/>
      <c r="V2826" s="176"/>
      <c r="W2826" s="176"/>
      <c r="X2826" s="176"/>
      <c r="Y2826" s="176"/>
    </row>
    <row r="2827" spans="1:25">
      <c r="A2827" s="91"/>
      <c r="B2827" s="176"/>
      <c r="C2827" s="176"/>
      <c r="D2827" s="176"/>
      <c r="E2827" s="176"/>
      <c r="F2827" s="176"/>
      <c r="G2827" s="176"/>
      <c r="H2827" s="176"/>
      <c r="I2827" s="176"/>
      <c r="J2827" s="176"/>
      <c r="K2827" s="176"/>
      <c r="L2827" s="176"/>
      <c r="M2827" s="176"/>
      <c r="N2827" s="176"/>
      <c r="O2827" s="176"/>
      <c r="P2827" s="176"/>
      <c r="Q2827" s="176"/>
      <c r="R2827" s="176"/>
      <c r="S2827" s="176"/>
      <c r="T2827" s="176"/>
      <c r="U2827" s="176"/>
      <c r="V2827" s="176"/>
      <c r="W2827" s="176"/>
      <c r="X2827" s="176"/>
      <c r="Y2827" s="176"/>
    </row>
    <row r="2828" spans="1:25">
      <c r="A2828" s="91"/>
      <c r="B2828" s="176"/>
      <c r="C2828" s="176"/>
      <c r="D2828" s="176"/>
      <c r="E2828" s="176"/>
      <c r="F2828" s="176"/>
      <c r="G2828" s="176"/>
      <c r="H2828" s="176"/>
      <c r="I2828" s="176"/>
      <c r="J2828" s="176"/>
      <c r="K2828" s="176"/>
      <c r="L2828" s="176"/>
      <c r="M2828" s="176"/>
      <c r="N2828" s="176"/>
      <c r="O2828" s="176"/>
      <c r="P2828" s="176"/>
      <c r="Q2828" s="176"/>
      <c r="R2828" s="176"/>
      <c r="S2828" s="176"/>
      <c r="T2828" s="176"/>
      <c r="U2828" s="176"/>
      <c r="V2828" s="176"/>
      <c r="W2828" s="176"/>
      <c r="X2828" s="176"/>
      <c r="Y2828" s="176"/>
    </row>
    <row r="2829" spans="1:25">
      <c r="A2829" s="91"/>
      <c r="B2829" s="176"/>
      <c r="C2829" s="176"/>
      <c r="D2829" s="176"/>
      <c r="E2829" s="176"/>
      <c r="F2829" s="176"/>
      <c r="G2829" s="176"/>
      <c r="H2829" s="176"/>
      <c r="I2829" s="176"/>
      <c r="J2829" s="176"/>
      <c r="K2829" s="176"/>
      <c r="L2829" s="176"/>
      <c r="M2829" s="176"/>
      <c r="N2829" s="176"/>
      <c r="O2829" s="176"/>
      <c r="P2829" s="176"/>
      <c r="Q2829" s="176"/>
      <c r="R2829" s="176"/>
      <c r="S2829" s="176"/>
      <c r="T2829" s="176"/>
      <c r="U2829" s="176"/>
      <c r="V2829" s="176"/>
      <c r="W2829" s="176"/>
      <c r="X2829" s="176"/>
      <c r="Y2829" s="176"/>
    </row>
    <row r="2830" spans="1:25">
      <c r="A2830" s="91"/>
      <c r="B2830" s="176"/>
      <c r="C2830" s="176"/>
      <c r="D2830" s="176"/>
      <c r="E2830" s="176"/>
      <c r="F2830" s="176"/>
      <c r="G2830" s="176"/>
      <c r="H2830" s="176"/>
      <c r="I2830" s="176"/>
      <c r="J2830" s="176"/>
      <c r="K2830" s="176"/>
      <c r="L2830" s="176"/>
      <c r="M2830" s="176"/>
      <c r="N2830" s="176"/>
      <c r="O2830" s="176"/>
      <c r="P2830" s="176"/>
      <c r="Q2830" s="176"/>
      <c r="R2830" s="176"/>
      <c r="S2830" s="176"/>
      <c r="T2830" s="176"/>
      <c r="U2830" s="176"/>
      <c r="V2830" s="176"/>
      <c r="W2830" s="176"/>
      <c r="X2830" s="176"/>
      <c r="Y2830" s="176"/>
    </row>
    <row r="2831" spans="1:25">
      <c r="A2831" s="91"/>
      <c r="B2831" s="176"/>
      <c r="C2831" s="176"/>
      <c r="D2831" s="176"/>
      <c r="E2831" s="176"/>
      <c r="F2831" s="176"/>
      <c r="G2831" s="176"/>
      <c r="H2831" s="176"/>
      <c r="I2831" s="176"/>
      <c r="J2831" s="176"/>
      <c r="K2831" s="176"/>
      <c r="L2831" s="176"/>
      <c r="M2831" s="176"/>
      <c r="N2831" s="176"/>
      <c r="O2831" s="176"/>
      <c r="P2831" s="176"/>
      <c r="Q2831" s="176"/>
      <c r="R2831" s="176"/>
      <c r="S2831" s="176"/>
      <c r="T2831" s="176"/>
      <c r="U2831" s="176"/>
      <c r="V2831" s="176"/>
      <c r="W2831" s="176"/>
      <c r="X2831" s="176"/>
      <c r="Y2831" s="176"/>
    </row>
    <row r="2832" spans="1:25">
      <c r="A2832" s="91"/>
      <c r="B2832" s="176"/>
      <c r="C2832" s="176"/>
      <c r="D2832" s="176"/>
      <c r="E2832" s="176"/>
      <c r="F2832" s="176"/>
      <c r="G2832" s="176"/>
      <c r="H2832" s="176"/>
      <c r="I2832" s="176"/>
      <c r="J2832" s="176"/>
      <c r="K2832" s="176"/>
      <c r="L2832" s="176"/>
      <c r="M2832" s="176"/>
      <c r="N2832" s="176"/>
      <c r="O2832" s="176"/>
      <c r="P2832" s="176"/>
      <c r="Q2832" s="176"/>
      <c r="R2832" s="176"/>
      <c r="S2832" s="176"/>
      <c r="T2832" s="176"/>
      <c r="U2832" s="176"/>
      <c r="V2832" s="176"/>
      <c r="W2832" s="176"/>
      <c r="X2832" s="176"/>
      <c r="Y2832" s="176"/>
    </row>
    <row r="2833" spans="1:25">
      <c r="A2833" s="91"/>
      <c r="B2833" s="176"/>
      <c r="C2833" s="176"/>
      <c r="D2833" s="176"/>
      <c r="E2833" s="176"/>
      <c r="F2833" s="176"/>
      <c r="G2833" s="176"/>
      <c r="H2833" s="176"/>
      <c r="I2833" s="176"/>
      <c r="J2833" s="176"/>
      <c r="K2833" s="176"/>
      <c r="L2833" s="176"/>
      <c r="M2833" s="176"/>
      <c r="N2833" s="176"/>
      <c r="O2833" s="176"/>
      <c r="P2833" s="176"/>
      <c r="Q2833" s="176"/>
      <c r="R2833" s="176"/>
      <c r="S2833" s="176"/>
      <c r="T2833" s="176"/>
      <c r="U2833" s="176"/>
      <c r="V2833" s="176"/>
      <c r="W2833" s="176"/>
      <c r="X2833" s="176"/>
      <c r="Y2833" s="176"/>
    </row>
    <row r="2834" spans="1:25">
      <c r="A2834" s="91"/>
      <c r="B2834" s="176"/>
      <c r="C2834" s="176"/>
      <c r="D2834" s="176"/>
      <c r="E2834" s="176"/>
      <c r="F2834" s="176"/>
      <c r="G2834" s="176"/>
      <c r="H2834" s="176"/>
      <c r="I2834" s="176"/>
      <c r="J2834" s="176"/>
      <c r="K2834" s="176"/>
      <c r="L2834" s="176"/>
      <c r="M2834" s="176"/>
      <c r="N2834" s="176"/>
      <c r="O2834" s="176"/>
      <c r="P2834" s="176"/>
      <c r="Q2834" s="176"/>
      <c r="R2834" s="176"/>
      <c r="S2834" s="176"/>
      <c r="T2834" s="176"/>
      <c r="U2834" s="176"/>
      <c r="V2834" s="176"/>
      <c r="W2834" s="176"/>
      <c r="X2834" s="176"/>
      <c r="Y2834" s="176"/>
    </row>
    <row r="2835" spans="1:25">
      <c r="A2835" s="91"/>
      <c r="B2835" s="176"/>
      <c r="C2835" s="176"/>
      <c r="D2835" s="176"/>
      <c r="E2835" s="176"/>
      <c r="F2835" s="176"/>
      <c r="G2835" s="176"/>
      <c r="H2835" s="176"/>
      <c r="I2835" s="176"/>
      <c r="J2835" s="176"/>
      <c r="K2835" s="176"/>
      <c r="L2835" s="176"/>
      <c r="M2835" s="176"/>
      <c r="N2835" s="176"/>
      <c r="O2835" s="176"/>
      <c r="P2835" s="176"/>
      <c r="Q2835" s="176"/>
      <c r="R2835" s="176"/>
      <c r="S2835" s="176"/>
      <c r="T2835" s="176"/>
      <c r="U2835" s="176"/>
      <c r="V2835" s="176"/>
      <c r="W2835" s="176"/>
      <c r="X2835" s="176"/>
      <c r="Y2835" s="176"/>
    </row>
    <row r="2836" spans="1:25">
      <c r="A2836" s="91"/>
      <c r="B2836" s="176"/>
      <c r="C2836" s="176"/>
      <c r="D2836" s="176"/>
      <c r="E2836" s="176"/>
      <c r="F2836" s="176"/>
      <c r="G2836" s="176"/>
      <c r="H2836" s="176"/>
      <c r="I2836" s="176"/>
      <c r="J2836" s="176"/>
      <c r="K2836" s="176"/>
      <c r="L2836" s="176"/>
      <c r="M2836" s="176"/>
      <c r="N2836" s="176"/>
      <c r="O2836" s="176"/>
      <c r="P2836" s="176"/>
      <c r="Q2836" s="176"/>
      <c r="R2836" s="176"/>
      <c r="S2836" s="176"/>
      <c r="T2836" s="176"/>
      <c r="U2836" s="176"/>
      <c r="V2836" s="176"/>
      <c r="W2836" s="176"/>
      <c r="X2836" s="176"/>
      <c r="Y2836" s="176"/>
    </row>
    <row r="2837" spans="1:25">
      <c r="A2837" s="91"/>
      <c r="B2837" s="176"/>
      <c r="C2837" s="176"/>
      <c r="D2837" s="176"/>
      <c r="E2837" s="176"/>
      <c r="F2837" s="176"/>
      <c r="G2837" s="176"/>
      <c r="H2837" s="176"/>
      <c r="I2837" s="176"/>
      <c r="J2837" s="176"/>
      <c r="K2837" s="176"/>
      <c r="L2837" s="176"/>
      <c r="M2837" s="176"/>
      <c r="N2837" s="176"/>
      <c r="O2837" s="176"/>
      <c r="P2837" s="176"/>
      <c r="Q2837" s="176"/>
      <c r="R2837" s="176"/>
      <c r="S2837" s="176"/>
      <c r="T2837" s="176"/>
      <c r="U2837" s="176"/>
      <c r="V2837" s="176"/>
      <c r="W2837" s="176"/>
      <c r="X2837" s="176"/>
      <c r="Y2837" s="176"/>
    </row>
    <row r="2838" spans="1:25">
      <c r="A2838" s="91"/>
      <c r="B2838" s="176"/>
      <c r="C2838" s="176"/>
      <c r="D2838" s="176"/>
      <c r="E2838" s="176"/>
      <c r="F2838" s="176"/>
      <c r="G2838" s="176"/>
      <c r="H2838" s="176"/>
      <c r="I2838" s="176"/>
      <c r="J2838" s="176"/>
      <c r="K2838" s="176"/>
      <c r="L2838" s="176"/>
      <c r="M2838" s="176"/>
      <c r="N2838" s="176"/>
      <c r="O2838" s="176"/>
      <c r="P2838" s="176"/>
      <c r="Q2838" s="176"/>
      <c r="R2838" s="176"/>
      <c r="S2838" s="176"/>
      <c r="T2838" s="176"/>
      <c r="U2838" s="176"/>
      <c r="V2838" s="176"/>
      <c r="W2838" s="176"/>
      <c r="X2838" s="176"/>
      <c r="Y2838" s="176"/>
    </row>
    <row r="2839" spans="1:25">
      <c r="A2839" s="91"/>
      <c r="B2839" s="176"/>
      <c r="C2839" s="176"/>
      <c r="D2839" s="176"/>
      <c r="E2839" s="176"/>
      <c r="F2839" s="176"/>
      <c r="G2839" s="176"/>
      <c r="H2839" s="176"/>
      <c r="I2839" s="176"/>
      <c r="J2839" s="176"/>
      <c r="K2839" s="176"/>
      <c r="L2839" s="176"/>
      <c r="M2839" s="176"/>
      <c r="N2839" s="176"/>
      <c r="O2839" s="176"/>
      <c r="P2839" s="176"/>
      <c r="Q2839" s="176"/>
      <c r="R2839" s="176"/>
      <c r="S2839" s="176"/>
      <c r="T2839" s="176"/>
      <c r="U2839" s="176"/>
      <c r="V2839" s="176"/>
      <c r="W2839" s="176"/>
      <c r="X2839" s="176"/>
      <c r="Y2839" s="176"/>
    </row>
    <row r="2840" spans="1:25">
      <c r="A2840" s="91"/>
      <c r="B2840" s="176"/>
      <c r="C2840" s="176"/>
      <c r="D2840" s="176"/>
      <c r="E2840" s="176"/>
      <c r="F2840" s="176"/>
      <c r="G2840" s="176"/>
      <c r="H2840" s="176"/>
      <c r="I2840" s="176"/>
      <c r="J2840" s="176"/>
      <c r="K2840" s="176"/>
      <c r="L2840" s="176"/>
      <c r="M2840" s="176"/>
      <c r="N2840" s="176"/>
      <c r="O2840" s="176"/>
      <c r="P2840" s="176"/>
      <c r="Q2840" s="176"/>
      <c r="R2840" s="176"/>
      <c r="S2840" s="176"/>
      <c r="T2840" s="176"/>
      <c r="U2840" s="176"/>
      <c r="V2840" s="176"/>
      <c r="W2840" s="176"/>
      <c r="X2840" s="176"/>
      <c r="Y2840" s="176"/>
    </row>
    <row r="2841" spans="1:25">
      <c r="A2841" s="91"/>
      <c r="B2841" s="176"/>
      <c r="C2841" s="176"/>
      <c r="D2841" s="176"/>
      <c r="E2841" s="176"/>
      <c r="F2841" s="176"/>
      <c r="G2841" s="176"/>
      <c r="H2841" s="176"/>
      <c r="I2841" s="176"/>
      <c r="J2841" s="176"/>
      <c r="K2841" s="176"/>
      <c r="L2841" s="176"/>
      <c r="M2841" s="176"/>
      <c r="N2841" s="176"/>
      <c r="O2841" s="176"/>
      <c r="P2841" s="176"/>
      <c r="Q2841" s="176"/>
      <c r="R2841" s="176"/>
      <c r="S2841" s="176"/>
      <c r="T2841" s="176"/>
      <c r="U2841" s="176"/>
      <c r="V2841" s="176"/>
      <c r="W2841" s="176"/>
      <c r="X2841" s="176"/>
      <c r="Y2841" s="176"/>
    </row>
    <row r="2842" spans="1:25">
      <c r="A2842" s="91"/>
      <c r="B2842" s="176"/>
      <c r="C2842" s="176"/>
      <c r="D2842" s="176"/>
      <c r="E2842" s="176"/>
      <c r="F2842" s="176"/>
      <c r="G2842" s="176"/>
      <c r="H2842" s="176"/>
      <c r="I2842" s="176"/>
      <c r="J2842" s="176"/>
      <c r="K2842" s="176"/>
      <c r="L2842" s="176"/>
      <c r="M2842" s="176"/>
      <c r="N2842" s="176"/>
      <c r="O2842" s="176"/>
      <c r="P2842" s="176"/>
      <c r="Q2842" s="176"/>
      <c r="R2842" s="176"/>
      <c r="S2842" s="176"/>
      <c r="T2842" s="176"/>
      <c r="U2842" s="176"/>
      <c r="V2842" s="176"/>
      <c r="W2842" s="176"/>
      <c r="X2842" s="176"/>
      <c r="Y2842" s="176"/>
    </row>
    <row r="2843" spans="1:25">
      <c r="A2843" s="91"/>
      <c r="B2843" s="176"/>
      <c r="C2843" s="176"/>
      <c r="D2843" s="176"/>
      <c r="E2843" s="176"/>
      <c r="F2843" s="176"/>
      <c r="G2843" s="176"/>
      <c r="H2843" s="176"/>
      <c r="I2843" s="176"/>
      <c r="J2843" s="176"/>
      <c r="K2843" s="176"/>
      <c r="L2843" s="176"/>
      <c r="M2843" s="176"/>
      <c r="N2843" s="176"/>
      <c r="O2843" s="176"/>
      <c r="P2843" s="176"/>
      <c r="Q2843" s="176"/>
      <c r="R2843" s="176"/>
      <c r="S2843" s="176"/>
      <c r="T2843" s="176"/>
      <c r="U2843" s="176"/>
      <c r="V2843" s="176"/>
      <c r="W2843" s="176"/>
      <c r="X2843" s="176"/>
      <c r="Y2843" s="176"/>
    </row>
    <row r="2844" spans="1:25">
      <c r="A2844" s="91"/>
      <c r="B2844" s="176"/>
      <c r="C2844" s="176"/>
      <c r="D2844" s="176"/>
      <c r="E2844" s="176"/>
      <c r="F2844" s="176"/>
      <c r="G2844" s="176"/>
      <c r="H2844" s="176"/>
      <c r="I2844" s="176"/>
      <c r="J2844" s="176"/>
      <c r="K2844" s="176"/>
      <c r="L2844" s="176"/>
      <c r="M2844" s="176"/>
      <c r="N2844" s="176"/>
      <c r="O2844" s="176"/>
      <c r="P2844" s="176"/>
      <c r="Q2844" s="176"/>
      <c r="R2844" s="176"/>
      <c r="S2844" s="176"/>
      <c r="T2844" s="176"/>
      <c r="U2844" s="176"/>
      <c r="V2844" s="176"/>
      <c r="W2844" s="176"/>
      <c r="X2844" s="176"/>
      <c r="Y2844" s="176"/>
    </row>
    <row r="2845" spans="1:25">
      <c r="A2845" s="91"/>
      <c r="B2845" s="176"/>
      <c r="C2845" s="176"/>
      <c r="D2845" s="176"/>
      <c r="E2845" s="176"/>
      <c r="F2845" s="176"/>
      <c r="G2845" s="176"/>
      <c r="H2845" s="176"/>
      <c r="I2845" s="176"/>
      <c r="J2845" s="176"/>
      <c r="K2845" s="176"/>
      <c r="L2845" s="176"/>
      <c r="M2845" s="176"/>
      <c r="N2845" s="176"/>
      <c r="O2845" s="176"/>
      <c r="P2845" s="176"/>
      <c r="Q2845" s="176"/>
      <c r="R2845" s="176"/>
      <c r="S2845" s="176"/>
      <c r="T2845" s="176"/>
      <c r="U2845" s="176"/>
      <c r="V2845" s="176"/>
      <c r="W2845" s="176"/>
      <c r="X2845" s="176"/>
      <c r="Y2845" s="176"/>
    </row>
    <row r="2846" spans="1:25">
      <c r="A2846" s="91"/>
      <c r="B2846" s="176"/>
      <c r="C2846" s="176"/>
      <c r="D2846" s="176"/>
      <c r="E2846" s="176"/>
      <c r="F2846" s="176"/>
      <c r="G2846" s="176"/>
      <c r="H2846" s="176"/>
      <c r="I2846" s="176"/>
      <c r="J2846" s="176"/>
      <c r="K2846" s="176"/>
      <c r="L2846" s="176"/>
      <c r="M2846" s="176"/>
      <c r="N2846" s="176"/>
      <c r="O2846" s="176"/>
      <c r="P2846" s="176"/>
      <c r="Q2846" s="176"/>
      <c r="R2846" s="176"/>
      <c r="S2846" s="176"/>
      <c r="T2846" s="176"/>
      <c r="U2846" s="176"/>
      <c r="V2846" s="176"/>
      <c r="W2846" s="176"/>
      <c r="X2846" s="176"/>
      <c r="Y2846" s="176"/>
    </row>
    <row r="2847" spans="1:25">
      <c r="A2847" s="91"/>
      <c r="B2847" s="176"/>
      <c r="C2847" s="176"/>
      <c r="D2847" s="176"/>
      <c r="E2847" s="176"/>
      <c r="F2847" s="176"/>
      <c r="G2847" s="176"/>
      <c r="H2847" s="176"/>
      <c r="I2847" s="176"/>
      <c r="J2847" s="176"/>
      <c r="K2847" s="176"/>
      <c r="L2847" s="176"/>
      <c r="M2847" s="176"/>
      <c r="N2847" s="176"/>
      <c r="O2847" s="176"/>
      <c r="P2847" s="176"/>
      <c r="Q2847" s="176"/>
      <c r="R2847" s="176"/>
      <c r="S2847" s="176"/>
      <c r="T2847" s="176"/>
      <c r="U2847" s="176"/>
      <c r="V2847" s="176"/>
      <c r="W2847" s="176"/>
      <c r="X2847" s="176"/>
      <c r="Y2847" s="176"/>
    </row>
    <row r="2848" spans="1:25">
      <c r="A2848" s="91"/>
      <c r="B2848" s="176"/>
      <c r="C2848" s="176"/>
      <c r="D2848" s="176"/>
      <c r="E2848" s="176"/>
      <c r="F2848" s="176"/>
      <c r="G2848" s="176"/>
      <c r="H2848" s="176"/>
      <c r="I2848" s="176"/>
      <c r="J2848" s="176"/>
      <c r="K2848" s="176"/>
      <c r="L2848" s="176"/>
      <c r="M2848" s="176"/>
      <c r="N2848" s="176"/>
      <c r="O2848" s="176"/>
      <c r="P2848" s="176"/>
      <c r="Q2848" s="176"/>
      <c r="R2848" s="176"/>
      <c r="S2848" s="176"/>
      <c r="T2848" s="176"/>
      <c r="U2848" s="176"/>
      <c r="V2848" s="176"/>
      <c r="W2848" s="176"/>
      <c r="X2848" s="176"/>
      <c r="Y2848" s="176"/>
    </row>
    <row r="2849" spans="1:25">
      <c r="A2849" s="91"/>
      <c r="B2849" s="176"/>
      <c r="C2849" s="176"/>
      <c r="D2849" s="176"/>
      <c r="E2849" s="176"/>
      <c r="F2849" s="176"/>
      <c r="G2849" s="176"/>
      <c r="H2849" s="176"/>
      <c r="I2849" s="176"/>
      <c r="J2849" s="176"/>
      <c r="K2849" s="176"/>
      <c r="L2849" s="176"/>
      <c r="M2849" s="176"/>
      <c r="N2849" s="176"/>
      <c r="O2849" s="176"/>
      <c r="P2849" s="176"/>
      <c r="Q2849" s="176"/>
      <c r="R2849" s="176"/>
      <c r="S2849" s="176"/>
      <c r="T2849" s="176"/>
      <c r="U2849" s="176"/>
      <c r="V2849" s="176"/>
      <c r="W2849" s="176"/>
      <c r="X2849" s="176"/>
      <c r="Y2849" s="176"/>
    </row>
    <row r="2850" spans="1:25">
      <c r="A2850" s="91"/>
      <c r="B2850" s="176"/>
      <c r="C2850" s="176"/>
      <c r="D2850" s="176"/>
      <c r="E2850" s="176"/>
      <c r="F2850" s="176"/>
      <c r="G2850" s="176"/>
      <c r="H2850" s="176"/>
      <c r="I2850" s="176"/>
      <c r="J2850" s="176"/>
      <c r="K2850" s="176"/>
      <c r="L2850" s="176"/>
      <c r="M2850" s="176"/>
      <c r="N2850" s="176"/>
      <c r="O2850" s="176"/>
      <c r="P2850" s="176"/>
      <c r="Q2850" s="176"/>
      <c r="R2850" s="176"/>
      <c r="S2850" s="176"/>
      <c r="T2850" s="176"/>
      <c r="U2850" s="176"/>
      <c r="V2850" s="176"/>
      <c r="W2850" s="176"/>
      <c r="X2850" s="176"/>
      <c r="Y2850" s="176"/>
    </row>
    <row r="2851" spans="1:25">
      <c r="A2851" s="91"/>
      <c r="B2851" s="176"/>
      <c r="C2851" s="176"/>
      <c r="D2851" s="176"/>
      <c r="E2851" s="176"/>
      <c r="F2851" s="176"/>
      <c r="G2851" s="176"/>
      <c r="H2851" s="176"/>
      <c r="I2851" s="176"/>
      <c r="J2851" s="176"/>
      <c r="K2851" s="176"/>
      <c r="L2851" s="176"/>
      <c r="M2851" s="176"/>
      <c r="N2851" s="176"/>
      <c r="O2851" s="176"/>
      <c r="P2851" s="176"/>
      <c r="Q2851" s="176"/>
      <c r="R2851" s="176"/>
      <c r="S2851" s="176"/>
      <c r="T2851" s="176"/>
      <c r="U2851" s="176"/>
      <c r="V2851" s="176"/>
      <c r="W2851" s="176"/>
      <c r="X2851" s="176"/>
      <c r="Y2851" s="176"/>
    </row>
    <row r="2852" spans="1:25">
      <c r="A2852" s="91"/>
      <c r="B2852" s="176"/>
      <c r="C2852" s="176"/>
      <c r="D2852" s="176"/>
      <c r="E2852" s="176"/>
      <c r="F2852" s="176"/>
      <c r="G2852" s="176"/>
      <c r="H2852" s="176"/>
      <c r="I2852" s="176"/>
      <c r="J2852" s="176"/>
      <c r="K2852" s="176"/>
      <c r="L2852" s="176"/>
      <c r="M2852" s="176"/>
      <c r="N2852" s="176"/>
      <c r="O2852" s="176"/>
      <c r="P2852" s="176"/>
      <c r="Q2852" s="176"/>
      <c r="R2852" s="176"/>
      <c r="S2852" s="176"/>
      <c r="T2852" s="176"/>
      <c r="U2852" s="176"/>
      <c r="V2852" s="176"/>
      <c r="W2852" s="176"/>
      <c r="X2852" s="176"/>
      <c r="Y2852" s="176"/>
    </row>
    <row r="2853" spans="1:25">
      <c r="A2853" s="91"/>
      <c r="B2853" s="176"/>
      <c r="C2853" s="176"/>
      <c r="D2853" s="176"/>
      <c r="E2853" s="176"/>
      <c r="F2853" s="176"/>
      <c r="G2853" s="176"/>
      <c r="H2853" s="176"/>
      <c r="I2853" s="176"/>
      <c r="J2853" s="176"/>
      <c r="K2853" s="176"/>
      <c r="L2853" s="176"/>
      <c r="M2853" s="176"/>
      <c r="N2853" s="176"/>
      <c r="O2853" s="176"/>
      <c r="P2853" s="176"/>
      <c r="Q2853" s="176"/>
      <c r="R2853" s="176"/>
      <c r="S2853" s="176"/>
      <c r="T2853" s="176"/>
      <c r="U2853" s="176"/>
      <c r="V2853" s="176"/>
      <c r="W2853" s="176"/>
      <c r="X2853" s="176"/>
      <c r="Y2853" s="176"/>
    </row>
    <row r="2854" spans="1:25">
      <c r="A2854" s="91"/>
      <c r="B2854" s="176"/>
      <c r="C2854" s="176"/>
      <c r="D2854" s="176"/>
      <c r="E2854" s="176"/>
      <c r="F2854" s="176"/>
      <c r="G2854" s="176"/>
      <c r="H2854" s="176"/>
      <c r="I2854" s="176"/>
      <c r="J2854" s="176"/>
      <c r="K2854" s="176"/>
      <c r="L2854" s="176"/>
      <c r="M2854" s="176"/>
      <c r="N2854" s="176"/>
      <c r="O2854" s="176"/>
      <c r="P2854" s="176"/>
      <c r="Q2854" s="176"/>
      <c r="R2854" s="176"/>
      <c r="S2854" s="176"/>
      <c r="T2854" s="176"/>
      <c r="U2854" s="176"/>
      <c r="V2854" s="176"/>
      <c r="W2854" s="176"/>
      <c r="X2854" s="176"/>
      <c r="Y2854" s="176"/>
    </row>
    <row r="2855" spans="1:25">
      <c r="A2855" s="91"/>
      <c r="B2855" s="176"/>
      <c r="C2855" s="176"/>
      <c r="D2855" s="176"/>
      <c r="E2855" s="176"/>
      <c r="F2855" s="176"/>
      <c r="G2855" s="176"/>
      <c r="H2855" s="176"/>
      <c r="I2855" s="176"/>
      <c r="J2855" s="176"/>
      <c r="K2855" s="176"/>
      <c r="L2855" s="176"/>
      <c r="M2855" s="176"/>
      <c r="N2855" s="176"/>
      <c r="O2855" s="176"/>
      <c r="P2855" s="176"/>
      <c r="Q2855" s="176"/>
      <c r="R2855" s="176"/>
      <c r="S2855" s="176"/>
      <c r="T2855" s="176"/>
      <c r="U2855" s="176"/>
      <c r="V2855" s="176"/>
      <c r="W2855" s="176"/>
      <c r="X2855" s="176"/>
      <c r="Y2855" s="176"/>
    </row>
    <row r="2856" spans="1:25">
      <c r="A2856" s="91"/>
      <c r="B2856" s="176"/>
      <c r="C2856" s="176"/>
      <c r="D2856" s="176"/>
      <c r="E2856" s="176"/>
      <c r="F2856" s="176"/>
      <c r="G2856" s="176"/>
      <c r="H2856" s="176"/>
      <c r="I2856" s="176"/>
      <c r="J2856" s="176"/>
      <c r="K2856" s="176"/>
      <c r="L2856" s="176"/>
      <c r="M2856" s="176"/>
      <c r="N2856" s="176"/>
      <c r="O2856" s="176"/>
      <c r="P2856" s="176"/>
      <c r="Q2856" s="176"/>
      <c r="R2856" s="176"/>
      <c r="S2856" s="176"/>
      <c r="T2856" s="176"/>
      <c r="U2856" s="176"/>
      <c r="V2856" s="176"/>
      <c r="W2856" s="176"/>
      <c r="X2856" s="176"/>
      <c r="Y2856" s="176"/>
    </row>
    <row r="2857" spans="1:25">
      <c r="A2857" s="91"/>
      <c r="B2857" s="176"/>
      <c r="C2857" s="176"/>
      <c r="D2857" s="176"/>
      <c r="E2857" s="176"/>
      <c r="F2857" s="176"/>
      <c r="G2857" s="176"/>
      <c r="H2857" s="176"/>
      <c r="I2857" s="176"/>
      <c r="J2857" s="176"/>
      <c r="K2857" s="176"/>
      <c r="L2857" s="176"/>
      <c r="M2857" s="176"/>
      <c r="N2857" s="176"/>
      <c r="O2857" s="176"/>
      <c r="P2857" s="176"/>
      <c r="Q2857" s="176"/>
      <c r="R2857" s="176"/>
      <c r="S2857" s="176"/>
      <c r="T2857" s="176"/>
      <c r="U2857" s="176"/>
      <c r="V2857" s="176"/>
      <c r="W2857" s="176"/>
      <c r="X2857" s="176"/>
      <c r="Y2857" s="176"/>
    </row>
    <row r="2858" spans="1:25">
      <c r="A2858" s="91"/>
      <c r="B2858" s="176"/>
      <c r="C2858" s="176"/>
      <c r="D2858" s="176"/>
      <c r="E2858" s="176"/>
      <c r="F2858" s="176"/>
      <c r="G2858" s="176"/>
      <c r="H2858" s="176"/>
      <c r="I2858" s="176"/>
      <c r="J2858" s="176"/>
      <c r="K2858" s="176"/>
      <c r="L2858" s="176"/>
      <c r="M2858" s="176"/>
      <c r="N2858" s="176"/>
      <c r="O2858" s="176"/>
      <c r="P2858" s="176"/>
      <c r="Q2858" s="176"/>
      <c r="R2858" s="176"/>
      <c r="S2858" s="176"/>
      <c r="T2858" s="176"/>
      <c r="U2858" s="176"/>
      <c r="V2858" s="176"/>
      <c r="W2858" s="176"/>
      <c r="X2858" s="176"/>
      <c r="Y2858" s="176"/>
    </row>
    <row r="2859" spans="1:25">
      <c r="A2859" s="91"/>
      <c r="B2859" s="176"/>
      <c r="C2859" s="176"/>
      <c r="D2859" s="176"/>
      <c r="E2859" s="176"/>
      <c r="F2859" s="176"/>
      <c r="G2859" s="176"/>
      <c r="H2859" s="176"/>
      <c r="I2859" s="176"/>
      <c r="J2859" s="176"/>
      <c r="K2859" s="176"/>
      <c r="L2859" s="176"/>
      <c r="M2859" s="176"/>
      <c r="N2859" s="176"/>
      <c r="O2859" s="176"/>
      <c r="P2859" s="176"/>
      <c r="Q2859" s="176"/>
      <c r="R2859" s="176"/>
      <c r="S2859" s="176"/>
      <c r="T2859" s="176"/>
      <c r="U2859" s="176"/>
      <c r="V2859" s="176"/>
      <c r="W2859" s="176"/>
      <c r="X2859" s="176"/>
      <c r="Y2859" s="176"/>
    </row>
    <row r="2860" spans="1:25">
      <c r="A2860" s="91"/>
      <c r="B2860" s="176"/>
      <c r="C2860" s="176"/>
      <c r="D2860" s="176"/>
      <c r="E2860" s="176"/>
      <c r="F2860" s="176"/>
      <c r="G2860" s="176"/>
      <c r="H2860" s="176"/>
      <c r="I2860" s="176"/>
      <c r="J2860" s="176"/>
      <c r="K2860" s="176"/>
      <c r="L2860" s="176"/>
      <c r="M2860" s="176"/>
      <c r="N2860" s="176"/>
      <c r="O2860" s="176"/>
      <c r="P2860" s="176"/>
      <c r="Q2860" s="176"/>
      <c r="R2860" s="176"/>
      <c r="S2860" s="176"/>
      <c r="T2860" s="176"/>
      <c r="U2860" s="176"/>
      <c r="V2860" s="176"/>
      <c r="W2860" s="176"/>
      <c r="X2860" s="176"/>
      <c r="Y2860" s="176"/>
    </row>
    <row r="2861" spans="1:25">
      <c r="A2861" s="91"/>
      <c r="B2861" s="176"/>
      <c r="C2861" s="176"/>
      <c r="D2861" s="176"/>
      <c r="E2861" s="176"/>
      <c r="F2861" s="176"/>
      <c r="G2861" s="176"/>
      <c r="H2861" s="176"/>
      <c r="I2861" s="176"/>
      <c r="J2861" s="176"/>
      <c r="K2861" s="176"/>
      <c r="L2861" s="176"/>
      <c r="M2861" s="176"/>
      <c r="N2861" s="176"/>
      <c r="O2861" s="176"/>
      <c r="P2861" s="176"/>
      <c r="Q2861" s="176"/>
      <c r="R2861" s="176"/>
      <c r="S2861" s="176"/>
      <c r="T2861" s="176"/>
      <c r="U2861" s="176"/>
      <c r="V2861" s="176"/>
      <c r="W2861" s="176"/>
      <c r="X2861" s="176"/>
      <c r="Y2861" s="176"/>
    </row>
    <row r="2862" spans="1:25">
      <c r="A2862" s="91"/>
      <c r="B2862" s="176"/>
      <c r="C2862" s="176"/>
      <c r="D2862" s="176"/>
      <c r="E2862" s="176"/>
      <c r="F2862" s="176"/>
      <c r="G2862" s="176"/>
      <c r="H2862" s="176"/>
      <c r="I2862" s="176"/>
      <c r="J2862" s="176"/>
      <c r="K2862" s="176"/>
      <c r="L2862" s="176"/>
      <c r="M2862" s="176"/>
      <c r="N2862" s="176"/>
      <c r="O2862" s="176"/>
      <c r="P2862" s="176"/>
      <c r="Q2862" s="176"/>
      <c r="R2862" s="176"/>
      <c r="S2862" s="176"/>
      <c r="T2862" s="176"/>
      <c r="U2862" s="176"/>
      <c r="V2862" s="176"/>
      <c r="W2862" s="176"/>
      <c r="X2862" s="176"/>
      <c r="Y2862" s="176"/>
    </row>
    <row r="2863" spans="1:25">
      <c r="A2863" s="91"/>
      <c r="B2863" s="176"/>
      <c r="C2863" s="176"/>
      <c r="D2863" s="176"/>
      <c r="E2863" s="176"/>
      <c r="F2863" s="176"/>
      <c r="G2863" s="176"/>
      <c r="H2863" s="176"/>
      <c r="I2863" s="176"/>
      <c r="J2863" s="176"/>
      <c r="K2863" s="176"/>
      <c r="L2863" s="176"/>
      <c r="M2863" s="176"/>
      <c r="N2863" s="176"/>
      <c r="O2863" s="176"/>
      <c r="P2863" s="176"/>
      <c r="Q2863" s="176"/>
      <c r="R2863" s="176"/>
      <c r="S2863" s="176"/>
      <c r="T2863" s="176"/>
      <c r="U2863" s="176"/>
      <c r="V2863" s="176"/>
      <c r="W2863" s="176"/>
      <c r="X2863" s="176"/>
      <c r="Y2863" s="176"/>
    </row>
    <row r="2864" spans="1:25">
      <c r="A2864" s="91"/>
      <c r="B2864" s="176"/>
      <c r="C2864" s="176"/>
      <c r="D2864" s="176"/>
      <c r="E2864" s="176"/>
      <c r="F2864" s="176"/>
      <c r="G2864" s="176"/>
      <c r="H2864" s="176"/>
      <c r="I2864" s="176"/>
      <c r="J2864" s="176"/>
      <c r="K2864" s="176"/>
      <c r="L2864" s="176"/>
      <c r="M2864" s="176"/>
      <c r="N2864" s="176"/>
      <c r="O2864" s="176"/>
      <c r="P2864" s="176"/>
      <c r="Q2864" s="176"/>
      <c r="R2864" s="176"/>
      <c r="S2864" s="176"/>
      <c r="T2864" s="176"/>
      <c r="U2864" s="176"/>
      <c r="V2864" s="176"/>
      <c r="W2864" s="176"/>
      <c r="X2864" s="176"/>
      <c r="Y2864" s="176"/>
    </row>
    <row r="2865" spans="1:25">
      <c r="A2865" s="91"/>
      <c r="B2865" s="176"/>
      <c r="C2865" s="176"/>
      <c r="D2865" s="176"/>
      <c r="E2865" s="176"/>
      <c r="F2865" s="176"/>
      <c r="G2865" s="176"/>
      <c r="H2865" s="176"/>
      <c r="I2865" s="176"/>
      <c r="J2865" s="176"/>
      <c r="K2865" s="176"/>
      <c r="L2865" s="176"/>
      <c r="M2865" s="176"/>
      <c r="N2865" s="176"/>
      <c r="O2865" s="176"/>
      <c r="P2865" s="176"/>
      <c r="Q2865" s="176"/>
      <c r="R2865" s="176"/>
      <c r="S2865" s="176"/>
      <c r="T2865" s="176"/>
      <c r="U2865" s="176"/>
      <c r="V2865" s="176"/>
      <c r="W2865" s="176"/>
      <c r="X2865" s="176"/>
      <c r="Y2865" s="176"/>
    </row>
    <row r="2866" spans="1:25">
      <c r="A2866" s="91"/>
      <c r="B2866" s="176"/>
      <c r="C2866" s="176"/>
      <c r="D2866" s="176"/>
      <c r="E2866" s="176"/>
      <c r="F2866" s="176"/>
      <c r="G2866" s="176"/>
      <c r="H2866" s="176"/>
      <c r="I2866" s="176"/>
      <c r="J2866" s="176"/>
      <c r="K2866" s="176"/>
      <c r="L2866" s="176"/>
      <c r="M2866" s="176"/>
      <c r="N2866" s="176"/>
      <c r="O2866" s="176"/>
      <c r="P2866" s="176"/>
      <c r="Q2866" s="176"/>
      <c r="R2866" s="176"/>
      <c r="S2866" s="176"/>
      <c r="T2866" s="176"/>
      <c r="U2866" s="176"/>
      <c r="V2866" s="176"/>
      <c r="W2866" s="176"/>
      <c r="X2866" s="176"/>
      <c r="Y2866" s="176"/>
    </row>
    <row r="2867" spans="1:25">
      <c r="A2867" s="91"/>
      <c r="B2867" s="176"/>
      <c r="C2867" s="176"/>
      <c r="D2867" s="176"/>
      <c r="E2867" s="176"/>
      <c r="F2867" s="176"/>
      <c r="G2867" s="176"/>
      <c r="H2867" s="176"/>
      <c r="I2867" s="176"/>
      <c r="J2867" s="176"/>
      <c r="K2867" s="176"/>
      <c r="L2867" s="176"/>
      <c r="M2867" s="176"/>
      <c r="N2867" s="176"/>
      <c r="O2867" s="176"/>
      <c r="P2867" s="176"/>
      <c r="Q2867" s="176"/>
      <c r="R2867" s="176"/>
      <c r="S2867" s="176"/>
      <c r="T2867" s="176"/>
      <c r="U2867" s="176"/>
      <c r="V2867" s="176"/>
      <c r="W2867" s="176"/>
      <c r="X2867" s="176"/>
      <c r="Y2867" s="176"/>
    </row>
    <row r="2868" spans="1:25">
      <c r="A2868" s="91"/>
      <c r="B2868" s="176"/>
      <c r="C2868" s="176"/>
      <c r="D2868" s="176"/>
      <c r="E2868" s="176"/>
      <c r="F2868" s="176"/>
      <c r="G2868" s="176"/>
      <c r="H2868" s="176"/>
      <c r="I2868" s="176"/>
      <c r="J2868" s="176"/>
      <c r="K2868" s="176"/>
      <c r="L2868" s="176"/>
      <c r="M2868" s="176"/>
      <c r="N2868" s="176"/>
      <c r="O2868" s="176"/>
      <c r="P2868" s="176"/>
      <c r="Q2868" s="176"/>
      <c r="R2868" s="176"/>
      <c r="S2868" s="176"/>
      <c r="T2868" s="176"/>
      <c r="U2868" s="176"/>
      <c r="V2868" s="176"/>
      <c r="W2868" s="176"/>
      <c r="X2868" s="176"/>
      <c r="Y2868" s="176"/>
    </row>
    <row r="2869" spans="1:25">
      <c r="A2869" s="91"/>
      <c r="B2869" s="176"/>
      <c r="C2869" s="176"/>
      <c r="D2869" s="176"/>
      <c r="E2869" s="176"/>
      <c r="F2869" s="176"/>
      <c r="G2869" s="176"/>
      <c r="H2869" s="176"/>
      <c r="I2869" s="176"/>
      <c r="J2869" s="176"/>
      <c r="K2869" s="176"/>
      <c r="L2869" s="176"/>
      <c r="M2869" s="176"/>
      <c r="N2869" s="176"/>
      <c r="O2869" s="176"/>
      <c r="P2869" s="176"/>
      <c r="Q2869" s="176"/>
      <c r="R2869" s="176"/>
      <c r="S2869" s="176"/>
      <c r="T2869" s="176"/>
      <c r="U2869" s="176"/>
      <c r="V2869" s="176"/>
      <c r="W2869" s="176"/>
      <c r="X2869" s="176"/>
      <c r="Y2869" s="176"/>
    </row>
    <row r="2870" spans="1:25">
      <c r="A2870" s="91"/>
      <c r="B2870" s="176"/>
      <c r="C2870" s="176"/>
      <c r="D2870" s="176"/>
      <c r="E2870" s="176"/>
      <c r="F2870" s="176"/>
      <c r="G2870" s="176"/>
      <c r="H2870" s="176"/>
      <c r="I2870" s="176"/>
      <c r="J2870" s="176"/>
      <c r="K2870" s="176"/>
      <c r="L2870" s="176"/>
      <c r="M2870" s="176"/>
      <c r="N2870" s="176"/>
      <c r="O2870" s="176"/>
      <c r="P2870" s="176"/>
      <c r="Q2870" s="176"/>
      <c r="R2870" s="176"/>
      <c r="S2870" s="176"/>
      <c r="T2870" s="176"/>
      <c r="U2870" s="176"/>
      <c r="V2870" s="176"/>
      <c r="W2870" s="176"/>
      <c r="X2870" s="176"/>
      <c r="Y2870" s="176"/>
    </row>
    <row r="2871" spans="1:25">
      <c r="A2871" s="91"/>
      <c r="B2871" s="176"/>
      <c r="C2871" s="176"/>
      <c r="D2871" s="176"/>
      <c r="E2871" s="176"/>
      <c r="F2871" s="176"/>
      <c r="G2871" s="176"/>
      <c r="H2871" s="176"/>
      <c r="I2871" s="176"/>
      <c r="J2871" s="176"/>
      <c r="K2871" s="176"/>
      <c r="L2871" s="176"/>
      <c r="M2871" s="176"/>
      <c r="N2871" s="176"/>
      <c r="O2871" s="176"/>
      <c r="P2871" s="176"/>
      <c r="Q2871" s="176"/>
      <c r="R2871" s="176"/>
      <c r="S2871" s="176"/>
      <c r="T2871" s="176"/>
      <c r="U2871" s="176"/>
      <c r="V2871" s="176"/>
      <c r="W2871" s="176"/>
      <c r="X2871" s="176"/>
      <c r="Y2871" s="176"/>
    </row>
    <row r="2872" spans="1:25">
      <c r="A2872" s="91"/>
      <c r="B2872" s="176"/>
      <c r="C2872" s="176"/>
      <c r="D2872" s="176"/>
      <c r="E2872" s="176"/>
      <c r="F2872" s="176"/>
      <c r="G2872" s="176"/>
      <c r="H2872" s="176"/>
      <c r="I2872" s="176"/>
      <c r="J2872" s="176"/>
      <c r="K2872" s="176"/>
      <c r="L2872" s="176"/>
      <c r="M2872" s="176"/>
      <c r="N2872" s="176"/>
      <c r="O2872" s="176"/>
      <c r="P2872" s="176"/>
      <c r="Q2872" s="176"/>
      <c r="R2872" s="176"/>
      <c r="S2872" s="176"/>
      <c r="T2872" s="176"/>
      <c r="U2872" s="176"/>
      <c r="V2872" s="176"/>
      <c r="W2872" s="176"/>
      <c r="X2872" s="176"/>
      <c r="Y2872" s="176"/>
    </row>
    <row r="2873" spans="1:25">
      <c r="A2873" s="91"/>
      <c r="B2873" s="176"/>
      <c r="C2873" s="176"/>
      <c r="D2873" s="176"/>
      <c r="E2873" s="176"/>
      <c r="F2873" s="176"/>
      <c r="G2873" s="176"/>
      <c r="H2873" s="176"/>
      <c r="I2873" s="176"/>
      <c r="J2873" s="176"/>
      <c r="K2873" s="176"/>
      <c r="L2873" s="176"/>
      <c r="M2873" s="176"/>
      <c r="N2873" s="176"/>
      <c r="O2873" s="176"/>
      <c r="P2873" s="176"/>
      <c r="Q2873" s="176"/>
      <c r="R2873" s="176"/>
      <c r="S2873" s="176"/>
      <c r="T2873" s="176"/>
      <c r="U2873" s="176"/>
      <c r="V2873" s="176"/>
      <c r="W2873" s="176"/>
      <c r="X2873" s="176"/>
      <c r="Y2873" s="176"/>
    </row>
    <row r="2874" spans="1:25">
      <c r="A2874" s="91"/>
      <c r="B2874" s="176"/>
      <c r="C2874" s="176"/>
      <c r="D2874" s="176"/>
      <c r="E2874" s="176"/>
      <c r="F2874" s="176"/>
      <c r="G2874" s="176"/>
      <c r="H2874" s="176"/>
      <c r="I2874" s="176"/>
      <c r="J2874" s="176"/>
      <c r="K2874" s="176"/>
      <c r="L2874" s="176"/>
      <c r="M2874" s="176"/>
      <c r="N2874" s="176"/>
      <c r="O2874" s="176"/>
      <c r="P2874" s="176"/>
      <c r="Q2874" s="176"/>
      <c r="R2874" s="176"/>
      <c r="S2874" s="176"/>
      <c r="T2874" s="176"/>
      <c r="U2874" s="176"/>
      <c r="V2874" s="176"/>
      <c r="W2874" s="176"/>
      <c r="X2874" s="176"/>
      <c r="Y2874" s="176"/>
    </row>
    <row r="2875" spans="1:25">
      <c r="A2875" s="91"/>
      <c r="B2875" s="176"/>
      <c r="C2875" s="176"/>
      <c r="D2875" s="176"/>
      <c r="E2875" s="176"/>
      <c r="F2875" s="176"/>
      <c r="G2875" s="176"/>
      <c r="H2875" s="176"/>
      <c r="I2875" s="176"/>
      <c r="J2875" s="176"/>
      <c r="K2875" s="176"/>
      <c r="L2875" s="176"/>
      <c r="M2875" s="176"/>
      <c r="N2875" s="176"/>
      <c r="O2875" s="176"/>
      <c r="P2875" s="176"/>
      <c r="Q2875" s="176"/>
      <c r="R2875" s="176"/>
      <c r="S2875" s="176"/>
      <c r="T2875" s="176"/>
      <c r="U2875" s="176"/>
      <c r="V2875" s="176"/>
      <c r="W2875" s="176"/>
      <c r="X2875" s="176"/>
      <c r="Y2875" s="176"/>
    </row>
    <row r="2876" spans="1:25">
      <c r="A2876" s="91"/>
      <c r="B2876" s="176"/>
      <c r="C2876" s="176"/>
      <c r="D2876" s="176"/>
      <c r="E2876" s="176"/>
      <c r="F2876" s="176"/>
      <c r="G2876" s="176"/>
      <c r="H2876" s="176"/>
      <c r="I2876" s="176"/>
      <c r="J2876" s="176"/>
      <c r="K2876" s="176"/>
      <c r="L2876" s="176"/>
      <c r="M2876" s="176"/>
      <c r="N2876" s="176"/>
      <c r="O2876" s="176"/>
      <c r="P2876" s="176"/>
      <c r="Q2876" s="176"/>
      <c r="R2876" s="176"/>
      <c r="S2876" s="176"/>
      <c r="T2876" s="176"/>
      <c r="U2876" s="176"/>
      <c r="V2876" s="176"/>
      <c r="W2876" s="176"/>
      <c r="X2876" s="176"/>
      <c r="Y2876" s="176"/>
    </row>
    <row r="2877" spans="1:25">
      <c r="A2877" s="91"/>
      <c r="B2877" s="176"/>
      <c r="C2877" s="176"/>
      <c r="D2877" s="176"/>
      <c r="E2877" s="176"/>
      <c r="F2877" s="176"/>
      <c r="G2877" s="176"/>
      <c r="H2877" s="176"/>
      <c r="I2877" s="176"/>
      <c r="J2877" s="176"/>
      <c r="K2877" s="176"/>
      <c r="L2877" s="176"/>
      <c r="M2877" s="176"/>
      <c r="N2877" s="176"/>
      <c r="O2877" s="176"/>
      <c r="P2877" s="176"/>
      <c r="Q2877" s="176"/>
      <c r="R2877" s="176"/>
      <c r="S2877" s="176"/>
      <c r="T2877" s="176"/>
      <c r="U2877" s="176"/>
      <c r="V2877" s="176"/>
      <c r="W2877" s="176"/>
      <c r="X2877" s="176"/>
      <c r="Y2877" s="176"/>
    </row>
    <row r="2878" spans="1:25">
      <c r="A2878" s="91"/>
      <c r="B2878" s="176"/>
      <c r="C2878" s="176"/>
      <c r="D2878" s="176"/>
      <c r="E2878" s="176"/>
      <c r="F2878" s="176"/>
      <c r="G2878" s="176"/>
      <c r="H2878" s="176"/>
      <c r="I2878" s="176"/>
      <c r="J2878" s="176"/>
      <c r="K2878" s="176"/>
      <c r="L2878" s="176"/>
      <c r="M2878" s="176"/>
      <c r="N2878" s="176"/>
      <c r="O2878" s="176"/>
      <c r="P2878" s="176"/>
      <c r="Q2878" s="176"/>
      <c r="R2878" s="176"/>
      <c r="S2878" s="176"/>
      <c r="T2878" s="176"/>
      <c r="U2878" s="176"/>
      <c r="V2878" s="176"/>
      <c r="W2878" s="176"/>
      <c r="X2878" s="176"/>
      <c r="Y2878" s="176"/>
    </row>
    <row r="2879" spans="1:25">
      <c r="A2879" s="91"/>
      <c r="B2879" s="176"/>
      <c r="C2879" s="176"/>
      <c r="D2879" s="176"/>
      <c r="E2879" s="176"/>
      <c r="F2879" s="176"/>
      <c r="G2879" s="176"/>
      <c r="H2879" s="176"/>
      <c r="I2879" s="176"/>
      <c r="J2879" s="176"/>
      <c r="K2879" s="176"/>
      <c r="L2879" s="176"/>
      <c r="M2879" s="176"/>
      <c r="N2879" s="176"/>
      <c r="O2879" s="176"/>
      <c r="P2879" s="176"/>
      <c r="Q2879" s="176"/>
      <c r="R2879" s="176"/>
      <c r="S2879" s="176"/>
      <c r="T2879" s="176"/>
      <c r="U2879" s="176"/>
      <c r="V2879" s="176"/>
      <c r="W2879" s="176"/>
      <c r="X2879" s="176"/>
      <c r="Y2879" s="176"/>
    </row>
    <row r="2880" spans="1:25">
      <c r="A2880" s="91"/>
      <c r="B2880" s="176"/>
      <c r="C2880" s="176"/>
      <c r="D2880" s="176"/>
      <c r="E2880" s="176"/>
      <c r="F2880" s="176"/>
      <c r="G2880" s="176"/>
      <c r="H2880" s="176"/>
      <c r="I2880" s="176"/>
      <c r="J2880" s="176"/>
      <c r="K2880" s="176"/>
      <c r="L2880" s="176"/>
      <c r="M2880" s="176"/>
      <c r="N2880" s="176"/>
      <c r="O2880" s="176"/>
      <c r="P2880" s="176"/>
      <c r="Q2880" s="176"/>
      <c r="R2880" s="176"/>
      <c r="S2880" s="176"/>
      <c r="T2880" s="176"/>
      <c r="U2880" s="176"/>
      <c r="V2880" s="176"/>
      <c r="W2880" s="176"/>
      <c r="X2880" s="176"/>
      <c r="Y2880" s="176"/>
    </row>
    <row r="2881" spans="1:25">
      <c r="A2881" s="91"/>
      <c r="B2881" s="176"/>
      <c r="C2881" s="176"/>
      <c r="D2881" s="176"/>
      <c r="E2881" s="176"/>
      <c r="F2881" s="176"/>
      <c r="G2881" s="176"/>
      <c r="H2881" s="176"/>
      <c r="I2881" s="176"/>
      <c r="J2881" s="176"/>
      <c r="K2881" s="176"/>
      <c r="L2881" s="176"/>
      <c r="M2881" s="176"/>
      <c r="N2881" s="176"/>
      <c r="O2881" s="176"/>
      <c r="P2881" s="176"/>
      <c r="Q2881" s="176"/>
      <c r="R2881" s="176"/>
      <c r="S2881" s="176"/>
      <c r="T2881" s="176"/>
      <c r="U2881" s="176"/>
      <c r="V2881" s="176"/>
      <c r="W2881" s="176"/>
      <c r="X2881" s="176"/>
      <c r="Y2881" s="176"/>
    </row>
    <row r="2882" spans="1:25">
      <c r="A2882" s="91"/>
      <c r="B2882" s="176"/>
      <c r="C2882" s="176"/>
      <c r="D2882" s="176"/>
      <c r="E2882" s="176"/>
      <c r="F2882" s="176"/>
      <c r="G2882" s="176"/>
      <c r="H2882" s="176"/>
      <c r="I2882" s="176"/>
      <c r="J2882" s="176"/>
      <c r="K2882" s="176"/>
      <c r="L2882" s="176"/>
      <c r="M2882" s="176"/>
      <c r="N2882" s="176"/>
      <c r="O2882" s="176"/>
      <c r="P2882" s="176"/>
      <c r="Q2882" s="176"/>
      <c r="R2882" s="176"/>
      <c r="S2882" s="176"/>
      <c r="T2882" s="176"/>
      <c r="U2882" s="176"/>
      <c r="V2882" s="176"/>
      <c r="W2882" s="176"/>
      <c r="X2882" s="176"/>
      <c r="Y2882" s="176"/>
    </row>
    <row r="2883" spans="1:25">
      <c r="A2883" s="91"/>
      <c r="B2883" s="176"/>
      <c r="C2883" s="176"/>
      <c r="D2883" s="176"/>
      <c r="E2883" s="176"/>
      <c r="F2883" s="176"/>
      <c r="G2883" s="176"/>
      <c r="H2883" s="176"/>
      <c r="I2883" s="176"/>
      <c r="J2883" s="176"/>
      <c r="K2883" s="176"/>
      <c r="L2883" s="176"/>
      <c r="M2883" s="176"/>
      <c r="N2883" s="176"/>
      <c r="O2883" s="176"/>
      <c r="P2883" s="176"/>
      <c r="Q2883" s="176"/>
      <c r="R2883" s="176"/>
      <c r="S2883" s="176"/>
      <c r="T2883" s="176"/>
      <c r="U2883" s="176"/>
      <c r="V2883" s="176"/>
      <c r="W2883" s="176"/>
      <c r="X2883" s="176"/>
      <c r="Y2883" s="176"/>
    </row>
    <row r="2884" spans="1:25">
      <c r="A2884" s="91"/>
      <c r="B2884" s="176"/>
      <c r="C2884" s="176"/>
      <c r="D2884" s="176"/>
      <c r="E2884" s="176"/>
      <c r="F2884" s="176"/>
      <c r="G2884" s="176"/>
      <c r="H2884" s="176"/>
      <c r="I2884" s="176"/>
      <c r="J2884" s="176"/>
      <c r="K2884" s="176"/>
      <c r="L2884" s="176"/>
      <c r="M2884" s="176"/>
      <c r="N2884" s="176"/>
      <c r="O2884" s="176"/>
      <c r="P2884" s="176"/>
      <c r="Q2884" s="176"/>
      <c r="R2884" s="176"/>
      <c r="S2884" s="176"/>
      <c r="T2884" s="176"/>
      <c r="U2884" s="176"/>
      <c r="V2884" s="176"/>
      <c r="W2884" s="176"/>
      <c r="X2884" s="176"/>
      <c r="Y2884" s="176"/>
    </row>
    <row r="2885" spans="1:25">
      <c r="A2885" s="91"/>
      <c r="B2885" s="176"/>
      <c r="C2885" s="176"/>
      <c r="D2885" s="176"/>
      <c r="E2885" s="176"/>
      <c r="F2885" s="176"/>
      <c r="G2885" s="176"/>
      <c r="H2885" s="176"/>
      <c r="I2885" s="176"/>
      <c r="J2885" s="176"/>
      <c r="K2885" s="176"/>
      <c r="L2885" s="176"/>
      <c r="M2885" s="176"/>
      <c r="N2885" s="176"/>
      <c r="O2885" s="176"/>
      <c r="P2885" s="176"/>
      <c r="Q2885" s="176"/>
      <c r="R2885" s="176"/>
      <c r="S2885" s="176"/>
      <c r="T2885" s="176"/>
      <c r="U2885" s="176"/>
      <c r="V2885" s="176"/>
      <c r="W2885" s="176"/>
      <c r="X2885" s="176"/>
      <c r="Y2885" s="176"/>
    </row>
    <row r="2886" spans="1:25">
      <c r="A2886" s="91"/>
      <c r="B2886" s="176"/>
      <c r="C2886" s="176"/>
      <c r="D2886" s="176"/>
      <c r="E2886" s="176"/>
      <c r="F2886" s="176"/>
      <c r="G2886" s="176"/>
      <c r="H2886" s="176"/>
      <c r="I2886" s="176"/>
      <c r="J2886" s="176"/>
      <c r="K2886" s="176"/>
      <c r="L2886" s="176"/>
      <c r="M2886" s="176"/>
      <c r="N2886" s="176"/>
      <c r="O2886" s="176"/>
      <c r="P2886" s="176"/>
      <c r="Q2886" s="176"/>
      <c r="R2886" s="176"/>
      <c r="S2886" s="176"/>
      <c r="T2886" s="176"/>
      <c r="U2886" s="176"/>
      <c r="V2886" s="176"/>
      <c r="W2886" s="176"/>
      <c r="X2886" s="176"/>
      <c r="Y2886" s="176"/>
    </row>
    <row r="2887" spans="1:25">
      <c r="A2887" s="91"/>
      <c r="B2887" s="176"/>
      <c r="C2887" s="176"/>
      <c r="D2887" s="176"/>
      <c r="E2887" s="176"/>
      <c r="F2887" s="176"/>
      <c r="G2887" s="176"/>
      <c r="H2887" s="176"/>
      <c r="I2887" s="176"/>
      <c r="J2887" s="176"/>
      <c r="K2887" s="176"/>
      <c r="L2887" s="176"/>
      <c r="M2887" s="176"/>
      <c r="N2887" s="176"/>
      <c r="O2887" s="176"/>
      <c r="P2887" s="176"/>
      <c r="Q2887" s="176"/>
      <c r="R2887" s="176"/>
      <c r="S2887" s="176"/>
      <c r="T2887" s="176"/>
      <c r="U2887" s="176"/>
      <c r="V2887" s="176"/>
      <c r="W2887" s="176"/>
      <c r="X2887" s="176"/>
      <c r="Y2887" s="176"/>
    </row>
    <row r="2888" spans="1:25">
      <c r="A2888" s="91"/>
      <c r="B2888" s="176"/>
      <c r="C2888" s="176"/>
      <c r="D2888" s="176"/>
      <c r="E2888" s="176"/>
      <c r="F2888" s="176"/>
      <c r="G2888" s="176"/>
      <c r="H2888" s="176"/>
      <c r="I2888" s="176"/>
      <c r="J2888" s="176"/>
      <c r="K2888" s="176"/>
      <c r="L2888" s="176"/>
      <c r="M2888" s="176"/>
      <c r="N2888" s="176"/>
      <c r="O2888" s="176"/>
      <c r="P2888" s="176"/>
      <c r="Q2888" s="176"/>
      <c r="R2888" s="176"/>
      <c r="S2888" s="176"/>
      <c r="T2888" s="176"/>
      <c r="U2888" s="176"/>
      <c r="V2888" s="176"/>
      <c r="W2888" s="176"/>
      <c r="X2888" s="176"/>
      <c r="Y2888" s="176"/>
    </row>
    <row r="2889" spans="1:25">
      <c r="A2889" s="91"/>
      <c r="B2889" s="176"/>
      <c r="C2889" s="176"/>
      <c r="D2889" s="176"/>
      <c r="E2889" s="176"/>
      <c r="F2889" s="176"/>
      <c r="G2889" s="176"/>
      <c r="H2889" s="176"/>
      <c r="I2889" s="176"/>
      <c r="J2889" s="176"/>
      <c r="K2889" s="176"/>
      <c r="L2889" s="176"/>
      <c r="M2889" s="176"/>
      <c r="N2889" s="176"/>
      <c r="O2889" s="176"/>
      <c r="P2889" s="176"/>
      <c r="Q2889" s="176"/>
      <c r="R2889" s="176"/>
      <c r="S2889" s="176"/>
      <c r="T2889" s="176"/>
      <c r="U2889" s="176"/>
      <c r="V2889" s="176"/>
      <c r="W2889" s="176"/>
      <c r="X2889" s="176"/>
      <c r="Y2889" s="176"/>
    </row>
    <row r="2890" spans="1:25">
      <c r="A2890" s="91"/>
      <c r="B2890" s="176"/>
      <c r="C2890" s="176"/>
      <c r="D2890" s="176"/>
      <c r="E2890" s="176"/>
      <c r="F2890" s="176"/>
      <c r="G2890" s="176"/>
      <c r="H2890" s="176"/>
      <c r="I2890" s="176"/>
      <c r="J2890" s="176"/>
      <c r="K2890" s="176"/>
      <c r="L2890" s="176"/>
      <c r="M2890" s="176"/>
      <c r="N2890" s="176"/>
      <c r="O2890" s="176"/>
      <c r="P2890" s="176"/>
      <c r="Q2890" s="176"/>
      <c r="R2890" s="176"/>
      <c r="S2890" s="176"/>
      <c r="T2890" s="176"/>
      <c r="U2890" s="176"/>
      <c r="V2890" s="176"/>
      <c r="W2890" s="176"/>
      <c r="X2890" s="176"/>
      <c r="Y2890" s="176"/>
    </row>
    <row r="2891" spans="1:25">
      <c r="A2891" s="91"/>
      <c r="B2891" s="176"/>
      <c r="C2891" s="176"/>
      <c r="D2891" s="176"/>
      <c r="E2891" s="176"/>
      <c r="F2891" s="176"/>
      <c r="G2891" s="176"/>
      <c r="H2891" s="176"/>
      <c r="I2891" s="176"/>
      <c r="J2891" s="176"/>
      <c r="K2891" s="176"/>
      <c r="L2891" s="176"/>
      <c r="M2891" s="176"/>
      <c r="N2891" s="176"/>
      <c r="O2891" s="176"/>
      <c r="P2891" s="176"/>
      <c r="Q2891" s="176"/>
      <c r="R2891" s="176"/>
      <c r="S2891" s="176"/>
      <c r="T2891" s="176"/>
      <c r="U2891" s="176"/>
      <c r="V2891" s="176"/>
      <c r="W2891" s="176"/>
      <c r="X2891" s="176"/>
      <c r="Y2891" s="176"/>
    </row>
    <row r="2892" spans="1:25">
      <c r="A2892" s="91"/>
      <c r="B2892" s="176"/>
      <c r="C2892" s="176"/>
      <c r="D2892" s="176"/>
      <c r="E2892" s="176"/>
      <c r="F2892" s="176"/>
      <c r="G2892" s="176"/>
      <c r="H2892" s="176"/>
      <c r="I2892" s="176"/>
      <c r="J2892" s="176"/>
      <c r="K2892" s="176"/>
      <c r="L2892" s="176"/>
      <c r="M2892" s="176"/>
      <c r="N2892" s="176"/>
      <c r="O2892" s="176"/>
      <c r="P2892" s="176"/>
      <c r="Q2892" s="176"/>
      <c r="R2892" s="176"/>
      <c r="S2892" s="176"/>
      <c r="T2892" s="176"/>
      <c r="U2892" s="176"/>
      <c r="V2892" s="176"/>
      <c r="W2892" s="176"/>
      <c r="X2892" s="176"/>
      <c r="Y2892" s="176"/>
    </row>
    <row r="2893" spans="1:25">
      <c r="A2893" s="91"/>
      <c r="B2893" s="176"/>
      <c r="C2893" s="176"/>
      <c r="D2893" s="176"/>
      <c r="E2893" s="176"/>
      <c r="F2893" s="176"/>
      <c r="G2893" s="176"/>
      <c r="H2893" s="176"/>
      <c r="I2893" s="176"/>
      <c r="J2893" s="176"/>
      <c r="K2893" s="176"/>
      <c r="L2893" s="176"/>
      <c r="M2893" s="176"/>
      <c r="N2893" s="176"/>
      <c r="O2893" s="176"/>
      <c r="P2893" s="176"/>
      <c r="Q2893" s="176"/>
      <c r="R2893" s="176"/>
      <c r="S2893" s="176"/>
      <c r="T2893" s="176"/>
      <c r="U2893" s="176"/>
      <c r="V2893" s="176"/>
      <c r="W2893" s="176"/>
      <c r="X2893" s="176"/>
      <c r="Y2893" s="176"/>
    </row>
    <row r="2894" spans="1:25">
      <c r="A2894" s="91"/>
      <c r="B2894" s="176"/>
      <c r="C2894" s="176"/>
      <c r="D2894" s="176"/>
      <c r="E2894" s="176"/>
      <c r="F2894" s="176"/>
      <c r="G2894" s="176"/>
      <c r="H2894" s="176"/>
      <c r="I2894" s="176"/>
      <c r="J2894" s="176"/>
      <c r="K2894" s="176"/>
      <c r="L2894" s="176"/>
      <c r="M2894" s="176"/>
      <c r="N2894" s="176"/>
      <c r="O2894" s="176"/>
      <c r="P2894" s="176"/>
      <c r="Q2894" s="176"/>
      <c r="R2894" s="176"/>
      <c r="S2894" s="176"/>
      <c r="T2894" s="176"/>
      <c r="U2894" s="176"/>
      <c r="V2894" s="176"/>
      <c r="W2894" s="176"/>
      <c r="X2894" s="176"/>
      <c r="Y2894" s="176"/>
    </row>
    <row r="2895" spans="1:25">
      <c r="A2895" s="91"/>
      <c r="B2895" s="176"/>
      <c r="C2895" s="176"/>
      <c r="D2895" s="176"/>
      <c r="E2895" s="176"/>
      <c r="F2895" s="176"/>
      <c r="G2895" s="176"/>
      <c r="H2895" s="176"/>
      <c r="I2895" s="176"/>
      <c r="J2895" s="176"/>
      <c r="K2895" s="176"/>
      <c r="L2895" s="176"/>
      <c r="M2895" s="176"/>
      <c r="N2895" s="176"/>
      <c r="O2895" s="176"/>
      <c r="P2895" s="176"/>
      <c r="Q2895" s="176"/>
      <c r="R2895" s="176"/>
      <c r="S2895" s="176"/>
      <c r="T2895" s="176"/>
      <c r="U2895" s="176"/>
      <c r="V2895" s="176"/>
      <c r="W2895" s="176"/>
      <c r="X2895" s="176"/>
      <c r="Y2895" s="176"/>
    </row>
    <row r="2896" spans="1:25">
      <c r="A2896" s="91"/>
      <c r="B2896" s="176"/>
      <c r="C2896" s="176"/>
      <c r="D2896" s="176"/>
      <c r="E2896" s="176"/>
      <c r="F2896" s="176"/>
      <c r="G2896" s="176"/>
      <c r="H2896" s="176"/>
      <c r="I2896" s="176"/>
      <c r="J2896" s="176"/>
      <c r="K2896" s="176"/>
      <c r="L2896" s="176"/>
      <c r="M2896" s="176"/>
      <c r="N2896" s="176"/>
      <c r="O2896" s="176"/>
      <c r="P2896" s="176"/>
      <c r="Q2896" s="176"/>
      <c r="R2896" s="176"/>
      <c r="S2896" s="176"/>
      <c r="T2896" s="176"/>
      <c r="U2896" s="176"/>
      <c r="V2896" s="176"/>
      <c r="W2896" s="176"/>
      <c r="X2896" s="176"/>
      <c r="Y2896" s="176"/>
    </row>
    <row r="2897" spans="1:25">
      <c r="A2897" s="91"/>
      <c r="B2897" s="176"/>
      <c r="C2897" s="176"/>
      <c r="D2897" s="176"/>
      <c r="E2897" s="176"/>
      <c r="F2897" s="176"/>
      <c r="G2897" s="176"/>
      <c r="H2897" s="176"/>
      <c r="I2897" s="176"/>
      <c r="J2897" s="176"/>
      <c r="K2897" s="176"/>
      <c r="L2897" s="176"/>
      <c r="M2897" s="176"/>
      <c r="N2897" s="176"/>
      <c r="O2897" s="176"/>
      <c r="P2897" s="176"/>
      <c r="Q2897" s="176"/>
      <c r="R2897" s="176"/>
      <c r="S2897" s="176"/>
      <c r="T2897" s="176"/>
      <c r="U2897" s="176"/>
      <c r="V2897" s="176"/>
      <c r="W2897" s="176"/>
      <c r="X2897" s="176"/>
      <c r="Y2897" s="176"/>
    </row>
    <row r="2898" spans="1:25">
      <c r="A2898" s="91"/>
      <c r="B2898" s="176"/>
      <c r="C2898" s="176"/>
      <c r="D2898" s="176"/>
      <c r="E2898" s="176"/>
      <c r="F2898" s="176"/>
      <c r="G2898" s="176"/>
      <c r="H2898" s="176"/>
      <c r="I2898" s="176"/>
      <c r="J2898" s="176"/>
      <c r="K2898" s="176"/>
      <c r="L2898" s="176"/>
      <c r="M2898" s="176"/>
      <c r="N2898" s="176"/>
      <c r="O2898" s="176"/>
      <c r="P2898" s="176"/>
      <c r="Q2898" s="176"/>
      <c r="R2898" s="176"/>
      <c r="S2898" s="176"/>
      <c r="T2898" s="176"/>
      <c r="U2898" s="176"/>
      <c r="V2898" s="176"/>
      <c r="W2898" s="176"/>
      <c r="X2898" s="176"/>
      <c r="Y2898" s="176"/>
    </row>
    <row r="2899" spans="1:25">
      <c r="A2899" s="91"/>
      <c r="B2899" s="176"/>
      <c r="C2899" s="176"/>
      <c r="D2899" s="176"/>
      <c r="E2899" s="176"/>
      <c r="F2899" s="176"/>
      <c r="G2899" s="176"/>
      <c r="H2899" s="176"/>
      <c r="I2899" s="176"/>
      <c r="J2899" s="176"/>
      <c r="K2899" s="176"/>
      <c r="L2899" s="176"/>
      <c r="M2899" s="176"/>
      <c r="N2899" s="176"/>
      <c r="O2899" s="176"/>
      <c r="P2899" s="176"/>
      <c r="Q2899" s="176"/>
      <c r="R2899" s="176"/>
      <c r="S2899" s="176"/>
      <c r="T2899" s="176"/>
      <c r="U2899" s="176"/>
      <c r="V2899" s="176"/>
      <c r="W2899" s="176"/>
      <c r="X2899" s="176"/>
      <c r="Y2899" s="176"/>
    </row>
    <row r="2900" spans="1:25">
      <c r="A2900" s="91"/>
      <c r="B2900" s="176"/>
      <c r="C2900" s="176"/>
      <c r="D2900" s="176"/>
      <c r="E2900" s="176"/>
      <c r="F2900" s="176"/>
      <c r="G2900" s="176"/>
      <c r="H2900" s="176"/>
      <c r="I2900" s="176"/>
      <c r="J2900" s="176"/>
      <c r="K2900" s="176"/>
      <c r="L2900" s="176"/>
      <c r="M2900" s="176"/>
      <c r="N2900" s="176"/>
      <c r="O2900" s="176"/>
      <c r="P2900" s="176"/>
      <c r="Q2900" s="176"/>
      <c r="R2900" s="176"/>
      <c r="S2900" s="176"/>
      <c r="T2900" s="176"/>
      <c r="U2900" s="176"/>
      <c r="V2900" s="176"/>
      <c r="W2900" s="176"/>
      <c r="X2900" s="176"/>
      <c r="Y2900" s="176"/>
    </row>
    <row r="2901" spans="1:25">
      <c r="A2901" s="91"/>
      <c r="B2901" s="176"/>
      <c r="C2901" s="176"/>
      <c r="D2901" s="176"/>
      <c r="E2901" s="176"/>
      <c r="F2901" s="176"/>
      <c r="G2901" s="176"/>
      <c r="H2901" s="176"/>
      <c r="I2901" s="176"/>
      <c r="J2901" s="176"/>
      <c r="K2901" s="176"/>
      <c r="L2901" s="176"/>
      <c r="M2901" s="176"/>
      <c r="N2901" s="176"/>
      <c r="O2901" s="176"/>
      <c r="P2901" s="176"/>
      <c r="Q2901" s="176"/>
      <c r="R2901" s="176"/>
      <c r="S2901" s="176"/>
      <c r="T2901" s="176"/>
      <c r="U2901" s="176"/>
      <c r="V2901" s="176"/>
      <c r="W2901" s="176"/>
      <c r="X2901" s="176"/>
      <c r="Y2901" s="176"/>
    </row>
    <row r="2902" spans="1:25">
      <c r="A2902" s="91"/>
      <c r="B2902" s="176"/>
      <c r="C2902" s="176"/>
      <c r="D2902" s="176"/>
      <c r="E2902" s="176"/>
      <c r="F2902" s="176"/>
      <c r="G2902" s="176"/>
      <c r="H2902" s="176"/>
      <c r="I2902" s="176"/>
      <c r="J2902" s="176"/>
      <c r="K2902" s="176"/>
      <c r="L2902" s="176"/>
      <c r="M2902" s="176"/>
      <c r="N2902" s="176"/>
      <c r="O2902" s="176"/>
      <c r="P2902" s="176"/>
      <c r="Q2902" s="176"/>
      <c r="R2902" s="176"/>
      <c r="S2902" s="176"/>
      <c r="T2902" s="176"/>
      <c r="U2902" s="176"/>
      <c r="V2902" s="176"/>
      <c r="W2902" s="176"/>
      <c r="X2902" s="176"/>
      <c r="Y2902" s="176"/>
    </row>
    <row r="2903" spans="1:25">
      <c r="A2903" s="91"/>
      <c r="B2903" s="176"/>
      <c r="C2903" s="176"/>
      <c r="D2903" s="176"/>
      <c r="E2903" s="176"/>
      <c r="F2903" s="176"/>
      <c r="G2903" s="176"/>
      <c r="H2903" s="176"/>
      <c r="I2903" s="176"/>
      <c r="J2903" s="176"/>
      <c r="K2903" s="176"/>
      <c r="L2903" s="176"/>
      <c r="M2903" s="176"/>
      <c r="N2903" s="176"/>
      <c r="O2903" s="176"/>
      <c r="P2903" s="176"/>
      <c r="Q2903" s="176"/>
      <c r="R2903" s="176"/>
      <c r="S2903" s="176"/>
      <c r="T2903" s="176"/>
      <c r="U2903" s="176"/>
      <c r="V2903" s="176"/>
      <c r="W2903" s="176"/>
      <c r="X2903" s="176"/>
      <c r="Y2903" s="176"/>
    </row>
    <row r="2904" spans="1:25">
      <c r="A2904" s="91"/>
      <c r="B2904" s="176"/>
      <c r="C2904" s="176"/>
      <c r="D2904" s="176"/>
      <c r="E2904" s="176"/>
      <c r="F2904" s="176"/>
      <c r="G2904" s="176"/>
      <c r="H2904" s="176"/>
      <c r="I2904" s="176"/>
      <c r="J2904" s="176"/>
      <c r="K2904" s="176"/>
      <c r="L2904" s="176"/>
      <c r="M2904" s="176"/>
      <c r="N2904" s="176"/>
      <c r="O2904" s="176"/>
      <c r="P2904" s="176"/>
      <c r="Q2904" s="176"/>
      <c r="R2904" s="176"/>
      <c r="S2904" s="176"/>
      <c r="T2904" s="176"/>
      <c r="U2904" s="176"/>
      <c r="V2904" s="176"/>
      <c r="W2904" s="176"/>
      <c r="X2904" s="176"/>
      <c r="Y2904" s="176"/>
    </row>
    <row r="2905" spans="1:25">
      <c r="A2905" s="91"/>
      <c r="B2905" s="176"/>
      <c r="C2905" s="176"/>
      <c r="D2905" s="176"/>
      <c r="E2905" s="176"/>
      <c r="F2905" s="176"/>
      <c r="G2905" s="176"/>
      <c r="H2905" s="176"/>
      <c r="I2905" s="176"/>
      <c r="J2905" s="176"/>
      <c r="K2905" s="176"/>
      <c r="L2905" s="176"/>
      <c r="M2905" s="176"/>
      <c r="N2905" s="176"/>
      <c r="O2905" s="176"/>
      <c r="P2905" s="176"/>
      <c r="Q2905" s="176"/>
      <c r="R2905" s="176"/>
      <c r="S2905" s="176"/>
      <c r="T2905" s="176"/>
      <c r="U2905" s="176"/>
      <c r="V2905" s="176"/>
      <c r="W2905" s="176"/>
      <c r="X2905" s="176"/>
      <c r="Y2905" s="176"/>
    </row>
    <row r="2906" spans="1:25">
      <c r="A2906" s="91"/>
      <c r="B2906" s="176"/>
      <c r="C2906" s="176"/>
      <c r="D2906" s="176"/>
      <c r="E2906" s="176"/>
      <c r="F2906" s="176"/>
      <c r="G2906" s="176"/>
      <c r="H2906" s="176"/>
      <c r="I2906" s="176"/>
      <c r="J2906" s="176"/>
      <c r="K2906" s="176"/>
      <c r="L2906" s="176"/>
      <c r="M2906" s="176"/>
      <c r="N2906" s="176"/>
      <c r="O2906" s="176"/>
      <c r="P2906" s="176"/>
      <c r="Q2906" s="176"/>
      <c r="R2906" s="176"/>
      <c r="S2906" s="176"/>
      <c r="T2906" s="176"/>
      <c r="U2906" s="176"/>
      <c r="V2906" s="176"/>
      <c r="W2906" s="176"/>
      <c r="X2906" s="176"/>
      <c r="Y2906" s="176"/>
    </row>
    <row r="2907" spans="1:25">
      <c r="A2907" s="91"/>
      <c r="B2907" s="176"/>
      <c r="C2907" s="176"/>
      <c r="D2907" s="176"/>
      <c r="E2907" s="176"/>
      <c r="F2907" s="176"/>
      <c r="G2907" s="176"/>
      <c r="H2907" s="176"/>
      <c r="I2907" s="176"/>
      <c r="J2907" s="176"/>
      <c r="K2907" s="176"/>
      <c r="L2907" s="176"/>
      <c r="M2907" s="176"/>
      <c r="N2907" s="176"/>
      <c r="O2907" s="176"/>
      <c r="P2907" s="176"/>
      <c r="Q2907" s="176"/>
      <c r="R2907" s="176"/>
      <c r="S2907" s="176"/>
      <c r="T2907" s="176"/>
      <c r="U2907" s="176"/>
      <c r="V2907" s="176"/>
      <c r="W2907" s="176"/>
      <c r="X2907" s="176"/>
      <c r="Y2907" s="176"/>
    </row>
    <row r="2908" spans="1:25">
      <c r="A2908" s="91"/>
      <c r="B2908" s="176"/>
      <c r="C2908" s="176"/>
      <c r="D2908" s="176"/>
      <c r="E2908" s="176"/>
      <c r="F2908" s="176"/>
      <c r="G2908" s="176"/>
      <c r="H2908" s="176"/>
      <c r="I2908" s="176"/>
      <c r="J2908" s="176"/>
      <c r="K2908" s="176"/>
      <c r="L2908" s="176"/>
      <c r="M2908" s="176"/>
      <c r="N2908" s="176"/>
      <c r="O2908" s="176"/>
      <c r="P2908" s="176"/>
      <c r="Q2908" s="176"/>
      <c r="R2908" s="176"/>
      <c r="S2908" s="176"/>
      <c r="T2908" s="176"/>
      <c r="U2908" s="176"/>
      <c r="V2908" s="176"/>
      <c r="W2908" s="176"/>
      <c r="X2908" s="176"/>
      <c r="Y2908" s="176"/>
    </row>
    <row r="2909" spans="1:25">
      <c r="A2909" s="91"/>
      <c r="B2909" s="176"/>
      <c r="C2909" s="176"/>
      <c r="D2909" s="176"/>
      <c r="E2909" s="176"/>
      <c r="F2909" s="176"/>
      <c r="G2909" s="176"/>
      <c r="H2909" s="176"/>
      <c r="I2909" s="176"/>
      <c r="J2909" s="176"/>
      <c r="K2909" s="176"/>
      <c r="L2909" s="176"/>
      <c r="M2909" s="176"/>
      <c r="N2909" s="176"/>
      <c r="O2909" s="176"/>
      <c r="P2909" s="176"/>
      <c r="Q2909" s="176"/>
      <c r="R2909" s="176"/>
      <c r="S2909" s="176"/>
      <c r="T2909" s="176"/>
      <c r="U2909" s="176"/>
      <c r="V2909" s="176"/>
      <c r="W2909" s="176"/>
      <c r="X2909" s="176"/>
      <c r="Y2909" s="176"/>
    </row>
    <row r="2910" spans="1:25">
      <c r="A2910" s="91"/>
      <c r="B2910" s="176"/>
      <c r="C2910" s="176"/>
      <c r="D2910" s="176"/>
      <c r="E2910" s="176"/>
      <c r="F2910" s="176"/>
      <c r="G2910" s="176"/>
      <c r="H2910" s="176"/>
      <c r="I2910" s="176"/>
      <c r="J2910" s="176"/>
      <c r="K2910" s="176"/>
      <c r="L2910" s="176"/>
      <c r="M2910" s="176"/>
      <c r="N2910" s="176"/>
      <c r="O2910" s="176"/>
      <c r="P2910" s="176"/>
      <c r="Q2910" s="176"/>
      <c r="R2910" s="176"/>
      <c r="S2910" s="176"/>
      <c r="T2910" s="176"/>
      <c r="U2910" s="176"/>
      <c r="V2910" s="176"/>
      <c r="W2910" s="176"/>
      <c r="X2910" s="176"/>
      <c r="Y2910" s="176"/>
    </row>
    <row r="2911" spans="1:25">
      <c r="A2911" s="91"/>
      <c r="B2911" s="176"/>
      <c r="C2911" s="176"/>
      <c r="D2911" s="176"/>
      <c r="E2911" s="176"/>
      <c r="F2911" s="176"/>
      <c r="G2911" s="176"/>
      <c r="H2911" s="176"/>
      <c r="I2911" s="176"/>
      <c r="J2911" s="176"/>
      <c r="K2911" s="176"/>
      <c r="L2911" s="176"/>
      <c r="M2911" s="176"/>
      <c r="N2911" s="176"/>
      <c r="O2911" s="176"/>
      <c r="P2911" s="176"/>
      <c r="Q2911" s="176"/>
      <c r="R2911" s="176"/>
      <c r="S2911" s="176"/>
      <c r="T2911" s="176"/>
      <c r="U2911" s="176"/>
      <c r="V2911" s="176"/>
      <c r="W2911" s="176"/>
      <c r="X2911" s="176"/>
      <c r="Y2911" s="176"/>
    </row>
    <row r="2912" spans="1:25">
      <c r="A2912" s="91"/>
      <c r="B2912" s="176"/>
      <c r="C2912" s="176"/>
      <c r="D2912" s="176"/>
      <c r="E2912" s="176"/>
      <c r="F2912" s="176"/>
      <c r="G2912" s="176"/>
      <c r="H2912" s="176"/>
      <c r="I2912" s="176"/>
      <c r="J2912" s="176"/>
      <c r="K2912" s="176"/>
      <c r="L2912" s="176"/>
      <c r="M2912" s="176"/>
      <c r="N2912" s="176"/>
      <c r="O2912" s="176"/>
      <c r="P2912" s="176"/>
      <c r="Q2912" s="176"/>
      <c r="R2912" s="176"/>
      <c r="S2912" s="176"/>
      <c r="T2912" s="176"/>
      <c r="U2912" s="176"/>
      <c r="V2912" s="176"/>
      <c r="W2912" s="176"/>
      <c r="X2912" s="176"/>
      <c r="Y2912" s="176"/>
    </row>
    <row r="2913" spans="1:25">
      <c r="A2913" s="91"/>
      <c r="B2913" s="176"/>
      <c r="C2913" s="176"/>
      <c r="D2913" s="176"/>
      <c r="E2913" s="176"/>
      <c r="F2913" s="176"/>
      <c r="G2913" s="176"/>
      <c r="H2913" s="176"/>
      <c r="I2913" s="176"/>
      <c r="J2913" s="176"/>
      <c r="K2913" s="176"/>
      <c r="L2913" s="176"/>
      <c r="M2913" s="176"/>
      <c r="N2913" s="176"/>
      <c r="O2913" s="176"/>
      <c r="P2913" s="176"/>
      <c r="Q2913" s="176"/>
      <c r="R2913" s="176"/>
      <c r="S2913" s="176"/>
      <c r="T2913" s="176"/>
      <c r="U2913" s="176"/>
      <c r="V2913" s="176"/>
      <c r="W2913" s="176"/>
      <c r="X2913" s="176"/>
      <c r="Y2913" s="176"/>
    </row>
    <row r="2914" spans="1:25">
      <c r="A2914" s="91"/>
      <c r="B2914" s="176"/>
      <c r="C2914" s="176"/>
      <c r="D2914" s="176"/>
      <c r="E2914" s="176"/>
      <c r="F2914" s="176"/>
      <c r="G2914" s="176"/>
      <c r="H2914" s="176"/>
      <c r="I2914" s="176"/>
      <c r="J2914" s="176"/>
      <c r="K2914" s="176"/>
      <c r="L2914" s="176"/>
      <c r="M2914" s="176"/>
      <c r="N2914" s="176"/>
      <c r="O2914" s="176"/>
      <c r="P2914" s="176"/>
      <c r="Q2914" s="176"/>
      <c r="R2914" s="176"/>
      <c r="S2914" s="176"/>
      <c r="T2914" s="176"/>
      <c r="U2914" s="176"/>
      <c r="V2914" s="176"/>
      <c r="W2914" s="176"/>
      <c r="X2914" s="176"/>
      <c r="Y2914" s="176"/>
    </row>
    <row r="2915" spans="1:25">
      <c r="A2915" s="91"/>
      <c r="B2915" s="176"/>
      <c r="C2915" s="176"/>
      <c r="D2915" s="176"/>
      <c r="E2915" s="176"/>
      <c r="F2915" s="176"/>
      <c r="G2915" s="176"/>
      <c r="H2915" s="176"/>
      <c r="I2915" s="176"/>
      <c r="J2915" s="176"/>
      <c r="K2915" s="176"/>
      <c r="L2915" s="176"/>
      <c r="M2915" s="176"/>
      <c r="N2915" s="176"/>
      <c r="O2915" s="176"/>
      <c r="P2915" s="176"/>
      <c r="Q2915" s="176"/>
      <c r="R2915" s="176"/>
      <c r="S2915" s="176"/>
      <c r="T2915" s="176"/>
      <c r="U2915" s="176"/>
      <c r="V2915" s="176"/>
      <c r="W2915" s="176"/>
      <c r="X2915" s="176"/>
      <c r="Y2915" s="176"/>
    </row>
    <row r="2916" spans="1:25">
      <c r="A2916" s="91"/>
      <c r="B2916" s="176"/>
      <c r="C2916" s="176"/>
      <c r="D2916" s="176"/>
      <c r="E2916" s="176"/>
      <c r="F2916" s="176"/>
      <c r="G2916" s="176"/>
      <c r="H2916" s="176"/>
      <c r="I2916" s="176"/>
      <c r="J2916" s="176"/>
      <c r="K2916" s="176"/>
      <c r="L2916" s="176"/>
      <c r="M2916" s="176"/>
      <c r="N2916" s="176"/>
      <c r="O2916" s="176"/>
      <c r="P2916" s="176"/>
      <c r="Q2916" s="176"/>
      <c r="R2916" s="176"/>
      <c r="S2916" s="176"/>
      <c r="T2916" s="176"/>
      <c r="U2916" s="176"/>
      <c r="V2916" s="176"/>
      <c r="W2916" s="176"/>
      <c r="X2916" s="176"/>
      <c r="Y2916" s="176"/>
    </row>
    <row r="2917" spans="1:25">
      <c r="A2917" s="91"/>
      <c r="B2917" s="176"/>
      <c r="C2917" s="176"/>
      <c r="D2917" s="176"/>
      <c r="E2917" s="176"/>
      <c r="F2917" s="176"/>
      <c r="G2917" s="176"/>
      <c r="H2917" s="176"/>
      <c r="I2917" s="176"/>
      <c r="J2917" s="176"/>
      <c r="K2917" s="176"/>
      <c r="L2917" s="176"/>
      <c r="M2917" s="176"/>
      <c r="N2917" s="176"/>
      <c r="O2917" s="176"/>
      <c r="P2917" s="176"/>
      <c r="Q2917" s="176"/>
      <c r="R2917" s="176"/>
      <c r="S2917" s="176"/>
      <c r="T2917" s="176"/>
      <c r="U2917" s="176"/>
      <c r="V2917" s="176"/>
      <c r="W2917" s="176"/>
      <c r="X2917" s="176"/>
      <c r="Y2917" s="176"/>
    </row>
    <row r="2918" spans="1:25">
      <c r="A2918" s="91"/>
      <c r="B2918" s="176"/>
      <c r="C2918" s="176"/>
      <c r="D2918" s="176"/>
      <c r="E2918" s="176"/>
      <c r="F2918" s="176"/>
      <c r="G2918" s="176"/>
      <c r="H2918" s="176"/>
      <c r="I2918" s="176"/>
      <c r="J2918" s="176"/>
      <c r="K2918" s="176"/>
      <c r="L2918" s="176"/>
      <c r="M2918" s="176"/>
      <c r="N2918" s="176"/>
      <c r="O2918" s="176"/>
      <c r="P2918" s="176"/>
      <c r="Q2918" s="176"/>
      <c r="R2918" s="176"/>
      <c r="S2918" s="176"/>
      <c r="T2918" s="176"/>
      <c r="U2918" s="176"/>
      <c r="V2918" s="176"/>
      <c r="W2918" s="176"/>
      <c r="X2918" s="176"/>
      <c r="Y2918" s="176"/>
    </row>
    <row r="2919" spans="1:25">
      <c r="A2919" s="91"/>
      <c r="B2919" s="176"/>
      <c r="C2919" s="176"/>
      <c r="D2919" s="176"/>
      <c r="E2919" s="176"/>
      <c r="F2919" s="176"/>
      <c r="G2919" s="176"/>
      <c r="H2919" s="176"/>
      <c r="I2919" s="176"/>
      <c r="J2919" s="176"/>
      <c r="K2919" s="176"/>
      <c r="L2919" s="176"/>
      <c r="M2919" s="176"/>
      <c r="N2919" s="176"/>
      <c r="O2919" s="176"/>
      <c r="P2919" s="176"/>
      <c r="Q2919" s="176"/>
      <c r="R2919" s="176"/>
      <c r="S2919" s="176"/>
      <c r="T2919" s="176"/>
      <c r="U2919" s="176"/>
      <c r="V2919" s="176"/>
      <c r="W2919" s="176"/>
      <c r="X2919" s="176"/>
      <c r="Y2919" s="176"/>
    </row>
    <row r="2920" spans="1:25">
      <c r="A2920" s="91"/>
      <c r="B2920" s="176"/>
      <c r="C2920" s="176"/>
      <c r="D2920" s="176"/>
      <c r="E2920" s="176"/>
      <c r="F2920" s="176"/>
      <c r="G2920" s="176"/>
      <c r="H2920" s="176"/>
      <c r="I2920" s="176"/>
      <c r="J2920" s="176"/>
      <c r="K2920" s="176"/>
      <c r="L2920" s="176"/>
      <c r="M2920" s="176"/>
      <c r="N2920" s="176"/>
      <c r="O2920" s="176"/>
      <c r="P2920" s="176"/>
      <c r="Q2920" s="176"/>
      <c r="R2920" s="176"/>
      <c r="S2920" s="176"/>
      <c r="T2920" s="176"/>
      <c r="U2920" s="176"/>
      <c r="V2920" s="176"/>
      <c r="W2920" s="176"/>
      <c r="X2920" s="176"/>
      <c r="Y2920" s="176"/>
    </row>
    <row r="2921" spans="1:25">
      <c r="A2921" s="91"/>
      <c r="B2921" s="176"/>
      <c r="C2921" s="176"/>
      <c r="D2921" s="176"/>
      <c r="E2921" s="176"/>
      <c r="F2921" s="176"/>
      <c r="G2921" s="176"/>
      <c r="H2921" s="176"/>
      <c r="I2921" s="176"/>
      <c r="J2921" s="176"/>
      <c r="K2921" s="176"/>
      <c r="L2921" s="176"/>
      <c r="M2921" s="176"/>
      <c r="N2921" s="176"/>
      <c r="O2921" s="176"/>
      <c r="P2921" s="176"/>
      <c r="Q2921" s="176"/>
      <c r="R2921" s="176"/>
      <c r="S2921" s="176"/>
      <c r="T2921" s="176"/>
      <c r="U2921" s="176"/>
      <c r="V2921" s="176"/>
      <c r="W2921" s="176"/>
      <c r="X2921" s="176"/>
      <c r="Y2921" s="176"/>
    </row>
    <row r="2922" spans="1:25">
      <c r="A2922" s="91"/>
      <c r="B2922" s="176"/>
      <c r="C2922" s="176"/>
      <c r="D2922" s="176"/>
      <c r="E2922" s="176"/>
      <c r="F2922" s="176"/>
      <c r="G2922" s="176"/>
      <c r="H2922" s="176"/>
      <c r="I2922" s="176"/>
      <c r="J2922" s="176"/>
      <c r="K2922" s="176"/>
      <c r="L2922" s="176"/>
      <c r="M2922" s="176"/>
      <c r="N2922" s="176"/>
      <c r="O2922" s="176"/>
      <c r="P2922" s="176"/>
      <c r="Q2922" s="176"/>
      <c r="R2922" s="176"/>
      <c r="S2922" s="176"/>
      <c r="T2922" s="176"/>
      <c r="U2922" s="176"/>
      <c r="V2922" s="176"/>
      <c r="W2922" s="176"/>
      <c r="X2922" s="176"/>
      <c r="Y2922" s="176"/>
    </row>
    <row r="2923" spans="1:25">
      <c r="A2923" s="91"/>
      <c r="B2923" s="176"/>
      <c r="C2923" s="176"/>
      <c r="D2923" s="176"/>
      <c r="E2923" s="176"/>
      <c r="F2923" s="176"/>
      <c r="G2923" s="176"/>
      <c r="H2923" s="176"/>
      <c r="I2923" s="176"/>
      <c r="J2923" s="176"/>
      <c r="K2923" s="176"/>
      <c r="L2923" s="176"/>
      <c r="M2923" s="176"/>
      <c r="N2923" s="176"/>
      <c r="O2923" s="176"/>
      <c r="P2923" s="176"/>
      <c r="Q2923" s="176"/>
      <c r="R2923" s="176"/>
      <c r="S2923" s="176"/>
      <c r="T2923" s="176"/>
      <c r="U2923" s="176"/>
      <c r="V2923" s="176"/>
      <c r="W2923" s="176"/>
      <c r="X2923" s="176"/>
      <c r="Y2923" s="176"/>
    </row>
    <row r="2924" spans="1:25">
      <c r="A2924" s="91"/>
      <c r="B2924" s="176"/>
      <c r="C2924" s="176"/>
      <c r="D2924" s="176"/>
      <c r="E2924" s="176"/>
      <c r="F2924" s="176"/>
      <c r="G2924" s="176"/>
      <c r="H2924" s="176"/>
      <c r="I2924" s="176"/>
      <c r="J2924" s="176"/>
      <c r="K2924" s="176"/>
      <c r="L2924" s="176"/>
      <c r="M2924" s="176"/>
      <c r="N2924" s="176"/>
      <c r="O2924" s="176"/>
      <c r="P2924" s="176"/>
      <c r="Q2924" s="176"/>
      <c r="R2924" s="176"/>
      <c r="S2924" s="176"/>
      <c r="T2924" s="176"/>
      <c r="U2924" s="176"/>
      <c r="V2924" s="176"/>
      <c r="W2924" s="176"/>
      <c r="X2924" s="176"/>
      <c r="Y2924" s="176"/>
    </row>
    <row r="2925" spans="1:25">
      <c r="A2925" s="91"/>
      <c r="B2925" s="176"/>
      <c r="C2925" s="176"/>
      <c r="D2925" s="176"/>
      <c r="E2925" s="176"/>
      <c r="F2925" s="176"/>
      <c r="G2925" s="176"/>
      <c r="H2925" s="176"/>
      <c r="I2925" s="176"/>
      <c r="J2925" s="176"/>
      <c r="K2925" s="176"/>
      <c r="L2925" s="176"/>
      <c r="M2925" s="176"/>
      <c r="N2925" s="176"/>
      <c r="O2925" s="176"/>
      <c r="P2925" s="176"/>
      <c r="Q2925" s="176"/>
      <c r="R2925" s="176"/>
      <c r="S2925" s="176"/>
      <c r="T2925" s="176"/>
      <c r="U2925" s="176"/>
      <c r="V2925" s="176"/>
      <c r="W2925" s="176"/>
      <c r="X2925" s="176"/>
      <c r="Y2925" s="176"/>
    </row>
    <row r="2926" spans="1:25">
      <c r="A2926" s="91"/>
      <c r="B2926" s="176"/>
      <c r="C2926" s="176"/>
      <c r="D2926" s="176"/>
      <c r="E2926" s="176"/>
      <c r="F2926" s="176"/>
      <c r="G2926" s="176"/>
      <c r="H2926" s="176"/>
      <c r="I2926" s="176"/>
      <c r="J2926" s="176"/>
      <c r="K2926" s="176"/>
      <c r="L2926" s="176"/>
      <c r="M2926" s="176"/>
      <c r="N2926" s="176"/>
      <c r="O2926" s="176"/>
      <c r="P2926" s="176"/>
      <c r="Q2926" s="176"/>
      <c r="R2926" s="176"/>
      <c r="S2926" s="176"/>
      <c r="T2926" s="176"/>
      <c r="U2926" s="176"/>
      <c r="V2926" s="176"/>
      <c r="W2926" s="176"/>
      <c r="X2926" s="176"/>
      <c r="Y2926" s="176"/>
    </row>
    <row r="2927" spans="1:25">
      <c r="A2927" s="91"/>
      <c r="B2927" s="176"/>
      <c r="C2927" s="176"/>
      <c r="D2927" s="176"/>
      <c r="E2927" s="176"/>
      <c r="F2927" s="176"/>
      <c r="G2927" s="176"/>
      <c r="H2927" s="176"/>
      <c r="I2927" s="176"/>
      <c r="J2927" s="176"/>
      <c r="K2927" s="176"/>
      <c r="L2927" s="176"/>
      <c r="M2927" s="176"/>
      <c r="N2927" s="176"/>
      <c r="O2927" s="176"/>
      <c r="P2927" s="176"/>
      <c r="Q2927" s="176"/>
      <c r="R2927" s="176"/>
      <c r="S2927" s="176"/>
      <c r="T2927" s="176"/>
      <c r="U2927" s="176"/>
      <c r="V2927" s="176"/>
      <c r="W2927" s="176"/>
      <c r="X2927" s="176"/>
      <c r="Y2927" s="176"/>
    </row>
    <row r="2928" spans="1:25">
      <c r="A2928" s="91"/>
      <c r="B2928" s="176"/>
      <c r="C2928" s="176"/>
      <c r="D2928" s="176"/>
      <c r="E2928" s="176"/>
      <c r="F2928" s="176"/>
      <c r="G2928" s="176"/>
      <c r="H2928" s="176"/>
      <c r="I2928" s="176"/>
      <c r="J2928" s="176"/>
      <c r="K2928" s="176"/>
      <c r="L2928" s="176"/>
      <c r="M2928" s="176"/>
      <c r="N2928" s="176"/>
      <c r="O2928" s="176"/>
      <c r="P2928" s="176"/>
      <c r="Q2928" s="176"/>
      <c r="R2928" s="176"/>
      <c r="S2928" s="176"/>
      <c r="T2928" s="176"/>
      <c r="U2928" s="176"/>
      <c r="V2928" s="176"/>
      <c r="W2928" s="176"/>
      <c r="X2928" s="176"/>
      <c r="Y2928" s="176"/>
    </row>
    <row r="2929" spans="1:25">
      <c r="A2929" s="91"/>
      <c r="B2929" s="176"/>
      <c r="C2929" s="176"/>
      <c r="D2929" s="176"/>
      <c r="E2929" s="176"/>
      <c r="F2929" s="176"/>
      <c r="G2929" s="176"/>
      <c r="H2929" s="176"/>
      <c r="I2929" s="176"/>
      <c r="J2929" s="176"/>
      <c r="K2929" s="176"/>
      <c r="L2929" s="176"/>
      <c r="M2929" s="176"/>
      <c r="N2929" s="176"/>
      <c r="O2929" s="176"/>
      <c r="P2929" s="176"/>
      <c r="Q2929" s="176"/>
      <c r="R2929" s="176"/>
      <c r="S2929" s="176"/>
      <c r="T2929" s="176"/>
      <c r="U2929" s="176"/>
      <c r="V2929" s="176"/>
      <c r="W2929" s="176"/>
      <c r="X2929" s="176"/>
      <c r="Y2929" s="176"/>
    </row>
    <row r="2930" spans="1:25">
      <c r="A2930" s="91"/>
      <c r="B2930" s="176"/>
      <c r="C2930" s="176"/>
      <c r="D2930" s="176"/>
      <c r="E2930" s="176"/>
      <c r="F2930" s="176"/>
      <c r="G2930" s="176"/>
      <c r="H2930" s="176"/>
      <c r="I2930" s="176"/>
      <c r="J2930" s="176"/>
      <c r="K2930" s="176"/>
      <c r="L2930" s="176"/>
      <c r="M2930" s="176"/>
      <c r="N2930" s="176"/>
      <c r="O2930" s="176"/>
      <c r="P2930" s="176"/>
      <c r="Q2930" s="176"/>
      <c r="R2930" s="176"/>
      <c r="S2930" s="176"/>
      <c r="T2930" s="176"/>
      <c r="U2930" s="176"/>
      <c r="V2930" s="176"/>
      <c r="W2930" s="176"/>
      <c r="X2930" s="176"/>
      <c r="Y2930" s="176"/>
    </row>
    <row r="2931" spans="1:25">
      <c r="A2931" s="91"/>
      <c r="B2931" s="176"/>
      <c r="C2931" s="176"/>
      <c r="D2931" s="176"/>
      <c r="E2931" s="176"/>
      <c r="F2931" s="176"/>
      <c r="G2931" s="176"/>
      <c r="H2931" s="176"/>
      <c r="I2931" s="176"/>
      <c r="J2931" s="176"/>
      <c r="K2931" s="176"/>
      <c r="L2931" s="176"/>
      <c r="M2931" s="176"/>
      <c r="N2931" s="176"/>
      <c r="O2931" s="176"/>
      <c r="P2931" s="176"/>
      <c r="Q2931" s="176"/>
      <c r="R2931" s="176"/>
      <c r="S2931" s="176"/>
      <c r="T2931" s="176"/>
      <c r="U2931" s="176"/>
      <c r="V2931" s="176"/>
      <c r="W2931" s="176"/>
      <c r="X2931" s="176"/>
      <c r="Y2931" s="176"/>
    </row>
    <row r="2932" spans="1:25">
      <c r="A2932" s="91"/>
      <c r="B2932" s="176"/>
      <c r="C2932" s="176"/>
      <c r="D2932" s="176"/>
      <c r="E2932" s="176"/>
      <c r="F2932" s="176"/>
      <c r="G2932" s="176"/>
      <c r="H2932" s="176"/>
      <c r="I2932" s="176"/>
      <c r="J2932" s="176"/>
      <c r="K2932" s="176"/>
      <c r="L2932" s="176"/>
      <c r="M2932" s="176"/>
      <c r="N2932" s="176"/>
      <c r="O2932" s="176"/>
      <c r="P2932" s="176"/>
      <c r="Q2932" s="176"/>
      <c r="R2932" s="176"/>
      <c r="S2932" s="176"/>
      <c r="T2932" s="176"/>
      <c r="U2932" s="176"/>
      <c r="V2932" s="176"/>
      <c r="W2932" s="176"/>
      <c r="X2932" s="176"/>
      <c r="Y2932" s="176"/>
    </row>
    <row r="2933" spans="1:25">
      <c r="A2933" s="91"/>
      <c r="B2933" s="176"/>
      <c r="C2933" s="176"/>
      <c r="D2933" s="176"/>
      <c r="E2933" s="176"/>
      <c r="F2933" s="176"/>
      <c r="G2933" s="176"/>
      <c r="H2933" s="176"/>
      <c r="I2933" s="176"/>
      <c r="J2933" s="176"/>
      <c r="K2933" s="176"/>
      <c r="L2933" s="176"/>
      <c r="M2933" s="176"/>
      <c r="N2933" s="176"/>
      <c r="O2933" s="176"/>
      <c r="P2933" s="176"/>
      <c r="Q2933" s="176"/>
      <c r="R2933" s="176"/>
      <c r="S2933" s="176"/>
      <c r="T2933" s="176"/>
      <c r="U2933" s="176"/>
      <c r="V2933" s="176"/>
      <c r="W2933" s="176"/>
      <c r="X2933" s="176"/>
      <c r="Y2933" s="176"/>
    </row>
    <row r="2934" spans="1:25">
      <c r="A2934" s="91"/>
      <c r="B2934" s="176"/>
      <c r="C2934" s="176"/>
      <c r="D2934" s="176"/>
      <c r="E2934" s="176"/>
      <c r="F2934" s="176"/>
      <c r="G2934" s="176"/>
      <c r="H2934" s="176"/>
      <c r="I2934" s="176"/>
      <c r="J2934" s="176"/>
      <c r="K2934" s="176"/>
      <c r="L2934" s="176"/>
      <c r="M2934" s="176"/>
      <c r="N2934" s="176"/>
      <c r="O2934" s="176"/>
      <c r="P2934" s="176"/>
      <c r="Q2934" s="176"/>
      <c r="R2934" s="176"/>
      <c r="S2934" s="176"/>
      <c r="T2934" s="176"/>
      <c r="U2934" s="176"/>
      <c r="V2934" s="176"/>
      <c r="W2934" s="176"/>
      <c r="X2934" s="176"/>
      <c r="Y2934" s="176"/>
    </row>
    <row r="2935" spans="1:25">
      <c r="A2935" s="91"/>
      <c r="B2935" s="176"/>
      <c r="C2935" s="176"/>
      <c r="D2935" s="176"/>
      <c r="E2935" s="176"/>
      <c r="F2935" s="176"/>
      <c r="G2935" s="176"/>
      <c r="H2935" s="176"/>
      <c r="I2935" s="176"/>
      <c r="J2935" s="176"/>
      <c r="K2935" s="176"/>
      <c r="L2935" s="176"/>
      <c r="M2935" s="176"/>
      <c r="N2935" s="176"/>
      <c r="O2935" s="176"/>
      <c r="P2935" s="176"/>
      <c r="Q2935" s="176"/>
      <c r="R2935" s="176"/>
      <c r="S2935" s="176"/>
      <c r="T2935" s="176"/>
      <c r="U2935" s="176"/>
      <c r="V2935" s="176"/>
      <c r="W2935" s="176"/>
      <c r="X2935" s="176"/>
      <c r="Y2935" s="176"/>
    </row>
    <row r="2936" spans="1:25">
      <c r="A2936" s="91"/>
      <c r="B2936" s="176"/>
      <c r="C2936" s="176"/>
      <c r="D2936" s="176"/>
      <c r="E2936" s="176"/>
      <c r="F2936" s="176"/>
      <c r="G2936" s="176"/>
      <c r="H2936" s="176"/>
      <c r="I2936" s="176"/>
      <c r="J2936" s="176"/>
      <c r="K2936" s="176"/>
      <c r="L2936" s="176"/>
      <c r="M2936" s="176"/>
      <c r="N2936" s="176"/>
      <c r="O2936" s="176"/>
      <c r="P2936" s="176"/>
      <c r="Q2936" s="176"/>
      <c r="R2936" s="176"/>
      <c r="S2936" s="176"/>
      <c r="T2936" s="176"/>
      <c r="U2936" s="176"/>
      <c r="V2936" s="176"/>
      <c r="W2936" s="176"/>
      <c r="X2936" s="176"/>
      <c r="Y2936" s="176"/>
    </row>
    <row r="2937" spans="1:25">
      <c r="A2937" s="91"/>
      <c r="B2937" s="176"/>
      <c r="C2937" s="176"/>
      <c r="D2937" s="176"/>
      <c r="E2937" s="176"/>
      <c r="F2937" s="176"/>
      <c r="G2937" s="176"/>
      <c r="H2937" s="176"/>
      <c r="I2937" s="176"/>
      <c r="J2937" s="176"/>
      <c r="K2937" s="176"/>
      <c r="L2937" s="176"/>
      <c r="M2937" s="176"/>
      <c r="N2937" s="176"/>
      <c r="O2937" s="176"/>
      <c r="P2937" s="176"/>
      <c r="Q2937" s="176"/>
      <c r="R2937" s="176"/>
      <c r="S2937" s="176"/>
      <c r="T2937" s="176"/>
      <c r="U2937" s="176"/>
      <c r="V2937" s="176"/>
      <c r="W2937" s="176"/>
      <c r="X2937" s="176"/>
      <c r="Y2937" s="176"/>
    </row>
    <row r="2938" spans="1:25">
      <c r="A2938" s="91"/>
      <c r="B2938" s="176"/>
      <c r="C2938" s="176"/>
      <c r="D2938" s="176"/>
      <c r="E2938" s="176"/>
      <c r="F2938" s="176"/>
      <c r="G2938" s="176"/>
      <c r="H2938" s="176"/>
      <c r="I2938" s="176"/>
      <c r="J2938" s="176"/>
      <c r="K2938" s="176"/>
      <c r="L2938" s="176"/>
      <c r="M2938" s="176"/>
      <c r="N2938" s="176"/>
      <c r="O2938" s="176"/>
      <c r="P2938" s="176"/>
      <c r="Q2938" s="176"/>
      <c r="R2938" s="176"/>
      <c r="S2938" s="176"/>
      <c r="T2938" s="176"/>
      <c r="U2938" s="176"/>
      <c r="V2938" s="176"/>
      <c r="W2938" s="176"/>
      <c r="X2938" s="176"/>
      <c r="Y2938" s="176"/>
    </row>
    <row r="2939" spans="1:25">
      <c r="A2939" s="91"/>
      <c r="B2939" s="176"/>
      <c r="C2939" s="176"/>
      <c r="D2939" s="176"/>
      <c r="E2939" s="176"/>
      <c r="F2939" s="176"/>
      <c r="G2939" s="176"/>
      <c r="H2939" s="176"/>
      <c r="I2939" s="176"/>
      <c r="J2939" s="176"/>
      <c r="K2939" s="176"/>
      <c r="L2939" s="176"/>
      <c r="M2939" s="176"/>
      <c r="N2939" s="176"/>
      <c r="O2939" s="176"/>
      <c r="P2939" s="176"/>
      <c r="Q2939" s="176"/>
      <c r="R2939" s="176"/>
      <c r="S2939" s="176"/>
      <c r="T2939" s="176"/>
      <c r="U2939" s="176"/>
      <c r="V2939" s="176"/>
      <c r="W2939" s="176"/>
      <c r="X2939" s="176"/>
      <c r="Y2939" s="176"/>
    </row>
    <row r="2940" spans="1:25">
      <c r="A2940" s="91"/>
      <c r="B2940" s="176"/>
      <c r="C2940" s="176"/>
      <c r="D2940" s="176"/>
      <c r="E2940" s="176"/>
      <c r="F2940" s="176"/>
      <c r="G2940" s="176"/>
      <c r="H2940" s="176"/>
      <c r="I2940" s="176"/>
      <c r="J2940" s="176"/>
      <c r="K2940" s="176"/>
      <c r="L2940" s="176"/>
      <c r="M2940" s="176"/>
      <c r="N2940" s="176"/>
      <c r="O2940" s="176"/>
      <c r="P2940" s="176"/>
      <c r="Q2940" s="176"/>
      <c r="R2940" s="176"/>
      <c r="S2940" s="176"/>
      <c r="T2940" s="176"/>
      <c r="U2940" s="176"/>
      <c r="V2940" s="176"/>
      <c r="W2940" s="176"/>
      <c r="X2940" s="176"/>
      <c r="Y2940" s="176"/>
    </row>
    <row r="2941" spans="1:25">
      <c r="A2941" s="91"/>
      <c r="B2941" s="176"/>
      <c r="C2941" s="176"/>
      <c r="D2941" s="176"/>
      <c r="E2941" s="176"/>
      <c r="F2941" s="176"/>
      <c r="G2941" s="176"/>
      <c r="H2941" s="176"/>
      <c r="I2941" s="176"/>
      <c r="J2941" s="176"/>
      <c r="K2941" s="176"/>
      <c r="L2941" s="176"/>
      <c r="M2941" s="176"/>
      <c r="N2941" s="176"/>
      <c r="O2941" s="176"/>
      <c r="P2941" s="176"/>
      <c r="Q2941" s="176"/>
      <c r="R2941" s="176"/>
      <c r="S2941" s="176"/>
      <c r="T2941" s="176"/>
      <c r="U2941" s="176"/>
      <c r="V2941" s="176"/>
      <c r="W2941" s="176"/>
      <c r="X2941" s="176"/>
      <c r="Y2941" s="176"/>
    </row>
    <row r="2942" spans="1:25">
      <c r="A2942" s="91"/>
      <c r="B2942" s="176"/>
      <c r="C2942" s="176"/>
      <c r="D2942" s="176"/>
      <c r="E2942" s="176"/>
      <c r="F2942" s="176"/>
      <c r="G2942" s="176"/>
      <c r="H2942" s="176"/>
      <c r="I2942" s="176"/>
      <c r="J2942" s="176"/>
      <c r="K2942" s="176"/>
      <c r="L2942" s="176"/>
      <c r="M2942" s="176"/>
      <c r="N2942" s="176"/>
      <c r="O2942" s="176"/>
      <c r="P2942" s="176"/>
      <c r="Q2942" s="176"/>
      <c r="R2942" s="176"/>
      <c r="S2942" s="176"/>
      <c r="T2942" s="176"/>
      <c r="U2942" s="176"/>
      <c r="V2942" s="176"/>
      <c r="W2942" s="176"/>
      <c r="X2942" s="176"/>
      <c r="Y2942" s="176"/>
    </row>
    <row r="2943" spans="1:25">
      <c r="A2943" s="91"/>
      <c r="B2943" s="176"/>
      <c r="C2943" s="176"/>
      <c r="D2943" s="176"/>
      <c r="E2943" s="176"/>
      <c r="F2943" s="176"/>
      <c r="G2943" s="176"/>
      <c r="H2943" s="176"/>
      <c r="I2943" s="176"/>
      <c r="J2943" s="176"/>
      <c r="K2943" s="176"/>
      <c r="L2943" s="176"/>
      <c r="M2943" s="176"/>
      <c r="N2943" s="176"/>
      <c r="O2943" s="176"/>
      <c r="P2943" s="176"/>
      <c r="Q2943" s="176"/>
      <c r="R2943" s="176"/>
      <c r="S2943" s="176"/>
      <c r="T2943" s="176"/>
      <c r="U2943" s="176"/>
      <c r="V2943" s="176"/>
      <c r="W2943" s="176"/>
      <c r="X2943" s="176"/>
      <c r="Y2943" s="176"/>
    </row>
    <row r="2944" spans="1:25">
      <c r="A2944" s="91"/>
      <c r="B2944" s="176"/>
      <c r="C2944" s="176"/>
      <c r="D2944" s="176"/>
      <c r="E2944" s="176"/>
      <c r="F2944" s="176"/>
      <c r="G2944" s="176"/>
      <c r="H2944" s="176"/>
      <c r="I2944" s="176"/>
      <c r="J2944" s="176"/>
      <c r="K2944" s="176"/>
      <c r="L2944" s="176"/>
      <c r="M2944" s="176"/>
      <c r="N2944" s="176"/>
      <c r="O2944" s="176"/>
      <c r="P2944" s="176"/>
      <c r="Q2944" s="176"/>
      <c r="R2944" s="176"/>
      <c r="S2944" s="176"/>
      <c r="T2944" s="176"/>
      <c r="U2944" s="176"/>
      <c r="V2944" s="176"/>
      <c r="W2944" s="176"/>
      <c r="X2944" s="176"/>
      <c r="Y2944" s="176"/>
    </row>
    <row r="2945" spans="1:25">
      <c r="A2945" s="91"/>
      <c r="B2945" s="176"/>
      <c r="C2945" s="176"/>
      <c r="D2945" s="176"/>
      <c r="E2945" s="176"/>
      <c r="F2945" s="176"/>
      <c r="G2945" s="176"/>
      <c r="H2945" s="176"/>
      <c r="I2945" s="176"/>
      <c r="J2945" s="176"/>
      <c r="K2945" s="176"/>
      <c r="L2945" s="176"/>
      <c r="M2945" s="176"/>
      <c r="N2945" s="176"/>
      <c r="O2945" s="176"/>
      <c r="P2945" s="176"/>
      <c r="Q2945" s="176"/>
      <c r="R2945" s="176"/>
      <c r="S2945" s="176"/>
      <c r="T2945" s="176"/>
      <c r="U2945" s="176"/>
      <c r="V2945" s="176"/>
      <c r="W2945" s="176"/>
      <c r="X2945" s="176"/>
      <c r="Y2945" s="176"/>
    </row>
    <row r="2946" spans="1:25">
      <c r="A2946" s="91"/>
      <c r="B2946" s="176"/>
      <c r="C2946" s="176"/>
      <c r="D2946" s="176"/>
      <c r="E2946" s="176"/>
      <c r="F2946" s="176"/>
      <c r="G2946" s="176"/>
      <c r="H2946" s="176"/>
      <c r="I2946" s="176"/>
      <c r="J2946" s="176"/>
      <c r="K2946" s="176"/>
      <c r="L2946" s="176"/>
      <c r="M2946" s="176"/>
      <c r="N2946" s="176"/>
      <c r="O2946" s="176"/>
      <c r="P2946" s="176"/>
      <c r="Q2946" s="176"/>
      <c r="R2946" s="176"/>
      <c r="S2946" s="176"/>
      <c r="T2946" s="176"/>
      <c r="U2946" s="176"/>
      <c r="V2946" s="176"/>
      <c r="W2946" s="176"/>
      <c r="X2946" s="176"/>
      <c r="Y2946" s="176"/>
    </row>
    <row r="2947" spans="1:25">
      <c r="A2947" s="91"/>
      <c r="B2947" s="176"/>
      <c r="C2947" s="176"/>
      <c r="D2947" s="176"/>
      <c r="E2947" s="176"/>
      <c r="F2947" s="176"/>
      <c r="G2947" s="176"/>
      <c r="H2947" s="176"/>
      <c r="I2947" s="176"/>
      <c r="J2947" s="176"/>
      <c r="K2947" s="176"/>
      <c r="L2947" s="176"/>
      <c r="M2947" s="176"/>
      <c r="N2947" s="176"/>
      <c r="O2947" s="176"/>
      <c r="P2947" s="176"/>
      <c r="Q2947" s="176"/>
      <c r="R2947" s="176"/>
      <c r="S2947" s="176"/>
      <c r="T2947" s="176"/>
      <c r="U2947" s="176"/>
      <c r="V2947" s="176"/>
      <c r="W2947" s="176"/>
      <c r="X2947" s="176"/>
      <c r="Y2947" s="176"/>
    </row>
    <row r="2948" spans="1:25">
      <c r="A2948" s="91"/>
      <c r="B2948" s="176"/>
      <c r="C2948" s="176"/>
      <c r="D2948" s="176"/>
      <c r="E2948" s="176"/>
      <c r="F2948" s="176"/>
      <c r="G2948" s="176"/>
      <c r="H2948" s="176"/>
      <c r="I2948" s="176"/>
      <c r="J2948" s="176"/>
      <c r="K2948" s="176"/>
      <c r="L2948" s="176"/>
      <c r="M2948" s="176"/>
      <c r="N2948" s="176"/>
      <c r="O2948" s="176"/>
      <c r="P2948" s="176"/>
      <c r="Q2948" s="176"/>
      <c r="R2948" s="176"/>
      <c r="S2948" s="176"/>
      <c r="T2948" s="176"/>
      <c r="U2948" s="176"/>
      <c r="V2948" s="176"/>
      <c r="W2948" s="176"/>
      <c r="X2948" s="176"/>
      <c r="Y2948" s="176"/>
    </row>
    <row r="2949" spans="1:25">
      <c r="A2949" s="91"/>
      <c r="B2949" s="176"/>
      <c r="C2949" s="176"/>
      <c r="D2949" s="176"/>
      <c r="E2949" s="176"/>
      <c r="F2949" s="176"/>
      <c r="G2949" s="176"/>
      <c r="H2949" s="176"/>
      <c r="I2949" s="176"/>
      <c r="J2949" s="176"/>
      <c r="K2949" s="176"/>
      <c r="L2949" s="176"/>
      <c r="M2949" s="176"/>
      <c r="N2949" s="176"/>
      <c r="O2949" s="176"/>
      <c r="P2949" s="176"/>
      <c r="Q2949" s="176"/>
      <c r="R2949" s="176"/>
      <c r="S2949" s="176"/>
      <c r="T2949" s="176"/>
      <c r="U2949" s="176"/>
      <c r="V2949" s="176"/>
      <c r="W2949" s="176"/>
      <c r="X2949" s="176"/>
      <c r="Y2949" s="176"/>
    </row>
    <row r="2950" spans="1:25">
      <c r="A2950" s="91"/>
      <c r="B2950" s="176"/>
      <c r="C2950" s="176"/>
      <c r="D2950" s="176"/>
      <c r="E2950" s="176"/>
      <c r="F2950" s="176"/>
      <c r="G2950" s="176"/>
      <c r="H2950" s="176"/>
      <c r="I2950" s="176"/>
      <c r="J2950" s="176"/>
      <c r="K2950" s="176"/>
      <c r="L2950" s="176"/>
      <c r="M2950" s="176"/>
      <c r="N2950" s="176"/>
      <c r="O2950" s="176"/>
      <c r="P2950" s="176"/>
      <c r="Q2950" s="176"/>
      <c r="R2950" s="176"/>
      <c r="S2950" s="176"/>
      <c r="T2950" s="176"/>
      <c r="U2950" s="176"/>
      <c r="V2950" s="176"/>
      <c r="W2950" s="176"/>
      <c r="X2950" s="176"/>
      <c r="Y2950" s="176"/>
    </row>
    <row r="2951" spans="1:25">
      <c r="A2951" s="91"/>
      <c r="B2951" s="176"/>
      <c r="C2951" s="176"/>
      <c r="D2951" s="176"/>
      <c r="E2951" s="176"/>
      <c r="F2951" s="176"/>
      <c r="G2951" s="176"/>
      <c r="H2951" s="176"/>
      <c r="I2951" s="176"/>
      <c r="J2951" s="176"/>
      <c r="K2951" s="176"/>
      <c r="L2951" s="176"/>
      <c r="M2951" s="176"/>
      <c r="N2951" s="176"/>
      <c r="O2951" s="176"/>
      <c r="P2951" s="176"/>
      <c r="Q2951" s="176"/>
      <c r="R2951" s="176"/>
      <c r="S2951" s="176"/>
      <c r="T2951" s="176"/>
      <c r="U2951" s="176"/>
      <c r="V2951" s="176"/>
      <c r="W2951" s="176"/>
      <c r="X2951" s="176"/>
      <c r="Y2951" s="176"/>
    </row>
    <row r="2952" spans="1:25">
      <c r="A2952" s="91"/>
      <c r="B2952" s="176"/>
      <c r="C2952" s="176"/>
      <c r="D2952" s="176"/>
      <c r="E2952" s="176"/>
      <c r="F2952" s="176"/>
      <c r="G2952" s="176"/>
      <c r="H2952" s="176"/>
      <c r="I2952" s="176"/>
      <c r="J2952" s="176"/>
      <c r="K2952" s="176"/>
      <c r="L2952" s="176"/>
      <c r="M2952" s="176"/>
      <c r="N2952" s="176"/>
      <c r="O2952" s="176"/>
      <c r="P2952" s="176"/>
      <c r="Q2952" s="176"/>
      <c r="R2952" s="176"/>
      <c r="S2952" s="176"/>
      <c r="T2952" s="176"/>
      <c r="U2952" s="176"/>
      <c r="V2952" s="176"/>
      <c r="W2952" s="176"/>
      <c r="X2952" s="176"/>
      <c r="Y2952" s="176"/>
    </row>
    <row r="2953" spans="1:25">
      <c r="A2953" s="91"/>
      <c r="B2953" s="176"/>
      <c r="C2953" s="176"/>
      <c r="D2953" s="176"/>
      <c r="E2953" s="176"/>
      <c r="F2953" s="176"/>
      <c r="G2953" s="176"/>
      <c r="H2953" s="176"/>
      <c r="I2953" s="176"/>
      <c r="J2953" s="176"/>
      <c r="K2953" s="176"/>
      <c r="L2953" s="176"/>
      <c r="M2953" s="176"/>
      <c r="N2953" s="176"/>
      <c r="O2953" s="176"/>
      <c r="P2953" s="176"/>
      <c r="Q2953" s="176"/>
      <c r="R2953" s="176"/>
      <c r="S2953" s="176"/>
      <c r="T2953" s="176"/>
      <c r="U2953" s="176"/>
      <c r="V2953" s="176"/>
      <c r="W2953" s="176"/>
      <c r="X2953" s="176"/>
      <c r="Y2953" s="176"/>
    </row>
    <row r="2954" spans="1:25">
      <c r="A2954" s="91"/>
      <c r="B2954" s="176"/>
      <c r="C2954" s="176"/>
      <c r="D2954" s="176"/>
      <c r="E2954" s="176"/>
      <c r="F2954" s="176"/>
      <c r="G2954" s="176"/>
      <c r="H2954" s="176"/>
      <c r="I2954" s="176"/>
      <c r="J2954" s="176"/>
      <c r="K2954" s="176"/>
      <c r="L2954" s="176"/>
      <c r="M2954" s="176"/>
      <c r="N2954" s="176"/>
      <c r="O2954" s="176"/>
      <c r="P2954" s="176"/>
      <c r="Q2954" s="176"/>
      <c r="R2954" s="176"/>
      <c r="S2954" s="176"/>
      <c r="T2954" s="176"/>
      <c r="U2954" s="176"/>
      <c r="V2954" s="176"/>
      <c r="W2954" s="176"/>
      <c r="X2954" s="176"/>
      <c r="Y2954" s="176"/>
    </row>
    <row r="2955" spans="1:25">
      <c r="A2955" s="91"/>
      <c r="B2955" s="176"/>
      <c r="C2955" s="176"/>
      <c r="D2955" s="176"/>
      <c r="E2955" s="176"/>
      <c r="F2955" s="176"/>
      <c r="G2955" s="176"/>
      <c r="H2955" s="176"/>
      <c r="I2955" s="176"/>
      <c r="J2955" s="176"/>
      <c r="K2955" s="176"/>
      <c r="L2955" s="176"/>
      <c r="M2955" s="176"/>
      <c r="N2955" s="176"/>
      <c r="O2955" s="176"/>
      <c r="P2955" s="176"/>
      <c r="Q2955" s="176"/>
      <c r="R2955" s="176"/>
      <c r="S2955" s="176"/>
      <c r="T2955" s="176"/>
      <c r="U2955" s="176"/>
      <c r="V2955" s="176"/>
      <c r="W2955" s="176"/>
      <c r="X2955" s="176"/>
      <c r="Y2955" s="176"/>
    </row>
    <row r="2956" spans="1:25">
      <c r="A2956" s="91"/>
      <c r="B2956" s="176"/>
      <c r="C2956" s="176"/>
      <c r="D2956" s="176"/>
      <c r="E2956" s="176"/>
      <c r="F2956" s="176"/>
      <c r="G2956" s="176"/>
      <c r="H2956" s="176"/>
      <c r="I2956" s="176"/>
      <c r="J2956" s="176"/>
      <c r="K2956" s="176"/>
      <c r="L2956" s="176"/>
      <c r="M2956" s="176"/>
      <c r="N2956" s="176"/>
      <c r="O2956" s="176"/>
      <c r="P2956" s="176"/>
      <c r="Q2956" s="176"/>
      <c r="R2956" s="176"/>
      <c r="S2956" s="176"/>
      <c r="T2956" s="176"/>
      <c r="U2956" s="176"/>
      <c r="V2956" s="176"/>
      <c r="W2956" s="176"/>
      <c r="X2956" s="176"/>
      <c r="Y2956" s="176"/>
    </row>
    <row r="2957" spans="1:25">
      <c r="A2957" s="91"/>
      <c r="B2957" s="176"/>
      <c r="C2957" s="176"/>
      <c r="D2957" s="176"/>
      <c r="E2957" s="176"/>
      <c r="F2957" s="176"/>
      <c r="G2957" s="176"/>
      <c r="H2957" s="176"/>
      <c r="I2957" s="176"/>
      <c r="J2957" s="176"/>
      <c r="K2957" s="176"/>
      <c r="L2957" s="176"/>
      <c r="M2957" s="176"/>
      <c r="N2957" s="176"/>
      <c r="O2957" s="176"/>
      <c r="P2957" s="176"/>
      <c r="Q2957" s="176"/>
      <c r="R2957" s="176"/>
      <c r="S2957" s="176"/>
      <c r="T2957" s="176"/>
      <c r="U2957" s="176"/>
      <c r="V2957" s="176"/>
      <c r="W2957" s="176"/>
      <c r="X2957" s="176"/>
      <c r="Y2957" s="176"/>
    </row>
    <row r="2958" spans="1:25">
      <c r="A2958" s="91"/>
      <c r="B2958" s="176"/>
      <c r="C2958" s="176"/>
      <c r="D2958" s="176"/>
      <c r="E2958" s="176"/>
      <c r="F2958" s="176"/>
      <c r="G2958" s="176"/>
      <c r="H2958" s="176"/>
      <c r="I2958" s="176"/>
      <c r="J2958" s="176"/>
      <c r="K2958" s="176"/>
      <c r="L2958" s="176"/>
      <c r="M2958" s="176"/>
      <c r="N2958" s="176"/>
      <c r="O2958" s="176"/>
      <c r="P2958" s="176"/>
      <c r="Q2958" s="176"/>
      <c r="R2958" s="176"/>
      <c r="S2958" s="176"/>
      <c r="T2958" s="176"/>
      <c r="U2958" s="176"/>
      <c r="V2958" s="176"/>
      <c r="W2958" s="176"/>
      <c r="X2958" s="176"/>
      <c r="Y2958" s="176"/>
    </row>
    <row r="2959" spans="1:25">
      <c r="A2959" s="91"/>
      <c r="B2959" s="176"/>
      <c r="C2959" s="176"/>
      <c r="D2959" s="176"/>
      <c r="E2959" s="176"/>
      <c r="F2959" s="176"/>
      <c r="G2959" s="176"/>
      <c r="H2959" s="176"/>
      <c r="I2959" s="176"/>
      <c r="J2959" s="176"/>
      <c r="K2959" s="176"/>
      <c r="L2959" s="176"/>
      <c r="M2959" s="176"/>
      <c r="N2959" s="176"/>
      <c r="O2959" s="176"/>
      <c r="P2959" s="176"/>
      <c r="Q2959" s="176"/>
      <c r="R2959" s="176"/>
      <c r="S2959" s="176"/>
      <c r="T2959" s="176"/>
      <c r="U2959" s="176"/>
      <c r="V2959" s="176"/>
      <c r="W2959" s="176"/>
      <c r="X2959" s="176"/>
      <c r="Y2959" s="176"/>
    </row>
    <row r="2960" spans="1:25">
      <c r="A2960" s="91"/>
      <c r="B2960" s="176"/>
      <c r="C2960" s="176"/>
      <c r="D2960" s="176"/>
      <c r="E2960" s="176"/>
      <c r="F2960" s="176"/>
      <c r="G2960" s="176"/>
      <c r="H2960" s="176"/>
      <c r="I2960" s="176"/>
      <c r="J2960" s="176"/>
      <c r="K2960" s="176"/>
      <c r="L2960" s="176"/>
      <c r="M2960" s="176"/>
      <c r="N2960" s="176"/>
      <c r="O2960" s="176"/>
      <c r="P2960" s="176"/>
      <c r="Q2960" s="176"/>
      <c r="R2960" s="176"/>
      <c r="S2960" s="176"/>
      <c r="T2960" s="176"/>
      <c r="U2960" s="176"/>
      <c r="V2960" s="176"/>
      <c r="W2960" s="176"/>
      <c r="X2960" s="176"/>
      <c r="Y2960" s="176"/>
    </row>
    <row r="2961" spans="1:25">
      <c r="A2961" s="91"/>
      <c r="B2961" s="176"/>
      <c r="C2961" s="176"/>
      <c r="D2961" s="176"/>
      <c r="E2961" s="176"/>
      <c r="F2961" s="176"/>
      <c r="G2961" s="176"/>
      <c r="H2961" s="176"/>
      <c r="I2961" s="176"/>
      <c r="J2961" s="176"/>
      <c r="K2961" s="176"/>
      <c r="L2961" s="176"/>
      <c r="M2961" s="176"/>
      <c r="N2961" s="176"/>
      <c r="O2961" s="176"/>
      <c r="P2961" s="176"/>
      <c r="Q2961" s="176"/>
      <c r="R2961" s="176"/>
      <c r="S2961" s="176"/>
      <c r="T2961" s="176"/>
      <c r="U2961" s="176"/>
      <c r="V2961" s="176"/>
      <c r="W2961" s="176"/>
      <c r="X2961" s="176"/>
      <c r="Y2961" s="176"/>
    </row>
    <row r="2962" spans="1:25">
      <c r="A2962" s="91"/>
      <c r="B2962" s="176"/>
      <c r="C2962" s="176"/>
      <c r="D2962" s="176"/>
      <c r="E2962" s="176"/>
      <c r="F2962" s="176"/>
      <c r="G2962" s="176"/>
      <c r="H2962" s="176"/>
      <c r="I2962" s="176"/>
      <c r="J2962" s="176"/>
      <c r="K2962" s="176"/>
      <c r="L2962" s="176"/>
      <c r="M2962" s="176"/>
      <c r="N2962" s="176"/>
      <c r="O2962" s="176"/>
      <c r="P2962" s="176"/>
      <c r="Q2962" s="176"/>
      <c r="R2962" s="176"/>
      <c r="S2962" s="176"/>
      <c r="T2962" s="176"/>
      <c r="U2962" s="176"/>
      <c r="V2962" s="176"/>
      <c r="W2962" s="176"/>
      <c r="X2962" s="176"/>
      <c r="Y2962" s="176"/>
    </row>
    <row r="2963" spans="1:25">
      <c r="A2963" s="91"/>
      <c r="B2963" s="176"/>
      <c r="C2963" s="176"/>
      <c r="D2963" s="176"/>
      <c r="E2963" s="176"/>
      <c r="F2963" s="176"/>
      <c r="G2963" s="176"/>
      <c r="H2963" s="176"/>
      <c r="I2963" s="176"/>
      <c r="J2963" s="176"/>
      <c r="K2963" s="176"/>
      <c r="L2963" s="176"/>
      <c r="M2963" s="176"/>
      <c r="N2963" s="176"/>
      <c r="O2963" s="176"/>
      <c r="P2963" s="176"/>
      <c r="Q2963" s="176"/>
      <c r="R2963" s="176"/>
      <c r="S2963" s="176"/>
      <c r="T2963" s="176"/>
      <c r="U2963" s="176"/>
      <c r="V2963" s="176"/>
      <c r="W2963" s="176"/>
      <c r="X2963" s="176"/>
      <c r="Y2963" s="176"/>
    </row>
    <row r="2964" spans="1:25">
      <c r="A2964" s="91"/>
      <c r="B2964" s="176"/>
      <c r="C2964" s="176"/>
      <c r="D2964" s="176"/>
      <c r="E2964" s="176"/>
      <c r="F2964" s="176"/>
      <c r="G2964" s="176"/>
      <c r="H2964" s="176"/>
      <c r="I2964" s="176"/>
      <c r="J2964" s="176"/>
      <c r="K2964" s="176"/>
      <c r="L2964" s="176"/>
      <c r="M2964" s="176"/>
      <c r="N2964" s="176"/>
      <c r="O2964" s="176"/>
      <c r="P2964" s="176"/>
      <c r="Q2964" s="176"/>
      <c r="R2964" s="176"/>
      <c r="S2964" s="176"/>
      <c r="T2964" s="176"/>
      <c r="U2964" s="176"/>
      <c r="V2964" s="176"/>
      <c r="W2964" s="176"/>
      <c r="X2964" s="176"/>
      <c r="Y2964" s="176"/>
    </row>
    <row r="2965" spans="1:25">
      <c r="A2965" s="91"/>
      <c r="B2965" s="176"/>
      <c r="C2965" s="176"/>
      <c r="D2965" s="176"/>
      <c r="E2965" s="176"/>
      <c r="F2965" s="176"/>
      <c r="G2965" s="176"/>
      <c r="H2965" s="176"/>
      <c r="I2965" s="176"/>
      <c r="J2965" s="176"/>
      <c r="K2965" s="176"/>
      <c r="L2965" s="176"/>
      <c r="M2965" s="176"/>
      <c r="N2965" s="176"/>
      <c r="O2965" s="176"/>
      <c r="P2965" s="176"/>
      <c r="Q2965" s="176"/>
      <c r="R2965" s="176"/>
      <c r="S2965" s="176"/>
      <c r="T2965" s="176"/>
      <c r="U2965" s="176"/>
      <c r="V2965" s="176"/>
      <c r="W2965" s="176"/>
      <c r="X2965" s="176"/>
      <c r="Y2965" s="176"/>
    </row>
    <row r="2966" spans="1:25">
      <c r="A2966" s="91"/>
      <c r="B2966" s="176"/>
      <c r="C2966" s="176"/>
      <c r="D2966" s="176"/>
      <c r="E2966" s="176"/>
      <c r="F2966" s="176"/>
      <c r="G2966" s="176"/>
      <c r="H2966" s="176"/>
      <c r="I2966" s="176"/>
      <c r="J2966" s="176"/>
      <c r="K2966" s="176"/>
      <c r="L2966" s="176"/>
      <c r="M2966" s="176"/>
      <c r="N2966" s="176"/>
      <c r="O2966" s="176"/>
      <c r="P2966" s="176"/>
      <c r="Q2966" s="176"/>
      <c r="R2966" s="176"/>
      <c r="S2966" s="176"/>
      <c r="T2966" s="176"/>
      <c r="U2966" s="176"/>
      <c r="V2966" s="176"/>
      <c r="W2966" s="176"/>
      <c r="X2966" s="176"/>
      <c r="Y2966" s="176"/>
    </row>
    <row r="2967" spans="1:25">
      <c r="A2967" s="91"/>
      <c r="B2967" s="176"/>
      <c r="C2967" s="176"/>
      <c r="D2967" s="176"/>
      <c r="E2967" s="176"/>
      <c r="F2967" s="176"/>
      <c r="G2967" s="176"/>
      <c r="H2967" s="176"/>
      <c r="I2967" s="176"/>
      <c r="J2967" s="176"/>
      <c r="K2967" s="176"/>
      <c r="L2967" s="176"/>
      <c r="M2967" s="176"/>
      <c r="N2967" s="176"/>
      <c r="O2967" s="176"/>
      <c r="P2967" s="176"/>
      <c r="Q2967" s="176"/>
      <c r="R2967" s="176"/>
      <c r="S2967" s="176"/>
      <c r="T2967" s="176"/>
      <c r="U2967" s="176"/>
      <c r="V2967" s="176"/>
      <c r="W2967" s="176"/>
      <c r="X2967" s="176"/>
      <c r="Y2967" s="176"/>
    </row>
    <row r="2968" spans="1:25">
      <c r="A2968" s="91"/>
      <c r="B2968" s="176"/>
      <c r="C2968" s="176"/>
      <c r="D2968" s="176"/>
      <c r="E2968" s="176"/>
      <c r="F2968" s="176"/>
      <c r="G2968" s="176"/>
      <c r="H2968" s="176"/>
      <c r="I2968" s="176"/>
      <c r="J2968" s="176"/>
      <c r="K2968" s="176"/>
      <c r="L2968" s="176"/>
      <c r="M2968" s="176"/>
      <c r="N2968" s="176"/>
      <c r="O2968" s="176"/>
      <c r="P2968" s="176"/>
      <c r="Q2968" s="176"/>
      <c r="R2968" s="176"/>
      <c r="S2968" s="176"/>
      <c r="T2968" s="176"/>
      <c r="U2968" s="176"/>
      <c r="V2968" s="176"/>
      <c r="W2968" s="176"/>
      <c r="X2968" s="176"/>
      <c r="Y2968" s="176"/>
    </row>
    <row r="2969" spans="1:25">
      <c r="A2969" s="91"/>
      <c r="B2969" s="176"/>
      <c r="C2969" s="176"/>
      <c r="D2969" s="176"/>
      <c r="E2969" s="176"/>
      <c r="F2969" s="176"/>
      <c r="G2969" s="176"/>
      <c r="H2969" s="176"/>
      <c r="I2969" s="176"/>
      <c r="J2969" s="176"/>
      <c r="K2969" s="176"/>
      <c r="L2969" s="176"/>
      <c r="M2969" s="176"/>
      <c r="N2969" s="176"/>
      <c r="O2969" s="176"/>
      <c r="P2969" s="176"/>
      <c r="Q2969" s="176"/>
      <c r="R2969" s="176"/>
      <c r="S2969" s="176"/>
      <c r="T2969" s="176"/>
      <c r="U2969" s="176"/>
      <c r="V2969" s="176"/>
      <c r="W2969" s="176"/>
      <c r="X2969" s="176"/>
      <c r="Y2969" s="176"/>
    </row>
    <row r="2970" spans="1:25">
      <c r="A2970" s="91"/>
      <c r="B2970" s="176"/>
      <c r="C2970" s="176"/>
      <c r="D2970" s="176"/>
      <c r="E2970" s="176"/>
      <c r="F2970" s="176"/>
      <c r="G2970" s="176"/>
      <c r="H2970" s="176"/>
      <c r="I2970" s="176"/>
      <c r="J2970" s="176"/>
      <c r="K2970" s="176"/>
      <c r="L2970" s="176"/>
      <c r="M2970" s="176"/>
      <c r="N2970" s="176"/>
      <c r="O2970" s="176"/>
      <c r="P2970" s="176"/>
      <c r="Q2970" s="176"/>
      <c r="R2970" s="176"/>
      <c r="S2970" s="176"/>
      <c r="T2970" s="176"/>
      <c r="U2970" s="176"/>
      <c r="V2970" s="176"/>
      <c r="W2970" s="176"/>
      <c r="X2970" s="176"/>
      <c r="Y2970" s="176"/>
    </row>
    <row r="2971" spans="1:25">
      <c r="A2971" s="91"/>
      <c r="B2971" s="176"/>
      <c r="C2971" s="176"/>
      <c r="D2971" s="176"/>
      <c r="E2971" s="176"/>
      <c r="F2971" s="176"/>
      <c r="G2971" s="176"/>
      <c r="H2971" s="176"/>
      <c r="I2971" s="176"/>
      <c r="J2971" s="176"/>
      <c r="K2971" s="176"/>
      <c r="L2971" s="176"/>
      <c r="M2971" s="176"/>
      <c r="N2971" s="176"/>
      <c r="O2971" s="176"/>
      <c r="P2971" s="176"/>
      <c r="Q2971" s="176"/>
      <c r="R2971" s="176"/>
      <c r="S2971" s="176"/>
      <c r="T2971" s="176"/>
      <c r="U2971" s="176"/>
      <c r="V2971" s="176"/>
      <c r="W2971" s="176"/>
      <c r="X2971" s="176"/>
      <c r="Y2971" s="176"/>
    </row>
    <row r="2972" spans="1:25">
      <c r="A2972" s="91"/>
      <c r="B2972" s="176"/>
      <c r="C2972" s="176"/>
      <c r="D2972" s="176"/>
      <c r="E2972" s="176"/>
      <c r="F2972" s="176"/>
      <c r="G2972" s="176"/>
      <c r="H2972" s="176"/>
      <c r="I2972" s="176"/>
      <c r="J2972" s="176"/>
      <c r="K2972" s="176"/>
      <c r="L2972" s="176"/>
      <c r="M2972" s="176"/>
      <c r="N2972" s="176"/>
      <c r="O2972" s="176"/>
      <c r="P2972" s="176"/>
      <c r="Q2972" s="176"/>
      <c r="R2972" s="176"/>
      <c r="S2972" s="176"/>
      <c r="T2972" s="176"/>
      <c r="U2972" s="176"/>
      <c r="V2972" s="176"/>
      <c r="W2972" s="176"/>
      <c r="X2972" s="176"/>
      <c r="Y2972" s="176"/>
    </row>
    <row r="2973" spans="1:25">
      <c r="A2973" s="91"/>
      <c r="B2973" s="176"/>
      <c r="C2973" s="176"/>
      <c r="D2973" s="176"/>
      <c r="E2973" s="176"/>
      <c r="F2973" s="176"/>
      <c r="G2973" s="176"/>
      <c r="H2973" s="176"/>
      <c r="I2973" s="176"/>
      <c r="J2973" s="176"/>
      <c r="K2973" s="176"/>
      <c r="L2973" s="176"/>
      <c r="M2973" s="176"/>
      <c r="N2973" s="176"/>
      <c r="O2973" s="176"/>
      <c r="P2973" s="176"/>
      <c r="Q2973" s="176"/>
      <c r="R2973" s="176"/>
      <c r="S2973" s="176"/>
      <c r="T2973" s="176"/>
      <c r="U2973" s="176"/>
      <c r="V2973" s="176"/>
      <c r="W2973" s="176"/>
      <c r="X2973" s="176"/>
      <c r="Y2973" s="176"/>
    </row>
    <row r="2974" spans="1:25">
      <c r="A2974" s="91"/>
      <c r="B2974" s="176"/>
      <c r="C2974" s="176"/>
      <c r="D2974" s="176"/>
      <c r="E2974" s="176"/>
      <c r="F2974" s="176"/>
      <c r="G2974" s="176"/>
      <c r="H2974" s="176"/>
      <c r="I2974" s="176"/>
      <c r="J2974" s="176"/>
      <c r="K2974" s="176"/>
      <c r="L2974" s="176"/>
      <c r="M2974" s="176"/>
      <c r="N2974" s="176"/>
      <c r="O2974" s="176"/>
      <c r="P2974" s="176"/>
      <c r="Q2974" s="176"/>
      <c r="R2974" s="176"/>
      <c r="S2974" s="176"/>
      <c r="T2974" s="176"/>
      <c r="U2974" s="176"/>
      <c r="V2974" s="176"/>
      <c r="W2974" s="176"/>
      <c r="X2974" s="176"/>
      <c r="Y2974" s="176"/>
    </row>
    <row r="2975" spans="1:25">
      <c r="A2975" s="91"/>
      <c r="B2975" s="176"/>
      <c r="C2975" s="176"/>
      <c r="D2975" s="176"/>
      <c r="E2975" s="176"/>
      <c r="F2975" s="176"/>
      <c r="G2975" s="176"/>
      <c r="H2975" s="176"/>
      <c r="I2975" s="176"/>
      <c r="J2975" s="176"/>
      <c r="K2975" s="176"/>
      <c r="L2975" s="176"/>
      <c r="M2975" s="176"/>
      <c r="N2975" s="176"/>
      <c r="O2975" s="176"/>
      <c r="P2975" s="176"/>
      <c r="Q2975" s="176"/>
      <c r="R2975" s="176"/>
      <c r="S2975" s="176"/>
      <c r="T2975" s="176"/>
      <c r="U2975" s="176"/>
      <c r="V2975" s="176"/>
      <c r="W2975" s="176"/>
      <c r="X2975" s="176"/>
      <c r="Y2975" s="176"/>
    </row>
    <row r="2976" spans="1:25">
      <c r="A2976" s="91"/>
      <c r="B2976" s="176"/>
      <c r="C2976" s="176"/>
      <c r="D2976" s="176"/>
      <c r="E2976" s="176"/>
      <c r="F2976" s="176"/>
      <c r="G2976" s="176"/>
      <c r="H2976" s="176"/>
      <c r="I2976" s="176"/>
      <c r="J2976" s="176"/>
      <c r="K2976" s="176"/>
      <c r="L2976" s="176"/>
      <c r="M2976" s="176"/>
      <c r="N2976" s="176"/>
      <c r="O2976" s="176"/>
      <c r="P2976" s="176"/>
      <c r="Q2976" s="176"/>
      <c r="R2976" s="176"/>
      <c r="S2976" s="176"/>
      <c r="T2976" s="176"/>
      <c r="U2976" s="176"/>
      <c r="V2976" s="176"/>
      <c r="W2976" s="176"/>
      <c r="X2976" s="176"/>
      <c r="Y2976" s="176"/>
    </row>
    <row r="2977" spans="1:25">
      <c r="A2977" s="91"/>
      <c r="B2977" s="176"/>
      <c r="C2977" s="176"/>
      <c r="D2977" s="176"/>
      <c r="E2977" s="176"/>
      <c r="F2977" s="176"/>
      <c r="G2977" s="176"/>
      <c r="H2977" s="176"/>
      <c r="I2977" s="176"/>
      <c r="J2977" s="176"/>
      <c r="K2977" s="176"/>
      <c r="L2977" s="176"/>
      <c r="M2977" s="176"/>
      <c r="N2977" s="176"/>
      <c r="O2977" s="176"/>
      <c r="P2977" s="176"/>
      <c r="Q2977" s="176"/>
      <c r="R2977" s="176"/>
      <c r="S2977" s="176"/>
      <c r="T2977" s="176"/>
      <c r="U2977" s="176"/>
      <c r="V2977" s="176"/>
      <c r="W2977" s="176"/>
      <c r="X2977" s="176"/>
      <c r="Y2977" s="176"/>
    </row>
    <row r="2978" spans="1:25">
      <c r="A2978" s="91"/>
      <c r="B2978" s="176"/>
      <c r="C2978" s="176"/>
      <c r="D2978" s="176"/>
      <c r="E2978" s="176"/>
      <c r="F2978" s="176"/>
      <c r="G2978" s="176"/>
      <c r="H2978" s="176"/>
      <c r="I2978" s="176"/>
      <c r="J2978" s="176"/>
      <c r="K2978" s="176"/>
      <c r="L2978" s="176"/>
      <c r="M2978" s="176"/>
      <c r="N2978" s="176"/>
      <c r="O2978" s="176"/>
      <c r="P2978" s="176"/>
      <c r="Q2978" s="176"/>
      <c r="R2978" s="176"/>
      <c r="S2978" s="176"/>
      <c r="T2978" s="176"/>
      <c r="U2978" s="176"/>
      <c r="V2978" s="176"/>
      <c r="W2978" s="176"/>
      <c r="X2978" s="176"/>
      <c r="Y2978" s="176"/>
    </row>
    <row r="2979" spans="1:25">
      <c r="A2979" s="91"/>
      <c r="B2979" s="176"/>
      <c r="C2979" s="176"/>
      <c r="D2979" s="176"/>
      <c r="E2979" s="176"/>
      <c r="F2979" s="176"/>
      <c r="G2979" s="176"/>
      <c r="H2979" s="176"/>
      <c r="I2979" s="176"/>
      <c r="J2979" s="176"/>
      <c r="K2979" s="176"/>
      <c r="L2979" s="176"/>
      <c r="M2979" s="176"/>
      <c r="N2979" s="176"/>
      <c r="O2979" s="176"/>
      <c r="P2979" s="176"/>
      <c r="Q2979" s="176"/>
      <c r="R2979" s="176"/>
      <c r="S2979" s="176"/>
      <c r="T2979" s="176"/>
      <c r="U2979" s="176"/>
      <c r="V2979" s="176"/>
      <c r="W2979" s="176"/>
      <c r="X2979" s="176"/>
      <c r="Y2979" s="176"/>
    </row>
    <row r="2980" spans="1:25">
      <c r="A2980" s="91"/>
      <c r="B2980" s="176"/>
      <c r="C2980" s="176"/>
      <c r="D2980" s="176"/>
      <c r="E2980" s="176"/>
      <c r="F2980" s="176"/>
      <c r="G2980" s="176"/>
      <c r="H2980" s="176"/>
      <c r="I2980" s="176"/>
      <c r="J2980" s="176"/>
      <c r="K2980" s="176"/>
      <c r="L2980" s="176"/>
      <c r="M2980" s="176"/>
      <c r="N2980" s="176"/>
      <c r="O2980" s="176"/>
      <c r="P2980" s="176"/>
      <c r="Q2980" s="176"/>
      <c r="R2980" s="176"/>
      <c r="S2980" s="176"/>
      <c r="T2980" s="176"/>
      <c r="U2980" s="176"/>
      <c r="V2980" s="176"/>
      <c r="W2980" s="176"/>
      <c r="X2980" s="176"/>
      <c r="Y2980" s="176"/>
    </row>
    <row r="2981" spans="1:25">
      <c r="A2981" s="91"/>
      <c r="B2981" s="176"/>
      <c r="C2981" s="176"/>
      <c r="D2981" s="176"/>
      <c r="E2981" s="176"/>
      <c r="F2981" s="176"/>
      <c r="G2981" s="176"/>
      <c r="H2981" s="176"/>
      <c r="I2981" s="176"/>
      <c r="J2981" s="176"/>
      <c r="K2981" s="176"/>
      <c r="L2981" s="176"/>
      <c r="M2981" s="176"/>
      <c r="N2981" s="176"/>
      <c r="O2981" s="176"/>
      <c r="P2981" s="176"/>
      <c r="Q2981" s="176"/>
      <c r="R2981" s="176"/>
      <c r="S2981" s="176"/>
      <c r="T2981" s="176"/>
      <c r="U2981" s="176"/>
      <c r="V2981" s="176"/>
      <c r="W2981" s="176"/>
      <c r="X2981" s="176"/>
      <c r="Y2981" s="176"/>
    </row>
    <row r="2982" spans="1:25">
      <c r="A2982" s="91"/>
      <c r="B2982" s="176"/>
      <c r="C2982" s="176"/>
      <c r="D2982" s="176"/>
      <c r="E2982" s="176"/>
      <c r="F2982" s="176"/>
      <c r="G2982" s="176"/>
      <c r="H2982" s="176"/>
      <c r="I2982" s="176"/>
      <c r="J2982" s="176"/>
      <c r="K2982" s="176"/>
      <c r="L2982" s="176"/>
      <c r="M2982" s="176"/>
      <c r="N2982" s="176"/>
      <c r="O2982" s="176"/>
      <c r="P2982" s="176"/>
      <c r="Q2982" s="176"/>
      <c r="R2982" s="176"/>
      <c r="S2982" s="176"/>
      <c r="T2982" s="176"/>
      <c r="U2982" s="176"/>
      <c r="V2982" s="176"/>
      <c r="W2982" s="176"/>
      <c r="X2982" s="176"/>
      <c r="Y2982" s="176"/>
    </row>
    <row r="2983" spans="1:25">
      <c r="A2983" s="91"/>
      <c r="B2983" s="176"/>
      <c r="C2983" s="176"/>
      <c r="D2983" s="176"/>
      <c r="E2983" s="176"/>
      <c r="F2983" s="176"/>
      <c r="G2983" s="176"/>
      <c r="H2983" s="176"/>
      <c r="I2983" s="176"/>
      <c r="J2983" s="176"/>
      <c r="K2983" s="176"/>
      <c r="L2983" s="176"/>
      <c r="M2983" s="176"/>
      <c r="N2983" s="176"/>
      <c r="O2983" s="176"/>
      <c r="P2983" s="176"/>
      <c r="Q2983" s="176"/>
      <c r="R2983" s="176"/>
      <c r="S2983" s="176"/>
      <c r="T2983" s="176"/>
      <c r="U2983" s="176"/>
      <c r="V2983" s="176"/>
      <c r="W2983" s="176"/>
      <c r="X2983" s="176"/>
      <c r="Y2983" s="176"/>
    </row>
    <row r="2984" spans="1:25">
      <c r="A2984" s="91"/>
      <c r="B2984" s="176"/>
      <c r="C2984" s="176"/>
      <c r="D2984" s="176"/>
      <c r="E2984" s="176"/>
      <c r="F2984" s="176"/>
      <c r="G2984" s="176"/>
      <c r="H2984" s="176"/>
      <c r="I2984" s="176"/>
      <c r="J2984" s="176"/>
      <c r="K2984" s="176"/>
      <c r="L2984" s="176"/>
      <c r="M2984" s="176"/>
      <c r="N2984" s="176"/>
      <c r="O2984" s="176"/>
      <c r="P2984" s="176"/>
      <c r="Q2984" s="176"/>
      <c r="R2984" s="176"/>
      <c r="S2984" s="176"/>
      <c r="T2984" s="176"/>
      <c r="U2984" s="176"/>
      <c r="V2984" s="176"/>
      <c r="W2984" s="176"/>
      <c r="X2984" s="176"/>
      <c r="Y2984" s="176"/>
    </row>
    <row r="2985" spans="1:25">
      <c r="A2985" s="91"/>
      <c r="B2985" s="176"/>
      <c r="C2985" s="176"/>
      <c r="D2985" s="176"/>
      <c r="E2985" s="176"/>
      <c r="F2985" s="176"/>
      <c r="G2985" s="176"/>
      <c r="H2985" s="176"/>
      <c r="I2985" s="176"/>
      <c r="J2985" s="176"/>
      <c r="K2985" s="176"/>
      <c r="L2985" s="176"/>
      <c r="M2985" s="176"/>
      <c r="N2985" s="176"/>
      <c r="O2985" s="176"/>
      <c r="P2985" s="176"/>
      <c r="Q2985" s="176"/>
      <c r="R2985" s="176"/>
      <c r="S2985" s="176"/>
      <c r="T2985" s="176"/>
      <c r="U2985" s="176"/>
      <c r="V2985" s="176"/>
      <c r="W2985" s="176"/>
      <c r="X2985" s="176"/>
      <c r="Y2985" s="176"/>
    </row>
    <row r="2986" spans="1:25">
      <c r="A2986" s="91"/>
      <c r="B2986" s="176"/>
      <c r="C2986" s="176"/>
      <c r="D2986" s="176"/>
      <c r="E2986" s="176"/>
      <c r="F2986" s="176"/>
      <c r="G2986" s="176"/>
      <c r="H2986" s="176"/>
      <c r="I2986" s="176"/>
      <c r="J2986" s="176"/>
      <c r="K2986" s="176"/>
      <c r="L2986" s="176"/>
      <c r="M2986" s="176"/>
      <c r="N2986" s="176"/>
      <c r="O2986" s="176"/>
      <c r="P2986" s="176"/>
      <c r="Q2986" s="176"/>
      <c r="R2986" s="176"/>
      <c r="S2986" s="176"/>
      <c r="T2986" s="176"/>
      <c r="U2986" s="176"/>
      <c r="V2986" s="176"/>
      <c r="W2986" s="176"/>
      <c r="X2986" s="176"/>
      <c r="Y2986" s="176"/>
    </row>
    <row r="2987" spans="1:25">
      <c r="A2987" s="91"/>
      <c r="B2987" s="176"/>
      <c r="C2987" s="176"/>
      <c r="D2987" s="176"/>
      <c r="E2987" s="176"/>
      <c r="F2987" s="176"/>
      <c r="G2987" s="176"/>
      <c r="H2987" s="176"/>
      <c r="I2987" s="176"/>
      <c r="J2987" s="176"/>
      <c r="K2987" s="176"/>
      <c r="L2987" s="176"/>
      <c r="M2987" s="176"/>
      <c r="N2987" s="176"/>
      <c r="O2987" s="176"/>
      <c r="P2987" s="176"/>
      <c r="Q2987" s="176"/>
      <c r="R2987" s="176"/>
      <c r="S2987" s="176"/>
      <c r="T2987" s="176"/>
      <c r="U2987" s="176"/>
      <c r="V2987" s="176"/>
      <c r="W2987" s="176"/>
      <c r="X2987" s="176"/>
      <c r="Y2987" s="176"/>
    </row>
    <row r="2988" spans="1:25">
      <c r="A2988" s="91"/>
      <c r="B2988" s="176"/>
      <c r="C2988" s="176"/>
      <c r="D2988" s="176"/>
      <c r="E2988" s="176"/>
      <c r="F2988" s="176"/>
      <c r="G2988" s="176"/>
      <c r="H2988" s="176"/>
      <c r="I2988" s="176"/>
      <c r="J2988" s="176"/>
      <c r="K2988" s="176"/>
      <c r="L2988" s="176"/>
      <c r="M2988" s="176"/>
      <c r="N2988" s="176"/>
      <c r="O2988" s="176"/>
      <c r="P2988" s="176"/>
      <c r="Q2988" s="176"/>
      <c r="R2988" s="176"/>
      <c r="S2988" s="176"/>
      <c r="T2988" s="176"/>
      <c r="U2988" s="176"/>
      <c r="V2988" s="176"/>
      <c r="W2988" s="176"/>
      <c r="X2988" s="176"/>
      <c r="Y2988" s="176"/>
    </row>
    <row r="2989" spans="1:25">
      <c r="A2989" s="91"/>
      <c r="B2989" s="176"/>
      <c r="C2989" s="176"/>
      <c r="D2989" s="176"/>
      <c r="E2989" s="176"/>
      <c r="F2989" s="176"/>
      <c r="G2989" s="176"/>
      <c r="H2989" s="176"/>
      <c r="I2989" s="176"/>
      <c r="J2989" s="176"/>
      <c r="K2989" s="176"/>
      <c r="L2989" s="176"/>
      <c r="M2989" s="176"/>
      <c r="N2989" s="176"/>
      <c r="O2989" s="176"/>
      <c r="P2989" s="176"/>
      <c r="Q2989" s="176"/>
      <c r="R2989" s="176"/>
      <c r="S2989" s="176"/>
      <c r="T2989" s="176"/>
      <c r="U2989" s="176"/>
      <c r="V2989" s="176"/>
      <c r="W2989" s="176"/>
      <c r="X2989" s="176"/>
      <c r="Y2989" s="176"/>
    </row>
    <row r="2990" spans="1:25">
      <c r="A2990" s="91"/>
      <c r="B2990" s="176"/>
      <c r="C2990" s="176"/>
      <c r="D2990" s="176"/>
      <c r="E2990" s="176"/>
      <c r="F2990" s="176"/>
      <c r="G2990" s="176"/>
      <c r="H2990" s="176"/>
      <c r="I2990" s="176"/>
      <c r="J2990" s="176"/>
      <c r="K2990" s="176"/>
      <c r="L2990" s="176"/>
      <c r="M2990" s="176"/>
      <c r="N2990" s="176"/>
      <c r="O2990" s="176"/>
      <c r="P2990" s="176"/>
      <c r="Q2990" s="176"/>
      <c r="R2990" s="176"/>
      <c r="S2990" s="176"/>
      <c r="T2990" s="176"/>
      <c r="U2990" s="176"/>
      <c r="V2990" s="176"/>
      <c r="W2990" s="176"/>
      <c r="X2990" s="176"/>
      <c r="Y2990" s="176"/>
    </row>
    <row r="2991" spans="1:25">
      <c r="A2991" s="91"/>
      <c r="B2991" s="176"/>
      <c r="C2991" s="176"/>
      <c r="D2991" s="176"/>
      <c r="E2991" s="176"/>
      <c r="F2991" s="176"/>
      <c r="G2991" s="176"/>
      <c r="H2991" s="176"/>
      <c r="I2991" s="176"/>
      <c r="J2991" s="176"/>
      <c r="K2991" s="176"/>
      <c r="L2991" s="176"/>
      <c r="M2991" s="176"/>
      <c r="N2991" s="176"/>
      <c r="O2991" s="176"/>
      <c r="P2991" s="176"/>
      <c r="Q2991" s="176"/>
      <c r="R2991" s="176"/>
      <c r="S2991" s="176"/>
      <c r="T2991" s="176"/>
      <c r="U2991" s="176"/>
      <c r="V2991" s="176"/>
      <c r="W2991" s="176"/>
      <c r="X2991" s="176"/>
      <c r="Y2991" s="176"/>
    </row>
    <row r="2992" spans="1:25">
      <c r="A2992" s="91"/>
      <c r="B2992" s="176"/>
      <c r="C2992" s="176"/>
      <c r="D2992" s="176"/>
      <c r="E2992" s="176"/>
      <c r="F2992" s="176"/>
      <c r="G2992" s="176"/>
      <c r="H2992" s="176"/>
      <c r="I2992" s="176"/>
      <c r="J2992" s="176"/>
      <c r="K2992" s="176"/>
      <c r="L2992" s="176"/>
      <c r="M2992" s="176"/>
      <c r="N2992" s="176"/>
      <c r="O2992" s="176"/>
      <c r="P2992" s="176"/>
      <c r="Q2992" s="176"/>
      <c r="R2992" s="176"/>
      <c r="S2992" s="176"/>
      <c r="T2992" s="176"/>
      <c r="U2992" s="176"/>
      <c r="V2992" s="176"/>
      <c r="W2992" s="176"/>
      <c r="X2992" s="176"/>
      <c r="Y2992" s="176"/>
    </row>
    <row r="2993" spans="1:25">
      <c r="A2993" s="91"/>
      <c r="B2993" s="176"/>
      <c r="C2993" s="176"/>
      <c r="D2993" s="176"/>
      <c r="E2993" s="176"/>
      <c r="F2993" s="176"/>
      <c r="G2993" s="176"/>
      <c r="H2993" s="176"/>
      <c r="I2993" s="176"/>
      <c r="J2993" s="176"/>
      <c r="K2993" s="176"/>
      <c r="L2993" s="176"/>
      <c r="M2993" s="176"/>
      <c r="N2993" s="176"/>
      <c r="O2993" s="176"/>
      <c r="P2993" s="176"/>
      <c r="Q2993" s="176"/>
      <c r="R2993" s="176"/>
      <c r="S2993" s="176"/>
      <c r="T2993" s="176"/>
      <c r="U2993" s="176"/>
      <c r="V2993" s="176"/>
      <c r="W2993" s="176"/>
      <c r="X2993" s="176"/>
      <c r="Y2993" s="176"/>
    </row>
    <row r="2994" spans="1:25">
      <c r="A2994" s="91"/>
      <c r="B2994" s="176"/>
      <c r="C2994" s="176"/>
      <c r="D2994" s="176"/>
      <c r="E2994" s="176"/>
      <c r="F2994" s="176"/>
      <c r="G2994" s="176"/>
      <c r="H2994" s="176"/>
      <c r="I2994" s="176"/>
      <c r="J2994" s="176"/>
      <c r="K2994" s="176"/>
      <c r="L2994" s="176"/>
      <c r="M2994" s="176"/>
      <c r="N2994" s="176"/>
      <c r="O2994" s="176"/>
      <c r="P2994" s="176"/>
      <c r="Q2994" s="176"/>
      <c r="R2994" s="176"/>
      <c r="S2994" s="176"/>
      <c r="T2994" s="176"/>
      <c r="U2994" s="176"/>
      <c r="V2994" s="176"/>
      <c r="W2994" s="176"/>
      <c r="X2994" s="176"/>
      <c r="Y2994" s="176"/>
    </row>
    <row r="2995" spans="1:25">
      <c r="A2995" s="91"/>
      <c r="B2995" s="176"/>
      <c r="C2995" s="176"/>
      <c r="D2995" s="176"/>
      <c r="E2995" s="176"/>
      <c r="F2995" s="176"/>
      <c r="G2995" s="176"/>
      <c r="H2995" s="176"/>
      <c r="I2995" s="176"/>
      <c r="J2995" s="176"/>
      <c r="K2995" s="176"/>
      <c r="L2995" s="176"/>
      <c r="M2995" s="176"/>
      <c r="N2995" s="176"/>
      <c r="O2995" s="176"/>
      <c r="P2995" s="176"/>
      <c r="Q2995" s="176"/>
      <c r="R2995" s="176"/>
      <c r="S2995" s="176"/>
      <c r="T2995" s="176"/>
      <c r="U2995" s="176"/>
      <c r="V2995" s="176"/>
      <c r="W2995" s="176"/>
      <c r="X2995" s="176"/>
      <c r="Y2995" s="176"/>
    </row>
    <row r="2996" spans="1:25">
      <c r="A2996" s="91"/>
      <c r="B2996" s="176"/>
      <c r="C2996" s="176"/>
      <c r="D2996" s="176"/>
      <c r="E2996" s="176"/>
      <c r="F2996" s="176"/>
      <c r="G2996" s="176"/>
      <c r="H2996" s="176"/>
      <c r="I2996" s="176"/>
      <c r="J2996" s="176"/>
      <c r="K2996" s="176"/>
      <c r="L2996" s="176"/>
      <c r="M2996" s="176"/>
      <c r="N2996" s="176"/>
      <c r="O2996" s="176"/>
      <c r="P2996" s="176"/>
      <c r="Q2996" s="176"/>
      <c r="R2996" s="176"/>
      <c r="S2996" s="176"/>
      <c r="T2996" s="176"/>
      <c r="U2996" s="176"/>
      <c r="V2996" s="176"/>
      <c r="W2996" s="176"/>
      <c r="X2996" s="176"/>
      <c r="Y2996" s="176"/>
    </row>
    <row r="2997" spans="1:25">
      <c r="A2997" s="91"/>
      <c r="B2997" s="176"/>
      <c r="C2997" s="176"/>
      <c r="D2997" s="176"/>
      <c r="E2997" s="176"/>
      <c r="F2997" s="176"/>
      <c r="G2997" s="176"/>
      <c r="H2997" s="176"/>
      <c r="I2997" s="176"/>
      <c r="J2997" s="176"/>
      <c r="K2997" s="176"/>
      <c r="L2997" s="176"/>
      <c r="M2997" s="176"/>
      <c r="N2997" s="176"/>
      <c r="O2997" s="176"/>
      <c r="P2997" s="176"/>
      <c r="Q2997" s="176"/>
      <c r="R2997" s="176"/>
      <c r="S2997" s="176"/>
      <c r="T2997" s="176"/>
      <c r="U2997" s="176"/>
      <c r="V2997" s="176"/>
      <c r="W2997" s="176"/>
      <c r="X2997" s="176"/>
      <c r="Y2997" s="176"/>
    </row>
    <row r="2998" spans="1:25">
      <c r="A2998" s="91"/>
      <c r="B2998" s="176"/>
      <c r="C2998" s="176"/>
      <c r="D2998" s="176"/>
      <c r="E2998" s="176"/>
      <c r="F2998" s="176"/>
      <c r="G2998" s="176"/>
      <c r="H2998" s="176"/>
      <c r="I2998" s="176"/>
      <c r="J2998" s="176"/>
      <c r="K2998" s="176"/>
      <c r="L2998" s="176"/>
      <c r="M2998" s="176"/>
      <c r="N2998" s="176"/>
      <c r="O2998" s="176"/>
      <c r="P2998" s="176"/>
      <c r="Q2998" s="176"/>
      <c r="R2998" s="176"/>
      <c r="S2998" s="176"/>
      <c r="T2998" s="176"/>
      <c r="U2998" s="176"/>
      <c r="V2998" s="176"/>
      <c r="W2998" s="176"/>
      <c r="X2998" s="176"/>
      <c r="Y2998" s="176"/>
    </row>
    <row r="2999" spans="1:25">
      <c r="A2999" s="91"/>
      <c r="B2999" s="176"/>
      <c r="C2999" s="176"/>
      <c r="D2999" s="176"/>
      <c r="E2999" s="176"/>
      <c r="F2999" s="176"/>
      <c r="G2999" s="176"/>
      <c r="H2999" s="176"/>
      <c r="I2999" s="176"/>
      <c r="J2999" s="176"/>
      <c r="K2999" s="176"/>
      <c r="L2999" s="176"/>
      <c r="M2999" s="176"/>
      <c r="N2999" s="176"/>
      <c r="O2999" s="176"/>
      <c r="P2999" s="176"/>
      <c r="Q2999" s="176"/>
      <c r="R2999" s="176"/>
      <c r="S2999" s="176"/>
      <c r="T2999" s="176"/>
      <c r="U2999" s="176"/>
      <c r="V2999" s="176"/>
      <c r="W2999" s="176"/>
      <c r="X2999" s="176"/>
      <c r="Y2999" s="176"/>
    </row>
    <row r="3000" spans="1:25">
      <c r="A3000" s="91"/>
      <c r="B3000" s="176"/>
      <c r="C3000" s="176"/>
      <c r="D3000" s="176"/>
      <c r="E3000" s="176"/>
      <c r="F3000" s="176"/>
      <c r="G3000" s="176"/>
      <c r="H3000" s="176"/>
      <c r="I3000" s="176"/>
      <c r="J3000" s="176"/>
      <c r="K3000" s="176"/>
      <c r="L3000" s="176"/>
      <c r="M3000" s="176"/>
      <c r="N3000" s="176"/>
      <c r="O3000" s="176"/>
      <c r="P3000" s="176"/>
      <c r="Q3000" s="176"/>
      <c r="R3000" s="176"/>
      <c r="S3000" s="176"/>
      <c r="T3000" s="176"/>
      <c r="U3000" s="176"/>
      <c r="V3000" s="176"/>
      <c r="W3000" s="176"/>
      <c r="X3000" s="176"/>
      <c r="Y3000" s="176"/>
    </row>
    <row r="3001" spans="1:25">
      <c r="A3001" s="91"/>
      <c r="B3001" s="176"/>
      <c r="C3001" s="176"/>
      <c r="D3001" s="176"/>
      <c r="E3001" s="176"/>
      <c r="F3001" s="176"/>
      <c r="G3001" s="176"/>
      <c r="H3001" s="176"/>
      <c r="I3001" s="176"/>
      <c r="J3001" s="176"/>
      <c r="K3001" s="176"/>
      <c r="L3001" s="176"/>
      <c r="M3001" s="176"/>
      <c r="N3001" s="176"/>
      <c r="O3001" s="176"/>
      <c r="P3001" s="176"/>
      <c r="Q3001" s="176"/>
      <c r="R3001" s="176"/>
      <c r="S3001" s="176"/>
      <c r="T3001" s="176"/>
      <c r="U3001" s="176"/>
      <c r="V3001" s="176"/>
      <c r="W3001" s="176"/>
      <c r="X3001" s="176"/>
      <c r="Y3001" s="176"/>
    </row>
    <row r="3002" spans="1:25">
      <c r="A3002" s="91"/>
      <c r="B3002" s="176"/>
      <c r="C3002" s="176"/>
      <c r="D3002" s="176"/>
      <c r="E3002" s="176"/>
      <c r="F3002" s="176"/>
      <c r="G3002" s="176"/>
      <c r="H3002" s="176"/>
      <c r="I3002" s="176"/>
      <c r="J3002" s="176"/>
      <c r="K3002" s="176"/>
      <c r="L3002" s="176"/>
      <c r="M3002" s="176"/>
      <c r="N3002" s="176"/>
      <c r="O3002" s="176"/>
      <c r="P3002" s="176"/>
      <c r="Q3002" s="176"/>
      <c r="R3002" s="176"/>
      <c r="S3002" s="176"/>
      <c r="T3002" s="176"/>
      <c r="U3002" s="176"/>
      <c r="V3002" s="176"/>
      <c r="W3002" s="176"/>
      <c r="X3002" s="176"/>
      <c r="Y3002" s="176"/>
    </row>
    <row r="3003" spans="1:25">
      <c r="A3003" s="91"/>
      <c r="B3003" s="176"/>
      <c r="C3003" s="176"/>
      <c r="D3003" s="176"/>
      <c r="E3003" s="176"/>
      <c r="F3003" s="176"/>
      <c r="G3003" s="176"/>
      <c r="H3003" s="176"/>
      <c r="I3003" s="176"/>
      <c r="J3003" s="176"/>
      <c r="K3003" s="176"/>
      <c r="L3003" s="176"/>
      <c r="M3003" s="176"/>
      <c r="N3003" s="176"/>
      <c r="O3003" s="176"/>
      <c r="P3003" s="176"/>
      <c r="Q3003" s="176"/>
      <c r="R3003" s="176"/>
      <c r="S3003" s="176"/>
      <c r="T3003" s="176"/>
      <c r="U3003" s="176"/>
      <c r="V3003" s="176"/>
      <c r="W3003" s="176"/>
      <c r="X3003" s="176"/>
      <c r="Y3003" s="176"/>
    </row>
    <row r="3004" spans="1:25">
      <c r="A3004" s="91"/>
      <c r="B3004" s="176"/>
      <c r="C3004" s="176"/>
      <c r="D3004" s="176"/>
      <c r="E3004" s="176"/>
      <c r="F3004" s="176"/>
      <c r="G3004" s="176"/>
      <c r="H3004" s="176"/>
      <c r="I3004" s="176"/>
      <c r="J3004" s="176"/>
      <c r="K3004" s="176"/>
      <c r="L3004" s="176"/>
      <c r="M3004" s="176"/>
      <c r="N3004" s="176"/>
      <c r="O3004" s="176"/>
      <c r="P3004" s="176"/>
      <c r="Q3004" s="176"/>
      <c r="R3004" s="176"/>
      <c r="S3004" s="176"/>
      <c r="T3004" s="176"/>
      <c r="U3004" s="176"/>
      <c r="V3004" s="176"/>
      <c r="W3004" s="176"/>
      <c r="X3004" s="176"/>
      <c r="Y3004" s="176"/>
    </row>
    <row r="3005" spans="1:25">
      <c r="A3005" s="91"/>
      <c r="B3005" s="176"/>
      <c r="C3005" s="176"/>
      <c r="D3005" s="176"/>
      <c r="E3005" s="176"/>
      <c r="F3005" s="176"/>
      <c r="G3005" s="176"/>
      <c r="H3005" s="176"/>
      <c r="I3005" s="176"/>
      <c r="J3005" s="176"/>
      <c r="K3005" s="176"/>
      <c r="L3005" s="176"/>
      <c r="M3005" s="176"/>
      <c r="N3005" s="176"/>
      <c r="O3005" s="176"/>
      <c r="P3005" s="176"/>
      <c r="Q3005" s="176"/>
      <c r="R3005" s="176"/>
      <c r="S3005" s="176"/>
      <c r="T3005" s="176"/>
      <c r="U3005" s="176"/>
      <c r="V3005" s="176"/>
      <c r="W3005" s="176"/>
      <c r="X3005" s="176"/>
      <c r="Y3005" s="176"/>
    </row>
    <row r="3006" spans="1:25">
      <c r="A3006" s="91"/>
      <c r="B3006" s="176"/>
      <c r="C3006" s="176"/>
      <c r="D3006" s="176"/>
      <c r="E3006" s="176"/>
      <c r="F3006" s="176"/>
      <c r="G3006" s="176"/>
      <c r="H3006" s="176"/>
      <c r="I3006" s="176"/>
      <c r="J3006" s="176"/>
      <c r="K3006" s="176"/>
      <c r="L3006" s="176"/>
      <c r="M3006" s="176"/>
      <c r="N3006" s="176"/>
      <c r="O3006" s="176"/>
      <c r="P3006" s="176"/>
      <c r="Q3006" s="176"/>
      <c r="R3006" s="176"/>
      <c r="S3006" s="176"/>
      <c r="T3006" s="176"/>
      <c r="U3006" s="176"/>
      <c r="V3006" s="176"/>
      <c r="W3006" s="176"/>
      <c r="X3006" s="176"/>
      <c r="Y3006" s="176"/>
    </row>
    <row r="3007" spans="1:25">
      <c r="A3007" s="91"/>
      <c r="B3007" s="176"/>
      <c r="C3007" s="176"/>
      <c r="D3007" s="176"/>
      <c r="E3007" s="176"/>
      <c r="F3007" s="176"/>
      <c r="G3007" s="176"/>
      <c r="H3007" s="176"/>
      <c r="I3007" s="176"/>
      <c r="J3007" s="176"/>
      <c r="K3007" s="176"/>
      <c r="L3007" s="176"/>
      <c r="M3007" s="176"/>
      <c r="N3007" s="176"/>
      <c r="O3007" s="176"/>
      <c r="P3007" s="176"/>
      <c r="Q3007" s="176"/>
      <c r="R3007" s="176"/>
      <c r="S3007" s="176"/>
      <c r="T3007" s="176"/>
      <c r="U3007" s="176"/>
      <c r="V3007" s="176"/>
      <c r="W3007" s="176"/>
      <c r="X3007" s="176"/>
      <c r="Y3007" s="176"/>
    </row>
    <row r="3008" spans="1:25">
      <c r="A3008" s="91"/>
      <c r="B3008" s="176"/>
      <c r="C3008" s="176"/>
      <c r="D3008" s="176"/>
      <c r="E3008" s="176"/>
      <c r="F3008" s="176"/>
      <c r="G3008" s="176"/>
      <c r="H3008" s="176"/>
      <c r="I3008" s="176"/>
      <c r="J3008" s="176"/>
      <c r="K3008" s="176"/>
      <c r="L3008" s="176"/>
      <c r="M3008" s="176"/>
      <c r="N3008" s="176"/>
      <c r="O3008" s="176"/>
      <c r="P3008" s="176"/>
      <c r="Q3008" s="176"/>
      <c r="R3008" s="176"/>
      <c r="S3008" s="176"/>
      <c r="T3008" s="176"/>
      <c r="U3008" s="176"/>
      <c r="V3008" s="176"/>
      <c r="W3008" s="176"/>
      <c r="X3008" s="176"/>
      <c r="Y3008" s="176"/>
    </row>
    <row r="3009" spans="1:25">
      <c r="A3009" s="91"/>
      <c r="B3009" s="176"/>
      <c r="C3009" s="176"/>
      <c r="D3009" s="176"/>
      <c r="E3009" s="176"/>
      <c r="F3009" s="176"/>
      <c r="G3009" s="176"/>
      <c r="H3009" s="176"/>
      <c r="I3009" s="176"/>
      <c r="J3009" s="176"/>
      <c r="K3009" s="176"/>
      <c r="L3009" s="176"/>
      <c r="M3009" s="176"/>
      <c r="N3009" s="176"/>
      <c r="O3009" s="176"/>
      <c r="P3009" s="176"/>
      <c r="Q3009" s="176"/>
      <c r="R3009" s="176"/>
      <c r="S3009" s="176"/>
      <c r="T3009" s="176"/>
      <c r="U3009" s="176"/>
      <c r="V3009" s="176"/>
      <c r="W3009" s="176"/>
      <c r="X3009" s="176"/>
      <c r="Y3009" s="176"/>
    </row>
    <row r="3010" spans="1:25">
      <c r="A3010" s="91"/>
      <c r="B3010" s="176"/>
      <c r="C3010" s="176"/>
      <c r="D3010" s="176"/>
      <c r="E3010" s="176"/>
      <c r="F3010" s="176"/>
      <c r="G3010" s="176"/>
      <c r="H3010" s="176"/>
      <c r="I3010" s="176"/>
      <c r="J3010" s="176"/>
      <c r="K3010" s="176"/>
      <c r="L3010" s="176"/>
      <c r="M3010" s="176"/>
      <c r="N3010" s="176"/>
      <c r="O3010" s="176"/>
      <c r="P3010" s="176"/>
      <c r="Q3010" s="176"/>
      <c r="R3010" s="176"/>
      <c r="S3010" s="176"/>
      <c r="T3010" s="176"/>
      <c r="U3010" s="176"/>
      <c r="V3010" s="176"/>
      <c r="W3010" s="176"/>
      <c r="X3010" s="176"/>
      <c r="Y3010" s="176"/>
    </row>
    <row r="3011" spans="1:25">
      <c r="A3011" s="91"/>
      <c r="B3011" s="176"/>
      <c r="C3011" s="176"/>
      <c r="D3011" s="176"/>
      <c r="E3011" s="176"/>
      <c r="F3011" s="176"/>
      <c r="G3011" s="176"/>
      <c r="H3011" s="176"/>
      <c r="I3011" s="176"/>
      <c r="J3011" s="176"/>
      <c r="K3011" s="176"/>
      <c r="L3011" s="176"/>
      <c r="M3011" s="176"/>
      <c r="N3011" s="176"/>
      <c r="O3011" s="176"/>
      <c r="P3011" s="176"/>
      <c r="Q3011" s="176"/>
      <c r="R3011" s="176"/>
      <c r="S3011" s="176"/>
      <c r="T3011" s="176"/>
      <c r="U3011" s="176"/>
      <c r="V3011" s="176"/>
      <c r="W3011" s="176"/>
      <c r="X3011" s="176"/>
      <c r="Y3011" s="176"/>
    </row>
    <row r="3012" spans="1:25">
      <c r="A3012" s="91"/>
      <c r="B3012" s="176"/>
      <c r="C3012" s="176"/>
      <c r="D3012" s="176"/>
      <c r="E3012" s="176"/>
      <c r="F3012" s="176"/>
      <c r="G3012" s="176"/>
      <c r="H3012" s="176"/>
      <c r="I3012" s="176"/>
      <c r="J3012" s="176"/>
      <c r="K3012" s="176"/>
      <c r="L3012" s="176"/>
      <c r="M3012" s="176"/>
      <c r="N3012" s="176"/>
      <c r="O3012" s="176"/>
      <c r="P3012" s="176"/>
      <c r="Q3012" s="176"/>
      <c r="R3012" s="176"/>
      <c r="S3012" s="176"/>
      <c r="T3012" s="176"/>
      <c r="U3012" s="176"/>
      <c r="V3012" s="176"/>
      <c r="W3012" s="176"/>
      <c r="X3012" s="176"/>
      <c r="Y3012" s="176"/>
    </row>
    <row r="3013" spans="1:25">
      <c r="A3013" s="91"/>
      <c r="B3013" s="176"/>
      <c r="C3013" s="176"/>
      <c r="D3013" s="176"/>
      <c r="E3013" s="176"/>
      <c r="F3013" s="176"/>
      <c r="G3013" s="176"/>
      <c r="H3013" s="176"/>
      <c r="I3013" s="176"/>
      <c r="J3013" s="176"/>
      <c r="K3013" s="176"/>
      <c r="L3013" s="176"/>
      <c r="M3013" s="176"/>
      <c r="N3013" s="176"/>
      <c r="O3013" s="176"/>
      <c r="P3013" s="176"/>
      <c r="Q3013" s="176"/>
      <c r="R3013" s="176"/>
      <c r="S3013" s="176"/>
      <c r="T3013" s="176"/>
      <c r="U3013" s="176"/>
      <c r="V3013" s="176"/>
      <c r="W3013" s="176"/>
      <c r="X3013" s="176"/>
      <c r="Y3013" s="176"/>
    </row>
    <row r="3014" spans="1:25">
      <c r="A3014" s="91"/>
      <c r="B3014" s="176"/>
      <c r="C3014" s="176"/>
      <c r="D3014" s="176"/>
      <c r="E3014" s="176"/>
      <c r="F3014" s="176"/>
      <c r="G3014" s="176"/>
      <c r="H3014" s="176"/>
      <c r="I3014" s="176"/>
      <c r="J3014" s="176"/>
      <c r="K3014" s="176"/>
      <c r="L3014" s="176"/>
      <c r="M3014" s="176"/>
      <c r="N3014" s="176"/>
      <c r="O3014" s="176"/>
      <c r="P3014" s="176"/>
      <c r="Q3014" s="176"/>
      <c r="R3014" s="176"/>
      <c r="S3014" s="176"/>
      <c r="T3014" s="176"/>
      <c r="U3014" s="176"/>
      <c r="V3014" s="176"/>
      <c r="W3014" s="176"/>
      <c r="X3014" s="176"/>
      <c r="Y3014" s="176"/>
    </row>
    <row r="3015" spans="1:25">
      <c r="A3015" s="91"/>
      <c r="B3015" s="176"/>
      <c r="C3015" s="176"/>
      <c r="D3015" s="176"/>
      <c r="E3015" s="176"/>
      <c r="F3015" s="176"/>
      <c r="G3015" s="176"/>
      <c r="H3015" s="176"/>
      <c r="I3015" s="176"/>
      <c r="J3015" s="176"/>
      <c r="K3015" s="176"/>
      <c r="L3015" s="176"/>
      <c r="M3015" s="176"/>
      <c r="N3015" s="176"/>
      <c r="O3015" s="176"/>
      <c r="P3015" s="176"/>
      <c r="Q3015" s="176"/>
      <c r="R3015" s="176"/>
      <c r="S3015" s="176"/>
      <c r="T3015" s="176"/>
      <c r="U3015" s="176"/>
      <c r="V3015" s="176"/>
      <c r="W3015" s="176"/>
      <c r="X3015" s="176"/>
      <c r="Y3015" s="176"/>
    </row>
    <row r="3016" spans="1:25">
      <c r="A3016" s="91"/>
      <c r="B3016" s="176"/>
      <c r="C3016" s="176"/>
      <c r="D3016" s="176"/>
      <c r="E3016" s="176"/>
      <c r="F3016" s="176"/>
      <c r="G3016" s="176"/>
      <c r="H3016" s="176"/>
      <c r="I3016" s="176"/>
      <c r="J3016" s="176"/>
      <c r="K3016" s="176"/>
      <c r="L3016" s="176"/>
      <c r="M3016" s="176"/>
      <c r="N3016" s="176"/>
      <c r="O3016" s="176"/>
      <c r="P3016" s="176"/>
      <c r="Q3016" s="176"/>
      <c r="R3016" s="176"/>
      <c r="S3016" s="176"/>
      <c r="T3016" s="176"/>
      <c r="U3016" s="176"/>
      <c r="V3016" s="176"/>
      <c r="W3016" s="176"/>
      <c r="X3016" s="176"/>
      <c r="Y3016" s="176"/>
    </row>
    <row r="3017" spans="1:25">
      <c r="A3017" s="91"/>
      <c r="B3017" s="176"/>
      <c r="C3017" s="176"/>
      <c r="D3017" s="176"/>
      <c r="E3017" s="176"/>
      <c r="F3017" s="176"/>
      <c r="G3017" s="176"/>
      <c r="H3017" s="176"/>
      <c r="I3017" s="176"/>
      <c r="J3017" s="176"/>
      <c r="K3017" s="176"/>
      <c r="L3017" s="176"/>
      <c r="M3017" s="176"/>
      <c r="N3017" s="176"/>
      <c r="O3017" s="176"/>
      <c r="P3017" s="176"/>
      <c r="Q3017" s="176"/>
      <c r="R3017" s="176"/>
      <c r="S3017" s="176"/>
      <c r="T3017" s="176"/>
      <c r="U3017" s="176"/>
      <c r="V3017" s="176"/>
      <c r="W3017" s="176"/>
      <c r="X3017" s="176"/>
      <c r="Y3017" s="176"/>
    </row>
    <row r="3018" spans="1:25">
      <c r="A3018" s="91"/>
      <c r="B3018" s="176"/>
      <c r="C3018" s="176"/>
      <c r="D3018" s="176"/>
      <c r="E3018" s="176"/>
      <c r="F3018" s="176"/>
      <c r="G3018" s="176"/>
      <c r="H3018" s="176"/>
      <c r="I3018" s="176"/>
      <c r="J3018" s="176"/>
      <c r="K3018" s="176"/>
      <c r="L3018" s="176"/>
      <c r="M3018" s="176"/>
      <c r="N3018" s="176"/>
      <c r="O3018" s="176"/>
      <c r="P3018" s="176"/>
      <c r="Q3018" s="176"/>
      <c r="R3018" s="176"/>
      <c r="S3018" s="176"/>
      <c r="T3018" s="176"/>
      <c r="U3018" s="176"/>
      <c r="V3018" s="176"/>
      <c r="W3018" s="176"/>
      <c r="X3018" s="176"/>
      <c r="Y3018" s="176"/>
    </row>
    <row r="3019" spans="1:25">
      <c r="A3019" s="91"/>
      <c r="B3019" s="176"/>
      <c r="C3019" s="176"/>
      <c r="D3019" s="176"/>
      <c r="E3019" s="176"/>
      <c r="F3019" s="176"/>
      <c r="G3019" s="176"/>
      <c r="H3019" s="176"/>
      <c r="I3019" s="176"/>
      <c r="J3019" s="176"/>
      <c r="K3019" s="176"/>
      <c r="L3019" s="176"/>
      <c r="M3019" s="176"/>
      <c r="N3019" s="176"/>
      <c r="O3019" s="176"/>
      <c r="P3019" s="176"/>
      <c r="Q3019" s="176"/>
      <c r="R3019" s="176"/>
      <c r="S3019" s="176"/>
      <c r="T3019" s="176"/>
      <c r="U3019" s="176"/>
      <c r="V3019" s="176"/>
      <c r="W3019" s="176"/>
      <c r="X3019" s="176"/>
      <c r="Y3019" s="176"/>
    </row>
    <row r="3020" spans="1:25">
      <c r="A3020" s="91"/>
      <c r="B3020" s="176"/>
      <c r="C3020" s="176"/>
      <c r="D3020" s="176"/>
      <c r="E3020" s="176"/>
      <c r="F3020" s="176"/>
      <c r="G3020" s="176"/>
      <c r="H3020" s="176"/>
      <c r="I3020" s="176"/>
      <c r="J3020" s="176"/>
      <c r="K3020" s="176"/>
      <c r="L3020" s="176"/>
      <c r="M3020" s="176"/>
      <c r="N3020" s="176"/>
      <c r="O3020" s="176"/>
      <c r="P3020" s="176"/>
      <c r="Q3020" s="176"/>
      <c r="R3020" s="176"/>
      <c r="S3020" s="176"/>
      <c r="T3020" s="176"/>
      <c r="U3020" s="176"/>
      <c r="V3020" s="176"/>
      <c r="W3020" s="176"/>
      <c r="X3020" s="176"/>
      <c r="Y3020" s="176"/>
    </row>
    <row r="3021" spans="1:25">
      <c r="A3021" s="91"/>
      <c r="B3021" s="176"/>
      <c r="C3021" s="176"/>
      <c r="D3021" s="176"/>
      <c r="E3021" s="176"/>
      <c r="F3021" s="176"/>
      <c r="G3021" s="176"/>
      <c r="H3021" s="176"/>
      <c r="I3021" s="176"/>
      <c r="J3021" s="176"/>
      <c r="K3021" s="176"/>
      <c r="L3021" s="176"/>
      <c r="M3021" s="176"/>
      <c r="N3021" s="176"/>
      <c r="O3021" s="176"/>
      <c r="P3021" s="176"/>
      <c r="Q3021" s="176"/>
      <c r="R3021" s="176"/>
      <c r="S3021" s="176"/>
      <c r="T3021" s="176"/>
      <c r="U3021" s="176"/>
      <c r="V3021" s="176"/>
      <c r="W3021" s="176"/>
      <c r="X3021" s="176"/>
      <c r="Y3021" s="176"/>
    </row>
    <row r="3022" spans="1:25">
      <c r="A3022" s="91"/>
      <c r="B3022" s="176"/>
      <c r="C3022" s="176"/>
      <c r="D3022" s="176"/>
      <c r="E3022" s="176"/>
      <c r="F3022" s="176"/>
      <c r="G3022" s="176"/>
      <c r="H3022" s="176"/>
      <c r="I3022" s="176"/>
      <c r="J3022" s="176"/>
      <c r="K3022" s="176"/>
      <c r="L3022" s="176"/>
      <c r="M3022" s="176"/>
      <c r="N3022" s="176"/>
      <c r="O3022" s="176"/>
      <c r="P3022" s="176"/>
      <c r="Q3022" s="176"/>
      <c r="R3022" s="176"/>
      <c r="S3022" s="176"/>
      <c r="T3022" s="176"/>
      <c r="U3022" s="176"/>
      <c r="V3022" s="176"/>
      <c r="W3022" s="176"/>
      <c r="X3022" s="176"/>
      <c r="Y3022" s="176"/>
    </row>
    <row r="3023" spans="1:25">
      <c r="A3023" s="91"/>
      <c r="B3023" s="176"/>
      <c r="C3023" s="176"/>
      <c r="D3023" s="176"/>
      <c r="E3023" s="176"/>
      <c r="F3023" s="176"/>
      <c r="G3023" s="176"/>
      <c r="H3023" s="176"/>
      <c r="I3023" s="176"/>
      <c r="J3023" s="176"/>
      <c r="K3023" s="176"/>
      <c r="L3023" s="176"/>
      <c r="M3023" s="176"/>
      <c r="N3023" s="176"/>
      <c r="O3023" s="176"/>
      <c r="P3023" s="176"/>
      <c r="Q3023" s="176"/>
      <c r="R3023" s="176"/>
      <c r="S3023" s="176"/>
      <c r="T3023" s="176"/>
      <c r="U3023" s="176"/>
      <c r="V3023" s="176"/>
      <c r="W3023" s="176"/>
      <c r="X3023" s="176"/>
      <c r="Y3023" s="176"/>
    </row>
    <row r="3024" spans="1:25">
      <c r="A3024" s="91"/>
      <c r="B3024" s="176"/>
      <c r="C3024" s="176"/>
      <c r="D3024" s="176"/>
      <c r="E3024" s="176"/>
      <c r="F3024" s="176"/>
      <c r="G3024" s="176"/>
      <c r="H3024" s="176"/>
      <c r="I3024" s="176"/>
      <c r="J3024" s="176"/>
      <c r="K3024" s="176"/>
      <c r="L3024" s="176"/>
      <c r="M3024" s="176"/>
      <c r="N3024" s="176"/>
      <c r="O3024" s="176"/>
      <c r="P3024" s="176"/>
      <c r="Q3024" s="176"/>
      <c r="R3024" s="176"/>
      <c r="S3024" s="176"/>
      <c r="T3024" s="176"/>
      <c r="U3024" s="176"/>
      <c r="V3024" s="176"/>
      <c r="W3024" s="176"/>
      <c r="X3024" s="176"/>
      <c r="Y3024" s="176"/>
    </row>
    <row r="3025" spans="1:25">
      <c r="A3025" s="91"/>
      <c r="B3025" s="176"/>
      <c r="C3025" s="176"/>
      <c r="D3025" s="176"/>
      <c r="E3025" s="176"/>
      <c r="F3025" s="176"/>
      <c r="G3025" s="176"/>
      <c r="H3025" s="176"/>
      <c r="I3025" s="176"/>
      <c r="J3025" s="176"/>
      <c r="K3025" s="176"/>
      <c r="L3025" s="176"/>
      <c r="M3025" s="176"/>
      <c r="N3025" s="176"/>
      <c r="O3025" s="176"/>
      <c r="P3025" s="176"/>
      <c r="Q3025" s="176"/>
      <c r="R3025" s="176"/>
      <c r="S3025" s="176"/>
      <c r="T3025" s="176"/>
      <c r="U3025" s="176"/>
      <c r="V3025" s="176"/>
      <c r="W3025" s="176"/>
      <c r="X3025" s="176"/>
      <c r="Y3025" s="176"/>
    </row>
    <row r="3026" spans="1:25">
      <c r="A3026" s="91"/>
      <c r="B3026" s="176"/>
      <c r="C3026" s="176"/>
      <c r="D3026" s="176"/>
      <c r="E3026" s="176"/>
      <c r="F3026" s="176"/>
      <c r="G3026" s="176"/>
      <c r="H3026" s="176"/>
      <c r="I3026" s="176"/>
      <c r="J3026" s="176"/>
      <c r="K3026" s="176"/>
      <c r="L3026" s="176"/>
      <c r="M3026" s="176"/>
      <c r="N3026" s="176"/>
      <c r="O3026" s="176"/>
      <c r="P3026" s="176"/>
      <c r="Q3026" s="176"/>
      <c r="R3026" s="176"/>
      <c r="S3026" s="176"/>
      <c r="T3026" s="176"/>
      <c r="U3026" s="176"/>
      <c r="V3026" s="176"/>
      <c r="W3026" s="176"/>
      <c r="X3026" s="176"/>
      <c r="Y3026" s="176"/>
    </row>
    <row r="3027" spans="1:25">
      <c r="A3027" s="91"/>
      <c r="B3027" s="176"/>
      <c r="C3027" s="176"/>
      <c r="D3027" s="176"/>
      <c r="E3027" s="176"/>
      <c r="F3027" s="176"/>
      <c r="G3027" s="176"/>
      <c r="H3027" s="176"/>
      <c r="I3027" s="176"/>
      <c r="J3027" s="176"/>
      <c r="K3027" s="176"/>
      <c r="L3027" s="176"/>
      <c r="M3027" s="176"/>
      <c r="N3027" s="176"/>
      <c r="O3027" s="176"/>
      <c r="P3027" s="176"/>
      <c r="Q3027" s="176"/>
      <c r="R3027" s="176"/>
      <c r="S3027" s="176"/>
      <c r="T3027" s="176"/>
      <c r="U3027" s="176"/>
      <c r="V3027" s="176"/>
      <c r="W3027" s="176"/>
      <c r="X3027" s="176"/>
      <c r="Y3027" s="176"/>
    </row>
    <row r="3028" spans="1:25">
      <c r="A3028" s="91"/>
      <c r="B3028" s="176"/>
      <c r="C3028" s="176"/>
      <c r="D3028" s="176"/>
      <c r="E3028" s="176"/>
      <c r="F3028" s="176"/>
      <c r="G3028" s="176"/>
      <c r="H3028" s="176"/>
      <c r="I3028" s="176"/>
      <c r="J3028" s="176"/>
      <c r="K3028" s="176"/>
      <c r="L3028" s="176"/>
      <c r="M3028" s="176"/>
      <c r="N3028" s="176"/>
      <c r="O3028" s="176"/>
      <c r="P3028" s="176"/>
      <c r="Q3028" s="176"/>
      <c r="R3028" s="176"/>
      <c r="S3028" s="176"/>
      <c r="T3028" s="176"/>
      <c r="U3028" s="176"/>
      <c r="V3028" s="176"/>
      <c r="W3028" s="176"/>
      <c r="X3028" s="176"/>
      <c r="Y3028" s="176"/>
    </row>
    <row r="3029" spans="1:25">
      <c r="A3029" s="91"/>
      <c r="B3029" s="176"/>
      <c r="C3029" s="176"/>
      <c r="D3029" s="176"/>
      <c r="E3029" s="176"/>
      <c r="F3029" s="176"/>
      <c r="G3029" s="176"/>
      <c r="H3029" s="176"/>
      <c r="I3029" s="176"/>
      <c r="J3029" s="176"/>
      <c r="K3029" s="176"/>
      <c r="L3029" s="176"/>
      <c r="M3029" s="176"/>
      <c r="N3029" s="176"/>
      <c r="O3029" s="176"/>
      <c r="P3029" s="176"/>
      <c r="Q3029" s="176"/>
      <c r="R3029" s="176"/>
      <c r="S3029" s="176"/>
      <c r="T3029" s="176"/>
      <c r="U3029" s="176"/>
      <c r="V3029" s="176"/>
      <c r="W3029" s="176"/>
      <c r="X3029" s="176"/>
      <c r="Y3029" s="176"/>
    </row>
    <row r="3030" spans="1:25">
      <c r="A3030" s="91"/>
      <c r="B3030" s="176"/>
      <c r="C3030" s="176"/>
      <c r="D3030" s="176"/>
      <c r="E3030" s="176"/>
      <c r="F3030" s="176"/>
      <c r="G3030" s="176"/>
      <c r="H3030" s="176"/>
      <c r="I3030" s="176"/>
      <c r="J3030" s="176"/>
      <c r="K3030" s="176"/>
      <c r="L3030" s="176"/>
      <c r="M3030" s="176"/>
      <c r="N3030" s="176"/>
      <c r="O3030" s="176"/>
      <c r="P3030" s="176"/>
      <c r="Q3030" s="176"/>
      <c r="R3030" s="176"/>
      <c r="S3030" s="176"/>
      <c r="T3030" s="176"/>
      <c r="U3030" s="176"/>
      <c r="V3030" s="176"/>
      <c r="W3030" s="176"/>
      <c r="X3030" s="176"/>
      <c r="Y3030" s="176"/>
    </row>
    <row r="3031" spans="1:25">
      <c r="A3031" s="91"/>
      <c r="B3031" s="176"/>
      <c r="C3031" s="176"/>
      <c r="D3031" s="176"/>
      <c r="E3031" s="176"/>
      <c r="F3031" s="176"/>
      <c r="G3031" s="176"/>
      <c r="H3031" s="176"/>
      <c r="I3031" s="176"/>
      <c r="J3031" s="176"/>
      <c r="K3031" s="176"/>
      <c r="L3031" s="176"/>
      <c r="M3031" s="176"/>
      <c r="N3031" s="176"/>
      <c r="O3031" s="176"/>
      <c r="P3031" s="176"/>
      <c r="Q3031" s="176"/>
      <c r="R3031" s="176"/>
      <c r="S3031" s="176"/>
      <c r="T3031" s="176"/>
      <c r="U3031" s="176"/>
      <c r="V3031" s="176"/>
      <c r="W3031" s="176"/>
      <c r="X3031" s="176"/>
      <c r="Y3031" s="176"/>
    </row>
    <row r="3032" spans="1:25">
      <c r="A3032" s="91"/>
      <c r="B3032" s="176"/>
      <c r="C3032" s="176"/>
      <c r="D3032" s="176"/>
      <c r="E3032" s="176"/>
      <c r="F3032" s="176"/>
      <c r="G3032" s="176"/>
      <c r="H3032" s="176"/>
      <c r="I3032" s="176"/>
      <c r="J3032" s="176"/>
      <c r="K3032" s="176"/>
      <c r="L3032" s="176"/>
      <c r="M3032" s="176"/>
      <c r="N3032" s="176"/>
      <c r="O3032" s="176"/>
      <c r="P3032" s="176"/>
      <c r="Q3032" s="176"/>
      <c r="R3032" s="176"/>
      <c r="S3032" s="176"/>
      <c r="T3032" s="176"/>
      <c r="U3032" s="176"/>
      <c r="V3032" s="176"/>
      <c r="W3032" s="176"/>
      <c r="X3032" s="176"/>
      <c r="Y3032" s="176"/>
    </row>
    <row r="3033" spans="1:25">
      <c r="A3033" s="91"/>
      <c r="B3033" s="176"/>
      <c r="C3033" s="176"/>
      <c r="D3033" s="176"/>
      <c r="E3033" s="176"/>
      <c r="F3033" s="176"/>
      <c r="G3033" s="176"/>
      <c r="H3033" s="176"/>
      <c r="I3033" s="176"/>
      <c r="J3033" s="176"/>
      <c r="K3033" s="176"/>
      <c r="L3033" s="176"/>
      <c r="M3033" s="176"/>
      <c r="N3033" s="176"/>
      <c r="O3033" s="176"/>
      <c r="P3033" s="176"/>
      <c r="Q3033" s="176"/>
      <c r="R3033" s="176"/>
      <c r="S3033" s="176"/>
      <c r="T3033" s="176"/>
      <c r="U3033" s="176"/>
      <c r="V3033" s="176"/>
      <c r="W3033" s="176"/>
      <c r="X3033" s="176"/>
      <c r="Y3033" s="176"/>
    </row>
    <row r="3034" spans="1:25">
      <c r="A3034" s="91"/>
      <c r="B3034" s="176"/>
      <c r="C3034" s="176"/>
      <c r="D3034" s="176"/>
      <c r="E3034" s="176"/>
      <c r="F3034" s="176"/>
      <c r="G3034" s="176"/>
      <c r="H3034" s="176"/>
      <c r="I3034" s="176"/>
      <c r="J3034" s="176"/>
      <c r="K3034" s="176"/>
      <c r="L3034" s="176"/>
      <c r="M3034" s="176"/>
      <c r="N3034" s="176"/>
      <c r="O3034" s="176"/>
      <c r="P3034" s="176"/>
      <c r="Q3034" s="176"/>
      <c r="R3034" s="176"/>
      <c r="S3034" s="176"/>
      <c r="T3034" s="176"/>
      <c r="U3034" s="176"/>
      <c r="V3034" s="176"/>
      <c r="W3034" s="176"/>
      <c r="X3034" s="176"/>
      <c r="Y3034" s="176"/>
    </row>
    <row r="3035" spans="1:25">
      <c r="A3035" s="91"/>
      <c r="B3035" s="176"/>
      <c r="C3035" s="176"/>
      <c r="D3035" s="176"/>
      <c r="E3035" s="176"/>
      <c r="F3035" s="176"/>
      <c r="G3035" s="176"/>
      <c r="H3035" s="176"/>
      <c r="I3035" s="176"/>
      <c r="J3035" s="176"/>
      <c r="K3035" s="176"/>
      <c r="L3035" s="176"/>
      <c r="M3035" s="176"/>
      <c r="N3035" s="176"/>
      <c r="O3035" s="176"/>
      <c r="P3035" s="176"/>
      <c r="Q3035" s="176"/>
      <c r="R3035" s="176"/>
      <c r="S3035" s="176"/>
      <c r="T3035" s="176"/>
      <c r="U3035" s="176"/>
      <c r="V3035" s="176"/>
      <c r="W3035" s="176"/>
      <c r="X3035" s="176"/>
      <c r="Y3035" s="176"/>
    </row>
    <row r="3036" spans="1:25">
      <c r="A3036" s="91"/>
      <c r="B3036" s="176"/>
      <c r="C3036" s="176"/>
      <c r="D3036" s="176"/>
      <c r="E3036" s="176"/>
      <c r="F3036" s="176"/>
      <c r="G3036" s="176"/>
      <c r="H3036" s="176"/>
      <c r="I3036" s="176"/>
      <c r="J3036" s="176"/>
      <c r="K3036" s="176"/>
      <c r="L3036" s="176"/>
      <c r="M3036" s="176"/>
      <c r="N3036" s="176"/>
      <c r="O3036" s="176"/>
      <c r="P3036" s="176"/>
      <c r="Q3036" s="176"/>
      <c r="R3036" s="176"/>
      <c r="S3036" s="176"/>
      <c r="T3036" s="176"/>
      <c r="U3036" s="176"/>
      <c r="V3036" s="176"/>
      <c r="W3036" s="176"/>
      <c r="X3036" s="176"/>
      <c r="Y3036" s="176"/>
    </row>
    <row r="3037" spans="1:25">
      <c r="A3037" s="91"/>
      <c r="B3037" s="176"/>
      <c r="C3037" s="176"/>
      <c r="D3037" s="176"/>
      <c r="E3037" s="176"/>
      <c r="F3037" s="176"/>
      <c r="G3037" s="176"/>
      <c r="H3037" s="176"/>
      <c r="I3037" s="176"/>
      <c r="J3037" s="176"/>
      <c r="K3037" s="176"/>
      <c r="L3037" s="176"/>
      <c r="M3037" s="176"/>
      <c r="N3037" s="176"/>
      <c r="O3037" s="176"/>
      <c r="P3037" s="176"/>
      <c r="Q3037" s="176"/>
      <c r="R3037" s="176"/>
      <c r="S3037" s="176"/>
      <c r="T3037" s="176"/>
      <c r="U3037" s="176"/>
      <c r="V3037" s="176"/>
      <c r="W3037" s="176"/>
      <c r="X3037" s="176"/>
      <c r="Y3037" s="176"/>
    </row>
    <row r="3038" spans="1:25">
      <c r="A3038" s="91"/>
      <c r="B3038" s="176"/>
      <c r="C3038" s="176"/>
      <c r="D3038" s="176"/>
      <c r="E3038" s="176"/>
      <c r="F3038" s="176"/>
      <c r="G3038" s="176"/>
      <c r="H3038" s="176"/>
      <c r="I3038" s="176"/>
      <c r="J3038" s="176"/>
      <c r="K3038" s="176"/>
      <c r="L3038" s="176"/>
      <c r="M3038" s="176"/>
      <c r="N3038" s="176"/>
      <c r="O3038" s="176"/>
      <c r="P3038" s="176"/>
      <c r="Q3038" s="176"/>
      <c r="R3038" s="176"/>
      <c r="S3038" s="176"/>
      <c r="T3038" s="176"/>
      <c r="U3038" s="176"/>
      <c r="V3038" s="176"/>
      <c r="W3038" s="176"/>
      <c r="X3038" s="176"/>
      <c r="Y3038" s="176"/>
    </row>
    <row r="3039" spans="1:25">
      <c r="A3039" s="91"/>
      <c r="B3039" s="176"/>
      <c r="C3039" s="176"/>
      <c r="D3039" s="176"/>
      <c r="E3039" s="176"/>
      <c r="F3039" s="176"/>
      <c r="G3039" s="176"/>
      <c r="H3039" s="176"/>
      <c r="I3039" s="176"/>
      <c r="J3039" s="176"/>
      <c r="K3039" s="176"/>
      <c r="L3039" s="176"/>
      <c r="M3039" s="176"/>
      <c r="N3039" s="176"/>
      <c r="O3039" s="176"/>
      <c r="P3039" s="176"/>
      <c r="Q3039" s="176"/>
      <c r="R3039" s="176"/>
      <c r="S3039" s="176"/>
      <c r="T3039" s="176"/>
      <c r="U3039" s="176"/>
      <c r="V3039" s="176"/>
      <c r="W3039" s="176"/>
      <c r="X3039" s="176"/>
      <c r="Y3039" s="176"/>
    </row>
    <row r="3040" spans="1:25">
      <c r="A3040" s="91"/>
      <c r="B3040" s="176"/>
      <c r="C3040" s="176"/>
      <c r="D3040" s="176"/>
      <c r="E3040" s="176"/>
      <c r="F3040" s="176"/>
      <c r="G3040" s="176"/>
      <c r="H3040" s="176"/>
      <c r="I3040" s="176"/>
      <c r="J3040" s="176"/>
      <c r="K3040" s="176"/>
      <c r="L3040" s="176"/>
      <c r="M3040" s="176"/>
      <c r="N3040" s="176"/>
      <c r="O3040" s="176"/>
      <c r="P3040" s="176"/>
      <c r="Q3040" s="176"/>
      <c r="R3040" s="176"/>
      <c r="S3040" s="176"/>
      <c r="T3040" s="176"/>
      <c r="U3040" s="176"/>
      <c r="V3040" s="176"/>
      <c r="W3040" s="176"/>
      <c r="X3040" s="176"/>
      <c r="Y3040" s="176"/>
    </row>
    <row r="3041" spans="1:25">
      <c r="A3041" s="91"/>
      <c r="B3041" s="176"/>
      <c r="C3041" s="176"/>
      <c r="D3041" s="176"/>
      <c r="E3041" s="176"/>
      <c r="F3041" s="176"/>
      <c r="G3041" s="176"/>
      <c r="H3041" s="176"/>
      <c r="I3041" s="176"/>
      <c r="J3041" s="176"/>
      <c r="K3041" s="176"/>
      <c r="L3041" s="176"/>
      <c r="M3041" s="176"/>
      <c r="N3041" s="176"/>
      <c r="O3041" s="176"/>
      <c r="P3041" s="176"/>
      <c r="Q3041" s="176"/>
      <c r="R3041" s="176"/>
      <c r="S3041" s="176"/>
      <c r="T3041" s="176"/>
      <c r="U3041" s="176"/>
      <c r="V3041" s="176"/>
      <c r="W3041" s="176"/>
      <c r="X3041" s="176"/>
      <c r="Y3041" s="176"/>
    </row>
    <row r="3042" spans="1:25">
      <c r="A3042" s="91"/>
      <c r="B3042" s="176"/>
      <c r="C3042" s="176"/>
      <c r="D3042" s="176"/>
      <c r="E3042" s="176"/>
      <c r="F3042" s="176"/>
      <c r="G3042" s="176"/>
      <c r="H3042" s="176"/>
      <c r="I3042" s="176"/>
      <c r="J3042" s="176"/>
      <c r="K3042" s="176"/>
      <c r="L3042" s="176"/>
      <c r="M3042" s="176"/>
      <c r="N3042" s="176"/>
      <c r="O3042" s="176"/>
      <c r="P3042" s="176"/>
      <c r="Q3042" s="176"/>
      <c r="R3042" s="176"/>
      <c r="S3042" s="176"/>
      <c r="T3042" s="176"/>
      <c r="U3042" s="176"/>
      <c r="V3042" s="176"/>
      <c r="W3042" s="176"/>
      <c r="X3042" s="176"/>
      <c r="Y3042" s="176"/>
    </row>
    <row r="3043" spans="1:25">
      <c r="A3043" s="91"/>
      <c r="B3043" s="176"/>
      <c r="C3043" s="176"/>
      <c r="D3043" s="176"/>
      <c r="E3043" s="176"/>
      <c r="F3043" s="176"/>
      <c r="G3043" s="176"/>
      <c r="H3043" s="176"/>
      <c r="I3043" s="176"/>
      <c r="J3043" s="176"/>
      <c r="K3043" s="176"/>
      <c r="L3043" s="176"/>
      <c r="M3043" s="176"/>
      <c r="N3043" s="176"/>
      <c r="O3043" s="176"/>
      <c r="P3043" s="176"/>
      <c r="Q3043" s="176"/>
      <c r="R3043" s="176"/>
      <c r="S3043" s="176"/>
      <c r="T3043" s="176"/>
      <c r="U3043" s="176"/>
      <c r="V3043" s="176"/>
      <c r="W3043" s="176"/>
      <c r="X3043" s="176"/>
      <c r="Y3043" s="176"/>
    </row>
    <row r="3044" spans="1:25">
      <c r="A3044" s="91"/>
      <c r="B3044" s="176"/>
      <c r="C3044" s="176"/>
      <c r="D3044" s="176"/>
      <c r="E3044" s="176"/>
      <c r="F3044" s="176"/>
      <c r="G3044" s="176"/>
      <c r="H3044" s="176"/>
      <c r="I3044" s="176"/>
      <c r="J3044" s="176"/>
      <c r="K3044" s="176"/>
      <c r="L3044" s="176"/>
      <c r="M3044" s="176"/>
      <c r="N3044" s="176"/>
      <c r="O3044" s="176"/>
      <c r="P3044" s="176"/>
      <c r="Q3044" s="176"/>
      <c r="R3044" s="176"/>
      <c r="S3044" s="176"/>
      <c r="T3044" s="176"/>
      <c r="U3044" s="176"/>
      <c r="V3044" s="176"/>
      <c r="W3044" s="176"/>
      <c r="X3044" s="176"/>
      <c r="Y3044" s="176"/>
    </row>
    <row r="3045" spans="1:25">
      <c r="A3045" s="91"/>
      <c r="B3045" s="176"/>
      <c r="C3045" s="176"/>
      <c r="D3045" s="176"/>
      <c r="E3045" s="176"/>
      <c r="F3045" s="176"/>
      <c r="G3045" s="176"/>
      <c r="H3045" s="176"/>
      <c r="I3045" s="176"/>
      <c r="J3045" s="176"/>
      <c r="K3045" s="176"/>
      <c r="L3045" s="176"/>
      <c r="M3045" s="176"/>
      <c r="N3045" s="176"/>
      <c r="O3045" s="176"/>
      <c r="P3045" s="176"/>
      <c r="Q3045" s="176"/>
      <c r="R3045" s="176"/>
      <c r="S3045" s="176"/>
      <c r="T3045" s="176"/>
      <c r="U3045" s="176"/>
      <c r="V3045" s="176"/>
      <c r="W3045" s="176"/>
      <c r="X3045" s="176"/>
      <c r="Y3045" s="176"/>
    </row>
    <row r="3046" spans="1:25">
      <c r="A3046" s="91"/>
      <c r="B3046" s="176"/>
      <c r="C3046" s="176"/>
      <c r="D3046" s="176"/>
      <c r="E3046" s="176"/>
      <c r="F3046" s="176"/>
      <c r="G3046" s="176"/>
      <c r="H3046" s="176"/>
      <c r="I3046" s="176"/>
      <c r="J3046" s="176"/>
      <c r="K3046" s="176"/>
      <c r="L3046" s="176"/>
      <c r="M3046" s="176"/>
      <c r="N3046" s="176"/>
      <c r="O3046" s="176"/>
      <c r="P3046" s="176"/>
      <c r="Q3046" s="176"/>
      <c r="R3046" s="176"/>
      <c r="S3046" s="176"/>
      <c r="T3046" s="176"/>
      <c r="U3046" s="176"/>
      <c r="V3046" s="176"/>
      <c r="W3046" s="176"/>
      <c r="X3046" s="176"/>
      <c r="Y3046" s="176"/>
    </row>
    <row r="3047" spans="1:25">
      <c r="A3047" s="91"/>
      <c r="B3047" s="176"/>
      <c r="C3047" s="176"/>
      <c r="D3047" s="176"/>
      <c r="E3047" s="176"/>
      <c r="F3047" s="176"/>
      <c r="G3047" s="176"/>
      <c r="H3047" s="176"/>
      <c r="I3047" s="176"/>
      <c r="J3047" s="176"/>
      <c r="K3047" s="176"/>
      <c r="L3047" s="176"/>
      <c r="M3047" s="176"/>
      <c r="N3047" s="176"/>
      <c r="O3047" s="176"/>
      <c r="P3047" s="176"/>
      <c r="Q3047" s="176"/>
      <c r="R3047" s="176"/>
      <c r="S3047" s="176"/>
      <c r="T3047" s="176"/>
      <c r="U3047" s="176"/>
      <c r="V3047" s="176"/>
      <c r="W3047" s="176"/>
      <c r="X3047" s="176"/>
      <c r="Y3047" s="176"/>
    </row>
    <row r="3048" spans="1:25">
      <c r="A3048" s="91"/>
      <c r="B3048" s="176"/>
      <c r="C3048" s="176"/>
      <c r="D3048" s="176"/>
      <c r="E3048" s="176"/>
      <c r="F3048" s="176"/>
      <c r="G3048" s="176"/>
      <c r="H3048" s="176"/>
      <c r="I3048" s="176"/>
      <c r="J3048" s="176"/>
      <c r="K3048" s="176"/>
      <c r="L3048" s="176"/>
      <c r="M3048" s="176"/>
      <c r="N3048" s="176"/>
      <c r="O3048" s="176"/>
      <c r="P3048" s="176"/>
      <c r="Q3048" s="176"/>
      <c r="R3048" s="176"/>
      <c r="S3048" s="176"/>
      <c r="T3048" s="176"/>
      <c r="U3048" s="176"/>
      <c r="V3048" s="176"/>
      <c r="W3048" s="176"/>
      <c r="X3048" s="176"/>
      <c r="Y3048" s="176"/>
    </row>
    <row r="3049" spans="1:25">
      <c r="A3049" s="91"/>
      <c r="B3049" s="176"/>
      <c r="C3049" s="176"/>
      <c r="D3049" s="176"/>
      <c r="E3049" s="176"/>
      <c r="F3049" s="176"/>
      <c r="G3049" s="176"/>
      <c r="H3049" s="176"/>
      <c r="I3049" s="176"/>
      <c r="J3049" s="176"/>
      <c r="K3049" s="176"/>
      <c r="L3049" s="176"/>
      <c r="M3049" s="176"/>
      <c r="N3049" s="176"/>
      <c r="O3049" s="176"/>
      <c r="P3049" s="176"/>
      <c r="Q3049" s="176"/>
      <c r="R3049" s="176"/>
      <c r="S3049" s="176"/>
      <c r="T3049" s="176"/>
      <c r="U3049" s="176"/>
      <c r="V3049" s="176"/>
      <c r="W3049" s="176"/>
      <c r="X3049" s="176"/>
      <c r="Y3049" s="176"/>
    </row>
    <row r="3050" spans="1:25">
      <c r="A3050" s="91"/>
      <c r="B3050" s="176"/>
      <c r="C3050" s="176"/>
      <c r="D3050" s="176"/>
      <c r="E3050" s="176"/>
      <c r="F3050" s="176"/>
      <c r="G3050" s="176"/>
      <c r="H3050" s="176"/>
      <c r="I3050" s="176"/>
      <c r="J3050" s="176"/>
      <c r="K3050" s="176"/>
      <c r="L3050" s="176"/>
      <c r="M3050" s="176"/>
      <c r="N3050" s="176"/>
      <c r="O3050" s="176"/>
      <c r="P3050" s="176"/>
      <c r="Q3050" s="176"/>
      <c r="R3050" s="176"/>
      <c r="S3050" s="176"/>
      <c r="T3050" s="176"/>
      <c r="U3050" s="176"/>
      <c r="V3050" s="176"/>
      <c r="W3050" s="176"/>
      <c r="X3050" s="176"/>
      <c r="Y3050" s="176"/>
    </row>
    <row r="3051" spans="1:25">
      <c r="A3051" s="91"/>
      <c r="B3051" s="176"/>
      <c r="C3051" s="176"/>
      <c r="D3051" s="176"/>
      <c r="E3051" s="176"/>
      <c r="F3051" s="176"/>
      <c r="G3051" s="176"/>
      <c r="H3051" s="176"/>
      <c r="I3051" s="176"/>
      <c r="J3051" s="176"/>
      <c r="K3051" s="176"/>
      <c r="L3051" s="176"/>
      <c r="M3051" s="176"/>
      <c r="N3051" s="176"/>
      <c r="O3051" s="176"/>
      <c r="P3051" s="176"/>
      <c r="Q3051" s="176"/>
      <c r="R3051" s="176"/>
      <c r="S3051" s="176"/>
      <c r="T3051" s="176"/>
      <c r="U3051" s="176"/>
      <c r="V3051" s="176"/>
      <c r="W3051" s="176"/>
      <c r="X3051" s="176"/>
      <c r="Y3051" s="176"/>
    </row>
    <row r="3052" spans="1:25">
      <c r="A3052" s="91"/>
      <c r="B3052" s="176"/>
      <c r="C3052" s="176"/>
      <c r="D3052" s="176"/>
      <c r="E3052" s="176"/>
      <c r="F3052" s="176"/>
      <c r="G3052" s="176"/>
      <c r="H3052" s="176"/>
      <c r="I3052" s="176"/>
      <c r="J3052" s="176"/>
      <c r="K3052" s="176"/>
      <c r="L3052" s="176"/>
      <c r="M3052" s="176"/>
      <c r="N3052" s="176"/>
      <c r="O3052" s="176"/>
      <c r="P3052" s="176"/>
      <c r="Q3052" s="176"/>
      <c r="R3052" s="176"/>
      <c r="S3052" s="176"/>
      <c r="T3052" s="176"/>
      <c r="U3052" s="176"/>
      <c r="V3052" s="176"/>
      <c r="W3052" s="176"/>
      <c r="X3052" s="176"/>
      <c r="Y3052" s="176"/>
    </row>
    <row r="3053" spans="1:25">
      <c r="A3053" s="91"/>
      <c r="B3053" s="176"/>
      <c r="C3053" s="176"/>
      <c r="D3053" s="176"/>
      <c r="E3053" s="176"/>
      <c r="F3053" s="176"/>
      <c r="G3053" s="176"/>
      <c r="H3053" s="176"/>
      <c r="I3053" s="176"/>
      <c r="J3053" s="176"/>
      <c r="K3053" s="176"/>
      <c r="L3053" s="176"/>
      <c r="M3053" s="176"/>
      <c r="N3053" s="176"/>
      <c r="O3053" s="176"/>
      <c r="P3053" s="176"/>
      <c r="Q3053" s="176"/>
      <c r="R3053" s="176"/>
      <c r="S3053" s="176"/>
      <c r="T3053" s="176"/>
      <c r="U3053" s="176"/>
      <c r="V3053" s="176"/>
      <c r="W3053" s="176"/>
      <c r="X3053" s="176"/>
      <c r="Y3053" s="176"/>
    </row>
    <row r="3054" spans="1:25">
      <c r="A3054" s="91"/>
      <c r="B3054" s="176"/>
      <c r="C3054" s="176"/>
      <c r="D3054" s="176"/>
      <c r="E3054" s="176"/>
      <c r="F3054" s="176"/>
      <c r="G3054" s="176"/>
      <c r="H3054" s="176"/>
      <c r="I3054" s="176"/>
      <c r="J3054" s="176"/>
      <c r="K3054" s="176"/>
      <c r="L3054" s="176"/>
      <c r="M3054" s="176"/>
      <c r="N3054" s="176"/>
      <c r="O3054" s="176"/>
      <c r="P3054" s="176"/>
      <c r="Q3054" s="176"/>
      <c r="R3054" s="176"/>
      <c r="S3054" s="176"/>
      <c r="T3054" s="176"/>
      <c r="U3054" s="176"/>
      <c r="V3054" s="176"/>
      <c r="W3054" s="176"/>
      <c r="X3054" s="176"/>
      <c r="Y3054" s="176"/>
    </row>
    <row r="3055" spans="1:25">
      <c r="A3055" s="91"/>
      <c r="B3055" s="176"/>
      <c r="C3055" s="176"/>
      <c r="D3055" s="176"/>
      <c r="E3055" s="176"/>
      <c r="F3055" s="176"/>
      <c r="G3055" s="176"/>
      <c r="H3055" s="176"/>
      <c r="I3055" s="176"/>
      <c r="J3055" s="176"/>
      <c r="K3055" s="176"/>
      <c r="L3055" s="176"/>
      <c r="M3055" s="176"/>
      <c r="N3055" s="176"/>
      <c r="O3055" s="176"/>
      <c r="P3055" s="176"/>
      <c r="Q3055" s="176"/>
      <c r="R3055" s="176"/>
      <c r="S3055" s="176"/>
      <c r="T3055" s="176"/>
      <c r="U3055" s="176"/>
      <c r="V3055" s="176"/>
      <c r="W3055" s="176"/>
      <c r="X3055" s="176"/>
      <c r="Y3055" s="176"/>
    </row>
    <row r="3056" spans="1:25">
      <c r="A3056" s="91"/>
      <c r="B3056" s="176"/>
      <c r="C3056" s="176"/>
      <c r="D3056" s="176"/>
      <c r="E3056" s="176"/>
      <c r="F3056" s="176"/>
      <c r="G3056" s="176"/>
      <c r="H3056" s="176"/>
      <c r="I3056" s="176"/>
      <c r="J3056" s="176"/>
      <c r="K3056" s="176"/>
      <c r="L3056" s="176"/>
      <c r="M3056" s="176"/>
      <c r="N3056" s="176"/>
      <c r="O3056" s="176"/>
      <c r="P3056" s="176"/>
      <c r="Q3056" s="176"/>
      <c r="R3056" s="176"/>
      <c r="S3056" s="176"/>
      <c r="T3056" s="176"/>
      <c r="U3056" s="176"/>
      <c r="V3056" s="176"/>
      <c r="W3056" s="176"/>
      <c r="X3056" s="176"/>
      <c r="Y3056" s="176"/>
    </row>
    <row r="3057" spans="1:25">
      <c r="A3057" s="91"/>
      <c r="B3057" s="176"/>
      <c r="C3057" s="176"/>
      <c r="D3057" s="176"/>
      <c r="E3057" s="176"/>
      <c r="F3057" s="176"/>
      <c r="G3057" s="176"/>
      <c r="H3057" s="176"/>
      <c r="I3057" s="176"/>
      <c r="J3057" s="176"/>
      <c r="K3057" s="176"/>
      <c r="L3057" s="176"/>
      <c r="M3057" s="176"/>
      <c r="N3057" s="176"/>
      <c r="O3057" s="176"/>
      <c r="P3057" s="176"/>
      <c r="Q3057" s="176"/>
      <c r="R3057" s="176"/>
      <c r="S3057" s="176"/>
      <c r="T3057" s="176"/>
      <c r="U3057" s="176"/>
      <c r="V3057" s="176"/>
      <c r="W3057" s="176"/>
      <c r="X3057" s="176"/>
      <c r="Y3057" s="176"/>
    </row>
    <row r="3058" spans="1:25">
      <c r="A3058" s="91"/>
      <c r="B3058" s="176"/>
      <c r="C3058" s="176"/>
      <c r="D3058" s="176"/>
      <c r="E3058" s="176"/>
      <c r="F3058" s="176"/>
      <c r="G3058" s="176"/>
      <c r="H3058" s="176"/>
      <c r="I3058" s="176"/>
      <c r="J3058" s="176"/>
      <c r="K3058" s="176"/>
      <c r="L3058" s="176"/>
      <c r="M3058" s="176"/>
      <c r="N3058" s="176"/>
      <c r="O3058" s="176"/>
      <c r="P3058" s="176"/>
      <c r="Q3058" s="176"/>
      <c r="R3058" s="176"/>
      <c r="S3058" s="176"/>
      <c r="T3058" s="176"/>
      <c r="U3058" s="176"/>
      <c r="V3058" s="176"/>
      <c r="W3058" s="176"/>
      <c r="X3058" s="176"/>
      <c r="Y3058" s="176"/>
    </row>
    <row r="3059" spans="1:25">
      <c r="A3059" s="91"/>
      <c r="B3059" s="176"/>
      <c r="C3059" s="176"/>
      <c r="D3059" s="176"/>
      <c r="E3059" s="176"/>
      <c r="F3059" s="176"/>
      <c r="G3059" s="176"/>
      <c r="H3059" s="176"/>
      <c r="I3059" s="176"/>
      <c r="J3059" s="176"/>
      <c r="K3059" s="176"/>
      <c r="L3059" s="176"/>
      <c r="M3059" s="176"/>
      <c r="N3059" s="176"/>
      <c r="O3059" s="176"/>
      <c r="P3059" s="176"/>
      <c r="Q3059" s="176"/>
      <c r="R3059" s="176"/>
      <c r="S3059" s="176"/>
      <c r="T3059" s="176"/>
      <c r="U3059" s="176"/>
      <c r="V3059" s="176"/>
      <c r="W3059" s="176"/>
      <c r="X3059" s="176"/>
      <c r="Y3059" s="176"/>
    </row>
    <row r="3060" spans="1:25">
      <c r="A3060" s="91"/>
      <c r="B3060" s="176"/>
      <c r="C3060" s="176"/>
      <c r="D3060" s="176"/>
      <c r="E3060" s="176"/>
      <c r="F3060" s="176"/>
      <c r="G3060" s="176"/>
      <c r="H3060" s="176"/>
      <c r="I3060" s="176"/>
      <c r="J3060" s="176"/>
      <c r="K3060" s="176"/>
      <c r="L3060" s="176"/>
      <c r="M3060" s="176"/>
      <c r="N3060" s="176"/>
      <c r="O3060" s="176"/>
      <c r="P3060" s="176"/>
      <c r="Q3060" s="176"/>
      <c r="R3060" s="176"/>
      <c r="S3060" s="176"/>
      <c r="T3060" s="176"/>
      <c r="U3060" s="176"/>
      <c r="V3060" s="176"/>
      <c r="W3060" s="176"/>
      <c r="X3060" s="176"/>
      <c r="Y3060" s="176"/>
    </row>
    <row r="3061" spans="1:25">
      <c r="A3061" s="91"/>
      <c r="B3061" s="176"/>
      <c r="C3061" s="176"/>
      <c r="D3061" s="176"/>
      <c r="E3061" s="176"/>
      <c r="F3061" s="176"/>
      <c r="G3061" s="176"/>
      <c r="H3061" s="176"/>
      <c r="I3061" s="176"/>
      <c r="J3061" s="176"/>
      <c r="K3061" s="176"/>
      <c r="L3061" s="176"/>
      <c r="M3061" s="176"/>
      <c r="N3061" s="176"/>
      <c r="O3061" s="176"/>
      <c r="P3061" s="176"/>
      <c r="Q3061" s="176"/>
      <c r="R3061" s="176"/>
      <c r="S3061" s="176"/>
      <c r="T3061" s="176"/>
      <c r="U3061" s="176"/>
      <c r="V3061" s="176"/>
      <c r="W3061" s="176"/>
      <c r="X3061" s="176"/>
      <c r="Y3061" s="176"/>
    </row>
    <row r="3062" spans="1:25">
      <c r="A3062" s="91"/>
      <c r="B3062" s="176"/>
      <c r="C3062" s="176"/>
      <c r="D3062" s="176"/>
      <c r="E3062" s="176"/>
      <c r="F3062" s="176"/>
      <c r="G3062" s="176"/>
      <c r="H3062" s="176"/>
      <c r="I3062" s="176"/>
      <c r="J3062" s="176"/>
      <c r="K3062" s="176"/>
      <c r="L3062" s="176"/>
      <c r="M3062" s="176"/>
      <c r="N3062" s="176"/>
      <c r="O3062" s="176"/>
      <c r="P3062" s="176"/>
      <c r="Q3062" s="176"/>
      <c r="R3062" s="176"/>
      <c r="S3062" s="176"/>
      <c r="T3062" s="176"/>
      <c r="U3062" s="176"/>
      <c r="V3062" s="176"/>
      <c r="W3062" s="176"/>
      <c r="X3062" s="176"/>
      <c r="Y3062" s="176"/>
    </row>
    <row r="3063" spans="1:25">
      <c r="A3063" s="91"/>
      <c r="B3063" s="176"/>
      <c r="C3063" s="176"/>
      <c r="D3063" s="176"/>
      <c r="E3063" s="176"/>
      <c r="F3063" s="176"/>
      <c r="G3063" s="176"/>
      <c r="H3063" s="176"/>
      <c r="I3063" s="176"/>
      <c r="J3063" s="176"/>
      <c r="K3063" s="176"/>
      <c r="L3063" s="176"/>
      <c r="M3063" s="176"/>
      <c r="N3063" s="176"/>
      <c r="O3063" s="176"/>
      <c r="P3063" s="176"/>
      <c r="Q3063" s="176"/>
      <c r="R3063" s="176"/>
      <c r="S3063" s="176"/>
      <c r="T3063" s="176"/>
      <c r="U3063" s="176"/>
      <c r="V3063" s="176"/>
      <c r="W3063" s="176"/>
      <c r="X3063" s="176"/>
      <c r="Y3063" s="176"/>
    </row>
    <row r="3064" spans="1:25">
      <c r="A3064" s="91"/>
      <c r="B3064" s="176"/>
      <c r="C3064" s="176"/>
      <c r="D3064" s="176"/>
      <c r="E3064" s="176"/>
      <c r="F3064" s="176"/>
      <c r="G3064" s="176"/>
      <c r="H3064" s="176"/>
      <c r="I3064" s="176"/>
      <c r="J3064" s="176"/>
      <c r="K3064" s="176"/>
      <c r="L3064" s="176"/>
      <c r="M3064" s="176"/>
      <c r="N3064" s="176"/>
      <c r="O3064" s="176"/>
      <c r="P3064" s="176"/>
      <c r="Q3064" s="176"/>
      <c r="R3064" s="176"/>
      <c r="S3064" s="176"/>
      <c r="T3064" s="176"/>
      <c r="U3064" s="176"/>
      <c r="V3064" s="176"/>
      <c r="W3064" s="176"/>
      <c r="X3064" s="176"/>
      <c r="Y3064" s="176"/>
    </row>
    <row r="3065" spans="1:25">
      <c r="A3065" s="91"/>
      <c r="B3065" s="176"/>
      <c r="C3065" s="176"/>
      <c r="D3065" s="176"/>
      <c r="E3065" s="176"/>
      <c r="F3065" s="176"/>
      <c r="G3065" s="176"/>
      <c r="H3065" s="176"/>
      <c r="I3065" s="176"/>
      <c r="J3065" s="176"/>
      <c r="K3065" s="176"/>
      <c r="L3065" s="176"/>
      <c r="M3065" s="176"/>
      <c r="N3065" s="176"/>
      <c r="O3065" s="176"/>
      <c r="P3065" s="176"/>
      <c r="Q3065" s="176"/>
      <c r="R3065" s="176"/>
      <c r="S3065" s="176"/>
      <c r="T3065" s="176"/>
      <c r="U3065" s="176"/>
      <c r="V3065" s="176"/>
      <c r="W3065" s="176"/>
      <c r="X3065" s="176"/>
      <c r="Y3065" s="176"/>
    </row>
    <row r="3066" spans="1:25">
      <c r="A3066" s="91"/>
      <c r="B3066" s="176"/>
      <c r="C3066" s="176"/>
      <c r="D3066" s="176"/>
      <c r="E3066" s="176"/>
      <c r="F3066" s="176"/>
      <c r="G3066" s="176"/>
      <c r="H3066" s="176"/>
      <c r="I3066" s="176"/>
      <c r="J3066" s="176"/>
      <c r="K3066" s="176"/>
      <c r="L3066" s="176"/>
      <c r="M3066" s="176"/>
      <c r="N3066" s="176"/>
      <c r="O3066" s="176"/>
      <c r="P3066" s="176"/>
      <c r="Q3066" s="176"/>
      <c r="R3066" s="176"/>
      <c r="S3066" s="176"/>
      <c r="T3066" s="176"/>
      <c r="U3066" s="176"/>
      <c r="V3066" s="176"/>
      <c r="W3066" s="176"/>
      <c r="X3066" s="176"/>
      <c r="Y3066" s="176"/>
    </row>
    <row r="3067" spans="1:25">
      <c r="A3067" s="91"/>
      <c r="B3067" s="176"/>
      <c r="C3067" s="176"/>
      <c r="D3067" s="176"/>
      <c r="E3067" s="176"/>
      <c r="F3067" s="176"/>
      <c r="G3067" s="176"/>
      <c r="H3067" s="176"/>
      <c r="I3067" s="176"/>
      <c r="J3067" s="176"/>
      <c r="K3067" s="176"/>
      <c r="L3067" s="176"/>
      <c r="M3067" s="176"/>
      <c r="N3067" s="176"/>
      <c r="O3067" s="176"/>
      <c r="P3067" s="176"/>
      <c r="Q3067" s="176"/>
      <c r="R3067" s="176"/>
      <c r="S3067" s="176"/>
      <c r="T3067" s="176"/>
      <c r="U3067" s="176"/>
      <c r="V3067" s="176"/>
      <c r="W3067" s="176"/>
      <c r="X3067" s="176"/>
      <c r="Y3067" s="176"/>
    </row>
    <row r="3068" spans="1:25">
      <c r="A3068" s="91"/>
      <c r="B3068" s="176"/>
      <c r="C3068" s="176"/>
      <c r="D3068" s="176"/>
      <c r="E3068" s="176"/>
      <c r="F3068" s="176"/>
      <c r="G3068" s="176"/>
      <c r="H3068" s="176"/>
      <c r="I3068" s="176"/>
      <c r="J3068" s="176"/>
      <c r="K3068" s="176"/>
      <c r="L3068" s="176"/>
      <c r="M3068" s="176"/>
      <c r="N3068" s="176"/>
      <c r="O3068" s="176"/>
      <c r="P3068" s="176"/>
      <c r="Q3068" s="176"/>
      <c r="R3068" s="176"/>
      <c r="S3068" s="176"/>
      <c r="T3068" s="176"/>
      <c r="U3068" s="176"/>
      <c r="V3068" s="176"/>
      <c r="W3068" s="176"/>
      <c r="X3068" s="176"/>
      <c r="Y3068" s="176"/>
    </row>
    <row r="3069" spans="1:25">
      <c r="A3069" s="91"/>
      <c r="B3069" s="176"/>
      <c r="C3069" s="176"/>
      <c r="D3069" s="176"/>
      <c r="E3069" s="176"/>
      <c r="F3069" s="176"/>
      <c r="G3069" s="176"/>
      <c r="H3069" s="176"/>
      <c r="I3069" s="176"/>
      <c r="J3069" s="176"/>
      <c r="K3069" s="176"/>
      <c r="L3069" s="176"/>
      <c r="M3069" s="176"/>
      <c r="N3069" s="176"/>
      <c r="O3069" s="176"/>
      <c r="P3069" s="176"/>
      <c r="Q3069" s="176"/>
      <c r="R3069" s="176"/>
      <c r="S3069" s="176"/>
      <c r="T3069" s="176"/>
      <c r="U3069" s="176"/>
      <c r="V3069" s="176"/>
      <c r="W3069" s="176"/>
      <c r="X3069" s="176"/>
      <c r="Y3069" s="176"/>
    </row>
    <row r="3070" spans="1:25">
      <c r="A3070" s="91"/>
      <c r="B3070" s="176"/>
      <c r="C3070" s="176"/>
      <c r="D3070" s="176"/>
      <c r="E3070" s="176"/>
      <c r="F3070" s="176"/>
      <c r="G3070" s="176"/>
      <c r="H3070" s="176"/>
      <c r="I3070" s="176"/>
      <c r="J3070" s="176"/>
      <c r="K3070" s="176"/>
      <c r="L3070" s="176"/>
      <c r="M3070" s="176"/>
      <c r="N3070" s="176"/>
      <c r="O3070" s="176"/>
      <c r="P3070" s="176"/>
      <c r="Q3070" s="176"/>
      <c r="R3070" s="176"/>
      <c r="S3070" s="176"/>
      <c r="T3070" s="176"/>
      <c r="U3070" s="176"/>
      <c r="V3070" s="176"/>
      <c r="W3070" s="176"/>
      <c r="X3070" s="176"/>
      <c r="Y3070" s="176"/>
    </row>
    <row r="3071" spans="1:25">
      <c r="A3071" s="91"/>
      <c r="B3071" s="176"/>
      <c r="C3071" s="176"/>
      <c r="D3071" s="176"/>
      <c r="E3071" s="176"/>
      <c r="F3071" s="176"/>
      <c r="G3071" s="176"/>
      <c r="H3071" s="176"/>
      <c r="I3071" s="176"/>
      <c r="J3071" s="176"/>
      <c r="K3071" s="176"/>
      <c r="L3071" s="176"/>
      <c r="M3071" s="176"/>
      <c r="N3071" s="176"/>
      <c r="O3071" s="176"/>
      <c r="P3071" s="176"/>
      <c r="Q3071" s="176"/>
      <c r="R3071" s="176"/>
      <c r="S3071" s="176"/>
      <c r="T3071" s="176"/>
      <c r="U3071" s="176"/>
      <c r="V3071" s="176"/>
      <c r="W3071" s="176"/>
      <c r="X3071" s="176"/>
      <c r="Y3071" s="176"/>
    </row>
    <row r="3072" spans="1:25">
      <c r="A3072" s="91"/>
      <c r="B3072" s="176"/>
      <c r="C3072" s="176"/>
      <c r="D3072" s="176"/>
      <c r="E3072" s="176"/>
      <c r="F3072" s="176"/>
      <c r="G3072" s="176"/>
      <c r="H3072" s="176"/>
      <c r="I3072" s="176"/>
      <c r="J3072" s="176"/>
      <c r="K3072" s="176"/>
      <c r="L3072" s="176"/>
      <c r="M3072" s="176"/>
      <c r="N3072" s="176"/>
      <c r="O3072" s="176"/>
      <c r="P3072" s="176"/>
      <c r="Q3072" s="176"/>
      <c r="R3072" s="176"/>
      <c r="S3072" s="176"/>
      <c r="T3072" s="176"/>
      <c r="U3072" s="176"/>
      <c r="V3072" s="176"/>
      <c r="W3072" s="176"/>
      <c r="X3072" s="176"/>
      <c r="Y3072" s="176"/>
    </row>
    <row r="3073" spans="1:25">
      <c r="A3073" s="91"/>
      <c r="B3073" s="176"/>
      <c r="C3073" s="176"/>
      <c r="D3073" s="176"/>
      <c r="E3073" s="176"/>
      <c r="F3073" s="176"/>
      <c r="G3073" s="176"/>
      <c r="H3073" s="176"/>
      <c r="I3073" s="176"/>
      <c r="J3073" s="176"/>
      <c r="K3073" s="176"/>
      <c r="L3073" s="176"/>
      <c r="M3073" s="176"/>
      <c r="N3073" s="176"/>
      <c r="O3073" s="176"/>
      <c r="P3073" s="176"/>
      <c r="Q3073" s="176"/>
      <c r="R3073" s="176"/>
      <c r="S3073" s="176"/>
      <c r="T3073" s="176"/>
      <c r="U3073" s="176"/>
      <c r="V3073" s="176"/>
      <c r="W3073" s="176"/>
      <c r="X3073" s="176"/>
      <c r="Y3073" s="176"/>
    </row>
    <row r="3074" spans="1:25">
      <c r="A3074" s="91"/>
      <c r="B3074" s="176"/>
      <c r="C3074" s="176"/>
      <c r="D3074" s="176"/>
      <c r="E3074" s="176"/>
      <c r="F3074" s="176"/>
      <c r="G3074" s="176"/>
      <c r="H3074" s="176"/>
      <c r="I3074" s="176"/>
      <c r="J3074" s="176"/>
      <c r="K3074" s="176"/>
      <c r="L3074" s="176"/>
      <c r="M3074" s="176"/>
      <c r="N3074" s="176"/>
      <c r="O3074" s="176"/>
      <c r="P3074" s="176"/>
      <c r="Q3074" s="176"/>
      <c r="R3074" s="176"/>
      <c r="S3074" s="176"/>
      <c r="T3074" s="176"/>
      <c r="U3074" s="176"/>
      <c r="V3074" s="176"/>
      <c r="W3074" s="176"/>
      <c r="X3074" s="176"/>
      <c r="Y3074" s="176"/>
    </row>
    <row r="3075" spans="1:25">
      <c r="A3075" s="91"/>
      <c r="B3075" s="176"/>
      <c r="C3075" s="176"/>
      <c r="D3075" s="176"/>
      <c r="E3075" s="176"/>
      <c r="F3075" s="176"/>
      <c r="G3075" s="176"/>
      <c r="H3075" s="176"/>
      <c r="I3075" s="176"/>
      <c r="J3075" s="176"/>
      <c r="K3075" s="176"/>
      <c r="L3075" s="176"/>
      <c r="M3075" s="176"/>
      <c r="N3075" s="176"/>
      <c r="O3075" s="176"/>
      <c r="P3075" s="176"/>
      <c r="Q3075" s="176"/>
      <c r="R3075" s="176"/>
      <c r="S3075" s="176"/>
      <c r="T3075" s="176"/>
      <c r="U3075" s="176"/>
      <c r="V3075" s="176"/>
      <c r="W3075" s="176"/>
      <c r="X3075" s="176"/>
      <c r="Y3075" s="176"/>
    </row>
    <row r="3076" spans="1:25">
      <c r="A3076" s="91"/>
      <c r="B3076" s="176"/>
      <c r="C3076" s="176"/>
      <c r="D3076" s="176"/>
      <c r="E3076" s="176"/>
      <c r="F3076" s="176"/>
      <c r="G3076" s="176"/>
      <c r="H3076" s="176"/>
      <c r="I3076" s="176"/>
      <c r="J3076" s="176"/>
      <c r="K3076" s="176"/>
      <c r="L3076" s="176"/>
      <c r="M3076" s="176"/>
      <c r="N3076" s="176"/>
      <c r="O3076" s="176"/>
      <c r="P3076" s="176"/>
      <c r="Q3076" s="176"/>
      <c r="R3076" s="176"/>
      <c r="S3076" s="176"/>
      <c r="T3076" s="176"/>
      <c r="U3076" s="176"/>
      <c r="V3076" s="176"/>
      <c r="W3076" s="176"/>
      <c r="X3076" s="176"/>
      <c r="Y3076" s="176"/>
    </row>
    <row r="3077" spans="1:25">
      <c r="A3077" s="91"/>
      <c r="B3077" s="176"/>
      <c r="C3077" s="176"/>
      <c r="D3077" s="176"/>
      <c r="E3077" s="176"/>
      <c r="F3077" s="176"/>
      <c r="G3077" s="176"/>
      <c r="H3077" s="176"/>
      <c r="I3077" s="176"/>
      <c r="J3077" s="176"/>
      <c r="K3077" s="176"/>
      <c r="L3077" s="176"/>
      <c r="M3077" s="176"/>
      <c r="N3077" s="176"/>
      <c r="O3077" s="176"/>
      <c r="P3077" s="176"/>
      <c r="Q3077" s="176"/>
      <c r="R3077" s="176"/>
      <c r="S3077" s="176"/>
      <c r="T3077" s="176"/>
      <c r="U3077" s="176"/>
      <c r="V3077" s="176"/>
      <c r="W3077" s="176"/>
      <c r="X3077" s="176"/>
      <c r="Y3077" s="176"/>
    </row>
    <row r="3078" spans="1:25">
      <c r="A3078" s="91"/>
      <c r="B3078" s="176"/>
      <c r="C3078" s="176"/>
      <c r="D3078" s="176"/>
      <c r="E3078" s="176"/>
      <c r="F3078" s="176"/>
      <c r="G3078" s="176"/>
      <c r="H3078" s="176"/>
      <c r="I3078" s="176"/>
      <c r="J3078" s="176"/>
      <c r="K3078" s="176"/>
      <c r="L3078" s="176"/>
      <c r="M3078" s="176"/>
      <c r="N3078" s="176"/>
      <c r="O3078" s="176"/>
      <c r="P3078" s="176"/>
      <c r="Q3078" s="176"/>
      <c r="R3078" s="176"/>
      <c r="S3078" s="176"/>
      <c r="T3078" s="176"/>
      <c r="U3078" s="176"/>
      <c r="V3078" s="176"/>
      <c r="W3078" s="176"/>
      <c r="X3078" s="176"/>
      <c r="Y3078" s="176"/>
    </row>
    <row r="3079" spans="1:25">
      <c r="A3079" s="91"/>
      <c r="B3079" s="176"/>
      <c r="C3079" s="176"/>
      <c r="D3079" s="176"/>
      <c r="E3079" s="176"/>
      <c r="F3079" s="176"/>
      <c r="G3079" s="176"/>
      <c r="H3079" s="176"/>
      <c r="I3079" s="176"/>
      <c r="J3079" s="176"/>
      <c r="K3079" s="176"/>
      <c r="L3079" s="176"/>
      <c r="M3079" s="176"/>
      <c r="N3079" s="176"/>
      <c r="O3079" s="176"/>
      <c r="P3079" s="176"/>
      <c r="Q3079" s="176"/>
      <c r="R3079" s="176"/>
      <c r="S3079" s="176"/>
      <c r="T3079" s="176"/>
      <c r="U3079" s="176"/>
      <c r="V3079" s="176"/>
      <c r="W3079" s="176"/>
      <c r="X3079" s="176"/>
      <c r="Y3079" s="176"/>
    </row>
    <row r="3080" spans="1:25">
      <c r="A3080" s="91"/>
      <c r="B3080" s="176"/>
      <c r="C3080" s="176"/>
      <c r="D3080" s="176"/>
      <c r="E3080" s="176"/>
      <c r="F3080" s="176"/>
      <c r="G3080" s="176"/>
      <c r="H3080" s="176"/>
      <c r="I3080" s="176"/>
      <c r="J3080" s="176"/>
      <c r="K3080" s="176"/>
      <c r="L3080" s="176"/>
      <c r="M3080" s="176"/>
      <c r="N3080" s="176"/>
      <c r="O3080" s="176"/>
      <c r="P3080" s="176"/>
      <c r="Q3080" s="176"/>
      <c r="R3080" s="176"/>
      <c r="S3080" s="176"/>
      <c r="T3080" s="176"/>
      <c r="U3080" s="176"/>
      <c r="V3080" s="176"/>
      <c r="W3080" s="176"/>
      <c r="X3080" s="176"/>
      <c r="Y3080" s="176"/>
    </row>
    <row r="3081" spans="1:25">
      <c r="A3081" s="91"/>
      <c r="B3081" s="176"/>
      <c r="C3081" s="176"/>
      <c r="D3081" s="176"/>
      <c r="E3081" s="176"/>
      <c r="F3081" s="176"/>
      <c r="G3081" s="176"/>
      <c r="H3081" s="176"/>
      <c r="I3081" s="176"/>
      <c r="J3081" s="176"/>
      <c r="K3081" s="176"/>
      <c r="L3081" s="176"/>
      <c r="M3081" s="176"/>
      <c r="N3081" s="176"/>
      <c r="O3081" s="176"/>
      <c r="P3081" s="176"/>
      <c r="Q3081" s="176"/>
      <c r="R3081" s="176"/>
      <c r="S3081" s="176"/>
      <c r="T3081" s="176"/>
      <c r="U3081" s="176"/>
      <c r="V3081" s="176"/>
      <c r="W3081" s="176"/>
      <c r="X3081" s="176"/>
      <c r="Y3081" s="176"/>
    </row>
    <row r="3082" spans="1:25">
      <c r="A3082" s="91"/>
      <c r="B3082" s="176"/>
      <c r="C3082" s="176"/>
      <c r="D3082" s="176"/>
      <c r="E3082" s="176"/>
      <c r="F3082" s="176"/>
      <c r="G3082" s="176"/>
      <c r="H3082" s="176"/>
      <c r="I3082" s="176"/>
      <c r="J3082" s="176"/>
      <c r="K3082" s="176"/>
      <c r="L3082" s="176"/>
      <c r="M3082" s="176"/>
      <c r="N3082" s="176"/>
      <c r="O3082" s="176"/>
      <c r="P3082" s="176"/>
      <c r="Q3082" s="176"/>
      <c r="R3082" s="176"/>
      <c r="S3082" s="176"/>
      <c r="T3082" s="176"/>
      <c r="U3082" s="176"/>
      <c r="V3082" s="176"/>
      <c r="W3082" s="176"/>
      <c r="X3082" s="176"/>
      <c r="Y3082" s="176"/>
    </row>
    <row r="3083" spans="1:25">
      <c r="A3083" s="91"/>
      <c r="B3083" s="176"/>
      <c r="C3083" s="176"/>
      <c r="D3083" s="176"/>
      <c r="E3083" s="176"/>
      <c r="F3083" s="176"/>
      <c r="G3083" s="176"/>
      <c r="H3083" s="176"/>
      <c r="I3083" s="176"/>
      <c r="J3083" s="176"/>
      <c r="K3083" s="176"/>
      <c r="L3083" s="176"/>
      <c r="M3083" s="176"/>
      <c r="N3083" s="176"/>
      <c r="O3083" s="176"/>
      <c r="P3083" s="176"/>
      <c r="Q3083" s="176"/>
      <c r="R3083" s="176"/>
      <c r="S3083" s="176"/>
      <c r="T3083" s="176"/>
      <c r="U3083" s="176"/>
      <c r="V3083" s="176"/>
      <c r="W3083" s="176"/>
      <c r="X3083" s="176"/>
      <c r="Y3083" s="176"/>
    </row>
    <row r="3084" spans="1:25">
      <c r="A3084" s="91"/>
      <c r="B3084" s="176"/>
      <c r="C3084" s="176"/>
      <c r="D3084" s="176"/>
      <c r="E3084" s="176"/>
      <c r="F3084" s="176"/>
      <c r="G3084" s="176"/>
      <c r="H3084" s="176"/>
      <c r="I3084" s="176"/>
      <c r="J3084" s="176"/>
      <c r="K3084" s="176"/>
      <c r="L3084" s="176"/>
      <c r="M3084" s="176"/>
      <c r="N3084" s="176"/>
      <c r="O3084" s="176"/>
      <c r="P3084" s="176"/>
      <c r="Q3084" s="176"/>
      <c r="R3084" s="176"/>
      <c r="S3084" s="176"/>
      <c r="T3084" s="176"/>
      <c r="U3084" s="176"/>
      <c r="V3084" s="176"/>
      <c r="W3084" s="176"/>
      <c r="X3084" s="176"/>
      <c r="Y3084" s="176"/>
    </row>
    <row r="3085" spans="1:25">
      <c r="A3085" s="91"/>
      <c r="B3085" s="176"/>
      <c r="C3085" s="176"/>
      <c r="D3085" s="176"/>
      <c r="E3085" s="176"/>
      <c r="F3085" s="176"/>
      <c r="G3085" s="176"/>
      <c r="H3085" s="176"/>
      <c r="I3085" s="176"/>
      <c r="J3085" s="176"/>
      <c r="K3085" s="176"/>
      <c r="L3085" s="176"/>
      <c r="M3085" s="176"/>
      <c r="N3085" s="176"/>
      <c r="O3085" s="176"/>
      <c r="P3085" s="176"/>
      <c r="Q3085" s="176"/>
      <c r="R3085" s="176"/>
      <c r="S3085" s="176"/>
      <c r="T3085" s="176"/>
      <c r="U3085" s="176"/>
      <c r="V3085" s="176"/>
      <c r="W3085" s="176"/>
      <c r="X3085" s="176"/>
      <c r="Y3085" s="176"/>
    </row>
    <row r="3086" spans="1:25">
      <c r="A3086" s="91"/>
      <c r="B3086" s="176"/>
      <c r="C3086" s="176"/>
      <c r="D3086" s="176"/>
      <c r="E3086" s="176"/>
      <c r="F3086" s="176"/>
      <c r="G3086" s="176"/>
      <c r="H3086" s="176"/>
      <c r="I3086" s="176"/>
      <c r="J3086" s="176"/>
      <c r="K3086" s="176"/>
      <c r="L3086" s="176"/>
      <c r="M3086" s="176"/>
      <c r="N3086" s="176"/>
      <c r="O3086" s="176"/>
      <c r="P3086" s="176"/>
      <c r="Q3086" s="176"/>
      <c r="R3086" s="176"/>
      <c r="S3086" s="176"/>
      <c r="T3086" s="176"/>
      <c r="U3086" s="176"/>
      <c r="V3086" s="176"/>
      <c r="W3086" s="176"/>
      <c r="X3086" s="176"/>
      <c r="Y3086" s="176"/>
    </row>
    <row r="3087" spans="1:25">
      <c r="A3087" s="91"/>
      <c r="B3087" s="176"/>
      <c r="C3087" s="176"/>
      <c r="D3087" s="176"/>
      <c r="E3087" s="176"/>
      <c r="F3087" s="176"/>
      <c r="G3087" s="176"/>
      <c r="H3087" s="176"/>
      <c r="I3087" s="176"/>
      <c r="J3087" s="176"/>
      <c r="K3087" s="176"/>
      <c r="L3087" s="176"/>
      <c r="M3087" s="176"/>
      <c r="N3087" s="176"/>
      <c r="O3087" s="176"/>
      <c r="P3087" s="176"/>
      <c r="Q3087" s="176"/>
      <c r="R3087" s="176"/>
      <c r="S3087" s="176"/>
      <c r="T3087" s="176"/>
      <c r="U3087" s="176"/>
      <c r="V3087" s="176"/>
      <c r="W3087" s="176"/>
      <c r="X3087" s="176"/>
      <c r="Y3087" s="176"/>
    </row>
    <row r="3088" spans="1:25">
      <c r="A3088" s="91"/>
      <c r="B3088" s="176"/>
      <c r="C3088" s="176"/>
      <c r="D3088" s="176"/>
      <c r="E3088" s="176"/>
      <c r="F3088" s="176"/>
      <c r="G3088" s="176"/>
      <c r="H3088" s="176"/>
      <c r="I3088" s="176"/>
      <c r="J3088" s="176"/>
      <c r="K3088" s="176"/>
      <c r="L3088" s="176"/>
      <c r="M3088" s="176"/>
      <c r="N3088" s="176"/>
      <c r="O3088" s="176"/>
      <c r="P3088" s="176"/>
      <c r="Q3088" s="176"/>
      <c r="R3088" s="176"/>
      <c r="S3088" s="176"/>
      <c r="T3088" s="176"/>
      <c r="U3088" s="176"/>
      <c r="V3088" s="176"/>
      <c r="W3088" s="176"/>
      <c r="X3088" s="176"/>
      <c r="Y3088" s="176"/>
    </row>
    <row r="3089" spans="1:25">
      <c r="A3089" s="91"/>
      <c r="B3089" s="176"/>
      <c r="C3089" s="176"/>
      <c r="D3089" s="176"/>
      <c r="E3089" s="176"/>
      <c r="F3089" s="176"/>
      <c r="G3089" s="176"/>
      <c r="H3089" s="176"/>
      <c r="I3089" s="176"/>
      <c r="J3089" s="176"/>
      <c r="K3089" s="176"/>
      <c r="L3089" s="176"/>
      <c r="M3089" s="176"/>
      <c r="N3089" s="176"/>
      <c r="O3089" s="176"/>
      <c r="P3089" s="176"/>
      <c r="Q3089" s="176"/>
      <c r="R3089" s="176"/>
      <c r="S3089" s="176"/>
      <c r="T3089" s="176"/>
      <c r="U3089" s="176"/>
      <c r="V3089" s="176"/>
      <c r="W3089" s="176"/>
      <c r="X3089" s="176"/>
      <c r="Y3089" s="176"/>
    </row>
    <row r="3090" spans="1:25">
      <c r="A3090" s="91"/>
      <c r="B3090" s="176"/>
      <c r="C3090" s="176"/>
      <c r="D3090" s="176"/>
      <c r="E3090" s="176"/>
      <c r="F3090" s="176"/>
      <c r="G3090" s="176"/>
      <c r="H3090" s="176"/>
      <c r="I3090" s="176"/>
      <c r="J3090" s="176"/>
      <c r="K3090" s="176"/>
      <c r="L3090" s="176"/>
      <c r="M3090" s="176"/>
      <c r="N3090" s="176"/>
      <c r="O3090" s="176"/>
      <c r="P3090" s="176"/>
      <c r="Q3090" s="176"/>
      <c r="R3090" s="176"/>
      <c r="S3090" s="176"/>
      <c r="T3090" s="176"/>
      <c r="U3090" s="176"/>
      <c r="V3090" s="176"/>
      <c r="W3090" s="176"/>
      <c r="X3090" s="176"/>
      <c r="Y3090" s="176"/>
    </row>
    <row r="3091" spans="1:25">
      <c r="A3091" s="91"/>
      <c r="B3091" s="176"/>
      <c r="C3091" s="176"/>
      <c r="D3091" s="176"/>
      <c r="E3091" s="176"/>
      <c r="F3091" s="176"/>
      <c r="G3091" s="176"/>
      <c r="H3091" s="176"/>
      <c r="I3091" s="176"/>
      <c r="J3091" s="176"/>
      <c r="K3091" s="176"/>
      <c r="L3091" s="176"/>
      <c r="M3091" s="176"/>
      <c r="N3091" s="176"/>
      <c r="O3091" s="176"/>
      <c r="P3091" s="176"/>
      <c r="Q3091" s="176"/>
      <c r="R3091" s="176"/>
      <c r="S3091" s="176"/>
      <c r="T3091" s="176"/>
      <c r="U3091" s="176"/>
      <c r="V3091" s="176"/>
      <c r="W3091" s="176"/>
      <c r="X3091" s="176"/>
      <c r="Y3091" s="176"/>
    </row>
    <row r="3092" spans="1:25">
      <c r="A3092" s="91"/>
      <c r="B3092" s="176"/>
      <c r="C3092" s="176"/>
      <c r="D3092" s="176"/>
      <c r="E3092" s="176"/>
      <c r="F3092" s="176"/>
      <c r="G3092" s="176"/>
      <c r="H3092" s="176"/>
      <c r="I3092" s="176"/>
      <c r="J3092" s="176"/>
      <c r="K3092" s="176"/>
      <c r="L3092" s="176"/>
      <c r="M3092" s="176"/>
      <c r="N3092" s="176"/>
      <c r="O3092" s="176"/>
      <c r="P3092" s="176"/>
      <c r="Q3092" s="176"/>
      <c r="R3092" s="176"/>
      <c r="S3092" s="176"/>
      <c r="T3092" s="176"/>
      <c r="U3092" s="176"/>
      <c r="V3092" s="176"/>
      <c r="W3092" s="176"/>
      <c r="X3092" s="176"/>
      <c r="Y3092" s="176"/>
    </row>
    <row r="3093" spans="1:25">
      <c r="A3093" s="91"/>
      <c r="B3093" s="176"/>
      <c r="C3093" s="176"/>
      <c r="D3093" s="176"/>
      <c r="E3093" s="176"/>
      <c r="F3093" s="176"/>
      <c r="G3093" s="176"/>
      <c r="H3093" s="176"/>
      <c r="I3093" s="176"/>
      <c r="J3093" s="176"/>
      <c r="K3093" s="176"/>
      <c r="L3093" s="176"/>
      <c r="M3093" s="176"/>
      <c r="N3093" s="176"/>
      <c r="O3093" s="176"/>
      <c r="P3093" s="176"/>
      <c r="Q3093" s="176"/>
      <c r="R3093" s="176"/>
      <c r="S3093" s="176"/>
      <c r="T3093" s="176"/>
      <c r="U3093" s="176"/>
      <c r="V3093" s="176"/>
      <c r="W3093" s="176"/>
      <c r="X3093" s="176"/>
      <c r="Y3093" s="176"/>
    </row>
    <row r="3094" spans="1:25">
      <c r="A3094" s="91"/>
      <c r="B3094" s="176"/>
      <c r="C3094" s="176"/>
      <c r="D3094" s="176"/>
      <c r="E3094" s="176"/>
      <c r="F3094" s="176"/>
      <c r="G3094" s="176"/>
      <c r="H3094" s="176"/>
      <c r="I3094" s="176"/>
      <c r="J3094" s="176"/>
      <c r="K3094" s="176"/>
      <c r="L3094" s="176"/>
      <c r="M3094" s="176"/>
      <c r="N3094" s="176"/>
      <c r="O3094" s="176"/>
      <c r="P3094" s="176"/>
      <c r="Q3094" s="176"/>
      <c r="R3094" s="176"/>
      <c r="S3094" s="176"/>
      <c r="T3094" s="176"/>
      <c r="U3094" s="176"/>
      <c r="V3094" s="176"/>
      <c r="W3094" s="176"/>
      <c r="X3094" s="176"/>
      <c r="Y3094" s="176"/>
    </row>
    <row r="3095" spans="1:25">
      <c r="A3095" s="91"/>
      <c r="B3095" s="176"/>
      <c r="C3095" s="176"/>
      <c r="D3095" s="176"/>
      <c r="E3095" s="176"/>
      <c r="F3095" s="176"/>
      <c r="G3095" s="176"/>
      <c r="H3095" s="176"/>
      <c r="I3095" s="176"/>
      <c r="J3095" s="176"/>
      <c r="K3095" s="176"/>
      <c r="L3095" s="176"/>
      <c r="M3095" s="176"/>
      <c r="N3095" s="176"/>
      <c r="O3095" s="176"/>
      <c r="P3095" s="176"/>
      <c r="Q3095" s="176"/>
      <c r="R3095" s="176"/>
      <c r="S3095" s="176"/>
      <c r="T3095" s="176"/>
      <c r="U3095" s="176"/>
      <c r="V3095" s="176"/>
      <c r="W3095" s="176"/>
      <c r="X3095" s="176"/>
      <c r="Y3095" s="176"/>
    </row>
    <row r="3096" spans="1:25">
      <c r="A3096" s="91"/>
      <c r="B3096" s="176"/>
      <c r="C3096" s="176"/>
      <c r="D3096" s="176"/>
      <c r="E3096" s="176"/>
      <c r="F3096" s="176"/>
      <c r="G3096" s="176"/>
      <c r="H3096" s="176"/>
      <c r="I3096" s="176"/>
      <c r="J3096" s="176"/>
      <c r="K3096" s="176"/>
      <c r="L3096" s="176"/>
      <c r="M3096" s="176"/>
      <c r="N3096" s="176"/>
      <c r="O3096" s="176"/>
      <c r="P3096" s="176"/>
      <c r="Q3096" s="176"/>
      <c r="R3096" s="176"/>
      <c r="S3096" s="176"/>
      <c r="T3096" s="176"/>
      <c r="U3096" s="176"/>
      <c r="V3096" s="176"/>
      <c r="W3096" s="176"/>
      <c r="X3096" s="176"/>
      <c r="Y3096" s="176"/>
    </row>
    <row r="3097" spans="1:25">
      <c r="A3097" s="91"/>
      <c r="B3097" s="176"/>
      <c r="C3097" s="176"/>
      <c r="D3097" s="176"/>
      <c r="E3097" s="176"/>
      <c r="F3097" s="176"/>
      <c r="G3097" s="176"/>
      <c r="H3097" s="176"/>
      <c r="I3097" s="176"/>
      <c r="J3097" s="176"/>
      <c r="K3097" s="176"/>
      <c r="L3097" s="176"/>
      <c r="M3097" s="176"/>
      <c r="N3097" s="176"/>
      <c r="O3097" s="176"/>
      <c r="P3097" s="176"/>
      <c r="Q3097" s="176"/>
      <c r="R3097" s="176"/>
      <c r="S3097" s="176"/>
      <c r="T3097" s="176"/>
      <c r="U3097" s="176"/>
      <c r="V3097" s="176"/>
      <c r="W3097" s="176"/>
      <c r="X3097" s="176"/>
      <c r="Y3097" s="176"/>
    </row>
    <row r="3098" spans="1:25">
      <c r="A3098" s="91"/>
      <c r="B3098" s="176"/>
      <c r="C3098" s="176"/>
      <c r="D3098" s="176"/>
      <c r="E3098" s="176"/>
      <c r="F3098" s="176"/>
      <c r="G3098" s="176"/>
      <c r="H3098" s="176"/>
      <c r="I3098" s="176"/>
      <c r="J3098" s="176"/>
      <c r="K3098" s="176"/>
      <c r="L3098" s="176"/>
      <c r="M3098" s="176"/>
      <c r="N3098" s="176"/>
      <c r="O3098" s="176"/>
      <c r="P3098" s="176"/>
      <c r="Q3098" s="176"/>
      <c r="R3098" s="176"/>
      <c r="S3098" s="176"/>
      <c r="T3098" s="176"/>
      <c r="U3098" s="176"/>
      <c r="V3098" s="176"/>
      <c r="W3098" s="176"/>
      <c r="X3098" s="176"/>
      <c r="Y3098" s="176"/>
    </row>
    <row r="3099" spans="1:25">
      <c r="A3099" s="91"/>
      <c r="B3099" s="176"/>
      <c r="C3099" s="176"/>
      <c r="D3099" s="176"/>
      <c r="E3099" s="176"/>
      <c r="F3099" s="176"/>
      <c r="G3099" s="176"/>
      <c r="H3099" s="176"/>
      <c r="I3099" s="176"/>
      <c r="J3099" s="176"/>
      <c r="K3099" s="176"/>
      <c r="L3099" s="176"/>
      <c r="M3099" s="176"/>
      <c r="N3099" s="176"/>
      <c r="O3099" s="176"/>
      <c r="P3099" s="176"/>
      <c r="Q3099" s="176"/>
      <c r="R3099" s="176"/>
      <c r="S3099" s="176"/>
      <c r="T3099" s="176"/>
      <c r="U3099" s="176"/>
      <c r="V3099" s="176"/>
      <c r="W3099" s="176"/>
      <c r="X3099" s="176"/>
      <c r="Y3099" s="176"/>
    </row>
    <row r="3100" spans="1:25">
      <c r="A3100" s="91"/>
      <c r="B3100" s="176"/>
      <c r="C3100" s="176"/>
      <c r="D3100" s="176"/>
      <c r="E3100" s="176"/>
      <c r="F3100" s="176"/>
      <c r="G3100" s="176"/>
      <c r="H3100" s="176"/>
      <c r="I3100" s="176"/>
      <c r="J3100" s="176"/>
      <c r="K3100" s="176"/>
      <c r="L3100" s="176"/>
      <c r="M3100" s="176"/>
      <c r="N3100" s="176"/>
      <c r="O3100" s="176"/>
      <c r="P3100" s="176"/>
      <c r="Q3100" s="176"/>
      <c r="R3100" s="176"/>
      <c r="S3100" s="176"/>
      <c r="T3100" s="176"/>
      <c r="U3100" s="176"/>
      <c r="V3100" s="176"/>
      <c r="W3100" s="176"/>
      <c r="X3100" s="176"/>
      <c r="Y3100" s="176"/>
    </row>
    <row r="3101" spans="1:25">
      <c r="A3101" s="91"/>
      <c r="B3101" s="176"/>
      <c r="C3101" s="176"/>
      <c r="D3101" s="176"/>
      <c r="E3101" s="176"/>
      <c r="F3101" s="176"/>
      <c r="G3101" s="176"/>
      <c r="H3101" s="176"/>
      <c r="I3101" s="176"/>
      <c r="J3101" s="176"/>
      <c r="K3101" s="176"/>
      <c r="L3101" s="176"/>
      <c r="M3101" s="176"/>
      <c r="N3101" s="176"/>
      <c r="O3101" s="176"/>
      <c r="P3101" s="176"/>
      <c r="Q3101" s="176"/>
      <c r="R3101" s="176"/>
      <c r="S3101" s="176"/>
      <c r="T3101" s="176"/>
      <c r="U3101" s="176"/>
      <c r="V3101" s="176"/>
      <c r="W3101" s="176"/>
      <c r="X3101" s="176"/>
      <c r="Y3101" s="176"/>
    </row>
    <row r="3102" spans="1:25">
      <c r="A3102" s="91"/>
      <c r="B3102" s="176"/>
      <c r="C3102" s="176"/>
      <c r="D3102" s="176"/>
      <c r="E3102" s="176"/>
      <c r="F3102" s="176"/>
      <c r="G3102" s="176"/>
      <c r="H3102" s="176"/>
      <c r="I3102" s="176"/>
      <c r="J3102" s="176"/>
      <c r="K3102" s="176"/>
      <c r="L3102" s="176"/>
      <c r="M3102" s="176"/>
      <c r="N3102" s="176"/>
      <c r="O3102" s="176"/>
      <c r="P3102" s="176"/>
      <c r="Q3102" s="176"/>
      <c r="R3102" s="176"/>
      <c r="S3102" s="176"/>
      <c r="T3102" s="176"/>
      <c r="U3102" s="176"/>
      <c r="V3102" s="176"/>
      <c r="W3102" s="176"/>
      <c r="X3102" s="176"/>
      <c r="Y3102" s="176"/>
    </row>
    <row r="3103" spans="1:25">
      <c r="A3103" s="91"/>
      <c r="B3103" s="176"/>
      <c r="C3103" s="176"/>
      <c r="D3103" s="176"/>
      <c r="E3103" s="176"/>
      <c r="F3103" s="176"/>
      <c r="G3103" s="176"/>
      <c r="H3103" s="176"/>
      <c r="I3103" s="176"/>
      <c r="J3103" s="176"/>
      <c r="K3103" s="176"/>
      <c r="L3103" s="176"/>
      <c r="M3103" s="176"/>
      <c r="N3103" s="176"/>
      <c r="O3103" s="176"/>
      <c r="P3103" s="176"/>
      <c r="Q3103" s="176"/>
      <c r="R3103" s="176"/>
      <c r="S3103" s="176"/>
      <c r="T3103" s="176"/>
      <c r="U3103" s="176"/>
      <c r="V3103" s="176"/>
      <c r="W3103" s="176"/>
      <c r="X3103" s="176"/>
      <c r="Y3103" s="176"/>
    </row>
    <row r="3104" spans="1:25">
      <c r="A3104" s="91"/>
      <c r="B3104" s="176"/>
      <c r="C3104" s="176"/>
      <c r="D3104" s="176"/>
      <c r="E3104" s="176"/>
      <c r="F3104" s="176"/>
      <c r="G3104" s="176"/>
      <c r="H3104" s="176"/>
      <c r="I3104" s="176"/>
      <c r="J3104" s="176"/>
      <c r="K3104" s="176"/>
      <c r="L3104" s="176"/>
      <c r="M3104" s="176"/>
      <c r="N3104" s="176"/>
      <c r="O3104" s="176"/>
      <c r="P3104" s="176"/>
      <c r="Q3104" s="176"/>
      <c r="R3104" s="176"/>
      <c r="S3104" s="176"/>
      <c r="T3104" s="176"/>
      <c r="U3104" s="176"/>
      <c r="V3104" s="176"/>
      <c r="W3104" s="176"/>
      <c r="X3104" s="176"/>
      <c r="Y3104" s="176"/>
    </row>
    <row r="3105" spans="1:25">
      <c r="A3105" s="91"/>
      <c r="B3105" s="176"/>
      <c r="C3105" s="176"/>
      <c r="D3105" s="176"/>
      <c r="E3105" s="176"/>
      <c r="F3105" s="176"/>
      <c r="G3105" s="176"/>
      <c r="H3105" s="176"/>
      <c r="I3105" s="176"/>
      <c r="J3105" s="176"/>
      <c r="K3105" s="176"/>
      <c r="L3105" s="176"/>
      <c r="M3105" s="176"/>
      <c r="N3105" s="176"/>
      <c r="O3105" s="176"/>
      <c r="P3105" s="176"/>
      <c r="Q3105" s="176"/>
      <c r="R3105" s="176"/>
      <c r="S3105" s="176"/>
      <c r="T3105" s="176"/>
      <c r="U3105" s="176"/>
      <c r="V3105" s="176"/>
      <c r="W3105" s="176"/>
      <c r="X3105" s="176"/>
      <c r="Y3105" s="176"/>
    </row>
    <row r="3106" spans="1:25">
      <c r="A3106" s="91"/>
      <c r="B3106" s="176"/>
      <c r="C3106" s="176"/>
      <c r="D3106" s="176"/>
      <c r="E3106" s="176"/>
      <c r="F3106" s="176"/>
      <c r="G3106" s="176"/>
      <c r="H3106" s="176"/>
      <c r="I3106" s="176"/>
      <c r="J3106" s="176"/>
      <c r="K3106" s="176"/>
      <c r="L3106" s="176"/>
      <c r="M3106" s="176"/>
      <c r="N3106" s="176"/>
      <c r="O3106" s="176"/>
      <c r="P3106" s="176"/>
      <c r="Q3106" s="176"/>
      <c r="R3106" s="176"/>
      <c r="S3106" s="176"/>
      <c r="T3106" s="176"/>
      <c r="U3106" s="176"/>
      <c r="V3106" s="176"/>
      <c r="W3106" s="176"/>
      <c r="X3106" s="176"/>
      <c r="Y3106" s="176"/>
    </row>
    <row r="3107" spans="1:25">
      <c r="A3107" s="91"/>
      <c r="B3107" s="176"/>
      <c r="C3107" s="176"/>
      <c r="D3107" s="176"/>
      <c r="E3107" s="176"/>
      <c r="F3107" s="176"/>
      <c r="G3107" s="176"/>
      <c r="H3107" s="176"/>
      <c r="I3107" s="176"/>
      <c r="J3107" s="176"/>
      <c r="K3107" s="176"/>
      <c r="L3107" s="176"/>
      <c r="M3107" s="176"/>
      <c r="N3107" s="176"/>
      <c r="O3107" s="176"/>
      <c r="P3107" s="176"/>
      <c r="Q3107" s="176"/>
      <c r="R3107" s="176"/>
      <c r="S3107" s="176"/>
      <c r="T3107" s="176"/>
      <c r="U3107" s="176"/>
      <c r="V3107" s="176"/>
      <c r="W3107" s="176"/>
      <c r="X3107" s="176"/>
      <c r="Y3107" s="176"/>
    </row>
    <row r="3108" spans="1:25">
      <c r="A3108" s="91"/>
      <c r="B3108" s="176"/>
      <c r="C3108" s="176"/>
      <c r="D3108" s="176"/>
      <c r="E3108" s="176"/>
      <c r="F3108" s="176"/>
      <c r="G3108" s="176"/>
      <c r="H3108" s="176"/>
      <c r="I3108" s="176"/>
      <c r="J3108" s="176"/>
      <c r="K3108" s="176"/>
      <c r="L3108" s="176"/>
      <c r="M3108" s="176"/>
      <c r="N3108" s="176"/>
      <c r="O3108" s="176"/>
      <c r="P3108" s="176"/>
      <c r="Q3108" s="176"/>
      <c r="R3108" s="176"/>
      <c r="S3108" s="176"/>
      <c r="T3108" s="176"/>
      <c r="U3108" s="176"/>
      <c r="V3108" s="176"/>
      <c r="W3108" s="176"/>
      <c r="X3108" s="176"/>
      <c r="Y3108" s="176"/>
    </row>
    <row r="3109" spans="1:25">
      <c r="A3109" s="91"/>
      <c r="B3109" s="176"/>
      <c r="C3109" s="176"/>
      <c r="D3109" s="176"/>
      <c r="E3109" s="176"/>
      <c r="F3109" s="176"/>
      <c r="G3109" s="176"/>
      <c r="H3109" s="176"/>
      <c r="I3109" s="176"/>
      <c r="J3109" s="176"/>
      <c r="K3109" s="176"/>
      <c r="L3109" s="176"/>
      <c r="M3109" s="176"/>
      <c r="N3109" s="176"/>
      <c r="O3109" s="176"/>
      <c r="P3109" s="176"/>
      <c r="Q3109" s="176"/>
      <c r="R3109" s="176"/>
      <c r="S3109" s="176"/>
      <c r="T3109" s="176"/>
      <c r="U3109" s="176"/>
      <c r="V3109" s="176"/>
      <c r="W3109" s="176"/>
      <c r="X3109" s="176"/>
      <c r="Y3109" s="176"/>
    </row>
    <row r="3110" spans="1:25">
      <c r="A3110" s="91"/>
      <c r="B3110" s="176"/>
      <c r="C3110" s="176"/>
      <c r="D3110" s="176"/>
      <c r="E3110" s="176"/>
      <c r="F3110" s="176"/>
      <c r="G3110" s="176"/>
      <c r="H3110" s="176"/>
      <c r="I3110" s="176"/>
      <c r="J3110" s="176"/>
      <c r="K3110" s="176"/>
      <c r="L3110" s="176"/>
      <c r="M3110" s="176"/>
      <c r="N3110" s="176"/>
      <c r="O3110" s="176"/>
      <c r="P3110" s="176"/>
      <c r="Q3110" s="176"/>
      <c r="R3110" s="176"/>
      <c r="S3110" s="176"/>
      <c r="T3110" s="176"/>
      <c r="U3110" s="176"/>
      <c r="V3110" s="176"/>
      <c r="W3110" s="176"/>
      <c r="X3110" s="176"/>
      <c r="Y3110" s="176"/>
    </row>
    <row r="3111" spans="1:25">
      <c r="A3111" s="91"/>
      <c r="B3111" s="176"/>
      <c r="C3111" s="176"/>
      <c r="D3111" s="176"/>
      <c r="E3111" s="176"/>
      <c r="F3111" s="176"/>
      <c r="G3111" s="176"/>
      <c r="H3111" s="176"/>
      <c r="I3111" s="176"/>
      <c r="J3111" s="176"/>
      <c r="K3111" s="176"/>
      <c r="L3111" s="176"/>
      <c r="M3111" s="176"/>
      <c r="N3111" s="176"/>
      <c r="O3111" s="176"/>
      <c r="P3111" s="176"/>
      <c r="Q3111" s="176"/>
      <c r="R3111" s="176"/>
      <c r="S3111" s="176"/>
      <c r="T3111" s="176"/>
      <c r="U3111" s="176"/>
      <c r="V3111" s="176"/>
      <c r="W3111" s="176"/>
      <c r="X3111" s="176"/>
      <c r="Y3111" s="176"/>
    </row>
    <row r="3112" spans="1:25">
      <c r="A3112" s="91"/>
      <c r="B3112" s="176"/>
      <c r="C3112" s="176"/>
      <c r="D3112" s="176"/>
      <c r="E3112" s="176"/>
      <c r="F3112" s="176"/>
      <c r="G3112" s="176"/>
      <c r="H3112" s="176"/>
      <c r="I3112" s="176"/>
      <c r="J3112" s="176"/>
      <c r="K3112" s="176"/>
      <c r="L3112" s="176"/>
      <c r="M3112" s="176"/>
      <c r="N3112" s="176"/>
      <c r="O3112" s="176"/>
      <c r="P3112" s="176"/>
      <c r="Q3112" s="176"/>
      <c r="R3112" s="176"/>
      <c r="S3112" s="176"/>
      <c r="T3112" s="176"/>
      <c r="U3112" s="176"/>
      <c r="V3112" s="176"/>
      <c r="W3112" s="176"/>
      <c r="X3112" s="176"/>
      <c r="Y3112" s="176"/>
    </row>
    <row r="3113" spans="1:25">
      <c r="A3113" s="91"/>
      <c r="B3113" s="176"/>
      <c r="C3113" s="176"/>
      <c r="D3113" s="176"/>
      <c r="E3113" s="176"/>
      <c r="F3113" s="176"/>
      <c r="G3113" s="176"/>
      <c r="H3113" s="176"/>
      <c r="I3113" s="176"/>
      <c r="J3113" s="176"/>
      <c r="K3113" s="176"/>
      <c r="L3113" s="176"/>
      <c r="M3113" s="176"/>
      <c r="N3113" s="176"/>
      <c r="O3113" s="176"/>
      <c r="P3113" s="176"/>
      <c r="Q3113" s="176"/>
      <c r="R3113" s="176"/>
      <c r="S3113" s="176"/>
      <c r="T3113" s="176"/>
      <c r="U3113" s="176"/>
      <c r="V3113" s="176"/>
      <c r="W3113" s="176"/>
      <c r="X3113" s="176"/>
      <c r="Y3113" s="176"/>
    </row>
    <row r="3114" spans="1:25">
      <c r="A3114" s="91"/>
      <c r="B3114" s="176"/>
      <c r="C3114" s="176"/>
      <c r="D3114" s="176"/>
      <c r="E3114" s="176"/>
      <c r="F3114" s="176"/>
      <c r="G3114" s="176"/>
      <c r="H3114" s="176"/>
      <c r="I3114" s="176"/>
      <c r="J3114" s="176"/>
      <c r="K3114" s="176"/>
      <c r="L3114" s="176"/>
      <c r="M3114" s="176"/>
      <c r="N3114" s="176"/>
      <c r="O3114" s="176"/>
      <c r="P3114" s="176"/>
      <c r="Q3114" s="176"/>
      <c r="R3114" s="176"/>
      <c r="S3114" s="176"/>
      <c r="T3114" s="176"/>
      <c r="U3114" s="176"/>
      <c r="V3114" s="176"/>
      <c r="W3114" s="176"/>
      <c r="X3114" s="176"/>
      <c r="Y3114" s="176"/>
    </row>
    <row r="3115" spans="1:25">
      <c r="A3115" s="91"/>
      <c r="B3115" s="176"/>
      <c r="C3115" s="176"/>
      <c r="D3115" s="176"/>
      <c r="E3115" s="176"/>
      <c r="F3115" s="176"/>
      <c r="G3115" s="176"/>
      <c r="H3115" s="176"/>
      <c r="I3115" s="176"/>
      <c r="J3115" s="176"/>
      <c r="K3115" s="176"/>
      <c r="L3115" s="176"/>
      <c r="M3115" s="176"/>
      <c r="N3115" s="176"/>
      <c r="O3115" s="176"/>
      <c r="P3115" s="176"/>
      <c r="Q3115" s="176"/>
      <c r="R3115" s="176"/>
      <c r="S3115" s="176"/>
      <c r="T3115" s="176"/>
      <c r="U3115" s="176"/>
      <c r="V3115" s="176"/>
      <c r="W3115" s="176"/>
      <c r="X3115" s="176"/>
      <c r="Y3115" s="176"/>
    </row>
    <row r="3116" spans="1:25">
      <c r="A3116" s="91"/>
      <c r="B3116" s="176"/>
      <c r="C3116" s="176"/>
      <c r="D3116" s="176"/>
      <c r="E3116" s="176"/>
      <c r="F3116" s="176"/>
      <c r="G3116" s="176"/>
      <c r="H3116" s="176"/>
      <c r="I3116" s="176"/>
      <c r="J3116" s="176"/>
      <c r="K3116" s="176"/>
      <c r="L3116" s="176"/>
      <c r="M3116" s="176"/>
      <c r="N3116" s="176"/>
      <c r="O3116" s="176"/>
      <c r="P3116" s="176"/>
      <c r="Q3116" s="176"/>
      <c r="R3116" s="176"/>
      <c r="S3116" s="176"/>
      <c r="T3116" s="176"/>
      <c r="U3116" s="176"/>
      <c r="V3116" s="176"/>
      <c r="W3116" s="176"/>
      <c r="X3116" s="176"/>
      <c r="Y3116" s="176"/>
    </row>
    <row r="3117" spans="1:25">
      <c r="A3117" s="91"/>
      <c r="B3117" s="176"/>
      <c r="C3117" s="176"/>
      <c r="D3117" s="176"/>
      <c r="E3117" s="176"/>
      <c r="F3117" s="176"/>
      <c r="G3117" s="176"/>
      <c r="H3117" s="176"/>
      <c r="I3117" s="176"/>
      <c r="J3117" s="176"/>
      <c r="K3117" s="176"/>
      <c r="L3117" s="176"/>
      <c r="M3117" s="176"/>
      <c r="N3117" s="176"/>
      <c r="O3117" s="176"/>
      <c r="P3117" s="176"/>
      <c r="Q3117" s="176"/>
      <c r="R3117" s="176"/>
      <c r="S3117" s="176"/>
      <c r="T3117" s="176"/>
      <c r="U3117" s="176"/>
      <c r="V3117" s="176"/>
      <c r="W3117" s="176"/>
      <c r="X3117" s="176"/>
      <c r="Y3117" s="176"/>
    </row>
    <row r="3118" spans="1:25">
      <c r="A3118" s="91"/>
      <c r="B3118" s="176"/>
      <c r="C3118" s="176"/>
      <c r="D3118" s="176"/>
      <c r="E3118" s="176"/>
      <c r="F3118" s="176"/>
      <c r="G3118" s="176"/>
      <c r="H3118" s="176"/>
      <c r="I3118" s="176"/>
      <c r="J3118" s="176"/>
      <c r="K3118" s="176"/>
      <c r="L3118" s="176"/>
      <c r="M3118" s="176"/>
      <c r="N3118" s="176"/>
      <c r="O3118" s="176"/>
      <c r="P3118" s="176"/>
      <c r="Q3118" s="176"/>
      <c r="R3118" s="176"/>
      <c r="S3118" s="176"/>
      <c r="T3118" s="176"/>
      <c r="U3118" s="176"/>
      <c r="V3118" s="176"/>
      <c r="W3118" s="176"/>
      <c r="X3118" s="176"/>
      <c r="Y3118" s="176"/>
    </row>
    <row r="3119" spans="1:25">
      <c r="A3119" s="91"/>
      <c r="B3119" s="176"/>
      <c r="C3119" s="176"/>
      <c r="D3119" s="176"/>
      <c r="E3119" s="176"/>
      <c r="F3119" s="176"/>
      <c r="G3119" s="176"/>
      <c r="H3119" s="176"/>
      <c r="I3119" s="176"/>
      <c r="J3119" s="176"/>
      <c r="K3119" s="176"/>
      <c r="L3119" s="176"/>
      <c r="M3119" s="176"/>
      <c r="N3119" s="176"/>
      <c r="O3119" s="176"/>
      <c r="P3119" s="176"/>
      <c r="Q3119" s="176"/>
      <c r="R3119" s="176"/>
      <c r="S3119" s="176"/>
      <c r="T3119" s="176"/>
      <c r="U3119" s="176"/>
      <c r="V3119" s="176"/>
      <c r="W3119" s="176"/>
      <c r="X3119" s="176"/>
      <c r="Y3119" s="176"/>
    </row>
    <row r="3120" spans="1:25">
      <c r="A3120" s="91"/>
      <c r="B3120" s="176"/>
      <c r="C3120" s="176"/>
      <c r="D3120" s="176"/>
      <c r="E3120" s="176"/>
      <c r="F3120" s="176"/>
      <c r="G3120" s="176"/>
      <c r="H3120" s="176"/>
      <c r="I3120" s="176"/>
      <c r="J3120" s="176"/>
      <c r="K3120" s="176"/>
      <c r="L3120" s="176"/>
      <c r="M3120" s="176"/>
      <c r="N3120" s="176"/>
      <c r="O3120" s="176"/>
      <c r="P3120" s="176"/>
      <c r="Q3120" s="176"/>
      <c r="R3120" s="176"/>
      <c r="S3120" s="176"/>
      <c r="T3120" s="176"/>
      <c r="U3120" s="176"/>
      <c r="V3120" s="176"/>
      <c r="W3120" s="176"/>
      <c r="X3120" s="176"/>
      <c r="Y3120" s="176"/>
    </row>
    <row r="3121" spans="1:25">
      <c r="A3121" s="91"/>
      <c r="B3121" s="176"/>
      <c r="C3121" s="176"/>
      <c r="D3121" s="176"/>
      <c r="E3121" s="176"/>
      <c r="F3121" s="176"/>
      <c r="G3121" s="176"/>
      <c r="H3121" s="176"/>
      <c r="I3121" s="176"/>
      <c r="J3121" s="176"/>
      <c r="K3121" s="176"/>
      <c r="L3121" s="176"/>
      <c r="M3121" s="176"/>
      <c r="N3121" s="176"/>
      <c r="O3121" s="176"/>
      <c r="P3121" s="176"/>
      <c r="Q3121" s="176"/>
      <c r="R3121" s="176"/>
      <c r="S3121" s="176"/>
      <c r="T3121" s="176"/>
      <c r="U3121" s="176"/>
      <c r="V3121" s="176"/>
      <c r="W3121" s="176"/>
      <c r="X3121" s="176"/>
      <c r="Y3121" s="176"/>
    </row>
    <row r="3122" spans="1:25">
      <c r="A3122" s="91"/>
      <c r="B3122" s="176"/>
      <c r="C3122" s="176"/>
      <c r="D3122" s="176"/>
      <c r="E3122" s="176"/>
      <c r="F3122" s="176"/>
      <c r="G3122" s="176"/>
      <c r="H3122" s="176"/>
      <c r="I3122" s="176"/>
      <c r="J3122" s="176"/>
      <c r="K3122" s="176"/>
      <c r="L3122" s="176"/>
      <c r="M3122" s="176"/>
      <c r="N3122" s="176"/>
      <c r="O3122" s="176"/>
      <c r="P3122" s="176"/>
      <c r="Q3122" s="176"/>
      <c r="R3122" s="176"/>
      <c r="S3122" s="176"/>
      <c r="T3122" s="176"/>
      <c r="U3122" s="176"/>
      <c r="V3122" s="176"/>
      <c r="W3122" s="176"/>
      <c r="X3122" s="176"/>
      <c r="Y3122" s="176"/>
    </row>
    <row r="3123" spans="1:25">
      <c r="A3123" s="91"/>
      <c r="B3123" s="176"/>
      <c r="C3123" s="176"/>
      <c r="D3123" s="176"/>
      <c r="E3123" s="176"/>
      <c r="F3123" s="176"/>
      <c r="G3123" s="176"/>
      <c r="H3123" s="176"/>
      <c r="I3123" s="176"/>
      <c r="J3123" s="176"/>
      <c r="K3123" s="176"/>
      <c r="L3123" s="176"/>
      <c r="M3123" s="176"/>
      <c r="N3123" s="176"/>
      <c r="O3123" s="176"/>
      <c r="P3123" s="176"/>
      <c r="Q3123" s="176"/>
      <c r="R3123" s="176"/>
      <c r="S3123" s="176"/>
      <c r="T3123" s="176"/>
      <c r="U3123" s="176"/>
      <c r="V3123" s="176"/>
      <c r="W3123" s="176"/>
      <c r="X3123" s="176"/>
      <c r="Y3123" s="176"/>
    </row>
    <row r="3124" spans="1:25">
      <c r="A3124" s="91"/>
      <c r="B3124" s="176"/>
      <c r="C3124" s="176"/>
      <c r="D3124" s="176"/>
      <c r="E3124" s="176"/>
      <c r="F3124" s="176"/>
      <c r="G3124" s="176"/>
      <c r="H3124" s="176"/>
      <c r="I3124" s="176"/>
      <c r="J3124" s="176"/>
      <c r="K3124" s="176"/>
      <c r="L3124" s="176"/>
      <c r="M3124" s="176"/>
      <c r="N3124" s="176"/>
      <c r="O3124" s="176"/>
      <c r="P3124" s="176"/>
      <c r="Q3124" s="176"/>
      <c r="R3124" s="176"/>
      <c r="S3124" s="176"/>
      <c r="T3124" s="176"/>
      <c r="U3124" s="176"/>
      <c r="V3124" s="176"/>
      <c r="W3124" s="176"/>
      <c r="X3124" s="176"/>
      <c r="Y3124" s="176"/>
    </row>
    <row r="3125" spans="1:25">
      <c r="A3125" s="91"/>
      <c r="B3125" s="176"/>
      <c r="C3125" s="176"/>
      <c r="D3125" s="176"/>
      <c r="E3125" s="176"/>
      <c r="F3125" s="176"/>
      <c r="G3125" s="176"/>
      <c r="H3125" s="176"/>
      <c r="I3125" s="176"/>
      <c r="J3125" s="176"/>
      <c r="K3125" s="176"/>
      <c r="L3125" s="176"/>
      <c r="M3125" s="176"/>
      <c r="N3125" s="176"/>
      <c r="O3125" s="176"/>
      <c r="P3125" s="176"/>
      <c r="Q3125" s="176"/>
      <c r="R3125" s="176"/>
      <c r="S3125" s="176"/>
      <c r="T3125" s="176"/>
      <c r="U3125" s="176"/>
      <c r="V3125" s="176"/>
      <c r="W3125" s="176"/>
      <c r="X3125" s="176"/>
      <c r="Y3125" s="176"/>
    </row>
    <row r="3126" spans="1:25">
      <c r="A3126" s="91"/>
      <c r="B3126" s="176"/>
      <c r="C3126" s="176"/>
      <c r="D3126" s="176"/>
      <c r="E3126" s="176"/>
      <c r="F3126" s="176"/>
      <c r="G3126" s="176"/>
      <c r="H3126" s="176"/>
      <c r="I3126" s="176"/>
      <c r="J3126" s="176"/>
      <c r="K3126" s="176"/>
      <c r="L3126" s="176"/>
      <c r="M3126" s="176"/>
      <c r="N3126" s="176"/>
      <c r="O3126" s="176"/>
      <c r="P3126" s="176"/>
      <c r="Q3126" s="176"/>
      <c r="R3126" s="176"/>
      <c r="S3126" s="176"/>
      <c r="T3126" s="176"/>
      <c r="U3126" s="176"/>
      <c r="V3126" s="176"/>
      <c r="W3126" s="176"/>
      <c r="X3126" s="176"/>
      <c r="Y3126" s="176"/>
    </row>
    <row r="3127" spans="1:25">
      <c r="A3127" s="91"/>
      <c r="B3127" s="176"/>
      <c r="C3127" s="176"/>
      <c r="D3127" s="176"/>
      <c r="E3127" s="176"/>
      <c r="F3127" s="176"/>
      <c r="G3127" s="176"/>
      <c r="H3127" s="176"/>
      <c r="I3127" s="176"/>
      <c r="J3127" s="176"/>
      <c r="K3127" s="176"/>
      <c r="L3127" s="176"/>
      <c r="M3127" s="176"/>
      <c r="N3127" s="176"/>
      <c r="O3127" s="176"/>
      <c r="P3127" s="176"/>
      <c r="Q3127" s="176"/>
      <c r="R3127" s="176"/>
      <c r="S3127" s="176"/>
      <c r="T3127" s="176"/>
      <c r="U3127" s="176"/>
      <c r="V3127" s="176"/>
      <c r="W3127" s="176"/>
      <c r="X3127" s="176"/>
      <c r="Y3127" s="176"/>
    </row>
    <row r="3128" spans="1:25">
      <c r="A3128" s="91"/>
      <c r="B3128" s="176"/>
      <c r="C3128" s="176"/>
      <c r="D3128" s="176"/>
      <c r="E3128" s="176"/>
      <c r="F3128" s="176"/>
      <c r="G3128" s="176"/>
      <c r="H3128" s="176"/>
      <c r="I3128" s="176"/>
      <c r="J3128" s="176"/>
      <c r="K3128" s="176"/>
      <c r="L3128" s="176"/>
      <c r="M3128" s="176"/>
      <c r="N3128" s="176"/>
      <c r="O3128" s="176"/>
      <c r="P3128" s="176"/>
      <c r="Q3128" s="176"/>
      <c r="R3128" s="176"/>
      <c r="S3128" s="176"/>
      <c r="T3128" s="176"/>
      <c r="U3128" s="176"/>
      <c r="V3128" s="176"/>
      <c r="W3128" s="176"/>
      <c r="X3128" s="176"/>
      <c r="Y3128" s="176"/>
    </row>
    <row r="3129" spans="1:25">
      <c r="A3129" s="91"/>
      <c r="B3129" s="176"/>
      <c r="C3129" s="176"/>
      <c r="D3129" s="176"/>
      <c r="E3129" s="176"/>
      <c r="F3129" s="176"/>
      <c r="G3129" s="176"/>
      <c r="H3129" s="176"/>
      <c r="I3129" s="176"/>
      <c r="J3129" s="176"/>
      <c r="K3129" s="176"/>
      <c r="L3129" s="176"/>
      <c r="M3129" s="176"/>
      <c r="N3129" s="176"/>
      <c r="O3129" s="176"/>
      <c r="P3129" s="176"/>
      <c r="Q3129" s="176"/>
      <c r="R3129" s="176"/>
      <c r="S3129" s="176"/>
      <c r="T3129" s="176"/>
      <c r="U3129" s="176"/>
      <c r="V3129" s="176"/>
      <c r="W3129" s="176"/>
      <c r="X3129" s="176"/>
      <c r="Y3129" s="176"/>
    </row>
    <row r="3130" spans="1:25">
      <c r="A3130" s="91"/>
      <c r="B3130" s="176"/>
      <c r="C3130" s="176"/>
      <c r="D3130" s="176"/>
      <c r="E3130" s="176"/>
      <c r="F3130" s="176"/>
      <c r="G3130" s="176"/>
      <c r="H3130" s="176"/>
      <c r="I3130" s="176"/>
      <c r="J3130" s="176"/>
      <c r="K3130" s="176"/>
      <c r="L3130" s="176"/>
      <c r="M3130" s="176"/>
      <c r="N3130" s="176"/>
      <c r="O3130" s="176"/>
      <c r="P3130" s="176"/>
      <c r="Q3130" s="176"/>
      <c r="R3130" s="176"/>
      <c r="S3130" s="176"/>
      <c r="T3130" s="176"/>
      <c r="U3130" s="176"/>
      <c r="V3130" s="176"/>
      <c r="W3130" s="176"/>
      <c r="X3130" s="176"/>
      <c r="Y3130" s="176"/>
    </row>
    <row r="3131" spans="1:25">
      <c r="A3131" s="91"/>
      <c r="B3131" s="176"/>
      <c r="C3131" s="176"/>
      <c r="D3131" s="176"/>
      <c r="E3131" s="176"/>
      <c r="F3131" s="176"/>
      <c r="G3131" s="176"/>
      <c r="H3131" s="176"/>
      <c r="I3131" s="176"/>
      <c r="J3131" s="176"/>
      <c r="K3131" s="176"/>
      <c r="L3131" s="176"/>
      <c r="M3131" s="176"/>
      <c r="N3131" s="176"/>
      <c r="O3131" s="176"/>
      <c r="P3131" s="176"/>
      <c r="Q3131" s="176"/>
      <c r="R3131" s="176"/>
      <c r="S3131" s="176"/>
      <c r="T3131" s="176"/>
      <c r="U3131" s="176"/>
      <c r="V3131" s="176"/>
      <c r="W3131" s="176"/>
      <c r="X3131" s="176"/>
      <c r="Y3131" s="176"/>
    </row>
    <row r="3132" spans="1:25">
      <c r="A3132" s="91"/>
      <c r="B3132" s="176"/>
      <c r="C3132" s="176"/>
      <c r="D3132" s="176"/>
      <c r="E3132" s="176"/>
      <c r="F3132" s="176"/>
      <c r="G3132" s="176"/>
      <c r="H3132" s="176"/>
      <c r="I3132" s="176"/>
      <c r="J3132" s="176"/>
      <c r="K3132" s="176"/>
      <c r="L3132" s="176"/>
      <c r="M3132" s="176"/>
      <c r="N3132" s="176"/>
      <c r="O3132" s="176"/>
      <c r="P3132" s="176"/>
      <c r="Q3132" s="176"/>
      <c r="R3132" s="176"/>
      <c r="S3132" s="176"/>
      <c r="T3132" s="176"/>
      <c r="U3132" s="176"/>
      <c r="V3132" s="176"/>
      <c r="W3132" s="176"/>
      <c r="X3132" s="176"/>
      <c r="Y3132" s="176"/>
    </row>
    <row r="3133" spans="1:25">
      <c r="A3133" s="91"/>
      <c r="B3133" s="176"/>
      <c r="C3133" s="176"/>
      <c r="D3133" s="176"/>
      <c r="E3133" s="176"/>
      <c r="F3133" s="176"/>
      <c r="G3133" s="176"/>
      <c r="H3133" s="176"/>
      <c r="I3133" s="176"/>
      <c r="J3133" s="176"/>
      <c r="K3133" s="176"/>
      <c r="L3133" s="176"/>
      <c r="M3133" s="176"/>
      <c r="N3133" s="176"/>
      <c r="O3133" s="176"/>
      <c r="P3133" s="176"/>
      <c r="Q3133" s="176"/>
      <c r="R3133" s="176"/>
      <c r="S3133" s="176"/>
      <c r="T3133" s="176"/>
      <c r="U3133" s="176"/>
      <c r="V3133" s="176"/>
      <c r="W3133" s="176"/>
      <c r="X3133" s="176"/>
      <c r="Y3133" s="176"/>
    </row>
    <row r="3134" spans="1:25">
      <c r="A3134" s="91"/>
      <c r="B3134" s="176"/>
      <c r="C3134" s="176"/>
      <c r="D3134" s="176"/>
      <c r="E3134" s="176"/>
      <c r="F3134" s="176"/>
      <c r="G3134" s="176"/>
      <c r="H3134" s="176"/>
      <c r="I3134" s="176"/>
      <c r="J3134" s="176"/>
      <c r="K3134" s="176"/>
      <c r="L3134" s="176"/>
      <c r="M3134" s="176"/>
      <c r="N3134" s="176"/>
      <c r="O3134" s="176"/>
      <c r="P3134" s="176"/>
      <c r="Q3134" s="176"/>
      <c r="R3134" s="176"/>
      <c r="S3134" s="176"/>
      <c r="T3134" s="176"/>
      <c r="U3134" s="176"/>
      <c r="V3134" s="176"/>
      <c r="W3134" s="176"/>
      <c r="X3134" s="176"/>
      <c r="Y3134" s="176"/>
    </row>
    <row r="3135" spans="1:25">
      <c r="A3135" s="91"/>
      <c r="B3135" s="176"/>
      <c r="C3135" s="176"/>
      <c r="D3135" s="176"/>
      <c r="E3135" s="176"/>
      <c r="F3135" s="176"/>
      <c r="G3135" s="176"/>
      <c r="H3135" s="176"/>
      <c r="I3135" s="176"/>
      <c r="J3135" s="176"/>
      <c r="K3135" s="176"/>
      <c r="L3135" s="176"/>
      <c r="M3135" s="176"/>
      <c r="N3135" s="176"/>
      <c r="O3135" s="176"/>
      <c r="P3135" s="176"/>
      <c r="Q3135" s="176"/>
      <c r="R3135" s="176"/>
      <c r="S3135" s="176"/>
      <c r="T3135" s="176"/>
      <c r="U3135" s="176"/>
      <c r="V3135" s="176"/>
      <c r="W3135" s="176"/>
      <c r="X3135" s="176"/>
      <c r="Y3135" s="176"/>
    </row>
    <row r="3136" spans="1:25">
      <c r="A3136" s="91"/>
      <c r="B3136" s="176"/>
      <c r="C3136" s="176"/>
      <c r="D3136" s="176"/>
      <c r="E3136" s="176"/>
      <c r="F3136" s="176"/>
      <c r="G3136" s="176"/>
      <c r="H3136" s="176"/>
      <c r="I3136" s="176"/>
      <c r="J3136" s="176"/>
      <c r="K3136" s="176"/>
      <c r="L3136" s="176"/>
      <c r="M3136" s="176"/>
      <c r="N3136" s="176"/>
      <c r="O3136" s="176"/>
      <c r="P3136" s="176"/>
      <c r="Q3136" s="176"/>
      <c r="R3136" s="176"/>
      <c r="S3136" s="176"/>
      <c r="T3136" s="176"/>
      <c r="U3136" s="176"/>
      <c r="V3136" s="176"/>
      <c r="W3136" s="176"/>
      <c r="X3136" s="176"/>
      <c r="Y3136" s="176"/>
    </row>
    <row r="3137" spans="1:25">
      <c r="A3137" s="91"/>
      <c r="B3137" s="176"/>
      <c r="C3137" s="176"/>
      <c r="D3137" s="176"/>
      <c r="E3137" s="176"/>
      <c r="F3137" s="176"/>
      <c r="G3137" s="176"/>
      <c r="H3137" s="176"/>
      <c r="I3137" s="176"/>
      <c r="J3137" s="176"/>
      <c r="K3137" s="176"/>
      <c r="L3137" s="176"/>
      <c r="M3137" s="176"/>
      <c r="N3137" s="176"/>
      <c r="O3137" s="176"/>
      <c r="P3137" s="176"/>
      <c r="Q3137" s="176"/>
      <c r="R3137" s="176"/>
      <c r="S3137" s="176"/>
      <c r="T3137" s="176"/>
      <c r="U3137" s="176"/>
      <c r="V3137" s="176"/>
      <c r="W3137" s="176"/>
      <c r="X3137" s="176"/>
      <c r="Y3137" s="176"/>
    </row>
    <row r="3138" spans="1:25">
      <c r="A3138" s="91"/>
      <c r="B3138" s="176"/>
      <c r="C3138" s="176"/>
      <c r="D3138" s="176"/>
      <c r="E3138" s="176"/>
      <c r="F3138" s="176"/>
      <c r="G3138" s="176"/>
      <c r="H3138" s="176"/>
      <c r="I3138" s="176"/>
      <c r="J3138" s="176"/>
      <c r="K3138" s="176"/>
      <c r="L3138" s="176"/>
      <c r="M3138" s="176"/>
      <c r="N3138" s="176"/>
      <c r="O3138" s="176"/>
      <c r="P3138" s="176"/>
      <c r="Q3138" s="176"/>
      <c r="R3138" s="176"/>
      <c r="S3138" s="176"/>
      <c r="T3138" s="176"/>
      <c r="U3138" s="176"/>
      <c r="V3138" s="176"/>
      <c r="W3138" s="176"/>
      <c r="X3138" s="176"/>
      <c r="Y3138" s="176"/>
    </row>
    <row r="3139" spans="1:25">
      <c r="A3139" s="91"/>
      <c r="B3139" s="176"/>
      <c r="C3139" s="176"/>
      <c r="D3139" s="176"/>
      <c r="E3139" s="176"/>
      <c r="F3139" s="176"/>
      <c r="G3139" s="176"/>
      <c r="H3139" s="176"/>
      <c r="I3139" s="176"/>
      <c r="J3139" s="176"/>
      <c r="K3139" s="176"/>
      <c r="L3139" s="176"/>
      <c r="M3139" s="176"/>
      <c r="N3139" s="176"/>
      <c r="O3139" s="176"/>
      <c r="P3139" s="176"/>
      <c r="Q3139" s="176"/>
      <c r="R3139" s="176"/>
      <c r="S3139" s="176"/>
      <c r="T3139" s="176"/>
      <c r="U3139" s="176"/>
      <c r="V3139" s="176"/>
      <c r="W3139" s="176"/>
      <c r="X3139" s="176"/>
      <c r="Y3139" s="176"/>
    </row>
    <row r="3140" spans="1:25">
      <c r="A3140" s="91"/>
      <c r="B3140" s="176"/>
      <c r="C3140" s="176"/>
      <c r="D3140" s="176"/>
      <c r="E3140" s="176"/>
      <c r="F3140" s="176"/>
      <c r="G3140" s="176"/>
      <c r="H3140" s="176"/>
      <c r="I3140" s="176"/>
      <c r="J3140" s="176"/>
      <c r="K3140" s="176"/>
      <c r="L3140" s="176"/>
      <c r="M3140" s="176"/>
      <c r="N3140" s="176"/>
      <c r="O3140" s="176"/>
      <c r="P3140" s="176"/>
      <c r="Q3140" s="176"/>
      <c r="R3140" s="176"/>
      <c r="S3140" s="176"/>
      <c r="T3140" s="176"/>
      <c r="U3140" s="176"/>
      <c r="V3140" s="176"/>
      <c r="W3140" s="176"/>
      <c r="X3140" s="176"/>
      <c r="Y3140" s="176"/>
    </row>
    <row r="3141" spans="1:25">
      <c r="A3141" s="91"/>
      <c r="B3141" s="176"/>
      <c r="C3141" s="176"/>
      <c r="D3141" s="176"/>
      <c r="E3141" s="176"/>
      <c r="F3141" s="176"/>
      <c r="G3141" s="176"/>
      <c r="H3141" s="176"/>
      <c r="I3141" s="176"/>
      <c r="J3141" s="176"/>
      <c r="K3141" s="176"/>
      <c r="L3141" s="176"/>
      <c r="M3141" s="176"/>
      <c r="N3141" s="176"/>
      <c r="O3141" s="176"/>
      <c r="P3141" s="176"/>
      <c r="Q3141" s="176"/>
      <c r="R3141" s="176"/>
      <c r="S3141" s="176"/>
      <c r="T3141" s="176"/>
      <c r="U3141" s="176"/>
      <c r="V3141" s="176"/>
      <c r="W3141" s="176"/>
      <c r="X3141" s="176"/>
      <c r="Y3141" s="176"/>
    </row>
    <row r="3142" spans="1:25">
      <c r="A3142" s="91"/>
      <c r="B3142" s="176"/>
      <c r="C3142" s="176"/>
      <c r="D3142" s="176"/>
      <c r="E3142" s="176"/>
      <c r="F3142" s="176"/>
      <c r="G3142" s="176"/>
      <c r="H3142" s="176"/>
      <c r="I3142" s="176"/>
      <c r="J3142" s="176"/>
      <c r="K3142" s="176"/>
      <c r="L3142" s="176"/>
      <c r="M3142" s="176"/>
      <c r="N3142" s="176"/>
      <c r="O3142" s="176"/>
      <c r="P3142" s="176"/>
      <c r="Q3142" s="176"/>
      <c r="R3142" s="176"/>
      <c r="S3142" s="176"/>
      <c r="T3142" s="176"/>
      <c r="U3142" s="176"/>
      <c r="V3142" s="176"/>
      <c r="W3142" s="176"/>
      <c r="X3142" s="176"/>
      <c r="Y3142" s="176"/>
    </row>
    <row r="3143" spans="1:25">
      <c r="A3143" s="91"/>
      <c r="B3143" s="176"/>
      <c r="C3143" s="176"/>
      <c r="D3143" s="176"/>
      <c r="E3143" s="176"/>
      <c r="F3143" s="176"/>
      <c r="G3143" s="176"/>
      <c r="H3143" s="176"/>
      <c r="I3143" s="176"/>
      <c r="J3143" s="176"/>
      <c r="K3143" s="176"/>
      <c r="L3143" s="176"/>
      <c r="M3143" s="176"/>
      <c r="N3143" s="176"/>
      <c r="O3143" s="176"/>
      <c r="P3143" s="176"/>
      <c r="Q3143" s="176"/>
      <c r="R3143" s="176"/>
      <c r="S3143" s="176"/>
      <c r="T3143" s="176"/>
      <c r="U3143" s="176"/>
      <c r="V3143" s="176"/>
      <c r="W3143" s="176"/>
      <c r="X3143" s="176"/>
      <c r="Y3143" s="176"/>
    </row>
    <row r="3144" spans="1:25">
      <c r="A3144" s="91"/>
      <c r="B3144" s="176"/>
      <c r="C3144" s="176"/>
      <c r="D3144" s="176"/>
      <c r="E3144" s="176"/>
      <c r="F3144" s="176"/>
      <c r="G3144" s="176"/>
      <c r="H3144" s="176"/>
      <c r="I3144" s="176"/>
      <c r="J3144" s="176"/>
      <c r="K3144" s="176"/>
      <c r="L3144" s="176"/>
      <c r="M3144" s="176"/>
      <c r="N3144" s="176"/>
      <c r="O3144" s="176"/>
      <c r="P3144" s="176"/>
      <c r="Q3144" s="176"/>
      <c r="R3144" s="176"/>
      <c r="S3144" s="176"/>
      <c r="T3144" s="176"/>
      <c r="U3144" s="176"/>
      <c r="V3144" s="176"/>
      <c r="W3144" s="176"/>
      <c r="X3144" s="176"/>
      <c r="Y3144" s="176"/>
    </row>
    <row r="3145" spans="1:25">
      <c r="A3145" s="91"/>
      <c r="B3145" s="176"/>
      <c r="C3145" s="176"/>
      <c r="D3145" s="176"/>
      <c r="E3145" s="176"/>
      <c r="F3145" s="176"/>
      <c r="G3145" s="176"/>
      <c r="H3145" s="176"/>
      <c r="I3145" s="176"/>
      <c r="J3145" s="176"/>
      <c r="K3145" s="176"/>
      <c r="L3145" s="176"/>
      <c r="M3145" s="176"/>
      <c r="N3145" s="176"/>
      <c r="O3145" s="176"/>
      <c r="P3145" s="176"/>
      <c r="Q3145" s="176"/>
      <c r="R3145" s="176"/>
      <c r="S3145" s="176"/>
      <c r="T3145" s="176"/>
      <c r="U3145" s="176"/>
      <c r="V3145" s="176"/>
      <c r="W3145" s="176"/>
      <c r="X3145" s="176"/>
      <c r="Y3145" s="176"/>
    </row>
    <row r="3146" spans="1:25">
      <c r="A3146" s="91"/>
      <c r="B3146" s="176"/>
      <c r="C3146" s="176"/>
      <c r="D3146" s="176"/>
      <c r="E3146" s="176"/>
      <c r="F3146" s="176"/>
      <c r="G3146" s="176"/>
      <c r="H3146" s="176"/>
      <c r="I3146" s="176"/>
      <c r="J3146" s="176"/>
      <c r="K3146" s="176"/>
      <c r="L3146" s="176"/>
      <c r="M3146" s="176"/>
      <c r="N3146" s="176"/>
      <c r="O3146" s="176"/>
      <c r="P3146" s="176"/>
      <c r="Q3146" s="176"/>
      <c r="R3146" s="176"/>
      <c r="S3146" s="176"/>
      <c r="T3146" s="176"/>
      <c r="U3146" s="176"/>
      <c r="V3146" s="176"/>
      <c r="W3146" s="176"/>
      <c r="X3146" s="176"/>
      <c r="Y3146" s="176"/>
    </row>
    <row r="3147" spans="1:25">
      <c r="A3147" s="91"/>
      <c r="B3147" s="176"/>
      <c r="C3147" s="176"/>
      <c r="D3147" s="176"/>
      <c r="E3147" s="176"/>
      <c r="F3147" s="176"/>
      <c r="G3147" s="176"/>
      <c r="H3147" s="176"/>
      <c r="I3147" s="176"/>
      <c r="J3147" s="176"/>
      <c r="K3147" s="176"/>
      <c r="L3147" s="176"/>
      <c r="M3147" s="176"/>
      <c r="N3147" s="176"/>
      <c r="O3147" s="176"/>
      <c r="P3147" s="176"/>
      <c r="Q3147" s="176"/>
      <c r="R3147" s="176"/>
      <c r="S3147" s="176"/>
      <c r="T3147" s="176"/>
      <c r="U3147" s="176"/>
      <c r="V3147" s="176"/>
      <c r="W3147" s="176"/>
      <c r="X3147" s="176"/>
      <c r="Y3147" s="176"/>
    </row>
    <row r="3148" spans="1:25">
      <c r="A3148" s="91"/>
      <c r="B3148" s="176"/>
      <c r="C3148" s="176"/>
      <c r="D3148" s="176"/>
      <c r="E3148" s="176"/>
      <c r="F3148" s="176"/>
      <c r="G3148" s="176"/>
      <c r="H3148" s="176"/>
      <c r="I3148" s="176"/>
      <c r="J3148" s="176"/>
      <c r="K3148" s="176"/>
      <c r="L3148" s="176"/>
      <c r="M3148" s="176"/>
      <c r="N3148" s="176"/>
      <c r="O3148" s="176"/>
      <c r="P3148" s="176"/>
      <c r="Q3148" s="176"/>
      <c r="R3148" s="176"/>
      <c r="S3148" s="176"/>
      <c r="T3148" s="176"/>
      <c r="U3148" s="176"/>
      <c r="V3148" s="176"/>
      <c r="W3148" s="176"/>
      <c r="X3148" s="176"/>
      <c r="Y3148" s="176"/>
    </row>
    <row r="3149" spans="1:25">
      <c r="A3149" s="91"/>
      <c r="B3149" s="176"/>
      <c r="C3149" s="176"/>
      <c r="D3149" s="176"/>
      <c r="E3149" s="176"/>
      <c r="F3149" s="176"/>
      <c r="G3149" s="176"/>
      <c r="H3149" s="176"/>
      <c r="I3149" s="176"/>
      <c r="J3149" s="176"/>
      <c r="K3149" s="176"/>
      <c r="L3149" s="176"/>
      <c r="M3149" s="176"/>
      <c r="N3149" s="176"/>
      <c r="O3149" s="176"/>
      <c r="P3149" s="176"/>
      <c r="Q3149" s="176"/>
      <c r="R3149" s="176"/>
      <c r="S3149" s="176"/>
      <c r="T3149" s="176"/>
      <c r="U3149" s="176"/>
      <c r="V3149" s="176"/>
      <c r="W3149" s="176"/>
      <c r="X3149" s="176"/>
      <c r="Y3149" s="176"/>
    </row>
    <row r="3150" spans="1:25">
      <c r="A3150" s="91"/>
      <c r="B3150" s="176"/>
      <c r="C3150" s="176"/>
      <c r="D3150" s="176"/>
      <c r="E3150" s="176"/>
      <c r="F3150" s="176"/>
      <c r="G3150" s="176"/>
      <c r="H3150" s="176"/>
      <c r="I3150" s="176"/>
      <c r="J3150" s="176"/>
      <c r="K3150" s="176"/>
      <c r="L3150" s="176"/>
      <c r="M3150" s="176"/>
      <c r="N3150" s="176"/>
      <c r="O3150" s="176"/>
      <c r="P3150" s="176"/>
      <c r="Q3150" s="176"/>
      <c r="R3150" s="176"/>
      <c r="S3150" s="176"/>
      <c r="T3150" s="176"/>
      <c r="U3150" s="176"/>
      <c r="V3150" s="176"/>
      <c r="W3150" s="176"/>
      <c r="X3150" s="176"/>
      <c r="Y3150" s="176"/>
    </row>
    <row r="3151" spans="1:25">
      <c r="A3151" s="91"/>
      <c r="B3151" s="176"/>
      <c r="C3151" s="176"/>
      <c r="D3151" s="176"/>
      <c r="E3151" s="176"/>
      <c r="F3151" s="176"/>
      <c r="G3151" s="176"/>
      <c r="H3151" s="176"/>
      <c r="I3151" s="176"/>
      <c r="J3151" s="176"/>
      <c r="K3151" s="176"/>
      <c r="L3151" s="176"/>
      <c r="M3151" s="176"/>
      <c r="N3151" s="176"/>
      <c r="O3151" s="176"/>
      <c r="P3151" s="176"/>
      <c r="Q3151" s="176"/>
      <c r="R3151" s="176"/>
      <c r="S3151" s="176"/>
      <c r="T3151" s="176"/>
      <c r="U3151" s="176"/>
      <c r="V3151" s="176"/>
      <c r="W3151" s="176"/>
      <c r="X3151" s="176"/>
      <c r="Y3151" s="176"/>
    </row>
    <row r="3152" spans="1:25">
      <c r="A3152" s="91"/>
      <c r="B3152" s="176"/>
      <c r="C3152" s="176"/>
      <c r="D3152" s="176"/>
      <c r="E3152" s="176"/>
      <c r="F3152" s="176"/>
      <c r="G3152" s="176"/>
      <c r="H3152" s="176"/>
      <c r="I3152" s="176"/>
      <c r="J3152" s="176"/>
      <c r="K3152" s="176"/>
      <c r="L3152" s="176"/>
      <c r="M3152" s="176"/>
      <c r="N3152" s="176"/>
      <c r="O3152" s="176"/>
      <c r="P3152" s="176"/>
      <c r="Q3152" s="176"/>
      <c r="R3152" s="176"/>
      <c r="S3152" s="176"/>
      <c r="T3152" s="176"/>
      <c r="U3152" s="176"/>
      <c r="V3152" s="176"/>
      <c r="W3152" s="176"/>
      <c r="X3152" s="176"/>
      <c r="Y3152" s="176"/>
    </row>
    <row r="3153" spans="1:25">
      <c r="A3153" s="91"/>
      <c r="B3153" s="176"/>
      <c r="C3153" s="176"/>
      <c r="D3153" s="176"/>
      <c r="E3153" s="176"/>
      <c r="F3153" s="176"/>
      <c r="G3153" s="176"/>
      <c r="H3153" s="176"/>
      <c r="I3153" s="176"/>
      <c r="J3153" s="176"/>
      <c r="K3153" s="176"/>
      <c r="L3153" s="176"/>
      <c r="M3153" s="176"/>
      <c r="N3153" s="176"/>
      <c r="O3153" s="176"/>
      <c r="P3153" s="176"/>
      <c r="Q3153" s="176"/>
      <c r="R3153" s="176"/>
      <c r="S3153" s="176"/>
      <c r="T3153" s="176"/>
      <c r="U3153" s="176"/>
      <c r="V3153" s="176"/>
      <c r="W3153" s="176"/>
      <c r="X3153" s="176"/>
      <c r="Y3153" s="176"/>
    </row>
    <row r="3154" spans="1:25">
      <c r="A3154" s="91"/>
      <c r="B3154" s="176"/>
      <c r="C3154" s="176"/>
      <c r="D3154" s="176"/>
      <c r="E3154" s="176"/>
      <c r="F3154" s="176"/>
      <c r="G3154" s="176"/>
      <c r="H3154" s="176"/>
      <c r="I3154" s="176"/>
      <c r="J3154" s="176"/>
      <c r="K3154" s="176"/>
      <c r="L3154" s="176"/>
      <c r="M3154" s="176"/>
      <c r="N3154" s="176"/>
      <c r="O3154" s="176"/>
      <c r="P3154" s="176"/>
      <c r="Q3154" s="176"/>
      <c r="R3154" s="176"/>
      <c r="S3154" s="176"/>
      <c r="T3154" s="176"/>
      <c r="U3154" s="176"/>
      <c r="V3154" s="176"/>
      <c r="W3154" s="176"/>
      <c r="X3154" s="176"/>
      <c r="Y3154" s="176"/>
    </row>
    <row r="3155" spans="1:25">
      <c r="A3155" s="91"/>
      <c r="B3155" s="176"/>
      <c r="C3155" s="176"/>
      <c r="D3155" s="176"/>
      <c r="E3155" s="176"/>
      <c r="F3155" s="176"/>
      <c r="G3155" s="176"/>
      <c r="H3155" s="176"/>
      <c r="I3155" s="176"/>
      <c r="J3155" s="176"/>
      <c r="K3155" s="176"/>
      <c r="L3155" s="176"/>
      <c r="M3155" s="176"/>
      <c r="N3155" s="176"/>
      <c r="O3155" s="176"/>
      <c r="P3155" s="176"/>
      <c r="Q3155" s="176"/>
      <c r="R3155" s="176"/>
      <c r="S3155" s="176"/>
      <c r="T3155" s="176"/>
      <c r="U3155" s="176"/>
      <c r="V3155" s="176"/>
      <c r="W3155" s="176"/>
      <c r="X3155" s="176"/>
      <c r="Y3155" s="176"/>
    </row>
    <row r="3156" spans="1:25">
      <c r="A3156" s="91"/>
      <c r="B3156" s="176"/>
      <c r="C3156" s="176"/>
      <c r="D3156" s="176"/>
      <c r="E3156" s="176"/>
      <c r="F3156" s="176"/>
      <c r="G3156" s="176"/>
      <c r="H3156" s="176"/>
      <c r="I3156" s="176"/>
      <c r="J3156" s="176"/>
      <c r="K3156" s="176"/>
      <c r="L3156" s="176"/>
      <c r="M3156" s="176"/>
      <c r="N3156" s="176"/>
      <c r="O3156" s="176"/>
      <c r="P3156" s="176"/>
      <c r="Q3156" s="176"/>
      <c r="R3156" s="176"/>
      <c r="S3156" s="176"/>
      <c r="T3156" s="176"/>
      <c r="U3156" s="176"/>
      <c r="V3156" s="176"/>
      <c r="W3156" s="176"/>
      <c r="X3156" s="176"/>
      <c r="Y3156" s="176"/>
    </row>
    <row r="3157" spans="1:25">
      <c r="A3157" s="91"/>
      <c r="B3157" s="176"/>
      <c r="C3157" s="176"/>
      <c r="D3157" s="176"/>
      <c r="E3157" s="176"/>
      <c r="F3157" s="176"/>
      <c r="G3157" s="176"/>
      <c r="H3157" s="176"/>
      <c r="I3157" s="176"/>
      <c r="J3157" s="176"/>
      <c r="K3157" s="176"/>
      <c r="L3157" s="176"/>
      <c r="M3157" s="176"/>
      <c r="N3157" s="176"/>
      <c r="O3157" s="176"/>
      <c r="P3157" s="176"/>
      <c r="Q3157" s="176"/>
      <c r="R3157" s="176"/>
      <c r="S3157" s="176"/>
      <c r="T3157" s="176"/>
      <c r="U3157" s="176"/>
      <c r="V3157" s="176"/>
      <c r="W3157" s="176"/>
      <c r="X3157" s="176"/>
      <c r="Y3157" s="176"/>
    </row>
    <row r="3158" spans="1:25">
      <c r="A3158" s="91"/>
      <c r="B3158" s="176"/>
      <c r="C3158" s="176"/>
      <c r="D3158" s="176"/>
      <c r="E3158" s="176"/>
      <c r="F3158" s="176"/>
      <c r="G3158" s="176"/>
      <c r="H3158" s="176"/>
      <c r="I3158" s="176"/>
      <c r="J3158" s="176"/>
      <c r="K3158" s="176"/>
      <c r="L3158" s="176"/>
      <c r="M3158" s="176"/>
      <c r="N3158" s="176"/>
      <c r="O3158" s="176"/>
      <c r="P3158" s="176"/>
      <c r="Q3158" s="176"/>
      <c r="R3158" s="176"/>
      <c r="S3158" s="176"/>
      <c r="T3158" s="176"/>
      <c r="U3158" s="176"/>
      <c r="V3158" s="176"/>
      <c r="W3158" s="176"/>
      <c r="X3158" s="176"/>
      <c r="Y3158" s="176"/>
    </row>
    <row r="3159" spans="1:25">
      <c r="A3159" s="91"/>
      <c r="B3159" s="176"/>
      <c r="C3159" s="176"/>
      <c r="D3159" s="176"/>
      <c r="E3159" s="176"/>
      <c r="F3159" s="176"/>
      <c r="G3159" s="176"/>
      <c r="H3159" s="176"/>
      <c r="I3159" s="176"/>
      <c r="J3159" s="176"/>
      <c r="K3159" s="176"/>
      <c r="L3159" s="176"/>
      <c r="M3159" s="176"/>
      <c r="N3159" s="176"/>
      <c r="O3159" s="176"/>
      <c r="P3159" s="176"/>
      <c r="Q3159" s="176"/>
      <c r="R3159" s="176"/>
      <c r="S3159" s="176"/>
      <c r="T3159" s="176"/>
      <c r="U3159" s="176"/>
      <c r="V3159" s="176"/>
      <c r="W3159" s="176"/>
      <c r="X3159" s="176"/>
      <c r="Y3159" s="176"/>
    </row>
    <row r="3160" spans="1:25">
      <c r="A3160" s="91"/>
      <c r="B3160" s="176"/>
      <c r="C3160" s="176"/>
      <c r="D3160" s="176"/>
      <c r="E3160" s="176"/>
      <c r="F3160" s="176"/>
      <c r="G3160" s="176"/>
      <c r="H3160" s="176"/>
      <c r="I3160" s="176"/>
      <c r="J3160" s="176"/>
      <c r="K3160" s="176"/>
      <c r="L3160" s="176"/>
      <c r="M3160" s="176"/>
      <c r="N3160" s="176"/>
      <c r="O3160" s="176"/>
      <c r="P3160" s="176"/>
      <c r="Q3160" s="176"/>
      <c r="R3160" s="176"/>
      <c r="S3160" s="176"/>
      <c r="T3160" s="176"/>
      <c r="U3160" s="176"/>
      <c r="V3160" s="176"/>
      <c r="W3160" s="176"/>
      <c r="X3160" s="176"/>
      <c r="Y3160" s="176"/>
    </row>
    <row r="3161" spans="1:25">
      <c r="A3161" s="91"/>
      <c r="B3161" s="176"/>
      <c r="C3161" s="176"/>
      <c r="D3161" s="176"/>
      <c r="E3161" s="176"/>
      <c r="F3161" s="176"/>
      <c r="G3161" s="176"/>
      <c r="H3161" s="176"/>
      <c r="I3161" s="176"/>
      <c r="J3161" s="176"/>
      <c r="K3161" s="176"/>
      <c r="L3161" s="176"/>
      <c r="M3161" s="176"/>
      <c r="N3161" s="176"/>
      <c r="O3161" s="176"/>
      <c r="P3161" s="176"/>
      <c r="Q3161" s="176"/>
      <c r="R3161" s="176"/>
      <c r="S3161" s="176"/>
      <c r="T3161" s="176"/>
      <c r="U3161" s="176"/>
      <c r="V3161" s="176"/>
      <c r="W3161" s="176"/>
      <c r="X3161" s="176"/>
      <c r="Y3161" s="176"/>
    </row>
    <row r="3162" spans="1:25">
      <c r="A3162" s="91"/>
      <c r="B3162" s="176"/>
      <c r="C3162" s="176"/>
      <c r="D3162" s="176"/>
      <c r="E3162" s="176"/>
      <c r="F3162" s="176"/>
      <c r="G3162" s="176"/>
      <c r="H3162" s="176"/>
      <c r="I3162" s="176"/>
      <c r="J3162" s="176"/>
      <c r="K3162" s="176"/>
      <c r="L3162" s="176"/>
      <c r="M3162" s="176"/>
      <c r="N3162" s="176"/>
      <c r="O3162" s="176"/>
      <c r="P3162" s="176"/>
      <c r="Q3162" s="176"/>
      <c r="R3162" s="176"/>
      <c r="S3162" s="176"/>
      <c r="T3162" s="176"/>
      <c r="U3162" s="176"/>
      <c r="V3162" s="176"/>
      <c r="W3162" s="176"/>
      <c r="X3162" s="176"/>
      <c r="Y3162" s="176"/>
    </row>
    <row r="3163" spans="1:25">
      <c r="A3163" s="91"/>
      <c r="B3163" s="176"/>
      <c r="C3163" s="176"/>
      <c r="D3163" s="176"/>
      <c r="E3163" s="176"/>
      <c r="F3163" s="176"/>
      <c r="G3163" s="176"/>
      <c r="H3163" s="176"/>
      <c r="I3163" s="176"/>
      <c r="J3163" s="176"/>
      <c r="K3163" s="176"/>
      <c r="L3163" s="176"/>
      <c r="M3163" s="176"/>
      <c r="N3163" s="176"/>
      <c r="O3163" s="176"/>
      <c r="P3163" s="176"/>
      <c r="Q3163" s="176"/>
      <c r="R3163" s="176"/>
      <c r="S3163" s="176"/>
      <c r="T3163" s="176"/>
      <c r="U3163" s="176"/>
      <c r="V3163" s="176"/>
      <c r="W3163" s="176"/>
      <c r="X3163" s="176"/>
      <c r="Y3163" s="176"/>
    </row>
    <row r="3164" spans="1:25">
      <c r="A3164" s="91"/>
      <c r="B3164" s="176"/>
      <c r="C3164" s="176"/>
      <c r="D3164" s="176"/>
      <c r="E3164" s="176"/>
      <c r="F3164" s="176"/>
      <c r="G3164" s="176"/>
      <c r="H3164" s="176"/>
      <c r="I3164" s="176"/>
      <c r="J3164" s="176"/>
      <c r="K3164" s="176"/>
      <c r="L3164" s="176"/>
      <c r="M3164" s="176"/>
      <c r="N3164" s="176"/>
      <c r="O3164" s="176"/>
      <c r="P3164" s="176"/>
      <c r="Q3164" s="176"/>
      <c r="R3164" s="176"/>
      <c r="S3164" s="176"/>
      <c r="T3164" s="176"/>
      <c r="U3164" s="176"/>
      <c r="V3164" s="176"/>
      <c r="W3164" s="176"/>
      <c r="X3164" s="176"/>
      <c r="Y3164" s="176"/>
    </row>
    <row r="3165" spans="1:25">
      <c r="A3165" s="91"/>
      <c r="B3165" s="176"/>
      <c r="C3165" s="176"/>
      <c r="D3165" s="176"/>
      <c r="E3165" s="176"/>
      <c r="F3165" s="176"/>
      <c r="G3165" s="176"/>
      <c r="H3165" s="176"/>
      <c r="I3165" s="176"/>
      <c r="J3165" s="176"/>
      <c r="K3165" s="176"/>
      <c r="L3165" s="176"/>
      <c r="M3165" s="176"/>
      <c r="N3165" s="176"/>
      <c r="O3165" s="176"/>
      <c r="P3165" s="176"/>
      <c r="Q3165" s="176"/>
      <c r="R3165" s="176"/>
      <c r="S3165" s="176"/>
      <c r="T3165" s="176"/>
      <c r="U3165" s="176"/>
      <c r="V3165" s="176"/>
      <c r="W3165" s="176"/>
      <c r="X3165" s="176"/>
      <c r="Y3165" s="176"/>
    </row>
    <row r="3166" spans="1:25">
      <c r="A3166" s="91"/>
      <c r="B3166" s="176"/>
      <c r="C3166" s="176"/>
      <c r="D3166" s="176"/>
      <c r="E3166" s="176"/>
      <c r="F3166" s="176"/>
      <c r="G3166" s="176"/>
      <c r="H3166" s="176"/>
      <c r="I3166" s="176"/>
      <c r="J3166" s="176"/>
      <c r="K3166" s="176"/>
      <c r="L3166" s="176"/>
      <c r="M3166" s="176"/>
      <c r="N3166" s="176"/>
      <c r="O3166" s="176"/>
      <c r="P3166" s="176"/>
      <c r="Q3166" s="176"/>
      <c r="R3166" s="176"/>
      <c r="S3166" s="176"/>
      <c r="T3166" s="176"/>
      <c r="U3166" s="176"/>
      <c r="V3166" s="176"/>
      <c r="W3166" s="176"/>
      <c r="X3166" s="176"/>
      <c r="Y3166" s="176"/>
    </row>
    <row r="3167" spans="1:25">
      <c r="A3167" s="91"/>
      <c r="B3167" s="176"/>
      <c r="C3167" s="176"/>
      <c r="D3167" s="176"/>
      <c r="E3167" s="176"/>
      <c r="F3167" s="176"/>
      <c r="G3167" s="176"/>
      <c r="H3167" s="176"/>
      <c r="I3167" s="176"/>
      <c r="J3167" s="176"/>
      <c r="K3167" s="176"/>
      <c r="L3167" s="176"/>
      <c r="M3167" s="176"/>
      <c r="N3167" s="176"/>
      <c r="O3167" s="176"/>
      <c r="P3167" s="176"/>
      <c r="Q3167" s="176"/>
      <c r="R3167" s="176"/>
      <c r="S3167" s="176"/>
      <c r="T3167" s="176"/>
      <c r="U3167" s="176"/>
      <c r="V3167" s="176"/>
      <c r="W3167" s="176"/>
      <c r="X3167" s="176"/>
      <c r="Y3167" s="176"/>
    </row>
    <row r="3168" spans="1:25">
      <c r="A3168" s="91"/>
      <c r="B3168" s="176"/>
      <c r="C3168" s="176"/>
      <c r="D3168" s="176"/>
      <c r="E3168" s="176"/>
      <c r="F3168" s="176"/>
      <c r="G3168" s="176"/>
      <c r="H3168" s="176"/>
      <c r="I3168" s="176"/>
      <c r="J3168" s="176"/>
      <c r="K3168" s="176"/>
      <c r="L3168" s="176"/>
      <c r="M3168" s="176"/>
      <c r="N3168" s="176"/>
      <c r="O3168" s="176"/>
      <c r="P3168" s="176"/>
      <c r="Q3168" s="176"/>
      <c r="R3168" s="176"/>
      <c r="S3168" s="176"/>
      <c r="T3168" s="176"/>
      <c r="U3168" s="176"/>
      <c r="V3168" s="176"/>
      <c r="W3168" s="176"/>
      <c r="X3168" s="176"/>
      <c r="Y3168" s="176"/>
    </row>
    <row r="3169" spans="1:25">
      <c r="A3169" s="91"/>
      <c r="B3169" s="176"/>
      <c r="C3169" s="176"/>
      <c r="D3169" s="176"/>
      <c r="E3169" s="176"/>
      <c r="F3169" s="176"/>
      <c r="G3169" s="176"/>
      <c r="H3169" s="176"/>
      <c r="I3169" s="176"/>
      <c r="J3169" s="176"/>
      <c r="K3169" s="176"/>
      <c r="L3169" s="176"/>
      <c r="M3169" s="176"/>
      <c r="N3169" s="176"/>
      <c r="O3169" s="176"/>
      <c r="P3169" s="176"/>
      <c r="Q3169" s="176"/>
      <c r="R3169" s="176"/>
      <c r="S3169" s="176"/>
      <c r="T3169" s="176"/>
      <c r="U3169" s="176"/>
      <c r="V3169" s="176"/>
      <c r="W3169" s="176"/>
      <c r="X3169" s="176"/>
      <c r="Y3169" s="176"/>
    </row>
    <row r="3170" spans="1:25">
      <c r="A3170" s="91"/>
      <c r="B3170" s="176"/>
      <c r="C3170" s="176"/>
      <c r="D3170" s="176"/>
      <c r="E3170" s="176"/>
      <c r="F3170" s="176"/>
      <c r="G3170" s="176"/>
      <c r="H3170" s="176"/>
      <c r="I3170" s="176"/>
      <c r="J3170" s="176"/>
      <c r="K3170" s="176"/>
      <c r="L3170" s="176"/>
      <c r="M3170" s="176"/>
      <c r="N3170" s="176"/>
      <c r="O3170" s="176"/>
      <c r="P3170" s="176"/>
      <c r="Q3170" s="176"/>
      <c r="R3170" s="176"/>
      <c r="S3170" s="176"/>
      <c r="T3170" s="176"/>
      <c r="U3170" s="176"/>
      <c r="V3170" s="176"/>
      <c r="W3170" s="176"/>
      <c r="X3170" s="176"/>
      <c r="Y3170" s="176"/>
    </row>
    <row r="3171" spans="1:25">
      <c r="A3171" s="91"/>
      <c r="B3171" s="176"/>
      <c r="C3171" s="176"/>
      <c r="D3171" s="176"/>
      <c r="E3171" s="176"/>
      <c r="F3171" s="176"/>
      <c r="G3171" s="176"/>
      <c r="H3171" s="176"/>
      <c r="I3171" s="176"/>
      <c r="J3171" s="176"/>
      <c r="K3171" s="176"/>
      <c r="L3171" s="176"/>
      <c r="M3171" s="176"/>
      <c r="N3171" s="176"/>
      <c r="O3171" s="176"/>
      <c r="P3171" s="176"/>
      <c r="Q3171" s="176"/>
      <c r="R3171" s="176"/>
      <c r="S3171" s="176"/>
      <c r="T3171" s="176"/>
      <c r="U3171" s="176"/>
      <c r="V3171" s="176"/>
      <c r="W3171" s="176"/>
      <c r="X3171" s="176"/>
      <c r="Y3171" s="176"/>
    </row>
    <row r="3172" spans="1:25">
      <c r="A3172" s="91"/>
      <c r="B3172" s="176"/>
      <c r="C3172" s="176"/>
      <c r="D3172" s="176"/>
      <c r="E3172" s="176"/>
      <c r="F3172" s="176"/>
      <c r="G3172" s="176"/>
      <c r="H3172" s="176"/>
      <c r="I3172" s="176"/>
      <c r="J3172" s="176"/>
      <c r="K3172" s="176"/>
      <c r="L3172" s="176"/>
      <c r="M3172" s="176"/>
      <c r="N3172" s="176"/>
      <c r="O3172" s="176"/>
      <c r="P3172" s="176"/>
      <c r="Q3172" s="176"/>
      <c r="R3172" s="176"/>
      <c r="S3172" s="176"/>
      <c r="T3172" s="176"/>
      <c r="U3172" s="176"/>
      <c r="V3172" s="176"/>
      <c r="W3172" s="176"/>
      <c r="X3172" s="176"/>
      <c r="Y3172" s="176"/>
    </row>
    <row r="3173" spans="1:25">
      <c r="A3173" s="91"/>
      <c r="B3173" s="176"/>
      <c r="C3173" s="176"/>
      <c r="D3173" s="176"/>
      <c r="E3173" s="176"/>
      <c r="F3173" s="176"/>
      <c r="G3173" s="176"/>
      <c r="H3173" s="176"/>
      <c r="I3173" s="176"/>
      <c r="J3173" s="176"/>
      <c r="K3173" s="176"/>
      <c r="L3173" s="176"/>
      <c r="M3173" s="176"/>
      <c r="N3173" s="176"/>
      <c r="O3173" s="176"/>
      <c r="P3173" s="176"/>
      <c r="Q3173" s="176"/>
      <c r="R3173" s="176"/>
      <c r="S3173" s="176"/>
      <c r="T3173" s="176"/>
      <c r="U3173" s="176"/>
      <c r="V3173" s="176"/>
      <c r="W3173" s="176"/>
      <c r="X3173" s="176"/>
      <c r="Y3173" s="176"/>
    </row>
    <row r="3174" spans="1:25">
      <c r="A3174" s="91"/>
      <c r="B3174" s="176"/>
      <c r="C3174" s="176"/>
      <c r="D3174" s="176"/>
      <c r="E3174" s="176"/>
      <c r="F3174" s="176"/>
      <c r="G3174" s="176"/>
      <c r="H3174" s="176"/>
      <c r="I3174" s="176"/>
      <c r="J3174" s="176"/>
      <c r="K3174" s="176"/>
      <c r="L3174" s="176"/>
      <c r="M3174" s="176"/>
      <c r="N3174" s="176"/>
      <c r="O3174" s="176"/>
      <c r="P3174" s="176"/>
      <c r="Q3174" s="176"/>
      <c r="R3174" s="176"/>
      <c r="S3174" s="176"/>
      <c r="T3174" s="176"/>
      <c r="U3174" s="176"/>
      <c r="V3174" s="176"/>
      <c r="W3174" s="176"/>
      <c r="X3174" s="176"/>
      <c r="Y3174" s="176"/>
    </row>
    <row r="3175" spans="1:25">
      <c r="A3175" s="91"/>
      <c r="B3175" s="176"/>
      <c r="C3175" s="176"/>
      <c r="D3175" s="176"/>
      <c r="E3175" s="176"/>
      <c r="F3175" s="176"/>
      <c r="G3175" s="176"/>
      <c r="H3175" s="176"/>
      <c r="I3175" s="176"/>
      <c r="J3175" s="176"/>
      <c r="K3175" s="176"/>
      <c r="L3175" s="176"/>
      <c r="M3175" s="176"/>
      <c r="N3175" s="176"/>
      <c r="O3175" s="176"/>
      <c r="P3175" s="176"/>
      <c r="Q3175" s="176"/>
      <c r="R3175" s="176"/>
      <c r="S3175" s="176"/>
      <c r="T3175" s="176"/>
      <c r="U3175" s="176"/>
      <c r="V3175" s="176"/>
      <c r="W3175" s="176"/>
      <c r="X3175" s="176"/>
      <c r="Y3175" s="176"/>
    </row>
    <row r="3176" spans="1:25">
      <c r="A3176" s="91"/>
      <c r="B3176" s="176"/>
      <c r="C3176" s="176"/>
      <c r="D3176" s="176"/>
      <c r="E3176" s="176"/>
      <c r="F3176" s="176"/>
      <c r="G3176" s="176"/>
      <c r="H3176" s="176"/>
      <c r="I3176" s="176"/>
      <c r="J3176" s="176"/>
      <c r="K3176" s="176"/>
      <c r="L3176" s="176"/>
      <c r="M3176" s="176"/>
      <c r="N3176" s="176"/>
      <c r="O3176" s="176"/>
      <c r="P3176" s="176"/>
      <c r="Q3176" s="176"/>
      <c r="R3176" s="176"/>
      <c r="S3176" s="176"/>
      <c r="T3176" s="176"/>
      <c r="U3176" s="176"/>
      <c r="V3176" s="176"/>
      <c r="W3176" s="176"/>
      <c r="X3176" s="176"/>
      <c r="Y3176" s="176"/>
    </row>
    <row r="3177" spans="1:25">
      <c r="A3177" s="91"/>
      <c r="B3177" s="176"/>
      <c r="C3177" s="176"/>
      <c r="D3177" s="176"/>
      <c r="E3177" s="176"/>
      <c r="F3177" s="176"/>
      <c r="G3177" s="176"/>
      <c r="H3177" s="176"/>
      <c r="I3177" s="176"/>
      <c r="J3177" s="176"/>
      <c r="K3177" s="176"/>
      <c r="L3177" s="176"/>
      <c r="M3177" s="176"/>
      <c r="N3177" s="176"/>
      <c r="O3177" s="176"/>
      <c r="P3177" s="176"/>
      <c r="Q3177" s="176"/>
      <c r="R3177" s="176"/>
      <c r="S3177" s="176"/>
      <c r="T3177" s="176"/>
      <c r="U3177" s="176"/>
      <c r="V3177" s="176"/>
      <c r="W3177" s="176"/>
      <c r="X3177" s="176"/>
      <c r="Y3177" s="176"/>
    </row>
    <row r="3178" spans="1:25">
      <c r="A3178" s="91"/>
      <c r="B3178" s="176"/>
      <c r="C3178" s="176"/>
      <c r="D3178" s="176"/>
      <c r="E3178" s="176"/>
      <c r="F3178" s="176"/>
      <c r="G3178" s="176"/>
      <c r="H3178" s="176"/>
      <c r="I3178" s="176"/>
      <c r="J3178" s="176"/>
      <c r="K3178" s="176"/>
      <c r="L3178" s="176"/>
      <c r="M3178" s="176"/>
      <c r="N3178" s="176"/>
      <c r="O3178" s="176"/>
      <c r="P3178" s="176"/>
      <c r="Q3178" s="176"/>
      <c r="R3178" s="176"/>
      <c r="S3178" s="176"/>
      <c r="T3178" s="176"/>
      <c r="U3178" s="176"/>
      <c r="V3178" s="176"/>
      <c r="W3178" s="176"/>
      <c r="X3178" s="176"/>
      <c r="Y3178" s="176"/>
    </row>
    <row r="3179" spans="1:25">
      <c r="A3179" s="91"/>
      <c r="B3179" s="176"/>
      <c r="C3179" s="176"/>
      <c r="D3179" s="176"/>
      <c r="E3179" s="176"/>
      <c r="F3179" s="176"/>
      <c r="G3179" s="176"/>
      <c r="H3179" s="176"/>
      <c r="I3179" s="176"/>
      <c r="J3179" s="176"/>
      <c r="K3179" s="176"/>
      <c r="L3179" s="176"/>
      <c r="M3179" s="176"/>
      <c r="N3179" s="176"/>
      <c r="O3179" s="176"/>
      <c r="P3179" s="176"/>
      <c r="Q3179" s="176"/>
      <c r="R3179" s="176"/>
      <c r="S3179" s="176"/>
      <c r="T3179" s="176"/>
      <c r="U3179" s="176"/>
      <c r="V3179" s="176"/>
      <c r="W3179" s="176"/>
      <c r="X3179" s="176"/>
      <c r="Y3179" s="176"/>
    </row>
    <row r="3180" spans="1:25">
      <c r="A3180" s="91"/>
      <c r="B3180" s="176"/>
      <c r="C3180" s="176"/>
      <c r="D3180" s="176"/>
      <c r="E3180" s="176"/>
      <c r="F3180" s="176"/>
      <c r="G3180" s="176"/>
      <c r="H3180" s="176"/>
      <c r="I3180" s="176"/>
      <c r="J3180" s="176"/>
      <c r="K3180" s="176"/>
      <c r="L3180" s="176"/>
      <c r="M3180" s="176"/>
      <c r="N3180" s="176"/>
      <c r="O3180" s="176"/>
      <c r="P3180" s="176"/>
      <c r="Q3180" s="176"/>
      <c r="R3180" s="176"/>
      <c r="S3180" s="176"/>
      <c r="T3180" s="176"/>
      <c r="U3180" s="176"/>
      <c r="V3180" s="176"/>
      <c r="W3180" s="176"/>
      <c r="X3180" s="176"/>
      <c r="Y3180" s="176"/>
    </row>
    <row r="3181" spans="1:25">
      <c r="A3181" s="91"/>
      <c r="B3181" s="176"/>
      <c r="C3181" s="176"/>
      <c r="D3181" s="176"/>
      <c r="E3181" s="176"/>
      <c r="F3181" s="176"/>
      <c r="G3181" s="176"/>
      <c r="H3181" s="176"/>
      <c r="I3181" s="176"/>
      <c r="J3181" s="176"/>
      <c r="K3181" s="176"/>
      <c r="L3181" s="176"/>
      <c r="M3181" s="176"/>
      <c r="N3181" s="176"/>
      <c r="O3181" s="176"/>
      <c r="P3181" s="176"/>
      <c r="Q3181" s="176"/>
      <c r="R3181" s="176"/>
      <c r="S3181" s="176"/>
      <c r="T3181" s="176"/>
      <c r="U3181" s="176"/>
      <c r="V3181" s="176"/>
      <c r="W3181" s="176"/>
      <c r="X3181" s="176"/>
      <c r="Y3181" s="176"/>
    </row>
    <row r="3182" spans="1:25">
      <c r="A3182" s="91"/>
      <c r="B3182" s="176"/>
      <c r="C3182" s="176"/>
      <c r="D3182" s="176"/>
      <c r="E3182" s="176"/>
      <c r="F3182" s="176"/>
      <c r="G3182" s="176"/>
      <c r="H3182" s="176"/>
      <c r="I3182" s="176"/>
      <c r="J3182" s="176"/>
      <c r="K3182" s="176"/>
      <c r="L3182" s="176"/>
      <c r="M3182" s="176"/>
      <c r="N3182" s="176"/>
      <c r="O3182" s="176"/>
      <c r="P3182" s="176"/>
      <c r="Q3182" s="176"/>
      <c r="R3182" s="176"/>
      <c r="S3182" s="176"/>
      <c r="T3182" s="176"/>
      <c r="U3182" s="176"/>
      <c r="V3182" s="176"/>
      <c r="W3182" s="176"/>
      <c r="X3182" s="176"/>
      <c r="Y3182" s="176"/>
    </row>
    <row r="3183" spans="1:25">
      <c r="A3183" s="91"/>
      <c r="B3183" s="176"/>
      <c r="C3183" s="176"/>
      <c r="D3183" s="176"/>
      <c r="E3183" s="176"/>
      <c r="F3183" s="176"/>
      <c r="G3183" s="176"/>
      <c r="H3183" s="176"/>
      <c r="I3183" s="176"/>
      <c r="J3183" s="176"/>
      <c r="K3183" s="176"/>
      <c r="L3183" s="176"/>
      <c r="M3183" s="176"/>
      <c r="N3183" s="176"/>
      <c r="O3183" s="176"/>
      <c r="P3183" s="176"/>
      <c r="Q3183" s="176"/>
      <c r="R3183" s="176"/>
      <c r="S3183" s="176"/>
      <c r="T3183" s="176"/>
      <c r="U3183" s="176"/>
      <c r="V3183" s="176"/>
      <c r="W3183" s="176"/>
      <c r="X3183" s="176"/>
      <c r="Y3183" s="176"/>
    </row>
    <row r="3184" spans="1:25">
      <c r="A3184" s="91"/>
      <c r="B3184" s="176"/>
      <c r="C3184" s="176"/>
      <c r="D3184" s="176"/>
      <c r="E3184" s="176"/>
      <c r="F3184" s="176"/>
      <c r="G3184" s="176"/>
      <c r="H3184" s="176"/>
      <c r="I3184" s="176"/>
      <c r="J3184" s="176"/>
      <c r="K3184" s="176"/>
      <c r="L3184" s="176"/>
      <c r="M3184" s="176"/>
      <c r="N3184" s="176"/>
      <c r="O3184" s="176"/>
      <c r="P3184" s="176"/>
      <c r="Q3184" s="176"/>
      <c r="R3184" s="176"/>
      <c r="S3184" s="176"/>
      <c r="T3184" s="176"/>
      <c r="U3184" s="176"/>
      <c r="V3184" s="176"/>
      <c r="W3184" s="176"/>
      <c r="X3184" s="176"/>
      <c r="Y3184" s="176"/>
    </row>
    <row r="3185" spans="1:25">
      <c r="A3185" s="91"/>
      <c r="B3185" s="176"/>
      <c r="C3185" s="176"/>
      <c r="D3185" s="176"/>
      <c r="E3185" s="176"/>
      <c r="F3185" s="176"/>
      <c r="G3185" s="176"/>
      <c r="H3185" s="176"/>
      <c r="I3185" s="176"/>
      <c r="J3185" s="176"/>
      <c r="K3185" s="176"/>
      <c r="L3185" s="176"/>
      <c r="M3185" s="176"/>
      <c r="N3185" s="176"/>
      <c r="O3185" s="176"/>
      <c r="P3185" s="176"/>
      <c r="Q3185" s="176"/>
      <c r="R3185" s="176"/>
      <c r="S3185" s="176"/>
      <c r="T3185" s="176"/>
      <c r="U3185" s="176"/>
      <c r="V3185" s="176"/>
      <c r="W3185" s="176"/>
      <c r="X3185" s="176"/>
      <c r="Y3185" s="176"/>
    </row>
    <row r="3186" spans="1:25">
      <c r="A3186" s="91"/>
      <c r="B3186" s="176"/>
      <c r="C3186" s="176"/>
      <c r="D3186" s="176"/>
      <c r="E3186" s="176"/>
      <c r="F3186" s="176"/>
      <c r="G3186" s="176"/>
      <c r="H3186" s="176"/>
      <c r="I3186" s="176"/>
      <c r="J3186" s="176"/>
      <c r="K3186" s="176"/>
      <c r="L3186" s="176"/>
      <c r="M3186" s="176"/>
      <c r="N3186" s="176"/>
      <c r="O3186" s="176"/>
      <c r="P3186" s="176"/>
      <c r="Q3186" s="176"/>
      <c r="R3186" s="176"/>
      <c r="S3186" s="176"/>
      <c r="T3186" s="176"/>
      <c r="U3186" s="176"/>
      <c r="V3186" s="176"/>
      <c r="W3186" s="176"/>
      <c r="X3186" s="176"/>
      <c r="Y3186" s="176"/>
    </row>
    <row r="3187" spans="1:25">
      <c r="A3187" s="91"/>
      <c r="B3187" s="176"/>
      <c r="C3187" s="176"/>
      <c r="D3187" s="176"/>
      <c r="E3187" s="176"/>
      <c r="F3187" s="176"/>
      <c r="G3187" s="176"/>
      <c r="H3187" s="176"/>
      <c r="I3187" s="176"/>
      <c r="J3187" s="176"/>
      <c r="K3187" s="176"/>
      <c r="L3187" s="176"/>
      <c r="M3187" s="176"/>
      <c r="N3187" s="176"/>
      <c r="O3187" s="176"/>
      <c r="P3187" s="176"/>
      <c r="Q3187" s="176"/>
      <c r="R3187" s="176"/>
      <c r="S3187" s="176"/>
      <c r="T3187" s="176"/>
      <c r="U3187" s="176"/>
      <c r="V3187" s="176"/>
      <c r="W3187" s="176"/>
      <c r="X3187" s="176"/>
      <c r="Y3187" s="176"/>
    </row>
    <row r="3188" spans="1:25">
      <c r="A3188" s="91"/>
      <c r="B3188" s="176"/>
      <c r="C3188" s="176"/>
      <c r="D3188" s="176"/>
      <c r="E3188" s="176"/>
      <c r="F3188" s="176"/>
      <c r="G3188" s="176"/>
      <c r="H3188" s="176"/>
      <c r="I3188" s="176"/>
      <c r="J3188" s="176"/>
      <c r="K3188" s="176"/>
      <c r="L3188" s="176"/>
      <c r="M3188" s="176"/>
      <c r="N3188" s="176"/>
      <c r="O3188" s="176"/>
      <c r="P3188" s="176"/>
      <c r="Q3188" s="176"/>
      <c r="R3188" s="176"/>
      <c r="S3188" s="176"/>
      <c r="T3188" s="176"/>
      <c r="U3188" s="176"/>
      <c r="V3188" s="176"/>
      <c r="W3188" s="176"/>
      <c r="X3188" s="176"/>
      <c r="Y3188" s="176"/>
    </row>
    <row r="3189" spans="1:25">
      <c r="A3189" s="91"/>
      <c r="B3189" s="176"/>
      <c r="C3189" s="176"/>
      <c r="D3189" s="176"/>
      <c r="E3189" s="176"/>
      <c r="F3189" s="176"/>
      <c r="G3189" s="176"/>
      <c r="H3189" s="176"/>
      <c r="I3189" s="176"/>
      <c r="J3189" s="176"/>
      <c r="K3189" s="176"/>
      <c r="L3189" s="176"/>
      <c r="M3189" s="176"/>
      <c r="N3189" s="176"/>
      <c r="O3189" s="176"/>
      <c r="P3189" s="176"/>
      <c r="Q3189" s="176"/>
      <c r="R3189" s="176"/>
      <c r="S3189" s="176"/>
      <c r="T3189" s="176"/>
      <c r="U3189" s="176"/>
      <c r="V3189" s="176"/>
      <c r="W3189" s="176"/>
      <c r="X3189" s="176"/>
      <c r="Y3189" s="176"/>
    </row>
    <row r="3190" spans="1:25">
      <c r="A3190" s="91"/>
      <c r="B3190" s="176"/>
      <c r="C3190" s="176"/>
      <c r="D3190" s="176"/>
      <c r="E3190" s="176"/>
      <c r="F3190" s="176"/>
      <c r="G3190" s="176"/>
      <c r="H3190" s="176"/>
      <c r="I3190" s="176"/>
      <c r="J3190" s="176"/>
      <c r="K3190" s="176"/>
      <c r="L3190" s="176"/>
      <c r="M3190" s="176"/>
      <c r="N3190" s="176"/>
      <c r="O3190" s="176"/>
      <c r="P3190" s="176"/>
      <c r="Q3190" s="176"/>
      <c r="R3190" s="176"/>
      <c r="S3190" s="176"/>
      <c r="T3190" s="176"/>
      <c r="U3190" s="176"/>
      <c r="V3190" s="176"/>
      <c r="W3190" s="176"/>
      <c r="X3190" s="176"/>
      <c r="Y3190" s="176"/>
    </row>
    <row r="3191" spans="1:25">
      <c r="A3191" s="91"/>
      <c r="B3191" s="176"/>
      <c r="C3191" s="176"/>
      <c r="D3191" s="176"/>
      <c r="E3191" s="176"/>
      <c r="F3191" s="176"/>
      <c r="G3191" s="176"/>
      <c r="H3191" s="176"/>
      <c r="I3191" s="176"/>
      <c r="J3191" s="176"/>
      <c r="K3191" s="176"/>
      <c r="L3191" s="176"/>
      <c r="M3191" s="176"/>
      <c r="N3191" s="176"/>
      <c r="O3191" s="176"/>
      <c r="P3191" s="176"/>
      <c r="Q3191" s="176"/>
      <c r="R3191" s="176"/>
      <c r="S3191" s="176"/>
      <c r="T3191" s="176"/>
      <c r="U3191" s="176"/>
      <c r="V3191" s="176"/>
      <c r="W3191" s="176"/>
      <c r="X3191" s="176"/>
      <c r="Y3191" s="176"/>
    </row>
    <row r="3192" spans="1:25">
      <c r="A3192" s="91"/>
      <c r="B3192" s="176"/>
      <c r="C3192" s="176"/>
      <c r="D3192" s="176"/>
      <c r="E3192" s="176"/>
      <c r="F3192" s="176"/>
      <c r="G3192" s="176"/>
      <c r="H3192" s="176"/>
      <c r="I3192" s="176"/>
      <c r="J3192" s="176"/>
      <c r="K3192" s="176"/>
      <c r="L3192" s="176"/>
      <c r="M3192" s="176"/>
      <c r="N3192" s="176"/>
      <c r="O3192" s="176"/>
      <c r="P3192" s="176"/>
      <c r="Q3192" s="176"/>
      <c r="R3192" s="176"/>
      <c r="S3192" s="176"/>
      <c r="T3192" s="176"/>
      <c r="U3192" s="176"/>
      <c r="V3192" s="176"/>
      <c r="W3192" s="176"/>
      <c r="X3192" s="176"/>
      <c r="Y3192" s="176"/>
    </row>
    <row r="3193" spans="1:25">
      <c r="A3193" s="91"/>
      <c r="B3193" s="176"/>
      <c r="C3193" s="176"/>
      <c r="D3193" s="176"/>
      <c r="E3193" s="176"/>
      <c r="F3193" s="176"/>
      <c r="G3193" s="176"/>
      <c r="H3193" s="176"/>
      <c r="I3193" s="176"/>
      <c r="J3193" s="176"/>
      <c r="K3193" s="176"/>
      <c r="L3193" s="176"/>
      <c r="M3193" s="176"/>
      <c r="N3193" s="176"/>
      <c r="O3193" s="176"/>
      <c r="P3193" s="176"/>
      <c r="Q3193" s="176"/>
      <c r="R3193" s="176"/>
      <c r="S3193" s="176"/>
      <c r="T3193" s="176"/>
      <c r="U3193" s="176"/>
      <c r="V3193" s="176"/>
      <c r="W3193" s="176"/>
      <c r="X3193" s="176"/>
      <c r="Y3193" s="176"/>
    </row>
    <row r="3194" spans="1:25">
      <c r="A3194" s="91"/>
      <c r="B3194" s="176"/>
      <c r="C3194" s="176"/>
      <c r="D3194" s="176"/>
      <c r="E3194" s="176"/>
      <c r="F3194" s="176"/>
      <c r="G3194" s="176"/>
      <c r="H3194" s="176"/>
      <c r="I3194" s="176"/>
      <c r="J3194" s="176"/>
      <c r="K3194" s="176"/>
      <c r="L3194" s="176"/>
      <c r="M3194" s="176"/>
      <c r="N3194" s="176"/>
      <c r="O3194" s="176"/>
      <c r="P3194" s="176"/>
      <c r="Q3194" s="176"/>
      <c r="R3194" s="176"/>
      <c r="S3194" s="176"/>
      <c r="T3194" s="176"/>
      <c r="U3194" s="176"/>
      <c r="V3194" s="176"/>
      <c r="W3194" s="176"/>
      <c r="X3194" s="176"/>
      <c r="Y3194" s="176"/>
    </row>
    <row r="3195" spans="1:25">
      <c r="A3195" s="91"/>
      <c r="B3195" s="176"/>
      <c r="C3195" s="176"/>
      <c r="D3195" s="176"/>
      <c r="E3195" s="176"/>
      <c r="F3195" s="176"/>
      <c r="G3195" s="176"/>
      <c r="H3195" s="176"/>
      <c r="I3195" s="176"/>
      <c r="J3195" s="176"/>
      <c r="K3195" s="176"/>
      <c r="L3195" s="176"/>
      <c r="M3195" s="176"/>
      <c r="N3195" s="176"/>
      <c r="O3195" s="176"/>
      <c r="P3195" s="176"/>
      <c r="Q3195" s="176"/>
      <c r="R3195" s="176"/>
      <c r="S3195" s="176"/>
      <c r="T3195" s="176"/>
      <c r="U3195" s="176"/>
      <c r="V3195" s="176"/>
      <c r="W3195" s="176"/>
      <c r="X3195" s="176"/>
      <c r="Y3195" s="176"/>
    </row>
    <row r="3196" spans="1:25">
      <c r="A3196" s="91"/>
      <c r="B3196" s="176"/>
      <c r="C3196" s="176"/>
      <c r="D3196" s="176"/>
      <c r="E3196" s="176"/>
      <c r="F3196" s="176"/>
      <c r="G3196" s="176"/>
      <c r="H3196" s="176"/>
      <c r="I3196" s="176"/>
      <c r="J3196" s="176"/>
      <c r="K3196" s="176"/>
      <c r="L3196" s="176"/>
      <c r="M3196" s="176"/>
      <c r="N3196" s="176"/>
      <c r="O3196" s="176"/>
      <c r="P3196" s="176"/>
      <c r="Q3196" s="176"/>
      <c r="R3196" s="176"/>
      <c r="S3196" s="176"/>
      <c r="T3196" s="176"/>
      <c r="U3196" s="176"/>
      <c r="V3196" s="176"/>
      <c r="W3196" s="176"/>
      <c r="X3196" s="176"/>
      <c r="Y3196" s="176"/>
    </row>
    <row r="3197" spans="1:25">
      <c r="A3197" s="91"/>
      <c r="B3197" s="176"/>
      <c r="C3197" s="176"/>
      <c r="D3197" s="176"/>
      <c r="E3197" s="176"/>
      <c r="F3197" s="176"/>
      <c r="G3197" s="176"/>
      <c r="H3197" s="176"/>
      <c r="I3197" s="176"/>
      <c r="J3197" s="176"/>
      <c r="K3197" s="176"/>
      <c r="L3197" s="176"/>
      <c r="M3197" s="176"/>
      <c r="N3197" s="176"/>
      <c r="O3197" s="176"/>
      <c r="P3197" s="176"/>
      <c r="Q3197" s="176"/>
      <c r="R3197" s="176"/>
      <c r="S3197" s="176"/>
      <c r="T3197" s="176"/>
      <c r="U3197" s="176"/>
      <c r="V3197" s="176"/>
      <c r="W3197" s="176"/>
      <c r="X3197" s="176"/>
      <c r="Y3197" s="176"/>
    </row>
    <row r="3198" spans="1:25">
      <c r="A3198" s="91"/>
      <c r="B3198" s="176"/>
      <c r="C3198" s="176"/>
      <c r="D3198" s="176"/>
      <c r="E3198" s="176"/>
      <c r="F3198" s="176"/>
      <c r="G3198" s="176"/>
      <c r="H3198" s="176"/>
      <c r="I3198" s="176"/>
      <c r="J3198" s="176"/>
      <c r="K3198" s="176"/>
      <c r="L3198" s="176"/>
      <c r="M3198" s="176"/>
      <c r="N3198" s="176"/>
      <c r="O3198" s="176"/>
      <c r="P3198" s="176"/>
      <c r="Q3198" s="176"/>
      <c r="R3198" s="176"/>
      <c r="S3198" s="176"/>
      <c r="T3198" s="176"/>
      <c r="U3198" s="176"/>
      <c r="V3198" s="176"/>
      <c r="W3198" s="176"/>
      <c r="X3198" s="176"/>
      <c r="Y3198" s="176"/>
    </row>
    <row r="3199" spans="1:25">
      <c r="A3199" s="91"/>
      <c r="B3199" s="176"/>
      <c r="C3199" s="176"/>
      <c r="D3199" s="176"/>
      <c r="E3199" s="176"/>
      <c r="F3199" s="176"/>
      <c r="G3199" s="176"/>
      <c r="H3199" s="176"/>
      <c r="I3199" s="176"/>
      <c r="J3199" s="176"/>
      <c r="K3199" s="176"/>
      <c r="L3199" s="176"/>
      <c r="M3199" s="176"/>
      <c r="N3199" s="176"/>
      <c r="O3199" s="176"/>
      <c r="P3199" s="176"/>
      <c r="Q3199" s="176"/>
      <c r="R3199" s="176"/>
      <c r="S3199" s="176"/>
      <c r="T3199" s="176"/>
      <c r="U3199" s="176"/>
      <c r="V3199" s="176"/>
      <c r="W3199" s="176"/>
      <c r="X3199" s="176"/>
      <c r="Y3199" s="176"/>
    </row>
    <row r="3200" spans="1:25">
      <c r="A3200" s="91"/>
      <c r="B3200" s="176"/>
      <c r="C3200" s="176"/>
      <c r="D3200" s="176"/>
      <c r="E3200" s="176"/>
      <c r="F3200" s="176"/>
      <c r="G3200" s="176"/>
      <c r="H3200" s="176"/>
      <c r="I3200" s="176"/>
      <c r="J3200" s="176"/>
      <c r="K3200" s="176"/>
      <c r="L3200" s="176"/>
      <c r="M3200" s="176"/>
      <c r="N3200" s="176"/>
      <c r="O3200" s="176"/>
      <c r="P3200" s="176"/>
      <c r="Q3200" s="176"/>
      <c r="R3200" s="176"/>
      <c r="S3200" s="176"/>
      <c r="T3200" s="176"/>
      <c r="U3200" s="176"/>
      <c r="V3200" s="176"/>
      <c r="W3200" s="176"/>
      <c r="X3200" s="176"/>
      <c r="Y3200" s="176"/>
    </row>
    <row r="3201" spans="1:25">
      <c r="A3201" s="91"/>
      <c r="B3201" s="176"/>
      <c r="C3201" s="176"/>
      <c r="D3201" s="176"/>
      <c r="E3201" s="176"/>
      <c r="F3201" s="176"/>
      <c r="G3201" s="176"/>
      <c r="H3201" s="176"/>
      <c r="I3201" s="176"/>
      <c r="J3201" s="176"/>
      <c r="K3201" s="176"/>
      <c r="L3201" s="176"/>
      <c r="M3201" s="176"/>
      <c r="N3201" s="176"/>
      <c r="O3201" s="176"/>
      <c r="P3201" s="176"/>
      <c r="Q3201" s="176"/>
      <c r="R3201" s="176"/>
      <c r="S3201" s="176"/>
      <c r="T3201" s="176"/>
      <c r="U3201" s="176"/>
      <c r="V3201" s="176"/>
      <c r="W3201" s="176"/>
      <c r="X3201" s="176"/>
      <c r="Y3201" s="176"/>
    </row>
    <row r="3202" spans="1:25">
      <c r="A3202" s="91"/>
      <c r="B3202" s="176"/>
      <c r="C3202" s="176"/>
      <c r="D3202" s="176"/>
      <c r="E3202" s="176"/>
      <c r="F3202" s="176"/>
      <c r="G3202" s="176"/>
      <c r="H3202" s="176"/>
      <c r="I3202" s="176"/>
      <c r="J3202" s="176"/>
      <c r="K3202" s="176"/>
      <c r="L3202" s="176"/>
      <c r="M3202" s="176"/>
      <c r="N3202" s="176"/>
      <c r="O3202" s="176"/>
      <c r="P3202" s="176"/>
      <c r="Q3202" s="176"/>
      <c r="R3202" s="176"/>
      <c r="S3202" s="176"/>
      <c r="T3202" s="176"/>
      <c r="U3202" s="176"/>
      <c r="V3202" s="176"/>
      <c r="W3202" s="176"/>
      <c r="X3202" s="176"/>
      <c r="Y3202" s="176"/>
    </row>
    <row r="3203" spans="1:25">
      <c r="A3203" s="91"/>
      <c r="B3203" s="176"/>
      <c r="C3203" s="176"/>
      <c r="D3203" s="176"/>
      <c r="E3203" s="176"/>
      <c r="F3203" s="176"/>
      <c r="G3203" s="176"/>
      <c r="H3203" s="176"/>
      <c r="I3203" s="176"/>
      <c r="J3203" s="176"/>
      <c r="K3203" s="176"/>
      <c r="L3203" s="176"/>
      <c r="M3203" s="176"/>
      <c r="N3203" s="176"/>
      <c r="O3203" s="176"/>
      <c r="P3203" s="176"/>
      <c r="Q3203" s="176"/>
      <c r="R3203" s="176"/>
      <c r="S3203" s="176"/>
      <c r="T3203" s="176"/>
      <c r="U3203" s="176"/>
      <c r="V3203" s="176"/>
      <c r="W3203" s="176"/>
      <c r="X3203" s="176"/>
      <c r="Y3203" s="176"/>
    </row>
    <row r="3204" spans="1:25">
      <c r="A3204" s="91"/>
      <c r="B3204" s="176"/>
      <c r="C3204" s="176"/>
      <c r="D3204" s="176"/>
      <c r="E3204" s="176"/>
      <c r="F3204" s="176"/>
      <c r="G3204" s="176"/>
      <c r="H3204" s="176"/>
      <c r="I3204" s="176"/>
      <c r="J3204" s="176"/>
      <c r="K3204" s="176"/>
      <c r="L3204" s="176"/>
      <c r="M3204" s="176"/>
      <c r="N3204" s="176"/>
      <c r="O3204" s="176"/>
      <c r="P3204" s="176"/>
      <c r="Q3204" s="176"/>
      <c r="R3204" s="176"/>
      <c r="S3204" s="176"/>
      <c r="T3204" s="176"/>
      <c r="U3204" s="176"/>
      <c r="V3204" s="176"/>
      <c r="W3204" s="176"/>
      <c r="X3204" s="176"/>
      <c r="Y3204" s="176"/>
    </row>
    <row r="3205" spans="1:25">
      <c r="A3205" s="91"/>
      <c r="B3205" s="176"/>
      <c r="C3205" s="176"/>
      <c r="D3205" s="176"/>
      <c r="E3205" s="176"/>
      <c r="F3205" s="176"/>
      <c r="G3205" s="176"/>
      <c r="H3205" s="176"/>
      <c r="I3205" s="176"/>
      <c r="J3205" s="176"/>
      <c r="K3205" s="176"/>
      <c r="L3205" s="176"/>
      <c r="M3205" s="176"/>
      <c r="N3205" s="176"/>
      <c r="O3205" s="176"/>
      <c r="P3205" s="176"/>
      <c r="Q3205" s="176"/>
      <c r="R3205" s="176"/>
      <c r="S3205" s="176"/>
      <c r="T3205" s="176"/>
      <c r="U3205" s="176"/>
      <c r="V3205" s="176"/>
      <c r="W3205" s="176"/>
      <c r="X3205" s="176"/>
      <c r="Y3205" s="176"/>
    </row>
    <row r="3206" spans="1:25">
      <c r="A3206" s="91"/>
      <c r="B3206" s="176"/>
      <c r="C3206" s="176"/>
      <c r="D3206" s="176"/>
      <c r="E3206" s="176"/>
      <c r="F3206" s="176"/>
      <c r="G3206" s="176"/>
      <c r="H3206" s="176"/>
      <c r="I3206" s="176"/>
      <c r="J3206" s="176"/>
      <c r="K3206" s="176"/>
      <c r="L3206" s="176"/>
      <c r="M3206" s="176"/>
      <c r="N3206" s="176"/>
      <c r="O3206" s="176"/>
      <c r="P3206" s="176"/>
      <c r="Q3206" s="176"/>
      <c r="R3206" s="176"/>
      <c r="S3206" s="176"/>
      <c r="T3206" s="176"/>
      <c r="U3206" s="176"/>
      <c r="V3206" s="176"/>
      <c r="W3206" s="176"/>
      <c r="X3206" s="176"/>
      <c r="Y3206" s="176"/>
    </row>
    <row r="3207" spans="1:25">
      <c r="A3207" s="91"/>
      <c r="B3207" s="176"/>
      <c r="C3207" s="176"/>
      <c r="D3207" s="176"/>
      <c r="E3207" s="176"/>
      <c r="F3207" s="176"/>
      <c r="G3207" s="176"/>
      <c r="H3207" s="176"/>
      <c r="I3207" s="176"/>
      <c r="J3207" s="176"/>
      <c r="K3207" s="176"/>
      <c r="L3207" s="176"/>
      <c r="M3207" s="176"/>
      <c r="N3207" s="176"/>
      <c r="O3207" s="176"/>
      <c r="P3207" s="176"/>
      <c r="Q3207" s="176"/>
      <c r="R3207" s="176"/>
      <c r="S3207" s="176"/>
      <c r="T3207" s="176"/>
      <c r="U3207" s="176"/>
      <c r="V3207" s="176"/>
      <c r="W3207" s="176"/>
      <c r="X3207" s="176"/>
      <c r="Y3207" s="176"/>
    </row>
    <row r="3208" spans="1:25">
      <c r="A3208" s="91"/>
      <c r="B3208" s="176"/>
      <c r="C3208" s="176"/>
      <c r="D3208" s="176"/>
      <c r="E3208" s="176"/>
      <c r="F3208" s="176"/>
      <c r="G3208" s="176"/>
      <c r="H3208" s="176"/>
      <c r="I3208" s="176"/>
      <c r="J3208" s="176"/>
      <c r="K3208" s="176"/>
      <c r="L3208" s="176"/>
      <c r="M3208" s="176"/>
      <c r="N3208" s="176"/>
      <c r="O3208" s="176"/>
      <c r="P3208" s="176"/>
      <c r="Q3208" s="176"/>
      <c r="R3208" s="176"/>
      <c r="S3208" s="176"/>
      <c r="T3208" s="176"/>
      <c r="U3208" s="176"/>
      <c r="V3208" s="176"/>
      <c r="W3208" s="176"/>
      <c r="X3208" s="176"/>
      <c r="Y3208" s="176"/>
    </row>
    <row r="3209" spans="1:25">
      <c r="A3209" s="91"/>
      <c r="B3209" s="176"/>
      <c r="C3209" s="176"/>
      <c r="D3209" s="176"/>
      <c r="E3209" s="176"/>
      <c r="F3209" s="176"/>
      <c r="G3209" s="176"/>
      <c r="H3209" s="176"/>
      <c r="I3209" s="176"/>
      <c r="J3209" s="176"/>
      <c r="K3209" s="176"/>
      <c r="L3209" s="176"/>
      <c r="M3209" s="176"/>
      <c r="N3209" s="176"/>
      <c r="O3209" s="176"/>
      <c r="P3209" s="176"/>
      <c r="Q3209" s="176"/>
      <c r="R3209" s="176"/>
      <c r="S3209" s="176"/>
      <c r="T3209" s="176"/>
      <c r="U3209" s="176"/>
      <c r="V3209" s="176"/>
      <c r="W3209" s="176"/>
      <c r="X3209" s="176"/>
      <c r="Y3209" s="176"/>
    </row>
    <row r="3210" spans="1:25">
      <c r="A3210" s="91"/>
      <c r="B3210" s="176"/>
      <c r="C3210" s="176"/>
      <c r="D3210" s="176"/>
      <c r="E3210" s="176"/>
      <c r="F3210" s="176"/>
      <c r="G3210" s="176"/>
      <c r="H3210" s="176"/>
      <c r="I3210" s="176"/>
      <c r="J3210" s="176"/>
      <c r="K3210" s="176"/>
      <c r="L3210" s="176"/>
      <c r="M3210" s="176"/>
      <c r="N3210" s="176"/>
      <c r="O3210" s="176"/>
      <c r="P3210" s="176"/>
      <c r="Q3210" s="176"/>
      <c r="R3210" s="176"/>
      <c r="S3210" s="176"/>
      <c r="T3210" s="176"/>
      <c r="U3210" s="176"/>
      <c r="V3210" s="176"/>
      <c r="W3210" s="176"/>
      <c r="X3210" s="176"/>
      <c r="Y3210" s="176"/>
    </row>
    <row r="3211" spans="1:25">
      <c r="A3211" s="91"/>
      <c r="B3211" s="176"/>
      <c r="C3211" s="176"/>
      <c r="D3211" s="176"/>
      <c r="E3211" s="176"/>
      <c r="F3211" s="176"/>
      <c r="G3211" s="176"/>
      <c r="H3211" s="176"/>
      <c r="I3211" s="176"/>
      <c r="J3211" s="176"/>
      <c r="K3211" s="176"/>
      <c r="L3211" s="176"/>
      <c r="M3211" s="176"/>
      <c r="N3211" s="176"/>
      <c r="O3211" s="176"/>
      <c r="P3211" s="176"/>
      <c r="Q3211" s="176"/>
      <c r="R3211" s="176"/>
      <c r="S3211" s="176"/>
      <c r="T3211" s="176"/>
      <c r="U3211" s="176"/>
      <c r="V3211" s="176"/>
      <c r="W3211" s="176"/>
      <c r="X3211" s="176"/>
      <c r="Y3211" s="176"/>
    </row>
    <row r="3212" spans="1:25">
      <c r="A3212" s="91"/>
      <c r="B3212" s="176"/>
      <c r="C3212" s="176"/>
      <c r="D3212" s="176"/>
      <c r="E3212" s="176"/>
      <c r="F3212" s="176"/>
      <c r="G3212" s="176"/>
      <c r="H3212" s="176"/>
      <c r="I3212" s="176"/>
      <c r="J3212" s="176"/>
      <c r="K3212" s="176"/>
      <c r="L3212" s="176"/>
      <c r="M3212" s="176"/>
      <c r="N3212" s="176"/>
      <c r="O3212" s="176"/>
      <c r="P3212" s="176"/>
      <c r="Q3212" s="176"/>
      <c r="R3212" s="176"/>
      <c r="S3212" s="176"/>
      <c r="T3212" s="176"/>
      <c r="U3212" s="176"/>
      <c r="V3212" s="176"/>
      <c r="W3212" s="176"/>
      <c r="X3212" s="176"/>
      <c r="Y3212" s="176"/>
    </row>
    <row r="3213" spans="1:25">
      <c r="A3213" s="91"/>
      <c r="B3213" s="176"/>
      <c r="C3213" s="176"/>
      <c r="D3213" s="176"/>
      <c r="E3213" s="176"/>
      <c r="F3213" s="176"/>
      <c r="G3213" s="176"/>
      <c r="H3213" s="176"/>
      <c r="I3213" s="176"/>
      <c r="J3213" s="176"/>
      <c r="K3213" s="176"/>
      <c r="L3213" s="176"/>
      <c r="M3213" s="176"/>
      <c r="N3213" s="176"/>
      <c r="O3213" s="176"/>
      <c r="P3213" s="176"/>
      <c r="Q3213" s="176"/>
      <c r="R3213" s="176"/>
      <c r="S3213" s="176"/>
      <c r="T3213" s="176"/>
      <c r="U3213" s="176"/>
      <c r="V3213" s="176"/>
      <c r="W3213" s="176"/>
      <c r="X3213" s="176"/>
      <c r="Y3213" s="176"/>
    </row>
    <row r="3214" spans="1:25">
      <c r="A3214" s="91"/>
      <c r="B3214" s="176"/>
      <c r="C3214" s="176"/>
      <c r="D3214" s="176"/>
      <c r="E3214" s="176"/>
      <c r="F3214" s="176"/>
      <c r="G3214" s="176"/>
      <c r="H3214" s="176"/>
      <c r="I3214" s="176"/>
      <c r="J3214" s="176"/>
      <c r="K3214" s="176"/>
      <c r="L3214" s="176"/>
      <c r="M3214" s="176"/>
      <c r="N3214" s="176"/>
      <c r="O3214" s="176"/>
      <c r="P3214" s="176"/>
      <c r="Q3214" s="176"/>
      <c r="R3214" s="176"/>
      <c r="S3214" s="176"/>
      <c r="T3214" s="176"/>
      <c r="U3214" s="176"/>
      <c r="V3214" s="176"/>
      <c r="W3214" s="176"/>
      <c r="X3214" s="176"/>
      <c r="Y3214" s="176"/>
    </row>
    <row r="3215" spans="1:25">
      <c r="A3215" s="91"/>
      <c r="B3215" s="176"/>
      <c r="C3215" s="176"/>
      <c r="D3215" s="176"/>
      <c r="E3215" s="176"/>
      <c r="F3215" s="176"/>
      <c r="G3215" s="176"/>
      <c r="H3215" s="176"/>
      <c r="I3215" s="176"/>
      <c r="J3215" s="176"/>
      <c r="K3215" s="176"/>
      <c r="L3215" s="176"/>
      <c r="M3215" s="176"/>
      <c r="N3215" s="176"/>
      <c r="O3215" s="176"/>
      <c r="P3215" s="176"/>
      <c r="Q3215" s="176"/>
      <c r="R3215" s="176"/>
      <c r="S3215" s="176"/>
      <c r="T3215" s="176"/>
      <c r="U3215" s="176"/>
      <c r="V3215" s="176"/>
      <c r="W3215" s="176"/>
      <c r="X3215" s="176"/>
      <c r="Y3215" s="176"/>
    </row>
    <row r="3216" spans="1:25">
      <c r="A3216" s="91"/>
      <c r="B3216" s="176"/>
      <c r="C3216" s="176"/>
      <c r="D3216" s="176"/>
      <c r="E3216" s="176"/>
      <c r="F3216" s="176"/>
      <c r="G3216" s="176"/>
      <c r="H3216" s="176"/>
      <c r="I3216" s="176"/>
      <c r="J3216" s="176"/>
      <c r="K3216" s="176"/>
      <c r="L3216" s="176"/>
      <c r="M3216" s="176"/>
      <c r="N3216" s="176"/>
      <c r="O3216" s="176"/>
      <c r="P3216" s="176"/>
      <c r="Q3216" s="176"/>
      <c r="R3216" s="176"/>
      <c r="S3216" s="176"/>
      <c r="T3216" s="176"/>
      <c r="U3216" s="176"/>
      <c r="V3216" s="176"/>
      <c r="W3216" s="176"/>
      <c r="X3216" s="176"/>
      <c r="Y3216" s="176"/>
    </row>
    <row r="3217" spans="1:25">
      <c r="A3217" s="91"/>
      <c r="B3217" s="176"/>
      <c r="C3217" s="176"/>
      <c r="D3217" s="176"/>
      <c r="E3217" s="176"/>
      <c r="F3217" s="176"/>
      <c r="G3217" s="176"/>
      <c r="H3217" s="176"/>
      <c r="I3217" s="176"/>
      <c r="J3217" s="176"/>
      <c r="K3217" s="176"/>
      <c r="L3217" s="176"/>
      <c r="M3217" s="176"/>
      <c r="N3217" s="176"/>
      <c r="O3217" s="176"/>
      <c r="P3217" s="176"/>
      <c r="Q3217" s="176"/>
      <c r="R3217" s="176"/>
      <c r="S3217" s="176"/>
      <c r="T3217" s="176"/>
      <c r="U3217" s="176"/>
      <c r="V3217" s="176"/>
      <c r="W3217" s="176"/>
      <c r="X3217" s="176"/>
      <c r="Y3217" s="176"/>
    </row>
    <row r="3218" spans="1:25">
      <c r="A3218" s="91"/>
      <c r="B3218" s="176"/>
      <c r="C3218" s="176"/>
      <c r="D3218" s="176"/>
      <c r="E3218" s="176"/>
      <c r="F3218" s="176"/>
      <c r="G3218" s="176"/>
      <c r="H3218" s="176"/>
      <c r="I3218" s="176"/>
      <c r="J3218" s="176"/>
      <c r="K3218" s="176"/>
      <c r="L3218" s="176"/>
      <c r="M3218" s="176"/>
      <c r="N3218" s="176"/>
      <c r="O3218" s="176"/>
      <c r="P3218" s="176"/>
      <c r="Q3218" s="176"/>
      <c r="R3218" s="176"/>
      <c r="S3218" s="176"/>
      <c r="T3218" s="176"/>
      <c r="U3218" s="176"/>
      <c r="V3218" s="176"/>
      <c r="W3218" s="176"/>
      <c r="X3218" s="176"/>
      <c r="Y3218" s="176"/>
    </row>
    <row r="3219" spans="1:25">
      <c r="A3219" s="91"/>
      <c r="B3219" s="176"/>
      <c r="C3219" s="176"/>
      <c r="D3219" s="176"/>
      <c r="E3219" s="176"/>
      <c r="F3219" s="176"/>
      <c r="G3219" s="176"/>
      <c r="H3219" s="176"/>
      <c r="I3219" s="176"/>
      <c r="J3219" s="176"/>
      <c r="K3219" s="176"/>
      <c r="L3219" s="176"/>
      <c r="M3219" s="176"/>
      <c r="N3219" s="176"/>
      <c r="O3219" s="176"/>
      <c r="P3219" s="176"/>
      <c r="Q3219" s="176"/>
      <c r="R3219" s="176"/>
      <c r="S3219" s="176"/>
      <c r="T3219" s="176"/>
      <c r="U3219" s="176"/>
      <c r="V3219" s="176"/>
      <c r="W3219" s="176"/>
      <c r="X3219" s="176"/>
      <c r="Y3219" s="176"/>
    </row>
    <row r="3220" spans="1:25">
      <c r="A3220" s="91"/>
      <c r="B3220" s="176"/>
      <c r="C3220" s="176"/>
      <c r="D3220" s="176"/>
      <c r="E3220" s="176"/>
      <c r="F3220" s="176"/>
      <c r="G3220" s="176"/>
      <c r="H3220" s="176"/>
      <c r="I3220" s="176"/>
      <c r="J3220" s="176"/>
      <c r="K3220" s="176"/>
      <c r="L3220" s="176"/>
      <c r="M3220" s="176"/>
      <c r="N3220" s="176"/>
      <c r="O3220" s="176"/>
      <c r="P3220" s="176"/>
      <c r="Q3220" s="176"/>
      <c r="R3220" s="176"/>
      <c r="S3220" s="176"/>
      <c r="T3220" s="176"/>
      <c r="U3220" s="176"/>
      <c r="V3220" s="176"/>
      <c r="W3220" s="176"/>
      <c r="X3220" s="176"/>
      <c r="Y3220" s="176"/>
    </row>
    <row r="3221" spans="1:25">
      <c r="A3221" s="91"/>
      <c r="B3221" s="176"/>
      <c r="C3221" s="176"/>
      <c r="D3221" s="176"/>
      <c r="E3221" s="176"/>
      <c r="F3221" s="176"/>
      <c r="G3221" s="176"/>
      <c r="H3221" s="176"/>
      <c r="I3221" s="176"/>
      <c r="J3221" s="176"/>
      <c r="K3221" s="176"/>
      <c r="L3221" s="176"/>
      <c r="M3221" s="176"/>
      <c r="N3221" s="176"/>
      <c r="O3221" s="176"/>
      <c r="P3221" s="176"/>
      <c r="Q3221" s="176"/>
      <c r="R3221" s="176"/>
      <c r="S3221" s="176"/>
      <c r="T3221" s="176"/>
      <c r="U3221" s="176"/>
      <c r="V3221" s="176"/>
      <c r="W3221" s="176"/>
      <c r="X3221" s="176"/>
      <c r="Y3221" s="176"/>
    </row>
    <row r="3222" spans="1:25">
      <c r="A3222" s="91"/>
      <c r="B3222" s="176"/>
      <c r="C3222" s="176"/>
      <c r="D3222" s="176"/>
      <c r="E3222" s="176"/>
      <c r="F3222" s="176"/>
      <c r="G3222" s="176"/>
      <c r="H3222" s="176"/>
      <c r="I3222" s="176"/>
      <c r="J3222" s="176"/>
      <c r="K3222" s="176"/>
      <c r="L3222" s="176"/>
      <c r="M3222" s="176"/>
      <c r="N3222" s="176"/>
      <c r="O3222" s="176"/>
      <c r="P3222" s="176"/>
      <c r="Q3222" s="176"/>
      <c r="R3222" s="176"/>
      <c r="S3222" s="176"/>
      <c r="T3222" s="176"/>
      <c r="U3222" s="176"/>
      <c r="V3222" s="176"/>
      <c r="W3222" s="176"/>
      <c r="X3222" s="176"/>
      <c r="Y3222" s="176"/>
    </row>
    <row r="3223" spans="1:25">
      <c r="A3223" s="91"/>
      <c r="B3223" s="176"/>
      <c r="C3223" s="176"/>
      <c r="D3223" s="176"/>
      <c r="E3223" s="176"/>
      <c r="F3223" s="176"/>
      <c r="G3223" s="176"/>
      <c r="H3223" s="176"/>
      <c r="I3223" s="176"/>
      <c r="J3223" s="176"/>
      <c r="K3223" s="176"/>
      <c r="L3223" s="176"/>
      <c r="M3223" s="176"/>
      <c r="N3223" s="176"/>
      <c r="O3223" s="176"/>
      <c r="P3223" s="176"/>
      <c r="Q3223" s="176"/>
      <c r="R3223" s="176"/>
      <c r="S3223" s="176"/>
      <c r="T3223" s="176"/>
      <c r="U3223" s="176"/>
      <c r="V3223" s="176"/>
      <c r="W3223" s="176"/>
      <c r="X3223" s="176"/>
      <c r="Y3223" s="176"/>
    </row>
    <row r="3224" spans="1:25">
      <c r="A3224" s="91"/>
      <c r="B3224" s="176"/>
      <c r="C3224" s="176"/>
      <c r="D3224" s="176"/>
      <c r="E3224" s="176"/>
      <c r="F3224" s="176"/>
      <c r="G3224" s="176"/>
      <c r="H3224" s="176"/>
      <c r="I3224" s="176"/>
      <c r="J3224" s="176"/>
      <c r="K3224" s="176"/>
      <c r="L3224" s="176"/>
      <c r="M3224" s="176"/>
      <c r="N3224" s="176"/>
      <c r="O3224" s="176"/>
      <c r="P3224" s="176"/>
      <c r="Q3224" s="176"/>
      <c r="R3224" s="176"/>
      <c r="S3224" s="176"/>
      <c r="T3224" s="176"/>
      <c r="U3224" s="176"/>
      <c r="V3224" s="176"/>
      <c r="W3224" s="176"/>
      <c r="X3224" s="176"/>
      <c r="Y3224" s="176"/>
    </row>
    <row r="3225" spans="1:25">
      <c r="A3225" s="91"/>
      <c r="B3225" s="176"/>
      <c r="C3225" s="176"/>
      <c r="D3225" s="176"/>
      <c r="E3225" s="176"/>
      <c r="F3225" s="176"/>
      <c r="G3225" s="176"/>
      <c r="H3225" s="176"/>
      <c r="I3225" s="176"/>
      <c r="J3225" s="176"/>
      <c r="K3225" s="176"/>
      <c r="L3225" s="176"/>
      <c r="M3225" s="176"/>
      <c r="N3225" s="176"/>
      <c r="O3225" s="176"/>
      <c r="P3225" s="176"/>
      <c r="Q3225" s="176"/>
      <c r="R3225" s="176"/>
      <c r="S3225" s="176"/>
      <c r="T3225" s="176"/>
      <c r="U3225" s="176"/>
      <c r="V3225" s="176"/>
      <c r="W3225" s="176"/>
      <c r="X3225" s="176"/>
      <c r="Y3225" s="176"/>
    </row>
    <row r="3226" spans="1:25">
      <c r="A3226" s="91"/>
      <c r="B3226" s="176"/>
      <c r="C3226" s="176"/>
      <c r="D3226" s="176"/>
      <c r="E3226" s="176"/>
      <c r="F3226" s="176"/>
      <c r="G3226" s="176"/>
      <c r="H3226" s="176"/>
      <c r="I3226" s="176"/>
      <c r="J3226" s="176"/>
      <c r="K3226" s="176"/>
      <c r="L3226" s="176"/>
      <c r="M3226" s="176"/>
      <c r="N3226" s="176"/>
      <c r="O3226" s="176"/>
      <c r="P3226" s="176"/>
      <c r="Q3226" s="176"/>
      <c r="R3226" s="176"/>
      <c r="S3226" s="176"/>
      <c r="T3226" s="176"/>
      <c r="U3226" s="176"/>
      <c r="V3226" s="176"/>
      <c r="W3226" s="176"/>
      <c r="X3226" s="176"/>
      <c r="Y3226" s="176"/>
    </row>
    <row r="3227" spans="1:25">
      <c r="A3227" s="91"/>
      <c r="B3227" s="176"/>
      <c r="C3227" s="176"/>
      <c r="D3227" s="176"/>
      <c r="E3227" s="176"/>
      <c r="F3227" s="176"/>
      <c r="G3227" s="176"/>
      <c r="H3227" s="176"/>
      <c r="I3227" s="176"/>
      <c r="J3227" s="176"/>
      <c r="K3227" s="176"/>
      <c r="L3227" s="176"/>
      <c r="M3227" s="176"/>
      <c r="N3227" s="176"/>
      <c r="O3227" s="176"/>
      <c r="P3227" s="176"/>
      <c r="Q3227" s="176"/>
      <c r="R3227" s="176"/>
      <c r="S3227" s="176"/>
      <c r="T3227" s="176"/>
      <c r="U3227" s="176"/>
      <c r="V3227" s="176"/>
      <c r="W3227" s="176"/>
      <c r="X3227" s="176"/>
      <c r="Y3227" s="176"/>
    </row>
    <row r="3228" spans="1:25">
      <c r="A3228" s="91"/>
      <c r="B3228" s="176"/>
      <c r="C3228" s="176"/>
      <c r="D3228" s="176"/>
      <c r="E3228" s="176"/>
      <c r="F3228" s="176"/>
      <c r="G3228" s="176"/>
      <c r="H3228" s="176"/>
      <c r="I3228" s="176"/>
      <c r="J3228" s="176"/>
      <c r="K3228" s="176"/>
      <c r="L3228" s="176"/>
      <c r="M3228" s="176"/>
      <c r="N3228" s="176"/>
      <c r="O3228" s="176"/>
      <c r="P3228" s="176"/>
      <c r="Q3228" s="176"/>
      <c r="R3228" s="176"/>
      <c r="S3228" s="176"/>
      <c r="T3228" s="176"/>
      <c r="U3228" s="176"/>
      <c r="V3228" s="176"/>
      <c r="W3228" s="176"/>
      <c r="X3228" s="176"/>
      <c r="Y3228" s="176"/>
    </row>
    <row r="3229" spans="1:25">
      <c r="A3229" s="91"/>
      <c r="B3229" s="176"/>
      <c r="C3229" s="176"/>
      <c r="D3229" s="176"/>
      <c r="E3229" s="176"/>
      <c r="F3229" s="176"/>
      <c r="G3229" s="176"/>
      <c r="H3229" s="176"/>
      <c r="I3229" s="176"/>
      <c r="J3229" s="176"/>
      <c r="K3229" s="176"/>
      <c r="L3229" s="176"/>
      <c r="M3229" s="176"/>
      <c r="N3229" s="176"/>
      <c r="O3229" s="176"/>
      <c r="P3229" s="176"/>
      <c r="Q3229" s="176"/>
      <c r="R3229" s="176"/>
      <c r="S3229" s="176"/>
      <c r="T3229" s="176"/>
      <c r="U3229" s="176"/>
      <c r="V3229" s="176"/>
      <c r="W3229" s="176"/>
      <c r="X3229" s="176"/>
      <c r="Y3229" s="176"/>
    </row>
    <row r="3230" spans="1:25">
      <c r="A3230" s="91"/>
      <c r="B3230" s="176"/>
      <c r="C3230" s="176"/>
      <c r="D3230" s="176"/>
      <c r="E3230" s="176"/>
      <c r="F3230" s="176"/>
      <c r="G3230" s="176"/>
      <c r="H3230" s="176"/>
      <c r="I3230" s="176"/>
      <c r="J3230" s="176"/>
      <c r="K3230" s="176"/>
      <c r="L3230" s="176"/>
      <c r="M3230" s="176"/>
      <c r="N3230" s="176"/>
      <c r="O3230" s="176"/>
      <c r="P3230" s="176"/>
      <c r="Q3230" s="176"/>
      <c r="R3230" s="176"/>
      <c r="S3230" s="176"/>
      <c r="T3230" s="176"/>
      <c r="U3230" s="176"/>
      <c r="V3230" s="176"/>
      <c r="W3230" s="176"/>
      <c r="X3230" s="176"/>
      <c r="Y3230" s="176"/>
    </row>
    <row r="3231" spans="1:25">
      <c r="A3231" s="91"/>
      <c r="B3231" s="176"/>
      <c r="C3231" s="176"/>
      <c r="D3231" s="176"/>
      <c r="E3231" s="176"/>
      <c r="F3231" s="176"/>
      <c r="G3231" s="176"/>
      <c r="H3231" s="176"/>
      <c r="I3231" s="176"/>
      <c r="J3231" s="176"/>
      <c r="K3231" s="176"/>
      <c r="L3231" s="176"/>
      <c r="M3231" s="176"/>
      <c r="N3231" s="176"/>
      <c r="O3231" s="176"/>
      <c r="P3231" s="176"/>
      <c r="Q3231" s="176"/>
      <c r="R3231" s="176"/>
      <c r="S3231" s="176"/>
      <c r="T3231" s="176"/>
      <c r="U3231" s="176"/>
      <c r="V3231" s="176"/>
      <c r="W3231" s="176"/>
      <c r="X3231" s="176"/>
      <c r="Y3231" s="176"/>
    </row>
    <row r="3232" spans="1:25">
      <c r="A3232" s="91"/>
      <c r="B3232" s="176"/>
      <c r="C3232" s="176"/>
      <c r="D3232" s="176"/>
      <c r="E3232" s="176"/>
      <c r="F3232" s="176"/>
      <c r="G3232" s="176"/>
      <c r="H3232" s="176"/>
      <c r="I3232" s="176"/>
      <c r="J3232" s="176"/>
      <c r="K3232" s="176"/>
      <c r="L3232" s="176"/>
      <c r="M3232" s="176"/>
      <c r="N3232" s="176"/>
      <c r="O3232" s="176"/>
      <c r="P3232" s="176"/>
      <c r="Q3232" s="176"/>
      <c r="R3232" s="176"/>
      <c r="S3232" s="176"/>
      <c r="T3232" s="176"/>
      <c r="U3232" s="176"/>
      <c r="V3232" s="176"/>
      <c r="W3232" s="176"/>
      <c r="X3232" s="176"/>
      <c r="Y3232" s="176"/>
    </row>
    <row r="3233" spans="1:25">
      <c r="A3233" s="91"/>
      <c r="B3233" s="176"/>
      <c r="C3233" s="176"/>
      <c r="D3233" s="176"/>
      <c r="E3233" s="176"/>
      <c r="F3233" s="176"/>
      <c r="G3233" s="176"/>
      <c r="H3233" s="176"/>
      <c r="I3233" s="176"/>
      <c r="J3233" s="176"/>
      <c r="K3233" s="176"/>
      <c r="L3233" s="176"/>
      <c r="M3233" s="176"/>
      <c r="N3233" s="176"/>
      <c r="O3233" s="176"/>
      <c r="P3233" s="176"/>
      <c r="Q3233" s="176"/>
      <c r="R3233" s="176"/>
      <c r="S3233" s="176"/>
      <c r="T3233" s="176"/>
      <c r="U3233" s="176"/>
      <c r="V3233" s="176"/>
      <c r="W3233" s="176"/>
      <c r="X3233" s="176"/>
      <c r="Y3233" s="176"/>
    </row>
    <row r="3234" spans="1:25">
      <c r="A3234" s="91"/>
      <c r="B3234" s="176"/>
      <c r="C3234" s="176"/>
      <c r="D3234" s="176"/>
      <c r="E3234" s="176"/>
      <c r="F3234" s="176"/>
      <c r="G3234" s="176"/>
      <c r="H3234" s="176"/>
      <c r="I3234" s="176"/>
      <c r="J3234" s="176"/>
      <c r="K3234" s="176"/>
      <c r="L3234" s="176"/>
      <c r="M3234" s="176"/>
      <c r="N3234" s="176"/>
      <c r="O3234" s="176"/>
      <c r="P3234" s="176"/>
      <c r="Q3234" s="176"/>
      <c r="R3234" s="176"/>
      <c r="S3234" s="176"/>
      <c r="T3234" s="176"/>
      <c r="U3234" s="176"/>
      <c r="V3234" s="176"/>
      <c r="W3234" s="176"/>
      <c r="X3234" s="176"/>
      <c r="Y3234" s="176"/>
    </row>
    <row r="3235" spans="1:25">
      <c r="A3235" s="91"/>
      <c r="B3235" s="176"/>
      <c r="C3235" s="176"/>
      <c r="D3235" s="176"/>
      <c r="E3235" s="176"/>
      <c r="F3235" s="176"/>
      <c r="G3235" s="176"/>
      <c r="H3235" s="176"/>
      <c r="I3235" s="176"/>
      <c r="J3235" s="176"/>
      <c r="K3235" s="176"/>
      <c r="L3235" s="176"/>
      <c r="M3235" s="176"/>
      <c r="N3235" s="176"/>
      <c r="O3235" s="176"/>
      <c r="P3235" s="176"/>
      <c r="Q3235" s="176"/>
      <c r="R3235" s="176"/>
      <c r="S3235" s="176"/>
      <c r="T3235" s="176"/>
      <c r="U3235" s="176"/>
      <c r="V3235" s="176"/>
      <c r="W3235" s="176"/>
      <c r="X3235" s="176"/>
      <c r="Y3235" s="176"/>
    </row>
    <row r="3236" spans="1:25">
      <c r="A3236" s="91"/>
      <c r="B3236" s="176"/>
      <c r="C3236" s="176"/>
      <c r="D3236" s="176"/>
      <c r="E3236" s="176"/>
      <c r="F3236" s="176"/>
      <c r="G3236" s="176"/>
      <c r="H3236" s="176"/>
      <c r="I3236" s="176"/>
      <c r="J3236" s="176"/>
      <c r="K3236" s="176"/>
      <c r="L3236" s="176"/>
      <c r="M3236" s="176"/>
      <c r="N3236" s="176"/>
      <c r="O3236" s="176"/>
      <c r="P3236" s="176"/>
      <c r="Q3236" s="176"/>
      <c r="R3236" s="176"/>
      <c r="S3236" s="176"/>
      <c r="T3236" s="176"/>
      <c r="U3236" s="176"/>
      <c r="V3236" s="176"/>
      <c r="W3236" s="176"/>
      <c r="X3236" s="176"/>
      <c r="Y3236" s="176"/>
    </row>
    <row r="3237" spans="1:25">
      <c r="A3237" s="91"/>
      <c r="B3237" s="176"/>
      <c r="C3237" s="176"/>
      <c r="D3237" s="176"/>
      <c r="E3237" s="176"/>
      <c r="F3237" s="176"/>
      <c r="G3237" s="176"/>
      <c r="H3237" s="176"/>
      <c r="I3237" s="176"/>
      <c r="J3237" s="176"/>
      <c r="K3237" s="176"/>
      <c r="L3237" s="176"/>
      <c r="M3237" s="176"/>
      <c r="N3237" s="176"/>
      <c r="O3237" s="176"/>
      <c r="P3237" s="176"/>
      <c r="Q3237" s="176"/>
      <c r="R3237" s="176"/>
      <c r="S3237" s="176"/>
      <c r="T3237" s="176"/>
      <c r="U3237" s="176"/>
      <c r="V3237" s="176"/>
      <c r="W3237" s="176"/>
      <c r="X3237" s="176"/>
      <c r="Y3237" s="176"/>
    </row>
    <row r="3238" spans="1:25">
      <c r="A3238" s="91"/>
      <c r="B3238" s="176"/>
      <c r="C3238" s="176"/>
      <c r="D3238" s="176"/>
      <c r="E3238" s="176"/>
      <c r="F3238" s="176"/>
      <c r="G3238" s="176"/>
      <c r="H3238" s="176"/>
      <c r="I3238" s="176"/>
      <c r="J3238" s="176"/>
      <c r="K3238" s="176"/>
      <c r="L3238" s="176"/>
      <c r="M3238" s="176"/>
      <c r="N3238" s="176"/>
      <c r="O3238" s="176"/>
      <c r="P3238" s="176"/>
      <c r="Q3238" s="176"/>
      <c r="R3238" s="176"/>
      <c r="S3238" s="176"/>
      <c r="T3238" s="176"/>
      <c r="U3238" s="176"/>
      <c r="V3238" s="176"/>
      <c r="W3238" s="176"/>
      <c r="X3238" s="176"/>
      <c r="Y3238" s="176"/>
    </row>
    <row r="3239" spans="1:25">
      <c r="A3239" s="91"/>
      <c r="B3239" s="176"/>
      <c r="C3239" s="176"/>
      <c r="D3239" s="176"/>
      <c r="E3239" s="176"/>
      <c r="F3239" s="176"/>
      <c r="G3239" s="176"/>
      <c r="H3239" s="176"/>
      <c r="I3239" s="176"/>
      <c r="J3239" s="176"/>
      <c r="K3239" s="176"/>
      <c r="L3239" s="176"/>
      <c r="M3239" s="176"/>
      <c r="N3239" s="176"/>
      <c r="O3239" s="176"/>
      <c r="P3239" s="176"/>
      <c r="Q3239" s="176"/>
      <c r="R3239" s="176"/>
      <c r="S3239" s="176"/>
      <c r="T3239" s="176"/>
      <c r="U3239" s="176"/>
      <c r="V3239" s="176"/>
      <c r="W3239" s="176"/>
      <c r="X3239" s="176"/>
      <c r="Y3239" s="176"/>
    </row>
    <row r="3240" spans="1:25">
      <c r="A3240" s="91"/>
      <c r="B3240" s="176"/>
      <c r="C3240" s="176"/>
      <c r="D3240" s="176"/>
      <c r="E3240" s="176"/>
      <c r="F3240" s="176"/>
      <c r="G3240" s="176"/>
      <c r="H3240" s="176"/>
      <c r="I3240" s="176"/>
      <c r="J3240" s="176"/>
      <c r="K3240" s="176"/>
      <c r="L3240" s="176"/>
      <c r="M3240" s="176"/>
      <c r="N3240" s="176"/>
      <c r="O3240" s="176"/>
      <c r="P3240" s="176"/>
      <c r="Q3240" s="176"/>
      <c r="R3240" s="176"/>
      <c r="S3240" s="176"/>
      <c r="T3240" s="176"/>
      <c r="U3240" s="176"/>
      <c r="V3240" s="176"/>
      <c r="W3240" s="176"/>
      <c r="X3240" s="176"/>
      <c r="Y3240" s="176"/>
    </row>
    <row r="3241" spans="1:25">
      <c r="A3241" s="91"/>
      <c r="B3241" s="176"/>
      <c r="C3241" s="176"/>
      <c r="D3241" s="176"/>
      <c r="E3241" s="176"/>
      <c r="F3241" s="176"/>
      <c r="G3241" s="176"/>
      <c r="H3241" s="176"/>
      <c r="I3241" s="176"/>
      <c r="J3241" s="176"/>
      <c r="K3241" s="176"/>
      <c r="L3241" s="176"/>
      <c r="M3241" s="176"/>
      <c r="N3241" s="176"/>
      <c r="O3241" s="176"/>
      <c r="P3241" s="176"/>
      <c r="Q3241" s="176"/>
      <c r="R3241" s="176"/>
      <c r="S3241" s="176"/>
      <c r="T3241" s="176"/>
      <c r="U3241" s="176"/>
      <c r="V3241" s="176"/>
      <c r="W3241" s="176"/>
      <c r="X3241" s="176"/>
      <c r="Y3241" s="176"/>
    </row>
    <row r="3242" spans="1:25">
      <c r="A3242" s="91"/>
      <c r="B3242" s="176"/>
      <c r="C3242" s="176"/>
      <c r="D3242" s="176"/>
      <c r="E3242" s="176"/>
      <c r="F3242" s="176"/>
      <c r="G3242" s="176"/>
      <c r="H3242" s="176"/>
      <c r="I3242" s="176"/>
      <c r="J3242" s="176"/>
      <c r="K3242" s="176"/>
      <c r="L3242" s="176"/>
      <c r="M3242" s="176"/>
      <c r="N3242" s="176"/>
      <c r="O3242" s="176"/>
      <c r="P3242" s="176"/>
      <c r="Q3242" s="176"/>
      <c r="R3242" s="176"/>
      <c r="S3242" s="176"/>
      <c r="T3242" s="176"/>
      <c r="U3242" s="176"/>
      <c r="V3242" s="176"/>
      <c r="W3242" s="176"/>
      <c r="X3242" s="176"/>
      <c r="Y3242" s="176"/>
    </row>
    <row r="3243" spans="1:25">
      <c r="A3243" s="91"/>
      <c r="B3243" s="176"/>
      <c r="C3243" s="176"/>
      <c r="D3243" s="176"/>
      <c r="E3243" s="176"/>
      <c r="F3243" s="176"/>
      <c r="G3243" s="176"/>
      <c r="H3243" s="176"/>
      <c r="I3243" s="176"/>
      <c r="J3243" s="176"/>
      <c r="K3243" s="176"/>
      <c r="L3243" s="176"/>
      <c r="M3243" s="176"/>
      <c r="N3243" s="176"/>
      <c r="O3243" s="176"/>
      <c r="P3243" s="176"/>
      <c r="Q3243" s="176"/>
      <c r="R3243" s="176"/>
      <c r="S3243" s="176"/>
      <c r="T3243" s="176"/>
      <c r="U3243" s="176"/>
      <c r="V3243" s="176"/>
      <c r="W3243" s="176"/>
      <c r="X3243" s="176"/>
      <c r="Y3243" s="176"/>
    </row>
    <row r="3244" spans="1:25">
      <c r="A3244" s="91"/>
      <c r="B3244" s="176"/>
      <c r="C3244" s="176"/>
      <c r="D3244" s="176"/>
      <c r="E3244" s="176"/>
      <c r="F3244" s="176"/>
      <c r="G3244" s="176"/>
      <c r="H3244" s="176"/>
      <c r="I3244" s="176"/>
      <c r="J3244" s="176"/>
      <c r="K3244" s="176"/>
      <c r="L3244" s="176"/>
      <c r="M3244" s="176"/>
      <c r="N3244" s="176"/>
      <c r="O3244" s="176"/>
      <c r="P3244" s="176"/>
      <c r="Q3244" s="176"/>
      <c r="R3244" s="176"/>
      <c r="S3244" s="176"/>
      <c r="T3244" s="176"/>
      <c r="U3244" s="176"/>
      <c r="V3244" s="176"/>
      <c r="W3244" s="176"/>
      <c r="X3244" s="176"/>
      <c r="Y3244" s="176"/>
    </row>
    <row r="3245" spans="1:25">
      <c r="A3245" s="91"/>
      <c r="B3245" s="176"/>
      <c r="C3245" s="176"/>
      <c r="D3245" s="176"/>
      <c r="E3245" s="176"/>
      <c r="F3245" s="176"/>
      <c r="G3245" s="176"/>
      <c r="H3245" s="176"/>
      <c r="I3245" s="176"/>
      <c r="J3245" s="176"/>
      <c r="K3245" s="176"/>
      <c r="L3245" s="176"/>
      <c r="M3245" s="176"/>
      <c r="N3245" s="176"/>
      <c r="O3245" s="176"/>
      <c r="P3245" s="176"/>
      <c r="Q3245" s="176"/>
      <c r="R3245" s="176"/>
      <c r="S3245" s="176"/>
      <c r="T3245" s="176"/>
      <c r="U3245" s="176"/>
      <c r="V3245" s="176"/>
      <c r="W3245" s="176"/>
      <c r="X3245" s="176"/>
      <c r="Y3245" s="176"/>
    </row>
    <row r="3246" spans="1:25">
      <c r="A3246" s="91"/>
      <c r="B3246" s="176"/>
      <c r="C3246" s="176"/>
      <c r="D3246" s="176"/>
      <c r="E3246" s="176"/>
      <c r="F3246" s="176"/>
      <c r="G3246" s="176"/>
      <c r="H3246" s="176"/>
      <c r="I3246" s="176"/>
      <c r="J3246" s="176"/>
      <c r="K3246" s="176"/>
      <c r="L3246" s="176"/>
      <c r="M3246" s="176"/>
      <c r="N3246" s="176"/>
      <c r="O3246" s="176"/>
      <c r="P3246" s="176"/>
      <c r="Q3246" s="176"/>
      <c r="R3246" s="176"/>
      <c r="S3246" s="176"/>
      <c r="T3246" s="176"/>
      <c r="U3246" s="176"/>
      <c r="V3246" s="176"/>
      <c r="W3246" s="176"/>
      <c r="X3246" s="176"/>
      <c r="Y3246" s="176"/>
    </row>
    <row r="3247" spans="1:25">
      <c r="A3247" s="91"/>
      <c r="B3247" s="176"/>
      <c r="C3247" s="176"/>
      <c r="D3247" s="176"/>
      <c r="E3247" s="176"/>
      <c r="F3247" s="176"/>
      <c r="G3247" s="176"/>
      <c r="H3247" s="176"/>
      <c r="I3247" s="176"/>
      <c r="J3247" s="176"/>
      <c r="K3247" s="176"/>
      <c r="L3247" s="176"/>
      <c r="M3247" s="176"/>
      <c r="N3247" s="176"/>
      <c r="O3247" s="176"/>
      <c r="P3247" s="176"/>
      <c r="Q3247" s="176"/>
      <c r="R3247" s="176"/>
      <c r="S3247" s="176"/>
      <c r="T3247" s="176"/>
      <c r="U3247" s="176"/>
      <c r="V3247" s="176"/>
      <c r="W3247" s="176"/>
      <c r="X3247" s="176"/>
      <c r="Y3247" s="176"/>
    </row>
    <row r="3248" spans="1:25">
      <c r="A3248" s="91"/>
      <c r="B3248" s="176"/>
      <c r="C3248" s="176"/>
      <c r="D3248" s="176"/>
      <c r="E3248" s="176"/>
      <c r="F3248" s="176"/>
      <c r="G3248" s="176"/>
      <c r="H3248" s="176"/>
      <c r="I3248" s="176"/>
      <c r="J3248" s="176"/>
      <c r="K3248" s="176"/>
      <c r="L3248" s="176"/>
      <c r="M3248" s="176"/>
      <c r="N3248" s="176"/>
      <c r="O3248" s="176"/>
      <c r="P3248" s="176"/>
      <c r="Q3248" s="176"/>
      <c r="R3248" s="176"/>
      <c r="S3248" s="176"/>
      <c r="T3248" s="176"/>
      <c r="U3248" s="176"/>
      <c r="V3248" s="176"/>
      <c r="W3248" s="176"/>
      <c r="X3248" s="176"/>
      <c r="Y3248" s="176"/>
    </row>
    <row r="3249" spans="1:25">
      <c r="A3249" s="91"/>
      <c r="B3249" s="176"/>
      <c r="C3249" s="176"/>
      <c r="D3249" s="176"/>
      <c r="E3249" s="176"/>
      <c r="F3249" s="176"/>
      <c r="G3249" s="176"/>
      <c r="H3249" s="176"/>
      <c r="I3249" s="176"/>
      <c r="J3249" s="176"/>
      <c r="K3249" s="176"/>
      <c r="L3249" s="176"/>
      <c r="M3249" s="176"/>
      <c r="N3249" s="176"/>
      <c r="O3249" s="176"/>
      <c r="P3249" s="176"/>
      <c r="Q3249" s="176"/>
      <c r="R3249" s="176"/>
      <c r="S3249" s="176"/>
      <c r="T3249" s="176"/>
      <c r="U3249" s="176"/>
      <c r="V3249" s="176"/>
      <c r="W3249" s="176"/>
      <c r="X3249" s="176"/>
      <c r="Y3249" s="176"/>
    </row>
    <row r="3250" spans="1:25">
      <c r="A3250" s="91"/>
      <c r="B3250" s="176"/>
      <c r="C3250" s="176"/>
      <c r="D3250" s="176"/>
      <c r="E3250" s="176"/>
      <c r="F3250" s="176"/>
      <c r="G3250" s="176"/>
      <c r="H3250" s="176"/>
      <c r="I3250" s="176"/>
      <c r="J3250" s="176"/>
      <c r="K3250" s="176"/>
      <c r="L3250" s="176"/>
      <c r="M3250" s="176"/>
      <c r="N3250" s="176"/>
      <c r="O3250" s="176"/>
      <c r="P3250" s="176"/>
      <c r="Q3250" s="176"/>
      <c r="R3250" s="176"/>
      <c r="S3250" s="176"/>
      <c r="T3250" s="176"/>
      <c r="U3250" s="176"/>
      <c r="V3250" s="176"/>
      <c r="W3250" s="176"/>
      <c r="X3250" s="176"/>
      <c r="Y3250" s="176"/>
    </row>
    <row r="3251" spans="1:25">
      <c r="A3251" s="91"/>
      <c r="B3251" s="176"/>
      <c r="C3251" s="176"/>
      <c r="D3251" s="176"/>
      <c r="E3251" s="176"/>
      <c r="F3251" s="176"/>
      <c r="G3251" s="176"/>
      <c r="H3251" s="176"/>
      <c r="I3251" s="176"/>
      <c r="J3251" s="176"/>
      <c r="K3251" s="176"/>
      <c r="L3251" s="176"/>
      <c r="M3251" s="176"/>
      <c r="N3251" s="176"/>
      <c r="O3251" s="176"/>
      <c r="P3251" s="176"/>
      <c r="Q3251" s="176"/>
      <c r="R3251" s="176"/>
      <c r="S3251" s="176"/>
      <c r="T3251" s="176"/>
      <c r="U3251" s="176"/>
      <c r="V3251" s="176"/>
      <c r="W3251" s="176"/>
      <c r="X3251" s="176"/>
      <c r="Y3251" s="176"/>
    </row>
    <row r="3252" spans="1:25">
      <c r="A3252" s="91"/>
      <c r="B3252" s="176"/>
      <c r="C3252" s="176"/>
      <c r="D3252" s="176"/>
      <c r="E3252" s="176"/>
      <c r="F3252" s="176"/>
      <c r="G3252" s="176"/>
      <c r="H3252" s="176"/>
      <c r="I3252" s="176"/>
      <c r="J3252" s="176"/>
      <c r="K3252" s="176"/>
      <c r="L3252" s="176"/>
      <c r="M3252" s="176"/>
      <c r="N3252" s="176"/>
      <c r="O3252" s="176"/>
      <c r="P3252" s="176"/>
      <c r="Q3252" s="176"/>
      <c r="R3252" s="176"/>
      <c r="S3252" s="176"/>
      <c r="T3252" s="176"/>
      <c r="U3252" s="176"/>
      <c r="V3252" s="176"/>
      <c r="W3252" s="176"/>
      <c r="X3252" s="176"/>
      <c r="Y3252" s="176"/>
    </row>
    <row r="3253" spans="1:25">
      <c r="A3253" s="91"/>
      <c r="B3253" s="176"/>
      <c r="C3253" s="176"/>
      <c r="D3253" s="176"/>
      <c r="E3253" s="176"/>
      <c r="F3253" s="176"/>
      <c r="G3253" s="176"/>
      <c r="H3253" s="176"/>
      <c r="I3253" s="176"/>
      <c r="J3253" s="176"/>
      <c r="K3253" s="176"/>
      <c r="L3253" s="176"/>
      <c r="M3253" s="176"/>
      <c r="N3253" s="176"/>
      <c r="O3253" s="176"/>
      <c r="P3253" s="176"/>
      <c r="Q3253" s="176"/>
      <c r="R3253" s="176"/>
      <c r="S3253" s="176"/>
      <c r="T3253" s="176"/>
      <c r="U3253" s="176"/>
      <c r="V3253" s="176"/>
      <c r="W3253" s="176"/>
      <c r="X3253" s="176"/>
      <c r="Y3253" s="176"/>
    </row>
    <row r="3254" spans="1:25">
      <c r="A3254" s="91"/>
      <c r="B3254" s="176"/>
      <c r="C3254" s="176"/>
      <c r="D3254" s="176"/>
      <c r="E3254" s="176"/>
      <c r="F3254" s="176"/>
      <c r="G3254" s="176"/>
      <c r="H3254" s="176"/>
      <c r="I3254" s="176"/>
      <c r="J3254" s="176"/>
      <c r="K3254" s="176"/>
      <c r="L3254" s="176"/>
      <c r="M3254" s="176"/>
      <c r="N3254" s="176"/>
      <c r="O3254" s="176"/>
      <c r="P3254" s="176"/>
      <c r="Q3254" s="176"/>
      <c r="R3254" s="176"/>
      <c r="S3254" s="176"/>
      <c r="T3254" s="176"/>
      <c r="U3254" s="176"/>
      <c r="V3254" s="176"/>
      <c r="W3254" s="176"/>
      <c r="X3254" s="176"/>
      <c r="Y3254" s="176"/>
    </row>
    <row r="3255" spans="1:25">
      <c r="A3255" s="91"/>
      <c r="B3255" s="176"/>
      <c r="C3255" s="176"/>
      <c r="D3255" s="176"/>
      <c r="E3255" s="176"/>
      <c r="F3255" s="176"/>
      <c r="G3255" s="176"/>
      <c r="H3255" s="176"/>
      <c r="I3255" s="176"/>
      <c r="J3255" s="176"/>
      <c r="K3255" s="176"/>
      <c r="L3255" s="176"/>
      <c r="M3255" s="176"/>
      <c r="N3255" s="176"/>
      <c r="O3255" s="176"/>
      <c r="P3255" s="176"/>
      <c r="Q3255" s="176"/>
      <c r="R3255" s="176"/>
      <c r="S3255" s="176"/>
      <c r="T3255" s="176"/>
      <c r="U3255" s="176"/>
      <c r="V3255" s="176"/>
      <c r="W3255" s="176"/>
      <c r="X3255" s="176"/>
      <c r="Y3255" s="176"/>
    </row>
    <row r="3256" spans="1:25">
      <c r="A3256" s="91"/>
      <c r="B3256" s="176"/>
      <c r="C3256" s="176"/>
      <c r="D3256" s="176"/>
      <c r="E3256" s="176"/>
      <c r="F3256" s="176"/>
      <c r="G3256" s="176"/>
      <c r="H3256" s="176"/>
      <c r="I3256" s="176"/>
      <c r="J3256" s="176"/>
      <c r="K3256" s="176"/>
      <c r="L3256" s="176"/>
      <c r="M3256" s="176"/>
      <c r="N3256" s="176"/>
      <c r="O3256" s="176"/>
      <c r="P3256" s="176"/>
      <c r="Q3256" s="176"/>
      <c r="R3256" s="176"/>
      <c r="S3256" s="176"/>
      <c r="T3256" s="176"/>
      <c r="U3256" s="176"/>
      <c r="V3256" s="176"/>
      <c r="W3256" s="176"/>
      <c r="X3256" s="176"/>
      <c r="Y3256" s="176"/>
    </row>
    <row r="3257" spans="1:25">
      <c r="A3257" s="91"/>
      <c r="B3257" s="176"/>
      <c r="C3257" s="176"/>
      <c r="D3257" s="176"/>
      <c r="E3257" s="176"/>
      <c r="F3257" s="176"/>
      <c r="G3257" s="176"/>
      <c r="H3257" s="176"/>
      <c r="I3257" s="176"/>
      <c r="J3257" s="176"/>
      <c r="K3257" s="176"/>
      <c r="L3257" s="176"/>
      <c r="M3257" s="176"/>
      <c r="N3257" s="176"/>
      <c r="O3257" s="176"/>
      <c r="P3257" s="176"/>
      <c r="Q3257" s="176"/>
      <c r="R3257" s="176"/>
      <c r="S3257" s="176"/>
      <c r="T3257" s="176"/>
      <c r="U3257" s="176"/>
      <c r="V3257" s="176"/>
      <c r="W3257" s="176"/>
      <c r="X3257" s="176"/>
      <c r="Y3257" s="176"/>
    </row>
    <row r="3258" spans="1:25">
      <c r="A3258" s="91"/>
      <c r="B3258" s="176"/>
      <c r="C3258" s="176"/>
      <c r="D3258" s="176"/>
      <c r="E3258" s="176"/>
      <c r="F3258" s="176"/>
      <c r="G3258" s="176"/>
      <c r="H3258" s="176"/>
      <c r="I3258" s="176"/>
      <c r="J3258" s="176"/>
      <c r="K3258" s="176"/>
      <c r="L3258" s="176"/>
      <c r="M3258" s="176"/>
      <c r="N3258" s="176"/>
      <c r="O3258" s="176"/>
      <c r="P3258" s="176"/>
      <c r="Q3258" s="176"/>
      <c r="R3258" s="176"/>
      <c r="S3258" s="176"/>
      <c r="T3258" s="176"/>
      <c r="U3258" s="176"/>
      <c r="V3258" s="176"/>
      <c r="W3258" s="176"/>
      <c r="X3258" s="176"/>
      <c r="Y3258" s="176"/>
    </row>
    <row r="3259" spans="1:25">
      <c r="A3259" s="91"/>
      <c r="B3259" s="176"/>
      <c r="C3259" s="176"/>
      <c r="D3259" s="176"/>
      <c r="E3259" s="176"/>
      <c r="F3259" s="176"/>
      <c r="G3259" s="176"/>
      <c r="H3259" s="176"/>
      <c r="I3259" s="176"/>
      <c r="J3259" s="176"/>
      <c r="K3259" s="176"/>
      <c r="L3259" s="176"/>
      <c r="M3259" s="176"/>
      <c r="N3259" s="176"/>
      <c r="O3259" s="176"/>
      <c r="P3259" s="176"/>
      <c r="Q3259" s="176"/>
      <c r="R3259" s="176"/>
      <c r="S3259" s="176"/>
      <c r="T3259" s="176"/>
      <c r="U3259" s="176"/>
      <c r="V3259" s="176"/>
      <c r="W3259" s="176"/>
      <c r="X3259" s="176"/>
      <c r="Y3259" s="176"/>
    </row>
    <row r="3260" spans="1:25">
      <c r="A3260" s="91"/>
      <c r="B3260" s="176"/>
      <c r="C3260" s="176"/>
      <c r="D3260" s="176"/>
      <c r="E3260" s="176"/>
      <c r="F3260" s="176"/>
      <c r="G3260" s="176"/>
      <c r="H3260" s="176"/>
      <c r="I3260" s="176"/>
      <c r="J3260" s="176"/>
      <c r="K3260" s="176"/>
      <c r="L3260" s="176"/>
      <c r="M3260" s="176"/>
      <c r="N3260" s="176"/>
      <c r="O3260" s="176"/>
      <c r="P3260" s="176"/>
      <c r="Q3260" s="176"/>
      <c r="R3260" s="176"/>
      <c r="S3260" s="176"/>
      <c r="T3260" s="176"/>
      <c r="U3260" s="176"/>
      <c r="V3260" s="176"/>
      <c r="W3260" s="176"/>
      <c r="X3260" s="176"/>
      <c r="Y3260" s="176"/>
    </row>
    <row r="3261" spans="1:25">
      <c r="A3261" s="91"/>
      <c r="B3261" s="176"/>
      <c r="C3261" s="176"/>
      <c r="D3261" s="176"/>
      <c r="E3261" s="176"/>
      <c r="F3261" s="176"/>
      <c r="G3261" s="176"/>
      <c r="H3261" s="176"/>
      <c r="I3261" s="176"/>
      <c r="J3261" s="176"/>
      <c r="K3261" s="176"/>
      <c r="L3261" s="176"/>
      <c r="M3261" s="176"/>
      <c r="N3261" s="176"/>
      <c r="O3261" s="176"/>
      <c r="P3261" s="176"/>
      <c r="Q3261" s="176"/>
      <c r="R3261" s="176"/>
      <c r="S3261" s="176"/>
      <c r="T3261" s="176"/>
      <c r="U3261" s="176"/>
      <c r="V3261" s="176"/>
      <c r="W3261" s="176"/>
      <c r="X3261" s="176"/>
      <c r="Y3261" s="176"/>
    </row>
    <row r="3262" spans="1:25">
      <c r="A3262" s="91"/>
      <c r="B3262" s="176"/>
      <c r="C3262" s="176"/>
      <c r="D3262" s="176"/>
      <c r="E3262" s="176"/>
      <c r="F3262" s="176"/>
      <c r="G3262" s="176"/>
      <c r="H3262" s="176"/>
      <c r="I3262" s="176"/>
      <c r="J3262" s="176"/>
      <c r="K3262" s="176"/>
      <c r="L3262" s="176"/>
      <c r="M3262" s="176"/>
      <c r="N3262" s="176"/>
      <c r="O3262" s="176"/>
      <c r="P3262" s="176"/>
      <c r="Q3262" s="176"/>
      <c r="R3262" s="176"/>
      <c r="S3262" s="176"/>
      <c r="T3262" s="176"/>
      <c r="U3262" s="176"/>
      <c r="V3262" s="176"/>
      <c r="W3262" s="176"/>
      <c r="X3262" s="176"/>
      <c r="Y3262" s="176"/>
    </row>
    <row r="3263" spans="1:25">
      <c r="A3263" s="91"/>
      <c r="B3263" s="176"/>
      <c r="C3263" s="176"/>
      <c r="D3263" s="176"/>
      <c r="E3263" s="176"/>
      <c r="F3263" s="176"/>
      <c r="G3263" s="176"/>
      <c r="H3263" s="176"/>
      <c r="I3263" s="176"/>
      <c r="J3263" s="176"/>
      <c r="K3263" s="176"/>
      <c r="L3263" s="176"/>
      <c r="M3263" s="176"/>
      <c r="N3263" s="176"/>
      <c r="O3263" s="176"/>
      <c r="P3263" s="176"/>
      <c r="Q3263" s="176"/>
      <c r="R3263" s="176"/>
      <c r="S3263" s="176"/>
      <c r="T3263" s="176"/>
      <c r="U3263" s="176"/>
      <c r="V3263" s="176"/>
      <c r="W3263" s="176"/>
      <c r="X3263" s="176"/>
      <c r="Y3263" s="176"/>
    </row>
    <row r="3264" spans="1:25">
      <c r="A3264" s="91"/>
      <c r="B3264" s="176"/>
      <c r="C3264" s="176"/>
      <c r="D3264" s="176"/>
      <c r="E3264" s="176"/>
      <c r="F3264" s="176"/>
      <c r="G3264" s="176"/>
      <c r="H3264" s="176"/>
      <c r="I3264" s="176"/>
      <c r="J3264" s="176"/>
      <c r="K3264" s="176"/>
      <c r="L3264" s="176"/>
      <c r="M3264" s="176"/>
      <c r="N3264" s="176"/>
      <c r="O3264" s="176"/>
      <c r="P3264" s="176"/>
      <c r="Q3264" s="176"/>
      <c r="R3264" s="176"/>
      <c r="S3264" s="176"/>
      <c r="T3264" s="176"/>
      <c r="U3264" s="176"/>
      <c r="V3264" s="176"/>
      <c r="W3264" s="176"/>
      <c r="X3264" s="176"/>
      <c r="Y3264" s="176"/>
    </row>
    <row r="3265" spans="1:25">
      <c r="A3265" s="91"/>
      <c r="B3265" s="176"/>
      <c r="C3265" s="176"/>
      <c r="D3265" s="176"/>
      <c r="E3265" s="176"/>
      <c r="F3265" s="176"/>
      <c r="G3265" s="176"/>
      <c r="H3265" s="176"/>
      <c r="I3265" s="176"/>
      <c r="J3265" s="176"/>
      <c r="K3265" s="176"/>
      <c r="L3265" s="176"/>
      <c r="M3265" s="176"/>
      <c r="N3265" s="176"/>
      <c r="O3265" s="176"/>
      <c r="P3265" s="176"/>
      <c r="Q3265" s="176"/>
      <c r="R3265" s="176"/>
      <c r="S3265" s="176"/>
      <c r="T3265" s="176"/>
      <c r="U3265" s="176"/>
      <c r="V3265" s="176"/>
      <c r="W3265" s="176"/>
      <c r="X3265" s="176"/>
      <c r="Y3265" s="176"/>
    </row>
    <row r="3266" spans="1:25">
      <c r="A3266" s="91"/>
      <c r="B3266" s="176"/>
      <c r="C3266" s="176"/>
      <c r="D3266" s="176"/>
      <c r="E3266" s="176"/>
      <c r="F3266" s="176"/>
      <c r="G3266" s="176"/>
      <c r="H3266" s="176"/>
      <c r="I3266" s="176"/>
      <c r="J3266" s="176"/>
      <c r="K3266" s="176"/>
      <c r="L3266" s="176"/>
      <c r="M3266" s="176"/>
      <c r="N3266" s="176"/>
      <c r="O3266" s="176"/>
      <c r="P3266" s="176"/>
      <c r="Q3266" s="176"/>
      <c r="R3266" s="176"/>
      <c r="S3266" s="176"/>
      <c r="T3266" s="176"/>
      <c r="U3266" s="176"/>
      <c r="V3266" s="176"/>
      <c r="W3266" s="176"/>
      <c r="X3266" s="176"/>
      <c r="Y3266" s="176"/>
    </row>
    <row r="3267" spans="1:25">
      <c r="A3267" s="91"/>
      <c r="B3267" s="176"/>
      <c r="C3267" s="176"/>
      <c r="D3267" s="176"/>
      <c r="E3267" s="176"/>
      <c r="F3267" s="176"/>
      <c r="G3267" s="176"/>
      <c r="H3267" s="176"/>
      <c r="I3267" s="176"/>
      <c r="J3267" s="176"/>
      <c r="K3267" s="176"/>
      <c r="L3267" s="176"/>
      <c r="M3267" s="176"/>
      <c r="N3267" s="176"/>
      <c r="O3267" s="176"/>
      <c r="P3267" s="176"/>
      <c r="Q3267" s="176"/>
      <c r="R3267" s="176"/>
      <c r="S3267" s="176"/>
      <c r="T3267" s="176"/>
      <c r="U3267" s="176"/>
      <c r="V3267" s="176"/>
      <c r="W3267" s="176"/>
      <c r="X3267" s="176"/>
      <c r="Y3267" s="176"/>
    </row>
    <row r="3268" spans="1:25">
      <c r="A3268" s="91"/>
      <c r="B3268" s="176"/>
      <c r="C3268" s="176"/>
      <c r="D3268" s="176"/>
      <c r="E3268" s="176"/>
      <c r="F3268" s="176"/>
      <c r="G3268" s="176"/>
      <c r="H3268" s="176"/>
      <c r="I3268" s="176"/>
      <c r="J3268" s="176"/>
      <c r="K3268" s="176"/>
      <c r="L3268" s="176"/>
      <c r="M3268" s="176"/>
      <c r="N3268" s="176"/>
      <c r="O3268" s="176"/>
      <c r="P3268" s="176"/>
      <c r="Q3268" s="176"/>
      <c r="R3268" s="176"/>
      <c r="S3268" s="176"/>
      <c r="T3268" s="176"/>
      <c r="U3268" s="176"/>
      <c r="V3268" s="176"/>
      <c r="W3268" s="176"/>
      <c r="X3268" s="176"/>
      <c r="Y3268" s="176"/>
    </row>
    <row r="3269" spans="1:25">
      <c r="A3269" s="91"/>
      <c r="B3269" s="176"/>
      <c r="C3269" s="176"/>
      <c r="D3269" s="176"/>
      <c r="E3269" s="176"/>
      <c r="F3269" s="176"/>
      <c r="G3269" s="176"/>
      <c r="H3269" s="176"/>
      <c r="I3269" s="176"/>
      <c r="J3269" s="176"/>
      <c r="K3269" s="176"/>
      <c r="L3269" s="176"/>
      <c r="M3269" s="176"/>
      <c r="N3269" s="176"/>
      <c r="O3269" s="176"/>
      <c r="P3269" s="176"/>
      <c r="Q3269" s="176"/>
      <c r="R3269" s="176"/>
      <c r="S3269" s="176"/>
      <c r="T3269" s="176"/>
      <c r="U3269" s="176"/>
      <c r="V3269" s="176"/>
      <c r="W3269" s="176"/>
      <c r="X3269" s="176"/>
      <c r="Y3269" s="176"/>
    </row>
    <row r="3270" spans="1:25">
      <c r="A3270" s="91"/>
      <c r="B3270" s="176"/>
      <c r="C3270" s="176"/>
      <c r="D3270" s="176"/>
      <c r="E3270" s="176"/>
      <c r="F3270" s="176"/>
      <c r="G3270" s="176"/>
      <c r="H3270" s="176"/>
      <c r="I3270" s="176"/>
      <c r="J3270" s="176"/>
      <c r="K3270" s="176"/>
      <c r="L3270" s="176"/>
      <c r="M3270" s="176"/>
      <c r="N3270" s="176"/>
      <c r="O3270" s="176"/>
      <c r="P3270" s="176"/>
      <c r="Q3270" s="176"/>
      <c r="R3270" s="176"/>
      <c r="S3270" s="176"/>
      <c r="T3270" s="176"/>
      <c r="U3270" s="176"/>
      <c r="V3270" s="176"/>
      <c r="W3270" s="176"/>
      <c r="X3270" s="176"/>
      <c r="Y3270" s="176"/>
    </row>
    <row r="3271" spans="1:25">
      <c r="A3271" s="91"/>
      <c r="B3271" s="176"/>
      <c r="C3271" s="176"/>
      <c r="D3271" s="176"/>
      <c r="E3271" s="176"/>
      <c r="F3271" s="176"/>
      <c r="G3271" s="176"/>
      <c r="H3271" s="176"/>
      <c r="I3271" s="176"/>
      <c r="J3271" s="176"/>
      <c r="K3271" s="176"/>
      <c r="L3271" s="176"/>
      <c r="M3271" s="176"/>
      <c r="N3271" s="176"/>
      <c r="O3271" s="176"/>
      <c r="P3271" s="176"/>
      <c r="Q3271" s="176"/>
      <c r="R3271" s="176"/>
      <c r="S3271" s="176"/>
      <c r="T3271" s="176"/>
      <c r="U3271" s="176"/>
      <c r="V3271" s="176"/>
      <c r="W3271" s="176"/>
      <c r="X3271" s="176"/>
      <c r="Y3271" s="176"/>
    </row>
    <row r="3272" spans="1:25">
      <c r="A3272" s="91"/>
      <c r="B3272" s="176"/>
      <c r="C3272" s="176"/>
      <c r="D3272" s="176"/>
      <c r="E3272" s="176"/>
      <c r="F3272" s="176"/>
      <c r="G3272" s="176"/>
      <c r="H3272" s="176"/>
      <c r="I3272" s="176"/>
      <c r="J3272" s="176"/>
      <c r="K3272" s="176"/>
      <c r="L3272" s="176"/>
      <c r="M3272" s="176"/>
      <c r="N3272" s="176"/>
      <c r="O3272" s="176"/>
      <c r="P3272" s="176"/>
      <c r="Q3272" s="176"/>
      <c r="R3272" s="176"/>
      <c r="S3272" s="176"/>
      <c r="T3272" s="176"/>
      <c r="U3272" s="176"/>
      <c r="V3272" s="176"/>
      <c r="W3272" s="176"/>
      <c r="X3272" s="176"/>
      <c r="Y3272" s="176"/>
    </row>
    <row r="3273" spans="1:25">
      <c r="A3273" s="91"/>
      <c r="B3273" s="176"/>
      <c r="C3273" s="176"/>
      <c r="D3273" s="176"/>
      <c r="E3273" s="176"/>
      <c r="F3273" s="176"/>
      <c r="G3273" s="176"/>
      <c r="H3273" s="176"/>
      <c r="I3273" s="176"/>
      <c r="J3273" s="176"/>
      <c r="K3273" s="176"/>
      <c r="L3273" s="176"/>
      <c r="M3273" s="176"/>
      <c r="N3273" s="176"/>
      <c r="O3273" s="176"/>
      <c r="P3273" s="176"/>
      <c r="Q3273" s="176"/>
      <c r="R3273" s="176"/>
      <c r="S3273" s="176"/>
      <c r="T3273" s="176"/>
      <c r="U3273" s="176"/>
      <c r="V3273" s="176"/>
      <c r="W3273" s="176"/>
      <c r="X3273" s="176"/>
      <c r="Y3273" s="176"/>
    </row>
    <row r="3274" spans="1:25">
      <c r="A3274" s="91"/>
      <c r="B3274" s="176"/>
      <c r="C3274" s="176"/>
      <c r="D3274" s="176"/>
      <c r="E3274" s="176"/>
      <c r="F3274" s="176"/>
      <c r="G3274" s="176"/>
      <c r="H3274" s="176"/>
      <c r="I3274" s="176"/>
      <c r="J3274" s="176"/>
      <c r="K3274" s="176"/>
      <c r="L3274" s="176"/>
      <c r="M3274" s="176"/>
      <c r="N3274" s="176"/>
      <c r="O3274" s="176"/>
      <c r="P3274" s="176"/>
      <c r="Q3274" s="176"/>
      <c r="R3274" s="176"/>
      <c r="S3274" s="176"/>
      <c r="T3274" s="176"/>
      <c r="U3274" s="176"/>
      <c r="V3274" s="176"/>
      <c r="W3274" s="176"/>
      <c r="X3274" s="176"/>
      <c r="Y3274" s="176"/>
    </row>
    <row r="3275" spans="1:25">
      <c r="A3275" s="91"/>
      <c r="B3275" s="176"/>
      <c r="C3275" s="176"/>
      <c r="D3275" s="176"/>
      <c r="E3275" s="176"/>
      <c r="F3275" s="176"/>
      <c r="G3275" s="176"/>
      <c r="H3275" s="176"/>
      <c r="I3275" s="176"/>
      <c r="J3275" s="176"/>
      <c r="K3275" s="176"/>
      <c r="L3275" s="176"/>
      <c r="M3275" s="176"/>
      <c r="N3275" s="176"/>
      <c r="O3275" s="176"/>
      <c r="P3275" s="176"/>
      <c r="Q3275" s="176"/>
      <c r="R3275" s="176"/>
      <c r="S3275" s="176"/>
      <c r="T3275" s="176"/>
      <c r="U3275" s="176"/>
      <c r="V3275" s="176"/>
      <c r="W3275" s="176"/>
      <c r="X3275" s="176"/>
      <c r="Y3275" s="176"/>
    </row>
    <row r="3276" spans="1:25">
      <c r="A3276" s="91"/>
      <c r="B3276" s="176"/>
      <c r="C3276" s="176"/>
      <c r="D3276" s="176"/>
      <c r="E3276" s="176"/>
      <c r="F3276" s="176"/>
      <c r="G3276" s="176"/>
      <c r="H3276" s="176"/>
      <c r="I3276" s="176"/>
      <c r="J3276" s="176"/>
      <c r="K3276" s="176"/>
      <c r="L3276" s="176"/>
      <c r="M3276" s="176"/>
      <c r="N3276" s="176"/>
      <c r="O3276" s="176"/>
      <c r="P3276" s="176"/>
      <c r="Q3276" s="176"/>
      <c r="R3276" s="176"/>
      <c r="S3276" s="176"/>
      <c r="T3276" s="176"/>
      <c r="U3276" s="176"/>
      <c r="V3276" s="176"/>
      <c r="W3276" s="176"/>
      <c r="X3276" s="176"/>
      <c r="Y3276" s="176"/>
    </row>
    <row r="3277" spans="1:25">
      <c r="A3277" s="91"/>
      <c r="B3277" s="176"/>
      <c r="C3277" s="176"/>
      <c r="D3277" s="176"/>
      <c r="E3277" s="176"/>
      <c r="F3277" s="176"/>
      <c r="G3277" s="176"/>
      <c r="H3277" s="176"/>
      <c r="I3277" s="176"/>
      <c r="J3277" s="176"/>
      <c r="K3277" s="176"/>
      <c r="L3277" s="176"/>
      <c r="M3277" s="176"/>
      <c r="N3277" s="176"/>
      <c r="O3277" s="176"/>
      <c r="P3277" s="176"/>
      <c r="Q3277" s="176"/>
      <c r="R3277" s="176"/>
      <c r="S3277" s="176"/>
      <c r="T3277" s="176"/>
      <c r="U3277" s="176"/>
      <c r="V3277" s="176"/>
      <c r="W3277" s="176"/>
      <c r="X3277" s="176"/>
      <c r="Y3277" s="176"/>
    </row>
    <row r="3278" spans="1:25">
      <c r="A3278" s="91"/>
      <c r="B3278" s="176"/>
      <c r="C3278" s="176"/>
      <c r="D3278" s="176"/>
      <c r="E3278" s="176"/>
      <c r="F3278" s="176"/>
      <c r="G3278" s="176"/>
      <c r="H3278" s="176"/>
      <c r="I3278" s="176"/>
      <c r="J3278" s="176"/>
      <c r="K3278" s="176"/>
      <c r="L3278" s="176"/>
      <c r="M3278" s="176"/>
      <c r="N3278" s="176"/>
      <c r="O3278" s="176"/>
      <c r="P3278" s="176"/>
      <c r="Q3278" s="176"/>
      <c r="R3278" s="176"/>
      <c r="S3278" s="176"/>
      <c r="T3278" s="176"/>
      <c r="U3278" s="176"/>
      <c r="V3278" s="176"/>
      <c r="W3278" s="176"/>
      <c r="X3278" s="176"/>
      <c r="Y3278" s="176"/>
    </row>
    <row r="3279" spans="1:25">
      <c r="A3279" s="91"/>
      <c r="B3279" s="176"/>
      <c r="C3279" s="176"/>
      <c r="D3279" s="176"/>
      <c r="E3279" s="176"/>
      <c r="F3279" s="176"/>
      <c r="G3279" s="176"/>
      <c r="H3279" s="176"/>
      <c r="I3279" s="176"/>
      <c r="J3279" s="176"/>
      <c r="K3279" s="176"/>
      <c r="L3279" s="176"/>
      <c r="M3279" s="176"/>
      <c r="N3279" s="176"/>
      <c r="O3279" s="176"/>
      <c r="P3279" s="176"/>
      <c r="Q3279" s="176"/>
      <c r="R3279" s="176"/>
      <c r="S3279" s="176"/>
      <c r="T3279" s="176"/>
      <c r="U3279" s="176"/>
      <c r="V3279" s="176"/>
      <c r="W3279" s="176"/>
      <c r="X3279" s="176"/>
      <c r="Y3279" s="176"/>
    </row>
    <row r="3280" spans="1:25">
      <c r="A3280" s="91"/>
      <c r="B3280" s="176"/>
      <c r="C3280" s="176"/>
      <c r="D3280" s="176"/>
      <c r="E3280" s="176"/>
      <c r="F3280" s="176"/>
      <c r="G3280" s="176"/>
      <c r="H3280" s="176"/>
      <c r="I3280" s="176"/>
      <c r="J3280" s="176"/>
      <c r="K3280" s="176"/>
      <c r="L3280" s="176"/>
      <c r="M3280" s="176"/>
      <c r="N3280" s="176"/>
      <c r="O3280" s="176"/>
      <c r="P3280" s="176"/>
      <c r="Q3280" s="176"/>
      <c r="R3280" s="176"/>
      <c r="S3280" s="176"/>
      <c r="T3280" s="176"/>
      <c r="U3280" s="176"/>
      <c r="V3280" s="176"/>
      <c r="W3280" s="176"/>
      <c r="X3280" s="176"/>
      <c r="Y3280" s="176"/>
    </row>
    <row r="3281" spans="1:25">
      <c r="A3281" s="91"/>
      <c r="B3281" s="176"/>
      <c r="C3281" s="176"/>
      <c r="D3281" s="176"/>
      <c r="E3281" s="176"/>
      <c r="F3281" s="176"/>
      <c r="G3281" s="176"/>
      <c r="H3281" s="176"/>
      <c r="I3281" s="176"/>
      <c r="J3281" s="176"/>
      <c r="K3281" s="176"/>
      <c r="L3281" s="176"/>
      <c r="M3281" s="176"/>
      <c r="N3281" s="176"/>
      <c r="O3281" s="176"/>
      <c r="P3281" s="176"/>
      <c r="Q3281" s="176"/>
      <c r="R3281" s="176"/>
      <c r="S3281" s="176"/>
      <c r="T3281" s="176"/>
      <c r="U3281" s="176"/>
      <c r="V3281" s="176"/>
      <c r="W3281" s="176"/>
      <c r="X3281" s="176"/>
      <c r="Y3281" s="176"/>
    </row>
    <row r="3282" spans="1:25">
      <c r="A3282" s="91"/>
      <c r="B3282" s="176"/>
      <c r="C3282" s="176"/>
      <c r="D3282" s="176"/>
      <c r="E3282" s="176"/>
      <c r="F3282" s="176"/>
      <c r="G3282" s="176"/>
      <c r="H3282" s="176"/>
      <c r="I3282" s="176"/>
      <c r="J3282" s="176"/>
      <c r="K3282" s="176"/>
      <c r="L3282" s="176"/>
      <c r="M3282" s="176"/>
      <c r="N3282" s="176"/>
      <c r="O3282" s="176"/>
      <c r="P3282" s="176"/>
      <c r="Q3282" s="176"/>
      <c r="R3282" s="176"/>
      <c r="S3282" s="176"/>
      <c r="T3282" s="176"/>
      <c r="U3282" s="176"/>
      <c r="V3282" s="176"/>
      <c r="W3282" s="176"/>
      <c r="X3282" s="176"/>
      <c r="Y3282" s="176"/>
    </row>
    <row r="3283" spans="1:25">
      <c r="A3283" s="91"/>
      <c r="B3283" s="176"/>
      <c r="C3283" s="176"/>
      <c r="D3283" s="176"/>
      <c r="E3283" s="176"/>
      <c r="F3283" s="176"/>
      <c r="G3283" s="176"/>
      <c r="H3283" s="176"/>
      <c r="I3283" s="176"/>
      <c r="J3283" s="176"/>
      <c r="K3283" s="176"/>
      <c r="L3283" s="176"/>
      <c r="M3283" s="176"/>
      <c r="N3283" s="176"/>
      <c r="O3283" s="176"/>
      <c r="P3283" s="176"/>
      <c r="Q3283" s="176"/>
      <c r="R3283" s="176"/>
      <c r="S3283" s="176"/>
      <c r="T3283" s="176"/>
      <c r="U3283" s="176"/>
      <c r="V3283" s="176"/>
      <c r="W3283" s="176"/>
      <c r="X3283" s="176"/>
      <c r="Y3283" s="176"/>
    </row>
    <row r="3284" spans="1:25">
      <c r="A3284" s="91"/>
      <c r="B3284" s="176"/>
      <c r="C3284" s="176"/>
      <c r="D3284" s="176"/>
      <c r="E3284" s="176"/>
      <c r="F3284" s="176"/>
      <c r="G3284" s="176"/>
      <c r="H3284" s="176"/>
      <c r="I3284" s="176"/>
      <c r="J3284" s="176"/>
      <c r="K3284" s="176"/>
      <c r="L3284" s="176"/>
      <c r="M3284" s="176"/>
      <c r="N3284" s="176"/>
      <c r="O3284" s="176"/>
      <c r="P3284" s="176"/>
      <c r="Q3284" s="176"/>
      <c r="R3284" s="176"/>
      <c r="S3284" s="176"/>
      <c r="T3284" s="176"/>
      <c r="U3284" s="176"/>
      <c r="V3284" s="176"/>
      <c r="W3284" s="176"/>
      <c r="X3284" s="176"/>
      <c r="Y3284" s="176"/>
    </row>
    <row r="3285" spans="1:25">
      <c r="A3285" s="91"/>
      <c r="B3285" s="176"/>
      <c r="C3285" s="176"/>
      <c r="D3285" s="176"/>
      <c r="E3285" s="176"/>
      <c r="F3285" s="176"/>
      <c r="G3285" s="176"/>
      <c r="H3285" s="176"/>
      <c r="I3285" s="176"/>
      <c r="J3285" s="176"/>
      <c r="K3285" s="176"/>
      <c r="L3285" s="176"/>
      <c r="M3285" s="176"/>
      <c r="N3285" s="176"/>
      <c r="O3285" s="176"/>
      <c r="P3285" s="176"/>
      <c r="Q3285" s="176"/>
      <c r="R3285" s="176"/>
      <c r="S3285" s="176"/>
      <c r="T3285" s="176"/>
      <c r="U3285" s="176"/>
      <c r="V3285" s="176"/>
      <c r="W3285" s="176"/>
      <c r="X3285" s="176"/>
      <c r="Y3285" s="176"/>
    </row>
    <row r="3286" spans="1:25">
      <c r="A3286" s="91"/>
      <c r="B3286" s="176"/>
      <c r="C3286" s="176"/>
      <c r="D3286" s="176"/>
      <c r="E3286" s="176"/>
      <c r="F3286" s="176"/>
      <c r="G3286" s="176"/>
      <c r="H3286" s="176"/>
      <c r="I3286" s="176"/>
      <c r="J3286" s="176"/>
      <c r="K3286" s="176"/>
      <c r="L3286" s="176"/>
      <c r="M3286" s="176"/>
      <c r="N3286" s="176"/>
      <c r="O3286" s="176"/>
      <c r="P3286" s="176"/>
      <c r="Q3286" s="176"/>
      <c r="R3286" s="176"/>
      <c r="S3286" s="176"/>
      <c r="T3286" s="176"/>
      <c r="U3286" s="176"/>
      <c r="V3286" s="176"/>
      <c r="W3286" s="176"/>
      <c r="X3286" s="176"/>
      <c r="Y3286" s="176"/>
    </row>
    <row r="3287" spans="1:25">
      <c r="A3287" s="91"/>
      <c r="B3287" s="176"/>
      <c r="C3287" s="176"/>
      <c r="D3287" s="176"/>
      <c r="E3287" s="176"/>
      <c r="F3287" s="176"/>
      <c r="G3287" s="176"/>
      <c r="H3287" s="176"/>
      <c r="I3287" s="176"/>
      <c r="J3287" s="176"/>
      <c r="K3287" s="176"/>
      <c r="L3287" s="176"/>
      <c r="M3287" s="176"/>
      <c r="N3287" s="176"/>
      <c r="O3287" s="176"/>
      <c r="P3287" s="176"/>
      <c r="Q3287" s="176"/>
      <c r="R3287" s="176"/>
      <c r="S3287" s="176"/>
      <c r="T3287" s="176"/>
      <c r="U3287" s="176"/>
      <c r="V3287" s="176"/>
      <c r="W3287" s="176"/>
      <c r="X3287" s="176"/>
      <c r="Y3287" s="176"/>
    </row>
    <row r="3288" spans="1:25">
      <c r="A3288" s="91"/>
      <c r="B3288" s="176"/>
      <c r="C3288" s="176"/>
      <c r="D3288" s="176"/>
      <c r="E3288" s="176"/>
      <c r="F3288" s="176"/>
      <c r="G3288" s="176"/>
      <c r="H3288" s="176"/>
      <c r="I3288" s="176"/>
      <c r="J3288" s="176"/>
      <c r="K3288" s="176"/>
      <c r="L3288" s="176"/>
      <c r="M3288" s="176"/>
      <c r="N3288" s="176"/>
      <c r="O3288" s="176"/>
      <c r="P3288" s="176"/>
      <c r="Q3288" s="176"/>
      <c r="R3288" s="176"/>
      <c r="S3288" s="176"/>
      <c r="T3288" s="176"/>
      <c r="U3288" s="176"/>
      <c r="V3288" s="176"/>
      <c r="W3288" s="176"/>
      <c r="X3288" s="176"/>
      <c r="Y3288" s="176"/>
    </row>
    <row r="3289" spans="1:25">
      <c r="A3289" s="91"/>
      <c r="B3289" s="176"/>
      <c r="C3289" s="176"/>
      <c r="D3289" s="176"/>
      <c r="E3289" s="176"/>
      <c r="F3289" s="176"/>
      <c r="G3289" s="176"/>
      <c r="H3289" s="176"/>
      <c r="I3289" s="176"/>
      <c r="J3289" s="176"/>
      <c r="K3289" s="176"/>
      <c r="L3289" s="176"/>
      <c r="M3289" s="176"/>
      <c r="N3289" s="176"/>
      <c r="O3289" s="176"/>
      <c r="P3289" s="176"/>
      <c r="Q3289" s="176"/>
      <c r="R3289" s="176"/>
      <c r="S3289" s="176"/>
      <c r="T3289" s="176"/>
      <c r="U3289" s="176"/>
      <c r="V3289" s="176"/>
      <c r="W3289" s="176"/>
      <c r="X3289" s="176"/>
      <c r="Y3289" s="176"/>
    </row>
    <row r="3290" spans="1:25">
      <c r="A3290" s="91"/>
      <c r="B3290" s="176"/>
      <c r="C3290" s="176"/>
      <c r="D3290" s="176"/>
      <c r="E3290" s="176"/>
      <c r="F3290" s="176"/>
      <c r="G3290" s="176"/>
      <c r="H3290" s="176"/>
      <c r="I3290" s="176"/>
      <c r="J3290" s="176"/>
      <c r="K3290" s="176"/>
      <c r="L3290" s="176"/>
      <c r="M3290" s="176"/>
      <c r="N3290" s="176"/>
      <c r="O3290" s="176"/>
      <c r="P3290" s="176"/>
      <c r="Q3290" s="176"/>
      <c r="R3290" s="176"/>
      <c r="S3290" s="176"/>
      <c r="T3290" s="176"/>
      <c r="U3290" s="176"/>
      <c r="V3290" s="176"/>
      <c r="W3290" s="176"/>
      <c r="X3290" s="176"/>
      <c r="Y3290" s="176"/>
    </row>
    <row r="3291" spans="1:25">
      <c r="A3291" s="91"/>
      <c r="B3291" s="176"/>
      <c r="C3291" s="176"/>
      <c r="D3291" s="176"/>
      <c r="E3291" s="176"/>
      <c r="F3291" s="176"/>
      <c r="G3291" s="176"/>
      <c r="H3291" s="176"/>
      <c r="I3291" s="176"/>
      <c r="J3291" s="176"/>
      <c r="K3291" s="176"/>
      <c r="L3291" s="176"/>
      <c r="M3291" s="176"/>
      <c r="N3291" s="176"/>
      <c r="O3291" s="176"/>
      <c r="P3291" s="176"/>
      <c r="Q3291" s="176"/>
      <c r="R3291" s="176"/>
      <c r="S3291" s="176"/>
      <c r="T3291" s="176"/>
      <c r="U3291" s="176"/>
      <c r="V3291" s="176"/>
      <c r="W3291" s="176"/>
      <c r="X3291" s="176"/>
      <c r="Y3291" s="176"/>
    </row>
    <row r="3292" spans="1:25">
      <c r="A3292" s="91"/>
      <c r="B3292" s="176"/>
      <c r="C3292" s="176"/>
      <c r="D3292" s="176"/>
      <c r="E3292" s="176"/>
      <c r="F3292" s="176"/>
      <c r="G3292" s="176"/>
      <c r="H3292" s="176"/>
      <c r="I3292" s="176"/>
      <c r="J3292" s="176"/>
      <c r="K3292" s="176"/>
      <c r="L3292" s="176"/>
      <c r="M3292" s="176"/>
      <c r="N3292" s="176"/>
      <c r="O3292" s="176"/>
      <c r="P3292" s="176"/>
      <c r="Q3292" s="176"/>
      <c r="R3292" s="176"/>
      <c r="S3292" s="176"/>
      <c r="T3292" s="176"/>
      <c r="U3292" s="176"/>
      <c r="V3292" s="176"/>
      <c r="W3292" s="176"/>
      <c r="X3292" s="176"/>
      <c r="Y3292" s="176"/>
    </row>
    <row r="3293" spans="1:25">
      <c r="A3293" s="91"/>
      <c r="B3293" s="176"/>
      <c r="C3293" s="176"/>
      <c r="D3293" s="176"/>
      <c r="E3293" s="176"/>
      <c r="F3293" s="176"/>
      <c r="G3293" s="176"/>
      <c r="H3293" s="176"/>
      <c r="I3293" s="176"/>
      <c r="J3293" s="176"/>
      <c r="K3293" s="176"/>
      <c r="L3293" s="176"/>
      <c r="M3293" s="176"/>
      <c r="N3293" s="176"/>
      <c r="O3293" s="176"/>
      <c r="P3293" s="176"/>
      <c r="Q3293" s="176"/>
      <c r="R3293" s="176"/>
      <c r="S3293" s="176"/>
      <c r="T3293" s="176"/>
      <c r="U3293" s="176"/>
      <c r="V3293" s="176"/>
      <c r="W3293" s="176"/>
      <c r="X3293" s="176"/>
      <c r="Y3293" s="176"/>
    </row>
    <row r="3294" spans="1:25">
      <c r="A3294" s="91"/>
      <c r="B3294" s="176"/>
      <c r="C3294" s="176"/>
      <c r="D3294" s="176"/>
      <c r="E3294" s="176"/>
      <c r="F3294" s="176"/>
      <c r="G3294" s="176"/>
      <c r="H3294" s="176"/>
      <c r="I3294" s="176"/>
      <c r="J3294" s="176"/>
      <c r="K3294" s="176"/>
      <c r="L3294" s="176"/>
      <c r="M3294" s="176"/>
      <c r="N3294" s="176"/>
      <c r="O3294" s="176"/>
      <c r="P3294" s="176"/>
      <c r="Q3294" s="176"/>
      <c r="R3294" s="176"/>
      <c r="S3294" s="176"/>
      <c r="T3294" s="176"/>
      <c r="U3294" s="176"/>
      <c r="V3294" s="176"/>
      <c r="W3294" s="176"/>
      <c r="X3294" s="176"/>
      <c r="Y3294" s="176"/>
    </row>
    <row r="3295" spans="1:25">
      <c r="A3295" s="91"/>
      <c r="B3295" s="176"/>
      <c r="C3295" s="176"/>
      <c r="D3295" s="176"/>
      <c r="E3295" s="176"/>
      <c r="F3295" s="176"/>
      <c r="G3295" s="176"/>
      <c r="H3295" s="176"/>
      <c r="I3295" s="176"/>
      <c r="J3295" s="176"/>
      <c r="K3295" s="176"/>
      <c r="L3295" s="176"/>
      <c r="M3295" s="176"/>
      <c r="N3295" s="176"/>
      <c r="O3295" s="176"/>
      <c r="P3295" s="176"/>
      <c r="Q3295" s="176"/>
      <c r="R3295" s="176"/>
      <c r="S3295" s="176"/>
      <c r="T3295" s="176"/>
      <c r="U3295" s="176"/>
      <c r="V3295" s="176"/>
      <c r="W3295" s="176"/>
      <c r="X3295" s="176"/>
      <c r="Y3295" s="176"/>
    </row>
    <row r="3296" spans="1:25">
      <c r="A3296" s="91"/>
      <c r="B3296" s="176"/>
      <c r="C3296" s="176"/>
      <c r="D3296" s="176"/>
      <c r="E3296" s="176"/>
      <c r="F3296" s="176"/>
      <c r="G3296" s="176"/>
      <c r="H3296" s="176"/>
      <c r="I3296" s="176"/>
      <c r="J3296" s="176"/>
      <c r="K3296" s="176"/>
      <c r="L3296" s="176"/>
      <c r="M3296" s="176"/>
      <c r="N3296" s="176"/>
      <c r="O3296" s="176"/>
      <c r="P3296" s="176"/>
      <c r="Q3296" s="176"/>
      <c r="R3296" s="176"/>
      <c r="S3296" s="176"/>
      <c r="T3296" s="176"/>
      <c r="U3296" s="176"/>
      <c r="V3296" s="176"/>
      <c r="W3296" s="176"/>
      <c r="X3296" s="176"/>
      <c r="Y3296" s="176"/>
    </row>
    <row r="3297" spans="1:25">
      <c r="A3297" s="91"/>
      <c r="B3297" s="176"/>
      <c r="C3297" s="176"/>
      <c r="D3297" s="176"/>
      <c r="E3297" s="176"/>
      <c r="F3297" s="176"/>
      <c r="G3297" s="176"/>
      <c r="H3297" s="176"/>
      <c r="I3297" s="176"/>
      <c r="J3297" s="176"/>
      <c r="K3297" s="176"/>
      <c r="L3297" s="176"/>
      <c r="M3297" s="176"/>
      <c r="N3297" s="176"/>
      <c r="O3297" s="176"/>
      <c r="P3297" s="176"/>
      <c r="Q3297" s="176"/>
      <c r="R3297" s="176"/>
      <c r="S3297" s="176"/>
      <c r="T3297" s="176"/>
      <c r="U3297" s="176"/>
      <c r="V3297" s="176"/>
      <c r="W3297" s="176"/>
      <c r="X3297" s="176"/>
      <c r="Y3297" s="176"/>
    </row>
    <row r="3298" spans="1:25">
      <c r="A3298" s="91"/>
      <c r="B3298" s="176"/>
      <c r="C3298" s="176"/>
      <c r="D3298" s="176"/>
      <c r="E3298" s="176"/>
      <c r="F3298" s="176"/>
      <c r="G3298" s="176"/>
      <c r="H3298" s="176"/>
      <c r="I3298" s="176"/>
      <c r="J3298" s="176"/>
      <c r="K3298" s="176"/>
      <c r="L3298" s="176"/>
      <c r="M3298" s="176"/>
      <c r="N3298" s="176"/>
      <c r="O3298" s="176"/>
      <c r="P3298" s="176"/>
      <c r="Q3298" s="176"/>
      <c r="R3298" s="176"/>
      <c r="S3298" s="176"/>
      <c r="T3298" s="176"/>
      <c r="U3298" s="176"/>
      <c r="V3298" s="176"/>
      <c r="W3298" s="176"/>
      <c r="X3298" s="176"/>
      <c r="Y3298" s="176"/>
    </row>
    <row r="3299" spans="1:25">
      <c r="A3299" s="91"/>
      <c r="B3299" s="176"/>
      <c r="C3299" s="176"/>
      <c r="D3299" s="176"/>
      <c r="E3299" s="176"/>
      <c r="F3299" s="176"/>
      <c r="G3299" s="176"/>
      <c r="H3299" s="176"/>
      <c r="I3299" s="176"/>
      <c r="J3299" s="176"/>
      <c r="K3299" s="176"/>
      <c r="L3299" s="176"/>
      <c r="M3299" s="176"/>
      <c r="N3299" s="176"/>
      <c r="O3299" s="176"/>
      <c r="P3299" s="176"/>
      <c r="Q3299" s="176"/>
      <c r="R3299" s="176"/>
      <c r="S3299" s="176"/>
      <c r="T3299" s="176"/>
      <c r="U3299" s="176"/>
      <c r="V3299" s="176"/>
      <c r="W3299" s="176"/>
      <c r="X3299" s="176"/>
      <c r="Y3299" s="176"/>
    </row>
    <row r="3300" spans="1:25">
      <c r="A3300" s="91"/>
      <c r="B3300" s="176"/>
      <c r="C3300" s="176"/>
      <c r="D3300" s="176"/>
      <c r="E3300" s="176"/>
      <c r="F3300" s="176"/>
      <c r="G3300" s="176"/>
      <c r="H3300" s="176"/>
      <c r="I3300" s="176"/>
      <c r="J3300" s="176"/>
      <c r="K3300" s="176"/>
      <c r="L3300" s="176"/>
      <c r="M3300" s="176"/>
      <c r="N3300" s="176"/>
      <c r="O3300" s="176"/>
      <c r="P3300" s="176"/>
      <c r="Q3300" s="176"/>
      <c r="R3300" s="176"/>
      <c r="S3300" s="176"/>
      <c r="T3300" s="176"/>
      <c r="U3300" s="176"/>
      <c r="V3300" s="176"/>
      <c r="W3300" s="176"/>
      <c r="X3300" s="176"/>
      <c r="Y3300" s="176"/>
    </row>
    <row r="3301" spans="1:25">
      <c r="A3301" s="91"/>
      <c r="B3301" s="176"/>
      <c r="C3301" s="176"/>
      <c r="D3301" s="176"/>
      <c r="E3301" s="176"/>
      <c r="F3301" s="176"/>
      <c r="G3301" s="176"/>
      <c r="H3301" s="176"/>
      <c r="I3301" s="176"/>
      <c r="J3301" s="176"/>
      <c r="K3301" s="176"/>
      <c r="L3301" s="176"/>
      <c r="M3301" s="176"/>
      <c r="N3301" s="176"/>
      <c r="O3301" s="176"/>
      <c r="P3301" s="176"/>
      <c r="Q3301" s="176"/>
      <c r="R3301" s="176"/>
      <c r="S3301" s="176"/>
      <c r="T3301" s="176"/>
      <c r="U3301" s="176"/>
      <c r="V3301" s="176"/>
      <c r="W3301" s="176"/>
      <c r="X3301" s="176"/>
      <c r="Y3301" s="176"/>
    </row>
    <row r="3302" spans="1:25">
      <c r="A3302" s="91"/>
      <c r="B3302" s="176"/>
      <c r="C3302" s="176"/>
      <c r="D3302" s="176"/>
      <c r="E3302" s="176"/>
      <c r="F3302" s="176"/>
      <c r="G3302" s="176"/>
      <c r="H3302" s="176"/>
      <c r="I3302" s="176"/>
      <c r="J3302" s="176"/>
      <c r="K3302" s="176"/>
      <c r="L3302" s="176"/>
      <c r="M3302" s="176"/>
      <c r="N3302" s="176"/>
      <c r="O3302" s="176"/>
      <c r="P3302" s="176"/>
      <c r="Q3302" s="176"/>
      <c r="R3302" s="176"/>
      <c r="S3302" s="176"/>
      <c r="T3302" s="176"/>
      <c r="U3302" s="176"/>
      <c r="V3302" s="176"/>
      <c r="W3302" s="176"/>
      <c r="X3302" s="176"/>
      <c r="Y3302" s="176"/>
    </row>
    <row r="3303" spans="1:25">
      <c r="A3303" s="91"/>
      <c r="B3303" s="176"/>
      <c r="C3303" s="176"/>
      <c r="D3303" s="176"/>
      <c r="E3303" s="176"/>
      <c r="F3303" s="176"/>
      <c r="G3303" s="176"/>
      <c r="H3303" s="176"/>
      <c r="I3303" s="176"/>
      <c r="J3303" s="176"/>
      <c r="K3303" s="176"/>
      <c r="L3303" s="176"/>
      <c r="M3303" s="176"/>
      <c r="N3303" s="176"/>
      <c r="O3303" s="176"/>
      <c r="P3303" s="176"/>
      <c r="Q3303" s="176"/>
      <c r="R3303" s="176"/>
      <c r="S3303" s="176"/>
      <c r="T3303" s="176"/>
      <c r="U3303" s="176"/>
      <c r="V3303" s="176"/>
      <c r="W3303" s="176"/>
      <c r="X3303" s="176"/>
      <c r="Y3303" s="176"/>
    </row>
    <row r="3304" spans="1:25">
      <c r="A3304" s="91"/>
      <c r="B3304" s="176"/>
      <c r="C3304" s="176"/>
      <c r="D3304" s="176"/>
      <c r="E3304" s="176"/>
      <c r="F3304" s="176"/>
      <c r="G3304" s="176"/>
      <c r="H3304" s="176"/>
      <c r="I3304" s="176"/>
      <c r="J3304" s="176"/>
      <c r="K3304" s="176"/>
      <c r="L3304" s="176"/>
      <c r="M3304" s="176"/>
      <c r="N3304" s="176"/>
      <c r="O3304" s="176"/>
      <c r="P3304" s="176"/>
      <c r="Q3304" s="176"/>
      <c r="R3304" s="176"/>
      <c r="S3304" s="176"/>
      <c r="T3304" s="176"/>
      <c r="U3304" s="176"/>
      <c r="V3304" s="176"/>
      <c r="W3304" s="176"/>
      <c r="X3304" s="176"/>
      <c r="Y3304" s="176"/>
    </row>
    <row r="3305" spans="1:25">
      <c r="A3305" s="91"/>
      <c r="B3305" s="176"/>
      <c r="C3305" s="176"/>
      <c r="D3305" s="176"/>
      <c r="E3305" s="176"/>
      <c r="F3305" s="176"/>
      <c r="G3305" s="176"/>
      <c r="H3305" s="176"/>
      <c r="I3305" s="176"/>
      <c r="J3305" s="176"/>
      <c r="K3305" s="176"/>
      <c r="L3305" s="176"/>
      <c r="M3305" s="176"/>
      <c r="N3305" s="176"/>
      <c r="O3305" s="176"/>
      <c r="P3305" s="176"/>
      <c r="Q3305" s="176"/>
      <c r="R3305" s="176"/>
      <c r="S3305" s="176"/>
      <c r="T3305" s="176"/>
      <c r="U3305" s="176"/>
      <c r="V3305" s="176"/>
      <c r="W3305" s="176"/>
      <c r="X3305" s="176"/>
      <c r="Y3305" s="176"/>
    </row>
    <row r="3306" spans="1:25">
      <c r="A3306" s="91"/>
      <c r="B3306" s="176"/>
      <c r="C3306" s="176"/>
      <c r="D3306" s="176"/>
      <c r="E3306" s="176"/>
      <c r="F3306" s="176"/>
      <c r="G3306" s="176"/>
      <c r="H3306" s="176"/>
      <c r="I3306" s="176"/>
      <c r="J3306" s="176"/>
      <c r="K3306" s="176"/>
      <c r="L3306" s="176"/>
      <c r="M3306" s="176"/>
      <c r="N3306" s="176"/>
      <c r="O3306" s="176"/>
      <c r="P3306" s="176"/>
      <c r="Q3306" s="176"/>
      <c r="R3306" s="176"/>
      <c r="S3306" s="176"/>
      <c r="T3306" s="176"/>
      <c r="U3306" s="176"/>
      <c r="V3306" s="176"/>
      <c r="W3306" s="176"/>
      <c r="X3306" s="176"/>
      <c r="Y3306" s="176"/>
    </row>
    <row r="3307" spans="1:25">
      <c r="A3307" s="91"/>
      <c r="B3307" s="176"/>
      <c r="C3307" s="176"/>
      <c r="D3307" s="176"/>
      <c r="E3307" s="176"/>
      <c r="F3307" s="176"/>
      <c r="G3307" s="176"/>
      <c r="H3307" s="176"/>
      <c r="I3307" s="176"/>
      <c r="J3307" s="176"/>
      <c r="K3307" s="176"/>
      <c r="L3307" s="176"/>
      <c r="M3307" s="176"/>
      <c r="N3307" s="176"/>
      <c r="O3307" s="176"/>
      <c r="P3307" s="176"/>
      <c r="Q3307" s="176"/>
      <c r="R3307" s="176"/>
      <c r="S3307" s="176"/>
      <c r="T3307" s="176"/>
      <c r="U3307" s="176"/>
      <c r="V3307" s="176"/>
      <c r="W3307" s="176"/>
      <c r="X3307" s="176"/>
      <c r="Y3307" s="176"/>
    </row>
    <row r="3308" spans="1:25">
      <c r="A3308" s="91"/>
      <c r="B3308" s="176"/>
      <c r="C3308" s="176"/>
      <c r="D3308" s="176"/>
      <c r="E3308" s="176"/>
      <c r="F3308" s="176"/>
      <c r="G3308" s="176"/>
      <c r="H3308" s="176"/>
      <c r="I3308" s="176"/>
      <c r="J3308" s="176"/>
      <c r="K3308" s="176"/>
      <c r="L3308" s="176"/>
      <c r="M3308" s="176"/>
      <c r="N3308" s="176"/>
      <c r="O3308" s="176"/>
      <c r="P3308" s="176"/>
      <c r="Q3308" s="176"/>
      <c r="R3308" s="176"/>
      <c r="S3308" s="176"/>
      <c r="T3308" s="176"/>
      <c r="U3308" s="176"/>
      <c r="V3308" s="176"/>
      <c r="W3308" s="176"/>
      <c r="X3308" s="176"/>
      <c r="Y3308" s="176"/>
    </row>
    <row r="3309" spans="1:25">
      <c r="A3309" s="91"/>
      <c r="B3309" s="176"/>
      <c r="C3309" s="176"/>
      <c r="D3309" s="176"/>
      <c r="E3309" s="176"/>
      <c r="F3309" s="176"/>
      <c r="G3309" s="176"/>
      <c r="H3309" s="176"/>
      <c r="I3309" s="176"/>
      <c r="J3309" s="176"/>
      <c r="K3309" s="176"/>
      <c r="L3309" s="176"/>
      <c r="M3309" s="176"/>
      <c r="N3309" s="176"/>
      <c r="O3309" s="176"/>
      <c r="P3309" s="176"/>
      <c r="Q3309" s="176"/>
      <c r="R3309" s="176"/>
      <c r="S3309" s="176"/>
      <c r="T3309" s="176"/>
      <c r="U3309" s="176"/>
      <c r="V3309" s="176"/>
      <c r="W3309" s="176"/>
      <c r="X3309" s="176"/>
      <c r="Y3309" s="176"/>
    </row>
    <row r="3310" spans="1:25">
      <c r="A3310" s="91"/>
      <c r="B3310" s="176"/>
      <c r="C3310" s="176"/>
      <c r="D3310" s="176"/>
      <c r="E3310" s="176"/>
      <c r="F3310" s="176"/>
      <c r="G3310" s="176"/>
      <c r="H3310" s="176"/>
      <c r="I3310" s="176"/>
      <c r="J3310" s="176"/>
      <c r="K3310" s="176"/>
      <c r="L3310" s="176"/>
      <c r="M3310" s="176"/>
      <c r="N3310" s="176"/>
      <c r="O3310" s="176"/>
      <c r="P3310" s="176"/>
      <c r="Q3310" s="176"/>
      <c r="R3310" s="176"/>
      <c r="S3310" s="176"/>
      <c r="T3310" s="176"/>
      <c r="U3310" s="176"/>
      <c r="V3310" s="176"/>
      <c r="W3310" s="176"/>
      <c r="X3310" s="176"/>
      <c r="Y3310" s="176"/>
    </row>
    <row r="3311" spans="1:25">
      <c r="A3311" s="91"/>
      <c r="B3311" s="176"/>
      <c r="C3311" s="176"/>
      <c r="D3311" s="176"/>
      <c r="E3311" s="176"/>
      <c r="F3311" s="176"/>
      <c r="G3311" s="176"/>
      <c r="H3311" s="176"/>
      <c r="I3311" s="176"/>
      <c r="J3311" s="176"/>
      <c r="K3311" s="176"/>
      <c r="L3311" s="176"/>
      <c r="M3311" s="176"/>
      <c r="N3311" s="176"/>
      <c r="O3311" s="176"/>
      <c r="P3311" s="176"/>
      <c r="Q3311" s="176"/>
      <c r="R3311" s="176"/>
      <c r="S3311" s="176"/>
      <c r="T3311" s="176"/>
      <c r="U3311" s="176"/>
      <c r="V3311" s="176"/>
      <c r="W3311" s="176"/>
      <c r="X3311" s="176"/>
      <c r="Y3311" s="176"/>
    </row>
    <row r="3312" spans="1:25">
      <c r="A3312" s="91"/>
      <c r="B3312" s="176"/>
      <c r="C3312" s="176"/>
      <c r="D3312" s="176"/>
      <c r="E3312" s="176"/>
      <c r="F3312" s="176"/>
      <c r="G3312" s="176"/>
      <c r="H3312" s="176"/>
      <c r="I3312" s="176"/>
      <c r="J3312" s="176"/>
      <c r="K3312" s="176"/>
      <c r="L3312" s="176"/>
      <c r="M3312" s="176"/>
      <c r="N3312" s="176"/>
      <c r="O3312" s="176"/>
      <c r="P3312" s="176"/>
      <c r="Q3312" s="176"/>
      <c r="R3312" s="176"/>
      <c r="S3312" s="176"/>
      <c r="T3312" s="176"/>
      <c r="U3312" s="176"/>
      <c r="V3312" s="176"/>
      <c r="W3312" s="176"/>
      <c r="X3312" s="176"/>
      <c r="Y3312" s="176"/>
    </row>
    <row r="3313" spans="1:25">
      <c r="A3313" s="91"/>
      <c r="B3313" s="176"/>
      <c r="C3313" s="176"/>
      <c r="D3313" s="176"/>
      <c r="E3313" s="176"/>
      <c r="F3313" s="176"/>
      <c r="G3313" s="176"/>
      <c r="H3313" s="176"/>
      <c r="I3313" s="176"/>
      <c r="J3313" s="176"/>
      <c r="K3313" s="176"/>
      <c r="L3313" s="176"/>
      <c r="M3313" s="176"/>
      <c r="N3313" s="176"/>
      <c r="O3313" s="176"/>
      <c r="P3313" s="176"/>
      <c r="Q3313" s="176"/>
      <c r="R3313" s="176"/>
      <c r="S3313" s="176"/>
      <c r="T3313" s="176"/>
      <c r="U3313" s="176"/>
      <c r="V3313" s="176"/>
      <c r="W3313" s="176"/>
      <c r="X3313" s="176"/>
      <c r="Y3313" s="176"/>
    </row>
    <row r="3314" spans="1:25">
      <c r="A3314" s="91"/>
      <c r="B3314" s="176"/>
      <c r="C3314" s="176"/>
      <c r="D3314" s="176"/>
      <c r="E3314" s="176"/>
      <c r="F3314" s="176"/>
      <c r="G3314" s="176"/>
      <c r="H3314" s="176"/>
      <c r="I3314" s="176"/>
      <c r="J3314" s="176"/>
      <c r="K3314" s="176"/>
      <c r="L3314" s="176"/>
      <c r="M3314" s="176"/>
      <c r="N3314" s="176"/>
      <c r="O3314" s="176"/>
      <c r="P3314" s="176"/>
      <c r="Q3314" s="176"/>
      <c r="R3314" s="176"/>
      <c r="S3314" s="176"/>
      <c r="T3314" s="176"/>
      <c r="U3314" s="176"/>
      <c r="V3314" s="176"/>
      <c r="W3314" s="176"/>
      <c r="X3314" s="176"/>
      <c r="Y3314" s="176"/>
    </row>
    <row r="3315" spans="1:25">
      <c r="A3315" s="91"/>
      <c r="B3315" s="176"/>
      <c r="C3315" s="176"/>
      <c r="D3315" s="176"/>
      <c r="E3315" s="176"/>
      <c r="F3315" s="176"/>
      <c r="G3315" s="176"/>
      <c r="H3315" s="176"/>
      <c r="I3315" s="176"/>
      <c r="J3315" s="176"/>
      <c r="K3315" s="176"/>
      <c r="L3315" s="176"/>
      <c r="M3315" s="176"/>
      <c r="N3315" s="176"/>
      <c r="O3315" s="176"/>
      <c r="P3315" s="176"/>
      <c r="Q3315" s="176"/>
      <c r="R3315" s="176"/>
      <c r="S3315" s="176"/>
      <c r="T3315" s="176"/>
      <c r="U3315" s="176"/>
      <c r="V3315" s="176"/>
      <c r="W3315" s="176"/>
      <c r="X3315" s="176"/>
      <c r="Y3315" s="176"/>
    </row>
    <row r="3316" spans="1:25">
      <c r="A3316" s="91"/>
      <c r="B3316" s="176"/>
      <c r="C3316" s="176"/>
      <c r="D3316" s="176"/>
      <c r="E3316" s="176"/>
      <c r="F3316" s="176"/>
      <c r="G3316" s="176"/>
      <c r="H3316" s="176"/>
      <c r="I3316" s="176"/>
      <c r="J3316" s="176"/>
      <c r="K3316" s="176"/>
      <c r="L3316" s="176"/>
      <c r="M3316" s="176"/>
      <c r="N3316" s="176"/>
      <c r="O3316" s="176"/>
      <c r="P3316" s="176"/>
      <c r="Q3316" s="176"/>
      <c r="R3316" s="176"/>
      <c r="S3316" s="176"/>
      <c r="T3316" s="176"/>
      <c r="U3316" s="176"/>
      <c r="V3316" s="176"/>
      <c r="W3316" s="176"/>
      <c r="X3316" s="176"/>
      <c r="Y3316" s="176"/>
    </row>
    <row r="3317" spans="1:25">
      <c r="A3317" s="91"/>
      <c r="B3317" s="176"/>
      <c r="C3317" s="176"/>
      <c r="D3317" s="176"/>
      <c r="E3317" s="176"/>
      <c r="F3317" s="176"/>
      <c r="G3317" s="176"/>
      <c r="H3317" s="176"/>
      <c r="I3317" s="176"/>
      <c r="J3317" s="176"/>
      <c r="K3317" s="176"/>
      <c r="L3317" s="176"/>
      <c r="M3317" s="176"/>
      <c r="N3317" s="176"/>
      <c r="O3317" s="176"/>
      <c r="P3317" s="176"/>
      <c r="Q3317" s="176"/>
      <c r="R3317" s="176"/>
      <c r="S3317" s="176"/>
      <c r="T3317" s="176"/>
      <c r="U3317" s="176"/>
      <c r="V3317" s="176"/>
      <c r="W3317" s="176"/>
      <c r="X3317" s="176"/>
      <c r="Y3317" s="176"/>
    </row>
    <row r="3318" spans="1:25">
      <c r="A3318" s="91"/>
      <c r="B3318" s="176"/>
      <c r="C3318" s="176"/>
      <c r="D3318" s="176"/>
      <c r="E3318" s="176"/>
      <c r="F3318" s="176"/>
      <c r="G3318" s="176"/>
      <c r="H3318" s="176"/>
      <c r="I3318" s="176"/>
      <c r="J3318" s="176"/>
      <c r="K3318" s="176"/>
      <c r="L3318" s="176"/>
      <c r="M3318" s="176"/>
      <c r="N3318" s="176"/>
      <c r="O3318" s="176"/>
      <c r="P3318" s="176"/>
      <c r="Q3318" s="176"/>
      <c r="R3318" s="176"/>
      <c r="S3318" s="176"/>
      <c r="T3318" s="176"/>
      <c r="U3318" s="176"/>
      <c r="V3318" s="176"/>
      <c r="W3318" s="176"/>
      <c r="X3318" s="176"/>
      <c r="Y3318" s="176"/>
    </row>
    <row r="3319" spans="1:25">
      <c r="A3319" s="91"/>
      <c r="B3319" s="176"/>
      <c r="C3319" s="176"/>
      <c r="D3319" s="176"/>
      <c r="E3319" s="176"/>
      <c r="F3319" s="176"/>
      <c r="G3319" s="176"/>
      <c r="H3319" s="176"/>
      <c r="I3319" s="176"/>
      <c r="J3319" s="176"/>
      <c r="K3319" s="176"/>
      <c r="L3319" s="176"/>
      <c r="M3319" s="176"/>
      <c r="N3319" s="176"/>
      <c r="O3319" s="176"/>
      <c r="P3319" s="176"/>
      <c r="Q3319" s="176"/>
      <c r="R3319" s="176"/>
      <c r="S3319" s="176"/>
      <c r="T3319" s="176"/>
      <c r="U3319" s="176"/>
      <c r="V3319" s="176"/>
      <c r="W3319" s="176"/>
      <c r="X3319" s="176"/>
      <c r="Y3319" s="176"/>
    </row>
    <row r="3320" spans="1:25">
      <c r="A3320" s="91"/>
      <c r="B3320" s="176"/>
      <c r="C3320" s="176"/>
      <c r="D3320" s="176"/>
      <c r="E3320" s="176"/>
      <c r="F3320" s="176"/>
      <c r="G3320" s="176"/>
      <c r="H3320" s="176"/>
      <c r="I3320" s="176"/>
      <c r="J3320" s="176"/>
      <c r="K3320" s="176"/>
      <c r="L3320" s="176"/>
      <c r="M3320" s="176"/>
      <c r="N3320" s="176"/>
      <c r="O3320" s="176"/>
      <c r="P3320" s="176"/>
      <c r="Q3320" s="176"/>
      <c r="R3320" s="176"/>
      <c r="S3320" s="176"/>
      <c r="T3320" s="176"/>
      <c r="U3320" s="176"/>
      <c r="V3320" s="176"/>
      <c r="W3320" s="176"/>
      <c r="X3320" s="176"/>
      <c r="Y3320" s="176"/>
    </row>
    <row r="3321" spans="1:25">
      <c r="A3321" s="91"/>
      <c r="B3321" s="176"/>
      <c r="C3321" s="176"/>
      <c r="D3321" s="176"/>
      <c r="E3321" s="176"/>
      <c r="F3321" s="176"/>
      <c r="G3321" s="176"/>
      <c r="H3321" s="176"/>
      <c r="I3321" s="176"/>
      <c r="J3321" s="176"/>
      <c r="K3321" s="176"/>
      <c r="L3321" s="176"/>
      <c r="M3321" s="176"/>
      <c r="N3321" s="176"/>
      <c r="O3321" s="176"/>
      <c r="P3321" s="176"/>
      <c r="Q3321" s="176"/>
      <c r="R3321" s="176"/>
      <c r="S3321" s="176"/>
      <c r="T3321" s="176"/>
      <c r="U3321" s="176"/>
      <c r="V3321" s="176"/>
      <c r="W3321" s="176"/>
      <c r="X3321" s="176"/>
      <c r="Y3321" s="176"/>
    </row>
    <row r="3322" spans="1:25">
      <c r="A3322" s="91"/>
      <c r="B3322" s="176"/>
      <c r="C3322" s="176"/>
      <c r="D3322" s="176"/>
      <c r="E3322" s="176"/>
      <c r="F3322" s="176"/>
      <c r="G3322" s="176"/>
      <c r="H3322" s="176"/>
      <c r="I3322" s="176"/>
      <c r="J3322" s="176"/>
      <c r="K3322" s="176"/>
      <c r="L3322" s="176"/>
      <c r="M3322" s="176"/>
      <c r="N3322" s="176"/>
      <c r="O3322" s="176"/>
      <c r="P3322" s="176"/>
      <c r="Q3322" s="176"/>
      <c r="R3322" s="176"/>
      <c r="S3322" s="176"/>
      <c r="T3322" s="176"/>
      <c r="U3322" s="176"/>
      <c r="V3322" s="176"/>
      <c r="W3322" s="176"/>
      <c r="X3322" s="176"/>
      <c r="Y3322" s="176"/>
    </row>
    <row r="3323" spans="1:25">
      <c r="A3323" s="91"/>
      <c r="B3323" s="176"/>
      <c r="C3323" s="176"/>
      <c r="D3323" s="176"/>
      <c r="E3323" s="176"/>
      <c r="F3323" s="176"/>
      <c r="G3323" s="176"/>
      <c r="H3323" s="176"/>
      <c r="I3323" s="176"/>
      <c r="J3323" s="176"/>
      <c r="K3323" s="176"/>
      <c r="L3323" s="176"/>
      <c r="M3323" s="176"/>
      <c r="N3323" s="176"/>
      <c r="O3323" s="176"/>
      <c r="P3323" s="176"/>
      <c r="Q3323" s="176"/>
      <c r="R3323" s="176"/>
      <c r="S3323" s="176"/>
      <c r="T3323" s="176"/>
      <c r="U3323" s="176"/>
      <c r="V3323" s="176"/>
      <c r="W3323" s="176"/>
      <c r="X3323" s="176"/>
      <c r="Y3323" s="176"/>
    </row>
    <row r="3324" spans="1:25">
      <c r="A3324" s="91"/>
      <c r="B3324" s="176"/>
      <c r="C3324" s="176"/>
      <c r="D3324" s="176"/>
      <c r="E3324" s="176"/>
      <c r="F3324" s="176"/>
      <c r="G3324" s="176"/>
      <c r="H3324" s="176"/>
      <c r="I3324" s="176"/>
      <c r="J3324" s="176"/>
      <c r="K3324" s="176"/>
      <c r="L3324" s="176"/>
      <c r="M3324" s="176"/>
      <c r="N3324" s="176"/>
      <c r="O3324" s="176"/>
      <c r="P3324" s="176"/>
      <c r="Q3324" s="176"/>
      <c r="R3324" s="176"/>
      <c r="S3324" s="176"/>
      <c r="T3324" s="176"/>
      <c r="U3324" s="176"/>
      <c r="V3324" s="176"/>
      <c r="W3324" s="176"/>
      <c r="X3324" s="176"/>
      <c r="Y3324" s="176"/>
    </row>
    <row r="3325" spans="1:25">
      <c r="A3325" s="91"/>
      <c r="B3325" s="176"/>
      <c r="C3325" s="176"/>
      <c r="D3325" s="176"/>
      <c r="E3325" s="176"/>
      <c r="F3325" s="176"/>
      <c r="G3325" s="176"/>
      <c r="H3325" s="176"/>
      <c r="I3325" s="176"/>
      <c r="J3325" s="176"/>
      <c r="K3325" s="176"/>
      <c r="L3325" s="176"/>
      <c r="M3325" s="176"/>
      <c r="N3325" s="176"/>
      <c r="O3325" s="176"/>
      <c r="P3325" s="176"/>
      <c r="Q3325" s="176"/>
      <c r="R3325" s="176"/>
      <c r="S3325" s="176"/>
      <c r="T3325" s="176"/>
      <c r="U3325" s="176"/>
      <c r="V3325" s="176"/>
      <c r="W3325" s="176"/>
      <c r="X3325" s="176"/>
      <c r="Y3325" s="176"/>
    </row>
    <row r="3326" spans="1:25">
      <c r="A3326" s="91"/>
      <c r="B3326" s="176"/>
      <c r="C3326" s="176"/>
      <c r="D3326" s="176"/>
      <c r="E3326" s="176"/>
      <c r="F3326" s="176"/>
      <c r="G3326" s="176"/>
      <c r="H3326" s="176"/>
      <c r="I3326" s="176"/>
      <c r="J3326" s="176"/>
      <c r="K3326" s="176"/>
      <c r="L3326" s="176"/>
      <c r="M3326" s="176"/>
      <c r="N3326" s="176"/>
      <c r="O3326" s="176"/>
      <c r="P3326" s="176"/>
      <c r="Q3326" s="176"/>
      <c r="R3326" s="176"/>
      <c r="S3326" s="176"/>
      <c r="T3326" s="176"/>
      <c r="U3326" s="176"/>
      <c r="V3326" s="176"/>
      <c r="W3326" s="176"/>
      <c r="X3326" s="176"/>
      <c r="Y3326" s="176"/>
    </row>
    <row r="3327" spans="1:25">
      <c r="A3327" s="91"/>
      <c r="B3327" s="176"/>
      <c r="C3327" s="176"/>
      <c r="D3327" s="176"/>
      <c r="E3327" s="176"/>
      <c r="F3327" s="176"/>
      <c r="G3327" s="176"/>
      <c r="H3327" s="176"/>
      <c r="I3327" s="176"/>
      <c r="J3327" s="176"/>
      <c r="K3327" s="176"/>
      <c r="L3327" s="176"/>
      <c r="M3327" s="176"/>
      <c r="N3327" s="176"/>
      <c r="O3327" s="176"/>
      <c r="P3327" s="176"/>
      <c r="Q3327" s="176"/>
      <c r="R3327" s="176"/>
      <c r="S3327" s="176"/>
      <c r="T3327" s="176"/>
      <c r="U3327" s="176"/>
      <c r="V3327" s="176"/>
      <c r="W3327" s="176"/>
      <c r="X3327" s="176"/>
      <c r="Y3327" s="176"/>
    </row>
    <row r="3328" spans="1:25">
      <c r="A3328" s="91"/>
      <c r="B3328" s="176"/>
      <c r="C3328" s="176"/>
      <c r="D3328" s="176"/>
      <c r="E3328" s="176"/>
      <c r="F3328" s="176"/>
      <c r="G3328" s="176"/>
      <c r="H3328" s="176"/>
      <c r="I3328" s="176"/>
      <c r="J3328" s="176"/>
      <c r="K3328" s="176"/>
      <c r="L3328" s="176"/>
      <c r="M3328" s="176"/>
      <c r="N3328" s="176"/>
      <c r="O3328" s="176"/>
      <c r="P3328" s="176"/>
      <c r="Q3328" s="176"/>
      <c r="R3328" s="176"/>
      <c r="S3328" s="176"/>
      <c r="T3328" s="176"/>
      <c r="U3328" s="176"/>
      <c r="V3328" s="176"/>
      <c r="W3328" s="176"/>
      <c r="X3328" s="176"/>
      <c r="Y3328" s="176"/>
    </row>
    <row r="3329" spans="1:25">
      <c r="A3329" s="91"/>
      <c r="B3329" s="176"/>
      <c r="C3329" s="176"/>
      <c r="D3329" s="176"/>
      <c r="E3329" s="176"/>
      <c r="F3329" s="176"/>
      <c r="G3329" s="176"/>
      <c r="H3329" s="176"/>
      <c r="I3329" s="176"/>
      <c r="J3329" s="176"/>
      <c r="K3329" s="176"/>
      <c r="L3329" s="176"/>
      <c r="M3329" s="176"/>
      <c r="N3329" s="176"/>
      <c r="O3329" s="176"/>
      <c r="P3329" s="176"/>
      <c r="Q3329" s="176"/>
      <c r="R3329" s="176"/>
      <c r="S3329" s="176"/>
      <c r="T3329" s="176"/>
      <c r="U3329" s="176"/>
      <c r="V3329" s="176"/>
      <c r="W3329" s="176"/>
      <c r="X3329" s="176"/>
      <c r="Y3329" s="176"/>
    </row>
    <row r="3330" spans="1:25">
      <c r="A3330" s="91"/>
      <c r="B3330" s="176"/>
      <c r="C3330" s="176"/>
      <c r="D3330" s="176"/>
      <c r="E3330" s="176"/>
      <c r="F3330" s="176"/>
      <c r="G3330" s="176"/>
      <c r="H3330" s="176"/>
      <c r="I3330" s="176"/>
      <c r="J3330" s="176"/>
      <c r="K3330" s="176"/>
      <c r="L3330" s="176"/>
      <c r="M3330" s="176"/>
      <c r="N3330" s="176"/>
      <c r="O3330" s="176"/>
      <c r="P3330" s="176"/>
      <c r="Q3330" s="176"/>
      <c r="R3330" s="176"/>
      <c r="S3330" s="176"/>
      <c r="T3330" s="176"/>
      <c r="U3330" s="176"/>
      <c r="V3330" s="176"/>
      <c r="W3330" s="176"/>
      <c r="X3330" s="176"/>
      <c r="Y3330" s="176"/>
    </row>
    <row r="3331" spans="1:25">
      <c r="A3331" s="91"/>
      <c r="B3331" s="176"/>
      <c r="C3331" s="176"/>
      <c r="D3331" s="176"/>
      <c r="E3331" s="176"/>
      <c r="F3331" s="176"/>
      <c r="G3331" s="176"/>
      <c r="H3331" s="176"/>
      <c r="I3331" s="176"/>
      <c r="J3331" s="176"/>
      <c r="K3331" s="176"/>
      <c r="L3331" s="176"/>
      <c r="M3331" s="176"/>
      <c r="N3331" s="176"/>
      <c r="O3331" s="176"/>
      <c r="P3331" s="176"/>
      <c r="Q3331" s="176"/>
      <c r="R3331" s="176"/>
      <c r="S3331" s="176"/>
      <c r="T3331" s="176"/>
      <c r="U3331" s="176"/>
      <c r="V3331" s="176"/>
      <c r="W3331" s="176"/>
      <c r="X3331" s="176"/>
      <c r="Y3331" s="176"/>
    </row>
    <row r="3332" spans="1:25">
      <c r="A3332" s="91"/>
      <c r="B3332" s="176"/>
      <c r="C3332" s="176"/>
      <c r="D3332" s="176"/>
      <c r="E3332" s="176"/>
      <c r="F3332" s="176"/>
      <c r="G3332" s="176"/>
      <c r="H3332" s="176"/>
      <c r="I3332" s="176"/>
      <c r="J3332" s="176"/>
      <c r="K3332" s="176"/>
      <c r="L3332" s="176"/>
      <c r="M3332" s="176"/>
      <c r="N3332" s="176"/>
      <c r="O3332" s="176"/>
      <c r="P3332" s="176"/>
      <c r="Q3332" s="176"/>
      <c r="R3332" s="176"/>
      <c r="S3332" s="176"/>
      <c r="T3332" s="176"/>
      <c r="U3332" s="176"/>
      <c r="V3332" s="176"/>
      <c r="W3332" s="176"/>
      <c r="X3332" s="176"/>
      <c r="Y3332" s="176"/>
    </row>
    <row r="3333" spans="1:25">
      <c r="A3333" s="91"/>
      <c r="B3333" s="176"/>
      <c r="C3333" s="176"/>
      <c r="D3333" s="176"/>
      <c r="E3333" s="176"/>
      <c r="F3333" s="176"/>
      <c r="G3333" s="176"/>
      <c r="H3333" s="176"/>
      <c r="I3333" s="176"/>
      <c r="J3333" s="176"/>
      <c r="K3333" s="176"/>
      <c r="L3333" s="176"/>
      <c r="M3333" s="176"/>
      <c r="N3333" s="176"/>
      <c r="O3333" s="176"/>
      <c r="P3333" s="176"/>
      <c r="Q3333" s="176"/>
      <c r="R3333" s="176"/>
      <c r="S3333" s="176"/>
      <c r="T3333" s="176"/>
      <c r="U3333" s="176"/>
      <c r="V3333" s="176"/>
      <c r="W3333" s="176"/>
      <c r="X3333" s="176"/>
      <c r="Y3333" s="176"/>
    </row>
    <row r="3334" spans="1:25">
      <c r="A3334" s="91"/>
      <c r="B3334" s="176"/>
      <c r="C3334" s="176"/>
      <c r="D3334" s="176"/>
      <c r="E3334" s="176"/>
      <c r="F3334" s="176"/>
      <c r="G3334" s="176"/>
      <c r="H3334" s="176"/>
      <c r="I3334" s="176"/>
      <c r="J3334" s="176"/>
      <c r="K3334" s="176"/>
      <c r="L3334" s="176"/>
      <c r="M3334" s="176"/>
      <c r="N3334" s="176"/>
      <c r="O3334" s="176"/>
      <c r="P3334" s="176"/>
      <c r="Q3334" s="176"/>
      <c r="R3334" s="176"/>
      <c r="S3334" s="176"/>
      <c r="T3334" s="176"/>
      <c r="U3334" s="176"/>
      <c r="V3334" s="176"/>
      <c r="W3334" s="176"/>
      <c r="X3334" s="176"/>
      <c r="Y3334" s="176"/>
    </row>
    <row r="3335" spans="1:25">
      <c r="A3335" s="91"/>
      <c r="B3335" s="176"/>
      <c r="C3335" s="176"/>
      <c r="D3335" s="176"/>
      <c r="E3335" s="176"/>
      <c r="F3335" s="176"/>
      <c r="G3335" s="176"/>
      <c r="H3335" s="176"/>
      <c r="I3335" s="176"/>
      <c r="J3335" s="176"/>
      <c r="K3335" s="176"/>
      <c r="L3335" s="176"/>
      <c r="M3335" s="176"/>
      <c r="N3335" s="176"/>
      <c r="O3335" s="176"/>
      <c r="P3335" s="176"/>
      <c r="Q3335" s="176"/>
      <c r="R3335" s="176"/>
      <c r="S3335" s="176"/>
      <c r="T3335" s="176"/>
      <c r="U3335" s="176"/>
      <c r="V3335" s="176"/>
      <c r="W3335" s="176"/>
      <c r="X3335" s="176"/>
      <c r="Y3335" s="176"/>
    </row>
    <row r="3336" spans="1:25">
      <c r="A3336" s="91"/>
      <c r="B3336" s="176"/>
      <c r="C3336" s="176"/>
      <c r="D3336" s="176"/>
      <c r="E3336" s="176"/>
      <c r="F3336" s="176"/>
      <c r="G3336" s="176"/>
      <c r="H3336" s="176"/>
      <c r="I3336" s="176"/>
      <c r="J3336" s="176"/>
      <c r="K3336" s="176"/>
      <c r="L3336" s="176"/>
      <c r="M3336" s="176"/>
      <c r="N3336" s="176"/>
      <c r="O3336" s="176"/>
      <c r="P3336" s="176"/>
      <c r="Q3336" s="176"/>
      <c r="R3336" s="176"/>
      <c r="S3336" s="176"/>
      <c r="T3336" s="176"/>
      <c r="U3336" s="176"/>
      <c r="V3336" s="176"/>
      <c r="W3336" s="176"/>
      <c r="X3336" s="176"/>
      <c r="Y3336" s="176"/>
    </row>
    <row r="3337" spans="1:25">
      <c r="A3337" s="91"/>
      <c r="B3337" s="176"/>
      <c r="C3337" s="176"/>
      <c r="D3337" s="176"/>
      <c r="E3337" s="176"/>
      <c r="F3337" s="176"/>
      <c r="G3337" s="176"/>
      <c r="H3337" s="176"/>
      <c r="I3337" s="176"/>
      <c r="J3337" s="176"/>
      <c r="K3337" s="176"/>
      <c r="L3337" s="176"/>
      <c r="M3337" s="176"/>
      <c r="N3337" s="176"/>
      <c r="O3337" s="176"/>
      <c r="P3337" s="176"/>
      <c r="Q3337" s="176"/>
      <c r="R3337" s="176"/>
      <c r="S3337" s="176"/>
      <c r="T3337" s="176"/>
      <c r="U3337" s="176"/>
      <c r="V3337" s="176"/>
      <c r="W3337" s="176"/>
      <c r="X3337" s="176"/>
      <c r="Y3337" s="176"/>
    </row>
    <row r="3338" spans="1:25">
      <c r="A3338" s="91"/>
      <c r="B3338" s="176"/>
      <c r="C3338" s="176"/>
      <c r="D3338" s="176"/>
      <c r="E3338" s="176"/>
      <c r="F3338" s="176"/>
      <c r="G3338" s="176"/>
      <c r="H3338" s="176"/>
      <c r="I3338" s="176"/>
      <c r="J3338" s="176"/>
      <c r="K3338" s="176"/>
      <c r="L3338" s="176"/>
      <c r="M3338" s="176"/>
      <c r="N3338" s="176"/>
      <c r="O3338" s="176"/>
      <c r="P3338" s="176"/>
      <c r="Q3338" s="176"/>
      <c r="R3338" s="176"/>
      <c r="S3338" s="176"/>
      <c r="T3338" s="176"/>
      <c r="U3338" s="176"/>
      <c r="V3338" s="176"/>
      <c r="W3338" s="176"/>
      <c r="X3338" s="176"/>
      <c r="Y3338" s="176"/>
    </row>
    <row r="3339" spans="1:25">
      <c r="A3339" s="91"/>
      <c r="B3339" s="176"/>
      <c r="C3339" s="176"/>
      <c r="D3339" s="176"/>
      <c r="E3339" s="176"/>
      <c r="F3339" s="176"/>
      <c r="G3339" s="176"/>
      <c r="H3339" s="176"/>
      <c r="I3339" s="176"/>
      <c r="J3339" s="176"/>
      <c r="K3339" s="176"/>
      <c r="L3339" s="176"/>
      <c r="M3339" s="176"/>
      <c r="N3339" s="176"/>
      <c r="O3339" s="176"/>
      <c r="P3339" s="176"/>
      <c r="Q3339" s="176"/>
      <c r="R3339" s="176"/>
      <c r="S3339" s="176"/>
      <c r="T3339" s="176"/>
      <c r="U3339" s="176"/>
      <c r="V3339" s="176"/>
      <c r="W3339" s="176"/>
      <c r="X3339" s="176"/>
      <c r="Y3339" s="176"/>
    </row>
    <row r="3340" spans="1:25">
      <c r="A3340" s="91"/>
      <c r="B3340" s="176"/>
      <c r="C3340" s="176"/>
      <c r="D3340" s="176"/>
      <c r="E3340" s="176"/>
      <c r="F3340" s="176"/>
      <c r="G3340" s="176"/>
      <c r="H3340" s="176"/>
      <c r="I3340" s="176"/>
      <c r="J3340" s="176"/>
      <c r="K3340" s="176"/>
      <c r="L3340" s="176"/>
      <c r="M3340" s="176"/>
      <c r="N3340" s="176"/>
      <c r="O3340" s="176"/>
      <c r="P3340" s="176"/>
      <c r="Q3340" s="176"/>
      <c r="R3340" s="176"/>
      <c r="S3340" s="176"/>
      <c r="T3340" s="176"/>
      <c r="U3340" s="176"/>
      <c r="V3340" s="176"/>
      <c r="W3340" s="176"/>
      <c r="X3340" s="176"/>
      <c r="Y3340" s="176"/>
    </row>
    <row r="3341" spans="1:25">
      <c r="A3341" s="91"/>
      <c r="B3341" s="176"/>
      <c r="C3341" s="176"/>
      <c r="D3341" s="176"/>
      <c r="E3341" s="176"/>
      <c r="F3341" s="176"/>
      <c r="G3341" s="176"/>
      <c r="H3341" s="176"/>
      <c r="I3341" s="176"/>
      <c r="J3341" s="176"/>
      <c r="K3341" s="176"/>
      <c r="L3341" s="176"/>
      <c r="M3341" s="176"/>
      <c r="N3341" s="176"/>
      <c r="O3341" s="176"/>
      <c r="P3341" s="176"/>
      <c r="Q3341" s="176"/>
      <c r="R3341" s="176"/>
      <c r="S3341" s="176"/>
      <c r="T3341" s="176"/>
      <c r="U3341" s="176"/>
      <c r="V3341" s="176"/>
      <c r="W3341" s="176"/>
      <c r="X3341" s="176"/>
      <c r="Y3341" s="176"/>
    </row>
    <row r="3342" spans="1:25">
      <c r="A3342" s="91"/>
      <c r="B3342" s="176"/>
      <c r="C3342" s="176"/>
      <c r="D3342" s="176"/>
      <c r="E3342" s="176"/>
      <c r="F3342" s="176"/>
      <c r="G3342" s="176"/>
      <c r="H3342" s="176"/>
      <c r="I3342" s="176"/>
      <c r="J3342" s="176"/>
      <c r="K3342" s="176"/>
      <c r="L3342" s="176"/>
      <c r="M3342" s="176"/>
      <c r="N3342" s="176"/>
      <c r="O3342" s="176"/>
      <c r="P3342" s="176"/>
      <c r="Q3342" s="176"/>
      <c r="R3342" s="176"/>
      <c r="S3342" s="176"/>
      <c r="T3342" s="176"/>
      <c r="U3342" s="176"/>
      <c r="V3342" s="176"/>
      <c r="W3342" s="176"/>
      <c r="X3342" s="176"/>
      <c r="Y3342" s="176"/>
    </row>
    <row r="3343" spans="1:25">
      <c r="A3343" s="91"/>
      <c r="B3343" s="176"/>
      <c r="C3343" s="176"/>
      <c r="D3343" s="176"/>
      <c r="E3343" s="176"/>
      <c r="F3343" s="176"/>
      <c r="G3343" s="176"/>
      <c r="H3343" s="176"/>
      <c r="I3343" s="176"/>
      <c r="J3343" s="176"/>
      <c r="K3343" s="176"/>
      <c r="L3343" s="176"/>
      <c r="M3343" s="176"/>
      <c r="N3343" s="176"/>
      <c r="O3343" s="176"/>
      <c r="P3343" s="176"/>
      <c r="Q3343" s="176"/>
      <c r="R3343" s="176"/>
      <c r="S3343" s="176"/>
      <c r="T3343" s="176"/>
      <c r="U3343" s="176"/>
      <c r="V3343" s="176"/>
      <c r="W3343" s="176"/>
      <c r="X3343" s="176"/>
      <c r="Y3343" s="176"/>
    </row>
    <row r="3344" spans="1:25">
      <c r="A3344" s="91"/>
      <c r="B3344" s="176"/>
      <c r="C3344" s="176"/>
      <c r="D3344" s="176"/>
      <c r="E3344" s="176"/>
      <c r="F3344" s="176"/>
      <c r="G3344" s="176"/>
      <c r="H3344" s="176"/>
      <c r="I3344" s="176"/>
      <c r="J3344" s="176"/>
      <c r="K3344" s="176"/>
      <c r="L3344" s="176"/>
      <c r="M3344" s="176"/>
      <c r="N3344" s="176"/>
      <c r="O3344" s="176"/>
      <c r="P3344" s="176"/>
      <c r="Q3344" s="176"/>
      <c r="R3344" s="176"/>
      <c r="S3344" s="176"/>
      <c r="T3344" s="176"/>
      <c r="U3344" s="176"/>
      <c r="V3344" s="176"/>
      <c r="W3344" s="176"/>
      <c r="X3344" s="176"/>
      <c r="Y3344" s="176"/>
    </row>
    <row r="3345" spans="1:25">
      <c r="A3345" s="91"/>
      <c r="B3345" s="176"/>
      <c r="C3345" s="176"/>
      <c r="D3345" s="176"/>
      <c r="E3345" s="176"/>
      <c r="F3345" s="176"/>
      <c r="G3345" s="176"/>
      <c r="H3345" s="176"/>
      <c r="I3345" s="176"/>
      <c r="J3345" s="176"/>
      <c r="K3345" s="176"/>
      <c r="L3345" s="176"/>
      <c r="M3345" s="176"/>
      <c r="N3345" s="176"/>
      <c r="O3345" s="176"/>
      <c r="P3345" s="176"/>
      <c r="Q3345" s="176"/>
      <c r="R3345" s="176"/>
      <c r="S3345" s="176"/>
      <c r="T3345" s="176"/>
      <c r="U3345" s="176"/>
      <c r="V3345" s="176"/>
      <c r="W3345" s="176"/>
      <c r="X3345" s="176"/>
      <c r="Y3345" s="176"/>
    </row>
    <row r="3346" spans="1:25">
      <c r="A3346" s="91"/>
      <c r="B3346" s="176"/>
      <c r="C3346" s="176"/>
      <c r="D3346" s="176"/>
      <c r="E3346" s="176"/>
      <c r="F3346" s="176"/>
      <c r="G3346" s="176"/>
      <c r="H3346" s="176"/>
      <c r="I3346" s="176"/>
      <c r="J3346" s="176"/>
      <c r="K3346" s="176"/>
      <c r="L3346" s="176"/>
      <c r="M3346" s="176"/>
      <c r="N3346" s="176"/>
      <c r="O3346" s="176"/>
      <c r="P3346" s="176"/>
      <c r="Q3346" s="176"/>
      <c r="R3346" s="176"/>
      <c r="S3346" s="176"/>
      <c r="T3346" s="176"/>
      <c r="U3346" s="176"/>
      <c r="V3346" s="176"/>
      <c r="W3346" s="176"/>
      <c r="X3346" s="176"/>
      <c r="Y3346" s="176"/>
    </row>
    <row r="3347" spans="1:25">
      <c r="A3347" s="91"/>
      <c r="B3347" s="176"/>
      <c r="C3347" s="176"/>
      <c r="D3347" s="176"/>
      <c r="E3347" s="176"/>
      <c r="F3347" s="176"/>
      <c r="G3347" s="176"/>
      <c r="H3347" s="176"/>
      <c r="I3347" s="176"/>
      <c r="J3347" s="176"/>
      <c r="K3347" s="176"/>
      <c r="L3347" s="176"/>
      <c r="M3347" s="176"/>
      <c r="N3347" s="176"/>
      <c r="O3347" s="176"/>
      <c r="P3347" s="176"/>
      <c r="Q3347" s="176"/>
      <c r="R3347" s="176"/>
      <c r="S3347" s="176"/>
      <c r="T3347" s="176"/>
      <c r="U3347" s="176"/>
      <c r="V3347" s="176"/>
      <c r="W3347" s="176"/>
      <c r="X3347" s="176"/>
      <c r="Y3347" s="176"/>
    </row>
    <row r="3348" spans="1:25">
      <c r="A3348" s="91"/>
      <c r="B3348" s="176"/>
      <c r="C3348" s="176"/>
      <c r="D3348" s="176"/>
      <c r="E3348" s="176"/>
      <c r="F3348" s="176"/>
      <c r="G3348" s="176"/>
      <c r="H3348" s="176"/>
      <c r="I3348" s="176"/>
      <c r="J3348" s="176"/>
      <c r="K3348" s="176"/>
      <c r="L3348" s="176"/>
      <c r="M3348" s="176"/>
      <c r="N3348" s="176"/>
      <c r="O3348" s="176"/>
      <c r="P3348" s="176"/>
      <c r="Q3348" s="176"/>
      <c r="R3348" s="176"/>
      <c r="S3348" s="176"/>
      <c r="T3348" s="176"/>
      <c r="U3348" s="176"/>
      <c r="V3348" s="176"/>
      <c r="W3348" s="176"/>
      <c r="X3348" s="176"/>
      <c r="Y3348" s="176"/>
    </row>
    <row r="3349" spans="1:25">
      <c r="A3349" s="91"/>
      <c r="B3349" s="176"/>
      <c r="C3349" s="176"/>
      <c r="D3349" s="176"/>
      <c r="E3349" s="176"/>
      <c r="F3349" s="176"/>
      <c r="G3349" s="176"/>
      <c r="H3349" s="176"/>
      <c r="I3349" s="176"/>
      <c r="J3349" s="176"/>
      <c r="K3349" s="176"/>
      <c r="L3349" s="176"/>
      <c r="M3349" s="176"/>
      <c r="N3349" s="176"/>
      <c r="O3349" s="176"/>
      <c r="P3349" s="176"/>
      <c r="Q3349" s="176"/>
      <c r="R3349" s="176"/>
      <c r="S3349" s="176"/>
      <c r="T3349" s="176"/>
      <c r="U3349" s="176"/>
      <c r="V3349" s="176"/>
      <c r="W3349" s="176"/>
      <c r="X3349" s="176"/>
      <c r="Y3349" s="176"/>
    </row>
    <row r="3350" spans="1:25">
      <c r="A3350" s="91"/>
      <c r="B3350" s="176"/>
      <c r="C3350" s="176"/>
      <c r="D3350" s="176"/>
      <c r="E3350" s="176"/>
      <c r="F3350" s="176"/>
      <c r="G3350" s="176"/>
      <c r="H3350" s="176"/>
      <c r="I3350" s="176"/>
      <c r="J3350" s="176"/>
      <c r="K3350" s="176"/>
      <c r="L3350" s="176"/>
      <c r="M3350" s="176"/>
      <c r="N3350" s="176"/>
      <c r="O3350" s="176"/>
      <c r="P3350" s="176"/>
      <c r="Q3350" s="176"/>
      <c r="R3350" s="176"/>
      <c r="S3350" s="176"/>
      <c r="T3350" s="176"/>
      <c r="U3350" s="176"/>
      <c r="V3350" s="176"/>
      <c r="W3350" s="176"/>
      <c r="X3350" s="176"/>
      <c r="Y3350" s="176"/>
    </row>
    <row r="3351" spans="1:25">
      <c r="A3351" s="91"/>
      <c r="B3351" s="176"/>
      <c r="C3351" s="176"/>
      <c r="D3351" s="176"/>
      <c r="E3351" s="176"/>
      <c r="F3351" s="176"/>
      <c r="G3351" s="176"/>
      <c r="H3351" s="176"/>
      <c r="I3351" s="176"/>
      <c r="J3351" s="176"/>
      <c r="K3351" s="176"/>
      <c r="L3351" s="176"/>
      <c r="M3351" s="176"/>
      <c r="N3351" s="176"/>
      <c r="O3351" s="176"/>
      <c r="P3351" s="176"/>
      <c r="Q3351" s="176"/>
      <c r="R3351" s="176"/>
      <c r="S3351" s="176"/>
      <c r="T3351" s="176"/>
      <c r="U3351" s="176"/>
      <c r="V3351" s="176"/>
      <c r="W3351" s="176"/>
      <c r="X3351" s="176"/>
      <c r="Y3351" s="176"/>
    </row>
    <row r="3352" spans="1:25">
      <c r="A3352" s="91"/>
      <c r="B3352" s="176"/>
      <c r="C3352" s="176"/>
      <c r="D3352" s="176"/>
      <c r="E3352" s="176"/>
      <c r="F3352" s="176"/>
      <c r="G3352" s="176"/>
      <c r="H3352" s="176"/>
      <c r="I3352" s="176"/>
      <c r="J3352" s="176"/>
      <c r="K3352" s="176"/>
      <c r="L3352" s="176"/>
      <c r="M3352" s="176"/>
      <c r="N3352" s="176"/>
      <c r="O3352" s="176"/>
      <c r="P3352" s="176"/>
      <c r="Q3352" s="176"/>
      <c r="R3352" s="176"/>
      <c r="S3352" s="176"/>
      <c r="T3352" s="176"/>
      <c r="U3352" s="176"/>
      <c r="V3352" s="176"/>
      <c r="W3352" s="176"/>
      <c r="X3352" s="176"/>
      <c r="Y3352" s="176"/>
    </row>
    <row r="3353" spans="1:25">
      <c r="A3353" s="91"/>
      <c r="B3353" s="176"/>
      <c r="C3353" s="176"/>
      <c r="D3353" s="176"/>
      <c r="E3353" s="176"/>
      <c r="F3353" s="176"/>
      <c r="G3353" s="176"/>
      <c r="H3353" s="176"/>
      <c r="I3353" s="176"/>
      <c r="J3353" s="176"/>
      <c r="K3353" s="176"/>
      <c r="L3353" s="176"/>
      <c r="M3353" s="176"/>
      <c r="N3353" s="176"/>
      <c r="O3353" s="176"/>
      <c r="P3353" s="176"/>
      <c r="Q3353" s="176"/>
      <c r="R3353" s="176"/>
      <c r="S3353" s="176"/>
      <c r="T3353" s="176"/>
      <c r="U3353" s="176"/>
      <c r="V3353" s="176"/>
      <c r="W3353" s="176"/>
      <c r="X3353" s="176"/>
      <c r="Y3353" s="176"/>
    </row>
    <row r="3354" spans="1:25">
      <c r="A3354" s="91"/>
      <c r="B3354" s="176"/>
      <c r="C3354" s="176"/>
      <c r="D3354" s="176"/>
      <c r="E3354" s="176"/>
      <c r="F3354" s="176"/>
      <c r="G3354" s="176"/>
      <c r="H3354" s="176"/>
      <c r="I3354" s="176"/>
      <c r="J3354" s="176"/>
      <c r="K3354" s="176"/>
      <c r="L3354" s="176"/>
      <c r="M3354" s="176"/>
      <c r="N3354" s="176"/>
      <c r="O3354" s="176"/>
      <c r="P3354" s="176"/>
      <c r="Q3354" s="176"/>
      <c r="R3354" s="176"/>
      <c r="S3354" s="176"/>
      <c r="T3354" s="176"/>
      <c r="U3354" s="176"/>
      <c r="V3354" s="176"/>
      <c r="W3354" s="176"/>
      <c r="X3354" s="176"/>
      <c r="Y3354" s="176"/>
    </row>
    <row r="3355" spans="1:25">
      <c r="A3355" s="91"/>
      <c r="B3355" s="176"/>
      <c r="C3355" s="176"/>
      <c r="D3355" s="176"/>
      <c r="E3355" s="176"/>
      <c r="F3355" s="176"/>
      <c r="G3355" s="176"/>
      <c r="H3355" s="176"/>
      <c r="I3355" s="176"/>
      <c r="J3355" s="176"/>
      <c r="K3355" s="176"/>
      <c r="L3355" s="176"/>
      <c r="M3355" s="176"/>
      <c r="N3355" s="176"/>
      <c r="O3355" s="176"/>
      <c r="P3355" s="176"/>
      <c r="Q3355" s="176"/>
      <c r="R3355" s="176"/>
      <c r="S3355" s="176"/>
      <c r="T3355" s="176"/>
      <c r="U3355" s="176"/>
      <c r="V3355" s="176"/>
      <c r="W3355" s="176"/>
      <c r="X3355" s="176"/>
      <c r="Y3355" s="176"/>
    </row>
    <row r="3356" spans="1:25">
      <c r="A3356" s="91"/>
      <c r="B3356" s="176"/>
      <c r="C3356" s="176"/>
      <c r="D3356" s="176"/>
      <c r="E3356" s="176"/>
      <c r="F3356" s="176"/>
      <c r="G3356" s="176"/>
      <c r="H3356" s="176"/>
      <c r="I3356" s="176"/>
      <c r="J3356" s="176"/>
      <c r="K3356" s="176"/>
      <c r="L3356" s="176"/>
      <c r="M3356" s="176"/>
      <c r="N3356" s="176"/>
      <c r="O3356" s="176"/>
      <c r="P3356" s="176"/>
      <c r="Q3356" s="176"/>
      <c r="R3356" s="176"/>
      <c r="S3356" s="176"/>
      <c r="T3356" s="176"/>
      <c r="U3356" s="176"/>
      <c r="V3356" s="176"/>
      <c r="W3356" s="176"/>
      <c r="X3356" s="176"/>
      <c r="Y3356" s="176"/>
    </row>
    <row r="3357" spans="1:25">
      <c r="A3357" s="91"/>
      <c r="B3357" s="176"/>
      <c r="C3357" s="176"/>
      <c r="D3357" s="176"/>
      <c r="E3357" s="176"/>
      <c r="F3357" s="176"/>
      <c r="G3357" s="176"/>
      <c r="H3357" s="176"/>
      <c r="I3357" s="176"/>
      <c r="J3357" s="176"/>
      <c r="K3357" s="176"/>
      <c r="L3357" s="176"/>
      <c r="M3357" s="176"/>
      <c r="N3357" s="176"/>
      <c r="O3357" s="176"/>
      <c r="P3357" s="176"/>
      <c r="Q3357" s="176"/>
      <c r="R3357" s="176"/>
      <c r="S3357" s="176"/>
      <c r="T3357" s="176"/>
      <c r="U3357" s="176"/>
      <c r="V3357" s="176"/>
      <c r="W3357" s="176"/>
      <c r="X3357" s="176"/>
      <c r="Y3357" s="176"/>
    </row>
    <row r="3358" spans="1:25">
      <c r="A3358" s="91"/>
      <c r="B3358" s="176"/>
      <c r="C3358" s="176"/>
      <c r="D3358" s="176"/>
      <c r="E3358" s="176"/>
      <c r="F3358" s="176"/>
      <c r="G3358" s="176"/>
      <c r="H3358" s="176"/>
      <c r="I3358" s="176"/>
      <c r="J3358" s="176"/>
      <c r="K3358" s="176"/>
      <c r="L3358" s="176"/>
      <c r="M3358" s="176"/>
      <c r="N3358" s="176"/>
      <c r="O3358" s="176"/>
      <c r="P3358" s="176"/>
      <c r="Q3358" s="176"/>
      <c r="R3358" s="176"/>
      <c r="S3358" s="176"/>
      <c r="T3358" s="176"/>
      <c r="U3358" s="176"/>
      <c r="V3358" s="176"/>
      <c r="W3358" s="176"/>
      <c r="X3358" s="176"/>
      <c r="Y3358" s="176"/>
    </row>
    <row r="3359" spans="1:25">
      <c r="A3359" s="91"/>
      <c r="B3359" s="176"/>
      <c r="C3359" s="176"/>
      <c r="D3359" s="176"/>
      <c r="E3359" s="176"/>
      <c r="F3359" s="176"/>
      <c r="G3359" s="176"/>
      <c r="H3359" s="176"/>
      <c r="I3359" s="176"/>
      <c r="J3359" s="176"/>
      <c r="K3359" s="176"/>
      <c r="L3359" s="176"/>
      <c r="M3359" s="176"/>
      <c r="N3359" s="176"/>
      <c r="O3359" s="176"/>
      <c r="P3359" s="176"/>
      <c r="Q3359" s="176"/>
      <c r="R3359" s="176"/>
      <c r="S3359" s="176"/>
      <c r="T3359" s="176"/>
      <c r="U3359" s="176"/>
      <c r="V3359" s="176"/>
      <c r="W3359" s="176"/>
      <c r="X3359" s="176"/>
      <c r="Y3359" s="176"/>
    </row>
    <row r="3360" spans="1:25">
      <c r="A3360" s="91"/>
      <c r="B3360" s="176"/>
      <c r="C3360" s="176"/>
      <c r="D3360" s="176"/>
      <c r="E3360" s="176"/>
      <c r="F3360" s="176"/>
      <c r="G3360" s="176"/>
      <c r="H3360" s="176"/>
      <c r="I3360" s="176"/>
      <c r="J3360" s="176"/>
      <c r="K3360" s="176"/>
      <c r="L3360" s="176"/>
      <c r="M3360" s="176"/>
      <c r="N3360" s="176"/>
      <c r="O3360" s="176"/>
      <c r="P3360" s="176"/>
      <c r="Q3360" s="176"/>
      <c r="R3360" s="176"/>
      <c r="S3360" s="176"/>
      <c r="T3360" s="176"/>
      <c r="U3360" s="176"/>
      <c r="V3360" s="176"/>
      <c r="W3360" s="176"/>
      <c r="X3360" s="176"/>
      <c r="Y3360" s="176"/>
    </row>
    <row r="3361" spans="1:25">
      <c r="A3361" s="91"/>
      <c r="B3361" s="176"/>
      <c r="C3361" s="176"/>
      <c r="D3361" s="176"/>
      <c r="E3361" s="176"/>
      <c r="F3361" s="176"/>
      <c r="G3361" s="176"/>
      <c r="H3361" s="176"/>
      <c r="I3361" s="176"/>
      <c r="J3361" s="176"/>
      <c r="K3361" s="176"/>
      <c r="L3361" s="176"/>
      <c r="M3361" s="176"/>
      <c r="N3361" s="176"/>
      <c r="O3361" s="176"/>
      <c r="P3361" s="176"/>
      <c r="Q3361" s="176"/>
      <c r="R3361" s="176"/>
      <c r="S3361" s="176"/>
      <c r="T3361" s="176"/>
      <c r="U3361" s="176"/>
      <c r="V3361" s="176"/>
      <c r="W3361" s="176"/>
      <c r="X3361" s="176"/>
      <c r="Y3361" s="176"/>
    </row>
    <row r="3362" spans="1:25">
      <c r="A3362" s="91"/>
      <c r="B3362" s="176"/>
      <c r="C3362" s="176"/>
      <c r="D3362" s="176"/>
      <c r="E3362" s="176"/>
      <c r="F3362" s="176"/>
      <c r="G3362" s="176"/>
      <c r="H3362" s="176"/>
      <c r="I3362" s="176"/>
      <c r="J3362" s="176"/>
      <c r="K3362" s="176"/>
      <c r="L3362" s="176"/>
      <c r="M3362" s="176"/>
      <c r="N3362" s="176"/>
      <c r="O3362" s="176"/>
      <c r="P3362" s="176"/>
      <c r="Q3362" s="176"/>
      <c r="R3362" s="176"/>
      <c r="S3362" s="176"/>
      <c r="T3362" s="176"/>
      <c r="U3362" s="176"/>
      <c r="V3362" s="176"/>
      <c r="W3362" s="176"/>
      <c r="X3362" s="176"/>
      <c r="Y3362" s="176"/>
    </row>
    <row r="3363" spans="1:25">
      <c r="A3363" s="91"/>
      <c r="B3363" s="176"/>
      <c r="C3363" s="176"/>
      <c r="D3363" s="176"/>
      <c r="E3363" s="176"/>
      <c r="F3363" s="176"/>
      <c r="G3363" s="176"/>
      <c r="H3363" s="176"/>
      <c r="I3363" s="176"/>
      <c r="J3363" s="176"/>
      <c r="K3363" s="176"/>
      <c r="L3363" s="176"/>
      <c r="M3363" s="176"/>
      <c r="N3363" s="176"/>
      <c r="O3363" s="176"/>
      <c r="P3363" s="176"/>
      <c r="Q3363" s="176"/>
      <c r="R3363" s="176"/>
      <c r="S3363" s="176"/>
      <c r="T3363" s="176"/>
      <c r="U3363" s="176"/>
      <c r="V3363" s="176"/>
      <c r="W3363" s="176"/>
      <c r="X3363" s="176"/>
      <c r="Y3363" s="176"/>
    </row>
    <row r="3364" spans="1:25">
      <c r="A3364" s="91"/>
      <c r="B3364" s="176"/>
      <c r="C3364" s="176"/>
      <c r="D3364" s="176"/>
      <c r="E3364" s="176"/>
      <c r="F3364" s="176"/>
      <c r="G3364" s="176"/>
      <c r="H3364" s="176"/>
      <c r="I3364" s="176"/>
      <c r="J3364" s="176"/>
      <c r="K3364" s="176"/>
      <c r="L3364" s="176"/>
      <c r="M3364" s="176"/>
      <c r="N3364" s="176"/>
      <c r="O3364" s="176"/>
      <c r="P3364" s="176"/>
      <c r="Q3364" s="176"/>
      <c r="R3364" s="176"/>
      <c r="S3364" s="176"/>
      <c r="T3364" s="176"/>
      <c r="U3364" s="176"/>
      <c r="V3364" s="176"/>
      <c r="W3364" s="176"/>
      <c r="X3364" s="176"/>
      <c r="Y3364" s="176"/>
    </row>
    <row r="3365" spans="1:25">
      <c r="A3365" s="91"/>
      <c r="B3365" s="176"/>
      <c r="C3365" s="176"/>
      <c r="D3365" s="176"/>
      <c r="E3365" s="176"/>
      <c r="F3365" s="176"/>
      <c r="G3365" s="176"/>
      <c r="H3365" s="176"/>
      <c r="I3365" s="176"/>
      <c r="J3365" s="176"/>
      <c r="K3365" s="176"/>
      <c r="L3365" s="176"/>
      <c r="M3365" s="176"/>
      <c r="N3365" s="176"/>
      <c r="O3365" s="176"/>
      <c r="P3365" s="176"/>
      <c r="Q3365" s="176"/>
      <c r="R3365" s="176"/>
      <c r="S3365" s="176"/>
      <c r="T3365" s="176"/>
      <c r="U3365" s="176"/>
      <c r="V3365" s="176"/>
      <c r="W3365" s="176"/>
      <c r="X3365" s="176"/>
      <c r="Y3365" s="176"/>
    </row>
    <row r="3366" spans="1:25">
      <c r="A3366" s="91"/>
      <c r="B3366" s="176"/>
      <c r="C3366" s="176"/>
      <c r="D3366" s="176"/>
      <c r="E3366" s="176"/>
      <c r="F3366" s="176"/>
      <c r="G3366" s="176"/>
      <c r="H3366" s="176"/>
      <c r="I3366" s="176"/>
      <c r="J3366" s="176"/>
      <c r="K3366" s="176"/>
      <c r="L3366" s="176"/>
      <c r="M3366" s="176"/>
      <c r="N3366" s="176"/>
      <c r="O3366" s="176"/>
      <c r="P3366" s="176"/>
      <c r="Q3366" s="176"/>
      <c r="R3366" s="176"/>
      <c r="S3366" s="176"/>
      <c r="T3366" s="176"/>
      <c r="U3366" s="176"/>
      <c r="V3366" s="176"/>
      <c r="W3366" s="176"/>
      <c r="X3366" s="176"/>
      <c r="Y3366" s="176"/>
    </row>
    <row r="3367" spans="1:25">
      <c r="A3367" s="91"/>
      <c r="B3367" s="176"/>
      <c r="C3367" s="176"/>
      <c r="D3367" s="176"/>
      <c r="E3367" s="176"/>
      <c r="F3367" s="176"/>
      <c r="G3367" s="176"/>
      <c r="H3367" s="176"/>
      <c r="I3367" s="176"/>
      <c r="J3367" s="176"/>
      <c r="K3367" s="176"/>
      <c r="L3367" s="176"/>
      <c r="M3367" s="176"/>
      <c r="N3367" s="176"/>
      <c r="O3367" s="176"/>
      <c r="P3367" s="176"/>
      <c r="Q3367" s="176"/>
      <c r="R3367" s="176"/>
      <c r="S3367" s="176"/>
      <c r="T3367" s="176"/>
      <c r="U3367" s="176"/>
      <c r="V3367" s="176"/>
      <c r="W3367" s="176"/>
      <c r="X3367" s="176"/>
      <c r="Y3367" s="176"/>
    </row>
    <row r="3368" spans="1:25">
      <c r="A3368" s="91"/>
      <c r="B3368" s="176"/>
      <c r="C3368" s="176"/>
      <c r="D3368" s="176"/>
      <c r="E3368" s="176"/>
      <c r="F3368" s="176"/>
      <c r="G3368" s="176"/>
      <c r="H3368" s="176"/>
      <c r="I3368" s="176"/>
      <c r="J3368" s="176"/>
      <c r="K3368" s="176"/>
      <c r="L3368" s="176"/>
      <c r="M3368" s="176"/>
      <c r="N3368" s="176"/>
      <c r="O3368" s="176"/>
      <c r="P3368" s="176"/>
      <c r="Q3368" s="176"/>
      <c r="R3368" s="176"/>
      <c r="S3368" s="176"/>
      <c r="T3368" s="176"/>
      <c r="U3368" s="176"/>
      <c r="V3368" s="176"/>
      <c r="W3368" s="176"/>
      <c r="X3368" s="176"/>
      <c r="Y3368" s="176"/>
    </row>
    <row r="3369" spans="1:25">
      <c r="A3369" s="91"/>
      <c r="B3369" s="176"/>
      <c r="C3369" s="176"/>
      <c r="D3369" s="176"/>
      <c r="E3369" s="176"/>
      <c r="F3369" s="176"/>
      <c r="G3369" s="176"/>
      <c r="H3369" s="176"/>
      <c r="I3369" s="176"/>
      <c r="J3369" s="176"/>
      <c r="K3369" s="176"/>
      <c r="L3369" s="176"/>
      <c r="M3369" s="176"/>
      <c r="N3369" s="176"/>
      <c r="O3369" s="176"/>
      <c r="P3369" s="176"/>
      <c r="Q3369" s="176"/>
      <c r="R3369" s="176"/>
      <c r="S3369" s="176"/>
      <c r="T3369" s="176"/>
      <c r="U3369" s="176"/>
      <c r="V3369" s="176"/>
      <c r="W3369" s="176"/>
      <c r="X3369" s="176"/>
      <c r="Y3369" s="176"/>
    </row>
    <row r="3370" spans="1:25">
      <c r="A3370" s="91"/>
      <c r="B3370" s="176"/>
      <c r="C3370" s="176"/>
      <c r="D3370" s="176"/>
      <c r="E3370" s="176"/>
      <c r="F3370" s="176"/>
      <c r="G3370" s="176"/>
      <c r="H3370" s="176"/>
      <c r="I3370" s="176"/>
      <c r="J3370" s="176"/>
      <c r="K3370" s="176"/>
      <c r="L3370" s="176"/>
      <c r="M3370" s="176"/>
      <c r="N3370" s="176"/>
      <c r="O3370" s="176"/>
      <c r="P3370" s="176"/>
      <c r="Q3370" s="176"/>
      <c r="R3370" s="176"/>
      <c r="S3370" s="176"/>
      <c r="T3370" s="176"/>
      <c r="U3370" s="176"/>
      <c r="V3370" s="176"/>
      <c r="W3370" s="176"/>
      <c r="X3370" s="176"/>
      <c r="Y3370" s="176"/>
    </row>
    <row r="3371" spans="1:25">
      <c r="A3371" s="91"/>
      <c r="B3371" s="176"/>
      <c r="C3371" s="176"/>
      <c r="D3371" s="176"/>
      <c r="E3371" s="176"/>
      <c r="F3371" s="176"/>
      <c r="G3371" s="176"/>
      <c r="H3371" s="176"/>
      <c r="I3371" s="176"/>
      <c r="J3371" s="176"/>
      <c r="K3371" s="176"/>
      <c r="L3371" s="176"/>
      <c r="M3371" s="176"/>
      <c r="N3371" s="176"/>
      <c r="O3371" s="176"/>
      <c r="P3371" s="176"/>
      <c r="Q3371" s="176"/>
      <c r="R3371" s="176"/>
      <c r="S3371" s="176"/>
      <c r="T3371" s="176"/>
      <c r="U3371" s="176"/>
      <c r="V3371" s="176"/>
      <c r="W3371" s="176"/>
      <c r="X3371" s="176"/>
      <c r="Y3371" s="176"/>
    </row>
    <row r="3372" spans="1:25">
      <c r="A3372" s="91"/>
      <c r="B3372" s="176"/>
      <c r="C3372" s="176"/>
      <c r="D3372" s="176"/>
      <c r="E3372" s="176"/>
      <c r="F3372" s="176"/>
      <c r="G3372" s="176"/>
      <c r="H3372" s="176"/>
      <c r="I3372" s="176"/>
      <c r="J3372" s="176"/>
      <c r="K3372" s="176"/>
      <c r="L3372" s="176"/>
      <c r="M3372" s="176"/>
      <c r="N3372" s="176"/>
      <c r="O3372" s="176"/>
      <c r="P3372" s="176"/>
      <c r="Q3372" s="176"/>
      <c r="R3372" s="176"/>
      <c r="S3372" s="176"/>
      <c r="T3372" s="176"/>
      <c r="U3372" s="176"/>
      <c r="V3372" s="176"/>
      <c r="W3372" s="176"/>
      <c r="X3372" s="176"/>
      <c r="Y3372" s="176"/>
    </row>
    <row r="3373" spans="1:25">
      <c r="A3373" s="91"/>
      <c r="B3373" s="176"/>
      <c r="C3373" s="176"/>
      <c r="D3373" s="176"/>
      <c r="E3373" s="176"/>
      <c r="F3373" s="176"/>
      <c r="G3373" s="176"/>
      <c r="H3373" s="176"/>
      <c r="I3373" s="176"/>
      <c r="J3373" s="176"/>
      <c r="K3373" s="176"/>
      <c r="L3373" s="176"/>
      <c r="M3373" s="176"/>
      <c r="N3373" s="176"/>
      <c r="O3373" s="176"/>
      <c r="P3373" s="176"/>
      <c r="Q3373" s="176"/>
      <c r="R3373" s="176"/>
      <c r="S3373" s="176"/>
      <c r="T3373" s="176"/>
      <c r="U3373" s="176"/>
      <c r="V3373" s="176"/>
      <c r="W3373" s="176"/>
      <c r="X3373" s="176"/>
      <c r="Y3373" s="176"/>
    </row>
    <row r="3374" spans="1:25">
      <c r="A3374" s="91"/>
      <c r="B3374" s="176"/>
      <c r="C3374" s="176"/>
      <c r="D3374" s="176"/>
      <c r="E3374" s="176"/>
      <c r="F3374" s="176"/>
      <c r="G3374" s="176"/>
      <c r="H3374" s="176"/>
      <c r="I3374" s="176"/>
      <c r="J3374" s="176"/>
      <c r="K3374" s="176"/>
      <c r="L3374" s="176"/>
      <c r="M3374" s="176"/>
      <c r="N3374" s="176"/>
      <c r="O3374" s="176"/>
      <c r="P3374" s="176"/>
      <c r="Q3374" s="176"/>
      <c r="R3374" s="176"/>
      <c r="S3374" s="176"/>
      <c r="T3374" s="176"/>
      <c r="U3374" s="176"/>
      <c r="V3374" s="176"/>
      <c r="W3374" s="176"/>
      <c r="X3374" s="176"/>
      <c r="Y3374" s="176"/>
    </row>
    <row r="3375" spans="1:25">
      <c r="A3375" s="91"/>
      <c r="B3375" s="176"/>
      <c r="C3375" s="176"/>
      <c r="D3375" s="176"/>
      <c r="E3375" s="176"/>
      <c r="F3375" s="176"/>
      <c r="G3375" s="176"/>
      <c r="H3375" s="176"/>
      <c r="I3375" s="176"/>
      <c r="J3375" s="176"/>
      <c r="K3375" s="176"/>
      <c r="L3375" s="176"/>
      <c r="M3375" s="176"/>
      <c r="N3375" s="176"/>
      <c r="O3375" s="176"/>
      <c r="P3375" s="176"/>
      <c r="Q3375" s="176"/>
      <c r="R3375" s="176"/>
      <c r="S3375" s="176"/>
      <c r="T3375" s="176"/>
      <c r="U3375" s="176"/>
      <c r="V3375" s="176"/>
      <c r="W3375" s="176"/>
      <c r="X3375" s="176"/>
      <c r="Y3375" s="176"/>
    </row>
    <row r="3376" spans="1:25">
      <c r="A3376" s="91"/>
      <c r="B3376" s="176"/>
      <c r="C3376" s="176"/>
      <c r="D3376" s="176"/>
      <c r="E3376" s="176"/>
      <c r="F3376" s="176"/>
      <c r="G3376" s="176"/>
      <c r="H3376" s="176"/>
      <c r="I3376" s="176"/>
      <c r="J3376" s="176"/>
      <c r="K3376" s="176"/>
      <c r="L3376" s="176"/>
      <c r="M3376" s="176"/>
      <c r="N3376" s="176"/>
      <c r="O3376" s="176"/>
      <c r="P3376" s="176"/>
      <c r="Q3376" s="176"/>
      <c r="R3376" s="176"/>
      <c r="S3376" s="176"/>
      <c r="T3376" s="176"/>
      <c r="U3376" s="176"/>
      <c r="V3376" s="176"/>
      <c r="W3376" s="176"/>
      <c r="X3376" s="176"/>
      <c r="Y3376" s="176"/>
    </row>
    <row r="3377" spans="1:25">
      <c r="A3377" s="91"/>
      <c r="B3377" s="176"/>
      <c r="C3377" s="176"/>
      <c r="D3377" s="176"/>
      <c r="E3377" s="176"/>
      <c r="F3377" s="176"/>
      <c r="G3377" s="176"/>
      <c r="H3377" s="176"/>
      <c r="I3377" s="176"/>
      <c r="J3377" s="176"/>
      <c r="K3377" s="176"/>
      <c r="L3377" s="176"/>
      <c r="M3377" s="176"/>
      <c r="N3377" s="176"/>
      <c r="O3377" s="176"/>
      <c r="P3377" s="176"/>
      <c r="Q3377" s="176"/>
      <c r="R3377" s="176"/>
      <c r="S3377" s="176"/>
      <c r="T3377" s="176"/>
      <c r="U3377" s="176"/>
      <c r="V3377" s="176"/>
      <c r="W3377" s="176"/>
      <c r="X3377" s="176"/>
      <c r="Y3377" s="176"/>
    </row>
    <row r="3378" spans="1:25">
      <c r="A3378" s="91"/>
      <c r="B3378" s="176"/>
      <c r="C3378" s="176"/>
      <c r="D3378" s="176"/>
      <c r="E3378" s="176"/>
      <c r="F3378" s="176"/>
      <c r="G3378" s="176"/>
      <c r="H3378" s="176"/>
      <c r="I3378" s="176"/>
      <c r="J3378" s="176"/>
      <c r="K3378" s="176"/>
      <c r="L3378" s="176"/>
      <c r="M3378" s="176"/>
      <c r="N3378" s="176"/>
      <c r="O3378" s="176"/>
      <c r="P3378" s="176"/>
      <c r="Q3378" s="176"/>
      <c r="R3378" s="176"/>
      <c r="S3378" s="176"/>
      <c r="T3378" s="176"/>
      <c r="U3378" s="176"/>
      <c r="V3378" s="176"/>
      <c r="W3378" s="176"/>
      <c r="X3378" s="176"/>
      <c r="Y3378" s="176"/>
    </row>
    <row r="3379" spans="1:25">
      <c r="A3379" s="91"/>
      <c r="B3379" s="176"/>
      <c r="C3379" s="176"/>
      <c r="D3379" s="176"/>
      <c r="E3379" s="176"/>
      <c r="F3379" s="176"/>
      <c r="G3379" s="176"/>
      <c r="H3379" s="176"/>
      <c r="I3379" s="176"/>
      <c r="J3379" s="176"/>
      <c r="K3379" s="176"/>
      <c r="L3379" s="176"/>
      <c r="M3379" s="176"/>
      <c r="N3379" s="176"/>
      <c r="O3379" s="176"/>
      <c r="P3379" s="176"/>
      <c r="Q3379" s="176"/>
      <c r="R3379" s="176"/>
      <c r="S3379" s="176"/>
      <c r="T3379" s="176"/>
      <c r="U3379" s="176"/>
      <c r="V3379" s="176"/>
      <c r="W3379" s="176"/>
      <c r="X3379" s="176"/>
      <c r="Y3379" s="176"/>
    </row>
    <row r="3380" spans="1:25">
      <c r="A3380" s="91"/>
      <c r="B3380" s="176"/>
      <c r="C3380" s="176"/>
      <c r="D3380" s="176"/>
      <c r="E3380" s="176"/>
      <c r="F3380" s="176"/>
      <c r="G3380" s="176"/>
      <c r="H3380" s="176"/>
      <c r="I3380" s="176"/>
      <c r="J3380" s="176"/>
      <c r="K3380" s="176"/>
      <c r="L3380" s="176"/>
      <c r="M3380" s="176"/>
      <c r="N3380" s="176"/>
      <c r="O3380" s="176"/>
      <c r="P3380" s="176"/>
      <c r="Q3380" s="176"/>
      <c r="R3380" s="176"/>
      <c r="S3380" s="176"/>
      <c r="T3380" s="176"/>
      <c r="U3380" s="176"/>
      <c r="V3380" s="176"/>
      <c r="W3380" s="176"/>
      <c r="X3380" s="176"/>
      <c r="Y3380" s="176"/>
    </row>
    <row r="3381" spans="1:25">
      <c r="A3381" s="91"/>
      <c r="B3381" s="176"/>
      <c r="C3381" s="176"/>
      <c r="D3381" s="176"/>
      <c r="E3381" s="176"/>
      <c r="F3381" s="176"/>
      <c r="G3381" s="176"/>
      <c r="H3381" s="176"/>
      <c r="I3381" s="176"/>
      <c r="J3381" s="176"/>
      <c r="K3381" s="176"/>
      <c r="L3381" s="176"/>
      <c r="M3381" s="176"/>
      <c r="N3381" s="176"/>
      <c r="O3381" s="176"/>
      <c r="P3381" s="176"/>
      <c r="Q3381" s="176"/>
      <c r="R3381" s="176"/>
      <c r="S3381" s="176"/>
      <c r="T3381" s="176"/>
      <c r="U3381" s="176"/>
      <c r="V3381" s="176"/>
      <c r="W3381" s="176"/>
      <c r="X3381" s="176"/>
      <c r="Y3381" s="176"/>
    </row>
    <row r="3382" spans="1:25">
      <c r="A3382" s="91"/>
      <c r="B3382" s="176"/>
      <c r="C3382" s="176"/>
      <c r="D3382" s="176"/>
      <c r="E3382" s="176"/>
      <c r="F3382" s="176"/>
      <c r="G3382" s="176"/>
      <c r="H3382" s="176"/>
      <c r="I3382" s="176"/>
      <c r="J3382" s="176"/>
      <c r="K3382" s="176"/>
      <c r="L3382" s="176"/>
      <c r="M3382" s="176"/>
      <c r="N3382" s="176"/>
      <c r="O3382" s="176"/>
      <c r="P3382" s="176"/>
      <c r="Q3382" s="176"/>
      <c r="R3382" s="176"/>
      <c r="S3382" s="176"/>
      <c r="T3382" s="176"/>
      <c r="U3382" s="176"/>
      <c r="V3382" s="176"/>
      <c r="W3382" s="176"/>
      <c r="X3382" s="176"/>
      <c r="Y3382" s="176"/>
    </row>
    <row r="3383" spans="1:25">
      <c r="A3383" s="91"/>
      <c r="B3383" s="176"/>
      <c r="C3383" s="176"/>
      <c r="D3383" s="176"/>
      <c r="E3383" s="176"/>
      <c r="F3383" s="176"/>
      <c r="G3383" s="176"/>
      <c r="H3383" s="176"/>
      <c r="I3383" s="176"/>
      <c r="J3383" s="176"/>
      <c r="K3383" s="176"/>
      <c r="L3383" s="176"/>
      <c r="M3383" s="176"/>
      <c r="N3383" s="176"/>
      <c r="O3383" s="176"/>
      <c r="P3383" s="176"/>
      <c r="Q3383" s="176"/>
      <c r="R3383" s="176"/>
      <c r="S3383" s="176"/>
      <c r="T3383" s="176"/>
      <c r="U3383" s="176"/>
      <c r="V3383" s="176"/>
      <c r="W3383" s="176"/>
      <c r="X3383" s="176"/>
      <c r="Y3383" s="176"/>
    </row>
    <row r="3384" spans="1:25">
      <c r="A3384" s="91"/>
      <c r="B3384" s="176"/>
      <c r="C3384" s="176"/>
      <c r="D3384" s="176"/>
      <c r="E3384" s="176"/>
      <c r="F3384" s="176"/>
      <c r="G3384" s="176"/>
      <c r="H3384" s="176"/>
      <c r="I3384" s="176"/>
      <c r="J3384" s="176"/>
      <c r="K3384" s="176"/>
      <c r="L3384" s="176"/>
      <c r="M3384" s="176"/>
      <c r="N3384" s="176"/>
      <c r="O3384" s="176"/>
      <c r="P3384" s="176"/>
      <c r="Q3384" s="176"/>
      <c r="R3384" s="176"/>
      <c r="S3384" s="176"/>
      <c r="T3384" s="176"/>
      <c r="U3384" s="176"/>
      <c r="V3384" s="176"/>
      <c r="W3384" s="176"/>
      <c r="X3384" s="176"/>
      <c r="Y3384" s="176"/>
    </row>
    <row r="3385" spans="1:25">
      <c r="A3385" s="91"/>
      <c r="B3385" s="176"/>
      <c r="C3385" s="176"/>
      <c r="D3385" s="176"/>
      <c r="E3385" s="176"/>
      <c r="F3385" s="176"/>
      <c r="G3385" s="176"/>
      <c r="H3385" s="176"/>
      <c r="I3385" s="176"/>
      <c r="J3385" s="176"/>
      <c r="K3385" s="176"/>
      <c r="L3385" s="176"/>
      <c r="M3385" s="176"/>
      <c r="N3385" s="176"/>
      <c r="O3385" s="176"/>
      <c r="P3385" s="176"/>
      <c r="Q3385" s="176"/>
      <c r="R3385" s="176"/>
      <c r="S3385" s="176"/>
      <c r="T3385" s="176"/>
      <c r="U3385" s="176"/>
      <c r="V3385" s="176"/>
      <c r="W3385" s="176"/>
      <c r="X3385" s="176"/>
      <c r="Y3385" s="176"/>
    </row>
    <row r="3386" spans="1:25">
      <c r="A3386" s="91"/>
      <c r="B3386" s="176"/>
      <c r="C3386" s="176"/>
      <c r="D3386" s="176"/>
      <c r="E3386" s="176"/>
      <c r="F3386" s="176"/>
      <c r="G3386" s="176"/>
      <c r="H3386" s="176"/>
      <c r="I3386" s="176"/>
      <c r="J3386" s="176"/>
      <c r="K3386" s="176"/>
      <c r="L3386" s="176"/>
      <c r="M3386" s="176"/>
      <c r="N3386" s="176"/>
      <c r="O3386" s="176"/>
      <c r="P3386" s="176"/>
      <c r="Q3386" s="176"/>
      <c r="R3386" s="176"/>
      <c r="S3386" s="176"/>
      <c r="T3386" s="176"/>
      <c r="U3386" s="176"/>
      <c r="V3386" s="176"/>
      <c r="W3386" s="176"/>
      <c r="X3386" s="176"/>
      <c r="Y3386" s="176"/>
    </row>
    <row r="3387" spans="1:25">
      <c r="A3387" s="91"/>
      <c r="B3387" s="176"/>
      <c r="C3387" s="176"/>
      <c r="D3387" s="176"/>
      <c r="E3387" s="176"/>
      <c r="F3387" s="176"/>
      <c r="G3387" s="176"/>
      <c r="H3387" s="176"/>
      <c r="I3387" s="176"/>
      <c r="J3387" s="176"/>
      <c r="K3387" s="176"/>
      <c r="L3387" s="176"/>
      <c r="M3387" s="176"/>
      <c r="N3387" s="176"/>
      <c r="O3387" s="176"/>
      <c r="P3387" s="176"/>
      <c r="Q3387" s="176"/>
      <c r="R3387" s="176"/>
      <c r="S3387" s="176"/>
      <c r="T3387" s="176"/>
      <c r="U3387" s="176"/>
      <c r="V3387" s="176"/>
      <c r="W3387" s="176"/>
      <c r="X3387" s="176"/>
      <c r="Y3387" s="176"/>
    </row>
    <row r="3388" spans="1:25">
      <c r="A3388" s="91"/>
      <c r="B3388" s="176"/>
      <c r="C3388" s="176"/>
      <c r="D3388" s="176"/>
      <c r="E3388" s="176"/>
      <c r="F3388" s="176"/>
      <c r="G3388" s="176"/>
      <c r="H3388" s="176"/>
      <c r="I3388" s="176"/>
      <c r="J3388" s="176"/>
      <c r="K3388" s="176"/>
      <c r="L3388" s="176"/>
      <c r="M3388" s="176"/>
      <c r="N3388" s="176"/>
      <c r="O3388" s="176"/>
      <c r="P3388" s="176"/>
      <c r="Q3388" s="176"/>
      <c r="R3388" s="176"/>
      <c r="S3388" s="176"/>
      <c r="T3388" s="176"/>
      <c r="U3388" s="176"/>
      <c r="V3388" s="176"/>
      <c r="W3388" s="176"/>
      <c r="X3388" s="176"/>
      <c r="Y3388" s="176"/>
    </row>
    <row r="3389" spans="1:25">
      <c r="A3389" s="91"/>
      <c r="B3389" s="176"/>
      <c r="C3389" s="176"/>
      <c r="D3389" s="176"/>
      <c r="E3389" s="176"/>
      <c r="F3389" s="176"/>
      <c r="G3389" s="176"/>
      <c r="H3389" s="176"/>
      <c r="I3389" s="176"/>
      <c r="J3389" s="176"/>
      <c r="K3389" s="176"/>
      <c r="L3389" s="176"/>
      <c r="M3389" s="176"/>
      <c r="N3389" s="176"/>
      <c r="O3389" s="176"/>
      <c r="P3389" s="176"/>
      <c r="Q3389" s="176"/>
      <c r="R3389" s="176"/>
      <c r="S3389" s="176"/>
      <c r="T3389" s="176"/>
      <c r="U3389" s="176"/>
      <c r="V3389" s="176"/>
      <c r="W3389" s="176"/>
      <c r="X3389" s="176"/>
      <c r="Y3389" s="176"/>
    </row>
    <row r="3390" spans="1:25">
      <c r="A3390" s="91"/>
      <c r="B3390" s="176"/>
      <c r="C3390" s="176"/>
      <c r="D3390" s="176"/>
      <c r="E3390" s="176"/>
      <c r="F3390" s="176"/>
      <c r="G3390" s="176"/>
      <c r="H3390" s="176"/>
      <c r="I3390" s="176"/>
      <c r="J3390" s="176"/>
      <c r="K3390" s="176"/>
      <c r="L3390" s="176"/>
      <c r="M3390" s="176"/>
      <c r="N3390" s="176"/>
      <c r="O3390" s="176"/>
      <c r="P3390" s="176"/>
      <c r="Q3390" s="176"/>
      <c r="R3390" s="176"/>
      <c r="S3390" s="176"/>
      <c r="T3390" s="176"/>
      <c r="U3390" s="176"/>
      <c r="V3390" s="176"/>
      <c r="W3390" s="176"/>
      <c r="X3390" s="176"/>
      <c r="Y3390" s="176"/>
    </row>
    <row r="3391" spans="1:25">
      <c r="A3391" s="91"/>
      <c r="B3391" s="176"/>
      <c r="C3391" s="176"/>
      <c r="D3391" s="176"/>
      <c r="E3391" s="176"/>
      <c r="F3391" s="176"/>
      <c r="G3391" s="176"/>
      <c r="H3391" s="176"/>
      <c r="I3391" s="176"/>
      <c r="J3391" s="176"/>
      <c r="K3391" s="176"/>
      <c r="L3391" s="176"/>
      <c r="M3391" s="176"/>
      <c r="N3391" s="176"/>
      <c r="O3391" s="176"/>
      <c r="P3391" s="176"/>
      <c r="Q3391" s="176"/>
      <c r="R3391" s="176"/>
      <c r="S3391" s="176"/>
      <c r="T3391" s="176"/>
      <c r="U3391" s="176"/>
      <c r="V3391" s="176"/>
      <c r="W3391" s="176"/>
      <c r="X3391" s="176"/>
      <c r="Y3391" s="176"/>
    </row>
    <row r="3392" spans="1:25">
      <c r="A3392" s="91"/>
      <c r="B3392" s="176"/>
      <c r="C3392" s="176"/>
      <c r="D3392" s="176"/>
      <c r="E3392" s="176"/>
      <c r="F3392" s="176"/>
      <c r="G3392" s="176"/>
      <c r="H3392" s="176"/>
      <c r="I3392" s="176"/>
      <c r="J3392" s="176"/>
      <c r="K3392" s="176"/>
      <c r="L3392" s="176"/>
      <c r="M3392" s="176"/>
      <c r="N3392" s="176"/>
      <c r="O3392" s="176"/>
      <c r="P3392" s="176"/>
      <c r="Q3392" s="176"/>
      <c r="R3392" s="176"/>
      <c r="S3392" s="176"/>
      <c r="T3392" s="176"/>
      <c r="U3392" s="176"/>
      <c r="V3392" s="176"/>
      <c r="W3392" s="176"/>
      <c r="X3392" s="176"/>
      <c r="Y3392" s="176"/>
    </row>
    <row r="3393" spans="1:25">
      <c r="A3393" s="91"/>
      <c r="B3393" s="176"/>
      <c r="C3393" s="176"/>
      <c r="D3393" s="176"/>
      <c r="E3393" s="176"/>
      <c r="F3393" s="176"/>
      <c r="G3393" s="176"/>
      <c r="H3393" s="176"/>
      <c r="I3393" s="176"/>
      <c r="J3393" s="176"/>
      <c r="K3393" s="176"/>
      <c r="L3393" s="176"/>
      <c r="M3393" s="176"/>
      <c r="N3393" s="176"/>
      <c r="O3393" s="176"/>
      <c r="P3393" s="176"/>
      <c r="Q3393" s="176"/>
      <c r="R3393" s="176"/>
      <c r="S3393" s="176"/>
      <c r="T3393" s="176"/>
      <c r="U3393" s="176"/>
      <c r="V3393" s="176"/>
      <c r="W3393" s="176"/>
      <c r="X3393" s="176"/>
      <c r="Y3393" s="176"/>
    </row>
    <row r="3394" spans="1:25">
      <c r="A3394" s="91"/>
      <c r="B3394" s="176"/>
      <c r="C3394" s="176"/>
      <c r="D3394" s="176"/>
      <c r="E3394" s="176"/>
      <c r="F3394" s="176"/>
      <c r="G3394" s="176"/>
      <c r="H3394" s="176"/>
      <c r="I3394" s="176"/>
      <c r="J3394" s="176"/>
      <c r="K3394" s="176"/>
      <c r="L3394" s="176"/>
      <c r="M3394" s="176"/>
      <c r="N3394" s="176"/>
      <c r="O3394" s="176"/>
      <c r="P3394" s="176"/>
      <c r="Q3394" s="176"/>
      <c r="R3394" s="176"/>
      <c r="S3394" s="176"/>
      <c r="T3394" s="176"/>
      <c r="U3394" s="176"/>
      <c r="V3394" s="176"/>
      <c r="W3394" s="176"/>
      <c r="X3394" s="176"/>
      <c r="Y3394" s="176"/>
    </row>
    <row r="3395" spans="1:25">
      <c r="A3395" s="91"/>
      <c r="B3395" s="176"/>
      <c r="C3395" s="176"/>
      <c r="D3395" s="176"/>
      <c r="E3395" s="176"/>
      <c r="F3395" s="176"/>
      <c r="G3395" s="176"/>
      <c r="H3395" s="176"/>
      <c r="I3395" s="176"/>
      <c r="J3395" s="176"/>
      <c r="K3395" s="176"/>
      <c r="L3395" s="176"/>
      <c r="M3395" s="176"/>
      <c r="N3395" s="176"/>
      <c r="O3395" s="176"/>
      <c r="P3395" s="176"/>
      <c r="Q3395" s="176"/>
      <c r="R3395" s="176"/>
      <c r="S3395" s="176"/>
      <c r="T3395" s="176"/>
      <c r="U3395" s="176"/>
      <c r="V3395" s="176"/>
      <c r="W3395" s="176"/>
      <c r="X3395" s="176"/>
      <c r="Y3395" s="176"/>
    </row>
    <row r="3396" spans="1:25">
      <c r="A3396" s="91"/>
      <c r="B3396" s="176"/>
      <c r="C3396" s="176"/>
      <c r="D3396" s="176"/>
      <c r="E3396" s="176"/>
      <c r="F3396" s="176"/>
      <c r="G3396" s="176"/>
      <c r="H3396" s="176"/>
      <c r="I3396" s="176"/>
      <c r="J3396" s="176"/>
      <c r="K3396" s="176"/>
      <c r="L3396" s="176"/>
      <c r="M3396" s="176"/>
      <c r="N3396" s="176"/>
      <c r="O3396" s="176"/>
      <c r="P3396" s="176"/>
      <c r="Q3396" s="176"/>
      <c r="R3396" s="176"/>
      <c r="S3396" s="176"/>
      <c r="T3396" s="176"/>
      <c r="U3396" s="176"/>
      <c r="V3396" s="176"/>
      <c r="W3396" s="176"/>
      <c r="X3396" s="176"/>
      <c r="Y3396" s="176"/>
    </row>
    <row r="3397" spans="1:25">
      <c r="A3397" s="91"/>
      <c r="B3397" s="176"/>
      <c r="C3397" s="176"/>
      <c r="D3397" s="176"/>
      <c r="E3397" s="176"/>
      <c r="F3397" s="176"/>
      <c r="G3397" s="176"/>
      <c r="H3397" s="176"/>
      <c r="I3397" s="176"/>
      <c r="J3397" s="176"/>
      <c r="K3397" s="176"/>
      <c r="L3397" s="176"/>
      <c r="M3397" s="176"/>
      <c r="N3397" s="176"/>
      <c r="O3397" s="176"/>
      <c r="P3397" s="176"/>
      <c r="Q3397" s="176"/>
      <c r="R3397" s="176"/>
      <c r="S3397" s="176"/>
      <c r="T3397" s="176"/>
      <c r="U3397" s="176"/>
      <c r="V3397" s="176"/>
      <c r="W3397" s="176"/>
      <c r="X3397" s="176"/>
      <c r="Y3397" s="176"/>
    </row>
    <row r="3398" spans="1:25">
      <c r="A3398" s="91"/>
      <c r="B3398" s="176"/>
      <c r="C3398" s="176"/>
      <c r="D3398" s="176"/>
      <c r="E3398" s="176"/>
      <c r="F3398" s="176"/>
      <c r="G3398" s="176"/>
      <c r="H3398" s="176"/>
      <c r="I3398" s="176"/>
      <c r="J3398" s="176"/>
      <c r="K3398" s="176"/>
      <c r="L3398" s="176"/>
      <c r="M3398" s="176"/>
      <c r="N3398" s="176"/>
      <c r="O3398" s="176"/>
      <c r="P3398" s="176"/>
      <c r="Q3398" s="176"/>
      <c r="R3398" s="176"/>
      <c r="S3398" s="176"/>
      <c r="T3398" s="176"/>
      <c r="U3398" s="176"/>
      <c r="V3398" s="176"/>
      <c r="W3398" s="176"/>
      <c r="X3398" s="176"/>
      <c r="Y3398" s="176"/>
    </row>
    <row r="3399" spans="1:25">
      <c r="A3399" s="91"/>
      <c r="B3399" s="176"/>
      <c r="C3399" s="176"/>
      <c r="D3399" s="176"/>
      <c r="E3399" s="176"/>
      <c r="F3399" s="176"/>
      <c r="G3399" s="176"/>
      <c r="H3399" s="176"/>
      <c r="I3399" s="176"/>
      <c r="J3399" s="176"/>
      <c r="K3399" s="176"/>
      <c r="L3399" s="176"/>
      <c r="M3399" s="176"/>
      <c r="N3399" s="176"/>
      <c r="O3399" s="176"/>
      <c r="P3399" s="176"/>
      <c r="Q3399" s="176"/>
      <c r="R3399" s="176"/>
      <c r="S3399" s="176"/>
      <c r="T3399" s="176"/>
      <c r="U3399" s="176"/>
      <c r="V3399" s="176"/>
      <c r="W3399" s="176"/>
      <c r="X3399" s="176"/>
      <c r="Y3399" s="176"/>
    </row>
    <row r="3400" spans="1:25">
      <c r="A3400" s="91"/>
      <c r="B3400" s="176"/>
      <c r="C3400" s="176"/>
      <c r="D3400" s="176"/>
      <c r="E3400" s="176"/>
      <c r="F3400" s="176"/>
      <c r="G3400" s="176"/>
      <c r="H3400" s="176"/>
      <c r="I3400" s="176"/>
      <c r="J3400" s="176"/>
      <c r="K3400" s="176"/>
      <c r="L3400" s="176"/>
      <c r="M3400" s="176"/>
      <c r="N3400" s="176"/>
      <c r="O3400" s="176"/>
      <c r="P3400" s="176"/>
      <c r="Q3400" s="176"/>
      <c r="R3400" s="176"/>
      <c r="S3400" s="176"/>
      <c r="T3400" s="176"/>
      <c r="U3400" s="176"/>
      <c r="V3400" s="176"/>
      <c r="W3400" s="176"/>
      <c r="X3400" s="176"/>
      <c r="Y3400" s="176"/>
    </row>
    <row r="3401" spans="1:25">
      <c r="A3401" s="91"/>
      <c r="B3401" s="176"/>
      <c r="C3401" s="176"/>
      <c r="D3401" s="176"/>
      <c r="E3401" s="176"/>
      <c r="F3401" s="176"/>
      <c r="G3401" s="176"/>
      <c r="H3401" s="176"/>
      <c r="I3401" s="176"/>
      <c r="J3401" s="176"/>
      <c r="K3401" s="176"/>
      <c r="L3401" s="176"/>
      <c r="M3401" s="176"/>
      <c r="N3401" s="176"/>
      <c r="O3401" s="176"/>
      <c r="P3401" s="176"/>
      <c r="Q3401" s="176"/>
      <c r="R3401" s="176"/>
      <c r="S3401" s="176"/>
      <c r="T3401" s="176"/>
      <c r="U3401" s="176"/>
      <c r="V3401" s="176"/>
      <c r="W3401" s="176"/>
      <c r="X3401" s="176"/>
      <c r="Y3401" s="176"/>
    </row>
    <row r="3402" spans="1:25">
      <c r="A3402" s="91"/>
      <c r="B3402" s="176"/>
      <c r="C3402" s="176"/>
      <c r="D3402" s="176"/>
      <c r="E3402" s="176"/>
      <c r="F3402" s="176"/>
      <c r="G3402" s="176"/>
      <c r="H3402" s="176"/>
      <c r="I3402" s="176"/>
      <c r="J3402" s="176"/>
      <c r="K3402" s="176"/>
      <c r="L3402" s="176"/>
      <c r="M3402" s="176"/>
      <c r="N3402" s="176"/>
      <c r="O3402" s="176"/>
      <c r="P3402" s="176"/>
      <c r="Q3402" s="176"/>
      <c r="R3402" s="176"/>
      <c r="S3402" s="176"/>
      <c r="T3402" s="176"/>
      <c r="U3402" s="176"/>
      <c r="V3402" s="176"/>
      <c r="W3402" s="176"/>
      <c r="X3402" s="176"/>
      <c r="Y3402" s="176"/>
    </row>
    <row r="3403" spans="1:25">
      <c r="A3403" s="91"/>
      <c r="B3403" s="176"/>
      <c r="C3403" s="176"/>
      <c r="D3403" s="176"/>
      <c r="E3403" s="176"/>
      <c r="F3403" s="176"/>
      <c r="G3403" s="176"/>
      <c r="H3403" s="176"/>
      <c r="I3403" s="176"/>
      <c r="J3403" s="176"/>
      <c r="K3403" s="176"/>
      <c r="L3403" s="176"/>
      <c r="M3403" s="176"/>
      <c r="N3403" s="176"/>
      <c r="O3403" s="176"/>
      <c r="P3403" s="176"/>
      <c r="Q3403" s="176"/>
      <c r="R3403" s="176"/>
      <c r="S3403" s="176"/>
      <c r="T3403" s="176"/>
      <c r="U3403" s="176"/>
      <c r="V3403" s="176"/>
      <c r="W3403" s="176"/>
      <c r="X3403" s="176"/>
      <c r="Y3403" s="176"/>
    </row>
    <row r="3404" spans="1:25">
      <c r="A3404" s="91"/>
      <c r="B3404" s="176"/>
      <c r="C3404" s="176"/>
      <c r="D3404" s="176"/>
      <c r="E3404" s="176"/>
      <c r="F3404" s="176"/>
      <c r="G3404" s="176"/>
      <c r="H3404" s="176"/>
      <c r="I3404" s="176"/>
      <c r="J3404" s="176"/>
      <c r="K3404" s="176"/>
      <c r="L3404" s="176"/>
      <c r="M3404" s="176"/>
      <c r="N3404" s="176"/>
      <c r="O3404" s="176"/>
      <c r="P3404" s="176"/>
      <c r="Q3404" s="176"/>
      <c r="R3404" s="176"/>
      <c r="S3404" s="176"/>
      <c r="T3404" s="176"/>
      <c r="U3404" s="176"/>
      <c r="V3404" s="176"/>
      <c r="W3404" s="176"/>
      <c r="X3404" s="176"/>
      <c r="Y3404" s="176"/>
    </row>
    <row r="3405" spans="1:25">
      <c r="A3405" s="91"/>
      <c r="B3405" s="176"/>
      <c r="C3405" s="176"/>
      <c r="D3405" s="176"/>
      <c r="E3405" s="176"/>
      <c r="F3405" s="176"/>
      <c r="G3405" s="176"/>
      <c r="H3405" s="176"/>
      <c r="I3405" s="176"/>
      <c r="J3405" s="176"/>
      <c r="K3405" s="176"/>
      <c r="L3405" s="176"/>
      <c r="M3405" s="176"/>
      <c r="N3405" s="176"/>
      <c r="O3405" s="176"/>
      <c r="P3405" s="176"/>
      <c r="Q3405" s="176"/>
      <c r="R3405" s="176"/>
      <c r="S3405" s="176"/>
      <c r="T3405" s="176"/>
      <c r="U3405" s="176"/>
      <c r="V3405" s="176"/>
      <c r="W3405" s="176"/>
      <c r="X3405" s="176"/>
      <c r="Y3405" s="176"/>
    </row>
    <row r="3406" spans="1:25">
      <c r="A3406" s="91"/>
      <c r="B3406" s="176"/>
      <c r="C3406" s="176"/>
      <c r="D3406" s="176"/>
      <c r="E3406" s="176"/>
      <c r="F3406" s="176"/>
      <c r="G3406" s="176"/>
      <c r="H3406" s="176"/>
      <c r="I3406" s="176"/>
      <c r="J3406" s="176"/>
      <c r="K3406" s="176"/>
      <c r="L3406" s="176"/>
      <c r="M3406" s="176"/>
      <c r="N3406" s="176"/>
      <c r="O3406" s="176"/>
      <c r="P3406" s="176"/>
      <c r="Q3406" s="176"/>
      <c r="R3406" s="176"/>
      <c r="S3406" s="176"/>
      <c r="T3406" s="176"/>
      <c r="U3406" s="176"/>
      <c r="V3406" s="176"/>
      <c r="W3406" s="176"/>
      <c r="X3406" s="176"/>
      <c r="Y3406" s="176"/>
    </row>
    <row r="3407" spans="1:25">
      <c r="A3407" s="91"/>
      <c r="B3407" s="176"/>
      <c r="C3407" s="176"/>
      <c r="D3407" s="176"/>
      <c r="E3407" s="176"/>
      <c r="F3407" s="176"/>
      <c r="G3407" s="176"/>
      <c r="H3407" s="176"/>
      <c r="I3407" s="176"/>
      <c r="J3407" s="176"/>
      <c r="K3407" s="176"/>
      <c r="L3407" s="176"/>
      <c r="M3407" s="176"/>
      <c r="N3407" s="176"/>
      <c r="O3407" s="176"/>
      <c r="P3407" s="176"/>
      <c r="Q3407" s="176"/>
      <c r="R3407" s="176"/>
      <c r="S3407" s="176"/>
      <c r="T3407" s="176"/>
      <c r="U3407" s="176"/>
      <c r="V3407" s="176"/>
      <c r="W3407" s="176"/>
      <c r="X3407" s="176"/>
      <c r="Y3407" s="176"/>
    </row>
    <row r="3408" spans="1:25">
      <c r="A3408" s="91"/>
      <c r="B3408" s="176"/>
      <c r="C3408" s="176"/>
      <c r="D3408" s="176"/>
      <c r="E3408" s="176"/>
      <c r="F3408" s="176"/>
      <c r="G3408" s="176"/>
      <c r="H3408" s="176"/>
      <c r="I3408" s="176"/>
      <c r="J3408" s="176"/>
      <c r="K3408" s="176"/>
      <c r="L3408" s="176"/>
      <c r="M3408" s="176"/>
      <c r="N3408" s="176"/>
      <c r="O3408" s="176"/>
      <c r="P3408" s="176"/>
      <c r="Q3408" s="176"/>
      <c r="R3408" s="176"/>
      <c r="S3408" s="176"/>
      <c r="T3408" s="176"/>
      <c r="U3408" s="176"/>
      <c r="V3408" s="176"/>
      <c r="W3408" s="176"/>
      <c r="X3408" s="176"/>
      <c r="Y3408" s="176"/>
    </row>
    <row r="3409" spans="1:25">
      <c r="A3409" s="91"/>
      <c r="B3409" s="176"/>
      <c r="C3409" s="176"/>
      <c r="D3409" s="176"/>
      <c r="E3409" s="176"/>
      <c r="F3409" s="176"/>
      <c r="G3409" s="176"/>
      <c r="H3409" s="176"/>
      <c r="I3409" s="176"/>
      <c r="J3409" s="176"/>
      <c r="K3409" s="176"/>
      <c r="L3409" s="176"/>
      <c r="M3409" s="176"/>
      <c r="N3409" s="176"/>
      <c r="O3409" s="176"/>
      <c r="P3409" s="176"/>
      <c r="Q3409" s="176"/>
      <c r="R3409" s="176"/>
      <c r="S3409" s="176"/>
      <c r="T3409" s="176"/>
      <c r="U3409" s="176"/>
      <c r="V3409" s="176"/>
      <c r="W3409" s="176"/>
      <c r="X3409" s="176"/>
      <c r="Y3409" s="176"/>
    </row>
    <row r="3410" spans="1:25">
      <c r="A3410" s="91"/>
      <c r="B3410" s="176"/>
      <c r="C3410" s="176"/>
      <c r="D3410" s="176"/>
      <c r="E3410" s="176"/>
      <c r="F3410" s="176"/>
      <c r="G3410" s="176"/>
      <c r="H3410" s="176"/>
      <c r="I3410" s="176"/>
      <c r="J3410" s="176"/>
      <c r="K3410" s="176"/>
      <c r="L3410" s="176"/>
      <c r="M3410" s="176"/>
      <c r="N3410" s="176"/>
      <c r="O3410" s="176"/>
      <c r="P3410" s="176"/>
      <c r="Q3410" s="176"/>
      <c r="R3410" s="176"/>
      <c r="S3410" s="176"/>
      <c r="T3410" s="176"/>
      <c r="U3410" s="176"/>
      <c r="V3410" s="176"/>
      <c r="W3410" s="176"/>
      <c r="X3410" s="176"/>
      <c r="Y3410" s="176"/>
    </row>
    <row r="3411" spans="1:25">
      <c r="A3411" s="91"/>
      <c r="B3411" s="176"/>
      <c r="C3411" s="176"/>
      <c r="D3411" s="176"/>
      <c r="E3411" s="176"/>
      <c r="F3411" s="176"/>
      <c r="G3411" s="176"/>
      <c r="H3411" s="176"/>
      <c r="I3411" s="176"/>
      <c r="J3411" s="176"/>
      <c r="K3411" s="176"/>
      <c r="L3411" s="176"/>
      <c r="M3411" s="176"/>
      <c r="N3411" s="176"/>
      <c r="O3411" s="176"/>
      <c r="P3411" s="176"/>
      <c r="Q3411" s="176"/>
      <c r="R3411" s="176"/>
      <c r="S3411" s="176"/>
      <c r="T3411" s="176"/>
      <c r="U3411" s="176"/>
      <c r="V3411" s="176"/>
      <c r="W3411" s="176"/>
      <c r="X3411" s="176"/>
      <c r="Y3411" s="176"/>
    </row>
    <row r="3412" spans="1:25">
      <c r="A3412" s="91"/>
      <c r="B3412" s="176"/>
      <c r="C3412" s="176"/>
      <c r="D3412" s="176"/>
      <c r="E3412" s="176"/>
      <c r="F3412" s="176"/>
      <c r="G3412" s="176"/>
      <c r="H3412" s="176"/>
      <c r="I3412" s="176"/>
      <c r="J3412" s="176"/>
      <c r="K3412" s="176"/>
      <c r="L3412" s="176"/>
      <c r="M3412" s="176"/>
      <c r="N3412" s="176"/>
      <c r="O3412" s="176"/>
      <c r="P3412" s="176"/>
      <c r="Q3412" s="176"/>
      <c r="R3412" s="176"/>
      <c r="S3412" s="176"/>
      <c r="T3412" s="176"/>
      <c r="U3412" s="176"/>
      <c r="V3412" s="176"/>
      <c r="W3412" s="176"/>
      <c r="X3412" s="176"/>
      <c r="Y3412" s="176"/>
    </row>
    <row r="3413" spans="1:25">
      <c r="A3413" s="91"/>
      <c r="B3413" s="176"/>
      <c r="C3413" s="176"/>
      <c r="D3413" s="176"/>
      <c r="E3413" s="176"/>
      <c r="F3413" s="176"/>
      <c r="G3413" s="176"/>
      <c r="H3413" s="176"/>
      <c r="I3413" s="176"/>
      <c r="J3413" s="176"/>
      <c r="K3413" s="176"/>
      <c r="L3413" s="176"/>
      <c r="M3413" s="176"/>
      <c r="N3413" s="176"/>
      <c r="O3413" s="176"/>
      <c r="P3413" s="176"/>
      <c r="Q3413" s="176"/>
      <c r="R3413" s="176"/>
      <c r="S3413" s="176"/>
      <c r="T3413" s="176"/>
      <c r="U3413" s="176"/>
      <c r="V3413" s="176"/>
      <c r="W3413" s="176"/>
      <c r="X3413" s="176"/>
      <c r="Y3413" s="176"/>
    </row>
    <row r="3414" spans="1:25">
      <c r="A3414" s="91"/>
      <c r="B3414" s="176"/>
      <c r="C3414" s="176"/>
      <c r="D3414" s="176"/>
      <c r="E3414" s="176"/>
      <c r="F3414" s="176"/>
      <c r="G3414" s="176"/>
      <c r="H3414" s="176"/>
      <c r="I3414" s="176"/>
      <c r="J3414" s="176"/>
      <c r="K3414" s="176"/>
      <c r="L3414" s="176"/>
      <c r="M3414" s="176"/>
      <c r="N3414" s="176"/>
      <c r="O3414" s="176"/>
      <c r="P3414" s="176"/>
      <c r="Q3414" s="176"/>
      <c r="R3414" s="176"/>
      <c r="S3414" s="176"/>
      <c r="T3414" s="176"/>
      <c r="U3414" s="176"/>
      <c r="V3414" s="176"/>
      <c r="W3414" s="176"/>
      <c r="X3414" s="176"/>
      <c r="Y3414" s="176"/>
    </row>
    <row r="3415" spans="1:25">
      <c r="A3415" s="91"/>
      <c r="B3415" s="176"/>
      <c r="C3415" s="176"/>
      <c r="D3415" s="176"/>
      <c r="E3415" s="176"/>
      <c r="F3415" s="176"/>
      <c r="G3415" s="176"/>
      <c r="H3415" s="176"/>
      <c r="I3415" s="176"/>
      <c r="J3415" s="176"/>
      <c r="K3415" s="176"/>
      <c r="L3415" s="176"/>
      <c r="M3415" s="176"/>
      <c r="N3415" s="176"/>
      <c r="O3415" s="176"/>
      <c r="P3415" s="176"/>
      <c r="Q3415" s="176"/>
      <c r="R3415" s="176"/>
      <c r="S3415" s="176"/>
      <c r="T3415" s="176"/>
      <c r="U3415" s="176"/>
      <c r="V3415" s="176"/>
      <c r="W3415" s="176"/>
      <c r="X3415" s="176"/>
      <c r="Y3415" s="176"/>
    </row>
    <row r="3416" spans="1:25">
      <c r="A3416" s="91"/>
      <c r="B3416" s="176"/>
      <c r="C3416" s="176"/>
      <c r="D3416" s="176"/>
      <c r="E3416" s="176"/>
      <c r="F3416" s="176"/>
      <c r="G3416" s="176"/>
      <c r="H3416" s="176"/>
      <c r="I3416" s="176"/>
      <c r="J3416" s="176"/>
      <c r="K3416" s="176"/>
      <c r="L3416" s="176"/>
      <c r="M3416" s="176"/>
      <c r="N3416" s="176"/>
      <c r="O3416" s="176"/>
      <c r="P3416" s="176"/>
      <c r="Q3416" s="176"/>
      <c r="R3416" s="176"/>
      <c r="S3416" s="176"/>
      <c r="T3416" s="176"/>
      <c r="U3416" s="176"/>
      <c r="V3416" s="176"/>
      <c r="W3416" s="176"/>
      <c r="X3416" s="176"/>
      <c r="Y3416" s="176"/>
    </row>
    <row r="3417" spans="1:25">
      <c r="A3417" s="91"/>
      <c r="B3417" s="176"/>
      <c r="C3417" s="176"/>
      <c r="D3417" s="176"/>
      <c r="E3417" s="176"/>
      <c r="F3417" s="176"/>
      <c r="G3417" s="176"/>
      <c r="H3417" s="176"/>
      <c r="I3417" s="176"/>
      <c r="J3417" s="176"/>
      <c r="K3417" s="176"/>
      <c r="L3417" s="176"/>
      <c r="M3417" s="176"/>
      <c r="N3417" s="176"/>
      <c r="O3417" s="176"/>
      <c r="P3417" s="176"/>
      <c r="Q3417" s="176"/>
      <c r="R3417" s="176"/>
      <c r="S3417" s="176"/>
      <c r="T3417" s="176"/>
      <c r="U3417" s="176"/>
      <c r="V3417" s="176"/>
      <c r="W3417" s="176"/>
      <c r="X3417" s="176"/>
      <c r="Y3417" s="176"/>
    </row>
    <row r="3418" spans="1:25">
      <c r="A3418" s="91"/>
      <c r="B3418" s="176"/>
      <c r="C3418" s="176"/>
      <c r="D3418" s="176"/>
      <c r="E3418" s="176"/>
      <c r="F3418" s="176"/>
      <c r="G3418" s="176"/>
      <c r="H3418" s="176"/>
      <c r="I3418" s="176"/>
      <c r="J3418" s="176"/>
      <c r="K3418" s="176"/>
      <c r="L3418" s="176"/>
      <c r="M3418" s="176"/>
      <c r="N3418" s="176"/>
      <c r="O3418" s="176"/>
      <c r="P3418" s="176"/>
      <c r="Q3418" s="176"/>
      <c r="R3418" s="176"/>
      <c r="S3418" s="176"/>
      <c r="T3418" s="176"/>
      <c r="U3418" s="176"/>
      <c r="V3418" s="176"/>
      <c r="W3418" s="176"/>
      <c r="X3418" s="176"/>
      <c r="Y3418" s="176"/>
    </row>
    <row r="3419" spans="1:25">
      <c r="A3419" s="91"/>
      <c r="B3419" s="176"/>
      <c r="C3419" s="176"/>
      <c r="D3419" s="176"/>
      <c r="E3419" s="176"/>
      <c r="F3419" s="176"/>
      <c r="G3419" s="176"/>
      <c r="H3419" s="176"/>
      <c r="I3419" s="176"/>
      <c r="J3419" s="176"/>
      <c r="K3419" s="176"/>
      <c r="L3419" s="176"/>
      <c r="M3419" s="176"/>
      <c r="N3419" s="176"/>
      <c r="O3419" s="176"/>
      <c r="P3419" s="176"/>
      <c r="Q3419" s="176"/>
      <c r="R3419" s="176"/>
      <c r="S3419" s="176"/>
      <c r="T3419" s="176"/>
      <c r="U3419" s="176"/>
      <c r="V3419" s="176"/>
      <c r="W3419" s="176"/>
      <c r="X3419" s="176"/>
      <c r="Y3419" s="176"/>
    </row>
    <row r="3420" spans="1:25">
      <c r="A3420" s="91"/>
      <c r="B3420" s="176"/>
      <c r="C3420" s="176"/>
      <c r="D3420" s="176"/>
      <c r="E3420" s="176"/>
      <c r="F3420" s="176"/>
      <c r="G3420" s="176"/>
      <c r="H3420" s="176"/>
      <c r="I3420" s="176"/>
      <c r="J3420" s="176"/>
      <c r="K3420" s="176"/>
      <c r="L3420" s="176"/>
      <c r="M3420" s="176"/>
      <c r="N3420" s="176"/>
      <c r="O3420" s="176"/>
      <c r="P3420" s="176"/>
      <c r="Q3420" s="176"/>
      <c r="R3420" s="176"/>
      <c r="S3420" s="176"/>
      <c r="T3420" s="176"/>
      <c r="U3420" s="176"/>
      <c r="V3420" s="176"/>
      <c r="W3420" s="176"/>
      <c r="X3420" s="176"/>
      <c r="Y3420" s="176"/>
    </row>
    <row r="3421" spans="1:25">
      <c r="A3421" s="91"/>
      <c r="B3421" s="176"/>
      <c r="C3421" s="176"/>
      <c r="D3421" s="176"/>
      <c r="E3421" s="176"/>
      <c r="F3421" s="176"/>
      <c r="G3421" s="176"/>
      <c r="H3421" s="176"/>
      <c r="I3421" s="176"/>
      <c r="J3421" s="176"/>
      <c r="K3421" s="176"/>
      <c r="L3421" s="176"/>
      <c r="M3421" s="176"/>
      <c r="N3421" s="176"/>
      <c r="O3421" s="176"/>
      <c r="P3421" s="176"/>
      <c r="Q3421" s="176"/>
      <c r="R3421" s="176"/>
      <c r="S3421" s="176"/>
      <c r="T3421" s="176"/>
      <c r="U3421" s="176"/>
      <c r="V3421" s="176"/>
      <c r="W3421" s="176"/>
      <c r="X3421" s="176"/>
      <c r="Y3421" s="176"/>
    </row>
    <row r="3422" spans="1:25">
      <c r="A3422" s="91"/>
      <c r="B3422" s="176"/>
      <c r="C3422" s="176"/>
      <c r="D3422" s="176"/>
      <c r="E3422" s="176"/>
      <c r="F3422" s="176"/>
      <c r="G3422" s="176"/>
      <c r="H3422" s="176"/>
      <c r="I3422" s="176"/>
      <c r="J3422" s="176"/>
      <c r="K3422" s="176"/>
      <c r="L3422" s="176"/>
      <c r="M3422" s="176"/>
      <c r="N3422" s="176"/>
      <c r="O3422" s="176"/>
      <c r="P3422" s="176"/>
      <c r="Q3422" s="176"/>
      <c r="R3422" s="176"/>
      <c r="S3422" s="176"/>
      <c r="T3422" s="176"/>
      <c r="U3422" s="176"/>
      <c r="V3422" s="176"/>
      <c r="W3422" s="176"/>
      <c r="X3422" s="176"/>
      <c r="Y3422" s="176"/>
    </row>
    <row r="3423" spans="1:25">
      <c r="A3423" s="91"/>
      <c r="B3423" s="176"/>
      <c r="C3423" s="176"/>
      <c r="D3423" s="176"/>
      <c r="E3423" s="176"/>
      <c r="F3423" s="176"/>
      <c r="G3423" s="176"/>
      <c r="H3423" s="176"/>
      <c r="I3423" s="176"/>
      <c r="J3423" s="176"/>
      <c r="K3423" s="176"/>
      <c r="L3423" s="176"/>
      <c r="M3423" s="176"/>
      <c r="N3423" s="176"/>
      <c r="O3423" s="176"/>
      <c r="P3423" s="176"/>
      <c r="Q3423" s="176"/>
      <c r="R3423" s="176"/>
      <c r="S3423" s="176"/>
      <c r="T3423" s="176"/>
      <c r="U3423" s="176"/>
      <c r="V3423" s="176"/>
      <c r="W3423" s="176"/>
      <c r="X3423" s="176"/>
      <c r="Y3423" s="176"/>
    </row>
    <row r="3424" spans="1:25">
      <c r="A3424" s="91"/>
      <c r="B3424" s="176"/>
      <c r="C3424" s="176"/>
      <c r="D3424" s="176"/>
      <c r="E3424" s="176"/>
      <c r="F3424" s="176"/>
      <c r="G3424" s="176"/>
      <c r="H3424" s="176"/>
      <c r="I3424" s="176"/>
      <c r="J3424" s="176"/>
      <c r="K3424" s="176"/>
      <c r="L3424" s="176"/>
      <c r="M3424" s="176"/>
      <c r="N3424" s="176"/>
      <c r="O3424" s="176"/>
      <c r="P3424" s="176"/>
      <c r="Q3424" s="176"/>
      <c r="R3424" s="176"/>
      <c r="S3424" s="176"/>
      <c r="T3424" s="176"/>
      <c r="U3424" s="176"/>
      <c r="V3424" s="176"/>
      <c r="W3424" s="176"/>
      <c r="X3424" s="176"/>
      <c r="Y3424" s="176"/>
    </row>
    <row r="3425" spans="1:25">
      <c r="A3425" s="91"/>
      <c r="B3425" s="176"/>
      <c r="C3425" s="176"/>
      <c r="D3425" s="176"/>
      <c r="E3425" s="176"/>
      <c r="F3425" s="176"/>
      <c r="G3425" s="176"/>
      <c r="H3425" s="176"/>
      <c r="I3425" s="176"/>
      <c r="J3425" s="176"/>
      <c r="K3425" s="176"/>
      <c r="L3425" s="176"/>
      <c r="M3425" s="176"/>
      <c r="N3425" s="176"/>
      <c r="O3425" s="176"/>
      <c r="P3425" s="176"/>
      <c r="Q3425" s="176"/>
      <c r="R3425" s="176"/>
      <c r="S3425" s="176"/>
      <c r="T3425" s="176"/>
      <c r="U3425" s="176"/>
      <c r="V3425" s="176"/>
      <c r="W3425" s="176"/>
      <c r="X3425" s="176"/>
      <c r="Y3425" s="176"/>
    </row>
    <row r="3426" spans="1:25">
      <c r="A3426" s="91"/>
      <c r="B3426" s="176"/>
      <c r="C3426" s="176"/>
      <c r="D3426" s="176"/>
      <c r="E3426" s="176"/>
      <c r="F3426" s="176"/>
      <c r="G3426" s="176"/>
      <c r="H3426" s="176"/>
      <c r="I3426" s="176"/>
      <c r="J3426" s="176"/>
      <c r="K3426" s="176"/>
      <c r="L3426" s="176"/>
      <c r="M3426" s="176"/>
      <c r="N3426" s="176"/>
      <c r="O3426" s="176"/>
      <c r="P3426" s="176"/>
      <c r="Q3426" s="176"/>
      <c r="R3426" s="176"/>
      <c r="S3426" s="176"/>
      <c r="T3426" s="176"/>
      <c r="U3426" s="176"/>
      <c r="V3426" s="176"/>
      <c r="W3426" s="176"/>
      <c r="X3426" s="176"/>
      <c r="Y3426" s="176"/>
    </row>
    <row r="3427" spans="1:25">
      <c r="A3427" s="91"/>
      <c r="B3427" s="176"/>
      <c r="C3427" s="176"/>
      <c r="D3427" s="176"/>
      <c r="E3427" s="176"/>
      <c r="F3427" s="176"/>
      <c r="G3427" s="176"/>
      <c r="H3427" s="176"/>
      <c r="I3427" s="176"/>
      <c r="J3427" s="176"/>
      <c r="K3427" s="176"/>
      <c r="L3427" s="176"/>
      <c r="M3427" s="176"/>
      <c r="N3427" s="176"/>
      <c r="O3427" s="176"/>
      <c r="P3427" s="176"/>
      <c r="Q3427" s="176"/>
      <c r="R3427" s="176"/>
      <c r="S3427" s="176"/>
      <c r="T3427" s="176"/>
      <c r="U3427" s="176"/>
      <c r="V3427" s="176"/>
      <c r="W3427" s="176"/>
      <c r="X3427" s="176"/>
      <c r="Y3427" s="176"/>
    </row>
    <row r="3428" spans="1:25">
      <c r="A3428" s="91"/>
      <c r="B3428" s="176"/>
      <c r="C3428" s="176"/>
      <c r="D3428" s="176"/>
      <c r="E3428" s="176"/>
      <c r="F3428" s="176"/>
      <c r="G3428" s="176"/>
      <c r="H3428" s="176"/>
      <c r="I3428" s="176"/>
      <c r="J3428" s="176"/>
      <c r="K3428" s="176"/>
      <c r="L3428" s="176"/>
      <c r="M3428" s="176"/>
      <c r="N3428" s="176"/>
      <c r="O3428" s="176"/>
      <c r="P3428" s="176"/>
      <c r="Q3428" s="176"/>
      <c r="R3428" s="176"/>
      <c r="S3428" s="176"/>
      <c r="T3428" s="176"/>
      <c r="U3428" s="176"/>
      <c r="V3428" s="176"/>
      <c r="W3428" s="176"/>
      <c r="X3428" s="176"/>
      <c r="Y3428" s="176"/>
    </row>
    <row r="3429" spans="1:25">
      <c r="A3429" s="91"/>
      <c r="B3429" s="176"/>
      <c r="C3429" s="176"/>
      <c r="D3429" s="176"/>
      <c r="E3429" s="176"/>
      <c r="F3429" s="176"/>
      <c r="G3429" s="176"/>
      <c r="H3429" s="176"/>
      <c r="I3429" s="176"/>
      <c r="J3429" s="176"/>
      <c r="K3429" s="176"/>
      <c r="L3429" s="176"/>
      <c r="M3429" s="176"/>
      <c r="N3429" s="176"/>
      <c r="O3429" s="176"/>
      <c r="P3429" s="176"/>
      <c r="Q3429" s="176"/>
      <c r="R3429" s="176"/>
      <c r="S3429" s="176"/>
      <c r="T3429" s="176"/>
      <c r="U3429" s="176"/>
      <c r="V3429" s="176"/>
      <c r="W3429" s="176"/>
      <c r="X3429" s="176"/>
      <c r="Y3429" s="176"/>
    </row>
    <row r="3430" spans="1:25">
      <c r="A3430" s="91"/>
      <c r="B3430" s="176"/>
      <c r="C3430" s="176"/>
      <c r="D3430" s="176"/>
      <c r="E3430" s="176"/>
      <c r="F3430" s="176"/>
      <c r="G3430" s="176"/>
      <c r="H3430" s="176"/>
      <c r="I3430" s="176"/>
      <c r="J3430" s="176"/>
      <c r="K3430" s="176"/>
      <c r="L3430" s="176"/>
      <c r="M3430" s="176"/>
      <c r="N3430" s="176"/>
      <c r="O3430" s="176"/>
      <c r="P3430" s="176"/>
      <c r="Q3430" s="176"/>
      <c r="R3430" s="176"/>
      <c r="S3430" s="176"/>
      <c r="T3430" s="176"/>
      <c r="U3430" s="176"/>
      <c r="V3430" s="176"/>
      <c r="W3430" s="176"/>
      <c r="X3430" s="176"/>
      <c r="Y3430" s="176"/>
    </row>
    <row r="3431" spans="1:25">
      <c r="A3431" s="91"/>
      <c r="B3431" s="176"/>
      <c r="C3431" s="176"/>
      <c r="D3431" s="176"/>
      <c r="E3431" s="176"/>
      <c r="F3431" s="176"/>
      <c r="G3431" s="176"/>
      <c r="H3431" s="176"/>
      <c r="I3431" s="176"/>
      <c r="J3431" s="176"/>
      <c r="K3431" s="176"/>
      <c r="L3431" s="176"/>
      <c r="M3431" s="176"/>
      <c r="N3431" s="176"/>
      <c r="O3431" s="176"/>
      <c r="P3431" s="176"/>
      <c r="Q3431" s="176"/>
      <c r="R3431" s="176"/>
      <c r="S3431" s="176"/>
      <c r="T3431" s="176"/>
      <c r="U3431" s="176"/>
      <c r="V3431" s="176"/>
      <c r="W3431" s="176"/>
      <c r="X3431" s="176"/>
      <c r="Y3431" s="176"/>
    </row>
    <row r="3432" spans="1:25">
      <c r="A3432" s="91"/>
      <c r="B3432" s="176"/>
      <c r="C3432" s="176"/>
      <c r="D3432" s="176"/>
      <c r="E3432" s="176"/>
      <c r="F3432" s="176"/>
      <c r="G3432" s="176"/>
      <c r="H3432" s="176"/>
      <c r="I3432" s="176"/>
      <c r="J3432" s="176"/>
      <c r="K3432" s="176"/>
      <c r="L3432" s="176"/>
      <c r="M3432" s="176"/>
      <c r="N3432" s="176"/>
      <c r="O3432" s="176"/>
      <c r="P3432" s="176"/>
      <c r="Q3432" s="176"/>
      <c r="R3432" s="176"/>
      <c r="S3432" s="176"/>
      <c r="T3432" s="176"/>
      <c r="U3432" s="176"/>
      <c r="V3432" s="176"/>
      <c r="W3432" s="176"/>
      <c r="X3432" s="176"/>
      <c r="Y3432" s="176"/>
    </row>
    <row r="3433" spans="1:25">
      <c r="A3433" s="91"/>
      <c r="B3433" s="176"/>
      <c r="C3433" s="176"/>
      <c r="D3433" s="176"/>
      <c r="E3433" s="176"/>
      <c r="F3433" s="176"/>
      <c r="G3433" s="176"/>
      <c r="H3433" s="176"/>
      <c r="I3433" s="176"/>
      <c r="J3433" s="176"/>
      <c r="K3433" s="176"/>
      <c r="L3433" s="176"/>
      <c r="M3433" s="176"/>
      <c r="N3433" s="176"/>
      <c r="O3433" s="176"/>
      <c r="P3433" s="176"/>
      <c r="Q3433" s="176"/>
      <c r="R3433" s="176"/>
      <c r="S3433" s="176"/>
      <c r="T3433" s="176"/>
      <c r="U3433" s="176"/>
      <c r="V3433" s="176"/>
      <c r="W3433" s="176"/>
      <c r="X3433" s="176"/>
      <c r="Y3433" s="176"/>
    </row>
    <row r="3434" spans="1:25">
      <c r="A3434" s="91"/>
      <c r="B3434" s="176"/>
      <c r="C3434" s="176"/>
      <c r="D3434" s="176"/>
      <c r="E3434" s="176"/>
      <c r="F3434" s="176"/>
      <c r="G3434" s="176"/>
      <c r="H3434" s="176"/>
      <c r="I3434" s="176"/>
      <c r="J3434" s="176"/>
      <c r="K3434" s="176"/>
      <c r="L3434" s="176"/>
      <c r="M3434" s="176"/>
      <c r="N3434" s="176"/>
      <c r="O3434" s="176"/>
      <c r="P3434" s="176"/>
      <c r="Q3434" s="176"/>
      <c r="R3434" s="176"/>
      <c r="S3434" s="176"/>
      <c r="T3434" s="176"/>
      <c r="U3434" s="176"/>
      <c r="V3434" s="176"/>
      <c r="W3434" s="176"/>
      <c r="X3434" s="176"/>
      <c r="Y3434" s="176"/>
    </row>
    <row r="3435" spans="1:25">
      <c r="A3435" s="91"/>
      <c r="B3435" s="176"/>
      <c r="C3435" s="176"/>
      <c r="D3435" s="176"/>
      <c r="E3435" s="176"/>
      <c r="F3435" s="176"/>
      <c r="G3435" s="176"/>
      <c r="H3435" s="176"/>
      <c r="I3435" s="176"/>
      <c r="J3435" s="176"/>
      <c r="K3435" s="176"/>
      <c r="L3435" s="176"/>
      <c r="M3435" s="176"/>
      <c r="N3435" s="176"/>
      <c r="O3435" s="176"/>
      <c r="P3435" s="176"/>
      <c r="Q3435" s="176"/>
      <c r="R3435" s="176"/>
      <c r="S3435" s="176"/>
      <c r="T3435" s="176"/>
      <c r="U3435" s="176"/>
      <c r="V3435" s="176"/>
      <c r="W3435" s="176"/>
      <c r="X3435" s="176"/>
      <c r="Y3435" s="176"/>
    </row>
    <row r="3436" spans="1:25">
      <c r="A3436" s="91"/>
      <c r="B3436" s="176"/>
      <c r="C3436" s="176"/>
      <c r="D3436" s="176"/>
      <c r="E3436" s="176"/>
      <c r="F3436" s="176"/>
      <c r="G3436" s="176"/>
      <c r="H3436" s="176"/>
      <c r="I3436" s="176"/>
      <c r="J3436" s="176"/>
      <c r="K3436" s="176"/>
      <c r="L3436" s="176"/>
      <c r="M3436" s="176"/>
      <c r="N3436" s="176"/>
      <c r="O3436" s="176"/>
      <c r="P3436" s="176"/>
      <c r="Q3436" s="176"/>
      <c r="R3436" s="176"/>
      <c r="S3436" s="176"/>
      <c r="T3436" s="176"/>
      <c r="U3436" s="176"/>
      <c r="V3436" s="176"/>
      <c r="W3436" s="176"/>
      <c r="X3436" s="176"/>
      <c r="Y3436" s="176"/>
    </row>
    <row r="3437" spans="1:25">
      <c r="A3437" s="91"/>
      <c r="B3437" s="176"/>
      <c r="C3437" s="176"/>
      <c r="D3437" s="176"/>
      <c r="E3437" s="176"/>
      <c r="F3437" s="176"/>
      <c r="G3437" s="176"/>
      <c r="H3437" s="176"/>
      <c r="I3437" s="176"/>
      <c r="J3437" s="176"/>
      <c r="K3437" s="176"/>
      <c r="L3437" s="176"/>
      <c r="M3437" s="176"/>
      <c r="N3437" s="176"/>
      <c r="O3437" s="176"/>
      <c r="P3437" s="176"/>
      <c r="Q3437" s="176"/>
      <c r="R3437" s="176"/>
      <c r="S3437" s="176"/>
      <c r="T3437" s="176"/>
      <c r="U3437" s="176"/>
      <c r="V3437" s="176"/>
      <c r="W3437" s="176"/>
      <c r="X3437" s="176"/>
      <c r="Y3437" s="176"/>
    </row>
    <row r="3438" spans="1:25">
      <c r="A3438" s="91"/>
      <c r="B3438" s="176"/>
      <c r="C3438" s="176"/>
      <c r="D3438" s="176"/>
      <c r="E3438" s="176"/>
      <c r="F3438" s="176"/>
      <c r="G3438" s="176"/>
      <c r="H3438" s="176"/>
      <c r="I3438" s="176"/>
      <c r="J3438" s="176"/>
      <c r="K3438" s="176"/>
      <c r="L3438" s="176"/>
      <c r="M3438" s="176"/>
      <c r="N3438" s="176"/>
      <c r="O3438" s="176"/>
      <c r="P3438" s="176"/>
      <c r="Q3438" s="176"/>
      <c r="R3438" s="176"/>
      <c r="S3438" s="176"/>
      <c r="T3438" s="176"/>
      <c r="U3438" s="176"/>
      <c r="V3438" s="176"/>
      <c r="W3438" s="176"/>
      <c r="X3438" s="176"/>
      <c r="Y3438" s="176"/>
    </row>
    <row r="3439" spans="1:25">
      <c r="A3439" s="91"/>
      <c r="B3439" s="176"/>
      <c r="C3439" s="176"/>
      <c r="D3439" s="176"/>
      <c r="E3439" s="176"/>
      <c r="F3439" s="176"/>
      <c r="G3439" s="176"/>
      <c r="H3439" s="176"/>
      <c r="I3439" s="176"/>
      <c r="J3439" s="176"/>
      <c r="K3439" s="176"/>
      <c r="L3439" s="176"/>
      <c r="M3439" s="176"/>
      <c r="N3439" s="176"/>
      <c r="O3439" s="176"/>
      <c r="P3439" s="176"/>
      <c r="Q3439" s="176"/>
      <c r="R3439" s="176"/>
      <c r="S3439" s="176"/>
      <c r="T3439" s="176"/>
      <c r="U3439" s="176"/>
      <c r="V3439" s="176"/>
      <c r="W3439" s="176"/>
      <c r="X3439" s="176"/>
      <c r="Y3439" s="176"/>
    </row>
    <row r="3440" spans="1:25">
      <c r="A3440" s="91"/>
      <c r="B3440" s="176"/>
      <c r="C3440" s="176"/>
      <c r="D3440" s="176"/>
      <c r="E3440" s="176"/>
      <c r="F3440" s="176"/>
      <c r="G3440" s="176"/>
      <c r="H3440" s="176"/>
      <c r="I3440" s="176"/>
      <c r="J3440" s="176"/>
      <c r="K3440" s="176"/>
      <c r="L3440" s="176"/>
      <c r="M3440" s="176"/>
      <c r="N3440" s="176"/>
      <c r="O3440" s="176"/>
      <c r="P3440" s="176"/>
      <c r="Q3440" s="176"/>
      <c r="R3440" s="176"/>
      <c r="S3440" s="176"/>
      <c r="T3440" s="176"/>
      <c r="U3440" s="176"/>
      <c r="V3440" s="176"/>
      <c r="W3440" s="176"/>
      <c r="X3440" s="176"/>
      <c r="Y3440" s="176"/>
    </row>
    <row r="3441" spans="1:25">
      <c r="A3441" s="91"/>
      <c r="B3441" s="176"/>
      <c r="C3441" s="176"/>
      <c r="D3441" s="176"/>
      <c r="E3441" s="176"/>
      <c r="F3441" s="176"/>
      <c r="G3441" s="176"/>
      <c r="H3441" s="176"/>
      <c r="I3441" s="176"/>
      <c r="J3441" s="176"/>
      <c r="K3441" s="176"/>
      <c r="L3441" s="176"/>
      <c r="M3441" s="176"/>
      <c r="N3441" s="176"/>
      <c r="O3441" s="176"/>
      <c r="P3441" s="176"/>
      <c r="Q3441" s="176"/>
      <c r="R3441" s="176"/>
      <c r="S3441" s="176"/>
      <c r="T3441" s="176"/>
      <c r="U3441" s="176"/>
      <c r="V3441" s="176"/>
      <c r="W3441" s="176"/>
      <c r="X3441" s="176"/>
      <c r="Y3441" s="176"/>
    </row>
    <row r="3442" spans="1:25">
      <c r="A3442" s="91"/>
      <c r="B3442" s="176"/>
      <c r="C3442" s="176"/>
      <c r="D3442" s="176"/>
      <c r="E3442" s="176"/>
      <c r="F3442" s="176"/>
      <c r="G3442" s="176"/>
      <c r="H3442" s="176"/>
      <c r="I3442" s="176"/>
      <c r="J3442" s="176"/>
      <c r="K3442" s="176"/>
      <c r="L3442" s="176"/>
      <c r="M3442" s="176"/>
      <c r="N3442" s="176"/>
      <c r="O3442" s="176"/>
      <c r="P3442" s="176"/>
      <c r="Q3442" s="176"/>
      <c r="R3442" s="176"/>
      <c r="S3442" s="176"/>
      <c r="T3442" s="176"/>
      <c r="U3442" s="176"/>
      <c r="V3442" s="176"/>
      <c r="W3442" s="176"/>
      <c r="X3442" s="176"/>
      <c r="Y3442" s="176"/>
    </row>
    <row r="3443" spans="1:25">
      <c r="A3443" s="91"/>
      <c r="B3443" s="176"/>
      <c r="C3443" s="176"/>
      <c r="D3443" s="176"/>
      <c r="E3443" s="176"/>
      <c r="F3443" s="176"/>
      <c r="G3443" s="176"/>
      <c r="H3443" s="176"/>
      <c r="I3443" s="176"/>
      <c r="J3443" s="176"/>
      <c r="K3443" s="176"/>
      <c r="L3443" s="176"/>
      <c r="M3443" s="176"/>
      <c r="N3443" s="176"/>
      <c r="O3443" s="176"/>
      <c r="P3443" s="176"/>
      <c r="Q3443" s="176"/>
      <c r="R3443" s="176"/>
      <c r="S3443" s="176"/>
      <c r="T3443" s="176"/>
      <c r="U3443" s="176"/>
      <c r="V3443" s="176"/>
      <c r="W3443" s="176"/>
      <c r="X3443" s="176"/>
      <c r="Y3443" s="176"/>
    </row>
    <row r="3444" spans="1:25">
      <c r="A3444" s="91"/>
      <c r="B3444" s="176"/>
      <c r="C3444" s="176"/>
      <c r="D3444" s="176"/>
      <c r="E3444" s="176"/>
      <c r="F3444" s="176"/>
      <c r="G3444" s="176"/>
      <c r="H3444" s="176"/>
      <c r="I3444" s="176"/>
      <c r="J3444" s="176"/>
      <c r="K3444" s="176"/>
      <c r="L3444" s="176"/>
      <c r="M3444" s="176"/>
      <c r="N3444" s="176"/>
      <c r="O3444" s="176"/>
      <c r="P3444" s="176"/>
      <c r="Q3444" s="176"/>
      <c r="R3444" s="176"/>
      <c r="S3444" s="176"/>
      <c r="T3444" s="176"/>
      <c r="U3444" s="176"/>
      <c r="V3444" s="176"/>
      <c r="W3444" s="176"/>
      <c r="X3444" s="176"/>
      <c r="Y3444" s="176"/>
    </row>
    <row r="3445" spans="1:25">
      <c r="A3445" s="91"/>
      <c r="B3445" s="176"/>
      <c r="C3445" s="176"/>
      <c r="D3445" s="176"/>
      <c r="E3445" s="176"/>
      <c r="F3445" s="176"/>
      <c r="G3445" s="176"/>
      <c r="H3445" s="176"/>
      <c r="I3445" s="176"/>
      <c r="J3445" s="176"/>
      <c r="K3445" s="176"/>
      <c r="L3445" s="176"/>
      <c r="M3445" s="176"/>
      <c r="N3445" s="176"/>
      <c r="O3445" s="176"/>
      <c r="P3445" s="176"/>
      <c r="Q3445" s="176"/>
      <c r="R3445" s="176"/>
      <c r="S3445" s="176"/>
      <c r="T3445" s="176"/>
      <c r="U3445" s="176"/>
      <c r="V3445" s="176"/>
      <c r="W3445" s="176"/>
      <c r="X3445" s="176"/>
      <c r="Y3445" s="176"/>
    </row>
    <row r="3446" spans="1:25">
      <c r="A3446" s="91"/>
      <c r="B3446" s="176"/>
      <c r="C3446" s="176"/>
      <c r="D3446" s="176"/>
      <c r="E3446" s="176"/>
      <c r="F3446" s="176"/>
      <c r="G3446" s="176"/>
      <c r="H3446" s="176"/>
      <c r="I3446" s="176"/>
      <c r="J3446" s="176"/>
      <c r="K3446" s="176"/>
      <c r="L3446" s="176"/>
      <c r="M3446" s="176"/>
      <c r="N3446" s="176"/>
      <c r="O3446" s="176"/>
      <c r="P3446" s="176"/>
      <c r="Q3446" s="176"/>
      <c r="R3446" s="176"/>
      <c r="S3446" s="176"/>
      <c r="T3446" s="176"/>
      <c r="U3446" s="176"/>
      <c r="V3446" s="176"/>
      <c r="W3446" s="176"/>
      <c r="X3446" s="176"/>
      <c r="Y3446" s="176"/>
    </row>
    <row r="3447" spans="1:25">
      <c r="A3447" s="91"/>
      <c r="B3447" s="176"/>
      <c r="C3447" s="176"/>
      <c r="D3447" s="176"/>
      <c r="E3447" s="176"/>
      <c r="F3447" s="176"/>
      <c r="G3447" s="176"/>
      <c r="H3447" s="176"/>
      <c r="I3447" s="176"/>
      <c r="J3447" s="176"/>
      <c r="K3447" s="176"/>
      <c r="L3447" s="176"/>
      <c r="M3447" s="176"/>
      <c r="N3447" s="176"/>
      <c r="O3447" s="176"/>
      <c r="P3447" s="176"/>
      <c r="Q3447" s="176"/>
      <c r="R3447" s="176"/>
      <c r="S3447" s="176"/>
      <c r="T3447" s="176"/>
      <c r="U3447" s="176"/>
      <c r="V3447" s="176"/>
      <c r="W3447" s="176"/>
      <c r="X3447" s="176"/>
      <c r="Y3447" s="176"/>
    </row>
    <row r="3448" spans="1:25">
      <c r="A3448" s="91"/>
      <c r="B3448" s="176"/>
      <c r="C3448" s="176"/>
      <c r="D3448" s="176"/>
      <c r="E3448" s="176"/>
      <c r="F3448" s="176"/>
      <c r="G3448" s="176"/>
      <c r="H3448" s="176"/>
      <c r="I3448" s="176"/>
      <c r="J3448" s="176"/>
      <c r="K3448" s="176"/>
      <c r="L3448" s="176"/>
      <c r="M3448" s="176"/>
      <c r="N3448" s="176"/>
      <c r="O3448" s="176"/>
      <c r="P3448" s="176"/>
      <c r="Q3448" s="176"/>
      <c r="R3448" s="176"/>
      <c r="S3448" s="176"/>
      <c r="T3448" s="176"/>
      <c r="U3448" s="176"/>
      <c r="V3448" s="176"/>
      <c r="W3448" s="176"/>
      <c r="X3448" s="176"/>
      <c r="Y3448" s="176"/>
    </row>
    <row r="3449" spans="1:25">
      <c r="A3449" s="91"/>
      <c r="B3449" s="176"/>
      <c r="C3449" s="176"/>
      <c r="D3449" s="176"/>
      <c r="E3449" s="176"/>
      <c r="F3449" s="176"/>
      <c r="G3449" s="176"/>
      <c r="H3449" s="176"/>
      <c r="I3449" s="176"/>
      <c r="J3449" s="176"/>
      <c r="K3449" s="176"/>
      <c r="L3449" s="176"/>
      <c r="M3449" s="176"/>
      <c r="N3449" s="176"/>
      <c r="O3449" s="176"/>
      <c r="P3449" s="176"/>
      <c r="Q3449" s="176"/>
      <c r="R3449" s="176"/>
      <c r="S3449" s="176"/>
      <c r="T3449" s="176"/>
      <c r="U3449" s="176"/>
      <c r="V3449" s="176"/>
      <c r="W3449" s="176"/>
      <c r="X3449" s="176"/>
      <c r="Y3449" s="176"/>
    </row>
    <row r="3450" spans="1:25">
      <c r="A3450" s="91"/>
      <c r="B3450" s="176"/>
      <c r="C3450" s="176"/>
      <c r="D3450" s="176"/>
      <c r="E3450" s="176"/>
      <c r="F3450" s="176"/>
      <c r="G3450" s="176"/>
      <c r="H3450" s="176"/>
      <c r="I3450" s="176"/>
      <c r="J3450" s="176"/>
      <c r="K3450" s="176"/>
      <c r="L3450" s="176"/>
      <c r="M3450" s="176"/>
      <c r="N3450" s="176"/>
      <c r="O3450" s="176"/>
      <c r="P3450" s="176"/>
      <c r="Q3450" s="176"/>
      <c r="R3450" s="176"/>
      <c r="S3450" s="176"/>
      <c r="T3450" s="176"/>
      <c r="U3450" s="176"/>
      <c r="V3450" s="176"/>
      <c r="W3450" s="176"/>
      <c r="X3450" s="176"/>
      <c r="Y3450" s="176"/>
    </row>
    <row r="3451" spans="1:25">
      <c r="A3451" s="91"/>
      <c r="B3451" s="176"/>
      <c r="C3451" s="176"/>
      <c r="D3451" s="176"/>
      <c r="E3451" s="176"/>
      <c r="F3451" s="176"/>
      <c r="G3451" s="176"/>
      <c r="H3451" s="176"/>
      <c r="I3451" s="176"/>
      <c r="J3451" s="176"/>
      <c r="K3451" s="176"/>
      <c r="L3451" s="176"/>
      <c r="M3451" s="176"/>
      <c r="N3451" s="176"/>
      <c r="O3451" s="176"/>
      <c r="P3451" s="176"/>
      <c r="Q3451" s="176"/>
      <c r="R3451" s="176"/>
      <c r="S3451" s="176"/>
      <c r="T3451" s="176"/>
      <c r="U3451" s="176"/>
      <c r="V3451" s="176"/>
      <c r="W3451" s="176"/>
      <c r="X3451" s="176"/>
      <c r="Y3451" s="176"/>
    </row>
    <row r="3452" spans="1:25">
      <c r="A3452" s="91"/>
      <c r="B3452" s="176"/>
      <c r="C3452" s="176"/>
      <c r="D3452" s="176"/>
      <c r="E3452" s="176"/>
      <c r="F3452" s="176"/>
      <c r="G3452" s="176"/>
      <c r="H3452" s="176"/>
      <c r="I3452" s="176"/>
      <c r="J3452" s="176"/>
      <c r="K3452" s="176"/>
      <c r="L3452" s="176"/>
      <c r="M3452" s="176"/>
      <c r="N3452" s="176"/>
      <c r="O3452" s="176"/>
      <c r="P3452" s="176"/>
      <c r="Q3452" s="176"/>
      <c r="R3452" s="176"/>
      <c r="S3452" s="176"/>
      <c r="T3452" s="176"/>
      <c r="U3452" s="176"/>
      <c r="V3452" s="176"/>
      <c r="W3452" s="176"/>
      <c r="X3452" s="176"/>
      <c r="Y3452" s="176"/>
    </row>
    <row r="3453" spans="1:25">
      <c r="A3453" s="91"/>
      <c r="B3453" s="176"/>
      <c r="C3453" s="176"/>
      <c r="D3453" s="176"/>
      <c r="E3453" s="176"/>
      <c r="F3453" s="176"/>
      <c r="G3453" s="176"/>
      <c r="H3453" s="176"/>
      <c r="I3453" s="176"/>
      <c r="J3453" s="176"/>
      <c r="K3453" s="176"/>
      <c r="L3453" s="176"/>
      <c r="M3453" s="176"/>
      <c r="N3453" s="176"/>
      <c r="O3453" s="176"/>
      <c r="P3453" s="176"/>
      <c r="Q3453" s="176"/>
      <c r="R3453" s="176"/>
      <c r="S3453" s="176"/>
      <c r="T3453" s="176"/>
      <c r="U3453" s="176"/>
      <c r="V3453" s="176"/>
      <c r="W3453" s="176"/>
      <c r="X3453" s="176"/>
      <c r="Y3453" s="176"/>
    </row>
    <row r="3454" spans="1:25">
      <c r="A3454" s="91"/>
      <c r="B3454" s="176"/>
      <c r="C3454" s="176"/>
      <c r="D3454" s="176"/>
      <c r="E3454" s="176"/>
      <c r="F3454" s="176"/>
      <c r="G3454" s="176"/>
      <c r="H3454" s="176"/>
      <c r="I3454" s="176"/>
      <c r="J3454" s="176"/>
      <c r="K3454" s="176"/>
      <c r="L3454" s="176"/>
      <c r="M3454" s="176"/>
      <c r="N3454" s="176"/>
      <c r="O3454" s="176"/>
      <c r="P3454" s="176"/>
      <c r="Q3454" s="176"/>
      <c r="R3454" s="176"/>
      <c r="S3454" s="176"/>
      <c r="T3454" s="176"/>
      <c r="U3454" s="176"/>
      <c r="V3454" s="176"/>
      <c r="W3454" s="176"/>
      <c r="X3454" s="176"/>
      <c r="Y3454" s="176"/>
    </row>
    <row r="3455" spans="1:25">
      <c r="A3455" s="91"/>
      <c r="B3455" s="176"/>
      <c r="C3455" s="176"/>
      <c r="D3455" s="176"/>
      <c r="E3455" s="176"/>
      <c r="F3455" s="176"/>
      <c r="G3455" s="176"/>
      <c r="H3455" s="176"/>
      <c r="I3455" s="176"/>
      <c r="J3455" s="176"/>
      <c r="K3455" s="176"/>
      <c r="L3455" s="176"/>
      <c r="M3455" s="176"/>
      <c r="N3455" s="176"/>
      <c r="O3455" s="176"/>
      <c r="P3455" s="176"/>
      <c r="Q3455" s="176"/>
      <c r="R3455" s="176"/>
      <c r="S3455" s="176"/>
      <c r="T3455" s="176"/>
      <c r="U3455" s="176"/>
      <c r="V3455" s="176"/>
      <c r="W3455" s="176"/>
      <c r="X3455" s="176"/>
      <c r="Y3455" s="176"/>
    </row>
    <row r="3456" spans="1:25">
      <c r="A3456" s="91"/>
      <c r="B3456" s="176"/>
      <c r="C3456" s="176"/>
      <c r="D3456" s="176"/>
      <c r="E3456" s="176"/>
      <c r="F3456" s="176"/>
      <c r="G3456" s="176"/>
      <c r="H3456" s="176"/>
      <c r="I3456" s="176"/>
      <c r="J3456" s="176"/>
      <c r="K3456" s="176"/>
      <c r="L3456" s="176"/>
      <c r="M3456" s="176"/>
      <c r="N3456" s="176"/>
      <c r="O3456" s="176"/>
      <c r="P3456" s="176"/>
      <c r="Q3456" s="176"/>
      <c r="R3456" s="176"/>
      <c r="S3456" s="176"/>
      <c r="T3456" s="176"/>
      <c r="U3456" s="176"/>
      <c r="V3456" s="176"/>
      <c r="W3456" s="176"/>
      <c r="X3456" s="176"/>
      <c r="Y3456" s="176"/>
    </row>
    <row r="3457" spans="1:25">
      <c r="A3457" s="91"/>
      <c r="B3457" s="176"/>
      <c r="C3457" s="176"/>
      <c r="D3457" s="176"/>
      <c r="E3457" s="176"/>
      <c r="F3457" s="176"/>
      <c r="G3457" s="176"/>
      <c r="H3457" s="176"/>
      <c r="I3457" s="176"/>
      <c r="J3457" s="176"/>
      <c r="K3457" s="176"/>
      <c r="L3457" s="176"/>
      <c r="M3457" s="176"/>
      <c r="N3457" s="176"/>
      <c r="O3457" s="176"/>
      <c r="P3457" s="176"/>
      <c r="Q3457" s="176"/>
      <c r="R3457" s="176"/>
      <c r="S3457" s="176"/>
      <c r="T3457" s="176"/>
      <c r="U3457" s="176"/>
      <c r="V3457" s="176"/>
      <c r="W3457" s="176"/>
      <c r="X3457" s="176"/>
      <c r="Y3457" s="176"/>
    </row>
    <row r="3458" spans="1:25">
      <c r="A3458" s="91"/>
      <c r="B3458" s="176"/>
      <c r="C3458" s="176"/>
      <c r="D3458" s="176"/>
      <c r="E3458" s="176"/>
      <c r="F3458" s="176"/>
      <c r="G3458" s="176"/>
      <c r="H3458" s="176"/>
      <c r="I3458" s="176"/>
      <c r="J3458" s="176"/>
      <c r="K3458" s="176"/>
      <c r="L3458" s="176"/>
      <c r="M3458" s="176"/>
      <c r="N3458" s="176"/>
      <c r="O3458" s="176"/>
      <c r="P3458" s="176"/>
      <c r="Q3458" s="176"/>
      <c r="R3458" s="176"/>
      <c r="S3458" s="176"/>
      <c r="T3458" s="176"/>
      <c r="U3458" s="176"/>
      <c r="V3458" s="176"/>
      <c r="W3458" s="176"/>
      <c r="X3458" s="176"/>
      <c r="Y3458" s="176"/>
    </row>
    <row r="3459" spans="1:25">
      <c r="A3459" s="91"/>
      <c r="B3459" s="176"/>
      <c r="C3459" s="176"/>
      <c r="D3459" s="176"/>
      <c r="E3459" s="176"/>
      <c r="F3459" s="176"/>
      <c r="G3459" s="176"/>
      <c r="H3459" s="176"/>
      <c r="I3459" s="176"/>
      <c r="J3459" s="176"/>
      <c r="K3459" s="176"/>
      <c r="L3459" s="176"/>
      <c r="M3459" s="176"/>
      <c r="N3459" s="176"/>
      <c r="O3459" s="176"/>
      <c r="P3459" s="176"/>
      <c r="Q3459" s="176"/>
      <c r="R3459" s="176"/>
      <c r="S3459" s="176"/>
      <c r="T3459" s="176"/>
      <c r="U3459" s="176"/>
      <c r="V3459" s="176"/>
      <c r="W3459" s="176"/>
      <c r="X3459" s="176"/>
      <c r="Y3459" s="176"/>
    </row>
    <row r="3460" spans="1:25">
      <c r="A3460" s="91"/>
      <c r="B3460" s="176"/>
      <c r="C3460" s="176"/>
      <c r="D3460" s="176"/>
      <c r="E3460" s="176"/>
      <c r="F3460" s="176"/>
      <c r="G3460" s="176"/>
      <c r="H3460" s="176"/>
      <c r="I3460" s="176"/>
      <c r="J3460" s="176"/>
      <c r="K3460" s="176"/>
      <c r="L3460" s="176"/>
      <c r="M3460" s="176"/>
      <c r="N3460" s="176"/>
      <c r="O3460" s="176"/>
      <c r="P3460" s="176"/>
      <c r="Q3460" s="176"/>
      <c r="R3460" s="176"/>
      <c r="S3460" s="176"/>
      <c r="T3460" s="176"/>
      <c r="U3460" s="176"/>
      <c r="V3460" s="176"/>
      <c r="W3460" s="176"/>
      <c r="X3460" s="176"/>
      <c r="Y3460" s="176"/>
    </row>
    <row r="3461" spans="1:25">
      <c r="A3461" s="91"/>
      <c r="B3461" s="176"/>
      <c r="C3461" s="176"/>
      <c r="D3461" s="176"/>
      <c r="E3461" s="176"/>
      <c r="F3461" s="176"/>
      <c r="G3461" s="176"/>
      <c r="H3461" s="176"/>
      <c r="I3461" s="176"/>
      <c r="J3461" s="176"/>
      <c r="K3461" s="176"/>
      <c r="L3461" s="176"/>
      <c r="M3461" s="176"/>
      <c r="N3461" s="176"/>
      <c r="O3461" s="176"/>
      <c r="P3461" s="176"/>
      <c r="Q3461" s="176"/>
      <c r="R3461" s="176"/>
      <c r="S3461" s="176"/>
      <c r="T3461" s="176"/>
      <c r="U3461" s="176"/>
      <c r="V3461" s="176"/>
      <c r="W3461" s="176"/>
      <c r="X3461" s="176"/>
      <c r="Y3461" s="176"/>
    </row>
    <row r="3462" spans="1:25">
      <c r="A3462" s="91"/>
      <c r="B3462" s="176"/>
      <c r="C3462" s="176"/>
      <c r="D3462" s="176"/>
      <c r="E3462" s="176"/>
      <c r="F3462" s="176"/>
      <c r="G3462" s="176"/>
      <c r="H3462" s="176"/>
      <c r="I3462" s="176"/>
      <c r="J3462" s="176"/>
      <c r="K3462" s="176"/>
      <c r="L3462" s="176"/>
      <c r="M3462" s="176"/>
      <c r="N3462" s="176"/>
      <c r="O3462" s="176"/>
      <c r="P3462" s="176"/>
      <c r="Q3462" s="176"/>
      <c r="R3462" s="176"/>
      <c r="S3462" s="176"/>
      <c r="T3462" s="176"/>
      <c r="U3462" s="176"/>
      <c r="V3462" s="176"/>
      <c r="W3462" s="176"/>
      <c r="X3462" s="176"/>
      <c r="Y3462" s="176"/>
    </row>
    <row r="3463" spans="1:25">
      <c r="A3463" s="91"/>
      <c r="B3463" s="176"/>
      <c r="C3463" s="176"/>
      <c r="D3463" s="176"/>
      <c r="E3463" s="176"/>
      <c r="F3463" s="176"/>
      <c r="G3463" s="176"/>
      <c r="H3463" s="176"/>
      <c r="I3463" s="176"/>
      <c r="J3463" s="176"/>
      <c r="K3463" s="176"/>
      <c r="L3463" s="176"/>
      <c r="M3463" s="176"/>
      <c r="N3463" s="176"/>
      <c r="O3463" s="176"/>
      <c r="P3463" s="176"/>
      <c r="Q3463" s="176"/>
      <c r="R3463" s="176"/>
      <c r="S3463" s="176"/>
      <c r="T3463" s="176"/>
      <c r="U3463" s="176"/>
      <c r="V3463" s="176"/>
      <c r="W3463" s="176"/>
      <c r="X3463" s="176"/>
      <c r="Y3463" s="176"/>
    </row>
    <row r="3464" spans="1:25">
      <c r="A3464" s="91"/>
      <c r="B3464" s="176"/>
      <c r="C3464" s="176"/>
      <c r="D3464" s="176"/>
      <c r="E3464" s="176"/>
      <c r="F3464" s="176"/>
      <c r="G3464" s="176"/>
      <c r="H3464" s="176"/>
      <c r="I3464" s="176"/>
      <c r="J3464" s="176"/>
      <c r="K3464" s="176"/>
      <c r="L3464" s="176"/>
      <c r="M3464" s="176"/>
      <c r="N3464" s="176"/>
      <c r="O3464" s="176"/>
      <c r="P3464" s="176"/>
      <c r="Q3464" s="176"/>
      <c r="R3464" s="176"/>
      <c r="S3464" s="176"/>
      <c r="T3464" s="176"/>
      <c r="U3464" s="176"/>
      <c r="V3464" s="176"/>
      <c r="W3464" s="176"/>
      <c r="X3464" s="176"/>
      <c r="Y3464" s="176"/>
    </row>
    <row r="3465" spans="1:25">
      <c r="A3465" s="91"/>
      <c r="B3465" s="176"/>
      <c r="C3465" s="176"/>
      <c r="D3465" s="176"/>
      <c r="E3465" s="176"/>
      <c r="F3465" s="176"/>
      <c r="G3465" s="176"/>
      <c r="H3465" s="176"/>
      <c r="I3465" s="176"/>
      <c r="J3465" s="176"/>
      <c r="K3465" s="176"/>
      <c r="L3465" s="176"/>
      <c r="M3465" s="176"/>
      <c r="N3465" s="176"/>
      <c r="O3465" s="176"/>
      <c r="P3465" s="176"/>
      <c r="Q3465" s="176"/>
      <c r="R3465" s="176"/>
      <c r="S3465" s="176"/>
      <c r="T3465" s="176"/>
      <c r="U3465" s="176"/>
      <c r="V3465" s="176"/>
      <c r="W3465" s="176"/>
      <c r="X3465" s="176"/>
      <c r="Y3465" s="176"/>
    </row>
    <row r="3466" spans="1:25">
      <c r="A3466" s="91"/>
      <c r="B3466" s="176"/>
      <c r="C3466" s="176"/>
      <c r="D3466" s="176"/>
      <c r="E3466" s="176"/>
      <c r="F3466" s="176"/>
      <c r="G3466" s="176"/>
      <c r="H3466" s="176"/>
      <c r="I3466" s="176"/>
      <c r="J3466" s="176"/>
      <c r="K3466" s="176"/>
      <c r="L3466" s="176"/>
      <c r="M3466" s="176"/>
      <c r="N3466" s="176"/>
      <c r="O3466" s="176"/>
      <c r="P3466" s="176"/>
      <c r="Q3466" s="176"/>
      <c r="R3466" s="176"/>
      <c r="S3466" s="176"/>
      <c r="T3466" s="176"/>
      <c r="U3466" s="176"/>
      <c r="V3466" s="176"/>
      <c r="W3466" s="176"/>
      <c r="X3466" s="176"/>
      <c r="Y3466" s="176"/>
    </row>
    <row r="3467" spans="1:25">
      <c r="A3467" s="91"/>
      <c r="B3467" s="176"/>
      <c r="C3467" s="176"/>
      <c r="D3467" s="176"/>
      <c r="E3467" s="176"/>
      <c r="F3467" s="176"/>
      <c r="G3467" s="176"/>
      <c r="H3467" s="176"/>
      <c r="I3467" s="176"/>
      <c r="J3467" s="176"/>
      <c r="K3467" s="176"/>
      <c r="L3467" s="176"/>
      <c r="M3467" s="176"/>
      <c r="N3467" s="176"/>
      <c r="O3467" s="176"/>
      <c r="P3467" s="176"/>
      <c r="Q3467" s="176"/>
      <c r="R3467" s="176"/>
      <c r="S3467" s="176"/>
      <c r="T3467" s="176"/>
      <c r="U3467" s="176"/>
      <c r="V3467" s="176"/>
      <c r="W3467" s="176"/>
      <c r="X3467" s="176"/>
      <c r="Y3467" s="176"/>
    </row>
    <row r="3468" spans="1:25">
      <c r="A3468" s="91"/>
      <c r="B3468" s="176"/>
      <c r="C3468" s="176"/>
      <c r="D3468" s="176"/>
      <c r="E3468" s="176"/>
      <c r="F3468" s="176"/>
      <c r="G3468" s="176"/>
      <c r="H3468" s="176"/>
      <c r="I3468" s="176"/>
      <c r="J3468" s="176"/>
      <c r="K3468" s="176"/>
      <c r="L3468" s="176"/>
      <c r="M3468" s="176"/>
      <c r="N3468" s="176"/>
      <c r="O3468" s="176"/>
      <c r="P3468" s="176"/>
      <c r="Q3468" s="176"/>
      <c r="R3468" s="176"/>
      <c r="S3468" s="176"/>
      <c r="T3468" s="176"/>
      <c r="U3468" s="176"/>
      <c r="V3468" s="176"/>
      <c r="W3468" s="176"/>
      <c r="X3468" s="176"/>
      <c r="Y3468" s="176"/>
    </row>
    <row r="3469" spans="1:25">
      <c r="A3469" s="91"/>
      <c r="B3469" s="176"/>
      <c r="C3469" s="176"/>
      <c r="D3469" s="176"/>
      <c r="E3469" s="176"/>
      <c r="F3469" s="176"/>
      <c r="G3469" s="176"/>
      <c r="H3469" s="176"/>
      <c r="I3469" s="176"/>
      <c r="J3469" s="176"/>
      <c r="K3469" s="176"/>
      <c r="L3469" s="176"/>
      <c r="M3469" s="176"/>
      <c r="N3469" s="176"/>
      <c r="O3469" s="176"/>
      <c r="P3469" s="176"/>
      <c r="Q3469" s="176"/>
      <c r="R3469" s="176"/>
      <c r="S3469" s="176"/>
      <c r="T3469" s="176"/>
      <c r="U3469" s="176"/>
      <c r="V3469" s="176"/>
      <c r="W3469" s="176"/>
      <c r="X3469" s="176"/>
      <c r="Y3469" s="176"/>
    </row>
    <row r="3470" spans="1:25">
      <c r="A3470" s="91"/>
      <c r="B3470" s="176"/>
      <c r="C3470" s="176"/>
      <c r="D3470" s="176"/>
      <c r="E3470" s="176"/>
      <c r="F3470" s="176"/>
      <c r="G3470" s="176"/>
      <c r="H3470" s="176"/>
      <c r="I3470" s="176"/>
      <c r="J3470" s="176"/>
      <c r="K3470" s="176"/>
      <c r="L3470" s="176"/>
      <c r="M3470" s="176"/>
      <c r="N3470" s="176"/>
      <c r="O3470" s="176"/>
      <c r="P3470" s="176"/>
      <c r="Q3470" s="176"/>
      <c r="R3470" s="176"/>
      <c r="S3470" s="176"/>
      <c r="T3470" s="176"/>
      <c r="U3470" s="176"/>
      <c r="V3470" s="176"/>
      <c r="W3470" s="176"/>
      <c r="X3470" s="176"/>
      <c r="Y3470" s="176"/>
    </row>
    <row r="3471" spans="1:25">
      <c r="A3471" s="91"/>
      <c r="B3471" s="176"/>
      <c r="C3471" s="176"/>
      <c r="D3471" s="176"/>
      <c r="E3471" s="176"/>
      <c r="F3471" s="176"/>
      <c r="G3471" s="176"/>
      <c r="H3471" s="176"/>
      <c r="I3471" s="176"/>
      <c r="J3471" s="176"/>
      <c r="K3471" s="176"/>
      <c r="L3471" s="176"/>
      <c r="M3471" s="176"/>
      <c r="N3471" s="176"/>
      <c r="O3471" s="176"/>
      <c r="P3471" s="176"/>
      <c r="Q3471" s="176"/>
      <c r="R3471" s="176"/>
      <c r="S3471" s="176"/>
      <c r="T3471" s="176"/>
      <c r="U3471" s="176"/>
      <c r="V3471" s="176"/>
      <c r="W3471" s="176"/>
      <c r="X3471" s="176"/>
      <c r="Y3471" s="176"/>
    </row>
    <row r="3472" spans="1:25">
      <c r="A3472" s="91"/>
      <c r="B3472" s="176"/>
      <c r="C3472" s="176"/>
      <c r="D3472" s="176"/>
      <c r="E3472" s="176"/>
      <c r="F3472" s="176"/>
      <c r="G3472" s="176"/>
      <c r="H3472" s="176"/>
      <c r="I3472" s="176"/>
      <c r="J3472" s="176"/>
      <c r="K3472" s="176"/>
      <c r="L3472" s="176"/>
      <c r="M3472" s="176"/>
      <c r="N3472" s="176"/>
      <c r="O3472" s="176"/>
      <c r="P3472" s="176"/>
      <c r="Q3472" s="176"/>
      <c r="R3472" s="176"/>
      <c r="S3472" s="176"/>
      <c r="T3472" s="176"/>
      <c r="U3472" s="176"/>
      <c r="V3472" s="176"/>
      <c r="W3472" s="176"/>
      <c r="X3472" s="176"/>
      <c r="Y3472" s="176"/>
    </row>
    <row r="3473" spans="1:25">
      <c r="A3473" s="91"/>
      <c r="B3473" s="176"/>
      <c r="C3473" s="176"/>
      <c r="D3473" s="176"/>
      <c r="E3473" s="176"/>
      <c r="F3473" s="176"/>
      <c r="G3473" s="176"/>
      <c r="H3473" s="176"/>
      <c r="I3473" s="176"/>
      <c r="J3473" s="176"/>
      <c r="K3473" s="176"/>
      <c r="L3473" s="176"/>
      <c r="M3473" s="176"/>
      <c r="N3473" s="176"/>
      <c r="O3473" s="176"/>
      <c r="P3473" s="176"/>
      <c r="Q3473" s="176"/>
      <c r="R3473" s="176"/>
      <c r="S3473" s="176"/>
      <c r="T3473" s="176"/>
      <c r="U3473" s="176"/>
      <c r="V3473" s="176"/>
      <c r="W3473" s="176"/>
      <c r="X3473" s="176"/>
      <c r="Y3473" s="176"/>
    </row>
    <row r="3474" spans="1:25">
      <c r="A3474" s="91"/>
      <c r="B3474" s="176"/>
      <c r="C3474" s="176"/>
      <c r="D3474" s="176"/>
      <c r="E3474" s="176"/>
      <c r="F3474" s="176"/>
      <c r="G3474" s="176"/>
      <c r="H3474" s="176"/>
      <c r="I3474" s="176"/>
      <c r="J3474" s="176"/>
      <c r="K3474" s="176"/>
      <c r="L3474" s="176"/>
      <c r="M3474" s="176"/>
      <c r="N3474" s="176"/>
      <c r="O3474" s="176"/>
      <c r="P3474" s="176"/>
      <c r="Q3474" s="176"/>
      <c r="R3474" s="176"/>
      <c r="S3474" s="176"/>
      <c r="T3474" s="176"/>
      <c r="U3474" s="176"/>
      <c r="V3474" s="176"/>
      <c r="W3474" s="176"/>
      <c r="X3474" s="176"/>
      <c r="Y3474" s="176"/>
    </row>
    <row r="3475" spans="1:25">
      <c r="A3475" s="91"/>
      <c r="B3475" s="176"/>
      <c r="C3475" s="176"/>
      <c r="D3475" s="176"/>
      <c r="E3475" s="176"/>
      <c r="F3475" s="176"/>
      <c r="G3475" s="176"/>
      <c r="H3475" s="176"/>
      <c r="I3475" s="176"/>
      <c r="J3475" s="176"/>
      <c r="K3475" s="176"/>
      <c r="L3475" s="176"/>
      <c r="M3475" s="176"/>
      <c r="N3475" s="176"/>
      <c r="O3475" s="176"/>
      <c r="P3475" s="176"/>
      <c r="Q3475" s="176"/>
      <c r="R3475" s="176"/>
      <c r="S3475" s="176"/>
      <c r="T3475" s="176"/>
      <c r="U3475" s="176"/>
      <c r="V3475" s="176"/>
      <c r="W3475" s="176"/>
      <c r="X3475" s="176"/>
      <c r="Y3475" s="176"/>
    </row>
    <row r="3476" spans="1:25">
      <c r="A3476" s="91"/>
      <c r="B3476" s="176"/>
      <c r="C3476" s="176"/>
      <c r="D3476" s="176"/>
      <c r="E3476" s="176"/>
      <c r="F3476" s="176"/>
      <c r="G3476" s="176"/>
      <c r="H3476" s="176"/>
      <c r="I3476" s="176"/>
      <c r="J3476" s="176"/>
      <c r="K3476" s="176"/>
      <c r="L3476" s="176"/>
      <c r="M3476" s="176"/>
      <c r="N3476" s="176"/>
      <c r="O3476" s="176"/>
      <c r="P3476" s="176"/>
      <c r="Q3476" s="176"/>
      <c r="R3476" s="176"/>
      <c r="S3476" s="176"/>
      <c r="T3476" s="176"/>
      <c r="U3476" s="176"/>
      <c r="V3476" s="176"/>
      <c r="W3476" s="176"/>
      <c r="X3476" s="176"/>
      <c r="Y3476" s="176"/>
    </row>
    <row r="3477" spans="1:25">
      <c r="A3477" s="91"/>
      <c r="B3477" s="176"/>
      <c r="C3477" s="176"/>
      <c r="D3477" s="176"/>
      <c r="E3477" s="176"/>
      <c r="F3477" s="176"/>
      <c r="G3477" s="176"/>
      <c r="H3477" s="176"/>
      <c r="I3477" s="176"/>
      <c r="J3477" s="176"/>
      <c r="K3477" s="176"/>
      <c r="L3477" s="176"/>
      <c r="M3477" s="176"/>
      <c r="N3477" s="176"/>
      <c r="O3477" s="176"/>
      <c r="P3477" s="176"/>
      <c r="Q3477" s="176"/>
      <c r="R3477" s="176"/>
      <c r="S3477" s="176"/>
      <c r="T3477" s="176"/>
      <c r="U3477" s="176"/>
      <c r="V3477" s="176"/>
      <c r="W3477" s="176"/>
      <c r="X3477" s="176"/>
      <c r="Y3477" s="176"/>
    </row>
    <row r="3478" spans="1:25">
      <c r="A3478" s="91"/>
      <c r="B3478" s="176"/>
      <c r="C3478" s="176"/>
      <c r="D3478" s="176"/>
      <c r="E3478" s="176"/>
      <c r="F3478" s="176"/>
      <c r="G3478" s="176"/>
      <c r="H3478" s="176"/>
      <c r="I3478" s="176"/>
      <c r="J3478" s="176"/>
      <c r="K3478" s="176"/>
      <c r="L3478" s="176"/>
      <c r="M3478" s="176"/>
      <c r="N3478" s="176"/>
      <c r="O3478" s="176"/>
      <c r="P3478" s="176"/>
      <c r="Q3478" s="176"/>
      <c r="R3478" s="176"/>
      <c r="S3478" s="176"/>
      <c r="T3478" s="176"/>
      <c r="U3478" s="176"/>
      <c r="V3478" s="176"/>
      <c r="W3478" s="176"/>
      <c r="X3478" s="176"/>
      <c r="Y3478" s="176"/>
    </row>
    <row r="3479" spans="1:25">
      <c r="A3479" s="91"/>
      <c r="B3479" s="176"/>
      <c r="C3479" s="176"/>
      <c r="D3479" s="176"/>
      <c r="E3479" s="176"/>
      <c r="F3479" s="176"/>
      <c r="G3479" s="176"/>
      <c r="H3479" s="176"/>
      <c r="I3479" s="176"/>
      <c r="J3479" s="176"/>
      <c r="K3479" s="176"/>
      <c r="L3479" s="176"/>
      <c r="M3479" s="176"/>
      <c r="N3479" s="176"/>
      <c r="O3479" s="176"/>
      <c r="P3479" s="176"/>
      <c r="Q3479" s="176"/>
      <c r="R3479" s="176"/>
      <c r="S3479" s="176"/>
      <c r="T3479" s="176"/>
      <c r="U3479" s="176"/>
      <c r="V3479" s="176"/>
      <c r="W3479" s="176"/>
      <c r="X3479" s="176"/>
      <c r="Y3479" s="176"/>
    </row>
    <row r="3480" spans="1:25">
      <c r="A3480" s="91"/>
      <c r="B3480" s="176"/>
      <c r="C3480" s="176"/>
      <c r="D3480" s="176"/>
      <c r="E3480" s="176"/>
      <c r="F3480" s="176"/>
      <c r="G3480" s="176"/>
      <c r="H3480" s="176"/>
      <c r="I3480" s="176"/>
      <c r="J3480" s="176"/>
      <c r="K3480" s="176"/>
      <c r="L3480" s="176"/>
      <c r="M3480" s="176"/>
      <c r="N3480" s="176"/>
      <c r="O3480" s="176"/>
      <c r="P3480" s="176"/>
      <c r="Q3480" s="176"/>
      <c r="R3480" s="176"/>
      <c r="S3480" s="176"/>
      <c r="T3480" s="176"/>
      <c r="U3480" s="176"/>
      <c r="V3480" s="176"/>
      <c r="W3480" s="176"/>
      <c r="X3480" s="176"/>
      <c r="Y3480" s="176"/>
    </row>
    <row r="3481" spans="1:25">
      <c r="A3481" s="91"/>
      <c r="B3481" s="176"/>
      <c r="C3481" s="176"/>
      <c r="D3481" s="176"/>
      <c r="E3481" s="176"/>
      <c r="F3481" s="176"/>
      <c r="G3481" s="176"/>
      <c r="H3481" s="176"/>
      <c r="I3481" s="176"/>
      <c r="J3481" s="176"/>
      <c r="K3481" s="176"/>
      <c r="L3481" s="176"/>
      <c r="M3481" s="176"/>
      <c r="N3481" s="176"/>
      <c r="O3481" s="176"/>
      <c r="P3481" s="176"/>
      <c r="Q3481" s="176"/>
      <c r="R3481" s="176"/>
      <c r="S3481" s="176"/>
      <c r="T3481" s="176"/>
      <c r="U3481" s="176"/>
      <c r="V3481" s="176"/>
      <c r="W3481" s="176"/>
      <c r="X3481" s="176"/>
      <c r="Y3481" s="176"/>
    </row>
    <row r="3482" spans="1:25">
      <c r="A3482" s="91"/>
      <c r="B3482" s="176"/>
      <c r="C3482" s="176"/>
      <c r="D3482" s="176"/>
      <c r="E3482" s="176"/>
      <c r="F3482" s="176"/>
      <c r="G3482" s="176"/>
      <c r="H3482" s="176"/>
      <c r="I3482" s="176"/>
      <c r="J3482" s="176"/>
      <c r="K3482" s="176"/>
      <c r="L3482" s="176"/>
      <c r="M3482" s="176"/>
      <c r="N3482" s="176"/>
      <c r="O3482" s="176"/>
      <c r="P3482" s="176"/>
      <c r="Q3482" s="176"/>
      <c r="R3482" s="176"/>
      <c r="S3482" s="176"/>
      <c r="T3482" s="176"/>
      <c r="U3482" s="176"/>
      <c r="V3482" s="176"/>
      <c r="W3482" s="176"/>
      <c r="X3482" s="176"/>
      <c r="Y3482" s="176"/>
    </row>
    <row r="3483" spans="1:25">
      <c r="A3483" s="91"/>
      <c r="B3483" s="176"/>
      <c r="C3483" s="176"/>
      <c r="D3483" s="176"/>
      <c r="E3483" s="176"/>
      <c r="F3483" s="176"/>
      <c r="G3483" s="176"/>
      <c r="H3483" s="176"/>
      <c r="I3483" s="176"/>
      <c r="J3483" s="176"/>
      <c r="K3483" s="176"/>
      <c r="L3483" s="176"/>
      <c r="M3483" s="176"/>
      <c r="N3483" s="176"/>
      <c r="O3483" s="176"/>
      <c r="P3483" s="176"/>
      <c r="Q3483" s="176"/>
      <c r="R3483" s="176"/>
      <c r="S3483" s="176"/>
      <c r="T3483" s="176"/>
      <c r="U3483" s="176"/>
      <c r="V3483" s="176"/>
      <c r="W3483" s="176"/>
      <c r="X3483" s="176"/>
      <c r="Y3483" s="176"/>
    </row>
    <row r="3484" spans="1:25">
      <c r="A3484" s="91"/>
      <c r="B3484" s="176"/>
      <c r="C3484" s="176"/>
      <c r="D3484" s="176"/>
      <c r="E3484" s="176"/>
      <c r="F3484" s="176"/>
      <c r="G3484" s="176"/>
      <c r="H3484" s="176"/>
      <c r="I3484" s="176"/>
      <c r="J3484" s="176"/>
      <c r="K3484" s="176"/>
      <c r="L3484" s="176"/>
      <c r="M3484" s="176"/>
      <c r="N3484" s="176"/>
      <c r="O3484" s="176"/>
      <c r="P3484" s="176"/>
      <c r="Q3484" s="176"/>
      <c r="R3484" s="176"/>
      <c r="S3484" s="176"/>
      <c r="T3484" s="176"/>
      <c r="U3484" s="176"/>
      <c r="V3484" s="176"/>
      <c r="W3484" s="176"/>
      <c r="X3484" s="176"/>
      <c r="Y3484" s="176"/>
    </row>
    <row r="3485" spans="1:25">
      <c r="A3485" s="91"/>
      <c r="B3485" s="176"/>
      <c r="C3485" s="176"/>
      <c r="D3485" s="176"/>
      <c r="E3485" s="176"/>
      <c r="F3485" s="176"/>
      <c r="G3485" s="176"/>
      <c r="H3485" s="176"/>
      <c r="I3485" s="176"/>
      <c r="J3485" s="176"/>
      <c r="K3485" s="176"/>
      <c r="L3485" s="176"/>
      <c r="M3485" s="176"/>
      <c r="N3485" s="176"/>
      <c r="O3485" s="176"/>
      <c r="P3485" s="176"/>
      <c r="Q3485" s="176"/>
      <c r="R3485" s="176"/>
      <c r="S3485" s="176"/>
      <c r="T3485" s="176"/>
      <c r="U3485" s="176"/>
      <c r="V3485" s="176"/>
      <c r="W3485" s="176"/>
      <c r="X3485" s="176"/>
      <c r="Y3485" s="176"/>
    </row>
    <row r="3486" spans="1:25">
      <c r="A3486" s="91"/>
      <c r="B3486" s="176"/>
      <c r="C3486" s="176"/>
      <c r="D3486" s="176"/>
      <c r="E3486" s="176"/>
      <c r="F3486" s="176"/>
      <c r="G3486" s="176"/>
      <c r="H3486" s="176"/>
      <c r="I3486" s="176"/>
      <c r="J3486" s="176"/>
      <c r="K3486" s="176"/>
      <c r="L3486" s="176"/>
      <c r="M3486" s="176"/>
      <c r="N3486" s="176"/>
      <c r="O3486" s="176"/>
      <c r="P3486" s="176"/>
      <c r="Q3486" s="176"/>
      <c r="R3486" s="176"/>
      <c r="S3486" s="176"/>
      <c r="T3486" s="176"/>
      <c r="U3486" s="176"/>
      <c r="V3486" s="176"/>
      <c r="W3486" s="176"/>
      <c r="X3486" s="176"/>
      <c r="Y3486" s="176"/>
    </row>
    <row r="3487" spans="1:25">
      <c r="A3487" s="91"/>
      <c r="B3487" s="176"/>
      <c r="C3487" s="176"/>
      <c r="D3487" s="176"/>
      <c r="E3487" s="176"/>
      <c r="F3487" s="176"/>
      <c r="G3487" s="176"/>
      <c r="H3487" s="176"/>
      <c r="I3487" s="176"/>
      <c r="J3487" s="176"/>
      <c r="K3487" s="176"/>
      <c r="L3487" s="176"/>
      <c r="M3487" s="176"/>
      <c r="N3487" s="176"/>
      <c r="O3487" s="176"/>
      <c r="P3487" s="176"/>
      <c r="Q3487" s="176"/>
      <c r="R3487" s="176"/>
      <c r="S3487" s="176"/>
      <c r="T3487" s="176"/>
      <c r="U3487" s="176"/>
      <c r="V3487" s="176"/>
      <c r="W3487" s="176"/>
      <c r="X3487" s="176"/>
      <c r="Y3487" s="176"/>
    </row>
    <row r="3488" spans="1:25">
      <c r="A3488" s="91"/>
      <c r="B3488" s="176"/>
      <c r="C3488" s="176"/>
      <c r="D3488" s="176"/>
      <c r="E3488" s="176"/>
      <c r="F3488" s="176"/>
      <c r="G3488" s="176"/>
      <c r="H3488" s="176"/>
      <c r="I3488" s="176"/>
      <c r="J3488" s="176"/>
      <c r="K3488" s="176"/>
      <c r="L3488" s="176"/>
      <c r="M3488" s="176"/>
      <c r="N3488" s="176"/>
      <c r="O3488" s="176"/>
      <c r="P3488" s="176"/>
      <c r="Q3488" s="176"/>
      <c r="R3488" s="176"/>
      <c r="S3488" s="176"/>
      <c r="T3488" s="176"/>
      <c r="U3488" s="176"/>
      <c r="V3488" s="176"/>
      <c r="W3488" s="176"/>
      <c r="X3488" s="176"/>
      <c r="Y3488" s="176"/>
    </row>
    <row r="3489" spans="1:25">
      <c r="A3489" s="91"/>
      <c r="B3489" s="176"/>
      <c r="C3489" s="176"/>
      <c r="D3489" s="176"/>
      <c r="E3489" s="176"/>
      <c r="F3489" s="176"/>
      <c r="G3489" s="176"/>
      <c r="H3489" s="176"/>
      <c r="I3489" s="176"/>
      <c r="J3489" s="176"/>
      <c r="K3489" s="176"/>
      <c r="L3489" s="176"/>
      <c r="M3489" s="176"/>
      <c r="N3489" s="176"/>
      <c r="O3489" s="176"/>
      <c r="P3489" s="176"/>
      <c r="Q3489" s="176"/>
      <c r="R3489" s="176"/>
      <c r="S3489" s="176"/>
      <c r="T3489" s="176"/>
      <c r="U3489" s="176"/>
      <c r="V3489" s="176"/>
      <c r="W3489" s="176"/>
      <c r="X3489" s="176"/>
      <c r="Y3489" s="176"/>
    </row>
    <row r="3490" spans="1:25">
      <c r="A3490" s="91"/>
      <c r="B3490" s="176"/>
      <c r="C3490" s="176"/>
      <c r="D3490" s="176"/>
      <c r="E3490" s="176"/>
      <c r="F3490" s="176"/>
      <c r="G3490" s="176"/>
      <c r="H3490" s="176"/>
      <c r="I3490" s="176"/>
      <c r="J3490" s="176"/>
      <c r="K3490" s="176"/>
      <c r="L3490" s="176"/>
      <c r="M3490" s="176"/>
      <c r="N3490" s="176"/>
      <c r="O3490" s="176"/>
      <c r="P3490" s="176"/>
      <c r="Q3490" s="176"/>
      <c r="R3490" s="176"/>
      <c r="S3490" s="176"/>
      <c r="T3490" s="176"/>
      <c r="U3490" s="176"/>
      <c r="V3490" s="176"/>
      <c r="W3490" s="176"/>
      <c r="X3490" s="176"/>
      <c r="Y3490" s="176"/>
    </row>
    <row r="3491" spans="1:25">
      <c r="A3491" s="91"/>
      <c r="B3491" s="176"/>
      <c r="C3491" s="176"/>
      <c r="D3491" s="176"/>
      <c r="E3491" s="176"/>
      <c r="F3491" s="176"/>
      <c r="G3491" s="176"/>
      <c r="H3491" s="176"/>
      <c r="I3491" s="176"/>
      <c r="J3491" s="176"/>
      <c r="K3491" s="176"/>
      <c r="L3491" s="176"/>
      <c r="M3491" s="176"/>
      <c r="N3491" s="176"/>
      <c r="O3491" s="176"/>
      <c r="P3491" s="176"/>
      <c r="Q3491" s="176"/>
      <c r="R3491" s="176"/>
      <c r="S3491" s="176"/>
      <c r="T3491" s="176"/>
      <c r="U3491" s="176"/>
      <c r="V3491" s="176"/>
      <c r="W3491" s="176"/>
      <c r="X3491" s="176"/>
      <c r="Y3491" s="176"/>
    </row>
    <row r="3492" spans="1:25">
      <c r="A3492" s="91"/>
      <c r="B3492" s="176"/>
      <c r="C3492" s="176"/>
      <c r="D3492" s="176"/>
      <c r="E3492" s="176"/>
      <c r="F3492" s="176"/>
      <c r="G3492" s="176"/>
      <c r="H3492" s="176"/>
      <c r="I3492" s="176"/>
      <c r="J3492" s="176"/>
      <c r="K3492" s="176"/>
      <c r="L3492" s="176"/>
      <c r="M3492" s="176"/>
      <c r="N3492" s="176"/>
      <c r="O3492" s="176"/>
      <c r="P3492" s="176"/>
      <c r="Q3492" s="176"/>
      <c r="R3492" s="176"/>
      <c r="S3492" s="176"/>
      <c r="T3492" s="176"/>
      <c r="U3492" s="176"/>
      <c r="V3492" s="176"/>
      <c r="W3492" s="176"/>
      <c r="X3492" s="176"/>
      <c r="Y3492" s="176"/>
    </row>
    <row r="3493" spans="1:25">
      <c r="A3493" s="91"/>
      <c r="B3493" s="176"/>
      <c r="C3493" s="176"/>
      <c r="D3493" s="176"/>
      <c r="E3493" s="176"/>
      <c r="F3493" s="176"/>
      <c r="G3493" s="176"/>
      <c r="H3493" s="176"/>
      <c r="I3493" s="176"/>
      <c r="J3493" s="176"/>
      <c r="K3493" s="176"/>
      <c r="L3493" s="176"/>
      <c r="M3493" s="176"/>
      <c r="N3493" s="176"/>
      <c r="O3493" s="176"/>
      <c r="P3493" s="176"/>
      <c r="Q3493" s="176"/>
      <c r="R3493" s="176"/>
      <c r="S3493" s="176"/>
      <c r="T3493" s="176"/>
      <c r="U3493" s="176"/>
      <c r="V3493" s="176"/>
      <c r="W3493" s="176"/>
      <c r="X3493" s="176"/>
      <c r="Y3493" s="176"/>
    </row>
    <row r="3494" spans="1:25">
      <c r="A3494" s="91"/>
      <c r="B3494" s="176"/>
      <c r="C3494" s="176"/>
      <c r="D3494" s="176"/>
      <c r="E3494" s="176"/>
      <c r="F3494" s="176"/>
      <c r="G3494" s="176"/>
      <c r="H3494" s="176"/>
      <c r="I3494" s="176"/>
      <c r="J3494" s="176"/>
      <c r="K3494" s="176"/>
      <c r="L3494" s="176"/>
      <c r="M3494" s="176"/>
      <c r="N3494" s="176"/>
      <c r="O3494" s="176"/>
      <c r="P3494" s="176"/>
      <c r="Q3494" s="176"/>
      <c r="R3494" s="176"/>
      <c r="S3494" s="176"/>
      <c r="T3494" s="176"/>
      <c r="U3494" s="176"/>
      <c r="V3494" s="176"/>
      <c r="W3494" s="176"/>
      <c r="X3494" s="176"/>
      <c r="Y3494" s="176"/>
    </row>
    <row r="3495" spans="1:25">
      <c r="A3495" s="91"/>
      <c r="B3495" s="176"/>
      <c r="C3495" s="176"/>
      <c r="D3495" s="176"/>
      <c r="E3495" s="176"/>
      <c r="F3495" s="176"/>
      <c r="G3495" s="176"/>
      <c r="H3495" s="176"/>
      <c r="I3495" s="176"/>
      <c r="J3495" s="176"/>
      <c r="K3495" s="176"/>
      <c r="L3495" s="176"/>
      <c r="M3495" s="176"/>
      <c r="N3495" s="176"/>
      <c r="O3495" s="176"/>
      <c r="P3495" s="176"/>
      <c r="Q3495" s="176"/>
      <c r="R3495" s="176"/>
      <c r="S3495" s="176"/>
      <c r="T3495" s="176"/>
      <c r="U3495" s="176"/>
      <c r="V3495" s="176"/>
      <c r="W3495" s="176"/>
      <c r="X3495" s="176"/>
      <c r="Y3495" s="176"/>
    </row>
    <row r="3496" spans="1:25">
      <c r="A3496" s="91"/>
      <c r="B3496" s="176"/>
      <c r="C3496" s="176"/>
      <c r="D3496" s="176"/>
      <c r="E3496" s="176"/>
      <c r="F3496" s="176"/>
      <c r="G3496" s="176"/>
      <c r="H3496" s="176"/>
      <c r="I3496" s="176"/>
      <c r="J3496" s="176"/>
      <c r="K3496" s="176"/>
      <c r="L3496" s="176"/>
      <c r="M3496" s="176"/>
      <c r="N3496" s="176"/>
      <c r="O3496" s="176"/>
      <c r="P3496" s="176"/>
      <c r="Q3496" s="176"/>
      <c r="R3496" s="176"/>
      <c r="S3496" s="176"/>
      <c r="T3496" s="176"/>
      <c r="U3496" s="176"/>
      <c r="V3496" s="176"/>
      <c r="W3496" s="176"/>
      <c r="X3496" s="176"/>
      <c r="Y3496" s="176"/>
    </row>
    <row r="3497" spans="1:25">
      <c r="A3497" s="91"/>
      <c r="B3497" s="176"/>
      <c r="C3497" s="176"/>
      <c r="D3497" s="176"/>
      <c r="E3497" s="176"/>
      <c r="F3497" s="176"/>
      <c r="G3497" s="176"/>
      <c r="H3497" s="176"/>
      <c r="I3497" s="176"/>
      <c r="J3497" s="176"/>
      <c r="K3497" s="176"/>
      <c r="L3497" s="176"/>
      <c r="M3497" s="176"/>
      <c r="N3497" s="176"/>
      <c r="O3497" s="176"/>
      <c r="P3497" s="176"/>
      <c r="Q3497" s="176"/>
      <c r="R3497" s="176"/>
      <c r="S3497" s="176"/>
      <c r="T3497" s="176"/>
      <c r="U3497" s="176"/>
      <c r="V3497" s="176"/>
      <c r="W3497" s="176"/>
      <c r="X3497" s="176"/>
      <c r="Y3497" s="176"/>
    </row>
    <row r="3498" spans="1:25">
      <c r="A3498" s="91"/>
      <c r="B3498" s="176"/>
      <c r="C3498" s="176"/>
      <c r="D3498" s="176"/>
      <c r="E3498" s="176"/>
      <c r="F3498" s="176"/>
      <c r="G3498" s="176"/>
      <c r="H3498" s="176"/>
      <c r="I3498" s="176"/>
      <c r="J3498" s="176"/>
      <c r="K3498" s="176"/>
      <c r="L3498" s="176"/>
      <c r="M3498" s="176"/>
      <c r="N3498" s="176"/>
      <c r="O3498" s="176"/>
      <c r="P3498" s="176"/>
      <c r="Q3498" s="176"/>
      <c r="R3498" s="176"/>
      <c r="S3498" s="176"/>
      <c r="T3498" s="176"/>
      <c r="U3498" s="176"/>
      <c r="V3498" s="176"/>
      <c r="W3498" s="176"/>
      <c r="X3498" s="176"/>
      <c r="Y3498" s="176"/>
    </row>
    <row r="3499" spans="1:25">
      <c r="A3499" s="91"/>
      <c r="B3499" s="176"/>
      <c r="C3499" s="176"/>
      <c r="D3499" s="176"/>
      <c r="E3499" s="176"/>
      <c r="F3499" s="176"/>
      <c r="G3499" s="176"/>
      <c r="H3499" s="176"/>
      <c r="I3499" s="176"/>
      <c r="J3499" s="176"/>
      <c r="K3499" s="176"/>
      <c r="L3499" s="176"/>
      <c r="M3499" s="176"/>
      <c r="N3499" s="176"/>
      <c r="O3499" s="176"/>
      <c r="P3499" s="176"/>
      <c r="Q3499" s="176"/>
      <c r="R3499" s="176"/>
      <c r="S3499" s="176"/>
      <c r="T3499" s="176"/>
      <c r="U3499" s="176"/>
      <c r="V3499" s="176"/>
      <c r="W3499" s="176"/>
      <c r="X3499" s="176"/>
      <c r="Y3499" s="176"/>
    </row>
    <row r="3500" spans="1:25">
      <c r="A3500" s="91"/>
      <c r="B3500" s="176"/>
      <c r="C3500" s="176"/>
      <c r="D3500" s="176"/>
      <c r="E3500" s="176"/>
      <c r="F3500" s="176"/>
      <c r="G3500" s="176"/>
      <c r="H3500" s="176"/>
      <c r="I3500" s="176"/>
      <c r="J3500" s="176"/>
      <c r="K3500" s="176"/>
      <c r="L3500" s="176"/>
      <c r="M3500" s="176"/>
      <c r="N3500" s="176"/>
      <c r="O3500" s="176"/>
      <c r="P3500" s="176"/>
      <c r="Q3500" s="176"/>
      <c r="R3500" s="176"/>
      <c r="S3500" s="176"/>
      <c r="T3500" s="176"/>
      <c r="U3500" s="176"/>
      <c r="V3500" s="176"/>
      <c r="W3500" s="176"/>
      <c r="X3500" s="176"/>
      <c r="Y3500" s="176"/>
    </row>
    <row r="3501" spans="1:25">
      <c r="A3501" s="91"/>
      <c r="B3501" s="176"/>
      <c r="C3501" s="176"/>
      <c r="D3501" s="176"/>
      <c r="E3501" s="176"/>
      <c r="F3501" s="176"/>
      <c r="G3501" s="176"/>
      <c r="H3501" s="176"/>
      <c r="I3501" s="176"/>
      <c r="J3501" s="176"/>
      <c r="K3501" s="176"/>
      <c r="L3501" s="176"/>
      <c r="M3501" s="176"/>
      <c r="N3501" s="176"/>
      <c r="O3501" s="176"/>
      <c r="P3501" s="176"/>
      <c r="Q3501" s="176"/>
      <c r="R3501" s="176"/>
      <c r="S3501" s="176"/>
      <c r="T3501" s="176"/>
      <c r="U3501" s="176"/>
      <c r="V3501" s="176"/>
      <c r="W3501" s="176"/>
      <c r="X3501" s="176"/>
      <c r="Y3501" s="176"/>
    </row>
    <row r="3502" spans="1:25">
      <c r="A3502" s="91"/>
      <c r="B3502" s="176"/>
      <c r="C3502" s="176"/>
      <c r="D3502" s="176"/>
      <c r="E3502" s="176"/>
      <c r="F3502" s="176"/>
      <c r="G3502" s="176"/>
      <c r="H3502" s="176"/>
      <c r="I3502" s="176"/>
      <c r="J3502" s="176"/>
      <c r="K3502" s="176"/>
      <c r="L3502" s="176"/>
      <c r="M3502" s="176"/>
      <c r="N3502" s="176"/>
      <c r="O3502" s="176"/>
      <c r="P3502" s="176"/>
      <c r="Q3502" s="176"/>
      <c r="R3502" s="176"/>
      <c r="S3502" s="176"/>
      <c r="T3502" s="176"/>
      <c r="U3502" s="176"/>
      <c r="V3502" s="176"/>
      <c r="W3502" s="176"/>
      <c r="X3502" s="176"/>
      <c r="Y3502" s="176"/>
    </row>
    <row r="3503" spans="1:25">
      <c r="A3503" s="91"/>
      <c r="B3503" s="176"/>
      <c r="C3503" s="176"/>
      <c r="D3503" s="176"/>
      <c r="E3503" s="176"/>
      <c r="F3503" s="176"/>
      <c r="G3503" s="176"/>
      <c r="H3503" s="176"/>
      <c r="I3503" s="176"/>
      <c r="J3503" s="176"/>
      <c r="K3503" s="176"/>
      <c r="L3503" s="176"/>
      <c r="M3503" s="176"/>
      <c r="N3503" s="176"/>
      <c r="O3503" s="176"/>
      <c r="P3503" s="176"/>
      <c r="Q3503" s="176"/>
      <c r="R3503" s="176"/>
      <c r="S3503" s="176"/>
      <c r="T3503" s="176"/>
      <c r="U3503" s="176"/>
      <c r="V3503" s="176"/>
      <c r="W3503" s="176"/>
      <c r="X3503" s="176"/>
      <c r="Y3503" s="176"/>
    </row>
    <row r="3504" spans="1:25">
      <c r="A3504" s="91"/>
      <c r="B3504" s="176"/>
      <c r="C3504" s="176"/>
      <c r="D3504" s="176"/>
      <c r="E3504" s="176"/>
      <c r="F3504" s="176"/>
      <c r="G3504" s="176"/>
      <c r="H3504" s="176"/>
      <c r="I3504" s="176"/>
      <c r="J3504" s="176"/>
      <c r="K3504" s="176"/>
      <c r="L3504" s="176"/>
      <c r="M3504" s="176"/>
      <c r="N3504" s="176"/>
      <c r="O3504" s="176"/>
      <c r="P3504" s="176"/>
      <c r="Q3504" s="176"/>
      <c r="R3504" s="176"/>
      <c r="S3504" s="176"/>
      <c r="T3504" s="176"/>
      <c r="U3504" s="176"/>
      <c r="V3504" s="176"/>
      <c r="W3504" s="176"/>
      <c r="X3504" s="176"/>
      <c r="Y3504" s="176"/>
    </row>
    <row r="3505" spans="1:25">
      <c r="A3505" s="91"/>
      <c r="B3505" s="176"/>
      <c r="C3505" s="176"/>
      <c r="D3505" s="176"/>
      <c r="E3505" s="176"/>
      <c r="F3505" s="176"/>
      <c r="G3505" s="176"/>
      <c r="H3505" s="176"/>
      <c r="I3505" s="176"/>
      <c r="J3505" s="176"/>
      <c r="K3505" s="176"/>
      <c r="L3505" s="176"/>
      <c r="M3505" s="176"/>
      <c r="N3505" s="176"/>
      <c r="O3505" s="176"/>
      <c r="P3505" s="176"/>
      <c r="Q3505" s="176"/>
      <c r="R3505" s="176"/>
      <c r="S3505" s="176"/>
      <c r="T3505" s="176"/>
      <c r="U3505" s="176"/>
      <c r="V3505" s="176"/>
      <c r="W3505" s="176"/>
      <c r="X3505" s="176"/>
      <c r="Y3505" s="176"/>
    </row>
    <row r="3506" spans="1:25">
      <c r="A3506" s="91"/>
      <c r="B3506" s="176"/>
      <c r="C3506" s="176"/>
      <c r="D3506" s="176"/>
      <c r="E3506" s="176"/>
      <c r="F3506" s="176"/>
      <c r="G3506" s="176"/>
      <c r="H3506" s="176"/>
      <c r="I3506" s="176"/>
      <c r="J3506" s="176"/>
      <c r="K3506" s="176"/>
      <c r="L3506" s="176"/>
      <c r="M3506" s="176"/>
      <c r="N3506" s="176"/>
      <c r="O3506" s="176"/>
      <c r="P3506" s="176"/>
      <c r="Q3506" s="176"/>
      <c r="R3506" s="176"/>
      <c r="S3506" s="176"/>
      <c r="T3506" s="176"/>
      <c r="U3506" s="176"/>
      <c r="V3506" s="176"/>
      <c r="W3506" s="176"/>
      <c r="X3506" s="176"/>
      <c r="Y3506" s="176"/>
    </row>
    <row r="3507" spans="1:25">
      <c r="A3507" s="91"/>
      <c r="B3507" s="176"/>
      <c r="C3507" s="176"/>
      <c r="D3507" s="176"/>
      <c r="E3507" s="176"/>
      <c r="F3507" s="176"/>
      <c r="G3507" s="176"/>
      <c r="H3507" s="176"/>
      <c r="I3507" s="176"/>
      <c r="J3507" s="176"/>
      <c r="K3507" s="176"/>
      <c r="L3507" s="176"/>
      <c r="M3507" s="176"/>
      <c r="N3507" s="176"/>
      <c r="O3507" s="176"/>
      <c r="P3507" s="176"/>
      <c r="Q3507" s="176"/>
      <c r="R3507" s="176"/>
      <c r="S3507" s="176"/>
      <c r="T3507" s="176"/>
      <c r="U3507" s="176"/>
      <c r="V3507" s="176"/>
      <c r="W3507" s="176"/>
      <c r="X3507" s="176"/>
      <c r="Y3507" s="176"/>
    </row>
    <row r="3508" spans="1:25">
      <c r="A3508" s="91"/>
      <c r="B3508" s="176"/>
      <c r="C3508" s="176"/>
      <c r="D3508" s="176"/>
      <c r="E3508" s="176"/>
      <c r="F3508" s="176"/>
      <c r="G3508" s="176"/>
      <c r="H3508" s="176"/>
      <c r="I3508" s="176"/>
      <c r="J3508" s="176"/>
      <c r="K3508" s="176"/>
      <c r="L3508" s="176"/>
      <c r="M3508" s="176"/>
      <c r="N3508" s="176"/>
      <c r="O3508" s="176"/>
      <c r="P3508" s="176"/>
      <c r="Q3508" s="176"/>
      <c r="R3508" s="176"/>
      <c r="S3508" s="176"/>
      <c r="T3508" s="176"/>
      <c r="U3508" s="176"/>
      <c r="V3508" s="176"/>
      <c r="W3508" s="176"/>
      <c r="X3508" s="176"/>
      <c r="Y3508" s="176"/>
    </row>
    <row r="3509" spans="1:25">
      <c r="A3509" s="91"/>
      <c r="B3509" s="176"/>
      <c r="C3509" s="176"/>
      <c r="D3509" s="176"/>
      <c r="E3509" s="176"/>
      <c r="F3509" s="176"/>
      <c r="G3509" s="176"/>
      <c r="H3509" s="176"/>
      <c r="I3509" s="176"/>
      <c r="J3509" s="176"/>
      <c r="K3509" s="176"/>
      <c r="L3509" s="176"/>
      <c r="M3509" s="176"/>
      <c r="N3509" s="176"/>
      <c r="O3509" s="176"/>
      <c r="P3509" s="176"/>
      <c r="Q3509" s="176"/>
      <c r="R3509" s="176"/>
      <c r="S3509" s="176"/>
      <c r="T3509" s="176"/>
      <c r="U3509" s="176"/>
      <c r="V3509" s="176"/>
      <c r="W3509" s="176"/>
      <c r="X3509" s="176"/>
      <c r="Y3509" s="176"/>
    </row>
    <row r="3510" spans="1:25">
      <c r="A3510" s="91"/>
      <c r="B3510" s="176"/>
      <c r="C3510" s="176"/>
      <c r="D3510" s="176"/>
      <c r="E3510" s="176"/>
      <c r="F3510" s="176"/>
      <c r="G3510" s="176"/>
      <c r="H3510" s="176"/>
      <c r="I3510" s="176"/>
      <c r="J3510" s="176"/>
      <c r="K3510" s="176"/>
      <c r="L3510" s="176"/>
      <c r="M3510" s="176"/>
      <c r="N3510" s="176"/>
      <c r="O3510" s="176"/>
      <c r="P3510" s="176"/>
      <c r="Q3510" s="176"/>
      <c r="R3510" s="176"/>
      <c r="S3510" s="176"/>
      <c r="T3510" s="176"/>
      <c r="U3510" s="176"/>
      <c r="V3510" s="176"/>
      <c r="W3510" s="176"/>
      <c r="X3510" s="176"/>
      <c r="Y3510" s="176"/>
    </row>
    <row r="3511" spans="1:25">
      <c r="A3511" s="91"/>
      <c r="B3511" s="176"/>
      <c r="C3511" s="176"/>
      <c r="D3511" s="176"/>
      <c r="E3511" s="176"/>
      <c r="F3511" s="176"/>
      <c r="G3511" s="176"/>
      <c r="H3511" s="176"/>
      <c r="I3511" s="176"/>
      <c r="J3511" s="176"/>
      <c r="K3511" s="176"/>
      <c r="L3511" s="176"/>
      <c r="M3511" s="176"/>
      <c r="N3511" s="176"/>
      <c r="O3511" s="176"/>
      <c r="P3511" s="176"/>
      <c r="Q3511" s="176"/>
      <c r="R3511" s="176"/>
      <c r="S3511" s="176"/>
      <c r="T3511" s="176"/>
      <c r="U3511" s="176"/>
      <c r="V3511" s="176"/>
      <c r="W3511" s="176"/>
      <c r="X3511" s="176"/>
      <c r="Y3511" s="176"/>
    </row>
    <row r="3512" spans="1:25">
      <c r="A3512" s="91"/>
      <c r="B3512" s="176"/>
      <c r="C3512" s="176"/>
      <c r="D3512" s="176"/>
      <c r="E3512" s="176"/>
      <c r="F3512" s="176"/>
      <c r="G3512" s="176"/>
      <c r="H3512" s="176"/>
      <c r="I3512" s="176"/>
      <c r="J3512" s="176"/>
      <c r="K3512" s="176"/>
      <c r="L3512" s="176"/>
      <c r="M3512" s="176"/>
      <c r="N3512" s="176"/>
      <c r="O3512" s="176"/>
      <c r="P3512" s="176"/>
      <c r="Q3512" s="176"/>
      <c r="R3512" s="176"/>
      <c r="S3512" s="176"/>
      <c r="T3512" s="176"/>
      <c r="U3512" s="176"/>
      <c r="V3512" s="176"/>
      <c r="W3512" s="176"/>
      <c r="X3512" s="176"/>
      <c r="Y3512" s="176"/>
    </row>
    <row r="3513" spans="1:25">
      <c r="A3513" s="91"/>
      <c r="B3513" s="176"/>
      <c r="C3513" s="176"/>
      <c r="D3513" s="176"/>
      <c r="E3513" s="176"/>
      <c r="F3513" s="176"/>
      <c r="G3513" s="176"/>
      <c r="H3513" s="176"/>
      <c r="I3513" s="176"/>
      <c r="J3513" s="176"/>
      <c r="K3513" s="176"/>
      <c r="L3513" s="176"/>
      <c r="M3513" s="176"/>
      <c r="N3513" s="176"/>
      <c r="O3513" s="176"/>
      <c r="P3513" s="176"/>
      <c r="Q3513" s="176"/>
      <c r="R3513" s="176"/>
      <c r="S3513" s="176"/>
      <c r="T3513" s="176"/>
      <c r="U3513" s="176"/>
      <c r="V3513" s="176"/>
      <c r="W3513" s="176"/>
      <c r="X3513" s="176"/>
      <c r="Y3513" s="176"/>
    </row>
    <row r="3514" spans="1:25">
      <c r="A3514" s="91"/>
      <c r="B3514" s="176"/>
      <c r="C3514" s="176"/>
      <c r="D3514" s="176"/>
      <c r="E3514" s="176"/>
      <c r="F3514" s="176"/>
      <c r="G3514" s="176"/>
      <c r="H3514" s="176"/>
      <c r="I3514" s="176"/>
      <c r="J3514" s="176"/>
      <c r="K3514" s="176"/>
      <c r="L3514" s="176"/>
      <c r="M3514" s="176"/>
      <c r="N3514" s="176"/>
      <c r="O3514" s="176"/>
      <c r="P3514" s="176"/>
      <c r="Q3514" s="176"/>
      <c r="R3514" s="176"/>
      <c r="S3514" s="176"/>
      <c r="T3514" s="176"/>
      <c r="U3514" s="176"/>
      <c r="V3514" s="176"/>
      <c r="W3514" s="176"/>
      <c r="X3514" s="176"/>
      <c r="Y3514" s="176"/>
    </row>
    <row r="3515" spans="1:25">
      <c r="A3515" s="91"/>
      <c r="B3515" s="176"/>
      <c r="C3515" s="176"/>
      <c r="D3515" s="176"/>
      <c r="E3515" s="176"/>
      <c r="F3515" s="176"/>
      <c r="G3515" s="176"/>
      <c r="H3515" s="176"/>
      <c r="I3515" s="176"/>
      <c r="J3515" s="176"/>
      <c r="K3515" s="176"/>
      <c r="L3515" s="176"/>
      <c r="M3515" s="176"/>
      <c r="N3515" s="176"/>
      <c r="O3515" s="176"/>
      <c r="P3515" s="176"/>
      <c r="Q3515" s="176"/>
      <c r="R3515" s="176"/>
      <c r="S3515" s="176"/>
      <c r="T3515" s="176"/>
      <c r="U3515" s="176"/>
      <c r="V3515" s="176"/>
      <c r="W3515" s="176"/>
      <c r="X3515" s="176"/>
      <c r="Y3515" s="176"/>
    </row>
    <row r="3516" spans="1:25">
      <c r="A3516" s="91"/>
      <c r="B3516" s="176"/>
      <c r="C3516" s="176"/>
      <c r="D3516" s="176"/>
      <c r="E3516" s="176"/>
      <c r="F3516" s="176"/>
      <c r="G3516" s="176"/>
      <c r="H3516" s="176"/>
      <c r="I3516" s="176"/>
      <c r="J3516" s="176"/>
      <c r="K3516" s="176"/>
      <c r="L3516" s="176"/>
      <c r="M3516" s="176"/>
      <c r="N3516" s="176"/>
      <c r="O3516" s="176"/>
      <c r="P3516" s="176"/>
      <c r="Q3516" s="176"/>
      <c r="R3516" s="176"/>
      <c r="S3516" s="176"/>
      <c r="T3516" s="176"/>
      <c r="U3516" s="176"/>
      <c r="V3516" s="176"/>
      <c r="W3516" s="176"/>
      <c r="X3516" s="176"/>
      <c r="Y3516" s="176"/>
    </row>
    <row r="3517" spans="1:25">
      <c r="A3517" s="91"/>
      <c r="B3517" s="176"/>
      <c r="C3517" s="176"/>
      <c r="D3517" s="176"/>
      <c r="E3517" s="176"/>
      <c r="F3517" s="176"/>
      <c r="G3517" s="176"/>
      <c r="H3517" s="176"/>
      <c r="I3517" s="176"/>
      <c r="J3517" s="176"/>
      <c r="K3517" s="176"/>
      <c r="L3517" s="176"/>
      <c r="M3517" s="176"/>
      <c r="N3517" s="176"/>
      <c r="O3517" s="176"/>
      <c r="P3517" s="176"/>
      <c r="Q3517" s="176"/>
      <c r="R3517" s="176"/>
      <c r="S3517" s="176"/>
      <c r="T3517" s="176"/>
      <c r="U3517" s="176"/>
      <c r="V3517" s="176"/>
      <c r="W3517" s="176"/>
      <c r="X3517" s="176"/>
      <c r="Y3517" s="176"/>
    </row>
    <row r="3518" spans="1:25">
      <c r="A3518" s="91"/>
      <c r="B3518" s="176"/>
      <c r="C3518" s="176"/>
      <c r="D3518" s="176"/>
      <c r="E3518" s="176"/>
      <c r="F3518" s="176"/>
      <c r="G3518" s="176"/>
      <c r="H3518" s="176"/>
      <c r="I3518" s="176"/>
      <c r="J3518" s="176"/>
      <c r="K3518" s="176"/>
      <c r="L3518" s="176"/>
      <c r="M3518" s="176"/>
      <c r="N3518" s="176"/>
      <c r="O3518" s="176"/>
      <c r="P3518" s="176"/>
      <c r="Q3518" s="176"/>
      <c r="R3518" s="176"/>
      <c r="S3518" s="176"/>
      <c r="T3518" s="176"/>
      <c r="U3518" s="176"/>
      <c r="V3518" s="176"/>
      <c r="W3518" s="176"/>
      <c r="X3518" s="176"/>
      <c r="Y3518" s="176"/>
    </row>
    <row r="3519" spans="1:25">
      <c r="A3519" s="91"/>
      <c r="B3519" s="176"/>
      <c r="C3519" s="176"/>
      <c r="D3519" s="176"/>
      <c r="E3519" s="176"/>
      <c r="F3519" s="176"/>
      <c r="G3519" s="176"/>
      <c r="H3519" s="176"/>
      <c r="I3519" s="176"/>
      <c r="J3519" s="176"/>
      <c r="K3519" s="176"/>
      <c r="L3519" s="176"/>
      <c r="M3519" s="176"/>
      <c r="N3519" s="176"/>
      <c r="O3519" s="176"/>
      <c r="P3519" s="176"/>
      <c r="Q3519" s="176"/>
      <c r="R3519" s="176"/>
      <c r="S3519" s="176"/>
      <c r="T3519" s="176"/>
      <c r="U3519" s="176"/>
      <c r="V3519" s="176"/>
      <c r="W3519" s="176"/>
      <c r="X3519" s="176"/>
      <c r="Y3519" s="176"/>
    </row>
    <row r="3520" spans="1:25">
      <c r="A3520" s="91"/>
      <c r="B3520" s="176"/>
      <c r="C3520" s="176"/>
      <c r="D3520" s="176"/>
      <c r="E3520" s="176"/>
      <c r="F3520" s="176"/>
      <c r="G3520" s="176"/>
      <c r="H3520" s="176"/>
      <c r="I3520" s="176"/>
      <c r="J3520" s="176"/>
      <c r="K3520" s="176"/>
      <c r="L3520" s="176"/>
      <c r="M3520" s="176"/>
      <c r="N3520" s="176"/>
      <c r="O3520" s="176"/>
      <c r="P3520" s="176"/>
      <c r="Q3520" s="176"/>
      <c r="R3520" s="176"/>
      <c r="S3520" s="176"/>
      <c r="T3520" s="176"/>
      <c r="U3520" s="176"/>
      <c r="V3520" s="176"/>
      <c r="W3520" s="176"/>
      <c r="X3520" s="176"/>
      <c r="Y3520" s="176"/>
    </row>
    <row r="3521" spans="1:25">
      <c r="A3521" s="91"/>
      <c r="B3521" s="176"/>
      <c r="C3521" s="176"/>
      <c r="D3521" s="176"/>
      <c r="E3521" s="176"/>
      <c r="F3521" s="176"/>
      <c r="G3521" s="176"/>
      <c r="H3521" s="176"/>
      <c r="I3521" s="176"/>
      <c r="J3521" s="176"/>
      <c r="K3521" s="176"/>
      <c r="L3521" s="176"/>
      <c r="M3521" s="176"/>
      <c r="N3521" s="176"/>
      <c r="O3521" s="176"/>
      <c r="P3521" s="176"/>
      <c r="Q3521" s="176"/>
      <c r="R3521" s="176"/>
      <c r="S3521" s="176"/>
      <c r="T3521" s="176"/>
      <c r="U3521" s="176"/>
      <c r="V3521" s="176"/>
      <c r="W3521" s="176"/>
      <c r="X3521" s="176"/>
      <c r="Y3521" s="176"/>
    </row>
    <row r="3522" spans="1:25">
      <c r="A3522" s="91"/>
      <c r="B3522" s="176"/>
      <c r="C3522" s="176"/>
      <c r="D3522" s="176"/>
      <c r="E3522" s="176"/>
      <c r="F3522" s="176"/>
      <c r="G3522" s="176"/>
      <c r="H3522" s="176"/>
      <c r="I3522" s="176"/>
      <c r="J3522" s="176"/>
      <c r="K3522" s="176"/>
      <c r="L3522" s="176"/>
      <c r="M3522" s="176"/>
      <c r="N3522" s="176"/>
      <c r="O3522" s="176"/>
      <c r="P3522" s="176"/>
      <c r="Q3522" s="176"/>
      <c r="R3522" s="176"/>
      <c r="S3522" s="176"/>
      <c r="T3522" s="176"/>
      <c r="U3522" s="176"/>
      <c r="V3522" s="176"/>
      <c r="W3522" s="176"/>
      <c r="X3522" s="176"/>
      <c r="Y3522" s="176"/>
    </row>
    <row r="3523" spans="1:25">
      <c r="A3523" s="91"/>
      <c r="B3523" s="176"/>
      <c r="C3523" s="176"/>
      <c r="D3523" s="176"/>
      <c r="E3523" s="176"/>
      <c r="F3523" s="176"/>
      <c r="G3523" s="176"/>
      <c r="H3523" s="176"/>
      <c r="I3523" s="176"/>
      <c r="J3523" s="176"/>
      <c r="K3523" s="176"/>
      <c r="L3523" s="176"/>
      <c r="M3523" s="176"/>
      <c r="N3523" s="176"/>
      <c r="O3523" s="176"/>
      <c r="P3523" s="176"/>
      <c r="Q3523" s="176"/>
      <c r="R3523" s="176"/>
      <c r="S3523" s="176"/>
      <c r="T3523" s="176"/>
      <c r="U3523" s="176"/>
      <c r="V3523" s="176"/>
      <c r="W3523" s="176"/>
      <c r="X3523" s="176"/>
      <c r="Y3523" s="176"/>
    </row>
    <row r="3524" spans="1:25">
      <c r="A3524" s="91"/>
      <c r="B3524" s="176"/>
      <c r="C3524" s="176"/>
      <c r="D3524" s="176"/>
      <c r="E3524" s="176"/>
      <c r="F3524" s="176"/>
      <c r="G3524" s="176"/>
      <c r="H3524" s="176"/>
      <c r="I3524" s="176"/>
      <c r="J3524" s="176"/>
      <c r="K3524" s="176"/>
      <c r="L3524" s="176"/>
      <c r="M3524" s="176"/>
      <c r="N3524" s="176"/>
      <c r="O3524" s="176"/>
      <c r="P3524" s="176"/>
      <c r="Q3524" s="176"/>
      <c r="R3524" s="176"/>
      <c r="S3524" s="176"/>
      <c r="T3524" s="176"/>
      <c r="U3524" s="176"/>
      <c r="V3524" s="176"/>
      <c r="W3524" s="176"/>
      <c r="X3524" s="176"/>
      <c r="Y3524" s="176"/>
    </row>
    <row r="3525" spans="1:25">
      <c r="A3525" s="91"/>
      <c r="B3525" s="176"/>
      <c r="C3525" s="176"/>
      <c r="D3525" s="176"/>
      <c r="E3525" s="176"/>
      <c r="F3525" s="176"/>
      <c r="G3525" s="176"/>
      <c r="H3525" s="176"/>
      <c r="I3525" s="176"/>
      <c r="J3525" s="176"/>
      <c r="K3525" s="176"/>
      <c r="L3525" s="176"/>
      <c r="M3525" s="176"/>
      <c r="N3525" s="176"/>
      <c r="O3525" s="176"/>
      <c r="P3525" s="176"/>
      <c r="Q3525" s="176"/>
      <c r="R3525" s="176"/>
      <c r="S3525" s="176"/>
      <c r="T3525" s="176"/>
      <c r="U3525" s="176"/>
      <c r="V3525" s="176"/>
      <c r="W3525" s="176"/>
      <c r="X3525" s="176"/>
      <c r="Y3525" s="176"/>
    </row>
    <row r="3526" spans="1:25">
      <c r="A3526" s="91"/>
      <c r="B3526" s="176"/>
      <c r="C3526" s="176"/>
      <c r="D3526" s="176"/>
      <c r="E3526" s="176"/>
      <c r="F3526" s="176"/>
      <c r="G3526" s="176"/>
      <c r="H3526" s="176"/>
      <c r="I3526" s="176"/>
      <c r="J3526" s="176"/>
      <c r="K3526" s="176"/>
      <c r="L3526" s="176"/>
      <c r="M3526" s="176"/>
      <c r="N3526" s="176"/>
      <c r="O3526" s="176"/>
      <c r="P3526" s="176"/>
      <c r="Q3526" s="176"/>
      <c r="R3526" s="176"/>
      <c r="S3526" s="176"/>
      <c r="T3526" s="176"/>
      <c r="U3526" s="176"/>
      <c r="V3526" s="176"/>
      <c r="W3526" s="176"/>
      <c r="X3526" s="176"/>
      <c r="Y3526" s="176"/>
    </row>
    <row r="3527" spans="1:25">
      <c r="A3527" s="91"/>
      <c r="B3527" s="176"/>
      <c r="C3527" s="176"/>
      <c r="D3527" s="176"/>
      <c r="E3527" s="176"/>
      <c r="F3527" s="176"/>
      <c r="G3527" s="176"/>
      <c r="H3527" s="176"/>
      <c r="I3527" s="176"/>
      <c r="J3527" s="176"/>
      <c r="K3527" s="176"/>
      <c r="L3527" s="176"/>
      <c r="M3527" s="176"/>
      <c r="N3527" s="176"/>
      <c r="O3527" s="176"/>
      <c r="P3527" s="176"/>
      <c r="Q3527" s="176"/>
      <c r="R3527" s="176"/>
      <c r="S3527" s="176"/>
      <c r="T3527" s="176"/>
      <c r="U3527" s="176"/>
      <c r="V3527" s="176"/>
      <c r="W3527" s="176"/>
      <c r="X3527" s="176"/>
      <c r="Y3527" s="176"/>
    </row>
    <row r="3528" spans="1:25">
      <c r="A3528" s="91"/>
      <c r="B3528" s="176"/>
      <c r="C3528" s="176"/>
      <c r="D3528" s="176"/>
      <c r="E3528" s="176"/>
      <c r="F3528" s="176"/>
      <c r="G3528" s="176"/>
      <c r="H3528" s="176"/>
      <c r="I3528" s="176"/>
      <c r="J3528" s="176"/>
      <c r="K3528" s="176"/>
      <c r="L3528" s="176"/>
      <c r="M3528" s="176"/>
      <c r="N3528" s="176"/>
      <c r="O3528" s="176"/>
      <c r="P3528" s="176"/>
      <c r="Q3528" s="176"/>
      <c r="R3528" s="176"/>
      <c r="S3528" s="176"/>
      <c r="T3528" s="176"/>
      <c r="U3528" s="176"/>
      <c r="V3528" s="176"/>
      <c r="W3528" s="176"/>
      <c r="X3528" s="176"/>
      <c r="Y3528" s="176"/>
    </row>
    <row r="3529" spans="1:25">
      <c r="A3529" s="91"/>
      <c r="B3529" s="176"/>
      <c r="C3529" s="176"/>
      <c r="D3529" s="176"/>
      <c r="E3529" s="176"/>
      <c r="F3529" s="176"/>
      <c r="G3529" s="176"/>
      <c r="H3529" s="176"/>
      <c r="I3529" s="176"/>
      <c r="J3529" s="176"/>
      <c r="K3529" s="176"/>
      <c r="L3529" s="176"/>
      <c r="M3529" s="176"/>
      <c r="N3529" s="176"/>
      <c r="O3529" s="176"/>
      <c r="P3529" s="176"/>
      <c r="Q3529" s="176"/>
      <c r="R3529" s="176"/>
      <c r="S3529" s="176"/>
      <c r="T3529" s="176"/>
      <c r="U3529" s="176"/>
      <c r="V3529" s="176"/>
      <c r="W3529" s="176"/>
      <c r="X3529" s="176"/>
      <c r="Y3529" s="176"/>
    </row>
    <row r="3530" spans="1:25">
      <c r="A3530" s="91"/>
      <c r="B3530" s="176"/>
      <c r="C3530" s="176"/>
      <c r="D3530" s="176"/>
      <c r="E3530" s="176"/>
      <c r="F3530" s="176"/>
      <c r="G3530" s="176"/>
      <c r="H3530" s="176"/>
      <c r="I3530" s="176"/>
      <c r="J3530" s="176"/>
      <c r="K3530" s="176"/>
      <c r="L3530" s="176"/>
      <c r="M3530" s="176"/>
      <c r="N3530" s="176"/>
      <c r="O3530" s="176"/>
      <c r="P3530" s="176"/>
      <c r="Q3530" s="176"/>
      <c r="R3530" s="176"/>
      <c r="S3530" s="176"/>
      <c r="T3530" s="176"/>
      <c r="U3530" s="176"/>
      <c r="V3530" s="176"/>
      <c r="W3530" s="176"/>
      <c r="X3530" s="176"/>
      <c r="Y3530" s="176"/>
    </row>
    <row r="3531" spans="1:25">
      <c r="A3531" s="91"/>
      <c r="B3531" s="176"/>
      <c r="C3531" s="176"/>
      <c r="D3531" s="176"/>
      <c r="E3531" s="176"/>
      <c r="F3531" s="176"/>
      <c r="G3531" s="176"/>
      <c r="H3531" s="176"/>
      <c r="I3531" s="176"/>
      <c r="J3531" s="176"/>
      <c r="K3531" s="176"/>
      <c r="L3531" s="176"/>
      <c r="M3531" s="176"/>
      <c r="N3531" s="176"/>
      <c r="O3531" s="176"/>
      <c r="P3531" s="176"/>
      <c r="Q3531" s="176"/>
      <c r="R3531" s="176"/>
      <c r="S3531" s="176"/>
      <c r="T3531" s="176"/>
      <c r="U3531" s="176"/>
      <c r="V3531" s="176"/>
      <c r="W3531" s="176"/>
      <c r="X3531" s="176"/>
      <c r="Y3531" s="176"/>
    </row>
    <row r="3532" spans="1:25">
      <c r="A3532" s="91"/>
      <c r="B3532" s="176"/>
      <c r="C3532" s="176"/>
      <c r="D3532" s="176"/>
      <c r="E3532" s="176"/>
      <c r="F3532" s="176"/>
      <c r="G3532" s="176"/>
      <c r="H3532" s="176"/>
      <c r="I3532" s="176"/>
      <c r="J3532" s="176"/>
      <c r="K3532" s="176"/>
      <c r="L3532" s="176"/>
      <c r="M3532" s="176"/>
      <c r="N3532" s="176"/>
      <c r="O3532" s="176"/>
      <c r="P3532" s="176"/>
      <c r="Q3532" s="176"/>
      <c r="R3532" s="176"/>
      <c r="S3532" s="176"/>
      <c r="T3532" s="176"/>
      <c r="U3532" s="176"/>
      <c r="V3532" s="176"/>
      <c r="W3532" s="176"/>
      <c r="X3532" s="176"/>
      <c r="Y3532" s="176"/>
    </row>
    <row r="3533" spans="1:25">
      <c r="A3533" s="91"/>
      <c r="B3533" s="176"/>
      <c r="C3533" s="176"/>
      <c r="D3533" s="176"/>
      <c r="E3533" s="176"/>
      <c r="F3533" s="176"/>
      <c r="G3533" s="176"/>
      <c r="H3533" s="176"/>
      <c r="I3533" s="176"/>
      <c r="J3533" s="176"/>
      <c r="K3533" s="176"/>
      <c r="L3533" s="176"/>
      <c r="M3533" s="176"/>
      <c r="N3533" s="176"/>
      <c r="O3533" s="176"/>
      <c r="P3533" s="176"/>
      <c r="Q3533" s="176"/>
      <c r="R3533" s="176"/>
      <c r="S3533" s="176"/>
      <c r="T3533" s="176"/>
      <c r="U3533" s="176"/>
      <c r="V3533" s="176"/>
      <c r="W3533" s="176"/>
      <c r="X3533" s="176"/>
      <c r="Y3533" s="176"/>
    </row>
    <row r="3534" spans="1:25">
      <c r="A3534" s="91"/>
      <c r="B3534" s="176"/>
      <c r="C3534" s="176"/>
      <c r="D3534" s="176"/>
      <c r="E3534" s="176"/>
      <c r="F3534" s="176"/>
      <c r="G3534" s="176"/>
      <c r="H3534" s="176"/>
      <c r="I3534" s="176"/>
      <c r="J3534" s="176"/>
      <c r="K3534" s="176"/>
      <c r="L3534" s="176"/>
      <c r="M3534" s="176"/>
      <c r="N3534" s="176"/>
      <c r="O3534" s="176"/>
      <c r="P3534" s="176"/>
      <c r="Q3534" s="176"/>
      <c r="R3534" s="176"/>
      <c r="S3534" s="176"/>
      <c r="T3534" s="176"/>
      <c r="U3534" s="176"/>
      <c r="V3534" s="176"/>
      <c r="W3534" s="176"/>
      <c r="X3534" s="176"/>
      <c r="Y3534" s="176"/>
    </row>
    <row r="3535" spans="1:25">
      <c r="A3535" s="91"/>
      <c r="B3535" s="176"/>
      <c r="C3535" s="176"/>
      <c r="D3535" s="176"/>
      <c r="E3535" s="176"/>
      <c r="F3535" s="176"/>
      <c r="G3535" s="176"/>
      <c r="H3535" s="176"/>
      <c r="I3535" s="176"/>
      <c r="J3535" s="176"/>
      <c r="K3535" s="176"/>
      <c r="L3535" s="176"/>
      <c r="M3535" s="176"/>
      <c r="N3535" s="176"/>
      <c r="O3535" s="176"/>
      <c r="P3535" s="176"/>
      <c r="Q3535" s="176"/>
      <c r="R3535" s="176"/>
      <c r="S3535" s="176"/>
      <c r="T3535" s="176"/>
      <c r="U3535" s="176"/>
      <c r="V3535" s="176"/>
      <c r="W3535" s="176"/>
      <c r="X3535" s="176"/>
      <c r="Y3535" s="176"/>
    </row>
    <row r="3536" spans="1:25">
      <c r="A3536" s="91"/>
      <c r="B3536" s="176"/>
      <c r="C3536" s="176"/>
      <c r="D3536" s="176"/>
      <c r="E3536" s="176"/>
      <c r="F3536" s="176"/>
      <c r="G3536" s="176"/>
      <c r="H3536" s="176"/>
      <c r="I3536" s="176"/>
      <c r="J3536" s="176"/>
      <c r="K3536" s="176"/>
      <c r="L3536" s="176"/>
      <c r="M3536" s="176"/>
      <c r="N3536" s="176"/>
      <c r="O3536" s="176"/>
      <c r="P3536" s="176"/>
      <c r="Q3536" s="176"/>
      <c r="R3536" s="176"/>
      <c r="S3536" s="176"/>
      <c r="T3536" s="176"/>
      <c r="U3536" s="176"/>
      <c r="V3536" s="176"/>
      <c r="W3536" s="176"/>
      <c r="X3536" s="176"/>
      <c r="Y3536" s="176"/>
    </row>
    <row r="3537" spans="1:25">
      <c r="A3537" s="91"/>
      <c r="B3537" s="176"/>
      <c r="C3537" s="176"/>
      <c r="D3537" s="176"/>
      <c r="E3537" s="176"/>
      <c r="F3537" s="176"/>
      <c r="G3537" s="176"/>
      <c r="H3537" s="176"/>
      <c r="I3537" s="176"/>
      <c r="J3537" s="176"/>
      <c r="K3537" s="176"/>
      <c r="L3537" s="176"/>
      <c r="M3537" s="176"/>
      <c r="N3537" s="176"/>
      <c r="O3537" s="176"/>
      <c r="P3537" s="176"/>
      <c r="Q3537" s="176"/>
      <c r="R3537" s="176"/>
      <c r="S3537" s="176"/>
      <c r="T3537" s="176"/>
      <c r="U3537" s="176"/>
      <c r="V3537" s="176"/>
      <c r="W3537" s="176"/>
      <c r="X3537" s="176"/>
      <c r="Y3537" s="176"/>
    </row>
    <row r="3538" spans="1:25">
      <c r="A3538" s="91"/>
      <c r="B3538" s="176"/>
      <c r="C3538" s="176"/>
      <c r="D3538" s="176"/>
      <c r="E3538" s="176"/>
      <c r="F3538" s="176"/>
      <c r="G3538" s="176"/>
      <c r="H3538" s="176"/>
      <c r="I3538" s="176"/>
      <c r="J3538" s="176"/>
      <c r="K3538" s="176"/>
      <c r="L3538" s="176"/>
      <c r="M3538" s="176"/>
      <c r="N3538" s="176"/>
      <c r="O3538" s="176"/>
      <c r="P3538" s="176"/>
      <c r="Q3538" s="176"/>
      <c r="R3538" s="176"/>
      <c r="S3538" s="176"/>
      <c r="T3538" s="176"/>
      <c r="U3538" s="176"/>
      <c r="V3538" s="176"/>
      <c r="W3538" s="176"/>
      <c r="X3538" s="176"/>
      <c r="Y3538" s="176"/>
    </row>
    <row r="3539" spans="1:25">
      <c r="A3539" s="91"/>
      <c r="B3539" s="176"/>
      <c r="C3539" s="176"/>
      <c r="D3539" s="176"/>
      <c r="E3539" s="176"/>
      <c r="F3539" s="176"/>
      <c r="G3539" s="176"/>
      <c r="H3539" s="176"/>
      <c r="I3539" s="176"/>
      <c r="J3539" s="176"/>
      <c r="K3539" s="176"/>
      <c r="L3539" s="176"/>
      <c r="M3539" s="176"/>
      <c r="N3539" s="176"/>
      <c r="O3539" s="176"/>
      <c r="P3539" s="176"/>
      <c r="Q3539" s="176"/>
      <c r="R3539" s="176"/>
      <c r="S3539" s="176"/>
      <c r="T3539" s="176"/>
      <c r="U3539" s="176"/>
      <c r="V3539" s="176"/>
      <c r="W3539" s="176"/>
      <c r="X3539" s="176"/>
      <c r="Y3539" s="176"/>
    </row>
    <row r="3540" spans="1:25">
      <c r="A3540" s="91"/>
      <c r="B3540" s="176"/>
      <c r="C3540" s="176"/>
      <c r="D3540" s="176"/>
      <c r="E3540" s="176"/>
      <c r="F3540" s="176"/>
      <c r="G3540" s="176"/>
      <c r="H3540" s="176"/>
      <c r="I3540" s="176"/>
      <c r="J3540" s="176"/>
      <c r="K3540" s="176"/>
      <c r="L3540" s="176"/>
      <c r="M3540" s="176"/>
      <c r="N3540" s="176"/>
      <c r="O3540" s="176"/>
      <c r="P3540" s="176"/>
      <c r="Q3540" s="176"/>
      <c r="R3540" s="176"/>
      <c r="S3540" s="176"/>
      <c r="T3540" s="176"/>
      <c r="U3540" s="176"/>
      <c r="V3540" s="176"/>
      <c r="W3540" s="176"/>
      <c r="X3540" s="176"/>
      <c r="Y3540" s="176"/>
    </row>
    <row r="3541" spans="1:25">
      <c r="A3541" s="91"/>
      <c r="B3541" s="176"/>
      <c r="C3541" s="176"/>
      <c r="D3541" s="176"/>
      <c r="E3541" s="176"/>
      <c r="F3541" s="176"/>
      <c r="G3541" s="176"/>
      <c r="H3541" s="176"/>
      <c r="I3541" s="176"/>
      <c r="J3541" s="176"/>
      <c r="K3541" s="176"/>
      <c r="L3541" s="176"/>
      <c r="M3541" s="176"/>
      <c r="N3541" s="176"/>
      <c r="O3541" s="176"/>
      <c r="P3541" s="176"/>
      <c r="Q3541" s="176"/>
      <c r="R3541" s="176"/>
      <c r="S3541" s="176"/>
      <c r="T3541" s="176"/>
      <c r="U3541" s="176"/>
      <c r="V3541" s="176"/>
      <c r="W3541" s="176"/>
      <c r="X3541" s="176"/>
      <c r="Y3541" s="176"/>
    </row>
    <row r="3542" spans="1:25">
      <c r="A3542" s="91"/>
      <c r="B3542" s="176"/>
      <c r="C3542" s="176"/>
      <c r="D3542" s="176"/>
      <c r="E3542" s="176"/>
      <c r="F3542" s="176"/>
      <c r="G3542" s="176"/>
      <c r="H3542" s="176"/>
      <c r="I3542" s="176"/>
      <c r="J3542" s="176"/>
      <c r="K3542" s="176"/>
      <c r="L3542" s="176"/>
      <c r="M3542" s="176"/>
      <c r="N3542" s="176"/>
      <c r="O3542" s="176"/>
      <c r="P3542" s="176"/>
      <c r="Q3542" s="176"/>
      <c r="R3542" s="176"/>
      <c r="S3542" s="176"/>
      <c r="T3542" s="176"/>
      <c r="U3542" s="176"/>
      <c r="V3542" s="176"/>
      <c r="W3542" s="176"/>
      <c r="X3542" s="176"/>
      <c r="Y3542" s="176"/>
    </row>
    <row r="3543" spans="1:25">
      <c r="A3543" s="91"/>
      <c r="B3543" s="176"/>
      <c r="C3543" s="176"/>
      <c r="D3543" s="176"/>
      <c r="E3543" s="176"/>
      <c r="F3543" s="176"/>
      <c r="G3543" s="176"/>
      <c r="H3543" s="176"/>
      <c r="I3543" s="176"/>
      <c r="J3543" s="176"/>
      <c r="K3543" s="176"/>
      <c r="L3543" s="176"/>
      <c r="M3543" s="176"/>
      <c r="N3543" s="176"/>
      <c r="O3543" s="176"/>
      <c r="P3543" s="176"/>
      <c r="Q3543" s="176"/>
      <c r="R3543" s="176"/>
      <c r="S3543" s="176"/>
      <c r="T3543" s="176"/>
      <c r="U3543" s="176"/>
      <c r="V3543" s="176"/>
      <c r="W3543" s="176"/>
      <c r="X3543" s="176"/>
      <c r="Y3543" s="176"/>
    </row>
    <row r="3544" spans="1:25">
      <c r="A3544" s="91"/>
      <c r="B3544" s="176"/>
      <c r="C3544" s="176"/>
      <c r="D3544" s="176"/>
      <c r="E3544" s="176"/>
      <c r="F3544" s="176"/>
      <c r="G3544" s="176"/>
      <c r="H3544" s="176"/>
      <c r="I3544" s="176"/>
      <c r="J3544" s="176"/>
      <c r="K3544" s="176"/>
      <c r="L3544" s="176"/>
      <c r="M3544" s="176"/>
      <c r="N3544" s="176"/>
      <c r="O3544" s="176"/>
      <c r="P3544" s="176"/>
      <c r="Q3544" s="176"/>
      <c r="R3544" s="176"/>
      <c r="S3544" s="176"/>
      <c r="T3544" s="176"/>
      <c r="U3544" s="176"/>
      <c r="V3544" s="176"/>
      <c r="W3544" s="176"/>
      <c r="X3544" s="176"/>
      <c r="Y3544" s="176"/>
    </row>
    <row r="3545" spans="1:25">
      <c r="A3545" s="91"/>
      <c r="B3545" s="176"/>
      <c r="C3545" s="176"/>
      <c r="D3545" s="176"/>
      <c r="E3545" s="176"/>
      <c r="F3545" s="176"/>
      <c r="G3545" s="176"/>
      <c r="H3545" s="176"/>
      <c r="I3545" s="176"/>
      <c r="J3545" s="176"/>
      <c r="K3545" s="176"/>
      <c r="L3545" s="176"/>
      <c r="M3545" s="176"/>
      <c r="N3545" s="176"/>
      <c r="O3545" s="176"/>
      <c r="P3545" s="176"/>
      <c r="Q3545" s="176"/>
      <c r="R3545" s="176"/>
      <c r="S3545" s="176"/>
      <c r="T3545" s="176"/>
      <c r="U3545" s="176"/>
      <c r="V3545" s="176"/>
      <c r="W3545" s="176"/>
      <c r="X3545" s="176"/>
      <c r="Y3545" s="176"/>
    </row>
    <row r="3546" spans="1:25">
      <c r="A3546" s="91"/>
      <c r="B3546" s="176"/>
      <c r="C3546" s="176"/>
      <c r="D3546" s="176"/>
      <c r="E3546" s="176"/>
      <c r="F3546" s="176"/>
      <c r="G3546" s="176"/>
      <c r="H3546" s="176"/>
      <c r="I3546" s="176"/>
      <c r="J3546" s="176"/>
      <c r="K3546" s="176"/>
      <c r="L3546" s="176"/>
      <c r="M3546" s="176"/>
      <c r="N3546" s="176"/>
      <c r="O3546" s="176"/>
      <c r="P3546" s="176"/>
      <c r="Q3546" s="176"/>
      <c r="R3546" s="176"/>
      <c r="S3546" s="176"/>
      <c r="T3546" s="176"/>
      <c r="U3546" s="176"/>
      <c r="V3546" s="176"/>
      <c r="W3546" s="176"/>
      <c r="X3546" s="176"/>
      <c r="Y3546" s="176"/>
    </row>
    <row r="3547" spans="1:25">
      <c r="A3547" s="91"/>
      <c r="B3547" s="176"/>
      <c r="C3547" s="176"/>
      <c r="D3547" s="176"/>
      <c r="E3547" s="176"/>
      <c r="F3547" s="176"/>
      <c r="G3547" s="176"/>
      <c r="H3547" s="176"/>
      <c r="I3547" s="176"/>
      <c r="J3547" s="176"/>
      <c r="K3547" s="176"/>
      <c r="L3547" s="176"/>
      <c r="M3547" s="176"/>
      <c r="N3547" s="176"/>
      <c r="O3547" s="176"/>
      <c r="P3547" s="176"/>
      <c r="Q3547" s="176"/>
      <c r="R3547" s="176"/>
      <c r="S3547" s="176"/>
      <c r="T3547" s="176"/>
      <c r="U3547" s="176"/>
      <c r="V3547" s="176"/>
      <c r="W3547" s="176"/>
      <c r="X3547" s="176"/>
      <c r="Y3547" s="176"/>
    </row>
    <row r="3548" spans="1:25">
      <c r="A3548" s="91"/>
      <c r="B3548" s="176"/>
      <c r="C3548" s="176"/>
      <c r="D3548" s="176"/>
      <c r="E3548" s="176"/>
      <c r="F3548" s="176"/>
      <c r="G3548" s="176"/>
      <c r="H3548" s="176"/>
      <c r="I3548" s="176"/>
      <c r="J3548" s="176"/>
      <c r="K3548" s="176"/>
      <c r="L3548" s="176"/>
      <c r="M3548" s="176"/>
      <c r="N3548" s="176"/>
      <c r="O3548" s="176"/>
      <c r="P3548" s="176"/>
      <c r="Q3548" s="176"/>
      <c r="R3548" s="176"/>
      <c r="S3548" s="176"/>
      <c r="T3548" s="176"/>
      <c r="U3548" s="176"/>
      <c r="V3548" s="176"/>
      <c r="W3548" s="176"/>
      <c r="X3548" s="176"/>
      <c r="Y3548" s="176"/>
    </row>
    <row r="3549" spans="1:25">
      <c r="A3549" s="91"/>
      <c r="B3549" s="176"/>
      <c r="C3549" s="176"/>
      <c r="D3549" s="176"/>
      <c r="E3549" s="176"/>
      <c r="F3549" s="176"/>
      <c r="G3549" s="176"/>
      <c r="H3549" s="176"/>
      <c r="I3549" s="176"/>
      <c r="J3549" s="176"/>
      <c r="K3549" s="176"/>
      <c r="L3549" s="176"/>
      <c r="M3549" s="176"/>
      <c r="N3549" s="176"/>
      <c r="O3549" s="176"/>
      <c r="P3549" s="176"/>
      <c r="Q3549" s="176"/>
      <c r="R3549" s="176"/>
      <c r="S3549" s="176"/>
      <c r="T3549" s="176"/>
      <c r="U3549" s="176"/>
      <c r="V3549" s="176"/>
      <c r="W3549" s="176"/>
      <c r="X3549" s="176"/>
      <c r="Y3549" s="176"/>
    </row>
    <row r="3550" spans="1:25">
      <c r="A3550" s="91"/>
      <c r="B3550" s="176"/>
      <c r="C3550" s="176"/>
      <c r="D3550" s="176"/>
      <c r="E3550" s="176"/>
      <c r="F3550" s="176"/>
      <c r="G3550" s="176"/>
      <c r="H3550" s="176"/>
      <c r="I3550" s="176"/>
      <c r="J3550" s="176"/>
      <c r="K3550" s="176"/>
      <c r="L3550" s="176"/>
      <c r="M3550" s="176"/>
      <c r="N3550" s="176"/>
      <c r="O3550" s="176"/>
      <c r="P3550" s="176"/>
      <c r="Q3550" s="176"/>
      <c r="R3550" s="176"/>
      <c r="S3550" s="176"/>
      <c r="T3550" s="176"/>
      <c r="U3550" s="176"/>
      <c r="V3550" s="176"/>
      <c r="W3550" s="176"/>
      <c r="X3550" s="176"/>
      <c r="Y3550" s="176"/>
    </row>
    <row r="3551" spans="1:25">
      <c r="A3551" s="91"/>
      <c r="B3551" s="176"/>
      <c r="C3551" s="176"/>
      <c r="D3551" s="176"/>
      <c r="E3551" s="176"/>
      <c r="F3551" s="176"/>
      <c r="G3551" s="176"/>
      <c r="H3551" s="176"/>
      <c r="I3551" s="176"/>
      <c r="J3551" s="176"/>
      <c r="K3551" s="176"/>
      <c r="L3551" s="176"/>
      <c r="M3551" s="176"/>
      <c r="N3551" s="176"/>
      <c r="O3551" s="176"/>
      <c r="P3551" s="176"/>
      <c r="Q3551" s="176"/>
      <c r="R3551" s="176"/>
      <c r="S3551" s="176"/>
      <c r="T3551" s="176"/>
      <c r="U3551" s="176"/>
      <c r="V3551" s="176"/>
      <c r="W3551" s="176"/>
      <c r="X3551" s="176"/>
      <c r="Y3551" s="176"/>
    </row>
    <row r="3552" spans="1:25">
      <c r="A3552" s="91"/>
      <c r="B3552" s="176"/>
      <c r="C3552" s="176"/>
      <c r="D3552" s="176"/>
      <c r="E3552" s="176"/>
      <c r="F3552" s="176"/>
      <c r="G3552" s="176"/>
      <c r="H3552" s="176"/>
      <c r="I3552" s="176"/>
      <c r="J3552" s="176"/>
      <c r="K3552" s="176"/>
      <c r="L3552" s="176"/>
      <c r="M3552" s="176"/>
      <c r="N3552" s="176"/>
      <c r="O3552" s="176"/>
      <c r="P3552" s="176"/>
      <c r="Q3552" s="176"/>
      <c r="R3552" s="176"/>
      <c r="S3552" s="176"/>
      <c r="T3552" s="176"/>
      <c r="U3552" s="176"/>
      <c r="V3552" s="176"/>
      <c r="W3552" s="176"/>
      <c r="X3552" s="176"/>
      <c r="Y3552" s="176"/>
    </row>
    <row r="3553" spans="1:25">
      <c r="A3553" s="91"/>
      <c r="B3553" s="176"/>
      <c r="C3553" s="176"/>
      <c r="D3553" s="176"/>
      <c r="E3553" s="176"/>
      <c r="F3553" s="176"/>
      <c r="G3553" s="176"/>
      <c r="H3553" s="176"/>
      <c r="I3553" s="176"/>
      <c r="J3553" s="176"/>
      <c r="K3553" s="176"/>
      <c r="L3553" s="176"/>
      <c r="M3553" s="176"/>
      <c r="N3553" s="176"/>
      <c r="O3553" s="176"/>
      <c r="P3553" s="176"/>
      <c r="Q3553" s="176"/>
      <c r="R3553" s="176"/>
      <c r="S3553" s="176"/>
      <c r="T3553" s="176"/>
      <c r="U3553" s="176"/>
      <c r="V3553" s="176"/>
      <c r="W3553" s="176"/>
      <c r="X3553" s="176"/>
      <c r="Y3553" s="176"/>
    </row>
    <row r="3554" spans="1:25">
      <c r="A3554" s="91"/>
      <c r="B3554" s="176"/>
      <c r="C3554" s="176"/>
      <c r="D3554" s="176"/>
      <c r="E3554" s="176"/>
      <c r="F3554" s="176"/>
      <c r="G3554" s="176"/>
      <c r="H3554" s="176"/>
      <c r="I3554" s="176"/>
      <c r="J3554" s="176"/>
      <c r="K3554" s="176"/>
      <c r="L3554" s="176"/>
      <c r="M3554" s="176"/>
      <c r="N3554" s="176"/>
      <c r="O3554" s="176"/>
      <c r="P3554" s="176"/>
      <c r="Q3554" s="176"/>
      <c r="R3554" s="176"/>
      <c r="S3554" s="176"/>
      <c r="T3554" s="176"/>
      <c r="U3554" s="176"/>
      <c r="V3554" s="176"/>
      <c r="W3554" s="176"/>
      <c r="X3554" s="176"/>
      <c r="Y3554" s="176"/>
    </row>
    <row r="3555" spans="1:25">
      <c r="A3555" s="91"/>
      <c r="B3555" s="176"/>
      <c r="C3555" s="176"/>
      <c r="D3555" s="176"/>
      <c r="E3555" s="176"/>
      <c r="F3555" s="176"/>
      <c r="G3555" s="176"/>
      <c r="H3555" s="176"/>
      <c r="I3555" s="176"/>
      <c r="J3555" s="176"/>
      <c r="K3555" s="176"/>
      <c r="L3555" s="176"/>
      <c r="M3555" s="176"/>
      <c r="N3555" s="176"/>
      <c r="O3555" s="176"/>
      <c r="P3555" s="176"/>
      <c r="Q3555" s="176"/>
      <c r="R3555" s="176"/>
      <c r="S3555" s="176"/>
      <c r="T3555" s="176"/>
      <c r="U3555" s="176"/>
      <c r="V3555" s="176"/>
      <c r="W3555" s="176"/>
      <c r="X3555" s="176"/>
      <c r="Y3555" s="176"/>
    </row>
    <row r="3556" spans="1:25">
      <c r="A3556" s="91"/>
      <c r="B3556" s="176"/>
      <c r="C3556" s="176"/>
      <c r="D3556" s="176"/>
      <c r="E3556" s="176"/>
      <c r="F3556" s="176"/>
      <c r="G3556" s="176"/>
      <c r="H3556" s="176"/>
      <c r="I3556" s="176"/>
      <c r="J3556" s="176"/>
      <c r="K3556" s="176"/>
      <c r="L3556" s="176"/>
      <c r="M3556" s="176"/>
      <c r="N3556" s="176"/>
      <c r="O3556" s="176"/>
      <c r="P3556" s="176"/>
      <c r="Q3556" s="176"/>
      <c r="R3556" s="176"/>
      <c r="S3556" s="176"/>
      <c r="T3556" s="176"/>
      <c r="U3556" s="176"/>
      <c r="V3556" s="176"/>
      <c r="W3556" s="176"/>
      <c r="X3556" s="176"/>
      <c r="Y3556" s="176"/>
    </row>
    <row r="3557" spans="1:25">
      <c r="A3557" s="91"/>
      <c r="B3557" s="176"/>
      <c r="C3557" s="176"/>
      <c r="D3557" s="176"/>
      <c r="E3557" s="176"/>
      <c r="F3557" s="176"/>
      <c r="G3557" s="176"/>
      <c r="H3557" s="176"/>
      <c r="I3557" s="176"/>
      <c r="J3557" s="176"/>
      <c r="K3557" s="176"/>
      <c r="L3557" s="176"/>
      <c r="M3557" s="176"/>
      <c r="N3557" s="176"/>
      <c r="O3557" s="176"/>
      <c r="P3557" s="176"/>
      <c r="Q3557" s="176"/>
      <c r="R3557" s="176"/>
      <c r="S3557" s="176"/>
      <c r="T3557" s="176"/>
      <c r="U3557" s="176"/>
      <c r="V3557" s="176"/>
      <c r="W3557" s="176"/>
      <c r="X3557" s="176"/>
      <c r="Y3557" s="176"/>
    </row>
    <row r="3558" spans="1:25">
      <c r="A3558" s="91"/>
      <c r="B3558" s="176"/>
      <c r="C3558" s="176"/>
      <c r="D3558" s="176"/>
      <c r="E3558" s="176"/>
      <c r="F3558" s="176"/>
      <c r="G3558" s="176"/>
      <c r="H3558" s="176"/>
      <c r="I3558" s="176"/>
      <c r="J3558" s="176"/>
      <c r="K3558" s="176"/>
      <c r="L3558" s="176"/>
      <c r="M3558" s="176"/>
      <c r="N3558" s="176"/>
      <c r="O3558" s="176"/>
      <c r="P3558" s="176"/>
      <c r="Q3558" s="176"/>
      <c r="R3558" s="176"/>
      <c r="S3558" s="176"/>
      <c r="T3558" s="176"/>
      <c r="U3558" s="176"/>
      <c r="V3558" s="176"/>
      <c r="W3558" s="176"/>
      <c r="X3558" s="176"/>
      <c r="Y3558" s="176"/>
    </row>
    <row r="3559" spans="1:25">
      <c r="A3559" s="91"/>
      <c r="B3559" s="176"/>
      <c r="C3559" s="176"/>
      <c r="D3559" s="176"/>
      <c r="E3559" s="176"/>
      <c r="F3559" s="176"/>
      <c r="G3559" s="176"/>
      <c r="H3559" s="176"/>
      <c r="I3559" s="176"/>
      <c r="J3559" s="176"/>
      <c r="K3559" s="176"/>
      <c r="L3559" s="176"/>
      <c r="M3559" s="176"/>
      <c r="N3559" s="176"/>
      <c r="O3559" s="176"/>
      <c r="P3559" s="176"/>
      <c r="Q3559" s="176"/>
      <c r="R3559" s="176"/>
      <c r="S3559" s="176"/>
      <c r="T3559" s="176"/>
      <c r="U3559" s="176"/>
      <c r="V3559" s="176"/>
      <c r="W3559" s="176"/>
      <c r="X3559" s="176"/>
      <c r="Y3559" s="176"/>
    </row>
    <row r="3560" spans="1:25">
      <c r="A3560" s="91"/>
      <c r="B3560" s="176"/>
      <c r="C3560" s="176"/>
      <c r="D3560" s="176"/>
      <c r="E3560" s="176"/>
      <c r="F3560" s="176"/>
      <c r="G3560" s="176"/>
      <c r="H3560" s="176"/>
      <c r="I3560" s="176"/>
      <c r="J3560" s="176"/>
      <c r="K3560" s="176"/>
      <c r="L3560" s="176"/>
      <c r="M3560" s="176"/>
      <c r="N3560" s="176"/>
      <c r="O3560" s="176"/>
      <c r="P3560" s="176"/>
      <c r="Q3560" s="176"/>
      <c r="R3560" s="176"/>
      <c r="S3560" s="176"/>
      <c r="T3560" s="176"/>
      <c r="U3560" s="176"/>
      <c r="V3560" s="176"/>
      <c r="W3560" s="176"/>
      <c r="X3560" s="176"/>
      <c r="Y3560" s="176"/>
    </row>
    <row r="3561" spans="1:25">
      <c r="A3561" s="91"/>
      <c r="B3561" s="176"/>
      <c r="C3561" s="176"/>
      <c r="D3561" s="176"/>
      <c r="E3561" s="176"/>
      <c r="F3561" s="176"/>
      <c r="G3561" s="176"/>
      <c r="H3561" s="176"/>
      <c r="I3561" s="176"/>
      <c r="J3561" s="176"/>
      <c r="K3561" s="176"/>
      <c r="L3561" s="176"/>
      <c r="M3561" s="176"/>
      <c r="N3561" s="176"/>
      <c r="O3561" s="176"/>
      <c r="P3561" s="176"/>
      <c r="Q3561" s="176"/>
      <c r="R3561" s="176"/>
      <c r="S3561" s="176"/>
      <c r="T3561" s="176"/>
      <c r="U3561" s="176"/>
      <c r="V3561" s="176"/>
      <c r="W3561" s="176"/>
      <c r="X3561" s="176"/>
      <c r="Y3561" s="176"/>
    </row>
    <row r="3562" spans="1:25">
      <c r="A3562" s="91"/>
      <c r="B3562" s="176"/>
      <c r="C3562" s="176"/>
      <c r="D3562" s="176"/>
      <c r="E3562" s="176"/>
      <c r="F3562" s="176"/>
      <c r="G3562" s="176"/>
      <c r="H3562" s="176"/>
      <c r="I3562" s="176"/>
      <c r="J3562" s="176"/>
      <c r="K3562" s="176"/>
      <c r="L3562" s="176"/>
      <c r="M3562" s="176"/>
      <c r="N3562" s="176"/>
      <c r="O3562" s="176"/>
      <c r="P3562" s="176"/>
      <c r="Q3562" s="176"/>
      <c r="R3562" s="176"/>
      <c r="S3562" s="176"/>
      <c r="T3562" s="176"/>
      <c r="U3562" s="176"/>
      <c r="V3562" s="176"/>
      <c r="W3562" s="176"/>
      <c r="X3562" s="176"/>
      <c r="Y3562" s="176"/>
    </row>
    <row r="3563" spans="1:25">
      <c r="A3563" s="91"/>
      <c r="B3563" s="176"/>
      <c r="C3563" s="176"/>
      <c r="D3563" s="176"/>
      <c r="E3563" s="176"/>
      <c r="F3563" s="176"/>
      <c r="G3563" s="176"/>
      <c r="H3563" s="176"/>
      <c r="I3563" s="176"/>
      <c r="J3563" s="176"/>
      <c r="K3563" s="176"/>
      <c r="L3563" s="176"/>
      <c r="M3563" s="176"/>
      <c r="N3563" s="176"/>
      <c r="O3563" s="176"/>
      <c r="P3563" s="176"/>
      <c r="Q3563" s="176"/>
      <c r="R3563" s="176"/>
      <c r="S3563" s="176"/>
      <c r="T3563" s="176"/>
      <c r="U3563" s="176"/>
      <c r="V3563" s="176"/>
      <c r="W3563" s="176"/>
      <c r="X3563" s="176"/>
      <c r="Y3563" s="176"/>
    </row>
    <row r="3564" spans="1:25">
      <c r="A3564" s="91"/>
      <c r="B3564" s="176"/>
      <c r="C3564" s="176"/>
      <c r="D3564" s="176"/>
      <c r="E3564" s="176"/>
      <c r="F3564" s="176"/>
      <c r="G3564" s="176"/>
      <c r="H3564" s="176"/>
      <c r="I3564" s="176"/>
      <c r="J3564" s="176"/>
      <c r="K3564" s="176"/>
      <c r="L3564" s="176"/>
      <c r="M3564" s="176"/>
      <c r="N3564" s="176"/>
      <c r="O3564" s="176"/>
      <c r="P3564" s="176"/>
      <c r="Q3564" s="176"/>
      <c r="R3564" s="176"/>
      <c r="S3564" s="176"/>
      <c r="T3564" s="176"/>
      <c r="U3564" s="176"/>
      <c r="V3564" s="176"/>
      <c r="W3564" s="176"/>
      <c r="X3564" s="176"/>
      <c r="Y3564" s="176"/>
    </row>
    <row r="3565" spans="1:25">
      <c r="A3565" s="91"/>
      <c r="B3565" s="176"/>
      <c r="C3565" s="176"/>
      <c r="D3565" s="176"/>
      <c r="E3565" s="176"/>
      <c r="F3565" s="176"/>
      <c r="G3565" s="176"/>
      <c r="H3565" s="176"/>
      <c r="I3565" s="176"/>
      <c r="J3565" s="176"/>
      <c r="K3565" s="176"/>
      <c r="L3565" s="176"/>
      <c r="M3565" s="176"/>
      <c r="N3565" s="176"/>
      <c r="O3565" s="176"/>
      <c r="P3565" s="176"/>
      <c r="Q3565" s="176"/>
      <c r="R3565" s="176"/>
      <c r="S3565" s="176"/>
      <c r="T3565" s="176"/>
      <c r="U3565" s="176"/>
      <c r="V3565" s="176"/>
      <c r="W3565" s="176"/>
      <c r="X3565" s="176"/>
      <c r="Y3565" s="176"/>
    </row>
    <row r="3566" spans="1:25">
      <c r="A3566" s="91"/>
      <c r="B3566" s="176"/>
      <c r="C3566" s="176"/>
      <c r="D3566" s="176"/>
      <c r="E3566" s="176"/>
      <c r="F3566" s="176"/>
      <c r="G3566" s="176"/>
      <c r="H3566" s="176"/>
      <c r="I3566" s="176"/>
      <c r="J3566" s="176"/>
      <c r="K3566" s="176"/>
      <c r="L3566" s="176"/>
      <c r="M3566" s="176"/>
      <c r="N3566" s="176"/>
      <c r="O3566" s="176"/>
      <c r="P3566" s="176"/>
      <c r="Q3566" s="176"/>
      <c r="R3566" s="176"/>
      <c r="S3566" s="176"/>
      <c r="T3566" s="176"/>
      <c r="U3566" s="176"/>
      <c r="V3566" s="176"/>
      <c r="W3566" s="176"/>
      <c r="X3566" s="176"/>
      <c r="Y3566" s="176"/>
    </row>
    <row r="3567" spans="1:25">
      <c r="A3567" s="91"/>
      <c r="B3567" s="176"/>
      <c r="C3567" s="176"/>
      <c r="D3567" s="176"/>
      <c r="E3567" s="176"/>
      <c r="F3567" s="176"/>
      <c r="G3567" s="176"/>
      <c r="H3567" s="176"/>
      <c r="I3567" s="176"/>
      <c r="J3567" s="176"/>
      <c r="K3567" s="176"/>
      <c r="L3567" s="176"/>
      <c r="M3567" s="176"/>
      <c r="N3567" s="176"/>
      <c r="O3567" s="176"/>
      <c r="P3567" s="176"/>
      <c r="Q3567" s="176"/>
      <c r="R3567" s="176"/>
      <c r="S3567" s="176"/>
      <c r="T3567" s="176"/>
      <c r="U3567" s="176"/>
      <c r="V3567" s="176"/>
      <c r="W3567" s="176"/>
      <c r="X3567" s="176"/>
      <c r="Y3567" s="176"/>
    </row>
    <row r="3568" spans="1:25">
      <c r="A3568" s="91"/>
      <c r="B3568" s="176"/>
      <c r="C3568" s="176"/>
      <c r="D3568" s="176"/>
      <c r="E3568" s="176"/>
      <c r="F3568" s="176"/>
      <c r="G3568" s="176"/>
      <c r="H3568" s="176"/>
      <c r="I3568" s="176"/>
      <c r="J3568" s="176"/>
      <c r="K3568" s="176"/>
      <c r="L3568" s="176"/>
      <c r="M3568" s="176"/>
      <c r="N3568" s="176"/>
      <c r="O3568" s="176"/>
      <c r="P3568" s="176"/>
      <c r="Q3568" s="176"/>
      <c r="R3568" s="176"/>
      <c r="S3568" s="176"/>
      <c r="T3568" s="176"/>
      <c r="U3568" s="176"/>
      <c r="V3568" s="176"/>
      <c r="W3568" s="176"/>
      <c r="X3568" s="176"/>
      <c r="Y3568" s="176"/>
    </row>
    <row r="3569" spans="1:25">
      <c r="A3569" s="91"/>
      <c r="B3569" s="176"/>
      <c r="C3569" s="176"/>
      <c r="D3569" s="176"/>
      <c r="E3569" s="176"/>
      <c r="F3569" s="176"/>
      <c r="G3569" s="176"/>
      <c r="H3569" s="176"/>
      <c r="I3569" s="176"/>
      <c r="J3569" s="176"/>
      <c r="K3569" s="176"/>
      <c r="L3569" s="176"/>
      <c r="M3569" s="176"/>
      <c r="N3569" s="176"/>
      <c r="O3569" s="176"/>
      <c r="P3569" s="176"/>
      <c r="Q3569" s="176"/>
      <c r="R3569" s="176"/>
      <c r="S3569" s="176"/>
      <c r="T3569" s="176"/>
      <c r="U3569" s="176"/>
      <c r="V3569" s="176"/>
      <c r="W3569" s="176"/>
      <c r="X3569" s="176"/>
      <c r="Y3569" s="176"/>
    </row>
    <row r="3570" spans="1:25">
      <c r="A3570" s="91"/>
      <c r="B3570" s="176"/>
      <c r="C3570" s="176"/>
      <c r="D3570" s="176"/>
      <c r="E3570" s="176"/>
      <c r="F3570" s="176"/>
      <c r="G3570" s="176"/>
      <c r="H3570" s="176"/>
      <c r="I3570" s="176"/>
      <c r="J3570" s="176"/>
      <c r="K3570" s="176"/>
      <c r="L3570" s="176"/>
      <c r="M3570" s="176"/>
      <c r="N3570" s="176"/>
      <c r="O3570" s="176"/>
      <c r="P3570" s="176"/>
      <c r="Q3570" s="176"/>
      <c r="R3570" s="176"/>
      <c r="S3570" s="176"/>
      <c r="T3570" s="176"/>
      <c r="U3570" s="176"/>
      <c r="V3570" s="176"/>
      <c r="W3570" s="176"/>
      <c r="X3570" s="176"/>
      <c r="Y3570" s="176"/>
    </row>
    <row r="3571" spans="1:25">
      <c r="A3571" s="91"/>
      <c r="B3571" s="176"/>
      <c r="C3571" s="176"/>
      <c r="D3571" s="176"/>
      <c r="E3571" s="176"/>
      <c r="F3571" s="176"/>
      <c r="G3571" s="176"/>
      <c r="H3571" s="176"/>
      <c r="I3571" s="176"/>
      <c r="J3571" s="176"/>
      <c r="K3571" s="176"/>
      <c r="L3571" s="176"/>
      <c r="M3571" s="176"/>
      <c r="N3571" s="176"/>
      <c r="O3571" s="176"/>
      <c r="P3571" s="176"/>
      <c r="Q3571" s="176"/>
      <c r="R3571" s="176"/>
      <c r="S3571" s="176"/>
      <c r="T3571" s="176"/>
      <c r="U3571" s="176"/>
      <c r="V3571" s="176"/>
      <c r="W3571" s="176"/>
      <c r="X3571" s="176"/>
      <c r="Y3571" s="176"/>
    </row>
    <row r="3572" spans="1:25">
      <c r="A3572" s="91"/>
      <c r="B3572" s="176"/>
      <c r="C3572" s="176"/>
      <c r="D3572" s="176"/>
      <c r="E3572" s="176"/>
      <c r="F3572" s="176"/>
      <c r="G3572" s="176"/>
      <c r="H3572" s="176"/>
      <c r="I3572" s="176"/>
      <c r="J3572" s="176"/>
      <c r="K3572" s="176"/>
      <c r="L3572" s="176"/>
      <c r="M3572" s="176"/>
      <c r="N3572" s="176"/>
      <c r="O3572" s="176"/>
      <c r="P3572" s="176"/>
      <c r="Q3572" s="176"/>
      <c r="R3572" s="176"/>
      <c r="S3572" s="176"/>
      <c r="T3572" s="176"/>
      <c r="U3572" s="176"/>
      <c r="V3572" s="176"/>
      <c r="W3572" s="176"/>
      <c r="X3572" s="176"/>
      <c r="Y3572" s="176"/>
    </row>
    <row r="3573" spans="1:25">
      <c r="A3573" s="91"/>
      <c r="B3573" s="176"/>
      <c r="C3573" s="176"/>
      <c r="D3573" s="176"/>
      <c r="E3573" s="176"/>
      <c r="F3573" s="176"/>
      <c r="G3573" s="176"/>
      <c r="H3573" s="176"/>
      <c r="I3573" s="176"/>
      <c r="J3573" s="176"/>
      <c r="K3573" s="176"/>
      <c r="L3573" s="176"/>
      <c r="M3573" s="176"/>
      <c r="N3573" s="176"/>
      <c r="O3573" s="176"/>
      <c r="P3573" s="176"/>
      <c r="Q3573" s="176"/>
      <c r="R3573" s="176"/>
      <c r="S3573" s="176"/>
      <c r="T3573" s="176"/>
      <c r="U3573" s="176"/>
      <c r="V3573" s="176"/>
      <c r="W3573" s="176"/>
      <c r="X3573" s="176"/>
      <c r="Y3573" s="176"/>
    </row>
    <row r="3574" spans="1:25">
      <c r="A3574" s="91"/>
      <c r="B3574" s="176"/>
      <c r="C3574" s="176"/>
      <c r="D3574" s="176"/>
      <c r="E3574" s="176"/>
      <c r="F3574" s="176"/>
      <c r="G3574" s="176"/>
      <c r="H3574" s="176"/>
      <c r="I3574" s="176"/>
      <c r="J3574" s="176"/>
      <c r="K3574" s="176"/>
      <c r="L3574" s="176"/>
      <c r="M3574" s="176"/>
      <c r="N3574" s="176"/>
      <c r="O3574" s="176"/>
      <c r="P3574" s="176"/>
      <c r="Q3574" s="176"/>
      <c r="R3574" s="176"/>
      <c r="S3574" s="176"/>
      <c r="T3574" s="176"/>
      <c r="U3574" s="176"/>
      <c r="V3574" s="176"/>
      <c r="W3574" s="176"/>
      <c r="X3574" s="176"/>
      <c r="Y3574" s="176"/>
    </row>
    <row r="3575" spans="1:25">
      <c r="A3575" s="91"/>
      <c r="B3575" s="176"/>
      <c r="C3575" s="176"/>
      <c r="D3575" s="176"/>
      <c r="E3575" s="176"/>
      <c r="F3575" s="176"/>
      <c r="G3575" s="176"/>
      <c r="H3575" s="176"/>
      <c r="I3575" s="176"/>
      <c r="J3575" s="176"/>
      <c r="K3575" s="176"/>
      <c r="L3575" s="176"/>
      <c r="M3575" s="176"/>
      <c r="N3575" s="176"/>
      <c r="O3575" s="176"/>
      <c r="P3575" s="176"/>
      <c r="Q3575" s="176"/>
      <c r="R3575" s="176"/>
      <c r="S3575" s="176"/>
      <c r="T3575" s="176"/>
      <c r="U3575" s="176"/>
      <c r="V3575" s="176"/>
      <c r="W3575" s="176"/>
      <c r="X3575" s="176"/>
      <c r="Y3575" s="176"/>
    </row>
    <row r="3576" spans="1:25">
      <c r="A3576" s="91"/>
      <c r="B3576" s="176"/>
      <c r="C3576" s="176"/>
      <c r="D3576" s="176"/>
      <c r="E3576" s="176"/>
      <c r="F3576" s="176"/>
      <c r="G3576" s="176"/>
      <c r="H3576" s="176"/>
      <c r="I3576" s="176"/>
      <c r="J3576" s="176"/>
      <c r="K3576" s="176"/>
      <c r="L3576" s="176"/>
      <c r="M3576" s="176"/>
      <c r="N3576" s="176"/>
      <c r="O3576" s="176"/>
      <c r="P3576" s="176"/>
      <c r="Q3576" s="176"/>
      <c r="R3576" s="176"/>
      <c r="S3576" s="176"/>
      <c r="T3576" s="176"/>
      <c r="U3576" s="176"/>
      <c r="V3576" s="176"/>
      <c r="W3576" s="176"/>
      <c r="X3576" s="176"/>
      <c r="Y3576" s="176"/>
    </row>
    <row r="3577" spans="1:25">
      <c r="A3577" s="91"/>
      <c r="B3577" s="176"/>
      <c r="C3577" s="176"/>
      <c r="D3577" s="176"/>
      <c r="E3577" s="176"/>
      <c r="F3577" s="176"/>
      <c r="G3577" s="176"/>
      <c r="H3577" s="176"/>
      <c r="I3577" s="176"/>
      <c r="J3577" s="176"/>
      <c r="K3577" s="176"/>
      <c r="L3577" s="176"/>
      <c r="M3577" s="176"/>
      <c r="N3577" s="176"/>
      <c r="O3577" s="176"/>
      <c r="P3577" s="176"/>
      <c r="Q3577" s="176"/>
      <c r="R3577" s="176"/>
      <c r="S3577" s="176"/>
      <c r="T3577" s="176"/>
      <c r="U3577" s="176"/>
      <c r="V3577" s="176"/>
      <c r="W3577" s="176"/>
      <c r="X3577" s="176"/>
      <c r="Y3577" s="176"/>
    </row>
    <row r="3578" spans="1:25">
      <c r="A3578" s="91"/>
      <c r="B3578" s="176"/>
      <c r="C3578" s="176"/>
      <c r="D3578" s="176"/>
      <c r="E3578" s="176"/>
      <c r="F3578" s="176"/>
      <c r="G3578" s="176"/>
      <c r="H3578" s="176"/>
      <c r="I3578" s="176"/>
      <c r="J3578" s="176"/>
      <c r="K3578" s="176"/>
      <c r="L3578" s="176"/>
      <c r="M3578" s="176"/>
      <c r="N3578" s="176"/>
      <c r="O3578" s="176"/>
      <c r="P3578" s="176"/>
      <c r="Q3578" s="176"/>
      <c r="R3578" s="176"/>
      <c r="S3578" s="176"/>
      <c r="T3578" s="176"/>
      <c r="U3578" s="176"/>
      <c r="V3578" s="176"/>
      <c r="W3578" s="176"/>
      <c r="X3578" s="176"/>
      <c r="Y3578" s="176"/>
    </row>
    <row r="3579" spans="1:25">
      <c r="A3579" s="91"/>
      <c r="B3579" s="176"/>
      <c r="C3579" s="176"/>
      <c r="D3579" s="176"/>
      <c r="E3579" s="176"/>
      <c r="F3579" s="176"/>
      <c r="G3579" s="176"/>
      <c r="H3579" s="176"/>
      <c r="I3579" s="176"/>
      <c r="J3579" s="176"/>
      <c r="K3579" s="176"/>
      <c r="L3579" s="176"/>
      <c r="M3579" s="176"/>
      <c r="N3579" s="176"/>
      <c r="O3579" s="176"/>
      <c r="P3579" s="176"/>
      <c r="Q3579" s="176"/>
      <c r="R3579" s="176"/>
      <c r="S3579" s="176"/>
      <c r="T3579" s="176"/>
      <c r="U3579" s="176"/>
      <c r="V3579" s="176"/>
      <c r="W3579" s="176"/>
      <c r="X3579" s="176"/>
      <c r="Y3579" s="176"/>
    </row>
    <row r="3580" spans="1:25">
      <c r="A3580" s="91"/>
      <c r="B3580" s="176"/>
      <c r="C3580" s="176"/>
      <c r="D3580" s="176"/>
      <c r="E3580" s="176"/>
      <c r="F3580" s="176"/>
      <c r="G3580" s="176"/>
      <c r="H3580" s="176"/>
      <c r="I3580" s="176"/>
      <c r="J3580" s="176"/>
      <c r="K3580" s="176"/>
      <c r="L3580" s="176"/>
      <c r="M3580" s="176"/>
      <c r="N3580" s="176"/>
      <c r="O3580" s="176"/>
      <c r="P3580" s="176"/>
      <c r="Q3580" s="176"/>
      <c r="R3580" s="176"/>
      <c r="S3580" s="176"/>
      <c r="T3580" s="176"/>
      <c r="U3580" s="176"/>
      <c r="V3580" s="176"/>
      <c r="W3580" s="176"/>
      <c r="X3580" s="176"/>
      <c r="Y3580" s="176"/>
    </row>
    <row r="3581" spans="1:25">
      <c r="A3581" s="91"/>
      <c r="B3581" s="176"/>
      <c r="C3581" s="176"/>
      <c r="D3581" s="176"/>
      <c r="E3581" s="176"/>
      <c r="F3581" s="176"/>
      <c r="G3581" s="176"/>
      <c r="H3581" s="176"/>
      <c r="I3581" s="176"/>
      <c r="J3581" s="176"/>
      <c r="K3581" s="176"/>
      <c r="L3581" s="176"/>
      <c r="M3581" s="176"/>
      <c r="N3581" s="176"/>
      <c r="O3581" s="176"/>
      <c r="P3581" s="176"/>
      <c r="Q3581" s="176"/>
      <c r="R3581" s="176"/>
      <c r="S3581" s="176"/>
      <c r="T3581" s="176"/>
      <c r="U3581" s="176"/>
      <c r="V3581" s="176"/>
      <c r="W3581" s="176"/>
      <c r="X3581" s="176"/>
      <c r="Y3581" s="176"/>
    </row>
    <row r="3582" spans="1:25">
      <c r="A3582" s="91"/>
      <c r="B3582" s="176"/>
      <c r="C3582" s="176"/>
      <c r="D3582" s="176"/>
      <c r="E3582" s="176"/>
      <c r="F3582" s="176"/>
      <c r="G3582" s="176"/>
      <c r="H3582" s="176"/>
      <c r="I3582" s="176"/>
      <c r="J3582" s="176"/>
      <c r="K3582" s="176"/>
      <c r="L3582" s="176"/>
      <c r="M3582" s="176"/>
      <c r="N3582" s="176"/>
      <c r="O3582" s="176"/>
      <c r="P3582" s="176"/>
      <c r="Q3582" s="176"/>
      <c r="R3582" s="176"/>
      <c r="S3582" s="176"/>
      <c r="T3582" s="176"/>
      <c r="U3582" s="176"/>
      <c r="V3582" s="176"/>
      <c r="W3582" s="176"/>
      <c r="X3582" s="176"/>
      <c r="Y3582" s="176"/>
    </row>
    <row r="3583" spans="1:25">
      <c r="A3583" s="91"/>
      <c r="B3583" s="176"/>
      <c r="C3583" s="176"/>
      <c r="D3583" s="176"/>
      <c r="E3583" s="176"/>
      <c r="F3583" s="176"/>
      <c r="G3583" s="176"/>
      <c r="H3583" s="176"/>
      <c r="I3583" s="176"/>
      <c r="J3583" s="176"/>
      <c r="K3583" s="176"/>
      <c r="L3583" s="176"/>
      <c r="M3583" s="176"/>
      <c r="N3583" s="176"/>
      <c r="O3583" s="176"/>
      <c r="P3583" s="176"/>
      <c r="Q3583" s="176"/>
      <c r="R3583" s="176"/>
      <c r="S3583" s="176"/>
      <c r="T3583" s="176"/>
      <c r="U3583" s="176"/>
      <c r="V3583" s="176"/>
      <c r="W3583" s="176"/>
      <c r="X3583" s="176"/>
      <c r="Y3583" s="176"/>
    </row>
    <row r="3584" spans="1:25">
      <c r="A3584" s="91"/>
      <c r="B3584" s="176"/>
      <c r="C3584" s="176"/>
      <c r="D3584" s="176"/>
      <c r="E3584" s="176"/>
      <c r="F3584" s="176"/>
      <c r="G3584" s="176"/>
      <c r="H3584" s="176"/>
      <c r="I3584" s="176"/>
      <c r="J3584" s="176"/>
      <c r="K3584" s="176"/>
      <c r="L3584" s="176"/>
      <c r="M3584" s="176"/>
      <c r="N3584" s="176"/>
      <c r="O3584" s="176"/>
      <c r="P3584" s="176"/>
      <c r="Q3584" s="176"/>
      <c r="R3584" s="176"/>
      <c r="S3584" s="176"/>
      <c r="T3584" s="176"/>
      <c r="U3584" s="176"/>
      <c r="V3584" s="176"/>
      <c r="W3584" s="176"/>
      <c r="X3584" s="176"/>
      <c r="Y3584" s="176"/>
    </row>
    <row r="3585" spans="1:25">
      <c r="A3585" s="91"/>
      <c r="B3585" s="176"/>
      <c r="C3585" s="176"/>
      <c r="D3585" s="176"/>
      <c r="E3585" s="176"/>
      <c r="F3585" s="176"/>
      <c r="G3585" s="176"/>
      <c r="H3585" s="176"/>
      <c r="I3585" s="176"/>
      <c r="J3585" s="176"/>
      <c r="K3585" s="176"/>
      <c r="L3585" s="176"/>
      <c r="M3585" s="176"/>
      <c r="N3585" s="176"/>
      <c r="O3585" s="176"/>
      <c r="P3585" s="176"/>
      <c r="Q3585" s="176"/>
      <c r="R3585" s="176"/>
      <c r="S3585" s="176"/>
      <c r="T3585" s="176"/>
      <c r="U3585" s="176"/>
      <c r="V3585" s="176"/>
      <c r="W3585" s="176"/>
      <c r="X3585" s="176"/>
      <c r="Y3585" s="176"/>
    </row>
    <row r="3586" spans="1:25">
      <c r="A3586" s="91"/>
      <c r="B3586" s="176"/>
      <c r="C3586" s="176"/>
      <c r="D3586" s="176"/>
      <c r="E3586" s="176"/>
      <c r="F3586" s="176"/>
      <c r="G3586" s="176"/>
      <c r="H3586" s="176"/>
      <c r="I3586" s="176"/>
      <c r="J3586" s="176"/>
      <c r="K3586" s="176"/>
      <c r="L3586" s="176"/>
      <c r="M3586" s="176"/>
      <c r="N3586" s="176"/>
      <c r="O3586" s="176"/>
      <c r="P3586" s="176"/>
      <c r="Q3586" s="176"/>
      <c r="R3586" s="176"/>
      <c r="S3586" s="176"/>
      <c r="T3586" s="176"/>
      <c r="U3586" s="176"/>
      <c r="V3586" s="176"/>
      <c r="W3586" s="176"/>
      <c r="X3586" s="176"/>
      <c r="Y3586" s="176"/>
    </row>
    <row r="3587" spans="1:25">
      <c r="A3587" s="91"/>
      <c r="B3587" s="176"/>
      <c r="C3587" s="176"/>
      <c r="D3587" s="176"/>
      <c r="E3587" s="176"/>
      <c r="F3587" s="176"/>
      <c r="G3587" s="176"/>
      <c r="H3587" s="176"/>
      <c r="I3587" s="176"/>
      <c r="J3587" s="176"/>
      <c r="K3587" s="176"/>
      <c r="L3587" s="176"/>
      <c r="M3587" s="176"/>
      <c r="N3587" s="176"/>
      <c r="O3587" s="176"/>
      <c r="P3587" s="176"/>
      <c r="Q3587" s="176"/>
      <c r="R3587" s="176"/>
      <c r="S3587" s="176"/>
      <c r="T3587" s="176"/>
      <c r="U3587" s="176"/>
      <c r="V3587" s="176"/>
      <c r="W3587" s="176"/>
      <c r="X3587" s="176"/>
      <c r="Y3587" s="176"/>
    </row>
    <row r="3588" spans="1:25">
      <c r="A3588" s="91"/>
      <c r="B3588" s="176"/>
      <c r="C3588" s="176"/>
      <c r="D3588" s="176"/>
      <c r="E3588" s="176"/>
      <c r="F3588" s="176"/>
      <c r="G3588" s="176"/>
      <c r="H3588" s="176"/>
      <c r="I3588" s="176"/>
      <c r="J3588" s="176"/>
      <c r="K3588" s="176"/>
      <c r="L3588" s="176"/>
      <c r="M3588" s="176"/>
      <c r="N3588" s="176"/>
      <c r="O3588" s="176"/>
      <c r="P3588" s="176"/>
      <c r="Q3588" s="176"/>
      <c r="R3588" s="176"/>
      <c r="S3588" s="176"/>
      <c r="T3588" s="176"/>
      <c r="U3588" s="176"/>
      <c r="V3588" s="176"/>
      <c r="W3588" s="176"/>
      <c r="X3588" s="176"/>
      <c r="Y3588" s="176"/>
    </row>
    <row r="3589" spans="1:25">
      <c r="A3589" s="91"/>
      <c r="B3589" s="176"/>
      <c r="C3589" s="176"/>
      <c r="D3589" s="176"/>
      <c r="E3589" s="176"/>
      <c r="F3589" s="176"/>
      <c r="G3589" s="176"/>
      <c r="H3589" s="176"/>
      <c r="I3589" s="176"/>
      <c r="J3589" s="176"/>
      <c r="K3589" s="176"/>
      <c r="L3589" s="176"/>
      <c r="M3589" s="176"/>
      <c r="N3589" s="176"/>
      <c r="O3589" s="176"/>
      <c r="P3589" s="176"/>
      <c r="Q3589" s="176"/>
      <c r="R3589" s="176"/>
      <c r="S3589" s="176"/>
      <c r="T3589" s="176"/>
      <c r="U3589" s="176"/>
      <c r="V3589" s="176"/>
      <c r="W3589" s="176"/>
      <c r="X3589" s="176"/>
      <c r="Y3589" s="176"/>
    </row>
    <row r="3590" spans="1:25">
      <c r="A3590" s="91"/>
      <c r="B3590" s="176"/>
      <c r="C3590" s="176"/>
      <c r="D3590" s="176"/>
      <c r="E3590" s="176"/>
      <c r="F3590" s="176"/>
      <c r="G3590" s="176"/>
      <c r="H3590" s="176"/>
      <c r="I3590" s="176"/>
      <c r="J3590" s="176"/>
      <c r="K3590" s="176"/>
      <c r="L3590" s="176"/>
      <c r="M3590" s="176"/>
      <c r="N3590" s="176"/>
      <c r="O3590" s="176"/>
      <c r="P3590" s="176"/>
      <c r="Q3590" s="176"/>
      <c r="R3590" s="176"/>
      <c r="S3590" s="176"/>
      <c r="T3590" s="176"/>
      <c r="U3590" s="176"/>
      <c r="V3590" s="176"/>
      <c r="W3590" s="176"/>
      <c r="X3590" s="176"/>
      <c r="Y3590" s="176"/>
    </row>
    <row r="3591" spans="1:25">
      <c r="A3591" s="91"/>
      <c r="B3591" s="176"/>
      <c r="C3591" s="176"/>
      <c r="D3591" s="176"/>
      <c r="E3591" s="176"/>
      <c r="F3591" s="176"/>
      <c r="G3591" s="176"/>
      <c r="H3591" s="176"/>
      <c r="I3591" s="176"/>
      <c r="J3591" s="176"/>
      <c r="K3591" s="176"/>
      <c r="L3591" s="176"/>
      <c r="M3591" s="176"/>
      <c r="N3591" s="176"/>
      <c r="O3591" s="176"/>
      <c r="P3591" s="176"/>
      <c r="Q3591" s="176"/>
      <c r="R3591" s="176"/>
      <c r="S3591" s="176"/>
      <c r="T3591" s="176"/>
      <c r="U3591" s="176"/>
      <c r="V3591" s="176"/>
      <c r="W3591" s="176"/>
      <c r="X3591" s="176"/>
      <c r="Y3591" s="176"/>
    </row>
    <row r="3592" spans="1:25">
      <c r="A3592" s="91"/>
      <c r="B3592" s="176"/>
      <c r="C3592" s="176"/>
      <c r="D3592" s="176"/>
      <c r="E3592" s="176"/>
      <c r="F3592" s="176"/>
      <c r="G3592" s="176"/>
      <c r="H3592" s="176"/>
      <c r="I3592" s="176"/>
      <c r="J3592" s="176"/>
      <c r="K3592" s="176"/>
      <c r="L3592" s="176"/>
      <c r="M3592" s="176"/>
      <c r="N3592" s="176"/>
      <c r="O3592" s="176"/>
      <c r="P3592" s="176"/>
      <c r="Q3592" s="176"/>
      <c r="R3592" s="176"/>
      <c r="S3592" s="176"/>
      <c r="T3592" s="176"/>
      <c r="U3592" s="176"/>
      <c r="V3592" s="176"/>
      <c r="W3592" s="176"/>
      <c r="X3592" s="176"/>
      <c r="Y3592" s="176"/>
    </row>
    <row r="3593" spans="1:25">
      <c r="A3593" s="91"/>
      <c r="B3593" s="176"/>
      <c r="C3593" s="176"/>
      <c r="D3593" s="176"/>
      <c r="E3593" s="176"/>
      <c r="F3593" s="176"/>
      <c r="G3593" s="176"/>
      <c r="H3593" s="176"/>
      <c r="I3593" s="176"/>
      <c r="J3593" s="176"/>
      <c r="K3593" s="176"/>
      <c r="L3593" s="176"/>
      <c r="M3593" s="176"/>
      <c r="N3593" s="176"/>
      <c r="O3593" s="176"/>
      <c r="P3593" s="176"/>
      <c r="Q3593" s="176"/>
      <c r="R3593" s="176"/>
      <c r="S3593" s="176"/>
      <c r="T3593" s="176"/>
      <c r="U3593" s="176"/>
      <c r="V3593" s="176"/>
      <c r="W3593" s="176"/>
      <c r="X3593" s="176"/>
      <c r="Y3593" s="176"/>
    </row>
    <row r="3594" spans="1:25">
      <c r="A3594" s="91"/>
      <c r="B3594" s="176"/>
      <c r="C3594" s="176"/>
      <c r="D3594" s="176"/>
      <c r="E3594" s="176"/>
      <c r="F3594" s="176"/>
      <c r="G3594" s="176"/>
      <c r="H3594" s="176"/>
      <c r="I3594" s="176"/>
      <c r="J3594" s="176"/>
      <c r="K3594" s="176"/>
      <c r="L3594" s="176"/>
      <c r="M3594" s="176"/>
      <c r="N3594" s="176"/>
      <c r="O3594" s="176"/>
      <c r="P3594" s="176"/>
      <c r="Q3594" s="176"/>
      <c r="R3594" s="176"/>
      <c r="S3594" s="176"/>
      <c r="T3594" s="176"/>
      <c r="U3594" s="176"/>
      <c r="V3594" s="176"/>
      <c r="W3594" s="176"/>
      <c r="X3594" s="176"/>
      <c r="Y3594" s="176"/>
    </row>
    <row r="3595" spans="1:25">
      <c r="A3595" s="91"/>
      <c r="B3595" s="176"/>
      <c r="C3595" s="176"/>
      <c r="D3595" s="176"/>
      <c r="E3595" s="176"/>
      <c r="F3595" s="176"/>
      <c r="G3595" s="176"/>
      <c r="H3595" s="176"/>
      <c r="I3595" s="176"/>
      <c r="J3595" s="176"/>
      <c r="K3595" s="176"/>
      <c r="L3595" s="176"/>
      <c r="M3595" s="176"/>
      <c r="N3595" s="176"/>
      <c r="O3595" s="176"/>
      <c r="P3595" s="176"/>
      <c r="Q3595" s="176"/>
      <c r="R3595" s="176"/>
      <c r="S3595" s="176"/>
      <c r="T3595" s="176"/>
      <c r="U3595" s="176"/>
      <c r="V3595" s="176"/>
      <c r="W3595" s="176"/>
      <c r="X3595" s="176"/>
      <c r="Y3595" s="176"/>
    </row>
    <row r="3596" spans="1:25">
      <c r="A3596" s="91"/>
      <c r="B3596" s="176"/>
      <c r="C3596" s="176"/>
      <c r="D3596" s="176"/>
      <c r="E3596" s="176"/>
      <c r="F3596" s="176"/>
      <c r="G3596" s="176"/>
      <c r="H3596" s="176"/>
      <c r="I3596" s="176"/>
      <c r="J3596" s="176"/>
      <c r="K3596" s="176"/>
      <c r="L3596" s="176"/>
      <c r="M3596" s="176"/>
      <c r="N3596" s="176"/>
      <c r="O3596" s="176"/>
      <c r="P3596" s="176"/>
      <c r="Q3596" s="176"/>
      <c r="R3596" s="176"/>
      <c r="S3596" s="176"/>
      <c r="T3596" s="176"/>
      <c r="U3596" s="176"/>
      <c r="V3596" s="176"/>
      <c r="W3596" s="176"/>
      <c r="X3596" s="176"/>
      <c r="Y3596" s="176"/>
    </row>
    <row r="3597" spans="1:25">
      <c r="A3597" s="91"/>
      <c r="B3597" s="176"/>
      <c r="C3597" s="176"/>
      <c r="D3597" s="176"/>
      <c r="E3597" s="176"/>
      <c r="F3597" s="176"/>
      <c r="G3597" s="176"/>
      <c r="H3597" s="176"/>
      <c r="I3597" s="176"/>
      <c r="J3597" s="176"/>
      <c r="K3597" s="176"/>
      <c r="L3597" s="176"/>
      <c r="M3597" s="176"/>
      <c r="N3597" s="176"/>
      <c r="O3597" s="176"/>
      <c r="P3597" s="176"/>
      <c r="Q3597" s="176"/>
      <c r="R3597" s="176"/>
      <c r="S3597" s="176"/>
      <c r="T3597" s="176"/>
      <c r="U3597" s="176"/>
      <c r="V3597" s="176"/>
      <c r="W3597" s="176"/>
      <c r="X3597" s="176"/>
      <c r="Y3597" s="176"/>
    </row>
    <row r="3598" spans="1:25">
      <c r="A3598" s="91"/>
      <c r="B3598" s="176"/>
      <c r="C3598" s="176"/>
      <c r="D3598" s="176"/>
      <c r="E3598" s="176"/>
      <c r="F3598" s="176"/>
      <c r="G3598" s="176"/>
      <c r="H3598" s="176"/>
      <c r="I3598" s="176"/>
      <c r="J3598" s="176"/>
      <c r="K3598" s="176"/>
      <c r="L3598" s="176"/>
      <c r="M3598" s="176"/>
      <c r="N3598" s="176"/>
      <c r="O3598" s="176"/>
      <c r="P3598" s="176"/>
      <c r="Q3598" s="176"/>
      <c r="R3598" s="176"/>
      <c r="S3598" s="176"/>
      <c r="T3598" s="176"/>
      <c r="U3598" s="176"/>
      <c r="V3598" s="176"/>
      <c r="W3598" s="176"/>
      <c r="X3598" s="176"/>
      <c r="Y3598" s="176"/>
    </row>
    <row r="3599" spans="1:25">
      <c r="A3599" s="91"/>
      <c r="B3599" s="176"/>
      <c r="C3599" s="176"/>
      <c r="D3599" s="176"/>
      <c r="E3599" s="176"/>
      <c r="F3599" s="176"/>
      <c r="G3599" s="176"/>
      <c r="H3599" s="176"/>
      <c r="I3599" s="176"/>
      <c r="J3599" s="176"/>
      <c r="K3599" s="176"/>
      <c r="L3599" s="176"/>
      <c r="M3599" s="176"/>
      <c r="N3599" s="176"/>
      <c r="O3599" s="176"/>
      <c r="P3599" s="176"/>
      <c r="Q3599" s="176"/>
      <c r="R3599" s="176"/>
      <c r="S3599" s="176"/>
      <c r="T3599" s="176"/>
      <c r="U3599" s="176"/>
      <c r="V3599" s="176"/>
      <c r="W3599" s="176"/>
      <c r="X3599" s="176"/>
      <c r="Y3599" s="176"/>
    </row>
    <row r="3600" spans="1:25">
      <c r="A3600" s="91"/>
      <c r="B3600" s="176"/>
      <c r="C3600" s="176"/>
      <c r="D3600" s="176"/>
      <c r="E3600" s="176"/>
      <c r="F3600" s="176"/>
      <c r="G3600" s="176"/>
      <c r="H3600" s="176"/>
      <c r="I3600" s="176"/>
      <c r="J3600" s="176"/>
      <c r="K3600" s="176"/>
      <c r="L3600" s="176"/>
      <c r="M3600" s="176"/>
      <c r="N3600" s="176"/>
      <c r="O3600" s="176"/>
      <c r="P3600" s="176"/>
      <c r="Q3600" s="176"/>
      <c r="R3600" s="176"/>
      <c r="S3600" s="176"/>
      <c r="T3600" s="176"/>
      <c r="U3600" s="176"/>
      <c r="V3600" s="176"/>
      <c r="W3600" s="176"/>
      <c r="X3600" s="176"/>
      <c r="Y3600" s="176"/>
    </row>
    <row r="3601" spans="1:25">
      <c r="A3601" s="91"/>
      <c r="B3601" s="176"/>
      <c r="C3601" s="176"/>
      <c r="D3601" s="176"/>
      <c r="E3601" s="176"/>
      <c r="F3601" s="176"/>
      <c r="G3601" s="176"/>
      <c r="H3601" s="176"/>
      <c r="I3601" s="176"/>
      <c r="J3601" s="176"/>
      <c r="K3601" s="176"/>
      <c r="L3601" s="176"/>
      <c r="M3601" s="176"/>
      <c r="N3601" s="176"/>
      <c r="O3601" s="176"/>
      <c r="P3601" s="176"/>
      <c r="Q3601" s="176"/>
      <c r="R3601" s="176"/>
      <c r="S3601" s="176"/>
      <c r="T3601" s="176"/>
      <c r="U3601" s="176"/>
      <c r="V3601" s="176"/>
      <c r="W3601" s="176"/>
      <c r="X3601" s="176"/>
      <c r="Y3601" s="176"/>
    </row>
    <row r="3602" spans="1:25">
      <c r="A3602" s="91"/>
      <c r="B3602" s="176"/>
      <c r="C3602" s="176"/>
      <c r="D3602" s="176"/>
      <c r="E3602" s="176"/>
      <c r="F3602" s="176"/>
      <c r="G3602" s="176"/>
      <c r="H3602" s="176"/>
      <c r="I3602" s="176"/>
      <c r="J3602" s="176"/>
      <c r="K3602" s="176"/>
      <c r="L3602" s="176"/>
      <c r="M3602" s="176"/>
      <c r="N3602" s="176"/>
      <c r="O3602" s="176"/>
      <c r="P3602" s="176"/>
      <c r="Q3602" s="176"/>
      <c r="R3602" s="176"/>
      <c r="S3602" s="176"/>
      <c r="T3602" s="176"/>
      <c r="U3602" s="176"/>
      <c r="V3602" s="176"/>
      <c r="W3602" s="176"/>
      <c r="X3602" s="176"/>
      <c r="Y3602" s="176"/>
    </row>
    <row r="3603" spans="1:25">
      <c r="A3603" s="91"/>
      <c r="B3603" s="176"/>
      <c r="C3603" s="176"/>
      <c r="D3603" s="176"/>
      <c r="E3603" s="176"/>
      <c r="F3603" s="176"/>
      <c r="G3603" s="176"/>
      <c r="H3603" s="176"/>
      <c r="I3603" s="176"/>
      <c r="J3603" s="176"/>
      <c r="K3603" s="176"/>
      <c r="L3603" s="176"/>
      <c r="M3603" s="176"/>
      <c r="N3603" s="176"/>
      <c r="O3603" s="176"/>
      <c r="P3603" s="176"/>
      <c r="Q3603" s="176"/>
      <c r="R3603" s="176"/>
      <c r="S3603" s="176"/>
      <c r="T3603" s="176"/>
      <c r="U3603" s="176"/>
      <c r="V3603" s="176"/>
      <c r="W3603" s="176"/>
      <c r="X3603" s="176"/>
      <c r="Y3603" s="176"/>
    </row>
    <row r="3604" spans="1:25">
      <c r="A3604" s="91"/>
      <c r="B3604" s="176"/>
      <c r="C3604" s="176"/>
      <c r="D3604" s="176"/>
      <c r="E3604" s="176"/>
      <c r="F3604" s="176"/>
      <c r="G3604" s="176"/>
      <c r="H3604" s="176"/>
      <c r="I3604" s="176"/>
      <c r="J3604" s="176"/>
      <c r="K3604" s="176"/>
      <c r="L3604" s="176"/>
      <c r="M3604" s="176"/>
      <c r="N3604" s="176"/>
      <c r="O3604" s="176"/>
      <c r="P3604" s="176"/>
      <c r="Q3604" s="176"/>
      <c r="R3604" s="176"/>
      <c r="S3604" s="176"/>
      <c r="T3604" s="176"/>
      <c r="U3604" s="176"/>
      <c r="V3604" s="176"/>
      <c r="W3604" s="176"/>
      <c r="X3604" s="176"/>
      <c r="Y3604" s="176"/>
    </row>
    <row r="3605" spans="1:25">
      <c r="A3605" s="91"/>
      <c r="B3605" s="176"/>
      <c r="C3605" s="176"/>
      <c r="D3605" s="176"/>
      <c r="E3605" s="176"/>
      <c r="F3605" s="176"/>
      <c r="G3605" s="176"/>
      <c r="H3605" s="176"/>
      <c r="I3605" s="176"/>
      <c r="J3605" s="176"/>
      <c r="K3605" s="176"/>
      <c r="L3605" s="176"/>
      <c r="M3605" s="176"/>
      <c r="N3605" s="176"/>
      <c r="O3605" s="176"/>
      <c r="P3605" s="176"/>
      <c r="Q3605" s="176"/>
      <c r="R3605" s="176"/>
      <c r="S3605" s="176"/>
      <c r="T3605" s="176"/>
      <c r="U3605" s="176"/>
      <c r="V3605" s="176"/>
      <c r="W3605" s="176"/>
      <c r="X3605" s="176"/>
      <c r="Y3605" s="176"/>
    </row>
    <row r="3606" spans="1:25">
      <c r="A3606" s="91"/>
      <c r="B3606" s="176"/>
      <c r="C3606" s="176"/>
      <c r="D3606" s="176"/>
      <c r="E3606" s="176"/>
      <c r="F3606" s="176"/>
      <c r="G3606" s="176"/>
      <c r="H3606" s="176"/>
      <c r="I3606" s="176"/>
      <c r="J3606" s="176"/>
      <c r="K3606" s="176"/>
      <c r="L3606" s="176"/>
      <c r="M3606" s="176"/>
      <c r="N3606" s="176"/>
      <c r="O3606" s="176"/>
      <c r="P3606" s="176"/>
      <c r="Q3606" s="176"/>
      <c r="R3606" s="176"/>
      <c r="S3606" s="176"/>
      <c r="T3606" s="176"/>
      <c r="U3606" s="176"/>
      <c r="V3606" s="176"/>
      <c r="W3606" s="176"/>
      <c r="X3606" s="176"/>
      <c r="Y3606" s="176"/>
    </row>
    <row r="3607" spans="1:25">
      <c r="A3607" s="91"/>
      <c r="B3607" s="176"/>
      <c r="C3607" s="176"/>
      <c r="D3607" s="176"/>
      <c r="E3607" s="176"/>
      <c r="F3607" s="176"/>
      <c r="G3607" s="176"/>
      <c r="H3607" s="176"/>
      <c r="I3607" s="176"/>
      <c r="J3607" s="176"/>
      <c r="K3607" s="176"/>
      <c r="L3607" s="176"/>
      <c r="M3607" s="176"/>
      <c r="N3607" s="176"/>
      <c r="O3607" s="176"/>
      <c r="P3607" s="176"/>
      <c r="Q3607" s="176"/>
      <c r="R3607" s="176"/>
      <c r="S3607" s="176"/>
      <c r="T3607" s="176"/>
      <c r="U3607" s="176"/>
      <c r="V3607" s="176"/>
      <c r="W3607" s="176"/>
      <c r="X3607" s="176"/>
      <c r="Y3607" s="176"/>
    </row>
    <row r="3608" spans="1:25">
      <c r="A3608" s="91"/>
      <c r="B3608" s="176"/>
      <c r="C3608" s="176"/>
      <c r="D3608" s="176"/>
      <c r="E3608" s="176"/>
      <c r="F3608" s="176"/>
      <c r="G3608" s="176"/>
      <c r="H3608" s="176"/>
      <c r="I3608" s="176"/>
      <c r="J3608" s="176"/>
      <c r="K3608" s="176"/>
      <c r="L3608" s="176"/>
      <c r="M3608" s="176"/>
      <c r="N3608" s="176"/>
      <c r="O3608" s="176"/>
      <c r="P3608" s="176"/>
      <c r="Q3608" s="176"/>
      <c r="R3608" s="176"/>
      <c r="S3608" s="176"/>
      <c r="T3608" s="176"/>
      <c r="U3608" s="176"/>
      <c r="V3608" s="176"/>
      <c r="W3608" s="176"/>
      <c r="X3608" s="176"/>
      <c r="Y3608" s="176"/>
    </row>
    <row r="3609" spans="1:25">
      <c r="A3609" s="91"/>
      <c r="B3609" s="176"/>
      <c r="C3609" s="176"/>
      <c r="D3609" s="176"/>
      <c r="E3609" s="176"/>
      <c r="F3609" s="176"/>
      <c r="G3609" s="176"/>
      <c r="H3609" s="176"/>
      <c r="I3609" s="176"/>
      <c r="J3609" s="176"/>
      <c r="K3609" s="176"/>
      <c r="L3609" s="176"/>
      <c r="M3609" s="176"/>
      <c r="N3609" s="176"/>
      <c r="O3609" s="176"/>
      <c r="P3609" s="176"/>
      <c r="Q3609" s="176"/>
      <c r="R3609" s="176"/>
      <c r="S3609" s="176"/>
      <c r="T3609" s="176"/>
      <c r="U3609" s="176"/>
      <c r="V3609" s="176"/>
      <c r="W3609" s="176"/>
      <c r="X3609" s="176"/>
      <c r="Y3609" s="176"/>
    </row>
    <row r="3610" spans="1:25">
      <c r="A3610" s="91"/>
      <c r="B3610" s="176"/>
      <c r="C3610" s="176"/>
      <c r="D3610" s="176"/>
      <c r="E3610" s="176"/>
      <c r="F3610" s="176"/>
      <c r="G3610" s="176"/>
      <c r="H3610" s="176"/>
      <c r="I3610" s="176"/>
      <c r="J3610" s="176"/>
      <c r="K3610" s="176"/>
      <c r="L3610" s="176"/>
      <c r="M3610" s="176"/>
      <c r="N3610" s="176"/>
      <c r="O3610" s="176"/>
      <c r="P3610" s="176"/>
      <c r="Q3610" s="176"/>
      <c r="R3610" s="176"/>
      <c r="S3610" s="176"/>
      <c r="T3610" s="176"/>
      <c r="U3610" s="176"/>
      <c r="V3610" s="176"/>
      <c r="W3610" s="176"/>
      <c r="X3610" s="176"/>
      <c r="Y3610" s="176"/>
    </row>
    <row r="3611" spans="1:25">
      <c r="A3611" s="91"/>
      <c r="B3611" s="176"/>
      <c r="C3611" s="176"/>
      <c r="D3611" s="176"/>
      <c r="E3611" s="176"/>
      <c r="F3611" s="176"/>
      <c r="G3611" s="176"/>
      <c r="H3611" s="176"/>
      <c r="I3611" s="176"/>
      <c r="J3611" s="176"/>
      <c r="K3611" s="176"/>
      <c r="L3611" s="176"/>
      <c r="M3611" s="176"/>
      <c r="N3611" s="176"/>
      <c r="O3611" s="176"/>
      <c r="P3611" s="176"/>
      <c r="Q3611" s="176"/>
      <c r="R3611" s="176"/>
      <c r="S3611" s="176"/>
      <c r="T3611" s="176"/>
      <c r="U3611" s="176"/>
      <c r="V3611" s="176"/>
      <c r="W3611" s="176"/>
      <c r="X3611" s="176"/>
      <c r="Y3611" s="176"/>
    </row>
    <row r="3612" spans="1:25">
      <c r="A3612" s="91"/>
      <c r="B3612" s="176"/>
      <c r="C3612" s="176"/>
      <c r="D3612" s="176"/>
      <c r="E3612" s="176"/>
      <c r="F3612" s="176"/>
      <c r="G3612" s="176"/>
      <c r="H3612" s="176"/>
      <c r="I3612" s="176"/>
      <c r="J3612" s="176"/>
      <c r="K3612" s="176"/>
      <c r="L3612" s="176"/>
      <c r="M3612" s="176"/>
      <c r="N3612" s="176"/>
      <c r="O3612" s="176"/>
      <c r="P3612" s="176"/>
      <c r="Q3612" s="176"/>
      <c r="R3612" s="176"/>
      <c r="S3612" s="176"/>
      <c r="T3612" s="176"/>
      <c r="U3612" s="176"/>
      <c r="V3612" s="176"/>
      <c r="W3612" s="176"/>
      <c r="X3612" s="176"/>
      <c r="Y3612" s="176"/>
    </row>
    <row r="3613" spans="1:25">
      <c r="A3613" s="91"/>
      <c r="B3613" s="176"/>
      <c r="C3613" s="176"/>
      <c r="D3613" s="176"/>
      <c r="E3613" s="176"/>
      <c r="F3613" s="176"/>
      <c r="G3613" s="176"/>
      <c r="H3613" s="176"/>
      <c r="I3613" s="176"/>
      <c r="J3613" s="176"/>
      <c r="K3613" s="176"/>
      <c r="L3613" s="176"/>
      <c r="M3613" s="176"/>
      <c r="N3613" s="176"/>
      <c r="O3613" s="176"/>
      <c r="P3613" s="176"/>
      <c r="Q3613" s="176"/>
      <c r="R3613" s="176"/>
      <c r="S3613" s="176"/>
      <c r="T3613" s="176"/>
      <c r="U3613" s="176"/>
      <c r="V3613" s="176"/>
      <c r="W3613" s="176"/>
      <c r="X3613" s="176"/>
      <c r="Y3613" s="176"/>
    </row>
    <row r="3614" spans="1:25">
      <c r="A3614" s="91"/>
      <c r="B3614" s="176"/>
      <c r="C3614" s="176"/>
      <c r="D3614" s="176"/>
      <c r="E3614" s="176"/>
      <c r="F3614" s="176"/>
      <c r="G3614" s="176"/>
      <c r="H3614" s="176"/>
      <c r="I3614" s="176"/>
      <c r="J3614" s="176"/>
      <c r="K3614" s="176"/>
      <c r="L3614" s="176"/>
      <c r="M3614" s="176"/>
      <c r="N3614" s="176"/>
      <c r="O3614" s="176"/>
      <c r="P3614" s="176"/>
      <c r="Q3614" s="176"/>
      <c r="R3614" s="176"/>
      <c r="S3614" s="176"/>
      <c r="T3614" s="176"/>
      <c r="U3614" s="176"/>
      <c r="V3614" s="176"/>
      <c r="W3614" s="176"/>
      <c r="X3614" s="176"/>
      <c r="Y3614" s="176"/>
    </row>
    <row r="3615" spans="1:25">
      <c r="A3615" s="91"/>
      <c r="B3615" s="176"/>
      <c r="C3615" s="176"/>
      <c r="D3615" s="176"/>
      <c r="E3615" s="176"/>
      <c r="F3615" s="176"/>
      <c r="G3615" s="176"/>
      <c r="H3615" s="176"/>
      <c r="I3615" s="176"/>
      <c r="J3615" s="176"/>
      <c r="K3615" s="176"/>
      <c r="L3615" s="176"/>
      <c r="M3615" s="176"/>
      <c r="N3615" s="176"/>
      <c r="O3615" s="176"/>
      <c r="P3615" s="176"/>
      <c r="Q3615" s="176"/>
      <c r="R3615" s="176"/>
      <c r="S3615" s="176"/>
      <c r="T3615" s="176"/>
      <c r="U3615" s="176"/>
      <c r="V3615" s="176"/>
      <c r="W3615" s="176"/>
      <c r="X3615" s="176"/>
      <c r="Y3615" s="176"/>
    </row>
    <row r="3616" spans="1:25">
      <c r="A3616" s="91"/>
      <c r="B3616" s="176"/>
      <c r="C3616" s="176"/>
      <c r="D3616" s="176"/>
      <c r="E3616" s="176"/>
      <c r="F3616" s="176"/>
      <c r="G3616" s="176"/>
      <c r="H3616" s="176"/>
      <c r="I3616" s="176"/>
      <c r="J3616" s="176"/>
      <c r="K3616" s="176"/>
      <c r="L3616" s="176"/>
      <c r="M3616" s="176"/>
      <c r="N3616" s="176"/>
      <c r="O3616" s="176"/>
      <c r="P3616" s="176"/>
      <c r="Q3616" s="176"/>
      <c r="R3616" s="176"/>
      <c r="S3616" s="176"/>
      <c r="T3616" s="176"/>
      <c r="U3616" s="176"/>
      <c r="V3616" s="176"/>
      <c r="W3616" s="176"/>
      <c r="X3616" s="176"/>
      <c r="Y3616" s="176"/>
    </row>
    <row r="3617" spans="1:25">
      <c r="A3617" s="91"/>
      <c r="B3617" s="176"/>
      <c r="C3617" s="176"/>
      <c r="D3617" s="176"/>
      <c r="E3617" s="176"/>
      <c r="F3617" s="176"/>
      <c r="G3617" s="176"/>
      <c r="H3617" s="176"/>
      <c r="I3617" s="176"/>
      <c r="J3617" s="176"/>
      <c r="K3617" s="176"/>
      <c r="L3617" s="176"/>
      <c r="M3617" s="176"/>
      <c r="N3617" s="176"/>
      <c r="O3617" s="176"/>
      <c r="P3617" s="176"/>
      <c r="Q3617" s="176"/>
      <c r="R3617" s="176"/>
      <c r="S3617" s="176"/>
      <c r="T3617" s="176"/>
      <c r="U3617" s="176"/>
      <c r="V3617" s="176"/>
      <c r="W3617" s="176"/>
      <c r="X3617" s="176"/>
      <c r="Y3617" s="176"/>
    </row>
    <row r="3618" spans="1:25">
      <c r="A3618" s="91"/>
      <c r="B3618" s="176"/>
      <c r="C3618" s="176"/>
      <c r="D3618" s="176"/>
      <c r="E3618" s="176"/>
      <c r="F3618" s="176"/>
      <c r="G3618" s="176"/>
      <c r="H3618" s="176"/>
      <c r="I3618" s="176"/>
      <c r="J3618" s="176"/>
      <c r="K3618" s="176"/>
      <c r="L3618" s="176"/>
      <c r="M3618" s="176"/>
      <c r="N3618" s="176"/>
      <c r="O3618" s="176"/>
      <c r="P3618" s="176"/>
      <c r="Q3618" s="176"/>
      <c r="R3618" s="176"/>
      <c r="S3618" s="176"/>
      <c r="T3618" s="176"/>
      <c r="U3618" s="176"/>
      <c r="V3618" s="176"/>
      <c r="W3618" s="176"/>
      <c r="X3618" s="176"/>
      <c r="Y3618" s="176"/>
    </row>
    <row r="3619" spans="1:25">
      <c r="A3619" s="91"/>
      <c r="B3619" s="176"/>
      <c r="C3619" s="176"/>
      <c r="D3619" s="176"/>
      <c r="E3619" s="176"/>
      <c r="F3619" s="176"/>
      <c r="G3619" s="176"/>
      <c r="H3619" s="176"/>
      <c r="I3619" s="176"/>
      <c r="J3619" s="176"/>
      <c r="K3619" s="176"/>
      <c r="L3619" s="176"/>
      <c r="M3619" s="176"/>
      <c r="N3619" s="176"/>
      <c r="O3619" s="176"/>
      <c r="P3619" s="176"/>
      <c r="Q3619" s="176"/>
      <c r="R3619" s="176"/>
      <c r="S3619" s="176"/>
      <c r="T3619" s="176"/>
      <c r="U3619" s="176"/>
      <c r="V3619" s="176"/>
      <c r="W3619" s="176"/>
      <c r="X3619" s="176"/>
      <c r="Y3619" s="176"/>
    </row>
    <row r="3620" spans="1:25">
      <c r="A3620" s="91"/>
      <c r="B3620" s="176"/>
      <c r="C3620" s="176"/>
      <c r="D3620" s="176"/>
      <c r="E3620" s="176"/>
      <c r="F3620" s="176"/>
      <c r="G3620" s="176"/>
      <c r="H3620" s="176"/>
      <c r="I3620" s="176"/>
      <c r="J3620" s="176"/>
      <c r="K3620" s="176"/>
      <c r="L3620" s="176"/>
      <c r="M3620" s="176"/>
      <c r="N3620" s="176"/>
      <c r="O3620" s="176"/>
      <c r="P3620" s="176"/>
      <c r="Q3620" s="176"/>
      <c r="R3620" s="176"/>
      <c r="S3620" s="176"/>
      <c r="T3620" s="176"/>
      <c r="U3620" s="176"/>
      <c r="V3620" s="176"/>
      <c r="W3620" s="176"/>
      <c r="X3620" s="176"/>
      <c r="Y3620" s="176"/>
    </row>
    <row r="3621" spans="1:25">
      <c r="A3621" s="91"/>
      <c r="B3621" s="176"/>
      <c r="C3621" s="176"/>
      <c r="D3621" s="176"/>
      <c r="E3621" s="176"/>
      <c r="F3621" s="176"/>
      <c r="G3621" s="176"/>
      <c r="H3621" s="176"/>
      <c r="I3621" s="176"/>
      <c r="J3621" s="176"/>
      <c r="K3621" s="176"/>
      <c r="L3621" s="176"/>
      <c r="M3621" s="176"/>
      <c r="N3621" s="176"/>
      <c r="O3621" s="176"/>
      <c r="P3621" s="176"/>
      <c r="Q3621" s="176"/>
      <c r="R3621" s="176"/>
      <c r="S3621" s="176"/>
      <c r="T3621" s="176"/>
      <c r="U3621" s="176"/>
      <c r="V3621" s="176"/>
      <c r="W3621" s="176"/>
      <c r="X3621" s="176"/>
      <c r="Y3621" s="176"/>
    </row>
    <row r="3622" spans="1:25">
      <c r="A3622" s="91"/>
      <c r="B3622" s="176"/>
      <c r="C3622" s="176"/>
      <c r="D3622" s="176"/>
      <c r="E3622" s="176"/>
      <c r="F3622" s="176"/>
      <c r="G3622" s="176"/>
      <c r="H3622" s="176"/>
      <c r="I3622" s="176"/>
      <c r="J3622" s="176"/>
      <c r="K3622" s="176"/>
      <c r="L3622" s="176"/>
      <c r="M3622" s="176"/>
      <c r="N3622" s="176"/>
      <c r="O3622" s="176"/>
      <c r="P3622" s="176"/>
      <c r="Q3622" s="176"/>
      <c r="R3622" s="176"/>
      <c r="S3622" s="176"/>
      <c r="T3622" s="176"/>
      <c r="U3622" s="176"/>
      <c r="V3622" s="176"/>
      <c r="W3622" s="176"/>
      <c r="X3622" s="176"/>
      <c r="Y3622" s="176"/>
    </row>
    <row r="3623" spans="1:25">
      <c r="A3623" s="91"/>
      <c r="B3623" s="176"/>
      <c r="C3623" s="176"/>
      <c r="D3623" s="176"/>
      <c r="E3623" s="176"/>
      <c r="F3623" s="176"/>
      <c r="G3623" s="176"/>
      <c r="H3623" s="176"/>
      <c r="I3623" s="176"/>
      <c r="J3623" s="176"/>
      <c r="K3623" s="176"/>
      <c r="L3623" s="176"/>
      <c r="M3623" s="176"/>
      <c r="N3623" s="176"/>
      <c r="O3623" s="176"/>
      <c r="P3623" s="176"/>
      <c r="Q3623" s="176"/>
      <c r="R3623" s="176"/>
      <c r="S3623" s="176"/>
      <c r="T3623" s="176"/>
      <c r="U3623" s="176"/>
      <c r="V3623" s="176"/>
      <c r="W3623" s="176"/>
      <c r="X3623" s="176"/>
      <c r="Y3623" s="176"/>
    </row>
    <row r="3624" spans="1:25">
      <c r="A3624" s="91"/>
      <c r="B3624" s="176"/>
      <c r="C3624" s="176"/>
      <c r="D3624" s="176"/>
      <c r="E3624" s="176"/>
      <c r="F3624" s="176"/>
      <c r="G3624" s="176"/>
      <c r="H3624" s="176"/>
      <c r="I3624" s="176"/>
      <c r="J3624" s="176"/>
      <c r="K3624" s="176"/>
      <c r="L3624" s="176"/>
      <c r="M3624" s="176"/>
      <c r="N3624" s="176"/>
      <c r="O3624" s="176"/>
      <c r="P3624" s="176"/>
      <c r="Q3624" s="176"/>
      <c r="R3624" s="176"/>
      <c r="S3624" s="176"/>
      <c r="T3624" s="176"/>
      <c r="U3624" s="176"/>
      <c r="V3624" s="176"/>
      <c r="W3624" s="176"/>
      <c r="X3624" s="176"/>
      <c r="Y3624" s="176"/>
    </row>
    <row r="3625" spans="1:25">
      <c r="A3625" s="91"/>
      <c r="B3625" s="176"/>
      <c r="C3625" s="176"/>
      <c r="D3625" s="176"/>
      <c r="E3625" s="176"/>
      <c r="F3625" s="176"/>
      <c r="G3625" s="176"/>
      <c r="H3625" s="176"/>
      <c r="I3625" s="176"/>
      <c r="J3625" s="176"/>
      <c r="K3625" s="176"/>
      <c r="L3625" s="176"/>
      <c r="M3625" s="176"/>
      <c r="N3625" s="176"/>
      <c r="O3625" s="176"/>
      <c r="P3625" s="176"/>
      <c r="Q3625" s="176"/>
      <c r="R3625" s="176"/>
      <c r="S3625" s="176"/>
      <c r="T3625" s="176"/>
      <c r="U3625" s="176"/>
      <c r="V3625" s="176"/>
      <c r="W3625" s="176"/>
      <c r="X3625" s="176"/>
      <c r="Y3625" s="176"/>
    </row>
    <row r="3626" spans="1:25">
      <c r="A3626" s="91"/>
      <c r="B3626" s="176"/>
      <c r="C3626" s="176"/>
      <c r="D3626" s="176"/>
      <c r="E3626" s="176"/>
      <c r="F3626" s="176"/>
      <c r="G3626" s="176"/>
      <c r="H3626" s="176"/>
      <c r="I3626" s="176"/>
      <c r="J3626" s="176"/>
      <c r="K3626" s="176"/>
      <c r="L3626" s="176"/>
      <c r="M3626" s="176"/>
      <c r="N3626" s="176"/>
      <c r="O3626" s="176"/>
      <c r="P3626" s="176"/>
      <c r="Q3626" s="176"/>
      <c r="R3626" s="176"/>
      <c r="S3626" s="176"/>
      <c r="T3626" s="176"/>
      <c r="U3626" s="176"/>
      <c r="V3626" s="176"/>
      <c r="W3626" s="176"/>
      <c r="X3626" s="176"/>
      <c r="Y3626" s="176"/>
    </row>
    <row r="3627" spans="1:25">
      <c r="A3627" s="91"/>
      <c r="B3627" s="176"/>
      <c r="C3627" s="176"/>
      <c r="D3627" s="176"/>
      <c r="E3627" s="176"/>
      <c r="F3627" s="176"/>
      <c r="G3627" s="176"/>
      <c r="H3627" s="176"/>
      <c r="I3627" s="176"/>
      <c r="J3627" s="176"/>
      <c r="K3627" s="176"/>
      <c r="L3627" s="176"/>
      <c r="M3627" s="176"/>
      <c r="N3627" s="176"/>
      <c r="O3627" s="176"/>
      <c r="P3627" s="176"/>
      <c r="Q3627" s="176"/>
      <c r="R3627" s="176"/>
      <c r="S3627" s="176"/>
      <c r="T3627" s="176"/>
      <c r="U3627" s="176"/>
      <c r="V3627" s="176"/>
      <c r="W3627" s="176"/>
      <c r="X3627" s="176"/>
      <c r="Y3627" s="176"/>
    </row>
    <row r="3628" spans="1:25">
      <c r="A3628" s="91"/>
      <c r="B3628" s="176"/>
      <c r="C3628" s="176"/>
      <c r="D3628" s="176"/>
      <c r="E3628" s="176"/>
      <c r="F3628" s="176"/>
      <c r="G3628" s="176"/>
      <c r="H3628" s="176"/>
      <c r="I3628" s="176"/>
      <c r="J3628" s="176"/>
      <c r="K3628" s="176"/>
      <c r="L3628" s="176"/>
      <c r="M3628" s="176"/>
      <c r="N3628" s="176"/>
      <c r="O3628" s="176"/>
      <c r="P3628" s="176"/>
      <c r="Q3628" s="176"/>
      <c r="R3628" s="176"/>
      <c r="S3628" s="176"/>
      <c r="T3628" s="176"/>
      <c r="U3628" s="176"/>
      <c r="V3628" s="176"/>
      <c r="W3628" s="176"/>
      <c r="X3628" s="176"/>
      <c r="Y3628" s="176"/>
    </row>
    <row r="3629" spans="1:25">
      <c r="A3629" s="91"/>
      <c r="B3629" s="176"/>
      <c r="C3629" s="176"/>
      <c r="D3629" s="176"/>
      <c r="E3629" s="176"/>
      <c r="F3629" s="176"/>
      <c r="G3629" s="176"/>
      <c r="H3629" s="176"/>
      <c r="I3629" s="176"/>
      <c r="J3629" s="176"/>
      <c r="K3629" s="176"/>
      <c r="L3629" s="176"/>
      <c r="M3629" s="176"/>
      <c r="N3629" s="176"/>
      <c r="O3629" s="176"/>
      <c r="P3629" s="176"/>
      <c r="Q3629" s="176"/>
      <c r="R3629" s="176"/>
      <c r="S3629" s="176"/>
      <c r="T3629" s="176"/>
      <c r="U3629" s="176"/>
      <c r="V3629" s="176"/>
      <c r="W3629" s="176"/>
      <c r="X3629" s="176"/>
      <c r="Y3629" s="176"/>
    </row>
    <row r="3630" spans="1:25">
      <c r="A3630" s="91"/>
      <c r="B3630" s="176"/>
      <c r="C3630" s="176"/>
      <c r="D3630" s="176"/>
      <c r="E3630" s="176"/>
      <c r="F3630" s="176"/>
      <c r="G3630" s="176"/>
      <c r="H3630" s="176"/>
      <c r="I3630" s="176"/>
      <c r="J3630" s="176"/>
      <c r="K3630" s="176"/>
      <c r="L3630" s="176"/>
      <c r="M3630" s="176"/>
      <c r="N3630" s="176"/>
      <c r="O3630" s="176"/>
      <c r="P3630" s="176"/>
      <c r="Q3630" s="176"/>
      <c r="R3630" s="176"/>
      <c r="S3630" s="176"/>
      <c r="T3630" s="176"/>
      <c r="U3630" s="176"/>
      <c r="V3630" s="176"/>
      <c r="W3630" s="176"/>
      <c r="X3630" s="176"/>
      <c r="Y3630" s="176"/>
    </row>
    <row r="3631" spans="1:25">
      <c r="A3631" s="91"/>
      <c r="B3631" s="176"/>
      <c r="C3631" s="176"/>
      <c r="D3631" s="176"/>
      <c r="E3631" s="176"/>
      <c r="F3631" s="176"/>
      <c r="G3631" s="176"/>
      <c r="H3631" s="176"/>
      <c r="I3631" s="176"/>
      <c r="J3631" s="176"/>
      <c r="K3631" s="176"/>
      <c r="L3631" s="176"/>
      <c r="M3631" s="176"/>
      <c r="N3631" s="176"/>
      <c r="O3631" s="176"/>
      <c r="P3631" s="176"/>
      <c r="Q3631" s="176"/>
      <c r="R3631" s="176"/>
      <c r="S3631" s="176"/>
      <c r="T3631" s="176"/>
      <c r="U3631" s="176"/>
      <c r="V3631" s="176"/>
      <c r="W3631" s="176"/>
      <c r="X3631" s="176"/>
      <c r="Y3631" s="176"/>
    </row>
    <row r="3632" spans="1:25">
      <c r="A3632" s="91"/>
      <c r="B3632" s="176"/>
      <c r="C3632" s="176"/>
      <c r="D3632" s="176"/>
      <c r="E3632" s="176"/>
      <c r="F3632" s="176"/>
      <c r="G3632" s="176"/>
      <c r="H3632" s="176"/>
      <c r="I3632" s="176"/>
      <c r="J3632" s="176"/>
      <c r="K3632" s="176"/>
      <c r="L3632" s="176"/>
      <c r="M3632" s="176"/>
      <c r="N3632" s="176"/>
      <c r="O3632" s="176"/>
      <c r="P3632" s="176"/>
      <c r="Q3632" s="176"/>
      <c r="R3632" s="176"/>
      <c r="S3632" s="176"/>
      <c r="T3632" s="176"/>
      <c r="U3632" s="176"/>
      <c r="V3632" s="176"/>
      <c r="W3632" s="176"/>
      <c r="X3632" s="176"/>
      <c r="Y3632" s="176"/>
    </row>
    <row r="3633" spans="1:25">
      <c r="A3633" s="91"/>
      <c r="B3633" s="176"/>
      <c r="C3633" s="176"/>
      <c r="D3633" s="176"/>
      <c r="E3633" s="176"/>
      <c r="F3633" s="176"/>
      <c r="G3633" s="176"/>
      <c r="H3633" s="176"/>
      <c r="I3633" s="176"/>
      <c r="J3633" s="176"/>
      <c r="K3633" s="176"/>
      <c r="L3633" s="176"/>
      <c r="M3633" s="176"/>
      <c r="N3633" s="176"/>
      <c r="O3633" s="176"/>
      <c r="P3633" s="176"/>
      <c r="Q3633" s="176"/>
      <c r="R3633" s="176"/>
      <c r="S3633" s="176"/>
      <c r="T3633" s="176"/>
      <c r="U3633" s="176"/>
      <c r="V3633" s="176"/>
      <c r="W3633" s="176"/>
      <c r="X3633" s="176"/>
      <c r="Y3633" s="176"/>
    </row>
    <row r="3634" spans="1:25">
      <c r="A3634" s="91"/>
      <c r="B3634" s="176"/>
      <c r="C3634" s="176"/>
      <c r="D3634" s="176"/>
      <c r="E3634" s="176"/>
      <c r="F3634" s="176"/>
      <c r="G3634" s="176"/>
      <c r="H3634" s="176"/>
      <c r="I3634" s="176"/>
      <c r="J3634" s="176"/>
      <c r="K3634" s="176"/>
      <c r="L3634" s="176"/>
      <c r="M3634" s="176"/>
      <c r="N3634" s="176"/>
      <c r="O3634" s="176"/>
      <c r="P3634" s="176"/>
      <c r="Q3634" s="176"/>
      <c r="R3634" s="176"/>
      <c r="S3634" s="176"/>
      <c r="T3634" s="176"/>
      <c r="U3634" s="176"/>
      <c r="V3634" s="176"/>
      <c r="W3634" s="176"/>
      <c r="X3634" s="176"/>
      <c r="Y3634" s="176"/>
    </row>
    <row r="3635" spans="1:25">
      <c r="A3635" s="91"/>
      <c r="B3635" s="176"/>
      <c r="C3635" s="176"/>
      <c r="D3635" s="176"/>
      <c r="E3635" s="176"/>
      <c r="F3635" s="176"/>
      <c r="G3635" s="176"/>
      <c r="H3635" s="176"/>
      <c r="I3635" s="176"/>
      <c r="J3635" s="176"/>
      <c r="K3635" s="176"/>
      <c r="L3635" s="176"/>
      <c r="M3635" s="176"/>
      <c r="N3635" s="176"/>
      <c r="O3635" s="176"/>
      <c r="P3635" s="176"/>
      <c r="Q3635" s="176"/>
      <c r="R3635" s="176"/>
      <c r="S3635" s="176"/>
      <c r="T3635" s="176"/>
      <c r="U3635" s="176"/>
      <c r="V3635" s="176"/>
      <c r="W3635" s="176"/>
      <c r="X3635" s="176"/>
      <c r="Y3635" s="176"/>
    </row>
    <row r="3636" spans="1:25">
      <c r="A3636" s="91"/>
      <c r="B3636" s="176"/>
      <c r="C3636" s="176"/>
      <c r="D3636" s="176"/>
      <c r="E3636" s="176"/>
      <c r="F3636" s="176"/>
      <c r="G3636" s="176"/>
      <c r="H3636" s="176"/>
      <c r="I3636" s="176"/>
      <c r="J3636" s="176"/>
      <c r="K3636" s="176"/>
      <c r="L3636" s="176"/>
      <c r="M3636" s="176"/>
      <c r="N3636" s="176"/>
      <c r="O3636" s="176"/>
      <c r="P3636" s="176"/>
      <c r="Q3636" s="176"/>
      <c r="R3636" s="176"/>
      <c r="S3636" s="176"/>
      <c r="T3636" s="176"/>
      <c r="U3636" s="176"/>
      <c r="V3636" s="176"/>
      <c r="W3636" s="176"/>
      <c r="X3636" s="176"/>
      <c r="Y3636" s="176"/>
    </row>
    <row r="3637" spans="1:25">
      <c r="A3637" s="91"/>
      <c r="B3637" s="176"/>
      <c r="C3637" s="176"/>
      <c r="D3637" s="176"/>
      <c r="E3637" s="176"/>
      <c r="F3637" s="176"/>
      <c r="G3637" s="176"/>
      <c r="H3637" s="176"/>
      <c r="I3637" s="176"/>
      <c r="J3637" s="176"/>
      <c r="K3637" s="176"/>
      <c r="L3637" s="176"/>
      <c r="M3637" s="176"/>
      <c r="N3637" s="176"/>
      <c r="O3637" s="176"/>
      <c r="P3637" s="176"/>
      <c r="Q3637" s="176"/>
      <c r="R3637" s="176"/>
      <c r="S3637" s="176"/>
      <c r="T3637" s="176"/>
      <c r="U3637" s="176"/>
      <c r="V3637" s="176"/>
      <c r="W3637" s="176"/>
      <c r="X3637" s="176"/>
      <c r="Y3637" s="176"/>
    </row>
    <row r="3638" spans="1:25">
      <c r="A3638" s="91"/>
      <c r="B3638" s="176"/>
      <c r="C3638" s="176"/>
      <c r="D3638" s="176"/>
      <c r="E3638" s="176"/>
      <c r="F3638" s="176"/>
      <c r="G3638" s="176"/>
      <c r="H3638" s="176"/>
      <c r="I3638" s="176"/>
      <c r="J3638" s="176"/>
      <c r="K3638" s="176"/>
      <c r="L3638" s="176"/>
      <c r="M3638" s="176"/>
      <c r="N3638" s="176"/>
      <c r="O3638" s="176"/>
      <c r="P3638" s="176"/>
      <c r="Q3638" s="176"/>
      <c r="R3638" s="176"/>
      <c r="S3638" s="176"/>
      <c r="T3638" s="176"/>
      <c r="U3638" s="176"/>
      <c r="V3638" s="176"/>
      <c r="W3638" s="176"/>
      <c r="X3638" s="176"/>
      <c r="Y3638" s="176"/>
    </row>
    <row r="3639" spans="1:25">
      <c r="A3639" s="91"/>
      <c r="B3639" s="176"/>
      <c r="C3639" s="176"/>
      <c r="D3639" s="176"/>
      <c r="E3639" s="176"/>
      <c r="F3639" s="176"/>
      <c r="G3639" s="176"/>
      <c r="H3639" s="176"/>
      <c r="I3639" s="176"/>
      <c r="J3639" s="176"/>
      <c r="K3639" s="176"/>
      <c r="L3639" s="176"/>
      <c r="M3639" s="176"/>
      <c r="N3639" s="176"/>
      <c r="O3639" s="176"/>
      <c r="P3639" s="176"/>
      <c r="Q3639" s="176"/>
      <c r="R3639" s="176"/>
      <c r="S3639" s="176"/>
      <c r="T3639" s="176"/>
      <c r="U3639" s="176"/>
      <c r="V3639" s="176"/>
      <c r="W3639" s="176"/>
      <c r="X3639" s="176"/>
      <c r="Y3639" s="176"/>
    </row>
  </sheetData>
  <phoneticPr fontId="2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"/>
  <sheetViews>
    <sheetView showGridLines="0" zoomScaleNormal="100" workbookViewId="0">
      <selection activeCell="G21" sqref="G21"/>
    </sheetView>
  </sheetViews>
  <sheetFormatPr defaultColWidth="9.54296875" defaultRowHeight="12.5"/>
  <cols>
    <col min="1" max="1" width="17.54296875" customWidth="1"/>
    <col min="2" max="24" width="12.1796875" customWidth="1"/>
    <col min="25" max="37" width="13" customWidth="1"/>
    <col min="38" max="39" width="9.81640625" customWidth="1"/>
    <col min="40" max="40" width="13.1796875" customWidth="1"/>
  </cols>
  <sheetData>
    <row r="1" spans="1:40" ht="18.75" customHeight="1">
      <c r="A1" s="242" t="s">
        <v>0</v>
      </c>
      <c r="B1" s="242"/>
      <c r="C1" s="242"/>
    </row>
    <row r="2" spans="1:40" ht="39" customHeight="1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383</v>
      </c>
      <c r="Z2" s="3" t="s">
        <v>384</v>
      </c>
      <c r="AA2" s="3" t="s">
        <v>385</v>
      </c>
      <c r="AB2" s="3" t="s">
        <v>386</v>
      </c>
      <c r="AC2" s="3" t="s">
        <v>387</v>
      </c>
      <c r="AD2" s="3" t="s">
        <v>388</v>
      </c>
      <c r="AE2" s="3" t="s">
        <v>389</v>
      </c>
      <c r="AF2" s="3" t="s">
        <v>390</v>
      </c>
      <c r="AG2" s="3" t="s">
        <v>391</v>
      </c>
      <c r="AH2" s="3" t="s">
        <v>392</v>
      </c>
      <c r="AI2" s="3" t="s">
        <v>394</v>
      </c>
      <c r="AJ2" s="3" t="s">
        <v>395</v>
      </c>
      <c r="AK2" s="3" t="s">
        <v>393</v>
      </c>
      <c r="AL2" s="1" t="s">
        <v>25</v>
      </c>
      <c r="AM2" s="1" t="s">
        <v>26</v>
      </c>
      <c r="AN2" s="1" t="s">
        <v>27</v>
      </c>
    </row>
    <row r="3" spans="1:40" ht="13">
      <c r="A3" s="1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  <c r="W3" s="4" t="s">
        <v>50</v>
      </c>
      <c r="X3" s="4" t="s">
        <v>51</v>
      </c>
      <c r="Y3" s="4" t="s">
        <v>372</v>
      </c>
      <c r="Z3" s="4" t="s">
        <v>373</v>
      </c>
      <c r="AA3" s="4" t="s">
        <v>374</v>
      </c>
      <c r="AB3" s="4" t="s">
        <v>375</v>
      </c>
      <c r="AC3" s="4" t="s">
        <v>376</v>
      </c>
      <c r="AD3" s="4" t="s">
        <v>377</v>
      </c>
      <c r="AE3" s="4" t="s">
        <v>378</v>
      </c>
      <c r="AF3" s="4" t="s">
        <v>379</v>
      </c>
      <c r="AG3" s="4" t="s">
        <v>380</v>
      </c>
      <c r="AH3" s="4" t="s">
        <v>381</v>
      </c>
      <c r="AI3" s="4" t="s">
        <v>349</v>
      </c>
      <c r="AJ3" s="4" t="s">
        <v>348</v>
      </c>
      <c r="AK3" s="4" t="s">
        <v>382</v>
      </c>
      <c r="AL3" s="4"/>
      <c r="AM3" s="4"/>
      <c r="AN3" s="4"/>
    </row>
    <row r="4" spans="1:40" ht="13">
      <c r="A4" s="5" t="s">
        <v>52</v>
      </c>
      <c r="B4" s="6">
        <v>0</v>
      </c>
      <c r="C4" s="6">
        <v>0.02</v>
      </c>
      <c r="D4" s="6">
        <v>0.19</v>
      </c>
      <c r="E4" s="6">
        <v>0</v>
      </c>
      <c r="F4" s="6">
        <v>0</v>
      </c>
      <c r="G4" s="6">
        <v>0.11</v>
      </c>
      <c r="H4" s="6">
        <v>0</v>
      </c>
      <c r="I4" s="6">
        <v>0</v>
      </c>
      <c r="J4" s="6">
        <v>0.19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0.19</v>
      </c>
      <c r="Q4" s="6">
        <v>0.19</v>
      </c>
      <c r="R4" s="6">
        <v>0</v>
      </c>
      <c r="S4" s="6">
        <v>0</v>
      </c>
      <c r="T4" s="6">
        <v>0.11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7">
        <f t="shared" ref="AL4:AL8" si="0">SUM(B4:X4)</f>
        <v>0.99999999999999989</v>
      </c>
      <c r="AM4" s="8">
        <v>1.4999999999999999E-2</v>
      </c>
      <c r="AN4" s="9">
        <v>46195</v>
      </c>
    </row>
    <row r="5" spans="1:40" ht="13">
      <c r="A5" s="5" t="s">
        <v>53</v>
      </c>
      <c r="B5" s="6">
        <v>0</v>
      </c>
      <c r="C5" s="6">
        <v>0.02</v>
      </c>
      <c r="D5" s="6">
        <v>0.19</v>
      </c>
      <c r="E5" s="6">
        <v>0</v>
      </c>
      <c r="F5" s="6">
        <v>0</v>
      </c>
      <c r="G5" s="6">
        <v>0.11</v>
      </c>
      <c r="H5" s="6">
        <v>0</v>
      </c>
      <c r="I5" s="6">
        <v>0</v>
      </c>
      <c r="J5" s="6">
        <v>0.19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0.19</v>
      </c>
      <c r="Q5" s="6">
        <v>0.19</v>
      </c>
      <c r="R5" s="6">
        <v>0</v>
      </c>
      <c r="S5" s="6">
        <v>0</v>
      </c>
      <c r="T5" s="6">
        <v>0.11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7">
        <f t="shared" si="0"/>
        <v>0.99999999999999989</v>
      </c>
      <c r="AM5" s="8">
        <v>1.2E-2</v>
      </c>
      <c r="AN5" s="9">
        <v>46191</v>
      </c>
    </row>
    <row r="6" spans="1:40" ht="13">
      <c r="A6" s="5" t="s">
        <v>54</v>
      </c>
      <c r="B6" s="6">
        <v>0</v>
      </c>
      <c r="C6" s="6">
        <v>0.02</v>
      </c>
      <c r="D6" s="6">
        <v>0</v>
      </c>
      <c r="E6" s="6">
        <v>0</v>
      </c>
      <c r="F6" s="6">
        <v>0</v>
      </c>
      <c r="G6" s="6">
        <v>0</v>
      </c>
      <c r="H6" s="6">
        <v>0.11</v>
      </c>
      <c r="I6" s="6">
        <v>0.19</v>
      </c>
      <c r="J6" s="6">
        <v>0</v>
      </c>
      <c r="K6" s="6">
        <v>0.19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0.19</v>
      </c>
      <c r="S6" s="6">
        <v>0.19</v>
      </c>
      <c r="T6" s="6">
        <v>0</v>
      </c>
      <c r="U6" s="6">
        <v>0.11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7">
        <f t="shared" si="0"/>
        <v>0.99999999999999989</v>
      </c>
      <c r="AM6" s="8">
        <v>1.4999999999999999E-2</v>
      </c>
      <c r="AN6" s="9">
        <v>46196</v>
      </c>
    </row>
    <row r="7" spans="1:40" ht="13">
      <c r="A7" s="10" t="s">
        <v>55</v>
      </c>
      <c r="B7" s="6">
        <v>0.05</v>
      </c>
      <c r="C7" s="6">
        <v>0.02</v>
      </c>
      <c r="D7" s="6">
        <v>0</v>
      </c>
      <c r="E7" s="6">
        <v>0</v>
      </c>
      <c r="F7" s="6">
        <v>1.2500000000000001E-2</v>
      </c>
      <c r="G7" s="6">
        <v>0</v>
      </c>
      <c r="H7" s="6">
        <v>5.0000000000000001E-3</v>
      </c>
      <c r="I7" s="6">
        <v>0.01</v>
      </c>
      <c r="J7" s="6">
        <v>0</v>
      </c>
      <c r="K7" s="6">
        <v>0.01</v>
      </c>
      <c r="L7" s="6">
        <v>0</v>
      </c>
      <c r="M7" s="6">
        <v>1.2500000000000001E-2</v>
      </c>
      <c r="N7" s="6">
        <v>0</v>
      </c>
      <c r="O7" s="6">
        <v>1.2500000000000001E-2</v>
      </c>
      <c r="P7" s="6">
        <v>0</v>
      </c>
      <c r="Q7" s="6">
        <v>0</v>
      </c>
      <c r="R7" s="6">
        <v>0.01</v>
      </c>
      <c r="S7" s="6">
        <v>0.01</v>
      </c>
      <c r="T7" s="6">
        <v>0</v>
      </c>
      <c r="U7" s="6">
        <v>5.0000000000000001E-3</v>
      </c>
      <c r="V7" s="6">
        <v>0</v>
      </c>
      <c r="W7" s="6">
        <v>1.2500000000000001E-2</v>
      </c>
      <c r="X7" s="6">
        <v>0.83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7">
        <f t="shared" si="0"/>
        <v>1</v>
      </c>
      <c r="AM7" s="8">
        <v>8.0000000000000002E-3</v>
      </c>
      <c r="AN7" s="9">
        <v>46197</v>
      </c>
    </row>
    <row r="8" spans="1:40" ht="13">
      <c r="A8" s="10" t="s">
        <v>56</v>
      </c>
      <c r="B8" s="6">
        <v>0.05</v>
      </c>
      <c r="C8" s="6">
        <v>0.02</v>
      </c>
      <c r="D8" s="6">
        <v>0.01</v>
      </c>
      <c r="E8" s="6">
        <v>1.2500000000000001E-2</v>
      </c>
      <c r="F8" s="6">
        <v>0</v>
      </c>
      <c r="G8" s="6">
        <v>5.0000000000000001E-3</v>
      </c>
      <c r="H8" s="6">
        <v>0</v>
      </c>
      <c r="I8" s="6">
        <v>0</v>
      </c>
      <c r="J8" s="6">
        <v>0.01</v>
      </c>
      <c r="K8" s="6">
        <v>0</v>
      </c>
      <c r="L8" s="6">
        <v>1.2500000000000001E-2</v>
      </c>
      <c r="M8" s="6">
        <v>0</v>
      </c>
      <c r="N8" s="6">
        <v>1.2500000000000001E-2</v>
      </c>
      <c r="O8" s="6">
        <v>0</v>
      </c>
      <c r="P8" s="6">
        <v>0.01</v>
      </c>
      <c r="Q8" s="6">
        <v>0.01</v>
      </c>
      <c r="R8" s="6">
        <v>0</v>
      </c>
      <c r="S8" s="6">
        <v>0</v>
      </c>
      <c r="T8" s="6">
        <v>5.0000000000000001E-3</v>
      </c>
      <c r="U8" s="6">
        <v>0</v>
      </c>
      <c r="V8" s="6">
        <v>1.2500000000000001E-2</v>
      </c>
      <c r="W8" s="6">
        <v>0</v>
      </c>
      <c r="X8" s="6">
        <v>0.83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7">
        <f t="shared" si="0"/>
        <v>1</v>
      </c>
      <c r="AM8" s="8">
        <v>5.0000000000000001E-3</v>
      </c>
      <c r="AN8" s="9">
        <v>46191</v>
      </c>
    </row>
    <row r="9" spans="1:40" ht="13">
      <c r="A9" s="10" t="s">
        <v>57</v>
      </c>
      <c r="B9" s="6">
        <v>0.1</v>
      </c>
      <c r="C9" s="6">
        <v>0.02</v>
      </c>
      <c r="D9" s="6">
        <v>0</v>
      </c>
      <c r="E9" s="6">
        <v>0</v>
      </c>
      <c r="F9" s="6">
        <v>3.7499999999999999E-2</v>
      </c>
      <c r="G9" s="6">
        <v>0</v>
      </c>
      <c r="H9" s="6">
        <v>1.4999999999999999E-2</v>
      </c>
      <c r="I9" s="6">
        <v>0.03</v>
      </c>
      <c r="J9" s="6">
        <v>0</v>
      </c>
      <c r="K9" s="6">
        <v>0.03</v>
      </c>
      <c r="L9" s="6">
        <v>0</v>
      </c>
      <c r="M9" s="6">
        <v>3.7499999999999999E-2</v>
      </c>
      <c r="N9" s="6">
        <v>0</v>
      </c>
      <c r="O9" s="6">
        <v>3.7499999999999999E-2</v>
      </c>
      <c r="P9" s="6">
        <v>0</v>
      </c>
      <c r="Q9" s="6">
        <v>0</v>
      </c>
      <c r="R9" s="6">
        <v>0.03</v>
      </c>
      <c r="S9" s="6">
        <v>0.03</v>
      </c>
      <c r="T9" s="6">
        <v>0</v>
      </c>
      <c r="U9" s="6">
        <v>1.4999999999999999E-2</v>
      </c>
      <c r="V9" s="6">
        <v>0</v>
      </c>
      <c r="W9" s="6">
        <v>3.7499999999999999E-2</v>
      </c>
      <c r="X9" s="6">
        <v>0.57999999999999996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7">
        <f>SUM(B9:X9)</f>
        <v>0.99999999999999989</v>
      </c>
      <c r="AM9" s="8">
        <v>1.2E-2</v>
      </c>
      <c r="AN9" s="9">
        <v>46197</v>
      </c>
    </row>
    <row r="10" spans="1:40" s="221" customFormat="1" ht="13">
      <c r="A10" s="10" t="s">
        <v>396</v>
      </c>
      <c r="B10" s="6">
        <v>0</v>
      </c>
      <c r="C10" s="6">
        <v>0.05</v>
      </c>
      <c r="D10" s="6">
        <v>0</v>
      </c>
      <c r="E10" s="6">
        <v>0</v>
      </c>
      <c r="F10" s="6">
        <v>2.5000000000000001E-2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1.2500000000000001E-2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1.2500000000000001E-2</v>
      </c>
      <c r="X10" s="6">
        <v>0.3</v>
      </c>
      <c r="Y10" s="6">
        <v>1.2500000000000001E-2</v>
      </c>
      <c r="Z10" s="6">
        <v>1.2500000000000001E-2</v>
      </c>
      <c r="AA10" s="6">
        <v>1.2500000000000001E-2</v>
      </c>
      <c r="AB10" s="6">
        <v>1.2500000000000001E-2</v>
      </c>
      <c r="AC10" s="6">
        <v>5.0000000000000001E-3</v>
      </c>
      <c r="AD10" s="6">
        <v>5.0000000000000001E-3</v>
      </c>
      <c r="AE10" s="6">
        <v>5.0000000000000001E-3</v>
      </c>
      <c r="AF10" s="6">
        <v>5.0000000000000001E-3</v>
      </c>
      <c r="AG10" s="6">
        <v>0.06</v>
      </c>
      <c r="AH10" s="6">
        <v>0.02</v>
      </c>
      <c r="AI10" s="6">
        <v>0.2</v>
      </c>
      <c r="AJ10" s="6">
        <v>0.2</v>
      </c>
      <c r="AK10" s="6">
        <v>0.05</v>
      </c>
      <c r="AL10" s="7">
        <f>SUM(B10:AK10)</f>
        <v>1</v>
      </c>
      <c r="AM10" s="8">
        <v>8.0000000000000002E-3</v>
      </c>
      <c r="AN10" s="9">
        <v>46282</v>
      </c>
    </row>
    <row r="12" spans="1:40" ht="14.25" customHeight="1">
      <c r="A12" s="2"/>
    </row>
  </sheetData>
  <mergeCells count="1">
    <mergeCell ref="A1:C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"/>
  <sheetViews>
    <sheetView showGridLines="0" zoomScaleNormal="100" workbookViewId="0">
      <selection activeCell="A26" sqref="A26:XFD26"/>
    </sheetView>
  </sheetViews>
  <sheetFormatPr defaultColWidth="9.54296875" defaultRowHeight="12.5"/>
  <cols>
    <col min="1" max="1" width="37.5429687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  <col min="29" max="30" width="9.26953125" customWidth="1"/>
    <col min="31" max="41" width="13" customWidth="1"/>
  </cols>
  <sheetData>
    <row r="1" spans="1:41">
      <c r="A1" t="s">
        <v>74</v>
      </c>
    </row>
    <row r="2" spans="1:41" ht="14.5">
      <c r="A2" t="s">
        <v>1</v>
      </c>
      <c r="B2" s="17" t="s">
        <v>75</v>
      </c>
      <c r="C2" s="17" t="s">
        <v>76</v>
      </c>
      <c r="D2" s="17" t="s">
        <v>77</v>
      </c>
      <c r="E2" s="17" t="s">
        <v>78</v>
      </c>
      <c r="F2" s="17" t="s">
        <v>79</v>
      </c>
      <c r="G2" s="17" t="s">
        <v>80</v>
      </c>
      <c r="H2" s="17" t="s">
        <v>81</v>
      </c>
      <c r="I2" t="s">
        <v>9</v>
      </c>
      <c r="J2" s="17" t="s">
        <v>82</v>
      </c>
      <c r="K2" s="17" t="s">
        <v>83</v>
      </c>
      <c r="L2" s="17" t="s">
        <v>84</v>
      </c>
      <c r="M2" s="17" t="s">
        <v>85</v>
      </c>
      <c r="N2" s="17" t="s">
        <v>86</v>
      </c>
      <c r="O2" s="17" t="s">
        <v>87</v>
      </c>
      <c r="P2" s="17" t="s">
        <v>88</v>
      </c>
      <c r="Q2" s="17" t="s">
        <v>89</v>
      </c>
      <c r="R2" s="17" t="s">
        <v>90</v>
      </c>
      <c r="S2" s="17" t="s">
        <v>91</v>
      </c>
      <c r="T2" s="17" t="s">
        <v>92</v>
      </c>
      <c r="U2" s="17" t="s">
        <v>93</v>
      </c>
      <c r="V2" s="17" t="s">
        <v>94</v>
      </c>
      <c r="W2" s="17" t="s">
        <v>95</v>
      </c>
      <c r="X2" s="17" t="s">
        <v>96</v>
      </c>
      <c r="Y2" t="s">
        <v>61</v>
      </c>
      <c r="Z2" t="s">
        <v>25</v>
      </c>
      <c r="AA2" t="s">
        <v>97</v>
      </c>
      <c r="AB2" s="17" t="s">
        <v>98</v>
      </c>
      <c r="AC2" s="17" t="s">
        <v>350</v>
      </c>
      <c r="AD2" t="s">
        <v>351</v>
      </c>
      <c r="AE2" t="s">
        <v>383</v>
      </c>
      <c r="AF2" t="s">
        <v>384</v>
      </c>
      <c r="AG2" t="s">
        <v>385</v>
      </c>
      <c r="AH2" t="s">
        <v>386</v>
      </c>
      <c r="AI2" t="s">
        <v>387</v>
      </c>
      <c r="AJ2" t="s">
        <v>388</v>
      </c>
      <c r="AK2" t="s">
        <v>389</v>
      </c>
      <c r="AL2" t="s">
        <v>390</v>
      </c>
      <c r="AM2" t="s">
        <v>391</v>
      </c>
      <c r="AN2" t="s">
        <v>392</v>
      </c>
      <c r="AO2" t="s">
        <v>393</v>
      </c>
    </row>
    <row r="3" spans="1:41" ht="14">
      <c r="A3" t="s">
        <v>28</v>
      </c>
      <c r="B3" s="18" t="s">
        <v>99</v>
      </c>
      <c r="C3" s="18" t="s">
        <v>100</v>
      </c>
      <c r="D3" s="18" t="s">
        <v>101</v>
      </c>
      <c r="E3" s="18" t="s">
        <v>102</v>
      </c>
      <c r="F3" s="18" t="s">
        <v>103</v>
      </c>
      <c r="G3" s="18" t="s">
        <v>104</v>
      </c>
      <c r="H3" s="18" t="s">
        <v>105</v>
      </c>
      <c r="I3" s="18" t="s">
        <v>106</v>
      </c>
      <c r="J3" s="18" t="s">
        <v>107</v>
      </c>
      <c r="K3" s="18" t="s">
        <v>108</v>
      </c>
      <c r="L3" s="18" t="s">
        <v>109</v>
      </c>
      <c r="M3" s="18" t="s">
        <v>110</v>
      </c>
      <c r="N3" s="18" t="s">
        <v>111</v>
      </c>
      <c r="O3" s="18" t="s">
        <v>112</v>
      </c>
      <c r="P3" s="18" t="s">
        <v>113</v>
      </c>
      <c r="Q3" s="18" t="s">
        <v>114</v>
      </c>
      <c r="R3" s="18" t="s">
        <v>115</v>
      </c>
      <c r="S3" s="18" t="s">
        <v>116</v>
      </c>
      <c r="T3" s="18" t="s">
        <v>117</v>
      </c>
      <c r="U3" s="18" t="s">
        <v>118</v>
      </c>
      <c r="V3" s="18" t="s">
        <v>119</v>
      </c>
      <c r="W3" s="18" t="s">
        <v>120</v>
      </c>
      <c r="X3" s="18" t="s">
        <v>121</v>
      </c>
      <c r="Y3" s="18" t="s">
        <v>122</v>
      </c>
      <c r="AC3" s="18" t="s">
        <v>352</v>
      </c>
      <c r="AD3" s="18" t="s">
        <v>353</v>
      </c>
      <c r="AE3" s="18" t="s">
        <v>397</v>
      </c>
      <c r="AF3" s="18" t="s">
        <v>398</v>
      </c>
      <c r="AG3" s="18" t="s">
        <v>399</v>
      </c>
      <c r="AH3" s="18" t="s">
        <v>400</v>
      </c>
      <c r="AI3" s="18" t="s">
        <v>401</v>
      </c>
      <c r="AJ3" s="18" t="s">
        <v>402</v>
      </c>
      <c r="AK3" s="18" t="s">
        <v>403</v>
      </c>
      <c r="AL3" s="18" t="s">
        <v>404</v>
      </c>
      <c r="AM3" s="18" t="s">
        <v>405</v>
      </c>
      <c r="AN3" s="18" t="s">
        <v>406</v>
      </c>
      <c r="AO3" s="18" t="s">
        <v>407</v>
      </c>
    </row>
    <row r="5" spans="1:41" ht="14.5">
      <c r="A5" s="17" t="s">
        <v>123</v>
      </c>
      <c r="B5" s="19">
        <f>实盘持仓配置!B4</f>
        <v>0</v>
      </c>
      <c r="C5" s="19">
        <f>实盘持仓配置!C4</f>
        <v>0.02</v>
      </c>
      <c r="D5" s="19">
        <f>实盘持仓配置!D4</f>
        <v>0.19</v>
      </c>
      <c r="E5" s="19">
        <f>实盘持仓配置!E4</f>
        <v>0</v>
      </c>
      <c r="F5" s="19">
        <f>实盘持仓配置!F4</f>
        <v>0</v>
      </c>
      <c r="G5" s="19">
        <f>实盘持仓配置!G4</f>
        <v>0.11</v>
      </c>
      <c r="H5" s="19">
        <f>实盘持仓配置!H4</f>
        <v>0</v>
      </c>
      <c r="I5" s="19">
        <f>实盘持仓配置!I4</f>
        <v>0</v>
      </c>
      <c r="J5" s="19">
        <f>实盘持仓配置!J4</f>
        <v>0.19</v>
      </c>
      <c r="K5" s="19">
        <f>实盘持仓配置!K4</f>
        <v>0</v>
      </c>
      <c r="L5" s="19">
        <f>实盘持仓配置!L4</f>
        <v>0</v>
      </c>
      <c r="M5" s="19">
        <f>实盘持仓配置!M4</f>
        <v>0</v>
      </c>
      <c r="N5" s="19">
        <f>实盘持仓配置!N4</f>
        <v>0</v>
      </c>
      <c r="O5" s="19">
        <f>实盘持仓配置!O4</f>
        <v>0</v>
      </c>
      <c r="P5" s="19">
        <f>实盘持仓配置!P4</f>
        <v>0.19</v>
      </c>
      <c r="Q5" s="19">
        <f>实盘持仓配置!Q4</f>
        <v>0.19</v>
      </c>
      <c r="R5" s="19">
        <f>实盘持仓配置!R4</f>
        <v>0</v>
      </c>
      <c r="S5" s="19">
        <f>实盘持仓配置!S4</f>
        <v>0</v>
      </c>
      <c r="T5" s="19">
        <f>实盘持仓配置!T4</f>
        <v>0.11</v>
      </c>
      <c r="U5" s="19">
        <f>实盘持仓配置!U4</f>
        <v>0</v>
      </c>
      <c r="V5" s="19">
        <f>实盘持仓配置!V4</f>
        <v>0</v>
      </c>
      <c r="W5" s="19">
        <f>实盘持仓配置!W4</f>
        <v>0</v>
      </c>
      <c r="X5" s="19">
        <f>实盘持仓配置!X4</f>
        <v>0</v>
      </c>
      <c r="Y5">
        <v>0</v>
      </c>
      <c r="Z5">
        <f t="shared" ref="Z5:Z22" si="0">SUM(B5:Y5)</f>
        <v>0.99999999999999989</v>
      </c>
      <c r="AA5" s="20">
        <v>46195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 ht="14.5">
      <c r="A6" s="17" t="s">
        <v>124</v>
      </c>
      <c r="B6" s="19">
        <f>实盘持仓配置!B5</f>
        <v>0</v>
      </c>
      <c r="C6" s="19">
        <f>实盘持仓配置!C5</f>
        <v>0.02</v>
      </c>
      <c r="D6" s="19">
        <f>实盘持仓配置!D5</f>
        <v>0.19</v>
      </c>
      <c r="E6" s="19">
        <f>实盘持仓配置!E5</f>
        <v>0</v>
      </c>
      <c r="F6" s="19">
        <f>实盘持仓配置!F5</f>
        <v>0</v>
      </c>
      <c r="G6" s="19">
        <f>实盘持仓配置!G5</f>
        <v>0.11</v>
      </c>
      <c r="H6" s="19">
        <f>实盘持仓配置!H5</f>
        <v>0</v>
      </c>
      <c r="I6" s="19">
        <f>实盘持仓配置!I5</f>
        <v>0</v>
      </c>
      <c r="J6" s="19">
        <f>实盘持仓配置!J5</f>
        <v>0.19</v>
      </c>
      <c r="K6" s="19">
        <f>实盘持仓配置!K5</f>
        <v>0</v>
      </c>
      <c r="L6" s="19">
        <f>实盘持仓配置!L5</f>
        <v>0</v>
      </c>
      <c r="M6" s="19">
        <f>实盘持仓配置!M5</f>
        <v>0</v>
      </c>
      <c r="N6" s="19">
        <f>实盘持仓配置!N5</f>
        <v>0</v>
      </c>
      <c r="O6" s="19">
        <f>实盘持仓配置!O5</f>
        <v>0</v>
      </c>
      <c r="P6" s="19">
        <f>实盘持仓配置!P5</f>
        <v>0.19</v>
      </c>
      <c r="Q6" s="19">
        <f>实盘持仓配置!Q5</f>
        <v>0.19</v>
      </c>
      <c r="R6" s="19">
        <f>实盘持仓配置!R5</f>
        <v>0</v>
      </c>
      <c r="S6" s="19">
        <f>实盘持仓配置!S5</f>
        <v>0</v>
      </c>
      <c r="T6" s="19">
        <f>实盘持仓配置!T5</f>
        <v>0.11</v>
      </c>
      <c r="U6" s="19">
        <f>实盘持仓配置!U5</f>
        <v>0</v>
      </c>
      <c r="V6" s="19">
        <f>实盘持仓配置!V5</f>
        <v>0</v>
      </c>
      <c r="W6" s="19">
        <f>实盘持仓配置!W5</f>
        <v>0</v>
      </c>
      <c r="X6" s="19">
        <f>实盘持仓配置!X5</f>
        <v>0</v>
      </c>
      <c r="Y6">
        <v>0</v>
      </c>
      <c r="Z6">
        <f t="shared" si="0"/>
        <v>0.99999999999999989</v>
      </c>
      <c r="AA6" s="20">
        <v>46191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 ht="14.5">
      <c r="A7" s="17" t="s">
        <v>125</v>
      </c>
      <c r="B7" s="19">
        <f>实盘持仓配置!B6</f>
        <v>0</v>
      </c>
      <c r="C7" s="19">
        <f>实盘持仓配置!C6</f>
        <v>0.02</v>
      </c>
      <c r="D7" s="19">
        <f>实盘持仓配置!D6</f>
        <v>0</v>
      </c>
      <c r="E7" s="19">
        <f>实盘持仓配置!E6</f>
        <v>0</v>
      </c>
      <c r="F7" s="19">
        <f>实盘持仓配置!F6</f>
        <v>0</v>
      </c>
      <c r="G7" s="19">
        <f>实盘持仓配置!G6</f>
        <v>0</v>
      </c>
      <c r="H7" s="19">
        <f>实盘持仓配置!H6</f>
        <v>0.11</v>
      </c>
      <c r="I7" s="19">
        <f>实盘持仓配置!I6</f>
        <v>0.19</v>
      </c>
      <c r="J7" s="19">
        <f>实盘持仓配置!J6</f>
        <v>0</v>
      </c>
      <c r="K7" s="19">
        <f>实盘持仓配置!K6</f>
        <v>0.19</v>
      </c>
      <c r="L7" s="19">
        <f>实盘持仓配置!L6</f>
        <v>0</v>
      </c>
      <c r="M7" s="19">
        <f>实盘持仓配置!M6</f>
        <v>0</v>
      </c>
      <c r="N7" s="19">
        <f>实盘持仓配置!N6</f>
        <v>0</v>
      </c>
      <c r="O7" s="19">
        <f>实盘持仓配置!O6</f>
        <v>0</v>
      </c>
      <c r="P7" s="19">
        <f>实盘持仓配置!P6</f>
        <v>0</v>
      </c>
      <c r="Q7" s="19">
        <f>实盘持仓配置!Q6</f>
        <v>0</v>
      </c>
      <c r="R7" s="19">
        <f>实盘持仓配置!R6</f>
        <v>0.19</v>
      </c>
      <c r="S7" s="19">
        <f>实盘持仓配置!S6</f>
        <v>0.19</v>
      </c>
      <c r="T7" s="19">
        <f>实盘持仓配置!T6</f>
        <v>0</v>
      </c>
      <c r="U7" s="19">
        <f>实盘持仓配置!U6</f>
        <v>0.11</v>
      </c>
      <c r="V7" s="19">
        <f>实盘持仓配置!V6</f>
        <v>0</v>
      </c>
      <c r="W7" s="19">
        <f>实盘持仓配置!W6</f>
        <v>0</v>
      </c>
      <c r="X7" s="19">
        <f>实盘持仓配置!X6</f>
        <v>0</v>
      </c>
      <c r="Y7">
        <v>0</v>
      </c>
      <c r="Z7">
        <f t="shared" si="0"/>
        <v>0.99999999999999989</v>
      </c>
      <c r="AA7" s="20">
        <v>46196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ht="14.5">
      <c r="A8" s="21" t="s">
        <v>126</v>
      </c>
      <c r="B8" s="19">
        <f>实盘持仓配置!B7</f>
        <v>0.05</v>
      </c>
      <c r="C8" s="19">
        <f>实盘持仓配置!C7</f>
        <v>0.02</v>
      </c>
      <c r="D8" s="19">
        <f>实盘持仓配置!D7</f>
        <v>0</v>
      </c>
      <c r="E8" s="19">
        <f>实盘持仓配置!E7</f>
        <v>0</v>
      </c>
      <c r="F8" s="19">
        <f>实盘持仓配置!F7</f>
        <v>1.2500000000000001E-2</v>
      </c>
      <c r="G8" s="19">
        <f>实盘持仓配置!G7</f>
        <v>0</v>
      </c>
      <c r="H8" s="19">
        <f>实盘持仓配置!H7</f>
        <v>5.0000000000000001E-3</v>
      </c>
      <c r="I8" s="19">
        <f>实盘持仓配置!I7</f>
        <v>0.01</v>
      </c>
      <c r="J8" s="19">
        <f>实盘持仓配置!J7</f>
        <v>0</v>
      </c>
      <c r="K8" s="19">
        <f>实盘持仓配置!K7</f>
        <v>0.01</v>
      </c>
      <c r="L8" s="19">
        <f>实盘持仓配置!L7</f>
        <v>0</v>
      </c>
      <c r="M8" s="19">
        <f>实盘持仓配置!M7</f>
        <v>1.2500000000000001E-2</v>
      </c>
      <c r="N8" s="19">
        <f>实盘持仓配置!N7</f>
        <v>0</v>
      </c>
      <c r="O8" s="19">
        <f>实盘持仓配置!O7</f>
        <v>1.2500000000000001E-2</v>
      </c>
      <c r="P8" s="19">
        <f>实盘持仓配置!P7</f>
        <v>0</v>
      </c>
      <c r="Q8" s="19">
        <f>实盘持仓配置!Q7</f>
        <v>0</v>
      </c>
      <c r="R8" s="19">
        <f>实盘持仓配置!R7</f>
        <v>0.01</v>
      </c>
      <c r="S8" s="19">
        <f>实盘持仓配置!S7</f>
        <v>0.01</v>
      </c>
      <c r="T8" s="19">
        <f>实盘持仓配置!T7</f>
        <v>0</v>
      </c>
      <c r="U8" s="19">
        <f>实盘持仓配置!U7</f>
        <v>5.0000000000000001E-3</v>
      </c>
      <c r="V8" s="19">
        <f>实盘持仓配置!V7</f>
        <v>0</v>
      </c>
      <c r="W8" s="19">
        <f>实盘持仓配置!W7</f>
        <v>1.2500000000000001E-2</v>
      </c>
      <c r="X8" s="19">
        <f>实盘持仓配置!X7</f>
        <v>0.83</v>
      </c>
      <c r="Y8">
        <v>0</v>
      </c>
      <c r="Z8">
        <f t="shared" si="0"/>
        <v>1</v>
      </c>
      <c r="AA8" s="20">
        <v>46197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ht="14.5">
      <c r="A9" s="21" t="s">
        <v>127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20">
        <v>46204</v>
      </c>
      <c r="AB9">
        <f>SUMPRODUCT($B$8:$Y$8,'实盘净值数据(iFinD公式)'!$B$13:$Y$13/'实盘净值数据(iFinD公式)'!$B$8:$Y$8)</f>
        <v>1.0010183937865633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ht="14.5">
      <c r="A10" s="21" t="s">
        <v>128</v>
      </c>
      <c r="B10" s="19">
        <f>实盘持仓配置!B8</f>
        <v>0.05</v>
      </c>
      <c r="C10" s="19">
        <f>实盘持仓配置!C8</f>
        <v>0.02</v>
      </c>
      <c r="D10" s="19">
        <f>实盘持仓配置!D8</f>
        <v>0.01</v>
      </c>
      <c r="E10" s="19">
        <f>实盘持仓配置!E8</f>
        <v>1.2500000000000001E-2</v>
      </c>
      <c r="F10" s="19">
        <f>实盘持仓配置!F8</f>
        <v>0</v>
      </c>
      <c r="G10" s="19">
        <f>实盘持仓配置!G8</f>
        <v>5.0000000000000001E-3</v>
      </c>
      <c r="H10" s="19">
        <f>实盘持仓配置!H8</f>
        <v>0</v>
      </c>
      <c r="I10" s="19">
        <f>实盘持仓配置!I8</f>
        <v>0</v>
      </c>
      <c r="J10" s="19">
        <f>实盘持仓配置!J8</f>
        <v>0.01</v>
      </c>
      <c r="K10" s="19">
        <f>实盘持仓配置!K8</f>
        <v>0</v>
      </c>
      <c r="L10" s="19">
        <f>实盘持仓配置!L8</f>
        <v>1.2500000000000001E-2</v>
      </c>
      <c r="M10" s="19">
        <f>实盘持仓配置!M8</f>
        <v>0</v>
      </c>
      <c r="N10" s="19">
        <f>实盘持仓配置!N8</f>
        <v>1.2500000000000001E-2</v>
      </c>
      <c r="O10" s="19">
        <f>实盘持仓配置!O8</f>
        <v>0</v>
      </c>
      <c r="P10" s="19">
        <f>实盘持仓配置!P8</f>
        <v>0.01</v>
      </c>
      <c r="Q10" s="19">
        <f>实盘持仓配置!Q8</f>
        <v>0.01</v>
      </c>
      <c r="R10" s="19">
        <f>实盘持仓配置!R8</f>
        <v>0</v>
      </c>
      <c r="S10" s="19">
        <f>实盘持仓配置!S8</f>
        <v>0</v>
      </c>
      <c r="T10" s="19">
        <f>实盘持仓配置!T8</f>
        <v>5.0000000000000001E-3</v>
      </c>
      <c r="U10" s="19">
        <f>实盘持仓配置!U8</f>
        <v>0</v>
      </c>
      <c r="V10" s="19">
        <f>实盘持仓配置!V8</f>
        <v>1.2500000000000001E-2</v>
      </c>
      <c r="W10" s="19">
        <f>实盘持仓配置!W8</f>
        <v>0</v>
      </c>
      <c r="X10" s="19">
        <f>实盘持仓配置!X8</f>
        <v>0.83</v>
      </c>
      <c r="Y10">
        <v>0</v>
      </c>
      <c r="Z10">
        <f t="shared" si="0"/>
        <v>1</v>
      </c>
      <c r="AA10" s="20">
        <v>46191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ht="14.5">
      <c r="A11" s="21" t="s">
        <v>129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20">
        <v>46204</v>
      </c>
      <c r="AB11">
        <f>SUMPRODUCT($B$10:$Y$10,'实盘净值数据(iFinD公式)'!$B$13:$Y$13/'实盘净值数据(iFinD公式)'!$B$5:$Y$5)</f>
        <v>1.0001629093509814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ht="14.5">
      <c r="A12" s="21" t="s">
        <v>130</v>
      </c>
      <c r="B12" s="19">
        <f>实盘持仓配置!B9</f>
        <v>0.1</v>
      </c>
      <c r="C12" s="19">
        <f>实盘持仓配置!C9</f>
        <v>0.02</v>
      </c>
      <c r="D12" s="19">
        <f>实盘持仓配置!D9</f>
        <v>0</v>
      </c>
      <c r="E12" s="19">
        <f>实盘持仓配置!E9</f>
        <v>0</v>
      </c>
      <c r="F12" s="19">
        <f>实盘持仓配置!F9</f>
        <v>3.7499999999999999E-2</v>
      </c>
      <c r="G12" s="19">
        <f>实盘持仓配置!G9</f>
        <v>0</v>
      </c>
      <c r="H12" s="19">
        <f>实盘持仓配置!H9</f>
        <v>1.4999999999999999E-2</v>
      </c>
      <c r="I12" s="19">
        <f>实盘持仓配置!I9</f>
        <v>0.03</v>
      </c>
      <c r="J12" s="19">
        <f>实盘持仓配置!J9</f>
        <v>0</v>
      </c>
      <c r="K12" s="19">
        <f>实盘持仓配置!K9</f>
        <v>0.03</v>
      </c>
      <c r="L12" s="19">
        <f>实盘持仓配置!L9</f>
        <v>0</v>
      </c>
      <c r="M12" s="19">
        <f>实盘持仓配置!M9</f>
        <v>3.7499999999999999E-2</v>
      </c>
      <c r="N12" s="19">
        <f>实盘持仓配置!N9</f>
        <v>0</v>
      </c>
      <c r="O12" s="19">
        <f>实盘持仓配置!O9</f>
        <v>3.7499999999999999E-2</v>
      </c>
      <c r="P12" s="19">
        <f>实盘持仓配置!P9</f>
        <v>0</v>
      </c>
      <c r="Q12" s="19">
        <f>实盘持仓配置!Q9</f>
        <v>0</v>
      </c>
      <c r="R12" s="19">
        <f>实盘持仓配置!R9</f>
        <v>0.03</v>
      </c>
      <c r="S12" s="19">
        <f>实盘持仓配置!S9</f>
        <v>0.03</v>
      </c>
      <c r="T12" s="19">
        <f>实盘持仓配置!T9</f>
        <v>0</v>
      </c>
      <c r="U12" s="19">
        <f>实盘持仓配置!U9</f>
        <v>1.4999999999999999E-2</v>
      </c>
      <c r="V12" s="19">
        <f>实盘持仓配置!V9</f>
        <v>0</v>
      </c>
      <c r="W12" s="19">
        <f>实盘持仓配置!W9</f>
        <v>3.7499999999999999E-2</v>
      </c>
      <c r="X12" s="19">
        <f>实盘持仓配置!X9</f>
        <v>0.57999999999999996</v>
      </c>
      <c r="Y12">
        <v>0</v>
      </c>
      <c r="Z12">
        <f t="shared" si="0"/>
        <v>0.99999999999999989</v>
      </c>
      <c r="AA12" s="20">
        <v>46197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ht="14.5">
      <c r="A13" s="21" t="s">
        <v>131</v>
      </c>
      <c r="B13">
        <f>B$12*'实盘净值数据(iFinD公式)'!B$13/'实盘净值数据(iFinD公式)'!B$8/$AB$13</f>
        <v>9.6752041040539472E-2</v>
      </c>
      <c r="C13">
        <f>C$12*'实盘净值数据(iFinD公式)'!C$13/'实盘净值数据(iFinD公式)'!C$8/$AB$13-0.015</f>
        <v>4.9222093775360756E-3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1.4130559060444955E-2</v>
      </c>
      <c r="I13">
        <f>I$12*'实盘净值数据(iFinD公式)'!I$13/'实盘净值数据(iFinD公式)'!I$8/$AB$13</f>
        <v>3.1187415054142246E-2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3.5385334680596091E-2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3.7809020026759531E-2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2.8865709660439238E-2</v>
      </c>
      <c r="S13">
        <f>S$12*'实盘净值数据(iFinD公式)'!S$13/'实盘净值数据(iFinD公式)'!S$8/$AB$13</f>
        <v>2.8231926900584323E-2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1.7706181846760063E-2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0.57770110350899728</v>
      </c>
      <c r="Y13">
        <f>Y$12*'实盘净值数据(iFinD公式)'!Y$13/'实盘净值数据(iFinD公式)'!Y$8/$AB$13+0.015</f>
        <v>1.4999999999999999E-2</v>
      </c>
      <c r="Z13">
        <f t="shared" si="0"/>
        <v>1</v>
      </c>
      <c r="AA13" s="20">
        <v>46204</v>
      </c>
      <c r="AB13">
        <f>SUMPRODUCT($B$12:$Y$12,'实盘净值数据(iFinD公式)'!$B$13:$Y$13/'实盘净值数据(iFinD公式)'!$B$8:$Y$8)</f>
        <v>1.0041480100695226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ht="14.5">
      <c r="A14" s="21" t="s">
        <v>132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0">
        <v>46210</v>
      </c>
      <c r="AB14">
        <f>$AB$9*SUMPRODUCT($B$9:$Y$9,'实盘净值数据(iFinD公式)'!$B$17:$Y$17/'实盘净值数据(iFinD公式)'!$B$13:$Y$13)</f>
        <v>0.99518059435920936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ht="14.5">
      <c r="A15" s="21" t="s">
        <v>133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0">
        <v>46210</v>
      </c>
      <c r="AB15">
        <f>$AB$11*SUMPRODUCT($B$11:$Y$11,'实盘净值数据(iFinD公式)'!$B$17:$Y$17/'实盘净值数据(iFinD公式)'!$B$13:$Y$13)</f>
        <v>0.99376731247498307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ht="14.5">
      <c r="A16" s="21" t="s">
        <v>134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0">
        <v>46210</v>
      </c>
      <c r="AB16">
        <f>$AB$13*SUMPRODUCT($B$13:$Y$13,'实盘净值数据(iFinD公式)'!$B$17:$Y$17/'实盘净值数据(iFinD公式)'!$B$13:$Y$13)</f>
        <v>0.9844764004850477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ht="14.5">
      <c r="A17" s="17" t="s">
        <v>135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0">
        <v>46213</v>
      </c>
      <c r="AB17">
        <f>SUMPRODUCT($B$5:$Y$5,'实盘净值数据(iFinD公式)'!$B$20:$Y$20/'实盘净值数据(iFinD公式)'!$B$6:$Y$6)</f>
        <v>0.95250384230903973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ht="14.5">
      <c r="A18" s="17" t="s">
        <v>136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0">
        <v>46213</v>
      </c>
      <c r="AB18">
        <f>SUMPRODUCT($B$6:$Y$6,'实盘净值数据(iFinD公式)'!$B$20:$Y$20/'实盘净值数据(iFinD公式)'!$B$5:$Y$5)</f>
        <v>0.97445109575393596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ht="14.5">
      <c r="A19" s="17" t="s">
        <v>137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0">
        <v>46213</v>
      </c>
      <c r="AB19">
        <f>SUMPRODUCT($B$7:$Y$7,'实盘净值数据(iFinD公式)'!$B$20:$Y$20/'实盘净值数据(iFinD公式)'!$B$7:$Y$7)</f>
        <v>0.99413981381289751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ht="14">
      <c r="A20" s="22" t="s">
        <v>138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3">
        <v>46220</v>
      </c>
      <c r="AB20">
        <f>$AB$14*SUMPRODUCT($B$14:$Y$14,'实盘净值数据(iFinD公式)'!$B$25:$Y$25/'实盘净值数据(iFinD公式)'!$B$17:$Y$17)</f>
        <v>0.98067586640145799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ht="14">
      <c r="A21" s="22" t="s">
        <v>139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3">
        <v>46220</v>
      </c>
      <c r="AB21">
        <f>$AB$15*SUMPRODUCT($B$15:$Y$15,'实盘净值数据(iFinD公式)'!$B$25:$Y$25/'实盘净值数据(iFinD公式)'!$B$17:$Y$17)</f>
        <v>0.97939475400002896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ht="14">
      <c r="A22" s="22" t="s">
        <v>140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3">
        <v>46220</v>
      </c>
      <c r="AB22">
        <f>$AB$16*SUMPRODUCT($B$16:$Y$16,'实盘净值数据(iFinD公式)'!$B$25:$Y$25/'实盘净值数据(iFinD公式)'!$B$17:$Y$17)</f>
        <v>0.94281725126693205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ht="14">
      <c r="A23" s="22" t="s">
        <v>354</v>
      </c>
      <c r="B23">
        <v>0.05</v>
      </c>
      <c r="C23">
        <v>0.05</v>
      </c>
      <c r="D23">
        <v>0</v>
      </c>
      <c r="E23">
        <v>0</v>
      </c>
      <c r="F23">
        <v>1.2500000000000001E-2</v>
      </c>
      <c r="G23">
        <v>0</v>
      </c>
      <c r="H23">
        <v>0</v>
      </c>
      <c r="I23">
        <v>0.01</v>
      </c>
      <c r="J23">
        <v>0</v>
      </c>
      <c r="K23">
        <v>7.4999999999999997E-3</v>
      </c>
      <c r="L23">
        <v>0</v>
      </c>
      <c r="M23">
        <v>1.2500000000000001E-2</v>
      </c>
      <c r="N23">
        <v>0</v>
      </c>
      <c r="O23">
        <v>1.2500000000000001E-2</v>
      </c>
      <c r="P23">
        <v>0</v>
      </c>
      <c r="Q23">
        <v>0</v>
      </c>
      <c r="R23">
        <v>1.2500000000000001E-2</v>
      </c>
      <c r="S23">
        <v>1.2500000000000001E-2</v>
      </c>
      <c r="T23">
        <v>0</v>
      </c>
      <c r="U23">
        <v>0</v>
      </c>
      <c r="V23">
        <v>0</v>
      </c>
      <c r="W23">
        <v>1.2500000000000001E-2</v>
      </c>
      <c r="X23">
        <v>0.5</v>
      </c>
      <c r="Y23">
        <v>7.4999999999999997E-3</v>
      </c>
      <c r="Z23">
        <f>SUM(B23:Y23)+SUM(AC23:AD23)</f>
        <v>1</v>
      </c>
      <c r="AA23" s="23">
        <v>46276</v>
      </c>
      <c r="AB23">
        <f>$AB$20*SUMPRODUCT($B$20:$Y$20,'实盘净值数据(iFinD公式)'!$B$65:$Y$65/'实盘净值数据(iFinD公式)'!$B$25:$Y$25)</f>
        <v>0.99104060395575799</v>
      </c>
      <c r="AC23">
        <v>0.15</v>
      </c>
      <c r="AD23">
        <v>0.15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ht="14">
      <c r="A24" s="22" t="s">
        <v>355</v>
      </c>
      <c r="B24">
        <v>0.05</v>
      </c>
      <c r="C24">
        <v>0.05</v>
      </c>
      <c r="D24">
        <v>0.01</v>
      </c>
      <c r="E24">
        <v>1.2500000000000001E-2</v>
      </c>
      <c r="F24">
        <v>0</v>
      </c>
      <c r="G24">
        <v>0</v>
      </c>
      <c r="H24">
        <v>0</v>
      </c>
      <c r="I24">
        <v>0</v>
      </c>
      <c r="J24">
        <v>0.01</v>
      </c>
      <c r="K24">
        <v>0</v>
      </c>
      <c r="L24">
        <v>1.2500000000000001E-2</v>
      </c>
      <c r="M24">
        <v>0</v>
      </c>
      <c r="N24">
        <v>1.2500000000000001E-2</v>
      </c>
      <c r="O24">
        <v>0</v>
      </c>
      <c r="P24">
        <v>0.01</v>
      </c>
      <c r="Q24">
        <v>0.01</v>
      </c>
      <c r="R24">
        <v>0</v>
      </c>
      <c r="S24">
        <v>0</v>
      </c>
      <c r="T24">
        <v>0</v>
      </c>
      <c r="U24">
        <v>0</v>
      </c>
      <c r="V24">
        <v>1.2500000000000001E-2</v>
      </c>
      <c r="W24">
        <v>0</v>
      </c>
      <c r="X24">
        <v>0.5</v>
      </c>
      <c r="Y24">
        <v>0.01</v>
      </c>
      <c r="Z24">
        <f>SUM(B24:Y24)+SUM(AC24:AD24)</f>
        <v>1</v>
      </c>
      <c r="AA24" s="23">
        <v>46276</v>
      </c>
      <c r="AB24">
        <f>$AB$21*SUMPRODUCT($B$21:$Y$21,'实盘净值数据(iFinD公式)'!$B$65:$Y$65/'实盘净值数据(iFinD公式)'!$B$25:$Y$25)</f>
        <v>0.99102891245917668</v>
      </c>
      <c r="AC24">
        <v>0.15</v>
      </c>
      <c r="AD24">
        <v>0.15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ht="14">
      <c r="A25" s="22" t="s">
        <v>356</v>
      </c>
      <c r="B25">
        <v>0.1</v>
      </c>
      <c r="C25">
        <v>0.1</v>
      </c>
      <c r="D25">
        <v>0</v>
      </c>
      <c r="E25">
        <v>0</v>
      </c>
      <c r="F25">
        <v>3.7499999999999999E-2</v>
      </c>
      <c r="G25">
        <v>0</v>
      </c>
      <c r="H25">
        <v>0</v>
      </c>
      <c r="I25">
        <v>0.03</v>
      </c>
      <c r="J25">
        <v>0</v>
      </c>
      <c r="K25">
        <v>2.5000000000000001E-2</v>
      </c>
      <c r="L25">
        <v>0</v>
      </c>
      <c r="M25">
        <v>3.7499999999999999E-2</v>
      </c>
      <c r="N25">
        <v>0</v>
      </c>
      <c r="O25">
        <v>3.7499999999999999E-2</v>
      </c>
      <c r="P25">
        <v>0</v>
      </c>
      <c r="Q25">
        <v>0</v>
      </c>
      <c r="R25">
        <v>3.5000000000000003E-2</v>
      </c>
      <c r="S25">
        <v>3.5000000000000003E-2</v>
      </c>
      <c r="T25">
        <v>0</v>
      </c>
      <c r="U25">
        <v>0</v>
      </c>
      <c r="V25">
        <v>0</v>
      </c>
      <c r="W25">
        <v>3.7499999999999999E-2</v>
      </c>
      <c r="X25">
        <v>0.3</v>
      </c>
      <c r="Y25">
        <v>2.5000000000000001E-2</v>
      </c>
      <c r="Z25">
        <f>SUM(B25:Y25)+SUM(AC25:AD25)</f>
        <v>1</v>
      </c>
      <c r="AA25" s="23">
        <v>46276</v>
      </c>
      <c r="AB25">
        <f>$AB$22*SUMPRODUCT($B$22:$Y$22,'实盘净值数据(iFinD公式)'!$B$65:$Y$65/'实盘净值数据(iFinD公式)'!$B$25:$Y$25)</f>
        <v>0.95617038338718674</v>
      </c>
      <c r="AC25">
        <v>0.1</v>
      </c>
      <c r="AD25">
        <v>0.1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s="221" customFormat="1" ht="14">
      <c r="A26" s="22" t="s">
        <v>408</v>
      </c>
      <c r="B26">
        <v>0</v>
      </c>
      <c r="C26">
        <v>0.05</v>
      </c>
      <c r="D26">
        <v>0</v>
      </c>
      <c r="E26">
        <v>0</v>
      </c>
      <c r="F26">
        <v>2.5000000000000001E-2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1.2500000000000001E-2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1.2500000000000001E-2</v>
      </c>
      <c r="X26">
        <v>0.3</v>
      </c>
      <c r="Y26">
        <v>0</v>
      </c>
      <c r="Z26">
        <f>SUM(B26:Y26)+SUM(AC26:AO26)</f>
        <v>1</v>
      </c>
      <c r="AA26" s="23">
        <v>46282</v>
      </c>
      <c r="AC26">
        <v>0.2</v>
      </c>
      <c r="AD26">
        <v>0.2</v>
      </c>
      <c r="AE26">
        <v>1.2500000000000001E-2</v>
      </c>
      <c r="AF26">
        <v>1.2500000000000001E-2</v>
      </c>
      <c r="AG26">
        <v>1.2500000000000001E-2</v>
      </c>
      <c r="AH26">
        <v>1.2500000000000001E-2</v>
      </c>
      <c r="AI26">
        <v>5.0000000000000001E-3</v>
      </c>
      <c r="AJ26">
        <v>5.0000000000000001E-3</v>
      </c>
      <c r="AK26">
        <v>5.0000000000000001E-3</v>
      </c>
      <c r="AL26">
        <v>5.0000000000000001E-3</v>
      </c>
      <c r="AM26">
        <v>0.06</v>
      </c>
      <c r="AN26">
        <v>0.02</v>
      </c>
      <c r="AO26">
        <v>0.05</v>
      </c>
    </row>
  </sheetData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28.54296875" customWidth="1"/>
    <col min="3" max="8" width="16.453125" customWidth="1"/>
  </cols>
  <sheetData>
    <row r="2" spans="2:8" ht="22.5" customHeight="1">
      <c r="B2" s="24" t="s">
        <v>141</v>
      </c>
    </row>
    <row r="3" spans="2:8" ht="14.25" customHeight="1">
      <c r="B3" s="2" t="s">
        <v>142</v>
      </c>
    </row>
    <row r="5" spans="2:8" ht="15" customHeight="1">
      <c r="B5" s="25" t="s">
        <v>143</v>
      </c>
    </row>
    <row r="6" spans="2:8" ht="16.5" customHeight="1">
      <c r="B6" s="26" t="s">
        <v>144</v>
      </c>
      <c r="C6" s="243" t="s">
        <v>145</v>
      </c>
      <c r="D6" s="243"/>
      <c r="E6" s="243"/>
      <c r="F6" s="243"/>
      <c r="G6" s="243"/>
      <c r="H6" s="243"/>
    </row>
    <row r="7" spans="2:8" ht="25.5" customHeight="1">
      <c r="B7" s="26" t="s">
        <v>146</v>
      </c>
      <c r="C7" s="243" t="s">
        <v>147</v>
      </c>
      <c r="D7" s="243"/>
      <c r="E7" s="243"/>
      <c r="F7" s="243"/>
      <c r="G7" s="243"/>
      <c r="H7" s="243"/>
    </row>
    <row r="8" spans="2:8" ht="16.5" customHeight="1">
      <c r="B8" s="26" t="s">
        <v>148</v>
      </c>
      <c r="C8" s="243" t="s">
        <v>149</v>
      </c>
      <c r="D8" s="243"/>
      <c r="E8" s="243"/>
      <c r="F8" s="243"/>
      <c r="G8" s="243"/>
      <c r="H8" s="243"/>
    </row>
    <row r="9" spans="2:8" ht="27.75" customHeight="1">
      <c r="B9" s="26" t="s">
        <v>150</v>
      </c>
      <c r="C9" s="244" t="s">
        <v>151</v>
      </c>
      <c r="D9" s="244"/>
      <c r="E9" s="244"/>
      <c r="F9" s="244"/>
      <c r="G9" s="244"/>
      <c r="H9" s="244"/>
    </row>
    <row r="10" spans="2:8" ht="16.5" customHeight="1">
      <c r="B10" s="27"/>
      <c r="C10" s="28"/>
      <c r="D10" s="28"/>
      <c r="E10" s="28"/>
      <c r="F10" s="28"/>
      <c r="G10" s="28"/>
      <c r="H10" s="28"/>
    </row>
    <row r="11" spans="2:8" ht="16.5" customHeight="1">
      <c r="B11" s="25" t="s">
        <v>152</v>
      </c>
      <c r="C11" s="28"/>
      <c r="D11" s="28"/>
      <c r="E11" s="28"/>
      <c r="F11" s="28"/>
      <c r="G11" s="28"/>
      <c r="H11" s="28"/>
    </row>
    <row r="12" spans="2:8" ht="16.5" customHeight="1">
      <c r="B12" s="26" t="s">
        <v>153</v>
      </c>
      <c r="C12" s="243" t="s">
        <v>154</v>
      </c>
      <c r="D12" s="243"/>
      <c r="E12" s="243"/>
      <c r="F12" s="243"/>
      <c r="G12" s="243"/>
      <c r="H12" s="243"/>
    </row>
    <row r="13" spans="2:8" ht="16.5" customHeight="1">
      <c r="B13" s="29" t="s">
        <v>155</v>
      </c>
      <c r="C13" s="243" t="s">
        <v>156</v>
      </c>
      <c r="D13" s="243"/>
      <c r="E13" s="243"/>
      <c r="F13" s="243"/>
      <c r="G13" s="243"/>
      <c r="H13" s="243"/>
    </row>
    <row r="14" spans="2:8" ht="16.5" customHeight="1">
      <c r="B14" s="26" t="s">
        <v>157</v>
      </c>
      <c r="C14" s="243" t="s">
        <v>158</v>
      </c>
      <c r="D14" s="243"/>
      <c r="E14" s="243"/>
      <c r="F14" s="243"/>
      <c r="G14" s="243"/>
      <c r="H14" s="243"/>
    </row>
    <row r="15" spans="2:8" ht="14.25" customHeight="1">
      <c r="B15" s="26" t="s">
        <v>159</v>
      </c>
      <c r="C15" s="27" t="s">
        <v>160</v>
      </c>
    </row>
    <row r="16" spans="2:8" ht="13">
      <c r="B16" s="26" t="s">
        <v>161</v>
      </c>
      <c r="C16" s="30">
        <v>0</v>
      </c>
    </row>
    <row r="17" spans="2:3" ht="13">
      <c r="B17" s="26" t="s">
        <v>162</v>
      </c>
      <c r="C17" s="31">
        <v>242</v>
      </c>
    </row>
    <row r="18" spans="2:3" ht="14.25" customHeight="1">
      <c r="B18" s="26" t="s">
        <v>163</v>
      </c>
      <c r="C18" s="27" t="s">
        <v>164</v>
      </c>
    </row>
    <row r="19" spans="2:3" ht="14.25" customHeight="1">
      <c r="B19" s="2" t="s">
        <v>165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29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日期页</vt:lpstr>
      <vt:lpstr>每日组合</vt:lpstr>
      <vt:lpstr>每日1090</vt:lpstr>
      <vt:lpstr>每日2080</vt:lpstr>
      <vt:lpstr>每日3070</vt:lpstr>
      <vt:lpstr>每日产业趋势</vt:lpstr>
      <vt:lpstr>vs固收+</vt:lpstr>
      <vt:lpstr>vs红利固收+</vt:lpstr>
      <vt:lpstr>vs招行</vt:lpstr>
      <vt:lpstr>vs固收+对比</vt:lpstr>
      <vt:lpstr>1090系统数据</vt:lpstr>
      <vt:lpstr>实盘组合净值</vt:lpstr>
      <vt:lpstr>实盘净值数据(iFinD公式)</vt:lpstr>
      <vt:lpstr>数据更新监控</vt:lpstr>
      <vt:lpstr>实盘持仓配置</vt:lpstr>
      <vt:lpstr>分期持仓明细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白昕</dc:creator>
  <dc:description/>
  <cp:lastModifiedBy>白昕</cp:lastModifiedBy>
  <cp:revision>0</cp:revision>
  <dcterms:created xsi:type="dcterms:W3CDTF">2026-07-17T08:34:14Z</dcterms:created>
  <dcterms:modified xsi:type="dcterms:W3CDTF">2026-10-26T01:48:52Z</dcterms:modified>
  <dc:language>zh-CN</dc:language>
</cp:coreProperties>
</file>